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0fe4356bb348c9" /></Relationships>
</file>

<file path=xl/workbook.xml><?xml version="1.0" encoding="utf-8"?>
<x:workbook xmlns:x="http://schemas.openxmlformats.org/spreadsheetml/2006/main">
  <x:sheets>
    <x:sheet xmlns:r="http://schemas.openxmlformats.org/officeDocument/2006/relationships" name="START HERE" sheetId="1" r:id="Rc1c8ca401a0d464a"/>
    <x:sheet xmlns:r="http://schemas.openxmlformats.org/officeDocument/2006/relationships" name="SETUP" sheetId="2" r:id="R6eabe9a5a5f445e0"/>
    <x:sheet xmlns:r="http://schemas.openxmlformats.org/officeDocument/2006/relationships" name="PROJECT PLAN" sheetId="3" r:id="R62efb3ee27534482"/>
    <x:sheet xmlns:r="http://schemas.openxmlformats.org/officeDocument/2006/relationships" name="GANTT" sheetId="4" r:id="R5ba2819fbf0e4e05"/>
    <x:sheet xmlns:r="http://schemas.openxmlformats.org/officeDocument/2006/relationships" name="RACI" sheetId="5" r:id="R63bc873a439d4436"/>
    <x:sheet xmlns:r="http://schemas.openxmlformats.org/officeDocument/2006/relationships" name="RISKS &amp; ISSUES" sheetId="6" r:id="R4012b5125745404f"/>
    <x:sheet xmlns:r="http://schemas.openxmlformats.org/officeDocument/2006/relationships" name="DASHBOARD" sheetId="7" r:id="R4ac7752b07924a16"/>
    <x:sheet xmlns:r="http://schemas.openxmlformats.org/officeDocument/2006/relationships" name="EXAMPLE" sheetId="8" r:id="R671367f65b764f8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mmm d, yyyy"/>
    <x:numFmt numFmtId="201" formatCode="0%"/>
    <x:numFmt numFmtId="202" formatCode="d-mmm"/>
    <x:numFmt numFmtId="203" formatCode="mmm d"/>
  </x:numFmts>
  <x:fonts count="15">
    <x:font>
      <x:sz val="11"/>
      <x:name val="Carlito"/>
    </x:font>
    <x:font>
      <x:b/>
      <x:sz val="18"/>
      <x:color rgb="FFFFFFFF"/>
      <x:name val="Carlito"/>
    </x:font>
    <x:font>
      <x:b/>
      <x:sz val="12"/>
      <x:color rgb="FF17324D"/>
      <x:name val="Carlito"/>
    </x:font>
    <x:font>
      <x:b/>
      <x:sz val="11"/>
      <x:color rgb="FFFFFFFF"/>
      <x:name val="Carlito"/>
    </x:font>
    <x:font>
      <x:b/>
      <x:sz val="11"/>
      <x:color rgb="FF1F2933"/>
      <x:name val="Carlito"/>
    </x:font>
    <x:font>
      <x:sz val="11"/>
      <x:color rgb="FF1F2933"/>
      <x:name val="Carlito"/>
    </x:font>
    <x:font>
      <x:b/>
      <x:sz val="11"/>
      <x:color rgb="FF17324D"/>
      <x:name val="Carlito"/>
    </x:font>
    <x:font>
      <x:b/>
      <x:sz val="15"/>
      <x:color rgb="FFFFFFFF"/>
      <x:name val="Carlito"/>
    </x:font>
    <x:font>
      <x:b/>
      <x:sz val="14"/>
      <x:color rgb="FFFFFFFF"/>
      <x:name val="Carlito"/>
    </x:font>
    <x:font>
      <x:b/>
      <x:sz val="11"/>
      <x:name val="Carlito"/>
    </x:font>
    <x:font>
      <x:b/>
      <x:sz val="18"/>
      <x:color rgb="FF17324D"/>
      <x:name val="Carlito"/>
    </x:font>
    <x:font>
      <x:b/>
      <x:sz val="10"/>
      <x:color rgb="FF1F2933"/>
      <x:name val="Aptos"/>
    </x:font>
    <x:font>
      <x:sz val="10"/>
      <x:color rgb="FF1F2933"/>
      <x:name val="Aptos"/>
    </x:font>
    <x:font>
      <x:b/>
      <x:sz val="15"/>
      <x:color rgb="FFFFFFFF"/>
      <x:name val="Aptos"/>
    </x:font>
    <x:font>
      <x:b/>
      <x:sz val="18"/>
      <x:color rgb="FFFFFFFF"/>
      <x:name val="Aptos"/>
    </x:font>
  </x:fonts>
  <x:fills count="10">
    <x:fill>
      <x:patternFill patternType="none"/>
    </x:fill>
    <x:fill>
      <x:patternFill patternType="gray125"/>
    </x:fill>
    <x:fill>
      <x:patternFill patternType="solid">
        <x:fgColor rgb="FF17324D"/>
      </x:patternFill>
    </x:fill>
    <x:fill>
      <x:patternFill patternType="solid">
        <x:fgColor rgb="FFEAF3FA"/>
      </x:patternFill>
    </x:fill>
    <x:fill>
      <x:patternFill patternType="solid">
        <x:fgColor rgb="FFFFF4CC"/>
      </x:patternFill>
    </x:fill>
    <x:fill>
      <x:patternFill patternType="solid">
        <x:fgColor rgb="FFE8F3E8"/>
      </x:patternFill>
    </x:fill>
    <x:fill>
      <x:patternFill patternType="solid">
        <x:fgColor rgb="FFF1ECF7"/>
      </x:patternFill>
    </x:fill>
    <x:fill>
      <x:patternFill patternType="solid">
        <x:fgColor rgb="FFFDE8E7"/>
      </x:patternFill>
    </x:fill>
    <x:fill>
      <x:patternFill patternType="solid">
        <x:fgColor rgb="FFD9E6F2"/>
      </x:patternFill>
    </x:fill>
    <x:fill>
      <x:patternFill patternType="solid">
        <x:fgColor rgb="FFF5F7F9"/>
      </x:patternFill>
    </x:fill>
  </x:fills>
  <x:borders count="2">
    <x:border/>
    <x:border/>
  </x:borders>
  <x:cellStyleXfs count="1">
    <x:xf numFmtId="0" fontId="0" fillId="0" borderId="0"/>
  </x:cellStyleXfs>
  <x:cellXfs count="17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0" fillId="6" borderId="1" xfId="0" applyNumberFormat="1" applyFont="1" applyFill="1" applyBorder="1"/>
    <x:xf numFmtId="0" fontId="4"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0" fillId="7" borderId="1" xfId="0" applyNumberFormat="1" applyFont="1" applyFill="1" applyBorder="1"/>
    <x:xf numFmtId="0" fontId="4" fillId="7" borderId="1" xfId="0" applyNumberFormat="1" applyFont="1" applyFill="1" applyBorder="1"/>
    <x:xf numFmtId="0" fontId="5" fillId="7" borderId="0" xfId="0" applyNumberFormat="1" applyFont="1" applyFill="1" applyBorder="1"/>
    <x:xf numFmtId="0" fontId="5" fillId="7" borderId="1"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0" fillId="8" borderId="1" xfId="0" applyNumberFormat="1" applyFont="1" applyFill="1" applyBorder="1"/>
    <x:xf numFmtId="0" fontId="6" fillId="8" borderId="1" xfId="0" applyNumberFormat="1" applyFont="1" applyFill="1" applyBorder="1"/>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9" borderId="1" xfId="0" applyNumberFormat="1" applyFont="1" applyFill="1" applyBorder="1" applyAlignment="1">
      <x:alignment vertical="top" wrapText="1"/>
    </x:xf>
    <x:xf numFmtId="0" fontId="7" fillId="2" borderId="0" xfId="0" applyNumberFormat="1" applyFont="1" applyFill="1" applyBorder="1"/>
    <x:xf numFmtId="0" fontId="7" fillId="2" borderId="1" xfId="0" applyNumberFormat="1" applyFont="1" applyFill="1" applyBorder="1"/>
    <x:xf numFmtId="200" fontId="0" fillId="4" borderId="0" xfId="0" applyNumberFormat="1" applyFont="1" applyFill="1" applyBorder="1"/>
    <x:xf numFmtId="200" fontId="0" fillId="4" borderId="1" xfId="0" applyNumberFormat="1" applyFont="1" applyFill="1" applyBorder="1"/>
    <x:xf numFmtId="200" fontId="0" fillId="5" borderId="0" xfId="0" applyNumberFormat="1" applyFont="1" applyFill="1" applyBorder="1"/>
    <x:xf numFmtId="200" fontId="0" fillId="5" borderId="1" xfId="0" applyNumberFormat="1" applyFont="1" applyFill="1" applyBorder="1"/>
    <x:xf numFmtId="200" fontId="0" fillId="6" borderId="0" xfId="0" applyNumberFormat="1" applyFont="1" applyFill="1" applyBorder="1"/>
    <x:xf numFmtId="200" fontId="0" fillId="6" borderId="1" xfId="0" applyNumberFormat="1" applyFont="1" applyFill="1" applyBorder="1"/>
    <x:xf numFmtId="0" fontId="8" fillId="2" borderId="0" xfId="0" applyNumberFormat="1" applyFont="1" applyFill="1" applyBorder="1"/>
    <x:xf numFmtId="0" fontId="8" fillId="2" borderId="1"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201" fontId="0" fillId="4" borderId="0" xfId="0" applyNumberFormat="1" applyFont="1" applyFill="1" applyBorder="1"/>
    <x:xf numFmtId="201" fontId="0" fillId="4" borderId="1" xfId="0" applyNumberFormat="1" applyFont="1" applyFill="1" applyBorder="1"/>
    <x:xf numFmtId="0" fontId="0" fillId="5" borderId="0" xfId="0" applyNumberFormat="1" applyFont="1" applyFill="1" applyBorder="1" applyAlignment="1">
      <x:alignment wrapText="1"/>
    </x:xf>
    <x:xf numFmtId="0" fontId="0" fillId="4" borderId="0" xfId="0" applyNumberFormat="1" applyFont="1" applyFill="1" applyBorder="1" applyAlignment="1">
      <x:alignment wrapText="1"/>
    </x:xf>
    <x:xf numFmtId="200" fontId="0" fillId="6" borderId="0" xfId="0" applyNumberFormat="1" applyFont="1" applyFill="1" applyBorder="1" applyAlignment="1">
      <x:alignment wrapText="1"/>
    </x:xf>
    <x:xf numFmtId="200" fontId="0" fillId="5" borderId="0" xfId="0" applyNumberFormat="1" applyFont="1" applyFill="1" applyBorder="1" applyAlignment="1">
      <x:alignment wrapText="1"/>
    </x:xf>
    <x:xf numFmtId="201" fontId="0" fillId="4"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4" borderId="1" xfId="0" applyNumberFormat="1" applyFont="1" applyFill="1" applyBorder="1" applyAlignment="1">
      <x:alignment wrapText="1"/>
    </x:xf>
    <x:xf numFmtId="200" fontId="0" fillId="6" borderId="1" xfId="0" applyNumberFormat="1" applyFont="1" applyFill="1" applyBorder="1" applyAlignment="1">
      <x:alignment wrapText="1"/>
    </x:xf>
    <x:xf numFmtId="200" fontId="0" fillId="5" borderId="1" xfId="0" applyNumberFormat="1" applyFont="1" applyFill="1" applyBorder="1" applyAlignment="1">
      <x:alignment wrapText="1"/>
    </x:xf>
    <x:xf numFmtId="201" fontId="0" fillId="4" borderId="1" xfId="0" applyNumberFormat="1" applyFont="1" applyFill="1" applyBorder="1" applyAlignment="1">
      <x:alignment wrapText="1"/>
    </x:xf>
    <x:xf numFmtId="202" fontId="0" fillId="0" borderId="0" xfId="0" applyNumberFormat="1" applyFont="1" applyFill="1" applyBorder="1"/>
    <x:xf numFmtId="202" fontId="0" fillId="0" borderId="1" xfId="0" applyNumberFormat="1" applyFont="1" applyFill="1" applyBorder="1"/>
    <x:xf numFmtId="202" fontId="0" fillId="8" borderId="0" xfId="0" applyNumberFormat="1" applyFont="1" applyFill="1" applyBorder="1"/>
    <x:xf numFmtId="202" fontId="6" fillId="8" borderId="0" xfId="0" applyNumberFormat="1" applyFont="1" applyFill="1" applyBorder="1"/>
    <x:xf numFmtId="202" fontId="6" fillId="8" borderId="0" xfId="0" applyNumberFormat="1" applyFont="1" applyFill="1" applyBorder="1" applyAlignment="1">
      <x:alignment horizontal="center"/>
    </x:xf>
    <x:xf numFmtId="202" fontId="0" fillId="8" borderId="1" xfId="0" applyNumberFormat="1" applyFont="1" applyFill="1" applyBorder="1"/>
    <x:xf numFmtId="202" fontId="6" fillId="8" borderId="1" xfId="0" applyNumberFormat="1" applyFont="1" applyFill="1" applyBorder="1"/>
    <x:xf numFmtId="202" fontId="6" fillId="8" borderId="1" xfId="0" applyNumberFormat="1" applyFont="1" applyFill="1" applyBorder="1" applyAlignment="1">
      <x:alignment horizontal="center"/>
    </x:xf>
    <x:xf numFmtId="0" fontId="0" fillId="0" borderId="0" xfId="0" applyNumberFormat="1" applyFont="1" applyFill="1" applyBorder="1"/>
    <x:xf numFmtId="0" fontId="9" fillId="5" borderId="0" xfId="0" applyNumberFormat="1" applyFont="1" applyFill="1" applyBorder="1"/>
    <x:xf numFmtId="0" fontId="9" fillId="5" borderId="1" xfId="0" applyNumberFormat="1" applyFont="1" applyFill="1" applyBorder="1"/>
    <x:xf numFmtId="200" fontId="9" fillId="5" borderId="0" xfId="0" applyNumberFormat="1" applyFont="1" applyFill="1" applyBorder="1"/>
    <x:xf numFmtId="200" fontId="9" fillId="5" borderId="1" xfId="0" applyNumberFormat="1" applyFont="1" applyFill="1" applyBorder="1"/>
    <x:xf numFmtId="201" fontId="9" fillId="5" borderId="0" xfId="0" applyNumberFormat="1" applyFont="1" applyFill="1" applyBorder="1"/>
    <x:xf numFmtId="201" fontId="9" fillId="5"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10" fillId="5" borderId="0" xfId="0" applyNumberFormat="1" applyFont="1" applyFill="1" applyBorder="1"/>
    <x:xf numFmtId="0" fontId="10" fillId="5" borderId="0" xfId="0" applyNumberFormat="1" applyFont="1" applyFill="1" applyBorder="1" applyAlignment="1">
      <x:alignment horizontal="center"/>
    </x:xf>
    <x:xf numFmtId="0" fontId="10" fillId="5" borderId="0" xfId="0" applyNumberFormat="1" applyFont="1" applyFill="1" applyBorder="1" applyAlignment="1">
      <x:alignment horizontal="center" vertical="center"/>
    </x:xf>
    <x:xf numFmtId="0" fontId="10" fillId="5" borderId="1" xfId="0" applyNumberFormat="1" applyFont="1" applyFill="1" applyBorder="1"/>
    <x:xf numFmtId="0" fontId="10" fillId="5" borderId="1" xfId="0" applyNumberFormat="1" applyFont="1" applyFill="1" applyBorder="1" applyAlignment="1">
      <x:alignment horizontal="center"/>
    </x:xf>
    <x:xf numFmtId="0" fontId="10" fillId="5" borderId="1" xfId="0" applyNumberFormat="1" applyFont="1" applyFill="1" applyBorder="1" applyAlignment="1">
      <x:alignment horizontal="center" vertical="center"/>
    </x:xf>
    <x:xf numFmtId="0" fontId="11" fillId="2" borderId="0" xfId="0" applyNumberFormat="1" applyFont="1" applyFill="1" applyBorder="1" applyAlignment="1">
      <x:alignment horizontal="center" vertical="center"/>
    </x:xf>
    <x:xf numFmtId="0" fontId="12" fillId="0" borderId="0" xfId="0" applyNumberFormat="1" applyFont="1" applyFill="1" applyBorder="1"/>
    <x:xf numFmtId="0" fontId="11" fillId="3" borderId="0" xfId="0" applyNumberFormat="1" applyFont="1" applyFill="1" applyBorder="1" applyAlignment="1">
      <x:alignment horizontal="center"/>
    </x:xf>
    <x:xf numFmtId="0" fontId="11" fillId="2" borderId="0" xfId="0" applyNumberFormat="1" applyFont="1" applyFill="1" applyBorder="1" applyAlignment="1">
      <x:alignment horizontal="center"/>
    </x:xf>
    <x:xf numFmtId="0" fontId="12" fillId="0" borderId="0" xfId="0" applyNumberFormat="1" applyFont="1" applyFill="1" applyBorder="1" applyAlignment="1">
      <x:alignment wrapText="1"/>
    </x:xf>
    <x:xf numFmtId="0" fontId="11" fillId="4" borderId="0" xfId="0" applyNumberFormat="1" applyFont="1" applyFill="1" applyBorder="1"/>
    <x:xf numFmtId="0" fontId="12" fillId="4" borderId="0" xfId="0" applyNumberFormat="1" applyFont="1" applyFill="1" applyBorder="1"/>
    <x:xf numFmtId="0" fontId="11" fillId="5" borderId="0" xfId="0" applyNumberFormat="1" applyFont="1" applyFill="1" applyBorder="1"/>
    <x:xf numFmtId="0" fontId="12" fillId="5" borderId="0" xfId="0" applyNumberFormat="1" applyFont="1" applyFill="1" applyBorder="1"/>
    <x:xf numFmtId="0" fontId="11" fillId="6" borderId="0" xfId="0" applyNumberFormat="1" applyFont="1" applyFill="1" applyBorder="1"/>
    <x:xf numFmtId="0" fontId="12" fillId="6" borderId="0" xfId="0" applyNumberFormat="1" applyFont="1" applyFill="1" applyBorder="1"/>
    <x:xf numFmtId="0" fontId="11" fillId="7" borderId="0" xfId="0" applyNumberFormat="1" applyFont="1" applyFill="1" applyBorder="1"/>
    <x:xf numFmtId="0" fontId="12" fillId="7" borderId="0" xfId="0" applyNumberFormat="1" applyFont="1" applyFill="1" applyBorder="1"/>
    <x:xf numFmtId="0" fontId="11" fillId="8" borderId="0" xfId="0" applyNumberFormat="1" applyFont="1" applyFill="1" applyBorder="1"/>
    <x:xf numFmtId="0" fontId="12" fillId="9" borderId="0" xfId="0" applyNumberFormat="1" applyFont="1" applyFill="1" applyBorder="1" applyAlignment="1">
      <x:alignment vertical="top" wrapText="1"/>
    </x:xf>
    <x:xf numFmtId="0" fontId="11" fillId="2" borderId="1" xfId="0" applyNumberFormat="1" applyFont="1" applyFill="1" applyBorder="1" applyAlignment="1">
      <x:alignment horizontal="center" vertical="center"/>
    </x:xf>
    <x:xf numFmtId="0" fontId="12" fillId="0" borderId="1" xfId="0" applyNumberFormat="1" applyFont="1" applyFill="1" applyBorder="1"/>
    <x:xf numFmtId="0" fontId="11" fillId="3" borderId="1" xfId="0" applyNumberFormat="1" applyFont="1" applyFill="1" applyBorder="1" applyAlignment="1">
      <x:alignment horizontal="center"/>
    </x:xf>
    <x:xf numFmtId="0" fontId="11" fillId="2" borderId="1" xfId="0" applyNumberFormat="1" applyFont="1" applyFill="1" applyBorder="1" applyAlignment="1">
      <x:alignment horizontal="center"/>
    </x:xf>
    <x:xf numFmtId="0" fontId="12" fillId="0" borderId="1" xfId="0" applyNumberFormat="1" applyFont="1" applyFill="1" applyBorder="1" applyAlignment="1">
      <x:alignment wrapText="1"/>
    </x:xf>
    <x:xf numFmtId="0" fontId="11" fillId="4" borderId="1" xfId="0" applyNumberFormat="1" applyFont="1" applyFill="1" applyBorder="1"/>
    <x:xf numFmtId="0" fontId="12" fillId="4" borderId="1" xfId="0" applyNumberFormat="1" applyFont="1" applyFill="1" applyBorder="1"/>
    <x:xf numFmtId="0" fontId="11" fillId="5" borderId="1" xfId="0" applyNumberFormat="1" applyFont="1" applyFill="1" applyBorder="1"/>
    <x:xf numFmtId="0" fontId="12" fillId="5" borderId="1" xfId="0" applyNumberFormat="1" applyFont="1" applyFill="1" applyBorder="1"/>
    <x:xf numFmtId="0" fontId="11" fillId="6" borderId="1" xfId="0" applyNumberFormat="1" applyFont="1" applyFill="1" applyBorder="1"/>
    <x:xf numFmtId="0" fontId="12" fillId="6" borderId="1" xfId="0" applyNumberFormat="1" applyFont="1" applyFill="1" applyBorder="1"/>
    <x:xf numFmtId="0" fontId="11" fillId="7" borderId="1" xfId="0" applyNumberFormat="1" applyFont="1" applyFill="1" applyBorder="1"/>
    <x:xf numFmtId="0" fontId="12" fillId="7" borderId="1" xfId="0" applyNumberFormat="1" applyFont="1" applyFill="1" applyBorder="1"/>
    <x:xf numFmtId="0" fontId="11" fillId="8" borderId="1" xfId="0" applyNumberFormat="1" applyFont="1" applyFill="1" applyBorder="1"/>
    <x:xf numFmtId="0" fontId="12" fillId="9" borderId="1" xfId="0" applyNumberFormat="1" applyFont="1" applyFill="1" applyBorder="1" applyAlignment="1">
      <x:alignment vertical="top" wrapText="1"/>
    </x:xf>
    <x:xf numFmtId="0" fontId="11" fillId="2" borderId="0" xfId="0" applyNumberFormat="1" applyFont="1" applyFill="1" applyBorder="1"/>
    <x:xf numFmtId="200" fontId="12" fillId="4" borderId="0" xfId="0" applyNumberFormat="1" applyFont="1" applyFill="1" applyBorder="1"/>
    <x:xf numFmtId="200" fontId="12" fillId="5" borderId="0" xfId="0" applyNumberFormat="1" applyFont="1" applyFill="1" applyBorder="1"/>
    <x:xf numFmtId="200" fontId="12" fillId="6" borderId="0" xfId="0" applyNumberFormat="1" applyFont="1" applyFill="1" applyBorder="1"/>
    <x:xf numFmtId="0" fontId="11" fillId="2" borderId="1" xfId="0" applyNumberFormat="1" applyFont="1" applyFill="1" applyBorder="1"/>
    <x:xf numFmtId="200" fontId="12" fillId="4" borderId="1" xfId="0" applyNumberFormat="1" applyFont="1" applyFill="1" applyBorder="1"/>
    <x:xf numFmtId="200" fontId="12" fillId="5" borderId="1" xfId="0" applyNumberFormat="1" applyFont="1" applyFill="1" applyBorder="1"/>
    <x:xf numFmtId="200" fontId="12" fillId="6" borderId="1" xfId="0" applyNumberFormat="1" applyFont="1" applyFill="1" applyBorder="1"/>
    <x:xf numFmtId="0" fontId="11" fillId="2" borderId="0" xfId="0" applyNumberFormat="1" applyFont="1" applyFill="1" applyBorder="1" applyAlignment="1">
      <x:alignment horizontal="center" wrapText="1"/>
    </x:xf>
    <x:xf numFmtId="0" fontId="12" fillId="5" borderId="0" xfId="0" applyNumberFormat="1" applyFont="1" applyFill="1" applyBorder="1" applyAlignment="1">
      <x:alignment wrapText="1"/>
    </x:xf>
    <x:xf numFmtId="0" fontId="12" fillId="4" borderId="0" xfId="0" applyNumberFormat="1" applyFont="1" applyFill="1" applyBorder="1" applyAlignment="1">
      <x:alignment wrapText="1"/>
    </x:xf>
    <x:xf numFmtId="200" fontId="12" fillId="6" borderId="0" xfId="0" applyNumberFormat="1" applyFont="1" applyFill="1" applyBorder="1" applyAlignment="1">
      <x:alignment wrapText="1"/>
    </x:xf>
    <x:xf numFmtId="200" fontId="12" fillId="5" borderId="0" xfId="0" applyNumberFormat="1" applyFont="1" applyFill="1" applyBorder="1" applyAlignment="1">
      <x:alignment wrapText="1"/>
    </x:xf>
    <x:xf numFmtId="201" fontId="12" fillId="4" borderId="0" xfId="0" applyNumberFormat="1" applyFont="1" applyFill="1" applyBorder="1" applyAlignment="1">
      <x:alignment wrapText="1"/>
    </x:xf>
    <x:xf numFmtId="0" fontId="11" fillId="2" borderId="1" xfId="0" applyNumberFormat="1" applyFont="1" applyFill="1" applyBorder="1" applyAlignment="1">
      <x:alignment horizontal="center" wrapText="1"/>
    </x:xf>
    <x:xf numFmtId="0" fontId="12" fillId="5" borderId="1" xfId="0" applyNumberFormat="1" applyFont="1" applyFill="1" applyBorder="1" applyAlignment="1">
      <x:alignment wrapText="1"/>
    </x:xf>
    <x:xf numFmtId="0" fontId="12" fillId="4" borderId="1" xfId="0" applyNumberFormat="1" applyFont="1" applyFill="1" applyBorder="1" applyAlignment="1">
      <x:alignment wrapText="1"/>
    </x:xf>
    <x:xf numFmtId="200" fontId="12" fillId="6" borderId="1" xfId="0" applyNumberFormat="1" applyFont="1" applyFill="1" applyBorder="1" applyAlignment="1">
      <x:alignment wrapText="1"/>
    </x:xf>
    <x:xf numFmtId="200" fontId="12" fillId="5" borderId="1" xfId="0" applyNumberFormat="1" applyFont="1" applyFill="1" applyBorder="1" applyAlignment="1">
      <x:alignment wrapText="1"/>
    </x:xf>
    <x:xf numFmtId="201" fontId="12" fillId="4" borderId="1" xfId="0" applyNumberFormat="1" applyFont="1" applyFill="1" applyBorder="1" applyAlignment="1">
      <x:alignment wrapText="1"/>
    </x:xf>
    <x:xf numFmtId="202" fontId="11" fillId="8" borderId="0" xfId="0" applyNumberFormat="1" applyFont="1" applyFill="1" applyBorder="1" applyAlignment="1">
      <x:alignment horizontal="center"/>
    </x:xf>
    <x:xf numFmtId="202" fontId="11" fillId="8" borderId="1" xfId="0" applyNumberFormat="1" applyFont="1" applyFill="1" applyBorder="1" applyAlignment="1">
      <x:alignment horizontal="center"/>
    </x:xf>
    <x:xf numFmtId="0" fontId="11" fillId="2" borderId="0" xfId="0" applyNumberFormat="1" applyFont="1" applyFill="1" applyBorder="1" applyAlignment="1">
      <x:alignment wrapText="1"/>
    </x:xf>
    <x:xf numFmtId="0" fontId="11" fillId="2" borderId="1" xfId="0" applyNumberFormat="1" applyFont="1" applyFill="1" applyBorder="1" applyAlignment="1">
      <x:alignment wrapText="1"/>
    </x:xf>
    <x:xf numFmtId="201" fontId="11" fillId="5" borderId="0" xfId="0" applyNumberFormat="1" applyFont="1" applyFill="1" applyBorder="1"/>
    <x:xf numFmtId="200" fontId="11" fillId="5" borderId="0" xfId="0" applyNumberFormat="1" applyFont="1" applyFill="1" applyBorder="1"/>
    <x:xf numFmtId="0" fontId="11" fillId="5" borderId="0" xfId="0" applyNumberFormat="1" applyFont="1" applyFill="1" applyBorder="1" applyAlignment="1">
      <x:alignment horizontal="center" vertical="center"/>
    </x:xf>
    <x:xf numFmtId="203" fontId="12" fillId="0" borderId="0" xfId="0" applyNumberFormat="1" applyFont="1" applyFill="1" applyBorder="1"/>
    <x:xf numFmtId="201" fontId="11" fillId="5" borderId="1" xfId="0" applyNumberFormat="1" applyFont="1" applyFill="1" applyBorder="1"/>
    <x:xf numFmtId="200" fontId="11" fillId="5" borderId="1" xfId="0" applyNumberFormat="1" applyFont="1" applyFill="1" applyBorder="1"/>
    <x:xf numFmtId="0" fontId="11" fillId="5" borderId="1" xfId="0" applyNumberFormat="1" applyFont="1" applyFill="1" applyBorder="1" applyAlignment="1">
      <x:alignment horizontal="center" vertical="center"/>
    </x:xf>
    <x:xf numFmtId="203" fontId="12" fillId="0" borderId="1" xfId="0" applyNumberFormat="1" applyFont="1" applyFill="1" applyBorder="1"/>
    <x:xf numFmtId="0" fontId="13" fillId="2" borderId="0" xfId="0" applyNumberFormat="1" applyFont="1" applyFill="1" applyBorder="1" applyAlignment="1">
      <x:alignment horizontal="center" vertical="center"/>
    </x:xf>
    <x:xf numFmtId="0" fontId="13" fillId="2" borderId="1" xfId="0" applyNumberFormat="1" applyFont="1" applyFill="1" applyBorder="1" applyAlignment="1">
      <x:alignment horizontal="center" vertical="center"/>
    </x:xf>
    <x:xf numFmtId="0" fontId="13" fillId="2" borderId="0" xfId="0" applyNumberFormat="1" applyFont="1" applyFill="1" applyBorder="1"/>
    <x:xf numFmtId="0" fontId="13" fillId="2" borderId="1" xfId="0" applyNumberFormat="1" applyFont="1" applyFill="1" applyBorder="1"/>
    <x:xf numFmtId="0" fontId="14" fillId="2" borderId="0" xfId="0" applyNumberFormat="1" applyFont="1" applyFill="1" applyBorder="1" applyAlignment="1">
      <x:alignment horizontal="center"/>
    </x:xf>
    <x:xf numFmtId="0" fontId="14" fillId="2" borderId="1" xfId="0" applyNumberFormat="1" applyFont="1" applyFill="1" applyBorder="1" applyAlignment="1">
      <x:alignment horizontal="center"/>
    </x:xf>
  </x:cellXfs>
  <x:cellStyles count="1">
    <x:cellStyle name="Normal" xfId="0"/>
  </x:cellStyles>
  <x:dxfs count="18">
    <x:dxf>
      <x:font>
        <x:b/>
        <x:color rgb="FF8B0000"/>
      </x:font>
      <x:fill>
        <x:patternFill patternType="solid">
          <x:bgColor rgb="FFF4CCCC"/>
        </x:patternFill>
      </x:fill>
    </x:dxf>
    <x:dxf>
      <x:font>
        <x:b/>
      </x:font>
      <x:fill>
        <x:patternFill patternType="solid">
          <x:bgColor rgb="FFFCE8B2"/>
        </x:patternFill>
      </x:fill>
    </x:dxf>
    <x:dxf>
      <x:font>
        <x:b/>
      </x:font>
      <x:fill>
        <x:patternFill patternType="solid">
          <x:bgColor rgb="FFDDEEDB"/>
        </x:patternFill>
      </x:fill>
    </x:dxf>
    <x:dxf>
      <x:font>
        <x:b/>
        <x:color rgb="FF8B0000"/>
      </x:font>
      <x:fill>
        <x:patternFill patternType="solid">
          <x:bgColor rgb="FFFDE8E7"/>
        </x:patternFill>
      </x:fill>
    </x:dxf>
    <x:dxf>
      <x:fill>
        <x:patternFill patternType="solid">
          <x:bgColor rgb="FFF4CCCC"/>
        </x:patternFill>
      </x:fill>
    </x:dxf>
    <x:dxf>
      <x:font>
        <x:b/>
      </x:font>
      <x:fill>
        <x:patternFill patternType="solid">
          <x:bgColor rgb="FFF4CCCC"/>
        </x:patternFill>
      </x:fill>
    </x:dxf>
    <x:dxf>
      <x:fill>
        <x:patternFill patternType="solid">
          <x:bgColor rgb="FFA9D0F5"/>
        </x:patternFill>
      </x:fill>
    </x:dxf>
    <x:dxf>
      <x:fill>
        <x:patternFill patternType="solid">
          <x:bgColor rgb="FFF4CCCC"/>
        </x:patternFill>
      </x:fill>
    </x:dxf>
    <x:dxf>
      <x:font>
        <x:b/>
        <x:color rgb="FF8B0000"/>
      </x:font>
      <x:fill>
        <x:patternFill patternType="solid">
          <x:bgColor rgb="FFFDE8E7"/>
        </x:patternFill>
      </x:fill>
    </x:dxf>
    <x:dxf>
      <x:font>
        <x:b/>
      </x:font>
      <x:fill>
        <x:patternFill patternType="solid">
          <x:bgColor rgb="FFDDEEDB"/>
        </x:patternFill>
      </x:fill>
    </x:dxf>
    <x:dxf>
      <x:font>
        <x:b/>
      </x:font>
      <x:fill>
        <x:patternFill patternType="solid">
          <x:bgColor rgb="FFF4CCCC"/>
        </x:patternFill>
      </x:fill>
    </x:dxf>
    <x:dxf>
      <x:font>
        <x:b/>
      </x:font>
      <x:fill>
        <x:patternFill patternType="solid">
          <x:bgColor rgb="FFFCE8B2"/>
        </x:patternFill>
      </x:fill>
    </x:dxf>
    <x:dxf>
      <x:font>
        <x:b/>
      </x:font>
      <x:fill>
        <x:patternFill patternType="solid">
          <x:bgColor rgb="FFF4CCCC"/>
        </x:patternFill>
      </x:fill>
    </x:dxf>
    <x:dxf>
      <x:font>
        <x:b/>
      </x:font>
      <x:fill>
        <x:patternFill patternType="solid">
          <x:bgColor rgb="FFF4CCCC"/>
        </x:patternFill>
      </x:fill>
    </x:dxf>
    <x:dxf>
      <x:fill>
        <x:patternFill patternType="solid">
          <x:bgColor rgb="FFFCE8B2"/>
        </x:patternFill>
      </x:fill>
    </x:dxf>
    <x:dxf>
      <x:fill>
        <x:patternFill patternType="solid">
          <x:bgColor rgb="FFF4CCCC"/>
        </x:patternFill>
      </x:fill>
    </x:dxf>
    <x:dxf>
      <x:fill>
        <x:patternFill patternType="solid">
          <x:bgColor rgb="FFFCE8B2"/>
        </x:patternFill>
      </x:fill>
    </x:dxf>
    <x:dxf>
      <x:fill>
        <x:patternFill patternType="solid">
          <x:bgColor rgb="FFDDEED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22abf5c78f43f8" /><Relationship Type="http://schemas.openxmlformats.org/officeDocument/2006/relationships/theme" Target="/xl/theme/theme1.xml" Id="R074c20dfc38b4c6e" /><Relationship Type="http://schemas.openxmlformats.org/officeDocument/2006/relationships/sharedStrings" Target="/xl/sharedStrings.xml" Id="Rb4861925fec94b77" /><Relationship Type="http://schemas.openxmlformats.org/officeDocument/2006/relationships/worksheet" Target="/xl/worksheets/sheet1.xml" Id="Rc1c8ca401a0d464a" /><Relationship Type="http://schemas.openxmlformats.org/officeDocument/2006/relationships/worksheet" Target="/xl/worksheets/sheet2.xml" Id="R6eabe9a5a5f445e0" /><Relationship Type="http://schemas.openxmlformats.org/officeDocument/2006/relationships/worksheet" Target="/xl/worksheets/sheet3.xml" Id="R62efb3ee27534482" /><Relationship Type="http://schemas.openxmlformats.org/officeDocument/2006/relationships/worksheet" Target="/xl/worksheets/sheet4.xml" Id="R5ba2819fbf0e4e05" /><Relationship Type="http://schemas.openxmlformats.org/officeDocument/2006/relationships/worksheet" Target="/xl/worksheets/sheet5.xml" Id="R63bc873a439d4436" /><Relationship Type="http://schemas.openxmlformats.org/officeDocument/2006/relationships/worksheet" Target="/xl/worksheets/sheet6.xml" Id="R4012b5125745404f" /><Relationship Type="http://schemas.openxmlformats.org/officeDocument/2006/relationships/worksheet" Target="/xl/worksheets/sheet7.xml" Id="R4ac7752b07924a16" /><Relationship Type="http://schemas.openxmlformats.org/officeDocument/2006/relationships/worksheet" Target="/xl/worksheets/sheet8.xml" Id="R671367f65b764f80" /></Relationships>
</file>

<file path=xl/drawings/_rels/drawing1.xml.rels>&#65279;<?xml version="1.0" encoding="utf-8"?><Relationships xmlns="http://schemas.openxmlformats.org/package/2006/relationships"><Relationship Type="http://schemas.openxmlformats.org/officeDocument/2006/relationships/chart" Target="/xl/drawings/charts/chart1.xml" Id="Rf32a2b764cab43c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Task Status</a:t>
            </a:r>
          </a:p>
        </c:rich>
      </c:tx>
    </c:title>
    <c:plotArea>
      <c:pieChart>
        <c:ser>
          <c:idx val="0"/>
          <c:order val="0"/>
          <c:tx>
            <c:v>Count</c:v>
          </c:tx>
          <c:cat>
            <c:strRef>
              <c:f>'DASHBOARD'!$H$12:$H$16</c:f>
              <c:strCache>
                <c:ptCount val="0"/>
              </c:strCache>
            </c:strRef>
          </c:cat>
          <c:val>
            <c:numRef>
              <c:f>'DASHBOARD'!$I$12:$I$16</c:f>
              <c:numCache>
                <c:formatCode>General</c:formatCode>
                <c:ptCount val="0"/>
              </c:numCache>
            </c:numRef>
          </c:val>
        </c:ser>
      </c:pieChart>
    </c:plotArea>
    <c:legend>
      <c:legendPos val="r"/>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17</xdr:row>
      <xdr:rowOff>0</xdr:rowOff>
    </xdr:from>
    <xdr:to>
      <xdr:col>12</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32a2b764cab43cb"/>
        </a:graphicData>
      </a:graphic>
    </xdr:graphicFrame>
    <xdr:clientData/>
  </xdr:twoCellAnchor>
</xdr:wsDr>
</file>

<file path=xl/tables/table1.xml><?xml version="1.0" encoding="utf-8"?>
<x:table xmlns:x="http://schemas.openxmlformats.org/spreadsheetml/2006/main" id="1" name="ProjectPlanTable" displayName="ProjectPlanTable" ref="A3:O53" headerRowCount="1" totalsRowCount="0" totalsRowShown="0">
  <x:tableColumns count="15">
    <x:tableColumn id="1" name="Task ID"/>
    <x:tableColumn id="2" name="Phase"/>
    <x:tableColumn id="3" name="Task / Deliverable"/>
    <x:tableColumn id="4" name="Owner"/>
    <x:tableColumn id="5" name="Status"/>
    <x:tableColumn id="6" name="Priority"/>
    <x:tableColumn id="7" name="Predecessor ID"/>
    <x:tableColumn id="8" name="Duration (workdays)"/>
    <x:tableColumn id="9" name="Manual Start (optional)"/>
    <x:tableColumn id="10" name="Auto Start"/>
    <x:tableColumn id="11" name="Auto End"/>
    <x:tableColumn id="12" name="% Complete"/>
    <x:tableColumn id="13" name="Due Status"/>
    <x:tableColumn id="14" name="Schedule Flag"/>
    <x:tableColumn id="1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857e2decebb40ee" /></Relationships>
</file>

<file path=xl/worksheets/_rels/sheet7.xml.rels>&#65279;<?xml version="1.0" encoding="utf-8"?><Relationships xmlns="http://schemas.openxmlformats.org/package/2006/relationships"><Relationship Type="http://schemas.openxmlformats.org/officeDocument/2006/relationships/drawing" Target="/xl/drawings/drawing1.xml" Id="R929c35fb31864ff2" /></Relationships>
</file>

<file path=xl/worksheets/sheet1.xml><?xml version="1.0" encoding="utf-8"?>
<x:worksheet xmlns:x="http://schemas.openxmlformats.org/spreadsheetml/2006/main">
  <x:sheetFormatPr defaultRowHeight="15"/>
  <x:cols>
    <x:col min="1" max="1" width="8" hidden="0" customWidth="1"/>
    <x:col min="2" max="2" width="20" hidden="0" customWidth="1"/>
    <x:col min="3" max="3" width="70" hidden="0" customWidth="1"/>
    <x:col min="5" max="5" width="18" hidden="0" customWidth="1"/>
    <x:col min="6" max="6" width="18" hidden="0" customWidth="1"/>
    <x:col min="7" max="7" width="18" hidden="0" customWidth="1"/>
    <x:col min="8" max="8" width="18" hidden="0" customWidth="1"/>
  </x:cols>
  <x:sheetData>
    <x:row r="1" ht="30" customHeight="1">
      <x:c r="A1" s="167" t="str">
        <x:v>Project Management Control Center</x:v>
      </x:c>
      <x:c r="B1" s="167"/>
      <x:c r="C1" s="167"/>
      <x:c r="D1" s="167"/>
      <x:c r="E1" s="167"/>
      <x:c r="F1" s="167"/>
      <x:c r="G1" s="167"/>
      <x:c r="H1" s="167"/>
      <x:c r="I1" s="106"/>
      <x:c r="J1" s="106"/>
      <x:c r="K1" s="106"/>
      <x:c r="L1" s="106"/>
      <x:c r="M1" s="106"/>
      <x:c r="N1" s="106"/>
      <x:c r="O1" s="106"/>
      <x:c r="P1" s="106"/>
      <x:c r="Q1" s="106"/>
      <x:c r="R1" s="106"/>
      <x:c r="S1" s="106"/>
      <x:c r="T1" s="106"/>
      <x:c r="U1" s="106"/>
      <x:c r="V1" s="106"/>
      <x:c r="W1" s="106"/>
      <x:c r="X1" s="106"/>
      <x:c r="Y1" s="106"/>
      <x:c r="Z1" s="106"/>
      <x:c r="AA1" s="106"/>
      <x:c r="AB1" s="106"/>
      <x:c r="AC1" s="106"/>
      <x:c r="AD1" s="106"/>
      <x:c r="AE1" s="106"/>
      <x:c r="AF1" s="106"/>
      <x:c r="AG1" s="106"/>
      <x:c r="AH1" s="106"/>
      <x:c r="AI1" s="106"/>
      <x:c r="AJ1" s="106"/>
      <x:c r="AK1" s="106"/>
      <x:c r="AL1" s="106"/>
      <x:c r="AM1" s="106"/>
      <x:c r="AN1" s="106"/>
      <x:c r="AO1" s="106"/>
      <x:c r="AP1" s="106"/>
      <x:c r="AQ1" s="106"/>
      <x:c r="AR1" s="106"/>
      <x:c r="AS1" s="106"/>
      <x:c r="AT1" s="106"/>
      <x:c r="AU1" s="106"/>
      <x:c r="AV1" s="106"/>
      <x:c r="AW1" s="106"/>
      <x:c r="AX1" s="106"/>
      <x:c r="AY1" s="106"/>
      <x:c r="AZ1" s="106"/>
      <x:c r="BA1" s="106"/>
    </x:row>
    <x:row r="2">
      <x:c r="A2" s="106"/>
      <x:c r="B2" s="106"/>
      <x:c r="C2" s="106"/>
      <x:c r="D2" s="106"/>
      <x:c r="E2" s="106"/>
      <x:c r="F2" s="106"/>
      <x:c r="G2" s="106"/>
      <x:c r="H2" s="106"/>
      <x:c r="I2" s="106"/>
      <x:c r="J2" s="106"/>
      <x:c r="K2" s="106"/>
      <x:c r="L2" s="106"/>
      <x:c r="M2" s="106"/>
      <x:c r="N2" s="106"/>
      <x:c r="O2" s="106"/>
      <x:c r="P2" s="106"/>
      <x:c r="Q2" s="106"/>
      <x:c r="R2" s="106"/>
      <x:c r="S2" s="106"/>
      <x:c r="T2" s="106"/>
      <x:c r="U2" s="106"/>
      <x:c r="V2" s="106"/>
      <x:c r="W2" s="106"/>
      <x:c r="X2" s="106"/>
      <x:c r="Y2" s="106"/>
      <x:c r="Z2" s="106"/>
      <x:c r="AA2" s="106"/>
      <x:c r="AB2" s="106"/>
      <x:c r="AC2" s="106"/>
      <x:c r="AD2" s="106"/>
      <x:c r="AE2" s="106"/>
      <x:c r="AF2" s="106"/>
      <x:c r="AG2" s="106"/>
      <x:c r="AH2" s="106"/>
      <x:c r="AI2" s="106"/>
      <x:c r="AJ2" s="106"/>
      <x:c r="AK2" s="106"/>
      <x:c r="AL2" s="106"/>
      <x:c r="AM2" s="106"/>
      <x:c r="AN2" s="106"/>
      <x:c r="AO2" s="106"/>
      <x:c r="AP2" s="106"/>
      <x:c r="AQ2" s="106"/>
      <x:c r="AR2" s="106"/>
      <x:c r="AS2" s="106"/>
      <x:c r="AT2" s="106"/>
      <x:c r="AU2" s="106"/>
      <x:c r="AV2" s="106"/>
      <x:c r="AW2" s="106"/>
      <x:c r="AX2" s="106"/>
      <x:c r="AY2" s="106"/>
      <x:c r="AZ2" s="106"/>
      <x:c r="BA2" s="106"/>
    </x:row>
    <x:row r="3">
      <x:c r="A3" s="107" t="str">
        <x:v>Built for minimum input → maximum useful output</x:v>
      </x:c>
      <x:c r="B3" s="107"/>
      <x:c r="C3" s="107"/>
      <x:c r="D3" s="107"/>
      <x:c r="E3" s="107"/>
      <x:c r="F3" s="107"/>
      <x:c r="G3" s="107"/>
      <x:c r="H3" s="107"/>
      <x:c r="I3" s="106"/>
      <x:c r="J3" s="106"/>
      <x:c r="K3" s="106"/>
      <x:c r="L3" s="106"/>
      <x:c r="M3" s="106"/>
      <x:c r="N3" s="106"/>
      <x:c r="O3" s="106"/>
      <x:c r="P3" s="106"/>
      <x:c r="Q3" s="106"/>
      <x:c r="R3" s="106"/>
      <x:c r="S3" s="106"/>
      <x:c r="T3" s="106"/>
      <x:c r="U3" s="106"/>
      <x:c r="V3" s="106"/>
      <x:c r="W3" s="106"/>
      <x:c r="X3" s="106"/>
      <x:c r="Y3" s="106"/>
      <x:c r="Z3" s="106"/>
      <x:c r="AA3" s="106"/>
      <x:c r="AB3" s="106"/>
      <x:c r="AC3" s="106"/>
      <x:c r="AD3" s="106"/>
      <x:c r="AE3" s="106"/>
      <x:c r="AF3" s="106"/>
      <x:c r="AG3" s="106"/>
      <x:c r="AH3" s="106"/>
      <x:c r="AI3" s="106"/>
      <x:c r="AJ3" s="106"/>
      <x:c r="AK3" s="106"/>
      <x:c r="AL3" s="106"/>
      <x:c r="AM3" s="106"/>
      <x:c r="AN3" s="106"/>
      <x:c r="AO3" s="106"/>
      <x:c r="AP3" s="106"/>
      <x:c r="AQ3" s="106"/>
      <x:c r="AR3" s="106"/>
      <x:c r="AS3" s="106"/>
      <x:c r="AT3" s="106"/>
      <x:c r="AU3" s="106"/>
      <x:c r="AV3" s="106"/>
      <x:c r="AW3" s="106"/>
      <x:c r="AX3" s="106"/>
      <x:c r="AY3" s="106"/>
      <x:c r="AZ3" s="106"/>
      <x:c r="BA3" s="106"/>
    </x:row>
    <x:row r="4">
      <x:c r="A4" s="106"/>
      <x:c r="B4" s="106"/>
      <x:c r="C4" s="106"/>
      <x:c r="D4" s="106"/>
      <x:c r="E4" s="106"/>
      <x:c r="F4" s="106"/>
      <x:c r="G4" s="106"/>
      <x:c r="H4" s="106"/>
      <x:c r="I4" s="106"/>
      <x:c r="J4" s="106"/>
      <x:c r="K4" s="106"/>
      <x:c r="L4" s="106"/>
      <x:c r="M4" s="106"/>
      <x:c r="N4" s="106"/>
      <x:c r="O4" s="106"/>
      <x:c r="P4" s="106"/>
      <x:c r="Q4" s="106"/>
      <x:c r="R4" s="106"/>
      <x:c r="S4" s="106"/>
      <x:c r="T4" s="106"/>
      <x:c r="U4" s="106"/>
      <x:c r="V4" s="106"/>
      <x:c r="W4" s="106"/>
      <x:c r="X4" s="106"/>
      <x:c r="Y4" s="106"/>
      <x:c r="Z4" s="106"/>
      <x:c r="AA4" s="106"/>
      <x:c r="AB4" s="106"/>
      <x:c r="AC4" s="106"/>
      <x:c r="AD4" s="106"/>
      <x:c r="AE4" s="106"/>
      <x:c r="AF4" s="106"/>
      <x:c r="AG4" s="106"/>
      <x:c r="AH4" s="106"/>
      <x:c r="AI4" s="106"/>
      <x:c r="AJ4" s="106"/>
      <x:c r="AK4" s="106"/>
      <x:c r="AL4" s="106"/>
      <x:c r="AM4" s="106"/>
      <x:c r="AN4" s="106"/>
      <x:c r="AO4" s="106"/>
      <x:c r="AP4" s="106"/>
      <x:c r="AQ4" s="106"/>
      <x:c r="AR4" s="106"/>
      <x:c r="AS4" s="106"/>
      <x:c r="AT4" s="106"/>
      <x:c r="AU4" s="106"/>
      <x:c r="AV4" s="106"/>
      <x:c r="AW4" s="106"/>
      <x:c r="AX4" s="106"/>
      <x:c r="AY4" s="106"/>
      <x:c r="AZ4" s="106"/>
      <x:c r="BA4" s="106"/>
    </x:row>
    <x:row r="5">
      <x:c r="A5" s="108" t="str">
        <x:v>STEP</x:v>
      </x:c>
      <x:c r="B5" s="108" t="str">
        <x:v>SHEET</x:v>
      </x:c>
      <x:c r="C5" s="108" t="str">
        <x:v>WHAT TO DO</x:v>
      </x:c>
      <x:c r="D5" s="106"/>
      <x:c r="E5" s="108" t="str">
        <x:v>Color / Label Key</x:v>
      </x:c>
      <x:c r="F5" s="108"/>
      <x:c r="G5" s="108"/>
      <x:c r="H5" s="108"/>
      <x:c r="I5" s="106"/>
      <x:c r="J5" s="106"/>
      <x:c r="K5" s="106"/>
      <x:c r="L5" s="106"/>
      <x:c r="M5" s="106"/>
      <x:c r="N5" s="106"/>
      <x:c r="O5" s="106"/>
      <x:c r="P5" s="106"/>
      <x:c r="Q5" s="106"/>
      <x:c r="R5" s="106"/>
      <x:c r="S5" s="106"/>
      <x:c r="T5" s="106"/>
      <x:c r="U5" s="106"/>
      <x:c r="V5" s="106"/>
      <x:c r="W5" s="106"/>
      <x:c r="X5" s="106"/>
      <x:c r="Y5" s="106"/>
      <x:c r="Z5" s="106"/>
      <x:c r="AA5" s="106"/>
      <x:c r="AB5" s="106"/>
      <x:c r="AC5" s="106"/>
      <x:c r="AD5" s="106"/>
      <x:c r="AE5" s="106"/>
      <x:c r="AF5" s="106"/>
      <x:c r="AG5" s="106"/>
      <x:c r="AH5" s="106"/>
      <x:c r="AI5" s="106"/>
      <x:c r="AJ5" s="106"/>
      <x:c r="AK5" s="106"/>
      <x:c r="AL5" s="106"/>
      <x:c r="AM5" s="106"/>
      <x:c r="AN5" s="106"/>
      <x:c r="AO5" s="106"/>
      <x:c r="AP5" s="106"/>
      <x:c r="AQ5" s="106"/>
      <x:c r="AR5" s="106"/>
      <x:c r="AS5" s="106"/>
      <x:c r="AT5" s="106"/>
      <x:c r="AU5" s="106"/>
      <x:c r="AV5" s="106"/>
      <x:c r="AW5" s="106"/>
      <x:c r="AX5" s="106"/>
      <x:c r="AY5" s="106"/>
      <x:c r="AZ5" s="106"/>
      <x:c r="BA5" s="106"/>
    </x:row>
    <x:row r="6">
      <x:c r="A6" s="109" t="str">
        <x:v>1</x:v>
      </x:c>
      <x:c r="B6" s="109" t="str">
        <x:v>SETUP</x:v>
      </x:c>
      <x:c r="C6" s="109" t="str">
        <x:v>Enter the project name, project start date, team members, and optional holidays. Yellow cells are inputs.</x:v>
      </x:c>
      <x:c r="D6" s="106"/>
      <x:c r="E6" s="110" t="str">
        <x:v>INPUT</x:v>
      </x:c>
      <x:c r="F6" s="111" t="str">
        <x:v>You type here</x:v>
      </x:c>
      <x:c r="G6" s="106"/>
      <x:c r="H6" s="106"/>
      <x:c r="I6" s="106"/>
      <x:c r="J6" s="106"/>
      <x:c r="K6" s="106"/>
      <x:c r="L6" s="106"/>
      <x:c r="M6" s="106"/>
      <x:c r="N6" s="106"/>
      <x:c r="O6" s="106"/>
      <x:c r="P6" s="106"/>
      <x:c r="Q6" s="106"/>
      <x:c r="R6" s="106"/>
      <x:c r="S6" s="106"/>
      <x:c r="T6" s="106"/>
      <x:c r="U6" s="106"/>
      <x:c r="V6" s="106"/>
      <x:c r="W6" s="106"/>
      <x:c r="X6" s="106"/>
      <x:c r="Y6" s="106"/>
      <x:c r="Z6" s="106"/>
      <x:c r="AA6" s="106"/>
      <x:c r="AB6" s="106"/>
      <x:c r="AC6" s="106"/>
      <x:c r="AD6" s="106"/>
      <x:c r="AE6" s="106"/>
      <x:c r="AF6" s="106"/>
      <x:c r="AG6" s="106"/>
      <x:c r="AH6" s="106"/>
      <x:c r="AI6" s="106"/>
      <x:c r="AJ6" s="106"/>
      <x:c r="AK6" s="106"/>
      <x:c r="AL6" s="106"/>
      <x:c r="AM6" s="106"/>
      <x:c r="AN6" s="106"/>
      <x:c r="AO6" s="106"/>
      <x:c r="AP6" s="106"/>
      <x:c r="AQ6" s="106"/>
      <x:c r="AR6" s="106"/>
      <x:c r="AS6" s="106"/>
      <x:c r="AT6" s="106"/>
      <x:c r="AU6" s="106"/>
      <x:c r="AV6" s="106"/>
      <x:c r="AW6" s="106"/>
      <x:c r="AX6" s="106"/>
      <x:c r="AY6" s="106"/>
      <x:c r="AZ6" s="106"/>
      <x:c r="BA6" s="106"/>
    </x:row>
    <x:row r="7">
      <x:c r="A7" s="109" t="str">
        <x:v>2</x:v>
      </x:c>
      <x:c r="B7" s="109" t="str">
        <x:v>PROJECT PLAN</x:v>
      </x:c>
      <x:c r="C7" s="109" t="str">
        <x:v>Enter only the task information you know. Auto Start, Auto End, Due Status, and schedule flags calculate for you.</x:v>
      </x:c>
      <x:c r="D7" s="106"/>
      <x:c r="E7" s="112" t="str">
        <x:v>AUTO</x:v>
      </x:c>
      <x:c r="F7" s="113" t="str">
        <x:v>Formula / calculated output</x:v>
      </x:c>
      <x:c r="G7" s="106"/>
      <x:c r="H7" s="106"/>
      <x:c r="I7" s="106"/>
      <x:c r="J7" s="106"/>
      <x:c r="K7" s="106"/>
      <x:c r="L7" s="106"/>
      <x:c r="M7" s="106"/>
      <x:c r="N7" s="106"/>
      <x:c r="O7" s="106"/>
      <x:c r="P7" s="106"/>
      <x:c r="Q7" s="106"/>
      <x:c r="R7" s="106"/>
      <x:c r="S7" s="106"/>
      <x:c r="T7" s="106"/>
      <x:c r="U7" s="106"/>
      <x:c r="V7" s="106"/>
      <x:c r="W7" s="106"/>
      <x:c r="X7" s="106"/>
      <x:c r="Y7" s="106"/>
      <x:c r="Z7" s="106"/>
      <x:c r="AA7" s="106"/>
      <x:c r="AB7" s="106"/>
      <x:c r="AC7" s="106"/>
      <x:c r="AD7" s="106"/>
      <x:c r="AE7" s="106"/>
      <x:c r="AF7" s="106"/>
      <x:c r="AG7" s="106"/>
      <x:c r="AH7" s="106"/>
      <x:c r="AI7" s="106"/>
      <x:c r="AJ7" s="106"/>
      <x:c r="AK7" s="106"/>
      <x:c r="AL7" s="106"/>
      <x:c r="AM7" s="106"/>
      <x:c r="AN7" s="106"/>
      <x:c r="AO7" s="106"/>
      <x:c r="AP7" s="106"/>
      <x:c r="AQ7" s="106"/>
      <x:c r="AR7" s="106"/>
      <x:c r="AS7" s="106"/>
      <x:c r="AT7" s="106"/>
      <x:c r="AU7" s="106"/>
      <x:c r="AV7" s="106"/>
      <x:c r="AW7" s="106"/>
      <x:c r="AX7" s="106"/>
      <x:c r="AY7" s="106"/>
      <x:c r="AZ7" s="106"/>
      <x:c r="BA7" s="106"/>
    </x:row>
    <x:row r="8">
      <x:c r="A8" s="109" t="str">
        <x:v>3</x:v>
      </x:c>
      <x:c r="B8" s="109" t="str">
        <x:v>GANTT</x:v>
      </x:c>
      <x:c r="C8" s="109" t="str">
        <x:v>No manual coloring. The timeline is generated from the dates in PROJECT PLAN.</x:v>
      </x:c>
      <x:c r="D8" s="106"/>
      <x:c r="E8" s="114" t="str">
        <x:v>OPTIONAL</x:v>
      </x:c>
      <x:c r="F8" s="115" t="str">
        <x:v>Helpful, but not required</x:v>
      </x:c>
      <x:c r="G8" s="106"/>
      <x:c r="H8" s="106"/>
      <x:c r="I8" s="106"/>
      <x:c r="J8" s="106"/>
      <x:c r="K8" s="106"/>
      <x:c r="L8" s="106"/>
      <x:c r="M8" s="106"/>
      <x:c r="N8" s="106"/>
      <x:c r="O8" s="106"/>
      <x:c r="P8" s="106"/>
      <x:c r="Q8" s="106"/>
      <x:c r="R8" s="106"/>
      <x:c r="S8" s="106"/>
      <x:c r="T8" s="106"/>
      <x:c r="U8" s="106"/>
      <x:c r="V8" s="106"/>
      <x:c r="W8" s="106"/>
      <x:c r="X8" s="106"/>
      <x:c r="Y8" s="106"/>
      <x:c r="Z8" s="106"/>
      <x:c r="AA8" s="106"/>
      <x:c r="AB8" s="106"/>
      <x:c r="AC8" s="106"/>
      <x:c r="AD8" s="106"/>
      <x:c r="AE8" s="106"/>
      <x:c r="AF8" s="106"/>
      <x:c r="AG8" s="106"/>
      <x:c r="AH8" s="106"/>
      <x:c r="AI8" s="106"/>
      <x:c r="AJ8" s="106"/>
      <x:c r="AK8" s="106"/>
      <x:c r="AL8" s="106"/>
      <x:c r="AM8" s="106"/>
      <x:c r="AN8" s="106"/>
      <x:c r="AO8" s="106"/>
      <x:c r="AP8" s="106"/>
      <x:c r="AQ8" s="106"/>
      <x:c r="AR8" s="106"/>
      <x:c r="AS8" s="106"/>
      <x:c r="AT8" s="106"/>
      <x:c r="AU8" s="106"/>
      <x:c r="AV8" s="106"/>
      <x:c r="AW8" s="106"/>
      <x:c r="AX8" s="106"/>
      <x:c r="AY8" s="106"/>
      <x:c r="AZ8" s="106"/>
      <x:c r="BA8" s="106"/>
    </x:row>
    <x:row r="9">
      <x:c r="A9" s="109" t="str">
        <x:v>4</x:v>
      </x:c>
      <x:c r="B9" s="109" t="str">
        <x:v>RACI</x:v>
      </x:c>
      <x:c r="C9" s="109" t="str">
        <x:v>Assign R / A / C / I by deliverable. The workbook flags missing Responsible/Accountable assignments and multiple Accountables.</x:v>
      </x:c>
      <x:c r="D9" s="106"/>
      <x:c r="E9" s="116" t="str">
        <x:v>ACTION NEEDED</x:v>
      </x:c>
      <x:c r="F9" s="117" t="str">
        <x:v>Review or fix something</x:v>
      </x:c>
      <x:c r="G9" s="106"/>
      <x:c r="H9" s="106"/>
      <x:c r="I9" s="106"/>
      <x:c r="J9" s="106"/>
      <x:c r="K9" s="106"/>
      <x:c r="L9" s="106"/>
      <x:c r="M9" s="106"/>
      <x:c r="N9" s="106"/>
      <x:c r="O9" s="106"/>
      <x:c r="P9" s="106"/>
      <x:c r="Q9" s="106"/>
      <x:c r="R9" s="106"/>
      <x:c r="S9" s="106"/>
      <x:c r="T9" s="106"/>
      <x:c r="U9" s="106"/>
      <x:c r="V9" s="106"/>
      <x:c r="W9" s="106"/>
      <x:c r="X9" s="106"/>
      <x:c r="Y9" s="106"/>
      <x:c r="Z9" s="106"/>
      <x:c r="AA9" s="106"/>
      <x:c r="AB9" s="106"/>
      <x:c r="AC9" s="106"/>
      <x:c r="AD9" s="106"/>
      <x:c r="AE9" s="106"/>
      <x:c r="AF9" s="106"/>
      <x:c r="AG9" s="106"/>
      <x:c r="AH9" s="106"/>
      <x:c r="AI9" s="106"/>
      <x:c r="AJ9" s="106"/>
      <x:c r="AK9" s="106"/>
      <x:c r="AL9" s="106"/>
      <x:c r="AM9" s="106"/>
      <x:c r="AN9" s="106"/>
      <x:c r="AO9" s="106"/>
      <x:c r="AP9" s="106"/>
      <x:c r="AQ9" s="106"/>
      <x:c r="AR9" s="106"/>
      <x:c r="AS9" s="106"/>
      <x:c r="AT9" s="106"/>
      <x:c r="AU9" s="106"/>
      <x:c r="AV9" s="106"/>
      <x:c r="AW9" s="106"/>
      <x:c r="AX9" s="106"/>
      <x:c r="AY9" s="106"/>
      <x:c r="AZ9" s="106"/>
      <x:c r="BA9" s="106"/>
    </x:row>
    <x:row r="10">
      <x:c r="A10" s="109" t="str">
        <x:v>5</x:v>
      </x:c>
      <x:c r="B10" s="109" t="str">
        <x:v>RISKS &amp; ISSUES</x:v>
      </x:c>
      <x:c r="C10" s="109" t="str">
        <x:v>Enter risk/issue details. Risk score, severity, overdue status, and summary counts calculate automatically.</x:v>
      </x:c>
      <x:c r="D10" s="106"/>
      <x:c r="E10" s="106"/>
      <x:c r="F10" s="106"/>
      <x:c r="G10" s="106"/>
      <x:c r="H10" s="106"/>
      <x:c r="I10" s="106"/>
      <x:c r="J10" s="106"/>
      <x:c r="K10" s="106"/>
      <x:c r="L10" s="106"/>
      <x:c r="M10" s="106"/>
      <x:c r="N10" s="106"/>
      <x:c r="O10" s="106"/>
      <x:c r="P10" s="106"/>
      <x:c r="Q10" s="106"/>
      <x:c r="R10" s="106"/>
      <x:c r="S10" s="106"/>
      <x:c r="T10" s="106"/>
      <x:c r="U10" s="106"/>
      <x:c r="V10" s="106"/>
      <x:c r="W10" s="106"/>
      <x:c r="X10" s="106"/>
      <x:c r="Y10" s="106"/>
      <x:c r="Z10" s="106"/>
      <x:c r="AA10" s="106"/>
      <x:c r="AB10" s="106"/>
      <x:c r="AC10" s="106"/>
      <x:c r="AD10" s="106"/>
      <x:c r="AE10" s="106"/>
      <x:c r="AF10" s="106"/>
      <x:c r="AG10" s="106"/>
      <x:c r="AH10" s="106"/>
      <x:c r="AI10" s="106"/>
      <x:c r="AJ10" s="106"/>
      <x:c r="AK10" s="106"/>
      <x:c r="AL10" s="106"/>
      <x:c r="AM10" s="106"/>
      <x:c r="AN10" s="106"/>
      <x:c r="AO10" s="106"/>
      <x:c r="AP10" s="106"/>
      <x:c r="AQ10" s="106"/>
      <x:c r="AR10" s="106"/>
      <x:c r="AS10" s="106"/>
      <x:c r="AT10" s="106"/>
      <x:c r="AU10" s="106"/>
      <x:c r="AV10" s="106"/>
      <x:c r="AW10" s="106"/>
      <x:c r="AX10" s="106"/>
      <x:c r="AY10" s="106"/>
      <x:c r="AZ10" s="106"/>
      <x:c r="BA10" s="106"/>
    </x:row>
    <x:row r="11">
      <x:c r="A11" s="109" t="str">
        <x:v>6</x:v>
      </x:c>
      <x:c r="B11" s="109" t="str">
        <x:v>DASHBOARD</x:v>
      </x:c>
      <x:c r="C11" s="109" t="str">
        <x:v>Use the dashboard for project health, progress, upcoming deadlines, and risk exposure.</x:v>
      </x:c>
      <x:c r="D11" s="106"/>
      <x:c r="E11" s="118" t="str">
        <x:v>Design standard</x:v>
      </x:c>
      <x:c r="F11" s="118"/>
      <x:c r="G11" s="118"/>
      <x:c r="H11" s="118"/>
      <x:c r="I11" s="106"/>
      <x:c r="J11" s="106"/>
      <x:c r="K11" s="106"/>
      <x:c r="L11" s="106"/>
      <x:c r="M11" s="106"/>
      <x:c r="N11" s="106"/>
      <x:c r="O11" s="106"/>
      <x:c r="P11" s="106"/>
      <x:c r="Q11" s="106"/>
      <x:c r="R11" s="106"/>
      <x:c r="S11" s="106"/>
      <x:c r="T11" s="106"/>
      <x:c r="U11" s="106"/>
      <x:c r="V11" s="106"/>
      <x:c r="W11" s="106"/>
      <x:c r="X11" s="106"/>
      <x:c r="Y11" s="106"/>
      <x:c r="Z11" s="106"/>
      <x:c r="AA11" s="106"/>
      <x:c r="AB11" s="106"/>
      <x:c r="AC11" s="106"/>
      <x:c r="AD11" s="106"/>
      <x:c r="AE11" s="106"/>
      <x:c r="AF11" s="106"/>
      <x:c r="AG11" s="106"/>
      <x:c r="AH11" s="106"/>
      <x:c r="AI11" s="106"/>
      <x:c r="AJ11" s="106"/>
      <x:c r="AK11" s="106"/>
      <x:c r="AL11" s="106"/>
      <x:c r="AM11" s="106"/>
      <x:c r="AN11" s="106"/>
      <x:c r="AO11" s="106"/>
      <x:c r="AP11" s="106"/>
      <x:c r="AQ11" s="106"/>
      <x:c r="AR11" s="106"/>
      <x:c r="AS11" s="106"/>
      <x:c r="AT11" s="106"/>
      <x:c r="AU11" s="106"/>
      <x:c r="AV11" s="106"/>
      <x:c r="AW11" s="106"/>
      <x:c r="AX11" s="106"/>
      <x:c r="AY11" s="106"/>
      <x:c r="AZ11" s="106"/>
      <x:c r="BA11" s="106"/>
    </x:row>
    <x:row r="12">
      <x:c r="A12" s="109" t="str">
        <x:v>7</x:v>
      </x:c>
      <x:c r="B12" s="109" t="str">
        <x:v>EXAMPLE</x:v>
      </x:c>
      <x:c r="C12" s="109" t="str">
        <x:v>A completed sample shows how the workbook behaves. Replace it with your own project rather than editing formulas.</x:v>
      </x:c>
      <x:c r="D12" s="106"/>
      <x:c r="E12" s="119" t="str">
        <x:v>Every editable area is labeled. Formulas are separated visually. Color never carries meaning by itself. Dropdowns are used where possible. The workbook is designed to require the fewest practical inputs while generating useful scheduling, responsibility, status, and risk outputs automatically.</x:v>
      </x:c>
      <x:c r="F12" s="119"/>
      <x:c r="G12" s="119"/>
      <x:c r="H12" s="119"/>
      <x:c r="I12" s="106"/>
      <x:c r="J12" s="106"/>
      <x:c r="K12" s="106"/>
      <x:c r="L12" s="106"/>
      <x:c r="M12" s="106"/>
      <x:c r="N12" s="106"/>
      <x:c r="O12" s="106"/>
      <x:c r="P12" s="106"/>
      <x:c r="Q12" s="106"/>
      <x:c r="R12" s="106"/>
      <x:c r="S12" s="106"/>
      <x:c r="T12" s="106"/>
      <x:c r="U12" s="106"/>
      <x:c r="V12" s="106"/>
      <x:c r="W12" s="106"/>
      <x:c r="X12" s="106"/>
      <x:c r="Y12" s="106"/>
      <x:c r="Z12" s="106"/>
      <x:c r="AA12" s="106"/>
      <x:c r="AB12" s="106"/>
      <x:c r="AC12" s="106"/>
      <x:c r="AD12" s="106"/>
      <x:c r="AE12" s="106"/>
      <x:c r="AF12" s="106"/>
      <x:c r="AG12" s="106"/>
      <x:c r="AH12" s="106"/>
      <x:c r="AI12" s="106"/>
      <x:c r="AJ12" s="106"/>
      <x:c r="AK12" s="106"/>
      <x:c r="AL12" s="106"/>
      <x:c r="AM12" s="106"/>
      <x:c r="AN12" s="106"/>
      <x:c r="AO12" s="106"/>
      <x:c r="AP12" s="106"/>
      <x:c r="AQ12" s="106"/>
      <x:c r="AR12" s="106"/>
      <x:c r="AS12" s="106"/>
      <x:c r="AT12" s="106"/>
      <x:c r="AU12" s="106"/>
      <x:c r="AV12" s="106"/>
      <x:c r="AW12" s="106"/>
      <x:c r="AX12" s="106"/>
      <x:c r="AY12" s="106"/>
      <x:c r="AZ12" s="106"/>
      <x:c r="BA12" s="106"/>
    </x:row>
    <x:row r="13">
      <x:c r="A13" s="106"/>
      <x:c r="B13" s="106"/>
      <x:c r="C13" s="106"/>
      <x:c r="D13" s="106"/>
      <x:c r="E13" s="119"/>
      <x:c r="F13" s="119"/>
      <x:c r="G13" s="119"/>
      <x:c r="H13" s="119"/>
      <x:c r="I13" s="106"/>
      <x:c r="J13" s="106"/>
      <x:c r="K13" s="106"/>
      <x:c r="L13" s="106"/>
      <x:c r="M13" s="106"/>
      <x:c r="N13" s="106"/>
      <x:c r="O13" s="106"/>
      <x:c r="P13" s="106"/>
      <x:c r="Q13" s="106"/>
      <x:c r="R13" s="106"/>
      <x:c r="S13" s="106"/>
      <x:c r="T13" s="106"/>
      <x:c r="U13" s="106"/>
      <x:c r="V13" s="106"/>
      <x:c r="W13" s="106"/>
      <x:c r="X13" s="106"/>
      <x:c r="Y13" s="106"/>
      <x:c r="Z13" s="106"/>
      <x:c r="AA13" s="106"/>
      <x:c r="AB13" s="106"/>
      <x:c r="AC13" s="106"/>
      <x:c r="AD13" s="106"/>
      <x:c r="AE13" s="106"/>
      <x:c r="AF13" s="106"/>
      <x:c r="AG13" s="106"/>
      <x:c r="AH13" s="106"/>
      <x:c r="AI13" s="106"/>
      <x:c r="AJ13" s="106"/>
      <x:c r="AK13" s="106"/>
      <x:c r="AL13" s="106"/>
      <x:c r="AM13" s="106"/>
      <x:c r="AN13" s="106"/>
      <x:c r="AO13" s="106"/>
      <x:c r="AP13" s="106"/>
      <x:c r="AQ13" s="106"/>
      <x:c r="AR13" s="106"/>
      <x:c r="AS13" s="106"/>
      <x:c r="AT13" s="106"/>
      <x:c r="AU13" s="106"/>
      <x:c r="AV13" s="106"/>
      <x:c r="AW13" s="106"/>
      <x:c r="AX13" s="106"/>
      <x:c r="AY13" s="106"/>
      <x:c r="AZ13" s="106"/>
      <x:c r="BA13" s="106"/>
    </x:row>
    <x:row r="14">
      <x:c r="A14" s="106"/>
      <x:c r="B14" s="106"/>
      <x:c r="C14" s="106"/>
      <x:c r="D14" s="106"/>
      <x:c r="E14" s="119"/>
      <x:c r="F14" s="119"/>
      <x:c r="G14" s="119"/>
      <x:c r="H14" s="119"/>
      <x:c r="I14" s="106"/>
      <x:c r="J14" s="106"/>
      <x:c r="K14" s="106"/>
      <x:c r="L14" s="106"/>
      <x:c r="M14" s="106"/>
      <x:c r="N14" s="106"/>
      <x:c r="O14" s="106"/>
      <x:c r="P14" s="106"/>
      <x:c r="Q14" s="106"/>
      <x:c r="R14" s="106"/>
      <x:c r="S14" s="106"/>
      <x:c r="T14" s="106"/>
      <x:c r="U14" s="106"/>
      <x:c r="V14" s="106"/>
      <x:c r="W14" s="106"/>
      <x:c r="X14" s="106"/>
      <x:c r="Y14" s="106"/>
      <x:c r="Z14" s="106"/>
      <x:c r="AA14" s="106"/>
      <x:c r="AB14" s="106"/>
      <x:c r="AC14" s="106"/>
      <x:c r="AD14" s="106"/>
      <x:c r="AE14" s="106"/>
      <x:c r="AF14" s="106"/>
      <x:c r="AG14" s="106"/>
      <x:c r="AH14" s="106"/>
      <x:c r="AI14" s="106"/>
      <x:c r="AJ14" s="106"/>
      <x:c r="AK14" s="106"/>
      <x:c r="AL14" s="106"/>
      <x:c r="AM14" s="106"/>
      <x:c r="AN14" s="106"/>
      <x:c r="AO14" s="106"/>
      <x:c r="AP14" s="106"/>
      <x:c r="AQ14" s="106"/>
      <x:c r="AR14" s="106"/>
      <x:c r="AS14" s="106"/>
      <x:c r="AT14" s="106"/>
      <x:c r="AU14" s="106"/>
      <x:c r="AV14" s="106"/>
      <x:c r="AW14" s="106"/>
      <x:c r="AX14" s="106"/>
      <x:c r="AY14" s="106"/>
      <x:c r="AZ14" s="106"/>
      <x:c r="BA14" s="106"/>
    </x:row>
    <x:row r="15">
      <x:c r="A15" s="106"/>
      <x:c r="B15" s="106"/>
      <x:c r="C15" s="106"/>
      <x:c r="D15" s="106"/>
      <x:c r="E15" s="119"/>
      <x:c r="F15" s="119"/>
      <x:c r="G15" s="119"/>
      <x:c r="H15" s="119"/>
      <x:c r="I15" s="106"/>
      <x:c r="J15" s="106"/>
      <x:c r="K15" s="106"/>
      <x:c r="L15" s="106"/>
      <x:c r="M15" s="106"/>
      <x:c r="N15" s="106"/>
      <x:c r="O15" s="106"/>
      <x:c r="P15" s="106"/>
      <x:c r="Q15" s="106"/>
      <x:c r="R15" s="106"/>
      <x:c r="S15" s="106"/>
      <x:c r="T15" s="106"/>
      <x:c r="U15" s="106"/>
      <x:c r="V15" s="106"/>
      <x:c r="W15" s="106"/>
      <x:c r="X15" s="106"/>
      <x:c r="Y15" s="106"/>
      <x:c r="Z15" s="106"/>
      <x:c r="AA15" s="106"/>
      <x:c r="AB15" s="106"/>
      <x:c r="AC15" s="106"/>
      <x:c r="AD15" s="106"/>
      <x:c r="AE15" s="106"/>
      <x:c r="AF15" s="106"/>
      <x:c r="AG15" s="106"/>
      <x:c r="AH15" s="106"/>
      <x:c r="AI15" s="106"/>
      <x:c r="AJ15" s="106"/>
      <x:c r="AK15" s="106"/>
      <x:c r="AL15" s="106"/>
      <x:c r="AM15" s="106"/>
      <x:c r="AN15" s="106"/>
      <x:c r="AO15" s="106"/>
      <x:c r="AP15" s="106"/>
      <x:c r="AQ15" s="106"/>
      <x:c r="AR15" s="106"/>
      <x:c r="AS15" s="106"/>
      <x:c r="AT15" s="106"/>
      <x:c r="AU15" s="106"/>
      <x:c r="AV15" s="106"/>
      <x:c r="AW15" s="106"/>
      <x:c r="AX15" s="106"/>
      <x:c r="AY15" s="106"/>
      <x:c r="AZ15" s="106"/>
      <x:c r="BA15" s="106"/>
    </x:row>
    <x:row r="16">
      <x:c r="A16" s="106"/>
      <x:c r="B16" s="106"/>
      <x:c r="C16" s="106"/>
      <x:c r="D16" s="106"/>
      <x:c r="E16" s="119"/>
      <x:c r="F16" s="119"/>
      <x:c r="G16" s="119"/>
      <x:c r="H16" s="119"/>
      <x:c r="I16" s="106"/>
      <x:c r="J16" s="106"/>
      <x:c r="K16" s="106"/>
      <x:c r="L16" s="106"/>
      <x:c r="M16" s="106"/>
      <x:c r="N16" s="106"/>
      <x:c r="O16" s="106"/>
      <x:c r="P16" s="106"/>
      <x:c r="Q16" s="106"/>
      <x:c r="R16" s="106"/>
      <x:c r="S16" s="106"/>
      <x:c r="T16" s="106"/>
      <x:c r="U16" s="106"/>
      <x:c r="V16" s="106"/>
      <x:c r="W16" s="106"/>
      <x:c r="X16" s="106"/>
      <x:c r="Y16" s="106"/>
      <x:c r="Z16" s="106"/>
      <x:c r="AA16" s="106"/>
      <x:c r="AB16" s="106"/>
      <x:c r="AC16" s="106"/>
      <x:c r="AD16" s="106"/>
      <x:c r="AE16" s="106"/>
      <x:c r="AF16" s="106"/>
      <x:c r="AG16" s="106"/>
      <x:c r="AH16" s="106"/>
      <x:c r="AI16" s="106"/>
      <x:c r="AJ16" s="106"/>
      <x:c r="AK16" s="106"/>
      <x:c r="AL16" s="106"/>
      <x:c r="AM16" s="106"/>
      <x:c r="AN16" s="106"/>
      <x:c r="AO16" s="106"/>
      <x:c r="AP16" s="106"/>
      <x:c r="AQ16" s="106"/>
      <x:c r="AR16" s="106"/>
      <x:c r="AS16" s="106"/>
      <x:c r="AT16" s="106"/>
      <x:c r="AU16" s="106"/>
      <x:c r="AV16" s="106"/>
      <x:c r="AW16" s="106"/>
      <x:c r="AX16" s="106"/>
      <x:c r="AY16" s="106"/>
      <x:c r="AZ16" s="106"/>
      <x:c r="BA16" s="106"/>
    </x:row>
    <x:row r="17">
      <x:c r="A17" s="106"/>
      <x:c r="B17" s="106"/>
      <x:c r="C17" s="106"/>
      <x:c r="D17" s="106"/>
      <x:c r="E17" s="119"/>
      <x:c r="F17" s="119"/>
      <x:c r="G17" s="119"/>
      <x:c r="H17" s="119"/>
      <x:c r="I17" s="106"/>
      <x:c r="J17" s="106"/>
      <x:c r="K17" s="106"/>
      <x:c r="L17" s="106"/>
      <x:c r="M17" s="106"/>
      <x:c r="N17" s="106"/>
      <x:c r="O17" s="106"/>
      <x:c r="P17" s="106"/>
      <x:c r="Q17" s="106"/>
      <x:c r="R17" s="106"/>
      <x:c r="S17" s="106"/>
      <x:c r="T17" s="106"/>
      <x:c r="U17" s="106"/>
      <x:c r="V17" s="106"/>
      <x:c r="W17" s="106"/>
      <x:c r="X17" s="106"/>
      <x:c r="Y17" s="106"/>
      <x:c r="Z17" s="106"/>
      <x:c r="AA17" s="106"/>
      <x:c r="AB17" s="106"/>
      <x:c r="AC17" s="106"/>
      <x:c r="AD17" s="106"/>
      <x:c r="AE17" s="106"/>
      <x:c r="AF17" s="106"/>
      <x:c r="AG17" s="106"/>
      <x:c r="AH17" s="106"/>
      <x:c r="AI17" s="106"/>
      <x:c r="AJ17" s="106"/>
      <x:c r="AK17" s="106"/>
      <x:c r="AL17" s="106"/>
      <x:c r="AM17" s="106"/>
      <x:c r="AN17" s="106"/>
      <x:c r="AO17" s="106"/>
      <x:c r="AP17" s="106"/>
      <x:c r="AQ17" s="106"/>
      <x:c r="AR17" s="106"/>
      <x:c r="AS17" s="106"/>
      <x:c r="AT17" s="106"/>
      <x:c r="AU17" s="106"/>
      <x:c r="AV17" s="106"/>
      <x:c r="AW17" s="106"/>
      <x:c r="AX17" s="106"/>
      <x:c r="AY17" s="106"/>
      <x:c r="AZ17" s="106"/>
      <x:c r="BA17" s="106"/>
    </x:row>
    <x:row r="18">
      <x:c r="A18" s="106"/>
      <x:c r="B18" s="106"/>
      <x:c r="C18" s="106"/>
      <x:c r="D18" s="106"/>
      <x:c r="E18" s="106"/>
      <x:c r="F18" s="106"/>
      <x:c r="G18" s="106"/>
      <x:c r="H18" s="106"/>
      <x:c r="I18" s="106"/>
      <x:c r="J18" s="106"/>
      <x:c r="K18" s="106"/>
      <x:c r="L18" s="106"/>
      <x:c r="M18" s="106"/>
      <x:c r="N18" s="106"/>
      <x:c r="O18" s="106"/>
      <x:c r="P18" s="106"/>
      <x:c r="Q18" s="106"/>
      <x:c r="R18" s="106"/>
      <x:c r="S18" s="106"/>
      <x:c r="T18" s="106"/>
      <x:c r="U18" s="106"/>
      <x:c r="V18" s="106"/>
      <x:c r="W18" s="106"/>
      <x:c r="X18" s="106"/>
      <x:c r="Y18" s="106"/>
      <x:c r="Z18" s="106"/>
      <x:c r="AA18" s="106"/>
      <x:c r="AB18" s="106"/>
      <x:c r="AC18" s="106"/>
      <x:c r="AD18" s="106"/>
      <x:c r="AE18" s="106"/>
      <x:c r="AF18" s="106"/>
      <x:c r="AG18" s="106"/>
      <x:c r="AH18" s="106"/>
      <x:c r="AI18" s="106"/>
      <x:c r="AJ18" s="106"/>
      <x:c r="AK18" s="106"/>
      <x:c r="AL18" s="106"/>
      <x:c r="AM18" s="106"/>
      <x:c r="AN18" s="106"/>
      <x:c r="AO18" s="106"/>
      <x:c r="AP18" s="106"/>
      <x:c r="AQ18" s="106"/>
      <x:c r="AR18" s="106"/>
      <x:c r="AS18" s="106"/>
      <x:c r="AT18" s="106"/>
      <x:c r="AU18" s="106"/>
      <x:c r="AV18" s="106"/>
      <x:c r="AW18" s="106"/>
      <x:c r="AX18" s="106"/>
      <x:c r="AY18" s="106"/>
      <x:c r="AZ18" s="106"/>
      <x:c r="BA18" s="106"/>
    </x:row>
    <x:row r="19">
      <x:c r="A19" s="106"/>
      <x:c r="B19" s="106"/>
      <x:c r="C19" s="106"/>
      <x:c r="D19" s="106"/>
      <x:c r="E19" s="106"/>
      <x:c r="F19" s="106"/>
      <x:c r="G19" s="106"/>
      <x:c r="H19" s="106"/>
      <x:c r="I19" s="106"/>
      <x:c r="J19" s="106"/>
      <x:c r="K19" s="106"/>
      <x:c r="L19" s="106"/>
      <x:c r="M19" s="106"/>
      <x:c r="N19" s="106"/>
      <x:c r="O19" s="106"/>
      <x:c r="P19" s="106"/>
      <x:c r="Q19" s="106"/>
      <x:c r="R19" s="106"/>
      <x:c r="S19" s="106"/>
      <x:c r="T19" s="106"/>
      <x:c r="U19" s="106"/>
      <x:c r="V19" s="106"/>
      <x:c r="W19" s="106"/>
      <x:c r="X19" s="106"/>
      <x:c r="Y19" s="106"/>
      <x:c r="Z19" s="106"/>
      <x:c r="AA19" s="106"/>
      <x:c r="AB19" s="106"/>
      <x:c r="AC19" s="106"/>
      <x:c r="AD19" s="106"/>
      <x:c r="AE19" s="106"/>
      <x:c r="AF19" s="106"/>
      <x:c r="AG19" s="106"/>
      <x:c r="AH19" s="106"/>
      <x:c r="AI19" s="106"/>
      <x:c r="AJ19" s="106"/>
      <x:c r="AK19" s="106"/>
      <x:c r="AL19" s="106"/>
      <x:c r="AM19" s="106"/>
      <x:c r="AN19" s="106"/>
      <x:c r="AO19" s="106"/>
      <x:c r="AP19" s="106"/>
      <x:c r="AQ19" s="106"/>
      <x:c r="AR19" s="106"/>
      <x:c r="AS19" s="106"/>
      <x:c r="AT19" s="106"/>
      <x:c r="AU19" s="106"/>
      <x:c r="AV19" s="106"/>
      <x:c r="AW19" s="106"/>
      <x:c r="AX19" s="106"/>
      <x:c r="AY19" s="106"/>
      <x:c r="AZ19" s="106"/>
      <x:c r="BA19" s="106"/>
    </x:row>
    <x:row r="20">
      <x:c r="A20" s="106"/>
      <x:c r="B20" s="106"/>
      <x:c r="C20" s="106"/>
      <x:c r="D20" s="106"/>
      <x:c r="E20" s="106"/>
      <x:c r="F20" s="106"/>
      <x:c r="G20" s="106"/>
      <x:c r="H20" s="106"/>
      <x:c r="I20" s="106"/>
      <x:c r="J20" s="106"/>
      <x:c r="K20" s="106"/>
      <x:c r="L20" s="106"/>
      <x:c r="M20" s="106"/>
      <x:c r="N20" s="106"/>
      <x:c r="O20" s="106"/>
      <x:c r="P20" s="106"/>
      <x:c r="Q20" s="106"/>
      <x:c r="R20" s="106"/>
      <x:c r="S20" s="106"/>
      <x:c r="T20" s="106"/>
      <x:c r="U20" s="106"/>
      <x:c r="V20" s="106"/>
      <x:c r="W20" s="106"/>
      <x:c r="X20" s="106"/>
      <x:c r="Y20" s="106"/>
      <x:c r="Z20" s="106"/>
      <x:c r="AA20" s="106"/>
      <x:c r="AB20" s="106"/>
      <x:c r="AC20" s="106"/>
      <x:c r="AD20" s="106"/>
      <x:c r="AE20" s="106"/>
      <x:c r="AF20" s="106"/>
      <x:c r="AG20" s="106"/>
      <x:c r="AH20" s="106"/>
      <x:c r="AI20" s="106"/>
      <x:c r="AJ20" s="106"/>
      <x:c r="AK20" s="106"/>
      <x:c r="AL20" s="106"/>
      <x:c r="AM20" s="106"/>
      <x:c r="AN20" s="106"/>
      <x:c r="AO20" s="106"/>
      <x:c r="AP20" s="106"/>
      <x:c r="AQ20" s="106"/>
      <x:c r="AR20" s="106"/>
      <x:c r="AS20" s="106"/>
      <x:c r="AT20" s="106"/>
      <x:c r="AU20" s="106"/>
      <x:c r="AV20" s="106"/>
      <x:c r="AW20" s="106"/>
      <x:c r="AX20" s="106"/>
      <x:c r="AY20" s="106"/>
      <x:c r="AZ20" s="106"/>
      <x:c r="BA20" s="106"/>
    </x:row>
    <x:row r="21">
      <x:c r="A21" s="106"/>
      <x:c r="B21" s="106"/>
      <x:c r="C21" s="106"/>
      <x:c r="D21" s="106"/>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c r="AO21" s="106"/>
      <x:c r="AP21" s="106"/>
      <x:c r="AQ21" s="106"/>
      <x:c r="AR21" s="106"/>
      <x:c r="AS21" s="106"/>
      <x:c r="AT21" s="106"/>
      <x:c r="AU21" s="106"/>
      <x:c r="AV21" s="106"/>
      <x:c r="AW21" s="106"/>
      <x:c r="AX21" s="106"/>
      <x:c r="AY21" s="106"/>
      <x:c r="AZ21" s="106"/>
      <x:c r="BA21" s="106"/>
    </x:row>
    <x:row r="22">
      <x:c r="A22" s="106"/>
      <x:c r="B22" s="106"/>
      <x:c r="C22" s="106"/>
      <x:c r="D22" s="106"/>
      <x:c r="E22" s="106"/>
      <x:c r="F22" s="106"/>
      <x:c r="G22" s="106"/>
      <x:c r="H22" s="106"/>
      <x:c r="I22" s="106"/>
      <x:c r="J22" s="106"/>
      <x:c r="K22" s="106"/>
      <x:c r="L22" s="106"/>
      <x:c r="M22" s="106"/>
      <x:c r="N22" s="106"/>
      <x:c r="O22" s="106"/>
      <x:c r="P22" s="106"/>
      <x:c r="Q22" s="106"/>
      <x:c r="R22" s="106"/>
      <x:c r="S22" s="106"/>
      <x:c r="T22" s="106"/>
      <x:c r="U22" s="106"/>
      <x:c r="V22" s="106"/>
      <x:c r="W22" s="106"/>
      <x:c r="X22" s="106"/>
      <x:c r="Y22" s="106"/>
      <x:c r="Z22" s="106"/>
      <x:c r="AA22" s="106"/>
      <x:c r="AB22" s="106"/>
      <x:c r="AC22" s="106"/>
      <x:c r="AD22" s="106"/>
      <x:c r="AE22" s="106"/>
      <x:c r="AF22" s="106"/>
      <x:c r="AG22" s="106"/>
      <x:c r="AH22" s="106"/>
      <x:c r="AI22" s="106"/>
      <x:c r="AJ22" s="106"/>
      <x:c r="AK22" s="106"/>
      <x:c r="AL22" s="106"/>
      <x:c r="AM22" s="106"/>
      <x:c r="AN22" s="106"/>
      <x:c r="AO22" s="106"/>
      <x:c r="AP22" s="106"/>
      <x:c r="AQ22" s="106"/>
      <x:c r="AR22" s="106"/>
      <x:c r="AS22" s="106"/>
      <x:c r="AT22" s="106"/>
      <x:c r="AU22" s="106"/>
      <x:c r="AV22" s="106"/>
      <x:c r="AW22" s="106"/>
      <x:c r="AX22" s="106"/>
      <x:c r="AY22" s="106"/>
      <x:c r="AZ22" s="106"/>
      <x:c r="BA22" s="106"/>
    </x:row>
    <x:row r="23">
      <x:c r="A23" s="106"/>
      <x:c r="B23" s="106"/>
      <x:c r="C23" s="106"/>
      <x:c r="D23" s="106"/>
      <x:c r="E23" s="106"/>
      <x:c r="F23" s="106"/>
      <x:c r="G23" s="106"/>
      <x:c r="H23" s="106"/>
      <x:c r="I23" s="106"/>
      <x:c r="J23" s="106"/>
      <x:c r="K23" s="106"/>
      <x:c r="L23" s="106"/>
      <x:c r="M23" s="106"/>
      <x:c r="N23" s="106"/>
      <x:c r="O23" s="106"/>
      <x:c r="P23" s="106"/>
      <x:c r="Q23" s="106"/>
      <x:c r="R23" s="106"/>
      <x:c r="S23" s="106"/>
      <x:c r="T23" s="106"/>
      <x:c r="U23" s="106"/>
      <x:c r="V23" s="106"/>
      <x:c r="W23" s="106"/>
      <x:c r="X23" s="106"/>
      <x:c r="Y23" s="106"/>
      <x:c r="Z23" s="106"/>
      <x:c r="AA23" s="106"/>
      <x:c r="AB23" s="106"/>
      <x:c r="AC23" s="106"/>
      <x:c r="AD23" s="106"/>
      <x:c r="AE23" s="106"/>
      <x:c r="AF23" s="106"/>
      <x:c r="AG23" s="106"/>
      <x:c r="AH23" s="106"/>
      <x:c r="AI23" s="106"/>
      <x:c r="AJ23" s="106"/>
      <x:c r="AK23" s="106"/>
      <x:c r="AL23" s="106"/>
      <x:c r="AM23" s="106"/>
      <x:c r="AN23" s="106"/>
      <x:c r="AO23" s="106"/>
      <x:c r="AP23" s="106"/>
      <x:c r="AQ23" s="106"/>
      <x:c r="AR23" s="106"/>
      <x:c r="AS23" s="106"/>
      <x:c r="AT23" s="106"/>
      <x:c r="AU23" s="106"/>
      <x:c r="AV23" s="106"/>
      <x:c r="AW23" s="106"/>
      <x:c r="AX23" s="106"/>
      <x:c r="AY23" s="106"/>
      <x:c r="AZ23" s="106"/>
      <x:c r="BA23" s="106"/>
    </x:row>
    <x:row r="24">
      <x:c r="A24" s="106"/>
      <x:c r="B24" s="106"/>
      <x:c r="C24" s="106"/>
      <x:c r="D24" s="106"/>
      <x:c r="E24" s="106"/>
      <x:c r="F24" s="106"/>
      <x:c r="G24" s="106"/>
      <x:c r="H24" s="106"/>
      <x:c r="I24" s="106"/>
      <x:c r="J24" s="106"/>
      <x:c r="K24" s="106"/>
      <x:c r="L24" s="106"/>
      <x:c r="M24" s="106"/>
      <x:c r="N24" s="106"/>
      <x:c r="O24" s="106"/>
      <x:c r="P24" s="106"/>
      <x:c r="Q24" s="106"/>
      <x:c r="R24" s="106"/>
      <x:c r="S24" s="106"/>
      <x:c r="T24" s="106"/>
      <x:c r="U24" s="106"/>
      <x:c r="V24" s="106"/>
      <x:c r="W24" s="106"/>
      <x:c r="X24" s="106"/>
      <x:c r="Y24" s="106"/>
      <x:c r="Z24" s="106"/>
      <x:c r="AA24" s="106"/>
      <x:c r="AB24" s="106"/>
      <x:c r="AC24" s="106"/>
      <x:c r="AD24" s="106"/>
      <x:c r="AE24" s="106"/>
      <x:c r="AF24" s="106"/>
      <x:c r="AG24" s="106"/>
      <x:c r="AH24" s="106"/>
      <x:c r="AI24" s="106"/>
      <x:c r="AJ24" s="106"/>
      <x:c r="AK24" s="106"/>
      <x:c r="AL24" s="106"/>
      <x:c r="AM24" s="106"/>
      <x:c r="AN24" s="106"/>
      <x:c r="AO24" s="106"/>
      <x:c r="AP24" s="106"/>
      <x:c r="AQ24" s="106"/>
      <x:c r="AR24" s="106"/>
      <x:c r="AS24" s="106"/>
      <x:c r="AT24" s="106"/>
      <x:c r="AU24" s="106"/>
      <x:c r="AV24" s="106"/>
      <x:c r="AW24" s="106"/>
      <x:c r="AX24" s="106"/>
      <x:c r="AY24" s="106"/>
      <x:c r="AZ24" s="106"/>
      <x:c r="BA24" s="106"/>
    </x:row>
    <x:row r="25">
      <x:c r="A25" s="106"/>
      <x:c r="B25" s="106"/>
      <x:c r="C25" s="106"/>
      <x:c r="D25" s="106"/>
      <x:c r="E25" s="106"/>
      <x:c r="F25" s="106"/>
      <x:c r="G25" s="106"/>
      <x:c r="H25" s="106"/>
      <x:c r="I25" s="106"/>
      <x:c r="J25" s="106"/>
      <x:c r="K25" s="106"/>
      <x:c r="L25" s="106"/>
      <x:c r="M25" s="106"/>
      <x:c r="N25" s="106"/>
      <x:c r="O25" s="106"/>
      <x:c r="P25" s="106"/>
      <x:c r="Q25" s="106"/>
      <x:c r="R25" s="106"/>
      <x:c r="S25" s="106"/>
      <x:c r="T25" s="106"/>
      <x:c r="U25" s="106"/>
      <x:c r="V25" s="106"/>
      <x:c r="W25" s="106"/>
      <x:c r="X25" s="106"/>
      <x:c r="Y25" s="106"/>
      <x:c r="Z25" s="106"/>
      <x:c r="AA25" s="106"/>
      <x:c r="AB25" s="106"/>
      <x:c r="AC25" s="106"/>
      <x:c r="AD25" s="106"/>
      <x:c r="AE25" s="106"/>
      <x:c r="AF25" s="106"/>
      <x:c r="AG25" s="106"/>
      <x:c r="AH25" s="106"/>
      <x:c r="AI25" s="106"/>
      <x:c r="AJ25" s="106"/>
      <x:c r="AK25" s="106"/>
      <x:c r="AL25" s="106"/>
      <x:c r="AM25" s="106"/>
      <x:c r="AN25" s="106"/>
      <x:c r="AO25" s="106"/>
      <x:c r="AP25" s="106"/>
      <x:c r="AQ25" s="106"/>
      <x:c r="AR25" s="106"/>
      <x:c r="AS25" s="106"/>
      <x:c r="AT25" s="106"/>
      <x:c r="AU25" s="106"/>
      <x:c r="AV25" s="106"/>
      <x:c r="AW25" s="106"/>
      <x:c r="AX25" s="106"/>
      <x:c r="AY25" s="106"/>
      <x:c r="AZ25" s="106"/>
      <x:c r="BA25" s="106"/>
    </x:row>
    <x:row r="26">
      <x:c r="A26" s="106"/>
      <x:c r="B26" s="106"/>
      <x:c r="C26" s="106"/>
      <x:c r="D26" s="106"/>
      <x:c r="E26" s="106"/>
      <x:c r="F26" s="106"/>
      <x:c r="G26" s="106"/>
      <x:c r="H26" s="106"/>
      <x:c r="I26" s="106"/>
      <x:c r="J26" s="106"/>
      <x:c r="K26" s="106"/>
      <x:c r="L26" s="106"/>
      <x:c r="M26" s="106"/>
      <x:c r="N26" s="106"/>
      <x:c r="O26" s="106"/>
      <x:c r="P26" s="106"/>
      <x:c r="Q26" s="106"/>
      <x:c r="R26" s="106"/>
      <x:c r="S26" s="106"/>
      <x:c r="T26" s="106"/>
      <x:c r="U26" s="106"/>
      <x:c r="V26" s="106"/>
      <x:c r="W26" s="106"/>
      <x:c r="X26" s="106"/>
      <x:c r="Y26" s="106"/>
      <x:c r="Z26" s="106"/>
      <x:c r="AA26" s="106"/>
      <x:c r="AB26" s="106"/>
      <x:c r="AC26" s="106"/>
      <x:c r="AD26" s="106"/>
      <x:c r="AE26" s="106"/>
      <x:c r="AF26" s="106"/>
      <x:c r="AG26" s="106"/>
      <x:c r="AH26" s="106"/>
      <x:c r="AI26" s="106"/>
      <x:c r="AJ26" s="106"/>
      <x:c r="AK26" s="106"/>
      <x:c r="AL26" s="106"/>
      <x:c r="AM26" s="106"/>
      <x:c r="AN26" s="106"/>
      <x:c r="AO26" s="106"/>
      <x:c r="AP26" s="106"/>
      <x:c r="AQ26" s="106"/>
      <x:c r="AR26" s="106"/>
      <x:c r="AS26" s="106"/>
      <x:c r="AT26" s="106"/>
      <x:c r="AU26" s="106"/>
      <x:c r="AV26" s="106"/>
      <x:c r="AW26" s="106"/>
      <x:c r="AX26" s="106"/>
      <x:c r="AY26" s="106"/>
      <x:c r="AZ26" s="106"/>
      <x:c r="BA26" s="106"/>
    </x:row>
    <x:row r="27">
      <x:c r="A27" s="106"/>
      <x:c r="B27" s="106"/>
      <x:c r="C27" s="106"/>
      <x:c r="D27" s="106"/>
      <x:c r="E27" s="106"/>
      <x:c r="F27" s="106"/>
      <x:c r="G27" s="106"/>
      <x:c r="H27" s="106"/>
      <x:c r="I27" s="106"/>
      <x:c r="J27" s="106"/>
      <x:c r="K27" s="106"/>
      <x:c r="L27" s="106"/>
      <x:c r="M27" s="106"/>
      <x:c r="N27" s="106"/>
      <x:c r="O27" s="106"/>
      <x:c r="P27" s="106"/>
      <x:c r="Q27" s="106"/>
      <x:c r="R27" s="106"/>
      <x:c r="S27" s="106"/>
      <x:c r="T27" s="106"/>
      <x:c r="U27" s="106"/>
      <x:c r="V27" s="106"/>
      <x:c r="W27" s="106"/>
      <x:c r="X27" s="106"/>
      <x:c r="Y27" s="106"/>
      <x:c r="Z27" s="106"/>
      <x:c r="AA27" s="106"/>
      <x:c r="AB27" s="106"/>
      <x:c r="AC27" s="106"/>
      <x:c r="AD27" s="106"/>
      <x:c r="AE27" s="106"/>
      <x:c r="AF27" s="106"/>
      <x:c r="AG27" s="106"/>
      <x:c r="AH27" s="106"/>
      <x:c r="AI27" s="106"/>
      <x:c r="AJ27" s="106"/>
      <x:c r="AK27" s="106"/>
      <x:c r="AL27" s="106"/>
      <x:c r="AM27" s="106"/>
      <x:c r="AN27" s="106"/>
      <x:c r="AO27" s="106"/>
      <x:c r="AP27" s="106"/>
      <x:c r="AQ27" s="106"/>
      <x:c r="AR27" s="106"/>
      <x:c r="AS27" s="106"/>
      <x:c r="AT27" s="106"/>
      <x:c r="AU27" s="106"/>
      <x:c r="AV27" s="106"/>
      <x:c r="AW27" s="106"/>
      <x:c r="AX27" s="106"/>
      <x:c r="AY27" s="106"/>
      <x:c r="AZ27" s="106"/>
      <x:c r="BA27" s="106"/>
    </x:row>
    <x:row r="28">
      <x:c r="A28" s="106"/>
      <x:c r="B28" s="106"/>
      <x:c r="C28" s="106"/>
      <x:c r="D28" s="106"/>
      <x:c r="E28" s="106"/>
      <x:c r="F28" s="106"/>
      <x:c r="G28" s="106"/>
      <x:c r="H28" s="106"/>
      <x:c r="I28" s="106"/>
      <x:c r="J28" s="106"/>
      <x:c r="K28" s="106"/>
      <x:c r="L28" s="106"/>
      <x:c r="M28" s="106"/>
      <x:c r="N28" s="106"/>
      <x:c r="O28" s="106"/>
      <x:c r="P28" s="106"/>
      <x:c r="Q28" s="106"/>
      <x:c r="R28" s="106"/>
      <x:c r="S28" s="106"/>
      <x:c r="T28" s="106"/>
      <x:c r="U28" s="106"/>
      <x:c r="V28" s="106"/>
      <x:c r="W28" s="106"/>
      <x:c r="X28" s="106"/>
      <x:c r="Y28" s="106"/>
      <x:c r="Z28" s="106"/>
      <x:c r="AA28" s="106"/>
      <x:c r="AB28" s="106"/>
      <x:c r="AC28" s="106"/>
      <x:c r="AD28" s="106"/>
      <x:c r="AE28" s="106"/>
      <x:c r="AF28" s="106"/>
      <x:c r="AG28" s="106"/>
      <x:c r="AH28" s="106"/>
      <x:c r="AI28" s="106"/>
      <x:c r="AJ28" s="106"/>
      <x:c r="AK28" s="106"/>
      <x:c r="AL28" s="106"/>
      <x:c r="AM28" s="106"/>
      <x:c r="AN28" s="106"/>
      <x:c r="AO28" s="106"/>
      <x:c r="AP28" s="106"/>
      <x:c r="AQ28" s="106"/>
      <x:c r="AR28" s="106"/>
      <x:c r="AS28" s="106"/>
      <x:c r="AT28" s="106"/>
      <x:c r="AU28" s="106"/>
      <x:c r="AV28" s="106"/>
      <x:c r="AW28" s="106"/>
      <x:c r="AX28" s="106"/>
      <x:c r="AY28" s="106"/>
      <x:c r="AZ28" s="106"/>
      <x:c r="BA28" s="106"/>
    </x:row>
    <x:row r="29">
      <x:c r="A29" s="106"/>
      <x:c r="B29" s="106"/>
      <x:c r="C29" s="106"/>
      <x:c r="D29" s="106"/>
      <x:c r="E29" s="106"/>
      <x:c r="F29" s="106"/>
      <x:c r="G29" s="106"/>
      <x:c r="H29" s="106"/>
      <x:c r="I29" s="106"/>
      <x:c r="J29" s="106"/>
      <x:c r="K29" s="106"/>
      <x:c r="L29" s="106"/>
      <x:c r="M29" s="106"/>
      <x:c r="N29" s="106"/>
      <x:c r="O29" s="106"/>
      <x:c r="P29" s="106"/>
      <x:c r="Q29" s="106"/>
      <x:c r="R29" s="106"/>
      <x:c r="S29" s="106"/>
      <x:c r="T29" s="106"/>
      <x:c r="U29" s="106"/>
      <x:c r="V29" s="106"/>
      <x:c r="W29" s="106"/>
      <x:c r="X29" s="106"/>
      <x:c r="Y29" s="106"/>
      <x:c r="Z29" s="106"/>
      <x:c r="AA29" s="106"/>
      <x:c r="AB29" s="106"/>
      <x:c r="AC29" s="106"/>
      <x:c r="AD29" s="106"/>
      <x:c r="AE29" s="106"/>
      <x:c r="AF29" s="106"/>
      <x:c r="AG29" s="106"/>
      <x:c r="AH29" s="106"/>
      <x:c r="AI29" s="106"/>
      <x:c r="AJ29" s="106"/>
      <x:c r="AK29" s="106"/>
      <x:c r="AL29" s="106"/>
      <x:c r="AM29" s="106"/>
      <x:c r="AN29" s="106"/>
      <x:c r="AO29" s="106"/>
      <x:c r="AP29" s="106"/>
      <x:c r="AQ29" s="106"/>
      <x:c r="AR29" s="106"/>
      <x:c r="AS29" s="106"/>
      <x:c r="AT29" s="106"/>
      <x:c r="AU29" s="106"/>
      <x:c r="AV29" s="106"/>
      <x:c r="AW29" s="106"/>
      <x:c r="AX29" s="106"/>
      <x:c r="AY29" s="106"/>
      <x:c r="AZ29" s="106"/>
      <x:c r="BA29" s="106"/>
    </x:row>
    <x:row r="30">
      <x:c r="A30" s="106"/>
      <x:c r="B30" s="106"/>
      <x:c r="C30" s="106"/>
      <x:c r="D30" s="106"/>
      <x:c r="E30" s="106"/>
      <x:c r="F30" s="106"/>
      <x:c r="G30" s="106"/>
      <x:c r="H30" s="106"/>
      <x:c r="I30" s="106"/>
      <x:c r="J30" s="106"/>
      <x:c r="K30" s="106"/>
      <x:c r="L30" s="106"/>
      <x:c r="M30" s="106"/>
      <x:c r="N30" s="106"/>
      <x:c r="O30" s="106"/>
      <x:c r="P30" s="106"/>
      <x:c r="Q30" s="106"/>
      <x:c r="R30" s="106"/>
      <x:c r="S30" s="106"/>
      <x:c r="T30" s="106"/>
      <x:c r="U30" s="106"/>
      <x:c r="V30" s="106"/>
      <x:c r="W30" s="106"/>
      <x:c r="X30" s="106"/>
      <x:c r="Y30" s="106"/>
      <x:c r="Z30" s="106"/>
      <x:c r="AA30" s="106"/>
      <x:c r="AB30" s="106"/>
      <x:c r="AC30" s="106"/>
      <x:c r="AD30" s="106"/>
      <x:c r="AE30" s="106"/>
      <x:c r="AF30" s="106"/>
      <x:c r="AG30" s="106"/>
      <x:c r="AH30" s="106"/>
      <x:c r="AI30" s="106"/>
      <x:c r="AJ30" s="106"/>
      <x:c r="AK30" s="106"/>
      <x:c r="AL30" s="106"/>
      <x:c r="AM30" s="106"/>
      <x:c r="AN30" s="106"/>
      <x:c r="AO30" s="106"/>
      <x:c r="AP30" s="106"/>
      <x:c r="AQ30" s="106"/>
      <x:c r="AR30" s="106"/>
      <x:c r="AS30" s="106"/>
      <x:c r="AT30" s="106"/>
      <x:c r="AU30" s="106"/>
      <x:c r="AV30" s="106"/>
      <x:c r="AW30" s="106"/>
      <x:c r="AX30" s="106"/>
      <x:c r="AY30" s="106"/>
      <x:c r="AZ30" s="106"/>
      <x:c r="BA30" s="106"/>
    </x:row>
    <x:row r="31">
      <x:c r="A31" s="106"/>
      <x:c r="B31" s="106"/>
      <x:c r="C31" s="106"/>
      <x:c r="D31" s="106"/>
      <x:c r="E31" s="106"/>
      <x:c r="F31" s="106"/>
      <x:c r="G31" s="106"/>
      <x:c r="H31" s="106"/>
      <x:c r="I31" s="106"/>
      <x:c r="J31" s="106"/>
      <x:c r="K31" s="106"/>
      <x:c r="L31" s="106"/>
      <x:c r="M31" s="106"/>
      <x:c r="N31" s="106"/>
      <x:c r="O31" s="106"/>
      <x:c r="P31" s="106"/>
      <x:c r="Q31" s="106"/>
      <x:c r="R31" s="106"/>
      <x:c r="S31" s="106"/>
      <x:c r="T31" s="106"/>
      <x:c r="U31" s="106"/>
      <x:c r="V31" s="106"/>
      <x:c r="W31" s="106"/>
      <x:c r="X31" s="106"/>
      <x:c r="Y31" s="106"/>
      <x:c r="Z31" s="106"/>
      <x:c r="AA31" s="106"/>
      <x:c r="AB31" s="106"/>
      <x:c r="AC31" s="106"/>
      <x:c r="AD31" s="106"/>
      <x:c r="AE31" s="106"/>
      <x:c r="AF31" s="106"/>
      <x:c r="AG31" s="106"/>
      <x:c r="AH31" s="106"/>
      <x:c r="AI31" s="106"/>
      <x:c r="AJ31" s="106"/>
      <x:c r="AK31" s="106"/>
      <x:c r="AL31" s="106"/>
      <x:c r="AM31" s="106"/>
      <x:c r="AN31" s="106"/>
      <x:c r="AO31" s="106"/>
      <x:c r="AP31" s="106"/>
      <x:c r="AQ31" s="106"/>
      <x:c r="AR31" s="106"/>
      <x:c r="AS31" s="106"/>
      <x:c r="AT31" s="106"/>
      <x:c r="AU31" s="106"/>
      <x:c r="AV31" s="106"/>
      <x:c r="AW31" s="106"/>
      <x:c r="AX31" s="106"/>
      <x:c r="AY31" s="106"/>
      <x:c r="AZ31" s="106"/>
      <x:c r="BA31" s="106"/>
    </x:row>
    <x:row r="32">
      <x:c r="A32" s="106"/>
      <x:c r="B32" s="106"/>
      <x:c r="C32" s="106"/>
      <x:c r="D32" s="106"/>
      <x:c r="E32" s="106"/>
      <x:c r="F32" s="106"/>
      <x:c r="G32" s="106"/>
      <x:c r="H32" s="106"/>
      <x:c r="I32" s="106"/>
      <x:c r="J32" s="106"/>
      <x:c r="K32" s="106"/>
      <x:c r="L32" s="106"/>
      <x:c r="M32" s="106"/>
      <x:c r="N32" s="106"/>
      <x:c r="O32" s="106"/>
      <x:c r="P32" s="106"/>
      <x:c r="Q32" s="106"/>
      <x:c r="R32" s="106"/>
      <x:c r="S32" s="106"/>
      <x:c r="T32" s="106"/>
      <x:c r="U32" s="106"/>
      <x:c r="V32" s="106"/>
      <x:c r="W32" s="106"/>
      <x:c r="X32" s="106"/>
      <x:c r="Y32" s="106"/>
      <x:c r="Z32" s="106"/>
      <x:c r="AA32" s="106"/>
      <x:c r="AB32" s="106"/>
      <x:c r="AC32" s="106"/>
      <x:c r="AD32" s="106"/>
      <x:c r="AE32" s="106"/>
      <x:c r="AF32" s="106"/>
      <x:c r="AG32" s="106"/>
      <x:c r="AH32" s="106"/>
      <x:c r="AI32" s="106"/>
      <x:c r="AJ32" s="106"/>
      <x:c r="AK32" s="106"/>
      <x:c r="AL32" s="106"/>
      <x:c r="AM32" s="106"/>
      <x:c r="AN32" s="106"/>
      <x:c r="AO32" s="106"/>
      <x:c r="AP32" s="106"/>
      <x:c r="AQ32" s="106"/>
      <x:c r="AR32" s="106"/>
      <x:c r="AS32" s="106"/>
      <x:c r="AT32" s="106"/>
      <x:c r="AU32" s="106"/>
      <x:c r="AV32" s="106"/>
      <x:c r="AW32" s="106"/>
      <x:c r="AX32" s="106"/>
      <x:c r="AY32" s="106"/>
      <x:c r="AZ32" s="106"/>
      <x:c r="BA32" s="106"/>
    </x:row>
    <x:row r="33">
      <x:c r="A33" s="106"/>
      <x:c r="B33" s="106"/>
      <x:c r="C33" s="106"/>
      <x:c r="D33" s="106"/>
      <x:c r="E33" s="106"/>
      <x:c r="F33" s="106"/>
      <x:c r="G33" s="106"/>
      <x:c r="H33" s="106"/>
      <x:c r="I33" s="106"/>
      <x:c r="J33" s="106"/>
      <x:c r="K33" s="106"/>
      <x:c r="L33" s="106"/>
      <x:c r="M33" s="106"/>
      <x:c r="N33" s="106"/>
      <x:c r="O33" s="106"/>
      <x:c r="P33" s="106"/>
      <x:c r="Q33" s="106"/>
      <x:c r="R33" s="106"/>
      <x:c r="S33" s="106"/>
      <x:c r="T33" s="106"/>
      <x:c r="U33" s="106"/>
      <x:c r="V33" s="106"/>
      <x:c r="W33" s="106"/>
      <x:c r="X33" s="106"/>
      <x:c r="Y33" s="106"/>
      <x:c r="Z33" s="106"/>
      <x:c r="AA33" s="106"/>
      <x:c r="AB33" s="106"/>
      <x:c r="AC33" s="106"/>
      <x:c r="AD33" s="106"/>
      <x:c r="AE33" s="106"/>
      <x:c r="AF33" s="106"/>
      <x:c r="AG33" s="106"/>
      <x:c r="AH33" s="106"/>
      <x:c r="AI33" s="106"/>
      <x:c r="AJ33" s="106"/>
      <x:c r="AK33" s="106"/>
      <x:c r="AL33" s="106"/>
      <x:c r="AM33" s="106"/>
      <x:c r="AN33" s="106"/>
      <x:c r="AO33" s="106"/>
      <x:c r="AP33" s="106"/>
      <x:c r="AQ33" s="106"/>
      <x:c r="AR33" s="106"/>
      <x:c r="AS33" s="106"/>
      <x:c r="AT33" s="106"/>
      <x:c r="AU33" s="106"/>
      <x:c r="AV33" s="106"/>
      <x:c r="AW33" s="106"/>
      <x:c r="AX33" s="106"/>
      <x:c r="AY33" s="106"/>
      <x:c r="AZ33" s="106"/>
      <x:c r="BA33" s="106"/>
    </x:row>
    <x:row r="34">
      <x:c r="A34" s="106"/>
      <x:c r="B34" s="106"/>
      <x:c r="C34" s="106"/>
      <x:c r="D34" s="106"/>
      <x:c r="E34" s="106"/>
      <x:c r="F34" s="106"/>
      <x:c r="G34" s="106"/>
      <x:c r="H34" s="106"/>
      <x:c r="I34" s="106"/>
      <x:c r="J34" s="106"/>
      <x:c r="K34" s="106"/>
      <x:c r="L34" s="106"/>
      <x:c r="M34" s="106"/>
      <x:c r="N34" s="106"/>
      <x:c r="O34" s="106"/>
      <x:c r="P34" s="106"/>
      <x:c r="Q34" s="106"/>
      <x:c r="R34" s="106"/>
      <x:c r="S34" s="106"/>
      <x:c r="T34" s="106"/>
      <x:c r="U34" s="106"/>
      <x:c r="V34" s="106"/>
      <x:c r="W34" s="106"/>
      <x:c r="X34" s="106"/>
      <x:c r="Y34" s="106"/>
      <x:c r="Z34" s="106"/>
      <x:c r="AA34" s="106"/>
      <x:c r="AB34" s="106"/>
      <x:c r="AC34" s="106"/>
      <x:c r="AD34" s="106"/>
      <x:c r="AE34" s="106"/>
      <x:c r="AF34" s="106"/>
      <x:c r="AG34" s="106"/>
      <x:c r="AH34" s="106"/>
      <x:c r="AI34" s="106"/>
      <x:c r="AJ34" s="106"/>
      <x:c r="AK34" s="106"/>
      <x:c r="AL34" s="106"/>
      <x:c r="AM34" s="106"/>
      <x:c r="AN34" s="106"/>
      <x:c r="AO34" s="106"/>
      <x:c r="AP34" s="106"/>
      <x:c r="AQ34" s="106"/>
      <x:c r="AR34" s="106"/>
      <x:c r="AS34" s="106"/>
      <x:c r="AT34" s="106"/>
      <x:c r="AU34" s="106"/>
      <x:c r="AV34" s="106"/>
      <x:c r="AW34" s="106"/>
      <x:c r="AX34" s="106"/>
      <x:c r="AY34" s="106"/>
      <x:c r="AZ34" s="106"/>
      <x:c r="BA34" s="106"/>
    </x:row>
    <x:row r="35">
      <x:c r="A35" s="106"/>
      <x:c r="B35" s="106"/>
      <x:c r="C35" s="106"/>
      <x:c r="D35" s="106"/>
      <x:c r="E35" s="106"/>
      <x:c r="F35" s="106"/>
      <x:c r="G35" s="106"/>
      <x:c r="H35" s="106"/>
      <x:c r="I35" s="106"/>
      <x:c r="J35" s="106"/>
      <x:c r="K35" s="106"/>
      <x:c r="L35" s="106"/>
      <x:c r="M35" s="106"/>
      <x:c r="N35" s="106"/>
      <x:c r="O35" s="106"/>
      <x:c r="P35" s="106"/>
      <x:c r="Q35" s="106"/>
      <x:c r="R35" s="106"/>
      <x:c r="S35" s="106"/>
      <x:c r="T35" s="106"/>
      <x:c r="U35" s="106"/>
      <x:c r="V35" s="106"/>
      <x:c r="W35" s="106"/>
      <x:c r="X35" s="106"/>
      <x:c r="Y35" s="106"/>
      <x:c r="Z35" s="106"/>
      <x:c r="AA35" s="106"/>
      <x:c r="AB35" s="106"/>
      <x:c r="AC35" s="106"/>
      <x:c r="AD35" s="106"/>
      <x:c r="AE35" s="106"/>
      <x:c r="AF35" s="106"/>
      <x:c r="AG35" s="106"/>
      <x:c r="AH35" s="106"/>
      <x:c r="AI35" s="106"/>
      <x:c r="AJ35" s="106"/>
      <x:c r="AK35" s="106"/>
      <x:c r="AL35" s="106"/>
      <x:c r="AM35" s="106"/>
      <x:c r="AN35" s="106"/>
      <x:c r="AO35" s="106"/>
      <x:c r="AP35" s="106"/>
      <x:c r="AQ35" s="106"/>
      <x:c r="AR35" s="106"/>
      <x:c r="AS35" s="106"/>
      <x:c r="AT35" s="106"/>
      <x:c r="AU35" s="106"/>
      <x:c r="AV35" s="106"/>
      <x:c r="AW35" s="106"/>
      <x:c r="AX35" s="106"/>
      <x:c r="AY35" s="106"/>
      <x:c r="AZ35" s="106"/>
      <x:c r="BA35" s="106"/>
    </x:row>
    <x:row r="36">
      <x:c r="A36" s="106"/>
      <x:c r="B36" s="106"/>
      <x:c r="C36" s="106"/>
      <x:c r="D36" s="106"/>
      <x:c r="E36" s="106"/>
      <x:c r="F36" s="106"/>
      <x:c r="G36" s="106"/>
      <x:c r="H36" s="106"/>
      <x:c r="I36" s="106"/>
      <x:c r="J36" s="106"/>
      <x:c r="K36" s="106"/>
      <x:c r="L36" s="106"/>
      <x:c r="M36" s="106"/>
      <x:c r="N36" s="106"/>
      <x:c r="O36" s="106"/>
      <x:c r="P36" s="106"/>
      <x:c r="Q36" s="106"/>
      <x:c r="R36" s="106"/>
      <x:c r="S36" s="106"/>
      <x:c r="T36" s="106"/>
      <x:c r="U36" s="106"/>
      <x:c r="V36" s="106"/>
      <x:c r="W36" s="106"/>
      <x:c r="X36" s="106"/>
      <x:c r="Y36" s="106"/>
      <x:c r="Z36" s="106"/>
      <x:c r="AA36" s="106"/>
      <x:c r="AB36" s="106"/>
      <x:c r="AC36" s="106"/>
      <x:c r="AD36" s="106"/>
      <x:c r="AE36" s="106"/>
      <x:c r="AF36" s="106"/>
      <x:c r="AG36" s="106"/>
      <x:c r="AH36" s="106"/>
      <x:c r="AI36" s="106"/>
      <x:c r="AJ36" s="106"/>
      <x:c r="AK36" s="106"/>
      <x:c r="AL36" s="106"/>
      <x:c r="AM36" s="106"/>
      <x:c r="AN36" s="106"/>
      <x:c r="AO36" s="106"/>
      <x:c r="AP36" s="106"/>
      <x:c r="AQ36" s="106"/>
      <x:c r="AR36" s="106"/>
      <x:c r="AS36" s="106"/>
      <x:c r="AT36" s="106"/>
      <x:c r="AU36" s="106"/>
      <x:c r="AV36" s="106"/>
      <x:c r="AW36" s="106"/>
      <x:c r="AX36" s="106"/>
      <x:c r="AY36" s="106"/>
      <x:c r="AZ36" s="106"/>
      <x:c r="BA36" s="106"/>
    </x:row>
    <x:row r="37">
      <x:c r="A37" s="106"/>
      <x:c r="B37" s="106"/>
      <x:c r="C37" s="106"/>
      <x:c r="D37" s="106"/>
      <x:c r="E37" s="106"/>
      <x:c r="F37" s="106"/>
      <x:c r="G37" s="106"/>
      <x:c r="H37" s="106"/>
      <x:c r="I37" s="106"/>
      <x:c r="J37" s="106"/>
      <x:c r="K37" s="106"/>
      <x:c r="L37" s="106"/>
      <x:c r="M37" s="106"/>
      <x:c r="N37" s="106"/>
      <x:c r="O37" s="106"/>
      <x:c r="P37" s="106"/>
      <x:c r="Q37" s="106"/>
      <x:c r="R37" s="106"/>
      <x:c r="S37" s="106"/>
      <x:c r="T37" s="106"/>
      <x:c r="U37" s="106"/>
      <x:c r="V37" s="106"/>
      <x:c r="W37" s="106"/>
      <x:c r="X37" s="106"/>
      <x:c r="Y37" s="106"/>
      <x:c r="Z37" s="106"/>
      <x:c r="AA37" s="106"/>
      <x:c r="AB37" s="106"/>
      <x:c r="AC37" s="106"/>
      <x:c r="AD37" s="106"/>
      <x:c r="AE37" s="106"/>
      <x:c r="AF37" s="106"/>
      <x:c r="AG37" s="106"/>
      <x:c r="AH37" s="106"/>
      <x:c r="AI37" s="106"/>
      <x:c r="AJ37" s="106"/>
      <x:c r="AK37" s="106"/>
      <x:c r="AL37" s="106"/>
      <x:c r="AM37" s="106"/>
      <x:c r="AN37" s="106"/>
      <x:c r="AO37" s="106"/>
      <x:c r="AP37" s="106"/>
      <x:c r="AQ37" s="106"/>
      <x:c r="AR37" s="106"/>
      <x:c r="AS37" s="106"/>
      <x:c r="AT37" s="106"/>
      <x:c r="AU37" s="106"/>
      <x:c r="AV37" s="106"/>
      <x:c r="AW37" s="106"/>
      <x:c r="AX37" s="106"/>
      <x:c r="AY37" s="106"/>
      <x:c r="AZ37" s="106"/>
      <x:c r="BA37" s="106"/>
    </x:row>
    <x:row r="38">
      <x:c r="A38" s="106"/>
      <x:c r="B38" s="106"/>
      <x:c r="C38" s="106"/>
      <x:c r="D38" s="106"/>
      <x:c r="E38" s="106"/>
      <x:c r="F38" s="106"/>
      <x:c r="G38" s="106"/>
      <x:c r="H38" s="106"/>
      <x:c r="I38" s="106"/>
      <x:c r="J38" s="106"/>
      <x:c r="K38" s="106"/>
      <x:c r="L38" s="106"/>
      <x:c r="M38" s="106"/>
      <x:c r="N38" s="106"/>
      <x:c r="O38" s="106"/>
      <x:c r="P38" s="106"/>
      <x:c r="Q38" s="106"/>
      <x:c r="R38" s="106"/>
      <x:c r="S38" s="106"/>
      <x:c r="T38" s="106"/>
      <x:c r="U38" s="106"/>
      <x:c r="V38" s="106"/>
      <x:c r="W38" s="106"/>
      <x:c r="X38" s="106"/>
      <x:c r="Y38" s="106"/>
      <x:c r="Z38" s="106"/>
      <x:c r="AA38" s="106"/>
      <x:c r="AB38" s="106"/>
      <x:c r="AC38" s="106"/>
      <x:c r="AD38" s="106"/>
      <x:c r="AE38" s="106"/>
      <x:c r="AF38" s="106"/>
      <x:c r="AG38" s="106"/>
      <x:c r="AH38" s="106"/>
      <x:c r="AI38" s="106"/>
      <x:c r="AJ38" s="106"/>
      <x:c r="AK38" s="106"/>
      <x:c r="AL38" s="106"/>
      <x:c r="AM38" s="106"/>
      <x:c r="AN38" s="106"/>
      <x:c r="AO38" s="106"/>
      <x:c r="AP38" s="106"/>
      <x:c r="AQ38" s="106"/>
      <x:c r="AR38" s="106"/>
      <x:c r="AS38" s="106"/>
      <x:c r="AT38" s="106"/>
      <x:c r="AU38" s="106"/>
      <x:c r="AV38" s="106"/>
      <x:c r="AW38" s="106"/>
      <x:c r="AX38" s="106"/>
      <x:c r="AY38" s="106"/>
      <x:c r="AZ38" s="106"/>
      <x:c r="BA38" s="106"/>
    </x:row>
    <x:row r="39">
      <x:c r="A39" s="106"/>
      <x:c r="B39" s="106"/>
      <x:c r="C39" s="106"/>
      <x:c r="D39" s="106"/>
      <x:c r="E39" s="106"/>
      <x:c r="F39" s="106"/>
      <x:c r="G39" s="106"/>
      <x:c r="H39" s="106"/>
      <x:c r="I39" s="106"/>
      <x:c r="J39" s="106"/>
      <x:c r="K39" s="106"/>
      <x:c r="L39" s="106"/>
      <x:c r="M39" s="106"/>
      <x:c r="N39" s="106"/>
      <x:c r="O39" s="106"/>
      <x:c r="P39" s="106"/>
      <x:c r="Q39" s="106"/>
      <x:c r="R39" s="106"/>
      <x:c r="S39" s="106"/>
      <x:c r="T39" s="106"/>
      <x:c r="U39" s="106"/>
      <x:c r="V39" s="106"/>
      <x:c r="W39" s="106"/>
      <x:c r="X39" s="106"/>
      <x:c r="Y39" s="106"/>
      <x:c r="Z39" s="106"/>
      <x:c r="AA39" s="106"/>
      <x:c r="AB39" s="106"/>
      <x:c r="AC39" s="106"/>
      <x:c r="AD39" s="106"/>
      <x:c r="AE39" s="106"/>
      <x:c r="AF39" s="106"/>
      <x:c r="AG39" s="106"/>
      <x:c r="AH39" s="106"/>
      <x:c r="AI39" s="106"/>
      <x:c r="AJ39" s="106"/>
      <x:c r="AK39" s="106"/>
      <x:c r="AL39" s="106"/>
      <x:c r="AM39" s="106"/>
      <x:c r="AN39" s="106"/>
      <x:c r="AO39" s="106"/>
      <x:c r="AP39" s="106"/>
      <x:c r="AQ39" s="106"/>
      <x:c r="AR39" s="106"/>
      <x:c r="AS39" s="106"/>
      <x:c r="AT39" s="106"/>
      <x:c r="AU39" s="106"/>
      <x:c r="AV39" s="106"/>
      <x:c r="AW39" s="106"/>
      <x:c r="AX39" s="106"/>
      <x:c r="AY39" s="106"/>
      <x:c r="AZ39" s="106"/>
      <x:c r="BA39" s="106"/>
    </x:row>
    <x:row r="40">
      <x:c r="A40" s="106"/>
      <x:c r="B40" s="106"/>
      <x:c r="C40" s="106"/>
      <x:c r="D40" s="106"/>
      <x:c r="E40" s="106"/>
      <x:c r="F40" s="106"/>
      <x:c r="G40" s="106"/>
      <x:c r="H40" s="106"/>
      <x:c r="I40" s="106"/>
      <x:c r="J40" s="106"/>
      <x:c r="K40" s="106"/>
      <x:c r="L40" s="106"/>
      <x:c r="M40" s="106"/>
      <x:c r="N40" s="106"/>
      <x:c r="O40" s="106"/>
      <x:c r="P40" s="106"/>
      <x:c r="Q40" s="106"/>
      <x:c r="R40" s="106"/>
      <x:c r="S40" s="106"/>
      <x:c r="T40" s="106"/>
      <x:c r="U40" s="106"/>
      <x:c r="V40" s="106"/>
      <x:c r="W40" s="106"/>
      <x:c r="X40" s="106"/>
      <x:c r="Y40" s="106"/>
      <x:c r="Z40" s="106"/>
      <x:c r="AA40" s="106"/>
      <x:c r="AB40" s="106"/>
      <x:c r="AC40" s="106"/>
      <x:c r="AD40" s="106"/>
      <x:c r="AE40" s="106"/>
      <x:c r="AF40" s="106"/>
      <x:c r="AG40" s="106"/>
      <x:c r="AH40" s="106"/>
      <x:c r="AI40" s="106"/>
      <x:c r="AJ40" s="106"/>
      <x:c r="AK40" s="106"/>
      <x:c r="AL40" s="106"/>
      <x:c r="AM40" s="106"/>
      <x:c r="AN40" s="106"/>
      <x:c r="AO40" s="106"/>
      <x:c r="AP40" s="106"/>
      <x:c r="AQ40" s="106"/>
      <x:c r="AR40" s="106"/>
      <x:c r="AS40" s="106"/>
      <x:c r="AT40" s="106"/>
      <x:c r="AU40" s="106"/>
      <x:c r="AV40" s="106"/>
      <x:c r="AW40" s="106"/>
      <x:c r="AX40" s="106"/>
      <x:c r="AY40" s="106"/>
      <x:c r="AZ40" s="106"/>
      <x:c r="BA40" s="106"/>
    </x:row>
    <x:row r="41">
      <x:c r="A41" s="106"/>
      <x:c r="B41" s="106"/>
      <x:c r="C41" s="106"/>
      <x:c r="D41" s="106"/>
      <x:c r="E41" s="106"/>
      <x:c r="F41" s="106"/>
      <x:c r="G41" s="106"/>
      <x:c r="H41" s="106"/>
      <x:c r="I41" s="106"/>
      <x:c r="J41" s="106"/>
      <x:c r="K41" s="106"/>
      <x:c r="L41" s="106"/>
      <x:c r="M41" s="106"/>
      <x:c r="N41" s="106"/>
      <x:c r="O41" s="106"/>
      <x:c r="P41" s="106"/>
      <x:c r="Q41" s="106"/>
      <x:c r="R41" s="106"/>
      <x:c r="S41" s="106"/>
      <x:c r="T41" s="106"/>
      <x:c r="U41" s="106"/>
      <x:c r="V41" s="106"/>
      <x:c r="W41" s="106"/>
      <x:c r="X41" s="106"/>
      <x:c r="Y41" s="106"/>
      <x:c r="Z41" s="106"/>
      <x:c r="AA41" s="106"/>
      <x:c r="AB41" s="106"/>
      <x:c r="AC41" s="106"/>
      <x:c r="AD41" s="106"/>
      <x:c r="AE41" s="106"/>
      <x:c r="AF41" s="106"/>
      <x:c r="AG41" s="106"/>
      <x:c r="AH41" s="106"/>
      <x:c r="AI41" s="106"/>
      <x:c r="AJ41" s="106"/>
      <x:c r="AK41" s="106"/>
      <x:c r="AL41" s="106"/>
      <x:c r="AM41" s="106"/>
      <x:c r="AN41" s="106"/>
      <x:c r="AO41" s="106"/>
      <x:c r="AP41" s="106"/>
      <x:c r="AQ41" s="106"/>
      <x:c r="AR41" s="106"/>
      <x:c r="AS41" s="106"/>
      <x:c r="AT41" s="106"/>
      <x:c r="AU41" s="106"/>
      <x:c r="AV41" s="106"/>
      <x:c r="AW41" s="106"/>
      <x:c r="AX41" s="106"/>
      <x:c r="AY41" s="106"/>
      <x:c r="AZ41" s="106"/>
      <x:c r="BA41" s="106"/>
    </x:row>
    <x:row r="42">
      <x:c r="A42" s="106"/>
      <x:c r="B42" s="106"/>
      <x:c r="C42" s="106"/>
      <x:c r="D42" s="106"/>
      <x:c r="E42" s="106"/>
      <x:c r="F42" s="106"/>
      <x:c r="G42" s="106"/>
      <x:c r="H42" s="106"/>
      <x:c r="I42" s="106"/>
      <x:c r="J42" s="106"/>
      <x:c r="K42" s="106"/>
      <x:c r="L42" s="106"/>
      <x:c r="M42" s="106"/>
      <x:c r="N42" s="106"/>
      <x:c r="O42" s="106"/>
      <x:c r="P42" s="106"/>
      <x:c r="Q42" s="106"/>
      <x:c r="R42" s="106"/>
      <x:c r="S42" s="106"/>
      <x:c r="T42" s="106"/>
      <x:c r="U42" s="106"/>
      <x:c r="V42" s="106"/>
      <x:c r="W42" s="106"/>
      <x:c r="X42" s="106"/>
      <x:c r="Y42" s="106"/>
      <x:c r="Z42" s="106"/>
      <x:c r="AA42" s="106"/>
      <x:c r="AB42" s="106"/>
      <x:c r="AC42" s="106"/>
      <x:c r="AD42" s="106"/>
      <x:c r="AE42" s="106"/>
      <x:c r="AF42" s="106"/>
      <x:c r="AG42" s="106"/>
      <x:c r="AH42" s="106"/>
      <x:c r="AI42" s="106"/>
      <x:c r="AJ42" s="106"/>
      <x:c r="AK42" s="106"/>
      <x:c r="AL42" s="106"/>
      <x:c r="AM42" s="106"/>
      <x:c r="AN42" s="106"/>
      <x:c r="AO42" s="106"/>
      <x:c r="AP42" s="106"/>
      <x:c r="AQ42" s="106"/>
      <x:c r="AR42" s="106"/>
      <x:c r="AS42" s="106"/>
      <x:c r="AT42" s="106"/>
      <x:c r="AU42" s="106"/>
      <x:c r="AV42" s="106"/>
      <x:c r="AW42" s="106"/>
      <x:c r="AX42" s="106"/>
      <x:c r="AY42" s="106"/>
      <x:c r="AZ42" s="106"/>
      <x:c r="BA42" s="106"/>
    </x:row>
    <x:row r="43">
      <x:c r="A43" s="106"/>
      <x:c r="B43" s="106"/>
      <x:c r="C43" s="106"/>
      <x:c r="D43" s="106"/>
      <x:c r="E43" s="106"/>
      <x:c r="F43" s="106"/>
      <x:c r="G43" s="106"/>
      <x:c r="H43" s="106"/>
      <x:c r="I43" s="106"/>
      <x:c r="J43" s="106"/>
      <x:c r="K43" s="106"/>
      <x:c r="L43" s="106"/>
      <x:c r="M43" s="106"/>
      <x:c r="N43" s="106"/>
      <x:c r="O43" s="106"/>
      <x:c r="P43" s="106"/>
      <x:c r="Q43" s="106"/>
      <x:c r="R43" s="106"/>
      <x:c r="S43" s="106"/>
      <x:c r="T43" s="106"/>
      <x:c r="U43" s="106"/>
      <x:c r="V43" s="106"/>
      <x:c r="W43" s="106"/>
      <x:c r="X43" s="106"/>
      <x:c r="Y43" s="106"/>
      <x:c r="Z43" s="106"/>
      <x:c r="AA43" s="106"/>
      <x:c r="AB43" s="106"/>
      <x:c r="AC43" s="106"/>
      <x:c r="AD43" s="106"/>
      <x:c r="AE43" s="106"/>
      <x:c r="AF43" s="106"/>
      <x:c r="AG43" s="106"/>
      <x:c r="AH43" s="106"/>
      <x:c r="AI43" s="106"/>
      <x:c r="AJ43" s="106"/>
      <x:c r="AK43" s="106"/>
      <x:c r="AL43" s="106"/>
      <x:c r="AM43" s="106"/>
      <x:c r="AN43" s="106"/>
      <x:c r="AO43" s="106"/>
      <x:c r="AP43" s="106"/>
      <x:c r="AQ43" s="106"/>
      <x:c r="AR43" s="106"/>
      <x:c r="AS43" s="106"/>
      <x:c r="AT43" s="106"/>
      <x:c r="AU43" s="106"/>
      <x:c r="AV43" s="106"/>
      <x:c r="AW43" s="106"/>
      <x:c r="AX43" s="106"/>
      <x:c r="AY43" s="106"/>
      <x:c r="AZ43" s="106"/>
      <x:c r="BA43" s="106"/>
    </x:row>
    <x:row r="44">
      <x:c r="A44" s="106"/>
      <x:c r="B44" s="106"/>
      <x:c r="C44" s="106"/>
      <x:c r="D44" s="106"/>
      <x:c r="E44" s="106"/>
      <x:c r="F44" s="106"/>
      <x:c r="G44" s="106"/>
      <x:c r="H44" s="106"/>
      <x:c r="I44" s="106"/>
      <x:c r="J44" s="106"/>
      <x:c r="K44" s="106"/>
      <x:c r="L44" s="106"/>
      <x:c r="M44" s="106"/>
      <x:c r="N44" s="106"/>
      <x:c r="O44" s="106"/>
      <x:c r="P44" s="106"/>
      <x:c r="Q44" s="106"/>
      <x:c r="R44" s="106"/>
      <x:c r="S44" s="106"/>
      <x:c r="T44" s="106"/>
      <x:c r="U44" s="106"/>
      <x:c r="V44" s="106"/>
      <x:c r="W44" s="106"/>
      <x:c r="X44" s="106"/>
      <x:c r="Y44" s="106"/>
      <x:c r="Z44" s="106"/>
      <x:c r="AA44" s="106"/>
      <x:c r="AB44" s="106"/>
      <x:c r="AC44" s="106"/>
      <x:c r="AD44" s="106"/>
      <x:c r="AE44" s="106"/>
      <x:c r="AF44" s="106"/>
      <x:c r="AG44" s="106"/>
      <x:c r="AH44" s="106"/>
      <x:c r="AI44" s="106"/>
      <x:c r="AJ44" s="106"/>
      <x:c r="AK44" s="106"/>
      <x:c r="AL44" s="106"/>
      <x:c r="AM44" s="106"/>
      <x:c r="AN44" s="106"/>
      <x:c r="AO44" s="106"/>
      <x:c r="AP44" s="106"/>
      <x:c r="AQ44" s="106"/>
      <x:c r="AR44" s="106"/>
      <x:c r="AS44" s="106"/>
      <x:c r="AT44" s="106"/>
      <x:c r="AU44" s="106"/>
      <x:c r="AV44" s="106"/>
      <x:c r="AW44" s="106"/>
      <x:c r="AX44" s="106"/>
      <x:c r="AY44" s="106"/>
      <x:c r="AZ44" s="106"/>
      <x:c r="BA44" s="106"/>
    </x:row>
    <x:row r="45">
      <x:c r="A45" s="106"/>
      <x:c r="B45" s="106"/>
      <x:c r="C45" s="106"/>
      <x:c r="D45" s="106"/>
      <x:c r="E45" s="106"/>
      <x:c r="F45" s="106"/>
      <x:c r="G45" s="106"/>
      <x:c r="H45" s="106"/>
      <x:c r="I45" s="106"/>
      <x:c r="J45" s="106"/>
      <x:c r="K45" s="106"/>
      <x:c r="L45" s="106"/>
      <x:c r="M45" s="106"/>
      <x:c r="N45" s="106"/>
      <x:c r="O45" s="106"/>
      <x:c r="P45" s="106"/>
      <x:c r="Q45" s="106"/>
      <x:c r="R45" s="106"/>
      <x:c r="S45" s="106"/>
      <x:c r="T45" s="106"/>
      <x:c r="U45" s="106"/>
      <x:c r="V45" s="106"/>
      <x:c r="W45" s="106"/>
      <x:c r="X45" s="106"/>
      <x:c r="Y45" s="106"/>
      <x:c r="Z45" s="106"/>
      <x:c r="AA45" s="106"/>
      <x:c r="AB45" s="106"/>
      <x:c r="AC45" s="106"/>
      <x:c r="AD45" s="106"/>
      <x:c r="AE45" s="106"/>
      <x:c r="AF45" s="106"/>
      <x:c r="AG45" s="106"/>
      <x:c r="AH45" s="106"/>
      <x:c r="AI45" s="106"/>
      <x:c r="AJ45" s="106"/>
      <x:c r="AK45" s="106"/>
      <x:c r="AL45" s="106"/>
      <x:c r="AM45" s="106"/>
      <x:c r="AN45" s="106"/>
      <x:c r="AO45" s="106"/>
      <x:c r="AP45" s="106"/>
      <x:c r="AQ45" s="106"/>
      <x:c r="AR45" s="106"/>
      <x:c r="AS45" s="106"/>
      <x:c r="AT45" s="106"/>
      <x:c r="AU45" s="106"/>
      <x:c r="AV45" s="106"/>
      <x:c r="AW45" s="106"/>
      <x:c r="AX45" s="106"/>
      <x:c r="AY45" s="106"/>
      <x:c r="AZ45" s="106"/>
      <x:c r="BA45" s="106"/>
    </x:row>
    <x:row r="46">
      <x:c r="A46" s="106"/>
      <x:c r="B46" s="106"/>
      <x:c r="C46" s="106"/>
      <x:c r="D46" s="106"/>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c r="AO46" s="106"/>
      <x:c r="AP46" s="106"/>
      <x:c r="AQ46" s="106"/>
      <x:c r="AR46" s="106"/>
      <x:c r="AS46" s="106"/>
      <x:c r="AT46" s="106"/>
      <x:c r="AU46" s="106"/>
      <x:c r="AV46" s="106"/>
      <x:c r="AW46" s="106"/>
      <x:c r="AX46" s="106"/>
      <x:c r="AY46" s="106"/>
      <x:c r="AZ46" s="106"/>
      <x:c r="BA46" s="106"/>
    </x:row>
    <x:row r="47">
      <x:c r="A47" s="106"/>
      <x:c r="B47" s="106"/>
      <x:c r="C47" s="106"/>
      <x:c r="D47" s="10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c r="AO47" s="106"/>
      <x:c r="AP47" s="106"/>
      <x:c r="AQ47" s="106"/>
      <x:c r="AR47" s="106"/>
      <x:c r="AS47" s="106"/>
      <x:c r="AT47" s="106"/>
      <x:c r="AU47" s="106"/>
      <x:c r="AV47" s="106"/>
      <x:c r="AW47" s="106"/>
      <x:c r="AX47" s="106"/>
      <x:c r="AY47" s="106"/>
      <x:c r="AZ47" s="106"/>
      <x:c r="BA47" s="106"/>
    </x:row>
    <x:row r="48">
      <x:c r="A48" s="106"/>
      <x:c r="B48" s="106"/>
      <x:c r="C48" s="106"/>
      <x:c r="D48" s="106"/>
      <x:c r="E48" s="106"/>
      <x:c r="F48" s="106"/>
      <x:c r="G48" s="106"/>
      <x:c r="H48" s="106"/>
      <x:c r="I48" s="106"/>
      <x:c r="J48" s="106"/>
      <x:c r="K48" s="106"/>
      <x:c r="L48" s="106"/>
      <x:c r="M48" s="106"/>
      <x:c r="N48" s="106"/>
      <x:c r="O48" s="106"/>
      <x:c r="P48" s="106"/>
      <x:c r="Q48" s="106"/>
      <x:c r="R48" s="106"/>
      <x:c r="S48" s="106"/>
      <x:c r="T48" s="106"/>
      <x:c r="U48" s="106"/>
      <x:c r="V48" s="106"/>
      <x:c r="W48" s="106"/>
      <x:c r="X48" s="106"/>
      <x:c r="Y48" s="106"/>
      <x:c r="Z48" s="106"/>
      <x:c r="AA48" s="106"/>
      <x:c r="AB48" s="106"/>
      <x:c r="AC48" s="106"/>
      <x:c r="AD48" s="106"/>
      <x:c r="AE48" s="106"/>
      <x:c r="AF48" s="106"/>
      <x:c r="AG48" s="106"/>
      <x:c r="AH48" s="106"/>
      <x:c r="AI48" s="106"/>
      <x:c r="AJ48" s="106"/>
      <x:c r="AK48" s="106"/>
      <x:c r="AL48" s="106"/>
      <x:c r="AM48" s="106"/>
      <x:c r="AN48" s="106"/>
      <x:c r="AO48" s="106"/>
      <x:c r="AP48" s="106"/>
      <x:c r="AQ48" s="106"/>
      <x:c r="AR48" s="106"/>
      <x:c r="AS48" s="106"/>
      <x:c r="AT48" s="106"/>
      <x:c r="AU48" s="106"/>
      <x:c r="AV48" s="106"/>
      <x:c r="AW48" s="106"/>
      <x:c r="AX48" s="106"/>
      <x:c r="AY48" s="106"/>
      <x:c r="AZ48" s="106"/>
      <x:c r="BA48" s="106"/>
    </x:row>
    <x:row r="49">
      <x:c r="A49" s="106"/>
      <x:c r="B49" s="106"/>
      <x:c r="C49" s="106"/>
      <x:c r="D49" s="106"/>
      <x:c r="E49" s="106"/>
      <x:c r="F49" s="106"/>
      <x:c r="G49" s="106"/>
      <x:c r="H49" s="106"/>
      <x:c r="I49" s="106"/>
      <x:c r="J49" s="106"/>
      <x:c r="K49" s="106"/>
      <x:c r="L49" s="106"/>
      <x:c r="M49" s="106"/>
      <x:c r="N49" s="106"/>
      <x:c r="O49" s="106"/>
      <x:c r="P49" s="106"/>
      <x:c r="Q49" s="106"/>
      <x:c r="R49" s="106"/>
      <x:c r="S49" s="106"/>
      <x:c r="T49" s="106"/>
      <x:c r="U49" s="106"/>
      <x:c r="V49" s="106"/>
      <x:c r="W49" s="106"/>
      <x:c r="X49" s="106"/>
      <x:c r="Y49" s="106"/>
      <x:c r="Z49" s="106"/>
      <x:c r="AA49" s="106"/>
      <x:c r="AB49" s="106"/>
      <x:c r="AC49" s="106"/>
      <x:c r="AD49" s="106"/>
      <x:c r="AE49" s="106"/>
      <x:c r="AF49" s="106"/>
      <x:c r="AG49" s="106"/>
      <x:c r="AH49" s="106"/>
      <x:c r="AI49" s="106"/>
      <x:c r="AJ49" s="106"/>
      <x:c r="AK49" s="106"/>
      <x:c r="AL49" s="106"/>
      <x:c r="AM49" s="106"/>
      <x:c r="AN49" s="106"/>
      <x:c r="AO49" s="106"/>
      <x:c r="AP49" s="106"/>
      <x:c r="AQ49" s="106"/>
      <x:c r="AR49" s="106"/>
      <x:c r="AS49" s="106"/>
      <x:c r="AT49" s="106"/>
      <x:c r="AU49" s="106"/>
      <x:c r="AV49" s="106"/>
      <x:c r="AW49" s="106"/>
      <x:c r="AX49" s="106"/>
      <x:c r="AY49" s="106"/>
      <x:c r="AZ49" s="106"/>
      <x:c r="BA49" s="106"/>
    </x:row>
    <x:row r="50">
      <x:c r="A50" s="106"/>
      <x:c r="B50" s="106"/>
      <x:c r="C50" s="106"/>
      <x:c r="D50" s="106"/>
      <x:c r="E50" s="106"/>
      <x:c r="F50" s="106"/>
      <x:c r="G50" s="106"/>
      <x:c r="H50" s="106"/>
      <x:c r="I50" s="106"/>
      <x:c r="J50" s="106"/>
      <x:c r="K50" s="106"/>
      <x:c r="L50" s="106"/>
      <x:c r="M50" s="106"/>
      <x:c r="N50" s="106"/>
      <x:c r="O50" s="106"/>
      <x:c r="P50" s="106"/>
      <x:c r="Q50" s="106"/>
      <x:c r="R50" s="106"/>
      <x:c r="S50" s="106"/>
      <x:c r="T50" s="106"/>
      <x:c r="U50" s="106"/>
      <x:c r="V50" s="106"/>
      <x:c r="W50" s="106"/>
      <x:c r="X50" s="106"/>
      <x:c r="Y50" s="106"/>
      <x:c r="Z50" s="106"/>
      <x:c r="AA50" s="106"/>
      <x:c r="AB50" s="106"/>
      <x:c r="AC50" s="106"/>
      <x:c r="AD50" s="106"/>
      <x:c r="AE50" s="106"/>
      <x:c r="AF50" s="106"/>
      <x:c r="AG50" s="106"/>
      <x:c r="AH50" s="106"/>
      <x:c r="AI50" s="106"/>
      <x:c r="AJ50" s="106"/>
      <x:c r="AK50" s="106"/>
      <x:c r="AL50" s="106"/>
      <x:c r="AM50" s="106"/>
      <x:c r="AN50" s="106"/>
      <x:c r="AO50" s="106"/>
      <x:c r="AP50" s="106"/>
      <x:c r="AQ50" s="106"/>
      <x:c r="AR50" s="106"/>
      <x:c r="AS50" s="106"/>
      <x:c r="AT50" s="106"/>
      <x:c r="AU50" s="106"/>
      <x:c r="AV50" s="106"/>
      <x:c r="AW50" s="106"/>
      <x:c r="AX50" s="106"/>
      <x:c r="AY50" s="106"/>
      <x:c r="AZ50" s="106"/>
      <x:c r="BA50" s="106"/>
    </x:row>
    <x:row r="51">
      <x:c r="A51" s="106"/>
      <x:c r="B51" s="106"/>
      <x:c r="C51" s="106"/>
      <x:c r="D51" s="106"/>
      <x:c r="E51" s="106"/>
      <x:c r="F51" s="106"/>
      <x:c r="G51" s="106"/>
      <x:c r="H51" s="106"/>
      <x:c r="I51" s="106"/>
      <x:c r="J51" s="106"/>
      <x:c r="K51" s="106"/>
      <x:c r="L51" s="106"/>
      <x:c r="M51" s="106"/>
      <x:c r="N51" s="106"/>
      <x:c r="O51" s="106"/>
      <x:c r="P51" s="106"/>
      <x:c r="Q51" s="106"/>
      <x:c r="R51" s="106"/>
      <x:c r="S51" s="106"/>
      <x:c r="T51" s="106"/>
      <x:c r="U51" s="106"/>
      <x:c r="V51" s="106"/>
      <x:c r="W51" s="106"/>
      <x:c r="X51" s="106"/>
      <x:c r="Y51" s="106"/>
      <x:c r="Z51" s="106"/>
      <x:c r="AA51" s="106"/>
      <x:c r="AB51" s="106"/>
      <x:c r="AC51" s="106"/>
      <x:c r="AD51" s="106"/>
      <x:c r="AE51" s="106"/>
      <x:c r="AF51" s="106"/>
      <x:c r="AG51" s="106"/>
      <x:c r="AH51" s="106"/>
      <x:c r="AI51" s="106"/>
      <x:c r="AJ51" s="106"/>
      <x:c r="AK51" s="106"/>
      <x:c r="AL51" s="106"/>
      <x:c r="AM51" s="106"/>
      <x:c r="AN51" s="106"/>
      <x:c r="AO51" s="106"/>
      <x:c r="AP51" s="106"/>
      <x:c r="AQ51" s="106"/>
      <x:c r="AR51" s="106"/>
      <x:c r="AS51" s="106"/>
      <x:c r="AT51" s="106"/>
      <x:c r="AU51" s="106"/>
      <x:c r="AV51" s="106"/>
      <x:c r="AW51" s="106"/>
      <x:c r="AX51" s="106"/>
      <x:c r="AY51" s="106"/>
      <x:c r="AZ51" s="106"/>
      <x:c r="BA51" s="106"/>
    </x:row>
    <x:row r="52">
      <x:c r="A52" s="106"/>
      <x:c r="B52" s="106"/>
      <x:c r="C52" s="106"/>
      <x:c r="D52" s="106"/>
      <x:c r="E52" s="106"/>
      <x:c r="F52" s="106"/>
      <x:c r="G52" s="106"/>
      <x:c r="H52" s="106"/>
      <x:c r="I52" s="106"/>
      <x:c r="J52" s="106"/>
      <x:c r="K52" s="106"/>
      <x:c r="L52" s="106"/>
      <x:c r="M52" s="106"/>
      <x:c r="N52" s="106"/>
      <x:c r="O52" s="106"/>
      <x:c r="P52" s="106"/>
      <x:c r="Q52" s="106"/>
      <x:c r="R52" s="106"/>
      <x:c r="S52" s="106"/>
      <x:c r="T52" s="106"/>
      <x:c r="U52" s="106"/>
      <x:c r="V52" s="106"/>
      <x:c r="W52" s="106"/>
      <x:c r="X52" s="106"/>
      <x:c r="Y52" s="106"/>
      <x:c r="Z52" s="106"/>
      <x:c r="AA52" s="106"/>
      <x:c r="AB52" s="106"/>
      <x:c r="AC52" s="106"/>
      <x:c r="AD52" s="106"/>
      <x:c r="AE52" s="106"/>
      <x:c r="AF52" s="106"/>
      <x:c r="AG52" s="106"/>
      <x:c r="AH52" s="106"/>
      <x:c r="AI52" s="106"/>
      <x:c r="AJ52" s="106"/>
      <x:c r="AK52" s="106"/>
      <x:c r="AL52" s="106"/>
      <x:c r="AM52" s="106"/>
      <x:c r="AN52" s="106"/>
      <x:c r="AO52" s="106"/>
      <x:c r="AP52" s="106"/>
      <x:c r="AQ52" s="106"/>
      <x:c r="AR52" s="106"/>
      <x:c r="AS52" s="106"/>
      <x:c r="AT52" s="106"/>
      <x:c r="AU52" s="106"/>
      <x:c r="AV52" s="106"/>
      <x:c r="AW52" s="106"/>
      <x:c r="AX52" s="106"/>
      <x:c r="AY52" s="106"/>
      <x:c r="AZ52" s="106"/>
      <x:c r="BA52" s="106"/>
    </x:row>
    <x:row r="53">
      <x:c r="A53" s="106"/>
      <x:c r="B53" s="106"/>
      <x:c r="C53" s="106"/>
      <x:c r="D53" s="106"/>
      <x:c r="E53" s="106"/>
      <x:c r="F53" s="106"/>
      <x:c r="G53" s="106"/>
      <x:c r="H53" s="106"/>
      <x:c r="I53" s="106"/>
      <x:c r="J53" s="106"/>
      <x:c r="K53" s="106"/>
      <x:c r="L53" s="106"/>
      <x:c r="M53" s="106"/>
      <x:c r="N53" s="106"/>
      <x:c r="O53" s="106"/>
      <x:c r="P53" s="106"/>
      <x:c r="Q53" s="106"/>
      <x:c r="R53" s="106"/>
      <x:c r="S53" s="106"/>
      <x:c r="T53" s="106"/>
      <x:c r="U53" s="106"/>
      <x:c r="V53" s="106"/>
      <x:c r="W53" s="106"/>
      <x:c r="X53" s="106"/>
      <x:c r="Y53" s="106"/>
      <x:c r="Z53" s="106"/>
      <x:c r="AA53" s="106"/>
      <x:c r="AB53" s="106"/>
      <x:c r="AC53" s="106"/>
      <x:c r="AD53" s="106"/>
      <x:c r="AE53" s="106"/>
      <x:c r="AF53" s="106"/>
      <x:c r="AG53" s="106"/>
      <x:c r="AH53" s="106"/>
      <x:c r="AI53" s="106"/>
      <x:c r="AJ53" s="106"/>
      <x:c r="AK53" s="106"/>
      <x:c r="AL53" s="106"/>
      <x:c r="AM53" s="106"/>
      <x:c r="AN53" s="106"/>
      <x:c r="AO53" s="106"/>
      <x:c r="AP53" s="106"/>
      <x:c r="AQ53" s="106"/>
      <x:c r="AR53" s="106"/>
      <x:c r="AS53" s="106"/>
      <x:c r="AT53" s="106"/>
      <x:c r="AU53" s="106"/>
      <x:c r="AV53" s="106"/>
      <x:c r="AW53" s="106"/>
      <x:c r="AX53" s="106"/>
      <x:c r="AY53" s="106"/>
      <x:c r="AZ53" s="106"/>
      <x:c r="BA53" s="106"/>
    </x:row>
    <x:row r="54">
      <x:c r="A54" s="106"/>
      <x:c r="B54" s="106"/>
      <x:c r="C54" s="106"/>
      <x:c r="D54" s="106"/>
      <x:c r="E54" s="106"/>
      <x:c r="F54" s="106"/>
      <x:c r="G54" s="106"/>
      <x:c r="H54" s="106"/>
      <x:c r="I54" s="106"/>
      <x:c r="J54" s="106"/>
      <x:c r="K54" s="106"/>
      <x:c r="L54" s="106"/>
      <x:c r="M54" s="106"/>
      <x:c r="N54" s="106"/>
      <x:c r="O54" s="106"/>
      <x:c r="P54" s="106"/>
      <x:c r="Q54" s="106"/>
      <x:c r="R54" s="106"/>
      <x:c r="S54" s="106"/>
      <x:c r="T54" s="106"/>
      <x:c r="U54" s="106"/>
      <x:c r="V54" s="106"/>
      <x:c r="W54" s="106"/>
      <x:c r="X54" s="106"/>
      <x:c r="Y54" s="106"/>
      <x:c r="Z54" s="106"/>
      <x:c r="AA54" s="106"/>
      <x:c r="AB54" s="106"/>
      <x:c r="AC54" s="106"/>
      <x:c r="AD54" s="106"/>
      <x:c r="AE54" s="106"/>
      <x:c r="AF54" s="106"/>
      <x:c r="AG54" s="106"/>
      <x:c r="AH54" s="106"/>
      <x:c r="AI54" s="106"/>
      <x:c r="AJ54" s="106"/>
      <x:c r="AK54" s="106"/>
      <x:c r="AL54" s="106"/>
      <x:c r="AM54" s="106"/>
      <x:c r="AN54" s="106"/>
      <x:c r="AO54" s="106"/>
      <x:c r="AP54" s="106"/>
      <x:c r="AQ54" s="106"/>
      <x:c r="AR54" s="106"/>
      <x:c r="AS54" s="106"/>
      <x:c r="AT54" s="106"/>
      <x:c r="AU54" s="106"/>
      <x:c r="AV54" s="106"/>
      <x:c r="AW54" s="106"/>
      <x:c r="AX54" s="106"/>
      <x:c r="AY54" s="106"/>
      <x:c r="AZ54" s="106"/>
      <x:c r="BA54" s="106"/>
    </x:row>
    <x:row r="55">
      <x:c r="A55" s="106"/>
      <x:c r="B55" s="106"/>
      <x:c r="C55" s="106"/>
      <x:c r="D55" s="106"/>
      <x:c r="E55" s="106"/>
      <x:c r="F55" s="106"/>
      <x:c r="G55" s="106"/>
      <x:c r="H55" s="106"/>
      <x:c r="I55" s="106"/>
      <x:c r="J55" s="106"/>
      <x:c r="K55" s="106"/>
      <x:c r="L55" s="106"/>
      <x:c r="M55" s="106"/>
      <x:c r="N55" s="106"/>
      <x:c r="O55" s="106"/>
      <x:c r="P55" s="106"/>
      <x:c r="Q55" s="106"/>
      <x:c r="R55" s="106"/>
      <x:c r="S55" s="106"/>
      <x:c r="T55" s="106"/>
      <x:c r="U55" s="106"/>
      <x:c r="V55" s="106"/>
      <x:c r="W55" s="106"/>
      <x:c r="X55" s="106"/>
      <x:c r="Y55" s="106"/>
      <x:c r="Z55" s="106"/>
      <x:c r="AA55" s="106"/>
      <x:c r="AB55" s="106"/>
      <x:c r="AC55" s="106"/>
      <x:c r="AD55" s="106"/>
      <x:c r="AE55" s="106"/>
      <x:c r="AF55" s="106"/>
      <x:c r="AG55" s="106"/>
      <x:c r="AH55" s="106"/>
      <x:c r="AI55" s="106"/>
      <x:c r="AJ55" s="106"/>
      <x:c r="AK55" s="106"/>
      <x:c r="AL55" s="106"/>
      <x:c r="AM55" s="106"/>
      <x:c r="AN55" s="106"/>
      <x:c r="AO55" s="106"/>
      <x:c r="AP55" s="106"/>
      <x:c r="AQ55" s="106"/>
      <x:c r="AR55" s="106"/>
      <x:c r="AS55" s="106"/>
      <x:c r="AT55" s="106"/>
      <x:c r="AU55" s="106"/>
      <x:c r="AV55" s="106"/>
      <x:c r="AW55" s="106"/>
      <x:c r="AX55" s="106"/>
      <x:c r="AY55" s="106"/>
      <x:c r="AZ55" s="106"/>
      <x:c r="BA55" s="106"/>
    </x:row>
    <x:row r="56">
      <x:c r="A56" s="106"/>
      <x:c r="B56" s="106"/>
      <x:c r="C56" s="106"/>
      <x:c r="D56" s="106"/>
      <x:c r="E56" s="106"/>
      <x:c r="F56" s="106"/>
      <x:c r="G56" s="106"/>
      <x:c r="H56" s="106"/>
      <x:c r="I56" s="106"/>
      <x:c r="J56" s="106"/>
      <x:c r="K56" s="106"/>
      <x:c r="L56" s="106"/>
      <x:c r="M56" s="106"/>
      <x:c r="N56" s="106"/>
      <x:c r="O56" s="106"/>
      <x:c r="P56" s="106"/>
      <x:c r="Q56" s="106"/>
      <x:c r="R56" s="106"/>
      <x:c r="S56" s="106"/>
      <x:c r="T56" s="106"/>
      <x:c r="U56" s="106"/>
      <x:c r="V56" s="106"/>
      <x:c r="W56" s="106"/>
      <x:c r="X56" s="106"/>
      <x:c r="Y56" s="106"/>
      <x:c r="Z56" s="106"/>
      <x:c r="AA56" s="106"/>
      <x:c r="AB56" s="106"/>
      <x:c r="AC56" s="106"/>
      <x:c r="AD56" s="106"/>
      <x:c r="AE56" s="106"/>
      <x:c r="AF56" s="106"/>
      <x:c r="AG56" s="106"/>
      <x:c r="AH56" s="106"/>
      <x:c r="AI56" s="106"/>
      <x:c r="AJ56" s="106"/>
      <x:c r="AK56" s="106"/>
      <x:c r="AL56" s="106"/>
      <x:c r="AM56" s="106"/>
      <x:c r="AN56" s="106"/>
      <x:c r="AO56" s="106"/>
      <x:c r="AP56" s="106"/>
      <x:c r="AQ56" s="106"/>
      <x:c r="AR56" s="106"/>
      <x:c r="AS56" s="106"/>
      <x:c r="AT56" s="106"/>
      <x:c r="AU56" s="106"/>
      <x:c r="AV56" s="106"/>
      <x:c r="AW56" s="106"/>
      <x:c r="AX56" s="106"/>
      <x:c r="AY56" s="106"/>
      <x:c r="AZ56" s="106"/>
      <x:c r="BA56" s="106"/>
    </x:row>
    <x:row r="57">
      <x:c r="A57" s="106"/>
      <x:c r="B57" s="106"/>
      <x:c r="C57" s="106"/>
      <x:c r="D57" s="106"/>
      <x:c r="E57" s="106"/>
      <x:c r="F57" s="106"/>
      <x:c r="G57" s="106"/>
      <x:c r="H57" s="106"/>
      <x:c r="I57" s="106"/>
      <x:c r="J57" s="106"/>
      <x:c r="K57" s="106"/>
      <x:c r="L57" s="106"/>
      <x:c r="M57" s="106"/>
      <x:c r="N57" s="106"/>
      <x:c r="O57" s="106"/>
      <x:c r="P57" s="106"/>
      <x:c r="Q57" s="106"/>
      <x:c r="R57" s="106"/>
      <x:c r="S57" s="106"/>
      <x:c r="T57" s="106"/>
      <x:c r="U57" s="106"/>
      <x:c r="V57" s="106"/>
      <x:c r="W57" s="106"/>
      <x:c r="X57" s="106"/>
      <x:c r="Y57" s="106"/>
      <x:c r="Z57" s="106"/>
      <x:c r="AA57" s="106"/>
      <x:c r="AB57" s="106"/>
      <x:c r="AC57" s="106"/>
      <x:c r="AD57" s="106"/>
      <x:c r="AE57" s="106"/>
      <x:c r="AF57" s="106"/>
      <x:c r="AG57" s="106"/>
      <x:c r="AH57" s="106"/>
      <x:c r="AI57" s="106"/>
      <x:c r="AJ57" s="106"/>
      <x:c r="AK57" s="106"/>
      <x:c r="AL57" s="106"/>
      <x:c r="AM57" s="106"/>
      <x:c r="AN57" s="106"/>
      <x:c r="AO57" s="106"/>
      <x:c r="AP57" s="106"/>
      <x:c r="AQ57" s="106"/>
      <x:c r="AR57" s="106"/>
      <x:c r="AS57" s="106"/>
      <x:c r="AT57" s="106"/>
      <x:c r="AU57" s="106"/>
      <x:c r="AV57" s="106"/>
      <x:c r="AW57" s="106"/>
      <x:c r="AX57" s="106"/>
      <x:c r="AY57" s="106"/>
      <x:c r="AZ57" s="106"/>
      <x:c r="BA57" s="106"/>
    </x:row>
    <x:row r="58">
      <x:c r="A58" s="106"/>
      <x:c r="B58" s="106"/>
      <x:c r="C58" s="106"/>
      <x:c r="D58" s="106"/>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c r="AO58" s="106"/>
      <x:c r="AP58" s="106"/>
      <x:c r="AQ58" s="106"/>
      <x:c r="AR58" s="106"/>
      <x:c r="AS58" s="106"/>
      <x:c r="AT58" s="106"/>
      <x:c r="AU58" s="106"/>
      <x:c r="AV58" s="106"/>
      <x:c r="AW58" s="106"/>
      <x:c r="AX58" s="106"/>
      <x:c r="AY58" s="106"/>
      <x:c r="AZ58" s="106"/>
      <x:c r="BA58" s="106"/>
    </x:row>
    <x:row r="59">
      <x:c r="A59" s="106"/>
      <x:c r="B59" s="106"/>
      <x:c r="C59" s="106"/>
      <x:c r="D59" s="106"/>
      <x:c r="E59" s="106"/>
      <x:c r="F59" s="106"/>
      <x:c r="G59" s="106"/>
      <x:c r="H59" s="106"/>
      <x:c r="I59" s="106"/>
      <x:c r="J59" s="106"/>
      <x:c r="K59" s="106"/>
      <x:c r="L59" s="106"/>
      <x:c r="M59" s="106"/>
      <x:c r="N59" s="106"/>
      <x:c r="O59" s="106"/>
      <x:c r="P59" s="106"/>
      <x:c r="Q59" s="106"/>
      <x:c r="R59" s="106"/>
      <x:c r="S59" s="106"/>
      <x:c r="T59" s="106"/>
      <x:c r="U59" s="106"/>
      <x:c r="V59" s="106"/>
      <x:c r="W59" s="106"/>
      <x:c r="X59" s="106"/>
      <x:c r="Y59" s="106"/>
      <x:c r="Z59" s="106"/>
      <x:c r="AA59" s="106"/>
      <x:c r="AB59" s="106"/>
      <x:c r="AC59" s="106"/>
      <x:c r="AD59" s="106"/>
      <x:c r="AE59" s="106"/>
      <x:c r="AF59" s="106"/>
      <x:c r="AG59" s="106"/>
      <x:c r="AH59" s="106"/>
      <x:c r="AI59" s="106"/>
      <x:c r="AJ59" s="106"/>
      <x:c r="AK59" s="106"/>
      <x:c r="AL59" s="106"/>
      <x:c r="AM59" s="106"/>
      <x:c r="AN59" s="106"/>
      <x:c r="AO59" s="106"/>
      <x:c r="AP59" s="106"/>
      <x:c r="AQ59" s="106"/>
      <x:c r="AR59" s="106"/>
      <x:c r="AS59" s="106"/>
      <x:c r="AT59" s="106"/>
      <x:c r="AU59" s="106"/>
      <x:c r="AV59" s="106"/>
      <x:c r="AW59" s="106"/>
      <x:c r="AX59" s="106"/>
      <x:c r="AY59" s="106"/>
      <x:c r="AZ59" s="106"/>
      <x:c r="BA59" s="106"/>
    </x:row>
    <x:row r="60">
      <x:c r="A60" s="106"/>
      <x:c r="B60" s="106"/>
      <x:c r="C60" s="106"/>
      <x:c r="D60" s="106"/>
      <x:c r="E60" s="106"/>
      <x:c r="F60" s="106"/>
      <x:c r="G60" s="106"/>
      <x:c r="H60" s="106"/>
      <x:c r="I60" s="106"/>
      <x:c r="J60" s="106"/>
      <x:c r="K60" s="106"/>
      <x:c r="L60" s="106"/>
      <x:c r="M60" s="106"/>
      <x:c r="N60" s="106"/>
      <x:c r="O60" s="106"/>
      <x:c r="P60" s="106"/>
      <x:c r="Q60" s="106"/>
      <x:c r="R60" s="106"/>
      <x:c r="S60" s="106"/>
      <x:c r="T60" s="106"/>
      <x:c r="U60" s="106"/>
      <x:c r="V60" s="106"/>
      <x:c r="W60" s="106"/>
      <x:c r="X60" s="106"/>
      <x:c r="Y60" s="106"/>
      <x:c r="Z60" s="106"/>
      <x:c r="AA60" s="106"/>
      <x:c r="AB60" s="106"/>
      <x:c r="AC60" s="106"/>
      <x:c r="AD60" s="106"/>
      <x:c r="AE60" s="106"/>
      <x:c r="AF60" s="106"/>
      <x:c r="AG60" s="106"/>
      <x:c r="AH60" s="106"/>
      <x:c r="AI60" s="106"/>
      <x:c r="AJ60" s="106"/>
      <x:c r="AK60" s="106"/>
      <x:c r="AL60" s="106"/>
      <x:c r="AM60" s="106"/>
      <x:c r="AN60" s="106"/>
      <x:c r="AO60" s="106"/>
      <x:c r="AP60" s="106"/>
      <x:c r="AQ60" s="106"/>
      <x:c r="AR60" s="106"/>
      <x:c r="AS60" s="106"/>
      <x:c r="AT60" s="106"/>
      <x:c r="AU60" s="106"/>
      <x:c r="AV60" s="106"/>
      <x:c r="AW60" s="106"/>
      <x:c r="AX60" s="106"/>
      <x:c r="AY60" s="106"/>
      <x:c r="AZ60" s="106"/>
      <x:c r="BA60" s="106"/>
    </x:row>
  </x:sheetData>
  <x:mergeCells>
    <x:mergeCell ref="A1:H1"/>
    <x:mergeCell ref="A3:H3"/>
    <x:mergeCell ref="E5:H5"/>
    <x:mergeCell ref="E11:H11"/>
    <x:mergeCell ref="E12:H17"/>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4" hidden="0" customWidth="1"/>
    <x:col min="4" max="4" width="22" hidden="0" customWidth="1"/>
    <x:col min="5" max="5" width="2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x:c r="A1" s="169" t="str">
        <x:v>SETUP — enter the few items the workbook cannot infer</x:v>
      </x:c>
      <x:c r="B1" s="169"/>
      <x:c r="C1" s="169"/>
      <x:c r="D1" s="169"/>
      <x:c r="E1" s="169"/>
      <x:c r="F1" s="169"/>
      <x:c r="G1" s="106" t="str">
        <x:v>Status</x:v>
      </x:c>
      <x:c r="H1" s="106" t="str">
        <x:v>Priority</x:v>
      </x:c>
      <x:c r="I1" s="106" t="str">
        <x:v>RACI</x:v>
      </x:c>
      <x:c r="J1" s="106" t="str">
        <x:v>Risk Status</x:v>
      </x:c>
      <x:c r="K1" s="106" t="str">
        <x:v>Likelihood</x:v>
      </x:c>
      <x:c r="L1" s="106" t="str">
        <x:v>Impact</x:v>
      </x:c>
      <x:c r="M1" s="106"/>
      <x:c r="N1" s="106"/>
      <x:c r="O1" s="106"/>
      <x:c r="P1" s="106"/>
      <x:c r="Q1" s="106"/>
      <x:c r="R1" s="106"/>
      <x:c r="S1" s="106"/>
      <x:c r="T1" s="106"/>
      <x:c r="U1" s="106"/>
      <x:c r="V1" s="106"/>
      <x:c r="W1" s="106"/>
      <x:c r="X1" s="106"/>
      <x:c r="Y1" s="106"/>
      <x:c r="Z1" s="106"/>
      <x:c r="AA1" s="106"/>
      <x:c r="AB1" s="106"/>
      <x:c r="AC1" s="106"/>
      <x:c r="AD1" s="106"/>
      <x:c r="AE1" s="106"/>
      <x:c r="AF1" s="106"/>
      <x:c r="AG1" s="106"/>
      <x:c r="AH1" s="106"/>
      <x:c r="AI1" s="106"/>
      <x:c r="AJ1" s="106"/>
      <x:c r="AK1" s="106"/>
      <x:c r="AL1" s="106"/>
      <x:c r="AM1" s="106"/>
      <x:c r="AN1" s="106"/>
      <x:c r="AO1" s="106"/>
      <x:c r="AP1" s="106"/>
      <x:c r="AQ1" s="106"/>
      <x:c r="AR1" s="106"/>
      <x:c r="AS1" s="106"/>
      <x:c r="AT1" s="106"/>
      <x:c r="AU1" s="106"/>
      <x:c r="AV1" s="106"/>
      <x:c r="AW1" s="106"/>
      <x:c r="AX1" s="106"/>
      <x:c r="AY1" s="106"/>
      <x:c r="AZ1" s="106"/>
      <x:c r="BA1" s="106"/>
    </x:row>
    <x:row r="2">
      <x:c r="A2" s="106"/>
      <x:c r="B2" s="106"/>
      <x:c r="C2" s="106"/>
      <x:c r="D2" s="106"/>
      <x:c r="E2" s="106"/>
      <x:c r="F2" s="106"/>
      <x:c r="G2" s="106" t="str">
        <x:v>Not Started</x:v>
      </x:c>
      <x:c r="H2" s="106" t="str">
        <x:v>Low</x:v>
      </x:c>
      <x:c r="I2" s="106" t="str">
        <x:v>R</x:v>
      </x:c>
      <x:c r="J2" s="106" t="str">
        <x:v>Open</x:v>
      </x:c>
      <x:c r="K2" s="106" t="n">
        <x:v>1</x:v>
      </x:c>
      <x:c r="L2" s="106" t="n">
        <x:v>1</x:v>
      </x:c>
      <x:c r="M2" s="106"/>
      <x:c r="N2" s="106"/>
      <x:c r="O2" s="106"/>
      <x:c r="P2" s="106"/>
      <x:c r="Q2" s="106"/>
      <x:c r="R2" s="106"/>
      <x:c r="S2" s="106"/>
      <x:c r="T2" s="106"/>
      <x:c r="U2" s="106"/>
      <x:c r="V2" s="106"/>
      <x:c r="W2" s="106"/>
      <x:c r="X2" s="106"/>
      <x:c r="Y2" s="106"/>
      <x:c r="Z2" s="106"/>
      <x:c r="AA2" s="106"/>
      <x:c r="AB2" s="106"/>
      <x:c r="AC2" s="106"/>
      <x:c r="AD2" s="106"/>
      <x:c r="AE2" s="106"/>
      <x:c r="AF2" s="106"/>
      <x:c r="AG2" s="106"/>
      <x:c r="AH2" s="106"/>
      <x:c r="AI2" s="106"/>
      <x:c r="AJ2" s="106"/>
      <x:c r="AK2" s="106"/>
      <x:c r="AL2" s="106"/>
      <x:c r="AM2" s="106"/>
      <x:c r="AN2" s="106"/>
      <x:c r="AO2" s="106"/>
      <x:c r="AP2" s="106"/>
      <x:c r="AQ2" s="106"/>
      <x:c r="AR2" s="106"/>
      <x:c r="AS2" s="106"/>
      <x:c r="AT2" s="106"/>
      <x:c r="AU2" s="106"/>
      <x:c r="AV2" s="106"/>
      <x:c r="AW2" s="106"/>
      <x:c r="AX2" s="106"/>
      <x:c r="AY2" s="106"/>
      <x:c r="AZ2" s="106"/>
      <x:c r="BA2" s="106"/>
    </x:row>
    <x:row r="3">
      <x:c r="A3" s="118" t="str">
        <x:v>Project Name</x:v>
      </x:c>
      <x:c r="B3" s="111" t="str">
        <x:v>My Project</x:v>
      </x:c>
      <x:c r="C3" s="106"/>
      <x:c r="D3" s="135" t="str">
        <x:v>Team Member</x:v>
      </x:c>
      <x:c r="E3" s="135" t="str">
        <x:v>Role / Function</x:v>
      </x:c>
      <x:c r="F3" s="106"/>
      <x:c r="G3" s="106" t="str">
        <x:v>In Progress</x:v>
      </x:c>
      <x:c r="H3" s="106" t="str">
        <x:v>Medium</x:v>
      </x:c>
      <x:c r="I3" s="106" t="str">
        <x:v>A</x:v>
      </x:c>
      <x:c r="J3" s="106" t="str">
        <x:v>Mitigating</x:v>
      </x:c>
      <x:c r="K3" s="106" t="n">
        <x:v>2</x:v>
      </x:c>
      <x:c r="L3" s="106" t="n">
        <x:v>2</x:v>
      </x:c>
      <x:c r="M3" s="106"/>
      <x:c r="N3" s="106"/>
      <x:c r="O3" s="106"/>
      <x:c r="P3" s="106"/>
      <x:c r="Q3" s="106"/>
      <x:c r="R3" s="106"/>
      <x:c r="S3" s="106"/>
      <x:c r="T3" s="106"/>
      <x:c r="U3" s="106"/>
      <x:c r="V3" s="106"/>
      <x:c r="W3" s="106"/>
      <x:c r="X3" s="106"/>
      <x:c r="Y3" s="106"/>
      <x:c r="Z3" s="106"/>
      <x:c r="AA3" s="106"/>
      <x:c r="AB3" s="106"/>
      <x:c r="AC3" s="106"/>
      <x:c r="AD3" s="106"/>
      <x:c r="AE3" s="106"/>
      <x:c r="AF3" s="106"/>
      <x:c r="AG3" s="106"/>
      <x:c r="AH3" s="106"/>
      <x:c r="AI3" s="106"/>
      <x:c r="AJ3" s="106"/>
      <x:c r="AK3" s="106"/>
      <x:c r="AL3" s="106"/>
      <x:c r="AM3" s="106"/>
      <x:c r="AN3" s="106"/>
      <x:c r="AO3" s="106"/>
      <x:c r="AP3" s="106"/>
      <x:c r="AQ3" s="106"/>
      <x:c r="AR3" s="106"/>
      <x:c r="AS3" s="106"/>
      <x:c r="AT3" s="106"/>
      <x:c r="AU3" s="106"/>
      <x:c r="AV3" s="106"/>
      <x:c r="AW3" s="106"/>
      <x:c r="AX3" s="106"/>
      <x:c r="AY3" s="106"/>
      <x:c r="AZ3" s="106"/>
      <x:c r="BA3" s="106"/>
    </x:row>
    <x:row r="4">
      <x:c r="A4" s="118" t="str">
        <x:v>Project Start</x:v>
      </x:c>
      <x:c r="B4" s="136" t="n">
        <x:v>46300</x:v>
      </x:c>
      <x:c r="C4" s="106"/>
      <x:c r="D4" s="111" t="str">
        <x:v>Person 1</x:v>
      </x:c>
      <x:c r="E4" s="111" t="str"/>
      <x:c r="F4" s="106"/>
      <x:c r="G4" s="106" t="str">
        <x:v>Blocked</x:v>
      </x:c>
      <x:c r="H4" s="106" t="str">
        <x:v>High</x:v>
      </x:c>
      <x:c r="I4" s="106" t="str">
        <x:v>C</x:v>
      </x:c>
      <x:c r="J4" s="106" t="str">
        <x:v>Monitoring</x:v>
      </x:c>
      <x:c r="K4" s="106" t="n">
        <x:v>3</x:v>
      </x:c>
      <x:c r="L4" s="106" t="n">
        <x:v>3</x:v>
      </x:c>
      <x:c r="M4" s="106"/>
      <x:c r="N4" s="106"/>
      <x:c r="O4" s="106"/>
      <x:c r="P4" s="106"/>
      <x:c r="Q4" s="106"/>
      <x:c r="R4" s="106"/>
      <x:c r="S4" s="106"/>
      <x:c r="T4" s="106"/>
      <x:c r="U4" s="106"/>
      <x:c r="V4" s="106"/>
      <x:c r="W4" s="106"/>
      <x:c r="X4" s="106"/>
      <x:c r="Y4" s="106"/>
      <x:c r="Z4" s="106"/>
      <x:c r="AA4" s="106"/>
      <x:c r="AB4" s="106"/>
      <x:c r="AC4" s="106"/>
      <x:c r="AD4" s="106"/>
      <x:c r="AE4" s="106"/>
      <x:c r="AF4" s="106"/>
      <x:c r="AG4" s="106"/>
      <x:c r="AH4" s="106"/>
      <x:c r="AI4" s="106"/>
      <x:c r="AJ4" s="106"/>
      <x:c r="AK4" s="106"/>
      <x:c r="AL4" s="106"/>
      <x:c r="AM4" s="106"/>
      <x:c r="AN4" s="106"/>
      <x:c r="AO4" s="106"/>
      <x:c r="AP4" s="106"/>
      <x:c r="AQ4" s="106"/>
      <x:c r="AR4" s="106"/>
      <x:c r="AS4" s="106"/>
      <x:c r="AT4" s="106"/>
      <x:c r="AU4" s="106"/>
      <x:c r="AV4" s="106"/>
      <x:c r="AW4" s="106"/>
      <x:c r="AX4" s="106"/>
      <x:c r="AY4" s="106"/>
      <x:c r="AZ4" s="106"/>
      <x:c r="BA4" s="106"/>
    </x:row>
    <x:row r="5">
      <x:c r="A5" s="118" t="str">
        <x:v>Target End (optional)</x:v>
      </x:c>
      <x:c r="B5" s="136"/>
      <x:c r="C5" s="106"/>
      <x:c r="D5" s="111" t="str">
        <x:v>Person 2</x:v>
      </x:c>
      <x:c r="E5" s="111" t="str"/>
      <x:c r="F5" s="106"/>
      <x:c r="G5" s="106" t="str">
        <x:v>Complete</x:v>
      </x:c>
      <x:c r="H5" s="106" t="str">
        <x:v>Critical</x:v>
      </x:c>
      <x:c r="I5" s="106" t="str">
        <x:v>I</x:v>
      </x:c>
      <x:c r="J5" s="106" t="str">
        <x:v>Closed</x:v>
      </x:c>
      <x:c r="K5" s="106" t="n">
        <x:v>4</x:v>
      </x:c>
      <x:c r="L5" s="106" t="n">
        <x:v>4</x:v>
      </x:c>
      <x:c r="M5" s="106"/>
      <x:c r="N5" s="106"/>
      <x:c r="O5" s="106"/>
      <x:c r="P5" s="106"/>
      <x:c r="Q5" s="106"/>
      <x:c r="R5" s="106"/>
      <x:c r="S5" s="106"/>
      <x:c r="T5" s="106"/>
      <x:c r="U5" s="106"/>
      <x:c r="V5" s="106"/>
      <x:c r="W5" s="106"/>
      <x:c r="X5" s="106"/>
      <x:c r="Y5" s="106"/>
      <x:c r="Z5" s="106"/>
      <x:c r="AA5" s="106"/>
      <x:c r="AB5" s="106"/>
      <x:c r="AC5" s="106"/>
      <x:c r="AD5" s="106"/>
      <x:c r="AE5" s="106"/>
      <x:c r="AF5" s="106"/>
      <x:c r="AG5" s="106"/>
      <x:c r="AH5" s="106"/>
      <x:c r="AI5" s="106"/>
      <x:c r="AJ5" s="106"/>
      <x:c r="AK5" s="106"/>
      <x:c r="AL5" s="106"/>
      <x:c r="AM5" s="106"/>
      <x:c r="AN5" s="106"/>
      <x:c r="AO5" s="106"/>
      <x:c r="AP5" s="106"/>
      <x:c r="AQ5" s="106"/>
      <x:c r="AR5" s="106"/>
      <x:c r="AS5" s="106"/>
      <x:c r="AT5" s="106"/>
      <x:c r="AU5" s="106"/>
      <x:c r="AV5" s="106"/>
      <x:c r="AW5" s="106"/>
      <x:c r="AX5" s="106"/>
      <x:c r="AY5" s="106"/>
      <x:c r="AZ5" s="106"/>
      <x:c r="BA5" s="106"/>
    </x:row>
    <x:row r="6">
      <x:c r="A6" s="118" t="str">
        <x:v>Project Manager</x:v>
      </x:c>
      <x:c r="B6" s="111" t="str"/>
      <x:c r="C6" s="106"/>
      <x:c r="D6" s="111" t="str">
        <x:v>Person 3</x:v>
      </x:c>
      <x:c r="E6" s="111" t="str"/>
      <x:c r="F6" s="106"/>
      <x:c r="G6" s="106" t="str">
        <x:v>On Hold</x:v>
      </x:c>
      <x:c r="H6" s="106"/>
      <x:c r="I6" s="106"/>
      <x:c r="J6" s="106" t="str">
        <x:v>Accepted</x:v>
      </x:c>
      <x:c r="K6" s="106" t="n">
        <x:v>5</x:v>
      </x:c>
      <x:c r="L6" s="106" t="n">
        <x:v>5</x:v>
      </x:c>
      <x:c r="M6" s="106"/>
      <x:c r="N6" s="106"/>
      <x:c r="O6" s="106"/>
      <x:c r="P6" s="106"/>
      <x:c r="Q6" s="106"/>
      <x:c r="R6" s="106"/>
      <x:c r="S6" s="106"/>
      <x:c r="T6" s="106"/>
      <x:c r="U6" s="106"/>
      <x:c r="V6" s="106"/>
      <x:c r="W6" s="106"/>
      <x:c r="X6" s="106"/>
      <x:c r="Y6" s="106"/>
      <x:c r="Z6" s="106"/>
      <x:c r="AA6" s="106"/>
      <x:c r="AB6" s="106"/>
      <x:c r="AC6" s="106"/>
      <x:c r="AD6" s="106"/>
      <x:c r="AE6" s="106"/>
      <x:c r="AF6" s="106"/>
      <x:c r="AG6" s="106"/>
      <x:c r="AH6" s="106"/>
      <x:c r="AI6" s="106"/>
      <x:c r="AJ6" s="106"/>
      <x:c r="AK6" s="106"/>
      <x:c r="AL6" s="106"/>
      <x:c r="AM6" s="106"/>
      <x:c r="AN6" s="106"/>
      <x:c r="AO6" s="106"/>
      <x:c r="AP6" s="106"/>
      <x:c r="AQ6" s="106"/>
      <x:c r="AR6" s="106"/>
      <x:c r="AS6" s="106"/>
      <x:c r="AT6" s="106"/>
      <x:c r="AU6" s="106"/>
      <x:c r="AV6" s="106"/>
      <x:c r="AW6" s="106"/>
      <x:c r="AX6" s="106"/>
      <x:c r="AY6" s="106"/>
      <x:c r="AZ6" s="106"/>
      <x:c r="BA6" s="106"/>
    </x:row>
    <x:row r="7">
      <x:c r="A7" s="118" t="str">
        <x:v>Reporting Date</x:v>
      </x:c>
      <x:c r="B7" s="137" t="n">
        <x:f>TODAY()</x:f>
        <x:v>46296</x:v>
      </x:c>
      <x:c r="C7" s="106"/>
      <x:c r="D7" s="111" t="str">
        <x:v>Person 4</x:v>
      </x:c>
      <x:c r="E7" s="111" t="str"/>
      <x:c r="F7" s="106"/>
      <x:c r="G7" s="106"/>
      <x:c r="H7" s="106"/>
      <x:c r="I7" s="106"/>
      <x:c r="J7" s="106"/>
      <x:c r="K7" s="106"/>
      <x:c r="L7" s="106"/>
      <x:c r="M7" s="106"/>
      <x:c r="N7" s="106"/>
      <x:c r="O7" s="106"/>
      <x:c r="P7" s="106"/>
      <x:c r="Q7" s="106"/>
      <x:c r="R7" s="106"/>
      <x:c r="S7" s="106"/>
      <x:c r="T7" s="106"/>
      <x:c r="U7" s="106"/>
      <x:c r="V7" s="106"/>
      <x:c r="W7" s="106"/>
      <x:c r="X7" s="106"/>
      <x:c r="Y7" s="106"/>
      <x:c r="Z7" s="106"/>
      <x:c r="AA7" s="106"/>
      <x:c r="AB7" s="106"/>
      <x:c r="AC7" s="106"/>
      <x:c r="AD7" s="106"/>
      <x:c r="AE7" s="106"/>
      <x:c r="AF7" s="106"/>
      <x:c r="AG7" s="106"/>
      <x:c r="AH7" s="106"/>
      <x:c r="AI7" s="106"/>
      <x:c r="AJ7" s="106"/>
      <x:c r="AK7" s="106"/>
      <x:c r="AL7" s="106"/>
      <x:c r="AM7" s="106"/>
      <x:c r="AN7" s="106"/>
      <x:c r="AO7" s="106"/>
      <x:c r="AP7" s="106"/>
      <x:c r="AQ7" s="106"/>
      <x:c r="AR7" s="106"/>
      <x:c r="AS7" s="106"/>
      <x:c r="AT7" s="106"/>
      <x:c r="AU7" s="106"/>
      <x:c r="AV7" s="106"/>
      <x:c r="AW7" s="106"/>
      <x:c r="AX7" s="106"/>
      <x:c r="AY7" s="106"/>
      <x:c r="AZ7" s="106"/>
      <x:c r="BA7" s="106"/>
    </x:row>
    <x:row r="8">
      <x:c r="A8" s="118" t="str">
        <x:v>Default Work Week</x:v>
      </x:c>
      <x:c r="B8" s="113" t="str">
        <x:v>Mon–Fri</x:v>
      </x:c>
      <x:c r="C8" s="106"/>
      <x:c r="D8" s="111" t="str">
        <x:v>Person 5</x:v>
      </x:c>
      <x:c r="E8" s="111" t="str"/>
      <x:c r="F8" s="106"/>
      <x:c r="G8" s="106"/>
      <x:c r="H8" s="106"/>
      <x:c r="I8" s="106"/>
      <x:c r="J8" s="106"/>
      <x:c r="K8" s="106"/>
      <x:c r="L8" s="106"/>
      <x:c r="M8" s="106"/>
      <x:c r="N8" s="106"/>
      <x:c r="O8" s="106"/>
      <x:c r="P8" s="106"/>
      <x:c r="Q8" s="106"/>
      <x:c r="R8" s="106"/>
      <x:c r="S8" s="106"/>
      <x:c r="T8" s="106"/>
      <x:c r="U8" s="106"/>
      <x:c r="V8" s="106"/>
      <x:c r="W8" s="106"/>
      <x:c r="X8" s="106"/>
      <x:c r="Y8" s="106"/>
      <x:c r="Z8" s="106"/>
      <x:c r="AA8" s="106"/>
      <x:c r="AB8" s="106"/>
      <x:c r="AC8" s="106"/>
      <x:c r="AD8" s="106"/>
      <x:c r="AE8" s="106"/>
      <x:c r="AF8" s="106"/>
      <x:c r="AG8" s="106"/>
      <x:c r="AH8" s="106"/>
      <x:c r="AI8" s="106"/>
      <x:c r="AJ8" s="106"/>
      <x:c r="AK8" s="106"/>
      <x:c r="AL8" s="106"/>
      <x:c r="AM8" s="106"/>
      <x:c r="AN8" s="106"/>
      <x:c r="AO8" s="106"/>
      <x:c r="AP8" s="106"/>
      <x:c r="AQ8" s="106"/>
      <x:c r="AR8" s="106"/>
      <x:c r="AS8" s="106"/>
      <x:c r="AT8" s="106"/>
      <x:c r="AU8" s="106"/>
      <x:c r="AV8" s="106"/>
      <x:c r="AW8" s="106"/>
      <x:c r="AX8" s="106"/>
      <x:c r="AY8" s="106"/>
      <x:c r="AZ8" s="106"/>
      <x:c r="BA8" s="106"/>
    </x:row>
    <x:row r="9">
      <x:c r="A9" s="106"/>
      <x:c r="B9" s="106"/>
      <x:c r="C9" s="106"/>
      <x:c r="D9" s="111" t="str">
        <x:v>Person 6</x:v>
      </x:c>
      <x:c r="E9" s="111" t="str"/>
      <x:c r="F9" s="106"/>
      <x:c r="G9" s="106"/>
      <x:c r="H9" s="106"/>
      <x:c r="I9" s="106"/>
      <x:c r="J9" s="106"/>
      <x:c r="K9" s="106"/>
      <x:c r="L9" s="106"/>
      <x:c r="M9" s="106"/>
      <x:c r="N9" s="106"/>
      <x:c r="O9" s="106"/>
      <x:c r="P9" s="106"/>
      <x:c r="Q9" s="106"/>
      <x:c r="R9" s="106"/>
      <x:c r="S9" s="106"/>
      <x:c r="T9" s="106"/>
      <x:c r="U9" s="106"/>
      <x:c r="V9" s="106"/>
      <x:c r="W9" s="106"/>
      <x:c r="X9" s="106"/>
      <x:c r="Y9" s="106"/>
      <x:c r="Z9" s="106"/>
      <x:c r="AA9" s="106"/>
      <x:c r="AB9" s="106"/>
      <x:c r="AC9" s="106"/>
      <x:c r="AD9" s="106"/>
      <x:c r="AE9" s="106"/>
      <x:c r="AF9" s="106"/>
      <x:c r="AG9" s="106"/>
      <x:c r="AH9" s="106"/>
      <x:c r="AI9" s="106"/>
      <x:c r="AJ9" s="106"/>
      <x:c r="AK9" s="106"/>
      <x:c r="AL9" s="106"/>
      <x:c r="AM9" s="106"/>
      <x:c r="AN9" s="106"/>
      <x:c r="AO9" s="106"/>
      <x:c r="AP9" s="106"/>
      <x:c r="AQ9" s="106"/>
      <x:c r="AR9" s="106"/>
      <x:c r="AS9" s="106"/>
      <x:c r="AT9" s="106"/>
      <x:c r="AU9" s="106"/>
      <x:c r="AV9" s="106"/>
      <x:c r="AW9" s="106"/>
      <x:c r="AX9" s="106"/>
      <x:c r="AY9" s="106"/>
      <x:c r="AZ9" s="106"/>
      <x:c r="BA9" s="106"/>
    </x:row>
    <x:row r="10">
      <x:c r="A10" s="106"/>
      <x:c r="B10" s="106"/>
      <x:c r="C10" s="106"/>
      <x:c r="D10" s="111" t="str">
        <x:v>Person 7</x:v>
      </x:c>
      <x:c r="E10" s="111" t="str"/>
      <x:c r="F10" s="106"/>
      <x:c r="G10" s="106"/>
      <x:c r="H10" s="106"/>
      <x:c r="I10" s="106"/>
      <x:c r="J10" s="106"/>
      <x:c r="K10" s="106"/>
      <x:c r="L10" s="106"/>
      <x:c r="M10" s="106"/>
      <x:c r="N10" s="106"/>
      <x:c r="O10" s="106"/>
      <x:c r="P10" s="106"/>
      <x:c r="Q10" s="106"/>
      <x:c r="R10" s="106"/>
      <x:c r="S10" s="106"/>
      <x:c r="T10" s="106"/>
      <x:c r="U10" s="106"/>
      <x:c r="V10" s="106"/>
      <x:c r="W10" s="106"/>
      <x:c r="X10" s="106"/>
      <x:c r="Y10" s="106"/>
      <x:c r="Z10" s="106"/>
      <x:c r="AA10" s="106"/>
      <x:c r="AB10" s="106"/>
      <x:c r="AC10" s="106"/>
      <x:c r="AD10" s="106"/>
      <x:c r="AE10" s="106"/>
      <x:c r="AF10" s="106"/>
      <x:c r="AG10" s="106"/>
      <x:c r="AH10" s="106"/>
      <x:c r="AI10" s="106"/>
      <x:c r="AJ10" s="106"/>
      <x:c r="AK10" s="106"/>
      <x:c r="AL10" s="106"/>
      <x:c r="AM10" s="106"/>
      <x:c r="AN10" s="106"/>
      <x:c r="AO10" s="106"/>
      <x:c r="AP10" s="106"/>
      <x:c r="AQ10" s="106"/>
      <x:c r="AR10" s="106"/>
      <x:c r="AS10" s="106"/>
      <x:c r="AT10" s="106"/>
      <x:c r="AU10" s="106"/>
      <x:c r="AV10" s="106"/>
      <x:c r="AW10" s="106"/>
      <x:c r="AX10" s="106"/>
      <x:c r="AY10" s="106"/>
      <x:c r="AZ10" s="106"/>
      <x:c r="BA10" s="106"/>
    </x:row>
    <x:row r="11">
      <x:c r="A11" s="135" t="str">
        <x:v>Optional Holidays</x:v>
      </x:c>
      <x:c r="B11" s="135" t="str">
        <x:v>Date</x:v>
      </x:c>
      <x:c r="C11" s="106"/>
      <x:c r="D11" s="111" t="str">
        <x:v>Person 8</x:v>
      </x:c>
      <x:c r="E11" s="111" t="str"/>
      <x:c r="F11" s="106"/>
      <x:c r="G11" s="106"/>
      <x:c r="H11" s="106"/>
      <x:c r="I11" s="106"/>
      <x:c r="J11" s="106"/>
      <x:c r="K11" s="106"/>
      <x:c r="L11" s="106"/>
      <x:c r="M11" s="106"/>
      <x:c r="N11" s="106"/>
      <x:c r="O11" s="106"/>
      <x:c r="P11" s="106"/>
      <x:c r="Q11" s="106"/>
      <x:c r="R11" s="106"/>
      <x:c r="S11" s="106"/>
      <x:c r="T11" s="106"/>
      <x:c r="U11" s="106"/>
      <x:c r="V11" s="106"/>
      <x:c r="W11" s="106"/>
      <x:c r="X11" s="106"/>
      <x:c r="Y11" s="106"/>
      <x:c r="Z11" s="106"/>
      <x:c r="AA11" s="106"/>
      <x:c r="AB11" s="106"/>
      <x:c r="AC11" s="106"/>
      <x:c r="AD11" s="106"/>
      <x:c r="AE11" s="106"/>
      <x:c r="AF11" s="106"/>
      <x:c r="AG11" s="106"/>
      <x:c r="AH11" s="106"/>
      <x:c r="AI11" s="106"/>
      <x:c r="AJ11" s="106"/>
      <x:c r="AK11" s="106"/>
      <x:c r="AL11" s="106"/>
      <x:c r="AM11" s="106"/>
      <x:c r="AN11" s="106"/>
      <x:c r="AO11" s="106"/>
      <x:c r="AP11" s="106"/>
      <x:c r="AQ11" s="106"/>
      <x:c r="AR11" s="106"/>
      <x:c r="AS11" s="106"/>
      <x:c r="AT11" s="106"/>
      <x:c r="AU11" s="106"/>
      <x:c r="AV11" s="106"/>
      <x:c r="AW11" s="106"/>
      <x:c r="AX11" s="106"/>
      <x:c r="AY11" s="106"/>
      <x:c r="AZ11" s="106"/>
      <x:c r="BA11" s="106"/>
    </x:row>
    <x:row r="12">
      <x:c r="A12" s="115" t="str"/>
      <x:c r="B12" s="138"/>
      <x:c r="C12" s="106"/>
      <x:c r="D12" s="106"/>
      <x:c r="E12" s="106"/>
      <x:c r="F12" s="106"/>
      <x:c r="G12" s="106"/>
      <x:c r="H12" s="106"/>
      <x:c r="I12" s="106"/>
      <x:c r="J12" s="106"/>
      <x:c r="K12" s="106"/>
      <x:c r="L12" s="106"/>
      <x:c r="M12" s="106"/>
      <x:c r="N12" s="106"/>
      <x:c r="O12" s="106"/>
      <x:c r="P12" s="106"/>
      <x:c r="Q12" s="106"/>
      <x:c r="R12" s="106"/>
      <x:c r="S12" s="106"/>
      <x:c r="T12" s="106"/>
      <x:c r="U12" s="106"/>
      <x:c r="V12" s="106"/>
      <x:c r="W12" s="106"/>
      <x:c r="X12" s="106"/>
      <x:c r="Y12" s="106"/>
      <x:c r="Z12" s="106"/>
      <x:c r="AA12" s="106"/>
      <x:c r="AB12" s="106"/>
      <x:c r="AC12" s="106"/>
      <x:c r="AD12" s="106"/>
      <x:c r="AE12" s="106"/>
      <x:c r="AF12" s="106"/>
      <x:c r="AG12" s="106"/>
      <x:c r="AH12" s="106"/>
      <x:c r="AI12" s="106"/>
      <x:c r="AJ12" s="106"/>
      <x:c r="AK12" s="106"/>
      <x:c r="AL12" s="106"/>
      <x:c r="AM12" s="106"/>
      <x:c r="AN12" s="106"/>
      <x:c r="AO12" s="106"/>
      <x:c r="AP12" s="106"/>
      <x:c r="AQ12" s="106"/>
      <x:c r="AR12" s="106"/>
      <x:c r="AS12" s="106"/>
      <x:c r="AT12" s="106"/>
      <x:c r="AU12" s="106"/>
      <x:c r="AV12" s="106"/>
      <x:c r="AW12" s="106"/>
      <x:c r="AX12" s="106"/>
      <x:c r="AY12" s="106"/>
      <x:c r="AZ12" s="106"/>
      <x:c r="BA12" s="106"/>
    </x:row>
    <x:row r="13">
      <x:c r="A13" s="115" t="str"/>
      <x:c r="B13" s="138"/>
      <x:c r="C13" s="106"/>
      <x:c r="D13" s="106"/>
      <x:c r="E13" s="106"/>
      <x:c r="F13" s="106"/>
      <x:c r="G13" s="106"/>
      <x:c r="H13" s="106"/>
      <x:c r="I13" s="106"/>
      <x:c r="J13" s="106"/>
      <x:c r="K13" s="106"/>
      <x:c r="L13" s="106"/>
      <x:c r="M13" s="106"/>
      <x:c r="N13" s="106"/>
      <x:c r="O13" s="106"/>
      <x:c r="P13" s="106"/>
      <x:c r="Q13" s="106"/>
      <x:c r="R13" s="106"/>
      <x:c r="S13" s="106"/>
      <x:c r="T13" s="106"/>
      <x:c r="U13" s="106"/>
      <x:c r="V13" s="106"/>
      <x:c r="W13" s="106"/>
      <x:c r="X13" s="106"/>
      <x:c r="Y13" s="106"/>
      <x:c r="Z13" s="106"/>
      <x:c r="AA13" s="106"/>
      <x:c r="AB13" s="106"/>
      <x:c r="AC13" s="106"/>
      <x:c r="AD13" s="106"/>
      <x:c r="AE13" s="106"/>
      <x:c r="AF13" s="106"/>
      <x:c r="AG13" s="106"/>
      <x:c r="AH13" s="106"/>
      <x:c r="AI13" s="106"/>
      <x:c r="AJ13" s="106"/>
      <x:c r="AK13" s="106"/>
      <x:c r="AL13" s="106"/>
      <x:c r="AM13" s="106"/>
      <x:c r="AN13" s="106"/>
      <x:c r="AO13" s="106"/>
      <x:c r="AP13" s="106"/>
      <x:c r="AQ13" s="106"/>
      <x:c r="AR13" s="106"/>
      <x:c r="AS13" s="106"/>
      <x:c r="AT13" s="106"/>
      <x:c r="AU13" s="106"/>
      <x:c r="AV13" s="106"/>
      <x:c r="AW13" s="106"/>
      <x:c r="AX13" s="106"/>
      <x:c r="AY13" s="106"/>
      <x:c r="AZ13" s="106"/>
      <x:c r="BA13" s="106"/>
    </x:row>
    <x:row r="14">
      <x:c r="A14" s="115" t="str"/>
      <x:c r="B14" s="138"/>
      <x:c r="C14" s="106"/>
      <x:c r="D14" s="106"/>
      <x:c r="E14" s="106"/>
      <x:c r="F14" s="106"/>
      <x:c r="G14" s="106"/>
      <x:c r="H14" s="106"/>
      <x:c r="I14" s="106"/>
      <x:c r="J14" s="106"/>
      <x:c r="K14" s="106"/>
      <x:c r="L14" s="106"/>
      <x:c r="M14" s="106"/>
      <x:c r="N14" s="106"/>
      <x:c r="O14" s="106"/>
      <x:c r="P14" s="106"/>
      <x:c r="Q14" s="106"/>
      <x:c r="R14" s="106"/>
      <x:c r="S14" s="106"/>
      <x:c r="T14" s="106"/>
      <x:c r="U14" s="106"/>
      <x:c r="V14" s="106"/>
      <x:c r="W14" s="106"/>
      <x:c r="X14" s="106"/>
      <x:c r="Y14" s="106"/>
      <x:c r="Z14" s="106"/>
      <x:c r="AA14" s="106"/>
      <x:c r="AB14" s="106"/>
      <x:c r="AC14" s="106"/>
      <x:c r="AD14" s="106"/>
      <x:c r="AE14" s="106"/>
      <x:c r="AF14" s="106"/>
      <x:c r="AG14" s="106"/>
      <x:c r="AH14" s="106"/>
      <x:c r="AI14" s="106"/>
      <x:c r="AJ14" s="106"/>
      <x:c r="AK14" s="106"/>
      <x:c r="AL14" s="106"/>
      <x:c r="AM14" s="106"/>
      <x:c r="AN14" s="106"/>
      <x:c r="AO14" s="106"/>
      <x:c r="AP14" s="106"/>
      <x:c r="AQ14" s="106"/>
      <x:c r="AR14" s="106"/>
      <x:c r="AS14" s="106"/>
      <x:c r="AT14" s="106"/>
      <x:c r="AU14" s="106"/>
      <x:c r="AV14" s="106"/>
      <x:c r="AW14" s="106"/>
      <x:c r="AX14" s="106"/>
      <x:c r="AY14" s="106"/>
      <x:c r="AZ14" s="106"/>
      <x:c r="BA14" s="106"/>
    </x:row>
    <x:row r="15">
      <x:c r="A15" s="115" t="str"/>
      <x:c r="B15" s="138"/>
      <x:c r="C15" s="106"/>
      <x:c r="D15" s="106"/>
      <x:c r="E15" s="106"/>
      <x:c r="F15" s="106"/>
      <x:c r="G15" s="106"/>
      <x:c r="H15" s="106"/>
      <x:c r="I15" s="106"/>
      <x:c r="J15" s="106"/>
      <x:c r="K15" s="106"/>
      <x:c r="L15" s="106"/>
      <x:c r="M15" s="106"/>
      <x:c r="N15" s="106"/>
      <x:c r="O15" s="106"/>
      <x:c r="P15" s="106"/>
      <x:c r="Q15" s="106"/>
      <x:c r="R15" s="106"/>
      <x:c r="S15" s="106"/>
      <x:c r="T15" s="106"/>
      <x:c r="U15" s="106"/>
      <x:c r="V15" s="106"/>
      <x:c r="W15" s="106"/>
      <x:c r="X15" s="106"/>
      <x:c r="Y15" s="106"/>
      <x:c r="Z15" s="106"/>
      <x:c r="AA15" s="106"/>
      <x:c r="AB15" s="106"/>
      <x:c r="AC15" s="106"/>
      <x:c r="AD15" s="106"/>
      <x:c r="AE15" s="106"/>
      <x:c r="AF15" s="106"/>
      <x:c r="AG15" s="106"/>
      <x:c r="AH15" s="106"/>
      <x:c r="AI15" s="106"/>
      <x:c r="AJ15" s="106"/>
      <x:c r="AK15" s="106"/>
      <x:c r="AL15" s="106"/>
      <x:c r="AM15" s="106"/>
      <x:c r="AN15" s="106"/>
      <x:c r="AO15" s="106"/>
      <x:c r="AP15" s="106"/>
      <x:c r="AQ15" s="106"/>
      <x:c r="AR15" s="106"/>
      <x:c r="AS15" s="106"/>
      <x:c r="AT15" s="106"/>
      <x:c r="AU15" s="106"/>
      <x:c r="AV15" s="106"/>
      <x:c r="AW15" s="106"/>
      <x:c r="AX15" s="106"/>
      <x:c r="AY15" s="106"/>
      <x:c r="AZ15" s="106"/>
      <x:c r="BA15" s="106"/>
    </x:row>
    <x:row r="16">
      <x:c r="A16" s="115" t="str"/>
      <x:c r="B16" s="138"/>
      <x:c r="C16" s="106"/>
      <x:c r="D16" s="106"/>
      <x:c r="E16" s="106"/>
      <x:c r="F16" s="106"/>
      <x:c r="G16" s="106"/>
      <x:c r="H16" s="106"/>
      <x:c r="I16" s="106"/>
      <x:c r="J16" s="106"/>
      <x:c r="K16" s="106"/>
      <x:c r="L16" s="106"/>
      <x:c r="M16" s="106"/>
      <x:c r="N16" s="106"/>
      <x:c r="O16" s="106"/>
      <x:c r="P16" s="106"/>
      <x:c r="Q16" s="106"/>
      <x:c r="R16" s="106"/>
      <x:c r="S16" s="106"/>
      <x:c r="T16" s="106"/>
      <x:c r="U16" s="106"/>
      <x:c r="V16" s="106"/>
      <x:c r="W16" s="106"/>
      <x:c r="X16" s="106"/>
      <x:c r="Y16" s="106"/>
      <x:c r="Z16" s="106"/>
      <x:c r="AA16" s="106"/>
      <x:c r="AB16" s="106"/>
      <x:c r="AC16" s="106"/>
      <x:c r="AD16" s="106"/>
      <x:c r="AE16" s="106"/>
      <x:c r="AF16" s="106"/>
      <x:c r="AG16" s="106"/>
      <x:c r="AH16" s="106"/>
      <x:c r="AI16" s="106"/>
      <x:c r="AJ16" s="106"/>
      <x:c r="AK16" s="106"/>
      <x:c r="AL16" s="106"/>
      <x:c r="AM16" s="106"/>
      <x:c r="AN16" s="106"/>
      <x:c r="AO16" s="106"/>
      <x:c r="AP16" s="106"/>
      <x:c r="AQ16" s="106"/>
      <x:c r="AR16" s="106"/>
      <x:c r="AS16" s="106"/>
      <x:c r="AT16" s="106"/>
      <x:c r="AU16" s="106"/>
      <x:c r="AV16" s="106"/>
      <x:c r="AW16" s="106"/>
      <x:c r="AX16" s="106"/>
      <x:c r="AY16" s="106"/>
      <x:c r="AZ16" s="106"/>
      <x:c r="BA16" s="106"/>
    </x:row>
    <x:row r="17">
      <x:c r="A17" s="115" t="str"/>
      <x:c r="B17" s="138"/>
      <x:c r="C17" s="106"/>
      <x:c r="D17" s="106"/>
      <x:c r="E17" s="106"/>
      <x:c r="F17" s="106"/>
      <x:c r="G17" s="106"/>
      <x:c r="H17" s="106"/>
      <x:c r="I17" s="106"/>
      <x:c r="J17" s="106"/>
      <x:c r="K17" s="106"/>
      <x:c r="L17" s="106"/>
      <x:c r="M17" s="106"/>
      <x:c r="N17" s="106"/>
      <x:c r="O17" s="106"/>
      <x:c r="P17" s="106"/>
      <x:c r="Q17" s="106"/>
      <x:c r="R17" s="106"/>
      <x:c r="S17" s="106"/>
      <x:c r="T17" s="106"/>
      <x:c r="U17" s="106"/>
      <x:c r="V17" s="106"/>
      <x:c r="W17" s="106"/>
      <x:c r="X17" s="106"/>
      <x:c r="Y17" s="106"/>
      <x:c r="Z17" s="106"/>
      <x:c r="AA17" s="106"/>
      <x:c r="AB17" s="106"/>
      <x:c r="AC17" s="106"/>
      <x:c r="AD17" s="106"/>
      <x:c r="AE17" s="106"/>
      <x:c r="AF17" s="106"/>
      <x:c r="AG17" s="106"/>
      <x:c r="AH17" s="106"/>
      <x:c r="AI17" s="106"/>
      <x:c r="AJ17" s="106"/>
      <x:c r="AK17" s="106"/>
      <x:c r="AL17" s="106"/>
      <x:c r="AM17" s="106"/>
      <x:c r="AN17" s="106"/>
      <x:c r="AO17" s="106"/>
      <x:c r="AP17" s="106"/>
      <x:c r="AQ17" s="106"/>
      <x:c r="AR17" s="106"/>
      <x:c r="AS17" s="106"/>
      <x:c r="AT17" s="106"/>
      <x:c r="AU17" s="106"/>
      <x:c r="AV17" s="106"/>
      <x:c r="AW17" s="106"/>
      <x:c r="AX17" s="106"/>
      <x:c r="AY17" s="106"/>
      <x:c r="AZ17" s="106"/>
      <x:c r="BA17" s="106"/>
    </x:row>
    <x:row r="18">
      <x:c r="A18" s="115" t="str"/>
      <x:c r="B18" s="138"/>
      <x:c r="C18" s="106"/>
      <x:c r="D18" s="106"/>
      <x:c r="E18" s="106"/>
      <x:c r="F18" s="106"/>
      <x:c r="G18" s="106"/>
      <x:c r="H18" s="106"/>
      <x:c r="I18" s="106"/>
      <x:c r="J18" s="106"/>
      <x:c r="K18" s="106"/>
      <x:c r="L18" s="106"/>
      <x:c r="M18" s="106"/>
      <x:c r="N18" s="106"/>
      <x:c r="O18" s="106"/>
      <x:c r="P18" s="106"/>
      <x:c r="Q18" s="106"/>
      <x:c r="R18" s="106"/>
      <x:c r="S18" s="106"/>
      <x:c r="T18" s="106"/>
      <x:c r="U18" s="106"/>
      <x:c r="V18" s="106"/>
      <x:c r="W18" s="106"/>
      <x:c r="X18" s="106"/>
      <x:c r="Y18" s="106"/>
      <x:c r="Z18" s="106"/>
      <x:c r="AA18" s="106"/>
      <x:c r="AB18" s="106"/>
      <x:c r="AC18" s="106"/>
      <x:c r="AD18" s="106"/>
      <x:c r="AE18" s="106"/>
      <x:c r="AF18" s="106"/>
      <x:c r="AG18" s="106"/>
      <x:c r="AH18" s="106"/>
      <x:c r="AI18" s="106"/>
      <x:c r="AJ18" s="106"/>
      <x:c r="AK18" s="106"/>
      <x:c r="AL18" s="106"/>
      <x:c r="AM18" s="106"/>
      <x:c r="AN18" s="106"/>
      <x:c r="AO18" s="106"/>
      <x:c r="AP18" s="106"/>
      <x:c r="AQ18" s="106"/>
      <x:c r="AR18" s="106"/>
      <x:c r="AS18" s="106"/>
      <x:c r="AT18" s="106"/>
      <x:c r="AU18" s="106"/>
      <x:c r="AV18" s="106"/>
      <x:c r="AW18" s="106"/>
      <x:c r="AX18" s="106"/>
      <x:c r="AY18" s="106"/>
      <x:c r="AZ18" s="106"/>
      <x:c r="BA18" s="106"/>
    </x:row>
    <x:row r="19">
      <x:c r="A19" s="115" t="str"/>
      <x:c r="B19" s="138"/>
      <x:c r="C19" s="106"/>
      <x:c r="D19" s="106"/>
      <x:c r="E19" s="106"/>
      <x:c r="F19" s="106"/>
      <x:c r="G19" s="106"/>
      <x:c r="H19" s="106"/>
      <x:c r="I19" s="106"/>
      <x:c r="J19" s="106"/>
      <x:c r="K19" s="106"/>
      <x:c r="L19" s="106"/>
      <x:c r="M19" s="106"/>
      <x:c r="N19" s="106"/>
      <x:c r="O19" s="106"/>
      <x:c r="P19" s="106"/>
      <x:c r="Q19" s="106"/>
      <x:c r="R19" s="106"/>
      <x:c r="S19" s="106"/>
      <x:c r="T19" s="106"/>
      <x:c r="U19" s="106"/>
      <x:c r="V19" s="106"/>
      <x:c r="W19" s="106"/>
      <x:c r="X19" s="106"/>
      <x:c r="Y19" s="106"/>
      <x:c r="Z19" s="106"/>
      <x:c r="AA19" s="106"/>
      <x:c r="AB19" s="106"/>
      <x:c r="AC19" s="106"/>
      <x:c r="AD19" s="106"/>
      <x:c r="AE19" s="106"/>
      <x:c r="AF19" s="106"/>
      <x:c r="AG19" s="106"/>
      <x:c r="AH19" s="106"/>
      <x:c r="AI19" s="106"/>
      <x:c r="AJ19" s="106"/>
      <x:c r="AK19" s="106"/>
      <x:c r="AL19" s="106"/>
      <x:c r="AM19" s="106"/>
      <x:c r="AN19" s="106"/>
      <x:c r="AO19" s="106"/>
      <x:c r="AP19" s="106"/>
      <x:c r="AQ19" s="106"/>
      <x:c r="AR19" s="106"/>
      <x:c r="AS19" s="106"/>
      <x:c r="AT19" s="106"/>
      <x:c r="AU19" s="106"/>
      <x:c r="AV19" s="106"/>
      <x:c r="AW19" s="106"/>
      <x:c r="AX19" s="106"/>
      <x:c r="AY19" s="106"/>
      <x:c r="AZ19" s="106"/>
      <x:c r="BA19" s="106"/>
    </x:row>
    <x:row r="20">
      <x:c r="A20" s="115" t="str"/>
      <x:c r="B20" s="138"/>
      <x:c r="C20" s="106"/>
      <x:c r="D20" s="106"/>
      <x:c r="E20" s="106"/>
      <x:c r="F20" s="106"/>
      <x:c r="G20" s="106"/>
      <x:c r="H20" s="106"/>
      <x:c r="I20" s="106"/>
      <x:c r="J20" s="106"/>
      <x:c r="K20" s="106"/>
      <x:c r="L20" s="106"/>
      <x:c r="M20" s="106"/>
      <x:c r="N20" s="106"/>
      <x:c r="O20" s="106"/>
      <x:c r="P20" s="106"/>
      <x:c r="Q20" s="106"/>
      <x:c r="R20" s="106"/>
      <x:c r="S20" s="106"/>
      <x:c r="T20" s="106"/>
      <x:c r="U20" s="106"/>
      <x:c r="V20" s="106"/>
      <x:c r="W20" s="106"/>
      <x:c r="X20" s="106"/>
      <x:c r="Y20" s="106"/>
      <x:c r="Z20" s="106"/>
      <x:c r="AA20" s="106"/>
      <x:c r="AB20" s="106"/>
      <x:c r="AC20" s="106"/>
      <x:c r="AD20" s="106"/>
      <x:c r="AE20" s="106"/>
      <x:c r="AF20" s="106"/>
      <x:c r="AG20" s="106"/>
      <x:c r="AH20" s="106"/>
      <x:c r="AI20" s="106"/>
      <x:c r="AJ20" s="106"/>
      <x:c r="AK20" s="106"/>
      <x:c r="AL20" s="106"/>
      <x:c r="AM20" s="106"/>
      <x:c r="AN20" s="106"/>
      <x:c r="AO20" s="106"/>
      <x:c r="AP20" s="106"/>
      <x:c r="AQ20" s="106"/>
      <x:c r="AR20" s="106"/>
      <x:c r="AS20" s="106"/>
      <x:c r="AT20" s="106"/>
      <x:c r="AU20" s="106"/>
      <x:c r="AV20" s="106"/>
      <x:c r="AW20" s="106"/>
      <x:c r="AX20" s="106"/>
      <x:c r="AY20" s="106"/>
      <x:c r="AZ20" s="106"/>
      <x:c r="BA20" s="106"/>
    </x:row>
    <x:row r="21">
      <x:c r="A21" s="115" t="str"/>
      <x:c r="B21" s="138"/>
      <x:c r="C21" s="106"/>
      <x:c r="D21" s="106"/>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c r="AO21" s="106"/>
      <x:c r="AP21" s="106"/>
      <x:c r="AQ21" s="106"/>
      <x:c r="AR21" s="106"/>
      <x:c r="AS21" s="106"/>
      <x:c r="AT21" s="106"/>
      <x:c r="AU21" s="106"/>
      <x:c r="AV21" s="106"/>
      <x:c r="AW21" s="106"/>
      <x:c r="AX21" s="106"/>
      <x:c r="AY21" s="106"/>
      <x:c r="AZ21" s="106"/>
      <x:c r="BA21" s="106"/>
    </x:row>
    <x:row r="22">
      <x:c r="A22" s="106"/>
      <x:c r="B22" s="106"/>
      <x:c r="C22" s="106"/>
      <x:c r="D22" s="106"/>
      <x:c r="E22" s="106"/>
      <x:c r="F22" s="106"/>
      <x:c r="G22" s="106"/>
      <x:c r="H22" s="106"/>
      <x:c r="I22" s="106"/>
      <x:c r="J22" s="106"/>
      <x:c r="K22" s="106"/>
      <x:c r="L22" s="106"/>
      <x:c r="M22" s="106"/>
      <x:c r="N22" s="106"/>
      <x:c r="O22" s="106"/>
      <x:c r="P22" s="106"/>
      <x:c r="Q22" s="106"/>
      <x:c r="R22" s="106"/>
      <x:c r="S22" s="106"/>
      <x:c r="T22" s="106"/>
      <x:c r="U22" s="106"/>
      <x:c r="V22" s="106"/>
      <x:c r="W22" s="106"/>
      <x:c r="X22" s="106"/>
      <x:c r="Y22" s="106"/>
      <x:c r="Z22" s="106"/>
      <x:c r="AA22" s="106"/>
      <x:c r="AB22" s="106"/>
      <x:c r="AC22" s="106"/>
      <x:c r="AD22" s="106"/>
      <x:c r="AE22" s="106"/>
      <x:c r="AF22" s="106"/>
      <x:c r="AG22" s="106"/>
      <x:c r="AH22" s="106"/>
      <x:c r="AI22" s="106"/>
      <x:c r="AJ22" s="106"/>
      <x:c r="AK22" s="106"/>
      <x:c r="AL22" s="106"/>
      <x:c r="AM22" s="106"/>
      <x:c r="AN22" s="106"/>
      <x:c r="AO22" s="106"/>
      <x:c r="AP22" s="106"/>
      <x:c r="AQ22" s="106"/>
      <x:c r="AR22" s="106"/>
      <x:c r="AS22" s="106"/>
      <x:c r="AT22" s="106"/>
      <x:c r="AU22" s="106"/>
      <x:c r="AV22" s="106"/>
      <x:c r="AW22" s="106"/>
      <x:c r="AX22" s="106"/>
      <x:c r="AY22" s="106"/>
      <x:c r="AZ22" s="106"/>
      <x:c r="BA22" s="106"/>
    </x:row>
    <x:row r="23">
      <x:c r="A23" s="106"/>
      <x:c r="B23" s="106"/>
      <x:c r="C23" s="106"/>
      <x:c r="D23" s="106"/>
      <x:c r="E23" s="106"/>
      <x:c r="F23" s="106"/>
      <x:c r="G23" s="106"/>
      <x:c r="H23" s="106"/>
      <x:c r="I23" s="106"/>
      <x:c r="J23" s="106"/>
      <x:c r="K23" s="106"/>
      <x:c r="L23" s="106"/>
      <x:c r="M23" s="106"/>
      <x:c r="N23" s="106"/>
      <x:c r="O23" s="106"/>
      <x:c r="P23" s="106"/>
      <x:c r="Q23" s="106"/>
      <x:c r="R23" s="106"/>
      <x:c r="S23" s="106"/>
      <x:c r="T23" s="106"/>
      <x:c r="U23" s="106"/>
      <x:c r="V23" s="106"/>
      <x:c r="W23" s="106"/>
      <x:c r="X23" s="106"/>
      <x:c r="Y23" s="106"/>
      <x:c r="Z23" s="106"/>
      <x:c r="AA23" s="106"/>
      <x:c r="AB23" s="106"/>
      <x:c r="AC23" s="106"/>
      <x:c r="AD23" s="106"/>
      <x:c r="AE23" s="106"/>
      <x:c r="AF23" s="106"/>
      <x:c r="AG23" s="106"/>
      <x:c r="AH23" s="106"/>
      <x:c r="AI23" s="106"/>
      <x:c r="AJ23" s="106"/>
      <x:c r="AK23" s="106"/>
      <x:c r="AL23" s="106"/>
      <x:c r="AM23" s="106"/>
      <x:c r="AN23" s="106"/>
      <x:c r="AO23" s="106"/>
      <x:c r="AP23" s="106"/>
      <x:c r="AQ23" s="106"/>
      <x:c r="AR23" s="106"/>
      <x:c r="AS23" s="106"/>
      <x:c r="AT23" s="106"/>
      <x:c r="AU23" s="106"/>
      <x:c r="AV23" s="106"/>
      <x:c r="AW23" s="106"/>
      <x:c r="AX23" s="106"/>
      <x:c r="AY23" s="106"/>
      <x:c r="AZ23" s="106"/>
      <x:c r="BA23" s="106"/>
    </x:row>
    <x:row r="24">
      <x:c r="A24" s="106"/>
      <x:c r="B24" s="106"/>
      <x:c r="C24" s="106"/>
      <x:c r="D24" s="106"/>
      <x:c r="E24" s="106"/>
      <x:c r="F24" s="106"/>
      <x:c r="G24" s="106"/>
      <x:c r="H24" s="106"/>
      <x:c r="I24" s="106"/>
      <x:c r="J24" s="106"/>
      <x:c r="K24" s="106"/>
      <x:c r="L24" s="106"/>
      <x:c r="M24" s="106"/>
      <x:c r="N24" s="106"/>
      <x:c r="O24" s="106"/>
      <x:c r="P24" s="106"/>
      <x:c r="Q24" s="106"/>
      <x:c r="R24" s="106"/>
      <x:c r="S24" s="106"/>
      <x:c r="T24" s="106"/>
      <x:c r="U24" s="106"/>
      <x:c r="V24" s="106"/>
      <x:c r="W24" s="106"/>
      <x:c r="X24" s="106"/>
      <x:c r="Y24" s="106"/>
      <x:c r="Z24" s="106"/>
      <x:c r="AA24" s="106"/>
      <x:c r="AB24" s="106"/>
      <x:c r="AC24" s="106"/>
      <x:c r="AD24" s="106"/>
      <x:c r="AE24" s="106"/>
      <x:c r="AF24" s="106"/>
      <x:c r="AG24" s="106"/>
      <x:c r="AH24" s="106"/>
      <x:c r="AI24" s="106"/>
      <x:c r="AJ24" s="106"/>
      <x:c r="AK24" s="106"/>
      <x:c r="AL24" s="106"/>
      <x:c r="AM24" s="106"/>
      <x:c r="AN24" s="106"/>
      <x:c r="AO24" s="106"/>
      <x:c r="AP24" s="106"/>
      <x:c r="AQ24" s="106"/>
      <x:c r="AR24" s="106"/>
      <x:c r="AS24" s="106"/>
      <x:c r="AT24" s="106"/>
      <x:c r="AU24" s="106"/>
      <x:c r="AV24" s="106"/>
      <x:c r="AW24" s="106"/>
      <x:c r="AX24" s="106"/>
      <x:c r="AY24" s="106"/>
      <x:c r="AZ24" s="106"/>
      <x:c r="BA24" s="106"/>
    </x:row>
    <x:row r="25">
      <x:c r="A25" s="106"/>
      <x:c r="B25" s="106"/>
      <x:c r="C25" s="106"/>
      <x:c r="D25" s="106"/>
      <x:c r="E25" s="106"/>
      <x:c r="F25" s="106"/>
      <x:c r="G25" s="106"/>
      <x:c r="H25" s="106"/>
      <x:c r="I25" s="106"/>
      <x:c r="J25" s="106"/>
      <x:c r="K25" s="106"/>
      <x:c r="L25" s="106"/>
      <x:c r="M25" s="106"/>
      <x:c r="N25" s="106"/>
      <x:c r="O25" s="106"/>
      <x:c r="P25" s="106"/>
      <x:c r="Q25" s="106"/>
      <x:c r="R25" s="106"/>
      <x:c r="S25" s="106"/>
      <x:c r="T25" s="106"/>
      <x:c r="U25" s="106"/>
      <x:c r="V25" s="106"/>
      <x:c r="W25" s="106"/>
      <x:c r="X25" s="106"/>
      <x:c r="Y25" s="106"/>
      <x:c r="Z25" s="106"/>
      <x:c r="AA25" s="106"/>
      <x:c r="AB25" s="106"/>
      <x:c r="AC25" s="106"/>
      <x:c r="AD25" s="106"/>
      <x:c r="AE25" s="106"/>
      <x:c r="AF25" s="106"/>
      <x:c r="AG25" s="106"/>
      <x:c r="AH25" s="106"/>
      <x:c r="AI25" s="106"/>
      <x:c r="AJ25" s="106"/>
      <x:c r="AK25" s="106"/>
      <x:c r="AL25" s="106"/>
      <x:c r="AM25" s="106"/>
      <x:c r="AN25" s="106"/>
      <x:c r="AO25" s="106"/>
      <x:c r="AP25" s="106"/>
      <x:c r="AQ25" s="106"/>
      <x:c r="AR25" s="106"/>
      <x:c r="AS25" s="106"/>
      <x:c r="AT25" s="106"/>
      <x:c r="AU25" s="106"/>
      <x:c r="AV25" s="106"/>
      <x:c r="AW25" s="106"/>
      <x:c r="AX25" s="106"/>
      <x:c r="AY25" s="106"/>
      <x:c r="AZ25" s="106"/>
      <x:c r="BA25" s="106"/>
    </x:row>
    <x:row r="26">
      <x:c r="A26" s="106"/>
      <x:c r="B26" s="106"/>
      <x:c r="C26" s="106"/>
      <x:c r="D26" s="106"/>
      <x:c r="E26" s="106"/>
      <x:c r="F26" s="106"/>
      <x:c r="G26" s="106"/>
      <x:c r="H26" s="106"/>
      <x:c r="I26" s="106"/>
      <x:c r="J26" s="106"/>
      <x:c r="K26" s="106"/>
      <x:c r="L26" s="106"/>
      <x:c r="M26" s="106"/>
      <x:c r="N26" s="106"/>
      <x:c r="O26" s="106"/>
      <x:c r="P26" s="106"/>
      <x:c r="Q26" s="106"/>
      <x:c r="R26" s="106"/>
      <x:c r="S26" s="106"/>
      <x:c r="T26" s="106"/>
      <x:c r="U26" s="106"/>
      <x:c r="V26" s="106"/>
      <x:c r="W26" s="106"/>
      <x:c r="X26" s="106"/>
      <x:c r="Y26" s="106"/>
      <x:c r="Z26" s="106"/>
      <x:c r="AA26" s="106"/>
      <x:c r="AB26" s="106"/>
      <x:c r="AC26" s="106"/>
      <x:c r="AD26" s="106"/>
      <x:c r="AE26" s="106"/>
      <x:c r="AF26" s="106"/>
      <x:c r="AG26" s="106"/>
      <x:c r="AH26" s="106"/>
      <x:c r="AI26" s="106"/>
      <x:c r="AJ26" s="106"/>
      <x:c r="AK26" s="106"/>
      <x:c r="AL26" s="106"/>
      <x:c r="AM26" s="106"/>
      <x:c r="AN26" s="106"/>
      <x:c r="AO26" s="106"/>
      <x:c r="AP26" s="106"/>
      <x:c r="AQ26" s="106"/>
      <x:c r="AR26" s="106"/>
      <x:c r="AS26" s="106"/>
      <x:c r="AT26" s="106"/>
      <x:c r="AU26" s="106"/>
      <x:c r="AV26" s="106"/>
      <x:c r="AW26" s="106"/>
      <x:c r="AX26" s="106"/>
      <x:c r="AY26" s="106"/>
      <x:c r="AZ26" s="106"/>
      <x:c r="BA26" s="106"/>
    </x:row>
    <x:row r="27">
      <x:c r="A27" s="106"/>
      <x:c r="B27" s="106"/>
      <x:c r="C27" s="106"/>
      <x:c r="D27" s="106"/>
      <x:c r="E27" s="106"/>
      <x:c r="F27" s="106"/>
      <x:c r="G27" s="106"/>
      <x:c r="H27" s="106"/>
      <x:c r="I27" s="106"/>
      <x:c r="J27" s="106"/>
      <x:c r="K27" s="106"/>
      <x:c r="L27" s="106"/>
      <x:c r="M27" s="106"/>
      <x:c r="N27" s="106"/>
      <x:c r="O27" s="106"/>
      <x:c r="P27" s="106"/>
      <x:c r="Q27" s="106"/>
      <x:c r="R27" s="106"/>
      <x:c r="S27" s="106"/>
      <x:c r="T27" s="106"/>
      <x:c r="U27" s="106"/>
      <x:c r="V27" s="106"/>
      <x:c r="W27" s="106"/>
      <x:c r="X27" s="106"/>
      <x:c r="Y27" s="106"/>
      <x:c r="Z27" s="106"/>
      <x:c r="AA27" s="106"/>
      <x:c r="AB27" s="106"/>
      <x:c r="AC27" s="106"/>
      <x:c r="AD27" s="106"/>
      <x:c r="AE27" s="106"/>
      <x:c r="AF27" s="106"/>
      <x:c r="AG27" s="106"/>
      <x:c r="AH27" s="106"/>
      <x:c r="AI27" s="106"/>
      <x:c r="AJ27" s="106"/>
      <x:c r="AK27" s="106"/>
      <x:c r="AL27" s="106"/>
      <x:c r="AM27" s="106"/>
      <x:c r="AN27" s="106"/>
      <x:c r="AO27" s="106"/>
      <x:c r="AP27" s="106"/>
      <x:c r="AQ27" s="106"/>
      <x:c r="AR27" s="106"/>
      <x:c r="AS27" s="106"/>
      <x:c r="AT27" s="106"/>
      <x:c r="AU27" s="106"/>
      <x:c r="AV27" s="106"/>
      <x:c r="AW27" s="106"/>
      <x:c r="AX27" s="106"/>
      <x:c r="AY27" s="106"/>
      <x:c r="AZ27" s="106"/>
      <x:c r="BA27" s="106"/>
    </x:row>
    <x:row r="28">
      <x:c r="A28" s="106"/>
      <x:c r="B28" s="106"/>
      <x:c r="C28" s="106"/>
      <x:c r="D28" s="106"/>
      <x:c r="E28" s="106"/>
      <x:c r="F28" s="106"/>
      <x:c r="G28" s="106"/>
      <x:c r="H28" s="106"/>
      <x:c r="I28" s="106"/>
      <x:c r="J28" s="106"/>
      <x:c r="K28" s="106"/>
      <x:c r="L28" s="106"/>
      <x:c r="M28" s="106"/>
      <x:c r="N28" s="106"/>
      <x:c r="O28" s="106"/>
      <x:c r="P28" s="106"/>
      <x:c r="Q28" s="106"/>
      <x:c r="R28" s="106"/>
      <x:c r="S28" s="106"/>
      <x:c r="T28" s="106"/>
      <x:c r="U28" s="106"/>
      <x:c r="V28" s="106"/>
      <x:c r="W28" s="106"/>
      <x:c r="X28" s="106"/>
      <x:c r="Y28" s="106"/>
      <x:c r="Z28" s="106"/>
      <x:c r="AA28" s="106"/>
      <x:c r="AB28" s="106"/>
      <x:c r="AC28" s="106"/>
      <x:c r="AD28" s="106"/>
      <x:c r="AE28" s="106"/>
      <x:c r="AF28" s="106"/>
      <x:c r="AG28" s="106"/>
      <x:c r="AH28" s="106"/>
      <x:c r="AI28" s="106"/>
      <x:c r="AJ28" s="106"/>
      <x:c r="AK28" s="106"/>
      <x:c r="AL28" s="106"/>
      <x:c r="AM28" s="106"/>
      <x:c r="AN28" s="106"/>
      <x:c r="AO28" s="106"/>
      <x:c r="AP28" s="106"/>
      <x:c r="AQ28" s="106"/>
      <x:c r="AR28" s="106"/>
      <x:c r="AS28" s="106"/>
      <x:c r="AT28" s="106"/>
      <x:c r="AU28" s="106"/>
      <x:c r="AV28" s="106"/>
      <x:c r="AW28" s="106"/>
      <x:c r="AX28" s="106"/>
      <x:c r="AY28" s="106"/>
      <x:c r="AZ28" s="106"/>
      <x:c r="BA28" s="106"/>
    </x:row>
    <x:row r="29">
      <x:c r="A29" s="106"/>
      <x:c r="B29" s="106"/>
      <x:c r="C29" s="106"/>
      <x:c r="D29" s="106"/>
      <x:c r="E29" s="106"/>
      <x:c r="F29" s="106"/>
      <x:c r="G29" s="106"/>
      <x:c r="H29" s="106"/>
      <x:c r="I29" s="106"/>
      <x:c r="J29" s="106"/>
      <x:c r="K29" s="106"/>
      <x:c r="L29" s="106"/>
      <x:c r="M29" s="106"/>
      <x:c r="N29" s="106"/>
      <x:c r="O29" s="106"/>
      <x:c r="P29" s="106"/>
      <x:c r="Q29" s="106"/>
      <x:c r="R29" s="106"/>
      <x:c r="S29" s="106"/>
      <x:c r="T29" s="106"/>
      <x:c r="U29" s="106"/>
      <x:c r="V29" s="106"/>
      <x:c r="W29" s="106"/>
      <x:c r="X29" s="106"/>
      <x:c r="Y29" s="106"/>
      <x:c r="Z29" s="106"/>
      <x:c r="AA29" s="106"/>
      <x:c r="AB29" s="106"/>
      <x:c r="AC29" s="106"/>
      <x:c r="AD29" s="106"/>
      <x:c r="AE29" s="106"/>
      <x:c r="AF29" s="106"/>
      <x:c r="AG29" s="106"/>
      <x:c r="AH29" s="106"/>
      <x:c r="AI29" s="106"/>
      <x:c r="AJ29" s="106"/>
      <x:c r="AK29" s="106"/>
      <x:c r="AL29" s="106"/>
      <x:c r="AM29" s="106"/>
      <x:c r="AN29" s="106"/>
      <x:c r="AO29" s="106"/>
      <x:c r="AP29" s="106"/>
      <x:c r="AQ29" s="106"/>
      <x:c r="AR29" s="106"/>
      <x:c r="AS29" s="106"/>
      <x:c r="AT29" s="106"/>
      <x:c r="AU29" s="106"/>
      <x:c r="AV29" s="106"/>
      <x:c r="AW29" s="106"/>
      <x:c r="AX29" s="106"/>
      <x:c r="AY29" s="106"/>
      <x:c r="AZ29" s="106"/>
      <x:c r="BA29" s="106"/>
    </x:row>
    <x:row r="30">
      <x:c r="A30" s="106"/>
      <x:c r="B30" s="106"/>
      <x:c r="C30" s="106"/>
      <x:c r="D30" s="106"/>
      <x:c r="E30" s="106"/>
      <x:c r="F30" s="106"/>
      <x:c r="G30" s="106"/>
      <x:c r="H30" s="106"/>
      <x:c r="I30" s="106"/>
      <x:c r="J30" s="106"/>
      <x:c r="K30" s="106"/>
      <x:c r="L30" s="106"/>
      <x:c r="M30" s="106"/>
      <x:c r="N30" s="106"/>
      <x:c r="O30" s="106"/>
      <x:c r="P30" s="106"/>
      <x:c r="Q30" s="106"/>
      <x:c r="R30" s="106"/>
      <x:c r="S30" s="106"/>
      <x:c r="T30" s="106"/>
      <x:c r="U30" s="106"/>
      <x:c r="V30" s="106"/>
      <x:c r="W30" s="106"/>
      <x:c r="X30" s="106"/>
      <x:c r="Y30" s="106"/>
      <x:c r="Z30" s="106"/>
      <x:c r="AA30" s="106"/>
      <x:c r="AB30" s="106"/>
      <x:c r="AC30" s="106"/>
      <x:c r="AD30" s="106"/>
      <x:c r="AE30" s="106"/>
      <x:c r="AF30" s="106"/>
      <x:c r="AG30" s="106"/>
      <x:c r="AH30" s="106"/>
      <x:c r="AI30" s="106"/>
      <x:c r="AJ30" s="106"/>
      <x:c r="AK30" s="106"/>
      <x:c r="AL30" s="106"/>
      <x:c r="AM30" s="106"/>
      <x:c r="AN30" s="106"/>
      <x:c r="AO30" s="106"/>
      <x:c r="AP30" s="106"/>
      <x:c r="AQ30" s="106"/>
      <x:c r="AR30" s="106"/>
      <x:c r="AS30" s="106"/>
      <x:c r="AT30" s="106"/>
      <x:c r="AU30" s="106"/>
      <x:c r="AV30" s="106"/>
      <x:c r="AW30" s="106"/>
      <x:c r="AX30" s="106"/>
      <x:c r="AY30" s="106"/>
      <x:c r="AZ30" s="106"/>
      <x:c r="BA30" s="106"/>
    </x:row>
    <x:row r="31">
      <x:c r="A31" s="106"/>
      <x:c r="B31" s="106"/>
      <x:c r="C31" s="106"/>
      <x:c r="D31" s="106"/>
      <x:c r="E31" s="106"/>
      <x:c r="F31" s="106"/>
      <x:c r="G31" s="106"/>
      <x:c r="H31" s="106"/>
      <x:c r="I31" s="106"/>
      <x:c r="J31" s="106"/>
      <x:c r="K31" s="106"/>
      <x:c r="L31" s="106"/>
      <x:c r="M31" s="106"/>
      <x:c r="N31" s="106"/>
      <x:c r="O31" s="106"/>
      <x:c r="P31" s="106"/>
      <x:c r="Q31" s="106"/>
      <x:c r="R31" s="106"/>
      <x:c r="S31" s="106"/>
      <x:c r="T31" s="106"/>
      <x:c r="U31" s="106"/>
      <x:c r="V31" s="106"/>
      <x:c r="W31" s="106"/>
      <x:c r="X31" s="106"/>
      <x:c r="Y31" s="106"/>
      <x:c r="Z31" s="106"/>
      <x:c r="AA31" s="106"/>
      <x:c r="AB31" s="106"/>
      <x:c r="AC31" s="106"/>
      <x:c r="AD31" s="106"/>
      <x:c r="AE31" s="106"/>
      <x:c r="AF31" s="106"/>
      <x:c r="AG31" s="106"/>
      <x:c r="AH31" s="106"/>
      <x:c r="AI31" s="106"/>
      <x:c r="AJ31" s="106"/>
      <x:c r="AK31" s="106"/>
      <x:c r="AL31" s="106"/>
      <x:c r="AM31" s="106"/>
      <x:c r="AN31" s="106"/>
      <x:c r="AO31" s="106"/>
      <x:c r="AP31" s="106"/>
      <x:c r="AQ31" s="106"/>
      <x:c r="AR31" s="106"/>
      <x:c r="AS31" s="106"/>
      <x:c r="AT31" s="106"/>
      <x:c r="AU31" s="106"/>
      <x:c r="AV31" s="106"/>
      <x:c r="AW31" s="106"/>
      <x:c r="AX31" s="106"/>
      <x:c r="AY31" s="106"/>
      <x:c r="AZ31" s="106"/>
      <x:c r="BA31" s="106"/>
    </x:row>
    <x:row r="32">
      <x:c r="A32" s="106"/>
      <x:c r="B32" s="106"/>
      <x:c r="C32" s="106"/>
      <x:c r="D32" s="106"/>
      <x:c r="E32" s="106"/>
      <x:c r="F32" s="106"/>
      <x:c r="G32" s="106"/>
      <x:c r="H32" s="106"/>
      <x:c r="I32" s="106"/>
      <x:c r="J32" s="106"/>
      <x:c r="K32" s="106"/>
      <x:c r="L32" s="106"/>
      <x:c r="M32" s="106"/>
      <x:c r="N32" s="106"/>
      <x:c r="O32" s="106"/>
      <x:c r="P32" s="106"/>
      <x:c r="Q32" s="106"/>
      <x:c r="R32" s="106"/>
      <x:c r="S32" s="106"/>
      <x:c r="T32" s="106"/>
      <x:c r="U32" s="106"/>
      <x:c r="V32" s="106"/>
      <x:c r="W32" s="106"/>
      <x:c r="X32" s="106"/>
      <x:c r="Y32" s="106"/>
      <x:c r="Z32" s="106"/>
      <x:c r="AA32" s="106"/>
      <x:c r="AB32" s="106"/>
      <x:c r="AC32" s="106"/>
      <x:c r="AD32" s="106"/>
      <x:c r="AE32" s="106"/>
      <x:c r="AF32" s="106"/>
      <x:c r="AG32" s="106"/>
      <x:c r="AH32" s="106"/>
      <x:c r="AI32" s="106"/>
      <x:c r="AJ32" s="106"/>
      <x:c r="AK32" s="106"/>
      <x:c r="AL32" s="106"/>
      <x:c r="AM32" s="106"/>
      <x:c r="AN32" s="106"/>
      <x:c r="AO32" s="106"/>
      <x:c r="AP32" s="106"/>
      <x:c r="AQ32" s="106"/>
      <x:c r="AR32" s="106"/>
      <x:c r="AS32" s="106"/>
      <x:c r="AT32" s="106"/>
      <x:c r="AU32" s="106"/>
      <x:c r="AV32" s="106"/>
      <x:c r="AW32" s="106"/>
      <x:c r="AX32" s="106"/>
      <x:c r="AY32" s="106"/>
      <x:c r="AZ32" s="106"/>
      <x:c r="BA32" s="106"/>
    </x:row>
    <x:row r="33">
      <x:c r="A33" s="106"/>
      <x:c r="B33" s="106"/>
      <x:c r="C33" s="106"/>
      <x:c r="D33" s="106"/>
      <x:c r="E33" s="106"/>
      <x:c r="F33" s="106"/>
      <x:c r="G33" s="106"/>
      <x:c r="H33" s="106"/>
      <x:c r="I33" s="106"/>
      <x:c r="J33" s="106"/>
      <x:c r="K33" s="106"/>
      <x:c r="L33" s="106"/>
      <x:c r="M33" s="106"/>
      <x:c r="N33" s="106"/>
      <x:c r="O33" s="106"/>
      <x:c r="P33" s="106"/>
      <x:c r="Q33" s="106"/>
      <x:c r="R33" s="106"/>
      <x:c r="S33" s="106"/>
      <x:c r="T33" s="106"/>
      <x:c r="U33" s="106"/>
      <x:c r="V33" s="106"/>
      <x:c r="W33" s="106"/>
      <x:c r="X33" s="106"/>
      <x:c r="Y33" s="106"/>
      <x:c r="Z33" s="106"/>
      <x:c r="AA33" s="106"/>
      <x:c r="AB33" s="106"/>
      <x:c r="AC33" s="106"/>
      <x:c r="AD33" s="106"/>
      <x:c r="AE33" s="106"/>
      <x:c r="AF33" s="106"/>
      <x:c r="AG33" s="106"/>
      <x:c r="AH33" s="106"/>
      <x:c r="AI33" s="106"/>
      <x:c r="AJ33" s="106"/>
      <x:c r="AK33" s="106"/>
      <x:c r="AL33" s="106"/>
      <x:c r="AM33" s="106"/>
      <x:c r="AN33" s="106"/>
      <x:c r="AO33" s="106"/>
      <x:c r="AP33" s="106"/>
      <x:c r="AQ33" s="106"/>
      <x:c r="AR33" s="106"/>
      <x:c r="AS33" s="106"/>
      <x:c r="AT33" s="106"/>
      <x:c r="AU33" s="106"/>
      <x:c r="AV33" s="106"/>
      <x:c r="AW33" s="106"/>
      <x:c r="AX33" s="106"/>
      <x:c r="AY33" s="106"/>
      <x:c r="AZ33" s="106"/>
      <x:c r="BA33" s="106"/>
    </x:row>
    <x:row r="34">
      <x:c r="A34" s="106"/>
      <x:c r="B34" s="106"/>
      <x:c r="C34" s="106"/>
      <x:c r="D34" s="106"/>
      <x:c r="E34" s="106"/>
      <x:c r="F34" s="106"/>
      <x:c r="G34" s="106"/>
      <x:c r="H34" s="106"/>
      <x:c r="I34" s="106"/>
      <x:c r="J34" s="106"/>
      <x:c r="K34" s="106"/>
      <x:c r="L34" s="106"/>
      <x:c r="M34" s="106"/>
      <x:c r="N34" s="106"/>
      <x:c r="O34" s="106"/>
      <x:c r="P34" s="106"/>
      <x:c r="Q34" s="106"/>
      <x:c r="R34" s="106"/>
      <x:c r="S34" s="106"/>
      <x:c r="T34" s="106"/>
      <x:c r="U34" s="106"/>
      <x:c r="V34" s="106"/>
      <x:c r="W34" s="106"/>
      <x:c r="X34" s="106"/>
      <x:c r="Y34" s="106"/>
      <x:c r="Z34" s="106"/>
      <x:c r="AA34" s="106"/>
      <x:c r="AB34" s="106"/>
      <x:c r="AC34" s="106"/>
      <x:c r="AD34" s="106"/>
      <x:c r="AE34" s="106"/>
      <x:c r="AF34" s="106"/>
      <x:c r="AG34" s="106"/>
      <x:c r="AH34" s="106"/>
      <x:c r="AI34" s="106"/>
      <x:c r="AJ34" s="106"/>
      <x:c r="AK34" s="106"/>
      <x:c r="AL34" s="106"/>
      <x:c r="AM34" s="106"/>
      <x:c r="AN34" s="106"/>
      <x:c r="AO34" s="106"/>
      <x:c r="AP34" s="106"/>
      <x:c r="AQ34" s="106"/>
      <x:c r="AR34" s="106"/>
      <x:c r="AS34" s="106"/>
      <x:c r="AT34" s="106"/>
      <x:c r="AU34" s="106"/>
      <x:c r="AV34" s="106"/>
      <x:c r="AW34" s="106"/>
      <x:c r="AX34" s="106"/>
      <x:c r="AY34" s="106"/>
      <x:c r="AZ34" s="106"/>
      <x:c r="BA34" s="106"/>
    </x:row>
    <x:row r="35">
      <x:c r="A35" s="106"/>
      <x:c r="B35" s="106"/>
      <x:c r="C35" s="106"/>
      <x:c r="D35" s="106"/>
      <x:c r="E35" s="106"/>
      <x:c r="F35" s="106"/>
      <x:c r="G35" s="106"/>
      <x:c r="H35" s="106"/>
      <x:c r="I35" s="106"/>
      <x:c r="J35" s="106"/>
      <x:c r="K35" s="106"/>
      <x:c r="L35" s="106"/>
      <x:c r="M35" s="106"/>
      <x:c r="N35" s="106"/>
      <x:c r="O35" s="106"/>
      <x:c r="P35" s="106"/>
      <x:c r="Q35" s="106"/>
      <x:c r="R35" s="106"/>
      <x:c r="S35" s="106"/>
      <x:c r="T35" s="106"/>
      <x:c r="U35" s="106"/>
      <x:c r="V35" s="106"/>
      <x:c r="W35" s="106"/>
      <x:c r="X35" s="106"/>
      <x:c r="Y35" s="106"/>
      <x:c r="Z35" s="106"/>
      <x:c r="AA35" s="106"/>
      <x:c r="AB35" s="106"/>
      <x:c r="AC35" s="106"/>
      <x:c r="AD35" s="106"/>
      <x:c r="AE35" s="106"/>
      <x:c r="AF35" s="106"/>
      <x:c r="AG35" s="106"/>
      <x:c r="AH35" s="106"/>
      <x:c r="AI35" s="106"/>
      <x:c r="AJ35" s="106"/>
      <x:c r="AK35" s="106"/>
      <x:c r="AL35" s="106"/>
      <x:c r="AM35" s="106"/>
      <x:c r="AN35" s="106"/>
      <x:c r="AO35" s="106"/>
      <x:c r="AP35" s="106"/>
      <x:c r="AQ35" s="106"/>
      <x:c r="AR35" s="106"/>
      <x:c r="AS35" s="106"/>
      <x:c r="AT35" s="106"/>
      <x:c r="AU35" s="106"/>
      <x:c r="AV35" s="106"/>
      <x:c r="AW35" s="106"/>
      <x:c r="AX35" s="106"/>
      <x:c r="AY35" s="106"/>
      <x:c r="AZ35" s="106"/>
      <x:c r="BA35" s="106"/>
    </x:row>
    <x:row r="36">
      <x:c r="A36" s="106"/>
      <x:c r="B36" s="106"/>
      <x:c r="C36" s="106"/>
      <x:c r="D36" s="106"/>
      <x:c r="E36" s="106"/>
      <x:c r="F36" s="106"/>
      <x:c r="G36" s="106"/>
      <x:c r="H36" s="106"/>
      <x:c r="I36" s="106"/>
      <x:c r="J36" s="106"/>
      <x:c r="K36" s="106"/>
      <x:c r="L36" s="106"/>
      <x:c r="M36" s="106"/>
      <x:c r="N36" s="106"/>
      <x:c r="O36" s="106"/>
      <x:c r="P36" s="106"/>
      <x:c r="Q36" s="106"/>
      <x:c r="R36" s="106"/>
      <x:c r="S36" s="106"/>
      <x:c r="T36" s="106"/>
      <x:c r="U36" s="106"/>
      <x:c r="V36" s="106"/>
      <x:c r="W36" s="106"/>
      <x:c r="X36" s="106"/>
      <x:c r="Y36" s="106"/>
      <x:c r="Z36" s="106"/>
      <x:c r="AA36" s="106"/>
      <x:c r="AB36" s="106"/>
      <x:c r="AC36" s="106"/>
      <x:c r="AD36" s="106"/>
      <x:c r="AE36" s="106"/>
      <x:c r="AF36" s="106"/>
      <x:c r="AG36" s="106"/>
      <x:c r="AH36" s="106"/>
      <x:c r="AI36" s="106"/>
      <x:c r="AJ36" s="106"/>
      <x:c r="AK36" s="106"/>
      <x:c r="AL36" s="106"/>
      <x:c r="AM36" s="106"/>
      <x:c r="AN36" s="106"/>
      <x:c r="AO36" s="106"/>
      <x:c r="AP36" s="106"/>
      <x:c r="AQ36" s="106"/>
      <x:c r="AR36" s="106"/>
      <x:c r="AS36" s="106"/>
      <x:c r="AT36" s="106"/>
      <x:c r="AU36" s="106"/>
      <x:c r="AV36" s="106"/>
      <x:c r="AW36" s="106"/>
      <x:c r="AX36" s="106"/>
      <x:c r="AY36" s="106"/>
      <x:c r="AZ36" s="106"/>
      <x:c r="BA36" s="106"/>
    </x:row>
    <x:row r="37">
      <x:c r="A37" s="106"/>
      <x:c r="B37" s="106"/>
      <x:c r="C37" s="106"/>
      <x:c r="D37" s="106"/>
      <x:c r="E37" s="106"/>
      <x:c r="F37" s="106"/>
      <x:c r="G37" s="106"/>
      <x:c r="H37" s="106"/>
      <x:c r="I37" s="106"/>
      <x:c r="J37" s="106"/>
      <x:c r="K37" s="106"/>
      <x:c r="L37" s="106"/>
      <x:c r="M37" s="106"/>
      <x:c r="N37" s="106"/>
      <x:c r="O37" s="106"/>
      <x:c r="P37" s="106"/>
      <x:c r="Q37" s="106"/>
      <x:c r="R37" s="106"/>
      <x:c r="S37" s="106"/>
      <x:c r="T37" s="106"/>
      <x:c r="U37" s="106"/>
      <x:c r="V37" s="106"/>
      <x:c r="W37" s="106"/>
      <x:c r="X37" s="106"/>
      <x:c r="Y37" s="106"/>
      <x:c r="Z37" s="106"/>
      <x:c r="AA37" s="106"/>
      <x:c r="AB37" s="106"/>
      <x:c r="AC37" s="106"/>
      <x:c r="AD37" s="106"/>
      <x:c r="AE37" s="106"/>
      <x:c r="AF37" s="106"/>
      <x:c r="AG37" s="106"/>
      <x:c r="AH37" s="106"/>
      <x:c r="AI37" s="106"/>
      <x:c r="AJ37" s="106"/>
      <x:c r="AK37" s="106"/>
      <x:c r="AL37" s="106"/>
      <x:c r="AM37" s="106"/>
      <x:c r="AN37" s="106"/>
      <x:c r="AO37" s="106"/>
      <x:c r="AP37" s="106"/>
      <x:c r="AQ37" s="106"/>
      <x:c r="AR37" s="106"/>
      <x:c r="AS37" s="106"/>
      <x:c r="AT37" s="106"/>
      <x:c r="AU37" s="106"/>
      <x:c r="AV37" s="106"/>
      <x:c r="AW37" s="106"/>
      <x:c r="AX37" s="106"/>
      <x:c r="AY37" s="106"/>
      <x:c r="AZ37" s="106"/>
      <x:c r="BA37" s="106"/>
    </x:row>
    <x:row r="38">
      <x:c r="A38" s="106"/>
      <x:c r="B38" s="106"/>
      <x:c r="C38" s="106"/>
      <x:c r="D38" s="106"/>
      <x:c r="E38" s="106"/>
      <x:c r="F38" s="106"/>
      <x:c r="G38" s="106"/>
      <x:c r="H38" s="106"/>
      <x:c r="I38" s="106"/>
      <x:c r="J38" s="106"/>
      <x:c r="K38" s="106"/>
      <x:c r="L38" s="106"/>
      <x:c r="M38" s="106"/>
      <x:c r="N38" s="106"/>
      <x:c r="O38" s="106"/>
      <x:c r="P38" s="106"/>
      <x:c r="Q38" s="106"/>
      <x:c r="R38" s="106"/>
      <x:c r="S38" s="106"/>
      <x:c r="T38" s="106"/>
      <x:c r="U38" s="106"/>
      <x:c r="V38" s="106"/>
      <x:c r="W38" s="106"/>
      <x:c r="X38" s="106"/>
      <x:c r="Y38" s="106"/>
      <x:c r="Z38" s="106"/>
      <x:c r="AA38" s="106"/>
      <x:c r="AB38" s="106"/>
      <x:c r="AC38" s="106"/>
      <x:c r="AD38" s="106"/>
      <x:c r="AE38" s="106"/>
      <x:c r="AF38" s="106"/>
      <x:c r="AG38" s="106"/>
      <x:c r="AH38" s="106"/>
      <x:c r="AI38" s="106"/>
      <x:c r="AJ38" s="106"/>
      <x:c r="AK38" s="106"/>
      <x:c r="AL38" s="106"/>
      <x:c r="AM38" s="106"/>
      <x:c r="AN38" s="106"/>
      <x:c r="AO38" s="106"/>
      <x:c r="AP38" s="106"/>
      <x:c r="AQ38" s="106"/>
      <x:c r="AR38" s="106"/>
      <x:c r="AS38" s="106"/>
      <x:c r="AT38" s="106"/>
      <x:c r="AU38" s="106"/>
      <x:c r="AV38" s="106"/>
      <x:c r="AW38" s="106"/>
      <x:c r="AX38" s="106"/>
      <x:c r="AY38" s="106"/>
      <x:c r="AZ38" s="106"/>
      <x:c r="BA38" s="106"/>
    </x:row>
    <x:row r="39">
      <x:c r="A39" s="106"/>
      <x:c r="B39" s="106"/>
      <x:c r="C39" s="106"/>
      <x:c r="D39" s="106"/>
      <x:c r="E39" s="106"/>
      <x:c r="F39" s="106"/>
      <x:c r="G39" s="106"/>
      <x:c r="H39" s="106"/>
      <x:c r="I39" s="106"/>
      <x:c r="J39" s="106"/>
      <x:c r="K39" s="106"/>
      <x:c r="L39" s="106"/>
      <x:c r="M39" s="106"/>
      <x:c r="N39" s="106"/>
      <x:c r="O39" s="106"/>
      <x:c r="P39" s="106"/>
      <x:c r="Q39" s="106"/>
      <x:c r="R39" s="106"/>
      <x:c r="S39" s="106"/>
      <x:c r="T39" s="106"/>
      <x:c r="U39" s="106"/>
      <x:c r="V39" s="106"/>
      <x:c r="W39" s="106"/>
      <x:c r="X39" s="106"/>
      <x:c r="Y39" s="106"/>
      <x:c r="Z39" s="106"/>
      <x:c r="AA39" s="106"/>
      <x:c r="AB39" s="106"/>
      <x:c r="AC39" s="106"/>
      <x:c r="AD39" s="106"/>
      <x:c r="AE39" s="106"/>
      <x:c r="AF39" s="106"/>
      <x:c r="AG39" s="106"/>
      <x:c r="AH39" s="106"/>
      <x:c r="AI39" s="106"/>
      <x:c r="AJ39" s="106"/>
      <x:c r="AK39" s="106"/>
      <x:c r="AL39" s="106"/>
      <x:c r="AM39" s="106"/>
      <x:c r="AN39" s="106"/>
      <x:c r="AO39" s="106"/>
      <x:c r="AP39" s="106"/>
      <x:c r="AQ39" s="106"/>
      <x:c r="AR39" s="106"/>
      <x:c r="AS39" s="106"/>
      <x:c r="AT39" s="106"/>
      <x:c r="AU39" s="106"/>
      <x:c r="AV39" s="106"/>
      <x:c r="AW39" s="106"/>
      <x:c r="AX39" s="106"/>
      <x:c r="AY39" s="106"/>
      <x:c r="AZ39" s="106"/>
      <x:c r="BA39" s="106"/>
    </x:row>
    <x:row r="40">
      <x:c r="A40" s="106"/>
      <x:c r="B40" s="106"/>
      <x:c r="C40" s="106"/>
      <x:c r="D40" s="106"/>
      <x:c r="E40" s="106"/>
      <x:c r="F40" s="106"/>
      <x:c r="G40" s="106"/>
      <x:c r="H40" s="106"/>
      <x:c r="I40" s="106"/>
      <x:c r="J40" s="106"/>
      <x:c r="K40" s="106"/>
      <x:c r="L40" s="106"/>
      <x:c r="M40" s="106"/>
      <x:c r="N40" s="106"/>
      <x:c r="O40" s="106"/>
      <x:c r="P40" s="106"/>
      <x:c r="Q40" s="106"/>
      <x:c r="R40" s="106"/>
      <x:c r="S40" s="106"/>
      <x:c r="T40" s="106"/>
      <x:c r="U40" s="106"/>
      <x:c r="V40" s="106"/>
      <x:c r="W40" s="106"/>
      <x:c r="X40" s="106"/>
      <x:c r="Y40" s="106"/>
      <x:c r="Z40" s="106"/>
      <x:c r="AA40" s="106"/>
      <x:c r="AB40" s="106"/>
      <x:c r="AC40" s="106"/>
      <x:c r="AD40" s="106"/>
      <x:c r="AE40" s="106"/>
      <x:c r="AF40" s="106"/>
      <x:c r="AG40" s="106"/>
      <x:c r="AH40" s="106"/>
      <x:c r="AI40" s="106"/>
      <x:c r="AJ40" s="106"/>
      <x:c r="AK40" s="106"/>
      <x:c r="AL40" s="106"/>
      <x:c r="AM40" s="106"/>
      <x:c r="AN40" s="106"/>
      <x:c r="AO40" s="106"/>
      <x:c r="AP40" s="106"/>
      <x:c r="AQ40" s="106"/>
      <x:c r="AR40" s="106"/>
      <x:c r="AS40" s="106"/>
      <x:c r="AT40" s="106"/>
      <x:c r="AU40" s="106"/>
      <x:c r="AV40" s="106"/>
      <x:c r="AW40" s="106"/>
      <x:c r="AX40" s="106"/>
      <x:c r="AY40" s="106"/>
      <x:c r="AZ40" s="106"/>
      <x:c r="BA40" s="106"/>
    </x:row>
    <x:row r="41">
      <x:c r="A41" s="106"/>
      <x:c r="B41" s="106"/>
      <x:c r="C41" s="106"/>
      <x:c r="D41" s="106"/>
      <x:c r="E41" s="106"/>
      <x:c r="F41" s="106"/>
      <x:c r="G41" s="106"/>
      <x:c r="H41" s="106"/>
      <x:c r="I41" s="106"/>
      <x:c r="J41" s="106"/>
      <x:c r="K41" s="106"/>
      <x:c r="L41" s="106"/>
      <x:c r="M41" s="106"/>
      <x:c r="N41" s="106"/>
      <x:c r="O41" s="106"/>
      <x:c r="P41" s="106"/>
      <x:c r="Q41" s="106"/>
      <x:c r="R41" s="106"/>
      <x:c r="S41" s="106"/>
      <x:c r="T41" s="106"/>
      <x:c r="U41" s="106"/>
      <x:c r="V41" s="106"/>
      <x:c r="W41" s="106"/>
      <x:c r="X41" s="106"/>
      <x:c r="Y41" s="106"/>
      <x:c r="Z41" s="106"/>
      <x:c r="AA41" s="106"/>
      <x:c r="AB41" s="106"/>
      <x:c r="AC41" s="106"/>
      <x:c r="AD41" s="106"/>
      <x:c r="AE41" s="106"/>
      <x:c r="AF41" s="106"/>
      <x:c r="AG41" s="106"/>
      <x:c r="AH41" s="106"/>
      <x:c r="AI41" s="106"/>
      <x:c r="AJ41" s="106"/>
      <x:c r="AK41" s="106"/>
      <x:c r="AL41" s="106"/>
      <x:c r="AM41" s="106"/>
      <x:c r="AN41" s="106"/>
      <x:c r="AO41" s="106"/>
      <x:c r="AP41" s="106"/>
      <x:c r="AQ41" s="106"/>
      <x:c r="AR41" s="106"/>
      <x:c r="AS41" s="106"/>
      <x:c r="AT41" s="106"/>
      <x:c r="AU41" s="106"/>
      <x:c r="AV41" s="106"/>
      <x:c r="AW41" s="106"/>
      <x:c r="AX41" s="106"/>
      <x:c r="AY41" s="106"/>
      <x:c r="AZ41" s="106"/>
      <x:c r="BA41" s="106"/>
    </x:row>
    <x:row r="42">
      <x:c r="A42" s="106"/>
      <x:c r="B42" s="106"/>
      <x:c r="C42" s="106"/>
      <x:c r="D42" s="106"/>
      <x:c r="E42" s="106"/>
      <x:c r="F42" s="106"/>
      <x:c r="G42" s="106"/>
      <x:c r="H42" s="106"/>
      <x:c r="I42" s="106"/>
      <x:c r="J42" s="106"/>
      <x:c r="K42" s="106"/>
      <x:c r="L42" s="106"/>
      <x:c r="M42" s="106"/>
      <x:c r="N42" s="106"/>
      <x:c r="O42" s="106"/>
      <x:c r="P42" s="106"/>
      <x:c r="Q42" s="106"/>
      <x:c r="R42" s="106"/>
      <x:c r="S42" s="106"/>
      <x:c r="T42" s="106"/>
      <x:c r="U42" s="106"/>
      <x:c r="V42" s="106"/>
      <x:c r="W42" s="106"/>
      <x:c r="X42" s="106"/>
      <x:c r="Y42" s="106"/>
      <x:c r="Z42" s="106"/>
      <x:c r="AA42" s="106"/>
      <x:c r="AB42" s="106"/>
      <x:c r="AC42" s="106"/>
      <x:c r="AD42" s="106"/>
      <x:c r="AE42" s="106"/>
      <x:c r="AF42" s="106"/>
      <x:c r="AG42" s="106"/>
      <x:c r="AH42" s="106"/>
      <x:c r="AI42" s="106"/>
      <x:c r="AJ42" s="106"/>
      <x:c r="AK42" s="106"/>
      <x:c r="AL42" s="106"/>
      <x:c r="AM42" s="106"/>
      <x:c r="AN42" s="106"/>
      <x:c r="AO42" s="106"/>
      <x:c r="AP42" s="106"/>
      <x:c r="AQ42" s="106"/>
      <x:c r="AR42" s="106"/>
      <x:c r="AS42" s="106"/>
      <x:c r="AT42" s="106"/>
      <x:c r="AU42" s="106"/>
      <x:c r="AV42" s="106"/>
      <x:c r="AW42" s="106"/>
      <x:c r="AX42" s="106"/>
      <x:c r="AY42" s="106"/>
      <x:c r="AZ42" s="106"/>
      <x:c r="BA42" s="106"/>
    </x:row>
    <x:row r="43">
      <x:c r="A43" s="106"/>
      <x:c r="B43" s="106"/>
      <x:c r="C43" s="106"/>
      <x:c r="D43" s="106"/>
      <x:c r="E43" s="106"/>
      <x:c r="F43" s="106"/>
      <x:c r="G43" s="106"/>
      <x:c r="H43" s="106"/>
      <x:c r="I43" s="106"/>
      <x:c r="J43" s="106"/>
      <x:c r="K43" s="106"/>
      <x:c r="L43" s="106"/>
      <x:c r="M43" s="106"/>
      <x:c r="N43" s="106"/>
      <x:c r="O43" s="106"/>
      <x:c r="P43" s="106"/>
      <x:c r="Q43" s="106"/>
      <x:c r="R43" s="106"/>
      <x:c r="S43" s="106"/>
      <x:c r="T43" s="106"/>
      <x:c r="U43" s="106"/>
      <x:c r="V43" s="106"/>
      <x:c r="W43" s="106"/>
      <x:c r="X43" s="106"/>
      <x:c r="Y43" s="106"/>
      <x:c r="Z43" s="106"/>
      <x:c r="AA43" s="106"/>
      <x:c r="AB43" s="106"/>
      <x:c r="AC43" s="106"/>
      <x:c r="AD43" s="106"/>
      <x:c r="AE43" s="106"/>
      <x:c r="AF43" s="106"/>
      <x:c r="AG43" s="106"/>
      <x:c r="AH43" s="106"/>
      <x:c r="AI43" s="106"/>
      <x:c r="AJ43" s="106"/>
      <x:c r="AK43" s="106"/>
      <x:c r="AL43" s="106"/>
      <x:c r="AM43" s="106"/>
      <x:c r="AN43" s="106"/>
      <x:c r="AO43" s="106"/>
      <x:c r="AP43" s="106"/>
      <x:c r="AQ43" s="106"/>
      <x:c r="AR43" s="106"/>
      <x:c r="AS43" s="106"/>
      <x:c r="AT43" s="106"/>
      <x:c r="AU43" s="106"/>
      <x:c r="AV43" s="106"/>
      <x:c r="AW43" s="106"/>
      <x:c r="AX43" s="106"/>
      <x:c r="AY43" s="106"/>
      <x:c r="AZ43" s="106"/>
      <x:c r="BA43" s="106"/>
    </x:row>
    <x:row r="44">
      <x:c r="A44" s="106"/>
      <x:c r="B44" s="106"/>
      <x:c r="C44" s="106"/>
      <x:c r="D44" s="106"/>
      <x:c r="E44" s="106"/>
      <x:c r="F44" s="106"/>
      <x:c r="G44" s="106"/>
      <x:c r="H44" s="106"/>
      <x:c r="I44" s="106"/>
      <x:c r="J44" s="106"/>
      <x:c r="K44" s="106"/>
      <x:c r="L44" s="106"/>
      <x:c r="M44" s="106"/>
      <x:c r="N44" s="106"/>
      <x:c r="O44" s="106"/>
      <x:c r="P44" s="106"/>
      <x:c r="Q44" s="106"/>
      <x:c r="R44" s="106"/>
      <x:c r="S44" s="106"/>
      <x:c r="T44" s="106"/>
      <x:c r="U44" s="106"/>
      <x:c r="V44" s="106"/>
      <x:c r="W44" s="106"/>
      <x:c r="X44" s="106"/>
      <x:c r="Y44" s="106"/>
      <x:c r="Z44" s="106"/>
      <x:c r="AA44" s="106"/>
      <x:c r="AB44" s="106"/>
      <x:c r="AC44" s="106"/>
      <x:c r="AD44" s="106"/>
      <x:c r="AE44" s="106"/>
      <x:c r="AF44" s="106"/>
      <x:c r="AG44" s="106"/>
      <x:c r="AH44" s="106"/>
      <x:c r="AI44" s="106"/>
      <x:c r="AJ44" s="106"/>
      <x:c r="AK44" s="106"/>
      <x:c r="AL44" s="106"/>
      <x:c r="AM44" s="106"/>
      <x:c r="AN44" s="106"/>
      <x:c r="AO44" s="106"/>
      <x:c r="AP44" s="106"/>
      <x:c r="AQ44" s="106"/>
      <x:c r="AR44" s="106"/>
      <x:c r="AS44" s="106"/>
      <x:c r="AT44" s="106"/>
      <x:c r="AU44" s="106"/>
      <x:c r="AV44" s="106"/>
      <x:c r="AW44" s="106"/>
      <x:c r="AX44" s="106"/>
      <x:c r="AY44" s="106"/>
      <x:c r="AZ44" s="106"/>
      <x:c r="BA44" s="106"/>
    </x:row>
    <x:row r="45">
      <x:c r="A45" s="106"/>
      <x:c r="B45" s="106"/>
      <x:c r="C45" s="106"/>
      <x:c r="D45" s="106"/>
      <x:c r="E45" s="106"/>
      <x:c r="F45" s="106"/>
      <x:c r="G45" s="106"/>
      <x:c r="H45" s="106"/>
      <x:c r="I45" s="106"/>
      <x:c r="J45" s="106"/>
      <x:c r="K45" s="106"/>
      <x:c r="L45" s="106"/>
      <x:c r="M45" s="106"/>
      <x:c r="N45" s="106"/>
      <x:c r="O45" s="106"/>
      <x:c r="P45" s="106"/>
      <x:c r="Q45" s="106"/>
      <x:c r="R45" s="106"/>
      <x:c r="S45" s="106"/>
      <x:c r="T45" s="106"/>
      <x:c r="U45" s="106"/>
      <x:c r="V45" s="106"/>
      <x:c r="W45" s="106"/>
      <x:c r="X45" s="106"/>
      <x:c r="Y45" s="106"/>
      <x:c r="Z45" s="106"/>
      <x:c r="AA45" s="106"/>
      <x:c r="AB45" s="106"/>
      <x:c r="AC45" s="106"/>
      <x:c r="AD45" s="106"/>
      <x:c r="AE45" s="106"/>
      <x:c r="AF45" s="106"/>
      <x:c r="AG45" s="106"/>
      <x:c r="AH45" s="106"/>
      <x:c r="AI45" s="106"/>
      <x:c r="AJ45" s="106"/>
      <x:c r="AK45" s="106"/>
      <x:c r="AL45" s="106"/>
      <x:c r="AM45" s="106"/>
      <x:c r="AN45" s="106"/>
      <x:c r="AO45" s="106"/>
      <x:c r="AP45" s="106"/>
      <x:c r="AQ45" s="106"/>
      <x:c r="AR45" s="106"/>
      <x:c r="AS45" s="106"/>
      <x:c r="AT45" s="106"/>
      <x:c r="AU45" s="106"/>
      <x:c r="AV45" s="106"/>
      <x:c r="AW45" s="106"/>
      <x:c r="AX45" s="106"/>
      <x:c r="AY45" s="106"/>
      <x:c r="AZ45" s="106"/>
      <x:c r="BA45" s="106"/>
    </x:row>
    <x:row r="46">
      <x:c r="A46" s="106"/>
      <x:c r="B46" s="106"/>
      <x:c r="C46" s="106"/>
      <x:c r="D46" s="106"/>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c r="AO46" s="106"/>
      <x:c r="AP46" s="106"/>
      <x:c r="AQ46" s="106"/>
      <x:c r="AR46" s="106"/>
      <x:c r="AS46" s="106"/>
      <x:c r="AT46" s="106"/>
      <x:c r="AU46" s="106"/>
      <x:c r="AV46" s="106"/>
      <x:c r="AW46" s="106"/>
      <x:c r="AX46" s="106"/>
      <x:c r="AY46" s="106"/>
      <x:c r="AZ46" s="106"/>
      <x:c r="BA46" s="106"/>
    </x:row>
    <x:row r="47">
      <x:c r="A47" s="106"/>
      <x:c r="B47" s="106"/>
      <x:c r="C47" s="106"/>
      <x:c r="D47" s="10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c r="AO47" s="106"/>
      <x:c r="AP47" s="106"/>
      <x:c r="AQ47" s="106"/>
      <x:c r="AR47" s="106"/>
      <x:c r="AS47" s="106"/>
      <x:c r="AT47" s="106"/>
      <x:c r="AU47" s="106"/>
      <x:c r="AV47" s="106"/>
      <x:c r="AW47" s="106"/>
      <x:c r="AX47" s="106"/>
      <x:c r="AY47" s="106"/>
      <x:c r="AZ47" s="106"/>
      <x:c r="BA47" s="106"/>
    </x:row>
    <x:row r="48">
      <x:c r="A48" s="106"/>
      <x:c r="B48" s="106"/>
      <x:c r="C48" s="106"/>
      <x:c r="D48" s="106"/>
      <x:c r="E48" s="106"/>
      <x:c r="F48" s="106"/>
      <x:c r="G48" s="106"/>
      <x:c r="H48" s="106"/>
      <x:c r="I48" s="106"/>
      <x:c r="J48" s="106"/>
      <x:c r="K48" s="106"/>
      <x:c r="L48" s="106"/>
      <x:c r="M48" s="106"/>
      <x:c r="N48" s="106"/>
      <x:c r="O48" s="106"/>
      <x:c r="P48" s="106"/>
      <x:c r="Q48" s="106"/>
      <x:c r="R48" s="106"/>
      <x:c r="S48" s="106"/>
      <x:c r="T48" s="106"/>
      <x:c r="U48" s="106"/>
      <x:c r="V48" s="106"/>
      <x:c r="W48" s="106"/>
      <x:c r="X48" s="106"/>
      <x:c r="Y48" s="106"/>
      <x:c r="Z48" s="106"/>
      <x:c r="AA48" s="106"/>
      <x:c r="AB48" s="106"/>
      <x:c r="AC48" s="106"/>
      <x:c r="AD48" s="106"/>
      <x:c r="AE48" s="106"/>
      <x:c r="AF48" s="106"/>
      <x:c r="AG48" s="106"/>
      <x:c r="AH48" s="106"/>
      <x:c r="AI48" s="106"/>
      <x:c r="AJ48" s="106"/>
      <x:c r="AK48" s="106"/>
      <x:c r="AL48" s="106"/>
      <x:c r="AM48" s="106"/>
      <x:c r="AN48" s="106"/>
      <x:c r="AO48" s="106"/>
      <x:c r="AP48" s="106"/>
      <x:c r="AQ48" s="106"/>
      <x:c r="AR48" s="106"/>
      <x:c r="AS48" s="106"/>
      <x:c r="AT48" s="106"/>
      <x:c r="AU48" s="106"/>
      <x:c r="AV48" s="106"/>
      <x:c r="AW48" s="106"/>
      <x:c r="AX48" s="106"/>
      <x:c r="AY48" s="106"/>
      <x:c r="AZ48" s="106"/>
      <x:c r="BA48" s="106"/>
    </x:row>
    <x:row r="49">
      <x:c r="A49" s="106"/>
      <x:c r="B49" s="106"/>
      <x:c r="C49" s="106"/>
      <x:c r="D49" s="106"/>
      <x:c r="E49" s="106"/>
      <x:c r="F49" s="106"/>
      <x:c r="G49" s="106"/>
      <x:c r="H49" s="106"/>
      <x:c r="I49" s="106"/>
      <x:c r="J49" s="106"/>
      <x:c r="K49" s="106"/>
      <x:c r="L49" s="106"/>
      <x:c r="M49" s="106"/>
      <x:c r="N49" s="106"/>
      <x:c r="O49" s="106"/>
      <x:c r="P49" s="106"/>
      <x:c r="Q49" s="106"/>
      <x:c r="R49" s="106"/>
      <x:c r="S49" s="106"/>
      <x:c r="T49" s="106"/>
      <x:c r="U49" s="106"/>
      <x:c r="V49" s="106"/>
      <x:c r="W49" s="106"/>
      <x:c r="X49" s="106"/>
      <x:c r="Y49" s="106"/>
      <x:c r="Z49" s="106"/>
      <x:c r="AA49" s="106"/>
      <x:c r="AB49" s="106"/>
      <x:c r="AC49" s="106"/>
      <x:c r="AD49" s="106"/>
      <x:c r="AE49" s="106"/>
      <x:c r="AF49" s="106"/>
      <x:c r="AG49" s="106"/>
      <x:c r="AH49" s="106"/>
      <x:c r="AI49" s="106"/>
      <x:c r="AJ49" s="106"/>
      <x:c r="AK49" s="106"/>
      <x:c r="AL49" s="106"/>
      <x:c r="AM49" s="106"/>
      <x:c r="AN49" s="106"/>
      <x:c r="AO49" s="106"/>
      <x:c r="AP49" s="106"/>
      <x:c r="AQ49" s="106"/>
      <x:c r="AR49" s="106"/>
      <x:c r="AS49" s="106"/>
      <x:c r="AT49" s="106"/>
      <x:c r="AU49" s="106"/>
      <x:c r="AV49" s="106"/>
      <x:c r="AW49" s="106"/>
      <x:c r="AX49" s="106"/>
      <x:c r="AY49" s="106"/>
      <x:c r="AZ49" s="106"/>
      <x:c r="BA49" s="106"/>
    </x:row>
    <x:row r="50">
      <x:c r="A50" s="106"/>
      <x:c r="B50" s="106"/>
      <x:c r="C50" s="106"/>
      <x:c r="D50" s="106"/>
      <x:c r="E50" s="106"/>
      <x:c r="F50" s="106"/>
      <x:c r="G50" s="106"/>
      <x:c r="H50" s="106"/>
      <x:c r="I50" s="106"/>
      <x:c r="J50" s="106"/>
      <x:c r="K50" s="106"/>
      <x:c r="L50" s="106"/>
      <x:c r="M50" s="106"/>
      <x:c r="N50" s="106"/>
      <x:c r="O50" s="106"/>
      <x:c r="P50" s="106"/>
      <x:c r="Q50" s="106"/>
      <x:c r="R50" s="106"/>
      <x:c r="S50" s="106"/>
      <x:c r="T50" s="106"/>
      <x:c r="U50" s="106"/>
      <x:c r="V50" s="106"/>
      <x:c r="W50" s="106"/>
      <x:c r="X50" s="106"/>
      <x:c r="Y50" s="106"/>
      <x:c r="Z50" s="106"/>
      <x:c r="AA50" s="106"/>
      <x:c r="AB50" s="106"/>
      <x:c r="AC50" s="106"/>
      <x:c r="AD50" s="106"/>
      <x:c r="AE50" s="106"/>
      <x:c r="AF50" s="106"/>
      <x:c r="AG50" s="106"/>
      <x:c r="AH50" s="106"/>
      <x:c r="AI50" s="106"/>
      <x:c r="AJ50" s="106"/>
      <x:c r="AK50" s="106"/>
      <x:c r="AL50" s="106"/>
      <x:c r="AM50" s="106"/>
      <x:c r="AN50" s="106"/>
      <x:c r="AO50" s="106"/>
      <x:c r="AP50" s="106"/>
      <x:c r="AQ50" s="106"/>
      <x:c r="AR50" s="106"/>
      <x:c r="AS50" s="106"/>
      <x:c r="AT50" s="106"/>
      <x:c r="AU50" s="106"/>
      <x:c r="AV50" s="106"/>
      <x:c r="AW50" s="106"/>
      <x:c r="AX50" s="106"/>
      <x:c r="AY50" s="106"/>
      <x:c r="AZ50" s="106"/>
      <x:c r="BA50" s="106"/>
    </x:row>
    <x:row r="51">
      <x:c r="A51" s="106"/>
      <x:c r="B51" s="106"/>
      <x:c r="C51" s="106"/>
      <x:c r="D51" s="106"/>
      <x:c r="E51" s="106"/>
      <x:c r="F51" s="106"/>
      <x:c r="G51" s="106"/>
      <x:c r="H51" s="106"/>
      <x:c r="I51" s="106"/>
      <x:c r="J51" s="106"/>
      <x:c r="K51" s="106"/>
      <x:c r="L51" s="106"/>
      <x:c r="M51" s="106"/>
      <x:c r="N51" s="106"/>
      <x:c r="O51" s="106"/>
      <x:c r="P51" s="106"/>
      <x:c r="Q51" s="106"/>
      <x:c r="R51" s="106"/>
      <x:c r="S51" s="106"/>
      <x:c r="T51" s="106"/>
      <x:c r="U51" s="106"/>
      <x:c r="V51" s="106"/>
      <x:c r="W51" s="106"/>
      <x:c r="X51" s="106"/>
      <x:c r="Y51" s="106"/>
      <x:c r="Z51" s="106"/>
      <x:c r="AA51" s="106"/>
      <x:c r="AB51" s="106"/>
      <x:c r="AC51" s="106"/>
      <x:c r="AD51" s="106"/>
      <x:c r="AE51" s="106"/>
      <x:c r="AF51" s="106"/>
      <x:c r="AG51" s="106"/>
      <x:c r="AH51" s="106"/>
      <x:c r="AI51" s="106"/>
      <x:c r="AJ51" s="106"/>
      <x:c r="AK51" s="106"/>
      <x:c r="AL51" s="106"/>
      <x:c r="AM51" s="106"/>
      <x:c r="AN51" s="106"/>
      <x:c r="AO51" s="106"/>
      <x:c r="AP51" s="106"/>
      <x:c r="AQ51" s="106"/>
      <x:c r="AR51" s="106"/>
      <x:c r="AS51" s="106"/>
      <x:c r="AT51" s="106"/>
      <x:c r="AU51" s="106"/>
      <x:c r="AV51" s="106"/>
      <x:c r="AW51" s="106"/>
      <x:c r="AX51" s="106"/>
      <x:c r="AY51" s="106"/>
      <x:c r="AZ51" s="106"/>
      <x:c r="BA51" s="106"/>
    </x:row>
    <x:row r="52">
      <x:c r="A52" s="106"/>
      <x:c r="B52" s="106"/>
      <x:c r="C52" s="106"/>
      <x:c r="D52" s="106"/>
      <x:c r="E52" s="106"/>
      <x:c r="F52" s="106"/>
      <x:c r="G52" s="106"/>
      <x:c r="H52" s="106"/>
      <x:c r="I52" s="106"/>
      <x:c r="J52" s="106"/>
      <x:c r="K52" s="106"/>
      <x:c r="L52" s="106"/>
      <x:c r="M52" s="106"/>
      <x:c r="N52" s="106"/>
      <x:c r="O52" s="106"/>
      <x:c r="P52" s="106"/>
      <x:c r="Q52" s="106"/>
      <x:c r="R52" s="106"/>
      <x:c r="S52" s="106"/>
      <x:c r="T52" s="106"/>
      <x:c r="U52" s="106"/>
      <x:c r="V52" s="106"/>
      <x:c r="W52" s="106"/>
      <x:c r="X52" s="106"/>
      <x:c r="Y52" s="106"/>
      <x:c r="Z52" s="106"/>
      <x:c r="AA52" s="106"/>
      <x:c r="AB52" s="106"/>
      <x:c r="AC52" s="106"/>
      <x:c r="AD52" s="106"/>
      <x:c r="AE52" s="106"/>
      <x:c r="AF52" s="106"/>
      <x:c r="AG52" s="106"/>
      <x:c r="AH52" s="106"/>
      <x:c r="AI52" s="106"/>
      <x:c r="AJ52" s="106"/>
      <x:c r="AK52" s="106"/>
      <x:c r="AL52" s="106"/>
      <x:c r="AM52" s="106"/>
      <x:c r="AN52" s="106"/>
      <x:c r="AO52" s="106"/>
      <x:c r="AP52" s="106"/>
      <x:c r="AQ52" s="106"/>
      <x:c r="AR52" s="106"/>
      <x:c r="AS52" s="106"/>
      <x:c r="AT52" s="106"/>
      <x:c r="AU52" s="106"/>
      <x:c r="AV52" s="106"/>
      <x:c r="AW52" s="106"/>
      <x:c r="AX52" s="106"/>
      <x:c r="AY52" s="106"/>
      <x:c r="AZ52" s="106"/>
      <x:c r="BA52" s="106"/>
    </x:row>
    <x:row r="53">
      <x:c r="A53" s="106"/>
      <x:c r="B53" s="106"/>
      <x:c r="C53" s="106"/>
      <x:c r="D53" s="106"/>
      <x:c r="E53" s="106"/>
      <x:c r="F53" s="106"/>
      <x:c r="G53" s="106"/>
      <x:c r="H53" s="106"/>
      <x:c r="I53" s="106"/>
      <x:c r="J53" s="106"/>
      <x:c r="K53" s="106"/>
      <x:c r="L53" s="106"/>
      <x:c r="M53" s="106"/>
      <x:c r="N53" s="106"/>
      <x:c r="O53" s="106"/>
      <x:c r="P53" s="106"/>
      <x:c r="Q53" s="106"/>
      <x:c r="R53" s="106"/>
      <x:c r="S53" s="106"/>
      <x:c r="T53" s="106"/>
      <x:c r="U53" s="106"/>
      <x:c r="V53" s="106"/>
      <x:c r="W53" s="106"/>
      <x:c r="X53" s="106"/>
      <x:c r="Y53" s="106"/>
      <x:c r="Z53" s="106"/>
      <x:c r="AA53" s="106"/>
      <x:c r="AB53" s="106"/>
      <x:c r="AC53" s="106"/>
      <x:c r="AD53" s="106"/>
      <x:c r="AE53" s="106"/>
      <x:c r="AF53" s="106"/>
      <x:c r="AG53" s="106"/>
      <x:c r="AH53" s="106"/>
      <x:c r="AI53" s="106"/>
      <x:c r="AJ53" s="106"/>
      <x:c r="AK53" s="106"/>
      <x:c r="AL53" s="106"/>
      <x:c r="AM53" s="106"/>
      <x:c r="AN53" s="106"/>
      <x:c r="AO53" s="106"/>
      <x:c r="AP53" s="106"/>
      <x:c r="AQ53" s="106"/>
      <x:c r="AR53" s="106"/>
      <x:c r="AS53" s="106"/>
      <x:c r="AT53" s="106"/>
      <x:c r="AU53" s="106"/>
      <x:c r="AV53" s="106"/>
      <x:c r="AW53" s="106"/>
      <x:c r="AX53" s="106"/>
      <x:c r="AY53" s="106"/>
      <x:c r="AZ53" s="106"/>
      <x:c r="BA53" s="106"/>
    </x:row>
    <x:row r="54">
      <x:c r="A54" s="106"/>
      <x:c r="B54" s="106"/>
      <x:c r="C54" s="106"/>
      <x:c r="D54" s="106"/>
      <x:c r="E54" s="106"/>
      <x:c r="F54" s="106"/>
      <x:c r="G54" s="106"/>
      <x:c r="H54" s="106"/>
      <x:c r="I54" s="106"/>
      <x:c r="J54" s="106"/>
      <x:c r="K54" s="106"/>
      <x:c r="L54" s="106"/>
      <x:c r="M54" s="106"/>
      <x:c r="N54" s="106"/>
      <x:c r="O54" s="106"/>
      <x:c r="P54" s="106"/>
      <x:c r="Q54" s="106"/>
      <x:c r="R54" s="106"/>
      <x:c r="S54" s="106"/>
      <x:c r="T54" s="106"/>
      <x:c r="U54" s="106"/>
      <x:c r="V54" s="106"/>
      <x:c r="W54" s="106"/>
      <x:c r="X54" s="106"/>
      <x:c r="Y54" s="106"/>
      <x:c r="Z54" s="106"/>
      <x:c r="AA54" s="106"/>
      <x:c r="AB54" s="106"/>
      <x:c r="AC54" s="106"/>
      <x:c r="AD54" s="106"/>
      <x:c r="AE54" s="106"/>
      <x:c r="AF54" s="106"/>
      <x:c r="AG54" s="106"/>
      <x:c r="AH54" s="106"/>
      <x:c r="AI54" s="106"/>
      <x:c r="AJ54" s="106"/>
      <x:c r="AK54" s="106"/>
      <x:c r="AL54" s="106"/>
      <x:c r="AM54" s="106"/>
      <x:c r="AN54" s="106"/>
      <x:c r="AO54" s="106"/>
      <x:c r="AP54" s="106"/>
      <x:c r="AQ54" s="106"/>
      <x:c r="AR54" s="106"/>
      <x:c r="AS54" s="106"/>
      <x:c r="AT54" s="106"/>
      <x:c r="AU54" s="106"/>
      <x:c r="AV54" s="106"/>
      <x:c r="AW54" s="106"/>
      <x:c r="AX54" s="106"/>
      <x:c r="AY54" s="106"/>
      <x:c r="AZ54" s="106"/>
      <x:c r="BA54" s="106"/>
    </x:row>
    <x:row r="55">
      <x:c r="A55" s="106"/>
      <x:c r="B55" s="106"/>
      <x:c r="C55" s="106"/>
      <x:c r="D55" s="106"/>
      <x:c r="E55" s="106"/>
      <x:c r="F55" s="106"/>
      <x:c r="G55" s="106"/>
      <x:c r="H55" s="106"/>
      <x:c r="I55" s="106"/>
      <x:c r="J55" s="106"/>
      <x:c r="K55" s="106"/>
      <x:c r="L55" s="106"/>
      <x:c r="M55" s="106"/>
      <x:c r="N55" s="106"/>
      <x:c r="O55" s="106"/>
      <x:c r="P55" s="106"/>
      <x:c r="Q55" s="106"/>
      <x:c r="R55" s="106"/>
      <x:c r="S55" s="106"/>
      <x:c r="T55" s="106"/>
      <x:c r="U55" s="106"/>
      <x:c r="V55" s="106"/>
      <x:c r="W55" s="106"/>
      <x:c r="X55" s="106"/>
      <x:c r="Y55" s="106"/>
      <x:c r="Z55" s="106"/>
      <x:c r="AA55" s="106"/>
      <x:c r="AB55" s="106"/>
      <x:c r="AC55" s="106"/>
      <x:c r="AD55" s="106"/>
      <x:c r="AE55" s="106"/>
      <x:c r="AF55" s="106"/>
      <x:c r="AG55" s="106"/>
      <x:c r="AH55" s="106"/>
      <x:c r="AI55" s="106"/>
      <x:c r="AJ55" s="106"/>
      <x:c r="AK55" s="106"/>
      <x:c r="AL55" s="106"/>
      <x:c r="AM55" s="106"/>
      <x:c r="AN55" s="106"/>
      <x:c r="AO55" s="106"/>
      <x:c r="AP55" s="106"/>
      <x:c r="AQ55" s="106"/>
      <x:c r="AR55" s="106"/>
      <x:c r="AS55" s="106"/>
      <x:c r="AT55" s="106"/>
      <x:c r="AU55" s="106"/>
      <x:c r="AV55" s="106"/>
      <x:c r="AW55" s="106"/>
      <x:c r="AX55" s="106"/>
      <x:c r="AY55" s="106"/>
      <x:c r="AZ55" s="106"/>
      <x:c r="BA55" s="106"/>
    </x:row>
    <x:row r="56">
      <x:c r="A56" s="106"/>
      <x:c r="B56" s="106"/>
      <x:c r="C56" s="106"/>
      <x:c r="D56" s="106"/>
      <x:c r="E56" s="106"/>
      <x:c r="F56" s="106"/>
      <x:c r="G56" s="106"/>
      <x:c r="H56" s="106"/>
      <x:c r="I56" s="106"/>
      <x:c r="J56" s="106"/>
      <x:c r="K56" s="106"/>
      <x:c r="L56" s="106"/>
      <x:c r="M56" s="106"/>
      <x:c r="N56" s="106"/>
      <x:c r="O56" s="106"/>
      <x:c r="P56" s="106"/>
      <x:c r="Q56" s="106"/>
      <x:c r="R56" s="106"/>
      <x:c r="S56" s="106"/>
      <x:c r="T56" s="106"/>
      <x:c r="U56" s="106"/>
      <x:c r="V56" s="106"/>
      <x:c r="W56" s="106"/>
      <x:c r="X56" s="106"/>
      <x:c r="Y56" s="106"/>
      <x:c r="Z56" s="106"/>
      <x:c r="AA56" s="106"/>
      <x:c r="AB56" s="106"/>
      <x:c r="AC56" s="106"/>
      <x:c r="AD56" s="106"/>
      <x:c r="AE56" s="106"/>
      <x:c r="AF56" s="106"/>
      <x:c r="AG56" s="106"/>
      <x:c r="AH56" s="106"/>
      <x:c r="AI56" s="106"/>
      <x:c r="AJ56" s="106"/>
      <x:c r="AK56" s="106"/>
      <x:c r="AL56" s="106"/>
      <x:c r="AM56" s="106"/>
      <x:c r="AN56" s="106"/>
      <x:c r="AO56" s="106"/>
      <x:c r="AP56" s="106"/>
      <x:c r="AQ56" s="106"/>
      <x:c r="AR56" s="106"/>
      <x:c r="AS56" s="106"/>
      <x:c r="AT56" s="106"/>
      <x:c r="AU56" s="106"/>
      <x:c r="AV56" s="106"/>
      <x:c r="AW56" s="106"/>
      <x:c r="AX56" s="106"/>
      <x:c r="AY56" s="106"/>
      <x:c r="AZ56" s="106"/>
      <x:c r="BA56" s="106"/>
    </x:row>
    <x:row r="57">
      <x:c r="A57" s="106"/>
      <x:c r="B57" s="106"/>
      <x:c r="C57" s="106"/>
      <x:c r="D57" s="106"/>
      <x:c r="E57" s="106"/>
      <x:c r="F57" s="106"/>
      <x:c r="G57" s="106"/>
      <x:c r="H57" s="106"/>
      <x:c r="I57" s="106"/>
      <x:c r="J57" s="106"/>
      <x:c r="K57" s="106"/>
      <x:c r="L57" s="106"/>
      <x:c r="M57" s="106"/>
      <x:c r="N57" s="106"/>
      <x:c r="O57" s="106"/>
      <x:c r="P57" s="106"/>
      <x:c r="Q57" s="106"/>
      <x:c r="R57" s="106"/>
      <x:c r="S57" s="106"/>
      <x:c r="T57" s="106"/>
      <x:c r="U57" s="106"/>
      <x:c r="V57" s="106"/>
      <x:c r="W57" s="106"/>
      <x:c r="X57" s="106"/>
      <x:c r="Y57" s="106"/>
      <x:c r="Z57" s="106"/>
      <x:c r="AA57" s="106"/>
      <x:c r="AB57" s="106"/>
      <x:c r="AC57" s="106"/>
      <x:c r="AD57" s="106"/>
      <x:c r="AE57" s="106"/>
      <x:c r="AF57" s="106"/>
      <x:c r="AG57" s="106"/>
      <x:c r="AH57" s="106"/>
      <x:c r="AI57" s="106"/>
      <x:c r="AJ57" s="106"/>
      <x:c r="AK57" s="106"/>
      <x:c r="AL57" s="106"/>
      <x:c r="AM57" s="106"/>
      <x:c r="AN57" s="106"/>
      <x:c r="AO57" s="106"/>
      <x:c r="AP57" s="106"/>
      <x:c r="AQ57" s="106"/>
      <x:c r="AR57" s="106"/>
      <x:c r="AS57" s="106"/>
      <x:c r="AT57" s="106"/>
      <x:c r="AU57" s="106"/>
      <x:c r="AV57" s="106"/>
      <x:c r="AW57" s="106"/>
      <x:c r="AX57" s="106"/>
      <x:c r="AY57" s="106"/>
      <x:c r="AZ57" s="106"/>
      <x:c r="BA57" s="106"/>
    </x:row>
    <x:row r="58">
      <x:c r="A58" s="106"/>
      <x:c r="B58" s="106"/>
      <x:c r="C58" s="106"/>
      <x:c r="D58" s="106"/>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c r="AO58" s="106"/>
      <x:c r="AP58" s="106"/>
      <x:c r="AQ58" s="106"/>
      <x:c r="AR58" s="106"/>
      <x:c r="AS58" s="106"/>
      <x:c r="AT58" s="106"/>
      <x:c r="AU58" s="106"/>
      <x:c r="AV58" s="106"/>
      <x:c r="AW58" s="106"/>
      <x:c r="AX58" s="106"/>
      <x:c r="AY58" s="106"/>
      <x:c r="AZ58" s="106"/>
      <x:c r="BA58" s="106"/>
    </x:row>
    <x:row r="59">
      <x:c r="A59" s="106"/>
      <x:c r="B59" s="106"/>
      <x:c r="C59" s="106"/>
      <x:c r="D59" s="106"/>
      <x:c r="E59" s="106"/>
      <x:c r="F59" s="106"/>
      <x:c r="G59" s="106"/>
      <x:c r="H59" s="106"/>
      <x:c r="I59" s="106"/>
      <x:c r="J59" s="106"/>
      <x:c r="K59" s="106"/>
      <x:c r="L59" s="106"/>
      <x:c r="M59" s="106"/>
      <x:c r="N59" s="106"/>
      <x:c r="O59" s="106"/>
      <x:c r="P59" s="106"/>
      <x:c r="Q59" s="106"/>
      <x:c r="R59" s="106"/>
      <x:c r="S59" s="106"/>
      <x:c r="T59" s="106"/>
      <x:c r="U59" s="106"/>
      <x:c r="V59" s="106"/>
      <x:c r="W59" s="106"/>
      <x:c r="X59" s="106"/>
      <x:c r="Y59" s="106"/>
      <x:c r="Z59" s="106"/>
      <x:c r="AA59" s="106"/>
      <x:c r="AB59" s="106"/>
      <x:c r="AC59" s="106"/>
      <x:c r="AD59" s="106"/>
      <x:c r="AE59" s="106"/>
      <x:c r="AF59" s="106"/>
      <x:c r="AG59" s="106"/>
      <x:c r="AH59" s="106"/>
      <x:c r="AI59" s="106"/>
      <x:c r="AJ59" s="106"/>
      <x:c r="AK59" s="106"/>
      <x:c r="AL59" s="106"/>
      <x:c r="AM59" s="106"/>
      <x:c r="AN59" s="106"/>
      <x:c r="AO59" s="106"/>
      <x:c r="AP59" s="106"/>
      <x:c r="AQ59" s="106"/>
      <x:c r="AR59" s="106"/>
      <x:c r="AS59" s="106"/>
      <x:c r="AT59" s="106"/>
      <x:c r="AU59" s="106"/>
      <x:c r="AV59" s="106"/>
      <x:c r="AW59" s="106"/>
      <x:c r="AX59" s="106"/>
      <x:c r="AY59" s="106"/>
      <x:c r="AZ59" s="106"/>
      <x:c r="BA59" s="106"/>
    </x:row>
    <x:row r="60">
      <x:c r="A60" s="106"/>
      <x:c r="B60" s="106"/>
      <x:c r="C60" s="106"/>
      <x:c r="D60" s="106"/>
      <x:c r="E60" s="106"/>
      <x:c r="F60" s="106"/>
      <x:c r="G60" s="106"/>
      <x:c r="H60" s="106"/>
      <x:c r="I60" s="106"/>
      <x:c r="J60" s="106"/>
      <x:c r="K60" s="106"/>
      <x:c r="L60" s="106"/>
      <x:c r="M60" s="106"/>
      <x:c r="N60" s="106"/>
      <x:c r="O60" s="106"/>
      <x:c r="P60" s="106"/>
      <x:c r="Q60" s="106"/>
      <x:c r="R60" s="106"/>
      <x:c r="S60" s="106"/>
      <x:c r="T60" s="106"/>
      <x:c r="U60" s="106"/>
      <x:c r="V60" s="106"/>
      <x:c r="W60" s="106"/>
      <x:c r="X60" s="106"/>
      <x:c r="Y60" s="106"/>
      <x:c r="Z60" s="106"/>
      <x:c r="AA60" s="106"/>
      <x:c r="AB60" s="106"/>
      <x:c r="AC60" s="106"/>
      <x:c r="AD60" s="106"/>
      <x:c r="AE60" s="106"/>
      <x:c r="AF60" s="106"/>
      <x:c r="AG60" s="106"/>
      <x:c r="AH60" s="106"/>
      <x:c r="AI60" s="106"/>
      <x:c r="AJ60" s="106"/>
      <x:c r="AK60" s="106"/>
      <x:c r="AL60" s="106"/>
      <x:c r="AM60" s="106"/>
      <x:c r="AN60" s="106"/>
      <x:c r="AO60" s="106"/>
      <x:c r="AP60" s="106"/>
      <x:c r="AQ60" s="106"/>
      <x:c r="AR60" s="106"/>
      <x:c r="AS60" s="106"/>
      <x:c r="AT60" s="106"/>
      <x:c r="AU60" s="106"/>
      <x:c r="AV60" s="106"/>
      <x:c r="AW60" s="106"/>
      <x:c r="AX60" s="106"/>
      <x:c r="AY60" s="106"/>
      <x:c r="AZ60" s="106"/>
      <x:c r="BA60" s="106"/>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6" hidden="0" customWidth="1"/>
    <x:col min="3" max="3" width="34" hidden="0" customWidth="1"/>
    <x:col min="4" max="4" width="18" hidden="0" customWidth="1"/>
    <x:col min="5" max="5" width="15" hidden="0" customWidth="1"/>
    <x:col min="6" max="6" width="12" hidden="0" customWidth="1"/>
    <x:col min="7" max="7" width="14" hidden="0" customWidth="1"/>
    <x:col min="8" max="8" width="15" hidden="0" customWidth="1"/>
    <x:col min="9" max="9" width="17" hidden="0" customWidth="1"/>
    <x:col min="10" max="10" width="14" hidden="0" customWidth="1"/>
    <x:col min="11" max="11" width="14" hidden="0" customWidth="1"/>
    <x:col min="12" max="12" width="12" hidden="0" customWidth="1"/>
    <x:col min="13" max="13" width="15" hidden="0" customWidth="1"/>
    <x:col min="14" max="14" width="18" hidden="0" customWidth="1"/>
    <x:col min="15" max="15" width="32" hidden="0" customWidth="1"/>
  </x:cols>
  <x:sheetData>
    <x:row r="1">
      <x:c r="A1" s="169" t="str">
        <x:v>PROJECT PLAN — enter yellow/purple cells; green cells calculate automatically</x:v>
      </x:c>
      <x:c r="B1" s="169"/>
      <x:c r="C1" s="169"/>
      <x:c r="D1" s="169"/>
      <x:c r="E1" s="169"/>
      <x:c r="F1" s="169"/>
      <x:c r="G1" s="169"/>
      <x:c r="H1" s="169"/>
      <x:c r="I1" s="169"/>
      <x:c r="J1" s="169"/>
      <x:c r="K1" s="169"/>
      <x:c r="L1" s="169"/>
      <x:c r="M1" s="169"/>
      <x:c r="N1" s="169"/>
      <x:c r="O1" s="169"/>
      <x:c r="P1" s="106"/>
      <x:c r="Q1" s="106"/>
      <x:c r="R1" s="106"/>
      <x:c r="S1" s="106"/>
      <x:c r="T1" s="106"/>
      <x:c r="U1" s="106"/>
      <x:c r="V1" s="106"/>
      <x:c r="W1" s="106"/>
      <x:c r="X1" s="106"/>
      <x:c r="Y1" s="106"/>
      <x:c r="Z1" s="106"/>
      <x:c r="AA1" s="106"/>
      <x:c r="AB1" s="106"/>
      <x:c r="AC1" s="106"/>
      <x:c r="AD1" s="106"/>
      <x:c r="AE1" s="106"/>
      <x:c r="AF1" s="106"/>
      <x:c r="AG1" s="106"/>
      <x:c r="AH1" s="106"/>
      <x:c r="AI1" s="106"/>
      <x:c r="AJ1" s="106"/>
      <x:c r="AK1" s="106"/>
      <x:c r="AL1" s="106"/>
      <x:c r="AM1" s="106"/>
      <x:c r="AN1" s="106"/>
      <x:c r="AO1" s="106"/>
      <x:c r="AP1" s="106"/>
      <x:c r="AQ1" s="106"/>
      <x:c r="AR1" s="106"/>
      <x:c r="AS1" s="106"/>
      <x:c r="AT1" s="106"/>
      <x:c r="AU1" s="106"/>
      <x:c r="AV1" s="106"/>
      <x:c r="AW1" s="106"/>
      <x:c r="AX1" s="106"/>
      <x:c r="AY1" s="106"/>
      <x:c r="AZ1" s="106"/>
      <x:c r="BA1" s="106"/>
    </x:row>
    <x:row r="2">
      <x:c r="A2" s="106"/>
      <x:c r="B2" s="106"/>
      <x:c r="C2" s="106"/>
      <x:c r="D2" s="106"/>
      <x:c r="E2" s="106"/>
      <x:c r="F2" s="106"/>
      <x:c r="G2" s="106"/>
      <x:c r="H2" s="106"/>
      <x:c r="I2" s="106"/>
      <x:c r="J2" s="106"/>
      <x:c r="K2" s="106"/>
      <x:c r="L2" s="106"/>
      <x:c r="M2" s="106"/>
      <x:c r="N2" s="106"/>
      <x:c r="O2" s="106"/>
      <x:c r="P2" s="106"/>
      <x:c r="Q2" s="106"/>
      <x:c r="R2" s="106"/>
      <x:c r="S2" s="106"/>
      <x:c r="T2" s="106"/>
      <x:c r="U2" s="106"/>
      <x:c r="V2" s="106"/>
      <x:c r="W2" s="106"/>
      <x:c r="X2" s="106"/>
      <x:c r="Y2" s="106"/>
      <x:c r="Z2" s="106"/>
      <x:c r="AA2" s="106"/>
      <x:c r="AB2" s="106"/>
      <x:c r="AC2" s="106"/>
      <x:c r="AD2" s="106"/>
      <x:c r="AE2" s="106"/>
      <x:c r="AF2" s="106"/>
      <x:c r="AG2" s="106"/>
      <x:c r="AH2" s="106"/>
      <x:c r="AI2" s="106"/>
      <x:c r="AJ2" s="106"/>
      <x:c r="AK2" s="106"/>
      <x:c r="AL2" s="106"/>
      <x:c r="AM2" s="106"/>
      <x:c r="AN2" s="106"/>
      <x:c r="AO2" s="106"/>
      <x:c r="AP2" s="106"/>
      <x:c r="AQ2" s="106"/>
      <x:c r="AR2" s="106"/>
      <x:c r="AS2" s="106"/>
      <x:c r="AT2" s="106"/>
      <x:c r="AU2" s="106"/>
      <x:c r="AV2" s="106"/>
      <x:c r="AW2" s="106"/>
      <x:c r="AX2" s="106"/>
      <x:c r="AY2" s="106"/>
      <x:c r="AZ2" s="106"/>
      <x:c r="BA2" s="106"/>
    </x:row>
    <x:row r="3">
      <x:c r="A3" s="143" t="str">
        <x:v>Task ID</x:v>
      </x:c>
      <x:c r="B3" s="143" t="str">
        <x:v>Phase</x:v>
      </x:c>
      <x:c r="C3" s="143" t="str">
        <x:v>Task / Deliverable</x:v>
      </x:c>
      <x:c r="D3" s="143" t="str">
        <x:v>Owner</x:v>
      </x:c>
      <x:c r="E3" s="143" t="str">
        <x:v>Status</x:v>
      </x:c>
      <x:c r="F3" s="143" t="str">
        <x:v>Priority</x:v>
      </x:c>
      <x:c r="G3" s="143" t="str">
        <x:v>Predecessor ID</x:v>
      </x:c>
      <x:c r="H3" s="143" t="str">
        <x:v>Duration (workdays)</x:v>
      </x:c>
      <x:c r="I3" s="143" t="str">
        <x:v>Manual Start (optional)</x:v>
      </x:c>
      <x:c r="J3" s="143" t="str">
        <x:v>Auto Start</x:v>
      </x:c>
      <x:c r="K3" s="143" t="str">
        <x:v>Auto End</x:v>
      </x:c>
      <x:c r="L3" s="143" t="str">
        <x:v>% Complete</x:v>
      </x:c>
      <x:c r="M3" s="143" t="str">
        <x:v>Due Status</x:v>
      </x:c>
      <x:c r="N3" s="143" t="str">
        <x:v>Schedule Flag</x:v>
      </x:c>
      <x:c r="O3" s="143" t="str">
        <x:v>Notes</x:v>
      </x:c>
      <x:c r="P3" s="106"/>
      <x:c r="Q3" s="106"/>
      <x:c r="R3" s="106"/>
      <x:c r="S3" s="106"/>
      <x:c r="T3" s="106"/>
      <x:c r="U3" s="106"/>
      <x:c r="V3" s="106"/>
      <x:c r="W3" s="106"/>
      <x:c r="X3" s="106"/>
      <x:c r="Y3" s="106"/>
      <x:c r="Z3" s="106"/>
      <x:c r="AA3" s="106"/>
      <x:c r="AB3" s="106"/>
      <x:c r="AC3" s="106"/>
      <x:c r="AD3" s="106"/>
      <x:c r="AE3" s="106"/>
      <x:c r="AF3" s="106"/>
      <x:c r="AG3" s="106"/>
      <x:c r="AH3" s="106"/>
      <x:c r="AI3" s="106"/>
      <x:c r="AJ3" s="106"/>
      <x:c r="AK3" s="106"/>
      <x:c r="AL3" s="106"/>
      <x:c r="AM3" s="106"/>
      <x:c r="AN3" s="106"/>
      <x:c r="AO3" s="106"/>
      <x:c r="AP3" s="106"/>
      <x:c r="AQ3" s="106"/>
      <x:c r="AR3" s="106"/>
      <x:c r="AS3" s="106"/>
      <x:c r="AT3" s="106"/>
      <x:c r="AU3" s="106"/>
      <x:c r="AV3" s="106"/>
      <x:c r="AW3" s="106"/>
      <x:c r="AX3" s="106"/>
      <x:c r="AY3" s="106"/>
      <x:c r="AZ3" s="106"/>
      <x:c r="BA3" s="106"/>
    </x:row>
    <x:row r="4">
      <x:c r="A4" s="144" t="n">
        <x:v>1</x:v>
      </x:c>
      <x:c r="B4" s="145"/>
      <x:c r="C4" s="145"/>
      <x:c r="D4" s="145"/>
      <x:c r="E4" s="145"/>
      <x:c r="F4" s="145"/>
      <x:c r="G4" s="145"/>
      <x:c r="H4" s="145"/>
      <x:c r="I4" s="146"/>
      <x:c r="J4" s="147" t="str">
        <x:f>IF(C4="","",IF(I4&lt;&gt;"",I4,IF(G4="",SETUP!$B$4,IFERROR(WORKDAY(INDEX($K$4:$K$53,MATCH(G4,$A$4:$A$53,0)),1,SETUP!$B$12:$B$21),SETUP!$B$4))))</x:f>
      </x:c>
      <x:c r="K4" s="147" t="str">
        <x:f>IF(OR(C4="",H4=""),"",WORKDAY(J4-1,H4,SETUP!$B$12:$B$21))</x:f>
      </x:c>
      <x:c r="L4" s="148"/>
      <x:c r="M4" s="144" t="str">
        <x:f>IF(C4="","",IF(E4="Complete","Complete",IF(K4&lt;SETUP!$B$7,"Overdue",IF(K4&lt;=SETUP!$B$7+7,"Due ≤7 days","On Track"))))</x:f>
      </x:c>
      <x:c r="N4" s="144" t="str">
        <x:f>IF(C4="","",IF(AND(G4&lt;&gt;"",COUNTIF($A$4:$A$53,G4)=0),"Invalid predecessor",IF(AND(E4&lt;&gt;"Complete",L4=1),"Status mismatch","OK")))</x:f>
      </x:c>
      <x:c r="O4" s="145"/>
      <x:c r="P4" s="106"/>
      <x:c r="Q4" s="106"/>
      <x:c r="R4" s="106"/>
      <x:c r="S4" s="106"/>
      <x:c r="T4" s="106"/>
      <x:c r="U4" s="106"/>
      <x:c r="V4" s="106"/>
      <x:c r="W4" s="106"/>
      <x:c r="X4" s="106"/>
      <x:c r="Y4" s="106"/>
      <x:c r="Z4" s="106"/>
      <x:c r="AA4" s="106"/>
      <x:c r="AB4" s="106"/>
      <x:c r="AC4" s="106"/>
      <x:c r="AD4" s="106"/>
      <x:c r="AE4" s="106"/>
      <x:c r="AF4" s="106"/>
      <x:c r="AG4" s="106"/>
      <x:c r="AH4" s="106"/>
      <x:c r="AI4" s="106"/>
      <x:c r="AJ4" s="106"/>
      <x:c r="AK4" s="106"/>
      <x:c r="AL4" s="106"/>
      <x:c r="AM4" s="106"/>
      <x:c r="AN4" s="106"/>
      <x:c r="AO4" s="106"/>
      <x:c r="AP4" s="106"/>
      <x:c r="AQ4" s="106"/>
      <x:c r="AR4" s="106"/>
      <x:c r="AS4" s="106"/>
      <x:c r="AT4" s="106"/>
      <x:c r="AU4" s="106"/>
      <x:c r="AV4" s="106"/>
      <x:c r="AW4" s="106"/>
      <x:c r="AX4" s="106"/>
      <x:c r="AY4" s="106"/>
      <x:c r="AZ4" s="106"/>
      <x:c r="BA4" s="106"/>
    </x:row>
    <x:row r="5">
      <x:c r="A5" s="144" t="n">
        <x:v>2</x:v>
      </x:c>
      <x:c r="B5" s="145"/>
      <x:c r="C5" s="145"/>
      <x:c r="D5" s="145"/>
      <x:c r="E5" s="145"/>
      <x:c r="F5" s="145"/>
      <x:c r="G5" s="145"/>
      <x:c r="H5" s="145"/>
      <x:c r="I5" s="146"/>
      <x:c r="J5" s="147" t="str">
        <x:f>IF(C5="","",IF(I5&lt;&gt;"",I5,IF(G5="",SETUP!$B$4,IFERROR(WORKDAY(INDEX($K$4:$K$53,MATCH(G5,$A$4:$A$53,0)),1,SETUP!$B$12:$B$21),SETUP!$B$4))))</x:f>
      </x:c>
      <x:c r="K5" s="147" t="str">
        <x:f>IF(OR(C5="",H5=""),"",WORKDAY(J5-1,H5,SETUP!$B$12:$B$21))</x:f>
      </x:c>
      <x:c r="L5" s="148"/>
      <x:c r="M5" s="144" t="str">
        <x:f>IF(C5="","",IF(E5="Complete","Complete",IF(K5&lt;SETUP!$B$7,"Overdue",IF(K5&lt;=SETUP!$B$7+7,"Due ≤7 days","On Track"))))</x:f>
      </x:c>
      <x:c r="N5" s="144" t="str">
        <x:f>IF(C5="","",IF(AND(G5&lt;&gt;"",COUNTIF($A$4:$A$53,G5)=0),"Invalid predecessor",IF(AND(E5&lt;&gt;"Complete",L5=1),"Status mismatch","OK")))</x:f>
      </x:c>
      <x:c r="O5" s="145"/>
      <x:c r="P5" s="106"/>
      <x:c r="Q5" s="106"/>
      <x:c r="R5" s="106"/>
      <x:c r="S5" s="106"/>
      <x:c r="T5" s="106"/>
      <x:c r="U5" s="106"/>
      <x:c r="V5" s="106"/>
      <x:c r="W5" s="106"/>
      <x:c r="X5" s="106"/>
      <x:c r="Y5" s="106"/>
      <x:c r="Z5" s="106"/>
      <x:c r="AA5" s="106"/>
      <x:c r="AB5" s="106"/>
      <x:c r="AC5" s="106"/>
      <x:c r="AD5" s="106"/>
      <x:c r="AE5" s="106"/>
      <x:c r="AF5" s="106"/>
      <x:c r="AG5" s="106"/>
      <x:c r="AH5" s="106"/>
      <x:c r="AI5" s="106"/>
      <x:c r="AJ5" s="106"/>
      <x:c r="AK5" s="106"/>
      <x:c r="AL5" s="106"/>
      <x:c r="AM5" s="106"/>
      <x:c r="AN5" s="106"/>
      <x:c r="AO5" s="106"/>
      <x:c r="AP5" s="106"/>
      <x:c r="AQ5" s="106"/>
      <x:c r="AR5" s="106"/>
      <x:c r="AS5" s="106"/>
      <x:c r="AT5" s="106"/>
      <x:c r="AU5" s="106"/>
      <x:c r="AV5" s="106"/>
      <x:c r="AW5" s="106"/>
      <x:c r="AX5" s="106"/>
      <x:c r="AY5" s="106"/>
      <x:c r="AZ5" s="106"/>
      <x:c r="BA5" s="106"/>
    </x:row>
    <x:row r="6">
      <x:c r="A6" s="144" t="n">
        <x:v>3</x:v>
      </x:c>
      <x:c r="B6" s="145"/>
      <x:c r="C6" s="145"/>
      <x:c r="D6" s="145"/>
      <x:c r="E6" s="145"/>
      <x:c r="F6" s="145"/>
      <x:c r="G6" s="145"/>
      <x:c r="H6" s="145"/>
      <x:c r="I6" s="146"/>
      <x:c r="J6" s="147" t="str">
        <x:f>IF(C6="","",IF(I6&lt;&gt;"",I6,IF(G6="",SETUP!$B$4,IFERROR(WORKDAY(INDEX($K$4:$K$53,MATCH(G6,$A$4:$A$53,0)),1,SETUP!$B$12:$B$21),SETUP!$B$4))))</x:f>
      </x:c>
      <x:c r="K6" s="147" t="str">
        <x:f>IF(OR(C6="",H6=""),"",WORKDAY(J6-1,H6,SETUP!$B$12:$B$21))</x:f>
      </x:c>
      <x:c r="L6" s="148"/>
      <x:c r="M6" s="144" t="str">
        <x:f>IF(C6="","",IF(E6="Complete","Complete",IF(K6&lt;SETUP!$B$7,"Overdue",IF(K6&lt;=SETUP!$B$7+7,"Due ≤7 days","On Track"))))</x:f>
      </x:c>
      <x:c r="N6" s="144" t="str">
        <x:f>IF(C6="","",IF(AND(G6&lt;&gt;"",COUNTIF($A$4:$A$53,G6)=0),"Invalid predecessor",IF(AND(E6&lt;&gt;"Complete",L6=1),"Status mismatch","OK")))</x:f>
      </x:c>
      <x:c r="O6" s="145"/>
      <x:c r="P6" s="106"/>
      <x:c r="Q6" s="106"/>
      <x:c r="R6" s="106"/>
      <x:c r="S6" s="106"/>
      <x:c r="T6" s="106"/>
      <x:c r="U6" s="106"/>
      <x:c r="V6" s="106"/>
      <x:c r="W6" s="106"/>
      <x:c r="X6" s="106"/>
      <x:c r="Y6" s="106"/>
      <x:c r="Z6" s="106"/>
      <x:c r="AA6" s="106"/>
      <x:c r="AB6" s="106"/>
      <x:c r="AC6" s="106"/>
      <x:c r="AD6" s="106"/>
      <x:c r="AE6" s="106"/>
      <x:c r="AF6" s="106"/>
      <x:c r="AG6" s="106"/>
      <x:c r="AH6" s="106"/>
      <x:c r="AI6" s="106"/>
      <x:c r="AJ6" s="106"/>
      <x:c r="AK6" s="106"/>
      <x:c r="AL6" s="106"/>
      <x:c r="AM6" s="106"/>
      <x:c r="AN6" s="106"/>
      <x:c r="AO6" s="106"/>
      <x:c r="AP6" s="106"/>
      <x:c r="AQ6" s="106"/>
      <x:c r="AR6" s="106"/>
      <x:c r="AS6" s="106"/>
      <x:c r="AT6" s="106"/>
      <x:c r="AU6" s="106"/>
      <x:c r="AV6" s="106"/>
      <x:c r="AW6" s="106"/>
      <x:c r="AX6" s="106"/>
      <x:c r="AY6" s="106"/>
      <x:c r="AZ6" s="106"/>
      <x:c r="BA6" s="106"/>
    </x:row>
    <x:row r="7">
      <x:c r="A7" s="144" t="n">
        <x:v>4</x:v>
      </x:c>
      <x:c r="B7" s="145"/>
      <x:c r="C7" s="145"/>
      <x:c r="D7" s="145"/>
      <x:c r="E7" s="145"/>
      <x:c r="F7" s="145"/>
      <x:c r="G7" s="145"/>
      <x:c r="H7" s="145"/>
      <x:c r="I7" s="146"/>
      <x:c r="J7" s="147" t="str">
        <x:f>IF(C7="","",IF(I7&lt;&gt;"",I7,IF(G7="",SETUP!$B$4,IFERROR(WORKDAY(INDEX($K$4:$K$53,MATCH(G7,$A$4:$A$53,0)),1,SETUP!$B$12:$B$21),SETUP!$B$4))))</x:f>
      </x:c>
      <x:c r="K7" s="147" t="str">
        <x:f>IF(OR(C7="",H7=""),"",WORKDAY(J7-1,H7,SETUP!$B$12:$B$21))</x:f>
      </x:c>
      <x:c r="L7" s="148"/>
      <x:c r="M7" s="144" t="str">
        <x:f>IF(C7="","",IF(E7="Complete","Complete",IF(K7&lt;SETUP!$B$7,"Overdue",IF(K7&lt;=SETUP!$B$7+7,"Due ≤7 days","On Track"))))</x:f>
      </x:c>
      <x:c r="N7" s="144" t="str">
        <x:f>IF(C7="","",IF(AND(G7&lt;&gt;"",COUNTIF($A$4:$A$53,G7)=0),"Invalid predecessor",IF(AND(E7&lt;&gt;"Complete",L7=1),"Status mismatch","OK")))</x:f>
      </x:c>
      <x:c r="O7" s="145"/>
      <x:c r="P7" s="106"/>
      <x:c r="Q7" s="106"/>
      <x:c r="R7" s="106"/>
      <x:c r="S7" s="106"/>
      <x:c r="T7" s="106"/>
      <x:c r="U7" s="106"/>
      <x:c r="V7" s="106"/>
      <x:c r="W7" s="106"/>
      <x:c r="X7" s="106"/>
      <x:c r="Y7" s="106"/>
      <x:c r="Z7" s="106"/>
      <x:c r="AA7" s="106"/>
      <x:c r="AB7" s="106"/>
      <x:c r="AC7" s="106"/>
      <x:c r="AD7" s="106"/>
      <x:c r="AE7" s="106"/>
      <x:c r="AF7" s="106"/>
      <x:c r="AG7" s="106"/>
      <x:c r="AH7" s="106"/>
      <x:c r="AI7" s="106"/>
      <x:c r="AJ7" s="106"/>
      <x:c r="AK7" s="106"/>
      <x:c r="AL7" s="106"/>
      <x:c r="AM7" s="106"/>
      <x:c r="AN7" s="106"/>
      <x:c r="AO7" s="106"/>
      <x:c r="AP7" s="106"/>
      <x:c r="AQ7" s="106"/>
      <x:c r="AR7" s="106"/>
      <x:c r="AS7" s="106"/>
      <x:c r="AT7" s="106"/>
      <x:c r="AU7" s="106"/>
      <x:c r="AV7" s="106"/>
      <x:c r="AW7" s="106"/>
      <x:c r="AX7" s="106"/>
      <x:c r="AY7" s="106"/>
      <x:c r="AZ7" s="106"/>
      <x:c r="BA7" s="106"/>
    </x:row>
    <x:row r="8">
      <x:c r="A8" s="144" t="n">
        <x:v>5</x:v>
      </x:c>
      <x:c r="B8" s="145"/>
      <x:c r="C8" s="145"/>
      <x:c r="D8" s="145"/>
      <x:c r="E8" s="145"/>
      <x:c r="F8" s="145"/>
      <x:c r="G8" s="145"/>
      <x:c r="H8" s="145"/>
      <x:c r="I8" s="146"/>
      <x:c r="J8" s="147" t="str">
        <x:f>IF(C8="","",IF(I8&lt;&gt;"",I8,IF(G8="",SETUP!$B$4,IFERROR(WORKDAY(INDEX($K$4:$K$53,MATCH(G8,$A$4:$A$53,0)),1,SETUP!$B$12:$B$21),SETUP!$B$4))))</x:f>
      </x:c>
      <x:c r="K8" s="147" t="str">
        <x:f>IF(OR(C8="",H8=""),"",WORKDAY(J8-1,H8,SETUP!$B$12:$B$21))</x:f>
      </x:c>
      <x:c r="L8" s="148"/>
      <x:c r="M8" s="144" t="str">
        <x:f>IF(C8="","",IF(E8="Complete","Complete",IF(K8&lt;SETUP!$B$7,"Overdue",IF(K8&lt;=SETUP!$B$7+7,"Due ≤7 days","On Track"))))</x:f>
      </x:c>
      <x:c r="N8" s="144" t="str">
        <x:f>IF(C8="","",IF(AND(G8&lt;&gt;"",COUNTIF($A$4:$A$53,G8)=0),"Invalid predecessor",IF(AND(E8&lt;&gt;"Complete",L8=1),"Status mismatch","OK")))</x:f>
      </x:c>
      <x:c r="O8" s="145"/>
      <x:c r="P8" s="106"/>
      <x:c r="Q8" s="106"/>
      <x:c r="R8" s="106"/>
      <x:c r="S8" s="106"/>
      <x:c r="T8" s="106"/>
      <x:c r="U8" s="106"/>
      <x:c r="V8" s="106"/>
      <x:c r="W8" s="106"/>
      <x:c r="X8" s="106"/>
      <x:c r="Y8" s="106"/>
      <x:c r="Z8" s="106"/>
      <x:c r="AA8" s="106"/>
      <x:c r="AB8" s="106"/>
      <x:c r="AC8" s="106"/>
      <x:c r="AD8" s="106"/>
      <x:c r="AE8" s="106"/>
      <x:c r="AF8" s="106"/>
      <x:c r="AG8" s="106"/>
      <x:c r="AH8" s="106"/>
      <x:c r="AI8" s="106"/>
      <x:c r="AJ8" s="106"/>
      <x:c r="AK8" s="106"/>
      <x:c r="AL8" s="106"/>
      <x:c r="AM8" s="106"/>
      <x:c r="AN8" s="106"/>
      <x:c r="AO8" s="106"/>
      <x:c r="AP8" s="106"/>
      <x:c r="AQ8" s="106"/>
      <x:c r="AR8" s="106"/>
      <x:c r="AS8" s="106"/>
      <x:c r="AT8" s="106"/>
      <x:c r="AU8" s="106"/>
      <x:c r="AV8" s="106"/>
      <x:c r="AW8" s="106"/>
      <x:c r="AX8" s="106"/>
      <x:c r="AY8" s="106"/>
      <x:c r="AZ8" s="106"/>
      <x:c r="BA8" s="106"/>
    </x:row>
    <x:row r="9">
      <x:c r="A9" s="144" t="n">
        <x:v>6</x:v>
      </x:c>
      <x:c r="B9" s="145"/>
      <x:c r="C9" s="145"/>
      <x:c r="D9" s="145"/>
      <x:c r="E9" s="145"/>
      <x:c r="F9" s="145"/>
      <x:c r="G9" s="145"/>
      <x:c r="H9" s="145"/>
      <x:c r="I9" s="146"/>
      <x:c r="J9" s="147" t="str">
        <x:f>IF(C9="","",IF(I9&lt;&gt;"",I9,IF(G9="",SETUP!$B$4,IFERROR(WORKDAY(INDEX($K$4:$K$53,MATCH(G9,$A$4:$A$53,0)),1,SETUP!$B$12:$B$21),SETUP!$B$4))))</x:f>
      </x:c>
      <x:c r="K9" s="147" t="str">
        <x:f>IF(OR(C9="",H9=""),"",WORKDAY(J9-1,H9,SETUP!$B$12:$B$21))</x:f>
      </x:c>
      <x:c r="L9" s="148"/>
      <x:c r="M9" s="144" t="str">
        <x:f>IF(C9="","",IF(E9="Complete","Complete",IF(K9&lt;SETUP!$B$7,"Overdue",IF(K9&lt;=SETUP!$B$7+7,"Due ≤7 days","On Track"))))</x:f>
      </x:c>
      <x:c r="N9" s="144" t="str">
        <x:f>IF(C9="","",IF(AND(G9&lt;&gt;"",COUNTIF($A$4:$A$53,G9)=0),"Invalid predecessor",IF(AND(E9&lt;&gt;"Complete",L9=1),"Status mismatch","OK")))</x:f>
      </x:c>
      <x:c r="O9" s="145"/>
      <x:c r="P9" s="106"/>
      <x:c r="Q9" s="106"/>
      <x:c r="R9" s="106"/>
      <x:c r="S9" s="106"/>
      <x:c r="T9" s="106"/>
      <x:c r="U9" s="106"/>
      <x:c r="V9" s="106"/>
      <x:c r="W9" s="106"/>
      <x:c r="X9" s="106"/>
      <x:c r="Y9" s="106"/>
      <x:c r="Z9" s="106"/>
      <x:c r="AA9" s="106"/>
      <x:c r="AB9" s="106"/>
      <x:c r="AC9" s="106"/>
      <x:c r="AD9" s="106"/>
      <x:c r="AE9" s="106"/>
      <x:c r="AF9" s="106"/>
      <x:c r="AG9" s="106"/>
      <x:c r="AH9" s="106"/>
      <x:c r="AI9" s="106"/>
      <x:c r="AJ9" s="106"/>
      <x:c r="AK9" s="106"/>
      <x:c r="AL9" s="106"/>
      <x:c r="AM9" s="106"/>
      <x:c r="AN9" s="106"/>
      <x:c r="AO9" s="106"/>
      <x:c r="AP9" s="106"/>
      <x:c r="AQ9" s="106"/>
      <x:c r="AR9" s="106"/>
      <x:c r="AS9" s="106"/>
      <x:c r="AT9" s="106"/>
      <x:c r="AU9" s="106"/>
      <x:c r="AV9" s="106"/>
      <x:c r="AW9" s="106"/>
      <x:c r="AX9" s="106"/>
      <x:c r="AY9" s="106"/>
      <x:c r="AZ9" s="106"/>
      <x:c r="BA9" s="106"/>
    </x:row>
    <x:row r="10">
      <x:c r="A10" s="144" t="n">
        <x:v>7</x:v>
      </x:c>
      <x:c r="B10" s="145"/>
      <x:c r="C10" s="145"/>
      <x:c r="D10" s="145"/>
      <x:c r="E10" s="145"/>
      <x:c r="F10" s="145"/>
      <x:c r="G10" s="145"/>
      <x:c r="H10" s="145"/>
      <x:c r="I10" s="146"/>
      <x:c r="J10" s="147" t="str">
        <x:f>IF(C10="","",IF(I10&lt;&gt;"",I10,IF(G10="",SETUP!$B$4,IFERROR(WORKDAY(INDEX($K$4:$K$53,MATCH(G10,$A$4:$A$53,0)),1,SETUP!$B$12:$B$21),SETUP!$B$4))))</x:f>
      </x:c>
      <x:c r="K10" s="147" t="str">
        <x:f>IF(OR(C10="",H10=""),"",WORKDAY(J10-1,H10,SETUP!$B$12:$B$21))</x:f>
      </x:c>
      <x:c r="L10" s="148"/>
      <x:c r="M10" s="144" t="str">
        <x:f>IF(C10="","",IF(E10="Complete","Complete",IF(K10&lt;SETUP!$B$7,"Overdue",IF(K10&lt;=SETUP!$B$7+7,"Due ≤7 days","On Track"))))</x:f>
      </x:c>
      <x:c r="N10" s="144" t="str">
        <x:f>IF(C10="","",IF(AND(G10&lt;&gt;"",COUNTIF($A$4:$A$53,G10)=0),"Invalid predecessor",IF(AND(E10&lt;&gt;"Complete",L10=1),"Status mismatch","OK")))</x:f>
      </x:c>
      <x:c r="O10" s="145"/>
      <x:c r="P10" s="106"/>
      <x:c r="Q10" s="106"/>
      <x:c r="R10" s="106"/>
      <x:c r="S10" s="106"/>
      <x:c r="T10" s="106"/>
      <x:c r="U10" s="106"/>
      <x:c r="V10" s="106"/>
      <x:c r="W10" s="106"/>
      <x:c r="X10" s="106"/>
      <x:c r="Y10" s="106"/>
      <x:c r="Z10" s="106"/>
      <x:c r="AA10" s="106"/>
      <x:c r="AB10" s="106"/>
      <x:c r="AC10" s="106"/>
      <x:c r="AD10" s="106"/>
      <x:c r="AE10" s="106"/>
      <x:c r="AF10" s="106"/>
      <x:c r="AG10" s="106"/>
      <x:c r="AH10" s="106"/>
      <x:c r="AI10" s="106"/>
      <x:c r="AJ10" s="106"/>
      <x:c r="AK10" s="106"/>
      <x:c r="AL10" s="106"/>
      <x:c r="AM10" s="106"/>
      <x:c r="AN10" s="106"/>
      <x:c r="AO10" s="106"/>
      <x:c r="AP10" s="106"/>
      <x:c r="AQ10" s="106"/>
      <x:c r="AR10" s="106"/>
      <x:c r="AS10" s="106"/>
      <x:c r="AT10" s="106"/>
      <x:c r="AU10" s="106"/>
      <x:c r="AV10" s="106"/>
      <x:c r="AW10" s="106"/>
      <x:c r="AX10" s="106"/>
      <x:c r="AY10" s="106"/>
      <x:c r="AZ10" s="106"/>
      <x:c r="BA10" s="106"/>
    </x:row>
    <x:row r="11">
      <x:c r="A11" s="144" t="n">
        <x:v>8</x:v>
      </x:c>
      <x:c r="B11" s="145"/>
      <x:c r="C11" s="145"/>
      <x:c r="D11" s="145"/>
      <x:c r="E11" s="145"/>
      <x:c r="F11" s="145"/>
      <x:c r="G11" s="145"/>
      <x:c r="H11" s="145"/>
      <x:c r="I11" s="146"/>
      <x:c r="J11" s="147" t="str">
        <x:f>IF(C11="","",IF(I11&lt;&gt;"",I11,IF(G11="",SETUP!$B$4,IFERROR(WORKDAY(INDEX($K$4:$K$53,MATCH(G11,$A$4:$A$53,0)),1,SETUP!$B$12:$B$21),SETUP!$B$4))))</x:f>
      </x:c>
      <x:c r="K11" s="147" t="str">
        <x:f>IF(OR(C11="",H11=""),"",WORKDAY(J11-1,H11,SETUP!$B$12:$B$21))</x:f>
      </x:c>
      <x:c r="L11" s="148"/>
      <x:c r="M11" s="144" t="str">
        <x:f>IF(C11="","",IF(E11="Complete","Complete",IF(K11&lt;SETUP!$B$7,"Overdue",IF(K11&lt;=SETUP!$B$7+7,"Due ≤7 days","On Track"))))</x:f>
      </x:c>
      <x:c r="N11" s="144" t="str">
        <x:f>IF(C11="","",IF(AND(G11&lt;&gt;"",COUNTIF($A$4:$A$53,G11)=0),"Invalid predecessor",IF(AND(E11&lt;&gt;"Complete",L11=1),"Status mismatch","OK")))</x:f>
      </x:c>
      <x:c r="O11" s="145"/>
      <x:c r="P11" s="106"/>
      <x:c r="Q11" s="106"/>
      <x:c r="R11" s="106"/>
      <x:c r="S11" s="106"/>
      <x:c r="T11" s="106"/>
      <x:c r="U11" s="106"/>
      <x:c r="V11" s="106"/>
      <x:c r="W11" s="106"/>
      <x:c r="X11" s="106"/>
      <x:c r="Y11" s="106"/>
      <x:c r="Z11" s="106"/>
      <x:c r="AA11" s="106"/>
      <x:c r="AB11" s="106"/>
      <x:c r="AC11" s="106"/>
      <x:c r="AD11" s="106"/>
      <x:c r="AE11" s="106"/>
      <x:c r="AF11" s="106"/>
      <x:c r="AG11" s="106"/>
      <x:c r="AH11" s="106"/>
      <x:c r="AI11" s="106"/>
      <x:c r="AJ11" s="106"/>
      <x:c r="AK11" s="106"/>
      <x:c r="AL11" s="106"/>
      <x:c r="AM11" s="106"/>
      <x:c r="AN11" s="106"/>
      <x:c r="AO11" s="106"/>
      <x:c r="AP11" s="106"/>
      <x:c r="AQ11" s="106"/>
      <x:c r="AR11" s="106"/>
      <x:c r="AS11" s="106"/>
      <x:c r="AT11" s="106"/>
      <x:c r="AU11" s="106"/>
      <x:c r="AV11" s="106"/>
      <x:c r="AW11" s="106"/>
      <x:c r="AX11" s="106"/>
      <x:c r="AY11" s="106"/>
      <x:c r="AZ11" s="106"/>
      <x:c r="BA11" s="106"/>
    </x:row>
    <x:row r="12">
      <x:c r="A12" s="144" t="n">
        <x:v>9</x:v>
      </x:c>
      <x:c r="B12" s="145"/>
      <x:c r="C12" s="145"/>
      <x:c r="D12" s="145"/>
      <x:c r="E12" s="145"/>
      <x:c r="F12" s="145"/>
      <x:c r="G12" s="145"/>
      <x:c r="H12" s="145"/>
      <x:c r="I12" s="146"/>
      <x:c r="J12" s="147" t="str">
        <x:f>IF(C12="","",IF(I12&lt;&gt;"",I12,IF(G12="",SETUP!$B$4,IFERROR(WORKDAY(INDEX($K$4:$K$53,MATCH(G12,$A$4:$A$53,0)),1,SETUP!$B$12:$B$21),SETUP!$B$4))))</x:f>
      </x:c>
      <x:c r="K12" s="147" t="str">
        <x:f>IF(OR(C12="",H12=""),"",WORKDAY(J12-1,H12,SETUP!$B$12:$B$21))</x:f>
      </x:c>
      <x:c r="L12" s="148"/>
      <x:c r="M12" s="144" t="str">
        <x:f>IF(C12="","",IF(E12="Complete","Complete",IF(K12&lt;SETUP!$B$7,"Overdue",IF(K12&lt;=SETUP!$B$7+7,"Due ≤7 days","On Track"))))</x:f>
      </x:c>
      <x:c r="N12" s="144" t="str">
        <x:f>IF(C12="","",IF(AND(G12&lt;&gt;"",COUNTIF($A$4:$A$53,G12)=0),"Invalid predecessor",IF(AND(E12&lt;&gt;"Complete",L12=1),"Status mismatch","OK")))</x:f>
      </x:c>
      <x:c r="O12" s="145"/>
      <x:c r="P12" s="106"/>
      <x:c r="Q12" s="106"/>
      <x:c r="R12" s="106"/>
      <x:c r="S12" s="106"/>
      <x:c r="T12" s="106"/>
      <x:c r="U12" s="106"/>
      <x:c r="V12" s="106"/>
      <x:c r="W12" s="106"/>
      <x:c r="X12" s="106"/>
      <x:c r="Y12" s="106"/>
      <x:c r="Z12" s="106"/>
      <x:c r="AA12" s="106"/>
      <x:c r="AB12" s="106"/>
      <x:c r="AC12" s="106"/>
      <x:c r="AD12" s="106"/>
      <x:c r="AE12" s="106"/>
      <x:c r="AF12" s="106"/>
      <x:c r="AG12" s="106"/>
      <x:c r="AH12" s="106"/>
      <x:c r="AI12" s="106"/>
      <x:c r="AJ12" s="106"/>
      <x:c r="AK12" s="106"/>
      <x:c r="AL12" s="106"/>
      <x:c r="AM12" s="106"/>
      <x:c r="AN12" s="106"/>
      <x:c r="AO12" s="106"/>
      <x:c r="AP12" s="106"/>
      <x:c r="AQ12" s="106"/>
      <x:c r="AR12" s="106"/>
      <x:c r="AS12" s="106"/>
      <x:c r="AT12" s="106"/>
      <x:c r="AU12" s="106"/>
      <x:c r="AV12" s="106"/>
      <x:c r="AW12" s="106"/>
      <x:c r="AX12" s="106"/>
      <x:c r="AY12" s="106"/>
      <x:c r="AZ12" s="106"/>
      <x:c r="BA12" s="106"/>
    </x:row>
    <x:row r="13">
      <x:c r="A13" s="144" t="n">
        <x:v>10</x:v>
      </x:c>
      <x:c r="B13" s="145"/>
      <x:c r="C13" s="145"/>
      <x:c r="D13" s="145"/>
      <x:c r="E13" s="145"/>
      <x:c r="F13" s="145"/>
      <x:c r="G13" s="145"/>
      <x:c r="H13" s="145"/>
      <x:c r="I13" s="146"/>
      <x:c r="J13" s="147" t="str">
        <x:f>IF(C13="","",IF(I13&lt;&gt;"",I13,IF(G13="",SETUP!$B$4,IFERROR(WORKDAY(INDEX($K$4:$K$53,MATCH(G13,$A$4:$A$53,0)),1,SETUP!$B$12:$B$21),SETUP!$B$4))))</x:f>
      </x:c>
      <x:c r="K13" s="147" t="str">
        <x:f>IF(OR(C13="",H13=""),"",WORKDAY(J13-1,H13,SETUP!$B$12:$B$21))</x:f>
      </x:c>
      <x:c r="L13" s="148"/>
      <x:c r="M13" s="144" t="str">
        <x:f>IF(C13="","",IF(E13="Complete","Complete",IF(K13&lt;SETUP!$B$7,"Overdue",IF(K13&lt;=SETUP!$B$7+7,"Due ≤7 days","On Track"))))</x:f>
      </x:c>
      <x:c r="N13" s="144" t="str">
        <x:f>IF(C13="","",IF(AND(G13&lt;&gt;"",COUNTIF($A$4:$A$53,G13)=0),"Invalid predecessor",IF(AND(E13&lt;&gt;"Complete",L13=1),"Status mismatch","OK")))</x:f>
      </x:c>
      <x:c r="O13" s="145"/>
      <x:c r="P13" s="106"/>
      <x:c r="Q13" s="106"/>
      <x:c r="R13" s="106"/>
      <x:c r="S13" s="106"/>
      <x:c r="T13" s="106"/>
      <x:c r="U13" s="106"/>
      <x:c r="V13" s="106"/>
      <x:c r="W13" s="106"/>
      <x:c r="X13" s="106"/>
      <x:c r="Y13" s="106"/>
      <x:c r="Z13" s="106"/>
      <x:c r="AA13" s="106"/>
      <x:c r="AB13" s="106"/>
      <x:c r="AC13" s="106"/>
      <x:c r="AD13" s="106"/>
      <x:c r="AE13" s="106"/>
      <x:c r="AF13" s="106"/>
      <x:c r="AG13" s="106"/>
      <x:c r="AH13" s="106"/>
      <x:c r="AI13" s="106"/>
      <x:c r="AJ13" s="106"/>
      <x:c r="AK13" s="106"/>
      <x:c r="AL13" s="106"/>
      <x:c r="AM13" s="106"/>
      <x:c r="AN13" s="106"/>
      <x:c r="AO13" s="106"/>
      <x:c r="AP13" s="106"/>
      <x:c r="AQ13" s="106"/>
      <x:c r="AR13" s="106"/>
      <x:c r="AS13" s="106"/>
      <x:c r="AT13" s="106"/>
      <x:c r="AU13" s="106"/>
      <x:c r="AV13" s="106"/>
      <x:c r="AW13" s="106"/>
      <x:c r="AX13" s="106"/>
      <x:c r="AY13" s="106"/>
      <x:c r="AZ13" s="106"/>
      <x:c r="BA13" s="106"/>
    </x:row>
    <x:row r="14">
      <x:c r="A14" s="144" t="n">
        <x:v>11</x:v>
      </x:c>
      <x:c r="B14" s="145"/>
      <x:c r="C14" s="145"/>
      <x:c r="D14" s="145"/>
      <x:c r="E14" s="145"/>
      <x:c r="F14" s="145"/>
      <x:c r="G14" s="145"/>
      <x:c r="H14" s="145"/>
      <x:c r="I14" s="146"/>
      <x:c r="J14" s="147" t="str">
        <x:f>IF(C14="","",IF(I14&lt;&gt;"",I14,IF(G14="",SETUP!$B$4,IFERROR(WORKDAY(INDEX($K$4:$K$53,MATCH(G14,$A$4:$A$53,0)),1,SETUP!$B$12:$B$21),SETUP!$B$4))))</x:f>
      </x:c>
      <x:c r="K14" s="147">
        <x:f>IF(OR(C14="",H14=""),"",WORKDAY(J14-1,H14,SETUP!$B$12:$B$21))</x:f>
      </x:c>
      <x:c r="L14" s="148"/>
      <x:c r="M14" s="144" t="str">
        <x:f>IF(C14="","",IF(E14="Complete","Complete",IF(K14&lt;SETUP!$B$7,"Overdue",IF(K14&lt;=SETUP!$B$7+7,"Due ≤7 days","On Track"))))</x:f>
      </x:c>
      <x:c r="N14" s="144" t="str">
        <x:f>IF(C14="","",IF(AND(G14&lt;&gt;"",COUNTIF($A$4:$A$53,G14)=0),"Invalid predecessor",IF(AND(E14&lt;&gt;"Complete",L14=1),"Status mismatch","OK")))</x:f>
      </x:c>
      <x:c r="O14" s="145"/>
      <x:c r="P14" s="106"/>
      <x:c r="Q14" s="106"/>
      <x:c r="R14" s="106"/>
      <x:c r="S14" s="106"/>
      <x:c r="T14" s="106"/>
      <x:c r="U14" s="106"/>
      <x:c r="V14" s="106"/>
      <x:c r="W14" s="106"/>
      <x:c r="X14" s="106"/>
      <x:c r="Y14" s="106"/>
      <x:c r="Z14" s="106"/>
      <x:c r="AA14" s="106"/>
      <x:c r="AB14" s="106"/>
      <x:c r="AC14" s="106"/>
      <x:c r="AD14" s="106"/>
      <x:c r="AE14" s="106"/>
      <x:c r="AF14" s="106"/>
      <x:c r="AG14" s="106"/>
      <x:c r="AH14" s="106"/>
      <x:c r="AI14" s="106"/>
      <x:c r="AJ14" s="106"/>
      <x:c r="AK14" s="106"/>
      <x:c r="AL14" s="106"/>
      <x:c r="AM14" s="106"/>
      <x:c r="AN14" s="106"/>
      <x:c r="AO14" s="106"/>
      <x:c r="AP14" s="106"/>
      <x:c r="AQ14" s="106"/>
      <x:c r="AR14" s="106"/>
      <x:c r="AS14" s="106"/>
      <x:c r="AT14" s="106"/>
      <x:c r="AU14" s="106"/>
      <x:c r="AV14" s="106"/>
      <x:c r="AW14" s="106"/>
      <x:c r="AX14" s="106"/>
      <x:c r="AY14" s="106"/>
      <x:c r="AZ14" s="106"/>
      <x:c r="BA14" s="106"/>
    </x:row>
    <x:row r="15">
      <x:c r="A15" s="144" t="n">
        <x:v>12</x:v>
      </x:c>
      <x:c r="B15" s="145"/>
      <x:c r="C15" s="145"/>
      <x:c r="D15" s="145"/>
      <x:c r="E15" s="145"/>
      <x:c r="F15" s="145"/>
      <x:c r="G15" s="145"/>
      <x:c r="H15" s="145"/>
      <x:c r="I15" s="146"/>
      <x:c r="J15" s="147" t="str">
        <x:f>IF(C15="","",IF(I15&lt;&gt;"",I15,IF(G15="",SETUP!$B$4,IFERROR(WORKDAY(INDEX($K$4:$K$53,MATCH(G15,$A$4:$A$53,0)),1,SETUP!$B$12:$B$21),SETUP!$B$4))))</x:f>
      </x:c>
      <x:c r="K15" s="147">
        <x:f>IF(OR(C15="",H15=""),"",WORKDAY(J15-1,H15,SETUP!$B$12:$B$21))</x:f>
      </x:c>
      <x:c r="L15" s="148"/>
      <x:c r="M15" s="144" t="str">
        <x:f>IF(C15="","",IF(E15="Complete","Complete",IF(K15&lt;SETUP!$B$7,"Overdue",IF(K15&lt;=SETUP!$B$7+7,"Due ≤7 days","On Track"))))</x:f>
      </x:c>
      <x:c r="N15" s="144" t="str">
        <x:f>IF(C15="","",IF(AND(G15&lt;&gt;"",COUNTIF($A$4:$A$53,G15)=0),"Invalid predecessor",IF(AND(E15&lt;&gt;"Complete",L15=1),"Status mismatch","OK")))</x:f>
      </x:c>
      <x:c r="O15" s="145"/>
      <x:c r="P15" s="106"/>
      <x:c r="Q15" s="106"/>
      <x:c r="R15" s="106"/>
      <x:c r="S15" s="106"/>
      <x:c r="T15" s="106"/>
      <x:c r="U15" s="106"/>
      <x:c r="V15" s="106"/>
      <x:c r="W15" s="106"/>
      <x:c r="X15" s="106"/>
      <x:c r="Y15" s="106"/>
      <x:c r="Z15" s="106"/>
      <x:c r="AA15" s="106"/>
      <x:c r="AB15" s="106"/>
      <x:c r="AC15" s="106"/>
      <x:c r="AD15" s="106"/>
      <x:c r="AE15" s="106"/>
      <x:c r="AF15" s="106"/>
      <x:c r="AG15" s="106"/>
      <x:c r="AH15" s="106"/>
      <x:c r="AI15" s="106"/>
      <x:c r="AJ15" s="106"/>
      <x:c r="AK15" s="106"/>
      <x:c r="AL15" s="106"/>
      <x:c r="AM15" s="106"/>
      <x:c r="AN15" s="106"/>
      <x:c r="AO15" s="106"/>
      <x:c r="AP15" s="106"/>
      <x:c r="AQ15" s="106"/>
      <x:c r="AR15" s="106"/>
      <x:c r="AS15" s="106"/>
      <x:c r="AT15" s="106"/>
      <x:c r="AU15" s="106"/>
      <x:c r="AV15" s="106"/>
      <x:c r="AW15" s="106"/>
      <x:c r="AX15" s="106"/>
      <x:c r="AY15" s="106"/>
      <x:c r="AZ15" s="106"/>
      <x:c r="BA15" s="106"/>
    </x:row>
    <x:row r="16">
      <x:c r="A16" s="144" t="n">
        <x:v>13</x:v>
      </x:c>
      <x:c r="B16" s="145"/>
      <x:c r="C16" s="145"/>
      <x:c r="D16" s="145"/>
      <x:c r="E16" s="145"/>
      <x:c r="F16" s="145"/>
      <x:c r="G16" s="145"/>
      <x:c r="H16" s="145"/>
      <x:c r="I16" s="146"/>
      <x:c r="J16" s="147" t="str">
        <x:f>IF(C16="","",IF(I16&lt;&gt;"",I16,IF(G16="",SETUP!$B$4,IFERROR(WORKDAY(INDEX($K$4:$K$53,MATCH(G16,$A$4:$A$53,0)),1,SETUP!$B$12:$B$21),SETUP!$B$4))))</x:f>
      </x:c>
      <x:c r="K16" s="147">
        <x:f>IF(OR(C16="",H16=""),"",WORKDAY(J16-1,H16,SETUP!$B$12:$B$21))</x:f>
      </x:c>
      <x:c r="L16" s="148"/>
      <x:c r="M16" s="144" t="str">
        <x:f>IF(C16="","",IF(E16="Complete","Complete",IF(K16&lt;SETUP!$B$7,"Overdue",IF(K16&lt;=SETUP!$B$7+7,"Due ≤7 days","On Track"))))</x:f>
      </x:c>
      <x:c r="N16" s="144" t="str">
        <x:f>IF(C16="","",IF(AND(G16&lt;&gt;"",COUNTIF($A$4:$A$53,G16)=0),"Invalid predecessor",IF(AND(E16&lt;&gt;"Complete",L16=1),"Status mismatch","OK")))</x:f>
      </x:c>
      <x:c r="O16" s="145"/>
      <x:c r="P16" s="106"/>
      <x:c r="Q16" s="106"/>
      <x:c r="R16" s="106"/>
      <x:c r="S16" s="106"/>
      <x:c r="T16" s="106"/>
      <x:c r="U16" s="106"/>
      <x:c r="V16" s="106"/>
      <x:c r="W16" s="106"/>
      <x:c r="X16" s="106"/>
      <x:c r="Y16" s="106"/>
      <x:c r="Z16" s="106"/>
      <x:c r="AA16" s="106"/>
      <x:c r="AB16" s="106"/>
      <x:c r="AC16" s="106"/>
      <x:c r="AD16" s="106"/>
      <x:c r="AE16" s="106"/>
      <x:c r="AF16" s="106"/>
      <x:c r="AG16" s="106"/>
      <x:c r="AH16" s="106"/>
      <x:c r="AI16" s="106"/>
      <x:c r="AJ16" s="106"/>
      <x:c r="AK16" s="106"/>
      <x:c r="AL16" s="106"/>
      <x:c r="AM16" s="106"/>
      <x:c r="AN16" s="106"/>
      <x:c r="AO16" s="106"/>
      <x:c r="AP16" s="106"/>
      <x:c r="AQ16" s="106"/>
      <x:c r="AR16" s="106"/>
      <x:c r="AS16" s="106"/>
      <x:c r="AT16" s="106"/>
      <x:c r="AU16" s="106"/>
      <x:c r="AV16" s="106"/>
      <x:c r="AW16" s="106"/>
      <x:c r="AX16" s="106"/>
      <x:c r="AY16" s="106"/>
      <x:c r="AZ16" s="106"/>
      <x:c r="BA16" s="106"/>
    </x:row>
    <x:row r="17">
      <x:c r="A17" s="144" t="n">
        <x:v>14</x:v>
      </x:c>
      <x:c r="B17" s="145"/>
      <x:c r="C17" s="145"/>
      <x:c r="D17" s="145"/>
      <x:c r="E17" s="145"/>
      <x:c r="F17" s="145"/>
      <x:c r="G17" s="145"/>
      <x:c r="H17" s="145"/>
      <x:c r="I17" s="146"/>
      <x:c r="J17" s="147" t="str">
        <x:f>IF(C17="","",IF(I17&lt;&gt;"",I17,IF(G17="",SETUP!$B$4,IFERROR(WORKDAY(INDEX($K$4:$K$53,MATCH(G17,$A$4:$A$53,0)),1,SETUP!$B$12:$B$21),SETUP!$B$4))))</x:f>
      </x:c>
      <x:c r="K17" s="147">
        <x:f>IF(OR(C17="",H17=""),"",WORKDAY(J17-1,H17,SETUP!$B$12:$B$21))</x:f>
      </x:c>
      <x:c r="L17" s="148"/>
      <x:c r="M17" s="144" t="str">
        <x:f>IF(C17="","",IF(E17="Complete","Complete",IF(K17&lt;SETUP!$B$7,"Overdue",IF(K17&lt;=SETUP!$B$7+7,"Due ≤7 days","On Track"))))</x:f>
      </x:c>
      <x:c r="N17" s="144" t="str">
        <x:f>IF(C17="","",IF(AND(G17&lt;&gt;"",COUNTIF($A$4:$A$53,G17)=0),"Invalid predecessor",IF(AND(E17&lt;&gt;"Complete",L17=1),"Status mismatch","OK")))</x:f>
      </x:c>
      <x:c r="O17" s="145"/>
      <x:c r="P17" s="106"/>
      <x:c r="Q17" s="106"/>
      <x:c r="R17" s="106"/>
      <x:c r="S17" s="106"/>
      <x:c r="T17" s="106"/>
      <x:c r="U17" s="106"/>
      <x:c r="V17" s="106"/>
      <x:c r="W17" s="106"/>
      <x:c r="X17" s="106"/>
      <x:c r="Y17" s="106"/>
      <x:c r="Z17" s="106"/>
      <x:c r="AA17" s="106"/>
      <x:c r="AB17" s="106"/>
      <x:c r="AC17" s="106"/>
      <x:c r="AD17" s="106"/>
      <x:c r="AE17" s="106"/>
      <x:c r="AF17" s="106"/>
      <x:c r="AG17" s="106"/>
      <x:c r="AH17" s="106"/>
      <x:c r="AI17" s="106"/>
      <x:c r="AJ17" s="106"/>
      <x:c r="AK17" s="106"/>
      <x:c r="AL17" s="106"/>
      <x:c r="AM17" s="106"/>
      <x:c r="AN17" s="106"/>
      <x:c r="AO17" s="106"/>
      <x:c r="AP17" s="106"/>
      <x:c r="AQ17" s="106"/>
      <x:c r="AR17" s="106"/>
      <x:c r="AS17" s="106"/>
      <x:c r="AT17" s="106"/>
      <x:c r="AU17" s="106"/>
      <x:c r="AV17" s="106"/>
      <x:c r="AW17" s="106"/>
      <x:c r="AX17" s="106"/>
      <x:c r="AY17" s="106"/>
      <x:c r="AZ17" s="106"/>
      <x:c r="BA17" s="106"/>
    </x:row>
    <x:row r="18">
      <x:c r="A18" s="144" t="n">
        <x:v>15</x:v>
      </x:c>
      <x:c r="B18" s="145"/>
      <x:c r="C18" s="145"/>
      <x:c r="D18" s="145"/>
      <x:c r="E18" s="145"/>
      <x:c r="F18" s="145"/>
      <x:c r="G18" s="145"/>
      <x:c r="H18" s="145"/>
      <x:c r="I18" s="146"/>
      <x:c r="J18" s="147" t="str">
        <x:f>IF(C18="","",IF(I18&lt;&gt;"",I18,IF(G18="",SETUP!$B$4,IFERROR(WORKDAY(INDEX($K$4:$K$53,MATCH(G18,$A$4:$A$53,0)),1,SETUP!$B$12:$B$21),SETUP!$B$4))))</x:f>
      </x:c>
      <x:c r="K18" s="147">
        <x:f>IF(OR(C18="",H18=""),"",WORKDAY(J18-1,H18,SETUP!$B$12:$B$21))</x:f>
      </x:c>
      <x:c r="L18" s="148"/>
      <x:c r="M18" s="144" t="str">
        <x:f>IF(C18="","",IF(E18="Complete","Complete",IF(K18&lt;SETUP!$B$7,"Overdue",IF(K18&lt;=SETUP!$B$7+7,"Due ≤7 days","On Track"))))</x:f>
      </x:c>
      <x:c r="N18" s="144" t="str">
        <x:f>IF(C18="","",IF(AND(G18&lt;&gt;"",COUNTIF($A$4:$A$53,G18)=0),"Invalid predecessor",IF(AND(E18&lt;&gt;"Complete",L18=1),"Status mismatch","OK")))</x:f>
      </x:c>
      <x:c r="O18" s="145"/>
      <x:c r="P18" s="106"/>
      <x:c r="Q18" s="106"/>
      <x:c r="R18" s="106"/>
      <x:c r="S18" s="106"/>
      <x:c r="T18" s="106"/>
      <x:c r="U18" s="106"/>
      <x:c r="V18" s="106"/>
      <x:c r="W18" s="106"/>
      <x:c r="X18" s="106"/>
      <x:c r="Y18" s="106"/>
      <x:c r="Z18" s="106"/>
      <x:c r="AA18" s="106"/>
      <x:c r="AB18" s="106"/>
      <x:c r="AC18" s="106"/>
      <x:c r="AD18" s="106"/>
      <x:c r="AE18" s="106"/>
      <x:c r="AF18" s="106"/>
      <x:c r="AG18" s="106"/>
      <x:c r="AH18" s="106"/>
      <x:c r="AI18" s="106"/>
      <x:c r="AJ18" s="106"/>
      <x:c r="AK18" s="106"/>
      <x:c r="AL18" s="106"/>
      <x:c r="AM18" s="106"/>
      <x:c r="AN18" s="106"/>
      <x:c r="AO18" s="106"/>
      <x:c r="AP18" s="106"/>
      <x:c r="AQ18" s="106"/>
      <x:c r="AR18" s="106"/>
      <x:c r="AS18" s="106"/>
      <x:c r="AT18" s="106"/>
      <x:c r="AU18" s="106"/>
      <x:c r="AV18" s="106"/>
      <x:c r="AW18" s="106"/>
      <x:c r="AX18" s="106"/>
      <x:c r="AY18" s="106"/>
      <x:c r="AZ18" s="106"/>
      <x:c r="BA18" s="106"/>
    </x:row>
    <x:row r="19">
      <x:c r="A19" s="144" t="n">
        <x:v>16</x:v>
      </x:c>
      <x:c r="B19" s="145"/>
      <x:c r="C19" s="145"/>
      <x:c r="D19" s="145"/>
      <x:c r="E19" s="145"/>
      <x:c r="F19" s="145"/>
      <x:c r="G19" s="145"/>
      <x:c r="H19" s="145"/>
      <x:c r="I19" s="146"/>
      <x:c r="J19" s="147" t="str">
        <x:f>IF(C19="","",IF(I19&lt;&gt;"",I19,IF(G19="",SETUP!$B$4,IFERROR(WORKDAY(INDEX($K$4:$K$53,MATCH(G19,$A$4:$A$53,0)),1,SETUP!$B$12:$B$21),SETUP!$B$4))))</x:f>
      </x:c>
      <x:c r="K19" s="147">
        <x:f>IF(OR(C19="",H19=""),"",WORKDAY(J19-1,H19,SETUP!$B$12:$B$21))</x:f>
      </x:c>
      <x:c r="L19" s="148"/>
      <x:c r="M19" s="144" t="str">
        <x:f>IF(C19="","",IF(E19="Complete","Complete",IF(K19&lt;SETUP!$B$7,"Overdue",IF(K19&lt;=SETUP!$B$7+7,"Due ≤7 days","On Track"))))</x:f>
      </x:c>
      <x:c r="N19" s="144" t="str">
        <x:f>IF(C19="","",IF(AND(G19&lt;&gt;"",COUNTIF($A$4:$A$53,G19)=0),"Invalid predecessor",IF(AND(E19&lt;&gt;"Complete",L19=1),"Status mismatch","OK")))</x:f>
      </x:c>
      <x:c r="O19" s="145"/>
      <x:c r="P19" s="106"/>
      <x:c r="Q19" s="106"/>
      <x:c r="R19" s="106"/>
      <x:c r="S19" s="106"/>
      <x:c r="T19" s="106"/>
      <x:c r="U19" s="106"/>
      <x:c r="V19" s="106"/>
      <x:c r="W19" s="106"/>
      <x:c r="X19" s="106"/>
      <x:c r="Y19" s="106"/>
      <x:c r="Z19" s="106"/>
      <x:c r="AA19" s="106"/>
      <x:c r="AB19" s="106"/>
      <x:c r="AC19" s="106"/>
      <x:c r="AD19" s="106"/>
      <x:c r="AE19" s="106"/>
      <x:c r="AF19" s="106"/>
      <x:c r="AG19" s="106"/>
      <x:c r="AH19" s="106"/>
      <x:c r="AI19" s="106"/>
      <x:c r="AJ19" s="106"/>
      <x:c r="AK19" s="106"/>
      <x:c r="AL19" s="106"/>
      <x:c r="AM19" s="106"/>
      <x:c r="AN19" s="106"/>
      <x:c r="AO19" s="106"/>
      <x:c r="AP19" s="106"/>
      <x:c r="AQ19" s="106"/>
      <x:c r="AR19" s="106"/>
      <x:c r="AS19" s="106"/>
      <x:c r="AT19" s="106"/>
      <x:c r="AU19" s="106"/>
      <x:c r="AV19" s="106"/>
      <x:c r="AW19" s="106"/>
      <x:c r="AX19" s="106"/>
      <x:c r="AY19" s="106"/>
      <x:c r="AZ19" s="106"/>
      <x:c r="BA19" s="106"/>
    </x:row>
    <x:row r="20">
      <x:c r="A20" s="144" t="n">
        <x:v>17</x:v>
      </x:c>
      <x:c r="B20" s="145"/>
      <x:c r="C20" s="145"/>
      <x:c r="D20" s="145"/>
      <x:c r="E20" s="145"/>
      <x:c r="F20" s="145"/>
      <x:c r="G20" s="145"/>
      <x:c r="H20" s="145"/>
      <x:c r="I20" s="146"/>
      <x:c r="J20" s="147" t="str">
        <x:f>IF(C20="","",IF(I20&lt;&gt;"",I20,IF(G20="",SETUP!$B$4,IFERROR(WORKDAY(INDEX($K$4:$K$53,MATCH(G20,$A$4:$A$53,0)),1,SETUP!$B$12:$B$21),SETUP!$B$4))))</x:f>
      </x:c>
      <x:c r="K20" s="147">
        <x:f>IF(OR(C20="",H20=""),"",WORKDAY(J20-1,H20,SETUP!$B$12:$B$21))</x:f>
      </x:c>
      <x:c r="L20" s="148"/>
      <x:c r="M20" s="144" t="str">
        <x:f>IF(C20="","",IF(E20="Complete","Complete",IF(K20&lt;SETUP!$B$7,"Overdue",IF(K20&lt;=SETUP!$B$7+7,"Due ≤7 days","On Track"))))</x:f>
      </x:c>
      <x:c r="N20" s="144" t="str">
        <x:f>IF(C20="","",IF(AND(G20&lt;&gt;"",COUNTIF($A$4:$A$53,G20)=0),"Invalid predecessor",IF(AND(E20&lt;&gt;"Complete",L20=1),"Status mismatch","OK")))</x:f>
      </x:c>
      <x:c r="O20" s="145"/>
      <x:c r="P20" s="106"/>
      <x:c r="Q20" s="106"/>
      <x:c r="R20" s="106"/>
      <x:c r="S20" s="106"/>
      <x:c r="T20" s="106"/>
      <x:c r="U20" s="106"/>
      <x:c r="V20" s="106"/>
      <x:c r="W20" s="106"/>
      <x:c r="X20" s="106"/>
      <x:c r="Y20" s="106"/>
      <x:c r="Z20" s="106"/>
      <x:c r="AA20" s="106"/>
      <x:c r="AB20" s="106"/>
      <x:c r="AC20" s="106"/>
      <x:c r="AD20" s="106"/>
      <x:c r="AE20" s="106"/>
      <x:c r="AF20" s="106"/>
      <x:c r="AG20" s="106"/>
      <x:c r="AH20" s="106"/>
      <x:c r="AI20" s="106"/>
      <x:c r="AJ20" s="106"/>
      <x:c r="AK20" s="106"/>
      <x:c r="AL20" s="106"/>
      <x:c r="AM20" s="106"/>
      <x:c r="AN20" s="106"/>
      <x:c r="AO20" s="106"/>
      <x:c r="AP20" s="106"/>
      <x:c r="AQ20" s="106"/>
      <x:c r="AR20" s="106"/>
      <x:c r="AS20" s="106"/>
      <x:c r="AT20" s="106"/>
      <x:c r="AU20" s="106"/>
      <x:c r="AV20" s="106"/>
      <x:c r="AW20" s="106"/>
      <x:c r="AX20" s="106"/>
      <x:c r="AY20" s="106"/>
      <x:c r="AZ20" s="106"/>
      <x:c r="BA20" s="106"/>
    </x:row>
    <x:row r="21">
      <x:c r="A21" s="144" t="n">
        <x:v>18</x:v>
      </x:c>
      <x:c r="B21" s="145"/>
      <x:c r="C21" s="145"/>
      <x:c r="D21" s="145"/>
      <x:c r="E21" s="145"/>
      <x:c r="F21" s="145"/>
      <x:c r="G21" s="145"/>
      <x:c r="H21" s="145"/>
      <x:c r="I21" s="146"/>
      <x:c r="J21" s="147" t="str">
        <x:f>IF(C21="","",IF(I21&lt;&gt;"",I21,IF(G21="",SETUP!$B$4,IFERROR(WORKDAY(INDEX($K$4:$K$53,MATCH(G21,$A$4:$A$53,0)),1,SETUP!$B$12:$B$21),SETUP!$B$4))))</x:f>
      </x:c>
      <x:c r="K21" s="147">
        <x:f>IF(OR(C21="",H21=""),"",WORKDAY(J21-1,H21,SETUP!$B$12:$B$21))</x:f>
      </x:c>
      <x:c r="L21" s="148"/>
      <x:c r="M21" s="144" t="str">
        <x:f>IF(C21="","",IF(E21="Complete","Complete",IF(K21&lt;SETUP!$B$7,"Overdue",IF(K21&lt;=SETUP!$B$7+7,"Due ≤7 days","On Track"))))</x:f>
      </x:c>
      <x:c r="N21" s="144" t="str">
        <x:f>IF(C21="","",IF(AND(G21&lt;&gt;"",COUNTIF($A$4:$A$53,G21)=0),"Invalid predecessor",IF(AND(E21&lt;&gt;"Complete",L21=1),"Status mismatch","OK")))</x:f>
      </x:c>
      <x:c r="O21" s="145"/>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c r="AO21" s="106"/>
      <x:c r="AP21" s="106"/>
      <x:c r="AQ21" s="106"/>
      <x:c r="AR21" s="106"/>
      <x:c r="AS21" s="106"/>
      <x:c r="AT21" s="106"/>
      <x:c r="AU21" s="106"/>
      <x:c r="AV21" s="106"/>
      <x:c r="AW21" s="106"/>
      <x:c r="AX21" s="106"/>
      <x:c r="AY21" s="106"/>
      <x:c r="AZ21" s="106"/>
      <x:c r="BA21" s="106"/>
    </x:row>
    <x:row r="22">
      <x:c r="A22" s="144" t="n">
        <x:v>19</x:v>
      </x:c>
      <x:c r="B22" s="145"/>
      <x:c r="C22" s="145"/>
      <x:c r="D22" s="145"/>
      <x:c r="E22" s="145"/>
      <x:c r="F22" s="145"/>
      <x:c r="G22" s="145"/>
      <x:c r="H22" s="145"/>
      <x:c r="I22" s="146"/>
      <x:c r="J22" s="147" t="str">
        <x:f>IF(C22="","",IF(I22&lt;&gt;"",I22,IF(G22="",SETUP!$B$4,IFERROR(WORKDAY(INDEX($K$4:$K$53,MATCH(G22,$A$4:$A$53,0)),1,SETUP!$B$12:$B$21),SETUP!$B$4))))</x:f>
      </x:c>
      <x:c r="K22" s="147">
        <x:f>IF(OR(C22="",H22=""),"",WORKDAY(J22-1,H22,SETUP!$B$12:$B$21))</x:f>
      </x:c>
      <x:c r="L22" s="148"/>
      <x:c r="M22" s="144" t="str">
        <x:f>IF(C22="","",IF(E22="Complete","Complete",IF(K22&lt;SETUP!$B$7,"Overdue",IF(K22&lt;=SETUP!$B$7+7,"Due ≤7 days","On Track"))))</x:f>
      </x:c>
      <x:c r="N22" s="144" t="str">
        <x:f>IF(C22="","",IF(AND(G22&lt;&gt;"",COUNTIF($A$4:$A$53,G22)=0),"Invalid predecessor",IF(AND(E22&lt;&gt;"Complete",L22=1),"Status mismatch","OK")))</x:f>
      </x:c>
      <x:c r="O22" s="145"/>
      <x:c r="P22" s="106"/>
      <x:c r="Q22" s="106"/>
      <x:c r="R22" s="106"/>
      <x:c r="S22" s="106"/>
      <x:c r="T22" s="106"/>
      <x:c r="U22" s="106"/>
      <x:c r="V22" s="106"/>
      <x:c r="W22" s="106"/>
      <x:c r="X22" s="106"/>
      <x:c r="Y22" s="106"/>
      <x:c r="Z22" s="106"/>
      <x:c r="AA22" s="106"/>
      <x:c r="AB22" s="106"/>
      <x:c r="AC22" s="106"/>
      <x:c r="AD22" s="106"/>
      <x:c r="AE22" s="106"/>
      <x:c r="AF22" s="106"/>
      <x:c r="AG22" s="106"/>
      <x:c r="AH22" s="106"/>
      <x:c r="AI22" s="106"/>
      <x:c r="AJ22" s="106"/>
      <x:c r="AK22" s="106"/>
      <x:c r="AL22" s="106"/>
      <x:c r="AM22" s="106"/>
      <x:c r="AN22" s="106"/>
      <x:c r="AO22" s="106"/>
      <x:c r="AP22" s="106"/>
      <x:c r="AQ22" s="106"/>
      <x:c r="AR22" s="106"/>
      <x:c r="AS22" s="106"/>
      <x:c r="AT22" s="106"/>
      <x:c r="AU22" s="106"/>
      <x:c r="AV22" s="106"/>
      <x:c r="AW22" s="106"/>
      <x:c r="AX22" s="106"/>
      <x:c r="AY22" s="106"/>
      <x:c r="AZ22" s="106"/>
      <x:c r="BA22" s="106"/>
    </x:row>
    <x:row r="23">
      <x:c r="A23" s="144" t="n">
        <x:v>20</x:v>
      </x:c>
      <x:c r="B23" s="145"/>
      <x:c r="C23" s="145"/>
      <x:c r="D23" s="145"/>
      <x:c r="E23" s="145"/>
      <x:c r="F23" s="145"/>
      <x:c r="G23" s="145"/>
      <x:c r="H23" s="145"/>
      <x:c r="I23" s="146"/>
      <x:c r="J23" s="147" t="str">
        <x:f>IF(C23="","",IF(I23&lt;&gt;"",I23,IF(G23="",SETUP!$B$4,IFERROR(WORKDAY(INDEX($K$4:$K$53,MATCH(G23,$A$4:$A$53,0)),1,SETUP!$B$12:$B$21),SETUP!$B$4))))</x:f>
      </x:c>
      <x:c r="K23" s="147">
        <x:f>IF(OR(C23="",H23=""),"",WORKDAY(J23-1,H23,SETUP!$B$12:$B$21))</x:f>
      </x:c>
      <x:c r="L23" s="148"/>
      <x:c r="M23" s="144" t="str">
        <x:f>IF(C23="","",IF(E23="Complete","Complete",IF(K23&lt;SETUP!$B$7,"Overdue",IF(K23&lt;=SETUP!$B$7+7,"Due ≤7 days","On Track"))))</x:f>
      </x:c>
      <x:c r="N23" s="144" t="str">
        <x:f>IF(C23="","",IF(AND(G23&lt;&gt;"",COUNTIF($A$4:$A$53,G23)=0),"Invalid predecessor",IF(AND(E23&lt;&gt;"Complete",L23=1),"Status mismatch","OK")))</x:f>
      </x:c>
      <x:c r="O23" s="145"/>
      <x:c r="P23" s="106"/>
      <x:c r="Q23" s="106"/>
      <x:c r="R23" s="106"/>
      <x:c r="S23" s="106"/>
      <x:c r="T23" s="106"/>
      <x:c r="U23" s="106"/>
      <x:c r="V23" s="106"/>
      <x:c r="W23" s="106"/>
      <x:c r="X23" s="106"/>
      <x:c r="Y23" s="106"/>
      <x:c r="Z23" s="106"/>
      <x:c r="AA23" s="106"/>
      <x:c r="AB23" s="106"/>
      <x:c r="AC23" s="106"/>
      <x:c r="AD23" s="106"/>
      <x:c r="AE23" s="106"/>
      <x:c r="AF23" s="106"/>
      <x:c r="AG23" s="106"/>
      <x:c r="AH23" s="106"/>
      <x:c r="AI23" s="106"/>
      <x:c r="AJ23" s="106"/>
      <x:c r="AK23" s="106"/>
      <x:c r="AL23" s="106"/>
      <x:c r="AM23" s="106"/>
      <x:c r="AN23" s="106"/>
      <x:c r="AO23" s="106"/>
      <x:c r="AP23" s="106"/>
      <x:c r="AQ23" s="106"/>
      <x:c r="AR23" s="106"/>
      <x:c r="AS23" s="106"/>
      <x:c r="AT23" s="106"/>
      <x:c r="AU23" s="106"/>
      <x:c r="AV23" s="106"/>
      <x:c r="AW23" s="106"/>
      <x:c r="AX23" s="106"/>
      <x:c r="AY23" s="106"/>
      <x:c r="AZ23" s="106"/>
      <x:c r="BA23" s="106"/>
    </x:row>
    <x:row r="24">
      <x:c r="A24" s="144" t="n">
        <x:v>21</x:v>
      </x:c>
      <x:c r="B24" s="145"/>
      <x:c r="C24" s="145"/>
      <x:c r="D24" s="145"/>
      <x:c r="E24" s="145"/>
      <x:c r="F24" s="145"/>
      <x:c r="G24" s="145"/>
      <x:c r="H24" s="145"/>
      <x:c r="I24" s="146"/>
      <x:c r="J24" s="147" t="str">
        <x:f>IF(C24="","",IF(I24&lt;&gt;"",I24,IF(G24="",SETUP!$B$4,IFERROR(WORKDAY(INDEX($K$4:$K$53,MATCH(G24,$A$4:$A$53,0)),1,SETUP!$B$12:$B$21),SETUP!$B$4))))</x:f>
      </x:c>
      <x:c r="K24" s="147">
        <x:f>IF(OR(C24="",H24=""),"",WORKDAY(J24-1,H24,SETUP!$B$12:$B$21))</x:f>
      </x:c>
      <x:c r="L24" s="148"/>
      <x:c r="M24" s="144" t="str">
        <x:f>IF(C24="","",IF(E24="Complete","Complete",IF(K24&lt;SETUP!$B$7,"Overdue",IF(K24&lt;=SETUP!$B$7+7,"Due ≤7 days","On Track"))))</x:f>
      </x:c>
      <x:c r="N24" s="144" t="str">
        <x:f>IF(C24="","",IF(AND(G24&lt;&gt;"",COUNTIF($A$4:$A$53,G24)=0),"Invalid predecessor",IF(AND(E24&lt;&gt;"Complete",L24=1),"Status mismatch","OK")))</x:f>
      </x:c>
      <x:c r="O24" s="145"/>
      <x:c r="P24" s="106"/>
      <x:c r="Q24" s="106"/>
      <x:c r="R24" s="106"/>
      <x:c r="S24" s="106"/>
      <x:c r="T24" s="106"/>
      <x:c r="U24" s="106"/>
      <x:c r="V24" s="106"/>
      <x:c r="W24" s="106"/>
      <x:c r="X24" s="106"/>
      <x:c r="Y24" s="106"/>
      <x:c r="Z24" s="106"/>
      <x:c r="AA24" s="106"/>
      <x:c r="AB24" s="106"/>
      <x:c r="AC24" s="106"/>
      <x:c r="AD24" s="106"/>
      <x:c r="AE24" s="106"/>
      <x:c r="AF24" s="106"/>
      <x:c r="AG24" s="106"/>
      <x:c r="AH24" s="106"/>
      <x:c r="AI24" s="106"/>
      <x:c r="AJ24" s="106"/>
      <x:c r="AK24" s="106"/>
      <x:c r="AL24" s="106"/>
      <x:c r="AM24" s="106"/>
      <x:c r="AN24" s="106"/>
      <x:c r="AO24" s="106"/>
      <x:c r="AP24" s="106"/>
      <x:c r="AQ24" s="106"/>
      <x:c r="AR24" s="106"/>
      <x:c r="AS24" s="106"/>
      <x:c r="AT24" s="106"/>
      <x:c r="AU24" s="106"/>
      <x:c r="AV24" s="106"/>
      <x:c r="AW24" s="106"/>
      <x:c r="AX24" s="106"/>
      <x:c r="AY24" s="106"/>
      <x:c r="AZ24" s="106"/>
      <x:c r="BA24" s="106"/>
    </x:row>
    <x:row r="25">
      <x:c r="A25" s="144" t="n">
        <x:v>22</x:v>
      </x:c>
      <x:c r="B25" s="145"/>
      <x:c r="C25" s="145"/>
      <x:c r="D25" s="145"/>
      <x:c r="E25" s="145"/>
      <x:c r="F25" s="145"/>
      <x:c r="G25" s="145"/>
      <x:c r="H25" s="145"/>
      <x:c r="I25" s="146"/>
      <x:c r="J25" s="147" t="str">
        <x:f>IF(C25="","",IF(I25&lt;&gt;"",I25,IF(G25="",SETUP!$B$4,IFERROR(WORKDAY(INDEX($K$4:$K$53,MATCH(G25,$A$4:$A$53,0)),1,SETUP!$B$12:$B$21),SETUP!$B$4))))</x:f>
      </x:c>
      <x:c r="K25" s="147">
        <x:f>IF(OR(C25="",H25=""),"",WORKDAY(J25-1,H25,SETUP!$B$12:$B$21))</x:f>
      </x:c>
      <x:c r="L25" s="148"/>
      <x:c r="M25" s="144" t="str">
        <x:f>IF(C25="","",IF(E25="Complete","Complete",IF(K25&lt;SETUP!$B$7,"Overdue",IF(K25&lt;=SETUP!$B$7+7,"Due ≤7 days","On Track"))))</x:f>
      </x:c>
      <x:c r="N25" s="144" t="str">
        <x:f>IF(C25="","",IF(AND(G25&lt;&gt;"",COUNTIF($A$4:$A$53,G25)=0),"Invalid predecessor",IF(AND(E25&lt;&gt;"Complete",L25=1),"Status mismatch","OK")))</x:f>
      </x:c>
      <x:c r="O25" s="145"/>
      <x:c r="P25" s="106"/>
      <x:c r="Q25" s="106"/>
      <x:c r="R25" s="106"/>
      <x:c r="S25" s="106"/>
      <x:c r="T25" s="106"/>
      <x:c r="U25" s="106"/>
      <x:c r="V25" s="106"/>
      <x:c r="W25" s="106"/>
      <x:c r="X25" s="106"/>
      <x:c r="Y25" s="106"/>
      <x:c r="Z25" s="106"/>
      <x:c r="AA25" s="106"/>
      <x:c r="AB25" s="106"/>
      <x:c r="AC25" s="106"/>
      <x:c r="AD25" s="106"/>
      <x:c r="AE25" s="106"/>
      <x:c r="AF25" s="106"/>
      <x:c r="AG25" s="106"/>
      <x:c r="AH25" s="106"/>
      <x:c r="AI25" s="106"/>
      <x:c r="AJ25" s="106"/>
      <x:c r="AK25" s="106"/>
      <x:c r="AL25" s="106"/>
      <x:c r="AM25" s="106"/>
      <x:c r="AN25" s="106"/>
      <x:c r="AO25" s="106"/>
      <x:c r="AP25" s="106"/>
      <x:c r="AQ25" s="106"/>
      <x:c r="AR25" s="106"/>
      <x:c r="AS25" s="106"/>
      <x:c r="AT25" s="106"/>
      <x:c r="AU25" s="106"/>
      <x:c r="AV25" s="106"/>
      <x:c r="AW25" s="106"/>
      <x:c r="AX25" s="106"/>
      <x:c r="AY25" s="106"/>
      <x:c r="AZ25" s="106"/>
      <x:c r="BA25" s="106"/>
    </x:row>
    <x:row r="26">
      <x:c r="A26" s="144" t="n">
        <x:v>23</x:v>
      </x:c>
      <x:c r="B26" s="145"/>
      <x:c r="C26" s="145"/>
      <x:c r="D26" s="145"/>
      <x:c r="E26" s="145"/>
      <x:c r="F26" s="145"/>
      <x:c r="G26" s="145"/>
      <x:c r="H26" s="145"/>
      <x:c r="I26" s="146"/>
      <x:c r="J26" s="147" t="str">
        <x:f>IF(C26="","",IF(I26&lt;&gt;"",I26,IF(G26="",SETUP!$B$4,IFERROR(WORKDAY(INDEX($K$4:$K$53,MATCH(G26,$A$4:$A$53,0)),1,SETUP!$B$12:$B$21),SETUP!$B$4))))</x:f>
      </x:c>
      <x:c r="K26" s="147">
        <x:f>IF(OR(C26="",H26=""),"",WORKDAY(J26-1,H26,SETUP!$B$12:$B$21))</x:f>
      </x:c>
      <x:c r="L26" s="148"/>
      <x:c r="M26" s="144" t="str">
        <x:f>IF(C26="","",IF(E26="Complete","Complete",IF(K26&lt;SETUP!$B$7,"Overdue",IF(K26&lt;=SETUP!$B$7+7,"Due ≤7 days","On Track"))))</x:f>
      </x:c>
      <x:c r="N26" s="144" t="str">
        <x:f>IF(C26="","",IF(AND(G26&lt;&gt;"",COUNTIF($A$4:$A$53,G26)=0),"Invalid predecessor",IF(AND(E26&lt;&gt;"Complete",L26=1),"Status mismatch","OK")))</x:f>
      </x:c>
      <x:c r="O26" s="145"/>
      <x:c r="P26" s="106"/>
      <x:c r="Q26" s="106"/>
      <x:c r="R26" s="106"/>
      <x:c r="S26" s="106"/>
      <x:c r="T26" s="106"/>
      <x:c r="U26" s="106"/>
      <x:c r="V26" s="106"/>
      <x:c r="W26" s="106"/>
      <x:c r="X26" s="106"/>
      <x:c r="Y26" s="106"/>
      <x:c r="Z26" s="106"/>
      <x:c r="AA26" s="106"/>
      <x:c r="AB26" s="106"/>
      <x:c r="AC26" s="106"/>
      <x:c r="AD26" s="106"/>
      <x:c r="AE26" s="106"/>
      <x:c r="AF26" s="106"/>
      <x:c r="AG26" s="106"/>
      <x:c r="AH26" s="106"/>
      <x:c r="AI26" s="106"/>
      <x:c r="AJ26" s="106"/>
      <x:c r="AK26" s="106"/>
      <x:c r="AL26" s="106"/>
      <x:c r="AM26" s="106"/>
      <x:c r="AN26" s="106"/>
      <x:c r="AO26" s="106"/>
      <x:c r="AP26" s="106"/>
      <x:c r="AQ26" s="106"/>
      <x:c r="AR26" s="106"/>
      <x:c r="AS26" s="106"/>
      <x:c r="AT26" s="106"/>
      <x:c r="AU26" s="106"/>
      <x:c r="AV26" s="106"/>
      <x:c r="AW26" s="106"/>
      <x:c r="AX26" s="106"/>
      <x:c r="AY26" s="106"/>
      <x:c r="AZ26" s="106"/>
      <x:c r="BA26" s="106"/>
    </x:row>
    <x:row r="27">
      <x:c r="A27" s="144" t="n">
        <x:v>24</x:v>
      </x:c>
      <x:c r="B27" s="145"/>
      <x:c r="C27" s="145"/>
      <x:c r="D27" s="145"/>
      <x:c r="E27" s="145"/>
      <x:c r="F27" s="145"/>
      <x:c r="G27" s="145"/>
      <x:c r="H27" s="145"/>
      <x:c r="I27" s="146"/>
      <x:c r="J27" s="147" t="str">
        <x:f>IF(C27="","",IF(I27&lt;&gt;"",I27,IF(G27="",SETUP!$B$4,IFERROR(WORKDAY(INDEX($K$4:$K$53,MATCH(G27,$A$4:$A$53,0)),1,SETUP!$B$12:$B$21),SETUP!$B$4))))</x:f>
      </x:c>
      <x:c r="K27" s="147">
        <x:f>IF(OR(C27="",H27=""),"",WORKDAY(J27-1,H27,SETUP!$B$12:$B$21))</x:f>
      </x:c>
      <x:c r="L27" s="148"/>
      <x:c r="M27" s="144" t="str">
        <x:f>IF(C27="","",IF(E27="Complete","Complete",IF(K27&lt;SETUP!$B$7,"Overdue",IF(K27&lt;=SETUP!$B$7+7,"Due ≤7 days","On Track"))))</x:f>
      </x:c>
      <x:c r="N27" s="144" t="str">
        <x:f>IF(C27="","",IF(AND(G27&lt;&gt;"",COUNTIF($A$4:$A$53,G27)=0),"Invalid predecessor",IF(AND(E27&lt;&gt;"Complete",L27=1),"Status mismatch","OK")))</x:f>
      </x:c>
      <x:c r="O27" s="145"/>
      <x:c r="P27" s="106"/>
      <x:c r="Q27" s="106"/>
      <x:c r="R27" s="106"/>
      <x:c r="S27" s="106"/>
      <x:c r="T27" s="106"/>
      <x:c r="U27" s="106"/>
      <x:c r="V27" s="106"/>
      <x:c r="W27" s="106"/>
      <x:c r="X27" s="106"/>
      <x:c r="Y27" s="106"/>
      <x:c r="Z27" s="106"/>
      <x:c r="AA27" s="106"/>
      <x:c r="AB27" s="106"/>
      <x:c r="AC27" s="106"/>
      <x:c r="AD27" s="106"/>
      <x:c r="AE27" s="106"/>
      <x:c r="AF27" s="106"/>
      <x:c r="AG27" s="106"/>
      <x:c r="AH27" s="106"/>
      <x:c r="AI27" s="106"/>
      <x:c r="AJ27" s="106"/>
      <x:c r="AK27" s="106"/>
      <x:c r="AL27" s="106"/>
      <x:c r="AM27" s="106"/>
      <x:c r="AN27" s="106"/>
      <x:c r="AO27" s="106"/>
      <x:c r="AP27" s="106"/>
      <x:c r="AQ27" s="106"/>
      <x:c r="AR27" s="106"/>
      <x:c r="AS27" s="106"/>
      <x:c r="AT27" s="106"/>
      <x:c r="AU27" s="106"/>
      <x:c r="AV27" s="106"/>
      <x:c r="AW27" s="106"/>
      <x:c r="AX27" s="106"/>
      <x:c r="AY27" s="106"/>
      <x:c r="AZ27" s="106"/>
      <x:c r="BA27" s="106"/>
    </x:row>
    <x:row r="28">
      <x:c r="A28" s="144" t="n">
        <x:v>25</x:v>
      </x:c>
      <x:c r="B28" s="145"/>
      <x:c r="C28" s="145"/>
      <x:c r="D28" s="145"/>
      <x:c r="E28" s="145"/>
      <x:c r="F28" s="145"/>
      <x:c r="G28" s="145"/>
      <x:c r="H28" s="145"/>
      <x:c r="I28" s="146"/>
      <x:c r="J28" s="147" t="str">
        <x:f>IF(C28="","",IF(I28&lt;&gt;"",I28,IF(G28="",SETUP!$B$4,IFERROR(WORKDAY(INDEX($K$4:$K$53,MATCH(G28,$A$4:$A$53,0)),1,SETUP!$B$12:$B$21),SETUP!$B$4))))</x:f>
      </x:c>
      <x:c r="K28" s="147">
        <x:f>IF(OR(C28="",H28=""),"",WORKDAY(J28-1,H28,SETUP!$B$12:$B$21))</x:f>
      </x:c>
      <x:c r="L28" s="148"/>
      <x:c r="M28" s="144" t="str">
        <x:f>IF(C28="","",IF(E28="Complete","Complete",IF(K28&lt;SETUP!$B$7,"Overdue",IF(K28&lt;=SETUP!$B$7+7,"Due ≤7 days","On Track"))))</x:f>
      </x:c>
      <x:c r="N28" s="144" t="str">
        <x:f>IF(C28="","",IF(AND(G28&lt;&gt;"",COUNTIF($A$4:$A$53,G28)=0),"Invalid predecessor",IF(AND(E28&lt;&gt;"Complete",L28=1),"Status mismatch","OK")))</x:f>
      </x:c>
      <x:c r="O28" s="145"/>
      <x:c r="P28" s="106"/>
      <x:c r="Q28" s="106"/>
      <x:c r="R28" s="106"/>
      <x:c r="S28" s="106"/>
      <x:c r="T28" s="106"/>
      <x:c r="U28" s="106"/>
      <x:c r="V28" s="106"/>
      <x:c r="W28" s="106"/>
      <x:c r="X28" s="106"/>
      <x:c r="Y28" s="106"/>
      <x:c r="Z28" s="106"/>
      <x:c r="AA28" s="106"/>
      <x:c r="AB28" s="106"/>
      <x:c r="AC28" s="106"/>
      <x:c r="AD28" s="106"/>
      <x:c r="AE28" s="106"/>
      <x:c r="AF28" s="106"/>
      <x:c r="AG28" s="106"/>
      <x:c r="AH28" s="106"/>
      <x:c r="AI28" s="106"/>
      <x:c r="AJ28" s="106"/>
      <x:c r="AK28" s="106"/>
      <x:c r="AL28" s="106"/>
      <x:c r="AM28" s="106"/>
      <x:c r="AN28" s="106"/>
      <x:c r="AO28" s="106"/>
      <x:c r="AP28" s="106"/>
      <x:c r="AQ28" s="106"/>
      <x:c r="AR28" s="106"/>
      <x:c r="AS28" s="106"/>
      <x:c r="AT28" s="106"/>
      <x:c r="AU28" s="106"/>
      <x:c r="AV28" s="106"/>
      <x:c r="AW28" s="106"/>
      <x:c r="AX28" s="106"/>
      <x:c r="AY28" s="106"/>
      <x:c r="AZ28" s="106"/>
      <x:c r="BA28" s="106"/>
    </x:row>
    <x:row r="29">
      <x:c r="A29" s="144" t="n">
        <x:v>26</x:v>
      </x:c>
      <x:c r="B29" s="145"/>
      <x:c r="C29" s="145"/>
      <x:c r="D29" s="145"/>
      <x:c r="E29" s="145"/>
      <x:c r="F29" s="145"/>
      <x:c r="G29" s="145"/>
      <x:c r="H29" s="145"/>
      <x:c r="I29" s="146"/>
      <x:c r="J29" s="147" t="str">
        <x:f>IF(C29="","",IF(I29&lt;&gt;"",I29,IF(G29="",SETUP!$B$4,IFERROR(WORKDAY(INDEX($K$4:$K$53,MATCH(G29,$A$4:$A$53,0)),1,SETUP!$B$12:$B$21),SETUP!$B$4))))</x:f>
      </x:c>
      <x:c r="K29" s="147">
        <x:f>IF(OR(C29="",H29=""),"",WORKDAY(J29-1,H29,SETUP!$B$12:$B$21))</x:f>
      </x:c>
      <x:c r="L29" s="148"/>
      <x:c r="M29" s="144" t="str">
        <x:f>IF(C29="","",IF(E29="Complete","Complete",IF(K29&lt;SETUP!$B$7,"Overdue",IF(K29&lt;=SETUP!$B$7+7,"Due ≤7 days","On Track"))))</x:f>
      </x:c>
      <x:c r="N29" s="144" t="str">
        <x:f>IF(C29="","",IF(AND(G29&lt;&gt;"",COUNTIF($A$4:$A$53,G29)=0),"Invalid predecessor",IF(AND(E29&lt;&gt;"Complete",L29=1),"Status mismatch","OK")))</x:f>
      </x:c>
      <x:c r="O29" s="145"/>
      <x:c r="P29" s="106"/>
      <x:c r="Q29" s="106"/>
      <x:c r="R29" s="106"/>
      <x:c r="S29" s="106"/>
      <x:c r="T29" s="106"/>
      <x:c r="U29" s="106"/>
      <x:c r="V29" s="106"/>
      <x:c r="W29" s="106"/>
      <x:c r="X29" s="106"/>
      <x:c r="Y29" s="106"/>
      <x:c r="Z29" s="106"/>
      <x:c r="AA29" s="106"/>
      <x:c r="AB29" s="106"/>
      <x:c r="AC29" s="106"/>
      <x:c r="AD29" s="106"/>
      <x:c r="AE29" s="106"/>
      <x:c r="AF29" s="106"/>
      <x:c r="AG29" s="106"/>
      <x:c r="AH29" s="106"/>
      <x:c r="AI29" s="106"/>
      <x:c r="AJ29" s="106"/>
      <x:c r="AK29" s="106"/>
      <x:c r="AL29" s="106"/>
      <x:c r="AM29" s="106"/>
      <x:c r="AN29" s="106"/>
      <x:c r="AO29" s="106"/>
      <x:c r="AP29" s="106"/>
      <x:c r="AQ29" s="106"/>
      <x:c r="AR29" s="106"/>
      <x:c r="AS29" s="106"/>
      <x:c r="AT29" s="106"/>
      <x:c r="AU29" s="106"/>
      <x:c r="AV29" s="106"/>
      <x:c r="AW29" s="106"/>
      <x:c r="AX29" s="106"/>
      <x:c r="AY29" s="106"/>
      <x:c r="AZ29" s="106"/>
      <x:c r="BA29" s="106"/>
    </x:row>
    <x:row r="30">
      <x:c r="A30" s="144" t="n">
        <x:v>27</x:v>
      </x:c>
      <x:c r="B30" s="145"/>
      <x:c r="C30" s="145"/>
      <x:c r="D30" s="145"/>
      <x:c r="E30" s="145"/>
      <x:c r="F30" s="145"/>
      <x:c r="G30" s="145"/>
      <x:c r="H30" s="145"/>
      <x:c r="I30" s="146"/>
      <x:c r="J30" s="147" t="str">
        <x:f>IF(C30="","",IF(I30&lt;&gt;"",I30,IF(G30="",SETUP!$B$4,IFERROR(WORKDAY(INDEX($K$4:$K$53,MATCH(G30,$A$4:$A$53,0)),1,SETUP!$B$12:$B$21),SETUP!$B$4))))</x:f>
      </x:c>
      <x:c r="K30" s="147">
        <x:f>IF(OR(C30="",H30=""),"",WORKDAY(J30-1,H30,SETUP!$B$12:$B$21))</x:f>
      </x:c>
      <x:c r="L30" s="148"/>
      <x:c r="M30" s="144" t="str">
        <x:f>IF(C30="","",IF(E30="Complete","Complete",IF(K30&lt;SETUP!$B$7,"Overdue",IF(K30&lt;=SETUP!$B$7+7,"Due ≤7 days","On Track"))))</x:f>
      </x:c>
      <x:c r="N30" s="144" t="str">
        <x:f>IF(C30="","",IF(AND(G30&lt;&gt;"",COUNTIF($A$4:$A$53,G30)=0),"Invalid predecessor",IF(AND(E30&lt;&gt;"Complete",L30=1),"Status mismatch","OK")))</x:f>
      </x:c>
      <x:c r="O30" s="145"/>
      <x:c r="P30" s="106"/>
      <x:c r="Q30" s="106"/>
      <x:c r="R30" s="106"/>
      <x:c r="S30" s="106"/>
      <x:c r="T30" s="106"/>
      <x:c r="U30" s="106"/>
      <x:c r="V30" s="106"/>
      <x:c r="W30" s="106"/>
      <x:c r="X30" s="106"/>
      <x:c r="Y30" s="106"/>
      <x:c r="Z30" s="106"/>
      <x:c r="AA30" s="106"/>
      <x:c r="AB30" s="106"/>
      <x:c r="AC30" s="106"/>
      <x:c r="AD30" s="106"/>
      <x:c r="AE30" s="106"/>
      <x:c r="AF30" s="106"/>
      <x:c r="AG30" s="106"/>
      <x:c r="AH30" s="106"/>
      <x:c r="AI30" s="106"/>
      <x:c r="AJ30" s="106"/>
      <x:c r="AK30" s="106"/>
      <x:c r="AL30" s="106"/>
      <x:c r="AM30" s="106"/>
      <x:c r="AN30" s="106"/>
      <x:c r="AO30" s="106"/>
      <x:c r="AP30" s="106"/>
      <x:c r="AQ30" s="106"/>
      <x:c r="AR30" s="106"/>
      <x:c r="AS30" s="106"/>
      <x:c r="AT30" s="106"/>
      <x:c r="AU30" s="106"/>
      <x:c r="AV30" s="106"/>
      <x:c r="AW30" s="106"/>
      <x:c r="AX30" s="106"/>
      <x:c r="AY30" s="106"/>
      <x:c r="AZ30" s="106"/>
      <x:c r="BA30" s="106"/>
    </x:row>
    <x:row r="31">
      <x:c r="A31" s="144" t="n">
        <x:v>28</x:v>
      </x:c>
      <x:c r="B31" s="145"/>
      <x:c r="C31" s="145"/>
      <x:c r="D31" s="145"/>
      <x:c r="E31" s="145"/>
      <x:c r="F31" s="145"/>
      <x:c r="G31" s="145"/>
      <x:c r="H31" s="145"/>
      <x:c r="I31" s="146"/>
      <x:c r="J31" s="147" t="str">
        <x:f>IF(C31="","",IF(I31&lt;&gt;"",I31,IF(G31="",SETUP!$B$4,IFERROR(WORKDAY(INDEX($K$4:$K$53,MATCH(G31,$A$4:$A$53,0)),1,SETUP!$B$12:$B$21),SETUP!$B$4))))</x:f>
      </x:c>
      <x:c r="K31" s="147">
        <x:f>IF(OR(C31="",H31=""),"",WORKDAY(J31-1,H31,SETUP!$B$12:$B$21))</x:f>
      </x:c>
      <x:c r="L31" s="148"/>
      <x:c r="M31" s="144" t="str">
        <x:f>IF(C31="","",IF(E31="Complete","Complete",IF(K31&lt;SETUP!$B$7,"Overdue",IF(K31&lt;=SETUP!$B$7+7,"Due ≤7 days","On Track"))))</x:f>
      </x:c>
      <x:c r="N31" s="144" t="str">
        <x:f>IF(C31="","",IF(AND(G31&lt;&gt;"",COUNTIF($A$4:$A$53,G31)=0),"Invalid predecessor",IF(AND(E31&lt;&gt;"Complete",L31=1),"Status mismatch","OK")))</x:f>
      </x:c>
      <x:c r="O31" s="145"/>
      <x:c r="P31" s="106"/>
      <x:c r="Q31" s="106"/>
      <x:c r="R31" s="106"/>
      <x:c r="S31" s="106"/>
      <x:c r="T31" s="106"/>
      <x:c r="U31" s="106"/>
      <x:c r="V31" s="106"/>
      <x:c r="W31" s="106"/>
      <x:c r="X31" s="106"/>
      <x:c r="Y31" s="106"/>
      <x:c r="Z31" s="106"/>
      <x:c r="AA31" s="106"/>
      <x:c r="AB31" s="106"/>
      <x:c r="AC31" s="106"/>
      <x:c r="AD31" s="106"/>
      <x:c r="AE31" s="106"/>
      <x:c r="AF31" s="106"/>
      <x:c r="AG31" s="106"/>
      <x:c r="AH31" s="106"/>
      <x:c r="AI31" s="106"/>
      <x:c r="AJ31" s="106"/>
      <x:c r="AK31" s="106"/>
      <x:c r="AL31" s="106"/>
      <x:c r="AM31" s="106"/>
      <x:c r="AN31" s="106"/>
      <x:c r="AO31" s="106"/>
      <x:c r="AP31" s="106"/>
      <x:c r="AQ31" s="106"/>
      <x:c r="AR31" s="106"/>
      <x:c r="AS31" s="106"/>
      <x:c r="AT31" s="106"/>
      <x:c r="AU31" s="106"/>
      <x:c r="AV31" s="106"/>
      <x:c r="AW31" s="106"/>
      <x:c r="AX31" s="106"/>
      <x:c r="AY31" s="106"/>
      <x:c r="AZ31" s="106"/>
      <x:c r="BA31" s="106"/>
    </x:row>
    <x:row r="32">
      <x:c r="A32" s="144" t="n">
        <x:v>29</x:v>
      </x:c>
      <x:c r="B32" s="145"/>
      <x:c r="C32" s="145"/>
      <x:c r="D32" s="145"/>
      <x:c r="E32" s="145"/>
      <x:c r="F32" s="145"/>
      <x:c r="G32" s="145"/>
      <x:c r="H32" s="145"/>
      <x:c r="I32" s="146"/>
      <x:c r="J32" s="147" t="str">
        <x:f>IF(C32="","",IF(I32&lt;&gt;"",I32,IF(G32="",SETUP!$B$4,IFERROR(WORKDAY(INDEX($K$4:$K$53,MATCH(G32,$A$4:$A$53,0)),1,SETUP!$B$12:$B$21),SETUP!$B$4))))</x:f>
      </x:c>
      <x:c r="K32" s="147">
        <x:f>IF(OR(C32="",H32=""),"",WORKDAY(J32-1,H32,SETUP!$B$12:$B$21))</x:f>
      </x:c>
      <x:c r="L32" s="148"/>
      <x:c r="M32" s="144" t="str">
        <x:f>IF(C32="","",IF(E32="Complete","Complete",IF(K32&lt;SETUP!$B$7,"Overdue",IF(K32&lt;=SETUP!$B$7+7,"Due ≤7 days","On Track"))))</x:f>
      </x:c>
      <x:c r="N32" s="144" t="str">
        <x:f>IF(C32="","",IF(AND(G32&lt;&gt;"",COUNTIF($A$4:$A$53,G32)=0),"Invalid predecessor",IF(AND(E32&lt;&gt;"Complete",L32=1),"Status mismatch","OK")))</x:f>
      </x:c>
      <x:c r="O32" s="145"/>
      <x:c r="P32" s="106"/>
      <x:c r="Q32" s="106"/>
      <x:c r="R32" s="106"/>
      <x:c r="S32" s="106"/>
      <x:c r="T32" s="106"/>
      <x:c r="U32" s="106"/>
      <x:c r="V32" s="106"/>
      <x:c r="W32" s="106"/>
      <x:c r="X32" s="106"/>
      <x:c r="Y32" s="106"/>
      <x:c r="Z32" s="106"/>
      <x:c r="AA32" s="106"/>
      <x:c r="AB32" s="106"/>
      <x:c r="AC32" s="106"/>
      <x:c r="AD32" s="106"/>
      <x:c r="AE32" s="106"/>
      <x:c r="AF32" s="106"/>
      <x:c r="AG32" s="106"/>
      <x:c r="AH32" s="106"/>
      <x:c r="AI32" s="106"/>
      <x:c r="AJ32" s="106"/>
      <x:c r="AK32" s="106"/>
      <x:c r="AL32" s="106"/>
      <x:c r="AM32" s="106"/>
      <x:c r="AN32" s="106"/>
      <x:c r="AO32" s="106"/>
      <x:c r="AP32" s="106"/>
      <x:c r="AQ32" s="106"/>
      <x:c r="AR32" s="106"/>
      <x:c r="AS32" s="106"/>
      <x:c r="AT32" s="106"/>
      <x:c r="AU32" s="106"/>
      <x:c r="AV32" s="106"/>
      <x:c r="AW32" s="106"/>
      <x:c r="AX32" s="106"/>
      <x:c r="AY32" s="106"/>
      <x:c r="AZ32" s="106"/>
      <x:c r="BA32" s="106"/>
    </x:row>
    <x:row r="33">
      <x:c r="A33" s="144" t="n">
        <x:v>30</x:v>
      </x:c>
      <x:c r="B33" s="145"/>
      <x:c r="C33" s="145"/>
      <x:c r="D33" s="145"/>
      <x:c r="E33" s="145"/>
      <x:c r="F33" s="145"/>
      <x:c r="G33" s="145"/>
      <x:c r="H33" s="145"/>
      <x:c r="I33" s="146"/>
      <x:c r="J33" s="147" t="str">
        <x:f>IF(C33="","",IF(I33&lt;&gt;"",I33,IF(G33="",SETUP!$B$4,IFERROR(WORKDAY(INDEX($K$4:$K$53,MATCH(G33,$A$4:$A$53,0)),1,SETUP!$B$12:$B$21),SETUP!$B$4))))</x:f>
      </x:c>
      <x:c r="K33" s="147">
        <x:f>IF(OR(C33="",H33=""),"",WORKDAY(J33-1,H33,SETUP!$B$12:$B$21))</x:f>
      </x:c>
      <x:c r="L33" s="148"/>
      <x:c r="M33" s="144" t="str">
        <x:f>IF(C33="","",IF(E33="Complete","Complete",IF(K33&lt;SETUP!$B$7,"Overdue",IF(K33&lt;=SETUP!$B$7+7,"Due ≤7 days","On Track"))))</x:f>
      </x:c>
      <x:c r="N33" s="144" t="str">
        <x:f>IF(C33="","",IF(AND(G33&lt;&gt;"",COUNTIF($A$4:$A$53,G33)=0),"Invalid predecessor",IF(AND(E33&lt;&gt;"Complete",L33=1),"Status mismatch","OK")))</x:f>
      </x:c>
      <x:c r="O33" s="145"/>
      <x:c r="P33" s="106"/>
      <x:c r="Q33" s="106"/>
      <x:c r="R33" s="106"/>
      <x:c r="S33" s="106"/>
      <x:c r="T33" s="106"/>
      <x:c r="U33" s="106"/>
      <x:c r="V33" s="106"/>
      <x:c r="W33" s="106"/>
      <x:c r="X33" s="106"/>
      <x:c r="Y33" s="106"/>
      <x:c r="Z33" s="106"/>
      <x:c r="AA33" s="106"/>
      <x:c r="AB33" s="106"/>
      <x:c r="AC33" s="106"/>
      <x:c r="AD33" s="106"/>
      <x:c r="AE33" s="106"/>
      <x:c r="AF33" s="106"/>
      <x:c r="AG33" s="106"/>
      <x:c r="AH33" s="106"/>
      <x:c r="AI33" s="106"/>
      <x:c r="AJ33" s="106"/>
      <x:c r="AK33" s="106"/>
      <x:c r="AL33" s="106"/>
      <x:c r="AM33" s="106"/>
      <x:c r="AN33" s="106"/>
      <x:c r="AO33" s="106"/>
      <x:c r="AP33" s="106"/>
      <x:c r="AQ33" s="106"/>
      <x:c r="AR33" s="106"/>
      <x:c r="AS33" s="106"/>
      <x:c r="AT33" s="106"/>
      <x:c r="AU33" s="106"/>
      <x:c r="AV33" s="106"/>
      <x:c r="AW33" s="106"/>
      <x:c r="AX33" s="106"/>
      <x:c r="AY33" s="106"/>
      <x:c r="AZ33" s="106"/>
      <x:c r="BA33" s="106"/>
    </x:row>
    <x:row r="34">
      <x:c r="A34" s="144" t="n">
        <x:v>31</x:v>
      </x:c>
      <x:c r="B34" s="145"/>
      <x:c r="C34" s="145"/>
      <x:c r="D34" s="145"/>
      <x:c r="E34" s="145"/>
      <x:c r="F34" s="145"/>
      <x:c r="G34" s="145"/>
      <x:c r="H34" s="145"/>
      <x:c r="I34" s="146"/>
      <x:c r="J34" s="147" t="str">
        <x:f>IF(C34="","",IF(I34&lt;&gt;"",I34,IF(G34="",SETUP!$B$4,IFERROR(WORKDAY(INDEX($K$4:$K$53,MATCH(G34,$A$4:$A$53,0)),1,SETUP!$B$12:$B$21),SETUP!$B$4))))</x:f>
      </x:c>
      <x:c r="K34" s="147">
        <x:f>IF(OR(C34="",H34=""),"",WORKDAY(J34-1,H34,SETUP!$B$12:$B$21))</x:f>
      </x:c>
      <x:c r="L34" s="148"/>
      <x:c r="M34" s="144" t="str">
        <x:f>IF(C34="","",IF(E34="Complete","Complete",IF(K34&lt;SETUP!$B$7,"Overdue",IF(K34&lt;=SETUP!$B$7+7,"Due ≤7 days","On Track"))))</x:f>
      </x:c>
      <x:c r="N34" s="144" t="str">
        <x:f>IF(C34="","",IF(AND(G34&lt;&gt;"",COUNTIF($A$4:$A$53,G34)=0),"Invalid predecessor",IF(AND(E34&lt;&gt;"Complete",L34=1),"Status mismatch","OK")))</x:f>
      </x:c>
      <x:c r="O34" s="145"/>
      <x:c r="P34" s="106"/>
      <x:c r="Q34" s="106"/>
      <x:c r="R34" s="106"/>
      <x:c r="S34" s="106"/>
      <x:c r="T34" s="106"/>
      <x:c r="U34" s="106"/>
      <x:c r="V34" s="106"/>
      <x:c r="W34" s="106"/>
      <x:c r="X34" s="106"/>
      <x:c r="Y34" s="106"/>
      <x:c r="Z34" s="106"/>
      <x:c r="AA34" s="106"/>
      <x:c r="AB34" s="106"/>
      <x:c r="AC34" s="106"/>
      <x:c r="AD34" s="106"/>
      <x:c r="AE34" s="106"/>
      <x:c r="AF34" s="106"/>
      <x:c r="AG34" s="106"/>
      <x:c r="AH34" s="106"/>
      <x:c r="AI34" s="106"/>
      <x:c r="AJ34" s="106"/>
      <x:c r="AK34" s="106"/>
      <x:c r="AL34" s="106"/>
      <x:c r="AM34" s="106"/>
      <x:c r="AN34" s="106"/>
      <x:c r="AO34" s="106"/>
      <x:c r="AP34" s="106"/>
      <x:c r="AQ34" s="106"/>
      <x:c r="AR34" s="106"/>
      <x:c r="AS34" s="106"/>
      <x:c r="AT34" s="106"/>
      <x:c r="AU34" s="106"/>
      <x:c r="AV34" s="106"/>
      <x:c r="AW34" s="106"/>
      <x:c r="AX34" s="106"/>
      <x:c r="AY34" s="106"/>
      <x:c r="AZ34" s="106"/>
      <x:c r="BA34" s="106"/>
    </x:row>
    <x:row r="35">
      <x:c r="A35" s="144" t="n">
        <x:v>32</x:v>
      </x:c>
      <x:c r="B35" s="145"/>
      <x:c r="C35" s="145"/>
      <x:c r="D35" s="145"/>
      <x:c r="E35" s="145"/>
      <x:c r="F35" s="145"/>
      <x:c r="G35" s="145"/>
      <x:c r="H35" s="145"/>
      <x:c r="I35" s="146"/>
      <x:c r="J35" s="147" t="str">
        <x:f>IF(C35="","",IF(I35&lt;&gt;"",I35,IF(G35="",SETUP!$B$4,IFERROR(WORKDAY(INDEX($K$4:$K$53,MATCH(G35,$A$4:$A$53,0)),1,SETUP!$B$12:$B$21),SETUP!$B$4))))</x:f>
      </x:c>
      <x:c r="K35" s="147">
        <x:f>IF(OR(C35="",H35=""),"",WORKDAY(J35-1,H35,SETUP!$B$12:$B$21))</x:f>
      </x:c>
      <x:c r="L35" s="148"/>
      <x:c r="M35" s="144" t="str">
        <x:f>IF(C35="","",IF(E35="Complete","Complete",IF(K35&lt;SETUP!$B$7,"Overdue",IF(K35&lt;=SETUP!$B$7+7,"Due ≤7 days","On Track"))))</x:f>
      </x:c>
      <x:c r="N35" s="144" t="str">
        <x:f>IF(C35="","",IF(AND(G35&lt;&gt;"",COUNTIF($A$4:$A$53,G35)=0),"Invalid predecessor",IF(AND(E35&lt;&gt;"Complete",L35=1),"Status mismatch","OK")))</x:f>
      </x:c>
      <x:c r="O35" s="145"/>
      <x:c r="P35" s="106"/>
      <x:c r="Q35" s="106"/>
      <x:c r="R35" s="106"/>
      <x:c r="S35" s="106"/>
      <x:c r="T35" s="106"/>
      <x:c r="U35" s="106"/>
      <x:c r="V35" s="106"/>
      <x:c r="W35" s="106"/>
      <x:c r="X35" s="106"/>
      <x:c r="Y35" s="106"/>
      <x:c r="Z35" s="106"/>
      <x:c r="AA35" s="106"/>
      <x:c r="AB35" s="106"/>
      <x:c r="AC35" s="106"/>
      <x:c r="AD35" s="106"/>
      <x:c r="AE35" s="106"/>
      <x:c r="AF35" s="106"/>
      <x:c r="AG35" s="106"/>
      <x:c r="AH35" s="106"/>
      <x:c r="AI35" s="106"/>
      <x:c r="AJ35" s="106"/>
      <x:c r="AK35" s="106"/>
      <x:c r="AL35" s="106"/>
      <x:c r="AM35" s="106"/>
      <x:c r="AN35" s="106"/>
      <x:c r="AO35" s="106"/>
      <x:c r="AP35" s="106"/>
      <x:c r="AQ35" s="106"/>
      <x:c r="AR35" s="106"/>
      <x:c r="AS35" s="106"/>
      <x:c r="AT35" s="106"/>
      <x:c r="AU35" s="106"/>
      <x:c r="AV35" s="106"/>
      <x:c r="AW35" s="106"/>
      <x:c r="AX35" s="106"/>
      <x:c r="AY35" s="106"/>
      <x:c r="AZ35" s="106"/>
      <x:c r="BA35" s="106"/>
    </x:row>
    <x:row r="36">
      <x:c r="A36" s="144" t="n">
        <x:v>33</x:v>
      </x:c>
      <x:c r="B36" s="145"/>
      <x:c r="C36" s="145"/>
      <x:c r="D36" s="145"/>
      <x:c r="E36" s="145"/>
      <x:c r="F36" s="145"/>
      <x:c r="G36" s="145"/>
      <x:c r="H36" s="145"/>
      <x:c r="I36" s="146"/>
      <x:c r="J36" s="147" t="str">
        <x:f>IF(C36="","",IF(I36&lt;&gt;"",I36,IF(G36="",SETUP!$B$4,IFERROR(WORKDAY(INDEX($K$4:$K$53,MATCH(G36,$A$4:$A$53,0)),1,SETUP!$B$12:$B$21),SETUP!$B$4))))</x:f>
      </x:c>
      <x:c r="K36" s="147">
        <x:f>IF(OR(C36="",H36=""),"",WORKDAY(J36-1,H36,SETUP!$B$12:$B$21))</x:f>
      </x:c>
      <x:c r="L36" s="148"/>
      <x:c r="M36" s="144" t="str">
        <x:f>IF(C36="","",IF(E36="Complete","Complete",IF(K36&lt;SETUP!$B$7,"Overdue",IF(K36&lt;=SETUP!$B$7+7,"Due ≤7 days","On Track"))))</x:f>
      </x:c>
      <x:c r="N36" s="144" t="str">
        <x:f>IF(C36="","",IF(AND(G36&lt;&gt;"",COUNTIF($A$4:$A$53,G36)=0),"Invalid predecessor",IF(AND(E36&lt;&gt;"Complete",L36=1),"Status mismatch","OK")))</x:f>
      </x:c>
      <x:c r="O36" s="145"/>
      <x:c r="P36" s="106"/>
      <x:c r="Q36" s="106"/>
      <x:c r="R36" s="106"/>
      <x:c r="S36" s="106"/>
      <x:c r="T36" s="106"/>
      <x:c r="U36" s="106"/>
      <x:c r="V36" s="106"/>
      <x:c r="W36" s="106"/>
      <x:c r="X36" s="106"/>
      <x:c r="Y36" s="106"/>
      <x:c r="Z36" s="106"/>
      <x:c r="AA36" s="106"/>
      <x:c r="AB36" s="106"/>
      <x:c r="AC36" s="106"/>
      <x:c r="AD36" s="106"/>
      <x:c r="AE36" s="106"/>
      <x:c r="AF36" s="106"/>
      <x:c r="AG36" s="106"/>
      <x:c r="AH36" s="106"/>
      <x:c r="AI36" s="106"/>
      <x:c r="AJ36" s="106"/>
      <x:c r="AK36" s="106"/>
      <x:c r="AL36" s="106"/>
      <x:c r="AM36" s="106"/>
      <x:c r="AN36" s="106"/>
      <x:c r="AO36" s="106"/>
      <x:c r="AP36" s="106"/>
      <x:c r="AQ36" s="106"/>
      <x:c r="AR36" s="106"/>
      <x:c r="AS36" s="106"/>
      <x:c r="AT36" s="106"/>
      <x:c r="AU36" s="106"/>
      <x:c r="AV36" s="106"/>
      <x:c r="AW36" s="106"/>
      <x:c r="AX36" s="106"/>
      <x:c r="AY36" s="106"/>
      <x:c r="AZ36" s="106"/>
      <x:c r="BA36" s="106"/>
    </x:row>
    <x:row r="37">
      <x:c r="A37" s="144" t="n">
        <x:v>34</x:v>
      </x:c>
      <x:c r="B37" s="145"/>
      <x:c r="C37" s="145"/>
      <x:c r="D37" s="145"/>
      <x:c r="E37" s="145"/>
      <x:c r="F37" s="145"/>
      <x:c r="G37" s="145"/>
      <x:c r="H37" s="145"/>
      <x:c r="I37" s="146"/>
      <x:c r="J37" s="147" t="str">
        <x:f>IF(C37="","",IF(I37&lt;&gt;"",I37,IF(G37="",SETUP!$B$4,IFERROR(WORKDAY(INDEX($K$4:$K$53,MATCH(G37,$A$4:$A$53,0)),1,SETUP!$B$12:$B$21),SETUP!$B$4))))</x:f>
      </x:c>
      <x:c r="K37" s="147">
        <x:f>IF(OR(C37="",H37=""),"",WORKDAY(J37-1,H37,SETUP!$B$12:$B$21))</x:f>
      </x:c>
      <x:c r="L37" s="148"/>
      <x:c r="M37" s="144" t="str">
        <x:f>IF(C37="","",IF(E37="Complete","Complete",IF(K37&lt;SETUP!$B$7,"Overdue",IF(K37&lt;=SETUP!$B$7+7,"Due ≤7 days","On Track"))))</x:f>
      </x:c>
      <x:c r="N37" s="144" t="str">
        <x:f>IF(C37="","",IF(AND(G37&lt;&gt;"",COUNTIF($A$4:$A$53,G37)=0),"Invalid predecessor",IF(AND(E37&lt;&gt;"Complete",L37=1),"Status mismatch","OK")))</x:f>
      </x:c>
      <x:c r="O37" s="145"/>
      <x:c r="P37" s="106"/>
      <x:c r="Q37" s="106"/>
      <x:c r="R37" s="106"/>
      <x:c r="S37" s="106"/>
      <x:c r="T37" s="106"/>
      <x:c r="U37" s="106"/>
      <x:c r="V37" s="106"/>
      <x:c r="W37" s="106"/>
      <x:c r="X37" s="106"/>
      <x:c r="Y37" s="106"/>
      <x:c r="Z37" s="106"/>
      <x:c r="AA37" s="106"/>
      <x:c r="AB37" s="106"/>
      <x:c r="AC37" s="106"/>
      <x:c r="AD37" s="106"/>
      <x:c r="AE37" s="106"/>
      <x:c r="AF37" s="106"/>
      <x:c r="AG37" s="106"/>
      <x:c r="AH37" s="106"/>
      <x:c r="AI37" s="106"/>
      <x:c r="AJ37" s="106"/>
      <x:c r="AK37" s="106"/>
      <x:c r="AL37" s="106"/>
      <x:c r="AM37" s="106"/>
      <x:c r="AN37" s="106"/>
      <x:c r="AO37" s="106"/>
      <x:c r="AP37" s="106"/>
      <x:c r="AQ37" s="106"/>
      <x:c r="AR37" s="106"/>
      <x:c r="AS37" s="106"/>
      <x:c r="AT37" s="106"/>
      <x:c r="AU37" s="106"/>
      <x:c r="AV37" s="106"/>
      <x:c r="AW37" s="106"/>
      <x:c r="AX37" s="106"/>
      <x:c r="AY37" s="106"/>
      <x:c r="AZ37" s="106"/>
      <x:c r="BA37" s="106"/>
    </x:row>
    <x:row r="38">
      <x:c r="A38" s="144" t="n">
        <x:v>35</x:v>
      </x:c>
      <x:c r="B38" s="145"/>
      <x:c r="C38" s="145"/>
      <x:c r="D38" s="145"/>
      <x:c r="E38" s="145"/>
      <x:c r="F38" s="145"/>
      <x:c r="G38" s="145"/>
      <x:c r="H38" s="145"/>
      <x:c r="I38" s="146"/>
      <x:c r="J38" s="147" t="str">
        <x:f>IF(C38="","",IF(I38&lt;&gt;"",I38,IF(G38="",SETUP!$B$4,IFERROR(WORKDAY(INDEX($K$4:$K$53,MATCH(G38,$A$4:$A$53,0)),1,SETUP!$B$12:$B$21),SETUP!$B$4))))</x:f>
      </x:c>
      <x:c r="K38" s="147">
        <x:f>IF(OR(C38="",H38=""),"",WORKDAY(J38-1,H38,SETUP!$B$12:$B$21))</x:f>
      </x:c>
      <x:c r="L38" s="148"/>
      <x:c r="M38" s="144" t="str">
        <x:f>IF(C38="","",IF(E38="Complete","Complete",IF(K38&lt;SETUP!$B$7,"Overdue",IF(K38&lt;=SETUP!$B$7+7,"Due ≤7 days","On Track"))))</x:f>
      </x:c>
      <x:c r="N38" s="144" t="str">
        <x:f>IF(C38="","",IF(AND(G38&lt;&gt;"",COUNTIF($A$4:$A$53,G38)=0),"Invalid predecessor",IF(AND(E38&lt;&gt;"Complete",L38=1),"Status mismatch","OK")))</x:f>
      </x:c>
      <x:c r="O38" s="145"/>
      <x:c r="P38" s="106"/>
      <x:c r="Q38" s="106"/>
      <x:c r="R38" s="106"/>
      <x:c r="S38" s="106"/>
      <x:c r="T38" s="106"/>
      <x:c r="U38" s="106"/>
      <x:c r="V38" s="106"/>
      <x:c r="W38" s="106"/>
      <x:c r="X38" s="106"/>
      <x:c r="Y38" s="106"/>
      <x:c r="Z38" s="106"/>
      <x:c r="AA38" s="106"/>
      <x:c r="AB38" s="106"/>
      <x:c r="AC38" s="106"/>
      <x:c r="AD38" s="106"/>
      <x:c r="AE38" s="106"/>
      <x:c r="AF38" s="106"/>
      <x:c r="AG38" s="106"/>
      <x:c r="AH38" s="106"/>
      <x:c r="AI38" s="106"/>
      <x:c r="AJ38" s="106"/>
      <x:c r="AK38" s="106"/>
      <x:c r="AL38" s="106"/>
      <x:c r="AM38" s="106"/>
      <x:c r="AN38" s="106"/>
      <x:c r="AO38" s="106"/>
      <x:c r="AP38" s="106"/>
      <x:c r="AQ38" s="106"/>
      <x:c r="AR38" s="106"/>
      <x:c r="AS38" s="106"/>
      <x:c r="AT38" s="106"/>
      <x:c r="AU38" s="106"/>
      <x:c r="AV38" s="106"/>
      <x:c r="AW38" s="106"/>
      <x:c r="AX38" s="106"/>
      <x:c r="AY38" s="106"/>
      <x:c r="AZ38" s="106"/>
      <x:c r="BA38" s="106"/>
    </x:row>
    <x:row r="39">
      <x:c r="A39" s="144" t="n">
        <x:v>36</x:v>
      </x:c>
      <x:c r="B39" s="145"/>
      <x:c r="C39" s="145"/>
      <x:c r="D39" s="145"/>
      <x:c r="E39" s="145"/>
      <x:c r="F39" s="145"/>
      <x:c r="G39" s="145"/>
      <x:c r="H39" s="145"/>
      <x:c r="I39" s="146"/>
      <x:c r="J39" s="147" t="str">
        <x:f>IF(C39="","",IF(I39&lt;&gt;"",I39,IF(G39="",SETUP!$B$4,IFERROR(WORKDAY(INDEX($K$4:$K$53,MATCH(G39,$A$4:$A$53,0)),1,SETUP!$B$12:$B$21),SETUP!$B$4))))</x:f>
      </x:c>
      <x:c r="K39" s="147">
        <x:f>IF(OR(C39="",H39=""),"",WORKDAY(J39-1,H39,SETUP!$B$12:$B$21))</x:f>
      </x:c>
      <x:c r="L39" s="148"/>
      <x:c r="M39" s="144" t="str">
        <x:f>IF(C39="","",IF(E39="Complete","Complete",IF(K39&lt;SETUP!$B$7,"Overdue",IF(K39&lt;=SETUP!$B$7+7,"Due ≤7 days","On Track"))))</x:f>
      </x:c>
      <x:c r="N39" s="144" t="str">
        <x:f>IF(C39="","",IF(AND(G39&lt;&gt;"",COUNTIF($A$4:$A$53,G39)=0),"Invalid predecessor",IF(AND(E39&lt;&gt;"Complete",L39=1),"Status mismatch","OK")))</x:f>
      </x:c>
      <x:c r="O39" s="145"/>
      <x:c r="P39" s="106"/>
      <x:c r="Q39" s="106"/>
      <x:c r="R39" s="106"/>
      <x:c r="S39" s="106"/>
      <x:c r="T39" s="106"/>
      <x:c r="U39" s="106"/>
      <x:c r="V39" s="106"/>
      <x:c r="W39" s="106"/>
      <x:c r="X39" s="106"/>
      <x:c r="Y39" s="106"/>
      <x:c r="Z39" s="106"/>
      <x:c r="AA39" s="106"/>
      <x:c r="AB39" s="106"/>
      <x:c r="AC39" s="106"/>
      <x:c r="AD39" s="106"/>
      <x:c r="AE39" s="106"/>
      <x:c r="AF39" s="106"/>
      <x:c r="AG39" s="106"/>
      <x:c r="AH39" s="106"/>
      <x:c r="AI39" s="106"/>
      <x:c r="AJ39" s="106"/>
      <x:c r="AK39" s="106"/>
      <x:c r="AL39" s="106"/>
      <x:c r="AM39" s="106"/>
      <x:c r="AN39" s="106"/>
      <x:c r="AO39" s="106"/>
      <x:c r="AP39" s="106"/>
      <x:c r="AQ39" s="106"/>
      <x:c r="AR39" s="106"/>
      <x:c r="AS39" s="106"/>
      <x:c r="AT39" s="106"/>
      <x:c r="AU39" s="106"/>
      <x:c r="AV39" s="106"/>
      <x:c r="AW39" s="106"/>
      <x:c r="AX39" s="106"/>
      <x:c r="AY39" s="106"/>
      <x:c r="AZ39" s="106"/>
      <x:c r="BA39" s="106"/>
    </x:row>
    <x:row r="40">
      <x:c r="A40" s="144" t="n">
        <x:v>37</x:v>
      </x:c>
      <x:c r="B40" s="145"/>
      <x:c r="C40" s="145"/>
      <x:c r="D40" s="145"/>
      <x:c r="E40" s="145"/>
      <x:c r="F40" s="145"/>
      <x:c r="G40" s="145"/>
      <x:c r="H40" s="145"/>
      <x:c r="I40" s="146"/>
      <x:c r="J40" s="147" t="str">
        <x:f>IF(C40="","",IF(I40&lt;&gt;"",I40,IF(G40="",SETUP!$B$4,IFERROR(WORKDAY(INDEX($K$4:$K$53,MATCH(G40,$A$4:$A$53,0)),1,SETUP!$B$12:$B$21),SETUP!$B$4))))</x:f>
      </x:c>
      <x:c r="K40" s="147">
        <x:f>IF(OR(C40="",H40=""),"",WORKDAY(J40-1,H40,SETUP!$B$12:$B$21))</x:f>
      </x:c>
      <x:c r="L40" s="148"/>
      <x:c r="M40" s="144" t="str">
        <x:f>IF(C40="","",IF(E40="Complete","Complete",IF(K40&lt;SETUP!$B$7,"Overdue",IF(K40&lt;=SETUP!$B$7+7,"Due ≤7 days","On Track"))))</x:f>
      </x:c>
      <x:c r="N40" s="144" t="str">
        <x:f>IF(C40="","",IF(AND(G40&lt;&gt;"",COUNTIF($A$4:$A$53,G40)=0),"Invalid predecessor",IF(AND(E40&lt;&gt;"Complete",L40=1),"Status mismatch","OK")))</x:f>
      </x:c>
      <x:c r="O40" s="145"/>
      <x:c r="P40" s="106"/>
      <x:c r="Q40" s="106"/>
      <x:c r="R40" s="106"/>
      <x:c r="S40" s="106"/>
      <x:c r="T40" s="106"/>
      <x:c r="U40" s="106"/>
      <x:c r="V40" s="106"/>
      <x:c r="W40" s="106"/>
      <x:c r="X40" s="106"/>
      <x:c r="Y40" s="106"/>
      <x:c r="Z40" s="106"/>
      <x:c r="AA40" s="106"/>
      <x:c r="AB40" s="106"/>
      <x:c r="AC40" s="106"/>
      <x:c r="AD40" s="106"/>
      <x:c r="AE40" s="106"/>
      <x:c r="AF40" s="106"/>
      <x:c r="AG40" s="106"/>
      <x:c r="AH40" s="106"/>
      <x:c r="AI40" s="106"/>
      <x:c r="AJ40" s="106"/>
      <x:c r="AK40" s="106"/>
      <x:c r="AL40" s="106"/>
      <x:c r="AM40" s="106"/>
      <x:c r="AN40" s="106"/>
      <x:c r="AO40" s="106"/>
      <x:c r="AP40" s="106"/>
      <x:c r="AQ40" s="106"/>
      <x:c r="AR40" s="106"/>
      <x:c r="AS40" s="106"/>
      <x:c r="AT40" s="106"/>
      <x:c r="AU40" s="106"/>
      <x:c r="AV40" s="106"/>
      <x:c r="AW40" s="106"/>
      <x:c r="AX40" s="106"/>
      <x:c r="AY40" s="106"/>
      <x:c r="AZ40" s="106"/>
      <x:c r="BA40" s="106"/>
    </x:row>
    <x:row r="41">
      <x:c r="A41" s="144" t="n">
        <x:v>38</x:v>
      </x:c>
      <x:c r="B41" s="145"/>
      <x:c r="C41" s="145"/>
      <x:c r="D41" s="145"/>
      <x:c r="E41" s="145"/>
      <x:c r="F41" s="145"/>
      <x:c r="G41" s="145"/>
      <x:c r="H41" s="145"/>
      <x:c r="I41" s="146"/>
      <x:c r="J41" s="147" t="str">
        <x:f>IF(C41="","",IF(I41&lt;&gt;"",I41,IF(G41="",SETUP!$B$4,IFERROR(WORKDAY(INDEX($K$4:$K$53,MATCH(G41,$A$4:$A$53,0)),1,SETUP!$B$12:$B$21),SETUP!$B$4))))</x:f>
      </x:c>
      <x:c r="K41" s="147">
        <x:f>IF(OR(C41="",H41=""),"",WORKDAY(J41-1,H41,SETUP!$B$12:$B$21))</x:f>
      </x:c>
      <x:c r="L41" s="148"/>
      <x:c r="M41" s="144" t="str">
        <x:f>IF(C41="","",IF(E41="Complete","Complete",IF(K41&lt;SETUP!$B$7,"Overdue",IF(K41&lt;=SETUP!$B$7+7,"Due ≤7 days","On Track"))))</x:f>
      </x:c>
      <x:c r="N41" s="144" t="str">
        <x:f>IF(C41="","",IF(AND(G41&lt;&gt;"",COUNTIF($A$4:$A$53,G41)=0),"Invalid predecessor",IF(AND(E41&lt;&gt;"Complete",L41=1),"Status mismatch","OK")))</x:f>
      </x:c>
      <x:c r="O41" s="145"/>
      <x:c r="P41" s="106"/>
      <x:c r="Q41" s="106"/>
      <x:c r="R41" s="106"/>
      <x:c r="S41" s="106"/>
      <x:c r="T41" s="106"/>
      <x:c r="U41" s="106"/>
      <x:c r="V41" s="106"/>
      <x:c r="W41" s="106"/>
      <x:c r="X41" s="106"/>
      <x:c r="Y41" s="106"/>
      <x:c r="Z41" s="106"/>
      <x:c r="AA41" s="106"/>
      <x:c r="AB41" s="106"/>
      <x:c r="AC41" s="106"/>
      <x:c r="AD41" s="106"/>
      <x:c r="AE41" s="106"/>
      <x:c r="AF41" s="106"/>
      <x:c r="AG41" s="106"/>
      <x:c r="AH41" s="106"/>
      <x:c r="AI41" s="106"/>
      <x:c r="AJ41" s="106"/>
      <x:c r="AK41" s="106"/>
      <x:c r="AL41" s="106"/>
      <x:c r="AM41" s="106"/>
      <x:c r="AN41" s="106"/>
      <x:c r="AO41" s="106"/>
      <x:c r="AP41" s="106"/>
      <x:c r="AQ41" s="106"/>
      <x:c r="AR41" s="106"/>
      <x:c r="AS41" s="106"/>
      <x:c r="AT41" s="106"/>
      <x:c r="AU41" s="106"/>
      <x:c r="AV41" s="106"/>
      <x:c r="AW41" s="106"/>
      <x:c r="AX41" s="106"/>
      <x:c r="AY41" s="106"/>
      <x:c r="AZ41" s="106"/>
      <x:c r="BA41" s="106"/>
    </x:row>
    <x:row r="42">
      <x:c r="A42" s="144" t="n">
        <x:v>39</x:v>
      </x:c>
      <x:c r="B42" s="145"/>
      <x:c r="C42" s="145"/>
      <x:c r="D42" s="145"/>
      <x:c r="E42" s="145"/>
      <x:c r="F42" s="145"/>
      <x:c r="G42" s="145"/>
      <x:c r="H42" s="145"/>
      <x:c r="I42" s="146"/>
      <x:c r="J42" s="147" t="str">
        <x:f>IF(C42="","",IF(I42&lt;&gt;"",I42,IF(G42="",SETUP!$B$4,IFERROR(WORKDAY(INDEX($K$4:$K$53,MATCH(G42,$A$4:$A$53,0)),1,SETUP!$B$12:$B$21),SETUP!$B$4))))</x:f>
      </x:c>
      <x:c r="K42" s="147">
        <x:f>IF(OR(C42="",H42=""),"",WORKDAY(J42-1,H42,SETUP!$B$12:$B$21))</x:f>
      </x:c>
      <x:c r="L42" s="148"/>
      <x:c r="M42" s="144" t="str">
        <x:f>IF(C42="","",IF(E42="Complete","Complete",IF(K42&lt;SETUP!$B$7,"Overdue",IF(K42&lt;=SETUP!$B$7+7,"Due ≤7 days","On Track"))))</x:f>
      </x:c>
      <x:c r="N42" s="144" t="str">
        <x:f>IF(C42="","",IF(AND(G42&lt;&gt;"",COUNTIF($A$4:$A$53,G42)=0),"Invalid predecessor",IF(AND(E42&lt;&gt;"Complete",L42=1),"Status mismatch","OK")))</x:f>
      </x:c>
      <x:c r="O42" s="145"/>
      <x:c r="P42" s="106"/>
      <x:c r="Q42" s="106"/>
      <x:c r="R42" s="106"/>
      <x:c r="S42" s="106"/>
      <x:c r="T42" s="106"/>
      <x:c r="U42" s="106"/>
      <x:c r="V42" s="106"/>
      <x:c r="W42" s="106"/>
      <x:c r="X42" s="106"/>
      <x:c r="Y42" s="106"/>
      <x:c r="Z42" s="106"/>
      <x:c r="AA42" s="106"/>
      <x:c r="AB42" s="106"/>
      <x:c r="AC42" s="106"/>
      <x:c r="AD42" s="106"/>
      <x:c r="AE42" s="106"/>
      <x:c r="AF42" s="106"/>
      <x:c r="AG42" s="106"/>
      <x:c r="AH42" s="106"/>
      <x:c r="AI42" s="106"/>
      <x:c r="AJ42" s="106"/>
      <x:c r="AK42" s="106"/>
      <x:c r="AL42" s="106"/>
      <x:c r="AM42" s="106"/>
      <x:c r="AN42" s="106"/>
      <x:c r="AO42" s="106"/>
      <x:c r="AP42" s="106"/>
      <x:c r="AQ42" s="106"/>
      <x:c r="AR42" s="106"/>
      <x:c r="AS42" s="106"/>
      <x:c r="AT42" s="106"/>
      <x:c r="AU42" s="106"/>
      <x:c r="AV42" s="106"/>
      <x:c r="AW42" s="106"/>
      <x:c r="AX42" s="106"/>
      <x:c r="AY42" s="106"/>
      <x:c r="AZ42" s="106"/>
      <x:c r="BA42" s="106"/>
    </x:row>
    <x:row r="43">
      <x:c r="A43" s="144" t="n">
        <x:v>40</x:v>
      </x:c>
      <x:c r="B43" s="145"/>
      <x:c r="C43" s="145"/>
      <x:c r="D43" s="145"/>
      <x:c r="E43" s="145"/>
      <x:c r="F43" s="145"/>
      <x:c r="G43" s="145"/>
      <x:c r="H43" s="145"/>
      <x:c r="I43" s="146"/>
      <x:c r="J43" s="147" t="str">
        <x:f>IF(C43="","",IF(I43&lt;&gt;"",I43,IF(G43="",SETUP!$B$4,IFERROR(WORKDAY(INDEX($K$4:$K$53,MATCH(G43,$A$4:$A$53,0)),1,SETUP!$B$12:$B$21),SETUP!$B$4))))</x:f>
      </x:c>
      <x:c r="K43" s="147">
        <x:f>IF(OR(C43="",H43=""),"",WORKDAY(J43-1,H43,SETUP!$B$12:$B$21))</x:f>
      </x:c>
      <x:c r="L43" s="148"/>
      <x:c r="M43" s="144" t="str">
        <x:f>IF(C43="","",IF(E43="Complete","Complete",IF(K43&lt;SETUP!$B$7,"Overdue",IF(K43&lt;=SETUP!$B$7+7,"Due ≤7 days","On Track"))))</x:f>
      </x:c>
      <x:c r="N43" s="144" t="str">
        <x:f>IF(C43="","",IF(AND(G43&lt;&gt;"",COUNTIF($A$4:$A$53,G43)=0),"Invalid predecessor",IF(AND(E43&lt;&gt;"Complete",L43=1),"Status mismatch","OK")))</x:f>
      </x:c>
      <x:c r="O43" s="145"/>
      <x:c r="P43" s="106"/>
      <x:c r="Q43" s="106"/>
      <x:c r="R43" s="106"/>
      <x:c r="S43" s="106"/>
      <x:c r="T43" s="106"/>
      <x:c r="U43" s="106"/>
      <x:c r="V43" s="106"/>
      <x:c r="W43" s="106"/>
      <x:c r="X43" s="106"/>
      <x:c r="Y43" s="106"/>
      <x:c r="Z43" s="106"/>
      <x:c r="AA43" s="106"/>
      <x:c r="AB43" s="106"/>
      <x:c r="AC43" s="106"/>
      <x:c r="AD43" s="106"/>
      <x:c r="AE43" s="106"/>
      <x:c r="AF43" s="106"/>
      <x:c r="AG43" s="106"/>
      <x:c r="AH43" s="106"/>
      <x:c r="AI43" s="106"/>
      <x:c r="AJ43" s="106"/>
      <x:c r="AK43" s="106"/>
      <x:c r="AL43" s="106"/>
      <x:c r="AM43" s="106"/>
      <x:c r="AN43" s="106"/>
      <x:c r="AO43" s="106"/>
      <x:c r="AP43" s="106"/>
      <x:c r="AQ43" s="106"/>
      <x:c r="AR43" s="106"/>
      <x:c r="AS43" s="106"/>
      <x:c r="AT43" s="106"/>
      <x:c r="AU43" s="106"/>
      <x:c r="AV43" s="106"/>
      <x:c r="AW43" s="106"/>
      <x:c r="AX43" s="106"/>
      <x:c r="AY43" s="106"/>
      <x:c r="AZ43" s="106"/>
      <x:c r="BA43" s="106"/>
    </x:row>
    <x:row r="44">
      <x:c r="A44" s="144" t="n">
        <x:v>41</x:v>
      </x:c>
      <x:c r="B44" s="145"/>
      <x:c r="C44" s="145"/>
      <x:c r="D44" s="145"/>
      <x:c r="E44" s="145"/>
      <x:c r="F44" s="145"/>
      <x:c r="G44" s="145"/>
      <x:c r="H44" s="145"/>
      <x:c r="I44" s="146"/>
      <x:c r="J44" s="147" t="str">
        <x:f>IF(C44="","",IF(I44&lt;&gt;"",I44,IF(G44="",SETUP!$B$4,IFERROR(WORKDAY(INDEX($K$4:$K$53,MATCH(G44,$A$4:$A$53,0)),1,SETUP!$B$12:$B$21),SETUP!$B$4))))</x:f>
      </x:c>
      <x:c r="K44" s="147">
        <x:f>IF(OR(C44="",H44=""),"",WORKDAY(J44-1,H44,SETUP!$B$12:$B$21))</x:f>
      </x:c>
      <x:c r="L44" s="148"/>
      <x:c r="M44" s="144" t="str">
        <x:f>IF(C44="","",IF(E44="Complete","Complete",IF(K44&lt;SETUP!$B$7,"Overdue",IF(K44&lt;=SETUP!$B$7+7,"Due ≤7 days","On Track"))))</x:f>
      </x:c>
      <x:c r="N44" s="144" t="str">
        <x:f>IF(C44="","",IF(AND(G44&lt;&gt;"",COUNTIF($A$4:$A$53,G44)=0),"Invalid predecessor",IF(AND(E44&lt;&gt;"Complete",L44=1),"Status mismatch","OK")))</x:f>
      </x:c>
      <x:c r="O44" s="145"/>
      <x:c r="P44" s="106"/>
      <x:c r="Q44" s="106"/>
      <x:c r="R44" s="106"/>
      <x:c r="S44" s="106"/>
      <x:c r="T44" s="106"/>
      <x:c r="U44" s="106"/>
      <x:c r="V44" s="106"/>
      <x:c r="W44" s="106"/>
      <x:c r="X44" s="106"/>
      <x:c r="Y44" s="106"/>
      <x:c r="Z44" s="106"/>
      <x:c r="AA44" s="106"/>
      <x:c r="AB44" s="106"/>
      <x:c r="AC44" s="106"/>
      <x:c r="AD44" s="106"/>
      <x:c r="AE44" s="106"/>
      <x:c r="AF44" s="106"/>
      <x:c r="AG44" s="106"/>
      <x:c r="AH44" s="106"/>
      <x:c r="AI44" s="106"/>
      <x:c r="AJ44" s="106"/>
      <x:c r="AK44" s="106"/>
      <x:c r="AL44" s="106"/>
      <x:c r="AM44" s="106"/>
      <x:c r="AN44" s="106"/>
      <x:c r="AO44" s="106"/>
      <x:c r="AP44" s="106"/>
      <x:c r="AQ44" s="106"/>
      <x:c r="AR44" s="106"/>
      <x:c r="AS44" s="106"/>
      <x:c r="AT44" s="106"/>
      <x:c r="AU44" s="106"/>
      <x:c r="AV44" s="106"/>
      <x:c r="AW44" s="106"/>
      <x:c r="AX44" s="106"/>
      <x:c r="AY44" s="106"/>
      <x:c r="AZ44" s="106"/>
      <x:c r="BA44" s="106"/>
    </x:row>
    <x:row r="45">
      <x:c r="A45" s="144" t="n">
        <x:v>42</x:v>
      </x:c>
      <x:c r="B45" s="145"/>
      <x:c r="C45" s="145"/>
      <x:c r="D45" s="145"/>
      <x:c r="E45" s="145"/>
      <x:c r="F45" s="145"/>
      <x:c r="G45" s="145"/>
      <x:c r="H45" s="145"/>
      <x:c r="I45" s="146"/>
      <x:c r="J45" s="147" t="str">
        <x:f>IF(C45="","",IF(I45&lt;&gt;"",I45,IF(G45="",SETUP!$B$4,IFERROR(WORKDAY(INDEX($K$4:$K$53,MATCH(G45,$A$4:$A$53,0)),1,SETUP!$B$12:$B$21),SETUP!$B$4))))</x:f>
      </x:c>
      <x:c r="K45" s="147">
        <x:f>IF(OR(C45="",H45=""),"",WORKDAY(J45-1,H45,SETUP!$B$12:$B$21))</x:f>
      </x:c>
      <x:c r="L45" s="148"/>
      <x:c r="M45" s="144" t="str">
        <x:f>IF(C45="","",IF(E45="Complete","Complete",IF(K45&lt;SETUP!$B$7,"Overdue",IF(K45&lt;=SETUP!$B$7+7,"Due ≤7 days","On Track"))))</x:f>
      </x:c>
      <x:c r="N45" s="144" t="str">
        <x:f>IF(C45="","",IF(AND(G45&lt;&gt;"",COUNTIF($A$4:$A$53,G45)=0),"Invalid predecessor",IF(AND(E45&lt;&gt;"Complete",L45=1),"Status mismatch","OK")))</x:f>
      </x:c>
      <x:c r="O45" s="145"/>
      <x:c r="P45" s="106"/>
      <x:c r="Q45" s="106"/>
      <x:c r="R45" s="106"/>
      <x:c r="S45" s="106"/>
      <x:c r="T45" s="106"/>
      <x:c r="U45" s="106"/>
      <x:c r="V45" s="106"/>
      <x:c r="W45" s="106"/>
      <x:c r="X45" s="106"/>
      <x:c r="Y45" s="106"/>
      <x:c r="Z45" s="106"/>
      <x:c r="AA45" s="106"/>
      <x:c r="AB45" s="106"/>
      <x:c r="AC45" s="106"/>
      <x:c r="AD45" s="106"/>
      <x:c r="AE45" s="106"/>
      <x:c r="AF45" s="106"/>
      <x:c r="AG45" s="106"/>
      <x:c r="AH45" s="106"/>
      <x:c r="AI45" s="106"/>
      <x:c r="AJ45" s="106"/>
      <x:c r="AK45" s="106"/>
      <x:c r="AL45" s="106"/>
      <x:c r="AM45" s="106"/>
      <x:c r="AN45" s="106"/>
      <x:c r="AO45" s="106"/>
      <x:c r="AP45" s="106"/>
      <x:c r="AQ45" s="106"/>
      <x:c r="AR45" s="106"/>
      <x:c r="AS45" s="106"/>
      <x:c r="AT45" s="106"/>
      <x:c r="AU45" s="106"/>
      <x:c r="AV45" s="106"/>
      <x:c r="AW45" s="106"/>
      <x:c r="AX45" s="106"/>
      <x:c r="AY45" s="106"/>
      <x:c r="AZ45" s="106"/>
      <x:c r="BA45" s="106"/>
    </x:row>
    <x:row r="46">
      <x:c r="A46" s="144" t="n">
        <x:v>43</x:v>
      </x:c>
      <x:c r="B46" s="145"/>
      <x:c r="C46" s="145"/>
      <x:c r="D46" s="145"/>
      <x:c r="E46" s="145"/>
      <x:c r="F46" s="145"/>
      <x:c r="G46" s="145"/>
      <x:c r="H46" s="145"/>
      <x:c r="I46" s="146"/>
      <x:c r="J46" s="147" t="str">
        <x:f>IF(C46="","",IF(I46&lt;&gt;"",I46,IF(G46="",SETUP!$B$4,IFERROR(WORKDAY(INDEX($K$4:$K$53,MATCH(G46,$A$4:$A$53,0)),1,SETUP!$B$12:$B$21),SETUP!$B$4))))</x:f>
      </x:c>
      <x:c r="K46" s="147">
        <x:f>IF(OR(C46="",H46=""),"",WORKDAY(J46-1,H46,SETUP!$B$12:$B$21))</x:f>
      </x:c>
      <x:c r="L46" s="148"/>
      <x:c r="M46" s="144" t="str">
        <x:f>IF(C46="","",IF(E46="Complete","Complete",IF(K46&lt;SETUP!$B$7,"Overdue",IF(K46&lt;=SETUP!$B$7+7,"Due ≤7 days","On Track"))))</x:f>
      </x:c>
      <x:c r="N46" s="144" t="str">
        <x:f>IF(C46="","",IF(AND(G46&lt;&gt;"",COUNTIF($A$4:$A$53,G46)=0),"Invalid predecessor",IF(AND(E46&lt;&gt;"Complete",L46=1),"Status mismatch","OK")))</x:f>
      </x:c>
      <x:c r="O46" s="145"/>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c r="AO46" s="106"/>
      <x:c r="AP46" s="106"/>
      <x:c r="AQ46" s="106"/>
      <x:c r="AR46" s="106"/>
      <x:c r="AS46" s="106"/>
      <x:c r="AT46" s="106"/>
      <x:c r="AU46" s="106"/>
      <x:c r="AV46" s="106"/>
      <x:c r="AW46" s="106"/>
      <x:c r="AX46" s="106"/>
      <x:c r="AY46" s="106"/>
      <x:c r="AZ46" s="106"/>
      <x:c r="BA46" s="106"/>
    </x:row>
    <x:row r="47">
      <x:c r="A47" s="144" t="n">
        <x:v>44</x:v>
      </x:c>
      <x:c r="B47" s="145"/>
      <x:c r="C47" s="145"/>
      <x:c r="D47" s="145"/>
      <x:c r="E47" s="145"/>
      <x:c r="F47" s="145"/>
      <x:c r="G47" s="145"/>
      <x:c r="H47" s="145"/>
      <x:c r="I47" s="146"/>
      <x:c r="J47" s="147" t="str">
        <x:f>IF(C47="","",IF(I47&lt;&gt;"",I47,IF(G47="",SETUP!$B$4,IFERROR(WORKDAY(INDEX($K$4:$K$53,MATCH(G47,$A$4:$A$53,0)),1,SETUP!$B$12:$B$21),SETUP!$B$4))))</x:f>
      </x:c>
      <x:c r="K47" s="147">
        <x:f>IF(OR(C47="",H47=""),"",WORKDAY(J47-1,H47,SETUP!$B$12:$B$21))</x:f>
      </x:c>
      <x:c r="L47" s="148"/>
      <x:c r="M47" s="144" t="str">
        <x:f>IF(C47="","",IF(E47="Complete","Complete",IF(K47&lt;SETUP!$B$7,"Overdue",IF(K47&lt;=SETUP!$B$7+7,"Due ≤7 days","On Track"))))</x:f>
      </x:c>
      <x:c r="N47" s="144" t="str">
        <x:f>IF(C47="","",IF(AND(G47&lt;&gt;"",COUNTIF($A$4:$A$53,G47)=0),"Invalid predecessor",IF(AND(E47&lt;&gt;"Complete",L47=1),"Status mismatch","OK")))</x:f>
      </x:c>
      <x:c r="O47" s="145"/>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c r="AO47" s="106"/>
      <x:c r="AP47" s="106"/>
      <x:c r="AQ47" s="106"/>
      <x:c r="AR47" s="106"/>
      <x:c r="AS47" s="106"/>
      <x:c r="AT47" s="106"/>
      <x:c r="AU47" s="106"/>
      <x:c r="AV47" s="106"/>
      <x:c r="AW47" s="106"/>
      <x:c r="AX47" s="106"/>
      <x:c r="AY47" s="106"/>
      <x:c r="AZ47" s="106"/>
      <x:c r="BA47" s="106"/>
    </x:row>
    <x:row r="48">
      <x:c r="A48" s="144" t="n">
        <x:v>45</x:v>
      </x:c>
      <x:c r="B48" s="145"/>
      <x:c r="C48" s="145"/>
      <x:c r="D48" s="145"/>
      <x:c r="E48" s="145"/>
      <x:c r="F48" s="145"/>
      <x:c r="G48" s="145"/>
      <x:c r="H48" s="145"/>
      <x:c r="I48" s="146"/>
      <x:c r="J48" s="147" t="str">
        <x:f>IF(C48="","",IF(I48&lt;&gt;"",I48,IF(G48="",SETUP!$B$4,IFERROR(WORKDAY(INDEX($K$4:$K$53,MATCH(G48,$A$4:$A$53,0)),1,SETUP!$B$12:$B$21),SETUP!$B$4))))</x:f>
      </x:c>
      <x:c r="K48" s="147">
        <x:f>IF(OR(C48="",H48=""),"",WORKDAY(J48-1,H48,SETUP!$B$12:$B$21))</x:f>
      </x:c>
      <x:c r="L48" s="148"/>
      <x:c r="M48" s="144" t="str">
        <x:f>IF(C48="","",IF(E48="Complete","Complete",IF(K48&lt;SETUP!$B$7,"Overdue",IF(K48&lt;=SETUP!$B$7+7,"Due ≤7 days","On Track"))))</x:f>
      </x:c>
      <x:c r="N48" s="144" t="str">
        <x:f>IF(C48="","",IF(AND(G48&lt;&gt;"",COUNTIF($A$4:$A$53,G48)=0),"Invalid predecessor",IF(AND(E48&lt;&gt;"Complete",L48=1),"Status mismatch","OK")))</x:f>
      </x:c>
      <x:c r="O48" s="145"/>
      <x:c r="P48" s="106"/>
      <x:c r="Q48" s="106"/>
      <x:c r="R48" s="106"/>
      <x:c r="S48" s="106"/>
      <x:c r="T48" s="106"/>
      <x:c r="U48" s="106"/>
      <x:c r="V48" s="106"/>
      <x:c r="W48" s="106"/>
      <x:c r="X48" s="106"/>
      <x:c r="Y48" s="106"/>
      <x:c r="Z48" s="106"/>
      <x:c r="AA48" s="106"/>
      <x:c r="AB48" s="106"/>
      <x:c r="AC48" s="106"/>
      <x:c r="AD48" s="106"/>
      <x:c r="AE48" s="106"/>
      <x:c r="AF48" s="106"/>
      <x:c r="AG48" s="106"/>
      <x:c r="AH48" s="106"/>
      <x:c r="AI48" s="106"/>
      <x:c r="AJ48" s="106"/>
      <x:c r="AK48" s="106"/>
      <x:c r="AL48" s="106"/>
      <x:c r="AM48" s="106"/>
      <x:c r="AN48" s="106"/>
      <x:c r="AO48" s="106"/>
      <x:c r="AP48" s="106"/>
      <x:c r="AQ48" s="106"/>
      <x:c r="AR48" s="106"/>
      <x:c r="AS48" s="106"/>
      <x:c r="AT48" s="106"/>
      <x:c r="AU48" s="106"/>
      <x:c r="AV48" s="106"/>
      <x:c r="AW48" s="106"/>
      <x:c r="AX48" s="106"/>
      <x:c r="AY48" s="106"/>
      <x:c r="AZ48" s="106"/>
      <x:c r="BA48" s="106"/>
    </x:row>
    <x:row r="49">
      <x:c r="A49" s="144" t="n">
        <x:v>46</x:v>
      </x:c>
      <x:c r="B49" s="145"/>
      <x:c r="C49" s="145"/>
      <x:c r="D49" s="145"/>
      <x:c r="E49" s="145"/>
      <x:c r="F49" s="145"/>
      <x:c r="G49" s="145"/>
      <x:c r="H49" s="145"/>
      <x:c r="I49" s="146"/>
      <x:c r="J49" s="147" t="str">
        <x:f>IF(C49="","",IF(I49&lt;&gt;"",I49,IF(G49="",SETUP!$B$4,IFERROR(WORKDAY(INDEX($K$4:$K$53,MATCH(G49,$A$4:$A$53,0)),1,SETUP!$B$12:$B$21),SETUP!$B$4))))</x:f>
      </x:c>
      <x:c r="K49" s="147">
        <x:f>IF(OR(C49="",H49=""),"",WORKDAY(J49-1,H49,SETUP!$B$12:$B$21))</x:f>
      </x:c>
      <x:c r="L49" s="148"/>
      <x:c r="M49" s="144" t="str">
        <x:f>IF(C49="","",IF(E49="Complete","Complete",IF(K49&lt;SETUP!$B$7,"Overdue",IF(K49&lt;=SETUP!$B$7+7,"Due ≤7 days","On Track"))))</x:f>
      </x:c>
      <x:c r="N49" s="144" t="str">
        <x:f>IF(C49="","",IF(AND(G49&lt;&gt;"",COUNTIF($A$4:$A$53,G49)=0),"Invalid predecessor",IF(AND(E49&lt;&gt;"Complete",L49=1),"Status mismatch","OK")))</x:f>
      </x:c>
      <x:c r="O49" s="145"/>
      <x:c r="P49" s="106"/>
      <x:c r="Q49" s="106"/>
      <x:c r="R49" s="106"/>
      <x:c r="S49" s="106"/>
      <x:c r="T49" s="106"/>
      <x:c r="U49" s="106"/>
      <x:c r="V49" s="106"/>
      <x:c r="W49" s="106"/>
      <x:c r="X49" s="106"/>
      <x:c r="Y49" s="106"/>
      <x:c r="Z49" s="106"/>
      <x:c r="AA49" s="106"/>
      <x:c r="AB49" s="106"/>
      <x:c r="AC49" s="106"/>
      <x:c r="AD49" s="106"/>
      <x:c r="AE49" s="106"/>
      <x:c r="AF49" s="106"/>
      <x:c r="AG49" s="106"/>
      <x:c r="AH49" s="106"/>
      <x:c r="AI49" s="106"/>
      <x:c r="AJ49" s="106"/>
      <x:c r="AK49" s="106"/>
      <x:c r="AL49" s="106"/>
      <x:c r="AM49" s="106"/>
      <x:c r="AN49" s="106"/>
      <x:c r="AO49" s="106"/>
      <x:c r="AP49" s="106"/>
      <x:c r="AQ49" s="106"/>
      <x:c r="AR49" s="106"/>
      <x:c r="AS49" s="106"/>
      <x:c r="AT49" s="106"/>
      <x:c r="AU49" s="106"/>
      <x:c r="AV49" s="106"/>
      <x:c r="AW49" s="106"/>
      <x:c r="AX49" s="106"/>
      <x:c r="AY49" s="106"/>
      <x:c r="AZ49" s="106"/>
      <x:c r="BA49" s="106"/>
    </x:row>
    <x:row r="50">
      <x:c r="A50" s="144" t="n">
        <x:v>47</x:v>
      </x:c>
      <x:c r="B50" s="145"/>
      <x:c r="C50" s="145"/>
      <x:c r="D50" s="145"/>
      <x:c r="E50" s="145"/>
      <x:c r="F50" s="145"/>
      <x:c r="G50" s="145"/>
      <x:c r="H50" s="145"/>
      <x:c r="I50" s="146"/>
      <x:c r="J50" s="147" t="str">
        <x:f>IF(C50="","",IF(I50&lt;&gt;"",I50,IF(G50="",SETUP!$B$4,IFERROR(WORKDAY(INDEX($K$4:$K$53,MATCH(G50,$A$4:$A$53,0)),1,SETUP!$B$12:$B$21),SETUP!$B$4))))</x:f>
      </x:c>
      <x:c r="K50" s="147">
        <x:f>IF(OR(C50="",H50=""),"",WORKDAY(J50-1,H50,SETUP!$B$12:$B$21))</x:f>
      </x:c>
      <x:c r="L50" s="148"/>
      <x:c r="M50" s="144" t="str">
        <x:f>IF(C50="","",IF(E50="Complete","Complete",IF(K50&lt;SETUP!$B$7,"Overdue",IF(K50&lt;=SETUP!$B$7+7,"Due ≤7 days","On Track"))))</x:f>
      </x:c>
      <x:c r="N50" s="144" t="str">
        <x:f>IF(C50="","",IF(AND(G50&lt;&gt;"",COUNTIF($A$4:$A$53,G50)=0),"Invalid predecessor",IF(AND(E50&lt;&gt;"Complete",L50=1),"Status mismatch","OK")))</x:f>
      </x:c>
      <x:c r="O50" s="145"/>
      <x:c r="P50" s="106"/>
      <x:c r="Q50" s="106"/>
      <x:c r="R50" s="106"/>
      <x:c r="S50" s="106"/>
      <x:c r="T50" s="106"/>
      <x:c r="U50" s="106"/>
      <x:c r="V50" s="106"/>
      <x:c r="W50" s="106"/>
      <x:c r="X50" s="106"/>
      <x:c r="Y50" s="106"/>
      <x:c r="Z50" s="106"/>
      <x:c r="AA50" s="106"/>
      <x:c r="AB50" s="106"/>
      <x:c r="AC50" s="106"/>
      <x:c r="AD50" s="106"/>
      <x:c r="AE50" s="106"/>
      <x:c r="AF50" s="106"/>
      <x:c r="AG50" s="106"/>
      <x:c r="AH50" s="106"/>
      <x:c r="AI50" s="106"/>
      <x:c r="AJ50" s="106"/>
      <x:c r="AK50" s="106"/>
      <x:c r="AL50" s="106"/>
      <x:c r="AM50" s="106"/>
      <x:c r="AN50" s="106"/>
      <x:c r="AO50" s="106"/>
      <x:c r="AP50" s="106"/>
      <x:c r="AQ50" s="106"/>
      <x:c r="AR50" s="106"/>
      <x:c r="AS50" s="106"/>
      <x:c r="AT50" s="106"/>
      <x:c r="AU50" s="106"/>
      <x:c r="AV50" s="106"/>
      <x:c r="AW50" s="106"/>
      <x:c r="AX50" s="106"/>
      <x:c r="AY50" s="106"/>
      <x:c r="AZ50" s="106"/>
      <x:c r="BA50" s="106"/>
    </x:row>
    <x:row r="51">
      <x:c r="A51" s="144" t="n">
        <x:v>48</x:v>
      </x:c>
      <x:c r="B51" s="145"/>
      <x:c r="C51" s="145"/>
      <x:c r="D51" s="145"/>
      <x:c r="E51" s="145"/>
      <x:c r="F51" s="145"/>
      <x:c r="G51" s="145"/>
      <x:c r="H51" s="145"/>
      <x:c r="I51" s="146"/>
      <x:c r="J51" s="147" t="str">
        <x:f>IF(C51="","",IF(I51&lt;&gt;"",I51,IF(G51="",SETUP!$B$4,IFERROR(WORKDAY(INDEX($K$4:$K$53,MATCH(G51,$A$4:$A$53,0)),1,SETUP!$B$12:$B$21),SETUP!$B$4))))</x:f>
      </x:c>
      <x:c r="K51" s="147">
        <x:f>IF(OR(C51="",H51=""),"",WORKDAY(J51-1,H51,SETUP!$B$12:$B$21))</x:f>
      </x:c>
      <x:c r="L51" s="148"/>
      <x:c r="M51" s="144" t="str">
        <x:f>IF(C51="","",IF(E51="Complete","Complete",IF(K51&lt;SETUP!$B$7,"Overdue",IF(K51&lt;=SETUP!$B$7+7,"Due ≤7 days","On Track"))))</x:f>
      </x:c>
      <x:c r="N51" s="144" t="str">
        <x:f>IF(C51="","",IF(AND(G51&lt;&gt;"",COUNTIF($A$4:$A$53,G51)=0),"Invalid predecessor",IF(AND(E51&lt;&gt;"Complete",L51=1),"Status mismatch","OK")))</x:f>
      </x:c>
      <x:c r="O51" s="145"/>
      <x:c r="P51" s="106"/>
      <x:c r="Q51" s="106"/>
      <x:c r="R51" s="106"/>
      <x:c r="S51" s="106"/>
      <x:c r="T51" s="106"/>
      <x:c r="U51" s="106"/>
      <x:c r="V51" s="106"/>
      <x:c r="W51" s="106"/>
      <x:c r="X51" s="106"/>
      <x:c r="Y51" s="106"/>
      <x:c r="Z51" s="106"/>
      <x:c r="AA51" s="106"/>
      <x:c r="AB51" s="106"/>
      <x:c r="AC51" s="106"/>
      <x:c r="AD51" s="106"/>
      <x:c r="AE51" s="106"/>
      <x:c r="AF51" s="106"/>
      <x:c r="AG51" s="106"/>
      <x:c r="AH51" s="106"/>
      <x:c r="AI51" s="106"/>
      <x:c r="AJ51" s="106"/>
      <x:c r="AK51" s="106"/>
      <x:c r="AL51" s="106"/>
      <x:c r="AM51" s="106"/>
      <x:c r="AN51" s="106"/>
      <x:c r="AO51" s="106"/>
      <x:c r="AP51" s="106"/>
      <x:c r="AQ51" s="106"/>
      <x:c r="AR51" s="106"/>
      <x:c r="AS51" s="106"/>
      <x:c r="AT51" s="106"/>
      <x:c r="AU51" s="106"/>
      <x:c r="AV51" s="106"/>
      <x:c r="AW51" s="106"/>
      <x:c r="AX51" s="106"/>
      <x:c r="AY51" s="106"/>
      <x:c r="AZ51" s="106"/>
      <x:c r="BA51" s="106"/>
    </x:row>
    <x:row r="52">
      <x:c r="A52" s="144" t="n">
        <x:v>49</x:v>
      </x:c>
      <x:c r="B52" s="145"/>
      <x:c r="C52" s="145"/>
      <x:c r="D52" s="145"/>
      <x:c r="E52" s="145"/>
      <x:c r="F52" s="145"/>
      <x:c r="G52" s="145"/>
      <x:c r="H52" s="145"/>
      <x:c r="I52" s="146"/>
      <x:c r="J52" s="147" t="str">
        <x:f>IF(C52="","",IF(I52&lt;&gt;"",I52,IF(G52="",SETUP!$B$4,IFERROR(WORKDAY(INDEX($K$4:$K$53,MATCH(G52,$A$4:$A$53,0)),1,SETUP!$B$12:$B$21),SETUP!$B$4))))</x:f>
      </x:c>
      <x:c r="K52" s="147">
        <x:f>IF(OR(C52="",H52=""),"",WORKDAY(J52-1,H52,SETUP!$B$12:$B$21))</x:f>
      </x:c>
      <x:c r="L52" s="148"/>
      <x:c r="M52" s="144" t="str">
        <x:f>IF(C52="","",IF(E52="Complete","Complete",IF(K52&lt;SETUP!$B$7,"Overdue",IF(K52&lt;=SETUP!$B$7+7,"Due ≤7 days","On Track"))))</x:f>
      </x:c>
      <x:c r="N52" s="144" t="str">
        <x:f>IF(C52="","",IF(AND(G52&lt;&gt;"",COUNTIF($A$4:$A$53,G52)=0),"Invalid predecessor",IF(AND(E52&lt;&gt;"Complete",L52=1),"Status mismatch","OK")))</x:f>
      </x:c>
      <x:c r="O52" s="145"/>
      <x:c r="P52" s="106"/>
      <x:c r="Q52" s="106"/>
      <x:c r="R52" s="106"/>
      <x:c r="S52" s="106"/>
      <x:c r="T52" s="106"/>
      <x:c r="U52" s="106"/>
      <x:c r="V52" s="106"/>
      <x:c r="W52" s="106"/>
      <x:c r="X52" s="106"/>
      <x:c r="Y52" s="106"/>
      <x:c r="Z52" s="106"/>
      <x:c r="AA52" s="106"/>
      <x:c r="AB52" s="106"/>
      <x:c r="AC52" s="106"/>
      <x:c r="AD52" s="106"/>
      <x:c r="AE52" s="106"/>
      <x:c r="AF52" s="106"/>
      <x:c r="AG52" s="106"/>
      <x:c r="AH52" s="106"/>
      <x:c r="AI52" s="106"/>
      <x:c r="AJ52" s="106"/>
      <x:c r="AK52" s="106"/>
      <x:c r="AL52" s="106"/>
      <x:c r="AM52" s="106"/>
      <x:c r="AN52" s="106"/>
      <x:c r="AO52" s="106"/>
      <x:c r="AP52" s="106"/>
      <x:c r="AQ52" s="106"/>
      <x:c r="AR52" s="106"/>
      <x:c r="AS52" s="106"/>
      <x:c r="AT52" s="106"/>
      <x:c r="AU52" s="106"/>
      <x:c r="AV52" s="106"/>
      <x:c r="AW52" s="106"/>
      <x:c r="AX52" s="106"/>
      <x:c r="AY52" s="106"/>
      <x:c r="AZ52" s="106"/>
      <x:c r="BA52" s="106"/>
    </x:row>
    <x:row r="53">
      <x:c r="A53" s="144" t="n">
        <x:v>50</x:v>
      </x:c>
      <x:c r="B53" s="145"/>
      <x:c r="C53" s="145"/>
      <x:c r="D53" s="145"/>
      <x:c r="E53" s="145"/>
      <x:c r="F53" s="145"/>
      <x:c r="G53" s="145"/>
      <x:c r="H53" s="145"/>
      <x:c r="I53" s="146"/>
      <x:c r="J53" s="147" t="str">
        <x:f>IF(C53="","",IF(I53&lt;&gt;"",I53,IF(G53="",SETUP!$B$4,IFERROR(WORKDAY(INDEX($K$4:$K$53,MATCH(G53,$A$4:$A$53,0)),1,SETUP!$B$12:$B$21),SETUP!$B$4))))</x:f>
      </x:c>
      <x:c r="K53" s="147">
        <x:f>IF(OR(C53="",H53=""),"",WORKDAY(J53-1,H53,SETUP!$B$12:$B$21))</x:f>
      </x:c>
      <x:c r="L53" s="148"/>
      <x:c r="M53" s="144" t="str">
        <x:f>IF(C53="","",IF(E53="Complete","Complete",IF(K53&lt;SETUP!$B$7,"Overdue",IF(K53&lt;=SETUP!$B$7+7,"Due ≤7 days","On Track"))))</x:f>
      </x:c>
      <x:c r="N53" s="144" t="str">
        <x:f>IF(C53="","",IF(AND(G53&lt;&gt;"",COUNTIF($A$4:$A$53,G53)=0),"Invalid predecessor",IF(AND(E53&lt;&gt;"Complete",L53=1),"Status mismatch","OK")))</x:f>
      </x:c>
      <x:c r="O53" s="145"/>
      <x:c r="P53" s="106"/>
      <x:c r="Q53" s="106"/>
      <x:c r="R53" s="106"/>
      <x:c r="S53" s="106"/>
      <x:c r="T53" s="106"/>
      <x:c r="U53" s="106"/>
      <x:c r="V53" s="106"/>
      <x:c r="W53" s="106"/>
      <x:c r="X53" s="106"/>
      <x:c r="Y53" s="106"/>
      <x:c r="Z53" s="106"/>
      <x:c r="AA53" s="106"/>
      <x:c r="AB53" s="106"/>
      <x:c r="AC53" s="106"/>
      <x:c r="AD53" s="106"/>
      <x:c r="AE53" s="106"/>
      <x:c r="AF53" s="106"/>
      <x:c r="AG53" s="106"/>
      <x:c r="AH53" s="106"/>
      <x:c r="AI53" s="106"/>
      <x:c r="AJ53" s="106"/>
      <x:c r="AK53" s="106"/>
      <x:c r="AL53" s="106"/>
      <x:c r="AM53" s="106"/>
      <x:c r="AN53" s="106"/>
      <x:c r="AO53" s="106"/>
      <x:c r="AP53" s="106"/>
      <x:c r="AQ53" s="106"/>
      <x:c r="AR53" s="106"/>
      <x:c r="AS53" s="106"/>
      <x:c r="AT53" s="106"/>
      <x:c r="AU53" s="106"/>
      <x:c r="AV53" s="106"/>
      <x:c r="AW53" s="106"/>
      <x:c r="AX53" s="106"/>
      <x:c r="AY53" s="106"/>
      <x:c r="AZ53" s="106"/>
      <x:c r="BA53" s="106"/>
    </x:row>
    <x:row r="54">
      <x:c r="A54" s="106"/>
      <x:c r="B54" s="106"/>
      <x:c r="C54" s="106"/>
      <x:c r="D54" s="106"/>
      <x:c r="E54" s="106"/>
      <x:c r="F54" s="106"/>
      <x:c r="G54" s="106"/>
      <x:c r="H54" s="106"/>
      <x:c r="I54" s="106"/>
      <x:c r="J54" s="106"/>
      <x:c r="K54" s="106"/>
      <x:c r="L54" s="106"/>
      <x:c r="M54" s="106"/>
      <x:c r="N54" s="106"/>
      <x:c r="O54" s="106"/>
      <x:c r="P54" s="106"/>
      <x:c r="Q54" s="106"/>
      <x:c r="R54" s="106"/>
      <x:c r="S54" s="106"/>
      <x:c r="T54" s="106"/>
      <x:c r="U54" s="106"/>
      <x:c r="V54" s="106"/>
      <x:c r="W54" s="106"/>
      <x:c r="X54" s="106"/>
      <x:c r="Y54" s="106"/>
      <x:c r="Z54" s="106"/>
      <x:c r="AA54" s="106"/>
      <x:c r="AB54" s="106"/>
      <x:c r="AC54" s="106"/>
      <x:c r="AD54" s="106"/>
      <x:c r="AE54" s="106"/>
      <x:c r="AF54" s="106"/>
      <x:c r="AG54" s="106"/>
      <x:c r="AH54" s="106"/>
      <x:c r="AI54" s="106"/>
      <x:c r="AJ54" s="106"/>
      <x:c r="AK54" s="106"/>
      <x:c r="AL54" s="106"/>
      <x:c r="AM54" s="106"/>
      <x:c r="AN54" s="106"/>
      <x:c r="AO54" s="106"/>
      <x:c r="AP54" s="106"/>
      <x:c r="AQ54" s="106"/>
      <x:c r="AR54" s="106"/>
      <x:c r="AS54" s="106"/>
      <x:c r="AT54" s="106"/>
      <x:c r="AU54" s="106"/>
      <x:c r="AV54" s="106"/>
      <x:c r="AW54" s="106"/>
      <x:c r="AX54" s="106"/>
      <x:c r="AY54" s="106"/>
      <x:c r="AZ54" s="106"/>
      <x:c r="BA54" s="106"/>
    </x:row>
    <x:row r="55">
      <x:c r="A55" s="106"/>
      <x:c r="B55" s="106"/>
      <x:c r="C55" s="106"/>
      <x:c r="D55" s="106"/>
      <x:c r="E55" s="106"/>
      <x:c r="F55" s="106"/>
      <x:c r="G55" s="106"/>
      <x:c r="H55" s="106"/>
      <x:c r="I55" s="106"/>
      <x:c r="J55" s="106"/>
      <x:c r="K55" s="106"/>
      <x:c r="L55" s="106"/>
      <x:c r="M55" s="106"/>
      <x:c r="N55" s="106"/>
      <x:c r="O55" s="106"/>
      <x:c r="P55" s="106"/>
      <x:c r="Q55" s="106"/>
      <x:c r="R55" s="106"/>
      <x:c r="S55" s="106"/>
      <x:c r="T55" s="106"/>
      <x:c r="U55" s="106"/>
      <x:c r="V55" s="106"/>
      <x:c r="W55" s="106"/>
      <x:c r="X55" s="106"/>
      <x:c r="Y55" s="106"/>
      <x:c r="Z55" s="106"/>
      <x:c r="AA55" s="106"/>
      <x:c r="AB55" s="106"/>
      <x:c r="AC55" s="106"/>
      <x:c r="AD55" s="106"/>
      <x:c r="AE55" s="106"/>
      <x:c r="AF55" s="106"/>
      <x:c r="AG55" s="106"/>
      <x:c r="AH55" s="106"/>
      <x:c r="AI55" s="106"/>
      <x:c r="AJ55" s="106"/>
      <x:c r="AK55" s="106"/>
      <x:c r="AL55" s="106"/>
      <x:c r="AM55" s="106"/>
      <x:c r="AN55" s="106"/>
      <x:c r="AO55" s="106"/>
      <x:c r="AP55" s="106"/>
      <x:c r="AQ55" s="106"/>
      <x:c r="AR55" s="106"/>
      <x:c r="AS55" s="106"/>
      <x:c r="AT55" s="106"/>
      <x:c r="AU55" s="106"/>
      <x:c r="AV55" s="106"/>
      <x:c r="AW55" s="106"/>
      <x:c r="AX55" s="106"/>
      <x:c r="AY55" s="106"/>
      <x:c r="AZ55" s="106"/>
      <x:c r="BA55" s="106"/>
    </x:row>
    <x:row r="56">
      <x:c r="A56" s="106"/>
      <x:c r="B56" s="106"/>
      <x:c r="C56" s="106"/>
      <x:c r="D56" s="106"/>
      <x:c r="E56" s="106"/>
      <x:c r="F56" s="106"/>
      <x:c r="G56" s="106"/>
      <x:c r="H56" s="106"/>
      <x:c r="I56" s="106"/>
      <x:c r="J56" s="106"/>
      <x:c r="K56" s="106"/>
      <x:c r="L56" s="106"/>
      <x:c r="M56" s="106"/>
      <x:c r="N56" s="106"/>
      <x:c r="O56" s="106"/>
      <x:c r="P56" s="106"/>
      <x:c r="Q56" s="106"/>
      <x:c r="R56" s="106"/>
      <x:c r="S56" s="106"/>
      <x:c r="T56" s="106"/>
      <x:c r="U56" s="106"/>
      <x:c r="V56" s="106"/>
      <x:c r="W56" s="106"/>
      <x:c r="X56" s="106"/>
      <x:c r="Y56" s="106"/>
      <x:c r="Z56" s="106"/>
      <x:c r="AA56" s="106"/>
      <x:c r="AB56" s="106"/>
      <x:c r="AC56" s="106"/>
      <x:c r="AD56" s="106"/>
      <x:c r="AE56" s="106"/>
      <x:c r="AF56" s="106"/>
      <x:c r="AG56" s="106"/>
      <x:c r="AH56" s="106"/>
      <x:c r="AI56" s="106"/>
      <x:c r="AJ56" s="106"/>
      <x:c r="AK56" s="106"/>
      <x:c r="AL56" s="106"/>
      <x:c r="AM56" s="106"/>
      <x:c r="AN56" s="106"/>
      <x:c r="AO56" s="106"/>
      <x:c r="AP56" s="106"/>
      <x:c r="AQ56" s="106"/>
      <x:c r="AR56" s="106"/>
      <x:c r="AS56" s="106"/>
      <x:c r="AT56" s="106"/>
      <x:c r="AU56" s="106"/>
      <x:c r="AV56" s="106"/>
      <x:c r="AW56" s="106"/>
      <x:c r="AX56" s="106"/>
      <x:c r="AY56" s="106"/>
      <x:c r="AZ56" s="106"/>
      <x:c r="BA56" s="106"/>
    </x:row>
    <x:row r="57">
      <x:c r="A57" s="106"/>
      <x:c r="B57" s="106"/>
      <x:c r="C57" s="106"/>
      <x:c r="D57" s="106"/>
      <x:c r="E57" s="106"/>
      <x:c r="F57" s="106"/>
      <x:c r="G57" s="106"/>
      <x:c r="H57" s="106"/>
      <x:c r="I57" s="106"/>
      <x:c r="J57" s="106"/>
      <x:c r="K57" s="106"/>
      <x:c r="L57" s="106"/>
      <x:c r="M57" s="106"/>
      <x:c r="N57" s="106"/>
      <x:c r="O57" s="106"/>
      <x:c r="P57" s="106"/>
      <x:c r="Q57" s="106"/>
      <x:c r="R57" s="106"/>
      <x:c r="S57" s="106"/>
      <x:c r="T57" s="106"/>
      <x:c r="U57" s="106"/>
      <x:c r="V57" s="106"/>
      <x:c r="W57" s="106"/>
      <x:c r="X57" s="106"/>
      <x:c r="Y57" s="106"/>
      <x:c r="Z57" s="106"/>
      <x:c r="AA57" s="106"/>
      <x:c r="AB57" s="106"/>
      <x:c r="AC57" s="106"/>
      <x:c r="AD57" s="106"/>
      <x:c r="AE57" s="106"/>
      <x:c r="AF57" s="106"/>
      <x:c r="AG57" s="106"/>
      <x:c r="AH57" s="106"/>
      <x:c r="AI57" s="106"/>
      <x:c r="AJ57" s="106"/>
      <x:c r="AK57" s="106"/>
      <x:c r="AL57" s="106"/>
      <x:c r="AM57" s="106"/>
      <x:c r="AN57" s="106"/>
      <x:c r="AO57" s="106"/>
      <x:c r="AP57" s="106"/>
      <x:c r="AQ57" s="106"/>
      <x:c r="AR57" s="106"/>
      <x:c r="AS57" s="106"/>
      <x:c r="AT57" s="106"/>
      <x:c r="AU57" s="106"/>
      <x:c r="AV57" s="106"/>
      <x:c r="AW57" s="106"/>
      <x:c r="AX57" s="106"/>
      <x:c r="AY57" s="106"/>
      <x:c r="AZ57" s="106"/>
      <x:c r="BA57" s="106"/>
    </x:row>
    <x:row r="58">
      <x:c r="A58" s="106"/>
      <x:c r="B58" s="106"/>
      <x:c r="C58" s="106"/>
      <x:c r="D58" s="106"/>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c r="AO58" s="106"/>
      <x:c r="AP58" s="106"/>
      <x:c r="AQ58" s="106"/>
      <x:c r="AR58" s="106"/>
      <x:c r="AS58" s="106"/>
      <x:c r="AT58" s="106"/>
      <x:c r="AU58" s="106"/>
      <x:c r="AV58" s="106"/>
      <x:c r="AW58" s="106"/>
      <x:c r="AX58" s="106"/>
      <x:c r="AY58" s="106"/>
      <x:c r="AZ58" s="106"/>
      <x:c r="BA58" s="106"/>
    </x:row>
    <x:row r="59">
      <x:c r="A59" s="106"/>
      <x:c r="B59" s="106"/>
      <x:c r="C59" s="106"/>
      <x:c r="D59" s="106"/>
      <x:c r="E59" s="106"/>
      <x:c r="F59" s="106"/>
      <x:c r="G59" s="106"/>
      <x:c r="H59" s="106"/>
      <x:c r="I59" s="106"/>
      <x:c r="J59" s="106"/>
      <x:c r="K59" s="106"/>
      <x:c r="L59" s="106"/>
      <x:c r="M59" s="106"/>
      <x:c r="N59" s="106"/>
      <x:c r="O59" s="106"/>
      <x:c r="P59" s="106"/>
      <x:c r="Q59" s="106"/>
      <x:c r="R59" s="106"/>
      <x:c r="S59" s="106"/>
      <x:c r="T59" s="106"/>
      <x:c r="U59" s="106"/>
      <x:c r="V59" s="106"/>
      <x:c r="W59" s="106"/>
      <x:c r="X59" s="106"/>
      <x:c r="Y59" s="106"/>
      <x:c r="Z59" s="106"/>
      <x:c r="AA59" s="106"/>
      <x:c r="AB59" s="106"/>
      <x:c r="AC59" s="106"/>
      <x:c r="AD59" s="106"/>
      <x:c r="AE59" s="106"/>
      <x:c r="AF59" s="106"/>
      <x:c r="AG59" s="106"/>
      <x:c r="AH59" s="106"/>
      <x:c r="AI59" s="106"/>
      <x:c r="AJ59" s="106"/>
      <x:c r="AK59" s="106"/>
      <x:c r="AL59" s="106"/>
      <x:c r="AM59" s="106"/>
      <x:c r="AN59" s="106"/>
      <x:c r="AO59" s="106"/>
      <x:c r="AP59" s="106"/>
      <x:c r="AQ59" s="106"/>
      <x:c r="AR59" s="106"/>
      <x:c r="AS59" s="106"/>
      <x:c r="AT59" s="106"/>
      <x:c r="AU59" s="106"/>
      <x:c r="AV59" s="106"/>
      <x:c r="AW59" s="106"/>
      <x:c r="AX59" s="106"/>
      <x:c r="AY59" s="106"/>
      <x:c r="AZ59" s="106"/>
      <x:c r="BA59" s="106"/>
    </x:row>
    <x:row r="60">
      <x:c r="A60" s="106"/>
      <x:c r="B60" s="106"/>
      <x:c r="C60" s="106"/>
      <x:c r="D60" s="106"/>
      <x:c r="E60" s="106"/>
      <x:c r="F60" s="106"/>
      <x:c r="G60" s="106"/>
      <x:c r="H60" s="106"/>
      <x:c r="I60" s="106"/>
      <x:c r="J60" s="106"/>
      <x:c r="K60" s="106"/>
      <x:c r="L60" s="106"/>
      <x:c r="M60" s="106"/>
      <x:c r="N60" s="106"/>
      <x:c r="O60" s="106"/>
      <x:c r="P60" s="106"/>
      <x:c r="Q60" s="106"/>
      <x:c r="R60" s="106"/>
      <x:c r="S60" s="106"/>
      <x:c r="T60" s="106"/>
      <x:c r="U60" s="106"/>
      <x:c r="V60" s="106"/>
      <x:c r="W60" s="106"/>
      <x:c r="X60" s="106"/>
      <x:c r="Y60" s="106"/>
      <x:c r="Z60" s="106"/>
      <x:c r="AA60" s="106"/>
      <x:c r="AB60" s="106"/>
      <x:c r="AC60" s="106"/>
      <x:c r="AD60" s="106"/>
      <x:c r="AE60" s="106"/>
      <x:c r="AF60" s="106"/>
      <x:c r="AG60" s="106"/>
      <x:c r="AH60" s="106"/>
      <x:c r="AI60" s="106"/>
      <x:c r="AJ60" s="106"/>
      <x:c r="AK60" s="106"/>
      <x:c r="AL60" s="106"/>
      <x:c r="AM60" s="106"/>
      <x:c r="AN60" s="106"/>
      <x:c r="AO60" s="106"/>
      <x:c r="AP60" s="106"/>
      <x:c r="AQ60" s="106"/>
      <x:c r="AR60" s="106"/>
      <x:c r="AS60" s="106"/>
      <x:c r="AT60" s="106"/>
      <x:c r="AU60" s="106"/>
      <x:c r="AV60" s="106"/>
      <x:c r="AW60" s="106"/>
      <x:c r="AX60" s="106"/>
      <x:c r="AY60" s="106"/>
      <x:c r="AZ60" s="106"/>
      <x:c r="BA60" s="106"/>
    </x:row>
  </x:sheetData>
  <x:mergeCells>
    <x:mergeCell ref="A1:O1"/>
  </x:mergeCells>
  <x:conditionalFormatting sqref="M4:M53">
    <x:cfRule type="expression" dxfId="0" priority="1">
      <x:formula>$M4="Overdue"</x:formula>
    </x:cfRule>
    <x:cfRule type="expression" dxfId="1" priority="2">
      <x:formula>$M4="Due ≤7 days"</x:formula>
    </x:cfRule>
    <x:cfRule type="expression" dxfId="2" priority="3">
      <x:formula>$M4="Complete"</x:formula>
    </x:cfRule>
  </x:conditionalFormatting>
  <x:conditionalFormatting sqref="N4:N53">
    <x:cfRule type="expression" dxfId="3" priority="4">
      <x:formula>$N4&lt;&gt;"OK"</x:formula>
    </x:cfRule>
  </x:conditionalFormatting>
  <x:conditionalFormatting sqref="E4:E53">
    <x:cfRule type="expression" dxfId="4" priority="5">
      <x:formula>$E4="Blocked"</x:formula>
    </x:cfRule>
  </x:conditionalFormatting>
  <x:conditionalFormatting sqref="F4:F53">
    <x:cfRule type="expression" dxfId="5" priority="6">
      <x:formula>$F4="Critical"</x:formula>
    </x:cfRule>
  </x:conditionalFormatting>
  <x:dataValidations count="4">
    <x:dataValidation type="list" sqref="D4:D53">
      <x:formula1>SETUP!$D$4:$D$11</x:formula1>
    </x:dataValidation>
    <x:dataValidation type="list" sqref="E4:E53">
      <x:formula1>SETUP!$G$2:$G$6</x:formula1>
    </x:dataValidation>
    <x:dataValidation type="list" sqref="F4:F53">
      <x:formula1>SETUP!$H$2:$H$5</x:formula1>
    </x:dataValidation>
    <x:dataValidation type="decimal" operator="between" sqref="L4:L53">
      <x:formula1>0</x:formula1>
      <x:formula2>1</x:formula2>
    </x:dataValidation>
  </x:dataValidations>
  <x:pageMargins left="0.7" right="0.7" top="0.75" bottom="0.75" header="0.3" footer="0.3"/>
  <x:tableParts count="1">
    <x:tablePart xmlns:r="http://schemas.openxmlformats.org/officeDocument/2006/relationships" r:id="R0857e2decebb40ee"/>
  </x:tableParts>
</x:worksheet>
</file>

<file path=xl/worksheets/sheet4.xml><?xml version="1.0" encoding="utf-8"?>
<x:worksheet xmlns:x="http://schemas.openxmlformats.org/spreadsheetml/2006/main">
  <x:sheetFormatPr defaultRowHeight="15"/>
  <x:cols>
    <x:col min="1" max="1" width="8" hidden="0" customWidth="1"/>
    <x:col min="2" max="2" width="15" hidden="0" customWidth="1"/>
    <x:col min="3" max="3" width="32" hidden="0" customWidth="1"/>
    <x:col min="4" max="4" width="18" hidden="0" customWidth="1"/>
    <x:col min="5" max="5" width="14" hidden="0" customWidth="1"/>
    <x:col min="6" max="6" width="5" hidden="0" customWidth="1"/>
    <x:col min="7" max="7" width="5" hidden="0" customWidth="1"/>
    <x:col min="8" max="8" width="5" hidden="0" customWidth="1"/>
    <x:col min="9" max="9" width="5" hidden="0" customWidth="1"/>
    <x:col min="10" max="10" width="5" hidden="0" customWidth="1"/>
    <x:col min="11" max="11" width="5" hidden="0" customWidth="1"/>
    <x:col min="12" max="12" width="5" hidden="0" customWidth="1"/>
    <x:col min="13" max="13" width="5" hidden="0" customWidth="1"/>
    <x:col min="14" max="14" width="5" hidden="0" customWidth="1"/>
    <x:col min="15" max="15" width="5" hidden="0" customWidth="1"/>
    <x:col min="16" max="16" width="5" hidden="0" customWidth="1"/>
    <x:col min="17" max="17" width="5" hidden="0" customWidth="1"/>
    <x:col min="18" max="18" width="5" hidden="0" customWidth="1"/>
    <x:col min="19" max="19" width="5" hidden="0" customWidth="1"/>
    <x:col min="20" max="20" width="5" hidden="0" customWidth="1"/>
    <x:col min="21" max="21" width="5" hidden="0" customWidth="1"/>
    <x:col min="22" max="22" width="5" hidden="0" customWidth="1"/>
    <x:col min="23" max="23" width="5" hidden="0" customWidth="1"/>
    <x:col min="24" max="24" width="5" hidden="0" customWidth="1"/>
    <x:col min="25" max="25" width="5" hidden="0" customWidth="1"/>
    <x:col min="26" max="26" width="5" hidden="0" customWidth="1"/>
    <x:col min="27" max="27" width="5" hidden="0" customWidth="1"/>
    <x:col min="28" max="28" width="5" hidden="0" customWidth="1"/>
    <x:col min="29" max="29" width="5" hidden="0" customWidth="1"/>
    <x:col min="30" max="30" width="5" hidden="0" customWidth="1"/>
    <x:col min="31" max="31" width="5" hidden="0" customWidth="1"/>
    <x:col min="32" max="32" width="5" hidden="0" customWidth="1"/>
    <x:col min="33" max="33" width="5" hidden="0" customWidth="1"/>
    <x:col min="34" max="34" width="5" hidden="0" customWidth="1"/>
    <x:col min="35" max="35" width="5" hidden="0" customWidth="1"/>
    <x:col min="36" max="36" width="5" hidden="0" customWidth="1"/>
    <x:col min="37" max="37" width="5" hidden="0" customWidth="1"/>
    <x:col min="38" max="38" width="5" hidden="0" customWidth="1"/>
    <x:col min="39" max="39" width="5" hidden="0" customWidth="1"/>
    <x:col min="40" max="40" width="5" hidden="0" customWidth="1"/>
    <x:col min="41" max="41" width="5" hidden="0" customWidth="1"/>
    <x:col min="42" max="42" width="5" hidden="0" customWidth="1"/>
    <x:col min="43" max="43" width="5" hidden="0" customWidth="1"/>
    <x:col min="44" max="44" width="5" hidden="0" customWidth="1"/>
    <x:col min="45" max="45" width="5" hidden="0" customWidth="1"/>
    <x:col min="46" max="46" width="5" hidden="0" customWidth="1"/>
    <x:col min="47" max="47" width="5" hidden="0" customWidth="1"/>
    <x:col min="48" max="48" width="5" hidden="0" customWidth="1"/>
    <x:col min="49" max="49" width="5" hidden="0" customWidth="1"/>
    <x:col min="50" max="50" width="5" hidden="0" customWidth="1"/>
    <x:col min="51" max="51" width="5" hidden="0" customWidth="1"/>
    <x:col min="52" max="52" width="5" hidden="0" customWidth="1"/>
    <x:col min="53" max="53" width="5" hidden="0" customWidth="1"/>
  </x:cols>
  <x:sheetData>
    <x:row r="1">
      <x:c r="A1" s="169" t="str">
        <x:v>GANTT — generated from PROJECT PLAN; no manual coloring required</x:v>
      </x:c>
      <x:c r="B1" s="169"/>
      <x:c r="C1" s="169"/>
      <x:c r="D1" s="169"/>
      <x:c r="E1" s="169"/>
      <x:c r="F1" s="169"/>
      <x:c r="G1" s="169"/>
      <x:c r="H1" s="169"/>
      <x:c r="I1" s="169"/>
      <x:c r="J1" s="169"/>
      <x:c r="K1" s="169"/>
      <x:c r="L1" s="169"/>
      <x:c r="M1" s="169"/>
      <x:c r="N1" s="169"/>
      <x:c r="O1" s="169"/>
      <x:c r="P1" s="169"/>
      <x:c r="Q1" s="169"/>
      <x:c r="R1" s="169"/>
      <x:c r="S1" s="169"/>
      <x:c r="T1" s="169"/>
      <x:c r="U1" s="169"/>
      <x:c r="V1" s="169"/>
      <x:c r="W1" s="169"/>
      <x:c r="X1" s="169"/>
      <x:c r="Y1" s="169"/>
      <x:c r="Z1" s="169"/>
      <x:c r="AA1" s="169"/>
      <x:c r="AB1" s="169"/>
      <x:c r="AC1" s="169"/>
      <x:c r="AD1" s="169"/>
      <x:c r="AE1" s="169"/>
      <x:c r="AF1" s="169"/>
      <x:c r="AG1" s="169"/>
      <x:c r="AH1" s="169"/>
      <x:c r="AI1" s="169"/>
      <x:c r="AJ1" s="169"/>
      <x:c r="AK1" s="169"/>
      <x:c r="AL1" s="169"/>
      <x:c r="AM1" s="169"/>
      <x:c r="AN1" s="169"/>
      <x:c r="AO1" s="169"/>
      <x:c r="AP1" s="169"/>
      <x:c r="AQ1" s="169"/>
      <x:c r="AR1" s="169"/>
      <x:c r="AS1" s="169"/>
      <x:c r="AT1" s="169"/>
      <x:c r="AU1" s="169"/>
      <x:c r="AV1" s="169"/>
      <x:c r="AW1" s="169"/>
      <x:c r="AX1" s="169"/>
      <x:c r="AY1" s="169"/>
      <x:c r="AZ1" s="169"/>
      <x:c r="BA1" s="169"/>
    </x:row>
    <x:row r="2">
      <x:c r="A2" s="106"/>
      <x:c r="B2" s="106"/>
      <x:c r="C2" s="106"/>
      <x:c r="D2" s="106"/>
      <x:c r="E2" s="106"/>
      <x:c r="F2" s="106"/>
      <x:c r="G2" s="106"/>
      <x:c r="H2" s="106"/>
      <x:c r="I2" s="106"/>
      <x:c r="J2" s="106"/>
      <x:c r="K2" s="106"/>
      <x:c r="L2" s="106"/>
      <x:c r="M2" s="106"/>
      <x:c r="N2" s="106"/>
      <x:c r="O2" s="106"/>
      <x:c r="P2" s="106"/>
      <x:c r="Q2" s="106"/>
      <x:c r="R2" s="106"/>
      <x:c r="S2" s="106"/>
      <x:c r="T2" s="106"/>
      <x:c r="U2" s="106"/>
      <x:c r="V2" s="106"/>
      <x:c r="W2" s="106"/>
      <x:c r="X2" s="106"/>
      <x:c r="Y2" s="106"/>
      <x:c r="Z2" s="106"/>
      <x:c r="AA2" s="106"/>
      <x:c r="AB2" s="106"/>
      <x:c r="AC2" s="106"/>
      <x:c r="AD2" s="106"/>
      <x:c r="AE2" s="106"/>
      <x:c r="AF2" s="106"/>
      <x:c r="AG2" s="106"/>
      <x:c r="AH2" s="106"/>
      <x:c r="AI2" s="106"/>
      <x:c r="AJ2" s="106"/>
      <x:c r="AK2" s="106"/>
      <x:c r="AL2" s="106"/>
      <x:c r="AM2" s="106"/>
      <x:c r="AN2" s="106"/>
      <x:c r="AO2" s="106"/>
      <x:c r="AP2" s="106"/>
      <x:c r="AQ2" s="106"/>
      <x:c r="AR2" s="106"/>
      <x:c r="AS2" s="106"/>
      <x:c r="AT2" s="106"/>
      <x:c r="AU2" s="106"/>
      <x:c r="AV2" s="106"/>
      <x:c r="AW2" s="106"/>
      <x:c r="AX2" s="106"/>
      <x:c r="AY2" s="106"/>
      <x:c r="AZ2" s="106"/>
      <x:c r="BA2" s="106"/>
    </x:row>
    <x:row r="3">
      <x:c r="A3" s="135" t="str">
        <x:v>Task ID</x:v>
      </x:c>
      <x:c r="B3" s="135" t="str">
        <x:v>Phase</x:v>
      </x:c>
      <x:c r="C3" s="135" t="str">
        <x:v>Task / Deliverable</x:v>
      </x:c>
      <x:c r="D3" s="135" t="str">
        <x:v>Owner</x:v>
      </x:c>
      <x:c r="E3" s="135" t="str">
        <x:v>Status</x:v>
      </x:c>
      <x:c r="F3" s="106"/>
      <x:c r="G3" s="106"/>
      <x:c r="H3" s="106"/>
      <x:c r="I3" s="106"/>
      <x:c r="J3" s="106"/>
      <x:c r="K3" s="106"/>
      <x:c r="L3" s="106"/>
      <x:c r="M3" s="106"/>
      <x:c r="N3" s="106"/>
      <x:c r="O3" s="106"/>
      <x:c r="P3" s="106"/>
      <x:c r="Q3" s="106"/>
      <x:c r="R3" s="106"/>
      <x:c r="S3" s="106"/>
      <x:c r="T3" s="106"/>
      <x:c r="U3" s="106"/>
      <x:c r="V3" s="106"/>
      <x:c r="W3" s="106"/>
      <x:c r="X3" s="106"/>
      <x:c r="Y3" s="106"/>
      <x:c r="Z3" s="106"/>
      <x:c r="AA3" s="106"/>
      <x:c r="AB3" s="106"/>
      <x:c r="AC3" s="106"/>
      <x:c r="AD3" s="106"/>
      <x:c r="AE3" s="106"/>
      <x:c r="AF3" s="106"/>
      <x:c r="AG3" s="106"/>
      <x:c r="AH3" s="106"/>
      <x:c r="AI3" s="106"/>
      <x:c r="AJ3" s="106"/>
      <x:c r="AK3" s="106"/>
      <x:c r="AL3" s="106"/>
      <x:c r="AM3" s="106"/>
      <x:c r="AN3" s="106"/>
      <x:c r="AO3" s="106"/>
      <x:c r="AP3" s="106"/>
      <x:c r="AQ3" s="106"/>
      <x:c r="AR3" s="106"/>
      <x:c r="AS3" s="106"/>
      <x:c r="AT3" s="106"/>
      <x:c r="AU3" s="106"/>
      <x:c r="AV3" s="106"/>
      <x:c r="AW3" s="106"/>
      <x:c r="AX3" s="106"/>
      <x:c r="AY3" s="106"/>
      <x:c r="AZ3" s="106"/>
      <x:c r="BA3" s="106"/>
    </x:row>
    <x:row r="4">
      <x:c r="A4" s="135" t="str">
        <x:v>Task ID</x:v>
      </x:c>
      <x:c r="B4" s="135" t="str">
        <x:v>Phase</x:v>
      </x:c>
      <x:c r="C4" s="135" t="str">
        <x:v>Task / Deliverable</x:v>
      </x:c>
      <x:c r="D4" s="135" t="str">
        <x:v>Owner</x:v>
      </x:c>
      <x:c r="E4" s="135" t="str">
        <x:v>Status</x:v>
      </x:c>
      <x:c r="F4" s="155" t="n">
        <x:f>SETUP!$B$4+0</x:f>
        <x:v>46300</x:v>
      </x:c>
      <x:c r="G4" s="155" t="n">
        <x:f>SETUP!$B$4+1</x:f>
        <x:v>46301</x:v>
      </x:c>
      <x:c r="H4" s="155" t="n">
        <x:f>SETUP!$B$4+2</x:f>
        <x:v>46302</x:v>
      </x:c>
      <x:c r="I4" s="155" t="n">
        <x:f>SETUP!$B$4+3</x:f>
        <x:v>46303</x:v>
      </x:c>
      <x:c r="J4" s="155" t="n">
        <x:f>SETUP!$B$4+4</x:f>
        <x:v>46304</x:v>
      </x:c>
      <x:c r="K4" s="155" t="n">
        <x:f>SETUP!$B$4+5</x:f>
        <x:v>46305</x:v>
      </x:c>
      <x:c r="L4" s="155" t="n">
        <x:f>SETUP!$B$4+6</x:f>
        <x:v>46306</x:v>
      </x:c>
      <x:c r="M4" s="155" t="n">
        <x:f>SETUP!$B$4+7</x:f>
        <x:v>46307</x:v>
      </x:c>
      <x:c r="N4" s="155" t="n">
        <x:f>SETUP!$B$4+8</x:f>
        <x:v>46308</x:v>
      </x:c>
      <x:c r="O4" s="155" t="n">
        <x:f>SETUP!$B$4+9</x:f>
        <x:v>46309</x:v>
      </x:c>
      <x:c r="P4" s="155" t="n">
        <x:f>SETUP!$B$4+10</x:f>
        <x:v>46310</x:v>
      </x:c>
      <x:c r="Q4" s="155" t="n">
        <x:f>SETUP!$B$4+11</x:f>
        <x:v>46311</x:v>
      </x:c>
      <x:c r="R4" s="155" t="n">
        <x:f>SETUP!$B$4+12</x:f>
        <x:v>46312</x:v>
      </x:c>
      <x:c r="S4" s="155" t="n">
        <x:f>SETUP!$B$4+13</x:f>
        <x:v>46313</x:v>
      </x:c>
      <x:c r="T4" s="155" t="n">
        <x:f>SETUP!$B$4+14</x:f>
        <x:v>46314</x:v>
      </x:c>
      <x:c r="U4" s="155" t="n">
        <x:f>SETUP!$B$4+15</x:f>
        <x:v>46315</x:v>
      </x:c>
      <x:c r="V4" s="155" t="n">
        <x:f>SETUP!$B$4+16</x:f>
        <x:v>46316</x:v>
      </x:c>
      <x:c r="W4" s="155" t="n">
        <x:f>SETUP!$B$4+17</x:f>
        <x:v>46317</x:v>
      </x:c>
      <x:c r="X4" s="155" t="n">
        <x:f>SETUP!$B$4+18</x:f>
        <x:v>46318</x:v>
      </x:c>
      <x:c r="Y4" s="155" t="n">
        <x:f>SETUP!$B$4+19</x:f>
        <x:v>46319</x:v>
      </x:c>
      <x:c r="Z4" s="155" t="n">
        <x:f>SETUP!$B$4+20</x:f>
        <x:v>46320</x:v>
      </x:c>
      <x:c r="AA4" s="155" t="n">
        <x:f>SETUP!$B$4+21</x:f>
        <x:v>46321</x:v>
      </x:c>
      <x:c r="AB4" s="155" t="n">
        <x:f>SETUP!$B$4+22</x:f>
        <x:v>46322</x:v>
      </x:c>
      <x:c r="AC4" s="155" t="n">
        <x:f>SETUP!$B$4+23</x:f>
        <x:v>46323</x:v>
      </x:c>
      <x:c r="AD4" s="155" t="n">
        <x:f>SETUP!$B$4+24</x:f>
        <x:v>46324</x:v>
      </x:c>
      <x:c r="AE4" s="155" t="n">
        <x:f>SETUP!$B$4+25</x:f>
        <x:v>46325</x:v>
      </x:c>
      <x:c r="AF4" s="155" t="n">
        <x:f>SETUP!$B$4+26</x:f>
        <x:v>46326</x:v>
      </x:c>
      <x:c r="AG4" s="155" t="n">
        <x:f>SETUP!$B$4+27</x:f>
        <x:v>46327</x:v>
      </x:c>
      <x:c r="AH4" s="155" t="n">
        <x:f>SETUP!$B$4+28</x:f>
        <x:v>46328</x:v>
      </x:c>
      <x:c r="AI4" s="155" t="n">
        <x:f>SETUP!$B$4+29</x:f>
        <x:v>46329</x:v>
      </x:c>
      <x:c r="AJ4" s="155" t="n">
        <x:f>SETUP!$B$4+30</x:f>
        <x:v>46330</x:v>
      </x:c>
      <x:c r="AK4" s="155" t="n">
        <x:f>SETUP!$B$4+31</x:f>
        <x:v>46331</x:v>
      </x:c>
      <x:c r="AL4" s="155" t="n">
        <x:f>SETUP!$B$4+32</x:f>
        <x:v>46332</x:v>
      </x:c>
      <x:c r="AM4" s="155" t="n">
        <x:f>SETUP!$B$4+33</x:f>
        <x:v>46333</x:v>
      </x:c>
      <x:c r="AN4" s="155" t="n">
        <x:f>SETUP!$B$4+34</x:f>
        <x:v>46334</x:v>
      </x:c>
      <x:c r="AO4" s="155" t="n">
        <x:f>SETUP!$B$4+35</x:f>
        <x:v>46335</x:v>
      </x:c>
      <x:c r="AP4" s="155" t="n">
        <x:f>SETUP!$B$4+36</x:f>
        <x:v>46336</x:v>
      </x:c>
      <x:c r="AQ4" s="155" t="n">
        <x:f>SETUP!$B$4+37</x:f>
        <x:v>46337</x:v>
      </x:c>
      <x:c r="AR4" s="155" t="n">
        <x:f>SETUP!$B$4+38</x:f>
        <x:v>46338</x:v>
      </x:c>
      <x:c r="AS4" s="155" t="n">
        <x:f>SETUP!$B$4+39</x:f>
        <x:v>46339</x:v>
      </x:c>
      <x:c r="AT4" s="155" t="n">
        <x:f>SETUP!$B$4+40</x:f>
        <x:v>46340</x:v>
      </x:c>
      <x:c r="AU4" s="155" t="n">
        <x:f>SETUP!$B$4+41</x:f>
        <x:v>46341</x:v>
      </x:c>
      <x:c r="AV4" s="155" t="n">
        <x:f>SETUP!$B$4+42</x:f>
        <x:v>46342</x:v>
      </x:c>
      <x:c r="AW4" s="155" t="n">
        <x:f>SETUP!$B$4+43</x:f>
        <x:v>46343</x:v>
      </x:c>
      <x:c r="AX4" s="155" t="n">
        <x:f>SETUP!$B$4+44</x:f>
        <x:v>46344</x:v>
      </x:c>
      <x:c r="AY4" s="155" t="n">
        <x:f>SETUP!$B$4+45</x:f>
        <x:v>46345</x:v>
      </x:c>
      <x:c r="AZ4" s="155" t="n">
        <x:f>SETUP!$B$4+46</x:f>
        <x:v>46346</x:v>
      </x:c>
      <x:c r="BA4" s="155" t="n">
        <x:f>SETUP!$B$4+47</x:f>
        <x:v>46347</x:v>
      </x:c>
    </x:row>
    <x:row r="5">
      <x:c r="A5" s="106" t="str">
        <x:f>IF('PROJECT PLAN'!C4="","",'PROJECT PLAN'!A4)</x:f>
      </x:c>
      <x:c r="B5" s="106" t="str">
        <x:f>IF('PROJECT PLAN'!C4="","",'PROJECT PLAN'!B4)</x:f>
      </x:c>
      <x:c r="C5" s="106" t="str">
        <x:f>IF('PROJECT PLAN'!C4="","",'PROJECT PLAN'!C4)</x:f>
      </x:c>
      <x:c r="D5" s="106" t="str">
        <x:f>IF('PROJECT PLAN'!C4="","",'PROJECT PLAN'!D4)</x:f>
      </x:c>
      <x:c r="E5" s="106" t="str">
        <x:f>IF('PROJECT PLAN'!C4="","",'PROJECT PLAN'!E4)</x:f>
      </x:c>
      <x:c r="F5" s="106"/>
      <x:c r="G5" s="106"/>
      <x:c r="H5" s="106"/>
      <x:c r="I5" s="106"/>
      <x:c r="J5" s="106"/>
      <x:c r="K5" s="106"/>
      <x:c r="L5" s="106"/>
      <x:c r="M5" s="106"/>
      <x:c r="N5" s="106"/>
      <x:c r="O5" s="106"/>
      <x:c r="P5" s="106"/>
      <x:c r="Q5" s="106"/>
      <x:c r="R5" s="106"/>
      <x:c r="S5" s="106"/>
      <x:c r="T5" s="106"/>
      <x:c r="U5" s="106"/>
      <x:c r="V5" s="106"/>
      <x:c r="W5" s="106"/>
      <x:c r="X5" s="106"/>
      <x:c r="Y5" s="106"/>
      <x:c r="Z5" s="106"/>
      <x:c r="AA5" s="106"/>
      <x:c r="AB5" s="106"/>
      <x:c r="AC5" s="106"/>
      <x:c r="AD5" s="106"/>
      <x:c r="AE5" s="106"/>
      <x:c r="AF5" s="106"/>
      <x:c r="AG5" s="106"/>
      <x:c r="AH5" s="106"/>
      <x:c r="AI5" s="106"/>
      <x:c r="AJ5" s="106"/>
      <x:c r="AK5" s="106"/>
      <x:c r="AL5" s="106"/>
      <x:c r="AM5" s="106"/>
      <x:c r="AN5" s="106"/>
      <x:c r="AO5" s="106"/>
      <x:c r="AP5" s="106"/>
      <x:c r="AQ5" s="106"/>
      <x:c r="AR5" s="106"/>
      <x:c r="AS5" s="106"/>
      <x:c r="AT5" s="106"/>
      <x:c r="AU5" s="106"/>
      <x:c r="AV5" s="106"/>
      <x:c r="AW5" s="106"/>
      <x:c r="AX5" s="106"/>
      <x:c r="AY5" s="106"/>
      <x:c r="AZ5" s="106"/>
      <x:c r="BA5" s="106"/>
    </x:row>
    <x:row r="6">
      <x:c r="A6" s="106" t="str">
        <x:f>IF('PROJECT PLAN'!C5="","",'PROJECT PLAN'!A5)</x:f>
      </x:c>
      <x:c r="B6" s="106" t="str">
        <x:f>IF('PROJECT PLAN'!C5="","",'PROJECT PLAN'!B5)</x:f>
      </x:c>
      <x:c r="C6" s="106" t="str">
        <x:f>IF('PROJECT PLAN'!C5="","",'PROJECT PLAN'!C5)</x:f>
      </x:c>
      <x:c r="D6" s="106" t="str">
        <x:f>IF('PROJECT PLAN'!C5="","",'PROJECT PLAN'!D5)</x:f>
      </x:c>
      <x:c r="E6" s="106" t="str">
        <x:f>IF('PROJECT PLAN'!C5="","",'PROJECT PLAN'!E5)</x:f>
      </x:c>
      <x:c r="F6" s="106"/>
      <x:c r="G6" s="106"/>
      <x:c r="H6" s="106"/>
      <x:c r="I6" s="106"/>
      <x:c r="J6" s="106"/>
      <x:c r="K6" s="106"/>
      <x:c r="L6" s="106"/>
      <x:c r="M6" s="106"/>
      <x:c r="N6" s="106"/>
      <x:c r="O6" s="106"/>
      <x:c r="P6" s="106"/>
      <x:c r="Q6" s="106"/>
      <x:c r="R6" s="106"/>
      <x:c r="S6" s="106"/>
      <x:c r="T6" s="106"/>
      <x:c r="U6" s="106"/>
      <x:c r="V6" s="106"/>
      <x:c r="W6" s="106"/>
      <x:c r="X6" s="106"/>
      <x:c r="Y6" s="106"/>
      <x:c r="Z6" s="106"/>
      <x:c r="AA6" s="106"/>
      <x:c r="AB6" s="106"/>
      <x:c r="AC6" s="106"/>
      <x:c r="AD6" s="106"/>
      <x:c r="AE6" s="106"/>
      <x:c r="AF6" s="106"/>
      <x:c r="AG6" s="106"/>
      <x:c r="AH6" s="106"/>
      <x:c r="AI6" s="106"/>
      <x:c r="AJ6" s="106"/>
      <x:c r="AK6" s="106"/>
      <x:c r="AL6" s="106"/>
      <x:c r="AM6" s="106"/>
      <x:c r="AN6" s="106"/>
      <x:c r="AO6" s="106"/>
      <x:c r="AP6" s="106"/>
      <x:c r="AQ6" s="106"/>
      <x:c r="AR6" s="106"/>
      <x:c r="AS6" s="106"/>
      <x:c r="AT6" s="106"/>
      <x:c r="AU6" s="106"/>
      <x:c r="AV6" s="106"/>
      <x:c r="AW6" s="106"/>
      <x:c r="AX6" s="106"/>
      <x:c r="AY6" s="106"/>
      <x:c r="AZ6" s="106"/>
      <x:c r="BA6" s="106"/>
    </x:row>
    <x:row r="7">
      <x:c r="A7" s="106" t="str">
        <x:f>IF('PROJECT PLAN'!C6="","",'PROJECT PLAN'!A6)</x:f>
      </x:c>
      <x:c r="B7" s="106" t="str">
        <x:f>IF('PROJECT PLAN'!C6="","",'PROJECT PLAN'!B6)</x:f>
      </x:c>
      <x:c r="C7" s="106" t="str">
        <x:f>IF('PROJECT PLAN'!C6="","",'PROJECT PLAN'!C6)</x:f>
      </x:c>
      <x:c r="D7" s="106" t="str">
        <x:f>IF('PROJECT PLAN'!C6="","",'PROJECT PLAN'!D6)</x:f>
      </x:c>
      <x:c r="E7" s="106" t="str">
        <x:f>IF('PROJECT PLAN'!C6="","",'PROJECT PLAN'!E6)</x:f>
      </x:c>
      <x:c r="F7" s="106"/>
      <x:c r="G7" s="106"/>
      <x:c r="H7" s="106"/>
      <x:c r="I7" s="106"/>
      <x:c r="J7" s="106"/>
      <x:c r="K7" s="106"/>
      <x:c r="L7" s="106"/>
      <x:c r="M7" s="106"/>
      <x:c r="N7" s="106"/>
      <x:c r="O7" s="106"/>
      <x:c r="P7" s="106"/>
      <x:c r="Q7" s="106"/>
      <x:c r="R7" s="106"/>
      <x:c r="S7" s="106"/>
      <x:c r="T7" s="106"/>
      <x:c r="U7" s="106"/>
      <x:c r="V7" s="106"/>
      <x:c r="W7" s="106"/>
      <x:c r="X7" s="106"/>
      <x:c r="Y7" s="106"/>
      <x:c r="Z7" s="106"/>
      <x:c r="AA7" s="106"/>
      <x:c r="AB7" s="106"/>
      <x:c r="AC7" s="106"/>
      <x:c r="AD7" s="106"/>
      <x:c r="AE7" s="106"/>
      <x:c r="AF7" s="106"/>
      <x:c r="AG7" s="106"/>
      <x:c r="AH7" s="106"/>
      <x:c r="AI7" s="106"/>
      <x:c r="AJ7" s="106"/>
      <x:c r="AK7" s="106"/>
      <x:c r="AL7" s="106"/>
      <x:c r="AM7" s="106"/>
      <x:c r="AN7" s="106"/>
      <x:c r="AO7" s="106"/>
      <x:c r="AP7" s="106"/>
      <x:c r="AQ7" s="106"/>
      <x:c r="AR7" s="106"/>
      <x:c r="AS7" s="106"/>
      <x:c r="AT7" s="106"/>
      <x:c r="AU7" s="106"/>
      <x:c r="AV7" s="106"/>
      <x:c r="AW7" s="106"/>
      <x:c r="AX7" s="106"/>
      <x:c r="AY7" s="106"/>
      <x:c r="AZ7" s="106"/>
      <x:c r="BA7" s="106"/>
    </x:row>
    <x:row r="8">
      <x:c r="A8" s="106" t="str">
        <x:f>IF('PROJECT PLAN'!C7="","",'PROJECT PLAN'!A7)</x:f>
      </x:c>
      <x:c r="B8" s="106" t="str">
        <x:f>IF('PROJECT PLAN'!C7="","",'PROJECT PLAN'!B7)</x:f>
      </x:c>
      <x:c r="C8" s="106" t="str">
        <x:f>IF('PROJECT PLAN'!C7="","",'PROJECT PLAN'!C7)</x:f>
      </x:c>
      <x:c r="D8" s="106" t="str">
        <x:f>IF('PROJECT PLAN'!C7="","",'PROJECT PLAN'!D7)</x:f>
      </x:c>
      <x:c r="E8" s="106" t="str">
        <x:f>IF('PROJECT PLAN'!C7="","",'PROJECT PLAN'!E7)</x:f>
      </x:c>
      <x:c r="F8" s="106"/>
      <x:c r="G8" s="106"/>
      <x:c r="H8" s="106"/>
      <x:c r="I8" s="106"/>
      <x:c r="J8" s="106"/>
      <x:c r="K8" s="106"/>
      <x:c r="L8" s="106"/>
      <x:c r="M8" s="106"/>
      <x:c r="N8" s="106"/>
      <x:c r="O8" s="106"/>
      <x:c r="P8" s="106"/>
      <x:c r="Q8" s="106"/>
      <x:c r="R8" s="106"/>
      <x:c r="S8" s="106"/>
      <x:c r="T8" s="106"/>
      <x:c r="U8" s="106"/>
      <x:c r="V8" s="106"/>
      <x:c r="W8" s="106"/>
      <x:c r="X8" s="106"/>
      <x:c r="Y8" s="106"/>
      <x:c r="Z8" s="106"/>
      <x:c r="AA8" s="106"/>
      <x:c r="AB8" s="106"/>
      <x:c r="AC8" s="106"/>
      <x:c r="AD8" s="106"/>
      <x:c r="AE8" s="106"/>
      <x:c r="AF8" s="106"/>
      <x:c r="AG8" s="106"/>
      <x:c r="AH8" s="106"/>
      <x:c r="AI8" s="106"/>
      <x:c r="AJ8" s="106"/>
      <x:c r="AK8" s="106"/>
      <x:c r="AL8" s="106"/>
      <x:c r="AM8" s="106"/>
      <x:c r="AN8" s="106"/>
      <x:c r="AO8" s="106"/>
      <x:c r="AP8" s="106"/>
      <x:c r="AQ8" s="106"/>
      <x:c r="AR8" s="106"/>
      <x:c r="AS8" s="106"/>
      <x:c r="AT8" s="106"/>
      <x:c r="AU8" s="106"/>
      <x:c r="AV8" s="106"/>
      <x:c r="AW8" s="106"/>
      <x:c r="AX8" s="106"/>
      <x:c r="AY8" s="106"/>
      <x:c r="AZ8" s="106"/>
      <x:c r="BA8" s="106"/>
    </x:row>
    <x:row r="9">
      <x:c r="A9" s="106" t="str">
        <x:f>IF('PROJECT PLAN'!C8="","",'PROJECT PLAN'!A8)</x:f>
      </x:c>
      <x:c r="B9" s="106" t="str">
        <x:f>IF('PROJECT PLAN'!C8="","",'PROJECT PLAN'!B8)</x:f>
      </x:c>
      <x:c r="C9" s="106" t="str">
        <x:f>IF('PROJECT PLAN'!C8="","",'PROJECT PLAN'!C8)</x:f>
      </x:c>
      <x:c r="D9" s="106" t="str">
        <x:f>IF('PROJECT PLAN'!C8="","",'PROJECT PLAN'!D8)</x:f>
      </x:c>
      <x:c r="E9" s="106" t="str">
        <x:f>IF('PROJECT PLAN'!C8="","",'PROJECT PLAN'!E8)</x:f>
      </x:c>
      <x:c r="F9" s="106"/>
      <x:c r="G9" s="106"/>
      <x:c r="H9" s="106"/>
      <x:c r="I9" s="106"/>
      <x:c r="J9" s="106"/>
      <x:c r="K9" s="106"/>
      <x:c r="L9" s="106"/>
      <x:c r="M9" s="106"/>
      <x:c r="N9" s="106"/>
      <x:c r="O9" s="106"/>
      <x:c r="P9" s="106"/>
      <x:c r="Q9" s="106"/>
      <x:c r="R9" s="106"/>
      <x:c r="S9" s="106"/>
      <x:c r="T9" s="106"/>
      <x:c r="U9" s="106"/>
      <x:c r="V9" s="106"/>
      <x:c r="W9" s="106"/>
      <x:c r="X9" s="106"/>
      <x:c r="Y9" s="106"/>
      <x:c r="Z9" s="106"/>
      <x:c r="AA9" s="106"/>
      <x:c r="AB9" s="106"/>
      <x:c r="AC9" s="106"/>
      <x:c r="AD9" s="106"/>
      <x:c r="AE9" s="106"/>
      <x:c r="AF9" s="106"/>
      <x:c r="AG9" s="106"/>
      <x:c r="AH9" s="106"/>
      <x:c r="AI9" s="106"/>
      <x:c r="AJ9" s="106"/>
      <x:c r="AK9" s="106"/>
      <x:c r="AL9" s="106"/>
      <x:c r="AM9" s="106"/>
      <x:c r="AN9" s="106"/>
      <x:c r="AO9" s="106"/>
      <x:c r="AP9" s="106"/>
      <x:c r="AQ9" s="106"/>
      <x:c r="AR9" s="106"/>
      <x:c r="AS9" s="106"/>
      <x:c r="AT9" s="106"/>
      <x:c r="AU9" s="106"/>
      <x:c r="AV9" s="106"/>
      <x:c r="AW9" s="106"/>
      <x:c r="AX9" s="106"/>
      <x:c r="AY9" s="106"/>
      <x:c r="AZ9" s="106"/>
      <x:c r="BA9" s="106"/>
    </x:row>
    <x:row r="10">
      <x:c r="A10" s="106" t="str">
        <x:f>IF('PROJECT PLAN'!C9="","",'PROJECT PLAN'!A9)</x:f>
      </x:c>
      <x:c r="B10" s="106" t="str">
        <x:f>IF('PROJECT PLAN'!C9="","",'PROJECT PLAN'!B9)</x:f>
      </x:c>
      <x:c r="C10" s="106" t="str">
        <x:f>IF('PROJECT PLAN'!C9="","",'PROJECT PLAN'!C9)</x:f>
      </x:c>
      <x:c r="D10" s="106" t="str">
        <x:f>IF('PROJECT PLAN'!C9="","",'PROJECT PLAN'!D9)</x:f>
      </x:c>
      <x:c r="E10" s="106" t="str">
        <x:f>IF('PROJECT PLAN'!C9="","",'PROJECT PLAN'!E9)</x:f>
      </x:c>
      <x:c r="F10" s="106"/>
      <x:c r="G10" s="106"/>
      <x:c r="H10" s="106"/>
      <x:c r="I10" s="106"/>
      <x:c r="J10" s="106"/>
      <x:c r="K10" s="106"/>
      <x:c r="L10" s="106"/>
      <x:c r="M10" s="106"/>
      <x:c r="N10" s="106"/>
      <x:c r="O10" s="106"/>
      <x:c r="P10" s="106"/>
      <x:c r="Q10" s="106"/>
      <x:c r="R10" s="106"/>
      <x:c r="S10" s="106"/>
      <x:c r="T10" s="106"/>
      <x:c r="U10" s="106"/>
      <x:c r="V10" s="106"/>
      <x:c r="W10" s="106"/>
      <x:c r="X10" s="106"/>
      <x:c r="Y10" s="106"/>
      <x:c r="Z10" s="106"/>
      <x:c r="AA10" s="106"/>
      <x:c r="AB10" s="106"/>
      <x:c r="AC10" s="106"/>
      <x:c r="AD10" s="106"/>
      <x:c r="AE10" s="106"/>
      <x:c r="AF10" s="106"/>
      <x:c r="AG10" s="106"/>
      <x:c r="AH10" s="106"/>
      <x:c r="AI10" s="106"/>
      <x:c r="AJ10" s="106"/>
      <x:c r="AK10" s="106"/>
      <x:c r="AL10" s="106"/>
      <x:c r="AM10" s="106"/>
      <x:c r="AN10" s="106"/>
      <x:c r="AO10" s="106"/>
      <x:c r="AP10" s="106"/>
      <x:c r="AQ10" s="106"/>
      <x:c r="AR10" s="106"/>
      <x:c r="AS10" s="106"/>
      <x:c r="AT10" s="106"/>
      <x:c r="AU10" s="106"/>
      <x:c r="AV10" s="106"/>
      <x:c r="AW10" s="106"/>
      <x:c r="AX10" s="106"/>
      <x:c r="AY10" s="106"/>
      <x:c r="AZ10" s="106"/>
      <x:c r="BA10" s="106"/>
    </x:row>
    <x:row r="11">
      <x:c r="A11" s="106" t="str">
        <x:f>IF('PROJECT PLAN'!C10="","",'PROJECT PLAN'!A10)</x:f>
      </x:c>
      <x:c r="B11" s="106" t="str">
        <x:f>IF('PROJECT PLAN'!C10="","",'PROJECT PLAN'!B10)</x:f>
      </x:c>
      <x:c r="C11" s="106" t="str">
        <x:f>IF('PROJECT PLAN'!C10="","",'PROJECT PLAN'!C10)</x:f>
      </x:c>
      <x:c r="D11" s="106" t="str">
        <x:f>IF('PROJECT PLAN'!C10="","",'PROJECT PLAN'!D10)</x:f>
      </x:c>
      <x:c r="E11" s="106" t="str">
        <x:f>IF('PROJECT PLAN'!C10="","",'PROJECT PLAN'!E10)</x:f>
      </x:c>
      <x:c r="F11" s="106"/>
      <x:c r="G11" s="106"/>
      <x:c r="H11" s="106"/>
      <x:c r="I11" s="106"/>
      <x:c r="J11" s="106"/>
      <x:c r="K11" s="106"/>
      <x:c r="L11" s="106"/>
      <x:c r="M11" s="106"/>
      <x:c r="N11" s="106"/>
      <x:c r="O11" s="106"/>
      <x:c r="P11" s="106"/>
      <x:c r="Q11" s="106"/>
      <x:c r="R11" s="106"/>
      <x:c r="S11" s="106"/>
      <x:c r="T11" s="106"/>
      <x:c r="U11" s="106"/>
      <x:c r="V11" s="106"/>
      <x:c r="W11" s="106"/>
      <x:c r="X11" s="106"/>
      <x:c r="Y11" s="106"/>
      <x:c r="Z11" s="106"/>
      <x:c r="AA11" s="106"/>
      <x:c r="AB11" s="106"/>
      <x:c r="AC11" s="106"/>
      <x:c r="AD11" s="106"/>
      <x:c r="AE11" s="106"/>
      <x:c r="AF11" s="106"/>
      <x:c r="AG11" s="106"/>
      <x:c r="AH11" s="106"/>
      <x:c r="AI11" s="106"/>
      <x:c r="AJ11" s="106"/>
      <x:c r="AK11" s="106"/>
      <x:c r="AL11" s="106"/>
      <x:c r="AM11" s="106"/>
      <x:c r="AN11" s="106"/>
      <x:c r="AO11" s="106"/>
      <x:c r="AP11" s="106"/>
      <x:c r="AQ11" s="106"/>
      <x:c r="AR11" s="106"/>
      <x:c r="AS11" s="106"/>
      <x:c r="AT11" s="106"/>
      <x:c r="AU11" s="106"/>
      <x:c r="AV11" s="106"/>
      <x:c r="AW11" s="106"/>
      <x:c r="AX11" s="106"/>
      <x:c r="AY11" s="106"/>
      <x:c r="AZ11" s="106"/>
      <x:c r="BA11" s="106"/>
    </x:row>
    <x:row r="12">
      <x:c r="A12" s="106" t="str">
        <x:f>IF('PROJECT PLAN'!C11="","",'PROJECT PLAN'!A11)</x:f>
      </x:c>
      <x:c r="B12" s="106" t="str">
        <x:f>IF('PROJECT PLAN'!C11="","",'PROJECT PLAN'!B11)</x:f>
      </x:c>
      <x:c r="C12" s="106" t="str">
        <x:f>IF('PROJECT PLAN'!C11="","",'PROJECT PLAN'!C11)</x:f>
      </x:c>
      <x:c r="D12" s="106" t="str">
        <x:f>IF('PROJECT PLAN'!C11="","",'PROJECT PLAN'!D11)</x:f>
      </x:c>
      <x:c r="E12" s="106" t="str">
        <x:f>IF('PROJECT PLAN'!C11="","",'PROJECT PLAN'!E11)</x:f>
      </x:c>
      <x:c r="F12" s="106"/>
      <x:c r="G12" s="106"/>
      <x:c r="H12" s="106"/>
      <x:c r="I12" s="106"/>
      <x:c r="J12" s="106"/>
      <x:c r="K12" s="106"/>
      <x:c r="L12" s="106"/>
      <x:c r="M12" s="106"/>
      <x:c r="N12" s="106"/>
      <x:c r="O12" s="106"/>
      <x:c r="P12" s="106"/>
      <x:c r="Q12" s="106"/>
      <x:c r="R12" s="106"/>
      <x:c r="S12" s="106"/>
      <x:c r="T12" s="106"/>
      <x:c r="U12" s="106"/>
      <x:c r="V12" s="106"/>
      <x:c r="W12" s="106"/>
      <x:c r="X12" s="106"/>
      <x:c r="Y12" s="106"/>
      <x:c r="Z12" s="106"/>
      <x:c r="AA12" s="106"/>
      <x:c r="AB12" s="106"/>
      <x:c r="AC12" s="106"/>
      <x:c r="AD12" s="106"/>
      <x:c r="AE12" s="106"/>
      <x:c r="AF12" s="106"/>
      <x:c r="AG12" s="106"/>
      <x:c r="AH12" s="106"/>
      <x:c r="AI12" s="106"/>
      <x:c r="AJ12" s="106"/>
      <x:c r="AK12" s="106"/>
      <x:c r="AL12" s="106"/>
      <x:c r="AM12" s="106"/>
      <x:c r="AN12" s="106"/>
      <x:c r="AO12" s="106"/>
      <x:c r="AP12" s="106"/>
      <x:c r="AQ12" s="106"/>
      <x:c r="AR12" s="106"/>
      <x:c r="AS12" s="106"/>
      <x:c r="AT12" s="106"/>
      <x:c r="AU12" s="106"/>
      <x:c r="AV12" s="106"/>
      <x:c r="AW12" s="106"/>
      <x:c r="AX12" s="106"/>
      <x:c r="AY12" s="106"/>
      <x:c r="AZ12" s="106"/>
      <x:c r="BA12" s="106"/>
    </x:row>
    <x:row r="13">
      <x:c r="A13" s="106" t="str">
        <x:f>IF('PROJECT PLAN'!C12="","",'PROJECT PLAN'!A12)</x:f>
      </x:c>
      <x:c r="B13" s="106" t="str">
        <x:f>IF('PROJECT PLAN'!C12="","",'PROJECT PLAN'!B12)</x:f>
      </x:c>
      <x:c r="C13" s="106" t="str">
        <x:f>IF('PROJECT PLAN'!C12="","",'PROJECT PLAN'!C12)</x:f>
      </x:c>
      <x:c r="D13" s="106" t="str">
        <x:f>IF('PROJECT PLAN'!C12="","",'PROJECT PLAN'!D12)</x:f>
      </x:c>
      <x:c r="E13" s="106" t="str">
        <x:f>IF('PROJECT PLAN'!C12="","",'PROJECT PLAN'!E12)</x:f>
      </x:c>
      <x:c r="F13" s="106"/>
      <x:c r="G13" s="106"/>
      <x:c r="H13" s="106"/>
      <x:c r="I13" s="106"/>
      <x:c r="J13" s="106"/>
      <x:c r="K13" s="106"/>
      <x:c r="L13" s="106"/>
      <x:c r="M13" s="106"/>
      <x:c r="N13" s="106"/>
      <x:c r="O13" s="106"/>
      <x:c r="P13" s="106"/>
      <x:c r="Q13" s="106"/>
      <x:c r="R13" s="106"/>
      <x:c r="S13" s="106"/>
      <x:c r="T13" s="106"/>
      <x:c r="U13" s="106"/>
      <x:c r="V13" s="106"/>
      <x:c r="W13" s="106"/>
      <x:c r="X13" s="106"/>
      <x:c r="Y13" s="106"/>
      <x:c r="Z13" s="106"/>
      <x:c r="AA13" s="106"/>
      <x:c r="AB13" s="106"/>
      <x:c r="AC13" s="106"/>
      <x:c r="AD13" s="106"/>
      <x:c r="AE13" s="106"/>
      <x:c r="AF13" s="106"/>
      <x:c r="AG13" s="106"/>
      <x:c r="AH13" s="106"/>
      <x:c r="AI13" s="106"/>
      <x:c r="AJ13" s="106"/>
      <x:c r="AK13" s="106"/>
      <x:c r="AL13" s="106"/>
      <x:c r="AM13" s="106"/>
      <x:c r="AN13" s="106"/>
      <x:c r="AO13" s="106"/>
      <x:c r="AP13" s="106"/>
      <x:c r="AQ13" s="106"/>
      <x:c r="AR13" s="106"/>
      <x:c r="AS13" s="106"/>
      <x:c r="AT13" s="106"/>
      <x:c r="AU13" s="106"/>
      <x:c r="AV13" s="106"/>
      <x:c r="AW13" s="106"/>
      <x:c r="AX13" s="106"/>
      <x:c r="AY13" s="106"/>
      <x:c r="AZ13" s="106"/>
      <x:c r="BA13" s="106"/>
    </x:row>
    <x:row r="14">
      <x:c r="A14" s="106" t="str">
        <x:f>IF('PROJECT PLAN'!C13="","",'PROJECT PLAN'!A13)</x:f>
      </x:c>
      <x:c r="B14" s="106" t="str">
        <x:f>IF('PROJECT PLAN'!C13="","",'PROJECT PLAN'!B13)</x:f>
      </x:c>
      <x:c r="C14" s="106" t="str">
        <x:f>IF('PROJECT PLAN'!C13="","",'PROJECT PLAN'!C13)</x:f>
      </x:c>
      <x:c r="D14" s="106" t="str">
        <x:f>IF('PROJECT PLAN'!C13="","",'PROJECT PLAN'!D13)</x:f>
      </x:c>
      <x:c r="E14" s="106" t="str">
        <x:f>IF('PROJECT PLAN'!C13="","",'PROJECT PLAN'!E13)</x:f>
      </x:c>
      <x:c r="F14" s="106"/>
      <x:c r="G14" s="106"/>
      <x:c r="H14" s="106"/>
      <x:c r="I14" s="106"/>
      <x:c r="J14" s="106"/>
      <x:c r="K14" s="106"/>
      <x:c r="L14" s="106"/>
      <x:c r="M14" s="106"/>
      <x:c r="N14" s="106"/>
      <x:c r="O14" s="106"/>
      <x:c r="P14" s="106"/>
      <x:c r="Q14" s="106"/>
      <x:c r="R14" s="106"/>
      <x:c r="S14" s="106"/>
      <x:c r="T14" s="106"/>
      <x:c r="U14" s="106"/>
      <x:c r="V14" s="106"/>
      <x:c r="W14" s="106"/>
      <x:c r="X14" s="106"/>
      <x:c r="Y14" s="106"/>
      <x:c r="Z14" s="106"/>
      <x:c r="AA14" s="106"/>
      <x:c r="AB14" s="106"/>
      <x:c r="AC14" s="106"/>
      <x:c r="AD14" s="106"/>
      <x:c r="AE14" s="106"/>
      <x:c r="AF14" s="106"/>
      <x:c r="AG14" s="106"/>
      <x:c r="AH14" s="106"/>
      <x:c r="AI14" s="106"/>
      <x:c r="AJ14" s="106"/>
      <x:c r="AK14" s="106"/>
      <x:c r="AL14" s="106"/>
      <x:c r="AM14" s="106"/>
      <x:c r="AN14" s="106"/>
      <x:c r="AO14" s="106"/>
      <x:c r="AP14" s="106"/>
      <x:c r="AQ14" s="106"/>
      <x:c r="AR14" s="106"/>
      <x:c r="AS14" s="106"/>
      <x:c r="AT14" s="106"/>
      <x:c r="AU14" s="106"/>
      <x:c r="AV14" s="106"/>
      <x:c r="AW14" s="106"/>
      <x:c r="AX14" s="106"/>
      <x:c r="AY14" s="106"/>
      <x:c r="AZ14" s="106"/>
      <x:c r="BA14" s="106"/>
    </x:row>
    <x:row r="15">
      <x:c r="A15" s="106" t="str">
        <x:f>IF('PROJECT PLAN'!C14="","",'PROJECT PLAN'!A14)</x:f>
      </x:c>
      <x:c r="B15" s="106" t="str">
        <x:f>IF('PROJECT PLAN'!C14="","",'PROJECT PLAN'!B14)</x:f>
      </x:c>
      <x:c r="C15" s="106" t="str">
        <x:f>IF('PROJECT PLAN'!C14="","",'PROJECT PLAN'!C14)</x:f>
      </x:c>
      <x:c r="D15" s="106" t="str">
        <x:f>IF('PROJECT PLAN'!C14="","",'PROJECT PLAN'!D14)</x:f>
      </x:c>
      <x:c r="E15" s="106" t="str">
        <x:f>IF('PROJECT PLAN'!C14="","",'PROJECT PLAN'!E14)</x:f>
      </x:c>
      <x:c r="F15" s="106"/>
      <x:c r="G15" s="106"/>
      <x:c r="H15" s="106"/>
      <x:c r="I15" s="106"/>
      <x:c r="J15" s="106"/>
      <x:c r="K15" s="106"/>
      <x:c r="L15" s="106"/>
      <x:c r="M15" s="106"/>
      <x:c r="N15" s="106"/>
      <x:c r="O15" s="106"/>
      <x:c r="P15" s="106"/>
      <x:c r="Q15" s="106"/>
      <x:c r="R15" s="106"/>
      <x:c r="S15" s="106"/>
      <x:c r="T15" s="106"/>
      <x:c r="U15" s="106"/>
      <x:c r="V15" s="106"/>
      <x:c r="W15" s="106"/>
      <x:c r="X15" s="106"/>
      <x:c r="Y15" s="106"/>
      <x:c r="Z15" s="106"/>
      <x:c r="AA15" s="106"/>
      <x:c r="AB15" s="106"/>
      <x:c r="AC15" s="106"/>
      <x:c r="AD15" s="106"/>
      <x:c r="AE15" s="106"/>
      <x:c r="AF15" s="106"/>
      <x:c r="AG15" s="106"/>
      <x:c r="AH15" s="106"/>
      <x:c r="AI15" s="106"/>
      <x:c r="AJ15" s="106"/>
      <x:c r="AK15" s="106"/>
      <x:c r="AL15" s="106"/>
      <x:c r="AM15" s="106"/>
      <x:c r="AN15" s="106"/>
      <x:c r="AO15" s="106"/>
      <x:c r="AP15" s="106"/>
      <x:c r="AQ15" s="106"/>
      <x:c r="AR15" s="106"/>
      <x:c r="AS15" s="106"/>
      <x:c r="AT15" s="106"/>
      <x:c r="AU15" s="106"/>
      <x:c r="AV15" s="106"/>
      <x:c r="AW15" s="106"/>
      <x:c r="AX15" s="106"/>
      <x:c r="AY15" s="106"/>
      <x:c r="AZ15" s="106"/>
      <x:c r="BA15" s="106"/>
    </x:row>
    <x:row r="16">
      <x:c r="A16" s="106" t="str">
        <x:f>IF('PROJECT PLAN'!C15="","",'PROJECT PLAN'!A15)</x:f>
      </x:c>
      <x:c r="B16" s="106" t="str">
        <x:f>IF('PROJECT PLAN'!C15="","",'PROJECT PLAN'!B15)</x:f>
      </x:c>
      <x:c r="C16" s="106" t="str">
        <x:f>IF('PROJECT PLAN'!C15="","",'PROJECT PLAN'!C15)</x:f>
      </x:c>
      <x:c r="D16" s="106" t="str">
        <x:f>IF('PROJECT PLAN'!C15="","",'PROJECT PLAN'!D15)</x:f>
      </x:c>
      <x:c r="E16" s="106" t="str">
        <x:f>IF('PROJECT PLAN'!C15="","",'PROJECT PLAN'!E15)</x:f>
      </x:c>
      <x:c r="F16" s="106"/>
      <x:c r="G16" s="106"/>
      <x:c r="H16" s="106"/>
      <x:c r="I16" s="106"/>
      <x:c r="J16" s="106"/>
      <x:c r="K16" s="106"/>
      <x:c r="L16" s="106"/>
      <x:c r="M16" s="106"/>
      <x:c r="N16" s="106"/>
      <x:c r="O16" s="106"/>
      <x:c r="P16" s="106"/>
      <x:c r="Q16" s="106"/>
      <x:c r="R16" s="106"/>
      <x:c r="S16" s="106"/>
      <x:c r="T16" s="106"/>
      <x:c r="U16" s="106"/>
      <x:c r="V16" s="106"/>
      <x:c r="W16" s="106"/>
      <x:c r="X16" s="106"/>
      <x:c r="Y16" s="106"/>
      <x:c r="Z16" s="106"/>
      <x:c r="AA16" s="106"/>
      <x:c r="AB16" s="106"/>
      <x:c r="AC16" s="106"/>
      <x:c r="AD16" s="106"/>
      <x:c r="AE16" s="106"/>
      <x:c r="AF16" s="106"/>
      <x:c r="AG16" s="106"/>
      <x:c r="AH16" s="106"/>
      <x:c r="AI16" s="106"/>
      <x:c r="AJ16" s="106"/>
      <x:c r="AK16" s="106"/>
      <x:c r="AL16" s="106"/>
      <x:c r="AM16" s="106"/>
      <x:c r="AN16" s="106"/>
      <x:c r="AO16" s="106"/>
      <x:c r="AP16" s="106"/>
      <x:c r="AQ16" s="106"/>
      <x:c r="AR16" s="106"/>
      <x:c r="AS16" s="106"/>
      <x:c r="AT16" s="106"/>
      <x:c r="AU16" s="106"/>
      <x:c r="AV16" s="106"/>
      <x:c r="AW16" s="106"/>
      <x:c r="AX16" s="106"/>
      <x:c r="AY16" s="106"/>
      <x:c r="AZ16" s="106"/>
      <x:c r="BA16" s="106"/>
    </x:row>
    <x:row r="17">
      <x:c r="A17" s="106" t="str">
        <x:f>IF('PROJECT PLAN'!C16="","",'PROJECT PLAN'!A16)</x:f>
      </x:c>
      <x:c r="B17" s="106" t="str">
        <x:f>IF('PROJECT PLAN'!C16="","",'PROJECT PLAN'!B16)</x:f>
      </x:c>
      <x:c r="C17" s="106" t="str">
        <x:f>IF('PROJECT PLAN'!C16="","",'PROJECT PLAN'!C16)</x:f>
      </x:c>
      <x:c r="D17" s="106" t="str">
        <x:f>IF('PROJECT PLAN'!C16="","",'PROJECT PLAN'!D16)</x:f>
      </x:c>
      <x:c r="E17" s="106" t="str">
        <x:f>IF('PROJECT PLAN'!C16="","",'PROJECT PLAN'!E16)</x:f>
      </x:c>
      <x:c r="F17" s="106"/>
      <x:c r="G17" s="106"/>
      <x:c r="H17" s="106"/>
      <x:c r="I17" s="106"/>
      <x:c r="J17" s="106"/>
      <x:c r="K17" s="106"/>
      <x:c r="L17" s="106"/>
      <x:c r="M17" s="106"/>
      <x:c r="N17" s="106"/>
      <x:c r="O17" s="106"/>
      <x:c r="P17" s="106"/>
      <x:c r="Q17" s="106"/>
      <x:c r="R17" s="106"/>
      <x:c r="S17" s="106"/>
      <x:c r="T17" s="106"/>
      <x:c r="U17" s="106"/>
      <x:c r="V17" s="106"/>
      <x:c r="W17" s="106"/>
      <x:c r="X17" s="106"/>
      <x:c r="Y17" s="106"/>
      <x:c r="Z17" s="106"/>
      <x:c r="AA17" s="106"/>
      <x:c r="AB17" s="106"/>
      <x:c r="AC17" s="106"/>
      <x:c r="AD17" s="106"/>
      <x:c r="AE17" s="106"/>
      <x:c r="AF17" s="106"/>
      <x:c r="AG17" s="106"/>
      <x:c r="AH17" s="106"/>
      <x:c r="AI17" s="106"/>
      <x:c r="AJ17" s="106"/>
      <x:c r="AK17" s="106"/>
      <x:c r="AL17" s="106"/>
      <x:c r="AM17" s="106"/>
      <x:c r="AN17" s="106"/>
      <x:c r="AO17" s="106"/>
      <x:c r="AP17" s="106"/>
      <x:c r="AQ17" s="106"/>
      <x:c r="AR17" s="106"/>
      <x:c r="AS17" s="106"/>
      <x:c r="AT17" s="106"/>
      <x:c r="AU17" s="106"/>
      <x:c r="AV17" s="106"/>
      <x:c r="AW17" s="106"/>
      <x:c r="AX17" s="106"/>
      <x:c r="AY17" s="106"/>
      <x:c r="AZ17" s="106"/>
      <x:c r="BA17" s="106"/>
    </x:row>
    <x:row r="18">
      <x:c r="A18" s="106" t="str">
        <x:f>IF('PROJECT PLAN'!C17="","",'PROJECT PLAN'!A17)</x:f>
      </x:c>
      <x:c r="B18" s="106" t="str">
        <x:f>IF('PROJECT PLAN'!C17="","",'PROJECT PLAN'!B17)</x:f>
      </x:c>
      <x:c r="C18" s="106" t="str">
        <x:f>IF('PROJECT PLAN'!C17="","",'PROJECT PLAN'!C17)</x:f>
      </x:c>
      <x:c r="D18" s="106" t="str">
        <x:f>IF('PROJECT PLAN'!C17="","",'PROJECT PLAN'!D17)</x:f>
      </x:c>
      <x:c r="E18" s="106" t="str">
        <x:f>IF('PROJECT PLAN'!C17="","",'PROJECT PLAN'!E17)</x:f>
      </x:c>
      <x:c r="F18" s="106"/>
      <x:c r="G18" s="106"/>
      <x:c r="H18" s="106"/>
      <x:c r="I18" s="106"/>
      <x:c r="J18" s="106"/>
      <x:c r="K18" s="106"/>
      <x:c r="L18" s="106"/>
      <x:c r="M18" s="106"/>
      <x:c r="N18" s="106"/>
      <x:c r="O18" s="106"/>
      <x:c r="P18" s="106"/>
      <x:c r="Q18" s="106"/>
      <x:c r="R18" s="106"/>
      <x:c r="S18" s="106"/>
      <x:c r="T18" s="106"/>
      <x:c r="U18" s="106"/>
      <x:c r="V18" s="106"/>
      <x:c r="W18" s="106"/>
      <x:c r="X18" s="106"/>
      <x:c r="Y18" s="106"/>
      <x:c r="Z18" s="106"/>
      <x:c r="AA18" s="106"/>
      <x:c r="AB18" s="106"/>
      <x:c r="AC18" s="106"/>
      <x:c r="AD18" s="106"/>
      <x:c r="AE18" s="106"/>
      <x:c r="AF18" s="106"/>
      <x:c r="AG18" s="106"/>
      <x:c r="AH18" s="106"/>
      <x:c r="AI18" s="106"/>
      <x:c r="AJ18" s="106"/>
      <x:c r="AK18" s="106"/>
      <x:c r="AL18" s="106"/>
      <x:c r="AM18" s="106"/>
      <x:c r="AN18" s="106"/>
      <x:c r="AO18" s="106"/>
      <x:c r="AP18" s="106"/>
      <x:c r="AQ18" s="106"/>
      <x:c r="AR18" s="106"/>
      <x:c r="AS18" s="106"/>
      <x:c r="AT18" s="106"/>
      <x:c r="AU18" s="106"/>
      <x:c r="AV18" s="106"/>
      <x:c r="AW18" s="106"/>
      <x:c r="AX18" s="106"/>
      <x:c r="AY18" s="106"/>
      <x:c r="AZ18" s="106"/>
      <x:c r="BA18" s="106"/>
    </x:row>
    <x:row r="19">
      <x:c r="A19" s="106" t="str">
        <x:f>IF('PROJECT PLAN'!C18="","",'PROJECT PLAN'!A18)</x:f>
      </x:c>
      <x:c r="B19" s="106" t="str">
        <x:f>IF('PROJECT PLAN'!C18="","",'PROJECT PLAN'!B18)</x:f>
      </x:c>
      <x:c r="C19" s="106" t="str">
        <x:f>IF('PROJECT PLAN'!C18="","",'PROJECT PLAN'!C18)</x:f>
      </x:c>
      <x:c r="D19" s="106" t="str">
        <x:f>IF('PROJECT PLAN'!C18="","",'PROJECT PLAN'!D18)</x:f>
      </x:c>
      <x:c r="E19" s="106" t="str">
        <x:f>IF('PROJECT PLAN'!C18="","",'PROJECT PLAN'!E18)</x:f>
      </x:c>
      <x:c r="F19" s="106"/>
      <x:c r="G19" s="106"/>
      <x:c r="H19" s="106"/>
      <x:c r="I19" s="106"/>
      <x:c r="J19" s="106"/>
      <x:c r="K19" s="106"/>
      <x:c r="L19" s="106"/>
      <x:c r="M19" s="106"/>
      <x:c r="N19" s="106"/>
      <x:c r="O19" s="106"/>
      <x:c r="P19" s="106"/>
      <x:c r="Q19" s="106"/>
      <x:c r="R19" s="106"/>
      <x:c r="S19" s="106"/>
      <x:c r="T19" s="106"/>
      <x:c r="U19" s="106"/>
      <x:c r="V19" s="106"/>
      <x:c r="W19" s="106"/>
      <x:c r="X19" s="106"/>
      <x:c r="Y19" s="106"/>
      <x:c r="Z19" s="106"/>
      <x:c r="AA19" s="106"/>
      <x:c r="AB19" s="106"/>
      <x:c r="AC19" s="106"/>
      <x:c r="AD19" s="106"/>
      <x:c r="AE19" s="106"/>
      <x:c r="AF19" s="106"/>
      <x:c r="AG19" s="106"/>
      <x:c r="AH19" s="106"/>
      <x:c r="AI19" s="106"/>
      <x:c r="AJ19" s="106"/>
      <x:c r="AK19" s="106"/>
      <x:c r="AL19" s="106"/>
      <x:c r="AM19" s="106"/>
      <x:c r="AN19" s="106"/>
      <x:c r="AO19" s="106"/>
      <x:c r="AP19" s="106"/>
      <x:c r="AQ19" s="106"/>
      <x:c r="AR19" s="106"/>
      <x:c r="AS19" s="106"/>
      <x:c r="AT19" s="106"/>
      <x:c r="AU19" s="106"/>
      <x:c r="AV19" s="106"/>
      <x:c r="AW19" s="106"/>
      <x:c r="AX19" s="106"/>
      <x:c r="AY19" s="106"/>
      <x:c r="AZ19" s="106"/>
      <x:c r="BA19" s="106"/>
    </x:row>
    <x:row r="20">
      <x:c r="A20" s="106" t="str">
        <x:f>IF('PROJECT PLAN'!C19="","",'PROJECT PLAN'!A19)</x:f>
      </x:c>
      <x:c r="B20" s="106" t="str">
        <x:f>IF('PROJECT PLAN'!C19="","",'PROJECT PLAN'!B19)</x:f>
      </x:c>
      <x:c r="C20" s="106" t="str">
        <x:f>IF('PROJECT PLAN'!C19="","",'PROJECT PLAN'!C19)</x:f>
      </x:c>
      <x:c r="D20" s="106" t="str">
        <x:f>IF('PROJECT PLAN'!C19="","",'PROJECT PLAN'!D19)</x:f>
      </x:c>
      <x:c r="E20" s="106" t="str">
        <x:f>IF('PROJECT PLAN'!C19="","",'PROJECT PLAN'!E19)</x:f>
      </x:c>
      <x:c r="F20" s="106"/>
      <x:c r="G20" s="106"/>
      <x:c r="H20" s="106"/>
      <x:c r="I20" s="106"/>
      <x:c r="J20" s="106"/>
      <x:c r="K20" s="106"/>
      <x:c r="L20" s="106"/>
      <x:c r="M20" s="106"/>
      <x:c r="N20" s="106"/>
      <x:c r="O20" s="106"/>
      <x:c r="P20" s="106"/>
      <x:c r="Q20" s="106"/>
      <x:c r="R20" s="106"/>
      <x:c r="S20" s="106"/>
      <x:c r="T20" s="106"/>
      <x:c r="U20" s="106"/>
      <x:c r="V20" s="106"/>
      <x:c r="W20" s="106"/>
      <x:c r="X20" s="106"/>
      <x:c r="Y20" s="106"/>
      <x:c r="Z20" s="106"/>
      <x:c r="AA20" s="106"/>
      <x:c r="AB20" s="106"/>
      <x:c r="AC20" s="106"/>
      <x:c r="AD20" s="106"/>
      <x:c r="AE20" s="106"/>
      <x:c r="AF20" s="106"/>
      <x:c r="AG20" s="106"/>
      <x:c r="AH20" s="106"/>
      <x:c r="AI20" s="106"/>
      <x:c r="AJ20" s="106"/>
      <x:c r="AK20" s="106"/>
      <x:c r="AL20" s="106"/>
      <x:c r="AM20" s="106"/>
      <x:c r="AN20" s="106"/>
      <x:c r="AO20" s="106"/>
      <x:c r="AP20" s="106"/>
      <x:c r="AQ20" s="106"/>
      <x:c r="AR20" s="106"/>
      <x:c r="AS20" s="106"/>
      <x:c r="AT20" s="106"/>
      <x:c r="AU20" s="106"/>
      <x:c r="AV20" s="106"/>
      <x:c r="AW20" s="106"/>
      <x:c r="AX20" s="106"/>
      <x:c r="AY20" s="106"/>
      <x:c r="AZ20" s="106"/>
      <x:c r="BA20" s="106"/>
    </x:row>
    <x:row r="21">
      <x:c r="A21" s="106" t="str">
        <x:f>IF('PROJECT PLAN'!C20="","",'PROJECT PLAN'!A20)</x:f>
      </x:c>
      <x:c r="B21" s="106" t="str">
        <x:f>IF('PROJECT PLAN'!C20="","",'PROJECT PLAN'!B20)</x:f>
      </x:c>
      <x:c r="C21" s="106" t="str">
        <x:f>IF('PROJECT PLAN'!C20="","",'PROJECT PLAN'!C20)</x:f>
      </x:c>
      <x:c r="D21" s="106" t="str">
        <x:f>IF('PROJECT PLAN'!C20="","",'PROJECT PLAN'!D20)</x:f>
      </x:c>
      <x:c r="E21" s="106" t="str">
        <x:f>IF('PROJECT PLAN'!C20="","",'PROJECT PLAN'!E20)</x:f>
      </x:c>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c r="AO21" s="106"/>
      <x:c r="AP21" s="106"/>
      <x:c r="AQ21" s="106"/>
      <x:c r="AR21" s="106"/>
      <x:c r="AS21" s="106"/>
      <x:c r="AT21" s="106"/>
      <x:c r="AU21" s="106"/>
      <x:c r="AV21" s="106"/>
      <x:c r="AW21" s="106"/>
      <x:c r="AX21" s="106"/>
      <x:c r="AY21" s="106"/>
      <x:c r="AZ21" s="106"/>
      <x:c r="BA21" s="106"/>
    </x:row>
    <x:row r="22">
      <x:c r="A22" s="106" t="str">
        <x:f>IF('PROJECT PLAN'!C21="","",'PROJECT PLAN'!A21)</x:f>
      </x:c>
      <x:c r="B22" s="106" t="str">
        <x:f>IF('PROJECT PLAN'!C21="","",'PROJECT PLAN'!B21)</x:f>
      </x:c>
      <x:c r="C22" s="106" t="str">
        <x:f>IF('PROJECT PLAN'!C21="","",'PROJECT PLAN'!C21)</x:f>
      </x:c>
      <x:c r="D22" s="106" t="str">
        <x:f>IF('PROJECT PLAN'!C21="","",'PROJECT PLAN'!D21)</x:f>
      </x:c>
      <x:c r="E22" s="106" t="str">
        <x:f>IF('PROJECT PLAN'!C21="","",'PROJECT PLAN'!E21)</x:f>
      </x:c>
      <x:c r="F22" s="106"/>
      <x:c r="G22" s="106"/>
      <x:c r="H22" s="106"/>
      <x:c r="I22" s="106"/>
      <x:c r="J22" s="106"/>
      <x:c r="K22" s="106"/>
      <x:c r="L22" s="106"/>
      <x:c r="M22" s="106"/>
      <x:c r="N22" s="106"/>
      <x:c r="O22" s="106"/>
      <x:c r="P22" s="106"/>
      <x:c r="Q22" s="106"/>
      <x:c r="R22" s="106"/>
      <x:c r="S22" s="106"/>
      <x:c r="T22" s="106"/>
      <x:c r="U22" s="106"/>
      <x:c r="V22" s="106"/>
      <x:c r="W22" s="106"/>
      <x:c r="X22" s="106"/>
      <x:c r="Y22" s="106"/>
      <x:c r="Z22" s="106"/>
      <x:c r="AA22" s="106"/>
      <x:c r="AB22" s="106"/>
      <x:c r="AC22" s="106"/>
      <x:c r="AD22" s="106"/>
      <x:c r="AE22" s="106"/>
      <x:c r="AF22" s="106"/>
      <x:c r="AG22" s="106"/>
      <x:c r="AH22" s="106"/>
      <x:c r="AI22" s="106"/>
      <x:c r="AJ22" s="106"/>
      <x:c r="AK22" s="106"/>
      <x:c r="AL22" s="106"/>
      <x:c r="AM22" s="106"/>
      <x:c r="AN22" s="106"/>
      <x:c r="AO22" s="106"/>
      <x:c r="AP22" s="106"/>
      <x:c r="AQ22" s="106"/>
      <x:c r="AR22" s="106"/>
      <x:c r="AS22" s="106"/>
      <x:c r="AT22" s="106"/>
      <x:c r="AU22" s="106"/>
      <x:c r="AV22" s="106"/>
      <x:c r="AW22" s="106"/>
      <x:c r="AX22" s="106"/>
      <x:c r="AY22" s="106"/>
      <x:c r="AZ22" s="106"/>
      <x:c r="BA22" s="106"/>
    </x:row>
    <x:row r="23">
      <x:c r="A23" s="106" t="str">
        <x:f>IF('PROJECT PLAN'!C22="","",'PROJECT PLAN'!A22)</x:f>
      </x:c>
      <x:c r="B23" s="106" t="str">
        <x:f>IF('PROJECT PLAN'!C22="","",'PROJECT PLAN'!B22)</x:f>
      </x:c>
      <x:c r="C23" s="106" t="str">
        <x:f>IF('PROJECT PLAN'!C22="","",'PROJECT PLAN'!C22)</x:f>
      </x:c>
      <x:c r="D23" s="106" t="str">
        <x:f>IF('PROJECT PLAN'!C22="","",'PROJECT PLAN'!D22)</x:f>
      </x:c>
      <x:c r="E23" s="106" t="str">
        <x:f>IF('PROJECT PLAN'!C22="","",'PROJECT PLAN'!E22)</x:f>
      </x:c>
      <x:c r="F23" s="106"/>
      <x:c r="G23" s="106"/>
      <x:c r="H23" s="106"/>
      <x:c r="I23" s="106"/>
      <x:c r="J23" s="106"/>
      <x:c r="K23" s="106"/>
      <x:c r="L23" s="106"/>
      <x:c r="M23" s="106"/>
      <x:c r="N23" s="106"/>
      <x:c r="O23" s="106"/>
      <x:c r="P23" s="106"/>
      <x:c r="Q23" s="106"/>
      <x:c r="R23" s="106"/>
      <x:c r="S23" s="106"/>
      <x:c r="T23" s="106"/>
      <x:c r="U23" s="106"/>
      <x:c r="V23" s="106"/>
      <x:c r="W23" s="106"/>
      <x:c r="X23" s="106"/>
      <x:c r="Y23" s="106"/>
      <x:c r="Z23" s="106"/>
      <x:c r="AA23" s="106"/>
      <x:c r="AB23" s="106"/>
      <x:c r="AC23" s="106"/>
      <x:c r="AD23" s="106"/>
      <x:c r="AE23" s="106"/>
      <x:c r="AF23" s="106"/>
      <x:c r="AG23" s="106"/>
      <x:c r="AH23" s="106"/>
      <x:c r="AI23" s="106"/>
      <x:c r="AJ23" s="106"/>
      <x:c r="AK23" s="106"/>
      <x:c r="AL23" s="106"/>
      <x:c r="AM23" s="106"/>
      <x:c r="AN23" s="106"/>
      <x:c r="AO23" s="106"/>
      <x:c r="AP23" s="106"/>
      <x:c r="AQ23" s="106"/>
      <x:c r="AR23" s="106"/>
      <x:c r="AS23" s="106"/>
      <x:c r="AT23" s="106"/>
      <x:c r="AU23" s="106"/>
      <x:c r="AV23" s="106"/>
      <x:c r="AW23" s="106"/>
      <x:c r="AX23" s="106"/>
      <x:c r="AY23" s="106"/>
      <x:c r="AZ23" s="106"/>
      <x:c r="BA23" s="106"/>
    </x:row>
    <x:row r="24">
      <x:c r="A24" s="106" t="str">
        <x:f>IF('PROJECT PLAN'!C23="","",'PROJECT PLAN'!A23)</x:f>
      </x:c>
      <x:c r="B24" s="106" t="str">
        <x:f>IF('PROJECT PLAN'!C23="","",'PROJECT PLAN'!B23)</x:f>
      </x:c>
      <x:c r="C24" s="106" t="str">
        <x:f>IF('PROJECT PLAN'!C23="","",'PROJECT PLAN'!C23)</x:f>
      </x:c>
      <x:c r="D24" s="106" t="str">
        <x:f>IF('PROJECT PLAN'!C23="","",'PROJECT PLAN'!D23)</x:f>
      </x:c>
      <x:c r="E24" s="106" t="str">
        <x:f>IF('PROJECT PLAN'!C23="","",'PROJECT PLAN'!E23)</x:f>
      </x:c>
      <x:c r="F24" s="106"/>
      <x:c r="G24" s="106"/>
      <x:c r="H24" s="106"/>
      <x:c r="I24" s="106"/>
      <x:c r="J24" s="106"/>
      <x:c r="K24" s="106"/>
      <x:c r="L24" s="106"/>
      <x:c r="M24" s="106"/>
      <x:c r="N24" s="106"/>
      <x:c r="O24" s="106"/>
      <x:c r="P24" s="106"/>
      <x:c r="Q24" s="106"/>
      <x:c r="R24" s="106"/>
      <x:c r="S24" s="106"/>
      <x:c r="T24" s="106"/>
      <x:c r="U24" s="106"/>
      <x:c r="V24" s="106"/>
      <x:c r="W24" s="106"/>
      <x:c r="X24" s="106"/>
      <x:c r="Y24" s="106"/>
      <x:c r="Z24" s="106"/>
      <x:c r="AA24" s="106"/>
      <x:c r="AB24" s="106"/>
      <x:c r="AC24" s="106"/>
      <x:c r="AD24" s="106"/>
      <x:c r="AE24" s="106"/>
      <x:c r="AF24" s="106"/>
      <x:c r="AG24" s="106"/>
      <x:c r="AH24" s="106"/>
      <x:c r="AI24" s="106"/>
      <x:c r="AJ24" s="106"/>
      <x:c r="AK24" s="106"/>
      <x:c r="AL24" s="106"/>
      <x:c r="AM24" s="106"/>
      <x:c r="AN24" s="106"/>
      <x:c r="AO24" s="106"/>
      <x:c r="AP24" s="106"/>
      <x:c r="AQ24" s="106"/>
      <x:c r="AR24" s="106"/>
      <x:c r="AS24" s="106"/>
      <x:c r="AT24" s="106"/>
      <x:c r="AU24" s="106"/>
      <x:c r="AV24" s="106"/>
      <x:c r="AW24" s="106"/>
      <x:c r="AX24" s="106"/>
      <x:c r="AY24" s="106"/>
      <x:c r="AZ24" s="106"/>
      <x:c r="BA24" s="106"/>
    </x:row>
    <x:row r="25">
      <x:c r="A25" s="106" t="str">
        <x:f>IF('PROJECT PLAN'!C24="","",'PROJECT PLAN'!A24)</x:f>
      </x:c>
      <x:c r="B25" s="106" t="str">
        <x:f>IF('PROJECT PLAN'!C24="","",'PROJECT PLAN'!B24)</x:f>
      </x:c>
      <x:c r="C25" s="106" t="str">
        <x:f>IF('PROJECT PLAN'!C24="","",'PROJECT PLAN'!C24)</x:f>
      </x:c>
      <x:c r="D25" s="106" t="str">
        <x:f>IF('PROJECT PLAN'!C24="","",'PROJECT PLAN'!D24)</x:f>
      </x:c>
      <x:c r="E25" s="106" t="str">
        <x:f>IF('PROJECT PLAN'!C24="","",'PROJECT PLAN'!E24)</x:f>
      </x:c>
      <x:c r="F25" s="106"/>
      <x:c r="G25" s="106"/>
      <x:c r="H25" s="106"/>
      <x:c r="I25" s="106"/>
      <x:c r="J25" s="106"/>
      <x:c r="K25" s="106"/>
      <x:c r="L25" s="106"/>
      <x:c r="M25" s="106"/>
      <x:c r="N25" s="106"/>
      <x:c r="O25" s="106"/>
      <x:c r="P25" s="106"/>
      <x:c r="Q25" s="106"/>
      <x:c r="R25" s="106"/>
      <x:c r="S25" s="106"/>
      <x:c r="T25" s="106"/>
      <x:c r="U25" s="106"/>
      <x:c r="V25" s="106"/>
      <x:c r="W25" s="106"/>
      <x:c r="X25" s="106"/>
      <x:c r="Y25" s="106"/>
      <x:c r="Z25" s="106"/>
      <x:c r="AA25" s="106"/>
      <x:c r="AB25" s="106"/>
      <x:c r="AC25" s="106"/>
      <x:c r="AD25" s="106"/>
      <x:c r="AE25" s="106"/>
      <x:c r="AF25" s="106"/>
      <x:c r="AG25" s="106"/>
      <x:c r="AH25" s="106"/>
      <x:c r="AI25" s="106"/>
      <x:c r="AJ25" s="106"/>
      <x:c r="AK25" s="106"/>
      <x:c r="AL25" s="106"/>
      <x:c r="AM25" s="106"/>
      <x:c r="AN25" s="106"/>
      <x:c r="AO25" s="106"/>
      <x:c r="AP25" s="106"/>
      <x:c r="AQ25" s="106"/>
      <x:c r="AR25" s="106"/>
      <x:c r="AS25" s="106"/>
      <x:c r="AT25" s="106"/>
      <x:c r="AU25" s="106"/>
      <x:c r="AV25" s="106"/>
      <x:c r="AW25" s="106"/>
      <x:c r="AX25" s="106"/>
      <x:c r="AY25" s="106"/>
      <x:c r="AZ25" s="106"/>
      <x:c r="BA25" s="106"/>
    </x:row>
    <x:row r="26">
      <x:c r="A26" s="106" t="str">
        <x:f>IF('PROJECT PLAN'!C25="","",'PROJECT PLAN'!A25)</x:f>
      </x:c>
      <x:c r="B26" s="106" t="str">
        <x:f>IF('PROJECT PLAN'!C25="","",'PROJECT PLAN'!B25)</x:f>
      </x:c>
      <x:c r="C26" s="106" t="str">
        <x:f>IF('PROJECT PLAN'!C25="","",'PROJECT PLAN'!C25)</x:f>
      </x:c>
      <x:c r="D26" s="106" t="str">
        <x:f>IF('PROJECT PLAN'!C25="","",'PROJECT PLAN'!D25)</x:f>
      </x:c>
      <x:c r="E26" s="106" t="str">
        <x:f>IF('PROJECT PLAN'!C25="","",'PROJECT PLAN'!E25)</x:f>
      </x:c>
      <x:c r="F26" s="106"/>
      <x:c r="G26" s="106"/>
      <x:c r="H26" s="106"/>
      <x:c r="I26" s="106"/>
      <x:c r="J26" s="106"/>
      <x:c r="K26" s="106"/>
      <x:c r="L26" s="106"/>
      <x:c r="M26" s="106"/>
      <x:c r="N26" s="106"/>
      <x:c r="O26" s="106"/>
      <x:c r="P26" s="106"/>
      <x:c r="Q26" s="106"/>
      <x:c r="R26" s="106"/>
      <x:c r="S26" s="106"/>
      <x:c r="T26" s="106"/>
      <x:c r="U26" s="106"/>
      <x:c r="V26" s="106"/>
      <x:c r="W26" s="106"/>
      <x:c r="X26" s="106"/>
      <x:c r="Y26" s="106"/>
      <x:c r="Z26" s="106"/>
      <x:c r="AA26" s="106"/>
      <x:c r="AB26" s="106"/>
      <x:c r="AC26" s="106"/>
      <x:c r="AD26" s="106"/>
      <x:c r="AE26" s="106"/>
      <x:c r="AF26" s="106"/>
      <x:c r="AG26" s="106"/>
      <x:c r="AH26" s="106"/>
      <x:c r="AI26" s="106"/>
      <x:c r="AJ26" s="106"/>
      <x:c r="AK26" s="106"/>
      <x:c r="AL26" s="106"/>
      <x:c r="AM26" s="106"/>
      <x:c r="AN26" s="106"/>
      <x:c r="AO26" s="106"/>
      <x:c r="AP26" s="106"/>
      <x:c r="AQ26" s="106"/>
      <x:c r="AR26" s="106"/>
      <x:c r="AS26" s="106"/>
      <x:c r="AT26" s="106"/>
      <x:c r="AU26" s="106"/>
      <x:c r="AV26" s="106"/>
      <x:c r="AW26" s="106"/>
      <x:c r="AX26" s="106"/>
      <x:c r="AY26" s="106"/>
      <x:c r="AZ26" s="106"/>
      <x:c r="BA26" s="106"/>
    </x:row>
    <x:row r="27">
      <x:c r="A27" s="106" t="str">
        <x:f>IF('PROJECT PLAN'!C26="","",'PROJECT PLAN'!A26)</x:f>
      </x:c>
      <x:c r="B27" s="106" t="str">
        <x:f>IF('PROJECT PLAN'!C26="","",'PROJECT PLAN'!B26)</x:f>
      </x:c>
      <x:c r="C27" s="106" t="str">
        <x:f>IF('PROJECT PLAN'!C26="","",'PROJECT PLAN'!C26)</x:f>
      </x:c>
      <x:c r="D27" s="106" t="str">
        <x:f>IF('PROJECT PLAN'!C26="","",'PROJECT PLAN'!D26)</x:f>
      </x:c>
      <x:c r="E27" s="106" t="str">
        <x:f>IF('PROJECT PLAN'!C26="","",'PROJECT PLAN'!E26)</x:f>
      </x:c>
      <x:c r="F27" s="106"/>
      <x:c r="G27" s="106"/>
      <x:c r="H27" s="106"/>
      <x:c r="I27" s="106"/>
      <x:c r="J27" s="106"/>
      <x:c r="K27" s="106"/>
      <x:c r="L27" s="106"/>
      <x:c r="M27" s="106"/>
      <x:c r="N27" s="106"/>
      <x:c r="O27" s="106"/>
      <x:c r="P27" s="106"/>
      <x:c r="Q27" s="106"/>
      <x:c r="R27" s="106"/>
      <x:c r="S27" s="106"/>
      <x:c r="T27" s="106"/>
      <x:c r="U27" s="106"/>
      <x:c r="V27" s="106"/>
      <x:c r="W27" s="106"/>
      <x:c r="X27" s="106"/>
      <x:c r="Y27" s="106"/>
      <x:c r="Z27" s="106"/>
      <x:c r="AA27" s="106"/>
      <x:c r="AB27" s="106"/>
      <x:c r="AC27" s="106"/>
      <x:c r="AD27" s="106"/>
      <x:c r="AE27" s="106"/>
      <x:c r="AF27" s="106"/>
      <x:c r="AG27" s="106"/>
      <x:c r="AH27" s="106"/>
      <x:c r="AI27" s="106"/>
      <x:c r="AJ27" s="106"/>
      <x:c r="AK27" s="106"/>
      <x:c r="AL27" s="106"/>
      <x:c r="AM27" s="106"/>
      <x:c r="AN27" s="106"/>
      <x:c r="AO27" s="106"/>
      <x:c r="AP27" s="106"/>
      <x:c r="AQ27" s="106"/>
      <x:c r="AR27" s="106"/>
      <x:c r="AS27" s="106"/>
      <x:c r="AT27" s="106"/>
      <x:c r="AU27" s="106"/>
      <x:c r="AV27" s="106"/>
      <x:c r="AW27" s="106"/>
      <x:c r="AX27" s="106"/>
      <x:c r="AY27" s="106"/>
      <x:c r="AZ27" s="106"/>
      <x:c r="BA27" s="106"/>
    </x:row>
    <x:row r="28">
      <x:c r="A28" s="106" t="str">
        <x:f>IF('PROJECT PLAN'!C27="","",'PROJECT PLAN'!A27)</x:f>
      </x:c>
      <x:c r="B28" s="106" t="str">
        <x:f>IF('PROJECT PLAN'!C27="","",'PROJECT PLAN'!B27)</x:f>
      </x:c>
      <x:c r="C28" s="106" t="str">
        <x:f>IF('PROJECT PLAN'!C27="","",'PROJECT PLAN'!C27)</x:f>
      </x:c>
      <x:c r="D28" s="106" t="str">
        <x:f>IF('PROJECT PLAN'!C27="","",'PROJECT PLAN'!D27)</x:f>
      </x:c>
      <x:c r="E28" s="106" t="str">
        <x:f>IF('PROJECT PLAN'!C27="","",'PROJECT PLAN'!E27)</x:f>
      </x:c>
      <x:c r="F28" s="106"/>
      <x:c r="G28" s="106"/>
      <x:c r="H28" s="106"/>
      <x:c r="I28" s="106"/>
      <x:c r="J28" s="106"/>
      <x:c r="K28" s="106"/>
      <x:c r="L28" s="106"/>
      <x:c r="M28" s="106"/>
      <x:c r="N28" s="106"/>
      <x:c r="O28" s="106"/>
      <x:c r="P28" s="106"/>
      <x:c r="Q28" s="106"/>
      <x:c r="R28" s="106"/>
      <x:c r="S28" s="106"/>
      <x:c r="T28" s="106"/>
      <x:c r="U28" s="106"/>
      <x:c r="V28" s="106"/>
      <x:c r="W28" s="106"/>
      <x:c r="X28" s="106"/>
      <x:c r="Y28" s="106"/>
      <x:c r="Z28" s="106"/>
      <x:c r="AA28" s="106"/>
      <x:c r="AB28" s="106"/>
      <x:c r="AC28" s="106"/>
      <x:c r="AD28" s="106"/>
      <x:c r="AE28" s="106"/>
      <x:c r="AF28" s="106"/>
      <x:c r="AG28" s="106"/>
      <x:c r="AH28" s="106"/>
      <x:c r="AI28" s="106"/>
      <x:c r="AJ28" s="106"/>
      <x:c r="AK28" s="106"/>
      <x:c r="AL28" s="106"/>
      <x:c r="AM28" s="106"/>
      <x:c r="AN28" s="106"/>
      <x:c r="AO28" s="106"/>
      <x:c r="AP28" s="106"/>
      <x:c r="AQ28" s="106"/>
      <x:c r="AR28" s="106"/>
      <x:c r="AS28" s="106"/>
      <x:c r="AT28" s="106"/>
      <x:c r="AU28" s="106"/>
      <x:c r="AV28" s="106"/>
      <x:c r="AW28" s="106"/>
      <x:c r="AX28" s="106"/>
      <x:c r="AY28" s="106"/>
      <x:c r="AZ28" s="106"/>
      <x:c r="BA28" s="106"/>
    </x:row>
    <x:row r="29">
      <x:c r="A29" s="106" t="str">
        <x:f>IF('PROJECT PLAN'!C28="","",'PROJECT PLAN'!A28)</x:f>
      </x:c>
      <x:c r="B29" s="106" t="str">
        <x:f>IF('PROJECT PLAN'!C28="","",'PROJECT PLAN'!B28)</x:f>
      </x:c>
      <x:c r="C29" s="106" t="str">
        <x:f>IF('PROJECT PLAN'!C28="","",'PROJECT PLAN'!C28)</x:f>
      </x:c>
      <x:c r="D29" s="106" t="str">
        <x:f>IF('PROJECT PLAN'!C28="","",'PROJECT PLAN'!D28)</x:f>
      </x:c>
      <x:c r="E29" s="106" t="str">
        <x:f>IF('PROJECT PLAN'!C28="","",'PROJECT PLAN'!E28)</x:f>
      </x:c>
      <x:c r="F29" s="106"/>
      <x:c r="G29" s="106"/>
      <x:c r="H29" s="106"/>
      <x:c r="I29" s="106"/>
      <x:c r="J29" s="106"/>
      <x:c r="K29" s="106"/>
      <x:c r="L29" s="106"/>
      <x:c r="M29" s="106"/>
      <x:c r="N29" s="106"/>
      <x:c r="O29" s="106"/>
      <x:c r="P29" s="106"/>
      <x:c r="Q29" s="106"/>
      <x:c r="R29" s="106"/>
      <x:c r="S29" s="106"/>
      <x:c r="T29" s="106"/>
      <x:c r="U29" s="106"/>
      <x:c r="V29" s="106"/>
      <x:c r="W29" s="106"/>
      <x:c r="X29" s="106"/>
      <x:c r="Y29" s="106"/>
      <x:c r="Z29" s="106"/>
      <x:c r="AA29" s="106"/>
      <x:c r="AB29" s="106"/>
      <x:c r="AC29" s="106"/>
      <x:c r="AD29" s="106"/>
      <x:c r="AE29" s="106"/>
      <x:c r="AF29" s="106"/>
      <x:c r="AG29" s="106"/>
      <x:c r="AH29" s="106"/>
      <x:c r="AI29" s="106"/>
      <x:c r="AJ29" s="106"/>
      <x:c r="AK29" s="106"/>
      <x:c r="AL29" s="106"/>
      <x:c r="AM29" s="106"/>
      <x:c r="AN29" s="106"/>
      <x:c r="AO29" s="106"/>
      <x:c r="AP29" s="106"/>
      <x:c r="AQ29" s="106"/>
      <x:c r="AR29" s="106"/>
      <x:c r="AS29" s="106"/>
      <x:c r="AT29" s="106"/>
      <x:c r="AU29" s="106"/>
      <x:c r="AV29" s="106"/>
      <x:c r="AW29" s="106"/>
      <x:c r="AX29" s="106"/>
      <x:c r="AY29" s="106"/>
      <x:c r="AZ29" s="106"/>
      <x:c r="BA29" s="106"/>
    </x:row>
    <x:row r="30">
      <x:c r="A30" s="106" t="str">
        <x:f>IF('PROJECT PLAN'!C29="","",'PROJECT PLAN'!A29)</x:f>
      </x:c>
      <x:c r="B30" s="106" t="str">
        <x:f>IF('PROJECT PLAN'!C29="","",'PROJECT PLAN'!B29)</x:f>
      </x:c>
      <x:c r="C30" s="106" t="str">
        <x:f>IF('PROJECT PLAN'!C29="","",'PROJECT PLAN'!C29)</x:f>
      </x:c>
      <x:c r="D30" s="106" t="str">
        <x:f>IF('PROJECT PLAN'!C29="","",'PROJECT PLAN'!D29)</x:f>
      </x:c>
      <x:c r="E30" s="106" t="str">
        <x:f>IF('PROJECT PLAN'!C29="","",'PROJECT PLAN'!E29)</x:f>
      </x:c>
      <x:c r="F30" s="106"/>
      <x:c r="G30" s="106"/>
      <x:c r="H30" s="106"/>
      <x:c r="I30" s="106"/>
      <x:c r="J30" s="106"/>
      <x:c r="K30" s="106"/>
      <x:c r="L30" s="106"/>
      <x:c r="M30" s="106"/>
      <x:c r="N30" s="106"/>
      <x:c r="O30" s="106"/>
      <x:c r="P30" s="106"/>
      <x:c r="Q30" s="106"/>
      <x:c r="R30" s="106"/>
      <x:c r="S30" s="106"/>
      <x:c r="T30" s="106"/>
      <x:c r="U30" s="106"/>
      <x:c r="V30" s="106"/>
      <x:c r="W30" s="106"/>
      <x:c r="X30" s="106"/>
      <x:c r="Y30" s="106"/>
      <x:c r="Z30" s="106"/>
      <x:c r="AA30" s="106"/>
      <x:c r="AB30" s="106"/>
      <x:c r="AC30" s="106"/>
      <x:c r="AD30" s="106"/>
      <x:c r="AE30" s="106"/>
      <x:c r="AF30" s="106"/>
      <x:c r="AG30" s="106"/>
      <x:c r="AH30" s="106"/>
      <x:c r="AI30" s="106"/>
      <x:c r="AJ30" s="106"/>
      <x:c r="AK30" s="106"/>
      <x:c r="AL30" s="106"/>
      <x:c r="AM30" s="106"/>
      <x:c r="AN30" s="106"/>
      <x:c r="AO30" s="106"/>
      <x:c r="AP30" s="106"/>
      <x:c r="AQ30" s="106"/>
      <x:c r="AR30" s="106"/>
      <x:c r="AS30" s="106"/>
      <x:c r="AT30" s="106"/>
      <x:c r="AU30" s="106"/>
      <x:c r="AV30" s="106"/>
      <x:c r="AW30" s="106"/>
      <x:c r="AX30" s="106"/>
      <x:c r="AY30" s="106"/>
      <x:c r="AZ30" s="106"/>
      <x:c r="BA30" s="106"/>
    </x:row>
    <x:row r="31">
      <x:c r="A31" s="106" t="str">
        <x:f>IF('PROJECT PLAN'!C30="","",'PROJECT PLAN'!A30)</x:f>
      </x:c>
      <x:c r="B31" s="106" t="str">
        <x:f>IF('PROJECT PLAN'!C30="","",'PROJECT PLAN'!B30)</x:f>
      </x:c>
      <x:c r="C31" s="106" t="str">
        <x:f>IF('PROJECT PLAN'!C30="","",'PROJECT PLAN'!C30)</x:f>
      </x:c>
      <x:c r="D31" s="106" t="str">
        <x:f>IF('PROJECT PLAN'!C30="","",'PROJECT PLAN'!D30)</x:f>
      </x:c>
      <x:c r="E31" s="106" t="str">
        <x:f>IF('PROJECT PLAN'!C30="","",'PROJECT PLAN'!E30)</x:f>
      </x:c>
      <x:c r="F31" s="106"/>
      <x:c r="G31" s="106"/>
      <x:c r="H31" s="106"/>
      <x:c r="I31" s="106"/>
      <x:c r="J31" s="106"/>
      <x:c r="K31" s="106"/>
      <x:c r="L31" s="106"/>
      <x:c r="M31" s="106"/>
      <x:c r="N31" s="106"/>
      <x:c r="O31" s="106"/>
      <x:c r="P31" s="106"/>
      <x:c r="Q31" s="106"/>
      <x:c r="R31" s="106"/>
      <x:c r="S31" s="106"/>
      <x:c r="T31" s="106"/>
      <x:c r="U31" s="106"/>
      <x:c r="V31" s="106"/>
      <x:c r="W31" s="106"/>
      <x:c r="X31" s="106"/>
      <x:c r="Y31" s="106"/>
      <x:c r="Z31" s="106"/>
      <x:c r="AA31" s="106"/>
      <x:c r="AB31" s="106"/>
      <x:c r="AC31" s="106"/>
      <x:c r="AD31" s="106"/>
      <x:c r="AE31" s="106"/>
      <x:c r="AF31" s="106"/>
      <x:c r="AG31" s="106"/>
      <x:c r="AH31" s="106"/>
      <x:c r="AI31" s="106"/>
      <x:c r="AJ31" s="106"/>
      <x:c r="AK31" s="106"/>
      <x:c r="AL31" s="106"/>
      <x:c r="AM31" s="106"/>
      <x:c r="AN31" s="106"/>
      <x:c r="AO31" s="106"/>
      <x:c r="AP31" s="106"/>
      <x:c r="AQ31" s="106"/>
      <x:c r="AR31" s="106"/>
      <x:c r="AS31" s="106"/>
      <x:c r="AT31" s="106"/>
      <x:c r="AU31" s="106"/>
      <x:c r="AV31" s="106"/>
      <x:c r="AW31" s="106"/>
      <x:c r="AX31" s="106"/>
      <x:c r="AY31" s="106"/>
      <x:c r="AZ31" s="106"/>
      <x:c r="BA31" s="106"/>
    </x:row>
    <x:row r="32">
      <x:c r="A32" s="106" t="str">
        <x:f>IF('PROJECT PLAN'!C31="","",'PROJECT PLAN'!A31)</x:f>
      </x:c>
      <x:c r="B32" s="106" t="str">
        <x:f>IF('PROJECT PLAN'!C31="","",'PROJECT PLAN'!B31)</x:f>
      </x:c>
      <x:c r="C32" s="106" t="str">
        <x:f>IF('PROJECT PLAN'!C31="","",'PROJECT PLAN'!C31)</x:f>
      </x:c>
      <x:c r="D32" s="106" t="str">
        <x:f>IF('PROJECT PLAN'!C31="","",'PROJECT PLAN'!D31)</x:f>
      </x:c>
      <x:c r="E32" s="106" t="str">
        <x:f>IF('PROJECT PLAN'!C31="","",'PROJECT PLAN'!E31)</x:f>
      </x:c>
      <x:c r="F32" s="106"/>
      <x:c r="G32" s="106"/>
      <x:c r="H32" s="106"/>
      <x:c r="I32" s="106"/>
      <x:c r="J32" s="106"/>
      <x:c r="K32" s="106"/>
      <x:c r="L32" s="106"/>
      <x:c r="M32" s="106"/>
      <x:c r="N32" s="106"/>
      <x:c r="O32" s="106"/>
      <x:c r="P32" s="106"/>
      <x:c r="Q32" s="106"/>
      <x:c r="R32" s="106"/>
      <x:c r="S32" s="106"/>
      <x:c r="T32" s="106"/>
      <x:c r="U32" s="106"/>
      <x:c r="V32" s="106"/>
      <x:c r="W32" s="106"/>
      <x:c r="X32" s="106"/>
      <x:c r="Y32" s="106"/>
      <x:c r="Z32" s="106"/>
      <x:c r="AA32" s="106"/>
      <x:c r="AB32" s="106"/>
      <x:c r="AC32" s="106"/>
      <x:c r="AD32" s="106"/>
      <x:c r="AE32" s="106"/>
      <x:c r="AF32" s="106"/>
      <x:c r="AG32" s="106"/>
      <x:c r="AH32" s="106"/>
      <x:c r="AI32" s="106"/>
      <x:c r="AJ32" s="106"/>
      <x:c r="AK32" s="106"/>
      <x:c r="AL32" s="106"/>
      <x:c r="AM32" s="106"/>
      <x:c r="AN32" s="106"/>
      <x:c r="AO32" s="106"/>
      <x:c r="AP32" s="106"/>
      <x:c r="AQ32" s="106"/>
      <x:c r="AR32" s="106"/>
      <x:c r="AS32" s="106"/>
      <x:c r="AT32" s="106"/>
      <x:c r="AU32" s="106"/>
      <x:c r="AV32" s="106"/>
      <x:c r="AW32" s="106"/>
      <x:c r="AX32" s="106"/>
      <x:c r="AY32" s="106"/>
      <x:c r="AZ32" s="106"/>
      <x:c r="BA32" s="106"/>
    </x:row>
    <x:row r="33">
      <x:c r="A33" s="106" t="str">
        <x:f>IF('PROJECT PLAN'!C32="","",'PROJECT PLAN'!A32)</x:f>
      </x:c>
      <x:c r="B33" s="106" t="str">
        <x:f>IF('PROJECT PLAN'!C32="","",'PROJECT PLAN'!B32)</x:f>
      </x:c>
      <x:c r="C33" s="106" t="str">
        <x:f>IF('PROJECT PLAN'!C32="","",'PROJECT PLAN'!C32)</x:f>
      </x:c>
      <x:c r="D33" s="106" t="str">
        <x:f>IF('PROJECT PLAN'!C32="","",'PROJECT PLAN'!D32)</x:f>
      </x:c>
      <x:c r="E33" s="106" t="str">
        <x:f>IF('PROJECT PLAN'!C32="","",'PROJECT PLAN'!E32)</x:f>
      </x:c>
      <x:c r="F33" s="106"/>
      <x:c r="G33" s="106"/>
      <x:c r="H33" s="106"/>
      <x:c r="I33" s="106"/>
      <x:c r="J33" s="106"/>
      <x:c r="K33" s="106"/>
      <x:c r="L33" s="106"/>
      <x:c r="M33" s="106"/>
      <x:c r="N33" s="106"/>
      <x:c r="O33" s="106"/>
      <x:c r="P33" s="106"/>
      <x:c r="Q33" s="106"/>
      <x:c r="R33" s="106"/>
      <x:c r="S33" s="106"/>
      <x:c r="T33" s="106"/>
      <x:c r="U33" s="106"/>
      <x:c r="V33" s="106"/>
      <x:c r="W33" s="106"/>
      <x:c r="X33" s="106"/>
      <x:c r="Y33" s="106"/>
      <x:c r="Z33" s="106"/>
      <x:c r="AA33" s="106"/>
      <x:c r="AB33" s="106"/>
      <x:c r="AC33" s="106"/>
      <x:c r="AD33" s="106"/>
      <x:c r="AE33" s="106"/>
      <x:c r="AF33" s="106"/>
      <x:c r="AG33" s="106"/>
      <x:c r="AH33" s="106"/>
      <x:c r="AI33" s="106"/>
      <x:c r="AJ33" s="106"/>
      <x:c r="AK33" s="106"/>
      <x:c r="AL33" s="106"/>
      <x:c r="AM33" s="106"/>
      <x:c r="AN33" s="106"/>
      <x:c r="AO33" s="106"/>
      <x:c r="AP33" s="106"/>
      <x:c r="AQ33" s="106"/>
      <x:c r="AR33" s="106"/>
      <x:c r="AS33" s="106"/>
      <x:c r="AT33" s="106"/>
      <x:c r="AU33" s="106"/>
      <x:c r="AV33" s="106"/>
      <x:c r="AW33" s="106"/>
      <x:c r="AX33" s="106"/>
      <x:c r="AY33" s="106"/>
      <x:c r="AZ33" s="106"/>
      <x:c r="BA33" s="106"/>
    </x:row>
    <x:row r="34">
      <x:c r="A34" s="106" t="str">
        <x:f>IF('PROJECT PLAN'!C33="","",'PROJECT PLAN'!A33)</x:f>
      </x:c>
      <x:c r="B34" s="106" t="str">
        <x:f>IF('PROJECT PLAN'!C33="","",'PROJECT PLAN'!B33)</x:f>
      </x:c>
      <x:c r="C34" s="106" t="str">
        <x:f>IF('PROJECT PLAN'!C33="","",'PROJECT PLAN'!C33)</x:f>
      </x:c>
      <x:c r="D34" s="106" t="str">
        <x:f>IF('PROJECT PLAN'!C33="","",'PROJECT PLAN'!D33)</x:f>
      </x:c>
      <x:c r="E34" s="106" t="str">
        <x:f>IF('PROJECT PLAN'!C33="","",'PROJECT PLAN'!E33)</x:f>
      </x:c>
      <x:c r="F34" s="106"/>
      <x:c r="G34" s="106"/>
      <x:c r="H34" s="106"/>
      <x:c r="I34" s="106"/>
      <x:c r="J34" s="106"/>
      <x:c r="K34" s="106"/>
      <x:c r="L34" s="106"/>
      <x:c r="M34" s="106"/>
      <x:c r="N34" s="106"/>
      <x:c r="O34" s="106"/>
      <x:c r="P34" s="106"/>
      <x:c r="Q34" s="106"/>
      <x:c r="R34" s="106"/>
      <x:c r="S34" s="106"/>
      <x:c r="T34" s="106"/>
      <x:c r="U34" s="106"/>
      <x:c r="V34" s="106"/>
      <x:c r="W34" s="106"/>
      <x:c r="X34" s="106"/>
      <x:c r="Y34" s="106"/>
      <x:c r="Z34" s="106"/>
      <x:c r="AA34" s="106"/>
      <x:c r="AB34" s="106"/>
      <x:c r="AC34" s="106"/>
      <x:c r="AD34" s="106"/>
      <x:c r="AE34" s="106"/>
      <x:c r="AF34" s="106"/>
      <x:c r="AG34" s="106"/>
      <x:c r="AH34" s="106"/>
      <x:c r="AI34" s="106"/>
      <x:c r="AJ34" s="106"/>
      <x:c r="AK34" s="106"/>
      <x:c r="AL34" s="106"/>
      <x:c r="AM34" s="106"/>
      <x:c r="AN34" s="106"/>
      <x:c r="AO34" s="106"/>
      <x:c r="AP34" s="106"/>
      <x:c r="AQ34" s="106"/>
      <x:c r="AR34" s="106"/>
      <x:c r="AS34" s="106"/>
      <x:c r="AT34" s="106"/>
      <x:c r="AU34" s="106"/>
      <x:c r="AV34" s="106"/>
      <x:c r="AW34" s="106"/>
      <x:c r="AX34" s="106"/>
      <x:c r="AY34" s="106"/>
      <x:c r="AZ34" s="106"/>
      <x:c r="BA34" s="106"/>
    </x:row>
    <x:row r="35">
      <x:c r="A35" s="106" t="str">
        <x:f>IF('PROJECT PLAN'!C34="","",'PROJECT PLAN'!A34)</x:f>
      </x:c>
      <x:c r="B35" s="106" t="str">
        <x:f>IF('PROJECT PLAN'!C34="","",'PROJECT PLAN'!B34)</x:f>
      </x:c>
      <x:c r="C35" s="106" t="str">
        <x:f>IF('PROJECT PLAN'!C34="","",'PROJECT PLAN'!C34)</x:f>
      </x:c>
      <x:c r="D35" s="106" t="str">
        <x:f>IF('PROJECT PLAN'!C34="","",'PROJECT PLAN'!D34)</x:f>
      </x:c>
      <x:c r="E35" s="106" t="str">
        <x:f>IF('PROJECT PLAN'!C34="","",'PROJECT PLAN'!E34)</x:f>
      </x:c>
      <x:c r="F35" s="106"/>
      <x:c r="G35" s="106"/>
      <x:c r="H35" s="106"/>
      <x:c r="I35" s="106"/>
      <x:c r="J35" s="106"/>
      <x:c r="K35" s="106"/>
      <x:c r="L35" s="106"/>
      <x:c r="M35" s="106"/>
      <x:c r="N35" s="106"/>
      <x:c r="O35" s="106"/>
      <x:c r="P35" s="106"/>
      <x:c r="Q35" s="106"/>
      <x:c r="R35" s="106"/>
      <x:c r="S35" s="106"/>
      <x:c r="T35" s="106"/>
      <x:c r="U35" s="106"/>
      <x:c r="V35" s="106"/>
      <x:c r="W35" s="106"/>
      <x:c r="X35" s="106"/>
      <x:c r="Y35" s="106"/>
      <x:c r="Z35" s="106"/>
      <x:c r="AA35" s="106"/>
      <x:c r="AB35" s="106"/>
      <x:c r="AC35" s="106"/>
      <x:c r="AD35" s="106"/>
      <x:c r="AE35" s="106"/>
      <x:c r="AF35" s="106"/>
      <x:c r="AG35" s="106"/>
      <x:c r="AH35" s="106"/>
      <x:c r="AI35" s="106"/>
      <x:c r="AJ35" s="106"/>
      <x:c r="AK35" s="106"/>
      <x:c r="AL35" s="106"/>
      <x:c r="AM35" s="106"/>
      <x:c r="AN35" s="106"/>
      <x:c r="AO35" s="106"/>
      <x:c r="AP35" s="106"/>
      <x:c r="AQ35" s="106"/>
      <x:c r="AR35" s="106"/>
      <x:c r="AS35" s="106"/>
      <x:c r="AT35" s="106"/>
      <x:c r="AU35" s="106"/>
      <x:c r="AV35" s="106"/>
      <x:c r="AW35" s="106"/>
      <x:c r="AX35" s="106"/>
      <x:c r="AY35" s="106"/>
      <x:c r="AZ35" s="106"/>
      <x:c r="BA35" s="106"/>
    </x:row>
    <x:row r="36">
      <x:c r="A36" s="106" t="str">
        <x:f>IF('PROJECT PLAN'!C35="","",'PROJECT PLAN'!A35)</x:f>
      </x:c>
      <x:c r="B36" s="106" t="str">
        <x:f>IF('PROJECT PLAN'!C35="","",'PROJECT PLAN'!B35)</x:f>
      </x:c>
      <x:c r="C36" s="106" t="str">
        <x:f>IF('PROJECT PLAN'!C35="","",'PROJECT PLAN'!C35)</x:f>
      </x:c>
      <x:c r="D36" s="106" t="str">
        <x:f>IF('PROJECT PLAN'!C35="","",'PROJECT PLAN'!D35)</x:f>
      </x:c>
      <x:c r="E36" s="106" t="str">
        <x:f>IF('PROJECT PLAN'!C35="","",'PROJECT PLAN'!E35)</x:f>
      </x:c>
      <x:c r="F36" s="106"/>
      <x:c r="G36" s="106"/>
      <x:c r="H36" s="106"/>
      <x:c r="I36" s="106"/>
      <x:c r="J36" s="106"/>
      <x:c r="K36" s="106"/>
      <x:c r="L36" s="106"/>
      <x:c r="M36" s="106"/>
      <x:c r="N36" s="106"/>
      <x:c r="O36" s="106"/>
      <x:c r="P36" s="106"/>
      <x:c r="Q36" s="106"/>
      <x:c r="R36" s="106"/>
      <x:c r="S36" s="106"/>
      <x:c r="T36" s="106"/>
      <x:c r="U36" s="106"/>
      <x:c r="V36" s="106"/>
      <x:c r="W36" s="106"/>
      <x:c r="X36" s="106"/>
      <x:c r="Y36" s="106"/>
      <x:c r="Z36" s="106"/>
      <x:c r="AA36" s="106"/>
      <x:c r="AB36" s="106"/>
      <x:c r="AC36" s="106"/>
      <x:c r="AD36" s="106"/>
      <x:c r="AE36" s="106"/>
      <x:c r="AF36" s="106"/>
      <x:c r="AG36" s="106"/>
      <x:c r="AH36" s="106"/>
      <x:c r="AI36" s="106"/>
      <x:c r="AJ36" s="106"/>
      <x:c r="AK36" s="106"/>
      <x:c r="AL36" s="106"/>
      <x:c r="AM36" s="106"/>
      <x:c r="AN36" s="106"/>
      <x:c r="AO36" s="106"/>
      <x:c r="AP36" s="106"/>
      <x:c r="AQ36" s="106"/>
      <x:c r="AR36" s="106"/>
      <x:c r="AS36" s="106"/>
      <x:c r="AT36" s="106"/>
      <x:c r="AU36" s="106"/>
      <x:c r="AV36" s="106"/>
      <x:c r="AW36" s="106"/>
      <x:c r="AX36" s="106"/>
      <x:c r="AY36" s="106"/>
      <x:c r="AZ36" s="106"/>
      <x:c r="BA36" s="106"/>
    </x:row>
    <x:row r="37">
      <x:c r="A37" s="106" t="str">
        <x:f>IF('PROJECT PLAN'!C36="","",'PROJECT PLAN'!A36)</x:f>
      </x:c>
      <x:c r="B37" s="106" t="str">
        <x:f>IF('PROJECT PLAN'!C36="","",'PROJECT PLAN'!B36)</x:f>
      </x:c>
      <x:c r="C37" s="106" t="str">
        <x:f>IF('PROJECT PLAN'!C36="","",'PROJECT PLAN'!C36)</x:f>
      </x:c>
      <x:c r="D37" s="106" t="str">
        <x:f>IF('PROJECT PLAN'!C36="","",'PROJECT PLAN'!D36)</x:f>
      </x:c>
      <x:c r="E37" s="106" t="str">
        <x:f>IF('PROJECT PLAN'!C36="","",'PROJECT PLAN'!E36)</x:f>
      </x:c>
      <x:c r="F37" s="106"/>
      <x:c r="G37" s="106"/>
      <x:c r="H37" s="106"/>
      <x:c r="I37" s="106"/>
      <x:c r="J37" s="106"/>
      <x:c r="K37" s="106"/>
      <x:c r="L37" s="106"/>
      <x:c r="M37" s="106"/>
      <x:c r="N37" s="106"/>
      <x:c r="O37" s="106"/>
      <x:c r="P37" s="106"/>
      <x:c r="Q37" s="106"/>
      <x:c r="R37" s="106"/>
      <x:c r="S37" s="106"/>
      <x:c r="T37" s="106"/>
      <x:c r="U37" s="106"/>
      <x:c r="V37" s="106"/>
      <x:c r="W37" s="106"/>
      <x:c r="X37" s="106"/>
      <x:c r="Y37" s="106"/>
      <x:c r="Z37" s="106"/>
      <x:c r="AA37" s="106"/>
      <x:c r="AB37" s="106"/>
      <x:c r="AC37" s="106"/>
      <x:c r="AD37" s="106"/>
      <x:c r="AE37" s="106"/>
      <x:c r="AF37" s="106"/>
      <x:c r="AG37" s="106"/>
      <x:c r="AH37" s="106"/>
      <x:c r="AI37" s="106"/>
      <x:c r="AJ37" s="106"/>
      <x:c r="AK37" s="106"/>
      <x:c r="AL37" s="106"/>
      <x:c r="AM37" s="106"/>
      <x:c r="AN37" s="106"/>
      <x:c r="AO37" s="106"/>
      <x:c r="AP37" s="106"/>
      <x:c r="AQ37" s="106"/>
      <x:c r="AR37" s="106"/>
      <x:c r="AS37" s="106"/>
      <x:c r="AT37" s="106"/>
      <x:c r="AU37" s="106"/>
      <x:c r="AV37" s="106"/>
      <x:c r="AW37" s="106"/>
      <x:c r="AX37" s="106"/>
      <x:c r="AY37" s="106"/>
      <x:c r="AZ37" s="106"/>
      <x:c r="BA37" s="106"/>
    </x:row>
    <x:row r="38">
      <x:c r="A38" s="106" t="str">
        <x:f>IF('PROJECT PLAN'!C37="","",'PROJECT PLAN'!A37)</x:f>
      </x:c>
      <x:c r="B38" s="106" t="str">
        <x:f>IF('PROJECT PLAN'!C37="","",'PROJECT PLAN'!B37)</x:f>
      </x:c>
      <x:c r="C38" s="106" t="str">
        <x:f>IF('PROJECT PLAN'!C37="","",'PROJECT PLAN'!C37)</x:f>
      </x:c>
      <x:c r="D38" s="106" t="str">
        <x:f>IF('PROJECT PLAN'!C37="","",'PROJECT PLAN'!D37)</x:f>
      </x:c>
      <x:c r="E38" s="106" t="str">
        <x:f>IF('PROJECT PLAN'!C37="","",'PROJECT PLAN'!E37)</x:f>
      </x:c>
      <x:c r="F38" s="106"/>
      <x:c r="G38" s="106"/>
      <x:c r="H38" s="106"/>
      <x:c r="I38" s="106"/>
      <x:c r="J38" s="106"/>
      <x:c r="K38" s="106"/>
      <x:c r="L38" s="106"/>
      <x:c r="M38" s="106"/>
      <x:c r="N38" s="106"/>
      <x:c r="O38" s="106"/>
      <x:c r="P38" s="106"/>
      <x:c r="Q38" s="106"/>
      <x:c r="R38" s="106"/>
      <x:c r="S38" s="106"/>
      <x:c r="T38" s="106"/>
      <x:c r="U38" s="106"/>
      <x:c r="V38" s="106"/>
      <x:c r="W38" s="106"/>
      <x:c r="X38" s="106"/>
      <x:c r="Y38" s="106"/>
      <x:c r="Z38" s="106"/>
      <x:c r="AA38" s="106"/>
      <x:c r="AB38" s="106"/>
      <x:c r="AC38" s="106"/>
      <x:c r="AD38" s="106"/>
      <x:c r="AE38" s="106"/>
      <x:c r="AF38" s="106"/>
      <x:c r="AG38" s="106"/>
      <x:c r="AH38" s="106"/>
      <x:c r="AI38" s="106"/>
      <x:c r="AJ38" s="106"/>
      <x:c r="AK38" s="106"/>
      <x:c r="AL38" s="106"/>
      <x:c r="AM38" s="106"/>
      <x:c r="AN38" s="106"/>
      <x:c r="AO38" s="106"/>
      <x:c r="AP38" s="106"/>
      <x:c r="AQ38" s="106"/>
      <x:c r="AR38" s="106"/>
      <x:c r="AS38" s="106"/>
      <x:c r="AT38" s="106"/>
      <x:c r="AU38" s="106"/>
      <x:c r="AV38" s="106"/>
      <x:c r="AW38" s="106"/>
      <x:c r="AX38" s="106"/>
      <x:c r="AY38" s="106"/>
      <x:c r="AZ38" s="106"/>
      <x:c r="BA38" s="106"/>
    </x:row>
    <x:row r="39">
      <x:c r="A39" s="106" t="str">
        <x:f>IF('PROJECT PLAN'!C38="","",'PROJECT PLAN'!A38)</x:f>
      </x:c>
      <x:c r="B39" s="106" t="str">
        <x:f>IF('PROJECT PLAN'!C38="","",'PROJECT PLAN'!B38)</x:f>
      </x:c>
      <x:c r="C39" s="106" t="str">
        <x:f>IF('PROJECT PLAN'!C38="","",'PROJECT PLAN'!C38)</x:f>
      </x:c>
      <x:c r="D39" s="106" t="str">
        <x:f>IF('PROJECT PLAN'!C38="","",'PROJECT PLAN'!D38)</x:f>
      </x:c>
      <x:c r="E39" s="106" t="str">
        <x:f>IF('PROJECT PLAN'!C38="","",'PROJECT PLAN'!E38)</x:f>
      </x:c>
      <x:c r="F39" s="106"/>
      <x:c r="G39" s="106"/>
      <x:c r="H39" s="106"/>
      <x:c r="I39" s="106"/>
      <x:c r="J39" s="106"/>
      <x:c r="K39" s="106"/>
      <x:c r="L39" s="106"/>
      <x:c r="M39" s="106"/>
      <x:c r="N39" s="106"/>
      <x:c r="O39" s="106"/>
      <x:c r="P39" s="106"/>
      <x:c r="Q39" s="106"/>
      <x:c r="R39" s="106"/>
      <x:c r="S39" s="106"/>
      <x:c r="T39" s="106"/>
      <x:c r="U39" s="106"/>
      <x:c r="V39" s="106"/>
      <x:c r="W39" s="106"/>
      <x:c r="X39" s="106"/>
      <x:c r="Y39" s="106"/>
      <x:c r="Z39" s="106"/>
      <x:c r="AA39" s="106"/>
      <x:c r="AB39" s="106"/>
      <x:c r="AC39" s="106"/>
      <x:c r="AD39" s="106"/>
      <x:c r="AE39" s="106"/>
      <x:c r="AF39" s="106"/>
      <x:c r="AG39" s="106"/>
      <x:c r="AH39" s="106"/>
      <x:c r="AI39" s="106"/>
      <x:c r="AJ39" s="106"/>
      <x:c r="AK39" s="106"/>
      <x:c r="AL39" s="106"/>
      <x:c r="AM39" s="106"/>
      <x:c r="AN39" s="106"/>
      <x:c r="AO39" s="106"/>
      <x:c r="AP39" s="106"/>
      <x:c r="AQ39" s="106"/>
      <x:c r="AR39" s="106"/>
      <x:c r="AS39" s="106"/>
      <x:c r="AT39" s="106"/>
      <x:c r="AU39" s="106"/>
      <x:c r="AV39" s="106"/>
      <x:c r="AW39" s="106"/>
      <x:c r="AX39" s="106"/>
      <x:c r="AY39" s="106"/>
      <x:c r="AZ39" s="106"/>
      <x:c r="BA39" s="106"/>
    </x:row>
    <x:row r="40">
      <x:c r="A40" s="106" t="str">
        <x:f>IF('PROJECT PLAN'!C39="","",'PROJECT PLAN'!A39)</x:f>
      </x:c>
      <x:c r="B40" s="106" t="str">
        <x:f>IF('PROJECT PLAN'!C39="","",'PROJECT PLAN'!B39)</x:f>
      </x:c>
      <x:c r="C40" s="106" t="str">
        <x:f>IF('PROJECT PLAN'!C39="","",'PROJECT PLAN'!C39)</x:f>
      </x:c>
      <x:c r="D40" s="106" t="str">
        <x:f>IF('PROJECT PLAN'!C39="","",'PROJECT PLAN'!D39)</x:f>
      </x:c>
      <x:c r="E40" s="106" t="str">
        <x:f>IF('PROJECT PLAN'!C39="","",'PROJECT PLAN'!E39)</x:f>
      </x:c>
      <x:c r="F40" s="106"/>
      <x:c r="G40" s="106"/>
      <x:c r="H40" s="106"/>
      <x:c r="I40" s="106"/>
      <x:c r="J40" s="106"/>
      <x:c r="K40" s="106"/>
      <x:c r="L40" s="106"/>
      <x:c r="M40" s="106"/>
      <x:c r="N40" s="106"/>
      <x:c r="O40" s="106"/>
      <x:c r="P40" s="106"/>
      <x:c r="Q40" s="106"/>
      <x:c r="R40" s="106"/>
      <x:c r="S40" s="106"/>
      <x:c r="T40" s="106"/>
      <x:c r="U40" s="106"/>
      <x:c r="V40" s="106"/>
      <x:c r="W40" s="106"/>
      <x:c r="X40" s="106"/>
      <x:c r="Y40" s="106"/>
      <x:c r="Z40" s="106"/>
      <x:c r="AA40" s="106"/>
      <x:c r="AB40" s="106"/>
      <x:c r="AC40" s="106"/>
      <x:c r="AD40" s="106"/>
      <x:c r="AE40" s="106"/>
      <x:c r="AF40" s="106"/>
      <x:c r="AG40" s="106"/>
      <x:c r="AH40" s="106"/>
      <x:c r="AI40" s="106"/>
      <x:c r="AJ40" s="106"/>
      <x:c r="AK40" s="106"/>
      <x:c r="AL40" s="106"/>
      <x:c r="AM40" s="106"/>
      <x:c r="AN40" s="106"/>
      <x:c r="AO40" s="106"/>
      <x:c r="AP40" s="106"/>
      <x:c r="AQ40" s="106"/>
      <x:c r="AR40" s="106"/>
      <x:c r="AS40" s="106"/>
      <x:c r="AT40" s="106"/>
      <x:c r="AU40" s="106"/>
      <x:c r="AV40" s="106"/>
      <x:c r="AW40" s="106"/>
      <x:c r="AX40" s="106"/>
      <x:c r="AY40" s="106"/>
      <x:c r="AZ40" s="106"/>
      <x:c r="BA40" s="106"/>
    </x:row>
    <x:row r="41">
      <x:c r="A41" s="106" t="str">
        <x:f>IF('PROJECT PLAN'!C40="","",'PROJECT PLAN'!A40)</x:f>
      </x:c>
      <x:c r="B41" s="106" t="str">
        <x:f>IF('PROJECT PLAN'!C40="","",'PROJECT PLAN'!B40)</x:f>
      </x:c>
      <x:c r="C41" s="106" t="str">
        <x:f>IF('PROJECT PLAN'!C40="","",'PROJECT PLAN'!C40)</x:f>
      </x:c>
      <x:c r="D41" s="106" t="str">
        <x:f>IF('PROJECT PLAN'!C40="","",'PROJECT PLAN'!D40)</x:f>
      </x:c>
      <x:c r="E41" s="106" t="str">
        <x:f>IF('PROJECT PLAN'!C40="","",'PROJECT PLAN'!E40)</x:f>
      </x:c>
      <x:c r="F41" s="106"/>
      <x:c r="G41" s="106"/>
      <x:c r="H41" s="106"/>
      <x:c r="I41" s="106"/>
      <x:c r="J41" s="106"/>
      <x:c r="K41" s="106"/>
      <x:c r="L41" s="106"/>
      <x:c r="M41" s="106"/>
      <x:c r="N41" s="106"/>
      <x:c r="O41" s="106"/>
      <x:c r="P41" s="106"/>
      <x:c r="Q41" s="106"/>
      <x:c r="R41" s="106"/>
      <x:c r="S41" s="106"/>
      <x:c r="T41" s="106"/>
      <x:c r="U41" s="106"/>
      <x:c r="V41" s="106"/>
      <x:c r="W41" s="106"/>
      <x:c r="X41" s="106"/>
      <x:c r="Y41" s="106"/>
      <x:c r="Z41" s="106"/>
      <x:c r="AA41" s="106"/>
      <x:c r="AB41" s="106"/>
      <x:c r="AC41" s="106"/>
      <x:c r="AD41" s="106"/>
      <x:c r="AE41" s="106"/>
      <x:c r="AF41" s="106"/>
      <x:c r="AG41" s="106"/>
      <x:c r="AH41" s="106"/>
      <x:c r="AI41" s="106"/>
      <x:c r="AJ41" s="106"/>
      <x:c r="AK41" s="106"/>
      <x:c r="AL41" s="106"/>
      <x:c r="AM41" s="106"/>
      <x:c r="AN41" s="106"/>
      <x:c r="AO41" s="106"/>
      <x:c r="AP41" s="106"/>
      <x:c r="AQ41" s="106"/>
      <x:c r="AR41" s="106"/>
      <x:c r="AS41" s="106"/>
      <x:c r="AT41" s="106"/>
      <x:c r="AU41" s="106"/>
      <x:c r="AV41" s="106"/>
      <x:c r="AW41" s="106"/>
      <x:c r="AX41" s="106"/>
      <x:c r="AY41" s="106"/>
      <x:c r="AZ41" s="106"/>
      <x:c r="BA41" s="106"/>
    </x:row>
    <x:row r="42">
      <x:c r="A42" s="106" t="str">
        <x:f>IF('PROJECT PLAN'!C41="","",'PROJECT PLAN'!A41)</x:f>
      </x:c>
      <x:c r="B42" s="106" t="str">
        <x:f>IF('PROJECT PLAN'!C41="","",'PROJECT PLAN'!B41)</x:f>
      </x:c>
      <x:c r="C42" s="106" t="str">
        <x:f>IF('PROJECT PLAN'!C41="","",'PROJECT PLAN'!C41)</x:f>
      </x:c>
      <x:c r="D42" s="106" t="str">
        <x:f>IF('PROJECT PLAN'!C41="","",'PROJECT PLAN'!D41)</x:f>
      </x:c>
      <x:c r="E42" s="106" t="str">
        <x:f>IF('PROJECT PLAN'!C41="","",'PROJECT PLAN'!E41)</x:f>
      </x:c>
      <x:c r="F42" s="106"/>
      <x:c r="G42" s="106"/>
      <x:c r="H42" s="106"/>
      <x:c r="I42" s="106"/>
      <x:c r="J42" s="106"/>
      <x:c r="K42" s="106"/>
      <x:c r="L42" s="106"/>
      <x:c r="M42" s="106"/>
      <x:c r="N42" s="106"/>
      <x:c r="O42" s="106"/>
      <x:c r="P42" s="106"/>
      <x:c r="Q42" s="106"/>
      <x:c r="R42" s="106"/>
      <x:c r="S42" s="106"/>
      <x:c r="T42" s="106"/>
      <x:c r="U42" s="106"/>
      <x:c r="V42" s="106"/>
      <x:c r="W42" s="106"/>
      <x:c r="X42" s="106"/>
      <x:c r="Y42" s="106"/>
      <x:c r="Z42" s="106"/>
      <x:c r="AA42" s="106"/>
      <x:c r="AB42" s="106"/>
      <x:c r="AC42" s="106"/>
      <x:c r="AD42" s="106"/>
      <x:c r="AE42" s="106"/>
      <x:c r="AF42" s="106"/>
      <x:c r="AG42" s="106"/>
      <x:c r="AH42" s="106"/>
      <x:c r="AI42" s="106"/>
      <x:c r="AJ42" s="106"/>
      <x:c r="AK42" s="106"/>
      <x:c r="AL42" s="106"/>
      <x:c r="AM42" s="106"/>
      <x:c r="AN42" s="106"/>
      <x:c r="AO42" s="106"/>
      <x:c r="AP42" s="106"/>
      <x:c r="AQ42" s="106"/>
      <x:c r="AR42" s="106"/>
      <x:c r="AS42" s="106"/>
      <x:c r="AT42" s="106"/>
      <x:c r="AU42" s="106"/>
      <x:c r="AV42" s="106"/>
      <x:c r="AW42" s="106"/>
      <x:c r="AX42" s="106"/>
      <x:c r="AY42" s="106"/>
      <x:c r="AZ42" s="106"/>
      <x:c r="BA42" s="106"/>
    </x:row>
    <x:row r="43">
      <x:c r="A43" s="106" t="str">
        <x:f>IF('PROJECT PLAN'!C42="","",'PROJECT PLAN'!A42)</x:f>
      </x:c>
      <x:c r="B43" s="106" t="str">
        <x:f>IF('PROJECT PLAN'!C42="","",'PROJECT PLAN'!B42)</x:f>
      </x:c>
      <x:c r="C43" s="106" t="str">
        <x:f>IF('PROJECT PLAN'!C42="","",'PROJECT PLAN'!C42)</x:f>
      </x:c>
      <x:c r="D43" s="106" t="str">
        <x:f>IF('PROJECT PLAN'!C42="","",'PROJECT PLAN'!D42)</x:f>
      </x:c>
      <x:c r="E43" s="106" t="str">
        <x:f>IF('PROJECT PLAN'!C42="","",'PROJECT PLAN'!E42)</x:f>
      </x:c>
      <x:c r="F43" s="106"/>
      <x:c r="G43" s="106"/>
      <x:c r="H43" s="106"/>
      <x:c r="I43" s="106"/>
      <x:c r="J43" s="106"/>
      <x:c r="K43" s="106"/>
      <x:c r="L43" s="106"/>
      <x:c r="M43" s="106"/>
      <x:c r="N43" s="106"/>
      <x:c r="O43" s="106"/>
      <x:c r="P43" s="106"/>
      <x:c r="Q43" s="106"/>
      <x:c r="R43" s="106"/>
      <x:c r="S43" s="106"/>
      <x:c r="T43" s="106"/>
      <x:c r="U43" s="106"/>
      <x:c r="V43" s="106"/>
      <x:c r="W43" s="106"/>
      <x:c r="X43" s="106"/>
      <x:c r="Y43" s="106"/>
      <x:c r="Z43" s="106"/>
      <x:c r="AA43" s="106"/>
      <x:c r="AB43" s="106"/>
      <x:c r="AC43" s="106"/>
      <x:c r="AD43" s="106"/>
      <x:c r="AE43" s="106"/>
      <x:c r="AF43" s="106"/>
      <x:c r="AG43" s="106"/>
      <x:c r="AH43" s="106"/>
      <x:c r="AI43" s="106"/>
      <x:c r="AJ43" s="106"/>
      <x:c r="AK43" s="106"/>
      <x:c r="AL43" s="106"/>
      <x:c r="AM43" s="106"/>
      <x:c r="AN43" s="106"/>
      <x:c r="AO43" s="106"/>
      <x:c r="AP43" s="106"/>
      <x:c r="AQ43" s="106"/>
      <x:c r="AR43" s="106"/>
      <x:c r="AS43" s="106"/>
      <x:c r="AT43" s="106"/>
      <x:c r="AU43" s="106"/>
      <x:c r="AV43" s="106"/>
      <x:c r="AW43" s="106"/>
      <x:c r="AX43" s="106"/>
      <x:c r="AY43" s="106"/>
      <x:c r="AZ43" s="106"/>
      <x:c r="BA43" s="106"/>
    </x:row>
    <x:row r="44">
      <x:c r="A44" s="106" t="str">
        <x:f>IF('PROJECT PLAN'!C43="","",'PROJECT PLAN'!A43)</x:f>
      </x:c>
      <x:c r="B44" s="106" t="str">
        <x:f>IF('PROJECT PLAN'!C43="","",'PROJECT PLAN'!B43)</x:f>
      </x:c>
      <x:c r="C44" s="106" t="str">
        <x:f>IF('PROJECT PLAN'!C43="","",'PROJECT PLAN'!C43)</x:f>
      </x:c>
      <x:c r="D44" s="106" t="str">
        <x:f>IF('PROJECT PLAN'!C43="","",'PROJECT PLAN'!D43)</x:f>
      </x:c>
      <x:c r="E44" s="106" t="str">
        <x:f>IF('PROJECT PLAN'!C43="","",'PROJECT PLAN'!E43)</x:f>
      </x:c>
      <x:c r="F44" s="106"/>
      <x:c r="G44" s="106"/>
      <x:c r="H44" s="106"/>
      <x:c r="I44" s="106"/>
      <x:c r="J44" s="106"/>
      <x:c r="K44" s="106"/>
      <x:c r="L44" s="106"/>
      <x:c r="M44" s="106"/>
      <x:c r="N44" s="106"/>
      <x:c r="O44" s="106"/>
      <x:c r="P44" s="106"/>
      <x:c r="Q44" s="106"/>
      <x:c r="R44" s="106"/>
      <x:c r="S44" s="106"/>
      <x:c r="T44" s="106"/>
      <x:c r="U44" s="106"/>
      <x:c r="V44" s="106"/>
      <x:c r="W44" s="106"/>
      <x:c r="X44" s="106"/>
      <x:c r="Y44" s="106"/>
      <x:c r="Z44" s="106"/>
      <x:c r="AA44" s="106"/>
      <x:c r="AB44" s="106"/>
      <x:c r="AC44" s="106"/>
      <x:c r="AD44" s="106"/>
      <x:c r="AE44" s="106"/>
      <x:c r="AF44" s="106"/>
      <x:c r="AG44" s="106"/>
      <x:c r="AH44" s="106"/>
      <x:c r="AI44" s="106"/>
      <x:c r="AJ44" s="106"/>
      <x:c r="AK44" s="106"/>
      <x:c r="AL44" s="106"/>
      <x:c r="AM44" s="106"/>
      <x:c r="AN44" s="106"/>
      <x:c r="AO44" s="106"/>
      <x:c r="AP44" s="106"/>
      <x:c r="AQ44" s="106"/>
      <x:c r="AR44" s="106"/>
      <x:c r="AS44" s="106"/>
      <x:c r="AT44" s="106"/>
      <x:c r="AU44" s="106"/>
      <x:c r="AV44" s="106"/>
      <x:c r="AW44" s="106"/>
      <x:c r="AX44" s="106"/>
      <x:c r="AY44" s="106"/>
      <x:c r="AZ44" s="106"/>
      <x:c r="BA44" s="106"/>
    </x:row>
    <x:row r="45">
      <x:c r="A45" s="106" t="str">
        <x:f>IF('PROJECT PLAN'!C44="","",'PROJECT PLAN'!A44)</x:f>
      </x:c>
      <x:c r="B45" s="106" t="str">
        <x:f>IF('PROJECT PLAN'!C44="","",'PROJECT PLAN'!B44)</x:f>
      </x:c>
      <x:c r="C45" s="106" t="str">
        <x:f>IF('PROJECT PLAN'!C44="","",'PROJECT PLAN'!C44)</x:f>
      </x:c>
      <x:c r="D45" s="106" t="str">
        <x:f>IF('PROJECT PLAN'!C44="","",'PROJECT PLAN'!D44)</x:f>
      </x:c>
      <x:c r="E45" s="106" t="str">
        <x:f>IF('PROJECT PLAN'!C44="","",'PROJECT PLAN'!E44)</x:f>
      </x:c>
      <x:c r="F45" s="106"/>
      <x:c r="G45" s="106"/>
      <x:c r="H45" s="106"/>
      <x:c r="I45" s="106"/>
      <x:c r="J45" s="106"/>
      <x:c r="K45" s="106"/>
      <x:c r="L45" s="106"/>
      <x:c r="M45" s="106"/>
      <x:c r="N45" s="106"/>
      <x:c r="O45" s="106"/>
      <x:c r="P45" s="106"/>
      <x:c r="Q45" s="106"/>
      <x:c r="R45" s="106"/>
      <x:c r="S45" s="106"/>
      <x:c r="T45" s="106"/>
      <x:c r="U45" s="106"/>
      <x:c r="V45" s="106"/>
      <x:c r="W45" s="106"/>
      <x:c r="X45" s="106"/>
      <x:c r="Y45" s="106"/>
      <x:c r="Z45" s="106"/>
      <x:c r="AA45" s="106"/>
      <x:c r="AB45" s="106"/>
      <x:c r="AC45" s="106"/>
      <x:c r="AD45" s="106"/>
      <x:c r="AE45" s="106"/>
      <x:c r="AF45" s="106"/>
      <x:c r="AG45" s="106"/>
      <x:c r="AH45" s="106"/>
      <x:c r="AI45" s="106"/>
      <x:c r="AJ45" s="106"/>
      <x:c r="AK45" s="106"/>
      <x:c r="AL45" s="106"/>
      <x:c r="AM45" s="106"/>
      <x:c r="AN45" s="106"/>
      <x:c r="AO45" s="106"/>
      <x:c r="AP45" s="106"/>
      <x:c r="AQ45" s="106"/>
      <x:c r="AR45" s="106"/>
      <x:c r="AS45" s="106"/>
      <x:c r="AT45" s="106"/>
      <x:c r="AU45" s="106"/>
      <x:c r="AV45" s="106"/>
      <x:c r="AW45" s="106"/>
      <x:c r="AX45" s="106"/>
      <x:c r="AY45" s="106"/>
      <x:c r="AZ45" s="106"/>
      <x:c r="BA45" s="106"/>
    </x:row>
    <x:row r="46">
      <x:c r="A46" s="106" t="str">
        <x:f>IF('PROJECT PLAN'!C45="","",'PROJECT PLAN'!A45)</x:f>
      </x:c>
      <x:c r="B46" s="106" t="str">
        <x:f>IF('PROJECT PLAN'!C45="","",'PROJECT PLAN'!B45)</x:f>
      </x:c>
      <x:c r="C46" s="106" t="str">
        <x:f>IF('PROJECT PLAN'!C45="","",'PROJECT PLAN'!C45)</x:f>
      </x:c>
      <x:c r="D46" s="106" t="str">
        <x:f>IF('PROJECT PLAN'!C45="","",'PROJECT PLAN'!D45)</x:f>
      </x:c>
      <x:c r="E46" s="106" t="str">
        <x:f>IF('PROJECT PLAN'!C45="","",'PROJECT PLAN'!E45)</x:f>
      </x:c>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c r="AO46" s="106"/>
      <x:c r="AP46" s="106"/>
      <x:c r="AQ46" s="106"/>
      <x:c r="AR46" s="106"/>
      <x:c r="AS46" s="106"/>
      <x:c r="AT46" s="106"/>
      <x:c r="AU46" s="106"/>
      <x:c r="AV46" s="106"/>
      <x:c r="AW46" s="106"/>
      <x:c r="AX46" s="106"/>
      <x:c r="AY46" s="106"/>
      <x:c r="AZ46" s="106"/>
      <x:c r="BA46" s="106"/>
    </x:row>
    <x:row r="47">
      <x:c r="A47" s="106" t="str">
        <x:f>IF('PROJECT PLAN'!C46="","",'PROJECT PLAN'!A46)</x:f>
      </x:c>
      <x:c r="B47" s="106" t="str">
        <x:f>IF('PROJECT PLAN'!C46="","",'PROJECT PLAN'!B46)</x:f>
      </x:c>
      <x:c r="C47" s="106" t="str">
        <x:f>IF('PROJECT PLAN'!C46="","",'PROJECT PLAN'!C46)</x:f>
      </x:c>
      <x:c r="D47" s="106" t="str">
        <x:f>IF('PROJECT PLAN'!C46="","",'PROJECT PLAN'!D46)</x:f>
      </x:c>
      <x:c r="E47" s="106" t="str">
        <x:f>IF('PROJECT PLAN'!C46="","",'PROJECT PLAN'!E46)</x:f>
      </x:c>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c r="AO47" s="106"/>
      <x:c r="AP47" s="106"/>
      <x:c r="AQ47" s="106"/>
      <x:c r="AR47" s="106"/>
      <x:c r="AS47" s="106"/>
      <x:c r="AT47" s="106"/>
      <x:c r="AU47" s="106"/>
      <x:c r="AV47" s="106"/>
      <x:c r="AW47" s="106"/>
      <x:c r="AX47" s="106"/>
      <x:c r="AY47" s="106"/>
      <x:c r="AZ47" s="106"/>
      <x:c r="BA47" s="106"/>
    </x:row>
    <x:row r="48">
      <x:c r="A48" s="106" t="str">
        <x:f>IF('PROJECT PLAN'!C47="","",'PROJECT PLAN'!A47)</x:f>
      </x:c>
      <x:c r="B48" s="106" t="str">
        <x:f>IF('PROJECT PLAN'!C47="","",'PROJECT PLAN'!B47)</x:f>
      </x:c>
      <x:c r="C48" s="106" t="str">
        <x:f>IF('PROJECT PLAN'!C47="","",'PROJECT PLAN'!C47)</x:f>
      </x:c>
      <x:c r="D48" s="106" t="str">
        <x:f>IF('PROJECT PLAN'!C47="","",'PROJECT PLAN'!D47)</x:f>
      </x:c>
      <x:c r="E48" s="106" t="str">
        <x:f>IF('PROJECT PLAN'!C47="","",'PROJECT PLAN'!E47)</x:f>
      </x:c>
      <x:c r="F48" s="106"/>
      <x:c r="G48" s="106"/>
      <x:c r="H48" s="106"/>
      <x:c r="I48" s="106"/>
      <x:c r="J48" s="106"/>
      <x:c r="K48" s="106"/>
      <x:c r="L48" s="106"/>
      <x:c r="M48" s="106"/>
      <x:c r="N48" s="106"/>
      <x:c r="O48" s="106"/>
      <x:c r="P48" s="106"/>
      <x:c r="Q48" s="106"/>
      <x:c r="R48" s="106"/>
      <x:c r="S48" s="106"/>
      <x:c r="T48" s="106"/>
      <x:c r="U48" s="106"/>
      <x:c r="V48" s="106"/>
      <x:c r="W48" s="106"/>
      <x:c r="X48" s="106"/>
      <x:c r="Y48" s="106"/>
      <x:c r="Z48" s="106"/>
      <x:c r="AA48" s="106"/>
      <x:c r="AB48" s="106"/>
      <x:c r="AC48" s="106"/>
      <x:c r="AD48" s="106"/>
      <x:c r="AE48" s="106"/>
      <x:c r="AF48" s="106"/>
      <x:c r="AG48" s="106"/>
      <x:c r="AH48" s="106"/>
      <x:c r="AI48" s="106"/>
      <x:c r="AJ48" s="106"/>
      <x:c r="AK48" s="106"/>
      <x:c r="AL48" s="106"/>
      <x:c r="AM48" s="106"/>
      <x:c r="AN48" s="106"/>
      <x:c r="AO48" s="106"/>
      <x:c r="AP48" s="106"/>
      <x:c r="AQ48" s="106"/>
      <x:c r="AR48" s="106"/>
      <x:c r="AS48" s="106"/>
      <x:c r="AT48" s="106"/>
      <x:c r="AU48" s="106"/>
      <x:c r="AV48" s="106"/>
      <x:c r="AW48" s="106"/>
      <x:c r="AX48" s="106"/>
      <x:c r="AY48" s="106"/>
      <x:c r="AZ48" s="106"/>
      <x:c r="BA48" s="106"/>
    </x:row>
    <x:row r="49">
      <x:c r="A49" s="106" t="str">
        <x:f>IF('PROJECT PLAN'!C48="","",'PROJECT PLAN'!A48)</x:f>
      </x:c>
      <x:c r="B49" s="106" t="str">
        <x:f>IF('PROJECT PLAN'!C48="","",'PROJECT PLAN'!B48)</x:f>
      </x:c>
      <x:c r="C49" s="106" t="str">
        <x:f>IF('PROJECT PLAN'!C48="","",'PROJECT PLAN'!C48)</x:f>
      </x:c>
      <x:c r="D49" s="106" t="str">
        <x:f>IF('PROJECT PLAN'!C48="","",'PROJECT PLAN'!D48)</x:f>
      </x:c>
      <x:c r="E49" s="106" t="str">
        <x:f>IF('PROJECT PLAN'!C48="","",'PROJECT PLAN'!E48)</x:f>
      </x:c>
      <x:c r="F49" s="106"/>
      <x:c r="G49" s="106"/>
      <x:c r="H49" s="106"/>
      <x:c r="I49" s="106"/>
      <x:c r="J49" s="106"/>
      <x:c r="K49" s="106"/>
      <x:c r="L49" s="106"/>
      <x:c r="M49" s="106"/>
      <x:c r="N49" s="106"/>
      <x:c r="O49" s="106"/>
      <x:c r="P49" s="106"/>
      <x:c r="Q49" s="106"/>
      <x:c r="R49" s="106"/>
      <x:c r="S49" s="106"/>
      <x:c r="T49" s="106"/>
      <x:c r="U49" s="106"/>
      <x:c r="V49" s="106"/>
      <x:c r="W49" s="106"/>
      <x:c r="X49" s="106"/>
      <x:c r="Y49" s="106"/>
      <x:c r="Z49" s="106"/>
      <x:c r="AA49" s="106"/>
      <x:c r="AB49" s="106"/>
      <x:c r="AC49" s="106"/>
      <x:c r="AD49" s="106"/>
      <x:c r="AE49" s="106"/>
      <x:c r="AF49" s="106"/>
      <x:c r="AG49" s="106"/>
      <x:c r="AH49" s="106"/>
      <x:c r="AI49" s="106"/>
      <x:c r="AJ49" s="106"/>
      <x:c r="AK49" s="106"/>
      <x:c r="AL49" s="106"/>
      <x:c r="AM49" s="106"/>
      <x:c r="AN49" s="106"/>
      <x:c r="AO49" s="106"/>
      <x:c r="AP49" s="106"/>
      <x:c r="AQ49" s="106"/>
      <x:c r="AR49" s="106"/>
      <x:c r="AS49" s="106"/>
      <x:c r="AT49" s="106"/>
      <x:c r="AU49" s="106"/>
      <x:c r="AV49" s="106"/>
      <x:c r="AW49" s="106"/>
      <x:c r="AX49" s="106"/>
      <x:c r="AY49" s="106"/>
      <x:c r="AZ49" s="106"/>
      <x:c r="BA49" s="106"/>
    </x:row>
    <x:row r="50">
      <x:c r="A50" s="106" t="str">
        <x:f>IF('PROJECT PLAN'!C49="","",'PROJECT PLAN'!A49)</x:f>
      </x:c>
      <x:c r="B50" s="106" t="str">
        <x:f>IF('PROJECT PLAN'!C49="","",'PROJECT PLAN'!B49)</x:f>
      </x:c>
      <x:c r="C50" s="106" t="str">
        <x:f>IF('PROJECT PLAN'!C49="","",'PROJECT PLAN'!C49)</x:f>
      </x:c>
      <x:c r="D50" s="106" t="str">
        <x:f>IF('PROJECT PLAN'!C49="","",'PROJECT PLAN'!D49)</x:f>
      </x:c>
      <x:c r="E50" s="106" t="str">
        <x:f>IF('PROJECT PLAN'!C49="","",'PROJECT PLAN'!E49)</x:f>
      </x:c>
      <x:c r="F50" s="106"/>
      <x:c r="G50" s="106"/>
      <x:c r="H50" s="106"/>
      <x:c r="I50" s="106"/>
      <x:c r="J50" s="106"/>
      <x:c r="K50" s="106"/>
      <x:c r="L50" s="106"/>
      <x:c r="M50" s="106"/>
      <x:c r="N50" s="106"/>
      <x:c r="O50" s="106"/>
      <x:c r="P50" s="106"/>
      <x:c r="Q50" s="106"/>
      <x:c r="R50" s="106"/>
      <x:c r="S50" s="106"/>
      <x:c r="T50" s="106"/>
      <x:c r="U50" s="106"/>
      <x:c r="V50" s="106"/>
      <x:c r="W50" s="106"/>
      <x:c r="X50" s="106"/>
      <x:c r="Y50" s="106"/>
      <x:c r="Z50" s="106"/>
      <x:c r="AA50" s="106"/>
      <x:c r="AB50" s="106"/>
      <x:c r="AC50" s="106"/>
      <x:c r="AD50" s="106"/>
      <x:c r="AE50" s="106"/>
      <x:c r="AF50" s="106"/>
      <x:c r="AG50" s="106"/>
      <x:c r="AH50" s="106"/>
      <x:c r="AI50" s="106"/>
      <x:c r="AJ50" s="106"/>
      <x:c r="AK50" s="106"/>
      <x:c r="AL50" s="106"/>
      <x:c r="AM50" s="106"/>
      <x:c r="AN50" s="106"/>
      <x:c r="AO50" s="106"/>
      <x:c r="AP50" s="106"/>
      <x:c r="AQ50" s="106"/>
      <x:c r="AR50" s="106"/>
      <x:c r="AS50" s="106"/>
      <x:c r="AT50" s="106"/>
      <x:c r="AU50" s="106"/>
      <x:c r="AV50" s="106"/>
      <x:c r="AW50" s="106"/>
      <x:c r="AX50" s="106"/>
      <x:c r="AY50" s="106"/>
      <x:c r="AZ50" s="106"/>
      <x:c r="BA50" s="106"/>
    </x:row>
    <x:row r="51">
      <x:c r="A51" s="106" t="str">
        <x:f>IF('PROJECT PLAN'!C50="","",'PROJECT PLAN'!A50)</x:f>
      </x:c>
      <x:c r="B51" s="106" t="str">
        <x:f>IF('PROJECT PLAN'!C50="","",'PROJECT PLAN'!B50)</x:f>
      </x:c>
      <x:c r="C51" s="106" t="str">
        <x:f>IF('PROJECT PLAN'!C50="","",'PROJECT PLAN'!C50)</x:f>
      </x:c>
      <x:c r="D51" s="106" t="str">
        <x:f>IF('PROJECT PLAN'!C50="","",'PROJECT PLAN'!D50)</x:f>
      </x:c>
      <x:c r="E51" s="106" t="str">
        <x:f>IF('PROJECT PLAN'!C50="","",'PROJECT PLAN'!E50)</x:f>
      </x:c>
      <x:c r="F51" s="106"/>
      <x:c r="G51" s="106"/>
      <x:c r="H51" s="106"/>
      <x:c r="I51" s="106"/>
      <x:c r="J51" s="106"/>
      <x:c r="K51" s="106"/>
      <x:c r="L51" s="106"/>
      <x:c r="M51" s="106"/>
      <x:c r="N51" s="106"/>
      <x:c r="O51" s="106"/>
      <x:c r="P51" s="106"/>
      <x:c r="Q51" s="106"/>
      <x:c r="R51" s="106"/>
      <x:c r="S51" s="106"/>
      <x:c r="T51" s="106"/>
      <x:c r="U51" s="106"/>
      <x:c r="V51" s="106"/>
      <x:c r="W51" s="106"/>
      <x:c r="X51" s="106"/>
      <x:c r="Y51" s="106"/>
      <x:c r="Z51" s="106"/>
      <x:c r="AA51" s="106"/>
      <x:c r="AB51" s="106"/>
      <x:c r="AC51" s="106"/>
      <x:c r="AD51" s="106"/>
      <x:c r="AE51" s="106"/>
      <x:c r="AF51" s="106"/>
      <x:c r="AG51" s="106"/>
      <x:c r="AH51" s="106"/>
      <x:c r="AI51" s="106"/>
      <x:c r="AJ51" s="106"/>
      <x:c r="AK51" s="106"/>
      <x:c r="AL51" s="106"/>
      <x:c r="AM51" s="106"/>
      <x:c r="AN51" s="106"/>
      <x:c r="AO51" s="106"/>
      <x:c r="AP51" s="106"/>
      <x:c r="AQ51" s="106"/>
      <x:c r="AR51" s="106"/>
      <x:c r="AS51" s="106"/>
      <x:c r="AT51" s="106"/>
      <x:c r="AU51" s="106"/>
      <x:c r="AV51" s="106"/>
      <x:c r="AW51" s="106"/>
      <x:c r="AX51" s="106"/>
      <x:c r="AY51" s="106"/>
      <x:c r="AZ51" s="106"/>
      <x:c r="BA51" s="106"/>
    </x:row>
    <x:row r="52">
      <x:c r="A52" s="106" t="str">
        <x:f>IF('PROJECT PLAN'!C51="","",'PROJECT PLAN'!A51)</x:f>
      </x:c>
      <x:c r="B52" s="106" t="str">
        <x:f>IF('PROJECT PLAN'!C51="","",'PROJECT PLAN'!B51)</x:f>
      </x:c>
      <x:c r="C52" s="106" t="str">
        <x:f>IF('PROJECT PLAN'!C51="","",'PROJECT PLAN'!C51)</x:f>
      </x:c>
      <x:c r="D52" s="106" t="str">
        <x:f>IF('PROJECT PLAN'!C51="","",'PROJECT PLAN'!D51)</x:f>
      </x:c>
      <x:c r="E52" s="106" t="str">
        <x:f>IF('PROJECT PLAN'!C51="","",'PROJECT PLAN'!E51)</x:f>
      </x:c>
      <x:c r="F52" s="106"/>
      <x:c r="G52" s="106"/>
      <x:c r="H52" s="106"/>
      <x:c r="I52" s="106"/>
      <x:c r="J52" s="106"/>
      <x:c r="K52" s="106"/>
      <x:c r="L52" s="106"/>
      <x:c r="M52" s="106"/>
      <x:c r="N52" s="106"/>
      <x:c r="O52" s="106"/>
      <x:c r="P52" s="106"/>
      <x:c r="Q52" s="106"/>
      <x:c r="R52" s="106"/>
      <x:c r="S52" s="106"/>
      <x:c r="T52" s="106"/>
      <x:c r="U52" s="106"/>
      <x:c r="V52" s="106"/>
      <x:c r="W52" s="106"/>
      <x:c r="X52" s="106"/>
      <x:c r="Y52" s="106"/>
      <x:c r="Z52" s="106"/>
      <x:c r="AA52" s="106"/>
      <x:c r="AB52" s="106"/>
      <x:c r="AC52" s="106"/>
      <x:c r="AD52" s="106"/>
      <x:c r="AE52" s="106"/>
      <x:c r="AF52" s="106"/>
      <x:c r="AG52" s="106"/>
      <x:c r="AH52" s="106"/>
      <x:c r="AI52" s="106"/>
      <x:c r="AJ52" s="106"/>
      <x:c r="AK52" s="106"/>
      <x:c r="AL52" s="106"/>
      <x:c r="AM52" s="106"/>
      <x:c r="AN52" s="106"/>
      <x:c r="AO52" s="106"/>
      <x:c r="AP52" s="106"/>
      <x:c r="AQ52" s="106"/>
      <x:c r="AR52" s="106"/>
      <x:c r="AS52" s="106"/>
      <x:c r="AT52" s="106"/>
      <x:c r="AU52" s="106"/>
      <x:c r="AV52" s="106"/>
      <x:c r="AW52" s="106"/>
      <x:c r="AX52" s="106"/>
      <x:c r="AY52" s="106"/>
      <x:c r="AZ52" s="106"/>
      <x:c r="BA52" s="106"/>
    </x:row>
    <x:row r="53">
      <x:c r="A53" s="106" t="str">
        <x:f>IF('PROJECT PLAN'!C52="","",'PROJECT PLAN'!A52)</x:f>
      </x:c>
      <x:c r="B53" s="106" t="str">
        <x:f>IF('PROJECT PLAN'!C52="","",'PROJECT PLAN'!B52)</x:f>
      </x:c>
      <x:c r="C53" s="106" t="str">
        <x:f>IF('PROJECT PLAN'!C52="","",'PROJECT PLAN'!C52)</x:f>
      </x:c>
      <x:c r="D53" s="106" t="str">
        <x:f>IF('PROJECT PLAN'!C52="","",'PROJECT PLAN'!D52)</x:f>
      </x:c>
      <x:c r="E53" s="106" t="str">
        <x:f>IF('PROJECT PLAN'!C52="","",'PROJECT PLAN'!E52)</x:f>
      </x:c>
      <x:c r="F53" s="106"/>
      <x:c r="G53" s="106"/>
      <x:c r="H53" s="106"/>
      <x:c r="I53" s="106"/>
      <x:c r="J53" s="106"/>
      <x:c r="K53" s="106"/>
      <x:c r="L53" s="106"/>
      <x:c r="M53" s="106"/>
      <x:c r="N53" s="106"/>
      <x:c r="O53" s="106"/>
      <x:c r="P53" s="106"/>
      <x:c r="Q53" s="106"/>
      <x:c r="R53" s="106"/>
      <x:c r="S53" s="106"/>
      <x:c r="T53" s="106"/>
      <x:c r="U53" s="106"/>
      <x:c r="V53" s="106"/>
      <x:c r="W53" s="106"/>
      <x:c r="X53" s="106"/>
      <x:c r="Y53" s="106"/>
      <x:c r="Z53" s="106"/>
      <x:c r="AA53" s="106"/>
      <x:c r="AB53" s="106"/>
      <x:c r="AC53" s="106"/>
      <x:c r="AD53" s="106"/>
      <x:c r="AE53" s="106"/>
      <x:c r="AF53" s="106"/>
      <x:c r="AG53" s="106"/>
      <x:c r="AH53" s="106"/>
      <x:c r="AI53" s="106"/>
      <x:c r="AJ53" s="106"/>
      <x:c r="AK53" s="106"/>
      <x:c r="AL53" s="106"/>
      <x:c r="AM53" s="106"/>
      <x:c r="AN53" s="106"/>
      <x:c r="AO53" s="106"/>
      <x:c r="AP53" s="106"/>
      <x:c r="AQ53" s="106"/>
      <x:c r="AR53" s="106"/>
      <x:c r="AS53" s="106"/>
      <x:c r="AT53" s="106"/>
      <x:c r="AU53" s="106"/>
      <x:c r="AV53" s="106"/>
      <x:c r="AW53" s="106"/>
      <x:c r="AX53" s="106"/>
      <x:c r="AY53" s="106"/>
      <x:c r="AZ53" s="106"/>
      <x:c r="BA53" s="106"/>
    </x:row>
    <x:row r="54">
      <x:c r="A54" s="106" t="str">
        <x:f>IF('PROJECT PLAN'!C53="","",'PROJECT PLAN'!A53)</x:f>
      </x:c>
      <x:c r="B54" s="106" t="str">
        <x:f>IF('PROJECT PLAN'!C53="","",'PROJECT PLAN'!B53)</x:f>
      </x:c>
      <x:c r="C54" s="106" t="str">
        <x:f>IF('PROJECT PLAN'!C53="","",'PROJECT PLAN'!C53)</x:f>
      </x:c>
      <x:c r="D54" s="106" t="str">
        <x:f>IF('PROJECT PLAN'!C53="","",'PROJECT PLAN'!D53)</x:f>
      </x:c>
      <x:c r="E54" s="106" t="str">
        <x:f>IF('PROJECT PLAN'!C53="","",'PROJECT PLAN'!E53)</x:f>
      </x:c>
      <x:c r="F54" s="106"/>
      <x:c r="G54" s="106"/>
      <x:c r="H54" s="106"/>
      <x:c r="I54" s="106"/>
      <x:c r="J54" s="106"/>
      <x:c r="K54" s="106"/>
      <x:c r="L54" s="106"/>
      <x:c r="M54" s="106"/>
      <x:c r="N54" s="106"/>
      <x:c r="O54" s="106"/>
      <x:c r="P54" s="106"/>
      <x:c r="Q54" s="106"/>
      <x:c r="R54" s="106"/>
      <x:c r="S54" s="106"/>
      <x:c r="T54" s="106"/>
      <x:c r="U54" s="106"/>
      <x:c r="V54" s="106"/>
      <x:c r="W54" s="106"/>
      <x:c r="X54" s="106"/>
      <x:c r="Y54" s="106"/>
      <x:c r="Z54" s="106"/>
      <x:c r="AA54" s="106"/>
      <x:c r="AB54" s="106"/>
      <x:c r="AC54" s="106"/>
      <x:c r="AD54" s="106"/>
      <x:c r="AE54" s="106"/>
      <x:c r="AF54" s="106"/>
      <x:c r="AG54" s="106"/>
      <x:c r="AH54" s="106"/>
      <x:c r="AI54" s="106"/>
      <x:c r="AJ54" s="106"/>
      <x:c r="AK54" s="106"/>
      <x:c r="AL54" s="106"/>
      <x:c r="AM54" s="106"/>
      <x:c r="AN54" s="106"/>
      <x:c r="AO54" s="106"/>
      <x:c r="AP54" s="106"/>
      <x:c r="AQ54" s="106"/>
      <x:c r="AR54" s="106"/>
      <x:c r="AS54" s="106"/>
      <x:c r="AT54" s="106"/>
      <x:c r="AU54" s="106"/>
      <x:c r="AV54" s="106"/>
      <x:c r="AW54" s="106"/>
      <x:c r="AX54" s="106"/>
      <x:c r="AY54" s="106"/>
      <x:c r="AZ54" s="106"/>
      <x:c r="BA54" s="106"/>
    </x:row>
    <x:row r="55">
      <x:c r="A55" s="106"/>
      <x:c r="B55" s="106"/>
      <x:c r="C55" s="106"/>
      <x:c r="D55" s="106"/>
      <x:c r="E55" s="106"/>
      <x:c r="F55" s="106"/>
      <x:c r="G55" s="106"/>
      <x:c r="H55" s="106"/>
      <x:c r="I55" s="106"/>
      <x:c r="J55" s="106"/>
      <x:c r="K55" s="106"/>
      <x:c r="L55" s="106"/>
      <x:c r="M55" s="106"/>
      <x:c r="N55" s="106"/>
      <x:c r="O55" s="106"/>
      <x:c r="P55" s="106"/>
      <x:c r="Q55" s="106"/>
      <x:c r="R55" s="106"/>
      <x:c r="S55" s="106"/>
      <x:c r="T55" s="106"/>
      <x:c r="U55" s="106"/>
      <x:c r="V55" s="106"/>
      <x:c r="W55" s="106"/>
      <x:c r="X55" s="106"/>
      <x:c r="Y55" s="106"/>
      <x:c r="Z55" s="106"/>
      <x:c r="AA55" s="106"/>
      <x:c r="AB55" s="106"/>
      <x:c r="AC55" s="106"/>
      <x:c r="AD55" s="106"/>
      <x:c r="AE55" s="106"/>
      <x:c r="AF55" s="106"/>
      <x:c r="AG55" s="106"/>
      <x:c r="AH55" s="106"/>
      <x:c r="AI55" s="106"/>
      <x:c r="AJ55" s="106"/>
      <x:c r="AK55" s="106"/>
      <x:c r="AL55" s="106"/>
      <x:c r="AM55" s="106"/>
      <x:c r="AN55" s="106"/>
      <x:c r="AO55" s="106"/>
      <x:c r="AP55" s="106"/>
      <x:c r="AQ55" s="106"/>
      <x:c r="AR55" s="106"/>
      <x:c r="AS55" s="106"/>
      <x:c r="AT55" s="106"/>
      <x:c r="AU55" s="106"/>
      <x:c r="AV55" s="106"/>
      <x:c r="AW55" s="106"/>
      <x:c r="AX55" s="106"/>
      <x:c r="AY55" s="106"/>
      <x:c r="AZ55" s="106"/>
      <x:c r="BA55" s="106"/>
    </x:row>
    <x:row r="56">
      <x:c r="A56" s="106"/>
      <x:c r="B56" s="106"/>
      <x:c r="C56" s="106"/>
      <x:c r="D56" s="106"/>
      <x:c r="E56" s="106"/>
      <x:c r="F56" s="106"/>
      <x:c r="G56" s="106"/>
      <x:c r="H56" s="106"/>
      <x:c r="I56" s="106"/>
      <x:c r="J56" s="106"/>
      <x:c r="K56" s="106"/>
      <x:c r="L56" s="106"/>
      <x:c r="M56" s="106"/>
      <x:c r="N56" s="106"/>
      <x:c r="O56" s="106"/>
      <x:c r="P56" s="106"/>
      <x:c r="Q56" s="106"/>
      <x:c r="R56" s="106"/>
      <x:c r="S56" s="106"/>
      <x:c r="T56" s="106"/>
      <x:c r="U56" s="106"/>
      <x:c r="V56" s="106"/>
      <x:c r="W56" s="106"/>
      <x:c r="X56" s="106"/>
      <x:c r="Y56" s="106"/>
      <x:c r="Z56" s="106"/>
      <x:c r="AA56" s="106"/>
      <x:c r="AB56" s="106"/>
      <x:c r="AC56" s="106"/>
      <x:c r="AD56" s="106"/>
      <x:c r="AE56" s="106"/>
      <x:c r="AF56" s="106"/>
      <x:c r="AG56" s="106"/>
      <x:c r="AH56" s="106"/>
      <x:c r="AI56" s="106"/>
      <x:c r="AJ56" s="106"/>
      <x:c r="AK56" s="106"/>
      <x:c r="AL56" s="106"/>
      <x:c r="AM56" s="106"/>
      <x:c r="AN56" s="106"/>
      <x:c r="AO56" s="106"/>
      <x:c r="AP56" s="106"/>
      <x:c r="AQ56" s="106"/>
      <x:c r="AR56" s="106"/>
      <x:c r="AS56" s="106"/>
      <x:c r="AT56" s="106"/>
      <x:c r="AU56" s="106"/>
      <x:c r="AV56" s="106"/>
      <x:c r="AW56" s="106"/>
      <x:c r="AX56" s="106"/>
      <x:c r="AY56" s="106"/>
      <x:c r="AZ56" s="106"/>
      <x:c r="BA56" s="106"/>
    </x:row>
    <x:row r="57">
      <x:c r="A57" s="106"/>
      <x:c r="B57" s="106"/>
      <x:c r="C57" s="106"/>
      <x:c r="D57" s="106"/>
      <x:c r="E57" s="106"/>
      <x:c r="F57" s="106"/>
      <x:c r="G57" s="106"/>
      <x:c r="H57" s="106"/>
      <x:c r="I57" s="106"/>
      <x:c r="J57" s="106"/>
      <x:c r="K57" s="106"/>
      <x:c r="L57" s="106"/>
      <x:c r="M57" s="106"/>
      <x:c r="N57" s="106"/>
      <x:c r="O57" s="106"/>
      <x:c r="P57" s="106"/>
      <x:c r="Q57" s="106"/>
      <x:c r="R57" s="106"/>
      <x:c r="S57" s="106"/>
      <x:c r="T57" s="106"/>
      <x:c r="U57" s="106"/>
      <x:c r="V57" s="106"/>
      <x:c r="W57" s="106"/>
      <x:c r="X57" s="106"/>
      <x:c r="Y57" s="106"/>
      <x:c r="Z57" s="106"/>
      <x:c r="AA57" s="106"/>
      <x:c r="AB57" s="106"/>
      <x:c r="AC57" s="106"/>
      <x:c r="AD57" s="106"/>
      <x:c r="AE57" s="106"/>
      <x:c r="AF57" s="106"/>
      <x:c r="AG57" s="106"/>
      <x:c r="AH57" s="106"/>
      <x:c r="AI57" s="106"/>
      <x:c r="AJ57" s="106"/>
      <x:c r="AK57" s="106"/>
      <x:c r="AL57" s="106"/>
      <x:c r="AM57" s="106"/>
      <x:c r="AN57" s="106"/>
      <x:c r="AO57" s="106"/>
      <x:c r="AP57" s="106"/>
      <x:c r="AQ57" s="106"/>
      <x:c r="AR57" s="106"/>
      <x:c r="AS57" s="106"/>
      <x:c r="AT57" s="106"/>
      <x:c r="AU57" s="106"/>
      <x:c r="AV57" s="106"/>
      <x:c r="AW57" s="106"/>
      <x:c r="AX57" s="106"/>
      <x:c r="AY57" s="106"/>
      <x:c r="AZ57" s="106"/>
      <x:c r="BA57" s="106"/>
    </x:row>
    <x:row r="58">
      <x:c r="A58" s="106"/>
      <x:c r="B58" s="106"/>
      <x:c r="C58" s="106"/>
      <x:c r="D58" s="106"/>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c r="AO58" s="106"/>
      <x:c r="AP58" s="106"/>
      <x:c r="AQ58" s="106"/>
      <x:c r="AR58" s="106"/>
      <x:c r="AS58" s="106"/>
      <x:c r="AT58" s="106"/>
      <x:c r="AU58" s="106"/>
      <x:c r="AV58" s="106"/>
      <x:c r="AW58" s="106"/>
      <x:c r="AX58" s="106"/>
      <x:c r="AY58" s="106"/>
      <x:c r="AZ58" s="106"/>
      <x:c r="BA58" s="106"/>
    </x:row>
    <x:row r="59">
      <x:c r="A59" s="106"/>
      <x:c r="B59" s="106"/>
      <x:c r="C59" s="106"/>
      <x:c r="D59" s="106"/>
      <x:c r="E59" s="106"/>
      <x:c r="F59" s="106"/>
      <x:c r="G59" s="106"/>
      <x:c r="H59" s="106"/>
      <x:c r="I59" s="106"/>
      <x:c r="J59" s="106"/>
      <x:c r="K59" s="106"/>
      <x:c r="L59" s="106"/>
      <x:c r="M59" s="106"/>
      <x:c r="N59" s="106"/>
      <x:c r="O59" s="106"/>
      <x:c r="P59" s="106"/>
      <x:c r="Q59" s="106"/>
      <x:c r="R59" s="106"/>
      <x:c r="S59" s="106"/>
      <x:c r="T59" s="106"/>
      <x:c r="U59" s="106"/>
      <x:c r="V59" s="106"/>
      <x:c r="W59" s="106"/>
      <x:c r="X59" s="106"/>
      <x:c r="Y59" s="106"/>
      <x:c r="Z59" s="106"/>
      <x:c r="AA59" s="106"/>
      <x:c r="AB59" s="106"/>
      <x:c r="AC59" s="106"/>
      <x:c r="AD59" s="106"/>
      <x:c r="AE59" s="106"/>
      <x:c r="AF59" s="106"/>
      <x:c r="AG59" s="106"/>
      <x:c r="AH59" s="106"/>
      <x:c r="AI59" s="106"/>
      <x:c r="AJ59" s="106"/>
      <x:c r="AK59" s="106"/>
      <x:c r="AL59" s="106"/>
      <x:c r="AM59" s="106"/>
      <x:c r="AN59" s="106"/>
      <x:c r="AO59" s="106"/>
      <x:c r="AP59" s="106"/>
      <x:c r="AQ59" s="106"/>
      <x:c r="AR59" s="106"/>
      <x:c r="AS59" s="106"/>
      <x:c r="AT59" s="106"/>
      <x:c r="AU59" s="106"/>
      <x:c r="AV59" s="106"/>
      <x:c r="AW59" s="106"/>
      <x:c r="AX59" s="106"/>
      <x:c r="AY59" s="106"/>
      <x:c r="AZ59" s="106"/>
      <x:c r="BA59" s="106"/>
    </x:row>
    <x:row r="60">
      <x:c r="A60" s="106"/>
      <x:c r="B60" s="106"/>
      <x:c r="C60" s="106"/>
      <x:c r="D60" s="106"/>
      <x:c r="E60" s="106"/>
      <x:c r="F60" s="106"/>
      <x:c r="G60" s="106"/>
      <x:c r="H60" s="106"/>
      <x:c r="I60" s="106"/>
      <x:c r="J60" s="106"/>
      <x:c r="K60" s="106"/>
      <x:c r="L60" s="106"/>
      <x:c r="M60" s="106"/>
      <x:c r="N60" s="106"/>
      <x:c r="O60" s="106"/>
      <x:c r="P60" s="106"/>
      <x:c r="Q60" s="106"/>
      <x:c r="R60" s="106"/>
      <x:c r="S60" s="106"/>
      <x:c r="T60" s="106"/>
      <x:c r="U60" s="106"/>
      <x:c r="V60" s="106"/>
      <x:c r="W60" s="106"/>
      <x:c r="X60" s="106"/>
      <x:c r="Y60" s="106"/>
      <x:c r="Z60" s="106"/>
      <x:c r="AA60" s="106"/>
      <x:c r="AB60" s="106"/>
      <x:c r="AC60" s="106"/>
      <x:c r="AD60" s="106"/>
      <x:c r="AE60" s="106"/>
      <x:c r="AF60" s="106"/>
      <x:c r="AG60" s="106"/>
      <x:c r="AH60" s="106"/>
      <x:c r="AI60" s="106"/>
      <x:c r="AJ60" s="106"/>
      <x:c r="AK60" s="106"/>
      <x:c r="AL60" s="106"/>
      <x:c r="AM60" s="106"/>
      <x:c r="AN60" s="106"/>
      <x:c r="AO60" s="106"/>
      <x:c r="AP60" s="106"/>
      <x:c r="AQ60" s="106"/>
      <x:c r="AR60" s="106"/>
      <x:c r="AS60" s="106"/>
      <x:c r="AT60" s="106"/>
      <x:c r="AU60" s="106"/>
      <x:c r="AV60" s="106"/>
      <x:c r="AW60" s="106"/>
      <x:c r="AX60" s="106"/>
      <x:c r="AY60" s="106"/>
      <x:c r="AZ60" s="106"/>
      <x:c r="BA60" s="106"/>
    </x:row>
  </x:sheetData>
  <x:mergeCells>
    <x:mergeCell ref="A1:BA1"/>
  </x:mergeCells>
  <x:conditionalFormatting sqref="F5:BA54">
    <x:cfRule type="expression" dxfId="6" priority="1">
      <x:formula>AND(F$4&gt;=INDEX('PROJECT PLAN'!$J$4:$J$53,ROW()-4),F$4&lt;=INDEX('PROJECT PLAN'!$K$4:$K$53,ROW()-4),INDEX('PROJECT PLAN'!$C$4:$C$53,ROW()-4)&lt;&gt;"")</x:formula>
    </x:cfRule>
    <x:cfRule type="expression" dxfId="7" priority="2">
      <x:formula>AND(F$4=SETUP!$B$7,INDEX('PROJECT PLAN'!$C$4:$C$53,ROW()-4)&lt;&gt;"")</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34"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5" hidden="0" customWidth="1"/>
    <x:col min="12" max="12" width="15" hidden="0" customWidth="1"/>
    <x:col min="13" max="13" width="22" hidden="0" customWidth="1"/>
  </x:cols>
  <x:sheetData>
    <x:row r="1">
      <x:c r="A1" s="169" t="str">
        <x:v>RACI — assign roles; QA flags prevent unclear ownership</x:v>
      </x:c>
      <x:c r="B1" s="169"/>
      <x:c r="C1" s="169"/>
      <x:c r="D1" s="169"/>
      <x:c r="E1" s="169"/>
      <x:c r="F1" s="169"/>
      <x:c r="G1" s="169"/>
      <x:c r="H1" s="169"/>
      <x:c r="I1" s="169"/>
      <x:c r="J1" s="169"/>
      <x:c r="K1" s="169"/>
      <x:c r="L1" s="169"/>
      <x:c r="M1" s="169"/>
      <x:c r="N1" s="106"/>
      <x:c r="O1" s="106"/>
      <x:c r="P1" s="106"/>
      <x:c r="Q1" s="106"/>
      <x:c r="R1" s="106"/>
      <x:c r="S1" s="106"/>
      <x:c r="T1" s="106"/>
      <x:c r="U1" s="106"/>
      <x:c r="V1" s="106"/>
      <x:c r="W1" s="106"/>
      <x:c r="X1" s="106"/>
      <x:c r="Y1" s="106"/>
      <x:c r="Z1" s="106"/>
      <x:c r="AA1" s="106"/>
      <x:c r="AB1" s="106"/>
      <x:c r="AC1" s="106"/>
      <x:c r="AD1" s="106"/>
      <x:c r="AE1" s="106"/>
      <x:c r="AF1" s="106"/>
      <x:c r="AG1" s="106"/>
      <x:c r="AH1" s="106"/>
      <x:c r="AI1" s="106"/>
      <x:c r="AJ1" s="106"/>
      <x:c r="AK1" s="106"/>
      <x:c r="AL1" s="106"/>
      <x:c r="AM1" s="106"/>
      <x:c r="AN1" s="106"/>
      <x:c r="AO1" s="106"/>
      <x:c r="AP1" s="106"/>
      <x:c r="AQ1" s="106"/>
      <x:c r="AR1" s="106"/>
      <x:c r="AS1" s="106"/>
      <x:c r="AT1" s="106"/>
      <x:c r="AU1" s="106"/>
      <x:c r="AV1" s="106"/>
      <x:c r="AW1" s="106"/>
      <x:c r="AX1" s="106"/>
      <x:c r="AY1" s="106"/>
      <x:c r="AZ1" s="106"/>
      <x:c r="BA1" s="106"/>
    </x:row>
    <x:row r="2">
      <x:c r="A2" s="106"/>
      <x:c r="B2" s="106"/>
      <x:c r="C2" s="106"/>
      <x:c r="D2" s="106"/>
      <x:c r="E2" s="106"/>
      <x:c r="F2" s="106"/>
      <x:c r="G2" s="106"/>
      <x:c r="H2" s="106"/>
      <x:c r="I2" s="106"/>
      <x:c r="J2" s="106"/>
      <x:c r="K2" s="106"/>
      <x:c r="L2" s="106"/>
      <x:c r="M2" s="106"/>
      <x:c r="N2" s="106"/>
      <x:c r="O2" s="106"/>
      <x:c r="P2" s="106"/>
      <x:c r="Q2" s="106"/>
      <x:c r="R2" s="106"/>
      <x:c r="S2" s="106"/>
      <x:c r="T2" s="106"/>
      <x:c r="U2" s="106"/>
      <x:c r="V2" s="106"/>
      <x:c r="W2" s="106"/>
      <x:c r="X2" s="106"/>
      <x:c r="Y2" s="106"/>
      <x:c r="Z2" s="106"/>
      <x:c r="AA2" s="106"/>
      <x:c r="AB2" s="106"/>
      <x:c r="AC2" s="106"/>
      <x:c r="AD2" s="106"/>
      <x:c r="AE2" s="106"/>
      <x:c r="AF2" s="106"/>
      <x:c r="AG2" s="106"/>
      <x:c r="AH2" s="106"/>
      <x:c r="AI2" s="106"/>
      <x:c r="AJ2" s="106"/>
      <x:c r="AK2" s="106"/>
      <x:c r="AL2" s="106"/>
      <x:c r="AM2" s="106"/>
      <x:c r="AN2" s="106"/>
      <x:c r="AO2" s="106"/>
      <x:c r="AP2" s="106"/>
      <x:c r="AQ2" s="106"/>
      <x:c r="AR2" s="106"/>
      <x:c r="AS2" s="106"/>
      <x:c r="AT2" s="106"/>
      <x:c r="AU2" s="106"/>
      <x:c r="AV2" s="106"/>
      <x:c r="AW2" s="106"/>
      <x:c r="AX2" s="106"/>
      <x:c r="AY2" s="106"/>
      <x:c r="AZ2" s="106"/>
      <x:c r="BA2" s="106"/>
    </x:row>
    <x:row r="3">
      <x:c r="A3" s="157" t="str">
        <x:v>Task ID</x:v>
      </x:c>
      <x:c r="B3" s="157" t="str">
        <x:v>Deliverable</x:v>
      </x:c>
      <x:c r="C3" s="157" t="str">
        <x:f>SETUP!D4</x:f>
        <x:v>Person 1</x:v>
      </x:c>
      <x:c r="D3" s="157" t="str">
        <x:f>SETUP!D5</x:f>
        <x:v>Person 2</x:v>
      </x:c>
      <x:c r="E3" s="157" t="str">
        <x:f>SETUP!D6</x:f>
        <x:v>Person 3</x:v>
      </x:c>
      <x:c r="F3" s="157" t="str">
        <x:f>SETUP!D7</x:f>
        <x:v>Person 4</x:v>
      </x:c>
      <x:c r="G3" s="157" t="str">
        <x:f>SETUP!D8</x:f>
        <x:v>Person 5</x:v>
      </x:c>
      <x:c r="H3" s="157" t="str">
        <x:f>SETUP!D9</x:f>
        <x:v>Person 6</x:v>
      </x:c>
      <x:c r="I3" s="157" t="str">
        <x:f>SETUP!D10</x:f>
        <x:v>Person 7</x:v>
      </x:c>
      <x:c r="J3" s="157" t="str">
        <x:f>SETUP!D11</x:f>
        <x:v>Person 8</x:v>
      </x:c>
      <x:c r="K3" s="157" t="str">
        <x:v>Responsible Count</x:v>
      </x:c>
      <x:c r="L3" s="157" t="str">
        <x:v>Accountable Count</x:v>
      </x:c>
      <x:c r="M3" s="157" t="str">
        <x:v>RACI QA</x:v>
      </x:c>
      <x:c r="N3" s="106"/>
      <x:c r="O3" s="106"/>
      <x:c r="P3" s="106"/>
      <x:c r="Q3" s="106"/>
      <x:c r="R3" s="106"/>
      <x:c r="S3" s="106"/>
      <x:c r="T3" s="106"/>
      <x:c r="U3" s="106"/>
      <x:c r="V3" s="106"/>
      <x:c r="W3" s="106"/>
      <x:c r="X3" s="106"/>
      <x:c r="Y3" s="106"/>
      <x:c r="Z3" s="106"/>
      <x:c r="AA3" s="106"/>
      <x:c r="AB3" s="106"/>
      <x:c r="AC3" s="106"/>
      <x:c r="AD3" s="106"/>
      <x:c r="AE3" s="106"/>
      <x:c r="AF3" s="106"/>
      <x:c r="AG3" s="106"/>
      <x:c r="AH3" s="106"/>
      <x:c r="AI3" s="106"/>
      <x:c r="AJ3" s="106"/>
      <x:c r="AK3" s="106"/>
      <x:c r="AL3" s="106"/>
      <x:c r="AM3" s="106"/>
      <x:c r="AN3" s="106"/>
      <x:c r="AO3" s="106"/>
      <x:c r="AP3" s="106"/>
      <x:c r="AQ3" s="106"/>
      <x:c r="AR3" s="106"/>
      <x:c r="AS3" s="106"/>
      <x:c r="AT3" s="106"/>
      <x:c r="AU3" s="106"/>
      <x:c r="AV3" s="106"/>
      <x:c r="AW3" s="106"/>
      <x:c r="AX3" s="106"/>
      <x:c r="AY3" s="106"/>
      <x:c r="AZ3" s="106"/>
      <x:c r="BA3" s="106"/>
    </x:row>
    <x:row r="4">
      <x:c r="A4" s="106" t="str">
        <x:f>IF('PROJECT PLAN'!C4="","",'PROJECT PLAN'!A4)</x:f>
      </x:c>
      <x:c r="B4" s="106" t="str">
        <x:f>IF('PROJECT PLAN'!C4="","",'PROJECT PLAN'!C4)</x:f>
      </x:c>
      <x:c r="C4" s="111"/>
      <x:c r="D4" s="111"/>
      <x:c r="E4" s="111"/>
      <x:c r="F4" s="111"/>
      <x:c r="G4" s="111"/>
      <x:c r="H4" s="111"/>
      <x:c r="I4" s="111"/>
      <x:c r="J4" s="111"/>
      <x:c r="K4" s="113" t="str">
        <x:f>IF(B4="","",COUNTIF(C4:J4,"R"))</x:f>
      </x:c>
      <x:c r="L4" s="113" t="str">
        <x:f>IF(B4="","",COUNTIF(C4:J4,"A"))</x:f>
      </x:c>
      <x:c r="M4" s="113" t="str">
        <x:f>IF(B4="","",IF(L4=0,"Add Accountable",IF(L4&gt;1,"Multiple Accountables",IF(K4=0,"Add Responsible","OK"))))</x:f>
      </x:c>
      <x:c r="N4" s="106"/>
      <x:c r="O4" s="106"/>
      <x:c r="P4" s="106"/>
      <x:c r="Q4" s="106"/>
      <x:c r="R4" s="106"/>
      <x:c r="S4" s="106"/>
      <x:c r="T4" s="106"/>
      <x:c r="U4" s="106"/>
      <x:c r="V4" s="106"/>
      <x:c r="W4" s="106"/>
      <x:c r="X4" s="106"/>
      <x:c r="Y4" s="106"/>
      <x:c r="Z4" s="106"/>
      <x:c r="AA4" s="106"/>
      <x:c r="AB4" s="106"/>
      <x:c r="AC4" s="106"/>
      <x:c r="AD4" s="106"/>
      <x:c r="AE4" s="106"/>
      <x:c r="AF4" s="106"/>
      <x:c r="AG4" s="106"/>
      <x:c r="AH4" s="106"/>
      <x:c r="AI4" s="106"/>
      <x:c r="AJ4" s="106"/>
      <x:c r="AK4" s="106"/>
      <x:c r="AL4" s="106"/>
      <x:c r="AM4" s="106"/>
      <x:c r="AN4" s="106"/>
      <x:c r="AO4" s="106"/>
      <x:c r="AP4" s="106"/>
      <x:c r="AQ4" s="106"/>
      <x:c r="AR4" s="106"/>
      <x:c r="AS4" s="106"/>
      <x:c r="AT4" s="106"/>
      <x:c r="AU4" s="106"/>
      <x:c r="AV4" s="106"/>
      <x:c r="AW4" s="106"/>
      <x:c r="AX4" s="106"/>
      <x:c r="AY4" s="106"/>
      <x:c r="AZ4" s="106"/>
      <x:c r="BA4" s="106"/>
    </x:row>
    <x:row r="5">
      <x:c r="A5" s="106" t="str">
        <x:f>IF('PROJECT PLAN'!C5="","",'PROJECT PLAN'!A5)</x:f>
      </x:c>
      <x:c r="B5" s="106" t="str">
        <x:f>IF('PROJECT PLAN'!C5="","",'PROJECT PLAN'!C5)</x:f>
      </x:c>
      <x:c r="C5" s="111"/>
      <x:c r="D5" s="111"/>
      <x:c r="E5" s="111"/>
      <x:c r="F5" s="111"/>
      <x:c r="G5" s="111"/>
      <x:c r="H5" s="111"/>
      <x:c r="I5" s="111"/>
      <x:c r="J5" s="111"/>
      <x:c r="K5" s="113" t="str">
        <x:f>IF(B5="","",COUNTIF(C5:J5,"R"))</x:f>
      </x:c>
      <x:c r="L5" s="113" t="str">
        <x:f>IF(B5="","",COUNTIF(C5:J5,"A"))</x:f>
      </x:c>
      <x:c r="M5" s="113" t="str">
        <x:f>IF(B5="","",IF(L5=0,"Add Accountable",IF(L5&gt;1,"Multiple Accountables",IF(K5=0,"Add Responsible","OK"))))</x:f>
      </x:c>
      <x:c r="N5" s="106"/>
      <x:c r="O5" s="106"/>
      <x:c r="P5" s="106"/>
      <x:c r="Q5" s="106"/>
      <x:c r="R5" s="106"/>
      <x:c r="S5" s="106"/>
      <x:c r="T5" s="106"/>
      <x:c r="U5" s="106"/>
      <x:c r="V5" s="106"/>
      <x:c r="W5" s="106"/>
      <x:c r="X5" s="106"/>
      <x:c r="Y5" s="106"/>
      <x:c r="Z5" s="106"/>
      <x:c r="AA5" s="106"/>
      <x:c r="AB5" s="106"/>
      <x:c r="AC5" s="106"/>
      <x:c r="AD5" s="106"/>
      <x:c r="AE5" s="106"/>
      <x:c r="AF5" s="106"/>
      <x:c r="AG5" s="106"/>
      <x:c r="AH5" s="106"/>
      <x:c r="AI5" s="106"/>
      <x:c r="AJ5" s="106"/>
      <x:c r="AK5" s="106"/>
      <x:c r="AL5" s="106"/>
      <x:c r="AM5" s="106"/>
      <x:c r="AN5" s="106"/>
      <x:c r="AO5" s="106"/>
      <x:c r="AP5" s="106"/>
      <x:c r="AQ5" s="106"/>
      <x:c r="AR5" s="106"/>
      <x:c r="AS5" s="106"/>
      <x:c r="AT5" s="106"/>
      <x:c r="AU5" s="106"/>
      <x:c r="AV5" s="106"/>
      <x:c r="AW5" s="106"/>
      <x:c r="AX5" s="106"/>
      <x:c r="AY5" s="106"/>
      <x:c r="AZ5" s="106"/>
      <x:c r="BA5" s="106"/>
    </x:row>
    <x:row r="6">
      <x:c r="A6" s="106" t="str">
        <x:f>IF('PROJECT PLAN'!C6="","",'PROJECT PLAN'!A6)</x:f>
      </x:c>
      <x:c r="B6" s="106" t="str">
        <x:f>IF('PROJECT PLAN'!C6="","",'PROJECT PLAN'!C6)</x:f>
      </x:c>
      <x:c r="C6" s="111"/>
      <x:c r="D6" s="111"/>
      <x:c r="E6" s="111"/>
      <x:c r="F6" s="111"/>
      <x:c r="G6" s="111"/>
      <x:c r="H6" s="111"/>
      <x:c r="I6" s="111"/>
      <x:c r="J6" s="111"/>
      <x:c r="K6" s="113" t="str">
        <x:f>IF(B6="","",COUNTIF(C6:J6,"R"))</x:f>
      </x:c>
      <x:c r="L6" s="113" t="str">
        <x:f>IF(B6="","",COUNTIF(C6:J6,"A"))</x:f>
      </x:c>
      <x:c r="M6" s="113" t="str">
        <x:f>IF(B6="","",IF(L6=0,"Add Accountable",IF(L6&gt;1,"Multiple Accountables",IF(K6=0,"Add Responsible","OK"))))</x:f>
      </x:c>
      <x:c r="N6" s="106"/>
      <x:c r="O6" s="106"/>
      <x:c r="P6" s="106"/>
      <x:c r="Q6" s="106"/>
      <x:c r="R6" s="106"/>
      <x:c r="S6" s="106"/>
      <x:c r="T6" s="106"/>
      <x:c r="U6" s="106"/>
      <x:c r="V6" s="106"/>
      <x:c r="W6" s="106"/>
      <x:c r="X6" s="106"/>
      <x:c r="Y6" s="106"/>
      <x:c r="Z6" s="106"/>
      <x:c r="AA6" s="106"/>
      <x:c r="AB6" s="106"/>
      <x:c r="AC6" s="106"/>
      <x:c r="AD6" s="106"/>
      <x:c r="AE6" s="106"/>
      <x:c r="AF6" s="106"/>
      <x:c r="AG6" s="106"/>
      <x:c r="AH6" s="106"/>
      <x:c r="AI6" s="106"/>
      <x:c r="AJ6" s="106"/>
      <x:c r="AK6" s="106"/>
      <x:c r="AL6" s="106"/>
      <x:c r="AM6" s="106"/>
      <x:c r="AN6" s="106"/>
      <x:c r="AO6" s="106"/>
      <x:c r="AP6" s="106"/>
      <x:c r="AQ6" s="106"/>
      <x:c r="AR6" s="106"/>
      <x:c r="AS6" s="106"/>
      <x:c r="AT6" s="106"/>
      <x:c r="AU6" s="106"/>
      <x:c r="AV6" s="106"/>
      <x:c r="AW6" s="106"/>
      <x:c r="AX6" s="106"/>
      <x:c r="AY6" s="106"/>
      <x:c r="AZ6" s="106"/>
      <x:c r="BA6" s="106"/>
    </x:row>
    <x:row r="7">
      <x:c r="A7" s="106" t="str">
        <x:f>IF('PROJECT PLAN'!C7="","",'PROJECT PLAN'!A7)</x:f>
      </x:c>
      <x:c r="B7" s="106" t="str">
        <x:f>IF('PROJECT PLAN'!C7="","",'PROJECT PLAN'!C7)</x:f>
      </x:c>
      <x:c r="C7" s="111"/>
      <x:c r="D7" s="111"/>
      <x:c r="E7" s="111"/>
      <x:c r="F7" s="111"/>
      <x:c r="G7" s="111"/>
      <x:c r="H7" s="111"/>
      <x:c r="I7" s="111"/>
      <x:c r="J7" s="111"/>
      <x:c r="K7" s="113" t="str">
        <x:f>IF(B7="","",COUNTIF(C7:J7,"R"))</x:f>
      </x:c>
      <x:c r="L7" s="113" t="str">
        <x:f>IF(B7="","",COUNTIF(C7:J7,"A"))</x:f>
      </x:c>
      <x:c r="M7" s="113" t="str">
        <x:f>IF(B7="","",IF(L7=0,"Add Accountable",IF(L7&gt;1,"Multiple Accountables",IF(K7=0,"Add Responsible","OK"))))</x:f>
      </x:c>
      <x:c r="N7" s="106"/>
      <x:c r="O7" s="106"/>
      <x:c r="P7" s="106"/>
      <x:c r="Q7" s="106"/>
      <x:c r="R7" s="106"/>
      <x:c r="S7" s="106"/>
      <x:c r="T7" s="106"/>
      <x:c r="U7" s="106"/>
      <x:c r="V7" s="106"/>
      <x:c r="W7" s="106"/>
      <x:c r="X7" s="106"/>
      <x:c r="Y7" s="106"/>
      <x:c r="Z7" s="106"/>
      <x:c r="AA7" s="106"/>
      <x:c r="AB7" s="106"/>
      <x:c r="AC7" s="106"/>
      <x:c r="AD7" s="106"/>
      <x:c r="AE7" s="106"/>
      <x:c r="AF7" s="106"/>
      <x:c r="AG7" s="106"/>
      <x:c r="AH7" s="106"/>
      <x:c r="AI7" s="106"/>
      <x:c r="AJ7" s="106"/>
      <x:c r="AK7" s="106"/>
      <x:c r="AL7" s="106"/>
      <x:c r="AM7" s="106"/>
      <x:c r="AN7" s="106"/>
      <x:c r="AO7" s="106"/>
      <x:c r="AP7" s="106"/>
      <x:c r="AQ7" s="106"/>
      <x:c r="AR7" s="106"/>
      <x:c r="AS7" s="106"/>
      <x:c r="AT7" s="106"/>
      <x:c r="AU7" s="106"/>
      <x:c r="AV7" s="106"/>
      <x:c r="AW7" s="106"/>
      <x:c r="AX7" s="106"/>
      <x:c r="AY7" s="106"/>
      <x:c r="AZ7" s="106"/>
      <x:c r="BA7" s="106"/>
    </x:row>
    <x:row r="8">
      <x:c r="A8" s="106" t="str">
        <x:f>IF('PROJECT PLAN'!C8="","",'PROJECT PLAN'!A8)</x:f>
      </x:c>
      <x:c r="B8" s="106" t="str">
        <x:f>IF('PROJECT PLAN'!C8="","",'PROJECT PLAN'!C8)</x:f>
      </x:c>
      <x:c r="C8" s="111"/>
      <x:c r="D8" s="111"/>
      <x:c r="E8" s="111"/>
      <x:c r="F8" s="111"/>
      <x:c r="G8" s="111"/>
      <x:c r="H8" s="111"/>
      <x:c r="I8" s="111"/>
      <x:c r="J8" s="111"/>
      <x:c r="K8" s="113" t="str">
        <x:f>IF(B8="","",COUNTIF(C8:J8,"R"))</x:f>
      </x:c>
      <x:c r="L8" s="113" t="str">
        <x:f>IF(B8="","",COUNTIF(C8:J8,"A"))</x:f>
      </x:c>
      <x:c r="M8" s="113" t="str">
        <x:f>IF(B8="","",IF(L8=0,"Add Accountable",IF(L8&gt;1,"Multiple Accountables",IF(K8=0,"Add Responsible","OK"))))</x:f>
      </x:c>
      <x:c r="N8" s="106"/>
      <x:c r="O8" s="106"/>
      <x:c r="P8" s="106"/>
      <x:c r="Q8" s="106"/>
      <x:c r="R8" s="106"/>
      <x:c r="S8" s="106"/>
      <x:c r="T8" s="106"/>
      <x:c r="U8" s="106"/>
      <x:c r="V8" s="106"/>
      <x:c r="W8" s="106"/>
      <x:c r="X8" s="106"/>
      <x:c r="Y8" s="106"/>
      <x:c r="Z8" s="106"/>
      <x:c r="AA8" s="106"/>
      <x:c r="AB8" s="106"/>
      <x:c r="AC8" s="106"/>
      <x:c r="AD8" s="106"/>
      <x:c r="AE8" s="106"/>
      <x:c r="AF8" s="106"/>
      <x:c r="AG8" s="106"/>
      <x:c r="AH8" s="106"/>
      <x:c r="AI8" s="106"/>
      <x:c r="AJ8" s="106"/>
      <x:c r="AK8" s="106"/>
      <x:c r="AL8" s="106"/>
      <x:c r="AM8" s="106"/>
      <x:c r="AN8" s="106"/>
      <x:c r="AO8" s="106"/>
      <x:c r="AP8" s="106"/>
      <x:c r="AQ8" s="106"/>
      <x:c r="AR8" s="106"/>
      <x:c r="AS8" s="106"/>
      <x:c r="AT8" s="106"/>
      <x:c r="AU8" s="106"/>
      <x:c r="AV8" s="106"/>
      <x:c r="AW8" s="106"/>
      <x:c r="AX8" s="106"/>
      <x:c r="AY8" s="106"/>
      <x:c r="AZ8" s="106"/>
      <x:c r="BA8" s="106"/>
    </x:row>
    <x:row r="9">
      <x:c r="A9" s="106" t="str">
        <x:f>IF('PROJECT PLAN'!C9="","",'PROJECT PLAN'!A9)</x:f>
      </x:c>
      <x:c r="B9" s="106" t="str">
        <x:f>IF('PROJECT PLAN'!C9="","",'PROJECT PLAN'!C9)</x:f>
      </x:c>
      <x:c r="C9" s="111"/>
      <x:c r="D9" s="111"/>
      <x:c r="E9" s="111"/>
      <x:c r="F9" s="111"/>
      <x:c r="G9" s="111"/>
      <x:c r="H9" s="111"/>
      <x:c r="I9" s="111"/>
      <x:c r="J9" s="111"/>
      <x:c r="K9" s="113" t="str">
        <x:f>IF(B9="","",COUNTIF(C9:J9,"R"))</x:f>
      </x:c>
      <x:c r="L9" s="113" t="str">
        <x:f>IF(B9="","",COUNTIF(C9:J9,"A"))</x:f>
      </x:c>
      <x:c r="M9" s="113" t="str">
        <x:f>IF(B9="","",IF(L9=0,"Add Accountable",IF(L9&gt;1,"Multiple Accountables",IF(K9=0,"Add Responsible","OK"))))</x:f>
      </x:c>
      <x:c r="N9" s="106"/>
      <x:c r="O9" s="106"/>
      <x:c r="P9" s="106"/>
      <x:c r="Q9" s="106"/>
      <x:c r="R9" s="106"/>
      <x:c r="S9" s="106"/>
      <x:c r="T9" s="106"/>
      <x:c r="U9" s="106"/>
      <x:c r="V9" s="106"/>
      <x:c r="W9" s="106"/>
      <x:c r="X9" s="106"/>
      <x:c r="Y9" s="106"/>
      <x:c r="Z9" s="106"/>
      <x:c r="AA9" s="106"/>
      <x:c r="AB9" s="106"/>
      <x:c r="AC9" s="106"/>
      <x:c r="AD9" s="106"/>
      <x:c r="AE9" s="106"/>
      <x:c r="AF9" s="106"/>
      <x:c r="AG9" s="106"/>
      <x:c r="AH9" s="106"/>
      <x:c r="AI9" s="106"/>
      <x:c r="AJ9" s="106"/>
      <x:c r="AK9" s="106"/>
      <x:c r="AL9" s="106"/>
      <x:c r="AM9" s="106"/>
      <x:c r="AN9" s="106"/>
      <x:c r="AO9" s="106"/>
      <x:c r="AP9" s="106"/>
      <x:c r="AQ9" s="106"/>
      <x:c r="AR9" s="106"/>
      <x:c r="AS9" s="106"/>
      <x:c r="AT9" s="106"/>
      <x:c r="AU9" s="106"/>
      <x:c r="AV9" s="106"/>
      <x:c r="AW9" s="106"/>
      <x:c r="AX9" s="106"/>
      <x:c r="AY9" s="106"/>
      <x:c r="AZ9" s="106"/>
      <x:c r="BA9" s="106"/>
    </x:row>
    <x:row r="10">
      <x:c r="A10" s="106" t="str">
        <x:f>IF('PROJECT PLAN'!C10="","",'PROJECT PLAN'!A10)</x:f>
      </x:c>
      <x:c r="B10" s="106" t="str">
        <x:f>IF('PROJECT PLAN'!C10="","",'PROJECT PLAN'!C10)</x:f>
      </x:c>
      <x:c r="C10" s="111"/>
      <x:c r="D10" s="111"/>
      <x:c r="E10" s="111"/>
      <x:c r="F10" s="111"/>
      <x:c r="G10" s="111"/>
      <x:c r="H10" s="111"/>
      <x:c r="I10" s="111"/>
      <x:c r="J10" s="111"/>
      <x:c r="K10" s="113" t="str">
        <x:f>IF(B10="","",COUNTIF(C10:J10,"R"))</x:f>
      </x:c>
      <x:c r="L10" s="113" t="str">
        <x:f>IF(B10="","",COUNTIF(C10:J10,"A"))</x:f>
      </x:c>
      <x:c r="M10" s="113" t="str">
        <x:f>IF(B10="","",IF(L10=0,"Add Accountable",IF(L10&gt;1,"Multiple Accountables",IF(K10=0,"Add Responsible","OK"))))</x:f>
      </x:c>
      <x:c r="N10" s="106"/>
      <x:c r="O10" s="106"/>
      <x:c r="P10" s="106"/>
      <x:c r="Q10" s="106"/>
      <x:c r="R10" s="106"/>
      <x:c r="S10" s="106"/>
      <x:c r="T10" s="106"/>
      <x:c r="U10" s="106"/>
      <x:c r="V10" s="106"/>
      <x:c r="W10" s="106"/>
      <x:c r="X10" s="106"/>
      <x:c r="Y10" s="106"/>
      <x:c r="Z10" s="106"/>
      <x:c r="AA10" s="106"/>
      <x:c r="AB10" s="106"/>
      <x:c r="AC10" s="106"/>
      <x:c r="AD10" s="106"/>
      <x:c r="AE10" s="106"/>
      <x:c r="AF10" s="106"/>
      <x:c r="AG10" s="106"/>
      <x:c r="AH10" s="106"/>
      <x:c r="AI10" s="106"/>
      <x:c r="AJ10" s="106"/>
      <x:c r="AK10" s="106"/>
      <x:c r="AL10" s="106"/>
      <x:c r="AM10" s="106"/>
      <x:c r="AN10" s="106"/>
      <x:c r="AO10" s="106"/>
      <x:c r="AP10" s="106"/>
      <x:c r="AQ10" s="106"/>
      <x:c r="AR10" s="106"/>
      <x:c r="AS10" s="106"/>
      <x:c r="AT10" s="106"/>
      <x:c r="AU10" s="106"/>
      <x:c r="AV10" s="106"/>
      <x:c r="AW10" s="106"/>
      <x:c r="AX10" s="106"/>
      <x:c r="AY10" s="106"/>
      <x:c r="AZ10" s="106"/>
      <x:c r="BA10" s="106"/>
    </x:row>
    <x:row r="11">
      <x:c r="A11" s="106" t="str">
        <x:f>IF('PROJECT PLAN'!C11="","",'PROJECT PLAN'!A11)</x:f>
      </x:c>
      <x:c r="B11" s="106" t="str">
        <x:f>IF('PROJECT PLAN'!C11="","",'PROJECT PLAN'!C11)</x:f>
      </x:c>
      <x:c r="C11" s="111"/>
      <x:c r="D11" s="111"/>
      <x:c r="E11" s="111"/>
      <x:c r="F11" s="111"/>
      <x:c r="G11" s="111"/>
      <x:c r="H11" s="111"/>
      <x:c r="I11" s="111"/>
      <x:c r="J11" s="111"/>
      <x:c r="K11" s="113" t="str">
        <x:f>IF(B11="","",COUNTIF(C11:J11,"R"))</x:f>
      </x:c>
      <x:c r="L11" s="113" t="str">
        <x:f>IF(B11="","",COUNTIF(C11:J11,"A"))</x:f>
      </x:c>
      <x:c r="M11" s="113" t="str">
        <x:f>IF(B11="","",IF(L11=0,"Add Accountable",IF(L11&gt;1,"Multiple Accountables",IF(K11=0,"Add Responsible","OK"))))</x:f>
      </x:c>
      <x:c r="N11" s="106"/>
      <x:c r="O11" s="106"/>
      <x:c r="P11" s="106"/>
      <x:c r="Q11" s="106"/>
      <x:c r="R11" s="106"/>
      <x:c r="S11" s="106"/>
      <x:c r="T11" s="106"/>
      <x:c r="U11" s="106"/>
      <x:c r="V11" s="106"/>
      <x:c r="W11" s="106"/>
      <x:c r="X11" s="106"/>
      <x:c r="Y11" s="106"/>
      <x:c r="Z11" s="106"/>
      <x:c r="AA11" s="106"/>
      <x:c r="AB11" s="106"/>
      <x:c r="AC11" s="106"/>
      <x:c r="AD11" s="106"/>
      <x:c r="AE11" s="106"/>
      <x:c r="AF11" s="106"/>
      <x:c r="AG11" s="106"/>
      <x:c r="AH11" s="106"/>
      <x:c r="AI11" s="106"/>
      <x:c r="AJ11" s="106"/>
      <x:c r="AK11" s="106"/>
      <x:c r="AL11" s="106"/>
      <x:c r="AM11" s="106"/>
      <x:c r="AN11" s="106"/>
      <x:c r="AO11" s="106"/>
      <x:c r="AP11" s="106"/>
      <x:c r="AQ11" s="106"/>
      <x:c r="AR11" s="106"/>
      <x:c r="AS11" s="106"/>
      <x:c r="AT11" s="106"/>
      <x:c r="AU11" s="106"/>
      <x:c r="AV11" s="106"/>
      <x:c r="AW11" s="106"/>
      <x:c r="AX11" s="106"/>
      <x:c r="AY11" s="106"/>
      <x:c r="AZ11" s="106"/>
      <x:c r="BA11" s="106"/>
    </x:row>
    <x:row r="12">
      <x:c r="A12" s="106" t="str">
        <x:f>IF('PROJECT PLAN'!C12="","",'PROJECT PLAN'!A12)</x:f>
      </x:c>
      <x:c r="B12" s="106" t="str">
        <x:f>IF('PROJECT PLAN'!C12="","",'PROJECT PLAN'!C12)</x:f>
      </x:c>
      <x:c r="C12" s="111"/>
      <x:c r="D12" s="111"/>
      <x:c r="E12" s="111"/>
      <x:c r="F12" s="111"/>
      <x:c r="G12" s="111"/>
      <x:c r="H12" s="111"/>
      <x:c r="I12" s="111"/>
      <x:c r="J12" s="111"/>
      <x:c r="K12" s="113" t="str">
        <x:f>IF(B12="","",COUNTIF(C12:J12,"R"))</x:f>
      </x:c>
      <x:c r="L12" s="113" t="str">
        <x:f>IF(B12="","",COUNTIF(C12:J12,"A"))</x:f>
      </x:c>
      <x:c r="M12" s="113" t="str">
        <x:f>IF(B12="","",IF(L12=0,"Add Accountable",IF(L12&gt;1,"Multiple Accountables",IF(K12=0,"Add Responsible","OK"))))</x:f>
      </x:c>
      <x:c r="N12" s="106"/>
      <x:c r="O12" s="106"/>
      <x:c r="P12" s="106"/>
      <x:c r="Q12" s="106"/>
      <x:c r="R12" s="106"/>
      <x:c r="S12" s="106"/>
      <x:c r="T12" s="106"/>
      <x:c r="U12" s="106"/>
      <x:c r="V12" s="106"/>
      <x:c r="W12" s="106"/>
      <x:c r="X12" s="106"/>
      <x:c r="Y12" s="106"/>
      <x:c r="Z12" s="106"/>
      <x:c r="AA12" s="106"/>
      <x:c r="AB12" s="106"/>
      <x:c r="AC12" s="106"/>
      <x:c r="AD12" s="106"/>
      <x:c r="AE12" s="106"/>
      <x:c r="AF12" s="106"/>
      <x:c r="AG12" s="106"/>
      <x:c r="AH12" s="106"/>
      <x:c r="AI12" s="106"/>
      <x:c r="AJ12" s="106"/>
      <x:c r="AK12" s="106"/>
      <x:c r="AL12" s="106"/>
      <x:c r="AM12" s="106"/>
      <x:c r="AN12" s="106"/>
      <x:c r="AO12" s="106"/>
      <x:c r="AP12" s="106"/>
      <x:c r="AQ12" s="106"/>
      <x:c r="AR12" s="106"/>
      <x:c r="AS12" s="106"/>
      <x:c r="AT12" s="106"/>
      <x:c r="AU12" s="106"/>
      <x:c r="AV12" s="106"/>
      <x:c r="AW12" s="106"/>
      <x:c r="AX12" s="106"/>
      <x:c r="AY12" s="106"/>
      <x:c r="AZ12" s="106"/>
      <x:c r="BA12" s="106"/>
    </x:row>
    <x:row r="13">
      <x:c r="A13" s="106" t="str">
        <x:f>IF('PROJECT PLAN'!C13="","",'PROJECT PLAN'!A13)</x:f>
      </x:c>
      <x:c r="B13" s="106" t="str">
        <x:f>IF('PROJECT PLAN'!C13="","",'PROJECT PLAN'!C13)</x:f>
      </x:c>
      <x:c r="C13" s="111"/>
      <x:c r="D13" s="111"/>
      <x:c r="E13" s="111"/>
      <x:c r="F13" s="111"/>
      <x:c r="G13" s="111"/>
      <x:c r="H13" s="111"/>
      <x:c r="I13" s="111"/>
      <x:c r="J13" s="111"/>
      <x:c r="K13" s="113" t="str">
        <x:f>IF(B13="","",COUNTIF(C13:J13,"R"))</x:f>
      </x:c>
      <x:c r="L13" s="113" t="str">
        <x:f>IF(B13="","",COUNTIF(C13:J13,"A"))</x:f>
      </x:c>
      <x:c r="M13" s="113" t="str">
        <x:f>IF(B13="","",IF(L13=0,"Add Accountable",IF(L13&gt;1,"Multiple Accountables",IF(K13=0,"Add Responsible","OK"))))</x:f>
      </x:c>
      <x:c r="N13" s="106"/>
      <x:c r="O13" s="106"/>
      <x:c r="P13" s="106"/>
      <x:c r="Q13" s="106"/>
      <x:c r="R13" s="106"/>
      <x:c r="S13" s="106"/>
      <x:c r="T13" s="106"/>
      <x:c r="U13" s="106"/>
      <x:c r="V13" s="106"/>
      <x:c r="W13" s="106"/>
      <x:c r="X13" s="106"/>
      <x:c r="Y13" s="106"/>
      <x:c r="Z13" s="106"/>
      <x:c r="AA13" s="106"/>
      <x:c r="AB13" s="106"/>
      <x:c r="AC13" s="106"/>
      <x:c r="AD13" s="106"/>
      <x:c r="AE13" s="106"/>
      <x:c r="AF13" s="106"/>
      <x:c r="AG13" s="106"/>
      <x:c r="AH13" s="106"/>
      <x:c r="AI13" s="106"/>
      <x:c r="AJ13" s="106"/>
      <x:c r="AK13" s="106"/>
      <x:c r="AL13" s="106"/>
      <x:c r="AM13" s="106"/>
      <x:c r="AN13" s="106"/>
      <x:c r="AO13" s="106"/>
      <x:c r="AP13" s="106"/>
      <x:c r="AQ13" s="106"/>
      <x:c r="AR13" s="106"/>
      <x:c r="AS13" s="106"/>
      <x:c r="AT13" s="106"/>
      <x:c r="AU13" s="106"/>
      <x:c r="AV13" s="106"/>
      <x:c r="AW13" s="106"/>
      <x:c r="AX13" s="106"/>
      <x:c r="AY13" s="106"/>
      <x:c r="AZ13" s="106"/>
      <x:c r="BA13" s="106"/>
    </x:row>
    <x:row r="14">
      <x:c r="A14" s="106" t="str">
        <x:f>IF('PROJECT PLAN'!C14="","",'PROJECT PLAN'!A14)</x:f>
      </x:c>
      <x:c r="B14" s="106" t="str">
        <x:f>IF('PROJECT PLAN'!C14="","",'PROJECT PLAN'!C14)</x:f>
      </x:c>
      <x:c r="C14" s="111"/>
      <x:c r="D14" s="111"/>
      <x:c r="E14" s="111"/>
      <x:c r="F14" s="111"/>
      <x:c r="G14" s="111"/>
      <x:c r="H14" s="111"/>
      <x:c r="I14" s="111"/>
      <x:c r="J14" s="111"/>
      <x:c r="K14" s="113" t="str">
        <x:f>IF(B14="","",COUNTIF(C14:J14,"R"))</x:f>
      </x:c>
      <x:c r="L14" s="113" t="str">
        <x:f>IF(B14="","",COUNTIF(C14:J14,"A"))</x:f>
      </x:c>
      <x:c r="M14" s="113" t="str">
        <x:f>IF(B14="","",IF(L14=0,"Add Accountable",IF(L14&gt;1,"Multiple Accountables",IF(K14=0,"Add Responsible","OK"))))</x:f>
      </x:c>
      <x:c r="N14" s="106"/>
      <x:c r="O14" s="106"/>
      <x:c r="P14" s="106"/>
      <x:c r="Q14" s="106"/>
      <x:c r="R14" s="106"/>
      <x:c r="S14" s="106"/>
      <x:c r="T14" s="106"/>
      <x:c r="U14" s="106"/>
      <x:c r="V14" s="106"/>
      <x:c r="W14" s="106"/>
      <x:c r="X14" s="106"/>
      <x:c r="Y14" s="106"/>
      <x:c r="Z14" s="106"/>
      <x:c r="AA14" s="106"/>
      <x:c r="AB14" s="106"/>
      <x:c r="AC14" s="106"/>
      <x:c r="AD14" s="106"/>
      <x:c r="AE14" s="106"/>
      <x:c r="AF14" s="106"/>
      <x:c r="AG14" s="106"/>
      <x:c r="AH14" s="106"/>
      <x:c r="AI14" s="106"/>
      <x:c r="AJ14" s="106"/>
      <x:c r="AK14" s="106"/>
      <x:c r="AL14" s="106"/>
      <x:c r="AM14" s="106"/>
      <x:c r="AN14" s="106"/>
      <x:c r="AO14" s="106"/>
      <x:c r="AP14" s="106"/>
      <x:c r="AQ14" s="106"/>
      <x:c r="AR14" s="106"/>
      <x:c r="AS14" s="106"/>
      <x:c r="AT14" s="106"/>
      <x:c r="AU14" s="106"/>
      <x:c r="AV14" s="106"/>
      <x:c r="AW14" s="106"/>
      <x:c r="AX14" s="106"/>
      <x:c r="AY14" s="106"/>
      <x:c r="AZ14" s="106"/>
      <x:c r="BA14" s="106"/>
    </x:row>
    <x:row r="15">
      <x:c r="A15" s="106" t="str">
        <x:f>IF('PROJECT PLAN'!C15="","",'PROJECT PLAN'!A15)</x:f>
      </x:c>
      <x:c r="B15" s="106" t="str">
        <x:f>IF('PROJECT PLAN'!C15="","",'PROJECT PLAN'!C15)</x:f>
      </x:c>
      <x:c r="C15" s="111"/>
      <x:c r="D15" s="111"/>
      <x:c r="E15" s="111"/>
      <x:c r="F15" s="111"/>
      <x:c r="G15" s="111"/>
      <x:c r="H15" s="111"/>
      <x:c r="I15" s="111"/>
      <x:c r="J15" s="111"/>
      <x:c r="K15" s="113" t="str">
        <x:f>IF(B15="","",COUNTIF(C15:J15,"R"))</x:f>
      </x:c>
      <x:c r="L15" s="113" t="str">
        <x:f>IF(B15="","",COUNTIF(C15:J15,"A"))</x:f>
      </x:c>
      <x:c r="M15" s="113" t="str">
        <x:f>IF(B15="","",IF(L15=0,"Add Accountable",IF(L15&gt;1,"Multiple Accountables",IF(K15=0,"Add Responsible","OK"))))</x:f>
      </x:c>
      <x:c r="N15" s="106"/>
      <x:c r="O15" s="106"/>
      <x:c r="P15" s="106"/>
      <x:c r="Q15" s="106"/>
      <x:c r="R15" s="106"/>
      <x:c r="S15" s="106"/>
      <x:c r="T15" s="106"/>
      <x:c r="U15" s="106"/>
      <x:c r="V15" s="106"/>
      <x:c r="W15" s="106"/>
      <x:c r="X15" s="106"/>
      <x:c r="Y15" s="106"/>
      <x:c r="Z15" s="106"/>
      <x:c r="AA15" s="106"/>
      <x:c r="AB15" s="106"/>
      <x:c r="AC15" s="106"/>
      <x:c r="AD15" s="106"/>
      <x:c r="AE15" s="106"/>
      <x:c r="AF15" s="106"/>
      <x:c r="AG15" s="106"/>
      <x:c r="AH15" s="106"/>
      <x:c r="AI15" s="106"/>
      <x:c r="AJ15" s="106"/>
      <x:c r="AK15" s="106"/>
      <x:c r="AL15" s="106"/>
      <x:c r="AM15" s="106"/>
      <x:c r="AN15" s="106"/>
      <x:c r="AO15" s="106"/>
      <x:c r="AP15" s="106"/>
      <x:c r="AQ15" s="106"/>
      <x:c r="AR15" s="106"/>
      <x:c r="AS15" s="106"/>
      <x:c r="AT15" s="106"/>
      <x:c r="AU15" s="106"/>
      <x:c r="AV15" s="106"/>
      <x:c r="AW15" s="106"/>
      <x:c r="AX15" s="106"/>
      <x:c r="AY15" s="106"/>
      <x:c r="AZ15" s="106"/>
      <x:c r="BA15" s="106"/>
    </x:row>
    <x:row r="16">
      <x:c r="A16" s="106" t="str">
        <x:f>IF('PROJECT PLAN'!C16="","",'PROJECT PLAN'!A16)</x:f>
      </x:c>
      <x:c r="B16" s="106" t="str">
        <x:f>IF('PROJECT PLAN'!C16="","",'PROJECT PLAN'!C16)</x:f>
      </x:c>
      <x:c r="C16" s="111"/>
      <x:c r="D16" s="111"/>
      <x:c r="E16" s="111"/>
      <x:c r="F16" s="111"/>
      <x:c r="G16" s="111"/>
      <x:c r="H16" s="111"/>
      <x:c r="I16" s="111"/>
      <x:c r="J16" s="111"/>
      <x:c r="K16" s="113" t="str">
        <x:f>IF(B16="","",COUNTIF(C16:J16,"R"))</x:f>
      </x:c>
      <x:c r="L16" s="113" t="str">
        <x:f>IF(B16="","",COUNTIF(C16:J16,"A"))</x:f>
      </x:c>
      <x:c r="M16" s="113" t="str">
        <x:f>IF(B16="","",IF(L16=0,"Add Accountable",IF(L16&gt;1,"Multiple Accountables",IF(K16=0,"Add Responsible","OK"))))</x:f>
      </x:c>
      <x:c r="N16" s="106"/>
      <x:c r="O16" s="106"/>
      <x:c r="P16" s="106"/>
      <x:c r="Q16" s="106"/>
      <x:c r="R16" s="106"/>
      <x:c r="S16" s="106"/>
      <x:c r="T16" s="106"/>
      <x:c r="U16" s="106"/>
      <x:c r="V16" s="106"/>
      <x:c r="W16" s="106"/>
      <x:c r="X16" s="106"/>
      <x:c r="Y16" s="106"/>
      <x:c r="Z16" s="106"/>
      <x:c r="AA16" s="106"/>
      <x:c r="AB16" s="106"/>
      <x:c r="AC16" s="106"/>
      <x:c r="AD16" s="106"/>
      <x:c r="AE16" s="106"/>
      <x:c r="AF16" s="106"/>
      <x:c r="AG16" s="106"/>
      <x:c r="AH16" s="106"/>
      <x:c r="AI16" s="106"/>
      <x:c r="AJ16" s="106"/>
      <x:c r="AK16" s="106"/>
      <x:c r="AL16" s="106"/>
      <x:c r="AM16" s="106"/>
      <x:c r="AN16" s="106"/>
      <x:c r="AO16" s="106"/>
      <x:c r="AP16" s="106"/>
      <x:c r="AQ16" s="106"/>
      <x:c r="AR16" s="106"/>
      <x:c r="AS16" s="106"/>
      <x:c r="AT16" s="106"/>
      <x:c r="AU16" s="106"/>
      <x:c r="AV16" s="106"/>
      <x:c r="AW16" s="106"/>
      <x:c r="AX16" s="106"/>
      <x:c r="AY16" s="106"/>
      <x:c r="AZ16" s="106"/>
      <x:c r="BA16" s="106"/>
    </x:row>
    <x:row r="17">
      <x:c r="A17" s="106" t="str">
        <x:f>IF('PROJECT PLAN'!C17="","",'PROJECT PLAN'!A17)</x:f>
      </x:c>
      <x:c r="B17" s="106" t="str">
        <x:f>IF('PROJECT PLAN'!C17="","",'PROJECT PLAN'!C17)</x:f>
      </x:c>
      <x:c r="C17" s="111"/>
      <x:c r="D17" s="111"/>
      <x:c r="E17" s="111"/>
      <x:c r="F17" s="111"/>
      <x:c r="G17" s="111"/>
      <x:c r="H17" s="111"/>
      <x:c r="I17" s="111"/>
      <x:c r="J17" s="111"/>
      <x:c r="K17" s="113" t="str">
        <x:f>IF(B17="","",COUNTIF(C17:J17,"R"))</x:f>
      </x:c>
      <x:c r="L17" s="113" t="str">
        <x:f>IF(B17="","",COUNTIF(C17:J17,"A"))</x:f>
      </x:c>
      <x:c r="M17" s="113" t="str">
        <x:f>IF(B17="","",IF(L17=0,"Add Accountable",IF(L17&gt;1,"Multiple Accountables",IF(K17=0,"Add Responsible","OK"))))</x:f>
      </x:c>
      <x:c r="N17" s="106"/>
      <x:c r="O17" s="106"/>
      <x:c r="P17" s="106"/>
      <x:c r="Q17" s="106"/>
      <x:c r="R17" s="106"/>
      <x:c r="S17" s="106"/>
      <x:c r="T17" s="106"/>
      <x:c r="U17" s="106"/>
      <x:c r="V17" s="106"/>
      <x:c r="W17" s="106"/>
      <x:c r="X17" s="106"/>
      <x:c r="Y17" s="106"/>
      <x:c r="Z17" s="106"/>
      <x:c r="AA17" s="106"/>
      <x:c r="AB17" s="106"/>
      <x:c r="AC17" s="106"/>
      <x:c r="AD17" s="106"/>
      <x:c r="AE17" s="106"/>
      <x:c r="AF17" s="106"/>
      <x:c r="AG17" s="106"/>
      <x:c r="AH17" s="106"/>
      <x:c r="AI17" s="106"/>
      <x:c r="AJ17" s="106"/>
      <x:c r="AK17" s="106"/>
      <x:c r="AL17" s="106"/>
      <x:c r="AM17" s="106"/>
      <x:c r="AN17" s="106"/>
      <x:c r="AO17" s="106"/>
      <x:c r="AP17" s="106"/>
      <x:c r="AQ17" s="106"/>
      <x:c r="AR17" s="106"/>
      <x:c r="AS17" s="106"/>
      <x:c r="AT17" s="106"/>
      <x:c r="AU17" s="106"/>
      <x:c r="AV17" s="106"/>
      <x:c r="AW17" s="106"/>
      <x:c r="AX17" s="106"/>
      <x:c r="AY17" s="106"/>
      <x:c r="AZ17" s="106"/>
      <x:c r="BA17" s="106"/>
    </x:row>
    <x:row r="18">
      <x:c r="A18" s="106" t="str">
        <x:f>IF('PROJECT PLAN'!C18="","",'PROJECT PLAN'!A18)</x:f>
      </x:c>
      <x:c r="B18" s="106" t="str">
        <x:f>IF('PROJECT PLAN'!C18="","",'PROJECT PLAN'!C18)</x:f>
      </x:c>
      <x:c r="C18" s="111"/>
      <x:c r="D18" s="111"/>
      <x:c r="E18" s="111"/>
      <x:c r="F18" s="111"/>
      <x:c r="G18" s="111"/>
      <x:c r="H18" s="111"/>
      <x:c r="I18" s="111"/>
      <x:c r="J18" s="111"/>
      <x:c r="K18" s="113" t="str">
        <x:f>IF(B18="","",COUNTIF(C18:J18,"R"))</x:f>
      </x:c>
      <x:c r="L18" s="113" t="str">
        <x:f>IF(B18="","",COUNTIF(C18:J18,"A"))</x:f>
      </x:c>
      <x:c r="M18" s="113" t="str">
        <x:f>IF(B18="","",IF(L18=0,"Add Accountable",IF(L18&gt;1,"Multiple Accountables",IF(K18=0,"Add Responsible","OK"))))</x:f>
      </x:c>
      <x:c r="N18" s="106"/>
      <x:c r="O18" s="106"/>
      <x:c r="P18" s="106"/>
      <x:c r="Q18" s="106"/>
      <x:c r="R18" s="106"/>
      <x:c r="S18" s="106"/>
      <x:c r="T18" s="106"/>
      <x:c r="U18" s="106"/>
      <x:c r="V18" s="106"/>
      <x:c r="W18" s="106"/>
      <x:c r="X18" s="106"/>
      <x:c r="Y18" s="106"/>
      <x:c r="Z18" s="106"/>
      <x:c r="AA18" s="106"/>
      <x:c r="AB18" s="106"/>
      <x:c r="AC18" s="106"/>
      <x:c r="AD18" s="106"/>
      <x:c r="AE18" s="106"/>
      <x:c r="AF18" s="106"/>
      <x:c r="AG18" s="106"/>
      <x:c r="AH18" s="106"/>
      <x:c r="AI18" s="106"/>
      <x:c r="AJ18" s="106"/>
      <x:c r="AK18" s="106"/>
      <x:c r="AL18" s="106"/>
      <x:c r="AM18" s="106"/>
      <x:c r="AN18" s="106"/>
      <x:c r="AO18" s="106"/>
      <x:c r="AP18" s="106"/>
      <x:c r="AQ18" s="106"/>
      <x:c r="AR18" s="106"/>
      <x:c r="AS18" s="106"/>
      <x:c r="AT18" s="106"/>
      <x:c r="AU18" s="106"/>
      <x:c r="AV18" s="106"/>
      <x:c r="AW18" s="106"/>
      <x:c r="AX18" s="106"/>
      <x:c r="AY18" s="106"/>
      <x:c r="AZ18" s="106"/>
      <x:c r="BA18" s="106"/>
    </x:row>
    <x:row r="19">
      <x:c r="A19" s="106" t="str">
        <x:f>IF('PROJECT PLAN'!C19="","",'PROJECT PLAN'!A19)</x:f>
      </x:c>
      <x:c r="B19" s="106" t="str">
        <x:f>IF('PROJECT PLAN'!C19="","",'PROJECT PLAN'!C19)</x:f>
      </x:c>
      <x:c r="C19" s="111"/>
      <x:c r="D19" s="111"/>
      <x:c r="E19" s="111"/>
      <x:c r="F19" s="111"/>
      <x:c r="G19" s="111"/>
      <x:c r="H19" s="111"/>
      <x:c r="I19" s="111"/>
      <x:c r="J19" s="111"/>
      <x:c r="K19" s="113" t="str">
        <x:f>IF(B19="","",COUNTIF(C19:J19,"R"))</x:f>
      </x:c>
      <x:c r="L19" s="113" t="str">
        <x:f>IF(B19="","",COUNTIF(C19:J19,"A"))</x:f>
      </x:c>
      <x:c r="M19" s="113" t="str">
        <x:f>IF(B19="","",IF(L19=0,"Add Accountable",IF(L19&gt;1,"Multiple Accountables",IF(K19=0,"Add Responsible","OK"))))</x:f>
      </x:c>
      <x:c r="N19" s="106"/>
      <x:c r="O19" s="106"/>
      <x:c r="P19" s="106"/>
      <x:c r="Q19" s="106"/>
      <x:c r="R19" s="106"/>
      <x:c r="S19" s="106"/>
      <x:c r="T19" s="106"/>
      <x:c r="U19" s="106"/>
      <x:c r="V19" s="106"/>
      <x:c r="W19" s="106"/>
      <x:c r="X19" s="106"/>
      <x:c r="Y19" s="106"/>
      <x:c r="Z19" s="106"/>
      <x:c r="AA19" s="106"/>
      <x:c r="AB19" s="106"/>
      <x:c r="AC19" s="106"/>
      <x:c r="AD19" s="106"/>
      <x:c r="AE19" s="106"/>
      <x:c r="AF19" s="106"/>
      <x:c r="AG19" s="106"/>
      <x:c r="AH19" s="106"/>
      <x:c r="AI19" s="106"/>
      <x:c r="AJ19" s="106"/>
      <x:c r="AK19" s="106"/>
      <x:c r="AL19" s="106"/>
      <x:c r="AM19" s="106"/>
      <x:c r="AN19" s="106"/>
      <x:c r="AO19" s="106"/>
      <x:c r="AP19" s="106"/>
      <x:c r="AQ19" s="106"/>
      <x:c r="AR19" s="106"/>
      <x:c r="AS19" s="106"/>
      <x:c r="AT19" s="106"/>
      <x:c r="AU19" s="106"/>
      <x:c r="AV19" s="106"/>
      <x:c r="AW19" s="106"/>
      <x:c r="AX19" s="106"/>
      <x:c r="AY19" s="106"/>
      <x:c r="AZ19" s="106"/>
      <x:c r="BA19" s="106"/>
    </x:row>
    <x:row r="20">
      <x:c r="A20" s="106" t="str">
        <x:f>IF('PROJECT PLAN'!C20="","",'PROJECT PLAN'!A20)</x:f>
      </x:c>
      <x:c r="B20" s="106" t="str">
        <x:f>IF('PROJECT PLAN'!C20="","",'PROJECT PLAN'!C20)</x:f>
      </x:c>
      <x:c r="C20" s="111"/>
      <x:c r="D20" s="111"/>
      <x:c r="E20" s="111"/>
      <x:c r="F20" s="111"/>
      <x:c r="G20" s="111"/>
      <x:c r="H20" s="111"/>
      <x:c r="I20" s="111"/>
      <x:c r="J20" s="111"/>
      <x:c r="K20" s="113" t="str">
        <x:f>IF(B20="","",COUNTIF(C20:J20,"R"))</x:f>
      </x:c>
      <x:c r="L20" s="113" t="str">
        <x:f>IF(B20="","",COUNTIF(C20:J20,"A"))</x:f>
      </x:c>
      <x:c r="M20" s="113" t="str">
        <x:f>IF(B20="","",IF(L20=0,"Add Accountable",IF(L20&gt;1,"Multiple Accountables",IF(K20=0,"Add Responsible","OK"))))</x:f>
      </x:c>
      <x:c r="N20" s="106"/>
      <x:c r="O20" s="106"/>
      <x:c r="P20" s="106"/>
      <x:c r="Q20" s="106"/>
      <x:c r="R20" s="106"/>
      <x:c r="S20" s="106"/>
      <x:c r="T20" s="106"/>
      <x:c r="U20" s="106"/>
      <x:c r="V20" s="106"/>
      <x:c r="W20" s="106"/>
      <x:c r="X20" s="106"/>
      <x:c r="Y20" s="106"/>
      <x:c r="Z20" s="106"/>
      <x:c r="AA20" s="106"/>
      <x:c r="AB20" s="106"/>
      <x:c r="AC20" s="106"/>
      <x:c r="AD20" s="106"/>
      <x:c r="AE20" s="106"/>
      <x:c r="AF20" s="106"/>
      <x:c r="AG20" s="106"/>
      <x:c r="AH20" s="106"/>
      <x:c r="AI20" s="106"/>
      <x:c r="AJ20" s="106"/>
      <x:c r="AK20" s="106"/>
      <x:c r="AL20" s="106"/>
      <x:c r="AM20" s="106"/>
      <x:c r="AN20" s="106"/>
      <x:c r="AO20" s="106"/>
      <x:c r="AP20" s="106"/>
      <x:c r="AQ20" s="106"/>
      <x:c r="AR20" s="106"/>
      <x:c r="AS20" s="106"/>
      <x:c r="AT20" s="106"/>
      <x:c r="AU20" s="106"/>
      <x:c r="AV20" s="106"/>
      <x:c r="AW20" s="106"/>
      <x:c r="AX20" s="106"/>
      <x:c r="AY20" s="106"/>
      <x:c r="AZ20" s="106"/>
      <x:c r="BA20" s="106"/>
    </x:row>
    <x:row r="21">
      <x:c r="A21" s="106" t="str">
        <x:f>IF('PROJECT PLAN'!C21="","",'PROJECT PLAN'!A21)</x:f>
      </x:c>
      <x:c r="B21" s="106" t="str">
        <x:f>IF('PROJECT PLAN'!C21="","",'PROJECT PLAN'!C21)</x:f>
      </x:c>
      <x:c r="C21" s="111"/>
      <x:c r="D21" s="111"/>
      <x:c r="E21" s="111"/>
      <x:c r="F21" s="111"/>
      <x:c r="G21" s="111"/>
      <x:c r="H21" s="111"/>
      <x:c r="I21" s="111"/>
      <x:c r="J21" s="111"/>
      <x:c r="K21" s="113" t="str">
        <x:f>IF(B21="","",COUNTIF(C21:J21,"R"))</x:f>
      </x:c>
      <x:c r="L21" s="113" t="str">
        <x:f>IF(B21="","",COUNTIF(C21:J21,"A"))</x:f>
      </x:c>
      <x:c r="M21" s="113" t="str">
        <x:f>IF(B21="","",IF(L21=0,"Add Accountable",IF(L21&gt;1,"Multiple Accountables",IF(K21=0,"Add Responsible","OK"))))</x:f>
      </x:c>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c r="AO21" s="106"/>
      <x:c r="AP21" s="106"/>
      <x:c r="AQ21" s="106"/>
      <x:c r="AR21" s="106"/>
      <x:c r="AS21" s="106"/>
      <x:c r="AT21" s="106"/>
      <x:c r="AU21" s="106"/>
      <x:c r="AV21" s="106"/>
      <x:c r="AW21" s="106"/>
      <x:c r="AX21" s="106"/>
      <x:c r="AY21" s="106"/>
      <x:c r="AZ21" s="106"/>
      <x:c r="BA21" s="106"/>
    </x:row>
    <x:row r="22">
      <x:c r="A22" s="106" t="str">
        <x:f>IF('PROJECT PLAN'!C22="","",'PROJECT PLAN'!A22)</x:f>
      </x:c>
      <x:c r="B22" s="106" t="str">
        <x:f>IF('PROJECT PLAN'!C22="","",'PROJECT PLAN'!C22)</x:f>
      </x:c>
      <x:c r="C22" s="111"/>
      <x:c r="D22" s="111"/>
      <x:c r="E22" s="111"/>
      <x:c r="F22" s="111"/>
      <x:c r="G22" s="111"/>
      <x:c r="H22" s="111"/>
      <x:c r="I22" s="111"/>
      <x:c r="J22" s="111"/>
      <x:c r="K22" s="113" t="str">
        <x:f>IF(B22="","",COUNTIF(C22:J22,"R"))</x:f>
      </x:c>
      <x:c r="L22" s="113" t="str">
        <x:f>IF(B22="","",COUNTIF(C22:J22,"A"))</x:f>
      </x:c>
      <x:c r="M22" s="113" t="str">
        <x:f>IF(B22="","",IF(L22=0,"Add Accountable",IF(L22&gt;1,"Multiple Accountables",IF(K22=0,"Add Responsible","OK"))))</x:f>
      </x:c>
      <x:c r="N22" s="106"/>
      <x:c r="O22" s="106"/>
      <x:c r="P22" s="106"/>
      <x:c r="Q22" s="106"/>
      <x:c r="R22" s="106"/>
      <x:c r="S22" s="106"/>
      <x:c r="T22" s="106"/>
      <x:c r="U22" s="106"/>
      <x:c r="V22" s="106"/>
      <x:c r="W22" s="106"/>
      <x:c r="X22" s="106"/>
      <x:c r="Y22" s="106"/>
      <x:c r="Z22" s="106"/>
      <x:c r="AA22" s="106"/>
      <x:c r="AB22" s="106"/>
      <x:c r="AC22" s="106"/>
      <x:c r="AD22" s="106"/>
      <x:c r="AE22" s="106"/>
      <x:c r="AF22" s="106"/>
      <x:c r="AG22" s="106"/>
      <x:c r="AH22" s="106"/>
      <x:c r="AI22" s="106"/>
      <x:c r="AJ22" s="106"/>
      <x:c r="AK22" s="106"/>
      <x:c r="AL22" s="106"/>
      <x:c r="AM22" s="106"/>
      <x:c r="AN22" s="106"/>
      <x:c r="AO22" s="106"/>
      <x:c r="AP22" s="106"/>
      <x:c r="AQ22" s="106"/>
      <x:c r="AR22" s="106"/>
      <x:c r="AS22" s="106"/>
      <x:c r="AT22" s="106"/>
      <x:c r="AU22" s="106"/>
      <x:c r="AV22" s="106"/>
      <x:c r="AW22" s="106"/>
      <x:c r="AX22" s="106"/>
      <x:c r="AY22" s="106"/>
      <x:c r="AZ22" s="106"/>
      <x:c r="BA22" s="106"/>
    </x:row>
    <x:row r="23">
      <x:c r="A23" s="106" t="str">
        <x:f>IF('PROJECT PLAN'!C23="","",'PROJECT PLAN'!A23)</x:f>
      </x:c>
      <x:c r="B23" s="106" t="str">
        <x:f>IF('PROJECT PLAN'!C23="","",'PROJECT PLAN'!C23)</x:f>
      </x:c>
      <x:c r="C23" s="111"/>
      <x:c r="D23" s="111"/>
      <x:c r="E23" s="111"/>
      <x:c r="F23" s="111"/>
      <x:c r="G23" s="111"/>
      <x:c r="H23" s="111"/>
      <x:c r="I23" s="111"/>
      <x:c r="J23" s="111"/>
      <x:c r="K23" s="113" t="str">
        <x:f>IF(B23="","",COUNTIF(C23:J23,"R"))</x:f>
      </x:c>
      <x:c r="L23" s="113" t="str">
        <x:f>IF(B23="","",COUNTIF(C23:J23,"A"))</x:f>
      </x:c>
      <x:c r="M23" s="113" t="str">
        <x:f>IF(B23="","",IF(L23=0,"Add Accountable",IF(L23&gt;1,"Multiple Accountables",IF(K23=0,"Add Responsible","OK"))))</x:f>
      </x:c>
      <x:c r="N23" s="106"/>
      <x:c r="O23" s="106"/>
      <x:c r="P23" s="106"/>
      <x:c r="Q23" s="106"/>
      <x:c r="R23" s="106"/>
      <x:c r="S23" s="106"/>
      <x:c r="T23" s="106"/>
      <x:c r="U23" s="106"/>
      <x:c r="V23" s="106"/>
      <x:c r="W23" s="106"/>
      <x:c r="X23" s="106"/>
      <x:c r="Y23" s="106"/>
      <x:c r="Z23" s="106"/>
      <x:c r="AA23" s="106"/>
      <x:c r="AB23" s="106"/>
      <x:c r="AC23" s="106"/>
      <x:c r="AD23" s="106"/>
      <x:c r="AE23" s="106"/>
      <x:c r="AF23" s="106"/>
      <x:c r="AG23" s="106"/>
      <x:c r="AH23" s="106"/>
      <x:c r="AI23" s="106"/>
      <x:c r="AJ23" s="106"/>
      <x:c r="AK23" s="106"/>
      <x:c r="AL23" s="106"/>
      <x:c r="AM23" s="106"/>
      <x:c r="AN23" s="106"/>
      <x:c r="AO23" s="106"/>
      <x:c r="AP23" s="106"/>
      <x:c r="AQ23" s="106"/>
      <x:c r="AR23" s="106"/>
      <x:c r="AS23" s="106"/>
      <x:c r="AT23" s="106"/>
      <x:c r="AU23" s="106"/>
      <x:c r="AV23" s="106"/>
      <x:c r="AW23" s="106"/>
      <x:c r="AX23" s="106"/>
      <x:c r="AY23" s="106"/>
      <x:c r="AZ23" s="106"/>
      <x:c r="BA23" s="106"/>
    </x:row>
    <x:row r="24">
      <x:c r="A24" s="106" t="str">
        <x:f>IF('PROJECT PLAN'!C24="","",'PROJECT PLAN'!A24)</x:f>
      </x:c>
      <x:c r="B24" s="106" t="str">
        <x:f>IF('PROJECT PLAN'!C24="","",'PROJECT PLAN'!C24)</x:f>
      </x:c>
      <x:c r="C24" s="111"/>
      <x:c r="D24" s="111"/>
      <x:c r="E24" s="111"/>
      <x:c r="F24" s="111"/>
      <x:c r="G24" s="111"/>
      <x:c r="H24" s="111"/>
      <x:c r="I24" s="111"/>
      <x:c r="J24" s="111"/>
      <x:c r="K24" s="113" t="str">
        <x:f>IF(B24="","",COUNTIF(C24:J24,"R"))</x:f>
      </x:c>
      <x:c r="L24" s="113" t="str">
        <x:f>IF(B24="","",COUNTIF(C24:J24,"A"))</x:f>
      </x:c>
      <x:c r="M24" s="113" t="str">
        <x:f>IF(B24="","",IF(L24=0,"Add Accountable",IF(L24&gt;1,"Multiple Accountables",IF(K24=0,"Add Responsible","OK"))))</x:f>
      </x:c>
      <x:c r="N24" s="106"/>
      <x:c r="O24" s="106"/>
      <x:c r="P24" s="106"/>
      <x:c r="Q24" s="106"/>
      <x:c r="R24" s="106"/>
      <x:c r="S24" s="106"/>
      <x:c r="T24" s="106"/>
      <x:c r="U24" s="106"/>
      <x:c r="V24" s="106"/>
      <x:c r="W24" s="106"/>
      <x:c r="X24" s="106"/>
      <x:c r="Y24" s="106"/>
      <x:c r="Z24" s="106"/>
      <x:c r="AA24" s="106"/>
      <x:c r="AB24" s="106"/>
      <x:c r="AC24" s="106"/>
      <x:c r="AD24" s="106"/>
      <x:c r="AE24" s="106"/>
      <x:c r="AF24" s="106"/>
      <x:c r="AG24" s="106"/>
      <x:c r="AH24" s="106"/>
      <x:c r="AI24" s="106"/>
      <x:c r="AJ24" s="106"/>
      <x:c r="AK24" s="106"/>
      <x:c r="AL24" s="106"/>
      <x:c r="AM24" s="106"/>
      <x:c r="AN24" s="106"/>
      <x:c r="AO24" s="106"/>
      <x:c r="AP24" s="106"/>
      <x:c r="AQ24" s="106"/>
      <x:c r="AR24" s="106"/>
      <x:c r="AS24" s="106"/>
      <x:c r="AT24" s="106"/>
      <x:c r="AU24" s="106"/>
      <x:c r="AV24" s="106"/>
      <x:c r="AW24" s="106"/>
      <x:c r="AX24" s="106"/>
      <x:c r="AY24" s="106"/>
      <x:c r="AZ24" s="106"/>
      <x:c r="BA24" s="106"/>
    </x:row>
    <x:row r="25">
      <x:c r="A25" s="106" t="str">
        <x:f>IF('PROJECT PLAN'!C25="","",'PROJECT PLAN'!A25)</x:f>
      </x:c>
      <x:c r="B25" s="106" t="str">
        <x:f>IF('PROJECT PLAN'!C25="","",'PROJECT PLAN'!C25)</x:f>
      </x:c>
      <x:c r="C25" s="111"/>
      <x:c r="D25" s="111"/>
      <x:c r="E25" s="111"/>
      <x:c r="F25" s="111"/>
      <x:c r="G25" s="111"/>
      <x:c r="H25" s="111"/>
      <x:c r="I25" s="111"/>
      <x:c r="J25" s="111"/>
      <x:c r="K25" s="113" t="str">
        <x:f>IF(B25="","",COUNTIF(C25:J25,"R"))</x:f>
      </x:c>
      <x:c r="L25" s="113" t="str">
        <x:f>IF(B25="","",COUNTIF(C25:J25,"A"))</x:f>
      </x:c>
      <x:c r="M25" s="113" t="str">
        <x:f>IF(B25="","",IF(L25=0,"Add Accountable",IF(L25&gt;1,"Multiple Accountables",IF(K25=0,"Add Responsible","OK"))))</x:f>
      </x:c>
      <x:c r="N25" s="106"/>
      <x:c r="O25" s="106"/>
      <x:c r="P25" s="106"/>
      <x:c r="Q25" s="106"/>
      <x:c r="R25" s="106"/>
      <x:c r="S25" s="106"/>
      <x:c r="T25" s="106"/>
      <x:c r="U25" s="106"/>
      <x:c r="V25" s="106"/>
      <x:c r="W25" s="106"/>
      <x:c r="X25" s="106"/>
      <x:c r="Y25" s="106"/>
      <x:c r="Z25" s="106"/>
      <x:c r="AA25" s="106"/>
      <x:c r="AB25" s="106"/>
      <x:c r="AC25" s="106"/>
      <x:c r="AD25" s="106"/>
      <x:c r="AE25" s="106"/>
      <x:c r="AF25" s="106"/>
      <x:c r="AG25" s="106"/>
      <x:c r="AH25" s="106"/>
      <x:c r="AI25" s="106"/>
      <x:c r="AJ25" s="106"/>
      <x:c r="AK25" s="106"/>
      <x:c r="AL25" s="106"/>
      <x:c r="AM25" s="106"/>
      <x:c r="AN25" s="106"/>
      <x:c r="AO25" s="106"/>
      <x:c r="AP25" s="106"/>
      <x:c r="AQ25" s="106"/>
      <x:c r="AR25" s="106"/>
      <x:c r="AS25" s="106"/>
      <x:c r="AT25" s="106"/>
      <x:c r="AU25" s="106"/>
      <x:c r="AV25" s="106"/>
      <x:c r="AW25" s="106"/>
      <x:c r="AX25" s="106"/>
      <x:c r="AY25" s="106"/>
      <x:c r="AZ25" s="106"/>
      <x:c r="BA25" s="106"/>
    </x:row>
    <x:row r="26">
      <x:c r="A26" s="106" t="str">
        <x:f>IF('PROJECT PLAN'!C26="","",'PROJECT PLAN'!A26)</x:f>
      </x:c>
      <x:c r="B26" s="106" t="str">
        <x:f>IF('PROJECT PLAN'!C26="","",'PROJECT PLAN'!C26)</x:f>
      </x:c>
      <x:c r="C26" s="111"/>
      <x:c r="D26" s="111"/>
      <x:c r="E26" s="111"/>
      <x:c r="F26" s="111"/>
      <x:c r="G26" s="111"/>
      <x:c r="H26" s="111"/>
      <x:c r="I26" s="111"/>
      <x:c r="J26" s="111"/>
      <x:c r="K26" s="113" t="str">
        <x:f>IF(B26="","",COUNTIF(C26:J26,"R"))</x:f>
      </x:c>
      <x:c r="L26" s="113" t="str">
        <x:f>IF(B26="","",COUNTIF(C26:J26,"A"))</x:f>
      </x:c>
      <x:c r="M26" s="113" t="str">
        <x:f>IF(B26="","",IF(L26=0,"Add Accountable",IF(L26&gt;1,"Multiple Accountables",IF(K26=0,"Add Responsible","OK"))))</x:f>
      </x:c>
      <x:c r="N26" s="106"/>
      <x:c r="O26" s="106"/>
      <x:c r="P26" s="106"/>
      <x:c r="Q26" s="106"/>
      <x:c r="R26" s="106"/>
      <x:c r="S26" s="106"/>
      <x:c r="T26" s="106"/>
      <x:c r="U26" s="106"/>
      <x:c r="V26" s="106"/>
      <x:c r="W26" s="106"/>
      <x:c r="X26" s="106"/>
      <x:c r="Y26" s="106"/>
      <x:c r="Z26" s="106"/>
      <x:c r="AA26" s="106"/>
      <x:c r="AB26" s="106"/>
      <x:c r="AC26" s="106"/>
      <x:c r="AD26" s="106"/>
      <x:c r="AE26" s="106"/>
      <x:c r="AF26" s="106"/>
      <x:c r="AG26" s="106"/>
      <x:c r="AH26" s="106"/>
      <x:c r="AI26" s="106"/>
      <x:c r="AJ26" s="106"/>
      <x:c r="AK26" s="106"/>
      <x:c r="AL26" s="106"/>
      <x:c r="AM26" s="106"/>
      <x:c r="AN26" s="106"/>
      <x:c r="AO26" s="106"/>
      <x:c r="AP26" s="106"/>
      <x:c r="AQ26" s="106"/>
      <x:c r="AR26" s="106"/>
      <x:c r="AS26" s="106"/>
      <x:c r="AT26" s="106"/>
      <x:c r="AU26" s="106"/>
      <x:c r="AV26" s="106"/>
      <x:c r="AW26" s="106"/>
      <x:c r="AX26" s="106"/>
      <x:c r="AY26" s="106"/>
      <x:c r="AZ26" s="106"/>
      <x:c r="BA26" s="106"/>
    </x:row>
    <x:row r="27">
      <x:c r="A27" s="106" t="str">
        <x:f>IF('PROJECT PLAN'!C27="","",'PROJECT PLAN'!A27)</x:f>
      </x:c>
      <x:c r="B27" s="106" t="str">
        <x:f>IF('PROJECT PLAN'!C27="","",'PROJECT PLAN'!C27)</x:f>
      </x:c>
      <x:c r="C27" s="111"/>
      <x:c r="D27" s="111"/>
      <x:c r="E27" s="111"/>
      <x:c r="F27" s="111"/>
      <x:c r="G27" s="111"/>
      <x:c r="H27" s="111"/>
      <x:c r="I27" s="111"/>
      <x:c r="J27" s="111"/>
      <x:c r="K27" s="113" t="str">
        <x:f>IF(B27="","",COUNTIF(C27:J27,"R"))</x:f>
      </x:c>
      <x:c r="L27" s="113" t="str">
        <x:f>IF(B27="","",COUNTIF(C27:J27,"A"))</x:f>
      </x:c>
      <x:c r="M27" s="113" t="str">
        <x:f>IF(B27="","",IF(L27=0,"Add Accountable",IF(L27&gt;1,"Multiple Accountables",IF(K27=0,"Add Responsible","OK"))))</x:f>
      </x:c>
      <x:c r="N27" s="106"/>
      <x:c r="O27" s="106"/>
      <x:c r="P27" s="106"/>
      <x:c r="Q27" s="106"/>
      <x:c r="R27" s="106"/>
      <x:c r="S27" s="106"/>
      <x:c r="T27" s="106"/>
      <x:c r="U27" s="106"/>
      <x:c r="V27" s="106"/>
      <x:c r="W27" s="106"/>
      <x:c r="X27" s="106"/>
      <x:c r="Y27" s="106"/>
      <x:c r="Z27" s="106"/>
      <x:c r="AA27" s="106"/>
      <x:c r="AB27" s="106"/>
      <x:c r="AC27" s="106"/>
      <x:c r="AD27" s="106"/>
      <x:c r="AE27" s="106"/>
      <x:c r="AF27" s="106"/>
      <x:c r="AG27" s="106"/>
      <x:c r="AH27" s="106"/>
      <x:c r="AI27" s="106"/>
      <x:c r="AJ27" s="106"/>
      <x:c r="AK27" s="106"/>
      <x:c r="AL27" s="106"/>
      <x:c r="AM27" s="106"/>
      <x:c r="AN27" s="106"/>
      <x:c r="AO27" s="106"/>
      <x:c r="AP27" s="106"/>
      <x:c r="AQ27" s="106"/>
      <x:c r="AR27" s="106"/>
      <x:c r="AS27" s="106"/>
      <x:c r="AT27" s="106"/>
      <x:c r="AU27" s="106"/>
      <x:c r="AV27" s="106"/>
      <x:c r="AW27" s="106"/>
      <x:c r="AX27" s="106"/>
      <x:c r="AY27" s="106"/>
      <x:c r="AZ27" s="106"/>
      <x:c r="BA27" s="106"/>
    </x:row>
    <x:row r="28">
      <x:c r="A28" s="106" t="str">
        <x:f>IF('PROJECT PLAN'!C28="","",'PROJECT PLAN'!A28)</x:f>
      </x:c>
      <x:c r="B28" s="106" t="str">
        <x:f>IF('PROJECT PLAN'!C28="","",'PROJECT PLAN'!C28)</x:f>
      </x:c>
      <x:c r="C28" s="111"/>
      <x:c r="D28" s="111"/>
      <x:c r="E28" s="111"/>
      <x:c r="F28" s="111"/>
      <x:c r="G28" s="111"/>
      <x:c r="H28" s="111"/>
      <x:c r="I28" s="111"/>
      <x:c r="J28" s="111"/>
      <x:c r="K28" s="113" t="str">
        <x:f>IF(B28="","",COUNTIF(C28:J28,"R"))</x:f>
      </x:c>
      <x:c r="L28" s="113" t="str">
        <x:f>IF(B28="","",COUNTIF(C28:J28,"A"))</x:f>
      </x:c>
      <x:c r="M28" s="113" t="str">
        <x:f>IF(B28="","",IF(L28=0,"Add Accountable",IF(L28&gt;1,"Multiple Accountables",IF(K28=0,"Add Responsible","OK"))))</x:f>
      </x:c>
      <x:c r="N28" s="106"/>
      <x:c r="O28" s="106"/>
      <x:c r="P28" s="106"/>
      <x:c r="Q28" s="106"/>
      <x:c r="R28" s="106"/>
      <x:c r="S28" s="106"/>
      <x:c r="T28" s="106"/>
      <x:c r="U28" s="106"/>
      <x:c r="V28" s="106"/>
      <x:c r="W28" s="106"/>
      <x:c r="X28" s="106"/>
      <x:c r="Y28" s="106"/>
      <x:c r="Z28" s="106"/>
      <x:c r="AA28" s="106"/>
      <x:c r="AB28" s="106"/>
      <x:c r="AC28" s="106"/>
      <x:c r="AD28" s="106"/>
      <x:c r="AE28" s="106"/>
      <x:c r="AF28" s="106"/>
      <x:c r="AG28" s="106"/>
      <x:c r="AH28" s="106"/>
      <x:c r="AI28" s="106"/>
      <x:c r="AJ28" s="106"/>
      <x:c r="AK28" s="106"/>
      <x:c r="AL28" s="106"/>
      <x:c r="AM28" s="106"/>
      <x:c r="AN28" s="106"/>
      <x:c r="AO28" s="106"/>
      <x:c r="AP28" s="106"/>
      <x:c r="AQ28" s="106"/>
      <x:c r="AR28" s="106"/>
      <x:c r="AS28" s="106"/>
      <x:c r="AT28" s="106"/>
      <x:c r="AU28" s="106"/>
      <x:c r="AV28" s="106"/>
      <x:c r="AW28" s="106"/>
      <x:c r="AX28" s="106"/>
      <x:c r="AY28" s="106"/>
      <x:c r="AZ28" s="106"/>
      <x:c r="BA28" s="106"/>
    </x:row>
    <x:row r="29">
      <x:c r="A29" s="106" t="str">
        <x:f>IF('PROJECT PLAN'!C29="","",'PROJECT PLAN'!A29)</x:f>
      </x:c>
      <x:c r="B29" s="106" t="str">
        <x:f>IF('PROJECT PLAN'!C29="","",'PROJECT PLAN'!C29)</x:f>
      </x:c>
      <x:c r="C29" s="111"/>
      <x:c r="D29" s="111"/>
      <x:c r="E29" s="111"/>
      <x:c r="F29" s="111"/>
      <x:c r="G29" s="111"/>
      <x:c r="H29" s="111"/>
      <x:c r="I29" s="111"/>
      <x:c r="J29" s="111"/>
      <x:c r="K29" s="113" t="str">
        <x:f>IF(B29="","",COUNTIF(C29:J29,"R"))</x:f>
      </x:c>
      <x:c r="L29" s="113" t="str">
        <x:f>IF(B29="","",COUNTIF(C29:J29,"A"))</x:f>
      </x:c>
      <x:c r="M29" s="113" t="str">
        <x:f>IF(B29="","",IF(L29=0,"Add Accountable",IF(L29&gt;1,"Multiple Accountables",IF(K29=0,"Add Responsible","OK"))))</x:f>
      </x:c>
      <x:c r="N29" s="106"/>
      <x:c r="O29" s="106"/>
      <x:c r="P29" s="106"/>
      <x:c r="Q29" s="106"/>
      <x:c r="R29" s="106"/>
      <x:c r="S29" s="106"/>
      <x:c r="T29" s="106"/>
      <x:c r="U29" s="106"/>
      <x:c r="V29" s="106"/>
      <x:c r="W29" s="106"/>
      <x:c r="X29" s="106"/>
      <x:c r="Y29" s="106"/>
      <x:c r="Z29" s="106"/>
      <x:c r="AA29" s="106"/>
      <x:c r="AB29" s="106"/>
      <x:c r="AC29" s="106"/>
      <x:c r="AD29" s="106"/>
      <x:c r="AE29" s="106"/>
      <x:c r="AF29" s="106"/>
      <x:c r="AG29" s="106"/>
      <x:c r="AH29" s="106"/>
      <x:c r="AI29" s="106"/>
      <x:c r="AJ29" s="106"/>
      <x:c r="AK29" s="106"/>
      <x:c r="AL29" s="106"/>
      <x:c r="AM29" s="106"/>
      <x:c r="AN29" s="106"/>
      <x:c r="AO29" s="106"/>
      <x:c r="AP29" s="106"/>
      <x:c r="AQ29" s="106"/>
      <x:c r="AR29" s="106"/>
      <x:c r="AS29" s="106"/>
      <x:c r="AT29" s="106"/>
      <x:c r="AU29" s="106"/>
      <x:c r="AV29" s="106"/>
      <x:c r="AW29" s="106"/>
      <x:c r="AX29" s="106"/>
      <x:c r="AY29" s="106"/>
      <x:c r="AZ29" s="106"/>
      <x:c r="BA29" s="106"/>
    </x:row>
    <x:row r="30">
      <x:c r="A30" s="106" t="str">
        <x:f>IF('PROJECT PLAN'!C30="","",'PROJECT PLAN'!A30)</x:f>
      </x:c>
      <x:c r="B30" s="106" t="str">
        <x:f>IF('PROJECT PLAN'!C30="","",'PROJECT PLAN'!C30)</x:f>
      </x:c>
      <x:c r="C30" s="111"/>
      <x:c r="D30" s="111"/>
      <x:c r="E30" s="111"/>
      <x:c r="F30" s="111"/>
      <x:c r="G30" s="111"/>
      <x:c r="H30" s="111"/>
      <x:c r="I30" s="111"/>
      <x:c r="J30" s="111"/>
      <x:c r="K30" s="113" t="str">
        <x:f>IF(B30="","",COUNTIF(C30:J30,"R"))</x:f>
      </x:c>
      <x:c r="L30" s="113" t="str">
        <x:f>IF(B30="","",COUNTIF(C30:J30,"A"))</x:f>
      </x:c>
      <x:c r="M30" s="113" t="str">
        <x:f>IF(B30="","",IF(L30=0,"Add Accountable",IF(L30&gt;1,"Multiple Accountables",IF(K30=0,"Add Responsible","OK"))))</x:f>
      </x:c>
      <x:c r="N30" s="106"/>
      <x:c r="O30" s="106"/>
      <x:c r="P30" s="106"/>
      <x:c r="Q30" s="106"/>
      <x:c r="R30" s="106"/>
      <x:c r="S30" s="106"/>
      <x:c r="T30" s="106"/>
      <x:c r="U30" s="106"/>
      <x:c r="V30" s="106"/>
      <x:c r="W30" s="106"/>
      <x:c r="X30" s="106"/>
      <x:c r="Y30" s="106"/>
      <x:c r="Z30" s="106"/>
      <x:c r="AA30" s="106"/>
      <x:c r="AB30" s="106"/>
      <x:c r="AC30" s="106"/>
      <x:c r="AD30" s="106"/>
      <x:c r="AE30" s="106"/>
      <x:c r="AF30" s="106"/>
      <x:c r="AG30" s="106"/>
      <x:c r="AH30" s="106"/>
      <x:c r="AI30" s="106"/>
      <x:c r="AJ30" s="106"/>
      <x:c r="AK30" s="106"/>
      <x:c r="AL30" s="106"/>
      <x:c r="AM30" s="106"/>
      <x:c r="AN30" s="106"/>
      <x:c r="AO30" s="106"/>
      <x:c r="AP30" s="106"/>
      <x:c r="AQ30" s="106"/>
      <x:c r="AR30" s="106"/>
      <x:c r="AS30" s="106"/>
      <x:c r="AT30" s="106"/>
      <x:c r="AU30" s="106"/>
      <x:c r="AV30" s="106"/>
      <x:c r="AW30" s="106"/>
      <x:c r="AX30" s="106"/>
      <x:c r="AY30" s="106"/>
      <x:c r="AZ30" s="106"/>
      <x:c r="BA30" s="106"/>
    </x:row>
    <x:row r="31">
      <x:c r="A31" s="106" t="str">
        <x:f>IF('PROJECT PLAN'!C31="","",'PROJECT PLAN'!A31)</x:f>
      </x:c>
      <x:c r="B31" s="106" t="str">
        <x:f>IF('PROJECT PLAN'!C31="","",'PROJECT PLAN'!C31)</x:f>
      </x:c>
      <x:c r="C31" s="111"/>
      <x:c r="D31" s="111"/>
      <x:c r="E31" s="111"/>
      <x:c r="F31" s="111"/>
      <x:c r="G31" s="111"/>
      <x:c r="H31" s="111"/>
      <x:c r="I31" s="111"/>
      <x:c r="J31" s="111"/>
      <x:c r="K31" s="113" t="str">
        <x:f>IF(B31="","",COUNTIF(C31:J31,"R"))</x:f>
      </x:c>
      <x:c r="L31" s="113" t="str">
        <x:f>IF(B31="","",COUNTIF(C31:J31,"A"))</x:f>
      </x:c>
      <x:c r="M31" s="113" t="str">
        <x:f>IF(B31="","",IF(L31=0,"Add Accountable",IF(L31&gt;1,"Multiple Accountables",IF(K31=0,"Add Responsible","OK"))))</x:f>
      </x:c>
      <x:c r="N31" s="106"/>
      <x:c r="O31" s="106"/>
      <x:c r="P31" s="106"/>
      <x:c r="Q31" s="106"/>
      <x:c r="R31" s="106"/>
      <x:c r="S31" s="106"/>
      <x:c r="T31" s="106"/>
      <x:c r="U31" s="106"/>
      <x:c r="V31" s="106"/>
      <x:c r="W31" s="106"/>
      <x:c r="X31" s="106"/>
      <x:c r="Y31" s="106"/>
      <x:c r="Z31" s="106"/>
      <x:c r="AA31" s="106"/>
      <x:c r="AB31" s="106"/>
      <x:c r="AC31" s="106"/>
      <x:c r="AD31" s="106"/>
      <x:c r="AE31" s="106"/>
      <x:c r="AF31" s="106"/>
      <x:c r="AG31" s="106"/>
      <x:c r="AH31" s="106"/>
      <x:c r="AI31" s="106"/>
      <x:c r="AJ31" s="106"/>
      <x:c r="AK31" s="106"/>
      <x:c r="AL31" s="106"/>
      <x:c r="AM31" s="106"/>
      <x:c r="AN31" s="106"/>
      <x:c r="AO31" s="106"/>
      <x:c r="AP31" s="106"/>
      <x:c r="AQ31" s="106"/>
      <x:c r="AR31" s="106"/>
      <x:c r="AS31" s="106"/>
      <x:c r="AT31" s="106"/>
      <x:c r="AU31" s="106"/>
      <x:c r="AV31" s="106"/>
      <x:c r="AW31" s="106"/>
      <x:c r="AX31" s="106"/>
      <x:c r="AY31" s="106"/>
      <x:c r="AZ31" s="106"/>
      <x:c r="BA31" s="106"/>
    </x:row>
    <x:row r="32">
      <x:c r="A32" s="106" t="str">
        <x:f>IF('PROJECT PLAN'!C32="","",'PROJECT PLAN'!A32)</x:f>
      </x:c>
      <x:c r="B32" s="106" t="str">
        <x:f>IF('PROJECT PLAN'!C32="","",'PROJECT PLAN'!C32)</x:f>
      </x:c>
      <x:c r="C32" s="111"/>
      <x:c r="D32" s="111"/>
      <x:c r="E32" s="111"/>
      <x:c r="F32" s="111"/>
      <x:c r="G32" s="111"/>
      <x:c r="H32" s="111"/>
      <x:c r="I32" s="111"/>
      <x:c r="J32" s="111"/>
      <x:c r="K32" s="113" t="str">
        <x:f>IF(B32="","",COUNTIF(C32:J32,"R"))</x:f>
      </x:c>
      <x:c r="L32" s="113" t="str">
        <x:f>IF(B32="","",COUNTIF(C32:J32,"A"))</x:f>
      </x:c>
      <x:c r="M32" s="113" t="str">
        <x:f>IF(B32="","",IF(L32=0,"Add Accountable",IF(L32&gt;1,"Multiple Accountables",IF(K32=0,"Add Responsible","OK"))))</x:f>
      </x:c>
      <x:c r="N32" s="106"/>
      <x:c r="O32" s="106"/>
      <x:c r="P32" s="106"/>
      <x:c r="Q32" s="106"/>
      <x:c r="R32" s="106"/>
      <x:c r="S32" s="106"/>
      <x:c r="T32" s="106"/>
      <x:c r="U32" s="106"/>
      <x:c r="V32" s="106"/>
      <x:c r="W32" s="106"/>
      <x:c r="X32" s="106"/>
      <x:c r="Y32" s="106"/>
      <x:c r="Z32" s="106"/>
      <x:c r="AA32" s="106"/>
      <x:c r="AB32" s="106"/>
      <x:c r="AC32" s="106"/>
      <x:c r="AD32" s="106"/>
      <x:c r="AE32" s="106"/>
      <x:c r="AF32" s="106"/>
      <x:c r="AG32" s="106"/>
      <x:c r="AH32" s="106"/>
      <x:c r="AI32" s="106"/>
      <x:c r="AJ32" s="106"/>
      <x:c r="AK32" s="106"/>
      <x:c r="AL32" s="106"/>
      <x:c r="AM32" s="106"/>
      <x:c r="AN32" s="106"/>
      <x:c r="AO32" s="106"/>
      <x:c r="AP32" s="106"/>
      <x:c r="AQ32" s="106"/>
      <x:c r="AR32" s="106"/>
      <x:c r="AS32" s="106"/>
      <x:c r="AT32" s="106"/>
      <x:c r="AU32" s="106"/>
      <x:c r="AV32" s="106"/>
      <x:c r="AW32" s="106"/>
      <x:c r="AX32" s="106"/>
      <x:c r="AY32" s="106"/>
      <x:c r="AZ32" s="106"/>
      <x:c r="BA32" s="106"/>
    </x:row>
    <x:row r="33">
      <x:c r="A33" s="106" t="str">
        <x:f>IF('PROJECT PLAN'!C33="","",'PROJECT PLAN'!A33)</x:f>
      </x:c>
      <x:c r="B33" s="106" t="str">
        <x:f>IF('PROJECT PLAN'!C33="","",'PROJECT PLAN'!C33)</x:f>
      </x:c>
      <x:c r="C33" s="111"/>
      <x:c r="D33" s="111"/>
      <x:c r="E33" s="111"/>
      <x:c r="F33" s="111"/>
      <x:c r="G33" s="111"/>
      <x:c r="H33" s="111"/>
      <x:c r="I33" s="111"/>
      <x:c r="J33" s="111"/>
      <x:c r="K33" s="113" t="str">
        <x:f>IF(B33="","",COUNTIF(C33:J33,"R"))</x:f>
      </x:c>
      <x:c r="L33" s="113" t="str">
        <x:f>IF(B33="","",COUNTIF(C33:J33,"A"))</x:f>
      </x:c>
      <x:c r="M33" s="113" t="str">
        <x:f>IF(B33="","",IF(L33=0,"Add Accountable",IF(L33&gt;1,"Multiple Accountables",IF(K33=0,"Add Responsible","OK"))))</x:f>
      </x:c>
      <x:c r="N33" s="106"/>
      <x:c r="O33" s="106"/>
      <x:c r="P33" s="106"/>
      <x:c r="Q33" s="106"/>
      <x:c r="R33" s="106"/>
      <x:c r="S33" s="106"/>
      <x:c r="T33" s="106"/>
      <x:c r="U33" s="106"/>
      <x:c r="V33" s="106"/>
      <x:c r="W33" s="106"/>
      <x:c r="X33" s="106"/>
      <x:c r="Y33" s="106"/>
      <x:c r="Z33" s="106"/>
      <x:c r="AA33" s="106"/>
      <x:c r="AB33" s="106"/>
      <x:c r="AC33" s="106"/>
      <x:c r="AD33" s="106"/>
      <x:c r="AE33" s="106"/>
      <x:c r="AF33" s="106"/>
      <x:c r="AG33" s="106"/>
      <x:c r="AH33" s="106"/>
      <x:c r="AI33" s="106"/>
      <x:c r="AJ33" s="106"/>
      <x:c r="AK33" s="106"/>
      <x:c r="AL33" s="106"/>
      <x:c r="AM33" s="106"/>
      <x:c r="AN33" s="106"/>
      <x:c r="AO33" s="106"/>
      <x:c r="AP33" s="106"/>
      <x:c r="AQ33" s="106"/>
      <x:c r="AR33" s="106"/>
      <x:c r="AS33" s="106"/>
      <x:c r="AT33" s="106"/>
      <x:c r="AU33" s="106"/>
      <x:c r="AV33" s="106"/>
      <x:c r="AW33" s="106"/>
      <x:c r="AX33" s="106"/>
      <x:c r="AY33" s="106"/>
      <x:c r="AZ33" s="106"/>
      <x:c r="BA33" s="106"/>
    </x:row>
    <x:row r="34">
      <x:c r="A34" s="106" t="str">
        <x:f>IF('PROJECT PLAN'!C34="","",'PROJECT PLAN'!A34)</x:f>
      </x:c>
      <x:c r="B34" s="106" t="str">
        <x:f>IF('PROJECT PLAN'!C34="","",'PROJECT PLAN'!C34)</x:f>
      </x:c>
      <x:c r="C34" s="111"/>
      <x:c r="D34" s="111"/>
      <x:c r="E34" s="111"/>
      <x:c r="F34" s="111"/>
      <x:c r="G34" s="111"/>
      <x:c r="H34" s="111"/>
      <x:c r="I34" s="111"/>
      <x:c r="J34" s="111"/>
      <x:c r="K34" s="113" t="str">
        <x:f>IF(B34="","",COUNTIF(C34:J34,"R"))</x:f>
      </x:c>
      <x:c r="L34" s="113" t="str">
        <x:f>IF(B34="","",COUNTIF(C34:J34,"A"))</x:f>
      </x:c>
      <x:c r="M34" s="113" t="str">
        <x:f>IF(B34="","",IF(L34=0,"Add Accountable",IF(L34&gt;1,"Multiple Accountables",IF(K34=0,"Add Responsible","OK"))))</x:f>
      </x:c>
      <x:c r="N34" s="106"/>
      <x:c r="O34" s="106"/>
      <x:c r="P34" s="106"/>
      <x:c r="Q34" s="106"/>
      <x:c r="R34" s="106"/>
      <x:c r="S34" s="106"/>
      <x:c r="T34" s="106"/>
      <x:c r="U34" s="106"/>
      <x:c r="V34" s="106"/>
      <x:c r="W34" s="106"/>
      <x:c r="X34" s="106"/>
      <x:c r="Y34" s="106"/>
      <x:c r="Z34" s="106"/>
      <x:c r="AA34" s="106"/>
      <x:c r="AB34" s="106"/>
      <x:c r="AC34" s="106"/>
      <x:c r="AD34" s="106"/>
      <x:c r="AE34" s="106"/>
      <x:c r="AF34" s="106"/>
      <x:c r="AG34" s="106"/>
      <x:c r="AH34" s="106"/>
      <x:c r="AI34" s="106"/>
      <x:c r="AJ34" s="106"/>
      <x:c r="AK34" s="106"/>
      <x:c r="AL34" s="106"/>
      <x:c r="AM34" s="106"/>
      <x:c r="AN34" s="106"/>
      <x:c r="AO34" s="106"/>
      <x:c r="AP34" s="106"/>
      <x:c r="AQ34" s="106"/>
      <x:c r="AR34" s="106"/>
      <x:c r="AS34" s="106"/>
      <x:c r="AT34" s="106"/>
      <x:c r="AU34" s="106"/>
      <x:c r="AV34" s="106"/>
      <x:c r="AW34" s="106"/>
      <x:c r="AX34" s="106"/>
      <x:c r="AY34" s="106"/>
      <x:c r="AZ34" s="106"/>
      <x:c r="BA34" s="106"/>
    </x:row>
    <x:row r="35">
      <x:c r="A35" s="106" t="str">
        <x:f>IF('PROJECT PLAN'!C35="","",'PROJECT PLAN'!A35)</x:f>
      </x:c>
      <x:c r="B35" s="106" t="str">
        <x:f>IF('PROJECT PLAN'!C35="","",'PROJECT PLAN'!C35)</x:f>
      </x:c>
      <x:c r="C35" s="111"/>
      <x:c r="D35" s="111"/>
      <x:c r="E35" s="111"/>
      <x:c r="F35" s="111"/>
      <x:c r="G35" s="111"/>
      <x:c r="H35" s="111"/>
      <x:c r="I35" s="111"/>
      <x:c r="J35" s="111"/>
      <x:c r="K35" s="113" t="str">
        <x:f>IF(B35="","",COUNTIF(C35:J35,"R"))</x:f>
      </x:c>
      <x:c r="L35" s="113" t="str">
        <x:f>IF(B35="","",COUNTIF(C35:J35,"A"))</x:f>
      </x:c>
      <x:c r="M35" s="113" t="str">
        <x:f>IF(B35="","",IF(L35=0,"Add Accountable",IF(L35&gt;1,"Multiple Accountables",IF(K35=0,"Add Responsible","OK"))))</x:f>
      </x:c>
      <x:c r="N35" s="106"/>
      <x:c r="O35" s="106"/>
      <x:c r="P35" s="106"/>
      <x:c r="Q35" s="106"/>
      <x:c r="R35" s="106"/>
      <x:c r="S35" s="106"/>
      <x:c r="T35" s="106"/>
      <x:c r="U35" s="106"/>
      <x:c r="V35" s="106"/>
      <x:c r="W35" s="106"/>
      <x:c r="X35" s="106"/>
      <x:c r="Y35" s="106"/>
      <x:c r="Z35" s="106"/>
      <x:c r="AA35" s="106"/>
      <x:c r="AB35" s="106"/>
      <x:c r="AC35" s="106"/>
      <x:c r="AD35" s="106"/>
      <x:c r="AE35" s="106"/>
      <x:c r="AF35" s="106"/>
      <x:c r="AG35" s="106"/>
      <x:c r="AH35" s="106"/>
      <x:c r="AI35" s="106"/>
      <x:c r="AJ35" s="106"/>
      <x:c r="AK35" s="106"/>
      <x:c r="AL35" s="106"/>
      <x:c r="AM35" s="106"/>
      <x:c r="AN35" s="106"/>
      <x:c r="AO35" s="106"/>
      <x:c r="AP35" s="106"/>
      <x:c r="AQ35" s="106"/>
      <x:c r="AR35" s="106"/>
      <x:c r="AS35" s="106"/>
      <x:c r="AT35" s="106"/>
      <x:c r="AU35" s="106"/>
      <x:c r="AV35" s="106"/>
      <x:c r="AW35" s="106"/>
      <x:c r="AX35" s="106"/>
      <x:c r="AY35" s="106"/>
      <x:c r="AZ35" s="106"/>
      <x:c r="BA35" s="106"/>
    </x:row>
    <x:row r="36">
      <x:c r="A36" s="106" t="str">
        <x:f>IF('PROJECT PLAN'!C36="","",'PROJECT PLAN'!A36)</x:f>
      </x:c>
      <x:c r="B36" s="106" t="str">
        <x:f>IF('PROJECT PLAN'!C36="","",'PROJECT PLAN'!C36)</x:f>
      </x:c>
      <x:c r="C36" s="111"/>
      <x:c r="D36" s="111"/>
      <x:c r="E36" s="111"/>
      <x:c r="F36" s="111"/>
      <x:c r="G36" s="111"/>
      <x:c r="H36" s="111"/>
      <x:c r="I36" s="111"/>
      <x:c r="J36" s="111"/>
      <x:c r="K36" s="113" t="str">
        <x:f>IF(B36="","",COUNTIF(C36:J36,"R"))</x:f>
      </x:c>
      <x:c r="L36" s="113" t="str">
        <x:f>IF(B36="","",COUNTIF(C36:J36,"A"))</x:f>
      </x:c>
      <x:c r="M36" s="113" t="str">
        <x:f>IF(B36="","",IF(L36=0,"Add Accountable",IF(L36&gt;1,"Multiple Accountables",IF(K36=0,"Add Responsible","OK"))))</x:f>
      </x:c>
      <x:c r="N36" s="106"/>
      <x:c r="O36" s="106"/>
      <x:c r="P36" s="106"/>
      <x:c r="Q36" s="106"/>
      <x:c r="R36" s="106"/>
      <x:c r="S36" s="106"/>
      <x:c r="T36" s="106"/>
      <x:c r="U36" s="106"/>
      <x:c r="V36" s="106"/>
      <x:c r="W36" s="106"/>
      <x:c r="X36" s="106"/>
      <x:c r="Y36" s="106"/>
      <x:c r="Z36" s="106"/>
      <x:c r="AA36" s="106"/>
      <x:c r="AB36" s="106"/>
      <x:c r="AC36" s="106"/>
      <x:c r="AD36" s="106"/>
      <x:c r="AE36" s="106"/>
      <x:c r="AF36" s="106"/>
      <x:c r="AG36" s="106"/>
      <x:c r="AH36" s="106"/>
      <x:c r="AI36" s="106"/>
      <x:c r="AJ36" s="106"/>
      <x:c r="AK36" s="106"/>
      <x:c r="AL36" s="106"/>
      <x:c r="AM36" s="106"/>
      <x:c r="AN36" s="106"/>
      <x:c r="AO36" s="106"/>
      <x:c r="AP36" s="106"/>
      <x:c r="AQ36" s="106"/>
      <x:c r="AR36" s="106"/>
      <x:c r="AS36" s="106"/>
      <x:c r="AT36" s="106"/>
      <x:c r="AU36" s="106"/>
      <x:c r="AV36" s="106"/>
      <x:c r="AW36" s="106"/>
      <x:c r="AX36" s="106"/>
      <x:c r="AY36" s="106"/>
      <x:c r="AZ36" s="106"/>
      <x:c r="BA36" s="106"/>
    </x:row>
    <x:row r="37">
      <x:c r="A37" s="106" t="str">
        <x:f>IF('PROJECT PLAN'!C37="","",'PROJECT PLAN'!A37)</x:f>
      </x:c>
      <x:c r="B37" s="106" t="str">
        <x:f>IF('PROJECT PLAN'!C37="","",'PROJECT PLAN'!C37)</x:f>
      </x:c>
      <x:c r="C37" s="111"/>
      <x:c r="D37" s="111"/>
      <x:c r="E37" s="111"/>
      <x:c r="F37" s="111"/>
      <x:c r="G37" s="111"/>
      <x:c r="H37" s="111"/>
      <x:c r="I37" s="111"/>
      <x:c r="J37" s="111"/>
      <x:c r="K37" s="113" t="str">
        <x:f>IF(B37="","",COUNTIF(C37:J37,"R"))</x:f>
      </x:c>
      <x:c r="L37" s="113" t="str">
        <x:f>IF(B37="","",COUNTIF(C37:J37,"A"))</x:f>
      </x:c>
      <x:c r="M37" s="113" t="str">
        <x:f>IF(B37="","",IF(L37=0,"Add Accountable",IF(L37&gt;1,"Multiple Accountables",IF(K37=0,"Add Responsible","OK"))))</x:f>
      </x:c>
      <x:c r="N37" s="106"/>
      <x:c r="O37" s="106"/>
      <x:c r="P37" s="106"/>
      <x:c r="Q37" s="106"/>
      <x:c r="R37" s="106"/>
      <x:c r="S37" s="106"/>
      <x:c r="T37" s="106"/>
      <x:c r="U37" s="106"/>
      <x:c r="V37" s="106"/>
      <x:c r="W37" s="106"/>
      <x:c r="X37" s="106"/>
      <x:c r="Y37" s="106"/>
      <x:c r="Z37" s="106"/>
      <x:c r="AA37" s="106"/>
      <x:c r="AB37" s="106"/>
      <x:c r="AC37" s="106"/>
      <x:c r="AD37" s="106"/>
      <x:c r="AE37" s="106"/>
      <x:c r="AF37" s="106"/>
      <x:c r="AG37" s="106"/>
      <x:c r="AH37" s="106"/>
      <x:c r="AI37" s="106"/>
      <x:c r="AJ37" s="106"/>
      <x:c r="AK37" s="106"/>
      <x:c r="AL37" s="106"/>
      <x:c r="AM37" s="106"/>
      <x:c r="AN37" s="106"/>
      <x:c r="AO37" s="106"/>
      <x:c r="AP37" s="106"/>
      <x:c r="AQ37" s="106"/>
      <x:c r="AR37" s="106"/>
      <x:c r="AS37" s="106"/>
      <x:c r="AT37" s="106"/>
      <x:c r="AU37" s="106"/>
      <x:c r="AV37" s="106"/>
      <x:c r="AW37" s="106"/>
      <x:c r="AX37" s="106"/>
      <x:c r="AY37" s="106"/>
      <x:c r="AZ37" s="106"/>
      <x:c r="BA37" s="106"/>
    </x:row>
    <x:row r="38">
      <x:c r="A38" s="106" t="str">
        <x:f>IF('PROJECT PLAN'!C38="","",'PROJECT PLAN'!A38)</x:f>
      </x:c>
      <x:c r="B38" s="106" t="str">
        <x:f>IF('PROJECT PLAN'!C38="","",'PROJECT PLAN'!C38)</x:f>
      </x:c>
      <x:c r="C38" s="111"/>
      <x:c r="D38" s="111"/>
      <x:c r="E38" s="111"/>
      <x:c r="F38" s="111"/>
      <x:c r="G38" s="111"/>
      <x:c r="H38" s="111"/>
      <x:c r="I38" s="111"/>
      <x:c r="J38" s="111"/>
      <x:c r="K38" s="113" t="str">
        <x:f>IF(B38="","",COUNTIF(C38:J38,"R"))</x:f>
      </x:c>
      <x:c r="L38" s="113" t="str">
        <x:f>IF(B38="","",COUNTIF(C38:J38,"A"))</x:f>
      </x:c>
      <x:c r="M38" s="113" t="str">
        <x:f>IF(B38="","",IF(L38=0,"Add Accountable",IF(L38&gt;1,"Multiple Accountables",IF(K38=0,"Add Responsible","OK"))))</x:f>
      </x:c>
      <x:c r="N38" s="106"/>
      <x:c r="O38" s="106"/>
      <x:c r="P38" s="106"/>
      <x:c r="Q38" s="106"/>
      <x:c r="R38" s="106"/>
      <x:c r="S38" s="106"/>
      <x:c r="T38" s="106"/>
      <x:c r="U38" s="106"/>
      <x:c r="V38" s="106"/>
      <x:c r="W38" s="106"/>
      <x:c r="X38" s="106"/>
      <x:c r="Y38" s="106"/>
      <x:c r="Z38" s="106"/>
      <x:c r="AA38" s="106"/>
      <x:c r="AB38" s="106"/>
      <x:c r="AC38" s="106"/>
      <x:c r="AD38" s="106"/>
      <x:c r="AE38" s="106"/>
      <x:c r="AF38" s="106"/>
      <x:c r="AG38" s="106"/>
      <x:c r="AH38" s="106"/>
      <x:c r="AI38" s="106"/>
      <x:c r="AJ38" s="106"/>
      <x:c r="AK38" s="106"/>
      <x:c r="AL38" s="106"/>
      <x:c r="AM38" s="106"/>
      <x:c r="AN38" s="106"/>
      <x:c r="AO38" s="106"/>
      <x:c r="AP38" s="106"/>
      <x:c r="AQ38" s="106"/>
      <x:c r="AR38" s="106"/>
      <x:c r="AS38" s="106"/>
      <x:c r="AT38" s="106"/>
      <x:c r="AU38" s="106"/>
      <x:c r="AV38" s="106"/>
      <x:c r="AW38" s="106"/>
      <x:c r="AX38" s="106"/>
      <x:c r="AY38" s="106"/>
      <x:c r="AZ38" s="106"/>
      <x:c r="BA38" s="106"/>
    </x:row>
    <x:row r="39">
      <x:c r="A39" s="106" t="str">
        <x:f>IF('PROJECT PLAN'!C39="","",'PROJECT PLAN'!A39)</x:f>
      </x:c>
      <x:c r="B39" s="106" t="str">
        <x:f>IF('PROJECT PLAN'!C39="","",'PROJECT PLAN'!C39)</x:f>
      </x:c>
      <x:c r="C39" s="111"/>
      <x:c r="D39" s="111"/>
      <x:c r="E39" s="111"/>
      <x:c r="F39" s="111"/>
      <x:c r="G39" s="111"/>
      <x:c r="H39" s="111"/>
      <x:c r="I39" s="111"/>
      <x:c r="J39" s="111"/>
      <x:c r="K39" s="113" t="str">
        <x:f>IF(B39="","",COUNTIF(C39:J39,"R"))</x:f>
      </x:c>
      <x:c r="L39" s="113" t="str">
        <x:f>IF(B39="","",COUNTIF(C39:J39,"A"))</x:f>
      </x:c>
      <x:c r="M39" s="113" t="str">
        <x:f>IF(B39="","",IF(L39=0,"Add Accountable",IF(L39&gt;1,"Multiple Accountables",IF(K39=0,"Add Responsible","OK"))))</x:f>
      </x:c>
      <x:c r="N39" s="106"/>
      <x:c r="O39" s="106"/>
      <x:c r="P39" s="106"/>
      <x:c r="Q39" s="106"/>
      <x:c r="R39" s="106"/>
      <x:c r="S39" s="106"/>
      <x:c r="T39" s="106"/>
      <x:c r="U39" s="106"/>
      <x:c r="V39" s="106"/>
      <x:c r="W39" s="106"/>
      <x:c r="X39" s="106"/>
      <x:c r="Y39" s="106"/>
      <x:c r="Z39" s="106"/>
      <x:c r="AA39" s="106"/>
      <x:c r="AB39" s="106"/>
      <x:c r="AC39" s="106"/>
      <x:c r="AD39" s="106"/>
      <x:c r="AE39" s="106"/>
      <x:c r="AF39" s="106"/>
      <x:c r="AG39" s="106"/>
      <x:c r="AH39" s="106"/>
      <x:c r="AI39" s="106"/>
      <x:c r="AJ39" s="106"/>
      <x:c r="AK39" s="106"/>
      <x:c r="AL39" s="106"/>
      <x:c r="AM39" s="106"/>
      <x:c r="AN39" s="106"/>
      <x:c r="AO39" s="106"/>
      <x:c r="AP39" s="106"/>
      <x:c r="AQ39" s="106"/>
      <x:c r="AR39" s="106"/>
      <x:c r="AS39" s="106"/>
      <x:c r="AT39" s="106"/>
      <x:c r="AU39" s="106"/>
      <x:c r="AV39" s="106"/>
      <x:c r="AW39" s="106"/>
      <x:c r="AX39" s="106"/>
      <x:c r="AY39" s="106"/>
      <x:c r="AZ39" s="106"/>
      <x:c r="BA39" s="106"/>
    </x:row>
    <x:row r="40">
      <x:c r="A40" s="106" t="str">
        <x:f>IF('PROJECT PLAN'!C40="","",'PROJECT PLAN'!A40)</x:f>
      </x:c>
      <x:c r="B40" s="106" t="str">
        <x:f>IF('PROJECT PLAN'!C40="","",'PROJECT PLAN'!C40)</x:f>
      </x:c>
      <x:c r="C40" s="111"/>
      <x:c r="D40" s="111"/>
      <x:c r="E40" s="111"/>
      <x:c r="F40" s="111"/>
      <x:c r="G40" s="111"/>
      <x:c r="H40" s="111"/>
      <x:c r="I40" s="111"/>
      <x:c r="J40" s="111"/>
      <x:c r="K40" s="113" t="str">
        <x:f>IF(B40="","",COUNTIF(C40:J40,"R"))</x:f>
      </x:c>
      <x:c r="L40" s="113" t="str">
        <x:f>IF(B40="","",COUNTIF(C40:J40,"A"))</x:f>
      </x:c>
      <x:c r="M40" s="113" t="str">
        <x:f>IF(B40="","",IF(L40=0,"Add Accountable",IF(L40&gt;1,"Multiple Accountables",IF(K40=0,"Add Responsible","OK"))))</x:f>
      </x:c>
      <x:c r="N40" s="106"/>
      <x:c r="O40" s="106"/>
      <x:c r="P40" s="106"/>
      <x:c r="Q40" s="106"/>
      <x:c r="R40" s="106"/>
      <x:c r="S40" s="106"/>
      <x:c r="T40" s="106"/>
      <x:c r="U40" s="106"/>
      <x:c r="V40" s="106"/>
      <x:c r="W40" s="106"/>
      <x:c r="X40" s="106"/>
      <x:c r="Y40" s="106"/>
      <x:c r="Z40" s="106"/>
      <x:c r="AA40" s="106"/>
      <x:c r="AB40" s="106"/>
      <x:c r="AC40" s="106"/>
      <x:c r="AD40" s="106"/>
      <x:c r="AE40" s="106"/>
      <x:c r="AF40" s="106"/>
      <x:c r="AG40" s="106"/>
      <x:c r="AH40" s="106"/>
      <x:c r="AI40" s="106"/>
      <x:c r="AJ40" s="106"/>
      <x:c r="AK40" s="106"/>
      <x:c r="AL40" s="106"/>
      <x:c r="AM40" s="106"/>
      <x:c r="AN40" s="106"/>
      <x:c r="AO40" s="106"/>
      <x:c r="AP40" s="106"/>
      <x:c r="AQ40" s="106"/>
      <x:c r="AR40" s="106"/>
      <x:c r="AS40" s="106"/>
      <x:c r="AT40" s="106"/>
      <x:c r="AU40" s="106"/>
      <x:c r="AV40" s="106"/>
      <x:c r="AW40" s="106"/>
      <x:c r="AX40" s="106"/>
      <x:c r="AY40" s="106"/>
      <x:c r="AZ40" s="106"/>
      <x:c r="BA40" s="106"/>
    </x:row>
    <x:row r="41">
      <x:c r="A41" s="106" t="str">
        <x:f>IF('PROJECT PLAN'!C41="","",'PROJECT PLAN'!A41)</x:f>
      </x:c>
      <x:c r="B41" s="106" t="str">
        <x:f>IF('PROJECT PLAN'!C41="","",'PROJECT PLAN'!C41)</x:f>
      </x:c>
      <x:c r="C41" s="111"/>
      <x:c r="D41" s="111"/>
      <x:c r="E41" s="111"/>
      <x:c r="F41" s="111"/>
      <x:c r="G41" s="111"/>
      <x:c r="H41" s="111"/>
      <x:c r="I41" s="111"/>
      <x:c r="J41" s="111"/>
      <x:c r="K41" s="113" t="str">
        <x:f>IF(B41="","",COUNTIF(C41:J41,"R"))</x:f>
      </x:c>
      <x:c r="L41" s="113" t="str">
        <x:f>IF(B41="","",COUNTIF(C41:J41,"A"))</x:f>
      </x:c>
      <x:c r="M41" s="113" t="str">
        <x:f>IF(B41="","",IF(L41=0,"Add Accountable",IF(L41&gt;1,"Multiple Accountables",IF(K41=0,"Add Responsible","OK"))))</x:f>
      </x:c>
      <x:c r="N41" s="106"/>
      <x:c r="O41" s="106"/>
      <x:c r="P41" s="106"/>
      <x:c r="Q41" s="106"/>
      <x:c r="R41" s="106"/>
      <x:c r="S41" s="106"/>
      <x:c r="T41" s="106"/>
      <x:c r="U41" s="106"/>
      <x:c r="V41" s="106"/>
      <x:c r="W41" s="106"/>
      <x:c r="X41" s="106"/>
      <x:c r="Y41" s="106"/>
      <x:c r="Z41" s="106"/>
      <x:c r="AA41" s="106"/>
      <x:c r="AB41" s="106"/>
      <x:c r="AC41" s="106"/>
      <x:c r="AD41" s="106"/>
      <x:c r="AE41" s="106"/>
      <x:c r="AF41" s="106"/>
      <x:c r="AG41" s="106"/>
      <x:c r="AH41" s="106"/>
      <x:c r="AI41" s="106"/>
      <x:c r="AJ41" s="106"/>
      <x:c r="AK41" s="106"/>
      <x:c r="AL41" s="106"/>
      <x:c r="AM41" s="106"/>
      <x:c r="AN41" s="106"/>
      <x:c r="AO41" s="106"/>
      <x:c r="AP41" s="106"/>
      <x:c r="AQ41" s="106"/>
      <x:c r="AR41" s="106"/>
      <x:c r="AS41" s="106"/>
      <x:c r="AT41" s="106"/>
      <x:c r="AU41" s="106"/>
      <x:c r="AV41" s="106"/>
      <x:c r="AW41" s="106"/>
      <x:c r="AX41" s="106"/>
      <x:c r="AY41" s="106"/>
      <x:c r="AZ41" s="106"/>
      <x:c r="BA41" s="106"/>
    </x:row>
    <x:row r="42">
      <x:c r="A42" s="106" t="str">
        <x:f>IF('PROJECT PLAN'!C42="","",'PROJECT PLAN'!A42)</x:f>
      </x:c>
      <x:c r="B42" s="106" t="str">
        <x:f>IF('PROJECT PLAN'!C42="","",'PROJECT PLAN'!C42)</x:f>
      </x:c>
      <x:c r="C42" s="111"/>
      <x:c r="D42" s="111"/>
      <x:c r="E42" s="111"/>
      <x:c r="F42" s="111"/>
      <x:c r="G42" s="111"/>
      <x:c r="H42" s="111"/>
      <x:c r="I42" s="111"/>
      <x:c r="J42" s="111"/>
      <x:c r="K42" s="113" t="str">
        <x:f>IF(B42="","",COUNTIF(C42:J42,"R"))</x:f>
      </x:c>
      <x:c r="L42" s="113" t="str">
        <x:f>IF(B42="","",COUNTIF(C42:J42,"A"))</x:f>
      </x:c>
      <x:c r="M42" s="113" t="str">
        <x:f>IF(B42="","",IF(L42=0,"Add Accountable",IF(L42&gt;1,"Multiple Accountables",IF(K42=0,"Add Responsible","OK"))))</x:f>
      </x:c>
      <x:c r="N42" s="106"/>
      <x:c r="O42" s="106"/>
      <x:c r="P42" s="106"/>
      <x:c r="Q42" s="106"/>
      <x:c r="R42" s="106"/>
      <x:c r="S42" s="106"/>
      <x:c r="T42" s="106"/>
      <x:c r="U42" s="106"/>
      <x:c r="V42" s="106"/>
      <x:c r="W42" s="106"/>
      <x:c r="X42" s="106"/>
      <x:c r="Y42" s="106"/>
      <x:c r="Z42" s="106"/>
      <x:c r="AA42" s="106"/>
      <x:c r="AB42" s="106"/>
      <x:c r="AC42" s="106"/>
      <x:c r="AD42" s="106"/>
      <x:c r="AE42" s="106"/>
      <x:c r="AF42" s="106"/>
      <x:c r="AG42" s="106"/>
      <x:c r="AH42" s="106"/>
      <x:c r="AI42" s="106"/>
      <x:c r="AJ42" s="106"/>
      <x:c r="AK42" s="106"/>
      <x:c r="AL42" s="106"/>
      <x:c r="AM42" s="106"/>
      <x:c r="AN42" s="106"/>
      <x:c r="AO42" s="106"/>
      <x:c r="AP42" s="106"/>
      <x:c r="AQ42" s="106"/>
      <x:c r="AR42" s="106"/>
      <x:c r="AS42" s="106"/>
      <x:c r="AT42" s="106"/>
      <x:c r="AU42" s="106"/>
      <x:c r="AV42" s="106"/>
      <x:c r="AW42" s="106"/>
      <x:c r="AX42" s="106"/>
      <x:c r="AY42" s="106"/>
      <x:c r="AZ42" s="106"/>
      <x:c r="BA42" s="106"/>
    </x:row>
    <x:row r="43">
      <x:c r="A43" s="106" t="str">
        <x:f>IF('PROJECT PLAN'!C43="","",'PROJECT PLAN'!A43)</x:f>
      </x:c>
      <x:c r="B43" s="106" t="str">
        <x:f>IF('PROJECT PLAN'!C43="","",'PROJECT PLAN'!C43)</x:f>
      </x:c>
      <x:c r="C43" s="111"/>
      <x:c r="D43" s="111"/>
      <x:c r="E43" s="111"/>
      <x:c r="F43" s="111"/>
      <x:c r="G43" s="111"/>
      <x:c r="H43" s="111"/>
      <x:c r="I43" s="111"/>
      <x:c r="J43" s="111"/>
      <x:c r="K43" s="113" t="str">
        <x:f>IF(B43="","",COUNTIF(C43:J43,"R"))</x:f>
      </x:c>
      <x:c r="L43" s="113" t="str">
        <x:f>IF(B43="","",COUNTIF(C43:J43,"A"))</x:f>
      </x:c>
      <x:c r="M43" s="113" t="str">
        <x:f>IF(B43="","",IF(L43=0,"Add Accountable",IF(L43&gt;1,"Multiple Accountables",IF(K43=0,"Add Responsible","OK"))))</x:f>
      </x:c>
      <x:c r="N43" s="106"/>
      <x:c r="O43" s="106"/>
      <x:c r="P43" s="106"/>
      <x:c r="Q43" s="106"/>
      <x:c r="R43" s="106"/>
      <x:c r="S43" s="106"/>
      <x:c r="T43" s="106"/>
      <x:c r="U43" s="106"/>
      <x:c r="V43" s="106"/>
      <x:c r="W43" s="106"/>
      <x:c r="X43" s="106"/>
      <x:c r="Y43" s="106"/>
      <x:c r="Z43" s="106"/>
      <x:c r="AA43" s="106"/>
      <x:c r="AB43" s="106"/>
      <x:c r="AC43" s="106"/>
      <x:c r="AD43" s="106"/>
      <x:c r="AE43" s="106"/>
      <x:c r="AF43" s="106"/>
      <x:c r="AG43" s="106"/>
      <x:c r="AH43" s="106"/>
      <x:c r="AI43" s="106"/>
      <x:c r="AJ43" s="106"/>
      <x:c r="AK43" s="106"/>
      <x:c r="AL43" s="106"/>
      <x:c r="AM43" s="106"/>
      <x:c r="AN43" s="106"/>
      <x:c r="AO43" s="106"/>
      <x:c r="AP43" s="106"/>
      <x:c r="AQ43" s="106"/>
      <x:c r="AR43" s="106"/>
      <x:c r="AS43" s="106"/>
      <x:c r="AT43" s="106"/>
      <x:c r="AU43" s="106"/>
      <x:c r="AV43" s="106"/>
      <x:c r="AW43" s="106"/>
      <x:c r="AX43" s="106"/>
      <x:c r="AY43" s="106"/>
      <x:c r="AZ43" s="106"/>
      <x:c r="BA43" s="106"/>
    </x:row>
    <x:row r="44">
      <x:c r="A44" s="106" t="str">
        <x:f>IF('PROJECT PLAN'!C44="","",'PROJECT PLAN'!A44)</x:f>
      </x:c>
      <x:c r="B44" s="106" t="str">
        <x:f>IF('PROJECT PLAN'!C44="","",'PROJECT PLAN'!C44)</x:f>
      </x:c>
      <x:c r="C44" s="111"/>
      <x:c r="D44" s="111"/>
      <x:c r="E44" s="111"/>
      <x:c r="F44" s="111"/>
      <x:c r="G44" s="111"/>
      <x:c r="H44" s="111"/>
      <x:c r="I44" s="111"/>
      <x:c r="J44" s="111"/>
      <x:c r="K44" s="113" t="str">
        <x:f>IF(B44="","",COUNTIF(C44:J44,"R"))</x:f>
      </x:c>
      <x:c r="L44" s="113" t="str">
        <x:f>IF(B44="","",COUNTIF(C44:J44,"A"))</x:f>
      </x:c>
      <x:c r="M44" s="113" t="str">
        <x:f>IF(B44="","",IF(L44=0,"Add Accountable",IF(L44&gt;1,"Multiple Accountables",IF(K44=0,"Add Responsible","OK"))))</x:f>
      </x:c>
      <x:c r="N44" s="106"/>
      <x:c r="O44" s="106"/>
      <x:c r="P44" s="106"/>
      <x:c r="Q44" s="106"/>
      <x:c r="R44" s="106"/>
      <x:c r="S44" s="106"/>
      <x:c r="T44" s="106"/>
      <x:c r="U44" s="106"/>
      <x:c r="V44" s="106"/>
      <x:c r="W44" s="106"/>
      <x:c r="X44" s="106"/>
      <x:c r="Y44" s="106"/>
      <x:c r="Z44" s="106"/>
      <x:c r="AA44" s="106"/>
      <x:c r="AB44" s="106"/>
      <x:c r="AC44" s="106"/>
      <x:c r="AD44" s="106"/>
      <x:c r="AE44" s="106"/>
      <x:c r="AF44" s="106"/>
      <x:c r="AG44" s="106"/>
      <x:c r="AH44" s="106"/>
      <x:c r="AI44" s="106"/>
      <x:c r="AJ44" s="106"/>
      <x:c r="AK44" s="106"/>
      <x:c r="AL44" s="106"/>
      <x:c r="AM44" s="106"/>
      <x:c r="AN44" s="106"/>
      <x:c r="AO44" s="106"/>
      <x:c r="AP44" s="106"/>
      <x:c r="AQ44" s="106"/>
      <x:c r="AR44" s="106"/>
      <x:c r="AS44" s="106"/>
      <x:c r="AT44" s="106"/>
      <x:c r="AU44" s="106"/>
      <x:c r="AV44" s="106"/>
      <x:c r="AW44" s="106"/>
      <x:c r="AX44" s="106"/>
      <x:c r="AY44" s="106"/>
      <x:c r="AZ44" s="106"/>
      <x:c r="BA44" s="106"/>
    </x:row>
    <x:row r="45">
      <x:c r="A45" s="106" t="str">
        <x:f>IF('PROJECT PLAN'!C45="","",'PROJECT PLAN'!A45)</x:f>
      </x:c>
      <x:c r="B45" s="106" t="str">
        <x:f>IF('PROJECT PLAN'!C45="","",'PROJECT PLAN'!C45)</x:f>
      </x:c>
      <x:c r="C45" s="111"/>
      <x:c r="D45" s="111"/>
      <x:c r="E45" s="111"/>
      <x:c r="F45" s="111"/>
      <x:c r="G45" s="111"/>
      <x:c r="H45" s="111"/>
      <x:c r="I45" s="111"/>
      <x:c r="J45" s="111"/>
      <x:c r="K45" s="113" t="str">
        <x:f>IF(B45="","",COUNTIF(C45:J45,"R"))</x:f>
      </x:c>
      <x:c r="L45" s="113" t="str">
        <x:f>IF(B45="","",COUNTIF(C45:J45,"A"))</x:f>
      </x:c>
      <x:c r="M45" s="113" t="str">
        <x:f>IF(B45="","",IF(L45=0,"Add Accountable",IF(L45&gt;1,"Multiple Accountables",IF(K45=0,"Add Responsible","OK"))))</x:f>
      </x:c>
      <x:c r="N45" s="106"/>
      <x:c r="O45" s="106"/>
      <x:c r="P45" s="106"/>
      <x:c r="Q45" s="106"/>
      <x:c r="R45" s="106"/>
      <x:c r="S45" s="106"/>
      <x:c r="T45" s="106"/>
      <x:c r="U45" s="106"/>
      <x:c r="V45" s="106"/>
      <x:c r="W45" s="106"/>
      <x:c r="X45" s="106"/>
      <x:c r="Y45" s="106"/>
      <x:c r="Z45" s="106"/>
      <x:c r="AA45" s="106"/>
      <x:c r="AB45" s="106"/>
      <x:c r="AC45" s="106"/>
      <x:c r="AD45" s="106"/>
      <x:c r="AE45" s="106"/>
      <x:c r="AF45" s="106"/>
      <x:c r="AG45" s="106"/>
      <x:c r="AH45" s="106"/>
      <x:c r="AI45" s="106"/>
      <x:c r="AJ45" s="106"/>
      <x:c r="AK45" s="106"/>
      <x:c r="AL45" s="106"/>
      <x:c r="AM45" s="106"/>
      <x:c r="AN45" s="106"/>
      <x:c r="AO45" s="106"/>
      <x:c r="AP45" s="106"/>
      <x:c r="AQ45" s="106"/>
      <x:c r="AR45" s="106"/>
      <x:c r="AS45" s="106"/>
      <x:c r="AT45" s="106"/>
      <x:c r="AU45" s="106"/>
      <x:c r="AV45" s="106"/>
      <x:c r="AW45" s="106"/>
      <x:c r="AX45" s="106"/>
      <x:c r="AY45" s="106"/>
      <x:c r="AZ45" s="106"/>
      <x:c r="BA45" s="106"/>
    </x:row>
    <x:row r="46">
      <x:c r="A46" s="106" t="str">
        <x:f>IF('PROJECT PLAN'!C46="","",'PROJECT PLAN'!A46)</x:f>
      </x:c>
      <x:c r="B46" s="106" t="str">
        <x:f>IF('PROJECT PLAN'!C46="","",'PROJECT PLAN'!C46)</x:f>
      </x:c>
      <x:c r="C46" s="111"/>
      <x:c r="D46" s="111"/>
      <x:c r="E46" s="111"/>
      <x:c r="F46" s="111"/>
      <x:c r="G46" s="111"/>
      <x:c r="H46" s="111"/>
      <x:c r="I46" s="111"/>
      <x:c r="J46" s="111"/>
      <x:c r="K46" s="113" t="str">
        <x:f>IF(B46="","",COUNTIF(C46:J46,"R"))</x:f>
      </x:c>
      <x:c r="L46" s="113" t="str">
        <x:f>IF(B46="","",COUNTIF(C46:J46,"A"))</x:f>
      </x:c>
      <x:c r="M46" s="113" t="str">
        <x:f>IF(B46="","",IF(L46=0,"Add Accountable",IF(L46&gt;1,"Multiple Accountables",IF(K46=0,"Add Responsible","OK"))))</x:f>
      </x:c>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c r="AO46" s="106"/>
      <x:c r="AP46" s="106"/>
      <x:c r="AQ46" s="106"/>
      <x:c r="AR46" s="106"/>
      <x:c r="AS46" s="106"/>
      <x:c r="AT46" s="106"/>
      <x:c r="AU46" s="106"/>
      <x:c r="AV46" s="106"/>
      <x:c r="AW46" s="106"/>
      <x:c r="AX46" s="106"/>
      <x:c r="AY46" s="106"/>
      <x:c r="AZ46" s="106"/>
      <x:c r="BA46" s="106"/>
    </x:row>
    <x:row r="47">
      <x:c r="A47" s="106" t="str">
        <x:f>IF('PROJECT PLAN'!C47="","",'PROJECT PLAN'!A47)</x:f>
      </x:c>
      <x:c r="B47" s="106" t="str">
        <x:f>IF('PROJECT PLAN'!C47="","",'PROJECT PLAN'!C47)</x:f>
      </x:c>
      <x:c r="C47" s="111"/>
      <x:c r="D47" s="111"/>
      <x:c r="E47" s="111"/>
      <x:c r="F47" s="111"/>
      <x:c r="G47" s="111"/>
      <x:c r="H47" s="111"/>
      <x:c r="I47" s="111"/>
      <x:c r="J47" s="111"/>
      <x:c r="K47" s="113" t="str">
        <x:f>IF(B47="","",COUNTIF(C47:J47,"R"))</x:f>
      </x:c>
      <x:c r="L47" s="113" t="str">
        <x:f>IF(B47="","",COUNTIF(C47:J47,"A"))</x:f>
      </x:c>
      <x:c r="M47" s="113" t="str">
        <x:f>IF(B47="","",IF(L47=0,"Add Accountable",IF(L47&gt;1,"Multiple Accountables",IF(K47=0,"Add Responsible","OK"))))</x:f>
      </x:c>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c r="AO47" s="106"/>
      <x:c r="AP47" s="106"/>
      <x:c r="AQ47" s="106"/>
      <x:c r="AR47" s="106"/>
      <x:c r="AS47" s="106"/>
      <x:c r="AT47" s="106"/>
      <x:c r="AU47" s="106"/>
      <x:c r="AV47" s="106"/>
      <x:c r="AW47" s="106"/>
      <x:c r="AX47" s="106"/>
      <x:c r="AY47" s="106"/>
      <x:c r="AZ47" s="106"/>
      <x:c r="BA47" s="106"/>
    </x:row>
    <x:row r="48">
      <x:c r="A48" s="106" t="str">
        <x:f>IF('PROJECT PLAN'!C48="","",'PROJECT PLAN'!A48)</x:f>
      </x:c>
      <x:c r="B48" s="106" t="str">
        <x:f>IF('PROJECT PLAN'!C48="","",'PROJECT PLAN'!C48)</x:f>
      </x:c>
      <x:c r="C48" s="111"/>
      <x:c r="D48" s="111"/>
      <x:c r="E48" s="111"/>
      <x:c r="F48" s="111"/>
      <x:c r="G48" s="111"/>
      <x:c r="H48" s="111"/>
      <x:c r="I48" s="111"/>
      <x:c r="J48" s="111"/>
      <x:c r="K48" s="113" t="str">
        <x:f>IF(B48="","",COUNTIF(C48:J48,"R"))</x:f>
      </x:c>
      <x:c r="L48" s="113" t="str">
        <x:f>IF(B48="","",COUNTIF(C48:J48,"A"))</x:f>
      </x:c>
      <x:c r="M48" s="113" t="str">
        <x:f>IF(B48="","",IF(L48=0,"Add Accountable",IF(L48&gt;1,"Multiple Accountables",IF(K48=0,"Add Responsible","OK"))))</x:f>
      </x:c>
      <x:c r="N48" s="106"/>
      <x:c r="O48" s="106"/>
      <x:c r="P48" s="106"/>
      <x:c r="Q48" s="106"/>
      <x:c r="R48" s="106"/>
      <x:c r="S48" s="106"/>
      <x:c r="T48" s="106"/>
      <x:c r="U48" s="106"/>
      <x:c r="V48" s="106"/>
      <x:c r="W48" s="106"/>
      <x:c r="X48" s="106"/>
      <x:c r="Y48" s="106"/>
      <x:c r="Z48" s="106"/>
      <x:c r="AA48" s="106"/>
      <x:c r="AB48" s="106"/>
      <x:c r="AC48" s="106"/>
      <x:c r="AD48" s="106"/>
      <x:c r="AE48" s="106"/>
      <x:c r="AF48" s="106"/>
      <x:c r="AG48" s="106"/>
      <x:c r="AH48" s="106"/>
      <x:c r="AI48" s="106"/>
      <x:c r="AJ48" s="106"/>
      <x:c r="AK48" s="106"/>
      <x:c r="AL48" s="106"/>
      <x:c r="AM48" s="106"/>
      <x:c r="AN48" s="106"/>
      <x:c r="AO48" s="106"/>
      <x:c r="AP48" s="106"/>
      <x:c r="AQ48" s="106"/>
      <x:c r="AR48" s="106"/>
      <x:c r="AS48" s="106"/>
      <x:c r="AT48" s="106"/>
      <x:c r="AU48" s="106"/>
      <x:c r="AV48" s="106"/>
      <x:c r="AW48" s="106"/>
      <x:c r="AX48" s="106"/>
      <x:c r="AY48" s="106"/>
      <x:c r="AZ48" s="106"/>
      <x:c r="BA48" s="106"/>
    </x:row>
    <x:row r="49">
      <x:c r="A49" s="106" t="str">
        <x:f>IF('PROJECT PLAN'!C49="","",'PROJECT PLAN'!A49)</x:f>
      </x:c>
      <x:c r="B49" s="106" t="str">
        <x:f>IF('PROJECT PLAN'!C49="","",'PROJECT PLAN'!C49)</x:f>
      </x:c>
      <x:c r="C49" s="111"/>
      <x:c r="D49" s="111"/>
      <x:c r="E49" s="111"/>
      <x:c r="F49" s="111"/>
      <x:c r="G49" s="111"/>
      <x:c r="H49" s="111"/>
      <x:c r="I49" s="111"/>
      <x:c r="J49" s="111"/>
      <x:c r="K49" s="113" t="str">
        <x:f>IF(B49="","",COUNTIF(C49:J49,"R"))</x:f>
      </x:c>
      <x:c r="L49" s="113" t="str">
        <x:f>IF(B49="","",COUNTIF(C49:J49,"A"))</x:f>
      </x:c>
      <x:c r="M49" s="113" t="str">
        <x:f>IF(B49="","",IF(L49=0,"Add Accountable",IF(L49&gt;1,"Multiple Accountables",IF(K49=0,"Add Responsible","OK"))))</x:f>
      </x:c>
      <x:c r="N49" s="106"/>
      <x:c r="O49" s="106"/>
      <x:c r="P49" s="106"/>
      <x:c r="Q49" s="106"/>
      <x:c r="R49" s="106"/>
      <x:c r="S49" s="106"/>
      <x:c r="T49" s="106"/>
      <x:c r="U49" s="106"/>
      <x:c r="V49" s="106"/>
      <x:c r="W49" s="106"/>
      <x:c r="X49" s="106"/>
      <x:c r="Y49" s="106"/>
      <x:c r="Z49" s="106"/>
      <x:c r="AA49" s="106"/>
      <x:c r="AB49" s="106"/>
      <x:c r="AC49" s="106"/>
      <x:c r="AD49" s="106"/>
      <x:c r="AE49" s="106"/>
      <x:c r="AF49" s="106"/>
      <x:c r="AG49" s="106"/>
      <x:c r="AH49" s="106"/>
      <x:c r="AI49" s="106"/>
      <x:c r="AJ49" s="106"/>
      <x:c r="AK49" s="106"/>
      <x:c r="AL49" s="106"/>
      <x:c r="AM49" s="106"/>
      <x:c r="AN49" s="106"/>
      <x:c r="AO49" s="106"/>
      <x:c r="AP49" s="106"/>
      <x:c r="AQ49" s="106"/>
      <x:c r="AR49" s="106"/>
      <x:c r="AS49" s="106"/>
      <x:c r="AT49" s="106"/>
      <x:c r="AU49" s="106"/>
      <x:c r="AV49" s="106"/>
      <x:c r="AW49" s="106"/>
      <x:c r="AX49" s="106"/>
      <x:c r="AY49" s="106"/>
      <x:c r="AZ49" s="106"/>
      <x:c r="BA49" s="106"/>
    </x:row>
    <x:row r="50">
      <x:c r="A50" s="106" t="str">
        <x:f>IF('PROJECT PLAN'!C50="","",'PROJECT PLAN'!A50)</x:f>
      </x:c>
      <x:c r="B50" s="106" t="str">
        <x:f>IF('PROJECT PLAN'!C50="","",'PROJECT PLAN'!C50)</x:f>
      </x:c>
      <x:c r="C50" s="111"/>
      <x:c r="D50" s="111"/>
      <x:c r="E50" s="111"/>
      <x:c r="F50" s="111"/>
      <x:c r="G50" s="111"/>
      <x:c r="H50" s="111"/>
      <x:c r="I50" s="111"/>
      <x:c r="J50" s="111"/>
      <x:c r="K50" s="113" t="str">
        <x:f>IF(B50="","",COUNTIF(C50:J50,"R"))</x:f>
      </x:c>
      <x:c r="L50" s="113" t="str">
        <x:f>IF(B50="","",COUNTIF(C50:J50,"A"))</x:f>
      </x:c>
      <x:c r="M50" s="113" t="str">
        <x:f>IF(B50="","",IF(L50=0,"Add Accountable",IF(L50&gt;1,"Multiple Accountables",IF(K50=0,"Add Responsible","OK"))))</x:f>
      </x:c>
      <x:c r="N50" s="106"/>
      <x:c r="O50" s="106"/>
      <x:c r="P50" s="106"/>
      <x:c r="Q50" s="106"/>
      <x:c r="R50" s="106"/>
      <x:c r="S50" s="106"/>
      <x:c r="T50" s="106"/>
      <x:c r="U50" s="106"/>
      <x:c r="V50" s="106"/>
      <x:c r="W50" s="106"/>
      <x:c r="X50" s="106"/>
      <x:c r="Y50" s="106"/>
      <x:c r="Z50" s="106"/>
      <x:c r="AA50" s="106"/>
      <x:c r="AB50" s="106"/>
      <x:c r="AC50" s="106"/>
      <x:c r="AD50" s="106"/>
      <x:c r="AE50" s="106"/>
      <x:c r="AF50" s="106"/>
      <x:c r="AG50" s="106"/>
      <x:c r="AH50" s="106"/>
      <x:c r="AI50" s="106"/>
      <x:c r="AJ50" s="106"/>
      <x:c r="AK50" s="106"/>
      <x:c r="AL50" s="106"/>
      <x:c r="AM50" s="106"/>
      <x:c r="AN50" s="106"/>
      <x:c r="AO50" s="106"/>
      <x:c r="AP50" s="106"/>
      <x:c r="AQ50" s="106"/>
      <x:c r="AR50" s="106"/>
      <x:c r="AS50" s="106"/>
      <x:c r="AT50" s="106"/>
      <x:c r="AU50" s="106"/>
      <x:c r="AV50" s="106"/>
      <x:c r="AW50" s="106"/>
      <x:c r="AX50" s="106"/>
      <x:c r="AY50" s="106"/>
      <x:c r="AZ50" s="106"/>
      <x:c r="BA50" s="106"/>
    </x:row>
    <x:row r="51">
      <x:c r="A51" s="106" t="str">
        <x:f>IF('PROJECT PLAN'!C51="","",'PROJECT PLAN'!A51)</x:f>
      </x:c>
      <x:c r="B51" s="106" t="str">
        <x:f>IF('PROJECT PLAN'!C51="","",'PROJECT PLAN'!C51)</x:f>
      </x:c>
      <x:c r="C51" s="111"/>
      <x:c r="D51" s="111"/>
      <x:c r="E51" s="111"/>
      <x:c r="F51" s="111"/>
      <x:c r="G51" s="111"/>
      <x:c r="H51" s="111"/>
      <x:c r="I51" s="111"/>
      <x:c r="J51" s="111"/>
      <x:c r="K51" s="113" t="str">
        <x:f>IF(B51="","",COUNTIF(C51:J51,"R"))</x:f>
      </x:c>
      <x:c r="L51" s="113" t="str">
        <x:f>IF(B51="","",COUNTIF(C51:J51,"A"))</x:f>
      </x:c>
      <x:c r="M51" s="113" t="str">
        <x:f>IF(B51="","",IF(L51=0,"Add Accountable",IF(L51&gt;1,"Multiple Accountables",IF(K51=0,"Add Responsible","OK"))))</x:f>
      </x:c>
      <x:c r="N51" s="106"/>
      <x:c r="O51" s="106"/>
      <x:c r="P51" s="106"/>
      <x:c r="Q51" s="106"/>
      <x:c r="R51" s="106"/>
      <x:c r="S51" s="106"/>
      <x:c r="T51" s="106"/>
      <x:c r="U51" s="106"/>
      <x:c r="V51" s="106"/>
      <x:c r="W51" s="106"/>
      <x:c r="X51" s="106"/>
      <x:c r="Y51" s="106"/>
      <x:c r="Z51" s="106"/>
      <x:c r="AA51" s="106"/>
      <x:c r="AB51" s="106"/>
      <x:c r="AC51" s="106"/>
      <x:c r="AD51" s="106"/>
      <x:c r="AE51" s="106"/>
      <x:c r="AF51" s="106"/>
      <x:c r="AG51" s="106"/>
      <x:c r="AH51" s="106"/>
      <x:c r="AI51" s="106"/>
      <x:c r="AJ51" s="106"/>
      <x:c r="AK51" s="106"/>
      <x:c r="AL51" s="106"/>
      <x:c r="AM51" s="106"/>
      <x:c r="AN51" s="106"/>
      <x:c r="AO51" s="106"/>
      <x:c r="AP51" s="106"/>
      <x:c r="AQ51" s="106"/>
      <x:c r="AR51" s="106"/>
      <x:c r="AS51" s="106"/>
      <x:c r="AT51" s="106"/>
      <x:c r="AU51" s="106"/>
      <x:c r="AV51" s="106"/>
      <x:c r="AW51" s="106"/>
      <x:c r="AX51" s="106"/>
      <x:c r="AY51" s="106"/>
      <x:c r="AZ51" s="106"/>
      <x:c r="BA51" s="106"/>
    </x:row>
    <x:row r="52">
      <x:c r="A52" s="106" t="str">
        <x:f>IF('PROJECT PLAN'!C52="","",'PROJECT PLAN'!A52)</x:f>
      </x:c>
      <x:c r="B52" s="106" t="str">
        <x:f>IF('PROJECT PLAN'!C52="","",'PROJECT PLAN'!C52)</x:f>
      </x:c>
      <x:c r="C52" s="111"/>
      <x:c r="D52" s="111"/>
      <x:c r="E52" s="111"/>
      <x:c r="F52" s="111"/>
      <x:c r="G52" s="111"/>
      <x:c r="H52" s="111"/>
      <x:c r="I52" s="111"/>
      <x:c r="J52" s="111"/>
      <x:c r="K52" s="113" t="str">
        <x:f>IF(B52="","",COUNTIF(C52:J52,"R"))</x:f>
      </x:c>
      <x:c r="L52" s="113" t="str">
        <x:f>IF(B52="","",COUNTIF(C52:J52,"A"))</x:f>
      </x:c>
      <x:c r="M52" s="113" t="str">
        <x:f>IF(B52="","",IF(L52=0,"Add Accountable",IF(L52&gt;1,"Multiple Accountables",IF(K52=0,"Add Responsible","OK"))))</x:f>
      </x:c>
      <x:c r="N52" s="106"/>
      <x:c r="O52" s="106"/>
      <x:c r="P52" s="106"/>
      <x:c r="Q52" s="106"/>
      <x:c r="R52" s="106"/>
      <x:c r="S52" s="106"/>
      <x:c r="T52" s="106"/>
      <x:c r="U52" s="106"/>
      <x:c r="V52" s="106"/>
      <x:c r="W52" s="106"/>
      <x:c r="X52" s="106"/>
      <x:c r="Y52" s="106"/>
      <x:c r="Z52" s="106"/>
      <x:c r="AA52" s="106"/>
      <x:c r="AB52" s="106"/>
      <x:c r="AC52" s="106"/>
      <x:c r="AD52" s="106"/>
      <x:c r="AE52" s="106"/>
      <x:c r="AF52" s="106"/>
      <x:c r="AG52" s="106"/>
      <x:c r="AH52" s="106"/>
      <x:c r="AI52" s="106"/>
      <x:c r="AJ52" s="106"/>
      <x:c r="AK52" s="106"/>
      <x:c r="AL52" s="106"/>
      <x:c r="AM52" s="106"/>
      <x:c r="AN52" s="106"/>
      <x:c r="AO52" s="106"/>
      <x:c r="AP52" s="106"/>
      <x:c r="AQ52" s="106"/>
      <x:c r="AR52" s="106"/>
      <x:c r="AS52" s="106"/>
      <x:c r="AT52" s="106"/>
      <x:c r="AU52" s="106"/>
      <x:c r="AV52" s="106"/>
      <x:c r="AW52" s="106"/>
      <x:c r="AX52" s="106"/>
      <x:c r="AY52" s="106"/>
      <x:c r="AZ52" s="106"/>
      <x:c r="BA52" s="106"/>
    </x:row>
    <x:row r="53">
      <x:c r="A53" s="106" t="str">
        <x:f>IF('PROJECT PLAN'!C53="","",'PROJECT PLAN'!A53)</x:f>
      </x:c>
      <x:c r="B53" s="106" t="str">
        <x:f>IF('PROJECT PLAN'!C53="","",'PROJECT PLAN'!C53)</x:f>
      </x:c>
      <x:c r="C53" s="111"/>
      <x:c r="D53" s="111"/>
      <x:c r="E53" s="111"/>
      <x:c r="F53" s="111"/>
      <x:c r="G53" s="111"/>
      <x:c r="H53" s="111"/>
      <x:c r="I53" s="111"/>
      <x:c r="J53" s="111"/>
      <x:c r="K53" s="113" t="str">
        <x:f>IF(B53="","",COUNTIF(C53:J53,"R"))</x:f>
      </x:c>
      <x:c r="L53" s="113" t="str">
        <x:f>IF(B53="","",COUNTIF(C53:J53,"A"))</x:f>
      </x:c>
      <x:c r="M53" s="113" t="str">
        <x:f>IF(B53="","",IF(L53=0,"Add Accountable",IF(L53&gt;1,"Multiple Accountables",IF(K53=0,"Add Responsible","OK"))))</x:f>
      </x:c>
      <x:c r="N53" s="106"/>
      <x:c r="O53" s="106"/>
      <x:c r="P53" s="106"/>
      <x:c r="Q53" s="106"/>
      <x:c r="R53" s="106"/>
      <x:c r="S53" s="106"/>
      <x:c r="T53" s="106"/>
      <x:c r="U53" s="106"/>
      <x:c r="V53" s="106"/>
      <x:c r="W53" s="106"/>
      <x:c r="X53" s="106"/>
      <x:c r="Y53" s="106"/>
      <x:c r="Z53" s="106"/>
      <x:c r="AA53" s="106"/>
      <x:c r="AB53" s="106"/>
      <x:c r="AC53" s="106"/>
      <x:c r="AD53" s="106"/>
      <x:c r="AE53" s="106"/>
      <x:c r="AF53" s="106"/>
      <x:c r="AG53" s="106"/>
      <x:c r="AH53" s="106"/>
      <x:c r="AI53" s="106"/>
      <x:c r="AJ53" s="106"/>
      <x:c r="AK53" s="106"/>
      <x:c r="AL53" s="106"/>
      <x:c r="AM53" s="106"/>
      <x:c r="AN53" s="106"/>
      <x:c r="AO53" s="106"/>
      <x:c r="AP53" s="106"/>
      <x:c r="AQ53" s="106"/>
      <x:c r="AR53" s="106"/>
      <x:c r="AS53" s="106"/>
      <x:c r="AT53" s="106"/>
      <x:c r="AU53" s="106"/>
      <x:c r="AV53" s="106"/>
      <x:c r="AW53" s="106"/>
      <x:c r="AX53" s="106"/>
      <x:c r="AY53" s="106"/>
      <x:c r="AZ53" s="106"/>
      <x:c r="BA53" s="106"/>
    </x:row>
    <x:row r="54">
      <x:c r="A54" s="106"/>
      <x:c r="B54" s="106"/>
      <x:c r="C54" s="106"/>
      <x:c r="D54" s="106"/>
      <x:c r="E54" s="106"/>
      <x:c r="F54" s="106"/>
      <x:c r="G54" s="106"/>
      <x:c r="H54" s="106"/>
      <x:c r="I54" s="106"/>
      <x:c r="J54" s="106"/>
      <x:c r="K54" s="106"/>
      <x:c r="L54" s="106"/>
      <x:c r="M54" s="106"/>
      <x:c r="N54" s="106"/>
      <x:c r="O54" s="106"/>
      <x:c r="P54" s="106"/>
      <x:c r="Q54" s="106"/>
      <x:c r="R54" s="106"/>
      <x:c r="S54" s="106"/>
      <x:c r="T54" s="106"/>
      <x:c r="U54" s="106"/>
      <x:c r="V54" s="106"/>
      <x:c r="W54" s="106"/>
      <x:c r="X54" s="106"/>
      <x:c r="Y54" s="106"/>
      <x:c r="Z54" s="106"/>
      <x:c r="AA54" s="106"/>
      <x:c r="AB54" s="106"/>
      <x:c r="AC54" s="106"/>
      <x:c r="AD54" s="106"/>
      <x:c r="AE54" s="106"/>
      <x:c r="AF54" s="106"/>
      <x:c r="AG54" s="106"/>
      <x:c r="AH54" s="106"/>
      <x:c r="AI54" s="106"/>
      <x:c r="AJ54" s="106"/>
      <x:c r="AK54" s="106"/>
      <x:c r="AL54" s="106"/>
      <x:c r="AM54" s="106"/>
      <x:c r="AN54" s="106"/>
      <x:c r="AO54" s="106"/>
      <x:c r="AP54" s="106"/>
      <x:c r="AQ54" s="106"/>
      <x:c r="AR54" s="106"/>
      <x:c r="AS54" s="106"/>
      <x:c r="AT54" s="106"/>
      <x:c r="AU54" s="106"/>
      <x:c r="AV54" s="106"/>
      <x:c r="AW54" s="106"/>
      <x:c r="AX54" s="106"/>
      <x:c r="AY54" s="106"/>
      <x:c r="AZ54" s="106"/>
      <x:c r="BA54" s="106"/>
    </x:row>
    <x:row r="55">
      <x:c r="A55" s="106"/>
      <x:c r="B55" s="106"/>
      <x:c r="C55" s="106"/>
      <x:c r="D55" s="106"/>
      <x:c r="E55" s="106"/>
      <x:c r="F55" s="106"/>
      <x:c r="G55" s="106"/>
      <x:c r="H55" s="106"/>
      <x:c r="I55" s="106"/>
      <x:c r="J55" s="106"/>
      <x:c r="K55" s="106"/>
      <x:c r="L55" s="106"/>
      <x:c r="M55" s="106"/>
      <x:c r="N55" s="106"/>
      <x:c r="O55" s="106"/>
      <x:c r="P55" s="106"/>
      <x:c r="Q55" s="106"/>
      <x:c r="R55" s="106"/>
      <x:c r="S55" s="106"/>
      <x:c r="T55" s="106"/>
      <x:c r="U55" s="106"/>
      <x:c r="V55" s="106"/>
      <x:c r="W55" s="106"/>
      <x:c r="X55" s="106"/>
      <x:c r="Y55" s="106"/>
      <x:c r="Z55" s="106"/>
      <x:c r="AA55" s="106"/>
      <x:c r="AB55" s="106"/>
      <x:c r="AC55" s="106"/>
      <x:c r="AD55" s="106"/>
      <x:c r="AE55" s="106"/>
      <x:c r="AF55" s="106"/>
      <x:c r="AG55" s="106"/>
      <x:c r="AH55" s="106"/>
      <x:c r="AI55" s="106"/>
      <x:c r="AJ55" s="106"/>
      <x:c r="AK55" s="106"/>
      <x:c r="AL55" s="106"/>
      <x:c r="AM55" s="106"/>
      <x:c r="AN55" s="106"/>
      <x:c r="AO55" s="106"/>
      <x:c r="AP55" s="106"/>
      <x:c r="AQ55" s="106"/>
      <x:c r="AR55" s="106"/>
      <x:c r="AS55" s="106"/>
      <x:c r="AT55" s="106"/>
      <x:c r="AU55" s="106"/>
      <x:c r="AV55" s="106"/>
      <x:c r="AW55" s="106"/>
      <x:c r="AX55" s="106"/>
      <x:c r="AY55" s="106"/>
      <x:c r="AZ55" s="106"/>
      <x:c r="BA55" s="106"/>
    </x:row>
    <x:row r="56">
      <x:c r="A56" s="106"/>
      <x:c r="B56" s="106"/>
      <x:c r="C56" s="106"/>
      <x:c r="D56" s="106"/>
      <x:c r="E56" s="106"/>
      <x:c r="F56" s="106"/>
      <x:c r="G56" s="106"/>
      <x:c r="H56" s="106"/>
      <x:c r="I56" s="106"/>
      <x:c r="J56" s="106"/>
      <x:c r="K56" s="106"/>
      <x:c r="L56" s="106"/>
      <x:c r="M56" s="106"/>
      <x:c r="N56" s="106"/>
      <x:c r="O56" s="106"/>
      <x:c r="P56" s="106"/>
      <x:c r="Q56" s="106"/>
      <x:c r="R56" s="106"/>
      <x:c r="S56" s="106"/>
      <x:c r="T56" s="106"/>
      <x:c r="U56" s="106"/>
      <x:c r="V56" s="106"/>
      <x:c r="W56" s="106"/>
      <x:c r="X56" s="106"/>
      <x:c r="Y56" s="106"/>
      <x:c r="Z56" s="106"/>
      <x:c r="AA56" s="106"/>
      <x:c r="AB56" s="106"/>
      <x:c r="AC56" s="106"/>
      <x:c r="AD56" s="106"/>
      <x:c r="AE56" s="106"/>
      <x:c r="AF56" s="106"/>
      <x:c r="AG56" s="106"/>
      <x:c r="AH56" s="106"/>
      <x:c r="AI56" s="106"/>
      <x:c r="AJ56" s="106"/>
      <x:c r="AK56" s="106"/>
      <x:c r="AL56" s="106"/>
      <x:c r="AM56" s="106"/>
      <x:c r="AN56" s="106"/>
      <x:c r="AO56" s="106"/>
      <x:c r="AP56" s="106"/>
      <x:c r="AQ56" s="106"/>
      <x:c r="AR56" s="106"/>
      <x:c r="AS56" s="106"/>
      <x:c r="AT56" s="106"/>
      <x:c r="AU56" s="106"/>
      <x:c r="AV56" s="106"/>
      <x:c r="AW56" s="106"/>
      <x:c r="AX56" s="106"/>
      <x:c r="AY56" s="106"/>
      <x:c r="AZ56" s="106"/>
      <x:c r="BA56" s="106"/>
    </x:row>
    <x:row r="57">
      <x:c r="A57" s="106"/>
      <x:c r="B57" s="106"/>
      <x:c r="C57" s="106"/>
      <x:c r="D57" s="106"/>
      <x:c r="E57" s="106"/>
      <x:c r="F57" s="106"/>
      <x:c r="G57" s="106"/>
      <x:c r="H57" s="106"/>
      <x:c r="I57" s="106"/>
      <x:c r="J57" s="106"/>
      <x:c r="K57" s="106"/>
      <x:c r="L57" s="106"/>
      <x:c r="M57" s="106"/>
      <x:c r="N57" s="106"/>
      <x:c r="O57" s="106"/>
      <x:c r="P57" s="106"/>
      <x:c r="Q57" s="106"/>
      <x:c r="R57" s="106"/>
      <x:c r="S57" s="106"/>
      <x:c r="T57" s="106"/>
      <x:c r="U57" s="106"/>
      <x:c r="V57" s="106"/>
      <x:c r="W57" s="106"/>
      <x:c r="X57" s="106"/>
      <x:c r="Y57" s="106"/>
      <x:c r="Z57" s="106"/>
      <x:c r="AA57" s="106"/>
      <x:c r="AB57" s="106"/>
      <x:c r="AC57" s="106"/>
      <x:c r="AD57" s="106"/>
      <x:c r="AE57" s="106"/>
      <x:c r="AF57" s="106"/>
      <x:c r="AG57" s="106"/>
      <x:c r="AH57" s="106"/>
      <x:c r="AI57" s="106"/>
      <x:c r="AJ57" s="106"/>
      <x:c r="AK57" s="106"/>
      <x:c r="AL57" s="106"/>
      <x:c r="AM57" s="106"/>
      <x:c r="AN57" s="106"/>
      <x:c r="AO57" s="106"/>
      <x:c r="AP57" s="106"/>
      <x:c r="AQ57" s="106"/>
      <x:c r="AR57" s="106"/>
      <x:c r="AS57" s="106"/>
      <x:c r="AT57" s="106"/>
      <x:c r="AU57" s="106"/>
      <x:c r="AV57" s="106"/>
      <x:c r="AW57" s="106"/>
      <x:c r="AX57" s="106"/>
      <x:c r="AY57" s="106"/>
      <x:c r="AZ57" s="106"/>
      <x:c r="BA57" s="106"/>
    </x:row>
    <x:row r="58">
      <x:c r="A58" s="106"/>
      <x:c r="B58" s="106"/>
      <x:c r="C58" s="106"/>
      <x:c r="D58" s="106"/>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c r="AO58" s="106"/>
      <x:c r="AP58" s="106"/>
      <x:c r="AQ58" s="106"/>
      <x:c r="AR58" s="106"/>
      <x:c r="AS58" s="106"/>
      <x:c r="AT58" s="106"/>
      <x:c r="AU58" s="106"/>
      <x:c r="AV58" s="106"/>
      <x:c r="AW58" s="106"/>
      <x:c r="AX58" s="106"/>
      <x:c r="AY58" s="106"/>
      <x:c r="AZ58" s="106"/>
      <x:c r="BA58" s="106"/>
    </x:row>
    <x:row r="59">
      <x:c r="A59" s="106"/>
      <x:c r="B59" s="106"/>
      <x:c r="C59" s="106"/>
      <x:c r="D59" s="106"/>
      <x:c r="E59" s="106"/>
      <x:c r="F59" s="106"/>
      <x:c r="G59" s="106"/>
      <x:c r="H59" s="106"/>
      <x:c r="I59" s="106"/>
      <x:c r="J59" s="106"/>
      <x:c r="K59" s="106"/>
      <x:c r="L59" s="106"/>
      <x:c r="M59" s="106"/>
      <x:c r="N59" s="106"/>
      <x:c r="O59" s="106"/>
      <x:c r="P59" s="106"/>
      <x:c r="Q59" s="106"/>
      <x:c r="R59" s="106"/>
      <x:c r="S59" s="106"/>
      <x:c r="T59" s="106"/>
      <x:c r="U59" s="106"/>
      <x:c r="V59" s="106"/>
      <x:c r="W59" s="106"/>
      <x:c r="X59" s="106"/>
      <x:c r="Y59" s="106"/>
      <x:c r="Z59" s="106"/>
      <x:c r="AA59" s="106"/>
      <x:c r="AB59" s="106"/>
      <x:c r="AC59" s="106"/>
      <x:c r="AD59" s="106"/>
      <x:c r="AE59" s="106"/>
      <x:c r="AF59" s="106"/>
      <x:c r="AG59" s="106"/>
      <x:c r="AH59" s="106"/>
      <x:c r="AI59" s="106"/>
      <x:c r="AJ59" s="106"/>
      <x:c r="AK59" s="106"/>
      <x:c r="AL59" s="106"/>
      <x:c r="AM59" s="106"/>
      <x:c r="AN59" s="106"/>
      <x:c r="AO59" s="106"/>
      <x:c r="AP59" s="106"/>
      <x:c r="AQ59" s="106"/>
      <x:c r="AR59" s="106"/>
      <x:c r="AS59" s="106"/>
      <x:c r="AT59" s="106"/>
      <x:c r="AU59" s="106"/>
      <x:c r="AV59" s="106"/>
      <x:c r="AW59" s="106"/>
      <x:c r="AX59" s="106"/>
      <x:c r="AY59" s="106"/>
      <x:c r="AZ59" s="106"/>
      <x:c r="BA59" s="106"/>
    </x:row>
    <x:row r="60">
      <x:c r="A60" s="106"/>
      <x:c r="B60" s="106"/>
      <x:c r="C60" s="106"/>
      <x:c r="D60" s="106"/>
      <x:c r="E60" s="106"/>
      <x:c r="F60" s="106"/>
      <x:c r="G60" s="106"/>
      <x:c r="H60" s="106"/>
      <x:c r="I60" s="106"/>
      <x:c r="J60" s="106"/>
      <x:c r="K60" s="106"/>
      <x:c r="L60" s="106"/>
      <x:c r="M60" s="106"/>
      <x:c r="N60" s="106"/>
      <x:c r="O60" s="106"/>
      <x:c r="P60" s="106"/>
      <x:c r="Q60" s="106"/>
      <x:c r="R60" s="106"/>
      <x:c r="S60" s="106"/>
      <x:c r="T60" s="106"/>
      <x:c r="U60" s="106"/>
      <x:c r="V60" s="106"/>
      <x:c r="W60" s="106"/>
      <x:c r="X60" s="106"/>
      <x:c r="Y60" s="106"/>
      <x:c r="Z60" s="106"/>
      <x:c r="AA60" s="106"/>
      <x:c r="AB60" s="106"/>
      <x:c r="AC60" s="106"/>
      <x:c r="AD60" s="106"/>
      <x:c r="AE60" s="106"/>
      <x:c r="AF60" s="106"/>
      <x:c r="AG60" s="106"/>
      <x:c r="AH60" s="106"/>
      <x:c r="AI60" s="106"/>
      <x:c r="AJ60" s="106"/>
      <x:c r="AK60" s="106"/>
      <x:c r="AL60" s="106"/>
      <x:c r="AM60" s="106"/>
      <x:c r="AN60" s="106"/>
      <x:c r="AO60" s="106"/>
      <x:c r="AP60" s="106"/>
      <x:c r="AQ60" s="106"/>
      <x:c r="AR60" s="106"/>
      <x:c r="AS60" s="106"/>
      <x:c r="AT60" s="106"/>
      <x:c r="AU60" s="106"/>
      <x:c r="AV60" s="106"/>
      <x:c r="AW60" s="106"/>
      <x:c r="AX60" s="106"/>
      <x:c r="AY60" s="106"/>
      <x:c r="AZ60" s="106"/>
      <x:c r="BA60" s="106"/>
    </x:row>
  </x:sheetData>
  <x:mergeCells>
    <x:mergeCell ref="A1:M1"/>
  </x:mergeCells>
  <x:conditionalFormatting sqref="M4:M53">
    <x:cfRule type="expression" dxfId="8" priority="1">
      <x:formula>$M4&lt;&gt;"OK"</x:formula>
    </x:cfRule>
    <x:cfRule type="expression" dxfId="9" priority="2">
      <x:formula>$M4="OK"</x:formula>
    </x:cfRule>
  </x:conditionalFormatting>
  <x:dataValidations count="1">
    <x:dataValidation type="list" sqref="C4:J53">
      <x:formula1>SETUP!$I$2:$I$5</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6" hidden="0" customWidth="1"/>
    <x:col min="2" max="2" width="10" hidden="0" customWidth="1"/>
    <x:col min="3" max="3" width="32" hidden="0" customWidth="1"/>
    <x:col min="4" max="4" width="18" hidden="0" customWidth="1"/>
    <x:col min="5" max="5" width="15" hidden="0" customWidth="1"/>
    <x:col min="6" max="6" width="13" hidden="0" customWidth="1"/>
    <x:col min="7" max="7" width="9" hidden="0" customWidth="1"/>
    <x:col min="8" max="8" width="11" hidden="0" customWidth="1"/>
    <x:col min="9" max="9" width="12" hidden="0" customWidth="1"/>
    <x:col min="10" max="10" width="14" hidden="0" customWidth="1"/>
    <x:col min="11" max="11" width="14" hidden="0" customWidth="1"/>
    <x:col min="12" max="12" width="34" hidden="0" customWidth="1"/>
    <x:col min="13" max="13" width="28" hidden="0" customWidth="1"/>
  </x:cols>
  <x:sheetData>
    <x:row r="1">
      <x:c r="A1" s="169" t="str">
        <x:v>RISKS &amp; ISSUES — enter the risk; severity and overdue status calculate automatically</x:v>
      </x:c>
      <x:c r="B1" s="169"/>
      <x:c r="C1" s="169"/>
      <x:c r="D1" s="169"/>
      <x:c r="E1" s="169"/>
      <x:c r="F1" s="169"/>
      <x:c r="G1" s="169"/>
      <x:c r="H1" s="169"/>
      <x:c r="I1" s="169"/>
      <x:c r="J1" s="169"/>
      <x:c r="K1" s="169"/>
      <x:c r="L1" s="169"/>
      <x:c r="M1" s="169"/>
      <x:c r="N1" s="106"/>
      <x:c r="O1" s="106"/>
      <x:c r="P1" s="106"/>
      <x:c r="Q1" s="106"/>
      <x:c r="R1" s="106"/>
      <x:c r="S1" s="106"/>
      <x:c r="T1" s="106"/>
      <x:c r="U1" s="106"/>
      <x:c r="V1" s="106"/>
      <x:c r="W1" s="106"/>
      <x:c r="X1" s="106"/>
      <x:c r="Y1" s="106"/>
      <x:c r="Z1" s="106"/>
      <x:c r="AA1" s="106"/>
      <x:c r="AB1" s="106"/>
      <x:c r="AC1" s="106"/>
      <x:c r="AD1" s="106"/>
      <x:c r="AE1" s="106"/>
      <x:c r="AF1" s="106"/>
      <x:c r="AG1" s="106"/>
      <x:c r="AH1" s="106"/>
      <x:c r="AI1" s="106"/>
      <x:c r="AJ1" s="106"/>
      <x:c r="AK1" s="106"/>
      <x:c r="AL1" s="106"/>
      <x:c r="AM1" s="106"/>
      <x:c r="AN1" s="106"/>
      <x:c r="AO1" s="106"/>
      <x:c r="AP1" s="106"/>
      <x:c r="AQ1" s="106"/>
      <x:c r="AR1" s="106"/>
      <x:c r="AS1" s="106"/>
      <x:c r="AT1" s="106"/>
      <x:c r="AU1" s="106"/>
      <x:c r="AV1" s="106"/>
      <x:c r="AW1" s="106"/>
      <x:c r="AX1" s="106"/>
      <x:c r="AY1" s="106"/>
      <x:c r="AZ1" s="106"/>
      <x:c r="BA1" s="106"/>
    </x:row>
    <x:row r="2">
      <x:c r="A2" s="106"/>
      <x:c r="B2" s="106"/>
      <x:c r="C2" s="106"/>
      <x:c r="D2" s="106"/>
      <x:c r="E2" s="106"/>
      <x:c r="F2" s="106"/>
      <x:c r="G2" s="106"/>
      <x:c r="H2" s="106"/>
      <x:c r="I2" s="106"/>
      <x:c r="J2" s="106"/>
      <x:c r="K2" s="106"/>
      <x:c r="L2" s="106"/>
      <x:c r="M2" s="106"/>
      <x:c r="N2" s="106"/>
      <x:c r="O2" s="106"/>
      <x:c r="P2" s="106"/>
      <x:c r="Q2" s="106"/>
      <x:c r="R2" s="106"/>
      <x:c r="S2" s="106"/>
      <x:c r="T2" s="106"/>
      <x:c r="U2" s="106"/>
      <x:c r="V2" s="106"/>
      <x:c r="W2" s="106"/>
      <x:c r="X2" s="106"/>
      <x:c r="Y2" s="106"/>
      <x:c r="Z2" s="106"/>
      <x:c r="AA2" s="106"/>
      <x:c r="AB2" s="106"/>
      <x:c r="AC2" s="106"/>
      <x:c r="AD2" s="106"/>
      <x:c r="AE2" s="106"/>
      <x:c r="AF2" s="106"/>
      <x:c r="AG2" s="106"/>
      <x:c r="AH2" s="106"/>
      <x:c r="AI2" s="106"/>
      <x:c r="AJ2" s="106"/>
      <x:c r="AK2" s="106"/>
      <x:c r="AL2" s="106"/>
      <x:c r="AM2" s="106"/>
      <x:c r="AN2" s="106"/>
      <x:c r="AO2" s="106"/>
      <x:c r="AP2" s="106"/>
      <x:c r="AQ2" s="106"/>
      <x:c r="AR2" s="106"/>
      <x:c r="AS2" s="106"/>
      <x:c r="AT2" s="106"/>
      <x:c r="AU2" s="106"/>
      <x:c r="AV2" s="106"/>
      <x:c r="AW2" s="106"/>
      <x:c r="AX2" s="106"/>
      <x:c r="AY2" s="106"/>
      <x:c r="AZ2" s="106"/>
      <x:c r="BA2" s="106"/>
    </x:row>
    <x:row r="3">
      <x:c r="A3" s="157" t="str">
        <x:v>ID</x:v>
      </x:c>
      <x:c r="B3" s="157" t="str">
        <x:v>Type</x:v>
      </x:c>
      <x:c r="C3" s="157" t="str">
        <x:v>Risk / Issue</x:v>
      </x:c>
      <x:c r="D3" s="157" t="str">
        <x:v>Owner</x:v>
      </x:c>
      <x:c r="E3" s="157" t="str">
        <x:v>Likelihood (1-5)</x:v>
      </x:c>
      <x:c r="F3" s="157" t="str">
        <x:v>Impact (1-5)</x:v>
      </x:c>
      <x:c r="G3" s="157" t="str">
        <x:v>Score</x:v>
      </x:c>
      <x:c r="H3" s="157" t="str">
        <x:v>Severity</x:v>
      </x:c>
      <x:c r="I3" s="157" t="str">
        <x:v>Status</x:v>
      </x:c>
      <x:c r="J3" s="157" t="str">
        <x:v>Due Date</x:v>
      </x:c>
      <x:c r="K3" s="157" t="str">
        <x:v>Due Status</x:v>
      </x:c>
      <x:c r="L3" s="157" t="str">
        <x:v>Mitigation / Next Action</x:v>
      </x:c>
      <x:c r="M3" s="157" t="str">
        <x:v>Notes</x:v>
      </x:c>
      <x:c r="N3" s="106"/>
      <x:c r="O3" s="106"/>
      <x:c r="P3" s="106"/>
      <x:c r="Q3" s="106"/>
      <x:c r="R3" s="106"/>
      <x:c r="S3" s="106"/>
      <x:c r="T3" s="106"/>
      <x:c r="U3" s="106"/>
      <x:c r="V3" s="106"/>
      <x:c r="W3" s="106"/>
      <x:c r="X3" s="106"/>
      <x:c r="Y3" s="106"/>
      <x:c r="Z3" s="106"/>
      <x:c r="AA3" s="106"/>
      <x:c r="AB3" s="106"/>
      <x:c r="AC3" s="106"/>
      <x:c r="AD3" s="106"/>
      <x:c r="AE3" s="106"/>
      <x:c r="AF3" s="106"/>
      <x:c r="AG3" s="106"/>
      <x:c r="AH3" s="106"/>
      <x:c r="AI3" s="106"/>
      <x:c r="AJ3" s="106"/>
      <x:c r="AK3" s="106"/>
      <x:c r="AL3" s="106"/>
      <x:c r="AM3" s="106"/>
      <x:c r="AN3" s="106"/>
      <x:c r="AO3" s="106"/>
      <x:c r="AP3" s="106"/>
      <x:c r="AQ3" s="106"/>
      <x:c r="AR3" s="106"/>
      <x:c r="AS3" s="106"/>
      <x:c r="AT3" s="106"/>
      <x:c r="AU3" s="106"/>
      <x:c r="AV3" s="106"/>
      <x:c r="AW3" s="106"/>
      <x:c r="AX3" s="106"/>
      <x:c r="AY3" s="106"/>
      <x:c r="AZ3" s="106"/>
      <x:c r="BA3" s="106"/>
    </x:row>
    <x:row r="4">
      <x:c r="A4" s="113" t="n">
        <x:v>1</x:v>
      </x:c>
      <x:c r="B4" s="111"/>
      <x:c r="C4" s="111"/>
      <x:c r="D4" s="111"/>
      <x:c r="E4" s="111"/>
      <x:c r="F4" s="111"/>
      <x:c r="G4" s="113" t="str">
        <x:f>IF(OR(E4="",F4=""),"",E4*F4)</x:f>
      </x:c>
      <x:c r="H4" s="113" t="str">
        <x:f>IF(G4="","",IF(G4&gt;=16,"Critical",IF(G4&gt;=10,"High",IF(G4&gt;=5,"Medium","Low"))))</x:f>
      </x:c>
      <x:c r="I4" s="111"/>
      <x:c r="J4" s="136"/>
      <x:c r="K4" s="113" t="str">
        <x:f>IF(C4="","",IF(I4="Closed","Closed",IF(J4="","No due date",IF(J4&lt;SETUP!$B$7,"Overdue",IF(J4&lt;=SETUP!$B$7+7,"Due ≤7 days","On Track")))))</x:f>
      </x:c>
      <x:c r="L4" s="111"/>
      <x:c r="M4" s="111"/>
      <x:c r="N4" s="106"/>
      <x:c r="O4" s="106"/>
      <x:c r="P4" s="106"/>
      <x:c r="Q4" s="106"/>
      <x:c r="R4" s="106"/>
      <x:c r="S4" s="106"/>
      <x:c r="T4" s="106"/>
      <x:c r="U4" s="106"/>
      <x:c r="V4" s="106"/>
      <x:c r="W4" s="106"/>
      <x:c r="X4" s="106"/>
      <x:c r="Y4" s="106"/>
      <x:c r="Z4" s="106"/>
      <x:c r="AA4" s="106"/>
      <x:c r="AB4" s="106"/>
      <x:c r="AC4" s="106"/>
      <x:c r="AD4" s="106"/>
      <x:c r="AE4" s="106"/>
      <x:c r="AF4" s="106"/>
      <x:c r="AG4" s="106"/>
      <x:c r="AH4" s="106"/>
      <x:c r="AI4" s="106"/>
      <x:c r="AJ4" s="106"/>
      <x:c r="AK4" s="106"/>
      <x:c r="AL4" s="106"/>
      <x:c r="AM4" s="106"/>
      <x:c r="AN4" s="106"/>
      <x:c r="AO4" s="106"/>
      <x:c r="AP4" s="106"/>
      <x:c r="AQ4" s="106"/>
      <x:c r="AR4" s="106"/>
      <x:c r="AS4" s="106"/>
      <x:c r="AT4" s="106"/>
      <x:c r="AU4" s="106"/>
      <x:c r="AV4" s="106"/>
      <x:c r="AW4" s="106"/>
      <x:c r="AX4" s="106"/>
      <x:c r="AY4" s="106"/>
      <x:c r="AZ4" s="106"/>
      <x:c r="BA4" s="106"/>
    </x:row>
    <x:row r="5">
      <x:c r="A5" s="113" t="n">
        <x:v>2</x:v>
      </x:c>
      <x:c r="B5" s="111"/>
      <x:c r="C5" s="111"/>
      <x:c r="D5" s="111"/>
      <x:c r="E5" s="111"/>
      <x:c r="F5" s="111"/>
      <x:c r="G5" s="113" t="str">
        <x:f>IF(OR(E5="",F5=""),"",E5*F5)</x:f>
      </x:c>
      <x:c r="H5" s="113" t="str">
        <x:f>IF(G5="","",IF(G5&gt;=16,"Critical",IF(G5&gt;=10,"High",IF(G5&gt;=5,"Medium","Low"))))</x:f>
      </x:c>
      <x:c r="I5" s="111"/>
      <x:c r="J5" s="136"/>
      <x:c r="K5" s="113" t="str">
        <x:f>IF(C5="","",IF(I5="Closed","Closed",IF(J5="","No due date",IF(J5&lt;SETUP!$B$7,"Overdue",IF(J5&lt;=SETUP!$B$7+7,"Due ≤7 days","On Track")))))</x:f>
      </x:c>
      <x:c r="L5" s="111"/>
      <x:c r="M5" s="111"/>
      <x:c r="N5" s="106"/>
      <x:c r="O5" s="106"/>
      <x:c r="P5" s="106"/>
      <x:c r="Q5" s="106"/>
      <x:c r="R5" s="106"/>
      <x:c r="S5" s="106"/>
      <x:c r="T5" s="106"/>
      <x:c r="U5" s="106"/>
      <x:c r="V5" s="106"/>
      <x:c r="W5" s="106"/>
      <x:c r="X5" s="106"/>
      <x:c r="Y5" s="106"/>
      <x:c r="Z5" s="106"/>
      <x:c r="AA5" s="106"/>
      <x:c r="AB5" s="106"/>
      <x:c r="AC5" s="106"/>
      <x:c r="AD5" s="106"/>
      <x:c r="AE5" s="106"/>
      <x:c r="AF5" s="106"/>
      <x:c r="AG5" s="106"/>
      <x:c r="AH5" s="106"/>
      <x:c r="AI5" s="106"/>
      <x:c r="AJ5" s="106"/>
      <x:c r="AK5" s="106"/>
      <x:c r="AL5" s="106"/>
      <x:c r="AM5" s="106"/>
      <x:c r="AN5" s="106"/>
      <x:c r="AO5" s="106"/>
      <x:c r="AP5" s="106"/>
      <x:c r="AQ5" s="106"/>
      <x:c r="AR5" s="106"/>
      <x:c r="AS5" s="106"/>
      <x:c r="AT5" s="106"/>
      <x:c r="AU5" s="106"/>
      <x:c r="AV5" s="106"/>
      <x:c r="AW5" s="106"/>
      <x:c r="AX5" s="106"/>
      <x:c r="AY5" s="106"/>
      <x:c r="AZ5" s="106"/>
      <x:c r="BA5" s="106"/>
    </x:row>
    <x:row r="6">
      <x:c r="A6" s="113" t="n">
        <x:v>3</x:v>
      </x:c>
      <x:c r="B6" s="111"/>
      <x:c r="C6" s="111"/>
      <x:c r="D6" s="111"/>
      <x:c r="E6" s="111"/>
      <x:c r="F6" s="111"/>
      <x:c r="G6" s="113" t="str">
        <x:f>IF(OR(E6="",F6=""),"",E6*F6)</x:f>
      </x:c>
      <x:c r="H6" s="113" t="str">
        <x:f>IF(G6="","",IF(G6&gt;=16,"Critical",IF(G6&gt;=10,"High",IF(G6&gt;=5,"Medium","Low"))))</x:f>
      </x:c>
      <x:c r="I6" s="111"/>
      <x:c r="J6" s="136"/>
      <x:c r="K6" s="113" t="str">
        <x:f>IF(C6="","",IF(I6="Closed","Closed",IF(J6="","No due date",IF(J6&lt;SETUP!$B$7,"Overdue",IF(J6&lt;=SETUP!$B$7+7,"Due ≤7 days","On Track")))))</x:f>
      </x:c>
      <x:c r="L6" s="111"/>
      <x:c r="M6" s="111"/>
      <x:c r="N6" s="106"/>
      <x:c r="O6" s="106"/>
      <x:c r="P6" s="106"/>
      <x:c r="Q6" s="106"/>
      <x:c r="R6" s="106"/>
      <x:c r="S6" s="106"/>
      <x:c r="T6" s="106"/>
      <x:c r="U6" s="106"/>
      <x:c r="V6" s="106"/>
      <x:c r="W6" s="106"/>
      <x:c r="X6" s="106"/>
      <x:c r="Y6" s="106"/>
      <x:c r="Z6" s="106"/>
      <x:c r="AA6" s="106"/>
      <x:c r="AB6" s="106"/>
      <x:c r="AC6" s="106"/>
      <x:c r="AD6" s="106"/>
      <x:c r="AE6" s="106"/>
      <x:c r="AF6" s="106"/>
      <x:c r="AG6" s="106"/>
      <x:c r="AH6" s="106"/>
      <x:c r="AI6" s="106"/>
      <x:c r="AJ6" s="106"/>
      <x:c r="AK6" s="106"/>
      <x:c r="AL6" s="106"/>
      <x:c r="AM6" s="106"/>
      <x:c r="AN6" s="106"/>
      <x:c r="AO6" s="106"/>
      <x:c r="AP6" s="106"/>
      <x:c r="AQ6" s="106"/>
      <x:c r="AR6" s="106"/>
      <x:c r="AS6" s="106"/>
      <x:c r="AT6" s="106"/>
      <x:c r="AU6" s="106"/>
      <x:c r="AV6" s="106"/>
      <x:c r="AW6" s="106"/>
      <x:c r="AX6" s="106"/>
      <x:c r="AY6" s="106"/>
      <x:c r="AZ6" s="106"/>
      <x:c r="BA6" s="106"/>
    </x:row>
    <x:row r="7">
      <x:c r="A7" s="113" t="n">
        <x:v>4</x:v>
      </x:c>
      <x:c r="B7" s="111"/>
      <x:c r="C7" s="111"/>
      <x:c r="D7" s="111"/>
      <x:c r="E7" s="111"/>
      <x:c r="F7" s="111"/>
      <x:c r="G7" s="113" t="str">
        <x:f>IF(OR(E7="",F7=""),"",E7*F7)</x:f>
      </x:c>
      <x:c r="H7" s="113" t="str">
        <x:f>IF(G7="","",IF(G7&gt;=16,"Critical",IF(G7&gt;=10,"High",IF(G7&gt;=5,"Medium","Low"))))</x:f>
      </x:c>
      <x:c r="I7" s="111"/>
      <x:c r="J7" s="136"/>
      <x:c r="K7" s="113" t="str">
        <x:f>IF(C7="","",IF(I7="Closed","Closed",IF(J7="","No due date",IF(J7&lt;SETUP!$B$7,"Overdue",IF(J7&lt;=SETUP!$B$7+7,"Due ≤7 days","On Track")))))</x:f>
      </x:c>
      <x:c r="L7" s="111"/>
      <x:c r="M7" s="111"/>
      <x:c r="N7" s="106"/>
      <x:c r="O7" s="106"/>
      <x:c r="P7" s="106"/>
      <x:c r="Q7" s="106"/>
      <x:c r="R7" s="106"/>
      <x:c r="S7" s="106"/>
      <x:c r="T7" s="106"/>
      <x:c r="U7" s="106"/>
      <x:c r="V7" s="106"/>
      <x:c r="W7" s="106"/>
      <x:c r="X7" s="106"/>
      <x:c r="Y7" s="106"/>
      <x:c r="Z7" s="106"/>
      <x:c r="AA7" s="106"/>
      <x:c r="AB7" s="106"/>
      <x:c r="AC7" s="106"/>
      <x:c r="AD7" s="106"/>
      <x:c r="AE7" s="106"/>
      <x:c r="AF7" s="106"/>
      <x:c r="AG7" s="106"/>
      <x:c r="AH7" s="106"/>
      <x:c r="AI7" s="106"/>
      <x:c r="AJ7" s="106"/>
      <x:c r="AK7" s="106"/>
      <x:c r="AL7" s="106"/>
      <x:c r="AM7" s="106"/>
      <x:c r="AN7" s="106"/>
      <x:c r="AO7" s="106"/>
      <x:c r="AP7" s="106"/>
      <x:c r="AQ7" s="106"/>
      <x:c r="AR7" s="106"/>
      <x:c r="AS7" s="106"/>
      <x:c r="AT7" s="106"/>
      <x:c r="AU7" s="106"/>
      <x:c r="AV7" s="106"/>
      <x:c r="AW7" s="106"/>
      <x:c r="AX7" s="106"/>
      <x:c r="AY7" s="106"/>
      <x:c r="AZ7" s="106"/>
      <x:c r="BA7" s="106"/>
    </x:row>
    <x:row r="8">
      <x:c r="A8" s="113" t="n">
        <x:v>5</x:v>
      </x:c>
      <x:c r="B8" s="111"/>
      <x:c r="C8" s="111"/>
      <x:c r="D8" s="111"/>
      <x:c r="E8" s="111"/>
      <x:c r="F8" s="111"/>
      <x:c r="G8" s="113" t="str">
        <x:f>IF(OR(E8="",F8=""),"",E8*F8)</x:f>
      </x:c>
      <x:c r="H8" s="113" t="str">
        <x:f>IF(G8="","",IF(G8&gt;=16,"Critical",IF(G8&gt;=10,"High",IF(G8&gt;=5,"Medium","Low"))))</x:f>
      </x:c>
      <x:c r="I8" s="111"/>
      <x:c r="J8" s="136"/>
      <x:c r="K8" s="113" t="str">
        <x:f>IF(C8="","",IF(I8="Closed","Closed",IF(J8="","No due date",IF(J8&lt;SETUP!$B$7,"Overdue",IF(J8&lt;=SETUP!$B$7+7,"Due ≤7 days","On Track")))))</x:f>
      </x:c>
      <x:c r="L8" s="111"/>
      <x:c r="M8" s="111"/>
      <x:c r="N8" s="106"/>
      <x:c r="O8" s="106"/>
      <x:c r="P8" s="106"/>
      <x:c r="Q8" s="106"/>
      <x:c r="R8" s="106"/>
      <x:c r="S8" s="106"/>
      <x:c r="T8" s="106"/>
      <x:c r="U8" s="106"/>
      <x:c r="V8" s="106"/>
      <x:c r="W8" s="106"/>
      <x:c r="X8" s="106"/>
      <x:c r="Y8" s="106"/>
      <x:c r="Z8" s="106"/>
      <x:c r="AA8" s="106"/>
      <x:c r="AB8" s="106"/>
      <x:c r="AC8" s="106"/>
      <x:c r="AD8" s="106"/>
      <x:c r="AE8" s="106"/>
      <x:c r="AF8" s="106"/>
      <x:c r="AG8" s="106"/>
      <x:c r="AH8" s="106"/>
      <x:c r="AI8" s="106"/>
      <x:c r="AJ8" s="106"/>
      <x:c r="AK8" s="106"/>
      <x:c r="AL8" s="106"/>
      <x:c r="AM8" s="106"/>
      <x:c r="AN8" s="106"/>
      <x:c r="AO8" s="106"/>
      <x:c r="AP8" s="106"/>
      <x:c r="AQ8" s="106"/>
      <x:c r="AR8" s="106"/>
      <x:c r="AS8" s="106"/>
      <x:c r="AT8" s="106"/>
      <x:c r="AU8" s="106"/>
      <x:c r="AV8" s="106"/>
      <x:c r="AW8" s="106"/>
      <x:c r="AX8" s="106"/>
      <x:c r="AY8" s="106"/>
      <x:c r="AZ8" s="106"/>
      <x:c r="BA8" s="106"/>
    </x:row>
    <x:row r="9">
      <x:c r="A9" s="113" t="n">
        <x:v>6</x:v>
      </x:c>
      <x:c r="B9" s="111"/>
      <x:c r="C9" s="111"/>
      <x:c r="D9" s="111"/>
      <x:c r="E9" s="111"/>
      <x:c r="F9" s="111"/>
      <x:c r="G9" s="113" t="str">
        <x:f>IF(OR(E9="",F9=""),"",E9*F9)</x:f>
      </x:c>
      <x:c r="H9" s="113" t="str">
        <x:f>IF(G9="","",IF(G9&gt;=16,"Critical",IF(G9&gt;=10,"High",IF(G9&gt;=5,"Medium","Low"))))</x:f>
      </x:c>
      <x:c r="I9" s="111"/>
      <x:c r="J9" s="136"/>
      <x:c r="K9" s="113" t="str">
        <x:f>IF(C9="","",IF(I9="Closed","Closed",IF(J9="","No due date",IF(J9&lt;SETUP!$B$7,"Overdue",IF(J9&lt;=SETUP!$B$7+7,"Due ≤7 days","On Track")))))</x:f>
      </x:c>
      <x:c r="L9" s="111"/>
      <x:c r="M9" s="111"/>
      <x:c r="N9" s="106"/>
      <x:c r="O9" s="106"/>
      <x:c r="P9" s="106"/>
      <x:c r="Q9" s="106"/>
      <x:c r="R9" s="106"/>
      <x:c r="S9" s="106"/>
      <x:c r="T9" s="106"/>
      <x:c r="U9" s="106"/>
      <x:c r="V9" s="106"/>
      <x:c r="W9" s="106"/>
      <x:c r="X9" s="106"/>
      <x:c r="Y9" s="106"/>
      <x:c r="Z9" s="106"/>
      <x:c r="AA9" s="106"/>
      <x:c r="AB9" s="106"/>
      <x:c r="AC9" s="106"/>
      <x:c r="AD9" s="106"/>
      <x:c r="AE9" s="106"/>
      <x:c r="AF9" s="106"/>
      <x:c r="AG9" s="106"/>
      <x:c r="AH9" s="106"/>
      <x:c r="AI9" s="106"/>
      <x:c r="AJ9" s="106"/>
      <x:c r="AK9" s="106"/>
      <x:c r="AL9" s="106"/>
      <x:c r="AM9" s="106"/>
      <x:c r="AN9" s="106"/>
      <x:c r="AO9" s="106"/>
      <x:c r="AP9" s="106"/>
      <x:c r="AQ9" s="106"/>
      <x:c r="AR9" s="106"/>
      <x:c r="AS9" s="106"/>
      <x:c r="AT9" s="106"/>
      <x:c r="AU9" s="106"/>
      <x:c r="AV9" s="106"/>
      <x:c r="AW9" s="106"/>
      <x:c r="AX9" s="106"/>
      <x:c r="AY9" s="106"/>
      <x:c r="AZ9" s="106"/>
      <x:c r="BA9" s="106"/>
    </x:row>
    <x:row r="10">
      <x:c r="A10" s="113" t="n">
        <x:v>7</x:v>
      </x:c>
      <x:c r="B10" s="111"/>
      <x:c r="C10" s="111"/>
      <x:c r="D10" s="111"/>
      <x:c r="E10" s="111"/>
      <x:c r="F10" s="111"/>
      <x:c r="G10" s="113" t="str">
        <x:f>IF(OR(E10="",F10=""),"",E10*F10)</x:f>
      </x:c>
      <x:c r="H10" s="113" t="str">
        <x:f>IF(G10="","",IF(G10&gt;=16,"Critical",IF(G10&gt;=10,"High",IF(G10&gt;=5,"Medium","Low"))))</x:f>
      </x:c>
      <x:c r="I10" s="111"/>
      <x:c r="J10" s="136"/>
      <x:c r="K10" s="113" t="str">
        <x:f>IF(C10="","",IF(I10="Closed","Closed",IF(J10="","No due date",IF(J10&lt;SETUP!$B$7,"Overdue",IF(J10&lt;=SETUP!$B$7+7,"Due ≤7 days","On Track")))))</x:f>
      </x:c>
      <x:c r="L10" s="111"/>
      <x:c r="M10" s="111"/>
      <x:c r="N10" s="106"/>
      <x:c r="O10" s="106"/>
      <x:c r="P10" s="106"/>
      <x:c r="Q10" s="106"/>
      <x:c r="R10" s="106"/>
      <x:c r="S10" s="106"/>
      <x:c r="T10" s="106"/>
      <x:c r="U10" s="106"/>
      <x:c r="V10" s="106"/>
      <x:c r="W10" s="106"/>
      <x:c r="X10" s="106"/>
      <x:c r="Y10" s="106"/>
      <x:c r="Z10" s="106"/>
      <x:c r="AA10" s="106"/>
      <x:c r="AB10" s="106"/>
      <x:c r="AC10" s="106"/>
      <x:c r="AD10" s="106"/>
      <x:c r="AE10" s="106"/>
      <x:c r="AF10" s="106"/>
      <x:c r="AG10" s="106"/>
      <x:c r="AH10" s="106"/>
      <x:c r="AI10" s="106"/>
      <x:c r="AJ10" s="106"/>
      <x:c r="AK10" s="106"/>
      <x:c r="AL10" s="106"/>
      <x:c r="AM10" s="106"/>
      <x:c r="AN10" s="106"/>
      <x:c r="AO10" s="106"/>
      <x:c r="AP10" s="106"/>
      <x:c r="AQ10" s="106"/>
      <x:c r="AR10" s="106"/>
      <x:c r="AS10" s="106"/>
      <x:c r="AT10" s="106"/>
      <x:c r="AU10" s="106"/>
      <x:c r="AV10" s="106"/>
      <x:c r="AW10" s="106"/>
      <x:c r="AX10" s="106"/>
      <x:c r="AY10" s="106"/>
      <x:c r="AZ10" s="106"/>
      <x:c r="BA10" s="106"/>
    </x:row>
    <x:row r="11">
      <x:c r="A11" s="113" t="n">
        <x:v>8</x:v>
      </x:c>
      <x:c r="B11" s="111"/>
      <x:c r="C11" s="111"/>
      <x:c r="D11" s="111"/>
      <x:c r="E11" s="111"/>
      <x:c r="F11" s="111"/>
      <x:c r="G11" s="113" t="str">
        <x:f>IF(OR(E11="",F11=""),"",E11*F11)</x:f>
      </x:c>
      <x:c r="H11" s="113" t="str">
        <x:f>IF(G11="","",IF(G11&gt;=16,"Critical",IF(G11&gt;=10,"High",IF(G11&gt;=5,"Medium","Low"))))</x:f>
      </x:c>
      <x:c r="I11" s="111"/>
      <x:c r="J11" s="136"/>
      <x:c r="K11" s="113" t="str">
        <x:f>IF(C11="","",IF(I11="Closed","Closed",IF(J11="","No due date",IF(J11&lt;SETUP!$B$7,"Overdue",IF(J11&lt;=SETUP!$B$7+7,"Due ≤7 days","On Track")))))</x:f>
      </x:c>
      <x:c r="L11" s="111"/>
      <x:c r="M11" s="111"/>
      <x:c r="N11" s="106"/>
      <x:c r="O11" s="106"/>
      <x:c r="P11" s="106"/>
      <x:c r="Q11" s="106"/>
      <x:c r="R11" s="106"/>
      <x:c r="S11" s="106"/>
      <x:c r="T11" s="106"/>
      <x:c r="U11" s="106"/>
      <x:c r="V11" s="106"/>
      <x:c r="W11" s="106"/>
      <x:c r="X11" s="106"/>
      <x:c r="Y11" s="106"/>
      <x:c r="Z11" s="106"/>
      <x:c r="AA11" s="106"/>
      <x:c r="AB11" s="106"/>
      <x:c r="AC11" s="106"/>
      <x:c r="AD11" s="106"/>
      <x:c r="AE11" s="106"/>
      <x:c r="AF11" s="106"/>
      <x:c r="AG11" s="106"/>
      <x:c r="AH11" s="106"/>
      <x:c r="AI11" s="106"/>
      <x:c r="AJ11" s="106"/>
      <x:c r="AK11" s="106"/>
      <x:c r="AL11" s="106"/>
      <x:c r="AM11" s="106"/>
      <x:c r="AN11" s="106"/>
      <x:c r="AO11" s="106"/>
      <x:c r="AP11" s="106"/>
      <x:c r="AQ11" s="106"/>
      <x:c r="AR11" s="106"/>
      <x:c r="AS11" s="106"/>
      <x:c r="AT11" s="106"/>
      <x:c r="AU11" s="106"/>
      <x:c r="AV11" s="106"/>
      <x:c r="AW11" s="106"/>
      <x:c r="AX11" s="106"/>
      <x:c r="AY11" s="106"/>
      <x:c r="AZ11" s="106"/>
      <x:c r="BA11" s="106"/>
    </x:row>
    <x:row r="12">
      <x:c r="A12" s="113" t="n">
        <x:v>9</x:v>
      </x:c>
      <x:c r="B12" s="111"/>
      <x:c r="C12" s="111"/>
      <x:c r="D12" s="111"/>
      <x:c r="E12" s="111"/>
      <x:c r="F12" s="111"/>
      <x:c r="G12" s="113" t="str">
        <x:f>IF(OR(E12="",F12=""),"",E12*F12)</x:f>
      </x:c>
      <x:c r="H12" s="113" t="str">
        <x:f>IF(G12="","",IF(G12&gt;=16,"Critical",IF(G12&gt;=10,"High",IF(G12&gt;=5,"Medium","Low"))))</x:f>
      </x:c>
      <x:c r="I12" s="111"/>
      <x:c r="J12" s="136"/>
      <x:c r="K12" s="113" t="str">
        <x:f>IF(C12="","",IF(I12="Closed","Closed",IF(J12="","No due date",IF(J12&lt;SETUP!$B$7,"Overdue",IF(J12&lt;=SETUP!$B$7+7,"Due ≤7 days","On Track")))))</x:f>
      </x:c>
      <x:c r="L12" s="111"/>
      <x:c r="M12" s="111"/>
      <x:c r="N12" s="106"/>
      <x:c r="O12" s="106"/>
      <x:c r="P12" s="106"/>
      <x:c r="Q12" s="106"/>
      <x:c r="R12" s="106"/>
      <x:c r="S12" s="106"/>
      <x:c r="T12" s="106"/>
      <x:c r="U12" s="106"/>
      <x:c r="V12" s="106"/>
      <x:c r="W12" s="106"/>
      <x:c r="X12" s="106"/>
      <x:c r="Y12" s="106"/>
      <x:c r="Z12" s="106"/>
      <x:c r="AA12" s="106"/>
      <x:c r="AB12" s="106"/>
      <x:c r="AC12" s="106"/>
      <x:c r="AD12" s="106"/>
      <x:c r="AE12" s="106"/>
      <x:c r="AF12" s="106"/>
      <x:c r="AG12" s="106"/>
      <x:c r="AH12" s="106"/>
      <x:c r="AI12" s="106"/>
      <x:c r="AJ12" s="106"/>
      <x:c r="AK12" s="106"/>
      <x:c r="AL12" s="106"/>
      <x:c r="AM12" s="106"/>
      <x:c r="AN12" s="106"/>
      <x:c r="AO12" s="106"/>
      <x:c r="AP12" s="106"/>
      <x:c r="AQ12" s="106"/>
      <x:c r="AR12" s="106"/>
      <x:c r="AS12" s="106"/>
      <x:c r="AT12" s="106"/>
      <x:c r="AU12" s="106"/>
      <x:c r="AV12" s="106"/>
      <x:c r="AW12" s="106"/>
      <x:c r="AX12" s="106"/>
      <x:c r="AY12" s="106"/>
      <x:c r="AZ12" s="106"/>
      <x:c r="BA12" s="106"/>
    </x:row>
    <x:row r="13">
      <x:c r="A13" s="113" t="n">
        <x:v>10</x:v>
      </x:c>
      <x:c r="B13" s="111"/>
      <x:c r="C13" s="111"/>
      <x:c r="D13" s="111"/>
      <x:c r="E13" s="111"/>
      <x:c r="F13" s="111"/>
      <x:c r="G13" s="113" t="str">
        <x:f>IF(OR(E13="",F13=""),"",E13*F13)</x:f>
      </x:c>
      <x:c r="H13" s="113" t="str">
        <x:f>IF(G13="","",IF(G13&gt;=16,"Critical",IF(G13&gt;=10,"High",IF(G13&gt;=5,"Medium","Low"))))</x:f>
      </x:c>
      <x:c r="I13" s="111"/>
      <x:c r="J13" s="136"/>
      <x:c r="K13" s="113" t="str">
        <x:f>IF(C13="","",IF(I13="Closed","Closed",IF(J13="","No due date",IF(J13&lt;SETUP!$B$7,"Overdue",IF(J13&lt;=SETUP!$B$7+7,"Due ≤7 days","On Track")))))</x:f>
      </x:c>
      <x:c r="L13" s="111"/>
      <x:c r="M13" s="111"/>
      <x:c r="N13" s="106"/>
      <x:c r="O13" s="106"/>
      <x:c r="P13" s="106"/>
      <x:c r="Q13" s="106"/>
      <x:c r="R13" s="106"/>
      <x:c r="S13" s="106"/>
      <x:c r="T13" s="106"/>
      <x:c r="U13" s="106"/>
      <x:c r="V13" s="106"/>
      <x:c r="W13" s="106"/>
      <x:c r="X13" s="106"/>
      <x:c r="Y13" s="106"/>
      <x:c r="Z13" s="106"/>
      <x:c r="AA13" s="106"/>
      <x:c r="AB13" s="106"/>
      <x:c r="AC13" s="106"/>
      <x:c r="AD13" s="106"/>
      <x:c r="AE13" s="106"/>
      <x:c r="AF13" s="106"/>
      <x:c r="AG13" s="106"/>
      <x:c r="AH13" s="106"/>
      <x:c r="AI13" s="106"/>
      <x:c r="AJ13" s="106"/>
      <x:c r="AK13" s="106"/>
      <x:c r="AL13" s="106"/>
      <x:c r="AM13" s="106"/>
      <x:c r="AN13" s="106"/>
      <x:c r="AO13" s="106"/>
      <x:c r="AP13" s="106"/>
      <x:c r="AQ13" s="106"/>
      <x:c r="AR13" s="106"/>
      <x:c r="AS13" s="106"/>
      <x:c r="AT13" s="106"/>
      <x:c r="AU13" s="106"/>
      <x:c r="AV13" s="106"/>
      <x:c r="AW13" s="106"/>
      <x:c r="AX13" s="106"/>
      <x:c r="AY13" s="106"/>
      <x:c r="AZ13" s="106"/>
      <x:c r="BA13" s="106"/>
    </x:row>
    <x:row r="14">
      <x:c r="A14" s="113" t="n">
        <x:v>11</x:v>
      </x:c>
      <x:c r="B14" s="111"/>
      <x:c r="C14" s="111"/>
      <x:c r="D14" s="111"/>
      <x:c r="E14" s="111"/>
      <x:c r="F14" s="111"/>
      <x:c r="G14" s="113" t="str">
        <x:f>IF(OR(E14="",F14=""),"",E14*F14)</x:f>
      </x:c>
      <x:c r="H14" s="113" t="str">
        <x:f>IF(G14="","",IF(G14&gt;=16,"Critical",IF(G14&gt;=10,"High",IF(G14&gt;=5,"Medium","Low"))))</x:f>
      </x:c>
      <x:c r="I14" s="111"/>
      <x:c r="J14" s="136"/>
      <x:c r="K14" s="113" t="str">
        <x:f>IF(C14="","",IF(I14="Closed","Closed",IF(J14="","No due date",IF(J14&lt;SETUP!$B$7,"Overdue",IF(J14&lt;=SETUP!$B$7+7,"Due ≤7 days","On Track")))))</x:f>
      </x:c>
      <x:c r="L14" s="111"/>
      <x:c r="M14" s="111"/>
      <x:c r="N14" s="106"/>
      <x:c r="O14" s="106"/>
      <x:c r="P14" s="106"/>
      <x:c r="Q14" s="106"/>
      <x:c r="R14" s="106"/>
      <x:c r="S14" s="106"/>
      <x:c r="T14" s="106"/>
      <x:c r="U14" s="106"/>
      <x:c r="V14" s="106"/>
      <x:c r="W14" s="106"/>
      <x:c r="X14" s="106"/>
      <x:c r="Y14" s="106"/>
      <x:c r="Z14" s="106"/>
      <x:c r="AA14" s="106"/>
      <x:c r="AB14" s="106"/>
      <x:c r="AC14" s="106"/>
      <x:c r="AD14" s="106"/>
      <x:c r="AE14" s="106"/>
      <x:c r="AF14" s="106"/>
      <x:c r="AG14" s="106"/>
      <x:c r="AH14" s="106"/>
      <x:c r="AI14" s="106"/>
      <x:c r="AJ14" s="106"/>
      <x:c r="AK14" s="106"/>
      <x:c r="AL14" s="106"/>
      <x:c r="AM14" s="106"/>
      <x:c r="AN14" s="106"/>
      <x:c r="AO14" s="106"/>
      <x:c r="AP14" s="106"/>
      <x:c r="AQ14" s="106"/>
      <x:c r="AR14" s="106"/>
      <x:c r="AS14" s="106"/>
      <x:c r="AT14" s="106"/>
      <x:c r="AU14" s="106"/>
      <x:c r="AV14" s="106"/>
      <x:c r="AW14" s="106"/>
      <x:c r="AX14" s="106"/>
      <x:c r="AY14" s="106"/>
      <x:c r="AZ14" s="106"/>
      <x:c r="BA14" s="106"/>
    </x:row>
    <x:row r="15">
      <x:c r="A15" s="113" t="n">
        <x:v>12</x:v>
      </x:c>
      <x:c r="B15" s="111"/>
      <x:c r="C15" s="111"/>
      <x:c r="D15" s="111"/>
      <x:c r="E15" s="111"/>
      <x:c r="F15" s="111"/>
      <x:c r="G15" s="113" t="str">
        <x:f>IF(OR(E15="",F15=""),"",E15*F15)</x:f>
      </x:c>
      <x:c r="H15" s="113" t="str">
        <x:f>IF(G15="","",IF(G15&gt;=16,"Critical",IF(G15&gt;=10,"High",IF(G15&gt;=5,"Medium","Low"))))</x:f>
      </x:c>
      <x:c r="I15" s="111"/>
      <x:c r="J15" s="136"/>
      <x:c r="K15" s="113" t="str">
        <x:f>IF(C15="","",IF(I15="Closed","Closed",IF(J15="","No due date",IF(J15&lt;SETUP!$B$7,"Overdue",IF(J15&lt;=SETUP!$B$7+7,"Due ≤7 days","On Track")))))</x:f>
      </x:c>
      <x:c r="L15" s="111"/>
      <x:c r="M15" s="111"/>
      <x:c r="N15" s="106"/>
      <x:c r="O15" s="106"/>
      <x:c r="P15" s="106"/>
      <x:c r="Q15" s="106"/>
      <x:c r="R15" s="106"/>
      <x:c r="S15" s="106"/>
      <x:c r="T15" s="106"/>
      <x:c r="U15" s="106"/>
      <x:c r="V15" s="106"/>
      <x:c r="W15" s="106"/>
      <x:c r="X15" s="106"/>
      <x:c r="Y15" s="106"/>
      <x:c r="Z15" s="106"/>
      <x:c r="AA15" s="106"/>
      <x:c r="AB15" s="106"/>
      <x:c r="AC15" s="106"/>
      <x:c r="AD15" s="106"/>
      <x:c r="AE15" s="106"/>
      <x:c r="AF15" s="106"/>
      <x:c r="AG15" s="106"/>
      <x:c r="AH15" s="106"/>
      <x:c r="AI15" s="106"/>
      <x:c r="AJ15" s="106"/>
      <x:c r="AK15" s="106"/>
      <x:c r="AL15" s="106"/>
      <x:c r="AM15" s="106"/>
      <x:c r="AN15" s="106"/>
      <x:c r="AO15" s="106"/>
      <x:c r="AP15" s="106"/>
      <x:c r="AQ15" s="106"/>
      <x:c r="AR15" s="106"/>
      <x:c r="AS15" s="106"/>
      <x:c r="AT15" s="106"/>
      <x:c r="AU15" s="106"/>
      <x:c r="AV15" s="106"/>
      <x:c r="AW15" s="106"/>
      <x:c r="AX15" s="106"/>
      <x:c r="AY15" s="106"/>
      <x:c r="AZ15" s="106"/>
      <x:c r="BA15" s="106"/>
    </x:row>
    <x:row r="16">
      <x:c r="A16" s="113" t="n">
        <x:v>13</x:v>
      </x:c>
      <x:c r="B16" s="111"/>
      <x:c r="C16" s="111"/>
      <x:c r="D16" s="111"/>
      <x:c r="E16" s="111"/>
      <x:c r="F16" s="111"/>
      <x:c r="G16" s="113" t="str">
        <x:f>IF(OR(E16="",F16=""),"",E16*F16)</x:f>
      </x:c>
      <x:c r="H16" s="113" t="str">
        <x:f>IF(G16="","",IF(G16&gt;=16,"Critical",IF(G16&gt;=10,"High",IF(G16&gt;=5,"Medium","Low"))))</x:f>
      </x:c>
      <x:c r="I16" s="111"/>
      <x:c r="J16" s="136"/>
      <x:c r="K16" s="113" t="str">
        <x:f>IF(C16="","",IF(I16="Closed","Closed",IF(J16="","No due date",IF(J16&lt;SETUP!$B$7,"Overdue",IF(J16&lt;=SETUP!$B$7+7,"Due ≤7 days","On Track")))))</x:f>
      </x:c>
      <x:c r="L16" s="111"/>
      <x:c r="M16" s="111"/>
      <x:c r="N16" s="106"/>
      <x:c r="O16" s="106"/>
      <x:c r="P16" s="106"/>
      <x:c r="Q16" s="106"/>
      <x:c r="R16" s="106"/>
      <x:c r="S16" s="106"/>
      <x:c r="T16" s="106"/>
      <x:c r="U16" s="106"/>
      <x:c r="V16" s="106"/>
      <x:c r="W16" s="106"/>
      <x:c r="X16" s="106"/>
      <x:c r="Y16" s="106"/>
      <x:c r="Z16" s="106"/>
      <x:c r="AA16" s="106"/>
      <x:c r="AB16" s="106"/>
      <x:c r="AC16" s="106"/>
      <x:c r="AD16" s="106"/>
      <x:c r="AE16" s="106"/>
      <x:c r="AF16" s="106"/>
      <x:c r="AG16" s="106"/>
      <x:c r="AH16" s="106"/>
      <x:c r="AI16" s="106"/>
      <x:c r="AJ16" s="106"/>
      <x:c r="AK16" s="106"/>
      <x:c r="AL16" s="106"/>
      <x:c r="AM16" s="106"/>
      <x:c r="AN16" s="106"/>
      <x:c r="AO16" s="106"/>
      <x:c r="AP16" s="106"/>
      <x:c r="AQ16" s="106"/>
      <x:c r="AR16" s="106"/>
      <x:c r="AS16" s="106"/>
      <x:c r="AT16" s="106"/>
      <x:c r="AU16" s="106"/>
      <x:c r="AV16" s="106"/>
      <x:c r="AW16" s="106"/>
      <x:c r="AX16" s="106"/>
      <x:c r="AY16" s="106"/>
      <x:c r="AZ16" s="106"/>
      <x:c r="BA16" s="106"/>
    </x:row>
    <x:row r="17">
      <x:c r="A17" s="113" t="n">
        <x:v>14</x:v>
      </x:c>
      <x:c r="B17" s="111"/>
      <x:c r="C17" s="111"/>
      <x:c r="D17" s="111"/>
      <x:c r="E17" s="111"/>
      <x:c r="F17" s="111"/>
      <x:c r="G17" s="113" t="str">
        <x:f>IF(OR(E17="",F17=""),"",E17*F17)</x:f>
      </x:c>
      <x:c r="H17" s="113" t="str">
        <x:f>IF(G17="","",IF(G17&gt;=16,"Critical",IF(G17&gt;=10,"High",IF(G17&gt;=5,"Medium","Low"))))</x:f>
      </x:c>
      <x:c r="I17" s="111"/>
      <x:c r="J17" s="136"/>
      <x:c r="K17" s="113" t="str">
        <x:f>IF(C17="","",IF(I17="Closed","Closed",IF(J17="","No due date",IF(J17&lt;SETUP!$B$7,"Overdue",IF(J17&lt;=SETUP!$B$7+7,"Due ≤7 days","On Track")))))</x:f>
      </x:c>
      <x:c r="L17" s="111"/>
      <x:c r="M17" s="111"/>
      <x:c r="N17" s="106"/>
      <x:c r="O17" s="106"/>
      <x:c r="P17" s="106"/>
      <x:c r="Q17" s="106"/>
      <x:c r="R17" s="106"/>
      <x:c r="S17" s="106"/>
      <x:c r="T17" s="106"/>
      <x:c r="U17" s="106"/>
      <x:c r="V17" s="106"/>
      <x:c r="W17" s="106"/>
      <x:c r="X17" s="106"/>
      <x:c r="Y17" s="106"/>
      <x:c r="Z17" s="106"/>
      <x:c r="AA17" s="106"/>
      <x:c r="AB17" s="106"/>
      <x:c r="AC17" s="106"/>
      <x:c r="AD17" s="106"/>
      <x:c r="AE17" s="106"/>
      <x:c r="AF17" s="106"/>
      <x:c r="AG17" s="106"/>
      <x:c r="AH17" s="106"/>
      <x:c r="AI17" s="106"/>
      <x:c r="AJ17" s="106"/>
      <x:c r="AK17" s="106"/>
      <x:c r="AL17" s="106"/>
      <x:c r="AM17" s="106"/>
      <x:c r="AN17" s="106"/>
      <x:c r="AO17" s="106"/>
      <x:c r="AP17" s="106"/>
      <x:c r="AQ17" s="106"/>
      <x:c r="AR17" s="106"/>
      <x:c r="AS17" s="106"/>
      <x:c r="AT17" s="106"/>
      <x:c r="AU17" s="106"/>
      <x:c r="AV17" s="106"/>
      <x:c r="AW17" s="106"/>
      <x:c r="AX17" s="106"/>
      <x:c r="AY17" s="106"/>
      <x:c r="AZ17" s="106"/>
      <x:c r="BA17" s="106"/>
    </x:row>
    <x:row r="18">
      <x:c r="A18" s="113" t="n">
        <x:v>15</x:v>
      </x:c>
      <x:c r="B18" s="111"/>
      <x:c r="C18" s="111"/>
      <x:c r="D18" s="111"/>
      <x:c r="E18" s="111"/>
      <x:c r="F18" s="111"/>
      <x:c r="G18" s="113" t="str">
        <x:f>IF(OR(E18="",F18=""),"",E18*F18)</x:f>
      </x:c>
      <x:c r="H18" s="113" t="str">
        <x:f>IF(G18="","",IF(G18&gt;=16,"Critical",IF(G18&gt;=10,"High",IF(G18&gt;=5,"Medium","Low"))))</x:f>
      </x:c>
      <x:c r="I18" s="111"/>
      <x:c r="J18" s="136"/>
      <x:c r="K18" s="113" t="str">
        <x:f>IF(C18="","",IF(I18="Closed","Closed",IF(J18="","No due date",IF(J18&lt;SETUP!$B$7,"Overdue",IF(J18&lt;=SETUP!$B$7+7,"Due ≤7 days","On Track")))))</x:f>
      </x:c>
      <x:c r="L18" s="111"/>
      <x:c r="M18" s="111"/>
      <x:c r="N18" s="106"/>
      <x:c r="O18" s="106"/>
      <x:c r="P18" s="106"/>
      <x:c r="Q18" s="106"/>
      <x:c r="R18" s="106"/>
      <x:c r="S18" s="106"/>
      <x:c r="T18" s="106"/>
      <x:c r="U18" s="106"/>
      <x:c r="V18" s="106"/>
      <x:c r="W18" s="106"/>
      <x:c r="X18" s="106"/>
      <x:c r="Y18" s="106"/>
      <x:c r="Z18" s="106"/>
      <x:c r="AA18" s="106"/>
      <x:c r="AB18" s="106"/>
      <x:c r="AC18" s="106"/>
      <x:c r="AD18" s="106"/>
      <x:c r="AE18" s="106"/>
      <x:c r="AF18" s="106"/>
      <x:c r="AG18" s="106"/>
      <x:c r="AH18" s="106"/>
      <x:c r="AI18" s="106"/>
      <x:c r="AJ18" s="106"/>
      <x:c r="AK18" s="106"/>
      <x:c r="AL18" s="106"/>
      <x:c r="AM18" s="106"/>
      <x:c r="AN18" s="106"/>
      <x:c r="AO18" s="106"/>
      <x:c r="AP18" s="106"/>
      <x:c r="AQ18" s="106"/>
      <x:c r="AR18" s="106"/>
      <x:c r="AS18" s="106"/>
      <x:c r="AT18" s="106"/>
      <x:c r="AU18" s="106"/>
      <x:c r="AV18" s="106"/>
      <x:c r="AW18" s="106"/>
      <x:c r="AX18" s="106"/>
      <x:c r="AY18" s="106"/>
      <x:c r="AZ18" s="106"/>
      <x:c r="BA18" s="106"/>
    </x:row>
    <x:row r="19">
      <x:c r="A19" s="113" t="n">
        <x:v>16</x:v>
      </x:c>
      <x:c r="B19" s="111"/>
      <x:c r="C19" s="111"/>
      <x:c r="D19" s="111"/>
      <x:c r="E19" s="111"/>
      <x:c r="F19" s="111"/>
      <x:c r="G19" s="113" t="str">
        <x:f>IF(OR(E19="",F19=""),"",E19*F19)</x:f>
      </x:c>
      <x:c r="H19" s="113" t="str">
        <x:f>IF(G19="","",IF(G19&gt;=16,"Critical",IF(G19&gt;=10,"High",IF(G19&gt;=5,"Medium","Low"))))</x:f>
      </x:c>
      <x:c r="I19" s="111"/>
      <x:c r="J19" s="136"/>
      <x:c r="K19" s="113" t="str">
        <x:f>IF(C19="","",IF(I19="Closed","Closed",IF(J19="","No due date",IF(J19&lt;SETUP!$B$7,"Overdue",IF(J19&lt;=SETUP!$B$7+7,"Due ≤7 days","On Track")))))</x:f>
      </x:c>
      <x:c r="L19" s="111"/>
      <x:c r="M19" s="111"/>
      <x:c r="N19" s="106"/>
      <x:c r="O19" s="106"/>
      <x:c r="P19" s="106"/>
      <x:c r="Q19" s="106"/>
      <x:c r="R19" s="106"/>
      <x:c r="S19" s="106"/>
      <x:c r="T19" s="106"/>
      <x:c r="U19" s="106"/>
      <x:c r="V19" s="106"/>
      <x:c r="W19" s="106"/>
      <x:c r="X19" s="106"/>
      <x:c r="Y19" s="106"/>
      <x:c r="Z19" s="106"/>
      <x:c r="AA19" s="106"/>
      <x:c r="AB19" s="106"/>
      <x:c r="AC19" s="106"/>
      <x:c r="AD19" s="106"/>
      <x:c r="AE19" s="106"/>
      <x:c r="AF19" s="106"/>
      <x:c r="AG19" s="106"/>
      <x:c r="AH19" s="106"/>
      <x:c r="AI19" s="106"/>
      <x:c r="AJ19" s="106"/>
      <x:c r="AK19" s="106"/>
      <x:c r="AL19" s="106"/>
      <x:c r="AM19" s="106"/>
      <x:c r="AN19" s="106"/>
      <x:c r="AO19" s="106"/>
      <x:c r="AP19" s="106"/>
      <x:c r="AQ19" s="106"/>
      <x:c r="AR19" s="106"/>
      <x:c r="AS19" s="106"/>
      <x:c r="AT19" s="106"/>
      <x:c r="AU19" s="106"/>
      <x:c r="AV19" s="106"/>
      <x:c r="AW19" s="106"/>
      <x:c r="AX19" s="106"/>
      <x:c r="AY19" s="106"/>
      <x:c r="AZ19" s="106"/>
      <x:c r="BA19" s="106"/>
    </x:row>
    <x:row r="20">
      <x:c r="A20" s="113" t="n">
        <x:v>17</x:v>
      </x:c>
      <x:c r="B20" s="111"/>
      <x:c r="C20" s="111"/>
      <x:c r="D20" s="111"/>
      <x:c r="E20" s="111"/>
      <x:c r="F20" s="111"/>
      <x:c r="G20" s="113" t="str">
        <x:f>IF(OR(E20="",F20=""),"",E20*F20)</x:f>
      </x:c>
      <x:c r="H20" s="113" t="str">
        <x:f>IF(G20="","",IF(G20&gt;=16,"Critical",IF(G20&gt;=10,"High",IF(G20&gt;=5,"Medium","Low"))))</x:f>
      </x:c>
      <x:c r="I20" s="111"/>
      <x:c r="J20" s="136"/>
      <x:c r="K20" s="113" t="str">
        <x:f>IF(C20="","",IF(I20="Closed","Closed",IF(J20="","No due date",IF(J20&lt;SETUP!$B$7,"Overdue",IF(J20&lt;=SETUP!$B$7+7,"Due ≤7 days","On Track")))))</x:f>
      </x:c>
      <x:c r="L20" s="111"/>
      <x:c r="M20" s="111"/>
      <x:c r="N20" s="106"/>
      <x:c r="O20" s="106"/>
      <x:c r="P20" s="106"/>
      <x:c r="Q20" s="106"/>
      <x:c r="R20" s="106"/>
      <x:c r="S20" s="106"/>
      <x:c r="T20" s="106"/>
      <x:c r="U20" s="106"/>
      <x:c r="V20" s="106"/>
      <x:c r="W20" s="106"/>
      <x:c r="X20" s="106"/>
      <x:c r="Y20" s="106"/>
      <x:c r="Z20" s="106"/>
      <x:c r="AA20" s="106"/>
      <x:c r="AB20" s="106"/>
      <x:c r="AC20" s="106"/>
      <x:c r="AD20" s="106"/>
      <x:c r="AE20" s="106"/>
      <x:c r="AF20" s="106"/>
      <x:c r="AG20" s="106"/>
      <x:c r="AH20" s="106"/>
      <x:c r="AI20" s="106"/>
      <x:c r="AJ20" s="106"/>
      <x:c r="AK20" s="106"/>
      <x:c r="AL20" s="106"/>
      <x:c r="AM20" s="106"/>
      <x:c r="AN20" s="106"/>
      <x:c r="AO20" s="106"/>
      <x:c r="AP20" s="106"/>
      <x:c r="AQ20" s="106"/>
      <x:c r="AR20" s="106"/>
      <x:c r="AS20" s="106"/>
      <x:c r="AT20" s="106"/>
      <x:c r="AU20" s="106"/>
      <x:c r="AV20" s="106"/>
      <x:c r="AW20" s="106"/>
      <x:c r="AX20" s="106"/>
      <x:c r="AY20" s="106"/>
      <x:c r="AZ20" s="106"/>
      <x:c r="BA20" s="106"/>
    </x:row>
    <x:row r="21">
      <x:c r="A21" s="113" t="n">
        <x:v>18</x:v>
      </x:c>
      <x:c r="B21" s="111"/>
      <x:c r="C21" s="111"/>
      <x:c r="D21" s="111"/>
      <x:c r="E21" s="111"/>
      <x:c r="F21" s="111"/>
      <x:c r="G21" s="113" t="str">
        <x:f>IF(OR(E21="",F21=""),"",E21*F21)</x:f>
      </x:c>
      <x:c r="H21" s="113" t="str">
        <x:f>IF(G21="","",IF(G21&gt;=16,"Critical",IF(G21&gt;=10,"High",IF(G21&gt;=5,"Medium","Low"))))</x:f>
      </x:c>
      <x:c r="I21" s="111"/>
      <x:c r="J21" s="136"/>
      <x:c r="K21" s="113" t="str">
        <x:f>IF(C21="","",IF(I21="Closed","Closed",IF(J21="","No due date",IF(J21&lt;SETUP!$B$7,"Overdue",IF(J21&lt;=SETUP!$B$7+7,"Due ≤7 days","On Track")))))</x:f>
      </x:c>
      <x:c r="L21" s="111"/>
      <x:c r="M21" s="111"/>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c r="AO21" s="106"/>
      <x:c r="AP21" s="106"/>
      <x:c r="AQ21" s="106"/>
      <x:c r="AR21" s="106"/>
      <x:c r="AS21" s="106"/>
      <x:c r="AT21" s="106"/>
      <x:c r="AU21" s="106"/>
      <x:c r="AV21" s="106"/>
      <x:c r="AW21" s="106"/>
      <x:c r="AX21" s="106"/>
      <x:c r="AY21" s="106"/>
      <x:c r="AZ21" s="106"/>
      <x:c r="BA21" s="106"/>
    </x:row>
    <x:row r="22">
      <x:c r="A22" s="113" t="n">
        <x:v>19</x:v>
      </x:c>
      <x:c r="B22" s="111"/>
      <x:c r="C22" s="111"/>
      <x:c r="D22" s="111"/>
      <x:c r="E22" s="111"/>
      <x:c r="F22" s="111"/>
      <x:c r="G22" s="113" t="str">
        <x:f>IF(OR(E22="",F22=""),"",E22*F22)</x:f>
      </x:c>
      <x:c r="H22" s="113" t="str">
        <x:f>IF(G22="","",IF(G22&gt;=16,"Critical",IF(G22&gt;=10,"High",IF(G22&gt;=5,"Medium","Low"))))</x:f>
      </x:c>
      <x:c r="I22" s="111"/>
      <x:c r="J22" s="136"/>
      <x:c r="K22" s="113" t="str">
        <x:f>IF(C22="","",IF(I22="Closed","Closed",IF(J22="","No due date",IF(J22&lt;SETUP!$B$7,"Overdue",IF(J22&lt;=SETUP!$B$7+7,"Due ≤7 days","On Track")))))</x:f>
      </x:c>
      <x:c r="L22" s="111"/>
      <x:c r="M22" s="111"/>
      <x:c r="N22" s="106"/>
      <x:c r="O22" s="106"/>
      <x:c r="P22" s="106"/>
      <x:c r="Q22" s="106"/>
      <x:c r="R22" s="106"/>
      <x:c r="S22" s="106"/>
      <x:c r="T22" s="106"/>
      <x:c r="U22" s="106"/>
      <x:c r="V22" s="106"/>
      <x:c r="W22" s="106"/>
      <x:c r="X22" s="106"/>
      <x:c r="Y22" s="106"/>
      <x:c r="Z22" s="106"/>
      <x:c r="AA22" s="106"/>
      <x:c r="AB22" s="106"/>
      <x:c r="AC22" s="106"/>
      <x:c r="AD22" s="106"/>
      <x:c r="AE22" s="106"/>
      <x:c r="AF22" s="106"/>
      <x:c r="AG22" s="106"/>
      <x:c r="AH22" s="106"/>
      <x:c r="AI22" s="106"/>
      <x:c r="AJ22" s="106"/>
      <x:c r="AK22" s="106"/>
      <x:c r="AL22" s="106"/>
      <x:c r="AM22" s="106"/>
      <x:c r="AN22" s="106"/>
      <x:c r="AO22" s="106"/>
      <x:c r="AP22" s="106"/>
      <x:c r="AQ22" s="106"/>
      <x:c r="AR22" s="106"/>
      <x:c r="AS22" s="106"/>
      <x:c r="AT22" s="106"/>
      <x:c r="AU22" s="106"/>
      <x:c r="AV22" s="106"/>
      <x:c r="AW22" s="106"/>
      <x:c r="AX22" s="106"/>
      <x:c r="AY22" s="106"/>
      <x:c r="AZ22" s="106"/>
      <x:c r="BA22" s="106"/>
    </x:row>
    <x:row r="23">
      <x:c r="A23" s="113" t="n">
        <x:v>20</x:v>
      </x:c>
      <x:c r="B23" s="111"/>
      <x:c r="C23" s="111"/>
      <x:c r="D23" s="111"/>
      <x:c r="E23" s="111"/>
      <x:c r="F23" s="111"/>
      <x:c r="G23" s="113" t="str">
        <x:f>IF(OR(E23="",F23=""),"",E23*F23)</x:f>
      </x:c>
      <x:c r="H23" s="113" t="str">
        <x:f>IF(G23="","",IF(G23&gt;=16,"Critical",IF(G23&gt;=10,"High",IF(G23&gt;=5,"Medium","Low"))))</x:f>
      </x:c>
      <x:c r="I23" s="111"/>
      <x:c r="J23" s="136"/>
      <x:c r="K23" s="113" t="str">
        <x:f>IF(C23="","",IF(I23="Closed","Closed",IF(J23="","No due date",IF(J23&lt;SETUP!$B$7,"Overdue",IF(J23&lt;=SETUP!$B$7+7,"Due ≤7 days","On Track")))))</x:f>
      </x:c>
      <x:c r="L23" s="111"/>
      <x:c r="M23" s="111"/>
      <x:c r="N23" s="106"/>
      <x:c r="O23" s="106"/>
      <x:c r="P23" s="106"/>
      <x:c r="Q23" s="106"/>
      <x:c r="R23" s="106"/>
      <x:c r="S23" s="106"/>
      <x:c r="T23" s="106"/>
      <x:c r="U23" s="106"/>
      <x:c r="V23" s="106"/>
      <x:c r="W23" s="106"/>
      <x:c r="X23" s="106"/>
      <x:c r="Y23" s="106"/>
      <x:c r="Z23" s="106"/>
      <x:c r="AA23" s="106"/>
      <x:c r="AB23" s="106"/>
      <x:c r="AC23" s="106"/>
      <x:c r="AD23" s="106"/>
      <x:c r="AE23" s="106"/>
      <x:c r="AF23" s="106"/>
      <x:c r="AG23" s="106"/>
      <x:c r="AH23" s="106"/>
      <x:c r="AI23" s="106"/>
      <x:c r="AJ23" s="106"/>
      <x:c r="AK23" s="106"/>
      <x:c r="AL23" s="106"/>
      <x:c r="AM23" s="106"/>
      <x:c r="AN23" s="106"/>
      <x:c r="AO23" s="106"/>
      <x:c r="AP23" s="106"/>
      <x:c r="AQ23" s="106"/>
      <x:c r="AR23" s="106"/>
      <x:c r="AS23" s="106"/>
      <x:c r="AT23" s="106"/>
      <x:c r="AU23" s="106"/>
      <x:c r="AV23" s="106"/>
      <x:c r="AW23" s="106"/>
      <x:c r="AX23" s="106"/>
      <x:c r="AY23" s="106"/>
      <x:c r="AZ23" s="106"/>
      <x:c r="BA23" s="106"/>
    </x:row>
    <x:row r="24">
      <x:c r="A24" s="113" t="n">
        <x:v>21</x:v>
      </x:c>
      <x:c r="B24" s="111"/>
      <x:c r="C24" s="111"/>
      <x:c r="D24" s="111"/>
      <x:c r="E24" s="111"/>
      <x:c r="F24" s="111"/>
      <x:c r="G24" s="113" t="str">
        <x:f>IF(OR(E24="",F24=""),"",E24*F24)</x:f>
      </x:c>
      <x:c r="H24" s="113" t="str">
        <x:f>IF(G24="","",IF(G24&gt;=16,"Critical",IF(G24&gt;=10,"High",IF(G24&gt;=5,"Medium","Low"))))</x:f>
      </x:c>
      <x:c r="I24" s="111"/>
      <x:c r="J24" s="136"/>
      <x:c r="K24" s="113" t="str">
        <x:f>IF(C24="","",IF(I24="Closed","Closed",IF(J24="","No due date",IF(J24&lt;SETUP!$B$7,"Overdue",IF(J24&lt;=SETUP!$B$7+7,"Due ≤7 days","On Track")))))</x:f>
      </x:c>
      <x:c r="L24" s="111"/>
      <x:c r="M24" s="111"/>
      <x:c r="N24" s="106"/>
      <x:c r="O24" s="106"/>
      <x:c r="P24" s="106"/>
      <x:c r="Q24" s="106"/>
      <x:c r="R24" s="106"/>
      <x:c r="S24" s="106"/>
      <x:c r="T24" s="106"/>
      <x:c r="U24" s="106"/>
      <x:c r="V24" s="106"/>
      <x:c r="W24" s="106"/>
      <x:c r="X24" s="106"/>
      <x:c r="Y24" s="106"/>
      <x:c r="Z24" s="106"/>
      <x:c r="AA24" s="106"/>
      <x:c r="AB24" s="106"/>
      <x:c r="AC24" s="106"/>
      <x:c r="AD24" s="106"/>
      <x:c r="AE24" s="106"/>
      <x:c r="AF24" s="106"/>
      <x:c r="AG24" s="106"/>
      <x:c r="AH24" s="106"/>
      <x:c r="AI24" s="106"/>
      <x:c r="AJ24" s="106"/>
      <x:c r="AK24" s="106"/>
      <x:c r="AL24" s="106"/>
      <x:c r="AM24" s="106"/>
      <x:c r="AN24" s="106"/>
      <x:c r="AO24" s="106"/>
      <x:c r="AP24" s="106"/>
      <x:c r="AQ24" s="106"/>
      <x:c r="AR24" s="106"/>
      <x:c r="AS24" s="106"/>
      <x:c r="AT24" s="106"/>
      <x:c r="AU24" s="106"/>
      <x:c r="AV24" s="106"/>
      <x:c r="AW24" s="106"/>
      <x:c r="AX24" s="106"/>
      <x:c r="AY24" s="106"/>
      <x:c r="AZ24" s="106"/>
      <x:c r="BA24" s="106"/>
    </x:row>
    <x:row r="25">
      <x:c r="A25" s="113" t="n">
        <x:v>22</x:v>
      </x:c>
      <x:c r="B25" s="111"/>
      <x:c r="C25" s="111"/>
      <x:c r="D25" s="111"/>
      <x:c r="E25" s="111"/>
      <x:c r="F25" s="111"/>
      <x:c r="G25" s="113" t="str">
        <x:f>IF(OR(E25="",F25=""),"",E25*F25)</x:f>
      </x:c>
      <x:c r="H25" s="113" t="str">
        <x:f>IF(G25="","",IF(G25&gt;=16,"Critical",IF(G25&gt;=10,"High",IF(G25&gt;=5,"Medium","Low"))))</x:f>
      </x:c>
      <x:c r="I25" s="111"/>
      <x:c r="J25" s="136"/>
      <x:c r="K25" s="113" t="str">
        <x:f>IF(C25="","",IF(I25="Closed","Closed",IF(J25="","No due date",IF(J25&lt;SETUP!$B$7,"Overdue",IF(J25&lt;=SETUP!$B$7+7,"Due ≤7 days","On Track")))))</x:f>
      </x:c>
      <x:c r="L25" s="111"/>
      <x:c r="M25" s="111"/>
      <x:c r="N25" s="106"/>
      <x:c r="O25" s="106"/>
      <x:c r="P25" s="106"/>
      <x:c r="Q25" s="106"/>
      <x:c r="R25" s="106"/>
      <x:c r="S25" s="106"/>
      <x:c r="T25" s="106"/>
      <x:c r="U25" s="106"/>
      <x:c r="V25" s="106"/>
      <x:c r="W25" s="106"/>
      <x:c r="X25" s="106"/>
      <x:c r="Y25" s="106"/>
      <x:c r="Z25" s="106"/>
      <x:c r="AA25" s="106"/>
      <x:c r="AB25" s="106"/>
      <x:c r="AC25" s="106"/>
      <x:c r="AD25" s="106"/>
      <x:c r="AE25" s="106"/>
      <x:c r="AF25" s="106"/>
      <x:c r="AG25" s="106"/>
      <x:c r="AH25" s="106"/>
      <x:c r="AI25" s="106"/>
      <x:c r="AJ25" s="106"/>
      <x:c r="AK25" s="106"/>
      <x:c r="AL25" s="106"/>
      <x:c r="AM25" s="106"/>
      <x:c r="AN25" s="106"/>
      <x:c r="AO25" s="106"/>
      <x:c r="AP25" s="106"/>
      <x:c r="AQ25" s="106"/>
      <x:c r="AR25" s="106"/>
      <x:c r="AS25" s="106"/>
      <x:c r="AT25" s="106"/>
      <x:c r="AU25" s="106"/>
      <x:c r="AV25" s="106"/>
      <x:c r="AW25" s="106"/>
      <x:c r="AX25" s="106"/>
      <x:c r="AY25" s="106"/>
      <x:c r="AZ25" s="106"/>
      <x:c r="BA25" s="106"/>
    </x:row>
    <x:row r="26">
      <x:c r="A26" s="113" t="n">
        <x:v>23</x:v>
      </x:c>
      <x:c r="B26" s="111"/>
      <x:c r="C26" s="111"/>
      <x:c r="D26" s="111"/>
      <x:c r="E26" s="111"/>
      <x:c r="F26" s="111"/>
      <x:c r="G26" s="113" t="str">
        <x:f>IF(OR(E26="",F26=""),"",E26*F26)</x:f>
      </x:c>
      <x:c r="H26" s="113" t="str">
        <x:f>IF(G26="","",IF(G26&gt;=16,"Critical",IF(G26&gt;=10,"High",IF(G26&gt;=5,"Medium","Low"))))</x:f>
      </x:c>
      <x:c r="I26" s="111"/>
      <x:c r="J26" s="136"/>
      <x:c r="K26" s="113" t="str">
        <x:f>IF(C26="","",IF(I26="Closed","Closed",IF(J26="","No due date",IF(J26&lt;SETUP!$B$7,"Overdue",IF(J26&lt;=SETUP!$B$7+7,"Due ≤7 days","On Track")))))</x:f>
      </x:c>
      <x:c r="L26" s="111"/>
      <x:c r="M26" s="111"/>
      <x:c r="N26" s="106"/>
      <x:c r="O26" s="106"/>
      <x:c r="P26" s="106"/>
      <x:c r="Q26" s="106"/>
      <x:c r="R26" s="106"/>
      <x:c r="S26" s="106"/>
      <x:c r="T26" s="106"/>
      <x:c r="U26" s="106"/>
      <x:c r="V26" s="106"/>
      <x:c r="W26" s="106"/>
      <x:c r="X26" s="106"/>
      <x:c r="Y26" s="106"/>
      <x:c r="Z26" s="106"/>
      <x:c r="AA26" s="106"/>
      <x:c r="AB26" s="106"/>
      <x:c r="AC26" s="106"/>
      <x:c r="AD26" s="106"/>
      <x:c r="AE26" s="106"/>
      <x:c r="AF26" s="106"/>
      <x:c r="AG26" s="106"/>
      <x:c r="AH26" s="106"/>
      <x:c r="AI26" s="106"/>
      <x:c r="AJ26" s="106"/>
      <x:c r="AK26" s="106"/>
      <x:c r="AL26" s="106"/>
      <x:c r="AM26" s="106"/>
      <x:c r="AN26" s="106"/>
      <x:c r="AO26" s="106"/>
      <x:c r="AP26" s="106"/>
      <x:c r="AQ26" s="106"/>
      <x:c r="AR26" s="106"/>
      <x:c r="AS26" s="106"/>
      <x:c r="AT26" s="106"/>
      <x:c r="AU26" s="106"/>
      <x:c r="AV26" s="106"/>
      <x:c r="AW26" s="106"/>
      <x:c r="AX26" s="106"/>
      <x:c r="AY26" s="106"/>
      <x:c r="AZ26" s="106"/>
      <x:c r="BA26" s="106"/>
    </x:row>
    <x:row r="27">
      <x:c r="A27" s="113" t="n">
        <x:v>24</x:v>
      </x:c>
      <x:c r="B27" s="111"/>
      <x:c r="C27" s="111"/>
      <x:c r="D27" s="111"/>
      <x:c r="E27" s="111"/>
      <x:c r="F27" s="111"/>
      <x:c r="G27" s="113" t="str">
        <x:f>IF(OR(E27="",F27=""),"",E27*F27)</x:f>
      </x:c>
      <x:c r="H27" s="113" t="str">
        <x:f>IF(G27="","",IF(G27&gt;=16,"Critical",IF(G27&gt;=10,"High",IF(G27&gt;=5,"Medium","Low"))))</x:f>
      </x:c>
      <x:c r="I27" s="111"/>
      <x:c r="J27" s="136"/>
      <x:c r="K27" s="113" t="str">
        <x:f>IF(C27="","",IF(I27="Closed","Closed",IF(J27="","No due date",IF(J27&lt;SETUP!$B$7,"Overdue",IF(J27&lt;=SETUP!$B$7+7,"Due ≤7 days","On Track")))))</x:f>
      </x:c>
      <x:c r="L27" s="111"/>
      <x:c r="M27" s="111"/>
      <x:c r="N27" s="106"/>
      <x:c r="O27" s="106"/>
      <x:c r="P27" s="106"/>
      <x:c r="Q27" s="106"/>
      <x:c r="R27" s="106"/>
      <x:c r="S27" s="106"/>
      <x:c r="T27" s="106"/>
      <x:c r="U27" s="106"/>
      <x:c r="V27" s="106"/>
      <x:c r="W27" s="106"/>
      <x:c r="X27" s="106"/>
      <x:c r="Y27" s="106"/>
      <x:c r="Z27" s="106"/>
      <x:c r="AA27" s="106"/>
      <x:c r="AB27" s="106"/>
      <x:c r="AC27" s="106"/>
      <x:c r="AD27" s="106"/>
      <x:c r="AE27" s="106"/>
      <x:c r="AF27" s="106"/>
      <x:c r="AG27" s="106"/>
      <x:c r="AH27" s="106"/>
      <x:c r="AI27" s="106"/>
      <x:c r="AJ27" s="106"/>
      <x:c r="AK27" s="106"/>
      <x:c r="AL27" s="106"/>
      <x:c r="AM27" s="106"/>
      <x:c r="AN27" s="106"/>
      <x:c r="AO27" s="106"/>
      <x:c r="AP27" s="106"/>
      <x:c r="AQ27" s="106"/>
      <x:c r="AR27" s="106"/>
      <x:c r="AS27" s="106"/>
      <x:c r="AT27" s="106"/>
      <x:c r="AU27" s="106"/>
      <x:c r="AV27" s="106"/>
      <x:c r="AW27" s="106"/>
      <x:c r="AX27" s="106"/>
      <x:c r="AY27" s="106"/>
      <x:c r="AZ27" s="106"/>
      <x:c r="BA27" s="106"/>
    </x:row>
    <x:row r="28">
      <x:c r="A28" s="113" t="n">
        <x:v>25</x:v>
      </x:c>
      <x:c r="B28" s="111"/>
      <x:c r="C28" s="111"/>
      <x:c r="D28" s="111"/>
      <x:c r="E28" s="111"/>
      <x:c r="F28" s="111"/>
      <x:c r="G28" s="113" t="str">
        <x:f>IF(OR(E28="",F28=""),"",E28*F28)</x:f>
      </x:c>
      <x:c r="H28" s="113" t="str">
        <x:f>IF(G28="","",IF(G28&gt;=16,"Critical",IF(G28&gt;=10,"High",IF(G28&gt;=5,"Medium","Low"))))</x:f>
      </x:c>
      <x:c r="I28" s="111"/>
      <x:c r="J28" s="136"/>
      <x:c r="K28" s="113" t="str">
        <x:f>IF(C28="","",IF(I28="Closed","Closed",IF(J28="","No due date",IF(J28&lt;SETUP!$B$7,"Overdue",IF(J28&lt;=SETUP!$B$7+7,"Due ≤7 days","On Track")))))</x:f>
      </x:c>
      <x:c r="L28" s="111"/>
      <x:c r="M28" s="111"/>
      <x:c r="N28" s="106"/>
      <x:c r="O28" s="106"/>
      <x:c r="P28" s="106"/>
      <x:c r="Q28" s="106"/>
      <x:c r="R28" s="106"/>
      <x:c r="S28" s="106"/>
      <x:c r="T28" s="106"/>
      <x:c r="U28" s="106"/>
      <x:c r="V28" s="106"/>
      <x:c r="W28" s="106"/>
      <x:c r="X28" s="106"/>
      <x:c r="Y28" s="106"/>
      <x:c r="Z28" s="106"/>
      <x:c r="AA28" s="106"/>
      <x:c r="AB28" s="106"/>
      <x:c r="AC28" s="106"/>
      <x:c r="AD28" s="106"/>
      <x:c r="AE28" s="106"/>
      <x:c r="AF28" s="106"/>
      <x:c r="AG28" s="106"/>
      <x:c r="AH28" s="106"/>
      <x:c r="AI28" s="106"/>
      <x:c r="AJ28" s="106"/>
      <x:c r="AK28" s="106"/>
      <x:c r="AL28" s="106"/>
      <x:c r="AM28" s="106"/>
      <x:c r="AN28" s="106"/>
      <x:c r="AO28" s="106"/>
      <x:c r="AP28" s="106"/>
      <x:c r="AQ28" s="106"/>
      <x:c r="AR28" s="106"/>
      <x:c r="AS28" s="106"/>
      <x:c r="AT28" s="106"/>
      <x:c r="AU28" s="106"/>
      <x:c r="AV28" s="106"/>
      <x:c r="AW28" s="106"/>
      <x:c r="AX28" s="106"/>
      <x:c r="AY28" s="106"/>
      <x:c r="AZ28" s="106"/>
      <x:c r="BA28" s="106"/>
    </x:row>
    <x:row r="29">
      <x:c r="A29" s="113" t="n">
        <x:v>26</x:v>
      </x:c>
      <x:c r="B29" s="111"/>
      <x:c r="C29" s="111"/>
      <x:c r="D29" s="111"/>
      <x:c r="E29" s="111"/>
      <x:c r="F29" s="111"/>
      <x:c r="G29" s="113" t="str">
        <x:f>IF(OR(E29="",F29=""),"",E29*F29)</x:f>
      </x:c>
      <x:c r="H29" s="113" t="str">
        <x:f>IF(G29="","",IF(G29&gt;=16,"Critical",IF(G29&gt;=10,"High",IF(G29&gt;=5,"Medium","Low"))))</x:f>
      </x:c>
      <x:c r="I29" s="111"/>
      <x:c r="J29" s="136"/>
      <x:c r="K29" s="113" t="str">
        <x:f>IF(C29="","",IF(I29="Closed","Closed",IF(J29="","No due date",IF(J29&lt;SETUP!$B$7,"Overdue",IF(J29&lt;=SETUP!$B$7+7,"Due ≤7 days","On Track")))))</x:f>
      </x:c>
      <x:c r="L29" s="111"/>
      <x:c r="M29" s="111"/>
      <x:c r="N29" s="106"/>
      <x:c r="O29" s="106"/>
      <x:c r="P29" s="106"/>
      <x:c r="Q29" s="106"/>
      <x:c r="R29" s="106"/>
      <x:c r="S29" s="106"/>
      <x:c r="T29" s="106"/>
      <x:c r="U29" s="106"/>
      <x:c r="V29" s="106"/>
      <x:c r="W29" s="106"/>
      <x:c r="X29" s="106"/>
      <x:c r="Y29" s="106"/>
      <x:c r="Z29" s="106"/>
      <x:c r="AA29" s="106"/>
      <x:c r="AB29" s="106"/>
      <x:c r="AC29" s="106"/>
      <x:c r="AD29" s="106"/>
      <x:c r="AE29" s="106"/>
      <x:c r="AF29" s="106"/>
      <x:c r="AG29" s="106"/>
      <x:c r="AH29" s="106"/>
      <x:c r="AI29" s="106"/>
      <x:c r="AJ29" s="106"/>
      <x:c r="AK29" s="106"/>
      <x:c r="AL29" s="106"/>
      <x:c r="AM29" s="106"/>
      <x:c r="AN29" s="106"/>
      <x:c r="AO29" s="106"/>
      <x:c r="AP29" s="106"/>
      <x:c r="AQ29" s="106"/>
      <x:c r="AR29" s="106"/>
      <x:c r="AS29" s="106"/>
      <x:c r="AT29" s="106"/>
      <x:c r="AU29" s="106"/>
      <x:c r="AV29" s="106"/>
      <x:c r="AW29" s="106"/>
      <x:c r="AX29" s="106"/>
      <x:c r="AY29" s="106"/>
      <x:c r="AZ29" s="106"/>
      <x:c r="BA29" s="106"/>
    </x:row>
    <x:row r="30">
      <x:c r="A30" s="113" t="n">
        <x:v>27</x:v>
      </x:c>
      <x:c r="B30" s="111"/>
      <x:c r="C30" s="111"/>
      <x:c r="D30" s="111"/>
      <x:c r="E30" s="111"/>
      <x:c r="F30" s="111"/>
      <x:c r="G30" s="113" t="str">
        <x:f>IF(OR(E30="",F30=""),"",E30*F30)</x:f>
      </x:c>
      <x:c r="H30" s="113" t="str">
        <x:f>IF(G30="","",IF(G30&gt;=16,"Critical",IF(G30&gt;=10,"High",IF(G30&gt;=5,"Medium","Low"))))</x:f>
      </x:c>
      <x:c r="I30" s="111"/>
      <x:c r="J30" s="136"/>
      <x:c r="K30" s="113" t="str">
        <x:f>IF(C30="","",IF(I30="Closed","Closed",IF(J30="","No due date",IF(J30&lt;SETUP!$B$7,"Overdue",IF(J30&lt;=SETUP!$B$7+7,"Due ≤7 days","On Track")))))</x:f>
      </x:c>
      <x:c r="L30" s="111"/>
      <x:c r="M30" s="111"/>
      <x:c r="N30" s="106"/>
      <x:c r="O30" s="106"/>
      <x:c r="P30" s="106"/>
      <x:c r="Q30" s="106"/>
      <x:c r="R30" s="106"/>
      <x:c r="S30" s="106"/>
      <x:c r="T30" s="106"/>
      <x:c r="U30" s="106"/>
      <x:c r="V30" s="106"/>
      <x:c r="W30" s="106"/>
      <x:c r="X30" s="106"/>
      <x:c r="Y30" s="106"/>
      <x:c r="Z30" s="106"/>
      <x:c r="AA30" s="106"/>
      <x:c r="AB30" s="106"/>
      <x:c r="AC30" s="106"/>
      <x:c r="AD30" s="106"/>
      <x:c r="AE30" s="106"/>
      <x:c r="AF30" s="106"/>
      <x:c r="AG30" s="106"/>
      <x:c r="AH30" s="106"/>
      <x:c r="AI30" s="106"/>
      <x:c r="AJ30" s="106"/>
      <x:c r="AK30" s="106"/>
      <x:c r="AL30" s="106"/>
      <x:c r="AM30" s="106"/>
      <x:c r="AN30" s="106"/>
      <x:c r="AO30" s="106"/>
      <x:c r="AP30" s="106"/>
      <x:c r="AQ30" s="106"/>
      <x:c r="AR30" s="106"/>
      <x:c r="AS30" s="106"/>
      <x:c r="AT30" s="106"/>
      <x:c r="AU30" s="106"/>
      <x:c r="AV30" s="106"/>
      <x:c r="AW30" s="106"/>
      <x:c r="AX30" s="106"/>
      <x:c r="AY30" s="106"/>
      <x:c r="AZ30" s="106"/>
      <x:c r="BA30" s="106"/>
    </x:row>
    <x:row r="31">
      <x:c r="A31" s="113" t="n">
        <x:v>28</x:v>
      </x:c>
      <x:c r="B31" s="111"/>
      <x:c r="C31" s="111"/>
      <x:c r="D31" s="111"/>
      <x:c r="E31" s="111"/>
      <x:c r="F31" s="111"/>
      <x:c r="G31" s="113" t="str">
        <x:f>IF(OR(E31="",F31=""),"",E31*F31)</x:f>
      </x:c>
      <x:c r="H31" s="113" t="str">
        <x:f>IF(G31="","",IF(G31&gt;=16,"Critical",IF(G31&gt;=10,"High",IF(G31&gt;=5,"Medium","Low"))))</x:f>
      </x:c>
      <x:c r="I31" s="111"/>
      <x:c r="J31" s="136"/>
      <x:c r="K31" s="113" t="str">
        <x:f>IF(C31="","",IF(I31="Closed","Closed",IF(J31="","No due date",IF(J31&lt;SETUP!$B$7,"Overdue",IF(J31&lt;=SETUP!$B$7+7,"Due ≤7 days","On Track")))))</x:f>
      </x:c>
      <x:c r="L31" s="111"/>
      <x:c r="M31" s="111"/>
      <x:c r="N31" s="106"/>
      <x:c r="O31" s="106"/>
      <x:c r="P31" s="106"/>
      <x:c r="Q31" s="106"/>
      <x:c r="R31" s="106"/>
      <x:c r="S31" s="106"/>
      <x:c r="T31" s="106"/>
      <x:c r="U31" s="106"/>
      <x:c r="V31" s="106"/>
      <x:c r="W31" s="106"/>
      <x:c r="X31" s="106"/>
      <x:c r="Y31" s="106"/>
      <x:c r="Z31" s="106"/>
      <x:c r="AA31" s="106"/>
      <x:c r="AB31" s="106"/>
      <x:c r="AC31" s="106"/>
      <x:c r="AD31" s="106"/>
      <x:c r="AE31" s="106"/>
      <x:c r="AF31" s="106"/>
      <x:c r="AG31" s="106"/>
      <x:c r="AH31" s="106"/>
      <x:c r="AI31" s="106"/>
      <x:c r="AJ31" s="106"/>
      <x:c r="AK31" s="106"/>
      <x:c r="AL31" s="106"/>
      <x:c r="AM31" s="106"/>
      <x:c r="AN31" s="106"/>
      <x:c r="AO31" s="106"/>
      <x:c r="AP31" s="106"/>
      <x:c r="AQ31" s="106"/>
      <x:c r="AR31" s="106"/>
      <x:c r="AS31" s="106"/>
      <x:c r="AT31" s="106"/>
      <x:c r="AU31" s="106"/>
      <x:c r="AV31" s="106"/>
      <x:c r="AW31" s="106"/>
      <x:c r="AX31" s="106"/>
      <x:c r="AY31" s="106"/>
      <x:c r="AZ31" s="106"/>
      <x:c r="BA31" s="106"/>
    </x:row>
    <x:row r="32">
      <x:c r="A32" s="113" t="n">
        <x:v>29</x:v>
      </x:c>
      <x:c r="B32" s="111"/>
      <x:c r="C32" s="111"/>
      <x:c r="D32" s="111"/>
      <x:c r="E32" s="111"/>
      <x:c r="F32" s="111"/>
      <x:c r="G32" s="113" t="str">
        <x:f>IF(OR(E32="",F32=""),"",E32*F32)</x:f>
      </x:c>
      <x:c r="H32" s="113" t="str">
        <x:f>IF(G32="","",IF(G32&gt;=16,"Critical",IF(G32&gt;=10,"High",IF(G32&gt;=5,"Medium","Low"))))</x:f>
      </x:c>
      <x:c r="I32" s="111"/>
      <x:c r="J32" s="136"/>
      <x:c r="K32" s="113" t="str">
        <x:f>IF(C32="","",IF(I32="Closed","Closed",IF(J32="","No due date",IF(J32&lt;SETUP!$B$7,"Overdue",IF(J32&lt;=SETUP!$B$7+7,"Due ≤7 days","On Track")))))</x:f>
      </x:c>
      <x:c r="L32" s="111"/>
      <x:c r="M32" s="111"/>
      <x:c r="N32" s="106"/>
      <x:c r="O32" s="106"/>
      <x:c r="P32" s="106"/>
      <x:c r="Q32" s="106"/>
      <x:c r="R32" s="106"/>
      <x:c r="S32" s="106"/>
      <x:c r="T32" s="106"/>
      <x:c r="U32" s="106"/>
      <x:c r="V32" s="106"/>
      <x:c r="W32" s="106"/>
      <x:c r="X32" s="106"/>
      <x:c r="Y32" s="106"/>
      <x:c r="Z32" s="106"/>
      <x:c r="AA32" s="106"/>
      <x:c r="AB32" s="106"/>
      <x:c r="AC32" s="106"/>
      <x:c r="AD32" s="106"/>
      <x:c r="AE32" s="106"/>
      <x:c r="AF32" s="106"/>
      <x:c r="AG32" s="106"/>
      <x:c r="AH32" s="106"/>
      <x:c r="AI32" s="106"/>
      <x:c r="AJ32" s="106"/>
      <x:c r="AK32" s="106"/>
      <x:c r="AL32" s="106"/>
      <x:c r="AM32" s="106"/>
      <x:c r="AN32" s="106"/>
      <x:c r="AO32" s="106"/>
      <x:c r="AP32" s="106"/>
      <x:c r="AQ32" s="106"/>
      <x:c r="AR32" s="106"/>
      <x:c r="AS32" s="106"/>
      <x:c r="AT32" s="106"/>
      <x:c r="AU32" s="106"/>
      <x:c r="AV32" s="106"/>
      <x:c r="AW32" s="106"/>
      <x:c r="AX32" s="106"/>
      <x:c r="AY32" s="106"/>
      <x:c r="AZ32" s="106"/>
      <x:c r="BA32" s="106"/>
    </x:row>
    <x:row r="33">
      <x:c r="A33" s="113" t="n">
        <x:v>30</x:v>
      </x:c>
      <x:c r="B33" s="111"/>
      <x:c r="C33" s="111"/>
      <x:c r="D33" s="111"/>
      <x:c r="E33" s="111"/>
      <x:c r="F33" s="111"/>
      <x:c r="G33" s="113" t="str">
        <x:f>IF(OR(E33="",F33=""),"",E33*F33)</x:f>
      </x:c>
      <x:c r="H33" s="113" t="str">
        <x:f>IF(G33="","",IF(G33&gt;=16,"Critical",IF(G33&gt;=10,"High",IF(G33&gt;=5,"Medium","Low"))))</x:f>
      </x:c>
      <x:c r="I33" s="111"/>
      <x:c r="J33" s="136"/>
      <x:c r="K33" s="113" t="str">
        <x:f>IF(C33="","",IF(I33="Closed","Closed",IF(J33="","No due date",IF(J33&lt;SETUP!$B$7,"Overdue",IF(J33&lt;=SETUP!$B$7+7,"Due ≤7 days","On Track")))))</x:f>
      </x:c>
      <x:c r="L33" s="111"/>
      <x:c r="M33" s="111"/>
      <x:c r="N33" s="106"/>
      <x:c r="O33" s="106"/>
      <x:c r="P33" s="106"/>
      <x:c r="Q33" s="106"/>
      <x:c r="R33" s="106"/>
      <x:c r="S33" s="106"/>
      <x:c r="T33" s="106"/>
      <x:c r="U33" s="106"/>
      <x:c r="V33" s="106"/>
      <x:c r="W33" s="106"/>
      <x:c r="X33" s="106"/>
      <x:c r="Y33" s="106"/>
      <x:c r="Z33" s="106"/>
      <x:c r="AA33" s="106"/>
      <x:c r="AB33" s="106"/>
      <x:c r="AC33" s="106"/>
      <x:c r="AD33" s="106"/>
      <x:c r="AE33" s="106"/>
      <x:c r="AF33" s="106"/>
      <x:c r="AG33" s="106"/>
      <x:c r="AH33" s="106"/>
      <x:c r="AI33" s="106"/>
      <x:c r="AJ33" s="106"/>
      <x:c r="AK33" s="106"/>
      <x:c r="AL33" s="106"/>
      <x:c r="AM33" s="106"/>
      <x:c r="AN33" s="106"/>
      <x:c r="AO33" s="106"/>
      <x:c r="AP33" s="106"/>
      <x:c r="AQ33" s="106"/>
      <x:c r="AR33" s="106"/>
      <x:c r="AS33" s="106"/>
      <x:c r="AT33" s="106"/>
      <x:c r="AU33" s="106"/>
      <x:c r="AV33" s="106"/>
      <x:c r="AW33" s="106"/>
      <x:c r="AX33" s="106"/>
      <x:c r="AY33" s="106"/>
      <x:c r="AZ33" s="106"/>
      <x:c r="BA33" s="106"/>
    </x:row>
    <x:row r="34">
      <x:c r="A34" s="106"/>
      <x:c r="B34" s="106"/>
      <x:c r="C34" s="106"/>
      <x:c r="D34" s="106"/>
      <x:c r="E34" s="106"/>
      <x:c r="F34" s="106"/>
      <x:c r="G34" s="106"/>
      <x:c r="H34" s="106"/>
      <x:c r="I34" s="106"/>
      <x:c r="J34" s="106"/>
      <x:c r="K34" s="106"/>
      <x:c r="L34" s="106"/>
      <x:c r="M34" s="106"/>
      <x:c r="N34" s="106"/>
      <x:c r="O34" s="106"/>
      <x:c r="P34" s="106"/>
      <x:c r="Q34" s="106"/>
      <x:c r="R34" s="106"/>
      <x:c r="S34" s="106"/>
      <x:c r="T34" s="106"/>
      <x:c r="U34" s="106"/>
      <x:c r="V34" s="106"/>
      <x:c r="W34" s="106"/>
      <x:c r="X34" s="106"/>
      <x:c r="Y34" s="106"/>
      <x:c r="Z34" s="106"/>
      <x:c r="AA34" s="106"/>
      <x:c r="AB34" s="106"/>
      <x:c r="AC34" s="106"/>
      <x:c r="AD34" s="106"/>
      <x:c r="AE34" s="106"/>
      <x:c r="AF34" s="106"/>
      <x:c r="AG34" s="106"/>
      <x:c r="AH34" s="106"/>
      <x:c r="AI34" s="106"/>
      <x:c r="AJ34" s="106"/>
      <x:c r="AK34" s="106"/>
      <x:c r="AL34" s="106"/>
      <x:c r="AM34" s="106"/>
      <x:c r="AN34" s="106"/>
      <x:c r="AO34" s="106"/>
      <x:c r="AP34" s="106"/>
      <x:c r="AQ34" s="106"/>
      <x:c r="AR34" s="106"/>
      <x:c r="AS34" s="106"/>
      <x:c r="AT34" s="106"/>
      <x:c r="AU34" s="106"/>
      <x:c r="AV34" s="106"/>
      <x:c r="AW34" s="106"/>
      <x:c r="AX34" s="106"/>
      <x:c r="AY34" s="106"/>
      <x:c r="AZ34" s="106"/>
      <x:c r="BA34" s="106"/>
    </x:row>
    <x:row r="35">
      <x:c r="A35" s="106"/>
      <x:c r="B35" s="106"/>
      <x:c r="C35" s="106"/>
      <x:c r="D35" s="106"/>
      <x:c r="E35" s="106"/>
      <x:c r="F35" s="106"/>
      <x:c r="G35" s="106"/>
      <x:c r="H35" s="106"/>
      <x:c r="I35" s="106"/>
      <x:c r="J35" s="106"/>
      <x:c r="K35" s="106"/>
      <x:c r="L35" s="106"/>
      <x:c r="M35" s="106"/>
      <x:c r="N35" s="106"/>
      <x:c r="O35" s="106"/>
      <x:c r="P35" s="106"/>
      <x:c r="Q35" s="106"/>
      <x:c r="R35" s="106"/>
      <x:c r="S35" s="106"/>
      <x:c r="T35" s="106"/>
      <x:c r="U35" s="106"/>
      <x:c r="V35" s="106"/>
      <x:c r="W35" s="106"/>
      <x:c r="X35" s="106"/>
      <x:c r="Y35" s="106"/>
      <x:c r="Z35" s="106"/>
      <x:c r="AA35" s="106"/>
      <x:c r="AB35" s="106"/>
      <x:c r="AC35" s="106"/>
      <x:c r="AD35" s="106"/>
      <x:c r="AE35" s="106"/>
      <x:c r="AF35" s="106"/>
      <x:c r="AG35" s="106"/>
      <x:c r="AH35" s="106"/>
      <x:c r="AI35" s="106"/>
      <x:c r="AJ35" s="106"/>
      <x:c r="AK35" s="106"/>
      <x:c r="AL35" s="106"/>
      <x:c r="AM35" s="106"/>
      <x:c r="AN35" s="106"/>
      <x:c r="AO35" s="106"/>
      <x:c r="AP35" s="106"/>
      <x:c r="AQ35" s="106"/>
      <x:c r="AR35" s="106"/>
      <x:c r="AS35" s="106"/>
      <x:c r="AT35" s="106"/>
      <x:c r="AU35" s="106"/>
      <x:c r="AV35" s="106"/>
      <x:c r="AW35" s="106"/>
      <x:c r="AX35" s="106"/>
      <x:c r="AY35" s="106"/>
      <x:c r="AZ35" s="106"/>
      <x:c r="BA35" s="106"/>
    </x:row>
    <x:row r="36">
      <x:c r="A36" s="106"/>
      <x:c r="B36" s="106"/>
      <x:c r="C36" s="106"/>
      <x:c r="D36" s="106"/>
      <x:c r="E36" s="106"/>
      <x:c r="F36" s="106"/>
      <x:c r="G36" s="106"/>
      <x:c r="H36" s="106"/>
      <x:c r="I36" s="106"/>
      <x:c r="J36" s="106"/>
      <x:c r="K36" s="106"/>
      <x:c r="L36" s="106"/>
      <x:c r="M36" s="106"/>
      <x:c r="N36" s="106"/>
      <x:c r="O36" s="106"/>
      <x:c r="P36" s="106"/>
      <x:c r="Q36" s="106"/>
      <x:c r="R36" s="106"/>
      <x:c r="S36" s="106"/>
      <x:c r="T36" s="106"/>
      <x:c r="U36" s="106"/>
      <x:c r="V36" s="106"/>
      <x:c r="W36" s="106"/>
      <x:c r="X36" s="106"/>
      <x:c r="Y36" s="106"/>
      <x:c r="Z36" s="106"/>
      <x:c r="AA36" s="106"/>
      <x:c r="AB36" s="106"/>
      <x:c r="AC36" s="106"/>
      <x:c r="AD36" s="106"/>
      <x:c r="AE36" s="106"/>
      <x:c r="AF36" s="106"/>
      <x:c r="AG36" s="106"/>
      <x:c r="AH36" s="106"/>
      <x:c r="AI36" s="106"/>
      <x:c r="AJ36" s="106"/>
      <x:c r="AK36" s="106"/>
      <x:c r="AL36" s="106"/>
      <x:c r="AM36" s="106"/>
      <x:c r="AN36" s="106"/>
      <x:c r="AO36" s="106"/>
      <x:c r="AP36" s="106"/>
      <x:c r="AQ36" s="106"/>
      <x:c r="AR36" s="106"/>
      <x:c r="AS36" s="106"/>
      <x:c r="AT36" s="106"/>
      <x:c r="AU36" s="106"/>
      <x:c r="AV36" s="106"/>
      <x:c r="AW36" s="106"/>
      <x:c r="AX36" s="106"/>
      <x:c r="AY36" s="106"/>
      <x:c r="AZ36" s="106"/>
      <x:c r="BA36" s="106"/>
    </x:row>
    <x:row r="37">
      <x:c r="A37" s="106"/>
      <x:c r="B37" s="106"/>
      <x:c r="C37" s="106"/>
      <x:c r="D37" s="106"/>
      <x:c r="E37" s="106"/>
      <x:c r="F37" s="106"/>
      <x:c r="G37" s="106"/>
      <x:c r="H37" s="106"/>
      <x:c r="I37" s="106"/>
      <x:c r="J37" s="106"/>
      <x:c r="K37" s="106"/>
      <x:c r="L37" s="106"/>
      <x:c r="M37" s="106"/>
      <x:c r="N37" s="106"/>
      <x:c r="O37" s="106"/>
      <x:c r="P37" s="106"/>
      <x:c r="Q37" s="106"/>
      <x:c r="R37" s="106"/>
      <x:c r="S37" s="106"/>
      <x:c r="T37" s="106"/>
      <x:c r="U37" s="106"/>
      <x:c r="V37" s="106"/>
      <x:c r="W37" s="106"/>
      <x:c r="X37" s="106"/>
      <x:c r="Y37" s="106"/>
      <x:c r="Z37" s="106"/>
      <x:c r="AA37" s="106"/>
      <x:c r="AB37" s="106"/>
      <x:c r="AC37" s="106"/>
      <x:c r="AD37" s="106"/>
      <x:c r="AE37" s="106"/>
      <x:c r="AF37" s="106"/>
      <x:c r="AG37" s="106"/>
      <x:c r="AH37" s="106"/>
      <x:c r="AI37" s="106"/>
      <x:c r="AJ37" s="106"/>
      <x:c r="AK37" s="106"/>
      <x:c r="AL37" s="106"/>
      <x:c r="AM37" s="106"/>
      <x:c r="AN37" s="106"/>
      <x:c r="AO37" s="106"/>
      <x:c r="AP37" s="106"/>
      <x:c r="AQ37" s="106"/>
      <x:c r="AR37" s="106"/>
      <x:c r="AS37" s="106"/>
      <x:c r="AT37" s="106"/>
      <x:c r="AU37" s="106"/>
      <x:c r="AV37" s="106"/>
      <x:c r="AW37" s="106"/>
      <x:c r="AX37" s="106"/>
      <x:c r="AY37" s="106"/>
      <x:c r="AZ37" s="106"/>
      <x:c r="BA37" s="106"/>
    </x:row>
    <x:row r="38">
      <x:c r="A38" s="106"/>
      <x:c r="B38" s="106"/>
      <x:c r="C38" s="106"/>
      <x:c r="D38" s="106"/>
      <x:c r="E38" s="106"/>
      <x:c r="F38" s="106"/>
      <x:c r="G38" s="106"/>
      <x:c r="H38" s="106"/>
      <x:c r="I38" s="106"/>
      <x:c r="J38" s="106"/>
      <x:c r="K38" s="106"/>
      <x:c r="L38" s="106"/>
      <x:c r="M38" s="106"/>
      <x:c r="N38" s="106"/>
      <x:c r="O38" s="106"/>
      <x:c r="P38" s="106"/>
      <x:c r="Q38" s="106"/>
      <x:c r="R38" s="106"/>
      <x:c r="S38" s="106"/>
      <x:c r="T38" s="106"/>
      <x:c r="U38" s="106"/>
      <x:c r="V38" s="106"/>
      <x:c r="W38" s="106"/>
      <x:c r="X38" s="106"/>
      <x:c r="Y38" s="106"/>
      <x:c r="Z38" s="106"/>
      <x:c r="AA38" s="106"/>
      <x:c r="AB38" s="106"/>
      <x:c r="AC38" s="106"/>
      <x:c r="AD38" s="106"/>
      <x:c r="AE38" s="106"/>
      <x:c r="AF38" s="106"/>
      <x:c r="AG38" s="106"/>
      <x:c r="AH38" s="106"/>
      <x:c r="AI38" s="106"/>
      <x:c r="AJ38" s="106"/>
      <x:c r="AK38" s="106"/>
      <x:c r="AL38" s="106"/>
      <x:c r="AM38" s="106"/>
      <x:c r="AN38" s="106"/>
      <x:c r="AO38" s="106"/>
      <x:c r="AP38" s="106"/>
      <x:c r="AQ38" s="106"/>
      <x:c r="AR38" s="106"/>
      <x:c r="AS38" s="106"/>
      <x:c r="AT38" s="106"/>
      <x:c r="AU38" s="106"/>
      <x:c r="AV38" s="106"/>
      <x:c r="AW38" s="106"/>
      <x:c r="AX38" s="106"/>
      <x:c r="AY38" s="106"/>
      <x:c r="AZ38" s="106"/>
      <x:c r="BA38" s="106"/>
    </x:row>
    <x:row r="39">
      <x:c r="A39" s="106"/>
      <x:c r="B39" s="106"/>
      <x:c r="C39" s="106"/>
      <x:c r="D39" s="106"/>
      <x:c r="E39" s="106"/>
      <x:c r="F39" s="106"/>
      <x:c r="G39" s="106"/>
      <x:c r="H39" s="106"/>
      <x:c r="I39" s="106"/>
      <x:c r="J39" s="106"/>
      <x:c r="K39" s="106"/>
      <x:c r="L39" s="106"/>
      <x:c r="M39" s="106"/>
      <x:c r="N39" s="106"/>
      <x:c r="O39" s="106"/>
      <x:c r="P39" s="106"/>
      <x:c r="Q39" s="106"/>
      <x:c r="R39" s="106"/>
      <x:c r="S39" s="106"/>
      <x:c r="T39" s="106"/>
      <x:c r="U39" s="106"/>
      <x:c r="V39" s="106"/>
      <x:c r="W39" s="106"/>
      <x:c r="X39" s="106"/>
      <x:c r="Y39" s="106"/>
      <x:c r="Z39" s="106"/>
      <x:c r="AA39" s="106"/>
      <x:c r="AB39" s="106"/>
      <x:c r="AC39" s="106"/>
      <x:c r="AD39" s="106"/>
      <x:c r="AE39" s="106"/>
      <x:c r="AF39" s="106"/>
      <x:c r="AG39" s="106"/>
      <x:c r="AH39" s="106"/>
      <x:c r="AI39" s="106"/>
      <x:c r="AJ39" s="106"/>
      <x:c r="AK39" s="106"/>
      <x:c r="AL39" s="106"/>
      <x:c r="AM39" s="106"/>
      <x:c r="AN39" s="106"/>
      <x:c r="AO39" s="106"/>
      <x:c r="AP39" s="106"/>
      <x:c r="AQ39" s="106"/>
      <x:c r="AR39" s="106"/>
      <x:c r="AS39" s="106"/>
      <x:c r="AT39" s="106"/>
      <x:c r="AU39" s="106"/>
      <x:c r="AV39" s="106"/>
      <x:c r="AW39" s="106"/>
      <x:c r="AX39" s="106"/>
      <x:c r="AY39" s="106"/>
      <x:c r="AZ39" s="106"/>
      <x:c r="BA39" s="106"/>
    </x:row>
    <x:row r="40">
      <x:c r="A40" s="106"/>
      <x:c r="B40" s="106"/>
      <x:c r="C40" s="106"/>
      <x:c r="D40" s="106"/>
      <x:c r="E40" s="106"/>
      <x:c r="F40" s="106"/>
      <x:c r="G40" s="106"/>
      <x:c r="H40" s="106"/>
      <x:c r="I40" s="106"/>
      <x:c r="J40" s="106"/>
      <x:c r="K40" s="106"/>
      <x:c r="L40" s="106"/>
      <x:c r="M40" s="106"/>
      <x:c r="N40" s="106"/>
      <x:c r="O40" s="106"/>
      <x:c r="P40" s="106"/>
      <x:c r="Q40" s="106"/>
      <x:c r="R40" s="106"/>
      <x:c r="S40" s="106"/>
      <x:c r="T40" s="106"/>
      <x:c r="U40" s="106"/>
      <x:c r="V40" s="106"/>
      <x:c r="W40" s="106"/>
      <x:c r="X40" s="106"/>
      <x:c r="Y40" s="106"/>
      <x:c r="Z40" s="106"/>
      <x:c r="AA40" s="106"/>
      <x:c r="AB40" s="106"/>
      <x:c r="AC40" s="106"/>
      <x:c r="AD40" s="106"/>
      <x:c r="AE40" s="106"/>
      <x:c r="AF40" s="106"/>
      <x:c r="AG40" s="106"/>
      <x:c r="AH40" s="106"/>
      <x:c r="AI40" s="106"/>
      <x:c r="AJ40" s="106"/>
      <x:c r="AK40" s="106"/>
      <x:c r="AL40" s="106"/>
      <x:c r="AM40" s="106"/>
      <x:c r="AN40" s="106"/>
      <x:c r="AO40" s="106"/>
      <x:c r="AP40" s="106"/>
      <x:c r="AQ40" s="106"/>
      <x:c r="AR40" s="106"/>
      <x:c r="AS40" s="106"/>
      <x:c r="AT40" s="106"/>
      <x:c r="AU40" s="106"/>
      <x:c r="AV40" s="106"/>
      <x:c r="AW40" s="106"/>
      <x:c r="AX40" s="106"/>
      <x:c r="AY40" s="106"/>
      <x:c r="AZ40" s="106"/>
      <x:c r="BA40" s="106"/>
    </x:row>
    <x:row r="41">
      <x:c r="A41" s="106"/>
      <x:c r="B41" s="106"/>
      <x:c r="C41" s="106"/>
      <x:c r="D41" s="106"/>
      <x:c r="E41" s="106"/>
      <x:c r="F41" s="106"/>
      <x:c r="G41" s="106"/>
      <x:c r="H41" s="106"/>
      <x:c r="I41" s="106"/>
      <x:c r="J41" s="106"/>
      <x:c r="K41" s="106"/>
      <x:c r="L41" s="106"/>
      <x:c r="M41" s="106"/>
      <x:c r="N41" s="106"/>
      <x:c r="O41" s="106"/>
      <x:c r="P41" s="106"/>
      <x:c r="Q41" s="106"/>
      <x:c r="R41" s="106"/>
      <x:c r="S41" s="106"/>
      <x:c r="T41" s="106"/>
      <x:c r="U41" s="106"/>
      <x:c r="V41" s="106"/>
      <x:c r="W41" s="106"/>
      <x:c r="X41" s="106"/>
      <x:c r="Y41" s="106"/>
      <x:c r="Z41" s="106"/>
      <x:c r="AA41" s="106"/>
      <x:c r="AB41" s="106"/>
      <x:c r="AC41" s="106"/>
      <x:c r="AD41" s="106"/>
      <x:c r="AE41" s="106"/>
      <x:c r="AF41" s="106"/>
      <x:c r="AG41" s="106"/>
      <x:c r="AH41" s="106"/>
      <x:c r="AI41" s="106"/>
      <x:c r="AJ41" s="106"/>
      <x:c r="AK41" s="106"/>
      <x:c r="AL41" s="106"/>
      <x:c r="AM41" s="106"/>
      <x:c r="AN41" s="106"/>
      <x:c r="AO41" s="106"/>
      <x:c r="AP41" s="106"/>
      <x:c r="AQ41" s="106"/>
      <x:c r="AR41" s="106"/>
      <x:c r="AS41" s="106"/>
      <x:c r="AT41" s="106"/>
      <x:c r="AU41" s="106"/>
      <x:c r="AV41" s="106"/>
      <x:c r="AW41" s="106"/>
      <x:c r="AX41" s="106"/>
      <x:c r="AY41" s="106"/>
      <x:c r="AZ41" s="106"/>
      <x:c r="BA41" s="106"/>
    </x:row>
    <x:row r="42">
      <x:c r="A42" s="106"/>
      <x:c r="B42" s="106"/>
      <x:c r="C42" s="106"/>
      <x:c r="D42" s="106"/>
      <x:c r="E42" s="106"/>
      <x:c r="F42" s="106"/>
      <x:c r="G42" s="106"/>
      <x:c r="H42" s="106"/>
      <x:c r="I42" s="106"/>
      <x:c r="J42" s="106"/>
      <x:c r="K42" s="106"/>
      <x:c r="L42" s="106"/>
      <x:c r="M42" s="106"/>
      <x:c r="N42" s="106"/>
      <x:c r="O42" s="106"/>
      <x:c r="P42" s="106"/>
      <x:c r="Q42" s="106"/>
      <x:c r="R42" s="106"/>
      <x:c r="S42" s="106"/>
      <x:c r="T42" s="106"/>
      <x:c r="U42" s="106"/>
      <x:c r="V42" s="106"/>
      <x:c r="W42" s="106"/>
      <x:c r="X42" s="106"/>
      <x:c r="Y42" s="106"/>
      <x:c r="Z42" s="106"/>
      <x:c r="AA42" s="106"/>
      <x:c r="AB42" s="106"/>
      <x:c r="AC42" s="106"/>
      <x:c r="AD42" s="106"/>
      <x:c r="AE42" s="106"/>
      <x:c r="AF42" s="106"/>
      <x:c r="AG42" s="106"/>
      <x:c r="AH42" s="106"/>
      <x:c r="AI42" s="106"/>
      <x:c r="AJ42" s="106"/>
      <x:c r="AK42" s="106"/>
      <x:c r="AL42" s="106"/>
      <x:c r="AM42" s="106"/>
      <x:c r="AN42" s="106"/>
      <x:c r="AO42" s="106"/>
      <x:c r="AP42" s="106"/>
      <x:c r="AQ42" s="106"/>
      <x:c r="AR42" s="106"/>
      <x:c r="AS42" s="106"/>
      <x:c r="AT42" s="106"/>
      <x:c r="AU42" s="106"/>
      <x:c r="AV42" s="106"/>
      <x:c r="AW42" s="106"/>
      <x:c r="AX42" s="106"/>
      <x:c r="AY42" s="106"/>
      <x:c r="AZ42" s="106"/>
      <x:c r="BA42" s="106"/>
    </x:row>
    <x:row r="43">
      <x:c r="A43" s="106"/>
      <x:c r="B43" s="106"/>
      <x:c r="C43" s="106"/>
      <x:c r="D43" s="106"/>
      <x:c r="E43" s="106"/>
      <x:c r="F43" s="106"/>
      <x:c r="G43" s="106"/>
      <x:c r="H43" s="106"/>
      <x:c r="I43" s="106"/>
      <x:c r="J43" s="106"/>
      <x:c r="K43" s="106"/>
      <x:c r="L43" s="106"/>
      <x:c r="M43" s="106"/>
      <x:c r="N43" s="106"/>
      <x:c r="O43" s="106"/>
      <x:c r="P43" s="106"/>
      <x:c r="Q43" s="106"/>
      <x:c r="R43" s="106"/>
      <x:c r="S43" s="106"/>
      <x:c r="T43" s="106"/>
      <x:c r="U43" s="106"/>
      <x:c r="V43" s="106"/>
      <x:c r="W43" s="106"/>
      <x:c r="X43" s="106"/>
      <x:c r="Y43" s="106"/>
      <x:c r="Z43" s="106"/>
      <x:c r="AA43" s="106"/>
      <x:c r="AB43" s="106"/>
      <x:c r="AC43" s="106"/>
      <x:c r="AD43" s="106"/>
      <x:c r="AE43" s="106"/>
      <x:c r="AF43" s="106"/>
      <x:c r="AG43" s="106"/>
      <x:c r="AH43" s="106"/>
      <x:c r="AI43" s="106"/>
      <x:c r="AJ43" s="106"/>
      <x:c r="AK43" s="106"/>
      <x:c r="AL43" s="106"/>
      <x:c r="AM43" s="106"/>
      <x:c r="AN43" s="106"/>
      <x:c r="AO43" s="106"/>
      <x:c r="AP43" s="106"/>
      <x:c r="AQ43" s="106"/>
      <x:c r="AR43" s="106"/>
      <x:c r="AS43" s="106"/>
      <x:c r="AT43" s="106"/>
      <x:c r="AU43" s="106"/>
      <x:c r="AV43" s="106"/>
      <x:c r="AW43" s="106"/>
      <x:c r="AX43" s="106"/>
      <x:c r="AY43" s="106"/>
      <x:c r="AZ43" s="106"/>
      <x:c r="BA43" s="106"/>
    </x:row>
    <x:row r="44">
      <x:c r="A44" s="106"/>
      <x:c r="B44" s="106"/>
      <x:c r="C44" s="106"/>
      <x:c r="D44" s="106"/>
      <x:c r="E44" s="106"/>
      <x:c r="F44" s="106"/>
      <x:c r="G44" s="106"/>
      <x:c r="H44" s="106"/>
      <x:c r="I44" s="106"/>
      <x:c r="J44" s="106"/>
      <x:c r="K44" s="106"/>
      <x:c r="L44" s="106"/>
      <x:c r="M44" s="106"/>
      <x:c r="N44" s="106"/>
      <x:c r="O44" s="106"/>
      <x:c r="P44" s="106"/>
      <x:c r="Q44" s="106"/>
      <x:c r="R44" s="106"/>
      <x:c r="S44" s="106"/>
      <x:c r="T44" s="106"/>
      <x:c r="U44" s="106"/>
      <x:c r="V44" s="106"/>
      <x:c r="W44" s="106"/>
      <x:c r="X44" s="106"/>
      <x:c r="Y44" s="106"/>
      <x:c r="Z44" s="106"/>
      <x:c r="AA44" s="106"/>
      <x:c r="AB44" s="106"/>
      <x:c r="AC44" s="106"/>
      <x:c r="AD44" s="106"/>
      <x:c r="AE44" s="106"/>
      <x:c r="AF44" s="106"/>
      <x:c r="AG44" s="106"/>
      <x:c r="AH44" s="106"/>
      <x:c r="AI44" s="106"/>
      <x:c r="AJ44" s="106"/>
      <x:c r="AK44" s="106"/>
      <x:c r="AL44" s="106"/>
      <x:c r="AM44" s="106"/>
      <x:c r="AN44" s="106"/>
      <x:c r="AO44" s="106"/>
      <x:c r="AP44" s="106"/>
      <x:c r="AQ44" s="106"/>
      <x:c r="AR44" s="106"/>
      <x:c r="AS44" s="106"/>
      <x:c r="AT44" s="106"/>
      <x:c r="AU44" s="106"/>
      <x:c r="AV44" s="106"/>
      <x:c r="AW44" s="106"/>
      <x:c r="AX44" s="106"/>
      <x:c r="AY44" s="106"/>
      <x:c r="AZ44" s="106"/>
      <x:c r="BA44" s="106"/>
    </x:row>
    <x:row r="45">
      <x:c r="A45" s="106"/>
      <x:c r="B45" s="106"/>
      <x:c r="C45" s="106"/>
      <x:c r="D45" s="106"/>
      <x:c r="E45" s="106"/>
      <x:c r="F45" s="106"/>
      <x:c r="G45" s="106"/>
      <x:c r="H45" s="106"/>
      <x:c r="I45" s="106"/>
      <x:c r="J45" s="106"/>
      <x:c r="K45" s="106"/>
      <x:c r="L45" s="106"/>
      <x:c r="M45" s="106"/>
      <x:c r="N45" s="106"/>
      <x:c r="O45" s="106"/>
      <x:c r="P45" s="106"/>
      <x:c r="Q45" s="106"/>
      <x:c r="R45" s="106"/>
      <x:c r="S45" s="106"/>
      <x:c r="T45" s="106"/>
      <x:c r="U45" s="106"/>
      <x:c r="V45" s="106"/>
      <x:c r="W45" s="106"/>
      <x:c r="X45" s="106"/>
      <x:c r="Y45" s="106"/>
      <x:c r="Z45" s="106"/>
      <x:c r="AA45" s="106"/>
      <x:c r="AB45" s="106"/>
      <x:c r="AC45" s="106"/>
      <x:c r="AD45" s="106"/>
      <x:c r="AE45" s="106"/>
      <x:c r="AF45" s="106"/>
      <x:c r="AG45" s="106"/>
      <x:c r="AH45" s="106"/>
      <x:c r="AI45" s="106"/>
      <x:c r="AJ45" s="106"/>
      <x:c r="AK45" s="106"/>
      <x:c r="AL45" s="106"/>
      <x:c r="AM45" s="106"/>
      <x:c r="AN45" s="106"/>
      <x:c r="AO45" s="106"/>
      <x:c r="AP45" s="106"/>
      <x:c r="AQ45" s="106"/>
      <x:c r="AR45" s="106"/>
      <x:c r="AS45" s="106"/>
      <x:c r="AT45" s="106"/>
      <x:c r="AU45" s="106"/>
      <x:c r="AV45" s="106"/>
      <x:c r="AW45" s="106"/>
      <x:c r="AX45" s="106"/>
      <x:c r="AY45" s="106"/>
      <x:c r="AZ45" s="106"/>
      <x:c r="BA45" s="106"/>
    </x:row>
    <x:row r="46">
      <x:c r="A46" s="106"/>
      <x:c r="B46" s="106"/>
      <x:c r="C46" s="106"/>
      <x:c r="D46" s="106"/>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c r="AO46" s="106"/>
      <x:c r="AP46" s="106"/>
      <x:c r="AQ46" s="106"/>
      <x:c r="AR46" s="106"/>
      <x:c r="AS46" s="106"/>
      <x:c r="AT46" s="106"/>
      <x:c r="AU46" s="106"/>
      <x:c r="AV46" s="106"/>
      <x:c r="AW46" s="106"/>
      <x:c r="AX46" s="106"/>
      <x:c r="AY46" s="106"/>
      <x:c r="AZ46" s="106"/>
      <x:c r="BA46" s="106"/>
    </x:row>
    <x:row r="47">
      <x:c r="A47" s="106"/>
      <x:c r="B47" s="106"/>
      <x:c r="C47" s="106"/>
      <x:c r="D47" s="10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c r="AO47" s="106"/>
      <x:c r="AP47" s="106"/>
      <x:c r="AQ47" s="106"/>
      <x:c r="AR47" s="106"/>
      <x:c r="AS47" s="106"/>
      <x:c r="AT47" s="106"/>
      <x:c r="AU47" s="106"/>
      <x:c r="AV47" s="106"/>
      <x:c r="AW47" s="106"/>
      <x:c r="AX47" s="106"/>
      <x:c r="AY47" s="106"/>
      <x:c r="AZ47" s="106"/>
      <x:c r="BA47" s="106"/>
    </x:row>
    <x:row r="48">
      <x:c r="A48" s="106"/>
      <x:c r="B48" s="106"/>
      <x:c r="C48" s="106"/>
      <x:c r="D48" s="106"/>
      <x:c r="E48" s="106"/>
      <x:c r="F48" s="106"/>
      <x:c r="G48" s="106"/>
      <x:c r="H48" s="106"/>
      <x:c r="I48" s="106"/>
      <x:c r="J48" s="106"/>
      <x:c r="K48" s="106"/>
      <x:c r="L48" s="106"/>
      <x:c r="M48" s="106"/>
      <x:c r="N48" s="106"/>
      <x:c r="O48" s="106"/>
      <x:c r="P48" s="106"/>
      <x:c r="Q48" s="106"/>
      <x:c r="R48" s="106"/>
      <x:c r="S48" s="106"/>
      <x:c r="T48" s="106"/>
      <x:c r="U48" s="106"/>
      <x:c r="V48" s="106"/>
      <x:c r="W48" s="106"/>
      <x:c r="X48" s="106"/>
      <x:c r="Y48" s="106"/>
      <x:c r="Z48" s="106"/>
      <x:c r="AA48" s="106"/>
      <x:c r="AB48" s="106"/>
      <x:c r="AC48" s="106"/>
      <x:c r="AD48" s="106"/>
      <x:c r="AE48" s="106"/>
      <x:c r="AF48" s="106"/>
      <x:c r="AG48" s="106"/>
      <x:c r="AH48" s="106"/>
      <x:c r="AI48" s="106"/>
      <x:c r="AJ48" s="106"/>
      <x:c r="AK48" s="106"/>
      <x:c r="AL48" s="106"/>
      <x:c r="AM48" s="106"/>
      <x:c r="AN48" s="106"/>
      <x:c r="AO48" s="106"/>
      <x:c r="AP48" s="106"/>
      <x:c r="AQ48" s="106"/>
      <x:c r="AR48" s="106"/>
      <x:c r="AS48" s="106"/>
      <x:c r="AT48" s="106"/>
      <x:c r="AU48" s="106"/>
      <x:c r="AV48" s="106"/>
      <x:c r="AW48" s="106"/>
      <x:c r="AX48" s="106"/>
      <x:c r="AY48" s="106"/>
      <x:c r="AZ48" s="106"/>
      <x:c r="BA48" s="106"/>
    </x:row>
    <x:row r="49">
      <x:c r="A49" s="106"/>
      <x:c r="B49" s="106"/>
      <x:c r="C49" s="106"/>
      <x:c r="D49" s="106"/>
      <x:c r="E49" s="106"/>
      <x:c r="F49" s="106"/>
      <x:c r="G49" s="106"/>
      <x:c r="H49" s="106"/>
      <x:c r="I49" s="106"/>
      <x:c r="J49" s="106"/>
      <x:c r="K49" s="106"/>
      <x:c r="L49" s="106"/>
      <x:c r="M49" s="106"/>
      <x:c r="N49" s="106"/>
      <x:c r="O49" s="106"/>
      <x:c r="P49" s="106"/>
      <x:c r="Q49" s="106"/>
      <x:c r="R49" s="106"/>
      <x:c r="S49" s="106"/>
      <x:c r="T49" s="106"/>
      <x:c r="U49" s="106"/>
      <x:c r="V49" s="106"/>
      <x:c r="W49" s="106"/>
      <x:c r="X49" s="106"/>
      <x:c r="Y49" s="106"/>
      <x:c r="Z49" s="106"/>
      <x:c r="AA49" s="106"/>
      <x:c r="AB49" s="106"/>
      <x:c r="AC49" s="106"/>
      <x:c r="AD49" s="106"/>
      <x:c r="AE49" s="106"/>
      <x:c r="AF49" s="106"/>
      <x:c r="AG49" s="106"/>
      <x:c r="AH49" s="106"/>
      <x:c r="AI49" s="106"/>
      <x:c r="AJ49" s="106"/>
      <x:c r="AK49" s="106"/>
      <x:c r="AL49" s="106"/>
      <x:c r="AM49" s="106"/>
      <x:c r="AN49" s="106"/>
      <x:c r="AO49" s="106"/>
      <x:c r="AP49" s="106"/>
      <x:c r="AQ49" s="106"/>
      <x:c r="AR49" s="106"/>
      <x:c r="AS49" s="106"/>
      <x:c r="AT49" s="106"/>
      <x:c r="AU49" s="106"/>
      <x:c r="AV49" s="106"/>
      <x:c r="AW49" s="106"/>
      <x:c r="AX49" s="106"/>
      <x:c r="AY49" s="106"/>
      <x:c r="AZ49" s="106"/>
      <x:c r="BA49" s="106"/>
    </x:row>
    <x:row r="50">
      <x:c r="A50" s="106"/>
      <x:c r="B50" s="106"/>
      <x:c r="C50" s="106"/>
      <x:c r="D50" s="106"/>
      <x:c r="E50" s="106"/>
      <x:c r="F50" s="106"/>
      <x:c r="G50" s="106"/>
      <x:c r="H50" s="106"/>
      <x:c r="I50" s="106"/>
      <x:c r="J50" s="106"/>
      <x:c r="K50" s="106"/>
      <x:c r="L50" s="106"/>
      <x:c r="M50" s="106"/>
      <x:c r="N50" s="106"/>
      <x:c r="O50" s="106"/>
      <x:c r="P50" s="106"/>
      <x:c r="Q50" s="106"/>
      <x:c r="R50" s="106"/>
      <x:c r="S50" s="106"/>
      <x:c r="T50" s="106"/>
      <x:c r="U50" s="106"/>
      <x:c r="V50" s="106"/>
      <x:c r="W50" s="106"/>
      <x:c r="X50" s="106"/>
      <x:c r="Y50" s="106"/>
      <x:c r="Z50" s="106"/>
      <x:c r="AA50" s="106"/>
      <x:c r="AB50" s="106"/>
      <x:c r="AC50" s="106"/>
      <x:c r="AD50" s="106"/>
      <x:c r="AE50" s="106"/>
      <x:c r="AF50" s="106"/>
      <x:c r="AG50" s="106"/>
      <x:c r="AH50" s="106"/>
      <x:c r="AI50" s="106"/>
      <x:c r="AJ50" s="106"/>
      <x:c r="AK50" s="106"/>
      <x:c r="AL50" s="106"/>
      <x:c r="AM50" s="106"/>
      <x:c r="AN50" s="106"/>
      <x:c r="AO50" s="106"/>
      <x:c r="AP50" s="106"/>
      <x:c r="AQ50" s="106"/>
      <x:c r="AR50" s="106"/>
      <x:c r="AS50" s="106"/>
      <x:c r="AT50" s="106"/>
      <x:c r="AU50" s="106"/>
      <x:c r="AV50" s="106"/>
      <x:c r="AW50" s="106"/>
      <x:c r="AX50" s="106"/>
      <x:c r="AY50" s="106"/>
      <x:c r="AZ50" s="106"/>
      <x:c r="BA50" s="106"/>
    </x:row>
    <x:row r="51">
      <x:c r="A51" s="106"/>
      <x:c r="B51" s="106"/>
      <x:c r="C51" s="106"/>
      <x:c r="D51" s="106"/>
      <x:c r="E51" s="106"/>
      <x:c r="F51" s="106"/>
      <x:c r="G51" s="106"/>
      <x:c r="H51" s="106"/>
      <x:c r="I51" s="106"/>
      <x:c r="J51" s="106"/>
      <x:c r="K51" s="106"/>
      <x:c r="L51" s="106"/>
      <x:c r="M51" s="106"/>
      <x:c r="N51" s="106"/>
      <x:c r="O51" s="106"/>
      <x:c r="P51" s="106"/>
      <x:c r="Q51" s="106"/>
      <x:c r="R51" s="106"/>
      <x:c r="S51" s="106"/>
      <x:c r="T51" s="106"/>
      <x:c r="U51" s="106"/>
      <x:c r="V51" s="106"/>
      <x:c r="W51" s="106"/>
      <x:c r="X51" s="106"/>
      <x:c r="Y51" s="106"/>
      <x:c r="Z51" s="106"/>
      <x:c r="AA51" s="106"/>
      <x:c r="AB51" s="106"/>
      <x:c r="AC51" s="106"/>
      <x:c r="AD51" s="106"/>
      <x:c r="AE51" s="106"/>
      <x:c r="AF51" s="106"/>
      <x:c r="AG51" s="106"/>
      <x:c r="AH51" s="106"/>
      <x:c r="AI51" s="106"/>
      <x:c r="AJ51" s="106"/>
      <x:c r="AK51" s="106"/>
      <x:c r="AL51" s="106"/>
      <x:c r="AM51" s="106"/>
      <x:c r="AN51" s="106"/>
      <x:c r="AO51" s="106"/>
      <x:c r="AP51" s="106"/>
      <x:c r="AQ51" s="106"/>
      <x:c r="AR51" s="106"/>
      <x:c r="AS51" s="106"/>
      <x:c r="AT51" s="106"/>
      <x:c r="AU51" s="106"/>
      <x:c r="AV51" s="106"/>
      <x:c r="AW51" s="106"/>
      <x:c r="AX51" s="106"/>
      <x:c r="AY51" s="106"/>
      <x:c r="AZ51" s="106"/>
      <x:c r="BA51" s="106"/>
    </x:row>
    <x:row r="52">
      <x:c r="A52" s="106"/>
      <x:c r="B52" s="106"/>
      <x:c r="C52" s="106"/>
      <x:c r="D52" s="106"/>
      <x:c r="E52" s="106"/>
      <x:c r="F52" s="106"/>
      <x:c r="G52" s="106"/>
      <x:c r="H52" s="106"/>
      <x:c r="I52" s="106"/>
      <x:c r="J52" s="106"/>
      <x:c r="K52" s="106"/>
      <x:c r="L52" s="106"/>
      <x:c r="M52" s="106"/>
      <x:c r="N52" s="106"/>
      <x:c r="O52" s="106"/>
      <x:c r="P52" s="106"/>
      <x:c r="Q52" s="106"/>
      <x:c r="R52" s="106"/>
      <x:c r="S52" s="106"/>
      <x:c r="T52" s="106"/>
      <x:c r="U52" s="106"/>
      <x:c r="V52" s="106"/>
      <x:c r="W52" s="106"/>
      <x:c r="X52" s="106"/>
      <x:c r="Y52" s="106"/>
      <x:c r="Z52" s="106"/>
      <x:c r="AA52" s="106"/>
      <x:c r="AB52" s="106"/>
      <x:c r="AC52" s="106"/>
      <x:c r="AD52" s="106"/>
      <x:c r="AE52" s="106"/>
      <x:c r="AF52" s="106"/>
      <x:c r="AG52" s="106"/>
      <x:c r="AH52" s="106"/>
      <x:c r="AI52" s="106"/>
      <x:c r="AJ52" s="106"/>
      <x:c r="AK52" s="106"/>
      <x:c r="AL52" s="106"/>
      <x:c r="AM52" s="106"/>
      <x:c r="AN52" s="106"/>
      <x:c r="AO52" s="106"/>
      <x:c r="AP52" s="106"/>
      <x:c r="AQ52" s="106"/>
      <x:c r="AR52" s="106"/>
      <x:c r="AS52" s="106"/>
      <x:c r="AT52" s="106"/>
      <x:c r="AU52" s="106"/>
      <x:c r="AV52" s="106"/>
      <x:c r="AW52" s="106"/>
      <x:c r="AX52" s="106"/>
      <x:c r="AY52" s="106"/>
      <x:c r="AZ52" s="106"/>
      <x:c r="BA52" s="106"/>
    </x:row>
    <x:row r="53">
      <x:c r="A53" s="106"/>
      <x:c r="B53" s="106"/>
      <x:c r="C53" s="106"/>
      <x:c r="D53" s="106"/>
      <x:c r="E53" s="106"/>
      <x:c r="F53" s="106"/>
      <x:c r="G53" s="106"/>
      <x:c r="H53" s="106"/>
      <x:c r="I53" s="106"/>
      <x:c r="J53" s="106"/>
      <x:c r="K53" s="106"/>
      <x:c r="L53" s="106"/>
      <x:c r="M53" s="106"/>
      <x:c r="N53" s="106"/>
      <x:c r="O53" s="106"/>
      <x:c r="P53" s="106"/>
      <x:c r="Q53" s="106"/>
      <x:c r="R53" s="106"/>
      <x:c r="S53" s="106"/>
      <x:c r="T53" s="106"/>
      <x:c r="U53" s="106"/>
      <x:c r="V53" s="106"/>
      <x:c r="W53" s="106"/>
      <x:c r="X53" s="106"/>
      <x:c r="Y53" s="106"/>
      <x:c r="Z53" s="106"/>
      <x:c r="AA53" s="106"/>
      <x:c r="AB53" s="106"/>
      <x:c r="AC53" s="106"/>
      <x:c r="AD53" s="106"/>
      <x:c r="AE53" s="106"/>
      <x:c r="AF53" s="106"/>
      <x:c r="AG53" s="106"/>
      <x:c r="AH53" s="106"/>
      <x:c r="AI53" s="106"/>
      <x:c r="AJ53" s="106"/>
      <x:c r="AK53" s="106"/>
      <x:c r="AL53" s="106"/>
      <x:c r="AM53" s="106"/>
      <x:c r="AN53" s="106"/>
      <x:c r="AO53" s="106"/>
      <x:c r="AP53" s="106"/>
      <x:c r="AQ53" s="106"/>
      <x:c r="AR53" s="106"/>
      <x:c r="AS53" s="106"/>
      <x:c r="AT53" s="106"/>
      <x:c r="AU53" s="106"/>
      <x:c r="AV53" s="106"/>
      <x:c r="AW53" s="106"/>
      <x:c r="AX53" s="106"/>
      <x:c r="AY53" s="106"/>
      <x:c r="AZ53" s="106"/>
      <x:c r="BA53" s="106"/>
    </x:row>
    <x:row r="54">
      <x:c r="A54" s="106"/>
      <x:c r="B54" s="106"/>
      <x:c r="C54" s="106"/>
      <x:c r="D54" s="106"/>
      <x:c r="E54" s="106"/>
      <x:c r="F54" s="106"/>
      <x:c r="G54" s="106"/>
      <x:c r="H54" s="106"/>
      <x:c r="I54" s="106"/>
      <x:c r="J54" s="106"/>
      <x:c r="K54" s="106"/>
      <x:c r="L54" s="106"/>
      <x:c r="M54" s="106"/>
      <x:c r="N54" s="106"/>
      <x:c r="O54" s="106"/>
      <x:c r="P54" s="106"/>
      <x:c r="Q54" s="106"/>
      <x:c r="R54" s="106"/>
      <x:c r="S54" s="106"/>
      <x:c r="T54" s="106"/>
      <x:c r="U54" s="106"/>
      <x:c r="V54" s="106"/>
      <x:c r="W54" s="106"/>
      <x:c r="X54" s="106"/>
      <x:c r="Y54" s="106"/>
      <x:c r="Z54" s="106"/>
      <x:c r="AA54" s="106"/>
      <x:c r="AB54" s="106"/>
      <x:c r="AC54" s="106"/>
      <x:c r="AD54" s="106"/>
      <x:c r="AE54" s="106"/>
      <x:c r="AF54" s="106"/>
      <x:c r="AG54" s="106"/>
      <x:c r="AH54" s="106"/>
      <x:c r="AI54" s="106"/>
      <x:c r="AJ54" s="106"/>
      <x:c r="AK54" s="106"/>
      <x:c r="AL54" s="106"/>
      <x:c r="AM54" s="106"/>
      <x:c r="AN54" s="106"/>
      <x:c r="AO54" s="106"/>
      <x:c r="AP54" s="106"/>
      <x:c r="AQ54" s="106"/>
      <x:c r="AR54" s="106"/>
      <x:c r="AS54" s="106"/>
      <x:c r="AT54" s="106"/>
      <x:c r="AU54" s="106"/>
      <x:c r="AV54" s="106"/>
      <x:c r="AW54" s="106"/>
      <x:c r="AX54" s="106"/>
      <x:c r="AY54" s="106"/>
      <x:c r="AZ54" s="106"/>
      <x:c r="BA54" s="106"/>
    </x:row>
    <x:row r="55">
      <x:c r="A55" s="106"/>
      <x:c r="B55" s="106"/>
      <x:c r="C55" s="106"/>
      <x:c r="D55" s="106"/>
      <x:c r="E55" s="106"/>
      <x:c r="F55" s="106"/>
      <x:c r="G55" s="106"/>
      <x:c r="H55" s="106"/>
      <x:c r="I55" s="106"/>
      <x:c r="J55" s="106"/>
      <x:c r="K55" s="106"/>
      <x:c r="L55" s="106"/>
      <x:c r="M55" s="106"/>
      <x:c r="N55" s="106"/>
      <x:c r="O55" s="106"/>
      <x:c r="P55" s="106"/>
      <x:c r="Q55" s="106"/>
      <x:c r="R55" s="106"/>
      <x:c r="S55" s="106"/>
      <x:c r="T55" s="106"/>
      <x:c r="U55" s="106"/>
      <x:c r="V55" s="106"/>
      <x:c r="W55" s="106"/>
      <x:c r="X55" s="106"/>
      <x:c r="Y55" s="106"/>
      <x:c r="Z55" s="106"/>
      <x:c r="AA55" s="106"/>
      <x:c r="AB55" s="106"/>
      <x:c r="AC55" s="106"/>
      <x:c r="AD55" s="106"/>
      <x:c r="AE55" s="106"/>
      <x:c r="AF55" s="106"/>
      <x:c r="AG55" s="106"/>
      <x:c r="AH55" s="106"/>
      <x:c r="AI55" s="106"/>
      <x:c r="AJ55" s="106"/>
      <x:c r="AK55" s="106"/>
      <x:c r="AL55" s="106"/>
      <x:c r="AM55" s="106"/>
      <x:c r="AN55" s="106"/>
      <x:c r="AO55" s="106"/>
      <x:c r="AP55" s="106"/>
      <x:c r="AQ55" s="106"/>
      <x:c r="AR55" s="106"/>
      <x:c r="AS55" s="106"/>
      <x:c r="AT55" s="106"/>
      <x:c r="AU55" s="106"/>
      <x:c r="AV55" s="106"/>
      <x:c r="AW55" s="106"/>
      <x:c r="AX55" s="106"/>
      <x:c r="AY55" s="106"/>
      <x:c r="AZ55" s="106"/>
      <x:c r="BA55" s="106"/>
    </x:row>
    <x:row r="56">
      <x:c r="A56" s="106"/>
      <x:c r="B56" s="106"/>
      <x:c r="C56" s="106"/>
      <x:c r="D56" s="106"/>
      <x:c r="E56" s="106"/>
      <x:c r="F56" s="106"/>
      <x:c r="G56" s="106"/>
      <x:c r="H56" s="106"/>
      <x:c r="I56" s="106"/>
      <x:c r="J56" s="106"/>
      <x:c r="K56" s="106"/>
      <x:c r="L56" s="106"/>
      <x:c r="M56" s="106"/>
      <x:c r="N56" s="106"/>
      <x:c r="O56" s="106"/>
      <x:c r="P56" s="106"/>
      <x:c r="Q56" s="106"/>
      <x:c r="R56" s="106"/>
      <x:c r="S56" s="106"/>
      <x:c r="T56" s="106"/>
      <x:c r="U56" s="106"/>
      <x:c r="V56" s="106"/>
      <x:c r="W56" s="106"/>
      <x:c r="X56" s="106"/>
      <x:c r="Y56" s="106"/>
      <x:c r="Z56" s="106"/>
      <x:c r="AA56" s="106"/>
      <x:c r="AB56" s="106"/>
      <x:c r="AC56" s="106"/>
      <x:c r="AD56" s="106"/>
      <x:c r="AE56" s="106"/>
      <x:c r="AF56" s="106"/>
      <x:c r="AG56" s="106"/>
      <x:c r="AH56" s="106"/>
      <x:c r="AI56" s="106"/>
      <x:c r="AJ56" s="106"/>
      <x:c r="AK56" s="106"/>
      <x:c r="AL56" s="106"/>
      <x:c r="AM56" s="106"/>
      <x:c r="AN56" s="106"/>
      <x:c r="AO56" s="106"/>
      <x:c r="AP56" s="106"/>
      <x:c r="AQ56" s="106"/>
      <x:c r="AR56" s="106"/>
      <x:c r="AS56" s="106"/>
      <x:c r="AT56" s="106"/>
      <x:c r="AU56" s="106"/>
      <x:c r="AV56" s="106"/>
      <x:c r="AW56" s="106"/>
      <x:c r="AX56" s="106"/>
      <x:c r="AY56" s="106"/>
      <x:c r="AZ56" s="106"/>
      <x:c r="BA56" s="106"/>
    </x:row>
    <x:row r="57">
      <x:c r="A57" s="106"/>
      <x:c r="B57" s="106"/>
      <x:c r="C57" s="106"/>
      <x:c r="D57" s="106"/>
      <x:c r="E57" s="106"/>
      <x:c r="F57" s="106"/>
      <x:c r="G57" s="106"/>
      <x:c r="H57" s="106"/>
      <x:c r="I57" s="106"/>
      <x:c r="J57" s="106"/>
      <x:c r="K57" s="106"/>
      <x:c r="L57" s="106"/>
      <x:c r="M57" s="106"/>
      <x:c r="N57" s="106"/>
      <x:c r="O57" s="106"/>
      <x:c r="P57" s="106"/>
      <x:c r="Q57" s="106"/>
      <x:c r="R57" s="106"/>
      <x:c r="S57" s="106"/>
      <x:c r="T57" s="106"/>
      <x:c r="U57" s="106"/>
      <x:c r="V57" s="106"/>
      <x:c r="W57" s="106"/>
      <x:c r="X57" s="106"/>
      <x:c r="Y57" s="106"/>
      <x:c r="Z57" s="106"/>
      <x:c r="AA57" s="106"/>
      <x:c r="AB57" s="106"/>
      <x:c r="AC57" s="106"/>
      <x:c r="AD57" s="106"/>
      <x:c r="AE57" s="106"/>
      <x:c r="AF57" s="106"/>
      <x:c r="AG57" s="106"/>
      <x:c r="AH57" s="106"/>
      <x:c r="AI57" s="106"/>
      <x:c r="AJ57" s="106"/>
      <x:c r="AK57" s="106"/>
      <x:c r="AL57" s="106"/>
      <x:c r="AM57" s="106"/>
      <x:c r="AN57" s="106"/>
      <x:c r="AO57" s="106"/>
      <x:c r="AP57" s="106"/>
      <x:c r="AQ57" s="106"/>
      <x:c r="AR57" s="106"/>
      <x:c r="AS57" s="106"/>
      <x:c r="AT57" s="106"/>
      <x:c r="AU57" s="106"/>
      <x:c r="AV57" s="106"/>
      <x:c r="AW57" s="106"/>
      <x:c r="AX57" s="106"/>
      <x:c r="AY57" s="106"/>
      <x:c r="AZ57" s="106"/>
      <x:c r="BA57" s="106"/>
    </x:row>
    <x:row r="58">
      <x:c r="A58" s="106"/>
      <x:c r="B58" s="106"/>
      <x:c r="C58" s="106"/>
      <x:c r="D58" s="106"/>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c r="AO58" s="106"/>
      <x:c r="AP58" s="106"/>
      <x:c r="AQ58" s="106"/>
      <x:c r="AR58" s="106"/>
      <x:c r="AS58" s="106"/>
      <x:c r="AT58" s="106"/>
      <x:c r="AU58" s="106"/>
      <x:c r="AV58" s="106"/>
      <x:c r="AW58" s="106"/>
      <x:c r="AX58" s="106"/>
      <x:c r="AY58" s="106"/>
      <x:c r="AZ58" s="106"/>
      <x:c r="BA58" s="106"/>
    </x:row>
    <x:row r="59">
      <x:c r="A59" s="106"/>
      <x:c r="B59" s="106"/>
      <x:c r="C59" s="106"/>
      <x:c r="D59" s="106"/>
      <x:c r="E59" s="106"/>
      <x:c r="F59" s="106"/>
      <x:c r="G59" s="106"/>
      <x:c r="H59" s="106"/>
      <x:c r="I59" s="106"/>
      <x:c r="J59" s="106"/>
      <x:c r="K59" s="106"/>
      <x:c r="L59" s="106"/>
      <x:c r="M59" s="106"/>
      <x:c r="N59" s="106"/>
      <x:c r="O59" s="106"/>
      <x:c r="P59" s="106"/>
      <x:c r="Q59" s="106"/>
      <x:c r="R59" s="106"/>
      <x:c r="S59" s="106"/>
      <x:c r="T59" s="106"/>
      <x:c r="U59" s="106"/>
      <x:c r="V59" s="106"/>
      <x:c r="W59" s="106"/>
      <x:c r="X59" s="106"/>
      <x:c r="Y59" s="106"/>
      <x:c r="Z59" s="106"/>
      <x:c r="AA59" s="106"/>
      <x:c r="AB59" s="106"/>
      <x:c r="AC59" s="106"/>
      <x:c r="AD59" s="106"/>
      <x:c r="AE59" s="106"/>
      <x:c r="AF59" s="106"/>
      <x:c r="AG59" s="106"/>
      <x:c r="AH59" s="106"/>
      <x:c r="AI59" s="106"/>
      <x:c r="AJ59" s="106"/>
      <x:c r="AK59" s="106"/>
      <x:c r="AL59" s="106"/>
      <x:c r="AM59" s="106"/>
      <x:c r="AN59" s="106"/>
      <x:c r="AO59" s="106"/>
      <x:c r="AP59" s="106"/>
      <x:c r="AQ59" s="106"/>
      <x:c r="AR59" s="106"/>
      <x:c r="AS59" s="106"/>
      <x:c r="AT59" s="106"/>
      <x:c r="AU59" s="106"/>
      <x:c r="AV59" s="106"/>
      <x:c r="AW59" s="106"/>
      <x:c r="AX59" s="106"/>
      <x:c r="AY59" s="106"/>
      <x:c r="AZ59" s="106"/>
      <x:c r="BA59" s="106"/>
    </x:row>
    <x:row r="60">
      <x:c r="A60" s="106"/>
      <x:c r="B60" s="106"/>
      <x:c r="C60" s="106"/>
      <x:c r="D60" s="106"/>
      <x:c r="E60" s="106"/>
      <x:c r="F60" s="106"/>
      <x:c r="G60" s="106"/>
      <x:c r="H60" s="106"/>
      <x:c r="I60" s="106"/>
      <x:c r="J60" s="106"/>
      <x:c r="K60" s="106"/>
      <x:c r="L60" s="106"/>
      <x:c r="M60" s="106"/>
      <x:c r="N60" s="106"/>
      <x:c r="O60" s="106"/>
      <x:c r="P60" s="106"/>
      <x:c r="Q60" s="106"/>
      <x:c r="R60" s="106"/>
      <x:c r="S60" s="106"/>
      <x:c r="T60" s="106"/>
      <x:c r="U60" s="106"/>
      <x:c r="V60" s="106"/>
      <x:c r="W60" s="106"/>
      <x:c r="X60" s="106"/>
      <x:c r="Y60" s="106"/>
      <x:c r="Z60" s="106"/>
      <x:c r="AA60" s="106"/>
      <x:c r="AB60" s="106"/>
      <x:c r="AC60" s="106"/>
      <x:c r="AD60" s="106"/>
      <x:c r="AE60" s="106"/>
      <x:c r="AF60" s="106"/>
      <x:c r="AG60" s="106"/>
      <x:c r="AH60" s="106"/>
      <x:c r="AI60" s="106"/>
      <x:c r="AJ60" s="106"/>
      <x:c r="AK60" s="106"/>
      <x:c r="AL60" s="106"/>
      <x:c r="AM60" s="106"/>
      <x:c r="AN60" s="106"/>
      <x:c r="AO60" s="106"/>
      <x:c r="AP60" s="106"/>
      <x:c r="AQ60" s="106"/>
      <x:c r="AR60" s="106"/>
      <x:c r="AS60" s="106"/>
      <x:c r="AT60" s="106"/>
      <x:c r="AU60" s="106"/>
      <x:c r="AV60" s="106"/>
      <x:c r="AW60" s="106"/>
      <x:c r="AX60" s="106"/>
      <x:c r="AY60" s="106"/>
      <x:c r="AZ60" s="106"/>
      <x:c r="BA60" s="106"/>
    </x:row>
  </x:sheetData>
  <x:mergeCells>
    <x:mergeCell ref="A1:M1"/>
  </x:mergeCells>
  <x:conditionalFormatting sqref="H4:H33">
    <x:cfRule type="expression" dxfId="10" priority="1">
      <x:formula>$H4="Critical"</x:formula>
    </x:cfRule>
    <x:cfRule type="expression" dxfId="11" priority="2">
      <x:formula>$H4="High"</x:formula>
    </x:cfRule>
  </x:conditionalFormatting>
  <x:conditionalFormatting sqref="K4:K33">
    <x:cfRule type="expression" dxfId="12" priority="3">
      <x:formula>$K4="Overdue"</x:formula>
    </x:cfRule>
  </x:conditionalFormatting>
  <x:dataValidations count="4">
    <x:dataValidation type="list" sqref="D4:D33">
      <x:formula1>SETUP!$D$4:$D$11</x:formula1>
    </x:dataValidation>
    <x:dataValidation type="list" sqref="E4:E33">
      <x:formula1>SETUP!$K$2:$K$6</x:formula1>
    </x:dataValidation>
    <x:dataValidation type="list" sqref="F4:F33">
      <x:formula1>SETUP!$L$2:$L$6</x:formula1>
    </x:dataValidation>
    <x:dataValidation type="list" sqref="I4:I33">
      <x:formula1>SETUP!$J$2:$J$6</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18" hidden="0" customWidth="1"/>
    <x:col min="4" max="4" width="15" hidden="0" customWidth="1"/>
    <x:col min="5" max="5" width="14" hidden="0" customWidth="1"/>
    <x:col min="6" max="6" width="16" hidden="0" customWidth="1"/>
    <x:col min="8" max="8" width="14" hidden="0" customWidth="1"/>
    <x:col min="9" max="9" width="14" hidden="0" customWidth="1"/>
    <x:col min="10" max="10" width="14" hidden="0" customWidth="1"/>
    <x:col min="11" max="11" width="14" hidden="0" customWidth="1"/>
    <x:col min="12" max="12" width="14" hidden="0" customWidth="1"/>
  </x:cols>
  <x:sheetData>
    <x:row r="1">
      <x:c r="A1" s="171" t="str">
        <x:v>PROJECT DASHBOARD</x:v>
      </x:c>
      <x:c r="B1" s="171"/>
      <x:c r="C1" s="171"/>
      <x:c r="D1" s="171"/>
      <x:c r="E1" s="171"/>
      <x:c r="F1" s="171"/>
      <x:c r="G1" s="171"/>
      <x:c r="H1" s="171"/>
      <x:c r="I1" s="171"/>
      <x:c r="J1" s="171"/>
      <x:c r="K1" s="171"/>
      <x:c r="L1" s="171"/>
      <x:c r="M1" s="106"/>
      <x:c r="N1" s="106"/>
      <x:c r="O1" s="106"/>
      <x:c r="P1" s="106"/>
      <x:c r="Q1" s="106"/>
      <x:c r="R1" s="106"/>
      <x:c r="S1" s="106"/>
      <x:c r="T1" s="106"/>
      <x:c r="U1" s="106"/>
      <x:c r="V1" s="106"/>
      <x:c r="W1" s="106"/>
      <x:c r="X1" s="106"/>
      <x:c r="Y1" s="106"/>
      <x:c r="Z1" s="106"/>
      <x:c r="AA1" s="106"/>
      <x:c r="AB1" s="106"/>
      <x:c r="AC1" s="106"/>
      <x:c r="AD1" s="106"/>
      <x:c r="AE1" s="106"/>
      <x:c r="AF1" s="106"/>
      <x:c r="AG1" s="106"/>
      <x:c r="AH1" s="106"/>
      <x:c r="AI1" s="106"/>
      <x:c r="AJ1" s="106"/>
      <x:c r="AK1" s="106"/>
      <x:c r="AL1" s="106"/>
      <x:c r="AM1" s="106"/>
      <x:c r="AN1" s="106"/>
      <x:c r="AO1" s="106"/>
      <x:c r="AP1" s="106"/>
      <x:c r="AQ1" s="106"/>
      <x:c r="AR1" s="106"/>
      <x:c r="AS1" s="106"/>
      <x:c r="AT1" s="106"/>
      <x:c r="AU1" s="106"/>
      <x:c r="AV1" s="106"/>
      <x:c r="AW1" s="106"/>
      <x:c r="AX1" s="106"/>
      <x:c r="AY1" s="106"/>
      <x:c r="AZ1" s="106"/>
      <x:c r="BA1" s="106"/>
    </x:row>
    <x:row r="2">
      <x:c r="A2" s="106"/>
      <x:c r="B2" s="106"/>
      <x:c r="C2" s="106"/>
      <x:c r="D2" s="106"/>
      <x:c r="E2" s="106"/>
      <x:c r="F2" s="106"/>
      <x:c r="G2" s="106"/>
      <x:c r="H2" s="106"/>
      <x:c r="I2" s="106"/>
      <x:c r="J2" s="106"/>
      <x:c r="K2" s="106"/>
      <x:c r="L2" s="106"/>
      <x:c r="M2" s="106"/>
      <x:c r="N2" s="106"/>
      <x:c r="O2" s="106"/>
      <x:c r="P2" s="106"/>
      <x:c r="Q2" s="106"/>
      <x:c r="R2" s="106"/>
      <x:c r="S2" s="106"/>
      <x:c r="T2" s="106"/>
      <x:c r="U2" s="106"/>
      <x:c r="V2" s="106"/>
      <x:c r="W2" s="106"/>
      <x:c r="X2" s="106"/>
      <x:c r="Y2" s="106"/>
      <x:c r="Z2" s="106"/>
      <x:c r="AA2" s="106"/>
      <x:c r="AB2" s="106"/>
      <x:c r="AC2" s="106"/>
      <x:c r="AD2" s="106"/>
      <x:c r="AE2" s="106"/>
      <x:c r="AF2" s="106"/>
      <x:c r="AG2" s="106"/>
      <x:c r="AH2" s="106"/>
      <x:c r="AI2" s="106"/>
      <x:c r="AJ2" s="106"/>
      <x:c r="AK2" s="106"/>
      <x:c r="AL2" s="106"/>
      <x:c r="AM2" s="106"/>
      <x:c r="AN2" s="106"/>
      <x:c r="AO2" s="106"/>
      <x:c r="AP2" s="106"/>
      <x:c r="AQ2" s="106"/>
      <x:c r="AR2" s="106"/>
      <x:c r="AS2" s="106"/>
      <x:c r="AT2" s="106"/>
      <x:c r="AU2" s="106"/>
      <x:c r="AV2" s="106"/>
      <x:c r="AW2" s="106"/>
      <x:c r="AX2" s="106"/>
      <x:c r="AY2" s="106"/>
      <x:c r="AZ2" s="106"/>
      <x:c r="BA2" s="106"/>
    </x:row>
    <x:row r="3">
      <x:c r="A3" s="118" t="str">
        <x:v>Project</x:v>
      </x:c>
      <x:c r="B3" s="112" t="str">
        <x:f>SETUP!B3</x:f>
        <x:v>My Project</x:v>
      </x:c>
      <x:c r="C3" s="106"/>
      <x:c r="D3" s="118" t="str">
        <x:v>Progress</x:v>
      </x:c>
      <x:c r="E3" s="159" t="n">
        <x:f>IF(B5=0,0,B6/B5)</x:f>
        <x:v>0</x:v>
      </x:c>
      <x:c r="F3" s="106"/>
      <x:c r="G3" s="106"/>
      <x:c r="H3" s="108" t="str">
        <x:v>Project Health</x:v>
      </x:c>
      <x:c r="I3" s="108"/>
      <x:c r="J3" s="108"/>
      <x:c r="K3" s="108"/>
      <x:c r="L3" s="108"/>
      <x:c r="M3" s="106"/>
      <x:c r="N3" s="106"/>
      <x:c r="O3" s="106"/>
      <x:c r="P3" s="106"/>
      <x:c r="Q3" s="106"/>
      <x:c r="R3" s="106"/>
      <x:c r="S3" s="106"/>
      <x:c r="T3" s="106"/>
      <x:c r="U3" s="106"/>
      <x:c r="V3" s="106"/>
      <x:c r="W3" s="106"/>
      <x:c r="X3" s="106"/>
      <x:c r="Y3" s="106"/>
      <x:c r="Z3" s="106"/>
      <x:c r="AA3" s="106"/>
      <x:c r="AB3" s="106"/>
      <x:c r="AC3" s="106"/>
      <x:c r="AD3" s="106"/>
      <x:c r="AE3" s="106"/>
      <x:c r="AF3" s="106"/>
      <x:c r="AG3" s="106"/>
      <x:c r="AH3" s="106"/>
      <x:c r="AI3" s="106"/>
      <x:c r="AJ3" s="106"/>
      <x:c r="AK3" s="106"/>
      <x:c r="AL3" s="106"/>
      <x:c r="AM3" s="106"/>
      <x:c r="AN3" s="106"/>
      <x:c r="AO3" s="106"/>
      <x:c r="AP3" s="106"/>
      <x:c r="AQ3" s="106"/>
      <x:c r="AR3" s="106"/>
      <x:c r="AS3" s="106"/>
      <x:c r="AT3" s="106"/>
      <x:c r="AU3" s="106"/>
      <x:c r="AV3" s="106"/>
      <x:c r="AW3" s="106"/>
      <x:c r="AX3" s="106"/>
      <x:c r="AY3" s="106"/>
      <x:c r="AZ3" s="106"/>
      <x:c r="BA3" s="106"/>
    </x:row>
    <x:row r="4">
      <x:c r="A4" s="118" t="str">
        <x:v>Reporting Date</x:v>
      </x:c>
      <x:c r="B4" s="160" t="n">
        <x:f>SETUP!B7</x:f>
        <x:v>46296</x:v>
      </x:c>
      <x:c r="C4" s="106"/>
      <x:c r="D4" s="118" t="str">
        <x:v>Open Risks</x:v>
      </x:c>
      <x:c r="E4" s="112" t="n">
        <x:f>COUNTIFS('RISKS &amp; ISSUES'!C4:C33,"&lt;&gt;",'RISKS &amp; ISSUES'!I4:I33,"&lt;&gt;Closed")</x:f>
        <x:v>0</x:v>
      </x:c>
      <x:c r="F4" s="106"/>
      <x:c r="G4" s="106"/>
      <x:c r="H4" s="161" t="str">
        <x:f>IF(OR(B7&gt;0,E5&gt;0,E7&gt;0),"ACTION NEEDED",IF(B8&gt;0,"WATCH","ON TRACK"))</x:f>
        <x:v>ACTION NEEDED</x:v>
      </x:c>
      <x:c r="I4" s="161"/>
      <x:c r="J4" s="161"/>
      <x:c r="K4" s="161"/>
      <x:c r="L4" s="161"/>
      <x:c r="M4" s="106"/>
      <x:c r="N4" s="106"/>
      <x:c r="O4" s="106"/>
      <x:c r="P4" s="106"/>
      <x:c r="Q4" s="106"/>
      <x:c r="R4" s="106"/>
      <x:c r="S4" s="106"/>
      <x:c r="T4" s="106"/>
      <x:c r="U4" s="106"/>
      <x:c r="V4" s="106"/>
      <x:c r="W4" s="106"/>
      <x:c r="X4" s="106"/>
      <x:c r="Y4" s="106"/>
      <x:c r="Z4" s="106"/>
      <x:c r="AA4" s="106"/>
      <x:c r="AB4" s="106"/>
      <x:c r="AC4" s="106"/>
      <x:c r="AD4" s="106"/>
      <x:c r="AE4" s="106"/>
      <x:c r="AF4" s="106"/>
      <x:c r="AG4" s="106"/>
      <x:c r="AH4" s="106"/>
      <x:c r="AI4" s="106"/>
      <x:c r="AJ4" s="106"/>
      <x:c r="AK4" s="106"/>
      <x:c r="AL4" s="106"/>
      <x:c r="AM4" s="106"/>
      <x:c r="AN4" s="106"/>
      <x:c r="AO4" s="106"/>
      <x:c r="AP4" s="106"/>
      <x:c r="AQ4" s="106"/>
      <x:c r="AR4" s="106"/>
      <x:c r="AS4" s="106"/>
      <x:c r="AT4" s="106"/>
      <x:c r="AU4" s="106"/>
      <x:c r="AV4" s="106"/>
      <x:c r="AW4" s="106"/>
      <x:c r="AX4" s="106"/>
      <x:c r="AY4" s="106"/>
      <x:c r="AZ4" s="106"/>
      <x:c r="BA4" s="106"/>
    </x:row>
    <x:row r="5">
      <x:c r="A5" s="118" t="str">
        <x:v>Total Tasks</x:v>
      </x:c>
      <x:c r="B5" s="112" t="n">
        <x:f>COUNTIF('PROJECT PLAN'!C4:C53,"&lt;&gt;")</x:f>
        <x:v>0</x:v>
      </x:c>
      <x:c r="C5" s="106"/>
      <x:c r="D5" s="118" t="str">
        <x:v>Critical Risks</x:v>
      </x:c>
      <x:c r="E5" s="112" t="n">
        <x:f>COUNTIF('RISKS &amp; ISSUES'!H4:H33,"Critical")</x:f>
        <x:v>0</x:v>
      </x:c>
      <x:c r="F5" s="106"/>
      <x:c r="G5" s="106"/>
      <x:c r="H5" s="161"/>
      <x:c r="I5" s="161"/>
      <x:c r="J5" s="161"/>
      <x:c r="K5" s="161"/>
      <x:c r="L5" s="161"/>
      <x:c r="M5" s="106"/>
      <x:c r="N5" s="106"/>
      <x:c r="O5" s="106"/>
      <x:c r="P5" s="106"/>
      <x:c r="Q5" s="106"/>
      <x:c r="R5" s="106"/>
      <x:c r="S5" s="106"/>
      <x:c r="T5" s="106"/>
      <x:c r="U5" s="106"/>
      <x:c r="V5" s="106"/>
      <x:c r="W5" s="106"/>
      <x:c r="X5" s="106"/>
      <x:c r="Y5" s="106"/>
      <x:c r="Z5" s="106"/>
      <x:c r="AA5" s="106"/>
      <x:c r="AB5" s="106"/>
      <x:c r="AC5" s="106"/>
      <x:c r="AD5" s="106"/>
      <x:c r="AE5" s="106"/>
      <x:c r="AF5" s="106"/>
      <x:c r="AG5" s="106"/>
      <x:c r="AH5" s="106"/>
      <x:c r="AI5" s="106"/>
      <x:c r="AJ5" s="106"/>
      <x:c r="AK5" s="106"/>
      <x:c r="AL5" s="106"/>
      <x:c r="AM5" s="106"/>
      <x:c r="AN5" s="106"/>
      <x:c r="AO5" s="106"/>
      <x:c r="AP5" s="106"/>
      <x:c r="AQ5" s="106"/>
      <x:c r="AR5" s="106"/>
      <x:c r="AS5" s="106"/>
      <x:c r="AT5" s="106"/>
      <x:c r="AU5" s="106"/>
      <x:c r="AV5" s="106"/>
      <x:c r="AW5" s="106"/>
      <x:c r="AX5" s="106"/>
      <x:c r="AY5" s="106"/>
      <x:c r="AZ5" s="106"/>
      <x:c r="BA5" s="106"/>
    </x:row>
    <x:row r="6">
      <x:c r="A6" s="118" t="str">
        <x:v>Completed</x:v>
      </x:c>
      <x:c r="B6" s="112" t="n">
        <x:f>COUNTIF('PROJECT PLAN'!E4:E53,"Complete")</x:f>
        <x:v>0</x:v>
      </x:c>
      <x:c r="C6" s="106"/>
      <x:c r="D6" s="118" t="str">
        <x:v>High Risks</x:v>
      </x:c>
      <x:c r="E6" s="112" t="n">
        <x:f>COUNTIF('RISKS &amp; ISSUES'!H4:H33,"High")</x:f>
        <x:v>0</x:v>
      </x:c>
      <x:c r="F6" s="106"/>
      <x:c r="G6" s="106"/>
      <x:c r="H6" s="161"/>
      <x:c r="I6" s="161"/>
      <x:c r="J6" s="161"/>
      <x:c r="K6" s="161"/>
      <x:c r="L6" s="161"/>
      <x:c r="M6" s="106"/>
      <x:c r="N6" s="106"/>
      <x:c r="O6" s="106"/>
      <x:c r="P6" s="106"/>
      <x:c r="Q6" s="106"/>
      <x:c r="R6" s="106"/>
      <x:c r="S6" s="106"/>
      <x:c r="T6" s="106"/>
      <x:c r="U6" s="106"/>
      <x:c r="V6" s="106"/>
      <x:c r="W6" s="106"/>
      <x:c r="X6" s="106"/>
      <x:c r="Y6" s="106"/>
      <x:c r="Z6" s="106"/>
      <x:c r="AA6" s="106"/>
      <x:c r="AB6" s="106"/>
      <x:c r="AC6" s="106"/>
      <x:c r="AD6" s="106"/>
      <x:c r="AE6" s="106"/>
      <x:c r="AF6" s="106"/>
      <x:c r="AG6" s="106"/>
      <x:c r="AH6" s="106"/>
      <x:c r="AI6" s="106"/>
      <x:c r="AJ6" s="106"/>
      <x:c r="AK6" s="106"/>
      <x:c r="AL6" s="106"/>
      <x:c r="AM6" s="106"/>
      <x:c r="AN6" s="106"/>
      <x:c r="AO6" s="106"/>
      <x:c r="AP6" s="106"/>
      <x:c r="AQ6" s="106"/>
      <x:c r="AR6" s="106"/>
      <x:c r="AS6" s="106"/>
      <x:c r="AT6" s="106"/>
      <x:c r="AU6" s="106"/>
      <x:c r="AV6" s="106"/>
      <x:c r="AW6" s="106"/>
      <x:c r="AX6" s="106"/>
      <x:c r="AY6" s="106"/>
      <x:c r="AZ6" s="106"/>
      <x:c r="BA6" s="106"/>
    </x:row>
    <x:row r="7">
      <x:c r="A7" s="118" t="str">
        <x:v>Overdue</x:v>
      </x:c>
      <x:c r="B7" s="112" t="n">
        <x:f>COUNTIF('PROJECT PLAN'!M4:M53,"Overdue")</x:f>
        <x:v>0</x:v>
      </x:c>
      <x:c r="C7" s="106"/>
      <x:c r="D7" s="118" t="str">
        <x:v>RACI Flags</x:v>
      </x:c>
      <x:c r="E7" s="112" t="n">
        <x:f>COUNTIFS(RACI!B4:B53,"&lt;&gt;",RACI!M4:M53,"&lt;&gt;OK")</x:f>
        <x:v>50</x:v>
      </x:c>
      <x:c r="F7" s="106"/>
      <x:c r="G7" s="106"/>
      <x:c r="H7" s="161"/>
      <x:c r="I7" s="161"/>
      <x:c r="J7" s="161"/>
      <x:c r="K7" s="161"/>
      <x:c r="L7" s="161"/>
      <x:c r="M7" s="106"/>
      <x:c r="N7" s="106"/>
      <x:c r="O7" s="106"/>
      <x:c r="P7" s="106"/>
      <x:c r="Q7" s="106"/>
      <x:c r="R7" s="106"/>
      <x:c r="S7" s="106"/>
      <x:c r="T7" s="106"/>
      <x:c r="U7" s="106"/>
      <x:c r="V7" s="106"/>
      <x:c r="W7" s="106"/>
      <x:c r="X7" s="106"/>
      <x:c r="Y7" s="106"/>
      <x:c r="Z7" s="106"/>
      <x:c r="AA7" s="106"/>
      <x:c r="AB7" s="106"/>
      <x:c r="AC7" s="106"/>
      <x:c r="AD7" s="106"/>
      <x:c r="AE7" s="106"/>
      <x:c r="AF7" s="106"/>
      <x:c r="AG7" s="106"/>
      <x:c r="AH7" s="106"/>
      <x:c r="AI7" s="106"/>
      <x:c r="AJ7" s="106"/>
      <x:c r="AK7" s="106"/>
      <x:c r="AL7" s="106"/>
      <x:c r="AM7" s="106"/>
      <x:c r="AN7" s="106"/>
      <x:c r="AO7" s="106"/>
      <x:c r="AP7" s="106"/>
      <x:c r="AQ7" s="106"/>
      <x:c r="AR7" s="106"/>
      <x:c r="AS7" s="106"/>
      <x:c r="AT7" s="106"/>
      <x:c r="AU7" s="106"/>
      <x:c r="AV7" s="106"/>
      <x:c r="AW7" s="106"/>
      <x:c r="AX7" s="106"/>
      <x:c r="AY7" s="106"/>
      <x:c r="AZ7" s="106"/>
      <x:c r="BA7" s="106"/>
    </x:row>
    <x:row r="8">
      <x:c r="A8" s="118" t="str">
        <x:v>Blocked</x:v>
      </x:c>
      <x:c r="B8" s="112" t="n">
        <x:f>COUNTIF('PROJECT PLAN'!E4:E53,"Blocked")</x:f>
        <x:v>0</x:v>
      </x:c>
      <x:c r="C8" s="106"/>
      <x:c r="D8" s="118" t="str">
        <x:v>Schedule Flags</x:v>
      </x:c>
      <x:c r="E8" s="112" t="n">
        <x:f>COUNTIFS('PROJECT PLAN'!C4:C53,"&lt;&gt;",'PROJECT PLAN'!N4:N53,"&lt;&gt;OK")</x:f>
        <x:v>0</x:v>
      </x:c>
      <x:c r="F8" s="106"/>
      <x:c r="G8" s="106"/>
      <x:c r="H8" s="161"/>
      <x:c r="I8" s="161"/>
      <x:c r="J8" s="161"/>
      <x:c r="K8" s="161"/>
      <x:c r="L8" s="161"/>
      <x:c r="M8" s="106"/>
      <x:c r="N8" s="106"/>
      <x:c r="O8" s="106"/>
      <x:c r="P8" s="106"/>
      <x:c r="Q8" s="106"/>
      <x:c r="R8" s="106"/>
      <x:c r="S8" s="106"/>
      <x:c r="T8" s="106"/>
      <x:c r="U8" s="106"/>
      <x:c r="V8" s="106"/>
      <x:c r="W8" s="106"/>
      <x:c r="X8" s="106"/>
      <x:c r="Y8" s="106"/>
      <x:c r="Z8" s="106"/>
      <x:c r="AA8" s="106"/>
      <x:c r="AB8" s="106"/>
      <x:c r="AC8" s="106"/>
      <x:c r="AD8" s="106"/>
      <x:c r="AE8" s="106"/>
      <x:c r="AF8" s="106"/>
      <x:c r="AG8" s="106"/>
      <x:c r="AH8" s="106"/>
      <x:c r="AI8" s="106"/>
      <x:c r="AJ8" s="106"/>
      <x:c r="AK8" s="106"/>
      <x:c r="AL8" s="106"/>
      <x:c r="AM8" s="106"/>
      <x:c r="AN8" s="106"/>
      <x:c r="AO8" s="106"/>
      <x:c r="AP8" s="106"/>
      <x:c r="AQ8" s="106"/>
      <x:c r="AR8" s="106"/>
      <x:c r="AS8" s="106"/>
      <x:c r="AT8" s="106"/>
      <x:c r="AU8" s="106"/>
      <x:c r="AV8" s="106"/>
      <x:c r="AW8" s="106"/>
      <x:c r="AX8" s="106"/>
      <x:c r="AY8" s="106"/>
      <x:c r="AZ8" s="106"/>
      <x:c r="BA8" s="106"/>
    </x:row>
    <x:row r="9">
      <x:c r="A9" s="106"/>
      <x:c r="B9" s="106"/>
      <x:c r="C9" s="106"/>
      <x:c r="D9" s="106"/>
      <x:c r="E9" s="106"/>
      <x:c r="F9" s="106"/>
      <x:c r="G9" s="106"/>
      <x:c r="H9" s="106"/>
      <x:c r="I9" s="106"/>
      <x:c r="J9" s="106"/>
      <x:c r="K9" s="106"/>
      <x:c r="L9" s="106"/>
      <x:c r="M9" s="106"/>
      <x:c r="N9" s="106"/>
      <x:c r="O9" s="106"/>
      <x:c r="P9" s="106"/>
      <x:c r="Q9" s="106"/>
      <x:c r="R9" s="106"/>
      <x:c r="S9" s="106"/>
      <x:c r="T9" s="106"/>
      <x:c r="U9" s="106"/>
      <x:c r="V9" s="106"/>
      <x:c r="W9" s="106"/>
      <x:c r="X9" s="106"/>
      <x:c r="Y9" s="106"/>
      <x:c r="Z9" s="106"/>
      <x:c r="AA9" s="106"/>
      <x:c r="AB9" s="106"/>
      <x:c r="AC9" s="106"/>
      <x:c r="AD9" s="106"/>
      <x:c r="AE9" s="106"/>
      <x:c r="AF9" s="106"/>
      <x:c r="AG9" s="106"/>
      <x:c r="AH9" s="106"/>
      <x:c r="AI9" s="106"/>
      <x:c r="AJ9" s="106"/>
      <x:c r="AK9" s="106"/>
      <x:c r="AL9" s="106"/>
      <x:c r="AM9" s="106"/>
      <x:c r="AN9" s="106"/>
      <x:c r="AO9" s="106"/>
      <x:c r="AP9" s="106"/>
      <x:c r="AQ9" s="106"/>
      <x:c r="AR9" s="106"/>
      <x:c r="AS9" s="106"/>
      <x:c r="AT9" s="106"/>
      <x:c r="AU9" s="106"/>
      <x:c r="AV9" s="106"/>
      <x:c r="AW9" s="106"/>
      <x:c r="AX9" s="106"/>
      <x:c r="AY9" s="106"/>
      <x:c r="AZ9" s="106"/>
      <x:c r="BA9" s="106"/>
    </x:row>
    <x:row r="10">
      <x:c r="A10" s="106"/>
      <x:c r="B10" s="106"/>
      <x:c r="C10" s="106"/>
      <x:c r="D10" s="106"/>
      <x:c r="E10" s="106"/>
      <x:c r="F10" s="106"/>
      <x:c r="G10" s="106"/>
      <x:c r="H10" s="106"/>
      <x:c r="I10" s="106"/>
      <x:c r="J10" s="106"/>
      <x:c r="K10" s="106"/>
      <x:c r="L10" s="106"/>
      <x:c r="M10" s="106"/>
      <x:c r="N10" s="106"/>
      <x:c r="O10" s="106"/>
      <x:c r="P10" s="106"/>
      <x:c r="Q10" s="106"/>
      <x:c r="R10" s="106"/>
      <x:c r="S10" s="106"/>
      <x:c r="T10" s="106"/>
      <x:c r="U10" s="106"/>
      <x:c r="V10" s="106"/>
      <x:c r="W10" s="106"/>
      <x:c r="X10" s="106"/>
      <x:c r="Y10" s="106"/>
      <x:c r="Z10" s="106"/>
      <x:c r="AA10" s="106"/>
      <x:c r="AB10" s="106"/>
      <x:c r="AC10" s="106"/>
      <x:c r="AD10" s="106"/>
      <x:c r="AE10" s="106"/>
      <x:c r="AF10" s="106"/>
      <x:c r="AG10" s="106"/>
      <x:c r="AH10" s="106"/>
      <x:c r="AI10" s="106"/>
      <x:c r="AJ10" s="106"/>
      <x:c r="AK10" s="106"/>
      <x:c r="AL10" s="106"/>
      <x:c r="AM10" s="106"/>
      <x:c r="AN10" s="106"/>
      <x:c r="AO10" s="106"/>
      <x:c r="AP10" s="106"/>
      <x:c r="AQ10" s="106"/>
      <x:c r="AR10" s="106"/>
      <x:c r="AS10" s="106"/>
      <x:c r="AT10" s="106"/>
      <x:c r="AU10" s="106"/>
      <x:c r="AV10" s="106"/>
      <x:c r="AW10" s="106"/>
      <x:c r="AX10" s="106"/>
      <x:c r="AY10" s="106"/>
      <x:c r="AZ10" s="106"/>
      <x:c r="BA10" s="106"/>
    </x:row>
    <x:row r="11">
      <x:c r="A11" s="135" t="str">
        <x:v>Next 10 active tasks (sorted manually in PROJECT PLAN by priority/date if desired)</x:v>
      </x:c>
      <x:c r="B11" s="135"/>
      <x:c r="C11" s="135"/>
      <x:c r="D11" s="135"/>
      <x:c r="E11" s="135"/>
      <x:c r="F11" s="135"/>
      <x:c r="G11" s="106"/>
      <x:c r="H11" s="118" t="str">
        <x:v>Status</x:v>
      </x:c>
      <x:c r="I11" s="118" t="str">
        <x:v>Count</x:v>
      </x:c>
      <x:c r="J11" s="106"/>
      <x:c r="K11" s="106"/>
      <x:c r="L11" s="106"/>
      <x:c r="M11" s="106"/>
      <x:c r="N11" s="106"/>
      <x:c r="O11" s="106"/>
      <x:c r="P11" s="106"/>
      <x:c r="Q11" s="106"/>
      <x:c r="R11" s="106"/>
      <x:c r="S11" s="106"/>
      <x:c r="T11" s="106"/>
      <x:c r="U11" s="106"/>
      <x:c r="V11" s="106"/>
      <x:c r="W11" s="106"/>
      <x:c r="X11" s="106"/>
      <x:c r="Y11" s="106"/>
      <x:c r="Z11" s="106"/>
      <x:c r="AA11" s="106"/>
      <x:c r="AB11" s="106"/>
      <x:c r="AC11" s="106"/>
      <x:c r="AD11" s="106"/>
      <x:c r="AE11" s="106"/>
      <x:c r="AF11" s="106"/>
      <x:c r="AG11" s="106"/>
      <x:c r="AH11" s="106"/>
      <x:c r="AI11" s="106"/>
      <x:c r="AJ11" s="106"/>
      <x:c r="AK11" s="106"/>
      <x:c r="AL11" s="106"/>
      <x:c r="AM11" s="106"/>
      <x:c r="AN11" s="106"/>
      <x:c r="AO11" s="106"/>
      <x:c r="AP11" s="106"/>
      <x:c r="AQ11" s="106"/>
      <x:c r="AR11" s="106"/>
      <x:c r="AS11" s="106"/>
      <x:c r="AT11" s="106"/>
      <x:c r="AU11" s="106"/>
      <x:c r="AV11" s="106"/>
      <x:c r="AW11" s="106"/>
      <x:c r="AX11" s="106"/>
      <x:c r="AY11" s="106"/>
      <x:c r="AZ11" s="106"/>
      <x:c r="BA11" s="106"/>
    </x:row>
    <x:row r="12">
      <x:c r="A12" s="118" t="str">
        <x:v>Task ID</x:v>
      </x:c>
      <x:c r="B12" s="118" t="str">
        <x:v>Task</x:v>
      </x:c>
      <x:c r="C12" s="118" t="str">
        <x:v>Owner</x:v>
      </x:c>
      <x:c r="D12" s="118" t="str">
        <x:v>Status</x:v>
      </x:c>
      <x:c r="E12" s="118" t="str">
        <x:v>End</x:v>
      </x:c>
      <x:c r="F12" s="118" t="str">
        <x:v>Due Status</x:v>
      </x:c>
      <x:c r="G12" s="106"/>
      <x:c r="H12" s="106" t="str">
        <x:v>Not Started</x:v>
      </x:c>
      <x:c r="I12" s="106" t="n">
        <x:f>COUNTIF('PROJECT PLAN'!E4:E53,"Not Started")</x:f>
        <x:v>0</x:v>
      </x:c>
      <x:c r="J12" s="106"/>
      <x:c r="K12" s="106"/>
      <x:c r="L12" s="106"/>
      <x:c r="M12" s="106"/>
      <x:c r="N12" s="106"/>
      <x:c r="O12" s="106"/>
      <x:c r="P12" s="106"/>
      <x:c r="Q12" s="106"/>
      <x:c r="R12" s="106"/>
      <x:c r="S12" s="106"/>
      <x:c r="T12" s="106"/>
      <x:c r="U12" s="106"/>
      <x:c r="V12" s="106"/>
      <x:c r="W12" s="106"/>
      <x:c r="X12" s="106"/>
      <x:c r="Y12" s="106"/>
      <x:c r="Z12" s="106"/>
      <x:c r="AA12" s="106"/>
      <x:c r="AB12" s="106"/>
      <x:c r="AC12" s="106"/>
      <x:c r="AD12" s="106"/>
      <x:c r="AE12" s="106"/>
      <x:c r="AF12" s="106"/>
      <x:c r="AG12" s="106"/>
      <x:c r="AH12" s="106"/>
      <x:c r="AI12" s="106"/>
      <x:c r="AJ12" s="106"/>
      <x:c r="AK12" s="106"/>
      <x:c r="AL12" s="106"/>
      <x:c r="AM12" s="106"/>
      <x:c r="AN12" s="106"/>
      <x:c r="AO12" s="106"/>
      <x:c r="AP12" s="106"/>
      <x:c r="AQ12" s="106"/>
      <x:c r="AR12" s="106"/>
      <x:c r="AS12" s="106"/>
      <x:c r="AT12" s="106"/>
      <x:c r="AU12" s="106"/>
      <x:c r="AV12" s="106"/>
      <x:c r="AW12" s="106"/>
      <x:c r="AX12" s="106"/>
      <x:c r="AY12" s="106"/>
      <x:c r="AZ12" s="106"/>
      <x:c r="BA12" s="106"/>
    </x:row>
    <x:row r="13">
      <x:c r="A13" s="106" t="str">
        <x:f>IF('PROJECT PLAN'!C4="","",'PROJECT PLAN'!A4)</x:f>
      </x:c>
      <x:c r="B13" s="106" t="str">
        <x:f>IF('PROJECT PLAN'!C4="","",'PROJECT PLAN'!C4)</x:f>
      </x:c>
      <x:c r="C13" s="106" t="str">
        <x:f>IF('PROJECT PLAN'!C4="","",'PROJECT PLAN'!D4)</x:f>
      </x:c>
      <x:c r="D13" s="106" t="str">
        <x:f>IF('PROJECT PLAN'!C4="","",'PROJECT PLAN'!E4)</x:f>
      </x:c>
      <x:c r="E13" s="162" t="str">
        <x:f>IF('PROJECT PLAN'!C4="","",'PROJECT PLAN'!K4)</x:f>
      </x:c>
      <x:c r="F13" s="106" t="str">
        <x:f>IF('PROJECT PLAN'!C4="","",'PROJECT PLAN'!M4)</x:f>
      </x:c>
      <x:c r="G13" s="106"/>
      <x:c r="H13" s="106" t="str">
        <x:v>In Progress</x:v>
      </x:c>
      <x:c r="I13" s="106" t="n">
        <x:f>COUNTIF('PROJECT PLAN'!E4:E53,"In Progress")</x:f>
        <x:v>0</x:v>
      </x:c>
      <x:c r="J13" s="106"/>
      <x:c r="K13" s="106"/>
      <x:c r="L13" s="106"/>
      <x:c r="M13" s="106"/>
      <x:c r="N13" s="106"/>
      <x:c r="O13" s="106"/>
      <x:c r="P13" s="106"/>
      <x:c r="Q13" s="106"/>
      <x:c r="R13" s="106"/>
      <x:c r="S13" s="106"/>
      <x:c r="T13" s="106"/>
      <x:c r="U13" s="106"/>
      <x:c r="V13" s="106"/>
      <x:c r="W13" s="106"/>
      <x:c r="X13" s="106"/>
      <x:c r="Y13" s="106"/>
      <x:c r="Z13" s="106"/>
      <x:c r="AA13" s="106"/>
      <x:c r="AB13" s="106"/>
      <x:c r="AC13" s="106"/>
      <x:c r="AD13" s="106"/>
      <x:c r="AE13" s="106"/>
      <x:c r="AF13" s="106"/>
      <x:c r="AG13" s="106"/>
      <x:c r="AH13" s="106"/>
      <x:c r="AI13" s="106"/>
      <x:c r="AJ13" s="106"/>
      <x:c r="AK13" s="106"/>
      <x:c r="AL13" s="106"/>
      <x:c r="AM13" s="106"/>
      <x:c r="AN13" s="106"/>
      <x:c r="AO13" s="106"/>
      <x:c r="AP13" s="106"/>
      <x:c r="AQ13" s="106"/>
      <x:c r="AR13" s="106"/>
      <x:c r="AS13" s="106"/>
      <x:c r="AT13" s="106"/>
      <x:c r="AU13" s="106"/>
      <x:c r="AV13" s="106"/>
      <x:c r="AW13" s="106"/>
      <x:c r="AX13" s="106"/>
      <x:c r="AY13" s="106"/>
      <x:c r="AZ13" s="106"/>
      <x:c r="BA13" s="106"/>
    </x:row>
    <x:row r="14">
      <x:c r="A14" s="106" t="str">
        <x:f>IF('PROJECT PLAN'!C5="","",'PROJECT PLAN'!A5)</x:f>
      </x:c>
      <x:c r="B14" s="106" t="str">
        <x:f>IF('PROJECT PLAN'!C5="","",'PROJECT PLAN'!C5)</x:f>
      </x:c>
      <x:c r="C14" s="106" t="str">
        <x:f>IF('PROJECT PLAN'!C5="","",'PROJECT PLAN'!D5)</x:f>
      </x:c>
      <x:c r="D14" s="106" t="str">
        <x:f>IF('PROJECT PLAN'!C5="","",'PROJECT PLAN'!E5)</x:f>
      </x:c>
      <x:c r="E14" s="162" t="str">
        <x:f>IF('PROJECT PLAN'!C5="","",'PROJECT PLAN'!K5)</x:f>
      </x:c>
      <x:c r="F14" s="106" t="str">
        <x:f>IF('PROJECT PLAN'!C5="","",'PROJECT PLAN'!M5)</x:f>
      </x:c>
      <x:c r="G14" s="106"/>
      <x:c r="H14" s="106" t="str">
        <x:v>Blocked</x:v>
      </x:c>
      <x:c r="I14" s="106" t="n">
        <x:f>COUNTIF('PROJECT PLAN'!E4:E53,"Blocked")</x:f>
        <x:v>0</x:v>
      </x:c>
      <x:c r="J14" s="106"/>
      <x:c r="K14" s="106"/>
      <x:c r="L14" s="106"/>
      <x:c r="M14" s="106"/>
      <x:c r="N14" s="106"/>
      <x:c r="O14" s="106"/>
      <x:c r="P14" s="106"/>
      <x:c r="Q14" s="106"/>
      <x:c r="R14" s="106"/>
      <x:c r="S14" s="106"/>
      <x:c r="T14" s="106"/>
      <x:c r="U14" s="106"/>
      <x:c r="V14" s="106"/>
      <x:c r="W14" s="106"/>
      <x:c r="X14" s="106"/>
      <x:c r="Y14" s="106"/>
      <x:c r="Z14" s="106"/>
      <x:c r="AA14" s="106"/>
      <x:c r="AB14" s="106"/>
      <x:c r="AC14" s="106"/>
      <x:c r="AD14" s="106"/>
      <x:c r="AE14" s="106"/>
      <x:c r="AF14" s="106"/>
      <x:c r="AG14" s="106"/>
      <x:c r="AH14" s="106"/>
      <x:c r="AI14" s="106"/>
      <x:c r="AJ14" s="106"/>
      <x:c r="AK14" s="106"/>
      <x:c r="AL14" s="106"/>
      <x:c r="AM14" s="106"/>
      <x:c r="AN14" s="106"/>
      <x:c r="AO14" s="106"/>
      <x:c r="AP14" s="106"/>
      <x:c r="AQ14" s="106"/>
      <x:c r="AR14" s="106"/>
      <x:c r="AS14" s="106"/>
      <x:c r="AT14" s="106"/>
      <x:c r="AU14" s="106"/>
      <x:c r="AV14" s="106"/>
      <x:c r="AW14" s="106"/>
      <x:c r="AX14" s="106"/>
      <x:c r="AY14" s="106"/>
      <x:c r="AZ14" s="106"/>
      <x:c r="BA14" s="106"/>
    </x:row>
    <x:row r="15">
      <x:c r="A15" s="106" t="str">
        <x:f>IF('PROJECT PLAN'!C6="","",'PROJECT PLAN'!A6)</x:f>
      </x:c>
      <x:c r="B15" s="106" t="str">
        <x:f>IF('PROJECT PLAN'!C6="","",'PROJECT PLAN'!C6)</x:f>
      </x:c>
      <x:c r="C15" s="106" t="str">
        <x:f>IF('PROJECT PLAN'!C6="","",'PROJECT PLAN'!D6)</x:f>
      </x:c>
      <x:c r="D15" s="106" t="str">
        <x:f>IF('PROJECT PLAN'!C6="","",'PROJECT PLAN'!E6)</x:f>
      </x:c>
      <x:c r="E15" s="162" t="str">
        <x:f>IF('PROJECT PLAN'!C6="","",'PROJECT PLAN'!K6)</x:f>
      </x:c>
      <x:c r="F15" s="106" t="str">
        <x:f>IF('PROJECT PLAN'!C6="","",'PROJECT PLAN'!M6)</x:f>
      </x:c>
      <x:c r="G15" s="106"/>
      <x:c r="H15" s="106" t="str">
        <x:v>Complete</x:v>
      </x:c>
      <x:c r="I15" s="106" t="n">
        <x:f>COUNTIF('PROJECT PLAN'!E4:E53,"Complete")</x:f>
        <x:v>0</x:v>
      </x:c>
      <x:c r="J15" s="106"/>
      <x:c r="K15" s="106"/>
      <x:c r="L15" s="106"/>
      <x:c r="M15" s="106"/>
      <x:c r="N15" s="106"/>
      <x:c r="O15" s="106"/>
      <x:c r="P15" s="106"/>
      <x:c r="Q15" s="106"/>
      <x:c r="R15" s="106"/>
      <x:c r="S15" s="106"/>
      <x:c r="T15" s="106"/>
      <x:c r="U15" s="106"/>
      <x:c r="V15" s="106"/>
      <x:c r="W15" s="106"/>
      <x:c r="X15" s="106"/>
      <x:c r="Y15" s="106"/>
      <x:c r="Z15" s="106"/>
      <x:c r="AA15" s="106"/>
      <x:c r="AB15" s="106"/>
      <x:c r="AC15" s="106"/>
      <x:c r="AD15" s="106"/>
      <x:c r="AE15" s="106"/>
      <x:c r="AF15" s="106"/>
      <x:c r="AG15" s="106"/>
      <x:c r="AH15" s="106"/>
      <x:c r="AI15" s="106"/>
      <x:c r="AJ15" s="106"/>
      <x:c r="AK15" s="106"/>
      <x:c r="AL15" s="106"/>
      <x:c r="AM15" s="106"/>
      <x:c r="AN15" s="106"/>
      <x:c r="AO15" s="106"/>
      <x:c r="AP15" s="106"/>
      <x:c r="AQ15" s="106"/>
      <x:c r="AR15" s="106"/>
      <x:c r="AS15" s="106"/>
      <x:c r="AT15" s="106"/>
      <x:c r="AU15" s="106"/>
      <x:c r="AV15" s="106"/>
      <x:c r="AW15" s="106"/>
      <x:c r="AX15" s="106"/>
      <x:c r="AY15" s="106"/>
      <x:c r="AZ15" s="106"/>
      <x:c r="BA15" s="106"/>
    </x:row>
    <x:row r="16">
      <x:c r="A16" s="106" t="str">
        <x:f>IF('PROJECT PLAN'!C7="","",'PROJECT PLAN'!A7)</x:f>
      </x:c>
      <x:c r="B16" s="106" t="str">
        <x:f>IF('PROJECT PLAN'!C7="","",'PROJECT PLAN'!C7)</x:f>
      </x:c>
      <x:c r="C16" s="106" t="str">
        <x:f>IF('PROJECT PLAN'!C7="","",'PROJECT PLAN'!D7)</x:f>
      </x:c>
      <x:c r="D16" s="106" t="str">
        <x:f>IF('PROJECT PLAN'!C7="","",'PROJECT PLAN'!E7)</x:f>
      </x:c>
      <x:c r="E16" s="162" t="str">
        <x:f>IF('PROJECT PLAN'!C7="","",'PROJECT PLAN'!K7)</x:f>
      </x:c>
      <x:c r="F16" s="106" t="str">
        <x:f>IF('PROJECT PLAN'!C7="","",'PROJECT PLAN'!M7)</x:f>
      </x:c>
      <x:c r="G16" s="106"/>
      <x:c r="H16" s="106" t="str">
        <x:v>On Hold</x:v>
      </x:c>
      <x:c r="I16" s="106" t="n">
        <x:f>COUNTIF('PROJECT PLAN'!E4:E53,"On Hold")</x:f>
        <x:v>0</x:v>
      </x:c>
      <x:c r="J16" s="106"/>
      <x:c r="K16" s="106"/>
      <x:c r="L16" s="106"/>
      <x:c r="M16" s="106"/>
      <x:c r="N16" s="106"/>
      <x:c r="O16" s="106"/>
      <x:c r="P16" s="106"/>
      <x:c r="Q16" s="106"/>
      <x:c r="R16" s="106"/>
      <x:c r="S16" s="106"/>
      <x:c r="T16" s="106"/>
      <x:c r="U16" s="106"/>
      <x:c r="V16" s="106"/>
      <x:c r="W16" s="106"/>
      <x:c r="X16" s="106"/>
      <x:c r="Y16" s="106"/>
      <x:c r="Z16" s="106"/>
      <x:c r="AA16" s="106"/>
      <x:c r="AB16" s="106"/>
      <x:c r="AC16" s="106"/>
      <x:c r="AD16" s="106"/>
      <x:c r="AE16" s="106"/>
      <x:c r="AF16" s="106"/>
      <x:c r="AG16" s="106"/>
      <x:c r="AH16" s="106"/>
      <x:c r="AI16" s="106"/>
      <x:c r="AJ16" s="106"/>
      <x:c r="AK16" s="106"/>
      <x:c r="AL16" s="106"/>
      <x:c r="AM16" s="106"/>
      <x:c r="AN16" s="106"/>
      <x:c r="AO16" s="106"/>
      <x:c r="AP16" s="106"/>
      <x:c r="AQ16" s="106"/>
      <x:c r="AR16" s="106"/>
      <x:c r="AS16" s="106"/>
      <x:c r="AT16" s="106"/>
      <x:c r="AU16" s="106"/>
      <x:c r="AV16" s="106"/>
      <x:c r="AW16" s="106"/>
      <x:c r="AX16" s="106"/>
      <x:c r="AY16" s="106"/>
      <x:c r="AZ16" s="106"/>
      <x:c r="BA16" s="106"/>
    </x:row>
    <x:row r="17">
      <x:c r="A17" s="106" t="str">
        <x:f>IF('PROJECT PLAN'!C8="","",'PROJECT PLAN'!A8)</x:f>
      </x:c>
      <x:c r="B17" s="106" t="str">
        <x:f>IF('PROJECT PLAN'!C8="","",'PROJECT PLAN'!C8)</x:f>
      </x:c>
      <x:c r="C17" s="106" t="str">
        <x:f>IF('PROJECT PLAN'!C8="","",'PROJECT PLAN'!D8)</x:f>
      </x:c>
      <x:c r="D17" s="106" t="str">
        <x:f>IF('PROJECT PLAN'!C8="","",'PROJECT PLAN'!E8)</x:f>
      </x:c>
      <x:c r="E17" s="162" t="str">
        <x:f>IF('PROJECT PLAN'!C8="","",'PROJECT PLAN'!K8)</x:f>
      </x:c>
      <x:c r="F17" s="106" t="str">
        <x:f>IF('PROJECT PLAN'!C8="","",'PROJECT PLAN'!M8)</x:f>
      </x:c>
      <x:c r="G17" s="106"/>
      <x:c r="H17" s="106"/>
      <x:c r="I17" s="106"/>
      <x:c r="J17" s="106"/>
      <x:c r="K17" s="106"/>
      <x:c r="L17" s="106"/>
      <x:c r="M17" s="106"/>
      <x:c r="N17" s="106"/>
      <x:c r="O17" s="106"/>
      <x:c r="P17" s="106"/>
      <x:c r="Q17" s="106"/>
      <x:c r="R17" s="106"/>
      <x:c r="S17" s="106"/>
      <x:c r="T17" s="106"/>
      <x:c r="U17" s="106"/>
      <x:c r="V17" s="106"/>
      <x:c r="W17" s="106"/>
      <x:c r="X17" s="106"/>
      <x:c r="Y17" s="106"/>
      <x:c r="Z17" s="106"/>
      <x:c r="AA17" s="106"/>
      <x:c r="AB17" s="106"/>
      <x:c r="AC17" s="106"/>
      <x:c r="AD17" s="106"/>
      <x:c r="AE17" s="106"/>
      <x:c r="AF17" s="106"/>
      <x:c r="AG17" s="106"/>
      <x:c r="AH17" s="106"/>
      <x:c r="AI17" s="106"/>
      <x:c r="AJ17" s="106"/>
      <x:c r="AK17" s="106"/>
      <x:c r="AL17" s="106"/>
      <x:c r="AM17" s="106"/>
      <x:c r="AN17" s="106"/>
      <x:c r="AO17" s="106"/>
      <x:c r="AP17" s="106"/>
      <x:c r="AQ17" s="106"/>
      <x:c r="AR17" s="106"/>
      <x:c r="AS17" s="106"/>
      <x:c r="AT17" s="106"/>
      <x:c r="AU17" s="106"/>
      <x:c r="AV17" s="106"/>
      <x:c r="AW17" s="106"/>
      <x:c r="AX17" s="106"/>
      <x:c r="AY17" s="106"/>
      <x:c r="AZ17" s="106"/>
      <x:c r="BA17" s="106"/>
    </x:row>
    <x:row r="18">
      <x:c r="A18" s="106" t="str">
        <x:f>IF('PROJECT PLAN'!C9="","",'PROJECT PLAN'!A9)</x:f>
      </x:c>
      <x:c r="B18" s="106" t="str">
        <x:f>IF('PROJECT PLAN'!C9="","",'PROJECT PLAN'!C9)</x:f>
      </x:c>
      <x:c r="C18" s="106" t="str">
        <x:f>IF('PROJECT PLAN'!C9="","",'PROJECT PLAN'!D9)</x:f>
      </x:c>
      <x:c r="D18" s="106" t="str">
        <x:f>IF('PROJECT PLAN'!C9="","",'PROJECT PLAN'!E9)</x:f>
      </x:c>
      <x:c r="E18" s="162" t="str">
        <x:f>IF('PROJECT PLAN'!C9="","",'PROJECT PLAN'!K9)</x:f>
      </x:c>
      <x:c r="F18" s="106" t="str">
        <x:f>IF('PROJECT PLAN'!C9="","",'PROJECT PLAN'!M9)</x:f>
      </x:c>
      <x:c r="G18" s="106"/>
      <x:c r="H18" s="106"/>
      <x:c r="I18" s="106"/>
      <x:c r="J18" s="106"/>
      <x:c r="K18" s="106"/>
      <x:c r="L18" s="106"/>
      <x:c r="M18" s="106"/>
      <x:c r="N18" s="106"/>
      <x:c r="O18" s="106"/>
      <x:c r="P18" s="106"/>
      <x:c r="Q18" s="106"/>
      <x:c r="R18" s="106"/>
      <x:c r="S18" s="106"/>
      <x:c r="T18" s="106"/>
      <x:c r="U18" s="106"/>
      <x:c r="V18" s="106"/>
      <x:c r="W18" s="106"/>
      <x:c r="X18" s="106"/>
      <x:c r="Y18" s="106"/>
      <x:c r="Z18" s="106"/>
      <x:c r="AA18" s="106"/>
      <x:c r="AB18" s="106"/>
      <x:c r="AC18" s="106"/>
      <x:c r="AD18" s="106"/>
      <x:c r="AE18" s="106"/>
      <x:c r="AF18" s="106"/>
      <x:c r="AG18" s="106"/>
      <x:c r="AH18" s="106"/>
      <x:c r="AI18" s="106"/>
      <x:c r="AJ18" s="106"/>
      <x:c r="AK18" s="106"/>
      <x:c r="AL18" s="106"/>
      <x:c r="AM18" s="106"/>
      <x:c r="AN18" s="106"/>
      <x:c r="AO18" s="106"/>
      <x:c r="AP18" s="106"/>
      <x:c r="AQ18" s="106"/>
      <x:c r="AR18" s="106"/>
      <x:c r="AS18" s="106"/>
      <x:c r="AT18" s="106"/>
      <x:c r="AU18" s="106"/>
      <x:c r="AV18" s="106"/>
      <x:c r="AW18" s="106"/>
      <x:c r="AX18" s="106"/>
      <x:c r="AY18" s="106"/>
      <x:c r="AZ18" s="106"/>
      <x:c r="BA18" s="106"/>
    </x:row>
    <x:row r="19">
      <x:c r="A19" s="106" t="str">
        <x:f>IF('PROJECT PLAN'!C10="","",'PROJECT PLAN'!A10)</x:f>
      </x:c>
      <x:c r="B19" s="106" t="str">
        <x:f>IF('PROJECT PLAN'!C10="","",'PROJECT PLAN'!C10)</x:f>
      </x:c>
      <x:c r="C19" s="106" t="str">
        <x:f>IF('PROJECT PLAN'!C10="","",'PROJECT PLAN'!D10)</x:f>
      </x:c>
      <x:c r="D19" s="106" t="str">
        <x:f>IF('PROJECT PLAN'!C10="","",'PROJECT PLAN'!E10)</x:f>
      </x:c>
      <x:c r="E19" s="162" t="str">
        <x:f>IF('PROJECT PLAN'!C10="","",'PROJECT PLAN'!K10)</x:f>
      </x:c>
      <x:c r="F19" s="106" t="str">
        <x:f>IF('PROJECT PLAN'!C10="","",'PROJECT PLAN'!M10)</x:f>
      </x:c>
      <x:c r="G19" s="106"/>
      <x:c r="H19" s="106"/>
      <x:c r="I19" s="106"/>
      <x:c r="J19" s="106"/>
      <x:c r="K19" s="106"/>
      <x:c r="L19" s="106"/>
      <x:c r="M19" s="106"/>
      <x:c r="N19" s="106"/>
      <x:c r="O19" s="106"/>
      <x:c r="P19" s="106"/>
      <x:c r="Q19" s="106"/>
      <x:c r="R19" s="106"/>
      <x:c r="S19" s="106"/>
      <x:c r="T19" s="106"/>
      <x:c r="U19" s="106"/>
      <x:c r="V19" s="106"/>
      <x:c r="W19" s="106"/>
      <x:c r="X19" s="106"/>
      <x:c r="Y19" s="106"/>
      <x:c r="Z19" s="106"/>
      <x:c r="AA19" s="106"/>
      <x:c r="AB19" s="106"/>
      <x:c r="AC19" s="106"/>
      <x:c r="AD19" s="106"/>
      <x:c r="AE19" s="106"/>
      <x:c r="AF19" s="106"/>
      <x:c r="AG19" s="106"/>
      <x:c r="AH19" s="106"/>
      <x:c r="AI19" s="106"/>
      <x:c r="AJ19" s="106"/>
      <x:c r="AK19" s="106"/>
      <x:c r="AL19" s="106"/>
      <x:c r="AM19" s="106"/>
      <x:c r="AN19" s="106"/>
      <x:c r="AO19" s="106"/>
      <x:c r="AP19" s="106"/>
      <x:c r="AQ19" s="106"/>
      <x:c r="AR19" s="106"/>
      <x:c r="AS19" s="106"/>
      <x:c r="AT19" s="106"/>
      <x:c r="AU19" s="106"/>
      <x:c r="AV19" s="106"/>
      <x:c r="AW19" s="106"/>
      <x:c r="AX19" s="106"/>
      <x:c r="AY19" s="106"/>
      <x:c r="AZ19" s="106"/>
      <x:c r="BA19" s="106"/>
    </x:row>
    <x:row r="20">
      <x:c r="A20" s="106" t="str">
        <x:f>IF('PROJECT PLAN'!C11="","",'PROJECT PLAN'!A11)</x:f>
      </x:c>
      <x:c r="B20" s="106" t="str">
        <x:f>IF('PROJECT PLAN'!C11="","",'PROJECT PLAN'!C11)</x:f>
      </x:c>
      <x:c r="C20" s="106" t="str">
        <x:f>IF('PROJECT PLAN'!C11="","",'PROJECT PLAN'!D11)</x:f>
      </x:c>
      <x:c r="D20" s="106" t="str">
        <x:f>IF('PROJECT PLAN'!C11="","",'PROJECT PLAN'!E11)</x:f>
      </x:c>
      <x:c r="E20" s="162" t="str">
        <x:f>IF('PROJECT PLAN'!C11="","",'PROJECT PLAN'!K11)</x:f>
      </x:c>
      <x:c r="F20" s="106" t="str">
        <x:f>IF('PROJECT PLAN'!C11="","",'PROJECT PLAN'!M11)</x:f>
      </x:c>
      <x:c r="G20" s="106"/>
      <x:c r="H20" s="106"/>
      <x:c r="I20" s="106"/>
      <x:c r="J20" s="106"/>
      <x:c r="K20" s="106"/>
      <x:c r="L20" s="106"/>
      <x:c r="M20" s="106"/>
      <x:c r="N20" s="106"/>
      <x:c r="O20" s="106"/>
      <x:c r="P20" s="106"/>
      <x:c r="Q20" s="106"/>
      <x:c r="R20" s="106"/>
      <x:c r="S20" s="106"/>
      <x:c r="T20" s="106"/>
      <x:c r="U20" s="106"/>
      <x:c r="V20" s="106"/>
      <x:c r="W20" s="106"/>
      <x:c r="X20" s="106"/>
      <x:c r="Y20" s="106"/>
      <x:c r="Z20" s="106"/>
      <x:c r="AA20" s="106"/>
      <x:c r="AB20" s="106"/>
      <x:c r="AC20" s="106"/>
      <x:c r="AD20" s="106"/>
      <x:c r="AE20" s="106"/>
      <x:c r="AF20" s="106"/>
      <x:c r="AG20" s="106"/>
      <x:c r="AH20" s="106"/>
      <x:c r="AI20" s="106"/>
      <x:c r="AJ20" s="106"/>
      <x:c r="AK20" s="106"/>
      <x:c r="AL20" s="106"/>
      <x:c r="AM20" s="106"/>
      <x:c r="AN20" s="106"/>
      <x:c r="AO20" s="106"/>
      <x:c r="AP20" s="106"/>
      <x:c r="AQ20" s="106"/>
      <x:c r="AR20" s="106"/>
      <x:c r="AS20" s="106"/>
      <x:c r="AT20" s="106"/>
      <x:c r="AU20" s="106"/>
      <x:c r="AV20" s="106"/>
      <x:c r="AW20" s="106"/>
      <x:c r="AX20" s="106"/>
      <x:c r="AY20" s="106"/>
      <x:c r="AZ20" s="106"/>
      <x:c r="BA20" s="106"/>
    </x:row>
    <x:row r="21">
      <x:c r="A21" s="106" t="str">
        <x:f>IF('PROJECT PLAN'!C12="","",'PROJECT PLAN'!A12)</x:f>
      </x:c>
      <x:c r="B21" s="106" t="str">
        <x:f>IF('PROJECT PLAN'!C12="","",'PROJECT PLAN'!C12)</x:f>
      </x:c>
      <x:c r="C21" s="106" t="str">
        <x:f>IF('PROJECT PLAN'!C12="","",'PROJECT PLAN'!D12)</x:f>
      </x:c>
      <x:c r="D21" s="106" t="str">
        <x:f>IF('PROJECT PLAN'!C12="","",'PROJECT PLAN'!E12)</x:f>
      </x:c>
      <x:c r="E21" s="162" t="str">
        <x:f>IF('PROJECT PLAN'!C12="","",'PROJECT PLAN'!K12)</x:f>
      </x:c>
      <x:c r="F21" s="106" t="str">
        <x:f>IF('PROJECT PLAN'!C12="","",'PROJECT PLAN'!M12)</x:f>
      </x:c>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c r="AO21" s="106"/>
      <x:c r="AP21" s="106"/>
      <x:c r="AQ21" s="106"/>
      <x:c r="AR21" s="106"/>
      <x:c r="AS21" s="106"/>
      <x:c r="AT21" s="106"/>
      <x:c r="AU21" s="106"/>
      <x:c r="AV21" s="106"/>
      <x:c r="AW21" s="106"/>
      <x:c r="AX21" s="106"/>
      <x:c r="AY21" s="106"/>
      <x:c r="AZ21" s="106"/>
      <x:c r="BA21" s="106"/>
    </x:row>
    <x:row r="22">
      <x:c r="A22" s="106" t="str">
        <x:f>IF('PROJECT PLAN'!C13="","",'PROJECT PLAN'!A13)</x:f>
      </x:c>
      <x:c r="B22" s="106" t="str">
        <x:f>IF('PROJECT PLAN'!C13="","",'PROJECT PLAN'!C13)</x:f>
      </x:c>
      <x:c r="C22" s="106" t="str">
        <x:f>IF('PROJECT PLAN'!C13="","",'PROJECT PLAN'!D13)</x:f>
      </x:c>
      <x:c r="D22" s="106" t="str">
        <x:f>IF('PROJECT PLAN'!C13="","",'PROJECT PLAN'!E13)</x:f>
      </x:c>
      <x:c r="E22" s="162" t="str">
        <x:f>IF('PROJECT PLAN'!C13="","",'PROJECT PLAN'!K13)</x:f>
      </x:c>
      <x:c r="F22" s="106" t="str">
        <x:f>IF('PROJECT PLAN'!C13="","",'PROJECT PLAN'!M13)</x:f>
      </x:c>
      <x:c r="G22" s="106"/>
      <x:c r="H22" s="106"/>
      <x:c r="I22" s="106"/>
      <x:c r="J22" s="106"/>
      <x:c r="K22" s="106"/>
      <x:c r="L22" s="106"/>
      <x:c r="M22" s="106"/>
      <x:c r="N22" s="106"/>
      <x:c r="O22" s="106"/>
      <x:c r="P22" s="106"/>
      <x:c r="Q22" s="106"/>
      <x:c r="R22" s="106"/>
      <x:c r="S22" s="106"/>
      <x:c r="T22" s="106"/>
      <x:c r="U22" s="106"/>
      <x:c r="V22" s="106"/>
      <x:c r="W22" s="106"/>
      <x:c r="X22" s="106"/>
      <x:c r="Y22" s="106"/>
      <x:c r="Z22" s="106"/>
      <x:c r="AA22" s="106"/>
      <x:c r="AB22" s="106"/>
      <x:c r="AC22" s="106"/>
      <x:c r="AD22" s="106"/>
      <x:c r="AE22" s="106"/>
      <x:c r="AF22" s="106"/>
      <x:c r="AG22" s="106"/>
      <x:c r="AH22" s="106"/>
      <x:c r="AI22" s="106"/>
      <x:c r="AJ22" s="106"/>
      <x:c r="AK22" s="106"/>
      <x:c r="AL22" s="106"/>
      <x:c r="AM22" s="106"/>
      <x:c r="AN22" s="106"/>
      <x:c r="AO22" s="106"/>
      <x:c r="AP22" s="106"/>
      <x:c r="AQ22" s="106"/>
      <x:c r="AR22" s="106"/>
      <x:c r="AS22" s="106"/>
      <x:c r="AT22" s="106"/>
      <x:c r="AU22" s="106"/>
      <x:c r="AV22" s="106"/>
      <x:c r="AW22" s="106"/>
      <x:c r="AX22" s="106"/>
      <x:c r="AY22" s="106"/>
      <x:c r="AZ22" s="106"/>
      <x:c r="BA22" s="106"/>
    </x:row>
    <x:row r="23">
      <x:c r="A23" s="106"/>
      <x:c r="B23" s="106"/>
      <x:c r="C23" s="106"/>
      <x:c r="D23" s="106"/>
      <x:c r="E23" s="106"/>
      <x:c r="F23" s="106"/>
      <x:c r="G23" s="106"/>
      <x:c r="H23" s="106"/>
      <x:c r="I23" s="106"/>
      <x:c r="J23" s="106"/>
      <x:c r="K23" s="106"/>
      <x:c r="L23" s="106"/>
      <x:c r="M23" s="106"/>
      <x:c r="N23" s="106"/>
      <x:c r="O23" s="106"/>
      <x:c r="P23" s="106"/>
      <x:c r="Q23" s="106"/>
      <x:c r="R23" s="106"/>
      <x:c r="S23" s="106"/>
      <x:c r="T23" s="106"/>
      <x:c r="U23" s="106"/>
      <x:c r="V23" s="106"/>
      <x:c r="W23" s="106"/>
      <x:c r="X23" s="106"/>
      <x:c r="Y23" s="106"/>
      <x:c r="Z23" s="106"/>
      <x:c r="AA23" s="106"/>
      <x:c r="AB23" s="106"/>
      <x:c r="AC23" s="106"/>
      <x:c r="AD23" s="106"/>
      <x:c r="AE23" s="106"/>
      <x:c r="AF23" s="106"/>
      <x:c r="AG23" s="106"/>
      <x:c r="AH23" s="106"/>
      <x:c r="AI23" s="106"/>
      <x:c r="AJ23" s="106"/>
      <x:c r="AK23" s="106"/>
      <x:c r="AL23" s="106"/>
      <x:c r="AM23" s="106"/>
      <x:c r="AN23" s="106"/>
      <x:c r="AO23" s="106"/>
      <x:c r="AP23" s="106"/>
      <x:c r="AQ23" s="106"/>
      <x:c r="AR23" s="106"/>
      <x:c r="AS23" s="106"/>
      <x:c r="AT23" s="106"/>
      <x:c r="AU23" s="106"/>
      <x:c r="AV23" s="106"/>
      <x:c r="AW23" s="106"/>
      <x:c r="AX23" s="106"/>
      <x:c r="AY23" s="106"/>
      <x:c r="AZ23" s="106"/>
      <x:c r="BA23" s="106"/>
    </x:row>
    <x:row r="24">
      <x:c r="A24" s="106"/>
      <x:c r="B24" s="106"/>
      <x:c r="C24" s="106"/>
      <x:c r="D24" s="106"/>
      <x:c r="E24" s="106"/>
      <x:c r="F24" s="106"/>
      <x:c r="G24" s="106"/>
      <x:c r="H24" s="106"/>
      <x:c r="I24" s="106"/>
      <x:c r="J24" s="106"/>
      <x:c r="K24" s="106"/>
      <x:c r="L24" s="106"/>
      <x:c r="M24" s="106"/>
      <x:c r="N24" s="106"/>
      <x:c r="O24" s="106"/>
      <x:c r="P24" s="106"/>
      <x:c r="Q24" s="106"/>
      <x:c r="R24" s="106"/>
      <x:c r="S24" s="106"/>
      <x:c r="T24" s="106"/>
      <x:c r="U24" s="106"/>
      <x:c r="V24" s="106"/>
      <x:c r="W24" s="106"/>
      <x:c r="X24" s="106"/>
      <x:c r="Y24" s="106"/>
      <x:c r="Z24" s="106"/>
      <x:c r="AA24" s="106"/>
      <x:c r="AB24" s="106"/>
      <x:c r="AC24" s="106"/>
      <x:c r="AD24" s="106"/>
      <x:c r="AE24" s="106"/>
      <x:c r="AF24" s="106"/>
      <x:c r="AG24" s="106"/>
      <x:c r="AH24" s="106"/>
      <x:c r="AI24" s="106"/>
      <x:c r="AJ24" s="106"/>
      <x:c r="AK24" s="106"/>
      <x:c r="AL24" s="106"/>
      <x:c r="AM24" s="106"/>
      <x:c r="AN24" s="106"/>
      <x:c r="AO24" s="106"/>
      <x:c r="AP24" s="106"/>
      <x:c r="AQ24" s="106"/>
      <x:c r="AR24" s="106"/>
      <x:c r="AS24" s="106"/>
      <x:c r="AT24" s="106"/>
      <x:c r="AU24" s="106"/>
      <x:c r="AV24" s="106"/>
      <x:c r="AW24" s="106"/>
      <x:c r="AX24" s="106"/>
      <x:c r="AY24" s="106"/>
      <x:c r="AZ24" s="106"/>
      <x:c r="BA24" s="106"/>
    </x:row>
    <x:row r="25">
      <x:c r="A25" s="106"/>
      <x:c r="B25" s="106"/>
      <x:c r="C25" s="106"/>
      <x:c r="D25" s="106"/>
      <x:c r="E25" s="106"/>
      <x:c r="F25" s="106"/>
      <x:c r="G25" s="106"/>
      <x:c r="H25" s="106"/>
      <x:c r="I25" s="106"/>
      <x:c r="J25" s="106"/>
      <x:c r="K25" s="106"/>
      <x:c r="L25" s="106"/>
      <x:c r="M25" s="106"/>
      <x:c r="N25" s="106"/>
      <x:c r="O25" s="106"/>
      <x:c r="P25" s="106"/>
      <x:c r="Q25" s="106"/>
      <x:c r="R25" s="106"/>
      <x:c r="S25" s="106"/>
      <x:c r="T25" s="106"/>
      <x:c r="U25" s="106"/>
      <x:c r="V25" s="106"/>
      <x:c r="W25" s="106"/>
      <x:c r="X25" s="106"/>
      <x:c r="Y25" s="106"/>
      <x:c r="Z25" s="106"/>
      <x:c r="AA25" s="106"/>
      <x:c r="AB25" s="106"/>
      <x:c r="AC25" s="106"/>
      <x:c r="AD25" s="106"/>
      <x:c r="AE25" s="106"/>
      <x:c r="AF25" s="106"/>
      <x:c r="AG25" s="106"/>
      <x:c r="AH25" s="106"/>
      <x:c r="AI25" s="106"/>
      <x:c r="AJ25" s="106"/>
      <x:c r="AK25" s="106"/>
      <x:c r="AL25" s="106"/>
      <x:c r="AM25" s="106"/>
      <x:c r="AN25" s="106"/>
      <x:c r="AO25" s="106"/>
      <x:c r="AP25" s="106"/>
      <x:c r="AQ25" s="106"/>
      <x:c r="AR25" s="106"/>
      <x:c r="AS25" s="106"/>
      <x:c r="AT25" s="106"/>
      <x:c r="AU25" s="106"/>
      <x:c r="AV25" s="106"/>
      <x:c r="AW25" s="106"/>
      <x:c r="AX25" s="106"/>
      <x:c r="AY25" s="106"/>
      <x:c r="AZ25" s="106"/>
      <x:c r="BA25" s="106"/>
    </x:row>
    <x:row r="26">
      <x:c r="A26" s="106"/>
      <x:c r="B26" s="106"/>
      <x:c r="C26" s="106"/>
      <x:c r="D26" s="106"/>
      <x:c r="E26" s="106"/>
      <x:c r="F26" s="106"/>
      <x:c r="G26" s="106"/>
      <x:c r="H26" s="106"/>
      <x:c r="I26" s="106"/>
      <x:c r="J26" s="106"/>
      <x:c r="K26" s="106"/>
      <x:c r="L26" s="106"/>
      <x:c r="M26" s="106"/>
      <x:c r="N26" s="106"/>
      <x:c r="O26" s="106"/>
      <x:c r="P26" s="106"/>
      <x:c r="Q26" s="106"/>
      <x:c r="R26" s="106"/>
      <x:c r="S26" s="106"/>
      <x:c r="T26" s="106"/>
      <x:c r="U26" s="106"/>
      <x:c r="V26" s="106"/>
      <x:c r="W26" s="106"/>
      <x:c r="X26" s="106"/>
      <x:c r="Y26" s="106"/>
      <x:c r="Z26" s="106"/>
      <x:c r="AA26" s="106"/>
      <x:c r="AB26" s="106"/>
      <x:c r="AC26" s="106"/>
      <x:c r="AD26" s="106"/>
      <x:c r="AE26" s="106"/>
      <x:c r="AF26" s="106"/>
      <x:c r="AG26" s="106"/>
      <x:c r="AH26" s="106"/>
      <x:c r="AI26" s="106"/>
      <x:c r="AJ26" s="106"/>
      <x:c r="AK26" s="106"/>
      <x:c r="AL26" s="106"/>
      <x:c r="AM26" s="106"/>
      <x:c r="AN26" s="106"/>
      <x:c r="AO26" s="106"/>
      <x:c r="AP26" s="106"/>
      <x:c r="AQ26" s="106"/>
      <x:c r="AR26" s="106"/>
      <x:c r="AS26" s="106"/>
      <x:c r="AT26" s="106"/>
      <x:c r="AU26" s="106"/>
      <x:c r="AV26" s="106"/>
      <x:c r="AW26" s="106"/>
      <x:c r="AX26" s="106"/>
      <x:c r="AY26" s="106"/>
      <x:c r="AZ26" s="106"/>
      <x:c r="BA26" s="106"/>
    </x:row>
    <x:row r="27">
      <x:c r="A27" s="106"/>
      <x:c r="B27" s="106"/>
      <x:c r="C27" s="106"/>
      <x:c r="D27" s="106"/>
      <x:c r="E27" s="106"/>
      <x:c r="F27" s="106"/>
      <x:c r="G27" s="106"/>
      <x:c r="H27" s="106"/>
      <x:c r="I27" s="106"/>
      <x:c r="J27" s="106"/>
      <x:c r="K27" s="106"/>
      <x:c r="L27" s="106"/>
      <x:c r="M27" s="106"/>
      <x:c r="N27" s="106"/>
      <x:c r="O27" s="106"/>
      <x:c r="P27" s="106"/>
      <x:c r="Q27" s="106"/>
      <x:c r="R27" s="106"/>
      <x:c r="S27" s="106"/>
      <x:c r="T27" s="106"/>
      <x:c r="U27" s="106"/>
      <x:c r="V27" s="106"/>
      <x:c r="W27" s="106"/>
      <x:c r="X27" s="106"/>
      <x:c r="Y27" s="106"/>
      <x:c r="Z27" s="106"/>
      <x:c r="AA27" s="106"/>
      <x:c r="AB27" s="106"/>
      <x:c r="AC27" s="106"/>
      <x:c r="AD27" s="106"/>
      <x:c r="AE27" s="106"/>
      <x:c r="AF27" s="106"/>
      <x:c r="AG27" s="106"/>
      <x:c r="AH27" s="106"/>
      <x:c r="AI27" s="106"/>
      <x:c r="AJ27" s="106"/>
      <x:c r="AK27" s="106"/>
      <x:c r="AL27" s="106"/>
      <x:c r="AM27" s="106"/>
      <x:c r="AN27" s="106"/>
      <x:c r="AO27" s="106"/>
      <x:c r="AP27" s="106"/>
      <x:c r="AQ27" s="106"/>
      <x:c r="AR27" s="106"/>
      <x:c r="AS27" s="106"/>
      <x:c r="AT27" s="106"/>
      <x:c r="AU27" s="106"/>
      <x:c r="AV27" s="106"/>
      <x:c r="AW27" s="106"/>
      <x:c r="AX27" s="106"/>
      <x:c r="AY27" s="106"/>
      <x:c r="AZ27" s="106"/>
      <x:c r="BA27" s="106"/>
    </x:row>
    <x:row r="28">
      <x:c r="A28" s="106"/>
      <x:c r="B28" s="106"/>
      <x:c r="C28" s="106"/>
      <x:c r="D28" s="106"/>
      <x:c r="E28" s="106"/>
      <x:c r="F28" s="106"/>
      <x:c r="G28" s="106"/>
      <x:c r="H28" s="106"/>
      <x:c r="I28" s="106"/>
      <x:c r="J28" s="106"/>
      <x:c r="K28" s="106"/>
      <x:c r="L28" s="106"/>
      <x:c r="M28" s="106"/>
      <x:c r="N28" s="106"/>
      <x:c r="O28" s="106"/>
      <x:c r="P28" s="106"/>
      <x:c r="Q28" s="106"/>
      <x:c r="R28" s="106"/>
      <x:c r="S28" s="106"/>
      <x:c r="T28" s="106"/>
      <x:c r="U28" s="106"/>
      <x:c r="V28" s="106"/>
      <x:c r="W28" s="106"/>
      <x:c r="X28" s="106"/>
      <x:c r="Y28" s="106"/>
      <x:c r="Z28" s="106"/>
      <x:c r="AA28" s="106"/>
      <x:c r="AB28" s="106"/>
      <x:c r="AC28" s="106"/>
      <x:c r="AD28" s="106"/>
      <x:c r="AE28" s="106"/>
      <x:c r="AF28" s="106"/>
      <x:c r="AG28" s="106"/>
      <x:c r="AH28" s="106"/>
      <x:c r="AI28" s="106"/>
      <x:c r="AJ28" s="106"/>
      <x:c r="AK28" s="106"/>
      <x:c r="AL28" s="106"/>
      <x:c r="AM28" s="106"/>
      <x:c r="AN28" s="106"/>
      <x:c r="AO28" s="106"/>
      <x:c r="AP28" s="106"/>
      <x:c r="AQ28" s="106"/>
      <x:c r="AR28" s="106"/>
      <x:c r="AS28" s="106"/>
      <x:c r="AT28" s="106"/>
      <x:c r="AU28" s="106"/>
      <x:c r="AV28" s="106"/>
      <x:c r="AW28" s="106"/>
      <x:c r="AX28" s="106"/>
      <x:c r="AY28" s="106"/>
      <x:c r="AZ28" s="106"/>
      <x:c r="BA28" s="106"/>
    </x:row>
    <x:row r="29">
      <x:c r="A29" s="106"/>
      <x:c r="B29" s="106"/>
      <x:c r="C29" s="106"/>
      <x:c r="D29" s="106"/>
      <x:c r="E29" s="106"/>
      <x:c r="F29" s="106"/>
      <x:c r="G29" s="106"/>
      <x:c r="H29" s="106"/>
      <x:c r="I29" s="106"/>
      <x:c r="J29" s="106"/>
      <x:c r="K29" s="106"/>
      <x:c r="L29" s="106"/>
      <x:c r="M29" s="106"/>
      <x:c r="N29" s="106"/>
      <x:c r="O29" s="106"/>
      <x:c r="P29" s="106"/>
      <x:c r="Q29" s="106"/>
      <x:c r="R29" s="106"/>
      <x:c r="S29" s="106"/>
      <x:c r="T29" s="106"/>
      <x:c r="U29" s="106"/>
      <x:c r="V29" s="106"/>
      <x:c r="W29" s="106"/>
      <x:c r="X29" s="106"/>
      <x:c r="Y29" s="106"/>
      <x:c r="Z29" s="106"/>
      <x:c r="AA29" s="106"/>
      <x:c r="AB29" s="106"/>
      <x:c r="AC29" s="106"/>
      <x:c r="AD29" s="106"/>
      <x:c r="AE29" s="106"/>
      <x:c r="AF29" s="106"/>
      <x:c r="AG29" s="106"/>
      <x:c r="AH29" s="106"/>
      <x:c r="AI29" s="106"/>
      <x:c r="AJ29" s="106"/>
      <x:c r="AK29" s="106"/>
      <x:c r="AL29" s="106"/>
      <x:c r="AM29" s="106"/>
      <x:c r="AN29" s="106"/>
      <x:c r="AO29" s="106"/>
      <x:c r="AP29" s="106"/>
      <x:c r="AQ29" s="106"/>
      <x:c r="AR29" s="106"/>
      <x:c r="AS29" s="106"/>
      <x:c r="AT29" s="106"/>
      <x:c r="AU29" s="106"/>
      <x:c r="AV29" s="106"/>
      <x:c r="AW29" s="106"/>
      <x:c r="AX29" s="106"/>
      <x:c r="AY29" s="106"/>
      <x:c r="AZ29" s="106"/>
      <x:c r="BA29" s="106"/>
    </x:row>
    <x:row r="30">
      <x:c r="A30" s="106"/>
      <x:c r="B30" s="106"/>
      <x:c r="C30" s="106"/>
      <x:c r="D30" s="106"/>
      <x:c r="E30" s="106"/>
      <x:c r="F30" s="106"/>
      <x:c r="G30" s="106"/>
      <x:c r="H30" s="106"/>
      <x:c r="I30" s="106"/>
      <x:c r="J30" s="106"/>
      <x:c r="K30" s="106"/>
      <x:c r="L30" s="106"/>
      <x:c r="M30" s="106"/>
      <x:c r="N30" s="106"/>
      <x:c r="O30" s="106"/>
      <x:c r="P30" s="106"/>
      <x:c r="Q30" s="106"/>
      <x:c r="R30" s="106"/>
      <x:c r="S30" s="106"/>
      <x:c r="T30" s="106"/>
      <x:c r="U30" s="106"/>
      <x:c r="V30" s="106"/>
      <x:c r="W30" s="106"/>
      <x:c r="X30" s="106"/>
      <x:c r="Y30" s="106"/>
      <x:c r="Z30" s="106"/>
      <x:c r="AA30" s="106"/>
      <x:c r="AB30" s="106"/>
      <x:c r="AC30" s="106"/>
      <x:c r="AD30" s="106"/>
      <x:c r="AE30" s="106"/>
      <x:c r="AF30" s="106"/>
      <x:c r="AG30" s="106"/>
      <x:c r="AH30" s="106"/>
      <x:c r="AI30" s="106"/>
      <x:c r="AJ30" s="106"/>
      <x:c r="AK30" s="106"/>
      <x:c r="AL30" s="106"/>
      <x:c r="AM30" s="106"/>
      <x:c r="AN30" s="106"/>
      <x:c r="AO30" s="106"/>
      <x:c r="AP30" s="106"/>
      <x:c r="AQ30" s="106"/>
      <x:c r="AR30" s="106"/>
      <x:c r="AS30" s="106"/>
      <x:c r="AT30" s="106"/>
      <x:c r="AU30" s="106"/>
      <x:c r="AV30" s="106"/>
      <x:c r="AW30" s="106"/>
      <x:c r="AX30" s="106"/>
      <x:c r="AY30" s="106"/>
      <x:c r="AZ30" s="106"/>
      <x:c r="BA30" s="106"/>
    </x:row>
    <x:row r="31">
      <x:c r="A31" s="106"/>
      <x:c r="B31" s="106"/>
      <x:c r="C31" s="106"/>
      <x:c r="D31" s="106"/>
      <x:c r="E31" s="106"/>
      <x:c r="F31" s="106"/>
      <x:c r="G31" s="106"/>
      <x:c r="H31" s="106"/>
      <x:c r="I31" s="106"/>
      <x:c r="J31" s="106"/>
      <x:c r="K31" s="106"/>
      <x:c r="L31" s="106"/>
      <x:c r="M31" s="106"/>
      <x:c r="N31" s="106"/>
      <x:c r="O31" s="106"/>
      <x:c r="P31" s="106"/>
      <x:c r="Q31" s="106"/>
      <x:c r="R31" s="106"/>
      <x:c r="S31" s="106"/>
      <x:c r="T31" s="106"/>
      <x:c r="U31" s="106"/>
      <x:c r="V31" s="106"/>
      <x:c r="W31" s="106"/>
      <x:c r="X31" s="106"/>
      <x:c r="Y31" s="106"/>
      <x:c r="Z31" s="106"/>
      <x:c r="AA31" s="106"/>
      <x:c r="AB31" s="106"/>
      <x:c r="AC31" s="106"/>
      <x:c r="AD31" s="106"/>
      <x:c r="AE31" s="106"/>
      <x:c r="AF31" s="106"/>
      <x:c r="AG31" s="106"/>
      <x:c r="AH31" s="106"/>
      <x:c r="AI31" s="106"/>
      <x:c r="AJ31" s="106"/>
      <x:c r="AK31" s="106"/>
      <x:c r="AL31" s="106"/>
      <x:c r="AM31" s="106"/>
      <x:c r="AN31" s="106"/>
      <x:c r="AO31" s="106"/>
      <x:c r="AP31" s="106"/>
      <x:c r="AQ31" s="106"/>
      <x:c r="AR31" s="106"/>
      <x:c r="AS31" s="106"/>
      <x:c r="AT31" s="106"/>
      <x:c r="AU31" s="106"/>
      <x:c r="AV31" s="106"/>
      <x:c r="AW31" s="106"/>
      <x:c r="AX31" s="106"/>
      <x:c r="AY31" s="106"/>
      <x:c r="AZ31" s="106"/>
      <x:c r="BA31" s="106"/>
    </x:row>
    <x:row r="32">
      <x:c r="A32" s="106"/>
      <x:c r="B32" s="106"/>
      <x:c r="C32" s="106"/>
      <x:c r="D32" s="106"/>
      <x:c r="E32" s="106"/>
      <x:c r="F32" s="106"/>
      <x:c r="G32" s="106"/>
      <x:c r="H32" s="106"/>
      <x:c r="I32" s="106"/>
      <x:c r="J32" s="106"/>
      <x:c r="K32" s="106"/>
      <x:c r="L32" s="106"/>
      <x:c r="M32" s="106"/>
      <x:c r="N32" s="106"/>
      <x:c r="O32" s="106"/>
      <x:c r="P32" s="106"/>
      <x:c r="Q32" s="106"/>
      <x:c r="R32" s="106"/>
      <x:c r="S32" s="106"/>
      <x:c r="T32" s="106"/>
      <x:c r="U32" s="106"/>
      <x:c r="V32" s="106"/>
      <x:c r="W32" s="106"/>
      <x:c r="X32" s="106"/>
      <x:c r="Y32" s="106"/>
      <x:c r="Z32" s="106"/>
      <x:c r="AA32" s="106"/>
      <x:c r="AB32" s="106"/>
      <x:c r="AC32" s="106"/>
      <x:c r="AD32" s="106"/>
      <x:c r="AE32" s="106"/>
      <x:c r="AF32" s="106"/>
      <x:c r="AG32" s="106"/>
      <x:c r="AH32" s="106"/>
      <x:c r="AI32" s="106"/>
      <x:c r="AJ32" s="106"/>
      <x:c r="AK32" s="106"/>
      <x:c r="AL32" s="106"/>
      <x:c r="AM32" s="106"/>
      <x:c r="AN32" s="106"/>
      <x:c r="AO32" s="106"/>
      <x:c r="AP32" s="106"/>
      <x:c r="AQ32" s="106"/>
      <x:c r="AR32" s="106"/>
      <x:c r="AS32" s="106"/>
      <x:c r="AT32" s="106"/>
      <x:c r="AU32" s="106"/>
      <x:c r="AV32" s="106"/>
      <x:c r="AW32" s="106"/>
      <x:c r="AX32" s="106"/>
      <x:c r="AY32" s="106"/>
      <x:c r="AZ32" s="106"/>
      <x:c r="BA32" s="106"/>
    </x:row>
    <x:row r="33">
      <x:c r="A33" s="106"/>
      <x:c r="B33" s="106"/>
      <x:c r="C33" s="106"/>
      <x:c r="D33" s="106"/>
      <x:c r="E33" s="106"/>
      <x:c r="F33" s="106"/>
      <x:c r="G33" s="106"/>
      <x:c r="H33" s="106"/>
      <x:c r="I33" s="106"/>
      <x:c r="J33" s="106"/>
      <x:c r="K33" s="106"/>
      <x:c r="L33" s="106"/>
      <x:c r="M33" s="106"/>
      <x:c r="N33" s="106"/>
      <x:c r="O33" s="106"/>
      <x:c r="P33" s="106"/>
      <x:c r="Q33" s="106"/>
      <x:c r="R33" s="106"/>
      <x:c r="S33" s="106"/>
      <x:c r="T33" s="106"/>
      <x:c r="U33" s="106"/>
      <x:c r="V33" s="106"/>
      <x:c r="W33" s="106"/>
      <x:c r="X33" s="106"/>
      <x:c r="Y33" s="106"/>
      <x:c r="Z33" s="106"/>
      <x:c r="AA33" s="106"/>
      <x:c r="AB33" s="106"/>
      <x:c r="AC33" s="106"/>
      <x:c r="AD33" s="106"/>
      <x:c r="AE33" s="106"/>
      <x:c r="AF33" s="106"/>
      <x:c r="AG33" s="106"/>
      <x:c r="AH33" s="106"/>
      <x:c r="AI33" s="106"/>
      <x:c r="AJ33" s="106"/>
      <x:c r="AK33" s="106"/>
      <x:c r="AL33" s="106"/>
      <x:c r="AM33" s="106"/>
      <x:c r="AN33" s="106"/>
      <x:c r="AO33" s="106"/>
      <x:c r="AP33" s="106"/>
      <x:c r="AQ33" s="106"/>
      <x:c r="AR33" s="106"/>
      <x:c r="AS33" s="106"/>
      <x:c r="AT33" s="106"/>
      <x:c r="AU33" s="106"/>
      <x:c r="AV33" s="106"/>
      <x:c r="AW33" s="106"/>
      <x:c r="AX33" s="106"/>
      <x:c r="AY33" s="106"/>
      <x:c r="AZ33" s="106"/>
      <x:c r="BA33" s="106"/>
    </x:row>
    <x:row r="34">
      <x:c r="A34" s="106"/>
      <x:c r="B34" s="106"/>
      <x:c r="C34" s="106"/>
      <x:c r="D34" s="106"/>
      <x:c r="E34" s="106"/>
      <x:c r="F34" s="106"/>
      <x:c r="G34" s="106"/>
      <x:c r="H34" s="106"/>
      <x:c r="I34" s="106"/>
      <x:c r="J34" s="106"/>
      <x:c r="K34" s="106"/>
      <x:c r="L34" s="106"/>
      <x:c r="M34" s="106"/>
      <x:c r="N34" s="106"/>
      <x:c r="O34" s="106"/>
      <x:c r="P34" s="106"/>
      <x:c r="Q34" s="106"/>
      <x:c r="R34" s="106"/>
      <x:c r="S34" s="106"/>
      <x:c r="T34" s="106"/>
      <x:c r="U34" s="106"/>
      <x:c r="V34" s="106"/>
      <x:c r="W34" s="106"/>
      <x:c r="X34" s="106"/>
      <x:c r="Y34" s="106"/>
      <x:c r="Z34" s="106"/>
      <x:c r="AA34" s="106"/>
      <x:c r="AB34" s="106"/>
      <x:c r="AC34" s="106"/>
      <x:c r="AD34" s="106"/>
      <x:c r="AE34" s="106"/>
      <x:c r="AF34" s="106"/>
      <x:c r="AG34" s="106"/>
      <x:c r="AH34" s="106"/>
      <x:c r="AI34" s="106"/>
      <x:c r="AJ34" s="106"/>
      <x:c r="AK34" s="106"/>
      <x:c r="AL34" s="106"/>
      <x:c r="AM34" s="106"/>
      <x:c r="AN34" s="106"/>
      <x:c r="AO34" s="106"/>
      <x:c r="AP34" s="106"/>
      <x:c r="AQ34" s="106"/>
      <x:c r="AR34" s="106"/>
      <x:c r="AS34" s="106"/>
      <x:c r="AT34" s="106"/>
      <x:c r="AU34" s="106"/>
      <x:c r="AV34" s="106"/>
      <x:c r="AW34" s="106"/>
      <x:c r="AX34" s="106"/>
      <x:c r="AY34" s="106"/>
      <x:c r="AZ34" s="106"/>
      <x:c r="BA34" s="106"/>
    </x:row>
    <x:row r="35">
      <x:c r="A35" s="106"/>
      <x:c r="B35" s="106"/>
      <x:c r="C35" s="106"/>
      <x:c r="D35" s="106"/>
      <x:c r="E35" s="106"/>
      <x:c r="F35" s="106"/>
      <x:c r="G35" s="106"/>
      <x:c r="H35" s="106"/>
      <x:c r="I35" s="106"/>
      <x:c r="J35" s="106"/>
      <x:c r="K35" s="106"/>
      <x:c r="L35" s="106"/>
      <x:c r="M35" s="106"/>
      <x:c r="N35" s="106"/>
      <x:c r="O35" s="106"/>
      <x:c r="P35" s="106"/>
      <x:c r="Q35" s="106"/>
      <x:c r="R35" s="106"/>
      <x:c r="S35" s="106"/>
      <x:c r="T35" s="106"/>
      <x:c r="U35" s="106"/>
      <x:c r="V35" s="106"/>
      <x:c r="W35" s="106"/>
      <x:c r="X35" s="106"/>
      <x:c r="Y35" s="106"/>
      <x:c r="Z35" s="106"/>
      <x:c r="AA35" s="106"/>
      <x:c r="AB35" s="106"/>
      <x:c r="AC35" s="106"/>
      <x:c r="AD35" s="106"/>
      <x:c r="AE35" s="106"/>
      <x:c r="AF35" s="106"/>
      <x:c r="AG35" s="106"/>
      <x:c r="AH35" s="106"/>
      <x:c r="AI35" s="106"/>
      <x:c r="AJ35" s="106"/>
      <x:c r="AK35" s="106"/>
      <x:c r="AL35" s="106"/>
      <x:c r="AM35" s="106"/>
      <x:c r="AN35" s="106"/>
      <x:c r="AO35" s="106"/>
      <x:c r="AP35" s="106"/>
      <x:c r="AQ35" s="106"/>
      <x:c r="AR35" s="106"/>
      <x:c r="AS35" s="106"/>
      <x:c r="AT35" s="106"/>
      <x:c r="AU35" s="106"/>
      <x:c r="AV35" s="106"/>
      <x:c r="AW35" s="106"/>
      <x:c r="AX35" s="106"/>
      <x:c r="AY35" s="106"/>
      <x:c r="AZ35" s="106"/>
      <x:c r="BA35" s="106"/>
    </x:row>
    <x:row r="36">
      <x:c r="A36" s="106"/>
      <x:c r="B36" s="106"/>
      <x:c r="C36" s="106"/>
      <x:c r="D36" s="106"/>
      <x:c r="E36" s="106"/>
      <x:c r="F36" s="106"/>
      <x:c r="G36" s="106"/>
      <x:c r="H36" s="106"/>
      <x:c r="I36" s="106"/>
      <x:c r="J36" s="106"/>
      <x:c r="K36" s="106"/>
      <x:c r="L36" s="106"/>
      <x:c r="M36" s="106"/>
      <x:c r="N36" s="106"/>
      <x:c r="O36" s="106"/>
      <x:c r="P36" s="106"/>
      <x:c r="Q36" s="106"/>
      <x:c r="R36" s="106"/>
      <x:c r="S36" s="106"/>
      <x:c r="T36" s="106"/>
      <x:c r="U36" s="106"/>
      <x:c r="V36" s="106"/>
      <x:c r="W36" s="106"/>
      <x:c r="X36" s="106"/>
      <x:c r="Y36" s="106"/>
      <x:c r="Z36" s="106"/>
      <x:c r="AA36" s="106"/>
      <x:c r="AB36" s="106"/>
      <x:c r="AC36" s="106"/>
      <x:c r="AD36" s="106"/>
      <x:c r="AE36" s="106"/>
      <x:c r="AF36" s="106"/>
      <x:c r="AG36" s="106"/>
      <x:c r="AH36" s="106"/>
      <x:c r="AI36" s="106"/>
      <x:c r="AJ36" s="106"/>
      <x:c r="AK36" s="106"/>
      <x:c r="AL36" s="106"/>
      <x:c r="AM36" s="106"/>
      <x:c r="AN36" s="106"/>
      <x:c r="AO36" s="106"/>
      <x:c r="AP36" s="106"/>
      <x:c r="AQ36" s="106"/>
      <x:c r="AR36" s="106"/>
      <x:c r="AS36" s="106"/>
      <x:c r="AT36" s="106"/>
      <x:c r="AU36" s="106"/>
      <x:c r="AV36" s="106"/>
      <x:c r="AW36" s="106"/>
      <x:c r="AX36" s="106"/>
      <x:c r="AY36" s="106"/>
      <x:c r="AZ36" s="106"/>
      <x:c r="BA36" s="106"/>
    </x:row>
    <x:row r="37">
      <x:c r="A37" s="106"/>
      <x:c r="B37" s="106"/>
      <x:c r="C37" s="106"/>
      <x:c r="D37" s="106"/>
      <x:c r="E37" s="106"/>
      <x:c r="F37" s="106"/>
      <x:c r="G37" s="106"/>
      <x:c r="H37" s="106"/>
      <x:c r="I37" s="106"/>
      <x:c r="J37" s="106"/>
      <x:c r="K37" s="106"/>
      <x:c r="L37" s="106"/>
      <x:c r="M37" s="106"/>
      <x:c r="N37" s="106"/>
      <x:c r="O37" s="106"/>
      <x:c r="P37" s="106"/>
      <x:c r="Q37" s="106"/>
      <x:c r="R37" s="106"/>
      <x:c r="S37" s="106"/>
      <x:c r="T37" s="106"/>
      <x:c r="U37" s="106"/>
      <x:c r="V37" s="106"/>
      <x:c r="W37" s="106"/>
      <x:c r="X37" s="106"/>
      <x:c r="Y37" s="106"/>
      <x:c r="Z37" s="106"/>
      <x:c r="AA37" s="106"/>
      <x:c r="AB37" s="106"/>
      <x:c r="AC37" s="106"/>
      <x:c r="AD37" s="106"/>
      <x:c r="AE37" s="106"/>
      <x:c r="AF37" s="106"/>
      <x:c r="AG37" s="106"/>
      <x:c r="AH37" s="106"/>
      <x:c r="AI37" s="106"/>
      <x:c r="AJ37" s="106"/>
      <x:c r="AK37" s="106"/>
      <x:c r="AL37" s="106"/>
      <x:c r="AM37" s="106"/>
      <x:c r="AN37" s="106"/>
      <x:c r="AO37" s="106"/>
      <x:c r="AP37" s="106"/>
      <x:c r="AQ37" s="106"/>
      <x:c r="AR37" s="106"/>
      <x:c r="AS37" s="106"/>
      <x:c r="AT37" s="106"/>
      <x:c r="AU37" s="106"/>
      <x:c r="AV37" s="106"/>
      <x:c r="AW37" s="106"/>
      <x:c r="AX37" s="106"/>
      <x:c r="AY37" s="106"/>
      <x:c r="AZ37" s="106"/>
      <x:c r="BA37" s="106"/>
    </x:row>
    <x:row r="38">
      <x:c r="A38" s="106"/>
      <x:c r="B38" s="106"/>
      <x:c r="C38" s="106"/>
      <x:c r="D38" s="106"/>
      <x:c r="E38" s="106"/>
      <x:c r="F38" s="106"/>
      <x:c r="G38" s="106"/>
      <x:c r="H38" s="106"/>
      <x:c r="I38" s="106"/>
      <x:c r="J38" s="106"/>
      <x:c r="K38" s="106"/>
      <x:c r="L38" s="106"/>
      <x:c r="M38" s="106"/>
      <x:c r="N38" s="106"/>
      <x:c r="O38" s="106"/>
      <x:c r="P38" s="106"/>
      <x:c r="Q38" s="106"/>
      <x:c r="R38" s="106"/>
      <x:c r="S38" s="106"/>
      <x:c r="T38" s="106"/>
      <x:c r="U38" s="106"/>
      <x:c r="V38" s="106"/>
      <x:c r="W38" s="106"/>
      <x:c r="X38" s="106"/>
      <x:c r="Y38" s="106"/>
      <x:c r="Z38" s="106"/>
      <x:c r="AA38" s="106"/>
      <x:c r="AB38" s="106"/>
      <x:c r="AC38" s="106"/>
      <x:c r="AD38" s="106"/>
      <x:c r="AE38" s="106"/>
      <x:c r="AF38" s="106"/>
      <x:c r="AG38" s="106"/>
      <x:c r="AH38" s="106"/>
      <x:c r="AI38" s="106"/>
      <x:c r="AJ38" s="106"/>
      <x:c r="AK38" s="106"/>
      <x:c r="AL38" s="106"/>
      <x:c r="AM38" s="106"/>
      <x:c r="AN38" s="106"/>
      <x:c r="AO38" s="106"/>
      <x:c r="AP38" s="106"/>
      <x:c r="AQ38" s="106"/>
      <x:c r="AR38" s="106"/>
      <x:c r="AS38" s="106"/>
      <x:c r="AT38" s="106"/>
      <x:c r="AU38" s="106"/>
      <x:c r="AV38" s="106"/>
      <x:c r="AW38" s="106"/>
      <x:c r="AX38" s="106"/>
      <x:c r="AY38" s="106"/>
      <x:c r="AZ38" s="106"/>
      <x:c r="BA38" s="106"/>
    </x:row>
    <x:row r="39">
      <x:c r="A39" s="106"/>
      <x:c r="B39" s="106"/>
      <x:c r="C39" s="106"/>
      <x:c r="D39" s="106"/>
      <x:c r="E39" s="106"/>
      <x:c r="F39" s="106"/>
      <x:c r="G39" s="106"/>
      <x:c r="H39" s="106"/>
      <x:c r="I39" s="106"/>
      <x:c r="J39" s="106"/>
      <x:c r="K39" s="106"/>
      <x:c r="L39" s="106"/>
      <x:c r="M39" s="106"/>
      <x:c r="N39" s="106"/>
      <x:c r="O39" s="106"/>
      <x:c r="P39" s="106"/>
      <x:c r="Q39" s="106"/>
      <x:c r="R39" s="106"/>
      <x:c r="S39" s="106"/>
      <x:c r="T39" s="106"/>
      <x:c r="U39" s="106"/>
      <x:c r="V39" s="106"/>
      <x:c r="W39" s="106"/>
      <x:c r="X39" s="106"/>
      <x:c r="Y39" s="106"/>
      <x:c r="Z39" s="106"/>
      <x:c r="AA39" s="106"/>
      <x:c r="AB39" s="106"/>
      <x:c r="AC39" s="106"/>
      <x:c r="AD39" s="106"/>
      <x:c r="AE39" s="106"/>
      <x:c r="AF39" s="106"/>
      <x:c r="AG39" s="106"/>
      <x:c r="AH39" s="106"/>
      <x:c r="AI39" s="106"/>
      <x:c r="AJ39" s="106"/>
      <x:c r="AK39" s="106"/>
      <x:c r="AL39" s="106"/>
      <x:c r="AM39" s="106"/>
      <x:c r="AN39" s="106"/>
      <x:c r="AO39" s="106"/>
      <x:c r="AP39" s="106"/>
      <x:c r="AQ39" s="106"/>
      <x:c r="AR39" s="106"/>
      <x:c r="AS39" s="106"/>
      <x:c r="AT39" s="106"/>
      <x:c r="AU39" s="106"/>
      <x:c r="AV39" s="106"/>
      <x:c r="AW39" s="106"/>
      <x:c r="AX39" s="106"/>
      <x:c r="AY39" s="106"/>
      <x:c r="AZ39" s="106"/>
      <x:c r="BA39" s="106"/>
    </x:row>
    <x:row r="40">
      <x:c r="A40" s="106"/>
      <x:c r="B40" s="106"/>
      <x:c r="C40" s="106"/>
      <x:c r="D40" s="106"/>
      <x:c r="E40" s="106"/>
      <x:c r="F40" s="106"/>
      <x:c r="G40" s="106"/>
      <x:c r="H40" s="106"/>
      <x:c r="I40" s="106"/>
      <x:c r="J40" s="106"/>
      <x:c r="K40" s="106"/>
      <x:c r="L40" s="106"/>
      <x:c r="M40" s="106"/>
      <x:c r="N40" s="106"/>
      <x:c r="O40" s="106"/>
      <x:c r="P40" s="106"/>
      <x:c r="Q40" s="106"/>
      <x:c r="R40" s="106"/>
      <x:c r="S40" s="106"/>
      <x:c r="T40" s="106"/>
      <x:c r="U40" s="106"/>
      <x:c r="V40" s="106"/>
      <x:c r="W40" s="106"/>
      <x:c r="X40" s="106"/>
      <x:c r="Y40" s="106"/>
      <x:c r="Z40" s="106"/>
      <x:c r="AA40" s="106"/>
      <x:c r="AB40" s="106"/>
      <x:c r="AC40" s="106"/>
      <x:c r="AD40" s="106"/>
      <x:c r="AE40" s="106"/>
      <x:c r="AF40" s="106"/>
      <x:c r="AG40" s="106"/>
      <x:c r="AH40" s="106"/>
      <x:c r="AI40" s="106"/>
      <x:c r="AJ40" s="106"/>
      <x:c r="AK40" s="106"/>
      <x:c r="AL40" s="106"/>
      <x:c r="AM40" s="106"/>
      <x:c r="AN40" s="106"/>
      <x:c r="AO40" s="106"/>
      <x:c r="AP40" s="106"/>
      <x:c r="AQ40" s="106"/>
      <x:c r="AR40" s="106"/>
      <x:c r="AS40" s="106"/>
      <x:c r="AT40" s="106"/>
      <x:c r="AU40" s="106"/>
      <x:c r="AV40" s="106"/>
      <x:c r="AW40" s="106"/>
      <x:c r="AX40" s="106"/>
      <x:c r="AY40" s="106"/>
      <x:c r="AZ40" s="106"/>
      <x:c r="BA40" s="106"/>
    </x:row>
    <x:row r="41">
      <x:c r="A41" s="106"/>
      <x:c r="B41" s="106"/>
      <x:c r="C41" s="106"/>
      <x:c r="D41" s="106"/>
      <x:c r="E41" s="106"/>
      <x:c r="F41" s="106"/>
      <x:c r="G41" s="106"/>
      <x:c r="H41" s="106"/>
      <x:c r="I41" s="106"/>
      <x:c r="J41" s="106"/>
      <x:c r="K41" s="106"/>
      <x:c r="L41" s="106"/>
      <x:c r="M41" s="106"/>
      <x:c r="N41" s="106"/>
      <x:c r="O41" s="106"/>
      <x:c r="P41" s="106"/>
      <x:c r="Q41" s="106"/>
      <x:c r="R41" s="106"/>
      <x:c r="S41" s="106"/>
      <x:c r="T41" s="106"/>
      <x:c r="U41" s="106"/>
      <x:c r="V41" s="106"/>
      <x:c r="W41" s="106"/>
      <x:c r="X41" s="106"/>
      <x:c r="Y41" s="106"/>
      <x:c r="Z41" s="106"/>
      <x:c r="AA41" s="106"/>
      <x:c r="AB41" s="106"/>
      <x:c r="AC41" s="106"/>
      <x:c r="AD41" s="106"/>
      <x:c r="AE41" s="106"/>
      <x:c r="AF41" s="106"/>
      <x:c r="AG41" s="106"/>
      <x:c r="AH41" s="106"/>
      <x:c r="AI41" s="106"/>
      <x:c r="AJ41" s="106"/>
      <x:c r="AK41" s="106"/>
      <x:c r="AL41" s="106"/>
      <x:c r="AM41" s="106"/>
      <x:c r="AN41" s="106"/>
      <x:c r="AO41" s="106"/>
      <x:c r="AP41" s="106"/>
      <x:c r="AQ41" s="106"/>
      <x:c r="AR41" s="106"/>
      <x:c r="AS41" s="106"/>
      <x:c r="AT41" s="106"/>
      <x:c r="AU41" s="106"/>
      <x:c r="AV41" s="106"/>
      <x:c r="AW41" s="106"/>
      <x:c r="AX41" s="106"/>
      <x:c r="AY41" s="106"/>
      <x:c r="AZ41" s="106"/>
      <x:c r="BA41" s="106"/>
    </x:row>
    <x:row r="42">
      <x:c r="A42" s="106"/>
      <x:c r="B42" s="106"/>
      <x:c r="C42" s="106"/>
      <x:c r="D42" s="106"/>
      <x:c r="E42" s="106"/>
      <x:c r="F42" s="106"/>
      <x:c r="G42" s="106"/>
      <x:c r="H42" s="106"/>
      <x:c r="I42" s="106"/>
      <x:c r="J42" s="106"/>
      <x:c r="K42" s="106"/>
      <x:c r="L42" s="106"/>
      <x:c r="M42" s="106"/>
      <x:c r="N42" s="106"/>
      <x:c r="O42" s="106"/>
      <x:c r="P42" s="106"/>
      <x:c r="Q42" s="106"/>
      <x:c r="R42" s="106"/>
      <x:c r="S42" s="106"/>
      <x:c r="T42" s="106"/>
      <x:c r="U42" s="106"/>
      <x:c r="V42" s="106"/>
      <x:c r="W42" s="106"/>
      <x:c r="X42" s="106"/>
      <x:c r="Y42" s="106"/>
      <x:c r="Z42" s="106"/>
      <x:c r="AA42" s="106"/>
      <x:c r="AB42" s="106"/>
      <x:c r="AC42" s="106"/>
      <x:c r="AD42" s="106"/>
      <x:c r="AE42" s="106"/>
      <x:c r="AF42" s="106"/>
      <x:c r="AG42" s="106"/>
      <x:c r="AH42" s="106"/>
      <x:c r="AI42" s="106"/>
      <x:c r="AJ42" s="106"/>
      <x:c r="AK42" s="106"/>
      <x:c r="AL42" s="106"/>
      <x:c r="AM42" s="106"/>
      <x:c r="AN42" s="106"/>
      <x:c r="AO42" s="106"/>
      <x:c r="AP42" s="106"/>
      <x:c r="AQ42" s="106"/>
      <x:c r="AR42" s="106"/>
      <x:c r="AS42" s="106"/>
      <x:c r="AT42" s="106"/>
      <x:c r="AU42" s="106"/>
      <x:c r="AV42" s="106"/>
      <x:c r="AW42" s="106"/>
      <x:c r="AX42" s="106"/>
      <x:c r="AY42" s="106"/>
      <x:c r="AZ42" s="106"/>
      <x:c r="BA42" s="106"/>
    </x:row>
    <x:row r="43">
      <x:c r="A43" s="106"/>
      <x:c r="B43" s="106"/>
      <x:c r="C43" s="106"/>
      <x:c r="D43" s="106"/>
      <x:c r="E43" s="106"/>
      <x:c r="F43" s="106"/>
      <x:c r="G43" s="106"/>
      <x:c r="H43" s="106"/>
      <x:c r="I43" s="106"/>
      <x:c r="J43" s="106"/>
      <x:c r="K43" s="106"/>
      <x:c r="L43" s="106"/>
      <x:c r="M43" s="106"/>
      <x:c r="N43" s="106"/>
      <x:c r="O43" s="106"/>
      <x:c r="P43" s="106"/>
      <x:c r="Q43" s="106"/>
      <x:c r="R43" s="106"/>
      <x:c r="S43" s="106"/>
      <x:c r="T43" s="106"/>
      <x:c r="U43" s="106"/>
      <x:c r="V43" s="106"/>
      <x:c r="W43" s="106"/>
      <x:c r="X43" s="106"/>
      <x:c r="Y43" s="106"/>
      <x:c r="Z43" s="106"/>
      <x:c r="AA43" s="106"/>
      <x:c r="AB43" s="106"/>
      <x:c r="AC43" s="106"/>
      <x:c r="AD43" s="106"/>
      <x:c r="AE43" s="106"/>
      <x:c r="AF43" s="106"/>
      <x:c r="AG43" s="106"/>
      <x:c r="AH43" s="106"/>
      <x:c r="AI43" s="106"/>
      <x:c r="AJ43" s="106"/>
      <x:c r="AK43" s="106"/>
      <x:c r="AL43" s="106"/>
      <x:c r="AM43" s="106"/>
      <x:c r="AN43" s="106"/>
      <x:c r="AO43" s="106"/>
      <x:c r="AP43" s="106"/>
      <x:c r="AQ43" s="106"/>
      <x:c r="AR43" s="106"/>
      <x:c r="AS43" s="106"/>
      <x:c r="AT43" s="106"/>
      <x:c r="AU43" s="106"/>
      <x:c r="AV43" s="106"/>
      <x:c r="AW43" s="106"/>
      <x:c r="AX43" s="106"/>
      <x:c r="AY43" s="106"/>
      <x:c r="AZ43" s="106"/>
      <x:c r="BA43" s="106"/>
    </x:row>
    <x:row r="44">
      <x:c r="A44" s="106"/>
      <x:c r="B44" s="106"/>
      <x:c r="C44" s="106"/>
      <x:c r="D44" s="106"/>
      <x:c r="E44" s="106"/>
      <x:c r="F44" s="106"/>
      <x:c r="G44" s="106"/>
      <x:c r="H44" s="106"/>
      <x:c r="I44" s="106"/>
      <x:c r="J44" s="106"/>
      <x:c r="K44" s="106"/>
      <x:c r="L44" s="106"/>
      <x:c r="M44" s="106"/>
      <x:c r="N44" s="106"/>
      <x:c r="O44" s="106"/>
      <x:c r="P44" s="106"/>
      <x:c r="Q44" s="106"/>
      <x:c r="R44" s="106"/>
      <x:c r="S44" s="106"/>
      <x:c r="T44" s="106"/>
      <x:c r="U44" s="106"/>
      <x:c r="V44" s="106"/>
      <x:c r="W44" s="106"/>
      <x:c r="X44" s="106"/>
      <x:c r="Y44" s="106"/>
      <x:c r="Z44" s="106"/>
      <x:c r="AA44" s="106"/>
      <x:c r="AB44" s="106"/>
      <x:c r="AC44" s="106"/>
      <x:c r="AD44" s="106"/>
      <x:c r="AE44" s="106"/>
      <x:c r="AF44" s="106"/>
      <x:c r="AG44" s="106"/>
      <x:c r="AH44" s="106"/>
      <x:c r="AI44" s="106"/>
      <x:c r="AJ44" s="106"/>
      <x:c r="AK44" s="106"/>
      <x:c r="AL44" s="106"/>
      <x:c r="AM44" s="106"/>
      <x:c r="AN44" s="106"/>
      <x:c r="AO44" s="106"/>
      <x:c r="AP44" s="106"/>
      <x:c r="AQ44" s="106"/>
      <x:c r="AR44" s="106"/>
      <x:c r="AS44" s="106"/>
      <x:c r="AT44" s="106"/>
      <x:c r="AU44" s="106"/>
      <x:c r="AV44" s="106"/>
      <x:c r="AW44" s="106"/>
      <x:c r="AX44" s="106"/>
      <x:c r="AY44" s="106"/>
      <x:c r="AZ44" s="106"/>
      <x:c r="BA44" s="106"/>
    </x:row>
    <x:row r="45">
      <x:c r="A45" s="106"/>
      <x:c r="B45" s="106"/>
      <x:c r="C45" s="106"/>
      <x:c r="D45" s="106"/>
      <x:c r="E45" s="106"/>
      <x:c r="F45" s="106"/>
      <x:c r="G45" s="106"/>
      <x:c r="H45" s="106"/>
      <x:c r="I45" s="106"/>
      <x:c r="J45" s="106"/>
      <x:c r="K45" s="106"/>
      <x:c r="L45" s="106"/>
      <x:c r="M45" s="106"/>
      <x:c r="N45" s="106"/>
      <x:c r="O45" s="106"/>
      <x:c r="P45" s="106"/>
      <x:c r="Q45" s="106"/>
      <x:c r="R45" s="106"/>
      <x:c r="S45" s="106"/>
      <x:c r="T45" s="106"/>
      <x:c r="U45" s="106"/>
      <x:c r="V45" s="106"/>
      <x:c r="W45" s="106"/>
      <x:c r="X45" s="106"/>
      <x:c r="Y45" s="106"/>
      <x:c r="Z45" s="106"/>
      <x:c r="AA45" s="106"/>
      <x:c r="AB45" s="106"/>
      <x:c r="AC45" s="106"/>
      <x:c r="AD45" s="106"/>
      <x:c r="AE45" s="106"/>
      <x:c r="AF45" s="106"/>
      <x:c r="AG45" s="106"/>
      <x:c r="AH45" s="106"/>
      <x:c r="AI45" s="106"/>
      <x:c r="AJ45" s="106"/>
      <x:c r="AK45" s="106"/>
      <x:c r="AL45" s="106"/>
      <x:c r="AM45" s="106"/>
      <x:c r="AN45" s="106"/>
      <x:c r="AO45" s="106"/>
      <x:c r="AP45" s="106"/>
      <x:c r="AQ45" s="106"/>
      <x:c r="AR45" s="106"/>
      <x:c r="AS45" s="106"/>
      <x:c r="AT45" s="106"/>
      <x:c r="AU45" s="106"/>
      <x:c r="AV45" s="106"/>
      <x:c r="AW45" s="106"/>
      <x:c r="AX45" s="106"/>
      <x:c r="AY45" s="106"/>
      <x:c r="AZ45" s="106"/>
      <x:c r="BA45" s="106"/>
    </x:row>
    <x:row r="46">
      <x:c r="A46" s="106"/>
      <x:c r="B46" s="106"/>
      <x:c r="C46" s="106"/>
      <x:c r="D46" s="106"/>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c r="AO46" s="106"/>
      <x:c r="AP46" s="106"/>
      <x:c r="AQ46" s="106"/>
      <x:c r="AR46" s="106"/>
      <x:c r="AS46" s="106"/>
      <x:c r="AT46" s="106"/>
      <x:c r="AU46" s="106"/>
      <x:c r="AV46" s="106"/>
      <x:c r="AW46" s="106"/>
      <x:c r="AX46" s="106"/>
      <x:c r="AY46" s="106"/>
      <x:c r="AZ46" s="106"/>
      <x:c r="BA46" s="106"/>
    </x:row>
    <x:row r="47">
      <x:c r="A47" s="106"/>
      <x:c r="B47" s="106"/>
      <x:c r="C47" s="106"/>
      <x:c r="D47" s="10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c r="AO47" s="106"/>
      <x:c r="AP47" s="106"/>
      <x:c r="AQ47" s="106"/>
      <x:c r="AR47" s="106"/>
      <x:c r="AS47" s="106"/>
      <x:c r="AT47" s="106"/>
      <x:c r="AU47" s="106"/>
      <x:c r="AV47" s="106"/>
      <x:c r="AW47" s="106"/>
      <x:c r="AX47" s="106"/>
      <x:c r="AY47" s="106"/>
      <x:c r="AZ47" s="106"/>
      <x:c r="BA47" s="106"/>
    </x:row>
    <x:row r="48">
      <x:c r="A48" s="106"/>
      <x:c r="B48" s="106"/>
      <x:c r="C48" s="106"/>
      <x:c r="D48" s="106"/>
      <x:c r="E48" s="106"/>
      <x:c r="F48" s="106"/>
      <x:c r="G48" s="106"/>
      <x:c r="H48" s="106"/>
      <x:c r="I48" s="106"/>
      <x:c r="J48" s="106"/>
      <x:c r="K48" s="106"/>
      <x:c r="L48" s="106"/>
      <x:c r="M48" s="106"/>
      <x:c r="N48" s="106"/>
      <x:c r="O48" s="106"/>
      <x:c r="P48" s="106"/>
      <x:c r="Q48" s="106"/>
      <x:c r="R48" s="106"/>
      <x:c r="S48" s="106"/>
      <x:c r="T48" s="106"/>
      <x:c r="U48" s="106"/>
      <x:c r="V48" s="106"/>
      <x:c r="W48" s="106"/>
      <x:c r="X48" s="106"/>
      <x:c r="Y48" s="106"/>
      <x:c r="Z48" s="106"/>
      <x:c r="AA48" s="106"/>
      <x:c r="AB48" s="106"/>
      <x:c r="AC48" s="106"/>
      <x:c r="AD48" s="106"/>
      <x:c r="AE48" s="106"/>
      <x:c r="AF48" s="106"/>
      <x:c r="AG48" s="106"/>
      <x:c r="AH48" s="106"/>
      <x:c r="AI48" s="106"/>
      <x:c r="AJ48" s="106"/>
      <x:c r="AK48" s="106"/>
      <x:c r="AL48" s="106"/>
      <x:c r="AM48" s="106"/>
      <x:c r="AN48" s="106"/>
      <x:c r="AO48" s="106"/>
      <x:c r="AP48" s="106"/>
      <x:c r="AQ48" s="106"/>
      <x:c r="AR48" s="106"/>
      <x:c r="AS48" s="106"/>
      <x:c r="AT48" s="106"/>
      <x:c r="AU48" s="106"/>
      <x:c r="AV48" s="106"/>
      <x:c r="AW48" s="106"/>
      <x:c r="AX48" s="106"/>
      <x:c r="AY48" s="106"/>
      <x:c r="AZ48" s="106"/>
      <x:c r="BA48" s="106"/>
    </x:row>
    <x:row r="49">
      <x:c r="A49" s="106"/>
      <x:c r="B49" s="106"/>
      <x:c r="C49" s="106"/>
      <x:c r="D49" s="106"/>
      <x:c r="E49" s="106"/>
      <x:c r="F49" s="106"/>
      <x:c r="G49" s="106"/>
      <x:c r="H49" s="106"/>
      <x:c r="I49" s="106"/>
      <x:c r="J49" s="106"/>
      <x:c r="K49" s="106"/>
      <x:c r="L49" s="106"/>
      <x:c r="M49" s="106"/>
      <x:c r="N49" s="106"/>
      <x:c r="O49" s="106"/>
      <x:c r="P49" s="106"/>
      <x:c r="Q49" s="106"/>
      <x:c r="R49" s="106"/>
      <x:c r="S49" s="106"/>
      <x:c r="T49" s="106"/>
      <x:c r="U49" s="106"/>
      <x:c r="V49" s="106"/>
      <x:c r="W49" s="106"/>
      <x:c r="X49" s="106"/>
      <x:c r="Y49" s="106"/>
      <x:c r="Z49" s="106"/>
      <x:c r="AA49" s="106"/>
      <x:c r="AB49" s="106"/>
      <x:c r="AC49" s="106"/>
      <x:c r="AD49" s="106"/>
      <x:c r="AE49" s="106"/>
      <x:c r="AF49" s="106"/>
      <x:c r="AG49" s="106"/>
      <x:c r="AH49" s="106"/>
      <x:c r="AI49" s="106"/>
      <x:c r="AJ49" s="106"/>
      <x:c r="AK49" s="106"/>
      <x:c r="AL49" s="106"/>
      <x:c r="AM49" s="106"/>
      <x:c r="AN49" s="106"/>
      <x:c r="AO49" s="106"/>
      <x:c r="AP49" s="106"/>
      <x:c r="AQ49" s="106"/>
      <x:c r="AR49" s="106"/>
      <x:c r="AS49" s="106"/>
      <x:c r="AT49" s="106"/>
      <x:c r="AU49" s="106"/>
      <x:c r="AV49" s="106"/>
      <x:c r="AW49" s="106"/>
      <x:c r="AX49" s="106"/>
      <x:c r="AY49" s="106"/>
      <x:c r="AZ49" s="106"/>
      <x:c r="BA49" s="106"/>
    </x:row>
    <x:row r="50">
      <x:c r="A50" s="106"/>
      <x:c r="B50" s="106"/>
      <x:c r="C50" s="106"/>
      <x:c r="D50" s="106"/>
      <x:c r="E50" s="106"/>
      <x:c r="F50" s="106"/>
      <x:c r="G50" s="106"/>
      <x:c r="H50" s="106"/>
      <x:c r="I50" s="106"/>
      <x:c r="J50" s="106"/>
      <x:c r="K50" s="106"/>
      <x:c r="L50" s="106"/>
      <x:c r="M50" s="106"/>
      <x:c r="N50" s="106"/>
      <x:c r="O50" s="106"/>
      <x:c r="P50" s="106"/>
      <x:c r="Q50" s="106"/>
      <x:c r="R50" s="106"/>
      <x:c r="S50" s="106"/>
      <x:c r="T50" s="106"/>
      <x:c r="U50" s="106"/>
      <x:c r="V50" s="106"/>
      <x:c r="W50" s="106"/>
      <x:c r="X50" s="106"/>
      <x:c r="Y50" s="106"/>
      <x:c r="Z50" s="106"/>
      <x:c r="AA50" s="106"/>
      <x:c r="AB50" s="106"/>
      <x:c r="AC50" s="106"/>
      <x:c r="AD50" s="106"/>
      <x:c r="AE50" s="106"/>
      <x:c r="AF50" s="106"/>
      <x:c r="AG50" s="106"/>
      <x:c r="AH50" s="106"/>
      <x:c r="AI50" s="106"/>
      <x:c r="AJ50" s="106"/>
      <x:c r="AK50" s="106"/>
      <x:c r="AL50" s="106"/>
      <x:c r="AM50" s="106"/>
      <x:c r="AN50" s="106"/>
      <x:c r="AO50" s="106"/>
      <x:c r="AP50" s="106"/>
      <x:c r="AQ50" s="106"/>
      <x:c r="AR50" s="106"/>
      <x:c r="AS50" s="106"/>
      <x:c r="AT50" s="106"/>
      <x:c r="AU50" s="106"/>
      <x:c r="AV50" s="106"/>
      <x:c r="AW50" s="106"/>
      <x:c r="AX50" s="106"/>
      <x:c r="AY50" s="106"/>
      <x:c r="AZ50" s="106"/>
      <x:c r="BA50" s="106"/>
    </x:row>
    <x:row r="51">
      <x:c r="A51" s="106"/>
      <x:c r="B51" s="106"/>
      <x:c r="C51" s="106"/>
      <x:c r="D51" s="106"/>
      <x:c r="E51" s="106"/>
      <x:c r="F51" s="106"/>
      <x:c r="G51" s="106"/>
      <x:c r="H51" s="106"/>
      <x:c r="I51" s="106"/>
      <x:c r="J51" s="106"/>
      <x:c r="K51" s="106"/>
      <x:c r="L51" s="106"/>
      <x:c r="M51" s="106"/>
      <x:c r="N51" s="106"/>
      <x:c r="O51" s="106"/>
      <x:c r="P51" s="106"/>
      <x:c r="Q51" s="106"/>
      <x:c r="R51" s="106"/>
      <x:c r="S51" s="106"/>
      <x:c r="T51" s="106"/>
      <x:c r="U51" s="106"/>
      <x:c r="V51" s="106"/>
      <x:c r="W51" s="106"/>
      <x:c r="X51" s="106"/>
      <x:c r="Y51" s="106"/>
      <x:c r="Z51" s="106"/>
      <x:c r="AA51" s="106"/>
      <x:c r="AB51" s="106"/>
      <x:c r="AC51" s="106"/>
      <x:c r="AD51" s="106"/>
      <x:c r="AE51" s="106"/>
      <x:c r="AF51" s="106"/>
      <x:c r="AG51" s="106"/>
      <x:c r="AH51" s="106"/>
      <x:c r="AI51" s="106"/>
      <x:c r="AJ51" s="106"/>
      <x:c r="AK51" s="106"/>
      <x:c r="AL51" s="106"/>
      <x:c r="AM51" s="106"/>
      <x:c r="AN51" s="106"/>
      <x:c r="AO51" s="106"/>
      <x:c r="AP51" s="106"/>
      <x:c r="AQ51" s="106"/>
      <x:c r="AR51" s="106"/>
      <x:c r="AS51" s="106"/>
      <x:c r="AT51" s="106"/>
      <x:c r="AU51" s="106"/>
      <x:c r="AV51" s="106"/>
      <x:c r="AW51" s="106"/>
      <x:c r="AX51" s="106"/>
      <x:c r="AY51" s="106"/>
      <x:c r="AZ51" s="106"/>
      <x:c r="BA51" s="106"/>
    </x:row>
    <x:row r="52">
      <x:c r="A52" s="106"/>
      <x:c r="B52" s="106"/>
      <x:c r="C52" s="106"/>
      <x:c r="D52" s="106"/>
      <x:c r="E52" s="106"/>
      <x:c r="F52" s="106"/>
      <x:c r="G52" s="106"/>
      <x:c r="H52" s="106"/>
      <x:c r="I52" s="106"/>
      <x:c r="J52" s="106"/>
      <x:c r="K52" s="106"/>
      <x:c r="L52" s="106"/>
      <x:c r="M52" s="106"/>
      <x:c r="N52" s="106"/>
      <x:c r="O52" s="106"/>
      <x:c r="P52" s="106"/>
      <x:c r="Q52" s="106"/>
      <x:c r="R52" s="106"/>
      <x:c r="S52" s="106"/>
      <x:c r="T52" s="106"/>
      <x:c r="U52" s="106"/>
      <x:c r="V52" s="106"/>
      <x:c r="W52" s="106"/>
      <x:c r="X52" s="106"/>
      <x:c r="Y52" s="106"/>
      <x:c r="Z52" s="106"/>
      <x:c r="AA52" s="106"/>
      <x:c r="AB52" s="106"/>
      <x:c r="AC52" s="106"/>
      <x:c r="AD52" s="106"/>
      <x:c r="AE52" s="106"/>
      <x:c r="AF52" s="106"/>
      <x:c r="AG52" s="106"/>
      <x:c r="AH52" s="106"/>
      <x:c r="AI52" s="106"/>
      <x:c r="AJ52" s="106"/>
      <x:c r="AK52" s="106"/>
      <x:c r="AL52" s="106"/>
      <x:c r="AM52" s="106"/>
      <x:c r="AN52" s="106"/>
      <x:c r="AO52" s="106"/>
      <x:c r="AP52" s="106"/>
      <x:c r="AQ52" s="106"/>
      <x:c r="AR52" s="106"/>
      <x:c r="AS52" s="106"/>
      <x:c r="AT52" s="106"/>
      <x:c r="AU52" s="106"/>
      <x:c r="AV52" s="106"/>
      <x:c r="AW52" s="106"/>
      <x:c r="AX52" s="106"/>
      <x:c r="AY52" s="106"/>
      <x:c r="AZ52" s="106"/>
      <x:c r="BA52" s="106"/>
    </x:row>
    <x:row r="53">
      <x:c r="A53" s="106"/>
      <x:c r="B53" s="106"/>
      <x:c r="C53" s="106"/>
      <x:c r="D53" s="106"/>
      <x:c r="E53" s="106"/>
      <x:c r="F53" s="106"/>
      <x:c r="G53" s="106"/>
      <x:c r="H53" s="106"/>
      <x:c r="I53" s="106"/>
      <x:c r="J53" s="106"/>
      <x:c r="K53" s="106"/>
      <x:c r="L53" s="106"/>
      <x:c r="M53" s="106"/>
      <x:c r="N53" s="106"/>
      <x:c r="O53" s="106"/>
      <x:c r="P53" s="106"/>
      <x:c r="Q53" s="106"/>
      <x:c r="R53" s="106"/>
      <x:c r="S53" s="106"/>
      <x:c r="T53" s="106"/>
      <x:c r="U53" s="106"/>
      <x:c r="V53" s="106"/>
      <x:c r="W53" s="106"/>
      <x:c r="X53" s="106"/>
      <x:c r="Y53" s="106"/>
      <x:c r="Z53" s="106"/>
      <x:c r="AA53" s="106"/>
      <x:c r="AB53" s="106"/>
      <x:c r="AC53" s="106"/>
      <x:c r="AD53" s="106"/>
      <x:c r="AE53" s="106"/>
      <x:c r="AF53" s="106"/>
      <x:c r="AG53" s="106"/>
      <x:c r="AH53" s="106"/>
      <x:c r="AI53" s="106"/>
      <x:c r="AJ53" s="106"/>
      <x:c r="AK53" s="106"/>
      <x:c r="AL53" s="106"/>
      <x:c r="AM53" s="106"/>
      <x:c r="AN53" s="106"/>
      <x:c r="AO53" s="106"/>
      <x:c r="AP53" s="106"/>
      <x:c r="AQ53" s="106"/>
      <x:c r="AR53" s="106"/>
      <x:c r="AS53" s="106"/>
      <x:c r="AT53" s="106"/>
      <x:c r="AU53" s="106"/>
      <x:c r="AV53" s="106"/>
      <x:c r="AW53" s="106"/>
      <x:c r="AX53" s="106"/>
      <x:c r="AY53" s="106"/>
      <x:c r="AZ53" s="106"/>
      <x:c r="BA53" s="106"/>
    </x:row>
    <x:row r="54">
      <x:c r="A54" s="106"/>
      <x:c r="B54" s="106"/>
      <x:c r="C54" s="106"/>
      <x:c r="D54" s="106"/>
      <x:c r="E54" s="106"/>
      <x:c r="F54" s="106"/>
      <x:c r="G54" s="106"/>
      <x:c r="H54" s="106"/>
      <x:c r="I54" s="106"/>
      <x:c r="J54" s="106"/>
      <x:c r="K54" s="106"/>
      <x:c r="L54" s="106"/>
      <x:c r="M54" s="106"/>
      <x:c r="N54" s="106"/>
      <x:c r="O54" s="106"/>
      <x:c r="P54" s="106"/>
      <x:c r="Q54" s="106"/>
      <x:c r="R54" s="106"/>
      <x:c r="S54" s="106"/>
      <x:c r="T54" s="106"/>
      <x:c r="U54" s="106"/>
      <x:c r="V54" s="106"/>
      <x:c r="W54" s="106"/>
      <x:c r="X54" s="106"/>
      <x:c r="Y54" s="106"/>
      <x:c r="Z54" s="106"/>
      <x:c r="AA54" s="106"/>
      <x:c r="AB54" s="106"/>
      <x:c r="AC54" s="106"/>
      <x:c r="AD54" s="106"/>
      <x:c r="AE54" s="106"/>
      <x:c r="AF54" s="106"/>
      <x:c r="AG54" s="106"/>
      <x:c r="AH54" s="106"/>
      <x:c r="AI54" s="106"/>
      <x:c r="AJ54" s="106"/>
      <x:c r="AK54" s="106"/>
      <x:c r="AL54" s="106"/>
      <x:c r="AM54" s="106"/>
      <x:c r="AN54" s="106"/>
      <x:c r="AO54" s="106"/>
      <x:c r="AP54" s="106"/>
      <x:c r="AQ54" s="106"/>
      <x:c r="AR54" s="106"/>
      <x:c r="AS54" s="106"/>
      <x:c r="AT54" s="106"/>
      <x:c r="AU54" s="106"/>
      <x:c r="AV54" s="106"/>
      <x:c r="AW54" s="106"/>
      <x:c r="AX54" s="106"/>
      <x:c r="AY54" s="106"/>
      <x:c r="AZ54" s="106"/>
      <x:c r="BA54" s="106"/>
    </x:row>
    <x:row r="55">
      <x:c r="A55" s="106"/>
      <x:c r="B55" s="106"/>
      <x:c r="C55" s="106"/>
      <x:c r="D55" s="106"/>
      <x:c r="E55" s="106"/>
      <x:c r="F55" s="106"/>
      <x:c r="G55" s="106"/>
      <x:c r="H55" s="106"/>
      <x:c r="I55" s="106"/>
      <x:c r="J55" s="106"/>
      <x:c r="K55" s="106"/>
      <x:c r="L55" s="106"/>
      <x:c r="M55" s="106"/>
      <x:c r="N55" s="106"/>
      <x:c r="O55" s="106"/>
      <x:c r="P55" s="106"/>
      <x:c r="Q55" s="106"/>
      <x:c r="R55" s="106"/>
      <x:c r="S55" s="106"/>
      <x:c r="T55" s="106"/>
      <x:c r="U55" s="106"/>
      <x:c r="V55" s="106"/>
      <x:c r="W55" s="106"/>
      <x:c r="X55" s="106"/>
      <x:c r="Y55" s="106"/>
      <x:c r="Z55" s="106"/>
      <x:c r="AA55" s="106"/>
      <x:c r="AB55" s="106"/>
      <x:c r="AC55" s="106"/>
      <x:c r="AD55" s="106"/>
      <x:c r="AE55" s="106"/>
      <x:c r="AF55" s="106"/>
      <x:c r="AG55" s="106"/>
      <x:c r="AH55" s="106"/>
      <x:c r="AI55" s="106"/>
      <x:c r="AJ55" s="106"/>
      <x:c r="AK55" s="106"/>
      <x:c r="AL55" s="106"/>
      <x:c r="AM55" s="106"/>
      <x:c r="AN55" s="106"/>
      <x:c r="AO55" s="106"/>
      <x:c r="AP55" s="106"/>
      <x:c r="AQ55" s="106"/>
      <x:c r="AR55" s="106"/>
      <x:c r="AS55" s="106"/>
      <x:c r="AT55" s="106"/>
      <x:c r="AU55" s="106"/>
      <x:c r="AV55" s="106"/>
      <x:c r="AW55" s="106"/>
      <x:c r="AX55" s="106"/>
      <x:c r="AY55" s="106"/>
      <x:c r="AZ55" s="106"/>
      <x:c r="BA55" s="106"/>
    </x:row>
    <x:row r="56">
      <x:c r="A56" s="106"/>
      <x:c r="B56" s="106"/>
      <x:c r="C56" s="106"/>
      <x:c r="D56" s="106"/>
      <x:c r="E56" s="106"/>
      <x:c r="F56" s="106"/>
      <x:c r="G56" s="106"/>
      <x:c r="H56" s="106"/>
      <x:c r="I56" s="106"/>
      <x:c r="J56" s="106"/>
      <x:c r="K56" s="106"/>
      <x:c r="L56" s="106"/>
      <x:c r="M56" s="106"/>
      <x:c r="N56" s="106"/>
      <x:c r="O56" s="106"/>
      <x:c r="P56" s="106"/>
      <x:c r="Q56" s="106"/>
      <x:c r="R56" s="106"/>
      <x:c r="S56" s="106"/>
      <x:c r="T56" s="106"/>
      <x:c r="U56" s="106"/>
      <x:c r="V56" s="106"/>
      <x:c r="W56" s="106"/>
      <x:c r="X56" s="106"/>
      <x:c r="Y56" s="106"/>
      <x:c r="Z56" s="106"/>
      <x:c r="AA56" s="106"/>
      <x:c r="AB56" s="106"/>
      <x:c r="AC56" s="106"/>
      <x:c r="AD56" s="106"/>
      <x:c r="AE56" s="106"/>
      <x:c r="AF56" s="106"/>
      <x:c r="AG56" s="106"/>
      <x:c r="AH56" s="106"/>
      <x:c r="AI56" s="106"/>
      <x:c r="AJ56" s="106"/>
      <x:c r="AK56" s="106"/>
      <x:c r="AL56" s="106"/>
      <x:c r="AM56" s="106"/>
      <x:c r="AN56" s="106"/>
      <x:c r="AO56" s="106"/>
      <x:c r="AP56" s="106"/>
      <x:c r="AQ56" s="106"/>
      <x:c r="AR56" s="106"/>
      <x:c r="AS56" s="106"/>
      <x:c r="AT56" s="106"/>
      <x:c r="AU56" s="106"/>
      <x:c r="AV56" s="106"/>
      <x:c r="AW56" s="106"/>
      <x:c r="AX56" s="106"/>
      <x:c r="AY56" s="106"/>
      <x:c r="AZ56" s="106"/>
      <x:c r="BA56" s="106"/>
    </x:row>
    <x:row r="57">
      <x:c r="A57" s="106"/>
      <x:c r="B57" s="106"/>
      <x:c r="C57" s="106"/>
      <x:c r="D57" s="106"/>
      <x:c r="E57" s="106"/>
      <x:c r="F57" s="106"/>
      <x:c r="G57" s="106"/>
      <x:c r="H57" s="106"/>
      <x:c r="I57" s="106"/>
      <x:c r="J57" s="106"/>
      <x:c r="K57" s="106"/>
      <x:c r="L57" s="106"/>
      <x:c r="M57" s="106"/>
      <x:c r="N57" s="106"/>
      <x:c r="O57" s="106"/>
      <x:c r="P57" s="106"/>
      <x:c r="Q57" s="106"/>
      <x:c r="R57" s="106"/>
      <x:c r="S57" s="106"/>
      <x:c r="T57" s="106"/>
      <x:c r="U57" s="106"/>
      <x:c r="V57" s="106"/>
      <x:c r="W57" s="106"/>
      <x:c r="X57" s="106"/>
      <x:c r="Y57" s="106"/>
      <x:c r="Z57" s="106"/>
      <x:c r="AA57" s="106"/>
      <x:c r="AB57" s="106"/>
      <x:c r="AC57" s="106"/>
      <x:c r="AD57" s="106"/>
      <x:c r="AE57" s="106"/>
      <x:c r="AF57" s="106"/>
      <x:c r="AG57" s="106"/>
      <x:c r="AH57" s="106"/>
      <x:c r="AI57" s="106"/>
      <x:c r="AJ57" s="106"/>
      <x:c r="AK57" s="106"/>
      <x:c r="AL57" s="106"/>
      <x:c r="AM57" s="106"/>
      <x:c r="AN57" s="106"/>
      <x:c r="AO57" s="106"/>
      <x:c r="AP57" s="106"/>
      <x:c r="AQ57" s="106"/>
      <x:c r="AR57" s="106"/>
      <x:c r="AS57" s="106"/>
      <x:c r="AT57" s="106"/>
      <x:c r="AU57" s="106"/>
      <x:c r="AV57" s="106"/>
      <x:c r="AW57" s="106"/>
      <x:c r="AX57" s="106"/>
      <x:c r="AY57" s="106"/>
      <x:c r="AZ57" s="106"/>
      <x:c r="BA57" s="106"/>
    </x:row>
    <x:row r="58">
      <x:c r="A58" s="106"/>
      <x:c r="B58" s="106"/>
      <x:c r="C58" s="106"/>
      <x:c r="D58" s="106"/>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c r="AO58" s="106"/>
      <x:c r="AP58" s="106"/>
      <x:c r="AQ58" s="106"/>
      <x:c r="AR58" s="106"/>
      <x:c r="AS58" s="106"/>
      <x:c r="AT58" s="106"/>
      <x:c r="AU58" s="106"/>
      <x:c r="AV58" s="106"/>
      <x:c r="AW58" s="106"/>
      <x:c r="AX58" s="106"/>
      <x:c r="AY58" s="106"/>
      <x:c r="AZ58" s="106"/>
      <x:c r="BA58" s="106"/>
    </x:row>
    <x:row r="59">
      <x:c r="A59" s="106"/>
      <x:c r="B59" s="106"/>
      <x:c r="C59" s="106"/>
      <x:c r="D59" s="106"/>
      <x:c r="E59" s="106"/>
      <x:c r="F59" s="106"/>
      <x:c r="G59" s="106"/>
      <x:c r="H59" s="106"/>
      <x:c r="I59" s="106"/>
      <x:c r="J59" s="106"/>
      <x:c r="K59" s="106"/>
      <x:c r="L59" s="106"/>
      <x:c r="M59" s="106"/>
      <x:c r="N59" s="106"/>
      <x:c r="O59" s="106"/>
      <x:c r="P59" s="106"/>
      <x:c r="Q59" s="106"/>
      <x:c r="R59" s="106"/>
      <x:c r="S59" s="106"/>
      <x:c r="T59" s="106"/>
      <x:c r="U59" s="106"/>
      <x:c r="V59" s="106"/>
      <x:c r="W59" s="106"/>
      <x:c r="X59" s="106"/>
      <x:c r="Y59" s="106"/>
      <x:c r="Z59" s="106"/>
      <x:c r="AA59" s="106"/>
      <x:c r="AB59" s="106"/>
      <x:c r="AC59" s="106"/>
      <x:c r="AD59" s="106"/>
      <x:c r="AE59" s="106"/>
      <x:c r="AF59" s="106"/>
      <x:c r="AG59" s="106"/>
      <x:c r="AH59" s="106"/>
      <x:c r="AI59" s="106"/>
      <x:c r="AJ59" s="106"/>
      <x:c r="AK59" s="106"/>
      <x:c r="AL59" s="106"/>
      <x:c r="AM59" s="106"/>
      <x:c r="AN59" s="106"/>
      <x:c r="AO59" s="106"/>
      <x:c r="AP59" s="106"/>
      <x:c r="AQ59" s="106"/>
      <x:c r="AR59" s="106"/>
      <x:c r="AS59" s="106"/>
      <x:c r="AT59" s="106"/>
      <x:c r="AU59" s="106"/>
      <x:c r="AV59" s="106"/>
      <x:c r="AW59" s="106"/>
      <x:c r="AX59" s="106"/>
      <x:c r="AY59" s="106"/>
      <x:c r="AZ59" s="106"/>
      <x:c r="BA59" s="106"/>
    </x:row>
    <x:row r="60">
      <x:c r="A60" s="106"/>
      <x:c r="B60" s="106"/>
      <x:c r="C60" s="106"/>
      <x:c r="D60" s="106"/>
      <x:c r="E60" s="106"/>
      <x:c r="F60" s="106"/>
      <x:c r="G60" s="106"/>
      <x:c r="H60" s="106"/>
      <x:c r="I60" s="106"/>
      <x:c r="J60" s="106"/>
      <x:c r="K60" s="106"/>
      <x:c r="L60" s="106"/>
      <x:c r="M60" s="106"/>
      <x:c r="N60" s="106"/>
      <x:c r="O60" s="106"/>
      <x:c r="P60" s="106"/>
      <x:c r="Q60" s="106"/>
      <x:c r="R60" s="106"/>
      <x:c r="S60" s="106"/>
      <x:c r="T60" s="106"/>
      <x:c r="U60" s="106"/>
      <x:c r="V60" s="106"/>
      <x:c r="W60" s="106"/>
      <x:c r="X60" s="106"/>
      <x:c r="Y60" s="106"/>
      <x:c r="Z60" s="106"/>
      <x:c r="AA60" s="106"/>
      <x:c r="AB60" s="106"/>
      <x:c r="AC60" s="106"/>
      <x:c r="AD60" s="106"/>
      <x:c r="AE60" s="106"/>
      <x:c r="AF60" s="106"/>
      <x:c r="AG60" s="106"/>
      <x:c r="AH60" s="106"/>
      <x:c r="AI60" s="106"/>
      <x:c r="AJ60" s="106"/>
      <x:c r="AK60" s="106"/>
      <x:c r="AL60" s="106"/>
      <x:c r="AM60" s="106"/>
      <x:c r="AN60" s="106"/>
      <x:c r="AO60" s="106"/>
      <x:c r="AP60" s="106"/>
      <x:c r="AQ60" s="106"/>
      <x:c r="AR60" s="106"/>
      <x:c r="AS60" s="106"/>
      <x:c r="AT60" s="106"/>
      <x:c r="AU60" s="106"/>
      <x:c r="AV60" s="106"/>
      <x:c r="AW60" s="106"/>
      <x:c r="AX60" s="106"/>
      <x:c r="AY60" s="106"/>
      <x:c r="AZ60" s="106"/>
      <x:c r="BA60" s="106"/>
    </x:row>
  </x:sheetData>
  <x:mergeCells>
    <x:mergeCell ref="A1:L1"/>
    <x:mergeCell ref="A11:F11"/>
    <x:mergeCell ref="H3:L3"/>
    <x:mergeCell ref="H4:L8"/>
  </x:mergeCells>
  <x:conditionalFormatting sqref="F13:F22">
    <x:cfRule type="expression" dxfId="13" priority="1">
      <x:formula>$F13="Overdue"</x:formula>
    </x:cfRule>
    <x:cfRule type="expression" dxfId="14" priority="2">
      <x:formula>$F13="Due ≤7 days"</x:formula>
    </x:cfRule>
  </x:conditionalFormatting>
  <x:conditionalFormatting sqref="H4:L8">
    <x:cfRule type="expression" dxfId="15" priority="3">
      <x:formula>$H$4="ACTION NEEDED"</x:formula>
    </x:cfRule>
    <x:cfRule type="expression" dxfId="16" priority="4">
      <x:formula>$H$4="WATCH"</x:formula>
    </x:cfRule>
    <x:cfRule type="expression" dxfId="17" priority="5">
      <x:formula>$H$4="ON TRACK"</x:formula>
    </x:cfRule>
  </x:conditionalFormatting>
  <x:pageMargins left="0.7" right="0.7" top="0.75" bottom="0.75" header="0.3" footer="0.3"/>
  <x:drawing xmlns:r="http://schemas.openxmlformats.org/officeDocument/2006/relationships" r:id="R929c35fb31864ff2"/>
</x:worksheet>
</file>

<file path=xl/worksheets/sheet8.xml><?xml version="1.0" encoding="utf-8"?>
<x:worksheet xmlns:x="http://schemas.openxmlformats.org/spreadsheetml/2006/main">
  <x:sheetFormatPr defaultRowHeight="15"/>
  <x:cols>
    <x:col min="1" max="1" width="8" hidden="0" customWidth="1"/>
    <x:col min="2" max="2" width="14" hidden="0" customWidth="1"/>
    <x:col min="3" max="3" width="28" hidden="0" customWidth="1"/>
    <x:col min="4" max="4" width="16" hidden="0" customWidth="1"/>
    <x:col min="5" max="5" width="14" hidden="0" customWidth="1"/>
    <x:col min="6" max="6" width="12" hidden="0" customWidth="1"/>
    <x:col min="7" max="7" width="14" hidden="0" customWidth="1"/>
    <x:col min="8" max="8" width="14" hidden="0" customWidth="1"/>
    <x:col min="10" max="10" width="22" hidden="0" customWidth="1"/>
    <x:col min="11" max="11" width="28" hidden="0" customWidth="1"/>
    <x:col min="12" max="12" width="6" hidden="0" customWidth="1"/>
    <x:col min="13" max="13" width="22" hidden="0" customWidth="1"/>
  </x:cols>
  <x:sheetData>
    <x:row r="1">
      <x:c r="A1" s="169" t="str">
        <x:v>EXAMPLE — what a minimally entered project can generate</x:v>
      </x:c>
      <x:c r="B1" s="169"/>
      <x:c r="C1" s="169"/>
      <x:c r="D1" s="169"/>
      <x:c r="E1" s="169"/>
      <x:c r="F1" s="169"/>
      <x:c r="G1" s="169"/>
      <x:c r="H1" s="169"/>
      <x:c r="I1" s="106"/>
      <x:c r="J1" s="106"/>
      <x:c r="K1" s="106"/>
      <x:c r="L1" s="106"/>
      <x:c r="M1" s="106"/>
      <x:c r="N1" s="106"/>
      <x:c r="O1" s="106"/>
      <x:c r="P1" s="106"/>
      <x:c r="Q1" s="106"/>
      <x:c r="R1" s="106"/>
      <x:c r="S1" s="106"/>
      <x:c r="T1" s="106"/>
      <x:c r="U1" s="106"/>
      <x:c r="V1" s="106"/>
      <x:c r="W1" s="106"/>
      <x:c r="X1" s="106"/>
      <x:c r="Y1" s="106"/>
      <x:c r="Z1" s="106"/>
      <x:c r="AA1" s="106"/>
      <x:c r="AB1" s="106"/>
      <x:c r="AC1" s="106"/>
      <x:c r="AD1" s="106"/>
      <x:c r="AE1" s="106"/>
      <x:c r="AF1" s="106"/>
      <x:c r="AG1" s="106"/>
      <x:c r="AH1" s="106"/>
      <x:c r="AI1" s="106"/>
      <x:c r="AJ1" s="106"/>
      <x:c r="AK1" s="106"/>
      <x:c r="AL1" s="106"/>
      <x:c r="AM1" s="106"/>
      <x:c r="AN1" s="106"/>
      <x:c r="AO1" s="106"/>
      <x:c r="AP1" s="106"/>
      <x:c r="AQ1" s="106"/>
      <x:c r="AR1" s="106"/>
      <x:c r="AS1" s="106"/>
      <x:c r="AT1" s="106"/>
      <x:c r="AU1" s="106"/>
      <x:c r="AV1" s="106"/>
      <x:c r="AW1" s="106"/>
      <x:c r="AX1" s="106"/>
      <x:c r="AY1" s="106"/>
      <x:c r="AZ1" s="106"/>
      <x:c r="BA1" s="106"/>
    </x:row>
    <x:row r="2">
      <x:c r="A2" s="106"/>
      <x:c r="B2" s="106"/>
      <x:c r="C2" s="106"/>
      <x:c r="D2" s="106"/>
      <x:c r="E2" s="106"/>
      <x:c r="F2" s="106"/>
      <x:c r="G2" s="106"/>
      <x:c r="H2" s="106"/>
      <x:c r="I2" s="106"/>
      <x:c r="J2" s="106"/>
      <x:c r="K2" s="106"/>
      <x:c r="L2" s="106"/>
      <x:c r="M2" s="106"/>
      <x:c r="N2" s="106"/>
      <x:c r="O2" s="106"/>
      <x:c r="P2" s="106"/>
      <x:c r="Q2" s="106"/>
      <x:c r="R2" s="106"/>
      <x:c r="S2" s="106"/>
      <x:c r="T2" s="106"/>
      <x:c r="U2" s="106"/>
      <x:c r="V2" s="106"/>
      <x:c r="W2" s="106"/>
      <x:c r="X2" s="106"/>
      <x:c r="Y2" s="106"/>
      <x:c r="Z2" s="106"/>
      <x:c r="AA2" s="106"/>
      <x:c r="AB2" s="106"/>
      <x:c r="AC2" s="106"/>
      <x:c r="AD2" s="106"/>
      <x:c r="AE2" s="106"/>
      <x:c r="AF2" s="106"/>
      <x:c r="AG2" s="106"/>
      <x:c r="AH2" s="106"/>
      <x:c r="AI2" s="106"/>
      <x:c r="AJ2" s="106"/>
      <x:c r="AK2" s="106"/>
      <x:c r="AL2" s="106"/>
      <x:c r="AM2" s="106"/>
      <x:c r="AN2" s="106"/>
      <x:c r="AO2" s="106"/>
      <x:c r="AP2" s="106"/>
      <x:c r="AQ2" s="106"/>
      <x:c r="AR2" s="106"/>
      <x:c r="AS2" s="106"/>
      <x:c r="AT2" s="106"/>
      <x:c r="AU2" s="106"/>
      <x:c r="AV2" s="106"/>
      <x:c r="AW2" s="106"/>
      <x:c r="AX2" s="106"/>
      <x:c r="AY2" s="106"/>
      <x:c r="AZ2" s="106"/>
      <x:c r="BA2" s="106"/>
    </x:row>
    <x:row r="3">
      <x:c r="A3" s="135" t="str">
        <x:v>Task ID</x:v>
      </x:c>
      <x:c r="B3" s="135" t="str">
        <x:v>Phase</x:v>
      </x:c>
      <x:c r="C3" s="135" t="str">
        <x:v>Task</x:v>
      </x:c>
      <x:c r="D3" s="135" t="str">
        <x:v>Owner</x:v>
      </x:c>
      <x:c r="E3" s="135" t="str">
        <x:v>Status</x:v>
      </x:c>
      <x:c r="F3" s="135" t="str">
        <x:v>Priority</x:v>
      </x:c>
      <x:c r="G3" s="135" t="str">
        <x:v>Predecessor</x:v>
      </x:c>
      <x:c r="H3" s="135" t="str">
        <x:v>Duration</x:v>
      </x:c>
      <x:c r="I3" s="106"/>
      <x:c r="J3" s="118" t="str">
        <x:v>What you entered</x:v>
      </x:c>
      <x:c r="K3" s="118" t="str">
        <x:v>What the workbook adds</x:v>
      </x:c>
      <x:c r="L3" s="118" t="str"/>
      <x:c r="M3" s="118" t="str"/>
      <x:c r="N3" s="106"/>
      <x:c r="O3" s="106"/>
      <x:c r="P3" s="106"/>
      <x:c r="Q3" s="106"/>
      <x:c r="R3" s="106"/>
      <x:c r="S3" s="106"/>
      <x:c r="T3" s="106"/>
      <x:c r="U3" s="106"/>
      <x:c r="V3" s="106"/>
      <x:c r="W3" s="106"/>
      <x:c r="X3" s="106"/>
      <x:c r="Y3" s="106"/>
      <x:c r="Z3" s="106"/>
      <x:c r="AA3" s="106"/>
      <x:c r="AB3" s="106"/>
      <x:c r="AC3" s="106"/>
      <x:c r="AD3" s="106"/>
      <x:c r="AE3" s="106"/>
      <x:c r="AF3" s="106"/>
      <x:c r="AG3" s="106"/>
      <x:c r="AH3" s="106"/>
      <x:c r="AI3" s="106"/>
      <x:c r="AJ3" s="106"/>
      <x:c r="AK3" s="106"/>
      <x:c r="AL3" s="106"/>
      <x:c r="AM3" s="106"/>
      <x:c r="AN3" s="106"/>
      <x:c r="AO3" s="106"/>
      <x:c r="AP3" s="106"/>
      <x:c r="AQ3" s="106"/>
      <x:c r="AR3" s="106"/>
      <x:c r="AS3" s="106"/>
      <x:c r="AT3" s="106"/>
      <x:c r="AU3" s="106"/>
      <x:c r="AV3" s="106"/>
      <x:c r="AW3" s="106"/>
      <x:c r="AX3" s="106"/>
      <x:c r="AY3" s="106"/>
      <x:c r="AZ3" s="106"/>
      <x:c r="BA3" s="106"/>
    </x:row>
    <x:row r="4">
      <x:c r="A4" s="111" t="n">
        <x:v>1</x:v>
      </x:c>
      <x:c r="B4" s="111" t="str">
        <x:v>Plan</x:v>
      </x:c>
      <x:c r="C4" s="111" t="str">
        <x:v>Confirm scope</x:v>
      </x:c>
      <x:c r="D4" s="111" t="str">
        <x:v>Person 1</x:v>
      </x:c>
      <x:c r="E4" s="111" t="str">
        <x:v>Complete</x:v>
      </x:c>
      <x:c r="F4" s="111" t="str">
        <x:v>High</x:v>
      </x:c>
      <x:c r="G4" s="111" t="str"/>
      <x:c r="H4" s="111" t="n">
        <x:v>2</x:v>
      </x:c>
      <x:c r="I4" s="106"/>
      <x:c r="J4" s="106" t="str">
        <x:v>Project start</x:v>
      </x:c>
      <x:c r="K4" s="106" t="str">
        <x:v>Auto start/end dates</x:v>
      </x:c>
      <x:c r="L4" s="106" t="str">
        <x:v>→</x:v>
      </x:c>
      <x:c r="M4" s="106" t="str">
        <x:v>Gantt bars</x:v>
      </x:c>
      <x:c r="N4" s="106"/>
      <x:c r="O4" s="106"/>
      <x:c r="P4" s="106"/>
      <x:c r="Q4" s="106"/>
      <x:c r="R4" s="106"/>
      <x:c r="S4" s="106"/>
      <x:c r="T4" s="106"/>
      <x:c r="U4" s="106"/>
      <x:c r="V4" s="106"/>
      <x:c r="W4" s="106"/>
      <x:c r="X4" s="106"/>
      <x:c r="Y4" s="106"/>
      <x:c r="Z4" s="106"/>
      <x:c r="AA4" s="106"/>
      <x:c r="AB4" s="106"/>
      <x:c r="AC4" s="106"/>
      <x:c r="AD4" s="106"/>
      <x:c r="AE4" s="106"/>
      <x:c r="AF4" s="106"/>
      <x:c r="AG4" s="106"/>
      <x:c r="AH4" s="106"/>
      <x:c r="AI4" s="106"/>
      <x:c r="AJ4" s="106"/>
      <x:c r="AK4" s="106"/>
      <x:c r="AL4" s="106"/>
      <x:c r="AM4" s="106"/>
      <x:c r="AN4" s="106"/>
      <x:c r="AO4" s="106"/>
      <x:c r="AP4" s="106"/>
      <x:c r="AQ4" s="106"/>
      <x:c r="AR4" s="106"/>
      <x:c r="AS4" s="106"/>
      <x:c r="AT4" s="106"/>
      <x:c r="AU4" s="106"/>
      <x:c r="AV4" s="106"/>
      <x:c r="AW4" s="106"/>
      <x:c r="AX4" s="106"/>
      <x:c r="AY4" s="106"/>
      <x:c r="AZ4" s="106"/>
      <x:c r="BA4" s="106"/>
    </x:row>
    <x:row r="5">
      <x:c r="A5" s="111" t="n">
        <x:v>2</x:v>
      </x:c>
      <x:c r="B5" s="111" t="str">
        <x:v>Plan</x:v>
      </x:c>
      <x:c r="C5" s="111" t="str">
        <x:v>Stakeholder review</x:v>
      </x:c>
      <x:c r="D5" s="111" t="str">
        <x:v>Person 2</x:v>
      </x:c>
      <x:c r="E5" s="111" t="str">
        <x:v>In Progress</x:v>
      </x:c>
      <x:c r="F5" s="111" t="str">
        <x:v>High</x:v>
      </x:c>
      <x:c r="G5" s="111" t="n">
        <x:v>1</x:v>
      </x:c>
      <x:c r="H5" s="111" t="n">
        <x:v>3</x:v>
      </x:c>
      <x:c r="I5" s="106"/>
      <x:c r="J5" s="106" t="str">
        <x:v>Task + owner</x:v>
      </x:c>
      <x:c r="K5" s="106" t="str">
        <x:v>Due status</x:v>
      </x:c>
      <x:c r="L5" s="106" t="str">
        <x:v>→</x:v>
      </x:c>
      <x:c r="M5" s="106" t="str">
        <x:v>Dashboard counts</x:v>
      </x:c>
      <x:c r="N5" s="106"/>
      <x:c r="O5" s="106"/>
      <x:c r="P5" s="106"/>
      <x:c r="Q5" s="106"/>
      <x:c r="R5" s="106"/>
      <x:c r="S5" s="106"/>
      <x:c r="T5" s="106"/>
      <x:c r="U5" s="106"/>
      <x:c r="V5" s="106"/>
      <x:c r="W5" s="106"/>
      <x:c r="X5" s="106"/>
      <x:c r="Y5" s="106"/>
      <x:c r="Z5" s="106"/>
      <x:c r="AA5" s="106"/>
      <x:c r="AB5" s="106"/>
      <x:c r="AC5" s="106"/>
      <x:c r="AD5" s="106"/>
      <x:c r="AE5" s="106"/>
      <x:c r="AF5" s="106"/>
      <x:c r="AG5" s="106"/>
      <x:c r="AH5" s="106"/>
      <x:c r="AI5" s="106"/>
      <x:c r="AJ5" s="106"/>
      <x:c r="AK5" s="106"/>
      <x:c r="AL5" s="106"/>
      <x:c r="AM5" s="106"/>
      <x:c r="AN5" s="106"/>
      <x:c r="AO5" s="106"/>
      <x:c r="AP5" s="106"/>
      <x:c r="AQ5" s="106"/>
      <x:c r="AR5" s="106"/>
      <x:c r="AS5" s="106"/>
      <x:c r="AT5" s="106"/>
      <x:c r="AU5" s="106"/>
      <x:c r="AV5" s="106"/>
      <x:c r="AW5" s="106"/>
      <x:c r="AX5" s="106"/>
      <x:c r="AY5" s="106"/>
      <x:c r="AZ5" s="106"/>
      <x:c r="BA5" s="106"/>
    </x:row>
    <x:row r="6">
      <x:c r="A6" s="111" t="n">
        <x:v>3</x:v>
      </x:c>
      <x:c r="B6" s="111" t="str">
        <x:v>Build</x:v>
      </x:c>
      <x:c r="C6" s="111" t="str">
        <x:v>Create first draft</x:v>
      </x:c>
      <x:c r="D6" s="111" t="str">
        <x:v>Person 1</x:v>
      </x:c>
      <x:c r="E6" s="111" t="str">
        <x:v>Not Started</x:v>
      </x:c>
      <x:c r="F6" s="111" t="str">
        <x:v>Critical</x:v>
      </x:c>
      <x:c r="G6" s="111" t="n">
        <x:v>2</x:v>
      </x:c>
      <x:c r="H6" s="111" t="n">
        <x:v>5</x:v>
      </x:c>
      <x:c r="I6" s="106"/>
      <x:c r="J6" s="106" t="str">
        <x:v>Predecessor</x:v>
      </x:c>
      <x:c r="K6" s="106" t="str">
        <x:v>Dependency-based scheduling</x:v>
      </x:c>
      <x:c r="L6" s="106" t="str">
        <x:v>→</x:v>
      </x:c>
      <x:c r="M6" s="106" t="str">
        <x:v>Schedule checks</x:v>
      </x:c>
      <x:c r="N6" s="106"/>
      <x:c r="O6" s="106"/>
      <x:c r="P6" s="106"/>
      <x:c r="Q6" s="106"/>
      <x:c r="R6" s="106"/>
      <x:c r="S6" s="106"/>
      <x:c r="T6" s="106"/>
      <x:c r="U6" s="106"/>
      <x:c r="V6" s="106"/>
      <x:c r="W6" s="106"/>
      <x:c r="X6" s="106"/>
      <x:c r="Y6" s="106"/>
      <x:c r="Z6" s="106"/>
      <x:c r="AA6" s="106"/>
      <x:c r="AB6" s="106"/>
      <x:c r="AC6" s="106"/>
      <x:c r="AD6" s="106"/>
      <x:c r="AE6" s="106"/>
      <x:c r="AF6" s="106"/>
      <x:c r="AG6" s="106"/>
      <x:c r="AH6" s="106"/>
      <x:c r="AI6" s="106"/>
      <x:c r="AJ6" s="106"/>
      <x:c r="AK6" s="106"/>
      <x:c r="AL6" s="106"/>
      <x:c r="AM6" s="106"/>
      <x:c r="AN6" s="106"/>
      <x:c r="AO6" s="106"/>
      <x:c r="AP6" s="106"/>
      <x:c r="AQ6" s="106"/>
      <x:c r="AR6" s="106"/>
      <x:c r="AS6" s="106"/>
      <x:c r="AT6" s="106"/>
      <x:c r="AU6" s="106"/>
      <x:c r="AV6" s="106"/>
      <x:c r="AW6" s="106"/>
      <x:c r="AX6" s="106"/>
      <x:c r="AY6" s="106"/>
      <x:c r="AZ6" s="106"/>
      <x:c r="BA6" s="106"/>
    </x:row>
    <x:row r="7">
      <x:c r="A7" s="111" t="n">
        <x:v>4</x:v>
      </x:c>
      <x:c r="B7" s="111" t="str">
        <x:v>QA</x:v>
      </x:c>
      <x:c r="C7" s="111" t="str">
        <x:v>Review and revise</x:v>
      </x:c>
      <x:c r="D7" s="111" t="str">
        <x:v>Person 3</x:v>
      </x:c>
      <x:c r="E7" s="111" t="str">
        <x:v>Not Started</x:v>
      </x:c>
      <x:c r="F7" s="111" t="str">
        <x:v>High</x:v>
      </x:c>
      <x:c r="G7" s="111" t="n">
        <x:v>3</x:v>
      </x:c>
      <x:c r="H7" s="111" t="n">
        <x:v>3</x:v>
      </x:c>
      <x:c r="I7" s="106"/>
      <x:c r="J7" s="106" t="str">
        <x:v>R/A/C/I</x:v>
      </x:c>
      <x:c r="K7" s="106" t="str">
        <x:v>Ownership QA</x:v>
      </x:c>
      <x:c r="L7" s="106" t="str">
        <x:v>→</x:v>
      </x:c>
      <x:c r="M7" s="106" t="str">
        <x:v>RACI flags</x:v>
      </x:c>
      <x:c r="N7" s="106"/>
      <x:c r="O7" s="106"/>
      <x:c r="P7" s="106"/>
      <x:c r="Q7" s="106"/>
      <x:c r="R7" s="106"/>
      <x:c r="S7" s="106"/>
      <x:c r="T7" s="106"/>
      <x:c r="U7" s="106"/>
      <x:c r="V7" s="106"/>
      <x:c r="W7" s="106"/>
      <x:c r="X7" s="106"/>
      <x:c r="Y7" s="106"/>
      <x:c r="Z7" s="106"/>
      <x:c r="AA7" s="106"/>
      <x:c r="AB7" s="106"/>
      <x:c r="AC7" s="106"/>
      <x:c r="AD7" s="106"/>
      <x:c r="AE7" s="106"/>
      <x:c r="AF7" s="106"/>
      <x:c r="AG7" s="106"/>
      <x:c r="AH7" s="106"/>
      <x:c r="AI7" s="106"/>
      <x:c r="AJ7" s="106"/>
      <x:c r="AK7" s="106"/>
      <x:c r="AL7" s="106"/>
      <x:c r="AM7" s="106"/>
      <x:c r="AN7" s="106"/>
      <x:c r="AO7" s="106"/>
      <x:c r="AP7" s="106"/>
      <x:c r="AQ7" s="106"/>
      <x:c r="AR7" s="106"/>
      <x:c r="AS7" s="106"/>
      <x:c r="AT7" s="106"/>
      <x:c r="AU7" s="106"/>
      <x:c r="AV7" s="106"/>
      <x:c r="AW7" s="106"/>
      <x:c r="AX7" s="106"/>
      <x:c r="AY7" s="106"/>
      <x:c r="AZ7" s="106"/>
      <x:c r="BA7" s="106"/>
    </x:row>
    <x:row r="8">
      <x:c r="A8" s="111" t="n">
        <x:v>5</x:v>
      </x:c>
      <x:c r="B8" s="111" t="str">
        <x:v>Launch</x:v>
      </x:c>
      <x:c r="C8" s="111" t="str">
        <x:v>Publish / handoff</x:v>
      </x:c>
      <x:c r="D8" s="111" t="str">
        <x:v>Person 1</x:v>
      </x:c>
      <x:c r="E8" s="111" t="str">
        <x:v>Not Started</x:v>
      </x:c>
      <x:c r="F8" s="111" t="str">
        <x:v>Medium</x:v>
      </x:c>
      <x:c r="G8" s="111" t="n">
        <x:v>4</x:v>
      </x:c>
      <x:c r="H8" s="111" t="n">
        <x:v>1</x:v>
      </x:c>
      <x:c r="I8" s="106"/>
      <x:c r="J8" s="106" t="str">
        <x:v>Risk + likelihood + impact</x:v>
      </x:c>
      <x:c r="K8" s="106" t="str">
        <x:v>Risk score/severity</x:v>
      </x:c>
      <x:c r="L8" s="106" t="str">
        <x:v>→</x:v>
      </x:c>
      <x:c r="M8" s="106" t="str">
        <x:v>Escalation view</x:v>
      </x:c>
      <x:c r="N8" s="106"/>
      <x:c r="O8" s="106"/>
      <x:c r="P8" s="106"/>
      <x:c r="Q8" s="106"/>
      <x:c r="R8" s="106"/>
      <x:c r="S8" s="106"/>
      <x:c r="T8" s="106"/>
      <x:c r="U8" s="106"/>
      <x:c r="V8" s="106"/>
      <x:c r="W8" s="106"/>
      <x:c r="X8" s="106"/>
      <x:c r="Y8" s="106"/>
      <x:c r="Z8" s="106"/>
      <x:c r="AA8" s="106"/>
      <x:c r="AB8" s="106"/>
      <x:c r="AC8" s="106"/>
      <x:c r="AD8" s="106"/>
      <x:c r="AE8" s="106"/>
      <x:c r="AF8" s="106"/>
      <x:c r="AG8" s="106"/>
      <x:c r="AH8" s="106"/>
      <x:c r="AI8" s="106"/>
      <x:c r="AJ8" s="106"/>
      <x:c r="AK8" s="106"/>
      <x:c r="AL8" s="106"/>
      <x:c r="AM8" s="106"/>
      <x:c r="AN8" s="106"/>
      <x:c r="AO8" s="106"/>
      <x:c r="AP8" s="106"/>
      <x:c r="AQ8" s="106"/>
      <x:c r="AR8" s="106"/>
      <x:c r="AS8" s="106"/>
      <x:c r="AT8" s="106"/>
      <x:c r="AU8" s="106"/>
      <x:c r="AV8" s="106"/>
      <x:c r="AW8" s="106"/>
      <x:c r="AX8" s="106"/>
      <x:c r="AY8" s="106"/>
      <x:c r="AZ8" s="106"/>
      <x:c r="BA8" s="106"/>
    </x:row>
    <x:row r="9">
      <x:c r="A9" s="106"/>
      <x:c r="B9" s="106"/>
      <x:c r="C9" s="106"/>
      <x:c r="D9" s="106"/>
      <x:c r="E9" s="106"/>
      <x:c r="F9" s="106"/>
      <x:c r="G9" s="106"/>
      <x:c r="H9" s="106"/>
      <x:c r="I9" s="106"/>
      <x:c r="J9" s="106"/>
      <x:c r="K9" s="106"/>
      <x:c r="L9" s="106"/>
      <x:c r="M9" s="106"/>
      <x:c r="N9" s="106"/>
      <x:c r="O9" s="106"/>
      <x:c r="P9" s="106"/>
      <x:c r="Q9" s="106"/>
      <x:c r="R9" s="106"/>
      <x:c r="S9" s="106"/>
      <x:c r="T9" s="106"/>
      <x:c r="U9" s="106"/>
      <x:c r="V9" s="106"/>
      <x:c r="W9" s="106"/>
      <x:c r="X9" s="106"/>
      <x:c r="Y9" s="106"/>
      <x:c r="Z9" s="106"/>
      <x:c r="AA9" s="106"/>
      <x:c r="AB9" s="106"/>
      <x:c r="AC9" s="106"/>
      <x:c r="AD9" s="106"/>
      <x:c r="AE9" s="106"/>
      <x:c r="AF9" s="106"/>
      <x:c r="AG9" s="106"/>
      <x:c r="AH9" s="106"/>
      <x:c r="AI9" s="106"/>
      <x:c r="AJ9" s="106"/>
      <x:c r="AK9" s="106"/>
      <x:c r="AL9" s="106"/>
      <x:c r="AM9" s="106"/>
      <x:c r="AN9" s="106"/>
      <x:c r="AO9" s="106"/>
      <x:c r="AP9" s="106"/>
      <x:c r="AQ9" s="106"/>
      <x:c r="AR9" s="106"/>
      <x:c r="AS9" s="106"/>
      <x:c r="AT9" s="106"/>
      <x:c r="AU9" s="106"/>
      <x:c r="AV9" s="106"/>
      <x:c r="AW9" s="106"/>
      <x:c r="AX9" s="106"/>
      <x:c r="AY9" s="106"/>
      <x:c r="AZ9" s="106"/>
      <x:c r="BA9" s="106"/>
    </x:row>
    <x:row r="10">
      <x:c r="A10" s="106"/>
      <x:c r="B10" s="106"/>
      <x:c r="C10" s="106"/>
      <x:c r="D10" s="106"/>
      <x:c r="E10" s="106"/>
      <x:c r="F10" s="106"/>
      <x:c r="G10" s="106"/>
      <x:c r="H10" s="106"/>
      <x:c r="I10" s="106"/>
      <x:c r="J10" s="106"/>
      <x:c r="K10" s="106"/>
      <x:c r="L10" s="106"/>
      <x:c r="M10" s="106"/>
      <x:c r="N10" s="106"/>
      <x:c r="O10" s="106"/>
      <x:c r="P10" s="106"/>
      <x:c r="Q10" s="106"/>
      <x:c r="R10" s="106"/>
      <x:c r="S10" s="106"/>
      <x:c r="T10" s="106"/>
      <x:c r="U10" s="106"/>
      <x:c r="V10" s="106"/>
      <x:c r="W10" s="106"/>
      <x:c r="X10" s="106"/>
      <x:c r="Y10" s="106"/>
      <x:c r="Z10" s="106"/>
      <x:c r="AA10" s="106"/>
      <x:c r="AB10" s="106"/>
      <x:c r="AC10" s="106"/>
      <x:c r="AD10" s="106"/>
      <x:c r="AE10" s="106"/>
      <x:c r="AF10" s="106"/>
      <x:c r="AG10" s="106"/>
      <x:c r="AH10" s="106"/>
      <x:c r="AI10" s="106"/>
      <x:c r="AJ10" s="106"/>
      <x:c r="AK10" s="106"/>
      <x:c r="AL10" s="106"/>
      <x:c r="AM10" s="106"/>
      <x:c r="AN10" s="106"/>
      <x:c r="AO10" s="106"/>
      <x:c r="AP10" s="106"/>
      <x:c r="AQ10" s="106"/>
      <x:c r="AR10" s="106"/>
      <x:c r="AS10" s="106"/>
      <x:c r="AT10" s="106"/>
      <x:c r="AU10" s="106"/>
      <x:c r="AV10" s="106"/>
      <x:c r="AW10" s="106"/>
      <x:c r="AX10" s="106"/>
      <x:c r="AY10" s="106"/>
      <x:c r="AZ10" s="106"/>
      <x:c r="BA10" s="106"/>
    </x:row>
    <x:row r="11">
      <x:c r="A11" s="106"/>
      <x:c r="B11" s="106"/>
      <x:c r="C11" s="106"/>
      <x:c r="D11" s="106"/>
      <x:c r="E11" s="106"/>
      <x:c r="F11" s="106"/>
      <x:c r="G11" s="106"/>
      <x:c r="H11" s="106"/>
      <x:c r="I11" s="106"/>
      <x:c r="J11" s="106"/>
      <x:c r="K11" s="106"/>
      <x:c r="L11" s="106"/>
      <x:c r="M11" s="106"/>
      <x:c r="N11" s="106"/>
      <x:c r="O11" s="106"/>
      <x:c r="P11" s="106"/>
      <x:c r="Q11" s="106"/>
      <x:c r="R11" s="106"/>
      <x:c r="S11" s="106"/>
      <x:c r="T11" s="106"/>
      <x:c r="U11" s="106"/>
      <x:c r="V11" s="106"/>
      <x:c r="W11" s="106"/>
      <x:c r="X11" s="106"/>
      <x:c r="Y11" s="106"/>
      <x:c r="Z11" s="106"/>
      <x:c r="AA11" s="106"/>
      <x:c r="AB11" s="106"/>
      <x:c r="AC11" s="106"/>
      <x:c r="AD11" s="106"/>
      <x:c r="AE11" s="106"/>
      <x:c r="AF11" s="106"/>
      <x:c r="AG11" s="106"/>
      <x:c r="AH11" s="106"/>
      <x:c r="AI11" s="106"/>
      <x:c r="AJ11" s="106"/>
      <x:c r="AK11" s="106"/>
      <x:c r="AL11" s="106"/>
      <x:c r="AM11" s="106"/>
      <x:c r="AN11" s="106"/>
      <x:c r="AO11" s="106"/>
      <x:c r="AP11" s="106"/>
      <x:c r="AQ11" s="106"/>
      <x:c r="AR11" s="106"/>
      <x:c r="AS11" s="106"/>
      <x:c r="AT11" s="106"/>
      <x:c r="AU11" s="106"/>
      <x:c r="AV11" s="106"/>
      <x:c r="AW11" s="106"/>
      <x:c r="AX11" s="106"/>
      <x:c r="AY11" s="106"/>
      <x:c r="AZ11" s="106"/>
      <x:c r="BA11" s="106"/>
    </x:row>
    <x:row r="12">
      <x:c r="A12" s="106"/>
      <x:c r="B12" s="106"/>
      <x:c r="C12" s="106"/>
      <x:c r="D12" s="106"/>
      <x:c r="E12" s="106"/>
      <x:c r="F12" s="106"/>
      <x:c r="G12" s="106"/>
      <x:c r="H12" s="106"/>
      <x:c r="I12" s="106"/>
      <x:c r="J12" s="106"/>
      <x:c r="K12" s="106"/>
      <x:c r="L12" s="106"/>
      <x:c r="M12" s="106"/>
      <x:c r="N12" s="106"/>
      <x:c r="O12" s="106"/>
      <x:c r="P12" s="106"/>
      <x:c r="Q12" s="106"/>
      <x:c r="R12" s="106"/>
      <x:c r="S12" s="106"/>
      <x:c r="T12" s="106"/>
      <x:c r="U12" s="106"/>
      <x:c r="V12" s="106"/>
      <x:c r="W12" s="106"/>
      <x:c r="X12" s="106"/>
      <x:c r="Y12" s="106"/>
      <x:c r="Z12" s="106"/>
      <x:c r="AA12" s="106"/>
      <x:c r="AB12" s="106"/>
      <x:c r="AC12" s="106"/>
      <x:c r="AD12" s="106"/>
      <x:c r="AE12" s="106"/>
      <x:c r="AF12" s="106"/>
      <x:c r="AG12" s="106"/>
      <x:c r="AH12" s="106"/>
      <x:c r="AI12" s="106"/>
      <x:c r="AJ12" s="106"/>
      <x:c r="AK12" s="106"/>
      <x:c r="AL12" s="106"/>
      <x:c r="AM12" s="106"/>
      <x:c r="AN12" s="106"/>
      <x:c r="AO12" s="106"/>
      <x:c r="AP12" s="106"/>
      <x:c r="AQ12" s="106"/>
      <x:c r="AR12" s="106"/>
      <x:c r="AS12" s="106"/>
      <x:c r="AT12" s="106"/>
      <x:c r="AU12" s="106"/>
      <x:c r="AV12" s="106"/>
      <x:c r="AW12" s="106"/>
      <x:c r="AX12" s="106"/>
      <x:c r="AY12" s="106"/>
      <x:c r="AZ12" s="106"/>
      <x:c r="BA12" s="106"/>
    </x:row>
    <x:row r="13">
      <x:c r="A13" s="106"/>
      <x:c r="B13" s="106"/>
      <x:c r="C13" s="106"/>
      <x:c r="D13" s="106"/>
      <x:c r="E13" s="106"/>
      <x:c r="F13" s="106"/>
      <x:c r="G13" s="106"/>
      <x:c r="H13" s="106"/>
      <x:c r="I13" s="106"/>
      <x:c r="J13" s="106"/>
      <x:c r="K13" s="106"/>
      <x:c r="L13" s="106"/>
      <x:c r="M13" s="106"/>
      <x:c r="N13" s="106"/>
      <x:c r="O13" s="106"/>
      <x:c r="P13" s="106"/>
      <x:c r="Q13" s="106"/>
      <x:c r="R13" s="106"/>
      <x:c r="S13" s="106"/>
      <x:c r="T13" s="106"/>
      <x:c r="U13" s="106"/>
      <x:c r="V13" s="106"/>
      <x:c r="W13" s="106"/>
      <x:c r="X13" s="106"/>
      <x:c r="Y13" s="106"/>
      <x:c r="Z13" s="106"/>
      <x:c r="AA13" s="106"/>
      <x:c r="AB13" s="106"/>
      <x:c r="AC13" s="106"/>
      <x:c r="AD13" s="106"/>
      <x:c r="AE13" s="106"/>
      <x:c r="AF13" s="106"/>
      <x:c r="AG13" s="106"/>
      <x:c r="AH13" s="106"/>
      <x:c r="AI13" s="106"/>
      <x:c r="AJ13" s="106"/>
      <x:c r="AK13" s="106"/>
      <x:c r="AL13" s="106"/>
      <x:c r="AM13" s="106"/>
      <x:c r="AN13" s="106"/>
      <x:c r="AO13" s="106"/>
      <x:c r="AP13" s="106"/>
      <x:c r="AQ13" s="106"/>
      <x:c r="AR13" s="106"/>
      <x:c r="AS13" s="106"/>
      <x:c r="AT13" s="106"/>
      <x:c r="AU13" s="106"/>
      <x:c r="AV13" s="106"/>
      <x:c r="AW13" s="106"/>
      <x:c r="AX13" s="106"/>
      <x:c r="AY13" s="106"/>
      <x:c r="AZ13" s="106"/>
      <x:c r="BA13" s="106"/>
    </x:row>
    <x:row r="14">
      <x:c r="A14" s="106"/>
      <x:c r="B14" s="106"/>
      <x:c r="C14" s="106"/>
      <x:c r="D14" s="106"/>
      <x:c r="E14" s="106"/>
      <x:c r="F14" s="106"/>
      <x:c r="G14" s="106"/>
      <x:c r="H14" s="106"/>
      <x:c r="I14" s="106"/>
      <x:c r="J14" s="106"/>
      <x:c r="K14" s="106"/>
      <x:c r="L14" s="106"/>
      <x:c r="M14" s="106"/>
      <x:c r="N14" s="106"/>
      <x:c r="O14" s="106"/>
      <x:c r="P14" s="106"/>
      <x:c r="Q14" s="106"/>
      <x:c r="R14" s="106"/>
      <x:c r="S14" s="106"/>
      <x:c r="T14" s="106"/>
      <x:c r="U14" s="106"/>
      <x:c r="V14" s="106"/>
      <x:c r="W14" s="106"/>
      <x:c r="X14" s="106"/>
      <x:c r="Y14" s="106"/>
      <x:c r="Z14" s="106"/>
      <x:c r="AA14" s="106"/>
      <x:c r="AB14" s="106"/>
      <x:c r="AC14" s="106"/>
      <x:c r="AD14" s="106"/>
      <x:c r="AE14" s="106"/>
      <x:c r="AF14" s="106"/>
      <x:c r="AG14" s="106"/>
      <x:c r="AH14" s="106"/>
      <x:c r="AI14" s="106"/>
      <x:c r="AJ14" s="106"/>
      <x:c r="AK14" s="106"/>
      <x:c r="AL14" s="106"/>
      <x:c r="AM14" s="106"/>
      <x:c r="AN14" s="106"/>
      <x:c r="AO14" s="106"/>
      <x:c r="AP14" s="106"/>
      <x:c r="AQ14" s="106"/>
      <x:c r="AR14" s="106"/>
      <x:c r="AS14" s="106"/>
      <x:c r="AT14" s="106"/>
      <x:c r="AU14" s="106"/>
      <x:c r="AV14" s="106"/>
      <x:c r="AW14" s="106"/>
      <x:c r="AX14" s="106"/>
      <x:c r="AY14" s="106"/>
      <x:c r="AZ14" s="106"/>
      <x:c r="BA14" s="106"/>
    </x:row>
    <x:row r="15">
      <x:c r="A15" s="106"/>
      <x:c r="B15" s="106"/>
      <x:c r="C15" s="106"/>
      <x:c r="D15" s="106"/>
      <x:c r="E15" s="106"/>
      <x:c r="F15" s="106"/>
      <x:c r="G15" s="106"/>
      <x:c r="H15" s="106"/>
      <x:c r="I15" s="106"/>
      <x:c r="J15" s="106"/>
      <x:c r="K15" s="106"/>
      <x:c r="L15" s="106"/>
      <x:c r="M15" s="106"/>
      <x:c r="N15" s="106"/>
      <x:c r="O15" s="106"/>
      <x:c r="P15" s="106"/>
      <x:c r="Q15" s="106"/>
      <x:c r="R15" s="106"/>
      <x:c r="S15" s="106"/>
      <x:c r="T15" s="106"/>
      <x:c r="U15" s="106"/>
      <x:c r="V15" s="106"/>
      <x:c r="W15" s="106"/>
      <x:c r="X15" s="106"/>
      <x:c r="Y15" s="106"/>
      <x:c r="Z15" s="106"/>
      <x:c r="AA15" s="106"/>
      <x:c r="AB15" s="106"/>
      <x:c r="AC15" s="106"/>
      <x:c r="AD15" s="106"/>
      <x:c r="AE15" s="106"/>
      <x:c r="AF15" s="106"/>
      <x:c r="AG15" s="106"/>
      <x:c r="AH15" s="106"/>
      <x:c r="AI15" s="106"/>
      <x:c r="AJ15" s="106"/>
      <x:c r="AK15" s="106"/>
      <x:c r="AL15" s="106"/>
      <x:c r="AM15" s="106"/>
      <x:c r="AN15" s="106"/>
      <x:c r="AO15" s="106"/>
      <x:c r="AP15" s="106"/>
      <x:c r="AQ15" s="106"/>
      <x:c r="AR15" s="106"/>
      <x:c r="AS15" s="106"/>
      <x:c r="AT15" s="106"/>
      <x:c r="AU15" s="106"/>
      <x:c r="AV15" s="106"/>
      <x:c r="AW15" s="106"/>
      <x:c r="AX15" s="106"/>
      <x:c r="AY15" s="106"/>
      <x:c r="AZ15" s="106"/>
      <x:c r="BA15" s="106"/>
    </x:row>
    <x:row r="16">
      <x:c r="A16" s="106"/>
      <x:c r="B16" s="106"/>
      <x:c r="C16" s="106"/>
      <x:c r="D16" s="106"/>
      <x:c r="E16" s="106"/>
      <x:c r="F16" s="106"/>
      <x:c r="G16" s="106"/>
      <x:c r="H16" s="106"/>
      <x:c r="I16" s="106"/>
      <x:c r="J16" s="106"/>
      <x:c r="K16" s="106"/>
      <x:c r="L16" s="106"/>
      <x:c r="M16" s="106"/>
      <x:c r="N16" s="106"/>
      <x:c r="O16" s="106"/>
      <x:c r="P16" s="106"/>
      <x:c r="Q16" s="106"/>
      <x:c r="R16" s="106"/>
      <x:c r="S16" s="106"/>
      <x:c r="T16" s="106"/>
      <x:c r="U16" s="106"/>
      <x:c r="V16" s="106"/>
      <x:c r="W16" s="106"/>
      <x:c r="X16" s="106"/>
      <x:c r="Y16" s="106"/>
      <x:c r="Z16" s="106"/>
      <x:c r="AA16" s="106"/>
      <x:c r="AB16" s="106"/>
      <x:c r="AC16" s="106"/>
      <x:c r="AD16" s="106"/>
      <x:c r="AE16" s="106"/>
      <x:c r="AF16" s="106"/>
      <x:c r="AG16" s="106"/>
      <x:c r="AH16" s="106"/>
      <x:c r="AI16" s="106"/>
      <x:c r="AJ16" s="106"/>
      <x:c r="AK16" s="106"/>
      <x:c r="AL16" s="106"/>
      <x:c r="AM16" s="106"/>
      <x:c r="AN16" s="106"/>
      <x:c r="AO16" s="106"/>
      <x:c r="AP16" s="106"/>
      <x:c r="AQ16" s="106"/>
      <x:c r="AR16" s="106"/>
      <x:c r="AS16" s="106"/>
      <x:c r="AT16" s="106"/>
      <x:c r="AU16" s="106"/>
      <x:c r="AV16" s="106"/>
      <x:c r="AW16" s="106"/>
      <x:c r="AX16" s="106"/>
      <x:c r="AY16" s="106"/>
      <x:c r="AZ16" s="106"/>
      <x:c r="BA16" s="106"/>
    </x:row>
    <x:row r="17">
      <x:c r="A17" s="106"/>
      <x:c r="B17" s="106"/>
      <x:c r="C17" s="106"/>
      <x:c r="D17" s="106"/>
      <x:c r="E17" s="106"/>
      <x:c r="F17" s="106"/>
      <x:c r="G17" s="106"/>
      <x:c r="H17" s="106"/>
      <x:c r="I17" s="106"/>
      <x:c r="J17" s="106"/>
      <x:c r="K17" s="106"/>
      <x:c r="L17" s="106"/>
      <x:c r="M17" s="106"/>
      <x:c r="N17" s="106"/>
      <x:c r="O17" s="106"/>
      <x:c r="P17" s="106"/>
      <x:c r="Q17" s="106"/>
      <x:c r="R17" s="106"/>
      <x:c r="S17" s="106"/>
      <x:c r="T17" s="106"/>
      <x:c r="U17" s="106"/>
      <x:c r="V17" s="106"/>
      <x:c r="W17" s="106"/>
      <x:c r="X17" s="106"/>
      <x:c r="Y17" s="106"/>
      <x:c r="Z17" s="106"/>
      <x:c r="AA17" s="106"/>
      <x:c r="AB17" s="106"/>
      <x:c r="AC17" s="106"/>
      <x:c r="AD17" s="106"/>
      <x:c r="AE17" s="106"/>
      <x:c r="AF17" s="106"/>
      <x:c r="AG17" s="106"/>
      <x:c r="AH17" s="106"/>
      <x:c r="AI17" s="106"/>
      <x:c r="AJ17" s="106"/>
      <x:c r="AK17" s="106"/>
      <x:c r="AL17" s="106"/>
      <x:c r="AM17" s="106"/>
      <x:c r="AN17" s="106"/>
      <x:c r="AO17" s="106"/>
      <x:c r="AP17" s="106"/>
      <x:c r="AQ17" s="106"/>
      <x:c r="AR17" s="106"/>
      <x:c r="AS17" s="106"/>
      <x:c r="AT17" s="106"/>
      <x:c r="AU17" s="106"/>
      <x:c r="AV17" s="106"/>
      <x:c r="AW17" s="106"/>
      <x:c r="AX17" s="106"/>
      <x:c r="AY17" s="106"/>
      <x:c r="AZ17" s="106"/>
      <x:c r="BA17" s="106"/>
    </x:row>
    <x:row r="18">
      <x:c r="A18" s="106"/>
      <x:c r="B18" s="106"/>
      <x:c r="C18" s="106"/>
      <x:c r="D18" s="106"/>
      <x:c r="E18" s="106"/>
      <x:c r="F18" s="106"/>
      <x:c r="G18" s="106"/>
      <x:c r="H18" s="106"/>
      <x:c r="I18" s="106"/>
      <x:c r="J18" s="106"/>
      <x:c r="K18" s="106"/>
      <x:c r="L18" s="106"/>
      <x:c r="M18" s="106"/>
      <x:c r="N18" s="106"/>
      <x:c r="O18" s="106"/>
      <x:c r="P18" s="106"/>
      <x:c r="Q18" s="106"/>
      <x:c r="R18" s="106"/>
      <x:c r="S18" s="106"/>
      <x:c r="T18" s="106"/>
      <x:c r="U18" s="106"/>
      <x:c r="V18" s="106"/>
      <x:c r="W18" s="106"/>
      <x:c r="X18" s="106"/>
      <x:c r="Y18" s="106"/>
      <x:c r="Z18" s="106"/>
      <x:c r="AA18" s="106"/>
      <x:c r="AB18" s="106"/>
      <x:c r="AC18" s="106"/>
      <x:c r="AD18" s="106"/>
      <x:c r="AE18" s="106"/>
      <x:c r="AF18" s="106"/>
      <x:c r="AG18" s="106"/>
      <x:c r="AH18" s="106"/>
      <x:c r="AI18" s="106"/>
      <x:c r="AJ18" s="106"/>
      <x:c r="AK18" s="106"/>
      <x:c r="AL18" s="106"/>
      <x:c r="AM18" s="106"/>
      <x:c r="AN18" s="106"/>
      <x:c r="AO18" s="106"/>
      <x:c r="AP18" s="106"/>
      <x:c r="AQ18" s="106"/>
      <x:c r="AR18" s="106"/>
      <x:c r="AS18" s="106"/>
      <x:c r="AT18" s="106"/>
      <x:c r="AU18" s="106"/>
      <x:c r="AV18" s="106"/>
      <x:c r="AW18" s="106"/>
      <x:c r="AX18" s="106"/>
      <x:c r="AY18" s="106"/>
      <x:c r="AZ18" s="106"/>
      <x:c r="BA18" s="106"/>
    </x:row>
    <x:row r="19">
      <x:c r="A19" s="106"/>
      <x:c r="B19" s="106"/>
      <x:c r="C19" s="106"/>
      <x:c r="D19" s="106"/>
      <x:c r="E19" s="106"/>
      <x:c r="F19" s="106"/>
      <x:c r="G19" s="106"/>
      <x:c r="H19" s="106"/>
      <x:c r="I19" s="106"/>
      <x:c r="J19" s="106"/>
      <x:c r="K19" s="106"/>
      <x:c r="L19" s="106"/>
      <x:c r="M19" s="106"/>
      <x:c r="N19" s="106"/>
      <x:c r="O19" s="106"/>
      <x:c r="P19" s="106"/>
      <x:c r="Q19" s="106"/>
      <x:c r="R19" s="106"/>
      <x:c r="S19" s="106"/>
      <x:c r="T19" s="106"/>
      <x:c r="U19" s="106"/>
      <x:c r="V19" s="106"/>
      <x:c r="W19" s="106"/>
      <x:c r="X19" s="106"/>
      <x:c r="Y19" s="106"/>
      <x:c r="Z19" s="106"/>
      <x:c r="AA19" s="106"/>
      <x:c r="AB19" s="106"/>
      <x:c r="AC19" s="106"/>
      <x:c r="AD19" s="106"/>
      <x:c r="AE19" s="106"/>
      <x:c r="AF19" s="106"/>
      <x:c r="AG19" s="106"/>
      <x:c r="AH19" s="106"/>
      <x:c r="AI19" s="106"/>
      <x:c r="AJ19" s="106"/>
      <x:c r="AK19" s="106"/>
      <x:c r="AL19" s="106"/>
      <x:c r="AM19" s="106"/>
      <x:c r="AN19" s="106"/>
      <x:c r="AO19" s="106"/>
      <x:c r="AP19" s="106"/>
      <x:c r="AQ19" s="106"/>
      <x:c r="AR19" s="106"/>
      <x:c r="AS19" s="106"/>
      <x:c r="AT19" s="106"/>
      <x:c r="AU19" s="106"/>
      <x:c r="AV19" s="106"/>
      <x:c r="AW19" s="106"/>
      <x:c r="AX19" s="106"/>
      <x:c r="AY19" s="106"/>
      <x:c r="AZ19" s="106"/>
      <x:c r="BA19" s="106"/>
    </x:row>
    <x:row r="20">
      <x:c r="A20" s="106"/>
      <x:c r="B20" s="106"/>
      <x:c r="C20" s="106"/>
      <x:c r="D20" s="106"/>
      <x:c r="E20" s="106"/>
      <x:c r="F20" s="106"/>
      <x:c r="G20" s="106"/>
      <x:c r="H20" s="106"/>
      <x:c r="I20" s="106"/>
      <x:c r="J20" s="106"/>
      <x:c r="K20" s="106"/>
      <x:c r="L20" s="106"/>
      <x:c r="M20" s="106"/>
      <x:c r="N20" s="106"/>
      <x:c r="O20" s="106"/>
      <x:c r="P20" s="106"/>
      <x:c r="Q20" s="106"/>
      <x:c r="R20" s="106"/>
      <x:c r="S20" s="106"/>
      <x:c r="T20" s="106"/>
      <x:c r="U20" s="106"/>
      <x:c r="V20" s="106"/>
      <x:c r="W20" s="106"/>
      <x:c r="X20" s="106"/>
      <x:c r="Y20" s="106"/>
      <x:c r="Z20" s="106"/>
      <x:c r="AA20" s="106"/>
      <x:c r="AB20" s="106"/>
      <x:c r="AC20" s="106"/>
      <x:c r="AD20" s="106"/>
      <x:c r="AE20" s="106"/>
      <x:c r="AF20" s="106"/>
      <x:c r="AG20" s="106"/>
      <x:c r="AH20" s="106"/>
      <x:c r="AI20" s="106"/>
      <x:c r="AJ20" s="106"/>
      <x:c r="AK20" s="106"/>
      <x:c r="AL20" s="106"/>
      <x:c r="AM20" s="106"/>
      <x:c r="AN20" s="106"/>
      <x:c r="AO20" s="106"/>
      <x:c r="AP20" s="106"/>
      <x:c r="AQ20" s="106"/>
      <x:c r="AR20" s="106"/>
      <x:c r="AS20" s="106"/>
      <x:c r="AT20" s="106"/>
      <x:c r="AU20" s="106"/>
      <x:c r="AV20" s="106"/>
      <x:c r="AW20" s="106"/>
      <x:c r="AX20" s="106"/>
      <x:c r="AY20" s="106"/>
      <x:c r="AZ20" s="106"/>
      <x:c r="BA20" s="106"/>
    </x:row>
    <x:row r="21">
      <x:c r="A21" s="106"/>
      <x:c r="B21" s="106"/>
      <x:c r="C21" s="106"/>
      <x:c r="D21" s="106"/>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c r="AO21" s="106"/>
      <x:c r="AP21" s="106"/>
      <x:c r="AQ21" s="106"/>
      <x:c r="AR21" s="106"/>
      <x:c r="AS21" s="106"/>
      <x:c r="AT21" s="106"/>
      <x:c r="AU21" s="106"/>
      <x:c r="AV21" s="106"/>
      <x:c r="AW21" s="106"/>
      <x:c r="AX21" s="106"/>
      <x:c r="AY21" s="106"/>
      <x:c r="AZ21" s="106"/>
      <x:c r="BA21" s="106"/>
    </x:row>
    <x:row r="22">
      <x:c r="A22" s="106"/>
      <x:c r="B22" s="106"/>
      <x:c r="C22" s="106"/>
      <x:c r="D22" s="106"/>
      <x:c r="E22" s="106"/>
      <x:c r="F22" s="106"/>
      <x:c r="G22" s="106"/>
      <x:c r="H22" s="106"/>
      <x:c r="I22" s="106"/>
      <x:c r="J22" s="106"/>
      <x:c r="K22" s="106"/>
      <x:c r="L22" s="106"/>
      <x:c r="M22" s="106"/>
      <x:c r="N22" s="106"/>
      <x:c r="O22" s="106"/>
      <x:c r="P22" s="106"/>
      <x:c r="Q22" s="106"/>
      <x:c r="R22" s="106"/>
      <x:c r="S22" s="106"/>
      <x:c r="T22" s="106"/>
      <x:c r="U22" s="106"/>
      <x:c r="V22" s="106"/>
      <x:c r="W22" s="106"/>
      <x:c r="X22" s="106"/>
      <x:c r="Y22" s="106"/>
      <x:c r="Z22" s="106"/>
      <x:c r="AA22" s="106"/>
      <x:c r="AB22" s="106"/>
      <x:c r="AC22" s="106"/>
      <x:c r="AD22" s="106"/>
      <x:c r="AE22" s="106"/>
      <x:c r="AF22" s="106"/>
      <x:c r="AG22" s="106"/>
      <x:c r="AH22" s="106"/>
      <x:c r="AI22" s="106"/>
      <x:c r="AJ22" s="106"/>
      <x:c r="AK22" s="106"/>
      <x:c r="AL22" s="106"/>
      <x:c r="AM22" s="106"/>
      <x:c r="AN22" s="106"/>
      <x:c r="AO22" s="106"/>
      <x:c r="AP22" s="106"/>
      <x:c r="AQ22" s="106"/>
      <x:c r="AR22" s="106"/>
      <x:c r="AS22" s="106"/>
      <x:c r="AT22" s="106"/>
      <x:c r="AU22" s="106"/>
      <x:c r="AV22" s="106"/>
      <x:c r="AW22" s="106"/>
      <x:c r="AX22" s="106"/>
      <x:c r="AY22" s="106"/>
      <x:c r="AZ22" s="106"/>
      <x:c r="BA22" s="106"/>
    </x:row>
    <x:row r="23">
      <x:c r="A23" s="106"/>
      <x:c r="B23" s="106"/>
      <x:c r="C23" s="106"/>
      <x:c r="D23" s="106"/>
      <x:c r="E23" s="106"/>
      <x:c r="F23" s="106"/>
      <x:c r="G23" s="106"/>
      <x:c r="H23" s="106"/>
      <x:c r="I23" s="106"/>
      <x:c r="J23" s="106"/>
      <x:c r="K23" s="106"/>
      <x:c r="L23" s="106"/>
      <x:c r="M23" s="106"/>
      <x:c r="N23" s="106"/>
      <x:c r="O23" s="106"/>
      <x:c r="P23" s="106"/>
      <x:c r="Q23" s="106"/>
      <x:c r="R23" s="106"/>
      <x:c r="S23" s="106"/>
      <x:c r="T23" s="106"/>
      <x:c r="U23" s="106"/>
      <x:c r="V23" s="106"/>
      <x:c r="W23" s="106"/>
      <x:c r="X23" s="106"/>
      <x:c r="Y23" s="106"/>
      <x:c r="Z23" s="106"/>
      <x:c r="AA23" s="106"/>
      <x:c r="AB23" s="106"/>
      <x:c r="AC23" s="106"/>
      <x:c r="AD23" s="106"/>
      <x:c r="AE23" s="106"/>
      <x:c r="AF23" s="106"/>
      <x:c r="AG23" s="106"/>
      <x:c r="AH23" s="106"/>
      <x:c r="AI23" s="106"/>
      <x:c r="AJ23" s="106"/>
      <x:c r="AK23" s="106"/>
      <x:c r="AL23" s="106"/>
      <x:c r="AM23" s="106"/>
      <x:c r="AN23" s="106"/>
      <x:c r="AO23" s="106"/>
      <x:c r="AP23" s="106"/>
      <x:c r="AQ23" s="106"/>
      <x:c r="AR23" s="106"/>
      <x:c r="AS23" s="106"/>
      <x:c r="AT23" s="106"/>
      <x:c r="AU23" s="106"/>
      <x:c r="AV23" s="106"/>
      <x:c r="AW23" s="106"/>
      <x:c r="AX23" s="106"/>
      <x:c r="AY23" s="106"/>
      <x:c r="AZ23" s="106"/>
      <x:c r="BA23" s="106"/>
    </x:row>
    <x:row r="24">
      <x:c r="A24" s="106"/>
      <x:c r="B24" s="106"/>
      <x:c r="C24" s="106"/>
      <x:c r="D24" s="106"/>
      <x:c r="E24" s="106"/>
      <x:c r="F24" s="106"/>
      <x:c r="G24" s="106"/>
      <x:c r="H24" s="106"/>
      <x:c r="I24" s="106"/>
      <x:c r="J24" s="106"/>
      <x:c r="K24" s="106"/>
      <x:c r="L24" s="106"/>
      <x:c r="M24" s="106"/>
      <x:c r="N24" s="106"/>
      <x:c r="O24" s="106"/>
      <x:c r="P24" s="106"/>
      <x:c r="Q24" s="106"/>
      <x:c r="R24" s="106"/>
      <x:c r="S24" s="106"/>
      <x:c r="T24" s="106"/>
      <x:c r="U24" s="106"/>
      <x:c r="V24" s="106"/>
      <x:c r="W24" s="106"/>
      <x:c r="X24" s="106"/>
      <x:c r="Y24" s="106"/>
      <x:c r="Z24" s="106"/>
      <x:c r="AA24" s="106"/>
      <x:c r="AB24" s="106"/>
      <x:c r="AC24" s="106"/>
      <x:c r="AD24" s="106"/>
      <x:c r="AE24" s="106"/>
      <x:c r="AF24" s="106"/>
      <x:c r="AG24" s="106"/>
      <x:c r="AH24" s="106"/>
      <x:c r="AI24" s="106"/>
      <x:c r="AJ24" s="106"/>
      <x:c r="AK24" s="106"/>
      <x:c r="AL24" s="106"/>
      <x:c r="AM24" s="106"/>
      <x:c r="AN24" s="106"/>
      <x:c r="AO24" s="106"/>
      <x:c r="AP24" s="106"/>
      <x:c r="AQ24" s="106"/>
      <x:c r="AR24" s="106"/>
      <x:c r="AS24" s="106"/>
      <x:c r="AT24" s="106"/>
      <x:c r="AU24" s="106"/>
      <x:c r="AV24" s="106"/>
      <x:c r="AW24" s="106"/>
      <x:c r="AX24" s="106"/>
      <x:c r="AY24" s="106"/>
      <x:c r="AZ24" s="106"/>
      <x:c r="BA24" s="106"/>
    </x:row>
    <x:row r="25">
      <x:c r="A25" s="106"/>
      <x:c r="B25" s="106"/>
      <x:c r="C25" s="106"/>
      <x:c r="D25" s="106"/>
      <x:c r="E25" s="106"/>
      <x:c r="F25" s="106"/>
      <x:c r="G25" s="106"/>
      <x:c r="H25" s="106"/>
      <x:c r="I25" s="106"/>
      <x:c r="J25" s="106"/>
      <x:c r="K25" s="106"/>
      <x:c r="L25" s="106"/>
      <x:c r="M25" s="106"/>
      <x:c r="N25" s="106"/>
      <x:c r="O25" s="106"/>
      <x:c r="P25" s="106"/>
      <x:c r="Q25" s="106"/>
      <x:c r="R25" s="106"/>
      <x:c r="S25" s="106"/>
      <x:c r="T25" s="106"/>
      <x:c r="U25" s="106"/>
      <x:c r="V25" s="106"/>
      <x:c r="W25" s="106"/>
      <x:c r="X25" s="106"/>
      <x:c r="Y25" s="106"/>
      <x:c r="Z25" s="106"/>
      <x:c r="AA25" s="106"/>
      <x:c r="AB25" s="106"/>
      <x:c r="AC25" s="106"/>
      <x:c r="AD25" s="106"/>
      <x:c r="AE25" s="106"/>
      <x:c r="AF25" s="106"/>
      <x:c r="AG25" s="106"/>
      <x:c r="AH25" s="106"/>
      <x:c r="AI25" s="106"/>
      <x:c r="AJ25" s="106"/>
      <x:c r="AK25" s="106"/>
      <x:c r="AL25" s="106"/>
      <x:c r="AM25" s="106"/>
      <x:c r="AN25" s="106"/>
      <x:c r="AO25" s="106"/>
      <x:c r="AP25" s="106"/>
      <x:c r="AQ25" s="106"/>
      <x:c r="AR25" s="106"/>
      <x:c r="AS25" s="106"/>
      <x:c r="AT25" s="106"/>
      <x:c r="AU25" s="106"/>
      <x:c r="AV25" s="106"/>
      <x:c r="AW25" s="106"/>
      <x:c r="AX25" s="106"/>
      <x:c r="AY25" s="106"/>
      <x:c r="AZ25" s="106"/>
      <x:c r="BA25" s="106"/>
    </x:row>
    <x:row r="26">
      <x:c r="A26" s="106"/>
      <x:c r="B26" s="106"/>
      <x:c r="C26" s="106"/>
      <x:c r="D26" s="106"/>
      <x:c r="E26" s="106"/>
      <x:c r="F26" s="106"/>
      <x:c r="G26" s="106"/>
      <x:c r="H26" s="106"/>
      <x:c r="I26" s="106"/>
      <x:c r="J26" s="106"/>
      <x:c r="K26" s="106"/>
      <x:c r="L26" s="106"/>
      <x:c r="M26" s="106"/>
      <x:c r="N26" s="106"/>
      <x:c r="O26" s="106"/>
      <x:c r="P26" s="106"/>
      <x:c r="Q26" s="106"/>
      <x:c r="R26" s="106"/>
      <x:c r="S26" s="106"/>
      <x:c r="T26" s="106"/>
      <x:c r="U26" s="106"/>
      <x:c r="V26" s="106"/>
      <x:c r="W26" s="106"/>
      <x:c r="X26" s="106"/>
      <x:c r="Y26" s="106"/>
      <x:c r="Z26" s="106"/>
      <x:c r="AA26" s="106"/>
      <x:c r="AB26" s="106"/>
      <x:c r="AC26" s="106"/>
      <x:c r="AD26" s="106"/>
      <x:c r="AE26" s="106"/>
      <x:c r="AF26" s="106"/>
      <x:c r="AG26" s="106"/>
      <x:c r="AH26" s="106"/>
      <x:c r="AI26" s="106"/>
      <x:c r="AJ26" s="106"/>
      <x:c r="AK26" s="106"/>
      <x:c r="AL26" s="106"/>
      <x:c r="AM26" s="106"/>
      <x:c r="AN26" s="106"/>
      <x:c r="AO26" s="106"/>
      <x:c r="AP26" s="106"/>
      <x:c r="AQ26" s="106"/>
      <x:c r="AR26" s="106"/>
      <x:c r="AS26" s="106"/>
      <x:c r="AT26" s="106"/>
      <x:c r="AU26" s="106"/>
      <x:c r="AV26" s="106"/>
      <x:c r="AW26" s="106"/>
      <x:c r="AX26" s="106"/>
      <x:c r="AY26" s="106"/>
      <x:c r="AZ26" s="106"/>
      <x:c r="BA26" s="106"/>
    </x:row>
    <x:row r="27">
      <x:c r="A27" s="106"/>
      <x:c r="B27" s="106"/>
      <x:c r="C27" s="106"/>
      <x:c r="D27" s="106"/>
      <x:c r="E27" s="106"/>
      <x:c r="F27" s="106"/>
      <x:c r="G27" s="106"/>
      <x:c r="H27" s="106"/>
      <x:c r="I27" s="106"/>
      <x:c r="J27" s="106"/>
      <x:c r="K27" s="106"/>
      <x:c r="L27" s="106"/>
      <x:c r="M27" s="106"/>
      <x:c r="N27" s="106"/>
      <x:c r="O27" s="106"/>
      <x:c r="P27" s="106"/>
      <x:c r="Q27" s="106"/>
      <x:c r="R27" s="106"/>
      <x:c r="S27" s="106"/>
      <x:c r="T27" s="106"/>
      <x:c r="U27" s="106"/>
      <x:c r="V27" s="106"/>
      <x:c r="W27" s="106"/>
      <x:c r="X27" s="106"/>
      <x:c r="Y27" s="106"/>
      <x:c r="Z27" s="106"/>
      <x:c r="AA27" s="106"/>
      <x:c r="AB27" s="106"/>
      <x:c r="AC27" s="106"/>
      <x:c r="AD27" s="106"/>
      <x:c r="AE27" s="106"/>
      <x:c r="AF27" s="106"/>
      <x:c r="AG27" s="106"/>
      <x:c r="AH27" s="106"/>
      <x:c r="AI27" s="106"/>
      <x:c r="AJ27" s="106"/>
      <x:c r="AK27" s="106"/>
      <x:c r="AL27" s="106"/>
      <x:c r="AM27" s="106"/>
      <x:c r="AN27" s="106"/>
      <x:c r="AO27" s="106"/>
      <x:c r="AP27" s="106"/>
      <x:c r="AQ27" s="106"/>
      <x:c r="AR27" s="106"/>
      <x:c r="AS27" s="106"/>
      <x:c r="AT27" s="106"/>
      <x:c r="AU27" s="106"/>
      <x:c r="AV27" s="106"/>
      <x:c r="AW27" s="106"/>
      <x:c r="AX27" s="106"/>
      <x:c r="AY27" s="106"/>
      <x:c r="AZ27" s="106"/>
      <x:c r="BA27" s="106"/>
    </x:row>
    <x:row r="28">
      <x:c r="A28" s="106"/>
      <x:c r="B28" s="106"/>
      <x:c r="C28" s="106"/>
      <x:c r="D28" s="106"/>
      <x:c r="E28" s="106"/>
      <x:c r="F28" s="106"/>
      <x:c r="G28" s="106"/>
      <x:c r="H28" s="106"/>
      <x:c r="I28" s="106"/>
      <x:c r="J28" s="106"/>
      <x:c r="K28" s="106"/>
      <x:c r="L28" s="106"/>
      <x:c r="M28" s="106"/>
      <x:c r="N28" s="106"/>
      <x:c r="O28" s="106"/>
      <x:c r="P28" s="106"/>
      <x:c r="Q28" s="106"/>
      <x:c r="R28" s="106"/>
      <x:c r="S28" s="106"/>
      <x:c r="T28" s="106"/>
      <x:c r="U28" s="106"/>
      <x:c r="V28" s="106"/>
      <x:c r="W28" s="106"/>
      <x:c r="X28" s="106"/>
      <x:c r="Y28" s="106"/>
      <x:c r="Z28" s="106"/>
      <x:c r="AA28" s="106"/>
      <x:c r="AB28" s="106"/>
      <x:c r="AC28" s="106"/>
      <x:c r="AD28" s="106"/>
      <x:c r="AE28" s="106"/>
      <x:c r="AF28" s="106"/>
      <x:c r="AG28" s="106"/>
      <x:c r="AH28" s="106"/>
      <x:c r="AI28" s="106"/>
      <x:c r="AJ28" s="106"/>
      <x:c r="AK28" s="106"/>
      <x:c r="AL28" s="106"/>
      <x:c r="AM28" s="106"/>
      <x:c r="AN28" s="106"/>
      <x:c r="AO28" s="106"/>
      <x:c r="AP28" s="106"/>
      <x:c r="AQ28" s="106"/>
      <x:c r="AR28" s="106"/>
      <x:c r="AS28" s="106"/>
      <x:c r="AT28" s="106"/>
      <x:c r="AU28" s="106"/>
      <x:c r="AV28" s="106"/>
      <x:c r="AW28" s="106"/>
      <x:c r="AX28" s="106"/>
      <x:c r="AY28" s="106"/>
      <x:c r="AZ28" s="106"/>
      <x:c r="BA28" s="106"/>
    </x:row>
    <x:row r="29">
      <x:c r="A29" s="106"/>
      <x:c r="B29" s="106"/>
      <x:c r="C29" s="106"/>
      <x:c r="D29" s="106"/>
      <x:c r="E29" s="106"/>
      <x:c r="F29" s="106"/>
      <x:c r="G29" s="106"/>
      <x:c r="H29" s="106"/>
      <x:c r="I29" s="106"/>
      <x:c r="J29" s="106"/>
      <x:c r="K29" s="106"/>
      <x:c r="L29" s="106"/>
      <x:c r="M29" s="106"/>
      <x:c r="N29" s="106"/>
      <x:c r="O29" s="106"/>
      <x:c r="P29" s="106"/>
      <x:c r="Q29" s="106"/>
      <x:c r="R29" s="106"/>
      <x:c r="S29" s="106"/>
      <x:c r="T29" s="106"/>
      <x:c r="U29" s="106"/>
      <x:c r="V29" s="106"/>
      <x:c r="W29" s="106"/>
      <x:c r="X29" s="106"/>
      <x:c r="Y29" s="106"/>
      <x:c r="Z29" s="106"/>
      <x:c r="AA29" s="106"/>
      <x:c r="AB29" s="106"/>
      <x:c r="AC29" s="106"/>
      <x:c r="AD29" s="106"/>
      <x:c r="AE29" s="106"/>
      <x:c r="AF29" s="106"/>
      <x:c r="AG29" s="106"/>
      <x:c r="AH29" s="106"/>
      <x:c r="AI29" s="106"/>
      <x:c r="AJ29" s="106"/>
      <x:c r="AK29" s="106"/>
      <x:c r="AL29" s="106"/>
      <x:c r="AM29" s="106"/>
      <x:c r="AN29" s="106"/>
      <x:c r="AO29" s="106"/>
      <x:c r="AP29" s="106"/>
      <x:c r="AQ29" s="106"/>
      <x:c r="AR29" s="106"/>
      <x:c r="AS29" s="106"/>
      <x:c r="AT29" s="106"/>
      <x:c r="AU29" s="106"/>
      <x:c r="AV29" s="106"/>
      <x:c r="AW29" s="106"/>
      <x:c r="AX29" s="106"/>
      <x:c r="AY29" s="106"/>
      <x:c r="AZ29" s="106"/>
      <x:c r="BA29" s="106"/>
    </x:row>
    <x:row r="30">
      <x:c r="A30" s="106"/>
      <x:c r="B30" s="106"/>
      <x:c r="C30" s="106"/>
      <x:c r="D30" s="106"/>
      <x:c r="E30" s="106"/>
      <x:c r="F30" s="106"/>
      <x:c r="G30" s="106"/>
      <x:c r="H30" s="106"/>
      <x:c r="I30" s="106"/>
      <x:c r="J30" s="106"/>
      <x:c r="K30" s="106"/>
      <x:c r="L30" s="106"/>
      <x:c r="M30" s="106"/>
      <x:c r="N30" s="106"/>
      <x:c r="O30" s="106"/>
      <x:c r="P30" s="106"/>
      <x:c r="Q30" s="106"/>
      <x:c r="R30" s="106"/>
      <x:c r="S30" s="106"/>
      <x:c r="T30" s="106"/>
      <x:c r="U30" s="106"/>
      <x:c r="V30" s="106"/>
      <x:c r="W30" s="106"/>
      <x:c r="X30" s="106"/>
      <x:c r="Y30" s="106"/>
      <x:c r="Z30" s="106"/>
      <x:c r="AA30" s="106"/>
      <x:c r="AB30" s="106"/>
      <x:c r="AC30" s="106"/>
      <x:c r="AD30" s="106"/>
      <x:c r="AE30" s="106"/>
      <x:c r="AF30" s="106"/>
      <x:c r="AG30" s="106"/>
      <x:c r="AH30" s="106"/>
      <x:c r="AI30" s="106"/>
      <x:c r="AJ30" s="106"/>
      <x:c r="AK30" s="106"/>
      <x:c r="AL30" s="106"/>
      <x:c r="AM30" s="106"/>
      <x:c r="AN30" s="106"/>
      <x:c r="AO30" s="106"/>
      <x:c r="AP30" s="106"/>
      <x:c r="AQ30" s="106"/>
      <x:c r="AR30" s="106"/>
      <x:c r="AS30" s="106"/>
      <x:c r="AT30" s="106"/>
      <x:c r="AU30" s="106"/>
      <x:c r="AV30" s="106"/>
      <x:c r="AW30" s="106"/>
      <x:c r="AX30" s="106"/>
      <x:c r="AY30" s="106"/>
      <x:c r="AZ30" s="106"/>
      <x:c r="BA30" s="106"/>
    </x:row>
    <x:row r="31">
      <x:c r="A31" s="106"/>
      <x:c r="B31" s="106"/>
      <x:c r="C31" s="106"/>
      <x:c r="D31" s="106"/>
      <x:c r="E31" s="106"/>
      <x:c r="F31" s="106"/>
      <x:c r="G31" s="106"/>
      <x:c r="H31" s="106"/>
      <x:c r="I31" s="106"/>
      <x:c r="J31" s="106"/>
      <x:c r="K31" s="106"/>
      <x:c r="L31" s="106"/>
      <x:c r="M31" s="106"/>
      <x:c r="N31" s="106"/>
      <x:c r="O31" s="106"/>
      <x:c r="P31" s="106"/>
      <x:c r="Q31" s="106"/>
      <x:c r="R31" s="106"/>
      <x:c r="S31" s="106"/>
      <x:c r="T31" s="106"/>
      <x:c r="U31" s="106"/>
      <x:c r="V31" s="106"/>
      <x:c r="W31" s="106"/>
      <x:c r="X31" s="106"/>
      <x:c r="Y31" s="106"/>
      <x:c r="Z31" s="106"/>
      <x:c r="AA31" s="106"/>
      <x:c r="AB31" s="106"/>
      <x:c r="AC31" s="106"/>
      <x:c r="AD31" s="106"/>
      <x:c r="AE31" s="106"/>
      <x:c r="AF31" s="106"/>
      <x:c r="AG31" s="106"/>
      <x:c r="AH31" s="106"/>
      <x:c r="AI31" s="106"/>
      <x:c r="AJ31" s="106"/>
      <x:c r="AK31" s="106"/>
      <x:c r="AL31" s="106"/>
      <x:c r="AM31" s="106"/>
      <x:c r="AN31" s="106"/>
      <x:c r="AO31" s="106"/>
      <x:c r="AP31" s="106"/>
      <x:c r="AQ31" s="106"/>
      <x:c r="AR31" s="106"/>
      <x:c r="AS31" s="106"/>
      <x:c r="AT31" s="106"/>
      <x:c r="AU31" s="106"/>
      <x:c r="AV31" s="106"/>
      <x:c r="AW31" s="106"/>
      <x:c r="AX31" s="106"/>
      <x:c r="AY31" s="106"/>
      <x:c r="AZ31" s="106"/>
      <x:c r="BA31" s="106"/>
    </x:row>
    <x:row r="32">
      <x:c r="A32" s="106"/>
      <x:c r="B32" s="106"/>
      <x:c r="C32" s="106"/>
      <x:c r="D32" s="106"/>
      <x:c r="E32" s="106"/>
      <x:c r="F32" s="106"/>
      <x:c r="G32" s="106"/>
      <x:c r="H32" s="106"/>
      <x:c r="I32" s="106"/>
      <x:c r="J32" s="106"/>
      <x:c r="K32" s="106"/>
      <x:c r="L32" s="106"/>
      <x:c r="M32" s="106"/>
      <x:c r="N32" s="106"/>
      <x:c r="O32" s="106"/>
      <x:c r="P32" s="106"/>
      <x:c r="Q32" s="106"/>
      <x:c r="R32" s="106"/>
      <x:c r="S32" s="106"/>
      <x:c r="T32" s="106"/>
      <x:c r="U32" s="106"/>
      <x:c r="V32" s="106"/>
      <x:c r="W32" s="106"/>
      <x:c r="X32" s="106"/>
      <x:c r="Y32" s="106"/>
      <x:c r="Z32" s="106"/>
      <x:c r="AA32" s="106"/>
      <x:c r="AB32" s="106"/>
      <x:c r="AC32" s="106"/>
      <x:c r="AD32" s="106"/>
      <x:c r="AE32" s="106"/>
      <x:c r="AF32" s="106"/>
      <x:c r="AG32" s="106"/>
      <x:c r="AH32" s="106"/>
      <x:c r="AI32" s="106"/>
      <x:c r="AJ32" s="106"/>
      <x:c r="AK32" s="106"/>
      <x:c r="AL32" s="106"/>
      <x:c r="AM32" s="106"/>
      <x:c r="AN32" s="106"/>
      <x:c r="AO32" s="106"/>
      <x:c r="AP32" s="106"/>
      <x:c r="AQ32" s="106"/>
      <x:c r="AR32" s="106"/>
      <x:c r="AS32" s="106"/>
      <x:c r="AT32" s="106"/>
      <x:c r="AU32" s="106"/>
      <x:c r="AV32" s="106"/>
      <x:c r="AW32" s="106"/>
      <x:c r="AX32" s="106"/>
      <x:c r="AY32" s="106"/>
      <x:c r="AZ32" s="106"/>
      <x:c r="BA32" s="106"/>
    </x:row>
    <x:row r="33">
      <x:c r="A33" s="106"/>
      <x:c r="B33" s="106"/>
      <x:c r="C33" s="106"/>
      <x:c r="D33" s="106"/>
      <x:c r="E33" s="106"/>
      <x:c r="F33" s="106"/>
      <x:c r="G33" s="106"/>
      <x:c r="H33" s="106"/>
      <x:c r="I33" s="106"/>
      <x:c r="J33" s="106"/>
      <x:c r="K33" s="106"/>
      <x:c r="L33" s="106"/>
      <x:c r="M33" s="106"/>
      <x:c r="N33" s="106"/>
      <x:c r="O33" s="106"/>
      <x:c r="P33" s="106"/>
      <x:c r="Q33" s="106"/>
      <x:c r="R33" s="106"/>
      <x:c r="S33" s="106"/>
      <x:c r="T33" s="106"/>
      <x:c r="U33" s="106"/>
      <x:c r="V33" s="106"/>
      <x:c r="W33" s="106"/>
      <x:c r="X33" s="106"/>
      <x:c r="Y33" s="106"/>
      <x:c r="Z33" s="106"/>
      <x:c r="AA33" s="106"/>
      <x:c r="AB33" s="106"/>
      <x:c r="AC33" s="106"/>
      <x:c r="AD33" s="106"/>
      <x:c r="AE33" s="106"/>
      <x:c r="AF33" s="106"/>
      <x:c r="AG33" s="106"/>
      <x:c r="AH33" s="106"/>
      <x:c r="AI33" s="106"/>
      <x:c r="AJ33" s="106"/>
      <x:c r="AK33" s="106"/>
      <x:c r="AL33" s="106"/>
      <x:c r="AM33" s="106"/>
      <x:c r="AN33" s="106"/>
      <x:c r="AO33" s="106"/>
      <x:c r="AP33" s="106"/>
      <x:c r="AQ33" s="106"/>
      <x:c r="AR33" s="106"/>
      <x:c r="AS33" s="106"/>
      <x:c r="AT33" s="106"/>
      <x:c r="AU33" s="106"/>
      <x:c r="AV33" s="106"/>
      <x:c r="AW33" s="106"/>
      <x:c r="AX33" s="106"/>
      <x:c r="AY33" s="106"/>
      <x:c r="AZ33" s="106"/>
      <x:c r="BA33" s="106"/>
    </x:row>
    <x:row r="34">
      <x:c r="A34" s="106"/>
      <x:c r="B34" s="106"/>
      <x:c r="C34" s="106"/>
      <x:c r="D34" s="106"/>
      <x:c r="E34" s="106"/>
      <x:c r="F34" s="106"/>
      <x:c r="G34" s="106"/>
      <x:c r="H34" s="106"/>
      <x:c r="I34" s="106"/>
      <x:c r="J34" s="106"/>
      <x:c r="K34" s="106"/>
      <x:c r="L34" s="106"/>
      <x:c r="M34" s="106"/>
      <x:c r="N34" s="106"/>
      <x:c r="O34" s="106"/>
      <x:c r="P34" s="106"/>
      <x:c r="Q34" s="106"/>
      <x:c r="R34" s="106"/>
      <x:c r="S34" s="106"/>
      <x:c r="T34" s="106"/>
      <x:c r="U34" s="106"/>
      <x:c r="V34" s="106"/>
      <x:c r="W34" s="106"/>
      <x:c r="X34" s="106"/>
      <x:c r="Y34" s="106"/>
      <x:c r="Z34" s="106"/>
      <x:c r="AA34" s="106"/>
      <x:c r="AB34" s="106"/>
      <x:c r="AC34" s="106"/>
      <x:c r="AD34" s="106"/>
      <x:c r="AE34" s="106"/>
      <x:c r="AF34" s="106"/>
      <x:c r="AG34" s="106"/>
      <x:c r="AH34" s="106"/>
      <x:c r="AI34" s="106"/>
      <x:c r="AJ34" s="106"/>
      <x:c r="AK34" s="106"/>
      <x:c r="AL34" s="106"/>
      <x:c r="AM34" s="106"/>
      <x:c r="AN34" s="106"/>
      <x:c r="AO34" s="106"/>
      <x:c r="AP34" s="106"/>
      <x:c r="AQ34" s="106"/>
      <x:c r="AR34" s="106"/>
      <x:c r="AS34" s="106"/>
      <x:c r="AT34" s="106"/>
      <x:c r="AU34" s="106"/>
      <x:c r="AV34" s="106"/>
      <x:c r="AW34" s="106"/>
      <x:c r="AX34" s="106"/>
      <x:c r="AY34" s="106"/>
      <x:c r="AZ34" s="106"/>
      <x:c r="BA34" s="106"/>
    </x:row>
    <x:row r="35">
      <x:c r="A35" s="106"/>
      <x:c r="B35" s="106"/>
      <x:c r="C35" s="106"/>
      <x:c r="D35" s="106"/>
      <x:c r="E35" s="106"/>
      <x:c r="F35" s="106"/>
      <x:c r="G35" s="106"/>
      <x:c r="H35" s="106"/>
      <x:c r="I35" s="106"/>
      <x:c r="J35" s="106"/>
      <x:c r="K35" s="106"/>
      <x:c r="L35" s="106"/>
      <x:c r="M35" s="106"/>
      <x:c r="N35" s="106"/>
      <x:c r="O35" s="106"/>
      <x:c r="P35" s="106"/>
      <x:c r="Q35" s="106"/>
      <x:c r="R35" s="106"/>
      <x:c r="S35" s="106"/>
      <x:c r="T35" s="106"/>
      <x:c r="U35" s="106"/>
      <x:c r="V35" s="106"/>
      <x:c r="W35" s="106"/>
      <x:c r="X35" s="106"/>
      <x:c r="Y35" s="106"/>
      <x:c r="Z35" s="106"/>
      <x:c r="AA35" s="106"/>
      <x:c r="AB35" s="106"/>
      <x:c r="AC35" s="106"/>
      <x:c r="AD35" s="106"/>
      <x:c r="AE35" s="106"/>
      <x:c r="AF35" s="106"/>
      <x:c r="AG35" s="106"/>
      <x:c r="AH35" s="106"/>
      <x:c r="AI35" s="106"/>
      <x:c r="AJ35" s="106"/>
      <x:c r="AK35" s="106"/>
      <x:c r="AL35" s="106"/>
      <x:c r="AM35" s="106"/>
      <x:c r="AN35" s="106"/>
      <x:c r="AO35" s="106"/>
      <x:c r="AP35" s="106"/>
      <x:c r="AQ35" s="106"/>
      <x:c r="AR35" s="106"/>
      <x:c r="AS35" s="106"/>
      <x:c r="AT35" s="106"/>
      <x:c r="AU35" s="106"/>
      <x:c r="AV35" s="106"/>
      <x:c r="AW35" s="106"/>
      <x:c r="AX35" s="106"/>
      <x:c r="AY35" s="106"/>
      <x:c r="AZ35" s="106"/>
      <x:c r="BA35" s="106"/>
    </x:row>
    <x:row r="36">
      <x:c r="A36" s="106"/>
      <x:c r="B36" s="106"/>
      <x:c r="C36" s="106"/>
      <x:c r="D36" s="106"/>
      <x:c r="E36" s="106"/>
      <x:c r="F36" s="106"/>
      <x:c r="G36" s="106"/>
      <x:c r="H36" s="106"/>
      <x:c r="I36" s="106"/>
      <x:c r="J36" s="106"/>
      <x:c r="K36" s="106"/>
      <x:c r="L36" s="106"/>
      <x:c r="M36" s="106"/>
      <x:c r="N36" s="106"/>
      <x:c r="O36" s="106"/>
      <x:c r="P36" s="106"/>
      <x:c r="Q36" s="106"/>
      <x:c r="R36" s="106"/>
      <x:c r="S36" s="106"/>
      <x:c r="T36" s="106"/>
      <x:c r="U36" s="106"/>
      <x:c r="V36" s="106"/>
      <x:c r="W36" s="106"/>
      <x:c r="X36" s="106"/>
      <x:c r="Y36" s="106"/>
      <x:c r="Z36" s="106"/>
      <x:c r="AA36" s="106"/>
      <x:c r="AB36" s="106"/>
      <x:c r="AC36" s="106"/>
      <x:c r="AD36" s="106"/>
      <x:c r="AE36" s="106"/>
      <x:c r="AF36" s="106"/>
      <x:c r="AG36" s="106"/>
      <x:c r="AH36" s="106"/>
      <x:c r="AI36" s="106"/>
      <x:c r="AJ36" s="106"/>
      <x:c r="AK36" s="106"/>
      <x:c r="AL36" s="106"/>
      <x:c r="AM36" s="106"/>
      <x:c r="AN36" s="106"/>
      <x:c r="AO36" s="106"/>
      <x:c r="AP36" s="106"/>
      <x:c r="AQ36" s="106"/>
      <x:c r="AR36" s="106"/>
      <x:c r="AS36" s="106"/>
      <x:c r="AT36" s="106"/>
      <x:c r="AU36" s="106"/>
      <x:c r="AV36" s="106"/>
      <x:c r="AW36" s="106"/>
      <x:c r="AX36" s="106"/>
      <x:c r="AY36" s="106"/>
      <x:c r="AZ36" s="106"/>
      <x:c r="BA36" s="106"/>
    </x:row>
    <x:row r="37">
      <x:c r="A37" s="106"/>
      <x:c r="B37" s="106"/>
      <x:c r="C37" s="106"/>
      <x:c r="D37" s="106"/>
      <x:c r="E37" s="106"/>
      <x:c r="F37" s="106"/>
      <x:c r="G37" s="106"/>
      <x:c r="H37" s="106"/>
      <x:c r="I37" s="106"/>
      <x:c r="J37" s="106"/>
      <x:c r="K37" s="106"/>
      <x:c r="L37" s="106"/>
      <x:c r="M37" s="106"/>
      <x:c r="N37" s="106"/>
      <x:c r="O37" s="106"/>
      <x:c r="P37" s="106"/>
      <x:c r="Q37" s="106"/>
      <x:c r="R37" s="106"/>
      <x:c r="S37" s="106"/>
      <x:c r="T37" s="106"/>
      <x:c r="U37" s="106"/>
      <x:c r="V37" s="106"/>
      <x:c r="W37" s="106"/>
      <x:c r="X37" s="106"/>
      <x:c r="Y37" s="106"/>
      <x:c r="Z37" s="106"/>
      <x:c r="AA37" s="106"/>
      <x:c r="AB37" s="106"/>
      <x:c r="AC37" s="106"/>
      <x:c r="AD37" s="106"/>
      <x:c r="AE37" s="106"/>
      <x:c r="AF37" s="106"/>
      <x:c r="AG37" s="106"/>
      <x:c r="AH37" s="106"/>
      <x:c r="AI37" s="106"/>
      <x:c r="AJ37" s="106"/>
      <x:c r="AK37" s="106"/>
      <x:c r="AL37" s="106"/>
      <x:c r="AM37" s="106"/>
      <x:c r="AN37" s="106"/>
      <x:c r="AO37" s="106"/>
      <x:c r="AP37" s="106"/>
      <x:c r="AQ37" s="106"/>
      <x:c r="AR37" s="106"/>
      <x:c r="AS37" s="106"/>
      <x:c r="AT37" s="106"/>
      <x:c r="AU37" s="106"/>
      <x:c r="AV37" s="106"/>
      <x:c r="AW37" s="106"/>
      <x:c r="AX37" s="106"/>
      <x:c r="AY37" s="106"/>
      <x:c r="AZ37" s="106"/>
      <x:c r="BA37" s="106"/>
    </x:row>
    <x:row r="38">
      <x:c r="A38" s="106"/>
      <x:c r="B38" s="106"/>
      <x:c r="C38" s="106"/>
      <x:c r="D38" s="106"/>
      <x:c r="E38" s="106"/>
      <x:c r="F38" s="106"/>
      <x:c r="G38" s="106"/>
      <x:c r="H38" s="106"/>
      <x:c r="I38" s="106"/>
      <x:c r="J38" s="106"/>
      <x:c r="K38" s="106"/>
      <x:c r="L38" s="106"/>
      <x:c r="M38" s="106"/>
      <x:c r="N38" s="106"/>
      <x:c r="O38" s="106"/>
      <x:c r="P38" s="106"/>
      <x:c r="Q38" s="106"/>
      <x:c r="R38" s="106"/>
      <x:c r="S38" s="106"/>
      <x:c r="T38" s="106"/>
      <x:c r="U38" s="106"/>
      <x:c r="V38" s="106"/>
      <x:c r="W38" s="106"/>
      <x:c r="X38" s="106"/>
      <x:c r="Y38" s="106"/>
      <x:c r="Z38" s="106"/>
      <x:c r="AA38" s="106"/>
      <x:c r="AB38" s="106"/>
      <x:c r="AC38" s="106"/>
      <x:c r="AD38" s="106"/>
      <x:c r="AE38" s="106"/>
      <x:c r="AF38" s="106"/>
      <x:c r="AG38" s="106"/>
      <x:c r="AH38" s="106"/>
      <x:c r="AI38" s="106"/>
      <x:c r="AJ38" s="106"/>
      <x:c r="AK38" s="106"/>
      <x:c r="AL38" s="106"/>
      <x:c r="AM38" s="106"/>
      <x:c r="AN38" s="106"/>
      <x:c r="AO38" s="106"/>
      <x:c r="AP38" s="106"/>
      <x:c r="AQ38" s="106"/>
      <x:c r="AR38" s="106"/>
      <x:c r="AS38" s="106"/>
      <x:c r="AT38" s="106"/>
      <x:c r="AU38" s="106"/>
      <x:c r="AV38" s="106"/>
      <x:c r="AW38" s="106"/>
      <x:c r="AX38" s="106"/>
      <x:c r="AY38" s="106"/>
      <x:c r="AZ38" s="106"/>
      <x:c r="BA38" s="106"/>
    </x:row>
    <x:row r="39">
      <x:c r="A39" s="106"/>
      <x:c r="B39" s="106"/>
      <x:c r="C39" s="106"/>
      <x:c r="D39" s="106"/>
      <x:c r="E39" s="106"/>
      <x:c r="F39" s="106"/>
      <x:c r="G39" s="106"/>
      <x:c r="H39" s="106"/>
      <x:c r="I39" s="106"/>
      <x:c r="J39" s="106"/>
      <x:c r="K39" s="106"/>
      <x:c r="L39" s="106"/>
      <x:c r="M39" s="106"/>
      <x:c r="N39" s="106"/>
      <x:c r="O39" s="106"/>
      <x:c r="P39" s="106"/>
      <x:c r="Q39" s="106"/>
      <x:c r="R39" s="106"/>
      <x:c r="S39" s="106"/>
      <x:c r="T39" s="106"/>
      <x:c r="U39" s="106"/>
      <x:c r="V39" s="106"/>
      <x:c r="W39" s="106"/>
      <x:c r="X39" s="106"/>
      <x:c r="Y39" s="106"/>
      <x:c r="Z39" s="106"/>
      <x:c r="AA39" s="106"/>
      <x:c r="AB39" s="106"/>
      <x:c r="AC39" s="106"/>
      <x:c r="AD39" s="106"/>
      <x:c r="AE39" s="106"/>
      <x:c r="AF39" s="106"/>
      <x:c r="AG39" s="106"/>
      <x:c r="AH39" s="106"/>
      <x:c r="AI39" s="106"/>
      <x:c r="AJ39" s="106"/>
      <x:c r="AK39" s="106"/>
      <x:c r="AL39" s="106"/>
      <x:c r="AM39" s="106"/>
      <x:c r="AN39" s="106"/>
      <x:c r="AO39" s="106"/>
      <x:c r="AP39" s="106"/>
      <x:c r="AQ39" s="106"/>
      <x:c r="AR39" s="106"/>
      <x:c r="AS39" s="106"/>
      <x:c r="AT39" s="106"/>
      <x:c r="AU39" s="106"/>
      <x:c r="AV39" s="106"/>
      <x:c r="AW39" s="106"/>
      <x:c r="AX39" s="106"/>
      <x:c r="AY39" s="106"/>
      <x:c r="AZ39" s="106"/>
      <x:c r="BA39" s="106"/>
    </x:row>
    <x:row r="40">
      <x:c r="A40" s="106"/>
      <x:c r="B40" s="106"/>
      <x:c r="C40" s="106"/>
      <x:c r="D40" s="106"/>
      <x:c r="E40" s="106"/>
      <x:c r="F40" s="106"/>
      <x:c r="G40" s="106"/>
      <x:c r="H40" s="106"/>
      <x:c r="I40" s="106"/>
      <x:c r="J40" s="106"/>
      <x:c r="K40" s="106"/>
      <x:c r="L40" s="106"/>
      <x:c r="M40" s="106"/>
      <x:c r="N40" s="106"/>
      <x:c r="O40" s="106"/>
      <x:c r="P40" s="106"/>
      <x:c r="Q40" s="106"/>
      <x:c r="R40" s="106"/>
      <x:c r="S40" s="106"/>
      <x:c r="T40" s="106"/>
      <x:c r="U40" s="106"/>
      <x:c r="V40" s="106"/>
      <x:c r="W40" s="106"/>
      <x:c r="X40" s="106"/>
      <x:c r="Y40" s="106"/>
      <x:c r="Z40" s="106"/>
      <x:c r="AA40" s="106"/>
      <x:c r="AB40" s="106"/>
      <x:c r="AC40" s="106"/>
      <x:c r="AD40" s="106"/>
      <x:c r="AE40" s="106"/>
      <x:c r="AF40" s="106"/>
      <x:c r="AG40" s="106"/>
      <x:c r="AH40" s="106"/>
      <x:c r="AI40" s="106"/>
      <x:c r="AJ40" s="106"/>
      <x:c r="AK40" s="106"/>
      <x:c r="AL40" s="106"/>
      <x:c r="AM40" s="106"/>
      <x:c r="AN40" s="106"/>
      <x:c r="AO40" s="106"/>
      <x:c r="AP40" s="106"/>
      <x:c r="AQ40" s="106"/>
      <x:c r="AR40" s="106"/>
      <x:c r="AS40" s="106"/>
      <x:c r="AT40" s="106"/>
      <x:c r="AU40" s="106"/>
      <x:c r="AV40" s="106"/>
      <x:c r="AW40" s="106"/>
      <x:c r="AX40" s="106"/>
      <x:c r="AY40" s="106"/>
      <x:c r="AZ40" s="106"/>
      <x:c r="BA40" s="106"/>
    </x:row>
    <x:row r="41">
      <x:c r="A41" s="106"/>
      <x:c r="B41" s="106"/>
      <x:c r="C41" s="106"/>
      <x:c r="D41" s="106"/>
      <x:c r="E41" s="106"/>
      <x:c r="F41" s="106"/>
      <x:c r="G41" s="106"/>
      <x:c r="H41" s="106"/>
      <x:c r="I41" s="106"/>
      <x:c r="J41" s="106"/>
      <x:c r="K41" s="106"/>
      <x:c r="L41" s="106"/>
      <x:c r="M41" s="106"/>
      <x:c r="N41" s="106"/>
      <x:c r="O41" s="106"/>
      <x:c r="P41" s="106"/>
      <x:c r="Q41" s="106"/>
      <x:c r="R41" s="106"/>
      <x:c r="S41" s="106"/>
      <x:c r="T41" s="106"/>
      <x:c r="U41" s="106"/>
      <x:c r="V41" s="106"/>
      <x:c r="W41" s="106"/>
      <x:c r="X41" s="106"/>
      <x:c r="Y41" s="106"/>
      <x:c r="Z41" s="106"/>
      <x:c r="AA41" s="106"/>
      <x:c r="AB41" s="106"/>
      <x:c r="AC41" s="106"/>
      <x:c r="AD41" s="106"/>
      <x:c r="AE41" s="106"/>
      <x:c r="AF41" s="106"/>
      <x:c r="AG41" s="106"/>
      <x:c r="AH41" s="106"/>
      <x:c r="AI41" s="106"/>
      <x:c r="AJ41" s="106"/>
      <x:c r="AK41" s="106"/>
      <x:c r="AL41" s="106"/>
      <x:c r="AM41" s="106"/>
      <x:c r="AN41" s="106"/>
      <x:c r="AO41" s="106"/>
      <x:c r="AP41" s="106"/>
      <x:c r="AQ41" s="106"/>
      <x:c r="AR41" s="106"/>
      <x:c r="AS41" s="106"/>
      <x:c r="AT41" s="106"/>
      <x:c r="AU41" s="106"/>
      <x:c r="AV41" s="106"/>
      <x:c r="AW41" s="106"/>
      <x:c r="AX41" s="106"/>
      <x:c r="AY41" s="106"/>
      <x:c r="AZ41" s="106"/>
      <x:c r="BA41" s="106"/>
    </x:row>
    <x:row r="42">
      <x:c r="A42" s="106"/>
      <x:c r="B42" s="106"/>
      <x:c r="C42" s="106"/>
      <x:c r="D42" s="106"/>
      <x:c r="E42" s="106"/>
      <x:c r="F42" s="106"/>
      <x:c r="G42" s="106"/>
      <x:c r="H42" s="106"/>
      <x:c r="I42" s="106"/>
      <x:c r="J42" s="106"/>
      <x:c r="K42" s="106"/>
      <x:c r="L42" s="106"/>
      <x:c r="M42" s="106"/>
      <x:c r="N42" s="106"/>
      <x:c r="O42" s="106"/>
      <x:c r="P42" s="106"/>
      <x:c r="Q42" s="106"/>
      <x:c r="R42" s="106"/>
      <x:c r="S42" s="106"/>
      <x:c r="T42" s="106"/>
      <x:c r="U42" s="106"/>
      <x:c r="V42" s="106"/>
      <x:c r="W42" s="106"/>
      <x:c r="X42" s="106"/>
      <x:c r="Y42" s="106"/>
      <x:c r="Z42" s="106"/>
      <x:c r="AA42" s="106"/>
      <x:c r="AB42" s="106"/>
      <x:c r="AC42" s="106"/>
      <x:c r="AD42" s="106"/>
      <x:c r="AE42" s="106"/>
      <x:c r="AF42" s="106"/>
      <x:c r="AG42" s="106"/>
      <x:c r="AH42" s="106"/>
      <x:c r="AI42" s="106"/>
      <x:c r="AJ42" s="106"/>
      <x:c r="AK42" s="106"/>
      <x:c r="AL42" s="106"/>
      <x:c r="AM42" s="106"/>
      <x:c r="AN42" s="106"/>
      <x:c r="AO42" s="106"/>
      <x:c r="AP42" s="106"/>
      <x:c r="AQ42" s="106"/>
      <x:c r="AR42" s="106"/>
      <x:c r="AS42" s="106"/>
      <x:c r="AT42" s="106"/>
      <x:c r="AU42" s="106"/>
      <x:c r="AV42" s="106"/>
      <x:c r="AW42" s="106"/>
      <x:c r="AX42" s="106"/>
      <x:c r="AY42" s="106"/>
      <x:c r="AZ42" s="106"/>
      <x:c r="BA42" s="106"/>
    </x:row>
    <x:row r="43">
      <x:c r="A43" s="106"/>
      <x:c r="B43" s="106"/>
      <x:c r="C43" s="106"/>
      <x:c r="D43" s="106"/>
      <x:c r="E43" s="106"/>
      <x:c r="F43" s="106"/>
      <x:c r="G43" s="106"/>
      <x:c r="H43" s="106"/>
      <x:c r="I43" s="106"/>
      <x:c r="J43" s="106"/>
      <x:c r="K43" s="106"/>
      <x:c r="L43" s="106"/>
      <x:c r="M43" s="106"/>
      <x:c r="N43" s="106"/>
      <x:c r="O43" s="106"/>
      <x:c r="P43" s="106"/>
      <x:c r="Q43" s="106"/>
      <x:c r="R43" s="106"/>
      <x:c r="S43" s="106"/>
      <x:c r="T43" s="106"/>
      <x:c r="U43" s="106"/>
      <x:c r="V43" s="106"/>
      <x:c r="W43" s="106"/>
      <x:c r="X43" s="106"/>
      <x:c r="Y43" s="106"/>
      <x:c r="Z43" s="106"/>
      <x:c r="AA43" s="106"/>
      <x:c r="AB43" s="106"/>
      <x:c r="AC43" s="106"/>
      <x:c r="AD43" s="106"/>
      <x:c r="AE43" s="106"/>
      <x:c r="AF43" s="106"/>
      <x:c r="AG43" s="106"/>
      <x:c r="AH43" s="106"/>
      <x:c r="AI43" s="106"/>
      <x:c r="AJ43" s="106"/>
      <x:c r="AK43" s="106"/>
      <x:c r="AL43" s="106"/>
      <x:c r="AM43" s="106"/>
      <x:c r="AN43" s="106"/>
      <x:c r="AO43" s="106"/>
      <x:c r="AP43" s="106"/>
      <x:c r="AQ43" s="106"/>
      <x:c r="AR43" s="106"/>
      <x:c r="AS43" s="106"/>
      <x:c r="AT43" s="106"/>
      <x:c r="AU43" s="106"/>
      <x:c r="AV43" s="106"/>
      <x:c r="AW43" s="106"/>
      <x:c r="AX43" s="106"/>
      <x:c r="AY43" s="106"/>
      <x:c r="AZ43" s="106"/>
      <x:c r="BA43" s="106"/>
    </x:row>
    <x:row r="44">
      <x:c r="A44" s="106"/>
      <x:c r="B44" s="106"/>
      <x:c r="C44" s="106"/>
      <x:c r="D44" s="106"/>
      <x:c r="E44" s="106"/>
      <x:c r="F44" s="106"/>
      <x:c r="G44" s="106"/>
      <x:c r="H44" s="106"/>
      <x:c r="I44" s="106"/>
      <x:c r="J44" s="106"/>
      <x:c r="K44" s="106"/>
      <x:c r="L44" s="106"/>
      <x:c r="M44" s="106"/>
      <x:c r="N44" s="106"/>
      <x:c r="O44" s="106"/>
      <x:c r="P44" s="106"/>
      <x:c r="Q44" s="106"/>
      <x:c r="R44" s="106"/>
      <x:c r="S44" s="106"/>
      <x:c r="T44" s="106"/>
      <x:c r="U44" s="106"/>
      <x:c r="V44" s="106"/>
      <x:c r="W44" s="106"/>
      <x:c r="X44" s="106"/>
      <x:c r="Y44" s="106"/>
      <x:c r="Z44" s="106"/>
      <x:c r="AA44" s="106"/>
      <x:c r="AB44" s="106"/>
      <x:c r="AC44" s="106"/>
      <x:c r="AD44" s="106"/>
      <x:c r="AE44" s="106"/>
      <x:c r="AF44" s="106"/>
      <x:c r="AG44" s="106"/>
      <x:c r="AH44" s="106"/>
      <x:c r="AI44" s="106"/>
      <x:c r="AJ44" s="106"/>
      <x:c r="AK44" s="106"/>
      <x:c r="AL44" s="106"/>
      <x:c r="AM44" s="106"/>
      <x:c r="AN44" s="106"/>
      <x:c r="AO44" s="106"/>
      <x:c r="AP44" s="106"/>
      <x:c r="AQ44" s="106"/>
      <x:c r="AR44" s="106"/>
      <x:c r="AS44" s="106"/>
      <x:c r="AT44" s="106"/>
      <x:c r="AU44" s="106"/>
      <x:c r="AV44" s="106"/>
      <x:c r="AW44" s="106"/>
      <x:c r="AX44" s="106"/>
      <x:c r="AY44" s="106"/>
      <x:c r="AZ44" s="106"/>
      <x:c r="BA44" s="106"/>
    </x:row>
    <x:row r="45">
      <x:c r="A45" s="106"/>
      <x:c r="B45" s="106"/>
      <x:c r="C45" s="106"/>
      <x:c r="D45" s="106"/>
      <x:c r="E45" s="106"/>
      <x:c r="F45" s="106"/>
      <x:c r="G45" s="106"/>
      <x:c r="H45" s="106"/>
      <x:c r="I45" s="106"/>
      <x:c r="J45" s="106"/>
      <x:c r="K45" s="106"/>
      <x:c r="L45" s="106"/>
      <x:c r="M45" s="106"/>
      <x:c r="N45" s="106"/>
      <x:c r="O45" s="106"/>
      <x:c r="P45" s="106"/>
      <x:c r="Q45" s="106"/>
      <x:c r="R45" s="106"/>
      <x:c r="S45" s="106"/>
      <x:c r="T45" s="106"/>
      <x:c r="U45" s="106"/>
      <x:c r="V45" s="106"/>
      <x:c r="W45" s="106"/>
      <x:c r="X45" s="106"/>
      <x:c r="Y45" s="106"/>
      <x:c r="Z45" s="106"/>
      <x:c r="AA45" s="106"/>
      <x:c r="AB45" s="106"/>
      <x:c r="AC45" s="106"/>
      <x:c r="AD45" s="106"/>
      <x:c r="AE45" s="106"/>
      <x:c r="AF45" s="106"/>
      <x:c r="AG45" s="106"/>
      <x:c r="AH45" s="106"/>
      <x:c r="AI45" s="106"/>
      <x:c r="AJ45" s="106"/>
      <x:c r="AK45" s="106"/>
      <x:c r="AL45" s="106"/>
      <x:c r="AM45" s="106"/>
      <x:c r="AN45" s="106"/>
      <x:c r="AO45" s="106"/>
      <x:c r="AP45" s="106"/>
      <x:c r="AQ45" s="106"/>
      <x:c r="AR45" s="106"/>
      <x:c r="AS45" s="106"/>
      <x:c r="AT45" s="106"/>
      <x:c r="AU45" s="106"/>
      <x:c r="AV45" s="106"/>
      <x:c r="AW45" s="106"/>
      <x:c r="AX45" s="106"/>
      <x:c r="AY45" s="106"/>
      <x:c r="AZ45" s="106"/>
      <x:c r="BA45" s="106"/>
    </x:row>
    <x:row r="46">
      <x:c r="A46" s="106"/>
      <x:c r="B46" s="106"/>
      <x:c r="C46" s="106"/>
      <x:c r="D46" s="106"/>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c r="AO46" s="106"/>
      <x:c r="AP46" s="106"/>
      <x:c r="AQ46" s="106"/>
      <x:c r="AR46" s="106"/>
      <x:c r="AS46" s="106"/>
      <x:c r="AT46" s="106"/>
      <x:c r="AU46" s="106"/>
      <x:c r="AV46" s="106"/>
      <x:c r="AW46" s="106"/>
      <x:c r="AX46" s="106"/>
      <x:c r="AY46" s="106"/>
      <x:c r="AZ46" s="106"/>
      <x:c r="BA46" s="106"/>
    </x:row>
    <x:row r="47">
      <x:c r="A47" s="106"/>
      <x:c r="B47" s="106"/>
      <x:c r="C47" s="106"/>
      <x:c r="D47" s="10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c r="AO47" s="106"/>
      <x:c r="AP47" s="106"/>
      <x:c r="AQ47" s="106"/>
      <x:c r="AR47" s="106"/>
      <x:c r="AS47" s="106"/>
      <x:c r="AT47" s="106"/>
      <x:c r="AU47" s="106"/>
      <x:c r="AV47" s="106"/>
      <x:c r="AW47" s="106"/>
      <x:c r="AX47" s="106"/>
      <x:c r="AY47" s="106"/>
      <x:c r="AZ47" s="106"/>
      <x:c r="BA47" s="106"/>
    </x:row>
    <x:row r="48">
      <x:c r="A48" s="106"/>
      <x:c r="B48" s="106"/>
      <x:c r="C48" s="106"/>
      <x:c r="D48" s="106"/>
      <x:c r="E48" s="106"/>
      <x:c r="F48" s="106"/>
      <x:c r="G48" s="106"/>
      <x:c r="H48" s="106"/>
      <x:c r="I48" s="106"/>
      <x:c r="J48" s="106"/>
      <x:c r="K48" s="106"/>
      <x:c r="L48" s="106"/>
      <x:c r="M48" s="106"/>
      <x:c r="N48" s="106"/>
      <x:c r="O48" s="106"/>
      <x:c r="P48" s="106"/>
      <x:c r="Q48" s="106"/>
      <x:c r="R48" s="106"/>
      <x:c r="S48" s="106"/>
      <x:c r="T48" s="106"/>
      <x:c r="U48" s="106"/>
      <x:c r="V48" s="106"/>
      <x:c r="W48" s="106"/>
      <x:c r="X48" s="106"/>
      <x:c r="Y48" s="106"/>
      <x:c r="Z48" s="106"/>
      <x:c r="AA48" s="106"/>
      <x:c r="AB48" s="106"/>
      <x:c r="AC48" s="106"/>
      <x:c r="AD48" s="106"/>
      <x:c r="AE48" s="106"/>
      <x:c r="AF48" s="106"/>
      <x:c r="AG48" s="106"/>
      <x:c r="AH48" s="106"/>
      <x:c r="AI48" s="106"/>
      <x:c r="AJ48" s="106"/>
      <x:c r="AK48" s="106"/>
      <x:c r="AL48" s="106"/>
      <x:c r="AM48" s="106"/>
      <x:c r="AN48" s="106"/>
      <x:c r="AO48" s="106"/>
      <x:c r="AP48" s="106"/>
      <x:c r="AQ48" s="106"/>
      <x:c r="AR48" s="106"/>
      <x:c r="AS48" s="106"/>
      <x:c r="AT48" s="106"/>
      <x:c r="AU48" s="106"/>
      <x:c r="AV48" s="106"/>
      <x:c r="AW48" s="106"/>
      <x:c r="AX48" s="106"/>
      <x:c r="AY48" s="106"/>
      <x:c r="AZ48" s="106"/>
      <x:c r="BA48" s="106"/>
    </x:row>
    <x:row r="49">
      <x:c r="A49" s="106"/>
      <x:c r="B49" s="106"/>
      <x:c r="C49" s="106"/>
      <x:c r="D49" s="106"/>
      <x:c r="E49" s="106"/>
      <x:c r="F49" s="106"/>
      <x:c r="G49" s="106"/>
      <x:c r="H49" s="106"/>
      <x:c r="I49" s="106"/>
      <x:c r="J49" s="106"/>
      <x:c r="K49" s="106"/>
      <x:c r="L49" s="106"/>
      <x:c r="M49" s="106"/>
      <x:c r="N49" s="106"/>
      <x:c r="O49" s="106"/>
      <x:c r="P49" s="106"/>
      <x:c r="Q49" s="106"/>
      <x:c r="R49" s="106"/>
      <x:c r="S49" s="106"/>
      <x:c r="T49" s="106"/>
      <x:c r="U49" s="106"/>
      <x:c r="V49" s="106"/>
      <x:c r="W49" s="106"/>
      <x:c r="X49" s="106"/>
      <x:c r="Y49" s="106"/>
      <x:c r="Z49" s="106"/>
      <x:c r="AA49" s="106"/>
      <x:c r="AB49" s="106"/>
      <x:c r="AC49" s="106"/>
      <x:c r="AD49" s="106"/>
      <x:c r="AE49" s="106"/>
      <x:c r="AF49" s="106"/>
      <x:c r="AG49" s="106"/>
      <x:c r="AH49" s="106"/>
      <x:c r="AI49" s="106"/>
      <x:c r="AJ49" s="106"/>
      <x:c r="AK49" s="106"/>
      <x:c r="AL49" s="106"/>
      <x:c r="AM49" s="106"/>
      <x:c r="AN49" s="106"/>
      <x:c r="AO49" s="106"/>
      <x:c r="AP49" s="106"/>
      <x:c r="AQ49" s="106"/>
      <x:c r="AR49" s="106"/>
      <x:c r="AS49" s="106"/>
      <x:c r="AT49" s="106"/>
      <x:c r="AU49" s="106"/>
      <x:c r="AV49" s="106"/>
      <x:c r="AW49" s="106"/>
      <x:c r="AX49" s="106"/>
      <x:c r="AY49" s="106"/>
      <x:c r="AZ49" s="106"/>
      <x:c r="BA49" s="106"/>
    </x:row>
    <x:row r="50">
      <x:c r="A50" s="106"/>
      <x:c r="B50" s="106"/>
      <x:c r="C50" s="106"/>
      <x:c r="D50" s="106"/>
      <x:c r="E50" s="106"/>
      <x:c r="F50" s="106"/>
      <x:c r="G50" s="106"/>
      <x:c r="H50" s="106"/>
      <x:c r="I50" s="106"/>
      <x:c r="J50" s="106"/>
      <x:c r="K50" s="106"/>
      <x:c r="L50" s="106"/>
      <x:c r="M50" s="106"/>
      <x:c r="N50" s="106"/>
      <x:c r="O50" s="106"/>
      <x:c r="P50" s="106"/>
      <x:c r="Q50" s="106"/>
      <x:c r="R50" s="106"/>
      <x:c r="S50" s="106"/>
      <x:c r="T50" s="106"/>
      <x:c r="U50" s="106"/>
      <x:c r="V50" s="106"/>
      <x:c r="W50" s="106"/>
      <x:c r="X50" s="106"/>
      <x:c r="Y50" s="106"/>
      <x:c r="Z50" s="106"/>
      <x:c r="AA50" s="106"/>
      <x:c r="AB50" s="106"/>
      <x:c r="AC50" s="106"/>
      <x:c r="AD50" s="106"/>
      <x:c r="AE50" s="106"/>
      <x:c r="AF50" s="106"/>
      <x:c r="AG50" s="106"/>
      <x:c r="AH50" s="106"/>
      <x:c r="AI50" s="106"/>
      <x:c r="AJ50" s="106"/>
      <x:c r="AK50" s="106"/>
      <x:c r="AL50" s="106"/>
      <x:c r="AM50" s="106"/>
      <x:c r="AN50" s="106"/>
      <x:c r="AO50" s="106"/>
      <x:c r="AP50" s="106"/>
      <x:c r="AQ50" s="106"/>
      <x:c r="AR50" s="106"/>
      <x:c r="AS50" s="106"/>
      <x:c r="AT50" s="106"/>
      <x:c r="AU50" s="106"/>
      <x:c r="AV50" s="106"/>
      <x:c r="AW50" s="106"/>
      <x:c r="AX50" s="106"/>
      <x:c r="AY50" s="106"/>
      <x:c r="AZ50" s="106"/>
      <x:c r="BA50" s="106"/>
    </x:row>
    <x:row r="51">
      <x:c r="A51" s="106"/>
      <x:c r="B51" s="106"/>
      <x:c r="C51" s="106"/>
      <x:c r="D51" s="106"/>
      <x:c r="E51" s="106"/>
      <x:c r="F51" s="106"/>
      <x:c r="G51" s="106"/>
      <x:c r="H51" s="106"/>
      <x:c r="I51" s="106"/>
      <x:c r="J51" s="106"/>
      <x:c r="K51" s="106"/>
      <x:c r="L51" s="106"/>
      <x:c r="M51" s="106"/>
      <x:c r="N51" s="106"/>
      <x:c r="O51" s="106"/>
      <x:c r="P51" s="106"/>
      <x:c r="Q51" s="106"/>
      <x:c r="R51" s="106"/>
      <x:c r="S51" s="106"/>
      <x:c r="T51" s="106"/>
      <x:c r="U51" s="106"/>
      <x:c r="V51" s="106"/>
      <x:c r="W51" s="106"/>
      <x:c r="X51" s="106"/>
      <x:c r="Y51" s="106"/>
      <x:c r="Z51" s="106"/>
      <x:c r="AA51" s="106"/>
      <x:c r="AB51" s="106"/>
      <x:c r="AC51" s="106"/>
      <x:c r="AD51" s="106"/>
      <x:c r="AE51" s="106"/>
      <x:c r="AF51" s="106"/>
      <x:c r="AG51" s="106"/>
      <x:c r="AH51" s="106"/>
      <x:c r="AI51" s="106"/>
      <x:c r="AJ51" s="106"/>
      <x:c r="AK51" s="106"/>
      <x:c r="AL51" s="106"/>
      <x:c r="AM51" s="106"/>
      <x:c r="AN51" s="106"/>
      <x:c r="AO51" s="106"/>
      <x:c r="AP51" s="106"/>
      <x:c r="AQ51" s="106"/>
      <x:c r="AR51" s="106"/>
      <x:c r="AS51" s="106"/>
      <x:c r="AT51" s="106"/>
      <x:c r="AU51" s="106"/>
      <x:c r="AV51" s="106"/>
      <x:c r="AW51" s="106"/>
      <x:c r="AX51" s="106"/>
      <x:c r="AY51" s="106"/>
      <x:c r="AZ51" s="106"/>
      <x:c r="BA51" s="106"/>
    </x:row>
    <x:row r="52">
      <x:c r="A52" s="106"/>
      <x:c r="B52" s="106"/>
      <x:c r="C52" s="106"/>
      <x:c r="D52" s="106"/>
      <x:c r="E52" s="106"/>
      <x:c r="F52" s="106"/>
      <x:c r="G52" s="106"/>
      <x:c r="H52" s="106"/>
      <x:c r="I52" s="106"/>
      <x:c r="J52" s="106"/>
      <x:c r="K52" s="106"/>
      <x:c r="L52" s="106"/>
      <x:c r="M52" s="106"/>
      <x:c r="N52" s="106"/>
      <x:c r="O52" s="106"/>
      <x:c r="P52" s="106"/>
      <x:c r="Q52" s="106"/>
      <x:c r="R52" s="106"/>
      <x:c r="S52" s="106"/>
      <x:c r="T52" s="106"/>
      <x:c r="U52" s="106"/>
      <x:c r="V52" s="106"/>
      <x:c r="W52" s="106"/>
      <x:c r="X52" s="106"/>
      <x:c r="Y52" s="106"/>
      <x:c r="Z52" s="106"/>
      <x:c r="AA52" s="106"/>
      <x:c r="AB52" s="106"/>
      <x:c r="AC52" s="106"/>
      <x:c r="AD52" s="106"/>
      <x:c r="AE52" s="106"/>
      <x:c r="AF52" s="106"/>
      <x:c r="AG52" s="106"/>
      <x:c r="AH52" s="106"/>
      <x:c r="AI52" s="106"/>
      <x:c r="AJ52" s="106"/>
      <x:c r="AK52" s="106"/>
      <x:c r="AL52" s="106"/>
      <x:c r="AM52" s="106"/>
      <x:c r="AN52" s="106"/>
      <x:c r="AO52" s="106"/>
      <x:c r="AP52" s="106"/>
      <x:c r="AQ52" s="106"/>
      <x:c r="AR52" s="106"/>
      <x:c r="AS52" s="106"/>
      <x:c r="AT52" s="106"/>
      <x:c r="AU52" s="106"/>
      <x:c r="AV52" s="106"/>
      <x:c r="AW52" s="106"/>
      <x:c r="AX52" s="106"/>
      <x:c r="AY52" s="106"/>
      <x:c r="AZ52" s="106"/>
      <x:c r="BA52" s="106"/>
    </x:row>
    <x:row r="53">
      <x:c r="A53" s="106"/>
      <x:c r="B53" s="106"/>
      <x:c r="C53" s="106"/>
      <x:c r="D53" s="106"/>
      <x:c r="E53" s="106"/>
      <x:c r="F53" s="106"/>
      <x:c r="G53" s="106"/>
      <x:c r="H53" s="106"/>
      <x:c r="I53" s="106"/>
      <x:c r="J53" s="106"/>
      <x:c r="K53" s="106"/>
      <x:c r="L53" s="106"/>
      <x:c r="M53" s="106"/>
      <x:c r="N53" s="106"/>
      <x:c r="O53" s="106"/>
      <x:c r="P53" s="106"/>
      <x:c r="Q53" s="106"/>
      <x:c r="R53" s="106"/>
      <x:c r="S53" s="106"/>
      <x:c r="T53" s="106"/>
      <x:c r="U53" s="106"/>
      <x:c r="V53" s="106"/>
      <x:c r="W53" s="106"/>
      <x:c r="X53" s="106"/>
      <x:c r="Y53" s="106"/>
      <x:c r="Z53" s="106"/>
      <x:c r="AA53" s="106"/>
      <x:c r="AB53" s="106"/>
      <x:c r="AC53" s="106"/>
      <x:c r="AD53" s="106"/>
      <x:c r="AE53" s="106"/>
      <x:c r="AF53" s="106"/>
      <x:c r="AG53" s="106"/>
      <x:c r="AH53" s="106"/>
      <x:c r="AI53" s="106"/>
      <x:c r="AJ53" s="106"/>
      <x:c r="AK53" s="106"/>
      <x:c r="AL53" s="106"/>
      <x:c r="AM53" s="106"/>
      <x:c r="AN53" s="106"/>
      <x:c r="AO53" s="106"/>
      <x:c r="AP53" s="106"/>
      <x:c r="AQ53" s="106"/>
      <x:c r="AR53" s="106"/>
      <x:c r="AS53" s="106"/>
      <x:c r="AT53" s="106"/>
      <x:c r="AU53" s="106"/>
      <x:c r="AV53" s="106"/>
      <x:c r="AW53" s="106"/>
      <x:c r="AX53" s="106"/>
      <x:c r="AY53" s="106"/>
      <x:c r="AZ53" s="106"/>
      <x:c r="BA53" s="106"/>
    </x:row>
    <x:row r="54">
      <x:c r="A54" s="106"/>
      <x:c r="B54" s="106"/>
      <x:c r="C54" s="106"/>
      <x:c r="D54" s="106"/>
      <x:c r="E54" s="106"/>
      <x:c r="F54" s="106"/>
      <x:c r="G54" s="106"/>
      <x:c r="H54" s="106"/>
      <x:c r="I54" s="106"/>
      <x:c r="J54" s="106"/>
      <x:c r="K54" s="106"/>
      <x:c r="L54" s="106"/>
      <x:c r="M54" s="106"/>
      <x:c r="N54" s="106"/>
      <x:c r="O54" s="106"/>
      <x:c r="P54" s="106"/>
      <x:c r="Q54" s="106"/>
      <x:c r="R54" s="106"/>
      <x:c r="S54" s="106"/>
      <x:c r="T54" s="106"/>
      <x:c r="U54" s="106"/>
      <x:c r="V54" s="106"/>
      <x:c r="W54" s="106"/>
      <x:c r="X54" s="106"/>
      <x:c r="Y54" s="106"/>
      <x:c r="Z54" s="106"/>
      <x:c r="AA54" s="106"/>
      <x:c r="AB54" s="106"/>
      <x:c r="AC54" s="106"/>
      <x:c r="AD54" s="106"/>
      <x:c r="AE54" s="106"/>
      <x:c r="AF54" s="106"/>
      <x:c r="AG54" s="106"/>
      <x:c r="AH54" s="106"/>
      <x:c r="AI54" s="106"/>
      <x:c r="AJ54" s="106"/>
      <x:c r="AK54" s="106"/>
      <x:c r="AL54" s="106"/>
      <x:c r="AM54" s="106"/>
      <x:c r="AN54" s="106"/>
      <x:c r="AO54" s="106"/>
      <x:c r="AP54" s="106"/>
      <x:c r="AQ54" s="106"/>
      <x:c r="AR54" s="106"/>
      <x:c r="AS54" s="106"/>
      <x:c r="AT54" s="106"/>
      <x:c r="AU54" s="106"/>
      <x:c r="AV54" s="106"/>
      <x:c r="AW54" s="106"/>
      <x:c r="AX54" s="106"/>
      <x:c r="AY54" s="106"/>
      <x:c r="AZ54" s="106"/>
      <x:c r="BA54" s="106"/>
    </x:row>
    <x:row r="55">
      <x:c r="A55" s="106"/>
      <x:c r="B55" s="106"/>
      <x:c r="C55" s="106"/>
      <x:c r="D55" s="106"/>
      <x:c r="E55" s="106"/>
      <x:c r="F55" s="106"/>
      <x:c r="G55" s="106"/>
      <x:c r="H55" s="106"/>
      <x:c r="I55" s="106"/>
      <x:c r="J55" s="106"/>
      <x:c r="K55" s="106"/>
      <x:c r="L55" s="106"/>
      <x:c r="M55" s="106"/>
      <x:c r="N55" s="106"/>
      <x:c r="O55" s="106"/>
      <x:c r="P55" s="106"/>
      <x:c r="Q55" s="106"/>
      <x:c r="R55" s="106"/>
      <x:c r="S55" s="106"/>
      <x:c r="T55" s="106"/>
      <x:c r="U55" s="106"/>
      <x:c r="V55" s="106"/>
      <x:c r="W55" s="106"/>
      <x:c r="X55" s="106"/>
      <x:c r="Y55" s="106"/>
      <x:c r="Z55" s="106"/>
      <x:c r="AA55" s="106"/>
      <x:c r="AB55" s="106"/>
      <x:c r="AC55" s="106"/>
      <x:c r="AD55" s="106"/>
      <x:c r="AE55" s="106"/>
      <x:c r="AF55" s="106"/>
      <x:c r="AG55" s="106"/>
      <x:c r="AH55" s="106"/>
      <x:c r="AI55" s="106"/>
      <x:c r="AJ55" s="106"/>
      <x:c r="AK55" s="106"/>
      <x:c r="AL55" s="106"/>
      <x:c r="AM55" s="106"/>
      <x:c r="AN55" s="106"/>
      <x:c r="AO55" s="106"/>
      <x:c r="AP55" s="106"/>
      <x:c r="AQ55" s="106"/>
      <x:c r="AR55" s="106"/>
      <x:c r="AS55" s="106"/>
      <x:c r="AT55" s="106"/>
      <x:c r="AU55" s="106"/>
      <x:c r="AV55" s="106"/>
      <x:c r="AW55" s="106"/>
      <x:c r="AX55" s="106"/>
      <x:c r="AY55" s="106"/>
      <x:c r="AZ55" s="106"/>
      <x:c r="BA55" s="106"/>
    </x:row>
    <x:row r="56">
      <x:c r="A56" s="106"/>
      <x:c r="B56" s="106"/>
      <x:c r="C56" s="106"/>
      <x:c r="D56" s="106"/>
      <x:c r="E56" s="106"/>
      <x:c r="F56" s="106"/>
      <x:c r="G56" s="106"/>
      <x:c r="H56" s="106"/>
      <x:c r="I56" s="106"/>
      <x:c r="J56" s="106"/>
      <x:c r="K56" s="106"/>
      <x:c r="L56" s="106"/>
      <x:c r="M56" s="106"/>
      <x:c r="N56" s="106"/>
      <x:c r="O56" s="106"/>
      <x:c r="P56" s="106"/>
      <x:c r="Q56" s="106"/>
      <x:c r="R56" s="106"/>
      <x:c r="S56" s="106"/>
      <x:c r="T56" s="106"/>
      <x:c r="U56" s="106"/>
      <x:c r="V56" s="106"/>
      <x:c r="W56" s="106"/>
      <x:c r="X56" s="106"/>
      <x:c r="Y56" s="106"/>
      <x:c r="Z56" s="106"/>
      <x:c r="AA56" s="106"/>
      <x:c r="AB56" s="106"/>
      <x:c r="AC56" s="106"/>
      <x:c r="AD56" s="106"/>
      <x:c r="AE56" s="106"/>
      <x:c r="AF56" s="106"/>
      <x:c r="AG56" s="106"/>
      <x:c r="AH56" s="106"/>
      <x:c r="AI56" s="106"/>
      <x:c r="AJ56" s="106"/>
      <x:c r="AK56" s="106"/>
      <x:c r="AL56" s="106"/>
      <x:c r="AM56" s="106"/>
      <x:c r="AN56" s="106"/>
      <x:c r="AO56" s="106"/>
      <x:c r="AP56" s="106"/>
      <x:c r="AQ56" s="106"/>
      <x:c r="AR56" s="106"/>
      <x:c r="AS56" s="106"/>
      <x:c r="AT56" s="106"/>
      <x:c r="AU56" s="106"/>
      <x:c r="AV56" s="106"/>
      <x:c r="AW56" s="106"/>
      <x:c r="AX56" s="106"/>
      <x:c r="AY56" s="106"/>
      <x:c r="AZ56" s="106"/>
      <x:c r="BA56" s="106"/>
    </x:row>
    <x:row r="57">
      <x:c r="A57" s="106"/>
      <x:c r="B57" s="106"/>
      <x:c r="C57" s="106"/>
      <x:c r="D57" s="106"/>
      <x:c r="E57" s="106"/>
      <x:c r="F57" s="106"/>
      <x:c r="G57" s="106"/>
      <x:c r="H57" s="106"/>
      <x:c r="I57" s="106"/>
      <x:c r="J57" s="106"/>
      <x:c r="K57" s="106"/>
      <x:c r="L57" s="106"/>
      <x:c r="M57" s="106"/>
      <x:c r="N57" s="106"/>
      <x:c r="O57" s="106"/>
      <x:c r="P57" s="106"/>
      <x:c r="Q57" s="106"/>
      <x:c r="R57" s="106"/>
      <x:c r="S57" s="106"/>
      <x:c r="T57" s="106"/>
      <x:c r="U57" s="106"/>
      <x:c r="V57" s="106"/>
      <x:c r="W57" s="106"/>
      <x:c r="X57" s="106"/>
      <x:c r="Y57" s="106"/>
      <x:c r="Z57" s="106"/>
      <x:c r="AA57" s="106"/>
      <x:c r="AB57" s="106"/>
      <x:c r="AC57" s="106"/>
      <x:c r="AD57" s="106"/>
      <x:c r="AE57" s="106"/>
      <x:c r="AF57" s="106"/>
      <x:c r="AG57" s="106"/>
      <x:c r="AH57" s="106"/>
      <x:c r="AI57" s="106"/>
      <x:c r="AJ57" s="106"/>
      <x:c r="AK57" s="106"/>
      <x:c r="AL57" s="106"/>
      <x:c r="AM57" s="106"/>
      <x:c r="AN57" s="106"/>
      <x:c r="AO57" s="106"/>
      <x:c r="AP57" s="106"/>
      <x:c r="AQ57" s="106"/>
      <x:c r="AR57" s="106"/>
      <x:c r="AS57" s="106"/>
      <x:c r="AT57" s="106"/>
      <x:c r="AU57" s="106"/>
      <x:c r="AV57" s="106"/>
      <x:c r="AW57" s="106"/>
      <x:c r="AX57" s="106"/>
      <x:c r="AY57" s="106"/>
      <x:c r="AZ57" s="106"/>
      <x:c r="BA57" s="106"/>
    </x:row>
    <x:row r="58">
      <x:c r="A58" s="106"/>
      <x:c r="B58" s="106"/>
      <x:c r="C58" s="106"/>
      <x:c r="D58" s="106"/>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c r="AO58" s="106"/>
      <x:c r="AP58" s="106"/>
      <x:c r="AQ58" s="106"/>
      <x:c r="AR58" s="106"/>
      <x:c r="AS58" s="106"/>
      <x:c r="AT58" s="106"/>
      <x:c r="AU58" s="106"/>
      <x:c r="AV58" s="106"/>
      <x:c r="AW58" s="106"/>
      <x:c r="AX58" s="106"/>
      <x:c r="AY58" s="106"/>
      <x:c r="AZ58" s="106"/>
      <x:c r="BA58" s="106"/>
    </x:row>
    <x:row r="59">
      <x:c r="A59" s="106"/>
      <x:c r="B59" s="106"/>
      <x:c r="C59" s="106"/>
      <x:c r="D59" s="106"/>
      <x:c r="E59" s="106"/>
      <x:c r="F59" s="106"/>
      <x:c r="G59" s="106"/>
      <x:c r="H59" s="106"/>
      <x:c r="I59" s="106"/>
      <x:c r="J59" s="106"/>
      <x:c r="K59" s="106"/>
      <x:c r="L59" s="106"/>
      <x:c r="M59" s="106"/>
      <x:c r="N59" s="106"/>
      <x:c r="O59" s="106"/>
      <x:c r="P59" s="106"/>
      <x:c r="Q59" s="106"/>
      <x:c r="R59" s="106"/>
      <x:c r="S59" s="106"/>
      <x:c r="T59" s="106"/>
      <x:c r="U59" s="106"/>
      <x:c r="V59" s="106"/>
      <x:c r="W59" s="106"/>
      <x:c r="X59" s="106"/>
      <x:c r="Y59" s="106"/>
      <x:c r="Z59" s="106"/>
      <x:c r="AA59" s="106"/>
      <x:c r="AB59" s="106"/>
      <x:c r="AC59" s="106"/>
      <x:c r="AD59" s="106"/>
      <x:c r="AE59" s="106"/>
      <x:c r="AF59" s="106"/>
      <x:c r="AG59" s="106"/>
      <x:c r="AH59" s="106"/>
      <x:c r="AI59" s="106"/>
      <x:c r="AJ59" s="106"/>
      <x:c r="AK59" s="106"/>
      <x:c r="AL59" s="106"/>
      <x:c r="AM59" s="106"/>
      <x:c r="AN59" s="106"/>
      <x:c r="AO59" s="106"/>
      <x:c r="AP59" s="106"/>
      <x:c r="AQ59" s="106"/>
      <x:c r="AR59" s="106"/>
      <x:c r="AS59" s="106"/>
      <x:c r="AT59" s="106"/>
      <x:c r="AU59" s="106"/>
      <x:c r="AV59" s="106"/>
      <x:c r="AW59" s="106"/>
      <x:c r="AX59" s="106"/>
      <x:c r="AY59" s="106"/>
      <x:c r="AZ59" s="106"/>
      <x:c r="BA59" s="106"/>
    </x:row>
    <x:row r="60">
      <x:c r="A60" s="106"/>
      <x:c r="B60" s="106"/>
      <x:c r="C60" s="106"/>
      <x:c r="D60" s="106"/>
      <x:c r="E60" s="106"/>
      <x:c r="F60" s="106"/>
      <x:c r="G60" s="106"/>
      <x:c r="H60" s="106"/>
      <x:c r="I60" s="106"/>
      <x:c r="J60" s="106"/>
      <x:c r="K60" s="106"/>
      <x:c r="L60" s="106"/>
      <x:c r="M60" s="106"/>
      <x:c r="N60" s="106"/>
      <x:c r="O60" s="106"/>
      <x:c r="P60" s="106"/>
      <x:c r="Q60" s="106"/>
      <x:c r="R60" s="106"/>
      <x:c r="S60" s="106"/>
      <x:c r="T60" s="106"/>
      <x:c r="U60" s="106"/>
      <x:c r="V60" s="106"/>
      <x:c r="W60" s="106"/>
      <x:c r="X60" s="106"/>
      <x:c r="Y60" s="106"/>
      <x:c r="Z60" s="106"/>
      <x:c r="AA60" s="106"/>
      <x:c r="AB60" s="106"/>
      <x:c r="AC60" s="106"/>
      <x:c r="AD60" s="106"/>
      <x:c r="AE60" s="106"/>
      <x:c r="AF60" s="106"/>
      <x:c r="AG60" s="106"/>
      <x:c r="AH60" s="106"/>
      <x:c r="AI60" s="106"/>
      <x:c r="AJ60" s="106"/>
      <x:c r="AK60" s="106"/>
      <x:c r="AL60" s="106"/>
      <x:c r="AM60" s="106"/>
      <x:c r="AN60" s="106"/>
      <x:c r="AO60" s="106"/>
      <x:c r="AP60" s="106"/>
      <x:c r="AQ60" s="106"/>
      <x:c r="AR60" s="106"/>
      <x:c r="AS60" s="106"/>
      <x:c r="AT60" s="106"/>
      <x:c r="AU60" s="106"/>
      <x:c r="AV60" s="106"/>
      <x:c r="AW60" s="106"/>
      <x:c r="AX60" s="106"/>
      <x:c r="AY60" s="106"/>
      <x:c r="AZ60" s="106"/>
      <x:c r="BA60" s="106"/>
    </x:row>
  </x:sheetData>
  <x:mergeCells>
    <x:mergeCell ref="A1:H1"/>
  </x:mergeCells>
  <x:pageMargins left="0.7" right="0.7" top="0.75" bottom="0.75" header="0.3" footer="0.3"/>
</x:worksheet>
</file>