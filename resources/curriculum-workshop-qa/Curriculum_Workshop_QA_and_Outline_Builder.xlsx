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10.xml" ContentType="application/vnd.openxmlformats-officedocument.spreadsheetml.worksheet+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b40a0ebfdfe45a1" /></Relationships>
</file>

<file path=xl/workbook.xml><?xml version="1.0" encoding="utf-8"?>
<x:workbook xmlns:x="http://schemas.openxmlformats.org/spreadsheetml/2006/main">
  <x:sheets>
    <x:sheet xmlns:r="http://schemas.openxmlformats.org/officeDocument/2006/relationships" name="START HERE" sheetId="1" r:id="R9a3595f36b834fe3"/>
    <x:sheet xmlns:r="http://schemas.openxmlformats.org/officeDocument/2006/relationships" name="SETUP" sheetId="2" r:id="Rf52596694550495c"/>
    <x:sheet xmlns:r="http://schemas.openxmlformats.org/officeDocument/2006/relationships" name="OBJECTIVES" sheetId="3" r:id="Ref14b16e2edf479c"/>
    <x:sheet xmlns:r="http://schemas.openxmlformats.org/officeDocument/2006/relationships" name="OUTLINE" sheetId="4" r:id="R6a55fe0f9db448f4"/>
    <x:sheet xmlns:r="http://schemas.openxmlformats.org/officeDocument/2006/relationships" name="ALIGNMENT" sheetId="5" r:id="R93148875166f4cab"/>
    <x:sheet xmlns:r="http://schemas.openxmlformats.org/officeDocument/2006/relationships" name="MATERIALS" sheetId="6" r:id="R60872abc5f394e72"/>
    <x:sheet xmlns:r="http://schemas.openxmlformats.org/officeDocument/2006/relationships" name="QA CHECKS" sheetId="7" r:id="R61448f2477694ae3"/>
    <x:sheet xmlns:r="http://schemas.openxmlformats.org/officeDocument/2006/relationships" name="PUBLISH READY" sheetId="8" r:id="Rbc6b4fc1119a4460"/>
    <x:sheet xmlns:r="http://schemas.openxmlformats.org/officeDocument/2006/relationships" name="DASHBOARD" sheetId="9" r:id="Reeb593bc9a544c79"/>
    <x:sheet xmlns:r="http://schemas.openxmlformats.org/officeDocument/2006/relationships" name="EXAMPLE" sheetId="10" r:id="Red1e156e975843c3"/>
    <x:sheet xmlns:r="http://schemas.openxmlformats.org/officeDocument/2006/relationships" name="_LISTS" sheetId="11" r:id="R73076cfca5974836"/>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12">
    <x:font>
      <x:sz val="11"/>
      <x:name val="Carlito"/>
    </x:font>
    <x:font>
      <x:b/>
      <x:sz val="18"/>
      <x:color rgb="FFFFFFFF"/>
      <x:name val="Carlito"/>
    </x:font>
    <x:font>
      <x:b/>
      <x:sz val="11"/>
      <x:color rgb="FF17324D"/>
      <x:name val="Carlito"/>
    </x:font>
    <x:font>
      <x:b/>
      <x:sz val="11"/>
      <x:color rgb="FFFFFFFF"/>
      <x:name val="Carlito"/>
    </x:font>
    <x:font>
      <x:b/>
      <x:sz val="11"/>
      <x:color rgb="FF1F2933"/>
      <x:name val="Carlito"/>
    </x:font>
    <x:font>
      <x:b/>
      <x:sz val="14"/>
      <x:color rgb="FFFFFFFF"/>
      <x:name val="Carlito"/>
    </x:font>
    <x:font>
      <x:b/>
      <x:sz val="11"/>
      <x:name val="Carlito"/>
    </x:font>
    <x:font>
      <x:b/>
      <x:sz val="18"/>
      <x:color rgb="FF17324D"/>
      <x:name val="Carlito"/>
    </x:font>
    <x:font>
      <x:b/>
      <x:sz val="10"/>
      <x:color rgb="FF1F2933"/>
      <x:name val="Aptos"/>
    </x:font>
    <x:font>
      <x:sz val="10"/>
      <x:color rgb="FF1F2933"/>
      <x:name val="Aptos"/>
    </x:font>
    <x:font>
      <x:b/>
      <x:sz val="18"/>
      <x:color rgb="FFFFFFFF"/>
      <x:name val="Aptos"/>
    </x:font>
    <x:font>
      <x:b/>
      <x:sz val="14"/>
      <x:color rgb="FFFFFFFF"/>
      <x:name val="Aptos"/>
    </x:font>
  </x:fonts>
  <x:fills count="10">
    <x:fill>
      <x:patternFill patternType="none"/>
    </x:fill>
    <x:fill>
      <x:patternFill patternType="gray125"/>
    </x:fill>
    <x:fill>
      <x:patternFill patternType="solid">
        <x:fgColor rgb="FF17324D"/>
      </x:patternFill>
    </x:fill>
    <x:fill>
      <x:patternFill patternType="solid">
        <x:fgColor rgb="FFEAF3FA"/>
      </x:patternFill>
    </x:fill>
    <x:fill>
      <x:patternFill patternType="solid">
        <x:fgColor rgb="FFFFF4CC"/>
      </x:patternFill>
    </x:fill>
    <x:fill>
      <x:patternFill patternType="solid">
        <x:fgColor rgb="FFE8F3E8"/>
      </x:patternFill>
    </x:fill>
    <x:fill>
      <x:patternFill patternType="solid">
        <x:fgColor rgb="FFF1ECF7"/>
      </x:patternFill>
    </x:fill>
    <x:fill>
      <x:patternFill patternType="solid">
        <x:fgColor rgb="FFFDE8E7"/>
      </x:patternFill>
    </x:fill>
    <x:fill>
      <x:patternFill patternType="solid">
        <x:fgColor rgb="FFD9E6F2"/>
      </x:patternFill>
    </x:fill>
    <x:fill>
      <x:patternFill patternType="solid">
        <x:fgColor rgb="FFF5F7F9"/>
      </x:patternFill>
    </x:fill>
  </x:fills>
  <x:borders count="2">
    <x:border/>
    <x:border/>
  </x:borders>
  <x:cellStyleXfs count="1">
    <x:xf numFmtId="0" fontId="0" fillId="0" borderId="0"/>
  </x:cellStyleXfs>
  <x:cellXfs count="13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3" fillId="2" borderId="0" xfId="0" applyNumberFormat="1" applyFont="1" applyFill="1" applyBorder="1"/>
    <x:xf numFmtId="0" fontId="3" fillId="2" borderId="1" xfId="0" applyNumberFormat="1" applyFont="1" applyFill="1" applyBorder="1"/>
    <x:xf numFmtId="0" fontId="0" fillId="0" borderId="0" xfId="0" applyNumberFormat="1" applyFont="1" applyFill="1" applyBorder="1"/>
    <x:xf numFmtId="0" fontId="1" fillId="2" borderId="0" xfId="0" applyNumberFormat="1" applyFont="1" applyFill="1" applyBorder="1" applyAlignment="1">
      <x:alignment horizontal="center" wrapText="1"/>
    </x:xf>
    <x:xf numFmtId="0" fontId="1" fillId="2" borderId="1" xfId="0" applyNumberFormat="1" applyFont="1" applyFill="1" applyBorder="1" applyAlignment="1">
      <x:alignment horizontal="center" wrapText="1"/>
    </x:xf>
    <x:xf numFmtId="0" fontId="0" fillId="4" borderId="0" xfId="0" applyNumberFormat="1" applyFont="1" applyFill="1" applyBorder="1"/>
    <x:xf numFmtId="0" fontId="0" fillId="4" borderId="1" xfId="0" applyNumberFormat="1" applyFont="1" applyFill="1" applyBorder="1"/>
    <x:xf numFmtId="0" fontId="4" fillId="4" borderId="0" xfId="0" applyNumberFormat="1" applyFont="1" applyFill="1" applyBorder="1"/>
    <x:xf numFmtId="0" fontId="4" fillId="4" borderId="1" xfId="0" applyNumberFormat="1" applyFont="1" applyFill="1" applyBorder="1"/>
    <x:xf numFmtId="0" fontId="0" fillId="5" borderId="0" xfId="0" applyNumberFormat="1" applyFont="1" applyFill="1" applyBorder="1"/>
    <x:xf numFmtId="0" fontId="0" fillId="5" borderId="1"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0" fillId="6" borderId="0" xfId="0" applyNumberFormat="1" applyFont="1" applyFill="1" applyBorder="1"/>
    <x:xf numFmtId="0" fontId="0" fillId="6" borderId="1" xfId="0" applyNumberFormat="1" applyFont="1" applyFill="1" applyBorder="1"/>
    <x:xf numFmtId="0" fontId="4" fillId="6" borderId="0" xfId="0" applyNumberFormat="1" applyFont="1" applyFill="1" applyBorder="1"/>
    <x:xf numFmtId="0" fontId="4" fillId="6" borderId="1" xfId="0" applyNumberFormat="1" applyFont="1" applyFill="1" applyBorder="1"/>
    <x:xf numFmtId="0" fontId="0" fillId="7" borderId="0" xfId="0" applyNumberFormat="1" applyFont="1" applyFill="1" applyBorder="1"/>
    <x:xf numFmtId="0" fontId="0" fillId="7" borderId="1" xfId="0" applyNumberFormat="1" applyFont="1" applyFill="1" applyBorder="1"/>
    <x:xf numFmtId="0" fontId="4" fillId="7" borderId="0" xfId="0" applyNumberFormat="1" applyFont="1" applyFill="1" applyBorder="1"/>
    <x:xf numFmtId="0" fontId="4" fillId="7" borderId="1" xfId="0" applyNumberFormat="1" applyFont="1" applyFill="1" applyBorder="1"/>
    <x:xf numFmtId="0" fontId="0" fillId="8" borderId="0" xfId="0" applyNumberFormat="1" applyFont="1" applyFill="1" applyBorder="1"/>
    <x:xf numFmtId="0" fontId="2" fillId="8" borderId="0" xfId="0" applyNumberFormat="1" applyFont="1" applyFill="1" applyBorder="1"/>
    <x:xf numFmtId="0" fontId="0" fillId="8" borderId="1" xfId="0" applyNumberFormat="1" applyFont="1" applyFill="1" applyBorder="1"/>
    <x:xf numFmtId="0" fontId="2" fillId="8" borderId="1" xfId="0" applyNumberFormat="1" applyFont="1" applyFill="1" applyBorder="1"/>
    <x:xf numFmtId="0" fontId="0" fillId="9" borderId="0" xfId="0" applyNumberFormat="1" applyFont="1" applyFill="1" applyBorder="1"/>
    <x:xf numFmtId="0" fontId="0" fillId="9" borderId="0" xfId="0" applyNumberFormat="1" applyFont="1" applyFill="1" applyBorder="1" applyAlignment="1">
      <x:alignment wrapText="1"/>
    </x:xf>
    <x:xf numFmtId="0" fontId="0" fillId="9" borderId="0" xfId="0" applyNumberFormat="1" applyFont="1" applyFill="1" applyBorder="1" applyAlignment="1">
      <x:alignment vertical="top" wrapText="1"/>
    </x:xf>
    <x:xf numFmtId="0" fontId="0" fillId="9" borderId="1" xfId="0" applyNumberFormat="1" applyFont="1" applyFill="1" applyBorder="1"/>
    <x:xf numFmtId="0" fontId="0" fillId="9" borderId="1" xfId="0" applyNumberFormat="1" applyFont="1" applyFill="1" applyBorder="1" applyAlignment="1">
      <x:alignment wrapText="1"/>
    </x:xf>
    <x:xf numFmtId="0" fontId="0" fillId="9" borderId="1" xfId="0" applyNumberFormat="1" applyFont="1" applyFill="1" applyBorder="1" applyAlignment="1">
      <x:alignment vertical="top" wrapText="1"/>
    </x:xf>
    <x:xf numFmtId="0" fontId="5" fillId="2" borderId="0" xfId="0" applyNumberFormat="1" applyFont="1" applyFill="1" applyBorder="1"/>
    <x:xf numFmtId="0" fontId="5" fillId="2" borderId="1" xfId="0" applyNumberFormat="1" applyFont="1" applyFill="1" applyBorder="1"/>
    <x:xf numFmtId="0" fontId="0" fillId="4" borderId="0" xfId="0" applyNumberFormat="1" applyFont="1" applyFill="1" applyBorder="1" applyAlignment="1">
      <x:alignment wrapText="1"/>
    </x:xf>
    <x:xf numFmtId="0" fontId="0" fillId="4" borderId="1" xfId="0" applyNumberFormat="1" applyFont="1" applyFill="1" applyBorder="1" applyAlignment="1">
      <x:alignment wrapText="1"/>
    </x:xf>
    <x:xf numFmtId="0" fontId="3" fillId="2" borderId="0" xfId="0" applyNumberFormat="1" applyFont="1" applyFill="1" applyBorder="1" applyAlignment="1">
      <x:alignment wrapText="1"/>
    </x:xf>
    <x:xf numFmtId="0" fontId="3" fillId="2" borderId="1" xfId="0" applyNumberFormat="1" applyFont="1" applyFill="1" applyBorder="1" applyAlignment="1">
      <x:alignment wrapText="1"/>
    </x:xf>
    <x:xf numFmtId="0" fontId="0" fillId="5" borderId="0" xfId="0" applyNumberFormat="1" applyFont="1" applyFill="1" applyBorder="1" applyAlignment="1">
      <x:alignment wrapText="1"/>
    </x:xf>
    <x:xf numFmtId="0" fontId="0" fillId="5" borderId="1" xfId="0" applyNumberFormat="1" applyFont="1" applyFill="1" applyBorder="1" applyAlignment="1">
      <x:alignment wrapText="1"/>
    </x:xf>
    <x:xf numFmtId="200" fontId="0" fillId="5" borderId="0" xfId="0" applyNumberFormat="1" applyFont="1" applyFill="1" applyBorder="1"/>
    <x:xf numFmtId="200" fontId="0" fillId="5" borderId="1" xfId="0" applyNumberFormat="1" applyFont="1" applyFill="1" applyBorder="1"/>
    <x:xf numFmtId="200" fontId="0" fillId="5" borderId="0" xfId="0" applyNumberFormat="1" applyFont="1" applyFill="1" applyBorder="1" applyAlignment="1">
      <x:alignment wrapText="1"/>
    </x:xf>
    <x:xf numFmtId="0" fontId="0" fillId="6" borderId="0" xfId="0" applyNumberFormat="1" applyFont="1" applyFill="1" applyBorder="1" applyAlignment="1">
      <x:alignment wrapText="1"/>
    </x:xf>
    <x:xf numFmtId="200" fontId="0" fillId="5" borderId="1" xfId="0" applyNumberFormat="1" applyFont="1" applyFill="1" applyBorder="1" applyAlignment="1">
      <x:alignment wrapText="1"/>
    </x:xf>
    <x:xf numFmtId="0" fontId="0" fillId="6"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2" borderId="0" xfId="0" applyNumberFormat="1" applyFont="1" applyFill="1" applyBorder="1" applyAlignment="1">
      <x:alignment wrapText="1"/>
    </x:xf>
    <x:xf numFmtId="0" fontId="0" fillId="2" borderId="1" xfId="0" applyNumberFormat="1" applyFont="1" applyFill="1" applyBorder="1" applyAlignment="1">
      <x:alignment wrapText="1"/>
    </x:xf>
    <x:xf numFmtId="0" fontId="6" fillId="5" borderId="0" xfId="0" applyNumberFormat="1" applyFont="1" applyFill="1" applyBorder="1"/>
    <x:xf numFmtId="0" fontId="6" fillId="5" borderId="1" xfId="0" applyNumberFormat="1" applyFont="1" applyFill="1" applyBorder="1"/>
    <x:xf numFmtId="0" fontId="3" fillId="2" borderId="0" xfId="0" applyNumberFormat="1" applyFont="1" applyFill="1" applyBorder="1" applyAlignment="1">
      <x:alignment horizontal="center"/>
    </x:xf>
    <x:xf numFmtId="0" fontId="3" fillId="2" borderId="1" xfId="0" applyNumberFormat="1" applyFont="1" applyFill="1" applyBorder="1" applyAlignment="1">
      <x:alignment horizontal="center"/>
    </x:xf>
    <x:xf numFmtId="0" fontId="7" fillId="5" borderId="0" xfId="0" applyNumberFormat="1" applyFont="1" applyFill="1" applyBorder="1"/>
    <x:xf numFmtId="0" fontId="7" fillId="5" borderId="0" xfId="0" applyNumberFormat="1" applyFont="1" applyFill="1" applyBorder="1" applyAlignment="1">
      <x:alignment horizontal="center"/>
    </x:xf>
    <x:xf numFmtId="0" fontId="7" fillId="5" borderId="0" xfId="0" applyNumberFormat="1" applyFont="1" applyFill="1" applyBorder="1" applyAlignment="1">
      <x:alignment horizontal="center" vertical="center"/>
    </x:xf>
    <x:xf numFmtId="0" fontId="7" fillId="5" borderId="1" xfId="0" applyNumberFormat="1" applyFont="1" applyFill="1" applyBorder="1"/>
    <x:xf numFmtId="0" fontId="7" fillId="5" borderId="1" xfId="0" applyNumberFormat="1" applyFont="1" applyFill="1" applyBorder="1" applyAlignment="1">
      <x:alignment horizontal="center"/>
    </x:xf>
    <x:xf numFmtId="0" fontId="7" fillId="5" borderId="1" xfId="0" applyNumberFormat="1" applyFont="1" applyFill="1" applyBorder="1" applyAlignment="1">
      <x:alignment horizontal="center" vertical="center"/>
    </x:xf>
    <x:xf numFmtId="0" fontId="2" fillId="8" borderId="0" xfId="0" applyNumberFormat="1" applyFont="1" applyFill="1" applyBorder="1" applyAlignment="1">
      <x:alignment wrapText="1"/>
    </x:xf>
    <x:xf numFmtId="0" fontId="6" fillId="5"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7" fillId="5" borderId="0" xfId="0" applyNumberFormat="1" applyFont="1" applyFill="1" applyBorder="1" applyAlignment="1">
      <x:alignment horizontal="center" vertical="center" wrapText="1"/>
    </x:xf>
    <x:xf numFmtId="0" fontId="2" fillId="8" borderId="1" xfId="0" applyNumberFormat="1" applyFont="1" applyFill="1" applyBorder="1" applyAlignment="1">
      <x:alignment wrapText="1"/>
    </x:xf>
    <x:xf numFmtId="0" fontId="6" fillId="5"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7" fillId="5" borderId="1" xfId="0" applyNumberFormat="1" applyFont="1" applyFill="1" applyBorder="1" applyAlignment="1">
      <x:alignment horizontal="center" vertical="center" wrapText="1"/>
    </x:xf>
    <x:xf numFmtId="0" fontId="8" fillId="2" borderId="0" xfId="0" applyNumberFormat="1" applyFont="1" applyFill="1" applyBorder="1" applyAlignment="1">
      <x:alignment horizontal="center" wrapText="1"/>
    </x:xf>
    <x:xf numFmtId="0" fontId="8" fillId="2" borderId="0" xfId="0" applyNumberFormat="1" applyFont="1" applyFill="1" applyBorder="1" applyAlignment="1">
      <x:alignment horizontal="center"/>
    </x:xf>
    <x:xf numFmtId="0" fontId="9" fillId="0" borderId="0" xfId="0" applyNumberFormat="1" applyFont="1" applyFill="1" applyBorder="1"/>
    <x:xf numFmtId="0" fontId="8" fillId="3" borderId="0" xfId="0" applyNumberFormat="1" applyFont="1" applyFill="1" applyBorder="1" applyAlignment="1">
      <x:alignment horizontal="center"/>
    </x:xf>
    <x:xf numFmtId="0" fontId="8" fillId="2" borderId="0" xfId="0" applyNumberFormat="1" applyFont="1" applyFill="1" applyBorder="1"/>
    <x:xf numFmtId="0" fontId="8" fillId="4" borderId="0" xfId="0" applyNumberFormat="1" applyFont="1" applyFill="1" applyBorder="1"/>
    <x:xf numFmtId="0" fontId="9" fillId="4" borderId="0" xfId="0" applyNumberFormat="1" applyFont="1" applyFill="1" applyBorder="1"/>
    <x:xf numFmtId="0" fontId="8" fillId="5" borderId="0" xfId="0" applyNumberFormat="1" applyFont="1" applyFill="1" applyBorder="1"/>
    <x:xf numFmtId="0" fontId="9" fillId="5" borderId="0" xfId="0" applyNumberFormat="1" applyFont="1" applyFill="1" applyBorder="1"/>
    <x:xf numFmtId="0" fontId="8" fillId="6" borderId="0" xfId="0" applyNumberFormat="1" applyFont="1" applyFill="1" applyBorder="1"/>
    <x:xf numFmtId="0" fontId="9" fillId="6" borderId="0" xfId="0" applyNumberFormat="1" applyFont="1" applyFill="1" applyBorder="1"/>
    <x:xf numFmtId="0" fontId="8" fillId="7" borderId="0" xfId="0" applyNumberFormat="1" applyFont="1" applyFill="1" applyBorder="1"/>
    <x:xf numFmtId="0" fontId="9" fillId="7" borderId="0" xfId="0" applyNumberFormat="1" applyFont="1" applyFill="1" applyBorder="1"/>
    <x:xf numFmtId="0" fontId="8" fillId="8" borderId="0" xfId="0" applyNumberFormat="1" applyFont="1" applyFill="1" applyBorder="1"/>
    <x:xf numFmtId="0" fontId="9" fillId="9" borderId="0" xfId="0" applyNumberFormat="1" applyFont="1" applyFill="1" applyBorder="1" applyAlignment="1">
      <x:alignment vertical="top" wrapText="1"/>
    </x:xf>
    <x:xf numFmtId="0" fontId="8" fillId="2" borderId="1" xfId="0" applyNumberFormat="1" applyFont="1" applyFill="1" applyBorder="1" applyAlignment="1">
      <x:alignment horizontal="center" wrapText="1"/>
    </x:xf>
    <x:xf numFmtId="0" fontId="8" fillId="2" borderId="1" xfId="0" applyNumberFormat="1" applyFont="1" applyFill="1" applyBorder="1" applyAlignment="1">
      <x:alignment horizontal="center"/>
    </x:xf>
    <x:xf numFmtId="0" fontId="9" fillId="0" borderId="1" xfId="0" applyNumberFormat="1" applyFont="1" applyFill="1" applyBorder="1"/>
    <x:xf numFmtId="0" fontId="8" fillId="3" borderId="1" xfId="0" applyNumberFormat="1" applyFont="1" applyFill="1" applyBorder="1" applyAlignment="1">
      <x:alignment horizontal="center"/>
    </x:xf>
    <x:xf numFmtId="0" fontId="8" fillId="2" borderId="1" xfId="0" applyNumberFormat="1" applyFont="1" applyFill="1" applyBorder="1"/>
    <x:xf numFmtId="0" fontId="8" fillId="4" borderId="1" xfId="0" applyNumberFormat="1" applyFont="1" applyFill="1" applyBorder="1"/>
    <x:xf numFmtId="0" fontId="9" fillId="4" borderId="1" xfId="0" applyNumberFormat="1" applyFont="1" applyFill="1" applyBorder="1"/>
    <x:xf numFmtId="0" fontId="8" fillId="5" borderId="1" xfId="0" applyNumberFormat="1" applyFont="1" applyFill="1" applyBorder="1"/>
    <x:xf numFmtId="0" fontId="9" fillId="5" borderId="1" xfId="0" applyNumberFormat="1" applyFont="1" applyFill="1" applyBorder="1"/>
    <x:xf numFmtId="0" fontId="8" fillId="6" borderId="1" xfId="0" applyNumberFormat="1" applyFont="1" applyFill="1" applyBorder="1"/>
    <x:xf numFmtId="0" fontId="9" fillId="6" borderId="1" xfId="0" applyNumberFormat="1" applyFont="1" applyFill="1" applyBorder="1"/>
    <x:xf numFmtId="0" fontId="8" fillId="7" borderId="1" xfId="0" applyNumberFormat="1" applyFont="1" applyFill="1" applyBorder="1"/>
    <x:xf numFmtId="0" fontId="9" fillId="7" borderId="1" xfId="0" applyNumberFormat="1" applyFont="1" applyFill="1" applyBorder="1"/>
    <x:xf numFmtId="0" fontId="8" fillId="8" borderId="1" xfId="0" applyNumberFormat="1" applyFont="1" applyFill="1" applyBorder="1"/>
    <x:xf numFmtId="0" fontId="9" fillId="9" borderId="1" xfId="0" applyNumberFormat="1" applyFont="1" applyFill="1" applyBorder="1" applyAlignment="1">
      <x:alignment vertical="top" wrapText="1"/>
    </x:xf>
    <x:xf numFmtId="0" fontId="9" fillId="4" borderId="0" xfId="0" applyNumberFormat="1" applyFont="1" applyFill="1" applyBorder="1" applyAlignment="1">
      <x:alignment wrapText="1"/>
    </x:xf>
    <x:xf numFmtId="0" fontId="9" fillId="4" borderId="1" xfId="0" applyNumberFormat="1" applyFont="1" applyFill="1" applyBorder="1" applyAlignment="1">
      <x:alignment wrapText="1"/>
    </x:xf>
    <x:xf numFmtId="0" fontId="8" fillId="2" borderId="0" xfId="0" applyNumberFormat="1" applyFont="1" applyFill="1" applyBorder="1" applyAlignment="1">
      <x:alignment wrapText="1"/>
    </x:xf>
    <x:xf numFmtId="0" fontId="9" fillId="5" borderId="0" xfId="0" applyNumberFormat="1" applyFont="1" applyFill="1" applyBorder="1" applyAlignment="1">
      <x:alignment wrapText="1"/>
    </x:xf>
    <x:xf numFmtId="0" fontId="8" fillId="2" borderId="1" xfId="0" applyNumberFormat="1" applyFont="1" applyFill="1" applyBorder="1" applyAlignment="1">
      <x:alignment wrapText="1"/>
    </x:xf>
    <x:xf numFmtId="0" fontId="9" fillId="5" borderId="1" xfId="0" applyNumberFormat="1" applyFont="1" applyFill="1" applyBorder="1" applyAlignment="1">
      <x:alignment wrapText="1"/>
    </x:xf>
    <x:xf numFmtId="200" fontId="9" fillId="5" borderId="0" xfId="0" applyNumberFormat="1" applyFont="1" applyFill="1" applyBorder="1" applyAlignment="1">
      <x:alignment wrapText="1"/>
    </x:xf>
    <x:xf numFmtId="0" fontId="9" fillId="6" borderId="0" xfId="0" applyNumberFormat="1" applyFont="1" applyFill="1" applyBorder="1" applyAlignment="1">
      <x:alignment wrapText="1"/>
    </x:xf>
    <x:xf numFmtId="200" fontId="9" fillId="5" borderId="1" xfId="0" applyNumberFormat="1" applyFont="1" applyFill="1" applyBorder="1" applyAlignment="1">
      <x:alignment wrapText="1"/>
    </x:xf>
    <x:xf numFmtId="0" fontId="9" fillId="6" borderId="1" xfId="0" applyNumberFormat="1" applyFont="1" applyFill="1" applyBorder="1" applyAlignment="1">
      <x:alignment wrapText="1"/>
    </x:xf>
    <x:xf numFmtId="0" fontId="9" fillId="0" borderId="0" xfId="0" applyNumberFormat="1" applyFont="1" applyFill="1" applyBorder="1" applyAlignment="1">
      <x:alignment wrapText="1"/>
    </x:xf>
    <x:xf numFmtId="0" fontId="9" fillId="0" borderId="1" xfId="0" applyNumberFormat="1" applyFont="1" applyFill="1" applyBorder="1" applyAlignment="1">
      <x:alignment wrapText="1"/>
    </x:xf>
    <x:xf numFmtId="0" fontId="8" fillId="8" borderId="0" xfId="0" applyNumberFormat="1" applyFont="1" applyFill="1" applyBorder="1" applyAlignment="1">
      <x:alignment wrapText="1"/>
    </x:xf>
    <x:xf numFmtId="0" fontId="8" fillId="5" borderId="0" xfId="0" applyNumberFormat="1" applyFont="1" applyFill="1" applyBorder="1" applyAlignment="1">
      <x:alignment wrapText="1"/>
    </x:xf>
    <x:xf numFmtId="0" fontId="8" fillId="5" borderId="0" xfId="0" applyNumberFormat="1" applyFont="1" applyFill="1" applyBorder="1" applyAlignment="1">
      <x:alignment horizontal="center" vertical="center" wrapText="1"/>
    </x:xf>
    <x:xf numFmtId="0" fontId="8" fillId="8" borderId="1" xfId="0" applyNumberFormat="1" applyFont="1" applyFill="1" applyBorder="1" applyAlignment="1">
      <x:alignment wrapText="1"/>
    </x:xf>
    <x:xf numFmtId="0" fontId="8" fillId="5" borderId="1" xfId="0" applyNumberFormat="1" applyFont="1" applyFill="1" applyBorder="1" applyAlignment="1">
      <x:alignment wrapText="1"/>
    </x:xf>
    <x:xf numFmtId="0" fontId="8" fillId="5" borderId="1" xfId="0" applyNumberFormat="1" applyFont="1" applyFill="1" applyBorder="1" applyAlignment="1">
      <x:alignment horizontal="center" vertical="center" wrapText="1"/>
    </x:xf>
    <x:xf numFmtId="0" fontId="10" fillId="2" borderId="0" xfId="0" applyNumberFormat="1" applyFont="1" applyFill="1" applyBorder="1" applyAlignment="1">
      <x:alignment horizontal="center" wrapText="1"/>
    </x:xf>
    <x:xf numFmtId="0" fontId="10" fillId="2" borderId="0" xfId="0" applyNumberFormat="1" applyFont="1" applyFill="1" applyBorder="1" applyAlignment="1">
      <x:alignment horizontal="center"/>
    </x:xf>
    <x:xf numFmtId="0" fontId="10" fillId="2" borderId="1" xfId="0" applyNumberFormat="1" applyFont="1" applyFill="1" applyBorder="1" applyAlignment="1">
      <x:alignment horizontal="center" wrapText="1"/>
    </x:xf>
    <x:xf numFmtId="0" fontId="10" fillId="2" borderId="1" xfId="0" applyNumberFormat="1" applyFont="1" applyFill="1" applyBorder="1" applyAlignment="1">
      <x:alignment horizontal="center"/>
    </x:xf>
    <x:xf numFmtId="0" fontId="11" fillId="2" borderId="0" xfId="0" applyNumberFormat="1" applyFont="1" applyFill="1" applyBorder="1"/>
    <x:xf numFmtId="0" fontId="11" fillId="2" borderId="1" xfId="0" applyNumberFormat="1" applyFont="1" applyFill="1" applyBorder="1"/>
  </x:cellXfs>
  <x:cellStyles count="1">
    <x:cellStyle name="Normal" xfId="0"/>
  </x:cellStyles>
  <x:dxfs count="16">
    <x:dxf>
      <x:font>
        <x:b/>
      </x:font>
      <x:fill>
        <x:patternFill patternType="solid">
          <x:bgColor rgb="FFF4CCCC"/>
        </x:patternFill>
      </x:fill>
    </x:dxf>
    <x:dxf>
      <x:font>
        <x:b/>
      </x:font>
      <x:fill>
        <x:patternFill patternType="solid">
          <x:bgColor rgb="FFF4CCCC"/>
        </x:patternFill>
      </x:fill>
    </x:dxf>
    <x:dxf>
      <x:font>
        <x:b/>
      </x:font>
      <x:fill>
        <x:patternFill patternType="solid">
          <x:bgColor rgb="FFDDEEDB"/>
        </x:patternFill>
      </x:fill>
    </x:dxf>
    <x:dxf>
      <x:font>
        <x:b/>
      </x:font>
      <x:fill>
        <x:patternFill patternType="solid">
          <x:bgColor rgb="FFF4CCCC"/>
        </x:patternFill>
      </x:fill>
    </x:dxf>
    <x:dxf>
      <x:fill>
        <x:patternFill patternType="solid">
          <x:bgColor rgb="FFDDEEDB"/>
        </x:patternFill>
      </x:fill>
    </x:dxf>
    <x:dxf>
      <x:font>
        <x:b/>
      </x:font>
      <x:fill>
        <x:patternFill patternType="solid">
          <x:bgColor rgb="FFF4CCCC"/>
        </x:patternFill>
      </x:fill>
    </x:dxf>
    <x:dxf>
      <x:font>
        <x:b/>
      </x:font>
      <x:fill>
        <x:patternFill patternType="solid">
          <x:bgColor rgb="FFDDEEDB"/>
        </x:patternFill>
      </x:fill>
    </x:dxf>
    <x:dxf>
      <x:font>
        <x:b/>
      </x:font>
      <x:fill>
        <x:patternFill patternType="solid">
          <x:bgColor rgb="FFF4CCCC"/>
        </x:patternFill>
      </x:fill>
    </x:dxf>
    <x:dxf>
      <x:font>
        <x:b/>
      </x:font>
      <x:fill>
        <x:patternFill patternType="solid">
          <x:bgColor rgb="FFF4CCCC"/>
        </x:patternFill>
      </x:fill>
    </x:dxf>
    <x:dxf>
      <x:font>
        <x:b/>
      </x:font>
      <x:fill>
        <x:patternFill patternType="solid">
          <x:bgColor rgb="FFDDEEDB"/>
        </x:patternFill>
      </x:fill>
    </x:dxf>
    <x:dxf>
      <x:fill>
        <x:patternFill patternType="solid">
          <x:bgColor rgb="FFF4CCCC"/>
        </x:patternFill>
      </x:fill>
    </x:dxf>
    <x:dxf>
      <x:fill>
        <x:patternFill patternType="solid">
          <x:bgColor rgb="FFF4CCCC"/>
        </x:patternFill>
      </x:fill>
    </x:dxf>
    <x:dxf>
      <x:fill>
        <x:patternFill patternType="solid">
          <x:bgColor rgb="FFDDEEDB"/>
        </x:patternFill>
      </x:fill>
    </x:dxf>
    <x:dxf>
      <x:fill>
        <x:patternFill patternType="solid">
          <x:bgColor rgb="FFFCE8B2"/>
        </x:patternFill>
      </x:fill>
    </x:dxf>
    <x:dxf>
      <x:font>
        <x:b/>
      </x:font>
      <x:fill>
        <x:patternFill patternType="solid">
          <x:bgColor rgb="FFF4CCCC"/>
        </x:patternFill>
      </x:fill>
    </x:dxf>
    <x:dxf>
      <x:fill>
        <x:patternFill patternType="solid">
          <x:bgColor rgb="FFDDEEDB"/>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b0ae7423836486b" /><Relationship Type="http://schemas.openxmlformats.org/officeDocument/2006/relationships/theme" Target="/xl/theme/theme1.xml" Id="R314b08ca7d094e58" /><Relationship Type="http://schemas.openxmlformats.org/officeDocument/2006/relationships/sharedStrings" Target="/xl/sharedStrings.xml" Id="R13795a83f1bb4425" /><Relationship Type="http://schemas.openxmlformats.org/officeDocument/2006/relationships/worksheet" Target="/xl/worksheets/sheet1.xml" Id="R9a3595f36b834fe3" /><Relationship Type="http://schemas.openxmlformats.org/officeDocument/2006/relationships/worksheet" Target="/xl/worksheets/sheet2.xml" Id="Rf52596694550495c" /><Relationship Type="http://schemas.openxmlformats.org/officeDocument/2006/relationships/worksheet" Target="/xl/worksheets/sheet3.xml" Id="Ref14b16e2edf479c" /><Relationship Type="http://schemas.openxmlformats.org/officeDocument/2006/relationships/worksheet" Target="/xl/worksheets/sheet4.xml" Id="R6a55fe0f9db448f4" /><Relationship Type="http://schemas.openxmlformats.org/officeDocument/2006/relationships/worksheet" Target="/xl/worksheets/sheet5.xml" Id="R93148875166f4cab" /><Relationship Type="http://schemas.openxmlformats.org/officeDocument/2006/relationships/worksheet" Target="/xl/worksheets/sheet6.xml" Id="R60872abc5f394e72" /><Relationship Type="http://schemas.openxmlformats.org/officeDocument/2006/relationships/worksheet" Target="/xl/worksheets/sheet7.xml" Id="R61448f2477694ae3" /><Relationship Type="http://schemas.openxmlformats.org/officeDocument/2006/relationships/worksheet" Target="/xl/worksheets/sheet8.xml" Id="Rbc6b4fc1119a4460" /><Relationship Type="http://schemas.openxmlformats.org/officeDocument/2006/relationships/worksheet" Target="/xl/worksheets/sheet9.xml" Id="Reeb593bc9a544c79" /><Relationship Type="http://schemas.openxmlformats.org/officeDocument/2006/relationships/worksheet" Target="/xl/worksheets/sheet10.xml" Id="Red1e156e975843c3" /><Relationship Type="http://schemas.openxmlformats.org/officeDocument/2006/relationships/worksheet" Target="/xl/worksheets/sheet11.xml" Id="R73076cfca5974836" /></Relationships>
</file>

<file path=xl/drawings/_rels/drawing1.xml.rels>&#65279;<?xml version="1.0" encoding="utf-8"?><Relationships xmlns="http://schemas.openxmlformats.org/package/2006/relationships"><Relationship Type="http://schemas.openxmlformats.org/officeDocument/2006/relationships/chart" Target="/xl/drawings/charts/chart1.xml" Id="R8daa730c863f4b8c"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Learning Experience Mix</a:t>
            </a:r>
          </a:p>
        </c:rich>
      </c:tx>
    </c:title>
    <c:plotArea>
      <c:pieChart>
        <c:ser>
          <c:idx val="0"/>
          <c:order val="0"/>
          <c:tx>
            <c:v>MINUTES</c:v>
          </c:tx>
          <c:cat>
            <c:strRef>
              <c:f>'DASHBOARD'!$D$4:$D$10</c:f>
              <c:strCache>
                <c:ptCount val="0"/>
              </c:strCache>
            </c:strRef>
          </c:cat>
          <c:val>
            <c:numRef>
              <c:f>'DASHBOARD'!$E$4:$E$10</c:f>
              <c:numCache>
                <c:formatCode>General</c:formatCode>
                <c:ptCount val="0"/>
              </c:numCache>
            </c:numRef>
          </c:val>
        </c:ser>
      </c:pieChart>
    </c:plotArea>
    <c:legend>
      <c:legendPos val="r"/>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10</xdr:row>
      <xdr:rowOff>0</xdr:rowOff>
    </xdr:from>
    <xdr:to>
      <xdr:col>12</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daa730c863f4b8c"/>
        </a:graphicData>
      </a:graphic>
    </xdr:graphicFrame>
    <xdr:clientData/>
  </xdr:twoCellAnchor>
</xdr:wsDr>
</file>

<file path=xl/tables/table1.xml><?xml version="1.0" encoding="utf-8"?>
<x:table xmlns:x="http://schemas.openxmlformats.org/spreadsheetml/2006/main" id="1" name="OutlineTable" displayName="OutlineTable" ref="A3:R43" headerRowCount="1" totalsRowCount="0" totalsRowShown="0">
  <x:tableColumns count="18">
    <x:tableColumn id="1" name="Segment #"/>
    <x:tableColumn id="2" name="Module / Step"/>
    <x:tableColumn id="3" name="Segment Title"/>
    <x:tableColumn id="4" name="Minutes"/>
    <x:tableColumn id="5" name="Segment Type"/>
    <x:tableColumn id="6" name="Learning Experience / Content"/>
    <x:tableColumn id="7" name="Objective ID"/>
    <x:tableColumn id="8" name="Participant Action / Output"/>
    <x:tableColumn id="9" name="Tool / Template"/>
    <x:tableColumn id="10" name="Assessment Type"/>
    <x:tableColumn id="11" name="Proprietary / Restricted?"/>
    <x:tableColumn id="12" name="AI Use / AI Lens?"/>
    <x:tableColumn id="13" name="Cumulative Min"/>
    <x:tableColumn id="14" name="Remaining Min"/>
    <x:tableColumn id="15" name="Timing QA"/>
    <x:tableColumn id="16" name="Alignment QA"/>
    <x:tableColumn id="17" name="Content QA"/>
    <x:tableColumn id="18"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4.xml.rels>&#65279;<?xml version="1.0" encoding="utf-8"?><Relationships xmlns="http://schemas.openxmlformats.org/package/2006/relationships"><Relationship Type="http://schemas.openxmlformats.org/officeDocument/2006/relationships/table" Target="/xl/tables/table1.xml" Id="R4c1bc556e4b54aca" /></Relationships>
</file>

<file path=xl/worksheets/_rels/sheet9.xml.rels>&#65279;<?xml version="1.0" encoding="utf-8"?><Relationships xmlns="http://schemas.openxmlformats.org/package/2006/relationships"><Relationship Type="http://schemas.openxmlformats.org/officeDocument/2006/relationships/drawing" Target="/xl/drawings/drawing1.xml" Id="R947039d25f8e4dec" /></Relationships>
</file>

<file path=xl/worksheets/sheet1.xml><?xml version="1.0" encoding="utf-8"?>
<x:worksheet xmlns:x="http://schemas.openxmlformats.org/spreadsheetml/2006/main">
  <x:sheetFormatPr defaultRowHeight="15"/>
  <x:cols>
    <x:col min="1" max="1" width="8" hidden="0" customWidth="1"/>
    <x:col min="2" max="2" width="20" hidden="0" customWidth="1"/>
    <x:col min="3" max="3" width="72" hidden="0" customWidth="1"/>
    <x:col min="5" max="5" width="18" hidden="0" customWidth="1"/>
    <x:col min="6" max="6" width="30" hidden="0" customWidth="1"/>
  </x:cols>
  <x:sheetData>
    <x:row r="1">
      <x:c r="A1" s="129" t="str">
        <x:v>Curriculum / Workshop QA &amp; Outline Builder</x:v>
      </x:c>
      <x:c r="B1" s="129"/>
      <x:c r="C1" s="129"/>
      <x:c r="D1" s="130"/>
      <x:c r="E1" s="130"/>
      <x:c r="F1" s="130"/>
      <x:c r="G1" s="130"/>
      <x:c r="H1" s="130"/>
      <x:c r="I1" s="83"/>
      <x:c r="J1" s="83"/>
      <x:c r="K1" s="83"/>
      <x:c r="L1" s="83"/>
      <x:c r="M1" s="83"/>
      <x:c r="N1" s="83"/>
      <x:c r="O1" s="83"/>
      <x:c r="P1" s="83"/>
      <x:c r="Q1" s="83"/>
      <x:c r="R1" s="83"/>
    </x:row>
    <x:row r="2">
      <x:c r="A2" s="83"/>
      <x:c r="B2" s="83"/>
      <x:c r="C2" s="83"/>
      <x:c r="D2" s="83"/>
      <x:c r="E2" s="83"/>
      <x:c r="F2" s="83"/>
      <x:c r="G2" s="83"/>
      <x:c r="H2" s="83"/>
      <x:c r="I2" s="83"/>
      <x:c r="J2" s="83"/>
      <x:c r="K2" s="83"/>
      <x:c r="L2" s="83"/>
      <x:c r="M2" s="83"/>
      <x:c r="N2" s="83"/>
      <x:c r="O2" s="83"/>
      <x:c r="P2" s="83"/>
      <x:c r="Q2" s="83"/>
      <x:c r="R2" s="83"/>
    </x:row>
    <x:row r="3">
      <x:c r="A3" s="84" t="str">
        <x:v>Minimal inputs → timed outline, alignment checks, participant materials, and publish-ready copy.</x:v>
      </x:c>
      <x:c r="B3" s="84"/>
      <x:c r="C3" s="84"/>
      <x:c r="D3" s="84"/>
      <x:c r="E3" s="84"/>
      <x:c r="F3" s="84"/>
      <x:c r="G3" s="84"/>
      <x:c r="H3" s="84"/>
      <x:c r="I3" s="83"/>
      <x:c r="J3" s="83"/>
      <x:c r="K3" s="83"/>
      <x:c r="L3" s="83"/>
      <x:c r="M3" s="83"/>
      <x:c r="N3" s="83"/>
      <x:c r="O3" s="83"/>
      <x:c r="P3" s="83"/>
      <x:c r="Q3" s="83"/>
      <x:c r="R3" s="83"/>
    </x:row>
    <x:row r="4">
      <x:c r="A4" s="83"/>
      <x:c r="B4" s="83"/>
      <x:c r="C4" s="83"/>
      <x:c r="D4" s="83"/>
      <x:c r="E4" s="83"/>
      <x:c r="F4" s="83"/>
      <x:c r="G4" s="83"/>
      <x:c r="H4" s="83"/>
      <x:c r="I4" s="83"/>
      <x:c r="J4" s="83"/>
      <x:c r="K4" s="83"/>
      <x:c r="L4" s="83"/>
      <x:c r="M4" s="83"/>
      <x:c r="N4" s="83"/>
      <x:c r="O4" s="83"/>
      <x:c r="P4" s="83"/>
      <x:c r="Q4" s="83"/>
      <x:c r="R4" s="83"/>
    </x:row>
    <x:row r="5">
      <x:c r="A5" s="85" t="str">
        <x:v>STEP</x:v>
      </x:c>
      <x:c r="B5" s="85" t="str">
        <x:v>SHEET</x:v>
      </x:c>
      <x:c r="C5" s="85" t="str">
        <x:v>WHAT YOU DO</x:v>
      </x:c>
      <x:c r="D5" s="83"/>
      <x:c r="E5" s="85" t="str">
        <x:v>LABEL</x:v>
      </x:c>
      <x:c r="F5" s="85" t="str">
        <x:v>MEANING</x:v>
      </x:c>
      <x:c r="G5" s="83"/>
      <x:c r="H5" s="83"/>
      <x:c r="I5" s="83"/>
      <x:c r="J5" s="83"/>
      <x:c r="K5" s="83"/>
      <x:c r="L5" s="83"/>
      <x:c r="M5" s="83"/>
      <x:c r="N5" s="83"/>
      <x:c r="O5" s="83"/>
      <x:c r="P5" s="83"/>
      <x:c r="Q5" s="83"/>
      <x:c r="R5" s="83"/>
    </x:row>
    <x:row r="6">
      <x:c r="A6" s="83" t="str">
        <x:v>1</x:v>
      </x:c>
      <x:c r="B6" s="83" t="str">
        <x:v>SETUP</x:v>
      </x:c>
      <x:c r="C6" s="83" t="str">
        <x:v>Enter the title, format, delivery mode, audience, description, benefits, and target duration.</x:v>
      </x:c>
      <x:c r="D6" s="83"/>
      <x:c r="E6" s="86" t="str">
        <x:v>INPUT</x:v>
      </x:c>
      <x:c r="F6" s="87" t="str">
        <x:v>You enter this</x:v>
      </x:c>
      <x:c r="G6" s="83"/>
      <x:c r="H6" s="83"/>
      <x:c r="I6" s="83"/>
      <x:c r="J6" s="83"/>
      <x:c r="K6" s="83"/>
      <x:c r="L6" s="83"/>
      <x:c r="M6" s="83"/>
      <x:c r="N6" s="83"/>
      <x:c r="O6" s="83"/>
      <x:c r="P6" s="83"/>
      <x:c r="Q6" s="83"/>
      <x:c r="R6" s="83"/>
    </x:row>
    <x:row r="7">
      <x:c r="A7" s="83" t="str">
        <x:v>2</x:v>
      </x:c>
      <x:c r="B7" s="83" t="str">
        <x:v>OBJECTIVES</x:v>
      </x:c>
      <x:c r="C7" s="83" t="str">
        <x:v>Enter the skill/outcome once. The objective text is assembled automatically and alignment counts populate later.</x:v>
      </x:c>
      <x:c r="D7" s="83"/>
      <x:c r="E7" s="88" t="str">
        <x:v>AUTO</x:v>
      </x:c>
      <x:c r="F7" s="89" t="str">
        <x:v>Calculated for you</x:v>
      </x:c>
      <x:c r="G7" s="83"/>
      <x:c r="H7" s="83"/>
      <x:c r="I7" s="83"/>
      <x:c r="J7" s="83"/>
      <x:c r="K7" s="83"/>
      <x:c r="L7" s="83"/>
      <x:c r="M7" s="83"/>
      <x:c r="N7" s="83"/>
      <x:c r="O7" s="83"/>
      <x:c r="P7" s="83"/>
      <x:c r="Q7" s="83"/>
      <x:c r="R7" s="83"/>
    </x:row>
    <x:row r="8">
      <x:c r="A8" s="83" t="str">
        <x:v>3</x:v>
      </x:c>
      <x:c r="B8" s="83" t="str">
        <x:v>OUTLINE</x:v>
      </x:c>
      <x:c r="C8" s="83" t="str">
        <x:v>Enter module/segment content and minutes. Running time, remaining minutes, timing status, objective coverage, and QA flags calculate automatically.</x:v>
      </x:c>
      <x:c r="D8" s="83"/>
      <x:c r="E8" s="90" t="str">
        <x:v>OPTIONAL</x:v>
      </x:c>
      <x:c r="F8" s="91" t="str">
        <x:v>Helpful, not required</x:v>
      </x:c>
      <x:c r="G8" s="83"/>
      <x:c r="H8" s="83"/>
      <x:c r="I8" s="83"/>
      <x:c r="J8" s="83"/>
      <x:c r="K8" s="83"/>
      <x:c r="L8" s="83"/>
      <x:c r="M8" s="83"/>
      <x:c r="N8" s="83"/>
      <x:c r="O8" s="83"/>
      <x:c r="P8" s="83"/>
      <x:c r="Q8" s="83"/>
      <x:c r="R8" s="83"/>
    </x:row>
    <x:row r="9">
      <x:c r="A9" s="83" t="str">
        <x:v>4</x:v>
      </x:c>
      <x:c r="B9" s="83" t="str">
        <x:v>ALIGNMENT</x:v>
      </x:c>
      <x:c r="C9" s="83" t="str">
        <x:v>See objective → instruction → practice → assessment coverage without rebuilding a matrix by hand.</x:v>
      </x:c>
      <x:c r="D9" s="83"/>
      <x:c r="E9" s="92" t="str">
        <x:v>ACTION NEEDED</x:v>
      </x:c>
      <x:c r="F9" s="93" t="str">
        <x:v>Review / fix</x:v>
      </x:c>
      <x:c r="G9" s="83"/>
      <x:c r="H9" s="83"/>
      <x:c r="I9" s="83"/>
      <x:c r="J9" s="83"/>
      <x:c r="K9" s="83"/>
      <x:c r="L9" s="83"/>
      <x:c r="M9" s="83"/>
      <x:c r="N9" s="83"/>
      <x:c r="O9" s="83"/>
      <x:c r="P9" s="83"/>
      <x:c r="Q9" s="83"/>
      <x:c r="R9" s="83"/>
    </x:row>
    <x:row r="10">
      <x:c r="A10" s="83" t="str">
        <x:v>5</x:v>
      </x:c>
      <x:c r="B10" s="83" t="str">
        <x:v>MATERIALS</x:v>
      </x:c>
      <x:c r="C10" s="83" t="str">
        <x:v>Plan participant tools/templates and ensure each has instructions, a purpose, and a participant output.</x:v>
      </x:c>
      <x:c r="D10" s="83"/>
      <x:c r="E10" s="83"/>
      <x:c r="F10" s="83"/>
      <x:c r="G10" s="83"/>
      <x:c r="H10" s="83"/>
      <x:c r="I10" s="83"/>
      <x:c r="J10" s="83"/>
      <x:c r="K10" s="83"/>
      <x:c r="L10" s="83"/>
      <x:c r="M10" s="83"/>
      <x:c r="N10" s="83"/>
      <x:c r="O10" s="83"/>
      <x:c r="P10" s="83"/>
      <x:c r="Q10" s="83"/>
      <x:c r="R10" s="83"/>
    </x:row>
    <x:row r="11">
      <x:c r="A11" s="83" t="str">
        <x:v>6</x:v>
      </x:c>
      <x:c r="B11" s="83" t="str">
        <x:v>QA CHECKS</x:v>
      </x:c>
      <x:c r="C11" s="83" t="str">
        <x:v>Review timing, alignment, breaks, assessments, proprietary-tool disclosures, accessibility, and publication readiness.</x:v>
      </x:c>
      <x:c r="D11" s="83"/>
      <x:c r="E11" s="94" t="str">
        <x:v>Design principle</x:v>
      </x:c>
      <x:c r="F11" s="94"/>
      <x:c r="G11" s="94"/>
      <x:c r="H11" s="94"/>
      <x:c r="I11" s="83"/>
      <x:c r="J11" s="83"/>
      <x:c r="K11" s="83"/>
      <x:c r="L11" s="83"/>
      <x:c r="M11" s="83"/>
      <x:c r="N11" s="83"/>
      <x:c r="O11" s="83"/>
      <x:c r="P11" s="83"/>
      <x:c r="Q11" s="83"/>
      <x:c r="R11" s="83"/>
    </x:row>
    <x:row r="12">
      <x:c r="A12" s="83" t="str">
        <x:v>7</x:v>
      </x:c>
      <x:c r="B12" s="83" t="str">
        <x:v>PUBLISH READY</x:v>
      </x:c>
      <x:c r="C12" s="83" t="str">
        <x:v>Copy clean title, description, audience, benefits, objectives, and outline text into a CMS or proposal.</x:v>
      </x:c>
      <x:c r="D12" s="83"/>
      <x:c r="E12" s="95" t="str">
        <x:v>Participants or instructors should never have to infer where to type, manually total timing, or reconstruct alignment. Editable fields are labeled, formulas do the repetitive work, and QA flags explain what needs attention. The tool is format-agnostic and uses synthetic/public-safe examples only.</x:v>
      </x:c>
      <x:c r="F12" s="95"/>
      <x:c r="G12" s="95"/>
      <x:c r="H12" s="95"/>
      <x:c r="I12" s="83"/>
      <x:c r="J12" s="83"/>
      <x:c r="K12" s="83"/>
      <x:c r="L12" s="83"/>
      <x:c r="M12" s="83"/>
      <x:c r="N12" s="83"/>
      <x:c r="O12" s="83"/>
      <x:c r="P12" s="83"/>
      <x:c r="Q12" s="83"/>
      <x:c r="R12" s="83"/>
    </x:row>
    <x:row r="13">
      <x:c r="A13" s="83" t="str">
        <x:v>8</x:v>
      </x:c>
      <x:c r="B13" s="83" t="str">
        <x:v>DASHBOARD</x:v>
      </x:c>
      <x:c r="C13" s="83" t="str">
        <x:v>Use one screen to see whether the workshop is ready and what still needs attention.</x:v>
      </x:c>
      <x:c r="D13" s="83"/>
      <x:c r="E13" s="95"/>
      <x:c r="F13" s="95"/>
      <x:c r="G13" s="95"/>
      <x:c r="H13" s="95"/>
      <x:c r="I13" s="83"/>
      <x:c r="J13" s="83"/>
      <x:c r="K13" s="83"/>
      <x:c r="L13" s="83"/>
      <x:c r="M13" s="83"/>
      <x:c r="N13" s="83"/>
      <x:c r="O13" s="83"/>
      <x:c r="P13" s="83"/>
      <x:c r="Q13" s="83"/>
      <x:c r="R13" s="83"/>
    </x:row>
    <x:row r="14">
      <x:c r="A14" s="83" t="str">
        <x:v>9</x:v>
      </x:c>
      <x:c r="B14" s="83" t="str">
        <x:v>EXAMPLE</x:v>
      </x:c>
      <x:c r="C14" s="83" t="str">
        <x:v>A synthetic 60-minute example shows the intended workflow.</x:v>
      </x:c>
      <x:c r="D14" s="83"/>
      <x:c r="E14" s="95"/>
      <x:c r="F14" s="95"/>
      <x:c r="G14" s="95"/>
      <x:c r="H14" s="95"/>
      <x:c r="I14" s="83"/>
      <x:c r="J14" s="83"/>
      <x:c r="K14" s="83"/>
      <x:c r="L14" s="83"/>
      <x:c r="M14" s="83"/>
      <x:c r="N14" s="83"/>
      <x:c r="O14" s="83"/>
      <x:c r="P14" s="83"/>
      <x:c r="Q14" s="83"/>
      <x:c r="R14" s="83"/>
    </x:row>
    <x:row r="15">
      <x:c r="A15" s="83"/>
      <x:c r="B15" s="83"/>
      <x:c r="C15" s="83"/>
      <x:c r="D15" s="83"/>
      <x:c r="E15" s="95"/>
      <x:c r="F15" s="95"/>
      <x:c r="G15" s="95"/>
      <x:c r="H15" s="95"/>
      <x:c r="I15" s="83"/>
      <x:c r="J15" s="83"/>
      <x:c r="K15" s="83"/>
      <x:c r="L15" s="83"/>
      <x:c r="M15" s="83"/>
      <x:c r="N15" s="83"/>
      <x:c r="O15" s="83"/>
      <x:c r="P15" s="83"/>
      <x:c r="Q15" s="83"/>
      <x:c r="R15" s="83"/>
    </x:row>
    <x:row r="16">
      <x:c r="A16" s="83"/>
      <x:c r="B16" s="83"/>
      <x:c r="C16" s="83"/>
      <x:c r="D16" s="83"/>
      <x:c r="E16" s="95"/>
      <x:c r="F16" s="95"/>
      <x:c r="G16" s="95"/>
      <x:c r="H16" s="95"/>
      <x:c r="I16" s="83"/>
      <x:c r="J16" s="83"/>
      <x:c r="K16" s="83"/>
      <x:c r="L16" s="83"/>
      <x:c r="M16" s="83"/>
      <x:c r="N16" s="83"/>
      <x:c r="O16" s="83"/>
      <x:c r="P16" s="83"/>
      <x:c r="Q16" s="83"/>
      <x:c r="R16" s="83"/>
    </x:row>
    <x:row r="17">
      <x:c r="A17" s="83"/>
      <x:c r="B17" s="83"/>
      <x:c r="C17" s="83"/>
      <x:c r="D17" s="83"/>
      <x:c r="E17" s="95"/>
      <x:c r="F17" s="95"/>
      <x:c r="G17" s="95"/>
      <x:c r="H17" s="95"/>
      <x:c r="I17" s="83"/>
      <x:c r="J17" s="83"/>
      <x:c r="K17" s="83"/>
      <x:c r="L17" s="83"/>
      <x:c r="M17" s="83"/>
      <x:c r="N17" s="83"/>
      <x:c r="O17" s="83"/>
      <x:c r="P17" s="83"/>
      <x:c r="Q17" s="83"/>
      <x:c r="R17" s="83"/>
    </x:row>
    <x:row r="18">
      <x:c r="A18" s="83"/>
      <x:c r="B18" s="83"/>
      <x:c r="C18" s="83"/>
      <x:c r="D18" s="83"/>
      <x:c r="E18" s="83"/>
      <x:c r="F18" s="83"/>
      <x:c r="G18" s="83"/>
      <x:c r="H18" s="83"/>
      <x:c r="I18" s="83"/>
      <x:c r="J18" s="83"/>
      <x:c r="K18" s="83"/>
      <x:c r="L18" s="83"/>
      <x:c r="M18" s="83"/>
      <x:c r="N18" s="83"/>
      <x:c r="O18" s="83"/>
      <x:c r="P18" s="83"/>
      <x:c r="Q18" s="83"/>
      <x:c r="R18" s="83"/>
    </x:row>
    <x:row r="19">
      <x:c r="A19" s="83"/>
      <x:c r="B19" s="83"/>
      <x:c r="C19" s="83"/>
      <x:c r="D19" s="83"/>
      <x:c r="E19" s="83"/>
      <x:c r="F19" s="83"/>
      <x:c r="G19" s="83"/>
      <x:c r="H19" s="83"/>
      <x:c r="I19" s="83"/>
      <x:c r="J19" s="83"/>
      <x:c r="K19" s="83"/>
      <x:c r="L19" s="83"/>
      <x:c r="M19" s="83"/>
      <x:c r="N19" s="83"/>
      <x:c r="O19" s="83"/>
      <x:c r="P19" s="83"/>
      <x:c r="Q19" s="83"/>
      <x:c r="R19" s="83"/>
    </x:row>
    <x:row r="20">
      <x:c r="A20" s="83"/>
      <x:c r="B20" s="83"/>
      <x:c r="C20" s="83"/>
      <x:c r="D20" s="83"/>
      <x:c r="E20" s="83"/>
      <x:c r="F20" s="83"/>
      <x:c r="G20" s="83"/>
      <x:c r="H20" s="83"/>
      <x:c r="I20" s="83"/>
      <x:c r="J20" s="83"/>
      <x:c r="K20" s="83"/>
      <x:c r="L20" s="83"/>
      <x:c r="M20" s="83"/>
      <x:c r="N20" s="83"/>
      <x:c r="O20" s="83"/>
      <x:c r="P20" s="83"/>
      <x:c r="Q20" s="83"/>
      <x:c r="R20" s="83"/>
    </x:row>
    <x:row r="21">
      <x:c r="A21" s="83"/>
      <x:c r="B21" s="83"/>
      <x:c r="C21" s="83"/>
      <x:c r="D21" s="83"/>
      <x:c r="E21" s="83"/>
      <x:c r="F21" s="83"/>
      <x:c r="G21" s="83"/>
      <x:c r="H21" s="83"/>
      <x:c r="I21" s="83"/>
      <x:c r="J21" s="83"/>
      <x:c r="K21" s="83"/>
      <x:c r="L21" s="83"/>
      <x:c r="M21" s="83"/>
      <x:c r="N21" s="83"/>
      <x:c r="O21" s="83"/>
      <x:c r="P21" s="83"/>
      <x:c r="Q21" s="83"/>
      <x:c r="R21" s="83"/>
    </x:row>
    <x:row r="22">
      <x:c r="A22" s="83"/>
      <x:c r="B22" s="83"/>
      <x:c r="C22" s="83"/>
      <x:c r="D22" s="83"/>
      <x:c r="E22" s="83"/>
      <x:c r="F22" s="83"/>
      <x:c r="G22" s="83"/>
      <x:c r="H22" s="83"/>
      <x:c r="I22" s="83"/>
      <x:c r="J22" s="83"/>
      <x:c r="K22" s="83"/>
      <x:c r="L22" s="83"/>
      <x:c r="M22" s="83"/>
      <x:c r="N22" s="83"/>
      <x:c r="O22" s="83"/>
      <x:c r="P22" s="83"/>
      <x:c r="Q22" s="83"/>
      <x:c r="R22" s="83"/>
    </x:row>
    <x:row r="23">
      <x:c r="A23" s="83"/>
      <x:c r="B23" s="83"/>
      <x:c r="C23" s="83"/>
      <x:c r="D23" s="83"/>
      <x:c r="E23" s="83"/>
      <x:c r="F23" s="83"/>
      <x:c r="G23" s="83"/>
      <x:c r="H23" s="83"/>
      <x:c r="I23" s="83"/>
      <x:c r="J23" s="83"/>
      <x:c r="K23" s="83"/>
      <x:c r="L23" s="83"/>
      <x:c r="M23" s="83"/>
      <x:c r="N23" s="83"/>
      <x:c r="O23" s="83"/>
      <x:c r="P23" s="83"/>
      <x:c r="Q23" s="83"/>
      <x:c r="R23" s="83"/>
    </x:row>
    <x:row r="24">
      <x:c r="A24" s="83"/>
      <x:c r="B24" s="83"/>
      <x:c r="C24" s="83"/>
      <x:c r="D24" s="83"/>
      <x:c r="E24" s="83"/>
      <x:c r="F24" s="83"/>
      <x:c r="G24" s="83"/>
      <x:c r="H24" s="83"/>
      <x:c r="I24" s="83"/>
      <x:c r="J24" s="83"/>
      <x:c r="K24" s="83"/>
      <x:c r="L24" s="83"/>
      <x:c r="M24" s="83"/>
      <x:c r="N24" s="83"/>
      <x:c r="O24" s="83"/>
      <x:c r="P24" s="83"/>
      <x:c r="Q24" s="83"/>
      <x:c r="R24" s="83"/>
    </x:row>
    <x:row r="25">
      <x:c r="A25" s="83"/>
      <x:c r="B25" s="83"/>
      <x:c r="C25" s="83"/>
      <x:c r="D25" s="83"/>
      <x:c r="E25" s="83"/>
      <x:c r="F25" s="83"/>
      <x:c r="G25" s="83"/>
      <x:c r="H25" s="83"/>
      <x:c r="I25" s="83"/>
      <x:c r="J25" s="83"/>
      <x:c r="K25" s="83"/>
      <x:c r="L25" s="83"/>
      <x:c r="M25" s="83"/>
      <x:c r="N25" s="83"/>
      <x:c r="O25" s="83"/>
      <x:c r="P25" s="83"/>
      <x:c r="Q25" s="83"/>
      <x:c r="R25" s="83"/>
    </x:row>
    <x:row r="26">
      <x:c r="A26" s="83"/>
      <x:c r="B26" s="83"/>
      <x:c r="C26" s="83"/>
      <x:c r="D26" s="83"/>
      <x:c r="E26" s="83"/>
      <x:c r="F26" s="83"/>
      <x:c r="G26" s="83"/>
      <x:c r="H26" s="83"/>
      <x:c r="I26" s="83"/>
      <x:c r="J26" s="83"/>
      <x:c r="K26" s="83"/>
      <x:c r="L26" s="83"/>
      <x:c r="M26" s="83"/>
      <x:c r="N26" s="83"/>
      <x:c r="O26" s="83"/>
      <x:c r="P26" s="83"/>
      <x:c r="Q26" s="83"/>
      <x:c r="R26" s="83"/>
    </x:row>
    <x:row r="27">
      <x:c r="A27" s="83"/>
      <x:c r="B27" s="83"/>
      <x:c r="C27" s="83"/>
      <x:c r="D27" s="83"/>
      <x:c r="E27" s="83"/>
      <x:c r="F27" s="83"/>
      <x:c r="G27" s="83"/>
      <x:c r="H27" s="83"/>
      <x:c r="I27" s="83"/>
      <x:c r="J27" s="83"/>
      <x:c r="K27" s="83"/>
      <x:c r="L27" s="83"/>
      <x:c r="M27" s="83"/>
      <x:c r="N27" s="83"/>
      <x:c r="O27" s="83"/>
      <x:c r="P27" s="83"/>
      <x:c r="Q27" s="83"/>
      <x:c r="R27" s="83"/>
    </x:row>
    <x:row r="28">
      <x:c r="A28" s="83"/>
      <x:c r="B28" s="83"/>
      <x:c r="C28" s="83"/>
      <x:c r="D28" s="83"/>
      <x:c r="E28" s="83"/>
      <x:c r="F28" s="83"/>
      <x:c r="G28" s="83"/>
      <x:c r="H28" s="83"/>
      <x:c r="I28" s="83"/>
      <x:c r="J28" s="83"/>
      <x:c r="K28" s="83"/>
      <x:c r="L28" s="83"/>
      <x:c r="M28" s="83"/>
      <x:c r="N28" s="83"/>
      <x:c r="O28" s="83"/>
      <x:c r="P28" s="83"/>
      <x:c r="Q28" s="83"/>
      <x:c r="R28" s="83"/>
    </x:row>
    <x:row r="29">
      <x:c r="A29" s="83"/>
      <x:c r="B29" s="83"/>
      <x:c r="C29" s="83"/>
      <x:c r="D29" s="83"/>
      <x:c r="E29" s="83"/>
      <x:c r="F29" s="83"/>
      <x:c r="G29" s="83"/>
      <x:c r="H29" s="83"/>
      <x:c r="I29" s="83"/>
      <x:c r="J29" s="83"/>
      <x:c r="K29" s="83"/>
      <x:c r="L29" s="83"/>
      <x:c r="M29" s="83"/>
      <x:c r="N29" s="83"/>
      <x:c r="O29" s="83"/>
      <x:c r="P29" s="83"/>
      <x:c r="Q29" s="83"/>
      <x:c r="R29" s="83"/>
    </x:row>
    <x:row r="30">
      <x:c r="A30" s="83"/>
      <x:c r="B30" s="83"/>
      <x:c r="C30" s="83"/>
      <x:c r="D30" s="83"/>
      <x:c r="E30" s="83"/>
      <x:c r="F30" s="83"/>
      <x:c r="G30" s="83"/>
      <x:c r="H30" s="83"/>
      <x:c r="I30" s="83"/>
      <x:c r="J30" s="83"/>
      <x:c r="K30" s="83"/>
      <x:c r="L30" s="83"/>
      <x:c r="M30" s="83"/>
      <x:c r="N30" s="83"/>
      <x:c r="O30" s="83"/>
      <x:c r="P30" s="83"/>
      <x:c r="Q30" s="83"/>
      <x:c r="R30" s="83"/>
    </x:row>
    <x:row r="31">
      <x:c r="A31" s="83"/>
      <x:c r="B31" s="83"/>
      <x:c r="C31" s="83"/>
      <x:c r="D31" s="83"/>
      <x:c r="E31" s="83"/>
      <x:c r="F31" s="83"/>
      <x:c r="G31" s="83"/>
      <x:c r="H31" s="83"/>
      <x:c r="I31" s="83"/>
      <x:c r="J31" s="83"/>
      <x:c r="K31" s="83"/>
      <x:c r="L31" s="83"/>
      <x:c r="M31" s="83"/>
      <x:c r="N31" s="83"/>
      <x:c r="O31" s="83"/>
      <x:c r="P31" s="83"/>
      <x:c r="Q31" s="83"/>
      <x:c r="R31" s="83"/>
    </x:row>
    <x:row r="32">
      <x:c r="A32" s="83"/>
      <x:c r="B32" s="83"/>
      <x:c r="C32" s="83"/>
      <x:c r="D32" s="83"/>
      <x:c r="E32" s="83"/>
      <x:c r="F32" s="83"/>
      <x:c r="G32" s="83"/>
      <x:c r="H32" s="83"/>
      <x:c r="I32" s="83"/>
      <x:c r="J32" s="83"/>
      <x:c r="K32" s="83"/>
      <x:c r="L32" s="83"/>
      <x:c r="M32" s="83"/>
      <x:c r="N32" s="83"/>
      <x:c r="O32" s="83"/>
      <x:c r="P32" s="83"/>
      <x:c r="Q32" s="83"/>
      <x:c r="R32" s="83"/>
    </x:row>
    <x:row r="33">
      <x:c r="A33" s="83"/>
      <x:c r="B33" s="83"/>
      <x:c r="C33" s="83"/>
      <x:c r="D33" s="83"/>
      <x:c r="E33" s="83"/>
      <x:c r="F33" s="83"/>
      <x:c r="G33" s="83"/>
      <x:c r="H33" s="83"/>
      <x:c r="I33" s="83"/>
      <x:c r="J33" s="83"/>
      <x:c r="K33" s="83"/>
      <x:c r="L33" s="83"/>
      <x:c r="M33" s="83"/>
      <x:c r="N33" s="83"/>
      <x:c r="O33" s="83"/>
      <x:c r="P33" s="83"/>
      <x:c r="Q33" s="83"/>
      <x:c r="R33" s="83"/>
    </x:row>
    <x:row r="34">
      <x:c r="A34" s="83"/>
      <x:c r="B34" s="83"/>
      <x:c r="C34" s="83"/>
      <x:c r="D34" s="83"/>
      <x:c r="E34" s="83"/>
      <x:c r="F34" s="83"/>
      <x:c r="G34" s="83"/>
      <x:c r="H34" s="83"/>
      <x:c r="I34" s="83"/>
      <x:c r="J34" s="83"/>
      <x:c r="K34" s="83"/>
      <x:c r="L34" s="83"/>
      <x:c r="M34" s="83"/>
      <x:c r="N34" s="83"/>
      <x:c r="O34" s="83"/>
      <x:c r="P34" s="83"/>
      <x:c r="Q34" s="83"/>
      <x:c r="R34" s="83"/>
    </x:row>
    <x:row r="35">
      <x:c r="A35" s="83"/>
      <x:c r="B35" s="83"/>
      <x:c r="C35" s="83"/>
      <x:c r="D35" s="83"/>
      <x:c r="E35" s="83"/>
      <x:c r="F35" s="83"/>
      <x:c r="G35" s="83"/>
      <x:c r="H35" s="83"/>
      <x:c r="I35" s="83"/>
      <x:c r="J35" s="83"/>
      <x:c r="K35" s="83"/>
      <x:c r="L35" s="83"/>
      <x:c r="M35" s="83"/>
      <x:c r="N35" s="83"/>
      <x:c r="O35" s="83"/>
      <x:c r="P35" s="83"/>
      <x:c r="Q35" s="83"/>
      <x:c r="R35" s="83"/>
    </x:row>
    <x:row r="36">
      <x:c r="A36" s="83"/>
      <x:c r="B36" s="83"/>
      <x:c r="C36" s="83"/>
      <x:c r="D36" s="83"/>
      <x:c r="E36" s="83"/>
      <x:c r="F36" s="83"/>
      <x:c r="G36" s="83"/>
      <x:c r="H36" s="83"/>
      <x:c r="I36" s="83"/>
      <x:c r="J36" s="83"/>
      <x:c r="K36" s="83"/>
      <x:c r="L36" s="83"/>
      <x:c r="M36" s="83"/>
      <x:c r="N36" s="83"/>
      <x:c r="O36" s="83"/>
      <x:c r="P36" s="83"/>
      <x:c r="Q36" s="83"/>
      <x:c r="R36" s="83"/>
    </x:row>
    <x:row r="37">
      <x:c r="A37" s="83"/>
      <x:c r="B37" s="83"/>
      <x:c r="C37" s="83"/>
      <x:c r="D37" s="83"/>
      <x:c r="E37" s="83"/>
      <x:c r="F37" s="83"/>
      <x:c r="G37" s="83"/>
      <x:c r="H37" s="83"/>
      <x:c r="I37" s="83"/>
      <x:c r="J37" s="83"/>
      <x:c r="K37" s="83"/>
      <x:c r="L37" s="83"/>
      <x:c r="M37" s="83"/>
      <x:c r="N37" s="83"/>
      <x:c r="O37" s="83"/>
      <x:c r="P37" s="83"/>
      <x:c r="Q37" s="83"/>
      <x:c r="R37" s="83"/>
    </x:row>
    <x:row r="38">
      <x:c r="A38" s="83"/>
      <x:c r="B38" s="83"/>
      <x:c r="C38" s="83"/>
      <x:c r="D38" s="83"/>
      <x:c r="E38" s="83"/>
      <x:c r="F38" s="83"/>
      <x:c r="G38" s="83"/>
      <x:c r="H38" s="83"/>
      <x:c r="I38" s="83"/>
      <x:c r="J38" s="83"/>
      <x:c r="K38" s="83"/>
      <x:c r="L38" s="83"/>
      <x:c r="M38" s="83"/>
      <x:c r="N38" s="83"/>
      <x:c r="O38" s="83"/>
      <x:c r="P38" s="83"/>
      <x:c r="Q38" s="83"/>
      <x:c r="R38" s="83"/>
    </x:row>
    <x:row r="39">
      <x:c r="A39" s="83"/>
      <x:c r="B39" s="83"/>
      <x:c r="C39" s="83"/>
      <x:c r="D39" s="83"/>
      <x:c r="E39" s="83"/>
      <x:c r="F39" s="83"/>
      <x:c r="G39" s="83"/>
      <x:c r="H39" s="83"/>
      <x:c r="I39" s="83"/>
      <x:c r="J39" s="83"/>
      <x:c r="K39" s="83"/>
      <x:c r="L39" s="83"/>
      <x:c r="M39" s="83"/>
      <x:c r="N39" s="83"/>
      <x:c r="O39" s="83"/>
      <x:c r="P39" s="83"/>
      <x:c r="Q39" s="83"/>
      <x:c r="R39" s="83"/>
    </x:row>
    <x:row r="40">
      <x:c r="A40" s="83"/>
      <x:c r="B40" s="83"/>
      <x:c r="C40" s="83"/>
      <x:c r="D40" s="83"/>
      <x:c r="E40" s="83"/>
      <x:c r="F40" s="83"/>
      <x:c r="G40" s="83"/>
      <x:c r="H40" s="83"/>
      <x:c r="I40" s="83"/>
      <x:c r="J40" s="83"/>
      <x:c r="K40" s="83"/>
      <x:c r="L40" s="83"/>
      <x:c r="M40" s="83"/>
      <x:c r="N40" s="83"/>
      <x:c r="O40" s="83"/>
      <x:c r="P40" s="83"/>
      <x:c r="Q40" s="83"/>
      <x:c r="R40" s="83"/>
    </x:row>
    <x:row r="41">
      <x:c r="A41" s="83"/>
      <x:c r="B41" s="83"/>
      <x:c r="C41" s="83"/>
      <x:c r="D41" s="83"/>
      <x:c r="E41" s="83"/>
      <x:c r="F41" s="83"/>
      <x:c r="G41" s="83"/>
      <x:c r="H41" s="83"/>
      <x:c r="I41" s="83"/>
      <x:c r="J41" s="83"/>
      <x:c r="K41" s="83"/>
      <x:c r="L41" s="83"/>
      <x:c r="M41" s="83"/>
      <x:c r="N41" s="83"/>
      <x:c r="O41" s="83"/>
      <x:c r="P41" s="83"/>
      <x:c r="Q41" s="83"/>
      <x:c r="R41" s="83"/>
    </x:row>
    <x:row r="42">
      <x:c r="A42" s="83"/>
      <x:c r="B42" s="83"/>
      <x:c r="C42" s="83"/>
      <x:c r="D42" s="83"/>
      <x:c r="E42" s="83"/>
      <x:c r="F42" s="83"/>
      <x:c r="G42" s="83"/>
      <x:c r="H42" s="83"/>
      <x:c r="I42" s="83"/>
      <x:c r="J42" s="83"/>
      <x:c r="K42" s="83"/>
      <x:c r="L42" s="83"/>
      <x:c r="M42" s="83"/>
      <x:c r="N42" s="83"/>
      <x:c r="O42" s="83"/>
      <x:c r="P42" s="83"/>
      <x:c r="Q42" s="83"/>
      <x:c r="R42" s="83"/>
    </x:row>
    <x:row r="43">
      <x:c r="A43" s="83"/>
      <x:c r="B43" s="83"/>
      <x:c r="C43" s="83"/>
      <x:c r="D43" s="83"/>
      <x:c r="E43" s="83"/>
      <x:c r="F43" s="83"/>
      <x:c r="G43" s="83"/>
      <x:c r="H43" s="83"/>
      <x:c r="I43" s="83"/>
      <x:c r="J43" s="83"/>
      <x:c r="K43" s="83"/>
      <x:c r="L43" s="83"/>
      <x:c r="M43" s="83"/>
      <x:c r="N43" s="83"/>
      <x:c r="O43" s="83"/>
      <x:c r="P43" s="83"/>
      <x:c r="Q43" s="83"/>
      <x:c r="R43" s="83"/>
    </x:row>
    <x:row r="44">
      <x:c r="A44" s="83"/>
      <x:c r="B44" s="83"/>
      <x:c r="C44" s="83"/>
      <x:c r="D44" s="83"/>
      <x:c r="E44" s="83"/>
      <x:c r="F44" s="83"/>
      <x:c r="G44" s="83"/>
      <x:c r="H44" s="83"/>
      <x:c r="I44" s="83"/>
      <x:c r="J44" s="83"/>
      <x:c r="K44" s="83"/>
      <x:c r="L44" s="83"/>
      <x:c r="M44" s="83"/>
      <x:c r="N44" s="83"/>
      <x:c r="O44" s="83"/>
      <x:c r="P44" s="83"/>
      <x:c r="Q44" s="83"/>
      <x:c r="R44" s="83"/>
    </x:row>
    <x:row r="45">
      <x:c r="A45" s="83"/>
      <x:c r="B45" s="83"/>
      <x:c r="C45" s="83"/>
      <x:c r="D45" s="83"/>
      <x:c r="E45" s="83"/>
      <x:c r="F45" s="83"/>
      <x:c r="G45" s="83"/>
      <x:c r="H45" s="83"/>
      <x:c r="I45" s="83"/>
      <x:c r="J45" s="83"/>
      <x:c r="K45" s="83"/>
      <x:c r="L45" s="83"/>
      <x:c r="M45" s="83"/>
      <x:c r="N45" s="83"/>
      <x:c r="O45" s="83"/>
      <x:c r="P45" s="83"/>
      <x:c r="Q45" s="83"/>
      <x:c r="R45" s="83"/>
    </x:row>
    <x:row r="46">
      <x:c r="A46" s="83"/>
      <x:c r="B46" s="83"/>
      <x:c r="C46" s="83"/>
      <x:c r="D46" s="83"/>
      <x:c r="E46" s="83"/>
      <x:c r="F46" s="83"/>
      <x:c r="G46" s="83"/>
      <x:c r="H46" s="83"/>
      <x:c r="I46" s="83"/>
      <x:c r="J46" s="83"/>
      <x:c r="K46" s="83"/>
      <x:c r="L46" s="83"/>
      <x:c r="M46" s="83"/>
      <x:c r="N46" s="83"/>
      <x:c r="O46" s="83"/>
      <x:c r="P46" s="83"/>
      <x:c r="Q46" s="83"/>
      <x:c r="R46" s="83"/>
    </x:row>
    <x:row r="47">
      <x:c r="A47" s="83"/>
      <x:c r="B47" s="83"/>
      <x:c r="C47" s="83"/>
      <x:c r="D47" s="83"/>
      <x:c r="E47" s="83"/>
      <x:c r="F47" s="83"/>
      <x:c r="G47" s="83"/>
      <x:c r="H47" s="83"/>
      <x:c r="I47" s="83"/>
      <x:c r="J47" s="83"/>
      <x:c r="K47" s="83"/>
      <x:c r="L47" s="83"/>
      <x:c r="M47" s="83"/>
      <x:c r="N47" s="83"/>
      <x:c r="O47" s="83"/>
      <x:c r="P47" s="83"/>
      <x:c r="Q47" s="83"/>
      <x:c r="R47" s="83"/>
    </x:row>
    <x:row r="48">
      <x:c r="A48" s="83"/>
      <x:c r="B48" s="83"/>
      <x:c r="C48" s="83"/>
      <x:c r="D48" s="83"/>
      <x:c r="E48" s="83"/>
      <x:c r="F48" s="83"/>
      <x:c r="G48" s="83"/>
      <x:c r="H48" s="83"/>
      <x:c r="I48" s="83"/>
      <x:c r="J48" s="83"/>
      <x:c r="K48" s="83"/>
      <x:c r="L48" s="83"/>
      <x:c r="M48" s="83"/>
      <x:c r="N48" s="83"/>
      <x:c r="O48" s="83"/>
      <x:c r="P48" s="83"/>
      <x:c r="Q48" s="83"/>
      <x:c r="R48" s="83"/>
    </x:row>
    <x:row r="49">
      <x:c r="A49" s="83"/>
      <x:c r="B49" s="83"/>
      <x:c r="C49" s="83"/>
      <x:c r="D49" s="83"/>
      <x:c r="E49" s="83"/>
      <x:c r="F49" s="83"/>
      <x:c r="G49" s="83"/>
      <x:c r="H49" s="83"/>
      <x:c r="I49" s="83"/>
      <x:c r="J49" s="83"/>
      <x:c r="K49" s="83"/>
      <x:c r="L49" s="83"/>
      <x:c r="M49" s="83"/>
      <x:c r="N49" s="83"/>
      <x:c r="O49" s="83"/>
      <x:c r="P49" s="83"/>
      <x:c r="Q49" s="83"/>
      <x:c r="R49" s="83"/>
    </x:row>
    <x:row r="50">
      <x:c r="A50" s="83"/>
      <x:c r="B50" s="83"/>
      <x:c r="C50" s="83"/>
      <x:c r="D50" s="83"/>
      <x:c r="E50" s="83"/>
      <x:c r="F50" s="83"/>
      <x:c r="G50" s="83"/>
      <x:c r="H50" s="83"/>
      <x:c r="I50" s="83"/>
      <x:c r="J50" s="83"/>
      <x:c r="K50" s="83"/>
      <x:c r="L50" s="83"/>
      <x:c r="M50" s="83"/>
      <x:c r="N50" s="83"/>
      <x:c r="O50" s="83"/>
      <x:c r="P50" s="83"/>
      <x:c r="Q50" s="83"/>
      <x:c r="R50" s="83"/>
    </x:row>
    <x:row r="51">
      <x:c r="A51" s="83"/>
      <x:c r="B51" s="83"/>
      <x:c r="C51" s="83"/>
      <x:c r="D51" s="83"/>
      <x:c r="E51" s="83"/>
      <x:c r="F51" s="83"/>
      <x:c r="G51" s="83"/>
      <x:c r="H51" s="83"/>
      <x:c r="I51" s="83"/>
      <x:c r="J51" s="83"/>
      <x:c r="K51" s="83"/>
      <x:c r="L51" s="83"/>
      <x:c r="M51" s="83"/>
      <x:c r="N51" s="83"/>
      <x:c r="O51" s="83"/>
      <x:c r="P51" s="83"/>
      <x:c r="Q51" s="83"/>
      <x:c r="R51" s="83"/>
    </x:row>
    <x:row r="52">
      <x:c r="A52" s="83"/>
      <x:c r="B52" s="83"/>
      <x:c r="C52" s="83"/>
      <x:c r="D52" s="83"/>
      <x:c r="E52" s="83"/>
      <x:c r="F52" s="83"/>
      <x:c r="G52" s="83"/>
      <x:c r="H52" s="83"/>
      <x:c r="I52" s="83"/>
      <x:c r="J52" s="83"/>
      <x:c r="K52" s="83"/>
      <x:c r="L52" s="83"/>
      <x:c r="M52" s="83"/>
      <x:c r="N52" s="83"/>
      <x:c r="O52" s="83"/>
      <x:c r="P52" s="83"/>
      <x:c r="Q52" s="83"/>
      <x:c r="R52" s="83"/>
    </x:row>
    <x:row r="53">
      <x:c r="A53" s="83"/>
      <x:c r="B53" s="83"/>
      <x:c r="C53" s="83"/>
      <x:c r="D53" s="83"/>
      <x:c r="E53" s="83"/>
      <x:c r="F53" s="83"/>
      <x:c r="G53" s="83"/>
      <x:c r="H53" s="83"/>
      <x:c r="I53" s="83"/>
      <x:c r="J53" s="83"/>
      <x:c r="K53" s="83"/>
      <x:c r="L53" s="83"/>
      <x:c r="M53" s="83"/>
      <x:c r="N53" s="83"/>
      <x:c r="O53" s="83"/>
      <x:c r="P53" s="83"/>
      <x:c r="Q53" s="83"/>
      <x:c r="R53" s="83"/>
    </x:row>
    <x:row r="54">
      <x:c r="A54" s="83"/>
      <x:c r="B54" s="83"/>
      <x:c r="C54" s="83"/>
      <x:c r="D54" s="83"/>
      <x:c r="E54" s="83"/>
      <x:c r="F54" s="83"/>
      <x:c r="G54" s="83"/>
      <x:c r="H54" s="83"/>
      <x:c r="I54" s="83"/>
      <x:c r="J54" s="83"/>
      <x:c r="K54" s="83"/>
      <x:c r="L54" s="83"/>
      <x:c r="M54" s="83"/>
      <x:c r="N54" s="83"/>
      <x:c r="O54" s="83"/>
      <x:c r="P54" s="83"/>
      <x:c r="Q54" s="83"/>
      <x:c r="R54" s="83"/>
    </x:row>
    <x:row r="55">
      <x:c r="A55" s="83"/>
      <x:c r="B55" s="83"/>
      <x:c r="C55" s="83"/>
      <x:c r="D55" s="83"/>
      <x:c r="E55" s="83"/>
      <x:c r="F55" s="83"/>
      <x:c r="G55" s="83"/>
      <x:c r="H55" s="83"/>
      <x:c r="I55" s="83"/>
      <x:c r="J55" s="83"/>
      <x:c r="K55" s="83"/>
      <x:c r="L55" s="83"/>
      <x:c r="M55" s="83"/>
      <x:c r="N55" s="83"/>
      <x:c r="O55" s="83"/>
      <x:c r="P55" s="83"/>
      <x:c r="Q55" s="83"/>
      <x:c r="R55" s="83"/>
    </x:row>
    <x:row r="56">
      <x:c r="A56" s="83"/>
      <x:c r="B56" s="83"/>
      <x:c r="C56" s="83"/>
      <x:c r="D56" s="83"/>
      <x:c r="E56" s="83"/>
      <x:c r="F56" s="83"/>
      <x:c r="G56" s="83"/>
      <x:c r="H56" s="83"/>
      <x:c r="I56" s="83"/>
      <x:c r="J56" s="83"/>
      <x:c r="K56" s="83"/>
      <x:c r="L56" s="83"/>
      <x:c r="M56" s="83"/>
      <x:c r="N56" s="83"/>
      <x:c r="O56" s="83"/>
      <x:c r="P56" s="83"/>
      <x:c r="Q56" s="83"/>
      <x:c r="R56" s="83"/>
    </x:row>
    <x:row r="57">
      <x:c r="A57" s="83"/>
      <x:c r="B57" s="83"/>
      <x:c r="C57" s="83"/>
      <x:c r="D57" s="83"/>
      <x:c r="E57" s="83"/>
      <x:c r="F57" s="83"/>
      <x:c r="G57" s="83"/>
      <x:c r="H57" s="83"/>
      <x:c r="I57" s="83"/>
      <x:c r="J57" s="83"/>
      <x:c r="K57" s="83"/>
      <x:c r="L57" s="83"/>
      <x:c r="M57" s="83"/>
      <x:c r="N57" s="83"/>
      <x:c r="O57" s="83"/>
      <x:c r="P57" s="83"/>
      <x:c r="Q57" s="83"/>
      <x:c r="R57" s="83"/>
    </x:row>
    <x:row r="58">
      <x:c r="A58" s="83"/>
      <x:c r="B58" s="83"/>
      <x:c r="C58" s="83"/>
      <x:c r="D58" s="83"/>
      <x:c r="E58" s="83"/>
      <x:c r="F58" s="83"/>
      <x:c r="G58" s="83"/>
      <x:c r="H58" s="83"/>
      <x:c r="I58" s="83"/>
      <x:c r="J58" s="83"/>
      <x:c r="K58" s="83"/>
      <x:c r="L58" s="83"/>
      <x:c r="M58" s="83"/>
      <x:c r="N58" s="83"/>
      <x:c r="O58" s="83"/>
      <x:c r="P58" s="83"/>
      <x:c r="Q58" s="83"/>
      <x:c r="R58" s="83"/>
    </x:row>
    <x:row r="59">
      <x:c r="A59" s="83"/>
      <x:c r="B59" s="83"/>
      <x:c r="C59" s="83"/>
      <x:c r="D59" s="83"/>
      <x:c r="E59" s="83"/>
      <x:c r="F59" s="83"/>
      <x:c r="G59" s="83"/>
      <x:c r="H59" s="83"/>
      <x:c r="I59" s="83"/>
      <x:c r="J59" s="83"/>
      <x:c r="K59" s="83"/>
      <x:c r="L59" s="83"/>
      <x:c r="M59" s="83"/>
      <x:c r="N59" s="83"/>
      <x:c r="O59" s="83"/>
      <x:c r="P59" s="83"/>
      <x:c r="Q59" s="83"/>
      <x:c r="R59" s="83"/>
    </x:row>
    <x:row r="60">
      <x:c r="A60" s="83"/>
      <x:c r="B60" s="83"/>
      <x:c r="C60" s="83"/>
      <x:c r="D60" s="83"/>
      <x:c r="E60" s="83"/>
      <x:c r="F60" s="83"/>
      <x:c r="G60" s="83"/>
      <x:c r="H60" s="83"/>
      <x:c r="I60" s="83"/>
      <x:c r="J60" s="83"/>
      <x:c r="K60" s="83"/>
      <x:c r="L60" s="83"/>
      <x:c r="M60" s="83"/>
      <x:c r="N60" s="83"/>
      <x:c r="O60" s="83"/>
      <x:c r="P60" s="83"/>
      <x:c r="Q60" s="83"/>
      <x:c r="R60" s="83"/>
    </x:row>
    <x:row r="61">
      <x:c r="A61" s="83"/>
      <x:c r="B61" s="83"/>
      <x:c r="C61" s="83"/>
      <x:c r="D61" s="83"/>
      <x:c r="E61" s="83"/>
      <x:c r="F61" s="83"/>
      <x:c r="G61" s="83"/>
      <x:c r="H61" s="83"/>
      <x:c r="I61" s="83"/>
      <x:c r="J61" s="83"/>
      <x:c r="K61" s="83"/>
      <x:c r="L61" s="83"/>
      <x:c r="M61" s="83"/>
      <x:c r="N61" s="83"/>
      <x:c r="O61" s="83"/>
      <x:c r="P61" s="83"/>
      <x:c r="Q61" s="83"/>
      <x:c r="R61" s="83"/>
    </x:row>
    <x:row r="62">
      <x:c r="A62" s="83"/>
      <x:c r="B62" s="83"/>
      <x:c r="C62" s="83"/>
      <x:c r="D62" s="83"/>
      <x:c r="E62" s="83"/>
      <x:c r="F62" s="83"/>
      <x:c r="G62" s="83"/>
      <x:c r="H62" s="83"/>
      <x:c r="I62" s="83"/>
      <x:c r="J62" s="83"/>
      <x:c r="K62" s="83"/>
      <x:c r="L62" s="83"/>
      <x:c r="M62" s="83"/>
      <x:c r="N62" s="83"/>
      <x:c r="O62" s="83"/>
      <x:c r="P62" s="83"/>
      <x:c r="Q62" s="83"/>
      <x:c r="R62" s="83"/>
    </x:row>
    <x:row r="63">
      <x:c r="A63" s="83"/>
      <x:c r="B63" s="83"/>
      <x:c r="C63" s="83"/>
      <x:c r="D63" s="83"/>
      <x:c r="E63" s="83"/>
      <x:c r="F63" s="83"/>
      <x:c r="G63" s="83"/>
      <x:c r="H63" s="83"/>
      <x:c r="I63" s="83"/>
      <x:c r="J63" s="83"/>
      <x:c r="K63" s="83"/>
      <x:c r="L63" s="83"/>
      <x:c r="M63" s="83"/>
      <x:c r="N63" s="83"/>
      <x:c r="O63" s="83"/>
      <x:c r="P63" s="83"/>
      <x:c r="Q63" s="83"/>
      <x:c r="R63" s="83"/>
    </x:row>
    <x:row r="64">
      <x:c r="A64" s="83"/>
      <x:c r="B64" s="83"/>
      <x:c r="C64" s="83"/>
      <x:c r="D64" s="83"/>
      <x:c r="E64" s="83"/>
      <x:c r="F64" s="83"/>
      <x:c r="G64" s="83"/>
      <x:c r="H64" s="83"/>
      <x:c r="I64" s="83"/>
      <x:c r="J64" s="83"/>
      <x:c r="K64" s="83"/>
      <x:c r="L64" s="83"/>
      <x:c r="M64" s="83"/>
      <x:c r="N64" s="83"/>
      <x:c r="O64" s="83"/>
      <x:c r="P64" s="83"/>
      <x:c r="Q64" s="83"/>
      <x:c r="R64" s="83"/>
    </x:row>
    <x:row r="65">
      <x:c r="A65" s="83"/>
      <x:c r="B65" s="83"/>
      <x:c r="C65" s="83"/>
      <x:c r="D65" s="83"/>
      <x:c r="E65" s="83"/>
      <x:c r="F65" s="83"/>
      <x:c r="G65" s="83"/>
      <x:c r="H65" s="83"/>
      <x:c r="I65" s="83"/>
      <x:c r="J65" s="83"/>
      <x:c r="K65" s="83"/>
      <x:c r="L65" s="83"/>
      <x:c r="M65" s="83"/>
      <x:c r="N65" s="83"/>
      <x:c r="O65" s="83"/>
      <x:c r="P65" s="83"/>
      <x:c r="Q65" s="83"/>
      <x:c r="R65" s="83"/>
    </x:row>
    <x:row r="66">
      <x:c r="A66" s="83"/>
      <x:c r="B66" s="83"/>
      <x:c r="C66" s="83"/>
      <x:c r="D66" s="83"/>
      <x:c r="E66" s="83"/>
      <x:c r="F66" s="83"/>
      <x:c r="G66" s="83"/>
      <x:c r="H66" s="83"/>
      <x:c r="I66" s="83"/>
      <x:c r="J66" s="83"/>
      <x:c r="K66" s="83"/>
      <x:c r="L66" s="83"/>
      <x:c r="M66" s="83"/>
      <x:c r="N66" s="83"/>
      <x:c r="O66" s="83"/>
      <x:c r="P66" s="83"/>
      <x:c r="Q66" s="83"/>
      <x:c r="R66" s="83"/>
    </x:row>
    <x:row r="67">
      <x:c r="A67" s="83"/>
      <x:c r="B67" s="83"/>
      <x:c r="C67" s="83"/>
      <x:c r="D67" s="83"/>
      <x:c r="E67" s="83"/>
      <x:c r="F67" s="83"/>
      <x:c r="G67" s="83"/>
      <x:c r="H67" s="83"/>
      <x:c r="I67" s="83"/>
      <x:c r="J67" s="83"/>
      <x:c r="K67" s="83"/>
      <x:c r="L67" s="83"/>
      <x:c r="M67" s="83"/>
      <x:c r="N67" s="83"/>
      <x:c r="O67" s="83"/>
      <x:c r="P67" s="83"/>
      <x:c r="Q67" s="83"/>
      <x:c r="R67" s="83"/>
    </x:row>
    <x:row r="68">
      <x:c r="A68" s="83"/>
      <x:c r="B68" s="83"/>
      <x:c r="C68" s="83"/>
      <x:c r="D68" s="83"/>
      <x:c r="E68" s="83"/>
      <x:c r="F68" s="83"/>
      <x:c r="G68" s="83"/>
      <x:c r="H68" s="83"/>
      <x:c r="I68" s="83"/>
      <x:c r="J68" s="83"/>
      <x:c r="K68" s="83"/>
      <x:c r="L68" s="83"/>
      <x:c r="M68" s="83"/>
      <x:c r="N68" s="83"/>
      <x:c r="O68" s="83"/>
      <x:c r="P68" s="83"/>
      <x:c r="Q68" s="83"/>
      <x:c r="R68" s="83"/>
    </x:row>
    <x:row r="69">
      <x:c r="A69" s="83"/>
      <x:c r="B69" s="83"/>
      <x:c r="C69" s="83"/>
      <x:c r="D69" s="83"/>
      <x:c r="E69" s="83"/>
      <x:c r="F69" s="83"/>
      <x:c r="G69" s="83"/>
      <x:c r="H69" s="83"/>
      <x:c r="I69" s="83"/>
      <x:c r="J69" s="83"/>
      <x:c r="K69" s="83"/>
      <x:c r="L69" s="83"/>
      <x:c r="M69" s="83"/>
      <x:c r="N69" s="83"/>
      <x:c r="O69" s="83"/>
      <x:c r="P69" s="83"/>
      <x:c r="Q69" s="83"/>
      <x:c r="R69" s="83"/>
    </x:row>
    <x:row r="70">
      <x:c r="A70" s="83"/>
      <x:c r="B70" s="83"/>
      <x:c r="C70" s="83"/>
      <x:c r="D70" s="83"/>
      <x:c r="E70" s="83"/>
      <x:c r="F70" s="83"/>
      <x:c r="G70" s="83"/>
      <x:c r="H70" s="83"/>
      <x:c r="I70" s="83"/>
      <x:c r="J70" s="83"/>
      <x:c r="K70" s="83"/>
      <x:c r="L70" s="83"/>
      <x:c r="M70" s="83"/>
      <x:c r="N70" s="83"/>
      <x:c r="O70" s="83"/>
      <x:c r="P70" s="83"/>
      <x:c r="Q70" s="83"/>
      <x:c r="R70" s="83"/>
    </x:row>
    <x:row r="71">
      <x:c r="A71" s="83"/>
      <x:c r="B71" s="83"/>
      <x:c r="C71" s="83"/>
      <x:c r="D71" s="83"/>
      <x:c r="E71" s="83"/>
      <x:c r="F71" s="83"/>
      <x:c r="G71" s="83"/>
      <x:c r="H71" s="83"/>
      <x:c r="I71" s="83"/>
      <x:c r="J71" s="83"/>
      <x:c r="K71" s="83"/>
      <x:c r="L71" s="83"/>
      <x:c r="M71" s="83"/>
      <x:c r="N71" s="83"/>
      <x:c r="O71" s="83"/>
      <x:c r="P71" s="83"/>
      <x:c r="Q71" s="83"/>
      <x:c r="R71" s="83"/>
    </x:row>
    <x:row r="72">
      <x:c r="A72" s="83"/>
      <x:c r="B72" s="83"/>
      <x:c r="C72" s="83"/>
      <x:c r="D72" s="83"/>
      <x:c r="E72" s="83"/>
      <x:c r="F72" s="83"/>
      <x:c r="G72" s="83"/>
      <x:c r="H72" s="83"/>
      <x:c r="I72" s="83"/>
      <x:c r="J72" s="83"/>
      <x:c r="K72" s="83"/>
      <x:c r="L72" s="83"/>
      <x:c r="M72" s="83"/>
      <x:c r="N72" s="83"/>
      <x:c r="O72" s="83"/>
      <x:c r="P72" s="83"/>
      <x:c r="Q72" s="83"/>
      <x:c r="R72" s="83"/>
    </x:row>
    <x:row r="73">
      <x:c r="A73" s="83"/>
      <x:c r="B73" s="83"/>
      <x:c r="C73" s="83"/>
      <x:c r="D73" s="83"/>
      <x:c r="E73" s="83"/>
      <x:c r="F73" s="83"/>
      <x:c r="G73" s="83"/>
      <x:c r="H73" s="83"/>
      <x:c r="I73" s="83"/>
      <x:c r="J73" s="83"/>
      <x:c r="K73" s="83"/>
      <x:c r="L73" s="83"/>
      <x:c r="M73" s="83"/>
      <x:c r="N73" s="83"/>
      <x:c r="O73" s="83"/>
      <x:c r="P73" s="83"/>
      <x:c r="Q73" s="83"/>
      <x:c r="R73" s="83"/>
    </x:row>
    <x:row r="74">
      <x:c r="A74" s="83"/>
      <x:c r="B74" s="83"/>
      <x:c r="C74" s="83"/>
      <x:c r="D74" s="83"/>
      <x:c r="E74" s="83"/>
      <x:c r="F74" s="83"/>
      <x:c r="G74" s="83"/>
      <x:c r="H74" s="83"/>
      <x:c r="I74" s="83"/>
      <x:c r="J74" s="83"/>
      <x:c r="K74" s="83"/>
      <x:c r="L74" s="83"/>
      <x:c r="M74" s="83"/>
      <x:c r="N74" s="83"/>
      <x:c r="O74" s="83"/>
      <x:c r="P74" s="83"/>
      <x:c r="Q74" s="83"/>
      <x:c r="R74" s="83"/>
    </x:row>
    <x:row r="75">
      <x:c r="A75" s="83"/>
      <x:c r="B75" s="83"/>
      <x:c r="C75" s="83"/>
      <x:c r="D75" s="83"/>
      <x:c r="E75" s="83"/>
      <x:c r="F75" s="83"/>
      <x:c r="G75" s="83"/>
      <x:c r="H75" s="83"/>
      <x:c r="I75" s="83"/>
      <x:c r="J75" s="83"/>
      <x:c r="K75" s="83"/>
      <x:c r="L75" s="83"/>
      <x:c r="M75" s="83"/>
      <x:c r="N75" s="83"/>
      <x:c r="O75" s="83"/>
      <x:c r="P75" s="83"/>
      <x:c r="Q75" s="83"/>
      <x:c r="R75" s="83"/>
    </x:row>
    <x:row r="76">
      <x:c r="A76" s="83"/>
      <x:c r="B76" s="83"/>
      <x:c r="C76" s="83"/>
      <x:c r="D76" s="83"/>
      <x:c r="E76" s="83"/>
      <x:c r="F76" s="83"/>
      <x:c r="G76" s="83"/>
      <x:c r="H76" s="83"/>
      <x:c r="I76" s="83"/>
      <x:c r="J76" s="83"/>
      <x:c r="K76" s="83"/>
      <x:c r="L76" s="83"/>
      <x:c r="M76" s="83"/>
      <x:c r="N76" s="83"/>
      <x:c r="O76" s="83"/>
      <x:c r="P76" s="83"/>
      <x:c r="Q76" s="83"/>
      <x:c r="R76" s="83"/>
    </x:row>
    <x:row r="77">
      <x:c r="A77" s="83"/>
      <x:c r="B77" s="83"/>
      <x:c r="C77" s="83"/>
      <x:c r="D77" s="83"/>
      <x:c r="E77" s="83"/>
      <x:c r="F77" s="83"/>
      <x:c r="G77" s="83"/>
      <x:c r="H77" s="83"/>
      <x:c r="I77" s="83"/>
      <x:c r="J77" s="83"/>
      <x:c r="K77" s="83"/>
      <x:c r="L77" s="83"/>
      <x:c r="M77" s="83"/>
      <x:c r="N77" s="83"/>
      <x:c r="O77" s="83"/>
      <x:c r="P77" s="83"/>
      <x:c r="Q77" s="83"/>
      <x:c r="R77" s="83"/>
    </x:row>
    <x:row r="78">
      <x:c r="A78" s="83"/>
      <x:c r="B78" s="83"/>
      <x:c r="C78" s="83"/>
      <x:c r="D78" s="83"/>
      <x:c r="E78" s="83"/>
      <x:c r="F78" s="83"/>
      <x:c r="G78" s="83"/>
      <x:c r="H78" s="83"/>
      <x:c r="I78" s="83"/>
      <x:c r="J78" s="83"/>
      <x:c r="K78" s="83"/>
      <x:c r="L78" s="83"/>
      <x:c r="M78" s="83"/>
      <x:c r="N78" s="83"/>
      <x:c r="O78" s="83"/>
      <x:c r="P78" s="83"/>
      <x:c r="Q78" s="83"/>
      <x:c r="R78" s="83"/>
    </x:row>
    <x:row r="79">
      <x:c r="A79" s="83"/>
      <x:c r="B79" s="83"/>
      <x:c r="C79" s="83"/>
      <x:c r="D79" s="83"/>
      <x:c r="E79" s="83"/>
      <x:c r="F79" s="83"/>
      <x:c r="G79" s="83"/>
      <x:c r="H79" s="83"/>
      <x:c r="I79" s="83"/>
      <x:c r="J79" s="83"/>
      <x:c r="K79" s="83"/>
      <x:c r="L79" s="83"/>
      <x:c r="M79" s="83"/>
      <x:c r="N79" s="83"/>
      <x:c r="O79" s="83"/>
      <x:c r="P79" s="83"/>
      <x:c r="Q79" s="83"/>
      <x:c r="R79" s="83"/>
    </x:row>
    <x:row r="80">
      <x:c r="A80" s="83"/>
      <x:c r="B80" s="83"/>
      <x:c r="C80" s="83"/>
      <x:c r="D80" s="83"/>
      <x:c r="E80" s="83"/>
      <x:c r="F80" s="83"/>
      <x:c r="G80" s="83"/>
      <x:c r="H80" s="83"/>
      <x:c r="I80" s="83"/>
      <x:c r="J80" s="83"/>
      <x:c r="K80" s="83"/>
      <x:c r="L80" s="83"/>
      <x:c r="M80" s="83"/>
      <x:c r="N80" s="83"/>
      <x:c r="O80" s="83"/>
      <x:c r="P80" s="83"/>
      <x:c r="Q80" s="83"/>
      <x:c r="R80" s="83"/>
    </x:row>
  </x:sheetData>
  <x:mergeCells>
    <x:mergeCell ref="A1:H1"/>
    <x:mergeCell ref="A3:H3"/>
    <x:mergeCell ref="E11:H11"/>
    <x:mergeCell ref="E12:H17"/>
  </x:mergeCells>
  <x:pageMargins left="0.7" right="0.7" top="0.75" bottom="0.75" header="0.3" footer="0.3"/>
</x:worksheet>
</file>

<file path=xl/worksheets/sheet2.xml><?xml version="1.0" encoding="utf-8"?>
<x:worksheet xmlns:x="http://schemas.openxmlformats.org/spreadsheetml/2006/main">
  <x:sheetFormatPr defaultRowHeight="15"/>
  <x:cols>
    <x:col min="1" max="1" width="34" hidden="0" customWidth="1"/>
    <x:col min="2" max="2" width="68" hidden="0" customWidth="1"/>
    <x:col min="4" max="4" width="24" hidden="0" customWidth="1"/>
    <x:col min="5" max="5" width="18" hidden="0" customWidth="1"/>
  </x:cols>
  <x:sheetData>
    <x:row r="1">
      <x:c r="A1" s="133" t="str">
        <x:v>SETUP — define the learning product once</x:v>
      </x:c>
      <x:c r="B1" s="133"/>
      <x:c r="C1" s="133"/>
      <x:c r="D1" s="133"/>
      <x:c r="E1" s="133"/>
      <x:c r="F1" s="133"/>
      <x:c r="G1" s="83"/>
      <x:c r="H1" s="83"/>
      <x:c r="I1" s="83"/>
      <x:c r="J1" s="83"/>
      <x:c r="K1" s="83"/>
      <x:c r="L1" s="83"/>
      <x:c r="M1" s="83"/>
      <x:c r="N1" s="83"/>
      <x:c r="O1" s="83"/>
      <x:c r="P1" s="83"/>
      <x:c r="Q1" s="83"/>
      <x:c r="R1" s="83"/>
    </x:row>
    <x:row r="2">
      <x:c r="A2" s="83"/>
      <x:c r="B2" s="83"/>
      <x:c r="C2" s="83"/>
      <x:c r="D2" s="83"/>
      <x:c r="E2" s="83"/>
      <x:c r="F2" s="83"/>
      <x:c r="G2" s="83"/>
      <x:c r="H2" s="83"/>
      <x:c r="I2" s="83"/>
      <x:c r="J2" s="83"/>
      <x:c r="K2" s="83"/>
      <x:c r="L2" s="83"/>
      <x:c r="M2" s="83"/>
      <x:c r="N2" s="83"/>
      <x:c r="O2" s="83"/>
      <x:c r="P2" s="83"/>
      <x:c r="Q2" s="83"/>
      <x:c r="R2" s="83"/>
    </x:row>
    <x:row r="3">
      <x:c r="A3" s="94" t="str">
        <x:v>Workshop / Course Title</x:v>
      </x:c>
      <x:c r="B3" s="111" t="str"/>
      <x:c r="C3" s="83"/>
      <x:c r="D3" s="85" t="str">
        <x:v>AUTO CHECK</x:v>
      </x:c>
      <x:c r="E3" s="85" t="str">
        <x:v>VALUE</x:v>
      </x:c>
      <x:c r="F3" s="83"/>
      <x:c r="G3" s="83"/>
      <x:c r="H3" s="83"/>
      <x:c r="I3" s="83"/>
      <x:c r="J3" s="83"/>
      <x:c r="K3" s="83"/>
      <x:c r="L3" s="83"/>
      <x:c r="M3" s="83"/>
      <x:c r="N3" s="83"/>
      <x:c r="O3" s="83"/>
      <x:c r="P3" s="83"/>
      <x:c r="Q3" s="83"/>
      <x:c r="R3" s="83"/>
    </x:row>
    <x:row r="4">
      <x:c r="A4" s="94" t="str">
        <x:v>Subtitle (optional)</x:v>
      </x:c>
      <x:c r="B4" s="111" t="str"/>
      <x:c r="C4" s="83"/>
      <x:c r="D4" s="94" t="str">
        <x:v>Expected Minutes</x:v>
      </x:c>
      <x:c r="E4" s="89" t="n">
        <x:f>IF(B5="Micro (60 min)",60,IF(B5="Burst (120 min)",120,IF(B5="Half-Day (210 min)",210,IF(B5="Half-Day (240 min)",240,IF(B5="Full-Day (420 min)",420,IF(B5="Full-Day (480 min)",480,""))))))</x:f>
        <x:v>60</x:v>
      </x:c>
      <x:c r="F4" s="83"/>
      <x:c r="G4" s="83"/>
      <x:c r="H4" s="83"/>
      <x:c r="I4" s="83"/>
      <x:c r="J4" s="83"/>
      <x:c r="K4" s="83"/>
      <x:c r="L4" s="83"/>
      <x:c r="M4" s="83"/>
      <x:c r="N4" s="83"/>
      <x:c r="O4" s="83"/>
      <x:c r="P4" s="83"/>
      <x:c r="Q4" s="83"/>
      <x:c r="R4" s="83"/>
    </x:row>
    <x:row r="5">
      <x:c r="A5" s="94" t="str">
        <x:v>Format</x:v>
      </x:c>
      <x:c r="B5" s="111" t="str">
        <x:v>Micro (60 min)</x:v>
      </x:c>
      <x:c r="C5" s="83"/>
      <x:c r="D5" s="94" t="str">
        <x:v>Duration Match</x:v>
      </x:c>
      <x:c r="E5" s="89" t="str">
        <x:f>IF(E4="","Custom",IF(B7=E4,"OK","REVIEW"))</x:f>
        <x:v>OK</x:v>
      </x:c>
      <x:c r="F5" s="83"/>
      <x:c r="G5" s="83"/>
      <x:c r="H5" s="83"/>
      <x:c r="I5" s="83"/>
      <x:c r="J5" s="83"/>
      <x:c r="K5" s="83"/>
      <x:c r="L5" s="83"/>
      <x:c r="M5" s="83"/>
      <x:c r="N5" s="83"/>
      <x:c r="O5" s="83"/>
      <x:c r="P5" s="83"/>
      <x:c r="Q5" s="83"/>
      <x:c r="R5" s="83"/>
    </x:row>
    <x:row r="6">
      <x:c r="A6" s="94" t="str">
        <x:v>Delivery Mode</x:v>
      </x:c>
      <x:c r="B6" s="111" t="str">
        <x:v>Virtual</x:v>
      </x:c>
      <x:c r="C6" s="83"/>
      <x:c r="D6" s="94" t="str">
        <x:v>Title Entered</x:v>
      </x:c>
      <x:c r="E6" s="89" t="str">
        <x:f>IF(B3="","ACTION NEEDED","OK")</x:f>
        <x:v>ACTION NEEDED</x:v>
      </x:c>
      <x:c r="F6" s="83"/>
      <x:c r="G6" s="83"/>
      <x:c r="H6" s="83"/>
      <x:c r="I6" s="83"/>
      <x:c r="J6" s="83"/>
      <x:c r="K6" s="83"/>
      <x:c r="L6" s="83"/>
      <x:c r="M6" s="83"/>
      <x:c r="N6" s="83"/>
      <x:c r="O6" s="83"/>
      <x:c r="P6" s="83"/>
      <x:c r="Q6" s="83"/>
      <x:c r="R6" s="83"/>
    </x:row>
    <x:row r="7">
      <x:c r="A7" s="94" t="str">
        <x:v>Target Minutes</x:v>
      </x:c>
      <x:c r="B7" s="111" t="n">
        <x:v>60</x:v>
      </x:c>
      <x:c r="C7" s="83"/>
      <x:c r="D7" s="94" t="str">
        <x:v>Audience Entered</x:v>
      </x:c>
      <x:c r="E7" s="89" t="str">
        <x:f>IF(B8="","ACTION NEEDED","OK")</x:f>
        <x:v>ACTION NEEDED</x:v>
      </x:c>
      <x:c r="F7" s="83"/>
      <x:c r="G7" s="83"/>
      <x:c r="H7" s="83"/>
      <x:c r="I7" s="83"/>
      <x:c r="J7" s="83"/>
      <x:c r="K7" s="83"/>
      <x:c r="L7" s="83"/>
      <x:c r="M7" s="83"/>
      <x:c r="N7" s="83"/>
      <x:c r="O7" s="83"/>
      <x:c r="P7" s="83"/>
      <x:c r="Q7" s="83"/>
      <x:c r="R7" s="83"/>
    </x:row>
    <x:row r="8">
      <x:c r="A8" s="94" t="str">
        <x:v>Audience</x:v>
      </x:c>
      <x:c r="B8" s="111" t="str"/>
      <x:c r="C8" s="83"/>
      <x:c r="D8" s="94" t="str">
        <x:v>Description Entered</x:v>
      </x:c>
      <x:c r="E8" s="89" t="str">
        <x:f>IF(B11="","ACTION NEEDED","OK")</x:f>
        <x:v>ACTION NEEDED</x:v>
      </x:c>
      <x:c r="F8" s="83"/>
      <x:c r="G8" s="83"/>
      <x:c r="H8" s="83"/>
      <x:c r="I8" s="83"/>
      <x:c r="J8" s="83"/>
      <x:c r="K8" s="83"/>
      <x:c r="L8" s="83"/>
      <x:c r="M8" s="83"/>
      <x:c r="N8" s="83"/>
      <x:c r="O8" s="83"/>
      <x:c r="P8" s="83"/>
      <x:c r="Q8" s="83"/>
      <x:c r="R8" s="83"/>
    </x:row>
    <x:row r="9">
      <x:c r="A9" s="94" t="str">
        <x:v>Level / Prerequisites</x:v>
      </x:c>
      <x:c r="B9" s="111" t="str"/>
      <x:c r="C9" s="83"/>
      <x:c r="D9" s="94" t="str">
        <x:v>Benefits Entered</x:v>
      </x:c>
      <x:c r="E9" s="89" t="str">
        <x:f>IF(B12="","ACTION NEEDED","OK")</x:f>
        <x:v>ACTION NEEDED</x:v>
      </x:c>
      <x:c r="F9" s="83"/>
      <x:c r="G9" s="83"/>
      <x:c r="H9" s="83"/>
      <x:c r="I9" s="83"/>
      <x:c r="J9" s="83"/>
      <x:c r="K9" s="83"/>
      <x:c r="L9" s="83"/>
      <x:c r="M9" s="83"/>
      <x:c r="N9" s="83"/>
      <x:c r="O9" s="83"/>
      <x:c r="P9" s="83"/>
      <x:c r="Q9" s="83"/>
      <x:c r="R9" s="83"/>
    </x:row>
    <x:row r="10">
      <x:c r="A10" s="94" t="str">
        <x:v>One-Sentence Promise</x:v>
      </x:c>
      <x:c r="B10" s="111" t="str"/>
      <x:c r="C10" s="83"/>
      <x:c r="D10" s="94" t="str">
        <x:v>Objectives Defined</x:v>
      </x:c>
      <x:c r="E10" s="89" t="n">
        <x:f>COUNTIF(OBJECTIVES!B4:B15,"&lt;&gt;")</x:f>
        <x:v>0</x:v>
      </x:c>
      <x:c r="F10" s="83"/>
      <x:c r="G10" s="83"/>
      <x:c r="H10" s="83"/>
      <x:c r="I10" s="83"/>
      <x:c r="J10" s="83"/>
      <x:c r="K10" s="83"/>
      <x:c r="L10" s="83"/>
      <x:c r="M10" s="83"/>
      <x:c r="N10" s="83"/>
      <x:c r="O10" s="83"/>
      <x:c r="P10" s="83"/>
      <x:c r="Q10" s="83"/>
      <x:c r="R10" s="83"/>
    </x:row>
    <x:row r="11">
      <x:c r="A11" s="94" t="str">
        <x:v>Description</x:v>
      </x:c>
      <x:c r="B11" s="111" t="str"/>
      <x:c r="C11" s="83"/>
      <x:c r="D11" s="83"/>
      <x:c r="E11" s="83"/>
      <x:c r="F11" s="83"/>
      <x:c r="G11" s="83"/>
      <x:c r="H11" s="83"/>
      <x:c r="I11" s="83"/>
      <x:c r="J11" s="83"/>
      <x:c r="K11" s="83"/>
      <x:c r="L11" s="83"/>
      <x:c r="M11" s="83"/>
      <x:c r="N11" s="83"/>
      <x:c r="O11" s="83"/>
      <x:c r="P11" s="83"/>
      <x:c r="Q11" s="83"/>
      <x:c r="R11" s="83"/>
    </x:row>
    <x:row r="12">
      <x:c r="A12" s="94" t="str">
        <x:v>Benefits / What Participants Gain</x:v>
      </x:c>
      <x:c r="B12" s="111" t="str"/>
      <x:c r="C12" s="83"/>
      <x:c r="D12" s="83"/>
      <x:c r="E12" s="83"/>
      <x:c r="F12" s="83"/>
      <x:c r="G12" s="83"/>
      <x:c r="H12" s="83"/>
      <x:c r="I12" s="83"/>
      <x:c r="J12" s="83"/>
      <x:c r="K12" s="83"/>
      <x:c r="L12" s="83"/>
      <x:c r="M12" s="83"/>
      <x:c r="N12" s="83"/>
      <x:c r="O12" s="83"/>
      <x:c r="P12" s="83"/>
      <x:c r="Q12" s="83"/>
      <x:c r="R12" s="83"/>
    </x:row>
    <x:row r="13">
      <x:c r="A13" s="94" t="str">
        <x:v>Primary Application / Business Need</x:v>
      </x:c>
      <x:c r="B13" s="111" t="str"/>
      <x:c r="C13" s="83"/>
      <x:c r="D13" s="83"/>
      <x:c r="E13" s="83"/>
      <x:c r="F13" s="83"/>
      <x:c r="G13" s="83"/>
      <x:c r="H13" s="83"/>
      <x:c r="I13" s="83"/>
      <x:c r="J13" s="83"/>
      <x:c r="K13" s="83"/>
      <x:c r="L13" s="83"/>
      <x:c r="M13" s="83"/>
      <x:c r="N13" s="83"/>
      <x:c r="O13" s="83"/>
      <x:c r="P13" s="83"/>
      <x:c r="Q13" s="83"/>
      <x:c r="R13" s="83"/>
    </x:row>
    <x:row r="14">
      <x:c r="A14" s="83"/>
      <x:c r="B14" s="83"/>
      <x:c r="C14" s="83"/>
      <x:c r="D14" s="83"/>
      <x:c r="E14" s="83"/>
      <x:c r="F14" s="83"/>
      <x:c r="G14" s="83"/>
      <x:c r="H14" s="83"/>
      <x:c r="I14" s="83"/>
      <x:c r="J14" s="83"/>
      <x:c r="K14" s="83"/>
      <x:c r="L14" s="83"/>
      <x:c r="M14" s="83"/>
      <x:c r="N14" s="83"/>
      <x:c r="O14" s="83"/>
      <x:c r="P14" s="83"/>
      <x:c r="Q14" s="83"/>
      <x:c r="R14" s="83"/>
    </x:row>
    <x:row r="15">
      <x:c r="A15" s="83"/>
      <x:c r="B15" s="83"/>
      <x:c r="C15" s="83"/>
      <x:c r="D15" s="83"/>
      <x:c r="E15" s="83"/>
      <x:c r="F15" s="83"/>
      <x:c r="G15" s="83"/>
      <x:c r="H15" s="83"/>
      <x:c r="I15" s="83"/>
      <x:c r="J15" s="83"/>
      <x:c r="K15" s="83"/>
      <x:c r="L15" s="83"/>
      <x:c r="M15" s="83"/>
      <x:c r="N15" s="83"/>
      <x:c r="O15" s="83"/>
      <x:c r="P15" s="83"/>
      <x:c r="Q15" s="83"/>
      <x:c r="R15" s="83"/>
    </x:row>
    <x:row r="16">
      <x:c r="A16" s="83"/>
      <x:c r="B16" s="83"/>
      <x:c r="C16" s="83"/>
      <x:c r="D16" s="83"/>
      <x:c r="E16" s="83"/>
      <x:c r="F16" s="83"/>
      <x:c r="G16" s="83"/>
      <x:c r="H16" s="83"/>
      <x:c r="I16" s="83"/>
      <x:c r="J16" s="83"/>
      <x:c r="K16" s="83"/>
      <x:c r="L16" s="83"/>
      <x:c r="M16" s="83"/>
      <x:c r="N16" s="83"/>
      <x:c r="O16" s="83"/>
      <x:c r="P16" s="83"/>
      <x:c r="Q16" s="83"/>
      <x:c r="R16" s="83"/>
    </x:row>
    <x:row r="17">
      <x:c r="A17" s="83"/>
      <x:c r="B17" s="83"/>
      <x:c r="C17" s="83"/>
      <x:c r="D17" s="83"/>
      <x:c r="E17" s="83"/>
      <x:c r="F17" s="83"/>
      <x:c r="G17" s="83"/>
      <x:c r="H17" s="83"/>
      <x:c r="I17" s="83"/>
      <x:c r="J17" s="83"/>
      <x:c r="K17" s="83"/>
      <x:c r="L17" s="83"/>
      <x:c r="M17" s="83"/>
      <x:c r="N17" s="83"/>
      <x:c r="O17" s="83"/>
      <x:c r="P17" s="83"/>
      <x:c r="Q17" s="83"/>
      <x:c r="R17" s="83"/>
    </x:row>
    <x:row r="18">
      <x:c r="A18" s="83"/>
      <x:c r="B18" s="83"/>
      <x:c r="C18" s="83"/>
      <x:c r="D18" s="83"/>
      <x:c r="E18" s="83"/>
      <x:c r="F18" s="83"/>
      <x:c r="G18" s="83"/>
      <x:c r="H18" s="83"/>
      <x:c r="I18" s="83"/>
      <x:c r="J18" s="83"/>
      <x:c r="K18" s="83"/>
      <x:c r="L18" s="83"/>
      <x:c r="M18" s="83"/>
      <x:c r="N18" s="83"/>
      <x:c r="O18" s="83"/>
      <x:c r="P18" s="83"/>
      <x:c r="Q18" s="83"/>
      <x:c r="R18" s="83"/>
    </x:row>
    <x:row r="19">
      <x:c r="A19" s="83"/>
      <x:c r="B19" s="83"/>
      <x:c r="C19" s="83"/>
      <x:c r="D19" s="83"/>
      <x:c r="E19" s="83"/>
      <x:c r="F19" s="83"/>
      <x:c r="G19" s="83"/>
      <x:c r="H19" s="83"/>
      <x:c r="I19" s="83"/>
      <x:c r="J19" s="83"/>
      <x:c r="K19" s="83"/>
      <x:c r="L19" s="83"/>
      <x:c r="M19" s="83"/>
      <x:c r="N19" s="83"/>
      <x:c r="O19" s="83"/>
      <x:c r="P19" s="83"/>
      <x:c r="Q19" s="83"/>
      <x:c r="R19" s="83"/>
    </x:row>
    <x:row r="20">
      <x:c r="A20" s="83"/>
      <x:c r="B20" s="83"/>
      <x:c r="C20" s="83"/>
      <x:c r="D20" s="83"/>
      <x:c r="E20" s="83"/>
      <x:c r="F20" s="83"/>
      <x:c r="G20" s="83"/>
      <x:c r="H20" s="83"/>
      <x:c r="I20" s="83"/>
      <x:c r="J20" s="83"/>
      <x:c r="K20" s="83"/>
      <x:c r="L20" s="83"/>
      <x:c r="M20" s="83"/>
      <x:c r="N20" s="83"/>
      <x:c r="O20" s="83"/>
      <x:c r="P20" s="83"/>
      <x:c r="Q20" s="83"/>
      <x:c r="R20" s="83"/>
    </x:row>
    <x:row r="21">
      <x:c r="A21" s="83"/>
      <x:c r="B21" s="83"/>
      <x:c r="C21" s="83"/>
      <x:c r="D21" s="83"/>
      <x:c r="E21" s="83"/>
      <x:c r="F21" s="83"/>
      <x:c r="G21" s="83"/>
      <x:c r="H21" s="83"/>
      <x:c r="I21" s="83"/>
      <x:c r="J21" s="83"/>
      <x:c r="K21" s="83"/>
      <x:c r="L21" s="83"/>
      <x:c r="M21" s="83"/>
      <x:c r="N21" s="83"/>
      <x:c r="O21" s="83"/>
      <x:c r="P21" s="83"/>
      <x:c r="Q21" s="83"/>
      <x:c r="R21" s="83"/>
    </x:row>
    <x:row r="22">
      <x:c r="A22" s="83"/>
      <x:c r="B22" s="83"/>
      <x:c r="C22" s="83"/>
      <x:c r="D22" s="83"/>
      <x:c r="E22" s="83"/>
      <x:c r="F22" s="83"/>
      <x:c r="G22" s="83"/>
      <x:c r="H22" s="83"/>
      <x:c r="I22" s="83"/>
      <x:c r="J22" s="83"/>
      <x:c r="K22" s="83"/>
      <x:c r="L22" s="83"/>
      <x:c r="M22" s="83"/>
      <x:c r="N22" s="83"/>
      <x:c r="O22" s="83"/>
      <x:c r="P22" s="83"/>
      <x:c r="Q22" s="83"/>
      <x:c r="R22" s="83"/>
    </x:row>
    <x:row r="23">
      <x:c r="A23" s="83"/>
      <x:c r="B23" s="83"/>
      <x:c r="C23" s="83"/>
      <x:c r="D23" s="83"/>
      <x:c r="E23" s="83"/>
      <x:c r="F23" s="83"/>
      <x:c r="G23" s="83"/>
      <x:c r="H23" s="83"/>
      <x:c r="I23" s="83"/>
      <x:c r="J23" s="83"/>
      <x:c r="K23" s="83"/>
      <x:c r="L23" s="83"/>
      <x:c r="M23" s="83"/>
      <x:c r="N23" s="83"/>
      <x:c r="O23" s="83"/>
      <x:c r="P23" s="83"/>
      <x:c r="Q23" s="83"/>
      <x:c r="R23" s="83"/>
    </x:row>
    <x:row r="24">
      <x:c r="A24" s="83"/>
      <x:c r="B24" s="83"/>
      <x:c r="C24" s="83"/>
      <x:c r="D24" s="83"/>
      <x:c r="E24" s="83"/>
      <x:c r="F24" s="83"/>
      <x:c r="G24" s="83"/>
      <x:c r="H24" s="83"/>
      <x:c r="I24" s="83"/>
      <x:c r="J24" s="83"/>
      <x:c r="K24" s="83"/>
      <x:c r="L24" s="83"/>
      <x:c r="M24" s="83"/>
      <x:c r="N24" s="83"/>
      <x:c r="O24" s="83"/>
      <x:c r="P24" s="83"/>
      <x:c r="Q24" s="83"/>
      <x:c r="R24" s="83"/>
    </x:row>
    <x:row r="25">
      <x:c r="A25" s="83"/>
      <x:c r="B25" s="83"/>
      <x:c r="C25" s="83"/>
      <x:c r="D25" s="83"/>
      <x:c r="E25" s="83"/>
      <x:c r="F25" s="83"/>
      <x:c r="G25" s="83"/>
      <x:c r="H25" s="83"/>
      <x:c r="I25" s="83"/>
      <x:c r="J25" s="83"/>
      <x:c r="K25" s="83"/>
      <x:c r="L25" s="83"/>
      <x:c r="M25" s="83"/>
      <x:c r="N25" s="83"/>
      <x:c r="O25" s="83"/>
      <x:c r="P25" s="83"/>
      <x:c r="Q25" s="83"/>
      <x:c r="R25" s="83"/>
    </x:row>
    <x:row r="26">
      <x:c r="A26" s="83"/>
      <x:c r="B26" s="83"/>
      <x:c r="C26" s="83"/>
      <x:c r="D26" s="83"/>
      <x:c r="E26" s="83"/>
      <x:c r="F26" s="83"/>
      <x:c r="G26" s="83"/>
      <x:c r="H26" s="83"/>
      <x:c r="I26" s="83"/>
      <x:c r="J26" s="83"/>
      <x:c r="K26" s="83"/>
      <x:c r="L26" s="83"/>
      <x:c r="M26" s="83"/>
      <x:c r="N26" s="83"/>
      <x:c r="O26" s="83"/>
      <x:c r="P26" s="83"/>
      <x:c r="Q26" s="83"/>
      <x:c r="R26" s="83"/>
    </x:row>
    <x:row r="27">
      <x:c r="A27" s="83"/>
      <x:c r="B27" s="83"/>
      <x:c r="C27" s="83"/>
      <x:c r="D27" s="83"/>
      <x:c r="E27" s="83"/>
      <x:c r="F27" s="83"/>
      <x:c r="G27" s="83"/>
      <x:c r="H27" s="83"/>
      <x:c r="I27" s="83"/>
      <x:c r="J27" s="83"/>
      <x:c r="K27" s="83"/>
      <x:c r="L27" s="83"/>
      <x:c r="M27" s="83"/>
      <x:c r="N27" s="83"/>
      <x:c r="O27" s="83"/>
      <x:c r="P27" s="83"/>
      <x:c r="Q27" s="83"/>
      <x:c r="R27" s="83"/>
    </x:row>
    <x:row r="28">
      <x:c r="A28" s="83"/>
      <x:c r="B28" s="83"/>
      <x:c r="C28" s="83"/>
      <x:c r="D28" s="83"/>
      <x:c r="E28" s="83"/>
      <x:c r="F28" s="83"/>
      <x:c r="G28" s="83"/>
      <x:c r="H28" s="83"/>
      <x:c r="I28" s="83"/>
      <x:c r="J28" s="83"/>
      <x:c r="K28" s="83"/>
      <x:c r="L28" s="83"/>
      <x:c r="M28" s="83"/>
      <x:c r="N28" s="83"/>
      <x:c r="O28" s="83"/>
      <x:c r="P28" s="83"/>
      <x:c r="Q28" s="83"/>
      <x:c r="R28" s="83"/>
    </x:row>
    <x:row r="29">
      <x:c r="A29" s="83"/>
      <x:c r="B29" s="83"/>
      <x:c r="C29" s="83"/>
      <x:c r="D29" s="83"/>
      <x:c r="E29" s="83"/>
      <x:c r="F29" s="83"/>
      <x:c r="G29" s="83"/>
      <x:c r="H29" s="83"/>
      <x:c r="I29" s="83"/>
      <x:c r="J29" s="83"/>
      <x:c r="K29" s="83"/>
      <x:c r="L29" s="83"/>
      <x:c r="M29" s="83"/>
      <x:c r="N29" s="83"/>
      <x:c r="O29" s="83"/>
      <x:c r="P29" s="83"/>
      <x:c r="Q29" s="83"/>
      <x:c r="R29" s="83"/>
    </x:row>
    <x:row r="30">
      <x:c r="A30" s="83"/>
      <x:c r="B30" s="83"/>
      <x:c r="C30" s="83"/>
      <x:c r="D30" s="83"/>
      <x:c r="E30" s="83"/>
      <x:c r="F30" s="83"/>
      <x:c r="G30" s="83"/>
      <x:c r="H30" s="83"/>
      <x:c r="I30" s="83"/>
      <x:c r="J30" s="83"/>
      <x:c r="K30" s="83"/>
      <x:c r="L30" s="83"/>
      <x:c r="M30" s="83"/>
      <x:c r="N30" s="83"/>
      <x:c r="O30" s="83"/>
      <x:c r="P30" s="83"/>
      <x:c r="Q30" s="83"/>
      <x:c r="R30" s="83"/>
    </x:row>
    <x:row r="31">
      <x:c r="A31" s="83"/>
      <x:c r="B31" s="83"/>
      <x:c r="C31" s="83"/>
      <x:c r="D31" s="83"/>
      <x:c r="E31" s="83"/>
      <x:c r="F31" s="83"/>
      <x:c r="G31" s="83"/>
      <x:c r="H31" s="83"/>
      <x:c r="I31" s="83"/>
      <x:c r="J31" s="83"/>
      <x:c r="K31" s="83"/>
      <x:c r="L31" s="83"/>
      <x:c r="M31" s="83"/>
      <x:c r="N31" s="83"/>
      <x:c r="O31" s="83"/>
      <x:c r="P31" s="83"/>
      <x:c r="Q31" s="83"/>
      <x:c r="R31" s="83"/>
    </x:row>
    <x:row r="32">
      <x:c r="A32" s="83"/>
      <x:c r="B32" s="83"/>
      <x:c r="C32" s="83"/>
      <x:c r="D32" s="83"/>
      <x:c r="E32" s="83"/>
      <x:c r="F32" s="83"/>
      <x:c r="G32" s="83"/>
      <x:c r="H32" s="83"/>
      <x:c r="I32" s="83"/>
      <x:c r="J32" s="83"/>
      <x:c r="K32" s="83"/>
      <x:c r="L32" s="83"/>
      <x:c r="M32" s="83"/>
      <x:c r="N32" s="83"/>
      <x:c r="O32" s="83"/>
      <x:c r="P32" s="83"/>
      <x:c r="Q32" s="83"/>
      <x:c r="R32" s="83"/>
    </x:row>
    <x:row r="33">
      <x:c r="A33" s="83"/>
      <x:c r="B33" s="83"/>
      <x:c r="C33" s="83"/>
      <x:c r="D33" s="83"/>
      <x:c r="E33" s="83"/>
      <x:c r="F33" s="83"/>
      <x:c r="G33" s="83"/>
      <x:c r="H33" s="83"/>
      <x:c r="I33" s="83"/>
      <x:c r="J33" s="83"/>
      <x:c r="K33" s="83"/>
      <x:c r="L33" s="83"/>
      <x:c r="M33" s="83"/>
      <x:c r="N33" s="83"/>
      <x:c r="O33" s="83"/>
      <x:c r="P33" s="83"/>
      <x:c r="Q33" s="83"/>
      <x:c r="R33" s="83"/>
    </x:row>
    <x:row r="34">
      <x:c r="A34" s="83"/>
      <x:c r="B34" s="83"/>
      <x:c r="C34" s="83"/>
      <x:c r="D34" s="83"/>
      <x:c r="E34" s="83"/>
      <x:c r="F34" s="83"/>
      <x:c r="G34" s="83"/>
      <x:c r="H34" s="83"/>
      <x:c r="I34" s="83"/>
      <x:c r="J34" s="83"/>
      <x:c r="K34" s="83"/>
      <x:c r="L34" s="83"/>
      <x:c r="M34" s="83"/>
      <x:c r="N34" s="83"/>
      <x:c r="O34" s="83"/>
      <x:c r="P34" s="83"/>
      <x:c r="Q34" s="83"/>
      <x:c r="R34" s="83"/>
    </x:row>
    <x:row r="35">
      <x:c r="A35" s="83"/>
      <x:c r="B35" s="83"/>
      <x:c r="C35" s="83"/>
      <x:c r="D35" s="83"/>
      <x:c r="E35" s="83"/>
      <x:c r="F35" s="83"/>
      <x:c r="G35" s="83"/>
      <x:c r="H35" s="83"/>
      <x:c r="I35" s="83"/>
      <x:c r="J35" s="83"/>
      <x:c r="K35" s="83"/>
      <x:c r="L35" s="83"/>
      <x:c r="M35" s="83"/>
      <x:c r="N35" s="83"/>
      <x:c r="O35" s="83"/>
      <x:c r="P35" s="83"/>
      <x:c r="Q35" s="83"/>
      <x:c r="R35" s="83"/>
    </x:row>
    <x:row r="36">
      <x:c r="A36" s="83"/>
      <x:c r="B36" s="83"/>
      <x:c r="C36" s="83"/>
      <x:c r="D36" s="83"/>
      <x:c r="E36" s="83"/>
      <x:c r="F36" s="83"/>
      <x:c r="G36" s="83"/>
      <x:c r="H36" s="83"/>
      <x:c r="I36" s="83"/>
      <x:c r="J36" s="83"/>
      <x:c r="K36" s="83"/>
      <x:c r="L36" s="83"/>
      <x:c r="M36" s="83"/>
      <x:c r="N36" s="83"/>
      <x:c r="O36" s="83"/>
      <x:c r="P36" s="83"/>
      <x:c r="Q36" s="83"/>
      <x:c r="R36" s="83"/>
    </x:row>
    <x:row r="37">
      <x:c r="A37" s="83"/>
      <x:c r="B37" s="83"/>
      <x:c r="C37" s="83"/>
      <x:c r="D37" s="83"/>
      <x:c r="E37" s="83"/>
      <x:c r="F37" s="83"/>
      <x:c r="G37" s="83"/>
      <x:c r="H37" s="83"/>
      <x:c r="I37" s="83"/>
      <x:c r="J37" s="83"/>
      <x:c r="K37" s="83"/>
      <x:c r="L37" s="83"/>
      <x:c r="M37" s="83"/>
      <x:c r="N37" s="83"/>
      <x:c r="O37" s="83"/>
      <x:c r="P37" s="83"/>
      <x:c r="Q37" s="83"/>
      <x:c r="R37" s="83"/>
    </x:row>
    <x:row r="38">
      <x:c r="A38" s="83"/>
      <x:c r="B38" s="83"/>
      <x:c r="C38" s="83"/>
      <x:c r="D38" s="83"/>
      <x:c r="E38" s="83"/>
      <x:c r="F38" s="83"/>
      <x:c r="G38" s="83"/>
      <x:c r="H38" s="83"/>
      <x:c r="I38" s="83"/>
      <x:c r="J38" s="83"/>
      <x:c r="K38" s="83"/>
      <x:c r="L38" s="83"/>
      <x:c r="M38" s="83"/>
      <x:c r="N38" s="83"/>
      <x:c r="O38" s="83"/>
      <x:c r="P38" s="83"/>
      <x:c r="Q38" s="83"/>
      <x:c r="R38" s="83"/>
    </x:row>
    <x:row r="39">
      <x:c r="A39" s="83"/>
      <x:c r="B39" s="83"/>
      <x:c r="C39" s="83"/>
      <x:c r="D39" s="83"/>
      <x:c r="E39" s="83"/>
      <x:c r="F39" s="83"/>
      <x:c r="G39" s="83"/>
      <x:c r="H39" s="83"/>
      <x:c r="I39" s="83"/>
      <x:c r="J39" s="83"/>
      <x:c r="K39" s="83"/>
      <x:c r="L39" s="83"/>
      <x:c r="M39" s="83"/>
      <x:c r="N39" s="83"/>
      <x:c r="O39" s="83"/>
      <x:c r="P39" s="83"/>
      <x:c r="Q39" s="83"/>
      <x:c r="R39" s="83"/>
    </x:row>
    <x:row r="40">
      <x:c r="A40" s="83"/>
      <x:c r="B40" s="83"/>
      <x:c r="C40" s="83"/>
      <x:c r="D40" s="83"/>
      <x:c r="E40" s="83"/>
      <x:c r="F40" s="83"/>
      <x:c r="G40" s="83"/>
      <x:c r="H40" s="83"/>
      <x:c r="I40" s="83"/>
      <x:c r="J40" s="83"/>
      <x:c r="K40" s="83"/>
      <x:c r="L40" s="83"/>
      <x:c r="M40" s="83"/>
      <x:c r="N40" s="83"/>
      <x:c r="O40" s="83"/>
      <x:c r="P40" s="83"/>
      <x:c r="Q40" s="83"/>
      <x:c r="R40" s="83"/>
    </x:row>
    <x:row r="41">
      <x:c r="A41" s="83"/>
      <x:c r="B41" s="83"/>
      <x:c r="C41" s="83"/>
      <x:c r="D41" s="83"/>
      <x:c r="E41" s="83"/>
      <x:c r="F41" s="83"/>
      <x:c r="G41" s="83"/>
      <x:c r="H41" s="83"/>
      <x:c r="I41" s="83"/>
      <x:c r="J41" s="83"/>
      <x:c r="K41" s="83"/>
      <x:c r="L41" s="83"/>
      <x:c r="M41" s="83"/>
      <x:c r="N41" s="83"/>
      <x:c r="O41" s="83"/>
      <x:c r="P41" s="83"/>
      <x:c r="Q41" s="83"/>
      <x:c r="R41" s="83"/>
    </x:row>
    <x:row r="42">
      <x:c r="A42" s="83"/>
      <x:c r="B42" s="83"/>
      <x:c r="C42" s="83"/>
      <x:c r="D42" s="83"/>
      <x:c r="E42" s="83"/>
      <x:c r="F42" s="83"/>
      <x:c r="G42" s="83"/>
      <x:c r="H42" s="83"/>
      <x:c r="I42" s="83"/>
      <x:c r="J42" s="83"/>
      <x:c r="K42" s="83"/>
      <x:c r="L42" s="83"/>
      <x:c r="M42" s="83"/>
      <x:c r="N42" s="83"/>
      <x:c r="O42" s="83"/>
      <x:c r="P42" s="83"/>
      <x:c r="Q42" s="83"/>
      <x:c r="R42" s="83"/>
    </x:row>
    <x:row r="43">
      <x:c r="A43" s="83"/>
      <x:c r="B43" s="83"/>
      <x:c r="C43" s="83"/>
      <x:c r="D43" s="83"/>
      <x:c r="E43" s="83"/>
      <x:c r="F43" s="83"/>
      <x:c r="G43" s="83"/>
      <x:c r="H43" s="83"/>
      <x:c r="I43" s="83"/>
      <x:c r="J43" s="83"/>
      <x:c r="K43" s="83"/>
      <x:c r="L43" s="83"/>
      <x:c r="M43" s="83"/>
      <x:c r="N43" s="83"/>
      <x:c r="O43" s="83"/>
      <x:c r="P43" s="83"/>
      <x:c r="Q43" s="83"/>
      <x:c r="R43" s="83"/>
    </x:row>
    <x:row r="44">
      <x:c r="A44" s="83"/>
      <x:c r="B44" s="83"/>
      <x:c r="C44" s="83"/>
      <x:c r="D44" s="83"/>
      <x:c r="E44" s="83"/>
      <x:c r="F44" s="83"/>
      <x:c r="G44" s="83"/>
      <x:c r="H44" s="83"/>
      <x:c r="I44" s="83"/>
      <x:c r="J44" s="83"/>
      <x:c r="K44" s="83"/>
      <x:c r="L44" s="83"/>
      <x:c r="M44" s="83"/>
      <x:c r="N44" s="83"/>
      <x:c r="O44" s="83"/>
      <x:c r="P44" s="83"/>
      <x:c r="Q44" s="83"/>
      <x:c r="R44" s="83"/>
    </x:row>
    <x:row r="45">
      <x:c r="A45" s="83"/>
      <x:c r="B45" s="83"/>
      <x:c r="C45" s="83"/>
      <x:c r="D45" s="83"/>
      <x:c r="E45" s="83"/>
      <x:c r="F45" s="83"/>
      <x:c r="G45" s="83"/>
      <x:c r="H45" s="83"/>
      <x:c r="I45" s="83"/>
      <x:c r="J45" s="83"/>
      <x:c r="K45" s="83"/>
      <x:c r="L45" s="83"/>
      <x:c r="M45" s="83"/>
      <x:c r="N45" s="83"/>
      <x:c r="O45" s="83"/>
      <x:c r="P45" s="83"/>
      <x:c r="Q45" s="83"/>
      <x:c r="R45" s="83"/>
    </x:row>
    <x:row r="46">
      <x:c r="A46" s="83"/>
      <x:c r="B46" s="83"/>
      <x:c r="C46" s="83"/>
      <x:c r="D46" s="83"/>
      <x:c r="E46" s="83"/>
      <x:c r="F46" s="83"/>
      <x:c r="G46" s="83"/>
      <x:c r="H46" s="83"/>
      <x:c r="I46" s="83"/>
      <x:c r="J46" s="83"/>
      <x:c r="K46" s="83"/>
      <x:c r="L46" s="83"/>
      <x:c r="M46" s="83"/>
      <x:c r="N46" s="83"/>
      <x:c r="O46" s="83"/>
      <x:c r="P46" s="83"/>
      <x:c r="Q46" s="83"/>
      <x:c r="R46" s="83"/>
    </x:row>
    <x:row r="47">
      <x:c r="A47" s="83"/>
      <x:c r="B47" s="83"/>
      <x:c r="C47" s="83"/>
      <x:c r="D47" s="83"/>
      <x:c r="E47" s="83"/>
      <x:c r="F47" s="83"/>
      <x:c r="G47" s="83"/>
      <x:c r="H47" s="83"/>
      <x:c r="I47" s="83"/>
      <x:c r="J47" s="83"/>
      <x:c r="K47" s="83"/>
      <x:c r="L47" s="83"/>
      <x:c r="M47" s="83"/>
      <x:c r="N47" s="83"/>
      <x:c r="O47" s="83"/>
      <x:c r="P47" s="83"/>
      <x:c r="Q47" s="83"/>
      <x:c r="R47" s="83"/>
    </x:row>
    <x:row r="48">
      <x:c r="A48" s="83"/>
      <x:c r="B48" s="83"/>
      <x:c r="C48" s="83"/>
      <x:c r="D48" s="83"/>
      <x:c r="E48" s="83"/>
      <x:c r="F48" s="83"/>
      <x:c r="G48" s="83"/>
      <x:c r="H48" s="83"/>
      <x:c r="I48" s="83"/>
      <x:c r="J48" s="83"/>
      <x:c r="K48" s="83"/>
      <x:c r="L48" s="83"/>
      <x:c r="M48" s="83"/>
      <x:c r="N48" s="83"/>
      <x:c r="O48" s="83"/>
      <x:c r="P48" s="83"/>
      <x:c r="Q48" s="83"/>
      <x:c r="R48" s="83"/>
    </x:row>
    <x:row r="49">
      <x:c r="A49" s="83"/>
      <x:c r="B49" s="83"/>
      <x:c r="C49" s="83"/>
      <x:c r="D49" s="83"/>
      <x:c r="E49" s="83"/>
      <x:c r="F49" s="83"/>
      <x:c r="G49" s="83"/>
      <x:c r="H49" s="83"/>
      <x:c r="I49" s="83"/>
      <x:c r="J49" s="83"/>
      <x:c r="K49" s="83"/>
      <x:c r="L49" s="83"/>
      <x:c r="M49" s="83"/>
      <x:c r="N49" s="83"/>
      <x:c r="O49" s="83"/>
      <x:c r="P49" s="83"/>
      <x:c r="Q49" s="83"/>
      <x:c r="R49" s="83"/>
    </x:row>
    <x:row r="50">
      <x:c r="A50" s="83"/>
      <x:c r="B50" s="83"/>
      <x:c r="C50" s="83"/>
      <x:c r="D50" s="83"/>
      <x:c r="E50" s="83"/>
      <x:c r="F50" s="83"/>
      <x:c r="G50" s="83"/>
      <x:c r="H50" s="83"/>
      <x:c r="I50" s="83"/>
      <x:c r="J50" s="83"/>
      <x:c r="K50" s="83"/>
      <x:c r="L50" s="83"/>
      <x:c r="M50" s="83"/>
      <x:c r="N50" s="83"/>
      <x:c r="O50" s="83"/>
      <x:c r="P50" s="83"/>
      <x:c r="Q50" s="83"/>
      <x:c r="R50" s="83"/>
    </x:row>
    <x:row r="51">
      <x:c r="A51" s="83"/>
      <x:c r="B51" s="83"/>
      <x:c r="C51" s="83"/>
      <x:c r="D51" s="83"/>
      <x:c r="E51" s="83"/>
      <x:c r="F51" s="83"/>
      <x:c r="G51" s="83"/>
      <x:c r="H51" s="83"/>
      <x:c r="I51" s="83"/>
      <x:c r="J51" s="83"/>
      <x:c r="K51" s="83"/>
      <x:c r="L51" s="83"/>
      <x:c r="M51" s="83"/>
      <x:c r="N51" s="83"/>
      <x:c r="O51" s="83"/>
      <x:c r="P51" s="83"/>
      <x:c r="Q51" s="83"/>
      <x:c r="R51" s="83"/>
    </x:row>
    <x:row r="52">
      <x:c r="A52" s="83"/>
      <x:c r="B52" s="83"/>
      <x:c r="C52" s="83"/>
      <x:c r="D52" s="83"/>
      <x:c r="E52" s="83"/>
      <x:c r="F52" s="83"/>
      <x:c r="G52" s="83"/>
      <x:c r="H52" s="83"/>
      <x:c r="I52" s="83"/>
      <x:c r="J52" s="83"/>
      <x:c r="K52" s="83"/>
      <x:c r="L52" s="83"/>
      <x:c r="M52" s="83"/>
      <x:c r="N52" s="83"/>
      <x:c r="O52" s="83"/>
      <x:c r="P52" s="83"/>
      <x:c r="Q52" s="83"/>
      <x:c r="R52" s="83"/>
    </x:row>
    <x:row r="53">
      <x:c r="A53" s="83"/>
      <x:c r="B53" s="83"/>
      <x:c r="C53" s="83"/>
      <x:c r="D53" s="83"/>
      <x:c r="E53" s="83"/>
      <x:c r="F53" s="83"/>
      <x:c r="G53" s="83"/>
      <x:c r="H53" s="83"/>
      <x:c r="I53" s="83"/>
      <x:c r="J53" s="83"/>
      <x:c r="K53" s="83"/>
      <x:c r="L53" s="83"/>
      <x:c r="M53" s="83"/>
      <x:c r="N53" s="83"/>
      <x:c r="O53" s="83"/>
      <x:c r="P53" s="83"/>
      <x:c r="Q53" s="83"/>
      <x:c r="R53" s="83"/>
    </x:row>
    <x:row r="54">
      <x:c r="A54" s="83"/>
      <x:c r="B54" s="83"/>
      <x:c r="C54" s="83"/>
      <x:c r="D54" s="83"/>
      <x:c r="E54" s="83"/>
      <x:c r="F54" s="83"/>
      <x:c r="G54" s="83"/>
      <x:c r="H54" s="83"/>
      <x:c r="I54" s="83"/>
      <x:c r="J54" s="83"/>
      <x:c r="K54" s="83"/>
      <x:c r="L54" s="83"/>
      <x:c r="M54" s="83"/>
      <x:c r="N54" s="83"/>
      <x:c r="O54" s="83"/>
      <x:c r="P54" s="83"/>
      <x:c r="Q54" s="83"/>
      <x:c r="R54" s="83"/>
    </x:row>
    <x:row r="55">
      <x:c r="A55" s="83"/>
      <x:c r="B55" s="83"/>
      <x:c r="C55" s="83"/>
      <x:c r="D55" s="83"/>
      <x:c r="E55" s="83"/>
      <x:c r="F55" s="83"/>
      <x:c r="G55" s="83"/>
      <x:c r="H55" s="83"/>
      <x:c r="I55" s="83"/>
      <x:c r="J55" s="83"/>
      <x:c r="K55" s="83"/>
      <x:c r="L55" s="83"/>
      <x:c r="M55" s="83"/>
      <x:c r="N55" s="83"/>
      <x:c r="O55" s="83"/>
      <x:c r="P55" s="83"/>
      <x:c r="Q55" s="83"/>
      <x:c r="R55" s="83"/>
    </x:row>
    <x:row r="56">
      <x:c r="A56" s="83"/>
      <x:c r="B56" s="83"/>
      <x:c r="C56" s="83"/>
      <x:c r="D56" s="83"/>
      <x:c r="E56" s="83"/>
      <x:c r="F56" s="83"/>
      <x:c r="G56" s="83"/>
      <x:c r="H56" s="83"/>
      <x:c r="I56" s="83"/>
      <x:c r="J56" s="83"/>
      <x:c r="K56" s="83"/>
      <x:c r="L56" s="83"/>
      <x:c r="M56" s="83"/>
      <x:c r="N56" s="83"/>
      <x:c r="O56" s="83"/>
      <x:c r="P56" s="83"/>
      <x:c r="Q56" s="83"/>
      <x:c r="R56" s="83"/>
    </x:row>
    <x:row r="57">
      <x:c r="A57" s="83"/>
      <x:c r="B57" s="83"/>
      <x:c r="C57" s="83"/>
      <x:c r="D57" s="83"/>
      <x:c r="E57" s="83"/>
      <x:c r="F57" s="83"/>
      <x:c r="G57" s="83"/>
      <x:c r="H57" s="83"/>
      <x:c r="I57" s="83"/>
      <x:c r="J57" s="83"/>
      <x:c r="K57" s="83"/>
      <x:c r="L57" s="83"/>
      <x:c r="M57" s="83"/>
      <x:c r="N57" s="83"/>
      <x:c r="O57" s="83"/>
      <x:c r="P57" s="83"/>
      <x:c r="Q57" s="83"/>
      <x:c r="R57" s="83"/>
    </x:row>
    <x:row r="58">
      <x:c r="A58" s="83"/>
      <x:c r="B58" s="83"/>
      <x:c r="C58" s="83"/>
      <x:c r="D58" s="83"/>
      <x:c r="E58" s="83"/>
      <x:c r="F58" s="83"/>
      <x:c r="G58" s="83"/>
      <x:c r="H58" s="83"/>
      <x:c r="I58" s="83"/>
      <x:c r="J58" s="83"/>
      <x:c r="K58" s="83"/>
      <x:c r="L58" s="83"/>
      <x:c r="M58" s="83"/>
      <x:c r="N58" s="83"/>
      <x:c r="O58" s="83"/>
      <x:c r="P58" s="83"/>
      <x:c r="Q58" s="83"/>
      <x:c r="R58" s="83"/>
    </x:row>
    <x:row r="59">
      <x:c r="A59" s="83"/>
      <x:c r="B59" s="83"/>
      <x:c r="C59" s="83"/>
      <x:c r="D59" s="83"/>
      <x:c r="E59" s="83"/>
      <x:c r="F59" s="83"/>
      <x:c r="G59" s="83"/>
      <x:c r="H59" s="83"/>
      <x:c r="I59" s="83"/>
      <x:c r="J59" s="83"/>
      <x:c r="K59" s="83"/>
      <x:c r="L59" s="83"/>
      <x:c r="M59" s="83"/>
      <x:c r="N59" s="83"/>
      <x:c r="O59" s="83"/>
      <x:c r="P59" s="83"/>
      <x:c r="Q59" s="83"/>
      <x:c r="R59" s="83"/>
    </x:row>
    <x:row r="60">
      <x:c r="A60" s="83"/>
      <x:c r="B60" s="83"/>
      <x:c r="C60" s="83"/>
      <x:c r="D60" s="83"/>
      <x:c r="E60" s="83"/>
      <x:c r="F60" s="83"/>
      <x:c r="G60" s="83"/>
      <x:c r="H60" s="83"/>
      <x:c r="I60" s="83"/>
      <x:c r="J60" s="83"/>
      <x:c r="K60" s="83"/>
      <x:c r="L60" s="83"/>
      <x:c r="M60" s="83"/>
      <x:c r="N60" s="83"/>
      <x:c r="O60" s="83"/>
      <x:c r="P60" s="83"/>
      <x:c r="Q60" s="83"/>
      <x:c r="R60" s="83"/>
    </x:row>
    <x:row r="61">
      <x:c r="A61" s="83"/>
      <x:c r="B61" s="83"/>
      <x:c r="C61" s="83"/>
      <x:c r="D61" s="83"/>
      <x:c r="E61" s="83"/>
      <x:c r="F61" s="83"/>
      <x:c r="G61" s="83"/>
      <x:c r="H61" s="83"/>
      <x:c r="I61" s="83"/>
      <x:c r="J61" s="83"/>
      <x:c r="K61" s="83"/>
      <x:c r="L61" s="83"/>
      <x:c r="M61" s="83"/>
      <x:c r="N61" s="83"/>
      <x:c r="O61" s="83"/>
      <x:c r="P61" s="83"/>
      <x:c r="Q61" s="83"/>
      <x:c r="R61" s="83"/>
    </x:row>
    <x:row r="62">
      <x:c r="A62" s="83"/>
      <x:c r="B62" s="83"/>
      <x:c r="C62" s="83"/>
      <x:c r="D62" s="83"/>
      <x:c r="E62" s="83"/>
      <x:c r="F62" s="83"/>
      <x:c r="G62" s="83"/>
      <x:c r="H62" s="83"/>
      <x:c r="I62" s="83"/>
      <x:c r="J62" s="83"/>
      <x:c r="K62" s="83"/>
      <x:c r="L62" s="83"/>
      <x:c r="M62" s="83"/>
      <x:c r="N62" s="83"/>
      <x:c r="O62" s="83"/>
      <x:c r="P62" s="83"/>
      <x:c r="Q62" s="83"/>
      <x:c r="R62" s="83"/>
    </x:row>
    <x:row r="63">
      <x:c r="A63" s="83"/>
      <x:c r="B63" s="83"/>
      <x:c r="C63" s="83"/>
      <x:c r="D63" s="83"/>
      <x:c r="E63" s="83"/>
      <x:c r="F63" s="83"/>
      <x:c r="G63" s="83"/>
      <x:c r="H63" s="83"/>
      <x:c r="I63" s="83"/>
      <x:c r="J63" s="83"/>
      <x:c r="K63" s="83"/>
      <x:c r="L63" s="83"/>
      <x:c r="M63" s="83"/>
      <x:c r="N63" s="83"/>
      <x:c r="O63" s="83"/>
      <x:c r="P63" s="83"/>
      <x:c r="Q63" s="83"/>
      <x:c r="R63" s="83"/>
    </x:row>
    <x:row r="64">
      <x:c r="A64" s="83"/>
      <x:c r="B64" s="83"/>
      <x:c r="C64" s="83"/>
      <x:c r="D64" s="83"/>
      <x:c r="E64" s="83"/>
      <x:c r="F64" s="83"/>
      <x:c r="G64" s="83"/>
      <x:c r="H64" s="83"/>
      <x:c r="I64" s="83"/>
      <x:c r="J64" s="83"/>
      <x:c r="K64" s="83"/>
      <x:c r="L64" s="83"/>
      <x:c r="M64" s="83"/>
      <x:c r="N64" s="83"/>
      <x:c r="O64" s="83"/>
      <x:c r="P64" s="83"/>
      <x:c r="Q64" s="83"/>
      <x:c r="R64" s="83"/>
    </x:row>
    <x:row r="65">
      <x:c r="A65" s="83"/>
      <x:c r="B65" s="83"/>
      <x:c r="C65" s="83"/>
      <x:c r="D65" s="83"/>
      <x:c r="E65" s="83"/>
      <x:c r="F65" s="83"/>
      <x:c r="G65" s="83"/>
      <x:c r="H65" s="83"/>
      <x:c r="I65" s="83"/>
      <x:c r="J65" s="83"/>
      <x:c r="K65" s="83"/>
      <x:c r="L65" s="83"/>
      <x:c r="M65" s="83"/>
      <x:c r="N65" s="83"/>
      <x:c r="O65" s="83"/>
      <x:c r="P65" s="83"/>
      <x:c r="Q65" s="83"/>
      <x:c r="R65" s="83"/>
    </x:row>
    <x:row r="66">
      <x:c r="A66" s="83"/>
      <x:c r="B66" s="83"/>
      <x:c r="C66" s="83"/>
      <x:c r="D66" s="83"/>
      <x:c r="E66" s="83"/>
      <x:c r="F66" s="83"/>
      <x:c r="G66" s="83"/>
      <x:c r="H66" s="83"/>
      <x:c r="I66" s="83"/>
      <x:c r="J66" s="83"/>
      <x:c r="K66" s="83"/>
      <x:c r="L66" s="83"/>
      <x:c r="M66" s="83"/>
      <x:c r="N66" s="83"/>
      <x:c r="O66" s="83"/>
      <x:c r="P66" s="83"/>
      <x:c r="Q66" s="83"/>
      <x:c r="R66" s="83"/>
    </x:row>
    <x:row r="67">
      <x:c r="A67" s="83"/>
      <x:c r="B67" s="83"/>
      <x:c r="C67" s="83"/>
      <x:c r="D67" s="83"/>
      <x:c r="E67" s="83"/>
      <x:c r="F67" s="83"/>
      <x:c r="G67" s="83"/>
      <x:c r="H67" s="83"/>
      <x:c r="I67" s="83"/>
      <x:c r="J67" s="83"/>
      <x:c r="K67" s="83"/>
      <x:c r="L67" s="83"/>
      <x:c r="M67" s="83"/>
      <x:c r="N67" s="83"/>
      <x:c r="O67" s="83"/>
      <x:c r="P67" s="83"/>
      <x:c r="Q67" s="83"/>
      <x:c r="R67" s="83"/>
    </x:row>
    <x:row r="68">
      <x:c r="A68" s="83"/>
      <x:c r="B68" s="83"/>
      <x:c r="C68" s="83"/>
      <x:c r="D68" s="83"/>
      <x:c r="E68" s="83"/>
      <x:c r="F68" s="83"/>
      <x:c r="G68" s="83"/>
      <x:c r="H68" s="83"/>
      <x:c r="I68" s="83"/>
      <x:c r="J68" s="83"/>
      <x:c r="K68" s="83"/>
      <x:c r="L68" s="83"/>
      <x:c r="M68" s="83"/>
      <x:c r="N68" s="83"/>
      <x:c r="O68" s="83"/>
      <x:c r="P68" s="83"/>
      <x:c r="Q68" s="83"/>
      <x:c r="R68" s="83"/>
    </x:row>
    <x:row r="69">
      <x:c r="A69" s="83"/>
      <x:c r="B69" s="83"/>
      <x:c r="C69" s="83"/>
      <x:c r="D69" s="83"/>
      <x:c r="E69" s="83"/>
      <x:c r="F69" s="83"/>
      <x:c r="G69" s="83"/>
      <x:c r="H69" s="83"/>
      <x:c r="I69" s="83"/>
      <x:c r="J69" s="83"/>
      <x:c r="K69" s="83"/>
      <x:c r="L69" s="83"/>
      <x:c r="M69" s="83"/>
      <x:c r="N69" s="83"/>
      <x:c r="O69" s="83"/>
      <x:c r="P69" s="83"/>
      <x:c r="Q69" s="83"/>
      <x:c r="R69" s="83"/>
    </x:row>
    <x:row r="70">
      <x:c r="A70" s="83"/>
      <x:c r="B70" s="83"/>
      <x:c r="C70" s="83"/>
      <x:c r="D70" s="83"/>
      <x:c r="E70" s="83"/>
      <x:c r="F70" s="83"/>
      <x:c r="G70" s="83"/>
      <x:c r="H70" s="83"/>
      <x:c r="I70" s="83"/>
      <x:c r="J70" s="83"/>
      <x:c r="K70" s="83"/>
      <x:c r="L70" s="83"/>
      <x:c r="M70" s="83"/>
      <x:c r="N70" s="83"/>
      <x:c r="O70" s="83"/>
      <x:c r="P70" s="83"/>
      <x:c r="Q70" s="83"/>
      <x:c r="R70" s="83"/>
    </x:row>
    <x:row r="71">
      <x:c r="A71" s="83"/>
      <x:c r="B71" s="83"/>
      <x:c r="C71" s="83"/>
      <x:c r="D71" s="83"/>
      <x:c r="E71" s="83"/>
      <x:c r="F71" s="83"/>
      <x:c r="G71" s="83"/>
      <x:c r="H71" s="83"/>
      <x:c r="I71" s="83"/>
      <x:c r="J71" s="83"/>
      <x:c r="K71" s="83"/>
      <x:c r="L71" s="83"/>
      <x:c r="M71" s="83"/>
      <x:c r="N71" s="83"/>
      <x:c r="O71" s="83"/>
      <x:c r="P71" s="83"/>
      <x:c r="Q71" s="83"/>
      <x:c r="R71" s="83"/>
    </x:row>
    <x:row r="72">
      <x:c r="A72" s="83"/>
      <x:c r="B72" s="83"/>
      <x:c r="C72" s="83"/>
      <x:c r="D72" s="83"/>
      <x:c r="E72" s="83"/>
      <x:c r="F72" s="83"/>
      <x:c r="G72" s="83"/>
      <x:c r="H72" s="83"/>
      <x:c r="I72" s="83"/>
      <x:c r="J72" s="83"/>
      <x:c r="K72" s="83"/>
      <x:c r="L72" s="83"/>
      <x:c r="M72" s="83"/>
      <x:c r="N72" s="83"/>
      <x:c r="O72" s="83"/>
      <x:c r="P72" s="83"/>
      <x:c r="Q72" s="83"/>
      <x:c r="R72" s="83"/>
    </x:row>
    <x:row r="73">
      <x:c r="A73" s="83"/>
      <x:c r="B73" s="83"/>
      <x:c r="C73" s="83"/>
      <x:c r="D73" s="83"/>
      <x:c r="E73" s="83"/>
      <x:c r="F73" s="83"/>
      <x:c r="G73" s="83"/>
      <x:c r="H73" s="83"/>
      <x:c r="I73" s="83"/>
      <x:c r="J73" s="83"/>
      <x:c r="K73" s="83"/>
      <x:c r="L73" s="83"/>
      <x:c r="M73" s="83"/>
      <x:c r="N73" s="83"/>
      <x:c r="O73" s="83"/>
      <x:c r="P73" s="83"/>
      <x:c r="Q73" s="83"/>
      <x:c r="R73" s="83"/>
    </x:row>
    <x:row r="74">
      <x:c r="A74" s="83"/>
      <x:c r="B74" s="83"/>
      <x:c r="C74" s="83"/>
      <x:c r="D74" s="83"/>
      <x:c r="E74" s="83"/>
      <x:c r="F74" s="83"/>
      <x:c r="G74" s="83"/>
      <x:c r="H74" s="83"/>
      <x:c r="I74" s="83"/>
      <x:c r="J74" s="83"/>
      <x:c r="K74" s="83"/>
      <x:c r="L74" s="83"/>
      <x:c r="M74" s="83"/>
      <x:c r="N74" s="83"/>
      <x:c r="O74" s="83"/>
      <x:c r="P74" s="83"/>
      <x:c r="Q74" s="83"/>
      <x:c r="R74" s="83"/>
    </x:row>
    <x:row r="75">
      <x:c r="A75" s="83"/>
      <x:c r="B75" s="83"/>
      <x:c r="C75" s="83"/>
      <x:c r="D75" s="83"/>
      <x:c r="E75" s="83"/>
      <x:c r="F75" s="83"/>
      <x:c r="G75" s="83"/>
      <x:c r="H75" s="83"/>
      <x:c r="I75" s="83"/>
      <x:c r="J75" s="83"/>
      <x:c r="K75" s="83"/>
      <x:c r="L75" s="83"/>
      <x:c r="M75" s="83"/>
      <x:c r="N75" s="83"/>
      <x:c r="O75" s="83"/>
      <x:c r="P75" s="83"/>
      <x:c r="Q75" s="83"/>
      <x:c r="R75" s="83"/>
    </x:row>
    <x:row r="76">
      <x:c r="A76" s="83"/>
      <x:c r="B76" s="83"/>
      <x:c r="C76" s="83"/>
      <x:c r="D76" s="83"/>
      <x:c r="E76" s="83"/>
      <x:c r="F76" s="83"/>
      <x:c r="G76" s="83"/>
      <x:c r="H76" s="83"/>
      <x:c r="I76" s="83"/>
      <x:c r="J76" s="83"/>
      <x:c r="K76" s="83"/>
      <x:c r="L76" s="83"/>
      <x:c r="M76" s="83"/>
      <x:c r="N76" s="83"/>
      <x:c r="O76" s="83"/>
      <x:c r="P76" s="83"/>
      <x:c r="Q76" s="83"/>
      <x:c r="R76" s="83"/>
    </x:row>
    <x:row r="77">
      <x:c r="A77" s="83"/>
      <x:c r="B77" s="83"/>
      <x:c r="C77" s="83"/>
      <x:c r="D77" s="83"/>
      <x:c r="E77" s="83"/>
      <x:c r="F77" s="83"/>
      <x:c r="G77" s="83"/>
      <x:c r="H77" s="83"/>
      <x:c r="I77" s="83"/>
      <x:c r="J77" s="83"/>
      <x:c r="K77" s="83"/>
      <x:c r="L77" s="83"/>
      <x:c r="M77" s="83"/>
      <x:c r="N77" s="83"/>
      <x:c r="O77" s="83"/>
      <x:c r="P77" s="83"/>
      <x:c r="Q77" s="83"/>
      <x:c r="R77" s="83"/>
    </x:row>
    <x:row r="78">
      <x:c r="A78" s="83"/>
      <x:c r="B78" s="83"/>
      <x:c r="C78" s="83"/>
      <x:c r="D78" s="83"/>
      <x:c r="E78" s="83"/>
      <x:c r="F78" s="83"/>
      <x:c r="G78" s="83"/>
      <x:c r="H78" s="83"/>
      <x:c r="I78" s="83"/>
      <x:c r="J78" s="83"/>
      <x:c r="K78" s="83"/>
      <x:c r="L78" s="83"/>
      <x:c r="M78" s="83"/>
      <x:c r="N78" s="83"/>
      <x:c r="O78" s="83"/>
      <x:c r="P78" s="83"/>
      <x:c r="Q78" s="83"/>
      <x:c r="R78" s="83"/>
    </x:row>
    <x:row r="79">
      <x:c r="A79" s="83"/>
      <x:c r="B79" s="83"/>
      <x:c r="C79" s="83"/>
      <x:c r="D79" s="83"/>
      <x:c r="E79" s="83"/>
      <x:c r="F79" s="83"/>
      <x:c r="G79" s="83"/>
      <x:c r="H79" s="83"/>
      <x:c r="I79" s="83"/>
      <x:c r="J79" s="83"/>
      <x:c r="K79" s="83"/>
      <x:c r="L79" s="83"/>
      <x:c r="M79" s="83"/>
      <x:c r="N79" s="83"/>
      <x:c r="O79" s="83"/>
      <x:c r="P79" s="83"/>
      <x:c r="Q79" s="83"/>
      <x:c r="R79" s="83"/>
    </x:row>
    <x:row r="80">
      <x:c r="A80" s="83"/>
      <x:c r="B80" s="83"/>
      <x:c r="C80" s="83"/>
      <x:c r="D80" s="83"/>
      <x:c r="E80" s="83"/>
      <x:c r="F80" s="83"/>
      <x:c r="G80" s="83"/>
      <x:c r="H80" s="83"/>
      <x:c r="I80" s="83"/>
      <x:c r="J80" s="83"/>
      <x:c r="K80" s="83"/>
      <x:c r="L80" s="83"/>
      <x:c r="M80" s="83"/>
      <x:c r="N80" s="83"/>
      <x:c r="O80" s="83"/>
      <x:c r="P80" s="83"/>
      <x:c r="Q80" s="83"/>
      <x:c r="R80" s="83"/>
    </x:row>
  </x:sheetData>
  <x:mergeCells>
    <x:mergeCell ref="A1:F1"/>
  </x:mergeCells>
  <x:conditionalFormatting sqref="E5:E9">
    <x:cfRule type="expression" dxfId="0" priority="1">
      <x:formula>OR(E5="ACTION NEEDED",E5="REVIEW")</x:formula>
    </x:cfRule>
  </x:conditionalFormatting>
  <x:dataValidations count="2">
    <x:dataValidation type="list" sqref="B5">
      <x:formula1>_LISTS!$A$2:$A$8</x:formula1>
    </x:dataValidation>
    <x:dataValidation type="list" sqref="B6">
      <x:formula1>_LISTS!$B$2:$B$6</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11" hidden="0" customWidth="1"/>
    <x:col min="2" max="2" width="12" hidden="0" customWidth="1"/>
    <x:col min="3" max="3" width="28" hidden="0" customWidth="1"/>
    <x:col min="4" max="4" width="28" hidden="0" customWidth="1"/>
    <x:col min="5" max="5" width="30" hidden="0" customWidth="1"/>
    <x:col min="6" max="6" width="48" hidden="0" customWidth="1"/>
    <x:col min="7" max="7" width="14" hidden="0" customWidth="1"/>
    <x:col min="8" max="8" width="15" hidden="0" customWidth="1"/>
    <x:col min="9" max="9" width="18" hidden="0" customWidth="1"/>
    <x:col min="10" max="10" width="18" hidden="0" customWidth="1"/>
    <x:col min="11" max="11" width="12" hidden="0" customWidth="1"/>
    <x:col min="12" max="12" width="28" hidden="0" customWidth="1"/>
  </x:cols>
  <x:sheetData>
    <x:row r="1">
      <x:c r="A1" s="133" t="str">
        <x:v>OBJECTIVES — enter the outcome once; the workbook tracks whether it is taught, practiced, and assessed</x:v>
      </x:c>
      <x:c r="B1" s="133"/>
      <x:c r="C1" s="133"/>
      <x:c r="D1" s="133"/>
      <x:c r="E1" s="133"/>
      <x:c r="F1" s="133"/>
      <x:c r="G1" s="133"/>
      <x:c r="H1" s="133"/>
      <x:c r="I1" s="133"/>
      <x:c r="J1" s="133"/>
      <x:c r="K1" s="133"/>
      <x:c r="L1" s="133"/>
      <x:c r="M1" s="83"/>
      <x:c r="N1" s="83"/>
      <x:c r="O1" s="83"/>
      <x:c r="P1" s="83"/>
      <x:c r="Q1" s="83"/>
      <x:c r="R1" s="83"/>
    </x:row>
    <x:row r="2">
      <x:c r="A2" s="83"/>
      <x:c r="B2" s="83"/>
      <x:c r="C2" s="83"/>
      <x:c r="D2" s="83"/>
      <x:c r="E2" s="83"/>
      <x:c r="F2" s="83"/>
      <x:c r="G2" s="83"/>
      <x:c r="H2" s="83"/>
      <x:c r="I2" s="83"/>
      <x:c r="J2" s="83"/>
      <x:c r="K2" s="83"/>
      <x:c r="L2" s="83"/>
      <x:c r="M2" s="83"/>
      <x:c r="N2" s="83"/>
      <x:c r="O2" s="83"/>
      <x:c r="P2" s="83"/>
      <x:c r="Q2" s="83"/>
      <x:c r="R2" s="83"/>
    </x:row>
    <x:row r="3">
      <x:c r="A3" s="113" t="str">
        <x:v>Objective ID</x:v>
      </x:c>
      <x:c r="B3" s="113" t="str">
        <x:v>Verb</x:v>
      </x:c>
      <x:c r="C3" s="113" t="str">
        <x:v>Skill / Behavior</x:v>
      </x:c>
      <x:c r="D3" s="113" t="str">
        <x:v>Context / Condition</x:v>
      </x:c>
      <x:c r="E3" s="113" t="str">
        <x:v>Success / Output</x:v>
      </x:c>
      <x:c r="F3" s="113" t="str">
        <x:v>Auto Objective Text</x:v>
      </x:c>
      <x:c r="G3" s="113" t="str">
        <x:v>Mapped Segments</x:v>
      </x:c>
      <x:c r="H3" s="113" t="str">
        <x:v>Practice Segments</x:v>
      </x:c>
      <x:c r="I3" s="113" t="str">
        <x:v>Assessment Segments</x:v>
      </x:c>
      <x:c r="J3" s="113" t="str">
        <x:v>Coverage QA</x:v>
      </x:c>
      <x:c r="K3" s="113" t="str">
        <x:v>Priority</x:v>
      </x:c>
      <x:c r="L3" s="113" t="str">
        <x:v>Notes</x:v>
      </x:c>
      <x:c r="M3" s="83"/>
      <x:c r="N3" s="83"/>
      <x:c r="O3" s="83"/>
      <x:c r="P3" s="83"/>
      <x:c r="Q3" s="83"/>
      <x:c r="R3" s="83"/>
    </x:row>
    <x:row r="4">
      <x:c r="A4" s="114" t="str">
        <x:f>IF(C4="","","O"&amp;TEXT(ROW()-3,"00"))</x:f>
      </x:c>
      <x:c r="B4" s="111"/>
      <x:c r="C4" s="111"/>
      <x:c r="D4" s="111"/>
      <x:c r="E4" s="111"/>
      <x:c r="F4" s="114" t="str">
        <x:f>IF(C4="","",B4&amp;" "&amp;C4&amp;IF(D4="",""," "&amp;D4)&amp;IF(E4="","",". "&amp;E4))</x:f>
      </x:c>
      <x:c r="G4" s="114" t="str">
        <x:f>IF(A4="","",COUNTIF(OUTLINE!$G$4:$G$43,A4))</x:f>
      </x:c>
      <x:c r="H4" s="114" t="str">
        <x:f>IF(A4="","",COUNTIFS(OUTLINE!$G$4:$G$43,A4,OUTLINE!$E$4:$E$43,"Exercise / Practice")+COUNTIFS(OUTLINE!$G$4:$G$43,A4,OUTLINE!$E$4:$E$43,"Case Study")+COUNTIFS(OUTLINE!$G$4:$G$43,A4,OUTLINE!$E$4:$E$43,"Tool / Demo"))</x:f>
      </x:c>
      <x:c r="I4" s="114" t="str">
        <x:f>IF(A4="","",COUNTIFS(OUTLINE!$G$4:$G$43,A4,OUTLINE!$J$4:$J$43,"&lt;&gt;None",OUTLINE!$J$4:$J$43,"&lt;&gt;"))</x:f>
      </x:c>
      <x:c r="J4" s="114" t="str">
        <x:f>IF(A4="","",IF(G4=0,"NOT MAPPED",IF(H4=0,"NO PRACTICE",IF(I4=0,"NO ASSESSMENT","OK"))))</x:f>
      </x:c>
      <x:c r="K4" s="111"/>
      <x:c r="L4" s="111"/>
      <x:c r="M4" s="83"/>
      <x:c r="N4" s="83"/>
      <x:c r="O4" s="83"/>
      <x:c r="P4" s="83"/>
      <x:c r="Q4" s="83"/>
      <x:c r="R4" s="83"/>
    </x:row>
    <x:row r="5">
      <x:c r="A5" s="114" t="str">
        <x:f>IF(C5="","","O"&amp;TEXT(ROW()-3,"00"))</x:f>
      </x:c>
      <x:c r="B5" s="111"/>
      <x:c r="C5" s="111"/>
      <x:c r="D5" s="111"/>
      <x:c r="E5" s="111"/>
      <x:c r="F5" s="114" t="str">
        <x:f>IF(C5="","",B5&amp;" "&amp;C5&amp;IF(D5="",""," "&amp;D5)&amp;IF(E5="","",". "&amp;E5))</x:f>
      </x:c>
      <x:c r="G5" s="114" t="str">
        <x:f>IF(A5="","",COUNTIF(OUTLINE!$G$4:$G$43,A5))</x:f>
      </x:c>
      <x:c r="H5" s="114" t="str">
        <x:f>IF(A5="","",COUNTIFS(OUTLINE!$G$4:$G$43,A5,OUTLINE!$E$4:$E$43,"Exercise / Practice")+COUNTIFS(OUTLINE!$G$4:$G$43,A5,OUTLINE!$E$4:$E$43,"Case Study")+COUNTIFS(OUTLINE!$G$4:$G$43,A5,OUTLINE!$E$4:$E$43,"Tool / Demo"))</x:f>
      </x:c>
      <x:c r="I5" s="114" t="str">
        <x:f>IF(A5="","",COUNTIFS(OUTLINE!$G$4:$G$43,A5,OUTLINE!$J$4:$J$43,"&lt;&gt;None",OUTLINE!$J$4:$J$43,"&lt;&gt;"))</x:f>
      </x:c>
      <x:c r="J5" s="114" t="str">
        <x:f>IF(A5="","",IF(G5=0,"NOT MAPPED",IF(H5=0,"NO PRACTICE",IF(I5=0,"NO ASSESSMENT","OK"))))</x:f>
      </x:c>
      <x:c r="K5" s="111"/>
      <x:c r="L5" s="111"/>
      <x:c r="M5" s="83"/>
      <x:c r="N5" s="83"/>
      <x:c r="O5" s="83"/>
      <x:c r="P5" s="83"/>
      <x:c r="Q5" s="83"/>
      <x:c r="R5" s="83"/>
    </x:row>
    <x:row r="6">
      <x:c r="A6" s="114" t="str">
        <x:f>IF(C6="","","O"&amp;TEXT(ROW()-3,"00"))</x:f>
      </x:c>
      <x:c r="B6" s="111"/>
      <x:c r="C6" s="111"/>
      <x:c r="D6" s="111"/>
      <x:c r="E6" s="111"/>
      <x:c r="F6" s="114" t="str">
        <x:f>IF(C6="","",B6&amp;" "&amp;C6&amp;IF(D6="",""," "&amp;D6)&amp;IF(E6="","",". "&amp;E6))</x:f>
      </x:c>
      <x:c r="G6" s="114" t="str">
        <x:f>IF(A6="","",COUNTIF(OUTLINE!$G$4:$G$43,A6))</x:f>
      </x:c>
      <x:c r="H6" s="114" t="str">
        <x:f>IF(A6="","",COUNTIFS(OUTLINE!$G$4:$G$43,A6,OUTLINE!$E$4:$E$43,"Exercise / Practice")+COUNTIFS(OUTLINE!$G$4:$G$43,A6,OUTLINE!$E$4:$E$43,"Case Study")+COUNTIFS(OUTLINE!$G$4:$G$43,A6,OUTLINE!$E$4:$E$43,"Tool / Demo"))</x:f>
      </x:c>
      <x:c r="I6" s="114" t="str">
        <x:f>IF(A6="","",COUNTIFS(OUTLINE!$G$4:$G$43,A6,OUTLINE!$J$4:$J$43,"&lt;&gt;None",OUTLINE!$J$4:$J$43,"&lt;&gt;"))</x:f>
      </x:c>
      <x:c r="J6" s="114" t="str">
        <x:f>IF(A6="","",IF(G6=0,"NOT MAPPED",IF(H6=0,"NO PRACTICE",IF(I6=0,"NO ASSESSMENT","OK"))))</x:f>
      </x:c>
      <x:c r="K6" s="111"/>
      <x:c r="L6" s="111"/>
      <x:c r="M6" s="83"/>
      <x:c r="N6" s="83"/>
      <x:c r="O6" s="83"/>
      <x:c r="P6" s="83"/>
      <x:c r="Q6" s="83"/>
      <x:c r="R6" s="83"/>
    </x:row>
    <x:row r="7">
      <x:c r="A7" s="114" t="str">
        <x:f>IF(C7="","","O"&amp;TEXT(ROW()-3,"00"))</x:f>
      </x:c>
      <x:c r="B7" s="111"/>
      <x:c r="C7" s="111"/>
      <x:c r="D7" s="111"/>
      <x:c r="E7" s="111"/>
      <x:c r="F7" s="114" t="str">
        <x:f>IF(C7="","",B7&amp;" "&amp;C7&amp;IF(D7="",""," "&amp;D7)&amp;IF(E7="","",". "&amp;E7))</x:f>
      </x:c>
      <x:c r="G7" s="114" t="str">
        <x:f>IF(A7="","",COUNTIF(OUTLINE!$G$4:$G$43,A7))</x:f>
      </x:c>
      <x:c r="H7" s="114" t="str">
        <x:f>IF(A7="","",COUNTIFS(OUTLINE!$G$4:$G$43,A7,OUTLINE!$E$4:$E$43,"Exercise / Practice")+COUNTIFS(OUTLINE!$G$4:$G$43,A7,OUTLINE!$E$4:$E$43,"Case Study")+COUNTIFS(OUTLINE!$G$4:$G$43,A7,OUTLINE!$E$4:$E$43,"Tool / Demo"))</x:f>
      </x:c>
      <x:c r="I7" s="114" t="str">
        <x:f>IF(A7="","",COUNTIFS(OUTLINE!$G$4:$G$43,A7,OUTLINE!$J$4:$J$43,"&lt;&gt;None",OUTLINE!$J$4:$J$43,"&lt;&gt;"))</x:f>
      </x:c>
      <x:c r="J7" s="114" t="str">
        <x:f>IF(A7="","",IF(G7=0,"NOT MAPPED",IF(H7=0,"NO PRACTICE",IF(I7=0,"NO ASSESSMENT","OK"))))</x:f>
      </x:c>
      <x:c r="K7" s="111"/>
      <x:c r="L7" s="111"/>
      <x:c r="M7" s="83"/>
      <x:c r="N7" s="83"/>
      <x:c r="O7" s="83"/>
      <x:c r="P7" s="83"/>
      <x:c r="Q7" s="83"/>
      <x:c r="R7" s="83"/>
    </x:row>
    <x:row r="8">
      <x:c r="A8" s="114" t="str">
        <x:f>IF(C8="","","O"&amp;TEXT(ROW()-3,"00"))</x:f>
      </x:c>
      <x:c r="B8" s="111"/>
      <x:c r="C8" s="111"/>
      <x:c r="D8" s="111"/>
      <x:c r="E8" s="111"/>
      <x:c r="F8" s="114" t="str">
        <x:f>IF(C8="","",B8&amp;" "&amp;C8&amp;IF(D8="",""," "&amp;D8)&amp;IF(E8="","",". "&amp;E8))</x:f>
      </x:c>
      <x:c r="G8" s="114" t="str">
        <x:f>IF(A8="","",COUNTIF(OUTLINE!$G$4:$G$43,A8))</x:f>
      </x:c>
      <x:c r="H8" s="114" t="str">
        <x:f>IF(A8="","",COUNTIFS(OUTLINE!$G$4:$G$43,A8,OUTLINE!$E$4:$E$43,"Exercise / Practice")+COUNTIFS(OUTLINE!$G$4:$G$43,A8,OUTLINE!$E$4:$E$43,"Case Study")+COUNTIFS(OUTLINE!$G$4:$G$43,A8,OUTLINE!$E$4:$E$43,"Tool / Demo"))</x:f>
      </x:c>
      <x:c r="I8" s="114" t="str">
        <x:f>IF(A8="","",COUNTIFS(OUTLINE!$G$4:$G$43,A8,OUTLINE!$J$4:$J$43,"&lt;&gt;None",OUTLINE!$J$4:$J$43,"&lt;&gt;"))</x:f>
      </x:c>
      <x:c r="J8" s="114" t="str">
        <x:f>IF(A8="","",IF(G8=0,"NOT MAPPED",IF(H8=0,"NO PRACTICE",IF(I8=0,"NO ASSESSMENT","OK"))))</x:f>
      </x:c>
      <x:c r="K8" s="111"/>
      <x:c r="L8" s="111"/>
      <x:c r="M8" s="83"/>
      <x:c r="N8" s="83"/>
      <x:c r="O8" s="83"/>
      <x:c r="P8" s="83"/>
      <x:c r="Q8" s="83"/>
      <x:c r="R8" s="83"/>
    </x:row>
    <x:row r="9">
      <x:c r="A9" s="114" t="str">
        <x:f>IF(C9="","","O"&amp;TEXT(ROW()-3,"00"))</x:f>
      </x:c>
      <x:c r="B9" s="111"/>
      <x:c r="C9" s="111"/>
      <x:c r="D9" s="111"/>
      <x:c r="E9" s="111"/>
      <x:c r="F9" s="114" t="str">
        <x:f>IF(C9="","",B9&amp;" "&amp;C9&amp;IF(D9="",""," "&amp;D9)&amp;IF(E9="","",". "&amp;E9))</x:f>
      </x:c>
      <x:c r="G9" s="114" t="str">
        <x:f>IF(A9="","",COUNTIF(OUTLINE!$G$4:$G$43,A9))</x:f>
      </x:c>
      <x:c r="H9" s="114" t="str">
        <x:f>IF(A9="","",COUNTIFS(OUTLINE!$G$4:$G$43,A9,OUTLINE!$E$4:$E$43,"Exercise / Practice")+COUNTIFS(OUTLINE!$G$4:$G$43,A9,OUTLINE!$E$4:$E$43,"Case Study")+COUNTIFS(OUTLINE!$G$4:$G$43,A9,OUTLINE!$E$4:$E$43,"Tool / Demo"))</x:f>
      </x:c>
      <x:c r="I9" s="114" t="str">
        <x:f>IF(A9="","",COUNTIFS(OUTLINE!$G$4:$G$43,A9,OUTLINE!$J$4:$J$43,"&lt;&gt;None",OUTLINE!$J$4:$J$43,"&lt;&gt;"))</x:f>
      </x:c>
      <x:c r="J9" s="114" t="str">
        <x:f>IF(A9="","",IF(G9=0,"NOT MAPPED",IF(H9=0,"NO PRACTICE",IF(I9=0,"NO ASSESSMENT","OK"))))</x:f>
      </x:c>
      <x:c r="K9" s="111"/>
      <x:c r="L9" s="111"/>
      <x:c r="M9" s="83"/>
      <x:c r="N9" s="83"/>
      <x:c r="O9" s="83"/>
      <x:c r="P9" s="83"/>
      <x:c r="Q9" s="83"/>
      <x:c r="R9" s="83"/>
    </x:row>
    <x:row r="10">
      <x:c r="A10" s="114" t="str">
        <x:f>IF(C10="","","O"&amp;TEXT(ROW()-3,"00"))</x:f>
      </x:c>
      <x:c r="B10" s="111"/>
      <x:c r="C10" s="111"/>
      <x:c r="D10" s="111"/>
      <x:c r="E10" s="111"/>
      <x:c r="F10" s="114" t="str">
        <x:f>IF(C10="","",B10&amp;" "&amp;C10&amp;IF(D10="",""," "&amp;D10)&amp;IF(E10="","",". "&amp;E10))</x:f>
      </x:c>
      <x:c r="G10" s="114" t="str">
        <x:f>IF(A10="","",COUNTIF(OUTLINE!$G$4:$G$43,A10))</x:f>
      </x:c>
      <x:c r="H10" s="114" t="str">
        <x:f>IF(A10="","",COUNTIFS(OUTLINE!$G$4:$G$43,A10,OUTLINE!$E$4:$E$43,"Exercise / Practice")+COUNTIFS(OUTLINE!$G$4:$G$43,A10,OUTLINE!$E$4:$E$43,"Case Study")+COUNTIFS(OUTLINE!$G$4:$G$43,A10,OUTLINE!$E$4:$E$43,"Tool / Demo"))</x:f>
      </x:c>
      <x:c r="I10" s="114" t="str">
        <x:f>IF(A10="","",COUNTIFS(OUTLINE!$G$4:$G$43,A10,OUTLINE!$J$4:$J$43,"&lt;&gt;None",OUTLINE!$J$4:$J$43,"&lt;&gt;"))</x:f>
      </x:c>
      <x:c r="J10" s="114" t="str">
        <x:f>IF(A10="","",IF(G10=0,"NOT MAPPED",IF(H10=0,"NO PRACTICE",IF(I10=0,"NO ASSESSMENT","OK"))))</x:f>
      </x:c>
      <x:c r="K10" s="111"/>
      <x:c r="L10" s="111"/>
      <x:c r="M10" s="83"/>
      <x:c r="N10" s="83"/>
      <x:c r="O10" s="83"/>
      <x:c r="P10" s="83"/>
      <x:c r="Q10" s="83"/>
      <x:c r="R10" s="83"/>
    </x:row>
    <x:row r="11">
      <x:c r="A11" s="114" t="str">
        <x:f>IF(C11="","","O"&amp;TEXT(ROW()-3,"00"))</x:f>
      </x:c>
      <x:c r="B11" s="111"/>
      <x:c r="C11" s="111"/>
      <x:c r="D11" s="111"/>
      <x:c r="E11" s="111"/>
      <x:c r="F11" s="114" t="str">
        <x:f>IF(C11="","",B11&amp;" "&amp;C11&amp;IF(D11="",""," "&amp;D11)&amp;IF(E11="","",". "&amp;E11))</x:f>
      </x:c>
      <x:c r="G11" s="114" t="str">
        <x:f>IF(A11="","",COUNTIF(OUTLINE!$G$4:$G$43,A11))</x:f>
      </x:c>
      <x:c r="H11" s="114" t="str">
        <x:f>IF(A11="","",COUNTIFS(OUTLINE!$G$4:$G$43,A11,OUTLINE!$E$4:$E$43,"Exercise / Practice")+COUNTIFS(OUTLINE!$G$4:$G$43,A11,OUTLINE!$E$4:$E$43,"Case Study")+COUNTIFS(OUTLINE!$G$4:$G$43,A11,OUTLINE!$E$4:$E$43,"Tool / Demo"))</x:f>
      </x:c>
      <x:c r="I11" s="114" t="str">
        <x:f>IF(A11="","",COUNTIFS(OUTLINE!$G$4:$G$43,A11,OUTLINE!$J$4:$J$43,"&lt;&gt;None",OUTLINE!$J$4:$J$43,"&lt;&gt;"))</x:f>
      </x:c>
      <x:c r="J11" s="114" t="str">
        <x:f>IF(A11="","",IF(G11=0,"NOT MAPPED",IF(H11=0,"NO PRACTICE",IF(I11=0,"NO ASSESSMENT","OK"))))</x:f>
      </x:c>
      <x:c r="K11" s="111"/>
      <x:c r="L11" s="111"/>
      <x:c r="M11" s="83"/>
      <x:c r="N11" s="83"/>
      <x:c r="O11" s="83"/>
      <x:c r="P11" s="83"/>
      <x:c r="Q11" s="83"/>
      <x:c r="R11" s="83"/>
    </x:row>
    <x:row r="12">
      <x:c r="A12" s="114" t="str">
        <x:f>IF(C12="","","O"&amp;TEXT(ROW()-3,"00"))</x:f>
      </x:c>
      <x:c r="B12" s="111"/>
      <x:c r="C12" s="111"/>
      <x:c r="D12" s="111"/>
      <x:c r="E12" s="111"/>
      <x:c r="F12" s="114" t="str">
        <x:f>IF(C12="","",B12&amp;" "&amp;C12&amp;IF(D12="",""," "&amp;D12)&amp;IF(E12="","",". "&amp;E12))</x:f>
      </x:c>
      <x:c r="G12" s="114" t="str">
        <x:f>IF(A12="","",COUNTIF(OUTLINE!$G$4:$G$43,A12))</x:f>
      </x:c>
      <x:c r="H12" s="114" t="str">
        <x:f>IF(A12="","",COUNTIFS(OUTLINE!$G$4:$G$43,A12,OUTLINE!$E$4:$E$43,"Exercise / Practice")+COUNTIFS(OUTLINE!$G$4:$G$43,A12,OUTLINE!$E$4:$E$43,"Case Study")+COUNTIFS(OUTLINE!$G$4:$G$43,A12,OUTLINE!$E$4:$E$43,"Tool / Demo"))</x:f>
      </x:c>
      <x:c r="I12" s="114" t="str">
        <x:f>IF(A12="","",COUNTIFS(OUTLINE!$G$4:$G$43,A12,OUTLINE!$J$4:$J$43,"&lt;&gt;None",OUTLINE!$J$4:$J$43,"&lt;&gt;"))</x:f>
      </x:c>
      <x:c r="J12" s="114" t="str">
        <x:f>IF(A12="","",IF(G12=0,"NOT MAPPED",IF(H12=0,"NO PRACTICE",IF(I12=0,"NO ASSESSMENT","OK"))))</x:f>
      </x:c>
      <x:c r="K12" s="111"/>
      <x:c r="L12" s="111"/>
      <x:c r="M12" s="83"/>
      <x:c r="N12" s="83"/>
      <x:c r="O12" s="83"/>
      <x:c r="P12" s="83"/>
      <x:c r="Q12" s="83"/>
      <x:c r="R12" s="83"/>
    </x:row>
    <x:row r="13">
      <x:c r="A13" s="114" t="str">
        <x:f>IF(C13="","","O"&amp;TEXT(ROW()-3,"00"))</x:f>
      </x:c>
      <x:c r="B13" s="111"/>
      <x:c r="C13" s="111"/>
      <x:c r="D13" s="111"/>
      <x:c r="E13" s="111"/>
      <x:c r="F13" s="114" t="str">
        <x:f>IF(C13="","",B13&amp;" "&amp;C13&amp;IF(D13="",""," "&amp;D13)&amp;IF(E13="","",". "&amp;E13))</x:f>
      </x:c>
      <x:c r="G13" s="114" t="str">
        <x:f>IF(A13="","",COUNTIF(OUTLINE!$G$4:$G$43,A13))</x:f>
      </x:c>
      <x:c r="H13" s="114" t="str">
        <x:f>IF(A13="","",COUNTIFS(OUTLINE!$G$4:$G$43,A13,OUTLINE!$E$4:$E$43,"Exercise / Practice")+COUNTIFS(OUTLINE!$G$4:$G$43,A13,OUTLINE!$E$4:$E$43,"Case Study")+COUNTIFS(OUTLINE!$G$4:$G$43,A13,OUTLINE!$E$4:$E$43,"Tool / Demo"))</x:f>
      </x:c>
      <x:c r="I13" s="114" t="str">
        <x:f>IF(A13="","",COUNTIFS(OUTLINE!$G$4:$G$43,A13,OUTLINE!$J$4:$J$43,"&lt;&gt;None",OUTLINE!$J$4:$J$43,"&lt;&gt;"))</x:f>
      </x:c>
      <x:c r="J13" s="114" t="str">
        <x:f>IF(A13="","",IF(G13=0,"NOT MAPPED",IF(H13=0,"NO PRACTICE",IF(I13=0,"NO ASSESSMENT","OK"))))</x:f>
      </x:c>
      <x:c r="K13" s="111"/>
      <x:c r="L13" s="111"/>
      <x:c r="M13" s="83"/>
      <x:c r="N13" s="83"/>
      <x:c r="O13" s="83"/>
      <x:c r="P13" s="83"/>
      <x:c r="Q13" s="83"/>
      <x:c r="R13" s="83"/>
    </x:row>
    <x:row r="14">
      <x:c r="A14" s="114" t="str">
        <x:f>IF(C14="","","O"&amp;TEXT(ROW()-3,"00"))</x:f>
      </x:c>
      <x:c r="B14" s="111"/>
      <x:c r="C14" s="111"/>
      <x:c r="D14" s="111"/>
      <x:c r="E14" s="111"/>
      <x:c r="F14" s="114" t="str">
        <x:f>IF(C14="","",B14&amp;" "&amp;C14&amp;IF(D14="",""," "&amp;D14)&amp;IF(E14="","",". "&amp;E14))</x:f>
      </x:c>
      <x:c r="G14" s="114" t="str">
        <x:f>IF(A14="","",COUNTIF(OUTLINE!$G$4:$G$43,A14))</x:f>
      </x:c>
      <x:c r="H14" s="114" t="str">
        <x:f>IF(A14="","",COUNTIFS(OUTLINE!$G$4:$G$43,A14,OUTLINE!$E$4:$E$43,"Exercise / Practice")+COUNTIFS(OUTLINE!$G$4:$G$43,A14,OUTLINE!$E$4:$E$43,"Case Study")+COUNTIFS(OUTLINE!$G$4:$G$43,A14,OUTLINE!$E$4:$E$43,"Tool / Demo"))</x:f>
      </x:c>
      <x:c r="I14" s="114" t="str">
        <x:f>IF(A14="","",COUNTIFS(OUTLINE!$G$4:$G$43,A14,OUTLINE!$J$4:$J$43,"&lt;&gt;None",OUTLINE!$J$4:$J$43,"&lt;&gt;"))</x:f>
      </x:c>
      <x:c r="J14" s="114" t="str">
        <x:f>IF(A14="","",IF(G14=0,"NOT MAPPED",IF(H14=0,"NO PRACTICE",IF(I14=0,"NO ASSESSMENT","OK"))))</x:f>
      </x:c>
      <x:c r="K14" s="111"/>
      <x:c r="L14" s="111"/>
      <x:c r="M14" s="83"/>
      <x:c r="N14" s="83"/>
      <x:c r="O14" s="83"/>
      <x:c r="P14" s="83"/>
      <x:c r="Q14" s="83"/>
      <x:c r="R14" s="83"/>
    </x:row>
    <x:row r="15">
      <x:c r="A15" s="114" t="str">
        <x:f>IF(C15="","","O"&amp;TEXT(ROW()-3,"00"))</x:f>
      </x:c>
      <x:c r="B15" s="111"/>
      <x:c r="C15" s="111"/>
      <x:c r="D15" s="111"/>
      <x:c r="E15" s="111"/>
      <x:c r="F15" s="114" t="str">
        <x:f>IF(C15="","",B15&amp;" "&amp;C15&amp;IF(D15="",""," "&amp;D15)&amp;IF(E15="","",". "&amp;E15))</x:f>
      </x:c>
      <x:c r="G15" s="114" t="str">
        <x:f>IF(A15="","",COUNTIF(OUTLINE!$G$4:$G$43,A15))</x:f>
      </x:c>
      <x:c r="H15" s="114" t="str">
        <x:f>IF(A15="","",COUNTIFS(OUTLINE!$G$4:$G$43,A15,OUTLINE!$E$4:$E$43,"Exercise / Practice")+COUNTIFS(OUTLINE!$G$4:$G$43,A15,OUTLINE!$E$4:$E$43,"Case Study")+COUNTIFS(OUTLINE!$G$4:$G$43,A15,OUTLINE!$E$4:$E$43,"Tool / Demo"))</x:f>
      </x:c>
      <x:c r="I15" s="114" t="str">
        <x:f>IF(A15="","",COUNTIFS(OUTLINE!$G$4:$G$43,A15,OUTLINE!$J$4:$J$43,"&lt;&gt;None",OUTLINE!$J$4:$J$43,"&lt;&gt;"))</x:f>
      </x:c>
      <x:c r="J15" s="114" t="str">
        <x:f>IF(A15="","",IF(G15=0,"NOT MAPPED",IF(H15=0,"NO PRACTICE",IF(I15=0,"NO ASSESSMENT","OK"))))</x:f>
      </x:c>
      <x:c r="K15" s="111"/>
      <x:c r="L15" s="111"/>
      <x:c r="M15" s="83"/>
      <x:c r="N15" s="83"/>
      <x:c r="O15" s="83"/>
      <x:c r="P15" s="83"/>
      <x:c r="Q15" s="83"/>
      <x:c r="R15" s="83"/>
    </x:row>
    <x:row r="16">
      <x:c r="A16" s="83"/>
      <x:c r="B16" s="83"/>
      <x:c r="C16" s="83"/>
      <x:c r="D16" s="83"/>
      <x:c r="E16" s="83"/>
      <x:c r="F16" s="83"/>
      <x:c r="G16" s="83"/>
      <x:c r="H16" s="83"/>
      <x:c r="I16" s="83"/>
      <x:c r="J16" s="83"/>
      <x:c r="K16" s="83"/>
      <x:c r="L16" s="83"/>
      <x:c r="M16" s="83"/>
      <x:c r="N16" s="83"/>
      <x:c r="O16" s="83"/>
      <x:c r="P16" s="83"/>
      <x:c r="Q16" s="83"/>
      <x:c r="R16" s="83"/>
    </x:row>
    <x:row r="17">
      <x:c r="A17" s="83"/>
      <x:c r="B17" s="83"/>
      <x:c r="C17" s="83"/>
      <x:c r="D17" s="83"/>
      <x:c r="E17" s="83"/>
      <x:c r="F17" s="83"/>
      <x:c r="G17" s="83"/>
      <x:c r="H17" s="83"/>
      <x:c r="I17" s="83"/>
      <x:c r="J17" s="83"/>
      <x:c r="K17" s="83"/>
      <x:c r="L17" s="83"/>
      <x:c r="M17" s="83"/>
      <x:c r="N17" s="83"/>
      <x:c r="O17" s="83"/>
      <x:c r="P17" s="83"/>
      <x:c r="Q17" s="83"/>
      <x:c r="R17" s="83"/>
    </x:row>
    <x:row r="18">
      <x:c r="A18" s="83"/>
      <x:c r="B18" s="83"/>
      <x:c r="C18" s="83"/>
      <x:c r="D18" s="83"/>
      <x:c r="E18" s="83"/>
      <x:c r="F18" s="83"/>
      <x:c r="G18" s="83"/>
      <x:c r="H18" s="83"/>
      <x:c r="I18" s="83"/>
      <x:c r="J18" s="83"/>
      <x:c r="K18" s="83"/>
      <x:c r="L18" s="83"/>
      <x:c r="M18" s="83"/>
      <x:c r="N18" s="83"/>
      <x:c r="O18" s="83"/>
      <x:c r="P18" s="83"/>
      <x:c r="Q18" s="83"/>
      <x:c r="R18" s="83"/>
    </x:row>
    <x:row r="19">
      <x:c r="A19" s="83"/>
      <x:c r="B19" s="83"/>
      <x:c r="C19" s="83"/>
      <x:c r="D19" s="83"/>
      <x:c r="E19" s="83"/>
      <x:c r="F19" s="83"/>
      <x:c r="G19" s="83"/>
      <x:c r="H19" s="83"/>
      <x:c r="I19" s="83"/>
      <x:c r="J19" s="83"/>
      <x:c r="K19" s="83"/>
      <x:c r="L19" s="83"/>
      <x:c r="M19" s="83"/>
      <x:c r="N19" s="83"/>
      <x:c r="O19" s="83"/>
      <x:c r="P19" s="83"/>
      <x:c r="Q19" s="83"/>
      <x:c r="R19" s="83"/>
    </x:row>
    <x:row r="20">
      <x:c r="A20" s="83"/>
      <x:c r="B20" s="83"/>
      <x:c r="C20" s="83"/>
      <x:c r="D20" s="83"/>
      <x:c r="E20" s="83"/>
      <x:c r="F20" s="83"/>
      <x:c r="G20" s="83"/>
      <x:c r="H20" s="83"/>
      <x:c r="I20" s="83"/>
      <x:c r="J20" s="83"/>
      <x:c r="K20" s="83"/>
      <x:c r="L20" s="83"/>
      <x:c r="M20" s="83"/>
      <x:c r="N20" s="83"/>
      <x:c r="O20" s="83"/>
      <x:c r="P20" s="83"/>
      <x:c r="Q20" s="83"/>
      <x:c r="R20" s="83"/>
    </x:row>
    <x:row r="21">
      <x:c r="A21" s="83"/>
      <x:c r="B21" s="83"/>
      <x:c r="C21" s="83"/>
      <x:c r="D21" s="83"/>
      <x:c r="E21" s="83"/>
      <x:c r="F21" s="83"/>
      <x:c r="G21" s="83"/>
      <x:c r="H21" s="83"/>
      <x:c r="I21" s="83"/>
      <x:c r="J21" s="83"/>
      <x:c r="K21" s="83"/>
      <x:c r="L21" s="83"/>
      <x:c r="M21" s="83"/>
      <x:c r="N21" s="83"/>
      <x:c r="O21" s="83"/>
      <x:c r="P21" s="83"/>
      <x:c r="Q21" s="83"/>
      <x:c r="R21" s="83"/>
    </x:row>
    <x:row r="22">
      <x:c r="A22" s="83"/>
      <x:c r="B22" s="83"/>
      <x:c r="C22" s="83"/>
      <x:c r="D22" s="83"/>
      <x:c r="E22" s="83"/>
      <x:c r="F22" s="83"/>
      <x:c r="G22" s="83"/>
      <x:c r="H22" s="83"/>
      <x:c r="I22" s="83"/>
      <x:c r="J22" s="83"/>
      <x:c r="K22" s="83"/>
      <x:c r="L22" s="83"/>
      <x:c r="M22" s="83"/>
      <x:c r="N22" s="83"/>
      <x:c r="O22" s="83"/>
      <x:c r="P22" s="83"/>
      <x:c r="Q22" s="83"/>
      <x:c r="R22" s="83"/>
    </x:row>
    <x:row r="23">
      <x:c r="A23" s="83"/>
      <x:c r="B23" s="83"/>
      <x:c r="C23" s="83"/>
      <x:c r="D23" s="83"/>
      <x:c r="E23" s="83"/>
      <x:c r="F23" s="83"/>
      <x:c r="G23" s="83"/>
      <x:c r="H23" s="83"/>
      <x:c r="I23" s="83"/>
      <x:c r="J23" s="83"/>
      <x:c r="K23" s="83"/>
      <x:c r="L23" s="83"/>
      <x:c r="M23" s="83"/>
      <x:c r="N23" s="83"/>
      <x:c r="O23" s="83"/>
      <x:c r="P23" s="83"/>
      <x:c r="Q23" s="83"/>
      <x:c r="R23" s="83"/>
    </x:row>
    <x:row r="24">
      <x:c r="A24" s="83"/>
      <x:c r="B24" s="83"/>
      <x:c r="C24" s="83"/>
      <x:c r="D24" s="83"/>
      <x:c r="E24" s="83"/>
      <x:c r="F24" s="83"/>
      <x:c r="G24" s="83"/>
      <x:c r="H24" s="83"/>
      <x:c r="I24" s="83"/>
      <x:c r="J24" s="83"/>
      <x:c r="K24" s="83"/>
      <x:c r="L24" s="83"/>
      <x:c r="M24" s="83"/>
      <x:c r="N24" s="83"/>
      <x:c r="O24" s="83"/>
      <x:c r="P24" s="83"/>
      <x:c r="Q24" s="83"/>
      <x:c r="R24" s="83"/>
    </x:row>
    <x:row r="25">
      <x:c r="A25" s="83"/>
      <x:c r="B25" s="83"/>
      <x:c r="C25" s="83"/>
      <x:c r="D25" s="83"/>
      <x:c r="E25" s="83"/>
      <x:c r="F25" s="83"/>
      <x:c r="G25" s="83"/>
      <x:c r="H25" s="83"/>
      <x:c r="I25" s="83"/>
      <x:c r="J25" s="83"/>
      <x:c r="K25" s="83"/>
      <x:c r="L25" s="83"/>
      <x:c r="M25" s="83"/>
      <x:c r="N25" s="83"/>
      <x:c r="O25" s="83"/>
      <x:c r="P25" s="83"/>
      <x:c r="Q25" s="83"/>
      <x:c r="R25" s="83"/>
    </x:row>
    <x:row r="26">
      <x:c r="A26" s="83"/>
      <x:c r="B26" s="83"/>
      <x:c r="C26" s="83"/>
      <x:c r="D26" s="83"/>
      <x:c r="E26" s="83"/>
      <x:c r="F26" s="83"/>
      <x:c r="G26" s="83"/>
      <x:c r="H26" s="83"/>
      <x:c r="I26" s="83"/>
      <x:c r="J26" s="83"/>
      <x:c r="K26" s="83"/>
      <x:c r="L26" s="83"/>
      <x:c r="M26" s="83"/>
      <x:c r="N26" s="83"/>
      <x:c r="O26" s="83"/>
      <x:c r="P26" s="83"/>
      <x:c r="Q26" s="83"/>
      <x:c r="R26" s="83"/>
    </x:row>
    <x:row r="27">
      <x:c r="A27" s="83"/>
      <x:c r="B27" s="83"/>
      <x:c r="C27" s="83"/>
      <x:c r="D27" s="83"/>
      <x:c r="E27" s="83"/>
      <x:c r="F27" s="83"/>
      <x:c r="G27" s="83"/>
      <x:c r="H27" s="83"/>
      <x:c r="I27" s="83"/>
      <x:c r="J27" s="83"/>
      <x:c r="K27" s="83"/>
      <x:c r="L27" s="83"/>
      <x:c r="M27" s="83"/>
      <x:c r="N27" s="83"/>
      <x:c r="O27" s="83"/>
      <x:c r="P27" s="83"/>
      <x:c r="Q27" s="83"/>
      <x:c r="R27" s="83"/>
    </x:row>
    <x:row r="28">
      <x:c r="A28" s="83"/>
      <x:c r="B28" s="83"/>
      <x:c r="C28" s="83"/>
      <x:c r="D28" s="83"/>
      <x:c r="E28" s="83"/>
      <x:c r="F28" s="83"/>
      <x:c r="G28" s="83"/>
      <x:c r="H28" s="83"/>
      <x:c r="I28" s="83"/>
      <x:c r="J28" s="83"/>
      <x:c r="K28" s="83"/>
      <x:c r="L28" s="83"/>
      <x:c r="M28" s="83"/>
      <x:c r="N28" s="83"/>
      <x:c r="O28" s="83"/>
      <x:c r="P28" s="83"/>
      <x:c r="Q28" s="83"/>
      <x:c r="R28" s="83"/>
    </x:row>
    <x:row r="29">
      <x:c r="A29" s="83"/>
      <x:c r="B29" s="83"/>
      <x:c r="C29" s="83"/>
      <x:c r="D29" s="83"/>
      <x:c r="E29" s="83"/>
      <x:c r="F29" s="83"/>
      <x:c r="G29" s="83"/>
      <x:c r="H29" s="83"/>
      <x:c r="I29" s="83"/>
      <x:c r="J29" s="83"/>
      <x:c r="K29" s="83"/>
      <x:c r="L29" s="83"/>
      <x:c r="M29" s="83"/>
      <x:c r="N29" s="83"/>
      <x:c r="O29" s="83"/>
      <x:c r="P29" s="83"/>
      <x:c r="Q29" s="83"/>
      <x:c r="R29" s="83"/>
    </x:row>
    <x:row r="30">
      <x:c r="A30" s="83"/>
      <x:c r="B30" s="83"/>
      <x:c r="C30" s="83"/>
      <x:c r="D30" s="83"/>
      <x:c r="E30" s="83"/>
      <x:c r="F30" s="83"/>
      <x:c r="G30" s="83"/>
      <x:c r="H30" s="83"/>
      <x:c r="I30" s="83"/>
      <x:c r="J30" s="83"/>
      <x:c r="K30" s="83"/>
      <x:c r="L30" s="83"/>
      <x:c r="M30" s="83"/>
      <x:c r="N30" s="83"/>
      <x:c r="O30" s="83"/>
      <x:c r="P30" s="83"/>
      <x:c r="Q30" s="83"/>
      <x:c r="R30" s="83"/>
    </x:row>
    <x:row r="31">
      <x:c r="A31" s="83"/>
      <x:c r="B31" s="83"/>
      <x:c r="C31" s="83"/>
      <x:c r="D31" s="83"/>
      <x:c r="E31" s="83"/>
      <x:c r="F31" s="83"/>
      <x:c r="G31" s="83"/>
      <x:c r="H31" s="83"/>
      <x:c r="I31" s="83"/>
      <x:c r="J31" s="83"/>
      <x:c r="K31" s="83"/>
      <x:c r="L31" s="83"/>
      <x:c r="M31" s="83"/>
      <x:c r="N31" s="83"/>
      <x:c r="O31" s="83"/>
      <x:c r="P31" s="83"/>
      <x:c r="Q31" s="83"/>
      <x:c r="R31" s="83"/>
    </x:row>
    <x:row r="32">
      <x:c r="A32" s="83"/>
      <x:c r="B32" s="83"/>
      <x:c r="C32" s="83"/>
      <x:c r="D32" s="83"/>
      <x:c r="E32" s="83"/>
      <x:c r="F32" s="83"/>
      <x:c r="G32" s="83"/>
      <x:c r="H32" s="83"/>
      <x:c r="I32" s="83"/>
      <x:c r="J32" s="83"/>
      <x:c r="K32" s="83"/>
      <x:c r="L32" s="83"/>
      <x:c r="M32" s="83"/>
      <x:c r="N32" s="83"/>
      <x:c r="O32" s="83"/>
      <x:c r="P32" s="83"/>
      <x:c r="Q32" s="83"/>
      <x:c r="R32" s="83"/>
    </x:row>
    <x:row r="33">
      <x:c r="A33" s="83"/>
      <x:c r="B33" s="83"/>
      <x:c r="C33" s="83"/>
      <x:c r="D33" s="83"/>
      <x:c r="E33" s="83"/>
      <x:c r="F33" s="83"/>
      <x:c r="G33" s="83"/>
      <x:c r="H33" s="83"/>
      <x:c r="I33" s="83"/>
      <x:c r="J33" s="83"/>
      <x:c r="K33" s="83"/>
      <x:c r="L33" s="83"/>
      <x:c r="M33" s="83"/>
      <x:c r="N33" s="83"/>
      <x:c r="O33" s="83"/>
      <x:c r="P33" s="83"/>
      <x:c r="Q33" s="83"/>
      <x:c r="R33" s="83"/>
    </x:row>
    <x:row r="34">
      <x:c r="A34" s="83"/>
      <x:c r="B34" s="83"/>
      <x:c r="C34" s="83"/>
      <x:c r="D34" s="83"/>
      <x:c r="E34" s="83"/>
      <x:c r="F34" s="83"/>
      <x:c r="G34" s="83"/>
      <x:c r="H34" s="83"/>
      <x:c r="I34" s="83"/>
      <x:c r="J34" s="83"/>
      <x:c r="K34" s="83"/>
      <x:c r="L34" s="83"/>
      <x:c r="M34" s="83"/>
      <x:c r="N34" s="83"/>
      <x:c r="O34" s="83"/>
      <x:c r="P34" s="83"/>
      <x:c r="Q34" s="83"/>
      <x:c r="R34" s="83"/>
    </x:row>
    <x:row r="35">
      <x:c r="A35" s="83"/>
      <x:c r="B35" s="83"/>
      <x:c r="C35" s="83"/>
      <x:c r="D35" s="83"/>
      <x:c r="E35" s="83"/>
      <x:c r="F35" s="83"/>
      <x:c r="G35" s="83"/>
      <x:c r="H35" s="83"/>
      <x:c r="I35" s="83"/>
      <x:c r="J35" s="83"/>
      <x:c r="K35" s="83"/>
      <x:c r="L35" s="83"/>
      <x:c r="M35" s="83"/>
      <x:c r="N35" s="83"/>
      <x:c r="O35" s="83"/>
      <x:c r="P35" s="83"/>
      <x:c r="Q35" s="83"/>
      <x:c r="R35" s="83"/>
    </x:row>
    <x:row r="36">
      <x:c r="A36" s="83"/>
      <x:c r="B36" s="83"/>
      <x:c r="C36" s="83"/>
      <x:c r="D36" s="83"/>
      <x:c r="E36" s="83"/>
      <x:c r="F36" s="83"/>
      <x:c r="G36" s="83"/>
      <x:c r="H36" s="83"/>
      <x:c r="I36" s="83"/>
      <x:c r="J36" s="83"/>
      <x:c r="K36" s="83"/>
      <x:c r="L36" s="83"/>
      <x:c r="M36" s="83"/>
      <x:c r="N36" s="83"/>
      <x:c r="O36" s="83"/>
      <x:c r="P36" s="83"/>
      <x:c r="Q36" s="83"/>
      <x:c r="R36" s="83"/>
    </x:row>
    <x:row r="37">
      <x:c r="A37" s="83"/>
      <x:c r="B37" s="83"/>
      <x:c r="C37" s="83"/>
      <x:c r="D37" s="83"/>
      <x:c r="E37" s="83"/>
      <x:c r="F37" s="83"/>
      <x:c r="G37" s="83"/>
      <x:c r="H37" s="83"/>
      <x:c r="I37" s="83"/>
      <x:c r="J37" s="83"/>
      <x:c r="K37" s="83"/>
      <x:c r="L37" s="83"/>
      <x:c r="M37" s="83"/>
      <x:c r="N37" s="83"/>
      <x:c r="O37" s="83"/>
      <x:c r="P37" s="83"/>
      <x:c r="Q37" s="83"/>
      <x:c r="R37" s="83"/>
    </x:row>
    <x:row r="38">
      <x:c r="A38" s="83"/>
      <x:c r="B38" s="83"/>
      <x:c r="C38" s="83"/>
      <x:c r="D38" s="83"/>
      <x:c r="E38" s="83"/>
      <x:c r="F38" s="83"/>
      <x:c r="G38" s="83"/>
      <x:c r="H38" s="83"/>
      <x:c r="I38" s="83"/>
      <x:c r="J38" s="83"/>
      <x:c r="K38" s="83"/>
      <x:c r="L38" s="83"/>
      <x:c r="M38" s="83"/>
      <x:c r="N38" s="83"/>
      <x:c r="O38" s="83"/>
      <x:c r="P38" s="83"/>
      <x:c r="Q38" s="83"/>
      <x:c r="R38" s="83"/>
    </x:row>
    <x:row r="39">
      <x:c r="A39" s="83"/>
      <x:c r="B39" s="83"/>
      <x:c r="C39" s="83"/>
      <x:c r="D39" s="83"/>
      <x:c r="E39" s="83"/>
      <x:c r="F39" s="83"/>
      <x:c r="G39" s="83"/>
      <x:c r="H39" s="83"/>
      <x:c r="I39" s="83"/>
      <x:c r="J39" s="83"/>
      <x:c r="K39" s="83"/>
      <x:c r="L39" s="83"/>
      <x:c r="M39" s="83"/>
      <x:c r="N39" s="83"/>
      <x:c r="O39" s="83"/>
      <x:c r="P39" s="83"/>
      <x:c r="Q39" s="83"/>
      <x:c r="R39" s="83"/>
    </x:row>
    <x:row r="40">
      <x:c r="A40" s="83"/>
      <x:c r="B40" s="83"/>
      <x:c r="C40" s="83"/>
      <x:c r="D40" s="83"/>
      <x:c r="E40" s="83"/>
      <x:c r="F40" s="83"/>
      <x:c r="G40" s="83"/>
      <x:c r="H40" s="83"/>
      <x:c r="I40" s="83"/>
      <x:c r="J40" s="83"/>
      <x:c r="K40" s="83"/>
      <x:c r="L40" s="83"/>
      <x:c r="M40" s="83"/>
      <x:c r="N40" s="83"/>
      <x:c r="O40" s="83"/>
      <x:c r="P40" s="83"/>
      <x:c r="Q40" s="83"/>
      <x:c r="R40" s="83"/>
    </x:row>
    <x:row r="41">
      <x:c r="A41" s="83"/>
      <x:c r="B41" s="83"/>
      <x:c r="C41" s="83"/>
      <x:c r="D41" s="83"/>
      <x:c r="E41" s="83"/>
      <x:c r="F41" s="83"/>
      <x:c r="G41" s="83"/>
      <x:c r="H41" s="83"/>
      <x:c r="I41" s="83"/>
      <x:c r="J41" s="83"/>
      <x:c r="K41" s="83"/>
      <x:c r="L41" s="83"/>
      <x:c r="M41" s="83"/>
      <x:c r="N41" s="83"/>
      <x:c r="O41" s="83"/>
      <x:c r="P41" s="83"/>
      <x:c r="Q41" s="83"/>
      <x:c r="R41" s="83"/>
    </x:row>
    <x:row r="42">
      <x:c r="A42" s="83"/>
      <x:c r="B42" s="83"/>
      <x:c r="C42" s="83"/>
      <x:c r="D42" s="83"/>
      <x:c r="E42" s="83"/>
      <x:c r="F42" s="83"/>
      <x:c r="G42" s="83"/>
      <x:c r="H42" s="83"/>
      <x:c r="I42" s="83"/>
      <x:c r="J42" s="83"/>
      <x:c r="K42" s="83"/>
      <x:c r="L42" s="83"/>
      <x:c r="M42" s="83"/>
      <x:c r="N42" s="83"/>
      <x:c r="O42" s="83"/>
      <x:c r="P42" s="83"/>
      <x:c r="Q42" s="83"/>
      <x:c r="R42" s="83"/>
    </x:row>
    <x:row r="43">
      <x:c r="A43" s="83"/>
      <x:c r="B43" s="83"/>
      <x:c r="C43" s="83"/>
      <x:c r="D43" s="83"/>
      <x:c r="E43" s="83"/>
      <x:c r="F43" s="83"/>
      <x:c r="G43" s="83"/>
      <x:c r="H43" s="83"/>
      <x:c r="I43" s="83"/>
      <x:c r="J43" s="83"/>
      <x:c r="K43" s="83"/>
      <x:c r="L43" s="83"/>
      <x:c r="M43" s="83"/>
      <x:c r="N43" s="83"/>
      <x:c r="O43" s="83"/>
      <x:c r="P43" s="83"/>
      <x:c r="Q43" s="83"/>
      <x:c r="R43" s="83"/>
    </x:row>
    <x:row r="44">
      <x:c r="A44" s="83"/>
      <x:c r="B44" s="83"/>
      <x:c r="C44" s="83"/>
      <x:c r="D44" s="83"/>
      <x:c r="E44" s="83"/>
      <x:c r="F44" s="83"/>
      <x:c r="G44" s="83"/>
      <x:c r="H44" s="83"/>
      <x:c r="I44" s="83"/>
      <x:c r="J44" s="83"/>
      <x:c r="K44" s="83"/>
      <x:c r="L44" s="83"/>
      <x:c r="M44" s="83"/>
      <x:c r="N44" s="83"/>
      <x:c r="O44" s="83"/>
      <x:c r="P44" s="83"/>
      <x:c r="Q44" s="83"/>
      <x:c r="R44" s="83"/>
    </x:row>
    <x:row r="45">
      <x:c r="A45" s="83"/>
      <x:c r="B45" s="83"/>
      <x:c r="C45" s="83"/>
      <x:c r="D45" s="83"/>
      <x:c r="E45" s="83"/>
      <x:c r="F45" s="83"/>
      <x:c r="G45" s="83"/>
      <x:c r="H45" s="83"/>
      <x:c r="I45" s="83"/>
      <x:c r="J45" s="83"/>
      <x:c r="K45" s="83"/>
      <x:c r="L45" s="83"/>
      <x:c r="M45" s="83"/>
      <x:c r="N45" s="83"/>
      <x:c r="O45" s="83"/>
      <x:c r="P45" s="83"/>
      <x:c r="Q45" s="83"/>
      <x:c r="R45" s="83"/>
    </x:row>
    <x:row r="46">
      <x:c r="A46" s="83"/>
      <x:c r="B46" s="83"/>
      <x:c r="C46" s="83"/>
      <x:c r="D46" s="83"/>
      <x:c r="E46" s="83"/>
      <x:c r="F46" s="83"/>
      <x:c r="G46" s="83"/>
      <x:c r="H46" s="83"/>
      <x:c r="I46" s="83"/>
      <x:c r="J46" s="83"/>
      <x:c r="K46" s="83"/>
      <x:c r="L46" s="83"/>
      <x:c r="M46" s="83"/>
      <x:c r="N46" s="83"/>
      <x:c r="O46" s="83"/>
      <x:c r="P46" s="83"/>
      <x:c r="Q46" s="83"/>
      <x:c r="R46" s="83"/>
    </x:row>
    <x:row r="47">
      <x:c r="A47" s="83"/>
      <x:c r="B47" s="83"/>
      <x:c r="C47" s="83"/>
      <x:c r="D47" s="83"/>
      <x:c r="E47" s="83"/>
      <x:c r="F47" s="83"/>
      <x:c r="G47" s="83"/>
      <x:c r="H47" s="83"/>
      <x:c r="I47" s="83"/>
      <x:c r="J47" s="83"/>
      <x:c r="K47" s="83"/>
      <x:c r="L47" s="83"/>
      <x:c r="M47" s="83"/>
      <x:c r="N47" s="83"/>
      <x:c r="O47" s="83"/>
      <x:c r="P47" s="83"/>
      <x:c r="Q47" s="83"/>
      <x:c r="R47" s="83"/>
    </x:row>
    <x:row r="48">
      <x:c r="A48" s="83"/>
      <x:c r="B48" s="83"/>
      <x:c r="C48" s="83"/>
      <x:c r="D48" s="83"/>
      <x:c r="E48" s="83"/>
      <x:c r="F48" s="83"/>
      <x:c r="G48" s="83"/>
      <x:c r="H48" s="83"/>
      <x:c r="I48" s="83"/>
      <x:c r="J48" s="83"/>
      <x:c r="K48" s="83"/>
      <x:c r="L48" s="83"/>
      <x:c r="M48" s="83"/>
      <x:c r="N48" s="83"/>
      <x:c r="O48" s="83"/>
      <x:c r="P48" s="83"/>
      <x:c r="Q48" s="83"/>
      <x:c r="R48" s="83"/>
    </x:row>
    <x:row r="49">
      <x:c r="A49" s="83"/>
      <x:c r="B49" s="83"/>
      <x:c r="C49" s="83"/>
      <x:c r="D49" s="83"/>
      <x:c r="E49" s="83"/>
      <x:c r="F49" s="83"/>
      <x:c r="G49" s="83"/>
      <x:c r="H49" s="83"/>
      <x:c r="I49" s="83"/>
      <x:c r="J49" s="83"/>
      <x:c r="K49" s="83"/>
      <x:c r="L49" s="83"/>
      <x:c r="M49" s="83"/>
      <x:c r="N49" s="83"/>
      <x:c r="O49" s="83"/>
      <x:c r="P49" s="83"/>
      <x:c r="Q49" s="83"/>
      <x:c r="R49" s="83"/>
    </x:row>
    <x:row r="50">
      <x:c r="A50" s="83"/>
      <x:c r="B50" s="83"/>
      <x:c r="C50" s="83"/>
      <x:c r="D50" s="83"/>
      <x:c r="E50" s="83"/>
      <x:c r="F50" s="83"/>
      <x:c r="G50" s="83"/>
      <x:c r="H50" s="83"/>
      <x:c r="I50" s="83"/>
      <x:c r="J50" s="83"/>
      <x:c r="K50" s="83"/>
      <x:c r="L50" s="83"/>
      <x:c r="M50" s="83"/>
      <x:c r="N50" s="83"/>
      <x:c r="O50" s="83"/>
      <x:c r="P50" s="83"/>
      <x:c r="Q50" s="83"/>
      <x:c r="R50" s="83"/>
    </x:row>
    <x:row r="51">
      <x:c r="A51" s="83"/>
      <x:c r="B51" s="83"/>
      <x:c r="C51" s="83"/>
      <x:c r="D51" s="83"/>
      <x:c r="E51" s="83"/>
      <x:c r="F51" s="83"/>
      <x:c r="G51" s="83"/>
      <x:c r="H51" s="83"/>
      <x:c r="I51" s="83"/>
      <x:c r="J51" s="83"/>
      <x:c r="K51" s="83"/>
      <x:c r="L51" s="83"/>
      <x:c r="M51" s="83"/>
      <x:c r="N51" s="83"/>
      <x:c r="O51" s="83"/>
      <x:c r="P51" s="83"/>
      <x:c r="Q51" s="83"/>
      <x:c r="R51" s="83"/>
    </x:row>
    <x:row r="52">
      <x:c r="A52" s="83"/>
      <x:c r="B52" s="83"/>
      <x:c r="C52" s="83"/>
      <x:c r="D52" s="83"/>
      <x:c r="E52" s="83"/>
      <x:c r="F52" s="83"/>
      <x:c r="G52" s="83"/>
      <x:c r="H52" s="83"/>
      <x:c r="I52" s="83"/>
      <x:c r="J52" s="83"/>
      <x:c r="K52" s="83"/>
      <x:c r="L52" s="83"/>
      <x:c r="M52" s="83"/>
      <x:c r="N52" s="83"/>
      <x:c r="O52" s="83"/>
      <x:c r="P52" s="83"/>
      <x:c r="Q52" s="83"/>
      <x:c r="R52" s="83"/>
    </x:row>
    <x:row r="53">
      <x:c r="A53" s="83"/>
      <x:c r="B53" s="83"/>
      <x:c r="C53" s="83"/>
      <x:c r="D53" s="83"/>
      <x:c r="E53" s="83"/>
      <x:c r="F53" s="83"/>
      <x:c r="G53" s="83"/>
      <x:c r="H53" s="83"/>
      <x:c r="I53" s="83"/>
      <x:c r="J53" s="83"/>
      <x:c r="K53" s="83"/>
      <x:c r="L53" s="83"/>
      <x:c r="M53" s="83"/>
      <x:c r="N53" s="83"/>
      <x:c r="O53" s="83"/>
      <x:c r="P53" s="83"/>
      <x:c r="Q53" s="83"/>
      <x:c r="R53" s="83"/>
    </x:row>
    <x:row r="54">
      <x:c r="A54" s="83"/>
      <x:c r="B54" s="83"/>
      <x:c r="C54" s="83"/>
      <x:c r="D54" s="83"/>
      <x:c r="E54" s="83"/>
      <x:c r="F54" s="83"/>
      <x:c r="G54" s="83"/>
      <x:c r="H54" s="83"/>
      <x:c r="I54" s="83"/>
      <x:c r="J54" s="83"/>
      <x:c r="K54" s="83"/>
      <x:c r="L54" s="83"/>
      <x:c r="M54" s="83"/>
      <x:c r="N54" s="83"/>
      <x:c r="O54" s="83"/>
      <x:c r="P54" s="83"/>
      <x:c r="Q54" s="83"/>
      <x:c r="R54" s="83"/>
    </x:row>
    <x:row r="55">
      <x:c r="A55" s="83"/>
      <x:c r="B55" s="83"/>
      <x:c r="C55" s="83"/>
      <x:c r="D55" s="83"/>
      <x:c r="E55" s="83"/>
      <x:c r="F55" s="83"/>
      <x:c r="G55" s="83"/>
      <x:c r="H55" s="83"/>
      <x:c r="I55" s="83"/>
      <x:c r="J55" s="83"/>
      <x:c r="K55" s="83"/>
      <x:c r="L55" s="83"/>
      <x:c r="M55" s="83"/>
      <x:c r="N55" s="83"/>
      <x:c r="O55" s="83"/>
      <x:c r="P55" s="83"/>
      <x:c r="Q55" s="83"/>
      <x:c r="R55" s="83"/>
    </x:row>
    <x:row r="56">
      <x:c r="A56" s="83"/>
      <x:c r="B56" s="83"/>
      <x:c r="C56" s="83"/>
      <x:c r="D56" s="83"/>
      <x:c r="E56" s="83"/>
      <x:c r="F56" s="83"/>
      <x:c r="G56" s="83"/>
      <x:c r="H56" s="83"/>
      <x:c r="I56" s="83"/>
      <x:c r="J56" s="83"/>
      <x:c r="K56" s="83"/>
      <x:c r="L56" s="83"/>
      <x:c r="M56" s="83"/>
      <x:c r="N56" s="83"/>
      <x:c r="O56" s="83"/>
      <x:c r="P56" s="83"/>
      <x:c r="Q56" s="83"/>
      <x:c r="R56" s="83"/>
    </x:row>
    <x:row r="57">
      <x:c r="A57" s="83"/>
      <x:c r="B57" s="83"/>
      <x:c r="C57" s="83"/>
      <x:c r="D57" s="83"/>
      <x:c r="E57" s="83"/>
      <x:c r="F57" s="83"/>
      <x:c r="G57" s="83"/>
      <x:c r="H57" s="83"/>
      <x:c r="I57" s="83"/>
      <x:c r="J57" s="83"/>
      <x:c r="K57" s="83"/>
      <x:c r="L57" s="83"/>
      <x:c r="M57" s="83"/>
      <x:c r="N57" s="83"/>
      <x:c r="O57" s="83"/>
      <x:c r="P57" s="83"/>
      <x:c r="Q57" s="83"/>
      <x:c r="R57" s="83"/>
    </x:row>
    <x:row r="58">
      <x:c r="A58" s="83"/>
      <x:c r="B58" s="83"/>
      <x:c r="C58" s="83"/>
      <x:c r="D58" s="83"/>
      <x:c r="E58" s="83"/>
      <x:c r="F58" s="83"/>
      <x:c r="G58" s="83"/>
      <x:c r="H58" s="83"/>
      <x:c r="I58" s="83"/>
      <x:c r="J58" s="83"/>
      <x:c r="K58" s="83"/>
      <x:c r="L58" s="83"/>
      <x:c r="M58" s="83"/>
      <x:c r="N58" s="83"/>
      <x:c r="O58" s="83"/>
      <x:c r="P58" s="83"/>
      <x:c r="Q58" s="83"/>
      <x:c r="R58" s="83"/>
    </x:row>
    <x:row r="59">
      <x:c r="A59" s="83"/>
      <x:c r="B59" s="83"/>
      <x:c r="C59" s="83"/>
      <x:c r="D59" s="83"/>
      <x:c r="E59" s="83"/>
      <x:c r="F59" s="83"/>
      <x:c r="G59" s="83"/>
      <x:c r="H59" s="83"/>
      <x:c r="I59" s="83"/>
      <x:c r="J59" s="83"/>
      <x:c r="K59" s="83"/>
      <x:c r="L59" s="83"/>
      <x:c r="M59" s="83"/>
      <x:c r="N59" s="83"/>
      <x:c r="O59" s="83"/>
      <x:c r="P59" s="83"/>
      <x:c r="Q59" s="83"/>
      <x:c r="R59" s="83"/>
    </x:row>
    <x:row r="60">
      <x:c r="A60" s="83"/>
      <x:c r="B60" s="83"/>
      <x:c r="C60" s="83"/>
      <x:c r="D60" s="83"/>
      <x:c r="E60" s="83"/>
      <x:c r="F60" s="83"/>
      <x:c r="G60" s="83"/>
      <x:c r="H60" s="83"/>
      <x:c r="I60" s="83"/>
      <x:c r="J60" s="83"/>
      <x:c r="K60" s="83"/>
      <x:c r="L60" s="83"/>
      <x:c r="M60" s="83"/>
      <x:c r="N60" s="83"/>
      <x:c r="O60" s="83"/>
      <x:c r="P60" s="83"/>
      <x:c r="Q60" s="83"/>
      <x:c r="R60" s="83"/>
    </x:row>
    <x:row r="61">
      <x:c r="A61" s="83"/>
      <x:c r="B61" s="83"/>
      <x:c r="C61" s="83"/>
      <x:c r="D61" s="83"/>
      <x:c r="E61" s="83"/>
      <x:c r="F61" s="83"/>
      <x:c r="G61" s="83"/>
      <x:c r="H61" s="83"/>
      <x:c r="I61" s="83"/>
      <x:c r="J61" s="83"/>
      <x:c r="K61" s="83"/>
      <x:c r="L61" s="83"/>
      <x:c r="M61" s="83"/>
      <x:c r="N61" s="83"/>
      <x:c r="O61" s="83"/>
      <x:c r="P61" s="83"/>
      <x:c r="Q61" s="83"/>
      <x:c r="R61" s="83"/>
    </x:row>
    <x:row r="62">
      <x:c r="A62" s="83"/>
      <x:c r="B62" s="83"/>
      <x:c r="C62" s="83"/>
      <x:c r="D62" s="83"/>
      <x:c r="E62" s="83"/>
      <x:c r="F62" s="83"/>
      <x:c r="G62" s="83"/>
      <x:c r="H62" s="83"/>
      <x:c r="I62" s="83"/>
      <x:c r="J62" s="83"/>
      <x:c r="K62" s="83"/>
      <x:c r="L62" s="83"/>
      <x:c r="M62" s="83"/>
      <x:c r="N62" s="83"/>
      <x:c r="O62" s="83"/>
      <x:c r="P62" s="83"/>
      <x:c r="Q62" s="83"/>
      <x:c r="R62" s="83"/>
    </x:row>
    <x:row r="63">
      <x:c r="A63" s="83"/>
      <x:c r="B63" s="83"/>
      <x:c r="C63" s="83"/>
      <x:c r="D63" s="83"/>
      <x:c r="E63" s="83"/>
      <x:c r="F63" s="83"/>
      <x:c r="G63" s="83"/>
      <x:c r="H63" s="83"/>
      <x:c r="I63" s="83"/>
      <x:c r="J63" s="83"/>
      <x:c r="K63" s="83"/>
      <x:c r="L63" s="83"/>
      <x:c r="M63" s="83"/>
      <x:c r="N63" s="83"/>
      <x:c r="O63" s="83"/>
      <x:c r="P63" s="83"/>
      <x:c r="Q63" s="83"/>
      <x:c r="R63" s="83"/>
    </x:row>
    <x:row r="64">
      <x:c r="A64" s="83"/>
      <x:c r="B64" s="83"/>
      <x:c r="C64" s="83"/>
      <x:c r="D64" s="83"/>
      <x:c r="E64" s="83"/>
      <x:c r="F64" s="83"/>
      <x:c r="G64" s="83"/>
      <x:c r="H64" s="83"/>
      <x:c r="I64" s="83"/>
      <x:c r="J64" s="83"/>
      <x:c r="K64" s="83"/>
      <x:c r="L64" s="83"/>
      <x:c r="M64" s="83"/>
      <x:c r="N64" s="83"/>
      <x:c r="O64" s="83"/>
      <x:c r="P64" s="83"/>
      <x:c r="Q64" s="83"/>
      <x:c r="R64" s="83"/>
    </x:row>
    <x:row r="65">
      <x:c r="A65" s="83"/>
      <x:c r="B65" s="83"/>
      <x:c r="C65" s="83"/>
      <x:c r="D65" s="83"/>
      <x:c r="E65" s="83"/>
      <x:c r="F65" s="83"/>
      <x:c r="G65" s="83"/>
      <x:c r="H65" s="83"/>
      <x:c r="I65" s="83"/>
      <x:c r="J65" s="83"/>
      <x:c r="K65" s="83"/>
      <x:c r="L65" s="83"/>
      <x:c r="M65" s="83"/>
      <x:c r="N65" s="83"/>
      <x:c r="O65" s="83"/>
      <x:c r="P65" s="83"/>
      <x:c r="Q65" s="83"/>
      <x:c r="R65" s="83"/>
    </x:row>
    <x:row r="66">
      <x:c r="A66" s="83"/>
      <x:c r="B66" s="83"/>
      <x:c r="C66" s="83"/>
      <x:c r="D66" s="83"/>
      <x:c r="E66" s="83"/>
      <x:c r="F66" s="83"/>
      <x:c r="G66" s="83"/>
      <x:c r="H66" s="83"/>
      <x:c r="I66" s="83"/>
      <x:c r="J66" s="83"/>
      <x:c r="K66" s="83"/>
      <x:c r="L66" s="83"/>
      <x:c r="M66" s="83"/>
      <x:c r="N66" s="83"/>
      <x:c r="O66" s="83"/>
      <x:c r="P66" s="83"/>
      <x:c r="Q66" s="83"/>
      <x:c r="R66" s="83"/>
    </x:row>
    <x:row r="67">
      <x:c r="A67" s="83"/>
      <x:c r="B67" s="83"/>
      <x:c r="C67" s="83"/>
      <x:c r="D67" s="83"/>
      <x:c r="E67" s="83"/>
      <x:c r="F67" s="83"/>
      <x:c r="G67" s="83"/>
      <x:c r="H67" s="83"/>
      <x:c r="I67" s="83"/>
      <x:c r="J67" s="83"/>
      <x:c r="K67" s="83"/>
      <x:c r="L67" s="83"/>
      <x:c r="M67" s="83"/>
      <x:c r="N67" s="83"/>
      <x:c r="O67" s="83"/>
      <x:c r="P67" s="83"/>
      <x:c r="Q67" s="83"/>
      <x:c r="R67" s="83"/>
    </x:row>
    <x:row r="68">
      <x:c r="A68" s="83"/>
      <x:c r="B68" s="83"/>
      <x:c r="C68" s="83"/>
      <x:c r="D68" s="83"/>
      <x:c r="E68" s="83"/>
      <x:c r="F68" s="83"/>
      <x:c r="G68" s="83"/>
      <x:c r="H68" s="83"/>
      <x:c r="I68" s="83"/>
      <x:c r="J68" s="83"/>
      <x:c r="K68" s="83"/>
      <x:c r="L68" s="83"/>
      <x:c r="M68" s="83"/>
      <x:c r="N68" s="83"/>
      <x:c r="O68" s="83"/>
      <x:c r="P68" s="83"/>
      <x:c r="Q68" s="83"/>
      <x:c r="R68" s="83"/>
    </x:row>
    <x:row r="69">
      <x:c r="A69" s="83"/>
      <x:c r="B69" s="83"/>
      <x:c r="C69" s="83"/>
      <x:c r="D69" s="83"/>
      <x:c r="E69" s="83"/>
      <x:c r="F69" s="83"/>
      <x:c r="G69" s="83"/>
      <x:c r="H69" s="83"/>
      <x:c r="I69" s="83"/>
      <x:c r="J69" s="83"/>
      <x:c r="K69" s="83"/>
      <x:c r="L69" s="83"/>
      <x:c r="M69" s="83"/>
      <x:c r="N69" s="83"/>
      <x:c r="O69" s="83"/>
      <x:c r="P69" s="83"/>
      <x:c r="Q69" s="83"/>
      <x:c r="R69" s="83"/>
    </x:row>
    <x:row r="70">
      <x:c r="A70" s="83"/>
      <x:c r="B70" s="83"/>
      <x:c r="C70" s="83"/>
      <x:c r="D70" s="83"/>
      <x:c r="E70" s="83"/>
      <x:c r="F70" s="83"/>
      <x:c r="G70" s="83"/>
      <x:c r="H70" s="83"/>
      <x:c r="I70" s="83"/>
      <x:c r="J70" s="83"/>
      <x:c r="K70" s="83"/>
      <x:c r="L70" s="83"/>
      <x:c r="M70" s="83"/>
      <x:c r="N70" s="83"/>
      <x:c r="O70" s="83"/>
      <x:c r="P70" s="83"/>
      <x:c r="Q70" s="83"/>
      <x:c r="R70" s="83"/>
    </x:row>
    <x:row r="71">
      <x:c r="A71" s="83"/>
      <x:c r="B71" s="83"/>
      <x:c r="C71" s="83"/>
      <x:c r="D71" s="83"/>
      <x:c r="E71" s="83"/>
      <x:c r="F71" s="83"/>
      <x:c r="G71" s="83"/>
      <x:c r="H71" s="83"/>
      <x:c r="I71" s="83"/>
      <x:c r="J71" s="83"/>
      <x:c r="K71" s="83"/>
      <x:c r="L71" s="83"/>
      <x:c r="M71" s="83"/>
      <x:c r="N71" s="83"/>
      <x:c r="O71" s="83"/>
      <x:c r="P71" s="83"/>
      <x:c r="Q71" s="83"/>
      <x:c r="R71" s="83"/>
    </x:row>
    <x:row r="72">
      <x:c r="A72" s="83"/>
      <x:c r="B72" s="83"/>
      <x:c r="C72" s="83"/>
      <x:c r="D72" s="83"/>
      <x:c r="E72" s="83"/>
      <x:c r="F72" s="83"/>
      <x:c r="G72" s="83"/>
      <x:c r="H72" s="83"/>
      <x:c r="I72" s="83"/>
      <x:c r="J72" s="83"/>
      <x:c r="K72" s="83"/>
      <x:c r="L72" s="83"/>
      <x:c r="M72" s="83"/>
      <x:c r="N72" s="83"/>
      <x:c r="O72" s="83"/>
      <x:c r="P72" s="83"/>
      <x:c r="Q72" s="83"/>
      <x:c r="R72" s="83"/>
    </x:row>
    <x:row r="73">
      <x:c r="A73" s="83"/>
      <x:c r="B73" s="83"/>
      <x:c r="C73" s="83"/>
      <x:c r="D73" s="83"/>
      <x:c r="E73" s="83"/>
      <x:c r="F73" s="83"/>
      <x:c r="G73" s="83"/>
      <x:c r="H73" s="83"/>
      <x:c r="I73" s="83"/>
      <x:c r="J73" s="83"/>
      <x:c r="K73" s="83"/>
      <x:c r="L73" s="83"/>
      <x:c r="M73" s="83"/>
      <x:c r="N73" s="83"/>
      <x:c r="O73" s="83"/>
      <x:c r="P73" s="83"/>
      <x:c r="Q73" s="83"/>
      <x:c r="R73" s="83"/>
    </x:row>
    <x:row r="74">
      <x:c r="A74" s="83"/>
      <x:c r="B74" s="83"/>
      <x:c r="C74" s="83"/>
      <x:c r="D74" s="83"/>
      <x:c r="E74" s="83"/>
      <x:c r="F74" s="83"/>
      <x:c r="G74" s="83"/>
      <x:c r="H74" s="83"/>
      <x:c r="I74" s="83"/>
      <x:c r="J74" s="83"/>
      <x:c r="K74" s="83"/>
      <x:c r="L74" s="83"/>
      <x:c r="M74" s="83"/>
      <x:c r="N74" s="83"/>
      <x:c r="O74" s="83"/>
      <x:c r="P74" s="83"/>
      <x:c r="Q74" s="83"/>
      <x:c r="R74" s="83"/>
    </x:row>
    <x:row r="75">
      <x:c r="A75" s="83"/>
      <x:c r="B75" s="83"/>
      <x:c r="C75" s="83"/>
      <x:c r="D75" s="83"/>
      <x:c r="E75" s="83"/>
      <x:c r="F75" s="83"/>
      <x:c r="G75" s="83"/>
      <x:c r="H75" s="83"/>
      <x:c r="I75" s="83"/>
      <x:c r="J75" s="83"/>
      <x:c r="K75" s="83"/>
      <x:c r="L75" s="83"/>
      <x:c r="M75" s="83"/>
      <x:c r="N75" s="83"/>
      <x:c r="O75" s="83"/>
      <x:c r="P75" s="83"/>
      <x:c r="Q75" s="83"/>
      <x:c r="R75" s="83"/>
    </x:row>
    <x:row r="76">
      <x:c r="A76" s="83"/>
      <x:c r="B76" s="83"/>
      <x:c r="C76" s="83"/>
      <x:c r="D76" s="83"/>
      <x:c r="E76" s="83"/>
      <x:c r="F76" s="83"/>
      <x:c r="G76" s="83"/>
      <x:c r="H76" s="83"/>
      <x:c r="I76" s="83"/>
      <x:c r="J76" s="83"/>
      <x:c r="K76" s="83"/>
      <x:c r="L76" s="83"/>
      <x:c r="M76" s="83"/>
      <x:c r="N76" s="83"/>
      <x:c r="O76" s="83"/>
      <x:c r="P76" s="83"/>
      <x:c r="Q76" s="83"/>
      <x:c r="R76" s="83"/>
    </x:row>
    <x:row r="77">
      <x:c r="A77" s="83"/>
      <x:c r="B77" s="83"/>
      <x:c r="C77" s="83"/>
      <x:c r="D77" s="83"/>
      <x:c r="E77" s="83"/>
      <x:c r="F77" s="83"/>
      <x:c r="G77" s="83"/>
      <x:c r="H77" s="83"/>
      <x:c r="I77" s="83"/>
      <x:c r="J77" s="83"/>
      <x:c r="K77" s="83"/>
      <x:c r="L77" s="83"/>
      <x:c r="M77" s="83"/>
      <x:c r="N77" s="83"/>
      <x:c r="O77" s="83"/>
      <x:c r="P77" s="83"/>
      <x:c r="Q77" s="83"/>
      <x:c r="R77" s="83"/>
    </x:row>
    <x:row r="78">
      <x:c r="A78" s="83"/>
      <x:c r="B78" s="83"/>
      <x:c r="C78" s="83"/>
      <x:c r="D78" s="83"/>
      <x:c r="E78" s="83"/>
      <x:c r="F78" s="83"/>
      <x:c r="G78" s="83"/>
      <x:c r="H78" s="83"/>
      <x:c r="I78" s="83"/>
      <x:c r="J78" s="83"/>
      <x:c r="K78" s="83"/>
      <x:c r="L78" s="83"/>
      <x:c r="M78" s="83"/>
      <x:c r="N78" s="83"/>
      <x:c r="O78" s="83"/>
      <x:c r="P78" s="83"/>
      <x:c r="Q78" s="83"/>
      <x:c r="R78" s="83"/>
    </x:row>
    <x:row r="79">
      <x:c r="A79" s="83"/>
      <x:c r="B79" s="83"/>
      <x:c r="C79" s="83"/>
      <x:c r="D79" s="83"/>
      <x:c r="E79" s="83"/>
      <x:c r="F79" s="83"/>
      <x:c r="G79" s="83"/>
      <x:c r="H79" s="83"/>
      <x:c r="I79" s="83"/>
      <x:c r="J79" s="83"/>
      <x:c r="K79" s="83"/>
      <x:c r="L79" s="83"/>
      <x:c r="M79" s="83"/>
      <x:c r="N79" s="83"/>
      <x:c r="O79" s="83"/>
      <x:c r="P79" s="83"/>
      <x:c r="Q79" s="83"/>
      <x:c r="R79" s="83"/>
    </x:row>
    <x:row r="80">
      <x:c r="A80" s="83"/>
      <x:c r="B80" s="83"/>
      <x:c r="C80" s="83"/>
      <x:c r="D80" s="83"/>
      <x:c r="E80" s="83"/>
      <x:c r="F80" s="83"/>
      <x:c r="G80" s="83"/>
      <x:c r="H80" s="83"/>
      <x:c r="I80" s="83"/>
      <x:c r="J80" s="83"/>
      <x:c r="K80" s="83"/>
      <x:c r="L80" s="83"/>
      <x:c r="M80" s="83"/>
      <x:c r="N80" s="83"/>
      <x:c r="O80" s="83"/>
      <x:c r="P80" s="83"/>
      <x:c r="Q80" s="83"/>
      <x:c r="R80" s="83"/>
    </x:row>
  </x:sheetData>
  <x:mergeCells>
    <x:mergeCell ref="A1:L1"/>
  </x:mergeCells>
  <x:conditionalFormatting sqref="J4:J15">
    <x:cfRule type="expression" dxfId="1" priority="1">
      <x:formula>$J4&lt;&gt;"OK"</x:formula>
    </x:cfRule>
    <x:cfRule type="expression" dxfId="2" priority="2">
      <x:formula>$J4="OK"</x:formula>
    </x:cfRule>
  </x:conditionalFormatting>
  <x:dataValidations count="2">
    <x:dataValidation type="list" sqref="B4:B15">
      <x:formula1>_LISTS!$D$2:$D$7</x:formula1>
    </x:dataValidation>
    <x:dataValidation type="list" sqref="K4:K15">
      <x:formula1>_LISTS!$G$2:$G$5</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9" hidden="0" customWidth="1"/>
    <x:col min="2" max="2" width="16" hidden="0" customWidth="1"/>
    <x:col min="3" max="3" width="30" hidden="0" customWidth="1"/>
    <x:col min="4" max="4" width="10" hidden="0" customWidth="1"/>
    <x:col min="5" max="5" width="22" hidden="0" customWidth="1"/>
    <x:col min="6" max="6" width="48" hidden="0" customWidth="1"/>
    <x:col min="7" max="7" width="12" hidden="0" customWidth="1"/>
    <x:col min="8" max="8" width="32" hidden="0" customWidth="1"/>
    <x:col min="9" max="9" width="28" hidden="0" customWidth="1"/>
    <x:col min="10" max="10" width="20" hidden="0" customWidth="1"/>
    <x:col min="11" max="11" width="19" hidden="0" customWidth="1"/>
    <x:col min="12" max="12" width="16" hidden="0" customWidth="1"/>
    <x:col min="13" max="13" width="14" hidden="0" customWidth="1"/>
    <x:col min="14" max="14" width="14" hidden="0" customWidth="1"/>
    <x:col min="15" max="15" width="16" hidden="0" customWidth="1"/>
    <x:col min="16" max="16" width="22" hidden="0" customWidth="1"/>
    <x:col min="17" max="17" width="20" hidden="0" customWidth="1"/>
    <x:col min="18" max="18" width="28" hidden="0" customWidth="1"/>
  </x:cols>
  <x:sheetData>
    <x:row r="1">
      <x:c r="A1" s="133" t="str">
        <x:v>OUTLINE — timing, mapping, assessment, and QA calculate automatically</x:v>
      </x:c>
      <x:c r="B1" s="133"/>
      <x:c r="C1" s="133"/>
      <x:c r="D1" s="133"/>
      <x:c r="E1" s="133"/>
      <x:c r="F1" s="133"/>
      <x:c r="G1" s="133"/>
      <x:c r="H1" s="133"/>
      <x:c r="I1" s="133"/>
      <x:c r="J1" s="133"/>
      <x:c r="K1" s="133"/>
      <x:c r="L1" s="133"/>
      <x:c r="M1" s="133"/>
      <x:c r="N1" s="133"/>
      <x:c r="O1" s="133"/>
      <x:c r="P1" s="133"/>
      <x:c r="Q1" s="133"/>
      <x:c r="R1" s="133"/>
    </x:row>
    <x:row r="2">
      <x:c r="A2" s="83"/>
      <x:c r="B2" s="83"/>
      <x:c r="C2" s="83"/>
      <x:c r="D2" s="83"/>
      <x:c r="E2" s="83"/>
      <x:c r="F2" s="83"/>
      <x:c r="G2" s="83"/>
      <x:c r="H2" s="83"/>
      <x:c r="I2" s="83"/>
      <x:c r="J2" s="83"/>
      <x:c r="K2" s="83"/>
      <x:c r="L2" s="83"/>
      <x:c r="M2" s="83"/>
      <x:c r="N2" s="83"/>
      <x:c r="O2" s="83"/>
      <x:c r="P2" s="83"/>
      <x:c r="Q2" s="83"/>
      <x:c r="R2" s="83"/>
    </x:row>
    <x:row r="3">
      <x:c r="A3" s="113" t="str">
        <x:v>Segment #</x:v>
      </x:c>
      <x:c r="B3" s="113" t="str">
        <x:v>Module / Step</x:v>
      </x:c>
      <x:c r="C3" s="113" t="str">
        <x:v>Segment Title</x:v>
      </x:c>
      <x:c r="D3" s="113" t="str">
        <x:v>Minutes</x:v>
      </x:c>
      <x:c r="E3" s="113" t="str">
        <x:v>Segment Type</x:v>
      </x:c>
      <x:c r="F3" s="113" t="str">
        <x:v>Learning Experience / Content</x:v>
      </x:c>
      <x:c r="G3" s="113" t="str">
        <x:v>Objective ID</x:v>
      </x:c>
      <x:c r="H3" s="113" t="str">
        <x:v>Participant Action / Output</x:v>
      </x:c>
      <x:c r="I3" s="113" t="str">
        <x:v>Tool / Template</x:v>
      </x:c>
      <x:c r="J3" s="113" t="str">
        <x:v>Assessment Type</x:v>
      </x:c>
      <x:c r="K3" s="113" t="str">
        <x:v>Proprietary / Restricted?</x:v>
      </x:c>
      <x:c r="L3" s="113" t="str">
        <x:v>AI Use / AI Lens?</x:v>
      </x:c>
      <x:c r="M3" s="113" t="str">
        <x:v>Cumulative Min</x:v>
      </x:c>
      <x:c r="N3" s="113" t="str">
        <x:v>Remaining Min</x:v>
      </x:c>
      <x:c r="O3" s="113" t="str">
        <x:v>Timing QA</x:v>
      </x:c>
      <x:c r="P3" s="113" t="str">
        <x:v>Alignment QA</x:v>
      </x:c>
      <x:c r="Q3" s="113" t="str">
        <x:v>Content QA</x:v>
      </x:c>
      <x:c r="R3" s="113" t="str">
        <x:v>Notes</x:v>
      </x:c>
    </x:row>
    <x:row r="4">
      <x:c r="A4" s="114" t="n">
        <x:v>1</x:v>
      </x:c>
      <x:c r="B4" s="111"/>
      <x:c r="C4" s="111"/>
      <x:c r="D4" s="111"/>
      <x:c r="E4" s="111"/>
      <x:c r="F4" s="111"/>
      <x:c r="G4" s="111"/>
      <x:c r="H4" s="111"/>
      <x:c r="I4" s="111"/>
      <x:c r="J4" s="111"/>
      <x:c r="K4" s="111"/>
      <x:c r="L4" s="111"/>
      <x:c r="M4" s="114" t="str">
        <x:f>IF(C4="","",SUM($D$4:D4))</x:f>
      </x:c>
      <x:c r="N4" s="114" t="str">
        <x:f>IF(C4="","",SETUP!$B$7-M4)</x:f>
      </x:c>
      <x:c r="O4" s="114" t="str">
        <x:f>IF(C4="","",IF(D4="","ADD MINUTES",IF(N4&lt;0,"OVER TIME",IF(N4=0,"ENDS ON TARGET","OK"))))</x:f>
      </x:c>
      <x:c r="P4" s="114" t="str">
        <x:f>IF(C4="","",IF(AND(E4&lt;&gt;"Break",E4&lt;&gt;"Welcome / Framing",E4&lt;&gt;"Closing / Application",G4=""),"MAP OBJECTIVE",IF(AND(OR(E4="Exercise / Practice",E4="Case Study",E4="Tool / Demo"),H4=""),"ADD PARTICIPANT OUTPUT","OK")))</x:f>
      </x:c>
      <x:c r="Q4" s="114" t="str">
        <x:f>IF(C4="","",IF(AND(E4&lt;&gt;"Break",F4=""),"ADD CONTENT",IF(AND(K4="Yes",I4=""),"NAME / EXPLAIN TOOL","OK")))</x:f>
      </x:c>
      <x:c r="R4" s="111"/>
    </x:row>
    <x:row r="5">
      <x:c r="A5" s="114" t="n">
        <x:v>2</x:v>
      </x:c>
      <x:c r="B5" s="111"/>
      <x:c r="C5" s="111"/>
      <x:c r="D5" s="111"/>
      <x:c r="E5" s="111"/>
      <x:c r="F5" s="111"/>
      <x:c r="G5" s="111"/>
      <x:c r="H5" s="111"/>
      <x:c r="I5" s="111"/>
      <x:c r="J5" s="111"/>
      <x:c r="K5" s="111"/>
      <x:c r="L5" s="111"/>
      <x:c r="M5" s="114" t="str">
        <x:f>IF(C5="","",SUM($D$4:D5))</x:f>
      </x:c>
      <x:c r="N5" s="114" t="str">
        <x:f>IF(C5="","",SETUP!$B$7-M5)</x:f>
      </x:c>
      <x:c r="O5" s="114" t="str">
        <x:f>IF(C5="","",IF(D5="","ADD MINUTES",IF(N5&lt;0,"OVER TIME",IF(N5=0,"ENDS ON TARGET","OK"))))</x:f>
      </x:c>
      <x:c r="P5" s="114" t="str">
        <x:f>IF(C5="","",IF(AND(E5&lt;&gt;"Break",E5&lt;&gt;"Welcome / Framing",E5&lt;&gt;"Closing / Application",G5=""),"MAP OBJECTIVE",IF(AND(OR(E5="Exercise / Practice",E5="Case Study",E5="Tool / Demo"),H5=""),"ADD PARTICIPANT OUTPUT","OK")))</x:f>
      </x:c>
      <x:c r="Q5" s="114" t="str">
        <x:f>IF(C5="","",IF(AND(E5&lt;&gt;"Break",F5=""),"ADD CONTENT",IF(AND(K5="Yes",I5=""),"NAME / EXPLAIN TOOL","OK")))</x:f>
      </x:c>
      <x:c r="R5" s="111"/>
    </x:row>
    <x:row r="6">
      <x:c r="A6" s="114" t="n">
        <x:v>3</x:v>
      </x:c>
      <x:c r="B6" s="111"/>
      <x:c r="C6" s="111"/>
      <x:c r="D6" s="111"/>
      <x:c r="E6" s="111"/>
      <x:c r="F6" s="111"/>
      <x:c r="G6" s="111"/>
      <x:c r="H6" s="111"/>
      <x:c r="I6" s="111"/>
      <x:c r="J6" s="111"/>
      <x:c r="K6" s="111"/>
      <x:c r="L6" s="111"/>
      <x:c r="M6" s="114" t="str">
        <x:f>IF(C6="","",SUM($D$4:D6))</x:f>
      </x:c>
      <x:c r="N6" s="114" t="str">
        <x:f>IF(C6="","",SETUP!$B$7-M6)</x:f>
      </x:c>
      <x:c r="O6" s="114" t="str">
        <x:f>IF(C6="","",IF(D6="","ADD MINUTES",IF(N6&lt;0,"OVER TIME",IF(N6=0,"ENDS ON TARGET","OK"))))</x:f>
      </x:c>
      <x:c r="P6" s="114" t="str">
        <x:f>IF(C6="","",IF(AND(E6&lt;&gt;"Break",E6&lt;&gt;"Welcome / Framing",E6&lt;&gt;"Closing / Application",G6=""),"MAP OBJECTIVE",IF(AND(OR(E6="Exercise / Practice",E6="Case Study",E6="Tool / Demo"),H6=""),"ADD PARTICIPANT OUTPUT","OK")))</x:f>
      </x:c>
      <x:c r="Q6" s="114" t="str">
        <x:f>IF(C6="","",IF(AND(E6&lt;&gt;"Break",F6=""),"ADD CONTENT",IF(AND(K6="Yes",I6=""),"NAME / EXPLAIN TOOL","OK")))</x:f>
      </x:c>
      <x:c r="R6" s="111"/>
    </x:row>
    <x:row r="7">
      <x:c r="A7" s="114" t="n">
        <x:v>4</x:v>
      </x:c>
      <x:c r="B7" s="111"/>
      <x:c r="C7" s="111"/>
      <x:c r="D7" s="111"/>
      <x:c r="E7" s="111"/>
      <x:c r="F7" s="111"/>
      <x:c r="G7" s="111"/>
      <x:c r="H7" s="111"/>
      <x:c r="I7" s="111"/>
      <x:c r="J7" s="111"/>
      <x:c r="K7" s="111"/>
      <x:c r="L7" s="111"/>
      <x:c r="M7" s="114" t="str">
        <x:f>IF(C7="","",SUM($D$4:D7))</x:f>
      </x:c>
      <x:c r="N7" s="114" t="str">
        <x:f>IF(C7="","",SETUP!$B$7-M7)</x:f>
      </x:c>
      <x:c r="O7" s="114" t="str">
        <x:f>IF(C7="","",IF(D7="","ADD MINUTES",IF(N7&lt;0,"OVER TIME",IF(N7=0,"ENDS ON TARGET","OK"))))</x:f>
      </x:c>
      <x:c r="P7" s="114" t="str">
        <x:f>IF(C7="","",IF(AND(E7&lt;&gt;"Break",E7&lt;&gt;"Welcome / Framing",E7&lt;&gt;"Closing / Application",G7=""),"MAP OBJECTIVE",IF(AND(OR(E7="Exercise / Practice",E7="Case Study",E7="Tool / Demo"),H7=""),"ADD PARTICIPANT OUTPUT","OK")))</x:f>
      </x:c>
      <x:c r="Q7" s="114" t="str">
        <x:f>IF(C7="","",IF(AND(E7&lt;&gt;"Break",F7=""),"ADD CONTENT",IF(AND(K7="Yes",I7=""),"NAME / EXPLAIN TOOL","OK")))</x:f>
      </x:c>
      <x:c r="R7" s="111"/>
    </x:row>
    <x:row r="8">
      <x:c r="A8" s="114" t="n">
        <x:v>5</x:v>
      </x:c>
      <x:c r="B8" s="111"/>
      <x:c r="C8" s="111"/>
      <x:c r="D8" s="111"/>
      <x:c r="E8" s="111"/>
      <x:c r="F8" s="111"/>
      <x:c r="G8" s="111"/>
      <x:c r="H8" s="111"/>
      <x:c r="I8" s="111"/>
      <x:c r="J8" s="111"/>
      <x:c r="K8" s="111"/>
      <x:c r="L8" s="111"/>
      <x:c r="M8" s="114" t="str">
        <x:f>IF(C8="","",SUM($D$4:D8))</x:f>
      </x:c>
      <x:c r="N8" s="114" t="str">
        <x:f>IF(C8="","",SETUP!$B$7-M8)</x:f>
      </x:c>
      <x:c r="O8" s="114" t="str">
        <x:f>IF(C8="","",IF(D8="","ADD MINUTES",IF(N8&lt;0,"OVER TIME",IF(N8=0,"ENDS ON TARGET","OK"))))</x:f>
      </x:c>
      <x:c r="P8" s="114" t="str">
        <x:f>IF(C8="","",IF(AND(E8&lt;&gt;"Break",E8&lt;&gt;"Welcome / Framing",E8&lt;&gt;"Closing / Application",G8=""),"MAP OBJECTIVE",IF(AND(OR(E8="Exercise / Practice",E8="Case Study",E8="Tool / Demo"),H8=""),"ADD PARTICIPANT OUTPUT","OK")))</x:f>
      </x:c>
      <x:c r="Q8" s="114" t="str">
        <x:f>IF(C8="","",IF(AND(E8&lt;&gt;"Break",F8=""),"ADD CONTENT",IF(AND(K8="Yes",I8=""),"NAME / EXPLAIN TOOL","OK")))</x:f>
      </x:c>
      <x:c r="R8" s="111"/>
    </x:row>
    <x:row r="9">
      <x:c r="A9" s="114" t="n">
        <x:v>6</x:v>
      </x:c>
      <x:c r="B9" s="111"/>
      <x:c r="C9" s="111"/>
      <x:c r="D9" s="111"/>
      <x:c r="E9" s="111"/>
      <x:c r="F9" s="111"/>
      <x:c r="G9" s="111"/>
      <x:c r="H9" s="111"/>
      <x:c r="I9" s="111"/>
      <x:c r="J9" s="111"/>
      <x:c r="K9" s="111"/>
      <x:c r="L9" s="111"/>
      <x:c r="M9" s="114" t="str">
        <x:f>IF(C9="","",SUM($D$4:D9))</x:f>
      </x:c>
      <x:c r="N9" s="114" t="str">
        <x:f>IF(C9="","",SETUP!$B$7-M9)</x:f>
      </x:c>
      <x:c r="O9" s="114" t="str">
        <x:f>IF(C9="","",IF(D9="","ADD MINUTES",IF(N9&lt;0,"OVER TIME",IF(N9=0,"ENDS ON TARGET","OK"))))</x:f>
      </x:c>
      <x:c r="P9" s="114" t="str">
        <x:f>IF(C9="","",IF(AND(E9&lt;&gt;"Break",E9&lt;&gt;"Welcome / Framing",E9&lt;&gt;"Closing / Application",G9=""),"MAP OBJECTIVE",IF(AND(OR(E9="Exercise / Practice",E9="Case Study",E9="Tool / Demo"),H9=""),"ADD PARTICIPANT OUTPUT","OK")))</x:f>
      </x:c>
      <x:c r="Q9" s="114" t="str">
        <x:f>IF(C9="","",IF(AND(E9&lt;&gt;"Break",F9=""),"ADD CONTENT",IF(AND(K9="Yes",I9=""),"NAME / EXPLAIN TOOL","OK")))</x:f>
      </x:c>
      <x:c r="R9" s="111"/>
    </x:row>
    <x:row r="10">
      <x:c r="A10" s="114" t="n">
        <x:v>7</x:v>
      </x:c>
      <x:c r="B10" s="111"/>
      <x:c r="C10" s="111"/>
      <x:c r="D10" s="111"/>
      <x:c r="E10" s="111"/>
      <x:c r="F10" s="111"/>
      <x:c r="G10" s="111"/>
      <x:c r="H10" s="111"/>
      <x:c r="I10" s="111"/>
      <x:c r="J10" s="111"/>
      <x:c r="K10" s="111"/>
      <x:c r="L10" s="111"/>
      <x:c r="M10" s="114" t="str">
        <x:f>IF(C10="","",SUM($D$4:D10))</x:f>
      </x:c>
      <x:c r="N10" s="114" t="str">
        <x:f>IF(C10="","",SETUP!$B$7-M10)</x:f>
      </x:c>
      <x:c r="O10" s="114" t="str">
        <x:f>IF(C10="","",IF(D10="","ADD MINUTES",IF(N10&lt;0,"OVER TIME",IF(N10=0,"ENDS ON TARGET","OK"))))</x:f>
      </x:c>
      <x:c r="P10" s="114" t="str">
        <x:f>IF(C10="","",IF(AND(E10&lt;&gt;"Break",E10&lt;&gt;"Welcome / Framing",E10&lt;&gt;"Closing / Application",G10=""),"MAP OBJECTIVE",IF(AND(OR(E10="Exercise / Practice",E10="Case Study",E10="Tool / Demo"),H10=""),"ADD PARTICIPANT OUTPUT","OK")))</x:f>
      </x:c>
      <x:c r="Q10" s="114" t="str">
        <x:f>IF(C10="","",IF(AND(E10&lt;&gt;"Break",F10=""),"ADD CONTENT",IF(AND(K10="Yes",I10=""),"NAME / EXPLAIN TOOL","OK")))</x:f>
      </x:c>
      <x:c r="R10" s="111"/>
    </x:row>
    <x:row r="11">
      <x:c r="A11" s="114" t="n">
        <x:v>8</x:v>
      </x:c>
      <x:c r="B11" s="111"/>
      <x:c r="C11" s="111"/>
      <x:c r="D11" s="111"/>
      <x:c r="E11" s="111"/>
      <x:c r="F11" s="111"/>
      <x:c r="G11" s="111"/>
      <x:c r="H11" s="111"/>
      <x:c r="I11" s="111"/>
      <x:c r="J11" s="111"/>
      <x:c r="K11" s="111"/>
      <x:c r="L11" s="111"/>
      <x:c r="M11" s="114" t="str">
        <x:f>IF(C11="","",SUM($D$4:D11))</x:f>
      </x:c>
      <x:c r="N11" s="114" t="str">
        <x:f>IF(C11="","",SETUP!$B$7-M11)</x:f>
      </x:c>
      <x:c r="O11" s="114" t="str">
        <x:f>IF(C11="","",IF(D11="","ADD MINUTES",IF(N11&lt;0,"OVER TIME",IF(N11=0,"ENDS ON TARGET","OK"))))</x:f>
      </x:c>
      <x:c r="P11" s="114" t="str">
        <x:f>IF(C11="","",IF(AND(E11&lt;&gt;"Break",E11&lt;&gt;"Welcome / Framing",E11&lt;&gt;"Closing / Application",G11=""),"MAP OBJECTIVE",IF(AND(OR(E11="Exercise / Practice",E11="Case Study",E11="Tool / Demo"),H11=""),"ADD PARTICIPANT OUTPUT","OK")))</x:f>
      </x:c>
      <x:c r="Q11" s="114" t="str">
        <x:f>IF(C11="","",IF(AND(E11&lt;&gt;"Break",F11=""),"ADD CONTENT",IF(AND(K11="Yes",I11=""),"NAME / EXPLAIN TOOL","OK")))</x:f>
      </x:c>
      <x:c r="R11" s="111"/>
    </x:row>
    <x:row r="12">
      <x:c r="A12" s="114" t="n">
        <x:v>9</x:v>
      </x:c>
      <x:c r="B12" s="111"/>
      <x:c r="C12" s="111"/>
      <x:c r="D12" s="111"/>
      <x:c r="E12" s="111"/>
      <x:c r="F12" s="111"/>
      <x:c r="G12" s="111"/>
      <x:c r="H12" s="111"/>
      <x:c r="I12" s="111"/>
      <x:c r="J12" s="111"/>
      <x:c r="K12" s="111"/>
      <x:c r="L12" s="111"/>
      <x:c r="M12" s="114" t="str">
        <x:f>IF(C12="","",SUM($D$4:D12))</x:f>
      </x:c>
      <x:c r="N12" s="114" t="str">
        <x:f>IF(C12="","",SETUP!$B$7-M12)</x:f>
      </x:c>
      <x:c r="O12" s="114" t="str">
        <x:f>IF(C12="","",IF(D12="","ADD MINUTES",IF(N12&lt;0,"OVER TIME",IF(N12=0,"ENDS ON TARGET","OK"))))</x:f>
      </x:c>
      <x:c r="P12" s="114" t="str">
        <x:f>IF(C12="","",IF(AND(E12&lt;&gt;"Break",E12&lt;&gt;"Welcome / Framing",E12&lt;&gt;"Closing / Application",G12=""),"MAP OBJECTIVE",IF(AND(OR(E12="Exercise / Practice",E12="Case Study",E12="Tool / Demo"),H12=""),"ADD PARTICIPANT OUTPUT","OK")))</x:f>
      </x:c>
      <x:c r="Q12" s="114" t="str">
        <x:f>IF(C12="","",IF(AND(E12&lt;&gt;"Break",F12=""),"ADD CONTENT",IF(AND(K12="Yes",I12=""),"NAME / EXPLAIN TOOL","OK")))</x:f>
      </x:c>
      <x:c r="R12" s="111"/>
    </x:row>
    <x:row r="13">
      <x:c r="A13" s="114" t="n">
        <x:v>10</x:v>
      </x:c>
      <x:c r="B13" s="111"/>
      <x:c r="C13" s="111"/>
      <x:c r="D13" s="111"/>
      <x:c r="E13" s="111"/>
      <x:c r="F13" s="111"/>
      <x:c r="G13" s="111"/>
      <x:c r="H13" s="111"/>
      <x:c r="I13" s="111"/>
      <x:c r="J13" s="111"/>
      <x:c r="K13" s="111"/>
      <x:c r="L13" s="111"/>
      <x:c r="M13" s="114" t="str">
        <x:f>IF(C13="","",SUM($D$4:D13))</x:f>
      </x:c>
      <x:c r="N13" s="114" t="str">
        <x:f>IF(C13="","",SETUP!$B$7-M13)</x:f>
      </x:c>
      <x:c r="O13" s="114" t="str">
        <x:f>IF(C13="","",IF(D13="","ADD MINUTES",IF(N13&lt;0,"OVER TIME",IF(N13=0,"ENDS ON TARGET","OK"))))</x:f>
      </x:c>
      <x:c r="P13" s="114" t="str">
        <x:f>IF(C13="","",IF(AND(E13&lt;&gt;"Break",E13&lt;&gt;"Welcome / Framing",E13&lt;&gt;"Closing / Application",G13=""),"MAP OBJECTIVE",IF(AND(OR(E13="Exercise / Practice",E13="Case Study",E13="Tool / Demo"),H13=""),"ADD PARTICIPANT OUTPUT","OK")))</x:f>
      </x:c>
      <x:c r="Q13" s="114" t="str">
        <x:f>IF(C13="","",IF(AND(E13&lt;&gt;"Break",F13=""),"ADD CONTENT",IF(AND(K13="Yes",I13=""),"NAME / EXPLAIN TOOL","OK")))</x:f>
      </x:c>
      <x:c r="R13" s="111"/>
    </x:row>
    <x:row r="14">
      <x:c r="A14" s="114" t="n">
        <x:v>11</x:v>
      </x:c>
      <x:c r="B14" s="111"/>
      <x:c r="C14" s="111"/>
      <x:c r="D14" s="111"/>
      <x:c r="E14" s="111"/>
      <x:c r="F14" s="111"/>
      <x:c r="G14" s="111"/>
      <x:c r="H14" s="111"/>
      <x:c r="I14" s="111"/>
      <x:c r="J14" s="111"/>
      <x:c r="K14" s="111"/>
      <x:c r="L14" s="111"/>
      <x:c r="M14" s="114" t="str">
        <x:f>IF(C14="","",SUM($D$4:D14))</x:f>
      </x:c>
      <x:c r="N14" s="114" t="str">
        <x:f>IF(C14="","",SETUP!$B$7-M14)</x:f>
      </x:c>
      <x:c r="O14" s="114" t="str">
        <x:f>IF(C14="","",IF(D14="","ADD MINUTES",IF(N14&lt;0,"OVER TIME",IF(N14=0,"ENDS ON TARGET","OK"))))</x:f>
      </x:c>
      <x:c r="P14" s="114" t="str">
        <x:f>IF(C14="","",IF(AND(E14&lt;&gt;"Break",E14&lt;&gt;"Welcome / Framing",E14&lt;&gt;"Closing / Application",G14=""),"MAP OBJECTIVE",IF(AND(OR(E14="Exercise / Practice",E14="Case Study",E14="Tool / Demo"),H14=""),"ADD PARTICIPANT OUTPUT","OK")))</x:f>
      </x:c>
      <x:c r="Q14" s="114" t="str">
        <x:f>IF(C14="","",IF(AND(E14&lt;&gt;"Break",F14=""),"ADD CONTENT",IF(AND(K14="Yes",I14=""),"NAME / EXPLAIN TOOL","OK")))</x:f>
      </x:c>
      <x:c r="R14" s="111"/>
    </x:row>
    <x:row r="15">
      <x:c r="A15" s="114" t="n">
        <x:v>12</x:v>
      </x:c>
      <x:c r="B15" s="111"/>
      <x:c r="C15" s="111"/>
      <x:c r="D15" s="111"/>
      <x:c r="E15" s="111"/>
      <x:c r="F15" s="111"/>
      <x:c r="G15" s="111"/>
      <x:c r="H15" s="111"/>
      <x:c r="I15" s="111"/>
      <x:c r="J15" s="111"/>
      <x:c r="K15" s="111"/>
      <x:c r="L15" s="111"/>
      <x:c r="M15" s="114" t="str">
        <x:f>IF(C15="","",SUM($D$4:D15))</x:f>
      </x:c>
      <x:c r="N15" s="114" t="str">
        <x:f>IF(C15="","",SETUP!$B$7-M15)</x:f>
      </x:c>
      <x:c r="O15" s="114" t="str">
        <x:f>IF(C15="","",IF(D15="","ADD MINUTES",IF(N15&lt;0,"OVER TIME",IF(N15=0,"ENDS ON TARGET","OK"))))</x:f>
      </x:c>
      <x:c r="P15" s="114" t="str">
        <x:f>IF(C15="","",IF(AND(E15&lt;&gt;"Break",E15&lt;&gt;"Welcome / Framing",E15&lt;&gt;"Closing / Application",G15=""),"MAP OBJECTIVE",IF(AND(OR(E15="Exercise / Practice",E15="Case Study",E15="Tool / Demo"),H15=""),"ADD PARTICIPANT OUTPUT","OK")))</x:f>
      </x:c>
      <x:c r="Q15" s="114" t="str">
        <x:f>IF(C15="","",IF(AND(E15&lt;&gt;"Break",F15=""),"ADD CONTENT",IF(AND(K15="Yes",I15=""),"NAME / EXPLAIN TOOL","OK")))</x:f>
      </x:c>
      <x:c r="R15" s="111"/>
    </x:row>
    <x:row r="16">
      <x:c r="A16" s="114" t="n">
        <x:v>13</x:v>
      </x:c>
      <x:c r="B16" s="111"/>
      <x:c r="C16" s="111"/>
      <x:c r="D16" s="111"/>
      <x:c r="E16" s="111"/>
      <x:c r="F16" s="111"/>
      <x:c r="G16" s="111"/>
      <x:c r="H16" s="111"/>
      <x:c r="I16" s="111"/>
      <x:c r="J16" s="111"/>
      <x:c r="K16" s="111"/>
      <x:c r="L16" s="111"/>
      <x:c r="M16" s="114" t="str">
        <x:f>IF(C16="","",SUM($D$4:D16))</x:f>
      </x:c>
      <x:c r="N16" s="114" t="str">
        <x:f>IF(C16="","",SETUP!$B$7-M16)</x:f>
      </x:c>
      <x:c r="O16" s="114" t="str">
        <x:f>IF(C16="","",IF(D16="","ADD MINUTES",IF(N16&lt;0,"OVER TIME",IF(N16=0,"ENDS ON TARGET","OK"))))</x:f>
      </x:c>
      <x:c r="P16" s="114" t="str">
        <x:f>IF(C16="","",IF(AND(E16&lt;&gt;"Break",E16&lt;&gt;"Welcome / Framing",E16&lt;&gt;"Closing / Application",G16=""),"MAP OBJECTIVE",IF(AND(OR(E16="Exercise / Practice",E16="Case Study",E16="Tool / Demo"),H16=""),"ADD PARTICIPANT OUTPUT","OK")))</x:f>
      </x:c>
      <x:c r="Q16" s="114" t="str">
        <x:f>IF(C16="","",IF(AND(E16&lt;&gt;"Break",F16=""),"ADD CONTENT",IF(AND(K16="Yes",I16=""),"NAME / EXPLAIN TOOL","OK")))</x:f>
      </x:c>
      <x:c r="R16" s="111"/>
    </x:row>
    <x:row r="17">
      <x:c r="A17" s="114" t="n">
        <x:v>14</x:v>
      </x:c>
      <x:c r="B17" s="111"/>
      <x:c r="C17" s="111"/>
      <x:c r="D17" s="111"/>
      <x:c r="E17" s="111"/>
      <x:c r="F17" s="111"/>
      <x:c r="G17" s="111"/>
      <x:c r="H17" s="111"/>
      <x:c r="I17" s="111"/>
      <x:c r="J17" s="111"/>
      <x:c r="K17" s="111"/>
      <x:c r="L17" s="111"/>
      <x:c r="M17" s="114" t="str">
        <x:f>IF(C17="","",SUM($D$4:D17))</x:f>
      </x:c>
      <x:c r="N17" s="114" t="str">
        <x:f>IF(C17="","",SETUP!$B$7-M17)</x:f>
      </x:c>
      <x:c r="O17" s="114" t="str">
        <x:f>IF(C17="","",IF(D17="","ADD MINUTES",IF(N17&lt;0,"OVER TIME",IF(N17=0,"ENDS ON TARGET","OK"))))</x:f>
      </x:c>
      <x:c r="P17" s="114" t="str">
        <x:f>IF(C17="","",IF(AND(E17&lt;&gt;"Break",E17&lt;&gt;"Welcome / Framing",E17&lt;&gt;"Closing / Application",G17=""),"MAP OBJECTIVE",IF(AND(OR(E17="Exercise / Practice",E17="Case Study",E17="Tool / Demo"),H17=""),"ADD PARTICIPANT OUTPUT","OK")))</x:f>
      </x:c>
      <x:c r="Q17" s="114" t="str">
        <x:f>IF(C17="","",IF(AND(E17&lt;&gt;"Break",F17=""),"ADD CONTENT",IF(AND(K17="Yes",I17=""),"NAME / EXPLAIN TOOL","OK")))</x:f>
      </x:c>
      <x:c r="R17" s="111"/>
    </x:row>
    <x:row r="18">
      <x:c r="A18" s="114" t="n">
        <x:v>15</x:v>
      </x:c>
      <x:c r="B18" s="111"/>
      <x:c r="C18" s="111"/>
      <x:c r="D18" s="111"/>
      <x:c r="E18" s="111"/>
      <x:c r="F18" s="111"/>
      <x:c r="G18" s="111"/>
      <x:c r="H18" s="111"/>
      <x:c r="I18" s="111"/>
      <x:c r="J18" s="111"/>
      <x:c r="K18" s="111"/>
      <x:c r="L18" s="111"/>
      <x:c r="M18" s="114" t="str">
        <x:f>IF(C18="","",SUM($D$4:D18))</x:f>
      </x:c>
      <x:c r="N18" s="114" t="str">
        <x:f>IF(C18="","",SETUP!$B$7-M18)</x:f>
      </x:c>
      <x:c r="O18" s="114" t="str">
        <x:f>IF(C18="","",IF(D18="","ADD MINUTES",IF(N18&lt;0,"OVER TIME",IF(N18=0,"ENDS ON TARGET","OK"))))</x:f>
      </x:c>
      <x:c r="P18" s="114" t="str">
        <x:f>IF(C18="","",IF(AND(E18&lt;&gt;"Break",E18&lt;&gt;"Welcome / Framing",E18&lt;&gt;"Closing / Application",G18=""),"MAP OBJECTIVE",IF(AND(OR(E18="Exercise / Practice",E18="Case Study",E18="Tool / Demo"),H18=""),"ADD PARTICIPANT OUTPUT","OK")))</x:f>
      </x:c>
      <x:c r="Q18" s="114" t="str">
        <x:f>IF(C18="","",IF(AND(E18&lt;&gt;"Break",F18=""),"ADD CONTENT",IF(AND(K18="Yes",I18=""),"NAME / EXPLAIN TOOL","OK")))</x:f>
      </x:c>
      <x:c r="R18" s="111"/>
    </x:row>
    <x:row r="19">
      <x:c r="A19" s="114" t="n">
        <x:v>16</x:v>
      </x:c>
      <x:c r="B19" s="111"/>
      <x:c r="C19" s="111"/>
      <x:c r="D19" s="111"/>
      <x:c r="E19" s="111"/>
      <x:c r="F19" s="111"/>
      <x:c r="G19" s="111"/>
      <x:c r="H19" s="111"/>
      <x:c r="I19" s="111"/>
      <x:c r="J19" s="111"/>
      <x:c r="K19" s="111"/>
      <x:c r="L19" s="111"/>
      <x:c r="M19" s="114" t="str">
        <x:f>IF(C19="","",SUM($D$4:D19))</x:f>
      </x:c>
      <x:c r="N19" s="114" t="str">
        <x:f>IF(C19="","",SETUP!$B$7-M19)</x:f>
      </x:c>
      <x:c r="O19" s="114" t="str">
        <x:f>IF(C19="","",IF(D19="","ADD MINUTES",IF(N19&lt;0,"OVER TIME",IF(N19=0,"ENDS ON TARGET","OK"))))</x:f>
      </x:c>
      <x:c r="P19" s="114" t="str">
        <x:f>IF(C19="","",IF(AND(E19&lt;&gt;"Break",E19&lt;&gt;"Welcome / Framing",E19&lt;&gt;"Closing / Application",G19=""),"MAP OBJECTIVE",IF(AND(OR(E19="Exercise / Practice",E19="Case Study",E19="Tool / Demo"),H19=""),"ADD PARTICIPANT OUTPUT","OK")))</x:f>
      </x:c>
      <x:c r="Q19" s="114" t="str">
        <x:f>IF(C19="","",IF(AND(E19&lt;&gt;"Break",F19=""),"ADD CONTENT",IF(AND(K19="Yes",I19=""),"NAME / EXPLAIN TOOL","OK")))</x:f>
      </x:c>
      <x:c r="R19" s="111"/>
    </x:row>
    <x:row r="20">
      <x:c r="A20" s="114" t="n">
        <x:v>17</x:v>
      </x:c>
      <x:c r="B20" s="111"/>
      <x:c r="C20" s="111"/>
      <x:c r="D20" s="111"/>
      <x:c r="E20" s="111"/>
      <x:c r="F20" s="111"/>
      <x:c r="G20" s="111"/>
      <x:c r="H20" s="111"/>
      <x:c r="I20" s="111"/>
      <x:c r="J20" s="111"/>
      <x:c r="K20" s="111"/>
      <x:c r="L20" s="111"/>
      <x:c r="M20" s="114" t="str">
        <x:f>IF(C20="","",SUM($D$4:D20))</x:f>
      </x:c>
      <x:c r="N20" s="114" t="str">
        <x:f>IF(C20="","",SETUP!$B$7-M20)</x:f>
      </x:c>
      <x:c r="O20" s="114" t="str">
        <x:f>IF(C20="","",IF(D20="","ADD MINUTES",IF(N20&lt;0,"OVER TIME",IF(N20=0,"ENDS ON TARGET","OK"))))</x:f>
      </x:c>
      <x:c r="P20" s="114" t="str">
        <x:f>IF(C20="","",IF(AND(E20&lt;&gt;"Break",E20&lt;&gt;"Welcome / Framing",E20&lt;&gt;"Closing / Application",G20=""),"MAP OBJECTIVE",IF(AND(OR(E20="Exercise / Practice",E20="Case Study",E20="Tool / Demo"),H20=""),"ADD PARTICIPANT OUTPUT","OK")))</x:f>
      </x:c>
      <x:c r="Q20" s="114" t="str">
        <x:f>IF(C20="","",IF(AND(E20&lt;&gt;"Break",F20=""),"ADD CONTENT",IF(AND(K20="Yes",I20=""),"NAME / EXPLAIN TOOL","OK")))</x:f>
      </x:c>
      <x:c r="R20" s="111"/>
    </x:row>
    <x:row r="21">
      <x:c r="A21" s="114" t="n">
        <x:v>18</x:v>
      </x:c>
      <x:c r="B21" s="111"/>
      <x:c r="C21" s="111"/>
      <x:c r="D21" s="111"/>
      <x:c r="E21" s="111"/>
      <x:c r="F21" s="111"/>
      <x:c r="G21" s="111"/>
      <x:c r="H21" s="111"/>
      <x:c r="I21" s="111"/>
      <x:c r="J21" s="111"/>
      <x:c r="K21" s="111"/>
      <x:c r="L21" s="111"/>
      <x:c r="M21" s="114" t="str">
        <x:f>IF(C21="","",SUM($D$4:D21))</x:f>
      </x:c>
      <x:c r="N21" s="114" t="str">
        <x:f>IF(C21="","",SETUP!$B$7-M21)</x:f>
      </x:c>
      <x:c r="O21" s="114" t="str">
        <x:f>IF(C21="","",IF(D21="","ADD MINUTES",IF(N21&lt;0,"OVER TIME",IF(N21=0,"ENDS ON TARGET","OK"))))</x:f>
      </x:c>
      <x:c r="P21" s="114" t="str">
        <x:f>IF(C21="","",IF(AND(E21&lt;&gt;"Break",E21&lt;&gt;"Welcome / Framing",E21&lt;&gt;"Closing / Application",G21=""),"MAP OBJECTIVE",IF(AND(OR(E21="Exercise / Practice",E21="Case Study",E21="Tool / Demo"),H21=""),"ADD PARTICIPANT OUTPUT","OK")))</x:f>
      </x:c>
      <x:c r="Q21" s="114" t="str">
        <x:f>IF(C21="","",IF(AND(E21&lt;&gt;"Break",F21=""),"ADD CONTENT",IF(AND(K21="Yes",I21=""),"NAME / EXPLAIN TOOL","OK")))</x:f>
      </x:c>
      <x:c r="R21" s="111"/>
    </x:row>
    <x:row r="22">
      <x:c r="A22" s="114" t="n">
        <x:v>19</x:v>
      </x:c>
      <x:c r="B22" s="111"/>
      <x:c r="C22" s="111"/>
      <x:c r="D22" s="111"/>
      <x:c r="E22" s="111"/>
      <x:c r="F22" s="111"/>
      <x:c r="G22" s="111"/>
      <x:c r="H22" s="111"/>
      <x:c r="I22" s="111"/>
      <x:c r="J22" s="111"/>
      <x:c r="K22" s="111"/>
      <x:c r="L22" s="111"/>
      <x:c r="M22" s="114" t="str">
        <x:f>IF(C22="","",SUM($D$4:D22))</x:f>
      </x:c>
      <x:c r="N22" s="114" t="str">
        <x:f>IF(C22="","",SETUP!$B$7-M22)</x:f>
      </x:c>
      <x:c r="O22" s="114" t="str">
        <x:f>IF(C22="","",IF(D22="","ADD MINUTES",IF(N22&lt;0,"OVER TIME",IF(N22=0,"ENDS ON TARGET","OK"))))</x:f>
      </x:c>
      <x:c r="P22" s="114" t="str">
        <x:f>IF(C22="","",IF(AND(E22&lt;&gt;"Break",E22&lt;&gt;"Welcome / Framing",E22&lt;&gt;"Closing / Application",G22=""),"MAP OBJECTIVE",IF(AND(OR(E22="Exercise / Practice",E22="Case Study",E22="Tool / Demo"),H22=""),"ADD PARTICIPANT OUTPUT","OK")))</x:f>
      </x:c>
      <x:c r="Q22" s="114" t="str">
        <x:f>IF(C22="","",IF(AND(E22&lt;&gt;"Break",F22=""),"ADD CONTENT",IF(AND(K22="Yes",I22=""),"NAME / EXPLAIN TOOL","OK")))</x:f>
      </x:c>
      <x:c r="R22" s="111"/>
    </x:row>
    <x:row r="23">
      <x:c r="A23" s="114" t="n">
        <x:v>20</x:v>
      </x:c>
      <x:c r="B23" s="111"/>
      <x:c r="C23" s="111"/>
      <x:c r="D23" s="111"/>
      <x:c r="E23" s="111"/>
      <x:c r="F23" s="111"/>
      <x:c r="G23" s="111"/>
      <x:c r="H23" s="111"/>
      <x:c r="I23" s="111"/>
      <x:c r="J23" s="111"/>
      <x:c r="K23" s="111"/>
      <x:c r="L23" s="111"/>
      <x:c r="M23" s="114" t="str">
        <x:f>IF(C23="","",SUM($D$4:D23))</x:f>
      </x:c>
      <x:c r="N23" s="114" t="str">
        <x:f>IF(C23="","",SETUP!$B$7-M23)</x:f>
      </x:c>
      <x:c r="O23" s="114" t="str">
        <x:f>IF(C23="","",IF(D23="","ADD MINUTES",IF(N23&lt;0,"OVER TIME",IF(N23=0,"ENDS ON TARGET","OK"))))</x:f>
      </x:c>
      <x:c r="P23" s="114" t="str">
        <x:f>IF(C23="","",IF(AND(E23&lt;&gt;"Break",E23&lt;&gt;"Welcome / Framing",E23&lt;&gt;"Closing / Application",G23=""),"MAP OBJECTIVE",IF(AND(OR(E23="Exercise / Practice",E23="Case Study",E23="Tool / Demo"),H23=""),"ADD PARTICIPANT OUTPUT","OK")))</x:f>
      </x:c>
      <x:c r="Q23" s="114" t="str">
        <x:f>IF(C23="","",IF(AND(E23&lt;&gt;"Break",F23=""),"ADD CONTENT",IF(AND(K23="Yes",I23=""),"NAME / EXPLAIN TOOL","OK")))</x:f>
      </x:c>
      <x:c r="R23" s="111"/>
    </x:row>
    <x:row r="24">
      <x:c r="A24" s="114" t="n">
        <x:v>21</x:v>
      </x:c>
      <x:c r="B24" s="111"/>
      <x:c r="C24" s="111"/>
      <x:c r="D24" s="111"/>
      <x:c r="E24" s="111"/>
      <x:c r="F24" s="111"/>
      <x:c r="G24" s="111"/>
      <x:c r="H24" s="111"/>
      <x:c r="I24" s="111"/>
      <x:c r="J24" s="111"/>
      <x:c r="K24" s="111"/>
      <x:c r="L24" s="111"/>
      <x:c r="M24" s="114" t="str">
        <x:f>IF(C24="","",SUM($D$4:D24))</x:f>
      </x:c>
      <x:c r="N24" s="114" t="str">
        <x:f>IF(C24="","",SETUP!$B$7-M24)</x:f>
      </x:c>
      <x:c r="O24" s="114" t="str">
        <x:f>IF(C24="","",IF(D24="","ADD MINUTES",IF(N24&lt;0,"OVER TIME",IF(N24=0,"ENDS ON TARGET","OK"))))</x:f>
      </x:c>
      <x:c r="P24" s="114" t="str">
        <x:f>IF(C24="","",IF(AND(E24&lt;&gt;"Break",E24&lt;&gt;"Welcome / Framing",E24&lt;&gt;"Closing / Application",G24=""),"MAP OBJECTIVE",IF(AND(OR(E24="Exercise / Practice",E24="Case Study",E24="Tool / Demo"),H24=""),"ADD PARTICIPANT OUTPUT","OK")))</x:f>
      </x:c>
      <x:c r="Q24" s="114" t="str">
        <x:f>IF(C24="","",IF(AND(E24&lt;&gt;"Break",F24=""),"ADD CONTENT",IF(AND(K24="Yes",I24=""),"NAME / EXPLAIN TOOL","OK")))</x:f>
      </x:c>
      <x:c r="R24" s="111"/>
    </x:row>
    <x:row r="25">
      <x:c r="A25" s="114" t="n">
        <x:v>22</x:v>
      </x:c>
      <x:c r="B25" s="111"/>
      <x:c r="C25" s="111"/>
      <x:c r="D25" s="111"/>
      <x:c r="E25" s="111"/>
      <x:c r="F25" s="111"/>
      <x:c r="G25" s="111"/>
      <x:c r="H25" s="111"/>
      <x:c r="I25" s="111"/>
      <x:c r="J25" s="111"/>
      <x:c r="K25" s="111"/>
      <x:c r="L25" s="111"/>
      <x:c r="M25" s="114" t="str">
        <x:f>IF(C25="","",SUM($D$4:D25))</x:f>
      </x:c>
      <x:c r="N25" s="114" t="str">
        <x:f>IF(C25="","",SETUP!$B$7-M25)</x:f>
      </x:c>
      <x:c r="O25" s="114" t="str">
        <x:f>IF(C25="","",IF(D25="","ADD MINUTES",IF(N25&lt;0,"OVER TIME",IF(N25=0,"ENDS ON TARGET","OK"))))</x:f>
      </x:c>
      <x:c r="P25" s="114" t="str">
        <x:f>IF(C25="","",IF(AND(E25&lt;&gt;"Break",E25&lt;&gt;"Welcome / Framing",E25&lt;&gt;"Closing / Application",G25=""),"MAP OBJECTIVE",IF(AND(OR(E25="Exercise / Practice",E25="Case Study",E25="Tool / Demo"),H25=""),"ADD PARTICIPANT OUTPUT","OK")))</x:f>
      </x:c>
      <x:c r="Q25" s="114" t="str">
        <x:f>IF(C25="","",IF(AND(E25&lt;&gt;"Break",F25=""),"ADD CONTENT",IF(AND(K25="Yes",I25=""),"NAME / EXPLAIN TOOL","OK")))</x:f>
      </x:c>
      <x:c r="R25" s="111"/>
    </x:row>
    <x:row r="26">
      <x:c r="A26" s="114" t="n">
        <x:v>23</x:v>
      </x:c>
      <x:c r="B26" s="111"/>
      <x:c r="C26" s="111"/>
      <x:c r="D26" s="111"/>
      <x:c r="E26" s="111"/>
      <x:c r="F26" s="111"/>
      <x:c r="G26" s="111"/>
      <x:c r="H26" s="111"/>
      <x:c r="I26" s="111"/>
      <x:c r="J26" s="111"/>
      <x:c r="K26" s="111"/>
      <x:c r="L26" s="111"/>
      <x:c r="M26" s="114" t="str">
        <x:f>IF(C26="","",SUM($D$4:D26))</x:f>
      </x:c>
      <x:c r="N26" s="114" t="str">
        <x:f>IF(C26="","",SETUP!$B$7-M26)</x:f>
      </x:c>
      <x:c r="O26" s="114" t="str">
        <x:f>IF(C26="","",IF(D26="","ADD MINUTES",IF(N26&lt;0,"OVER TIME",IF(N26=0,"ENDS ON TARGET","OK"))))</x:f>
      </x:c>
      <x:c r="P26" s="114" t="str">
        <x:f>IF(C26="","",IF(AND(E26&lt;&gt;"Break",E26&lt;&gt;"Welcome / Framing",E26&lt;&gt;"Closing / Application",G26=""),"MAP OBJECTIVE",IF(AND(OR(E26="Exercise / Practice",E26="Case Study",E26="Tool / Demo"),H26=""),"ADD PARTICIPANT OUTPUT","OK")))</x:f>
      </x:c>
      <x:c r="Q26" s="114" t="str">
        <x:f>IF(C26="","",IF(AND(E26&lt;&gt;"Break",F26=""),"ADD CONTENT",IF(AND(K26="Yes",I26=""),"NAME / EXPLAIN TOOL","OK")))</x:f>
      </x:c>
      <x:c r="R26" s="111"/>
    </x:row>
    <x:row r="27">
      <x:c r="A27" s="114" t="n">
        <x:v>24</x:v>
      </x:c>
      <x:c r="B27" s="111"/>
      <x:c r="C27" s="111"/>
      <x:c r="D27" s="111"/>
      <x:c r="E27" s="111"/>
      <x:c r="F27" s="111"/>
      <x:c r="G27" s="111"/>
      <x:c r="H27" s="111"/>
      <x:c r="I27" s="111"/>
      <x:c r="J27" s="111"/>
      <x:c r="K27" s="111"/>
      <x:c r="L27" s="111"/>
      <x:c r="M27" s="114" t="str">
        <x:f>IF(C27="","",SUM($D$4:D27))</x:f>
      </x:c>
      <x:c r="N27" s="114" t="str">
        <x:f>IF(C27="","",SETUP!$B$7-M27)</x:f>
      </x:c>
      <x:c r="O27" s="114" t="str">
        <x:f>IF(C27="","",IF(D27="","ADD MINUTES",IF(N27&lt;0,"OVER TIME",IF(N27=0,"ENDS ON TARGET","OK"))))</x:f>
      </x:c>
      <x:c r="P27" s="114" t="str">
        <x:f>IF(C27="","",IF(AND(E27&lt;&gt;"Break",E27&lt;&gt;"Welcome / Framing",E27&lt;&gt;"Closing / Application",G27=""),"MAP OBJECTIVE",IF(AND(OR(E27="Exercise / Practice",E27="Case Study",E27="Tool / Demo"),H27=""),"ADD PARTICIPANT OUTPUT","OK")))</x:f>
      </x:c>
      <x:c r="Q27" s="114" t="str">
        <x:f>IF(C27="","",IF(AND(E27&lt;&gt;"Break",F27=""),"ADD CONTENT",IF(AND(K27="Yes",I27=""),"NAME / EXPLAIN TOOL","OK")))</x:f>
      </x:c>
      <x:c r="R27" s="111"/>
    </x:row>
    <x:row r="28">
      <x:c r="A28" s="114" t="n">
        <x:v>25</x:v>
      </x:c>
      <x:c r="B28" s="111"/>
      <x:c r="C28" s="111"/>
      <x:c r="D28" s="111"/>
      <x:c r="E28" s="111"/>
      <x:c r="F28" s="111"/>
      <x:c r="G28" s="111"/>
      <x:c r="H28" s="111"/>
      <x:c r="I28" s="111"/>
      <x:c r="J28" s="111"/>
      <x:c r="K28" s="111"/>
      <x:c r="L28" s="111"/>
      <x:c r="M28" s="114" t="str">
        <x:f>IF(C28="","",SUM($D$4:D28))</x:f>
      </x:c>
      <x:c r="N28" s="114" t="str">
        <x:f>IF(C28="","",SETUP!$B$7-M28)</x:f>
      </x:c>
      <x:c r="O28" s="114" t="str">
        <x:f>IF(C28="","",IF(D28="","ADD MINUTES",IF(N28&lt;0,"OVER TIME",IF(N28=0,"ENDS ON TARGET","OK"))))</x:f>
      </x:c>
      <x:c r="P28" s="114" t="str">
        <x:f>IF(C28="","",IF(AND(E28&lt;&gt;"Break",E28&lt;&gt;"Welcome / Framing",E28&lt;&gt;"Closing / Application",G28=""),"MAP OBJECTIVE",IF(AND(OR(E28="Exercise / Practice",E28="Case Study",E28="Tool / Demo"),H28=""),"ADD PARTICIPANT OUTPUT","OK")))</x:f>
      </x:c>
      <x:c r="Q28" s="114" t="str">
        <x:f>IF(C28="","",IF(AND(E28&lt;&gt;"Break",F28=""),"ADD CONTENT",IF(AND(K28="Yes",I28=""),"NAME / EXPLAIN TOOL","OK")))</x:f>
      </x:c>
      <x:c r="R28" s="111"/>
    </x:row>
    <x:row r="29">
      <x:c r="A29" s="114" t="n">
        <x:v>26</x:v>
      </x:c>
      <x:c r="B29" s="111"/>
      <x:c r="C29" s="111"/>
      <x:c r="D29" s="111"/>
      <x:c r="E29" s="111"/>
      <x:c r="F29" s="111"/>
      <x:c r="G29" s="111"/>
      <x:c r="H29" s="111"/>
      <x:c r="I29" s="111"/>
      <x:c r="J29" s="111"/>
      <x:c r="K29" s="111"/>
      <x:c r="L29" s="111"/>
      <x:c r="M29" s="114" t="str">
        <x:f>IF(C29="","",SUM($D$4:D29))</x:f>
      </x:c>
      <x:c r="N29" s="114" t="str">
        <x:f>IF(C29="","",SETUP!$B$7-M29)</x:f>
      </x:c>
      <x:c r="O29" s="114" t="str">
        <x:f>IF(C29="","",IF(D29="","ADD MINUTES",IF(N29&lt;0,"OVER TIME",IF(N29=0,"ENDS ON TARGET","OK"))))</x:f>
      </x:c>
      <x:c r="P29" s="114" t="str">
        <x:f>IF(C29="","",IF(AND(E29&lt;&gt;"Break",E29&lt;&gt;"Welcome / Framing",E29&lt;&gt;"Closing / Application",G29=""),"MAP OBJECTIVE",IF(AND(OR(E29="Exercise / Practice",E29="Case Study",E29="Tool / Demo"),H29=""),"ADD PARTICIPANT OUTPUT","OK")))</x:f>
      </x:c>
      <x:c r="Q29" s="114" t="str">
        <x:f>IF(C29="","",IF(AND(E29&lt;&gt;"Break",F29=""),"ADD CONTENT",IF(AND(K29="Yes",I29=""),"NAME / EXPLAIN TOOL","OK")))</x:f>
      </x:c>
      <x:c r="R29" s="111"/>
    </x:row>
    <x:row r="30">
      <x:c r="A30" s="114" t="n">
        <x:v>27</x:v>
      </x:c>
      <x:c r="B30" s="111"/>
      <x:c r="C30" s="111"/>
      <x:c r="D30" s="111"/>
      <x:c r="E30" s="111"/>
      <x:c r="F30" s="111"/>
      <x:c r="G30" s="111"/>
      <x:c r="H30" s="111"/>
      <x:c r="I30" s="111"/>
      <x:c r="J30" s="111"/>
      <x:c r="K30" s="111"/>
      <x:c r="L30" s="111"/>
      <x:c r="M30" s="114" t="str">
        <x:f>IF(C30="","",SUM($D$4:D30))</x:f>
      </x:c>
      <x:c r="N30" s="114" t="str">
        <x:f>IF(C30="","",SETUP!$B$7-M30)</x:f>
      </x:c>
      <x:c r="O30" s="114" t="str">
        <x:f>IF(C30="","",IF(D30="","ADD MINUTES",IF(N30&lt;0,"OVER TIME",IF(N30=0,"ENDS ON TARGET","OK"))))</x:f>
      </x:c>
      <x:c r="P30" s="114" t="str">
        <x:f>IF(C30="","",IF(AND(E30&lt;&gt;"Break",E30&lt;&gt;"Welcome / Framing",E30&lt;&gt;"Closing / Application",G30=""),"MAP OBJECTIVE",IF(AND(OR(E30="Exercise / Practice",E30="Case Study",E30="Tool / Demo"),H30=""),"ADD PARTICIPANT OUTPUT","OK")))</x:f>
      </x:c>
      <x:c r="Q30" s="114" t="str">
        <x:f>IF(C30="","",IF(AND(E30&lt;&gt;"Break",F30=""),"ADD CONTENT",IF(AND(K30="Yes",I30=""),"NAME / EXPLAIN TOOL","OK")))</x:f>
      </x:c>
      <x:c r="R30" s="111"/>
    </x:row>
    <x:row r="31">
      <x:c r="A31" s="114" t="n">
        <x:v>28</x:v>
      </x:c>
      <x:c r="B31" s="111"/>
      <x:c r="C31" s="111"/>
      <x:c r="D31" s="111"/>
      <x:c r="E31" s="111"/>
      <x:c r="F31" s="111"/>
      <x:c r="G31" s="111"/>
      <x:c r="H31" s="111"/>
      <x:c r="I31" s="111"/>
      <x:c r="J31" s="111"/>
      <x:c r="K31" s="111"/>
      <x:c r="L31" s="111"/>
      <x:c r="M31" s="114" t="str">
        <x:f>IF(C31="","",SUM($D$4:D31))</x:f>
      </x:c>
      <x:c r="N31" s="114" t="str">
        <x:f>IF(C31="","",SETUP!$B$7-M31)</x:f>
      </x:c>
      <x:c r="O31" s="114" t="str">
        <x:f>IF(C31="","",IF(D31="","ADD MINUTES",IF(N31&lt;0,"OVER TIME",IF(N31=0,"ENDS ON TARGET","OK"))))</x:f>
      </x:c>
      <x:c r="P31" s="114" t="str">
        <x:f>IF(C31="","",IF(AND(E31&lt;&gt;"Break",E31&lt;&gt;"Welcome / Framing",E31&lt;&gt;"Closing / Application",G31=""),"MAP OBJECTIVE",IF(AND(OR(E31="Exercise / Practice",E31="Case Study",E31="Tool / Demo"),H31=""),"ADD PARTICIPANT OUTPUT","OK")))</x:f>
      </x:c>
      <x:c r="Q31" s="114" t="str">
        <x:f>IF(C31="","",IF(AND(E31&lt;&gt;"Break",F31=""),"ADD CONTENT",IF(AND(K31="Yes",I31=""),"NAME / EXPLAIN TOOL","OK")))</x:f>
      </x:c>
      <x:c r="R31" s="111"/>
    </x:row>
    <x:row r="32">
      <x:c r="A32" s="114" t="n">
        <x:v>29</x:v>
      </x:c>
      <x:c r="B32" s="111"/>
      <x:c r="C32" s="111"/>
      <x:c r="D32" s="111"/>
      <x:c r="E32" s="111"/>
      <x:c r="F32" s="111"/>
      <x:c r="G32" s="111"/>
      <x:c r="H32" s="111"/>
      <x:c r="I32" s="111"/>
      <x:c r="J32" s="111"/>
      <x:c r="K32" s="111"/>
      <x:c r="L32" s="111"/>
      <x:c r="M32" s="114" t="str">
        <x:f>IF(C32="","",SUM($D$4:D32))</x:f>
      </x:c>
      <x:c r="N32" s="114" t="str">
        <x:f>IF(C32="","",SETUP!$B$7-M32)</x:f>
      </x:c>
      <x:c r="O32" s="114" t="str">
        <x:f>IF(C32="","",IF(D32="","ADD MINUTES",IF(N32&lt;0,"OVER TIME",IF(N32=0,"ENDS ON TARGET","OK"))))</x:f>
      </x:c>
      <x:c r="P32" s="114" t="str">
        <x:f>IF(C32="","",IF(AND(E32&lt;&gt;"Break",E32&lt;&gt;"Welcome / Framing",E32&lt;&gt;"Closing / Application",G32=""),"MAP OBJECTIVE",IF(AND(OR(E32="Exercise / Practice",E32="Case Study",E32="Tool / Demo"),H32=""),"ADD PARTICIPANT OUTPUT","OK")))</x:f>
      </x:c>
      <x:c r="Q32" s="114" t="str">
        <x:f>IF(C32="","",IF(AND(E32&lt;&gt;"Break",F32=""),"ADD CONTENT",IF(AND(K32="Yes",I32=""),"NAME / EXPLAIN TOOL","OK")))</x:f>
      </x:c>
      <x:c r="R32" s="111"/>
    </x:row>
    <x:row r="33">
      <x:c r="A33" s="114" t="n">
        <x:v>30</x:v>
      </x:c>
      <x:c r="B33" s="111"/>
      <x:c r="C33" s="111"/>
      <x:c r="D33" s="111"/>
      <x:c r="E33" s="111"/>
      <x:c r="F33" s="111"/>
      <x:c r="G33" s="111"/>
      <x:c r="H33" s="111"/>
      <x:c r="I33" s="111"/>
      <x:c r="J33" s="111"/>
      <x:c r="K33" s="111"/>
      <x:c r="L33" s="111"/>
      <x:c r="M33" s="114" t="str">
        <x:f>IF(C33="","",SUM($D$4:D33))</x:f>
      </x:c>
      <x:c r="N33" s="114" t="str">
        <x:f>IF(C33="","",SETUP!$B$7-M33)</x:f>
      </x:c>
      <x:c r="O33" s="114" t="str">
        <x:f>IF(C33="","",IF(D33="","ADD MINUTES",IF(N33&lt;0,"OVER TIME",IF(N33=0,"ENDS ON TARGET","OK"))))</x:f>
      </x:c>
      <x:c r="P33" s="114" t="str">
        <x:f>IF(C33="","",IF(AND(E33&lt;&gt;"Break",E33&lt;&gt;"Welcome / Framing",E33&lt;&gt;"Closing / Application",G33=""),"MAP OBJECTIVE",IF(AND(OR(E33="Exercise / Practice",E33="Case Study",E33="Tool / Demo"),H33=""),"ADD PARTICIPANT OUTPUT","OK")))</x:f>
      </x:c>
      <x:c r="Q33" s="114" t="str">
        <x:f>IF(C33="","",IF(AND(E33&lt;&gt;"Break",F33=""),"ADD CONTENT",IF(AND(K33="Yes",I33=""),"NAME / EXPLAIN TOOL","OK")))</x:f>
      </x:c>
      <x:c r="R33" s="111"/>
    </x:row>
    <x:row r="34">
      <x:c r="A34" s="114" t="n">
        <x:v>31</x:v>
      </x:c>
      <x:c r="B34" s="111"/>
      <x:c r="C34" s="111"/>
      <x:c r="D34" s="111"/>
      <x:c r="E34" s="111"/>
      <x:c r="F34" s="111"/>
      <x:c r="G34" s="111"/>
      <x:c r="H34" s="111"/>
      <x:c r="I34" s="111"/>
      <x:c r="J34" s="111"/>
      <x:c r="K34" s="111"/>
      <x:c r="L34" s="111"/>
      <x:c r="M34" s="114" t="str">
        <x:f>IF(C34="","",SUM($D$4:D34))</x:f>
      </x:c>
      <x:c r="N34" s="114" t="str">
        <x:f>IF(C34="","",SETUP!$B$7-M34)</x:f>
      </x:c>
      <x:c r="O34" s="114" t="str">
        <x:f>IF(C34="","",IF(D34="","ADD MINUTES",IF(N34&lt;0,"OVER TIME",IF(N34=0,"ENDS ON TARGET","OK"))))</x:f>
      </x:c>
      <x:c r="P34" s="114" t="str">
        <x:f>IF(C34="","",IF(AND(E34&lt;&gt;"Break",E34&lt;&gt;"Welcome / Framing",E34&lt;&gt;"Closing / Application",G34=""),"MAP OBJECTIVE",IF(AND(OR(E34="Exercise / Practice",E34="Case Study",E34="Tool / Demo"),H34=""),"ADD PARTICIPANT OUTPUT","OK")))</x:f>
      </x:c>
      <x:c r="Q34" s="114" t="str">
        <x:f>IF(C34="","",IF(AND(E34&lt;&gt;"Break",F34=""),"ADD CONTENT",IF(AND(K34="Yes",I34=""),"NAME / EXPLAIN TOOL","OK")))</x:f>
      </x:c>
      <x:c r="R34" s="111"/>
    </x:row>
    <x:row r="35">
      <x:c r="A35" s="114" t="n">
        <x:v>32</x:v>
      </x:c>
      <x:c r="B35" s="111"/>
      <x:c r="C35" s="111"/>
      <x:c r="D35" s="111"/>
      <x:c r="E35" s="111"/>
      <x:c r="F35" s="111"/>
      <x:c r="G35" s="111"/>
      <x:c r="H35" s="111"/>
      <x:c r="I35" s="111"/>
      <x:c r="J35" s="111"/>
      <x:c r="K35" s="111"/>
      <x:c r="L35" s="111"/>
      <x:c r="M35" s="114" t="str">
        <x:f>IF(C35="","",SUM($D$4:D35))</x:f>
      </x:c>
      <x:c r="N35" s="114" t="str">
        <x:f>IF(C35="","",SETUP!$B$7-M35)</x:f>
      </x:c>
      <x:c r="O35" s="114" t="str">
        <x:f>IF(C35="","",IF(D35="","ADD MINUTES",IF(N35&lt;0,"OVER TIME",IF(N35=0,"ENDS ON TARGET","OK"))))</x:f>
      </x:c>
      <x:c r="P35" s="114" t="str">
        <x:f>IF(C35="","",IF(AND(E35&lt;&gt;"Break",E35&lt;&gt;"Welcome / Framing",E35&lt;&gt;"Closing / Application",G35=""),"MAP OBJECTIVE",IF(AND(OR(E35="Exercise / Practice",E35="Case Study",E35="Tool / Demo"),H35=""),"ADD PARTICIPANT OUTPUT","OK")))</x:f>
      </x:c>
      <x:c r="Q35" s="114" t="str">
        <x:f>IF(C35="","",IF(AND(E35&lt;&gt;"Break",F35=""),"ADD CONTENT",IF(AND(K35="Yes",I35=""),"NAME / EXPLAIN TOOL","OK")))</x:f>
      </x:c>
      <x:c r="R35" s="111"/>
    </x:row>
    <x:row r="36">
      <x:c r="A36" s="114" t="n">
        <x:v>33</x:v>
      </x:c>
      <x:c r="B36" s="111"/>
      <x:c r="C36" s="111"/>
      <x:c r="D36" s="111"/>
      <x:c r="E36" s="111"/>
      <x:c r="F36" s="111"/>
      <x:c r="G36" s="111"/>
      <x:c r="H36" s="111"/>
      <x:c r="I36" s="111"/>
      <x:c r="J36" s="111"/>
      <x:c r="K36" s="111"/>
      <x:c r="L36" s="111"/>
      <x:c r="M36" s="114" t="str">
        <x:f>IF(C36="","",SUM($D$4:D36))</x:f>
      </x:c>
      <x:c r="N36" s="114" t="str">
        <x:f>IF(C36="","",SETUP!$B$7-M36)</x:f>
      </x:c>
      <x:c r="O36" s="114" t="str">
        <x:f>IF(C36="","",IF(D36="","ADD MINUTES",IF(N36&lt;0,"OVER TIME",IF(N36=0,"ENDS ON TARGET","OK"))))</x:f>
      </x:c>
      <x:c r="P36" s="114" t="str">
        <x:f>IF(C36="","",IF(AND(E36&lt;&gt;"Break",E36&lt;&gt;"Welcome / Framing",E36&lt;&gt;"Closing / Application",G36=""),"MAP OBJECTIVE",IF(AND(OR(E36="Exercise / Practice",E36="Case Study",E36="Tool / Demo"),H36=""),"ADD PARTICIPANT OUTPUT","OK")))</x:f>
      </x:c>
      <x:c r="Q36" s="114" t="str">
        <x:f>IF(C36="","",IF(AND(E36&lt;&gt;"Break",F36=""),"ADD CONTENT",IF(AND(K36="Yes",I36=""),"NAME / EXPLAIN TOOL","OK")))</x:f>
      </x:c>
      <x:c r="R36" s="111"/>
    </x:row>
    <x:row r="37">
      <x:c r="A37" s="114" t="n">
        <x:v>34</x:v>
      </x:c>
      <x:c r="B37" s="111"/>
      <x:c r="C37" s="111"/>
      <x:c r="D37" s="111"/>
      <x:c r="E37" s="111"/>
      <x:c r="F37" s="111"/>
      <x:c r="G37" s="111"/>
      <x:c r="H37" s="111"/>
      <x:c r="I37" s="111"/>
      <x:c r="J37" s="111"/>
      <x:c r="K37" s="111"/>
      <x:c r="L37" s="111"/>
      <x:c r="M37" s="114" t="str">
        <x:f>IF(C37="","",SUM($D$4:D37))</x:f>
      </x:c>
      <x:c r="N37" s="114" t="str">
        <x:f>IF(C37="","",SETUP!$B$7-M37)</x:f>
      </x:c>
      <x:c r="O37" s="114" t="str">
        <x:f>IF(C37="","",IF(D37="","ADD MINUTES",IF(N37&lt;0,"OVER TIME",IF(N37=0,"ENDS ON TARGET","OK"))))</x:f>
      </x:c>
      <x:c r="P37" s="114" t="str">
        <x:f>IF(C37="","",IF(AND(E37&lt;&gt;"Break",E37&lt;&gt;"Welcome / Framing",E37&lt;&gt;"Closing / Application",G37=""),"MAP OBJECTIVE",IF(AND(OR(E37="Exercise / Practice",E37="Case Study",E37="Tool / Demo"),H37=""),"ADD PARTICIPANT OUTPUT","OK")))</x:f>
      </x:c>
      <x:c r="Q37" s="114" t="str">
        <x:f>IF(C37="","",IF(AND(E37&lt;&gt;"Break",F37=""),"ADD CONTENT",IF(AND(K37="Yes",I37=""),"NAME / EXPLAIN TOOL","OK")))</x:f>
      </x:c>
      <x:c r="R37" s="111"/>
    </x:row>
    <x:row r="38">
      <x:c r="A38" s="114" t="n">
        <x:v>35</x:v>
      </x:c>
      <x:c r="B38" s="111"/>
      <x:c r="C38" s="111"/>
      <x:c r="D38" s="111"/>
      <x:c r="E38" s="111"/>
      <x:c r="F38" s="111"/>
      <x:c r="G38" s="111"/>
      <x:c r="H38" s="111"/>
      <x:c r="I38" s="111"/>
      <x:c r="J38" s="111"/>
      <x:c r="K38" s="111"/>
      <x:c r="L38" s="111"/>
      <x:c r="M38" s="114" t="str">
        <x:f>IF(C38="","",SUM($D$4:D38))</x:f>
      </x:c>
      <x:c r="N38" s="114" t="str">
        <x:f>IF(C38="","",SETUP!$B$7-M38)</x:f>
      </x:c>
      <x:c r="O38" s="114" t="str">
        <x:f>IF(C38="","",IF(D38="","ADD MINUTES",IF(N38&lt;0,"OVER TIME",IF(N38=0,"ENDS ON TARGET","OK"))))</x:f>
      </x:c>
      <x:c r="P38" s="114" t="str">
        <x:f>IF(C38="","",IF(AND(E38&lt;&gt;"Break",E38&lt;&gt;"Welcome / Framing",E38&lt;&gt;"Closing / Application",G38=""),"MAP OBJECTIVE",IF(AND(OR(E38="Exercise / Practice",E38="Case Study",E38="Tool / Demo"),H38=""),"ADD PARTICIPANT OUTPUT","OK")))</x:f>
      </x:c>
      <x:c r="Q38" s="114" t="str">
        <x:f>IF(C38="","",IF(AND(E38&lt;&gt;"Break",F38=""),"ADD CONTENT",IF(AND(K38="Yes",I38=""),"NAME / EXPLAIN TOOL","OK")))</x:f>
      </x:c>
      <x:c r="R38" s="111"/>
    </x:row>
    <x:row r="39">
      <x:c r="A39" s="114" t="n">
        <x:v>36</x:v>
      </x:c>
      <x:c r="B39" s="111"/>
      <x:c r="C39" s="111"/>
      <x:c r="D39" s="111"/>
      <x:c r="E39" s="111"/>
      <x:c r="F39" s="111"/>
      <x:c r="G39" s="111"/>
      <x:c r="H39" s="111"/>
      <x:c r="I39" s="111"/>
      <x:c r="J39" s="111"/>
      <x:c r="K39" s="111"/>
      <x:c r="L39" s="111"/>
      <x:c r="M39" s="114" t="str">
        <x:f>IF(C39="","",SUM($D$4:D39))</x:f>
      </x:c>
      <x:c r="N39" s="114" t="str">
        <x:f>IF(C39="","",SETUP!$B$7-M39)</x:f>
      </x:c>
      <x:c r="O39" s="114" t="str">
        <x:f>IF(C39="","",IF(D39="","ADD MINUTES",IF(N39&lt;0,"OVER TIME",IF(N39=0,"ENDS ON TARGET","OK"))))</x:f>
      </x:c>
      <x:c r="P39" s="114" t="str">
        <x:f>IF(C39="","",IF(AND(E39&lt;&gt;"Break",E39&lt;&gt;"Welcome / Framing",E39&lt;&gt;"Closing / Application",G39=""),"MAP OBJECTIVE",IF(AND(OR(E39="Exercise / Practice",E39="Case Study",E39="Tool / Demo"),H39=""),"ADD PARTICIPANT OUTPUT","OK")))</x:f>
      </x:c>
      <x:c r="Q39" s="114" t="str">
        <x:f>IF(C39="","",IF(AND(E39&lt;&gt;"Break",F39=""),"ADD CONTENT",IF(AND(K39="Yes",I39=""),"NAME / EXPLAIN TOOL","OK")))</x:f>
      </x:c>
      <x:c r="R39" s="111"/>
    </x:row>
    <x:row r="40">
      <x:c r="A40" s="114" t="n">
        <x:v>37</x:v>
      </x:c>
      <x:c r="B40" s="111"/>
      <x:c r="C40" s="111"/>
      <x:c r="D40" s="111"/>
      <x:c r="E40" s="111"/>
      <x:c r="F40" s="111"/>
      <x:c r="G40" s="111"/>
      <x:c r="H40" s="111"/>
      <x:c r="I40" s="111"/>
      <x:c r="J40" s="111"/>
      <x:c r="K40" s="111"/>
      <x:c r="L40" s="111"/>
      <x:c r="M40" s="114" t="str">
        <x:f>IF(C40="","",SUM($D$4:D40))</x:f>
      </x:c>
      <x:c r="N40" s="114" t="str">
        <x:f>IF(C40="","",SETUP!$B$7-M40)</x:f>
      </x:c>
      <x:c r="O40" s="114" t="str">
        <x:f>IF(C40="","",IF(D40="","ADD MINUTES",IF(N40&lt;0,"OVER TIME",IF(N40=0,"ENDS ON TARGET","OK"))))</x:f>
      </x:c>
      <x:c r="P40" s="114" t="str">
        <x:f>IF(C40="","",IF(AND(E40&lt;&gt;"Break",E40&lt;&gt;"Welcome / Framing",E40&lt;&gt;"Closing / Application",G40=""),"MAP OBJECTIVE",IF(AND(OR(E40="Exercise / Practice",E40="Case Study",E40="Tool / Demo"),H40=""),"ADD PARTICIPANT OUTPUT","OK")))</x:f>
      </x:c>
      <x:c r="Q40" s="114" t="str">
        <x:f>IF(C40="","",IF(AND(E40&lt;&gt;"Break",F40=""),"ADD CONTENT",IF(AND(K40="Yes",I40=""),"NAME / EXPLAIN TOOL","OK")))</x:f>
      </x:c>
      <x:c r="R40" s="111"/>
    </x:row>
    <x:row r="41">
      <x:c r="A41" s="114" t="n">
        <x:v>38</x:v>
      </x:c>
      <x:c r="B41" s="111"/>
      <x:c r="C41" s="111"/>
      <x:c r="D41" s="111"/>
      <x:c r="E41" s="111"/>
      <x:c r="F41" s="111"/>
      <x:c r="G41" s="111"/>
      <x:c r="H41" s="111"/>
      <x:c r="I41" s="111"/>
      <x:c r="J41" s="111"/>
      <x:c r="K41" s="111"/>
      <x:c r="L41" s="111"/>
      <x:c r="M41" s="114" t="str">
        <x:f>IF(C41="","",SUM($D$4:D41))</x:f>
      </x:c>
      <x:c r="N41" s="114" t="str">
        <x:f>IF(C41="","",SETUP!$B$7-M41)</x:f>
      </x:c>
      <x:c r="O41" s="114" t="str">
        <x:f>IF(C41="","",IF(D41="","ADD MINUTES",IF(N41&lt;0,"OVER TIME",IF(N41=0,"ENDS ON TARGET","OK"))))</x:f>
      </x:c>
      <x:c r="P41" s="114" t="str">
        <x:f>IF(C41="","",IF(AND(E41&lt;&gt;"Break",E41&lt;&gt;"Welcome / Framing",E41&lt;&gt;"Closing / Application",G41=""),"MAP OBJECTIVE",IF(AND(OR(E41="Exercise / Practice",E41="Case Study",E41="Tool / Demo"),H41=""),"ADD PARTICIPANT OUTPUT","OK")))</x:f>
      </x:c>
      <x:c r="Q41" s="114" t="str">
        <x:f>IF(C41="","",IF(AND(E41&lt;&gt;"Break",F41=""),"ADD CONTENT",IF(AND(K41="Yes",I41=""),"NAME / EXPLAIN TOOL","OK")))</x:f>
      </x:c>
      <x:c r="R41" s="111"/>
    </x:row>
    <x:row r="42">
      <x:c r="A42" s="114" t="n">
        <x:v>39</x:v>
      </x:c>
      <x:c r="B42" s="111"/>
      <x:c r="C42" s="111"/>
      <x:c r="D42" s="111"/>
      <x:c r="E42" s="111"/>
      <x:c r="F42" s="111"/>
      <x:c r="G42" s="111"/>
      <x:c r="H42" s="111"/>
      <x:c r="I42" s="111"/>
      <x:c r="J42" s="111"/>
      <x:c r="K42" s="111"/>
      <x:c r="L42" s="111"/>
      <x:c r="M42" s="114" t="str">
        <x:f>IF(C42="","",SUM($D$4:D42))</x:f>
      </x:c>
      <x:c r="N42" s="114" t="str">
        <x:f>IF(C42="","",SETUP!$B$7-M42)</x:f>
      </x:c>
      <x:c r="O42" s="114" t="str">
        <x:f>IF(C42="","",IF(D42="","ADD MINUTES",IF(N42&lt;0,"OVER TIME",IF(N42=0,"ENDS ON TARGET","OK"))))</x:f>
      </x:c>
      <x:c r="P42" s="114" t="str">
        <x:f>IF(C42="","",IF(AND(E42&lt;&gt;"Break",E42&lt;&gt;"Welcome / Framing",E42&lt;&gt;"Closing / Application",G42=""),"MAP OBJECTIVE",IF(AND(OR(E42="Exercise / Practice",E42="Case Study",E42="Tool / Demo"),H42=""),"ADD PARTICIPANT OUTPUT","OK")))</x:f>
      </x:c>
      <x:c r="Q42" s="114" t="str">
        <x:f>IF(C42="","",IF(AND(E42&lt;&gt;"Break",F42=""),"ADD CONTENT",IF(AND(K42="Yes",I42=""),"NAME / EXPLAIN TOOL","OK")))</x:f>
      </x:c>
      <x:c r="R42" s="111"/>
    </x:row>
    <x:row r="43">
      <x:c r="A43" s="114" t="n">
        <x:v>40</x:v>
      </x:c>
      <x:c r="B43" s="111"/>
      <x:c r="C43" s="111"/>
      <x:c r="D43" s="111"/>
      <x:c r="E43" s="111"/>
      <x:c r="F43" s="111"/>
      <x:c r="G43" s="111"/>
      <x:c r="H43" s="111"/>
      <x:c r="I43" s="111"/>
      <x:c r="J43" s="111"/>
      <x:c r="K43" s="111"/>
      <x:c r="L43" s="111"/>
      <x:c r="M43" s="114" t="str">
        <x:f>IF(C43="","",SUM($D$4:D43))</x:f>
      </x:c>
      <x:c r="N43" s="114" t="str">
        <x:f>IF(C43="","",SETUP!$B$7-M43)</x:f>
      </x:c>
      <x:c r="O43" s="114" t="str">
        <x:f>IF(C43="","",IF(D43="","ADD MINUTES",IF(N43&lt;0,"OVER TIME",IF(N43=0,"ENDS ON TARGET","OK"))))</x:f>
      </x:c>
      <x:c r="P43" s="114" t="str">
        <x:f>IF(C43="","",IF(AND(E43&lt;&gt;"Break",E43&lt;&gt;"Welcome / Framing",E43&lt;&gt;"Closing / Application",G43=""),"MAP OBJECTIVE",IF(AND(OR(E43="Exercise / Practice",E43="Case Study",E43="Tool / Demo"),H43=""),"ADD PARTICIPANT OUTPUT","OK")))</x:f>
      </x:c>
      <x:c r="Q43" s="114" t="str">
        <x:f>IF(C43="","",IF(AND(E43&lt;&gt;"Break",F43=""),"ADD CONTENT",IF(AND(K43="Yes",I43=""),"NAME / EXPLAIN TOOL","OK")))</x:f>
      </x:c>
      <x:c r="R43" s="111"/>
    </x:row>
    <x:row r="44">
      <x:c r="A44" s="83"/>
      <x:c r="B44" s="83"/>
      <x:c r="C44" s="83"/>
      <x:c r="D44" s="83"/>
      <x:c r="E44" s="83"/>
      <x:c r="F44" s="83"/>
      <x:c r="G44" s="83"/>
      <x:c r="H44" s="83"/>
      <x:c r="I44" s="83"/>
      <x:c r="J44" s="83"/>
      <x:c r="K44" s="83"/>
      <x:c r="L44" s="83"/>
      <x:c r="M44" s="83"/>
      <x:c r="N44" s="83"/>
      <x:c r="O44" s="83"/>
      <x:c r="P44" s="83"/>
      <x:c r="Q44" s="83"/>
      <x:c r="R44" s="83"/>
    </x:row>
    <x:row r="45">
      <x:c r="A45" s="83"/>
      <x:c r="B45" s="83"/>
      <x:c r="C45" s="83"/>
      <x:c r="D45" s="83"/>
      <x:c r="E45" s="83"/>
      <x:c r="F45" s="83"/>
      <x:c r="G45" s="83"/>
      <x:c r="H45" s="83"/>
      <x:c r="I45" s="83"/>
      <x:c r="J45" s="83"/>
      <x:c r="K45" s="83"/>
      <x:c r="L45" s="83"/>
      <x:c r="M45" s="83"/>
      <x:c r="N45" s="83"/>
      <x:c r="O45" s="83"/>
      <x:c r="P45" s="83"/>
      <x:c r="Q45" s="83"/>
      <x:c r="R45" s="83"/>
    </x:row>
    <x:row r="46">
      <x:c r="A46" s="83"/>
      <x:c r="B46" s="83"/>
      <x:c r="C46" s="83"/>
      <x:c r="D46" s="83"/>
      <x:c r="E46" s="83"/>
      <x:c r="F46" s="83"/>
      <x:c r="G46" s="83"/>
      <x:c r="H46" s="83"/>
      <x:c r="I46" s="83"/>
      <x:c r="J46" s="83"/>
      <x:c r="K46" s="83"/>
      <x:c r="L46" s="83"/>
      <x:c r="M46" s="83"/>
      <x:c r="N46" s="83"/>
      <x:c r="O46" s="83"/>
      <x:c r="P46" s="83"/>
      <x:c r="Q46" s="83"/>
      <x:c r="R46" s="83"/>
    </x:row>
    <x:row r="47">
      <x:c r="A47" s="83"/>
      <x:c r="B47" s="83"/>
      <x:c r="C47" s="83"/>
      <x:c r="D47" s="83"/>
      <x:c r="E47" s="83"/>
      <x:c r="F47" s="83"/>
      <x:c r="G47" s="83"/>
      <x:c r="H47" s="83"/>
      <x:c r="I47" s="83"/>
      <x:c r="J47" s="83"/>
      <x:c r="K47" s="83"/>
      <x:c r="L47" s="83"/>
      <x:c r="M47" s="83"/>
      <x:c r="N47" s="83"/>
      <x:c r="O47" s="83"/>
      <x:c r="P47" s="83"/>
      <x:c r="Q47" s="83"/>
      <x:c r="R47" s="83"/>
    </x:row>
    <x:row r="48">
      <x:c r="A48" s="83"/>
      <x:c r="B48" s="83"/>
      <x:c r="C48" s="83"/>
      <x:c r="D48" s="83"/>
      <x:c r="E48" s="83"/>
      <x:c r="F48" s="83"/>
      <x:c r="G48" s="83"/>
      <x:c r="H48" s="83"/>
      <x:c r="I48" s="83"/>
      <x:c r="J48" s="83"/>
      <x:c r="K48" s="83"/>
      <x:c r="L48" s="83"/>
      <x:c r="M48" s="83"/>
      <x:c r="N48" s="83"/>
      <x:c r="O48" s="83"/>
      <x:c r="P48" s="83"/>
      <x:c r="Q48" s="83"/>
      <x:c r="R48" s="83"/>
    </x:row>
    <x:row r="49">
      <x:c r="A49" s="83"/>
      <x:c r="B49" s="83"/>
      <x:c r="C49" s="83"/>
      <x:c r="D49" s="83"/>
      <x:c r="E49" s="83"/>
      <x:c r="F49" s="83"/>
      <x:c r="G49" s="83"/>
      <x:c r="H49" s="83"/>
      <x:c r="I49" s="83"/>
      <x:c r="J49" s="83"/>
      <x:c r="K49" s="83"/>
      <x:c r="L49" s="83"/>
      <x:c r="M49" s="83"/>
      <x:c r="N49" s="83"/>
      <x:c r="O49" s="83"/>
      <x:c r="P49" s="83"/>
      <x:c r="Q49" s="83"/>
      <x:c r="R49" s="83"/>
    </x:row>
    <x:row r="50">
      <x:c r="A50" s="83"/>
      <x:c r="B50" s="83"/>
      <x:c r="C50" s="83"/>
      <x:c r="D50" s="83"/>
      <x:c r="E50" s="83"/>
      <x:c r="F50" s="83"/>
      <x:c r="G50" s="83"/>
      <x:c r="H50" s="83"/>
      <x:c r="I50" s="83"/>
      <x:c r="J50" s="83"/>
      <x:c r="K50" s="83"/>
      <x:c r="L50" s="83"/>
      <x:c r="M50" s="83"/>
      <x:c r="N50" s="83"/>
      <x:c r="O50" s="83"/>
      <x:c r="P50" s="83"/>
      <x:c r="Q50" s="83"/>
      <x:c r="R50" s="83"/>
    </x:row>
    <x:row r="51">
      <x:c r="A51" s="83"/>
      <x:c r="B51" s="83"/>
      <x:c r="C51" s="83"/>
      <x:c r="D51" s="83"/>
      <x:c r="E51" s="83"/>
      <x:c r="F51" s="83"/>
      <x:c r="G51" s="83"/>
      <x:c r="H51" s="83"/>
      <x:c r="I51" s="83"/>
      <x:c r="J51" s="83"/>
      <x:c r="K51" s="83"/>
      <x:c r="L51" s="83"/>
      <x:c r="M51" s="83"/>
      <x:c r="N51" s="83"/>
      <x:c r="O51" s="83"/>
      <x:c r="P51" s="83"/>
      <x:c r="Q51" s="83"/>
      <x:c r="R51" s="83"/>
    </x:row>
    <x:row r="52">
      <x:c r="A52" s="83"/>
      <x:c r="B52" s="83"/>
      <x:c r="C52" s="83"/>
      <x:c r="D52" s="83"/>
      <x:c r="E52" s="83"/>
      <x:c r="F52" s="83"/>
      <x:c r="G52" s="83"/>
      <x:c r="H52" s="83"/>
      <x:c r="I52" s="83"/>
      <x:c r="J52" s="83"/>
      <x:c r="K52" s="83"/>
      <x:c r="L52" s="83"/>
      <x:c r="M52" s="83"/>
      <x:c r="N52" s="83"/>
      <x:c r="O52" s="83"/>
      <x:c r="P52" s="83"/>
      <x:c r="Q52" s="83"/>
      <x:c r="R52" s="83"/>
    </x:row>
    <x:row r="53">
      <x:c r="A53" s="83"/>
      <x:c r="B53" s="83"/>
      <x:c r="C53" s="83"/>
      <x:c r="D53" s="83"/>
      <x:c r="E53" s="83"/>
      <x:c r="F53" s="83"/>
      <x:c r="G53" s="83"/>
      <x:c r="H53" s="83"/>
      <x:c r="I53" s="83"/>
      <x:c r="J53" s="83"/>
      <x:c r="K53" s="83"/>
      <x:c r="L53" s="83"/>
      <x:c r="M53" s="83"/>
      <x:c r="N53" s="83"/>
      <x:c r="O53" s="83"/>
      <x:c r="P53" s="83"/>
      <x:c r="Q53" s="83"/>
      <x:c r="R53" s="83"/>
    </x:row>
    <x:row r="54">
      <x:c r="A54" s="83"/>
      <x:c r="B54" s="83"/>
      <x:c r="C54" s="83"/>
      <x:c r="D54" s="83"/>
      <x:c r="E54" s="83"/>
      <x:c r="F54" s="83"/>
      <x:c r="G54" s="83"/>
      <x:c r="H54" s="83"/>
      <x:c r="I54" s="83"/>
      <x:c r="J54" s="83"/>
      <x:c r="K54" s="83"/>
      <x:c r="L54" s="83"/>
      <x:c r="M54" s="83"/>
      <x:c r="N54" s="83"/>
      <x:c r="O54" s="83"/>
      <x:c r="P54" s="83"/>
      <x:c r="Q54" s="83"/>
      <x:c r="R54" s="83"/>
    </x:row>
    <x:row r="55">
      <x:c r="A55" s="83"/>
      <x:c r="B55" s="83"/>
      <x:c r="C55" s="83"/>
      <x:c r="D55" s="83"/>
      <x:c r="E55" s="83"/>
      <x:c r="F55" s="83"/>
      <x:c r="G55" s="83"/>
      <x:c r="H55" s="83"/>
      <x:c r="I55" s="83"/>
      <x:c r="J55" s="83"/>
      <x:c r="K55" s="83"/>
      <x:c r="L55" s="83"/>
      <x:c r="M55" s="83"/>
      <x:c r="N55" s="83"/>
      <x:c r="O55" s="83"/>
      <x:c r="P55" s="83"/>
      <x:c r="Q55" s="83"/>
      <x:c r="R55" s="83"/>
    </x:row>
    <x:row r="56">
      <x:c r="A56" s="83"/>
      <x:c r="B56" s="83"/>
      <x:c r="C56" s="83"/>
      <x:c r="D56" s="83"/>
      <x:c r="E56" s="83"/>
      <x:c r="F56" s="83"/>
      <x:c r="G56" s="83"/>
      <x:c r="H56" s="83"/>
      <x:c r="I56" s="83"/>
      <x:c r="J56" s="83"/>
      <x:c r="K56" s="83"/>
      <x:c r="L56" s="83"/>
      <x:c r="M56" s="83"/>
      <x:c r="N56" s="83"/>
      <x:c r="O56" s="83"/>
      <x:c r="P56" s="83"/>
      <x:c r="Q56" s="83"/>
      <x:c r="R56" s="83"/>
    </x:row>
    <x:row r="57">
      <x:c r="A57" s="83"/>
      <x:c r="B57" s="83"/>
      <x:c r="C57" s="83"/>
      <x:c r="D57" s="83"/>
      <x:c r="E57" s="83"/>
      <x:c r="F57" s="83"/>
      <x:c r="G57" s="83"/>
      <x:c r="H57" s="83"/>
      <x:c r="I57" s="83"/>
      <x:c r="J57" s="83"/>
      <x:c r="K57" s="83"/>
      <x:c r="L57" s="83"/>
      <x:c r="M57" s="83"/>
      <x:c r="N57" s="83"/>
      <x:c r="O57" s="83"/>
      <x:c r="P57" s="83"/>
      <x:c r="Q57" s="83"/>
      <x:c r="R57" s="83"/>
    </x:row>
    <x:row r="58">
      <x:c r="A58" s="83"/>
      <x:c r="B58" s="83"/>
      <x:c r="C58" s="83"/>
      <x:c r="D58" s="83"/>
      <x:c r="E58" s="83"/>
      <x:c r="F58" s="83"/>
      <x:c r="G58" s="83"/>
      <x:c r="H58" s="83"/>
      <x:c r="I58" s="83"/>
      <x:c r="J58" s="83"/>
      <x:c r="K58" s="83"/>
      <x:c r="L58" s="83"/>
      <x:c r="M58" s="83"/>
      <x:c r="N58" s="83"/>
      <x:c r="O58" s="83"/>
      <x:c r="P58" s="83"/>
      <x:c r="Q58" s="83"/>
      <x:c r="R58" s="83"/>
    </x:row>
    <x:row r="59">
      <x:c r="A59" s="83"/>
      <x:c r="B59" s="83"/>
      <x:c r="C59" s="83"/>
      <x:c r="D59" s="83"/>
      <x:c r="E59" s="83"/>
      <x:c r="F59" s="83"/>
      <x:c r="G59" s="83"/>
      <x:c r="H59" s="83"/>
      <x:c r="I59" s="83"/>
      <x:c r="J59" s="83"/>
      <x:c r="K59" s="83"/>
      <x:c r="L59" s="83"/>
      <x:c r="M59" s="83"/>
      <x:c r="N59" s="83"/>
      <x:c r="O59" s="83"/>
      <x:c r="P59" s="83"/>
      <x:c r="Q59" s="83"/>
      <x:c r="R59" s="83"/>
    </x:row>
    <x:row r="60">
      <x:c r="A60" s="83"/>
      <x:c r="B60" s="83"/>
      <x:c r="C60" s="83"/>
      <x:c r="D60" s="83"/>
      <x:c r="E60" s="83"/>
      <x:c r="F60" s="83"/>
      <x:c r="G60" s="83"/>
      <x:c r="H60" s="83"/>
      <x:c r="I60" s="83"/>
      <x:c r="J60" s="83"/>
      <x:c r="K60" s="83"/>
      <x:c r="L60" s="83"/>
      <x:c r="M60" s="83"/>
      <x:c r="N60" s="83"/>
      <x:c r="O60" s="83"/>
      <x:c r="P60" s="83"/>
      <x:c r="Q60" s="83"/>
      <x:c r="R60" s="83"/>
    </x:row>
    <x:row r="61">
      <x:c r="A61" s="83"/>
      <x:c r="B61" s="83"/>
      <x:c r="C61" s="83"/>
      <x:c r="D61" s="83"/>
      <x:c r="E61" s="83"/>
      <x:c r="F61" s="83"/>
      <x:c r="G61" s="83"/>
      <x:c r="H61" s="83"/>
      <x:c r="I61" s="83"/>
      <x:c r="J61" s="83"/>
      <x:c r="K61" s="83"/>
      <x:c r="L61" s="83"/>
      <x:c r="M61" s="83"/>
      <x:c r="N61" s="83"/>
      <x:c r="O61" s="83"/>
      <x:c r="P61" s="83"/>
      <x:c r="Q61" s="83"/>
      <x:c r="R61" s="83"/>
    </x:row>
    <x:row r="62">
      <x:c r="A62" s="83"/>
      <x:c r="B62" s="83"/>
      <x:c r="C62" s="83"/>
      <x:c r="D62" s="83"/>
      <x:c r="E62" s="83"/>
      <x:c r="F62" s="83"/>
      <x:c r="G62" s="83"/>
      <x:c r="H62" s="83"/>
      <x:c r="I62" s="83"/>
      <x:c r="J62" s="83"/>
      <x:c r="K62" s="83"/>
      <x:c r="L62" s="83"/>
      <x:c r="M62" s="83"/>
      <x:c r="N62" s="83"/>
      <x:c r="O62" s="83"/>
      <x:c r="P62" s="83"/>
      <x:c r="Q62" s="83"/>
      <x:c r="R62" s="83"/>
    </x:row>
    <x:row r="63">
      <x:c r="A63" s="83"/>
      <x:c r="B63" s="83"/>
      <x:c r="C63" s="83"/>
      <x:c r="D63" s="83"/>
      <x:c r="E63" s="83"/>
      <x:c r="F63" s="83"/>
      <x:c r="G63" s="83"/>
      <x:c r="H63" s="83"/>
      <x:c r="I63" s="83"/>
      <x:c r="J63" s="83"/>
      <x:c r="K63" s="83"/>
      <x:c r="L63" s="83"/>
      <x:c r="M63" s="83"/>
      <x:c r="N63" s="83"/>
      <x:c r="O63" s="83"/>
      <x:c r="P63" s="83"/>
      <x:c r="Q63" s="83"/>
      <x:c r="R63" s="83"/>
    </x:row>
    <x:row r="64">
      <x:c r="A64" s="83"/>
      <x:c r="B64" s="83"/>
      <x:c r="C64" s="83"/>
      <x:c r="D64" s="83"/>
      <x:c r="E64" s="83"/>
      <x:c r="F64" s="83"/>
      <x:c r="G64" s="83"/>
      <x:c r="H64" s="83"/>
      <x:c r="I64" s="83"/>
      <x:c r="J64" s="83"/>
      <x:c r="K64" s="83"/>
      <x:c r="L64" s="83"/>
      <x:c r="M64" s="83"/>
      <x:c r="N64" s="83"/>
      <x:c r="O64" s="83"/>
      <x:c r="P64" s="83"/>
      <x:c r="Q64" s="83"/>
      <x:c r="R64" s="83"/>
    </x:row>
    <x:row r="65">
      <x:c r="A65" s="83"/>
      <x:c r="B65" s="83"/>
      <x:c r="C65" s="83"/>
      <x:c r="D65" s="83"/>
      <x:c r="E65" s="83"/>
      <x:c r="F65" s="83"/>
      <x:c r="G65" s="83"/>
      <x:c r="H65" s="83"/>
      <x:c r="I65" s="83"/>
      <x:c r="J65" s="83"/>
      <x:c r="K65" s="83"/>
      <x:c r="L65" s="83"/>
      <x:c r="M65" s="83"/>
      <x:c r="N65" s="83"/>
      <x:c r="O65" s="83"/>
      <x:c r="P65" s="83"/>
      <x:c r="Q65" s="83"/>
      <x:c r="R65" s="83"/>
    </x:row>
    <x:row r="66">
      <x:c r="A66" s="83"/>
      <x:c r="B66" s="83"/>
      <x:c r="C66" s="83"/>
      <x:c r="D66" s="83"/>
      <x:c r="E66" s="83"/>
      <x:c r="F66" s="83"/>
      <x:c r="G66" s="83"/>
      <x:c r="H66" s="83"/>
      <x:c r="I66" s="83"/>
      <x:c r="J66" s="83"/>
      <x:c r="K66" s="83"/>
      <x:c r="L66" s="83"/>
      <x:c r="M66" s="83"/>
      <x:c r="N66" s="83"/>
      <x:c r="O66" s="83"/>
      <x:c r="P66" s="83"/>
      <x:c r="Q66" s="83"/>
      <x:c r="R66" s="83"/>
    </x:row>
    <x:row r="67">
      <x:c r="A67" s="83"/>
      <x:c r="B67" s="83"/>
      <x:c r="C67" s="83"/>
      <x:c r="D67" s="83"/>
      <x:c r="E67" s="83"/>
      <x:c r="F67" s="83"/>
      <x:c r="G67" s="83"/>
      <x:c r="H67" s="83"/>
      <x:c r="I67" s="83"/>
      <x:c r="J67" s="83"/>
      <x:c r="K67" s="83"/>
      <x:c r="L67" s="83"/>
      <x:c r="M67" s="83"/>
      <x:c r="N67" s="83"/>
      <x:c r="O67" s="83"/>
      <x:c r="P67" s="83"/>
      <x:c r="Q67" s="83"/>
      <x:c r="R67" s="83"/>
    </x:row>
    <x:row r="68">
      <x:c r="A68" s="83"/>
      <x:c r="B68" s="83"/>
      <x:c r="C68" s="83"/>
      <x:c r="D68" s="83"/>
      <x:c r="E68" s="83"/>
      <x:c r="F68" s="83"/>
      <x:c r="G68" s="83"/>
      <x:c r="H68" s="83"/>
      <x:c r="I68" s="83"/>
      <x:c r="J68" s="83"/>
      <x:c r="K68" s="83"/>
      <x:c r="L68" s="83"/>
      <x:c r="M68" s="83"/>
      <x:c r="N68" s="83"/>
      <x:c r="O68" s="83"/>
      <x:c r="P68" s="83"/>
      <x:c r="Q68" s="83"/>
      <x:c r="R68" s="83"/>
    </x:row>
    <x:row r="69">
      <x:c r="A69" s="83"/>
      <x:c r="B69" s="83"/>
      <x:c r="C69" s="83"/>
      <x:c r="D69" s="83"/>
      <x:c r="E69" s="83"/>
      <x:c r="F69" s="83"/>
      <x:c r="G69" s="83"/>
      <x:c r="H69" s="83"/>
      <x:c r="I69" s="83"/>
      <x:c r="J69" s="83"/>
      <x:c r="K69" s="83"/>
      <x:c r="L69" s="83"/>
      <x:c r="M69" s="83"/>
      <x:c r="N69" s="83"/>
      <x:c r="O69" s="83"/>
      <x:c r="P69" s="83"/>
      <x:c r="Q69" s="83"/>
      <x:c r="R69" s="83"/>
    </x:row>
    <x:row r="70">
      <x:c r="A70" s="83"/>
      <x:c r="B70" s="83"/>
      <x:c r="C70" s="83"/>
      <x:c r="D70" s="83"/>
      <x:c r="E70" s="83"/>
      <x:c r="F70" s="83"/>
      <x:c r="G70" s="83"/>
      <x:c r="H70" s="83"/>
      <x:c r="I70" s="83"/>
      <x:c r="J70" s="83"/>
      <x:c r="K70" s="83"/>
      <x:c r="L70" s="83"/>
      <x:c r="M70" s="83"/>
      <x:c r="N70" s="83"/>
      <x:c r="O70" s="83"/>
      <x:c r="P70" s="83"/>
      <x:c r="Q70" s="83"/>
      <x:c r="R70" s="83"/>
    </x:row>
    <x:row r="71">
      <x:c r="A71" s="83"/>
      <x:c r="B71" s="83"/>
      <x:c r="C71" s="83"/>
      <x:c r="D71" s="83"/>
      <x:c r="E71" s="83"/>
      <x:c r="F71" s="83"/>
      <x:c r="G71" s="83"/>
      <x:c r="H71" s="83"/>
      <x:c r="I71" s="83"/>
      <x:c r="J71" s="83"/>
      <x:c r="K71" s="83"/>
      <x:c r="L71" s="83"/>
      <x:c r="M71" s="83"/>
      <x:c r="N71" s="83"/>
      <x:c r="O71" s="83"/>
      <x:c r="P71" s="83"/>
      <x:c r="Q71" s="83"/>
      <x:c r="R71" s="83"/>
    </x:row>
    <x:row r="72">
      <x:c r="A72" s="83"/>
      <x:c r="B72" s="83"/>
      <x:c r="C72" s="83"/>
      <x:c r="D72" s="83"/>
      <x:c r="E72" s="83"/>
      <x:c r="F72" s="83"/>
      <x:c r="G72" s="83"/>
      <x:c r="H72" s="83"/>
      <x:c r="I72" s="83"/>
      <x:c r="J72" s="83"/>
      <x:c r="K72" s="83"/>
      <x:c r="L72" s="83"/>
      <x:c r="M72" s="83"/>
      <x:c r="N72" s="83"/>
      <x:c r="O72" s="83"/>
      <x:c r="P72" s="83"/>
      <x:c r="Q72" s="83"/>
      <x:c r="R72" s="83"/>
    </x:row>
    <x:row r="73">
      <x:c r="A73" s="83"/>
      <x:c r="B73" s="83"/>
      <x:c r="C73" s="83"/>
      <x:c r="D73" s="83"/>
      <x:c r="E73" s="83"/>
      <x:c r="F73" s="83"/>
      <x:c r="G73" s="83"/>
      <x:c r="H73" s="83"/>
      <x:c r="I73" s="83"/>
      <x:c r="J73" s="83"/>
      <x:c r="K73" s="83"/>
      <x:c r="L73" s="83"/>
      <x:c r="M73" s="83"/>
      <x:c r="N73" s="83"/>
      <x:c r="O73" s="83"/>
      <x:c r="P73" s="83"/>
      <x:c r="Q73" s="83"/>
      <x:c r="R73" s="83"/>
    </x:row>
    <x:row r="74">
      <x:c r="A74" s="83"/>
      <x:c r="B74" s="83"/>
      <x:c r="C74" s="83"/>
      <x:c r="D74" s="83"/>
      <x:c r="E74" s="83"/>
      <x:c r="F74" s="83"/>
      <x:c r="G74" s="83"/>
      <x:c r="H74" s="83"/>
      <x:c r="I74" s="83"/>
      <x:c r="J74" s="83"/>
      <x:c r="K74" s="83"/>
      <x:c r="L74" s="83"/>
      <x:c r="M74" s="83"/>
      <x:c r="N74" s="83"/>
      <x:c r="O74" s="83"/>
      <x:c r="P74" s="83"/>
      <x:c r="Q74" s="83"/>
      <x:c r="R74" s="83"/>
    </x:row>
    <x:row r="75">
      <x:c r="A75" s="83"/>
      <x:c r="B75" s="83"/>
      <x:c r="C75" s="83"/>
      <x:c r="D75" s="83"/>
      <x:c r="E75" s="83"/>
      <x:c r="F75" s="83"/>
      <x:c r="G75" s="83"/>
      <x:c r="H75" s="83"/>
      <x:c r="I75" s="83"/>
      <x:c r="J75" s="83"/>
      <x:c r="K75" s="83"/>
      <x:c r="L75" s="83"/>
      <x:c r="M75" s="83"/>
      <x:c r="N75" s="83"/>
      <x:c r="O75" s="83"/>
      <x:c r="P75" s="83"/>
      <x:c r="Q75" s="83"/>
      <x:c r="R75" s="83"/>
    </x:row>
    <x:row r="76">
      <x:c r="A76" s="83"/>
      <x:c r="B76" s="83"/>
      <x:c r="C76" s="83"/>
      <x:c r="D76" s="83"/>
      <x:c r="E76" s="83"/>
      <x:c r="F76" s="83"/>
      <x:c r="G76" s="83"/>
      <x:c r="H76" s="83"/>
      <x:c r="I76" s="83"/>
      <x:c r="J76" s="83"/>
      <x:c r="K76" s="83"/>
      <x:c r="L76" s="83"/>
      <x:c r="M76" s="83"/>
      <x:c r="N76" s="83"/>
      <x:c r="O76" s="83"/>
      <x:c r="P76" s="83"/>
      <x:c r="Q76" s="83"/>
      <x:c r="R76" s="83"/>
    </x:row>
    <x:row r="77">
      <x:c r="A77" s="83"/>
      <x:c r="B77" s="83"/>
      <x:c r="C77" s="83"/>
      <x:c r="D77" s="83"/>
      <x:c r="E77" s="83"/>
      <x:c r="F77" s="83"/>
      <x:c r="G77" s="83"/>
      <x:c r="H77" s="83"/>
      <x:c r="I77" s="83"/>
      <x:c r="J77" s="83"/>
      <x:c r="K77" s="83"/>
      <x:c r="L77" s="83"/>
      <x:c r="M77" s="83"/>
      <x:c r="N77" s="83"/>
      <x:c r="O77" s="83"/>
      <x:c r="P77" s="83"/>
      <x:c r="Q77" s="83"/>
      <x:c r="R77" s="83"/>
    </x:row>
    <x:row r="78">
      <x:c r="A78" s="83"/>
      <x:c r="B78" s="83"/>
      <x:c r="C78" s="83"/>
      <x:c r="D78" s="83"/>
      <x:c r="E78" s="83"/>
      <x:c r="F78" s="83"/>
      <x:c r="G78" s="83"/>
      <x:c r="H78" s="83"/>
      <x:c r="I78" s="83"/>
      <x:c r="J78" s="83"/>
      <x:c r="K78" s="83"/>
      <x:c r="L78" s="83"/>
      <x:c r="M78" s="83"/>
      <x:c r="N78" s="83"/>
      <x:c r="O78" s="83"/>
      <x:c r="P78" s="83"/>
      <x:c r="Q78" s="83"/>
      <x:c r="R78" s="83"/>
    </x:row>
    <x:row r="79">
      <x:c r="A79" s="83"/>
      <x:c r="B79" s="83"/>
      <x:c r="C79" s="83"/>
      <x:c r="D79" s="83"/>
      <x:c r="E79" s="83"/>
      <x:c r="F79" s="83"/>
      <x:c r="G79" s="83"/>
      <x:c r="H79" s="83"/>
      <x:c r="I79" s="83"/>
      <x:c r="J79" s="83"/>
      <x:c r="K79" s="83"/>
      <x:c r="L79" s="83"/>
      <x:c r="M79" s="83"/>
      <x:c r="N79" s="83"/>
      <x:c r="O79" s="83"/>
      <x:c r="P79" s="83"/>
      <x:c r="Q79" s="83"/>
      <x:c r="R79" s="83"/>
    </x:row>
    <x:row r="80">
      <x:c r="A80" s="83"/>
      <x:c r="B80" s="83"/>
      <x:c r="C80" s="83"/>
      <x:c r="D80" s="83"/>
      <x:c r="E80" s="83"/>
      <x:c r="F80" s="83"/>
      <x:c r="G80" s="83"/>
      <x:c r="H80" s="83"/>
      <x:c r="I80" s="83"/>
      <x:c r="J80" s="83"/>
      <x:c r="K80" s="83"/>
      <x:c r="L80" s="83"/>
      <x:c r="M80" s="83"/>
      <x:c r="N80" s="83"/>
      <x:c r="O80" s="83"/>
      <x:c r="P80" s="83"/>
      <x:c r="Q80" s="83"/>
      <x:c r="R80" s="83"/>
    </x:row>
  </x:sheetData>
  <x:mergeCells>
    <x:mergeCell ref="A1:R1"/>
  </x:mergeCells>
  <x:conditionalFormatting sqref="O4:Q43">
    <x:cfRule type="expression" dxfId="3" priority="1">
      <x:formula>OR($O4="OVER TIME",$O4="ADD MINUTES",$P4&lt;&gt;"OK",$Q4&lt;&gt;"OK")</x:formula>
    </x:cfRule>
    <x:cfRule type="expression" dxfId="4" priority="2">
      <x:formula>AND($O4="OK",$P4="OK",$Q4="OK")</x:formula>
    </x:cfRule>
  </x:conditionalFormatting>
  <x:dataValidations count="3">
    <x:dataValidation type="list" sqref="E4:E43">
      <x:formula1>_LISTS!$C$2:$C$10</x:formula1>
    </x:dataValidation>
    <x:dataValidation type="list" sqref="J4:J43">
      <x:formula1>_LISTS!$I$2:$I$6</x:formula1>
    </x:dataValidation>
    <x:dataValidation type="list" sqref="K4:L43">
      <x:formula1>_LISTS!$F$2:$F$4</x:formula1>
    </x:dataValidation>
  </x:dataValidations>
  <x:pageMargins left="0.7" right="0.7" top="0.75" bottom="0.75" header="0.3" footer="0.3"/>
  <x:tableParts count="1">
    <x:tablePart xmlns:r="http://schemas.openxmlformats.org/officeDocument/2006/relationships" r:id="R4c1bc556e4b54aca"/>
  </x:tableParts>
</x:worksheet>
</file>

<file path=xl/worksheets/sheet5.xml><?xml version="1.0" encoding="utf-8"?>
<x:worksheet xmlns:x="http://schemas.openxmlformats.org/spreadsheetml/2006/main">
  <x:sheetFormatPr defaultRowHeight="15"/>
  <x:cols>
    <x:col min="1" max="1" width="11" hidden="0" customWidth="1"/>
    <x:col min="2" max="2" width="48" hidden="0" customWidth="1"/>
    <x:col min="3" max="3" width="10" hidden="0" customWidth="1"/>
    <x:col min="4" max="4" width="20" hidden="0" customWidth="1"/>
    <x:col min="5" max="5" width="18" hidden="0" customWidth="1"/>
    <x:col min="6" max="6" width="14" hidden="0" customWidth="1"/>
    <x:col min="7" max="7" width="16" hidden="0" customWidth="1"/>
    <x:col min="8" max="8" width="18" hidden="0" customWidth="1"/>
    <x:col min="9" max="9" width="12" hidden="0" customWidth="1"/>
    <x:col min="10" max="10" width="12" hidden="0" customWidth="1"/>
    <x:col min="11" max="11" width="15" hidden="0" customWidth="1"/>
    <x:col min="12" max="12" width="12" hidden="0" customWidth="1"/>
    <x:col min="13" max="13" width="14" hidden="0" customWidth="1"/>
    <x:col min="14" max="14" width="28" hidden="0" customWidth="1"/>
  </x:cols>
  <x:sheetData>
    <x:row r="1">
      <x:c r="A1" s="133" t="str">
        <x:v>ALIGNMENT — objective → instruction → practice → assessment</x:v>
      </x:c>
      <x:c r="B1" s="133"/>
      <x:c r="C1" s="133"/>
      <x:c r="D1" s="133"/>
      <x:c r="E1" s="133"/>
      <x:c r="F1" s="133"/>
      <x:c r="G1" s="133"/>
      <x:c r="H1" s="133"/>
      <x:c r="I1" s="133"/>
      <x:c r="J1" s="133"/>
      <x:c r="K1" s="133"/>
      <x:c r="L1" s="133"/>
      <x:c r="M1" s="133"/>
      <x:c r="N1" s="133"/>
      <x:c r="O1" s="83"/>
      <x:c r="P1" s="83"/>
      <x:c r="Q1" s="83"/>
      <x:c r="R1" s="83"/>
    </x:row>
    <x:row r="2">
      <x:c r="A2" s="83"/>
      <x:c r="B2" s="83"/>
      <x:c r="C2" s="83"/>
      <x:c r="D2" s="83"/>
      <x:c r="E2" s="83"/>
      <x:c r="F2" s="83"/>
      <x:c r="G2" s="83"/>
      <x:c r="H2" s="83"/>
      <x:c r="I2" s="83"/>
      <x:c r="J2" s="83"/>
      <x:c r="K2" s="83"/>
      <x:c r="L2" s="83"/>
      <x:c r="M2" s="83"/>
      <x:c r="N2" s="83"/>
      <x:c r="O2" s="83"/>
      <x:c r="P2" s="83"/>
      <x:c r="Q2" s="83"/>
      <x:c r="R2" s="83"/>
    </x:row>
    <x:row r="3">
      <x:c r="A3" s="113" t="str">
        <x:v>Objective ID</x:v>
      </x:c>
      <x:c r="B3" s="113" t="str">
        <x:v>Objective</x:v>
      </x:c>
      <x:c r="C3" s="113" t="str">
        <x:v>Segments</x:v>
      </x:c>
      <x:c r="D3" s="113" t="str">
        <x:v>Presentation / Instruction</x:v>
      </x:c>
      <x:c r="E3" s="113" t="str">
        <x:v>Practice / Application</x:v>
      </x:c>
      <x:c r="F3" s="113" t="str">
        <x:v>Assessment</x:v>
      </x:c>
      <x:c r="G3" s="113" t="str">
        <x:v>Tools / Templates</x:v>
      </x:c>
      <x:c r="H3" s="113" t="str">
        <x:v>Coverage QA</x:v>
      </x:c>
      <x:c r="I3" s="113" t="str">
        <x:v>First Segment</x:v>
      </x:c>
      <x:c r="J3" s="113" t="str">
        <x:v>Last Segment</x:v>
      </x:c>
      <x:c r="K3" s="113" t="str">
        <x:v>Minutes Mapped</x:v>
      </x:c>
      <x:c r="L3" s="113" t="str">
        <x:v>Practice %</x:v>
      </x:c>
      <x:c r="M3" s="113" t="str">
        <x:v>Assessment %</x:v>
      </x:c>
      <x:c r="N3" s="113" t="str">
        <x:v>Notes</x:v>
      </x:c>
      <x:c r="O3" s="83"/>
      <x:c r="P3" s="83"/>
      <x:c r="Q3" s="83"/>
      <x:c r="R3" s="83"/>
    </x:row>
    <x:row r="4">
      <x:c r="A4" s="114" t="str">
        <x:f>IF(OBJECTIVES!C4="","",OBJECTIVES!A4)</x:f>
      </x:c>
      <x:c r="B4" s="114" t="str">
        <x:f>IF(OBJECTIVES!C4="","",OBJECTIVES!F4)</x:f>
      </x:c>
      <x:c r="C4" s="114" t="str">
        <x:f>IF(A4="","",COUNTIF(OUTLINE!$G$4:$G$43,A4))</x:f>
      </x:c>
      <x:c r="D4" s="114" t="str">
        <x:f>IF(A4="","",COUNTIFS(OUTLINE!$G$4:$G$43,A4,OUTLINE!$E$4:$E$43,"Presentation")+COUNTIFS(OUTLINE!$G$4:$G$43,A4,OUTLINE!$E$4:$E$43,"Welcome / Framing"))</x:f>
      </x:c>
      <x:c r="E4" s="114" t="str">
        <x:f>IF(A4="","",COUNTIFS(OUTLINE!$G$4:$G$43,A4,OUTLINE!$E$4:$E$43,"Exercise / Practice")+COUNTIFS(OUTLINE!$G$4:$G$43,A4,OUTLINE!$E$4:$E$43,"Case Study")+COUNTIFS(OUTLINE!$G$4:$G$43,A4,OUTLINE!$E$4:$E$43,"Tool / Demo"))</x:f>
      </x:c>
      <x:c r="F4" s="114" t="str">
        <x:f>IF(A4="","",COUNTIFS(OUTLINE!$G$4:$G$43,A4,OUTLINE!$J$4:$J$43,"&lt;&gt;None",OUTLINE!$J$4:$J$43,"&lt;&gt;"))</x:f>
      </x:c>
      <x:c r="G4" s="114" t="str">
        <x:f>IF(A4="","",COUNTIFS(OUTLINE!$G$4:$G$43,A4,OUTLINE!$I$4:$I$43,"&lt;&gt;"))</x:f>
      </x:c>
      <x:c r="H4" s="114" t="str">
        <x:f>IF(A4="","",IF(C4=0,"NOT MAPPED",IF(E4=0,"NO PRACTICE",IF(F4=0,"NO ASSESSMENT","OK"))))</x:f>
      </x:c>
      <x:c r="I4" s="114" t="str">
        <x:f>IF(A4="","",IFERROR(MINIFS(OUTLINE!$A$4:$A$43,OUTLINE!$G$4:$G$43,A4),""))</x:f>
      </x:c>
      <x:c r="J4" s="114" t="str">
        <x:f>IF(A4="","",IFERROR(MAXIFS(OUTLINE!$A$4:$A$43,OUTLINE!$G$4:$G$43,A4),""))</x:f>
      </x:c>
      <x:c r="K4" s="114" t="str">
        <x:f>IF(A4="","",SUMIF(OUTLINE!$G$4:$G$43,A4,OUTLINE!$D$4:$D$43))</x:f>
      </x:c>
      <x:c r="L4" s="117" t="n">
        <x:f>IF(OR(A4="",K4=0),0,SUMIFS(OUTLINE!$D$4:$D$43,OUTLINE!$G$4:$G$43,A4,OUTLINE!$E$4:$E$43,"Exercise / Practice")/K4)</x:f>
        <x:v>0</x:v>
      </x:c>
      <x:c r="M4" s="117" t="n">
        <x:f>IF(A4="",0,IF(F4&gt;0,1,0))</x:f>
        <x:v>0</x:v>
      </x:c>
      <x:c r="N4" s="118"/>
      <x:c r="O4" s="83"/>
      <x:c r="P4" s="83"/>
      <x:c r="Q4" s="83"/>
      <x:c r="R4" s="83"/>
    </x:row>
    <x:row r="5">
      <x:c r="A5" s="114" t="str">
        <x:f>IF(OBJECTIVES!C5="","",OBJECTIVES!A5)</x:f>
      </x:c>
      <x:c r="B5" s="114" t="str">
        <x:f>IF(OBJECTIVES!C5="","",OBJECTIVES!F5)</x:f>
      </x:c>
      <x:c r="C5" s="114" t="str">
        <x:f>IF(A5="","",COUNTIF(OUTLINE!$G$4:$G$43,A5))</x:f>
      </x:c>
      <x:c r="D5" s="114" t="str">
        <x:f>IF(A5="","",COUNTIFS(OUTLINE!$G$4:$G$43,A5,OUTLINE!$E$4:$E$43,"Presentation")+COUNTIFS(OUTLINE!$G$4:$G$43,A5,OUTLINE!$E$4:$E$43,"Welcome / Framing"))</x:f>
      </x:c>
      <x:c r="E5" s="114" t="str">
        <x:f>IF(A5="","",COUNTIFS(OUTLINE!$G$4:$G$43,A5,OUTLINE!$E$4:$E$43,"Exercise / Practice")+COUNTIFS(OUTLINE!$G$4:$G$43,A5,OUTLINE!$E$4:$E$43,"Case Study")+COUNTIFS(OUTLINE!$G$4:$G$43,A5,OUTLINE!$E$4:$E$43,"Tool / Demo"))</x:f>
      </x:c>
      <x:c r="F5" s="114" t="str">
        <x:f>IF(A5="","",COUNTIFS(OUTLINE!$G$4:$G$43,A5,OUTLINE!$J$4:$J$43,"&lt;&gt;None",OUTLINE!$J$4:$J$43,"&lt;&gt;"))</x:f>
      </x:c>
      <x:c r="G5" s="114" t="str">
        <x:f>IF(A5="","",COUNTIFS(OUTLINE!$G$4:$G$43,A5,OUTLINE!$I$4:$I$43,"&lt;&gt;"))</x:f>
      </x:c>
      <x:c r="H5" s="114" t="str">
        <x:f>IF(A5="","",IF(C5=0,"NOT MAPPED",IF(E5=0,"NO PRACTICE",IF(F5=0,"NO ASSESSMENT","OK"))))</x:f>
      </x:c>
      <x:c r="I5" s="114" t="str">
        <x:f>IF(A5="","",IFERROR(MINIFS(OUTLINE!$A$4:$A$43,OUTLINE!$G$4:$G$43,A5),""))</x:f>
      </x:c>
      <x:c r="J5" s="114" t="str">
        <x:f>IF(A5="","",IFERROR(MAXIFS(OUTLINE!$A$4:$A$43,OUTLINE!$G$4:$G$43,A5),""))</x:f>
      </x:c>
      <x:c r="K5" s="114" t="str">
        <x:f>IF(A5="","",SUMIF(OUTLINE!$G$4:$G$43,A5,OUTLINE!$D$4:$D$43))</x:f>
      </x:c>
      <x:c r="L5" s="117" t="n">
        <x:f>IF(OR(A5="",K5=0),0,SUMIFS(OUTLINE!$D$4:$D$43,OUTLINE!$G$4:$G$43,A5,OUTLINE!$E$4:$E$43,"Exercise / Practice")/K5)</x:f>
        <x:v>0</x:v>
      </x:c>
      <x:c r="M5" s="117" t="n">
        <x:f>IF(A5="",0,IF(F5&gt;0,1,0))</x:f>
        <x:v>0</x:v>
      </x:c>
      <x:c r="N5" s="118"/>
      <x:c r="O5" s="83"/>
      <x:c r="P5" s="83"/>
      <x:c r="Q5" s="83"/>
      <x:c r="R5" s="83"/>
    </x:row>
    <x:row r="6">
      <x:c r="A6" s="114" t="str">
        <x:f>IF(OBJECTIVES!C6="","",OBJECTIVES!A6)</x:f>
      </x:c>
      <x:c r="B6" s="114" t="str">
        <x:f>IF(OBJECTIVES!C6="","",OBJECTIVES!F6)</x:f>
      </x:c>
      <x:c r="C6" s="114" t="str">
        <x:f>IF(A6="","",COUNTIF(OUTLINE!$G$4:$G$43,A6))</x:f>
      </x:c>
      <x:c r="D6" s="114" t="str">
        <x:f>IF(A6="","",COUNTIFS(OUTLINE!$G$4:$G$43,A6,OUTLINE!$E$4:$E$43,"Presentation")+COUNTIFS(OUTLINE!$G$4:$G$43,A6,OUTLINE!$E$4:$E$43,"Welcome / Framing"))</x:f>
      </x:c>
      <x:c r="E6" s="114" t="str">
        <x:f>IF(A6="","",COUNTIFS(OUTLINE!$G$4:$G$43,A6,OUTLINE!$E$4:$E$43,"Exercise / Practice")+COUNTIFS(OUTLINE!$G$4:$G$43,A6,OUTLINE!$E$4:$E$43,"Case Study")+COUNTIFS(OUTLINE!$G$4:$G$43,A6,OUTLINE!$E$4:$E$43,"Tool / Demo"))</x:f>
      </x:c>
      <x:c r="F6" s="114" t="str">
        <x:f>IF(A6="","",COUNTIFS(OUTLINE!$G$4:$G$43,A6,OUTLINE!$J$4:$J$43,"&lt;&gt;None",OUTLINE!$J$4:$J$43,"&lt;&gt;"))</x:f>
      </x:c>
      <x:c r="G6" s="114" t="str">
        <x:f>IF(A6="","",COUNTIFS(OUTLINE!$G$4:$G$43,A6,OUTLINE!$I$4:$I$43,"&lt;&gt;"))</x:f>
      </x:c>
      <x:c r="H6" s="114" t="str">
        <x:f>IF(A6="","",IF(C6=0,"NOT MAPPED",IF(E6=0,"NO PRACTICE",IF(F6=0,"NO ASSESSMENT","OK"))))</x:f>
      </x:c>
      <x:c r="I6" s="114" t="str">
        <x:f>IF(A6="","",IFERROR(MINIFS(OUTLINE!$A$4:$A$43,OUTLINE!$G$4:$G$43,A6),""))</x:f>
      </x:c>
      <x:c r="J6" s="114" t="str">
        <x:f>IF(A6="","",IFERROR(MAXIFS(OUTLINE!$A$4:$A$43,OUTLINE!$G$4:$G$43,A6),""))</x:f>
      </x:c>
      <x:c r="K6" s="114" t="str">
        <x:f>IF(A6="","",SUMIF(OUTLINE!$G$4:$G$43,A6,OUTLINE!$D$4:$D$43))</x:f>
      </x:c>
      <x:c r="L6" s="117" t="n">
        <x:f>IF(OR(A6="",K6=0),0,SUMIFS(OUTLINE!$D$4:$D$43,OUTLINE!$G$4:$G$43,A6,OUTLINE!$E$4:$E$43,"Exercise / Practice")/K6)</x:f>
        <x:v>0</x:v>
      </x:c>
      <x:c r="M6" s="117" t="n">
        <x:f>IF(A6="",0,IF(F6&gt;0,1,0))</x:f>
        <x:v>0</x:v>
      </x:c>
      <x:c r="N6" s="118"/>
      <x:c r="O6" s="83"/>
      <x:c r="P6" s="83"/>
      <x:c r="Q6" s="83"/>
      <x:c r="R6" s="83"/>
    </x:row>
    <x:row r="7">
      <x:c r="A7" s="114" t="str">
        <x:f>IF(OBJECTIVES!C7="","",OBJECTIVES!A7)</x:f>
      </x:c>
      <x:c r="B7" s="114" t="str">
        <x:f>IF(OBJECTIVES!C7="","",OBJECTIVES!F7)</x:f>
      </x:c>
      <x:c r="C7" s="114" t="str">
        <x:f>IF(A7="","",COUNTIF(OUTLINE!$G$4:$G$43,A7))</x:f>
      </x:c>
      <x:c r="D7" s="114" t="str">
        <x:f>IF(A7="","",COUNTIFS(OUTLINE!$G$4:$G$43,A7,OUTLINE!$E$4:$E$43,"Presentation")+COUNTIFS(OUTLINE!$G$4:$G$43,A7,OUTLINE!$E$4:$E$43,"Welcome / Framing"))</x:f>
      </x:c>
      <x:c r="E7" s="114" t="str">
        <x:f>IF(A7="","",COUNTIFS(OUTLINE!$G$4:$G$43,A7,OUTLINE!$E$4:$E$43,"Exercise / Practice")+COUNTIFS(OUTLINE!$G$4:$G$43,A7,OUTLINE!$E$4:$E$43,"Case Study")+COUNTIFS(OUTLINE!$G$4:$G$43,A7,OUTLINE!$E$4:$E$43,"Tool / Demo"))</x:f>
      </x:c>
      <x:c r="F7" s="114" t="str">
        <x:f>IF(A7="","",COUNTIFS(OUTLINE!$G$4:$G$43,A7,OUTLINE!$J$4:$J$43,"&lt;&gt;None",OUTLINE!$J$4:$J$43,"&lt;&gt;"))</x:f>
      </x:c>
      <x:c r="G7" s="114" t="str">
        <x:f>IF(A7="","",COUNTIFS(OUTLINE!$G$4:$G$43,A7,OUTLINE!$I$4:$I$43,"&lt;&gt;"))</x:f>
      </x:c>
      <x:c r="H7" s="114" t="str">
        <x:f>IF(A7="","",IF(C7=0,"NOT MAPPED",IF(E7=0,"NO PRACTICE",IF(F7=0,"NO ASSESSMENT","OK"))))</x:f>
      </x:c>
      <x:c r="I7" s="114" t="str">
        <x:f>IF(A7="","",IFERROR(MINIFS(OUTLINE!$A$4:$A$43,OUTLINE!$G$4:$G$43,A7),""))</x:f>
      </x:c>
      <x:c r="J7" s="114" t="str">
        <x:f>IF(A7="","",IFERROR(MAXIFS(OUTLINE!$A$4:$A$43,OUTLINE!$G$4:$G$43,A7),""))</x:f>
      </x:c>
      <x:c r="K7" s="114" t="str">
        <x:f>IF(A7="","",SUMIF(OUTLINE!$G$4:$G$43,A7,OUTLINE!$D$4:$D$43))</x:f>
      </x:c>
      <x:c r="L7" s="117" t="n">
        <x:f>IF(OR(A7="",K7=0),0,SUMIFS(OUTLINE!$D$4:$D$43,OUTLINE!$G$4:$G$43,A7,OUTLINE!$E$4:$E$43,"Exercise / Practice")/K7)</x:f>
        <x:v>0</x:v>
      </x:c>
      <x:c r="M7" s="117" t="n">
        <x:f>IF(A7="",0,IF(F7&gt;0,1,0))</x:f>
        <x:v>0</x:v>
      </x:c>
      <x:c r="N7" s="118"/>
      <x:c r="O7" s="83"/>
      <x:c r="P7" s="83"/>
      <x:c r="Q7" s="83"/>
      <x:c r="R7" s="83"/>
    </x:row>
    <x:row r="8">
      <x:c r="A8" s="114" t="str">
        <x:f>IF(OBJECTIVES!C8="","",OBJECTIVES!A8)</x:f>
      </x:c>
      <x:c r="B8" s="114" t="str">
        <x:f>IF(OBJECTIVES!C8="","",OBJECTIVES!F8)</x:f>
      </x:c>
      <x:c r="C8" s="114" t="str">
        <x:f>IF(A8="","",COUNTIF(OUTLINE!$G$4:$G$43,A8))</x:f>
      </x:c>
      <x:c r="D8" s="114" t="str">
        <x:f>IF(A8="","",COUNTIFS(OUTLINE!$G$4:$G$43,A8,OUTLINE!$E$4:$E$43,"Presentation")+COUNTIFS(OUTLINE!$G$4:$G$43,A8,OUTLINE!$E$4:$E$43,"Welcome / Framing"))</x:f>
      </x:c>
      <x:c r="E8" s="114" t="str">
        <x:f>IF(A8="","",COUNTIFS(OUTLINE!$G$4:$G$43,A8,OUTLINE!$E$4:$E$43,"Exercise / Practice")+COUNTIFS(OUTLINE!$G$4:$G$43,A8,OUTLINE!$E$4:$E$43,"Case Study")+COUNTIFS(OUTLINE!$G$4:$G$43,A8,OUTLINE!$E$4:$E$43,"Tool / Demo"))</x:f>
      </x:c>
      <x:c r="F8" s="114" t="str">
        <x:f>IF(A8="","",COUNTIFS(OUTLINE!$G$4:$G$43,A8,OUTLINE!$J$4:$J$43,"&lt;&gt;None",OUTLINE!$J$4:$J$43,"&lt;&gt;"))</x:f>
      </x:c>
      <x:c r="G8" s="114" t="str">
        <x:f>IF(A8="","",COUNTIFS(OUTLINE!$G$4:$G$43,A8,OUTLINE!$I$4:$I$43,"&lt;&gt;"))</x:f>
      </x:c>
      <x:c r="H8" s="114" t="str">
        <x:f>IF(A8="","",IF(C8=0,"NOT MAPPED",IF(E8=0,"NO PRACTICE",IF(F8=0,"NO ASSESSMENT","OK"))))</x:f>
      </x:c>
      <x:c r="I8" s="114" t="str">
        <x:f>IF(A8="","",IFERROR(MINIFS(OUTLINE!$A$4:$A$43,OUTLINE!$G$4:$G$43,A8),""))</x:f>
      </x:c>
      <x:c r="J8" s="114" t="str">
        <x:f>IF(A8="","",IFERROR(MAXIFS(OUTLINE!$A$4:$A$43,OUTLINE!$G$4:$G$43,A8),""))</x:f>
      </x:c>
      <x:c r="K8" s="114" t="str">
        <x:f>IF(A8="","",SUMIF(OUTLINE!$G$4:$G$43,A8,OUTLINE!$D$4:$D$43))</x:f>
      </x:c>
      <x:c r="L8" s="117" t="n">
        <x:f>IF(OR(A8="",K8=0),0,SUMIFS(OUTLINE!$D$4:$D$43,OUTLINE!$G$4:$G$43,A8,OUTLINE!$E$4:$E$43,"Exercise / Practice")/K8)</x:f>
        <x:v>0</x:v>
      </x:c>
      <x:c r="M8" s="117" t="n">
        <x:f>IF(A8="",0,IF(F8&gt;0,1,0))</x:f>
        <x:v>0</x:v>
      </x:c>
      <x:c r="N8" s="118"/>
      <x:c r="O8" s="83"/>
      <x:c r="P8" s="83"/>
      <x:c r="Q8" s="83"/>
      <x:c r="R8" s="83"/>
    </x:row>
    <x:row r="9">
      <x:c r="A9" s="114" t="str">
        <x:f>IF(OBJECTIVES!C9="","",OBJECTIVES!A9)</x:f>
      </x:c>
      <x:c r="B9" s="114" t="str">
        <x:f>IF(OBJECTIVES!C9="","",OBJECTIVES!F9)</x:f>
      </x:c>
      <x:c r="C9" s="114" t="str">
        <x:f>IF(A9="","",COUNTIF(OUTLINE!$G$4:$G$43,A9))</x:f>
      </x:c>
      <x:c r="D9" s="114" t="str">
        <x:f>IF(A9="","",COUNTIFS(OUTLINE!$G$4:$G$43,A9,OUTLINE!$E$4:$E$43,"Presentation")+COUNTIFS(OUTLINE!$G$4:$G$43,A9,OUTLINE!$E$4:$E$43,"Welcome / Framing"))</x:f>
      </x:c>
      <x:c r="E9" s="114" t="str">
        <x:f>IF(A9="","",COUNTIFS(OUTLINE!$G$4:$G$43,A9,OUTLINE!$E$4:$E$43,"Exercise / Practice")+COUNTIFS(OUTLINE!$G$4:$G$43,A9,OUTLINE!$E$4:$E$43,"Case Study")+COUNTIFS(OUTLINE!$G$4:$G$43,A9,OUTLINE!$E$4:$E$43,"Tool / Demo"))</x:f>
      </x:c>
      <x:c r="F9" s="114" t="str">
        <x:f>IF(A9="","",COUNTIFS(OUTLINE!$G$4:$G$43,A9,OUTLINE!$J$4:$J$43,"&lt;&gt;None",OUTLINE!$J$4:$J$43,"&lt;&gt;"))</x:f>
      </x:c>
      <x:c r="G9" s="114" t="str">
        <x:f>IF(A9="","",COUNTIFS(OUTLINE!$G$4:$G$43,A9,OUTLINE!$I$4:$I$43,"&lt;&gt;"))</x:f>
      </x:c>
      <x:c r="H9" s="114" t="str">
        <x:f>IF(A9="","",IF(C9=0,"NOT MAPPED",IF(E9=0,"NO PRACTICE",IF(F9=0,"NO ASSESSMENT","OK"))))</x:f>
      </x:c>
      <x:c r="I9" s="114" t="str">
        <x:f>IF(A9="","",IFERROR(MINIFS(OUTLINE!$A$4:$A$43,OUTLINE!$G$4:$G$43,A9),""))</x:f>
      </x:c>
      <x:c r="J9" s="114" t="str">
        <x:f>IF(A9="","",IFERROR(MAXIFS(OUTLINE!$A$4:$A$43,OUTLINE!$G$4:$G$43,A9),""))</x:f>
      </x:c>
      <x:c r="K9" s="114" t="str">
        <x:f>IF(A9="","",SUMIF(OUTLINE!$G$4:$G$43,A9,OUTLINE!$D$4:$D$43))</x:f>
      </x:c>
      <x:c r="L9" s="117" t="n">
        <x:f>IF(OR(A9="",K9=0),0,SUMIFS(OUTLINE!$D$4:$D$43,OUTLINE!$G$4:$G$43,A9,OUTLINE!$E$4:$E$43,"Exercise / Practice")/K9)</x:f>
        <x:v>0</x:v>
      </x:c>
      <x:c r="M9" s="117" t="n">
        <x:f>IF(A9="",0,IF(F9&gt;0,1,0))</x:f>
        <x:v>0</x:v>
      </x:c>
      <x:c r="N9" s="118"/>
      <x:c r="O9" s="83"/>
      <x:c r="P9" s="83"/>
      <x:c r="Q9" s="83"/>
      <x:c r="R9" s="83"/>
    </x:row>
    <x:row r="10">
      <x:c r="A10" s="114" t="str">
        <x:f>IF(OBJECTIVES!C10="","",OBJECTIVES!A10)</x:f>
      </x:c>
      <x:c r="B10" s="114" t="str">
        <x:f>IF(OBJECTIVES!C10="","",OBJECTIVES!F10)</x:f>
      </x:c>
      <x:c r="C10" s="114" t="str">
        <x:f>IF(A10="","",COUNTIF(OUTLINE!$G$4:$G$43,A10))</x:f>
      </x:c>
      <x:c r="D10" s="114" t="str">
        <x:f>IF(A10="","",COUNTIFS(OUTLINE!$G$4:$G$43,A10,OUTLINE!$E$4:$E$43,"Presentation")+COUNTIFS(OUTLINE!$G$4:$G$43,A10,OUTLINE!$E$4:$E$43,"Welcome / Framing"))</x:f>
      </x:c>
      <x:c r="E10" s="114" t="str">
        <x:f>IF(A10="","",COUNTIFS(OUTLINE!$G$4:$G$43,A10,OUTLINE!$E$4:$E$43,"Exercise / Practice")+COUNTIFS(OUTLINE!$G$4:$G$43,A10,OUTLINE!$E$4:$E$43,"Case Study")+COUNTIFS(OUTLINE!$G$4:$G$43,A10,OUTLINE!$E$4:$E$43,"Tool / Demo"))</x:f>
      </x:c>
      <x:c r="F10" s="114" t="str">
        <x:f>IF(A10="","",COUNTIFS(OUTLINE!$G$4:$G$43,A10,OUTLINE!$J$4:$J$43,"&lt;&gt;None",OUTLINE!$J$4:$J$43,"&lt;&gt;"))</x:f>
      </x:c>
      <x:c r="G10" s="114" t="str">
        <x:f>IF(A10="","",COUNTIFS(OUTLINE!$G$4:$G$43,A10,OUTLINE!$I$4:$I$43,"&lt;&gt;"))</x:f>
      </x:c>
      <x:c r="H10" s="114" t="str">
        <x:f>IF(A10="","",IF(C10=0,"NOT MAPPED",IF(E10=0,"NO PRACTICE",IF(F10=0,"NO ASSESSMENT","OK"))))</x:f>
      </x:c>
      <x:c r="I10" s="114" t="str">
        <x:f>IF(A10="","",IFERROR(MINIFS(OUTLINE!$A$4:$A$43,OUTLINE!$G$4:$G$43,A10),""))</x:f>
      </x:c>
      <x:c r="J10" s="114" t="str">
        <x:f>IF(A10="","",IFERROR(MAXIFS(OUTLINE!$A$4:$A$43,OUTLINE!$G$4:$G$43,A10),""))</x:f>
      </x:c>
      <x:c r="K10" s="114" t="str">
        <x:f>IF(A10="","",SUMIF(OUTLINE!$G$4:$G$43,A10,OUTLINE!$D$4:$D$43))</x:f>
      </x:c>
      <x:c r="L10" s="117" t="n">
        <x:f>IF(OR(A10="",K10=0),0,SUMIFS(OUTLINE!$D$4:$D$43,OUTLINE!$G$4:$G$43,A10,OUTLINE!$E$4:$E$43,"Exercise / Practice")/K10)</x:f>
        <x:v>0</x:v>
      </x:c>
      <x:c r="M10" s="117" t="n">
        <x:f>IF(A10="",0,IF(F10&gt;0,1,0))</x:f>
        <x:v>0</x:v>
      </x:c>
      <x:c r="N10" s="118"/>
      <x:c r="O10" s="83"/>
      <x:c r="P10" s="83"/>
      <x:c r="Q10" s="83"/>
      <x:c r="R10" s="83"/>
    </x:row>
    <x:row r="11">
      <x:c r="A11" s="114" t="str">
        <x:f>IF(OBJECTIVES!C11="","",OBJECTIVES!A11)</x:f>
      </x:c>
      <x:c r="B11" s="114" t="str">
        <x:f>IF(OBJECTIVES!C11="","",OBJECTIVES!F11)</x:f>
      </x:c>
      <x:c r="C11" s="114" t="str">
        <x:f>IF(A11="","",COUNTIF(OUTLINE!$G$4:$G$43,A11))</x:f>
      </x:c>
      <x:c r="D11" s="114" t="str">
        <x:f>IF(A11="","",COUNTIFS(OUTLINE!$G$4:$G$43,A11,OUTLINE!$E$4:$E$43,"Presentation")+COUNTIFS(OUTLINE!$G$4:$G$43,A11,OUTLINE!$E$4:$E$43,"Welcome / Framing"))</x:f>
      </x:c>
      <x:c r="E11" s="114" t="str">
        <x:f>IF(A11="","",COUNTIFS(OUTLINE!$G$4:$G$43,A11,OUTLINE!$E$4:$E$43,"Exercise / Practice")+COUNTIFS(OUTLINE!$G$4:$G$43,A11,OUTLINE!$E$4:$E$43,"Case Study")+COUNTIFS(OUTLINE!$G$4:$G$43,A11,OUTLINE!$E$4:$E$43,"Tool / Demo"))</x:f>
      </x:c>
      <x:c r="F11" s="114" t="str">
        <x:f>IF(A11="","",COUNTIFS(OUTLINE!$G$4:$G$43,A11,OUTLINE!$J$4:$J$43,"&lt;&gt;None",OUTLINE!$J$4:$J$43,"&lt;&gt;"))</x:f>
      </x:c>
      <x:c r="G11" s="114" t="str">
        <x:f>IF(A11="","",COUNTIFS(OUTLINE!$G$4:$G$43,A11,OUTLINE!$I$4:$I$43,"&lt;&gt;"))</x:f>
      </x:c>
      <x:c r="H11" s="114" t="str">
        <x:f>IF(A11="","",IF(C11=0,"NOT MAPPED",IF(E11=0,"NO PRACTICE",IF(F11=0,"NO ASSESSMENT","OK"))))</x:f>
      </x:c>
      <x:c r="I11" s="114" t="str">
        <x:f>IF(A11="","",IFERROR(MINIFS(OUTLINE!$A$4:$A$43,OUTLINE!$G$4:$G$43,A11),""))</x:f>
      </x:c>
      <x:c r="J11" s="114" t="str">
        <x:f>IF(A11="","",IFERROR(MAXIFS(OUTLINE!$A$4:$A$43,OUTLINE!$G$4:$G$43,A11),""))</x:f>
      </x:c>
      <x:c r="K11" s="114" t="str">
        <x:f>IF(A11="","",SUMIF(OUTLINE!$G$4:$G$43,A11,OUTLINE!$D$4:$D$43))</x:f>
      </x:c>
      <x:c r="L11" s="117" t="n">
        <x:f>IF(OR(A11="",K11=0),0,SUMIFS(OUTLINE!$D$4:$D$43,OUTLINE!$G$4:$G$43,A11,OUTLINE!$E$4:$E$43,"Exercise / Practice")/K11)</x:f>
        <x:v>0</x:v>
      </x:c>
      <x:c r="M11" s="117" t="n">
        <x:f>IF(A11="",0,IF(F11&gt;0,1,0))</x:f>
        <x:v>0</x:v>
      </x:c>
      <x:c r="N11" s="118"/>
      <x:c r="O11" s="83"/>
      <x:c r="P11" s="83"/>
      <x:c r="Q11" s="83"/>
      <x:c r="R11" s="83"/>
    </x:row>
    <x:row r="12">
      <x:c r="A12" s="114" t="str">
        <x:f>IF(OBJECTIVES!C12="","",OBJECTIVES!A12)</x:f>
      </x:c>
      <x:c r="B12" s="114" t="str">
        <x:f>IF(OBJECTIVES!C12="","",OBJECTIVES!F12)</x:f>
      </x:c>
      <x:c r="C12" s="114" t="str">
        <x:f>IF(A12="","",COUNTIF(OUTLINE!$G$4:$G$43,A12))</x:f>
      </x:c>
      <x:c r="D12" s="114" t="str">
        <x:f>IF(A12="","",COUNTIFS(OUTLINE!$G$4:$G$43,A12,OUTLINE!$E$4:$E$43,"Presentation")+COUNTIFS(OUTLINE!$G$4:$G$43,A12,OUTLINE!$E$4:$E$43,"Welcome / Framing"))</x:f>
      </x:c>
      <x:c r="E12" s="114" t="str">
        <x:f>IF(A12="","",COUNTIFS(OUTLINE!$G$4:$G$43,A12,OUTLINE!$E$4:$E$43,"Exercise / Practice")+COUNTIFS(OUTLINE!$G$4:$G$43,A12,OUTLINE!$E$4:$E$43,"Case Study")+COUNTIFS(OUTLINE!$G$4:$G$43,A12,OUTLINE!$E$4:$E$43,"Tool / Demo"))</x:f>
      </x:c>
      <x:c r="F12" s="114" t="str">
        <x:f>IF(A12="","",COUNTIFS(OUTLINE!$G$4:$G$43,A12,OUTLINE!$J$4:$J$43,"&lt;&gt;None",OUTLINE!$J$4:$J$43,"&lt;&gt;"))</x:f>
      </x:c>
      <x:c r="G12" s="114" t="str">
        <x:f>IF(A12="","",COUNTIFS(OUTLINE!$G$4:$G$43,A12,OUTLINE!$I$4:$I$43,"&lt;&gt;"))</x:f>
      </x:c>
      <x:c r="H12" s="114" t="str">
        <x:f>IF(A12="","",IF(C12=0,"NOT MAPPED",IF(E12=0,"NO PRACTICE",IF(F12=0,"NO ASSESSMENT","OK"))))</x:f>
      </x:c>
      <x:c r="I12" s="114" t="str">
        <x:f>IF(A12="","",IFERROR(MINIFS(OUTLINE!$A$4:$A$43,OUTLINE!$G$4:$G$43,A12),""))</x:f>
      </x:c>
      <x:c r="J12" s="114" t="str">
        <x:f>IF(A12="","",IFERROR(MAXIFS(OUTLINE!$A$4:$A$43,OUTLINE!$G$4:$G$43,A12),""))</x:f>
      </x:c>
      <x:c r="K12" s="114" t="str">
        <x:f>IF(A12="","",SUMIF(OUTLINE!$G$4:$G$43,A12,OUTLINE!$D$4:$D$43))</x:f>
      </x:c>
      <x:c r="L12" s="117" t="n">
        <x:f>IF(OR(A12="",K12=0),0,SUMIFS(OUTLINE!$D$4:$D$43,OUTLINE!$G$4:$G$43,A12,OUTLINE!$E$4:$E$43,"Exercise / Practice")/K12)</x:f>
        <x:v>0</x:v>
      </x:c>
      <x:c r="M12" s="117" t="n">
        <x:f>IF(A12="",0,IF(F12&gt;0,1,0))</x:f>
        <x:v>0</x:v>
      </x:c>
      <x:c r="N12" s="118"/>
      <x:c r="O12" s="83"/>
      <x:c r="P12" s="83"/>
      <x:c r="Q12" s="83"/>
      <x:c r="R12" s="83"/>
    </x:row>
    <x:row r="13">
      <x:c r="A13" s="114" t="str">
        <x:f>IF(OBJECTIVES!C13="","",OBJECTIVES!A13)</x:f>
      </x:c>
      <x:c r="B13" s="114" t="str">
        <x:f>IF(OBJECTIVES!C13="","",OBJECTIVES!F13)</x:f>
      </x:c>
      <x:c r="C13" s="114" t="str">
        <x:f>IF(A13="","",COUNTIF(OUTLINE!$G$4:$G$43,A13))</x:f>
      </x:c>
      <x:c r="D13" s="114" t="str">
        <x:f>IF(A13="","",COUNTIFS(OUTLINE!$G$4:$G$43,A13,OUTLINE!$E$4:$E$43,"Presentation")+COUNTIFS(OUTLINE!$G$4:$G$43,A13,OUTLINE!$E$4:$E$43,"Welcome / Framing"))</x:f>
      </x:c>
      <x:c r="E13" s="114" t="str">
        <x:f>IF(A13="","",COUNTIFS(OUTLINE!$G$4:$G$43,A13,OUTLINE!$E$4:$E$43,"Exercise / Practice")+COUNTIFS(OUTLINE!$G$4:$G$43,A13,OUTLINE!$E$4:$E$43,"Case Study")+COUNTIFS(OUTLINE!$G$4:$G$43,A13,OUTLINE!$E$4:$E$43,"Tool / Demo"))</x:f>
      </x:c>
      <x:c r="F13" s="114" t="str">
        <x:f>IF(A13="","",COUNTIFS(OUTLINE!$G$4:$G$43,A13,OUTLINE!$J$4:$J$43,"&lt;&gt;None",OUTLINE!$J$4:$J$43,"&lt;&gt;"))</x:f>
      </x:c>
      <x:c r="G13" s="114" t="str">
        <x:f>IF(A13="","",COUNTIFS(OUTLINE!$G$4:$G$43,A13,OUTLINE!$I$4:$I$43,"&lt;&gt;"))</x:f>
      </x:c>
      <x:c r="H13" s="114" t="str">
        <x:f>IF(A13="","",IF(C13=0,"NOT MAPPED",IF(E13=0,"NO PRACTICE",IF(F13=0,"NO ASSESSMENT","OK"))))</x:f>
      </x:c>
      <x:c r="I13" s="114" t="str">
        <x:f>IF(A13="","",IFERROR(MINIFS(OUTLINE!$A$4:$A$43,OUTLINE!$G$4:$G$43,A13),""))</x:f>
      </x:c>
      <x:c r="J13" s="114" t="str">
        <x:f>IF(A13="","",IFERROR(MAXIFS(OUTLINE!$A$4:$A$43,OUTLINE!$G$4:$G$43,A13),""))</x:f>
      </x:c>
      <x:c r="K13" s="114" t="str">
        <x:f>IF(A13="","",SUMIF(OUTLINE!$G$4:$G$43,A13,OUTLINE!$D$4:$D$43))</x:f>
      </x:c>
      <x:c r="L13" s="117" t="n">
        <x:f>IF(OR(A13="",K13=0),0,SUMIFS(OUTLINE!$D$4:$D$43,OUTLINE!$G$4:$G$43,A13,OUTLINE!$E$4:$E$43,"Exercise / Practice")/K13)</x:f>
        <x:v>0</x:v>
      </x:c>
      <x:c r="M13" s="117" t="n">
        <x:f>IF(A13="",0,IF(F13&gt;0,1,0))</x:f>
        <x:v>0</x:v>
      </x:c>
      <x:c r="N13" s="118"/>
      <x:c r="O13" s="83"/>
      <x:c r="P13" s="83"/>
      <x:c r="Q13" s="83"/>
      <x:c r="R13" s="83"/>
    </x:row>
    <x:row r="14">
      <x:c r="A14" s="114" t="str">
        <x:f>IF(OBJECTIVES!C14="","",OBJECTIVES!A14)</x:f>
      </x:c>
      <x:c r="B14" s="114" t="str">
        <x:f>IF(OBJECTIVES!C14="","",OBJECTIVES!F14)</x:f>
      </x:c>
      <x:c r="C14" s="114" t="str">
        <x:f>IF(A14="","",COUNTIF(OUTLINE!$G$4:$G$43,A14))</x:f>
      </x:c>
      <x:c r="D14" s="114" t="str">
        <x:f>IF(A14="","",COUNTIFS(OUTLINE!$G$4:$G$43,A14,OUTLINE!$E$4:$E$43,"Presentation")+COUNTIFS(OUTLINE!$G$4:$G$43,A14,OUTLINE!$E$4:$E$43,"Welcome / Framing"))</x:f>
      </x:c>
      <x:c r="E14" s="114" t="str">
        <x:f>IF(A14="","",COUNTIFS(OUTLINE!$G$4:$G$43,A14,OUTLINE!$E$4:$E$43,"Exercise / Practice")+COUNTIFS(OUTLINE!$G$4:$G$43,A14,OUTLINE!$E$4:$E$43,"Case Study")+COUNTIFS(OUTLINE!$G$4:$G$43,A14,OUTLINE!$E$4:$E$43,"Tool / Demo"))</x:f>
      </x:c>
      <x:c r="F14" s="114" t="str">
        <x:f>IF(A14="","",COUNTIFS(OUTLINE!$G$4:$G$43,A14,OUTLINE!$J$4:$J$43,"&lt;&gt;None",OUTLINE!$J$4:$J$43,"&lt;&gt;"))</x:f>
      </x:c>
      <x:c r="G14" s="114" t="str">
        <x:f>IF(A14="","",COUNTIFS(OUTLINE!$G$4:$G$43,A14,OUTLINE!$I$4:$I$43,"&lt;&gt;"))</x:f>
      </x:c>
      <x:c r="H14" s="114" t="str">
        <x:f>IF(A14="","",IF(C14=0,"NOT MAPPED",IF(E14=0,"NO PRACTICE",IF(F14=0,"NO ASSESSMENT","OK"))))</x:f>
      </x:c>
      <x:c r="I14" s="114" t="str">
        <x:f>IF(A14="","",IFERROR(MINIFS(OUTLINE!$A$4:$A$43,OUTLINE!$G$4:$G$43,A14),""))</x:f>
      </x:c>
      <x:c r="J14" s="114" t="str">
        <x:f>IF(A14="","",IFERROR(MAXIFS(OUTLINE!$A$4:$A$43,OUTLINE!$G$4:$G$43,A14),""))</x:f>
      </x:c>
      <x:c r="K14" s="114" t="str">
        <x:f>IF(A14="","",SUMIF(OUTLINE!$G$4:$G$43,A14,OUTLINE!$D$4:$D$43))</x:f>
      </x:c>
      <x:c r="L14" s="117" t="n">
        <x:f>IF(OR(A14="",K14=0),0,SUMIFS(OUTLINE!$D$4:$D$43,OUTLINE!$G$4:$G$43,A14,OUTLINE!$E$4:$E$43,"Exercise / Practice")/K14)</x:f>
        <x:v>0</x:v>
      </x:c>
      <x:c r="M14" s="117" t="n">
        <x:f>IF(A14="",0,IF(F14&gt;0,1,0))</x:f>
        <x:v>0</x:v>
      </x:c>
      <x:c r="N14" s="118"/>
      <x:c r="O14" s="83"/>
      <x:c r="P14" s="83"/>
      <x:c r="Q14" s="83"/>
      <x:c r="R14" s="83"/>
    </x:row>
    <x:row r="15">
      <x:c r="A15" s="114" t="str">
        <x:f>IF(OBJECTIVES!C15="","",OBJECTIVES!A15)</x:f>
      </x:c>
      <x:c r="B15" s="114" t="str">
        <x:f>IF(OBJECTIVES!C15="","",OBJECTIVES!F15)</x:f>
      </x:c>
      <x:c r="C15" s="114" t="str">
        <x:f>IF(A15="","",COUNTIF(OUTLINE!$G$4:$G$43,A15))</x:f>
      </x:c>
      <x:c r="D15" s="114" t="str">
        <x:f>IF(A15="","",COUNTIFS(OUTLINE!$G$4:$G$43,A15,OUTLINE!$E$4:$E$43,"Presentation")+COUNTIFS(OUTLINE!$G$4:$G$43,A15,OUTLINE!$E$4:$E$43,"Welcome / Framing"))</x:f>
      </x:c>
      <x:c r="E15" s="114" t="str">
        <x:f>IF(A15="","",COUNTIFS(OUTLINE!$G$4:$G$43,A15,OUTLINE!$E$4:$E$43,"Exercise / Practice")+COUNTIFS(OUTLINE!$G$4:$G$43,A15,OUTLINE!$E$4:$E$43,"Case Study")+COUNTIFS(OUTLINE!$G$4:$G$43,A15,OUTLINE!$E$4:$E$43,"Tool / Demo"))</x:f>
      </x:c>
      <x:c r="F15" s="114" t="str">
        <x:f>IF(A15="","",COUNTIFS(OUTLINE!$G$4:$G$43,A15,OUTLINE!$J$4:$J$43,"&lt;&gt;None",OUTLINE!$J$4:$J$43,"&lt;&gt;"))</x:f>
      </x:c>
      <x:c r="G15" s="114" t="str">
        <x:f>IF(A15="","",COUNTIFS(OUTLINE!$G$4:$G$43,A15,OUTLINE!$I$4:$I$43,"&lt;&gt;"))</x:f>
      </x:c>
      <x:c r="H15" s="114" t="str">
        <x:f>IF(A15="","",IF(C15=0,"NOT MAPPED",IF(E15=0,"NO PRACTICE",IF(F15=0,"NO ASSESSMENT","OK"))))</x:f>
      </x:c>
      <x:c r="I15" s="114" t="str">
        <x:f>IF(A15="","",IFERROR(MINIFS(OUTLINE!$A$4:$A$43,OUTLINE!$G$4:$G$43,A15),""))</x:f>
      </x:c>
      <x:c r="J15" s="114" t="str">
        <x:f>IF(A15="","",IFERROR(MAXIFS(OUTLINE!$A$4:$A$43,OUTLINE!$G$4:$G$43,A15),""))</x:f>
      </x:c>
      <x:c r="K15" s="114" t="str">
        <x:f>IF(A15="","",SUMIF(OUTLINE!$G$4:$G$43,A15,OUTLINE!$D$4:$D$43))</x:f>
      </x:c>
      <x:c r="L15" s="117" t="n">
        <x:f>IF(OR(A15="",K15=0),0,SUMIFS(OUTLINE!$D$4:$D$43,OUTLINE!$G$4:$G$43,A15,OUTLINE!$E$4:$E$43,"Exercise / Practice")/K15)</x:f>
        <x:v>0</x:v>
      </x:c>
      <x:c r="M15" s="117" t="n">
        <x:f>IF(A15="",0,IF(F15&gt;0,1,0))</x:f>
        <x:v>0</x:v>
      </x:c>
      <x:c r="N15" s="118"/>
      <x:c r="O15" s="83"/>
      <x:c r="P15" s="83"/>
      <x:c r="Q15" s="83"/>
      <x:c r="R15" s="83"/>
    </x:row>
    <x:row r="16">
      <x:c r="A16" s="83"/>
      <x:c r="B16" s="83"/>
      <x:c r="C16" s="83"/>
      <x:c r="D16" s="83"/>
      <x:c r="E16" s="83"/>
      <x:c r="F16" s="83"/>
      <x:c r="G16" s="83"/>
      <x:c r="H16" s="83"/>
      <x:c r="I16" s="83"/>
      <x:c r="J16" s="83"/>
      <x:c r="K16" s="83"/>
      <x:c r="L16" s="83"/>
      <x:c r="M16" s="83"/>
      <x:c r="N16" s="83"/>
      <x:c r="O16" s="83"/>
      <x:c r="P16" s="83"/>
      <x:c r="Q16" s="83"/>
      <x:c r="R16" s="83"/>
    </x:row>
    <x:row r="17">
      <x:c r="A17" s="83"/>
      <x:c r="B17" s="83"/>
      <x:c r="C17" s="83"/>
      <x:c r="D17" s="83"/>
      <x:c r="E17" s="83"/>
      <x:c r="F17" s="83"/>
      <x:c r="G17" s="83"/>
      <x:c r="H17" s="83"/>
      <x:c r="I17" s="83"/>
      <x:c r="J17" s="83"/>
      <x:c r="K17" s="83"/>
      <x:c r="L17" s="83"/>
      <x:c r="M17" s="83"/>
      <x:c r="N17" s="83"/>
      <x:c r="O17" s="83"/>
      <x:c r="P17" s="83"/>
      <x:c r="Q17" s="83"/>
      <x:c r="R17" s="83"/>
    </x:row>
    <x:row r="18">
      <x:c r="A18" s="83"/>
      <x:c r="B18" s="83"/>
      <x:c r="C18" s="83"/>
      <x:c r="D18" s="83"/>
      <x:c r="E18" s="83"/>
      <x:c r="F18" s="83"/>
      <x:c r="G18" s="83"/>
      <x:c r="H18" s="83"/>
      <x:c r="I18" s="83"/>
      <x:c r="J18" s="83"/>
      <x:c r="K18" s="83"/>
      <x:c r="L18" s="83"/>
      <x:c r="M18" s="83"/>
      <x:c r="N18" s="83"/>
      <x:c r="O18" s="83"/>
      <x:c r="P18" s="83"/>
      <x:c r="Q18" s="83"/>
      <x:c r="R18" s="83"/>
    </x:row>
    <x:row r="19">
      <x:c r="A19" s="83"/>
      <x:c r="B19" s="83"/>
      <x:c r="C19" s="83"/>
      <x:c r="D19" s="83"/>
      <x:c r="E19" s="83"/>
      <x:c r="F19" s="83"/>
      <x:c r="G19" s="83"/>
      <x:c r="H19" s="83"/>
      <x:c r="I19" s="83"/>
      <x:c r="J19" s="83"/>
      <x:c r="K19" s="83"/>
      <x:c r="L19" s="83"/>
      <x:c r="M19" s="83"/>
      <x:c r="N19" s="83"/>
      <x:c r="O19" s="83"/>
      <x:c r="P19" s="83"/>
      <x:c r="Q19" s="83"/>
      <x:c r="R19" s="83"/>
    </x:row>
    <x:row r="20">
      <x:c r="A20" s="83"/>
      <x:c r="B20" s="83"/>
      <x:c r="C20" s="83"/>
      <x:c r="D20" s="83"/>
      <x:c r="E20" s="83"/>
      <x:c r="F20" s="83"/>
      <x:c r="G20" s="83"/>
      <x:c r="H20" s="83"/>
      <x:c r="I20" s="83"/>
      <x:c r="J20" s="83"/>
      <x:c r="K20" s="83"/>
      <x:c r="L20" s="83"/>
      <x:c r="M20" s="83"/>
      <x:c r="N20" s="83"/>
      <x:c r="O20" s="83"/>
      <x:c r="P20" s="83"/>
      <x:c r="Q20" s="83"/>
      <x:c r="R20" s="83"/>
    </x:row>
    <x:row r="21">
      <x:c r="A21" s="83"/>
      <x:c r="B21" s="83"/>
      <x:c r="C21" s="83"/>
      <x:c r="D21" s="83"/>
      <x:c r="E21" s="83"/>
      <x:c r="F21" s="83"/>
      <x:c r="G21" s="83"/>
      <x:c r="H21" s="83"/>
      <x:c r="I21" s="83"/>
      <x:c r="J21" s="83"/>
      <x:c r="K21" s="83"/>
      <x:c r="L21" s="83"/>
      <x:c r="M21" s="83"/>
      <x:c r="N21" s="83"/>
      <x:c r="O21" s="83"/>
      <x:c r="P21" s="83"/>
      <x:c r="Q21" s="83"/>
      <x:c r="R21" s="83"/>
    </x:row>
    <x:row r="22">
      <x:c r="A22" s="83"/>
      <x:c r="B22" s="83"/>
      <x:c r="C22" s="83"/>
      <x:c r="D22" s="83"/>
      <x:c r="E22" s="83"/>
      <x:c r="F22" s="83"/>
      <x:c r="G22" s="83"/>
      <x:c r="H22" s="83"/>
      <x:c r="I22" s="83"/>
      <x:c r="J22" s="83"/>
      <x:c r="K22" s="83"/>
      <x:c r="L22" s="83"/>
      <x:c r="M22" s="83"/>
      <x:c r="N22" s="83"/>
      <x:c r="O22" s="83"/>
      <x:c r="P22" s="83"/>
      <x:c r="Q22" s="83"/>
      <x:c r="R22" s="83"/>
    </x:row>
    <x:row r="23">
      <x:c r="A23" s="83"/>
      <x:c r="B23" s="83"/>
      <x:c r="C23" s="83"/>
      <x:c r="D23" s="83"/>
      <x:c r="E23" s="83"/>
      <x:c r="F23" s="83"/>
      <x:c r="G23" s="83"/>
      <x:c r="H23" s="83"/>
      <x:c r="I23" s="83"/>
      <x:c r="J23" s="83"/>
      <x:c r="K23" s="83"/>
      <x:c r="L23" s="83"/>
      <x:c r="M23" s="83"/>
      <x:c r="N23" s="83"/>
      <x:c r="O23" s="83"/>
      <x:c r="P23" s="83"/>
      <x:c r="Q23" s="83"/>
      <x:c r="R23" s="83"/>
    </x:row>
    <x:row r="24">
      <x:c r="A24" s="83"/>
      <x:c r="B24" s="83"/>
      <x:c r="C24" s="83"/>
      <x:c r="D24" s="83"/>
      <x:c r="E24" s="83"/>
      <x:c r="F24" s="83"/>
      <x:c r="G24" s="83"/>
      <x:c r="H24" s="83"/>
      <x:c r="I24" s="83"/>
      <x:c r="J24" s="83"/>
      <x:c r="K24" s="83"/>
      <x:c r="L24" s="83"/>
      <x:c r="M24" s="83"/>
      <x:c r="N24" s="83"/>
      <x:c r="O24" s="83"/>
      <x:c r="P24" s="83"/>
      <x:c r="Q24" s="83"/>
      <x:c r="R24" s="83"/>
    </x:row>
    <x:row r="25">
      <x:c r="A25" s="83"/>
      <x:c r="B25" s="83"/>
      <x:c r="C25" s="83"/>
      <x:c r="D25" s="83"/>
      <x:c r="E25" s="83"/>
      <x:c r="F25" s="83"/>
      <x:c r="G25" s="83"/>
      <x:c r="H25" s="83"/>
      <x:c r="I25" s="83"/>
      <x:c r="J25" s="83"/>
      <x:c r="K25" s="83"/>
      <x:c r="L25" s="83"/>
      <x:c r="M25" s="83"/>
      <x:c r="N25" s="83"/>
      <x:c r="O25" s="83"/>
      <x:c r="P25" s="83"/>
      <x:c r="Q25" s="83"/>
      <x:c r="R25" s="83"/>
    </x:row>
    <x:row r="26">
      <x:c r="A26" s="83"/>
      <x:c r="B26" s="83"/>
      <x:c r="C26" s="83"/>
      <x:c r="D26" s="83"/>
      <x:c r="E26" s="83"/>
      <x:c r="F26" s="83"/>
      <x:c r="G26" s="83"/>
      <x:c r="H26" s="83"/>
      <x:c r="I26" s="83"/>
      <x:c r="J26" s="83"/>
      <x:c r="K26" s="83"/>
      <x:c r="L26" s="83"/>
      <x:c r="M26" s="83"/>
      <x:c r="N26" s="83"/>
      <x:c r="O26" s="83"/>
      <x:c r="P26" s="83"/>
      <x:c r="Q26" s="83"/>
      <x:c r="R26" s="83"/>
    </x:row>
    <x:row r="27">
      <x:c r="A27" s="83"/>
      <x:c r="B27" s="83"/>
      <x:c r="C27" s="83"/>
      <x:c r="D27" s="83"/>
      <x:c r="E27" s="83"/>
      <x:c r="F27" s="83"/>
      <x:c r="G27" s="83"/>
      <x:c r="H27" s="83"/>
      <x:c r="I27" s="83"/>
      <x:c r="J27" s="83"/>
      <x:c r="K27" s="83"/>
      <x:c r="L27" s="83"/>
      <x:c r="M27" s="83"/>
      <x:c r="N27" s="83"/>
      <x:c r="O27" s="83"/>
      <x:c r="P27" s="83"/>
      <x:c r="Q27" s="83"/>
      <x:c r="R27" s="83"/>
    </x:row>
    <x:row r="28">
      <x:c r="A28" s="83"/>
      <x:c r="B28" s="83"/>
      <x:c r="C28" s="83"/>
      <x:c r="D28" s="83"/>
      <x:c r="E28" s="83"/>
      <x:c r="F28" s="83"/>
      <x:c r="G28" s="83"/>
      <x:c r="H28" s="83"/>
      <x:c r="I28" s="83"/>
      <x:c r="J28" s="83"/>
      <x:c r="K28" s="83"/>
      <x:c r="L28" s="83"/>
      <x:c r="M28" s="83"/>
      <x:c r="N28" s="83"/>
      <x:c r="O28" s="83"/>
      <x:c r="P28" s="83"/>
      <x:c r="Q28" s="83"/>
      <x:c r="R28" s="83"/>
    </x:row>
    <x:row r="29">
      <x:c r="A29" s="83"/>
      <x:c r="B29" s="83"/>
      <x:c r="C29" s="83"/>
      <x:c r="D29" s="83"/>
      <x:c r="E29" s="83"/>
      <x:c r="F29" s="83"/>
      <x:c r="G29" s="83"/>
      <x:c r="H29" s="83"/>
      <x:c r="I29" s="83"/>
      <x:c r="J29" s="83"/>
      <x:c r="K29" s="83"/>
      <x:c r="L29" s="83"/>
      <x:c r="M29" s="83"/>
      <x:c r="N29" s="83"/>
      <x:c r="O29" s="83"/>
      <x:c r="P29" s="83"/>
      <x:c r="Q29" s="83"/>
      <x:c r="R29" s="83"/>
    </x:row>
    <x:row r="30">
      <x:c r="A30" s="83"/>
      <x:c r="B30" s="83"/>
      <x:c r="C30" s="83"/>
      <x:c r="D30" s="83"/>
      <x:c r="E30" s="83"/>
      <x:c r="F30" s="83"/>
      <x:c r="G30" s="83"/>
      <x:c r="H30" s="83"/>
      <x:c r="I30" s="83"/>
      <x:c r="J30" s="83"/>
      <x:c r="K30" s="83"/>
      <x:c r="L30" s="83"/>
      <x:c r="M30" s="83"/>
      <x:c r="N30" s="83"/>
      <x:c r="O30" s="83"/>
      <x:c r="P30" s="83"/>
      <x:c r="Q30" s="83"/>
      <x:c r="R30" s="83"/>
    </x:row>
    <x:row r="31">
      <x:c r="A31" s="83"/>
      <x:c r="B31" s="83"/>
      <x:c r="C31" s="83"/>
      <x:c r="D31" s="83"/>
      <x:c r="E31" s="83"/>
      <x:c r="F31" s="83"/>
      <x:c r="G31" s="83"/>
      <x:c r="H31" s="83"/>
      <x:c r="I31" s="83"/>
      <x:c r="J31" s="83"/>
      <x:c r="K31" s="83"/>
      <x:c r="L31" s="83"/>
      <x:c r="M31" s="83"/>
      <x:c r="N31" s="83"/>
      <x:c r="O31" s="83"/>
      <x:c r="P31" s="83"/>
      <x:c r="Q31" s="83"/>
      <x:c r="R31" s="83"/>
    </x:row>
    <x:row r="32">
      <x:c r="A32" s="83"/>
      <x:c r="B32" s="83"/>
      <x:c r="C32" s="83"/>
      <x:c r="D32" s="83"/>
      <x:c r="E32" s="83"/>
      <x:c r="F32" s="83"/>
      <x:c r="G32" s="83"/>
      <x:c r="H32" s="83"/>
      <x:c r="I32" s="83"/>
      <x:c r="J32" s="83"/>
      <x:c r="K32" s="83"/>
      <x:c r="L32" s="83"/>
      <x:c r="M32" s="83"/>
      <x:c r="N32" s="83"/>
      <x:c r="O32" s="83"/>
      <x:c r="P32" s="83"/>
      <x:c r="Q32" s="83"/>
      <x:c r="R32" s="83"/>
    </x:row>
    <x:row r="33">
      <x:c r="A33" s="83"/>
      <x:c r="B33" s="83"/>
      <x:c r="C33" s="83"/>
      <x:c r="D33" s="83"/>
      <x:c r="E33" s="83"/>
      <x:c r="F33" s="83"/>
      <x:c r="G33" s="83"/>
      <x:c r="H33" s="83"/>
      <x:c r="I33" s="83"/>
      <x:c r="J33" s="83"/>
      <x:c r="K33" s="83"/>
      <x:c r="L33" s="83"/>
      <x:c r="M33" s="83"/>
      <x:c r="N33" s="83"/>
      <x:c r="O33" s="83"/>
      <x:c r="P33" s="83"/>
      <x:c r="Q33" s="83"/>
      <x:c r="R33" s="83"/>
    </x:row>
    <x:row r="34">
      <x:c r="A34" s="83"/>
      <x:c r="B34" s="83"/>
      <x:c r="C34" s="83"/>
      <x:c r="D34" s="83"/>
      <x:c r="E34" s="83"/>
      <x:c r="F34" s="83"/>
      <x:c r="G34" s="83"/>
      <x:c r="H34" s="83"/>
      <x:c r="I34" s="83"/>
      <x:c r="J34" s="83"/>
      <x:c r="K34" s="83"/>
      <x:c r="L34" s="83"/>
      <x:c r="M34" s="83"/>
      <x:c r="N34" s="83"/>
      <x:c r="O34" s="83"/>
      <x:c r="P34" s="83"/>
      <x:c r="Q34" s="83"/>
      <x:c r="R34" s="83"/>
    </x:row>
    <x:row r="35">
      <x:c r="A35" s="83"/>
      <x:c r="B35" s="83"/>
      <x:c r="C35" s="83"/>
      <x:c r="D35" s="83"/>
      <x:c r="E35" s="83"/>
      <x:c r="F35" s="83"/>
      <x:c r="G35" s="83"/>
      <x:c r="H35" s="83"/>
      <x:c r="I35" s="83"/>
      <x:c r="J35" s="83"/>
      <x:c r="K35" s="83"/>
      <x:c r="L35" s="83"/>
      <x:c r="M35" s="83"/>
      <x:c r="N35" s="83"/>
      <x:c r="O35" s="83"/>
      <x:c r="P35" s="83"/>
      <x:c r="Q35" s="83"/>
      <x:c r="R35" s="83"/>
    </x:row>
    <x:row r="36">
      <x:c r="A36" s="83"/>
      <x:c r="B36" s="83"/>
      <x:c r="C36" s="83"/>
      <x:c r="D36" s="83"/>
      <x:c r="E36" s="83"/>
      <x:c r="F36" s="83"/>
      <x:c r="G36" s="83"/>
      <x:c r="H36" s="83"/>
      <x:c r="I36" s="83"/>
      <x:c r="J36" s="83"/>
      <x:c r="K36" s="83"/>
      <x:c r="L36" s="83"/>
      <x:c r="M36" s="83"/>
      <x:c r="N36" s="83"/>
      <x:c r="O36" s="83"/>
      <x:c r="P36" s="83"/>
      <x:c r="Q36" s="83"/>
      <x:c r="R36" s="83"/>
    </x:row>
    <x:row r="37">
      <x:c r="A37" s="83"/>
      <x:c r="B37" s="83"/>
      <x:c r="C37" s="83"/>
      <x:c r="D37" s="83"/>
      <x:c r="E37" s="83"/>
      <x:c r="F37" s="83"/>
      <x:c r="G37" s="83"/>
      <x:c r="H37" s="83"/>
      <x:c r="I37" s="83"/>
      <x:c r="J37" s="83"/>
      <x:c r="K37" s="83"/>
      <x:c r="L37" s="83"/>
      <x:c r="M37" s="83"/>
      <x:c r="N37" s="83"/>
      <x:c r="O37" s="83"/>
      <x:c r="P37" s="83"/>
      <x:c r="Q37" s="83"/>
      <x:c r="R37" s="83"/>
    </x:row>
    <x:row r="38">
      <x:c r="A38" s="83"/>
      <x:c r="B38" s="83"/>
      <x:c r="C38" s="83"/>
      <x:c r="D38" s="83"/>
      <x:c r="E38" s="83"/>
      <x:c r="F38" s="83"/>
      <x:c r="G38" s="83"/>
      <x:c r="H38" s="83"/>
      <x:c r="I38" s="83"/>
      <x:c r="J38" s="83"/>
      <x:c r="K38" s="83"/>
      <x:c r="L38" s="83"/>
      <x:c r="M38" s="83"/>
      <x:c r="N38" s="83"/>
      <x:c r="O38" s="83"/>
      <x:c r="P38" s="83"/>
      <x:c r="Q38" s="83"/>
      <x:c r="R38" s="83"/>
    </x:row>
    <x:row r="39">
      <x:c r="A39" s="83"/>
      <x:c r="B39" s="83"/>
      <x:c r="C39" s="83"/>
      <x:c r="D39" s="83"/>
      <x:c r="E39" s="83"/>
      <x:c r="F39" s="83"/>
      <x:c r="G39" s="83"/>
      <x:c r="H39" s="83"/>
      <x:c r="I39" s="83"/>
      <x:c r="J39" s="83"/>
      <x:c r="K39" s="83"/>
      <x:c r="L39" s="83"/>
      <x:c r="M39" s="83"/>
      <x:c r="N39" s="83"/>
      <x:c r="O39" s="83"/>
      <x:c r="P39" s="83"/>
      <x:c r="Q39" s="83"/>
      <x:c r="R39" s="83"/>
    </x:row>
    <x:row r="40">
      <x:c r="A40" s="83"/>
      <x:c r="B40" s="83"/>
      <x:c r="C40" s="83"/>
      <x:c r="D40" s="83"/>
      <x:c r="E40" s="83"/>
      <x:c r="F40" s="83"/>
      <x:c r="G40" s="83"/>
      <x:c r="H40" s="83"/>
      <x:c r="I40" s="83"/>
      <x:c r="J40" s="83"/>
      <x:c r="K40" s="83"/>
      <x:c r="L40" s="83"/>
      <x:c r="M40" s="83"/>
      <x:c r="N40" s="83"/>
      <x:c r="O40" s="83"/>
      <x:c r="P40" s="83"/>
      <x:c r="Q40" s="83"/>
      <x:c r="R40" s="83"/>
    </x:row>
    <x:row r="41">
      <x:c r="A41" s="83"/>
      <x:c r="B41" s="83"/>
      <x:c r="C41" s="83"/>
      <x:c r="D41" s="83"/>
      <x:c r="E41" s="83"/>
      <x:c r="F41" s="83"/>
      <x:c r="G41" s="83"/>
      <x:c r="H41" s="83"/>
      <x:c r="I41" s="83"/>
      <x:c r="J41" s="83"/>
      <x:c r="K41" s="83"/>
      <x:c r="L41" s="83"/>
      <x:c r="M41" s="83"/>
      <x:c r="N41" s="83"/>
      <x:c r="O41" s="83"/>
      <x:c r="P41" s="83"/>
      <x:c r="Q41" s="83"/>
      <x:c r="R41" s="83"/>
    </x:row>
    <x:row r="42">
      <x:c r="A42" s="83"/>
      <x:c r="B42" s="83"/>
      <x:c r="C42" s="83"/>
      <x:c r="D42" s="83"/>
      <x:c r="E42" s="83"/>
      <x:c r="F42" s="83"/>
      <x:c r="G42" s="83"/>
      <x:c r="H42" s="83"/>
      <x:c r="I42" s="83"/>
      <x:c r="J42" s="83"/>
      <x:c r="K42" s="83"/>
      <x:c r="L42" s="83"/>
      <x:c r="M42" s="83"/>
      <x:c r="N42" s="83"/>
      <x:c r="O42" s="83"/>
      <x:c r="P42" s="83"/>
      <x:c r="Q42" s="83"/>
      <x:c r="R42" s="83"/>
    </x:row>
    <x:row r="43">
      <x:c r="A43" s="83"/>
      <x:c r="B43" s="83"/>
      <x:c r="C43" s="83"/>
      <x:c r="D43" s="83"/>
      <x:c r="E43" s="83"/>
      <x:c r="F43" s="83"/>
      <x:c r="G43" s="83"/>
      <x:c r="H43" s="83"/>
      <x:c r="I43" s="83"/>
      <x:c r="J43" s="83"/>
      <x:c r="K43" s="83"/>
      <x:c r="L43" s="83"/>
      <x:c r="M43" s="83"/>
      <x:c r="N43" s="83"/>
      <x:c r="O43" s="83"/>
      <x:c r="P43" s="83"/>
      <x:c r="Q43" s="83"/>
      <x:c r="R43" s="83"/>
    </x:row>
    <x:row r="44">
      <x:c r="A44" s="83"/>
      <x:c r="B44" s="83"/>
      <x:c r="C44" s="83"/>
      <x:c r="D44" s="83"/>
      <x:c r="E44" s="83"/>
      <x:c r="F44" s="83"/>
      <x:c r="G44" s="83"/>
      <x:c r="H44" s="83"/>
      <x:c r="I44" s="83"/>
      <x:c r="J44" s="83"/>
      <x:c r="K44" s="83"/>
      <x:c r="L44" s="83"/>
      <x:c r="M44" s="83"/>
      <x:c r="N44" s="83"/>
      <x:c r="O44" s="83"/>
      <x:c r="P44" s="83"/>
      <x:c r="Q44" s="83"/>
      <x:c r="R44" s="83"/>
    </x:row>
    <x:row r="45">
      <x:c r="A45" s="83"/>
      <x:c r="B45" s="83"/>
      <x:c r="C45" s="83"/>
      <x:c r="D45" s="83"/>
      <x:c r="E45" s="83"/>
      <x:c r="F45" s="83"/>
      <x:c r="G45" s="83"/>
      <x:c r="H45" s="83"/>
      <x:c r="I45" s="83"/>
      <x:c r="J45" s="83"/>
      <x:c r="K45" s="83"/>
      <x:c r="L45" s="83"/>
      <x:c r="M45" s="83"/>
      <x:c r="N45" s="83"/>
      <x:c r="O45" s="83"/>
      <x:c r="P45" s="83"/>
      <x:c r="Q45" s="83"/>
      <x:c r="R45" s="83"/>
    </x:row>
    <x:row r="46">
      <x:c r="A46" s="83"/>
      <x:c r="B46" s="83"/>
      <x:c r="C46" s="83"/>
      <x:c r="D46" s="83"/>
      <x:c r="E46" s="83"/>
      <x:c r="F46" s="83"/>
      <x:c r="G46" s="83"/>
      <x:c r="H46" s="83"/>
      <x:c r="I46" s="83"/>
      <x:c r="J46" s="83"/>
      <x:c r="K46" s="83"/>
      <x:c r="L46" s="83"/>
      <x:c r="M46" s="83"/>
      <x:c r="N46" s="83"/>
      <x:c r="O46" s="83"/>
      <x:c r="P46" s="83"/>
      <x:c r="Q46" s="83"/>
      <x:c r="R46" s="83"/>
    </x:row>
    <x:row r="47">
      <x:c r="A47" s="83"/>
      <x:c r="B47" s="83"/>
      <x:c r="C47" s="83"/>
      <x:c r="D47" s="83"/>
      <x:c r="E47" s="83"/>
      <x:c r="F47" s="83"/>
      <x:c r="G47" s="83"/>
      <x:c r="H47" s="83"/>
      <x:c r="I47" s="83"/>
      <x:c r="J47" s="83"/>
      <x:c r="K47" s="83"/>
      <x:c r="L47" s="83"/>
      <x:c r="M47" s="83"/>
      <x:c r="N47" s="83"/>
      <x:c r="O47" s="83"/>
      <x:c r="P47" s="83"/>
      <x:c r="Q47" s="83"/>
      <x:c r="R47" s="83"/>
    </x:row>
    <x:row r="48">
      <x:c r="A48" s="83"/>
      <x:c r="B48" s="83"/>
      <x:c r="C48" s="83"/>
      <x:c r="D48" s="83"/>
      <x:c r="E48" s="83"/>
      <x:c r="F48" s="83"/>
      <x:c r="G48" s="83"/>
      <x:c r="H48" s="83"/>
      <x:c r="I48" s="83"/>
      <x:c r="J48" s="83"/>
      <x:c r="K48" s="83"/>
      <x:c r="L48" s="83"/>
      <x:c r="M48" s="83"/>
      <x:c r="N48" s="83"/>
      <x:c r="O48" s="83"/>
      <x:c r="P48" s="83"/>
      <x:c r="Q48" s="83"/>
      <x:c r="R48" s="83"/>
    </x:row>
    <x:row r="49">
      <x:c r="A49" s="83"/>
      <x:c r="B49" s="83"/>
      <x:c r="C49" s="83"/>
      <x:c r="D49" s="83"/>
      <x:c r="E49" s="83"/>
      <x:c r="F49" s="83"/>
      <x:c r="G49" s="83"/>
      <x:c r="H49" s="83"/>
      <x:c r="I49" s="83"/>
      <x:c r="J49" s="83"/>
      <x:c r="K49" s="83"/>
      <x:c r="L49" s="83"/>
      <x:c r="M49" s="83"/>
      <x:c r="N49" s="83"/>
      <x:c r="O49" s="83"/>
      <x:c r="P49" s="83"/>
      <x:c r="Q49" s="83"/>
      <x:c r="R49" s="83"/>
    </x:row>
    <x:row r="50">
      <x:c r="A50" s="83"/>
      <x:c r="B50" s="83"/>
      <x:c r="C50" s="83"/>
      <x:c r="D50" s="83"/>
      <x:c r="E50" s="83"/>
      <x:c r="F50" s="83"/>
      <x:c r="G50" s="83"/>
      <x:c r="H50" s="83"/>
      <x:c r="I50" s="83"/>
      <x:c r="J50" s="83"/>
      <x:c r="K50" s="83"/>
      <x:c r="L50" s="83"/>
      <x:c r="M50" s="83"/>
      <x:c r="N50" s="83"/>
      <x:c r="O50" s="83"/>
      <x:c r="P50" s="83"/>
      <x:c r="Q50" s="83"/>
      <x:c r="R50" s="83"/>
    </x:row>
    <x:row r="51">
      <x:c r="A51" s="83"/>
      <x:c r="B51" s="83"/>
      <x:c r="C51" s="83"/>
      <x:c r="D51" s="83"/>
      <x:c r="E51" s="83"/>
      <x:c r="F51" s="83"/>
      <x:c r="G51" s="83"/>
      <x:c r="H51" s="83"/>
      <x:c r="I51" s="83"/>
      <x:c r="J51" s="83"/>
      <x:c r="K51" s="83"/>
      <x:c r="L51" s="83"/>
      <x:c r="M51" s="83"/>
      <x:c r="N51" s="83"/>
      <x:c r="O51" s="83"/>
      <x:c r="P51" s="83"/>
      <x:c r="Q51" s="83"/>
      <x:c r="R51" s="83"/>
    </x:row>
    <x:row r="52">
      <x:c r="A52" s="83"/>
      <x:c r="B52" s="83"/>
      <x:c r="C52" s="83"/>
      <x:c r="D52" s="83"/>
      <x:c r="E52" s="83"/>
      <x:c r="F52" s="83"/>
      <x:c r="G52" s="83"/>
      <x:c r="H52" s="83"/>
      <x:c r="I52" s="83"/>
      <x:c r="J52" s="83"/>
      <x:c r="K52" s="83"/>
      <x:c r="L52" s="83"/>
      <x:c r="M52" s="83"/>
      <x:c r="N52" s="83"/>
      <x:c r="O52" s="83"/>
      <x:c r="P52" s="83"/>
      <x:c r="Q52" s="83"/>
      <x:c r="R52" s="83"/>
    </x:row>
    <x:row r="53">
      <x:c r="A53" s="83"/>
      <x:c r="B53" s="83"/>
      <x:c r="C53" s="83"/>
      <x:c r="D53" s="83"/>
      <x:c r="E53" s="83"/>
      <x:c r="F53" s="83"/>
      <x:c r="G53" s="83"/>
      <x:c r="H53" s="83"/>
      <x:c r="I53" s="83"/>
      <x:c r="J53" s="83"/>
      <x:c r="K53" s="83"/>
      <x:c r="L53" s="83"/>
      <x:c r="M53" s="83"/>
      <x:c r="N53" s="83"/>
      <x:c r="O53" s="83"/>
      <x:c r="P53" s="83"/>
      <x:c r="Q53" s="83"/>
      <x:c r="R53" s="83"/>
    </x:row>
    <x:row r="54">
      <x:c r="A54" s="83"/>
      <x:c r="B54" s="83"/>
      <x:c r="C54" s="83"/>
      <x:c r="D54" s="83"/>
      <x:c r="E54" s="83"/>
      <x:c r="F54" s="83"/>
      <x:c r="G54" s="83"/>
      <x:c r="H54" s="83"/>
      <x:c r="I54" s="83"/>
      <x:c r="J54" s="83"/>
      <x:c r="K54" s="83"/>
      <x:c r="L54" s="83"/>
      <x:c r="M54" s="83"/>
      <x:c r="N54" s="83"/>
      <x:c r="O54" s="83"/>
      <x:c r="P54" s="83"/>
      <x:c r="Q54" s="83"/>
      <x:c r="R54" s="83"/>
    </x:row>
    <x:row r="55">
      <x:c r="A55" s="83"/>
      <x:c r="B55" s="83"/>
      <x:c r="C55" s="83"/>
      <x:c r="D55" s="83"/>
      <x:c r="E55" s="83"/>
      <x:c r="F55" s="83"/>
      <x:c r="G55" s="83"/>
      <x:c r="H55" s="83"/>
      <x:c r="I55" s="83"/>
      <x:c r="J55" s="83"/>
      <x:c r="K55" s="83"/>
      <x:c r="L55" s="83"/>
      <x:c r="M55" s="83"/>
      <x:c r="N55" s="83"/>
      <x:c r="O55" s="83"/>
      <x:c r="P55" s="83"/>
      <x:c r="Q55" s="83"/>
      <x:c r="R55" s="83"/>
    </x:row>
    <x:row r="56">
      <x:c r="A56" s="83"/>
      <x:c r="B56" s="83"/>
      <x:c r="C56" s="83"/>
      <x:c r="D56" s="83"/>
      <x:c r="E56" s="83"/>
      <x:c r="F56" s="83"/>
      <x:c r="G56" s="83"/>
      <x:c r="H56" s="83"/>
      <x:c r="I56" s="83"/>
      <x:c r="J56" s="83"/>
      <x:c r="K56" s="83"/>
      <x:c r="L56" s="83"/>
      <x:c r="M56" s="83"/>
      <x:c r="N56" s="83"/>
      <x:c r="O56" s="83"/>
      <x:c r="P56" s="83"/>
      <x:c r="Q56" s="83"/>
      <x:c r="R56" s="83"/>
    </x:row>
    <x:row r="57">
      <x:c r="A57" s="83"/>
      <x:c r="B57" s="83"/>
      <x:c r="C57" s="83"/>
      <x:c r="D57" s="83"/>
      <x:c r="E57" s="83"/>
      <x:c r="F57" s="83"/>
      <x:c r="G57" s="83"/>
      <x:c r="H57" s="83"/>
      <x:c r="I57" s="83"/>
      <x:c r="J57" s="83"/>
      <x:c r="K57" s="83"/>
      <x:c r="L57" s="83"/>
      <x:c r="M57" s="83"/>
      <x:c r="N57" s="83"/>
      <x:c r="O57" s="83"/>
      <x:c r="P57" s="83"/>
      <x:c r="Q57" s="83"/>
      <x:c r="R57" s="83"/>
    </x:row>
    <x:row r="58">
      <x:c r="A58" s="83"/>
      <x:c r="B58" s="83"/>
      <x:c r="C58" s="83"/>
      <x:c r="D58" s="83"/>
      <x:c r="E58" s="83"/>
      <x:c r="F58" s="83"/>
      <x:c r="G58" s="83"/>
      <x:c r="H58" s="83"/>
      <x:c r="I58" s="83"/>
      <x:c r="J58" s="83"/>
      <x:c r="K58" s="83"/>
      <x:c r="L58" s="83"/>
      <x:c r="M58" s="83"/>
      <x:c r="N58" s="83"/>
      <x:c r="O58" s="83"/>
      <x:c r="P58" s="83"/>
      <x:c r="Q58" s="83"/>
      <x:c r="R58" s="83"/>
    </x:row>
    <x:row r="59">
      <x:c r="A59" s="83"/>
      <x:c r="B59" s="83"/>
      <x:c r="C59" s="83"/>
      <x:c r="D59" s="83"/>
      <x:c r="E59" s="83"/>
      <x:c r="F59" s="83"/>
      <x:c r="G59" s="83"/>
      <x:c r="H59" s="83"/>
      <x:c r="I59" s="83"/>
      <x:c r="J59" s="83"/>
      <x:c r="K59" s="83"/>
      <x:c r="L59" s="83"/>
      <x:c r="M59" s="83"/>
      <x:c r="N59" s="83"/>
      <x:c r="O59" s="83"/>
      <x:c r="P59" s="83"/>
      <x:c r="Q59" s="83"/>
      <x:c r="R59" s="83"/>
    </x:row>
    <x:row r="60">
      <x:c r="A60" s="83"/>
      <x:c r="B60" s="83"/>
      <x:c r="C60" s="83"/>
      <x:c r="D60" s="83"/>
      <x:c r="E60" s="83"/>
      <x:c r="F60" s="83"/>
      <x:c r="G60" s="83"/>
      <x:c r="H60" s="83"/>
      <x:c r="I60" s="83"/>
      <x:c r="J60" s="83"/>
      <x:c r="K60" s="83"/>
      <x:c r="L60" s="83"/>
      <x:c r="M60" s="83"/>
      <x:c r="N60" s="83"/>
      <x:c r="O60" s="83"/>
      <x:c r="P60" s="83"/>
      <x:c r="Q60" s="83"/>
      <x:c r="R60" s="83"/>
    </x:row>
    <x:row r="61">
      <x:c r="A61" s="83"/>
      <x:c r="B61" s="83"/>
      <x:c r="C61" s="83"/>
      <x:c r="D61" s="83"/>
      <x:c r="E61" s="83"/>
      <x:c r="F61" s="83"/>
      <x:c r="G61" s="83"/>
      <x:c r="H61" s="83"/>
      <x:c r="I61" s="83"/>
      <x:c r="J61" s="83"/>
      <x:c r="K61" s="83"/>
      <x:c r="L61" s="83"/>
      <x:c r="M61" s="83"/>
      <x:c r="N61" s="83"/>
      <x:c r="O61" s="83"/>
      <x:c r="P61" s="83"/>
      <x:c r="Q61" s="83"/>
      <x:c r="R61" s="83"/>
    </x:row>
    <x:row r="62">
      <x:c r="A62" s="83"/>
      <x:c r="B62" s="83"/>
      <x:c r="C62" s="83"/>
      <x:c r="D62" s="83"/>
      <x:c r="E62" s="83"/>
      <x:c r="F62" s="83"/>
      <x:c r="G62" s="83"/>
      <x:c r="H62" s="83"/>
      <x:c r="I62" s="83"/>
      <x:c r="J62" s="83"/>
      <x:c r="K62" s="83"/>
      <x:c r="L62" s="83"/>
      <x:c r="M62" s="83"/>
      <x:c r="N62" s="83"/>
      <x:c r="O62" s="83"/>
      <x:c r="P62" s="83"/>
      <x:c r="Q62" s="83"/>
      <x:c r="R62" s="83"/>
    </x:row>
    <x:row r="63">
      <x:c r="A63" s="83"/>
      <x:c r="B63" s="83"/>
      <x:c r="C63" s="83"/>
      <x:c r="D63" s="83"/>
      <x:c r="E63" s="83"/>
      <x:c r="F63" s="83"/>
      <x:c r="G63" s="83"/>
      <x:c r="H63" s="83"/>
      <x:c r="I63" s="83"/>
      <x:c r="J63" s="83"/>
      <x:c r="K63" s="83"/>
      <x:c r="L63" s="83"/>
      <x:c r="M63" s="83"/>
      <x:c r="N63" s="83"/>
      <x:c r="O63" s="83"/>
      <x:c r="P63" s="83"/>
      <x:c r="Q63" s="83"/>
      <x:c r="R63" s="83"/>
    </x:row>
    <x:row r="64">
      <x:c r="A64" s="83"/>
      <x:c r="B64" s="83"/>
      <x:c r="C64" s="83"/>
      <x:c r="D64" s="83"/>
      <x:c r="E64" s="83"/>
      <x:c r="F64" s="83"/>
      <x:c r="G64" s="83"/>
      <x:c r="H64" s="83"/>
      <x:c r="I64" s="83"/>
      <x:c r="J64" s="83"/>
      <x:c r="K64" s="83"/>
      <x:c r="L64" s="83"/>
      <x:c r="M64" s="83"/>
      <x:c r="N64" s="83"/>
      <x:c r="O64" s="83"/>
      <x:c r="P64" s="83"/>
      <x:c r="Q64" s="83"/>
      <x:c r="R64" s="83"/>
    </x:row>
    <x:row r="65">
      <x:c r="A65" s="83"/>
      <x:c r="B65" s="83"/>
      <x:c r="C65" s="83"/>
      <x:c r="D65" s="83"/>
      <x:c r="E65" s="83"/>
      <x:c r="F65" s="83"/>
      <x:c r="G65" s="83"/>
      <x:c r="H65" s="83"/>
      <x:c r="I65" s="83"/>
      <x:c r="J65" s="83"/>
      <x:c r="K65" s="83"/>
      <x:c r="L65" s="83"/>
      <x:c r="M65" s="83"/>
      <x:c r="N65" s="83"/>
      <x:c r="O65" s="83"/>
      <x:c r="P65" s="83"/>
      <x:c r="Q65" s="83"/>
      <x:c r="R65" s="83"/>
    </x:row>
    <x:row r="66">
      <x:c r="A66" s="83"/>
      <x:c r="B66" s="83"/>
      <x:c r="C66" s="83"/>
      <x:c r="D66" s="83"/>
      <x:c r="E66" s="83"/>
      <x:c r="F66" s="83"/>
      <x:c r="G66" s="83"/>
      <x:c r="H66" s="83"/>
      <x:c r="I66" s="83"/>
      <x:c r="J66" s="83"/>
      <x:c r="K66" s="83"/>
      <x:c r="L66" s="83"/>
      <x:c r="M66" s="83"/>
      <x:c r="N66" s="83"/>
      <x:c r="O66" s="83"/>
      <x:c r="P66" s="83"/>
      <x:c r="Q66" s="83"/>
      <x:c r="R66" s="83"/>
    </x:row>
    <x:row r="67">
      <x:c r="A67" s="83"/>
      <x:c r="B67" s="83"/>
      <x:c r="C67" s="83"/>
      <x:c r="D67" s="83"/>
      <x:c r="E67" s="83"/>
      <x:c r="F67" s="83"/>
      <x:c r="G67" s="83"/>
      <x:c r="H67" s="83"/>
      <x:c r="I67" s="83"/>
      <x:c r="J67" s="83"/>
      <x:c r="K67" s="83"/>
      <x:c r="L67" s="83"/>
      <x:c r="M67" s="83"/>
      <x:c r="N67" s="83"/>
      <x:c r="O67" s="83"/>
      <x:c r="P67" s="83"/>
      <x:c r="Q67" s="83"/>
      <x:c r="R67" s="83"/>
    </x:row>
    <x:row r="68">
      <x:c r="A68" s="83"/>
      <x:c r="B68" s="83"/>
      <x:c r="C68" s="83"/>
      <x:c r="D68" s="83"/>
      <x:c r="E68" s="83"/>
      <x:c r="F68" s="83"/>
      <x:c r="G68" s="83"/>
      <x:c r="H68" s="83"/>
      <x:c r="I68" s="83"/>
      <x:c r="J68" s="83"/>
      <x:c r="K68" s="83"/>
      <x:c r="L68" s="83"/>
      <x:c r="M68" s="83"/>
      <x:c r="N68" s="83"/>
      <x:c r="O68" s="83"/>
      <x:c r="P68" s="83"/>
      <x:c r="Q68" s="83"/>
      <x:c r="R68" s="83"/>
    </x:row>
    <x:row r="69">
      <x:c r="A69" s="83"/>
      <x:c r="B69" s="83"/>
      <x:c r="C69" s="83"/>
      <x:c r="D69" s="83"/>
      <x:c r="E69" s="83"/>
      <x:c r="F69" s="83"/>
      <x:c r="G69" s="83"/>
      <x:c r="H69" s="83"/>
      <x:c r="I69" s="83"/>
      <x:c r="J69" s="83"/>
      <x:c r="K69" s="83"/>
      <x:c r="L69" s="83"/>
      <x:c r="M69" s="83"/>
      <x:c r="N69" s="83"/>
      <x:c r="O69" s="83"/>
      <x:c r="P69" s="83"/>
      <x:c r="Q69" s="83"/>
      <x:c r="R69" s="83"/>
    </x:row>
    <x:row r="70">
      <x:c r="A70" s="83"/>
      <x:c r="B70" s="83"/>
      <x:c r="C70" s="83"/>
      <x:c r="D70" s="83"/>
      <x:c r="E70" s="83"/>
      <x:c r="F70" s="83"/>
      <x:c r="G70" s="83"/>
      <x:c r="H70" s="83"/>
      <x:c r="I70" s="83"/>
      <x:c r="J70" s="83"/>
      <x:c r="K70" s="83"/>
      <x:c r="L70" s="83"/>
      <x:c r="M70" s="83"/>
      <x:c r="N70" s="83"/>
      <x:c r="O70" s="83"/>
      <x:c r="P70" s="83"/>
      <x:c r="Q70" s="83"/>
      <x:c r="R70" s="83"/>
    </x:row>
    <x:row r="71">
      <x:c r="A71" s="83"/>
      <x:c r="B71" s="83"/>
      <x:c r="C71" s="83"/>
      <x:c r="D71" s="83"/>
      <x:c r="E71" s="83"/>
      <x:c r="F71" s="83"/>
      <x:c r="G71" s="83"/>
      <x:c r="H71" s="83"/>
      <x:c r="I71" s="83"/>
      <x:c r="J71" s="83"/>
      <x:c r="K71" s="83"/>
      <x:c r="L71" s="83"/>
      <x:c r="M71" s="83"/>
      <x:c r="N71" s="83"/>
      <x:c r="O71" s="83"/>
      <x:c r="P71" s="83"/>
      <x:c r="Q71" s="83"/>
      <x:c r="R71" s="83"/>
    </x:row>
    <x:row r="72">
      <x:c r="A72" s="83"/>
      <x:c r="B72" s="83"/>
      <x:c r="C72" s="83"/>
      <x:c r="D72" s="83"/>
      <x:c r="E72" s="83"/>
      <x:c r="F72" s="83"/>
      <x:c r="G72" s="83"/>
      <x:c r="H72" s="83"/>
      <x:c r="I72" s="83"/>
      <x:c r="J72" s="83"/>
      <x:c r="K72" s="83"/>
      <x:c r="L72" s="83"/>
      <x:c r="M72" s="83"/>
      <x:c r="N72" s="83"/>
      <x:c r="O72" s="83"/>
      <x:c r="P72" s="83"/>
      <x:c r="Q72" s="83"/>
      <x:c r="R72" s="83"/>
    </x:row>
    <x:row r="73">
      <x:c r="A73" s="83"/>
      <x:c r="B73" s="83"/>
      <x:c r="C73" s="83"/>
      <x:c r="D73" s="83"/>
      <x:c r="E73" s="83"/>
      <x:c r="F73" s="83"/>
      <x:c r="G73" s="83"/>
      <x:c r="H73" s="83"/>
      <x:c r="I73" s="83"/>
      <x:c r="J73" s="83"/>
      <x:c r="K73" s="83"/>
      <x:c r="L73" s="83"/>
      <x:c r="M73" s="83"/>
      <x:c r="N73" s="83"/>
      <x:c r="O73" s="83"/>
      <x:c r="P73" s="83"/>
      <x:c r="Q73" s="83"/>
      <x:c r="R73" s="83"/>
    </x:row>
    <x:row r="74">
      <x:c r="A74" s="83"/>
      <x:c r="B74" s="83"/>
      <x:c r="C74" s="83"/>
      <x:c r="D74" s="83"/>
      <x:c r="E74" s="83"/>
      <x:c r="F74" s="83"/>
      <x:c r="G74" s="83"/>
      <x:c r="H74" s="83"/>
      <x:c r="I74" s="83"/>
      <x:c r="J74" s="83"/>
      <x:c r="K74" s="83"/>
      <x:c r="L74" s="83"/>
      <x:c r="M74" s="83"/>
      <x:c r="N74" s="83"/>
      <x:c r="O74" s="83"/>
      <x:c r="P74" s="83"/>
      <x:c r="Q74" s="83"/>
      <x:c r="R74" s="83"/>
    </x:row>
    <x:row r="75">
      <x:c r="A75" s="83"/>
      <x:c r="B75" s="83"/>
      <x:c r="C75" s="83"/>
      <x:c r="D75" s="83"/>
      <x:c r="E75" s="83"/>
      <x:c r="F75" s="83"/>
      <x:c r="G75" s="83"/>
      <x:c r="H75" s="83"/>
      <x:c r="I75" s="83"/>
      <x:c r="J75" s="83"/>
      <x:c r="K75" s="83"/>
      <x:c r="L75" s="83"/>
      <x:c r="M75" s="83"/>
      <x:c r="N75" s="83"/>
      <x:c r="O75" s="83"/>
      <x:c r="P75" s="83"/>
      <x:c r="Q75" s="83"/>
      <x:c r="R75" s="83"/>
    </x:row>
    <x:row r="76">
      <x:c r="A76" s="83"/>
      <x:c r="B76" s="83"/>
      <x:c r="C76" s="83"/>
      <x:c r="D76" s="83"/>
      <x:c r="E76" s="83"/>
      <x:c r="F76" s="83"/>
      <x:c r="G76" s="83"/>
      <x:c r="H76" s="83"/>
      <x:c r="I76" s="83"/>
      <x:c r="J76" s="83"/>
      <x:c r="K76" s="83"/>
      <x:c r="L76" s="83"/>
      <x:c r="M76" s="83"/>
      <x:c r="N76" s="83"/>
      <x:c r="O76" s="83"/>
      <x:c r="P76" s="83"/>
      <x:c r="Q76" s="83"/>
      <x:c r="R76" s="83"/>
    </x:row>
    <x:row r="77">
      <x:c r="A77" s="83"/>
      <x:c r="B77" s="83"/>
      <x:c r="C77" s="83"/>
      <x:c r="D77" s="83"/>
      <x:c r="E77" s="83"/>
      <x:c r="F77" s="83"/>
      <x:c r="G77" s="83"/>
      <x:c r="H77" s="83"/>
      <x:c r="I77" s="83"/>
      <x:c r="J77" s="83"/>
      <x:c r="K77" s="83"/>
      <x:c r="L77" s="83"/>
      <x:c r="M77" s="83"/>
      <x:c r="N77" s="83"/>
      <x:c r="O77" s="83"/>
      <x:c r="P77" s="83"/>
      <x:c r="Q77" s="83"/>
      <x:c r="R77" s="83"/>
    </x:row>
    <x:row r="78">
      <x:c r="A78" s="83"/>
      <x:c r="B78" s="83"/>
      <x:c r="C78" s="83"/>
      <x:c r="D78" s="83"/>
      <x:c r="E78" s="83"/>
      <x:c r="F78" s="83"/>
      <x:c r="G78" s="83"/>
      <x:c r="H78" s="83"/>
      <x:c r="I78" s="83"/>
      <x:c r="J78" s="83"/>
      <x:c r="K78" s="83"/>
      <x:c r="L78" s="83"/>
      <x:c r="M78" s="83"/>
      <x:c r="N78" s="83"/>
      <x:c r="O78" s="83"/>
      <x:c r="P78" s="83"/>
      <x:c r="Q78" s="83"/>
      <x:c r="R78" s="83"/>
    </x:row>
    <x:row r="79">
      <x:c r="A79" s="83"/>
      <x:c r="B79" s="83"/>
      <x:c r="C79" s="83"/>
      <x:c r="D79" s="83"/>
      <x:c r="E79" s="83"/>
      <x:c r="F79" s="83"/>
      <x:c r="G79" s="83"/>
      <x:c r="H79" s="83"/>
      <x:c r="I79" s="83"/>
      <x:c r="J79" s="83"/>
      <x:c r="K79" s="83"/>
      <x:c r="L79" s="83"/>
      <x:c r="M79" s="83"/>
      <x:c r="N79" s="83"/>
      <x:c r="O79" s="83"/>
      <x:c r="P79" s="83"/>
      <x:c r="Q79" s="83"/>
      <x:c r="R79" s="83"/>
    </x:row>
    <x:row r="80">
      <x:c r="A80" s="83"/>
      <x:c r="B80" s="83"/>
      <x:c r="C80" s="83"/>
      <x:c r="D80" s="83"/>
      <x:c r="E80" s="83"/>
      <x:c r="F80" s="83"/>
      <x:c r="G80" s="83"/>
      <x:c r="H80" s="83"/>
      <x:c r="I80" s="83"/>
      <x:c r="J80" s="83"/>
      <x:c r="K80" s="83"/>
      <x:c r="L80" s="83"/>
      <x:c r="M80" s="83"/>
      <x:c r="N80" s="83"/>
      <x:c r="O80" s="83"/>
      <x:c r="P80" s="83"/>
      <x:c r="Q80" s="83"/>
      <x:c r="R80" s="83"/>
    </x:row>
  </x:sheetData>
  <x:mergeCells>
    <x:mergeCell ref="A1:N1"/>
  </x:mergeCells>
  <x:conditionalFormatting sqref="H4:H15">
    <x:cfRule type="expression" dxfId="5" priority="1">
      <x:formula>$H4&lt;&gt;"OK"</x:formula>
    </x:cfRule>
    <x:cfRule type="expression" dxfId="6" priority="2">
      <x:formula>$H4="OK"</x:formula>
    </x:cfRule>
  </x:conditionalFormatting>
  <x:pageMargins left="0.7" right="0.7" top="0.75" bottom="0.75" header="0.3" footer="0.3"/>
</x:worksheet>
</file>

<file path=xl/worksheets/sheet6.xml><?xml version="1.0" encoding="utf-8"?>
<x:worksheet xmlns:x="http://schemas.openxmlformats.org/spreadsheetml/2006/main">
  <x:sheetFormatPr defaultRowHeight="15"/>
  <x:cols>
    <x:col min="1" max="1" width="10" hidden="0" customWidth="1"/>
    <x:col min="2" max="2" width="28" hidden="0" customWidth="1"/>
    <x:col min="3" max="3" width="22" hidden="0" customWidth="1"/>
    <x:col min="4" max="4" width="16" hidden="0" customWidth="1"/>
    <x:col min="5" max="5" width="32" hidden="0" customWidth="1"/>
    <x:col min="6" max="6" width="44" hidden="0" customWidth="1"/>
    <x:col min="7" max="7" width="30" hidden="0" customWidth="1"/>
    <x:col min="8" max="8" width="12" hidden="0" customWidth="1"/>
    <x:col min="9" max="9" width="20" hidden="0" customWidth="1"/>
    <x:col min="10" max="10" width="16" hidden="0" customWidth="1"/>
    <x:col min="11" max="11" width="20" hidden="0" customWidth="1"/>
    <x:col min="12" max="12" width="28" hidden="0" customWidth="1"/>
  </x:cols>
  <x:sheetData>
    <x:row r="1">
      <x:c r="A1" s="133" t="str">
        <x:v>MATERIALS — every participant tool should explain what to do and what it produces</x:v>
      </x:c>
      <x:c r="B1" s="133"/>
      <x:c r="C1" s="133"/>
      <x:c r="D1" s="133"/>
      <x:c r="E1" s="133"/>
      <x:c r="F1" s="133"/>
      <x:c r="G1" s="133"/>
      <x:c r="H1" s="133"/>
      <x:c r="I1" s="133"/>
      <x:c r="J1" s="133"/>
      <x:c r="K1" s="133"/>
      <x:c r="L1" s="133"/>
      <x:c r="M1" s="83"/>
      <x:c r="N1" s="83"/>
      <x:c r="O1" s="83"/>
      <x:c r="P1" s="83"/>
      <x:c r="Q1" s="83"/>
      <x:c r="R1" s="83"/>
    </x:row>
    <x:row r="2">
      <x:c r="A2" s="83"/>
      <x:c r="B2" s="83"/>
      <x:c r="C2" s="83"/>
      <x:c r="D2" s="83"/>
      <x:c r="E2" s="83"/>
      <x:c r="F2" s="83"/>
      <x:c r="G2" s="83"/>
      <x:c r="H2" s="83"/>
      <x:c r="I2" s="83"/>
      <x:c r="J2" s="83"/>
      <x:c r="K2" s="83"/>
      <x:c r="L2" s="83"/>
      <x:c r="M2" s="83"/>
      <x:c r="N2" s="83"/>
      <x:c r="O2" s="83"/>
      <x:c r="P2" s="83"/>
      <x:c r="Q2" s="83"/>
      <x:c r="R2" s="83"/>
    </x:row>
    <x:row r="3">
      <x:c r="A3" s="113" t="str">
        <x:v>Material ID</x:v>
      </x:c>
      <x:c r="B3" s="113" t="str">
        <x:v>Material / Tool</x:v>
      </x:c>
      <x:c r="C3" s="113" t="str">
        <x:v>Type</x:v>
      </x:c>
      <x:c r="D3" s="113" t="str">
        <x:v>Used in Segment #</x:v>
      </x:c>
      <x:c r="E3" s="113" t="str">
        <x:v>Purpose</x:v>
      </x:c>
      <x:c r="F3" s="113" t="str">
        <x:v>Participant Instructions</x:v>
      </x:c>
      <x:c r="G3" s="113" t="str">
        <x:v>Participant Output</x:v>
      </x:c>
      <x:c r="H3" s="113" t="str">
        <x:v>Required?</x:v>
      </x:c>
      <x:c r="I3" s="113" t="str">
        <x:v>Accessible Format Checked?</x:v>
      </x:c>
      <x:c r="J3" s="113" t="str">
        <x:v>Status</x:v>
      </x:c>
      <x:c r="K3" s="113" t="str">
        <x:v>Material QA</x:v>
      </x:c>
      <x:c r="L3" s="113" t="str">
        <x:v>Notes</x:v>
      </x:c>
      <x:c r="M3" s="83"/>
      <x:c r="N3" s="83"/>
      <x:c r="O3" s="83"/>
      <x:c r="P3" s="83"/>
      <x:c r="Q3" s="83"/>
      <x:c r="R3" s="83"/>
    </x:row>
    <x:row r="4">
      <x:c r="A4" s="114" t="str">
        <x:f>IF(B4="","","M"&amp;TEXT(ROW()-3,"00"))</x:f>
      </x:c>
      <x:c r="B4" s="111"/>
      <x:c r="C4" s="111"/>
      <x:c r="D4" s="111"/>
      <x:c r="E4" s="111"/>
      <x:c r="F4" s="111"/>
      <x:c r="G4" s="111"/>
      <x:c r="H4" s="111"/>
      <x:c r="I4" s="111"/>
      <x:c r="J4" s="111"/>
      <x:c r="K4" s="114" t="str">
        <x:f>IF(B4="","",IF(OR(C4="",E4="",F4="",G4=""),"ACTION NEEDED",IF(I4="No","ACCESSIBILITY CHECK","OK")))</x:f>
      </x:c>
      <x:c r="L4" s="111"/>
      <x:c r="M4" s="83"/>
      <x:c r="N4" s="83"/>
      <x:c r="O4" s="83"/>
      <x:c r="P4" s="83"/>
      <x:c r="Q4" s="83"/>
      <x:c r="R4" s="83"/>
    </x:row>
    <x:row r="5">
      <x:c r="A5" s="114" t="str">
        <x:f>IF(B5="","","M"&amp;TEXT(ROW()-3,"00"))</x:f>
      </x:c>
      <x:c r="B5" s="111"/>
      <x:c r="C5" s="111"/>
      <x:c r="D5" s="111"/>
      <x:c r="E5" s="111"/>
      <x:c r="F5" s="111"/>
      <x:c r="G5" s="111"/>
      <x:c r="H5" s="111"/>
      <x:c r="I5" s="111"/>
      <x:c r="J5" s="111"/>
      <x:c r="K5" s="114" t="str">
        <x:f>IF(B5="","",IF(OR(C5="",E5="",F5="",G5=""),"ACTION NEEDED",IF(I5="No","ACCESSIBILITY CHECK","OK")))</x:f>
      </x:c>
      <x:c r="L5" s="111"/>
      <x:c r="M5" s="83"/>
      <x:c r="N5" s="83"/>
      <x:c r="O5" s="83"/>
      <x:c r="P5" s="83"/>
      <x:c r="Q5" s="83"/>
      <x:c r="R5" s="83"/>
    </x:row>
    <x:row r="6">
      <x:c r="A6" s="114" t="str">
        <x:f>IF(B6="","","M"&amp;TEXT(ROW()-3,"00"))</x:f>
      </x:c>
      <x:c r="B6" s="111"/>
      <x:c r="C6" s="111"/>
      <x:c r="D6" s="111"/>
      <x:c r="E6" s="111"/>
      <x:c r="F6" s="111"/>
      <x:c r="G6" s="111"/>
      <x:c r="H6" s="111"/>
      <x:c r="I6" s="111"/>
      <x:c r="J6" s="111"/>
      <x:c r="K6" s="114" t="str">
        <x:f>IF(B6="","",IF(OR(C6="",E6="",F6="",G6=""),"ACTION NEEDED",IF(I6="No","ACCESSIBILITY CHECK","OK")))</x:f>
      </x:c>
      <x:c r="L6" s="111"/>
      <x:c r="M6" s="83"/>
      <x:c r="N6" s="83"/>
      <x:c r="O6" s="83"/>
      <x:c r="P6" s="83"/>
      <x:c r="Q6" s="83"/>
      <x:c r="R6" s="83"/>
    </x:row>
    <x:row r="7">
      <x:c r="A7" s="114" t="str">
        <x:f>IF(B7="","","M"&amp;TEXT(ROW()-3,"00"))</x:f>
      </x:c>
      <x:c r="B7" s="111"/>
      <x:c r="C7" s="111"/>
      <x:c r="D7" s="111"/>
      <x:c r="E7" s="111"/>
      <x:c r="F7" s="111"/>
      <x:c r="G7" s="111"/>
      <x:c r="H7" s="111"/>
      <x:c r="I7" s="111"/>
      <x:c r="J7" s="111"/>
      <x:c r="K7" s="114" t="str">
        <x:f>IF(B7="","",IF(OR(C7="",E7="",F7="",G7=""),"ACTION NEEDED",IF(I7="No","ACCESSIBILITY CHECK","OK")))</x:f>
      </x:c>
      <x:c r="L7" s="111"/>
      <x:c r="M7" s="83"/>
      <x:c r="N7" s="83"/>
      <x:c r="O7" s="83"/>
      <x:c r="P7" s="83"/>
      <x:c r="Q7" s="83"/>
      <x:c r="R7" s="83"/>
    </x:row>
    <x:row r="8">
      <x:c r="A8" s="114" t="str">
        <x:f>IF(B8="","","M"&amp;TEXT(ROW()-3,"00"))</x:f>
      </x:c>
      <x:c r="B8" s="111"/>
      <x:c r="C8" s="111"/>
      <x:c r="D8" s="111"/>
      <x:c r="E8" s="111"/>
      <x:c r="F8" s="111"/>
      <x:c r="G8" s="111"/>
      <x:c r="H8" s="111"/>
      <x:c r="I8" s="111"/>
      <x:c r="J8" s="111"/>
      <x:c r="K8" s="114" t="str">
        <x:f>IF(B8="","",IF(OR(C8="",E8="",F8="",G8=""),"ACTION NEEDED",IF(I8="No","ACCESSIBILITY CHECK","OK")))</x:f>
      </x:c>
      <x:c r="L8" s="111"/>
      <x:c r="M8" s="83"/>
      <x:c r="N8" s="83"/>
      <x:c r="O8" s="83"/>
      <x:c r="P8" s="83"/>
      <x:c r="Q8" s="83"/>
      <x:c r="R8" s="83"/>
    </x:row>
    <x:row r="9">
      <x:c r="A9" s="114" t="str">
        <x:f>IF(B9="","","M"&amp;TEXT(ROW()-3,"00"))</x:f>
      </x:c>
      <x:c r="B9" s="111"/>
      <x:c r="C9" s="111"/>
      <x:c r="D9" s="111"/>
      <x:c r="E9" s="111"/>
      <x:c r="F9" s="111"/>
      <x:c r="G9" s="111"/>
      <x:c r="H9" s="111"/>
      <x:c r="I9" s="111"/>
      <x:c r="J9" s="111"/>
      <x:c r="K9" s="114" t="str">
        <x:f>IF(B9="","",IF(OR(C9="",E9="",F9="",G9=""),"ACTION NEEDED",IF(I9="No","ACCESSIBILITY CHECK","OK")))</x:f>
      </x:c>
      <x:c r="L9" s="111"/>
      <x:c r="M9" s="83"/>
      <x:c r="N9" s="83"/>
      <x:c r="O9" s="83"/>
      <x:c r="P9" s="83"/>
      <x:c r="Q9" s="83"/>
      <x:c r="R9" s="83"/>
    </x:row>
    <x:row r="10">
      <x:c r="A10" s="114" t="str">
        <x:f>IF(B10="","","M"&amp;TEXT(ROW()-3,"00"))</x:f>
      </x:c>
      <x:c r="B10" s="111"/>
      <x:c r="C10" s="111"/>
      <x:c r="D10" s="111"/>
      <x:c r="E10" s="111"/>
      <x:c r="F10" s="111"/>
      <x:c r="G10" s="111"/>
      <x:c r="H10" s="111"/>
      <x:c r="I10" s="111"/>
      <x:c r="J10" s="111"/>
      <x:c r="K10" s="114" t="str">
        <x:f>IF(B10="","",IF(OR(C10="",E10="",F10="",G10=""),"ACTION NEEDED",IF(I10="No","ACCESSIBILITY CHECK","OK")))</x:f>
      </x:c>
      <x:c r="L10" s="111"/>
      <x:c r="M10" s="83"/>
      <x:c r="N10" s="83"/>
      <x:c r="O10" s="83"/>
      <x:c r="P10" s="83"/>
      <x:c r="Q10" s="83"/>
      <x:c r="R10" s="83"/>
    </x:row>
    <x:row r="11">
      <x:c r="A11" s="114" t="str">
        <x:f>IF(B11="","","M"&amp;TEXT(ROW()-3,"00"))</x:f>
      </x:c>
      <x:c r="B11" s="111"/>
      <x:c r="C11" s="111"/>
      <x:c r="D11" s="111"/>
      <x:c r="E11" s="111"/>
      <x:c r="F11" s="111"/>
      <x:c r="G11" s="111"/>
      <x:c r="H11" s="111"/>
      <x:c r="I11" s="111"/>
      <x:c r="J11" s="111"/>
      <x:c r="K11" s="114" t="str">
        <x:f>IF(B11="","",IF(OR(C11="",E11="",F11="",G11=""),"ACTION NEEDED",IF(I11="No","ACCESSIBILITY CHECK","OK")))</x:f>
      </x:c>
      <x:c r="L11" s="111"/>
      <x:c r="M11" s="83"/>
      <x:c r="N11" s="83"/>
      <x:c r="O11" s="83"/>
      <x:c r="P11" s="83"/>
      <x:c r="Q11" s="83"/>
      <x:c r="R11" s="83"/>
    </x:row>
    <x:row r="12">
      <x:c r="A12" s="114" t="str">
        <x:f>IF(B12="","","M"&amp;TEXT(ROW()-3,"00"))</x:f>
      </x:c>
      <x:c r="B12" s="111"/>
      <x:c r="C12" s="111"/>
      <x:c r="D12" s="111"/>
      <x:c r="E12" s="111"/>
      <x:c r="F12" s="111"/>
      <x:c r="G12" s="111"/>
      <x:c r="H12" s="111"/>
      <x:c r="I12" s="111"/>
      <x:c r="J12" s="111"/>
      <x:c r="K12" s="114" t="str">
        <x:f>IF(B12="","",IF(OR(C12="",E12="",F12="",G12=""),"ACTION NEEDED",IF(I12="No","ACCESSIBILITY CHECK","OK")))</x:f>
      </x:c>
      <x:c r="L12" s="111"/>
      <x:c r="M12" s="83"/>
      <x:c r="N12" s="83"/>
      <x:c r="O12" s="83"/>
      <x:c r="P12" s="83"/>
      <x:c r="Q12" s="83"/>
      <x:c r="R12" s="83"/>
    </x:row>
    <x:row r="13">
      <x:c r="A13" s="114" t="str">
        <x:f>IF(B13="","","M"&amp;TEXT(ROW()-3,"00"))</x:f>
      </x:c>
      <x:c r="B13" s="111"/>
      <x:c r="C13" s="111"/>
      <x:c r="D13" s="111"/>
      <x:c r="E13" s="111"/>
      <x:c r="F13" s="111"/>
      <x:c r="G13" s="111"/>
      <x:c r="H13" s="111"/>
      <x:c r="I13" s="111"/>
      <x:c r="J13" s="111"/>
      <x:c r="K13" s="114" t="str">
        <x:f>IF(B13="","",IF(OR(C13="",E13="",F13="",G13=""),"ACTION NEEDED",IF(I13="No","ACCESSIBILITY CHECK","OK")))</x:f>
      </x:c>
      <x:c r="L13" s="111"/>
      <x:c r="M13" s="83"/>
      <x:c r="N13" s="83"/>
      <x:c r="O13" s="83"/>
      <x:c r="P13" s="83"/>
      <x:c r="Q13" s="83"/>
      <x:c r="R13" s="83"/>
    </x:row>
    <x:row r="14">
      <x:c r="A14" s="114" t="str">
        <x:f>IF(B14="","","M"&amp;TEXT(ROW()-3,"00"))</x:f>
      </x:c>
      <x:c r="B14" s="111"/>
      <x:c r="C14" s="111"/>
      <x:c r="D14" s="111"/>
      <x:c r="E14" s="111"/>
      <x:c r="F14" s="111"/>
      <x:c r="G14" s="111"/>
      <x:c r="H14" s="111"/>
      <x:c r="I14" s="111"/>
      <x:c r="J14" s="111"/>
      <x:c r="K14" s="114" t="str">
        <x:f>IF(B14="","",IF(OR(C14="",E14="",F14="",G14=""),"ACTION NEEDED",IF(I14="No","ACCESSIBILITY CHECK","OK")))</x:f>
      </x:c>
      <x:c r="L14" s="111"/>
      <x:c r="M14" s="83"/>
      <x:c r="N14" s="83"/>
      <x:c r="O14" s="83"/>
      <x:c r="P14" s="83"/>
      <x:c r="Q14" s="83"/>
      <x:c r="R14" s="83"/>
    </x:row>
    <x:row r="15">
      <x:c r="A15" s="114" t="str">
        <x:f>IF(B15="","","M"&amp;TEXT(ROW()-3,"00"))</x:f>
      </x:c>
      <x:c r="B15" s="111"/>
      <x:c r="C15" s="111"/>
      <x:c r="D15" s="111"/>
      <x:c r="E15" s="111"/>
      <x:c r="F15" s="111"/>
      <x:c r="G15" s="111"/>
      <x:c r="H15" s="111"/>
      <x:c r="I15" s="111"/>
      <x:c r="J15" s="111"/>
      <x:c r="K15" s="114" t="str">
        <x:f>IF(B15="","",IF(OR(C15="",E15="",F15="",G15=""),"ACTION NEEDED",IF(I15="No","ACCESSIBILITY CHECK","OK")))</x:f>
      </x:c>
      <x:c r="L15" s="111"/>
      <x:c r="M15" s="83"/>
      <x:c r="N15" s="83"/>
      <x:c r="O15" s="83"/>
      <x:c r="P15" s="83"/>
      <x:c r="Q15" s="83"/>
      <x:c r="R15" s="83"/>
    </x:row>
    <x:row r="16">
      <x:c r="A16" s="114" t="str">
        <x:f>IF(B16="","","M"&amp;TEXT(ROW()-3,"00"))</x:f>
      </x:c>
      <x:c r="B16" s="111"/>
      <x:c r="C16" s="111"/>
      <x:c r="D16" s="111"/>
      <x:c r="E16" s="111"/>
      <x:c r="F16" s="111"/>
      <x:c r="G16" s="111"/>
      <x:c r="H16" s="111"/>
      <x:c r="I16" s="111"/>
      <x:c r="J16" s="111"/>
      <x:c r="K16" s="114" t="str">
        <x:f>IF(B16="","",IF(OR(C16="",E16="",F16="",G16=""),"ACTION NEEDED",IF(I16="No","ACCESSIBILITY CHECK","OK")))</x:f>
      </x:c>
      <x:c r="L16" s="111"/>
      <x:c r="M16" s="83"/>
      <x:c r="N16" s="83"/>
      <x:c r="O16" s="83"/>
      <x:c r="P16" s="83"/>
      <x:c r="Q16" s="83"/>
      <x:c r="R16" s="83"/>
    </x:row>
    <x:row r="17">
      <x:c r="A17" s="114" t="str">
        <x:f>IF(B17="","","M"&amp;TEXT(ROW()-3,"00"))</x:f>
      </x:c>
      <x:c r="B17" s="111"/>
      <x:c r="C17" s="111"/>
      <x:c r="D17" s="111"/>
      <x:c r="E17" s="111"/>
      <x:c r="F17" s="111"/>
      <x:c r="G17" s="111"/>
      <x:c r="H17" s="111"/>
      <x:c r="I17" s="111"/>
      <x:c r="J17" s="111"/>
      <x:c r="K17" s="114" t="str">
        <x:f>IF(B17="","",IF(OR(C17="",E17="",F17="",G17=""),"ACTION NEEDED",IF(I17="No","ACCESSIBILITY CHECK","OK")))</x:f>
      </x:c>
      <x:c r="L17" s="111"/>
      <x:c r="M17" s="83"/>
      <x:c r="N17" s="83"/>
      <x:c r="O17" s="83"/>
      <x:c r="P17" s="83"/>
      <x:c r="Q17" s="83"/>
      <x:c r="R17" s="83"/>
    </x:row>
    <x:row r="18">
      <x:c r="A18" s="114" t="str">
        <x:f>IF(B18="","","M"&amp;TEXT(ROW()-3,"00"))</x:f>
      </x:c>
      <x:c r="B18" s="111"/>
      <x:c r="C18" s="111"/>
      <x:c r="D18" s="111"/>
      <x:c r="E18" s="111"/>
      <x:c r="F18" s="111"/>
      <x:c r="G18" s="111"/>
      <x:c r="H18" s="111"/>
      <x:c r="I18" s="111"/>
      <x:c r="J18" s="111"/>
      <x:c r="K18" s="114" t="str">
        <x:f>IF(B18="","",IF(OR(C18="",E18="",F18="",G18=""),"ACTION NEEDED",IF(I18="No","ACCESSIBILITY CHECK","OK")))</x:f>
      </x:c>
      <x:c r="L18" s="111"/>
      <x:c r="M18" s="83"/>
      <x:c r="N18" s="83"/>
      <x:c r="O18" s="83"/>
      <x:c r="P18" s="83"/>
      <x:c r="Q18" s="83"/>
      <x:c r="R18" s="83"/>
    </x:row>
    <x:row r="19">
      <x:c r="A19" s="114" t="str">
        <x:f>IF(B19="","","M"&amp;TEXT(ROW()-3,"00"))</x:f>
      </x:c>
      <x:c r="B19" s="111"/>
      <x:c r="C19" s="111"/>
      <x:c r="D19" s="111"/>
      <x:c r="E19" s="111"/>
      <x:c r="F19" s="111"/>
      <x:c r="G19" s="111"/>
      <x:c r="H19" s="111"/>
      <x:c r="I19" s="111"/>
      <x:c r="J19" s="111"/>
      <x:c r="K19" s="114" t="str">
        <x:f>IF(B19="","",IF(OR(C19="",E19="",F19="",G19=""),"ACTION NEEDED",IF(I19="No","ACCESSIBILITY CHECK","OK")))</x:f>
      </x:c>
      <x:c r="L19" s="111"/>
      <x:c r="M19" s="83"/>
      <x:c r="N19" s="83"/>
      <x:c r="O19" s="83"/>
      <x:c r="P19" s="83"/>
      <x:c r="Q19" s="83"/>
      <x:c r="R19" s="83"/>
    </x:row>
    <x:row r="20">
      <x:c r="A20" s="114" t="str">
        <x:f>IF(B20="","","M"&amp;TEXT(ROW()-3,"00"))</x:f>
      </x:c>
      <x:c r="B20" s="111"/>
      <x:c r="C20" s="111"/>
      <x:c r="D20" s="111"/>
      <x:c r="E20" s="111"/>
      <x:c r="F20" s="111"/>
      <x:c r="G20" s="111"/>
      <x:c r="H20" s="111"/>
      <x:c r="I20" s="111"/>
      <x:c r="J20" s="111"/>
      <x:c r="K20" s="114" t="str">
        <x:f>IF(B20="","",IF(OR(C20="",E20="",F20="",G20=""),"ACTION NEEDED",IF(I20="No","ACCESSIBILITY CHECK","OK")))</x:f>
      </x:c>
      <x:c r="L20" s="111"/>
      <x:c r="M20" s="83"/>
      <x:c r="N20" s="83"/>
      <x:c r="O20" s="83"/>
      <x:c r="P20" s="83"/>
      <x:c r="Q20" s="83"/>
      <x:c r="R20" s="83"/>
    </x:row>
    <x:row r="21">
      <x:c r="A21" s="114" t="str">
        <x:f>IF(B21="","","M"&amp;TEXT(ROW()-3,"00"))</x:f>
      </x:c>
      <x:c r="B21" s="111"/>
      <x:c r="C21" s="111"/>
      <x:c r="D21" s="111"/>
      <x:c r="E21" s="111"/>
      <x:c r="F21" s="111"/>
      <x:c r="G21" s="111"/>
      <x:c r="H21" s="111"/>
      <x:c r="I21" s="111"/>
      <x:c r="J21" s="111"/>
      <x:c r="K21" s="114" t="str">
        <x:f>IF(B21="","",IF(OR(C21="",E21="",F21="",G21=""),"ACTION NEEDED",IF(I21="No","ACCESSIBILITY CHECK","OK")))</x:f>
      </x:c>
      <x:c r="L21" s="111"/>
      <x:c r="M21" s="83"/>
      <x:c r="N21" s="83"/>
      <x:c r="O21" s="83"/>
      <x:c r="P21" s="83"/>
      <x:c r="Q21" s="83"/>
      <x:c r="R21" s="83"/>
    </x:row>
    <x:row r="22">
      <x:c r="A22" s="114" t="str">
        <x:f>IF(B22="","","M"&amp;TEXT(ROW()-3,"00"))</x:f>
      </x:c>
      <x:c r="B22" s="111"/>
      <x:c r="C22" s="111"/>
      <x:c r="D22" s="111"/>
      <x:c r="E22" s="111"/>
      <x:c r="F22" s="111"/>
      <x:c r="G22" s="111"/>
      <x:c r="H22" s="111"/>
      <x:c r="I22" s="111"/>
      <x:c r="J22" s="111"/>
      <x:c r="K22" s="114" t="str">
        <x:f>IF(B22="","",IF(OR(C22="",E22="",F22="",G22=""),"ACTION NEEDED",IF(I22="No","ACCESSIBILITY CHECK","OK")))</x:f>
      </x:c>
      <x:c r="L22" s="111"/>
      <x:c r="M22" s="83"/>
      <x:c r="N22" s="83"/>
      <x:c r="O22" s="83"/>
      <x:c r="P22" s="83"/>
      <x:c r="Q22" s="83"/>
      <x:c r="R22" s="83"/>
    </x:row>
    <x:row r="23">
      <x:c r="A23" s="114" t="str">
        <x:f>IF(B23="","","M"&amp;TEXT(ROW()-3,"00"))</x:f>
      </x:c>
      <x:c r="B23" s="111"/>
      <x:c r="C23" s="111"/>
      <x:c r="D23" s="111"/>
      <x:c r="E23" s="111"/>
      <x:c r="F23" s="111"/>
      <x:c r="G23" s="111"/>
      <x:c r="H23" s="111"/>
      <x:c r="I23" s="111"/>
      <x:c r="J23" s="111"/>
      <x:c r="K23" s="114" t="str">
        <x:f>IF(B23="","",IF(OR(C23="",E23="",F23="",G23=""),"ACTION NEEDED",IF(I23="No","ACCESSIBILITY CHECK","OK")))</x:f>
      </x:c>
      <x:c r="L23" s="111"/>
      <x:c r="M23" s="83"/>
      <x:c r="N23" s="83"/>
      <x:c r="O23" s="83"/>
      <x:c r="P23" s="83"/>
      <x:c r="Q23" s="83"/>
      <x:c r="R23" s="83"/>
    </x:row>
    <x:row r="24">
      <x:c r="A24" s="114" t="str">
        <x:f>IF(B24="","","M"&amp;TEXT(ROW()-3,"00"))</x:f>
      </x:c>
      <x:c r="B24" s="111"/>
      <x:c r="C24" s="111"/>
      <x:c r="D24" s="111"/>
      <x:c r="E24" s="111"/>
      <x:c r="F24" s="111"/>
      <x:c r="G24" s="111"/>
      <x:c r="H24" s="111"/>
      <x:c r="I24" s="111"/>
      <x:c r="J24" s="111"/>
      <x:c r="K24" s="114" t="str">
        <x:f>IF(B24="","",IF(OR(C24="",E24="",F24="",G24=""),"ACTION NEEDED",IF(I24="No","ACCESSIBILITY CHECK","OK")))</x:f>
      </x:c>
      <x:c r="L24" s="111"/>
      <x:c r="M24" s="83"/>
      <x:c r="N24" s="83"/>
      <x:c r="O24" s="83"/>
      <x:c r="P24" s="83"/>
      <x:c r="Q24" s="83"/>
      <x:c r="R24" s="83"/>
    </x:row>
    <x:row r="25">
      <x:c r="A25" s="114" t="str">
        <x:f>IF(B25="","","M"&amp;TEXT(ROW()-3,"00"))</x:f>
      </x:c>
      <x:c r="B25" s="111"/>
      <x:c r="C25" s="111"/>
      <x:c r="D25" s="111"/>
      <x:c r="E25" s="111"/>
      <x:c r="F25" s="111"/>
      <x:c r="G25" s="111"/>
      <x:c r="H25" s="111"/>
      <x:c r="I25" s="111"/>
      <x:c r="J25" s="111"/>
      <x:c r="K25" s="114" t="str">
        <x:f>IF(B25="","",IF(OR(C25="",E25="",F25="",G25=""),"ACTION NEEDED",IF(I25="No","ACCESSIBILITY CHECK","OK")))</x:f>
      </x:c>
      <x:c r="L25" s="111"/>
      <x:c r="M25" s="83"/>
      <x:c r="N25" s="83"/>
      <x:c r="O25" s="83"/>
      <x:c r="P25" s="83"/>
      <x:c r="Q25" s="83"/>
      <x:c r="R25" s="83"/>
    </x:row>
    <x:row r="26">
      <x:c r="A26" s="114" t="str">
        <x:f>IF(B26="","","M"&amp;TEXT(ROW()-3,"00"))</x:f>
      </x:c>
      <x:c r="B26" s="111"/>
      <x:c r="C26" s="111"/>
      <x:c r="D26" s="111"/>
      <x:c r="E26" s="111"/>
      <x:c r="F26" s="111"/>
      <x:c r="G26" s="111"/>
      <x:c r="H26" s="111"/>
      <x:c r="I26" s="111"/>
      <x:c r="J26" s="111"/>
      <x:c r="K26" s="114" t="str">
        <x:f>IF(B26="","",IF(OR(C26="",E26="",F26="",G26=""),"ACTION NEEDED",IF(I26="No","ACCESSIBILITY CHECK","OK")))</x:f>
      </x:c>
      <x:c r="L26" s="111"/>
      <x:c r="M26" s="83"/>
      <x:c r="N26" s="83"/>
      <x:c r="O26" s="83"/>
      <x:c r="P26" s="83"/>
      <x:c r="Q26" s="83"/>
      <x:c r="R26" s="83"/>
    </x:row>
    <x:row r="27">
      <x:c r="A27" s="114" t="str">
        <x:f>IF(B27="","","M"&amp;TEXT(ROW()-3,"00"))</x:f>
      </x:c>
      <x:c r="B27" s="111"/>
      <x:c r="C27" s="111"/>
      <x:c r="D27" s="111"/>
      <x:c r="E27" s="111"/>
      <x:c r="F27" s="111"/>
      <x:c r="G27" s="111"/>
      <x:c r="H27" s="111"/>
      <x:c r="I27" s="111"/>
      <x:c r="J27" s="111"/>
      <x:c r="K27" s="114" t="str">
        <x:f>IF(B27="","",IF(OR(C27="",E27="",F27="",G27=""),"ACTION NEEDED",IF(I27="No","ACCESSIBILITY CHECK","OK")))</x:f>
      </x:c>
      <x:c r="L27" s="111"/>
      <x:c r="M27" s="83"/>
      <x:c r="N27" s="83"/>
      <x:c r="O27" s="83"/>
      <x:c r="P27" s="83"/>
      <x:c r="Q27" s="83"/>
      <x:c r="R27" s="83"/>
    </x:row>
    <x:row r="28">
      <x:c r="A28" s="114" t="str">
        <x:f>IF(B28="","","M"&amp;TEXT(ROW()-3,"00"))</x:f>
      </x:c>
      <x:c r="B28" s="111"/>
      <x:c r="C28" s="111"/>
      <x:c r="D28" s="111"/>
      <x:c r="E28" s="111"/>
      <x:c r="F28" s="111"/>
      <x:c r="G28" s="111"/>
      <x:c r="H28" s="111"/>
      <x:c r="I28" s="111"/>
      <x:c r="J28" s="111"/>
      <x:c r="K28" s="114" t="str">
        <x:f>IF(B28="","",IF(OR(C28="",E28="",F28="",G28=""),"ACTION NEEDED",IF(I28="No","ACCESSIBILITY CHECK","OK")))</x:f>
      </x:c>
      <x:c r="L28" s="111"/>
      <x:c r="M28" s="83"/>
      <x:c r="N28" s="83"/>
      <x:c r="O28" s="83"/>
      <x:c r="P28" s="83"/>
      <x:c r="Q28" s="83"/>
      <x:c r="R28" s="83"/>
    </x:row>
    <x:row r="29">
      <x:c r="A29" s="114" t="str">
        <x:f>IF(B29="","","M"&amp;TEXT(ROW()-3,"00"))</x:f>
      </x:c>
      <x:c r="B29" s="111"/>
      <x:c r="C29" s="111"/>
      <x:c r="D29" s="111"/>
      <x:c r="E29" s="111"/>
      <x:c r="F29" s="111"/>
      <x:c r="G29" s="111"/>
      <x:c r="H29" s="111"/>
      <x:c r="I29" s="111"/>
      <x:c r="J29" s="111"/>
      <x:c r="K29" s="114" t="str">
        <x:f>IF(B29="","",IF(OR(C29="",E29="",F29="",G29=""),"ACTION NEEDED",IF(I29="No","ACCESSIBILITY CHECK","OK")))</x:f>
      </x:c>
      <x:c r="L29" s="111"/>
      <x:c r="M29" s="83"/>
      <x:c r="N29" s="83"/>
      <x:c r="O29" s="83"/>
      <x:c r="P29" s="83"/>
      <x:c r="Q29" s="83"/>
      <x:c r="R29" s="83"/>
    </x:row>
    <x:row r="30">
      <x:c r="A30" s="114" t="str">
        <x:f>IF(B30="","","M"&amp;TEXT(ROW()-3,"00"))</x:f>
      </x:c>
      <x:c r="B30" s="111"/>
      <x:c r="C30" s="111"/>
      <x:c r="D30" s="111"/>
      <x:c r="E30" s="111"/>
      <x:c r="F30" s="111"/>
      <x:c r="G30" s="111"/>
      <x:c r="H30" s="111"/>
      <x:c r="I30" s="111"/>
      <x:c r="J30" s="111"/>
      <x:c r="K30" s="114" t="str">
        <x:f>IF(B30="","",IF(OR(C30="",E30="",F30="",G30=""),"ACTION NEEDED",IF(I30="No","ACCESSIBILITY CHECK","OK")))</x:f>
      </x:c>
      <x:c r="L30" s="111"/>
      <x:c r="M30" s="83"/>
      <x:c r="N30" s="83"/>
      <x:c r="O30" s="83"/>
      <x:c r="P30" s="83"/>
      <x:c r="Q30" s="83"/>
      <x:c r="R30" s="83"/>
    </x:row>
    <x:row r="31">
      <x:c r="A31" s="114" t="str">
        <x:f>IF(B31="","","M"&amp;TEXT(ROW()-3,"00"))</x:f>
      </x:c>
      <x:c r="B31" s="111"/>
      <x:c r="C31" s="111"/>
      <x:c r="D31" s="111"/>
      <x:c r="E31" s="111"/>
      <x:c r="F31" s="111"/>
      <x:c r="G31" s="111"/>
      <x:c r="H31" s="111"/>
      <x:c r="I31" s="111"/>
      <x:c r="J31" s="111"/>
      <x:c r="K31" s="114" t="str">
        <x:f>IF(B31="","",IF(OR(C31="",E31="",F31="",G31=""),"ACTION NEEDED",IF(I31="No","ACCESSIBILITY CHECK","OK")))</x:f>
      </x:c>
      <x:c r="L31" s="111"/>
      <x:c r="M31" s="83"/>
      <x:c r="N31" s="83"/>
      <x:c r="O31" s="83"/>
      <x:c r="P31" s="83"/>
      <x:c r="Q31" s="83"/>
      <x:c r="R31" s="83"/>
    </x:row>
    <x:row r="32">
      <x:c r="A32" s="114" t="str">
        <x:f>IF(B32="","","M"&amp;TEXT(ROW()-3,"00"))</x:f>
      </x:c>
      <x:c r="B32" s="111"/>
      <x:c r="C32" s="111"/>
      <x:c r="D32" s="111"/>
      <x:c r="E32" s="111"/>
      <x:c r="F32" s="111"/>
      <x:c r="G32" s="111"/>
      <x:c r="H32" s="111"/>
      <x:c r="I32" s="111"/>
      <x:c r="J32" s="111"/>
      <x:c r="K32" s="114" t="str">
        <x:f>IF(B32="","",IF(OR(C32="",E32="",F32="",G32=""),"ACTION NEEDED",IF(I32="No","ACCESSIBILITY CHECK","OK")))</x:f>
      </x:c>
      <x:c r="L32" s="111"/>
      <x:c r="M32" s="83"/>
      <x:c r="N32" s="83"/>
      <x:c r="O32" s="83"/>
      <x:c r="P32" s="83"/>
      <x:c r="Q32" s="83"/>
      <x:c r="R32" s="83"/>
    </x:row>
    <x:row r="33">
      <x:c r="A33" s="114" t="str">
        <x:f>IF(B33="","","M"&amp;TEXT(ROW()-3,"00"))</x:f>
      </x:c>
      <x:c r="B33" s="111"/>
      <x:c r="C33" s="111"/>
      <x:c r="D33" s="111"/>
      <x:c r="E33" s="111"/>
      <x:c r="F33" s="111"/>
      <x:c r="G33" s="111"/>
      <x:c r="H33" s="111"/>
      <x:c r="I33" s="111"/>
      <x:c r="J33" s="111"/>
      <x:c r="K33" s="114" t="str">
        <x:f>IF(B33="","",IF(OR(C33="",E33="",F33="",G33=""),"ACTION NEEDED",IF(I33="No","ACCESSIBILITY CHECK","OK")))</x:f>
      </x:c>
      <x:c r="L33" s="111"/>
      <x:c r="M33" s="83"/>
      <x:c r="N33" s="83"/>
      <x:c r="O33" s="83"/>
      <x:c r="P33" s="83"/>
      <x:c r="Q33" s="83"/>
      <x:c r="R33" s="83"/>
    </x:row>
    <x:row r="34">
      <x:c r="A34" s="83"/>
      <x:c r="B34" s="83"/>
      <x:c r="C34" s="83"/>
      <x:c r="D34" s="83"/>
      <x:c r="E34" s="83"/>
      <x:c r="F34" s="83"/>
      <x:c r="G34" s="83"/>
      <x:c r="H34" s="83"/>
      <x:c r="I34" s="83"/>
      <x:c r="J34" s="83"/>
      <x:c r="K34" s="83"/>
      <x:c r="L34" s="83"/>
      <x:c r="M34" s="83"/>
      <x:c r="N34" s="83"/>
      <x:c r="O34" s="83"/>
      <x:c r="P34" s="83"/>
      <x:c r="Q34" s="83"/>
      <x:c r="R34" s="83"/>
    </x:row>
    <x:row r="35">
      <x:c r="A35" s="83"/>
      <x:c r="B35" s="83"/>
      <x:c r="C35" s="83"/>
      <x:c r="D35" s="83"/>
      <x:c r="E35" s="83"/>
      <x:c r="F35" s="83"/>
      <x:c r="G35" s="83"/>
      <x:c r="H35" s="83"/>
      <x:c r="I35" s="83"/>
      <x:c r="J35" s="83"/>
      <x:c r="K35" s="83"/>
      <x:c r="L35" s="83"/>
      <x:c r="M35" s="83"/>
      <x:c r="N35" s="83"/>
      <x:c r="O35" s="83"/>
      <x:c r="P35" s="83"/>
      <x:c r="Q35" s="83"/>
      <x:c r="R35" s="83"/>
    </x:row>
    <x:row r="36">
      <x:c r="A36" s="83"/>
      <x:c r="B36" s="83"/>
      <x:c r="C36" s="83"/>
      <x:c r="D36" s="83"/>
      <x:c r="E36" s="83"/>
      <x:c r="F36" s="83"/>
      <x:c r="G36" s="83"/>
      <x:c r="H36" s="83"/>
      <x:c r="I36" s="83"/>
      <x:c r="J36" s="83"/>
      <x:c r="K36" s="83"/>
      <x:c r="L36" s="83"/>
      <x:c r="M36" s="83"/>
      <x:c r="N36" s="83"/>
      <x:c r="O36" s="83"/>
      <x:c r="P36" s="83"/>
      <x:c r="Q36" s="83"/>
      <x:c r="R36" s="83"/>
    </x:row>
    <x:row r="37">
      <x:c r="A37" s="83"/>
      <x:c r="B37" s="83"/>
      <x:c r="C37" s="83"/>
      <x:c r="D37" s="83"/>
      <x:c r="E37" s="83"/>
      <x:c r="F37" s="83"/>
      <x:c r="G37" s="83"/>
      <x:c r="H37" s="83"/>
      <x:c r="I37" s="83"/>
      <x:c r="J37" s="83"/>
      <x:c r="K37" s="83"/>
      <x:c r="L37" s="83"/>
      <x:c r="M37" s="83"/>
      <x:c r="N37" s="83"/>
      <x:c r="O37" s="83"/>
      <x:c r="P37" s="83"/>
      <x:c r="Q37" s="83"/>
      <x:c r="R37" s="83"/>
    </x:row>
    <x:row r="38">
      <x:c r="A38" s="83"/>
      <x:c r="B38" s="83"/>
      <x:c r="C38" s="83"/>
      <x:c r="D38" s="83"/>
      <x:c r="E38" s="83"/>
      <x:c r="F38" s="83"/>
      <x:c r="G38" s="83"/>
      <x:c r="H38" s="83"/>
      <x:c r="I38" s="83"/>
      <x:c r="J38" s="83"/>
      <x:c r="K38" s="83"/>
      <x:c r="L38" s="83"/>
      <x:c r="M38" s="83"/>
      <x:c r="N38" s="83"/>
      <x:c r="O38" s="83"/>
      <x:c r="P38" s="83"/>
      <x:c r="Q38" s="83"/>
      <x:c r="R38" s="83"/>
    </x:row>
    <x:row r="39">
      <x:c r="A39" s="83"/>
      <x:c r="B39" s="83"/>
      <x:c r="C39" s="83"/>
      <x:c r="D39" s="83"/>
      <x:c r="E39" s="83"/>
      <x:c r="F39" s="83"/>
      <x:c r="G39" s="83"/>
      <x:c r="H39" s="83"/>
      <x:c r="I39" s="83"/>
      <x:c r="J39" s="83"/>
      <x:c r="K39" s="83"/>
      <x:c r="L39" s="83"/>
      <x:c r="M39" s="83"/>
      <x:c r="N39" s="83"/>
      <x:c r="O39" s="83"/>
      <x:c r="P39" s="83"/>
      <x:c r="Q39" s="83"/>
      <x:c r="R39" s="83"/>
    </x:row>
    <x:row r="40">
      <x:c r="A40" s="83"/>
      <x:c r="B40" s="83"/>
      <x:c r="C40" s="83"/>
      <x:c r="D40" s="83"/>
      <x:c r="E40" s="83"/>
      <x:c r="F40" s="83"/>
      <x:c r="G40" s="83"/>
      <x:c r="H40" s="83"/>
      <x:c r="I40" s="83"/>
      <x:c r="J40" s="83"/>
      <x:c r="K40" s="83"/>
      <x:c r="L40" s="83"/>
      <x:c r="M40" s="83"/>
      <x:c r="N40" s="83"/>
      <x:c r="O40" s="83"/>
      <x:c r="P40" s="83"/>
      <x:c r="Q40" s="83"/>
      <x:c r="R40" s="83"/>
    </x:row>
    <x:row r="41">
      <x:c r="A41" s="83"/>
      <x:c r="B41" s="83"/>
      <x:c r="C41" s="83"/>
      <x:c r="D41" s="83"/>
      <x:c r="E41" s="83"/>
      <x:c r="F41" s="83"/>
      <x:c r="G41" s="83"/>
      <x:c r="H41" s="83"/>
      <x:c r="I41" s="83"/>
      <x:c r="J41" s="83"/>
      <x:c r="K41" s="83"/>
      <x:c r="L41" s="83"/>
      <x:c r="M41" s="83"/>
      <x:c r="N41" s="83"/>
      <x:c r="O41" s="83"/>
      <x:c r="P41" s="83"/>
      <x:c r="Q41" s="83"/>
      <x:c r="R41" s="83"/>
    </x:row>
    <x:row r="42">
      <x:c r="A42" s="83"/>
      <x:c r="B42" s="83"/>
      <x:c r="C42" s="83"/>
      <x:c r="D42" s="83"/>
      <x:c r="E42" s="83"/>
      <x:c r="F42" s="83"/>
      <x:c r="G42" s="83"/>
      <x:c r="H42" s="83"/>
      <x:c r="I42" s="83"/>
      <x:c r="J42" s="83"/>
      <x:c r="K42" s="83"/>
      <x:c r="L42" s="83"/>
      <x:c r="M42" s="83"/>
      <x:c r="N42" s="83"/>
      <x:c r="O42" s="83"/>
      <x:c r="P42" s="83"/>
      <x:c r="Q42" s="83"/>
      <x:c r="R42" s="83"/>
    </x:row>
    <x:row r="43">
      <x:c r="A43" s="83"/>
      <x:c r="B43" s="83"/>
      <x:c r="C43" s="83"/>
      <x:c r="D43" s="83"/>
      <x:c r="E43" s="83"/>
      <x:c r="F43" s="83"/>
      <x:c r="G43" s="83"/>
      <x:c r="H43" s="83"/>
      <x:c r="I43" s="83"/>
      <x:c r="J43" s="83"/>
      <x:c r="K43" s="83"/>
      <x:c r="L43" s="83"/>
      <x:c r="M43" s="83"/>
      <x:c r="N43" s="83"/>
      <x:c r="O43" s="83"/>
      <x:c r="P43" s="83"/>
      <x:c r="Q43" s="83"/>
      <x:c r="R43" s="83"/>
    </x:row>
    <x:row r="44">
      <x:c r="A44" s="83"/>
      <x:c r="B44" s="83"/>
      <x:c r="C44" s="83"/>
      <x:c r="D44" s="83"/>
      <x:c r="E44" s="83"/>
      <x:c r="F44" s="83"/>
      <x:c r="G44" s="83"/>
      <x:c r="H44" s="83"/>
      <x:c r="I44" s="83"/>
      <x:c r="J44" s="83"/>
      <x:c r="K44" s="83"/>
      <x:c r="L44" s="83"/>
      <x:c r="M44" s="83"/>
      <x:c r="N44" s="83"/>
      <x:c r="O44" s="83"/>
      <x:c r="P44" s="83"/>
      <x:c r="Q44" s="83"/>
      <x:c r="R44" s="83"/>
    </x:row>
    <x:row r="45">
      <x:c r="A45" s="83"/>
      <x:c r="B45" s="83"/>
      <x:c r="C45" s="83"/>
      <x:c r="D45" s="83"/>
      <x:c r="E45" s="83"/>
      <x:c r="F45" s="83"/>
      <x:c r="G45" s="83"/>
      <x:c r="H45" s="83"/>
      <x:c r="I45" s="83"/>
      <x:c r="J45" s="83"/>
      <x:c r="K45" s="83"/>
      <x:c r="L45" s="83"/>
      <x:c r="M45" s="83"/>
      <x:c r="N45" s="83"/>
      <x:c r="O45" s="83"/>
      <x:c r="P45" s="83"/>
      <x:c r="Q45" s="83"/>
      <x:c r="R45" s="83"/>
    </x:row>
    <x:row r="46">
      <x:c r="A46" s="83"/>
      <x:c r="B46" s="83"/>
      <x:c r="C46" s="83"/>
      <x:c r="D46" s="83"/>
      <x:c r="E46" s="83"/>
      <x:c r="F46" s="83"/>
      <x:c r="G46" s="83"/>
      <x:c r="H46" s="83"/>
      <x:c r="I46" s="83"/>
      <x:c r="J46" s="83"/>
      <x:c r="K46" s="83"/>
      <x:c r="L46" s="83"/>
      <x:c r="M46" s="83"/>
      <x:c r="N46" s="83"/>
      <x:c r="O46" s="83"/>
      <x:c r="P46" s="83"/>
      <x:c r="Q46" s="83"/>
      <x:c r="R46" s="83"/>
    </x:row>
    <x:row r="47">
      <x:c r="A47" s="83"/>
      <x:c r="B47" s="83"/>
      <x:c r="C47" s="83"/>
      <x:c r="D47" s="83"/>
      <x:c r="E47" s="83"/>
      <x:c r="F47" s="83"/>
      <x:c r="G47" s="83"/>
      <x:c r="H47" s="83"/>
      <x:c r="I47" s="83"/>
      <x:c r="J47" s="83"/>
      <x:c r="K47" s="83"/>
      <x:c r="L47" s="83"/>
      <x:c r="M47" s="83"/>
      <x:c r="N47" s="83"/>
      <x:c r="O47" s="83"/>
      <x:c r="P47" s="83"/>
      <x:c r="Q47" s="83"/>
      <x:c r="R47" s="83"/>
    </x:row>
    <x:row r="48">
      <x:c r="A48" s="83"/>
      <x:c r="B48" s="83"/>
      <x:c r="C48" s="83"/>
      <x:c r="D48" s="83"/>
      <x:c r="E48" s="83"/>
      <x:c r="F48" s="83"/>
      <x:c r="G48" s="83"/>
      <x:c r="H48" s="83"/>
      <x:c r="I48" s="83"/>
      <x:c r="J48" s="83"/>
      <x:c r="K48" s="83"/>
      <x:c r="L48" s="83"/>
      <x:c r="M48" s="83"/>
      <x:c r="N48" s="83"/>
      <x:c r="O48" s="83"/>
      <x:c r="P48" s="83"/>
      <x:c r="Q48" s="83"/>
      <x:c r="R48" s="83"/>
    </x:row>
    <x:row r="49">
      <x:c r="A49" s="83"/>
      <x:c r="B49" s="83"/>
      <x:c r="C49" s="83"/>
      <x:c r="D49" s="83"/>
      <x:c r="E49" s="83"/>
      <x:c r="F49" s="83"/>
      <x:c r="G49" s="83"/>
      <x:c r="H49" s="83"/>
      <x:c r="I49" s="83"/>
      <x:c r="J49" s="83"/>
      <x:c r="K49" s="83"/>
      <x:c r="L49" s="83"/>
      <x:c r="M49" s="83"/>
      <x:c r="N49" s="83"/>
      <x:c r="O49" s="83"/>
      <x:c r="P49" s="83"/>
      <x:c r="Q49" s="83"/>
      <x:c r="R49" s="83"/>
    </x:row>
    <x:row r="50">
      <x:c r="A50" s="83"/>
      <x:c r="B50" s="83"/>
      <x:c r="C50" s="83"/>
      <x:c r="D50" s="83"/>
      <x:c r="E50" s="83"/>
      <x:c r="F50" s="83"/>
      <x:c r="G50" s="83"/>
      <x:c r="H50" s="83"/>
      <x:c r="I50" s="83"/>
      <x:c r="J50" s="83"/>
      <x:c r="K50" s="83"/>
      <x:c r="L50" s="83"/>
      <x:c r="M50" s="83"/>
      <x:c r="N50" s="83"/>
      <x:c r="O50" s="83"/>
      <x:c r="P50" s="83"/>
      <x:c r="Q50" s="83"/>
      <x:c r="R50" s="83"/>
    </x:row>
    <x:row r="51">
      <x:c r="A51" s="83"/>
      <x:c r="B51" s="83"/>
      <x:c r="C51" s="83"/>
      <x:c r="D51" s="83"/>
      <x:c r="E51" s="83"/>
      <x:c r="F51" s="83"/>
      <x:c r="G51" s="83"/>
      <x:c r="H51" s="83"/>
      <x:c r="I51" s="83"/>
      <x:c r="J51" s="83"/>
      <x:c r="K51" s="83"/>
      <x:c r="L51" s="83"/>
      <x:c r="M51" s="83"/>
      <x:c r="N51" s="83"/>
      <x:c r="O51" s="83"/>
      <x:c r="P51" s="83"/>
      <x:c r="Q51" s="83"/>
      <x:c r="R51" s="83"/>
    </x:row>
    <x:row r="52">
      <x:c r="A52" s="83"/>
      <x:c r="B52" s="83"/>
      <x:c r="C52" s="83"/>
      <x:c r="D52" s="83"/>
      <x:c r="E52" s="83"/>
      <x:c r="F52" s="83"/>
      <x:c r="G52" s="83"/>
      <x:c r="H52" s="83"/>
      <x:c r="I52" s="83"/>
      <x:c r="J52" s="83"/>
      <x:c r="K52" s="83"/>
      <x:c r="L52" s="83"/>
      <x:c r="M52" s="83"/>
      <x:c r="N52" s="83"/>
      <x:c r="O52" s="83"/>
      <x:c r="P52" s="83"/>
      <x:c r="Q52" s="83"/>
      <x:c r="R52" s="83"/>
    </x:row>
    <x:row r="53">
      <x:c r="A53" s="83"/>
      <x:c r="B53" s="83"/>
      <x:c r="C53" s="83"/>
      <x:c r="D53" s="83"/>
      <x:c r="E53" s="83"/>
      <x:c r="F53" s="83"/>
      <x:c r="G53" s="83"/>
      <x:c r="H53" s="83"/>
      <x:c r="I53" s="83"/>
      <x:c r="J53" s="83"/>
      <x:c r="K53" s="83"/>
      <x:c r="L53" s="83"/>
      <x:c r="M53" s="83"/>
      <x:c r="N53" s="83"/>
      <x:c r="O53" s="83"/>
      <x:c r="P53" s="83"/>
      <x:c r="Q53" s="83"/>
      <x:c r="R53" s="83"/>
    </x:row>
    <x:row r="54">
      <x:c r="A54" s="83"/>
      <x:c r="B54" s="83"/>
      <x:c r="C54" s="83"/>
      <x:c r="D54" s="83"/>
      <x:c r="E54" s="83"/>
      <x:c r="F54" s="83"/>
      <x:c r="G54" s="83"/>
      <x:c r="H54" s="83"/>
      <x:c r="I54" s="83"/>
      <x:c r="J54" s="83"/>
      <x:c r="K54" s="83"/>
      <x:c r="L54" s="83"/>
      <x:c r="M54" s="83"/>
      <x:c r="N54" s="83"/>
      <x:c r="O54" s="83"/>
      <x:c r="P54" s="83"/>
      <x:c r="Q54" s="83"/>
      <x:c r="R54" s="83"/>
    </x:row>
    <x:row r="55">
      <x:c r="A55" s="83"/>
      <x:c r="B55" s="83"/>
      <x:c r="C55" s="83"/>
      <x:c r="D55" s="83"/>
      <x:c r="E55" s="83"/>
      <x:c r="F55" s="83"/>
      <x:c r="G55" s="83"/>
      <x:c r="H55" s="83"/>
      <x:c r="I55" s="83"/>
      <x:c r="J55" s="83"/>
      <x:c r="K55" s="83"/>
      <x:c r="L55" s="83"/>
      <x:c r="M55" s="83"/>
      <x:c r="N55" s="83"/>
      <x:c r="O55" s="83"/>
      <x:c r="P55" s="83"/>
      <x:c r="Q55" s="83"/>
      <x:c r="R55" s="83"/>
    </x:row>
    <x:row r="56">
      <x:c r="A56" s="83"/>
      <x:c r="B56" s="83"/>
      <x:c r="C56" s="83"/>
      <x:c r="D56" s="83"/>
      <x:c r="E56" s="83"/>
      <x:c r="F56" s="83"/>
      <x:c r="G56" s="83"/>
      <x:c r="H56" s="83"/>
      <x:c r="I56" s="83"/>
      <x:c r="J56" s="83"/>
      <x:c r="K56" s="83"/>
      <x:c r="L56" s="83"/>
      <x:c r="M56" s="83"/>
      <x:c r="N56" s="83"/>
      <x:c r="O56" s="83"/>
      <x:c r="P56" s="83"/>
      <x:c r="Q56" s="83"/>
      <x:c r="R56" s="83"/>
    </x:row>
    <x:row r="57">
      <x:c r="A57" s="83"/>
      <x:c r="B57" s="83"/>
      <x:c r="C57" s="83"/>
      <x:c r="D57" s="83"/>
      <x:c r="E57" s="83"/>
      <x:c r="F57" s="83"/>
      <x:c r="G57" s="83"/>
      <x:c r="H57" s="83"/>
      <x:c r="I57" s="83"/>
      <x:c r="J57" s="83"/>
      <x:c r="K57" s="83"/>
      <x:c r="L57" s="83"/>
      <x:c r="M57" s="83"/>
      <x:c r="N57" s="83"/>
      <x:c r="O57" s="83"/>
      <x:c r="P57" s="83"/>
      <x:c r="Q57" s="83"/>
      <x:c r="R57" s="83"/>
    </x:row>
    <x:row r="58">
      <x:c r="A58" s="83"/>
      <x:c r="B58" s="83"/>
      <x:c r="C58" s="83"/>
      <x:c r="D58" s="83"/>
      <x:c r="E58" s="83"/>
      <x:c r="F58" s="83"/>
      <x:c r="G58" s="83"/>
      <x:c r="H58" s="83"/>
      <x:c r="I58" s="83"/>
      <x:c r="J58" s="83"/>
      <x:c r="K58" s="83"/>
      <x:c r="L58" s="83"/>
      <x:c r="M58" s="83"/>
      <x:c r="N58" s="83"/>
      <x:c r="O58" s="83"/>
      <x:c r="P58" s="83"/>
      <x:c r="Q58" s="83"/>
      <x:c r="R58" s="83"/>
    </x:row>
    <x:row r="59">
      <x:c r="A59" s="83"/>
      <x:c r="B59" s="83"/>
      <x:c r="C59" s="83"/>
      <x:c r="D59" s="83"/>
      <x:c r="E59" s="83"/>
      <x:c r="F59" s="83"/>
      <x:c r="G59" s="83"/>
      <x:c r="H59" s="83"/>
      <x:c r="I59" s="83"/>
      <x:c r="J59" s="83"/>
      <x:c r="K59" s="83"/>
      <x:c r="L59" s="83"/>
      <x:c r="M59" s="83"/>
      <x:c r="N59" s="83"/>
      <x:c r="O59" s="83"/>
      <x:c r="P59" s="83"/>
      <x:c r="Q59" s="83"/>
      <x:c r="R59" s="83"/>
    </x:row>
    <x:row r="60">
      <x:c r="A60" s="83"/>
      <x:c r="B60" s="83"/>
      <x:c r="C60" s="83"/>
      <x:c r="D60" s="83"/>
      <x:c r="E60" s="83"/>
      <x:c r="F60" s="83"/>
      <x:c r="G60" s="83"/>
      <x:c r="H60" s="83"/>
      <x:c r="I60" s="83"/>
      <x:c r="J60" s="83"/>
      <x:c r="K60" s="83"/>
      <x:c r="L60" s="83"/>
      <x:c r="M60" s="83"/>
      <x:c r="N60" s="83"/>
      <x:c r="O60" s="83"/>
      <x:c r="P60" s="83"/>
      <x:c r="Q60" s="83"/>
      <x:c r="R60" s="83"/>
    </x:row>
    <x:row r="61">
      <x:c r="A61" s="83"/>
      <x:c r="B61" s="83"/>
      <x:c r="C61" s="83"/>
      <x:c r="D61" s="83"/>
      <x:c r="E61" s="83"/>
      <x:c r="F61" s="83"/>
      <x:c r="G61" s="83"/>
      <x:c r="H61" s="83"/>
      <x:c r="I61" s="83"/>
      <x:c r="J61" s="83"/>
      <x:c r="K61" s="83"/>
      <x:c r="L61" s="83"/>
      <x:c r="M61" s="83"/>
      <x:c r="N61" s="83"/>
      <x:c r="O61" s="83"/>
      <x:c r="P61" s="83"/>
      <x:c r="Q61" s="83"/>
      <x:c r="R61" s="83"/>
    </x:row>
    <x:row r="62">
      <x:c r="A62" s="83"/>
      <x:c r="B62" s="83"/>
      <x:c r="C62" s="83"/>
      <x:c r="D62" s="83"/>
      <x:c r="E62" s="83"/>
      <x:c r="F62" s="83"/>
      <x:c r="G62" s="83"/>
      <x:c r="H62" s="83"/>
      <x:c r="I62" s="83"/>
      <x:c r="J62" s="83"/>
      <x:c r="K62" s="83"/>
      <x:c r="L62" s="83"/>
      <x:c r="M62" s="83"/>
      <x:c r="N62" s="83"/>
      <x:c r="O62" s="83"/>
      <x:c r="P62" s="83"/>
      <x:c r="Q62" s="83"/>
      <x:c r="R62" s="83"/>
    </x:row>
    <x:row r="63">
      <x:c r="A63" s="83"/>
      <x:c r="B63" s="83"/>
      <x:c r="C63" s="83"/>
      <x:c r="D63" s="83"/>
      <x:c r="E63" s="83"/>
      <x:c r="F63" s="83"/>
      <x:c r="G63" s="83"/>
      <x:c r="H63" s="83"/>
      <x:c r="I63" s="83"/>
      <x:c r="J63" s="83"/>
      <x:c r="K63" s="83"/>
      <x:c r="L63" s="83"/>
      <x:c r="M63" s="83"/>
      <x:c r="N63" s="83"/>
      <x:c r="O63" s="83"/>
      <x:c r="P63" s="83"/>
      <x:c r="Q63" s="83"/>
      <x:c r="R63" s="83"/>
    </x:row>
    <x:row r="64">
      <x:c r="A64" s="83"/>
      <x:c r="B64" s="83"/>
      <x:c r="C64" s="83"/>
      <x:c r="D64" s="83"/>
      <x:c r="E64" s="83"/>
      <x:c r="F64" s="83"/>
      <x:c r="G64" s="83"/>
      <x:c r="H64" s="83"/>
      <x:c r="I64" s="83"/>
      <x:c r="J64" s="83"/>
      <x:c r="K64" s="83"/>
      <x:c r="L64" s="83"/>
      <x:c r="M64" s="83"/>
      <x:c r="N64" s="83"/>
      <x:c r="O64" s="83"/>
      <x:c r="P64" s="83"/>
      <x:c r="Q64" s="83"/>
      <x:c r="R64" s="83"/>
    </x:row>
    <x:row r="65">
      <x:c r="A65" s="83"/>
      <x:c r="B65" s="83"/>
      <x:c r="C65" s="83"/>
      <x:c r="D65" s="83"/>
      <x:c r="E65" s="83"/>
      <x:c r="F65" s="83"/>
      <x:c r="G65" s="83"/>
      <x:c r="H65" s="83"/>
      <x:c r="I65" s="83"/>
      <x:c r="J65" s="83"/>
      <x:c r="K65" s="83"/>
      <x:c r="L65" s="83"/>
      <x:c r="M65" s="83"/>
      <x:c r="N65" s="83"/>
      <x:c r="O65" s="83"/>
      <x:c r="P65" s="83"/>
      <x:c r="Q65" s="83"/>
      <x:c r="R65" s="83"/>
    </x:row>
    <x:row r="66">
      <x:c r="A66" s="83"/>
      <x:c r="B66" s="83"/>
      <x:c r="C66" s="83"/>
      <x:c r="D66" s="83"/>
      <x:c r="E66" s="83"/>
      <x:c r="F66" s="83"/>
      <x:c r="G66" s="83"/>
      <x:c r="H66" s="83"/>
      <x:c r="I66" s="83"/>
      <x:c r="J66" s="83"/>
      <x:c r="K66" s="83"/>
      <x:c r="L66" s="83"/>
      <x:c r="M66" s="83"/>
      <x:c r="N66" s="83"/>
      <x:c r="O66" s="83"/>
      <x:c r="P66" s="83"/>
      <x:c r="Q66" s="83"/>
      <x:c r="R66" s="83"/>
    </x:row>
    <x:row r="67">
      <x:c r="A67" s="83"/>
      <x:c r="B67" s="83"/>
      <x:c r="C67" s="83"/>
      <x:c r="D67" s="83"/>
      <x:c r="E67" s="83"/>
      <x:c r="F67" s="83"/>
      <x:c r="G67" s="83"/>
      <x:c r="H67" s="83"/>
      <x:c r="I67" s="83"/>
      <x:c r="J67" s="83"/>
      <x:c r="K67" s="83"/>
      <x:c r="L67" s="83"/>
      <x:c r="M67" s="83"/>
      <x:c r="N67" s="83"/>
      <x:c r="O67" s="83"/>
      <x:c r="P67" s="83"/>
      <x:c r="Q67" s="83"/>
      <x:c r="R67" s="83"/>
    </x:row>
    <x:row r="68">
      <x:c r="A68" s="83"/>
      <x:c r="B68" s="83"/>
      <x:c r="C68" s="83"/>
      <x:c r="D68" s="83"/>
      <x:c r="E68" s="83"/>
      <x:c r="F68" s="83"/>
      <x:c r="G68" s="83"/>
      <x:c r="H68" s="83"/>
      <x:c r="I68" s="83"/>
      <x:c r="J68" s="83"/>
      <x:c r="K68" s="83"/>
      <x:c r="L68" s="83"/>
      <x:c r="M68" s="83"/>
      <x:c r="N68" s="83"/>
      <x:c r="O68" s="83"/>
      <x:c r="P68" s="83"/>
      <x:c r="Q68" s="83"/>
      <x:c r="R68" s="83"/>
    </x:row>
    <x:row r="69">
      <x:c r="A69" s="83"/>
      <x:c r="B69" s="83"/>
      <x:c r="C69" s="83"/>
      <x:c r="D69" s="83"/>
      <x:c r="E69" s="83"/>
      <x:c r="F69" s="83"/>
      <x:c r="G69" s="83"/>
      <x:c r="H69" s="83"/>
      <x:c r="I69" s="83"/>
      <x:c r="J69" s="83"/>
      <x:c r="K69" s="83"/>
      <x:c r="L69" s="83"/>
      <x:c r="M69" s="83"/>
      <x:c r="N69" s="83"/>
      <x:c r="O69" s="83"/>
      <x:c r="P69" s="83"/>
      <x:c r="Q69" s="83"/>
      <x:c r="R69" s="83"/>
    </x:row>
    <x:row r="70">
      <x:c r="A70" s="83"/>
      <x:c r="B70" s="83"/>
      <x:c r="C70" s="83"/>
      <x:c r="D70" s="83"/>
      <x:c r="E70" s="83"/>
      <x:c r="F70" s="83"/>
      <x:c r="G70" s="83"/>
      <x:c r="H70" s="83"/>
      <x:c r="I70" s="83"/>
      <x:c r="J70" s="83"/>
      <x:c r="K70" s="83"/>
      <x:c r="L70" s="83"/>
      <x:c r="M70" s="83"/>
      <x:c r="N70" s="83"/>
      <x:c r="O70" s="83"/>
      <x:c r="P70" s="83"/>
      <x:c r="Q70" s="83"/>
      <x:c r="R70" s="83"/>
    </x:row>
    <x:row r="71">
      <x:c r="A71" s="83"/>
      <x:c r="B71" s="83"/>
      <x:c r="C71" s="83"/>
      <x:c r="D71" s="83"/>
      <x:c r="E71" s="83"/>
      <x:c r="F71" s="83"/>
      <x:c r="G71" s="83"/>
      <x:c r="H71" s="83"/>
      <x:c r="I71" s="83"/>
      <x:c r="J71" s="83"/>
      <x:c r="K71" s="83"/>
      <x:c r="L71" s="83"/>
      <x:c r="M71" s="83"/>
      <x:c r="N71" s="83"/>
      <x:c r="O71" s="83"/>
      <x:c r="P71" s="83"/>
      <x:c r="Q71" s="83"/>
      <x:c r="R71" s="83"/>
    </x:row>
    <x:row r="72">
      <x:c r="A72" s="83"/>
      <x:c r="B72" s="83"/>
      <x:c r="C72" s="83"/>
      <x:c r="D72" s="83"/>
      <x:c r="E72" s="83"/>
      <x:c r="F72" s="83"/>
      <x:c r="G72" s="83"/>
      <x:c r="H72" s="83"/>
      <x:c r="I72" s="83"/>
      <x:c r="J72" s="83"/>
      <x:c r="K72" s="83"/>
      <x:c r="L72" s="83"/>
      <x:c r="M72" s="83"/>
      <x:c r="N72" s="83"/>
      <x:c r="O72" s="83"/>
      <x:c r="P72" s="83"/>
      <x:c r="Q72" s="83"/>
      <x:c r="R72" s="83"/>
    </x:row>
    <x:row r="73">
      <x:c r="A73" s="83"/>
      <x:c r="B73" s="83"/>
      <x:c r="C73" s="83"/>
      <x:c r="D73" s="83"/>
      <x:c r="E73" s="83"/>
      <x:c r="F73" s="83"/>
      <x:c r="G73" s="83"/>
      <x:c r="H73" s="83"/>
      <x:c r="I73" s="83"/>
      <x:c r="J73" s="83"/>
      <x:c r="K73" s="83"/>
      <x:c r="L73" s="83"/>
      <x:c r="M73" s="83"/>
      <x:c r="N73" s="83"/>
      <x:c r="O73" s="83"/>
      <x:c r="P73" s="83"/>
      <x:c r="Q73" s="83"/>
      <x:c r="R73" s="83"/>
    </x:row>
    <x:row r="74">
      <x:c r="A74" s="83"/>
      <x:c r="B74" s="83"/>
      <x:c r="C74" s="83"/>
      <x:c r="D74" s="83"/>
      <x:c r="E74" s="83"/>
      <x:c r="F74" s="83"/>
      <x:c r="G74" s="83"/>
      <x:c r="H74" s="83"/>
      <x:c r="I74" s="83"/>
      <x:c r="J74" s="83"/>
      <x:c r="K74" s="83"/>
      <x:c r="L74" s="83"/>
      <x:c r="M74" s="83"/>
      <x:c r="N74" s="83"/>
      <x:c r="O74" s="83"/>
      <x:c r="P74" s="83"/>
      <x:c r="Q74" s="83"/>
      <x:c r="R74" s="83"/>
    </x:row>
    <x:row r="75">
      <x:c r="A75" s="83"/>
      <x:c r="B75" s="83"/>
      <x:c r="C75" s="83"/>
      <x:c r="D75" s="83"/>
      <x:c r="E75" s="83"/>
      <x:c r="F75" s="83"/>
      <x:c r="G75" s="83"/>
      <x:c r="H75" s="83"/>
      <x:c r="I75" s="83"/>
      <x:c r="J75" s="83"/>
      <x:c r="K75" s="83"/>
      <x:c r="L75" s="83"/>
      <x:c r="M75" s="83"/>
      <x:c r="N75" s="83"/>
      <x:c r="O75" s="83"/>
      <x:c r="P75" s="83"/>
      <x:c r="Q75" s="83"/>
      <x:c r="R75" s="83"/>
    </x:row>
    <x:row r="76">
      <x:c r="A76" s="83"/>
      <x:c r="B76" s="83"/>
      <x:c r="C76" s="83"/>
      <x:c r="D76" s="83"/>
      <x:c r="E76" s="83"/>
      <x:c r="F76" s="83"/>
      <x:c r="G76" s="83"/>
      <x:c r="H76" s="83"/>
      <x:c r="I76" s="83"/>
      <x:c r="J76" s="83"/>
      <x:c r="K76" s="83"/>
      <x:c r="L76" s="83"/>
      <x:c r="M76" s="83"/>
      <x:c r="N76" s="83"/>
      <x:c r="O76" s="83"/>
      <x:c r="P76" s="83"/>
      <x:c r="Q76" s="83"/>
      <x:c r="R76" s="83"/>
    </x:row>
    <x:row r="77">
      <x:c r="A77" s="83"/>
      <x:c r="B77" s="83"/>
      <x:c r="C77" s="83"/>
      <x:c r="D77" s="83"/>
      <x:c r="E77" s="83"/>
      <x:c r="F77" s="83"/>
      <x:c r="G77" s="83"/>
      <x:c r="H77" s="83"/>
      <x:c r="I77" s="83"/>
      <x:c r="J77" s="83"/>
      <x:c r="K77" s="83"/>
      <x:c r="L77" s="83"/>
      <x:c r="M77" s="83"/>
      <x:c r="N77" s="83"/>
      <x:c r="O77" s="83"/>
      <x:c r="P77" s="83"/>
      <x:c r="Q77" s="83"/>
      <x:c r="R77" s="83"/>
    </x:row>
    <x:row r="78">
      <x:c r="A78" s="83"/>
      <x:c r="B78" s="83"/>
      <x:c r="C78" s="83"/>
      <x:c r="D78" s="83"/>
      <x:c r="E78" s="83"/>
      <x:c r="F78" s="83"/>
      <x:c r="G78" s="83"/>
      <x:c r="H78" s="83"/>
      <x:c r="I78" s="83"/>
      <x:c r="J78" s="83"/>
      <x:c r="K78" s="83"/>
      <x:c r="L78" s="83"/>
      <x:c r="M78" s="83"/>
      <x:c r="N78" s="83"/>
      <x:c r="O78" s="83"/>
      <x:c r="P78" s="83"/>
      <x:c r="Q78" s="83"/>
      <x:c r="R78" s="83"/>
    </x:row>
    <x:row r="79">
      <x:c r="A79" s="83"/>
      <x:c r="B79" s="83"/>
      <x:c r="C79" s="83"/>
      <x:c r="D79" s="83"/>
      <x:c r="E79" s="83"/>
      <x:c r="F79" s="83"/>
      <x:c r="G79" s="83"/>
      <x:c r="H79" s="83"/>
      <x:c r="I79" s="83"/>
      <x:c r="J79" s="83"/>
      <x:c r="K79" s="83"/>
      <x:c r="L79" s="83"/>
      <x:c r="M79" s="83"/>
      <x:c r="N79" s="83"/>
      <x:c r="O79" s="83"/>
      <x:c r="P79" s="83"/>
      <x:c r="Q79" s="83"/>
      <x:c r="R79" s="83"/>
    </x:row>
    <x:row r="80">
      <x:c r="A80" s="83"/>
      <x:c r="B80" s="83"/>
      <x:c r="C80" s="83"/>
      <x:c r="D80" s="83"/>
      <x:c r="E80" s="83"/>
      <x:c r="F80" s="83"/>
      <x:c r="G80" s="83"/>
      <x:c r="H80" s="83"/>
      <x:c r="I80" s="83"/>
      <x:c r="J80" s="83"/>
      <x:c r="K80" s="83"/>
      <x:c r="L80" s="83"/>
      <x:c r="M80" s="83"/>
      <x:c r="N80" s="83"/>
      <x:c r="O80" s="83"/>
      <x:c r="P80" s="83"/>
      <x:c r="Q80" s="83"/>
      <x:c r="R80" s="83"/>
    </x:row>
  </x:sheetData>
  <x:mergeCells>
    <x:mergeCell ref="A1:L1"/>
  </x:mergeCells>
  <x:conditionalFormatting sqref="K4:K33">
    <x:cfRule type="expression" dxfId="7" priority="1">
      <x:formula>$K4&lt;&gt;"OK"</x:formula>
    </x:cfRule>
  </x:conditionalFormatting>
  <x:dataValidations count="3">
    <x:dataValidation type="list" sqref="C4:C33">
      <x:formula1>_LISTS!$H$2:$H$8</x:formula1>
    </x:dataValidation>
    <x:dataValidation type="list" sqref="H4:I33">
      <x:formula1>_LISTS!$F$2:$F$4</x:formula1>
    </x:dataValidation>
    <x:dataValidation type="list" sqref="J4:J33">
      <x:formula1>_LISTS!$E$2:$E$5</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18" hidden="0" customWidth="1"/>
    <x:col min="2" max="2" width="44" hidden="0" customWidth="1"/>
    <x:col min="3" max="3" width="20" hidden="0" customWidth="1"/>
    <x:col min="4" max="4" width="16" hidden="0" customWidth="1"/>
    <x:col min="5" max="5" width="12" hidden="0" customWidth="1"/>
    <x:col min="6" max="6" width="58" hidden="0" customWidth="1"/>
    <x:col min="7" max="7" width="30" hidden="0" customWidth="1"/>
  </x:cols>
  <x:sheetData>
    <x:row r="1">
      <x:c r="A1" s="133" t="str">
        <x:v>QA CHECKS — automated where possible; judgment checks are explicitly labeled</x:v>
      </x:c>
      <x:c r="B1" s="133"/>
      <x:c r="C1" s="133"/>
      <x:c r="D1" s="133"/>
      <x:c r="E1" s="133"/>
      <x:c r="F1" s="133"/>
      <x:c r="G1" s="133"/>
      <x:c r="H1" s="83"/>
      <x:c r="I1" s="83"/>
      <x:c r="J1" s="83"/>
      <x:c r="K1" s="83"/>
      <x:c r="L1" s="83"/>
      <x:c r="M1" s="83"/>
      <x:c r="N1" s="83"/>
      <x:c r="O1" s="83"/>
      <x:c r="P1" s="83"/>
      <x:c r="Q1" s="83"/>
      <x:c r="R1" s="83"/>
    </x:row>
    <x:row r="2">
      <x:c r="A2" s="83"/>
      <x:c r="B2" s="83"/>
      <x:c r="C2" s="83"/>
      <x:c r="D2" s="83"/>
      <x:c r="E2" s="83"/>
      <x:c r="F2" s="83"/>
      <x:c r="G2" s="83"/>
      <x:c r="H2" s="83"/>
      <x:c r="I2" s="83"/>
      <x:c r="J2" s="83"/>
      <x:c r="K2" s="83"/>
      <x:c r="L2" s="83"/>
      <x:c r="M2" s="83"/>
      <x:c r="N2" s="83"/>
      <x:c r="O2" s="83"/>
      <x:c r="P2" s="83"/>
      <x:c r="Q2" s="83"/>
      <x:c r="R2" s="83"/>
    </x:row>
    <x:row r="3">
      <x:c r="A3" s="113" t="str">
        <x:v>Category</x:v>
      </x:c>
      <x:c r="B3" s="113" t="str">
        <x:v>Check</x:v>
      </x:c>
      <x:c r="C3" s="113" t="str">
        <x:v>Auto Result / Prompt</x:v>
      </x:c>
      <x:c r="D3" s="113" t="str">
        <x:v>Owner Status</x:v>
      </x:c>
      <x:c r="E3" s="113" t="str">
        <x:v>Priority</x:v>
      </x:c>
      <x:c r="F3" s="113" t="str">
        <x:v>What Good Looks Like</x:v>
      </x:c>
      <x:c r="G3" s="113" t="str">
        <x:v>Notes</x:v>
      </x:c>
      <x:c r="H3" s="83"/>
      <x:c r="I3" s="83"/>
      <x:c r="J3" s="83"/>
      <x:c r="K3" s="83"/>
      <x:c r="L3" s="83"/>
      <x:c r="M3" s="83"/>
      <x:c r="N3" s="83"/>
      <x:c r="O3" s="83"/>
      <x:c r="P3" s="83"/>
      <x:c r="Q3" s="83"/>
      <x:c r="R3" s="83"/>
    </x:row>
    <x:row r="4">
      <x:c r="A4" s="121" t="str">
        <x:v>Timing</x:v>
      </x:c>
      <x:c r="B4" s="121" t="str">
        <x:v>Total outlined minutes match target minutes</x:v>
      </x:c>
      <x:c r="C4" s="114" t="str">
        <x:f>IF(COUNTIF(OUTLINE!C4:C43,"&lt;&gt;")=0,"NOT STARTED",IF(SUM(OUTLINE!D4:D43)=SETUP!B7,"OK","ACTION NEEDED"))</x:f>
        <x:v>NOT STARTED</x:v>
      </x:c>
      <x:c r="D4" s="111" t="str">
        <x:v>Not Started</x:v>
      </x:c>
      <x:c r="E4" s="121" t="str">
        <x:v>Critical</x:v>
      </x:c>
      <x:c r="F4" s="121" t="str">
        <x:v>The agenda totals exactly to the promised session duration.</x:v>
      </x:c>
      <x:c r="G4" s="111"/>
      <x:c r="H4" s="83"/>
      <x:c r="I4" s="83"/>
      <x:c r="J4" s="83"/>
      <x:c r="K4" s="83"/>
      <x:c r="L4" s="83"/>
      <x:c r="M4" s="83"/>
      <x:c r="N4" s="83"/>
      <x:c r="O4" s="83"/>
      <x:c r="P4" s="83"/>
      <x:c r="Q4" s="83"/>
      <x:c r="R4" s="83"/>
    </x:row>
    <x:row r="5">
      <x:c r="A5" s="121" t="str">
        <x:v>Timing</x:v>
      </x:c>
      <x:c r="B5" s="121" t="str">
        <x:v>No segment is missing minutes</x:v>
      </x:c>
      <x:c r="C5" s="114" t="str">
        <x:f>IF(COUNTIFS(OUTLINE!C4:C43,"&lt;&gt;",OUTLINE!D4:D43,"")=0,"OK","ACTION NEEDED")</x:f>
        <x:v>OK</x:v>
      </x:c>
      <x:c r="D5" s="111" t="str">
        <x:v>Not Started</x:v>
      </x:c>
      <x:c r="E5" s="121" t="str">
        <x:v>Critical</x:v>
      </x:c>
      <x:c r="F5" s="121" t="str">
        <x:v>Every live segment has a duration.</x:v>
      </x:c>
      <x:c r="G5" s="111"/>
      <x:c r="H5" s="83"/>
      <x:c r="I5" s="83"/>
      <x:c r="J5" s="83"/>
      <x:c r="K5" s="83"/>
      <x:c r="L5" s="83"/>
      <x:c r="M5" s="83"/>
      <x:c r="N5" s="83"/>
      <x:c r="O5" s="83"/>
      <x:c r="P5" s="83"/>
      <x:c r="Q5" s="83"/>
      <x:c r="R5" s="83"/>
    </x:row>
    <x:row r="6">
      <x:c r="A6" s="121" t="str">
        <x:v>Timing</x:v>
      </x:c>
      <x:c r="B6" s="121" t="str">
        <x:v>Break planning is appropriate for session length</x:v>
      </x:c>
      <x:c r="C6" s="114" t="str">
        <x:f>IF(SETUP!B7&lt;150,"N/A",IF(COUNTIF(OUTLINE!E4:E43,"Break")&gt;0,"OK","REVIEW"))</x:f>
        <x:v>N/A</x:v>
      </x:c>
      <x:c r="D6" s="111" t="str">
        <x:v>Not Started</x:v>
      </x:c>
      <x:c r="E6" s="121" t="str">
        <x:v>Medium</x:v>
      </x:c>
      <x:c r="F6" s="121" t="str">
        <x:v>Longer sessions intentionally include participant breaks or clearly justified alternatives.</x:v>
      </x:c>
      <x:c r="G6" s="111"/>
      <x:c r="H6" s="83"/>
      <x:c r="I6" s="83"/>
      <x:c r="J6" s="83"/>
      <x:c r="K6" s="83"/>
      <x:c r="L6" s="83"/>
      <x:c r="M6" s="83"/>
      <x:c r="N6" s="83"/>
      <x:c r="O6" s="83"/>
      <x:c r="P6" s="83"/>
      <x:c r="Q6" s="83"/>
      <x:c r="R6" s="83"/>
    </x:row>
    <x:row r="7">
      <x:c r="A7" s="121" t="str">
        <x:v>Alignment</x:v>
      </x:c>
      <x:c r="B7" s="121" t="str">
        <x:v>Every objective is mapped</x:v>
      </x:c>
      <x:c r="C7" s="114" t="str">
        <x:f>IF(COUNTIF(OBJECTIVES!J4:J15,"NOT MAPPED")=0,"OK","ACTION NEEDED")</x:f>
        <x:v>OK</x:v>
      </x:c>
      <x:c r="D7" s="111" t="str">
        <x:v>Not Started</x:v>
      </x:c>
      <x:c r="E7" s="121" t="str">
        <x:v>Critical</x:v>
      </x:c>
      <x:c r="F7" s="121" t="str">
        <x:v>Each stated objective appears in the actual agenda.</x:v>
      </x:c>
      <x:c r="G7" s="111"/>
      <x:c r="H7" s="83"/>
      <x:c r="I7" s="83"/>
      <x:c r="J7" s="83"/>
      <x:c r="K7" s="83"/>
      <x:c r="L7" s="83"/>
      <x:c r="M7" s="83"/>
      <x:c r="N7" s="83"/>
      <x:c r="O7" s="83"/>
      <x:c r="P7" s="83"/>
      <x:c r="Q7" s="83"/>
      <x:c r="R7" s="83"/>
    </x:row>
    <x:row r="8">
      <x:c r="A8" s="121" t="str">
        <x:v>Alignment</x:v>
      </x:c>
      <x:c r="B8" s="121" t="str">
        <x:v>Every objective has participant practice</x:v>
      </x:c>
      <x:c r="C8" s="114" t="str">
        <x:f>IF(COUNTIF(OBJECTIVES!J4:J15,"NO PRACTICE")=0,"OK","ACTION NEEDED")</x:f>
        <x:v>OK</x:v>
      </x:c>
      <x:c r="D8" s="111" t="str">
        <x:v>Not Started</x:v>
      </x:c>
      <x:c r="E8" s="121" t="str">
        <x:v>High</x:v>
      </x:c>
      <x:c r="F8" s="121" t="str">
        <x:v>Participants do something observable with each major skill.</x:v>
      </x:c>
      <x:c r="G8" s="111"/>
      <x:c r="H8" s="83"/>
      <x:c r="I8" s="83"/>
      <x:c r="J8" s="83"/>
      <x:c r="K8" s="83"/>
      <x:c r="L8" s="83"/>
      <x:c r="M8" s="83"/>
      <x:c r="N8" s="83"/>
      <x:c r="O8" s="83"/>
      <x:c r="P8" s="83"/>
      <x:c r="Q8" s="83"/>
      <x:c r="R8" s="83"/>
    </x:row>
    <x:row r="9">
      <x:c r="A9" s="121" t="str">
        <x:v>Assessment</x:v>
      </x:c>
      <x:c r="B9" s="121" t="str">
        <x:v>Every objective has an assessment/check</x:v>
      </x:c>
      <x:c r="C9" s="114" t="str">
        <x:f>IF(COUNTIF(OBJECTIVES!J4:J15,"NO ASSESSMENT")=0,"OK","REVIEW")</x:f>
        <x:v>OK</x:v>
      </x:c>
      <x:c r="D9" s="111" t="str">
        <x:v>Not Started</x:v>
      </x:c>
      <x:c r="E9" s="121" t="str">
        <x:v>High</x:v>
      </x:c>
      <x:c r="F9" s="121" t="str">
        <x:v>There is a reasonable way to check understanding or application.</x:v>
      </x:c>
      <x:c r="G9" s="111"/>
      <x:c r="H9" s="83"/>
      <x:c r="I9" s="83"/>
      <x:c r="J9" s="83"/>
      <x:c r="K9" s="83"/>
      <x:c r="L9" s="83"/>
      <x:c r="M9" s="83"/>
      <x:c r="N9" s="83"/>
      <x:c r="O9" s="83"/>
      <x:c r="P9" s="83"/>
      <x:c r="Q9" s="83"/>
      <x:c r="R9" s="83"/>
    </x:row>
    <x:row r="10">
      <x:c r="A10" s="121" t="str">
        <x:v>Participant experience</x:v>
      </x:c>
      <x:c r="B10" s="121" t="str">
        <x:v>Exercises specify a participant output</x:v>
      </x:c>
      <x:c r="C10" s="114" t="str">
        <x:f>IF(COUNTIF(OUTLINE!P4:P43,"ADD PARTICIPANT OUTPUT")=0,"OK","ACTION NEEDED")</x:f>
        <x:v>OK</x:v>
      </x:c>
      <x:c r="D10" s="111" t="str">
        <x:v>Not Started</x:v>
      </x:c>
      <x:c r="E10" s="121" t="str">
        <x:v>High</x:v>
      </x:c>
      <x:c r="F10" s="121" t="str">
        <x:v>Instructions make clear what participants will produce, decide, practice, or take away.</x:v>
      </x:c>
      <x:c r="G10" s="111"/>
      <x:c r="H10" s="83"/>
      <x:c r="I10" s="83"/>
      <x:c r="J10" s="83"/>
      <x:c r="K10" s="83"/>
      <x:c r="L10" s="83"/>
      <x:c r="M10" s="83"/>
      <x:c r="N10" s="83"/>
      <x:c r="O10" s="83"/>
      <x:c r="P10" s="83"/>
      <x:c r="Q10" s="83"/>
      <x:c r="R10" s="83"/>
    </x:row>
    <x:row r="11">
      <x:c r="A11" s="121" t="str">
        <x:v>Materials</x:v>
      </x:c>
      <x:c r="B11" s="121" t="str">
        <x:v>Participant materials have instructions/purpose/output</x:v>
      </x:c>
      <x:c r="C11" s="114" t="str">
        <x:f>IF(COUNTIFS(MATERIALS!B4:B33,"&lt;&gt;",MATERIALS!K4:K33,"&lt;&gt;OK")=0,"OK","ACTION NEEDED")</x:f>
        <x:v>OK</x:v>
      </x:c>
      <x:c r="D11" s="111" t="str">
        <x:v>Not Started</x:v>
      </x:c>
      <x:c r="E11" s="121" t="str">
        <x:v>High</x:v>
      </x:c>
      <x:c r="F11" s="121" t="str">
        <x:v>Tools can be used without verbal guesswork.</x:v>
      </x:c>
      <x:c r="G11" s="111"/>
      <x:c r="H11" s="83"/>
      <x:c r="I11" s="83"/>
      <x:c r="J11" s="83"/>
      <x:c r="K11" s="83"/>
      <x:c r="L11" s="83"/>
      <x:c r="M11" s="83"/>
      <x:c r="N11" s="83"/>
      <x:c r="O11" s="83"/>
      <x:c r="P11" s="83"/>
      <x:c r="Q11" s="83"/>
      <x:c r="R11" s="83"/>
    </x:row>
    <x:row r="12">
      <x:c r="A12" s="121" t="str">
        <x:v>Accessibility</x:v>
      </x:c>
      <x:c r="B12" s="121" t="str">
        <x:v>Materials have accessible-format check</x:v>
      </x:c>
      <x:c r="C12" s="114" t="str">
        <x:f>IF(COUNTIFS(MATERIALS!B4:B33,"&lt;&gt;",MATERIALS!I4:I33,"No")=0,"OK","REVIEW")</x:f>
        <x:v>OK</x:v>
      </x:c>
      <x:c r="D12" s="111" t="str">
        <x:v>Not Started</x:v>
      </x:c>
      <x:c r="E12" s="121" t="str">
        <x:v>High</x:v>
      </x:c>
      <x:c r="F12" s="121" t="str">
        <x:v>Documents use readable contrast, structured headings, labels, and do not rely on color alone.</x:v>
      </x:c>
      <x:c r="G12" s="111"/>
      <x:c r="H12" s="83"/>
      <x:c r="I12" s="83"/>
      <x:c r="J12" s="83"/>
      <x:c r="K12" s="83"/>
      <x:c r="L12" s="83"/>
      <x:c r="M12" s="83"/>
      <x:c r="N12" s="83"/>
      <x:c r="O12" s="83"/>
      <x:c r="P12" s="83"/>
      <x:c r="Q12" s="83"/>
      <x:c r="R12" s="83"/>
    </x:row>
    <x:row r="13">
      <x:c r="A13" s="121" t="str">
        <x:v>Content</x:v>
      </x:c>
      <x:c r="B13" s="121" t="str">
        <x:v>Restricted/proprietary tools are identified</x:v>
      </x:c>
      <x:c r="C13" s="114" t="str">
        <x:f>IF(COUNTIFS(OUTLINE!K4:K43,"Yes",OUTLINE!I4:I43,"")=0,"OK","ACTION NEEDED")</x:f>
        <x:v>OK</x:v>
      </x:c>
      <x:c r="D13" s="111" t="str">
        <x:v>Not Started</x:v>
      </x:c>
      <x:c r="E13" s="121" t="str">
        <x:v>High</x:v>
      </x:c>
      <x:c r="F13" s="121" t="str">
        <x:v>If a proprietary/restricted framework/tool is used, the tool is named and rights/usage are clear.</x:v>
      </x:c>
      <x:c r="G13" s="111"/>
      <x:c r="H13" s="83"/>
      <x:c r="I13" s="83"/>
      <x:c r="J13" s="83"/>
      <x:c r="K13" s="83"/>
      <x:c r="L13" s="83"/>
      <x:c r="M13" s="83"/>
      <x:c r="N13" s="83"/>
      <x:c r="O13" s="83"/>
      <x:c r="P13" s="83"/>
      <x:c r="Q13" s="83"/>
      <x:c r="R13" s="83"/>
    </x:row>
    <x:row r="14">
      <x:c r="A14" s="121" t="str">
        <x:v>Content</x:v>
      </x:c>
      <x:c r="B14" s="121" t="str">
        <x:v>AI references are purposeful and accurate</x:v>
      </x:c>
      <x:c r="C14" s="114" t="str">
        <x:v>JUDGMENT CHECK</x:v>
      </x:c>
      <x:c r="D14" s="111" t="str">
        <x:v>Not Started</x:v>
      </x:c>
      <x:c r="E14" s="121" t="str">
        <x:v>Medium</x:v>
      </x:c>
      <x:c r="F14" s="121" t="str">
        <x:v>AI is included only where relevant; claims about capability, risk, or workflow are scoped and current.</x:v>
      </x:c>
      <x:c r="G14" s="111"/>
      <x:c r="H14" s="83"/>
      <x:c r="I14" s="83"/>
      <x:c r="J14" s="83"/>
      <x:c r="K14" s="83"/>
      <x:c r="L14" s="83"/>
      <x:c r="M14" s="83"/>
      <x:c r="N14" s="83"/>
      <x:c r="O14" s="83"/>
      <x:c r="P14" s="83"/>
      <x:c r="Q14" s="83"/>
      <x:c r="R14" s="83"/>
    </x:row>
    <x:row r="15">
      <x:c r="A15" s="121" t="str">
        <x:v>Description</x:v>
      </x:c>
      <x:c r="B15" s="121" t="str">
        <x:v>Description matches what the agenda actually delivers</x:v>
      </x:c>
      <x:c r="C15" s="114" t="str">
        <x:v>JUDGMENT CHECK</x:v>
      </x:c>
      <x:c r="D15" s="111" t="str">
        <x:v>Not Started</x:v>
      </x:c>
      <x:c r="E15" s="121" t="str">
        <x:v>High</x:v>
      </x:c>
      <x:c r="F15" s="121" t="str">
        <x:v>The public description does not promise content absent from the outline.</x:v>
      </x:c>
      <x:c r="G15" s="111"/>
      <x:c r="H15" s="83"/>
      <x:c r="I15" s="83"/>
      <x:c r="J15" s="83"/>
      <x:c r="K15" s="83"/>
      <x:c r="L15" s="83"/>
      <x:c r="M15" s="83"/>
      <x:c r="N15" s="83"/>
      <x:c r="O15" s="83"/>
      <x:c r="P15" s="83"/>
      <x:c r="Q15" s="83"/>
      <x:c r="R15" s="83"/>
    </x:row>
    <x:row r="16">
      <x:c r="A16" s="121" t="str">
        <x:v>Benefits</x:v>
      </x:c>
      <x:c r="B16" s="121" t="str">
        <x:v>Benefits are observable and supported by content</x:v>
      </x:c>
      <x:c r="C16" s="114" t="str">
        <x:v>JUDGMENT CHECK</x:v>
      </x:c>
      <x:c r="D16" s="111" t="str">
        <x:v>Not Started</x:v>
      </x:c>
      <x:c r="E16" s="121" t="str">
        <x:v>High</x:v>
      </x:c>
      <x:c r="F16" s="121" t="str">
        <x:v>Benefits describe meaningful participant capability or application rather than vague aspiration.</x:v>
      </x:c>
      <x:c r="G16" s="111"/>
      <x:c r="H16" s="83"/>
      <x:c r="I16" s="83"/>
      <x:c r="J16" s="83"/>
      <x:c r="K16" s="83"/>
      <x:c r="L16" s="83"/>
      <x:c r="M16" s="83"/>
      <x:c r="N16" s="83"/>
      <x:c r="O16" s="83"/>
      <x:c r="P16" s="83"/>
      <x:c r="Q16" s="83"/>
      <x:c r="R16" s="83"/>
    </x:row>
    <x:row r="17">
      <x:c r="A17" s="121" t="str">
        <x:v>Examples</x:v>
      </x:c>
      <x:c r="B17" s="121" t="str">
        <x:v>Examples/cases are appropriate for audience</x:v>
      </x:c>
      <x:c r="C17" s="114" t="str">
        <x:v>JUDGMENT CHECK</x:v>
      </x:c>
      <x:c r="D17" s="111" t="str">
        <x:v>Not Started</x:v>
      </x:c>
      <x:c r="E17" s="121" t="str">
        <x:v>Medium</x:v>
      </x:c>
      <x:c r="F17" s="121" t="str">
        <x:v>Examples fit audience level/context and avoid unnecessary confidential information.</x:v>
      </x:c>
      <x:c r="G17" s="111"/>
      <x:c r="H17" s="83"/>
      <x:c r="I17" s="83"/>
      <x:c r="J17" s="83"/>
      <x:c r="K17" s="83"/>
      <x:c r="L17" s="83"/>
      <x:c r="M17" s="83"/>
      <x:c r="N17" s="83"/>
      <x:c r="O17" s="83"/>
      <x:c r="P17" s="83"/>
      <x:c r="Q17" s="83"/>
      <x:c r="R17" s="83"/>
    </x:row>
    <x:row r="18">
      <x:c r="A18" s="121" t="str">
        <x:v>Facilitation</x:v>
      </x:c>
      <x:c r="B18" s="121" t="str">
        <x:v>Instructions are sufficient for another facilitator to understand the flow</x:v>
      </x:c>
      <x:c r="C18" s="114" t="str">
        <x:v>JUDGMENT CHECK</x:v>
      </x:c>
      <x:c r="D18" s="111" t="str">
        <x:v>Not Started</x:v>
      </x:c>
      <x:c r="E18" s="121" t="str">
        <x:v>Medium</x:v>
      </x:c>
      <x:c r="F18" s="121" t="str">
        <x:v>Transitions, activities, materials, outputs, and timing are clear enough to hand off.</x:v>
      </x:c>
      <x:c r="G18" s="111"/>
      <x:c r="H18" s="83"/>
      <x:c r="I18" s="83"/>
      <x:c r="J18" s="83"/>
      <x:c r="K18" s="83"/>
      <x:c r="L18" s="83"/>
      <x:c r="M18" s="83"/>
      <x:c r="N18" s="83"/>
      <x:c r="O18" s="83"/>
      <x:c r="P18" s="83"/>
      <x:c r="Q18" s="83"/>
      <x:c r="R18" s="83"/>
    </x:row>
    <x:row r="19">
      <x:c r="A19" s="121" t="str">
        <x:v>Publication</x:v>
      </x:c>
      <x:c r="B19" s="121" t="str">
        <x:v>Title, audience, description, benefits, objectives and outline are complete</x:v>
      </x:c>
      <x:c r="C19" s="114" t="str">
        <x:f>IF(OR(SETUP!E6="ACTION NEEDED",SETUP!E7="ACTION NEEDED",SETUP!E8="ACTION NEEDED",SETUP!E9="ACTION NEEDED",COUNTIF(OBJECTIVES!B4:B15,"&lt;&gt;")=0,COUNTIF(OUTLINE!C4:C43,"&lt;&gt;")=0),"ACTION NEEDED","OK")</x:f>
        <x:v>ACTION NEEDED</x:v>
      </x:c>
      <x:c r="D19" s="111" t="str">
        <x:v>Not Started</x:v>
      </x:c>
      <x:c r="E19" s="121" t="str">
        <x:v>Critical</x:v>
      </x:c>
      <x:c r="F19" s="121" t="str">
        <x:v>The product can be handed to a participant, client, reviewer, or CMS owner without missing core information.</x:v>
      </x:c>
      <x:c r="G19" s="111"/>
      <x:c r="H19" s="83"/>
      <x:c r="I19" s="83"/>
      <x:c r="J19" s="83"/>
      <x:c r="K19" s="83"/>
      <x:c r="L19" s="83"/>
      <x:c r="M19" s="83"/>
      <x:c r="N19" s="83"/>
      <x:c r="O19" s="83"/>
      <x:c r="P19" s="83"/>
      <x:c r="Q19" s="83"/>
      <x:c r="R19" s="83"/>
    </x:row>
    <x:row r="20">
      <x:c r="A20" s="83"/>
      <x:c r="B20" s="83"/>
      <x:c r="C20" s="83"/>
      <x:c r="D20" s="83"/>
      <x:c r="E20" s="83"/>
      <x:c r="F20" s="83"/>
      <x:c r="G20" s="83"/>
      <x:c r="H20" s="83"/>
      <x:c r="I20" s="83"/>
      <x:c r="J20" s="83"/>
      <x:c r="K20" s="83"/>
      <x:c r="L20" s="83"/>
      <x:c r="M20" s="83"/>
      <x:c r="N20" s="83"/>
      <x:c r="O20" s="83"/>
      <x:c r="P20" s="83"/>
      <x:c r="Q20" s="83"/>
      <x:c r="R20" s="83"/>
    </x:row>
    <x:row r="21">
      <x:c r="A21" s="83"/>
      <x:c r="B21" s="83"/>
      <x:c r="C21" s="83"/>
      <x:c r="D21" s="83"/>
      <x:c r="E21" s="83"/>
      <x:c r="F21" s="83"/>
      <x:c r="G21" s="83"/>
      <x:c r="H21" s="83"/>
      <x:c r="I21" s="83"/>
      <x:c r="J21" s="83"/>
      <x:c r="K21" s="83"/>
      <x:c r="L21" s="83"/>
      <x:c r="M21" s="83"/>
      <x:c r="N21" s="83"/>
      <x:c r="O21" s="83"/>
      <x:c r="P21" s="83"/>
      <x:c r="Q21" s="83"/>
      <x:c r="R21" s="83"/>
    </x:row>
    <x:row r="22">
      <x:c r="A22" s="83"/>
      <x:c r="B22" s="83"/>
      <x:c r="C22" s="83"/>
      <x:c r="D22" s="83"/>
      <x:c r="E22" s="83"/>
      <x:c r="F22" s="83"/>
      <x:c r="G22" s="83"/>
      <x:c r="H22" s="83"/>
      <x:c r="I22" s="83"/>
      <x:c r="J22" s="83"/>
      <x:c r="K22" s="83"/>
      <x:c r="L22" s="83"/>
      <x:c r="M22" s="83"/>
      <x:c r="N22" s="83"/>
      <x:c r="O22" s="83"/>
      <x:c r="P22" s="83"/>
      <x:c r="Q22" s="83"/>
      <x:c r="R22" s="83"/>
    </x:row>
    <x:row r="23">
      <x:c r="A23" s="83"/>
      <x:c r="B23" s="83"/>
      <x:c r="C23" s="83"/>
      <x:c r="D23" s="83"/>
      <x:c r="E23" s="83"/>
      <x:c r="F23" s="83"/>
      <x:c r="G23" s="83"/>
      <x:c r="H23" s="83"/>
      <x:c r="I23" s="83"/>
      <x:c r="J23" s="83"/>
      <x:c r="K23" s="83"/>
      <x:c r="L23" s="83"/>
      <x:c r="M23" s="83"/>
      <x:c r="N23" s="83"/>
      <x:c r="O23" s="83"/>
      <x:c r="P23" s="83"/>
      <x:c r="Q23" s="83"/>
      <x:c r="R23" s="83"/>
    </x:row>
    <x:row r="24">
      <x:c r="A24" s="83"/>
      <x:c r="B24" s="83"/>
      <x:c r="C24" s="83"/>
      <x:c r="D24" s="83"/>
      <x:c r="E24" s="83"/>
      <x:c r="F24" s="83"/>
      <x:c r="G24" s="83"/>
      <x:c r="H24" s="83"/>
      <x:c r="I24" s="83"/>
      <x:c r="J24" s="83"/>
      <x:c r="K24" s="83"/>
      <x:c r="L24" s="83"/>
      <x:c r="M24" s="83"/>
      <x:c r="N24" s="83"/>
      <x:c r="O24" s="83"/>
      <x:c r="P24" s="83"/>
      <x:c r="Q24" s="83"/>
      <x:c r="R24" s="83"/>
    </x:row>
    <x:row r="25">
      <x:c r="A25" s="83"/>
      <x:c r="B25" s="83"/>
      <x:c r="C25" s="83"/>
      <x:c r="D25" s="83"/>
      <x:c r="E25" s="83"/>
      <x:c r="F25" s="83"/>
      <x:c r="G25" s="83"/>
      <x:c r="H25" s="83"/>
      <x:c r="I25" s="83"/>
      <x:c r="J25" s="83"/>
      <x:c r="K25" s="83"/>
      <x:c r="L25" s="83"/>
      <x:c r="M25" s="83"/>
      <x:c r="N25" s="83"/>
      <x:c r="O25" s="83"/>
      <x:c r="P25" s="83"/>
      <x:c r="Q25" s="83"/>
      <x:c r="R25" s="83"/>
    </x:row>
    <x:row r="26">
      <x:c r="A26" s="83"/>
      <x:c r="B26" s="83"/>
      <x:c r="C26" s="83"/>
      <x:c r="D26" s="83"/>
      <x:c r="E26" s="83"/>
      <x:c r="F26" s="83"/>
      <x:c r="G26" s="83"/>
      <x:c r="H26" s="83"/>
      <x:c r="I26" s="83"/>
      <x:c r="J26" s="83"/>
      <x:c r="K26" s="83"/>
      <x:c r="L26" s="83"/>
      <x:c r="M26" s="83"/>
      <x:c r="N26" s="83"/>
      <x:c r="O26" s="83"/>
      <x:c r="P26" s="83"/>
      <x:c r="Q26" s="83"/>
      <x:c r="R26" s="83"/>
    </x:row>
    <x:row r="27">
      <x:c r="A27" s="83"/>
      <x:c r="B27" s="83"/>
      <x:c r="C27" s="83"/>
      <x:c r="D27" s="83"/>
      <x:c r="E27" s="83"/>
      <x:c r="F27" s="83"/>
      <x:c r="G27" s="83"/>
      <x:c r="H27" s="83"/>
      <x:c r="I27" s="83"/>
      <x:c r="J27" s="83"/>
      <x:c r="K27" s="83"/>
      <x:c r="L27" s="83"/>
      <x:c r="M27" s="83"/>
      <x:c r="N27" s="83"/>
      <x:c r="O27" s="83"/>
      <x:c r="P27" s="83"/>
      <x:c r="Q27" s="83"/>
      <x:c r="R27" s="83"/>
    </x:row>
    <x:row r="28">
      <x:c r="A28" s="83"/>
      <x:c r="B28" s="83"/>
      <x:c r="C28" s="83"/>
      <x:c r="D28" s="83"/>
      <x:c r="E28" s="83"/>
      <x:c r="F28" s="83"/>
      <x:c r="G28" s="83"/>
      <x:c r="H28" s="83"/>
      <x:c r="I28" s="83"/>
      <x:c r="J28" s="83"/>
      <x:c r="K28" s="83"/>
      <x:c r="L28" s="83"/>
      <x:c r="M28" s="83"/>
      <x:c r="N28" s="83"/>
      <x:c r="O28" s="83"/>
      <x:c r="P28" s="83"/>
      <x:c r="Q28" s="83"/>
      <x:c r="R28" s="83"/>
    </x:row>
    <x:row r="29">
      <x:c r="A29" s="83"/>
      <x:c r="B29" s="83"/>
      <x:c r="C29" s="83"/>
      <x:c r="D29" s="83"/>
      <x:c r="E29" s="83"/>
      <x:c r="F29" s="83"/>
      <x:c r="G29" s="83"/>
      <x:c r="H29" s="83"/>
      <x:c r="I29" s="83"/>
      <x:c r="J29" s="83"/>
      <x:c r="K29" s="83"/>
      <x:c r="L29" s="83"/>
      <x:c r="M29" s="83"/>
      <x:c r="N29" s="83"/>
      <x:c r="O29" s="83"/>
      <x:c r="P29" s="83"/>
      <x:c r="Q29" s="83"/>
      <x:c r="R29" s="83"/>
    </x:row>
    <x:row r="30">
      <x:c r="A30" s="83"/>
      <x:c r="B30" s="83"/>
      <x:c r="C30" s="83"/>
      <x:c r="D30" s="83"/>
      <x:c r="E30" s="83"/>
      <x:c r="F30" s="83"/>
      <x:c r="G30" s="83"/>
      <x:c r="H30" s="83"/>
      <x:c r="I30" s="83"/>
      <x:c r="J30" s="83"/>
      <x:c r="K30" s="83"/>
      <x:c r="L30" s="83"/>
      <x:c r="M30" s="83"/>
      <x:c r="N30" s="83"/>
      <x:c r="O30" s="83"/>
      <x:c r="P30" s="83"/>
      <x:c r="Q30" s="83"/>
      <x:c r="R30" s="83"/>
    </x:row>
    <x:row r="31">
      <x:c r="A31" s="83"/>
      <x:c r="B31" s="83"/>
      <x:c r="C31" s="83"/>
      <x:c r="D31" s="83"/>
      <x:c r="E31" s="83"/>
      <x:c r="F31" s="83"/>
      <x:c r="G31" s="83"/>
      <x:c r="H31" s="83"/>
      <x:c r="I31" s="83"/>
      <x:c r="J31" s="83"/>
      <x:c r="K31" s="83"/>
      <x:c r="L31" s="83"/>
      <x:c r="M31" s="83"/>
      <x:c r="N31" s="83"/>
      <x:c r="O31" s="83"/>
      <x:c r="P31" s="83"/>
      <x:c r="Q31" s="83"/>
      <x:c r="R31" s="83"/>
    </x:row>
    <x:row r="32">
      <x:c r="A32" s="83"/>
      <x:c r="B32" s="83"/>
      <x:c r="C32" s="83"/>
      <x:c r="D32" s="83"/>
      <x:c r="E32" s="83"/>
      <x:c r="F32" s="83"/>
      <x:c r="G32" s="83"/>
      <x:c r="H32" s="83"/>
      <x:c r="I32" s="83"/>
      <x:c r="J32" s="83"/>
      <x:c r="K32" s="83"/>
      <x:c r="L32" s="83"/>
      <x:c r="M32" s="83"/>
      <x:c r="N32" s="83"/>
      <x:c r="O32" s="83"/>
      <x:c r="P32" s="83"/>
      <x:c r="Q32" s="83"/>
      <x:c r="R32" s="83"/>
    </x:row>
    <x:row r="33">
      <x:c r="A33" s="83"/>
      <x:c r="B33" s="83"/>
      <x:c r="C33" s="83"/>
      <x:c r="D33" s="83"/>
      <x:c r="E33" s="83"/>
      <x:c r="F33" s="83"/>
      <x:c r="G33" s="83"/>
      <x:c r="H33" s="83"/>
      <x:c r="I33" s="83"/>
      <x:c r="J33" s="83"/>
      <x:c r="K33" s="83"/>
      <x:c r="L33" s="83"/>
      <x:c r="M33" s="83"/>
      <x:c r="N33" s="83"/>
      <x:c r="O33" s="83"/>
      <x:c r="P33" s="83"/>
      <x:c r="Q33" s="83"/>
      <x:c r="R33" s="83"/>
    </x:row>
    <x:row r="34">
      <x:c r="A34" s="83"/>
      <x:c r="B34" s="83"/>
      <x:c r="C34" s="83"/>
      <x:c r="D34" s="83"/>
      <x:c r="E34" s="83"/>
      <x:c r="F34" s="83"/>
      <x:c r="G34" s="83"/>
      <x:c r="H34" s="83"/>
      <x:c r="I34" s="83"/>
      <x:c r="J34" s="83"/>
      <x:c r="K34" s="83"/>
      <x:c r="L34" s="83"/>
      <x:c r="M34" s="83"/>
      <x:c r="N34" s="83"/>
      <x:c r="O34" s="83"/>
      <x:c r="P34" s="83"/>
      <x:c r="Q34" s="83"/>
      <x:c r="R34" s="83"/>
    </x:row>
    <x:row r="35">
      <x:c r="A35" s="83"/>
      <x:c r="B35" s="83"/>
      <x:c r="C35" s="83"/>
      <x:c r="D35" s="83"/>
      <x:c r="E35" s="83"/>
      <x:c r="F35" s="83"/>
      <x:c r="G35" s="83"/>
      <x:c r="H35" s="83"/>
      <x:c r="I35" s="83"/>
      <x:c r="J35" s="83"/>
      <x:c r="K35" s="83"/>
      <x:c r="L35" s="83"/>
      <x:c r="M35" s="83"/>
      <x:c r="N35" s="83"/>
      <x:c r="O35" s="83"/>
      <x:c r="P35" s="83"/>
      <x:c r="Q35" s="83"/>
      <x:c r="R35" s="83"/>
    </x:row>
    <x:row r="36">
      <x:c r="A36" s="83"/>
      <x:c r="B36" s="83"/>
      <x:c r="C36" s="83"/>
      <x:c r="D36" s="83"/>
      <x:c r="E36" s="83"/>
      <x:c r="F36" s="83"/>
      <x:c r="G36" s="83"/>
      <x:c r="H36" s="83"/>
      <x:c r="I36" s="83"/>
      <x:c r="J36" s="83"/>
      <x:c r="K36" s="83"/>
      <x:c r="L36" s="83"/>
      <x:c r="M36" s="83"/>
      <x:c r="N36" s="83"/>
      <x:c r="O36" s="83"/>
      <x:c r="P36" s="83"/>
      <x:c r="Q36" s="83"/>
      <x:c r="R36" s="83"/>
    </x:row>
    <x:row r="37">
      <x:c r="A37" s="83"/>
      <x:c r="B37" s="83"/>
      <x:c r="C37" s="83"/>
      <x:c r="D37" s="83"/>
      <x:c r="E37" s="83"/>
      <x:c r="F37" s="83"/>
      <x:c r="G37" s="83"/>
      <x:c r="H37" s="83"/>
      <x:c r="I37" s="83"/>
      <x:c r="J37" s="83"/>
      <x:c r="K37" s="83"/>
      <x:c r="L37" s="83"/>
      <x:c r="M37" s="83"/>
      <x:c r="N37" s="83"/>
      <x:c r="O37" s="83"/>
      <x:c r="P37" s="83"/>
      <x:c r="Q37" s="83"/>
      <x:c r="R37" s="83"/>
    </x:row>
    <x:row r="38">
      <x:c r="A38" s="83"/>
      <x:c r="B38" s="83"/>
      <x:c r="C38" s="83"/>
      <x:c r="D38" s="83"/>
      <x:c r="E38" s="83"/>
      <x:c r="F38" s="83"/>
      <x:c r="G38" s="83"/>
      <x:c r="H38" s="83"/>
      <x:c r="I38" s="83"/>
      <x:c r="J38" s="83"/>
      <x:c r="K38" s="83"/>
      <x:c r="L38" s="83"/>
      <x:c r="M38" s="83"/>
      <x:c r="N38" s="83"/>
      <x:c r="O38" s="83"/>
      <x:c r="P38" s="83"/>
      <x:c r="Q38" s="83"/>
      <x:c r="R38" s="83"/>
    </x:row>
    <x:row r="39">
      <x:c r="A39" s="83"/>
      <x:c r="B39" s="83"/>
      <x:c r="C39" s="83"/>
      <x:c r="D39" s="83"/>
      <x:c r="E39" s="83"/>
      <x:c r="F39" s="83"/>
      <x:c r="G39" s="83"/>
      <x:c r="H39" s="83"/>
      <x:c r="I39" s="83"/>
      <x:c r="J39" s="83"/>
      <x:c r="K39" s="83"/>
      <x:c r="L39" s="83"/>
      <x:c r="M39" s="83"/>
      <x:c r="N39" s="83"/>
      <x:c r="O39" s="83"/>
      <x:c r="P39" s="83"/>
      <x:c r="Q39" s="83"/>
      <x:c r="R39" s="83"/>
    </x:row>
    <x:row r="40">
      <x:c r="A40" s="83"/>
      <x:c r="B40" s="83"/>
      <x:c r="C40" s="83"/>
      <x:c r="D40" s="83"/>
      <x:c r="E40" s="83"/>
      <x:c r="F40" s="83"/>
      <x:c r="G40" s="83"/>
      <x:c r="H40" s="83"/>
      <x:c r="I40" s="83"/>
      <x:c r="J40" s="83"/>
      <x:c r="K40" s="83"/>
      <x:c r="L40" s="83"/>
      <x:c r="M40" s="83"/>
      <x:c r="N40" s="83"/>
      <x:c r="O40" s="83"/>
      <x:c r="P40" s="83"/>
      <x:c r="Q40" s="83"/>
      <x:c r="R40" s="83"/>
    </x:row>
    <x:row r="41">
      <x:c r="A41" s="83"/>
      <x:c r="B41" s="83"/>
      <x:c r="C41" s="83"/>
      <x:c r="D41" s="83"/>
      <x:c r="E41" s="83"/>
      <x:c r="F41" s="83"/>
      <x:c r="G41" s="83"/>
      <x:c r="H41" s="83"/>
      <x:c r="I41" s="83"/>
      <x:c r="J41" s="83"/>
      <x:c r="K41" s="83"/>
      <x:c r="L41" s="83"/>
      <x:c r="M41" s="83"/>
      <x:c r="N41" s="83"/>
      <x:c r="O41" s="83"/>
      <x:c r="P41" s="83"/>
      <x:c r="Q41" s="83"/>
      <x:c r="R41" s="83"/>
    </x:row>
    <x:row r="42">
      <x:c r="A42" s="83"/>
      <x:c r="B42" s="83"/>
      <x:c r="C42" s="83"/>
      <x:c r="D42" s="83"/>
      <x:c r="E42" s="83"/>
      <x:c r="F42" s="83"/>
      <x:c r="G42" s="83"/>
      <x:c r="H42" s="83"/>
      <x:c r="I42" s="83"/>
      <x:c r="J42" s="83"/>
      <x:c r="K42" s="83"/>
      <x:c r="L42" s="83"/>
      <x:c r="M42" s="83"/>
      <x:c r="N42" s="83"/>
      <x:c r="O42" s="83"/>
      <x:c r="P42" s="83"/>
      <x:c r="Q42" s="83"/>
      <x:c r="R42" s="83"/>
    </x:row>
    <x:row r="43">
      <x:c r="A43" s="83"/>
      <x:c r="B43" s="83"/>
      <x:c r="C43" s="83"/>
      <x:c r="D43" s="83"/>
      <x:c r="E43" s="83"/>
      <x:c r="F43" s="83"/>
      <x:c r="G43" s="83"/>
      <x:c r="H43" s="83"/>
      <x:c r="I43" s="83"/>
      <x:c r="J43" s="83"/>
      <x:c r="K43" s="83"/>
      <x:c r="L43" s="83"/>
      <x:c r="M43" s="83"/>
      <x:c r="N43" s="83"/>
      <x:c r="O43" s="83"/>
      <x:c r="P43" s="83"/>
      <x:c r="Q43" s="83"/>
      <x:c r="R43" s="83"/>
    </x:row>
    <x:row r="44">
      <x:c r="A44" s="83"/>
      <x:c r="B44" s="83"/>
      <x:c r="C44" s="83"/>
      <x:c r="D44" s="83"/>
      <x:c r="E44" s="83"/>
      <x:c r="F44" s="83"/>
      <x:c r="G44" s="83"/>
      <x:c r="H44" s="83"/>
      <x:c r="I44" s="83"/>
      <x:c r="J44" s="83"/>
      <x:c r="K44" s="83"/>
      <x:c r="L44" s="83"/>
      <x:c r="M44" s="83"/>
      <x:c r="N44" s="83"/>
      <x:c r="O44" s="83"/>
      <x:c r="P44" s="83"/>
      <x:c r="Q44" s="83"/>
      <x:c r="R44" s="83"/>
    </x:row>
    <x:row r="45">
      <x:c r="A45" s="83"/>
      <x:c r="B45" s="83"/>
      <x:c r="C45" s="83"/>
      <x:c r="D45" s="83"/>
      <x:c r="E45" s="83"/>
      <x:c r="F45" s="83"/>
      <x:c r="G45" s="83"/>
      <x:c r="H45" s="83"/>
      <x:c r="I45" s="83"/>
      <x:c r="J45" s="83"/>
      <x:c r="K45" s="83"/>
      <x:c r="L45" s="83"/>
      <x:c r="M45" s="83"/>
      <x:c r="N45" s="83"/>
      <x:c r="O45" s="83"/>
      <x:c r="P45" s="83"/>
      <x:c r="Q45" s="83"/>
      <x:c r="R45" s="83"/>
    </x:row>
    <x:row r="46">
      <x:c r="A46" s="83"/>
      <x:c r="B46" s="83"/>
      <x:c r="C46" s="83"/>
      <x:c r="D46" s="83"/>
      <x:c r="E46" s="83"/>
      <x:c r="F46" s="83"/>
      <x:c r="G46" s="83"/>
      <x:c r="H46" s="83"/>
      <x:c r="I46" s="83"/>
      <x:c r="J46" s="83"/>
      <x:c r="K46" s="83"/>
      <x:c r="L46" s="83"/>
      <x:c r="M46" s="83"/>
      <x:c r="N46" s="83"/>
      <x:c r="O46" s="83"/>
      <x:c r="P46" s="83"/>
      <x:c r="Q46" s="83"/>
      <x:c r="R46" s="83"/>
    </x:row>
    <x:row r="47">
      <x:c r="A47" s="83"/>
      <x:c r="B47" s="83"/>
      <x:c r="C47" s="83"/>
      <x:c r="D47" s="83"/>
      <x:c r="E47" s="83"/>
      <x:c r="F47" s="83"/>
      <x:c r="G47" s="83"/>
      <x:c r="H47" s="83"/>
      <x:c r="I47" s="83"/>
      <x:c r="J47" s="83"/>
      <x:c r="K47" s="83"/>
      <x:c r="L47" s="83"/>
      <x:c r="M47" s="83"/>
      <x:c r="N47" s="83"/>
      <x:c r="O47" s="83"/>
      <x:c r="P47" s="83"/>
      <x:c r="Q47" s="83"/>
      <x:c r="R47" s="83"/>
    </x:row>
    <x:row r="48">
      <x:c r="A48" s="83"/>
      <x:c r="B48" s="83"/>
      <x:c r="C48" s="83"/>
      <x:c r="D48" s="83"/>
      <x:c r="E48" s="83"/>
      <x:c r="F48" s="83"/>
      <x:c r="G48" s="83"/>
      <x:c r="H48" s="83"/>
      <x:c r="I48" s="83"/>
      <x:c r="J48" s="83"/>
      <x:c r="K48" s="83"/>
      <x:c r="L48" s="83"/>
      <x:c r="M48" s="83"/>
      <x:c r="N48" s="83"/>
      <x:c r="O48" s="83"/>
      <x:c r="P48" s="83"/>
      <x:c r="Q48" s="83"/>
      <x:c r="R48" s="83"/>
    </x:row>
    <x:row r="49">
      <x:c r="A49" s="83"/>
      <x:c r="B49" s="83"/>
      <x:c r="C49" s="83"/>
      <x:c r="D49" s="83"/>
      <x:c r="E49" s="83"/>
      <x:c r="F49" s="83"/>
      <x:c r="G49" s="83"/>
      <x:c r="H49" s="83"/>
      <x:c r="I49" s="83"/>
      <x:c r="J49" s="83"/>
      <x:c r="K49" s="83"/>
      <x:c r="L49" s="83"/>
      <x:c r="M49" s="83"/>
      <x:c r="N49" s="83"/>
      <x:c r="O49" s="83"/>
      <x:c r="P49" s="83"/>
      <x:c r="Q49" s="83"/>
      <x:c r="R49" s="83"/>
    </x:row>
    <x:row r="50">
      <x:c r="A50" s="83"/>
      <x:c r="B50" s="83"/>
      <x:c r="C50" s="83"/>
      <x:c r="D50" s="83"/>
      <x:c r="E50" s="83"/>
      <x:c r="F50" s="83"/>
      <x:c r="G50" s="83"/>
      <x:c r="H50" s="83"/>
      <x:c r="I50" s="83"/>
      <x:c r="J50" s="83"/>
      <x:c r="K50" s="83"/>
      <x:c r="L50" s="83"/>
      <x:c r="M50" s="83"/>
      <x:c r="N50" s="83"/>
      <x:c r="O50" s="83"/>
      <x:c r="P50" s="83"/>
      <x:c r="Q50" s="83"/>
      <x:c r="R50" s="83"/>
    </x:row>
    <x:row r="51">
      <x:c r="A51" s="83"/>
      <x:c r="B51" s="83"/>
      <x:c r="C51" s="83"/>
      <x:c r="D51" s="83"/>
      <x:c r="E51" s="83"/>
      <x:c r="F51" s="83"/>
      <x:c r="G51" s="83"/>
      <x:c r="H51" s="83"/>
      <x:c r="I51" s="83"/>
      <x:c r="J51" s="83"/>
      <x:c r="K51" s="83"/>
      <x:c r="L51" s="83"/>
      <x:c r="M51" s="83"/>
      <x:c r="N51" s="83"/>
      <x:c r="O51" s="83"/>
      <x:c r="P51" s="83"/>
      <x:c r="Q51" s="83"/>
      <x:c r="R51" s="83"/>
    </x:row>
    <x:row r="52">
      <x:c r="A52" s="83"/>
      <x:c r="B52" s="83"/>
      <x:c r="C52" s="83"/>
      <x:c r="D52" s="83"/>
      <x:c r="E52" s="83"/>
      <x:c r="F52" s="83"/>
      <x:c r="G52" s="83"/>
      <x:c r="H52" s="83"/>
      <x:c r="I52" s="83"/>
      <x:c r="J52" s="83"/>
      <x:c r="K52" s="83"/>
      <x:c r="L52" s="83"/>
      <x:c r="M52" s="83"/>
      <x:c r="N52" s="83"/>
      <x:c r="O52" s="83"/>
      <x:c r="P52" s="83"/>
      <x:c r="Q52" s="83"/>
      <x:c r="R52" s="83"/>
    </x:row>
    <x:row r="53">
      <x:c r="A53" s="83"/>
      <x:c r="B53" s="83"/>
      <x:c r="C53" s="83"/>
      <x:c r="D53" s="83"/>
      <x:c r="E53" s="83"/>
      <x:c r="F53" s="83"/>
      <x:c r="G53" s="83"/>
      <x:c r="H53" s="83"/>
      <x:c r="I53" s="83"/>
      <x:c r="J53" s="83"/>
      <x:c r="K53" s="83"/>
      <x:c r="L53" s="83"/>
      <x:c r="M53" s="83"/>
      <x:c r="N53" s="83"/>
      <x:c r="O53" s="83"/>
      <x:c r="P53" s="83"/>
      <x:c r="Q53" s="83"/>
      <x:c r="R53" s="83"/>
    </x:row>
    <x:row r="54">
      <x:c r="A54" s="83"/>
      <x:c r="B54" s="83"/>
      <x:c r="C54" s="83"/>
      <x:c r="D54" s="83"/>
      <x:c r="E54" s="83"/>
      <x:c r="F54" s="83"/>
      <x:c r="G54" s="83"/>
      <x:c r="H54" s="83"/>
      <x:c r="I54" s="83"/>
      <x:c r="J54" s="83"/>
      <x:c r="K54" s="83"/>
      <x:c r="L54" s="83"/>
      <x:c r="M54" s="83"/>
      <x:c r="N54" s="83"/>
      <x:c r="O54" s="83"/>
      <x:c r="P54" s="83"/>
      <x:c r="Q54" s="83"/>
      <x:c r="R54" s="83"/>
    </x:row>
    <x:row r="55">
      <x:c r="A55" s="83"/>
      <x:c r="B55" s="83"/>
      <x:c r="C55" s="83"/>
      <x:c r="D55" s="83"/>
      <x:c r="E55" s="83"/>
      <x:c r="F55" s="83"/>
      <x:c r="G55" s="83"/>
      <x:c r="H55" s="83"/>
      <x:c r="I55" s="83"/>
      <x:c r="J55" s="83"/>
      <x:c r="K55" s="83"/>
      <x:c r="L55" s="83"/>
      <x:c r="M55" s="83"/>
      <x:c r="N55" s="83"/>
      <x:c r="O55" s="83"/>
      <x:c r="P55" s="83"/>
      <x:c r="Q55" s="83"/>
      <x:c r="R55" s="83"/>
    </x:row>
    <x:row r="56">
      <x:c r="A56" s="83"/>
      <x:c r="B56" s="83"/>
      <x:c r="C56" s="83"/>
      <x:c r="D56" s="83"/>
      <x:c r="E56" s="83"/>
      <x:c r="F56" s="83"/>
      <x:c r="G56" s="83"/>
      <x:c r="H56" s="83"/>
      <x:c r="I56" s="83"/>
      <x:c r="J56" s="83"/>
      <x:c r="K56" s="83"/>
      <x:c r="L56" s="83"/>
      <x:c r="M56" s="83"/>
      <x:c r="N56" s="83"/>
      <x:c r="O56" s="83"/>
      <x:c r="P56" s="83"/>
      <x:c r="Q56" s="83"/>
      <x:c r="R56" s="83"/>
    </x:row>
    <x:row r="57">
      <x:c r="A57" s="83"/>
      <x:c r="B57" s="83"/>
      <x:c r="C57" s="83"/>
      <x:c r="D57" s="83"/>
      <x:c r="E57" s="83"/>
      <x:c r="F57" s="83"/>
      <x:c r="G57" s="83"/>
      <x:c r="H57" s="83"/>
      <x:c r="I57" s="83"/>
      <x:c r="J57" s="83"/>
      <x:c r="K57" s="83"/>
      <x:c r="L57" s="83"/>
      <x:c r="M57" s="83"/>
      <x:c r="N57" s="83"/>
      <x:c r="O57" s="83"/>
      <x:c r="P57" s="83"/>
      <x:c r="Q57" s="83"/>
      <x:c r="R57" s="83"/>
    </x:row>
    <x:row r="58">
      <x:c r="A58" s="83"/>
      <x:c r="B58" s="83"/>
      <x:c r="C58" s="83"/>
      <x:c r="D58" s="83"/>
      <x:c r="E58" s="83"/>
      <x:c r="F58" s="83"/>
      <x:c r="G58" s="83"/>
      <x:c r="H58" s="83"/>
      <x:c r="I58" s="83"/>
      <x:c r="J58" s="83"/>
      <x:c r="K58" s="83"/>
      <x:c r="L58" s="83"/>
      <x:c r="M58" s="83"/>
      <x:c r="N58" s="83"/>
      <x:c r="O58" s="83"/>
      <x:c r="P58" s="83"/>
      <x:c r="Q58" s="83"/>
      <x:c r="R58" s="83"/>
    </x:row>
    <x:row r="59">
      <x:c r="A59" s="83"/>
      <x:c r="B59" s="83"/>
      <x:c r="C59" s="83"/>
      <x:c r="D59" s="83"/>
      <x:c r="E59" s="83"/>
      <x:c r="F59" s="83"/>
      <x:c r="G59" s="83"/>
      <x:c r="H59" s="83"/>
      <x:c r="I59" s="83"/>
      <x:c r="J59" s="83"/>
      <x:c r="K59" s="83"/>
      <x:c r="L59" s="83"/>
      <x:c r="M59" s="83"/>
      <x:c r="N59" s="83"/>
      <x:c r="O59" s="83"/>
      <x:c r="P59" s="83"/>
      <x:c r="Q59" s="83"/>
      <x:c r="R59" s="83"/>
    </x:row>
    <x:row r="60">
      <x:c r="A60" s="83"/>
      <x:c r="B60" s="83"/>
      <x:c r="C60" s="83"/>
      <x:c r="D60" s="83"/>
      <x:c r="E60" s="83"/>
      <x:c r="F60" s="83"/>
      <x:c r="G60" s="83"/>
      <x:c r="H60" s="83"/>
      <x:c r="I60" s="83"/>
      <x:c r="J60" s="83"/>
      <x:c r="K60" s="83"/>
      <x:c r="L60" s="83"/>
      <x:c r="M60" s="83"/>
      <x:c r="N60" s="83"/>
      <x:c r="O60" s="83"/>
      <x:c r="P60" s="83"/>
      <x:c r="Q60" s="83"/>
      <x:c r="R60" s="83"/>
    </x:row>
    <x:row r="61">
      <x:c r="A61" s="83"/>
      <x:c r="B61" s="83"/>
      <x:c r="C61" s="83"/>
      <x:c r="D61" s="83"/>
      <x:c r="E61" s="83"/>
      <x:c r="F61" s="83"/>
      <x:c r="G61" s="83"/>
      <x:c r="H61" s="83"/>
      <x:c r="I61" s="83"/>
      <x:c r="J61" s="83"/>
      <x:c r="K61" s="83"/>
      <x:c r="L61" s="83"/>
      <x:c r="M61" s="83"/>
      <x:c r="N61" s="83"/>
      <x:c r="O61" s="83"/>
      <x:c r="P61" s="83"/>
      <x:c r="Q61" s="83"/>
      <x:c r="R61" s="83"/>
    </x:row>
    <x:row r="62">
      <x:c r="A62" s="83"/>
      <x:c r="B62" s="83"/>
      <x:c r="C62" s="83"/>
      <x:c r="D62" s="83"/>
      <x:c r="E62" s="83"/>
      <x:c r="F62" s="83"/>
      <x:c r="G62" s="83"/>
      <x:c r="H62" s="83"/>
      <x:c r="I62" s="83"/>
      <x:c r="J62" s="83"/>
      <x:c r="K62" s="83"/>
      <x:c r="L62" s="83"/>
      <x:c r="M62" s="83"/>
      <x:c r="N62" s="83"/>
      <x:c r="O62" s="83"/>
      <x:c r="P62" s="83"/>
      <x:c r="Q62" s="83"/>
      <x:c r="R62" s="83"/>
    </x:row>
    <x:row r="63">
      <x:c r="A63" s="83"/>
      <x:c r="B63" s="83"/>
      <x:c r="C63" s="83"/>
      <x:c r="D63" s="83"/>
      <x:c r="E63" s="83"/>
      <x:c r="F63" s="83"/>
      <x:c r="G63" s="83"/>
      <x:c r="H63" s="83"/>
      <x:c r="I63" s="83"/>
      <x:c r="J63" s="83"/>
      <x:c r="K63" s="83"/>
      <x:c r="L63" s="83"/>
      <x:c r="M63" s="83"/>
      <x:c r="N63" s="83"/>
      <x:c r="O63" s="83"/>
      <x:c r="P63" s="83"/>
      <x:c r="Q63" s="83"/>
      <x:c r="R63" s="83"/>
    </x:row>
    <x:row r="64">
      <x:c r="A64" s="83"/>
      <x:c r="B64" s="83"/>
      <x:c r="C64" s="83"/>
      <x:c r="D64" s="83"/>
      <x:c r="E64" s="83"/>
      <x:c r="F64" s="83"/>
      <x:c r="G64" s="83"/>
      <x:c r="H64" s="83"/>
      <x:c r="I64" s="83"/>
      <x:c r="J64" s="83"/>
      <x:c r="K64" s="83"/>
      <x:c r="L64" s="83"/>
      <x:c r="M64" s="83"/>
      <x:c r="N64" s="83"/>
      <x:c r="O64" s="83"/>
      <x:c r="P64" s="83"/>
      <x:c r="Q64" s="83"/>
      <x:c r="R64" s="83"/>
    </x:row>
    <x:row r="65">
      <x:c r="A65" s="83"/>
      <x:c r="B65" s="83"/>
      <x:c r="C65" s="83"/>
      <x:c r="D65" s="83"/>
      <x:c r="E65" s="83"/>
      <x:c r="F65" s="83"/>
      <x:c r="G65" s="83"/>
      <x:c r="H65" s="83"/>
      <x:c r="I65" s="83"/>
      <x:c r="J65" s="83"/>
      <x:c r="K65" s="83"/>
      <x:c r="L65" s="83"/>
      <x:c r="M65" s="83"/>
      <x:c r="N65" s="83"/>
      <x:c r="O65" s="83"/>
      <x:c r="P65" s="83"/>
      <x:c r="Q65" s="83"/>
      <x:c r="R65" s="83"/>
    </x:row>
    <x:row r="66">
      <x:c r="A66" s="83"/>
      <x:c r="B66" s="83"/>
      <x:c r="C66" s="83"/>
      <x:c r="D66" s="83"/>
      <x:c r="E66" s="83"/>
      <x:c r="F66" s="83"/>
      <x:c r="G66" s="83"/>
      <x:c r="H66" s="83"/>
      <x:c r="I66" s="83"/>
      <x:c r="J66" s="83"/>
      <x:c r="K66" s="83"/>
      <x:c r="L66" s="83"/>
      <x:c r="M66" s="83"/>
      <x:c r="N66" s="83"/>
      <x:c r="O66" s="83"/>
      <x:c r="P66" s="83"/>
      <x:c r="Q66" s="83"/>
      <x:c r="R66" s="83"/>
    </x:row>
    <x:row r="67">
      <x:c r="A67" s="83"/>
      <x:c r="B67" s="83"/>
      <x:c r="C67" s="83"/>
      <x:c r="D67" s="83"/>
      <x:c r="E67" s="83"/>
      <x:c r="F67" s="83"/>
      <x:c r="G67" s="83"/>
      <x:c r="H67" s="83"/>
      <x:c r="I67" s="83"/>
      <x:c r="J67" s="83"/>
      <x:c r="K67" s="83"/>
      <x:c r="L67" s="83"/>
      <x:c r="M67" s="83"/>
      <x:c r="N67" s="83"/>
      <x:c r="O67" s="83"/>
      <x:c r="P67" s="83"/>
      <x:c r="Q67" s="83"/>
      <x:c r="R67" s="83"/>
    </x:row>
    <x:row r="68">
      <x:c r="A68" s="83"/>
      <x:c r="B68" s="83"/>
      <x:c r="C68" s="83"/>
      <x:c r="D68" s="83"/>
      <x:c r="E68" s="83"/>
      <x:c r="F68" s="83"/>
      <x:c r="G68" s="83"/>
      <x:c r="H68" s="83"/>
      <x:c r="I68" s="83"/>
      <x:c r="J68" s="83"/>
      <x:c r="K68" s="83"/>
      <x:c r="L68" s="83"/>
      <x:c r="M68" s="83"/>
      <x:c r="N68" s="83"/>
      <x:c r="O68" s="83"/>
      <x:c r="P68" s="83"/>
      <x:c r="Q68" s="83"/>
      <x:c r="R68" s="83"/>
    </x:row>
    <x:row r="69">
      <x:c r="A69" s="83"/>
      <x:c r="B69" s="83"/>
      <x:c r="C69" s="83"/>
      <x:c r="D69" s="83"/>
      <x:c r="E69" s="83"/>
      <x:c r="F69" s="83"/>
      <x:c r="G69" s="83"/>
      <x:c r="H69" s="83"/>
      <x:c r="I69" s="83"/>
      <x:c r="J69" s="83"/>
      <x:c r="K69" s="83"/>
      <x:c r="L69" s="83"/>
      <x:c r="M69" s="83"/>
      <x:c r="N69" s="83"/>
      <x:c r="O69" s="83"/>
      <x:c r="P69" s="83"/>
      <x:c r="Q69" s="83"/>
      <x:c r="R69" s="83"/>
    </x:row>
    <x:row r="70">
      <x:c r="A70" s="83"/>
      <x:c r="B70" s="83"/>
      <x:c r="C70" s="83"/>
      <x:c r="D70" s="83"/>
      <x:c r="E70" s="83"/>
      <x:c r="F70" s="83"/>
      <x:c r="G70" s="83"/>
      <x:c r="H70" s="83"/>
      <x:c r="I70" s="83"/>
      <x:c r="J70" s="83"/>
      <x:c r="K70" s="83"/>
      <x:c r="L70" s="83"/>
      <x:c r="M70" s="83"/>
      <x:c r="N70" s="83"/>
      <x:c r="O70" s="83"/>
      <x:c r="P70" s="83"/>
      <x:c r="Q70" s="83"/>
      <x:c r="R70" s="83"/>
    </x:row>
    <x:row r="71">
      <x:c r="A71" s="83"/>
      <x:c r="B71" s="83"/>
      <x:c r="C71" s="83"/>
      <x:c r="D71" s="83"/>
      <x:c r="E71" s="83"/>
      <x:c r="F71" s="83"/>
      <x:c r="G71" s="83"/>
      <x:c r="H71" s="83"/>
      <x:c r="I71" s="83"/>
      <x:c r="J71" s="83"/>
      <x:c r="K71" s="83"/>
      <x:c r="L71" s="83"/>
      <x:c r="M71" s="83"/>
      <x:c r="N71" s="83"/>
      <x:c r="O71" s="83"/>
      <x:c r="P71" s="83"/>
      <x:c r="Q71" s="83"/>
      <x:c r="R71" s="83"/>
    </x:row>
    <x:row r="72">
      <x:c r="A72" s="83"/>
      <x:c r="B72" s="83"/>
      <x:c r="C72" s="83"/>
      <x:c r="D72" s="83"/>
      <x:c r="E72" s="83"/>
      <x:c r="F72" s="83"/>
      <x:c r="G72" s="83"/>
      <x:c r="H72" s="83"/>
      <x:c r="I72" s="83"/>
      <x:c r="J72" s="83"/>
      <x:c r="K72" s="83"/>
      <x:c r="L72" s="83"/>
      <x:c r="M72" s="83"/>
      <x:c r="N72" s="83"/>
      <x:c r="O72" s="83"/>
      <x:c r="P72" s="83"/>
      <x:c r="Q72" s="83"/>
      <x:c r="R72" s="83"/>
    </x:row>
    <x:row r="73">
      <x:c r="A73" s="83"/>
      <x:c r="B73" s="83"/>
      <x:c r="C73" s="83"/>
      <x:c r="D73" s="83"/>
      <x:c r="E73" s="83"/>
      <x:c r="F73" s="83"/>
      <x:c r="G73" s="83"/>
      <x:c r="H73" s="83"/>
      <x:c r="I73" s="83"/>
      <x:c r="J73" s="83"/>
      <x:c r="K73" s="83"/>
      <x:c r="L73" s="83"/>
      <x:c r="M73" s="83"/>
      <x:c r="N73" s="83"/>
      <x:c r="O73" s="83"/>
      <x:c r="P73" s="83"/>
      <x:c r="Q73" s="83"/>
      <x:c r="R73" s="83"/>
    </x:row>
    <x:row r="74">
      <x:c r="A74" s="83"/>
      <x:c r="B74" s="83"/>
      <x:c r="C74" s="83"/>
      <x:c r="D74" s="83"/>
      <x:c r="E74" s="83"/>
      <x:c r="F74" s="83"/>
      <x:c r="G74" s="83"/>
      <x:c r="H74" s="83"/>
      <x:c r="I74" s="83"/>
      <x:c r="J74" s="83"/>
      <x:c r="K74" s="83"/>
      <x:c r="L74" s="83"/>
      <x:c r="M74" s="83"/>
      <x:c r="N74" s="83"/>
      <x:c r="O74" s="83"/>
      <x:c r="P74" s="83"/>
      <x:c r="Q74" s="83"/>
      <x:c r="R74" s="83"/>
    </x:row>
    <x:row r="75">
      <x:c r="A75" s="83"/>
      <x:c r="B75" s="83"/>
      <x:c r="C75" s="83"/>
      <x:c r="D75" s="83"/>
      <x:c r="E75" s="83"/>
      <x:c r="F75" s="83"/>
      <x:c r="G75" s="83"/>
      <x:c r="H75" s="83"/>
      <x:c r="I75" s="83"/>
      <x:c r="J75" s="83"/>
      <x:c r="K75" s="83"/>
      <x:c r="L75" s="83"/>
      <x:c r="M75" s="83"/>
      <x:c r="N75" s="83"/>
      <x:c r="O75" s="83"/>
      <x:c r="P75" s="83"/>
      <x:c r="Q75" s="83"/>
      <x:c r="R75" s="83"/>
    </x:row>
    <x:row r="76">
      <x:c r="A76" s="83"/>
      <x:c r="B76" s="83"/>
      <x:c r="C76" s="83"/>
      <x:c r="D76" s="83"/>
      <x:c r="E76" s="83"/>
      <x:c r="F76" s="83"/>
      <x:c r="G76" s="83"/>
      <x:c r="H76" s="83"/>
      <x:c r="I76" s="83"/>
      <x:c r="J76" s="83"/>
      <x:c r="K76" s="83"/>
      <x:c r="L76" s="83"/>
      <x:c r="M76" s="83"/>
      <x:c r="N76" s="83"/>
      <x:c r="O76" s="83"/>
      <x:c r="P76" s="83"/>
      <x:c r="Q76" s="83"/>
      <x:c r="R76" s="83"/>
    </x:row>
    <x:row r="77">
      <x:c r="A77" s="83"/>
      <x:c r="B77" s="83"/>
      <x:c r="C77" s="83"/>
      <x:c r="D77" s="83"/>
      <x:c r="E77" s="83"/>
      <x:c r="F77" s="83"/>
      <x:c r="G77" s="83"/>
      <x:c r="H77" s="83"/>
      <x:c r="I77" s="83"/>
      <x:c r="J77" s="83"/>
      <x:c r="K77" s="83"/>
      <x:c r="L77" s="83"/>
      <x:c r="M77" s="83"/>
      <x:c r="N77" s="83"/>
      <x:c r="O77" s="83"/>
      <x:c r="P77" s="83"/>
      <x:c r="Q77" s="83"/>
      <x:c r="R77" s="83"/>
    </x:row>
    <x:row r="78">
      <x:c r="A78" s="83"/>
      <x:c r="B78" s="83"/>
      <x:c r="C78" s="83"/>
      <x:c r="D78" s="83"/>
      <x:c r="E78" s="83"/>
      <x:c r="F78" s="83"/>
      <x:c r="G78" s="83"/>
      <x:c r="H78" s="83"/>
      <x:c r="I78" s="83"/>
      <x:c r="J78" s="83"/>
      <x:c r="K78" s="83"/>
      <x:c r="L78" s="83"/>
      <x:c r="M78" s="83"/>
      <x:c r="N78" s="83"/>
      <x:c r="O78" s="83"/>
      <x:c r="P78" s="83"/>
      <x:c r="Q78" s="83"/>
      <x:c r="R78" s="83"/>
    </x:row>
    <x:row r="79">
      <x:c r="A79" s="83"/>
      <x:c r="B79" s="83"/>
      <x:c r="C79" s="83"/>
      <x:c r="D79" s="83"/>
      <x:c r="E79" s="83"/>
      <x:c r="F79" s="83"/>
      <x:c r="G79" s="83"/>
      <x:c r="H79" s="83"/>
      <x:c r="I79" s="83"/>
      <x:c r="J79" s="83"/>
      <x:c r="K79" s="83"/>
      <x:c r="L79" s="83"/>
      <x:c r="M79" s="83"/>
      <x:c r="N79" s="83"/>
      <x:c r="O79" s="83"/>
      <x:c r="P79" s="83"/>
      <x:c r="Q79" s="83"/>
      <x:c r="R79" s="83"/>
    </x:row>
    <x:row r="80">
      <x:c r="A80" s="83"/>
      <x:c r="B80" s="83"/>
      <x:c r="C80" s="83"/>
      <x:c r="D80" s="83"/>
      <x:c r="E80" s="83"/>
      <x:c r="F80" s="83"/>
      <x:c r="G80" s="83"/>
      <x:c r="H80" s="83"/>
      <x:c r="I80" s="83"/>
      <x:c r="J80" s="83"/>
      <x:c r="K80" s="83"/>
      <x:c r="L80" s="83"/>
      <x:c r="M80" s="83"/>
      <x:c r="N80" s="83"/>
      <x:c r="O80" s="83"/>
      <x:c r="P80" s="83"/>
      <x:c r="Q80" s="83"/>
      <x:c r="R80" s="83"/>
    </x:row>
  </x:sheetData>
  <x:mergeCells>
    <x:mergeCell ref="A1:G1"/>
  </x:mergeCells>
  <x:conditionalFormatting sqref="C4:C19">
    <x:cfRule type="expression" dxfId="8" priority="1">
      <x:formula>OR($C4="ACTION NEEDED",$C4="REVIEW")</x:formula>
    </x:cfRule>
    <x:cfRule type="expression" dxfId="9" priority="2">
      <x:formula>$C4="OK"</x:formula>
    </x:cfRule>
  </x:conditionalFormatting>
  <x:dataValidations count="2">
    <x:dataValidation type="list" sqref="D4:D19">
      <x:formula1>_LISTS!$E$2:$E$5</x:formula1>
    </x:dataValidation>
    <x:dataValidation type="list" sqref="E4:E19">
      <x:formula1>_LISTS!$G$2:$G$5</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6" hidden="0" customWidth="1"/>
    <x:col min="2" max="2" width="16" hidden="0" customWidth="1"/>
    <x:col min="3" max="3" width="28" hidden="0" customWidth="1"/>
    <x:col min="4" max="4" width="9" hidden="0" customWidth="1"/>
    <x:col min="5" max="5" width="20" hidden="0" customWidth="1"/>
    <x:col min="6" max="6" width="44" hidden="0" customWidth="1"/>
    <x:col min="7" max="7" width="32" hidden="0" customWidth="1"/>
    <x:col min="8" max="8" width="28" hidden="0" customWidth="1"/>
  </x:cols>
  <x:sheetData>
    <x:row r="1">
      <x:c r="A1" s="133" t="str">
        <x:v>PUBLISH READY — clean copy generated from your inputs</x:v>
      </x:c>
      <x:c r="B1" s="133"/>
      <x:c r="C1" s="133"/>
      <x:c r="D1" s="133"/>
      <x:c r="E1" s="133"/>
      <x:c r="F1" s="133"/>
      <x:c r="G1" s="133"/>
      <x:c r="H1" s="133"/>
      <x:c r="I1" s="83"/>
      <x:c r="J1" s="83"/>
      <x:c r="K1" s="83"/>
      <x:c r="L1" s="83"/>
      <x:c r="M1" s="83"/>
      <x:c r="N1" s="83"/>
      <x:c r="O1" s="83"/>
      <x:c r="P1" s="83"/>
      <x:c r="Q1" s="83"/>
      <x:c r="R1" s="83"/>
    </x:row>
    <x:row r="2">
      <x:c r="A2" s="83"/>
      <x:c r="B2" s="83"/>
      <x:c r="C2" s="83"/>
      <x:c r="D2" s="83"/>
      <x:c r="E2" s="83"/>
      <x:c r="F2" s="83"/>
      <x:c r="G2" s="83"/>
      <x:c r="H2" s="83"/>
      <x:c r="I2" s="83"/>
      <x:c r="J2" s="83"/>
      <x:c r="K2" s="83"/>
      <x:c r="L2" s="83"/>
      <x:c r="M2" s="83"/>
      <x:c r="N2" s="83"/>
      <x:c r="O2" s="83"/>
      <x:c r="P2" s="83"/>
      <x:c r="Q2" s="83"/>
      <x:c r="R2" s="83"/>
    </x:row>
    <x:row r="3">
      <x:c r="A3" s="94" t="str">
        <x:v>Title</x:v>
      </x:c>
      <x:c r="B3" s="114" t="n">
        <x:f>SETUP!B3</x:f>
        <x:v>0</x:v>
      </x:c>
      <x:c r="C3" s="83"/>
      <x:c r="D3" s="85" t="str">
        <x:v>Learning Objectives</x:v>
      </x:c>
      <x:c r="E3" s="85"/>
      <x:c r="F3" s="85"/>
      <x:c r="G3" s="85"/>
      <x:c r="H3" s="85"/>
      <x:c r="I3" s="83"/>
      <x:c r="J3" s="83"/>
      <x:c r="K3" s="83"/>
      <x:c r="L3" s="83"/>
      <x:c r="M3" s="83"/>
      <x:c r="N3" s="83"/>
      <x:c r="O3" s="83"/>
      <x:c r="P3" s="83"/>
      <x:c r="Q3" s="83"/>
      <x:c r="R3" s="83"/>
    </x:row>
    <x:row r="4">
      <x:c r="A4" s="94" t="str">
        <x:v>Subtitle</x:v>
      </x:c>
      <x:c r="B4" s="114" t="n">
        <x:f>SETUP!B4</x:f>
        <x:v>0</x:v>
      </x:c>
      <x:c r="C4" s="83"/>
      <x:c r="D4" s="114" t="str">
        <x:f>IF(OBJECTIVES!F4="","",OBJECTIVES!F4)</x:f>
      </x:c>
      <x:c r="E4" s="114"/>
      <x:c r="F4" s="114"/>
      <x:c r="G4" s="114"/>
      <x:c r="H4" s="114"/>
      <x:c r="I4" s="83"/>
      <x:c r="J4" s="83"/>
      <x:c r="K4" s="83"/>
      <x:c r="L4" s="83"/>
      <x:c r="M4" s="83"/>
      <x:c r="N4" s="83"/>
      <x:c r="O4" s="83"/>
      <x:c r="P4" s="83"/>
      <x:c r="Q4" s="83"/>
      <x:c r="R4" s="83"/>
    </x:row>
    <x:row r="5">
      <x:c r="A5" s="94" t="str">
        <x:v>Format</x:v>
      </x:c>
      <x:c r="B5" s="114" t="str">
        <x:f>SETUP!B5</x:f>
        <x:v>Micro (60 min)</x:v>
      </x:c>
      <x:c r="C5" s="83"/>
      <x:c r="D5" s="114" t="str">
        <x:f>IF(OBJECTIVES!F5="","",OBJECTIVES!F5)</x:f>
      </x:c>
      <x:c r="E5" s="114"/>
      <x:c r="F5" s="114"/>
      <x:c r="G5" s="114"/>
      <x:c r="H5" s="114"/>
      <x:c r="I5" s="83"/>
      <x:c r="J5" s="83"/>
      <x:c r="K5" s="83"/>
      <x:c r="L5" s="83"/>
      <x:c r="M5" s="83"/>
      <x:c r="N5" s="83"/>
      <x:c r="O5" s="83"/>
      <x:c r="P5" s="83"/>
      <x:c r="Q5" s="83"/>
      <x:c r="R5" s="83"/>
    </x:row>
    <x:row r="6">
      <x:c r="A6" s="94" t="str">
        <x:v>Delivery</x:v>
      </x:c>
      <x:c r="B6" s="114" t="str">
        <x:f>SETUP!B6</x:f>
        <x:v>Virtual</x:v>
      </x:c>
      <x:c r="C6" s="83"/>
      <x:c r="D6" s="114" t="str">
        <x:f>IF(OBJECTIVES!F6="","",OBJECTIVES!F6)</x:f>
      </x:c>
      <x:c r="E6" s="114"/>
      <x:c r="F6" s="114"/>
      <x:c r="G6" s="114"/>
      <x:c r="H6" s="114"/>
      <x:c r="I6" s="83"/>
      <x:c r="J6" s="83"/>
      <x:c r="K6" s="83"/>
      <x:c r="L6" s="83"/>
      <x:c r="M6" s="83"/>
      <x:c r="N6" s="83"/>
      <x:c r="O6" s="83"/>
      <x:c r="P6" s="83"/>
      <x:c r="Q6" s="83"/>
      <x:c r="R6" s="83"/>
    </x:row>
    <x:row r="7">
      <x:c r="A7" s="94" t="str">
        <x:v>Audience</x:v>
      </x:c>
      <x:c r="B7" s="114" t="n">
        <x:f>SETUP!B7</x:f>
        <x:v>60</x:v>
      </x:c>
      <x:c r="C7" s="83"/>
      <x:c r="D7" s="114" t="str">
        <x:f>IF(OBJECTIVES!F7="","",OBJECTIVES!F7)</x:f>
      </x:c>
      <x:c r="E7" s="114"/>
      <x:c r="F7" s="114"/>
      <x:c r="G7" s="114"/>
      <x:c r="H7" s="114"/>
      <x:c r="I7" s="83"/>
      <x:c r="J7" s="83"/>
      <x:c r="K7" s="83"/>
      <x:c r="L7" s="83"/>
      <x:c r="M7" s="83"/>
      <x:c r="N7" s="83"/>
      <x:c r="O7" s="83"/>
      <x:c r="P7" s="83"/>
      <x:c r="Q7" s="83"/>
      <x:c r="R7" s="83"/>
    </x:row>
    <x:row r="8">
      <x:c r="A8" s="94" t="str">
        <x:v>Level / Prerequisites</x:v>
      </x:c>
      <x:c r="B8" s="114" t="n">
        <x:f>SETUP!B8</x:f>
        <x:v>0</x:v>
      </x:c>
      <x:c r="C8" s="83"/>
      <x:c r="D8" s="114" t="str">
        <x:f>IF(OBJECTIVES!F8="","",OBJECTIVES!F8)</x:f>
      </x:c>
      <x:c r="E8" s="114"/>
      <x:c r="F8" s="114"/>
      <x:c r="G8" s="114"/>
      <x:c r="H8" s="114"/>
      <x:c r="I8" s="83"/>
      <x:c r="J8" s="83"/>
      <x:c r="K8" s="83"/>
      <x:c r="L8" s="83"/>
      <x:c r="M8" s="83"/>
      <x:c r="N8" s="83"/>
      <x:c r="O8" s="83"/>
      <x:c r="P8" s="83"/>
      <x:c r="Q8" s="83"/>
      <x:c r="R8" s="83"/>
    </x:row>
    <x:row r="9">
      <x:c r="A9" s="94" t="str">
        <x:v>Promise</x:v>
      </x:c>
      <x:c r="B9" s="114" t="n">
        <x:f>SETUP!B9</x:f>
        <x:v>0</x:v>
      </x:c>
      <x:c r="C9" s="83"/>
      <x:c r="D9" s="114" t="str">
        <x:f>IF(OBJECTIVES!F9="","",OBJECTIVES!F9)</x:f>
      </x:c>
      <x:c r="E9" s="114"/>
      <x:c r="F9" s="114"/>
      <x:c r="G9" s="114"/>
      <x:c r="H9" s="114"/>
      <x:c r="I9" s="83"/>
      <x:c r="J9" s="83"/>
      <x:c r="K9" s="83"/>
      <x:c r="L9" s="83"/>
      <x:c r="M9" s="83"/>
      <x:c r="N9" s="83"/>
      <x:c r="O9" s="83"/>
      <x:c r="P9" s="83"/>
      <x:c r="Q9" s="83"/>
      <x:c r="R9" s="83"/>
    </x:row>
    <x:row r="10">
      <x:c r="A10" s="94" t="str">
        <x:v>Description</x:v>
      </x:c>
      <x:c r="B10" s="114" t="n">
        <x:f>SETUP!B10</x:f>
        <x:v>0</x:v>
      </x:c>
      <x:c r="C10" s="83"/>
      <x:c r="D10" s="114" t="str">
        <x:f>IF(OBJECTIVES!F10="","",OBJECTIVES!F10)</x:f>
      </x:c>
      <x:c r="E10" s="114"/>
      <x:c r="F10" s="114"/>
      <x:c r="G10" s="114"/>
      <x:c r="H10" s="114"/>
      <x:c r="I10" s="83"/>
      <x:c r="J10" s="83"/>
      <x:c r="K10" s="83"/>
      <x:c r="L10" s="83"/>
      <x:c r="M10" s="83"/>
      <x:c r="N10" s="83"/>
      <x:c r="O10" s="83"/>
      <x:c r="P10" s="83"/>
      <x:c r="Q10" s="83"/>
      <x:c r="R10" s="83"/>
    </x:row>
    <x:row r="11">
      <x:c r="A11" s="94" t="str">
        <x:v>Benefits</x:v>
      </x:c>
      <x:c r="B11" s="114" t="n">
        <x:f>SETUP!B11</x:f>
        <x:v>0</x:v>
      </x:c>
      <x:c r="C11" s="83"/>
      <x:c r="D11" s="114" t="str">
        <x:f>IF(OBJECTIVES!F11="","",OBJECTIVES!F11)</x:f>
      </x:c>
      <x:c r="E11" s="114"/>
      <x:c r="F11" s="114"/>
      <x:c r="G11" s="114"/>
      <x:c r="H11" s="114"/>
      <x:c r="I11" s="83"/>
      <x:c r="J11" s="83"/>
      <x:c r="K11" s="83"/>
      <x:c r="L11" s="83"/>
      <x:c r="M11" s="83"/>
      <x:c r="N11" s="83"/>
      <x:c r="O11" s="83"/>
      <x:c r="P11" s="83"/>
      <x:c r="Q11" s="83"/>
      <x:c r="R11" s="83"/>
    </x:row>
    <x:row r="12">
      <x:c r="A12" s="94" t="str">
        <x:v>Primary Application</x:v>
      </x:c>
      <x:c r="B12" s="114" t="n">
        <x:f>SETUP!B12</x:f>
        <x:v>0</x:v>
      </x:c>
      <x:c r="C12" s="83"/>
      <x:c r="D12" s="114" t="str">
        <x:f>IF(OBJECTIVES!F12="","",OBJECTIVES!F12)</x:f>
      </x:c>
      <x:c r="E12" s="114"/>
      <x:c r="F12" s="114"/>
      <x:c r="G12" s="114"/>
      <x:c r="H12" s="114"/>
      <x:c r="I12" s="83"/>
      <x:c r="J12" s="83"/>
      <x:c r="K12" s="83"/>
      <x:c r="L12" s="83"/>
      <x:c r="M12" s="83"/>
      <x:c r="N12" s="83"/>
      <x:c r="O12" s="83"/>
      <x:c r="P12" s="83"/>
      <x:c r="Q12" s="83"/>
      <x:c r="R12" s="83"/>
    </x:row>
    <x:row r="13">
      <x:c r="A13" s="83"/>
      <x:c r="B13" s="83"/>
      <x:c r="C13" s="83"/>
      <x:c r="D13" s="114" t="str">
        <x:f>IF(OBJECTIVES!F13="","",OBJECTIVES!F13)</x:f>
      </x:c>
      <x:c r="E13" s="114"/>
      <x:c r="F13" s="114"/>
      <x:c r="G13" s="114"/>
      <x:c r="H13" s="114"/>
      <x:c r="I13" s="83"/>
      <x:c r="J13" s="83"/>
      <x:c r="K13" s="83"/>
      <x:c r="L13" s="83"/>
      <x:c r="M13" s="83"/>
      <x:c r="N13" s="83"/>
      <x:c r="O13" s="83"/>
      <x:c r="P13" s="83"/>
      <x:c r="Q13" s="83"/>
      <x:c r="R13" s="83"/>
    </x:row>
    <x:row r="14">
      <x:c r="A14" s="83"/>
      <x:c r="B14" s="83"/>
      <x:c r="C14" s="83"/>
      <x:c r="D14" s="114" t="str">
        <x:f>IF(OBJECTIVES!F14="","",OBJECTIVES!F14)</x:f>
      </x:c>
      <x:c r="E14" s="114"/>
      <x:c r="F14" s="114"/>
      <x:c r="G14" s="114"/>
      <x:c r="H14" s="114"/>
      <x:c r="I14" s="83"/>
      <x:c r="J14" s="83"/>
      <x:c r="K14" s="83"/>
      <x:c r="L14" s="83"/>
      <x:c r="M14" s="83"/>
      <x:c r="N14" s="83"/>
      <x:c r="O14" s="83"/>
      <x:c r="P14" s="83"/>
      <x:c r="Q14" s="83"/>
      <x:c r="R14" s="83"/>
    </x:row>
    <x:row r="15">
      <x:c r="A15" s="85" t="str">
        <x:v>Agenda / Learning Experience</x:v>
      </x:c>
      <x:c r="B15" s="85"/>
      <x:c r="C15" s="85"/>
      <x:c r="D15" s="113" t="str">
        <x:f>IF(OBJECTIVES!F15="","",OBJECTIVES!F15)</x:f>
      </x:c>
      <x:c r="E15" s="113"/>
      <x:c r="F15" s="113"/>
      <x:c r="G15" s="113"/>
      <x:c r="H15" s="113"/>
      <x:c r="I15" s="83"/>
      <x:c r="J15" s="83"/>
      <x:c r="K15" s="83"/>
      <x:c r="L15" s="83"/>
      <x:c r="M15" s="83"/>
      <x:c r="N15" s="83"/>
      <x:c r="O15" s="83"/>
      <x:c r="P15" s="83"/>
      <x:c r="Q15" s="83"/>
      <x:c r="R15" s="83"/>
    </x:row>
    <x:row r="16">
      <x:c r="A16" s="94" t="str">
        <x:v>#</x:v>
      </x:c>
      <x:c r="B16" s="94" t="str">
        <x:v>Module / Step</x:v>
      </x:c>
      <x:c r="C16" s="94" t="str">
        <x:v>Segment</x:v>
      </x:c>
      <x:c r="D16" s="94" t="str">
        <x:v>Minutes</x:v>
      </x:c>
      <x:c r="E16" s="94" t="str">
        <x:v>Type</x:v>
      </x:c>
      <x:c r="F16" s="94" t="str">
        <x:v>Learning Experience</x:v>
      </x:c>
      <x:c r="G16" s="94" t="str">
        <x:v>Participant Output</x:v>
      </x:c>
      <x:c r="H16" s="94" t="str">
        <x:v>Tool / Template</x:v>
      </x:c>
      <x:c r="I16" s="83"/>
      <x:c r="J16" s="83"/>
      <x:c r="K16" s="83"/>
      <x:c r="L16" s="83"/>
      <x:c r="M16" s="83"/>
      <x:c r="N16" s="83"/>
      <x:c r="O16" s="83"/>
      <x:c r="P16" s="83"/>
      <x:c r="Q16" s="83"/>
      <x:c r="R16" s="83"/>
    </x:row>
    <x:row r="17">
      <x:c r="A17" s="114" t="str">
        <x:f>IF(OUTLINE!C4="","",OUTLINE!A4)</x:f>
      </x:c>
      <x:c r="B17" s="114" t="str">
        <x:f>IF(OUTLINE!C4="","",OUTLINE!B4)</x:f>
      </x:c>
      <x:c r="C17" s="114" t="str">
        <x:f>IF(OUTLINE!C4="","",OUTLINE!C4)</x:f>
      </x:c>
      <x:c r="D17" s="114" t="str">
        <x:f>IF(OUTLINE!C4="","",OUTLINE!D4)</x:f>
      </x:c>
      <x:c r="E17" s="114" t="str">
        <x:f>IF(OUTLINE!C4="","",OUTLINE!E4)</x:f>
      </x:c>
      <x:c r="F17" s="114" t="str">
        <x:f>IF(OUTLINE!C4="","",OUTLINE!F4)</x:f>
      </x:c>
      <x:c r="G17" s="114" t="str">
        <x:f>IF(OUTLINE!C4="","",OUTLINE!H4)</x:f>
      </x:c>
      <x:c r="H17" s="114" t="str">
        <x:f>IF(OUTLINE!C4="","",OUTLINE!I4)</x:f>
      </x:c>
      <x:c r="I17" s="83"/>
      <x:c r="J17" s="83"/>
      <x:c r="K17" s="83"/>
      <x:c r="L17" s="83"/>
      <x:c r="M17" s="83"/>
      <x:c r="N17" s="83"/>
      <x:c r="O17" s="83"/>
      <x:c r="P17" s="83"/>
      <x:c r="Q17" s="83"/>
      <x:c r="R17" s="83"/>
    </x:row>
    <x:row r="18">
      <x:c r="A18" s="114" t="str">
        <x:f>IF(OUTLINE!C5="","",OUTLINE!A5)</x:f>
      </x:c>
      <x:c r="B18" s="114" t="str">
        <x:f>IF(OUTLINE!C5="","",OUTLINE!B5)</x:f>
      </x:c>
      <x:c r="C18" s="114" t="str">
        <x:f>IF(OUTLINE!C5="","",OUTLINE!C5)</x:f>
      </x:c>
      <x:c r="D18" s="114" t="str">
        <x:f>IF(OUTLINE!C5="","",OUTLINE!D5)</x:f>
      </x:c>
      <x:c r="E18" s="114" t="str">
        <x:f>IF(OUTLINE!C5="","",OUTLINE!E5)</x:f>
      </x:c>
      <x:c r="F18" s="114" t="str">
        <x:f>IF(OUTLINE!C5="","",OUTLINE!F5)</x:f>
      </x:c>
      <x:c r="G18" s="114" t="str">
        <x:f>IF(OUTLINE!C5="","",OUTLINE!H5)</x:f>
      </x:c>
      <x:c r="H18" s="114" t="str">
        <x:f>IF(OUTLINE!C5="","",OUTLINE!I5)</x:f>
      </x:c>
      <x:c r="I18" s="83"/>
      <x:c r="J18" s="83"/>
      <x:c r="K18" s="83"/>
      <x:c r="L18" s="83"/>
      <x:c r="M18" s="83"/>
      <x:c r="N18" s="83"/>
      <x:c r="O18" s="83"/>
      <x:c r="P18" s="83"/>
      <x:c r="Q18" s="83"/>
      <x:c r="R18" s="83"/>
    </x:row>
    <x:row r="19">
      <x:c r="A19" s="114" t="str">
        <x:f>IF(OUTLINE!C6="","",OUTLINE!A6)</x:f>
      </x:c>
      <x:c r="B19" s="114" t="str">
        <x:f>IF(OUTLINE!C6="","",OUTLINE!B6)</x:f>
      </x:c>
      <x:c r="C19" s="114" t="str">
        <x:f>IF(OUTLINE!C6="","",OUTLINE!C6)</x:f>
      </x:c>
      <x:c r="D19" s="114" t="str">
        <x:f>IF(OUTLINE!C6="","",OUTLINE!D6)</x:f>
      </x:c>
      <x:c r="E19" s="114" t="str">
        <x:f>IF(OUTLINE!C6="","",OUTLINE!E6)</x:f>
      </x:c>
      <x:c r="F19" s="114" t="str">
        <x:f>IF(OUTLINE!C6="","",OUTLINE!F6)</x:f>
      </x:c>
      <x:c r="G19" s="114" t="str">
        <x:f>IF(OUTLINE!C6="","",OUTLINE!H6)</x:f>
      </x:c>
      <x:c r="H19" s="114" t="str">
        <x:f>IF(OUTLINE!C6="","",OUTLINE!I6)</x:f>
      </x:c>
      <x:c r="I19" s="83"/>
      <x:c r="J19" s="83"/>
      <x:c r="K19" s="83"/>
      <x:c r="L19" s="83"/>
      <x:c r="M19" s="83"/>
      <x:c r="N19" s="83"/>
      <x:c r="O19" s="83"/>
      <x:c r="P19" s="83"/>
      <x:c r="Q19" s="83"/>
      <x:c r="R19" s="83"/>
    </x:row>
    <x:row r="20">
      <x:c r="A20" s="114" t="str">
        <x:f>IF(OUTLINE!C7="","",OUTLINE!A7)</x:f>
      </x:c>
      <x:c r="B20" s="114" t="str">
        <x:f>IF(OUTLINE!C7="","",OUTLINE!B7)</x:f>
      </x:c>
      <x:c r="C20" s="114" t="str">
        <x:f>IF(OUTLINE!C7="","",OUTLINE!C7)</x:f>
      </x:c>
      <x:c r="D20" s="114" t="str">
        <x:f>IF(OUTLINE!C7="","",OUTLINE!D7)</x:f>
      </x:c>
      <x:c r="E20" s="114" t="str">
        <x:f>IF(OUTLINE!C7="","",OUTLINE!E7)</x:f>
      </x:c>
      <x:c r="F20" s="114" t="str">
        <x:f>IF(OUTLINE!C7="","",OUTLINE!F7)</x:f>
      </x:c>
      <x:c r="G20" s="114" t="str">
        <x:f>IF(OUTLINE!C7="","",OUTLINE!H7)</x:f>
      </x:c>
      <x:c r="H20" s="114" t="str">
        <x:f>IF(OUTLINE!C7="","",OUTLINE!I7)</x:f>
      </x:c>
      <x:c r="I20" s="83"/>
      <x:c r="J20" s="83"/>
      <x:c r="K20" s="83"/>
      <x:c r="L20" s="83"/>
      <x:c r="M20" s="83"/>
      <x:c r="N20" s="83"/>
      <x:c r="O20" s="83"/>
      <x:c r="P20" s="83"/>
      <x:c r="Q20" s="83"/>
      <x:c r="R20" s="83"/>
    </x:row>
    <x:row r="21">
      <x:c r="A21" s="114" t="str">
        <x:f>IF(OUTLINE!C8="","",OUTLINE!A8)</x:f>
      </x:c>
      <x:c r="B21" s="114" t="str">
        <x:f>IF(OUTLINE!C8="","",OUTLINE!B8)</x:f>
      </x:c>
      <x:c r="C21" s="114" t="str">
        <x:f>IF(OUTLINE!C8="","",OUTLINE!C8)</x:f>
      </x:c>
      <x:c r="D21" s="114" t="str">
        <x:f>IF(OUTLINE!C8="","",OUTLINE!D8)</x:f>
      </x:c>
      <x:c r="E21" s="114" t="str">
        <x:f>IF(OUTLINE!C8="","",OUTLINE!E8)</x:f>
      </x:c>
      <x:c r="F21" s="114" t="str">
        <x:f>IF(OUTLINE!C8="","",OUTLINE!F8)</x:f>
      </x:c>
      <x:c r="G21" s="114" t="str">
        <x:f>IF(OUTLINE!C8="","",OUTLINE!H8)</x:f>
      </x:c>
      <x:c r="H21" s="114" t="str">
        <x:f>IF(OUTLINE!C8="","",OUTLINE!I8)</x:f>
      </x:c>
      <x:c r="I21" s="83"/>
      <x:c r="J21" s="83"/>
      <x:c r="K21" s="83"/>
      <x:c r="L21" s="83"/>
      <x:c r="M21" s="83"/>
      <x:c r="N21" s="83"/>
      <x:c r="O21" s="83"/>
      <x:c r="P21" s="83"/>
      <x:c r="Q21" s="83"/>
      <x:c r="R21" s="83"/>
    </x:row>
    <x:row r="22">
      <x:c r="A22" s="114" t="str">
        <x:f>IF(OUTLINE!C9="","",OUTLINE!A9)</x:f>
      </x:c>
      <x:c r="B22" s="114" t="str">
        <x:f>IF(OUTLINE!C9="","",OUTLINE!B9)</x:f>
      </x:c>
      <x:c r="C22" s="114" t="str">
        <x:f>IF(OUTLINE!C9="","",OUTLINE!C9)</x:f>
      </x:c>
      <x:c r="D22" s="114" t="str">
        <x:f>IF(OUTLINE!C9="","",OUTLINE!D9)</x:f>
      </x:c>
      <x:c r="E22" s="114" t="str">
        <x:f>IF(OUTLINE!C9="","",OUTLINE!E9)</x:f>
      </x:c>
      <x:c r="F22" s="114" t="str">
        <x:f>IF(OUTLINE!C9="","",OUTLINE!F9)</x:f>
      </x:c>
      <x:c r="G22" s="114" t="str">
        <x:f>IF(OUTLINE!C9="","",OUTLINE!H9)</x:f>
      </x:c>
      <x:c r="H22" s="114" t="str">
        <x:f>IF(OUTLINE!C9="","",OUTLINE!I9)</x:f>
      </x:c>
      <x:c r="I22" s="83"/>
      <x:c r="J22" s="83"/>
      <x:c r="K22" s="83"/>
      <x:c r="L22" s="83"/>
      <x:c r="M22" s="83"/>
      <x:c r="N22" s="83"/>
      <x:c r="O22" s="83"/>
      <x:c r="P22" s="83"/>
      <x:c r="Q22" s="83"/>
      <x:c r="R22" s="83"/>
    </x:row>
    <x:row r="23">
      <x:c r="A23" s="114" t="str">
        <x:f>IF(OUTLINE!C10="","",OUTLINE!A10)</x:f>
      </x:c>
      <x:c r="B23" s="114" t="str">
        <x:f>IF(OUTLINE!C10="","",OUTLINE!B10)</x:f>
      </x:c>
      <x:c r="C23" s="114" t="str">
        <x:f>IF(OUTLINE!C10="","",OUTLINE!C10)</x:f>
      </x:c>
      <x:c r="D23" s="114" t="str">
        <x:f>IF(OUTLINE!C10="","",OUTLINE!D10)</x:f>
      </x:c>
      <x:c r="E23" s="114" t="str">
        <x:f>IF(OUTLINE!C10="","",OUTLINE!E10)</x:f>
      </x:c>
      <x:c r="F23" s="114" t="str">
        <x:f>IF(OUTLINE!C10="","",OUTLINE!F10)</x:f>
      </x:c>
      <x:c r="G23" s="114" t="str">
        <x:f>IF(OUTLINE!C10="","",OUTLINE!H10)</x:f>
      </x:c>
      <x:c r="H23" s="114" t="str">
        <x:f>IF(OUTLINE!C10="","",OUTLINE!I10)</x:f>
      </x:c>
      <x:c r="I23" s="83"/>
      <x:c r="J23" s="83"/>
      <x:c r="K23" s="83"/>
      <x:c r="L23" s="83"/>
      <x:c r="M23" s="83"/>
      <x:c r="N23" s="83"/>
      <x:c r="O23" s="83"/>
      <x:c r="P23" s="83"/>
      <x:c r="Q23" s="83"/>
      <x:c r="R23" s="83"/>
    </x:row>
    <x:row r="24">
      <x:c r="A24" s="114" t="str">
        <x:f>IF(OUTLINE!C11="","",OUTLINE!A11)</x:f>
      </x:c>
      <x:c r="B24" s="114" t="str">
        <x:f>IF(OUTLINE!C11="","",OUTLINE!B11)</x:f>
      </x:c>
      <x:c r="C24" s="114" t="str">
        <x:f>IF(OUTLINE!C11="","",OUTLINE!C11)</x:f>
      </x:c>
      <x:c r="D24" s="114" t="str">
        <x:f>IF(OUTLINE!C11="","",OUTLINE!D11)</x:f>
      </x:c>
      <x:c r="E24" s="114" t="str">
        <x:f>IF(OUTLINE!C11="","",OUTLINE!E11)</x:f>
      </x:c>
      <x:c r="F24" s="114" t="str">
        <x:f>IF(OUTLINE!C11="","",OUTLINE!F11)</x:f>
      </x:c>
      <x:c r="G24" s="114" t="str">
        <x:f>IF(OUTLINE!C11="","",OUTLINE!H11)</x:f>
      </x:c>
      <x:c r="H24" s="114" t="str">
        <x:f>IF(OUTLINE!C11="","",OUTLINE!I11)</x:f>
      </x:c>
      <x:c r="I24" s="83"/>
      <x:c r="J24" s="83"/>
      <x:c r="K24" s="83"/>
      <x:c r="L24" s="83"/>
      <x:c r="M24" s="83"/>
      <x:c r="N24" s="83"/>
      <x:c r="O24" s="83"/>
      <x:c r="P24" s="83"/>
      <x:c r="Q24" s="83"/>
      <x:c r="R24" s="83"/>
    </x:row>
    <x:row r="25">
      <x:c r="A25" s="114" t="str">
        <x:f>IF(OUTLINE!C12="","",OUTLINE!A12)</x:f>
      </x:c>
      <x:c r="B25" s="114" t="str">
        <x:f>IF(OUTLINE!C12="","",OUTLINE!B12)</x:f>
      </x:c>
      <x:c r="C25" s="114" t="str">
        <x:f>IF(OUTLINE!C12="","",OUTLINE!C12)</x:f>
      </x:c>
      <x:c r="D25" s="114" t="str">
        <x:f>IF(OUTLINE!C12="","",OUTLINE!D12)</x:f>
      </x:c>
      <x:c r="E25" s="114" t="str">
        <x:f>IF(OUTLINE!C12="","",OUTLINE!E12)</x:f>
      </x:c>
      <x:c r="F25" s="114" t="str">
        <x:f>IF(OUTLINE!C12="","",OUTLINE!F12)</x:f>
      </x:c>
      <x:c r="G25" s="114" t="str">
        <x:f>IF(OUTLINE!C12="","",OUTLINE!H12)</x:f>
      </x:c>
      <x:c r="H25" s="114" t="str">
        <x:f>IF(OUTLINE!C12="","",OUTLINE!I12)</x:f>
      </x:c>
      <x:c r="I25" s="83"/>
      <x:c r="J25" s="83"/>
      <x:c r="K25" s="83"/>
      <x:c r="L25" s="83"/>
      <x:c r="M25" s="83"/>
      <x:c r="N25" s="83"/>
      <x:c r="O25" s="83"/>
      <x:c r="P25" s="83"/>
      <x:c r="Q25" s="83"/>
      <x:c r="R25" s="83"/>
    </x:row>
    <x:row r="26">
      <x:c r="A26" s="114" t="str">
        <x:f>IF(OUTLINE!C13="","",OUTLINE!A13)</x:f>
      </x:c>
      <x:c r="B26" s="114" t="str">
        <x:f>IF(OUTLINE!C13="","",OUTLINE!B13)</x:f>
      </x:c>
      <x:c r="C26" s="114" t="str">
        <x:f>IF(OUTLINE!C13="","",OUTLINE!C13)</x:f>
      </x:c>
      <x:c r="D26" s="114" t="str">
        <x:f>IF(OUTLINE!C13="","",OUTLINE!D13)</x:f>
      </x:c>
      <x:c r="E26" s="114" t="str">
        <x:f>IF(OUTLINE!C13="","",OUTLINE!E13)</x:f>
      </x:c>
      <x:c r="F26" s="114" t="str">
        <x:f>IF(OUTLINE!C13="","",OUTLINE!F13)</x:f>
      </x:c>
      <x:c r="G26" s="114" t="str">
        <x:f>IF(OUTLINE!C13="","",OUTLINE!H13)</x:f>
      </x:c>
      <x:c r="H26" s="114" t="str">
        <x:f>IF(OUTLINE!C13="","",OUTLINE!I13)</x:f>
      </x:c>
      <x:c r="I26" s="83"/>
      <x:c r="J26" s="83"/>
      <x:c r="K26" s="83"/>
      <x:c r="L26" s="83"/>
      <x:c r="M26" s="83"/>
      <x:c r="N26" s="83"/>
      <x:c r="O26" s="83"/>
      <x:c r="P26" s="83"/>
      <x:c r="Q26" s="83"/>
      <x:c r="R26" s="83"/>
    </x:row>
    <x:row r="27">
      <x:c r="A27" s="114" t="str">
        <x:f>IF(OUTLINE!C14="","",OUTLINE!A14)</x:f>
      </x:c>
      <x:c r="B27" s="114" t="str">
        <x:f>IF(OUTLINE!C14="","",OUTLINE!B14)</x:f>
      </x:c>
      <x:c r="C27" s="114" t="str">
        <x:f>IF(OUTLINE!C14="","",OUTLINE!C14)</x:f>
      </x:c>
      <x:c r="D27" s="114" t="str">
        <x:f>IF(OUTLINE!C14="","",OUTLINE!D14)</x:f>
      </x:c>
      <x:c r="E27" s="114" t="str">
        <x:f>IF(OUTLINE!C14="","",OUTLINE!E14)</x:f>
      </x:c>
      <x:c r="F27" s="114" t="str">
        <x:f>IF(OUTLINE!C14="","",OUTLINE!F14)</x:f>
      </x:c>
      <x:c r="G27" s="114" t="str">
        <x:f>IF(OUTLINE!C14="","",OUTLINE!H14)</x:f>
      </x:c>
      <x:c r="H27" s="114" t="str">
        <x:f>IF(OUTLINE!C14="","",OUTLINE!I14)</x:f>
      </x:c>
      <x:c r="I27" s="83"/>
      <x:c r="J27" s="83"/>
      <x:c r="K27" s="83"/>
      <x:c r="L27" s="83"/>
      <x:c r="M27" s="83"/>
      <x:c r="N27" s="83"/>
      <x:c r="O27" s="83"/>
      <x:c r="P27" s="83"/>
      <x:c r="Q27" s="83"/>
      <x:c r="R27" s="83"/>
    </x:row>
    <x:row r="28">
      <x:c r="A28" s="114" t="str">
        <x:f>IF(OUTLINE!C15="","",OUTLINE!A15)</x:f>
      </x:c>
      <x:c r="B28" s="114" t="str">
        <x:f>IF(OUTLINE!C15="","",OUTLINE!B15)</x:f>
      </x:c>
      <x:c r="C28" s="114" t="str">
        <x:f>IF(OUTLINE!C15="","",OUTLINE!C15)</x:f>
      </x:c>
      <x:c r="D28" s="114" t="str">
        <x:f>IF(OUTLINE!C15="","",OUTLINE!D15)</x:f>
      </x:c>
      <x:c r="E28" s="114" t="str">
        <x:f>IF(OUTLINE!C15="","",OUTLINE!E15)</x:f>
      </x:c>
      <x:c r="F28" s="114" t="str">
        <x:f>IF(OUTLINE!C15="","",OUTLINE!F15)</x:f>
      </x:c>
      <x:c r="G28" s="114" t="str">
        <x:f>IF(OUTLINE!C15="","",OUTLINE!H15)</x:f>
      </x:c>
      <x:c r="H28" s="114" t="str">
        <x:f>IF(OUTLINE!C15="","",OUTLINE!I15)</x:f>
      </x:c>
      <x:c r="I28" s="83"/>
      <x:c r="J28" s="83"/>
      <x:c r="K28" s="83"/>
      <x:c r="L28" s="83"/>
      <x:c r="M28" s="83"/>
      <x:c r="N28" s="83"/>
      <x:c r="O28" s="83"/>
      <x:c r="P28" s="83"/>
      <x:c r="Q28" s="83"/>
      <x:c r="R28" s="83"/>
    </x:row>
    <x:row r="29">
      <x:c r="A29" s="114" t="str">
        <x:f>IF(OUTLINE!C16="","",OUTLINE!A16)</x:f>
      </x:c>
      <x:c r="B29" s="114" t="str">
        <x:f>IF(OUTLINE!C16="","",OUTLINE!B16)</x:f>
      </x:c>
      <x:c r="C29" s="114" t="str">
        <x:f>IF(OUTLINE!C16="","",OUTLINE!C16)</x:f>
      </x:c>
      <x:c r="D29" s="114" t="str">
        <x:f>IF(OUTLINE!C16="","",OUTLINE!D16)</x:f>
      </x:c>
      <x:c r="E29" s="114" t="str">
        <x:f>IF(OUTLINE!C16="","",OUTLINE!E16)</x:f>
      </x:c>
      <x:c r="F29" s="114" t="str">
        <x:f>IF(OUTLINE!C16="","",OUTLINE!F16)</x:f>
      </x:c>
      <x:c r="G29" s="114" t="str">
        <x:f>IF(OUTLINE!C16="","",OUTLINE!H16)</x:f>
      </x:c>
      <x:c r="H29" s="114" t="str">
        <x:f>IF(OUTLINE!C16="","",OUTLINE!I16)</x:f>
      </x:c>
      <x:c r="I29" s="83"/>
      <x:c r="J29" s="83"/>
      <x:c r="K29" s="83"/>
      <x:c r="L29" s="83"/>
      <x:c r="M29" s="83"/>
      <x:c r="N29" s="83"/>
      <x:c r="O29" s="83"/>
      <x:c r="P29" s="83"/>
      <x:c r="Q29" s="83"/>
      <x:c r="R29" s="83"/>
    </x:row>
    <x:row r="30">
      <x:c r="A30" s="114" t="str">
        <x:f>IF(OUTLINE!C17="","",OUTLINE!A17)</x:f>
      </x:c>
      <x:c r="B30" s="114" t="str">
        <x:f>IF(OUTLINE!C17="","",OUTLINE!B17)</x:f>
      </x:c>
      <x:c r="C30" s="114" t="str">
        <x:f>IF(OUTLINE!C17="","",OUTLINE!C17)</x:f>
      </x:c>
      <x:c r="D30" s="114" t="str">
        <x:f>IF(OUTLINE!C17="","",OUTLINE!D17)</x:f>
      </x:c>
      <x:c r="E30" s="114" t="str">
        <x:f>IF(OUTLINE!C17="","",OUTLINE!E17)</x:f>
      </x:c>
      <x:c r="F30" s="114" t="str">
        <x:f>IF(OUTLINE!C17="","",OUTLINE!F17)</x:f>
      </x:c>
      <x:c r="G30" s="114" t="str">
        <x:f>IF(OUTLINE!C17="","",OUTLINE!H17)</x:f>
      </x:c>
      <x:c r="H30" s="114" t="str">
        <x:f>IF(OUTLINE!C17="","",OUTLINE!I17)</x:f>
      </x:c>
      <x:c r="I30" s="83"/>
      <x:c r="J30" s="83"/>
      <x:c r="K30" s="83"/>
      <x:c r="L30" s="83"/>
      <x:c r="M30" s="83"/>
      <x:c r="N30" s="83"/>
      <x:c r="O30" s="83"/>
      <x:c r="P30" s="83"/>
      <x:c r="Q30" s="83"/>
      <x:c r="R30" s="83"/>
    </x:row>
    <x:row r="31">
      <x:c r="A31" s="114" t="str">
        <x:f>IF(OUTLINE!C18="","",OUTLINE!A18)</x:f>
      </x:c>
      <x:c r="B31" s="114" t="str">
        <x:f>IF(OUTLINE!C18="","",OUTLINE!B18)</x:f>
      </x:c>
      <x:c r="C31" s="114" t="str">
        <x:f>IF(OUTLINE!C18="","",OUTLINE!C18)</x:f>
      </x:c>
      <x:c r="D31" s="114" t="str">
        <x:f>IF(OUTLINE!C18="","",OUTLINE!D18)</x:f>
      </x:c>
      <x:c r="E31" s="114" t="str">
        <x:f>IF(OUTLINE!C18="","",OUTLINE!E18)</x:f>
      </x:c>
      <x:c r="F31" s="114" t="str">
        <x:f>IF(OUTLINE!C18="","",OUTLINE!F18)</x:f>
      </x:c>
      <x:c r="G31" s="114" t="str">
        <x:f>IF(OUTLINE!C18="","",OUTLINE!H18)</x:f>
      </x:c>
      <x:c r="H31" s="114" t="str">
        <x:f>IF(OUTLINE!C18="","",OUTLINE!I18)</x:f>
      </x:c>
      <x:c r="I31" s="83"/>
      <x:c r="J31" s="83"/>
      <x:c r="K31" s="83"/>
      <x:c r="L31" s="83"/>
      <x:c r="M31" s="83"/>
      <x:c r="N31" s="83"/>
      <x:c r="O31" s="83"/>
      <x:c r="P31" s="83"/>
      <x:c r="Q31" s="83"/>
      <x:c r="R31" s="83"/>
    </x:row>
    <x:row r="32">
      <x:c r="A32" s="114" t="str">
        <x:f>IF(OUTLINE!C19="","",OUTLINE!A19)</x:f>
      </x:c>
      <x:c r="B32" s="114" t="str">
        <x:f>IF(OUTLINE!C19="","",OUTLINE!B19)</x:f>
      </x:c>
      <x:c r="C32" s="114" t="str">
        <x:f>IF(OUTLINE!C19="","",OUTLINE!C19)</x:f>
      </x:c>
      <x:c r="D32" s="114" t="str">
        <x:f>IF(OUTLINE!C19="","",OUTLINE!D19)</x:f>
      </x:c>
      <x:c r="E32" s="114" t="str">
        <x:f>IF(OUTLINE!C19="","",OUTLINE!E19)</x:f>
      </x:c>
      <x:c r="F32" s="114" t="str">
        <x:f>IF(OUTLINE!C19="","",OUTLINE!F19)</x:f>
      </x:c>
      <x:c r="G32" s="114" t="str">
        <x:f>IF(OUTLINE!C19="","",OUTLINE!H19)</x:f>
      </x:c>
      <x:c r="H32" s="114" t="str">
        <x:f>IF(OUTLINE!C19="","",OUTLINE!I19)</x:f>
      </x:c>
      <x:c r="I32" s="83"/>
      <x:c r="J32" s="83"/>
      <x:c r="K32" s="83"/>
      <x:c r="L32" s="83"/>
      <x:c r="M32" s="83"/>
      <x:c r="N32" s="83"/>
      <x:c r="O32" s="83"/>
      <x:c r="P32" s="83"/>
      <x:c r="Q32" s="83"/>
      <x:c r="R32" s="83"/>
    </x:row>
    <x:row r="33">
      <x:c r="A33" s="114" t="str">
        <x:f>IF(OUTLINE!C20="","",OUTLINE!A20)</x:f>
      </x:c>
      <x:c r="B33" s="114" t="str">
        <x:f>IF(OUTLINE!C20="","",OUTLINE!B20)</x:f>
      </x:c>
      <x:c r="C33" s="114" t="str">
        <x:f>IF(OUTLINE!C20="","",OUTLINE!C20)</x:f>
      </x:c>
      <x:c r="D33" s="114" t="str">
        <x:f>IF(OUTLINE!C20="","",OUTLINE!D20)</x:f>
      </x:c>
      <x:c r="E33" s="114" t="str">
        <x:f>IF(OUTLINE!C20="","",OUTLINE!E20)</x:f>
      </x:c>
      <x:c r="F33" s="114" t="str">
        <x:f>IF(OUTLINE!C20="","",OUTLINE!F20)</x:f>
      </x:c>
      <x:c r="G33" s="114" t="str">
        <x:f>IF(OUTLINE!C20="","",OUTLINE!H20)</x:f>
      </x:c>
      <x:c r="H33" s="114" t="str">
        <x:f>IF(OUTLINE!C20="","",OUTLINE!I20)</x:f>
      </x:c>
      <x:c r="I33" s="83"/>
      <x:c r="J33" s="83"/>
      <x:c r="K33" s="83"/>
      <x:c r="L33" s="83"/>
      <x:c r="M33" s="83"/>
      <x:c r="N33" s="83"/>
      <x:c r="O33" s="83"/>
      <x:c r="P33" s="83"/>
      <x:c r="Q33" s="83"/>
      <x:c r="R33" s="83"/>
    </x:row>
    <x:row r="34">
      <x:c r="A34" s="114" t="str">
        <x:f>IF(OUTLINE!C21="","",OUTLINE!A21)</x:f>
      </x:c>
      <x:c r="B34" s="114" t="str">
        <x:f>IF(OUTLINE!C21="","",OUTLINE!B21)</x:f>
      </x:c>
      <x:c r="C34" s="114" t="str">
        <x:f>IF(OUTLINE!C21="","",OUTLINE!C21)</x:f>
      </x:c>
      <x:c r="D34" s="114" t="str">
        <x:f>IF(OUTLINE!C21="","",OUTLINE!D21)</x:f>
      </x:c>
      <x:c r="E34" s="114" t="str">
        <x:f>IF(OUTLINE!C21="","",OUTLINE!E21)</x:f>
      </x:c>
      <x:c r="F34" s="114" t="str">
        <x:f>IF(OUTLINE!C21="","",OUTLINE!F21)</x:f>
      </x:c>
      <x:c r="G34" s="114" t="str">
        <x:f>IF(OUTLINE!C21="","",OUTLINE!H21)</x:f>
      </x:c>
      <x:c r="H34" s="114" t="str">
        <x:f>IF(OUTLINE!C21="","",OUTLINE!I21)</x:f>
      </x:c>
      <x:c r="I34" s="83"/>
      <x:c r="J34" s="83"/>
      <x:c r="K34" s="83"/>
      <x:c r="L34" s="83"/>
      <x:c r="M34" s="83"/>
      <x:c r="N34" s="83"/>
      <x:c r="O34" s="83"/>
      <x:c r="P34" s="83"/>
      <x:c r="Q34" s="83"/>
      <x:c r="R34" s="83"/>
    </x:row>
    <x:row r="35">
      <x:c r="A35" s="114" t="str">
        <x:f>IF(OUTLINE!C22="","",OUTLINE!A22)</x:f>
      </x:c>
      <x:c r="B35" s="114" t="str">
        <x:f>IF(OUTLINE!C22="","",OUTLINE!B22)</x:f>
      </x:c>
      <x:c r="C35" s="114" t="str">
        <x:f>IF(OUTLINE!C22="","",OUTLINE!C22)</x:f>
      </x:c>
      <x:c r="D35" s="114" t="str">
        <x:f>IF(OUTLINE!C22="","",OUTLINE!D22)</x:f>
      </x:c>
      <x:c r="E35" s="114" t="str">
        <x:f>IF(OUTLINE!C22="","",OUTLINE!E22)</x:f>
      </x:c>
      <x:c r="F35" s="114" t="str">
        <x:f>IF(OUTLINE!C22="","",OUTLINE!F22)</x:f>
      </x:c>
      <x:c r="G35" s="114" t="str">
        <x:f>IF(OUTLINE!C22="","",OUTLINE!H22)</x:f>
      </x:c>
      <x:c r="H35" s="114" t="str">
        <x:f>IF(OUTLINE!C22="","",OUTLINE!I22)</x:f>
      </x:c>
      <x:c r="I35" s="83"/>
      <x:c r="J35" s="83"/>
      <x:c r="K35" s="83"/>
      <x:c r="L35" s="83"/>
      <x:c r="M35" s="83"/>
      <x:c r="N35" s="83"/>
      <x:c r="O35" s="83"/>
      <x:c r="P35" s="83"/>
      <x:c r="Q35" s="83"/>
      <x:c r="R35" s="83"/>
    </x:row>
    <x:row r="36">
      <x:c r="A36" s="114" t="str">
        <x:f>IF(OUTLINE!C23="","",OUTLINE!A23)</x:f>
      </x:c>
      <x:c r="B36" s="114" t="str">
        <x:f>IF(OUTLINE!C23="","",OUTLINE!B23)</x:f>
      </x:c>
      <x:c r="C36" s="114" t="str">
        <x:f>IF(OUTLINE!C23="","",OUTLINE!C23)</x:f>
      </x:c>
      <x:c r="D36" s="114" t="str">
        <x:f>IF(OUTLINE!C23="","",OUTLINE!D23)</x:f>
      </x:c>
      <x:c r="E36" s="114" t="str">
        <x:f>IF(OUTLINE!C23="","",OUTLINE!E23)</x:f>
      </x:c>
      <x:c r="F36" s="114" t="str">
        <x:f>IF(OUTLINE!C23="","",OUTLINE!F23)</x:f>
      </x:c>
      <x:c r="G36" s="114" t="str">
        <x:f>IF(OUTLINE!C23="","",OUTLINE!H23)</x:f>
      </x:c>
      <x:c r="H36" s="114" t="str">
        <x:f>IF(OUTLINE!C23="","",OUTLINE!I23)</x:f>
      </x:c>
      <x:c r="I36" s="83"/>
      <x:c r="J36" s="83"/>
      <x:c r="K36" s="83"/>
      <x:c r="L36" s="83"/>
      <x:c r="M36" s="83"/>
      <x:c r="N36" s="83"/>
      <x:c r="O36" s="83"/>
      <x:c r="P36" s="83"/>
      <x:c r="Q36" s="83"/>
      <x:c r="R36" s="83"/>
    </x:row>
    <x:row r="37">
      <x:c r="A37" s="83"/>
      <x:c r="B37" s="83"/>
      <x:c r="C37" s="83"/>
      <x:c r="D37" s="83"/>
      <x:c r="E37" s="83"/>
      <x:c r="F37" s="83"/>
      <x:c r="G37" s="83"/>
      <x:c r="H37" s="83"/>
      <x:c r="I37" s="83"/>
      <x:c r="J37" s="83"/>
      <x:c r="K37" s="83"/>
      <x:c r="L37" s="83"/>
      <x:c r="M37" s="83"/>
      <x:c r="N37" s="83"/>
      <x:c r="O37" s="83"/>
      <x:c r="P37" s="83"/>
      <x:c r="Q37" s="83"/>
      <x:c r="R37" s="83"/>
    </x:row>
    <x:row r="38">
      <x:c r="A38" s="83"/>
      <x:c r="B38" s="83"/>
      <x:c r="C38" s="83"/>
      <x:c r="D38" s="83"/>
      <x:c r="E38" s="83"/>
      <x:c r="F38" s="83"/>
      <x:c r="G38" s="83"/>
      <x:c r="H38" s="83"/>
      <x:c r="I38" s="83"/>
      <x:c r="J38" s="83"/>
      <x:c r="K38" s="83"/>
      <x:c r="L38" s="83"/>
      <x:c r="M38" s="83"/>
      <x:c r="N38" s="83"/>
      <x:c r="O38" s="83"/>
      <x:c r="P38" s="83"/>
      <x:c r="Q38" s="83"/>
      <x:c r="R38" s="83"/>
    </x:row>
    <x:row r="39">
      <x:c r="A39" s="83"/>
      <x:c r="B39" s="83"/>
      <x:c r="C39" s="83"/>
      <x:c r="D39" s="83"/>
      <x:c r="E39" s="83"/>
      <x:c r="F39" s="83"/>
      <x:c r="G39" s="83"/>
      <x:c r="H39" s="83"/>
      <x:c r="I39" s="83"/>
      <x:c r="J39" s="83"/>
      <x:c r="K39" s="83"/>
      <x:c r="L39" s="83"/>
      <x:c r="M39" s="83"/>
      <x:c r="N39" s="83"/>
      <x:c r="O39" s="83"/>
      <x:c r="P39" s="83"/>
      <x:c r="Q39" s="83"/>
      <x:c r="R39" s="83"/>
    </x:row>
    <x:row r="40">
      <x:c r="A40" s="83"/>
      <x:c r="B40" s="83"/>
      <x:c r="C40" s="83"/>
      <x:c r="D40" s="83"/>
      <x:c r="E40" s="83"/>
      <x:c r="F40" s="83"/>
      <x:c r="G40" s="83"/>
      <x:c r="H40" s="83"/>
      <x:c r="I40" s="83"/>
      <x:c r="J40" s="83"/>
      <x:c r="K40" s="83"/>
      <x:c r="L40" s="83"/>
      <x:c r="M40" s="83"/>
      <x:c r="N40" s="83"/>
      <x:c r="O40" s="83"/>
      <x:c r="P40" s="83"/>
      <x:c r="Q40" s="83"/>
      <x:c r="R40" s="83"/>
    </x:row>
    <x:row r="41">
      <x:c r="A41" s="83"/>
      <x:c r="B41" s="83"/>
      <x:c r="C41" s="83"/>
      <x:c r="D41" s="83"/>
      <x:c r="E41" s="83"/>
      <x:c r="F41" s="83"/>
      <x:c r="G41" s="83"/>
      <x:c r="H41" s="83"/>
      <x:c r="I41" s="83"/>
      <x:c r="J41" s="83"/>
      <x:c r="K41" s="83"/>
      <x:c r="L41" s="83"/>
      <x:c r="M41" s="83"/>
      <x:c r="N41" s="83"/>
      <x:c r="O41" s="83"/>
      <x:c r="P41" s="83"/>
      <x:c r="Q41" s="83"/>
      <x:c r="R41" s="83"/>
    </x:row>
    <x:row r="42">
      <x:c r="A42" s="83"/>
      <x:c r="B42" s="83"/>
      <x:c r="C42" s="83"/>
      <x:c r="D42" s="83"/>
      <x:c r="E42" s="83"/>
      <x:c r="F42" s="83"/>
      <x:c r="G42" s="83"/>
      <x:c r="H42" s="83"/>
      <x:c r="I42" s="83"/>
      <x:c r="J42" s="83"/>
      <x:c r="K42" s="83"/>
      <x:c r="L42" s="83"/>
      <x:c r="M42" s="83"/>
      <x:c r="N42" s="83"/>
      <x:c r="O42" s="83"/>
      <x:c r="P42" s="83"/>
      <x:c r="Q42" s="83"/>
      <x:c r="R42" s="83"/>
    </x:row>
    <x:row r="43">
      <x:c r="A43" s="83"/>
      <x:c r="B43" s="83"/>
      <x:c r="C43" s="83"/>
      <x:c r="D43" s="83"/>
      <x:c r="E43" s="83"/>
      <x:c r="F43" s="83"/>
      <x:c r="G43" s="83"/>
      <x:c r="H43" s="83"/>
      <x:c r="I43" s="83"/>
      <x:c r="J43" s="83"/>
      <x:c r="K43" s="83"/>
      <x:c r="L43" s="83"/>
      <x:c r="M43" s="83"/>
      <x:c r="N43" s="83"/>
      <x:c r="O43" s="83"/>
      <x:c r="P43" s="83"/>
      <x:c r="Q43" s="83"/>
      <x:c r="R43" s="83"/>
    </x:row>
    <x:row r="44">
      <x:c r="A44" s="83"/>
      <x:c r="B44" s="83"/>
      <x:c r="C44" s="83"/>
      <x:c r="D44" s="83"/>
      <x:c r="E44" s="83"/>
      <x:c r="F44" s="83"/>
      <x:c r="G44" s="83"/>
      <x:c r="H44" s="83"/>
      <x:c r="I44" s="83"/>
      <x:c r="J44" s="83"/>
      <x:c r="K44" s="83"/>
      <x:c r="L44" s="83"/>
      <x:c r="M44" s="83"/>
      <x:c r="N44" s="83"/>
      <x:c r="O44" s="83"/>
      <x:c r="P44" s="83"/>
      <x:c r="Q44" s="83"/>
      <x:c r="R44" s="83"/>
    </x:row>
    <x:row r="45">
      <x:c r="A45" s="83"/>
      <x:c r="B45" s="83"/>
      <x:c r="C45" s="83"/>
      <x:c r="D45" s="83"/>
      <x:c r="E45" s="83"/>
      <x:c r="F45" s="83"/>
      <x:c r="G45" s="83"/>
      <x:c r="H45" s="83"/>
      <x:c r="I45" s="83"/>
      <x:c r="J45" s="83"/>
      <x:c r="K45" s="83"/>
      <x:c r="L45" s="83"/>
      <x:c r="M45" s="83"/>
      <x:c r="N45" s="83"/>
      <x:c r="O45" s="83"/>
      <x:c r="P45" s="83"/>
      <x:c r="Q45" s="83"/>
      <x:c r="R45" s="83"/>
    </x:row>
    <x:row r="46">
      <x:c r="A46" s="83"/>
      <x:c r="B46" s="83"/>
      <x:c r="C46" s="83"/>
      <x:c r="D46" s="83"/>
      <x:c r="E46" s="83"/>
      <x:c r="F46" s="83"/>
      <x:c r="G46" s="83"/>
      <x:c r="H46" s="83"/>
      <x:c r="I46" s="83"/>
      <x:c r="J46" s="83"/>
      <x:c r="K46" s="83"/>
      <x:c r="L46" s="83"/>
      <x:c r="M46" s="83"/>
      <x:c r="N46" s="83"/>
      <x:c r="O46" s="83"/>
      <x:c r="P46" s="83"/>
      <x:c r="Q46" s="83"/>
      <x:c r="R46" s="83"/>
    </x:row>
    <x:row r="47">
      <x:c r="A47" s="83"/>
      <x:c r="B47" s="83"/>
      <x:c r="C47" s="83"/>
      <x:c r="D47" s="83"/>
      <x:c r="E47" s="83"/>
      <x:c r="F47" s="83"/>
      <x:c r="G47" s="83"/>
      <x:c r="H47" s="83"/>
      <x:c r="I47" s="83"/>
      <x:c r="J47" s="83"/>
      <x:c r="K47" s="83"/>
      <x:c r="L47" s="83"/>
      <x:c r="M47" s="83"/>
      <x:c r="N47" s="83"/>
      <x:c r="O47" s="83"/>
      <x:c r="P47" s="83"/>
      <x:c r="Q47" s="83"/>
      <x:c r="R47" s="83"/>
    </x:row>
    <x:row r="48">
      <x:c r="A48" s="83"/>
      <x:c r="B48" s="83"/>
      <x:c r="C48" s="83"/>
      <x:c r="D48" s="83"/>
      <x:c r="E48" s="83"/>
      <x:c r="F48" s="83"/>
      <x:c r="G48" s="83"/>
      <x:c r="H48" s="83"/>
      <x:c r="I48" s="83"/>
      <x:c r="J48" s="83"/>
      <x:c r="K48" s="83"/>
      <x:c r="L48" s="83"/>
      <x:c r="M48" s="83"/>
      <x:c r="N48" s="83"/>
      <x:c r="O48" s="83"/>
      <x:c r="P48" s="83"/>
      <x:c r="Q48" s="83"/>
      <x:c r="R48" s="83"/>
    </x:row>
    <x:row r="49">
      <x:c r="A49" s="83"/>
      <x:c r="B49" s="83"/>
      <x:c r="C49" s="83"/>
      <x:c r="D49" s="83"/>
      <x:c r="E49" s="83"/>
      <x:c r="F49" s="83"/>
      <x:c r="G49" s="83"/>
      <x:c r="H49" s="83"/>
      <x:c r="I49" s="83"/>
      <x:c r="J49" s="83"/>
      <x:c r="K49" s="83"/>
      <x:c r="L49" s="83"/>
      <x:c r="M49" s="83"/>
      <x:c r="N49" s="83"/>
      <x:c r="O49" s="83"/>
      <x:c r="P49" s="83"/>
      <x:c r="Q49" s="83"/>
      <x:c r="R49" s="83"/>
    </x:row>
    <x:row r="50">
      <x:c r="A50" s="83"/>
      <x:c r="B50" s="83"/>
      <x:c r="C50" s="83"/>
      <x:c r="D50" s="83"/>
      <x:c r="E50" s="83"/>
      <x:c r="F50" s="83"/>
      <x:c r="G50" s="83"/>
      <x:c r="H50" s="83"/>
      <x:c r="I50" s="83"/>
      <x:c r="J50" s="83"/>
      <x:c r="K50" s="83"/>
      <x:c r="L50" s="83"/>
      <x:c r="M50" s="83"/>
      <x:c r="N50" s="83"/>
      <x:c r="O50" s="83"/>
      <x:c r="P50" s="83"/>
      <x:c r="Q50" s="83"/>
      <x:c r="R50" s="83"/>
    </x:row>
    <x:row r="51">
      <x:c r="A51" s="83"/>
      <x:c r="B51" s="83"/>
      <x:c r="C51" s="83"/>
      <x:c r="D51" s="83"/>
      <x:c r="E51" s="83"/>
      <x:c r="F51" s="83"/>
      <x:c r="G51" s="83"/>
      <x:c r="H51" s="83"/>
      <x:c r="I51" s="83"/>
      <x:c r="J51" s="83"/>
      <x:c r="K51" s="83"/>
      <x:c r="L51" s="83"/>
      <x:c r="M51" s="83"/>
      <x:c r="N51" s="83"/>
      <x:c r="O51" s="83"/>
      <x:c r="P51" s="83"/>
      <x:c r="Q51" s="83"/>
      <x:c r="R51" s="83"/>
    </x:row>
    <x:row r="52">
      <x:c r="A52" s="83"/>
      <x:c r="B52" s="83"/>
      <x:c r="C52" s="83"/>
      <x:c r="D52" s="83"/>
      <x:c r="E52" s="83"/>
      <x:c r="F52" s="83"/>
      <x:c r="G52" s="83"/>
      <x:c r="H52" s="83"/>
      <x:c r="I52" s="83"/>
      <x:c r="J52" s="83"/>
      <x:c r="K52" s="83"/>
      <x:c r="L52" s="83"/>
      <x:c r="M52" s="83"/>
      <x:c r="N52" s="83"/>
      <x:c r="O52" s="83"/>
      <x:c r="P52" s="83"/>
      <x:c r="Q52" s="83"/>
      <x:c r="R52" s="83"/>
    </x:row>
    <x:row r="53">
      <x:c r="A53" s="83"/>
      <x:c r="B53" s="83"/>
      <x:c r="C53" s="83"/>
      <x:c r="D53" s="83"/>
      <x:c r="E53" s="83"/>
      <x:c r="F53" s="83"/>
      <x:c r="G53" s="83"/>
      <x:c r="H53" s="83"/>
      <x:c r="I53" s="83"/>
      <x:c r="J53" s="83"/>
      <x:c r="K53" s="83"/>
      <x:c r="L53" s="83"/>
      <x:c r="M53" s="83"/>
      <x:c r="N53" s="83"/>
      <x:c r="O53" s="83"/>
      <x:c r="P53" s="83"/>
      <x:c r="Q53" s="83"/>
      <x:c r="R53" s="83"/>
    </x:row>
    <x:row r="54">
      <x:c r="A54" s="83"/>
      <x:c r="B54" s="83"/>
      <x:c r="C54" s="83"/>
      <x:c r="D54" s="83"/>
      <x:c r="E54" s="83"/>
      <x:c r="F54" s="83"/>
      <x:c r="G54" s="83"/>
      <x:c r="H54" s="83"/>
      <x:c r="I54" s="83"/>
      <x:c r="J54" s="83"/>
      <x:c r="K54" s="83"/>
      <x:c r="L54" s="83"/>
      <x:c r="M54" s="83"/>
      <x:c r="N54" s="83"/>
      <x:c r="O54" s="83"/>
      <x:c r="P54" s="83"/>
      <x:c r="Q54" s="83"/>
      <x:c r="R54" s="83"/>
    </x:row>
    <x:row r="55">
      <x:c r="A55" s="83"/>
      <x:c r="B55" s="83"/>
      <x:c r="C55" s="83"/>
      <x:c r="D55" s="83"/>
      <x:c r="E55" s="83"/>
      <x:c r="F55" s="83"/>
      <x:c r="G55" s="83"/>
      <x:c r="H55" s="83"/>
      <x:c r="I55" s="83"/>
      <x:c r="J55" s="83"/>
      <x:c r="K55" s="83"/>
      <x:c r="L55" s="83"/>
      <x:c r="M55" s="83"/>
      <x:c r="N55" s="83"/>
      <x:c r="O55" s="83"/>
      <x:c r="P55" s="83"/>
      <x:c r="Q55" s="83"/>
      <x:c r="R55" s="83"/>
    </x:row>
    <x:row r="56">
      <x:c r="A56" s="83"/>
      <x:c r="B56" s="83"/>
      <x:c r="C56" s="83"/>
      <x:c r="D56" s="83"/>
      <x:c r="E56" s="83"/>
      <x:c r="F56" s="83"/>
      <x:c r="G56" s="83"/>
      <x:c r="H56" s="83"/>
      <x:c r="I56" s="83"/>
      <x:c r="J56" s="83"/>
      <x:c r="K56" s="83"/>
      <x:c r="L56" s="83"/>
      <x:c r="M56" s="83"/>
      <x:c r="N56" s="83"/>
      <x:c r="O56" s="83"/>
      <x:c r="P56" s="83"/>
      <x:c r="Q56" s="83"/>
      <x:c r="R56" s="83"/>
    </x:row>
    <x:row r="57">
      <x:c r="A57" s="83"/>
      <x:c r="B57" s="83"/>
      <x:c r="C57" s="83"/>
      <x:c r="D57" s="83"/>
      <x:c r="E57" s="83"/>
      <x:c r="F57" s="83"/>
      <x:c r="G57" s="83"/>
      <x:c r="H57" s="83"/>
      <x:c r="I57" s="83"/>
      <x:c r="J57" s="83"/>
      <x:c r="K57" s="83"/>
      <x:c r="L57" s="83"/>
      <x:c r="M57" s="83"/>
      <x:c r="N57" s="83"/>
      <x:c r="O57" s="83"/>
      <x:c r="P57" s="83"/>
      <x:c r="Q57" s="83"/>
      <x:c r="R57" s="83"/>
    </x:row>
    <x:row r="58">
      <x:c r="A58" s="83"/>
      <x:c r="B58" s="83"/>
      <x:c r="C58" s="83"/>
      <x:c r="D58" s="83"/>
      <x:c r="E58" s="83"/>
      <x:c r="F58" s="83"/>
      <x:c r="G58" s="83"/>
      <x:c r="H58" s="83"/>
      <x:c r="I58" s="83"/>
      <x:c r="J58" s="83"/>
      <x:c r="K58" s="83"/>
      <x:c r="L58" s="83"/>
      <x:c r="M58" s="83"/>
      <x:c r="N58" s="83"/>
      <x:c r="O58" s="83"/>
      <x:c r="P58" s="83"/>
      <x:c r="Q58" s="83"/>
      <x:c r="R58" s="83"/>
    </x:row>
    <x:row r="59">
      <x:c r="A59" s="83"/>
      <x:c r="B59" s="83"/>
      <x:c r="C59" s="83"/>
      <x:c r="D59" s="83"/>
      <x:c r="E59" s="83"/>
      <x:c r="F59" s="83"/>
      <x:c r="G59" s="83"/>
      <x:c r="H59" s="83"/>
      <x:c r="I59" s="83"/>
      <x:c r="J59" s="83"/>
      <x:c r="K59" s="83"/>
      <x:c r="L59" s="83"/>
      <x:c r="M59" s="83"/>
      <x:c r="N59" s="83"/>
      <x:c r="O59" s="83"/>
      <x:c r="P59" s="83"/>
      <x:c r="Q59" s="83"/>
      <x:c r="R59" s="83"/>
    </x:row>
    <x:row r="60">
      <x:c r="A60" s="83"/>
      <x:c r="B60" s="83"/>
      <x:c r="C60" s="83"/>
      <x:c r="D60" s="83"/>
      <x:c r="E60" s="83"/>
      <x:c r="F60" s="83"/>
      <x:c r="G60" s="83"/>
      <x:c r="H60" s="83"/>
      <x:c r="I60" s="83"/>
      <x:c r="J60" s="83"/>
      <x:c r="K60" s="83"/>
      <x:c r="L60" s="83"/>
      <x:c r="M60" s="83"/>
      <x:c r="N60" s="83"/>
      <x:c r="O60" s="83"/>
      <x:c r="P60" s="83"/>
      <x:c r="Q60" s="83"/>
      <x:c r="R60" s="83"/>
    </x:row>
    <x:row r="61">
      <x:c r="A61" s="83"/>
      <x:c r="B61" s="83"/>
      <x:c r="C61" s="83"/>
      <x:c r="D61" s="83"/>
      <x:c r="E61" s="83"/>
      <x:c r="F61" s="83"/>
      <x:c r="G61" s="83"/>
      <x:c r="H61" s="83"/>
      <x:c r="I61" s="83"/>
      <x:c r="J61" s="83"/>
      <x:c r="K61" s="83"/>
      <x:c r="L61" s="83"/>
      <x:c r="M61" s="83"/>
      <x:c r="N61" s="83"/>
      <x:c r="O61" s="83"/>
      <x:c r="P61" s="83"/>
      <x:c r="Q61" s="83"/>
      <x:c r="R61" s="83"/>
    </x:row>
    <x:row r="62">
      <x:c r="A62" s="83"/>
      <x:c r="B62" s="83"/>
      <x:c r="C62" s="83"/>
      <x:c r="D62" s="83"/>
      <x:c r="E62" s="83"/>
      <x:c r="F62" s="83"/>
      <x:c r="G62" s="83"/>
      <x:c r="H62" s="83"/>
      <x:c r="I62" s="83"/>
      <x:c r="J62" s="83"/>
      <x:c r="K62" s="83"/>
      <x:c r="L62" s="83"/>
      <x:c r="M62" s="83"/>
      <x:c r="N62" s="83"/>
      <x:c r="O62" s="83"/>
      <x:c r="P62" s="83"/>
      <x:c r="Q62" s="83"/>
      <x:c r="R62" s="83"/>
    </x:row>
    <x:row r="63">
      <x:c r="A63" s="83"/>
      <x:c r="B63" s="83"/>
      <x:c r="C63" s="83"/>
      <x:c r="D63" s="83"/>
      <x:c r="E63" s="83"/>
      <x:c r="F63" s="83"/>
      <x:c r="G63" s="83"/>
      <x:c r="H63" s="83"/>
      <x:c r="I63" s="83"/>
      <x:c r="J63" s="83"/>
      <x:c r="K63" s="83"/>
      <x:c r="L63" s="83"/>
      <x:c r="M63" s="83"/>
      <x:c r="N63" s="83"/>
      <x:c r="O63" s="83"/>
      <x:c r="P63" s="83"/>
      <x:c r="Q63" s="83"/>
      <x:c r="R63" s="83"/>
    </x:row>
    <x:row r="64">
      <x:c r="A64" s="83"/>
      <x:c r="B64" s="83"/>
      <x:c r="C64" s="83"/>
      <x:c r="D64" s="83"/>
      <x:c r="E64" s="83"/>
      <x:c r="F64" s="83"/>
      <x:c r="G64" s="83"/>
      <x:c r="H64" s="83"/>
      <x:c r="I64" s="83"/>
      <x:c r="J64" s="83"/>
      <x:c r="K64" s="83"/>
      <x:c r="L64" s="83"/>
      <x:c r="M64" s="83"/>
      <x:c r="N64" s="83"/>
      <x:c r="O64" s="83"/>
      <x:c r="P64" s="83"/>
      <x:c r="Q64" s="83"/>
      <x:c r="R64" s="83"/>
    </x:row>
    <x:row r="65">
      <x:c r="A65" s="83"/>
      <x:c r="B65" s="83"/>
      <x:c r="C65" s="83"/>
      <x:c r="D65" s="83"/>
      <x:c r="E65" s="83"/>
      <x:c r="F65" s="83"/>
      <x:c r="G65" s="83"/>
      <x:c r="H65" s="83"/>
      <x:c r="I65" s="83"/>
      <x:c r="J65" s="83"/>
      <x:c r="K65" s="83"/>
      <x:c r="L65" s="83"/>
      <x:c r="M65" s="83"/>
      <x:c r="N65" s="83"/>
      <x:c r="O65" s="83"/>
      <x:c r="P65" s="83"/>
      <x:c r="Q65" s="83"/>
      <x:c r="R65" s="83"/>
    </x:row>
    <x:row r="66">
      <x:c r="A66" s="83"/>
      <x:c r="B66" s="83"/>
      <x:c r="C66" s="83"/>
      <x:c r="D66" s="83"/>
      <x:c r="E66" s="83"/>
      <x:c r="F66" s="83"/>
      <x:c r="G66" s="83"/>
      <x:c r="H66" s="83"/>
      <x:c r="I66" s="83"/>
      <x:c r="J66" s="83"/>
      <x:c r="K66" s="83"/>
      <x:c r="L66" s="83"/>
      <x:c r="M66" s="83"/>
      <x:c r="N66" s="83"/>
      <x:c r="O66" s="83"/>
      <x:c r="P66" s="83"/>
      <x:c r="Q66" s="83"/>
      <x:c r="R66" s="83"/>
    </x:row>
    <x:row r="67">
      <x:c r="A67" s="83"/>
      <x:c r="B67" s="83"/>
      <x:c r="C67" s="83"/>
      <x:c r="D67" s="83"/>
      <x:c r="E67" s="83"/>
      <x:c r="F67" s="83"/>
      <x:c r="G67" s="83"/>
      <x:c r="H67" s="83"/>
      <x:c r="I67" s="83"/>
      <x:c r="J67" s="83"/>
      <x:c r="K67" s="83"/>
      <x:c r="L67" s="83"/>
      <x:c r="M67" s="83"/>
      <x:c r="N67" s="83"/>
      <x:c r="O67" s="83"/>
      <x:c r="P67" s="83"/>
      <x:c r="Q67" s="83"/>
      <x:c r="R67" s="83"/>
    </x:row>
    <x:row r="68">
      <x:c r="A68" s="83"/>
      <x:c r="B68" s="83"/>
      <x:c r="C68" s="83"/>
      <x:c r="D68" s="83"/>
      <x:c r="E68" s="83"/>
      <x:c r="F68" s="83"/>
      <x:c r="G68" s="83"/>
      <x:c r="H68" s="83"/>
      <x:c r="I68" s="83"/>
      <x:c r="J68" s="83"/>
      <x:c r="K68" s="83"/>
      <x:c r="L68" s="83"/>
      <x:c r="M68" s="83"/>
      <x:c r="N68" s="83"/>
      <x:c r="O68" s="83"/>
      <x:c r="P68" s="83"/>
      <x:c r="Q68" s="83"/>
      <x:c r="R68" s="83"/>
    </x:row>
    <x:row r="69">
      <x:c r="A69" s="83"/>
      <x:c r="B69" s="83"/>
      <x:c r="C69" s="83"/>
      <x:c r="D69" s="83"/>
      <x:c r="E69" s="83"/>
      <x:c r="F69" s="83"/>
      <x:c r="G69" s="83"/>
      <x:c r="H69" s="83"/>
      <x:c r="I69" s="83"/>
      <x:c r="J69" s="83"/>
      <x:c r="K69" s="83"/>
      <x:c r="L69" s="83"/>
      <x:c r="M69" s="83"/>
      <x:c r="N69" s="83"/>
      <x:c r="O69" s="83"/>
      <x:c r="P69" s="83"/>
      <x:c r="Q69" s="83"/>
      <x:c r="R69" s="83"/>
    </x:row>
    <x:row r="70">
      <x:c r="A70" s="83"/>
      <x:c r="B70" s="83"/>
      <x:c r="C70" s="83"/>
      <x:c r="D70" s="83"/>
      <x:c r="E70" s="83"/>
      <x:c r="F70" s="83"/>
      <x:c r="G70" s="83"/>
      <x:c r="H70" s="83"/>
      <x:c r="I70" s="83"/>
      <x:c r="J70" s="83"/>
      <x:c r="K70" s="83"/>
      <x:c r="L70" s="83"/>
      <x:c r="M70" s="83"/>
      <x:c r="N70" s="83"/>
      <x:c r="O70" s="83"/>
      <x:c r="P70" s="83"/>
      <x:c r="Q70" s="83"/>
      <x:c r="R70" s="83"/>
    </x:row>
    <x:row r="71">
      <x:c r="A71" s="83"/>
      <x:c r="B71" s="83"/>
      <x:c r="C71" s="83"/>
      <x:c r="D71" s="83"/>
      <x:c r="E71" s="83"/>
      <x:c r="F71" s="83"/>
      <x:c r="G71" s="83"/>
      <x:c r="H71" s="83"/>
      <x:c r="I71" s="83"/>
      <x:c r="J71" s="83"/>
      <x:c r="K71" s="83"/>
      <x:c r="L71" s="83"/>
      <x:c r="M71" s="83"/>
      <x:c r="N71" s="83"/>
      <x:c r="O71" s="83"/>
      <x:c r="P71" s="83"/>
      <x:c r="Q71" s="83"/>
      <x:c r="R71" s="83"/>
    </x:row>
    <x:row r="72">
      <x:c r="A72" s="83"/>
      <x:c r="B72" s="83"/>
      <x:c r="C72" s="83"/>
      <x:c r="D72" s="83"/>
      <x:c r="E72" s="83"/>
      <x:c r="F72" s="83"/>
      <x:c r="G72" s="83"/>
      <x:c r="H72" s="83"/>
      <x:c r="I72" s="83"/>
      <x:c r="J72" s="83"/>
      <x:c r="K72" s="83"/>
      <x:c r="L72" s="83"/>
      <x:c r="M72" s="83"/>
      <x:c r="N72" s="83"/>
      <x:c r="O72" s="83"/>
      <x:c r="P72" s="83"/>
      <x:c r="Q72" s="83"/>
      <x:c r="R72" s="83"/>
    </x:row>
    <x:row r="73">
      <x:c r="A73" s="83"/>
      <x:c r="B73" s="83"/>
      <x:c r="C73" s="83"/>
      <x:c r="D73" s="83"/>
      <x:c r="E73" s="83"/>
      <x:c r="F73" s="83"/>
      <x:c r="G73" s="83"/>
      <x:c r="H73" s="83"/>
      <x:c r="I73" s="83"/>
      <x:c r="J73" s="83"/>
      <x:c r="K73" s="83"/>
      <x:c r="L73" s="83"/>
      <x:c r="M73" s="83"/>
      <x:c r="N73" s="83"/>
      <x:c r="O73" s="83"/>
      <x:c r="P73" s="83"/>
      <x:c r="Q73" s="83"/>
      <x:c r="R73" s="83"/>
    </x:row>
    <x:row r="74">
      <x:c r="A74" s="83"/>
      <x:c r="B74" s="83"/>
      <x:c r="C74" s="83"/>
      <x:c r="D74" s="83"/>
      <x:c r="E74" s="83"/>
      <x:c r="F74" s="83"/>
      <x:c r="G74" s="83"/>
      <x:c r="H74" s="83"/>
      <x:c r="I74" s="83"/>
      <x:c r="J74" s="83"/>
      <x:c r="K74" s="83"/>
      <x:c r="L74" s="83"/>
      <x:c r="M74" s="83"/>
      <x:c r="N74" s="83"/>
      <x:c r="O74" s="83"/>
      <x:c r="P74" s="83"/>
      <x:c r="Q74" s="83"/>
      <x:c r="R74" s="83"/>
    </x:row>
    <x:row r="75">
      <x:c r="A75" s="83"/>
      <x:c r="B75" s="83"/>
      <x:c r="C75" s="83"/>
      <x:c r="D75" s="83"/>
      <x:c r="E75" s="83"/>
      <x:c r="F75" s="83"/>
      <x:c r="G75" s="83"/>
      <x:c r="H75" s="83"/>
      <x:c r="I75" s="83"/>
      <x:c r="J75" s="83"/>
      <x:c r="K75" s="83"/>
      <x:c r="L75" s="83"/>
      <x:c r="M75" s="83"/>
      <x:c r="N75" s="83"/>
      <x:c r="O75" s="83"/>
      <x:c r="P75" s="83"/>
      <x:c r="Q75" s="83"/>
      <x:c r="R75" s="83"/>
    </x:row>
    <x:row r="76">
      <x:c r="A76" s="83"/>
      <x:c r="B76" s="83"/>
      <x:c r="C76" s="83"/>
      <x:c r="D76" s="83"/>
      <x:c r="E76" s="83"/>
      <x:c r="F76" s="83"/>
      <x:c r="G76" s="83"/>
      <x:c r="H76" s="83"/>
      <x:c r="I76" s="83"/>
      <x:c r="J76" s="83"/>
      <x:c r="K76" s="83"/>
      <x:c r="L76" s="83"/>
      <x:c r="M76" s="83"/>
      <x:c r="N76" s="83"/>
      <x:c r="O76" s="83"/>
      <x:c r="P76" s="83"/>
      <x:c r="Q76" s="83"/>
      <x:c r="R76" s="83"/>
    </x:row>
    <x:row r="77">
      <x:c r="A77" s="83"/>
      <x:c r="B77" s="83"/>
      <x:c r="C77" s="83"/>
      <x:c r="D77" s="83"/>
      <x:c r="E77" s="83"/>
      <x:c r="F77" s="83"/>
      <x:c r="G77" s="83"/>
      <x:c r="H77" s="83"/>
      <x:c r="I77" s="83"/>
      <x:c r="J77" s="83"/>
      <x:c r="K77" s="83"/>
      <x:c r="L77" s="83"/>
      <x:c r="M77" s="83"/>
      <x:c r="N77" s="83"/>
      <x:c r="O77" s="83"/>
      <x:c r="P77" s="83"/>
      <x:c r="Q77" s="83"/>
      <x:c r="R77" s="83"/>
    </x:row>
    <x:row r="78">
      <x:c r="A78" s="83"/>
      <x:c r="B78" s="83"/>
      <x:c r="C78" s="83"/>
      <x:c r="D78" s="83"/>
      <x:c r="E78" s="83"/>
      <x:c r="F78" s="83"/>
      <x:c r="G78" s="83"/>
      <x:c r="H78" s="83"/>
      <x:c r="I78" s="83"/>
      <x:c r="J78" s="83"/>
      <x:c r="K78" s="83"/>
      <x:c r="L78" s="83"/>
      <x:c r="M78" s="83"/>
      <x:c r="N78" s="83"/>
      <x:c r="O78" s="83"/>
      <x:c r="P78" s="83"/>
      <x:c r="Q78" s="83"/>
      <x:c r="R78" s="83"/>
    </x:row>
    <x:row r="79">
      <x:c r="A79" s="83"/>
      <x:c r="B79" s="83"/>
      <x:c r="C79" s="83"/>
      <x:c r="D79" s="83"/>
      <x:c r="E79" s="83"/>
      <x:c r="F79" s="83"/>
      <x:c r="G79" s="83"/>
      <x:c r="H79" s="83"/>
      <x:c r="I79" s="83"/>
      <x:c r="J79" s="83"/>
      <x:c r="K79" s="83"/>
      <x:c r="L79" s="83"/>
      <x:c r="M79" s="83"/>
      <x:c r="N79" s="83"/>
      <x:c r="O79" s="83"/>
      <x:c r="P79" s="83"/>
      <x:c r="Q79" s="83"/>
      <x:c r="R79" s="83"/>
    </x:row>
    <x:row r="80">
      <x:c r="A80" s="83"/>
      <x:c r="B80" s="83"/>
      <x:c r="C80" s="83"/>
      <x:c r="D80" s="83"/>
      <x:c r="E80" s="83"/>
      <x:c r="F80" s="83"/>
      <x:c r="G80" s="83"/>
      <x:c r="H80" s="83"/>
      <x:c r="I80" s="83"/>
      <x:c r="J80" s="83"/>
      <x:c r="K80" s="83"/>
      <x:c r="L80" s="83"/>
      <x:c r="M80" s="83"/>
      <x:c r="N80" s="83"/>
      <x:c r="O80" s="83"/>
      <x:c r="P80" s="83"/>
      <x:c r="Q80" s="83"/>
      <x:c r="R80" s="83"/>
    </x:row>
  </x:sheetData>
  <x:mergeCells>
    <x:mergeCell ref="A1:H1"/>
    <x:mergeCell ref="D3:H3"/>
    <x:mergeCell ref="D4:H4"/>
    <x:mergeCell ref="D5:H5"/>
    <x:mergeCell ref="D6:H6"/>
    <x:mergeCell ref="D7:H7"/>
    <x:mergeCell ref="D8:H8"/>
    <x:mergeCell ref="D9:H9"/>
    <x:mergeCell ref="D10:H10"/>
    <x:mergeCell ref="D11:H11"/>
    <x:mergeCell ref="D12:H12"/>
    <x:mergeCell ref="D13:H13"/>
    <x:mergeCell ref="D14:H14"/>
    <x:mergeCell ref="D15:H15"/>
    <x:mergeCell ref="A15:H15"/>
  </x:mergeCells>
  <x:pageMargins left="0.7" right="0.7" top="0.75" bottom="0.75" header="0.3" footer="0.3"/>
</x:worksheet>
</file>

<file path=xl/worksheets/sheet9.xml><?xml version="1.0" encoding="utf-8"?>
<x:worksheet xmlns:x="http://schemas.openxmlformats.org/spreadsheetml/2006/main">
  <x:sheetFormatPr defaultRowHeight="15"/>
  <x:cols>
    <x:col min="1" max="1" width="20" hidden="0" customWidth="1"/>
    <x:col min="2" max="2" width="42" hidden="0" customWidth="1"/>
    <x:col min="3" max="3" width="18" hidden="0" customWidth="1"/>
    <x:col min="4" max="4" width="16" hidden="0" customWidth="1"/>
    <x:col min="5" max="5" width="12" hidden="0" customWidth="1"/>
    <x:col min="6" max="6" width="30"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s>
  <x:sheetData>
    <x:row r="1">
      <x:c r="A1" s="129" t="str">
        <x:v>WORKSHOP QA DASHBOARD</x:v>
      </x:c>
      <x:c r="B1" s="129"/>
      <x:c r="C1" s="129"/>
      <x:c r="D1" s="129"/>
      <x:c r="E1" s="129"/>
      <x:c r="F1" s="129"/>
      <x:c r="G1" s="129"/>
      <x:c r="H1" s="129"/>
      <x:c r="I1" s="129"/>
      <x:c r="J1" s="129"/>
      <x:c r="K1" s="129"/>
      <x:c r="L1" s="129"/>
      <x:c r="M1" s="83"/>
      <x:c r="N1" s="83"/>
      <x:c r="O1" s="83"/>
      <x:c r="P1" s="83"/>
      <x:c r="Q1" s="83"/>
      <x:c r="R1" s="83"/>
    </x:row>
    <x:row r="2">
      <x:c r="A2" s="121"/>
      <x:c r="B2" s="121"/>
      <x:c r="C2" s="121"/>
      <x:c r="D2" s="121"/>
      <x:c r="E2" s="121"/>
      <x:c r="F2" s="121"/>
      <x:c r="G2" s="121"/>
      <x:c r="H2" s="121"/>
      <x:c r="I2" s="121"/>
      <x:c r="J2" s="121"/>
      <x:c r="K2" s="121"/>
      <x:c r="L2" s="121"/>
      <x:c r="M2" s="83"/>
      <x:c r="N2" s="83"/>
      <x:c r="O2" s="83"/>
      <x:c r="P2" s="83"/>
      <x:c r="Q2" s="83"/>
      <x:c r="R2" s="83"/>
    </x:row>
    <x:row r="3">
      <x:c r="A3" s="123" t="str">
        <x:v>Workshop</x:v>
      </x:c>
      <x:c r="B3" s="124" t="str">
        <x:f>IF(SETUP!B3="","",SETUP!B3)</x:f>
      </x:c>
      <x:c r="C3" s="121"/>
      <x:c r="D3" s="113" t="str">
        <x:v>EXPERIENCE MIX</x:v>
      </x:c>
      <x:c r="E3" s="113" t="str">
        <x:v>MINUTES</x:v>
      </x:c>
      <x:c r="F3" s="121"/>
      <x:c r="G3" s="81" t="str">
        <x:v>OVERALL STATUS</x:v>
      </x:c>
      <x:c r="H3" s="81"/>
      <x:c r="I3" s="81"/>
      <x:c r="J3" s="81"/>
      <x:c r="K3" s="81"/>
      <x:c r="L3" s="81"/>
      <x:c r="M3" s="83"/>
      <x:c r="N3" s="83"/>
      <x:c r="O3" s="83"/>
      <x:c r="P3" s="83"/>
      <x:c r="Q3" s="83"/>
      <x:c r="R3" s="83"/>
    </x:row>
    <x:row r="4">
      <x:c r="A4" s="123" t="str">
        <x:v>Format</x:v>
      </x:c>
      <x:c r="B4" s="124" t="str">
        <x:f>SETUP!B5</x:f>
        <x:v>Micro (60 min)</x:v>
      </x:c>
      <x:c r="C4" s="121"/>
      <x:c r="D4" s="123" t="str">
        <x:v>Presentation</x:v>
      </x:c>
      <x:c r="E4" s="114" t="n">
        <x:f>SUMIF(OUTLINE!E4:E43,"Presentation",OUTLINE!D4:D43)</x:f>
        <x:v>0</x:v>
      </x:c>
      <x:c r="F4" s="121"/>
      <x:c r="G4" s="125" t="str">
        <x:f>IF(B3="","START WITH SETUP",IF(B6=0,"BUILD OUTLINE",IF(B5&lt;&gt;B6,"FIX TIMING",IF(OR(B8&gt;0,B9&gt;0,B10&gt;0,B11&gt;0,B12&gt;0),"ACTION NEEDED","READY FOR REVIEW"))))</x:f>
        <x:v>START WITH SETUP</x:v>
      </x:c>
      <x:c r="H4" s="125"/>
      <x:c r="I4" s="125"/>
      <x:c r="J4" s="125"/>
      <x:c r="K4" s="125"/>
      <x:c r="L4" s="125"/>
      <x:c r="M4" s="83"/>
      <x:c r="N4" s="83"/>
      <x:c r="O4" s="83"/>
      <x:c r="P4" s="83"/>
      <x:c r="Q4" s="83"/>
      <x:c r="R4" s="83"/>
    </x:row>
    <x:row r="5">
      <x:c r="A5" s="123" t="str">
        <x:v>Target Minutes</x:v>
      </x:c>
      <x:c r="B5" s="124" t="n">
        <x:f>SETUP!B7</x:f>
        <x:v>60</x:v>
      </x:c>
      <x:c r="C5" s="121"/>
      <x:c r="D5" s="123" t="str">
        <x:v>Practice</x:v>
      </x:c>
      <x:c r="E5" s="114" t="n">
        <x:f>SUMIF(OUTLINE!E4:E43,"Exercise / Practice",OUTLINE!D4:D43)+SUMIF(OUTLINE!E4:E43,"Case Study",OUTLINE!D4:D43)+SUMIF(OUTLINE!E4:E43,"Tool / Demo",OUTLINE!D4:D43)</x:f>
        <x:v>0</x:v>
      </x:c>
      <x:c r="F5" s="121"/>
      <x:c r="G5" s="125"/>
      <x:c r="H5" s="125"/>
      <x:c r="I5" s="125"/>
      <x:c r="J5" s="125"/>
      <x:c r="K5" s="125"/>
      <x:c r="L5" s="125"/>
      <x:c r="M5" s="83"/>
      <x:c r="N5" s="83"/>
      <x:c r="O5" s="83"/>
      <x:c r="P5" s="83"/>
      <x:c r="Q5" s="83"/>
      <x:c r="R5" s="83"/>
    </x:row>
    <x:row r="6">
      <x:c r="A6" s="123" t="str">
        <x:v>Outlined Minutes</x:v>
      </x:c>
      <x:c r="B6" s="124" t="n">
        <x:f>SUM(OUTLINE!D4:D43)</x:f>
        <x:v>0</x:v>
      </x:c>
      <x:c r="C6" s="121"/>
      <x:c r="D6" s="123" t="str">
        <x:v>Discussion / Q&amp;A</x:v>
      </x:c>
      <x:c r="E6" s="114" t="n">
        <x:f>SUMIF(OUTLINE!E4:E43,"Discussion / Q&amp;A",OUTLINE!D4:D43)</x:f>
        <x:v>0</x:v>
      </x:c>
      <x:c r="F6" s="121"/>
      <x:c r="G6" s="125"/>
      <x:c r="H6" s="125"/>
      <x:c r="I6" s="125"/>
      <x:c r="J6" s="125"/>
      <x:c r="K6" s="125"/>
      <x:c r="L6" s="125"/>
      <x:c r="M6" s="83"/>
      <x:c r="N6" s="83"/>
      <x:c r="O6" s="83"/>
      <x:c r="P6" s="83"/>
      <x:c r="Q6" s="83"/>
      <x:c r="R6" s="83"/>
    </x:row>
    <x:row r="7">
      <x:c r="A7" s="123" t="str">
        <x:v>Remaining Minutes</x:v>
      </x:c>
      <x:c r="B7" s="124" t="n">
        <x:f>B5-B6</x:f>
        <x:v>60</x:v>
      </x:c>
      <x:c r="C7" s="121"/>
      <x:c r="D7" s="123" t="str">
        <x:v>Assessment</x:v>
      </x:c>
      <x:c r="E7" s="114" t="n">
        <x:f>SUMIF(OUTLINE!E4:E43,"Assessment",OUTLINE!D4:D43)</x:f>
        <x:v>0</x:v>
      </x:c>
      <x:c r="F7" s="121"/>
      <x:c r="G7" s="125"/>
      <x:c r="H7" s="125"/>
      <x:c r="I7" s="125"/>
      <x:c r="J7" s="125"/>
      <x:c r="K7" s="125"/>
      <x:c r="L7" s="125"/>
      <x:c r="M7" s="83"/>
      <x:c r="N7" s="83"/>
      <x:c r="O7" s="83"/>
      <x:c r="P7" s="83"/>
      <x:c r="Q7" s="83"/>
      <x:c r="R7" s="83"/>
    </x:row>
    <x:row r="8">
      <x:c r="A8" s="123" t="str">
        <x:v>Objectives</x:v>
      </x:c>
      <x:c r="B8" s="124" t="n">
        <x:f>COUNTIF(OBJECTIVES!C4:C15,"&lt;&gt;")</x:f>
        <x:v>0</x:v>
      </x:c>
      <x:c r="C8" s="121"/>
      <x:c r="D8" s="123" t="str">
        <x:v>Break</x:v>
      </x:c>
      <x:c r="E8" s="114" t="n">
        <x:f>SUMIF(OUTLINE!E4:E43,"Break",OUTLINE!D4:D43)</x:f>
        <x:v>0</x:v>
      </x:c>
      <x:c r="F8" s="121"/>
      <x:c r="G8" s="125"/>
      <x:c r="H8" s="125"/>
      <x:c r="I8" s="125"/>
      <x:c r="J8" s="125"/>
      <x:c r="K8" s="125"/>
      <x:c r="L8" s="125"/>
      <x:c r="M8" s="83"/>
      <x:c r="N8" s="83"/>
      <x:c r="O8" s="83"/>
      <x:c r="P8" s="83"/>
      <x:c r="Q8" s="83"/>
      <x:c r="R8" s="83"/>
    </x:row>
    <x:row r="9">
      <x:c r="A9" s="123" t="str">
        <x:v>Objective QA Flags</x:v>
      </x:c>
      <x:c r="B9" s="124" t="n">
        <x:f>COUNTIFS(OBJECTIVES!C4:C15,"&lt;&gt;",OBJECTIVES!J4:J15,"&lt;&gt;OK")</x:f>
        <x:v>0</x:v>
      </x:c>
      <x:c r="C9" s="121"/>
      <x:c r="D9" s="123" t="str">
        <x:v>Welcome + Closing</x:v>
      </x:c>
      <x:c r="E9" s="114" t="n">
        <x:f>SUMIF(OUTLINE!E4:E43,"Welcome / Framing",OUTLINE!D4:D43)+SUMIF(OUTLINE!E4:E43,"Closing / Application",OUTLINE!D4:D43)</x:f>
        <x:v>0</x:v>
      </x:c>
      <x:c r="F9" s="121"/>
      <x:c r="G9" s="121"/>
      <x:c r="H9" s="121"/>
      <x:c r="I9" s="121"/>
      <x:c r="J9" s="121"/>
      <x:c r="K9" s="121"/>
      <x:c r="L9" s="121"/>
      <x:c r="M9" s="83"/>
      <x:c r="N9" s="83"/>
      <x:c r="O9" s="83"/>
      <x:c r="P9" s="83"/>
      <x:c r="Q9" s="83"/>
      <x:c r="R9" s="83"/>
    </x:row>
    <x:row r="10">
      <x:c r="A10" s="123" t="str">
        <x:v>Outline QA Flags</x:v>
      </x:c>
      <x:c r="B10" s="124" t="n">
        <x:f>COUNTIFS(OUTLINE!C4:C43,"&lt;&gt;",OUTLINE!P4:P43,"&lt;&gt;OK")+COUNTIFS(OUTLINE!C4:C43,"&lt;&gt;",OUTLINE!Q4:Q43,"&lt;&gt;OK")</x:f>
        <x:v>0</x:v>
      </x:c>
      <x:c r="C10" s="121"/>
      <x:c r="D10" s="123" t="str">
        <x:v>Other</x:v>
      </x:c>
      <x:c r="E10" s="114" t="n">
        <x:f>MAX(0,B6-SUM(E4:E9))</x:f>
        <x:v>0</x:v>
      </x:c>
      <x:c r="F10" s="121"/>
      <x:c r="G10" s="121"/>
      <x:c r="H10" s="121"/>
      <x:c r="I10" s="121"/>
      <x:c r="J10" s="121"/>
      <x:c r="K10" s="121"/>
      <x:c r="L10" s="121"/>
      <x:c r="M10" s="83"/>
      <x:c r="N10" s="83"/>
      <x:c r="O10" s="83"/>
      <x:c r="P10" s="83"/>
      <x:c r="Q10" s="83"/>
      <x:c r="R10" s="83"/>
    </x:row>
    <x:row r="11">
      <x:c r="A11" s="123" t="str">
        <x:v>Material QA Flags</x:v>
      </x:c>
      <x:c r="B11" s="124" t="n">
        <x:f>COUNTIFS(MATERIALS!B4:B33,"&lt;&gt;",MATERIALS!K4:K33,"&lt;&gt;OK")</x:f>
        <x:v>0</x:v>
      </x:c>
      <x:c r="C11" s="121"/>
      <x:c r="D11" s="121"/>
      <x:c r="E11" s="121"/>
      <x:c r="F11" s="121"/>
      <x:c r="G11" s="121"/>
      <x:c r="H11" s="121"/>
      <x:c r="I11" s="121"/>
      <x:c r="J11" s="121"/>
      <x:c r="K11" s="121"/>
      <x:c r="L11" s="121"/>
      <x:c r="M11" s="83"/>
      <x:c r="N11" s="83"/>
      <x:c r="O11" s="83"/>
      <x:c r="P11" s="83"/>
      <x:c r="Q11" s="83"/>
      <x:c r="R11" s="83"/>
    </x:row>
    <x:row r="12">
      <x:c r="A12" s="123" t="str">
        <x:v>Automated QA Flags</x:v>
      </x:c>
      <x:c r="B12" s="124" t="n">
        <x:f>COUNTIF('QA CHECKS'!C4:C19,"ACTION NEEDED")+COUNTIF('QA CHECKS'!C4:C19,"REVIEW")</x:f>
        <x:v>1</x:v>
      </x:c>
      <x:c r="C12" s="121"/>
      <x:c r="D12" s="121"/>
      <x:c r="E12" s="121"/>
      <x:c r="F12" s="121"/>
      <x:c r="G12" s="121"/>
      <x:c r="H12" s="121"/>
      <x:c r="I12" s="121"/>
      <x:c r="J12" s="121"/>
      <x:c r="K12" s="121"/>
      <x:c r="L12" s="121"/>
      <x:c r="M12" s="83"/>
      <x:c r="N12" s="83"/>
      <x:c r="O12" s="83"/>
      <x:c r="P12" s="83"/>
      <x:c r="Q12" s="83"/>
      <x:c r="R12" s="83"/>
    </x:row>
    <x:row r="13">
      <x:c r="A13" s="121"/>
      <x:c r="B13" s="121"/>
      <x:c r="C13" s="121"/>
      <x:c r="D13" s="121"/>
      <x:c r="E13" s="121"/>
      <x:c r="F13" s="121"/>
      <x:c r="G13" s="121"/>
      <x:c r="H13" s="121"/>
      <x:c r="I13" s="121"/>
      <x:c r="J13" s="121"/>
      <x:c r="K13" s="121"/>
      <x:c r="L13" s="121"/>
      <x:c r="M13" s="83"/>
      <x:c r="N13" s="83"/>
      <x:c r="O13" s="83"/>
      <x:c r="P13" s="83"/>
      <x:c r="Q13" s="83"/>
      <x:c r="R13" s="83"/>
    </x:row>
    <x:row r="14">
      <x:c r="A14" s="121"/>
      <x:c r="B14" s="121"/>
      <x:c r="C14" s="121"/>
      <x:c r="D14" s="121"/>
      <x:c r="E14" s="121"/>
      <x:c r="F14" s="121"/>
      <x:c r="G14" s="121"/>
      <x:c r="H14" s="121"/>
      <x:c r="I14" s="121"/>
      <x:c r="J14" s="121"/>
      <x:c r="K14" s="121"/>
      <x:c r="L14" s="121"/>
      <x:c r="M14" s="83"/>
      <x:c r="N14" s="83"/>
      <x:c r="O14" s="83"/>
      <x:c r="P14" s="83"/>
      <x:c r="Q14" s="83"/>
      <x:c r="R14" s="83"/>
    </x:row>
    <x:row r="15">
      <x:c r="A15" s="113" t="str">
        <x:v>Top QA items</x:v>
      </x:c>
      <x:c r="B15" s="113"/>
      <x:c r="C15" s="113"/>
      <x:c r="D15" s="113"/>
      <x:c r="E15" s="113"/>
      <x:c r="F15" s="113"/>
      <x:c r="G15" s="121"/>
      <x:c r="H15" s="121"/>
      <x:c r="I15" s="121"/>
      <x:c r="J15" s="121"/>
      <x:c r="K15" s="121"/>
      <x:c r="L15" s="121"/>
      <x:c r="M15" s="83"/>
      <x:c r="N15" s="83"/>
      <x:c r="O15" s="83"/>
      <x:c r="P15" s="83"/>
      <x:c r="Q15" s="83"/>
      <x:c r="R15" s="83"/>
    </x:row>
    <x:row r="16">
      <x:c r="A16" s="123" t="str">
        <x:v>Category</x:v>
      </x:c>
      <x:c r="B16" s="123" t="str">
        <x:v>Check</x:v>
      </x:c>
      <x:c r="C16" s="123" t="str">
        <x:v>Result</x:v>
      </x:c>
      <x:c r="D16" s="123" t="str">
        <x:v>Owner Status</x:v>
      </x:c>
      <x:c r="E16" s="123" t="str">
        <x:v>Priority</x:v>
      </x:c>
      <x:c r="F16" s="123" t="str">
        <x:v>Notes</x:v>
      </x:c>
      <x:c r="G16" s="121"/>
      <x:c r="H16" s="121"/>
      <x:c r="I16" s="121"/>
      <x:c r="J16" s="121"/>
      <x:c r="K16" s="121"/>
      <x:c r="L16" s="121"/>
      <x:c r="M16" s="83"/>
      <x:c r="N16" s="83"/>
      <x:c r="O16" s="83"/>
      <x:c r="P16" s="83"/>
      <x:c r="Q16" s="83"/>
      <x:c r="R16" s="83"/>
    </x:row>
    <x:row r="17">
      <x:c r="A17" s="121" t="str">
        <x:f>'QA CHECKS'!A4</x:f>
        <x:v>Timing</x:v>
      </x:c>
      <x:c r="B17" s="121" t="str">
        <x:f>'QA CHECKS'!B4</x:f>
        <x:v>Total outlined minutes match target minutes</x:v>
      </x:c>
      <x:c r="C17" s="121" t="str">
        <x:f>'QA CHECKS'!C4</x:f>
        <x:v>NOT STARTED</x:v>
      </x:c>
      <x:c r="D17" s="121" t="str">
        <x:f>'QA CHECKS'!D4</x:f>
        <x:v>Not Started</x:v>
      </x:c>
      <x:c r="E17" s="121" t="str">
        <x:f>'QA CHECKS'!E4</x:f>
        <x:v>Critical</x:v>
      </x:c>
      <x:c r="F17" s="121" t="n">
        <x:f>'QA CHECKS'!G4</x:f>
        <x:v>0</x:v>
      </x:c>
      <x:c r="G17" s="121"/>
      <x:c r="H17" s="121"/>
      <x:c r="I17" s="121"/>
      <x:c r="J17" s="121"/>
      <x:c r="K17" s="121"/>
      <x:c r="L17" s="121"/>
      <x:c r="M17" s="83"/>
      <x:c r="N17" s="83"/>
      <x:c r="O17" s="83"/>
      <x:c r="P17" s="83"/>
      <x:c r="Q17" s="83"/>
      <x:c r="R17" s="83"/>
    </x:row>
    <x:row r="18">
      <x:c r="A18" s="121" t="str">
        <x:f>'QA CHECKS'!A5</x:f>
        <x:v>Timing</x:v>
      </x:c>
      <x:c r="B18" s="121" t="str">
        <x:f>'QA CHECKS'!B5</x:f>
        <x:v>No segment is missing minutes</x:v>
      </x:c>
      <x:c r="C18" s="121" t="str">
        <x:f>'QA CHECKS'!C5</x:f>
        <x:v>OK</x:v>
      </x:c>
      <x:c r="D18" s="121" t="str">
        <x:f>'QA CHECKS'!D5</x:f>
        <x:v>Not Started</x:v>
      </x:c>
      <x:c r="E18" s="121" t="str">
        <x:f>'QA CHECKS'!E5</x:f>
        <x:v>Critical</x:v>
      </x:c>
      <x:c r="F18" s="121" t="n">
        <x:f>'QA CHECKS'!G5</x:f>
        <x:v>0</x:v>
      </x:c>
      <x:c r="G18" s="121"/>
      <x:c r="H18" s="121"/>
      <x:c r="I18" s="121"/>
      <x:c r="J18" s="121"/>
      <x:c r="K18" s="121"/>
      <x:c r="L18" s="121"/>
      <x:c r="M18" s="83"/>
      <x:c r="N18" s="83"/>
      <x:c r="O18" s="83"/>
      <x:c r="P18" s="83"/>
      <x:c r="Q18" s="83"/>
      <x:c r="R18" s="83"/>
    </x:row>
    <x:row r="19">
      <x:c r="A19" s="121" t="str">
        <x:f>'QA CHECKS'!A6</x:f>
        <x:v>Timing</x:v>
      </x:c>
      <x:c r="B19" s="121" t="str">
        <x:f>'QA CHECKS'!B6</x:f>
        <x:v>Break planning is appropriate for session length</x:v>
      </x:c>
      <x:c r="C19" s="121" t="str">
        <x:f>'QA CHECKS'!C6</x:f>
        <x:v>N/A</x:v>
      </x:c>
      <x:c r="D19" s="121" t="str">
        <x:f>'QA CHECKS'!D6</x:f>
        <x:v>Not Started</x:v>
      </x:c>
      <x:c r="E19" s="121" t="str">
        <x:f>'QA CHECKS'!E6</x:f>
        <x:v>Medium</x:v>
      </x:c>
      <x:c r="F19" s="121" t="n">
        <x:f>'QA CHECKS'!G6</x:f>
        <x:v>0</x:v>
      </x:c>
      <x:c r="G19" s="121"/>
      <x:c r="H19" s="121"/>
      <x:c r="I19" s="121"/>
      <x:c r="J19" s="121"/>
      <x:c r="K19" s="121"/>
      <x:c r="L19" s="121"/>
      <x:c r="M19" s="83"/>
      <x:c r="N19" s="83"/>
      <x:c r="O19" s="83"/>
      <x:c r="P19" s="83"/>
      <x:c r="Q19" s="83"/>
      <x:c r="R19" s="83"/>
    </x:row>
    <x:row r="20">
      <x:c r="A20" s="121" t="str">
        <x:f>'QA CHECKS'!A7</x:f>
        <x:v>Alignment</x:v>
      </x:c>
      <x:c r="B20" s="121" t="str">
        <x:f>'QA CHECKS'!B7</x:f>
        <x:v>Every objective is mapped</x:v>
      </x:c>
      <x:c r="C20" s="121" t="str">
        <x:f>'QA CHECKS'!C7</x:f>
        <x:v>OK</x:v>
      </x:c>
      <x:c r="D20" s="121" t="str">
        <x:f>'QA CHECKS'!D7</x:f>
        <x:v>Not Started</x:v>
      </x:c>
      <x:c r="E20" s="121" t="str">
        <x:f>'QA CHECKS'!E7</x:f>
        <x:v>Critical</x:v>
      </x:c>
      <x:c r="F20" s="121" t="n">
        <x:f>'QA CHECKS'!G7</x:f>
        <x:v>0</x:v>
      </x:c>
      <x:c r="G20" s="121"/>
      <x:c r="H20" s="121"/>
      <x:c r="I20" s="121"/>
      <x:c r="J20" s="121"/>
      <x:c r="K20" s="121"/>
      <x:c r="L20" s="121"/>
      <x:c r="M20" s="83"/>
      <x:c r="N20" s="83"/>
      <x:c r="O20" s="83"/>
      <x:c r="P20" s="83"/>
      <x:c r="Q20" s="83"/>
      <x:c r="R20" s="83"/>
    </x:row>
    <x:row r="21">
      <x:c r="A21" s="121" t="str">
        <x:f>'QA CHECKS'!A8</x:f>
        <x:v>Alignment</x:v>
      </x:c>
      <x:c r="B21" s="121" t="str">
        <x:f>'QA CHECKS'!B8</x:f>
        <x:v>Every objective has participant practice</x:v>
      </x:c>
      <x:c r="C21" s="121" t="str">
        <x:f>'QA CHECKS'!C8</x:f>
        <x:v>OK</x:v>
      </x:c>
      <x:c r="D21" s="121" t="str">
        <x:f>'QA CHECKS'!D8</x:f>
        <x:v>Not Started</x:v>
      </x:c>
      <x:c r="E21" s="121" t="str">
        <x:f>'QA CHECKS'!E8</x:f>
        <x:v>High</x:v>
      </x:c>
      <x:c r="F21" s="121" t="n">
        <x:f>'QA CHECKS'!G8</x:f>
        <x:v>0</x:v>
      </x:c>
      <x:c r="G21" s="121"/>
      <x:c r="H21" s="121"/>
      <x:c r="I21" s="121"/>
      <x:c r="J21" s="121"/>
      <x:c r="K21" s="121"/>
      <x:c r="L21" s="121"/>
      <x:c r="M21" s="83"/>
      <x:c r="N21" s="83"/>
      <x:c r="O21" s="83"/>
      <x:c r="P21" s="83"/>
      <x:c r="Q21" s="83"/>
      <x:c r="R21" s="83"/>
    </x:row>
    <x:row r="22">
      <x:c r="A22" s="121" t="str">
        <x:f>'QA CHECKS'!A9</x:f>
        <x:v>Assessment</x:v>
      </x:c>
      <x:c r="B22" s="121" t="str">
        <x:f>'QA CHECKS'!B9</x:f>
        <x:v>Every objective has an assessment/check</x:v>
      </x:c>
      <x:c r="C22" s="121" t="str">
        <x:f>'QA CHECKS'!C9</x:f>
        <x:v>OK</x:v>
      </x:c>
      <x:c r="D22" s="121" t="str">
        <x:f>'QA CHECKS'!D9</x:f>
        <x:v>Not Started</x:v>
      </x:c>
      <x:c r="E22" s="121" t="str">
        <x:f>'QA CHECKS'!E9</x:f>
        <x:v>High</x:v>
      </x:c>
      <x:c r="F22" s="121" t="n">
        <x:f>'QA CHECKS'!G9</x:f>
        <x:v>0</x:v>
      </x:c>
      <x:c r="G22" s="121"/>
      <x:c r="H22" s="121"/>
      <x:c r="I22" s="121"/>
      <x:c r="J22" s="121"/>
      <x:c r="K22" s="121"/>
      <x:c r="L22" s="121"/>
      <x:c r="M22" s="83"/>
      <x:c r="N22" s="83"/>
      <x:c r="O22" s="83"/>
      <x:c r="P22" s="83"/>
      <x:c r="Q22" s="83"/>
      <x:c r="R22" s="83"/>
    </x:row>
    <x:row r="23">
      <x:c r="A23" s="121" t="str">
        <x:f>'QA CHECKS'!A10</x:f>
        <x:v>Participant experience</x:v>
      </x:c>
      <x:c r="B23" s="121" t="str">
        <x:f>'QA CHECKS'!B10</x:f>
        <x:v>Exercises specify a participant output</x:v>
      </x:c>
      <x:c r="C23" s="121" t="str">
        <x:f>'QA CHECKS'!C10</x:f>
        <x:v>OK</x:v>
      </x:c>
      <x:c r="D23" s="121" t="str">
        <x:f>'QA CHECKS'!D10</x:f>
        <x:v>Not Started</x:v>
      </x:c>
      <x:c r="E23" s="121" t="str">
        <x:f>'QA CHECKS'!E10</x:f>
        <x:v>High</x:v>
      </x:c>
      <x:c r="F23" s="121" t="n">
        <x:f>'QA CHECKS'!G10</x:f>
        <x:v>0</x:v>
      </x:c>
      <x:c r="G23" s="121"/>
      <x:c r="H23" s="121"/>
      <x:c r="I23" s="121"/>
      <x:c r="J23" s="121"/>
      <x:c r="K23" s="121"/>
      <x:c r="L23" s="121"/>
      <x:c r="M23" s="83"/>
      <x:c r="N23" s="83"/>
      <x:c r="O23" s="83"/>
      <x:c r="P23" s="83"/>
      <x:c r="Q23" s="83"/>
      <x:c r="R23" s="83"/>
    </x:row>
    <x:row r="24">
      <x:c r="A24" s="121" t="str">
        <x:f>'QA CHECKS'!A11</x:f>
        <x:v>Materials</x:v>
      </x:c>
      <x:c r="B24" s="121" t="str">
        <x:f>'QA CHECKS'!B11</x:f>
        <x:v>Participant materials have instructions/purpose/output</x:v>
      </x:c>
      <x:c r="C24" s="121" t="str">
        <x:f>'QA CHECKS'!C11</x:f>
        <x:v>OK</x:v>
      </x:c>
      <x:c r="D24" s="121" t="str">
        <x:f>'QA CHECKS'!D11</x:f>
        <x:v>Not Started</x:v>
      </x:c>
      <x:c r="E24" s="121" t="str">
        <x:f>'QA CHECKS'!E11</x:f>
        <x:v>High</x:v>
      </x:c>
      <x:c r="F24" s="121" t="n">
        <x:f>'QA CHECKS'!G11</x:f>
        <x:v>0</x:v>
      </x:c>
      <x:c r="G24" s="121"/>
      <x:c r="H24" s="121"/>
      <x:c r="I24" s="121"/>
      <x:c r="J24" s="121"/>
      <x:c r="K24" s="121"/>
      <x:c r="L24" s="121"/>
      <x:c r="M24" s="83"/>
      <x:c r="N24" s="83"/>
      <x:c r="O24" s="83"/>
      <x:c r="P24" s="83"/>
      <x:c r="Q24" s="83"/>
      <x:c r="R24" s="83"/>
    </x:row>
    <x:row r="25">
      <x:c r="A25" s="121"/>
      <x:c r="B25" s="121"/>
      <x:c r="C25" s="121"/>
      <x:c r="D25" s="121"/>
      <x:c r="E25" s="121"/>
      <x:c r="F25" s="121"/>
      <x:c r="G25" s="121"/>
      <x:c r="H25" s="121"/>
      <x:c r="I25" s="121"/>
      <x:c r="J25" s="121"/>
      <x:c r="K25" s="121"/>
      <x:c r="L25" s="121"/>
      <x:c r="M25" s="83"/>
      <x:c r="N25" s="83"/>
      <x:c r="O25" s="83"/>
      <x:c r="P25" s="83"/>
      <x:c r="Q25" s="83"/>
      <x:c r="R25" s="83"/>
    </x:row>
    <x:row r="26">
      <x:c r="A26" s="121"/>
      <x:c r="B26" s="121"/>
      <x:c r="C26" s="121"/>
      <x:c r="D26" s="121"/>
      <x:c r="E26" s="121"/>
      <x:c r="F26" s="121"/>
      <x:c r="G26" s="121"/>
      <x:c r="H26" s="121"/>
      <x:c r="I26" s="121"/>
      <x:c r="J26" s="121"/>
      <x:c r="K26" s="121"/>
      <x:c r="L26" s="121"/>
      <x:c r="M26" s="83"/>
      <x:c r="N26" s="83"/>
      <x:c r="O26" s="83"/>
      <x:c r="P26" s="83"/>
      <x:c r="Q26" s="83"/>
      <x:c r="R26" s="83"/>
    </x:row>
    <x:row r="27">
      <x:c r="A27" s="121"/>
      <x:c r="B27" s="121"/>
      <x:c r="C27" s="121"/>
      <x:c r="D27" s="121"/>
      <x:c r="E27" s="121"/>
      <x:c r="F27" s="121"/>
      <x:c r="G27" s="121"/>
      <x:c r="H27" s="121"/>
      <x:c r="I27" s="121"/>
      <x:c r="J27" s="121"/>
      <x:c r="K27" s="121"/>
      <x:c r="L27" s="121"/>
      <x:c r="M27" s="83"/>
      <x:c r="N27" s="83"/>
      <x:c r="O27" s="83"/>
      <x:c r="P27" s="83"/>
      <x:c r="Q27" s="83"/>
      <x:c r="R27" s="83"/>
    </x:row>
    <x:row r="28">
      <x:c r="A28" s="121"/>
      <x:c r="B28" s="121"/>
      <x:c r="C28" s="121"/>
      <x:c r="D28" s="121"/>
      <x:c r="E28" s="121"/>
      <x:c r="F28" s="121"/>
      <x:c r="G28" s="121"/>
      <x:c r="H28" s="121"/>
      <x:c r="I28" s="121"/>
      <x:c r="J28" s="121"/>
      <x:c r="K28" s="121"/>
      <x:c r="L28" s="121"/>
      <x:c r="M28" s="83"/>
      <x:c r="N28" s="83"/>
      <x:c r="O28" s="83"/>
      <x:c r="P28" s="83"/>
      <x:c r="Q28" s="83"/>
      <x:c r="R28" s="83"/>
    </x:row>
    <x:row r="29">
      <x:c r="A29" s="83"/>
      <x:c r="B29" s="83"/>
      <x:c r="C29" s="83"/>
      <x:c r="D29" s="83"/>
      <x:c r="E29" s="83"/>
      <x:c r="F29" s="83"/>
      <x:c r="G29" s="83"/>
      <x:c r="H29" s="83"/>
      <x:c r="I29" s="83"/>
      <x:c r="J29" s="83"/>
      <x:c r="K29" s="83"/>
      <x:c r="L29" s="83"/>
      <x:c r="M29" s="83"/>
      <x:c r="N29" s="83"/>
      <x:c r="O29" s="83"/>
      <x:c r="P29" s="83"/>
      <x:c r="Q29" s="83"/>
      <x:c r="R29" s="83"/>
    </x:row>
    <x:row r="30">
      <x:c r="A30" s="83"/>
      <x:c r="B30" s="83"/>
      <x:c r="C30" s="83"/>
      <x:c r="D30" s="83"/>
      <x:c r="E30" s="83"/>
      <x:c r="F30" s="83"/>
      <x:c r="G30" s="83"/>
      <x:c r="H30" s="83"/>
      <x:c r="I30" s="83"/>
      <x:c r="J30" s="83"/>
      <x:c r="K30" s="83"/>
      <x:c r="L30" s="83"/>
      <x:c r="M30" s="83"/>
      <x:c r="N30" s="83"/>
      <x:c r="O30" s="83"/>
      <x:c r="P30" s="83"/>
      <x:c r="Q30" s="83"/>
      <x:c r="R30" s="83"/>
    </x:row>
    <x:row r="31">
      <x:c r="A31" s="83"/>
      <x:c r="B31" s="83"/>
      <x:c r="C31" s="83"/>
      <x:c r="D31" s="83"/>
      <x:c r="E31" s="83"/>
      <x:c r="F31" s="83"/>
      <x:c r="G31" s="83"/>
      <x:c r="H31" s="83"/>
      <x:c r="I31" s="83"/>
      <x:c r="J31" s="83"/>
      <x:c r="K31" s="83"/>
      <x:c r="L31" s="83"/>
      <x:c r="M31" s="83"/>
      <x:c r="N31" s="83"/>
      <x:c r="O31" s="83"/>
      <x:c r="P31" s="83"/>
      <x:c r="Q31" s="83"/>
      <x:c r="R31" s="83"/>
    </x:row>
    <x:row r="32">
      <x:c r="A32" s="83"/>
      <x:c r="B32" s="83"/>
      <x:c r="C32" s="83"/>
      <x:c r="D32" s="83"/>
      <x:c r="E32" s="83"/>
      <x:c r="F32" s="83"/>
      <x:c r="G32" s="83"/>
      <x:c r="H32" s="83"/>
      <x:c r="I32" s="83"/>
      <x:c r="J32" s="83"/>
      <x:c r="K32" s="83"/>
      <x:c r="L32" s="83"/>
      <x:c r="M32" s="83"/>
      <x:c r="N32" s="83"/>
      <x:c r="O32" s="83"/>
      <x:c r="P32" s="83"/>
      <x:c r="Q32" s="83"/>
      <x:c r="R32" s="83"/>
    </x:row>
    <x:row r="33">
      <x:c r="A33" s="83"/>
      <x:c r="B33" s="83"/>
      <x:c r="C33" s="83"/>
      <x:c r="D33" s="83"/>
      <x:c r="E33" s="83"/>
      <x:c r="F33" s="83"/>
      <x:c r="G33" s="83"/>
      <x:c r="H33" s="83"/>
      <x:c r="I33" s="83"/>
      <x:c r="J33" s="83"/>
      <x:c r="K33" s="83"/>
      <x:c r="L33" s="83"/>
      <x:c r="M33" s="83"/>
      <x:c r="N33" s="83"/>
      <x:c r="O33" s="83"/>
      <x:c r="P33" s="83"/>
      <x:c r="Q33" s="83"/>
      <x:c r="R33" s="83"/>
    </x:row>
    <x:row r="34">
      <x:c r="A34" s="83"/>
      <x:c r="B34" s="83"/>
      <x:c r="C34" s="83"/>
      <x:c r="D34" s="83"/>
      <x:c r="E34" s="83"/>
      <x:c r="F34" s="83"/>
      <x:c r="G34" s="83"/>
      <x:c r="H34" s="83"/>
      <x:c r="I34" s="83"/>
      <x:c r="J34" s="83"/>
      <x:c r="K34" s="83"/>
      <x:c r="L34" s="83"/>
      <x:c r="M34" s="83"/>
      <x:c r="N34" s="83"/>
      <x:c r="O34" s="83"/>
      <x:c r="P34" s="83"/>
      <x:c r="Q34" s="83"/>
      <x:c r="R34" s="83"/>
    </x:row>
    <x:row r="35">
      <x:c r="A35" s="83"/>
      <x:c r="B35" s="83"/>
      <x:c r="C35" s="83"/>
      <x:c r="D35" s="83"/>
      <x:c r="E35" s="83"/>
      <x:c r="F35" s="83"/>
      <x:c r="G35" s="83"/>
      <x:c r="H35" s="83"/>
      <x:c r="I35" s="83"/>
      <x:c r="J35" s="83"/>
      <x:c r="K35" s="83"/>
      <x:c r="L35" s="83"/>
      <x:c r="M35" s="83"/>
      <x:c r="N35" s="83"/>
      <x:c r="O35" s="83"/>
      <x:c r="P35" s="83"/>
      <x:c r="Q35" s="83"/>
      <x:c r="R35" s="83"/>
    </x:row>
    <x:row r="36">
      <x:c r="A36" s="83"/>
      <x:c r="B36" s="83"/>
      <x:c r="C36" s="83"/>
      <x:c r="D36" s="83"/>
      <x:c r="E36" s="83"/>
      <x:c r="F36" s="83"/>
      <x:c r="G36" s="83"/>
      <x:c r="H36" s="83"/>
      <x:c r="I36" s="83"/>
      <x:c r="J36" s="83"/>
      <x:c r="K36" s="83"/>
      <x:c r="L36" s="83"/>
      <x:c r="M36" s="83"/>
      <x:c r="N36" s="83"/>
      <x:c r="O36" s="83"/>
      <x:c r="P36" s="83"/>
      <x:c r="Q36" s="83"/>
      <x:c r="R36" s="83"/>
    </x:row>
    <x:row r="37">
      <x:c r="A37" s="83"/>
      <x:c r="B37" s="83"/>
      <x:c r="C37" s="83"/>
      <x:c r="D37" s="83"/>
      <x:c r="E37" s="83"/>
      <x:c r="F37" s="83"/>
      <x:c r="G37" s="83"/>
      <x:c r="H37" s="83"/>
      <x:c r="I37" s="83"/>
      <x:c r="J37" s="83"/>
      <x:c r="K37" s="83"/>
      <x:c r="L37" s="83"/>
      <x:c r="M37" s="83"/>
      <x:c r="N37" s="83"/>
      <x:c r="O37" s="83"/>
      <x:c r="P37" s="83"/>
      <x:c r="Q37" s="83"/>
      <x:c r="R37" s="83"/>
    </x:row>
    <x:row r="38">
      <x:c r="A38" s="83"/>
      <x:c r="B38" s="83"/>
      <x:c r="C38" s="83"/>
      <x:c r="D38" s="83"/>
      <x:c r="E38" s="83"/>
      <x:c r="F38" s="83"/>
      <x:c r="G38" s="83"/>
      <x:c r="H38" s="83"/>
      <x:c r="I38" s="83"/>
      <x:c r="J38" s="83"/>
      <x:c r="K38" s="83"/>
      <x:c r="L38" s="83"/>
      <x:c r="M38" s="83"/>
      <x:c r="N38" s="83"/>
      <x:c r="O38" s="83"/>
      <x:c r="P38" s="83"/>
      <x:c r="Q38" s="83"/>
      <x:c r="R38" s="83"/>
    </x:row>
    <x:row r="39">
      <x:c r="A39" s="83"/>
      <x:c r="B39" s="83"/>
      <x:c r="C39" s="83"/>
      <x:c r="D39" s="83"/>
      <x:c r="E39" s="83"/>
      <x:c r="F39" s="83"/>
      <x:c r="G39" s="83"/>
      <x:c r="H39" s="83"/>
      <x:c r="I39" s="83"/>
      <x:c r="J39" s="83"/>
      <x:c r="K39" s="83"/>
      <x:c r="L39" s="83"/>
      <x:c r="M39" s="83"/>
      <x:c r="N39" s="83"/>
      <x:c r="O39" s="83"/>
      <x:c r="P39" s="83"/>
      <x:c r="Q39" s="83"/>
      <x:c r="R39" s="83"/>
    </x:row>
    <x:row r="40">
      <x:c r="A40" s="83"/>
      <x:c r="B40" s="83"/>
      <x:c r="C40" s="83"/>
      <x:c r="D40" s="83"/>
      <x:c r="E40" s="83"/>
      <x:c r="F40" s="83"/>
      <x:c r="G40" s="83"/>
      <x:c r="H40" s="83"/>
      <x:c r="I40" s="83"/>
      <x:c r="J40" s="83"/>
      <x:c r="K40" s="83"/>
      <x:c r="L40" s="83"/>
      <x:c r="M40" s="83"/>
      <x:c r="N40" s="83"/>
      <x:c r="O40" s="83"/>
      <x:c r="P40" s="83"/>
      <x:c r="Q40" s="83"/>
      <x:c r="R40" s="83"/>
    </x:row>
    <x:row r="41">
      <x:c r="A41" s="83"/>
      <x:c r="B41" s="83"/>
      <x:c r="C41" s="83"/>
      <x:c r="D41" s="83"/>
      <x:c r="E41" s="83"/>
      <x:c r="F41" s="83"/>
      <x:c r="G41" s="83"/>
      <x:c r="H41" s="83"/>
      <x:c r="I41" s="83"/>
      <x:c r="J41" s="83"/>
      <x:c r="K41" s="83"/>
      <x:c r="L41" s="83"/>
      <x:c r="M41" s="83"/>
      <x:c r="N41" s="83"/>
      <x:c r="O41" s="83"/>
      <x:c r="P41" s="83"/>
      <x:c r="Q41" s="83"/>
      <x:c r="R41" s="83"/>
    </x:row>
    <x:row r="42">
      <x:c r="A42" s="83"/>
      <x:c r="B42" s="83"/>
      <x:c r="C42" s="83"/>
      <x:c r="D42" s="83"/>
      <x:c r="E42" s="83"/>
      <x:c r="F42" s="83"/>
      <x:c r="G42" s="83"/>
      <x:c r="H42" s="83"/>
      <x:c r="I42" s="83"/>
      <x:c r="J42" s="83"/>
      <x:c r="K42" s="83"/>
      <x:c r="L42" s="83"/>
      <x:c r="M42" s="83"/>
      <x:c r="N42" s="83"/>
      <x:c r="O42" s="83"/>
      <x:c r="P42" s="83"/>
      <x:c r="Q42" s="83"/>
      <x:c r="R42" s="83"/>
    </x:row>
    <x:row r="43">
      <x:c r="A43" s="83"/>
      <x:c r="B43" s="83"/>
      <x:c r="C43" s="83"/>
      <x:c r="D43" s="83"/>
      <x:c r="E43" s="83"/>
      <x:c r="F43" s="83"/>
      <x:c r="G43" s="83"/>
      <x:c r="H43" s="83"/>
      <x:c r="I43" s="83"/>
      <x:c r="J43" s="83"/>
      <x:c r="K43" s="83"/>
      <x:c r="L43" s="83"/>
      <x:c r="M43" s="83"/>
      <x:c r="N43" s="83"/>
      <x:c r="O43" s="83"/>
      <x:c r="P43" s="83"/>
      <x:c r="Q43" s="83"/>
      <x:c r="R43" s="83"/>
    </x:row>
    <x:row r="44">
      <x:c r="A44" s="83"/>
      <x:c r="B44" s="83"/>
      <x:c r="C44" s="83"/>
      <x:c r="D44" s="83"/>
      <x:c r="E44" s="83"/>
      <x:c r="F44" s="83"/>
      <x:c r="G44" s="83"/>
      <x:c r="H44" s="83"/>
      <x:c r="I44" s="83"/>
      <x:c r="J44" s="83"/>
      <x:c r="K44" s="83"/>
      <x:c r="L44" s="83"/>
      <x:c r="M44" s="83"/>
      <x:c r="N44" s="83"/>
      <x:c r="O44" s="83"/>
      <x:c r="P44" s="83"/>
      <x:c r="Q44" s="83"/>
      <x:c r="R44" s="83"/>
    </x:row>
    <x:row r="45">
      <x:c r="A45" s="83"/>
      <x:c r="B45" s="83"/>
      <x:c r="C45" s="83"/>
      <x:c r="D45" s="83"/>
      <x:c r="E45" s="83"/>
      <x:c r="F45" s="83"/>
      <x:c r="G45" s="83"/>
      <x:c r="H45" s="83"/>
      <x:c r="I45" s="83"/>
      <x:c r="J45" s="83"/>
      <x:c r="K45" s="83"/>
      <x:c r="L45" s="83"/>
      <x:c r="M45" s="83"/>
      <x:c r="N45" s="83"/>
      <x:c r="O45" s="83"/>
      <x:c r="P45" s="83"/>
      <x:c r="Q45" s="83"/>
      <x:c r="R45" s="83"/>
    </x:row>
    <x:row r="46">
      <x:c r="A46" s="83"/>
      <x:c r="B46" s="83"/>
      <x:c r="C46" s="83"/>
      <x:c r="D46" s="83"/>
      <x:c r="E46" s="83"/>
      <x:c r="F46" s="83"/>
      <x:c r="G46" s="83"/>
      <x:c r="H46" s="83"/>
      <x:c r="I46" s="83"/>
      <x:c r="J46" s="83"/>
      <x:c r="K46" s="83"/>
      <x:c r="L46" s="83"/>
      <x:c r="M46" s="83"/>
      <x:c r="N46" s="83"/>
      <x:c r="O46" s="83"/>
      <x:c r="P46" s="83"/>
      <x:c r="Q46" s="83"/>
      <x:c r="R46" s="83"/>
    </x:row>
    <x:row r="47">
      <x:c r="A47" s="83"/>
      <x:c r="B47" s="83"/>
      <x:c r="C47" s="83"/>
      <x:c r="D47" s="83"/>
      <x:c r="E47" s="83"/>
      <x:c r="F47" s="83"/>
      <x:c r="G47" s="83"/>
      <x:c r="H47" s="83"/>
      <x:c r="I47" s="83"/>
      <x:c r="J47" s="83"/>
      <x:c r="K47" s="83"/>
      <x:c r="L47" s="83"/>
      <x:c r="M47" s="83"/>
      <x:c r="N47" s="83"/>
      <x:c r="O47" s="83"/>
      <x:c r="P47" s="83"/>
      <x:c r="Q47" s="83"/>
      <x:c r="R47" s="83"/>
    </x:row>
    <x:row r="48">
      <x:c r="A48" s="83"/>
      <x:c r="B48" s="83"/>
      <x:c r="C48" s="83"/>
      <x:c r="D48" s="83"/>
      <x:c r="E48" s="83"/>
      <x:c r="F48" s="83"/>
      <x:c r="G48" s="83"/>
      <x:c r="H48" s="83"/>
      <x:c r="I48" s="83"/>
      <x:c r="J48" s="83"/>
      <x:c r="K48" s="83"/>
      <x:c r="L48" s="83"/>
      <x:c r="M48" s="83"/>
      <x:c r="N48" s="83"/>
      <x:c r="O48" s="83"/>
      <x:c r="P48" s="83"/>
      <x:c r="Q48" s="83"/>
      <x:c r="R48" s="83"/>
    </x:row>
    <x:row r="49">
      <x:c r="A49" s="83"/>
      <x:c r="B49" s="83"/>
      <x:c r="C49" s="83"/>
      <x:c r="D49" s="83"/>
      <x:c r="E49" s="83"/>
      <x:c r="F49" s="83"/>
      <x:c r="G49" s="83"/>
      <x:c r="H49" s="83"/>
      <x:c r="I49" s="83"/>
      <x:c r="J49" s="83"/>
      <x:c r="K49" s="83"/>
      <x:c r="L49" s="83"/>
      <x:c r="M49" s="83"/>
      <x:c r="N49" s="83"/>
      <x:c r="O49" s="83"/>
      <x:c r="P49" s="83"/>
      <x:c r="Q49" s="83"/>
      <x:c r="R49" s="83"/>
    </x:row>
    <x:row r="50">
      <x:c r="A50" s="83"/>
      <x:c r="B50" s="83"/>
      <x:c r="C50" s="83"/>
      <x:c r="D50" s="83"/>
      <x:c r="E50" s="83"/>
      <x:c r="F50" s="83"/>
      <x:c r="G50" s="83"/>
      <x:c r="H50" s="83"/>
      <x:c r="I50" s="83"/>
      <x:c r="J50" s="83"/>
      <x:c r="K50" s="83"/>
      <x:c r="L50" s="83"/>
      <x:c r="M50" s="83"/>
      <x:c r="N50" s="83"/>
      <x:c r="O50" s="83"/>
      <x:c r="P50" s="83"/>
      <x:c r="Q50" s="83"/>
      <x:c r="R50" s="83"/>
    </x:row>
    <x:row r="51">
      <x:c r="A51" s="83"/>
      <x:c r="B51" s="83"/>
      <x:c r="C51" s="83"/>
      <x:c r="D51" s="83"/>
      <x:c r="E51" s="83"/>
      <x:c r="F51" s="83"/>
      <x:c r="G51" s="83"/>
      <x:c r="H51" s="83"/>
      <x:c r="I51" s="83"/>
      <x:c r="J51" s="83"/>
      <x:c r="K51" s="83"/>
      <x:c r="L51" s="83"/>
      <x:c r="M51" s="83"/>
      <x:c r="N51" s="83"/>
      <x:c r="O51" s="83"/>
      <x:c r="P51" s="83"/>
      <x:c r="Q51" s="83"/>
      <x:c r="R51" s="83"/>
    </x:row>
    <x:row r="52">
      <x:c r="A52" s="83"/>
      <x:c r="B52" s="83"/>
      <x:c r="C52" s="83"/>
      <x:c r="D52" s="83"/>
      <x:c r="E52" s="83"/>
      <x:c r="F52" s="83"/>
      <x:c r="G52" s="83"/>
      <x:c r="H52" s="83"/>
      <x:c r="I52" s="83"/>
      <x:c r="J52" s="83"/>
      <x:c r="K52" s="83"/>
      <x:c r="L52" s="83"/>
      <x:c r="M52" s="83"/>
      <x:c r="N52" s="83"/>
      <x:c r="O52" s="83"/>
      <x:c r="P52" s="83"/>
      <x:c r="Q52" s="83"/>
      <x:c r="R52" s="83"/>
    </x:row>
    <x:row r="53">
      <x:c r="A53" s="83"/>
      <x:c r="B53" s="83"/>
      <x:c r="C53" s="83"/>
      <x:c r="D53" s="83"/>
      <x:c r="E53" s="83"/>
      <x:c r="F53" s="83"/>
      <x:c r="G53" s="83"/>
      <x:c r="H53" s="83"/>
      <x:c r="I53" s="83"/>
      <x:c r="J53" s="83"/>
      <x:c r="K53" s="83"/>
      <x:c r="L53" s="83"/>
      <x:c r="M53" s="83"/>
      <x:c r="N53" s="83"/>
      <x:c r="O53" s="83"/>
      <x:c r="P53" s="83"/>
      <x:c r="Q53" s="83"/>
      <x:c r="R53" s="83"/>
    </x:row>
    <x:row r="54">
      <x:c r="A54" s="83"/>
      <x:c r="B54" s="83"/>
      <x:c r="C54" s="83"/>
      <x:c r="D54" s="83"/>
      <x:c r="E54" s="83"/>
      <x:c r="F54" s="83"/>
      <x:c r="G54" s="83"/>
      <x:c r="H54" s="83"/>
      <x:c r="I54" s="83"/>
      <x:c r="J54" s="83"/>
      <x:c r="K54" s="83"/>
      <x:c r="L54" s="83"/>
      <x:c r="M54" s="83"/>
      <x:c r="N54" s="83"/>
      <x:c r="O54" s="83"/>
      <x:c r="P54" s="83"/>
      <x:c r="Q54" s="83"/>
      <x:c r="R54" s="83"/>
    </x:row>
    <x:row r="55">
      <x:c r="A55" s="83"/>
      <x:c r="B55" s="83"/>
      <x:c r="C55" s="83"/>
      <x:c r="D55" s="83"/>
      <x:c r="E55" s="83"/>
      <x:c r="F55" s="83"/>
      <x:c r="G55" s="83"/>
      <x:c r="H55" s="83"/>
      <x:c r="I55" s="83"/>
      <x:c r="J55" s="83"/>
      <x:c r="K55" s="83"/>
      <x:c r="L55" s="83"/>
      <x:c r="M55" s="83"/>
      <x:c r="N55" s="83"/>
      <x:c r="O55" s="83"/>
      <x:c r="P55" s="83"/>
      <x:c r="Q55" s="83"/>
      <x:c r="R55" s="83"/>
    </x:row>
    <x:row r="56">
      <x:c r="A56" s="83"/>
      <x:c r="B56" s="83"/>
      <x:c r="C56" s="83"/>
      <x:c r="D56" s="83"/>
      <x:c r="E56" s="83"/>
      <x:c r="F56" s="83"/>
      <x:c r="G56" s="83"/>
      <x:c r="H56" s="83"/>
      <x:c r="I56" s="83"/>
      <x:c r="J56" s="83"/>
      <x:c r="K56" s="83"/>
      <x:c r="L56" s="83"/>
      <x:c r="M56" s="83"/>
      <x:c r="N56" s="83"/>
      <x:c r="O56" s="83"/>
      <x:c r="P56" s="83"/>
      <x:c r="Q56" s="83"/>
      <x:c r="R56" s="83"/>
    </x:row>
    <x:row r="57">
      <x:c r="A57" s="83"/>
      <x:c r="B57" s="83"/>
      <x:c r="C57" s="83"/>
      <x:c r="D57" s="83"/>
      <x:c r="E57" s="83"/>
      <x:c r="F57" s="83"/>
      <x:c r="G57" s="83"/>
      <x:c r="H57" s="83"/>
      <x:c r="I57" s="83"/>
      <x:c r="J57" s="83"/>
      <x:c r="K57" s="83"/>
      <x:c r="L57" s="83"/>
      <x:c r="M57" s="83"/>
      <x:c r="N57" s="83"/>
      <x:c r="O57" s="83"/>
      <x:c r="P57" s="83"/>
      <x:c r="Q57" s="83"/>
      <x:c r="R57" s="83"/>
    </x:row>
    <x:row r="58">
      <x:c r="A58" s="83"/>
      <x:c r="B58" s="83"/>
      <x:c r="C58" s="83"/>
      <x:c r="D58" s="83"/>
      <x:c r="E58" s="83"/>
      <x:c r="F58" s="83"/>
      <x:c r="G58" s="83"/>
      <x:c r="H58" s="83"/>
      <x:c r="I58" s="83"/>
      <x:c r="J58" s="83"/>
      <x:c r="K58" s="83"/>
      <x:c r="L58" s="83"/>
      <x:c r="M58" s="83"/>
      <x:c r="N58" s="83"/>
      <x:c r="O58" s="83"/>
      <x:c r="P58" s="83"/>
      <x:c r="Q58" s="83"/>
      <x:c r="R58" s="83"/>
    </x:row>
    <x:row r="59">
      <x:c r="A59" s="83"/>
      <x:c r="B59" s="83"/>
      <x:c r="C59" s="83"/>
      <x:c r="D59" s="83"/>
      <x:c r="E59" s="83"/>
      <x:c r="F59" s="83"/>
      <x:c r="G59" s="83"/>
      <x:c r="H59" s="83"/>
      <x:c r="I59" s="83"/>
      <x:c r="J59" s="83"/>
      <x:c r="K59" s="83"/>
      <x:c r="L59" s="83"/>
      <x:c r="M59" s="83"/>
      <x:c r="N59" s="83"/>
      <x:c r="O59" s="83"/>
      <x:c r="P59" s="83"/>
      <x:c r="Q59" s="83"/>
      <x:c r="R59" s="83"/>
    </x:row>
    <x:row r="60">
      <x:c r="A60" s="83"/>
      <x:c r="B60" s="83"/>
      <x:c r="C60" s="83"/>
      <x:c r="D60" s="83"/>
      <x:c r="E60" s="83"/>
      <x:c r="F60" s="83"/>
      <x:c r="G60" s="83"/>
      <x:c r="H60" s="83"/>
      <x:c r="I60" s="83"/>
      <x:c r="J60" s="83"/>
      <x:c r="K60" s="83"/>
      <x:c r="L60" s="83"/>
      <x:c r="M60" s="83"/>
      <x:c r="N60" s="83"/>
      <x:c r="O60" s="83"/>
      <x:c r="P60" s="83"/>
      <x:c r="Q60" s="83"/>
      <x:c r="R60" s="83"/>
    </x:row>
    <x:row r="61">
      <x:c r="A61" s="83"/>
      <x:c r="B61" s="83"/>
      <x:c r="C61" s="83"/>
      <x:c r="D61" s="83"/>
      <x:c r="E61" s="83"/>
      <x:c r="F61" s="83"/>
      <x:c r="G61" s="83"/>
      <x:c r="H61" s="83"/>
      <x:c r="I61" s="83"/>
      <x:c r="J61" s="83"/>
      <x:c r="K61" s="83"/>
      <x:c r="L61" s="83"/>
      <x:c r="M61" s="83"/>
      <x:c r="N61" s="83"/>
      <x:c r="O61" s="83"/>
      <x:c r="P61" s="83"/>
      <x:c r="Q61" s="83"/>
      <x:c r="R61" s="83"/>
    </x:row>
    <x:row r="62">
      <x:c r="A62" s="83"/>
      <x:c r="B62" s="83"/>
      <x:c r="C62" s="83"/>
      <x:c r="D62" s="83"/>
      <x:c r="E62" s="83"/>
      <x:c r="F62" s="83"/>
      <x:c r="G62" s="83"/>
      <x:c r="H62" s="83"/>
      <x:c r="I62" s="83"/>
      <x:c r="J62" s="83"/>
      <x:c r="K62" s="83"/>
      <x:c r="L62" s="83"/>
      <x:c r="M62" s="83"/>
      <x:c r="N62" s="83"/>
      <x:c r="O62" s="83"/>
      <x:c r="P62" s="83"/>
      <x:c r="Q62" s="83"/>
      <x:c r="R62" s="83"/>
    </x:row>
    <x:row r="63">
      <x:c r="A63" s="83"/>
      <x:c r="B63" s="83"/>
      <x:c r="C63" s="83"/>
      <x:c r="D63" s="83"/>
      <x:c r="E63" s="83"/>
      <x:c r="F63" s="83"/>
      <x:c r="G63" s="83"/>
      <x:c r="H63" s="83"/>
      <x:c r="I63" s="83"/>
      <x:c r="J63" s="83"/>
      <x:c r="K63" s="83"/>
      <x:c r="L63" s="83"/>
      <x:c r="M63" s="83"/>
      <x:c r="N63" s="83"/>
      <x:c r="O63" s="83"/>
      <x:c r="P63" s="83"/>
      <x:c r="Q63" s="83"/>
      <x:c r="R63" s="83"/>
    </x:row>
    <x:row r="64">
      <x:c r="A64" s="83"/>
      <x:c r="B64" s="83"/>
      <x:c r="C64" s="83"/>
      <x:c r="D64" s="83"/>
      <x:c r="E64" s="83"/>
      <x:c r="F64" s="83"/>
      <x:c r="G64" s="83"/>
      <x:c r="H64" s="83"/>
      <x:c r="I64" s="83"/>
      <x:c r="J64" s="83"/>
      <x:c r="K64" s="83"/>
      <x:c r="L64" s="83"/>
      <x:c r="M64" s="83"/>
      <x:c r="N64" s="83"/>
      <x:c r="O64" s="83"/>
      <x:c r="P64" s="83"/>
      <x:c r="Q64" s="83"/>
      <x:c r="R64" s="83"/>
    </x:row>
    <x:row r="65">
      <x:c r="A65" s="83"/>
      <x:c r="B65" s="83"/>
      <x:c r="C65" s="83"/>
      <x:c r="D65" s="83"/>
      <x:c r="E65" s="83"/>
      <x:c r="F65" s="83"/>
      <x:c r="G65" s="83"/>
      <x:c r="H65" s="83"/>
      <x:c r="I65" s="83"/>
      <x:c r="J65" s="83"/>
      <x:c r="K65" s="83"/>
      <x:c r="L65" s="83"/>
      <x:c r="M65" s="83"/>
      <x:c r="N65" s="83"/>
      <x:c r="O65" s="83"/>
      <x:c r="P65" s="83"/>
      <x:c r="Q65" s="83"/>
      <x:c r="R65" s="83"/>
    </x:row>
    <x:row r="66">
      <x:c r="A66" s="83"/>
      <x:c r="B66" s="83"/>
      <x:c r="C66" s="83"/>
      <x:c r="D66" s="83"/>
      <x:c r="E66" s="83"/>
      <x:c r="F66" s="83"/>
      <x:c r="G66" s="83"/>
      <x:c r="H66" s="83"/>
      <x:c r="I66" s="83"/>
      <x:c r="J66" s="83"/>
      <x:c r="K66" s="83"/>
      <x:c r="L66" s="83"/>
      <x:c r="M66" s="83"/>
      <x:c r="N66" s="83"/>
      <x:c r="O66" s="83"/>
      <x:c r="P66" s="83"/>
      <x:c r="Q66" s="83"/>
      <x:c r="R66" s="83"/>
    </x:row>
    <x:row r="67">
      <x:c r="A67" s="83"/>
      <x:c r="B67" s="83"/>
      <x:c r="C67" s="83"/>
      <x:c r="D67" s="83"/>
      <x:c r="E67" s="83"/>
      <x:c r="F67" s="83"/>
      <x:c r="G67" s="83"/>
      <x:c r="H67" s="83"/>
      <x:c r="I67" s="83"/>
      <x:c r="J67" s="83"/>
      <x:c r="K67" s="83"/>
      <x:c r="L67" s="83"/>
      <x:c r="M67" s="83"/>
      <x:c r="N67" s="83"/>
      <x:c r="O67" s="83"/>
      <x:c r="P67" s="83"/>
      <x:c r="Q67" s="83"/>
      <x:c r="R67" s="83"/>
    </x:row>
    <x:row r="68">
      <x:c r="A68" s="83"/>
      <x:c r="B68" s="83"/>
      <x:c r="C68" s="83"/>
      <x:c r="D68" s="83"/>
      <x:c r="E68" s="83"/>
      <x:c r="F68" s="83"/>
      <x:c r="G68" s="83"/>
      <x:c r="H68" s="83"/>
      <x:c r="I68" s="83"/>
      <x:c r="J68" s="83"/>
      <x:c r="K68" s="83"/>
      <x:c r="L68" s="83"/>
      <x:c r="M68" s="83"/>
      <x:c r="N68" s="83"/>
      <x:c r="O68" s="83"/>
      <x:c r="P68" s="83"/>
      <x:c r="Q68" s="83"/>
      <x:c r="R68" s="83"/>
    </x:row>
    <x:row r="69">
      <x:c r="A69" s="83"/>
      <x:c r="B69" s="83"/>
      <x:c r="C69" s="83"/>
      <x:c r="D69" s="83"/>
      <x:c r="E69" s="83"/>
      <x:c r="F69" s="83"/>
      <x:c r="G69" s="83"/>
      <x:c r="H69" s="83"/>
      <x:c r="I69" s="83"/>
      <x:c r="J69" s="83"/>
      <x:c r="K69" s="83"/>
      <x:c r="L69" s="83"/>
      <x:c r="M69" s="83"/>
      <x:c r="N69" s="83"/>
      <x:c r="O69" s="83"/>
      <x:c r="P69" s="83"/>
      <x:c r="Q69" s="83"/>
      <x:c r="R69" s="83"/>
    </x:row>
    <x:row r="70">
      <x:c r="A70" s="83"/>
      <x:c r="B70" s="83"/>
      <x:c r="C70" s="83"/>
      <x:c r="D70" s="83"/>
      <x:c r="E70" s="83"/>
      <x:c r="F70" s="83"/>
      <x:c r="G70" s="83"/>
      <x:c r="H70" s="83"/>
      <x:c r="I70" s="83"/>
      <x:c r="J70" s="83"/>
      <x:c r="K70" s="83"/>
      <x:c r="L70" s="83"/>
      <x:c r="M70" s="83"/>
      <x:c r="N70" s="83"/>
      <x:c r="O70" s="83"/>
      <x:c r="P70" s="83"/>
      <x:c r="Q70" s="83"/>
      <x:c r="R70" s="83"/>
    </x:row>
    <x:row r="71">
      <x:c r="A71" s="83"/>
      <x:c r="B71" s="83"/>
      <x:c r="C71" s="83"/>
      <x:c r="D71" s="83"/>
      <x:c r="E71" s="83"/>
      <x:c r="F71" s="83"/>
      <x:c r="G71" s="83"/>
      <x:c r="H71" s="83"/>
      <x:c r="I71" s="83"/>
      <x:c r="J71" s="83"/>
      <x:c r="K71" s="83"/>
      <x:c r="L71" s="83"/>
      <x:c r="M71" s="83"/>
      <x:c r="N71" s="83"/>
      <x:c r="O71" s="83"/>
      <x:c r="P71" s="83"/>
      <x:c r="Q71" s="83"/>
      <x:c r="R71" s="83"/>
    </x:row>
    <x:row r="72">
      <x:c r="A72" s="83"/>
      <x:c r="B72" s="83"/>
      <x:c r="C72" s="83"/>
      <x:c r="D72" s="83"/>
      <x:c r="E72" s="83"/>
      <x:c r="F72" s="83"/>
      <x:c r="G72" s="83"/>
      <x:c r="H72" s="83"/>
      <x:c r="I72" s="83"/>
      <x:c r="J72" s="83"/>
      <x:c r="K72" s="83"/>
      <x:c r="L72" s="83"/>
      <x:c r="M72" s="83"/>
      <x:c r="N72" s="83"/>
      <x:c r="O72" s="83"/>
      <x:c r="P72" s="83"/>
      <x:c r="Q72" s="83"/>
      <x:c r="R72" s="83"/>
    </x:row>
    <x:row r="73">
      <x:c r="A73" s="83"/>
      <x:c r="B73" s="83"/>
      <x:c r="C73" s="83"/>
      <x:c r="D73" s="83"/>
      <x:c r="E73" s="83"/>
      <x:c r="F73" s="83"/>
      <x:c r="G73" s="83"/>
      <x:c r="H73" s="83"/>
      <x:c r="I73" s="83"/>
      <x:c r="J73" s="83"/>
      <x:c r="K73" s="83"/>
      <x:c r="L73" s="83"/>
      <x:c r="M73" s="83"/>
      <x:c r="N73" s="83"/>
      <x:c r="O73" s="83"/>
      <x:c r="P73" s="83"/>
      <x:c r="Q73" s="83"/>
      <x:c r="R73" s="83"/>
    </x:row>
    <x:row r="74">
      <x:c r="A74" s="83"/>
      <x:c r="B74" s="83"/>
      <x:c r="C74" s="83"/>
      <x:c r="D74" s="83"/>
      <x:c r="E74" s="83"/>
      <x:c r="F74" s="83"/>
      <x:c r="G74" s="83"/>
      <x:c r="H74" s="83"/>
      <x:c r="I74" s="83"/>
      <x:c r="J74" s="83"/>
      <x:c r="K74" s="83"/>
      <x:c r="L74" s="83"/>
      <x:c r="M74" s="83"/>
      <x:c r="N74" s="83"/>
      <x:c r="O74" s="83"/>
      <x:c r="P74" s="83"/>
      <x:c r="Q74" s="83"/>
      <x:c r="R74" s="83"/>
    </x:row>
    <x:row r="75">
      <x:c r="A75" s="83"/>
      <x:c r="B75" s="83"/>
      <x:c r="C75" s="83"/>
      <x:c r="D75" s="83"/>
      <x:c r="E75" s="83"/>
      <x:c r="F75" s="83"/>
      <x:c r="G75" s="83"/>
      <x:c r="H75" s="83"/>
      <x:c r="I75" s="83"/>
      <x:c r="J75" s="83"/>
      <x:c r="K75" s="83"/>
      <x:c r="L75" s="83"/>
      <x:c r="M75" s="83"/>
      <x:c r="N75" s="83"/>
      <x:c r="O75" s="83"/>
      <x:c r="P75" s="83"/>
      <x:c r="Q75" s="83"/>
      <x:c r="R75" s="83"/>
    </x:row>
    <x:row r="76">
      <x:c r="A76" s="83"/>
      <x:c r="B76" s="83"/>
      <x:c r="C76" s="83"/>
      <x:c r="D76" s="83"/>
      <x:c r="E76" s="83"/>
      <x:c r="F76" s="83"/>
      <x:c r="G76" s="83"/>
      <x:c r="H76" s="83"/>
      <x:c r="I76" s="83"/>
      <x:c r="J76" s="83"/>
      <x:c r="K76" s="83"/>
      <x:c r="L76" s="83"/>
      <x:c r="M76" s="83"/>
      <x:c r="N76" s="83"/>
      <x:c r="O76" s="83"/>
      <x:c r="P76" s="83"/>
      <x:c r="Q76" s="83"/>
      <x:c r="R76" s="83"/>
    </x:row>
    <x:row r="77">
      <x:c r="A77" s="83"/>
      <x:c r="B77" s="83"/>
      <x:c r="C77" s="83"/>
      <x:c r="D77" s="83"/>
      <x:c r="E77" s="83"/>
      <x:c r="F77" s="83"/>
      <x:c r="G77" s="83"/>
      <x:c r="H77" s="83"/>
      <x:c r="I77" s="83"/>
      <x:c r="J77" s="83"/>
      <x:c r="K77" s="83"/>
      <x:c r="L77" s="83"/>
      <x:c r="M77" s="83"/>
      <x:c r="N77" s="83"/>
      <x:c r="O77" s="83"/>
      <x:c r="P77" s="83"/>
      <x:c r="Q77" s="83"/>
      <x:c r="R77" s="83"/>
    </x:row>
    <x:row r="78">
      <x:c r="A78" s="83"/>
      <x:c r="B78" s="83"/>
      <x:c r="C78" s="83"/>
      <x:c r="D78" s="83"/>
      <x:c r="E78" s="83"/>
      <x:c r="F78" s="83"/>
      <x:c r="G78" s="83"/>
      <x:c r="H78" s="83"/>
      <x:c r="I78" s="83"/>
      <x:c r="J78" s="83"/>
      <x:c r="K78" s="83"/>
      <x:c r="L78" s="83"/>
      <x:c r="M78" s="83"/>
      <x:c r="N78" s="83"/>
      <x:c r="O78" s="83"/>
      <x:c r="P78" s="83"/>
      <x:c r="Q78" s="83"/>
      <x:c r="R78" s="83"/>
    </x:row>
    <x:row r="79">
      <x:c r="A79" s="83"/>
      <x:c r="B79" s="83"/>
      <x:c r="C79" s="83"/>
      <x:c r="D79" s="83"/>
      <x:c r="E79" s="83"/>
      <x:c r="F79" s="83"/>
      <x:c r="G79" s="83"/>
      <x:c r="H79" s="83"/>
      <x:c r="I79" s="83"/>
      <x:c r="J79" s="83"/>
      <x:c r="K79" s="83"/>
      <x:c r="L79" s="83"/>
      <x:c r="M79" s="83"/>
      <x:c r="N79" s="83"/>
      <x:c r="O79" s="83"/>
      <x:c r="P79" s="83"/>
      <x:c r="Q79" s="83"/>
      <x:c r="R79" s="83"/>
    </x:row>
    <x:row r="80">
      <x:c r="A80" s="83"/>
      <x:c r="B80" s="83"/>
      <x:c r="C80" s="83"/>
      <x:c r="D80" s="83"/>
      <x:c r="E80" s="83"/>
      <x:c r="F80" s="83"/>
      <x:c r="G80" s="83"/>
      <x:c r="H80" s="83"/>
      <x:c r="I80" s="83"/>
      <x:c r="J80" s="83"/>
      <x:c r="K80" s="83"/>
      <x:c r="L80" s="83"/>
      <x:c r="M80" s="83"/>
      <x:c r="N80" s="83"/>
      <x:c r="O80" s="83"/>
      <x:c r="P80" s="83"/>
      <x:c r="Q80" s="83"/>
      <x:c r="R80" s="83"/>
    </x:row>
  </x:sheetData>
  <x:mergeCells>
    <x:mergeCell ref="A1:L1"/>
    <x:mergeCell ref="G3:L3"/>
    <x:mergeCell ref="G4:L8"/>
    <x:mergeCell ref="A15:F15"/>
  </x:mergeCells>
  <x:conditionalFormatting sqref="G4:L8">
    <x:cfRule type="expression" dxfId="10" priority="1">
      <x:formula>$G$4="FIX TIMING"</x:formula>
    </x:cfRule>
    <x:cfRule type="expression" dxfId="11" priority="2">
      <x:formula>$G$4="ACTION NEEDED"</x:formula>
    </x:cfRule>
    <x:cfRule type="expression" dxfId="12" priority="3">
      <x:formula>$G$4="READY FOR REVIEW"</x:formula>
    </x:cfRule>
    <x:cfRule type="expression" dxfId="13" priority="4">
      <x:formula>$G$4="BUILD OUTLINE"</x:formula>
    </x:cfRule>
  </x:conditionalFormatting>
  <x:conditionalFormatting sqref="C17:C24">
    <x:cfRule type="expression" dxfId="14" priority="5">
      <x:formula>OR($C17="ACTION NEEDED",$C17="REVIEW")</x:formula>
    </x:cfRule>
    <x:cfRule type="expression" dxfId="15" priority="6">
      <x:formula>$C17="OK"</x:formula>
    </x:cfRule>
  </x:conditionalFormatting>
  <x:pageMargins left="0.7" right="0.7" top="0.75" bottom="0.75" header="0.3" footer="0.3"/>
  <x:drawing xmlns:r="http://schemas.openxmlformats.org/officeDocument/2006/relationships" r:id="R947039d25f8e4dec"/>
</x:worksheet>
</file>

<file path=xl/worksheets/sheet10.xml><?xml version="1.0" encoding="utf-8"?>
<x:worksheet xmlns:x="http://schemas.openxmlformats.org/spreadsheetml/2006/main">
  <x:sheetFormatPr defaultRowHeight="15"/>
  <x:cols>
    <x:col min="1" max="1" width="6" hidden="0" customWidth="1"/>
    <x:col min="2" max="2" width="14" hidden="0" customWidth="1"/>
    <x:col min="3" max="3" width="28" hidden="0" customWidth="1"/>
    <x:col min="4" max="4" width="8" hidden="0" customWidth="1"/>
    <x:col min="5" max="5" width="22" hidden="0" customWidth="1"/>
    <x:col min="6" max="6" width="12" hidden="0" customWidth="1"/>
    <x:col min="7" max="7" width="32" hidden="0" customWidth="1"/>
    <x:col min="8" max="8" width="22" hidden="0" customWidth="1"/>
    <x:col min="9" max="9" width="22" hidden="0" customWidth="1"/>
    <x:col min="10" max="10" width="34" hidden="0" customWidth="1"/>
  </x:cols>
  <x:sheetData>
    <x:row r="1">
      <x:c r="A1" s="133" t="str">
        <x:v>EXAMPLE — synthetic 60-minute workshop</x:v>
      </x:c>
      <x:c r="B1" s="133"/>
      <x:c r="C1" s="133"/>
      <x:c r="D1" s="133"/>
      <x:c r="E1" s="133"/>
      <x:c r="F1" s="133"/>
      <x:c r="G1" s="133"/>
      <x:c r="H1" s="133"/>
      <x:c r="I1" s="133"/>
      <x:c r="J1" s="133"/>
      <x:c r="K1" s="83"/>
      <x:c r="L1" s="83"/>
      <x:c r="M1" s="83"/>
      <x:c r="N1" s="83"/>
      <x:c r="O1" s="83"/>
      <x:c r="P1" s="83"/>
      <x:c r="Q1" s="83"/>
      <x:c r="R1" s="83"/>
    </x:row>
    <x:row r="2">
      <x:c r="A2" s="83"/>
      <x:c r="B2" s="83"/>
      <x:c r="C2" s="83"/>
      <x:c r="D2" s="83"/>
      <x:c r="E2" s="83"/>
      <x:c r="F2" s="83"/>
      <x:c r="G2" s="83"/>
      <x:c r="H2" s="83"/>
      <x:c r="I2" s="83"/>
      <x:c r="J2" s="83"/>
      <x:c r="K2" s="83"/>
      <x:c r="L2" s="83"/>
      <x:c r="M2" s="83"/>
      <x:c r="N2" s="83"/>
      <x:c r="O2" s="83"/>
      <x:c r="P2" s="83"/>
      <x:c r="Q2" s="83"/>
      <x:c r="R2" s="83"/>
    </x:row>
    <x:row r="3">
      <x:c r="A3" s="113" t="str">
        <x:v>#</x:v>
      </x:c>
      <x:c r="B3" s="113" t="str">
        <x:v>Module</x:v>
      </x:c>
      <x:c r="C3" s="113" t="str">
        <x:v>Segment</x:v>
      </x:c>
      <x:c r="D3" s="113" t="str">
        <x:v>Min</x:v>
      </x:c>
      <x:c r="E3" s="113" t="str">
        <x:v>Type</x:v>
      </x:c>
      <x:c r="F3" s="113" t="str">
        <x:v>Objective</x:v>
      </x:c>
      <x:c r="G3" s="113" t="str">
        <x:v>Participant Output</x:v>
      </x:c>
      <x:c r="H3" s="113" t="str">
        <x:v>Assessment</x:v>
      </x:c>
      <x:c r="I3" s="113" t="str">
        <x:v>Tool</x:v>
      </x:c>
      <x:c r="J3" s="113" t="str">
        <x:v>Why it works</x:v>
      </x:c>
      <x:c r="K3" s="83"/>
      <x:c r="L3" s="83"/>
      <x:c r="M3" s="83"/>
      <x:c r="N3" s="83"/>
      <x:c r="O3" s="83"/>
      <x:c r="P3" s="83"/>
      <x:c r="Q3" s="83"/>
      <x:c r="R3" s="83"/>
    </x:row>
    <x:row r="4">
      <x:c r="A4" s="111" t="n">
        <x:v>1</x:v>
      </x:c>
      <x:c r="B4" s="111" t="str">
        <x:v>Open</x:v>
      </x:c>
      <x:c r="C4" s="111" t="str">
        <x:v>Set the decision context</x:v>
      </x:c>
      <x:c r="D4" s="111" t="n">
        <x:v>8</x:v>
      </x:c>
      <x:c r="E4" s="111" t="str">
        <x:v>Welcome / Framing</x:v>
      </x:c>
      <x:c r="F4" s="111" t="str">
        <x:v>O01</x:v>
      </x:c>
      <x:c r="G4" s="111" t="str">
        <x:v>One decision they want to improve</x:v>
      </x:c>
      <x:c r="H4" s="111" t="str">
        <x:v>Reflection / Application</x:v>
      </x:c>
      <x:c r="I4" s="111" t="str"/>
      <x:c r="J4" s="118" t="str">
        <x:v>Starts with participant need.</x:v>
      </x:c>
      <x:c r="K4" s="83"/>
      <x:c r="L4" s="83"/>
      <x:c r="M4" s="83"/>
      <x:c r="N4" s="83"/>
      <x:c r="O4" s="83"/>
      <x:c r="P4" s="83"/>
      <x:c r="Q4" s="83"/>
      <x:c r="R4" s="83"/>
    </x:row>
    <x:row r="5">
      <x:c r="A5" s="111" t="n">
        <x:v>2</x:v>
      </x:c>
      <x:c r="B5" s="111" t="str">
        <x:v>Step 1</x:v>
      </x:c>
      <x:c r="C5" s="111" t="str">
        <x:v>Define the question</x:v>
      </x:c>
      <x:c r="D5" s="111" t="n">
        <x:v>12</x:v>
      </x:c>
      <x:c r="E5" s="111" t="str">
        <x:v>Presentation</x:v>
      </x:c>
      <x:c r="F5" s="111" t="str">
        <x:v>O01</x:v>
      </x:c>
      <x:c r="G5" s="111" t="str">
        <x:v>Draft business question</x:v>
      </x:c>
      <x:c r="H5" s="111" t="str">
        <x:v>Knowledge Check</x:v>
      </x:c>
      <x:c r="I5" s="111" t="str">
        <x:v>Question Builder</x:v>
      </x:c>
      <x:c r="J5" s="118" t="str">
        <x:v>Instruction is immediately used.</x:v>
      </x:c>
      <x:c r="K5" s="83"/>
      <x:c r="L5" s="83"/>
      <x:c r="M5" s="83"/>
      <x:c r="N5" s="83"/>
      <x:c r="O5" s="83"/>
      <x:c r="P5" s="83"/>
      <x:c r="Q5" s="83"/>
      <x:c r="R5" s="83"/>
    </x:row>
    <x:row r="6">
      <x:c r="A6" s="111" t="n">
        <x:v>3</x:v>
      </x:c>
      <x:c r="B6" s="111" t="str">
        <x:v>Step 2</x:v>
      </x:c>
      <x:c r="C6" s="111" t="str">
        <x:v>Choose the minimum effective method</x:v>
      </x:c>
      <x:c r="D6" s="111" t="n">
        <x:v>15</x:v>
      </x:c>
      <x:c r="E6" s="111" t="str">
        <x:v>Exercise / Practice</x:v>
      </x:c>
      <x:c r="F6" s="111" t="str">
        <x:v>O02</x:v>
      </x:c>
      <x:c r="G6" s="111" t="str">
        <x:v>Method choice + assumptions</x:v>
      </x:c>
      <x:c r="H6" s="111" t="str">
        <x:v>Practice Output</x:v>
      </x:c>
      <x:c r="I6" s="111" t="str">
        <x:v>Decision Tree</x:v>
      </x:c>
      <x:c r="J6" s="118" t="str">
        <x:v>Practice creates a visible output.</x:v>
      </x:c>
      <x:c r="K6" s="83"/>
      <x:c r="L6" s="83"/>
      <x:c r="M6" s="83"/>
      <x:c r="N6" s="83"/>
      <x:c r="O6" s="83"/>
      <x:c r="P6" s="83"/>
      <x:c r="Q6" s="83"/>
      <x:c r="R6" s="83"/>
    </x:row>
    <x:row r="7">
      <x:c r="A7" s="111" t="n">
        <x:v>4</x:v>
      </x:c>
      <x:c r="B7" s="111" t="str">
        <x:v>Step 3</x:v>
      </x:c>
      <x:c r="C7" s="111" t="str">
        <x:v>Turn analysis into action</x:v>
      </x:c>
      <x:c r="D7" s="111" t="n">
        <x:v>15</x:v>
      </x:c>
      <x:c r="E7" s="111" t="str">
        <x:v>Case Study</x:v>
      </x:c>
      <x:c r="F7" s="111" t="str">
        <x:v>O03</x:v>
      </x:c>
      <x:c r="G7" s="111" t="str">
        <x:v>One-sentence decision change</x:v>
      </x:c>
      <x:c r="H7" s="111" t="str">
        <x:v>Practice Output</x:v>
      </x:c>
      <x:c r="I7" s="111" t="str">
        <x:v>Action Template</x:v>
      </x:c>
      <x:c r="J7" s="118" t="str">
        <x:v>Case applies the framework.</x:v>
      </x:c>
      <x:c r="K7" s="83"/>
      <x:c r="L7" s="83"/>
      <x:c r="M7" s="83"/>
      <x:c r="N7" s="83"/>
      <x:c r="O7" s="83"/>
      <x:c r="P7" s="83"/>
      <x:c r="Q7" s="83"/>
      <x:c r="R7" s="83"/>
    </x:row>
    <x:row r="8">
      <x:c r="A8" s="111" t="n">
        <x:v>5</x:v>
      </x:c>
      <x:c r="B8" s="111" t="str">
        <x:v>Close</x:v>
      </x:c>
      <x:c r="C8" s="111" t="str">
        <x:v>Application and next step</x:v>
      </x:c>
      <x:c r="D8" s="111" t="n">
        <x:v>10</x:v>
      </x:c>
      <x:c r="E8" s="111" t="str">
        <x:v>Closing / Application</x:v>
      </x:c>
      <x:c r="F8" s="111" t="str">
        <x:v>O03</x:v>
      </x:c>
      <x:c r="G8" s="111" t="str">
        <x:v>Personal next action</x:v>
      </x:c>
      <x:c r="H8" s="111" t="str">
        <x:v>Reflection / Application</x:v>
      </x:c>
      <x:c r="I8" s="111" t="str">
        <x:v>Application Checklist</x:v>
      </x:c>
      <x:c r="J8" s="118" t="str">
        <x:v>Closes with transfer, not recap only.</x:v>
      </x:c>
      <x:c r="K8" s="83"/>
      <x:c r="L8" s="83"/>
      <x:c r="M8" s="83"/>
      <x:c r="N8" s="83"/>
      <x:c r="O8" s="83"/>
      <x:c r="P8" s="83"/>
      <x:c r="Q8" s="83"/>
      <x:c r="R8" s="83"/>
    </x:row>
    <x:row r="9">
      <x:c r="A9" s="83"/>
      <x:c r="B9" s="83"/>
      <x:c r="C9" s="83"/>
      <x:c r="D9" s="83"/>
      <x:c r="E9" s="83"/>
      <x:c r="F9" s="83"/>
      <x:c r="G9" s="83"/>
      <x:c r="H9" s="83"/>
      <x:c r="I9" s="83"/>
      <x:c r="J9" s="83"/>
      <x:c r="K9" s="83"/>
      <x:c r="L9" s="83"/>
      <x:c r="M9" s="83"/>
      <x:c r="N9" s="83"/>
      <x:c r="O9" s="83"/>
      <x:c r="P9" s="83"/>
      <x:c r="Q9" s="83"/>
      <x:c r="R9" s="83"/>
    </x:row>
    <x:row r="10">
      <x:c r="A10" s="83"/>
      <x:c r="B10" s="83"/>
      <x:c r="C10" s="83"/>
      <x:c r="D10" s="83"/>
      <x:c r="E10" s="83"/>
      <x:c r="F10" s="83"/>
      <x:c r="G10" s="83"/>
      <x:c r="H10" s="83"/>
      <x:c r="I10" s="83"/>
      <x:c r="J10" s="83"/>
      <x:c r="K10" s="83"/>
      <x:c r="L10" s="83"/>
      <x:c r="M10" s="83"/>
      <x:c r="N10" s="83"/>
      <x:c r="O10" s="83"/>
      <x:c r="P10" s="83"/>
      <x:c r="Q10" s="83"/>
      <x:c r="R10" s="83"/>
    </x:row>
    <x:row r="11">
      <x:c r="A11" s="83"/>
      <x:c r="B11" s="83"/>
      <x:c r="C11" s="83"/>
      <x:c r="D11" s="83"/>
      <x:c r="E11" s="83"/>
      <x:c r="F11" s="83"/>
      <x:c r="G11" s="83"/>
      <x:c r="H11" s="83"/>
      <x:c r="I11" s="83"/>
      <x:c r="J11" s="83"/>
      <x:c r="K11" s="83"/>
      <x:c r="L11" s="83"/>
      <x:c r="M11" s="83"/>
      <x:c r="N11" s="83"/>
      <x:c r="O11" s="83"/>
      <x:c r="P11" s="83"/>
      <x:c r="Q11" s="83"/>
      <x:c r="R11" s="83"/>
    </x:row>
    <x:row r="12">
      <x:c r="A12" s="83"/>
      <x:c r="B12" s="83"/>
      <x:c r="C12" s="83"/>
      <x:c r="D12" s="83"/>
      <x:c r="E12" s="83"/>
      <x:c r="F12" s="83"/>
      <x:c r="G12" s="83"/>
      <x:c r="H12" s="83"/>
      <x:c r="I12" s="83"/>
      <x:c r="J12" s="83"/>
      <x:c r="K12" s="83"/>
      <x:c r="L12" s="83"/>
      <x:c r="M12" s="83"/>
      <x:c r="N12" s="83"/>
      <x:c r="O12" s="83"/>
      <x:c r="P12" s="83"/>
      <x:c r="Q12" s="83"/>
      <x:c r="R12" s="83"/>
    </x:row>
    <x:row r="13">
      <x:c r="A13" s="83"/>
      <x:c r="B13" s="83"/>
      <x:c r="C13" s="83"/>
      <x:c r="D13" s="83"/>
      <x:c r="E13" s="83"/>
      <x:c r="F13" s="83"/>
      <x:c r="G13" s="83"/>
      <x:c r="H13" s="83"/>
      <x:c r="I13" s="83"/>
      <x:c r="J13" s="83"/>
      <x:c r="K13" s="83"/>
      <x:c r="L13" s="83"/>
      <x:c r="M13" s="83"/>
      <x:c r="N13" s="83"/>
      <x:c r="O13" s="83"/>
      <x:c r="P13" s="83"/>
      <x:c r="Q13" s="83"/>
      <x:c r="R13" s="83"/>
    </x:row>
    <x:row r="14">
      <x:c r="A14" s="83"/>
      <x:c r="B14" s="83"/>
      <x:c r="C14" s="83"/>
      <x:c r="D14" s="83"/>
      <x:c r="E14" s="83"/>
      <x:c r="F14" s="83"/>
      <x:c r="G14" s="83"/>
      <x:c r="H14" s="83"/>
      <x:c r="I14" s="83"/>
      <x:c r="J14" s="83"/>
      <x:c r="K14" s="83"/>
      <x:c r="L14" s="83"/>
      <x:c r="M14" s="83"/>
      <x:c r="N14" s="83"/>
      <x:c r="O14" s="83"/>
      <x:c r="P14" s="83"/>
      <x:c r="Q14" s="83"/>
      <x:c r="R14" s="83"/>
    </x:row>
    <x:row r="15">
      <x:c r="A15" s="83"/>
      <x:c r="B15" s="83"/>
      <x:c r="C15" s="83"/>
      <x:c r="D15" s="83"/>
      <x:c r="E15" s="83"/>
      <x:c r="F15" s="83"/>
      <x:c r="G15" s="83"/>
      <x:c r="H15" s="83"/>
      <x:c r="I15" s="83"/>
      <x:c r="J15" s="83"/>
      <x:c r="K15" s="83"/>
      <x:c r="L15" s="83"/>
      <x:c r="M15" s="83"/>
      <x:c r="N15" s="83"/>
      <x:c r="O15" s="83"/>
      <x:c r="P15" s="83"/>
      <x:c r="Q15" s="83"/>
      <x:c r="R15" s="83"/>
    </x:row>
    <x:row r="16">
      <x:c r="A16" s="83"/>
      <x:c r="B16" s="83"/>
      <x:c r="C16" s="83"/>
      <x:c r="D16" s="83"/>
      <x:c r="E16" s="83"/>
      <x:c r="F16" s="83"/>
      <x:c r="G16" s="83"/>
      <x:c r="H16" s="83"/>
      <x:c r="I16" s="83"/>
      <x:c r="J16" s="83"/>
      <x:c r="K16" s="83"/>
      <x:c r="L16" s="83"/>
      <x:c r="M16" s="83"/>
      <x:c r="N16" s="83"/>
      <x:c r="O16" s="83"/>
      <x:c r="P16" s="83"/>
      <x:c r="Q16" s="83"/>
      <x:c r="R16" s="83"/>
    </x:row>
    <x:row r="17">
      <x:c r="A17" s="83"/>
      <x:c r="B17" s="83"/>
      <x:c r="C17" s="83"/>
      <x:c r="D17" s="83"/>
      <x:c r="E17" s="83"/>
      <x:c r="F17" s="83"/>
      <x:c r="G17" s="83"/>
      <x:c r="H17" s="83"/>
      <x:c r="I17" s="83"/>
      <x:c r="J17" s="83"/>
      <x:c r="K17" s="83"/>
      <x:c r="L17" s="83"/>
      <x:c r="M17" s="83"/>
      <x:c r="N17" s="83"/>
      <x:c r="O17" s="83"/>
      <x:c r="P17" s="83"/>
      <x:c r="Q17" s="83"/>
      <x:c r="R17" s="83"/>
    </x:row>
    <x:row r="18">
      <x:c r="A18" s="83"/>
      <x:c r="B18" s="83"/>
      <x:c r="C18" s="83"/>
      <x:c r="D18" s="83"/>
      <x:c r="E18" s="83"/>
      <x:c r="F18" s="83"/>
      <x:c r="G18" s="83"/>
      <x:c r="H18" s="83"/>
      <x:c r="I18" s="83"/>
      <x:c r="J18" s="83"/>
      <x:c r="K18" s="83"/>
      <x:c r="L18" s="83"/>
      <x:c r="M18" s="83"/>
      <x:c r="N18" s="83"/>
      <x:c r="O18" s="83"/>
      <x:c r="P18" s="83"/>
      <x:c r="Q18" s="83"/>
      <x:c r="R18" s="83"/>
    </x:row>
    <x:row r="19">
      <x:c r="A19" s="83"/>
      <x:c r="B19" s="83"/>
      <x:c r="C19" s="83"/>
      <x:c r="D19" s="83"/>
      <x:c r="E19" s="83"/>
      <x:c r="F19" s="83"/>
      <x:c r="G19" s="83"/>
      <x:c r="H19" s="83"/>
      <x:c r="I19" s="83"/>
      <x:c r="J19" s="83"/>
      <x:c r="K19" s="83"/>
      <x:c r="L19" s="83"/>
      <x:c r="M19" s="83"/>
      <x:c r="N19" s="83"/>
      <x:c r="O19" s="83"/>
      <x:c r="P19" s="83"/>
      <x:c r="Q19" s="83"/>
      <x:c r="R19" s="83"/>
    </x:row>
    <x:row r="20">
      <x:c r="A20" s="83"/>
      <x:c r="B20" s="83"/>
      <x:c r="C20" s="83"/>
      <x:c r="D20" s="83"/>
      <x:c r="E20" s="83"/>
      <x:c r="F20" s="83"/>
      <x:c r="G20" s="83"/>
      <x:c r="H20" s="83"/>
      <x:c r="I20" s="83"/>
      <x:c r="J20" s="83"/>
      <x:c r="K20" s="83"/>
      <x:c r="L20" s="83"/>
      <x:c r="M20" s="83"/>
      <x:c r="N20" s="83"/>
      <x:c r="O20" s="83"/>
      <x:c r="P20" s="83"/>
      <x:c r="Q20" s="83"/>
      <x:c r="R20" s="83"/>
    </x:row>
    <x:row r="21">
      <x:c r="A21" s="83"/>
      <x:c r="B21" s="83"/>
      <x:c r="C21" s="83"/>
      <x:c r="D21" s="83"/>
      <x:c r="E21" s="83"/>
      <x:c r="F21" s="83"/>
      <x:c r="G21" s="83"/>
      <x:c r="H21" s="83"/>
      <x:c r="I21" s="83"/>
      <x:c r="J21" s="83"/>
      <x:c r="K21" s="83"/>
      <x:c r="L21" s="83"/>
      <x:c r="M21" s="83"/>
      <x:c r="N21" s="83"/>
      <x:c r="O21" s="83"/>
      <x:c r="P21" s="83"/>
      <x:c r="Q21" s="83"/>
      <x:c r="R21" s="83"/>
    </x:row>
    <x:row r="22">
      <x:c r="A22" s="83"/>
      <x:c r="B22" s="83"/>
      <x:c r="C22" s="83"/>
      <x:c r="D22" s="83"/>
      <x:c r="E22" s="83"/>
      <x:c r="F22" s="83"/>
      <x:c r="G22" s="83"/>
      <x:c r="H22" s="83"/>
      <x:c r="I22" s="83"/>
      <x:c r="J22" s="83"/>
      <x:c r="K22" s="83"/>
      <x:c r="L22" s="83"/>
      <x:c r="M22" s="83"/>
      <x:c r="N22" s="83"/>
      <x:c r="O22" s="83"/>
      <x:c r="P22" s="83"/>
      <x:c r="Q22" s="83"/>
      <x:c r="R22" s="83"/>
    </x:row>
    <x:row r="23">
      <x:c r="A23" s="83"/>
      <x:c r="B23" s="83"/>
      <x:c r="C23" s="83"/>
      <x:c r="D23" s="83"/>
      <x:c r="E23" s="83"/>
      <x:c r="F23" s="83"/>
      <x:c r="G23" s="83"/>
      <x:c r="H23" s="83"/>
      <x:c r="I23" s="83"/>
      <x:c r="J23" s="83"/>
      <x:c r="K23" s="83"/>
      <x:c r="L23" s="83"/>
      <x:c r="M23" s="83"/>
      <x:c r="N23" s="83"/>
      <x:c r="O23" s="83"/>
      <x:c r="P23" s="83"/>
      <x:c r="Q23" s="83"/>
      <x:c r="R23" s="83"/>
    </x:row>
    <x:row r="24">
      <x:c r="A24" s="83"/>
      <x:c r="B24" s="83"/>
      <x:c r="C24" s="83"/>
      <x:c r="D24" s="83"/>
      <x:c r="E24" s="83"/>
      <x:c r="F24" s="83"/>
      <x:c r="G24" s="83"/>
      <x:c r="H24" s="83"/>
      <x:c r="I24" s="83"/>
      <x:c r="J24" s="83"/>
      <x:c r="K24" s="83"/>
      <x:c r="L24" s="83"/>
      <x:c r="M24" s="83"/>
      <x:c r="N24" s="83"/>
      <x:c r="O24" s="83"/>
      <x:c r="P24" s="83"/>
      <x:c r="Q24" s="83"/>
      <x:c r="R24" s="83"/>
    </x:row>
    <x:row r="25">
      <x:c r="A25" s="83"/>
      <x:c r="B25" s="83"/>
      <x:c r="C25" s="83"/>
      <x:c r="D25" s="83"/>
      <x:c r="E25" s="83"/>
      <x:c r="F25" s="83"/>
      <x:c r="G25" s="83"/>
      <x:c r="H25" s="83"/>
      <x:c r="I25" s="83"/>
      <x:c r="J25" s="83"/>
      <x:c r="K25" s="83"/>
      <x:c r="L25" s="83"/>
      <x:c r="M25" s="83"/>
      <x:c r="N25" s="83"/>
      <x:c r="O25" s="83"/>
      <x:c r="P25" s="83"/>
      <x:c r="Q25" s="83"/>
      <x:c r="R25" s="83"/>
    </x:row>
    <x:row r="26">
      <x:c r="A26" s="83"/>
      <x:c r="B26" s="83"/>
      <x:c r="C26" s="83"/>
      <x:c r="D26" s="83"/>
      <x:c r="E26" s="83"/>
      <x:c r="F26" s="83"/>
      <x:c r="G26" s="83"/>
      <x:c r="H26" s="83"/>
      <x:c r="I26" s="83"/>
      <x:c r="J26" s="83"/>
      <x:c r="K26" s="83"/>
      <x:c r="L26" s="83"/>
      <x:c r="M26" s="83"/>
      <x:c r="N26" s="83"/>
      <x:c r="O26" s="83"/>
      <x:c r="P26" s="83"/>
      <x:c r="Q26" s="83"/>
      <x:c r="R26" s="83"/>
    </x:row>
    <x:row r="27">
      <x:c r="A27" s="83"/>
      <x:c r="B27" s="83"/>
      <x:c r="C27" s="83"/>
      <x:c r="D27" s="83"/>
      <x:c r="E27" s="83"/>
      <x:c r="F27" s="83"/>
      <x:c r="G27" s="83"/>
      <x:c r="H27" s="83"/>
      <x:c r="I27" s="83"/>
      <x:c r="J27" s="83"/>
      <x:c r="K27" s="83"/>
      <x:c r="L27" s="83"/>
      <x:c r="M27" s="83"/>
      <x:c r="N27" s="83"/>
      <x:c r="O27" s="83"/>
      <x:c r="P27" s="83"/>
      <x:c r="Q27" s="83"/>
      <x:c r="R27" s="83"/>
    </x:row>
    <x:row r="28">
      <x:c r="A28" s="83"/>
      <x:c r="B28" s="83"/>
      <x:c r="C28" s="83"/>
      <x:c r="D28" s="83"/>
      <x:c r="E28" s="83"/>
      <x:c r="F28" s="83"/>
      <x:c r="G28" s="83"/>
      <x:c r="H28" s="83"/>
      <x:c r="I28" s="83"/>
      <x:c r="J28" s="83"/>
      <x:c r="K28" s="83"/>
      <x:c r="L28" s="83"/>
      <x:c r="M28" s="83"/>
      <x:c r="N28" s="83"/>
      <x:c r="O28" s="83"/>
      <x:c r="P28" s="83"/>
      <x:c r="Q28" s="83"/>
      <x:c r="R28" s="83"/>
    </x:row>
    <x:row r="29">
      <x:c r="A29" s="83"/>
      <x:c r="B29" s="83"/>
      <x:c r="C29" s="83"/>
      <x:c r="D29" s="83"/>
      <x:c r="E29" s="83"/>
      <x:c r="F29" s="83"/>
      <x:c r="G29" s="83"/>
      <x:c r="H29" s="83"/>
      <x:c r="I29" s="83"/>
      <x:c r="J29" s="83"/>
      <x:c r="K29" s="83"/>
      <x:c r="L29" s="83"/>
      <x:c r="M29" s="83"/>
      <x:c r="N29" s="83"/>
      <x:c r="O29" s="83"/>
      <x:c r="P29" s="83"/>
      <x:c r="Q29" s="83"/>
      <x:c r="R29" s="83"/>
    </x:row>
    <x:row r="30">
      <x:c r="A30" s="83"/>
      <x:c r="B30" s="83"/>
      <x:c r="C30" s="83"/>
      <x:c r="D30" s="83"/>
      <x:c r="E30" s="83"/>
      <x:c r="F30" s="83"/>
      <x:c r="G30" s="83"/>
      <x:c r="H30" s="83"/>
      <x:c r="I30" s="83"/>
      <x:c r="J30" s="83"/>
      <x:c r="K30" s="83"/>
      <x:c r="L30" s="83"/>
      <x:c r="M30" s="83"/>
      <x:c r="N30" s="83"/>
      <x:c r="O30" s="83"/>
      <x:c r="P30" s="83"/>
      <x:c r="Q30" s="83"/>
      <x:c r="R30" s="83"/>
    </x:row>
    <x:row r="31">
      <x:c r="A31" s="83"/>
      <x:c r="B31" s="83"/>
      <x:c r="C31" s="83"/>
      <x:c r="D31" s="83"/>
      <x:c r="E31" s="83"/>
      <x:c r="F31" s="83"/>
      <x:c r="G31" s="83"/>
      <x:c r="H31" s="83"/>
      <x:c r="I31" s="83"/>
      <x:c r="J31" s="83"/>
      <x:c r="K31" s="83"/>
      <x:c r="L31" s="83"/>
      <x:c r="M31" s="83"/>
      <x:c r="N31" s="83"/>
      <x:c r="O31" s="83"/>
      <x:c r="P31" s="83"/>
      <x:c r="Q31" s="83"/>
      <x:c r="R31" s="83"/>
    </x:row>
    <x:row r="32">
      <x:c r="A32" s="83"/>
      <x:c r="B32" s="83"/>
      <x:c r="C32" s="83"/>
      <x:c r="D32" s="83"/>
      <x:c r="E32" s="83"/>
      <x:c r="F32" s="83"/>
      <x:c r="G32" s="83"/>
      <x:c r="H32" s="83"/>
      <x:c r="I32" s="83"/>
      <x:c r="J32" s="83"/>
      <x:c r="K32" s="83"/>
      <x:c r="L32" s="83"/>
      <x:c r="M32" s="83"/>
      <x:c r="N32" s="83"/>
      <x:c r="O32" s="83"/>
      <x:c r="P32" s="83"/>
      <x:c r="Q32" s="83"/>
      <x:c r="R32" s="83"/>
    </x:row>
    <x:row r="33">
      <x:c r="A33" s="83"/>
      <x:c r="B33" s="83"/>
      <x:c r="C33" s="83"/>
      <x:c r="D33" s="83"/>
      <x:c r="E33" s="83"/>
      <x:c r="F33" s="83"/>
      <x:c r="G33" s="83"/>
      <x:c r="H33" s="83"/>
      <x:c r="I33" s="83"/>
      <x:c r="J33" s="83"/>
      <x:c r="K33" s="83"/>
      <x:c r="L33" s="83"/>
      <x:c r="M33" s="83"/>
      <x:c r="N33" s="83"/>
      <x:c r="O33" s="83"/>
      <x:c r="P33" s="83"/>
      <x:c r="Q33" s="83"/>
      <x:c r="R33" s="83"/>
    </x:row>
    <x:row r="34">
      <x:c r="A34" s="83"/>
      <x:c r="B34" s="83"/>
      <x:c r="C34" s="83"/>
      <x:c r="D34" s="83"/>
      <x:c r="E34" s="83"/>
      <x:c r="F34" s="83"/>
      <x:c r="G34" s="83"/>
      <x:c r="H34" s="83"/>
      <x:c r="I34" s="83"/>
      <x:c r="J34" s="83"/>
      <x:c r="K34" s="83"/>
      <x:c r="L34" s="83"/>
      <x:c r="M34" s="83"/>
      <x:c r="N34" s="83"/>
      <x:c r="O34" s="83"/>
      <x:c r="P34" s="83"/>
      <x:c r="Q34" s="83"/>
      <x:c r="R34" s="83"/>
    </x:row>
    <x:row r="35">
      <x:c r="A35" s="83"/>
      <x:c r="B35" s="83"/>
      <x:c r="C35" s="83"/>
      <x:c r="D35" s="83"/>
      <x:c r="E35" s="83"/>
      <x:c r="F35" s="83"/>
      <x:c r="G35" s="83"/>
      <x:c r="H35" s="83"/>
      <x:c r="I35" s="83"/>
      <x:c r="J35" s="83"/>
      <x:c r="K35" s="83"/>
      <x:c r="L35" s="83"/>
      <x:c r="M35" s="83"/>
      <x:c r="N35" s="83"/>
      <x:c r="O35" s="83"/>
      <x:c r="P35" s="83"/>
      <x:c r="Q35" s="83"/>
      <x:c r="R35" s="83"/>
    </x:row>
    <x:row r="36">
      <x:c r="A36" s="83"/>
      <x:c r="B36" s="83"/>
      <x:c r="C36" s="83"/>
      <x:c r="D36" s="83"/>
      <x:c r="E36" s="83"/>
      <x:c r="F36" s="83"/>
      <x:c r="G36" s="83"/>
      <x:c r="H36" s="83"/>
      <x:c r="I36" s="83"/>
      <x:c r="J36" s="83"/>
      <x:c r="K36" s="83"/>
      <x:c r="L36" s="83"/>
      <x:c r="M36" s="83"/>
      <x:c r="N36" s="83"/>
      <x:c r="O36" s="83"/>
      <x:c r="P36" s="83"/>
      <x:c r="Q36" s="83"/>
      <x:c r="R36" s="83"/>
    </x:row>
    <x:row r="37">
      <x:c r="A37" s="83"/>
      <x:c r="B37" s="83"/>
      <x:c r="C37" s="83"/>
      <x:c r="D37" s="83"/>
      <x:c r="E37" s="83"/>
      <x:c r="F37" s="83"/>
      <x:c r="G37" s="83"/>
      <x:c r="H37" s="83"/>
      <x:c r="I37" s="83"/>
      <x:c r="J37" s="83"/>
      <x:c r="K37" s="83"/>
      <x:c r="L37" s="83"/>
      <x:c r="M37" s="83"/>
      <x:c r="N37" s="83"/>
      <x:c r="O37" s="83"/>
      <x:c r="P37" s="83"/>
      <x:c r="Q37" s="83"/>
      <x:c r="R37" s="83"/>
    </x:row>
    <x:row r="38">
      <x:c r="A38" s="83"/>
      <x:c r="B38" s="83"/>
      <x:c r="C38" s="83"/>
      <x:c r="D38" s="83"/>
      <x:c r="E38" s="83"/>
      <x:c r="F38" s="83"/>
      <x:c r="G38" s="83"/>
      <x:c r="H38" s="83"/>
      <x:c r="I38" s="83"/>
      <x:c r="J38" s="83"/>
      <x:c r="K38" s="83"/>
      <x:c r="L38" s="83"/>
      <x:c r="M38" s="83"/>
      <x:c r="N38" s="83"/>
      <x:c r="O38" s="83"/>
      <x:c r="P38" s="83"/>
      <x:c r="Q38" s="83"/>
      <x:c r="R38" s="83"/>
    </x:row>
    <x:row r="39">
      <x:c r="A39" s="83"/>
      <x:c r="B39" s="83"/>
      <x:c r="C39" s="83"/>
      <x:c r="D39" s="83"/>
      <x:c r="E39" s="83"/>
      <x:c r="F39" s="83"/>
      <x:c r="G39" s="83"/>
      <x:c r="H39" s="83"/>
      <x:c r="I39" s="83"/>
      <x:c r="J39" s="83"/>
      <x:c r="K39" s="83"/>
      <x:c r="L39" s="83"/>
      <x:c r="M39" s="83"/>
      <x:c r="N39" s="83"/>
      <x:c r="O39" s="83"/>
      <x:c r="P39" s="83"/>
      <x:c r="Q39" s="83"/>
      <x:c r="R39" s="83"/>
    </x:row>
    <x:row r="40">
      <x:c r="A40" s="83"/>
      <x:c r="B40" s="83"/>
      <x:c r="C40" s="83"/>
      <x:c r="D40" s="83"/>
      <x:c r="E40" s="83"/>
      <x:c r="F40" s="83"/>
      <x:c r="G40" s="83"/>
      <x:c r="H40" s="83"/>
      <x:c r="I40" s="83"/>
      <x:c r="J40" s="83"/>
      <x:c r="K40" s="83"/>
      <x:c r="L40" s="83"/>
      <x:c r="M40" s="83"/>
      <x:c r="N40" s="83"/>
      <x:c r="O40" s="83"/>
      <x:c r="P40" s="83"/>
      <x:c r="Q40" s="83"/>
      <x:c r="R40" s="83"/>
    </x:row>
    <x:row r="41">
      <x:c r="A41" s="83"/>
      <x:c r="B41" s="83"/>
      <x:c r="C41" s="83"/>
      <x:c r="D41" s="83"/>
      <x:c r="E41" s="83"/>
      <x:c r="F41" s="83"/>
      <x:c r="G41" s="83"/>
      <x:c r="H41" s="83"/>
      <x:c r="I41" s="83"/>
      <x:c r="J41" s="83"/>
      <x:c r="K41" s="83"/>
      <x:c r="L41" s="83"/>
      <x:c r="M41" s="83"/>
      <x:c r="N41" s="83"/>
      <x:c r="O41" s="83"/>
      <x:c r="P41" s="83"/>
      <x:c r="Q41" s="83"/>
      <x:c r="R41" s="83"/>
    </x:row>
    <x:row r="42">
      <x:c r="A42" s="83"/>
      <x:c r="B42" s="83"/>
      <x:c r="C42" s="83"/>
      <x:c r="D42" s="83"/>
      <x:c r="E42" s="83"/>
      <x:c r="F42" s="83"/>
      <x:c r="G42" s="83"/>
      <x:c r="H42" s="83"/>
      <x:c r="I42" s="83"/>
      <x:c r="J42" s="83"/>
      <x:c r="K42" s="83"/>
      <x:c r="L42" s="83"/>
      <x:c r="M42" s="83"/>
      <x:c r="N42" s="83"/>
      <x:c r="O42" s="83"/>
      <x:c r="P42" s="83"/>
      <x:c r="Q42" s="83"/>
      <x:c r="R42" s="83"/>
    </x:row>
    <x:row r="43">
      <x:c r="A43" s="83"/>
      <x:c r="B43" s="83"/>
      <x:c r="C43" s="83"/>
      <x:c r="D43" s="83"/>
      <x:c r="E43" s="83"/>
      <x:c r="F43" s="83"/>
      <x:c r="G43" s="83"/>
      <x:c r="H43" s="83"/>
      <x:c r="I43" s="83"/>
      <x:c r="J43" s="83"/>
      <x:c r="K43" s="83"/>
      <x:c r="L43" s="83"/>
      <x:c r="M43" s="83"/>
      <x:c r="N43" s="83"/>
      <x:c r="O43" s="83"/>
      <x:c r="P43" s="83"/>
      <x:c r="Q43" s="83"/>
      <x:c r="R43" s="83"/>
    </x:row>
    <x:row r="44">
      <x:c r="A44" s="83"/>
      <x:c r="B44" s="83"/>
      <x:c r="C44" s="83"/>
      <x:c r="D44" s="83"/>
      <x:c r="E44" s="83"/>
      <x:c r="F44" s="83"/>
      <x:c r="G44" s="83"/>
      <x:c r="H44" s="83"/>
      <x:c r="I44" s="83"/>
      <x:c r="J44" s="83"/>
      <x:c r="K44" s="83"/>
      <x:c r="L44" s="83"/>
      <x:c r="M44" s="83"/>
      <x:c r="N44" s="83"/>
      <x:c r="O44" s="83"/>
      <x:c r="P44" s="83"/>
      <x:c r="Q44" s="83"/>
      <x:c r="R44" s="83"/>
    </x:row>
    <x:row r="45">
      <x:c r="A45" s="83"/>
      <x:c r="B45" s="83"/>
      <x:c r="C45" s="83"/>
      <x:c r="D45" s="83"/>
      <x:c r="E45" s="83"/>
      <x:c r="F45" s="83"/>
      <x:c r="G45" s="83"/>
      <x:c r="H45" s="83"/>
      <x:c r="I45" s="83"/>
      <x:c r="J45" s="83"/>
      <x:c r="K45" s="83"/>
      <x:c r="L45" s="83"/>
      <x:c r="M45" s="83"/>
      <x:c r="N45" s="83"/>
      <x:c r="O45" s="83"/>
      <x:c r="P45" s="83"/>
      <x:c r="Q45" s="83"/>
      <x:c r="R45" s="83"/>
    </x:row>
    <x:row r="46">
      <x:c r="A46" s="83"/>
      <x:c r="B46" s="83"/>
      <x:c r="C46" s="83"/>
      <x:c r="D46" s="83"/>
      <x:c r="E46" s="83"/>
      <x:c r="F46" s="83"/>
      <x:c r="G46" s="83"/>
      <x:c r="H46" s="83"/>
      <x:c r="I46" s="83"/>
      <x:c r="J46" s="83"/>
      <x:c r="K46" s="83"/>
      <x:c r="L46" s="83"/>
      <x:c r="M46" s="83"/>
      <x:c r="N46" s="83"/>
      <x:c r="O46" s="83"/>
      <x:c r="P46" s="83"/>
      <x:c r="Q46" s="83"/>
      <x:c r="R46" s="83"/>
    </x:row>
    <x:row r="47">
      <x:c r="A47" s="83"/>
      <x:c r="B47" s="83"/>
      <x:c r="C47" s="83"/>
      <x:c r="D47" s="83"/>
      <x:c r="E47" s="83"/>
      <x:c r="F47" s="83"/>
      <x:c r="G47" s="83"/>
      <x:c r="H47" s="83"/>
      <x:c r="I47" s="83"/>
      <x:c r="J47" s="83"/>
      <x:c r="K47" s="83"/>
      <x:c r="L47" s="83"/>
      <x:c r="M47" s="83"/>
      <x:c r="N47" s="83"/>
      <x:c r="O47" s="83"/>
      <x:c r="P47" s="83"/>
      <x:c r="Q47" s="83"/>
      <x:c r="R47" s="83"/>
    </x:row>
    <x:row r="48">
      <x:c r="A48" s="83"/>
      <x:c r="B48" s="83"/>
      <x:c r="C48" s="83"/>
      <x:c r="D48" s="83"/>
      <x:c r="E48" s="83"/>
      <x:c r="F48" s="83"/>
      <x:c r="G48" s="83"/>
      <x:c r="H48" s="83"/>
      <x:c r="I48" s="83"/>
      <x:c r="J48" s="83"/>
      <x:c r="K48" s="83"/>
      <x:c r="L48" s="83"/>
      <x:c r="M48" s="83"/>
      <x:c r="N48" s="83"/>
      <x:c r="O48" s="83"/>
      <x:c r="P48" s="83"/>
      <x:c r="Q48" s="83"/>
      <x:c r="R48" s="83"/>
    </x:row>
    <x:row r="49">
      <x:c r="A49" s="83"/>
      <x:c r="B49" s="83"/>
      <x:c r="C49" s="83"/>
      <x:c r="D49" s="83"/>
      <x:c r="E49" s="83"/>
      <x:c r="F49" s="83"/>
      <x:c r="G49" s="83"/>
      <x:c r="H49" s="83"/>
      <x:c r="I49" s="83"/>
      <x:c r="J49" s="83"/>
      <x:c r="K49" s="83"/>
      <x:c r="L49" s="83"/>
      <x:c r="M49" s="83"/>
      <x:c r="N49" s="83"/>
      <x:c r="O49" s="83"/>
      <x:c r="P49" s="83"/>
      <x:c r="Q49" s="83"/>
      <x:c r="R49" s="83"/>
    </x:row>
    <x:row r="50">
      <x:c r="A50" s="83"/>
      <x:c r="B50" s="83"/>
      <x:c r="C50" s="83"/>
      <x:c r="D50" s="83"/>
      <x:c r="E50" s="83"/>
      <x:c r="F50" s="83"/>
      <x:c r="G50" s="83"/>
      <x:c r="H50" s="83"/>
      <x:c r="I50" s="83"/>
      <x:c r="J50" s="83"/>
      <x:c r="K50" s="83"/>
      <x:c r="L50" s="83"/>
      <x:c r="M50" s="83"/>
      <x:c r="N50" s="83"/>
      <x:c r="O50" s="83"/>
      <x:c r="P50" s="83"/>
      <x:c r="Q50" s="83"/>
      <x:c r="R50" s="83"/>
    </x:row>
    <x:row r="51">
      <x:c r="A51" s="83"/>
      <x:c r="B51" s="83"/>
      <x:c r="C51" s="83"/>
      <x:c r="D51" s="83"/>
      <x:c r="E51" s="83"/>
      <x:c r="F51" s="83"/>
      <x:c r="G51" s="83"/>
      <x:c r="H51" s="83"/>
      <x:c r="I51" s="83"/>
      <x:c r="J51" s="83"/>
      <x:c r="K51" s="83"/>
      <x:c r="L51" s="83"/>
      <x:c r="M51" s="83"/>
      <x:c r="N51" s="83"/>
      <x:c r="O51" s="83"/>
      <x:c r="P51" s="83"/>
      <x:c r="Q51" s="83"/>
      <x:c r="R51" s="83"/>
    </x:row>
    <x:row r="52">
      <x:c r="A52" s="83"/>
      <x:c r="B52" s="83"/>
      <x:c r="C52" s="83"/>
      <x:c r="D52" s="83"/>
      <x:c r="E52" s="83"/>
      <x:c r="F52" s="83"/>
      <x:c r="G52" s="83"/>
      <x:c r="H52" s="83"/>
      <x:c r="I52" s="83"/>
      <x:c r="J52" s="83"/>
      <x:c r="K52" s="83"/>
      <x:c r="L52" s="83"/>
      <x:c r="M52" s="83"/>
      <x:c r="N52" s="83"/>
      <x:c r="O52" s="83"/>
      <x:c r="P52" s="83"/>
      <x:c r="Q52" s="83"/>
      <x:c r="R52" s="83"/>
    </x:row>
    <x:row r="53">
      <x:c r="A53" s="83"/>
      <x:c r="B53" s="83"/>
      <x:c r="C53" s="83"/>
      <x:c r="D53" s="83"/>
      <x:c r="E53" s="83"/>
      <x:c r="F53" s="83"/>
      <x:c r="G53" s="83"/>
      <x:c r="H53" s="83"/>
      <x:c r="I53" s="83"/>
      <x:c r="J53" s="83"/>
      <x:c r="K53" s="83"/>
      <x:c r="L53" s="83"/>
      <x:c r="M53" s="83"/>
      <x:c r="N53" s="83"/>
      <x:c r="O53" s="83"/>
      <x:c r="P53" s="83"/>
      <x:c r="Q53" s="83"/>
      <x:c r="R53" s="83"/>
    </x:row>
    <x:row r="54">
      <x:c r="A54" s="83"/>
      <x:c r="B54" s="83"/>
      <x:c r="C54" s="83"/>
      <x:c r="D54" s="83"/>
      <x:c r="E54" s="83"/>
      <x:c r="F54" s="83"/>
      <x:c r="G54" s="83"/>
      <x:c r="H54" s="83"/>
      <x:c r="I54" s="83"/>
      <x:c r="J54" s="83"/>
      <x:c r="K54" s="83"/>
      <x:c r="L54" s="83"/>
      <x:c r="M54" s="83"/>
      <x:c r="N54" s="83"/>
      <x:c r="O54" s="83"/>
      <x:c r="P54" s="83"/>
      <x:c r="Q54" s="83"/>
      <x:c r="R54" s="83"/>
    </x:row>
    <x:row r="55">
      <x:c r="A55" s="83"/>
      <x:c r="B55" s="83"/>
      <x:c r="C55" s="83"/>
      <x:c r="D55" s="83"/>
      <x:c r="E55" s="83"/>
      <x:c r="F55" s="83"/>
      <x:c r="G55" s="83"/>
      <x:c r="H55" s="83"/>
      <x:c r="I55" s="83"/>
      <x:c r="J55" s="83"/>
      <x:c r="K55" s="83"/>
      <x:c r="L55" s="83"/>
      <x:c r="M55" s="83"/>
      <x:c r="N55" s="83"/>
      <x:c r="O55" s="83"/>
      <x:c r="P55" s="83"/>
      <x:c r="Q55" s="83"/>
      <x:c r="R55" s="83"/>
    </x:row>
    <x:row r="56">
      <x:c r="A56" s="83"/>
      <x:c r="B56" s="83"/>
      <x:c r="C56" s="83"/>
      <x:c r="D56" s="83"/>
      <x:c r="E56" s="83"/>
      <x:c r="F56" s="83"/>
      <x:c r="G56" s="83"/>
      <x:c r="H56" s="83"/>
      <x:c r="I56" s="83"/>
      <x:c r="J56" s="83"/>
      <x:c r="K56" s="83"/>
      <x:c r="L56" s="83"/>
      <x:c r="M56" s="83"/>
      <x:c r="N56" s="83"/>
      <x:c r="O56" s="83"/>
      <x:c r="P56" s="83"/>
      <x:c r="Q56" s="83"/>
      <x:c r="R56" s="83"/>
    </x:row>
    <x:row r="57">
      <x:c r="A57" s="83"/>
      <x:c r="B57" s="83"/>
      <x:c r="C57" s="83"/>
      <x:c r="D57" s="83"/>
      <x:c r="E57" s="83"/>
      <x:c r="F57" s="83"/>
      <x:c r="G57" s="83"/>
      <x:c r="H57" s="83"/>
      <x:c r="I57" s="83"/>
      <x:c r="J57" s="83"/>
      <x:c r="K57" s="83"/>
      <x:c r="L57" s="83"/>
      <x:c r="M57" s="83"/>
      <x:c r="N57" s="83"/>
      <x:c r="O57" s="83"/>
      <x:c r="P57" s="83"/>
      <x:c r="Q57" s="83"/>
      <x:c r="R57" s="83"/>
    </x:row>
    <x:row r="58">
      <x:c r="A58" s="83"/>
      <x:c r="B58" s="83"/>
      <x:c r="C58" s="83"/>
      <x:c r="D58" s="83"/>
      <x:c r="E58" s="83"/>
      <x:c r="F58" s="83"/>
      <x:c r="G58" s="83"/>
      <x:c r="H58" s="83"/>
      <x:c r="I58" s="83"/>
      <x:c r="J58" s="83"/>
      <x:c r="K58" s="83"/>
      <x:c r="L58" s="83"/>
      <x:c r="M58" s="83"/>
      <x:c r="N58" s="83"/>
      <x:c r="O58" s="83"/>
      <x:c r="P58" s="83"/>
      <x:c r="Q58" s="83"/>
      <x:c r="R58" s="83"/>
    </x:row>
    <x:row r="59">
      <x:c r="A59" s="83"/>
      <x:c r="B59" s="83"/>
      <x:c r="C59" s="83"/>
      <x:c r="D59" s="83"/>
      <x:c r="E59" s="83"/>
      <x:c r="F59" s="83"/>
      <x:c r="G59" s="83"/>
      <x:c r="H59" s="83"/>
      <x:c r="I59" s="83"/>
      <x:c r="J59" s="83"/>
      <x:c r="K59" s="83"/>
      <x:c r="L59" s="83"/>
      <x:c r="M59" s="83"/>
      <x:c r="N59" s="83"/>
      <x:c r="O59" s="83"/>
      <x:c r="P59" s="83"/>
      <x:c r="Q59" s="83"/>
      <x:c r="R59" s="83"/>
    </x:row>
    <x:row r="60">
      <x:c r="A60" s="83"/>
      <x:c r="B60" s="83"/>
      <x:c r="C60" s="83"/>
      <x:c r="D60" s="83"/>
      <x:c r="E60" s="83"/>
      <x:c r="F60" s="83"/>
      <x:c r="G60" s="83"/>
      <x:c r="H60" s="83"/>
      <x:c r="I60" s="83"/>
      <x:c r="J60" s="83"/>
      <x:c r="K60" s="83"/>
      <x:c r="L60" s="83"/>
      <x:c r="M60" s="83"/>
      <x:c r="N60" s="83"/>
      <x:c r="O60" s="83"/>
      <x:c r="P60" s="83"/>
      <x:c r="Q60" s="83"/>
      <x:c r="R60" s="83"/>
    </x:row>
    <x:row r="61">
      <x:c r="A61" s="83"/>
      <x:c r="B61" s="83"/>
      <x:c r="C61" s="83"/>
      <x:c r="D61" s="83"/>
      <x:c r="E61" s="83"/>
      <x:c r="F61" s="83"/>
      <x:c r="G61" s="83"/>
      <x:c r="H61" s="83"/>
      <x:c r="I61" s="83"/>
      <x:c r="J61" s="83"/>
      <x:c r="K61" s="83"/>
      <x:c r="L61" s="83"/>
      <x:c r="M61" s="83"/>
      <x:c r="N61" s="83"/>
      <x:c r="O61" s="83"/>
      <x:c r="P61" s="83"/>
      <x:c r="Q61" s="83"/>
      <x:c r="R61" s="83"/>
    </x:row>
    <x:row r="62">
      <x:c r="A62" s="83"/>
      <x:c r="B62" s="83"/>
      <x:c r="C62" s="83"/>
      <x:c r="D62" s="83"/>
      <x:c r="E62" s="83"/>
      <x:c r="F62" s="83"/>
      <x:c r="G62" s="83"/>
      <x:c r="H62" s="83"/>
      <x:c r="I62" s="83"/>
      <x:c r="J62" s="83"/>
      <x:c r="K62" s="83"/>
      <x:c r="L62" s="83"/>
      <x:c r="M62" s="83"/>
      <x:c r="N62" s="83"/>
      <x:c r="O62" s="83"/>
      <x:c r="P62" s="83"/>
      <x:c r="Q62" s="83"/>
      <x:c r="R62" s="83"/>
    </x:row>
    <x:row r="63">
      <x:c r="A63" s="83"/>
      <x:c r="B63" s="83"/>
      <x:c r="C63" s="83"/>
      <x:c r="D63" s="83"/>
      <x:c r="E63" s="83"/>
      <x:c r="F63" s="83"/>
      <x:c r="G63" s="83"/>
      <x:c r="H63" s="83"/>
      <x:c r="I63" s="83"/>
      <x:c r="J63" s="83"/>
      <x:c r="K63" s="83"/>
      <x:c r="L63" s="83"/>
      <x:c r="M63" s="83"/>
      <x:c r="N63" s="83"/>
      <x:c r="O63" s="83"/>
      <x:c r="P63" s="83"/>
      <x:c r="Q63" s="83"/>
      <x:c r="R63" s="83"/>
    </x:row>
    <x:row r="64">
      <x:c r="A64" s="83"/>
      <x:c r="B64" s="83"/>
      <x:c r="C64" s="83"/>
      <x:c r="D64" s="83"/>
      <x:c r="E64" s="83"/>
      <x:c r="F64" s="83"/>
      <x:c r="G64" s="83"/>
      <x:c r="H64" s="83"/>
      <x:c r="I64" s="83"/>
      <x:c r="J64" s="83"/>
      <x:c r="K64" s="83"/>
      <x:c r="L64" s="83"/>
      <x:c r="M64" s="83"/>
      <x:c r="N64" s="83"/>
      <x:c r="O64" s="83"/>
      <x:c r="P64" s="83"/>
      <x:c r="Q64" s="83"/>
      <x:c r="R64" s="83"/>
    </x:row>
    <x:row r="65">
      <x:c r="A65" s="83"/>
      <x:c r="B65" s="83"/>
      <x:c r="C65" s="83"/>
      <x:c r="D65" s="83"/>
      <x:c r="E65" s="83"/>
      <x:c r="F65" s="83"/>
      <x:c r="G65" s="83"/>
      <x:c r="H65" s="83"/>
      <x:c r="I65" s="83"/>
      <x:c r="J65" s="83"/>
      <x:c r="K65" s="83"/>
      <x:c r="L65" s="83"/>
      <x:c r="M65" s="83"/>
      <x:c r="N65" s="83"/>
      <x:c r="O65" s="83"/>
      <x:c r="P65" s="83"/>
      <x:c r="Q65" s="83"/>
      <x:c r="R65" s="83"/>
    </x:row>
    <x:row r="66">
      <x:c r="A66" s="83"/>
      <x:c r="B66" s="83"/>
      <x:c r="C66" s="83"/>
      <x:c r="D66" s="83"/>
      <x:c r="E66" s="83"/>
      <x:c r="F66" s="83"/>
      <x:c r="G66" s="83"/>
      <x:c r="H66" s="83"/>
      <x:c r="I66" s="83"/>
      <x:c r="J66" s="83"/>
      <x:c r="K66" s="83"/>
      <x:c r="L66" s="83"/>
      <x:c r="M66" s="83"/>
      <x:c r="N66" s="83"/>
      <x:c r="O66" s="83"/>
      <x:c r="P66" s="83"/>
      <x:c r="Q66" s="83"/>
      <x:c r="R66" s="83"/>
    </x:row>
    <x:row r="67">
      <x:c r="A67" s="83"/>
      <x:c r="B67" s="83"/>
      <x:c r="C67" s="83"/>
      <x:c r="D67" s="83"/>
      <x:c r="E67" s="83"/>
      <x:c r="F67" s="83"/>
      <x:c r="G67" s="83"/>
      <x:c r="H67" s="83"/>
      <x:c r="I67" s="83"/>
      <x:c r="J67" s="83"/>
      <x:c r="K67" s="83"/>
      <x:c r="L67" s="83"/>
      <x:c r="M67" s="83"/>
      <x:c r="N67" s="83"/>
      <x:c r="O67" s="83"/>
      <x:c r="P67" s="83"/>
      <x:c r="Q67" s="83"/>
      <x:c r="R67" s="83"/>
    </x:row>
    <x:row r="68">
      <x:c r="A68" s="83"/>
      <x:c r="B68" s="83"/>
      <x:c r="C68" s="83"/>
      <x:c r="D68" s="83"/>
      <x:c r="E68" s="83"/>
      <x:c r="F68" s="83"/>
      <x:c r="G68" s="83"/>
      <x:c r="H68" s="83"/>
      <x:c r="I68" s="83"/>
      <x:c r="J68" s="83"/>
      <x:c r="K68" s="83"/>
      <x:c r="L68" s="83"/>
      <x:c r="M68" s="83"/>
      <x:c r="N68" s="83"/>
      <x:c r="O68" s="83"/>
      <x:c r="P68" s="83"/>
      <x:c r="Q68" s="83"/>
      <x:c r="R68" s="83"/>
    </x:row>
    <x:row r="69">
      <x:c r="A69" s="83"/>
      <x:c r="B69" s="83"/>
      <x:c r="C69" s="83"/>
      <x:c r="D69" s="83"/>
      <x:c r="E69" s="83"/>
      <x:c r="F69" s="83"/>
      <x:c r="G69" s="83"/>
      <x:c r="H69" s="83"/>
      <x:c r="I69" s="83"/>
      <x:c r="J69" s="83"/>
      <x:c r="K69" s="83"/>
      <x:c r="L69" s="83"/>
      <x:c r="M69" s="83"/>
      <x:c r="N69" s="83"/>
      <x:c r="O69" s="83"/>
      <x:c r="P69" s="83"/>
      <x:c r="Q69" s="83"/>
      <x:c r="R69" s="83"/>
    </x:row>
    <x:row r="70">
      <x:c r="A70" s="83"/>
      <x:c r="B70" s="83"/>
      <x:c r="C70" s="83"/>
      <x:c r="D70" s="83"/>
      <x:c r="E70" s="83"/>
      <x:c r="F70" s="83"/>
      <x:c r="G70" s="83"/>
      <x:c r="H70" s="83"/>
      <x:c r="I70" s="83"/>
      <x:c r="J70" s="83"/>
      <x:c r="K70" s="83"/>
      <x:c r="L70" s="83"/>
      <x:c r="M70" s="83"/>
      <x:c r="N70" s="83"/>
      <x:c r="O70" s="83"/>
      <x:c r="P70" s="83"/>
      <x:c r="Q70" s="83"/>
      <x:c r="R70" s="83"/>
    </x:row>
    <x:row r="71">
      <x:c r="A71" s="83"/>
      <x:c r="B71" s="83"/>
      <x:c r="C71" s="83"/>
      <x:c r="D71" s="83"/>
      <x:c r="E71" s="83"/>
      <x:c r="F71" s="83"/>
      <x:c r="G71" s="83"/>
      <x:c r="H71" s="83"/>
      <x:c r="I71" s="83"/>
      <x:c r="J71" s="83"/>
      <x:c r="K71" s="83"/>
      <x:c r="L71" s="83"/>
      <x:c r="M71" s="83"/>
      <x:c r="N71" s="83"/>
      <x:c r="O71" s="83"/>
      <x:c r="P71" s="83"/>
      <x:c r="Q71" s="83"/>
      <x:c r="R71" s="83"/>
    </x:row>
    <x:row r="72">
      <x:c r="A72" s="83"/>
      <x:c r="B72" s="83"/>
      <x:c r="C72" s="83"/>
      <x:c r="D72" s="83"/>
      <x:c r="E72" s="83"/>
      <x:c r="F72" s="83"/>
      <x:c r="G72" s="83"/>
      <x:c r="H72" s="83"/>
      <x:c r="I72" s="83"/>
      <x:c r="J72" s="83"/>
      <x:c r="K72" s="83"/>
      <x:c r="L72" s="83"/>
      <x:c r="M72" s="83"/>
      <x:c r="N72" s="83"/>
      <x:c r="O72" s="83"/>
      <x:c r="P72" s="83"/>
      <x:c r="Q72" s="83"/>
      <x:c r="R72" s="83"/>
    </x:row>
    <x:row r="73">
      <x:c r="A73" s="83"/>
      <x:c r="B73" s="83"/>
      <x:c r="C73" s="83"/>
      <x:c r="D73" s="83"/>
      <x:c r="E73" s="83"/>
      <x:c r="F73" s="83"/>
      <x:c r="G73" s="83"/>
      <x:c r="H73" s="83"/>
      <x:c r="I73" s="83"/>
      <x:c r="J73" s="83"/>
      <x:c r="K73" s="83"/>
      <x:c r="L73" s="83"/>
      <x:c r="M73" s="83"/>
      <x:c r="N73" s="83"/>
      <x:c r="O73" s="83"/>
      <x:c r="P73" s="83"/>
      <x:c r="Q73" s="83"/>
      <x:c r="R73" s="83"/>
    </x:row>
    <x:row r="74">
      <x:c r="A74" s="83"/>
      <x:c r="B74" s="83"/>
      <x:c r="C74" s="83"/>
      <x:c r="D74" s="83"/>
      <x:c r="E74" s="83"/>
      <x:c r="F74" s="83"/>
      <x:c r="G74" s="83"/>
      <x:c r="H74" s="83"/>
      <x:c r="I74" s="83"/>
      <x:c r="J74" s="83"/>
      <x:c r="K74" s="83"/>
      <x:c r="L74" s="83"/>
      <x:c r="M74" s="83"/>
      <x:c r="N74" s="83"/>
      <x:c r="O74" s="83"/>
      <x:c r="P74" s="83"/>
      <x:c r="Q74" s="83"/>
      <x:c r="R74" s="83"/>
    </x:row>
    <x:row r="75">
      <x:c r="A75" s="83"/>
      <x:c r="B75" s="83"/>
      <x:c r="C75" s="83"/>
      <x:c r="D75" s="83"/>
      <x:c r="E75" s="83"/>
      <x:c r="F75" s="83"/>
      <x:c r="G75" s="83"/>
      <x:c r="H75" s="83"/>
      <x:c r="I75" s="83"/>
      <x:c r="J75" s="83"/>
      <x:c r="K75" s="83"/>
      <x:c r="L75" s="83"/>
      <x:c r="M75" s="83"/>
      <x:c r="N75" s="83"/>
      <x:c r="O75" s="83"/>
      <x:c r="P75" s="83"/>
      <x:c r="Q75" s="83"/>
      <x:c r="R75" s="83"/>
    </x:row>
    <x:row r="76">
      <x:c r="A76" s="83"/>
      <x:c r="B76" s="83"/>
      <x:c r="C76" s="83"/>
      <x:c r="D76" s="83"/>
      <x:c r="E76" s="83"/>
      <x:c r="F76" s="83"/>
      <x:c r="G76" s="83"/>
      <x:c r="H76" s="83"/>
      <x:c r="I76" s="83"/>
      <x:c r="J76" s="83"/>
      <x:c r="K76" s="83"/>
      <x:c r="L76" s="83"/>
      <x:c r="M76" s="83"/>
      <x:c r="N76" s="83"/>
      <x:c r="O76" s="83"/>
      <x:c r="P76" s="83"/>
      <x:c r="Q76" s="83"/>
      <x:c r="R76" s="83"/>
    </x:row>
    <x:row r="77">
      <x:c r="A77" s="83"/>
      <x:c r="B77" s="83"/>
      <x:c r="C77" s="83"/>
      <x:c r="D77" s="83"/>
      <x:c r="E77" s="83"/>
      <x:c r="F77" s="83"/>
      <x:c r="G77" s="83"/>
      <x:c r="H77" s="83"/>
      <x:c r="I77" s="83"/>
      <x:c r="J77" s="83"/>
      <x:c r="K77" s="83"/>
      <x:c r="L77" s="83"/>
      <x:c r="M77" s="83"/>
      <x:c r="N77" s="83"/>
      <x:c r="O77" s="83"/>
      <x:c r="P77" s="83"/>
      <x:c r="Q77" s="83"/>
      <x:c r="R77" s="83"/>
    </x:row>
    <x:row r="78">
      <x:c r="A78" s="83"/>
      <x:c r="B78" s="83"/>
      <x:c r="C78" s="83"/>
      <x:c r="D78" s="83"/>
      <x:c r="E78" s="83"/>
      <x:c r="F78" s="83"/>
      <x:c r="G78" s="83"/>
      <x:c r="H78" s="83"/>
      <x:c r="I78" s="83"/>
      <x:c r="J78" s="83"/>
      <x:c r="K78" s="83"/>
      <x:c r="L78" s="83"/>
      <x:c r="M78" s="83"/>
      <x:c r="N78" s="83"/>
      <x:c r="O78" s="83"/>
      <x:c r="P78" s="83"/>
      <x:c r="Q78" s="83"/>
      <x:c r="R78" s="83"/>
    </x:row>
    <x:row r="79">
      <x:c r="A79" s="83"/>
      <x:c r="B79" s="83"/>
      <x:c r="C79" s="83"/>
      <x:c r="D79" s="83"/>
      <x:c r="E79" s="83"/>
      <x:c r="F79" s="83"/>
      <x:c r="G79" s="83"/>
      <x:c r="H79" s="83"/>
      <x:c r="I79" s="83"/>
      <x:c r="J79" s="83"/>
      <x:c r="K79" s="83"/>
      <x:c r="L79" s="83"/>
      <x:c r="M79" s="83"/>
      <x:c r="N79" s="83"/>
      <x:c r="O79" s="83"/>
      <x:c r="P79" s="83"/>
      <x:c r="Q79" s="83"/>
      <x:c r="R79" s="83"/>
    </x:row>
    <x:row r="80">
      <x:c r="A80" s="83"/>
      <x:c r="B80" s="83"/>
      <x:c r="C80" s="83"/>
      <x:c r="D80" s="83"/>
      <x:c r="E80" s="83"/>
      <x:c r="F80" s="83"/>
      <x:c r="G80" s="83"/>
      <x:c r="H80" s="83"/>
      <x:c r="I80" s="83"/>
      <x:c r="J80" s="83"/>
      <x:c r="K80" s="83"/>
      <x:c r="L80" s="83"/>
      <x:c r="M80" s="83"/>
      <x:c r="N80" s="83"/>
      <x:c r="O80" s="83"/>
      <x:c r="P80" s="83"/>
      <x:c r="Q80" s="83"/>
      <x:c r="R80" s="83"/>
    </x:row>
  </x:sheetData>
  <x:mergeCells>
    <x:mergeCell ref="A1:J1"/>
  </x:mergeCells>
  <x:pageMargins left="0.7" right="0.7" top="0.75" bottom="0.75" header="0.3" footer="0.3"/>
</x:worksheet>
</file>

<file path=xl/worksheets/sheet11.xml><?xml version="1.0" encoding="utf-8"?>
<x:worksheet xmlns:x="http://schemas.openxmlformats.org/spreadsheetml/2006/main">
  <x:sheetFormatPr defaultRowHeight="15"/>
  <x:sheetData>
    <x:row r="1">
      <x:c r="A1" t="str">
        <x:v>Format</x:v>
      </x:c>
      <x:c r="B1" t="str">
        <x:v>Delivery</x:v>
      </x:c>
      <x:c r="C1" t="str">
        <x:v>Segment Type</x:v>
      </x:c>
      <x:c r="D1" t="str">
        <x:v>Objective Verb</x:v>
      </x:c>
      <x:c r="E1" t="str">
        <x:v>Status</x:v>
      </x:c>
      <x:c r="F1" t="str">
        <x:v>YesNo</x:v>
      </x:c>
      <x:c r="G1" t="str">
        <x:v>Priority</x:v>
      </x:c>
      <x:c r="H1" t="str">
        <x:v>Material Type</x:v>
      </x:c>
      <x:c r="I1" t="str">
        <x:v>Assessment Type</x:v>
      </x:c>
    </x:row>
    <x:row r="2">
      <x:c r="A2" t="str">
        <x:v>Micro (60 min)</x:v>
      </x:c>
      <x:c r="B2" t="str">
        <x:v>Virtual</x:v>
      </x:c>
      <x:c r="C2" t="str">
        <x:v>Welcome / Framing</x:v>
      </x:c>
      <x:c r="D2" t="str">
        <x:v>Identify</x:v>
      </x:c>
      <x:c r="E2" t="str">
        <x:v>Not Started</x:v>
      </x:c>
      <x:c r="F2" t="str">
        <x:v>Yes</x:v>
      </x:c>
      <x:c r="G2" t="str">
        <x:v>Low</x:v>
      </x:c>
      <x:c r="H2" t="str">
        <x:v>Workbook / Worksheet</x:v>
      </x:c>
      <x:c r="I2" t="str">
        <x:v>None</x:v>
      </x:c>
    </x:row>
    <x:row r="3">
      <x:c r="A3" t="str">
        <x:v>Burst (120 min)</x:v>
      </x:c>
      <x:c r="B3" t="str">
        <x:v>In-Person</x:v>
      </x:c>
      <x:c r="C3" t="str">
        <x:v>Presentation</x:v>
      </x:c>
      <x:c r="D3" t="str">
        <x:v>Explain</x:v>
      </x:c>
      <x:c r="E3" t="str">
        <x:v>In Progress</x:v>
      </x:c>
      <x:c r="F3" t="str">
        <x:v>No</x:v>
      </x:c>
      <x:c r="G3" t="str">
        <x:v>Medium</x:v>
      </x:c>
      <x:c r="H3" t="str">
        <x:v>Checklist</x:v>
      </x:c>
      <x:c r="I3" t="str">
        <x:v>Knowledge Check</x:v>
      </x:c>
    </x:row>
    <x:row r="4">
      <x:c r="A4" t="str">
        <x:v>Half-Day (210 min)</x:v>
      </x:c>
      <x:c r="B4" t="str">
        <x:v>Hybrid</x:v>
      </x:c>
      <x:c r="C4" t="str">
        <x:v>Exercise / Practice</x:v>
      </x:c>
      <x:c r="D4" t="str">
        <x:v>Apply</x:v>
      </x:c>
      <x:c r="E4" t="str">
        <x:v>Complete</x:v>
      </x:c>
      <x:c r="F4" t="str">
        <x:v>Unsure</x:v>
      </x:c>
      <x:c r="G4" t="str">
        <x:v>High</x:v>
      </x:c>
      <x:c r="H4" t="str">
        <x:v>Template</x:v>
      </x:c>
      <x:c r="I4" t="str">
        <x:v>Practice Output</x:v>
      </x:c>
    </x:row>
    <x:row r="5">
      <x:c r="A5" t="str">
        <x:v>Half-Day (240 min)</x:v>
      </x:c>
      <x:c r="B5" t="str">
        <x:v>Asynchronous</x:v>
      </x:c>
      <x:c r="C5" t="str">
        <x:v>Discussion / Q&amp;A</x:v>
      </x:c>
      <x:c r="D5" t="str">
        <x:v>Analyze</x:v>
      </x:c>
      <x:c r="E5" t="str">
        <x:v>Needs Review</x:v>
      </x:c>
      <x:c r="G5" t="str">
        <x:v>Critical</x:v>
      </x:c>
      <x:c r="H5" t="str">
        <x:v>Decision Tool</x:v>
      </x:c>
      <x:c r="I5" t="str">
        <x:v>Reflection / Application</x:v>
      </x:c>
    </x:row>
    <x:row r="6">
      <x:c r="A6" t="str">
        <x:v>Full-Day (420 min)</x:v>
      </x:c>
      <x:c r="B6" t="str">
        <x:v>Blended</x:v>
      </x:c>
      <x:c r="C6" t="str">
        <x:v>Case Study</x:v>
      </x:c>
      <x:c r="D6" t="str">
        <x:v>Evaluate</x:v>
      </x:c>
      <x:c r="H6" t="str">
        <x:v>Reference Guide</x:v>
      </x:c>
      <x:c r="I6" t="str">
        <x:v>Formal Assessment</x:v>
      </x:c>
    </x:row>
    <x:row r="7">
      <x:c r="A7" t="str">
        <x:v>Full-Day (480 min)</x:v>
      </x:c>
      <x:c r="C7" t="str">
        <x:v>Tool / Demo</x:v>
      </x:c>
      <x:c r="D7" t="str">
        <x:v>Create</x:v>
      </x:c>
      <x:c r="H7" t="str">
        <x:v>Case / Scenario</x:v>
      </x:c>
    </x:row>
    <x:row r="8">
      <x:c r="A8" t="str">
        <x:v>Custom</x:v>
      </x:c>
      <x:c r="C8" t="str">
        <x:v>Break</x:v>
      </x:c>
      <x:c r="H8" t="str">
        <x:v>Other</x:v>
      </x:c>
    </x:row>
    <x:row r="9">
      <x:c r="C9" t="str">
        <x:v>Assessment</x:v>
      </x:c>
    </x:row>
    <x:row r="10">
      <x:c r="C10" t="str">
        <x:v>Closing / Application</x:v>
      </x:c>
    </x:row>
  </x:sheetData>
  <x:pageMargins left="0.7" right="0.7" top="0.75" bottom="0.75" header="0.3" footer="0.3"/>
</x:worksheet>
</file>