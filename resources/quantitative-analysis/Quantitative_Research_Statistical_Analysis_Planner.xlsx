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573b76bea84f16" /></Relationships>
</file>

<file path=xl/workbook.xml><?xml version="1.0" encoding="utf-8"?>
<x:workbook xmlns:x="http://schemas.openxmlformats.org/spreadsheetml/2006/main">
  <x:sheets>
    <x:sheet xmlns:r="http://schemas.openxmlformats.org/officeDocument/2006/relationships" name="START HERE" sheetId="1" r:id="Ra253995645604800"/>
    <x:sheet xmlns:r="http://schemas.openxmlformats.org/officeDocument/2006/relationships" name="STUDY SETUP" sheetId="2" r:id="R139c81314e0b4269"/>
    <x:sheet xmlns:r="http://schemas.openxmlformats.org/officeDocument/2006/relationships" name="VARIABLES" sheetId="3" r:id="Re48f64fdc6124733"/>
    <x:sheet xmlns:r="http://schemas.openxmlformats.org/officeDocument/2006/relationships" name="HYPOTHESES" sheetId="4" r:id="R828928a77fcf4a5d"/>
    <x:sheet xmlns:r="http://schemas.openxmlformats.org/officeDocument/2006/relationships" name="ANALYSIS ROUTER" sheetId="5" r:id="R4d54e57cce6c4c57"/>
    <x:sheet xmlns:r="http://schemas.openxmlformats.org/officeDocument/2006/relationships" name="DATA QA PLAN" sheetId="6" r:id="R3a7c9c4d92fa4c1f"/>
    <x:sheet xmlns:r="http://schemas.openxmlformats.org/officeDocument/2006/relationships" name="ASSUMPTIONS" sheetId="7" r:id="Ra3d072d045424bb2"/>
    <x:sheet xmlns:r="http://schemas.openxmlformats.org/officeDocument/2006/relationships" name="RESULTS LOG" sheetId="8" r:id="Ra4b06d25278c4978"/>
    <x:sheet xmlns:r="http://schemas.openxmlformats.org/officeDocument/2006/relationships" name="REPORTING CHECKLIST" sheetId="9" r:id="R071e8c7136204942"/>
    <x:sheet xmlns:r="http://schemas.openxmlformats.org/officeDocument/2006/relationships" name="DASHBOARD" sheetId="10" r:id="Ra452406a6254438e"/>
    <x:sheet xmlns:r="http://schemas.openxmlformats.org/officeDocument/2006/relationships" name="EXAMPLE" sheetId="11" r:id="R656cb6c9182d4404"/>
    <x:sheet xmlns:r="http://schemas.openxmlformats.org/officeDocument/2006/relationships" name="SOURCES" sheetId="12" r:id="Rc2fadd7f0ecf4a7d"/>
    <x:sheet xmlns:r="http://schemas.openxmlformats.org/officeDocument/2006/relationships" name="_LISTS" sheetId="13" r:id="R8594d04d80d140e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
    <x:numFmt numFmtId="202" formatCode="0.0000"/>
    <x:numFmt numFmtId="203" formatCode="0.000"/>
  </x:numFmts>
  <x:fonts count="10">
    <x:font>
      <x:sz val="11"/>
      <x:name val="Carlito"/>
    </x:font>
    <x:font>
      <x:b/>
      <x:sz val="18"/>
      <x:color rgb="FFFFFFFF"/>
      <x:name val="Carlito"/>
    </x:font>
    <x:font>
      <x:b/>
      <x:sz val="11"/>
      <x:color rgb="FF17324D"/>
      <x:name val="Carlito"/>
    </x:font>
    <x:font>
      <x:b/>
      <x:sz val="11"/>
      <x:color rgb="FFFFFFFF"/>
      <x:name val="Carlito"/>
    </x:font>
    <x:font>
      <x:b/>
      <x:sz val="14"/>
      <x:color rgb="FFFFFFFF"/>
      <x:name val="Carlito"/>
    </x:font>
    <x:font>
      <x:b/>
      <x:sz val="11"/>
      <x:name val="Carlito"/>
    </x:font>
    <x:font>
      <x:b/>
      <x:sz val="10"/>
      <x:color rgb="FF1F2933"/>
      <x:name val="Aptos"/>
    </x:font>
    <x:font>
      <x:sz val="10"/>
      <x:color rgb="FF1F2933"/>
      <x:name val="Aptos"/>
    </x:font>
    <x:font>
      <x:b/>
      <x:sz val="18"/>
      <x:color rgb="FFFFFFFF"/>
      <x:name val="Aptos"/>
    </x:font>
    <x:font>
      <x:b/>
      <x:sz val="14"/>
      <x:color rgb="FFFFFFFF"/>
      <x:name val="Aptos"/>
    </x:font>
  </x:fonts>
  <x:fills count="10">
    <x:fill>
      <x:patternFill patternType="none"/>
    </x:fill>
    <x:fill>
      <x:patternFill patternType="gray125"/>
    </x:fill>
    <x:fill>
      <x:patternFill patternType="solid">
        <x:fgColor rgb="FF17324D"/>
      </x:patternFill>
    </x:fill>
    <x:fill>
      <x:patternFill patternType="solid">
        <x:fgColor rgb="FFEAF3FA"/>
      </x:patternFill>
    </x:fill>
    <x:fill>
      <x:patternFill patternType="solid">
        <x:fgColor rgb="FFFFF4CC"/>
      </x:patternFill>
    </x:fill>
    <x:fill>
      <x:patternFill patternType="solid">
        <x:fgColor rgb="FFE8F3E8"/>
      </x:patternFill>
    </x:fill>
    <x:fill>
      <x:patternFill patternType="solid">
        <x:fgColor rgb="FFF1ECF7"/>
      </x:patternFill>
    </x:fill>
    <x:fill>
      <x:patternFill patternType="solid">
        <x:fgColor rgb="FFFDE8E7"/>
      </x:patternFill>
    </x:fill>
    <x:fill>
      <x:patternFill patternType="solid">
        <x:fgColor rgb="FFD9E6F2"/>
      </x:patternFill>
    </x:fill>
    <x:fill>
      <x:patternFill patternType="solid">
        <x:fgColor rgb="FFF5F7F9"/>
      </x:patternFill>
    </x:fill>
  </x:fills>
  <x:borders count="2">
    <x:border/>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3" fillId="2" borderId="0" xfId="0" applyNumberFormat="1" applyFont="1" applyFill="1" applyBorder="1"/>
    <x:xf numFmtId="0" fontId="3" fillId="2" borderId="1"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0" fillId="4" borderId="0" xfId="0" applyNumberFormat="1" applyFont="1" applyFill="1" applyBorder="1"/>
    <x:xf numFmtId="0" fontId="0" fillId="4" borderId="1"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0" fillId="8" borderId="1" xfId="0" applyNumberFormat="1" applyFont="1" applyFill="1" applyBorder="1"/>
    <x:xf numFmtId="0" fontId="2" fillId="8" borderId="1" xfId="0" applyNumberFormat="1" applyFont="1" applyFill="1" applyBorder="1"/>
    <x:xf numFmtId="0" fontId="0" fillId="9" borderId="0" xfId="0" applyNumberFormat="1" applyFont="1" applyFill="1" applyBorder="1"/>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0" fontId="0" fillId="9" borderId="1" xfId="0" applyNumberFormat="1" applyFont="1" applyFill="1" applyBorder="1"/>
    <x:xf numFmtId="0" fontId="0" fillId="9" borderId="1" xfId="0" applyNumberFormat="1" applyFont="1" applyFill="1" applyBorder="1" applyAlignment="1">
      <x:alignment wrapText="1"/>
    </x:xf>
    <x:xf numFmtId="0" fontId="0" fillId="9" borderId="1" xfId="0" applyNumberFormat="1" applyFont="1" applyFill="1" applyBorder="1" applyAlignment="1">
      <x:alignment vertical="top" wrapText="1"/>
    </x:xf>
    <x:xf numFmtId="0" fontId="4" fillId="2" borderId="0" xfId="0" applyNumberFormat="1" applyFont="1" applyFill="1" applyBorder="1"/>
    <x:xf numFmtId="0" fontId="4" fillId="2"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200" fontId="0" fillId="4" borderId="0" xfId="0" applyNumberFormat="1" applyFont="1" applyFill="1" applyBorder="1" applyAlignment="1">
      <x:alignment wrapText="1"/>
    </x:xf>
    <x:xf numFmtId="200" fontId="0" fillId="4" borderId="1" xfId="0" applyNumberFormat="1" applyFont="1" applyFill="1" applyBorder="1" applyAlignment="1">
      <x:alignment wrapText="1"/>
    </x:xf>
    <x:xf numFmtId="201" fontId="0" fillId="4" borderId="0" xfId="0" applyNumberFormat="1" applyFont="1" applyFill="1" applyBorder="1" applyAlignment="1">
      <x:alignment wrapText="1"/>
    </x:xf>
    <x:xf numFmtId="201" fontId="0" fillId="4" borderId="1"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2" fillId="8" borderId="0" xfId="0" applyNumberFormat="1" applyFont="1" applyFill="1" applyBorder="1" applyAlignment="1">
      <x:alignment wrapText="1"/>
    </x:xf>
    <x:xf numFmtId="0" fontId="0" fillId="6" borderId="0" xfId="0" applyNumberFormat="1" applyFont="1" applyFill="1" applyBorder="1" applyAlignment="1">
      <x:alignment wrapText="1"/>
    </x:xf>
    <x:xf numFmtId="0" fontId="2" fillId="8" borderId="1" xfId="0" applyNumberFormat="1" applyFont="1" applyFill="1" applyBorder="1" applyAlignment="1">
      <x:alignment wrapText="1"/>
    </x:xf>
    <x:xf numFmtId="0" fontId="0" fillId="6" borderId="1" xfId="0" applyNumberFormat="1" applyFont="1" applyFill="1" applyBorder="1" applyAlignment="1">
      <x:alignment wrapText="1"/>
    </x:xf>
    <x:xf numFmtId="202" fontId="0" fillId="4" borderId="0" xfId="0" applyNumberFormat="1" applyFont="1" applyFill="1" applyBorder="1"/>
    <x:xf numFmtId="202" fontId="0" fillId="4" borderId="1" xfId="0" applyNumberFormat="1" applyFont="1" applyFill="1" applyBorder="1"/>
    <x:xf numFmtId="203" fontId="0" fillId="4" borderId="0" xfId="0" applyNumberFormat="1" applyFont="1" applyFill="1" applyBorder="1"/>
    <x:xf numFmtId="203" fontId="0" fillId="4" borderId="1" xfId="0" applyNumberFormat="1" applyFont="1" applyFill="1" applyBorder="1"/>
    <x:xf numFmtId="202" fontId="0" fillId="4" borderId="0" xfId="0" applyNumberFormat="1" applyFont="1" applyFill="1" applyBorder="1" applyAlignment="1">
      <x:alignment wrapText="1"/>
    </x:xf>
    <x:xf numFmtId="203" fontId="0" fillId="4" borderId="0" xfId="0" applyNumberFormat="1" applyFont="1" applyFill="1" applyBorder="1" applyAlignment="1">
      <x:alignment wrapText="1"/>
    </x:xf>
    <x:xf numFmtId="202" fontId="0" fillId="4" borderId="1" xfId="0" applyNumberFormat="1" applyFont="1" applyFill="1" applyBorder="1" applyAlignment="1">
      <x:alignment wrapText="1"/>
    </x:xf>
    <x:xf numFmtId="203" fontId="0" fillId="4" borderId="1" xfId="0" applyNumberFormat="1" applyFont="1" applyFill="1" applyBorder="1" applyAlignment="1">
      <x:alignment wrapText="1"/>
    </x:xf>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1" xfId="0" applyNumberFormat="1" applyFont="1" applyFill="1" applyBorder="1"/>
    <x:xf numFmtId="0" fontId="5" fillId="5" borderId="1" xfId="0" applyNumberFormat="1" applyFont="1" applyFill="1" applyBorder="1" applyAlignment="1">
      <x:alignment wrapText="1"/>
    </x:xf>
    <x:xf numFmtId="200" fontId="0" fillId="5" borderId="0" xfId="0" applyNumberFormat="1" applyFont="1" applyFill="1" applyBorder="1" applyAlignment="1">
      <x:alignment wrapText="1"/>
    </x:xf>
    <x:xf numFmtId="200" fontId="0" fillId="5" borderId="1"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6" fillId="2" borderId="0" xfId="0" applyNumberFormat="1" applyFont="1" applyFill="1" applyBorder="1" applyAlignment="1">
      <x:alignment horizontal="center" wrapText="1"/>
    </x:xf>
    <x:xf numFmtId="0" fontId="6" fillId="2" borderId="0" xfId="0" applyNumberFormat="1" applyFont="1" applyFill="1" applyBorder="1" applyAlignment="1">
      <x:alignment horizontal="center"/>
    </x:xf>
    <x:xf numFmtId="0" fontId="7" fillId="0" borderId="0" xfId="0" applyNumberFormat="1" applyFont="1" applyFill="1" applyBorder="1"/>
    <x:xf numFmtId="0" fontId="6" fillId="3" borderId="0" xfId="0" applyNumberFormat="1" applyFont="1" applyFill="1" applyBorder="1" applyAlignment="1">
      <x:alignment horizontal="center" wrapText="1"/>
    </x:xf>
    <x:xf numFmtId="0" fontId="6" fillId="2" borderId="0" xfId="0" applyNumberFormat="1" applyFont="1" applyFill="1" applyBorder="1"/>
    <x:xf numFmtId="0" fontId="7" fillId="4" borderId="0" xfId="0" applyNumberFormat="1" applyFont="1" applyFill="1" applyBorder="1"/>
    <x:xf numFmtId="0" fontId="7" fillId="5" borderId="0" xfId="0" applyNumberFormat="1" applyFont="1" applyFill="1" applyBorder="1"/>
    <x:xf numFmtId="0" fontId="7" fillId="6" borderId="0" xfId="0" applyNumberFormat="1" applyFont="1" applyFill="1" applyBorder="1"/>
    <x:xf numFmtId="0" fontId="7" fillId="7" borderId="0" xfId="0" applyNumberFormat="1" applyFont="1" applyFill="1" applyBorder="1"/>
    <x:xf numFmtId="0" fontId="6" fillId="8" borderId="0" xfId="0" applyNumberFormat="1" applyFont="1" applyFill="1" applyBorder="1"/>
    <x:xf numFmtId="0" fontId="7" fillId="9" borderId="0" xfId="0" applyNumberFormat="1" applyFont="1" applyFill="1" applyBorder="1" applyAlignment="1">
      <x:alignment vertical="top" wrapText="1"/>
    </x:xf>
    <x:xf numFmtId="0" fontId="6" fillId="2" borderId="1" xfId="0" applyNumberFormat="1" applyFont="1" applyFill="1" applyBorder="1" applyAlignment="1">
      <x:alignment horizontal="center" wrapText="1"/>
    </x:xf>
    <x:xf numFmtId="0" fontId="6" fillId="2" borderId="1" xfId="0" applyNumberFormat="1" applyFont="1" applyFill="1" applyBorder="1" applyAlignment="1">
      <x:alignment horizontal="center"/>
    </x:xf>
    <x:xf numFmtId="0" fontId="7" fillId="0" borderId="1" xfId="0" applyNumberFormat="1" applyFont="1" applyFill="1" applyBorder="1"/>
    <x:xf numFmtId="0" fontId="6" fillId="3" borderId="1" xfId="0" applyNumberFormat="1" applyFont="1" applyFill="1" applyBorder="1" applyAlignment="1">
      <x:alignment horizontal="center" wrapText="1"/>
    </x:xf>
    <x:xf numFmtId="0" fontId="6" fillId="2" borderId="1" xfId="0" applyNumberFormat="1" applyFont="1" applyFill="1" applyBorder="1"/>
    <x:xf numFmtId="0" fontId="7" fillId="4" borderId="1" xfId="0" applyNumberFormat="1" applyFont="1" applyFill="1" applyBorder="1"/>
    <x:xf numFmtId="0" fontId="7" fillId="5" borderId="1" xfId="0" applyNumberFormat="1" applyFont="1" applyFill="1" applyBorder="1"/>
    <x:xf numFmtId="0" fontId="7" fillId="6" borderId="1" xfId="0" applyNumberFormat="1" applyFont="1" applyFill="1" applyBorder="1"/>
    <x:xf numFmtId="0" fontId="7" fillId="7" borderId="1" xfId="0" applyNumberFormat="1" applyFont="1" applyFill="1" applyBorder="1"/>
    <x:xf numFmtId="0" fontId="6" fillId="8" borderId="1" xfId="0" applyNumberFormat="1" applyFont="1" applyFill="1" applyBorder="1"/>
    <x:xf numFmtId="0" fontId="7" fillId="9" borderId="1" xfId="0" applyNumberFormat="1" applyFont="1" applyFill="1" applyBorder="1" applyAlignment="1">
      <x:alignment vertical="top" wrapText="1"/>
    </x:xf>
    <x:xf numFmtId="0" fontId="7" fillId="4" borderId="0" xfId="0" applyNumberFormat="1" applyFont="1" applyFill="1" applyBorder="1" applyAlignment="1">
      <x:alignment wrapText="1"/>
    </x:xf>
    <x:xf numFmtId="200" fontId="7" fillId="4" borderId="0" xfId="0" applyNumberFormat="1" applyFont="1" applyFill="1" applyBorder="1" applyAlignment="1">
      <x:alignment wrapText="1"/>
    </x:xf>
    <x:xf numFmtId="201" fontId="7" fillId="4" borderId="0" xfId="0" applyNumberFormat="1" applyFont="1" applyFill="1" applyBorder="1" applyAlignment="1">
      <x:alignment wrapText="1"/>
    </x:xf>
    <x:xf numFmtId="0" fontId="7" fillId="4" borderId="1" xfId="0" applyNumberFormat="1" applyFont="1" applyFill="1" applyBorder="1" applyAlignment="1">
      <x:alignment wrapText="1"/>
    </x:xf>
    <x:xf numFmtId="200" fontId="7" fillId="4" borderId="1" xfId="0" applyNumberFormat="1" applyFont="1" applyFill="1" applyBorder="1" applyAlignment="1">
      <x:alignment wrapText="1"/>
    </x:xf>
    <x:xf numFmtId="201" fontId="7" fillId="4" borderId="1" xfId="0" applyNumberFormat="1" applyFont="1" applyFill="1" applyBorder="1" applyAlignment="1">
      <x:alignment wrapText="1"/>
    </x:xf>
    <x:xf numFmtId="0" fontId="6" fillId="2" borderId="0" xfId="0" applyNumberFormat="1" applyFont="1" applyFill="1" applyBorder="1" applyAlignment="1">
      <x:alignment wrapText="1"/>
    </x:xf>
    <x:xf numFmtId="0" fontId="7" fillId="5" borderId="0" xfId="0" applyNumberFormat="1" applyFont="1" applyFill="1" applyBorder="1" applyAlignment="1">
      <x:alignment wrapText="1"/>
    </x:xf>
    <x:xf numFmtId="0" fontId="6" fillId="2" borderId="1" xfId="0" applyNumberFormat="1" applyFont="1" applyFill="1" applyBorder="1" applyAlignment="1">
      <x:alignment wrapText="1"/>
    </x:xf>
    <x:xf numFmtId="0" fontId="7" fillId="5" borderId="1" xfId="0" applyNumberFormat="1" applyFont="1" applyFill="1" applyBorder="1" applyAlignment="1">
      <x:alignment wrapText="1"/>
    </x:xf>
    <x:xf numFmtId="0" fontId="7" fillId="9" borderId="0" xfId="0" applyNumberFormat="1" applyFont="1" applyFill="1" applyBorder="1" applyAlignment="1">
      <x:alignment wrapText="1"/>
    </x:xf>
    <x:xf numFmtId="0" fontId="7" fillId="9" borderId="1" xfId="0" applyNumberFormat="1" applyFont="1" applyFill="1" applyBorder="1" applyAlignment="1">
      <x:alignment wrapText="1"/>
    </x:xf>
    <x:xf numFmtId="0" fontId="6" fillId="8" borderId="0" xfId="0" applyNumberFormat="1" applyFont="1" applyFill="1" applyBorder="1" applyAlignment="1">
      <x:alignment wrapText="1"/>
    </x:xf>
    <x:xf numFmtId="0" fontId="7" fillId="6" borderId="0" xfId="0" applyNumberFormat="1" applyFont="1" applyFill="1" applyBorder="1" applyAlignment="1">
      <x:alignment wrapText="1"/>
    </x:xf>
    <x:xf numFmtId="0" fontId="6" fillId="8" borderId="1" xfId="0" applyNumberFormat="1" applyFont="1" applyFill="1" applyBorder="1" applyAlignment="1">
      <x:alignment wrapText="1"/>
    </x:xf>
    <x:xf numFmtId="0" fontId="7" fillId="6" borderId="1" xfId="0" applyNumberFormat="1" applyFont="1" applyFill="1" applyBorder="1" applyAlignment="1">
      <x:alignment wrapText="1"/>
    </x:xf>
    <x:xf numFmtId="202" fontId="7" fillId="4" borderId="0" xfId="0" applyNumberFormat="1" applyFont="1" applyFill="1" applyBorder="1" applyAlignment="1">
      <x:alignment wrapText="1"/>
    </x:xf>
    <x:xf numFmtId="203" fontId="7" fillId="4" borderId="0" xfId="0" applyNumberFormat="1" applyFont="1" applyFill="1" applyBorder="1" applyAlignment="1">
      <x:alignment wrapText="1"/>
    </x:xf>
    <x:xf numFmtId="202" fontId="7" fillId="4" borderId="1" xfId="0" applyNumberFormat="1" applyFont="1" applyFill="1" applyBorder="1" applyAlignment="1">
      <x:alignment wrapText="1"/>
    </x:xf>
    <x:xf numFmtId="203" fontId="7" fillId="4" borderId="1"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0" xfId="0" applyNumberFormat="1" applyFont="1" applyFill="1" applyBorder="1"/>
    <x:xf numFmtId="200" fontId="7" fillId="5" borderId="0" xfId="0" applyNumberFormat="1" applyFont="1" applyFill="1" applyBorder="1" applyAlignment="1">
      <x:alignment wrapText="1"/>
    </x:xf>
    <x:xf numFmtId="0" fontId="7" fillId="3" borderId="0" xfId="0" applyNumberFormat="1" applyFont="1" applyFill="1" applyBorder="1" applyAlignment="1">
      <x:alignment vertical="top" wrapText="1"/>
    </x:xf>
    <x:xf numFmtId="0" fontId="6" fillId="5" borderId="1" xfId="0" applyNumberFormat="1" applyFont="1" applyFill="1" applyBorder="1" applyAlignment="1">
      <x:alignment wrapText="1"/>
    </x:xf>
    <x:xf numFmtId="0" fontId="6" fillId="5" borderId="1" xfId="0" applyNumberFormat="1" applyFont="1" applyFill="1" applyBorder="1"/>
    <x:xf numFmtId="200" fontId="7" fillId="5" borderId="1" xfId="0" applyNumberFormat="1" applyFont="1" applyFill="1" applyBorder="1" applyAlignment="1">
      <x:alignment wrapText="1"/>
    </x:xf>
    <x:xf numFmtId="0" fontId="7" fillId="3" borderId="1" xfId="0" applyNumberFormat="1" applyFont="1" applyFill="1" applyBorder="1" applyAlignment="1">
      <x:alignment vertical="top" wrapText="1"/>
    </x:xf>
    <x:xf numFmtId="0" fontId="7" fillId="3" borderId="0" xfId="0" applyNumberFormat="1" applyFont="1" applyFill="1" applyBorder="1" applyAlignment="1">
      <x:alignment wrapText="1"/>
    </x:xf>
    <x:xf numFmtId="0" fontId="7" fillId="3" borderId="1"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x:xf>
    <x:xf numFmtId="0" fontId="8" fillId="2" borderId="1" xfId="0" applyNumberFormat="1" applyFont="1" applyFill="1" applyBorder="1" applyAlignment="1">
      <x:alignment horizontal="center" wrapText="1"/>
    </x:xf>
    <x:xf numFmtId="0" fontId="8" fillId="2" borderId="1" xfId="0" applyNumberFormat="1" applyFont="1" applyFill="1" applyBorder="1" applyAlignment="1">
      <x:alignment horizontal="center"/>
    </x:xf>
    <x:xf numFmtId="0" fontId="9" fillId="2" borderId="0" xfId="0" applyNumberFormat="1" applyFont="1" applyFill="1" applyBorder="1"/>
    <x:xf numFmtId="0" fontId="9" fillId="2" borderId="1" xfId="0" applyNumberFormat="1" applyFont="1" applyFill="1" applyBorder="1"/>
  </x:cellXfs>
  <x:cellStyles count="1">
    <x:cellStyle name="Normal" xfId="0"/>
  </x:cellStyles>
  <x:dxfs count="8">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ont>
        <x:b/>
      </x:font>
      <x:fill>
        <x:patternFill patternType="solid">
          <x:bgColor rgb="FFFCE8B2"/>
        </x:patternFill>
      </x:fill>
    </x:dxf>
    <x:dxf>
      <x:fill>
        <x:patternFill patternType="solid">
          <x:bgColor rgb="FFDDEEDB"/>
        </x:patternFill>
      </x:fill>
    </x:dxf>
    <x:dxf>
      <x:fill>
        <x:patternFill patternType="solid">
          <x:bgColor rgb="FFFCE8B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3b3bfb53f84196" /><Relationship Type="http://schemas.openxmlformats.org/officeDocument/2006/relationships/theme" Target="/xl/theme/theme1.xml" Id="Raf5416a65fda4395" /><Relationship Type="http://schemas.openxmlformats.org/officeDocument/2006/relationships/sharedStrings" Target="/xl/sharedStrings.xml" Id="Rbe1df94cbf7248c6" /><Relationship Type="http://schemas.openxmlformats.org/officeDocument/2006/relationships/worksheet" Target="/xl/worksheets/sheet1.xml" Id="Ra253995645604800" /><Relationship Type="http://schemas.openxmlformats.org/officeDocument/2006/relationships/worksheet" Target="/xl/worksheets/sheet2.xml" Id="R139c81314e0b4269" /><Relationship Type="http://schemas.openxmlformats.org/officeDocument/2006/relationships/worksheet" Target="/xl/worksheets/sheet3.xml" Id="Re48f64fdc6124733" /><Relationship Type="http://schemas.openxmlformats.org/officeDocument/2006/relationships/worksheet" Target="/xl/worksheets/sheet4.xml" Id="R828928a77fcf4a5d" /><Relationship Type="http://schemas.openxmlformats.org/officeDocument/2006/relationships/worksheet" Target="/xl/worksheets/sheet5.xml" Id="R4d54e57cce6c4c57" /><Relationship Type="http://schemas.openxmlformats.org/officeDocument/2006/relationships/worksheet" Target="/xl/worksheets/sheet6.xml" Id="R3a7c9c4d92fa4c1f" /><Relationship Type="http://schemas.openxmlformats.org/officeDocument/2006/relationships/worksheet" Target="/xl/worksheets/sheet7.xml" Id="Ra3d072d045424bb2" /><Relationship Type="http://schemas.openxmlformats.org/officeDocument/2006/relationships/worksheet" Target="/xl/worksheets/sheet8.xml" Id="Ra4b06d25278c4978" /><Relationship Type="http://schemas.openxmlformats.org/officeDocument/2006/relationships/worksheet" Target="/xl/worksheets/sheet9.xml" Id="R071e8c7136204942" /><Relationship Type="http://schemas.openxmlformats.org/officeDocument/2006/relationships/worksheet" Target="/xl/worksheets/sheet10.xml" Id="Ra452406a6254438e" /><Relationship Type="http://schemas.openxmlformats.org/officeDocument/2006/relationships/worksheet" Target="/xl/worksheets/sheet11.xml" Id="R656cb6c9182d4404" /><Relationship Type="http://schemas.openxmlformats.org/officeDocument/2006/relationships/worksheet" Target="/xl/worksheets/sheet12.xml" Id="Rc2fadd7f0ecf4a7d" /><Relationship Type="http://schemas.openxmlformats.org/officeDocument/2006/relationships/worksheet" Target="/xl/worksheets/sheet13.xml" Id="R8594d04d80d140e7" /></Relationships>
</file>

<file path=xl/drawings/_rels/drawing1.xml.rels>&#65279;<?xml version="1.0" encoding="utf-8"?><Relationships xmlns="http://schemas.openxmlformats.org/package/2006/relationships"><Relationship Type="http://schemas.openxmlformats.org/officeDocument/2006/relationships/chart" Target="/xl/drawings/charts/chart1.xml" Id="R2c964f6ed1e64d2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Open QA Items by Category</a:t>
            </a:r>
          </a:p>
        </c:rich>
      </c:tx>
    </c:title>
    <c:plotArea>
      <c:barChart>
        <c:barDir val="col"/>
        <c:varyColors val="0"/>
        <c:ser>
          <c:idx val="0"/>
          <c:order val="0"/>
          <c:tx>
            <c:v>Open Items</c:v>
          </c:tx>
          <c:cat>
            <c:strRef>
              <c:f>'DASHBOARD'!$H$4:$H$8</c:f>
              <c:strCache>
                <c:ptCount val="0"/>
              </c:strCache>
            </c:strRef>
          </c:cat>
          <c:val>
            <c:numRef>
              <c:f>'DASHBOARD'!$I$4:$I$8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10</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c964f6ed1e64d2b"/>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0.xml.rels>&#65279;<?xml version="1.0" encoding="utf-8"?><Relationships xmlns="http://schemas.openxmlformats.org/package/2006/relationships"><Relationship Type="http://schemas.openxmlformats.org/officeDocument/2006/relationships/drawing" Target="/xl/drawings/drawing1.xml" Id="R0e0ee6e4ad504e9b" /></Relationships>
</file>

<file path=xl/worksheets/sheet1.xml><?xml version="1.0" encoding="utf-8"?>
<x:worksheet xmlns:x="http://schemas.openxmlformats.org/spreadsheetml/2006/main">
  <x:sheetFormatPr defaultRowHeight="15"/>
  <x:cols>
    <x:col min="1" max="1" width="8" hidden="0" customWidth="1"/>
    <x:col min="2" max="2" width="24" hidden="0" customWidth="1"/>
    <x:col min="3" max="3" width="74" hidden="0" customWidth="1"/>
    <x:col min="5" max="5" width="18" hidden="0" customWidth="1"/>
    <x:col min="6" max="6" width="34" hidden="0" customWidth="1"/>
  </x:cols>
  <x:sheetData>
    <x:row r="1">
      <x:c r="A1" s="127" t="str">
        <x:v>Quantitative Research &amp; Statistical Analysis Planner</x:v>
      </x:c>
      <x:c r="B1" s="127"/>
      <x:c r="C1" s="127"/>
      <x:c r="D1" s="128"/>
      <x:c r="E1" s="128"/>
      <x:c r="F1" s="128"/>
      <x:c r="G1" s="128"/>
      <x:c r="H1" s="128"/>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78" t="str">
        <x:v>Turn a research question into an explicit quantitative analysis plan, SPSS-ready variable map, assumption checklist, results log, and transparent reporting workflow.</x:v>
      </x:c>
      <x:c r="B3" s="78"/>
      <x:c r="C3" s="78"/>
      <x:c r="D3" s="78"/>
      <x:c r="E3" s="78"/>
      <x:c r="F3" s="78"/>
      <x:c r="G3" s="78"/>
      <x:c r="H3" s="78"/>
      <x:c r="I3" s="77"/>
      <x:c r="J3" s="77"/>
      <x:c r="K3" s="77"/>
      <x:c r="L3" s="77"/>
      <x:c r="M3" s="77"/>
      <x:c r="N3" s="77"/>
      <x:c r="O3" s="77"/>
      <x:c r="P3" s="77"/>
    </x:row>
    <x:row r="4">
      <x:c r="A4" s="77"/>
      <x:c r="B4" s="77"/>
      <x:c r="C4" s="77"/>
      <x:c r="D4" s="77"/>
      <x:c r="E4" s="77"/>
      <x:c r="F4" s="77"/>
      <x:c r="G4" s="77"/>
      <x:c r="H4" s="77"/>
      <x:c r="I4" s="77"/>
      <x:c r="J4" s="77"/>
      <x:c r="K4" s="77"/>
      <x:c r="L4" s="77"/>
      <x:c r="M4" s="77"/>
      <x:c r="N4" s="77"/>
      <x:c r="O4" s="77"/>
      <x:c r="P4" s="77"/>
    </x:row>
    <x:row r="5">
      <x:c r="A5" s="79" t="str">
        <x:v>STEP</x:v>
      </x:c>
      <x:c r="B5" s="79" t="str">
        <x:v>SHEET</x:v>
      </x:c>
      <x:c r="C5" s="79" t="str">
        <x:v>WHAT YOU DO</x:v>
      </x:c>
      <x:c r="D5" s="77"/>
      <x:c r="E5" s="79" t="str">
        <x:v>LABEL</x:v>
      </x:c>
      <x:c r="F5" s="79" t="str">
        <x:v>MEANING</x:v>
      </x:c>
      <x:c r="G5" s="77"/>
      <x:c r="H5" s="77"/>
      <x:c r="I5" s="77"/>
      <x:c r="J5" s="77"/>
      <x:c r="K5" s="77"/>
      <x:c r="L5" s="77"/>
      <x:c r="M5" s="77"/>
      <x:c r="N5" s="77"/>
      <x:c r="O5" s="77"/>
      <x:c r="P5" s="77"/>
    </x:row>
    <x:row r="6">
      <x:c r="A6" s="77" t="str">
        <x:v>1</x:v>
      </x:c>
      <x:c r="B6" s="77" t="str">
        <x:v>STUDY SETUP</x:v>
      </x:c>
      <x:c r="C6" s="77" t="str">
        <x:v>Define the research question, purpose, outcome/predictor types, groups/timepoints, pairing, covariates, alpha, and whether the work is confirmatory or exploratory.</x:v>
      </x:c>
      <x:c r="D6" s="77"/>
      <x:c r="E6" s="80" t="str">
        <x:v>INPUT</x:v>
      </x:c>
      <x:c r="F6" s="80" t="str">
        <x:v>You enter this</x:v>
      </x:c>
      <x:c r="G6" s="77"/>
      <x:c r="H6" s="77"/>
      <x:c r="I6" s="77"/>
      <x:c r="J6" s="77"/>
      <x:c r="K6" s="77"/>
      <x:c r="L6" s="77"/>
      <x:c r="M6" s="77"/>
      <x:c r="N6" s="77"/>
      <x:c r="O6" s="77"/>
      <x:c r="P6" s="77"/>
    </x:row>
    <x:row r="7">
      <x:c r="A7" s="77" t="str">
        <x:v>2</x:v>
      </x:c>
      <x:c r="B7" s="77" t="str">
        <x:v>VARIABLES</x:v>
      </x:c>
      <x:c r="C7" s="77" t="str">
        <x:v>Create an SPSS-ready variable dictionary: names, labels, roles, measurement type, coding, missing-value rules, expected ranges, and derivations.</x:v>
      </x:c>
      <x:c r="D7" s="77"/>
      <x:c r="E7" s="81" t="str">
        <x:v>AUTO</x:v>
      </x:c>
      <x:c r="F7" s="81" t="str">
        <x:v>Calculated or surfaced from your inputs</x:v>
      </x:c>
      <x:c r="G7" s="77"/>
      <x:c r="H7" s="77"/>
      <x:c r="I7" s="77"/>
      <x:c r="J7" s="77"/>
      <x:c r="K7" s="77"/>
      <x:c r="L7" s="77"/>
      <x:c r="M7" s="77"/>
      <x:c r="N7" s="77"/>
      <x:c r="O7" s="77"/>
      <x:c r="P7" s="77"/>
    </x:row>
    <x:row r="8">
      <x:c r="A8" s="77" t="str">
        <x:v>3</x:v>
      </x:c>
      <x:c r="B8" s="77" t="str">
        <x:v>HYPOTHESES</x:v>
      </x:c>
      <x:c r="C8" s="77" t="str">
        <x:v>Separate primary, secondary, exploratory, and descriptive questions; record null/alternative hypotheses and the analysis/effect size planned.</x:v>
      </x:c>
      <x:c r="D8" s="77"/>
      <x:c r="E8" s="82" t="str">
        <x:v>OPTIONAL</x:v>
      </x:c>
      <x:c r="F8" s="82" t="str">
        <x:v>Useful context, not always required</x:v>
      </x:c>
      <x:c r="G8" s="77"/>
      <x:c r="H8" s="77"/>
      <x:c r="I8" s="77"/>
      <x:c r="J8" s="77"/>
      <x:c r="K8" s="77"/>
      <x:c r="L8" s="77"/>
      <x:c r="M8" s="77"/>
      <x:c r="N8" s="77"/>
      <x:c r="O8" s="77"/>
      <x:c r="P8" s="77"/>
    </x:row>
    <x:row r="9">
      <x:c r="A9" s="77" t="str">
        <x:v>4</x:v>
      </x:c>
      <x:c r="B9" s="77" t="str">
        <x:v>ANALYSIS ROUTER</x:v>
      </x:c>
      <x:c r="C9" s="77" t="str">
        <x:v>Use the study-design inputs to surface a candidate analysis and the assumptions that must be checked. Treat this as a routing aid, not an automatic statistical decision.</x:v>
      </x:c>
      <x:c r="D9" s="77"/>
      <x:c r="E9" s="83" t="str">
        <x:v>ACTION NEEDED</x:v>
      </x:c>
      <x:c r="F9" s="83" t="str">
        <x:v>Resolve or review before interpretation</x:v>
      </x:c>
      <x:c r="G9" s="77"/>
      <x:c r="H9" s="77"/>
      <x:c r="I9" s="77"/>
      <x:c r="J9" s="77"/>
      <x:c r="K9" s="77"/>
      <x:c r="L9" s="77"/>
      <x:c r="M9" s="77"/>
      <x:c r="N9" s="77"/>
      <x:c r="O9" s="77"/>
      <x:c r="P9" s="77"/>
    </x:row>
    <x:row r="10">
      <x:c r="A10" s="77" t="str">
        <x:v>5</x:v>
      </x:c>
      <x:c r="B10" s="77" t="str">
        <x:v>DATA QA PLAN</x:v>
      </x:c>
      <x:c r="C10" s="77" t="str">
        <x:v>Predefine exclusions, missing-data handling, range checks, outlier review, transformations, duplicate checks, and robustness analyses.</x:v>
      </x:c>
      <x:c r="D10" s="77"/>
      <x:c r="E10" s="77"/>
      <x:c r="F10" s="77"/>
      <x:c r="G10" s="77"/>
      <x:c r="H10" s="77"/>
      <x:c r="I10" s="77"/>
      <x:c r="J10" s="77"/>
      <x:c r="K10" s="77"/>
      <x:c r="L10" s="77"/>
      <x:c r="M10" s="77"/>
      <x:c r="N10" s="77"/>
      <x:c r="O10" s="77"/>
      <x:c r="P10" s="77"/>
    </x:row>
    <x:row r="11">
      <x:c r="A11" s="77" t="str">
        <x:v>6</x:v>
      </x:c>
      <x:c r="B11" s="77" t="str">
        <x:v>ASSUMPTIONS</x:v>
      </x:c>
      <x:c r="C11" s="77" t="str">
        <x:v>Track independence, distributional, variance, linearity, cell-count, multicollinearity, and other assumptions relevant to the planned model.</x:v>
      </x:c>
      <x:c r="D11" s="77"/>
      <x:c r="E11" s="84" t="str">
        <x:v>Statistical interpretation standard</x:v>
      </x:c>
      <x:c r="F11" s="84"/>
      <x:c r="G11" s="84"/>
      <x:c r="H11" s="84"/>
      <x:c r="I11" s="77"/>
      <x:c r="J11" s="77"/>
      <x:c r="K11" s="77"/>
      <x:c r="L11" s="77"/>
      <x:c r="M11" s="77"/>
      <x:c r="N11" s="77"/>
      <x:c r="O11" s="77"/>
      <x:c r="P11" s="77"/>
    </x:row>
    <x:row r="12">
      <x:c r="A12" s="77" t="str">
        <x:v>7</x:v>
      </x:c>
      <x:c r="B12" s="77" t="str">
        <x:v>RESULTS LOG</x:v>
      </x:c>
      <x:c r="C12" s="77" t="str">
        <x:v>Record N, statistic, df, p, effect size, confidence interval, direction, adjustment, assumption issues, and a qualified interpretation.</x:v>
      </x:c>
      <x:c r="D12" s="77"/>
      <x:c r="E12" s="85" t="str">
        <x:v>The workbook helps plan, document, and quality-check analysis. It does not replace statistical software, subject-matter judgment, or a statistician when the design is complex. A p-value is not the probability that a hypothesis is true and should not be used as the sole measure of scientific or practical importance. Report the study design, data quality, estimate/effect size, uncertainty, diagnostics, and limitations together.</x:v>
      </x:c>
      <x:c r="F12" s="85"/>
      <x:c r="G12" s="85"/>
      <x:c r="H12" s="85"/>
      <x:c r="I12" s="77"/>
      <x:c r="J12" s="77"/>
      <x:c r="K12" s="77"/>
      <x:c r="L12" s="77"/>
      <x:c r="M12" s="77"/>
      <x:c r="N12" s="77"/>
      <x:c r="O12" s="77"/>
      <x:c r="P12" s="77"/>
    </x:row>
    <x:row r="13">
      <x:c r="A13" s="77" t="str">
        <x:v>8</x:v>
      </x:c>
      <x:c r="B13" s="77" t="str">
        <x:v>REPORTING CHECKLIST</x:v>
      </x:c>
      <x:c r="C13" s="77" t="str">
        <x:v>Check transparency: sample flow, measures, exclusions, diagnostics, primary/secondary/exploratory labeling, effect sizes, confidence intervals, and reproducibility.</x:v>
      </x:c>
      <x:c r="D13" s="77"/>
      <x:c r="E13" s="85"/>
      <x:c r="F13" s="85"/>
      <x:c r="G13" s="85"/>
      <x:c r="H13" s="85"/>
      <x:c r="I13" s="77"/>
      <x:c r="J13" s="77"/>
      <x:c r="K13" s="77"/>
      <x:c r="L13" s="77"/>
      <x:c r="M13" s="77"/>
      <x:c r="N13" s="77"/>
      <x:c r="O13" s="77"/>
      <x:c r="P13" s="77"/>
    </x:row>
    <x:row r="14">
      <x:c r="A14" s="77" t="str">
        <x:v>9</x:v>
      </x:c>
      <x:c r="B14" s="77" t="str">
        <x:v>DASHBOARD</x:v>
      </x:c>
      <x:c r="C14" s="77" t="str">
        <x:v>See unresolved design, variable, hypothesis, assumption, results, and reporting issues at a glance.</x:v>
      </x:c>
      <x:c r="D14" s="77"/>
      <x:c r="E14" s="85"/>
      <x:c r="F14" s="85"/>
      <x:c r="G14" s="85"/>
      <x:c r="H14" s="85"/>
      <x:c r="I14" s="77"/>
      <x:c r="J14" s="77"/>
      <x:c r="K14" s="77"/>
      <x:c r="L14" s="77"/>
      <x:c r="M14" s="77"/>
      <x:c r="N14" s="77"/>
      <x:c r="O14" s="77"/>
      <x:c r="P14" s="77"/>
    </x:row>
    <x:row r="15">
      <x:c r="A15" s="77"/>
      <x:c r="B15" s="77"/>
      <x:c r="C15" s="77"/>
      <x:c r="D15" s="77"/>
      <x:c r="E15" s="85"/>
      <x:c r="F15" s="85"/>
      <x:c r="G15" s="85"/>
      <x:c r="H15" s="85"/>
      <x:c r="I15" s="77"/>
      <x:c r="J15" s="77"/>
      <x:c r="K15" s="77"/>
      <x:c r="L15" s="77"/>
      <x:c r="M15" s="77"/>
      <x:c r="N15" s="77"/>
      <x:c r="O15" s="77"/>
      <x:c r="P15" s="77"/>
    </x:row>
    <x:row r="16">
      <x:c r="A16" s="77"/>
      <x:c r="B16" s="77"/>
      <x:c r="C16" s="77"/>
      <x:c r="D16" s="77"/>
      <x:c r="E16" s="85"/>
      <x:c r="F16" s="85"/>
      <x:c r="G16" s="85"/>
      <x:c r="H16" s="85"/>
      <x:c r="I16" s="77"/>
      <x:c r="J16" s="77"/>
      <x:c r="K16" s="77"/>
      <x:c r="L16" s="77"/>
      <x:c r="M16" s="77"/>
      <x:c r="N16" s="77"/>
      <x:c r="O16" s="77"/>
      <x:c r="P16" s="77"/>
    </x:row>
    <x:row r="17">
      <x:c r="A17" s="77"/>
      <x:c r="B17" s="77"/>
      <x:c r="C17" s="77"/>
      <x:c r="D17" s="77"/>
      <x:c r="E17" s="85"/>
      <x:c r="F17" s="85"/>
      <x:c r="G17" s="85"/>
      <x:c r="H17" s="85"/>
      <x:c r="I17" s="77"/>
      <x:c r="J17" s="77"/>
      <x:c r="K17" s="77"/>
      <x:c r="L17" s="77"/>
      <x:c r="M17" s="77"/>
      <x:c r="N17" s="77"/>
      <x:c r="O17" s="77"/>
      <x:c r="P17" s="77"/>
    </x:row>
    <x:row r="18">
      <x:c r="A18" s="77"/>
      <x:c r="B18" s="77"/>
      <x:c r="C18" s="77"/>
      <x:c r="D18" s="77"/>
      <x:c r="E18" s="85"/>
      <x:c r="F18" s="85"/>
      <x:c r="G18" s="85"/>
      <x:c r="H18" s="85"/>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H1"/>
    <x:mergeCell ref="A3:H3"/>
    <x:mergeCell ref="E11:H11"/>
    <x:mergeCell ref="E12:H18"/>
  </x:mergeCells>
  <x:pageMargins left="0.7" right="0.7" top="0.75" bottom="0.75" header="0.3" footer="0.3"/>
</x:worksheet>
</file>

<file path=xl/worksheets/sheet2.xml><?xml version="1.0" encoding="utf-8"?>
<x:worksheet xmlns:x="http://schemas.openxmlformats.org/spreadsheetml/2006/main">
  <x:sheetFormatPr defaultRowHeight="15"/>
  <x:cols>
    <x:col min="1" max="1" width="36" hidden="0" customWidth="1"/>
    <x:col min="2" max="2" width="64" hidden="0" customWidth="1"/>
    <x:col min="4" max="4" width="32" hidden="0" customWidth="1"/>
    <x:col min="5" max="5" width="24" hidden="0" customWidth="1"/>
  </x:cols>
  <x:sheetData>
    <x:row r="1">
      <x:c r="A1" s="131" t="str">
        <x:v>STUDY SETUP — define the question and design before choosing the test</x:v>
      </x:c>
      <x:c r="B1" s="131"/>
      <x:c r="C1" s="131"/>
      <x:c r="D1" s="131"/>
      <x:c r="E1" s="131"/>
      <x:c r="F1" s="131"/>
      <x:c r="G1" s="77"/>
      <x:c r="H1" s="77"/>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84" t="str">
        <x:v>Study / Project Name</x:v>
      </x:c>
      <x:c r="B3" s="97" t="str"/>
      <x:c r="C3" s="77"/>
      <x:c r="D3" s="79" t="str">
        <x:v>AUTO CHECK</x:v>
      </x:c>
      <x:c r="E3" s="79" t="str">
        <x:v>RESULT</x:v>
      </x:c>
      <x:c r="F3" s="77"/>
      <x:c r="G3" s="77"/>
      <x:c r="H3" s="77"/>
      <x:c r="I3" s="77"/>
      <x:c r="J3" s="77"/>
      <x:c r="K3" s="77"/>
      <x:c r="L3" s="77"/>
      <x:c r="M3" s="77"/>
      <x:c r="N3" s="77"/>
      <x:c r="O3" s="77"/>
      <x:c r="P3" s="77"/>
    </x:row>
    <x:row r="4">
      <x:c r="A4" s="84" t="str">
        <x:v>Research Question</x:v>
      </x:c>
      <x:c r="B4" s="97" t="str"/>
      <x:c r="C4" s="77"/>
      <x:c r="D4" s="84" t="str">
        <x:v>Question entered</x:v>
      </x:c>
      <x:c r="E4" s="81" t="str">
        <x:f>IF(B4="","ACTION NEEDED","OK")</x:f>
        <x:v>ACTION NEEDED</x:v>
      </x:c>
      <x:c r="F4" s="77"/>
      <x:c r="G4" s="77"/>
      <x:c r="H4" s="77"/>
      <x:c r="I4" s="77"/>
      <x:c r="J4" s="77"/>
      <x:c r="K4" s="77"/>
      <x:c r="L4" s="77"/>
      <x:c r="M4" s="77"/>
      <x:c r="N4" s="77"/>
      <x:c r="O4" s="77"/>
      <x:c r="P4" s="77"/>
    </x:row>
    <x:row r="5">
      <x:c r="A5" s="84" t="str">
        <x:v>Purpose</x:v>
      </x:c>
      <x:c r="B5" s="97" t="str">
        <x:v>Compare</x:v>
      </x:c>
      <x:c r="C5" s="77"/>
      <x:c r="D5" s="84" t="str">
        <x:v>Purpose entered</x:v>
      </x:c>
      <x:c r="E5" s="81" t="str">
        <x:f>IF(B5="","ACTION NEEDED","OK")</x:f>
        <x:v>OK</x:v>
      </x:c>
      <x:c r="F5" s="77"/>
      <x:c r="G5" s="77"/>
      <x:c r="H5" s="77"/>
      <x:c r="I5" s="77"/>
      <x:c r="J5" s="77"/>
      <x:c r="K5" s="77"/>
      <x:c r="L5" s="77"/>
      <x:c r="M5" s="77"/>
      <x:c r="N5" s="77"/>
      <x:c r="O5" s="77"/>
      <x:c r="P5" s="77"/>
    </x:row>
    <x:row r="6">
      <x:c r="A6" s="84" t="str">
        <x:v>Outcome Variable Type</x:v>
      </x:c>
      <x:c r="B6" s="97" t="str">
        <x:v>Continuous</x:v>
      </x:c>
      <x:c r="C6" s="77"/>
      <x:c r="D6" s="84" t="str">
        <x:v>Outcome type entered</x:v>
      </x:c>
      <x:c r="E6" s="81" t="str">
        <x:f>IF(B6="","ACTION NEEDED","OK")</x:f>
        <x:v>OK</x:v>
      </x:c>
      <x:c r="F6" s="77"/>
      <x:c r="G6" s="77"/>
      <x:c r="H6" s="77"/>
      <x:c r="I6" s="77"/>
      <x:c r="J6" s="77"/>
      <x:c r="K6" s="77"/>
      <x:c r="L6" s="77"/>
      <x:c r="M6" s="77"/>
      <x:c r="N6" s="77"/>
      <x:c r="O6" s="77"/>
      <x:c r="P6" s="77"/>
    </x:row>
    <x:row r="7">
      <x:c r="A7" s="84" t="str">
        <x:v>Predictor / Group Variable Type</x:v>
      </x:c>
      <x:c r="B7" s="97" t="str">
        <x:v>Nominal</x:v>
      </x:c>
      <x:c r="C7" s="77"/>
      <x:c r="D7" s="84" t="str">
        <x:v>Group/time structure plausible</x:v>
      </x:c>
      <x:c r="E7" s="81" t="str">
        <x:f>IF(AND(B8&gt;=1,B9&gt;=1),"OK","ACTION NEEDED")</x:f>
        <x:v>OK</x:v>
      </x:c>
      <x:c r="F7" s="77"/>
      <x:c r="G7" s="77"/>
      <x:c r="H7" s="77"/>
      <x:c r="I7" s="77"/>
      <x:c r="J7" s="77"/>
      <x:c r="K7" s="77"/>
      <x:c r="L7" s="77"/>
      <x:c r="M7" s="77"/>
      <x:c r="N7" s="77"/>
      <x:c r="O7" s="77"/>
      <x:c r="P7" s="77"/>
    </x:row>
    <x:row r="8">
      <x:c r="A8" s="84" t="str">
        <x:v>Number of Groups / Conditions</x:v>
      </x:c>
      <x:c r="B8" s="97" t="n">
        <x:v>2</x:v>
      </x:c>
      <x:c r="C8" s="77"/>
      <x:c r="D8" s="84" t="str">
        <x:v>Alpha plausible</x:v>
      </x:c>
      <x:c r="E8" s="81" t="str">
        <x:f>IF(AND(B13&gt;0,B13&lt;0.2),"OK","REVIEW")</x:f>
        <x:v>OK</x:v>
      </x:c>
      <x:c r="F8" s="77"/>
      <x:c r="G8" s="77"/>
      <x:c r="H8" s="77"/>
      <x:c r="I8" s="77"/>
      <x:c r="J8" s="77"/>
      <x:c r="K8" s="77"/>
      <x:c r="L8" s="77"/>
      <x:c r="M8" s="77"/>
      <x:c r="N8" s="77"/>
      <x:c r="O8" s="77"/>
      <x:c r="P8" s="77"/>
    </x:row>
    <x:row r="9">
      <x:c r="A9" s="84" t="str">
        <x:v>Number of Timepoints / Repeated Measures</x:v>
      </x:c>
      <x:c r="B9" s="97" t="n">
        <x:v>1</x:v>
      </x:c>
      <x:c r="C9" s="77"/>
      <x:c r="D9" s="84" t="str">
        <x:v>Power target plausible</x:v>
      </x:c>
      <x:c r="E9" s="81" t="str">
        <x:f>IF(AND(B14&gt;=0.7,B14&lt;1),"OK","REVIEW")</x:f>
        <x:v>OK</x:v>
      </x:c>
      <x:c r="F9" s="77"/>
      <x:c r="G9" s="77"/>
      <x:c r="H9" s="77"/>
      <x:c r="I9" s="77"/>
      <x:c r="J9" s="77"/>
      <x:c r="K9" s="77"/>
      <x:c r="L9" s="77"/>
      <x:c r="M9" s="77"/>
      <x:c r="N9" s="77"/>
      <x:c r="O9" s="77"/>
      <x:c r="P9" s="77"/>
    </x:row>
    <x:row r="10">
      <x:c r="A10" s="84" t="str">
        <x:v>Paired / Repeated Observations?</x:v>
      </x:c>
      <x:c r="B10" s="97" t="str">
        <x:v>No</x:v>
      </x:c>
      <x:c r="C10" s="77"/>
      <x:c r="D10" s="84" t="str">
        <x:v>Sample size entered</x:v>
      </x:c>
      <x:c r="E10" s="81" t="str">
        <x:f>IF(B15&gt;0,"OK","ACTION NEEDED")</x:f>
        <x:v>ACTION NEEDED</x:v>
      </x:c>
      <x:c r="F10" s="77"/>
      <x:c r="G10" s="77"/>
      <x:c r="H10" s="77"/>
      <x:c r="I10" s="77"/>
      <x:c r="J10" s="77"/>
      <x:c r="K10" s="77"/>
      <x:c r="L10" s="77"/>
      <x:c r="M10" s="77"/>
      <x:c r="N10" s="77"/>
      <x:c r="O10" s="77"/>
      <x:c r="P10" s="77"/>
    </x:row>
    <x:row r="11">
      <x:c r="A11" s="84" t="str">
        <x:v>Covariates / Controls Planned?</x:v>
      </x:c>
      <x:c r="B11" s="97" t="str">
        <x:v>No</x:v>
      </x:c>
      <x:c r="C11" s="77"/>
      <x:c r="D11" s="84" t="str">
        <x:v>Setup status</x:v>
      </x:c>
      <x:c r="E11" s="81" t="str">
        <x:f>IF(COUNTIF(E4:E10,"ACTION NEEDED")&gt;0,"ACTION NEEDED",IF(COUNTIF(E4:E10,"REVIEW")&gt;0,"REVIEW","READY FOR ANALYSIS MAP"))</x:f>
        <x:v>ACTION NEEDED</x:v>
      </x:c>
      <x:c r="F11" s="77"/>
      <x:c r="G11" s="77"/>
      <x:c r="H11" s="77"/>
      <x:c r="I11" s="77"/>
      <x:c r="J11" s="77"/>
      <x:c r="K11" s="77"/>
      <x:c r="L11" s="77"/>
      <x:c r="M11" s="77"/>
      <x:c r="N11" s="77"/>
      <x:c r="O11" s="77"/>
      <x:c r="P11" s="77"/>
    </x:row>
    <x:row r="12">
      <x:c r="A12" s="84" t="str">
        <x:v>Primary or Exploratory?</x:v>
      </x:c>
      <x:c r="B12" s="97" t="str">
        <x:v>Primary</x:v>
      </x:c>
      <x:c r="C12" s="77"/>
      <x:c r="D12" s="77"/>
      <x:c r="E12" s="77"/>
      <x:c r="F12" s="77"/>
      <x:c r="G12" s="77"/>
      <x:c r="H12" s="77"/>
      <x:c r="I12" s="77"/>
      <x:c r="J12" s="77"/>
      <x:c r="K12" s="77"/>
      <x:c r="L12" s="77"/>
      <x:c r="M12" s="77"/>
      <x:c r="N12" s="77"/>
      <x:c r="O12" s="77"/>
      <x:c r="P12" s="77"/>
    </x:row>
    <x:row r="13">
      <x:c r="A13" s="84" t="str">
        <x:v>Two-Sided Alpha</x:v>
      </x:c>
      <x:c r="B13" s="98" t="n">
        <x:v>0.05</x:v>
      </x:c>
      <x:c r="C13" s="77"/>
      <x:c r="D13" s="77"/>
      <x:c r="E13" s="77"/>
      <x:c r="F13" s="77"/>
      <x:c r="G13" s="77"/>
      <x:c r="H13" s="77"/>
      <x:c r="I13" s="77"/>
      <x:c r="J13" s="77"/>
      <x:c r="K13" s="77"/>
      <x:c r="L13" s="77"/>
      <x:c r="M13" s="77"/>
      <x:c r="N13" s="77"/>
      <x:c r="O13" s="77"/>
      <x:c r="P13" s="77"/>
    </x:row>
    <x:row r="14">
      <x:c r="A14" s="84" t="str">
        <x:v>Desired Power (planning target)</x:v>
      </x:c>
      <x:c r="B14" s="98" t="n">
        <x:v>0.8</x:v>
      </x:c>
      <x:c r="C14" s="77"/>
      <x:c r="D14" s="77"/>
      <x:c r="E14" s="77"/>
      <x:c r="F14" s="77"/>
      <x:c r="G14" s="77"/>
      <x:c r="H14" s="77"/>
      <x:c r="I14" s="77"/>
      <x:c r="J14" s="77"/>
      <x:c r="K14" s="77"/>
      <x:c r="L14" s="77"/>
      <x:c r="M14" s="77"/>
      <x:c r="N14" s="77"/>
      <x:c r="O14" s="77"/>
      <x:c r="P14" s="77"/>
    </x:row>
    <x:row r="15">
      <x:c r="A15" s="84" t="str">
        <x:v>Planned Sample Size</x:v>
      </x:c>
      <x:c r="B15" s="97" t="n">
        <x:v>0</x:v>
      </x:c>
      <x:c r="C15" s="77"/>
      <x:c r="D15" s="77"/>
      <x:c r="E15" s="77"/>
      <x:c r="F15" s="77"/>
      <x:c r="G15" s="77"/>
      <x:c r="H15" s="77"/>
      <x:c r="I15" s="77"/>
      <x:c r="J15" s="77"/>
      <x:c r="K15" s="77"/>
      <x:c r="L15" s="77"/>
      <x:c r="M15" s="77"/>
      <x:c r="N15" s="77"/>
      <x:c r="O15" s="77"/>
      <x:c r="P15" s="77"/>
    </x:row>
    <x:row r="16">
      <x:c r="A16" s="84" t="str">
        <x:v>Expected Attrition / Exclusion %</x:v>
      </x:c>
      <x:c r="B16" s="99" t="n">
        <x:v>0.1</x:v>
      </x:c>
      <x:c r="C16" s="77"/>
      <x:c r="D16" s="77"/>
      <x:c r="E16" s="77"/>
      <x:c r="F16" s="77"/>
      <x:c r="G16" s="77"/>
      <x:c r="H16" s="77"/>
      <x:c r="I16" s="77"/>
      <x:c r="J16" s="77"/>
      <x:c r="K16" s="77"/>
      <x:c r="L16" s="77"/>
      <x:c r="M16" s="77"/>
      <x:c r="N16" s="77"/>
      <x:c r="O16" s="77"/>
      <x:c r="P16" s="77"/>
    </x:row>
    <x:row r="17">
      <x:c r="A17" s="84" t="str">
        <x:v>Preregistration / Analysis Plan URL</x:v>
      </x:c>
      <x:c r="B17" s="97" t="str"/>
      <x:c r="C17" s="77"/>
      <x:c r="D17" s="77"/>
      <x:c r="E17" s="77"/>
      <x:c r="F17" s="77"/>
      <x:c r="G17" s="77"/>
      <x:c r="H17" s="77"/>
      <x:c r="I17" s="77"/>
      <x:c r="J17" s="77"/>
      <x:c r="K17" s="77"/>
      <x:c r="L17" s="77"/>
      <x:c r="M17" s="77"/>
      <x:c r="N17" s="77"/>
      <x:c r="O17" s="77"/>
      <x:c r="P17" s="77"/>
    </x:row>
    <x:row r="18">
      <x:c r="A18" s="84" t="str">
        <x:v>Notes / Design Constraints</x:v>
      </x:c>
      <x:c r="B18" s="97" t="str"/>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F1"/>
  </x:mergeCells>
  <x:conditionalFormatting sqref="E4:E11">
    <x:cfRule type="expression" dxfId="0" priority="1">
      <x:formula>OR(E4="ACTION NEEDED",E4="REVIEW")</x:formula>
    </x:cfRule>
  </x:conditionalFormatting>
  <x:dataValidations count="4">
    <x:dataValidation type="list" sqref="B5">
      <x:formula1>_LISTS!$A$2:$A$5</x:formula1>
    </x:dataValidation>
    <x:dataValidation type="list" sqref="B6:B7">
      <x:formula1>_LISTS!$B$2:$B$7</x:formula1>
    </x:dataValidation>
    <x:dataValidation type="list" sqref="B10:B11">
      <x:formula1>_LISTS!$D$2:$D$4</x:formula1>
    </x:dataValidation>
    <x:dataValidation type="list" sqref="B12">
      <x:formula1>_LISTS!$E$2:$E$5</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4" hidden="0" customWidth="1"/>
    <x:col min="3" max="3" width="20" hidden="0" customWidth="1"/>
    <x:col min="4" max="4" width="16" hidden="0" customWidth="1"/>
    <x:col min="5" max="5" width="30" hidden="0" customWidth="1"/>
    <x:col min="6" max="6" width="24" hidden="0" customWidth="1"/>
    <x:col min="7" max="7" width="12" hidden="0" customWidth="1"/>
    <x:col min="8" max="8" width="12" hidden="0" customWidth="1"/>
    <x:col min="9" max="9" width="16" hidden="0" customWidth="1"/>
    <x:col min="10" max="10" width="12" hidden="0" customWidth="1"/>
    <x:col min="11" max="11" width="34" hidden="0" customWidth="1"/>
    <x:col min="12" max="12" width="18" hidden="0" customWidth="1"/>
  </x:cols>
  <x:sheetData>
    <x:row r="1">
      <x:c r="A1" s="131" t="str">
        <x:v>VARIABLES — SPSS-ready dictionary and measurement map</x:v>
      </x:c>
      <x:c r="B1" s="131"/>
      <x:c r="C1" s="131"/>
      <x:c r="D1" s="131"/>
      <x:c r="E1" s="131"/>
      <x:c r="F1" s="131"/>
      <x:c r="G1" s="131"/>
      <x:c r="H1" s="131"/>
      <x:c r="I1" s="131"/>
      <x:c r="J1" s="131"/>
      <x:c r="K1" s="131"/>
      <x:c r="L1" s="131"/>
      <x:c r="M1" s="77"/>
      <x:c r="N1" s="77"/>
      <x:c r="O1" s="77"/>
      <x:c r="P1" s="77"/>
    </x:row>
    <x:row r="2">
      <x:c r="A2" s="77"/>
      <x:c r="B2" s="77"/>
      <x:c r="C2" s="77"/>
      <x:c r="D2" s="77"/>
      <x:c r="E2" s="77"/>
      <x:c r="F2" s="77"/>
      <x:c r="G2" s="77"/>
      <x:c r="H2" s="77"/>
      <x:c r="I2" s="77"/>
      <x:c r="J2" s="77"/>
      <x:c r="K2" s="77"/>
      <x:c r="L2" s="77"/>
      <x:c r="M2" s="77"/>
      <x:c r="N2" s="77"/>
      <x:c r="O2" s="77"/>
      <x:c r="P2" s="77"/>
    </x:row>
    <x:row r="3">
      <x:c r="A3" s="103" t="str">
        <x:v>Variable Name</x:v>
      </x:c>
      <x:c r="B3" s="103" t="str">
        <x:v>Variable Label</x:v>
      </x:c>
      <x:c r="C3" s="103" t="str">
        <x:v>Role</x:v>
      </x:c>
      <x:c r="D3" s="103" t="str">
        <x:v>Type</x:v>
      </x:c>
      <x:c r="E3" s="103" t="str">
        <x:v>Values / Coding</x:v>
      </x:c>
      <x:c r="F3" s="103" t="str">
        <x:v>Missing-Value Rule</x:v>
      </x:c>
      <x:c r="G3" s="103" t="str">
        <x:v>Expected Min</x:v>
      </x:c>
      <x:c r="H3" s="103" t="str">
        <x:v>Expected Max</x:v>
      </x:c>
      <x:c r="I3" s="103" t="str">
        <x:v>Reverse Scored?</x:v>
      </x:c>
      <x:c r="J3" s="103" t="str">
        <x:v>Derived?</x:v>
      </x:c>
      <x:c r="K3" s="103" t="str">
        <x:v>Source / Instrument</x:v>
      </x:c>
      <x:c r="L3" s="103" t="str">
        <x:v>Row QA</x:v>
      </x:c>
      <x:c r="M3" s="77"/>
      <x:c r="N3" s="77"/>
      <x:c r="O3" s="77"/>
      <x:c r="P3" s="77"/>
    </x:row>
    <x:row r="4">
      <x:c r="A4" s="97"/>
      <x:c r="B4" s="97"/>
      <x:c r="C4" s="97"/>
      <x:c r="D4" s="97"/>
      <x:c r="E4" s="97"/>
      <x:c r="F4" s="97"/>
      <x:c r="G4" s="97"/>
      <x:c r="H4" s="97"/>
      <x:c r="I4" s="97"/>
      <x:c r="J4" s="97"/>
      <x:c r="K4" s="97"/>
      <x:c r="L4" s="104" t="str">
        <x:f>IF(A4="","",IF(OR(B4="",C4="",D4=""),"ACTION NEEDED",IF(AND(D4="Continuous",OR(G4="",H4="")),"ADD RANGE",IF(AND(OR(D4="Binary",D4="Nominal",D4="Ordinal"),E4=""),"ADD CODING","OK"))))</x:f>
      </x:c>
      <x:c r="M4" s="77"/>
      <x:c r="N4" s="77"/>
      <x:c r="O4" s="77"/>
      <x:c r="P4" s="77"/>
    </x:row>
    <x:row r="5">
      <x:c r="A5" s="97"/>
      <x:c r="B5" s="97"/>
      <x:c r="C5" s="97"/>
      <x:c r="D5" s="97"/>
      <x:c r="E5" s="97"/>
      <x:c r="F5" s="97"/>
      <x:c r="G5" s="97"/>
      <x:c r="H5" s="97"/>
      <x:c r="I5" s="97"/>
      <x:c r="J5" s="97"/>
      <x:c r="K5" s="97"/>
      <x:c r="L5" s="104" t="str">
        <x:f>IF(A5="","",IF(OR(B5="",C5="",D5=""),"ACTION NEEDED",IF(AND(D5="Continuous",OR(G5="",H5="")),"ADD RANGE",IF(AND(OR(D5="Binary",D5="Nominal",D5="Ordinal"),E5=""),"ADD CODING","OK"))))</x:f>
      </x:c>
      <x:c r="M5" s="77"/>
      <x:c r="N5" s="77"/>
      <x:c r="O5" s="77"/>
      <x:c r="P5" s="77"/>
    </x:row>
    <x:row r="6">
      <x:c r="A6" s="97"/>
      <x:c r="B6" s="97"/>
      <x:c r="C6" s="97"/>
      <x:c r="D6" s="97"/>
      <x:c r="E6" s="97"/>
      <x:c r="F6" s="97"/>
      <x:c r="G6" s="97"/>
      <x:c r="H6" s="97"/>
      <x:c r="I6" s="97"/>
      <x:c r="J6" s="97"/>
      <x:c r="K6" s="97"/>
      <x:c r="L6" s="104" t="str">
        <x:f>IF(A6="","",IF(OR(B6="",C6="",D6=""),"ACTION NEEDED",IF(AND(D6="Continuous",OR(G6="",H6="")),"ADD RANGE",IF(AND(OR(D6="Binary",D6="Nominal",D6="Ordinal"),E6=""),"ADD CODING","OK"))))</x:f>
      </x:c>
      <x:c r="M6" s="77"/>
      <x:c r="N6" s="77"/>
      <x:c r="O6" s="77"/>
      <x:c r="P6" s="77"/>
    </x:row>
    <x:row r="7">
      <x:c r="A7" s="97"/>
      <x:c r="B7" s="97"/>
      <x:c r="C7" s="97"/>
      <x:c r="D7" s="97"/>
      <x:c r="E7" s="97"/>
      <x:c r="F7" s="97"/>
      <x:c r="G7" s="97"/>
      <x:c r="H7" s="97"/>
      <x:c r="I7" s="97"/>
      <x:c r="J7" s="97"/>
      <x:c r="K7" s="97"/>
      <x:c r="L7" s="104" t="str">
        <x:f>IF(A7="","",IF(OR(B7="",C7="",D7=""),"ACTION NEEDED",IF(AND(D7="Continuous",OR(G7="",H7="")),"ADD RANGE",IF(AND(OR(D7="Binary",D7="Nominal",D7="Ordinal"),E7=""),"ADD CODING","OK"))))</x:f>
      </x:c>
      <x:c r="M7" s="77"/>
      <x:c r="N7" s="77"/>
      <x:c r="O7" s="77"/>
      <x:c r="P7" s="77"/>
    </x:row>
    <x:row r="8">
      <x:c r="A8" s="97"/>
      <x:c r="B8" s="97"/>
      <x:c r="C8" s="97"/>
      <x:c r="D8" s="97"/>
      <x:c r="E8" s="97"/>
      <x:c r="F8" s="97"/>
      <x:c r="G8" s="97"/>
      <x:c r="H8" s="97"/>
      <x:c r="I8" s="97"/>
      <x:c r="J8" s="97"/>
      <x:c r="K8" s="97"/>
      <x:c r="L8" s="104" t="str">
        <x:f>IF(A8="","",IF(OR(B8="",C8="",D8=""),"ACTION NEEDED",IF(AND(D8="Continuous",OR(G8="",H8="")),"ADD RANGE",IF(AND(OR(D8="Binary",D8="Nominal",D8="Ordinal"),E8=""),"ADD CODING","OK"))))</x:f>
      </x:c>
      <x:c r="M8" s="77"/>
      <x:c r="N8" s="77"/>
      <x:c r="O8" s="77"/>
      <x:c r="P8" s="77"/>
    </x:row>
    <x:row r="9">
      <x:c r="A9" s="97"/>
      <x:c r="B9" s="97"/>
      <x:c r="C9" s="97"/>
      <x:c r="D9" s="97"/>
      <x:c r="E9" s="97"/>
      <x:c r="F9" s="97"/>
      <x:c r="G9" s="97"/>
      <x:c r="H9" s="97"/>
      <x:c r="I9" s="97"/>
      <x:c r="J9" s="97"/>
      <x:c r="K9" s="97"/>
      <x:c r="L9" s="104" t="str">
        <x:f>IF(A9="","",IF(OR(B9="",C9="",D9=""),"ACTION NEEDED",IF(AND(D9="Continuous",OR(G9="",H9="")),"ADD RANGE",IF(AND(OR(D9="Binary",D9="Nominal",D9="Ordinal"),E9=""),"ADD CODING","OK"))))</x:f>
      </x:c>
      <x:c r="M9" s="77"/>
      <x:c r="N9" s="77"/>
      <x:c r="O9" s="77"/>
      <x:c r="P9" s="77"/>
    </x:row>
    <x:row r="10">
      <x:c r="A10" s="97"/>
      <x:c r="B10" s="97"/>
      <x:c r="C10" s="97"/>
      <x:c r="D10" s="97"/>
      <x:c r="E10" s="97"/>
      <x:c r="F10" s="97"/>
      <x:c r="G10" s="97"/>
      <x:c r="H10" s="97"/>
      <x:c r="I10" s="97"/>
      <x:c r="J10" s="97"/>
      <x:c r="K10" s="97"/>
      <x:c r="L10" s="104" t="str">
        <x:f>IF(A10="","",IF(OR(B10="",C10="",D10=""),"ACTION NEEDED",IF(AND(D10="Continuous",OR(G10="",H10="")),"ADD RANGE",IF(AND(OR(D10="Binary",D10="Nominal",D10="Ordinal"),E10=""),"ADD CODING","OK"))))</x:f>
      </x:c>
      <x:c r="M10" s="77"/>
      <x:c r="N10" s="77"/>
      <x:c r="O10" s="77"/>
      <x:c r="P10" s="77"/>
    </x:row>
    <x:row r="11">
      <x:c r="A11" s="97"/>
      <x:c r="B11" s="97"/>
      <x:c r="C11" s="97"/>
      <x:c r="D11" s="97"/>
      <x:c r="E11" s="97"/>
      <x:c r="F11" s="97"/>
      <x:c r="G11" s="97"/>
      <x:c r="H11" s="97"/>
      <x:c r="I11" s="97"/>
      <x:c r="J11" s="97"/>
      <x:c r="K11" s="97"/>
      <x:c r="L11" s="104" t="str">
        <x:f>IF(A11="","",IF(OR(B11="",C11="",D11=""),"ACTION NEEDED",IF(AND(D11="Continuous",OR(G11="",H11="")),"ADD RANGE",IF(AND(OR(D11="Binary",D11="Nominal",D11="Ordinal"),E11=""),"ADD CODING","OK"))))</x:f>
      </x:c>
      <x:c r="M11" s="77"/>
      <x:c r="N11" s="77"/>
      <x:c r="O11" s="77"/>
      <x:c r="P11" s="77"/>
    </x:row>
    <x:row r="12">
      <x:c r="A12" s="97"/>
      <x:c r="B12" s="97"/>
      <x:c r="C12" s="97"/>
      <x:c r="D12" s="97"/>
      <x:c r="E12" s="97"/>
      <x:c r="F12" s="97"/>
      <x:c r="G12" s="97"/>
      <x:c r="H12" s="97"/>
      <x:c r="I12" s="97"/>
      <x:c r="J12" s="97"/>
      <x:c r="K12" s="97"/>
      <x:c r="L12" s="104" t="str">
        <x:f>IF(A12="","",IF(OR(B12="",C12="",D12=""),"ACTION NEEDED",IF(AND(D12="Continuous",OR(G12="",H12="")),"ADD RANGE",IF(AND(OR(D12="Binary",D12="Nominal",D12="Ordinal"),E12=""),"ADD CODING","OK"))))</x:f>
      </x:c>
      <x:c r="M12" s="77"/>
      <x:c r="N12" s="77"/>
      <x:c r="O12" s="77"/>
      <x:c r="P12" s="77"/>
    </x:row>
    <x:row r="13">
      <x:c r="A13" s="97"/>
      <x:c r="B13" s="97"/>
      <x:c r="C13" s="97"/>
      <x:c r="D13" s="97"/>
      <x:c r="E13" s="97"/>
      <x:c r="F13" s="97"/>
      <x:c r="G13" s="97"/>
      <x:c r="H13" s="97"/>
      <x:c r="I13" s="97"/>
      <x:c r="J13" s="97"/>
      <x:c r="K13" s="97"/>
      <x:c r="L13" s="104" t="str">
        <x:f>IF(A13="","",IF(OR(B13="",C13="",D13=""),"ACTION NEEDED",IF(AND(D13="Continuous",OR(G13="",H13="")),"ADD RANGE",IF(AND(OR(D13="Binary",D13="Nominal",D13="Ordinal"),E13=""),"ADD CODING","OK"))))</x:f>
      </x:c>
      <x:c r="M13" s="77"/>
      <x:c r="N13" s="77"/>
      <x:c r="O13" s="77"/>
      <x:c r="P13" s="77"/>
    </x:row>
    <x:row r="14">
      <x:c r="A14" s="97"/>
      <x:c r="B14" s="97"/>
      <x:c r="C14" s="97"/>
      <x:c r="D14" s="97"/>
      <x:c r="E14" s="97"/>
      <x:c r="F14" s="97"/>
      <x:c r="G14" s="97"/>
      <x:c r="H14" s="97"/>
      <x:c r="I14" s="97"/>
      <x:c r="J14" s="97"/>
      <x:c r="K14" s="97"/>
      <x:c r="L14" s="104" t="str">
        <x:f>IF(A14="","",IF(OR(B14="",C14="",D14=""),"ACTION NEEDED",IF(AND(D14="Continuous",OR(G14="",H14="")),"ADD RANGE",IF(AND(OR(D14="Binary",D14="Nominal",D14="Ordinal"),E14=""),"ADD CODING","OK"))))</x:f>
      </x:c>
      <x:c r="M14" s="77"/>
      <x:c r="N14" s="77"/>
      <x:c r="O14" s="77"/>
      <x:c r="P14" s="77"/>
    </x:row>
    <x:row r="15">
      <x:c r="A15" s="97"/>
      <x:c r="B15" s="97"/>
      <x:c r="C15" s="97"/>
      <x:c r="D15" s="97"/>
      <x:c r="E15" s="97"/>
      <x:c r="F15" s="97"/>
      <x:c r="G15" s="97"/>
      <x:c r="H15" s="97"/>
      <x:c r="I15" s="97"/>
      <x:c r="J15" s="97"/>
      <x:c r="K15" s="97"/>
      <x:c r="L15" s="104" t="str">
        <x:f>IF(A15="","",IF(OR(B15="",C15="",D15=""),"ACTION NEEDED",IF(AND(D15="Continuous",OR(G15="",H15="")),"ADD RANGE",IF(AND(OR(D15="Binary",D15="Nominal",D15="Ordinal"),E15=""),"ADD CODING","OK"))))</x:f>
      </x:c>
      <x:c r="M15" s="77"/>
      <x:c r="N15" s="77"/>
      <x:c r="O15" s="77"/>
      <x:c r="P15" s="77"/>
    </x:row>
    <x:row r="16">
      <x:c r="A16" s="97"/>
      <x:c r="B16" s="97"/>
      <x:c r="C16" s="97"/>
      <x:c r="D16" s="97"/>
      <x:c r="E16" s="97"/>
      <x:c r="F16" s="97"/>
      <x:c r="G16" s="97"/>
      <x:c r="H16" s="97"/>
      <x:c r="I16" s="97"/>
      <x:c r="J16" s="97"/>
      <x:c r="K16" s="97"/>
      <x:c r="L16" s="104" t="str">
        <x:f>IF(A16="","",IF(OR(B16="",C16="",D16=""),"ACTION NEEDED",IF(AND(D16="Continuous",OR(G16="",H16="")),"ADD RANGE",IF(AND(OR(D16="Binary",D16="Nominal",D16="Ordinal"),E16=""),"ADD CODING","OK"))))</x:f>
      </x:c>
      <x:c r="M16" s="77"/>
      <x:c r="N16" s="77"/>
      <x:c r="O16" s="77"/>
      <x:c r="P16" s="77"/>
    </x:row>
    <x:row r="17">
      <x:c r="A17" s="97"/>
      <x:c r="B17" s="97"/>
      <x:c r="C17" s="97"/>
      <x:c r="D17" s="97"/>
      <x:c r="E17" s="97"/>
      <x:c r="F17" s="97"/>
      <x:c r="G17" s="97"/>
      <x:c r="H17" s="97"/>
      <x:c r="I17" s="97"/>
      <x:c r="J17" s="97"/>
      <x:c r="K17" s="97"/>
      <x:c r="L17" s="104" t="str">
        <x:f>IF(A17="","",IF(OR(B17="",C17="",D17=""),"ACTION NEEDED",IF(AND(D17="Continuous",OR(G17="",H17="")),"ADD RANGE",IF(AND(OR(D17="Binary",D17="Nominal",D17="Ordinal"),E17=""),"ADD CODING","OK"))))</x:f>
      </x:c>
      <x:c r="M17" s="77"/>
      <x:c r="N17" s="77"/>
      <x:c r="O17" s="77"/>
      <x:c r="P17" s="77"/>
    </x:row>
    <x:row r="18">
      <x:c r="A18" s="97"/>
      <x:c r="B18" s="97"/>
      <x:c r="C18" s="97"/>
      <x:c r="D18" s="97"/>
      <x:c r="E18" s="97"/>
      <x:c r="F18" s="97"/>
      <x:c r="G18" s="97"/>
      <x:c r="H18" s="97"/>
      <x:c r="I18" s="97"/>
      <x:c r="J18" s="97"/>
      <x:c r="K18" s="97"/>
      <x:c r="L18" s="104" t="str">
        <x:f>IF(A18="","",IF(OR(B18="",C18="",D18=""),"ACTION NEEDED",IF(AND(D18="Continuous",OR(G18="",H18="")),"ADD RANGE",IF(AND(OR(D18="Binary",D18="Nominal",D18="Ordinal"),E18=""),"ADD CODING","OK"))))</x:f>
      </x:c>
      <x:c r="M18" s="77"/>
      <x:c r="N18" s="77"/>
      <x:c r="O18" s="77"/>
      <x:c r="P18" s="77"/>
    </x:row>
    <x:row r="19">
      <x:c r="A19" s="97"/>
      <x:c r="B19" s="97"/>
      <x:c r="C19" s="97"/>
      <x:c r="D19" s="97"/>
      <x:c r="E19" s="97"/>
      <x:c r="F19" s="97"/>
      <x:c r="G19" s="97"/>
      <x:c r="H19" s="97"/>
      <x:c r="I19" s="97"/>
      <x:c r="J19" s="97"/>
      <x:c r="K19" s="97"/>
      <x:c r="L19" s="104" t="str">
        <x:f>IF(A19="","",IF(OR(B19="",C19="",D19=""),"ACTION NEEDED",IF(AND(D19="Continuous",OR(G19="",H19="")),"ADD RANGE",IF(AND(OR(D19="Binary",D19="Nominal",D19="Ordinal"),E19=""),"ADD CODING","OK"))))</x:f>
      </x:c>
      <x:c r="M19" s="77"/>
      <x:c r="N19" s="77"/>
      <x:c r="O19" s="77"/>
      <x:c r="P19" s="77"/>
    </x:row>
    <x:row r="20">
      <x:c r="A20" s="97"/>
      <x:c r="B20" s="97"/>
      <x:c r="C20" s="97"/>
      <x:c r="D20" s="97"/>
      <x:c r="E20" s="97"/>
      <x:c r="F20" s="97"/>
      <x:c r="G20" s="97"/>
      <x:c r="H20" s="97"/>
      <x:c r="I20" s="97"/>
      <x:c r="J20" s="97"/>
      <x:c r="K20" s="97"/>
      <x:c r="L20" s="104" t="str">
        <x:f>IF(A20="","",IF(OR(B20="",C20="",D20=""),"ACTION NEEDED",IF(AND(D20="Continuous",OR(G20="",H20="")),"ADD RANGE",IF(AND(OR(D20="Binary",D20="Nominal",D20="Ordinal"),E20=""),"ADD CODING","OK"))))</x:f>
      </x:c>
      <x:c r="M20" s="77"/>
      <x:c r="N20" s="77"/>
      <x:c r="O20" s="77"/>
      <x:c r="P20" s="77"/>
    </x:row>
    <x:row r="21">
      <x:c r="A21" s="97"/>
      <x:c r="B21" s="97"/>
      <x:c r="C21" s="97"/>
      <x:c r="D21" s="97"/>
      <x:c r="E21" s="97"/>
      <x:c r="F21" s="97"/>
      <x:c r="G21" s="97"/>
      <x:c r="H21" s="97"/>
      <x:c r="I21" s="97"/>
      <x:c r="J21" s="97"/>
      <x:c r="K21" s="97"/>
      <x:c r="L21" s="104" t="str">
        <x:f>IF(A21="","",IF(OR(B21="",C21="",D21=""),"ACTION NEEDED",IF(AND(D21="Continuous",OR(G21="",H21="")),"ADD RANGE",IF(AND(OR(D21="Binary",D21="Nominal",D21="Ordinal"),E21=""),"ADD CODING","OK"))))</x:f>
      </x:c>
      <x:c r="M21" s="77"/>
      <x:c r="N21" s="77"/>
      <x:c r="O21" s="77"/>
      <x:c r="P21" s="77"/>
    </x:row>
    <x:row r="22">
      <x:c r="A22" s="97"/>
      <x:c r="B22" s="97"/>
      <x:c r="C22" s="97"/>
      <x:c r="D22" s="97"/>
      <x:c r="E22" s="97"/>
      <x:c r="F22" s="97"/>
      <x:c r="G22" s="97"/>
      <x:c r="H22" s="97"/>
      <x:c r="I22" s="97"/>
      <x:c r="J22" s="97"/>
      <x:c r="K22" s="97"/>
      <x:c r="L22" s="104" t="str">
        <x:f>IF(A22="","",IF(OR(B22="",C22="",D22=""),"ACTION NEEDED",IF(AND(D22="Continuous",OR(G22="",H22="")),"ADD RANGE",IF(AND(OR(D22="Binary",D22="Nominal",D22="Ordinal"),E22=""),"ADD CODING","OK"))))</x:f>
      </x:c>
      <x:c r="M22" s="77"/>
      <x:c r="N22" s="77"/>
      <x:c r="O22" s="77"/>
      <x:c r="P22" s="77"/>
    </x:row>
    <x:row r="23">
      <x:c r="A23" s="97"/>
      <x:c r="B23" s="97"/>
      <x:c r="C23" s="97"/>
      <x:c r="D23" s="97"/>
      <x:c r="E23" s="97"/>
      <x:c r="F23" s="97"/>
      <x:c r="G23" s="97"/>
      <x:c r="H23" s="97"/>
      <x:c r="I23" s="97"/>
      <x:c r="J23" s="97"/>
      <x:c r="K23" s="97"/>
      <x:c r="L23" s="104" t="str">
        <x:f>IF(A23="","",IF(OR(B23="",C23="",D23=""),"ACTION NEEDED",IF(AND(D23="Continuous",OR(G23="",H23="")),"ADD RANGE",IF(AND(OR(D23="Binary",D23="Nominal",D23="Ordinal"),E23=""),"ADD CODING","OK"))))</x:f>
      </x:c>
      <x:c r="M23" s="77"/>
      <x:c r="N23" s="77"/>
      <x:c r="O23" s="77"/>
      <x:c r="P23" s="77"/>
    </x:row>
    <x:row r="24">
      <x:c r="A24" s="97"/>
      <x:c r="B24" s="97"/>
      <x:c r="C24" s="97"/>
      <x:c r="D24" s="97"/>
      <x:c r="E24" s="97"/>
      <x:c r="F24" s="97"/>
      <x:c r="G24" s="97"/>
      <x:c r="H24" s="97"/>
      <x:c r="I24" s="97"/>
      <x:c r="J24" s="97"/>
      <x:c r="K24" s="97"/>
      <x:c r="L24" s="104" t="str">
        <x:f>IF(A24="","",IF(OR(B24="",C24="",D24=""),"ACTION NEEDED",IF(AND(D24="Continuous",OR(G24="",H24="")),"ADD RANGE",IF(AND(OR(D24="Binary",D24="Nominal",D24="Ordinal"),E24=""),"ADD CODING","OK"))))</x:f>
      </x:c>
      <x:c r="M24" s="77"/>
      <x:c r="N24" s="77"/>
      <x:c r="O24" s="77"/>
      <x:c r="P24" s="77"/>
    </x:row>
    <x:row r="25">
      <x:c r="A25" s="97"/>
      <x:c r="B25" s="97"/>
      <x:c r="C25" s="97"/>
      <x:c r="D25" s="97"/>
      <x:c r="E25" s="97"/>
      <x:c r="F25" s="97"/>
      <x:c r="G25" s="97"/>
      <x:c r="H25" s="97"/>
      <x:c r="I25" s="97"/>
      <x:c r="J25" s="97"/>
      <x:c r="K25" s="97"/>
      <x:c r="L25" s="104" t="str">
        <x:f>IF(A25="","",IF(OR(B25="",C25="",D25=""),"ACTION NEEDED",IF(AND(D25="Continuous",OR(G25="",H25="")),"ADD RANGE",IF(AND(OR(D25="Binary",D25="Nominal",D25="Ordinal"),E25=""),"ADD CODING","OK"))))</x:f>
      </x:c>
      <x:c r="M25" s="77"/>
      <x:c r="N25" s="77"/>
      <x:c r="O25" s="77"/>
      <x:c r="P25" s="77"/>
    </x:row>
    <x:row r="26">
      <x:c r="A26" s="97"/>
      <x:c r="B26" s="97"/>
      <x:c r="C26" s="97"/>
      <x:c r="D26" s="97"/>
      <x:c r="E26" s="97"/>
      <x:c r="F26" s="97"/>
      <x:c r="G26" s="97"/>
      <x:c r="H26" s="97"/>
      <x:c r="I26" s="97"/>
      <x:c r="J26" s="97"/>
      <x:c r="K26" s="97"/>
      <x:c r="L26" s="104" t="str">
        <x:f>IF(A26="","",IF(OR(B26="",C26="",D26=""),"ACTION NEEDED",IF(AND(D26="Continuous",OR(G26="",H26="")),"ADD RANGE",IF(AND(OR(D26="Binary",D26="Nominal",D26="Ordinal"),E26=""),"ADD CODING","OK"))))</x:f>
      </x:c>
      <x:c r="M26" s="77"/>
      <x:c r="N26" s="77"/>
      <x:c r="O26" s="77"/>
      <x:c r="P26" s="77"/>
    </x:row>
    <x:row r="27">
      <x:c r="A27" s="97"/>
      <x:c r="B27" s="97"/>
      <x:c r="C27" s="97"/>
      <x:c r="D27" s="97"/>
      <x:c r="E27" s="97"/>
      <x:c r="F27" s="97"/>
      <x:c r="G27" s="97"/>
      <x:c r="H27" s="97"/>
      <x:c r="I27" s="97"/>
      <x:c r="J27" s="97"/>
      <x:c r="K27" s="97"/>
      <x:c r="L27" s="104" t="str">
        <x:f>IF(A27="","",IF(OR(B27="",C27="",D27=""),"ACTION NEEDED",IF(AND(D27="Continuous",OR(G27="",H27="")),"ADD RANGE",IF(AND(OR(D27="Binary",D27="Nominal",D27="Ordinal"),E27=""),"ADD CODING","OK"))))</x:f>
      </x:c>
      <x:c r="M27" s="77"/>
      <x:c r="N27" s="77"/>
      <x:c r="O27" s="77"/>
      <x:c r="P27" s="77"/>
    </x:row>
    <x:row r="28">
      <x:c r="A28" s="97"/>
      <x:c r="B28" s="97"/>
      <x:c r="C28" s="97"/>
      <x:c r="D28" s="97"/>
      <x:c r="E28" s="97"/>
      <x:c r="F28" s="97"/>
      <x:c r="G28" s="97"/>
      <x:c r="H28" s="97"/>
      <x:c r="I28" s="97"/>
      <x:c r="J28" s="97"/>
      <x:c r="K28" s="97"/>
      <x:c r="L28" s="104" t="str">
        <x:f>IF(A28="","",IF(OR(B28="",C28="",D28=""),"ACTION NEEDED",IF(AND(D28="Continuous",OR(G28="",H28="")),"ADD RANGE",IF(AND(OR(D28="Binary",D28="Nominal",D28="Ordinal"),E28=""),"ADD CODING","OK"))))</x:f>
      </x:c>
      <x:c r="M28" s="77"/>
      <x:c r="N28" s="77"/>
      <x:c r="O28" s="77"/>
      <x:c r="P28" s="77"/>
    </x:row>
    <x:row r="29">
      <x:c r="A29" s="97"/>
      <x:c r="B29" s="97"/>
      <x:c r="C29" s="97"/>
      <x:c r="D29" s="97"/>
      <x:c r="E29" s="97"/>
      <x:c r="F29" s="97"/>
      <x:c r="G29" s="97"/>
      <x:c r="H29" s="97"/>
      <x:c r="I29" s="97"/>
      <x:c r="J29" s="97"/>
      <x:c r="K29" s="97"/>
      <x:c r="L29" s="104" t="str">
        <x:f>IF(A29="","",IF(OR(B29="",C29="",D29=""),"ACTION NEEDED",IF(AND(D29="Continuous",OR(G29="",H29="")),"ADD RANGE",IF(AND(OR(D29="Binary",D29="Nominal",D29="Ordinal"),E29=""),"ADD CODING","OK"))))</x:f>
      </x:c>
      <x:c r="M29" s="77"/>
      <x:c r="N29" s="77"/>
      <x:c r="O29" s="77"/>
      <x:c r="P29" s="77"/>
    </x:row>
    <x:row r="30">
      <x:c r="A30" s="97"/>
      <x:c r="B30" s="97"/>
      <x:c r="C30" s="97"/>
      <x:c r="D30" s="97"/>
      <x:c r="E30" s="97"/>
      <x:c r="F30" s="97"/>
      <x:c r="G30" s="97"/>
      <x:c r="H30" s="97"/>
      <x:c r="I30" s="97"/>
      <x:c r="J30" s="97"/>
      <x:c r="K30" s="97"/>
      <x:c r="L30" s="104" t="str">
        <x:f>IF(A30="","",IF(OR(B30="",C30="",D30=""),"ACTION NEEDED",IF(AND(D30="Continuous",OR(G30="",H30="")),"ADD RANGE",IF(AND(OR(D30="Binary",D30="Nominal",D30="Ordinal"),E30=""),"ADD CODING","OK"))))</x:f>
      </x:c>
      <x:c r="M30" s="77"/>
      <x:c r="N30" s="77"/>
      <x:c r="O30" s="77"/>
      <x:c r="P30" s="77"/>
    </x:row>
    <x:row r="31">
      <x:c r="A31" s="97"/>
      <x:c r="B31" s="97"/>
      <x:c r="C31" s="97"/>
      <x:c r="D31" s="97"/>
      <x:c r="E31" s="97"/>
      <x:c r="F31" s="97"/>
      <x:c r="G31" s="97"/>
      <x:c r="H31" s="97"/>
      <x:c r="I31" s="97"/>
      <x:c r="J31" s="97"/>
      <x:c r="K31" s="97"/>
      <x:c r="L31" s="104" t="str">
        <x:f>IF(A31="","",IF(OR(B31="",C31="",D31=""),"ACTION NEEDED",IF(AND(D31="Continuous",OR(G31="",H31="")),"ADD RANGE",IF(AND(OR(D31="Binary",D31="Nominal",D31="Ordinal"),E31=""),"ADD CODING","OK"))))</x:f>
      </x:c>
      <x:c r="M31" s="77"/>
      <x:c r="N31" s="77"/>
      <x:c r="O31" s="77"/>
      <x:c r="P31" s="77"/>
    </x:row>
    <x:row r="32">
      <x:c r="A32" s="97"/>
      <x:c r="B32" s="97"/>
      <x:c r="C32" s="97"/>
      <x:c r="D32" s="97"/>
      <x:c r="E32" s="97"/>
      <x:c r="F32" s="97"/>
      <x:c r="G32" s="97"/>
      <x:c r="H32" s="97"/>
      <x:c r="I32" s="97"/>
      <x:c r="J32" s="97"/>
      <x:c r="K32" s="97"/>
      <x:c r="L32" s="104" t="str">
        <x:f>IF(A32="","",IF(OR(B32="",C32="",D32=""),"ACTION NEEDED",IF(AND(D32="Continuous",OR(G32="",H32="")),"ADD RANGE",IF(AND(OR(D32="Binary",D32="Nominal",D32="Ordinal"),E32=""),"ADD CODING","OK"))))</x:f>
      </x:c>
      <x:c r="M32" s="77"/>
      <x:c r="N32" s="77"/>
      <x:c r="O32" s="77"/>
      <x:c r="P32" s="77"/>
    </x:row>
    <x:row r="33">
      <x:c r="A33" s="97"/>
      <x:c r="B33" s="97"/>
      <x:c r="C33" s="97"/>
      <x:c r="D33" s="97"/>
      <x:c r="E33" s="97"/>
      <x:c r="F33" s="97"/>
      <x:c r="G33" s="97"/>
      <x:c r="H33" s="97"/>
      <x:c r="I33" s="97"/>
      <x:c r="J33" s="97"/>
      <x:c r="K33" s="97"/>
      <x:c r="L33" s="104" t="str">
        <x:f>IF(A33="","",IF(OR(B33="",C33="",D33=""),"ACTION NEEDED",IF(AND(D33="Continuous",OR(G33="",H33="")),"ADD RANGE",IF(AND(OR(D33="Binary",D33="Nominal",D33="Ordinal"),E33=""),"ADD CODING","OK"))))</x:f>
      </x:c>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L1"/>
  </x:mergeCells>
  <x:conditionalFormatting sqref="L4:L33">
    <x:cfRule type="expression" dxfId="1" priority="1">
      <x:formula>$L4&lt;&gt;"OK"</x:formula>
    </x:cfRule>
  </x:conditionalFormatting>
  <x:dataValidations count="90">
    <x:dataValidation type="list" sqref="C4">
      <x:formula1>_LISTS!$C$2:$C$5</x:formula1>
    </x:dataValidation>
    <x:dataValidation type="list" sqref="D4">
      <x:formula1>_LISTS!$B$2:$B$7</x:formula1>
    </x:dataValidation>
    <x:dataValidation type="list" sqref="I4:J4">
      <x:formula1>_LISTS!$D$2:$D$4</x:formula1>
    </x:dataValidation>
    <x:dataValidation type="list" sqref="C5">
      <x:formula1>_LISTS!$C$2:$C$5</x:formula1>
    </x:dataValidation>
    <x:dataValidation type="list" sqref="D5">
      <x:formula1>_LISTS!$B$2:$B$7</x:formula1>
    </x:dataValidation>
    <x:dataValidation type="list" sqref="I5:J5">
      <x:formula1>_LISTS!$D$2:$D$4</x:formula1>
    </x:dataValidation>
    <x:dataValidation type="list" sqref="C6">
      <x:formula1>_LISTS!$C$2:$C$5</x:formula1>
    </x:dataValidation>
    <x:dataValidation type="list" sqref="D6">
      <x:formula1>_LISTS!$B$2:$B$7</x:formula1>
    </x:dataValidation>
    <x:dataValidation type="list" sqref="I6:J6">
      <x:formula1>_LISTS!$D$2:$D$4</x:formula1>
    </x:dataValidation>
    <x:dataValidation type="list" sqref="C7">
      <x:formula1>_LISTS!$C$2:$C$5</x:formula1>
    </x:dataValidation>
    <x:dataValidation type="list" sqref="D7">
      <x:formula1>_LISTS!$B$2:$B$7</x:formula1>
    </x:dataValidation>
    <x:dataValidation type="list" sqref="I7:J7">
      <x:formula1>_LISTS!$D$2:$D$4</x:formula1>
    </x:dataValidation>
    <x:dataValidation type="list" sqref="C8">
      <x:formula1>_LISTS!$C$2:$C$5</x:formula1>
    </x:dataValidation>
    <x:dataValidation type="list" sqref="D8">
      <x:formula1>_LISTS!$B$2:$B$7</x:formula1>
    </x:dataValidation>
    <x:dataValidation type="list" sqref="I8:J8">
      <x:formula1>_LISTS!$D$2:$D$4</x:formula1>
    </x:dataValidation>
    <x:dataValidation type="list" sqref="C9">
      <x:formula1>_LISTS!$C$2:$C$5</x:formula1>
    </x:dataValidation>
    <x:dataValidation type="list" sqref="D9">
      <x:formula1>_LISTS!$B$2:$B$7</x:formula1>
    </x:dataValidation>
    <x:dataValidation type="list" sqref="I9:J9">
      <x:formula1>_LISTS!$D$2:$D$4</x:formula1>
    </x:dataValidation>
    <x:dataValidation type="list" sqref="C10">
      <x:formula1>_LISTS!$C$2:$C$5</x:formula1>
    </x:dataValidation>
    <x:dataValidation type="list" sqref="D10">
      <x:formula1>_LISTS!$B$2:$B$7</x:formula1>
    </x:dataValidation>
    <x:dataValidation type="list" sqref="I10:J10">
      <x:formula1>_LISTS!$D$2:$D$4</x:formula1>
    </x:dataValidation>
    <x:dataValidation type="list" sqref="C11">
      <x:formula1>_LISTS!$C$2:$C$5</x:formula1>
    </x:dataValidation>
    <x:dataValidation type="list" sqref="D11">
      <x:formula1>_LISTS!$B$2:$B$7</x:formula1>
    </x:dataValidation>
    <x:dataValidation type="list" sqref="I11:J11">
      <x:formula1>_LISTS!$D$2:$D$4</x:formula1>
    </x:dataValidation>
    <x:dataValidation type="list" sqref="C12">
      <x:formula1>_LISTS!$C$2:$C$5</x:formula1>
    </x:dataValidation>
    <x:dataValidation type="list" sqref="D12">
      <x:formula1>_LISTS!$B$2:$B$7</x:formula1>
    </x:dataValidation>
    <x:dataValidation type="list" sqref="I12:J12">
      <x:formula1>_LISTS!$D$2:$D$4</x:formula1>
    </x:dataValidation>
    <x:dataValidation type="list" sqref="C13">
      <x:formula1>_LISTS!$C$2:$C$5</x:formula1>
    </x:dataValidation>
    <x:dataValidation type="list" sqref="D13">
      <x:formula1>_LISTS!$B$2:$B$7</x:formula1>
    </x:dataValidation>
    <x:dataValidation type="list" sqref="I13:J13">
      <x:formula1>_LISTS!$D$2:$D$4</x:formula1>
    </x:dataValidation>
    <x:dataValidation type="list" sqref="C14">
      <x:formula1>_LISTS!$C$2:$C$5</x:formula1>
    </x:dataValidation>
    <x:dataValidation type="list" sqref="D14">
      <x:formula1>_LISTS!$B$2:$B$7</x:formula1>
    </x:dataValidation>
    <x:dataValidation type="list" sqref="I14:J14">
      <x:formula1>_LISTS!$D$2:$D$4</x:formula1>
    </x:dataValidation>
    <x:dataValidation type="list" sqref="C15">
      <x:formula1>_LISTS!$C$2:$C$5</x:formula1>
    </x:dataValidation>
    <x:dataValidation type="list" sqref="D15">
      <x:formula1>_LISTS!$B$2:$B$7</x:formula1>
    </x:dataValidation>
    <x:dataValidation type="list" sqref="I15:J15">
      <x:formula1>_LISTS!$D$2:$D$4</x:formula1>
    </x:dataValidation>
    <x:dataValidation type="list" sqref="C16">
      <x:formula1>_LISTS!$C$2:$C$5</x:formula1>
    </x:dataValidation>
    <x:dataValidation type="list" sqref="D16">
      <x:formula1>_LISTS!$B$2:$B$7</x:formula1>
    </x:dataValidation>
    <x:dataValidation type="list" sqref="I16:J16">
      <x:formula1>_LISTS!$D$2:$D$4</x:formula1>
    </x:dataValidation>
    <x:dataValidation type="list" sqref="C17">
      <x:formula1>_LISTS!$C$2:$C$5</x:formula1>
    </x:dataValidation>
    <x:dataValidation type="list" sqref="D17">
      <x:formula1>_LISTS!$B$2:$B$7</x:formula1>
    </x:dataValidation>
    <x:dataValidation type="list" sqref="I17:J17">
      <x:formula1>_LISTS!$D$2:$D$4</x:formula1>
    </x:dataValidation>
    <x:dataValidation type="list" sqref="C18">
      <x:formula1>_LISTS!$C$2:$C$5</x:formula1>
    </x:dataValidation>
    <x:dataValidation type="list" sqref="D18">
      <x:formula1>_LISTS!$B$2:$B$7</x:formula1>
    </x:dataValidation>
    <x:dataValidation type="list" sqref="I18:J18">
      <x:formula1>_LISTS!$D$2:$D$4</x:formula1>
    </x:dataValidation>
    <x:dataValidation type="list" sqref="C19">
      <x:formula1>_LISTS!$C$2:$C$5</x:formula1>
    </x:dataValidation>
    <x:dataValidation type="list" sqref="D19">
      <x:formula1>_LISTS!$B$2:$B$7</x:formula1>
    </x:dataValidation>
    <x:dataValidation type="list" sqref="I19:J19">
      <x:formula1>_LISTS!$D$2:$D$4</x:formula1>
    </x:dataValidation>
    <x:dataValidation type="list" sqref="C20">
      <x:formula1>_LISTS!$C$2:$C$5</x:formula1>
    </x:dataValidation>
    <x:dataValidation type="list" sqref="D20">
      <x:formula1>_LISTS!$B$2:$B$7</x:formula1>
    </x:dataValidation>
    <x:dataValidation type="list" sqref="I20:J20">
      <x:formula1>_LISTS!$D$2:$D$4</x:formula1>
    </x:dataValidation>
    <x:dataValidation type="list" sqref="C21">
      <x:formula1>_LISTS!$C$2:$C$5</x:formula1>
    </x:dataValidation>
    <x:dataValidation type="list" sqref="D21">
      <x:formula1>_LISTS!$B$2:$B$7</x:formula1>
    </x:dataValidation>
    <x:dataValidation type="list" sqref="I21:J21">
      <x:formula1>_LISTS!$D$2:$D$4</x:formula1>
    </x:dataValidation>
    <x:dataValidation type="list" sqref="C22">
      <x:formula1>_LISTS!$C$2:$C$5</x:formula1>
    </x:dataValidation>
    <x:dataValidation type="list" sqref="D22">
      <x:formula1>_LISTS!$B$2:$B$7</x:formula1>
    </x:dataValidation>
    <x:dataValidation type="list" sqref="I22:J22">
      <x:formula1>_LISTS!$D$2:$D$4</x:formula1>
    </x:dataValidation>
    <x:dataValidation type="list" sqref="C23">
      <x:formula1>_LISTS!$C$2:$C$5</x:formula1>
    </x:dataValidation>
    <x:dataValidation type="list" sqref="D23">
      <x:formula1>_LISTS!$B$2:$B$7</x:formula1>
    </x:dataValidation>
    <x:dataValidation type="list" sqref="I23:J23">
      <x:formula1>_LISTS!$D$2:$D$4</x:formula1>
    </x:dataValidation>
    <x:dataValidation type="list" sqref="C24">
      <x:formula1>_LISTS!$C$2:$C$5</x:formula1>
    </x:dataValidation>
    <x:dataValidation type="list" sqref="D24">
      <x:formula1>_LISTS!$B$2:$B$7</x:formula1>
    </x:dataValidation>
    <x:dataValidation type="list" sqref="I24:J24">
      <x:formula1>_LISTS!$D$2:$D$4</x:formula1>
    </x:dataValidation>
    <x:dataValidation type="list" sqref="C25">
      <x:formula1>_LISTS!$C$2:$C$5</x:formula1>
    </x:dataValidation>
    <x:dataValidation type="list" sqref="D25">
      <x:formula1>_LISTS!$B$2:$B$7</x:formula1>
    </x:dataValidation>
    <x:dataValidation type="list" sqref="I25:J25">
      <x:formula1>_LISTS!$D$2:$D$4</x:formula1>
    </x:dataValidation>
    <x:dataValidation type="list" sqref="C26">
      <x:formula1>_LISTS!$C$2:$C$5</x:formula1>
    </x:dataValidation>
    <x:dataValidation type="list" sqref="D26">
      <x:formula1>_LISTS!$B$2:$B$7</x:formula1>
    </x:dataValidation>
    <x:dataValidation type="list" sqref="I26:J26">
      <x:formula1>_LISTS!$D$2:$D$4</x:formula1>
    </x:dataValidation>
    <x:dataValidation type="list" sqref="C27">
      <x:formula1>_LISTS!$C$2:$C$5</x:formula1>
    </x:dataValidation>
    <x:dataValidation type="list" sqref="D27">
      <x:formula1>_LISTS!$B$2:$B$7</x:formula1>
    </x:dataValidation>
    <x:dataValidation type="list" sqref="I27:J27">
      <x:formula1>_LISTS!$D$2:$D$4</x:formula1>
    </x:dataValidation>
    <x:dataValidation type="list" sqref="C28">
      <x:formula1>_LISTS!$C$2:$C$5</x:formula1>
    </x:dataValidation>
    <x:dataValidation type="list" sqref="D28">
      <x:formula1>_LISTS!$B$2:$B$7</x:formula1>
    </x:dataValidation>
    <x:dataValidation type="list" sqref="I28:J28">
      <x:formula1>_LISTS!$D$2:$D$4</x:formula1>
    </x:dataValidation>
    <x:dataValidation type="list" sqref="C29">
      <x:formula1>_LISTS!$C$2:$C$5</x:formula1>
    </x:dataValidation>
    <x:dataValidation type="list" sqref="D29">
      <x:formula1>_LISTS!$B$2:$B$7</x:formula1>
    </x:dataValidation>
    <x:dataValidation type="list" sqref="I29:J29">
      <x:formula1>_LISTS!$D$2:$D$4</x:formula1>
    </x:dataValidation>
    <x:dataValidation type="list" sqref="C30">
      <x:formula1>_LISTS!$C$2:$C$5</x:formula1>
    </x:dataValidation>
    <x:dataValidation type="list" sqref="D30">
      <x:formula1>_LISTS!$B$2:$B$7</x:formula1>
    </x:dataValidation>
    <x:dataValidation type="list" sqref="I30:J30">
      <x:formula1>_LISTS!$D$2:$D$4</x:formula1>
    </x:dataValidation>
    <x:dataValidation type="list" sqref="C31">
      <x:formula1>_LISTS!$C$2:$C$5</x:formula1>
    </x:dataValidation>
    <x:dataValidation type="list" sqref="D31">
      <x:formula1>_LISTS!$B$2:$B$7</x:formula1>
    </x:dataValidation>
    <x:dataValidation type="list" sqref="I31:J31">
      <x:formula1>_LISTS!$D$2:$D$4</x:formula1>
    </x:dataValidation>
    <x:dataValidation type="list" sqref="C32">
      <x:formula1>_LISTS!$C$2:$C$5</x:formula1>
    </x:dataValidation>
    <x:dataValidation type="list" sqref="D32">
      <x:formula1>_LISTS!$B$2:$B$7</x:formula1>
    </x:dataValidation>
    <x:dataValidation type="list" sqref="I32:J32">
      <x:formula1>_LISTS!$D$2:$D$4</x:formula1>
    </x:dataValidation>
    <x:dataValidation type="list" sqref="C33">
      <x:formula1>_LISTS!$C$2:$C$5</x:formula1>
    </x:dataValidation>
    <x:dataValidation type="list" sqref="D33">
      <x:formula1>_LISTS!$B$2:$B$7</x:formula1>
    </x:dataValidation>
    <x:dataValidation type="list" sqref="I33:J33">
      <x:formula1>_LISTS!$D$2:$D$4</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9" hidden="0" customWidth="1"/>
    <x:col min="2" max="2" width="16" hidden="0" customWidth="1"/>
    <x:col min="3" max="3" width="40" hidden="0" customWidth="1"/>
    <x:col min="4" max="4" width="40" hidden="0" customWidth="1"/>
    <x:col min="5" max="5" width="40" hidden="0" customWidth="1"/>
    <x:col min="6" max="6" width="22" hidden="0" customWidth="1"/>
    <x:col min="7" max="7" width="22" hidden="0" customWidth="1"/>
    <x:col min="8" max="8" width="14" hidden="0" customWidth="1"/>
    <x:col min="9" max="9" width="28" hidden="0" customWidth="1"/>
    <x:col min="10" max="10" width="22" hidden="0" customWidth="1"/>
    <x:col min="11" max="11" width="28" hidden="0" customWidth="1"/>
    <x:col min="12" max="12" width="16" hidden="0" customWidth="1"/>
    <x:col min="13" max="13" width="22" hidden="0" customWidth="1"/>
  </x:cols>
  <x:sheetData>
    <x:row r="1">
      <x:c r="A1" s="131" t="str">
        <x:v>HYPOTHESES — separate planned confirmatory tests from exploratory analysis</x:v>
      </x:c>
      <x:c r="B1" s="131"/>
      <x:c r="C1" s="131"/>
      <x:c r="D1" s="131"/>
      <x:c r="E1" s="131"/>
      <x:c r="F1" s="131"/>
      <x:c r="G1" s="131"/>
      <x:c r="H1" s="131"/>
      <x:c r="I1" s="131"/>
      <x:c r="J1" s="131"/>
      <x:c r="K1" s="131"/>
      <x:c r="L1" s="131"/>
      <x:c r="M1" s="131"/>
      <x:c r="N1" s="77"/>
      <x:c r="O1" s="77"/>
      <x:c r="P1" s="77"/>
    </x:row>
    <x:row r="2">
      <x:c r="A2" s="77"/>
      <x:c r="B2" s="77"/>
      <x:c r="C2" s="77"/>
      <x:c r="D2" s="77"/>
      <x:c r="E2" s="77"/>
      <x:c r="F2" s="77"/>
      <x:c r="G2" s="77"/>
      <x:c r="H2" s="77"/>
      <x:c r="I2" s="77"/>
      <x:c r="J2" s="77"/>
      <x:c r="K2" s="77"/>
      <x:c r="L2" s="77"/>
      <x:c r="M2" s="77"/>
      <x:c r="N2" s="77"/>
      <x:c r="O2" s="77"/>
      <x:c r="P2" s="77"/>
    </x:row>
    <x:row r="3">
      <x:c r="A3" s="103" t="str">
        <x:v>ID</x:v>
      </x:c>
      <x:c r="B3" s="103" t="str">
        <x:v>Class</x:v>
      </x:c>
      <x:c r="C3" s="103" t="str">
        <x:v>Research Question / Claim</x:v>
      </x:c>
      <x:c r="D3" s="103" t="str">
        <x:v>Null Hypothesis</x:v>
      </x:c>
      <x:c r="E3" s="103" t="str">
        <x:v>Alternative Hypothesis</x:v>
      </x:c>
      <x:c r="F3" s="103" t="str">
        <x:v>Predictor / Group</x:v>
      </x:c>
      <x:c r="G3" s="103" t="str">
        <x:v>Outcome</x:v>
      </x:c>
      <x:c r="H3" s="103" t="str">
        <x:v>Direction</x:v>
      </x:c>
      <x:c r="I3" s="103" t="str">
        <x:v>Planned Analysis</x:v>
      </x:c>
      <x:c r="J3" s="103" t="str">
        <x:v>Planned Effect Size</x:v>
      </x:c>
      <x:c r="K3" s="103" t="str">
        <x:v>Multiplicity Plan</x:v>
      </x:c>
      <x:c r="L3" s="103" t="str">
        <x:v>Preregistered?</x:v>
      </x:c>
      <x:c r="M3" s="103" t="str">
        <x:v>Row QA</x:v>
      </x:c>
      <x:c r="N3" s="77"/>
      <x:c r="O3" s="77"/>
      <x:c r="P3" s="77"/>
    </x:row>
    <x:row r="4">
      <x:c r="A4" s="104" t="str">
        <x:f>IF(C4="","","H"&amp;TEXT(ROW()-3,"00"))</x:f>
      </x:c>
      <x:c r="B4" s="97"/>
      <x:c r="C4" s="97"/>
      <x:c r="D4" s="97"/>
      <x:c r="E4" s="97"/>
      <x:c r="F4" s="97"/>
      <x:c r="G4" s="97"/>
      <x:c r="H4" s="97"/>
      <x:c r="I4" s="97"/>
      <x:c r="J4" s="97"/>
      <x:c r="K4" s="97"/>
      <x:c r="L4" s="97"/>
      <x:c r="M4" s="104" t="str">
        <x:f>IF(C4="","",IF(B4="","ADD CLASS",IF(OR(F4="",G4=""),"ADD VARIABLES",IF(I4="","ADD ANALYSIS",IF(J4="","ADD EFFECT SIZE",IF(AND(OR(B4="Primary",B4="Secondary"),L4="Unsure"),"CHECK PREREGISTRATION","OK"))))))</x:f>
      </x:c>
      <x:c r="N4" s="77"/>
      <x:c r="O4" s="77"/>
      <x:c r="P4" s="77"/>
    </x:row>
    <x:row r="5">
      <x:c r="A5" s="104" t="str">
        <x:f>IF(C5="","","H"&amp;TEXT(ROW()-3,"00"))</x:f>
      </x:c>
      <x:c r="B5" s="97"/>
      <x:c r="C5" s="97"/>
      <x:c r="D5" s="97"/>
      <x:c r="E5" s="97"/>
      <x:c r="F5" s="97"/>
      <x:c r="G5" s="97"/>
      <x:c r="H5" s="97"/>
      <x:c r="I5" s="97"/>
      <x:c r="J5" s="97"/>
      <x:c r="K5" s="97"/>
      <x:c r="L5" s="97"/>
      <x:c r="M5" s="104" t="str">
        <x:f>IF(C5="","",IF(B5="","ADD CLASS",IF(OR(F5="",G5=""),"ADD VARIABLES",IF(I5="","ADD ANALYSIS",IF(J5="","ADD EFFECT SIZE",IF(AND(OR(B5="Primary",B5="Secondary"),L5="Unsure"),"CHECK PREREGISTRATION","OK"))))))</x:f>
      </x:c>
      <x:c r="N5" s="77"/>
      <x:c r="O5" s="77"/>
      <x:c r="P5" s="77"/>
    </x:row>
    <x:row r="6">
      <x:c r="A6" s="104" t="str">
        <x:f>IF(C6="","","H"&amp;TEXT(ROW()-3,"00"))</x:f>
      </x:c>
      <x:c r="B6" s="97"/>
      <x:c r="C6" s="97"/>
      <x:c r="D6" s="97"/>
      <x:c r="E6" s="97"/>
      <x:c r="F6" s="97"/>
      <x:c r="G6" s="97"/>
      <x:c r="H6" s="97"/>
      <x:c r="I6" s="97"/>
      <x:c r="J6" s="97"/>
      <x:c r="K6" s="97"/>
      <x:c r="L6" s="97"/>
      <x:c r="M6" s="104" t="str">
        <x:f>IF(C6="","",IF(B6="","ADD CLASS",IF(OR(F6="",G6=""),"ADD VARIABLES",IF(I6="","ADD ANALYSIS",IF(J6="","ADD EFFECT SIZE",IF(AND(OR(B6="Primary",B6="Secondary"),L6="Unsure"),"CHECK PREREGISTRATION","OK"))))))</x:f>
      </x:c>
      <x:c r="N6" s="77"/>
      <x:c r="O6" s="77"/>
      <x:c r="P6" s="77"/>
    </x:row>
    <x:row r="7">
      <x:c r="A7" s="104" t="str">
        <x:f>IF(C7="","","H"&amp;TEXT(ROW()-3,"00"))</x:f>
      </x:c>
      <x:c r="B7" s="97"/>
      <x:c r="C7" s="97"/>
      <x:c r="D7" s="97"/>
      <x:c r="E7" s="97"/>
      <x:c r="F7" s="97"/>
      <x:c r="G7" s="97"/>
      <x:c r="H7" s="97"/>
      <x:c r="I7" s="97"/>
      <x:c r="J7" s="97"/>
      <x:c r="K7" s="97"/>
      <x:c r="L7" s="97"/>
      <x:c r="M7" s="104" t="str">
        <x:f>IF(C7="","",IF(B7="","ADD CLASS",IF(OR(F7="",G7=""),"ADD VARIABLES",IF(I7="","ADD ANALYSIS",IF(J7="","ADD EFFECT SIZE",IF(AND(OR(B7="Primary",B7="Secondary"),L7="Unsure"),"CHECK PREREGISTRATION","OK"))))))</x:f>
      </x:c>
      <x:c r="N7" s="77"/>
      <x:c r="O7" s="77"/>
      <x:c r="P7" s="77"/>
    </x:row>
    <x:row r="8">
      <x:c r="A8" s="104" t="str">
        <x:f>IF(C8="","","H"&amp;TEXT(ROW()-3,"00"))</x:f>
      </x:c>
      <x:c r="B8" s="97"/>
      <x:c r="C8" s="97"/>
      <x:c r="D8" s="97"/>
      <x:c r="E8" s="97"/>
      <x:c r="F8" s="97"/>
      <x:c r="G8" s="97"/>
      <x:c r="H8" s="97"/>
      <x:c r="I8" s="97"/>
      <x:c r="J8" s="97"/>
      <x:c r="K8" s="97"/>
      <x:c r="L8" s="97"/>
      <x:c r="M8" s="104" t="str">
        <x:f>IF(C8="","",IF(B8="","ADD CLASS",IF(OR(F8="",G8=""),"ADD VARIABLES",IF(I8="","ADD ANALYSIS",IF(J8="","ADD EFFECT SIZE",IF(AND(OR(B8="Primary",B8="Secondary"),L8="Unsure"),"CHECK PREREGISTRATION","OK"))))))</x:f>
      </x:c>
      <x:c r="N8" s="77"/>
      <x:c r="O8" s="77"/>
      <x:c r="P8" s="77"/>
    </x:row>
    <x:row r="9">
      <x:c r="A9" s="104" t="str">
        <x:f>IF(C9="","","H"&amp;TEXT(ROW()-3,"00"))</x:f>
      </x:c>
      <x:c r="B9" s="97"/>
      <x:c r="C9" s="97"/>
      <x:c r="D9" s="97"/>
      <x:c r="E9" s="97"/>
      <x:c r="F9" s="97"/>
      <x:c r="G9" s="97"/>
      <x:c r="H9" s="97"/>
      <x:c r="I9" s="97"/>
      <x:c r="J9" s="97"/>
      <x:c r="K9" s="97"/>
      <x:c r="L9" s="97"/>
      <x:c r="M9" s="104" t="str">
        <x:f>IF(C9="","",IF(B9="","ADD CLASS",IF(OR(F9="",G9=""),"ADD VARIABLES",IF(I9="","ADD ANALYSIS",IF(J9="","ADD EFFECT SIZE",IF(AND(OR(B9="Primary",B9="Secondary"),L9="Unsure"),"CHECK PREREGISTRATION","OK"))))))</x:f>
      </x:c>
      <x:c r="N9" s="77"/>
      <x:c r="O9" s="77"/>
      <x:c r="P9" s="77"/>
    </x:row>
    <x:row r="10">
      <x:c r="A10" s="104" t="str">
        <x:f>IF(C10="","","H"&amp;TEXT(ROW()-3,"00"))</x:f>
      </x:c>
      <x:c r="B10" s="97"/>
      <x:c r="C10" s="97"/>
      <x:c r="D10" s="97"/>
      <x:c r="E10" s="97"/>
      <x:c r="F10" s="97"/>
      <x:c r="G10" s="97"/>
      <x:c r="H10" s="97"/>
      <x:c r="I10" s="97"/>
      <x:c r="J10" s="97"/>
      <x:c r="K10" s="97"/>
      <x:c r="L10" s="97"/>
      <x:c r="M10" s="104" t="str">
        <x:f>IF(C10="","",IF(B10="","ADD CLASS",IF(OR(F10="",G10=""),"ADD VARIABLES",IF(I10="","ADD ANALYSIS",IF(J10="","ADD EFFECT SIZE",IF(AND(OR(B10="Primary",B10="Secondary"),L10="Unsure"),"CHECK PREREGISTRATION","OK"))))))</x:f>
      </x:c>
      <x:c r="N10" s="77"/>
      <x:c r="O10" s="77"/>
      <x:c r="P10" s="77"/>
    </x:row>
    <x:row r="11">
      <x:c r="A11" s="104" t="str">
        <x:f>IF(C11="","","H"&amp;TEXT(ROW()-3,"00"))</x:f>
      </x:c>
      <x:c r="B11" s="97"/>
      <x:c r="C11" s="97"/>
      <x:c r="D11" s="97"/>
      <x:c r="E11" s="97"/>
      <x:c r="F11" s="97"/>
      <x:c r="G11" s="97"/>
      <x:c r="H11" s="97"/>
      <x:c r="I11" s="97"/>
      <x:c r="J11" s="97"/>
      <x:c r="K11" s="97"/>
      <x:c r="L11" s="97"/>
      <x:c r="M11" s="104" t="str">
        <x:f>IF(C11="","",IF(B11="","ADD CLASS",IF(OR(F11="",G11=""),"ADD VARIABLES",IF(I11="","ADD ANALYSIS",IF(J11="","ADD EFFECT SIZE",IF(AND(OR(B11="Primary",B11="Secondary"),L11="Unsure"),"CHECK PREREGISTRATION","OK"))))))</x:f>
      </x:c>
      <x:c r="N11" s="77"/>
      <x:c r="O11" s="77"/>
      <x:c r="P11" s="77"/>
    </x:row>
    <x:row r="12">
      <x:c r="A12" s="104" t="str">
        <x:f>IF(C12="","","H"&amp;TEXT(ROW()-3,"00"))</x:f>
      </x:c>
      <x:c r="B12" s="97"/>
      <x:c r="C12" s="97"/>
      <x:c r="D12" s="97"/>
      <x:c r="E12" s="97"/>
      <x:c r="F12" s="97"/>
      <x:c r="G12" s="97"/>
      <x:c r="H12" s="97"/>
      <x:c r="I12" s="97"/>
      <x:c r="J12" s="97"/>
      <x:c r="K12" s="97"/>
      <x:c r="L12" s="97"/>
      <x:c r="M12" s="104" t="str">
        <x:f>IF(C12="","",IF(B12="","ADD CLASS",IF(OR(F12="",G12=""),"ADD VARIABLES",IF(I12="","ADD ANALYSIS",IF(J12="","ADD EFFECT SIZE",IF(AND(OR(B12="Primary",B12="Secondary"),L12="Unsure"),"CHECK PREREGISTRATION","OK"))))))</x:f>
      </x:c>
      <x:c r="N12" s="77"/>
      <x:c r="O12" s="77"/>
      <x:c r="P12" s="77"/>
    </x:row>
    <x:row r="13">
      <x:c r="A13" s="104" t="str">
        <x:f>IF(C13="","","H"&amp;TEXT(ROW()-3,"00"))</x:f>
      </x:c>
      <x:c r="B13" s="97"/>
      <x:c r="C13" s="97"/>
      <x:c r="D13" s="97"/>
      <x:c r="E13" s="97"/>
      <x:c r="F13" s="97"/>
      <x:c r="G13" s="97"/>
      <x:c r="H13" s="97"/>
      <x:c r="I13" s="97"/>
      <x:c r="J13" s="97"/>
      <x:c r="K13" s="97"/>
      <x:c r="L13" s="97"/>
      <x:c r="M13" s="104" t="str">
        <x:f>IF(C13="","",IF(B13="","ADD CLASS",IF(OR(F13="",G13=""),"ADD VARIABLES",IF(I13="","ADD ANALYSIS",IF(J13="","ADD EFFECT SIZE",IF(AND(OR(B13="Primary",B13="Secondary"),L13="Unsure"),"CHECK PREREGISTRATION","OK"))))))</x:f>
      </x:c>
      <x:c r="N13" s="77"/>
      <x:c r="O13" s="77"/>
      <x:c r="P13" s="77"/>
    </x:row>
    <x:row r="14">
      <x:c r="A14" s="104" t="str">
        <x:f>IF(C14="","","H"&amp;TEXT(ROW()-3,"00"))</x:f>
      </x:c>
      <x:c r="B14" s="97"/>
      <x:c r="C14" s="97"/>
      <x:c r="D14" s="97"/>
      <x:c r="E14" s="97"/>
      <x:c r="F14" s="97"/>
      <x:c r="G14" s="97"/>
      <x:c r="H14" s="97"/>
      <x:c r="I14" s="97"/>
      <x:c r="J14" s="97"/>
      <x:c r="K14" s="97"/>
      <x:c r="L14" s="97"/>
      <x:c r="M14" s="104" t="str">
        <x:f>IF(C14="","",IF(B14="","ADD CLASS",IF(OR(F14="",G14=""),"ADD VARIABLES",IF(I14="","ADD ANALYSIS",IF(J14="","ADD EFFECT SIZE",IF(AND(OR(B14="Primary",B14="Secondary"),L14="Unsure"),"CHECK PREREGISTRATION","OK"))))))</x:f>
      </x:c>
      <x:c r="N14" s="77"/>
      <x:c r="O14" s="77"/>
      <x:c r="P14" s="77"/>
    </x:row>
    <x:row r="15">
      <x:c r="A15" s="104" t="str">
        <x:f>IF(C15="","","H"&amp;TEXT(ROW()-3,"00"))</x:f>
      </x:c>
      <x:c r="B15" s="97"/>
      <x:c r="C15" s="97"/>
      <x:c r="D15" s="97"/>
      <x:c r="E15" s="97"/>
      <x:c r="F15" s="97"/>
      <x:c r="G15" s="97"/>
      <x:c r="H15" s="97"/>
      <x:c r="I15" s="97"/>
      <x:c r="J15" s="97"/>
      <x:c r="K15" s="97"/>
      <x:c r="L15" s="97"/>
      <x:c r="M15" s="104" t="str">
        <x:f>IF(C15="","",IF(B15="","ADD CLASS",IF(OR(F15="",G15=""),"ADD VARIABLES",IF(I15="","ADD ANALYSIS",IF(J15="","ADD EFFECT SIZE",IF(AND(OR(B15="Primary",B15="Secondary"),L15="Unsure"),"CHECK PREREGISTRATION","OK"))))))</x:f>
      </x:c>
      <x:c r="N15" s="77"/>
      <x:c r="O15" s="77"/>
      <x:c r="P15" s="77"/>
    </x:row>
    <x:row r="16">
      <x:c r="A16" s="104" t="str">
        <x:f>IF(C16="","","H"&amp;TEXT(ROW()-3,"00"))</x:f>
      </x:c>
      <x:c r="B16" s="97"/>
      <x:c r="C16" s="97"/>
      <x:c r="D16" s="97"/>
      <x:c r="E16" s="97"/>
      <x:c r="F16" s="97"/>
      <x:c r="G16" s="97"/>
      <x:c r="H16" s="97"/>
      <x:c r="I16" s="97"/>
      <x:c r="J16" s="97"/>
      <x:c r="K16" s="97"/>
      <x:c r="L16" s="97"/>
      <x:c r="M16" s="104" t="str">
        <x:f>IF(C16="","",IF(B16="","ADD CLASS",IF(OR(F16="",G16=""),"ADD VARIABLES",IF(I16="","ADD ANALYSIS",IF(J16="","ADD EFFECT SIZE",IF(AND(OR(B16="Primary",B16="Secondary"),L16="Unsure"),"CHECK PREREGISTRATION","OK"))))))</x:f>
      </x:c>
      <x:c r="N16" s="77"/>
      <x:c r="O16" s="77"/>
      <x:c r="P16" s="77"/>
    </x:row>
    <x:row r="17">
      <x:c r="A17" s="104" t="str">
        <x:f>IF(C17="","","H"&amp;TEXT(ROW()-3,"00"))</x:f>
      </x:c>
      <x:c r="B17" s="97"/>
      <x:c r="C17" s="97"/>
      <x:c r="D17" s="97"/>
      <x:c r="E17" s="97"/>
      <x:c r="F17" s="97"/>
      <x:c r="G17" s="97"/>
      <x:c r="H17" s="97"/>
      <x:c r="I17" s="97"/>
      <x:c r="J17" s="97"/>
      <x:c r="K17" s="97"/>
      <x:c r="L17" s="97"/>
      <x:c r="M17" s="104" t="str">
        <x:f>IF(C17="","",IF(B17="","ADD CLASS",IF(OR(F17="",G17=""),"ADD VARIABLES",IF(I17="","ADD ANALYSIS",IF(J17="","ADD EFFECT SIZE",IF(AND(OR(B17="Primary",B17="Secondary"),L17="Unsure"),"CHECK PREREGISTRATION","OK"))))))</x:f>
      </x:c>
      <x:c r="N17" s="77"/>
      <x:c r="O17" s="77"/>
      <x:c r="P17" s="77"/>
    </x:row>
    <x:row r="18">
      <x:c r="A18" s="104" t="str">
        <x:f>IF(C18="","","H"&amp;TEXT(ROW()-3,"00"))</x:f>
      </x:c>
      <x:c r="B18" s="97"/>
      <x:c r="C18" s="97"/>
      <x:c r="D18" s="97"/>
      <x:c r="E18" s="97"/>
      <x:c r="F18" s="97"/>
      <x:c r="G18" s="97"/>
      <x:c r="H18" s="97"/>
      <x:c r="I18" s="97"/>
      <x:c r="J18" s="97"/>
      <x:c r="K18" s="97"/>
      <x:c r="L18" s="97"/>
      <x:c r="M18" s="104" t="str">
        <x:f>IF(C18="","",IF(B18="","ADD CLASS",IF(OR(F18="",G18=""),"ADD VARIABLES",IF(I18="","ADD ANALYSIS",IF(J18="","ADD EFFECT SIZE",IF(AND(OR(B18="Primary",B18="Secondary"),L18="Unsure"),"CHECK PREREGISTRATION","OK"))))))</x:f>
      </x:c>
      <x:c r="N18" s="77"/>
      <x:c r="O18" s="77"/>
      <x:c r="P18" s="77"/>
    </x:row>
    <x:row r="19">
      <x:c r="A19" s="104" t="str">
        <x:f>IF(C19="","","H"&amp;TEXT(ROW()-3,"00"))</x:f>
      </x:c>
      <x:c r="B19" s="97"/>
      <x:c r="C19" s="97"/>
      <x:c r="D19" s="97"/>
      <x:c r="E19" s="97"/>
      <x:c r="F19" s="97"/>
      <x:c r="G19" s="97"/>
      <x:c r="H19" s="97"/>
      <x:c r="I19" s="97"/>
      <x:c r="J19" s="97"/>
      <x:c r="K19" s="97"/>
      <x:c r="L19" s="97"/>
      <x:c r="M19" s="104" t="str">
        <x:f>IF(C19="","",IF(B19="","ADD CLASS",IF(OR(F19="",G19=""),"ADD VARIABLES",IF(I19="","ADD ANALYSIS",IF(J19="","ADD EFFECT SIZE",IF(AND(OR(B19="Primary",B19="Secondary"),L19="Unsure"),"CHECK PREREGISTRATION","OK"))))))</x:f>
      </x:c>
      <x:c r="N19" s="77"/>
      <x:c r="O19" s="77"/>
      <x:c r="P19" s="77"/>
    </x:row>
    <x:row r="20">
      <x:c r="A20" s="104" t="str">
        <x:f>IF(C20="","","H"&amp;TEXT(ROW()-3,"00"))</x:f>
      </x:c>
      <x:c r="B20" s="97"/>
      <x:c r="C20" s="97"/>
      <x:c r="D20" s="97"/>
      <x:c r="E20" s="97"/>
      <x:c r="F20" s="97"/>
      <x:c r="G20" s="97"/>
      <x:c r="H20" s="97"/>
      <x:c r="I20" s="97"/>
      <x:c r="J20" s="97"/>
      <x:c r="K20" s="97"/>
      <x:c r="L20" s="97"/>
      <x:c r="M20" s="104" t="str">
        <x:f>IF(C20="","",IF(B20="","ADD CLASS",IF(OR(F20="",G20=""),"ADD VARIABLES",IF(I20="","ADD ANALYSIS",IF(J20="","ADD EFFECT SIZE",IF(AND(OR(B20="Primary",B20="Secondary"),L20="Unsure"),"CHECK PREREGISTRATION","OK"))))))</x:f>
      </x:c>
      <x:c r="N20" s="77"/>
      <x:c r="O20" s="77"/>
      <x:c r="P20" s="77"/>
    </x:row>
    <x:row r="21">
      <x:c r="A21" s="104" t="str">
        <x:f>IF(C21="","","H"&amp;TEXT(ROW()-3,"00"))</x:f>
      </x:c>
      <x:c r="B21" s="97"/>
      <x:c r="C21" s="97"/>
      <x:c r="D21" s="97"/>
      <x:c r="E21" s="97"/>
      <x:c r="F21" s="97"/>
      <x:c r="G21" s="97"/>
      <x:c r="H21" s="97"/>
      <x:c r="I21" s="97"/>
      <x:c r="J21" s="97"/>
      <x:c r="K21" s="97"/>
      <x:c r="L21" s="97"/>
      <x:c r="M21" s="104" t="str">
        <x:f>IF(C21="","",IF(B21="","ADD CLASS",IF(OR(F21="",G21=""),"ADD VARIABLES",IF(I21="","ADD ANALYSIS",IF(J21="","ADD EFFECT SIZE",IF(AND(OR(B21="Primary",B21="Secondary"),L21="Unsure"),"CHECK PREREGISTRATION","OK"))))))</x:f>
      </x:c>
      <x:c r="N21" s="77"/>
      <x:c r="O21" s="77"/>
      <x:c r="P21" s="77"/>
    </x:row>
    <x:row r="22">
      <x:c r="A22" s="104" t="str">
        <x:f>IF(C22="","","H"&amp;TEXT(ROW()-3,"00"))</x:f>
      </x:c>
      <x:c r="B22" s="97"/>
      <x:c r="C22" s="97"/>
      <x:c r="D22" s="97"/>
      <x:c r="E22" s="97"/>
      <x:c r="F22" s="97"/>
      <x:c r="G22" s="97"/>
      <x:c r="H22" s="97"/>
      <x:c r="I22" s="97"/>
      <x:c r="J22" s="97"/>
      <x:c r="K22" s="97"/>
      <x:c r="L22" s="97"/>
      <x:c r="M22" s="104" t="str">
        <x:f>IF(C22="","",IF(B22="","ADD CLASS",IF(OR(F22="",G22=""),"ADD VARIABLES",IF(I22="","ADD ANALYSIS",IF(J22="","ADD EFFECT SIZE",IF(AND(OR(B22="Primary",B22="Secondary"),L22="Unsure"),"CHECK PREREGISTRATION","OK"))))))</x:f>
      </x:c>
      <x:c r="N22" s="77"/>
      <x:c r="O22" s="77"/>
      <x:c r="P22" s="77"/>
    </x:row>
    <x:row r="23">
      <x:c r="A23" s="104" t="str">
        <x:f>IF(C23="","","H"&amp;TEXT(ROW()-3,"00"))</x:f>
      </x:c>
      <x:c r="B23" s="97"/>
      <x:c r="C23" s="97"/>
      <x:c r="D23" s="97"/>
      <x:c r="E23" s="97"/>
      <x:c r="F23" s="97"/>
      <x:c r="G23" s="97"/>
      <x:c r="H23" s="97"/>
      <x:c r="I23" s="97"/>
      <x:c r="J23" s="97"/>
      <x:c r="K23" s="97"/>
      <x:c r="L23" s="97"/>
      <x:c r="M23" s="104" t="str">
        <x:f>IF(C23="","",IF(B23="","ADD CLASS",IF(OR(F23="",G23=""),"ADD VARIABLES",IF(I23="","ADD ANALYSIS",IF(J23="","ADD EFFECT SIZE",IF(AND(OR(B23="Primary",B23="Secondary"),L23="Unsure"),"CHECK PREREGISTRATION","OK"))))))</x:f>
      </x:c>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M1"/>
  </x:mergeCells>
  <x:conditionalFormatting sqref="M4:M23">
    <x:cfRule type="expression" dxfId="2" priority="1">
      <x:formula>$M4&lt;&gt;"OK"</x:formula>
    </x:cfRule>
  </x:conditionalFormatting>
  <x:dataValidations count="60">
    <x:dataValidation type="list" sqref="B4">
      <x:formula1>_LISTS!$E$2:$E$5</x:formula1>
    </x:dataValidation>
    <x:dataValidation type="list" sqref="H4">
      <x:formula1>_LISTS!$G$2:$G$6</x:formula1>
    </x:dataValidation>
    <x:dataValidation type="list" sqref="L4">
      <x:formula1>_LISTS!$D$2:$D$4</x:formula1>
    </x:dataValidation>
    <x:dataValidation type="list" sqref="B5">
      <x:formula1>_LISTS!$E$2:$E$5</x:formula1>
    </x:dataValidation>
    <x:dataValidation type="list" sqref="H5">
      <x:formula1>_LISTS!$G$2:$G$6</x:formula1>
    </x:dataValidation>
    <x:dataValidation type="list" sqref="L5">
      <x:formula1>_LISTS!$D$2:$D$4</x:formula1>
    </x:dataValidation>
    <x:dataValidation type="list" sqref="B6">
      <x:formula1>_LISTS!$E$2:$E$5</x:formula1>
    </x:dataValidation>
    <x:dataValidation type="list" sqref="H6">
      <x:formula1>_LISTS!$G$2:$G$6</x:formula1>
    </x:dataValidation>
    <x:dataValidation type="list" sqref="L6">
      <x:formula1>_LISTS!$D$2:$D$4</x:formula1>
    </x:dataValidation>
    <x:dataValidation type="list" sqref="B7">
      <x:formula1>_LISTS!$E$2:$E$5</x:formula1>
    </x:dataValidation>
    <x:dataValidation type="list" sqref="H7">
      <x:formula1>_LISTS!$G$2:$G$6</x:formula1>
    </x:dataValidation>
    <x:dataValidation type="list" sqref="L7">
      <x:formula1>_LISTS!$D$2:$D$4</x:formula1>
    </x:dataValidation>
    <x:dataValidation type="list" sqref="B8">
      <x:formula1>_LISTS!$E$2:$E$5</x:formula1>
    </x:dataValidation>
    <x:dataValidation type="list" sqref="H8">
      <x:formula1>_LISTS!$G$2:$G$6</x:formula1>
    </x:dataValidation>
    <x:dataValidation type="list" sqref="L8">
      <x:formula1>_LISTS!$D$2:$D$4</x:formula1>
    </x:dataValidation>
    <x:dataValidation type="list" sqref="B9">
      <x:formula1>_LISTS!$E$2:$E$5</x:formula1>
    </x:dataValidation>
    <x:dataValidation type="list" sqref="H9">
      <x:formula1>_LISTS!$G$2:$G$6</x:formula1>
    </x:dataValidation>
    <x:dataValidation type="list" sqref="L9">
      <x:formula1>_LISTS!$D$2:$D$4</x:formula1>
    </x:dataValidation>
    <x:dataValidation type="list" sqref="B10">
      <x:formula1>_LISTS!$E$2:$E$5</x:formula1>
    </x:dataValidation>
    <x:dataValidation type="list" sqref="H10">
      <x:formula1>_LISTS!$G$2:$G$6</x:formula1>
    </x:dataValidation>
    <x:dataValidation type="list" sqref="L10">
      <x:formula1>_LISTS!$D$2:$D$4</x:formula1>
    </x:dataValidation>
    <x:dataValidation type="list" sqref="B11">
      <x:formula1>_LISTS!$E$2:$E$5</x:formula1>
    </x:dataValidation>
    <x:dataValidation type="list" sqref="H11">
      <x:formula1>_LISTS!$G$2:$G$6</x:formula1>
    </x:dataValidation>
    <x:dataValidation type="list" sqref="L11">
      <x:formula1>_LISTS!$D$2:$D$4</x:formula1>
    </x:dataValidation>
    <x:dataValidation type="list" sqref="B12">
      <x:formula1>_LISTS!$E$2:$E$5</x:formula1>
    </x:dataValidation>
    <x:dataValidation type="list" sqref="H12">
      <x:formula1>_LISTS!$G$2:$G$6</x:formula1>
    </x:dataValidation>
    <x:dataValidation type="list" sqref="L12">
      <x:formula1>_LISTS!$D$2:$D$4</x:formula1>
    </x:dataValidation>
    <x:dataValidation type="list" sqref="B13">
      <x:formula1>_LISTS!$E$2:$E$5</x:formula1>
    </x:dataValidation>
    <x:dataValidation type="list" sqref="H13">
      <x:formula1>_LISTS!$G$2:$G$6</x:formula1>
    </x:dataValidation>
    <x:dataValidation type="list" sqref="L13">
      <x:formula1>_LISTS!$D$2:$D$4</x:formula1>
    </x:dataValidation>
    <x:dataValidation type="list" sqref="B14">
      <x:formula1>_LISTS!$E$2:$E$5</x:formula1>
    </x:dataValidation>
    <x:dataValidation type="list" sqref="H14">
      <x:formula1>_LISTS!$G$2:$G$6</x:formula1>
    </x:dataValidation>
    <x:dataValidation type="list" sqref="L14">
      <x:formula1>_LISTS!$D$2:$D$4</x:formula1>
    </x:dataValidation>
    <x:dataValidation type="list" sqref="B15">
      <x:formula1>_LISTS!$E$2:$E$5</x:formula1>
    </x:dataValidation>
    <x:dataValidation type="list" sqref="H15">
      <x:formula1>_LISTS!$G$2:$G$6</x:formula1>
    </x:dataValidation>
    <x:dataValidation type="list" sqref="L15">
      <x:formula1>_LISTS!$D$2:$D$4</x:formula1>
    </x:dataValidation>
    <x:dataValidation type="list" sqref="B16">
      <x:formula1>_LISTS!$E$2:$E$5</x:formula1>
    </x:dataValidation>
    <x:dataValidation type="list" sqref="H16">
      <x:formula1>_LISTS!$G$2:$G$6</x:formula1>
    </x:dataValidation>
    <x:dataValidation type="list" sqref="L16">
      <x:formula1>_LISTS!$D$2:$D$4</x:formula1>
    </x:dataValidation>
    <x:dataValidation type="list" sqref="B17">
      <x:formula1>_LISTS!$E$2:$E$5</x:formula1>
    </x:dataValidation>
    <x:dataValidation type="list" sqref="H17">
      <x:formula1>_LISTS!$G$2:$G$6</x:formula1>
    </x:dataValidation>
    <x:dataValidation type="list" sqref="L17">
      <x:formula1>_LISTS!$D$2:$D$4</x:formula1>
    </x:dataValidation>
    <x:dataValidation type="list" sqref="B18">
      <x:formula1>_LISTS!$E$2:$E$5</x:formula1>
    </x:dataValidation>
    <x:dataValidation type="list" sqref="H18">
      <x:formula1>_LISTS!$G$2:$G$6</x:formula1>
    </x:dataValidation>
    <x:dataValidation type="list" sqref="L18">
      <x:formula1>_LISTS!$D$2:$D$4</x:formula1>
    </x:dataValidation>
    <x:dataValidation type="list" sqref="B19">
      <x:formula1>_LISTS!$E$2:$E$5</x:formula1>
    </x:dataValidation>
    <x:dataValidation type="list" sqref="H19">
      <x:formula1>_LISTS!$G$2:$G$6</x:formula1>
    </x:dataValidation>
    <x:dataValidation type="list" sqref="L19">
      <x:formula1>_LISTS!$D$2:$D$4</x:formula1>
    </x:dataValidation>
    <x:dataValidation type="list" sqref="B20">
      <x:formula1>_LISTS!$E$2:$E$5</x:formula1>
    </x:dataValidation>
    <x:dataValidation type="list" sqref="H20">
      <x:formula1>_LISTS!$G$2:$G$6</x:formula1>
    </x:dataValidation>
    <x:dataValidation type="list" sqref="L20">
      <x:formula1>_LISTS!$D$2:$D$4</x:formula1>
    </x:dataValidation>
    <x:dataValidation type="list" sqref="B21">
      <x:formula1>_LISTS!$E$2:$E$5</x:formula1>
    </x:dataValidation>
    <x:dataValidation type="list" sqref="H21">
      <x:formula1>_LISTS!$G$2:$G$6</x:formula1>
    </x:dataValidation>
    <x:dataValidation type="list" sqref="L21">
      <x:formula1>_LISTS!$D$2:$D$4</x:formula1>
    </x:dataValidation>
    <x:dataValidation type="list" sqref="B22">
      <x:formula1>_LISTS!$E$2:$E$5</x:formula1>
    </x:dataValidation>
    <x:dataValidation type="list" sqref="H22">
      <x:formula1>_LISTS!$G$2:$G$6</x:formula1>
    </x:dataValidation>
    <x:dataValidation type="list" sqref="L22">
      <x:formula1>_LISTS!$D$2:$D$4</x:formula1>
    </x:dataValidation>
    <x:dataValidation type="list" sqref="B23">
      <x:formula1>_LISTS!$E$2:$E$5</x:formula1>
    </x:dataValidation>
    <x:dataValidation type="list" sqref="H23">
      <x:formula1>_LISTS!$G$2:$G$6</x:formula1>
    </x:dataValidation>
    <x:dataValidation type="list" sqref="L23">
      <x:formula1>_LISTS!$D$2:$D$4</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6" hidden="0" customWidth="1"/>
    <x:col min="2" max="2" width="70" hidden="0" customWidth="1"/>
    <x:col min="4" max="4" width="30" hidden="0" customWidth="1"/>
    <x:col min="5" max="5" width="44" hidden="0" customWidth="1"/>
    <x:col min="6" max="6" width="20" hidden="0" customWidth="1"/>
    <x:col min="7" max="7" width="48" hidden="0" customWidth="1"/>
    <x:col min="8" max="8" width="16" hidden="0" customWidth="1"/>
  </x:cols>
  <x:sheetData>
    <x:row r="1">
      <x:c r="A1" s="131" t="str">
        <x:v>ANALYSIS ROUTER — candidate method based on the design you described</x:v>
      </x:c>
      <x:c r="B1" s="131"/>
      <x:c r="C1" s="131"/>
      <x:c r="D1" s="131"/>
      <x:c r="E1" s="131"/>
      <x:c r="F1" s="131"/>
      <x:c r="G1" s="131"/>
      <x:c r="H1" s="131"/>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79" t="str">
        <x:v>Design Input</x:v>
      </x:c>
      <x:c r="B3" s="79" t="str">
        <x:v>Value</x:v>
      </x:c>
      <x:c r="C3" s="77"/>
      <x:c r="D3" s="76" t="str">
        <x:v>ASSUMPTIONS / DESIGN QUESTIONS TO CHECK</x:v>
      </x:c>
      <x:c r="E3" s="76"/>
      <x:c r="F3" s="76"/>
      <x:c r="G3" s="76"/>
      <x:c r="H3" s="76"/>
      <x:c r="I3" s="77"/>
      <x:c r="J3" s="77"/>
      <x:c r="K3" s="77"/>
      <x:c r="L3" s="77"/>
      <x:c r="M3" s="77"/>
      <x:c r="N3" s="77"/>
      <x:c r="O3" s="77"/>
      <x:c r="P3" s="77"/>
    </x:row>
    <x:row r="4">
      <x:c r="A4" s="84" t="str">
        <x:v>Purpose</x:v>
      </x:c>
      <x:c r="B4" s="104" t="str">
        <x:f>'STUDY SETUP'!B5</x:f>
        <x:v>Compare</x:v>
      </x:c>
      <x:c r="C4" s="77"/>
      <x:c r="D4" s="84" t="str">
        <x:v>Check</x:v>
      </x:c>
      <x:c r="E4" s="84" t="str">
        <x:v>Why It Matters</x:v>
      </x:c>
      <x:c r="F4" s="84" t="str">
        <x:v>Where to Record</x:v>
      </x:c>
      <x:c r="G4" s="84" t="str">
        <x:v>Interpretation Boundary</x:v>
      </x:c>
      <x:c r="H4" s="84" t="str">
        <x:v>Status</x:v>
      </x:c>
      <x:c r="I4" s="77"/>
      <x:c r="J4" s="77"/>
      <x:c r="K4" s="77"/>
      <x:c r="L4" s="77"/>
      <x:c r="M4" s="77"/>
      <x:c r="N4" s="77"/>
      <x:c r="O4" s="77"/>
      <x:c r="P4" s="77"/>
    </x:row>
    <x:row r="5">
      <x:c r="A5" s="84" t="str">
        <x:v>Outcome Type</x:v>
      </x:c>
      <x:c r="B5" s="104" t="str">
        <x:f>'STUDY SETUP'!B6</x:f>
        <x:v>Continuous</x:v>
      </x:c>
      <x:c r="C5" s="77"/>
      <x:c r="D5" s="107" t="str">
        <x:v>Independence / pairing structure</x:v>
      </x:c>
      <x:c r="E5" s="107" t="str">
        <x:v>The unit of analysis and dependence structure determines which models/tests are valid.</x:v>
      </x:c>
      <x:c r="F5" s="107" t="str">
        <x:v>ASSUMPTIONS</x:v>
      </x:c>
      <x:c r="G5" s="107" t="str">
        <x:v>Do not treat repeated observations as independent.</x:v>
      </x:c>
      <x:c r="H5" s="80" t="str"/>
      <x:c r="I5" s="77"/>
      <x:c r="J5" s="77"/>
      <x:c r="K5" s="77"/>
      <x:c r="L5" s="77"/>
      <x:c r="M5" s="77"/>
      <x:c r="N5" s="77"/>
      <x:c r="O5" s="77"/>
      <x:c r="P5" s="77"/>
    </x:row>
    <x:row r="6">
      <x:c r="A6" s="84" t="str">
        <x:v>Predictor / Group Type</x:v>
      </x:c>
      <x:c r="B6" s="104" t="str">
        <x:f>'STUDY SETUP'!B7</x:f>
        <x:v>Nominal</x:v>
      </x:c>
      <x:c r="C6" s="77"/>
      <x:c r="D6" s="107" t="str">
        <x:v>Outcome scale / coding</x:v>
      </x:c>
      <x:c r="E6" s="107" t="str">
        <x:v>A continuous, ordinal, nominal, binary, or count outcome calls for different model families.</x:v>
      </x:c>
      <x:c r="F6" s="107" t="str">
        <x:v>VARIABLES</x:v>
      </x:c>
      <x:c r="G6" s="107" t="str">
        <x:v>Do not select a test only because it is familiar.</x:v>
      </x:c>
      <x:c r="H6" s="80" t="str"/>
      <x:c r="I6" s="77"/>
      <x:c r="J6" s="77"/>
      <x:c r="K6" s="77"/>
      <x:c r="L6" s="77"/>
      <x:c r="M6" s="77"/>
      <x:c r="N6" s="77"/>
      <x:c r="O6" s="77"/>
      <x:c r="P6" s="77"/>
    </x:row>
    <x:row r="7">
      <x:c r="A7" s="84" t="str">
        <x:v>Groups / Conditions</x:v>
      </x:c>
      <x:c r="B7" s="104" t="n">
        <x:f>'STUDY SETUP'!B8</x:f>
        <x:v>2</x:v>
      </x:c>
      <x:c r="C7" s="77"/>
      <x:c r="D7" s="107" t="str">
        <x:v>Distribution / residual shape</x:v>
      </x:c>
      <x:c r="E7" s="107" t="str">
        <x:v>Some parametric models assume approximately normal residual behavior, especially for small samples.</x:v>
      </x:c>
      <x:c r="F7" s="107" t="str">
        <x:v>ASSUMPTIONS</x:v>
      </x:c>
      <x:c r="G7" s="107" t="str">
        <x:v>Inspect diagnostics; do not use a normality test as the only decision rule.</x:v>
      </x:c>
      <x:c r="H7" s="80" t="str"/>
      <x:c r="I7" s="77"/>
      <x:c r="J7" s="77"/>
      <x:c r="K7" s="77"/>
      <x:c r="L7" s="77"/>
      <x:c r="M7" s="77"/>
      <x:c r="N7" s="77"/>
      <x:c r="O7" s="77"/>
      <x:c r="P7" s="77"/>
    </x:row>
    <x:row r="8">
      <x:c r="A8" s="84" t="str">
        <x:v>Timepoints</x:v>
      </x:c>
      <x:c r="B8" s="104" t="n">
        <x:f>'STUDY SETUP'!B9</x:f>
        <x:v>1</x:v>
      </x:c>
      <x:c r="C8" s="77"/>
      <x:c r="D8" s="107" t="str">
        <x:v>Variance / covariance assumptions</x:v>
      </x:c>
      <x:c r="E8" s="107" t="str">
        <x:v>Group-comparison models may assume equal variances; repeated models may require additional covariance assumptions.</x:v>
      </x:c>
      <x:c r="F8" s="107" t="str">
        <x:v>ASSUMPTIONS</x:v>
      </x:c>
      <x:c r="G8" s="107" t="str">
        <x:v>Use robust/adjusted methods when justified.</x:v>
      </x:c>
      <x:c r="H8" s="80" t="str"/>
      <x:c r="I8" s="77"/>
      <x:c r="J8" s="77"/>
      <x:c r="K8" s="77"/>
      <x:c r="L8" s="77"/>
      <x:c r="M8" s="77"/>
      <x:c r="N8" s="77"/>
      <x:c r="O8" s="77"/>
      <x:c r="P8" s="77"/>
    </x:row>
    <x:row r="9">
      <x:c r="A9" s="84" t="str">
        <x:v>Paired / Repeated?</x:v>
      </x:c>
      <x:c r="B9" s="104" t="str">
        <x:f>'STUDY SETUP'!B10</x:f>
        <x:v>No</x:v>
      </x:c>
      <x:c r="C9" s="77"/>
      <x:c r="D9" s="107" t="str">
        <x:v>Linearity / monotonicity</x:v>
      </x:c>
      <x:c r="E9" s="107" t="str">
        <x:v>Correlation and regression describe specific forms of association.</x:v>
      </x:c>
      <x:c r="F9" s="107" t="str">
        <x:v>ASSUMPTIONS</x:v>
      </x:c>
      <x:c r="G9" s="107" t="str">
        <x:v>A small p-value does not rescue a misspecified relationship.</x:v>
      </x:c>
      <x:c r="H9" s="80" t="str"/>
      <x:c r="I9" s="77"/>
      <x:c r="J9" s="77"/>
      <x:c r="K9" s="77"/>
      <x:c r="L9" s="77"/>
      <x:c r="M9" s="77"/>
      <x:c r="N9" s="77"/>
      <x:c r="O9" s="77"/>
      <x:c r="P9" s="77"/>
    </x:row>
    <x:row r="10">
      <x:c r="A10" s="84" t="str">
        <x:v>Covariates?</x:v>
      </x:c>
      <x:c r="B10" s="104" t="str">
        <x:f>'STUDY SETUP'!B11</x:f>
        <x:v>No</x:v>
      </x:c>
      <x:c r="C10" s="77"/>
      <x:c r="D10" s="107" t="str">
        <x:v>Sparse categorical cells</x:v>
      </x:c>
      <x:c r="E10" s="107" t="str">
        <x:v>Chi-square approximations can be poor with small expected counts.</x:v>
      </x:c>
      <x:c r="F10" s="107" t="str">
        <x:v>ASSUMPTIONS</x:v>
      </x:c>
      <x:c r="G10" s="107" t="str">
        <x:v>Consider exact methods or collapsing categories only with substantive justification.</x:v>
      </x:c>
      <x:c r="H10" s="80" t="str"/>
      <x:c r="I10" s="77"/>
      <x:c r="J10" s="77"/>
      <x:c r="K10" s="77"/>
      <x:c r="L10" s="77"/>
      <x:c r="M10" s="77"/>
      <x:c r="N10" s="77"/>
      <x:c r="O10" s="77"/>
      <x:c r="P10" s="77"/>
    </x:row>
    <x:row r="11">
      <x:c r="A11" s="84" t="str">
        <x:v>Candidate Analysis</x:v>
      </x:c>
      <x:c r="B11" s="104" t="str">
        <x:f>IF(B4="Describe","Descriptive statistics / estimation",IF(B4="Associate",IF(AND(B5="Continuous",B6="Continuous"),"Pearson correlation; consider Spearman if ordinal/nonlinear/non-normal",IF(AND(OR(B5="Nominal",B5="Binary"),OR(B6="Nominal",B6="Binary")),"Chi-square association; consider Fisher exact with sparse cells","Association model depends on variable types")),IF(B4="Predict",IF(B5="Continuous","Linear regression",IF(B5="Binary","Logistic regression",IF(B5="Count","Poisson / negative-binomial regression","Regression model depends on outcome type"))),IF(B4="Compare",IF(B5="Continuous",IF(B9="Yes",IF(B8=2,"Paired-samples t test",IF(B8&gt;2,"Repeated-measures ANOVA / mixed model","Check repeated-measures structure")),IF(B7=2,"Independent-samples t test",IF(B7&gt;2,"One-way ANOVA / general linear model","Check group structure"))),IF(B5="Ordinal",IF(B9="Yes",IF(B8=2,"Wilcoxon signed-rank test",IF(B8&gt;2,"Friedman test","Check repeated-measures structure")),IF(B7=2,"Mann-Whitney U test",IF(B7&gt;2,"Kruskal-Wallis test","Check group structure"))),IF(OR(B5="Binary",B5="Nominal"),"Chi-square / Fisher exact; matched designs require a paired categorical method","Consult methods/statistics guide"))),"Define purpose first"))))</x:f>
        <x:v>Independent-samples t test</x:v>
      </x:c>
      <x:c r="C11" s="77"/>
      <x:c r="D11" s="107" t="str">
        <x:v>Multiplicity / researcher degrees of freedom</x:v>
      </x:c>
      <x:c r="E11" s="107" t="str">
        <x:v>Multiple outcomes/tests increase opportunities for selective interpretation.</x:v>
      </x:c>
      <x:c r="F11" s="107" t="str">
        <x:v>HYPOTHESES</x:v>
      </x:c>
      <x:c r="G11" s="107" t="str">
        <x:v>Separate primary, secondary, and exploratory analyses; document adjustments when used.</x:v>
      </x:c>
      <x:c r="H11" s="80" t="str"/>
      <x:c r="I11" s="77"/>
      <x:c r="J11" s="77"/>
      <x:c r="K11" s="77"/>
      <x:c r="L11" s="77"/>
      <x:c r="M11" s="77"/>
      <x:c r="N11" s="77"/>
      <x:c r="O11" s="77"/>
      <x:c r="P11" s="77"/>
    </x:row>
    <x:row r="12">
      <x:c r="A12" s="77"/>
      <x:c r="B12" s="77"/>
      <x:c r="C12" s="77"/>
      <x:c r="D12" s="107" t="str">
        <x:v>Effect size + uncertainty</x:v>
      </x:c>
      <x:c r="E12" s="107" t="str">
        <x:v>Statistical significance alone does not communicate practical magnitude or precision.</x:v>
      </x:c>
      <x:c r="F12" s="107" t="str">
        <x:v>RESULTS LOG</x:v>
      </x:c>
      <x:c r="G12" s="107" t="str">
        <x:v>Report an estimate/effect size and interval when appropriate.</x:v>
      </x:c>
      <x:c r="H12" s="80" t="str"/>
      <x:c r="I12" s="77"/>
      <x:c r="J12" s="77"/>
      <x:c r="K12" s="77"/>
      <x:c r="L12" s="77"/>
      <x:c r="M12" s="77"/>
      <x:c r="N12" s="77"/>
      <x:c r="O12" s="77"/>
      <x:c r="P12" s="77"/>
    </x:row>
    <x:row r="13">
      <x:c r="A13" s="77"/>
      <x:c r="B13" s="77"/>
      <x:c r="C13" s="77"/>
      <x:c r="D13" s="77"/>
      <x:c r="E13" s="77"/>
      <x:c r="F13" s="77"/>
      <x:c r="G13" s="77"/>
      <x:c r="H13" s="77"/>
      <x:c r="I13" s="77"/>
      <x:c r="J13" s="77"/>
      <x:c r="K13" s="77"/>
      <x:c r="L13" s="77"/>
      <x:c r="M13" s="77"/>
      <x:c r="N13" s="77"/>
      <x:c r="O13" s="77"/>
      <x:c r="P13" s="77"/>
    </x:row>
    <x:row r="14">
      <x:c r="A14" s="77"/>
      <x:c r="B14" s="77"/>
      <x:c r="C14" s="77"/>
      <x:c r="D14" s="77"/>
      <x:c r="E14" s="77"/>
      <x:c r="F14" s="77"/>
      <x:c r="G14" s="77"/>
      <x:c r="H14" s="77"/>
      <x:c r="I14" s="77"/>
      <x:c r="J14" s="77"/>
      <x:c r="K14" s="77"/>
      <x:c r="L14" s="77"/>
      <x:c r="M14" s="77"/>
      <x:c r="N14" s="77"/>
      <x:c r="O14" s="77"/>
      <x:c r="P14" s="77"/>
    </x:row>
    <x:row r="15">
      <x:c r="A15" s="77"/>
      <x:c r="B15" s="77"/>
      <x:c r="C15" s="77"/>
      <x:c r="D15" s="77"/>
      <x:c r="E15" s="77"/>
      <x:c r="F15" s="77"/>
      <x:c r="G15" s="77"/>
      <x:c r="H15" s="77"/>
      <x:c r="I15" s="77"/>
      <x:c r="J15" s="77"/>
      <x:c r="K15" s="77"/>
      <x:c r="L15" s="77"/>
      <x:c r="M15" s="77"/>
      <x:c r="N15" s="77"/>
      <x:c r="O15" s="77"/>
      <x:c r="P15" s="77"/>
    </x:row>
    <x:row r="16">
      <x:c r="A16" s="77"/>
      <x:c r="B16" s="77"/>
      <x:c r="C16" s="77"/>
      <x:c r="D16" s="77"/>
      <x:c r="E16" s="77"/>
      <x:c r="F16" s="77"/>
      <x:c r="G16" s="77"/>
      <x:c r="H16" s="77"/>
      <x:c r="I16" s="77"/>
      <x:c r="J16" s="77"/>
      <x:c r="K16" s="77"/>
      <x:c r="L16" s="77"/>
      <x:c r="M16" s="77"/>
      <x:c r="N16" s="77"/>
      <x:c r="O16" s="77"/>
      <x:c r="P16" s="77"/>
    </x:row>
    <x:row r="17">
      <x:c r="A17" s="77"/>
      <x:c r="B17" s="77"/>
      <x:c r="C17" s="77"/>
      <x:c r="D17" s="77"/>
      <x:c r="E17" s="77"/>
      <x:c r="F17" s="77"/>
      <x:c r="G17" s="77"/>
      <x:c r="H17" s="77"/>
      <x:c r="I17" s="77"/>
      <x:c r="J17" s="77"/>
      <x:c r="K17" s="77"/>
      <x:c r="L17" s="77"/>
      <x:c r="M17" s="77"/>
      <x:c r="N17" s="77"/>
      <x:c r="O17" s="77"/>
      <x:c r="P17" s="77"/>
    </x:row>
    <x:row r="18">
      <x:c r="A18" s="77"/>
      <x:c r="B18" s="77"/>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H1"/>
    <x:mergeCell ref="D3:H3"/>
  </x:mergeCells>
  <x:dataValidations count="1">
    <x:dataValidation type="list" sqref="H5:H12">
      <x:formula1>_LISTS!$F$2:$F$6</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40" hidden="0" customWidth="1"/>
    <x:col min="3" max="3" width="48" hidden="0" customWidth="1"/>
    <x:col min="4" max="4" width="20" hidden="0" customWidth="1"/>
    <x:col min="5" max="5" width="40" hidden="0" customWidth="1"/>
    <x:col min="6" max="6" width="18" hidden="0" customWidth="1"/>
    <x:col min="7" max="7" width="16" hidden="0" customWidth="1"/>
    <x:col min="8" max="8" width="34" hidden="0" customWidth="1"/>
  </x:cols>
  <x:sheetData>
    <x:row r="1">
      <x:c r="A1" s="131" t="str">
        <x:v>DATA QA PLAN — decide rules before looking for the result you want</x:v>
      </x:c>
      <x:c r="B1" s="131"/>
      <x:c r="C1" s="131"/>
      <x:c r="D1" s="131"/>
      <x:c r="E1" s="131"/>
      <x:c r="F1" s="131"/>
      <x:c r="G1" s="131"/>
      <x:c r="H1" s="131"/>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103" t="str">
        <x:v>QA Domain</x:v>
      </x:c>
      <x:c r="B3" s="103" t="str">
        <x:v>Planned Rule</x:v>
      </x:c>
      <x:c r="C3" s="103" t="str">
        <x:v>Rationale</x:v>
      </x:c>
      <x:c r="D3" s="103" t="str">
        <x:v>When Applied</x:v>
      </x:c>
      <x:c r="E3" s="103" t="str">
        <x:v>Sensitivity / Robustness Check</x:v>
      </x:c>
      <x:c r="F3" s="103" t="str">
        <x:v>Owner</x:v>
      </x:c>
      <x:c r="G3" s="103" t="str">
        <x:v>Status</x:v>
      </x:c>
      <x:c r="H3" s="103" t="str">
        <x:v>Notes</x:v>
      </x:c>
      <x:c r="I3" s="77"/>
      <x:c r="J3" s="77"/>
      <x:c r="K3" s="77"/>
      <x:c r="L3" s="77"/>
      <x:c r="M3" s="77"/>
      <x:c r="N3" s="77"/>
      <x:c r="O3" s="77"/>
      <x:c r="P3" s="77"/>
    </x:row>
    <x:row r="4">
      <x:c r="A4" s="109" t="str">
        <x:v>Duplicate records</x:v>
      </x:c>
      <x:c r="B4" s="97" t="str"/>
      <x:c r="C4" s="97" t="str">
        <x:v>Identify the rule for detecting repeated records before analysis.</x:v>
      </x:c>
      <x:c r="D4" s="97" t="str">
        <x:v>Before analysis</x:v>
      </x:c>
      <x:c r="E4" s="97" t="str"/>
      <x:c r="F4" s="97" t="str"/>
      <x:c r="G4" s="97" t="str">
        <x:v>Not Started</x:v>
      </x:c>
      <x:c r="H4" s="110" t="str"/>
      <x:c r="I4" s="77"/>
      <x:c r="J4" s="77"/>
      <x:c r="K4" s="77"/>
      <x:c r="L4" s="77"/>
      <x:c r="M4" s="77"/>
      <x:c r="N4" s="77"/>
      <x:c r="O4" s="77"/>
      <x:c r="P4" s="77"/>
    </x:row>
    <x:row r="5">
      <x:c r="A5" s="109" t="str">
        <x:v>Impossible / out-of-range values</x:v>
      </x:c>
      <x:c r="B5" s="97" t="str"/>
      <x:c r="C5" s="97" t="str">
        <x:v>Tie range checks to the variable dictionary, not ad hoc inspection.</x:v>
      </x:c>
      <x:c r="D5" s="97" t="str">
        <x:v>Before analysis</x:v>
      </x:c>
      <x:c r="E5" s="97" t="str"/>
      <x:c r="F5" s="97" t="str"/>
      <x:c r="G5" s="97" t="str">
        <x:v>Not Started</x:v>
      </x:c>
      <x:c r="H5" s="110" t="str"/>
      <x:c r="I5" s="77"/>
      <x:c r="J5" s="77"/>
      <x:c r="K5" s="77"/>
      <x:c r="L5" s="77"/>
      <x:c r="M5" s="77"/>
      <x:c r="N5" s="77"/>
      <x:c r="O5" s="77"/>
      <x:c r="P5" s="77"/>
    </x:row>
    <x:row r="6">
      <x:c r="A6" s="109" t="str">
        <x:v>Missing data</x:v>
      </x:c>
      <x:c r="B6" s="97" t="str"/>
      <x:c r="C6" s="97" t="str">
        <x:v>State whether the main analysis is complete-case, available-case, imputed, or another method.</x:v>
      </x:c>
      <x:c r="D6" s="97" t="str">
        <x:v>Before analysis</x:v>
      </x:c>
      <x:c r="E6" s="97" t="str"/>
      <x:c r="F6" s="97" t="str"/>
      <x:c r="G6" s="97" t="str">
        <x:v>Not Started</x:v>
      </x:c>
      <x:c r="H6" s="110" t="str"/>
      <x:c r="I6" s="77"/>
      <x:c r="J6" s="77"/>
      <x:c r="K6" s="77"/>
      <x:c r="L6" s="77"/>
      <x:c r="M6" s="77"/>
      <x:c r="N6" s="77"/>
      <x:c r="O6" s="77"/>
      <x:c r="P6" s="77"/>
    </x:row>
    <x:row r="7">
      <x:c r="A7" s="109" t="str">
        <x:v>Exclusion criteria</x:v>
      </x:c>
      <x:c r="B7" s="97" t="str"/>
      <x:c r="C7" s="97" t="str">
        <x:v>Define exclusion reasons before examining preferred outcomes where possible.</x:v>
      </x:c>
      <x:c r="D7" s="97" t="str">
        <x:v>Before analysis</x:v>
      </x:c>
      <x:c r="E7" s="97" t="str"/>
      <x:c r="F7" s="97" t="str"/>
      <x:c r="G7" s="97" t="str">
        <x:v>Not Started</x:v>
      </x:c>
      <x:c r="H7" s="110" t="str"/>
      <x:c r="I7" s="77"/>
      <x:c r="J7" s="77"/>
      <x:c r="K7" s="77"/>
      <x:c r="L7" s="77"/>
      <x:c r="M7" s="77"/>
      <x:c r="N7" s="77"/>
      <x:c r="O7" s="77"/>
      <x:c r="P7" s="77"/>
    </x:row>
    <x:row r="8">
      <x:c r="A8" s="109" t="str">
        <x:v>Outliers / influential points</x:v>
      </x:c>
      <x:c r="B8" s="97" t="str"/>
      <x:c r="C8" s="97" t="str">
        <x:v>Use diagnostics plus substantive reasoning; do not remove observations solely because they change significance.</x:v>
      </x:c>
      <x:c r="D8" s="97" t="str">
        <x:v>After initial QA</x:v>
      </x:c>
      <x:c r="E8" s="97" t="str"/>
      <x:c r="F8" s="97" t="str"/>
      <x:c r="G8" s="97" t="str">
        <x:v>Not Started</x:v>
      </x:c>
      <x:c r="H8" s="110" t="str"/>
      <x:c r="I8" s="77"/>
      <x:c r="J8" s="77"/>
      <x:c r="K8" s="77"/>
      <x:c r="L8" s="77"/>
      <x:c r="M8" s="77"/>
      <x:c r="N8" s="77"/>
      <x:c r="O8" s="77"/>
      <x:c r="P8" s="77"/>
    </x:row>
    <x:row r="9">
      <x:c r="A9" s="109" t="str">
        <x:v>Transformations / recoding</x:v>
      </x:c>
      <x:c r="B9" s="97" t="str"/>
      <x:c r="C9" s="97" t="str">
        <x:v>Document what changes, why, and whether the untransformed result is also examined.</x:v>
      </x:c>
      <x:c r="D9" s="97" t="str">
        <x:v>Before / during analysis</x:v>
      </x:c>
      <x:c r="E9" s="97" t="str"/>
      <x:c r="F9" s="97" t="str"/>
      <x:c r="G9" s="97" t="str">
        <x:v>Not Started</x:v>
      </x:c>
      <x:c r="H9" s="110" t="str"/>
      <x:c r="I9" s="77"/>
      <x:c r="J9" s="77"/>
      <x:c r="K9" s="77"/>
      <x:c r="L9" s="77"/>
      <x:c r="M9" s="77"/>
      <x:c r="N9" s="77"/>
      <x:c r="O9" s="77"/>
      <x:c r="P9" s="77"/>
    </x:row>
    <x:row r="10">
      <x:c r="A10" s="109" t="str">
        <x:v>Scale scoring / reverse items</x:v>
      </x:c>
      <x:c r="B10" s="97" t="str"/>
      <x:c r="C10" s="97" t="str">
        <x:v>Confirm item direction, missing rules, and reliability/validity evidence when using scales.</x:v>
      </x:c>
      <x:c r="D10" s="97" t="str">
        <x:v>Before analysis</x:v>
      </x:c>
      <x:c r="E10" s="97" t="str"/>
      <x:c r="F10" s="97" t="str"/>
      <x:c r="G10" s="97" t="str">
        <x:v>Not Started</x:v>
      </x:c>
      <x:c r="H10" s="110" t="str"/>
      <x:c r="I10" s="77"/>
      <x:c r="J10" s="77"/>
      <x:c r="K10" s="77"/>
      <x:c r="L10" s="77"/>
      <x:c r="M10" s="77"/>
      <x:c r="N10" s="77"/>
      <x:c r="O10" s="77"/>
      <x:c r="P10" s="77"/>
    </x:row>
    <x:row r="11">
      <x:c r="A11" s="109" t="str">
        <x:v>Multiple testing</x:v>
      </x:c>
      <x:c r="B11" s="97" t="str"/>
      <x:c r="C11" s="97" t="str">
        <x:v>Document primary/secondary/exploratory tests and any adjustment or hierarchical strategy.</x:v>
      </x:c>
      <x:c r="D11" s="97" t="str">
        <x:v>Before analysis</x:v>
      </x:c>
      <x:c r="E11" s="97" t="str"/>
      <x:c r="F11" s="97" t="str"/>
      <x:c r="G11" s="97" t="str">
        <x:v>Not Started</x:v>
      </x:c>
      <x:c r="H11" s="110" t="str"/>
      <x:c r="I11" s="77"/>
      <x:c r="J11" s="77"/>
      <x:c r="K11" s="77"/>
      <x:c r="L11" s="77"/>
      <x:c r="M11" s="77"/>
      <x:c r="N11" s="77"/>
      <x:c r="O11" s="77"/>
      <x:c r="P11" s="77"/>
    </x:row>
    <x:row r="12">
      <x:c r="A12" s="109" t="str">
        <x:v>Robustness / alternative specification</x:v>
      </x:c>
      <x:c r="B12" s="97" t="str"/>
      <x:c r="C12" s="97" t="str">
        <x:v>Predefine reasonable alternative specifications or sensitivity checks when relevant.</x:v>
      </x:c>
      <x:c r="D12" s="97" t="str">
        <x:v>Before interpretation</x:v>
      </x:c>
      <x:c r="E12" s="97" t="str"/>
      <x:c r="F12" s="97" t="str"/>
      <x:c r="G12" s="97" t="str">
        <x:v>Not Started</x:v>
      </x:c>
      <x:c r="H12" s="110" t="str"/>
      <x:c r="I12" s="77"/>
      <x:c r="J12" s="77"/>
      <x:c r="K12" s="77"/>
      <x:c r="L12" s="77"/>
      <x:c r="M12" s="77"/>
      <x:c r="N12" s="77"/>
      <x:c r="O12" s="77"/>
      <x:c r="P12" s="77"/>
    </x:row>
    <x:row r="13">
      <x:c r="A13" s="109" t="str">
        <x:v>Analysis dataset freeze</x:v>
      </x:c>
      <x:c r="B13" s="97" t="str"/>
      <x:c r="C13" s="97" t="str">
        <x:v>Record when the analytic file is frozen/versioned so results are reproducible.</x:v>
      </x:c>
      <x:c r="D13" s="97" t="str">
        <x:v>Before final analysis</x:v>
      </x:c>
      <x:c r="E13" s="97" t="str"/>
      <x:c r="F13" s="97" t="str"/>
      <x:c r="G13" s="97" t="str">
        <x:v>Not Started</x:v>
      </x:c>
      <x:c r="H13" s="110" t="str"/>
      <x:c r="I13" s="77"/>
      <x:c r="J13" s="77"/>
      <x:c r="K13" s="77"/>
      <x:c r="L13" s="77"/>
      <x:c r="M13" s="77"/>
      <x:c r="N13" s="77"/>
      <x:c r="O13" s="77"/>
      <x:c r="P13" s="77"/>
    </x:row>
    <x:row r="14">
      <x:c r="A14" s="77"/>
      <x:c r="B14" s="77"/>
      <x:c r="C14" s="77"/>
      <x:c r="D14" s="77"/>
      <x:c r="E14" s="77"/>
      <x:c r="F14" s="77"/>
      <x:c r="G14" s="77"/>
      <x:c r="H14" s="77"/>
      <x:c r="I14" s="77"/>
      <x:c r="J14" s="77"/>
      <x:c r="K14" s="77"/>
      <x:c r="L14" s="77"/>
      <x:c r="M14" s="77"/>
      <x:c r="N14" s="77"/>
      <x:c r="O14" s="77"/>
      <x:c r="P14" s="77"/>
    </x:row>
    <x:row r="15">
      <x:c r="A15" s="77"/>
      <x:c r="B15" s="77"/>
      <x:c r="C15" s="77"/>
      <x:c r="D15" s="77"/>
      <x:c r="E15" s="77"/>
      <x:c r="F15" s="77"/>
      <x:c r="G15" s="77"/>
      <x:c r="H15" s="77"/>
      <x:c r="I15" s="77"/>
      <x:c r="J15" s="77"/>
      <x:c r="K15" s="77"/>
      <x:c r="L15" s="77"/>
      <x:c r="M15" s="77"/>
      <x:c r="N15" s="77"/>
      <x:c r="O15" s="77"/>
      <x:c r="P15" s="77"/>
    </x:row>
    <x:row r="16">
      <x:c r="A16" s="77"/>
      <x:c r="B16" s="77"/>
      <x:c r="C16" s="77"/>
      <x:c r="D16" s="77"/>
      <x:c r="E16" s="77"/>
      <x:c r="F16" s="77"/>
      <x:c r="G16" s="77"/>
      <x:c r="H16" s="77"/>
      <x:c r="I16" s="77"/>
      <x:c r="J16" s="77"/>
      <x:c r="K16" s="77"/>
      <x:c r="L16" s="77"/>
      <x:c r="M16" s="77"/>
      <x:c r="N16" s="77"/>
      <x:c r="O16" s="77"/>
      <x:c r="P16" s="77"/>
    </x:row>
    <x:row r="17">
      <x:c r="A17" s="77"/>
      <x:c r="B17" s="77"/>
      <x:c r="C17" s="77"/>
      <x:c r="D17" s="77"/>
      <x:c r="E17" s="77"/>
      <x:c r="F17" s="77"/>
      <x:c r="G17" s="77"/>
      <x:c r="H17" s="77"/>
      <x:c r="I17" s="77"/>
      <x:c r="J17" s="77"/>
      <x:c r="K17" s="77"/>
      <x:c r="L17" s="77"/>
      <x:c r="M17" s="77"/>
      <x:c r="N17" s="77"/>
      <x:c r="O17" s="77"/>
      <x:c r="P17" s="77"/>
    </x:row>
    <x:row r="18">
      <x:c r="A18" s="77"/>
      <x:c r="B18" s="77"/>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H1"/>
  </x:mergeCells>
  <x:dataValidations count="1">
    <x:dataValidation type="list" sqref="G4:G13">
      <x:formula1>_LISTS!$H$2:$H$6</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44" hidden="0" customWidth="1"/>
    <x:col min="2" max="2" width="18" hidden="0" customWidth="1"/>
    <x:col min="3" max="3" width="16" hidden="0" customWidth="1"/>
    <x:col min="4" max="4" width="34" hidden="0" customWidth="1"/>
    <x:col min="5" max="5" width="30" hidden="0" customWidth="1"/>
    <x:col min="6" max="6" width="48" hidden="0" customWidth="1"/>
    <x:col min="7" max="7" width="28" hidden="0" customWidth="1"/>
    <x:col min="8" max="8" width="30" hidden="0" customWidth="1"/>
  </x:cols>
  <x:sheetData>
    <x:row r="1">
      <x:c r="A1" s="131" t="str">
        <x:v>ASSUMPTIONS — record diagnostics, not just a pass/fail label</x:v>
      </x:c>
      <x:c r="B1" s="131"/>
      <x:c r="C1" s="131"/>
      <x:c r="D1" s="131"/>
      <x:c r="E1" s="131"/>
      <x:c r="F1" s="131"/>
      <x:c r="G1" s="131"/>
      <x:c r="H1" s="131"/>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103" t="str">
        <x:v>Assumption / Diagnostic</x:v>
      </x:c>
      <x:c r="B3" s="103" t="str">
        <x:v>Relevant to Planned Analysis?</x:v>
      </x:c>
      <x:c r="C3" s="103" t="str">
        <x:v>Status</x:v>
      </x:c>
      <x:c r="D3" s="103" t="str">
        <x:v>Evidence / Diagnostic</x:v>
      </x:c>
      <x:c r="E3" s="103" t="str">
        <x:v>Threshold / Reasoning</x:v>
      </x:c>
      <x:c r="F3" s="103" t="str">
        <x:v>If Not Met</x:v>
      </x:c>
      <x:c r="G3" s="103" t="str">
        <x:v>Final Decision</x:v>
      </x:c>
      <x:c r="H3" s="103" t="str">
        <x:v>Notes</x:v>
      </x:c>
      <x:c r="I3" s="77"/>
      <x:c r="J3" s="77"/>
      <x:c r="K3" s="77"/>
      <x:c r="L3" s="77"/>
      <x:c r="M3" s="77"/>
      <x:c r="N3" s="77"/>
      <x:c r="O3" s="77"/>
      <x:c r="P3" s="77"/>
    </x:row>
    <x:row r="4">
      <x:c r="A4" s="109" t="str">
        <x:v>Independent observations / correct clustering structure</x:v>
      </x:c>
      <x:c r="B4" s="97" t="str"/>
      <x:c r="C4" s="97" t="str">
        <x:v>Not checked</x:v>
      </x:c>
      <x:c r="D4" s="110" t="str"/>
      <x:c r="E4" s="110" t="str"/>
      <x:c r="F4" s="110" t="str">
        <x:v>Use paired, clustered, repeated-measures, or multilevel approach as appropriate.</x:v>
      </x:c>
      <x:c r="G4" s="110" t="str"/>
      <x:c r="H4" s="110" t="str"/>
      <x:c r="I4" s="77"/>
      <x:c r="J4" s="77"/>
      <x:c r="K4" s="77"/>
      <x:c r="L4" s="77"/>
      <x:c r="M4" s="77"/>
      <x:c r="N4" s="77"/>
      <x:c r="O4" s="77"/>
      <x:c r="P4" s="77"/>
    </x:row>
    <x:row r="5">
      <x:c r="A5" s="109" t="str">
        <x:v>Outcome/predictor coding matches the model</x:v>
      </x:c>
      <x:c r="B5" s="97" t="str"/>
      <x:c r="C5" s="97" t="str">
        <x:v>Not checked</x:v>
      </x:c>
      <x:c r="D5" s="110" t="str"/>
      <x:c r="E5" s="110" t="str"/>
      <x:c r="F5" s="110" t="str">
        <x:v>Correct coding or select a model appropriate to the measurement scale.</x:v>
      </x:c>
      <x:c r="G5" s="110" t="str"/>
      <x:c r="H5" s="110" t="str"/>
      <x:c r="I5" s="77"/>
      <x:c r="J5" s="77"/>
      <x:c r="K5" s="77"/>
      <x:c r="L5" s="77"/>
      <x:c r="M5" s="77"/>
      <x:c r="N5" s="77"/>
      <x:c r="O5" s="77"/>
      <x:c r="P5" s="77"/>
    </x:row>
    <x:row r="6">
      <x:c r="A6" s="109" t="str">
        <x:v>Approximately normal residual behavior (when relevant)</x:v>
      </x:c>
      <x:c r="B6" s="97" t="str"/>
      <x:c r="C6" s="97" t="str">
        <x:v>Not checked</x:v>
      </x:c>
      <x:c r="D6" s="110" t="str"/>
      <x:c r="E6" s="110" t="str"/>
      <x:c r="F6" s="110" t="str">
        <x:v>Inspect residuals; consider robust/nonparametric/transformational approaches when substantively justified.</x:v>
      </x:c>
      <x:c r="G6" s="110" t="str"/>
      <x:c r="H6" s="110" t="str"/>
      <x:c r="I6" s="77"/>
      <x:c r="J6" s="77"/>
      <x:c r="K6" s="77"/>
      <x:c r="L6" s="77"/>
      <x:c r="M6" s="77"/>
      <x:c r="N6" s="77"/>
      <x:c r="O6" s="77"/>
      <x:c r="P6" s="77"/>
    </x:row>
    <x:row r="7">
      <x:c r="A7" s="109" t="str">
        <x:v>Homogeneity of variance (when relevant)</x:v>
      </x:c>
      <x:c r="B7" s="97" t="str"/>
      <x:c r="C7" s="97" t="str">
        <x:v>Not checked</x:v>
      </x:c>
      <x:c r="D7" s="110" t="str"/>
      <x:c r="E7" s="110" t="str"/>
      <x:c r="F7" s="110" t="str">
        <x:v>Use unequal-variance/robust alternatives when appropriate.</x:v>
      </x:c>
      <x:c r="G7" s="110" t="str"/>
      <x:c r="H7" s="110" t="str"/>
      <x:c r="I7" s="77"/>
      <x:c r="J7" s="77"/>
      <x:c r="K7" s="77"/>
      <x:c r="L7" s="77"/>
      <x:c r="M7" s="77"/>
      <x:c r="N7" s="77"/>
      <x:c r="O7" s="77"/>
      <x:c r="P7" s="77"/>
    </x:row>
    <x:row r="8">
      <x:c r="A8" s="109" t="str">
        <x:v>Linearity / model form</x:v>
      </x:c>
      <x:c r="B8" s="97" t="str"/>
      <x:c r="C8" s="97" t="str">
        <x:v>Not checked</x:v>
      </x:c>
      <x:c r="D8" s="110" t="str"/>
      <x:c r="E8" s="110" t="str"/>
      <x:c r="F8" s="110" t="str">
        <x:v>Revise model form; examine transformations or nonlinear terms if theory/design supports them.</x:v>
      </x:c>
      <x:c r="G8" s="110" t="str"/>
      <x:c r="H8" s="110" t="str"/>
      <x:c r="I8" s="77"/>
      <x:c r="J8" s="77"/>
      <x:c r="K8" s="77"/>
      <x:c r="L8" s="77"/>
      <x:c r="M8" s="77"/>
      <x:c r="N8" s="77"/>
      <x:c r="O8" s="77"/>
      <x:c r="P8" s="77"/>
    </x:row>
    <x:row r="9">
      <x:c r="A9" s="109" t="str">
        <x:v>Monotonicity for rank correlation (when relevant)</x:v>
      </x:c>
      <x:c r="B9" s="97" t="str"/>
      <x:c r="C9" s="97" t="str">
        <x:v>Not checked</x:v>
      </x:c>
      <x:c r="D9" s="110" t="str"/>
      <x:c r="E9" s="110" t="str"/>
      <x:c r="F9" s="110" t="str">
        <x:v>Do not interpret rank correlation as a generic relationship measure without inspecting the pattern.</x:v>
      </x:c>
      <x:c r="G9" s="110" t="str"/>
      <x:c r="H9" s="110" t="str"/>
      <x:c r="I9" s="77"/>
      <x:c r="J9" s="77"/>
      <x:c r="K9" s="77"/>
      <x:c r="L9" s="77"/>
      <x:c r="M9" s="77"/>
      <x:c r="N9" s="77"/>
      <x:c r="O9" s="77"/>
      <x:c r="P9" s="77"/>
    </x:row>
    <x:row r="10">
      <x:c r="A10" s="109" t="str">
        <x:v>Expected cell counts for categorical tests</x:v>
      </x:c>
      <x:c r="B10" s="97" t="str"/>
      <x:c r="C10" s="97" t="str">
        <x:v>Not checked</x:v>
      </x:c>
      <x:c r="D10" s="110" t="str"/>
      <x:c r="E10" s="110" t="str"/>
      <x:c r="F10" s="110" t="str">
        <x:v>Use an exact method or substantively justified recoding when sparse.</x:v>
      </x:c>
      <x:c r="G10" s="110" t="str"/>
      <x:c r="H10" s="110" t="str"/>
      <x:c r="I10" s="77"/>
      <x:c r="J10" s="77"/>
      <x:c r="K10" s="77"/>
      <x:c r="L10" s="77"/>
      <x:c r="M10" s="77"/>
      <x:c r="N10" s="77"/>
      <x:c r="O10" s="77"/>
      <x:c r="P10" s="77"/>
    </x:row>
    <x:row r="11">
      <x:c r="A11" s="109" t="str">
        <x:v>Multicollinearity for multivariable models</x:v>
      </x:c>
      <x:c r="B11" s="97" t="str"/>
      <x:c r="C11" s="97" t="str">
        <x:v>Not checked</x:v>
      </x:c>
      <x:c r="D11" s="110" t="str"/>
      <x:c r="E11" s="110" t="str"/>
      <x:c r="F11" s="110" t="str">
        <x:v>Reconsider redundant predictors / model specification.</x:v>
      </x:c>
      <x:c r="G11" s="110" t="str"/>
      <x:c r="H11" s="110" t="str"/>
      <x:c r="I11" s="77"/>
      <x:c r="J11" s="77"/>
      <x:c r="K11" s="77"/>
      <x:c r="L11" s="77"/>
      <x:c r="M11" s="77"/>
      <x:c r="N11" s="77"/>
      <x:c r="O11" s="77"/>
      <x:c r="P11" s="77"/>
    </x:row>
    <x:row r="12">
      <x:c r="A12" s="109" t="str">
        <x:v>Influential observations / leverage</x:v>
      </x:c>
      <x:c r="B12" s="97" t="str"/>
      <x:c r="C12" s="97" t="str">
        <x:v>Not checked</x:v>
      </x:c>
      <x:c r="D12" s="110" t="str"/>
      <x:c r="E12" s="110" t="str"/>
      <x:c r="F12" s="110" t="str">
        <x:v>Report sensitivity; do not delete only because a case changes the preferred conclusion.</x:v>
      </x:c>
      <x:c r="G12" s="110" t="str"/>
      <x:c r="H12" s="110" t="str"/>
      <x:c r="I12" s="77"/>
      <x:c r="J12" s="77"/>
      <x:c r="K12" s="77"/>
      <x:c r="L12" s="77"/>
      <x:c r="M12" s="77"/>
      <x:c r="N12" s="77"/>
      <x:c r="O12" s="77"/>
      <x:c r="P12" s="77"/>
    </x:row>
    <x:row r="13">
      <x:c r="A13" s="109" t="str">
        <x:v>Sphericity / covariance structure for repeated measures</x:v>
      </x:c>
      <x:c r="B13" s="97" t="str"/>
      <x:c r="C13" s="97" t="str">
        <x:v>Not checked</x:v>
      </x:c>
      <x:c r="D13" s="110" t="str"/>
      <x:c r="E13" s="110" t="str"/>
      <x:c r="F13" s="110" t="str">
        <x:v>Use corrections or a model that represents the dependence structure.</x:v>
      </x:c>
      <x:c r="G13" s="110" t="str"/>
      <x:c r="H13" s="110" t="str"/>
      <x:c r="I13" s="77"/>
      <x:c r="J13" s="77"/>
      <x:c r="K13" s="77"/>
      <x:c r="L13" s="77"/>
      <x:c r="M13" s="77"/>
      <x:c r="N13" s="77"/>
      <x:c r="O13" s="77"/>
      <x:c r="P13" s="77"/>
    </x:row>
    <x:row r="14">
      <x:c r="A14" s="77"/>
      <x:c r="B14" s="77"/>
      <x:c r="C14" s="77"/>
      <x:c r="D14" s="77"/>
      <x:c r="E14" s="77"/>
      <x:c r="F14" s="77"/>
      <x:c r="G14" s="77"/>
      <x:c r="H14" s="77"/>
      <x:c r="I14" s="77"/>
      <x:c r="J14" s="77"/>
      <x:c r="K14" s="77"/>
      <x:c r="L14" s="77"/>
      <x:c r="M14" s="77"/>
      <x:c r="N14" s="77"/>
      <x:c r="O14" s="77"/>
      <x:c r="P14" s="77"/>
    </x:row>
    <x:row r="15">
      <x:c r="A15" s="77"/>
      <x:c r="B15" s="77"/>
      <x:c r="C15" s="77"/>
      <x:c r="D15" s="77"/>
      <x:c r="E15" s="77"/>
      <x:c r="F15" s="77"/>
      <x:c r="G15" s="77"/>
      <x:c r="H15" s="77"/>
      <x:c r="I15" s="77"/>
      <x:c r="J15" s="77"/>
      <x:c r="K15" s="77"/>
      <x:c r="L15" s="77"/>
      <x:c r="M15" s="77"/>
      <x:c r="N15" s="77"/>
      <x:c r="O15" s="77"/>
      <x:c r="P15" s="77"/>
    </x:row>
    <x:row r="16">
      <x:c r="A16" s="77"/>
      <x:c r="B16" s="77"/>
      <x:c r="C16" s="77"/>
      <x:c r="D16" s="77"/>
      <x:c r="E16" s="77"/>
      <x:c r="F16" s="77"/>
      <x:c r="G16" s="77"/>
      <x:c r="H16" s="77"/>
      <x:c r="I16" s="77"/>
      <x:c r="J16" s="77"/>
      <x:c r="K16" s="77"/>
      <x:c r="L16" s="77"/>
      <x:c r="M16" s="77"/>
      <x:c r="N16" s="77"/>
      <x:c r="O16" s="77"/>
      <x:c r="P16" s="77"/>
    </x:row>
    <x:row r="17">
      <x:c r="A17" s="77"/>
      <x:c r="B17" s="77"/>
      <x:c r="C17" s="77"/>
      <x:c r="D17" s="77"/>
      <x:c r="E17" s="77"/>
      <x:c r="F17" s="77"/>
      <x:c r="G17" s="77"/>
      <x:c r="H17" s="77"/>
      <x:c r="I17" s="77"/>
      <x:c r="J17" s="77"/>
      <x:c r="K17" s="77"/>
      <x:c r="L17" s="77"/>
      <x:c r="M17" s="77"/>
      <x:c r="N17" s="77"/>
      <x:c r="O17" s="77"/>
      <x:c r="P17" s="77"/>
    </x:row>
    <x:row r="18">
      <x:c r="A18" s="77"/>
      <x:c r="B18" s="77"/>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H1"/>
  </x:mergeCells>
  <x:conditionalFormatting sqref="C4:C13">
    <x:cfRule type="expression" dxfId="3" priority="1">
      <x:formula>OR($C4="Not met",$C4="Needs review",$C4="Not checked")</x:formula>
    </x:cfRule>
  </x:conditionalFormatting>
  <x:dataValidations count="2">
    <x:dataValidation type="list" sqref="B4:B13">
      <x:formula1>_LISTS!$D$2:$D$4</x:formula1>
    </x:dataValidation>
    <x:dataValidation type="list" sqref="C4:C13">
      <x:formula1>_LISTS!$F$2:$F$6</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16" hidden="0" customWidth="1"/>
    <x:col min="3" max="3" width="30" hidden="0" customWidth="1"/>
    <x:col min="4" max="4" width="10" hidden="0" customWidth="1"/>
    <x:col min="5" max="5" width="20" hidden="0" customWidth="1"/>
    <x:col min="6" max="6" width="10" hidden="0" customWidth="1"/>
    <x:col min="7" max="7" width="10" hidden="0" customWidth="1"/>
    <x:col min="8" max="8" width="20" hidden="0" customWidth="1"/>
    <x:col min="9" max="9" width="14" hidden="0" customWidth="1"/>
    <x:col min="10" max="10" width="12" hidden="0" customWidth="1"/>
    <x:col min="11" max="11" width="12" hidden="0" customWidth="1"/>
    <x:col min="12" max="12" width="18" hidden="0" customWidth="1"/>
    <x:col min="13" max="13" width="18" hidden="0" customWidth="1"/>
    <x:col min="14" max="14" width="16" hidden="0" customWidth="1"/>
    <x:col min="15" max="15" width="48" hidden="0" customWidth="1"/>
    <x:col min="16" max="16" width="22" hidden="0" customWidth="1"/>
  </x:cols>
  <x:sheetData>
    <x:row r="1">
      <x:c r="A1" s="131" t="str">
        <x:v>RESULTS LOG — keep magnitude, uncertainty, and analysis status beside the p-value</x:v>
      </x:c>
      <x:c r="B1" s="131"/>
      <x:c r="C1" s="131"/>
      <x:c r="D1" s="131"/>
      <x:c r="E1" s="131"/>
      <x:c r="F1" s="131"/>
      <x:c r="G1" s="131"/>
      <x:c r="H1" s="131"/>
      <x:c r="I1" s="131"/>
      <x:c r="J1" s="131"/>
      <x:c r="K1" s="131"/>
      <x:c r="L1" s="131"/>
      <x:c r="M1" s="131"/>
      <x:c r="N1" s="131"/>
      <x:c r="O1" s="131"/>
      <x:c r="P1" s="131"/>
    </x:row>
    <x:row r="2">
      <x:c r="A2" s="77"/>
      <x:c r="B2" s="77"/>
      <x:c r="C2" s="77"/>
      <x:c r="D2" s="77"/>
      <x:c r="E2" s="77"/>
      <x:c r="F2" s="77"/>
      <x:c r="G2" s="77"/>
      <x:c r="H2" s="77"/>
      <x:c r="I2" s="77"/>
      <x:c r="J2" s="77"/>
      <x:c r="K2" s="77"/>
      <x:c r="L2" s="77"/>
      <x:c r="M2" s="77"/>
      <x:c r="N2" s="77"/>
      <x:c r="O2" s="77"/>
      <x:c r="P2" s="77"/>
    </x:row>
    <x:row r="3">
      <x:c r="A3" s="103" t="str">
        <x:v>Hypothesis / Analysis ID</x:v>
      </x:c>
      <x:c r="B3" s="103" t="str">
        <x:v>Class</x:v>
      </x:c>
      <x:c r="C3" s="103" t="str">
        <x:v>Analysis</x:v>
      </x:c>
      <x:c r="D3" s="103" t="str">
        <x:v>N</x:v>
      </x:c>
      <x:c r="E3" s="103" t="str">
        <x:v>Estimate / Statistic</x:v>
      </x:c>
      <x:c r="F3" s="103" t="str">
        <x:v>df</x:v>
      </x:c>
      <x:c r="G3" s="103" t="str">
        <x:v>p</x:v>
      </x:c>
      <x:c r="H3" s="103" t="str">
        <x:v>Effect Size Type</x:v>
      </x:c>
      <x:c r="I3" s="103" t="str">
        <x:v>Effect Size</x:v>
      </x:c>
      <x:c r="J3" s="103" t="str">
        <x:v>CI Low</x:v>
      </x:c>
      <x:c r="K3" s="103" t="str">
        <x:v>CI High</x:v>
      </x:c>
      <x:c r="L3" s="103" t="str">
        <x:v>Adjusted / Corrected?</x:v>
      </x:c>
      <x:c r="M3" s="103" t="str">
        <x:v>Assumption Issue?</x:v>
      </x:c>
      <x:c r="N3" s="103" t="str">
        <x:v>Status</x:v>
      </x:c>
      <x:c r="O3" s="103" t="str">
        <x:v>Interpretation</x:v>
      </x:c>
      <x:c r="P3" s="103" t="str">
        <x:v>Row QA</x:v>
      </x:c>
    </x:row>
    <x:row r="4">
      <x:c r="A4" s="97"/>
      <x:c r="B4" s="97"/>
      <x:c r="C4" s="97"/>
      <x:c r="D4" s="97"/>
      <x:c r="E4" s="97"/>
      <x:c r="F4" s="97"/>
      <x:c r="G4" s="113"/>
      <x:c r="H4" s="97"/>
      <x:c r="I4" s="114"/>
      <x:c r="J4" s="114"/>
      <x:c r="K4" s="114"/>
      <x:c r="L4" s="97"/>
      <x:c r="M4" s="97"/>
      <x:c r="N4" s="97"/>
      <x:c r="O4" s="97"/>
      <x:c r="P4" s="104" t="str">
        <x:f>IF(A4="","",IF(C4="","ADD ANALYSIS",IF(D4="","ADD N",IF(AND(G4&lt;&gt;"",H4=""),"ADD EFFECT SIZE",IF(AND(G4&lt;&gt;"",OR(J4="",K4="")),"ADD CI / UNCERTAINTY",IF(O4="","ADD INTERPRETATION",IF(M4="Yes","DISCLOSE ASSUMPTION ISSUE","OK")))))))</x:f>
      </x:c>
    </x:row>
    <x:row r="5">
      <x:c r="A5" s="97"/>
      <x:c r="B5" s="97"/>
      <x:c r="C5" s="97"/>
      <x:c r="D5" s="97"/>
      <x:c r="E5" s="97"/>
      <x:c r="F5" s="97"/>
      <x:c r="G5" s="113"/>
      <x:c r="H5" s="97"/>
      <x:c r="I5" s="114"/>
      <x:c r="J5" s="114"/>
      <x:c r="K5" s="114"/>
      <x:c r="L5" s="97"/>
      <x:c r="M5" s="97"/>
      <x:c r="N5" s="97"/>
      <x:c r="O5" s="97"/>
      <x:c r="P5" s="104" t="str">
        <x:f>IF(A5="","",IF(C5="","ADD ANALYSIS",IF(D5="","ADD N",IF(AND(G5&lt;&gt;"",H5=""),"ADD EFFECT SIZE",IF(AND(G5&lt;&gt;"",OR(J5="",K5="")),"ADD CI / UNCERTAINTY",IF(O5="","ADD INTERPRETATION",IF(M5="Yes","DISCLOSE ASSUMPTION ISSUE","OK")))))))</x:f>
      </x:c>
    </x:row>
    <x:row r="6">
      <x:c r="A6" s="97"/>
      <x:c r="B6" s="97"/>
      <x:c r="C6" s="97"/>
      <x:c r="D6" s="97"/>
      <x:c r="E6" s="97"/>
      <x:c r="F6" s="97"/>
      <x:c r="G6" s="113"/>
      <x:c r="H6" s="97"/>
      <x:c r="I6" s="114"/>
      <x:c r="J6" s="114"/>
      <x:c r="K6" s="114"/>
      <x:c r="L6" s="97"/>
      <x:c r="M6" s="97"/>
      <x:c r="N6" s="97"/>
      <x:c r="O6" s="97"/>
      <x:c r="P6" s="104" t="str">
        <x:f>IF(A6="","",IF(C6="","ADD ANALYSIS",IF(D6="","ADD N",IF(AND(G6&lt;&gt;"",H6=""),"ADD EFFECT SIZE",IF(AND(G6&lt;&gt;"",OR(J6="",K6="")),"ADD CI / UNCERTAINTY",IF(O6="","ADD INTERPRETATION",IF(M6="Yes","DISCLOSE ASSUMPTION ISSUE","OK")))))))</x:f>
      </x:c>
    </x:row>
    <x:row r="7">
      <x:c r="A7" s="97"/>
      <x:c r="B7" s="97"/>
      <x:c r="C7" s="97"/>
      <x:c r="D7" s="97"/>
      <x:c r="E7" s="97"/>
      <x:c r="F7" s="97"/>
      <x:c r="G7" s="113"/>
      <x:c r="H7" s="97"/>
      <x:c r="I7" s="114"/>
      <x:c r="J7" s="114"/>
      <x:c r="K7" s="114"/>
      <x:c r="L7" s="97"/>
      <x:c r="M7" s="97"/>
      <x:c r="N7" s="97"/>
      <x:c r="O7" s="97"/>
      <x:c r="P7" s="104" t="str">
        <x:f>IF(A7="","",IF(C7="","ADD ANALYSIS",IF(D7="","ADD N",IF(AND(G7&lt;&gt;"",H7=""),"ADD EFFECT SIZE",IF(AND(G7&lt;&gt;"",OR(J7="",K7="")),"ADD CI / UNCERTAINTY",IF(O7="","ADD INTERPRETATION",IF(M7="Yes","DISCLOSE ASSUMPTION ISSUE","OK")))))))</x:f>
      </x:c>
    </x:row>
    <x:row r="8">
      <x:c r="A8" s="97"/>
      <x:c r="B8" s="97"/>
      <x:c r="C8" s="97"/>
      <x:c r="D8" s="97"/>
      <x:c r="E8" s="97"/>
      <x:c r="F8" s="97"/>
      <x:c r="G8" s="113"/>
      <x:c r="H8" s="97"/>
      <x:c r="I8" s="114"/>
      <x:c r="J8" s="114"/>
      <x:c r="K8" s="114"/>
      <x:c r="L8" s="97"/>
      <x:c r="M8" s="97"/>
      <x:c r="N8" s="97"/>
      <x:c r="O8" s="97"/>
      <x:c r="P8" s="104" t="str">
        <x:f>IF(A8="","",IF(C8="","ADD ANALYSIS",IF(D8="","ADD N",IF(AND(G8&lt;&gt;"",H8=""),"ADD EFFECT SIZE",IF(AND(G8&lt;&gt;"",OR(J8="",K8="")),"ADD CI / UNCERTAINTY",IF(O8="","ADD INTERPRETATION",IF(M8="Yes","DISCLOSE ASSUMPTION ISSUE","OK")))))))</x:f>
      </x:c>
    </x:row>
    <x:row r="9">
      <x:c r="A9" s="97"/>
      <x:c r="B9" s="97"/>
      <x:c r="C9" s="97"/>
      <x:c r="D9" s="97"/>
      <x:c r="E9" s="97"/>
      <x:c r="F9" s="97"/>
      <x:c r="G9" s="113"/>
      <x:c r="H9" s="97"/>
      <x:c r="I9" s="114"/>
      <x:c r="J9" s="114"/>
      <x:c r="K9" s="114"/>
      <x:c r="L9" s="97"/>
      <x:c r="M9" s="97"/>
      <x:c r="N9" s="97"/>
      <x:c r="O9" s="97"/>
      <x:c r="P9" s="104" t="str">
        <x:f>IF(A9="","",IF(C9="","ADD ANALYSIS",IF(D9="","ADD N",IF(AND(G9&lt;&gt;"",H9=""),"ADD EFFECT SIZE",IF(AND(G9&lt;&gt;"",OR(J9="",K9="")),"ADD CI / UNCERTAINTY",IF(O9="","ADD INTERPRETATION",IF(M9="Yes","DISCLOSE ASSUMPTION ISSUE","OK")))))))</x:f>
      </x:c>
    </x:row>
    <x:row r="10">
      <x:c r="A10" s="97"/>
      <x:c r="B10" s="97"/>
      <x:c r="C10" s="97"/>
      <x:c r="D10" s="97"/>
      <x:c r="E10" s="97"/>
      <x:c r="F10" s="97"/>
      <x:c r="G10" s="113"/>
      <x:c r="H10" s="97"/>
      <x:c r="I10" s="114"/>
      <x:c r="J10" s="114"/>
      <x:c r="K10" s="114"/>
      <x:c r="L10" s="97"/>
      <x:c r="M10" s="97"/>
      <x:c r="N10" s="97"/>
      <x:c r="O10" s="97"/>
      <x:c r="P10" s="104" t="str">
        <x:f>IF(A10="","",IF(C10="","ADD ANALYSIS",IF(D10="","ADD N",IF(AND(G10&lt;&gt;"",H10=""),"ADD EFFECT SIZE",IF(AND(G10&lt;&gt;"",OR(J10="",K10="")),"ADD CI / UNCERTAINTY",IF(O10="","ADD INTERPRETATION",IF(M10="Yes","DISCLOSE ASSUMPTION ISSUE","OK")))))))</x:f>
      </x:c>
    </x:row>
    <x:row r="11">
      <x:c r="A11" s="97"/>
      <x:c r="B11" s="97"/>
      <x:c r="C11" s="97"/>
      <x:c r="D11" s="97"/>
      <x:c r="E11" s="97"/>
      <x:c r="F11" s="97"/>
      <x:c r="G11" s="113"/>
      <x:c r="H11" s="97"/>
      <x:c r="I11" s="114"/>
      <x:c r="J11" s="114"/>
      <x:c r="K11" s="114"/>
      <x:c r="L11" s="97"/>
      <x:c r="M11" s="97"/>
      <x:c r="N11" s="97"/>
      <x:c r="O11" s="97"/>
      <x:c r="P11" s="104" t="str">
        <x:f>IF(A11="","",IF(C11="","ADD ANALYSIS",IF(D11="","ADD N",IF(AND(G11&lt;&gt;"",H11=""),"ADD EFFECT SIZE",IF(AND(G11&lt;&gt;"",OR(J11="",K11="")),"ADD CI / UNCERTAINTY",IF(O11="","ADD INTERPRETATION",IF(M11="Yes","DISCLOSE ASSUMPTION ISSUE","OK")))))))</x:f>
      </x:c>
    </x:row>
    <x:row r="12">
      <x:c r="A12" s="97"/>
      <x:c r="B12" s="97"/>
      <x:c r="C12" s="97"/>
      <x:c r="D12" s="97"/>
      <x:c r="E12" s="97"/>
      <x:c r="F12" s="97"/>
      <x:c r="G12" s="113"/>
      <x:c r="H12" s="97"/>
      <x:c r="I12" s="114"/>
      <x:c r="J12" s="114"/>
      <x:c r="K12" s="114"/>
      <x:c r="L12" s="97"/>
      <x:c r="M12" s="97"/>
      <x:c r="N12" s="97"/>
      <x:c r="O12" s="97"/>
      <x:c r="P12" s="104" t="str">
        <x:f>IF(A12="","",IF(C12="","ADD ANALYSIS",IF(D12="","ADD N",IF(AND(G12&lt;&gt;"",H12=""),"ADD EFFECT SIZE",IF(AND(G12&lt;&gt;"",OR(J12="",K12="")),"ADD CI / UNCERTAINTY",IF(O12="","ADD INTERPRETATION",IF(M12="Yes","DISCLOSE ASSUMPTION ISSUE","OK")))))))</x:f>
      </x:c>
    </x:row>
    <x:row r="13">
      <x:c r="A13" s="97"/>
      <x:c r="B13" s="97"/>
      <x:c r="C13" s="97"/>
      <x:c r="D13" s="97"/>
      <x:c r="E13" s="97"/>
      <x:c r="F13" s="97"/>
      <x:c r="G13" s="113"/>
      <x:c r="H13" s="97"/>
      <x:c r="I13" s="114"/>
      <x:c r="J13" s="114"/>
      <x:c r="K13" s="114"/>
      <x:c r="L13" s="97"/>
      <x:c r="M13" s="97"/>
      <x:c r="N13" s="97"/>
      <x:c r="O13" s="97"/>
      <x:c r="P13" s="104" t="str">
        <x:f>IF(A13="","",IF(C13="","ADD ANALYSIS",IF(D13="","ADD N",IF(AND(G13&lt;&gt;"",H13=""),"ADD EFFECT SIZE",IF(AND(G13&lt;&gt;"",OR(J13="",K13="")),"ADD CI / UNCERTAINTY",IF(O13="","ADD INTERPRETATION",IF(M13="Yes","DISCLOSE ASSUMPTION ISSUE","OK")))))))</x:f>
      </x:c>
    </x:row>
    <x:row r="14">
      <x:c r="A14" s="97"/>
      <x:c r="B14" s="97"/>
      <x:c r="C14" s="97"/>
      <x:c r="D14" s="97"/>
      <x:c r="E14" s="97"/>
      <x:c r="F14" s="97"/>
      <x:c r="G14" s="113"/>
      <x:c r="H14" s="97"/>
      <x:c r="I14" s="114"/>
      <x:c r="J14" s="114"/>
      <x:c r="K14" s="114"/>
      <x:c r="L14" s="97"/>
      <x:c r="M14" s="97"/>
      <x:c r="N14" s="97"/>
      <x:c r="O14" s="97"/>
      <x:c r="P14" s="104" t="str">
        <x:f>IF(A14="","",IF(C14="","ADD ANALYSIS",IF(D14="","ADD N",IF(AND(G14&lt;&gt;"",H14=""),"ADD EFFECT SIZE",IF(AND(G14&lt;&gt;"",OR(J14="",K14="")),"ADD CI / UNCERTAINTY",IF(O14="","ADD INTERPRETATION",IF(M14="Yes","DISCLOSE ASSUMPTION ISSUE","OK")))))))</x:f>
      </x:c>
    </x:row>
    <x:row r="15">
      <x:c r="A15" s="97"/>
      <x:c r="B15" s="97"/>
      <x:c r="C15" s="97"/>
      <x:c r="D15" s="97"/>
      <x:c r="E15" s="97"/>
      <x:c r="F15" s="97"/>
      <x:c r="G15" s="113"/>
      <x:c r="H15" s="97"/>
      <x:c r="I15" s="114"/>
      <x:c r="J15" s="114"/>
      <x:c r="K15" s="114"/>
      <x:c r="L15" s="97"/>
      <x:c r="M15" s="97"/>
      <x:c r="N15" s="97"/>
      <x:c r="O15" s="97"/>
      <x:c r="P15" s="104" t="str">
        <x:f>IF(A15="","",IF(C15="","ADD ANALYSIS",IF(D15="","ADD N",IF(AND(G15&lt;&gt;"",H15=""),"ADD EFFECT SIZE",IF(AND(G15&lt;&gt;"",OR(J15="",K15="")),"ADD CI / UNCERTAINTY",IF(O15="","ADD INTERPRETATION",IF(M15="Yes","DISCLOSE ASSUMPTION ISSUE","OK")))))))</x:f>
      </x:c>
    </x:row>
    <x:row r="16">
      <x:c r="A16" s="97"/>
      <x:c r="B16" s="97"/>
      <x:c r="C16" s="97"/>
      <x:c r="D16" s="97"/>
      <x:c r="E16" s="97"/>
      <x:c r="F16" s="97"/>
      <x:c r="G16" s="113"/>
      <x:c r="H16" s="97"/>
      <x:c r="I16" s="114"/>
      <x:c r="J16" s="114"/>
      <x:c r="K16" s="114"/>
      <x:c r="L16" s="97"/>
      <x:c r="M16" s="97"/>
      <x:c r="N16" s="97"/>
      <x:c r="O16" s="97"/>
      <x:c r="P16" s="104" t="str">
        <x:f>IF(A16="","",IF(C16="","ADD ANALYSIS",IF(D16="","ADD N",IF(AND(G16&lt;&gt;"",H16=""),"ADD EFFECT SIZE",IF(AND(G16&lt;&gt;"",OR(J16="",K16="")),"ADD CI / UNCERTAINTY",IF(O16="","ADD INTERPRETATION",IF(M16="Yes","DISCLOSE ASSUMPTION ISSUE","OK")))))))</x:f>
      </x:c>
    </x:row>
    <x:row r="17">
      <x:c r="A17" s="97"/>
      <x:c r="B17" s="97"/>
      <x:c r="C17" s="97"/>
      <x:c r="D17" s="97"/>
      <x:c r="E17" s="97"/>
      <x:c r="F17" s="97"/>
      <x:c r="G17" s="113"/>
      <x:c r="H17" s="97"/>
      <x:c r="I17" s="114"/>
      <x:c r="J17" s="114"/>
      <x:c r="K17" s="114"/>
      <x:c r="L17" s="97"/>
      <x:c r="M17" s="97"/>
      <x:c r="N17" s="97"/>
      <x:c r="O17" s="97"/>
      <x:c r="P17" s="104" t="str">
        <x:f>IF(A17="","",IF(C17="","ADD ANALYSIS",IF(D17="","ADD N",IF(AND(G17&lt;&gt;"",H17=""),"ADD EFFECT SIZE",IF(AND(G17&lt;&gt;"",OR(J17="",K17="")),"ADD CI / UNCERTAINTY",IF(O17="","ADD INTERPRETATION",IF(M17="Yes","DISCLOSE ASSUMPTION ISSUE","OK")))))))</x:f>
      </x:c>
    </x:row>
    <x:row r="18">
      <x:c r="A18" s="97"/>
      <x:c r="B18" s="97"/>
      <x:c r="C18" s="97"/>
      <x:c r="D18" s="97"/>
      <x:c r="E18" s="97"/>
      <x:c r="F18" s="97"/>
      <x:c r="G18" s="113"/>
      <x:c r="H18" s="97"/>
      <x:c r="I18" s="114"/>
      <x:c r="J18" s="114"/>
      <x:c r="K18" s="114"/>
      <x:c r="L18" s="97"/>
      <x:c r="M18" s="97"/>
      <x:c r="N18" s="97"/>
      <x:c r="O18" s="97"/>
      <x:c r="P18" s="104" t="str">
        <x:f>IF(A18="","",IF(C18="","ADD ANALYSIS",IF(D18="","ADD N",IF(AND(G18&lt;&gt;"",H18=""),"ADD EFFECT SIZE",IF(AND(G18&lt;&gt;"",OR(J18="",K18="")),"ADD CI / UNCERTAINTY",IF(O18="","ADD INTERPRETATION",IF(M18="Yes","DISCLOSE ASSUMPTION ISSUE","OK")))))))</x:f>
      </x:c>
    </x:row>
    <x:row r="19">
      <x:c r="A19" s="97"/>
      <x:c r="B19" s="97"/>
      <x:c r="C19" s="97"/>
      <x:c r="D19" s="97"/>
      <x:c r="E19" s="97"/>
      <x:c r="F19" s="97"/>
      <x:c r="G19" s="113"/>
      <x:c r="H19" s="97"/>
      <x:c r="I19" s="114"/>
      <x:c r="J19" s="114"/>
      <x:c r="K19" s="114"/>
      <x:c r="L19" s="97"/>
      <x:c r="M19" s="97"/>
      <x:c r="N19" s="97"/>
      <x:c r="O19" s="97"/>
      <x:c r="P19" s="104" t="str">
        <x:f>IF(A19="","",IF(C19="","ADD ANALYSIS",IF(D19="","ADD N",IF(AND(G19&lt;&gt;"",H19=""),"ADD EFFECT SIZE",IF(AND(G19&lt;&gt;"",OR(J19="",K19="")),"ADD CI / UNCERTAINTY",IF(O19="","ADD INTERPRETATION",IF(M19="Yes","DISCLOSE ASSUMPTION ISSUE","OK")))))))</x:f>
      </x:c>
    </x:row>
    <x:row r="20">
      <x:c r="A20" s="97"/>
      <x:c r="B20" s="97"/>
      <x:c r="C20" s="97"/>
      <x:c r="D20" s="97"/>
      <x:c r="E20" s="97"/>
      <x:c r="F20" s="97"/>
      <x:c r="G20" s="113"/>
      <x:c r="H20" s="97"/>
      <x:c r="I20" s="114"/>
      <x:c r="J20" s="114"/>
      <x:c r="K20" s="114"/>
      <x:c r="L20" s="97"/>
      <x:c r="M20" s="97"/>
      <x:c r="N20" s="97"/>
      <x:c r="O20" s="97"/>
      <x:c r="P20" s="104" t="str">
        <x:f>IF(A20="","",IF(C20="","ADD ANALYSIS",IF(D20="","ADD N",IF(AND(G20&lt;&gt;"",H20=""),"ADD EFFECT SIZE",IF(AND(G20&lt;&gt;"",OR(J20="",K20="")),"ADD CI / UNCERTAINTY",IF(O20="","ADD INTERPRETATION",IF(M20="Yes","DISCLOSE ASSUMPTION ISSUE","OK")))))))</x:f>
      </x:c>
    </x:row>
    <x:row r="21">
      <x:c r="A21" s="97"/>
      <x:c r="B21" s="97"/>
      <x:c r="C21" s="97"/>
      <x:c r="D21" s="97"/>
      <x:c r="E21" s="97"/>
      <x:c r="F21" s="97"/>
      <x:c r="G21" s="113"/>
      <x:c r="H21" s="97"/>
      <x:c r="I21" s="114"/>
      <x:c r="J21" s="114"/>
      <x:c r="K21" s="114"/>
      <x:c r="L21" s="97"/>
      <x:c r="M21" s="97"/>
      <x:c r="N21" s="97"/>
      <x:c r="O21" s="97"/>
      <x:c r="P21" s="104" t="str">
        <x:f>IF(A21="","",IF(C21="","ADD ANALYSIS",IF(D21="","ADD N",IF(AND(G21&lt;&gt;"",H21=""),"ADD EFFECT SIZE",IF(AND(G21&lt;&gt;"",OR(J21="",K21="")),"ADD CI / UNCERTAINTY",IF(O21="","ADD INTERPRETATION",IF(M21="Yes","DISCLOSE ASSUMPTION ISSUE","OK")))))))</x:f>
      </x:c>
    </x:row>
    <x:row r="22">
      <x:c r="A22" s="97"/>
      <x:c r="B22" s="97"/>
      <x:c r="C22" s="97"/>
      <x:c r="D22" s="97"/>
      <x:c r="E22" s="97"/>
      <x:c r="F22" s="97"/>
      <x:c r="G22" s="113"/>
      <x:c r="H22" s="97"/>
      <x:c r="I22" s="114"/>
      <x:c r="J22" s="114"/>
      <x:c r="K22" s="114"/>
      <x:c r="L22" s="97"/>
      <x:c r="M22" s="97"/>
      <x:c r="N22" s="97"/>
      <x:c r="O22" s="97"/>
      <x:c r="P22" s="104" t="str">
        <x:f>IF(A22="","",IF(C22="","ADD ANALYSIS",IF(D22="","ADD N",IF(AND(G22&lt;&gt;"",H22=""),"ADD EFFECT SIZE",IF(AND(G22&lt;&gt;"",OR(J22="",K22="")),"ADD CI / UNCERTAINTY",IF(O22="","ADD INTERPRETATION",IF(M22="Yes","DISCLOSE ASSUMPTION ISSUE","OK")))))))</x:f>
      </x:c>
    </x:row>
    <x:row r="23">
      <x:c r="A23" s="97"/>
      <x:c r="B23" s="97"/>
      <x:c r="C23" s="97"/>
      <x:c r="D23" s="97"/>
      <x:c r="E23" s="97"/>
      <x:c r="F23" s="97"/>
      <x:c r="G23" s="113"/>
      <x:c r="H23" s="97"/>
      <x:c r="I23" s="114"/>
      <x:c r="J23" s="114"/>
      <x:c r="K23" s="114"/>
      <x:c r="L23" s="97"/>
      <x:c r="M23" s="97"/>
      <x:c r="N23" s="97"/>
      <x:c r="O23" s="97"/>
      <x:c r="P23" s="104" t="str">
        <x:f>IF(A23="","",IF(C23="","ADD ANALYSIS",IF(D23="","ADD N",IF(AND(G23&lt;&gt;"",H23=""),"ADD EFFECT SIZE",IF(AND(G23&lt;&gt;"",OR(J23="",K23="")),"ADD CI / UNCERTAINTY",IF(O23="","ADD INTERPRETATION",IF(M23="Yes","DISCLOSE ASSUMPTION ISSUE","OK")))))))</x:f>
      </x:c>
    </x:row>
    <x:row r="24">
      <x:c r="A24" s="97"/>
      <x:c r="B24" s="97"/>
      <x:c r="C24" s="97"/>
      <x:c r="D24" s="97"/>
      <x:c r="E24" s="97"/>
      <x:c r="F24" s="97"/>
      <x:c r="G24" s="113"/>
      <x:c r="H24" s="97"/>
      <x:c r="I24" s="114"/>
      <x:c r="J24" s="114"/>
      <x:c r="K24" s="114"/>
      <x:c r="L24" s="97"/>
      <x:c r="M24" s="97"/>
      <x:c r="N24" s="97"/>
      <x:c r="O24" s="97"/>
      <x:c r="P24" s="104" t="str">
        <x:f>IF(A24="","",IF(C24="","ADD ANALYSIS",IF(D24="","ADD N",IF(AND(G24&lt;&gt;"",H24=""),"ADD EFFECT SIZE",IF(AND(G24&lt;&gt;"",OR(J24="",K24="")),"ADD CI / UNCERTAINTY",IF(O24="","ADD INTERPRETATION",IF(M24="Yes","DISCLOSE ASSUMPTION ISSUE","OK")))))))</x:f>
      </x:c>
    </x:row>
    <x:row r="25">
      <x:c r="A25" s="97"/>
      <x:c r="B25" s="97"/>
      <x:c r="C25" s="97"/>
      <x:c r="D25" s="97"/>
      <x:c r="E25" s="97"/>
      <x:c r="F25" s="97"/>
      <x:c r="G25" s="113"/>
      <x:c r="H25" s="97"/>
      <x:c r="I25" s="114"/>
      <x:c r="J25" s="114"/>
      <x:c r="K25" s="114"/>
      <x:c r="L25" s="97"/>
      <x:c r="M25" s="97"/>
      <x:c r="N25" s="97"/>
      <x:c r="O25" s="97"/>
      <x:c r="P25" s="104" t="str">
        <x:f>IF(A25="","",IF(C25="","ADD ANALYSIS",IF(D25="","ADD N",IF(AND(G25&lt;&gt;"",H25=""),"ADD EFFECT SIZE",IF(AND(G25&lt;&gt;"",OR(J25="",K25="")),"ADD CI / UNCERTAINTY",IF(O25="","ADD INTERPRETATION",IF(M25="Yes","DISCLOSE ASSUMPTION ISSUE","OK")))))))</x:f>
      </x:c>
    </x:row>
    <x:row r="26">
      <x:c r="A26" s="97"/>
      <x:c r="B26" s="97"/>
      <x:c r="C26" s="97"/>
      <x:c r="D26" s="97"/>
      <x:c r="E26" s="97"/>
      <x:c r="F26" s="97"/>
      <x:c r="G26" s="113"/>
      <x:c r="H26" s="97"/>
      <x:c r="I26" s="114"/>
      <x:c r="J26" s="114"/>
      <x:c r="K26" s="114"/>
      <x:c r="L26" s="97"/>
      <x:c r="M26" s="97"/>
      <x:c r="N26" s="97"/>
      <x:c r="O26" s="97"/>
      <x:c r="P26" s="104" t="str">
        <x:f>IF(A26="","",IF(C26="","ADD ANALYSIS",IF(D26="","ADD N",IF(AND(G26&lt;&gt;"",H26=""),"ADD EFFECT SIZE",IF(AND(G26&lt;&gt;"",OR(J26="",K26="")),"ADD CI / UNCERTAINTY",IF(O26="","ADD INTERPRETATION",IF(M26="Yes","DISCLOSE ASSUMPTION ISSUE","OK")))))))</x:f>
      </x:c>
    </x:row>
    <x:row r="27">
      <x:c r="A27" s="97"/>
      <x:c r="B27" s="97"/>
      <x:c r="C27" s="97"/>
      <x:c r="D27" s="97"/>
      <x:c r="E27" s="97"/>
      <x:c r="F27" s="97"/>
      <x:c r="G27" s="113"/>
      <x:c r="H27" s="97"/>
      <x:c r="I27" s="114"/>
      <x:c r="J27" s="114"/>
      <x:c r="K27" s="114"/>
      <x:c r="L27" s="97"/>
      <x:c r="M27" s="97"/>
      <x:c r="N27" s="97"/>
      <x:c r="O27" s="97"/>
      <x:c r="P27" s="104" t="str">
        <x:f>IF(A27="","",IF(C27="","ADD ANALYSIS",IF(D27="","ADD N",IF(AND(G27&lt;&gt;"",H27=""),"ADD EFFECT SIZE",IF(AND(G27&lt;&gt;"",OR(J27="",K27="")),"ADD CI / UNCERTAINTY",IF(O27="","ADD INTERPRETATION",IF(M27="Yes","DISCLOSE ASSUMPTION ISSUE","OK")))))))</x:f>
      </x:c>
    </x:row>
    <x:row r="28">
      <x:c r="A28" s="97"/>
      <x:c r="B28" s="97"/>
      <x:c r="C28" s="97"/>
      <x:c r="D28" s="97"/>
      <x:c r="E28" s="97"/>
      <x:c r="F28" s="97"/>
      <x:c r="G28" s="113"/>
      <x:c r="H28" s="97"/>
      <x:c r="I28" s="114"/>
      <x:c r="J28" s="114"/>
      <x:c r="K28" s="114"/>
      <x:c r="L28" s="97"/>
      <x:c r="M28" s="97"/>
      <x:c r="N28" s="97"/>
      <x:c r="O28" s="97"/>
      <x:c r="P28" s="104" t="str">
        <x:f>IF(A28="","",IF(C28="","ADD ANALYSIS",IF(D28="","ADD N",IF(AND(G28&lt;&gt;"",H28=""),"ADD EFFECT SIZE",IF(AND(G28&lt;&gt;"",OR(J28="",K28="")),"ADD CI / UNCERTAINTY",IF(O28="","ADD INTERPRETATION",IF(M28="Yes","DISCLOSE ASSUMPTION ISSUE","OK")))))))</x:f>
      </x:c>
    </x:row>
    <x:row r="29">
      <x:c r="A29" s="97"/>
      <x:c r="B29" s="97"/>
      <x:c r="C29" s="97"/>
      <x:c r="D29" s="97"/>
      <x:c r="E29" s="97"/>
      <x:c r="F29" s="97"/>
      <x:c r="G29" s="113"/>
      <x:c r="H29" s="97"/>
      <x:c r="I29" s="114"/>
      <x:c r="J29" s="114"/>
      <x:c r="K29" s="114"/>
      <x:c r="L29" s="97"/>
      <x:c r="M29" s="97"/>
      <x:c r="N29" s="97"/>
      <x:c r="O29" s="97"/>
      <x:c r="P29" s="104" t="str">
        <x:f>IF(A29="","",IF(C29="","ADD ANALYSIS",IF(D29="","ADD N",IF(AND(G29&lt;&gt;"",H29=""),"ADD EFFECT SIZE",IF(AND(G29&lt;&gt;"",OR(J29="",K29="")),"ADD CI / UNCERTAINTY",IF(O29="","ADD INTERPRETATION",IF(M29="Yes","DISCLOSE ASSUMPTION ISSUE","OK")))))))</x:f>
      </x:c>
    </x:row>
    <x:row r="30">
      <x:c r="A30" s="97"/>
      <x:c r="B30" s="97"/>
      <x:c r="C30" s="97"/>
      <x:c r="D30" s="97"/>
      <x:c r="E30" s="97"/>
      <x:c r="F30" s="97"/>
      <x:c r="G30" s="113"/>
      <x:c r="H30" s="97"/>
      <x:c r="I30" s="114"/>
      <x:c r="J30" s="114"/>
      <x:c r="K30" s="114"/>
      <x:c r="L30" s="97"/>
      <x:c r="M30" s="97"/>
      <x:c r="N30" s="97"/>
      <x:c r="O30" s="97"/>
      <x:c r="P30" s="104" t="str">
        <x:f>IF(A30="","",IF(C30="","ADD ANALYSIS",IF(D30="","ADD N",IF(AND(G30&lt;&gt;"",H30=""),"ADD EFFECT SIZE",IF(AND(G30&lt;&gt;"",OR(J30="",K30="")),"ADD CI / UNCERTAINTY",IF(O30="","ADD INTERPRETATION",IF(M30="Yes","DISCLOSE ASSUMPTION ISSUE","OK")))))))</x:f>
      </x:c>
    </x:row>
    <x:row r="31">
      <x:c r="A31" s="97"/>
      <x:c r="B31" s="97"/>
      <x:c r="C31" s="97"/>
      <x:c r="D31" s="97"/>
      <x:c r="E31" s="97"/>
      <x:c r="F31" s="97"/>
      <x:c r="G31" s="113"/>
      <x:c r="H31" s="97"/>
      <x:c r="I31" s="114"/>
      <x:c r="J31" s="114"/>
      <x:c r="K31" s="114"/>
      <x:c r="L31" s="97"/>
      <x:c r="M31" s="97"/>
      <x:c r="N31" s="97"/>
      <x:c r="O31" s="97"/>
      <x:c r="P31" s="104" t="str">
        <x:f>IF(A31="","",IF(C31="","ADD ANALYSIS",IF(D31="","ADD N",IF(AND(G31&lt;&gt;"",H31=""),"ADD EFFECT SIZE",IF(AND(G31&lt;&gt;"",OR(J31="",K31="")),"ADD CI / UNCERTAINTY",IF(O31="","ADD INTERPRETATION",IF(M31="Yes","DISCLOSE ASSUMPTION ISSUE","OK")))))))</x:f>
      </x:c>
    </x:row>
    <x:row r="32">
      <x:c r="A32" s="97"/>
      <x:c r="B32" s="97"/>
      <x:c r="C32" s="97"/>
      <x:c r="D32" s="97"/>
      <x:c r="E32" s="97"/>
      <x:c r="F32" s="97"/>
      <x:c r="G32" s="113"/>
      <x:c r="H32" s="97"/>
      <x:c r="I32" s="114"/>
      <x:c r="J32" s="114"/>
      <x:c r="K32" s="114"/>
      <x:c r="L32" s="97"/>
      <x:c r="M32" s="97"/>
      <x:c r="N32" s="97"/>
      <x:c r="O32" s="97"/>
      <x:c r="P32" s="104" t="str">
        <x:f>IF(A32="","",IF(C32="","ADD ANALYSIS",IF(D32="","ADD N",IF(AND(G32&lt;&gt;"",H32=""),"ADD EFFECT SIZE",IF(AND(G32&lt;&gt;"",OR(J32="",K32="")),"ADD CI / UNCERTAINTY",IF(O32="","ADD INTERPRETATION",IF(M32="Yes","DISCLOSE ASSUMPTION ISSUE","OK")))))))</x:f>
      </x:c>
    </x:row>
    <x:row r="33">
      <x:c r="A33" s="97"/>
      <x:c r="B33" s="97"/>
      <x:c r="C33" s="97"/>
      <x:c r="D33" s="97"/>
      <x:c r="E33" s="97"/>
      <x:c r="F33" s="97"/>
      <x:c r="G33" s="113"/>
      <x:c r="H33" s="97"/>
      <x:c r="I33" s="114"/>
      <x:c r="J33" s="114"/>
      <x:c r="K33" s="114"/>
      <x:c r="L33" s="97"/>
      <x:c r="M33" s="97"/>
      <x:c r="N33" s="97"/>
      <x:c r="O33" s="97"/>
      <x:c r="P33" s="104" t="str">
        <x:f>IF(A33="","",IF(C33="","ADD ANALYSIS",IF(D33="","ADD N",IF(AND(G33&lt;&gt;"",H33=""),"ADD EFFECT SIZE",IF(AND(G33&lt;&gt;"",OR(J33="",K33="")),"ADD CI / UNCERTAINTY",IF(O33="","ADD INTERPRETATION",IF(M33="Yes","DISCLOSE ASSUMPTION ISSUE","OK")))))))</x:f>
      </x:c>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84" t="str">
        <x:v>Interpretation reminder</x:v>
      </x:c>
      <x:c r="B36" s="84"/>
      <x:c r="C36" s="84"/>
      <x:c r="D36" s="84"/>
      <x:c r="E36" s="84"/>
      <x:c r="F36" s="84"/>
      <x:c r="G36" s="84"/>
      <x:c r="H36" s="84"/>
      <x:c r="I36" s="84"/>
      <x:c r="J36" s="84"/>
      <x:c r="K36" s="84"/>
      <x:c r="L36" s="84"/>
      <x:c r="M36" s="84"/>
      <x:c r="N36" s="84"/>
      <x:c r="O36" s="84"/>
      <x:c r="P36" s="84"/>
    </x:row>
    <x:row r="37">
      <x:c r="A37" s="107" t="str">
        <x:v>Do not write that p &lt; .05 proves a hypothesis, that p &gt; .05 proves no effect, or that statistical significance alone establishes practical importance. Interpret the estimate/effect size, confidence interval or other uncertainty measure, study design, diagnostics, missing/excluded data, multiplicity, and substantive context together.</x:v>
      </x:c>
      <x:c r="B37" s="107"/>
      <x:c r="C37" s="107"/>
      <x:c r="D37" s="107"/>
      <x:c r="E37" s="107"/>
      <x:c r="F37" s="107"/>
      <x:c r="G37" s="107"/>
      <x:c r="H37" s="107"/>
      <x:c r="I37" s="107"/>
      <x:c r="J37" s="107"/>
      <x:c r="K37" s="107"/>
      <x:c r="L37" s="107"/>
      <x:c r="M37" s="107"/>
      <x:c r="N37" s="107"/>
      <x:c r="O37" s="107"/>
      <x:c r="P37" s="107"/>
    </x:row>
    <x:row r="38">
      <x:c r="A38" s="107"/>
      <x:c r="B38" s="107"/>
      <x:c r="C38" s="107"/>
      <x:c r="D38" s="107"/>
      <x:c r="E38" s="107"/>
      <x:c r="F38" s="107"/>
      <x:c r="G38" s="107"/>
      <x:c r="H38" s="107"/>
      <x:c r="I38" s="107"/>
      <x:c r="J38" s="107"/>
      <x:c r="K38" s="107"/>
      <x:c r="L38" s="107"/>
      <x:c r="M38" s="107"/>
      <x:c r="N38" s="107"/>
      <x:c r="O38" s="107"/>
      <x:c r="P38" s="107"/>
    </x:row>
    <x:row r="39">
      <x:c r="A39" s="107"/>
      <x:c r="B39" s="107"/>
      <x:c r="C39" s="107"/>
      <x:c r="D39" s="107"/>
      <x:c r="E39" s="107"/>
      <x:c r="F39" s="107"/>
      <x:c r="G39" s="107"/>
      <x:c r="H39" s="107"/>
      <x:c r="I39" s="107"/>
      <x:c r="J39" s="107"/>
      <x:c r="K39" s="107"/>
      <x:c r="L39" s="107"/>
      <x:c r="M39" s="107"/>
      <x:c r="N39" s="107"/>
      <x:c r="O39" s="107"/>
      <x:c r="P39" s="107"/>
    </x:row>
    <x:row r="40">
      <x:c r="A40" s="107"/>
      <x:c r="B40" s="107"/>
      <x:c r="C40" s="107"/>
      <x:c r="D40" s="107"/>
      <x:c r="E40" s="107"/>
      <x:c r="F40" s="107"/>
      <x:c r="G40" s="107"/>
      <x:c r="H40" s="107"/>
      <x:c r="I40" s="107"/>
      <x:c r="J40" s="107"/>
      <x:c r="K40" s="107"/>
      <x:c r="L40" s="107"/>
      <x:c r="M40" s="107"/>
      <x:c r="N40" s="107"/>
      <x:c r="O40" s="107"/>
      <x:c r="P40" s="10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P1"/>
    <x:mergeCell ref="A36:P36"/>
    <x:mergeCell ref="A37:P40"/>
  </x:mergeCells>
  <x:conditionalFormatting sqref="P4:P33">
    <x:cfRule type="expression" dxfId="4" priority="1">
      <x:formula>$P4&lt;&gt;"OK"</x:formula>
    </x:cfRule>
  </x:conditionalFormatting>
  <x:dataValidations count="90">
    <x:dataValidation type="list" sqref="B4">
      <x:formula1>_LISTS!$E$2:$E$5</x:formula1>
    </x:dataValidation>
    <x:dataValidation type="list" sqref="L4:M4">
      <x:formula1>_LISTS!$D$2:$D$4</x:formula1>
    </x:dataValidation>
    <x:dataValidation type="list" sqref="N4">
      <x:formula1>_LISTS!$H$2:$H$6</x:formula1>
    </x:dataValidation>
    <x:dataValidation type="list" sqref="B5">
      <x:formula1>_LISTS!$E$2:$E$5</x:formula1>
    </x:dataValidation>
    <x:dataValidation type="list" sqref="L5:M5">
      <x:formula1>_LISTS!$D$2:$D$4</x:formula1>
    </x:dataValidation>
    <x:dataValidation type="list" sqref="N5">
      <x:formula1>_LISTS!$H$2:$H$6</x:formula1>
    </x:dataValidation>
    <x:dataValidation type="list" sqref="B6">
      <x:formula1>_LISTS!$E$2:$E$5</x:formula1>
    </x:dataValidation>
    <x:dataValidation type="list" sqref="L6:M6">
      <x:formula1>_LISTS!$D$2:$D$4</x:formula1>
    </x:dataValidation>
    <x:dataValidation type="list" sqref="N6">
      <x:formula1>_LISTS!$H$2:$H$6</x:formula1>
    </x:dataValidation>
    <x:dataValidation type="list" sqref="B7">
      <x:formula1>_LISTS!$E$2:$E$5</x:formula1>
    </x:dataValidation>
    <x:dataValidation type="list" sqref="L7:M7">
      <x:formula1>_LISTS!$D$2:$D$4</x:formula1>
    </x:dataValidation>
    <x:dataValidation type="list" sqref="N7">
      <x:formula1>_LISTS!$H$2:$H$6</x:formula1>
    </x:dataValidation>
    <x:dataValidation type="list" sqref="B8">
      <x:formula1>_LISTS!$E$2:$E$5</x:formula1>
    </x:dataValidation>
    <x:dataValidation type="list" sqref="L8:M8">
      <x:formula1>_LISTS!$D$2:$D$4</x:formula1>
    </x:dataValidation>
    <x:dataValidation type="list" sqref="N8">
      <x:formula1>_LISTS!$H$2:$H$6</x:formula1>
    </x:dataValidation>
    <x:dataValidation type="list" sqref="B9">
      <x:formula1>_LISTS!$E$2:$E$5</x:formula1>
    </x:dataValidation>
    <x:dataValidation type="list" sqref="L9:M9">
      <x:formula1>_LISTS!$D$2:$D$4</x:formula1>
    </x:dataValidation>
    <x:dataValidation type="list" sqref="N9">
      <x:formula1>_LISTS!$H$2:$H$6</x:formula1>
    </x:dataValidation>
    <x:dataValidation type="list" sqref="B10">
      <x:formula1>_LISTS!$E$2:$E$5</x:formula1>
    </x:dataValidation>
    <x:dataValidation type="list" sqref="L10:M10">
      <x:formula1>_LISTS!$D$2:$D$4</x:formula1>
    </x:dataValidation>
    <x:dataValidation type="list" sqref="N10">
      <x:formula1>_LISTS!$H$2:$H$6</x:formula1>
    </x:dataValidation>
    <x:dataValidation type="list" sqref="B11">
      <x:formula1>_LISTS!$E$2:$E$5</x:formula1>
    </x:dataValidation>
    <x:dataValidation type="list" sqref="L11:M11">
      <x:formula1>_LISTS!$D$2:$D$4</x:formula1>
    </x:dataValidation>
    <x:dataValidation type="list" sqref="N11">
      <x:formula1>_LISTS!$H$2:$H$6</x:formula1>
    </x:dataValidation>
    <x:dataValidation type="list" sqref="B12">
      <x:formula1>_LISTS!$E$2:$E$5</x:formula1>
    </x:dataValidation>
    <x:dataValidation type="list" sqref="L12:M12">
      <x:formula1>_LISTS!$D$2:$D$4</x:formula1>
    </x:dataValidation>
    <x:dataValidation type="list" sqref="N12">
      <x:formula1>_LISTS!$H$2:$H$6</x:formula1>
    </x:dataValidation>
    <x:dataValidation type="list" sqref="B13">
      <x:formula1>_LISTS!$E$2:$E$5</x:formula1>
    </x:dataValidation>
    <x:dataValidation type="list" sqref="L13:M13">
      <x:formula1>_LISTS!$D$2:$D$4</x:formula1>
    </x:dataValidation>
    <x:dataValidation type="list" sqref="N13">
      <x:formula1>_LISTS!$H$2:$H$6</x:formula1>
    </x:dataValidation>
    <x:dataValidation type="list" sqref="B14">
      <x:formula1>_LISTS!$E$2:$E$5</x:formula1>
    </x:dataValidation>
    <x:dataValidation type="list" sqref="L14:M14">
      <x:formula1>_LISTS!$D$2:$D$4</x:formula1>
    </x:dataValidation>
    <x:dataValidation type="list" sqref="N14">
      <x:formula1>_LISTS!$H$2:$H$6</x:formula1>
    </x:dataValidation>
    <x:dataValidation type="list" sqref="B15">
      <x:formula1>_LISTS!$E$2:$E$5</x:formula1>
    </x:dataValidation>
    <x:dataValidation type="list" sqref="L15:M15">
      <x:formula1>_LISTS!$D$2:$D$4</x:formula1>
    </x:dataValidation>
    <x:dataValidation type="list" sqref="N15">
      <x:formula1>_LISTS!$H$2:$H$6</x:formula1>
    </x:dataValidation>
    <x:dataValidation type="list" sqref="B16">
      <x:formula1>_LISTS!$E$2:$E$5</x:formula1>
    </x:dataValidation>
    <x:dataValidation type="list" sqref="L16:M16">
      <x:formula1>_LISTS!$D$2:$D$4</x:formula1>
    </x:dataValidation>
    <x:dataValidation type="list" sqref="N16">
      <x:formula1>_LISTS!$H$2:$H$6</x:formula1>
    </x:dataValidation>
    <x:dataValidation type="list" sqref="B17">
      <x:formula1>_LISTS!$E$2:$E$5</x:formula1>
    </x:dataValidation>
    <x:dataValidation type="list" sqref="L17:M17">
      <x:formula1>_LISTS!$D$2:$D$4</x:formula1>
    </x:dataValidation>
    <x:dataValidation type="list" sqref="N17">
      <x:formula1>_LISTS!$H$2:$H$6</x:formula1>
    </x:dataValidation>
    <x:dataValidation type="list" sqref="B18">
      <x:formula1>_LISTS!$E$2:$E$5</x:formula1>
    </x:dataValidation>
    <x:dataValidation type="list" sqref="L18:M18">
      <x:formula1>_LISTS!$D$2:$D$4</x:formula1>
    </x:dataValidation>
    <x:dataValidation type="list" sqref="N18">
      <x:formula1>_LISTS!$H$2:$H$6</x:formula1>
    </x:dataValidation>
    <x:dataValidation type="list" sqref="B19">
      <x:formula1>_LISTS!$E$2:$E$5</x:formula1>
    </x:dataValidation>
    <x:dataValidation type="list" sqref="L19:M19">
      <x:formula1>_LISTS!$D$2:$D$4</x:formula1>
    </x:dataValidation>
    <x:dataValidation type="list" sqref="N19">
      <x:formula1>_LISTS!$H$2:$H$6</x:formula1>
    </x:dataValidation>
    <x:dataValidation type="list" sqref="B20">
      <x:formula1>_LISTS!$E$2:$E$5</x:formula1>
    </x:dataValidation>
    <x:dataValidation type="list" sqref="L20:M20">
      <x:formula1>_LISTS!$D$2:$D$4</x:formula1>
    </x:dataValidation>
    <x:dataValidation type="list" sqref="N20">
      <x:formula1>_LISTS!$H$2:$H$6</x:formula1>
    </x:dataValidation>
    <x:dataValidation type="list" sqref="B21">
      <x:formula1>_LISTS!$E$2:$E$5</x:formula1>
    </x:dataValidation>
    <x:dataValidation type="list" sqref="L21:M21">
      <x:formula1>_LISTS!$D$2:$D$4</x:formula1>
    </x:dataValidation>
    <x:dataValidation type="list" sqref="N21">
      <x:formula1>_LISTS!$H$2:$H$6</x:formula1>
    </x:dataValidation>
    <x:dataValidation type="list" sqref="B22">
      <x:formula1>_LISTS!$E$2:$E$5</x:formula1>
    </x:dataValidation>
    <x:dataValidation type="list" sqref="L22:M22">
      <x:formula1>_LISTS!$D$2:$D$4</x:formula1>
    </x:dataValidation>
    <x:dataValidation type="list" sqref="N22">
      <x:formula1>_LISTS!$H$2:$H$6</x:formula1>
    </x:dataValidation>
    <x:dataValidation type="list" sqref="B23">
      <x:formula1>_LISTS!$E$2:$E$5</x:formula1>
    </x:dataValidation>
    <x:dataValidation type="list" sqref="L23:M23">
      <x:formula1>_LISTS!$D$2:$D$4</x:formula1>
    </x:dataValidation>
    <x:dataValidation type="list" sqref="N23">
      <x:formula1>_LISTS!$H$2:$H$6</x:formula1>
    </x:dataValidation>
    <x:dataValidation type="list" sqref="B24">
      <x:formula1>_LISTS!$E$2:$E$5</x:formula1>
    </x:dataValidation>
    <x:dataValidation type="list" sqref="L24:M24">
      <x:formula1>_LISTS!$D$2:$D$4</x:formula1>
    </x:dataValidation>
    <x:dataValidation type="list" sqref="N24">
      <x:formula1>_LISTS!$H$2:$H$6</x:formula1>
    </x:dataValidation>
    <x:dataValidation type="list" sqref="B25">
      <x:formula1>_LISTS!$E$2:$E$5</x:formula1>
    </x:dataValidation>
    <x:dataValidation type="list" sqref="L25:M25">
      <x:formula1>_LISTS!$D$2:$D$4</x:formula1>
    </x:dataValidation>
    <x:dataValidation type="list" sqref="N25">
      <x:formula1>_LISTS!$H$2:$H$6</x:formula1>
    </x:dataValidation>
    <x:dataValidation type="list" sqref="B26">
      <x:formula1>_LISTS!$E$2:$E$5</x:formula1>
    </x:dataValidation>
    <x:dataValidation type="list" sqref="L26:M26">
      <x:formula1>_LISTS!$D$2:$D$4</x:formula1>
    </x:dataValidation>
    <x:dataValidation type="list" sqref="N26">
      <x:formula1>_LISTS!$H$2:$H$6</x:formula1>
    </x:dataValidation>
    <x:dataValidation type="list" sqref="B27">
      <x:formula1>_LISTS!$E$2:$E$5</x:formula1>
    </x:dataValidation>
    <x:dataValidation type="list" sqref="L27:M27">
      <x:formula1>_LISTS!$D$2:$D$4</x:formula1>
    </x:dataValidation>
    <x:dataValidation type="list" sqref="N27">
      <x:formula1>_LISTS!$H$2:$H$6</x:formula1>
    </x:dataValidation>
    <x:dataValidation type="list" sqref="B28">
      <x:formula1>_LISTS!$E$2:$E$5</x:formula1>
    </x:dataValidation>
    <x:dataValidation type="list" sqref="L28:M28">
      <x:formula1>_LISTS!$D$2:$D$4</x:formula1>
    </x:dataValidation>
    <x:dataValidation type="list" sqref="N28">
      <x:formula1>_LISTS!$H$2:$H$6</x:formula1>
    </x:dataValidation>
    <x:dataValidation type="list" sqref="B29">
      <x:formula1>_LISTS!$E$2:$E$5</x:formula1>
    </x:dataValidation>
    <x:dataValidation type="list" sqref="L29:M29">
      <x:formula1>_LISTS!$D$2:$D$4</x:formula1>
    </x:dataValidation>
    <x:dataValidation type="list" sqref="N29">
      <x:formula1>_LISTS!$H$2:$H$6</x:formula1>
    </x:dataValidation>
    <x:dataValidation type="list" sqref="B30">
      <x:formula1>_LISTS!$E$2:$E$5</x:formula1>
    </x:dataValidation>
    <x:dataValidation type="list" sqref="L30:M30">
      <x:formula1>_LISTS!$D$2:$D$4</x:formula1>
    </x:dataValidation>
    <x:dataValidation type="list" sqref="N30">
      <x:formula1>_LISTS!$H$2:$H$6</x:formula1>
    </x:dataValidation>
    <x:dataValidation type="list" sqref="B31">
      <x:formula1>_LISTS!$E$2:$E$5</x:formula1>
    </x:dataValidation>
    <x:dataValidation type="list" sqref="L31:M31">
      <x:formula1>_LISTS!$D$2:$D$4</x:formula1>
    </x:dataValidation>
    <x:dataValidation type="list" sqref="N31">
      <x:formula1>_LISTS!$H$2:$H$6</x:formula1>
    </x:dataValidation>
    <x:dataValidation type="list" sqref="B32">
      <x:formula1>_LISTS!$E$2:$E$5</x:formula1>
    </x:dataValidation>
    <x:dataValidation type="list" sqref="L32:M32">
      <x:formula1>_LISTS!$D$2:$D$4</x:formula1>
    </x:dataValidation>
    <x:dataValidation type="list" sqref="N32">
      <x:formula1>_LISTS!$H$2:$H$6</x:formula1>
    </x:dataValidation>
    <x:dataValidation type="list" sqref="B33">
      <x:formula1>_LISTS!$E$2:$E$5</x:formula1>
    </x:dataValidation>
    <x:dataValidation type="list" sqref="L33:M33">
      <x:formula1>_LISTS!$D$2:$D$4</x:formula1>
    </x:dataValidation>
    <x:dataValidation type="list" sqref="N33">
      <x:formula1>_LISTS!$H$2:$H$6</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48" hidden="0" customWidth="1"/>
    <x:col min="2" max="2" width="14" hidden="0" customWidth="1"/>
    <x:col min="3" max="3" width="32" hidden="0" customWidth="1"/>
    <x:col min="4" max="4" width="52" hidden="0" customWidth="1"/>
    <x:col min="5" max="5" width="18" hidden="0" customWidth="1"/>
    <x:col min="6" max="6" width="18" hidden="0" customWidth="1"/>
    <x:col min="7" max="7" width="34" hidden="0" customWidth="1"/>
  </x:cols>
  <x:sheetData>
    <x:row r="1">
      <x:c r="A1" s="131" t="str">
        <x:v>REPORTING CHECKLIST — transparency before polish</x:v>
      </x:c>
      <x:c r="B1" s="131"/>
      <x:c r="C1" s="131"/>
      <x:c r="D1" s="131"/>
      <x:c r="E1" s="131"/>
      <x:c r="F1" s="131"/>
      <x:c r="G1" s="131"/>
      <x:c r="H1" s="77"/>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103" t="str">
        <x:v>Reporting Element</x:v>
      </x:c>
      <x:c r="B3" s="103" t="str">
        <x:v>Present?</x:v>
      </x:c>
      <x:c r="C3" s="103" t="str">
        <x:v>Where / Link</x:v>
      </x:c>
      <x:c r="D3" s="103" t="str">
        <x:v>Why It Matters</x:v>
      </x:c>
      <x:c r="E3" s="103" t="str">
        <x:v>Auto QA</x:v>
      </x:c>
      <x:c r="F3" s="103" t="str">
        <x:v>Owner</x:v>
      </x:c>
      <x:c r="G3" s="103" t="str">
        <x:v>Notes</x:v>
      </x:c>
      <x:c r="H3" s="77"/>
      <x:c r="I3" s="77"/>
      <x:c r="J3" s="77"/>
      <x:c r="K3" s="77"/>
      <x:c r="L3" s="77"/>
      <x:c r="M3" s="77"/>
      <x:c r="N3" s="77"/>
      <x:c r="O3" s="77"/>
      <x:c r="P3" s="77"/>
    </x:row>
    <x:row r="4">
      <x:c r="A4" s="109" t="str">
        <x:v>Research question / objectives stated clearly</x:v>
      </x:c>
      <x:c r="B4" s="97" t="str"/>
      <x:c r="C4" s="97" t="str"/>
      <x:c r="D4" s="107" t="str">
        <x:v>Readers need to know what the analysis was designed to answer.</x:v>
      </x:c>
      <x:c r="E4" s="104" t="str">
        <x:f>IF(B4="","ACTION NEEDED",IF(OR(B4="Yes",B4="N/A"),"OK","ACTION NEEDED"))</x:f>
        <x:v>ACTION NEEDED</x:v>
      </x:c>
      <x:c r="F4" s="110"/>
      <x:c r="G4" s="110"/>
      <x:c r="H4" s="77"/>
      <x:c r="I4" s="77"/>
      <x:c r="J4" s="77"/>
      <x:c r="K4" s="77"/>
      <x:c r="L4" s="77"/>
      <x:c r="M4" s="77"/>
      <x:c r="N4" s="77"/>
      <x:c r="O4" s="77"/>
      <x:c r="P4" s="77"/>
    </x:row>
    <x:row r="5">
      <x:c r="A5" s="109" t="str">
        <x:v>Primary, secondary, exploratory, and descriptive analyses distinguished</x:v>
      </x:c>
      <x:c r="B5" s="97" t="str"/>
      <x:c r="C5" s="97" t="str"/>
      <x:c r="D5" s="107" t="str">
        <x:v>Separating planned and exploratory work reduces selective interpretation.</x:v>
      </x:c>
      <x:c r="E5" s="104" t="str">
        <x:f>IF(B5="","ACTION NEEDED",IF(OR(B5="Yes",B5="N/A"),"OK","ACTION NEEDED"))</x:f>
        <x:v>ACTION NEEDED</x:v>
      </x:c>
      <x:c r="F5" s="110"/>
      <x:c r="G5" s="110"/>
      <x:c r="H5" s="77"/>
      <x:c r="I5" s="77"/>
      <x:c r="J5" s="77"/>
      <x:c r="K5" s="77"/>
      <x:c r="L5" s="77"/>
      <x:c r="M5" s="77"/>
      <x:c r="N5" s="77"/>
      <x:c r="O5" s="77"/>
      <x:c r="P5" s="77"/>
    </x:row>
    <x:row r="6">
      <x:c r="A6" s="109" t="str">
        <x:v>Participant/sample characteristics and inclusion/exclusion criteria reported</x:v>
      </x:c>
      <x:c r="B6" s="97" t="str"/>
      <x:c r="C6" s="97" t="str"/>
      <x:c r="D6" s="107" t="str">
        <x:v>Readers need the analytic population and sample flow.</x:v>
      </x:c>
      <x:c r="E6" s="104" t="str">
        <x:f>IF(B6="","ACTION NEEDED",IF(OR(B6="Yes",B6="N/A"),"OK","ACTION NEEDED"))</x:f>
        <x:v>ACTION NEEDED</x:v>
      </x:c>
      <x:c r="F6" s="110"/>
      <x:c r="G6" s="110"/>
      <x:c r="H6" s="77"/>
      <x:c r="I6" s="77"/>
      <x:c r="J6" s="77"/>
      <x:c r="K6" s="77"/>
      <x:c r="L6" s="77"/>
      <x:c r="M6" s="77"/>
      <x:c r="N6" s="77"/>
      <x:c r="O6" s="77"/>
      <x:c r="P6" s="77"/>
    </x:row>
    <x:row r="7">
      <x:c r="A7" s="109" t="str">
        <x:v>Measures / variables and coding documented</x:v>
      </x:c>
      <x:c r="B7" s="97" t="str"/>
      <x:c r="C7" s="97" t="str"/>
      <x:c r="D7" s="107" t="str">
        <x:v>Measurement definitions are part of reproducibility.</x:v>
      </x:c>
      <x:c r="E7" s="104" t="str">
        <x:f>IF(B7="","ACTION NEEDED",IF(OR(B7="Yes",B7="N/A"),"OK","ACTION NEEDED"))</x:f>
        <x:v>ACTION NEEDED</x:v>
      </x:c>
      <x:c r="F7" s="110"/>
      <x:c r="G7" s="110"/>
      <x:c r="H7" s="77"/>
      <x:c r="I7" s="77"/>
      <x:c r="J7" s="77"/>
      <x:c r="K7" s="77"/>
      <x:c r="L7" s="77"/>
      <x:c r="M7" s="77"/>
      <x:c r="N7" s="77"/>
      <x:c r="O7" s="77"/>
      <x:c r="P7" s="77"/>
    </x:row>
    <x:row r="8">
      <x:c r="A8" s="109" t="str">
        <x:v>Psychometric or measurement-quality information reported when relevant</x:v>
      </x:c>
      <x:c r="B8" s="97" t="str"/>
      <x:c r="C8" s="97" t="str"/>
      <x:c r="D8" s="107" t="str">
        <x:v>A score is not self-validating simply because it is numeric.</x:v>
      </x:c>
      <x:c r="E8" s="104" t="str">
        <x:f>IF(B8="","ACTION NEEDED",IF(OR(B8="Yes",B8="N/A"),"OK","ACTION NEEDED"))</x:f>
        <x:v>ACTION NEEDED</x:v>
      </x:c>
      <x:c r="F8" s="110"/>
      <x:c r="G8" s="110"/>
      <x:c r="H8" s="77"/>
      <x:c r="I8" s="77"/>
      <x:c r="J8" s="77"/>
      <x:c r="K8" s="77"/>
      <x:c r="L8" s="77"/>
      <x:c r="M8" s="77"/>
      <x:c r="N8" s="77"/>
      <x:c r="O8" s="77"/>
      <x:c r="P8" s="77"/>
    </x:row>
    <x:row r="9">
      <x:c r="A9" s="109" t="str">
        <x:v>Missing data and exclusions reported</x:v>
      </x:c>
      <x:c r="B9" s="97" t="str"/>
      <x:c r="C9" s="97" t="str"/>
      <x:c r="D9" s="107" t="str">
        <x:v>Missingness/exclusions can materially affect results.</x:v>
      </x:c>
      <x:c r="E9" s="104" t="str">
        <x:f>IF(B9="","ACTION NEEDED",IF(OR(B9="Yes",B9="N/A"),"OK","ACTION NEEDED"))</x:f>
        <x:v>ACTION NEEDED</x:v>
      </x:c>
      <x:c r="F9" s="110"/>
      <x:c r="G9" s="110"/>
      <x:c r="H9" s="77"/>
      <x:c r="I9" s="77"/>
      <x:c r="J9" s="77"/>
      <x:c r="K9" s="77"/>
      <x:c r="L9" s="77"/>
      <x:c r="M9" s="77"/>
      <x:c r="N9" s="77"/>
      <x:c r="O9" s="77"/>
      <x:c r="P9" s="77"/>
    </x:row>
    <x:row r="10">
      <x:c r="A10" s="109" t="str">
        <x:v>Diagnostics / assumptions and analytic strategy reported</x:v>
      </x:c>
      <x:c r="B10" s="97" t="str"/>
      <x:c r="C10" s="97" t="str"/>
      <x:c r="D10" s="107" t="str">
        <x:v>Readers need to evaluate whether the model fits the design/data.</x:v>
      </x:c>
      <x:c r="E10" s="104" t="str">
        <x:f>IF(B10="","ACTION NEEDED",IF(OR(B10="Yes",B10="N/A"),"OK","ACTION NEEDED"))</x:f>
        <x:v>ACTION NEEDED</x:v>
      </x:c>
      <x:c r="F10" s="110"/>
      <x:c r="G10" s="110"/>
      <x:c r="H10" s="77"/>
      <x:c r="I10" s="77"/>
      <x:c r="J10" s="77"/>
      <x:c r="K10" s="77"/>
      <x:c r="L10" s="77"/>
      <x:c r="M10" s="77"/>
      <x:c r="N10" s="77"/>
      <x:c r="O10" s="77"/>
      <x:c r="P10" s="77"/>
    </x:row>
    <x:row r="11">
      <x:c r="A11" s="109" t="str">
        <x:v>Effect sizes / estimates reported</x:v>
      </x:c>
      <x:c r="B11" s="97" t="str"/>
      <x:c r="C11" s="97" t="str"/>
      <x:c r="D11" s="107" t="str">
        <x:v>Magnitude matters beyond a significance threshold.</x:v>
      </x:c>
      <x:c r="E11" s="104" t="str">
        <x:f>IF(B11="","ACTION NEEDED",IF(OR(B11="Yes",B11="N/A"),"OK","ACTION NEEDED"))</x:f>
        <x:v>ACTION NEEDED</x:v>
      </x:c>
      <x:c r="F11" s="110"/>
      <x:c r="G11" s="110"/>
      <x:c r="H11" s="77"/>
      <x:c r="I11" s="77"/>
      <x:c r="J11" s="77"/>
      <x:c r="K11" s="77"/>
      <x:c r="L11" s="77"/>
      <x:c r="M11" s="77"/>
      <x:c r="N11" s="77"/>
      <x:c r="O11" s="77"/>
      <x:c r="P11" s="77"/>
    </x:row>
    <x:row r="12">
      <x:c r="A12" s="109" t="str">
        <x:v>Confidence intervals / uncertainty reported when appropriate</x:v>
      </x:c>
      <x:c r="B12" s="97" t="str"/>
      <x:c r="C12" s="97" t="str"/>
      <x:c r="D12" s="107" t="str">
        <x:v>Precision is part of interpretation.</x:v>
      </x:c>
      <x:c r="E12" s="104" t="str">
        <x:f>IF(B12="","ACTION NEEDED",IF(OR(B12="Yes",B12="N/A"),"OK","ACTION NEEDED"))</x:f>
        <x:v>ACTION NEEDED</x:v>
      </x:c>
      <x:c r="F12" s="110"/>
      <x:c r="G12" s="110"/>
      <x:c r="H12" s="77"/>
      <x:c r="I12" s="77"/>
      <x:c r="J12" s="77"/>
      <x:c r="K12" s="77"/>
      <x:c r="L12" s="77"/>
      <x:c r="M12" s="77"/>
      <x:c r="N12" s="77"/>
      <x:c r="O12" s="77"/>
      <x:c r="P12" s="77"/>
    </x:row>
    <x:row r="13">
      <x:c r="A13" s="109" t="str">
        <x:v>All planned outcomes/tests reported, including null or contrary findings</x:v>
      </x:c>
      <x:c r="B13" s="97" t="str"/>
      <x:c r="C13" s="97" t="str"/>
      <x:c r="D13" s="107" t="str">
        <x:v>Selective reporting distorts the evidence record.</x:v>
      </x:c>
      <x:c r="E13" s="104" t="str">
        <x:f>IF(B13="","ACTION NEEDED",IF(OR(B13="Yes",B13="N/A"),"OK","ACTION NEEDED"))</x:f>
        <x:v>ACTION NEEDED</x:v>
      </x:c>
      <x:c r="F13" s="110"/>
      <x:c r="G13" s="110"/>
      <x:c r="H13" s="77"/>
      <x:c r="I13" s="77"/>
      <x:c r="J13" s="77"/>
      <x:c r="K13" s="77"/>
      <x:c r="L13" s="77"/>
      <x:c r="M13" s="77"/>
      <x:c r="N13" s="77"/>
      <x:c r="O13" s="77"/>
      <x:c r="P13" s="77"/>
    </x:row>
    <x:row r="14">
      <x:c r="A14" s="109" t="str">
        <x:v>Multiplicity / multiple-testing approach disclosed</x:v>
      </x:c>
      <x:c r="B14" s="97" t="str"/>
      <x:c r="C14" s="97" t="str"/>
      <x:c r="D14" s="107" t="str">
        <x:v>Multiple analyses affect interpretation and error rates.</x:v>
      </x:c>
      <x:c r="E14" s="104" t="str">
        <x:f>IF(B14="","ACTION NEEDED",IF(OR(B14="Yes",B14="N/A"),"OK","ACTION NEEDED"))</x:f>
        <x:v>ACTION NEEDED</x:v>
      </x:c>
      <x:c r="F14" s="110"/>
      <x:c r="G14" s="110"/>
      <x:c r="H14" s="77"/>
      <x:c r="I14" s="77"/>
      <x:c r="J14" s="77"/>
      <x:c r="K14" s="77"/>
      <x:c r="L14" s="77"/>
      <x:c r="M14" s="77"/>
      <x:c r="N14" s="77"/>
      <x:c r="O14" s="77"/>
      <x:c r="P14" s="77"/>
    </x:row>
    <x:row r="15">
      <x:c r="A15" s="109" t="str">
        <x:v>Preregistration / protocol / analysis plan linked when applicable</x:v>
      </x:c>
      <x:c r="B15" s="97" t="str"/>
      <x:c r="C15" s="97" t="str"/>
      <x:c r="D15" s="107" t="str">
        <x:v>A dated plan helps distinguish confirmatory from exploratory analysis.</x:v>
      </x:c>
      <x:c r="E15" s="104" t="str">
        <x:f>IF(B15="","ACTION NEEDED",IF(OR(B15="Yes",B15="N/A"),"OK","ACTION NEEDED"))</x:f>
        <x:v>ACTION NEEDED</x:v>
      </x:c>
      <x:c r="F15" s="110"/>
      <x:c r="G15" s="110"/>
      <x:c r="H15" s="77"/>
      <x:c r="I15" s="77"/>
      <x:c r="J15" s="77"/>
      <x:c r="K15" s="77"/>
      <x:c r="L15" s="77"/>
      <x:c r="M15" s="77"/>
      <x:c r="N15" s="77"/>
      <x:c r="O15" s="77"/>
      <x:c r="P15" s="77"/>
    </x:row>
    <x:row r="16">
      <x:c r="A16" s="109" t="str">
        <x:v>Data/code/material availability or access conditions stated</x:v>
      </x:c>
      <x:c r="B16" s="97" t="str"/>
      <x:c r="C16" s="97" t="str"/>
      <x:c r="D16" s="107" t="str">
        <x:v>Reproducibility includes what others can inspect or reuse.</x:v>
      </x:c>
      <x:c r="E16" s="104" t="str">
        <x:f>IF(B16="","ACTION NEEDED",IF(OR(B16="Yes",B16="N/A"),"OK","ACTION NEEDED"))</x:f>
        <x:v>ACTION NEEDED</x:v>
      </x:c>
      <x:c r="F16" s="110"/>
      <x:c r="G16" s="110"/>
      <x:c r="H16" s="77"/>
      <x:c r="I16" s="77"/>
      <x:c r="J16" s="77"/>
      <x:c r="K16" s="77"/>
      <x:c r="L16" s="77"/>
      <x:c r="M16" s="77"/>
      <x:c r="N16" s="77"/>
      <x:c r="O16" s="77"/>
      <x:c r="P16" s="77"/>
    </x:row>
    <x:row r="17">
      <x:c r="A17" s="109" t="str">
        <x:v>Limitations and generalizability discussed</x:v>
      </x:c>
      <x:c r="B17" s="97" t="str"/>
      <x:c r="C17" s="97" t="str"/>
      <x:c r="D17" s="107" t="str">
        <x:v>The conclusion should not extend beyond the design/sample/evidence.</x:v>
      </x:c>
      <x:c r="E17" s="104" t="str">
        <x:f>IF(B17="","ACTION NEEDED",IF(OR(B17="Yes",B17="N/A"),"OK","ACTION NEEDED"))</x:f>
        <x:v>ACTION NEEDED</x:v>
      </x:c>
      <x:c r="F17" s="110"/>
      <x:c r="G17" s="110"/>
      <x:c r="H17" s="77"/>
      <x:c r="I17" s="77"/>
      <x:c r="J17" s="77"/>
      <x:c r="K17" s="77"/>
      <x:c r="L17" s="77"/>
      <x:c r="M17" s="77"/>
      <x:c r="N17" s="77"/>
      <x:c r="O17" s="77"/>
      <x:c r="P17" s="77"/>
    </x:row>
    <x:row r="18">
      <x:c r="A18" s="77"/>
      <x:c r="B18" s="77"/>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G1"/>
  </x:mergeCells>
  <x:conditionalFormatting sqref="E4:E17">
    <x:cfRule type="expression" dxfId="5" priority="1">
      <x:formula>$E4="ACTION NEEDED"</x:formula>
    </x:cfRule>
  </x:conditionalFormatting>
  <x:dataValidations count="14">
    <x:dataValidation type="list" sqref="B4">
      <x:formula1>_LISTS!$I$2:$I$5</x:formula1>
    </x:dataValidation>
    <x:dataValidation type="list" sqref="B5">
      <x:formula1>_LISTS!$I$2:$I$5</x:formula1>
    </x:dataValidation>
    <x:dataValidation type="list" sqref="B6">
      <x:formula1>_LISTS!$I$2:$I$5</x:formula1>
    </x:dataValidation>
    <x:dataValidation type="list" sqref="B7">
      <x:formula1>_LISTS!$I$2:$I$5</x:formula1>
    </x:dataValidation>
    <x:dataValidation type="list" sqref="B8">
      <x:formula1>_LISTS!$I$2:$I$5</x:formula1>
    </x:dataValidation>
    <x:dataValidation type="list" sqref="B9">
      <x:formula1>_LISTS!$I$2:$I$5</x:formula1>
    </x:dataValidation>
    <x:dataValidation type="list" sqref="B10">
      <x:formula1>_LISTS!$I$2:$I$5</x:formula1>
    </x:dataValidation>
    <x:dataValidation type="list" sqref="B11">
      <x:formula1>_LISTS!$I$2:$I$5</x:formula1>
    </x:dataValidation>
    <x:dataValidation type="list" sqref="B12">
      <x:formula1>_LISTS!$I$2:$I$5</x:formula1>
    </x:dataValidation>
    <x:dataValidation type="list" sqref="B13">
      <x:formula1>_LISTS!$I$2:$I$5</x:formula1>
    </x:dataValidation>
    <x:dataValidation type="list" sqref="B14">
      <x:formula1>_LISTS!$I$2:$I$5</x:formula1>
    </x:dataValidation>
    <x:dataValidation type="list" sqref="B15">
      <x:formula1>_LISTS!$I$2:$I$5</x:formula1>
    </x:dataValidation>
    <x:dataValidation type="list" sqref="B16">
      <x:formula1>_LISTS!$I$2:$I$5</x:formula1>
    </x:dataValidation>
    <x:dataValidation type="list" sqref="B17">
      <x:formula1>_LISTS!$I$2:$I$5</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32" hidden="0" customWidth="1"/>
    <x:col min="2" max="2" width="44" hidden="0" customWidth="1"/>
    <x:col min="4" max="4" width="22" hidden="0" customWidth="1"/>
    <x:col min="5" max="5" width="44" hidden="0" customWidth="1"/>
    <x:col min="8" max="8" width="24" hidden="0" customWidth="1"/>
    <x:col min="9" max="9" width="16" hidden="0" customWidth="1"/>
  </x:cols>
  <x:sheetData>
    <x:row r="1">
      <x:c r="A1" s="128" t="str">
        <x:v>QUANTITATIVE RESEARCH PLANNING DASHBOARD</x:v>
      </x:c>
      <x:c r="B1" s="128"/>
      <x:c r="C1" s="128"/>
      <x:c r="D1" s="128"/>
      <x:c r="E1" s="128"/>
      <x:c r="F1" s="128"/>
      <x:c r="G1" s="128"/>
      <x:c r="H1" s="128"/>
      <x:c r="I1" s="128"/>
      <x:c r="J1" s="128"/>
      <x:c r="K1" s="128"/>
      <x:c r="L1" s="128"/>
      <x:c r="M1" s="77"/>
      <x:c r="N1" s="77"/>
      <x:c r="O1" s="77"/>
      <x:c r="P1" s="77"/>
    </x:row>
    <x:row r="2">
      <x:c r="A2" s="77"/>
      <x:c r="B2" s="77"/>
      <x:c r="C2" s="77"/>
      <x:c r="D2" s="77"/>
      <x:c r="E2" s="77"/>
      <x:c r="F2" s="77"/>
      <x:c r="G2" s="77"/>
      <x:c r="H2" s="77"/>
      <x:c r="I2" s="77"/>
      <x:c r="J2" s="77"/>
      <x:c r="K2" s="77"/>
      <x:c r="L2" s="77"/>
      <x:c r="M2" s="77"/>
      <x:c r="N2" s="77"/>
      <x:c r="O2" s="77"/>
      <x:c r="P2" s="77"/>
    </x:row>
    <x:row r="3">
      <x:c r="A3" s="79" t="str">
        <x:v>Readiness Signal</x:v>
      </x:c>
      <x:c r="B3" s="79" t="str">
        <x:v>Value</x:v>
      </x:c>
      <x:c r="C3" s="77"/>
      <x:c r="D3" s="76" t="str">
        <x:v>PLAN SNAPSHOT</x:v>
      </x:c>
      <x:c r="E3" s="76"/>
      <x:c r="F3" s="76"/>
      <x:c r="G3" s="77"/>
      <x:c r="H3" s="79" t="str">
        <x:v>QA Category</x:v>
      </x:c>
      <x:c r="I3" s="79" t="str">
        <x:v>Open Items</x:v>
      </x:c>
      <x:c r="J3" s="77"/>
      <x:c r="K3" s="77"/>
      <x:c r="L3" s="77"/>
      <x:c r="M3" s="77"/>
      <x:c r="N3" s="77"/>
      <x:c r="O3" s="77"/>
      <x:c r="P3" s="77"/>
    </x:row>
    <x:row r="4">
      <x:c r="A4" s="84" t="str">
        <x:v>Setup status</x:v>
      </x:c>
      <x:c r="B4" s="117" t="str">
        <x:f>'STUDY SETUP'!E11</x:f>
        <x:v>ACTION NEEDED</x:v>
      </x:c>
      <x:c r="C4" s="77"/>
      <x:c r="D4" s="84" t="str">
        <x:v>Question</x:v>
      </x:c>
      <x:c r="E4" s="104" t="n">
        <x:f>'STUDY SETUP'!B4</x:f>
        <x:v>0</x:v>
      </x:c>
      <x:c r="F4" s="77"/>
      <x:c r="G4" s="77"/>
      <x:c r="H4" s="84" t="str">
        <x:v>Variable dictionary</x:v>
      </x:c>
      <x:c r="I4" s="118" t="n">
        <x:f>B5</x:f>
        <x:v>0</x:v>
      </x:c>
      <x:c r="J4" s="77"/>
      <x:c r="K4" s="77"/>
      <x:c r="L4" s="77"/>
      <x:c r="M4" s="77"/>
      <x:c r="N4" s="77"/>
      <x:c r="O4" s="77"/>
      <x:c r="P4" s="77"/>
    </x:row>
    <x:row r="5">
      <x:c r="A5" s="84" t="str">
        <x:v>Variable rows needing action</x:v>
      </x:c>
      <x:c r="B5" s="117" t="n">
        <x:f>COUNTIFS(VARIABLES!A4:A33,"&lt;&gt;",VARIABLES!L4:L33,"&lt;&gt;OK")</x:f>
        <x:v>0</x:v>
      </x:c>
      <x:c r="C5" s="77"/>
      <x:c r="D5" s="84" t="str">
        <x:v>Purpose</x:v>
      </x:c>
      <x:c r="E5" s="104" t="str">
        <x:f>'STUDY SETUP'!B5</x:f>
        <x:v>Compare</x:v>
      </x:c>
      <x:c r="F5" s="77"/>
      <x:c r="G5" s="77"/>
      <x:c r="H5" s="84" t="str">
        <x:v>Hypotheses</x:v>
      </x:c>
      <x:c r="I5" s="118" t="n">
        <x:f>B6</x:f>
        <x:v>0</x:v>
      </x:c>
      <x:c r="J5" s="77"/>
      <x:c r="K5" s="77"/>
      <x:c r="L5" s="77"/>
      <x:c r="M5" s="77"/>
      <x:c r="N5" s="77"/>
      <x:c r="O5" s="77"/>
      <x:c r="P5" s="77"/>
    </x:row>
    <x:row r="6">
      <x:c r="A6" s="84" t="str">
        <x:v>Hypothesis rows needing action</x:v>
      </x:c>
      <x:c r="B6" s="117" t="n">
        <x:f>COUNTIFS(HYPOTHESES!C4:C23,"&lt;&gt;",HYPOTHESES!M4:M23,"&lt;&gt;OK")</x:f>
        <x:v>0</x:v>
      </x:c>
      <x:c r="C6" s="77"/>
      <x:c r="D6" s="84" t="str">
        <x:v>Outcome type</x:v>
      </x:c>
      <x:c r="E6" s="104" t="str">
        <x:f>'STUDY SETUP'!B6</x:f>
        <x:v>Continuous</x:v>
      </x:c>
      <x:c r="F6" s="77"/>
      <x:c r="G6" s="77"/>
      <x:c r="H6" s="84" t="str">
        <x:v>Assumptions</x:v>
      </x:c>
      <x:c r="I6" s="118" t="n">
        <x:f>B8</x:f>
        <x:v>0</x:v>
      </x:c>
      <x:c r="J6" s="77"/>
      <x:c r="K6" s="77"/>
      <x:c r="L6" s="77"/>
      <x:c r="M6" s="77"/>
      <x:c r="N6" s="77"/>
      <x:c r="O6" s="77"/>
      <x:c r="P6" s="77"/>
    </x:row>
    <x:row r="7">
      <x:c r="A7" s="84" t="str">
        <x:v>Candidate analysis</x:v>
      </x:c>
      <x:c r="B7" s="117" t="str">
        <x:f>'ANALYSIS ROUTER'!B11</x:f>
        <x:v>Independent-samples t test</x:v>
      </x:c>
      <x:c r="C7" s="77"/>
      <x:c r="D7" s="84" t="str">
        <x:v>Groups</x:v>
      </x:c>
      <x:c r="E7" s="104" t="n">
        <x:f>'STUDY SETUP'!B8</x:f>
        <x:v>2</x:v>
      </x:c>
      <x:c r="F7" s="77"/>
      <x:c r="G7" s="77"/>
      <x:c r="H7" s="84" t="str">
        <x:v>Results</x:v>
      </x:c>
      <x:c r="I7" s="118" t="n">
        <x:f>B9</x:f>
        <x:v>0</x:v>
      </x:c>
      <x:c r="J7" s="77"/>
      <x:c r="K7" s="77"/>
      <x:c r="L7" s="77"/>
      <x:c r="M7" s="77"/>
      <x:c r="N7" s="77"/>
      <x:c r="O7" s="77"/>
      <x:c r="P7" s="77"/>
    </x:row>
    <x:row r="8">
      <x:c r="A8" s="84" t="str">
        <x:v>Assumption issues / unchecked</x:v>
      </x:c>
      <x:c r="B8" s="117" t="n">
        <x:f>COUNTIFS(ASSUMPTIONS!B4:B13,"Yes",ASSUMPTIONS!C4:C13,"&lt;&gt;Met",ASSUMPTIONS!C4:C13,"&lt;&gt;N/A")</x:f>
        <x:v>0</x:v>
      </x:c>
      <x:c r="C8" s="77"/>
      <x:c r="D8" s="84" t="str">
        <x:v>Paired / repeated?</x:v>
      </x:c>
      <x:c r="E8" s="104" t="str">
        <x:f>'STUDY SETUP'!B10</x:f>
        <x:v>No</x:v>
      </x:c>
      <x:c r="F8" s="77"/>
      <x:c r="G8" s="77"/>
      <x:c r="H8" s="84" t="str">
        <x:v>Reporting</x:v>
      </x:c>
      <x:c r="I8" s="118" t="n">
        <x:f>B10</x:f>
        <x:v>14</x:v>
      </x:c>
      <x:c r="J8" s="77"/>
      <x:c r="K8" s="77"/>
      <x:c r="L8" s="77"/>
      <x:c r="M8" s="77"/>
      <x:c r="N8" s="77"/>
      <x:c r="O8" s="77"/>
      <x:c r="P8" s="77"/>
    </x:row>
    <x:row r="9">
      <x:c r="A9" s="84" t="str">
        <x:v>Results rows needing action</x:v>
      </x:c>
      <x:c r="B9" s="117" t="n">
        <x:f>COUNTIFS('RESULTS LOG'!A4:A33,"&lt;&gt;",'RESULTS LOG'!P4:P33,"&lt;&gt;OK")</x:f>
        <x:v>0</x:v>
      </x:c>
      <x:c r="C9" s="77"/>
      <x:c r="D9" s="84" t="str">
        <x:v>Alpha</x:v>
      </x:c>
      <x:c r="E9" s="119" t="n">
        <x:f>'STUDY SETUP'!B13</x:f>
        <x:v>0.05</x:v>
      </x:c>
      <x:c r="F9" s="77"/>
      <x:c r="G9" s="77"/>
      <x:c r="H9" s="84" t="str">
        <x:v>Total</x:v>
      </x:c>
      <x:c r="I9" s="118" t="n">
        <x:f>SUM(I4:I8)</x:f>
        <x:v>14</x:v>
      </x:c>
      <x:c r="J9" s="77"/>
      <x:c r="K9" s="77"/>
      <x:c r="L9" s="77"/>
      <x:c r="M9" s="77"/>
      <x:c r="N9" s="77"/>
      <x:c r="O9" s="77"/>
      <x:c r="P9" s="77"/>
    </x:row>
    <x:row r="10">
      <x:c r="A10" s="84" t="str">
        <x:v>Reporting gaps</x:v>
      </x:c>
      <x:c r="B10" s="117" t="n">
        <x:f>COUNTIF('REPORTING CHECKLIST'!E4:E17,"ACTION NEEDED")</x:f>
        <x:v>14</x:v>
      </x:c>
      <x:c r="C10" s="77"/>
      <x:c r="D10" s="84" t="str">
        <x:v>Planned N</x:v>
      </x:c>
      <x:c r="E10" s="104" t="n">
        <x:f>'STUDY SETUP'!B15</x:f>
        <x:v>0</x:v>
      </x:c>
      <x:c r="F10" s="77"/>
      <x:c r="G10" s="77"/>
      <x:c r="H10" s="77"/>
      <x:c r="I10" s="77"/>
      <x:c r="J10" s="77"/>
      <x:c r="K10" s="77"/>
      <x:c r="L10" s="77"/>
      <x:c r="M10" s="77"/>
      <x:c r="N10" s="77"/>
      <x:c r="O10" s="77"/>
      <x:c r="P10" s="77"/>
    </x:row>
    <x:row r="11">
      <x:c r="A11" s="84" t="str">
        <x:v>Overall status</x:v>
      </x:c>
      <x:c r="B11" s="117" t="str">
        <x:f>IF(B4="ACTION NEEDED","DEFINE STUDY",IF(B5+B6&gt;0,"COMPLETE ANALYSIS PLAN",IF(B8&gt;0,"RESOLVE ASSUMPTIONS",IF(B9&gt;0,"COMPLETE RESULTS",IF(B10&gt;0,"COMPLETE REPORTING","READY FOR REVIEW")))))</x:f>
        <x:v>DEFINE STUDY</x:v>
      </x:c>
      <x:c r="C11" s="77"/>
      <x:c r="D11" s="84" t="str">
        <x:v>Candidate analysis</x:v>
      </x:c>
      <x:c r="E11" s="104" t="str">
        <x:f>'ANALYSIS ROUTER'!B11</x:f>
        <x:v>Independent-samples t test</x:v>
      </x:c>
      <x:c r="F11" s="77"/>
      <x:c r="G11" s="77"/>
      <x:c r="H11" s="77"/>
      <x:c r="I11" s="77"/>
      <x:c r="J11" s="77"/>
      <x:c r="K11" s="77"/>
      <x:c r="L11" s="77"/>
      <x:c r="M11" s="77"/>
      <x:c r="N11" s="77"/>
      <x:c r="O11" s="77"/>
      <x:c r="P11" s="77"/>
    </x:row>
    <x:row r="12">
      <x:c r="A12" s="77"/>
      <x:c r="B12" s="77"/>
      <x:c r="C12" s="77"/>
      <x:c r="D12" s="77"/>
      <x:c r="E12" s="77"/>
      <x:c r="F12" s="77"/>
      <x:c r="G12" s="77"/>
      <x:c r="H12" s="77"/>
      <x:c r="I12" s="77"/>
      <x:c r="J12" s="77"/>
      <x:c r="K12" s="77"/>
      <x:c r="L12" s="77"/>
      <x:c r="M12" s="77"/>
      <x:c r="N12" s="77"/>
      <x:c r="O12" s="77"/>
      <x:c r="P12" s="77"/>
    </x:row>
    <x:row r="13">
      <x:c r="A13" s="77"/>
      <x:c r="B13" s="77"/>
      <x:c r="C13" s="77"/>
      <x:c r="D13" s="77"/>
      <x:c r="E13" s="77"/>
      <x:c r="F13" s="77"/>
      <x:c r="G13" s="77"/>
      <x:c r="H13" s="77"/>
      <x:c r="I13" s="77"/>
      <x:c r="J13" s="77"/>
      <x:c r="K13" s="77"/>
      <x:c r="L13" s="77"/>
      <x:c r="M13" s="77"/>
      <x:c r="N13" s="77"/>
      <x:c r="O13" s="77"/>
      <x:c r="P13" s="77"/>
    </x:row>
    <x:row r="14">
      <x:c r="A14" s="77"/>
      <x:c r="B14" s="77"/>
      <x:c r="C14" s="77"/>
      <x:c r="D14" s="77"/>
      <x:c r="E14" s="77"/>
      <x:c r="F14" s="77"/>
      <x:c r="G14" s="77"/>
      <x:c r="H14" s="77"/>
      <x:c r="I14" s="77"/>
      <x:c r="J14" s="77"/>
      <x:c r="K14" s="77"/>
      <x:c r="L14" s="77"/>
      <x:c r="M14" s="77"/>
      <x:c r="N14" s="77"/>
      <x:c r="O14" s="77"/>
      <x:c r="P14" s="77"/>
    </x:row>
    <x:row r="15">
      <x:c r="A15" s="79" t="str">
        <x:v>INTERPRETATION GUARDRAILS</x:v>
      </x:c>
      <x:c r="B15" s="79"/>
      <x:c r="C15" s="79"/>
      <x:c r="D15" s="79"/>
      <x:c r="E15" s="79"/>
      <x:c r="F15" s="79"/>
      <x:c r="G15" s="77"/>
      <x:c r="H15" s="77"/>
      <x:c r="I15" s="77"/>
      <x:c r="J15" s="77"/>
      <x:c r="K15" s="77"/>
      <x:c r="L15" s="77"/>
      <x:c r="M15" s="77"/>
      <x:c r="N15" s="77"/>
      <x:c r="O15" s="77"/>
      <x:c r="P15" s="77"/>
    </x:row>
    <x:row r="16">
      <x:c r="A16" s="120" t="str">
        <x:v>Before finalizing a result, ask: Is the design appropriate to the claim? Are the variables coded correctly? Are exclusions and missingness transparent? Were assumptions checked? Is the effect size or estimate meaningful in context? Is uncertainty visible? Were primary and exploratory analyses separated? Would the conclusion still make sense if the p-value were not shown?</x:v>
      </x:c>
      <x:c r="B16" s="120"/>
      <x:c r="C16" s="120"/>
      <x:c r="D16" s="120"/>
      <x:c r="E16" s="120"/>
      <x:c r="F16" s="120"/>
      <x:c r="G16" s="77"/>
      <x:c r="H16" s="77"/>
      <x:c r="I16" s="77"/>
      <x:c r="J16" s="77"/>
      <x:c r="K16" s="77"/>
      <x:c r="L16" s="77"/>
      <x:c r="M16" s="77"/>
      <x:c r="N16" s="77"/>
      <x:c r="O16" s="77"/>
      <x:c r="P16" s="77"/>
    </x:row>
    <x:row r="17">
      <x:c r="A17" s="120"/>
      <x:c r="B17" s="120"/>
      <x:c r="C17" s="120"/>
      <x:c r="D17" s="120"/>
      <x:c r="E17" s="120"/>
      <x:c r="F17" s="120"/>
      <x:c r="G17" s="77"/>
      <x:c r="H17" s="77"/>
      <x:c r="I17" s="77"/>
      <x:c r="J17" s="77"/>
      <x:c r="K17" s="77"/>
      <x:c r="L17" s="77"/>
      <x:c r="M17" s="77"/>
      <x:c r="N17" s="77"/>
      <x:c r="O17" s="77"/>
      <x:c r="P17" s="77"/>
    </x:row>
    <x:row r="18">
      <x:c r="A18" s="120"/>
      <x:c r="B18" s="120"/>
      <x:c r="C18" s="120"/>
      <x:c r="D18" s="120"/>
      <x:c r="E18" s="120"/>
      <x:c r="F18" s="120"/>
      <x:c r="G18" s="77"/>
      <x:c r="H18" s="77"/>
      <x:c r="I18" s="77"/>
      <x:c r="J18" s="77"/>
      <x:c r="K18" s="77"/>
      <x:c r="L18" s="77"/>
      <x:c r="M18" s="77"/>
      <x:c r="N18" s="77"/>
      <x:c r="O18" s="77"/>
      <x:c r="P18" s="77"/>
    </x:row>
    <x:row r="19">
      <x:c r="A19" s="120"/>
      <x:c r="B19" s="120"/>
      <x:c r="C19" s="120"/>
      <x:c r="D19" s="120"/>
      <x:c r="E19" s="120"/>
      <x:c r="F19" s="120"/>
      <x:c r="G19" s="77"/>
      <x:c r="H19" s="77"/>
      <x:c r="I19" s="77"/>
      <x:c r="J19" s="77"/>
      <x:c r="K19" s="77"/>
      <x:c r="L19" s="77"/>
      <x:c r="M19" s="77"/>
      <x:c r="N19" s="77"/>
      <x:c r="O19" s="77"/>
      <x:c r="P19" s="77"/>
    </x:row>
    <x:row r="20">
      <x:c r="A20" s="120"/>
      <x:c r="B20" s="120"/>
      <x:c r="C20" s="120"/>
      <x:c r="D20" s="120"/>
      <x:c r="E20" s="120"/>
      <x:c r="F20" s="120"/>
      <x:c r="G20" s="77"/>
      <x:c r="H20" s="77"/>
      <x:c r="I20" s="77"/>
      <x:c r="J20" s="77"/>
      <x:c r="K20" s="77"/>
      <x:c r="L20" s="77"/>
      <x:c r="M20" s="77"/>
      <x:c r="N20" s="77"/>
      <x:c r="O20" s="77"/>
      <x:c r="P20" s="77"/>
    </x:row>
    <x:row r="21">
      <x:c r="A21" s="120"/>
      <x:c r="B21" s="120"/>
      <x:c r="C21" s="120"/>
      <x:c r="D21" s="120"/>
      <x:c r="E21" s="120"/>
      <x:c r="F21" s="120"/>
      <x:c r="G21" s="77"/>
      <x:c r="H21" s="77"/>
      <x:c r="I21" s="77"/>
      <x:c r="J21" s="77"/>
      <x:c r="K21" s="77"/>
      <x:c r="L21" s="77"/>
      <x:c r="M21" s="77"/>
      <x:c r="N21" s="77"/>
      <x:c r="O21" s="77"/>
      <x:c r="P21" s="77"/>
    </x:row>
    <x:row r="22">
      <x:c r="A22" s="120"/>
      <x:c r="B22" s="120"/>
      <x:c r="C22" s="120"/>
      <x:c r="D22" s="120"/>
      <x:c r="E22" s="120"/>
      <x:c r="F22" s="120"/>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L1"/>
    <x:mergeCell ref="D3:F3"/>
    <x:mergeCell ref="A15:F15"/>
    <x:mergeCell ref="A16:F22"/>
  </x:mergeCells>
  <x:conditionalFormatting sqref="B11:B11">
    <x:cfRule type="expression" dxfId="6" priority="1">
      <x:formula>$B$11="READY FOR REVIEW"</x:formula>
    </x:cfRule>
    <x:cfRule type="expression" dxfId="7" priority="2">
      <x:formula>$B$11&lt;&gt;"READY FOR REVIEW"</x:formula>
    </x:cfRule>
  </x:conditionalFormatting>
  <x:pageMargins left="0.7" right="0.7" top="0.75" bottom="0.75" header="0.3" footer="0.3"/>
  <x:drawing xmlns:r="http://schemas.openxmlformats.org/officeDocument/2006/relationships" r:id="R0e0ee6e4ad504e9b"/>
</x:worksheet>
</file>

<file path=xl/worksheets/sheet11.xml><?xml version="1.0" encoding="utf-8"?>
<x:worksheet xmlns:x="http://schemas.openxmlformats.org/spreadsheetml/2006/main">
  <x:sheetFormatPr defaultRowHeight="15"/>
  <x:cols>
    <x:col min="1" max="1" width="28" hidden="0" customWidth="1"/>
    <x:col min="2" max="2" width="86" hidden="0" customWidth="1"/>
  </x:cols>
  <x:sheetData>
    <x:row r="1">
      <x:c r="A1" s="131" t="str">
        <x:v>EXAMPLE — synthetic blocked learning experiment</x:v>
      </x:c>
      <x:c r="B1" s="131"/>
      <x:c r="C1" s="131"/>
      <x:c r="D1" s="131"/>
      <x:c r="E1" s="131"/>
      <x:c r="F1" s="131"/>
      <x:c r="G1" s="131"/>
      <x:c r="H1" s="131"/>
      <x:c r="I1" s="131"/>
      <x:c r="J1" s="131"/>
      <x:c r="K1" s="77"/>
      <x:c r="L1" s="77"/>
      <x:c r="M1" s="77"/>
      <x:c r="N1" s="77"/>
      <x:c r="O1" s="77"/>
      <x:c r="P1" s="77"/>
    </x:row>
    <x:row r="2">
      <x:c r="A2" s="77"/>
      <x:c r="B2" s="77"/>
      <x:c r="C2" s="77"/>
      <x:c r="D2" s="77"/>
      <x:c r="E2" s="77"/>
      <x:c r="F2" s="77"/>
      <x:c r="G2" s="77"/>
      <x:c r="H2" s="77"/>
      <x:c r="I2" s="77"/>
      <x:c r="J2" s="77"/>
      <x:c r="K2" s="77"/>
      <x:c r="L2" s="77"/>
      <x:c r="M2" s="77"/>
      <x:c r="N2" s="77"/>
      <x:c r="O2" s="77"/>
      <x:c r="P2" s="77"/>
    </x:row>
    <x:row r="3">
      <x:c r="A3" s="84" t="str">
        <x:v>Field</x:v>
      </x:c>
      <x:c r="B3" s="110" t="str">
        <x:v>Synthetic Example</x:v>
      </x:c>
      <x:c r="C3" s="77"/>
      <x:c r="D3" s="84" t="str">
        <x:v>Example results write-up structure (not a fabricated result)</x:v>
      </x:c>
      <x:c r="E3" s="84"/>
      <x:c r="F3" s="84"/>
      <x:c r="G3" s="84"/>
      <x:c r="H3" s="84"/>
      <x:c r="I3" s="84"/>
      <x:c r="J3" s="84"/>
      <x:c r="K3" s="77"/>
      <x:c r="L3" s="77"/>
      <x:c r="M3" s="77"/>
      <x:c r="N3" s="77"/>
      <x:c r="O3" s="77"/>
      <x:c r="P3" s="77"/>
    </x:row>
    <x:row r="4">
      <x:c r="A4" s="84" t="str">
        <x:v>Research question</x:v>
      </x:c>
      <x:c r="B4" s="110" t="str">
        <x:v>Does a revised practice activity improve post-session assessment scores relative to the standard activity?</x:v>
      </x:c>
      <x:c r="C4" s="77"/>
      <x:c r="D4" s="85" t="str">
        <x:v>Report the analytic N and any exclusions first. Then report the group estimates, the between-group estimate/difference, an effect size, confidence interval, test statistic and p-value as appropriate, plus any material assumption or sensitivity findings. End with a conclusion tied to the design: what the result supports, what it does not establish, and whether an exploratory or subgroup finding requires confirmation.</x:v>
      </x:c>
      <x:c r="E4" s="85"/>
      <x:c r="F4" s="85"/>
      <x:c r="G4" s="85"/>
      <x:c r="H4" s="85"/>
      <x:c r="I4" s="85"/>
      <x:c r="J4" s="85"/>
      <x:c r="K4" s="77"/>
      <x:c r="L4" s="77"/>
      <x:c r="M4" s="77"/>
      <x:c r="N4" s="77"/>
      <x:c r="O4" s="77"/>
      <x:c r="P4" s="77"/>
    </x:row>
    <x:row r="5">
      <x:c r="A5" s="84" t="str">
        <x:v>Purpose</x:v>
      </x:c>
      <x:c r="B5" s="110" t="str">
        <x:v>Compare</x:v>
      </x:c>
      <x:c r="C5" s="77"/>
      <x:c r="D5" s="85"/>
      <x:c r="E5" s="85"/>
      <x:c r="F5" s="85"/>
      <x:c r="G5" s="85"/>
      <x:c r="H5" s="85"/>
      <x:c r="I5" s="85"/>
      <x:c r="J5" s="85"/>
      <x:c r="K5" s="77"/>
      <x:c r="L5" s="77"/>
      <x:c r="M5" s="77"/>
      <x:c r="N5" s="77"/>
      <x:c r="O5" s="77"/>
      <x:c r="P5" s="77"/>
    </x:row>
    <x:row r="6">
      <x:c r="A6" s="84" t="str">
        <x:v>Outcome</x:v>
      </x:c>
      <x:c r="B6" s="110" t="str">
        <x:v>Assessment score (continuous)</x:v>
      </x:c>
      <x:c r="C6" s="77"/>
      <x:c r="D6" s="85"/>
      <x:c r="E6" s="85"/>
      <x:c r="F6" s="85"/>
      <x:c r="G6" s="85"/>
      <x:c r="H6" s="85"/>
      <x:c r="I6" s="85"/>
      <x:c r="J6" s="85"/>
      <x:c r="K6" s="77"/>
      <x:c r="L6" s="77"/>
      <x:c r="M6" s="77"/>
      <x:c r="N6" s="77"/>
      <x:c r="O6" s="77"/>
      <x:c r="P6" s="77"/>
    </x:row>
    <x:row r="7">
      <x:c r="A7" s="84" t="str">
        <x:v>Group variable</x:v>
      </x:c>
      <x:c r="B7" s="110" t="str">
        <x:v>Activity version (standard vs revised)</x:v>
      </x:c>
      <x:c r="C7" s="77"/>
      <x:c r="D7" s="85"/>
      <x:c r="E7" s="85"/>
      <x:c r="F7" s="85"/>
      <x:c r="G7" s="85"/>
      <x:c r="H7" s="85"/>
      <x:c r="I7" s="85"/>
      <x:c r="J7" s="85"/>
      <x:c r="K7" s="77"/>
      <x:c r="L7" s="77"/>
      <x:c r="M7" s="77"/>
      <x:c r="N7" s="77"/>
      <x:c r="O7" s="77"/>
      <x:c r="P7" s="77"/>
    </x:row>
    <x:row r="8">
      <x:c r="A8" s="84" t="str">
        <x:v>Groups</x:v>
      </x:c>
      <x:c r="B8" s="110" t="str">
        <x:v>2 independent groups</x:v>
      </x:c>
      <x:c r="C8" s="77"/>
      <x:c r="D8" s="85"/>
      <x:c r="E8" s="85"/>
      <x:c r="F8" s="85"/>
      <x:c r="G8" s="85"/>
      <x:c r="H8" s="85"/>
      <x:c r="I8" s="85"/>
      <x:c r="J8" s="85"/>
      <x:c r="K8" s="77"/>
      <x:c r="L8" s="77"/>
      <x:c r="M8" s="77"/>
      <x:c r="N8" s="77"/>
      <x:c r="O8" s="77"/>
      <x:c r="P8" s="77"/>
    </x:row>
    <x:row r="9">
      <x:c r="A9" s="84" t="str">
        <x:v>Primary hypothesis</x:v>
      </x:c>
      <x:c r="B9" s="110" t="str">
        <x:v>Revised activity produces a higher mean score than standard activity.</x:v>
      </x:c>
      <x:c r="C9" s="77"/>
      <x:c r="D9" s="85"/>
      <x:c r="E9" s="85"/>
      <x:c r="F9" s="85"/>
      <x:c r="G9" s="85"/>
      <x:c r="H9" s="85"/>
      <x:c r="I9" s="85"/>
      <x:c r="J9" s="85"/>
      <x:c r="K9" s="77"/>
      <x:c r="L9" s="77"/>
      <x:c r="M9" s="77"/>
      <x:c r="N9" s="77"/>
      <x:c r="O9" s="77"/>
      <x:c r="P9" s="77"/>
    </x:row>
    <x:row r="10">
      <x:c r="A10" s="84" t="str">
        <x:v>Candidate analysis</x:v>
      </x:c>
      <x:c r="B10" s="110" t="str">
        <x:v>Independent-samples t test; use unequal-variance version if appropriate.</x:v>
      </x:c>
      <x:c r="C10" s="77"/>
      <x:c r="D10" s="85"/>
      <x:c r="E10" s="85"/>
      <x:c r="F10" s="85"/>
      <x:c r="G10" s="85"/>
      <x:c r="H10" s="85"/>
      <x:c r="I10" s="85"/>
      <x:c r="J10" s="85"/>
      <x:c r="K10" s="77"/>
      <x:c r="L10" s="77"/>
      <x:c r="M10" s="77"/>
      <x:c r="N10" s="77"/>
      <x:c r="O10" s="77"/>
      <x:c r="P10" s="77"/>
    </x:row>
    <x:row r="11">
      <x:c r="A11" s="84" t="str">
        <x:v>Effect size</x:v>
      </x:c>
      <x:c r="B11" s="110" t="str">
        <x:v>Mean difference + standardized mean difference (e.g., Cohen's d/Hedges' g where appropriate)</x:v>
      </x:c>
      <x:c r="C11" s="77"/>
      <x:c r="D11" s="85"/>
      <x:c r="E11" s="85"/>
      <x:c r="F11" s="85"/>
      <x:c r="G11" s="85"/>
      <x:c r="H11" s="85"/>
      <x:c r="I11" s="85"/>
      <x:c r="J11" s="85"/>
      <x:c r="K11" s="77"/>
      <x:c r="L11" s="77"/>
      <x:c r="M11" s="77"/>
      <x:c r="N11" s="77"/>
      <x:c r="O11" s="77"/>
      <x:c r="P11" s="77"/>
    </x:row>
    <x:row r="12">
      <x:c r="A12" s="84" t="str">
        <x:v>Key diagnostics</x:v>
      </x:c>
      <x:c r="B12" s="110" t="str">
        <x:v>Independence, score distribution/residual behavior, variance pattern, influential observations</x:v>
      </x:c>
      <x:c r="C12" s="77"/>
      <x:c r="D12" s="85"/>
      <x:c r="E12" s="85"/>
      <x:c r="F12" s="85"/>
      <x:c r="G12" s="85"/>
      <x:c r="H12" s="85"/>
      <x:c r="I12" s="85"/>
      <x:c r="J12" s="85"/>
      <x:c r="K12" s="77"/>
      <x:c r="L12" s="77"/>
      <x:c r="M12" s="77"/>
      <x:c r="N12" s="77"/>
      <x:c r="O12" s="77"/>
      <x:c r="P12" s="77"/>
    </x:row>
    <x:row r="13">
      <x:c r="A13" s="84" t="str">
        <x:v>Interpretive boundary</x:v>
      </x:c>
      <x:c r="B13" s="110" t="str">
        <x:v>Random assignment supports a causal comparison within the study, but generalizability still depends on the sample and setting.</x:v>
      </x:c>
      <x:c r="C13" s="77"/>
      <x:c r="D13" s="77"/>
      <x:c r="E13" s="77"/>
      <x:c r="F13" s="77"/>
      <x:c r="G13" s="77"/>
      <x:c r="H13" s="77"/>
      <x:c r="I13" s="77"/>
      <x:c r="J13" s="77"/>
      <x:c r="K13" s="77"/>
      <x:c r="L13" s="77"/>
      <x:c r="M13" s="77"/>
      <x:c r="N13" s="77"/>
      <x:c r="O13" s="77"/>
      <x:c r="P13" s="77"/>
    </x:row>
    <x:row r="14">
      <x:c r="A14" s="77"/>
      <x:c r="B14" s="77"/>
      <x:c r="C14" s="77"/>
      <x:c r="D14" s="77"/>
      <x:c r="E14" s="77"/>
      <x:c r="F14" s="77"/>
      <x:c r="G14" s="77"/>
      <x:c r="H14" s="77"/>
      <x:c r="I14" s="77"/>
      <x:c r="J14" s="77"/>
      <x:c r="K14" s="77"/>
      <x:c r="L14" s="77"/>
      <x:c r="M14" s="77"/>
      <x:c r="N14" s="77"/>
      <x:c r="O14" s="77"/>
      <x:c r="P14" s="77"/>
    </x:row>
    <x:row r="15">
      <x:c r="A15" s="77"/>
      <x:c r="B15" s="77"/>
      <x:c r="C15" s="77"/>
      <x:c r="D15" s="77"/>
      <x:c r="E15" s="77"/>
      <x:c r="F15" s="77"/>
      <x:c r="G15" s="77"/>
      <x:c r="H15" s="77"/>
      <x:c r="I15" s="77"/>
      <x:c r="J15" s="77"/>
      <x:c r="K15" s="77"/>
      <x:c r="L15" s="77"/>
      <x:c r="M15" s="77"/>
      <x:c r="N15" s="77"/>
      <x:c r="O15" s="77"/>
      <x:c r="P15" s="77"/>
    </x:row>
    <x:row r="16">
      <x:c r="A16" s="77"/>
      <x:c r="B16" s="77"/>
      <x:c r="C16" s="77"/>
      <x:c r="D16" s="77"/>
      <x:c r="E16" s="77"/>
      <x:c r="F16" s="77"/>
      <x:c r="G16" s="77"/>
      <x:c r="H16" s="77"/>
      <x:c r="I16" s="77"/>
      <x:c r="J16" s="77"/>
      <x:c r="K16" s="77"/>
      <x:c r="L16" s="77"/>
      <x:c r="M16" s="77"/>
      <x:c r="N16" s="77"/>
      <x:c r="O16" s="77"/>
      <x:c r="P16" s="77"/>
    </x:row>
    <x:row r="17">
      <x:c r="A17" s="77"/>
      <x:c r="B17" s="77"/>
      <x:c r="C17" s="77"/>
      <x:c r="D17" s="77"/>
      <x:c r="E17" s="77"/>
      <x:c r="F17" s="77"/>
      <x:c r="G17" s="77"/>
      <x:c r="H17" s="77"/>
      <x:c r="I17" s="77"/>
      <x:c r="J17" s="77"/>
      <x:c r="K17" s="77"/>
      <x:c r="L17" s="77"/>
      <x:c r="M17" s="77"/>
      <x:c r="N17" s="77"/>
      <x:c r="O17" s="77"/>
      <x:c r="P17" s="77"/>
    </x:row>
    <x:row r="18">
      <x:c r="A18" s="77"/>
      <x:c r="B18" s="77"/>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J1"/>
    <x:mergeCell ref="D3:J3"/>
    <x:mergeCell ref="D4:J12"/>
  </x:mergeCells>
  <x:pageMargins left="0.7" right="0.7" top="0.75" bottom="0.75" header="0.3" footer="0.3"/>
</x:worksheet>
</file>

<file path=xl/worksheets/sheet12.xml><?xml version="1.0" encoding="utf-8"?>
<x:worksheet xmlns:x="http://schemas.openxmlformats.org/spreadsheetml/2006/main">
  <x:sheetFormatPr defaultRowHeight="15"/>
  <x:cols>
    <x:col min="1" max="1" width="38" hidden="0" customWidth="1"/>
    <x:col min="2" max="2" width="22" hidden="0" customWidth="1"/>
    <x:col min="3" max="3" width="62" hidden="0" customWidth="1"/>
    <x:col min="4" max="4" width="68" hidden="0" customWidth="1"/>
    <x:col min="5" max="5" width="50" hidden="0" customWidth="1"/>
  </x:cols>
  <x:sheetData>
    <x:row r="1">
      <x:c r="A1" s="131" t="str">
        <x:v>SOURCES &amp; DESIGN BASIS</x:v>
      </x:c>
      <x:c r="B1" s="131"/>
      <x:c r="C1" s="131"/>
      <x:c r="D1" s="131"/>
      <x:c r="E1" s="131"/>
      <x:c r="F1" s="77"/>
      <x:c r="G1" s="77"/>
      <x:c r="H1" s="77"/>
      <x:c r="I1" s="77"/>
      <x:c r="J1" s="77"/>
      <x:c r="K1" s="77"/>
      <x:c r="L1" s="77"/>
      <x:c r="M1" s="77"/>
      <x:c r="N1" s="77"/>
      <x:c r="O1" s="77"/>
      <x:c r="P1" s="77"/>
    </x:row>
    <x:row r="2">
      <x:c r="A2" s="77"/>
      <x:c r="B2" s="77"/>
      <x:c r="C2" s="77"/>
      <x:c r="D2" s="77"/>
      <x:c r="E2" s="77"/>
      <x:c r="F2" s="77"/>
      <x:c r="G2" s="77"/>
      <x:c r="H2" s="77"/>
      <x:c r="I2" s="77"/>
      <x:c r="J2" s="77"/>
      <x:c r="K2" s="77"/>
      <x:c r="L2" s="77"/>
      <x:c r="M2" s="77"/>
      <x:c r="N2" s="77"/>
      <x:c r="O2" s="77"/>
      <x:c r="P2" s="77"/>
    </x:row>
    <x:row r="3">
      <x:c r="A3" s="103" t="str">
        <x:v>Source</x:v>
      </x:c>
      <x:c r="B3" s="103" t="str">
        <x:v>Type</x:v>
      </x:c>
      <x:c r="C3" s="103" t="str">
        <x:v>What Informed the Toolkit</x:v>
      </x:c>
      <x:c r="D3" s="103" t="str">
        <x:v>URL / Note</x:v>
      </x:c>
      <x:c r="E3" s="103" t="str">
        <x:v>Use Boundary</x:v>
      </x:c>
      <x:c r="F3" s="77"/>
      <x:c r="G3" s="77"/>
      <x:c r="H3" s="77"/>
      <x:c r="I3" s="77"/>
      <x:c r="J3" s="77"/>
      <x:c r="K3" s="77"/>
      <x:c r="L3" s="77"/>
      <x:c r="M3" s="77"/>
      <x:c r="N3" s="77"/>
      <x:c r="O3" s="77"/>
      <x:c r="P3" s="77"/>
    </x:row>
    <x:row r="4">
      <x:c r="A4" s="107" t="str">
        <x:v>Laura Elizabeth Hand — research-writing lesson plan</x:v>
      </x:c>
      <x:c r="B4" s="107" t="str">
        <x:v>User-authored teaching resource</x:v>
      </x:c>
      <x:c r="C4" s="107" t="str">
        <x:v>Narrowing broad topics into answerable questions; source evaluation; revising a thesis when evidence changes; organizing and reporting research.</x:v>
      </x:c>
      <x:c r="D4" s="110" t="str">
        <x:v>Private Google Drive source reviewed for this project.</x:v>
      </x:c>
      <x:c r="E4" s="125" t="str">
        <x:v>Used as a design input; not republished verbatim.</x:v>
      </x:c>
      <x:c r="F4" s="77"/>
      <x:c r="G4" s="77"/>
      <x:c r="H4" s="77"/>
      <x:c r="I4" s="77"/>
      <x:c r="J4" s="77"/>
      <x:c r="K4" s="77"/>
      <x:c r="L4" s="77"/>
      <x:c r="M4" s="77"/>
      <x:c r="N4" s="77"/>
      <x:c r="O4" s="77"/>
      <x:c r="P4" s="77"/>
    </x:row>
    <x:row r="5">
      <x:c r="A5" s="107" t="str">
        <x:v>Laura Elizabeth Hand — abbreviated CV</x:v>
      </x:c>
      <x:c r="B5" s="107" t="str">
        <x:v>User-authored professional record</x:v>
      </x:c>
      <x:c r="C5" s="107" t="str">
        <x:v>Documents quantitative/data-analysis experience including SPSS, Excel, SQL, and Power BI plus research/curriculum work.</x:v>
      </x:c>
      <x:c r="D5" s="110" t="str">
        <x:v>Private Google Drive source reviewed for this project.</x:v>
      </x:c>
      <x:c r="E5" s="125" t="str">
        <x:v>Used to select a resource area grounded in documented experience.</x:v>
      </x:c>
      <x:c r="F5" s="77"/>
      <x:c r="G5" s="77"/>
      <x:c r="H5" s="77"/>
      <x:c r="I5" s="77"/>
      <x:c r="J5" s="77"/>
      <x:c r="K5" s="77"/>
      <x:c r="L5" s="77"/>
      <x:c r="M5" s="77"/>
      <x:c r="N5" s="77"/>
      <x:c r="O5" s="77"/>
      <x:c r="P5" s="77"/>
    </x:row>
    <x:row r="6">
      <x:c r="A6" s="107" t="str">
        <x:v>APA Style Journal Article Reporting Standards (JARS)</x:v>
      </x:c>
      <x:c r="B6" s="107" t="str">
        <x:v>Professional reporting standards</x:v>
      </x:c>
      <x:c r="C6" s="107" t="str">
        <x:v>Primary/secondary/exploratory separation; participant characteristics; measures; planned diagnostics and analytic strategy; preregistration and transparent reporting.</x:v>
      </x:c>
      <x:c r="D6" s="110" t="str">
        <x:v>https://www.apa.org/pubs/journals/resources/manuscript-submission-guidelines</x:v>
      </x:c>
      <x:c r="E6" s="125" t="str">
        <x:v>APA JARS is field-specific guidance; follow the standards relevant to the target journal/discipline.</x:v>
      </x:c>
      <x:c r="F6" s="77"/>
      <x:c r="G6" s="77"/>
      <x:c r="H6" s="77"/>
      <x:c r="I6" s="77"/>
      <x:c r="J6" s="77"/>
      <x:c r="K6" s="77"/>
      <x:c r="L6" s="77"/>
      <x:c r="M6" s="77"/>
      <x:c r="N6" s="77"/>
      <x:c r="O6" s="77"/>
      <x:c r="P6" s="77"/>
    </x:row>
    <x:row r="7">
      <x:c r="A7" s="107" t="str">
        <x:v>NIST/SEMATECH e-Handbook of Statistical Methods</x:v>
      </x:c>
      <x:c r="B7" s="107" t="str">
        <x:v>Federal statistical reference</x:v>
      </x:c>
      <x:c r="C7" s="107" t="str">
        <x:v>Study design, assumptions, diagnostics, model selection, and interpretation of statistical procedures.</x:v>
      </x:c>
      <x:c r="D7" s="110" t="str">
        <x:v>https://www.nist.gov/programs-projects/nistsematech-engineering-statistics-handbook</x:v>
      </x:c>
      <x:c r="E7" s="125" t="str">
        <x:v>General statistical reference; complex studies may require more specialized methods.</x:v>
      </x:c>
      <x:c r="F7" s="77"/>
      <x:c r="G7" s="77"/>
      <x:c r="H7" s="77"/>
      <x:c r="I7" s="77"/>
      <x:c r="J7" s="77"/>
      <x:c r="K7" s="77"/>
      <x:c r="L7" s="77"/>
      <x:c r="M7" s="77"/>
      <x:c r="N7" s="77"/>
      <x:c r="O7" s="77"/>
      <x:c r="P7" s="77"/>
    </x:row>
    <x:row r="8">
      <x:c r="A8" s="107" t="str">
        <x:v>American Statistical Association statement on p-values</x:v>
      </x:c>
      <x:c r="B8" s="107" t="str">
        <x:v>Professional statistical guidance</x:v>
      </x:c>
      <x:c r="C8" s="107" t="str">
        <x:v>Do not treat p-values as a substitute for scientific reasoning or as a measure of effect magnitude; interpret evidence in context.</x:v>
      </x:c>
      <x:c r="D8" s="110" t="str">
        <x:v>https://www.amstat.org/asa/files/pdfs/p-valuestatement.pdf</x:v>
      </x:c>
      <x:c r="E8" s="125" t="str">
        <x:v>Use alongside design, effect sizes/estimates, uncertainty, diagnostics, and substantive reasoning.</x:v>
      </x:c>
      <x:c r="F8" s="77"/>
      <x:c r="G8" s="77"/>
      <x:c r="H8" s="77"/>
      <x:c r="I8" s="77"/>
      <x:c r="J8" s="77"/>
      <x:c r="K8" s="77"/>
      <x:c r="L8" s="77"/>
      <x:c r="M8" s="77"/>
      <x:c r="N8" s="77"/>
      <x:c r="O8" s="77"/>
      <x:c r="P8" s="77"/>
    </x:row>
    <x:row r="9">
      <x:c r="A9" s="77"/>
      <x:c r="B9" s="77"/>
      <x:c r="C9" s="77"/>
      <x:c r="D9" s="77"/>
      <x:c r="E9" s="77"/>
      <x:c r="F9" s="77"/>
      <x:c r="G9" s="77"/>
      <x:c r="H9" s="77"/>
      <x:c r="I9" s="77"/>
      <x:c r="J9" s="77"/>
      <x:c r="K9" s="77"/>
      <x:c r="L9" s="77"/>
      <x:c r="M9" s="77"/>
      <x:c r="N9" s="77"/>
      <x:c r="O9" s="77"/>
      <x:c r="P9" s="77"/>
    </x:row>
    <x:row r="10">
      <x:c r="A10" s="77"/>
      <x:c r="B10" s="77"/>
      <x:c r="C10" s="77"/>
      <x:c r="D10" s="77"/>
      <x:c r="E10" s="77"/>
      <x:c r="F10" s="77"/>
      <x:c r="G10" s="77"/>
      <x:c r="H10" s="77"/>
      <x:c r="I10" s="77"/>
      <x:c r="J10" s="77"/>
      <x:c r="K10" s="77"/>
      <x:c r="L10" s="77"/>
      <x:c r="M10" s="77"/>
      <x:c r="N10" s="77"/>
      <x:c r="O10" s="77"/>
      <x:c r="P10" s="77"/>
    </x:row>
    <x:row r="11">
      <x:c r="A11" s="77"/>
      <x:c r="B11" s="77"/>
      <x:c r="C11" s="77"/>
      <x:c r="D11" s="77"/>
      <x:c r="E11" s="77"/>
      <x:c r="F11" s="77"/>
      <x:c r="G11" s="77"/>
      <x:c r="H11" s="77"/>
      <x:c r="I11" s="77"/>
      <x:c r="J11" s="77"/>
      <x:c r="K11" s="77"/>
      <x:c r="L11" s="77"/>
      <x:c r="M11" s="77"/>
      <x:c r="N11" s="77"/>
      <x:c r="O11" s="77"/>
      <x:c r="P11" s="77"/>
    </x:row>
    <x:row r="12">
      <x:c r="A12" s="77"/>
      <x:c r="B12" s="77"/>
      <x:c r="C12" s="77"/>
      <x:c r="D12" s="77"/>
      <x:c r="E12" s="77"/>
      <x:c r="F12" s="77"/>
      <x:c r="G12" s="77"/>
      <x:c r="H12" s="77"/>
      <x:c r="I12" s="77"/>
      <x:c r="J12" s="77"/>
      <x:c r="K12" s="77"/>
      <x:c r="L12" s="77"/>
      <x:c r="M12" s="77"/>
      <x:c r="N12" s="77"/>
      <x:c r="O12" s="77"/>
      <x:c r="P12" s="77"/>
    </x:row>
    <x:row r="13">
      <x:c r="A13" s="77"/>
      <x:c r="B13" s="77"/>
      <x:c r="C13" s="77"/>
      <x:c r="D13" s="77"/>
      <x:c r="E13" s="77"/>
      <x:c r="F13" s="77"/>
      <x:c r="G13" s="77"/>
      <x:c r="H13" s="77"/>
      <x:c r="I13" s="77"/>
      <x:c r="J13" s="77"/>
      <x:c r="K13" s="77"/>
      <x:c r="L13" s="77"/>
      <x:c r="M13" s="77"/>
      <x:c r="N13" s="77"/>
      <x:c r="O13" s="77"/>
      <x:c r="P13" s="77"/>
    </x:row>
    <x:row r="14">
      <x:c r="A14" s="77"/>
      <x:c r="B14" s="77"/>
      <x:c r="C14" s="77"/>
      <x:c r="D14" s="77"/>
      <x:c r="E14" s="77"/>
      <x:c r="F14" s="77"/>
      <x:c r="G14" s="77"/>
      <x:c r="H14" s="77"/>
      <x:c r="I14" s="77"/>
      <x:c r="J14" s="77"/>
      <x:c r="K14" s="77"/>
      <x:c r="L14" s="77"/>
      <x:c r="M14" s="77"/>
      <x:c r="N14" s="77"/>
      <x:c r="O14" s="77"/>
      <x:c r="P14" s="77"/>
    </x:row>
    <x:row r="15">
      <x:c r="A15" s="77"/>
      <x:c r="B15" s="77"/>
      <x:c r="C15" s="77"/>
      <x:c r="D15" s="77"/>
      <x:c r="E15" s="77"/>
      <x:c r="F15" s="77"/>
      <x:c r="G15" s="77"/>
      <x:c r="H15" s="77"/>
      <x:c r="I15" s="77"/>
      <x:c r="J15" s="77"/>
      <x:c r="K15" s="77"/>
      <x:c r="L15" s="77"/>
      <x:c r="M15" s="77"/>
      <x:c r="N15" s="77"/>
      <x:c r="O15" s="77"/>
      <x:c r="P15" s="77"/>
    </x:row>
    <x:row r="16">
      <x:c r="A16" s="77"/>
      <x:c r="B16" s="77"/>
      <x:c r="C16" s="77"/>
      <x:c r="D16" s="77"/>
      <x:c r="E16" s="77"/>
      <x:c r="F16" s="77"/>
      <x:c r="G16" s="77"/>
      <x:c r="H16" s="77"/>
      <x:c r="I16" s="77"/>
      <x:c r="J16" s="77"/>
      <x:c r="K16" s="77"/>
      <x:c r="L16" s="77"/>
      <x:c r="M16" s="77"/>
      <x:c r="N16" s="77"/>
      <x:c r="O16" s="77"/>
      <x:c r="P16" s="77"/>
    </x:row>
    <x:row r="17">
      <x:c r="A17" s="77"/>
      <x:c r="B17" s="77"/>
      <x:c r="C17" s="77"/>
      <x:c r="D17" s="77"/>
      <x:c r="E17" s="77"/>
      <x:c r="F17" s="77"/>
      <x:c r="G17" s="77"/>
      <x:c r="H17" s="77"/>
      <x:c r="I17" s="77"/>
      <x:c r="J17" s="77"/>
      <x:c r="K17" s="77"/>
      <x:c r="L17" s="77"/>
      <x:c r="M17" s="77"/>
      <x:c r="N17" s="77"/>
      <x:c r="O17" s="77"/>
      <x:c r="P17" s="77"/>
    </x:row>
    <x:row r="18">
      <x:c r="A18" s="77"/>
      <x:c r="B18" s="77"/>
      <x:c r="C18" s="77"/>
      <x:c r="D18" s="77"/>
      <x:c r="E18" s="77"/>
      <x:c r="F18" s="77"/>
      <x:c r="G18" s="77"/>
      <x:c r="H18" s="77"/>
      <x:c r="I18" s="77"/>
      <x:c r="J18" s="77"/>
      <x:c r="K18" s="77"/>
      <x:c r="L18" s="77"/>
      <x:c r="M18" s="77"/>
      <x:c r="N18" s="77"/>
      <x:c r="O18" s="77"/>
      <x:c r="P18" s="77"/>
    </x:row>
    <x:row r="19">
      <x:c r="A19" s="77"/>
      <x:c r="B19" s="77"/>
      <x:c r="C19" s="77"/>
      <x:c r="D19" s="77"/>
      <x:c r="E19" s="77"/>
      <x:c r="F19" s="77"/>
      <x:c r="G19" s="77"/>
      <x:c r="H19" s="77"/>
      <x:c r="I19" s="77"/>
      <x:c r="J19" s="77"/>
      <x:c r="K19" s="77"/>
      <x:c r="L19" s="77"/>
      <x:c r="M19" s="77"/>
      <x:c r="N19" s="77"/>
      <x:c r="O19" s="77"/>
      <x:c r="P19" s="77"/>
    </x:row>
    <x:row r="20">
      <x:c r="A20" s="77"/>
      <x:c r="B20" s="77"/>
      <x:c r="C20" s="77"/>
      <x:c r="D20" s="77"/>
      <x:c r="E20" s="77"/>
      <x:c r="F20" s="77"/>
      <x:c r="G20" s="77"/>
      <x:c r="H20" s="77"/>
      <x:c r="I20" s="77"/>
      <x:c r="J20" s="77"/>
      <x:c r="K20" s="77"/>
      <x:c r="L20" s="77"/>
      <x:c r="M20" s="77"/>
      <x:c r="N20" s="77"/>
      <x:c r="O20" s="77"/>
      <x:c r="P20" s="77"/>
    </x:row>
    <x:row r="21">
      <x:c r="A21" s="77"/>
      <x:c r="B21" s="77"/>
      <x:c r="C21" s="77"/>
      <x:c r="D21" s="77"/>
      <x:c r="E21" s="77"/>
      <x:c r="F21" s="77"/>
      <x:c r="G21" s="77"/>
      <x:c r="H21" s="77"/>
      <x:c r="I21" s="77"/>
      <x:c r="J21" s="77"/>
      <x:c r="K21" s="77"/>
      <x:c r="L21" s="77"/>
      <x:c r="M21" s="77"/>
      <x:c r="N21" s="77"/>
      <x:c r="O21" s="77"/>
      <x:c r="P21" s="77"/>
    </x:row>
    <x:row r="22">
      <x:c r="A22" s="77"/>
      <x:c r="B22" s="77"/>
      <x:c r="C22" s="77"/>
      <x:c r="D22" s="77"/>
      <x:c r="E22" s="77"/>
      <x:c r="F22" s="77"/>
      <x:c r="G22" s="77"/>
      <x:c r="H22" s="77"/>
      <x:c r="I22" s="77"/>
      <x:c r="J22" s="77"/>
      <x:c r="K22" s="77"/>
      <x:c r="L22" s="77"/>
      <x:c r="M22" s="77"/>
      <x:c r="N22" s="77"/>
      <x:c r="O22" s="77"/>
      <x:c r="P22" s="77"/>
    </x:row>
    <x:row r="23">
      <x:c r="A23" s="77"/>
      <x:c r="B23" s="77"/>
      <x:c r="C23" s="77"/>
      <x:c r="D23" s="77"/>
      <x:c r="E23" s="77"/>
      <x:c r="F23" s="77"/>
      <x:c r="G23" s="77"/>
      <x:c r="H23" s="77"/>
      <x:c r="I23" s="77"/>
      <x:c r="J23" s="77"/>
      <x:c r="K23" s="77"/>
      <x:c r="L23" s="77"/>
      <x:c r="M23" s="77"/>
      <x:c r="N23" s="77"/>
      <x:c r="O23" s="77"/>
      <x:c r="P23" s="77"/>
    </x:row>
    <x:row r="24">
      <x:c r="A24" s="77"/>
      <x:c r="B24" s="77"/>
      <x:c r="C24" s="77"/>
      <x:c r="D24" s="77"/>
      <x:c r="E24" s="77"/>
      <x:c r="F24" s="77"/>
      <x:c r="G24" s="77"/>
      <x:c r="H24" s="77"/>
      <x:c r="I24" s="77"/>
      <x:c r="J24" s="77"/>
      <x:c r="K24" s="77"/>
      <x:c r="L24" s="77"/>
      <x:c r="M24" s="77"/>
      <x:c r="N24" s="77"/>
      <x:c r="O24" s="77"/>
      <x:c r="P24" s="77"/>
    </x:row>
    <x:row r="25">
      <x:c r="A25" s="77"/>
      <x:c r="B25" s="77"/>
      <x:c r="C25" s="77"/>
      <x:c r="D25" s="77"/>
      <x:c r="E25" s="77"/>
      <x:c r="F25" s="77"/>
      <x:c r="G25" s="77"/>
      <x:c r="H25" s="77"/>
      <x:c r="I25" s="77"/>
      <x:c r="J25" s="77"/>
      <x:c r="K25" s="77"/>
      <x:c r="L25" s="77"/>
      <x:c r="M25" s="77"/>
      <x:c r="N25" s="77"/>
      <x:c r="O25" s="77"/>
      <x:c r="P25" s="77"/>
    </x:row>
    <x:row r="26">
      <x:c r="A26" s="77"/>
      <x:c r="B26" s="77"/>
      <x:c r="C26" s="77"/>
      <x:c r="D26" s="77"/>
      <x:c r="E26" s="77"/>
      <x:c r="F26" s="77"/>
      <x:c r="G26" s="77"/>
      <x:c r="H26" s="77"/>
      <x:c r="I26" s="77"/>
      <x:c r="J26" s="77"/>
      <x:c r="K26" s="77"/>
      <x:c r="L26" s="77"/>
      <x:c r="M26" s="77"/>
      <x:c r="N26" s="77"/>
      <x:c r="O26" s="77"/>
      <x:c r="P26" s="77"/>
    </x:row>
    <x:row r="27">
      <x:c r="A27" s="77"/>
      <x:c r="B27" s="77"/>
      <x:c r="C27" s="77"/>
      <x:c r="D27" s="77"/>
      <x:c r="E27" s="77"/>
      <x:c r="F27" s="77"/>
      <x:c r="G27" s="77"/>
      <x:c r="H27" s="77"/>
      <x:c r="I27" s="77"/>
      <x:c r="J27" s="77"/>
      <x:c r="K27" s="77"/>
      <x:c r="L27" s="77"/>
      <x:c r="M27" s="77"/>
      <x:c r="N27" s="77"/>
      <x:c r="O27" s="77"/>
      <x:c r="P27" s="77"/>
    </x:row>
    <x:row r="28">
      <x:c r="A28" s="77"/>
      <x:c r="B28" s="77"/>
      <x:c r="C28" s="77"/>
      <x:c r="D28" s="77"/>
      <x:c r="E28" s="77"/>
      <x:c r="F28" s="77"/>
      <x:c r="G28" s="77"/>
      <x:c r="H28" s="77"/>
      <x:c r="I28" s="77"/>
      <x:c r="J28" s="77"/>
      <x:c r="K28" s="77"/>
      <x:c r="L28" s="77"/>
      <x:c r="M28" s="77"/>
      <x:c r="N28" s="77"/>
      <x:c r="O28" s="77"/>
      <x:c r="P28" s="77"/>
    </x:row>
    <x:row r="29">
      <x:c r="A29" s="77"/>
      <x:c r="B29" s="77"/>
      <x:c r="C29" s="77"/>
      <x:c r="D29" s="77"/>
      <x:c r="E29" s="77"/>
      <x:c r="F29" s="77"/>
      <x:c r="G29" s="77"/>
      <x:c r="H29" s="77"/>
      <x:c r="I29" s="77"/>
      <x:c r="J29" s="77"/>
      <x:c r="K29" s="77"/>
      <x:c r="L29" s="77"/>
      <x:c r="M29" s="77"/>
      <x:c r="N29" s="77"/>
      <x:c r="O29" s="77"/>
      <x:c r="P29" s="77"/>
    </x:row>
    <x:row r="30">
      <x:c r="A30" s="77"/>
      <x:c r="B30" s="77"/>
      <x:c r="C30" s="77"/>
      <x:c r="D30" s="77"/>
      <x:c r="E30" s="77"/>
      <x:c r="F30" s="77"/>
      <x:c r="G30" s="77"/>
      <x:c r="H30" s="77"/>
      <x:c r="I30" s="77"/>
      <x:c r="J30" s="77"/>
      <x:c r="K30" s="77"/>
      <x:c r="L30" s="77"/>
      <x:c r="M30" s="77"/>
      <x:c r="N30" s="77"/>
      <x:c r="O30" s="77"/>
      <x:c r="P30" s="77"/>
    </x:row>
    <x:row r="31">
      <x:c r="A31" s="77"/>
      <x:c r="B31" s="77"/>
      <x:c r="C31" s="77"/>
      <x:c r="D31" s="77"/>
      <x:c r="E31" s="77"/>
      <x:c r="F31" s="77"/>
      <x:c r="G31" s="77"/>
      <x:c r="H31" s="77"/>
      <x:c r="I31" s="77"/>
      <x:c r="J31" s="77"/>
      <x:c r="K31" s="77"/>
      <x:c r="L31" s="77"/>
      <x:c r="M31" s="77"/>
      <x:c r="N31" s="77"/>
      <x:c r="O31" s="77"/>
      <x:c r="P31" s="77"/>
    </x:row>
    <x:row r="32">
      <x:c r="A32" s="77"/>
      <x:c r="B32" s="77"/>
      <x:c r="C32" s="77"/>
      <x:c r="D32" s="77"/>
      <x:c r="E32" s="77"/>
      <x:c r="F32" s="77"/>
      <x:c r="G32" s="77"/>
      <x:c r="H32" s="77"/>
      <x:c r="I32" s="77"/>
      <x:c r="J32" s="77"/>
      <x:c r="K32" s="77"/>
      <x:c r="L32" s="77"/>
      <x:c r="M32" s="77"/>
      <x:c r="N32" s="77"/>
      <x:c r="O32" s="77"/>
      <x:c r="P32" s="77"/>
    </x:row>
    <x:row r="33">
      <x:c r="A33" s="77"/>
      <x:c r="B33" s="77"/>
      <x:c r="C33" s="77"/>
      <x:c r="D33" s="77"/>
      <x:c r="E33" s="77"/>
      <x:c r="F33" s="77"/>
      <x:c r="G33" s="77"/>
      <x:c r="H33" s="77"/>
      <x:c r="I33" s="77"/>
      <x:c r="J33" s="77"/>
      <x:c r="K33" s="77"/>
      <x:c r="L33" s="77"/>
      <x:c r="M33" s="77"/>
      <x:c r="N33" s="77"/>
      <x:c r="O33" s="77"/>
      <x:c r="P33" s="77"/>
    </x:row>
    <x:row r="34">
      <x:c r="A34" s="77"/>
      <x:c r="B34" s="77"/>
      <x:c r="C34" s="77"/>
      <x:c r="D34" s="77"/>
      <x:c r="E34" s="77"/>
      <x:c r="F34" s="77"/>
      <x:c r="G34" s="77"/>
      <x:c r="H34" s="77"/>
      <x:c r="I34" s="77"/>
      <x:c r="J34" s="77"/>
      <x:c r="K34" s="77"/>
      <x:c r="L34" s="77"/>
      <x:c r="M34" s="77"/>
      <x:c r="N34" s="77"/>
      <x:c r="O34" s="77"/>
      <x:c r="P34" s="77"/>
    </x:row>
    <x:row r="35">
      <x:c r="A35" s="77"/>
      <x:c r="B35" s="77"/>
      <x:c r="C35" s="77"/>
      <x:c r="D35" s="77"/>
      <x:c r="E35" s="77"/>
      <x:c r="F35" s="77"/>
      <x:c r="G35" s="77"/>
      <x:c r="H35" s="77"/>
      <x:c r="I35" s="77"/>
      <x:c r="J35" s="77"/>
      <x:c r="K35" s="77"/>
      <x:c r="L35" s="77"/>
      <x:c r="M35" s="77"/>
      <x:c r="N35" s="77"/>
      <x:c r="O35" s="77"/>
      <x:c r="P35" s="77"/>
    </x:row>
    <x:row r="36">
      <x:c r="A36" s="77"/>
      <x:c r="B36" s="77"/>
      <x:c r="C36" s="77"/>
      <x:c r="D36" s="77"/>
      <x:c r="E36" s="77"/>
      <x:c r="F36" s="77"/>
      <x:c r="G36" s="77"/>
      <x:c r="H36" s="77"/>
      <x:c r="I36" s="77"/>
      <x:c r="J36" s="77"/>
      <x:c r="K36" s="77"/>
      <x:c r="L36" s="77"/>
      <x:c r="M36" s="77"/>
      <x:c r="N36" s="77"/>
      <x:c r="O36" s="77"/>
      <x:c r="P36" s="77"/>
    </x:row>
    <x:row r="37">
      <x:c r="A37" s="77"/>
      <x:c r="B37" s="77"/>
      <x:c r="C37" s="77"/>
      <x:c r="D37" s="77"/>
      <x:c r="E37" s="77"/>
      <x:c r="F37" s="77"/>
      <x:c r="G37" s="77"/>
      <x:c r="H37" s="77"/>
      <x:c r="I37" s="77"/>
      <x:c r="J37" s="77"/>
      <x:c r="K37" s="77"/>
      <x:c r="L37" s="77"/>
      <x:c r="M37" s="77"/>
      <x:c r="N37" s="77"/>
      <x:c r="O37" s="77"/>
      <x:c r="P37" s="77"/>
    </x:row>
    <x:row r="38">
      <x:c r="A38" s="77"/>
      <x:c r="B38" s="77"/>
      <x:c r="C38" s="77"/>
      <x:c r="D38" s="77"/>
      <x:c r="E38" s="77"/>
      <x:c r="F38" s="77"/>
      <x:c r="G38" s="77"/>
      <x:c r="H38" s="77"/>
      <x:c r="I38" s="77"/>
      <x:c r="J38" s="77"/>
      <x:c r="K38" s="77"/>
      <x:c r="L38" s="77"/>
      <x:c r="M38" s="77"/>
      <x:c r="N38" s="77"/>
      <x:c r="O38" s="77"/>
      <x:c r="P38" s="77"/>
    </x:row>
    <x:row r="39">
      <x:c r="A39" s="77"/>
      <x:c r="B39" s="77"/>
      <x:c r="C39" s="77"/>
      <x:c r="D39" s="77"/>
      <x:c r="E39" s="77"/>
      <x:c r="F39" s="77"/>
      <x:c r="G39" s="77"/>
      <x:c r="H39" s="77"/>
      <x:c r="I39" s="77"/>
      <x:c r="J39" s="77"/>
      <x:c r="K39" s="77"/>
      <x:c r="L39" s="77"/>
      <x:c r="M39" s="77"/>
      <x:c r="N39" s="77"/>
      <x:c r="O39" s="77"/>
      <x:c r="P39" s="77"/>
    </x:row>
    <x:row r="40">
      <x:c r="A40" s="77"/>
      <x:c r="B40" s="77"/>
      <x:c r="C40" s="77"/>
      <x:c r="D40" s="77"/>
      <x:c r="E40" s="77"/>
      <x:c r="F40" s="77"/>
      <x:c r="G40" s="77"/>
      <x:c r="H40" s="77"/>
      <x:c r="I40" s="77"/>
      <x:c r="J40" s="77"/>
      <x:c r="K40" s="77"/>
      <x:c r="L40" s="77"/>
      <x:c r="M40" s="77"/>
      <x:c r="N40" s="77"/>
      <x:c r="O40" s="77"/>
      <x:c r="P40" s="77"/>
    </x:row>
    <x:row r="41">
      <x:c r="A41" s="77"/>
      <x:c r="B41" s="77"/>
      <x:c r="C41" s="77"/>
      <x:c r="D41" s="77"/>
      <x:c r="E41" s="77"/>
      <x:c r="F41" s="77"/>
      <x:c r="G41" s="77"/>
      <x:c r="H41" s="77"/>
      <x:c r="I41" s="77"/>
      <x:c r="J41" s="77"/>
      <x:c r="K41" s="77"/>
      <x:c r="L41" s="77"/>
      <x:c r="M41" s="77"/>
      <x:c r="N41" s="77"/>
      <x:c r="O41" s="77"/>
      <x:c r="P41" s="77"/>
    </x:row>
    <x:row r="42">
      <x:c r="A42" s="77"/>
      <x:c r="B42" s="77"/>
      <x:c r="C42" s="77"/>
      <x:c r="D42" s="77"/>
      <x:c r="E42" s="77"/>
      <x:c r="F42" s="77"/>
      <x:c r="G42" s="77"/>
      <x:c r="H42" s="77"/>
      <x:c r="I42" s="77"/>
      <x:c r="J42" s="77"/>
      <x:c r="K42" s="77"/>
      <x:c r="L42" s="77"/>
      <x:c r="M42" s="77"/>
      <x:c r="N42" s="77"/>
      <x:c r="O42" s="77"/>
      <x:c r="P42" s="77"/>
    </x:row>
    <x:row r="43">
      <x:c r="A43" s="77"/>
      <x:c r="B43" s="77"/>
      <x:c r="C43" s="77"/>
      <x:c r="D43" s="77"/>
      <x:c r="E43" s="77"/>
      <x:c r="F43" s="77"/>
      <x:c r="G43" s="77"/>
      <x:c r="H43" s="77"/>
      <x:c r="I43" s="77"/>
      <x:c r="J43" s="77"/>
      <x:c r="K43" s="77"/>
      <x:c r="L43" s="77"/>
      <x:c r="M43" s="77"/>
      <x:c r="N43" s="77"/>
      <x:c r="O43" s="77"/>
      <x:c r="P43" s="77"/>
    </x:row>
    <x:row r="44">
      <x:c r="A44" s="77"/>
      <x:c r="B44" s="77"/>
      <x:c r="C44" s="77"/>
      <x:c r="D44" s="77"/>
      <x:c r="E44" s="77"/>
      <x:c r="F44" s="77"/>
      <x:c r="G44" s="77"/>
      <x:c r="H44" s="77"/>
      <x:c r="I44" s="77"/>
      <x:c r="J44" s="77"/>
      <x:c r="K44" s="77"/>
      <x:c r="L44" s="77"/>
      <x:c r="M44" s="77"/>
      <x:c r="N44" s="77"/>
      <x:c r="O44" s="77"/>
      <x:c r="P44" s="77"/>
    </x:row>
    <x:row r="45">
      <x:c r="A45" s="77"/>
      <x:c r="B45" s="77"/>
      <x:c r="C45" s="77"/>
      <x:c r="D45" s="77"/>
      <x:c r="E45" s="77"/>
      <x:c r="F45" s="77"/>
      <x:c r="G45" s="77"/>
      <x:c r="H45" s="77"/>
      <x:c r="I45" s="77"/>
      <x:c r="J45" s="77"/>
      <x:c r="K45" s="77"/>
      <x:c r="L45" s="77"/>
      <x:c r="M45" s="77"/>
      <x:c r="N45" s="77"/>
      <x:c r="O45" s="77"/>
      <x:c r="P45" s="77"/>
    </x:row>
    <x:row r="46">
      <x:c r="A46" s="77"/>
      <x:c r="B46" s="77"/>
      <x:c r="C46" s="77"/>
      <x:c r="D46" s="77"/>
      <x:c r="E46" s="77"/>
      <x:c r="F46" s="77"/>
      <x:c r="G46" s="77"/>
      <x:c r="H46" s="77"/>
      <x:c r="I46" s="77"/>
      <x:c r="J46" s="77"/>
      <x:c r="K46" s="77"/>
      <x:c r="L46" s="77"/>
      <x:c r="M46" s="77"/>
      <x:c r="N46" s="77"/>
      <x:c r="O46" s="77"/>
      <x:c r="P46" s="77"/>
    </x:row>
    <x:row r="47">
      <x:c r="A47" s="77"/>
      <x:c r="B47" s="77"/>
      <x:c r="C47" s="77"/>
      <x:c r="D47" s="77"/>
      <x:c r="E47" s="77"/>
      <x:c r="F47" s="77"/>
      <x:c r="G47" s="77"/>
      <x:c r="H47" s="77"/>
      <x:c r="I47" s="77"/>
      <x:c r="J47" s="77"/>
      <x:c r="K47" s="77"/>
      <x:c r="L47" s="77"/>
      <x:c r="M47" s="77"/>
      <x:c r="N47" s="77"/>
      <x:c r="O47" s="77"/>
      <x:c r="P47" s="77"/>
    </x:row>
    <x:row r="48">
      <x:c r="A48" s="77"/>
      <x:c r="B48" s="77"/>
      <x:c r="C48" s="77"/>
      <x:c r="D48" s="77"/>
      <x:c r="E48" s="77"/>
      <x:c r="F48" s="77"/>
      <x:c r="G48" s="77"/>
      <x:c r="H48" s="77"/>
      <x:c r="I48" s="77"/>
      <x:c r="J48" s="77"/>
      <x:c r="K48" s="77"/>
      <x:c r="L48" s="77"/>
      <x:c r="M48" s="77"/>
      <x:c r="N48" s="77"/>
      <x:c r="O48" s="77"/>
      <x:c r="P48" s="77"/>
    </x:row>
    <x:row r="49">
      <x:c r="A49" s="77"/>
      <x:c r="B49" s="77"/>
      <x:c r="C49" s="77"/>
      <x:c r="D49" s="77"/>
      <x:c r="E49" s="77"/>
      <x:c r="F49" s="77"/>
      <x:c r="G49" s="77"/>
      <x:c r="H49" s="77"/>
      <x:c r="I49" s="77"/>
      <x:c r="J49" s="77"/>
      <x:c r="K49" s="77"/>
      <x:c r="L49" s="77"/>
      <x:c r="M49" s="77"/>
      <x:c r="N49" s="77"/>
      <x:c r="O49" s="77"/>
      <x:c r="P49" s="77"/>
    </x:row>
    <x:row r="50">
      <x:c r="A50" s="77"/>
      <x:c r="B50" s="77"/>
      <x:c r="C50" s="77"/>
      <x:c r="D50" s="77"/>
      <x:c r="E50" s="77"/>
      <x:c r="F50" s="77"/>
      <x:c r="G50" s="77"/>
      <x:c r="H50" s="77"/>
      <x:c r="I50" s="77"/>
      <x:c r="J50" s="77"/>
      <x:c r="K50" s="77"/>
      <x:c r="L50" s="77"/>
      <x:c r="M50" s="77"/>
      <x:c r="N50" s="77"/>
      <x:c r="O50" s="77"/>
      <x:c r="P50" s="77"/>
    </x:row>
    <x:row r="51">
      <x:c r="A51" s="77"/>
      <x:c r="B51" s="77"/>
      <x:c r="C51" s="77"/>
      <x:c r="D51" s="77"/>
      <x:c r="E51" s="77"/>
      <x:c r="F51" s="77"/>
      <x:c r="G51" s="77"/>
      <x:c r="H51" s="77"/>
      <x:c r="I51" s="77"/>
      <x:c r="J51" s="77"/>
      <x:c r="K51" s="77"/>
      <x:c r="L51" s="77"/>
      <x:c r="M51" s="77"/>
      <x:c r="N51" s="77"/>
      <x:c r="O51" s="77"/>
      <x:c r="P51" s="77"/>
    </x:row>
    <x:row r="52">
      <x:c r="A52" s="77"/>
      <x:c r="B52" s="77"/>
      <x:c r="C52" s="77"/>
      <x:c r="D52" s="77"/>
      <x:c r="E52" s="77"/>
      <x:c r="F52" s="77"/>
      <x:c r="G52" s="77"/>
      <x:c r="H52" s="77"/>
      <x:c r="I52" s="77"/>
      <x:c r="J52" s="77"/>
      <x:c r="K52" s="77"/>
      <x:c r="L52" s="77"/>
      <x:c r="M52" s="77"/>
      <x:c r="N52" s="77"/>
      <x:c r="O52" s="77"/>
      <x:c r="P52" s="77"/>
    </x:row>
    <x:row r="53">
      <x:c r="A53" s="77"/>
      <x:c r="B53" s="77"/>
      <x:c r="C53" s="77"/>
      <x:c r="D53" s="77"/>
      <x:c r="E53" s="77"/>
      <x:c r="F53" s="77"/>
      <x:c r="G53" s="77"/>
      <x:c r="H53" s="77"/>
      <x:c r="I53" s="77"/>
      <x:c r="J53" s="77"/>
      <x:c r="K53" s="77"/>
      <x:c r="L53" s="77"/>
      <x:c r="M53" s="77"/>
      <x:c r="N53" s="77"/>
      <x:c r="O53" s="77"/>
      <x:c r="P53" s="77"/>
    </x:row>
    <x:row r="54">
      <x:c r="A54" s="77"/>
      <x:c r="B54" s="77"/>
      <x:c r="C54" s="77"/>
      <x:c r="D54" s="77"/>
      <x:c r="E54" s="77"/>
      <x:c r="F54" s="77"/>
      <x:c r="G54" s="77"/>
      <x:c r="H54" s="77"/>
      <x:c r="I54" s="77"/>
      <x:c r="J54" s="77"/>
      <x:c r="K54" s="77"/>
      <x:c r="L54" s="77"/>
      <x:c r="M54" s="77"/>
      <x:c r="N54" s="77"/>
      <x:c r="O54" s="77"/>
      <x:c r="P54" s="77"/>
    </x:row>
    <x:row r="55">
      <x:c r="A55" s="77"/>
      <x:c r="B55" s="77"/>
      <x:c r="C55" s="77"/>
      <x:c r="D55" s="77"/>
      <x:c r="E55" s="77"/>
      <x:c r="F55" s="77"/>
      <x:c r="G55" s="77"/>
      <x:c r="H55" s="77"/>
      <x:c r="I55" s="77"/>
      <x:c r="J55" s="77"/>
      <x:c r="K55" s="77"/>
      <x:c r="L55" s="77"/>
      <x:c r="M55" s="77"/>
      <x:c r="N55" s="77"/>
      <x:c r="O55" s="77"/>
      <x:c r="P55" s="77"/>
    </x:row>
    <x:row r="56">
      <x:c r="A56" s="77"/>
      <x:c r="B56" s="77"/>
      <x:c r="C56" s="77"/>
      <x:c r="D56" s="77"/>
      <x:c r="E56" s="77"/>
      <x:c r="F56" s="77"/>
      <x:c r="G56" s="77"/>
      <x:c r="H56" s="77"/>
      <x:c r="I56" s="77"/>
      <x:c r="J56" s="77"/>
      <x:c r="K56" s="77"/>
      <x:c r="L56" s="77"/>
      <x:c r="M56" s="77"/>
      <x:c r="N56" s="77"/>
      <x:c r="O56" s="77"/>
      <x:c r="P56" s="77"/>
    </x:row>
    <x:row r="57">
      <x:c r="A57" s="77"/>
      <x:c r="B57" s="77"/>
      <x:c r="C57" s="77"/>
      <x:c r="D57" s="77"/>
      <x:c r="E57" s="77"/>
      <x:c r="F57" s="77"/>
      <x:c r="G57" s="77"/>
      <x:c r="H57" s="77"/>
      <x:c r="I57" s="77"/>
      <x:c r="J57" s="77"/>
      <x:c r="K57" s="77"/>
      <x:c r="L57" s="77"/>
      <x:c r="M57" s="77"/>
      <x:c r="N57" s="77"/>
      <x:c r="O57" s="77"/>
      <x:c r="P57" s="77"/>
    </x:row>
    <x:row r="58">
      <x:c r="A58" s="77"/>
      <x:c r="B58" s="77"/>
      <x:c r="C58" s="77"/>
      <x:c r="D58" s="77"/>
      <x:c r="E58" s="77"/>
      <x:c r="F58" s="77"/>
      <x:c r="G58" s="77"/>
      <x:c r="H58" s="77"/>
      <x:c r="I58" s="77"/>
      <x:c r="J58" s="77"/>
      <x:c r="K58" s="77"/>
      <x:c r="L58" s="77"/>
      <x:c r="M58" s="77"/>
      <x:c r="N58" s="77"/>
      <x:c r="O58" s="77"/>
      <x:c r="P58" s="77"/>
    </x:row>
    <x:row r="59">
      <x:c r="A59" s="77"/>
      <x:c r="B59" s="77"/>
      <x:c r="C59" s="77"/>
      <x:c r="D59" s="77"/>
      <x:c r="E59" s="77"/>
      <x:c r="F59" s="77"/>
      <x:c r="G59" s="77"/>
      <x:c r="H59" s="77"/>
      <x:c r="I59" s="77"/>
      <x:c r="J59" s="77"/>
      <x:c r="K59" s="77"/>
      <x:c r="L59" s="77"/>
      <x:c r="M59" s="77"/>
      <x:c r="N59" s="77"/>
      <x:c r="O59" s="77"/>
      <x:c r="P59" s="77"/>
    </x:row>
    <x:row r="60">
      <x:c r="A60" s="77"/>
      <x:c r="B60" s="77"/>
      <x:c r="C60" s="77"/>
      <x:c r="D60" s="77"/>
      <x:c r="E60" s="77"/>
      <x:c r="F60" s="77"/>
      <x:c r="G60" s="77"/>
      <x:c r="H60" s="77"/>
      <x:c r="I60" s="77"/>
      <x:c r="J60" s="77"/>
      <x:c r="K60" s="77"/>
      <x:c r="L60" s="77"/>
      <x:c r="M60" s="77"/>
      <x:c r="N60" s="77"/>
      <x:c r="O60" s="77"/>
      <x:c r="P60" s="77"/>
    </x:row>
    <x:row r="61">
      <x:c r="A61" s="77"/>
      <x:c r="B61" s="77"/>
      <x:c r="C61" s="77"/>
      <x:c r="D61" s="77"/>
      <x:c r="E61" s="77"/>
      <x:c r="F61" s="77"/>
      <x:c r="G61" s="77"/>
      <x:c r="H61" s="77"/>
      <x:c r="I61" s="77"/>
      <x:c r="J61" s="77"/>
      <x:c r="K61" s="77"/>
      <x:c r="L61" s="77"/>
      <x:c r="M61" s="77"/>
      <x:c r="N61" s="77"/>
      <x:c r="O61" s="77"/>
      <x:c r="P61" s="77"/>
    </x:row>
    <x:row r="62">
      <x:c r="A62" s="77"/>
      <x:c r="B62" s="77"/>
      <x:c r="C62" s="77"/>
      <x:c r="D62" s="77"/>
      <x:c r="E62" s="77"/>
      <x:c r="F62" s="77"/>
      <x:c r="G62" s="77"/>
      <x:c r="H62" s="77"/>
      <x:c r="I62" s="77"/>
      <x:c r="J62" s="77"/>
      <x:c r="K62" s="77"/>
      <x:c r="L62" s="77"/>
      <x:c r="M62" s="77"/>
      <x:c r="N62" s="77"/>
      <x:c r="O62" s="77"/>
      <x:c r="P62" s="77"/>
    </x:row>
    <x:row r="63">
      <x:c r="A63" s="77"/>
      <x:c r="B63" s="77"/>
      <x:c r="C63" s="77"/>
      <x:c r="D63" s="77"/>
      <x:c r="E63" s="77"/>
      <x:c r="F63" s="77"/>
      <x:c r="G63" s="77"/>
      <x:c r="H63" s="77"/>
      <x:c r="I63" s="77"/>
      <x:c r="J63" s="77"/>
      <x:c r="K63" s="77"/>
      <x:c r="L63" s="77"/>
      <x:c r="M63" s="77"/>
      <x:c r="N63" s="77"/>
      <x:c r="O63" s="77"/>
      <x:c r="P63" s="77"/>
    </x:row>
    <x:row r="64">
      <x:c r="A64" s="77"/>
      <x:c r="B64" s="77"/>
      <x:c r="C64" s="77"/>
      <x:c r="D64" s="77"/>
      <x:c r="E64" s="77"/>
      <x:c r="F64" s="77"/>
      <x:c r="G64" s="77"/>
      <x:c r="H64" s="77"/>
      <x:c r="I64" s="77"/>
      <x:c r="J64" s="77"/>
      <x:c r="K64" s="77"/>
      <x:c r="L64" s="77"/>
      <x:c r="M64" s="77"/>
      <x:c r="N64" s="77"/>
      <x:c r="O64" s="77"/>
      <x:c r="P64" s="77"/>
    </x:row>
    <x:row r="65">
      <x:c r="A65" s="77"/>
      <x:c r="B65" s="77"/>
      <x:c r="C65" s="77"/>
      <x:c r="D65" s="77"/>
      <x:c r="E65" s="77"/>
      <x:c r="F65" s="77"/>
      <x:c r="G65" s="77"/>
      <x:c r="H65" s="77"/>
      <x:c r="I65" s="77"/>
      <x:c r="J65" s="77"/>
      <x:c r="K65" s="77"/>
      <x:c r="L65" s="77"/>
      <x:c r="M65" s="77"/>
      <x:c r="N65" s="77"/>
      <x:c r="O65" s="77"/>
      <x:c r="P65" s="77"/>
    </x:row>
    <x:row r="66">
      <x:c r="A66" s="77"/>
      <x:c r="B66" s="77"/>
      <x:c r="C66" s="77"/>
      <x:c r="D66" s="77"/>
      <x:c r="E66" s="77"/>
      <x:c r="F66" s="77"/>
      <x:c r="G66" s="77"/>
      <x:c r="H66" s="77"/>
      <x:c r="I66" s="77"/>
      <x:c r="J66" s="77"/>
      <x:c r="K66" s="77"/>
      <x:c r="L66" s="77"/>
      <x:c r="M66" s="77"/>
      <x:c r="N66" s="77"/>
      <x:c r="O66" s="77"/>
      <x:c r="P66" s="77"/>
    </x:row>
    <x:row r="67">
      <x:c r="A67" s="77"/>
      <x:c r="B67" s="77"/>
      <x:c r="C67" s="77"/>
      <x:c r="D67" s="77"/>
      <x:c r="E67" s="77"/>
      <x:c r="F67" s="77"/>
      <x:c r="G67" s="77"/>
      <x:c r="H67" s="77"/>
      <x:c r="I67" s="77"/>
      <x:c r="J67" s="77"/>
      <x:c r="K67" s="77"/>
      <x:c r="L67" s="77"/>
      <x:c r="M67" s="77"/>
      <x:c r="N67" s="77"/>
      <x:c r="O67" s="77"/>
      <x:c r="P67" s="77"/>
    </x:row>
    <x:row r="68">
      <x:c r="A68" s="77"/>
      <x:c r="B68" s="77"/>
      <x:c r="C68" s="77"/>
      <x:c r="D68" s="77"/>
      <x:c r="E68" s="77"/>
      <x:c r="F68" s="77"/>
      <x:c r="G68" s="77"/>
      <x:c r="H68" s="77"/>
      <x:c r="I68" s="77"/>
      <x:c r="J68" s="77"/>
      <x:c r="K68" s="77"/>
      <x:c r="L68" s="77"/>
      <x:c r="M68" s="77"/>
      <x:c r="N68" s="77"/>
      <x:c r="O68" s="77"/>
      <x:c r="P68" s="77"/>
    </x:row>
    <x:row r="69">
      <x:c r="A69" s="77"/>
      <x:c r="B69" s="77"/>
      <x:c r="C69" s="77"/>
      <x:c r="D69" s="77"/>
      <x:c r="E69" s="77"/>
      <x:c r="F69" s="77"/>
      <x:c r="G69" s="77"/>
      <x:c r="H69" s="77"/>
      <x:c r="I69" s="77"/>
      <x:c r="J69" s="77"/>
      <x:c r="K69" s="77"/>
      <x:c r="L69" s="77"/>
      <x:c r="M69" s="77"/>
      <x:c r="N69" s="77"/>
      <x:c r="O69" s="77"/>
      <x:c r="P69" s="77"/>
    </x:row>
    <x:row r="70">
      <x:c r="A70" s="77"/>
      <x:c r="B70" s="77"/>
      <x:c r="C70" s="77"/>
      <x:c r="D70" s="77"/>
      <x:c r="E70" s="77"/>
      <x:c r="F70" s="77"/>
      <x:c r="G70" s="77"/>
      <x:c r="H70" s="77"/>
      <x:c r="I70" s="77"/>
      <x:c r="J70" s="77"/>
      <x:c r="K70" s="77"/>
      <x:c r="L70" s="77"/>
      <x:c r="M70" s="77"/>
      <x:c r="N70" s="77"/>
      <x:c r="O70" s="77"/>
      <x:c r="P70" s="77"/>
    </x:row>
    <x:row r="71">
      <x:c r="A71" s="77"/>
      <x:c r="B71" s="77"/>
      <x:c r="C71" s="77"/>
      <x:c r="D71" s="77"/>
      <x:c r="E71" s="77"/>
      <x:c r="F71" s="77"/>
      <x:c r="G71" s="77"/>
      <x:c r="H71" s="77"/>
      <x:c r="I71" s="77"/>
      <x:c r="J71" s="77"/>
      <x:c r="K71" s="77"/>
      <x:c r="L71" s="77"/>
      <x:c r="M71" s="77"/>
      <x:c r="N71" s="77"/>
      <x:c r="O71" s="77"/>
      <x:c r="P71" s="77"/>
    </x:row>
    <x:row r="72">
      <x:c r="A72" s="77"/>
      <x:c r="B72" s="77"/>
      <x:c r="C72" s="77"/>
      <x:c r="D72" s="77"/>
      <x:c r="E72" s="77"/>
      <x:c r="F72" s="77"/>
      <x:c r="G72" s="77"/>
      <x:c r="H72" s="77"/>
      <x:c r="I72" s="77"/>
      <x:c r="J72" s="77"/>
      <x:c r="K72" s="77"/>
      <x:c r="L72" s="77"/>
      <x:c r="M72" s="77"/>
      <x:c r="N72" s="77"/>
      <x:c r="O72" s="77"/>
      <x:c r="P72" s="77"/>
    </x:row>
    <x:row r="73">
      <x:c r="A73" s="77"/>
      <x:c r="B73" s="77"/>
      <x:c r="C73" s="77"/>
      <x:c r="D73" s="77"/>
      <x:c r="E73" s="77"/>
      <x:c r="F73" s="77"/>
      <x:c r="G73" s="77"/>
      <x:c r="H73" s="77"/>
      <x:c r="I73" s="77"/>
      <x:c r="J73" s="77"/>
      <x:c r="K73" s="77"/>
      <x:c r="L73" s="77"/>
      <x:c r="M73" s="77"/>
      <x:c r="N73" s="77"/>
      <x:c r="O73" s="77"/>
      <x:c r="P73" s="77"/>
    </x:row>
    <x:row r="74">
      <x:c r="A74" s="77"/>
      <x:c r="B74" s="77"/>
      <x:c r="C74" s="77"/>
      <x:c r="D74" s="77"/>
      <x:c r="E74" s="77"/>
      <x:c r="F74" s="77"/>
      <x:c r="G74" s="77"/>
      <x:c r="H74" s="77"/>
      <x:c r="I74" s="77"/>
      <x:c r="J74" s="77"/>
      <x:c r="K74" s="77"/>
      <x:c r="L74" s="77"/>
      <x:c r="M74" s="77"/>
      <x:c r="N74" s="77"/>
      <x:c r="O74" s="77"/>
      <x:c r="P74" s="77"/>
    </x:row>
    <x:row r="75">
      <x:c r="A75" s="77"/>
      <x:c r="B75" s="77"/>
      <x:c r="C75" s="77"/>
      <x:c r="D75" s="77"/>
      <x:c r="E75" s="77"/>
      <x:c r="F75" s="77"/>
      <x:c r="G75" s="77"/>
      <x:c r="H75" s="77"/>
      <x:c r="I75" s="77"/>
      <x:c r="J75" s="77"/>
      <x:c r="K75" s="77"/>
      <x:c r="L75" s="77"/>
      <x:c r="M75" s="77"/>
      <x:c r="N75" s="77"/>
      <x:c r="O75" s="77"/>
      <x:c r="P75" s="77"/>
    </x:row>
    <x:row r="76">
      <x:c r="A76" s="77"/>
      <x:c r="B76" s="77"/>
      <x:c r="C76" s="77"/>
      <x:c r="D76" s="77"/>
      <x:c r="E76" s="77"/>
      <x:c r="F76" s="77"/>
      <x:c r="G76" s="77"/>
      <x:c r="H76" s="77"/>
      <x:c r="I76" s="77"/>
      <x:c r="J76" s="77"/>
      <x:c r="K76" s="77"/>
      <x:c r="L76" s="77"/>
      <x:c r="M76" s="77"/>
      <x:c r="N76" s="77"/>
      <x:c r="O76" s="77"/>
      <x:c r="P76" s="77"/>
    </x:row>
    <x:row r="77">
      <x:c r="A77" s="77"/>
      <x:c r="B77" s="77"/>
      <x:c r="C77" s="77"/>
      <x:c r="D77" s="77"/>
      <x:c r="E77" s="77"/>
      <x:c r="F77" s="77"/>
      <x:c r="G77" s="77"/>
      <x:c r="H77" s="77"/>
      <x:c r="I77" s="77"/>
      <x:c r="J77" s="77"/>
      <x:c r="K77" s="77"/>
      <x:c r="L77" s="77"/>
      <x:c r="M77" s="77"/>
      <x:c r="N77" s="77"/>
      <x:c r="O77" s="77"/>
      <x:c r="P77" s="77"/>
    </x:row>
    <x:row r="78">
      <x:c r="A78" s="77"/>
      <x:c r="B78" s="77"/>
      <x:c r="C78" s="77"/>
      <x:c r="D78" s="77"/>
      <x:c r="E78" s="77"/>
      <x:c r="F78" s="77"/>
      <x:c r="G78" s="77"/>
      <x:c r="H78" s="77"/>
      <x:c r="I78" s="77"/>
      <x:c r="J78" s="77"/>
      <x:c r="K78" s="77"/>
      <x:c r="L78" s="77"/>
      <x:c r="M78" s="77"/>
      <x:c r="N78" s="77"/>
      <x:c r="O78" s="77"/>
      <x:c r="P78" s="77"/>
    </x:row>
    <x:row r="79">
      <x:c r="A79" s="77"/>
      <x:c r="B79" s="77"/>
      <x:c r="C79" s="77"/>
      <x:c r="D79" s="77"/>
      <x:c r="E79" s="77"/>
      <x:c r="F79" s="77"/>
      <x:c r="G79" s="77"/>
      <x:c r="H79" s="77"/>
      <x:c r="I79" s="77"/>
      <x:c r="J79" s="77"/>
      <x:c r="K79" s="77"/>
      <x:c r="L79" s="77"/>
      <x:c r="M79" s="77"/>
      <x:c r="N79" s="77"/>
      <x:c r="O79" s="77"/>
      <x:c r="P79" s="77"/>
    </x:row>
    <x:row r="80">
      <x:c r="A80" s="77"/>
      <x:c r="B80" s="77"/>
      <x:c r="C80" s="77"/>
      <x:c r="D80" s="77"/>
      <x:c r="E80" s="77"/>
      <x:c r="F80" s="77"/>
      <x:c r="G80" s="77"/>
      <x:c r="H80" s="77"/>
      <x:c r="I80" s="77"/>
      <x:c r="J80" s="77"/>
      <x:c r="K80" s="77"/>
      <x:c r="L80" s="77"/>
      <x:c r="M80" s="77"/>
      <x:c r="N80" s="77"/>
      <x:c r="O80" s="77"/>
      <x:c r="P80" s="77"/>
    </x:row>
    <x:row r="81">
      <x:c r="A81" s="77"/>
      <x:c r="B81" s="77"/>
      <x:c r="C81" s="77"/>
      <x:c r="D81" s="77"/>
      <x:c r="E81" s="77"/>
      <x:c r="F81" s="77"/>
      <x:c r="G81" s="77"/>
      <x:c r="H81" s="77"/>
      <x:c r="I81" s="77"/>
      <x:c r="J81" s="77"/>
      <x:c r="K81" s="77"/>
      <x:c r="L81" s="77"/>
      <x:c r="M81" s="77"/>
      <x:c r="N81" s="77"/>
      <x:c r="O81" s="77"/>
      <x:c r="P81" s="77"/>
    </x:row>
    <x:row r="82">
      <x:c r="A82" s="77"/>
      <x:c r="B82" s="77"/>
      <x:c r="C82" s="77"/>
      <x:c r="D82" s="77"/>
      <x:c r="E82" s="77"/>
      <x:c r="F82" s="77"/>
      <x:c r="G82" s="77"/>
      <x:c r="H82" s="77"/>
      <x:c r="I82" s="77"/>
      <x:c r="J82" s="77"/>
      <x:c r="K82" s="77"/>
      <x:c r="L82" s="77"/>
      <x:c r="M82" s="77"/>
      <x:c r="N82" s="77"/>
      <x:c r="O82" s="77"/>
      <x:c r="P82" s="77"/>
    </x:row>
    <x:row r="83">
      <x:c r="A83" s="77"/>
      <x:c r="B83" s="77"/>
      <x:c r="C83" s="77"/>
      <x:c r="D83" s="77"/>
      <x:c r="E83" s="77"/>
      <x:c r="F83" s="77"/>
      <x:c r="G83" s="77"/>
      <x:c r="H83" s="77"/>
      <x:c r="I83" s="77"/>
      <x:c r="J83" s="77"/>
      <x:c r="K83" s="77"/>
      <x:c r="L83" s="77"/>
      <x:c r="M83" s="77"/>
      <x:c r="N83" s="77"/>
      <x:c r="O83" s="77"/>
      <x:c r="P83" s="77"/>
    </x:row>
    <x:row r="84">
      <x:c r="A84" s="77"/>
      <x:c r="B84" s="77"/>
      <x:c r="C84" s="77"/>
      <x:c r="D84" s="77"/>
      <x:c r="E84" s="77"/>
      <x:c r="F84" s="77"/>
      <x:c r="G84" s="77"/>
      <x:c r="H84" s="77"/>
      <x:c r="I84" s="77"/>
      <x:c r="J84" s="77"/>
      <x:c r="K84" s="77"/>
      <x:c r="L84" s="77"/>
      <x:c r="M84" s="77"/>
      <x:c r="N84" s="77"/>
      <x:c r="O84" s="77"/>
      <x:c r="P84" s="77"/>
    </x:row>
    <x:row r="85">
      <x:c r="A85" s="77"/>
      <x:c r="B85" s="77"/>
      <x:c r="C85" s="77"/>
      <x:c r="D85" s="77"/>
      <x:c r="E85" s="77"/>
      <x:c r="F85" s="77"/>
      <x:c r="G85" s="77"/>
      <x:c r="H85" s="77"/>
      <x:c r="I85" s="77"/>
      <x:c r="J85" s="77"/>
      <x:c r="K85" s="77"/>
      <x:c r="L85" s="77"/>
      <x:c r="M85" s="77"/>
      <x:c r="N85" s="77"/>
      <x:c r="O85" s="77"/>
      <x:c r="P85" s="77"/>
    </x:row>
    <x:row r="86">
      <x:c r="A86" s="77"/>
      <x:c r="B86" s="77"/>
      <x:c r="C86" s="77"/>
      <x:c r="D86" s="77"/>
      <x:c r="E86" s="77"/>
      <x:c r="F86" s="77"/>
      <x:c r="G86" s="77"/>
      <x:c r="H86" s="77"/>
      <x:c r="I86" s="77"/>
      <x:c r="J86" s="77"/>
      <x:c r="K86" s="77"/>
      <x:c r="L86" s="77"/>
      <x:c r="M86" s="77"/>
      <x:c r="N86" s="77"/>
      <x:c r="O86" s="77"/>
      <x:c r="P86" s="77"/>
    </x:row>
    <x:row r="87">
      <x:c r="A87" s="77"/>
      <x:c r="B87" s="77"/>
      <x:c r="C87" s="77"/>
      <x:c r="D87" s="77"/>
      <x:c r="E87" s="77"/>
      <x:c r="F87" s="77"/>
      <x:c r="G87" s="77"/>
      <x:c r="H87" s="77"/>
      <x:c r="I87" s="77"/>
      <x:c r="J87" s="77"/>
      <x:c r="K87" s="77"/>
      <x:c r="L87" s="77"/>
      <x:c r="M87" s="77"/>
      <x:c r="N87" s="77"/>
      <x:c r="O87" s="77"/>
      <x:c r="P87" s="77"/>
    </x:row>
    <x:row r="88">
      <x:c r="A88" s="77"/>
      <x:c r="B88" s="77"/>
      <x:c r="C88" s="77"/>
      <x:c r="D88" s="77"/>
      <x:c r="E88" s="77"/>
      <x:c r="F88" s="77"/>
      <x:c r="G88" s="77"/>
      <x:c r="H88" s="77"/>
      <x:c r="I88" s="77"/>
      <x:c r="J88" s="77"/>
      <x:c r="K88" s="77"/>
      <x:c r="L88" s="77"/>
      <x:c r="M88" s="77"/>
      <x:c r="N88" s="77"/>
      <x:c r="O88" s="77"/>
      <x:c r="P88" s="77"/>
    </x:row>
    <x:row r="89">
      <x:c r="A89" s="77"/>
      <x:c r="B89" s="77"/>
      <x:c r="C89" s="77"/>
      <x:c r="D89" s="77"/>
      <x:c r="E89" s="77"/>
      <x:c r="F89" s="77"/>
      <x:c r="G89" s="77"/>
      <x:c r="H89" s="77"/>
      <x:c r="I89" s="77"/>
      <x:c r="J89" s="77"/>
      <x:c r="K89" s="77"/>
      <x:c r="L89" s="77"/>
      <x:c r="M89" s="77"/>
      <x:c r="N89" s="77"/>
      <x:c r="O89" s="77"/>
      <x:c r="P89" s="77"/>
    </x:row>
    <x:row r="90">
      <x:c r="A90" s="77"/>
      <x:c r="B90" s="77"/>
      <x:c r="C90" s="77"/>
      <x:c r="D90" s="77"/>
      <x:c r="E90" s="77"/>
      <x:c r="F90" s="77"/>
      <x:c r="G90" s="77"/>
      <x:c r="H90" s="77"/>
      <x:c r="I90" s="77"/>
      <x:c r="J90" s="77"/>
      <x:c r="K90" s="77"/>
      <x:c r="L90" s="77"/>
      <x:c r="M90" s="77"/>
      <x:c r="N90" s="77"/>
      <x:c r="O90" s="77"/>
      <x:c r="P90" s="77"/>
    </x:row>
    <x:row r="91">
      <x:c r="A91" s="77"/>
      <x:c r="B91" s="77"/>
      <x:c r="C91" s="77"/>
      <x:c r="D91" s="77"/>
      <x:c r="E91" s="77"/>
      <x:c r="F91" s="77"/>
      <x:c r="G91" s="77"/>
      <x:c r="H91" s="77"/>
      <x:c r="I91" s="77"/>
      <x:c r="J91" s="77"/>
      <x:c r="K91" s="77"/>
      <x:c r="L91" s="77"/>
      <x:c r="M91" s="77"/>
      <x:c r="N91" s="77"/>
      <x:c r="O91" s="77"/>
      <x:c r="P91" s="77"/>
    </x:row>
    <x:row r="92">
      <x:c r="A92" s="77"/>
      <x:c r="B92" s="77"/>
      <x:c r="C92" s="77"/>
      <x:c r="D92" s="77"/>
      <x:c r="E92" s="77"/>
      <x:c r="F92" s="77"/>
      <x:c r="G92" s="77"/>
      <x:c r="H92" s="77"/>
      <x:c r="I92" s="77"/>
      <x:c r="J92" s="77"/>
      <x:c r="K92" s="77"/>
      <x:c r="L92" s="77"/>
      <x:c r="M92" s="77"/>
      <x:c r="N92" s="77"/>
      <x:c r="O92" s="77"/>
      <x:c r="P92" s="77"/>
    </x:row>
    <x:row r="93">
      <x:c r="A93" s="77"/>
      <x:c r="B93" s="77"/>
      <x:c r="C93" s="77"/>
      <x:c r="D93" s="77"/>
      <x:c r="E93" s="77"/>
      <x:c r="F93" s="77"/>
      <x:c r="G93" s="77"/>
      <x:c r="H93" s="77"/>
      <x:c r="I93" s="77"/>
      <x:c r="J93" s="77"/>
      <x:c r="K93" s="77"/>
      <x:c r="L93" s="77"/>
      <x:c r="M93" s="77"/>
      <x:c r="N93" s="77"/>
      <x:c r="O93" s="77"/>
      <x:c r="P93" s="77"/>
    </x:row>
    <x:row r="94">
      <x:c r="A94" s="77"/>
      <x:c r="B94" s="77"/>
      <x:c r="C94" s="77"/>
      <x:c r="D94" s="77"/>
      <x:c r="E94" s="77"/>
      <x:c r="F94" s="77"/>
      <x:c r="G94" s="77"/>
      <x:c r="H94" s="77"/>
      <x:c r="I94" s="77"/>
      <x:c r="J94" s="77"/>
      <x:c r="K94" s="77"/>
      <x:c r="L94" s="77"/>
      <x:c r="M94" s="77"/>
      <x:c r="N94" s="77"/>
      <x:c r="O94" s="77"/>
      <x:c r="P94" s="77"/>
    </x:row>
    <x:row r="95">
      <x:c r="A95" s="77"/>
      <x:c r="B95" s="77"/>
      <x:c r="C95" s="77"/>
      <x:c r="D95" s="77"/>
      <x:c r="E95" s="77"/>
      <x:c r="F95" s="77"/>
      <x:c r="G95" s="77"/>
      <x:c r="H95" s="77"/>
      <x:c r="I95" s="77"/>
      <x:c r="J95" s="77"/>
      <x:c r="K95" s="77"/>
      <x:c r="L95" s="77"/>
      <x:c r="M95" s="77"/>
      <x:c r="N95" s="77"/>
      <x:c r="O95" s="77"/>
      <x:c r="P95" s="77"/>
    </x:row>
    <x:row r="96">
      <x:c r="A96" s="77"/>
      <x:c r="B96" s="77"/>
      <x:c r="C96" s="77"/>
      <x:c r="D96" s="77"/>
      <x:c r="E96" s="77"/>
      <x:c r="F96" s="77"/>
      <x:c r="G96" s="77"/>
      <x:c r="H96" s="77"/>
      <x:c r="I96" s="77"/>
      <x:c r="J96" s="77"/>
      <x:c r="K96" s="77"/>
      <x:c r="L96" s="77"/>
      <x:c r="M96" s="77"/>
      <x:c r="N96" s="77"/>
      <x:c r="O96" s="77"/>
      <x:c r="P96" s="77"/>
    </x:row>
    <x:row r="97">
      <x:c r="A97" s="77"/>
      <x:c r="B97" s="77"/>
      <x:c r="C97" s="77"/>
      <x:c r="D97" s="77"/>
      <x:c r="E97" s="77"/>
      <x:c r="F97" s="77"/>
      <x:c r="G97" s="77"/>
      <x:c r="H97" s="77"/>
      <x:c r="I97" s="77"/>
      <x:c r="J97" s="77"/>
      <x:c r="K97" s="77"/>
      <x:c r="L97" s="77"/>
      <x:c r="M97" s="77"/>
      <x:c r="N97" s="77"/>
      <x:c r="O97" s="77"/>
      <x:c r="P97" s="77"/>
    </x:row>
    <x:row r="98">
      <x:c r="A98" s="77"/>
      <x:c r="B98" s="77"/>
      <x:c r="C98" s="77"/>
      <x:c r="D98" s="77"/>
      <x:c r="E98" s="77"/>
      <x:c r="F98" s="77"/>
      <x:c r="G98" s="77"/>
      <x:c r="H98" s="77"/>
      <x:c r="I98" s="77"/>
      <x:c r="J98" s="77"/>
      <x:c r="K98" s="77"/>
      <x:c r="L98" s="77"/>
      <x:c r="M98" s="77"/>
      <x:c r="N98" s="77"/>
      <x:c r="O98" s="77"/>
      <x:c r="P98" s="77"/>
    </x:row>
    <x:row r="99">
      <x:c r="A99" s="77"/>
      <x:c r="B99" s="77"/>
      <x:c r="C99" s="77"/>
      <x:c r="D99" s="77"/>
      <x:c r="E99" s="77"/>
      <x:c r="F99" s="77"/>
      <x:c r="G99" s="77"/>
      <x:c r="H99" s="77"/>
      <x:c r="I99" s="77"/>
      <x:c r="J99" s="77"/>
      <x:c r="K99" s="77"/>
      <x:c r="L99" s="77"/>
      <x:c r="M99" s="77"/>
      <x:c r="N99" s="77"/>
      <x:c r="O99" s="77"/>
      <x:c r="P99" s="77"/>
    </x:row>
    <x:row r="100">
      <x:c r="A100" s="77"/>
      <x:c r="B100" s="77"/>
      <x:c r="C100" s="77"/>
      <x:c r="D100" s="77"/>
      <x:c r="E100" s="77"/>
      <x:c r="F100" s="77"/>
      <x:c r="G100" s="77"/>
      <x:c r="H100" s="77"/>
      <x:c r="I100" s="77"/>
      <x:c r="J100" s="77"/>
      <x:c r="K100" s="77"/>
      <x:c r="L100" s="77"/>
      <x:c r="M100" s="77"/>
      <x:c r="N100" s="77"/>
      <x:c r="O100" s="77"/>
      <x:c r="P100" s="77"/>
    </x:row>
    <x:row r="101">
      <x:c r="A101" s="77"/>
      <x:c r="B101" s="77"/>
      <x:c r="C101" s="77"/>
      <x:c r="D101" s="77"/>
      <x:c r="E101" s="77"/>
      <x:c r="F101" s="77"/>
      <x:c r="G101" s="77"/>
      <x:c r="H101" s="77"/>
      <x:c r="I101" s="77"/>
      <x:c r="J101" s="77"/>
      <x:c r="K101" s="77"/>
      <x:c r="L101" s="77"/>
      <x:c r="M101" s="77"/>
      <x:c r="N101" s="77"/>
      <x:c r="O101" s="77"/>
      <x:c r="P101" s="77"/>
    </x:row>
    <x:row r="102">
      <x:c r="A102" s="77"/>
      <x:c r="B102" s="77"/>
      <x:c r="C102" s="77"/>
      <x:c r="D102" s="77"/>
      <x:c r="E102" s="77"/>
      <x:c r="F102" s="77"/>
      <x:c r="G102" s="77"/>
      <x:c r="H102" s="77"/>
      <x:c r="I102" s="77"/>
      <x:c r="J102" s="77"/>
      <x:c r="K102" s="77"/>
      <x:c r="L102" s="77"/>
      <x:c r="M102" s="77"/>
      <x:c r="N102" s="77"/>
      <x:c r="O102" s="77"/>
      <x:c r="P102" s="77"/>
    </x:row>
    <x:row r="103">
      <x:c r="A103" s="77"/>
      <x:c r="B103" s="77"/>
      <x:c r="C103" s="77"/>
      <x:c r="D103" s="77"/>
      <x:c r="E103" s="77"/>
      <x:c r="F103" s="77"/>
      <x:c r="G103" s="77"/>
      <x:c r="H103" s="77"/>
      <x:c r="I103" s="77"/>
      <x:c r="J103" s="77"/>
      <x:c r="K103" s="77"/>
      <x:c r="L103" s="77"/>
      <x:c r="M103" s="77"/>
      <x:c r="N103" s="77"/>
      <x:c r="O103" s="77"/>
      <x:c r="P103" s="77"/>
    </x:row>
    <x:row r="104">
      <x:c r="A104" s="77"/>
      <x:c r="B104" s="77"/>
      <x:c r="C104" s="77"/>
      <x:c r="D104" s="77"/>
      <x:c r="E104" s="77"/>
      <x:c r="F104" s="77"/>
      <x:c r="G104" s="77"/>
      <x:c r="H104" s="77"/>
      <x:c r="I104" s="77"/>
      <x:c r="J104" s="77"/>
      <x:c r="K104" s="77"/>
      <x:c r="L104" s="77"/>
      <x:c r="M104" s="77"/>
      <x:c r="N104" s="77"/>
      <x:c r="O104" s="77"/>
      <x:c r="P104" s="77"/>
    </x:row>
    <x:row r="105">
      <x:c r="A105" s="77"/>
      <x:c r="B105" s="77"/>
      <x:c r="C105" s="77"/>
      <x:c r="D105" s="77"/>
      <x:c r="E105" s="77"/>
      <x:c r="F105" s="77"/>
      <x:c r="G105" s="77"/>
      <x:c r="H105" s="77"/>
      <x:c r="I105" s="77"/>
      <x:c r="J105" s="77"/>
      <x:c r="K105" s="77"/>
      <x:c r="L105" s="77"/>
      <x:c r="M105" s="77"/>
      <x:c r="N105" s="77"/>
      <x:c r="O105" s="77"/>
      <x:c r="P105" s="77"/>
    </x:row>
    <x:row r="106">
      <x:c r="A106" s="77"/>
      <x:c r="B106" s="77"/>
      <x:c r="C106" s="77"/>
      <x:c r="D106" s="77"/>
      <x:c r="E106" s="77"/>
      <x:c r="F106" s="77"/>
      <x:c r="G106" s="77"/>
      <x:c r="H106" s="77"/>
      <x:c r="I106" s="77"/>
      <x:c r="J106" s="77"/>
      <x:c r="K106" s="77"/>
      <x:c r="L106" s="77"/>
      <x:c r="M106" s="77"/>
      <x:c r="N106" s="77"/>
      <x:c r="O106" s="77"/>
      <x:c r="P106" s="77"/>
    </x:row>
    <x:row r="107">
      <x:c r="A107" s="77"/>
      <x:c r="B107" s="77"/>
      <x:c r="C107" s="77"/>
      <x:c r="D107" s="77"/>
      <x:c r="E107" s="77"/>
      <x:c r="F107" s="77"/>
      <x:c r="G107" s="77"/>
      <x:c r="H107" s="77"/>
      <x:c r="I107" s="77"/>
      <x:c r="J107" s="77"/>
      <x:c r="K107" s="77"/>
      <x:c r="L107" s="77"/>
      <x:c r="M107" s="77"/>
      <x:c r="N107" s="77"/>
      <x:c r="O107" s="77"/>
      <x:c r="P107" s="77"/>
    </x:row>
    <x:row r="108">
      <x:c r="A108" s="77"/>
      <x:c r="B108" s="77"/>
      <x:c r="C108" s="77"/>
      <x:c r="D108" s="77"/>
      <x:c r="E108" s="77"/>
      <x:c r="F108" s="77"/>
      <x:c r="G108" s="77"/>
      <x:c r="H108" s="77"/>
      <x:c r="I108" s="77"/>
      <x:c r="J108" s="77"/>
      <x:c r="K108" s="77"/>
      <x:c r="L108" s="77"/>
      <x:c r="M108" s="77"/>
      <x:c r="N108" s="77"/>
      <x:c r="O108" s="77"/>
      <x:c r="P108" s="77"/>
    </x:row>
    <x:row r="109">
      <x:c r="A109" s="77"/>
      <x:c r="B109" s="77"/>
      <x:c r="C109" s="77"/>
      <x:c r="D109" s="77"/>
      <x:c r="E109" s="77"/>
      <x:c r="F109" s="77"/>
      <x:c r="G109" s="77"/>
      <x:c r="H109" s="77"/>
      <x:c r="I109" s="77"/>
      <x:c r="J109" s="77"/>
      <x:c r="K109" s="77"/>
      <x:c r="L109" s="77"/>
      <x:c r="M109" s="77"/>
      <x:c r="N109" s="77"/>
      <x:c r="O109" s="77"/>
      <x:c r="P109" s="77"/>
    </x:row>
    <x:row r="110">
      <x:c r="A110" s="77"/>
      <x:c r="B110" s="77"/>
      <x:c r="C110" s="77"/>
      <x:c r="D110" s="77"/>
      <x:c r="E110" s="77"/>
      <x:c r="F110" s="77"/>
      <x:c r="G110" s="77"/>
      <x:c r="H110" s="77"/>
      <x:c r="I110" s="77"/>
      <x:c r="J110" s="77"/>
      <x:c r="K110" s="77"/>
      <x:c r="L110" s="77"/>
      <x:c r="M110" s="77"/>
      <x:c r="N110" s="77"/>
      <x:c r="O110" s="77"/>
      <x:c r="P110" s="77"/>
    </x:row>
    <x:row r="111">
      <x:c r="A111" s="77"/>
      <x:c r="B111" s="77"/>
      <x:c r="C111" s="77"/>
      <x:c r="D111" s="77"/>
      <x:c r="E111" s="77"/>
      <x:c r="F111" s="77"/>
      <x:c r="G111" s="77"/>
      <x:c r="H111" s="77"/>
      <x:c r="I111" s="77"/>
      <x:c r="J111" s="77"/>
      <x:c r="K111" s="77"/>
      <x:c r="L111" s="77"/>
      <x:c r="M111" s="77"/>
      <x:c r="N111" s="77"/>
      <x:c r="O111" s="77"/>
      <x:c r="P111" s="77"/>
    </x:row>
    <x:row r="112">
      <x:c r="A112" s="77"/>
      <x:c r="B112" s="77"/>
      <x:c r="C112" s="77"/>
      <x:c r="D112" s="77"/>
      <x:c r="E112" s="77"/>
      <x:c r="F112" s="77"/>
      <x:c r="G112" s="77"/>
      <x:c r="H112" s="77"/>
      <x:c r="I112" s="77"/>
      <x:c r="J112" s="77"/>
      <x:c r="K112" s="77"/>
      <x:c r="L112" s="77"/>
      <x:c r="M112" s="77"/>
      <x:c r="N112" s="77"/>
      <x:c r="O112" s="77"/>
      <x:c r="P112" s="77"/>
    </x:row>
    <x:row r="113">
      <x:c r="A113" s="77"/>
      <x:c r="B113" s="77"/>
      <x:c r="C113" s="77"/>
      <x:c r="D113" s="77"/>
      <x:c r="E113" s="77"/>
      <x:c r="F113" s="77"/>
      <x:c r="G113" s="77"/>
      <x:c r="H113" s="77"/>
      <x:c r="I113" s="77"/>
      <x:c r="J113" s="77"/>
      <x:c r="K113" s="77"/>
      <x:c r="L113" s="77"/>
      <x:c r="M113" s="77"/>
      <x:c r="N113" s="77"/>
      <x:c r="O113" s="77"/>
      <x:c r="P113" s="77"/>
    </x:row>
    <x:row r="114">
      <x:c r="A114" s="77"/>
      <x:c r="B114" s="77"/>
      <x:c r="C114" s="77"/>
      <x:c r="D114" s="77"/>
      <x:c r="E114" s="77"/>
      <x:c r="F114" s="77"/>
      <x:c r="G114" s="77"/>
      <x:c r="H114" s="77"/>
      <x:c r="I114" s="77"/>
      <x:c r="J114" s="77"/>
      <x:c r="K114" s="77"/>
      <x:c r="L114" s="77"/>
      <x:c r="M114" s="77"/>
      <x:c r="N114" s="77"/>
      <x:c r="O114" s="77"/>
      <x:c r="P114" s="77"/>
    </x:row>
    <x:row r="115">
      <x:c r="A115" s="77"/>
      <x:c r="B115" s="77"/>
      <x:c r="C115" s="77"/>
      <x:c r="D115" s="77"/>
      <x:c r="E115" s="77"/>
      <x:c r="F115" s="77"/>
      <x:c r="G115" s="77"/>
      <x:c r="H115" s="77"/>
      <x:c r="I115" s="77"/>
      <x:c r="J115" s="77"/>
      <x:c r="K115" s="77"/>
      <x:c r="L115" s="77"/>
      <x:c r="M115" s="77"/>
      <x:c r="N115" s="77"/>
      <x:c r="O115" s="77"/>
      <x:c r="P115" s="77"/>
    </x:row>
    <x:row r="116">
      <x:c r="A116" s="77"/>
      <x:c r="B116" s="77"/>
      <x:c r="C116" s="77"/>
      <x:c r="D116" s="77"/>
      <x:c r="E116" s="77"/>
      <x:c r="F116" s="77"/>
      <x:c r="G116" s="77"/>
      <x:c r="H116" s="77"/>
      <x:c r="I116" s="77"/>
      <x:c r="J116" s="77"/>
      <x:c r="K116" s="77"/>
      <x:c r="L116" s="77"/>
      <x:c r="M116" s="77"/>
      <x:c r="N116" s="77"/>
      <x:c r="O116" s="77"/>
      <x:c r="P116" s="77"/>
    </x:row>
    <x:row r="117">
      <x:c r="A117" s="77"/>
      <x:c r="B117" s="77"/>
      <x:c r="C117" s="77"/>
      <x:c r="D117" s="77"/>
      <x:c r="E117" s="77"/>
      <x:c r="F117" s="77"/>
      <x:c r="G117" s="77"/>
      <x:c r="H117" s="77"/>
      <x:c r="I117" s="77"/>
      <x:c r="J117" s="77"/>
      <x:c r="K117" s="77"/>
      <x:c r="L117" s="77"/>
      <x:c r="M117" s="77"/>
      <x:c r="N117" s="77"/>
      <x:c r="O117" s="77"/>
      <x:c r="P117" s="77"/>
    </x:row>
    <x:row r="118">
      <x:c r="A118" s="77"/>
      <x:c r="B118" s="77"/>
      <x:c r="C118" s="77"/>
      <x:c r="D118" s="77"/>
      <x:c r="E118" s="77"/>
      <x:c r="F118" s="77"/>
      <x:c r="G118" s="77"/>
      <x:c r="H118" s="77"/>
      <x:c r="I118" s="77"/>
      <x:c r="J118" s="77"/>
      <x:c r="K118" s="77"/>
      <x:c r="L118" s="77"/>
      <x:c r="M118" s="77"/>
      <x:c r="N118" s="77"/>
      <x:c r="O118" s="77"/>
      <x:c r="P118" s="77"/>
    </x:row>
    <x:row r="119">
      <x:c r="A119" s="77"/>
      <x:c r="B119" s="77"/>
      <x:c r="C119" s="77"/>
      <x:c r="D119" s="77"/>
      <x:c r="E119" s="77"/>
      <x:c r="F119" s="77"/>
      <x:c r="G119" s="77"/>
      <x:c r="H119" s="77"/>
      <x:c r="I119" s="77"/>
      <x:c r="J119" s="77"/>
      <x:c r="K119" s="77"/>
      <x:c r="L119" s="77"/>
      <x:c r="M119" s="77"/>
      <x:c r="N119" s="77"/>
      <x:c r="O119" s="77"/>
      <x:c r="P119" s="77"/>
    </x:row>
    <x:row r="120">
      <x:c r="A120" s="77"/>
      <x:c r="B120" s="77"/>
      <x:c r="C120" s="77"/>
      <x:c r="D120" s="77"/>
      <x:c r="E120" s="77"/>
      <x:c r="F120" s="77"/>
      <x:c r="G120" s="77"/>
      <x:c r="H120" s="77"/>
      <x:c r="I120" s="77"/>
      <x:c r="J120" s="77"/>
      <x:c r="K120" s="77"/>
      <x:c r="L120" s="77"/>
      <x:c r="M120" s="77"/>
      <x:c r="N120" s="77"/>
      <x:c r="O120" s="77"/>
      <x:c r="P120" s="77"/>
    </x:row>
  </x:sheetData>
  <x:mergeCells>
    <x:mergeCell ref="A1:E1"/>
  </x:mergeCells>
  <x:pageMargins left="0.7" right="0.7" top="0.75" bottom="0.75" header="0.3" footer="0.3"/>
</x:worksheet>
</file>

<file path=xl/worksheets/sheet13.xml><?xml version="1.0" encoding="utf-8"?>
<x:worksheet xmlns:x="http://schemas.openxmlformats.org/spreadsheetml/2006/main">
  <x:sheetFormatPr defaultRowHeight="15"/>
  <x:sheetData>
    <x:row r="1">
      <x:c r="A1" t="str">
        <x:v>Purpose</x:v>
      </x:c>
      <x:c r="B1" t="str">
        <x:v>Variable Type</x:v>
      </x:c>
      <x:c r="C1" t="str">
        <x:v>Role</x:v>
      </x:c>
      <x:c r="D1" t="str">
        <x:v>Yes/No</x:v>
      </x:c>
      <x:c r="E1" t="str">
        <x:v>Hypothesis Class</x:v>
      </x:c>
      <x:c r="F1" t="str">
        <x:v>Assumption Status</x:v>
      </x:c>
      <x:c r="G1" t="str">
        <x:v>Direction</x:v>
      </x:c>
      <x:c r="H1" t="str">
        <x:v>Result Status</x:v>
      </x:c>
      <x:c r="I1" t="str">
        <x:v>Reporting</x:v>
      </x:c>
      <x:c r="J1" t="str">
        <x:v>Missingness</x:v>
      </x:c>
    </x:row>
    <x:row r="2">
      <x:c r="A2" t="str">
        <x:v>Describe</x:v>
      </x:c>
      <x:c r="B2" t="str">
        <x:v>Continuous</x:v>
      </x:c>
      <x:c r="C2" t="str">
        <x:v>Outcome</x:v>
      </x:c>
      <x:c r="D2" t="str">
        <x:v>Yes</x:v>
      </x:c>
      <x:c r="E2" t="str">
        <x:v>Primary</x:v>
      </x:c>
      <x:c r="F2" t="str">
        <x:v>Met</x:v>
      </x:c>
      <x:c r="G2" t="str">
        <x:v>Two-sided</x:v>
      </x:c>
      <x:c r="H2" t="str">
        <x:v>Planned</x:v>
      </x:c>
      <x:c r="I2" t="str">
        <x:v>Yes</x:v>
      </x:c>
      <x:c r="J2" t="str">
        <x:v>None expected</x:v>
      </x:c>
    </x:row>
    <x:row r="3">
      <x:c r="A3" t="str">
        <x:v>Compare</x:v>
      </x:c>
      <x:c r="B3" t="str">
        <x:v>Binary</x:v>
      </x:c>
      <x:c r="C3" t="str">
        <x:v>Predictor / Exposure</x:v>
      </x:c>
      <x:c r="D3" t="str">
        <x:v>No</x:v>
      </x:c>
      <x:c r="E3" t="str">
        <x:v>Secondary</x:v>
      </x:c>
      <x:c r="F3" t="str">
        <x:v>Not met</x:v>
      </x:c>
      <x:c r="G3" t="str">
        <x:v>Positive</x:v>
      </x:c>
      <x:c r="H3" t="str">
        <x:v>Run</x:v>
      </x:c>
      <x:c r="I3" t="str">
        <x:v>No</x:v>
      </x:c>
      <x:c r="J3" t="str">
        <x:v>Complete-case</x:v>
      </x:c>
    </x:row>
    <x:row r="4">
      <x:c r="A4" t="str">
        <x:v>Associate</x:v>
      </x:c>
      <x:c r="B4" t="str">
        <x:v>Nominal</x:v>
      </x:c>
      <x:c r="C4" t="str">
        <x:v>Covariate / Control</x:v>
      </x:c>
      <x:c r="D4" t="str">
        <x:v>Unsure</x:v>
      </x:c>
      <x:c r="E4" t="str">
        <x:v>Exploratory</x:v>
      </x:c>
      <x:c r="F4" t="str">
        <x:v>Not checked</x:v>
      </x:c>
      <x:c r="G4" t="str">
        <x:v>Negative</x:v>
      </x:c>
      <x:c r="H4" t="str">
        <x:v>Needs review</x:v>
      </x:c>
      <x:c r="I4" t="str">
        <x:v>N/A</x:v>
      </x:c>
      <x:c r="J4" t="str">
        <x:v>Pairwise / available-case</x:v>
      </x:c>
    </x:row>
    <x:row r="5">
      <x:c r="A5" t="str">
        <x:v>Predict</x:v>
      </x:c>
      <x:c r="B5" t="str">
        <x:v>Ordinal</x:v>
      </x:c>
      <x:c r="C5" t="str">
        <x:v>ID / Administrative</x:v>
      </x:c>
      <x:c r="E5" t="str">
        <x:v>Descriptive only</x:v>
      </x:c>
      <x:c r="F5" t="str">
        <x:v>N/A</x:v>
      </x:c>
      <x:c r="G5" t="str">
        <x:v>Higher</x:v>
      </x:c>
      <x:c r="H5" t="str">
        <x:v>Complete</x:v>
      </x:c>
      <x:c r="I5" t="str">
        <x:v>Needs review</x:v>
      </x:c>
      <x:c r="J5" t="str">
        <x:v>Imputation planned</x:v>
      </x:c>
    </x:row>
    <x:row r="6">
      <x:c r="B6" t="str">
        <x:v>Count</x:v>
      </x:c>
      <x:c r="F6" t="str">
        <x:v>Needs review</x:v>
      </x:c>
      <x:c r="G6" t="str">
        <x:v>Lower</x:v>
      </x:c>
      <x:c r="H6" t="str">
        <x:v>Not applicable</x:v>
      </x:c>
      <x:c r="J6" t="str">
        <x:v>Other / consult</x:v>
      </x:c>
    </x:row>
    <x:row r="7">
      <x:c r="B7" t="str">
        <x:v>Text</x:v>
      </x:c>
    </x:row>
  </x:sheetData>
  <x:pageMargins left="0.7" right="0.7" top="0.75" bottom="0.75" header="0.3" footer="0.3"/>
</x:worksheet>
</file>