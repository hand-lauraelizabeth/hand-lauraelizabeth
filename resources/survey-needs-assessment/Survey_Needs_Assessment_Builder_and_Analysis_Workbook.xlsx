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10e8c70a184bf7" /></Relationships>
</file>

<file path=xl/workbook.xml><?xml version="1.0" encoding="utf-8"?>
<x:workbook xmlns:x="http://schemas.openxmlformats.org/spreadsheetml/2006/main">
  <x:sheets>
    <x:sheet xmlns:r="http://schemas.openxmlformats.org/officeDocument/2006/relationships" name="START HERE" sheetId="1" r:id="R395a3fd073bd456f"/>
    <x:sheet xmlns:r="http://schemas.openxmlformats.org/officeDocument/2006/relationships" name="SETUP" sheetId="2" r:id="Rf5d1a97d9da647ff"/>
    <x:sheet xmlns:r="http://schemas.openxmlformats.org/officeDocument/2006/relationships" name="SURVEY DESIGN" sheetId="3" r:id="Rd137e91cf6ac41ef"/>
    <x:sheet xmlns:r="http://schemas.openxmlformats.org/officeDocument/2006/relationships" name="FIELDING PLAN" sheetId="4" r:id="Rb3a73914fda8424e"/>
    <x:sheet xmlns:r="http://schemas.openxmlformats.org/officeDocument/2006/relationships" name="RESPONSE DATA" sheetId="5" r:id="R3649c2a8bb1e4caf"/>
    <x:sheet xmlns:r="http://schemas.openxmlformats.org/officeDocument/2006/relationships" name="RESPONSE QA" sheetId="6" r:id="R913aea86c9f54288"/>
    <x:sheet xmlns:r="http://schemas.openxmlformats.org/officeDocument/2006/relationships" name="ITEM SUMMARY" sheetId="7" r:id="Rf565e7f365444d74"/>
    <x:sheet xmlns:r="http://schemas.openxmlformats.org/officeDocument/2006/relationships" name="SEGMENTATION" sheetId="8" r:id="R9b30dcc9f2814aa7"/>
    <x:sheet xmlns:r="http://schemas.openxmlformats.org/officeDocument/2006/relationships" name="NEEDS PRIORITY" sheetId="9" r:id="Rc065ab7b57ac4e2d"/>
    <x:sheet xmlns:r="http://schemas.openxmlformats.org/officeDocument/2006/relationships" name="OPEN TEXT CODING" sheetId="10" r:id="R253485a9062b4af2"/>
    <x:sheet xmlns:r="http://schemas.openxmlformats.org/officeDocument/2006/relationships" name="FINDINGS" sheetId="11" r:id="Rfe82ffe80a3f42cf"/>
    <x:sheet xmlns:r="http://schemas.openxmlformats.org/officeDocument/2006/relationships" name="DASHBOARD" sheetId="12" r:id="Rdc9c1ee9b32f4ac3"/>
    <x:sheet xmlns:r="http://schemas.openxmlformats.org/officeDocument/2006/relationships" name="EXAMPLE" sheetId="13" r:id="R4cf6ea8ece2c4ef7"/>
    <x:sheet xmlns:r="http://schemas.openxmlformats.org/officeDocument/2006/relationships" name="_LISTS" sheetId="14" r:id="R1306083b4c7c49d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mmm d, yyyy"/>
    <x:numFmt numFmtId="201" formatCode="0.0%"/>
    <x:numFmt numFmtId="202" formatCode="0.00"/>
  </x:numFmts>
  <x:fonts count="11">
    <x:font>
      <x:sz val="11"/>
      <x:name val="Carlito"/>
    </x:font>
    <x:font>
      <x:b/>
      <x:sz val="18"/>
      <x:color rgb="FFFFFFFF"/>
      <x:name val="Carlito"/>
    </x:font>
    <x:font>
      <x:b/>
      <x:sz val="11"/>
      <x:color rgb="FF17324D"/>
      <x:name val="Carlito"/>
    </x:font>
    <x:font>
      <x:b/>
      <x:sz val="11"/>
      <x:color rgb="FFFFFFFF"/>
      <x:name val="Carlito"/>
    </x:font>
    <x:font>
      <x:b/>
      <x:sz val="14"/>
      <x:color rgb="FFFFFFFF"/>
      <x:name val="Carlito"/>
    </x:font>
    <x:font>
      <x:b/>
      <x:sz val="11"/>
      <x:name val="Carlito"/>
    </x:font>
    <x:font>
      <x:b/>
      <x:sz val="18"/>
      <x:color rgb="FF17324D"/>
      <x:name val="Carlito"/>
    </x:font>
    <x:font>
      <x:b/>
      <x:sz val="10"/>
      <x:color rgb="FF1F2933"/>
      <x:name val="Aptos"/>
    </x:font>
    <x:font>
      <x:sz val="10"/>
      <x:color rgb="FF1F2933"/>
      <x:name val="Aptos"/>
    </x:font>
    <x:font>
      <x:b/>
      <x:sz val="18"/>
      <x:color rgb="FFFFFFFF"/>
      <x:name val="Aptos"/>
    </x:font>
    <x:font>
      <x:b/>
      <x:sz val="14"/>
      <x:color rgb="FFFFFFFF"/>
      <x:name val="Aptos"/>
    </x:font>
  </x:fonts>
  <x:fills count="10">
    <x:fill>
      <x:patternFill patternType="none"/>
    </x:fill>
    <x:fill>
      <x:patternFill patternType="gray125"/>
    </x:fill>
    <x:fill>
      <x:patternFill patternType="solid">
        <x:fgColor rgb="FF17324D"/>
      </x:patternFill>
    </x:fill>
    <x:fill>
      <x:patternFill patternType="solid">
        <x:fgColor rgb="FFEAF3FA"/>
      </x:patternFill>
    </x:fill>
    <x:fill>
      <x:patternFill patternType="solid">
        <x:fgColor rgb="FFFFF4CC"/>
      </x:patternFill>
    </x:fill>
    <x:fill>
      <x:patternFill patternType="solid">
        <x:fgColor rgb="FFE8F3E8"/>
      </x:patternFill>
    </x:fill>
    <x:fill>
      <x:patternFill patternType="solid">
        <x:fgColor rgb="FFF1ECF7"/>
      </x:patternFill>
    </x:fill>
    <x:fill>
      <x:patternFill patternType="solid">
        <x:fgColor rgb="FFF4CCCC"/>
      </x:patternFill>
    </x:fill>
    <x:fill>
      <x:patternFill patternType="solid">
        <x:fgColor rgb="FFD9E6F2"/>
      </x:patternFill>
    </x:fill>
    <x:fill>
      <x:patternFill patternType="solid">
        <x:fgColor rgb="FFF5F7F9"/>
      </x:patternFill>
    </x:fill>
  </x:fills>
  <x:borders count="2">
    <x:border/>
    <x:border/>
  </x:borders>
  <x:cellStyleXfs count="1">
    <x:xf numFmtId="0" fontId="0" fillId="0" borderId="0"/>
  </x:cellStyleXfs>
  <x:cellXfs count="1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0" fillId="4" borderId="0" xfId="0" applyNumberFormat="1" applyFont="1" applyFill="1" applyBorder="1"/>
    <x:xf numFmtId="0" fontId="0"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0" fillId="8" borderId="1" xfId="0" applyNumberFormat="1" applyFont="1" applyFill="1" applyBorder="1"/>
    <x:xf numFmtId="0" fontId="2" fillId="8" borderId="1" xfId="0" applyNumberFormat="1" applyFont="1" applyFill="1" applyBorder="1"/>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9" borderId="1" xfId="0" applyNumberFormat="1" applyFont="1" applyFill="1" applyBorder="1"/>
    <x:xf numFmtId="0" fontId="0" fillId="9" borderId="1" xfId="0" applyNumberFormat="1" applyFont="1" applyFill="1" applyBorder="1" applyAlignment="1">
      <x:alignment wrapText="1"/>
    </x:xf>
    <x:xf numFmtId="0" fontId="0" fillId="9" borderId="1" xfId="0" applyNumberFormat="1" applyFont="1" applyFill="1" applyBorder="1" applyAlignment="1">
      <x:alignment vertical="top" wrapText="1"/>
    </x:xf>
    <x:xf numFmtId="0" fontId="4" fillId="2" borderId="0" xfId="0" applyNumberFormat="1" applyFont="1" applyFill="1" applyBorder="1"/>
    <x:xf numFmtId="0" fontId="4" fillId="2" borderId="1"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200" fontId="0" fillId="4" borderId="0" xfId="0" applyNumberFormat="1" applyFont="1" applyFill="1" applyBorder="1" applyAlignment="1">
      <x:alignment wrapText="1"/>
    </x:xf>
    <x:xf numFmtId="200" fontId="0" fillId="4" borderId="1" xfId="0" applyNumberFormat="1" applyFont="1" applyFill="1" applyBorder="1" applyAlignment="1">
      <x:alignment wrapText="1"/>
    </x:xf>
    <x:xf numFmtId="0" fontId="5" fillId="5" borderId="0" xfId="0" applyNumberFormat="1" applyFont="1" applyFill="1" applyBorder="1"/>
    <x:xf numFmtId="0" fontId="5" fillId="5" borderId="1" xfId="0" applyNumberFormat="1" applyFont="1" applyFill="1" applyBorder="1"/>
    <x:xf numFmtId="201" fontId="5" fillId="5" borderId="0" xfId="0" applyNumberFormat="1" applyFont="1" applyFill="1" applyBorder="1"/>
    <x:xf numFmtId="201" fontId="5" fillId="5" borderId="1" xfId="0" applyNumberFormat="1" applyFont="1" applyFill="1" applyBorder="1"/>
    <x:xf numFmtId="202" fontId="5" fillId="5" borderId="0" xfId="0" applyNumberFormat="1" applyFont="1" applyFill="1" applyBorder="1"/>
    <x:xf numFmtId="202" fontId="5" fillId="5"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202" fontId="0" fillId="5" borderId="0" xfId="0" applyNumberFormat="1" applyFont="1" applyFill="1" applyBorder="1"/>
    <x:xf numFmtId="202" fontId="0" fillId="5" borderId="1" xfId="0" applyNumberFormat="1" applyFont="1" applyFill="1" applyBorder="1"/>
    <x:xf numFmtId="202" fontId="0" fillId="5" borderId="0" xfId="0" applyNumberFormat="1" applyFont="1" applyFill="1" applyBorder="1" applyAlignment="1">
      <x:alignment wrapText="1"/>
    </x:xf>
    <x:xf numFmtId="202" fontId="0" fillId="5" borderId="1" xfId="0" applyNumberFormat="1" applyFont="1" applyFill="1" applyBorder="1" applyAlignment="1">
      <x:alignment wrapText="1"/>
    </x:xf>
    <x:xf numFmtId="201" fontId="0" fillId="5" borderId="0" xfId="0" applyNumberFormat="1" applyFont="1" applyFill="1" applyBorder="1"/>
    <x:xf numFmtId="201" fontId="0" fillId="5" borderId="1" xfId="0" applyNumberFormat="1" applyFont="1" applyFill="1" applyBorder="1"/>
    <x:xf numFmtId="201" fontId="0" fillId="5" borderId="0" xfId="0" applyNumberFormat="1" applyFont="1" applyFill="1" applyBorder="1" applyAlignment="1">
      <x:alignment wrapText="1"/>
    </x:xf>
    <x:xf numFmtId="201" fontId="0" fillId="5" borderId="1" xfId="0" applyNumberFormat="1" applyFont="1" applyFill="1" applyBorder="1" applyAlignment="1">
      <x:alignment wrapText="1"/>
    </x:xf>
    <x:xf numFmtId="202" fontId="0" fillId="4" borderId="0" xfId="0" applyNumberFormat="1" applyFont="1" applyFill="1" applyBorder="1"/>
    <x:xf numFmtId="202" fontId="0" fillId="4" borderId="1" xfId="0" applyNumberFormat="1" applyFont="1" applyFill="1" applyBorder="1"/>
    <x:xf numFmtId="202" fontId="0" fillId="4" borderId="0" xfId="0" applyNumberFormat="1" applyFont="1" applyFill="1" applyBorder="1" applyAlignment="1">
      <x:alignment wrapText="1"/>
    </x:xf>
    <x:xf numFmtId="202" fontId="0" fillId="4" borderId="1" xfId="0" applyNumberFormat="1" applyFont="1" applyFill="1" applyBorder="1" applyAlignment="1">
      <x:alignment wrapText="1"/>
    </x:xf>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0" fontId="6" fillId="5" borderId="1" xfId="0" applyNumberFormat="1" applyFont="1" applyFill="1" applyBorder="1"/>
    <x:xf numFmtId="0" fontId="6" fillId="5" borderId="1" xfId="0" applyNumberFormat="1" applyFont="1" applyFill="1" applyBorder="1" applyAlignment="1">
      <x:alignment horizontal="center"/>
    </x:xf>
    <x:xf numFmtId="0" fontId="6" fillId="5" borderId="1" xfId="0" applyNumberFormat="1" applyFont="1" applyFill="1" applyBorder="1" applyAlignment="1">
      <x:alignment horizontal="center" vertical="center"/>
    </x:xf>
    <x:xf numFmtId="202" fontId="0" fillId="0" borderId="0" xfId="0" applyNumberFormat="1" applyFont="1" applyFill="1" applyBorder="1"/>
    <x:xf numFmtId="202"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0" xfId="0" applyNumberFormat="1" applyFont="1" applyFill="1" applyBorder="1" applyAlignment="1">
      <x:alignment wrapText="1"/>
    </x:xf>
    <x:xf numFmtId="0" fontId="2" fillId="8" borderId="0" xfId="0" applyNumberFormat="1" applyFont="1" applyFill="1" applyBorder="1" applyAlignment="1">
      <x:alignment wrapText="1"/>
    </x:xf>
    <x:xf numFmtId="0" fontId="5" fillId="5"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6" fillId="5" borderId="0" xfId="0" applyNumberFormat="1" applyFont="1" applyFill="1" applyBorder="1" applyAlignment="1">
      <x:alignment horizontal="center" vertical="center" wrapText="1"/>
    </x:xf>
    <x:xf numFmtId="201" fontId="5" fillId="5" borderId="0" xfId="0" applyNumberFormat="1" applyFont="1" applyFill="1" applyBorder="1" applyAlignment="1">
      <x:alignment wrapText="1"/>
    </x:xf>
    <x:xf numFmtId="202" fontId="5" fillId="5" borderId="0" xfId="0" applyNumberFormat="1" applyFont="1" applyFill="1" applyBorder="1" applyAlignment="1">
      <x:alignment wrapText="1"/>
    </x:xf>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8" borderId="1" xfId="0" applyNumberFormat="1" applyFont="1" applyFill="1" applyBorder="1" applyAlignment="1">
      <x:alignment wrapText="1"/>
    </x:xf>
    <x:xf numFmtId="0" fontId="5" fillId="5"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6" fillId="5" borderId="1" xfId="0" applyNumberFormat="1" applyFont="1" applyFill="1" applyBorder="1" applyAlignment="1">
      <x:alignment horizontal="center" vertical="center" wrapText="1"/>
    </x:xf>
    <x:xf numFmtId="201" fontId="5" fillId="5" borderId="1" xfId="0" applyNumberFormat="1" applyFont="1" applyFill="1" applyBorder="1" applyAlignment="1">
      <x:alignment wrapText="1"/>
    </x:xf>
    <x:xf numFmtId="202" fontId="5" fillId="5" borderId="1"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7" fillId="2" borderId="0" xfId="0" applyNumberFormat="1" applyFont="1" applyFill="1" applyBorder="1" applyAlignment="1">
      <x:alignment horizontal="center" wrapText="1"/>
    </x:xf>
    <x:xf numFmtId="0" fontId="7" fillId="2" borderId="0" xfId="0" applyNumberFormat="1" applyFont="1" applyFill="1" applyBorder="1" applyAlignment="1">
      <x:alignment horizontal="center"/>
    </x:xf>
    <x:xf numFmtId="0" fontId="8" fillId="0" borderId="0" xfId="0" applyNumberFormat="1" applyFont="1" applyFill="1" applyBorder="1"/>
    <x:xf numFmtId="0" fontId="7" fillId="3" borderId="0" xfId="0" applyNumberFormat="1" applyFont="1" applyFill="1" applyBorder="1" applyAlignment="1">
      <x:alignment horizontal="center"/>
    </x:xf>
    <x:xf numFmtId="0" fontId="7" fillId="2" borderId="0" xfId="0" applyNumberFormat="1" applyFont="1" applyFill="1" applyBorder="1"/>
    <x:xf numFmtId="0" fontId="8" fillId="4" borderId="0" xfId="0" applyNumberFormat="1" applyFont="1" applyFill="1" applyBorder="1"/>
    <x:xf numFmtId="0" fontId="8" fillId="5" borderId="0" xfId="0" applyNumberFormat="1" applyFont="1" applyFill="1" applyBorder="1"/>
    <x:xf numFmtId="0" fontId="8" fillId="6" borderId="0" xfId="0" applyNumberFormat="1" applyFont="1" applyFill="1" applyBorder="1"/>
    <x:xf numFmtId="0" fontId="8" fillId="7" borderId="0" xfId="0" applyNumberFormat="1" applyFont="1" applyFill="1" applyBorder="1"/>
    <x:xf numFmtId="0" fontId="7" fillId="8" borderId="0" xfId="0" applyNumberFormat="1" applyFont="1" applyFill="1" applyBorder="1"/>
    <x:xf numFmtId="0" fontId="8" fillId="9" borderId="0" xfId="0" applyNumberFormat="1" applyFont="1" applyFill="1" applyBorder="1" applyAlignment="1">
      <x:alignment vertical="top" wrapText="1"/>
    </x:xf>
    <x:xf numFmtId="0" fontId="7" fillId="2" borderId="1" xfId="0" applyNumberFormat="1" applyFont="1" applyFill="1" applyBorder="1" applyAlignment="1">
      <x:alignment horizontal="center" wrapText="1"/>
    </x:xf>
    <x:xf numFmtId="0" fontId="7" fillId="2" borderId="1" xfId="0" applyNumberFormat="1" applyFont="1" applyFill="1" applyBorder="1" applyAlignment="1">
      <x:alignment horizontal="center"/>
    </x:xf>
    <x:xf numFmtId="0" fontId="8" fillId="0" borderId="1" xfId="0" applyNumberFormat="1" applyFont="1" applyFill="1" applyBorder="1"/>
    <x:xf numFmtId="0" fontId="7" fillId="3" borderId="1" xfId="0" applyNumberFormat="1" applyFont="1" applyFill="1" applyBorder="1" applyAlignment="1">
      <x:alignment horizontal="center"/>
    </x:xf>
    <x:xf numFmtId="0" fontId="7" fillId="2" borderId="1" xfId="0" applyNumberFormat="1" applyFont="1" applyFill="1" applyBorder="1"/>
    <x:xf numFmtId="0" fontId="8" fillId="4" borderId="1" xfId="0" applyNumberFormat="1" applyFont="1" applyFill="1" applyBorder="1"/>
    <x:xf numFmtId="0" fontId="8" fillId="5" borderId="1" xfId="0" applyNumberFormat="1" applyFont="1" applyFill="1" applyBorder="1"/>
    <x:xf numFmtId="0" fontId="8" fillId="6" borderId="1" xfId="0" applyNumberFormat="1" applyFont="1" applyFill="1" applyBorder="1"/>
    <x:xf numFmtId="0" fontId="8" fillId="7" borderId="1" xfId="0" applyNumberFormat="1" applyFont="1" applyFill="1" applyBorder="1"/>
    <x:xf numFmtId="0" fontId="7" fillId="8" borderId="1" xfId="0" applyNumberFormat="1" applyFont="1" applyFill="1" applyBorder="1"/>
    <x:xf numFmtId="0" fontId="8" fillId="9" borderId="1" xfId="0" applyNumberFormat="1" applyFont="1" applyFill="1" applyBorder="1" applyAlignment="1">
      <x:alignment vertical="top" wrapText="1"/>
    </x:xf>
    <x:xf numFmtId="0" fontId="8" fillId="4" borderId="0" xfId="0" applyNumberFormat="1" applyFont="1" applyFill="1" applyBorder="1" applyAlignment="1">
      <x:alignment wrapText="1"/>
    </x:xf>
    <x:xf numFmtId="0" fontId="7" fillId="5" borderId="0" xfId="0" applyNumberFormat="1" applyFont="1" applyFill="1" applyBorder="1"/>
    <x:xf numFmtId="200" fontId="8" fillId="4" borderId="0" xfId="0" applyNumberFormat="1" applyFont="1" applyFill="1" applyBorder="1" applyAlignment="1">
      <x:alignment wrapText="1"/>
    </x:xf>
    <x:xf numFmtId="201" fontId="7" fillId="5" borderId="0" xfId="0" applyNumberFormat="1" applyFont="1" applyFill="1" applyBorder="1"/>
    <x:xf numFmtId="202" fontId="7" fillId="5" borderId="0" xfId="0" applyNumberFormat="1" applyFont="1" applyFill="1" applyBorder="1"/>
    <x:xf numFmtId="0" fontId="8" fillId="4" borderId="1" xfId="0" applyNumberFormat="1" applyFont="1" applyFill="1" applyBorder="1" applyAlignment="1">
      <x:alignment wrapText="1"/>
    </x:xf>
    <x:xf numFmtId="0" fontId="7" fillId="5" borderId="1" xfId="0" applyNumberFormat="1" applyFont="1" applyFill="1" applyBorder="1"/>
    <x:xf numFmtId="200" fontId="8" fillId="4" borderId="1" xfId="0" applyNumberFormat="1" applyFont="1" applyFill="1" applyBorder="1" applyAlignment="1">
      <x:alignment wrapText="1"/>
    </x:xf>
    <x:xf numFmtId="201" fontId="7" fillId="5" borderId="1" xfId="0" applyNumberFormat="1" applyFont="1" applyFill="1" applyBorder="1"/>
    <x:xf numFmtId="202" fontId="7" fillId="5" borderId="1" xfId="0" applyNumberFormat="1" applyFont="1" applyFill="1" applyBorder="1"/>
    <x:xf numFmtId="0" fontId="7" fillId="2" borderId="0" xfId="0" applyNumberFormat="1" applyFont="1" applyFill="1" applyBorder="1" applyAlignment="1">
      <x:alignment wrapText="1"/>
    </x:xf>
    <x:xf numFmtId="0" fontId="8" fillId="5" borderId="0" xfId="0" applyNumberFormat="1" applyFont="1" applyFill="1" applyBorder="1" applyAlignment="1">
      <x:alignment wrapText="1"/>
    </x:xf>
    <x:xf numFmtId="0" fontId="7" fillId="2" borderId="1" xfId="0" applyNumberFormat="1" applyFont="1" applyFill="1" applyBorder="1" applyAlignment="1">
      <x:alignment wrapText="1"/>
    </x:xf>
    <x:xf numFmtId="0" fontId="8" fillId="5" borderId="1" xfId="0" applyNumberFormat="1" applyFont="1" applyFill="1" applyBorder="1" applyAlignment="1">
      <x:alignment wrapText="1"/>
    </x:xf>
    <x:xf numFmtId="202" fontId="8" fillId="5" borderId="0" xfId="0" applyNumberFormat="1" applyFont="1" applyFill="1" applyBorder="1" applyAlignment="1">
      <x:alignment wrapText="1"/>
    </x:xf>
    <x:xf numFmtId="202" fontId="8" fillId="5" borderId="1" xfId="0" applyNumberFormat="1" applyFont="1" applyFill="1" applyBorder="1" applyAlignment="1">
      <x:alignment wrapText="1"/>
    </x:xf>
    <x:xf numFmtId="201" fontId="8" fillId="5" borderId="0" xfId="0" applyNumberFormat="1" applyFont="1" applyFill="1" applyBorder="1"/>
    <x:xf numFmtId="201" fontId="8" fillId="5" borderId="1" xfId="0" applyNumberFormat="1" applyFont="1" applyFill="1" applyBorder="1"/>
    <x:xf numFmtId="201" fontId="8" fillId="5" borderId="0" xfId="0" applyNumberFormat="1" applyFont="1" applyFill="1" applyBorder="1" applyAlignment="1">
      <x:alignment wrapText="1"/>
    </x:xf>
    <x:xf numFmtId="201" fontId="8" fillId="5" borderId="1" xfId="0" applyNumberFormat="1" applyFont="1" applyFill="1" applyBorder="1" applyAlignment="1">
      <x:alignment wrapText="1"/>
    </x:xf>
    <x:xf numFmtId="202" fontId="8" fillId="5" borderId="0" xfId="0" applyNumberFormat="1" applyFont="1" applyFill="1" applyBorder="1"/>
    <x:xf numFmtId="202" fontId="8" fillId="5" borderId="1" xfId="0" applyNumberFormat="1" applyFont="1" applyFill="1" applyBorder="1"/>
    <x:xf numFmtId="202" fontId="8" fillId="4" borderId="0" xfId="0" applyNumberFormat="1" applyFont="1" applyFill="1" applyBorder="1" applyAlignment="1">
      <x:alignment wrapText="1"/>
    </x:xf>
    <x:xf numFmtId="202" fontId="8" fillId="4" borderId="1" xfId="0" applyNumberFormat="1" applyFont="1" applyFill="1" applyBorder="1" applyAlignment="1">
      <x:alignment wrapText="1"/>
    </x:xf>
    <x:xf numFmtId="0" fontId="8" fillId="0" borderId="0" xfId="0" applyNumberFormat="1" applyFont="1" applyFill="1" applyBorder="1" applyAlignment="1">
      <x:alignment wrapText="1"/>
    </x:xf>
    <x:xf numFmtId="0" fontId="7" fillId="8" borderId="0"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0" xfId="0" applyNumberFormat="1" applyFont="1" applyFill="1" applyBorder="1" applyAlignment="1">
      <x:alignment horizontal="center" vertical="center" wrapText="1"/>
    </x:xf>
    <x:xf numFmtId="201" fontId="7" fillId="5" borderId="0" xfId="0" applyNumberFormat="1" applyFont="1" applyFill="1" applyBorder="1" applyAlignment="1">
      <x:alignment wrapText="1"/>
    </x:xf>
    <x:xf numFmtId="202" fontId="7" fillId="5" borderId="0" xfId="0" applyNumberFormat="1" applyFont="1" applyFill="1" applyBorder="1" applyAlignment="1">
      <x:alignment wrapText="1"/>
    </x:xf>
    <x:xf numFmtId="202" fontId="8" fillId="0" borderId="0" xfId="0" applyNumberFormat="1" applyFont="1" applyFill="1" applyBorder="1" applyAlignment="1">
      <x:alignment wrapText="1"/>
    </x:xf>
    <x:xf numFmtId="201" fontId="8" fillId="0" borderId="0" xfId="0" applyNumberFormat="1" applyFont="1" applyFill="1" applyBorder="1" applyAlignment="1">
      <x:alignment wrapText="1"/>
    </x:xf>
    <x:xf numFmtId="0" fontId="8" fillId="0" borderId="1" xfId="0" applyNumberFormat="1" applyFont="1" applyFill="1" applyBorder="1" applyAlignment="1">
      <x:alignment wrapText="1"/>
    </x:xf>
    <x:xf numFmtId="0" fontId="7" fillId="8" borderId="1" xfId="0" applyNumberFormat="1" applyFont="1" applyFill="1" applyBorder="1" applyAlignment="1">
      <x:alignment wrapText="1"/>
    </x:xf>
    <x:xf numFmtId="0" fontId="7" fillId="5" borderId="1" xfId="0" applyNumberFormat="1" applyFont="1" applyFill="1" applyBorder="1" applyAlignment="1">
      <x:alignment wrapText="1"/>
    </x:xf>
    <x:xf numFmtId="0" fontId="7" fillId="5" borderId="1" xfId="0" applyNumberFormat="1" applyFont="1" applyFill="1" applyBorder="1" applyAlignment="1">
      <x:alignment horizontal="center" vertical="center" wrapText="1"/>
    </x:xf>
    <x:xf numFmtId="201" fontId="7" fillId="5" borderId="1" xfId="0" applyNumberFormat="1" applyFont="1" applyFill="1" applyBorder="1" applyAlignment="1">
      <x:alignment wrapText="1"/>
    </x:xf>
    <x:xf numFmtId="202" fontId="7" fillId="5" borderId="1" xfId="0" applyNumberFormat="1" applyFont="1" applyFill="1" applyBorder="1" applyAlignment="1">
      <x:alignment wrapText="1"/>
    </x:xf>
    <x:xf numFmtId="202" fontId="8" fillId="0" borderId="1" xfId="0" applyNumberFormat="1" applyFont="1" applyFill="1" applyBorder="1" applyAlignment="1">
      <x:alignment wrapText="1"/>
    </x:xf>
    <x:xf numFmtId="201" fontId="8" fillId="0" borderId="1" xfId="0" applyNumberFormat="1" applyFont="1" applyFill="1" applyBorder="1" applyAlignment="1">
      <x:alignment wrapText="1"/>
    </x:xf>
    <x:xf numFmtId="0" fontId="8" fillId="6" borderId="0" xfId="0" applyNumberFormat="1" applyFont="1" applyFill="1" applyBorder="1" applyAlignment="1">
      <x:alignment wrapText="1"/>
    </x:xf>
    <x:xf numFmtId="0" fontId="8" fillId="6" borderId="1" xfId="0" applyNumberFormat="1" applyFont="1" applyFill="1" applyBorder="1" applyAlignment="1">
      <x:alignment wrapText="1"/>
    </x:xf>
    <x:xf numFmtId="0" fontId="9" fillId="2" borderId="0" xfId="0" applyNumberFormat="1" applyFont="1" applyFill="1" applyBorder="1" applyAlignment="1">
      <x:alignment horizontal="center" wrapText="1"/>
    </x:xf>
    <x:xf numFmtId="0" fontId="9" fillId="2" borderId="0" xfId="0" applyNumberFormat="1" applyFont="1" applyFill="1" applyBorder="1" applyAlignment="1">
      <x:alignment horizontal="center"/>
    </x:xf>
    <x:xf numFmtId="0" fontId="9" fillId="2" borderId="1" xfId="0" applyNumberFormat="1" applyFont="1" applyFill="1" applyBorder="1" applyAlignment="1">
      <x:alignment horizontal="center" wrapText="1"/>
    </x:xf>
    <x:xf numFmtId="0" fontId="9" fillId="2" borderId="1" xfId="0" applyNumberFormat="1" applyFont="1" applyFill="1" applyBorder="1" applyAlignment="1">
      <x:alignment horizontal="center"/>
    </x:xf>
    <x:xf numFmtId="0" fontId="10" fillId="2" borderId="0" xfId="0" applyNumberFormat="1" applyFont="1" applyFill="1" applyBorder="1"/>
    <x:xf numFmtId="0" fontId="10" fillId="2" borderId="1" xfId="0" applyNumberFormat="1" applyFont="1" applyFill="1" applyBorder="1"/>
  </x:cellXfs>
  <x:cellStyles count="1">
    <x:cellStyle name="Normal" xfId="0"/>
  </x:cellStyles>
  <x:dxfs count="13">
    <x:dxf>
      <x:font>
        <x:b/>
      </x:font>
      <x:fill>
        <x:patternFill patternType="solid">
          <x:bgColor rgb="FFFCE8B2"/>
        </x:patternFill>
      </x:fill>
    </x:dxf>
    <x:dxf>
      <x:font>
        <x:b/>
      </x:font>
      <x:fill>
        <x:patternFill patternType="solid">
          <x:bgColor rgb="FFF4CCCC"/>
        </x:patternFill>
      </x:fill>
    </x:dxf>
    <x:dxf>
      <x:font>
        <x:b/>
      </x:font>
      <x:fill>
        <x:patternFill patternType="solid">
          <x:bgColor rgb="FFDDEEDB"/>
        </x:patternFill>
      </x:fill>
    </x:dxf>
    <x:dxf>
      <x:font>
        <x:b/>
      </x:font>
      <x:fill>
        <x:patternFill patternType="solid">
          <x:bgColor rgb="FFF4CCCC"/>
        </x:patternFill>
      </x:fill>
    </x:dxf>
    <x:dxf>
      <x:font>
        <x:b/>
      </x:font>
      <x:fill>
        <x:patternFill patternType="solid">
          <x:bgColor rgb="FFFCE8B2"/>
        </x:patternFill>
      </x:fill>
    </x:dxf>
    <x:dxf>
      <x:font>
        <x:b/>
      </x:font>
      <x:fill>
        <x:patternFill patternType="solid">
          <x:bgColor rgb="FFFCE8B2"/>
        </x:patternFill>
      </x:fill>
    </x:dxf>
    <x:dxf>
      <x:font>
        <x:b/>
      </x:font>
      <x:fill>
        <x:patternFill patternType="solid">
          <x:bgColor rgb="FFF4CCCC"/>
        </x:patternFill>
      </x:fill>
    </x:dxf>
    <x:dxf>
      <x:font>
        <x:b/>
      </x:font>
      <x:fill>
        <x:patternFill patternType="solid">
          <x:bgColor rgb="FFFCE8B2"/>
        </x:patternFill>
      </x:fill>
    </x:dxf>
    <x:dxf>
      <x:font>
        <x:b/>
      </x:font>
      <x:fill>
        <x:patternFill patternType="solid">
          <x:bgColor rgb="FFDDEEDB"/>
        </x:patternFill>
      </x:fill>
    </x:dxf>
    <x:dxf>
      <x:font>
        <x:b/>
      </x:font>
      <x:fill>
        <x:patternFill patternType="solid">
          <x:bgColor rgb="FFFCE8B2"/>
        </x:patternFill>
      </x:fill>
    </x:dxf>
    <x:dxf>
      <x:fill>
        <x:patternFill patternType="solid">
          <x:bgColor rgb="FFDDEEDB"/>
        </x:patternFill>
      </x:fill>
    </x:dxf>
    <x:dxf>
      <x:fill>
        <x:patternFill patternType="solid">
          <x:bgColor rgb="FFFCE8B2"/>
        </x:patternFill>
      </x:fill>
    </x:dxf>
    <x:dxf>
      <x:font>
        <x:b/>
      </x:font>
      <x:fill>
        <x:patternFill patternType="solid">
          <x:bgColor rgb="FFFCE8B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1eca925b854b28" /><Relationship Type="http://schemas.openxmlformats.org/officeDocument/2006/relationships/theme" Target="/xl/theme/theme1.xml" Id="R30ee37b720854f8b" /><Relationship Type="http://schemas.openxmlformats.org/officeDocument/2006/relationships/sharedStrings" Target="/xl/sharedStrings.xml" Id="Rc5985684517646b3" /><Relationship Type="http://schemas.openxmlformats.org/officeDocument/2006/relationships/worksheet" Target="/xl/worksheets/sheet1.xml" Id="R395a3fd073bd456f" /><Relationship Type="http://schemas.openxmlformats.org/officeDocument/2006/relationships/worksheet" Target="/xl/worksheets/sheet2.xml" Id="Rf5d1a97d9da647ff" /><Relationship Type="http://schemas.openxmlformats.org/officeDocument/2006/relationships/worksheet" Target="/xl/worksheets/sheet3.xml" Id="Rd137e91cf6ac41ef" /><Relationship Type="http://schemas.openxmlformats.org/officeDocument/2006/relationships/worksheet" Target="/xl/worksheets/sheet4.xml" Id="Rb3a73914fda8424e" /><Relationship Type="http://schemas.openxmlformats.org/officeDocument/2006/relationships/worksheet" Target="/xl/worksheets/sheet5.xml" Id="R3649c2a8bb1e4caf" /><Relationship Type="http://schemas.openxmlformats.org/officeDocument/2006/relationships/worksheet" Target="/xl/worksheets/sheet6.xml" Id="R913aea86c9f54288" /><Relationship Type="http://schemas.openxmlformats.org/officeDocument/2006/relationships/worksheet" Target="/xl/worksheets/sheet7.xml" Id="Rf565e7f365444d74" /><Relationship Type="http://schemas.openxmlformats.org/officeDocument/2006/relationships/worksheet" Target="/xl/worksheets/sheet8.xml" Id="R9b30dcc9f2814aa7" /><Relationship Type="http://schemas.openxmlformats.org/officeDocument/2006/relationships/worksheet" Target="/xl/worksheets/sheet9.xml" Id="Rc065ab7b57ac4e2d" /><Relationship Type="http://schemas.openxmlformats.org/officeDocument/2006/relationships/worksheet" Target="/xl/worksheets/sheet10.xml" Id="R253485a9062b4af2" /><Relationship Type="http://schemas.openxmlformats.org/officeDocument/2006/relationships/worksheet" Target="/xl/worksheets/sheet11.xml" Id="Rfe82ffe80a3f42cf" /><Relationship Type="http://schemas.openxmlformats.org/officeDocument/2006/relationships/worksheet" Target="/xl/worksheets/sheet12.xml" Id="Rdc9c1ee9b32f4ac3" /><Relationship Type="http://schemas.openxmlformats.org/officeDocument/2006/relationships/worksheet" Target="/xl/worksheets/sheet13.xml" Id="R4cf6ea8ece2c4ef7" /><Relationship Type="http://schemas.openxmlformats.org/officeDocument/2006/relationships/worksheet" Target="/xl/worksheets/sheet14.xml" Id="R1306083b4c7c49d7" /></Relationships>
</file>

<file path=xl/drawings/_rels/drawing1.xml.rels>&#65279;<?xml version="1.0" encoding="utf-8"?><Relationships xmlns="http://schemas.openxmlformats.org/package/2006/relationships"><Relationship Type="http://schemas.openxmlformats.org/officeDocument/2006/relationships/chart" Target="/xl/drawings/charts/chart1.xml" Id="R826501419c6d473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Item Means</a:t>
            </a:r>
          </a:p>
        </c:rich>
      </c:tx>
    </c:title>
    <c:plotArea>
      <c:barChart>
        <c:barDir val="col"/>
        <c:varyColors val="0"/>
        <c:ser>
          <c:idx val="0"/>
          <c:order val="0"/>
          <c:tx>
            <c:v>Construct</c:v>
          </c:tx>
          <c:cat>
            <c:strRef>
              <c:f>'DASHBOARD'!$A$17:$A$28</c:f>
              <c:strCache>
                <c:ptCount val="0"/>
              </c:strCache>
            </c:strRef>
          </c:cat>
          <c:val>
            <c:numRef>
              <c:f>'DASHBOARD'!$B$17:$B$28</c:f>
              <c:numCache>
                <c:formatCode>General</c:formatCode>
                <c:ptCount val="0"/>
              </c:numCache>
            </c:numRef>
          </c:val>
        </c:ser>
        <c:ser>
          <c:idx val="1"/>
          <c:order val="1"/>
          <c:tx>
            <c:v>Mean</c:v>
          </c:tx>
          <c:cat>
            <c:strRef>
              <c:f>'DASHBOARD'!$A$17:$A$28</c:f>
              <c:strCache>
                <c:ptCount val="0"/>
              </c:strCache>
            </c:strRef>
          </c:cat>
          <c:val>
            <c:numRef>
              <c:f>'DASHBOARD'!$C$17:$C$28</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14</xdr:row>
      <xdr:rowOff>0</xdr:rowOff>
    </xdr:from>
    <xdr:to>
      <xdr:col>12</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26501419c6d473e"/>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2.xml.rels>&#65279;<?xml version="1.0" encoding="utf-8"?><Relationships xmlns="http://schemas.openxmlformats.org/package/2006/relationships"><Relationship Type="http://schemas.openxmlformats.org/officeDocument/2006/relationships/drawing" Target="/xl/drawings/drawing1.xml" Id="Rc3e56a304c7141f5" /></Relationships>
</file>

<file path=xl/worksheets/sheet1.xml><?xml version="1.0" encoding="utf-8"?>
<x:worksheet xmlns:x="http://schemas.openxmlformats.org/spreadsheetml/2006/main">
  <x:sheetFormatPr defaultRowHeight="15"/>
  <x:cols>
    <x:col min="1" max="1" width="8" hidden="0" customWidth="1"/>
    <x:col min="2" max="2" width="22" hidden="0" customWidth="1"/>
    <x:col min="3" max="3" width="72" hidden="0" customWidth="1"/>
    <x:col min="5" max="5" width="18" hidden="0" customWidth="1"/>
    <x:col min="6" max="6" width="32" hidden="0" customWidth="1"/>
  </x:cols>
  <x:sheetData>
    <x:row r="1">
      <x:c r="A1" s="161" t="str">
        <x:v>Survey / Needs-Assessment Builder &amp; Analysis Workbook</x:v>
      </x:c>
      <x:c r="B1" s="161"/>
      <x:c r="C1" s="161"/>
      <x:c r="D1" s="162"/>
      <x:c r="E1" s="162"/>
      <x:c r="F1" s="162"/>
      <x:c r="G1" s="162"/>
      <x:c r="H1" s="162"/>
      <x:c r="I1" s="99"/>
      <x:c r="J1" s="99"/>
      <x:c r="K1" s="99"/>
      <x:c r="L1" s="99"/>
      <x:c r="M1" s="99"/>
      <x:c r="N1" s="99"/>
      <x:c r="O1" s="99"/>
      <x:c r="P1" s="99"/>
      <x:c r="Q1" s="99"/>
      <x:c r="R1" s="99"/>
      <x:c r="S1" s="99"/>
      <x:c r="T1" s="99"/>
      <x:c r="U1" s="99"/>
      <x:c r="V1" s="99"/>
      <x:c r="W1" s="99"/>
      <x:c r="X1" s="99"/>
      <x:c r="Y1" s="99"/>
      <x:c r="Z1" s="99"/>
    </x:row>
    <x:row r="2">
      <x:c r="A2" s="99"/>
      <x:c r="B2" s="99"/>
      <x:c r="C2" s="99"/>
      <x:c r="D2" s="99"/>
      <x:c r="E2" s="99"/>
      <x:c r="F2" s="99"/>
      <x:c r="G2" s="99"/>
      <x:c r="H2" s="99"/>
      <x:c r="I2" s="99"/>
      <x:c r="J2" s="99"/>
      <x:c r="K2" s="99"/>
      <x:c r="L2" s="99"/>
      <x:c r="M2" s="99"/>
      <x:c r="N2" s="99"/>
      <x:c r="O2" s="99"/>
      <x:c r="P2" s="99"/>
      <x:c r="Q2" s="99"/>
      <x:c r="R2" s="99"/>
      <x:c r="S2" s="99"/>
      <x:c r="T2" s="99"/>
      <x:c r="U2" s="99"/>
      <x:c r="V2" s="99"/>
      <x:c r="W2" s="99"/>
      <x:c r="X2" s="99"/>
      <x:c r="Y2" s="99"/>
      <x:c r="Z2" s="99"/>
    </x:row>
    <x:row r="3">
      <x:c r="A3" s="100" t="str">
        <x:v>Design once, paste responses once, and surface quality, patterns, gaps, and next actions automatically.</x:v>
      </x:c>
      <x:c r="B3" s="100"/>
      <x:c r="C3" s="100"/>
      <x:c r="D3" s="100"/>
      <x:c r="E3" s="100"/>
      <x:c r="F3" s="100"/>
      <x:c r="G3" s="100"/>
      <x:c r="H3" s="100"/>
      <x:c r="I3" s="99"/>
      <x:c r="J3" s="99"/>
      <x:c r="K3" s="99"/>
      <x:c r="L3" s="99"/>
      <x:c r="M3" s="99"/>
      <x:c r="N3" s="99"/>
      <x:c r="O3" s="99"/>
      <x:c r="P3" s="99"/>
      <x:c r="Q3" s="99"/>
      <x:c r="R3" s="99"/>
      <x:c r="S3" s="99"/>
      <x:c r="T3" s="99"/>
      <x:c r="U3" s="99"/>
      <x:c r="V3" s="99"/>
      <x:c r="W3" s="99"/>
      <x:c r="X3" s="99"/>
      <x:c r="Y3" s="99"/>
      <x:c r="Z3" s="99"/>
    </x:row>
    <x:row r="4">
      <x:c r="A4" s="99"/>
      <x:c r="B4" s="99"/>
      <x:c r="C4" s="99"/>
      <x:c r="D4" s="99"/>
      <x:c r="E4" s="99"/>
      <x:c r="F4" s="99"/>
      <x:c r="G4" s="99"/>
      <x:c r="H4" s="99"/>
      <x:c r="I4" s="99"/>
      <x:c r="J4" s="99"/>
      <x:c r="K4" s="99"/>
      <x:c r="L4" s="99"/>
      <x:c r="M4" s="99"/>
      <x:c r="N4" s="99"/>
      <x:c r="O4" s="99"/>
      <x:c r="P4" s="99"/>
      <x:c r="Q4" s="99"/>
      <x:c r="R4" s="99"/>
      <x:c r="S4" s="99"/>
      <x:c r="T4" s="99"/>
      <x:c r="U4" s="99"/>
      <x:c r="V4" s="99"/>
      <x:c r="W4" s="99"/>
      <x:c r="X4" s="99"/>
      <x:c r="Y4" s="99"/>
      <x:c r="Z4" s="99"/>
    </x:row>
    <x:row r="5">
      <x:c r="A5" s="101" t="str">
        <x:v>STEP</x:v>
      </x:c>
      <x:c r="B5" s="101" t="str">
        <x:v>SHEET</x:v>
      </x:c>
      <x:c r="C5" s="101" t="str">
        <x:v>WHAT YOU DO</x:v>
      </x:c>
      <x:c r="D5" s="99"/>
      <x:c r="E5" s="101" t="str">
        <x:v>LABEL</x:v>
      </x:c>
      <x:c r="F5" s="101" t="str">
        <x:v>MEANING</x:v>
      </x:c>
      <x:c r="G5" s="99"/>
      <x:c r="H5" s="99"/>
      <x:c r="I5" s="99"/>
      <x:c r="J5" s="99"/>
      <x:c r="K5" s="99"/>
      <x:c r="L5" s="99"/>
      <x:c r="M5" s="99"/>
      <x:c r="N5" s="99"/>
      <x:c r="O5" s="99"/>
      <x:c r="P5" s="99"/>
      <x:c r="Q5" s="99"/>
      <x:c r="R5" s="99"/>
      <x:c r="S5" s="99"/>
      <x:c r="T5" s="99"/>
      <x:c r="U5" s="99"/>
      <x:c r="V5" s="99"/>
      <x:c r="W5" s="99"/>
      <x:c r="X5" s="99"/>
      <x:c r="Y5" s="99"/>
      <x:c r="Z5" s="99"/>
    </x:row>
    <x:row r="6">
      <x:c r="A6" s="99" t="str">
        <x:v>1</x:v>
      </x:c>
      <x:c r="B6" s="99" t="str">
        <x:v>SETUP</x:v>
      </x:c>
      <x:c r="C6" s="99" t="str">
        <x:v>Enter the study purpose, fielding dates, invited count, and analysis thresholds.</x:v>
      </x:c>
      <x:c r="D6" s="99"/>
      <x:c r="E6" s="102" t="str">
        <x:v>INPUT</x:v>
      </x:c>
      <x:c r="F6" s="102" t="str">
        <x:v>You enter this</x:v>
      </x:c>
      <x:c r="G6" s="99"/>
      <x:c r="H6" s="99"/>
      <x:c r="I6" s="99"/>
      <x:c r="J6" s="99"/>
      <x:c r="K6" s="99"/>
      <x:c r="L6" s="99"/>
      <x:c r="M6" s="99"/>
      <x:c r="N6" s="99"/>
      <x:c r="O6" s="99"/>
      <x:c r="P6" s="99"/>
      <x:c r="Q6" s="99"/>
      <x:c r="R6" s="99"/>
      <x:c r="S6" s="99"/>
      <x:c r="T6" s="99"/>
      <x:c r="U6" s="99"/>
      <x:c r="V6" s="99"/>
      <x:c r="W6" s="99"/>
      <x:c r="X6" s="99"/>
      <x:c r="Y6" s="99"/>
      <x:c r="Z6" s="99"/>
    </x:row>
    <x:row r="7">
      <x:c r="A7" s="99" t="str">
        <x:v>2</x:v>
      </x:c>
      <x:c r="B7" s="99" t="str">
        <x:v>SURVEY DESIGN</x:v>
      </x:c>
      <x:c r="C7" s="99" t="str">
        <x:v>Enter up to 12 scored items. Wording and metadata QA flags calculate automatically.</x:v>
      </x:c>
      <x:c r="D7" s="99"/>
      <x:c r="E7" s="103" t="str">
        <x:v>AUTO</x:v>
      </x:c>
      <x:c r="F7" s="103" t="str">
        <x:v>Calculated for you</x:v>
      </x:c>
      <x:c r="G7" s="99"/>
      <x:c r="H7" s="99"/>
      <x:c r="I7" s="99"/>
      <x:c r="J7" s="99"/>
      <x:c r="K7" s="99"/>
      <x:c r="L7" s="99"/>
      <x:c r="M7" s="99"/>
      <x:c r="N7" s="99"/>
      <x:c r="O7" s="99"/>
      <x:c r="P7" s="99"/>
      <x:c r="Q7" s="99"/>
      <x:c r="R7" s="99"/>
      <x:c r="S7" s="99"/>
      <x:c r="T7" s="99"/>
      <x:c r="U7" s="99"/>
      <x:c r="V7" s="99"/>
      <x:c r="W7" s="99"/>
      <x:c r="X7" s="99"/>
      <x:c r="Y7" s="99"/>
      <x:c r="Z7" s="99"/>
    </x:row>
    <x:row r="8">
      <x:c r="A8" s="99" t="str">
        <x:v>3</x:v>
      </x:c>
      <x:c r="B8" s="99" t="str">
        <x:v>FIELDING PLAN</x:v>
      </x:c>
      <x:c r="C8" s="99" t="str">
        <x:v>Document audience, sampling, reminders, consent, privacy, and the decision the study will inform.</x:v>
      </x:c>
      <x:c r="D8" s="99"/>
      <x:c r="E8" s="104" t="str">
        <x:v>OPTIONAL</x:v>
      </x:c>
      <x:c r="F8" s="104" t="str">
        <x:v>Helpful, not required</x:v>
      </x:c>
      <x:c r="G8" s="99"/>
      <x:c r="H8" s="99"/>
      <x:c r="I8" s="99"/>
      <x:c r="J8" s="99"/>
      <x:c r="K8" s="99"/>
      <x:c r="L8" s="99"/>
      <x:c r="M8" s="99"/>
      <x:c r="N8" s="99"/>
      <x:c r="O8" s="99"/>
      <x:c r="P8" s="99"/>
      <x:c r="Q8" s="99"/>
      <x:c r="R8" s="99"/>
      <x:c r="S8" s="99"/>
      <x:c r="T8" s="99"/>
      <x:c r="U8" s="99"/>
      <x:c r="V8" s="99"/>
      <x:c r="W8" s="99"/>
      <x:c r="X8" s="99"/>
      <x:c r="Y8" s="99"/>
      <x:c r="Z8" s="99"/>
    </x:row>
    <x:row r="9">
      <x:c r="A9" s="99" t="str">
        <x:v>4</x:v>
      </x:c>
      <x:c r="B9" s="99" t="str">
        <x:v>RESPONSE DATA</x:v>
      </x:c>
      <x:c r="C9" s="99" t="str">
        <x:v>Paste one row per respondent. QA, inclusion, exclusion reason, and overall score calculate automatically.</x:v>
      </x:c>
      <x:c r="D9" s="99"/>
      <x:c r="E9" s="105" t="str">
        <x:v>ACTION NEEDED</x:v>
      </x:c>
      <x:c r="F9" s="105" t="str">
        <x:v>Review / fix</x:v>
      </x:c>
      <x:c r="G9" s="99"/>
      <x:c r="H9" s="99"/>
      <x:c r="I9" s="99"/>
      <x:c r="J9" s="99"/>
      <x:c r="K9" s="99"/>
      <x:c r="L9" s="99"/>
      <x:c r="M9" s="99"/>
      <x:c r="N9" s="99"/>
      <x:c r="O9" s="99"/>
      <x:c r="P9" s="99"/>
      <x:c r="Q9" s="99"/>
      <x:c r="R9" s="99"/>
      <x:c r="S9" s="99"/>
      <x:c r="T9" s="99"/>
      <x:c r="U9" s="99"/>
      <x:c r="V9" s="99"/>
      <x:c r="W9" s="99"/>
      <x:c r="X9" s="99"/>
      <x:c r="Y9" s="99"/>
      <x:c r="Z9" s="99"/>
    </x:row>
    <x:row r="10">
      <x:c r="A10" s="99" t="str">
        <x:v>5</x:v>
      </x:c>
      <x:c r="B10" s="99" t="str">
        <x:v>RESPONSE QA</x:v>
      </x:c>
      <x:c r="C10" s="99" t="str">
        <x:v>See inclusion/exclusion counts and common data-quality issues without manually filtering.</x:v>
      </x:c>
      <x:c r="D10" s="99"/>
      <x:c r="E10" s="99"/>
      <x:c r="F10" s="99"/>
      <x:c r="G10" s="99"/>
      <x:c r="H10" s="99"/>
      <x:c r="I10" s="99"/>
      <x:c r="J10" s="99"/>
      <x:c r="K10" s="99"/>
      <x:c r="L10" s="99"/>
      <x:c r="M10" s="99"/>
      <x:c r="N10" s="99"/>
      <x:c r="O10" s="99"/>
      <x:c r="P10" s="99"/>
      <x:c r="Q10" s="99"/>
      <x:c r="R10" s="99"/>
      <x:c r="S10" s="99"/>
      <x:c r="T10" s="99"/>
      <x:c r="U10" s="99"/>
      <x:c r="V10" s="99"/>
      <x:c r="W10" s="99"/>
      <x:c r="X10" s="99"/>
      <x:c r="Y10" s="99"/>
      <x:c r="Z10" s="99"/>
    </x:row>
    <x:row r="11">
      <x:c r="A11" s="99" t="str">
        <x:v>6</x:v>
      </x:c>
      <x:c r="B11" s="99" t="str">
        <x:v>ITEM SUMMARY</x:v>
      </x:c>
      <x:c r="C11" s="99" t="str">
        <x:v>Item counts, means, favorable response rates, missingness, and low-N flags populate automatically.</x:v>
      </x:c>
      <x:c r="D11" s="99"/>
      <x:c r="E11" s="106" t="str">
        <x:v>Research standard</x:v>
      </x:c>
      <x:c r="F11" s="106"/>
      <x:c r="G11" s="106"/>
      <x:c r="H11" s="106"/>
      <x:c r="I11" s="99"/>
      <x:c r="J11" s="99"/>
      <x:c r="K11" s="99"/>
      <x:c r="L11" s="99"/>
      <x:c r="M11" s="99"/>
      <x:c r="N11" s="99"/>
      <x:c r="O11" s="99"/>
      <x:c r="P11" s="99"/>
      <x:c r="Q11" s="99"/>
      <x:c r="R11" s="99"/>
      <x:c r="S11" s="99"/>
      <x:c r="T11" s="99"/>
      <x:c r="U11" s="99"/>
      <x:c r="V11" s="99"/>
      <x:c r="W11" s="99"/>
      <x:c r="X11" s="99"/>
      <x:c r="Y11" s="99"/>
      <x:c r="Z11" s="99"/>
    </x:row>
    <x:row r="12">
      <x:c r="A12" s="99" t="str">
        <x:v>7</x:v>
      </x:c>
      <x:c r="B12" s="99" t="str">
        <x:v>SEGMENTATION</x:v>
      </x:c>
      <x:c r="C12" s="99" t="str">
        <x:v>Enter the segment values to compare; counts and overall means populate automatically.</x:v>
      </x:c>
      <x:c r="D12" s="99"/>
      <x:c r="E12" s="107" t="str">
        <x:v>The workbook automates organization, descriptive summaries, QA flags, and prioritization. It does not turn an observational survey into a causal study. Document sampling limits, missing data, response bias, instrument limitations, and what decisions the evidence can reasonably support.</x:v>
      </x:c>
      <x:c r="F12" s="107"/>
      <x:c r="G12" s="107"/>
      <x:c r="H12" s="107"/>
      <x:c r="I12" s="99"/>
      <x:c r="J12" s="99"/>
      <x:c r="K12" s="99"/>
      <x:c r="L12" s="99"/>
      <x:c r="M12" s="99"/>
      <x:c r="N12" s="99"/>
      <x:c r="O12" s="99"/>
      <x:c r="P12" s="99"/>
      <x:c r="Q12" s="99"/>
      <x:c r="R12" s="99"/>
      <x:c r="S12" s="99"/>
      <x:c r="T12" s="99"/>
      <x:c r="U12" s="99"/>
      <x:c r="V12" s="99"/>
      <x:c r="W12" s="99"/>
      <x:c r="X12" s="99"/>
      <x:c r="Y12" s="99"/>
      <x:c r="Z12" s="99"/>
    </x:row>
    <x:row r="13">
      <x:c r="A13" s="99" t="str">
        <x:v>8</x:v>
      </x:c>
      <x:c r="B13" s="99" t="str">
        <x:v>NEEDS PRIORITY</x:v>
      </x:c>
      <x:c r="C13" s="99" t="str">
        <x:v>Enter importance and current-state means by topic; gap and priority bands calculate automatically.</x:v>
      </x:c>
      <x:c r="D13" s="99"/>
      <x:c r="E13" s="107"/>
      <x:c r="F13" s="107"/>
      <x:c r="G13" s="107"/>
      <x:c r="H13" s="107"/>
      <x:c r="I13" s="99"/>
      <x:c r="J13" s="99"/>
      <x:c r="K13" s="99"/>
      <x:c r="L13" s="99"/>
      <x:c r="M13" s="99"/>
      <x:c r="N13" s="99"/>
      <x:c r="O13" s="99"/>
      <x:c r="P13" s="99"/>
      <x:c r="Q13" s="99"/>
      <x:c r="R13" s="99"/>
      <x:c r="S13" s="99"/>
      <x:c r="T13" s="99"/>
      <x:c r="U13" s="99"/>
      <x:c r="V13" s="99"/>
      <x:c r="W13" s="99"/>
      <x:c r="X13" s="99"/>
      <x:c r="Y13" s="99"/>
      <x:c r="Z13" s="99"/>
    </x:row>
    <x:row r="14">
      <x:c r="A14" s="99" t="str">
        <x:v>9</x:v>
      </x:c>
      <x:c r="B14" s="99" t="str">
        <x:v>OPEN TEXT CODING</x:v>
      </x:c>
      <x:c r="C14" s="99" t="str">
        <x:v>Code qualitative responses with visible, revisable code and sentiment fields.</x:v>
      </x:c>
      <x:c r="D14" s="99"/>
      <x:c r="E14" s="107"/>
      <x:c r="F14" s="107"/>
      <x:c r="G14" s="107"/>
      <x:c r="H14" s="107"/>
      <x:c r="I14" s="99"/>
      <x:c r="J14" s="99"/>
      <x:c r="K14" s="99"/>
      <x:c r="L14" s="99"/>
      <x:c r="M14" s="99"/>
      <x:c r="N14" s="99"/>
      <x:c r="O14" s="99"/>
      <x:c r="P14" s="99"/>
      <x:c r="Q14" s="99"/>
      <x:c r="R14" s="99"/>
      <x:c r="S14" s="99"/>
      <x:c r="T14" s="99"/>
      <x:c r="U14" s="99"/>
      <x:c r="V14" s="99"/>
      <x:c r="W14" s="99"/>
      <x:c r="X14" s="99"/>
      <x:c r="Y14" s="99"/>
      <x:c r="Z14" s="99"/>
    </x:row>
    <x:row r="15">
      <x:c r="A15" s="99" t="str">
        <x:v>10</x:v>
      </x:c>
      <x:c r="B15" s="99" t="str">
        <x:v>FINDINGS</x:v>
      </x:c>
      <x:c r="C15" s="99" t="str">
        <x:v>Use auto-populated evidence signals plus judgment fields to write qualified findings and actions.</x:v>
      </x:c>
      <x:c r="D15" s="99"/>
      <x:c r="E15" s="107"/>
      <x:c r="F15" s="107"/>
      <x:c r="G15" s="107"/>
      <x:c r="H15" s="107"/>
      <x:c r="I15" s="99"/>
      <x:c r="J15" s="99"/>
      <x:c r="K15" s="99"/>
      <x:c r="L15" s="99"/>
      <x:c r="M15" s="99"/>
      <x:c r="N15" s="99"/>
      <x:c r="O15" s="99"/>
      <x:c r="P15" s="99"/>
      <x:c r="Q15" s="99"/>
      <x:c r="R15" s="99"/>
      <x:c r="S15" s="99"/>
      <x:c r="T15" s="99"/>
      <x:c r="U15" s="99"/>
      <x:c r="V15" s="99"/>
      <x:c r="W15" s="99"/>
      <x:c r="X15" s="99"/>
      <x:c r="Y15" s="99"/>
      <x:c r="Z15" s="99"/>
    </x:row>
    <x:row r="16">
      <x:c r="A16" s="99" t="str">
        <x:v>11</x:v>
      </x:c>
      <x:c r="B16" s="99" t="str">
        <x:v>DASHBOARD</x:v>
      </x:c>
      <x:c r="C16" s="99" t="str">
        <x:v>Use the dashboard for response rate, QA retention, item performance, segment patterns, and priorities.</x:v>
      </x:c>
      <x:c r="D16" s="99"/>
      <x:c r="E16" s="107"/>
      <x:c r="F16" s="107"/>
      <x:c r="G16" s="107"/>
      <x:c r="H16" s="107"/>
      <x:c r="I16" s="99"/>
      <x:c r="J16" s="99"/>
      <x:c r="K16" s="99"/>
      <x:c r="L16" s="99"/>
      <x:c r="M16" s="99"/>
      <x:c r="N16" s="99"/>
      <x:c r="O16" s="99"/>
      <x:c r="P16" s="99"/>
      <x:c r="Q16" s="99"/>
      <x:c r="R16" s="99"/>
      <x:c r="S16" s="99"/>
      <x:c r="T16" s="99"/>
      <x:c r="U16" s="99"/>
      <x:c r="V16" s="99"/>
      <x:c r="W16" s="99"/>
      <x:c r="X16" s="99"/>
      <x:c r="Y16" s="99"/>
      <x:c r="Z16" s="99"/>
    </x:row>
    <x:row r="17">
      <x:c r="A17" s="99"/>
      <x:c r="B17" s="99"/>
      <x:c r="C17" s="99"/>
      <x:c r="D17" s="99"/>
      <x:c r="E17" s="107"/>
      <x:c r="F17" s="107"/>
      <x:c r="G17" s="107"/>
      <x:c r="H17" s="107"/>
      <x:c r="I17" s="99"/>
      <x:c r="J17" s="99"/>
      <x:c r="K17" s="99"/>
      <x:c r="L17" s="99"/>
      <x:c r="M17" s="99"/>
      <x:c r="N17" s="99"/>
      <x:c r="O17" s="99"/>
      <x:c r="P17" s="99"/>
      <x:c r="Q17" s="99"/>
      <x:c r="R17" s="99"/>
      <x:c r="S17" s="99"/>
      <x:c r="T17" s="99"/>
      <x:c r="U17" s="99"/>
      <x:c r="V17" s="99"/>
      <x:c r="W17" s="99"/>
      <x:c r="X17" s="99"/>
      <x:c r="Y17" s="99"/>
      <x:c r="Z17" s="99"/>
    </x:row>
    <x:row r="18">
      <x:c r="A18" s="99"/>
      <x:c r="B18" s="99"/>
      <x:c r="C18" s="99"/>
      <x:c r="D18" s="99"/>
      <x:c r="E18" s="99"/>
      <x:c r="F18" s="99"/>
      <x:c r="G18" s="99"/>
      <x:c r="H18" s="99"/>
      <x:c r="I18" s="99"/>
      <x:c r="J18" s="99"/>
      <x:c r="K18" s="99"/>
      <x:c r="L18" s="99"/>
      <x:c r="M18" s="99"/>
      <x:c r="N18" s="99"/>
      <x:c r="O18" s="99"/>
      <x:c r="P18" s="99"/>
      <x:c r="Q18" s="99"/>
      <x:c r="R18" s="99"/>
      <x:c r="S18" s="99"/>
      <x:c r="T18" s="99"/>
      <x:c r="U18" s="99"/>
      <x:c r="V18" s="99"/>
      <x:c r="W18" s="99"/>
      <x:c r="X18" s="99"/>
      <x:c r="Y18" s="99"/>
      <x:c r="Z18" s="99"/>
    </x:row>
    <x:row r="19">
      <x:c r="A19" s="99"/>
      <x:c r="B19" s="99"/>
      <x:c r="C19" s="99"/>
      <x:c r="D19" s="99"/>
      <x:c r="E19" s="99"/>
      <x:c r="F19" s="99"/>
      <x:c r="G19" s="99"/>
      <x:c r="H19" s="99"/>
      <x:c r="I19" s="99"/>
      <x:c r="J19" s="99"/>
      <x:c r="K19" s="99"/>
      <x:c r="L19" s="99"/>
      <x:c r="M19" s="99"/>
      <x:c r="N19" s="99"/>
      <x:c r="O19" s="99"/>
      <x:c r="P19" s="99"/>
      <x:c r="Q19" s="99"/>
      <x:c r="R19" s="99"/>
      <x:c r="S19" s="99"/>
      <x:c r="T19" s="99"/>
      <x:c r="U19" s="99"/>
      <x:c r="V19" s="99"/>
      <x:c r="W19" s="99"/>
      <x:c r="X19" s="99"/>
      <x:c r="Y19" s="99"/>
      <x:c r="Z19" s="99"/>
    </x:row>
    <x:row r="20">
      <x:c r="A20" s="99"/>
      <x:c r="B20" s="99"/>
      <x:c r="C20" s="99"/>
      <x:c r="D20" s="99"/>
      <x:c r="E20" s="99"/>
      <x:c r="F20" s="99"/>
      <x:c r="G20" s="99"/>
      <x:c r="H20" s="99"/>
      <x:c r="I20" s="99"/>
      <x:c r="J20" s="99"/>
      <x:c r="K20" s="99"/>
      <x:c r="L20" s="99"/>
      <x:c r="M20" s="99"/>
      <x:c r="N20" s="99"/>
      <x:c r="O20" s="99"/>
      <x:c r="P20" s="99"/>
      <x:c r="Q20" s="99"/>
      <x:c r="R20" s="99"/>
      <x:c r="S20" s="99"/>
      <x:c r="T20" s="99"/>
      <x:c r="U20" s="99"/>
      <x:c r="V20" s="99"/>
      <x:c r="W20" s="99"/>
      <x:c r="X20" s="99"/>
      <x:c r="Y20" s="99"/>
      <x:c r="Z20" s="99"/>
    </x:row>
    <x:row r="21">
      <x:c r="A21" s="99"/>
      <x:c r="B21" s="99"/>
      <x:c r="C21" s="99"/>
      <x:c r="D21" s="99"/>
      <x:c r="E21" s="99"/>
      <x:c r="F21" s="99"/>
      <x:c r="G21" s="99"/>
      <x:c r="H21" s="99"/>
      <x:c r="I21" s="99"/>
      <x:c r="J21" s="99"/>
      <x:c r="K21" s="99"/>
      <x:c r="L21" s="99"/>
      <x:c r="M21" s="99"/>
      <x:c r="N21" s="99"/>
      <x:c r="O21" s="99"/>
      <x:c r="P21" s="99"/>
      <x:c r="Q21" s="99"/>
      <x:c r="R21" s="99"/>
      <x:c r="S21" s="99"/>
      <x:c r="T21" s="99"/>
      <x:c r="U21" s="99"/>
      <x:c r="V21" s="99"/>
      <x:c r="W21" s="99"/>
      <x:c r="X21" s="99"/>
      <x:c r="Y21" s="99"/>
      <x:c r="Z21" s="99"/>
    </x:row>
    <x:row r="22">
      <x:c r="A22" s="99"/>
      <x:c r="B22" s="99"/>
      <x:c r="C22" s="99"/>
      <x:c r="D22" s="99"/>
      <x:c r="E22" s="99"/>
      <x:c r="F22" s="99"/>
      <x:c r="G22" s="99"/>
      <x:c r="H22" s="99"/>
      <x:c r="I22" s="99"/>
      <x:c r="J22" s="99"/>
      <x:c r="K22" s="99"/>
      <x:c r="L22" s="99"/>
      <x:c r="M22" s="99"/>
      <x:c r="N22" s="99"/>
      <x:c r="O22" s="99"/>
      <x:c r="P22" s="99"/>
      <x:c r="Q22" s="99"/>
      <x:c r="R22" s="99"/>
      <x:c r="S22" s="99"/>
      <x:c r="T22" s="99"/>
      <x:c r="U22" s="99"/>
      <x:c r="V22" s="99"/>
      <x:c r="W22" s="99"/>
      <x:c r="X22" s="99"/>
      <x:c r="Y22" s="99"/>
      <x:c r="Z22" s="99"/>
    </x:row>
    <x:row r="23">
      <x:c r="A23" s="99"/>
      <x:c r="B23" s="99"/>
      <x:c r="C23" s="99"/>
      <x:c r="D23" s="99"/>
      <x:c r="E23" s="99"/>
      <x:c r="F23" s="99"/>
      <x:c r="G23" s="99"/>
      <x:c r="H23" s="99"/>
      <x:c r="I23" s="99"/>
      <x:c r="J23" s="99"/>
      <x:c r="K23" s="99"/>
      <x:c r="L23" s="99"/>
      <x:c r="M23" s="99"/>
      <x:c r="N23" s="99"/>
      <x:c r="O23" s="99"/>
      <x:c r="P23" s="99"/>
      <x:c r="Q23" s="99"/>
      <x:c r="R23" s="99"/>
      <x:c r="S23" s="99"/>
      <x:c r="T23" s="99"/>
      <x:c r="U23" s="99"/>
      <x:c r="V23" s="99"/>
      <x:c r="W23" s="99"/>
      <x:c r="X23" s="99"/>
      <x:c r="Y23" s="99"/>
      <x:c r="Z23" s="99"/>
    </x:row>
    <x:row r="24">
      <x:c r="A24" s="99"/>
      <x:c r="B24" s="99"/>
      <x:c r="C24" s="99"/>
      <x:c r="D24" s="99"/>
      <x:c r="E24" s="99"/>
      <x:c r="F24" s="99"/>
      <x:c r="G24" s="99"/>
      <x:c r="H24" s="99"/>
      <x:c r="I24" s="99"/>
      <x:c r="J24" s="99"/>
      <x:c r="K24" s="99"/>
      <x:c r="L24" s="99"/>
      <x:c r="M24" s="99"/>
      <x:c r="N24" s="99"/>
      <x:c r="O24" s="99"/>
      <x:c r="P24" s="99"/>
      <x:c r="Q24" s="99"/>
      <x:c r="R24" s="99"/>
      <x:c r="S24" s="99"/>
      <x:c r="T24" s="99"/>
      <x:c r="U24" s="99"/>
      <x:c r="V24" s="99"/>
      <x:c r="W24" s="99"/>
      <x:c r="X24" s="99"/>
      <x:c r="Y24" s="99"/>
      <x:c r="Z24" s="99"/>
    </x:row>
    <x:row r="25">
      <x:c r="A25" s="99"/>
      <x:c r="B25" s="99"/>
      <x:c r="C25" s="99"/>
      <x:c r="D25" s="99"/>
      <x:c r="E25" s="99"/>
      <x:c r="F25" s="99"/>
      <x:c r="G25" s="99"/>
      <x:c r="H25" s="99"/>
      <x:c r="I25" s="99"/>
      <x:c r="J25" s="99"/>
      <x:c r="K25" s="99"/>
      <x:c r="L25" s="99"/>
      <x:c r="M25" s="99"/>
      <x:c r="N25" s="99"/>
      <x:c r="O25" s="99"/>
      <x:c r="P25" s="99"/>
      <x:c r="Q25" s="99"/>
      <x:c r="R25" s="99"/>
      <x:c r="S25" s="99"/>
      <x:c r="T25" s="99"/>
      <x:c r="U25" s="99"/>
      <x:c r="V25" s="99"/>
      <x:c r="W25" s="99"/>
      <x:c r="X25" s="99"/>
      <x:c r="Y25" s="99"/>
      <x:c r="Z25" s="99"/>
    </x:row>
    <x:row r="26">
      <x:c r="A26" s="99"/>
      <x:c r="B26" s="99"/>
      <x:c r="C26" s="99"/>
      <x:c r="D26" s="99"/>
      <x:c r="E26" s="99"/>
      <x:c r="F26" s="99"/>
      <x:c r="G26" s="99"/>
      <x:c r="H26" s="99"/>
      <x:c r="I26" s="99"/>
      <x:c r="J26" s="99"/>
      <x:c r="K26" s="99"/>
      <x:c r="L26" s="99"/>
      <x:c r="M26" s="99"/>
      <x:c r="N26" s="99"/>
      <x:c r="O26" s="99"/>
      <x:c r="P26" s="99"/>
      <x:c r="Q26" s="99"/>
      <x:c r="R26" s="99"/>
      <x:c r="S26" s="99"/>
      <x:c r="T26" s="99"/>
      <x:c r="U26" s="99"/>
      <x:c r="V26" s="99"/>
      <x:c r="W26" s="99"/>
      <x:c r="X26" s="99"/>
      <x:c r="Y26" s="99"/>
      <x:c r="Z26" s="99"/>
    </x:row>
    <x:row r="27">
      <x:c r="A27" s="99"/>
      <x:c r="B27" s="99"/>
      <x:c r="C27" s="99"/>
      <x:c r="D27" s="99"/>
      <x:c r="E27" s="99"/>
      <x:c r="F27" s="99"/>
      <x:c r="G27" s="99"/>
      <x:c r="H27" s="99"/>
      <x:c r="I27" s="99"/>
      <x:c r="J27" s="99"/>
      <x:c r="K27" s="99"/>
      <x:c r="L27" s="99"/>
      <x:c r="M27" s="99"/>
      <x:c r="N27" s="99"/>
      <x:c r="O27" s="99"/>
      <x:c r="P27" s="99"/>
      <x:c r="Q27" s="99"/>
      <x:c r="R27" s="99"/>
      <x:c r="S27" s="99"/>
      <x:c r="T27" s="99"/>
      <x:c r="U27" s="99"/>
      <x:c r="V27" s="99"/>
      <x:c r="W27" s="99"/>
      <x:c r="X27" s="99"/>
      <x:c r="Y27" s="99"/>
      <x:c r="Z27" s="99"/>
    </x:row>
    <x:row r="28">
      <x:c r="A28" s="99"/>
      <x:c r="B28" s="99"/>
      <x:c r="C28" s="99"/>
      <x:c r="D28" s="99"/>
      <x:c r="E28" s="99"/>
      <x:c r="F28" s="99"/>
      <x:c r="G28" s="99"/>
      <x:c r="H28" s="99"/>
      <x:c r="I28" s="99"/>
      <x:c r="J28" s="99"/>
      <x:c r="K28" s="99"/>
      <x:c r="L28" s="99"/>
      <x:c r="M28" s="99"/>
      <x:c r="N28" s="99"/>
      <x:c r="O28" s="99"/>
      <x:c r="P28" s="99"/>
      <x:c r="Q28" s="99"/>
      <x:c r="R28" s="99"/>
      <x:c r="S28" s="99"/>
      <x:c r="T28" s="99"/>
      <x:c r="U28" s="99"/>
      <x:c r="V28" s="99"/>
      <x:c r="W28" s="99"/>
      <x:c r="X28" s="99"/>
      <x:c r="Y28" s="99"/>
      <x:c r="Z28" s="99"/>
    </x:row>
    <x:row r="29">
      <x:c r="A29" s="99"/>
      <x:c r="B29" s="99"/>
      <x:c r="C29" s="99"/>
      <x:c r="D29" s="99"/>
      <x:c r="E29" s="99"/>
      <x:c r="F29" s="99"/>
      <x:c r="G29" s="99"/>
      <x:c r="H29" s="99"/>
      <x:c r="I29" s="99"/>
      <x:c r="J29" s="99"/>
      <x:c r="K29" s="99"/>
      <x:c r="L29" s="99"/>
      <x:c r="M29" s="99"/>
      <x:c r="N29" s="99"/>
      <x:c r="O29" s="99"/>
      <x:c r="P29" s="99"/>
      <x:c r="Q29" s="99"/>
      <x:c r="R29" s="99"/>
      <x:c r="S29" s="99"/>
      <x:c r="T29" s="99"/>
      <x:c r="U29" s="99"/>
      <x:c r="V29" s="99"/>
      <x:c r="W29" s="99"/>
      <x:c r="X29" s="99"/>
      <x:c r="Y29" s="99"/>
      <x:c r="Z29" s="99"/>
    </x:row>
    <x:row r="30">
      <x:c r="A30" s="99"/>
      <x:c r="B30" s="99"/>
      <x:c r="C30" s="99"/>
      <x:c r="D30" s="99"/>
      <x:c r="E30" s="99"/>
      <x:c r="F30" s="99"/>
      <x:c r="G30" s="99"/>
      <x:c r="H30" s="99"/>
      <x:c r="I30" s="99"/>
      <x:c r="J30" s="99"/>
      <x:c r="K30" s="99"/>
      <x:c r="L30" s="99"/>
      <x:c r="M30" s="99"/>
      <x:c r="N30" s="99"/>
      <x:c r="O30" s="99"/>
      <x:c r="P30" s="99"/>
      <x:c r="Q30" s="99"/>
      <x:c r="R30" s="99"/>
      <x:c r="S30" s="99"/>
      <x:c r="T30" s="99"/>
      <x:c r="U30" s="99"/>
      <x:c r="V30" s="99"/>
      <x:c r="W30" s="99"/>
      <x:c r="X30" s="99"/>
      <x:c r="Y30" s="99"/>
      <x:c r="Z30" s="99"/>
    </x:row>
    <x:row r="31">
      <x:c r="A31" s="99"/>
      <x:c r="B31" s="99"/>
      <x:c r="C31" s="99"/>
      <x:c r="D31" s="99"/>
      <x:c r="E31" s="99"/>
      <x:c r="F31" s="99"/>
      <x:c r="G31" s="99"/>
      <x:c r="H31" s="99"/>
      <x:c r="I31" s="99"/>
      <x:c r="J31" s="99"/>
      <x:c r="K31" s="99"/>
      <x:c r="L31" s="99"/>
      <x:c r="M31" s="99"/>
      <x:c r="N31" s="99"/>
      <x:c r="O31" s="99"/>
      <x:c r="P31" s="99"/>
      <x:c r="Q31" s="99"/>
      <x:c r="R31" s="99"/>
      <x:c r="S31" s="99"/>
      <x:c r="T31" s="99"/>
      <x:c r="U31" s="99"/>
      <x:c r="V31" s="99"/>
      <x:c r="W31" s="99"/>
      <x:c r="X31" s="99"/>
      <x:c r="Y31" s="99"/>
      <x:c r="Z31" s="99"/>
    </x:row>
    <x:row r="32">
      <x:c r="A32" s="99"/>
      <x:c r="B32" s="99"/>
      <x:c r="C32" s="99"/>
      <x:c r="D32" s="99"/>
      <x:c r="E32" s="99"/>
      <x:c r="F32" s="99"/>
      <x:c r="G32" s="99"/>
      <x:c r="H32" s="99"/>
      <x:c r="I32" s="99"/>
      <x:c r="J32" s="99"/>
      <x:c r="K32" s="99"/>
      <x:c r="L32" s="99"/>
      <x:c r="M32" s="99"/>
      <x:c r="N32" s="99"/>
      <x:c r="O32" s="99"/>
      <x:c r="P32" s="99"/>
      <x:c r="Q32" s="99"/>
      <x:c r="R32" s="99"/>
      <x:c r="S32" s="99"/>
      <x:c r="T32" s="99"/>
      <x:c r="U32" s="99"/>
      <x:c r="V32" s="99"/>
      <x:c r="W32" s="99"/>
      <x:c r="X32" s="99"/>
      <x:c r="Y32" s="99"/>
      <x:c r="Z32" s="99"/>
    </x:row>
    <x:row r="33">
      <x:c r="A33" s="99"/>
      <x:c r="B33" s="99"/>
      <x:c r="C33" s="99"/>
      <x:c r="D33" s="99"/>
      <x:c r="E33" s="99"/>
      <x:c r="F33" s="99"/>
      <x:c r="G33" s="99"/>
      <x:c r="H33" s="99"/>
      <x:c r="I33" s="99"/>
      <x:c r="J33" s="99"/>
      <x:c r="K33" s="99"/>
      <x:c r="L33" s="99"/>
      <x:c r="M33" s="99"/>
      <x:c r="N33" s="99"/>
      <x:c r="O33" s="99"/>
      <x:c r="P33" s="99"/>
      <x:c r="Q33" s="99"/>
      <x:c r="R33" s="99"/>
      <x:c r="S33" s="99"/>
      <x:c r="T33" s="99"/>
      <x:c r="U33" s="99"/>
      <x:c r="V33" s="99"/>
      <x:c r="W33" s="99"/>
      <x:c r="X33" s="99"/>
      <x:c r="Y33" s="99"/>
      <x:c r="Z33" s="99"/>
    </x:row>
    <x:row r="34">
      <x:c r="A34" s="99"/>
      <x:c r="B34" s="99"/>
      <x:c r="C34" s="99"/>
      <x:c r="D34" s="99"/>
      <x:c r="E34" s="99"/>
      <x:c r="F34" s="99"/>
      <x:c r="G34" s="99"/>
      <x:c r="H34" s="99"/>
      <x:c r="I34" s="99"/>
      <x:c r="J34" s="99"/>
      <x:c r="K34" s="99"/>
      <x:c r="L34" s="99"/>
      <x:c r="M34" s="99"/>
      <x:c r="N34" s="99"/>
      <x:c r="O34" s="99"/>
      <x:c r="P34" s="99"/>
      <x:c r="Q34" s="99"/>
      <x:c r="R34" s="99"/>
      <x:c r="S34" s="99"/>
      <x:c r="T34" s="99"/>
      <x:c r="U34" s="99"/>
      <x:c r="V34" s="99"/>
      <x:c r="W34" s="99"/>
      <x:c r="X34" s="99"/>
      <x:c r="Y34" s="99"/>
      <x:c r="Z34" s="99"/>
    </x:row>
    <x:row r="35">
      <x:c r="A35" s="99"/>
      <x:c r="B35" s="99"/>
      <x:c r="C35" s="99"/>
      <x:c r="D35" s="99"/>
      <x:c r="E35" s="99"/>
      <x:c r="F35" s="99"/>
      <x:c r="G35" s="99"/>
      <x:c r="H35" s="99"/>
      <x:c r="I35" s="99"/>
      <x:c r="J35" s="99"/>
      <x:c r="K35" s="99"/>
      <x:c r="L35" s="99"/>
      <x:c r="M35" s="99"/>
      <x:c r="N35" s="99"/>
      <x:c r="O35" s="99"/>
      <x:c r="P35" s="99"/>
      <x:c r="Q35" s="99"/>
      <x:c r="R35" s="99"/>
      <x:c r="S35" s="99"/>
      <x:c r="T35" s="99"/>
      <x:c r="U35" s="99"/>
      <x:c r="V35" s="99"/>
      <x:c r="W35" s="99"/>
      <x:c r="X35" s="99"/>
      <x:c r="Y35" s="99"/>
      <x:c r="Z35" s="99"/>
    </x:row>
    <x:row r="36">
      <x:c r="A36" s="99"/>
      <x:c r="B36" s="99"/>
      <x:c r="C36" s="99"/>
      <x:c r="D36" s="99"/>
      <x:c r="E36" s="99"/>
      <x:c r="F36" s="99"/>
      <x:c r="G36" s="99"/>
      <x:c r="H36" s="99"/>
      <x:c r="I36" s="99"/>
      <x:c r="J36" s="99"/>
      <x:c r="K36" s="99"/>
      <x:c r="L36" s="99"/>
      <x:c r="M36" s="99"/>
      <x:c r="N36" s="99"/>
      <x:c r="O36" s="99"/>
      <x:c r="P36" s="99"/>
      <x:c r="Q36" s="99"/>
      <x:c r="R36" s="99"/>
      <x:c r="S36" s="99"/>
      <x:c r="T36" s="99"/>
      <x:c r="U36" s="99"/>
      <x:c r="V36" s="99"/>
      <x:c r="W36" s="99"/>
      <x:c r="X36" s="99"/>
      <x:c r="Y36" s="99"/>
      <x:c r="Z36" s="99"/>
    </x:row>
    <x:row r="37">
      <x:c r="A37" s="99"/>
      <x:c r="B37" s="99"/>
      <x:c r="C37" s="99"/>
      <x:c r="D37" s="99"/>
      <x:c r="E37" s="99"/>
      <x:c r="F37" s="99"/>
      <x:c r="G37" s="99"/>
      <x:c r="H37" s="99"/>
      <x:c r="I37" s="99"/>
      <x:c r="J37" s="99"/>
      <x:c r="K37" s="99"/>
      <x:c r="L37" s="99"/>
      <x:c r="M37" s="99"/>
      <x:c r="N37" s="99"/>
      <x:c r="O37" s="99"/>
      <x:c r="P37" s="99"/>
      <x:c r="Q37" s="99"/>
      <x:c r="R37" s="99"/>
      <x:c r="S37" s="99"/>
      <x:c r="T37" s="99"/>
      <x:c r="U37" s="99"/>
      <x:c r="V37" s="99"/>
      <x:c r="W37" s="99"/>
      <x:c r="X37" s="99"/>
      <x:c r="Y37" s="99"/>
      <x:c r="Z37" s="99"/>
    </x:row>
    <x:row r="38">
      <x:c r="A38" s="99"/>
      <x:c r="B38" s="99"/>
      <x:c r="C38" s="99"/>
      <x:c r="D38" s="99"/>
      <x:c r="E38" s="99"/>
      <x:c r="F38" s="99"/>
      <x:c r="G38" s="99"/>
      <x:c r="H38" s="99"/>
      <x:c r="I38" s="99"/>
      <x:c r="J38" s="99"/>
      <x:c r="K38" s="99"/>
      <x:c r="L38" s="99"/>
      <x:c r="M38" s="99"/>
      <x:c r="N38" s="99"/>
      <x:c r="O38" s="99"/>
      <x:c r="P38" s="99"/>
      <x:c r="Q38" s="99"/>
      <x:c r="R38" s="99"/>
      <x:c r="S38" s="99"/>
      <x:c r="T38" s="99"/>
      <x:c r="U38" s="99"/>
      <x:c r="V38" s="99"/>
      <x:c r="W38" s="99"/>
      <x:c r="X38" s="99"/>
      <x:c r="Y38" s="99"/>
      <x:c r="Z38" s="99"/>
    </x:row>
    <x:row r="39">
      <x:c r="A39" s="99"/>
      <x:c r="B39" s="99"/>
      <x:c r="C39" s="99"/>
      <x:c r="D39" s="99"/>
      <x:c r="E39" s="99"/>
      <x:c r="F39" s="99"/>
      <x:c r="G39" s="99"/>
      <x:c r="H39" s="99"/>
      <x:c r="I39" s="99"/>
      <x:c r="J39" s="99"/>
      <x:c r="K39" s="99"/>
      <x:c r="L39" s="99"/>
      <x:c r="M39" s="99"/>
      <x:c r="N39" s="99"/>
      <x:c r="O39" s="99"/>
      <x:c r="P39" s="99"/>
      <x:c r="Q39" s="99"/>
      <x:c r="R39" s="99"/>
      <x:c r="S39" s="99"/>
      <x:c r="T39" s="99"/>
      <x:c r="U39" s="99"/>
      <x:c r="V39" s="99"/>
      <x:c r="W39" s="99"/>
      <x:c r="X39" s="99"/>
      <x:c r="Y39" s="99"/>
      <x:c r="Z39" s="99"/>
    </x:row>
    <x:row r="40">
      <x:c r="A40" s="99"/>
      <x:c r="B40" s="99"/>
      <x:c r="C40" s="99"/>
      <x:c r="D40" s="99"/>
      <x:c r="E40" s="99"/>
      <x:c r="F40" s="99"/>
      <x:c r="G40" s="99"/>
      <x:c r="H40" s="99"/>
      <x:c r="I40" s="99"/>
      <x:c r="J40" s="99"/>
      <x:c r="K40" s="99"/>
      <x:c r="L40" s="99"/>
      <x:c r="M40" s="99"/>
      <x:c r="N40" s="99"/>
      <x:c r="O40" s="99"/>
      <x:c r="P40" s="99"/>
      <x:c r="Q40" s="99"/>
      <x:c r="R40" s="99"/>
      <x:c r="S40" s="99"/>
      <x:c r="T40" s="99"/>
      <x:c r="U40" s="99"/>
      <x:c r="V40" s="99"/>
      <x:c r="W40" s="99"/>
      <x:c r="X40" s="99"/>
      <x:c r="Y40" s="99"/>
      <x:c r="Z40" s="99"/>
    </x:row>
    <x:row r="41">
      <x:c r="A41" s="99"/>
      <x:c r="B41" s="99"/>
      <x:c r="C41" s="99"/>
      <x:c r="D41" s="99"/>
      <x:c r="E41" s="99"/>
      <x:c r="F41" s="99"/>
      <x:c r="G41" s="99"/>
      <x:c r="H41" s="99"/>
      <x:c r="I41" s="99"/>
      <x:c r="J41" s="99"/>
      <x:c r="K41" s="99"/>
      <x:c r="L41" s="99"/>
      <x:c r="M41" s="99"/>
      <x:c r="N41" s="99"/>
      <x:c r="O41" s="99"/>
      <x:c r="P41" s="99"/>
      <x:c r="Q41" s="99"/>
      <x:c r="R41" s="99"/>
      <x:c r="S41" s="99"/>
      <x:c r="T41" s="99"/>
      <x:c r="U41" s="99"/>
      <x:c r="V41" s="99"/>
      <x:c r="W41" s="99"/>
      <x:c r="X41" s="99"/>
      <x:c r="Y41" s="99"/>
      <x:c r="Z41" s="99"/>
    </x:row>
    <x:row r="42">
      <x:c r="A42" s="99"/>
      <x:c r="B42" s="99"/>
      <x:c r="C42" s="99"/>
      <x:c r="D42" s="99"/>
      <x:c r="E42" s="99"/>
      <x:c r="F42" s="99"/>
      <x:c r="G42" s="99"/>
      <x:c r="H42" s="99"/>
      <x:c r="I42" s="99"/>
      <x:c r="J42" s="99"/>
      <x:c r="K42" s="99"/>
      <x:c r="L42" s="99"/>
      <x:c r="M42" s="99"/>
      <x:c r="N42" s="99"/>
      <x:c r="O42" s="99"/>
      <x:c r="P42" s="99"/>
      <x:c r="Q42" s="99"/>
      <x:c r="R42" s="99"/>
      <x:c r="S42" s="99"/>
      <x:c r="T42" s="99"/>
      <x:c r="U42" s="99"/>
      <x:c r="V42" s="99"/>
      <x:c r="W42" s="99"/>
      <x:c r="X42" s="99"/>
      <x:c r="Y42" s="99"/>
      <x:c r="Z42" s="99"/>
    </x:row>
    <x:row r="43">
      <x:c r="A43" s="99"/>
      <x:c r="B43" s="99"/>
      <x:c r="C43" s="99"/>
      <x:c r="D43" s="99"/>
      <x:c r="E43" s="99"/>
      <x:c r="F43" s="99"/>
      <x:c r="G43" s="99"/>
      <x:c r="H43" s="99"/>
      <x:c r="I43" s="99"/>
      <x:c r="J43" s="99"/>
      <x:c r="K43" s="99"/>
      <x:c r="L43" s="99"/>
      <x:c r="M43" s="99"/>
      <x:c r="N43" s="99"/>
      <x:c r="O43" s="99"/>
      <x:c r="P43" s="99"/>
      <x:c r="Q43" s="99"/>
      <x:c r="R43" s="99"/>
      <x:c r="S43" s="99"/>
      <x:c r="T43" s="99"/>
      <x:c r="U43" s="99"/>
      <x:c r="V43" s="99"/>
      <x:c r="W43" s="99"/>
      <x:c r="X43" s="99"/>
      <x:c r="Y43" s="99"/>
      <x:c r="Z43" s="99"/>
    </x:row>
    <x:row r="44">
      <x:c r="A44" s="99"/>
      <x:c r="B44" s="99"/>
      <x:c r="C44" s="99"/>
      <x:c r="D44" s="99"/>
      <x:c r="E44" s="99"/>
      <x:c r="F44" s="99"/>
      <x:c r="G44" s="99"/>
      <x:c r="H44" s="99"/>
      <x:c r="I44" s="99"/>
      <x:c r="J44" s="99"/>
      <x:c r="K44" s="99"/>
      <x:c r="L44" s="99"/>
      <x:c r="M44" s="99"/>
      <x:c r="N44" s="99"/>
      <x:c r="O44" s="99"/>
      <x:c r="P44" s="99"/>
      <x:c r="Q44" s="99"/>
      <x:c r="R44" s="99"/>
      <x:c r="S44" s="99"/>
      <x:c r="T44" s="99"/>
      <x:c r="U44" s="99"/>
      <x:c r="V44" s="99"/>
      <x:c r="W44" s="99"/>
      <x:c r="X44" s="99"/>
      <x:c r="Y44" s="99"/>
      <x:c r="Z44" s="99"/>
    </x:row>
    <x:row r="45">
      <x:c r="A45" s="99"/>
      <x:c r="B45" s="99"/>
      <x:c r="C45" s="99"/>
      <x:c r="D45" s="99"/>
      <x:c r="E45" s="99"/>
      <x:c r="F45" s="99"/>
      <x:c r="G45" s="99"/>
      <x:c r="H45" s="99"/>
      <x:c r="I45" s="99"/>
      <x:c r="J45" s="99"/>
      <x:c r="K45" s="99"/>
      <x:c r="L45" s="99"/>
      <x:c r="M45" s="99"/>
      <x:c r="N45" s="99"/>
      <x:c r="O45" s="99"/>
      <x:c r="P45" s="99"/>
      <x:c r="Q45" s="99"/>
      <x:c r="R45" s="99"/>
      <x:c r="S45" s="99"/>
      <x:c r="T45" s="99"/>
      <x:c r="U45" s="99"/>
      <x:c r="V45" s="99"/>
      <x:c r="W45" s="99"/>
      <x:c r="X45" s="99"/>
      <x:c r="Y45" s="99"/>
      <x:c r="Z45" s="99"/>
    </x:row>
    <x:row r="46">
      <x:c r="A46" s="99"/>
      <x:c r="B46" s="99"/>
      <x:c r="C46" s="99"/>
      <x:c r="D46" s="99"/>
      <x:c r="E46" s="99"/>
      <x:c r="F46" s="99"/>
      <x:c r="G46" s="99"/>
      <x:c r="H46" s="99"/>
      <x:c r="I46" s="99"/>
      <x:c r="J46" s="99"/>
      <x:c r="K46" s="99"/>
      <x:c r="L46" s="99"/>
      <x:c r="M46" s="99"/>
      <x:c r="N46" s="99"/>
      <x:c r="O46" s="99"/>
      <x:c r="P46" s="99"/>
      <x:c r="Q46" s="99"/>
      <x:c r="R46" s="99"/>
      <x:c r="S46" s="99"/>
      <x:c r="T46" s="99"/>
      <x:c r="U46" s="99"/>
      <x:c r="V46" s="99"/>
      <x:c r="W46" s="99"/>
      <x:c r="X46" s="99"/>
      <x:c r="Y46" s="99"/>
      <x:c r="Z46" s="99"/>
    </x:row>
    <x:row r="47">
      <x:c r="A47" s="99"/>
      <x:c r="B47" s="99"/>
      <x:c r="C47" s="99"/>
      <x:c r="D47" s="99"/>
      <x:c r="E47" s="99"/>
      <x:c r="F47" s="99"/>
      <x:c r="G47" s="99"/>
      <x:c r="H47" s="99"/>
      <x:c r="I47" s="99"/>
      <x:c r="J47" s="99"/>
      <x:c r="K47" s="99"/>
      <x:c r="L47" s="99"/>
      <x:c r="M47" s="99"/>
      <x:c r="N47" s="99"/>
      <x:c r="O47" s="99"/>
      <x:c r="P47" s="99"/>
      <x:c r="Q47" s="99"/>
      <x:c r="R47" s="99"/>
      <x:c r="S47" s="99"/>
      <x:c r="T47" s="99"/>
      <x:c r="U47" s="99"/>
      <x:c r="V47" s="99"/>
      <x:c r="W47" s="99"/>
      <x:c r="X47" s="99"/>
      <x:c r="Y47" s="99"/>
      <x:c r="Z47" s="99"/>
    </x:row>
    <x:row r="48">
      <x:c r="A48" s="99"/>
      <x:c r="B48" s="99"/>
      <x:c r="C48" s="99"/>
      <x:c r="D48" s="99"/>
      <x:c r="E48" s="99"/>
      <x:c r="F48" s="99"/>
      <x:c r="G48" s="99"/>
      <x:c r="H48" s="99"/>
      <x:c r="I48" s="99"/>
      <x:c r="J48" s="99"/>
      <x:c r="K48" s="99"/>
      <x:c r="L48" s="99"/>
      <x:c r="M48" s="99"/>
      <x:c r="N48" s="99"/>
      <x:c r="O48" s="99"/>
      <x:c r="P48" s="99"/>
      <x:c r="Q48" s="99"/>
      <x:c r="R48" s="99"/>
      <x:c r="S48" s="99"/>
      <x:c r="T48" s="99"/>
      <x:c r="U48" s="99"/>
      <x:c r="V48" s="99"/>
      <x:c r="W48" s="99"/>
      <x:c r="X48" s="99"/>
      <x:c r="Y48" s="99"/>
      <x:c r="Z48" s="99"/>
    </x:row>
    <x:row r="49">
      <x:c r="A49" s="99"/>
      <x:c r="B49" s="99"/>
      <x:c r="C49" s="99"/>
      <x:c r="D49" s="99"/>
      <x:c r="E49" s="99"/>
      <x:c r="F49" s="99"/>
      <x:c r="G49" s="99"/>
      <x:c r="H49" s="99"/>
      <x:c r="I49" s="99"/>
      <x:c r="J49" s="99"/>
      <x:c r="K49" s="99"/>
      <x:c r="L49" s="99"/>
      <x:c r="M49" s="99"/>
      <x:c r="N49" s="99"/>
      <x:c r="O49" s="99"/>
      <x:c r="P49" s="99"/>
      <x:c r="Q49" s="99"/>
      <x:c r="R49" s="99"/>
      <x:c r="S49" s="99"/>
      <x:c r="T49" s="99"/>
      <x:c r="U49" s="99"/>
      <x:c r="V49" s="99"/>
      <x:c r="W49" s="99"/>
      <x:c r="X49" s="99"/>
      <x:c r="Y49" s="99"/>
      <x:c r="Z49" s="99"/>
    </x:row>
    <x:row r="50">
      <x:c r="A50" s="99"/>
      <x:c r="B50" s="99"/>
      <x:c r="C50" s="99"/>
      <x:c r="D50" s="99"/>
      <x:c r="E50" s="99"/>
      <x:c r="F50" s="99"/>
      <x:c r="G50" s="99"/>
      <x:c r="H50" s="99"/>
      <x:c r="I50" s="99"/>
      <x:c r="J50" s="99"/>
      <x:c r="K50" s="99"/>
      <x:c r="L50" s="99"/>
      <x:c r="M50" s="99"/>
      <x:c r="N50" s="99"/>
      <x:c r="O50" s="99"/>
      <x:c r="P50" s="99"/>
      <x:c r="Q50" s="99"/>
      <x:c r="R50" s="99"/>
      <x:c r="S50" s="99"/>
      <x:c r="T50" s="99"/>
      <x:c r="U50" s="99"/>
      <x:c r="V50" s="99"/>
      <x:c r="W50" s="99"/>
      <x:c r="X50" s="99"/>
      <x:c r="Y50" s="99"/>
      <x:c r="Z50" s="99"/>
    </x:row>
    <x:row r="51">
      <x:c r="A51" s="99"/>
      <x:c r="B51" s="99"/>
      <x:c r="C51" s="99"/>
      <x:c r="D51" s="99"/>
      <x:c r="E51" s="99"/>
      <x:c r="F51" s="99"/>
      <x:c r="G51" s="99"/>
      <x:c r="H51" s="99"/>
      <x:c r="I51" s="99"/>
      <x:c r="J51" s="99"/>
      <x:c r="K51" s="99"/>
      <x:c r="L51" s="99"/>
      <x:c r="M51" s="99"/>
      <x:c r="N51" s="99"/>
      <x:c r="O51" s="99"/>
      <x:c r="P51" s="99"/>
      <x:c r="Q51" s="99"/>
      <x:c r="R51" s="99"/>
      <x:c r="S51" s="99"/>
      <x:c r="T51" s="99"/>
      <x:c r="U51" s="99"/>
      <x:c r="V51" s="99"/>
      <x:c r="W51" s="99"/>
      <x:c r="X51" s="99"/>
      <x:c r="Y51" s="99"/>
      <x:c r="Z51" s="99"/>
    </x:row>
    <x:row r="52">
      <x:c r="A52" s="99"/>
      <x:c r="B52" s="99"/>
      <x:c r="C52" s="99"/>
      <x:c r="D52" s="99"/>
      <x:c r="E52" s="99"/>
      <x:c r="F52" s="99"/>
      <x:c r="G52" s="99"/>
      <x:c r="H52" s="99"/>
      <x:c r="I52" s="99"/>
      <x:c r="J52" s="99"/>
      <x:c r="K52" s="99"/>
      <x:c r="L52" s="99"/>
      <x:c r="M52" s="99"/>
      <x:c r="N52" s="99"/>
      <x:c r="O52" s="99"/>
      <x:c r="P52" s="99"/>
      <x:c r="Q52" s="99"/>
      <x:c r="R52" s="99"/>
      <x:c r="S52" s="99"/>
      <x:c r="T52" s="99"/>
      <x:c r="U52" s="99"/>
      <x:c r="V52" s="99"/>
      <x:c r="W52" s="99"/>
      <x:c r="X52" s="99"/>
      <x:c r="Y52" s="99"/>
      <x:c r="Z52" s="99"/>
    </x:row>
    <x:row r="53">
      <x:c r="A53" s="99"/>
      <x:c r="B53" s="99"/>
      <x:c r="C53" s="99"/>
      <x:c r="D53" s="99"/>
      <x:c r="E53" s="99"/>
      <x:c r="F53" s="99"/>
      <x:c r="G53" s="99"/>
      <x:c r="H53" s="99"/>
      <x:c r="I53" s="99"/>
      <x:c r="J53" s="99"/>
      <x:c r="K53" s="99"/>
      <x:c r="L53" s="99"/>
      <x:c r="M53" s="99"/>
      <x:c r="N53" s="99"/>
      <x:c r="O53" s="99"/>
      <x:c r="P53" s="99"/>
      <x:c r="Q53" s="99"/>
      <x:c r="R53" s="99"/>
      <x:c r="S53" s="99"/>
      <x:c r="T53" s="99"/>
      <x:c r="U53" s="99"/>
      <x:c r="V53" s="99"/>
      <x:c r="W53" s="99"/>
      <x:c r="X53" s="99"/>
      <x:c r="Y53" s="99"/>
      <x:c r="Z53" s="99"/>
    </x:row>
    <x:row r="54">
      <x:c r="A54" s="99"/>
      <x:c r="B54" s="99"/>
      <x:c r="C54" s="99"/>
      <x:c r="D54" s="99"/>
      <x:c r="E54" s="99"/>
      <x:c r="F54" s="99"/>
      <x:c r="G54" s="99"/>
      <x:c r="H54" s="99"/>
      <x:c r="I54" s="99"/>
      <x:c r="J54" s="99"/>
      <x:c r="K54" s="99"/>
      <x:c r="L54" s="99"/>
      <x:c r="M54" s="99"/>
      <x:c r="N54" s="99"/>
      <x:c r="O54" s="99"/>
      <x:c r="P54" s="99"/>
      <x:c r="Q54" s="99"/>
      <x:c r="R54" s="99"/>
      <x:c r="S54" s="99"/>
      <x:c r="T54" s="99"/>
      <x:c r="U54" s="99"/>
      <x:c r="V54" s="99"/>
      <x:c r="W54" s="99"/>
      <x:c r="X54" s="99"/>
      <x:c r="Y54" s="99"/>
      <x:c r="Z54" s="99"/>
    </x:row>
    <x:row r="55">
      <x:c r="A55" s="99"/>
      <x:c r="B55" s="99"/>
      <x:c r="C55" s="99"/>
      <x:c r="D55" s="99"/>
      <x:c r="E55" s="99"/>
      <x:c r="F55" s="99"/>
      <x:c r="G55" s="99"/>
      <x:c r="H55" s="99"/>
      <x:c r="I55" s="99"/>
      <x:c r="J55" s="99"/>
      <x:c r="K55" s="99"/>
      <x:c r="L55" s="99"/>
      <x:c r="M55" s="99"/>
      <x:c r="N55" s="99"/>
      <x:c r="O55" s="99"/>
      <x:c r="P55" s="99"/>
      <x:c r="Q55" s="99"/>
      <x:c r="R55" s="99"/>
      <x:c r="S55" s="99"/>
      <x:c r="T55" s="99"/>
      <x:c r="U55" s="99"/>
      <x:c r="V55" s="99"/>
      <x:c r="W55" s="99"/>
      <x:c r="X55" s="99"/>
      <x:c r="Y55" s="99"/>
      <x:c r="Z55" s="99"/>
    </x:row>
    <x:row r="56">
      <x:c r="A56" s="99"/>
      <x:c r="B56" s="99"/>
      <x:c r="C56" s="99"/>
      <x:c r="D56" s="99"/>
      <x:c r="E56" s="99"/>
      <x:c r="F56" s="99"/>
      <x:c r="G56" s="99"/>
      <x:c r="H56" s="99"/>
      <x:c r="I56" s="99"/>
      <x:c r="J56" s="99"/>
      <x:c r="K56" s="99"/>
      <x:c r="L56" s="99"/>
      <x:c r="M56" s="99"/>
      <x:c r="N56" s="99"/>
      <x:c r="O56" s="99"/>
      <x:c r="P56" s="99"/>
      <x:c r="Q56" s="99"/>
      <x:c r="R56" s="99"/>
      <x:c r="S56" s="99"/>
      <x:c r="T56" s="99"/>
      <x:c r="U56" s="99"/>
      <x:c r="V56" s="99"/>
      <x:c r="W56" s="99"/>
      <x:c r="X56" s="99"/>
      <x:c r="Y56" s="99"/>
      <x:c r="Z56" s="99"/>
    </x:row>
    <x:row r="57">
      <x:c r="A57" s="99"/>
      <x:c r="B57" s="99"/>
      <x:c r="C57" s="99"/>
      <x:c r="D57" s="99"/>
      <x:c r="E57" s="99"/>
      <x:c r="F57" s="99"/>
      <x:c r="G57" s="99"/>
      <x:c r="H57" s="99"/>
      <x:c r="I57" s="99"/>
      <x:c r="J57" s="99"/>
      <x:c r="K57" s="99"/>
      <x:c r="L57" s="99"/>
      <x:c r="M57" s="99"/>
      <x:c r="N57" s="99"/>
      <x:c r="O57" s="99"/>
      <x:c r="P57" s="99"/>
      <x:c r="Q57" s="99"/>
      <x:c r="R57" s="99"/>
      <x:c r="S57" s="99"/>
      <x:c r="T57" s="99"/>
      <x:c r="U57" s="99"/>
      <x:c r="V57" s="99"/>
      <x:c r="W57" s="99"/>
      <x:c r="X57" s="99"/>
      <x:c r="Y57" s="99"/>
      <x:c r="Z57" s="99"/>
    </x:row>
    <x:row r="58">
      <x:c r="A58" s="99"/>
      <x:c r="B58" s="99"/>
      <x:c r="C58" s="99"/>
      <x:c r="D58" s="99"/>
      <x:c r="E58" s="99"/>
      <x:c r="F58" s="99"/>
      <x:c r="G58" s="99"/>
      <x:c r="H58" s="99"/>
      <x:c r="I58" s="99"/>
      <x:c r="J58" s="99"/>
      <x:c r="K58" s="99"/>
      <x:c r="L58" s="99"/>
      <x:c r="M58" s="99"/>
      <x:c r="N58" s="99"/>
      <x:c r="O58" s="99"/>
      <x:c r="P58" s="99"/>
      <x:c r="Q58" s="99"/>
      <x:c r="R58" s="99"/>
      <x:c r="S58" s="99"/>
      <x:c r="T58" s="99"/>
      <x:c r="U58" s="99"/>
      <x:c r="V58" s="99"/>
      <x:c r="W58" s="99"/>
      <x:c r="X58" s="99"/>
      <x:c r="Y58" s="99"/>
      <x:c r="Z58" s="99"/>
    </x:row>
    <x:row r="59">
      <x:c r="A59" s="99"/>
      <x:c r="B59" s="99"/>
      <x:c r="C59" s="99"/>
      <x:c r="D59" s="99"/>
      <x:c r="E59" s="99"/>
      <x:c r="F59" s="99"/>
      <x:c r="G59" s="99"/>
      <x:c r="H59" s="99"/>
      <x:c r="I59" s="99"/>
      <x:c r="J59" s="99"/>
      <x:c r="K59" s="99"/>
      <x:c r="L59" s="99"/>
      <x:c r="M59" s="99"/>
      <x:c r="N59" s="99"/>
      <x:c r="O59" s="99"/>
      <x:c r="P59" s="99"/>
      <x:c r="Q59" s="99"/>
      <x:c r="R59" s="99"/>
      <x:c r="S59" s="99"/>
      <x:c r="T59" s="99"/>
      <x:c r="U59" s="99"/>
      <x:c r="V59" s="99"/>
      <x:c r="W59" s="99"/>
      <x:c r="X59" s="99"/>
      <x:c r="Y59" s="99"/>
      <x:c r="Z59" s="99"/>
    </x:row>
    <x:row r="60">
      <x:c r="A60" s="99"/>
      <x:c r="B60" s="99"/>
      <x:c r="C60" s="99"/>
      <x:c r="D60" s="99"/>
      <x:c r="E60" s="99"/>
      <x:c r="F60" s="99"/>
      <x:c r="G60" s="99"/>
      <x:c r="H60" s="99"/>
      <x:c r="I60" s="99"/>
      <x:c r="J60" s="99"/>
      <x:c r="K60" s="99"/>
      <x:c r="L60" s="99"/>
      <x:c r="M60" s="99"/>
      <x:c r="N60" s="99"/>
      <x:c r="O60" s="99"/>
      <x:c r="P60" s="99"/>
      <x:c r="Q60" s="99"/>
      <x:c r="R60" s="99"/>
      <x:c r="S60" s="99"/>
      <x:c r="T60" s="99"/>
      <x:c r="U60" s="99"/>
      <x:c r="V60" s="99"/>
      <x:c r="W60" s="99"/>
      <x:c r="X60" s="99"/>
      <x:c r="Y60" s="99"/>
      <x:c r="Z60" s="99"/>
    </x:row>
    <x:row r="61">
      <x:c r="A61" s="99"/>
      <x:c r="B61" s="99"/>
      <x:c r="C61" s="99"/>
      <x:c r="D61" s="99"/>
      <x:c r="E61" s="99"/>
      <x:c r="F61" s="99"/>
      <x:c r="G61" s="99"/>
      <x:c r="H61" s="99"/>
      <x:c r="I61" s="99"/>
      <x:c r="J61" s="99"/>
      <x:c r="K61" s="99"/>
      <x:c r="L61" s="99"/>
      <x:c r="M61" s="99"/>
      <x:c r="N61" s="99"/>
      <x:c r="O61" s="99"/>
      <x:c r="P61" s="99"/>
      <x:c r="Q61" s="99"/>
      <x:c r="R61" s="99"/>
      <x:c r="S61" s="99"/>
      <x:c r="T61" s="99"/>
      <x:c r="U61" s="99"/>
      <x:c r="V61" s="99"/>
      <x:c r="W61" s="99"/>
      <x:c r="X61" s="99"/>
      <x:c r="Y61" s="99"/>
      <x:c r="Z61" s="99"/>
    </x:row>
    <x:row r="62">
      <x:c r="A62" s="99"/>
      <x:c r="B62" s="99"/>
      <x:c r="C62" s="99"/>
      <x:c r="D62" s="99"/>
      <x:c r="E62" s="99"/>
      <x:c r="F62" s="99"/>
      <x:c r="G62" s="99"/>
      <x:c r="H62" s="99"/>
      <x:c r="I62" s="99"/>
      <x:c r="J62" s="99"/>
      <x:c r="K62" s="99"/>
      <x:c r="L62" s="99"/>
      <x:c r="M62" s="99"/>
      <x:c r="N62" s="99"/>
      <x:c r="O62" s="99"/>
      <x:c r="P62" s="99"/>
      <x:c r="Q62" s="99"/>
      <x:c r="R62" s="99"/>
      <x:c r="S62" s="99"/>
      <x:c r="T62" s="99"/>
      <x:c r="U62" s="99"/>
      <x:c r="V62" s="99"/>
      <x:c r="W62" s="99"/>
      <x:c r="X62" s="99"/>
      <x:c r="Y62" s="99"/>
      <x:c r="Z62" s="99"/>
    </x:row>
    <x:row r="63">
      <x:c r="A63" s="99"/>
      <x:c r="B63" s="99"/>
      <x:c r="C63" s="99"/>
      <x:c r="D63" s="99"/>
      <x:c r="E63" s="99"/>
      <x:c r="F63" s="99"/>
      <x:c r="G63" s="99"/>
      <x:c r="H63" s="99"/>
      <x:c r="I63" s="99"/>
      <x:c r="J63" s="99"/>
      <x:c r="K63" s="99"/>
      <x:c r="L63" s="99"/>
      <x:c r="M63" s="99"/>
      <x:c r="N63" s="99"/>
      <x:c r="O63" s="99"/>
      <x:c r="P63" s="99"/>
      <x:c r="Q63" s="99"/>
      <x:c r="R63" s="99"/>
      <x:c r="S63" s="99"/>
      <x:c r="T63" s="99"/>
      <x:c r="U63" s="99"/>
      <x:c r="V63" s="99"/>
      <x:c r="W63" s="99"/>
      <x:c r="X63" s="99"/>
      <x:c r="Y63" s="99"/>
      <x:c r="Z63" s="99"/>
    </x:row>
    <x:row r="64">
      <x:c r="A64" s="99"/>
      <x:c r="B64" s="99"/>
      <x:c r="C64" s="99"/>
      <x:c r="D64" s="99"/>
      <x:c r="E64" s="99"/>
      <x:c r="F64" s="99"/>
      <x:c r="G64" s="99"/>
      <x:c r="H64" s="99"/>
      <x:c r="I64" s="99"/>
      <x:c r="J64" s="99"/>
      <x:c r="K64" s="99"/>
      <x:c r="L64" s="99"/>
      <x:c r="M64" s="99"/>
      <x:c r="N64" s="99"/>
      <x:c r="O64" s="99"/>
      <x:c r="P64" s="99"/>
      <x:c r="Q64" s="99"/>
      <x:c r="R64" s="99"/>
      <x:c r="S64" s="99"/>
      <x:c r="T64" s="99"/>
      <x:c r="U64" s="99"/>
      <x:c r="V64" s="99"/>
      <x:c r="W64" s="99"/>
      <x:c r="X64" s="99"/>
      <x:c r="Y64" s="99"/>
      <x:c r="Z64" s="99"/>
    </x:row>
    <x:row r="65">
      <x:c r="A65" s="99"/>
      <x:c r="B65" s="99"/>
      <x:c r="C65" s="99"/>
      <x:c r="D65" s="99"/>
      <x:c r="E65" s="99"/>
      <x:c r="F65" s="99"/>
      <x:c r="G65" s="99"/>
      <x:c r="H65" s="99"/>
      <x:c r="I65" s="99"/>
      <x:c r="J65" s="99"/>
      <x:c r="K65" s="99"/>
      <x:c r="L65" s="99"/>
      <x:c r="M65" s="99"/>
      <x:c r="N65" s="99"/>
      <x:c r="O65" s="99"/>
      <x:c r="P65" s="99"/>
      <x:c r="Q65" s="99"/>
      <x:c r="R65" s="99"/>
      <x:c r="S65" s="99"/>
      <x:c r="T65" s="99"/>
      <x:c r="U65" s="99"/>
      <x:c r="V65" s="99"/>
      <x:c r="W65" s="99"/>
      <x:c r="X65" s="99"/>
      <x:c r="Y65" s="99"/>
      <x:c r="Z65" s="99"/>
    </x:row>
    <x:row r="66">
      <x:c r="A66" s="99"/>
      <x:c r="B66" s="99"/>
      <x:c r="C66" s="99"/>
      <x:c r="D66" s="99"/>
      <x:c r="E66" s="99"/>
      <x:c r="F66" s="99"/>
      <x:c r="G66" s="99"/>
      <x:c r="H66" s="99"/>
      <x:c r="I66" s="99"/>
      <x:c r="J66" s="99"/>
      <x:c r="K66" s="99"/>
      <x:c r="L66" s="99"/>
      <x:c r="M66" s="99"/>
      <x:c r="N66" s="99"/>
      <x:c r="O66" s="99"/>
      <x:c r="P66" s="99"/>
      <x:c r="Q66" s="99"/>
      <x:c r="R66" s="99"/>
      <x:c r="S66" s="99"/>
      <x:c r="T66" s="99"/>
      <x:c r="U66" s="99"/>
      <x:c r="V66" s="99"/>
      <x:c r="W66" s="99"/>
      <x:c r="X66" s="99"/>
      <x:c r="Y66" s="99"/>
      <x:c r="Z66" s="99"/>
    </x:row>
    <x:row r="67">
      <x:c r="A67" s="99"/>
      <x:c r="B67" s="99"/>
      <x:c r="C67" s="99"/>
      <x:c r="D67" s="99"/>
      <x:c r="E67" s="99"/>
      <x:c r="F67" s="99"/>
      <x:c r="G67" s="99"/>
      <x:c r="H67" s="99"/>
      <x:c r="I67" s="99"/>
      <x:c r="J67" s="99"/>
      <x:c r="K67" s="99"/>
      <x:c r="L67" s="99"/>
      <x:c r="M67" s="99"/>
      <x:c r="N67" s="99"/>
      <x:c r="O67" s="99"/>
      <x:c r="P67" s="99"/>
      <x:c r="Q67" s="99"/>
      <x:c r="R67" s="99"/>
      <x:c r="S67" s="99"/>
      <x:c r="T67" s="99"/>
      <x:c r="U67" s="99"/>
      <x:c r="V67" s="99"/>
      <x:c r="W67" s="99"/>
      <x:c r="X67" s="99"/>
      <x:c r="Y67" s="99"/>
      <x:c r="Z67" s="99"/>
    </x:row>
    <x:row r="68">
      <x:c r="A68" s="99"/>
      <x:c r="B68" s="99"/>
      <x:c r="C68" s="99"/>
      <x:c r="D68" s="99"/>
      <x:c r="E68" s="99"/>
      <x:c r="F68" s="99"/>
      <x:c r="G68" s="99"/>
      <x:c r="H68" s="99"/>
      <x:c r="I68" s="99"/>
      <x:c r="J68" s="99"/>
      <x:c r="K68" s="99"/>
      <x:c r="L68" s="99"/>
      <x:c r="M68" s="99"/>
      <x:c r="N68" s="99"/>
      <x:c r="O68" s="99"/>
      <x:c r="P68" s="99"/>
      <x:c r="Q68" s="99"/>
      <x:c r="R68" s="99"/>
      <x:c r="S68" s="99"/>
      <x:c r="T68" s="99"/>
      <x:c r="U68" s="99"/>
      <x:c r="V68" s="99"/>
      <x:c r="W68" s="99"/>
      <x:c r="X68" s="99"/>
      <x:c r="Y68" s="99"/>
      <x:c r="Z68" s="99"/>
    </x:row>
    <x:row r="69">
      <x:c r="A69" s="99"/>
      <x:c r="B69" s="99"/>
      <x:c r="C69" s="99"/>
      <x:c r="D69" s="99"/>
      <x:c r="E69" s="99"/>
      <x:c r="F69" s="99"/>
      <x:c r="G69" s="99"/>
      <x:c r="H69" s="99"/>
      <x:c r="I69" s="99"/>
      <x:c r="J69" s="99"/>
      <x:c r="K69" s="99"/>
      <x:c r="L69" s="99"/>
      <x:c r="M69" s="99"/>
      <x:c r="N69" s="99"/>
      <x:c r="O69" s="99"/>
      <x:c r="P69" s="99"/>
      <x:c r="Q69" s="99"/>
      <x:c r="R69" s="99"/>
      <x:c r="S69" s="99"/>
      <x:c r="T69" s="99"/>
      <x:c r="U69" s="99"/>
      <x:c r="V69" s="99"/>
      <x:c r="W69" s="99"/>
      <x:c r="X69" s="99"/>
      <x:c r="Y69" s="99"/>
      <x:c r="Z69" s="99"/>
    </x:row>
    <x:row r="70">
      <x:c r="A70" s="99"/>
      <x:c r="B70" s="99"/>
      <x:c r="C70" s="99"/>
      <x:c r="D70" s="99"/>
      <x:c r="E70" s="99"/>
      <x:c r="F70" s="99"/>
      <x:c r="G70" s="99"/>
      <x:c r="H70" s="99"/>
      <x:c r="I70" s="99"/>
      <x:c r="J70" s="99"/>
      <x:c r="K70" s="99"/>
      <x:c r="L70" s="99"/>
      <x:c r="M70" s="99"/>
      <x:c r="N70" s="99"/>
      <x:c r="O70" s="99"/>
      <x:c r="P70" s="99"/>
      <x:c r="Q70" s="99"/>
      <x:c r="R70" s="99"/>
      <x:c r="S70" s="99"/>
      <x:c r="T70" s="99"/>
      <x:c r="U70" s="99"/>
      <x:c r="V70" s="99"/>
      <x:c r="W70" s="99"/>
      <x:c r="X70" s="99"/>
      <x:c r="Y70" s="99"/>
      <x:c r="Z70" s="99"/>
    </x:row>
    <x:row r="71">
      <x:c r="A71" s="99"/>
      <x:c r="B71" s="99"/>
      <x:c r="C71" s="99"/>
      <x:c r="D71" s="99"/>
      <x:c r="E71" s="99"/>
      <x:c r="F71" s="99"/>
      <x:c r="G71" s="99"/>
      <x:c r="H71" s="99"/>
      <x:c r="I71" s="99"/>
      <x:c r="J71" s="99"/>
      <x:c r="K71" s="99"/>
      <x:c r="L71" s="99"/>
      <x:c r="M71" s="99"/>
      <x:c r="N71" s="99"/>
      <x:c r="O71" s="99"/>
      <x:c r="P71" s="99"/>
      <x:c r="Q71" s="99"/>
      <x:c r="R71" s="99"/>
      <x:c r="S71" s="99"/>
      <x:c r="T71" s="99"/>
      <x:c r="U71" s="99"/>
      <x:c r="V71" s="99"/>
      <x:c r="W71" s="99"/>
      <x:c r="X71" s="99"/>
      <x:c r="Y71" s="99"/>
      <x:c r="Z71" s="99"/>
    </x:row>
    <x:row r="72">
      <x:c r="A72" s="99"/>
      <x:c r="B72" s="99"/>
      <x:c r="C72" s="99"/>
      <x:c r="D72" s="99"/>
      <x:c r="E72" s="99"/>
      <x:c r="F72" s="99"/>
      <x:c r="G72" s="99"/>
      <x:c r="H72" s="99"/>
      <x:c r="I72" s="99"/>
      <x:c r="J72" s="99"/>
      <x:c r="K72" s="99"/>
      <x:c r="L72" s="99"/>
      <x:c r="M72" s="99"/>
      <x:c r="N72" s="99"/>
      <x:c r="O72" s="99"/>
      <x:c r="P72" s="99"/>
      <x:c r="Q72" s="99"/>
      <x:c r="R72" s="99"/>
      <x:c r="S72" s="99"/>
      <x:c r="T72" s="99"/>
      <x:c r="U72" s="99"/>
      <x:c r="V72" s="99"/>
      <x:c r="W72" s="99"/>
      <x:c r="X72" s="99"/>
      <x:c r="Y72" s="99"/>
      <x:c r="Z72" s="99"/>
    </x:row>
    <x:row r="73">
      <x:c r="A73" s="99"/>
      <x:c r="B73" s="99"/>
      <x:c r="C73" s="99"/>
      <x:c r="D73" s="99"/>
      <x:c r="E73" s="99"/>
      <x:c r="F73" s="99"/>
      <x:c r="G73" s="99"/>
      <x:c r="H73" s="99"/>
      <x:c r="I73" s="99"/>
      <x:c r="J73" s="99"/>
      <x:c r="K73" s="99"/>
      <x:c r="L73" s="99"/>
      <x:c r="M73" s="99"/>
      <x:c r="N73" s="99"/>
      <x:c r="O73" s="99"/>
      <x:c r="P73" s="99"/>
      <x:c r="Q73" s="99"/>
      <x:c r="R73" s="99"/>
      <x:c r="S73" s="99"/>
      <x:c r="T73" s="99"/>
      <x:c r="U73" s="99"/>
      <x:c r="V73" s="99"/>
      <x:c r="W73" s="99"/>
      <x:c r="X73" s="99"/>
      <x:c r="Y73" s="99"/>
      <x:c r="Z73" s="99"/>
    </x:row>
    <x:row r="74">
      <x:c r="A74" s="99"/>
      <x:c r="B74" s="99"/>
      <x:c r="C74" s="99"/>
      <x:c r="D74" s="99"/>
      <x:c r="E74" s="99"/>
      <x:c r="F74" s="99"/>
      <x:c r="G74" s="99"/>
      <x:c r="H74" s="99"/>
      <x:c r="I74" s="99"/>
      <x:c r="J74" s="99"/>
      <x:c r="K74" s="99"/>
      <x:c r="L74" s="99"/>
      <x:c r="M74" s="99"/>
      <x:c r="N74" s="99"/>
      <x:c r="O74" s="99"/>
      <x:c r="P74" s="99"/>
      <x:c r="Q74" s="99"/>
      <x:c r="R74" s="99"/>
      <x:c r="S74" s="99"/>
      <x:c r="T74" s="99"/>
      <x:c r="U74" s="99"/>
      <x:c r="V74" s="99"/>
      <x:c r="W74" s="99"/>
      <x:c r="X74" s="99"/>
      <x:c r="Y74" s="99"/>
      <x:c r="Z74" s="99"/>
    </x:row>
    <x:row r="75">
      <x:c r="A75" s="99"/>
      <x:c r="B75" s="99"/>
      <x:c r="C75" s="99"/>
      <x:c r="D75" s="99"/>
      <x:c r="E75" s="99"/>
      <x:c r="F75" s="99"/>
      <x:c r="G75" s="99"/>
      <x:c r="H75" s="99"/>
      <x:c r="I75" s="99"/>
      <x:c r="J75" s="99"/>
      <x:c r="K75" s="99"/>
      <x:c r="L75" s="99"/>
      <x:c r="M75" s="99"/>
      <x:c r="N75" s="99"/>
      <x:c r="O75" s="99"/>
      <x:c r="P75" s="99"/>
      <x:c r="Q75" s="99"/>
      <x:c r="R75" s="99"/>
      <x:c r="S75" s="99"/>
      <x:c r="T75" s="99"/>
      <x:c r="U75" s="99"/>
      <x:c r="V75" s="99"/>
      <x:c r="W75" s="99"/>
      <x:c r="X75" s="99"/>
      <x:c r="Y75" s="99"/>
      <x:c r="Z75" s="99"/>
    </x:row>
    <x:row r="76">
      <x:c r="A76" s="99"/>
      <x:c r="B76" s="99"/>
      <x:c r="C76" s="99"/>
      <x:c r="D76" s="99"/>
      <x:c r="E76" s="99"/>
      <x:c r="F76" s="99"/>
      <x:c r="G76" s="99"/>
      <x:c r="H76" s="99"/>
      <x:c r="I76" s="99"/>
      <x:c r="J76" s="99"/>
      <x:c r="K76" s="99"/>
      <x:c r="L76" s="99"/>
      <x:c r="M76" s="99"/>
      <x:c r="N76" s="99"/>
      <x:c r="O76" s="99"/>
      <x:c r="P76" s="99"/>
      <x:c r="Q76" s="99"/>
      <x:c r="R76" s="99"/>
      <x:c r="S76" s="99"/>
      <x:c r="T76" s="99"/>
      <x:c r="U76" s="99"/>
      <x:c r="V76" s="99"/>
      <x:c r="W76" s="99"/>
      <x:c r="X76" s="99"/>
      <x:c r="Y76" s="99"/>
      <x:c r="Z76" s="99"/>
    </x:row>
    <x:row r="77">
      <x:c r="A77" s="99"/>
      <x:c r="B77" s="99"/>
      <x:c r="C77" s="99"/>
      <x:c r="D77" s="99"/>
      <x:c r="E77" s="99"/>
      <x:c r="F77" s="99"/>
      <x:c r="G77" s="99"/>
      <x:c r="H77" s="99"/>
      <x:c r="I77" s="99"/>
      <x:c r="J77" s="99"/>
      <x:c r="K77" s="99"/>
      <x:c r="L77" s="99"/>
      <x:c r="M77" s="99"/>
      <x:c r="N77" s="99"/>
      <x:c r="O77" s="99"/>
      <x:c r="P77" s="99"/>
      <x:c r="Q77" s="99"/>
      <x:c r="R77" s="99"/>
      <x:c r="S77" s="99"/>
      <x:c r="T77" s="99"/>
      <x:c r="U77" s="99"/>
      <x:c r="V77" s="99"/>
      <x:c r="W77" s="99"/>
      <x:c r="X77" s="99"/>
      <x:c r="Y77" s="99"/>
      <x:c r="Z77" s="99"/>
    </x:row>
    <x:row r="78">
      <x:c r="A78" s="99"/>
      <x:c r="B78" s="99"/>
      <x:c r="C78" s="99"/>
      <x:c r="D78" s="99"/>
      <x:c r="E78" s="99"/>
      <x:c r="F78" s="99"/>
      <x:c r="G78" s="99"/>
      <x:c r="H78" s="99"/>
      <x:c r="I78" s="99"/>
      <x:c r="J78" s="99"/>
      <x:c r="K78" s="99"/>
      <x:c r="L78" s="99"/>
      <x:c r="M78" s="99"/>
      <x:c r="N78" s="99"/>
      <x:c r="O78" s="99"/>
      <x:c r="P78" s="99"/>
      <x:c r="Q78" s="99"/>
      <x:c r="R78" s="99"/>
      <x:c r="S78" s="99"/>
      <x:c r="T78" s="99"/>
      <x:c r="U78" s="99"/>
      <x:c r="V78" s="99"/>
      <x:c r="W78" s="99"/>
      <x:c r="X78" s="99"/>
      <x:c r="Y78" s="99"/>
      <x:c r="Z78" s="99"/>
    </x:row>
    <x:row r="79">
      <x:c r="A79" s="99"/>
      <x:c r="B79" s="99"/>
      <x:c r="C79" s="99"/>
      <x:c r="D79" s="99"/>
      <x:c r="E79" s="99"/>
      <x:c r="F79" s="99"/>
      <x:c r="G79" s="99"/>
      <x:c r="H79" s="99"/>
      <x:c r="I79" s="99"/>
      <x:c r="J79" s="99"/>
      <x:c r="K79" s="99"/>
      <x:c r="L79" s="99"/>
      <x:c r="M79" s="99"/>
      <x:c r="N79" s="99"/>
      <x:c r="O79" s="99"/>
      <x:c r="P79" s="99"/>
      <x:c r="Q79" s="99"/>
      <x:c r="R79" s="99"/>
      <x:c r="S79" s="99"/>
      <x:c r="T79" s="99"/>
      <x:c r="U79" s="99"/>
      <x:c r="V79" s="99"/>
      <x:c r="W79" s="99"/>
      <x:c r="X79" s="99"/>
      <x:c r="Y79" s="99"/>
      <x:c r="Z79" s="99"/>
    </x:row>
    <x:row r="80">
      <x:c r="A80" s="99"/>
      <x:c r="B80" s="99"/>
      <x:c r="C80" s="99"/>
      <x:c r="D80" s="99"/>
      <x:c r="E80" s="99"/>
      <x:c r="F80" s="99"/>
      <x:c r="G80" s="99"/>
      <x:c r="H80" s="99"/>
      <x:c r="I80" s="99"/>
      <x:c r="J80" s="99"/>
      <x:c r="K80" s="99"/>
      <x:c r="L80" s="99"/>
      <x:c r="M80" s="99"/>
      <x:c r="N80" s="99"/>
      <x:c r="O80" s="99"/>
      <x:c r="P80" s="99"/>
      <x:c r="Q80" s="99"/>
      <x:c r="R80" s="99"/>
      <x:c r="S80" s="99"/>
      <x:c r="T80" s="99"/>
      <x:c r="U80" s="99"/>
      <x:c r="V80" s="99"/>
      <x:c r="W80" s="99"/>
      <x:c r="X80" s="99"/>
      <x:c r="Y80" s="99"/>
      <x:c r="Z80" s="99"/>
    </x:row>
    <x:row r="81">
      <x:c r="A81" s="99"/>
      <x:c r="B81" s="99"/>
      <x:c r="C81" s="99"/>
      <x:c r="D81" s="99"/>
      <x:c r="E81" s="99"/>
      <x:c r="F81" s="99"/>
      <x:c r="G81" s="99"/>
      <x:c r="H81" s="99"/>
      <x:c r="I81" s="99"/>
      <x:c r="J81" s="99"/>
      <x:c r="K81" s="99"/>
      <x:c r="L81" s="99"/>
      <x:c r="M81" s="99"/>
      <x:c r="N81" s="99"/>
      <x:c r="O81" s="99"/>
      <x:c r="P81" s="99"/>
      <x:c r="Q81" s="99"/>
      <x:c r="R81" s="99"/>
      <x:c r="S81" s="99"/>
      <x:c r="T81" s="99"/>
      <x:c r="U81" s="99"/>
      <x:c r="V81" s="99"/>
      <x:c r="W81" s="99"/>
      <x:c r="X81" s="99"/>
      <x:c r="Y81" s="99"/>
      <x:c r="Z81" s="99"/>
    </x:row>
    <x:row r="82">
      <x:c r="A82" s="99"/>
      <x:c r="B82" s="99"/>
      <x:c r="C82" s="99"/>
      <x:c r="D82" s="99"/>
      <x:c r="E82" s="99"/>
      <x:c r="F82" s="99"/>
      <x:c r="G82" s="99"/>
      <x:c r="H82" s="99"/>
      <x:c r="I82" s="99"/>
      <x:c r="J82" s="99"/>
      <x:c r="K82" s="99"/>
      <x:c r="L82" s="99"/>
      <x:c r="M82" s="99"/>
      <x:c r="N82" s="99"/>
      <x:c r="O82" s="99"/>
      <x:c r="P82" s="99"/>
      <x:c r="Q82" s="99"/>
      <x:c r="R82" s="99"/>
      <x:c r="S82" s="99"/>
      <x:c r="T82" s="99"/>
      <x:c r="U82" s="99"/>
      <x:c r="V82" s="99"/>
      <x:c r="W82" s="99"/>
      <x:c r="X82" s="99"/>
      <x:c r="Y82" s="99"/>
      <x:c r="Z82" s="99"/>
    </x:row>
    <x:row r="83">
      <x:c r="A83" s="99"/>
      <x:c r="B83" s="99"/>
      <x:c r="C83" s="99"/>
      <x:c r="D83" s="99"/>
      <x:c r="E83" s="99"/>
      <x:c r="F83" s="99"/>
      <x:c r="G83" s="99"/>
      <x:c r="H83" s="99"/>
      <x:c r="I83" s="99"/>
      <x:c r="J83" s="99"/>
      <x:c r="K83" s="99"/>
      <x:c r="L83" s="99"/>
      <x:c r="M83" s="99"/>
      <x:c r="N83" s="99"/>
      <x:c r="O83" s="99"/>
      <x:c r="P83" s="99"/>
      <x:c r="Q83" s="99"/>
      <x:c r="R83" s="99"/>
      <x:c r="S83" s="99"/>
      <x:c r="T83" s="99"/>
      <x:c r="U83" s="99"/>
      <x:c r="V83" s="99"/>
      <x:c r="W83" s="99"/>
      <x:c r="X83" s="99"/>
      <x:c r="Y83" s="99"/>
      <x:c r="Z83" s="99"/>
    </x:row>
    <x:row r="84">
      <x:c r="A84" s="99"/>
      <x:c r="B84" s="99"/>
      <x:c r="C84" s="99"/>
      <x:c r="D84" s="99"/>
      <x:c r="E84" s="99"/>
      <x:c r="F84" s="99"/>
      <x:c r="G84" s="99"/>
      <x:c r="H84" s="99"/>
      <x:c r="I84" s="99"/>
      <x:c r="J84" s="99"/>
      <x:c r="K84" s="99"/>
      <x:c r="L84" s="99"/>
      <x:c r="M84" s="99"/>
      <x:c r="N84" s="99"/>
      <x:c r="O84" s="99"/>
      <x:c r="P84" s="99"/>
      <x:c r="Q84" s="99"/>
      <x:c r="R84" s="99"/>
      <x:c r="S84" s="99"/>
      <x:c r="T84" s="99"/>
      <x:c r="U84" s="99"/>
      <x:c r="V84" s="99"/>
      <x:c r="W84" s="99"/>
      <x:c r="X84" s="99"/>
      <x:c r="Y84" s="99"/>
      <x:c r="Z84" s="99"/>
    </x:row>
    <x:row r="85">
      <x:c r="A85" s="99"/>
      <x:c r="B85" s="99"/>
      <x:c r="C85" s="99"/>
      <x:c r="D85" s="99"/>
      <x:c r="E85" s="99"/>
      <x:c r="F85" s="99"/>
      <x:c r="G85" s="99"/>
      <x:c r="H85" s="99"/>
      <x:c r="I85" s="99"/>
      <x:c r="J85" s="99"/>
      <x:c r="K85" s="99"/>
      <x:c r="L85" s="99"/>
      <x:c r="M85" s="99"/>
      <x:c r="N85" s="99"/>
      <x:c r="O85" s="99"/>
      <x:c r="P85" s="99"/>
      <x:c r="Q85" s="99"/>
      <x:c r="R85" s="99"/>
      <x:c r="S85" s="99"/>
      <x:c r="T85" s="99"/>
      <x:c r="U85" s="99"/>
      <x:c r="V85" s="99"/>
      <x:c r="W85" s="99"/>
      <x:c r="X85" s="99"/>
      <x:c r="Y85" s="99"/>
      <x:c r="Z85" s="99"/>
    </x:row>
    <x:row r="86">
      <x:c r="A86" s="99"/>
      <x:c r="B86" s="99"/>
      <x:c r="C86" s="99"/>
      <x:c r="D86" s="99"/>
      <x:c r="E86" s="99"/>
      <x:c r="F86" s="99"/>
      <x:c r="G86" s="99"/>
      <x:c r="H86" s="99"/>
      <x:c r="I86" s="99"/>
      <x:c r="J86" s="99"/>
      <x:c r="K86" s="99"/>
      <x:c r="L86" s="99"/>
      <x:c r="M86" s="99"/>
      <x:c r="N86" s="99"/>
      <x:c r="O86" s="99"/>
      <x:c r="P86" s="99"/>
      <x:c r="Q86" s="99"/>
      <x:c r="R86" s="99"/>
      <x:c r="S86" s="99"/>
      <x:c r="T86" s="99"/>
      <x:c r="U86" s="99"/>
      <x:c r="V86" s="99"/>
      <x:c r="W86" s="99"/>
      <x:c r="X86" s="99"/>
      <x:c r="Y86" s="99"/>
      <x:c r="Z86" s="99"/>
    </x:row>
    <x:row r="87">
      <x:c r="A87" s="99"/>
      <x:c r="B87" s="99"/>
      <x:c r="C87" s="99"/>
      <x:c r="D87" s="99"/>
      <x:c r="E87" s="99"/>
      <x:c r="F87" s="99"/>
      <x:c r="G87" s="99"/>
      <x:c r="H87" s="99"/>
      <x:c r="I87" s="99"/>
      <x:c r="J87" s="99"/>
      <x:c r="K87" s="99"/>
      <x:c r="L87" s="99"/>
      <x:c r="M87" s="99"/>
      <x:c r="N87" s="99"/>
      <x:c r="O87" s="99"/>
      <x:c r="P87" s="99"/>
      <x:c r="Q87" s="99"/>
      <x:c r="R87" s="99"/>
      <x:c r="S87" s="99"/>
      <x:c r="T87" s="99"/>
      <x:c r="U87" s="99"/>
      <x:c r="V87" s="99"/>
      <x:c r="W87" s="99"/>
      <x:c r="X87" s="99"/>
      <x:c r="Y87" s="99"/>
      <x:c r="Z87" s="99"/>
    </x:row>
    <x:row r="88">
      <x:c r="A88" s="99"/>
      <x:c r="B88" s="99"/>
      <x:c r="C88" s="99"/>
      <x:c r="D88" s="99"/>
      <x:c r="E88" s="99"/>
      <x:c r="F88" s="99"/>
      <x:c r="G88" s="99"/>
      <x:c r="H88" s="99"/>
      <x:c r="I88" s="99"/>
      <x:c r="J88" s="99"/>
      <x:c r="K88" s="99"/>
      <x:c r="L88" s="99"/>
      <x:c r="M88" s="99"/>
      <x:c r="N88" s="99"/>
      <x:c r="O88" s="99"/>
      <x:c r="P88" s="99"/>
      <x:c r="Q88" s="99"/>
      <x:c r="R88" s="99"/>
      <x:c r="S88" s="99"/>
      <x:c r="T88" s="99"/>
      <x:c r="U88" s="99"/>
      <x:c r="V88" s="99"/>
      <x:c r="W88" s="99"/>
      <x:c r="X88" s="99"/>
      <x:c r="Y88" s="99"/>
      <x:c r="Z88" s="99"/>
    </x:row>
    <x:row r="89">
      <x:c r="A89" s="99"/>
      <x:c r="B89" s="99"/>
      <x:c r="C89" s="99"/>
      <x:c r="D89" s="99"/>
      <x:c r="E89" s="99"/>
      <x:c r="F89" s="99"/>
      <x:c r="G89" s="99"/>
      <x:c r="H89" s="99"/>
      <x:c r="I89" s="99"/>
      <x:c r="J89" s="99"/>
      <x:c r="K89" s="99"/>
      <x:c r="L89" s="99"/>
      <x:c r="M89" s="99"/>
      <x:c r="N89" s="99"/>
      <x:c r="O89" s="99"/>
      <x:c r="P89" s="99"/>
      <x:c r="Q89" s="99"/>
      <x:c r="R89" s="99"/>
      <x:c r="S89" s="99"/>
      <x:c r="T89" s="99"/>
      <x:c r="U89" s="99"/>
      <x:c r="V89" s="99"/>
      <x:c r="W89" s="99"/>
      <x:c r="X89" s="99"/>
      <x:c r="Y89" s="99"/>
      <x:c r="Z89" s="99"/>
    </x:row>
    <x:row r="90">
      <x:c r="A90" s="99"/>
      <x:c r="B90" s="99"/>
      <x:c r="C90" s="99"/>
      <x:c r="D90" s="99"/>
      <x:c r="E90" s="99"/>
      <x:c r="F90" s="99"/>
      <x:c r="G90" s="99"/>
      <x:c r="H90" s="99"/>
      <x:c r="I90" s="99"/>
      <x:c r="J90" s="99"/>
      <x:c r="K90" s="99"/>
      <x:c r="L90" s="99"/>
      <x:c r="M90" s="99"/>
      <x:c r="N90" s="99"/>
      <x:c r="O90" s="99"/>
      <x:c r="P90" s="99"/>
      <x:c r="Q90" s="99"/>
      <x:c r="R90" s="99"/>
      <x:c r="S90" s="99"/>
      <x:c r="T90" s="99"/>
      <x:c r="U90" s="99"/>
      <x:c r="V90" s="99"/>
      <x:c r="W90" s="99"/>
      <x:c r="X90" s="99"/>
      <x:c r="Y90" s="99"/>
      <x:c r="Z90" s="99"/>
    </x:row>
    <x:row r="91">
      <x:c r="A91" s="99"/>
      <x:c r="B91" s="99"/>
      <x:c r="C91" s="99"/>
      <x:c r="D91" s="99"/>
      <x:c r="E91" s="99"/>
      <x:c r="F91" s="99"/>
      <x:c r="G91" s="99"/>
      <x:c r="H91" s="99"/>
      <x:c r="I91" s="99"/>
      <x:c r="J91" s="99"/>
      <x:c r="K91" s="99"/>
      <x:c r="L91" s="99"/>
      <x:c r="M91" s="99"/>
      <x:c r="N91" s="99"/>
      <x:c r="O91" s="99"/>
      <x:c r="P91" s="99"/>
      <x:c r="Q91" s="99"/>
      <x:c r="R91" s="99"/>
      <x:c r="S91" s="99"/>
      <x:c r="T91" s="99"/>
      <x:c r="U91" s="99"/>
      <x:c r="V91" s="99"/>
      <x:c r="W91" s="99"/>
      <x:c r="X91" s="99"/>
      <x:c r="Y91" s="99"/>
      <x:c r="Z91" s="99"/>
    </x:row>
    <x:row r="92">
      <x:c r="A92" s="99"/>
      <x:c r="B92" s="99"/>
      <x:c r="C92" s="99"/>
      <x:c r="D92" s="99"/>
      <x:c r="E92" s="99"/>
      <x:c r="F92" s="99"/>
      <x:c r="G92" s="99"/>
      <x:c r="H92" s="99"/>
      <x:c r="I92" s="99"/>
      <x:c r="J92" s="99"/>
      <x:c r="K92" s="99"/>
      <x:c r="L92" s="99"/>
      <x:c r="M92" s="99"/>
      <x:c r="N92" s="99"/>
      <x:c r="O92" s="99"/>
      <x:c r="P92" s="99"/>
      <x:c r="Q92" s="99"/>
      <x:c r="R92" s="99"/>
      <x:c r="S92" s="99"/>
      <x:c r="T92" s="99"/>
      <x:c r="U92" s="99"/>
      <x:c r="V92" s="99"/>
      <x:c r="W92" s="99"/>
      <x:c r="X92" s="99"/>
      <x:c r="Y92" s="99"/>
      <x:c r="Z92" s="99"/>
    </x:row>
    <x:row r="93">
      <x:c r="A93" s="99"/>
      <x:c r="B93" s="99"/>
      <x:c r="C93" s="99"/>
      <x:c r="D93" s="99"/>
      <x:c r="E93" s="99"/>
      <x:c r="F93" s="99"/>
      <x:c r="G93" s="99"/>
      <x:c r="H93" s="99"/>
      <x:c r="I93" s="99"/>
      <x:c r="J93" s="99"/>
      <x:c r="K93" s="99"/>
      <x:c r="L93" s="99"/>
      <x:c r="M93" s="99"/>
      <x:c r="N93" s="99"/>
      <x:c r="O93" s="99"/>
      <x:c r="P93" s="99"/>
      <x:c r="Q93" s="99"/>
      <x:c r="R93" s="99"/>
      <x:c r="S93" s="99"/>
      <x:c r="T93" s="99"/>
      <x:c r="U93" s="99"/>
      <x:c r="V93" s="99"/>
      <x:c r="W93" s="99"/>
      <x:c r="X93" s="99"/>
      <x:c r="Y93" s="99"/>
      <x:c r="Z93" s="99"/>
    </x:row>
    <x:row r="94">
      <x:c r="A94" s="99"/>
      <x:c r="B94" s="99"/>
      <x:c r="C94" s="99"/>
      <x:c r="D94" s="99"/>
      <x:c r="E94" s="99"/>
      <x:c r="F94" s="99"/>
      <x:c r="G94" s="99"/>
      <x:c r="H94" s="99"/>
      <x:c r="I94" s="99"/>
      <x:c r="J94" s="99"/>
      <x:c r="K94" s="99"/>
      <x:c r="L94" s="99"/>
      <x:c r="M94" s="99"/>
      <x:c r="N94" s="99"/>
      <x:c r="O94" s="99"/>
      <x:c r="P94" s="99"/>
      <x:c r="Q94" s="99"/>
      <x:c r="R94" s="99"/>
      <x:c r="S94" s="99"/>
      <x:c r="T94" s="99"/>
      <x:c r="U94" s="99"/>
      <x:c r="V94" s="99"/>
      <x:c r="W94" s="99"/>
      <x:c r="X94" s="99"/>
      <x:c r="Y94" s="99"/>
      <x:c r="Z94" s="99"/>
    </x:row>
    <x:row r="95">
      <x:c r="A95" s="99"/>
      <x:c r="B95" s="99"/>
      <x:c r="C95" s="99"/>
      <x:c r="D95" s="99"/>
      <x:c r="E95" s="99"/>
      <x:c r="F95" s="99"/>
      <x:c r="G95" s="99"/>
      <x:c r="H95" s="99"/>
      <x:c r="I95" s="99"/>
      <x:c r="J95" s="99"/>
      <x:c r="K95" s="99"/>
      <x:c r="L95" s="99"/>
      <x:c r="M95" s="99"/>
      <x:c r="N95" s="99"/>
      <x:c r="O95" s="99"/>
      <x:c r="P95" s="99"/>
      <x:c r="Q95" s="99"/>
      <x:c r="R95" s="99"/>
      <x:c r="S95" s="99"/>
      <x:c r="T95" s="99"/>
      <x:c r="U95" s="99"/>
      <x:c r="V95" s="99"/>
      <x:c r="W95" s="99"/>
      <x:c r="X95" s="99"/>
      <x:c r="Y95" s="99"/>
      <x:c r="Z95" s="99"/>
    </x:row>
    <x:row r="96">
      <x:c r="A96" s="99"/>
      <x:c r="B96" s="99"/>
      <x:c r="C96" s="99"/>
      <x:c r="D96" s="99"/>
      <x:c r="E96" s="99"/>
      <x:c r="F96" s="99"/>
      <x:c r="G96" s="99"/>
      <x:c r="H96" s="99"/>
      <x:c r="I96" s="99"/>
      <x:c r="J96" s="99"/>
      <x:c r="K96" s="99"/>
      <x:c r="L96" s="99"/>
      <x:c r="M96" s="99"/>
      <x:c r="N96" s="99"/>
      <x:c r="O96" s="99"/>
      <x:c r="P96" s="99"/>
      <x:c r="Q96" s="99"/>
      <x:c r="R96" s="99"/>
      <x:c r="S96" s="99"/>
      <x:c r="T96" s="99"/>
      <x:c r="U96" s="99"/>
      <x:c r="V96" s="99"/>
      <x:c r="W96" s="99"/>
      <x:c r="X96" s="99"/>
      <x:c r="Y96" s="99"/>
      <x:c r="Z96" s="99"/>
    </x:row>
    <x:row r="97">
      <x:c r="A97" s="99"/>
      <x:c r="B97" s="99"/>
      <x:c r="C97" s="99"/>
      <x:c r="D97" s="99"/>
      <x:c r="E97" s="99"/>
      <x:c r="F97" s="99"/>
      <x:c r="G97" s="99"/>
      <x:c r="H97" s="99"/>
      <x:c r="I97" s="99"/>
      <x:c r="J97" s="99"/>
      <x:c r="K97" s="99"/>
      <x:c r="L97" s="99"/>
      <x:c r="M97" s="99"/>
      <x:c r="N97" s="99"/>
      <x:c r="O97" s="99"/>
      <x:c r="P97" s="99"/>
      <x:c r="Q97" s="99"/>
      <x:c r="R97" s="99"/>
      <x:c r="S97" s="99"/>
      <x:c r="T97" s="99"/>
      <x:c r="U97" s="99"/>
      <x:c r="V97" s="99"/>
      <x:c r="W97" s="99"/>
      <x:c r="X97" s="99"/>
      <x:c r="Y97" s="99"/>
      <x:c r="Z97" s="99"/>
    </x:row>
    <x:row r="98">
      <x:c r="A98" s="99"/>
      <x:c r="B98" s="99"/>
      <x:c r="C98" s="99"/>
      <x:c r="D98" s="99"/>
      <x:c r="E98" s="99"/>
      <x:c r="F98" s="99"/>
      <x:c r="G98" s="99"/>
      <x:c r="H98" s="99"/>
      <x:c r="I98" s="99"/>
      <x:c r="J98" s="99"/>
      <x:c r="K98" s="99"/>
      <x:c r="L98" s="99"/>
      <x:c r="M98" s="99"/>
      <x:c r="N98" s="99"/>
      <x:c r="O98" s="99"/>
      <x:c r="P98" s="99"/>
      <x:c r="Q98" s="99"/>
      <x:c r="R98" s="99"/>
      <x:c r="S98" s="99"/>
      <x:c r="T98" s="99"/>
      <x:c r="U98" s="99"/>
      <x:c r="V98" s="99"/>
      <x:c r="W98" s="99"/>
      <x:c r="X98" s="99"/>
      <x:c r="Y98" s="99"/>
      <x:c r="Z98" s="99"/>
    </x:row>
    <x:row r="99">
      <x:c r="A99" s="99"/>
      <x:c r="B99" s="99"/>
      <x:c r="C99" s="99"/>
      <x:c r="D99" s="99"/>
      <x:c r="E99" s="99"/>
      <x:c r="F99" s="99"/>
      <x:c r="G99" s="99"/>
      <x:c r="H99" s="99"/>
      <x:c r="I99" s="99"/>
      <x:c r="J99" s="99"/>
      <x:c r="K99" s="99"/>
      <x:c r="L99" s="99"/>
      <x:c r="M99" s="99"/>
      <x:c r="N99" s="99"/>
      <x:c r="O99" s="99"/>
      <x:c r="P99" s="99"/>
      <x:c r="Q99" s="99"/>
      <x:c r="R99" s="99"/>
      <x:c r="S99" s="99"/>
      <x:c r="T99" s="99"/>
      <x:c r="U99" s="99"/>
      <x:c r="V99" s="99"/>
      <x:c r="W99" s="99"/>
      <x:c r="X99" s="99"/>
      <x:c r="Y99" s="99"/>
      <x:c r="Z99" s="99"/>
    </x:row>
    <x:row r="100">
      <x:c r="A100" s="99"/>
      <x:c r="B100" s="99"/>
      <x:c r="C100" s="99"/>
      <x:c r="D100" s="99"/>
      <x:c r="E100" s="99"/>
      <x:c r="F100" s="99"/>
      <x:c r="G100" s="99"/>
      <x:c r="H100" s="99"/>
      <x:c r="I100" s="99"/>
      <x:c r="J100" s="99"/>
      <x:c r="K100" s="99"/>
      <x:c r="L100" s="99"/>
      <x:c r="M100" s="99"/>
      <x:c r="N100" s="99"/>
      <x:c r="O100" s="99"/>
      <x:c r="P100" s="99"/>
      <x:c r="Q100" s="99"/>
      <x:c r="R100" s="99"/>
      <x:c r="S100" s="99"/>
      <x:c r="T100" s="99"/>
      <x:c r="U100" s="99"/>
      <x:c r="V100" s="99"/>
      <x:c r="W100" s="99"/>
      <x:c r="X100" s="99"/>
      <x:c r="Y100" s="99"/>
      <x:c r="Z100" s="99"/>
    </x:row>
    <x:row r="101">
      <x:c r="A101" s="99"/>
      <x:c r="B101" s="99"/>
      <x:c r="C101" s="99"/>
      <x:c r="D101" s="99"/>
      <x:c r="E101" s="99"/>
      <x:c r="F101" s="99"/>
      <x:c r="G101" s="99"/>
      <x:c r="H101" s="99"/>
      <x:c r="I101" s="99"/>
      <x:c r="J101" s="99"/>
      <x:c r="K101" s="99"/>
      <x:c r="L101" s="99"/>
      <x:c r="M101" s="99"/>
      <x:c r="N101" s="99"/>
      <x:c r="O101" s="99"/>
      <x:c r="P101" s="99"/>
      <x:c r="Q101" s="99"/>
      <x:c r="R101" s="99"/>
      <x:c r="S101" s="99"/>
      <x:c r="T101" s="99"/>
      <x:c r="U101" s="99"/>
      <x:c r="V101" s="99"/>
      <x:c r="W101" s="99"/>
      <x:c r="X101" s="99"/>
      <x:c r="Y101" s="99"/>
      <x:c r="Z101" s="99"/>
    </x:row>
    <x:row r="102">
      <x:c r="A102" s="99"/>
      <x:c r="B102" s="99"/>
      <x:c r="C102" s="99"/>
      <x:c r="D102" s="99"/>
      <x:c r="E102" s="99"/>
      <x:c r="F102" s="99"/>
      <x:c r="G102" s="99"/>
      <x:c r="H102" s="99"/>
      <x:c r="I102" s="99"/>
      <x:c r="J102" s="99"/>
      <x:c r="K102" s="99"/>
      <x:c r="L102" s="99"/>
      <x:c r="M102" s="99"/>
      <x:c r="N102" s="99"/>
      <x:c r="O102" s="99"/>
      <x:c r="P102" s="99"/>
      <x:c r="Q102" s="99"/>
      <x:c r="R102" s="99"/>
      <x:c r="S102" s="99"/>
      <x:c r="T102" s="99"/>
      <x:c r="U102" s="99"/>
      <x:c r="V102" s="99"/>
      <x:c r="W102" s="99"/>
      <x:c r="X102" s="99"/>
      <x:c r="Y102" s="99"/>
      <x:c r="Z102" s="99"/>
    </x:row>
    <x:row r="103">
      <x:c r="A103" s="99"/>
      <x:c r="B103" s="99"/>
      <x:c r="C103" s="99"/>
      <x:c r="D103" s="99"/>
      <x:c r="E103" s="99"/>
      <x:c r="F103" s="99"/>
      <x:c r="G103" s="99"/>
      <x:c r="H103" s="99"/>
      <x:c r="I103" s="99"/>
      <x:c r="J103" s="99"/>
      <x:c r="K103" s="99"/>
      <x:c r="L103" s="99"/>
      <x:c r="M103" s="99"/>
      <x:c r="N103" s="99"/>
      <x:c r="O103" s="99"/>
      <x:c r="P103" s="99"/>
      <x:c r="Q103" s="99"/>
      <x:c r="R103" s="99"/>
      <x:c r="S103" s="99"/>
      <x:c r="T103" s="99"/>
      <x:c r="U103" s="99"/>
      <x:c r="V103" s="99"/>
      <x:c r="W103" s="99"/>
      <x:c r="X103" s="99"/>
      <x:c r="Y103" s="99"/>
      <x:c r="Z103" s="99"/>
    </x:row>
    <x:row r="104">
      <x:c r="A104" s="99"/>
      <x:c r="B104" s="99"/>
      <x:c r="C104" s="99"/>
      <x:c r="D104" s="99"/>
      <x:c r="E104" s="99"/>
      <x:c r="F104" s="99"/>
      <x:c r="G104" s="99"/>
      <x:c r="H104" s="99"/>
      <x:c r="I104" s="99"/>
      <x:c r="J104" s="99"/>
      <x:c r="K104" s="99"/>
      <x:c r="L104" s="99"/>
      <x:c r="M104" s="99"/>
      <x:c r="N104" s="99"/>
      <x:c r="O104" s="99"/>
      <x:c r="P104" s="99"/>
      <x:c r="Q104" s="99"/>
      <x:c r="R104" s="99"/>
      <x:c r="S104" s="99"/>
      <x:c r="T104" s="99"/>
      <x:c r="U104" s="99"/>
      <x:c r="V104" s="99"/>
      <x:c r="W104" s="99"/>
      <x:c r="X104" s="99"/>
      <x:c r="Y104" s="99"/>
      <x:c r="Z104" s="99"/>
    </x:row>
    <x:row r="105">
      <x:c r="A105" s="99"/>
      <x:c r="B105" s="99"/>
      <x:c r="C105" s="99"/>
      <x:c r="D105" s="99"/>
      <x:c r="E105" s="99"/>
      <x:c r="F105" s="99"/>
      <x:c r="G105" s="99"/>
      <x:c r="H105" s="99"/>
      <x:c r="I105" s="99"/>
      <x:c r="J105" s="99"/>
      <x:c r="K105" s="99"/>
      <x:c r="L105" s="99"/>
      <x:c r="M105" s="99"/>
      <x:c r="N105" s="99"/>
      <x:c r="O105" s="99"/>
      <x:c r="P105" s="99"/>
      <x:c r="Q105" s="99"/>
      <x:c r="R105" s="99"/>
      <x:c r="S105" s="99"/>
      <x:c r="T105" s="99"/>
      <x:c r="U105" s="99"/>
      <x:c r="V105" s="99"/>
      <x:c r="W105" s="99"/>
      <x:c r="X105" s="99"/>
      <x:c r="Y105" s="99"/>
      <x:c r="Z105" s="99"/>
    </x:row>
    <x:row r="106">
      <x:c r="A106" s="99"/>
      <x:c r="B106" s="99"/>
      <x:c r="C106" s="99"/>
      <x:c r="D106" s="99"/>
      <x:c r="E106" s="99"/>
      <x:c r="F106" s="99"/>
      <x:c r="G106" s="99"/>
      <x:c r="H106" s="99"/>
      <x:c r="I106" s="99"/>
      <x:c r="J106" s="99"/>
      <x:c r="K106" s="99"/>
      <x:c r="L106" s="99"/>
      <x:c r="M106" s="99"/>
      <x:c r="N106" s="99"/>
      <x:c r="O106" s="99"/>
      <x:c r="P106" s="99"/>
      <x:c r="Q106" s="99"/>
      <x:c r="R106" s="99"/>
      <x:c r="S106" s="99"/>
      <x:c r="T106" s="99"/>
      <x:c r="U106" s="99"/>
      <x:c r="V106" s="99"/>
      <x:c r="W106" s="99"/>
      <x:c r="X106" s="99"/>
      <x:c r="Y106" s="99"/>
      <x:c r="Z106" s="99"/>
    </x:row>
    <x:row r="107">
      <x:c r="A107" s="99"/>
      <x:c r="B107" s="99"/>
      <x:c r="C107" s="99"/>
      <x:c r="D107" s="99"/>
      <x:c r="E107" s="99"/>
      <x:c r="F107" s="99"/>
      <x:c r="G107" s="99"/>
      <x:c r="H107" s="99"/>
      <x:c r="I107" s="99"/>
      <x:c r="J107" s="99"/>
      <x:c r="K107" s="99"/>
      <x:c r="L107" s="99"/>
      <x:c r="M107" s="99"/>
      <x:c r="N107" s="99"/>
      <x:c r="O107" s="99"/>
      <x:c r="P107" s="99"/>
      <x:c r="Q107" s="99"/>
      <x:c r="R107" s="99"/>
      <x:c r="S107" s="99"/>
      <x:c r="T107" s="99"/>
      <x:c r="U107" s="99"/>
      <x:c r="V107" s="99"/>
      <x:c r="W107" s="99"/>
      <x:c r="X107" s="99"/>
      <x:c r="Y107" s="99"/>
      <x:c r="Z107" s="99"/>
    </x:row>
    <x:row r="108">
      <x:c r="A108" s="99"/>
      <x:c r="B108" s="99"/>
      <x:c r="C108" s="99"/>
      <x:c r="D108" s="99"/>
      <x:c r="E108" s="99"/>
      <x:c r="F108" s="99"/>
      <x:c r="G108" s="99"/>
      <x:c r="H108" s="99"/>
      <x:c r="I108" s="99"/>
      <x:c r="J108" s="99"/>
      <x:c r="K108" s="99"/>
      <x:c r="L108" s="99"/>
      <x:c r="M108" s="99"/>
      <x:c r="N108" s="99"/>
      <x:c r="O108" s="99"/>
      <x:c r="P108" s="99"/>
      <x:c r="Q108" s="99"/>
      <x:c r="R108" s="99"/>
      <x:c r="S108" s="99"/>
      <x:c r="T108" s="99"/>
      <x:c r="U108" s="99"/>
      <x:c r="V108" s="99"/>
      <x:c r="W108" s="99"/>
      <x:c r="X108" s="99"/>
      <x:c r="Y108" s="99"/>
      <x:c r="Z108" s="99"/>
    </x:row>
    <x:row r="109">
      <x:c r="A109" s="99"/>
      <x:c r="B109" s="99"/>
      <x:c r="C109" s="99"/>
      <x:c r="D109" s="99"/>
      <x:c r="E109" s="99"/>
      <x:c r="F109" s="99"/>
      <x:c r="G109" s="99"/>
      <x:c r="H109" s="99"/>
      <x:c r="I109" s="99"/>
      <x:c r="J109" s="99"/>
      <x:c r="K109" s="99"/>
      <x:c r="L109" s="99"/>
      <x:c r="M109" s="99"/>
      <x:c r="N109" s="99"/>
      <x:c r="O109" s="99"/>
      <x:c r="P109" s="99"/>
      <x:c r="Q109" s="99"/>
      <x:c r="R109" s="99"/>
      <x:c r="S109" s="99"/>
      <x:c r="T109" s="99"/>
      <x:c r="U109" s="99"/>
      <x:c r="V109" s="99"/>
      <x:c r="W109" s="99"/>
      <x:c r="X109" s="99"/>
      <x:c r="Y109" s="99"/>
      <x:c r="Z109" s="99"/>
    </x:row>
    <x:row r="110">
      <x:c r="A110" s="99"/>
      <x:c r="B110" s="99"/>
      <x:c r="C110" s="99"/>
      <x:c r="D110" s="99"/>
      <x:c r="E110" s="99"/>
      <x:c r="F110" s="99"/>
      <x:c r="G110" s="99"/>
      <x:c r="H110" s="99"/>
      <x:c r="I110" s="99"/>
      <x:c r="J110" s="99"/>
      <x:c r="K110" s="99"/>
      <x:c r="L110" s="99"/>
      <x:c r="M110" s="99"/>
      <x:c r="N110" s="99"/>
      <x:c r="O110" s="99"/>
      <x:c r="P110" s="99"/>
      <x:c r="Q110" s="99"/>
      <x:c r="R110" s="99"/>
      <x:c r="S110" s="99"/>
      <x:c r="T110" s="99"/>
      <x:c r="U110" s="99"/>
      <x:c r="V110" s="99"/>
      <x:c r="W110" s="99"/>
      <x:c r="X110" s="99"/>
      <x:c r="Y110" s="99"/>
      <x:c r="Z110" s="99"/>
    </x:row>
    <x:row r="111">
      <x:c r="A111" s="99"/>
      <x:c r="B111" s="99"/>
      <x:c r="C111" s="99"/>
      <x:c r="D111" s="99"/>
      <x:c r="E111" s="99"/>
      <x:c r="F111" s="99"/>
      <x:c r="G111" s="99"/>
      <x:c r="H111" s="99"/>
      <x:c r="I111" s="99"/>
      <x:c r="J111" s="99"/>
      <x:c r="K111" s="99"/>
      <x:c r="L111" s="99"/>
      <x:c r="M111" s="99"/>
      <x:c r="N111" s="99"/>
      <x:c r="O111" s="99"/>
      <x:c r="P111" s="99"/>
      <x:c r="Q111" s="99"/>
      <x:c r="R111" s="99"/>
      <x:c r="S111" s="99"/>
      <x:c r="T111" s="99"/>
      <x:c r="U111" s="99"/>
      <x:c r="V111" s="99"/>
      <x:c r="W111" s="99"/>
      <x:c r="X111" s="99"/>
      <x:c r="Y111" s="99"/>
      <x:c r="Z111" s="99"/>
    </x:row>
    <x:row r="112">
      <x:c r="A112" s="99"/>
      <x:c r="B112" s="99"/>
      <x:c r="C112" s="99"/>
      <x:c r="D112" s="99"/>
      <x:c r="E112" s="99"/>
      <x:c r="F112" s="99"/>
      <x:c r="G112" s="99"/>
      <x:c r="H112" s="99"/>
      <x:c r="I112" s="99"/>
      <x:c r="J112" s="99"/>
      <x:c r="K112" s="99"/>
      <x:c r="L112" s="99"/>
      <x:c r="M112" s="99"/>
      <x:c r="N112" s="99"/>
      <x:c r="O112" s="99"/>
      <x:c r="P112" s="99"/>
      <x:c r="Q112" s="99"/>
      <x:c r="R112" s="99"/>
      <x:c r="S112" s="99"/>
      <x:c r="T112" s="99"/>
      <x:c r="U112" s="99"/>
      <x:c r="V112" s="99"/>
      <x:c r="W112" s="99"/>
      <x:c r="X112" s="99"/>
      <x:c r="Y112" s="99"/>
      <x:c r="Z112" s="99"/>
    </x:row>
    <x:row r="113">
      <x:c r="A113" s="99"/>
      <x:c r="B113" s="99"/>
      <x:c r="C113" s="99"/>
      <x:c r="D113" s="99"/>
      <x:c r="E113" s="99"/>
      <x:c r="F113" s="99"/>
      <x:c r="G113" s="99"/>
      <x:c r="H113" s="99"/>
      <x:c r="I113" s="99"/>
      <x:c r="J113" s="99"/>
      <x:c r="K113" s="99"/>
      <x:c r="L113" s="99"/>
      <x:c r="M113" s="99"/>
      <x:c r="N113" s="99"/>
      <x:c r="O113" s="99"/>
      <x:c r="P113" s="99"/>
      <x:c r="Q113" s="99"/>
      <x:c r="R113" s="99"/>
      <x:c r="S113" s="99"/>
      <x:c r="T113" s="99"/>
      <x:c r="U113" s="99"/>
      <x:c r="V113" s="99"/>
      <x:c r="W113" s="99"/>
      <x:c r="X113" s="99"/>
      <x:c r="Y113" s="99"/>
      <x:c r="Z113" s="99"/>
    </x:row>
    <x:row r="114">
      <x:c r="A114" s="99"/>
      <x:c r="B114" s="99"/>
      <x:c r="C114" s="99"/>
      <x:c r="D114" s="99"/>
      <x:c r="E114" s="99"/>
      <x:c r="F114" s="99"/>
      <x:c r="G114" s="99"/>
      <x:c r="H114" s="99"/>
      <x:c r="I114" s="99"/>
      <x:c r="J114" s="99"/>
      <x:c r="K114" s="99"/>
      <x:c r="L114" s="99"/>
      <x:c r="M114" s="99"/>
      <x:c r="N114" s="99"/>
      <x:c r="O114" s="99"/>
      <x:c r="P114" s="99"/>
      <x:c r="Q114" s="99"/>
      <x:c r="R114" s="99"/>
      <x:c r="S114" s="99"/>
      <x:c r="T114" s="99"/>
      <x:c r="U114" s="99"/>
      <x:c r="V114" s="99"/>
      <x:c r="W114" s="99"/>
      <x:c r="X114" s="99"/>
      <x:c r="Y114" s="99"/>
      <x:c r="Z114" s="99"/>
    </x:row>
    <x:row r="115">
      <x:c r="A115" s="99"/>
      <x:c r="B115" s="99"/>
      <x:c r="C115" s="99"/>
      <x:c r="D115" s="99"/>
      <x:c r="E115" s="99"/>
      <x:c r="F115" s="99"/>
      <x:c r="G115" s="99"/>
      <x:c r="H115" s="99"/>
      <x:c r="I115" s="99"/>
      <x:c r="J115" s="99"/>
      <x:c r="K115" s="99"/>
      <x:c r="L115" s="99"/>
      <x:c r="M115" s="99"/>
      <x:c r="N115" s="99"/>
      <x:c r="O115" s="99"/>
      <x:c r="P115" s="99"/>
      <x:c r="Q115" s="99"/>
      <x:c r="R115" s="99"/>
      <x:c r="S115" s="99"/>
      <x:c r="T115" s="99"/>
      <x:c r="U115" s="99"/>
      <x:c r="V115" s="99"/>
      <x:c r="W115" s="99"/>
      <x:c r="X115" s="99"/>
      <x:c r="Y115" s="99"/>
      <x:c r="Z115" s="99"/>
    </x:row>
    <x:row r="116">
      <x:c r="A116" s="99"/>
      <x:c r="B116" s="99"/>
      <x:c r="C116" s="99"/>
      <x:c r="D116" s="99"/>
      <x:c r="E116" s="99"/>
      <x:c r="F116" s="99"/>
      <x:c r="G116" s="99"/>
      <x:c r="H116" s="99"/>
      <x:c r="I116" s="99"/>
      <x:c r="J116" s="99"/>
      <x:c r="K116" s="99"/>
      <x:c r="L116" s="99"/>
      <x:c r="M116" s="99"/>
      <x:c r="N116" s="99"/>
      <x:c r="O116" s="99"/>
      <x:c r="P116" s="99"/>
      <x:c r="Q116" s="99"/>
      <x:c r="R116" s="99"/>
      <x:c r="S116" s="99"/>
      <x:c r="T116" s="99"/>
      <x:c r="U116" s="99"/>
      <x:c r="V116" s="99"/>
      <x:c r="W116" s="99"/>
      <x:c r="X116" s="99"/>
      <x:c r="Y116" s="99"/>
      <x:c r="Z116" s="99"/>
    </x:row>
    <x:row r="117">
      <x:c r="A117" s="99"/>
      <x:c r="B117" s="99"/>
      <x:c r="C117" s="99"/>
      <x:c r="D117" s="99"/>
      <x:c r="E117" s="99"/>
      <x:c r="F117" s="99"/>
      <x:c r="G117" s="99"/>
      <x:c r="H117" s="99"/>
      <x:c r="I117" s="99"/>
      <x:c r="J117" s="99"/>
      <x:c r="K117" s="99"/>
      <x:c r="L117" s="99"/>
      <x:c r="M117" s="99"/>
      <x:c r="N117" s="99"/>
      <x:c r="O117" s="99"/>
      <x:c r="P117" s="99"/>
      <x:c r="Q117" s="99"/>
      <x:c r="R117" s="99"/>
      <x:c r="S117" s="99"/>
      <x:c r="T117" s="99"/>
      <x:c r="U117" s="99"/>
      <x:c r="V117" s="99"/>
      <x:c r="W117" s="99"/>
      <x:c r="X117" s="99"/>
      <x:c r="Y117" s="99"/>
      <x:c r="Z117" s="99"/>
    </x:row>
    <x:row r="118">
      <x:c r="A118" s="99"/>
      <x:c r="B118" s="99"/>
      <x:c r="C118" s="99"/>
      <x:c r="D118" s="99"/>
      <x:c r="E118" s="99"/>
      <x:c r="F118" s="99"/>
      <x:c r="G118" s="99"/>
      <x:c r="H118" s="99"/>
      <x:c r="I118" s="99"/>
      <x:c r="J118" s="99"/>
      <x:c r="K118" s="99"/>
      <x:c r="L118" s="99"/>
      <x:c r="M118" s="99"/>
      <x:c r="N118" s="99"/>
      <x:c r="O118" s="99"/>
      <x:c r="P118" s="99"/>
      <x:c r="Q118" s="99"/>
      <x:c r="R118" s="99"/>
      <x:c r="S118" s="99"/>
      <x:c r="T118" s="99"/>
      <x:c r="U118" s="99"/>
      <x:c r="V118" s="99"/>
      <x:c r="W118" s="99"/>
      <x:c r="X118" s="99"/>
      <x:c r="Y118" s="99"/>
      <x:c r="Z118" s="99"/>
    </x:row>
    <x:row r="119">
      <x:c r="A119" s="99"/>
      <x:c r="B119" s="99"/>
      <x:c r="C119" s="99"/>
      <x:c r="D119" s="99"/>
      <x:c r="E119" s="99"/>
      <x:c r="F119" s="99"/>
      <x:c r="G119" s="99"/>
      <x:c r="H119" s="99"/>
      <x:c r="I119" s="99"/>
      <x:c r="J119" s="99"/>
      <x:c r="K119" s="99"/>
      <x:c r="L119" s="99"/>
      <x:c r="M119" s="99"/>
      <x:c r="N119" s="99"/>
      <x:c r="O119" s="99"/>
      <x:c r="P119" s="99"/>
      <x:c r="Q119" s="99"/>
      <x:c r="R119" s="99"/>
      <x:c r="S119" s="99"/>
      <x:c r="T119" s="99"/>
      <x:c r="U119" s="99"/>
      <x:c r="V119" s="99"/>
      <x:c r="W119" s="99"/>
      <x:c r="X119" s="99"/>
      <x:c r="Y119" s="99"/>
      <x:c r="Z119" s="99"/>
    </x:row>
    <x:row r="120">
      <x:c r="A120" s="99"/>
      <x:c r="B120" s="99"/>
      <x:c r="C120" s="99"/>
      <x:c r="D120" s="99"/>
      <x:c r="E120" s="99"/>
      <x:c r="F120" s="99"/>
      <x:c r="G120" s="99"/>
      <x:c r="H120" s="99"/>
      <x:c r="I120" s="99"/>
      <x:c r="J120" s="99"/>
      <x:c r="K120" s="99"/>
      <x:c r="L120" s="99"/>
      <x:c r="M120" s="99"/>
      <x:c r="N120" s="99"/>
      <x:c r="O120" s="99"/>
      <x:c r="P120" s="99"/>
      <x:c r="Q120" s="99"/>
      <x:c r="R120" s="99"/>
      <x:c r="S120" s="99"/>
      <x:c r="T120" s="99"/>
      <x:c r="U120" s="99"/>
      <x:c r="V120" s="99"/>
      <x:c r="W120" s="99"/>
      <x:c r="X120" s="99"/>
      <x:c r="Y120" s="99"/>
      <x:c r="Z120" s="99"/>
    </x:row>
    <x:row r="121">
      <x:c r="A121" s="99"/>
      <x:c r="B121" s="99"/>
      <x:c r="C121" s="99"/>
      <x:c r="D121" s="99"/>
      <x:c r="E121" s="99"/>
      <x:c r="F121" s="99"/>
      <x:c r="G121" s="99"/>
      <x:c r="H121" s="99"/>
      <x:c r="I121" s="99"/>
      <x:c r="J121" s="99"/>
      <x:c r="K121" s="99"/>
      <x:c r="L121" s="99"/>
      <x:c r="M121" s="99"/>
      <x:c r="N121" s="99"/>
      <x:c r="O121" s="99"/>
      <x:c r="P121" s="99"/>
      <x:c r="Q121" s="99"/>
      <x:c r="R121" s="99"/>
      <x:c r="S121" s="99"/>
      <x:c r="T121" s="99"/>
      <x:c r="U121" s="99"/>
      <x:c r="V121" s="99"/>
      <x:c r="W121" s="99"/>
      <x:c r="X121" s="99"/>
      <x:c r="Y121" s="99"/>
      <x:c r="Z121" s="99"/>
    </x:row>
    <x:row r="122">
      <x:c r="A122" s="99"/>
      <x:c r="B122" s="99"/>
      <x:c r="C122" s="99"/>
      <x:c r="D122" s="99"/>
      <x:c r="E122" s="99"/>
      <x:c r="F122" s="99"/>
      <x:c r="G122" s="99"/>
      <x:c r="H122" s="99"/>
      <x:c r="I122" s="99"/>
      <x:c r="J122" s="99"/>
      <x:c r="K122" s="99"/>
      <x:c r="L122" s="99"/>
      <x:c r="M122" s="99"/>
      <x:c r="N122" s="99"/>
      <x:c r="O122" s="99"/>
      <x:c r="P122" s="99"/>
      <x:c r="Q122" s="99"/>
      <x:c r="R122" s="99"/>
      <x:c r="S122" s="99"/>
      <x:c r="T122" s="99"/>
      <x:c r="U122" s="99"/>
      <x:c r="V122" s="99"/>
      <x:c r="W122" s="99"/>
      <x:c r="X122" s="99"/>
      <x:c r="Y122" s="99"/>
      <x:c r="Z122" s="99"/>
    </x:row>
    <x:row r="123">
      <x:c r="A123" s="99"/>
      <x:c r="B123" s="99"/>
      <x:c r="C123" s="99"/>
      <x:c r="D123" s="99"/>
      <x:c r="E123" s="99"/>
      <x:c r="F123" s="99"/>
      <x:c r="G123" s="99"/>
      <x:c r="H123" s="99"/>
      <x:c r="I123" s="99"/>
      <x:c r="J123" s="99"/>
      <x:c r="K123" s="99"/>
      <x:c r="L123" s="99"/>
      <x:c r="M123" s="99"/>
      <x:c r="N123" s="99"/>
      <x:c r="O123" s="99"/>
      <x:c r="P123" s="99"/>
      <x:c r="Q123" s="99"/>
      <x:c r="R123" s="99"/>
      <x:c r="S123" s="99"/>
      <x:c r="T123" s="99"/>
      <x:c r="U123" s="99"/>
      <x:c r="V123" s="99"/>
      <x:c r="W123" s="99"/>
      <x:c r="X123" s="99"/>
      <x:c r="Y123" s="99"/>
      <x:c r="Z123" s="99"/>
    </x:row>
    <x:row r="124">
      <x:c r="A124" s="99"/>
      <x:c r="B124" s="99"/>
      <x:c r="C124" s="99"/>
      <x:c r="D124" s="99"/>
      <x:c r="E124" s="99"/>
      <x:c r="F124" s="99"/>
      <x:c r="G124" s="99"/>
      <x:c r="H124" s="99"/>
      <x:c r="I124" s="99"/>
      <x:c r="J124" s="99"/>
      <x:c r="K124" s="99"/>
      <x:c r="L124" s="99"/>
      <x:c r="M124" s="99"/>
      <x:c r="N124" s="99"/>
      <x:c r="O124" s="99"/>
      <x:c r="P124" s="99"/>
      <x:c r="Q124" s="99"/>
      <x:c r="R124" s="99"/>
      <x:c r="S124" s="99"/>
      <x:c r="T124" s="99"/>
      <x:c r="U124" s="99"/>
      <x:c r="V124" s="99"/>
      <x:c r="W124" s="99"/>
      <x:c r="X124" s="99"/>
      <x:c r="Y124" s="99"/>
      <x:c r="Z124" s="99"/>
    </x:row>
    <x:row r="125">
      <x:c r="A125" s="99"/>
      <x:c r="B125" s="99"/>
      <x:c r="C125" s="99"/>
      <x:c r="D125" s="99"/>
      <x:c r="E125" s="99"/>
      <x:c r="F125" s="99"/>
      <x:c r="G125" s="99"/>
      <x:c r="H125" s="99"/>
      <x:c r="I125" s="99"/>
      <x:c r="J125" s="99"/>
      <x:c r="K125" s="99"/>
      <x:c r="L125" s="99"/>
      <x:c r="M125" s="99"/>
      <x:c r="N125" s="99"/>
      <x:c r="O125" s="99"/>
      <x:c r="P125" s="99"/>
      <x:c r="Q125" s="99"/>
      <x:c r="R125" s="99"/>
      <x:c r="S125" s="99"/>
      <x:c r="T125" s="99"/>
      <x:c r="U125" s="99"/>
      <x:c r="V125" s="99"/>
      <x:c r="W125" s="99"/>
      <x:c r="X125" s="99"/>
      <x:c r="Y125" s="99"/>
      <x:c r="Z125" s="99"/>
    </x:row>
    <x:row r="126">
      <x:c r="A126" s="99"/>
      <x:c r="B126" s="99"/>
      <x:c r="C126" s="99"/>
      <x:c r="D126" s="99"/>
      <x:c r="E126" s="99"/>
      <x:c r="F126" s="99"/>
      <x:c r="G126" s="99"/>
      <x:c r="H126" s="99"/>
      <x:c r="I126" s="99"/>
      <x:c r="J126" s="99"/>
      <x:c r="K126" s="99"/>
      <x:c r="L126" s="99"/>
      <x:c r="M126" s="99"/>
      <x:c r="N126" s="99"/>
      <x:c r="O126" s="99"/>
      <x:c r="P126" s="99"/>
      <x:c r="Q126" s="99"/>
      <x:c r="R126" s="99"/>
      <x:c r="S126" s="99"/>
      <x:c r="T126" s="99"/>
      <x:c r="U126" s="99"/>
      <x:c r="V126" s="99"/>
      <x:c r="W126" s="99"/>
      <x:c r="X126" s="99"/>
      <x:c r="Y126" s="99"/>
      <x:c r="Z126" s="99"/>
    </x:row>
    <x:row r="127">
      <x:c r="A127" s="99"/>
      <x:c r="B127" s="99"/>
      <x:c r="C127" s="99"/>
      <x:c r="D127" s="99"/>
      <x:c r="E127" s="99"/>
      <x:c r="F127" s="99"/>
      <x:c r="G127" s="99"/>
      <x:c r="H127" s="99"/>
      <x:c r="I127" s="99"/>
      <x:c r="J127" s="99"/>
      <x:c r="K127" s="99"/>
      <x:c r="L127" s="99"/>
      <x:c r="M127" s="99"/>
      <x:c r="N127" s="99"/>
      <x:c r="O127" s="99"/>
      <x:c r="P127" s="99"/>
      <x:c r="Q127" s="99"/>
      <x:c r="R127" s="99"/>
      <x:c r="S127" s="99"/>
      <x:c r="T127" s="99"/>
      <x:c r="U127" s="99"/>
      <x:c r="V127" s="99"/>
      <x:c r="W127" s="99"/>
      <x:c r="X127" s="99"/>
      <x:c r="Y127" s="99"/>
      <x:c r="Z127" s="99"/>
    </x:row>
    <x:row r="128">
      <x:c r="A128" s="99"/>
      <x:c r="B128" s="99"/>
      <x:c r="C128" s="99"/>
      <x:c r="D128" s="99"/>
      <x:c r="E128" s="99"/>
      <x:c r="F128" s="99"/>
      <x:c r="G128" s="99"/>
      <x:c r="H128" s="99"/>
      <x:c r="I128" s="99"/>
      <x:c r="J128" s="99"/>
      <x:c r="K128" s="99"/>
      <x:c r="L128" s="99"/>
      <x:c r="M128" s="99"/>
      <x:c r="N128" s="99"/>
      <x:c r="O128" s="99"/>
      <x:c r="P128" s="99"/>
      <x:c r="Q128" s="99"/>
      <x:c r="R128" s="99"/>
      <x:c r="S128" s="99"/>
      <x:c r="T128" s="99"/>
      <x:c r="U128" s="99"/>
      <x:c r="V128" s="99"/>
      <x:c r="W128" s="99"/>
      <x:c r="X128" s="99"/>
      <x:c r="Y128" s="99"/>
      <x:c r="Z128" s="99"/>
    </x:row>
    <x:row r="129">
      <x:c r="A129" s="99"/>
      <x:c r="B129" s="99"/>
      <x:c r="C129" s="99"/>
      <x:c r="D129" s="99"/>
      <x:c r="E129" s="99"/>
      <x:c r="F129" s="99"/>
      <x:c r="G129" s="99"/>
      <x:c r="H129" s="99"/>
      <x:c r="I129" s="99"/>
      <x:c r="J129" s="99"/>
      <x:c r="K129" s="99"/>
      <x:c r="L129" s="99"/>
      <x:c r="M129" s="99"/>
      <x:c r="N129" s="99"/>
      <x:c r="O129" s="99"/>
      <x:c r="P129" s="99"/>
      <x:c r="Q129" s="99"/>
      <x:c r="R129" s="99"/>
      <x:c r="S129" s="99"/>
      <x:c r="T129" s="99"/>
      <x:c r="U129" s="99"/>
      <x:c r="V129" s="99"/>
      <x:c r="W129" s="99"/>
      <x:c r="X129" s="99"/>
      <x:c r="Y129" s="99"/>
      <x:c r="Z129" s="99"/>
    </x:row>
    <x:row r="130">
      <x:c r="A130" s="99"/>
      <x:c r="B130" s="99"/>
      <x:c r="C130" s="99"/>
      <x:c r="D130" s="99"/>
      <x:c r="E130" s="99"/>
      <x:c r="F130" s="99"/>
      <x:c r="G130" s="99"/>
      <x:c r="H130" s="99"/>
      <x:c r="I130" s="99"/>
      <x:c r="J130" s="99"/>
      <x:c r="K130" s="99"/>
      <x:c r="L130" s="99"/>
      <x:c r="M130" s="99"/>
      <x:c r="N130" s="99"/>
      <x:c r="O130" s="99"/>
      <x:c r="P130" s="99"/>
      <x:c r="Q130" s="99"/>
      <x:c r="R130" s="99"/>
      <x:c r="S130" s="99"/>
      <x:c r="T130" s="99"/>
      <x:c r="U130" s="99"/>
      <x:c r="V130" s="99"/>
      <x:c r="W130" s="99"/>
      <x:c r="X130" s="99"/>
      <x:c r="Y130" s="99"/>
      <x:c r="Z130" s="99"/>
    </x:row>
    <x:row r="131">
      <x:c r="A131" s="99"/>
      <x:c r="B131" s="99"/>
      <x:c r="C131" s="99"/>
      <x:c r="D131" s="99"/>
      <x:c r="E131" s="99"/>
      <x:c r="F131" s="99"/>
      <x:c r="G131" s="99"/>
      <x:c r="H131" s="99"/>
      <x:c r="I131" s="99"/>
      <x:c r="J131" s="99"/>
      <x:c r="K131" s="99"/>
      <x:c r="L131" s="99"/>
      <x:c r="M131" s="99"/>
      <x:c r="N131" s="99"/>
      <x:c r="O131" s="99"/>
      <x:c r="P131" s="99"/>
      <x:c r="Q131" s="99"/>
      <x:c r="R131" s="99"/>
      <x:c r="S131" s="99"/>
      <x:c r="T131" s="99"/>
      <x:c r="U131" s="99"/>
      <x:c r="V131" s="99"/>
      <x:c r="W131" s="99"/>
      <x:c r="X131" s="99"/>
      <x:c r="Y131" s="99"/>
      <x:c r="Z131" s="99"/>
    </x:row>
    <x:row r="132">
      <x:c r="A132" s="99"/>
      <x:c r="B132" s="99"/>
      <x:c r="C132" s="99"/>
      <x:c r="D132" s="99"/>
      <x:c r="E132" s="99"/>
      <x:c r="F132" s="99"/>
      <x:c r="G132" s="99"/>
      <x:c r="H132" s="99"/>
      <x:c r="I132" s="99"/>
      <x:c r="J132" s="99"/>
      <x:c r="K132" s="99"/>
      <x:c r="L132" s="99"/>
      <x:c r="M132" s="99"/>
      <x:c r="N132" s="99"/>
      <x:c r="O132" s="99"/>
      <x:c r="P132" s="99"/>
      <x:c r="Q132" s="99"/>
      <x:c r="R132" s="99"/>
      <x:c r="S132" s="99"/>
      <x:c r="T132" s="99"/>
      <x:c r="U132" s="99"/>
      <x:c r="V132" s="99"/>
      <x:c r="W132" s="99"/>
      <x:c r="X132" s="99"/>
      <x:c r="Y132" s="99"/>
      <x:c r="Z132" s="99"/>
    </x:row>
    <x:row r="133">
      <x:c r="A133" s="99"/>
      <x:c r="B133" s="99"/>
      <x:c r="C133" s="99"/>
      <x:c r="D133" s="99"/>
      <x:c r="E133" s="99"/>
      <x:c r="F133" s="99"/>
      <x:c r="G133" s="99"/>
      <x:c r="H133" s="99"/>
      <x:c r="I133" s="99"/>
      <x:c r="J133" s="99"/>
      <x:c r="K133" s="99"/>
      <x:c r="L133" s="99"/>
      <x:c r="M133" s="99"/>
      <x:c r="N133" s="99"/>
      <x:c r="O133" s="99"/>
      <x:c r="P133" s="99"/>
      <x:c r="Q133" s="99"/>
      <x:c r="R133" s="99"/>
      <x:c r="S133" s="99"/>
      <x:c r="T133" s="99"/>
      <x:c r="U133" s="99"/>
      <x:c r="V133" s="99"/>
      <x:c r="W133" s="99"/>
      <x:c r="X133" s="99"/>
      <x:c r="Y133" s="99"/>
      <x:c r="Z133" s="99"/>
    </x:row>
    <x:row r="134">
      <x:c r="A134" s="99"/>
      <x:c r="B134" s="99"/>
      <x:c r="C134" s="99"/>
      <x:c r="D134" s="99"/>
      <x:c r="E134" s="99"/>
      <x:c r="F134" s="99"/>
      <x:c r="G134" s="99"/>
      <x:c r="H134" s="99"/>
      <x:c r="I134" s="99"/>
      <x:c r="J134" s="99"/>
      <x:c r="K134" s="99"/>
      <x:c r="L134" s="99"/>
      <x:c r="M134" s="99"/>
      <x:c r="N134" s="99"/>
      <x:c r="O134" s="99"/>
      <x:c r="P134" s="99"/>
      <x:c r="Q134" s="99"/>
      <x:c r="R134" s="99"/>
      <x:c r="S134" s="99"/>
      <x:c r="T134" s="99"/>
      <x:c r="U134" s="99"/>
      <x:c r="V134" s="99"/>
      <x:c r="W134" s="99"/>
      <x:c r="X134" s="99"/>
      <x:c r="Y134" s="99"/>
      <x:c r="Z134" s="99"/>
    </x:row>
    <x:row r="135">
      <x:c r="A135" s="99"/>
      <x:c r="B135" s="99"/>
      <x:c r="C135" s="99"/>
      <x:c r="D135" s="99"/>
      <x:c r="E135" s="99"/>
      <x:c r="F135" s="99"/>
      <x:c r="G135" s="99"/>
      <x:c r="H135" s="99"/>
      <x:c r="I135" s="99"/>
      <x:c r="J135" s="99"/>
      <x:c r="K135" s="99"/>
      <x:c r="L135" s="99"/>
      <x:c r="M135" s="99"/>
      <x:c r="N135" s="99"/>
      <x:c r="O135" s="99"/>
      <x:c r="P135" s="99"/>
      <x:c r="Q135" s="99"/>
      <x:c r="R135" s="99"/>
      <x:c r="S135" s="99"/>
      <x:c r="T135" s="99"/>
      <x:c r="U135" s="99"/>
      <x:c r="V135" s="99"/>
      <x:c r="W135" s="99"/>
      <x:c r="X135" s="99"/>
      <x:c r="Y135" s="99"/>
      <x:c r="Z135" s="99"/>
    </x:row>
    <x:row r="136">
      <x:c r="A136" s="99"/>
      <x:c r="B136" s="99"/>
      <x:c r="C136" s="99"/>
      <x:c r="D136" s="99"/>
      <x:c r="E136" s="99"/>
      <x:c r="F136" s="99"/>
      <x:c r="G136" s="99"/>
      <x:c r="H136" s="99"/>
      <x:c r="I136" s="99"/>
      <x:c r="J136" s="99"/>
      <x:c r="K136" s="99"/>
      <x:c r="L136" s="99"/>
      <x:c r="M136" s="99"/>
      <x:c r="N136" s="99"/>
      <x:c r="O136" s="99"/>
      <x:c r="P136" s="99"/>
      <x:c r="Q136" s="99"/>
      <x:c r="R136" s="99"/>
      <x:c r="S136" s="99"/>
      <x:c r="T136" s="99"/>
      <x:c r="U136" s="99"/>
      <x:c r="V136" s="99"/>
      <x:c r="W136" s="99"/>
      <x:c r="X136" s="99"/>
      <x:c r="Y136" s="99"/>
      <x:c r="Z136" s="99"/>
    </x:row>
    <x:row r="137">
      <x:c r="A137" s="99"/>
      <x:c r="B137" s="99"/>
      <x:c r="C137" s="99"/>
      <x:c r="D137" s="99"/>
      <x:c r="E137" s="99"/>
      <x:c r="F137" s="99"/>
      <x:c r="G137" s="99"/>
      <x:c r="H137" s="99"/>
      <x:c r="I137" s="99"/>
      <x:c r="J137" s="99"/>
      <x:c r="K137" s="99"/>
      <x:c r="L137" s="99"/>
      <x:c r="M137" s="99"/>
      <x:c r="N137" s="99"/>
      <x:c r="O137" s="99"/>
      <x:c r="P137" s="99"/>
      <x:c r="Q137" s="99"/>
      <x:c r="R137" s="99"/>
      <x:c r="S137" s="99"/>
      <x:c r="T137" s="99"/>
      <x:c r="U137" s="99"/>
      <x:c r="V137" s="99"/>
      <x:c r="W137" s="99"/>
      <x:c r="X137" s="99"/>
      <x:c r="Y137" s="99"/>
      <x:c r="Z137" s="99"/>
    </x:row>
    <x:row r="138">
      <x:c r="A138" s="99"/>
      <x:c r="B138" s="99"/>
      <x:c r="C138" s="99"/>
      <x:c r="D138" s="99"/>
      <x:c r="E138" s="99"/>
      <x:c r="F138" s="99"/>
      <x:c r="G138" s="99"/>
      <x:c r="H138" s="99"/>
      <x:c r="I138" s="99"/>
      <x:c r="J138" s="99"/>
      <x:c r="K138" s="99"/>
      <x:c r="L138" s="99"/>
      <x:c r="M138" s="99"/>
      <x:c r="N138" s="99"/>
      <x:c r="O138" s="99"/>
      <x:c r="P138" s="99"/>
      <x:c r="Q138" s="99"/>
      <x:c r="R138" s="99"/>
      <x:c r="S138" s="99"/>
      <x:c r="T138" s="99"/>
      <x:c r="U138" s="99"/>
      <x:c r="V138" s="99"/>
      <x:c r="W138" s="99"/>
      <x:c r="X138" s="99"/>
      <x:c r="Y138" s="99"/>
      <x:c r="Z138" s="99"/>
    </x:row>
    <x:row r="139">
      <x:c r="A139" s="99"/>
      <x:c r="B139" s="99"/>
      <x:c r="C139" s="99"/>
      <x:c r="D139" s="99"/>
      <x:c r="E139" s="99"/>
      <x:c r="F139" s="99"/>
      <x:c r="G139" s="99"/>
      <x:c r="H139" s="99"/>
      <x:c r="I139" s="99"/>
      <x:c r="J139" s="99"/>
      <x:c r="K139" s="99"/>
      <x:c r="L139" s="99"/>
      <x:c r="M139" s="99"/>
      <x:c r="N139" s="99"/>
      <x:c r="O139" s="99"/>
      <x:c r="P139" s="99"/>
      <x:c r="Q139" s="99"/>
      <x:c r="R139" s="99"/>
      <x:c r="S139" s="99"/>
      <x:c r="T139" s="99"/>
      <x:c r="U139" s="99"/>
      <x:c r="V139" s="99"/>
      <x:c r="W139" s="99"/>
      <x:c r="X139" s="99"/>
      <x:c r="Y139" s="99"/>
      <x:c r="Z139" s="99"/>
    </x:row>
    <x:row r="140">
      <x:c r="A140" s="99"/>
      <x:c r="B140" s="99"/>
      <x:c r="C140" s="99"/>
      <x:c r="D140" s="99"/>
      <x:c r="E140" s="99"/>
      <x:c r="F140" s="99"/>
      <x:c r="G140" s="99"/>
      <x:c r="H140" s="99"/>
      <x:c r="I140" s="99"/>
      <x:c r="J140" s="99"/>
      <x:c r="K140" s="99"/>
      <x:c r="L140" s="99"/>
      <x:c r="M140" s="99"/>
      <x:c r="N140" s="99"/>
      <x:c r="O140" s="99"/>
      <x:c r="P140" s="99"/>
      <x:c r="Q140" s="99"/>
      <x:c r="R140" s="99"/>
      <x:c r="S140" s="99"/>
      <x:c r="T140" s="99"/>
      <x:c r="U140" s="99"/>
      <x:c r="V140" s="99"/>
      <x:c r="W140" s="99"/>
      <x:c r="X140" s="99"/>
      <x:c r="Y140" s="99"/>
      <x:c r="Z140" s="99"/>
    </x:row>
    <x:row r="141">
      <x:c r="A141" s="99"/>
      <x:c r="B141" s="99"/>
      <x:c r="C141" s="99"/>
      <x:c r="D141" s="99"/>
      <x:c r="E141" s="99"/>
      <x:c r="F141" s="99"/>
      <x:c r="G141" s="99"/>
      <x:c r="H141" s="99"/>
      <x:c r="I141" s="99"/>
      <x:c r="J141" s="99"/>
      <x:c r="K141" s="99"/>
      <x:c r="L141" s="99"/>
      <x:c r="M141" s="99"/>
      <x:c r="N141" s="99"/>
      <x:c r="O141" s="99"/>
      <x:c r="P141" s="99"/>
      <x:c r="Q141" s="99"/>
      <x:c r="R141" s="99"/>
      <x:c r="S141" s="99"/>
      <x:c r="T141" s="99"/>
      <x:c r="U141" s="99"/>
      <x:c r="V141" s="99"/>
      <x:c r="W141" s="99"/>
      <x:c r="X141" s="99"/>
      <x:c r="Y141" s="99"/>
      <x:c r="Z141" s="99"/>
    </x:row>
    <x:row r="142">
      <x:c r="A142" s="99"/>
      <x:c r="B142" s="99"/>
      <x:c r="C142" s="99"/>
      <x:c r="D142" s="99"/>
      <x:c r="E142" s="99"/>
      <x:c r="F142" s="99"/>
      <x:c r="G142" s="99"/>
      <x:c r="H142" s="99"/>
      <x:c r="I142" s="99"/>
      <x:c r="J142" s="99"/>
      <x:c r="K142" s="99"/>
      <x:c r="L142" s="99"/>
      <x:c r="M142" s="99"/>
      <x:c r="N142" s="99"/>
      <x:c r="O142" s="99"/>
      <x:c r="P142" s="99"/>
      <x:c r="Q142" s="99"/>
      <x:c r="R142" s="99"/>
      <x:c r="S142" s="99"/>
      <x:c r="T142" s="99"/>
      <x:c r="U142" s="99"/>
      <x:c r="V142" s="99"/>
      <x:c r="W142" s="99"/>
      <x:c r="X142" s="99"/>
      <x:c r="Y142" s="99"/>
      <x:c r="Z142" s="99"/>
    </x:row>
    <x:row r="143">
      <x:c r="A143" s="99"/>
      <x:c r="B143" s="99"/>
      <x:c r="C143" s="99"/>
      <x:c r="D143" s="99"/>
      <x:c r="E143" s="99"/>
      <x:c r="F143" s="99"/>
      <x:c r="G143" s="99"/>
      <x:c r="H143" s="99"/>
      <x:c r="I143" s="99"/>
      <x:c r="J143" s="99"/>
      <x:c r="K143" s="99"/>
      <x:c r="L143" s="99"/>
      <x:c r="M143" s="99"/>
      <x:c r="N143" s="99"/>
      <x:c r="O143" s="99"/>
      <x:c r="P143" s="99"/>
      <x:c r="Q143" s="99"/>
      <x:c r="R143" s="99"/>
      <x:c r="S143" s="99"/>
      <x:c r="T143" s="99"/>
      <x:c r="U143" s="99"/>
      <x:c r="V143" s="99"/>
      <x:c r="W143" s="99"/>
      <x:c r="X143" s="99"/>
      <x:c r="Y143" s="99"/>
      <x:c r="Z143" s="99"/>
    </x:row>
    <x:row r="144">
      <x:c r="A144" s="99"/>
      <x:c r="B144" s="99"/>
      <x:c r="C144" s="99"/>
      <x:c r="D144" s="99"/>
      <x:c r="E144" s="99"/>
      <x:c r="F144" s="99"/>
      <x:c r="G144" s="99"/>
      <x:c r="H144" s="99"/>
      <x:c r="I144" s="99"/>
      <x:c r="J144" s="99"/>
      <x:c r="K144" s="99"/>
      <x:c r="L144" s="99"/>
      <x:c r="M144" s="99"/>
      <x:c r="N144" s="99"/>
      <x:c r="O144" s="99"/>
      <x:c r="P144" s="99"/>
      <x:c r="Q144" s="99"/>
      <x:c r="R144" s="99"/>
      <x:c r="S144" s="99"/>
      <x:c r="T144" s="99"/>
      <x:c r="U144" s="99"/>
      <x:c r="V144" s="99"/>
      <x:c r="W144" s="99"/>
      <x:c r="X144" s="99"/>
      <x:c r="Y144" s="99"/>
      <x:c r="Z144" s="99"/>
    </x:row>
    <x:row r="145">
      <x:c r="A145" s="99"/>
      <x:c r="B145" s="99"/>
      <x:c r="C145" s="99"/>
      <x:c r="D145" s="99"/>
      <x:c r="E145" s="99"/>
      <x:c r="F145" s="99"/>
      <x:c r="G145" s="99"/>
      <x:c r="H145" s="99"/>
      <x:c r="I145" s="99"/>
      <x:c r="J145" s="99"/>
      <x:c r="K145" s="99"/>
      <x:c r="L145" s="99"/>
      <x:c r="M145" s="99"/>
      <x:c r="N145" s="99"/>
      <x:c r="O145" s="99"/>
      <x:c r="P145" s="99"/>
      <x:c r="Q145" s="99"/>
      <x:c r="R145" s="99"/>
      <x:c r="S145" s="99"/>
      <x:c r="T145" s="99"/>
      <x:c r="U145" s="99"/>
      <x:c r="V145" s="99"/>
      <x:c r="W145" s="99"/>
      <x:c r="X145" s="99"/>
      <x:c r="Y145" s="99"/>
      <x:c r="Z145" s="99"/>
    </x:row>
    <x:row r="146">
      <x:c r="A146" s="99"/>
      <x:c r="B146" s="99"/>
      <x:c r="C146" s="99"/>
      <x:c r="D146" s="99"/>
      <x:c r="E146" s="99"/>
      <x:c r="F146" s="99"/>
      <x:c r="G146" s="99"/>
      <x:c r="H146" s="99"/>
      <x:c r="I146" s="99"/>
      <x:c r="J146" s="99"/>
      <x:c r="K146" s="99"/>
      <x:c r="L146" s="99"/>
      <x:c r="M146" s="99"/>
      <x:c r="N146" s="99"/>
      <x:c r="O146" s="99"/>
      <x:c r="P146" s="99"/>
      <x:c r="Q146" s="99"/>
      <x:c r="R146" s="99"/>
      <x:c r="S146" s="99"/>
      <x:c r="T146" s="99"/>
      <x:c r="U146" s="99"/>
      <x:c r="V146" s="99"/>
      <x:c r="W146" s="99"/>
      <x:c r="X146" s="99"/>
      <x:c r="Y146" s="99"/>
      <x:c r="Z146" s="99"/>
    </x:row>
    <x:row r="147">
      <x:c r="A147" s="99"/>
      <x:c r="B147" s="99"/>
      <x:c r="C147" s="99"/>
      <x:c r="D147" s="99"/>
      <x:c r="E147" s="99"/>
      <x:c r="F147" s="99"/>
      <x:c r="G147" s="99"/>
      <x:c r="H147" s="99"/>
      <x:c r="I147" s="99"/>
      <x:c r="J147" s="99"/>
      <x:c r="K147" s="99"/>
      <x:c r="L147" s="99"/>
      <x:c r="M147" s="99"/>
      <x:c r="N147" s="99"/>
      <x:c r="O147" s="99"/>
      <x:c r="P147" s="99"/>
      <x:c r="Q147" s="99"/>
      <x:c r="R147" s="99"/>
      <x:c r="S147" s="99"/>
      <x:c r="T147" s="99"/>
      <x:c r="U147" s="99"/>
      <x:c r="V147" s="99"/>
      <x:c r="W147" s="99"/>
      <x:c r="X147" s="99"/>
      <x:c r="Y147" s="99"/>
      <x:c r="Z147" s="99"/>
    </x:row>
    <x:row r="148">
      <x:c r="A148" s="99"/>
      <x:c r="B148" s="99"/>
      <x:c r="C148" s="99"/>
      <x:c r="D148" s="99"/>
      <x:c r="E148" s="99"/>
      <x:c r="F148" s="99"/>
      <x:c r="G148" s="99"/>
      <x:c r="H148" s="99"/>
      <x:c r="I148" s="99"/>
      <x:c r="J148" s="99"/>
      <x:c r="K148" s="99"/>
      <x:c r="L148" s="99"/>
      <x:c r="M148" s="99"/>
      <x:c r="N148" s="99"/>
      <x:c r="O148" s="99"/>
      <x:c r="P148" s="99"/>
      <x:c r="Q148" s="99"/>
      <x:c r="R148" s="99"/>
      <x:c r="S148" s="99"/>
      <x:c r="T148" s="99"/>
      <x:c r="U148" s="99"/>
      <x:c r="V148" s="99"/>
      <x:c r="W148" s="99"/>
      <x:c r="X148" s="99"/>
      <x:c r="Y148" s="99"/>
      <x:c r="Z148" s="99"/>
    </x:row>
    <x:row r="149">
      <x:c r="A149" s="99"/>
      <x:c r="B149" s="99"/>
      <x:c r="C149" s="99"/>
      <x:c r="D149" s="99"/>
      <x:c r="E149" s="99"/>
      <x:c r="F149" s="99"/>
      <x:c r="G149" s="99"/>
      <x:c r="H149" s="99"/>
      <x:c r="I149" s="99"/>
      <x:c r="J149" s="99"/>
      <x:c r="K149" s="99"/>
      <x:c r="L149" s="99"/>
      <x:c r="M149" s="99"/>
      <x:c r="N149" s="99"/>
      <x:c r="O149" s="99"/>
      <x:c r="P149" s="99"/>
      <x:c r="Q149" s="99"/>
      <x:c r="R149" s="99"/>
      <x:c r="S149" s="99"/>
      <x:c r="T149" s="99"/>
      <x:c r="U149" s="99"/>
      <x:c r="V149" s="99"/>
      <x:c r="W149" s="99"/>
      <x:c r="X149" s="99"/>
      <x:c r="Y149" s="99"/>
      <x:c r="Z149" s="99"/>
    </x:row>
    <x:row r="150">
      <x:c r="A150" s="99"/>
      <x:c r="B150" s="99"/>
      <x:c r="C150" s="99"/>
      <x:c r="D150" s="99"/>
      <x:c r="E150" s="99"/>
      <x:c r="F150" s="99"/>
      <x:c r="G150" s="99"/>
      <x:c r="H150" s="99"/>
      <x:c r="I150" s="99"/>
      <x:c r="J150" s="99"/>
      <x:c r="K150" s="99"/>
      <x:c r="L150" s="99"/>
      <x:c r="M150" s="99"/>
      <x:c r="N150" s="99"/>
      <x:c r="O150" s="99"/>
      <x:c r="P150" s="99"/>
      <x:c r="Q150" s="99"/>
      <x:c r="R150" s="99"/>
      <x:c r="S150" s="99"/>
      <x:c r="T150" s="99"/>
      <x:c r="U150" s="99"/>
      <x:c r="V150" s="99"/>
      <x:c r="W150" s="99"/>
      <x:c r="X150" s="99"/>
      <x:c r="Y150" s="99"/>
      <x:c r="Z150" s="99"/>
    </x:row>
    <x:row r="151">
      <x:c r="A151" s="99"/>
      <x:c r="B151" s="99"/>
      <x:c r="C151" s="99"/>
      <x:c r="D151" s="99"/>
      <x:c r="E151" s="99"/>
      <x:c r="F151" s="99"/>
      <x:c r="G151" s="99"/>
      <x:c r="H151" s="99"/>
      <x:c r="I151" s="99"/>
      <x:c r="J151" s="99"/>
      <x:c r="K151" s="99"/>
      <x:c r="L151" s="99"/>
      <x:c r="M151" s="99"/>
      <x:c r="N151" s="99"/>
      <x:c r="O151" s="99"/>
      <x:c r="P151" s="99"/>
      <x:c r="Q151" s="99"/>
      <x:c r="R151" s="99"/>
      <x:c r="S151" s="99"/>
      <x:c r="T151" s="99"/>
      <x:c r="U151" s="99"/>
      <x:c r="V151" s="99"/>
      <x:c r="W151" s="99"/>
      <x:c r="X151" s="99"/>
      <x:c r="Y151" s="99"/>
      <x:c r="Z151" s="99"/>
    </x:row>
    <x:row r="152">
      <x:c r="A152" s="99"/>
      <x:c r="B152" s="99"/>
      <x:c r="C152" s="99"/>
      <x:c r="D152" s="99"/>
      <x:c r="E152" s="99"/>
      <x:c r="F152" s="99"/>
      <x:c r="G152" s="99"/>
      <x:c r="H152" s="99"/>
      <x:c r="I152" s="99"/>
      <x:c r="J152" s="99"/>
      <x:c r="K152" s="99"/>
      <x:c r="L152" s="99"/>
      <x:c r="M152" s="99"/>
      <x:c r="N152" s="99"/>
      <x:c r="O152" s="99"/>
      <x:c r="P152" s="99"/>
      <x:c r="Q152" s="99"/>
      <x:c r="R152" s="99"/>
      <x:c r="S152" s="99"/>
      <x:c r="T152" s="99"/>
      <x:c r="U152" s="99"/>
      <x:c r="V152" s="99"/>
      <x:c r="W152" s="99"/>
      <x:c r="X152" s="99"/>
      <x:c r="Y152" s="99"/>
      <x:c r="Z152" s="99"/>
    </x:row>
    <x:row r="153">
      <x:c r="A153" s="99"/>
      <x:c r="B153" s="99"/>
      <x:c r="C153" s="99"/>
      <x:c r="D153" s="99"/>
      <x:c r="E153" s="99"/>
      <x:c r="F153" s="99"/>
      <x:c r="G153" s="99"/>
      <x:c r="H153" s="99"/>
      <x:c r="I153" s="99"/>
      <x:c r="J153" s="99"/>
      <x:c r="K153" s="99"/>
      <x:c r="L153" s="99"/>
      <x:c r="M153" s="99"/>
      <x:c r="N153" s="99"/>
      <x:c r="O153" s="99"/>
      <x:c r="P153" s="99"/>
      <x:c r="Q153" s="99"/>
      <x:c r="R153" s="99"/>
      <x:c r="S153" s="99"/>
      <x:c r="T153" s="99"/>
      <x:c r="U153" s="99"/>
      <x:c r="V153" s="99"/>
      <x:c r="W153" s="99"/>
      <x:c r="X153" s="99"/>
      <x:c r="Y153" s="99"/>
      <x:c r="Z153" s="99"/>
    </x:row>
    <x:row r="154">
      <x:c r="A154" s="99"/>
      <x:c r="B154" s="99"/>
      <x:c r="C154" s="99"/>
      <x:c r="D154" s="99"/>
      <x:c r="E154" s="99"/>
      <x:c r="F154" s="99"/>
      <x:c r="G154" s="99"/>
      <x:c r="H154" s="99"/>
      <x:c r="I154" s="99"/>
      <x:c r="J154" s="99"/>
      <x:c r="K154" s="99"/>
      <x:c r="L154" s="99"/>
      <x:c r="M154" s="99"/>
      <x:c r="N154" s="99"/>
      <x:c r="O154" s="99"/>
      <x:c r="P154" s="99"/>
      <x:c r="Q154" s="99"/>
      <x:c r="R154" s="99"/>
      <x:c r="S154" s="99"/>
      <x:c r="T154" s="99"/>
      <x:c r="U154" s="99"/>
      <x:c r="V154" s="99"/>
      <x:c r="W154" s="99"/>
      <x:c r="X154" s="99"/>
      <x:c r="Y154" s="99"/>
      <x:c r="Z154" s="99"/>
    </x:row>
    <x:row r="155">
      <x:c r="A155" s="99"/>
      <x:c r="B155" s="99"/>
      <x:c r="C155" s="99"/>
      <x:c r="D155" s="99"/>
      <x:c r="E155" s="99"/>
      <x:c r="F155" s="99"/>
      <x:c r="G155" s="99"/>
      <x:c r="H155" s="99"/>
      <x:c r="I155" s="99"/>
      <x:c r="J155" s="99"/>
      <x:c r="K155" s="99"/>
      <x:c r="L155" s="99"/>
      <x:c r="M155" s="99"/>
      <x:c r="N155" s="99"/>
      <x:c r="O155" s="99"/>
      <x:c r="P155" s="99"/>
      <x:c r="Q155" s="99"/>
      <x:c r="R155" s="99"/>
      <x:c r="S155" s="99"/>
      <x:c r="T155" s="99"/>
      <x:c r="U155" s="99"/>
      <x:c r="V155" s="99"/>
      <x:c r="W155" s="99"/>
      <x:c r="X155" s="99"/>
      <x:c r="Y155" s="99"/>
      <x:c r="Z155" s="99"/>
    </x:row>
    <x:row r="156">
      <x:c r="A156" s="99"/>
      <x:c r="B156" s="99"/>
      <x:c r="C156" s="99"/>
      <x:c r="D156" s="99"/>
      <x:c r="E156" s="99"/>
      <x:c r="F156" s="99"/>
      <x:c r="G156" s="99"/>
      <x:c r="H156" s="99"/>
      <x:c r="I156" s="99"/>
      <x:c r="J156" s="99"/>
      <x:c r="K156" s="99"/>
      <x:c r="L156" s="99"/>
      <x:c r="M156" s="99"/>
      <x:c r="N156" s="99"/>
      <x:c r="O156" s="99"/>
      <x:c r="P156" s="99"/>
      <x:c r="Q156" s="99"/>
      <x:c r="R156" s="99"/>
      <x:c r="S156" s="99"/>
      <x:c r="T156" s="99"/>
      <x:c r="U156" s="99"/>
      <x:c r="V156" s="99"/>
      <x:c r="W156" s="99"/>
      <x:c r="X156" s="99"/>
      <x:c r="Y156" s="99"/>
      <x:c r="Z156" s="99"/>
    </x:row>
    <x:row r="157">
      <x:c r="A157" s="99"/>
      <x:c r="B157" s="99"/>
      <x:c r="C157" s="99"/>
      <x:c r="D157" s="99"/>
      <x:c r="E157" s="99"/>
      <x:c r="F157" s="99"/>
      <x:c r="G157" s="99"/>
      <x:c r="H157" s="99"/>
      <x:c r="I157" s="99"/>
      <x:c r="J157" s="99"/>
      <x:c r="K157" s="99"/>
      <x:c r="L157" s="99"/>
      <x:c r="M157" s="99"/>
      <x:c r="N157" s="99"/>
      <x:c r="O157" s="99"/>
      <x:c r="P157" s="99"/>
      <x:c r="Q157" s="99"/>
      <x:c r="R157" s="99"/>
      <x:c r="S157" s="99"/>
      <x:c r="T157" s="99"/>
      <x:c r="U157" s="99"/>
      <x:c r="V157" s="99"/>
      <x:c r="W157" s="99"/>
      <x:c r="X157" s="99"/>
      <x:c r="Y157" s="99"/>
      <x:c r="Z157" s="99"/>
    </x:row>
    <x:row r="158">
      <x:c r="A158" s="99"/>
      <x:c r="B158" s="99"/>
      <x:c r="C158" s="99"/>
      <x:c r="D158" s="99"/>
      <x:c r="E158" s="99"/>
      <x:c r="F158" s="99"/>
      <x:c r="G158" s="99"/>
      <x:c r="H158" s="99"/>
      <x:c r="I158" s="99"/>
      <x:c r="J158" s="99"/>
      <x:c r="K158" s="99"/>
      <x:c r="L158" s="99"/>
      <x:c r="M158" s="99"/>
      <x:c r="N158" s="99"/>
      <x:c r="O158" s="99"/>
      <x:c r="P158" s="99"/>
      <x:c r="Q158" s="99"/>
      <x:c r="R158" s="99"/>
      <x:c r="S158" s="99"/>
      <x:c r="T158" s="99"/>
      <x:c r="U158" s="99"/>
      <x:c r="V158" s="99"/>
      <x:c r="W158" s="99"/>
      <x:c r="X158" s="99"/>
      <x:c r="Y158" s="99"/>
      <x:c r="Z158" s="99"/>
    </x:row>
    <x:row r="159">
      <x:c r="A159" s="99"/>
      <x:c r="B159" s="99"/>
      <x:c r="C159" s="99"/>
      <x:c r="D159" s="99"/>
      <x:c r="E159" s="99"/>
      <x:c r="F159" s="99"/>
      <x:c r="G159" s="99"/>
      <x:c r="H159" s="99"/>
      <x:c r="I159" s="99"/>
      <x:c r="J159" s="99"/>
      <x:c r="K159" s="99"/>
      <x:c r="L159" s="99"/>
      <x:c r="M159" s="99"/>
      <x:c r="N159" s="99"/>
      <x:c r="O159" s="99"/>
      <x:c r="P159" s="99"/>
      <x:c r="Q159" s="99"/>
      <x:c r="R159" s="99"/>
      <x:c r="S159" s="99"/>
      <x:c r="T159" s="99"/>
      <x:c r="U159" s="99"/>
      <x:c r="V159" s="99"/>
      <x:c r="W159" s="99"/>
      <x:c r="X159" s="99"/>
      <x:c r="Y159" s="99"/>
      <x:c r="Z159" s="99"/>
    </x:row>
    <x:row r="160">
      <x:c r="A160" s="99"/>
      <x:c r="B160" s="99"/>
      <x:c r="C160" s="99"/>
      <x:c r="D160" s="99"/>
      <x:c r="E160" s="99"/>
      <x:c r="F160" s="99"/>
      <x:c r="G160" s="99"/>
      <x:c r="H160" s="99"/>
      <x:c r="I160" s="99"/>
      <x:c r="J160" s="99"/>
      <x:c r="K160" s="99"/>
      <x:c r="L160" s="99"/>
      <x:c r="M160" s="99"/>
      <x:c r="N160" s="99"/>
      <x:c r="O160" s="99"/>
      <x:c r="P160" s="99"/>
      <x:c r="Q160" s="99"/>
      <x:c r="R160" s="99"/>
      <x:c r="S160" s="99"/>
      <x:c r="T160" s="99"/>
      <x:c r="U160" s="99"/>
      <x:c r="V160" s="99"/>
      <x:c r="W160" s="99"/>
      <x:c r="X160" s="99"/>
      <x:c r="Y160" s="99"/>
      <x:c r="Z160" s="99"/>
    </x:row>
    <x:row r="161">
      <x:c r="A161" s="99"/>
      <x:c r="B161" s="99"/>
      <x:c r="C161" s="99"/>
      <x:c r="D161" s="99"/>
      <x:c r="E161" s="99"/>
      <x:c r="F161" s="99"/>
      <x:c r="G161" s="99"/>
      <x:c r="H161" s="99"/>
      <x:c r="I161" s="99"/>
      <x:c r="J161" s="99"/>
      <x:c r="K161" s="99"/>
      <x:c r="L161" s="99"/>
      <x:c r="M161" s="99"/>
      <x:c r="N161" s="99"/>
      <x:c r="O161" s="99"/>
      <x:c r="P161" s="99"/>
      <x:c r="Q161" s="99"/>
      <x:c r="R161" s="99"/>
      <x:c r="S161" s="99"/>
      <x:c r="T161" s="99"/>
      <x:c r="U161" s="99"/>
      <x:c r="V161" s="99"/>
      <x:c r="W161" s="99"/>
      <x:c r="X161" s="99"/>
      <x:c r="Y161" s="99"/>
      <x:c r="Z161" s="99"/>
    </x:row>
    <x:row r="162">
      <x:c r="A162" s="99"/>
      <x:c r="B162" s="99"/>
      <x:c r="C162" s="99"/>
      <x:c r="D162" s="99"/>
      <x:c r="E162" s="99"/>
      <x:c r="F162" s="99"/>
      <x:c r="G162" s="99"/>
      <x:c r="H162" s="99"/>
      <x:c r="I162" s="99"/>
      <x:c r="J162" s="99"/>
      <x:c r="K162" s="99"/>
      <x:c r="L162" s="99"/>
      <x:c r="M162" s="99"/>
      <x:c r="N162" s="99"/>
      <x:c r="O162" s="99"/>
      <x:c r="P162" s="99"/>
      <x:c r="Q162" s="99"/>
      <x:c r="R162" s="99"/>
      <x:c r="S162" s="99"/>
      <x:c r="T162" s="99"/>
      <x:c r="U162" s="99"/>
      <x:c r="V162" s="99"/>
      <x:c r="W162" s="99"/>
      <x:c r="X162" s="99"/>
      <x:c r="Y162" s="99"/>
      <x:c r="Z162" s="99"/>
    </x:row>
    <x:row r="163">
      <x:c r="A163" s="99"/>
      <x:c r="B163" s="99"/>
      <x:c r="C163" s="99"/>
      <x:c r="D163" s="99"/>
      <x:c r="E163" s="99"/>
      <x:c r="F163" s="99"/>
      <x:c r="G163" s="99"/>
      <x:c r="H163" s="99"/>
      <x:c r="I163" s="99"/>
      <x:c r="J163" s="99"/>
      <x:c r="K163" s="99"/>
      <x:c r="L163" s="99"/>
      <x:c r="M163" s="99"/>
      <x:c r="N163" s="99"/>
      <x:c r="O163" s="99"/>
      <x:c r="P163" s="99"/>
      <x:c r="Q163" s="99"/>
      <x:c r="R163" s="99"/>
      <x:c r="S163" s="99"/>
      <x:c r="T163" s="99"/>
      <x:c r="U163" s="99"/>
      <x:c r="V163" s="99"/>
      <x:c r="W163" s="99"/>
      <x:c r="X163" s="99"/>
      <x:c r="Y163" s="99"/>
      <x:c r="Z163" s="99"/>
    </x:row>
    <x:row r="164">
      <x:c r="A164" s="99"/>
      <x:c r="B164" s="99"/>
      <x:c r="C164" s="99"/>
      <x:c r="D164" s="99"/>
      <x:c r="E164" s="99"/>
      <x:c r="F164" s="99"/>
      <x:c r="G164" s="99"/>
      <x:c r="H164" s="99"/>
      <x:c r="I164" s="99"/>
      <x:c r="J164" s="99"/>
      <x:c r="K164" s="99"/>
      <x:c r="L164" s="99"/>
      <x:c r="M164" s="99"/>
      <x:c r="N164" s="99"/>
      <x:c r="O164" s="99"/>
      <x:c r="P164" s="99"/>
      <x:c r="Q164" s="99"/>
      <x:c r="R164" s="99"/>
      <x:c r="S164" s="99"/>
      <x:c r="T164" s="99"/>
      <x:c r="U164" s="99"/>
      <x:c r="V164" s="99"/>
      <x:c r="W164" s="99"/>
      <x:c r="X164" s="99"/>
      <x:c r="Y164" s="99"/>
      <x:c r="Z164" s="99"/>
    </x:row>
    <x:row r="165">
      <x:c r="A165" s="99"/>
      <x:c r="B165" s="99"/>
      <x:c r="C165" s="99"/>
      <x:c r="D165" s="99"/>
      <x:c r="E165" s="99"/>
      <x:c r="F165" s="99"/>
      <x:c r="G165" s="99"/>
      <x:c r="H165" s="99"/>
      <x:c r="I165" s="99"/>
      <x:c r="J165" s="99"/>
      <x:c r="K165" s="99"/>
      <x:c r="L165" s="99"/>
      <x:c r="M165" s="99"/>
      <x:c r="N165" s="99"/>
      <x:c r="O165" s="99"/>
      <x:c r="P165" s="99"/>
      <x:c r="Q165" s="99"/>
      <x:c r="R165" s="99"/>
      <x:c r="S165" s="99"/>
      <x:c r="T165" s="99"/>
      <x:c r="U165" s="99"/>
      <x:c r="V165" s="99"/>
      <x:c r="W165" s="99"/>
      <x:c r="X165" s="99"/>
      <x:c r="Y165" s="99"/>
      <x:c r="Z165" s="99"/>
    </x:row>
    <x:row r="166">
      <x:c r="A166" s="99"/>
      <x:c r="B166" s="99"/>
      <x:c r="C166" s="99"/>
      <x:c r="D166" s="99"/>
      <x:c r="E166" s="99"/>
      <x:c r="F166" s="99"/>
      <x:c r="G166" s="99"/>
      <x:c r="H166" s="99"/>
      <x:c r="I166" s="99"/>
      <x:c r="J166" s="99"/>
      <x:c r="K166" s="99"/>
      <x:c r="L166" s="99"/>
      <x:c r="M166" s="99"/>
      <x:c r="N166" s="99"/>
      <x:c r="O166" s="99"/>
      <x:c r="P166" s="99"/>
      <x:c r="Q166" s="99"/>
      <x:c r="R166" s="99"/>
      <x:c r="S166" s="99"/>
      <x:c r="T166" s="99"/>
      <x:c r="U166" s="99"/>
      <x:c r="V166" s="99"/>
      <x:c r="W166" s="99"/>
      <x:c r="X166" s="99"/>
      <x:c r="Y166" s="99"/>
      <x:c r="Z166" s="99"/>
    </x:row>
    <x:row r="167">
      <x:c r="A167" s="99"/>
      <x:c r="B167" s="99"/>
      <x:c r="C167" s="99"/>
      <x:c r="D167" s="99"/>
      <x:c r="E167" s="99"/>
      <x:c r="F167" s="99"/>
      <x:c r="G167" s="99"/>
      <x:c r="H167" s="99"/>
      <x:c r="I167" s="99"/>
      <x:c r="J167" s="99"/>
      <x:c r="K167" s="99"/>
      <x:c r="L167" s="99"/>
      <x:c r="M167" s="99"/>
      <x:c r="N167" s="99"/>
      <x:c r="O167" s="99"/>
      <x:c r="P167" s="99"/>
      <x:c r="Q167" s="99"/>
      <x:c r="R167" s="99"/>
      <x:c r="S167" s="99"/>
      <x:c r="T167" s="99"/>
      <x:c r="U167" s="99"/>
      <x:c r="V167" s="99"/>
      <x:c r="W167" s="99"/>
      <x:c r="X167" s="99"/>
      <x:c r="Y167" s="99"/>
      <x:c r="Z167" s="99"/>
    </x:row>
    <x:row r="168">
      <x:c r="A168" s="99"/>
      <x:c r="B168" s="99"/>
      <x:c r="C168" s="99"/>
      <x:c r="D168" s="99"/>
      <x:c r="E168" s="99"/>
      <x:c r="F168" s="99"/>
      <x:c r="G168" s="99"/>
      <x:c r="H168" s="99"/>
      <x:c r="I168" s="99"/>
      <x:c r="J168" s="99"/>
      <x:c r="K168" s="99"/>
      <x:c r="L168" s="99"/>
      <x:c r="M168" s="99"/>
      <x:c r="N168" s="99"/>
      <x:c r="O168" s="99"/>
      <x:c r="P168" s="99"/>
      <x:c r="Q168" s="99"/>
      <x:c r="R168" s="99"/>
      <x:c r="S168" s="99"/>
      <x:c r="T168" s="99"/>
      <x:c r="U168" s="99"/>
      <x:c r="V168" s="99"/>
      <x:c r="W168" s="99"/>
      <x:c r="X168" s="99"/>
      <x:c r="Y168" s="99"/>
      <x:c r="Z168" s="99"/>
    </x:row>
    <x:row r="169">
      <x:c r="A169" s="99"/>
      <x:c r="B169" s="99"/>
      <x:c r="C169" s="99"/>
      <x:c r="D169" s="99"/>
      <x:c r="E169" s="99"/>
      <x:c r="F169" s="99"/>
      <x:c r="G169" s="99"/>
      <x:c r="H169" s="99"/>
      <x:c r="I169" s="99"/>
      <x:c r="J169" s="99"/>
      <x:c r="K169" s="99"/>
      <x:c r="L169" s="99"/>
      <x:c r="M169" s="99"/>
      <x:c r="N169" s="99"/>
      <x:c r="O169" s="99"/>
      <x:c r="P169" s="99"/>
      <x:c r="Q169" s="99"/>
      <x:c r="R169" s="99"/>
      <x:c r="S169" s="99"/>
      <x:c r="T169" s="99"/>
      <x:c r="U169" s="99"/>
      <x:c r="V169" s="99"/>
      <x:c r="W169" s="99"/>
      <x:c r="X169" s="99"/>
      <x:c r="Y169" s="99"/>
      <x:c r="Z169" s="99"/>
    </x:row>
    <x:row r="170">
      <x:c r="A170" s="99"/>
      <x:c r="B170" s="99"/>
      <x:c r="C170" s="99"/>
      <x:c r="D170" s="99"/>
      <x:c r="E170" s="99"/>
      <x:c r="F170" s="99"/>
      <x:c r="G170" s="99"/>
      <x:c r="H170" s="99"/>
      <x:c r="I170" s="99"/>
      <x:c r="J170" s="99"/>
      <x:c r="K170" s="99"/>
      <x:c r="L170" s="99"/>
      <x:c r="M170" s="99"/>
      <x:c r="N170" s="99"/>
      <x:c r="O170" s="99"/>
      <x:c r="P170" s="99"/>
      <x:c r="Q170" s="99"/>
      <x:c r="R170" s="99"/>
      <x:c r="S170" s="99"/>
      <x:c r="T170" s="99"/>
      <x:c r="U170" s="99"/>
      <x:c r="V170" s="99"/>
      <x:c r="W170" s="99"/>
      <x:c r="X170" s="99"/>
      <x:c r="Y170" s="99"/>
      <x:c r="Z170" s="99"/>
    </x:row>
    <x:row r="171">
      <x:c r="A171" s="99"/>
      <x:c r="B171" s="99"/>
      <x:c r="C171" s="99"/>
      <x:c r="D171" s="99"/>
      <x:c r="E171" s="99"/>
      <x:c r="F171" s="99"/>
      <x:c r="G171" s="99"/>
      <x:c r="H171" s="99"/>
      <x:c r="I171" s="99"/>
      <x:c r="J171" s="99"/>
      <x:c r="K171" s="99"/>
      <x:c r="L171" s="99"/>
      <x:c r="M171" s="99"/>
      <x:c r="N171" s="99"/>
      <x:c r="O171" s="99"/>
      <x:c r="P171" s="99"/>
      <x:c r="Q171" s="99"/>
      <x:c r="R171" s="99"/>
      <x:c r="S171" s="99"/>
      <x:c r="T171" s="99"/>
      <x:c r="U171" s="99"/>
      <x:c r="V171" s="99"/>
      <x:c r="W171" s="99"/>
      <x:c r="X171" s="99"/>
      <x:c r="Y171" s="99"/>
      <x:c r="Z171" s="99"/>
    </x:row>
    <x:row r="172">
      <x:c r="A172" s="99"/>
      <x:c r="B172" s="99"/>
      <x:c r="C172" s="99"/>
      <x:c r="D172" s="99"/>
      <x:c r="E172" s="99"/>
      <x:c r="F172" s="99"/>
      <x:c r="G172" s="99"/>
      <x:c r="H172" s="99"/>
      <x:c r="I172" s="99"/>
      <x:c r="J172" s="99"/>
      <x:c r="K172" s="99"/>
      <x:c r="L172" s="99"/>
      <x:c r="M172" s="99"/>
      <x:c r="N172" s="99"/>
      <x:c r="O172" s="99"/>
      <x:c r="P172" s="99"/>
      <x:c r="Q172" s="99"/>
      <x:c r="R172" s="99"/>
      <x:c r="S172" s="99"/>
      <x:c r="T172" s="99"/>
      <x:c r="U172" s="99"/>
      <x:c r="V172" s="99"/>
      <x:c r="W172" s="99"/>
      <x:c r="X172" s="99"/>
      <x:c r="Y172" s="99"/>
      <x:c r="Z172" s="99"/>
    </x:row>
    <x:row r="173">
      <x:c r="A173" s="99"/>
      <x:c r="B173" s="99"/>
      <x:c r="C173" s="99"/>
      <x:c r="D173" s="99"/>
      <x:c r="E173" s="99"/>
      <x:c r="F173" s="99"/>
      <x:c r="G173" s="99"/>
      <x:c r="H173" s="99"/>
      <x:c r="I173" s="99"/>
      <x:c r="J173" s="99"/>
      <x:c r="K173" s="99"/>
      <x:c r="L173" s="99"/>
      <x:c r="M173" s="99"/>
      <x:c r="N173" s="99"/>
      <x:c r="O173" s="99"/>
      <x:c r="P173" s="99"/>
      <x:c r="Q173" s="99"/>
      <x:c r="R173" s="99"/>
      <x:c r="S173" s="99"/>
      <x:c r="T173" s="99"/>
      <x:c r="U173" s="99"/>
      <x:c r="V173" s="99"/>
      <x:c r="W173" s="99"/>
      <x:c r="X173" s="99"/>
      <x:c r="Y173" s="99"/>
      <x:c r="Z173" s="99"/>
    </x:row>
    <x:row r="174">
      <x:c r="A174" s="99"/>
      <x:c r="B174" s="99"/>
      <x:c r="C174" s="99"/>
      <x:c r="D174" s="99"/>
      <x:c r="E174" s="99"/>
      <x:c r="F174" s="99"/>
      <x:c r="G174" s="99"/>
      <x:c r="H174" s="99"/>
      <x:c r="I174" s="99"/>
      <x:c r="J174" s="99"/>
      <x:c r="K174" s="99"/>
      <x:c r="L174" s="99"/>
      <x:c r="M174" s="99"/>
      <x:c r="N174" s="99"/>
      <x:c r="O174" s="99"/>
      <x:c r="P174" s="99"/>
      <x:c r="Q174" s="99"/>
      <x:c r="R174" s="99"/>
      <x:c r="S174" s="99"/>
      <x:c r="T174" s="99"/>
      <x:c r="U174" s="99"/>
      <x:c r="V174" s="99"/>
      <x:c r="W174" s="99"/>
      <x:c r="X174" s="99"/>
      <x:c r="Y174" s="99"/>
      <x:c r="Z174" s="99"/>
    </x:row>
    <x:row r="175">
      <x:c r="A175" s="99"/>
      <x:c r="B175" s="99"/>
      <x:c r="C175" s="99"/>
      <x:c r="D175" s="99"/>
      <x:c r="E175" s="99"/>
      <x:c r="F175" s="99"/>
      <x:c r="G175" s="99"/>
      <x:c r="H175" s="99"/>
      <x:c r="I175" s="99"/>
      <x:c r="J175" s="99"/>
      <x:c r="K175" s="99"/>
      <x:c r="L175" s="99"/>
      <x:c r="M175" s="99"/>
      <x:c r="N175" s="99"/>
      <x:c r="O175" s="99"/>
      <x:c r="P175" s="99"/>
      <x:c r="Q175" s="99"/>
      <x:c r="R175" s="99"/>
      <x:c r="S175" s="99"/>
      <x:c r="T175" s="99"/>
      <x:c r="U175" s="99"/>
      <x:c r="V175" s="99"/>
      <x:c r="W175" s="99"/>
      <x:c r="X175" s="99"/>
      <x:c r="Y175" s="99"/>
      <x:c r="Z175" s="99"/>
    </x:row>
    <x:row r="176">
      <x:c r="A176" s="99"/>
      <x:c r="B176" s="99"/>
      <x:c r="C176" s="99"/>
      <x:c r="D176" s="99"/>
      <x:c r="E176" s="99"/>
      <x:c r="F176" s="99"/>
      <x:c r="G176" s="99"/>
      <x:c r="H176" s="99"/>
      <x:c r="I176" s="99"/>
      <x:c r="J176" s="99"/>
      <x:c r="K176" s="99"/>
      <x:c r="L176" s="99"/>
      <x:c r="M176" s="99"/>
      <x:c r="N176" s="99"/>
      <x:c r="O176" s="99"/>
      <x:c r="P176" s="99"/>
      <x:c r="Q176" s="99"/>
      <x:c r="R176" s="99"/>
      <x:c r="S176" s="99"/>
      <x:c r="T176" s="99"/>
      <x:c r="U176" s="99"/>
      <x:c r="V176" s="99"/>
      <x:c r="W176" s="99"/>
      <x:c r="X176" s="99"/>
      <x:c r="Y176" s="99"/>
      <x:c r="Z176" s="99"/>
    </x:row>
    <x:row r="177">
      <x:c r="A177" s="99"/>
      <x:c r="B177" s="99"/>
      <x:c r="C177" s="99"/>
      <x:c r="D177" s="99"/>
      <x:c r="E177" s="99"/>
      <x:c r="F177" s="99"/>
      <x:c r="G177" s="99"/>
      <x:c r="H177" s="99"/>
      <x:c r="I177" s="99"/>
      <x:c r="J177" s="99"/>
      <x:c r="K177" s="99"/>
      <x:c r="L177" s="99"/>
      <x:c r="M177" s="99"/>
      <x:c r="N177" s="99"/>
      <x:c r="O177" s="99"/>
      <x:c r="P177" s="99"/>
      <x:c r="Q177" s="99"/>
      <x:c r="R177" s="99"/>
      <x:c r="S177" s="99"/>
      <x:c r="T177" s="99"/>
      <x:c r="U177" s="99"/>
      <x:c r="V177" s="99"/>
      <x:c r="W177" s="99"/>
      <x:c r="X177" s="99"/>
      <x:c r="Y177" s="99"/>
      <x:c r="Z177" s="99"/>
    </x:row>
    <x:row r="178">
      <x:c r="A178" s="99"/>
      <x:c r="B178" s="99"/>
      <x:c r="C178" s="99"/>
      <x:c r="D178" s="99"/>
      <x:c r="E178" s="99"/>
      <x:c r="F178" s="99"/>
      <x:c r="G178" s="99"/>
      <x:c r="H178" s="99"/>
      <x:c r="I178" s="99"/>
      <x:c r="J178" s="99"/>
      <x:c r="K178" s="99"/>
      <x:c r="L178" s="99"/>
      <x:c r="M178" s="99"/>
      <x:c r="N178" s="99"/>
      <x:c r="O178" s="99"/>
      <x:c r="P178" s="99"/>
      <x:c r="Q178" s="99"/>
      <x:c r="R178" s="99"/>
      <x:c r="S178" s="99"/>
      <x:c r="T178" s="99"/>
      <x:c r="U178" s="99"/>
      <x:c r="V178" s="99"/>
      <x:c r="W178" s="99"/>
      <x:c r="X178" s="99"/>
      <x:c r="Y178" s="99"/>
      <x:c r="Z178" s="99"/>
    </x:row>
    <x:row r="179">
      <x:c r="A179" s="99"/>
      <x:c r="B179" s="99"/>
      <x:c r="C179" s="99"/>
      <x:c r="D179" s="99"/>
      <x:c r="E179" s="99"/>
      <x:c r="F179" s="99"/>
      <x:c r="G179" s="99"/>
      <x:c r="H179" s="99"/>
      <x:c r="I179" s="99"/>
      <x:c r="J179" s="99"/>
      <x:c r="K179" s="99"/>
      <x:c r="L179" s="99"/>
      <x:c r="M179" s="99"/>
      <x:c r="N179" s="99"/>
      <x:c r="O179" s="99"/>
      <x:c r="P179" s="99"/>
      <x:c r="Q179" s="99"/>
      <x:c r="R179" s="99"/>
      <x:c r="S179" s="99"/>
      <x:c r="T179" s="99"/>
      <x:c r="U179" s="99"/>
      <x:c r="V179" s="99"/>
      <x:c r="W179" s="99"/>
      <x:c r="X179" s="99"/>
      <x:c r="Y179" s="99"/>
      <x:c r="Z179" s="99"/>
    </x:row>
    <x:row r="180">
      <x:c r="A180" s="99"/>
      <x:c r="B180" s="99"/>
      <x:c r="C180" s="99"/>
      <x:c r="D180" s="99"/>
      <x:c r="E180" s="99"/>
      <x:c r="F180" s="99"/>
      <x:c r="G180" s="99"/>
      <x:c r="H180" s="99"/>
      <x:c r="I180" s="99"/>
      <x:c r="J180" s="99"/>
      <x:c r="K180" s="99"/>
      <x:c r="L180" s="99"/>
      <x:c r="M180" s="99"/>
      <x:c r="N180" s="99"/>
      <x:c r="O180" s="99"/>
      <x:c r="P180" s="99"/>
      <x:c r="Q180" s="99"/>
      <x:c r="R180" s="99"/>
      <x:c r="S180" s="99"/>
      <x:c r="T180" s="99"/>
      <x:c r="U180" s="99"/>
      <x:c r="V180" s="99"/>
      <x:c r="W180" s="99"/>
      <x:c r="X180" s="99"/>
      <x:c r="Y180" s="99"/>
      <x:c r="Z180" s="99"/>
    </x:row>
    <x:row r="181">
      <x:c r="A181" s="99"/>
      <x:c r="B181" s="99"/>
      <x:c r="C181" s="99"/>
      <x:c r="D181" s="99"/>
      <x:c r="E181" s="99"/>
      <x:c r="F181" s="99"/>
      <x:c r="G181" s="99"/>
      <x:c r="H181" s="99"/>
      <x:c r="I181" s="99"/>
      <x:c r="J181" s="99"/>
      <x:c r="K181" s="99"/>
      <x:c r="L181" s="99"/>
      <x:c r="M181" s="99"/>
      <x:c r="N181" s="99"/>
      <x:c r="O181" s="99"/>
      <x:c r="P181" s="99"/>
      <x:c r="Q181" s="99"/>
      <x:c r="R181" s="99"/>
      <x:c r="S181" s="99"/>
      <x:c r="T181" s="99"/>
      <x:c r="U181" s="99"/>
      <x:c r="V181" s="99"/>
      <x:c r="W181" s="99"/>
      <x:c r="X181" s="99"/>
      <x:c r="Y181" s="99"/>
      <x:c r="Z181" s="99"/>
    </x:row>
    <x:row r="182">
      <x:c r="A182" s="99"/>
      <x:c r="B182" s="99"/>
      <x:c r="C182" s="99"/>
      <x:c r="D182" s="99"/>
      <x:c r="E182" s="99"/>
      <x:c r="F182" s="99"/>
      <x:c r="G182" s="99"/>
      <x:c r="H182" s="99"/>
      <x:c r="I182" s="99"/>
      <x:c r="J182" s="99"/>
      <x:c r="K182" s="99"/>
      <x:c r="L182" s="99"/>
      <x:c r="M182" s="99"/>
      <x:c r="N182" s="99"/>
      <x:c r="O182" s="99"/>
      <x:c r="P182" s="99"/>
      <x:c r="Q182" s="99"/>
      <x:c r="R182" s="99"/>
      <x:c r="S182" s="99"/>
      <x:c r="T182" s="99"/>
      <x:c r="U182" s="99"/>
      <x:c r="V182" s="99"/>
      <x:c r="W182" s="99"/>
      <x:c r="X182" s="99"/>
      <x:c r="Y182" s="99"/>
      <x:c r="Z182" s="99"/>
    </x:row>
    <x:row r="183">
      <x:c r="A183" s="99"/>
      <x:c r="B183" s="99"/>
      <x:c r="C183" s="99"/>
      <x:c r="D183" s="99"/>
      <x:c r="E183" s="99"/>
      <x:c r="F183" s="99"/>
      <x:c r="G183" s="99"/>
      <x:c r="H183" s="99"/>
      <x:c r="I183" s="99"/>
      <x:c r="J183" s="99"/>
      <x:c r="K183" s="99"/>
      <x:c r="L183" s="99"/>
      <x:c r="M183" s="99"/>
      <x:c r="N183" s="99"/>
      <x:c r="O183" s="99"/>
      <x:c r="P183" s="99"/>
      <x:c r="Q183" s="99"/>
      <x:c r="R183" s="99"/>
      <x:c r="S183" s="99"/>
      <x:c r="T183" s="99"/>
      <x:c r="U183" s="99"/>
      <x:c r="V183" s="99"/>
      <x:c r="W183" s="99"/>
      <x:c r="X183" s="99"/>
      <x:c r="Y183" s="99"/>
      <x:c r="Z183" s="99"/>
    </x:row>
    <x:row r="184">
      <x:c r="A184" s="99"/>
      <x:c r="B184" s="99"/>
      <x:c r="C184" s="99"/>
      <x:c r="D184" s="99"/>
      <x:c r="E184" s="99"/>
      <x:c r="F184" s="99"/>
      <x:c r="G184" s="99"/>
      <x:c r="H184" s="99"/>
      <x:c r="I184" s="99"/>
      <x:c r="J184" s="99"/>
      <x:c r="K184" s="99"/>
      <x:c r="L184" s="99"/>
      <x:c r="M184" s="99"/>
      <x:c r="N184" s="99"/>
      <x:c r="O184" s="99"/>
      <x:c r="P184" s="99"/>
      <x:c r="Q184" s="99"/>
      <x:c r="R184" s="99"/>
      <x:c r="S184" s="99"/>
      <x:c r="T184" s="99"/>
      <x:c r="U184" s="99"/>
      <x:c r="V184" s="99"/>
      <x:c r="W184" s="99"/>
      <x:c r="X184" s="99"/>
      <x:c r="Y184" s="99"/>
      <x:c r="Z184" s="99"/>
    </x:row>
    <x:row r="185">
      <x:c r="A185" s="99"/>
      <x:c r="B185" s="99"/>
      <x:c r="C185" s="99"/>
      <x:c r="D185" s="99"/>
      <x:c r="E185" s="99"/>
      <x:c r="F185" s="99"/>
      <x:c r="G185" s="99"/>
      <x:c r="H185" s="99"/>
      <x:c r="I185" s="99"/>
      <x:c r="J185" s="99"/>
      <x:c r="K185" s="99"/>
      <x:c r="L185" s="99"/>
      <x:c r="M185" s="99"/>
      <x:c r="N185" s="99"/>
      <x:c r="O185" s="99"/>
      <x:c r="P185" s="99"/>
      <x:c r="Q185" s="99"/>
      <x:c r="R185" s="99"/>
      <x:c r="S185" s="99"/>
      <x:c r="T185" s="99"/>
      <x:c r="U185" s="99"/>
      <x:c r="V185" s="99"/>
      <x:c r="W185" s="99"/>
      <x:c r="X185" s="99"/>
      <x:c r="Y185" s="99"/>
      <x:c r="Z185" s="99"/>
    </x:row>
    <x:row r="186">
      <x:c r="A186" s="99"/>
      <x:c r="B186" s="99"/>
      <x:c r="C186" s="99"/>
      <x:c r="D186" s="99"/>
      <x:c r="E186" s="99"/>
      <x:c r="F186" s="99"/>
      <x:c r="G186" s="99"/>
      <x:c r="H186" s="99"/>
      <x:c r="I186" s="99"/>
      <x:c r="J186" s="99"/>
      <x:c r="K186" s="99"/>
      <x:c r="L186" s="99"/>
      <x:c r="M186" s="99"/>
      <x:c r="N186" s="99"/>
      <x:c r="O186" s="99"/>
      <x:c r="P186" s="99"/>
      <x:c r="Q186" s="99"/>
      <x:c r="R186" s="99"/>
      <x:c r="S186" s="99"/>
      <x:c r="T186" s="99"/>
      <x:c r="U186" s="99"/>
      <x:c r="V186" s="99"/>
      <x:c r="W186" s="99"/>
      <x:c r="X186" s="99"/>
      <x:c r="Y186" s="99"/>
      <x:c r="Z186" s="99"/>
    </x:row>
    <x:row r="187">
      <x:c r="A187" s="99"/>
      <x:c r="B187" s="99"/>
      <x:c r="C187" s="99"/>
      <x:c r="D187" s="99"/>
      <x:c r="E187" s="99"/>
      <x:c r="F187" s="99"/>
      <x:c r="G187" s="99"/>
      <x:c r="H187" s="99"/>
      <x:c r="I187" s="99"/>
      <x:c r="J187" s="99"/>
      <x:c r="K187" s="99"/>
      <x:c r="L187" s="99"/>
      <x:c r="M187" s="99"/>
      <x:c r="N187" s="99"/>
      <x:c r="O187" s="99"/>
      <x:c r="P187" s="99"/>
      <x:c r="Q187" s="99"/>
      <x:c r="R187" s="99"/>
      <x:c r="S187" s="99"/>
      <x:c r="T187" s="99"/>
      <x:c r="U187" s="99"/>
      <x:c r="V187" s="99"/>
      <x:c r="W187" s="99"/>
      <x:c r="X187" s="99"/>
      <x:c r="Y187" s="99"/>
      <x:c r="Z187" s="99"/>
    </x:row>
    <x:row r="188">
      <x:c r="A188" s="99"/>
      <x:c r="B188" s="99"/>
      <x:c r="C188" s="99"/>
      <x:c r="D188" s="99"/>
      <x:c r="E188" s="99"/>
      <x:c r="F188" s="99"/>
      <x:c r="G188" s="99"/>
      <x:c r="H188" s="99"/>
      <x:c r="I188" s="99"/>
      <x:c r="J188" s="99"/>
      <x:c r="K188" s="99"/>
      <x:c r="L188" s="99"/>
      <x:c r="M188" s="99"/>
      <x:c r="N188" s="99"/>
      <x:c r="O188" s="99"/>
      <x:c r="P188" s="99"/>
      <x:c r="Q188" s="99"/>
      <x:c r="R188" s="99"/>
      <x:c r="S188" s="99"/>
      <x:c r="T188" s="99"/>
      <x:c r="U188" s="99"/>
      <x:c r="V188" s="99"/>
      <x:c r="W188" s="99"/>
      <x:c r="X188" s="99"/>
      <x:c r="Y188" s="99"/>
      <x:c r="Z188" s="99"/>
    </x:row>
    <x:row r="189">
      <x:c r="A189" s="99"/>
      <x:c r="B189" s="99"/>
      <x:c r="C189" s="99"/>
      <x:c r="D189" s="99"/>
      <x:c r="E189" s="99"/>
      <x:c r="F189" s="99"/>
      <x:c r="G189" s="99"/>
      <x:c r="H189" s="99"/>
      <x:c r="I189" s="99"/>
      <x:c r="J189" s="99"/>
      <x:c r="K189" s="99"/>
      <x:c r="L189" s="99"/>
      <x:c r="M189" s="99"/>
      <x:c r="N189" s="99"/>
      <x:c r="O189" s="99"/>
      <x:c r="P189" s="99"/>
      <x:c r="Q189" s="99"/>
      <x:c r="R189" s="99"/>
      <x:c r="S189" s="99"/>
      <x:c r="T189" s="99"/>
      <x:c r="U189" s="99"/>
      <x:c r="V189" s="99"/>
      <x:c r="W189" s="99"/>
      <x:c r="X189" s="99"/>
      <x:c r="Y189" s="99"/>
      <x:c r="Z189" s="99"/>
    </x:row>
    <x:row r="190">
      <x:c r="A190" s="99"/>
      <x:c r="B190" s="99"/>
      <x:c r="C190" s="99"/>
      <x:c r="D190" s="99"/>
      <x:c r="E190" s="99"/>
      <x:c r="F190" s="99"/>
      <x:c r="G190" s="99"/>
      <x:c r="H190" s="99"/>
      <x:c r="I190" s="99"/>
      <x:c r="J190" s="99"/>
      <x:c r="K190" s="99"/>
      <x:c r="L190" s="99"/>
      <x:c r="M190" s="99"/>
      <x:c r="N190" s="99"/>
      <x:c r="O190" s="99"/>
      <x:c r="P190" s="99"/>
      <x:c r="Q190" s="99"/>
      <x:c r="R190" s="99"/>
      <x:c r="S190" s="99"/>
      <x:c r="T190" s="99"/>
      <x:c r="U190" s="99"/>
      <x:c r="V190" s="99"/>
      <x:c r="W190" s="99"/>
      <x:c r="X190" s="99"/>
      <x:c r="Y190" s="99"/>
      <x:c r="Z190" s="99"/>
    </x:row>
    <x:row r="191">
      <x:c r="A191" s="99"/>
      <x:c r="B191" s="99"/>
      <x:c r="C191" s="99"/>
      <x:c r="D191" s="99"/>
      <x:c r="E191" s="99"/>
      <x:c r="F191" s="99"/>
      <x:c r="G191" s="99"/>
      <x:c r="H191" s="99"/>
      <x:c r="I191" s="99"/>
      <x:c r="J191" s="99"/>
      <x:c r="K191" s="99"/>
      <x:c r="L191" s="99"/>
      <x:c r="M191" s="99"/>
      <x:c r="N191" s="99"/>
      <x:c r="O191" s="99"/>
      <x:c r="P191" s="99"/>
      <x:c r="Q191" s="99"/>
      <x:c r="R191" s="99"/>
      <x:c r="S191" s="99"/>
      <x:c r="T191" s="99"/>
      <x:c r="U191" s="99"/>
      <x:c r="V191" s="99"/>
      <x:c r="W191" s="99"/>
      <x:c r="X191" s="99"/>
      <x:c r="Y191" s="99"/>
      <x:c r="Z191" s="99"/>
    </x:row>
    <x:row r="192">
      <x:c r="A192" s="99"/>
      <x:c r="B192" s="99"/>
      <x:c r="C192" s="99"/>
      <x:c r="D192" s="99"/>
      <x:c r="E192" s="99"/>
      <x:c r="F192" s="99"/>
      <x:c r="G192" s="99"/>
      <x:c r="H192" s="99"/>
      <x:c r="I192" s="99"/>
      <x:c r="J192" s="99"/>
      <x:c r="K192" s="99"/>
      <x:c r="L192" s="99"/>
      <x:c r="M192" s="99"/>
      <x:c r="N192" s="99"/>
      <x:c r="O192" s="99"/>
      <x:c r="P192" s="99"/>
      <x:c r="Q192" s="99"/>
      <x:c r="R192" s="99"/>
      <x:c r="S192" s="99"/>
      <x:c r="T192" s="99"/>
      <x:c r="U192" s="99"/>
      <x:c r="V192" s="99"/>
      <x:c r="W192" s="99"/>
      <x:c r="X192" s="99"/>
      <x:c r="Y192" s="99"/>
      <x:c r="Z192" s="99"/>
    </x:row>
    <x:row r="193">
      <x:c r="A193" s="99"/>
      <x:c r="B193" s="99"/>
      <x:c r="C193" s="99"/>
      <x:c r="D193" s="99"/>
      <x:c r="E193" s="99"/>
      <x:c r="F193" s="99"/>
      <x:c r="G193" s="99"/>
      <x:c r="H193" s="99"/>
      <x:c r="I193" s="99"/>
      <x:c r="J193" s="99"/>
      <x:c r="K193" s="99"/>
      <x:c r="L193" s="99"/>
      <x:c r="M193" s="99"/>
      <x:c r="N193" s="99"/>
      <x:c r="O193" s="99"/>
      <x:c r="P193" s="99"/>
      <x:c r="Q193" s="99"/>
      <x:c r="R193" s="99"/>
      <x:c r="S193" s="99"/>
      <x:c r="T193" s="99"/>
      <x:c r="U193" s="99"/>
      <x:c r="V193" s="99"/>
      <x:c r="W193" s="99"/>
      <x:c r="X193" s="99"/>
      <x:c r="Y193" s="99"/>
      <x:c r="Z193" s="99"/>
    </x:row>
    <x:row r="194">
      <x:c r="A194" s="99"/>
      <x:c r="B194" s="99"/>
      <x:c r="C194" s="99"/>
      <x:c r="D194" s="99"/>
      <x:c r="E194" s="99"/>
      <x:c r="F194" s="99"/>
      <x:c r="G194" s="99"/>
      <x:c r="H194" s="99"/>
      <x:c r="I194" s="99"/>
      <x:c r="J194" s="99"/>
      <x:c r="K194" s="99"/>
      <x:c r="L194" s="99"/>
      <x:c r="M194" s="99"/>
      <x:c r="N194" s="99"/>
      <x:c r="O194" s="99"/>
      <x:c r="P194" s="99"/>
      <x:c r="Q194" s="99"/>
      <x:c r="R194" s="99"/>
      <x:c r="S194" s="99"/>
      <x:c r="T194" s="99"/>
      <x:c r="U194" s="99"/>
      <x:c r="V194" s="99"/>
      <x:c r="W194" s="99"/>
      <x:c r="X194" s="99"/>
      <x:c r="Y194" s="99"/>
      <x:c r="Z194" s="99"/>
    </x:row>
    <x:row r="195">
      <x:c r="A195" s="99"/>
      <x:c r="B195" s="99"/>
      <x:c r="C195" s="99"/>
      <x:c r="D195" s="99"/>
      <x:c r="E195" s="99"/>
      <x:c r="F195" s="99"/>
      <x:c r="G195" s="99"/>
      <x:c r="H195" s="99"/>
      <x:c r="I195" s="99"/>
      <x:c r="J195" s="99"/>
      <x:c r="K195" s="99"/>
      <x:c r="L195" s="99"/>
      <x:c r="M195" s="99"/>
      <x:c r="N195" s="99"/>
      <x:c r="O195" s="99"/>
      <x:c r="P195" s="99"/>
      <x:c r="Q195" s="99"/>
      <x:c r="R195" s="99"/>
      <x:c r="S195" s="99"/>
      <x:c r="T195" s="99"/>
      <x:c r="U195" s="99"/>
      <x:c r="V195" s="99"/>
      <x:c r="W195" s="99"/>
      <x:c r="X195" s="99"/>
      <x:c r="Y195" s="99"/>
      <x:c r="Z195" s="99"/>
    </x:row>
    <x:row r="196">
      <x:c r="A196" s="99"/>
      <x:c r="B196" s="99"/>
      <x:c r="C196" s="99"/>
      <x:c r="D196" s="99"/>
      <x:c r="E196" s="99"/>
      <x:c r="F196" s="99"/>
      <x:c r="G196" s="99"/>
      <x:c r="H196" s="99"/>
      <x:c r="I196" s="99"/>
      <x:c r="J196" s="99"/>
      <x:c r="K196" s="99"/>
      <x:c r="L196" s="99"/>
      <x:c r="M196" s="99"/>
      <x:c r="N196" s="99"/>
      <x:c r="O196" s="99"/>
      <x:c r="P196" s="99"/>
      <x:c r="Q196" s="99"/>
      <x:c r="R196" s="99"/>
      <x:c r="S196" s="99"/>
      <x:c r="T196" s="99"/>
      <x:c r="U196" s="99"/>
      <x:c r="V196" s="99"/>
      <x:c r="W196" s="99"/>
      <x:c r="X196" s="99"/>
      <x:c r="Y196" s="99"/>
      <x:c r="Z196" s="99"/>
    </x:row>
    <x:row r="197">
      <x:c r="A197" s="99"/>
      <x:c r="B197" s="99"/>
      <x:c r="C197" s="99"/>
      <x:c r="D197" s="99"/>
      <x:c r="E197" s="99"/>
      <x:c r="F197" s="99"/>
      <x:c r="G197" s="99"/>
      <x:c r="H197" s="99"/>
      <x:c r="I197" s="99"/>
      <x:c r="J197" s="99"/>
      <x:c r="K197" s="99"/>
      <x:c r="L197" s="99"/>
      <x:c r="M197" s="99"/>
      <x:c r="N197" s="99"/>
      <x:c r="O197" s="99"/>
      <x:c r="P197" s="99"/>
      <x:c r="Q197" s="99"/>
      <x:c r="R197" s="99"/>
      <x:c r="S197" s="99"/>
      <x:c r="T197" s="99"/>
      <x:c r="U197" s="99"/>
      <x:c r="V197" s="99"/>
      <x:c r="W197" s="99"/>
      <x:c r="X197" s="99"/>
      <x:c r="Y197" s="99"/>
      <x:c r="Z197" s="99"/>
    </x:row>
    <x:row r="198">
      <x:c r="A198" s="99"/>
      <x:c r="B198" s="99"/>
      <x:c r="C198" s="99"/>
      <x:c r="D198" s="99"/>
      <x:c r="E198" s="99"/>
      <x:c r="F198" s="99"/>
      <x:c r="G198" s="99"/>
      <x:c r="H198" s="99"/>
      <x:c r="I198" s="99"/>
      <x:c r="J198" s="99"/>
      <x:c r="K198" s="99"/>
      <x:c r="L198" s="99"/>
      <x:c r="M198" s="99"/>
      <x:c r="N198" s="99"/>
      <x:c r="O198" s="99"/>
      <x:c r="P198" s="99"/>
      <x:c r="Q198" s="99"/>
      <x:c r="R198" s="99"/>
      <x:c r="S198" s="99"/>
      <x:c r="T198" s="99"/>
      <x:c r="U198" s="99"/>
      <x:c r="V198" s="99"/>
      <x:c r="W198" s="99"/>
      <x:c r="X198" s="99"/>
      <x:c r="Y198" s="99"/>
      <x:c r="Z198" s="99"/>
    </x:row>
    <x:row r="199">
      <x:c r="A199" s="99"/>
      <x:c r="B199" s="99"/>
      <x:c r="C199" s="99"/>
      <x:c r="D199" s="99"/>
      <x:c r="E199" s="99"/>
      <x:c r="F199" s="99"/>
      <x:c r="G199" s="99"/>
      <x:c r="H199" s="99"/>
      <x:c r="I199" s="99"/>
      <x:c r="J199" s="99"/>
      <x:c r="K199" s="99"/>
      <x:c r="L199" s="99"/>
      <x:c r="M199" s="99"/>
      <x:c r="N199" s="99"/>
      <x:c r="O199" s="99"/>
      <x:c r="P199" s="99"/>
      <x:c r="Q199" s="99"/>
      <x:c r="R199" s="99"/>
      <x:c r="S199" s="99"/>
      <x:c r="T199" s="99"/>
      <x:c r="U199" s="99"/>
      <x:c r="V199" s="99"/>
      <x:c r="W199" s="99"/>
      <x:c r="X199" s="99"/>
      <x:c r="Y199" s="99"/>
      <x:c r="Z199" s="99"/>
    </x:row>
    <x:row r="200">
      <x:c r="A200" s="99"/>
      <x:c r="B200" s="99"/>
      <x:c r="C200" s="99"/>
      <x:c r="D200" s="99"/>
      <x:c r="E200" s="99"/>
      <x:c r="F200" s="99"/>
      <x:c r="G200" s="99"/>
      <x:c r="H200" s="99"/>
      <x:c r="I200" s="99"/>
      <x:c r="J200" s="99"/>
      <x:c r="K200" s="99"/>
      <x:c r="L200" s="99"/>
      <x:c r="M200" s="99"/>
      <x:c r="N200" s="99"/>
      <x:c r="O200" s="99"/>
      <x:c r="P200" s="99"/>
      <x:c r="Q200" s="99"/>
      <x:c r="R200" s="99"/>
      <x:c r="S200" s="99"/>
      <x:c r="T200" s="99"/>
      <x:c r="U200" s="99"/>
      <x:c r="V200" s="99"/>
      <x:c r="W200" s="99"/>
      <x:c r="X200" s="99"/>
      <x:c r="Y200" s="99"/>
      <x:c r="Z200" s="99"/>
    </x:row>
    <x:row r="201">
      <x:c r="A201" s="99"/>
      <x:c r="B201" s="99"/>
      <x:c r="C201" s="99"/>
      <x:c r="D201" s="99"/>
      <x:c r="E201" s="99"/>
      <x:c r="F201" s="99"/>
      <x:c r="G201" s="99"/>
      <x:c r="H201" s="99"/>
      <x:c r="I201" s="99"/>
      <x:c r="J201" s="99"/>
      <x:c r="K201" s="99"/>
      <x:c r="L201" s="99"/>
      <x:c r="M201" s="99"/>
      <x:c r="N201" s="99"/>
      <x:c r="O201" s="99"/>
      <x:c r="P201" s="99"/>
      <x:c r="Q201" s="99"/>
      <x:c r="R201" s="99"/>
      <x:c r="S201" s="99"/>
      <x:c r="T201" s="99"/>
      <x:c r="U201" s="99"/>
      <x:c r="V201" s="99"/>
      <x:c r="W201" s="99"/>
      <x:c r="X201" s="99"/>
      <x:c r="Y201" s="99"/>
      <x:c r="Z201" s="99"/>
    </x:row>
    <x:row r="202">
      <x:c r="A202" s="99"/>
      <x:c r="B202" s="99"/>
      <x:c r="C202" s="99"/>
      <x:c r="D202" s="99"/>
      <x:c r="E202" s="99"/>
      <x:c r="F202" s="99"/>
      <x:c r="G202" s="99"/>
      <x:c r="H202" s="99"/>
      <x:c r="I202" s="99"/>
      <x:c r="J202" s="99"/>
      <x:c r="K202" s="99"/>
      <x:c r="L202" s="99"/>
      <x:c r="M202" s="99"/>
      <x:c r="N202" s="99"/>
      <x:c r="O202" s="99"/>
      <x:c r="P202" s="99"/>
      <x:c r="Q202" s="99"/>
      <x:c r="R202" s="99"/>
      <x:c r="S202" s="99"/>
      <x:c r="T202" s="99"/>
      <x:c r="U202" s="99"/>
      <x:c r="V202" s="99"/>
      <x:c r="W202" s="99"/>
      <x:c r="X202" s="99"/>
      <x:c r="Y202" s="99"/>
      <x:c r="Z202" s="99"/>
    </x:row>
    <x:row r="203">
      <x:c r="A203" s="99"/>
      <x:c r="B203" s="99"/>
      <x:c r="C203" s="99"/>
      <x:c r="D203" s="99"/>
      <x:c r="E203" s="99"/>
      <x:c r="F203" s="99"/>
      <x:c r="G203" s="99"/>
      <x:c r="H203" s="99"/>
      <x:c r="I203" s="99"/>
      <x:c r="J203" s="99"/>
      <x:c r="K203" s="99"/>
      <x:c r="L203" s="99"/>
      <x:c r="M203" s="99"/>
      <x:c r="N203" s="99"/>
      <x:c r="O203" s="99"/>
      <x:c r="P203" s="99"/>
      <x:c r="Q203" s="99"/>
      <x:c r="R203" s="99"/>
      <x:c r="S203" s="99"/>
      <x:c r="T203" s="99"/>
      <x:c r="U203" s="99"/>
      <x:c r="V203" s="99"/>
      <x:c r="W203" s="99"/>
      <x:c r="X203" s="99"/>
      <x:c r="Y203" s="99"/>
      <x:c r="Z203" s="99"/>
    </x:row>
    <x:row r="204">
      <x:c r="A204" s="99"/>
      <x:c r="B204" s="99"/>
      <x:c r="C204" s="99"/>
      <x:c r="D204" s="99"/>
      <x:c r="E204" s="99"/>
      <x:c r="F204" s="99"/>
      <x:c r="G204" s="99"/>
      <x:c r="H204" s="99"/>
      <x:c r="I204" s="99"/>
      <x:c r="J204" s="99"/>
      <x:c r="K204" s="99"/>
      <x:c r="L204" s="99"/>
      <x:c r="M204" s="99"/>
      <x:c r="N204" s="99"/>
      <x:c r="O204" s="99"/>
      <x:c r="P204" s="99"/>
      <x:c r="Q204" s="99"/>
      <x:c r="R204" s="99"/>
      <x:c r="S204" s="99"/>
      <x:c r="T204" s="99"/>
      <x:c r="U204" s="99"/>
      <x:c r="V204" s="99"/>
      <x:c r="W204" s="99"/>
      <x:c r="X204" s="99"/>
      <x:c r="Y204" s="99"/>
      <x:c r="Z204" s="99"/>
    </x:row>
    <x:row r="205">
      <x:c r="A205" s="99"/>
      <x:c r="B205" s="99"/>
      <x:c r="C205" s="99"/>
      <x:c r="D205" s="99"/>
      <x:c r="E205" s="99"/>
      <x:c r="F205" s="99"/>
      <x:c r="G205" s="99"/>
      <x:c r="H205" s="99"/>
      <x:c r="I205" s="99"/>
      <x:c r="J205" s="99"/>
      <x:c r="K205" s="99"/>
      <x:c r="L205" s="99"/>
      <x:c r="M205" s="99"/>
      <x:c r="N205" s="99"/>
      <x:c r="O205" s="99"/>
      <x:c r="P205" s="99"/>
      <x:c r="Q205" s="99"/>
      <x:c r="R205" s="99"/>
      <x:c r="S205" s="99"/>
      <x:c r="T205" s="99"/>
      <x:c r="U205" s="99"/>
      <x:c r="V205" s="99"/>
      <x:c r="W205" s="99"/>
      <x:c r="X205" s="99"/>
      <x:c r="Y205" s="99"/>
      <x:c r="Z205" s="99"/>
    </x:row>
    <x:row r="206">
      <x:c r="A206" s="99"/>
      <x:c r="B206" s="99"/>
      <x:c r="C206" s="99"/>
      <x:c r="D206" s="99"/>
      <x:c r="E206" s="99"/>
      <x:c r="F206" s="99"/>
      <x:c r="G206" s="99"/>
      <x:c r="H206" s="99"/>
      <x:c r="I206" s="99"/>
      <x:c r="J206" s="99"/>
      <x:c r="K206" s="99"/>
      <x:c r="L206" s="99"/>
      <x:c r="M206" s="99"/>
      <x:c r="N206" s="99"/>
      <x:c r="O206" s="99"/>
      <x:c r="P206" s="99"/>
      <x:c r="Q206" s="99"/>
      <x:c r="R206" s="99"/>
      <x:c r="S206" s="99"/>
      <x:c r="T206" s="99"/>
      <x:c r="U206" s="99"/>
      <x:c r="V206" s="99"/>
      <x:c r="W206" s="99"/>
      <x:c r="X206" s="99"/>
      <x:c r="Y206" s="99"/>
      <x:c r="Z206" s="99"/>
    </x:row>
    <x:row r="207">
      <x:c r="A207" s="99"/>
      <x:c r="B207" s="99"/>
      <x:c r="C207" s="99"/>
      <x:c r="D207" s="99"/>
      <x:c r="E207" s="99"/>
      <x:c r="F207" s="99"/>
      <x:c r="G207" s="99"/>
      <x:c r="H207" s="99"/>
      <x:c r="I207" s="99"/>
      <x:c r="J207" s="99"/>
      <x:c r="K207" s="99"/>
      <x:c r="L207" s="99"/>
      <x:c r="M207" s="99"/>
      <x:c r="N207" s="99"/>
      <x:c r="O207" s="99"/>
      <x:c r="P207" s="99"/>
      <x:c r="Q207" s="99"/>
      <x:c r="R207" s="99"/>
      <x:c r="S207" s="99"/>
      <x:c r="T207" s="99"/>
      <x:c r="U207" s="99"/>
      <x:c r="V207" s="99"/>
      <x:c r="W207" s="99"/>
      <x:c r="X207" s="99"/>
      <x:c r="Y207" s="99"/>
      <x:c r="Z207" s="99"/>
    </x:row>
    <x:row r="208">
      <x:c r="A208" s="99"/>
      <x:c r="B208" s="99"/>
      <x:c r="C208" s="99"/>
      <x:c r="D208" s="99"/>
      <x:c r="E208" s="99"/>
      <x:c r="F208" s="99"/>
      <x:c r="G208" s="99"/>
      <x:c r="H208" s="99"/>
      <x:c r="I208" s="99"/>
      <x:c r="J208" s="99"/>
      <x:c r="K208" s="99"/>
      <x:c r="L208" s="99"/>
      <x:c r="M208" s="99"/>
      <x:c r="N208" s="99"/>
      <x:c r="O208" s="99"/>
      <x:c r="P208" s="99"/>
      <x:c r="Q208" s="99"/>
      <x:c r="R208" s="99"/>
      <x:c r="S208" s="99"/>
      <x:c r="T208" s="99"/>
      <x:c r="U208" s="99"/>
      <x:c r="V208" s="99"/>
      <x:c r="W208" s="99"/>
      <x:c r="X208" s="99"/>
      <x:c r="Y208" s="99"/>
      <x:c r="Z208" s="99"/>
    </x:row>
    <x:row r="209">
      <x:c r="A209" s="99"/>
      <x:c r="B209" s="99"/>
      <x:c r="C209" s="99"/>
      <x:c r="D209" s="99"/>
      <x:c r="E209" s="99"/>
      <x:c r="F209" s="99"/>
      <x:c r="G209" s="99"/>
      <x:c r="H209" s="99"/>
      <x:c r="I209" s="99"/>
      <x:c r="J209" s="99"/>
      <x:c r="K209" s="99"/>
      <x:c r="L209" s="99"/>
      <x:c r="M209" s="99"/>
      <x:c r="N209" s="99"/>
      <x:c r="O209" s="99"/>
      <x:c r="P209" s="99"/>
      <x:c r="Q209" s="99"/>
      <x:c r="R209" s="99"/>
      <x:c r="S209" s="99"/>
      <x:c r="T209" s="99"/>
      <x:c r="U209" s="99"/>
      <x:c r="V209" s="99"/>
      <x:c r="W209" s="99"/>
      <x:c r="X209" s="99"/>
      <x:c r="Y209" s="99"/>
      <x:c r="Z209" s="99"/>
    </x:row>
    <x:row r="210">
      <x:c r="A210" s="99"/>
      <x:c r="B210" s="99"/>
      <x:c r="C210" s="99"/>
      <x:c r="D210" s="99"/>
      <x:c r="E210" s="99"/>
      <x:c r="F210" s="99"/>
      <x:c r="G210" s="99"/>
      <x:c r="H210" s="99"/>
      <x:c r="I210" s="99"/>
      <x:c r="J210" s="99"/>
      <x:c r="K210" s="99"/>
      <x:c r="L210" s="99"/>
      <x:c r="M210" s="99"/>
      <x:c r="N210" s="99"/>
      <x:c r="O210" s="99"/>
      <x:c r="P210" s="99"/>
      <x:c r="Q210" s="99"/>
      <x:c r="R210" s="99"/>
      <x:c r="S210" s="99"/>
      <x:c r="T210" s="99"/>
      <x:c r="U210" s="99"/>
      <x:c r="V210" s="99"/>
      <x:c r="W210" s="99"/>
      <x:c r="X210" s="99"/>
      <x:c r="Y210" s="99"/>
      <x:c r="Z210" s="99"/>
    </x:row>
    <x:row r="211">
      <x:c r="A211" s="99"/>
      <x:c r="B211" s="99"/>
      <x:c r="C211" s="99"/>
      <x:c r="D211" s="99"/>
      <x:c r="E211" s="99"/>
      <x:c r="F211" s="99"/>
      <x:c r="G211" s="99"/>
      <x:c r="H211" s="99"/>
      <x:c r="I211" s="99"/>
      <x:c r="J211" s="99"/>
      <x:c r="K211" s="99"/>
      <x:c r="L211" s="99"/>
      <x:c r="M211" s="99"/>
      <x:c r="N211" s="99"/>
      <x:c r="O211" s="99"/>
      <x:c r="P211" s="99"/>
      <x:c r="Q211" s="99"/>
      <x:c r="R211" s="99"/>
      <x:c r="S211" s="99"/>
      <x:c r="T211" s="99"/>
      <x:c r="U211" s="99"/>
      <x:c r="V211" s="99"/>
      <x:c r="W211" s="99"/>
      <x:c r="X211" s="99"/>
      <x:c r="Y211" s="99"/>
      <x:c r="Z211" s="99"/>
    </x:row>
    <x:row r="212">
      <x:c r="A212" s="99"/>
      <x:c r="B212" s="99"/>
      <x:c r="C212" s="99"/>
      <x:c r="D212" s="99"/>
      <x:c r="E212" s="99"/>
      <x:c r="F212" s="99"/>
      <x:c r="G212" s="99"/>
      <x:c r="H212" s="99"/>
      <x:c r="I212" s="99"/>
      <x:c r="J212" s="99"/>
      <x:c r="K212" s="99"/>
      <x:c r="L212" s="99"/>
      <x:c r="M212" s="99"/>
      <x:c r="N212" s="99"/>
      <x:c r="O212" s="99"/>
      <x:c r="P212" s="99"/>
      <x:c r="Q212" s="99"/>
      <x:c r="R212" s="99"/>
      <x:c r="S212" s="99"/>
      <x:c r="T212" s="99"/>
      <x:c r="U212" s="99"/>
      <x:c r="V212" s="99"/>
      <x:c r="W212" s="99"/>
      <x:c r="X212" s="99"/>
      <x:c r="Y212" s="99"/>
      <x:c r="Z212" s="99"/>
    </x:row>
    <x:row r="213">
      <x:c r="A213" s="99"/>
      <x:c r="B213" s="99"/>
      <x:c r="C213" s="99"/>
      <x:c r="D213" s="99"/>
      <x:c r="E213" s="99"/>
      <x:c r="F213" s="99"/>
      <x:c r="G213" s="99"/>
      <x:c r="H213" s="99"/>
      <x:c r="I213" s="99"/>
      <x:c r="J213" s="99"/>
      <x:c r="K213" s="99"/>
      <x:c r="L213" s="99"/>
      <x:c r="M213" s="99"/>
      <x:c r="N213" s="99"/>
      <x:c r="O213" s="99"/>
      <x:c r="P213" s="99"/>
      <x:c r="Q213" s="99"/>
      <x:c r="R213" s="99"/>
      <x:c r="S213" s="99"/>
      <x:c r="T213" s="99"/>
      <x:c r="U213" s="99"/>
      <x:c r="V213" s="99"/>
      <x:c r="W213" s="99"/>
      <x:c r="X213" s="99"/>
      <x:c r="Y213" s="99"/>
      <x:c r="Z213" s="99"/>
    </x:row>
    <x:row r="214">
      <x:c r="A214" s="99"/>
      <x:c r="B214" s="99"/>
      <x:c r="C214" s="99"/>
      <x:c r="D214" s="99"/>
      <x:c r="E214" s="99"/>
      <x:c r="F214" s="99"/>
      <x:c r="G214" s="99"/>
      <x:c r="H214" s="99"/>
      <x:c r="I214" s="99"/>
      <x:c r="J214" s="99"/>
      <x:c r="K214" s="99"/>
      <x:c r="L214" s="99"/>
      <x:c r="M214" s="99"/>
      <x:c r="N214" s="99"/>
      <x:c r="O214" s="99"/>
      <x:c r="P214" s="99"/>
      <x:c r="Q214" s="99"/>
      <x:c r="R214" s="99"/>
      <x:c r="S214" s="99"/>
      <x:c r="T214" s="99"/>
      <x:c r="U214" s="99"/>
      <x:c r="V214" s="99"/>
      <x:c r="W214" s="99"/>
      <x:c r="X214" s="99"/>
      <x:c r="Y214" s="99"/>
      <x:c r="Z214" s="99"/>
    </x:row>
    <x:row r="215">
      <x:c r="A215" s="99"/>
      <x:c r="B215" s="99"/>
      <x:c r="C215" s="99"/>
      <x:c r="D215" s="99"/>
      <x:c r="E215" s="99"/>
      <x:c r="F215" s="99"/>
      <x:c r="G215" s="99"/>
      <x:c r="H215" s="99"/>
      <x:c r="I215" s="99"/>
      <x:c r="J215" s="99"/>
      <x:c r="K215" s="99"/>
      <x:c r="L215" s="99"/>
      <x:c r="M215" s="99"/>
      <x:c r="N215" s="99"/>
      <x:c r="O215" s="99"/>
      <x:c r="P215" s="99"/>
      <x:c r="Q215" s="99"/>
      <x:c r="R215" s="99"/>
      <x:c r="S215" s="99"/>
      <x:c r="T215" s="99"/>
      <x:c r="U215" s="99"/>
      <x:c r="V215" s="99"/>
      <x:c r="W215" s="99"/>
      <x:c r="X215" s="99"/>
      <x:c r="Y215" s="99"/>
      <x:c r="Z215" s="99"/>
    </x:row>
    <x:row r="216">
      <x:c r="A216" s="99"/>
      <x:c r="B216" s="99"/>
      <x:c r="C216" s="99"/>
      <x:c r="D216" s="99"/>
      <x:c r="E216" s="99"/>
      <x:c r="F216" s="99"/>
      <x:c r="G216" s="99"/>
      <x:c r="H216" s="99"/>
      <x:c r="I216" s="99"/>
      <x:c r="J216" s="99"/>
      <x:c r="K216" s="99"/>
      <x:c r="L216" s="99"/>
      <x:c r="M216" s="99"/>
      <x:c r="N216" s="99"/>
      <x:c r="O216" s="99"/>
      <x:c r="P216" s="99"/>
      <x:c r="Q216" s="99"/>
      <x:c r="R216" s="99"/>
      <x:c r="S216" s="99"/>
      <x:c r="T216" s="99"/>
      <x:c r="U216" s="99"/>
      <x:c r="V216" s="99"/>
      <x:c r="W216" s="99"/>
      <x:c r="X216" s="99"/>
      <x:c r="Y216" s="99"/>
      <x:c r="Z216" s="99"/>
    </x:row>
    <x:row r="217">
      <x:c r="A217" s="99"/>
      <x:c r="B217" s="99"/>
      <x:c r="C217" s="99"/>
      <x:c r="D217" s="99"/>
      <x:c r="E217" s="99"/>
      <x:c r="F217" s="99"/>
      <x:c r="G217" s="99"/>
      <x:c r="H217" s="99"/>
      <x:c r="I217" s="99"/>
      <x:c r="J217" s="99"/>
      <x:c r="K217" s="99"/>
      <x:c r="L217" s="99"/>
      <x:c r="M217" s="99"/>
      <x:c r="N217" s="99"/>
      <x:c r="O217" s="99"/>
      <x:c r="P217" s="99"/>
      <x:c r="Q217" s="99"/>
      <x:c r="R217" s="99"/>
      <x:c r="S217" s="99"/>
      <x:c r="T217" s="99"/>
      <x:c r="U217" s="99"/>
      <x:c r="V217" s="99"/>
      <x:c r="W217" s="99"/>
      <x:c r="X217" s="99"/>
      <x:c r="Y217" s="99"/>
      <x:c r="Z217" s="99"/>
    </x:row>
    <x:row r="218">
      <x:c r="A218" s="99"/>
      <x:c r="B218" s="99"/>
      <x:c r="C218" s="99"/>
      <x:c r="D218" s="99"/>
      <x:c r="E218" s="99"/>
      <x:c r="F218" s="99"/>
      <x:c r="G218" s="99"/>
      <x:c r="H218" s="99"/>
      <x:c r="I218" s="99"/>
      <x:c r="J218" s="99"/>
      <x:c r="K218" s="99"/>
      <x:c r="L218" s="99"/>
      <x:c r="M218" s="99"/>
      <x:c r="N218" s="99"/>
      <x:c r="O218" s="99"/>
      <x:c r="P218" s="99"/>
      <x:c r="Q218" s="99"/>
      <x:c r="R218" s="99"/>
      <x:c r="S218" s="99"/>
      <x:c r="T218" s="99"/>
      <x:c r="U218" s="99"/>
      <x:c r="V218" s="99"/>
      <x:c r="W218" s="99"/>
      <x:c r="X218" s="99"/>
      <x:c r="Y218" s="99"/>
      <x:c r="Z218" s="99"/>
    </x:row>
    <x:row r="219">
      <x:c r="A219" s="99"/>
      <x:c r="B219" s="99"/>
      <x:c r="C219" s="99"/>
      <x:c r="D219" s="99"/>
      <x:c r="E219" s="99"/>
      <x:c r="F219" s="99"/>
      <x:c r="G219" s="99"/>
      <x:c r="H219" s="99"/>
      <x:c r="I219" s="99"/>
      <x:c r="J219" s="99"/>
      <x:c r="K219" s="99"/>
      <x:c r="L219" s="99"/>
      <x:c r="M219" s="99"/>
      <x:c r="N219" s="99"/>
      <x:c r="O219" s="99"/>
      <x:c r="P219" s="99"/>
      <x:c r="Q219" s="99"/>
      <x:c r="R219" s="99"/>
      <x:c r="S219" s="99"/>
      <x:c r="T219" s="99"/>
      <x:c r="U219" s="99"/>
      <x:c r="V219" s="99"/>
      <x:c r="W219" s="99"/>
      <x:c r="X219" s="99"/>
      <x:c r="Y219" s="99"/>
      <x:c r="Z219" s="99"/>
    </x:row>
    <x:row r="220">
      <x:c r="A220" s="99"/>
      <x:c r="B220" s="99"/>
      <x:c r="C220" s="99"/>
      <x:c r="D220" s="99"/>
      <x:c r="E220" s="99"/>
      <x:c r="F220" s="99"/>
      <x:c r="G220" s="99"/>
      <x:c r="H220" s="99"/>
      <x:c r="I220" s="99"/>
      <x:c r="J220" s="99"/>
      <x:c r="K220" s="99"/>
      <x:c r="L220" s="99"/>
      <x:c r="M220" s="99"/>
      <x:c r="N220" s="99"/>
      <x:c r="O220" s="99"/>
      <x:c r="P220" s="99"/>
      <x:c r="Q220" s="99"/>
      <x:c r="R220" s="99"/>
      <x:c r="S220" s="99"/>
      <x:c r="T220" s="99"/>
      <x:c r="U220" s="99"/>
      <x:c r="V220" s="99"/>
      <x:c r="W220" s="99"/>
      <x:c r="X220" s="99"/>
      <x:c r="Y220" s="99"/>
      <x:c r="Z220" s="99"/>
    </x:row>
    <x:row r="221">
      <x:c r="A221" s="99"/>
      <x:c r="B221" s="99"/>
      <x:c r="C221" s="99"/>
      <x:c r="D221" s="99"/>
      <x:c r="E221" s="99"/>
      <x:c r="F221" s="99"/>
      <x:c r="G221" s="99"/>
      <x:c r="H221" s="99"/>
      <x:c r="I221" s="99"/>
      <x:c r="J221" s="99"/>
      <x:c r="K221" s="99"/>
      <x:c r="L221" s="99"/>
      <x:c r="M221" s="99"/>
      <x:c r="N221" s="99"/>
      <x:c r="O221" s="99"/>
      <x:c r="P221" s="99"/>
      <x:c r="Q221" s="99"/>
      <x:c r="R221" s="99"/>
      <x:c r="S221" s="99"/>
      <x:c r="T221" s="99"/>
      <x:c r="U221" s="99"/>
      <x:c r="V221" s="99"/>
      <x:c r="W221" s="99"/>
      <x:c r="X221" s="99"/>
      <x:c r="Y221" s="99"/>
      <x:c r="Z221" s="99"/>
    </x:row>
    <x:row r="222">
      <x:c r="A222" s="99"/>
      <x:c r="B222" s="99"/>
      <x:c r="C222" s="99"/>
      <x:c r="D222" s="99"/>
      <x:c r="E222" s="99"/>
      <x:c r="F222" s="99"/>
      <x:c r="G222" s="99"/>
      <x:c r="H222" s="99"/>
      <x:c r="I222" s="99"/>
      <x:c r="J222" s="99"/>
      <x:c r="K222" s="99"/>
      <x:c r="L222" s="99"/>
      <x:c r="M222" s="99"/>
      <x:c r="N222" s="99"/>
      <x:c r="O222" s="99"/>
      <x:c r="P222" s="99"/>
      <x:c r="Q222" s="99"/>
      <x:c r="R222" s="99"/>
      <x:c r="S222" s="99"/>
      <x:c r="T222" s="99"/>
      <x:c r="U222" s="99"/>
      <x:c r="V222" s="99"/>
      <x:c r="W222" s="99"/>
      <x:c r="X222" s="99"/>
      <x:c r="Y222" s="99"/>
      <x:c r="Z222" s="99"/>
    </x:row>
    <x:row r="223">
      <x:c r="A223" s="99"/>
      <x:c r="B223" s="99"/>
      <x:c r="C223" s="99"/>
      <x:c r="D223" s="99"/>
      <x:c r="E223" s="99"/>
      <x:c r="F223" s="99"/>
      <x:c r="G223" s="99"/>
      <x:c r="H223" s="99"/>
      <x:c r="I223" s="99"/>
      <x:c r="J223" s="99"/>
      <x:c r="K223" s="99"/>
      <x:c r="L223" s="99"/>
      <x:c r="M223" s="99"/>
      <x:c r="N223" s="99"/>
      <x:c r="O223" s="99"/>
      <x:c r="P223" s="99"/>
      <x:c r="Q223" s="99"/>
      <x:c r="R223" s="99"/>
      <x:c r="S223" s="99"/>
      <x:c r="T223" s="99"/>
      <x:c r="U223" s="99"/>
      <x:c r="V223" s="99"/>
      <x:c r="W223" s="99"/>
      <x:c r="X223" s="99"/>
      <x:c r="Y223" s="99"/>
      <x:c r="Z223" s="99"/>
    </x:row>
    <x:row r="224">
      <x:c r="A224" s="99"/>
      <x:c r="B224" s="99"/>
      <x:c r="C224" s="99"/>
      <x:c r="D224" s="99"/>
      <x:c r="E224" s="99"/>
      <x:c r="F224" s="99"/>
      <x:c r="G224" s="99"/>
      <x:c r="H224" s="99"/>
      <x:c r="I224" s="99"/>
      <x:c r="J224" s="99"/>
      <x:c r="K224" s="99"/>
      <x:c r="L224" s="99"/>
      <x:c r="M224" s="99"/>
      <x:c r="N224" s="99"/>
      <x:c r="O224" s="99"/>
      <x:c r="P224" s="99"/>
      <x:c r="Q224" s="99"/>
      <x:c r="R224" s="99"/>
      <x:c r="S224" s="99"/>
      <x:c r="T224" s="99"/>
      <x:c r="U224" s="99"/>
      <x:c r="V224" s="99"/>
      <x:c r="W224" s="99"/>
      <x:c r="X224" s="99"/>
      <x:c r="Y224" s="99"/>
      <x:c r="Z224" s="99"/>
    </x:row>
    <x:row r="225">
      <x:c r="A225" s="99"/>
      <x:c r="B225" s="99"/>
      <x:c r="C225" s="99"/>
      <x:c r="D225" s="99"/>
      <x:c r="E225" s="99"/>
      <x:c r="F225" s="99"/>
      <x:c r="G225" s="99"/>
      <x:c r="H225" s="99"/>
      <x:c r="I225" s="99"/>
      <x:c r="J225" s="99"/>
      <x:c r="K225" s="99"/>
      <x:c r="L225" s="99"/>
      <x:c r="M225" s="99"/>
      <x:c r="N225" s="99"/>
      <x:c r="O225" s="99"/>
      <x:c r="P225" s="99"/>
      <x:c r="Q225" s="99"/>
      <x:c r="R225" s="99"/>
      <x:c r="S225" s="99"/>
      <x:c r="T225" s="99"/>
      <x:c r="U225" s="99"/>
      <x:c r="V225" s="99"/>
      <x:c r="W225" s="99"/>
      <x:c r="X225" s="99"/>
      <x:c r="Y225" s="99"/>
      <x:c r="Z225" s="99"/>
    </x:row>
    <x:row r="226">
      <x:c r="A226" s="99"/>
      <x:c r="B226" s="99"/>
      <x:c r="C226" s="99"/>
      <x:c r="D226" s="99"/>
      <x:c r="E226" s="99"/>
      <x:c r="F226" s="99"/>
      <x:c r="G226" s="99"/>
      <x:c r="H226" s="99"/>
      <x:c r="I226" s="99"/>
      <x:c r="J226" s="99"/>
      <x:c r="K226" s="99"/>
      <x:c r="L226" s="99"/>
      <x:c r="M226" s="99"/>
      <x:c r="N226" s="99"/>
      <x:c r="O226" s="99"/>
      <x:c r="P226" s="99"/>
      <x:c r="Q226" s="99"/>
      <x:c r="R226" s="99"/>
      <x:c r="S226" s="99"/>
      <x:c r="T226" s="99"/>
      <x:c r="U226" s="99"/>
      <x:c r="V226" s="99"/>
      <x:c r="W226" s="99"/>
      <x:c r="X226" s="99"/>
      <x:c r="Y226" s="99"/>
      <x:c r="Z226" s="99"/>
    </x:row>
    <x:row r="227">
      <x:c r="A227" s="99"/>
      <x:c r="B227" s="99"/>
      <x:c r="C227" s="99"/>
      <x:c r="D227" s="99"/>
      <x:c r="E227" s="99"/>
      <x:c r="F227" s="99"/>
      <x:c r="G227" s="99"/>
      <x:c r="H227" s="99"/>
      <x:c r="I227" s="99"/>
      <x:c r="J227" s="99"/>
      <x:c r="K227" s="99"/>
      <x:c r="L227" s="99"/>
      <x:c r="M227" s="99"/>
      <x:c r="N227" s="99"/>
      <x:c r="O227" s="99"/>
      <x:c r="P227" s="99"/>
      <x:c r="Q227" s="99"/>
      <x:c r="R227" s="99"/>
      <x:c r="S227" s="99"/>
      <x:c r="T227" s="99"/>
      <x:c r="U227" s="99"/>
      <x:c r="V227" s="99"/>
      <x:c r="W227" s="99"/>
      <x:c r="X227" s="99"/>
      <x:c r="Y227" s="99"/>
      <x:c r="Z227" s="99"/>
    </x:row>
    <x:row r="228">
      <x:c r="A228" s="99"/>
      <x:c r="B228" s="99"/>
      <x:c r="C228" s="99"/>
      <x:c r="D228" s="99"/>
      <x:c r="E228" s="99"/>
      <x:c r="F228" s="99"/>
      <x:c r="G228" s="99"/>
      <x:c r="H228" s="99"/>
      <x:c r="I228" s="99"/>
      <x:c r="J228" s="99"/>
      <x:c r="K228" s="99"/>
      <x:c r="L228" s="99"/>
      <x:c r="M228" s="99"/>
      <x:c r="N228" s="99"/>
      <x:c r="O228" s="99"/>
      <x:c r="P228" s="99"/>
      <x:c r="Q228" s="99"/>
      <x:c r="R228" s="99"/>
      <x:c r="S228" s="99"/>
      <x:c r="T228" s="99"/>
      <x:c r="U228" s="99"/>
      <x:c r="V228" s="99"/>
      <x:c r="W228" s="99"/>
      <x:c r="X228" s="99"/>
      <x:c r="Y228" s="99"/>
      <x:c r="Z228" s="99"/>
    </x:row>
    <x:row r="229">
      <x:c r="A229" s="99"/>
      <x:c r="B229" s="99"/>
      <x:c r="C229" s="99"/>
      <x:c r="D229" s="99"/>
      <x:c r="E229" s="99"/>
      <x:c r="F229" s="99"/>
      <x:c r="G229" s="99"/>
      <x:c r="H229" s="99"/>
      <x:c r="I229" s="99"/>
      <x:c r="J229" s="99"/>
      <x:c r="K229" s="99"/>
      <x:c r="L229" s="99"/>
      <x:c r="M229" s="99"/>
      <x:c r="N229" s="99"/>
      <x:c r="O229" s="99"/>
      <x:c r="P229" s="99"/>
      <x:c r="Q229" s="99"/>
      <x:c r="R229" s="99"/>
      <x:c r="S229" s="99"/>
      <x:c r="T229" s="99"/>
      <x:c r="U229" s="99"/>
      <x:c r="V229" s="99"/>
      <x:c r="W229" s="99"/>
      <x:c r="X229" s="99"/>
      <x:c r="Y229" s="99"/>
      <x:c r="Z229" s="99"/>
    </x:row>
    <x:row r="230">
      <x:c r="A230" s="99"/>
      <x:c r="B230" s="99"/>
      <x:c r="C230" s="99"/>
      <x:c r="D230" s="99"/>
      <x:c r="E230" s="99"/>
      <x:c r="F230" s="99"/>
      <x:c r="G230" s="99"/>
      <x:c r="H230" s="99"/>
      <x:c r="I230" s="99"/>
      <x:c r="J230" s="99"/>
      <x:c r="K230" s="99"/>
      <x:c r="L230" s="99"/>
      <x:c r="M230" s="99"/>
      <x:c r="N230" s="99"/>
      <x:c r="O230" s="99"/>
      <x:c r="P230" s="99"/>
      <x:c r="Q230" s="99"/>
      <x:c r="R230" s="99"/>
      <x:c r="S230" s="99"/>
      <x:c r="T230" s="99"/>
      <x:c r="U230" s="99"/>
      <x:c r="V230" s="99"/>
      <x:c r="W230" s="99"/>
      <x:c r="X230" s="99"/>
      <x:c r="Y230" s="99"/>
      <x:c r="Z230" s="99"/>
    </x:row>
    <x:row r="231">
      <x:c r="A231" s="99"/>
      <x:c r="B231" s="99"/>
      <x:c r="C231" s="99"/>
      <x:c r="D231" s="99"/>
      <x:c r="E231" s="99"/>
      <x:c r="F231" s="99"/>
      <x:c r="G231" s="99"/>
      <x:c r="H231" s="99"/>
      <x:c r="I231" s="99"/>
      <x:c r="J231" s="99"/>
      <x:c r="K231" s="99"/>
      <x:c r="L231" s="99"/>
      <x:c r="M231" s="99"/>
      <x:c r="N231" s="99"/>
      <x:c r="O231" s="99"/>
      <x:c r="P231" s="99"/>
      <x:c r="Q231" s="99"/>
      <x:c r="R231" s="99"/>
      <x:c r="S231" s="99"/>
      <x:c r="T231" s="99"/>
      <x:c r="U231" s="99"/>
      <x:c r="V231" s="99"/>
      <x:c r="W231" s="99"/>
      <x:c r="X231" s="99"/>
      <x:c r="Y231" s="99"/>
      <x:c r="Z231" s="99"/>
    </x:row>
    <x:row r="232">
      <x:c r="A232" s="99"/>
      <x:c r="B232" s="99"/>
      <x:c r="C232" s="99"/>
      <x:c r="D232" s="99"/>
      <x:c r="E232" s="99"/>
      <x:c r="F232" s="99"/>
      <x:c r="G232" s="99"/>
      <x:c r="H232" s="99"/>
      <x:c r="I232" s="99"/>
      <x:c r="J232" s="99"/>
      <x:c r="K232" s="99"/>
      <x:c r="L232" s="99"/>
      <x:c r="M232" s="99"/>
      <x:c r="N232" s="99"/>
      <x:c r="O232" s="99"/>
      <x:c r="P232" s="99"/>
      <x:c r="Q232" s="99"/>
      <x:c r="R232" s="99"/>
      <x:c r="S232" s="99"/>
      <x:c r="T232" s="99"/>
      <x:c r="U232" s="99"/>
      <x:c r="V232" s="99"/>
      <x:c r="W232" s="99"/>
      <x:c r="X232" s="99"/>
      <x:c r="Y232" s="99"/>
      <x:c r="Z232" s="99"/>
    </x:row>
    <x:row r="233">
      <x:c r="A233" s="99"/>
      <x:c r="B233" s="99"/>
      <x:c r="C233" s="99"/>
      <x:c r="D233" s="99"/>
      <x:c r="E233" s="99"/>
      <x:c r="F233" s="99"/>
      <x:c r="G233" s="99"/>
      <x:c r="H233" s="99"/>
      <x:c r="I233" s="99"/>
      <x:c r="J233" s="99"/>
      <x:c r="K233" s="99"/>
      <x:c r="L233" s="99"/>
      <x:c r="M233" s="99"/>
      <x:c r="N233" s="99"/>
      <x:c r="O233" s="99"/>
      <x:c r="P233" s="99"/>
      <x:c r="Q233" s="99"/>
      <x:c r="R233" s="99"/>
      <x:c r="S233" s="99"/>
      <x:c r="T233" s="99"/>
      <x:c r="U233" s="99"/>
      <x:c r="V233" s="99"/>
      <x:c r="W233" s="99"/>
      <x:c r="X233" s="99"/>
      <x:c r="Y233" s="99"/>
      <x:c r="Z233" s="99"/>
    </x:row>
    <x:row r="234">
      <x:c r="A234" s="99"/>
      <x:c r="B234" s="99"/>
      <x:c r="C234" s="99"/>
      <x:c r="D234" s="99"/>
      <x:c r="E234" s="99"/>
      <x:c r="F234" s="99"/>
      <x:c r="G234" s="99"/>
      <x:c r="H234" s="99"/>
      <x:c r="I234" s="99"/>
      <x:c r="J234" s="99"/>
      <x:c r="K234" s="99"/>
      <x:c r="L234" s="99"/>
      <x:c r="M234" s="99"/>
      <x:c r="N234" s="99"/>
      <x:c r="O234" s="99"/>
      <x:c r="P234" s="99"/>
      <x:c r="Q234" s="99"/>
      <x:c r="R234" s="99"/>
      <x:c r="S234" s="99"/>
      <x:c r="T234" s="99"/>
      <x:c r="U234" s="99"/>
      <x:c r="V234" s="99"/>
      <x:c r="W234" s="99"/>
      <x:c r="X234" s="99"/>
      <x:c r="Y234" s="99"/>
      <x:c r="Z234" s="99"/>
    </x:row>
    <x:row r="235">
      <x:c r="A235" s="99"/>
      <x:c r="B235" s="99"/>
      <x:c r="C235" s="99"/>
      <x:c r="D235" s="99"/>
      <x:c r="E235" s="99"/>
      <x:c r="F235" s="99"/>
      <x:c r="G235" s="99"/>
      <x:c r="H235" s="99"/>
      <x:c r="I235" s="99"/>
      <x:c r="J235" s="99"/>
      <x:c r="K235" s="99"/>
      <x:c r="L235" s="99"/>
      <x:c r="M235" s="99"/>
      <x:c r="N235" s="99"/>
      <x:c r="O235" s="99"/>
      <x:c r="P235" s="99"/>
      <x:c r="Q235" s="99"/>
      <x:c r="R235" s="99"/>
      <x:c r="S235" s="99"/>
      <x:c r="T235" s="99"/>
      <x:c r="U235" s="99"/>
      <x:c r="V235" s="99"/>
      <x:c r="W235" s="99"/>
      <x:c r="X235" s="99"/>
      <x:c r="Y235" s="99"/>
      <x:c r="Z235" s="99"/>
    </x:row>
    <x:row r="236">
      <x:c r="A236" s="99"/>
      <x:c r="B236" s="99"/>
      <x:c r="C236" s="99"/>
      <x:c r="D236" s="99"/>
      <x:c r="E236" s="99"/>
      <x:c r="F236" s="99"/>
      <x:c r="G236" s="99"/>
      <x:c r="H236" s="99"/>
      <x:c r="I236" s="99"/>
      <x:c r="J236" s="99"/>
      <x:c r="K236" s="99"/>
      <x:c r="L236" s="99"/>
      <x:c r="M236" s="99"/>
      <x:c r="N236" s="99"/>
      <x:c r="O236" s="99"/>
      <x:c r="P236" s="99"/>
      <x:c r="Q236" s="99"/>
      <x:c r="R236" s="99"/>
      <x:c r="S236" s="99"/>
      <x:c r="T236" s="99"/>
      <x:c r="U236" s="99"/>
      <x:c r="V236" s="99"/>
      <x:c r="W236" s="99"/>
      <x:c r="X236" s="99"/>
      <x:c r="Y236" s="99"/>
      <x:c r="Z236" s="99"/>
    </x:row>
    <x:row r="237">
      <x:c r="A237" s="99"/>
      <x:c r="B237" s="99"/>
      <x:c r="C237" s="99"/>
      <x:c r="D237" s="99"/>
      <x:c r="E237" s="99"/>
      <x:c r="F237" s="99"/>
      <x:c r="G237" s="99"/>
      <x:c r="H237" s="99"/>
      <x:c r="I237" s="99"/>
      <x:c r="J237" s="99"/>
      <x:c r="K237" s="99"/>
      <x:c r="L237" s="99"/>
      <x:c r="M237" s="99"/>
      <x:c r="N237" s="99"/>
      <x:c r="O237" s="99"/>
      <x:c r="P237" s="99"/>
      <x:c r="Q237" s="99"/>
      <x:c r="R237" s="99"/>
      <x:c r="S237" s="99"/>
      <x:c r="T237" s="99"/>
      <x:c r="U237" s="99"/>
      <x:c r="V237" s="99"/>
      <x:c r="W237" s="99"/>
      <x:c r="X237" s="99"/>
      <x:c r="Y237" s="99"/>
      <x:c r="Z237" s="99"/>
    </x:row>
    <x:row r="238">
      <x:c r="A238" s="99"/>
      <x:c r="B238" s="99"/>
      <x:c r="C238" s="99"/>
      <x:c r="D238" s="99"/>
      <x:c r="E238" s="99"/>
      <x:c r="F238" s="99"/>
      <x:c r="G238" s="99"/>
      <x:c r="H238" s="99"/>
      <x:c r="I238" s="99"/>
      <x:c r="J238" s="99"/>
      <x:c r="K238" s="99"/>
      <x:c r="L238" s="99"/>
      <x:c r="M238" s="99"/>
      <x:c r="N238" s="99"/>
      <x:c r="O238" s="99"/>
      <x:c r="P238" s="99"/>
      <x:c r="Q238" s="99"/>
      <x:c r="R238" s="99"/>
      <x:c r="S238" s="99"/>
      <x:c r="T238" s="99"/>
      <x:c r="U238" s="99"/>
      <x:c r="V238" s="99"/>
      <x:c r="W238" s="99"/>
      <x:c r="X238" s="99"/>
      <x:c r="Y238" s="99"/>
      <x:c r="Z238" s="99"/>
    </x:row>
    <x:row r="239">
      <x:c r="A239" s="99"/>
      <x:c r="B239" s="99"/>
      <x:c r="C239" s="99"/>
      <x:c r="D239" s="99"/>
      <x:c r="E239" s="99"/>
      <x:c r="F239" s="99"/>
      <x:c r="G239" s="99"/>
      <x:c r="H239" s="99"/>
      <x:c r="I239" s="99"/>
      <x:c r="J239" s="99"/>
      <x:c r="K239" s="99"/>
      <x:c r="L239" s="99"/>
      <x:c r="M239" s="99"/>
      <x:c r="N239" s="99"/>
      <x:c r="O239" s="99"/>
      <x:c r="P239" s="99"/>
      <x:c r="Q239" s="99"/>
      <x:c r="R239" s="99"/>
      <x:c r="S239" s="99"/>
      <x:c r="T239" s="99"/>
      <x:c r="U239" s="99"/>
      <x:c r="V239" s="99"/>
      <x:c r="W239" s="99"/>
      <x:c r="X239" s="99"/>
      <x:c r="Y239" s="99"/>
      <x:c r="Z239" s="99"/>
    </x:row>
    <x:row r="240">
      <x:c r="A240" s="99"/>
      <x:c r="B240" s="99"/>
      <x:c r="C240" s="99"/>
      <x:c r="D240" s="99"/>
      <x:c r="E240" s="99"/>
      <x:c r="F240" s="99"/>
      <x:c r="G240" s="99"/>
      <x:c r="H240" s="99"/>
      <x:c r="I240" s="99"/>
      <x:c r="J240" s="99"/>
      <x:c r="K240" s="99"/>
      <x:c r="L240" s="99"/>
      <x:c r="M240" s="99"/>
      <x:c r="N240" s="99"/>
      <x:c r="O240" s="99"/>
      <x:c r="P240" s="99"/>
      <x:c r="Q240" s="99"/>
      <x:c r="R240" s="99"/>
      <x:c r="S240" s="99"/>
      <x:c r="T240" s="99"/>
      <x:c r="U240" s="99"/>
      <x:c r="V240" s="99"/>
      <x:c r="W240" s="99"/>
      <x:c r="X240" s="99"/>
      <x:c r="Y240" s="99"/>
      <x:c r="Z240" s="99"/>
    </x:row>
    <x:row r="241">
      <x:c r="A241" s="99"/>
      <x:c r="B241" s="99"/>
      <x:c r="C241" s="99"/>
      <x:c r="D241" s="99"/>
      <x:c r="E241" s="99"/>
      <x:c r="F241" s="99"/>
      <x:c r="G241" s="99"/>
      <x:c r="H241" s="99"/>
      <x:c r="I241" s="99"/>
      <x:c r="J241" s="99"/>
      <x:c r="K241" s="99"/>
      <x:c r="L241" s="99"/>
      <x:c r="M241" s="99"/>
      <x:c r="N241" s="99"/>
      <x:c r="O241" s="99"/>
      <x:c r="P241" s="99"/>
      <x:c r="Q241" s="99"/>
      <x:c r="R241" s="99"/>
      <x:c r="S241" s="99"/>
      <x:c r="T241" s="99"/>
      <x:c r="U241" s="99"/>
      <x:c r="V241" s="99"/>
      <x:c r="W241" s="99"/>
      <x:c r="X241" s="99"/>
      <x:c r="Y241" s="99"/>
      <x:c r="Z241" s="99"/>
    </x:row>
    <x:row r="242">
      <x:c r="A242" s="99"/>
      <x:c r="B242" s="99"/>
      <x:c r="C242" s="99"/>
      <x:c r="D242" s="99"/>
      <x:c r="E242" s="99"/>
      <x:c r="F242" s="99"/>
      <x:c r="G242" s="99"/>
      <x:c r="H242" s="99"/>
      <x:c r="I242" s="99"/>
      <x:c r="J242" s="99"/>
      <x:c r="K242" s="99"/>
      <x:c r="L242" s="99"/>
      <x:c r="M242" s="99"/>
      <x:c r="N242" s="99"/>
      <x:c r="O242" s="99"/>
      <x:c r="P242" s="99"/>
      <x:c r="Q242" s="99"/>
      <x:c r="R242" s="99"/>
      <x:c r="S242" s="99"/>
      <x:c r="T242" s="99"/>
      <x:c r="U242" s="99"/>
      <x:c r="V242" s="99"/>
      <x:c r="W242" s="99"/>
      <x:c r="X242" s="99"/>
      <x:c r="Y242" s="99"/>
      <x:c r="Z242" s="99"/>
    </x:row>
    <x:row r="243">
      <x:c r="A243" s="99"/>
      <x:c r="B243" s="99"/>
      <x:c r="C243" s="99"/>
      <x:c r="D243" s="99"/>
      <x:c r="E243" s="99"/>
      <x:c r="F243" s="99"/>
      <x:c r="G243" s="99"/>
      <x:c r="H243" s="99"/>
      <x:c r="I243" s="99"/>
      <x:c r="J243" s="99"/>
      <x:c r="K243" s="99"/>
      <x:c r="L243" s="99"/>
      <x:c r="M243" s="99"/>
      <x:c r="N243" s="99"/>
      <x:c r="O243" s="99"/>
      <x:c r="P243" s="99"/>
      <x:c r="Q243" s="99"/>
      <x:c r="R243" s="99"/>
      <x:c r="S243" s="99"/>
      <x:c r="T243" s="99"/>
      <x:c r="U243" s="99"/>
      <x:c r="V243" s="99"/>
      <x:c r="W243" s="99"/>
      <x:c r="X243" s="99"/>
      <x:c r="Y243" s="99"/>
      <x:c r="Z243" s="99"/>
    </x:row>
    <x:row r="244">
      <x:c r="A244" s="99"/>
      <x:c r="B244" s="99"/>
      <x:c r="C244" s="99"/>
      <x:c r="D244" s="99"/>
      <x:c r="E244" s="99"/>
      <x:c r="F244" s="99"/>
      <x:c r="G244" s="99"/>
      <x:c r="H244" s="99"/>
      <x:c r="I244" s="99"/>
      <x:c r="J244" s="99"/>
      <x:c r="K244" s="99"/>
      <x:c r="L244" s="99"/>
      <x:c r="M244" s="99"/>
      <x:c r="N244" s="99"/>
      <x:c r="O244" s="99"/>
      <x:c r="P244" s="99"/>
      <x:c r="Q244" s="99"/>
      <x:c r="R244" s="99"/>
      <x:c r="S244" s="99"/>
      <x:c r="T244" s="99"/>
      <x:c r="U244" s="99"/>
      <x:c r="V244" s="99"/>
      <x:c r="W244" s="99"/>
      <x:c r="X244" s="99"/>
      <x:c r="Y244" s="99"/>
      <x:c r="Z244" s="99"/>
    </x:row>
    <x:row r="245">
      <x:c r="A245" s="99"/>
      <x:c r="B245" s="99"/>
      <x:c r="C245" s="99"/>
      <x:c r="D245" s="99"/>
      <x:c r="E245" s="99"/>
      <x:c r="F245" s="99"/>
      <x:c r="G245" s="99"/>
      <x:c r="H245" s="99"/>
      <x:c r="I245" s="99"/>
      <x:c r="J245" s="99"/>
      <x:c r="K245" s="99"/>
      <x:c r="L245" s="99"/>
      <x:c r="M245" s="99"/>
      <x:c r="N245" s="99"/>
      <x:c r="O245" s="99"/>
      <x:c r="P245" s="99"/>
      <x:c r="Q245" s="99"/>
      <x:c r="R245" s="99"/>
      <x:c r="S245" s="99"/>
      <x:c r="T245" s="99"/>
      <x:c r="U245" s="99"/>
      <x:c r="V245" s="99"/>
      <x:c r="W245" s="99"/>
      <x:c r="X245" s="99"/>
      <x:c r="Y245" s="99"/>
      <x:c r="Z245" s="99"/>
    </x:row>
    <x:row r="246">
      <x:c r="A246" s="99"/>
      <x:c r="B246" s="99"/>
      <x:c r="C246" s="99"/>
      <x:c r="D246" s="99"/>
      <x:c r="E246" s="99"/>
      <x:c r="F246" s="99"/>
      <x:c r="G246" s="99"/>
      <x:c r="H246" s="99"/>
      <x:c r="I246" s="99"/>
      <x:c r="J246" s="99"/>
      <x:c r="K246" s="99"/>
      <x:c r="L246" s="99"/>
      <x:c r="M246" s="99"/>
      <x:c r="N246" s="99"/>
      <x:c r="O246" s="99"/>
      <x:c r="P246" s="99"/>
      <x:c r="Q246" s="99"/>
      <x:c r="R246" s="99"/>
      <x:c r="S246" s="99"/>
      <x:c r="T246" s="99"/>
      <x:c r="U246" s="99"/>
      <x:c r="V246" s="99"/>
      <x:c r="W246" s="99"/>
      <x:c r="X246" s="99"/>
      <x:c r="Y246" s="99"/>
      <x:c r="Z246" s="99"/>
    </x:row>
    <x:row r="247">
      <x:c r="A247" s="99"/>
      <x:c r="B247" s="99"/>
      <x:c r="C247" s="99"/>
      <x:c r="D247" s="99"/>
      <x:c r="E247" s="99"/>
      <x:c r="F247" s="99"/>
      <x:c r="G247" s="99"/>
      <x:c r="H247" s="99"/>
      <x:c r="I247" s="99"/>
      <x:c r="J247" s="99"/>
      <x:c r="K247" s="99"/>
      <x:c r="L247" s="99"/>
      <x:c r="M247" s="99"/>
      <x:c r="N247" s="99"/>
      <x:c r="O247" s="99"/>
      <x:c r="P247" s="99"/>
      <x:c r="Q247" s="99"/>
      <x:c r="R247" s="99"/>
      <x:c r="S247" s="99"/>
      <x:c r="T247" s="99"/>
      <x:c r="U247" s="99"/>
      <x:c r="V247" s="99"/>
      <x:c r="W247" s="99"/>
      <x:c r="X247" s="99"/>
      <x:c r="Y247" s="99"/>
      <x:c r="Z247" s="99"/>
    </x:row>
    <x:row r="248">
      <x:c r="A248" s="99"/>
      <x:c r="B248" s="99"/>
      <x:c r="C248" s="99"/>
      <x:c r="D248" s="99"/>
      <x:c r="E248" s="99"/>
      <x:c r="F248" s="99"/>
      <x:c r="G248" s="99"/>
      <x:c r="H248" s="99"/>
      <x:c r="I248" s="99"/>
      <x:c r="J248" s="99"/>
      <x:c r="K248" s="99"/>
      <x:c r="L248" s="99"/>
      <x:c r="M248" s="99"/>
      <x:c r="N248" s="99"/>
      <x:c r="O248" s="99"/>
      <x:c r="P248" s="99"/>
      <x:c r="Q248" s="99"/>
      <x:c r="R248" s="99"/>
      <x:c r="S248" s="99"/>
      <x:c r="T248" s="99"/>
      <x:c r="U248" s="99"/>
      <x:c r="V248" s="99"/>
      <x:c r="W248" s="99"/>
      <x:c r="X248" s="99"/>
      <x:c r="Y248" s="99"/>
      <x:c r="Z248" s="99"/>
    </x:row>
    <x:row r="249">
      <x:c r="A249" s="99"/>
      <x:c r="B249" s="99"/>
      <x:c r="C249" s="99"/>
      <x:c r="D249" s="99"/>
      <x:c r="E249" s="99"/>
      <x:c r="F249" s="99"/>
      <x:c r="G249" s="99"/>
      <x:c r="H249" s="99"/>
      <x:c r="I249" s="99"/>
      <x:c r="J249" s="99"/>
      <x:c r="K249" s="99"/>
      <x:c r="L249" s="99"/>
      <x:c r="M249" s="99"/>
      <x:c r="N249" s="99"/>
      <x:c r="O249" s="99"/>
      <x:c r="P249" s="99"/>
      <x:c r="Q249" s="99"/>
      <x:c r="R249" s="99"/>
      <x:c r="S249" s="99"/>
      <x:c r="T249" s="99"/>
      <x:c r="U249" s="99"/>
      <x:c r="V249" s="99"/>
      <x:c r="W249" s="99"/>
      <x:c r="X249" s="99"/>
      <x:c r="Y249" s="99"/>
      <x:c r="Z249" s="99"/>
    </x:row>
    <x:row r="250">
      <x:c r="A250" s="99"/>
      <x:c r="B250" s="99"/>
      <x:c r="C250" s="99"/>
      <x:c r="D250" s="99"/>
      <x:c r="E250" s="99"/>
      <x:c r="F250" s="99"/>
      <x:c r="G250" s="99"/>
      <x:c r="H250" s="99"/>
      <x:c r="I250" s="99"/>
      <x:c r="J250" s="99"/>
      <x:c r="K250" s="99"/>
      <x:c r="L250" s="99"/>
      <x:c r="M250" s="99"/>
      <x:c r="N250" s="99"/>
      <x:c r="O250" s="99"/>
      <x:c r="P250" s="99"/>
      <x:c r="Q250" s="99"/>
      <x:c r="R250" s="99"/>
      <x:c r="S250" s="99"/>
      <x:c r="T250" s="99"/>
      <x:c r="U250" s="99"/>
      <x:c r="V250" s="99"/>
      <x:c r="W250" s="99"/>
      <x:c r="X250" s="99"/>
      <x:c r="Y250" s="99"/>
      <x:c r="Z250" s="99"/>
    </x:row>
    <x:row r="251">
      <x:c r="A251" s="99"/>
      <x:c r="B251" s="99"/>
      <x:c r="C251" s="99"/>
      <x:c r="D251" s="99"/>
      <x:c r="E251" s="99"/>
      <x:c r="F251" s="99"/>
      <x:c r="G251" s="99"/>
      <x:c r="H251" s="99"/>
      <x:c r="I251" s="99"/>
      <x:c r="J251" s="99"/>
      <x:c r="K251" s="99"/>
      <x:c r="L251" s="99"/>
      <x:c r="M251" s="99"/>
      <x:c r="N251" s="99"/>
      <x:c r="O251" s="99"/>
      <x:c r="P251" s="99"/>
      <x:c r="Q251" s="99"/>
      <x:c r="R251" s="99"/>
      <x:c r="S251" s="99"/>
      <x:c r="T251" s="99"/>
      <x:c r="U251" s="99"/>
      <x:c r="V251" s="99"/>
      <x:c r="W251" s="99"/>
      <x:c r="X251" s="99"/>
      <x:c r="Y251" s="99"/>
      <x:c r="Z251" s="99"/>
    </x:row>
    <x:row r="252">
      <x:c r="A252" s="99"/>
      <x:c r="B252" s="99"/>
      <x:c r="C252" s="99"/>
      <x:c r="D252" s="99"/>
      <x:c r="E252" s="99"/>
      <x:c r="F252" s="99"/>
      <x:c r="G252" s="99"/>
      <x:c r="H252" s="99"/>
      <x:c r="I252" s="99"/>
      <x:c r="J252" s="99"/>
      <x:c r="K252" s="99"/>
      <x:c r="L252" s="99"/>
      <x:c r="M252" s="99"/>
      <x:c r="N252" s="99"/>
      <x:c r="O252" s="99"/>
      <x:c r="P252" s="99"/>
      <x:c r="Q252" s="99"/>
      <x:c r="R252" s="99"/>
      <x:c r="S252" s="99"/>
      <x:c r="T252" s="99"/>
      <x:c r="U252" s="99"/>
      <x:c r="V252" s="99"/>
      <x:c r="W252" s="99"/>
      <x:c r="X252" s="99"/>
      <x:c r="Y252" s="99"/>
      <x:c r="Z252" s="99"/>
    </x:row>
    <x:row r="253">
      <x:c r="A253" s="99"/>
      <x:c r="B253" s="99"/>
      <x:c r="C253" s="99"/>
      <x:c r="D253" s="99"/>
      <x:c r="E253" s="99"/>
      <x:c r="F253" s="99"/>
      <x:c r="G253" s="99"/>
      <x:c r="H253" s="99"/>
      <x:c r="I253" s="99"/>
      <x:c r="J253" s="99"/>
      <x:c r="K253" s="99"/>
      <x:c r="L253" s="99"/>
      <x:c r="M253" s="99"/>
      <x:c r="N253" s="99"/>
      <x:c r="O253" s="99"/>
      <x:c r="P253" s="99"/>
      <x:c r="Q253" s="99"/>
      <x:c r="R253" s="99"/>
      <x:c r="S253" s="99"/>
      <x:c r="T253" s="99"/>
      <x:c r="U253" s="99"/>
      <x:c r="V253" s="99"/>
      <x:c r="W253" s="99"/>
      <x:c r="X253" s="99"/>
      <x:c r="Y253" s="99"/>
      <x:c r="Z253" s="99"/>
    </x:row>
    <x:row r="254">
      <x:c r="A254" s="99"/>
      <x:c r="B254" s="99"/>
      <x:c r="C254" s="99"/>
      <x:c r="D254" s="99"/>
      <x:c r="E254" s="99"/>
      <x:c r="F254" s="99"/>
      <x:c r="G254" s="99"/>
      <x:c r="H254" s="99"/>
      <x:c r="I254" s="99"/>
      <x:c r="J254" s="99"/>
      <x:c r="K254" s="99"/>
      <x:c r="L254" s="99"/>
      <x:c r="M254" s="99"/>
      <x:c r="N254" s="99"/>
      <x:c r="O254" s="99"/>
      <x:c r="P254" s="99"/>
      <x:c r="Q254" s="99"/>
      <x:c r="R254" s="99"/>
      <x:c r="S254" s="99"/>
      <x:c r="T254" s="99"/>
      <x:c r="U254" s="99"/>
      <x:c r="V254" s="99"/>
      <x:c r="W254" s="99"/>
      <x:c r="X254" s="99"/>
      <x:c r="Y254" s="99"/>
      <x:c r="Z254" s="99"/>
    </x:row>
    <x:row r="255">
      <x:c r="A255" s="99"/>
      <x:c r="B255" s="99"/>
      <x:c r="C255" s="99"/>
      <x:c r="D255" s="99"/>
      <x:c r="E255" s="99"/>
      <x:c r="F255" s="99"/>
      <x:c r="G255" s="99"/>
      <x:c r="H255" s="99"/>
      <x:c r="I255" s="99"/>
      <x:c r="J255" s="99"/>
      <x:c r="K255" s="99"/>
      <x:c r="L255" s="99"/>
      <x:c r="M255" s="99"/>
      <x:c r="N255" s="99"/>
      <x:c r="O255" s="99"/>
      <x:c r="P255" s="99"/>
      <x:c r="Q255" s="99"/>
      <x:c r="R255" s="99"/>
      <x:c r="S255" s="99"/>
      <x:c r="T255" s="99"/>
      <x:c r="U255" s="99"/>
      <x:c r="V255" s="99"/>
      <x:c r="W255" s="99"/>
      <x:c r="X255" s="99"/>
      <x:c r="Y255" s="99"/>
      <x:c r="Z255" s="99"/>
    </x:row>
    <x:row r="256">
      <x:c r="A256" s="99"/>
      <x:c r="B256" s="99"/>
      <x:c r="C256" s="99"/>
      <x:c r="D256" s="99"/>
      <x:c r="E256" s="99"/>
      <x:c r="F256" s="99"/>
      <x:c r="G256" s="99"/>
      <x:c r="H256" s="99"/>
      <x:c r="I256" s="99"/>
      <x:c r="J256" s="99"/>
      <x:c r="K256" s="99"/>
      <x:c r="L256" s="99"/>
      <x:c r="M256" s="99"/>
      <x:c r="N256" s="99"/>
      <x:c r="O256" s="99"/>
      <x:c r="P256" s="99"/>
      <x:c r="Q256" s="99"/>
      <x:c r="R256" s="99"/>
      <x:c r="S256" s="99"/>
      <x:c r="T256" s="99"/>
      <x:c r="U256" s="99"/>
      <x:c r="V256" s="99"/>
      <x:c r="W256" s="99"/>
      <x:c r="X256" s="99"/>
      <x:c r="Y256" s="99"/>
      <x:c r="Z256" s="99"/>
    </x:row>
    <x:row r="257">
      <x:c r="A257" s="99"/>
      <x:c r="B257" s="99"/>
      <x:c r="C257" s="99"/>
      <x:c r="D257" s="99"/>
      <x:c r="E257" s="99"/>
      <x:c r="F257" s="99"/>
      <x:c r="G257" s="99"/>
      <x:c r="H257" s="99"/>
      <x:c r="I257" s="99"/>
      <x:c r="J257" s="99"/>
      <x:c r="K257" s="99"/>
      <x:c r="L257" s="99"/>
      <x:c r="M257" s="99"/>
      <x:c r="N257" s="99"/>
      <x:c r="O257" s="99"/>
      <x:c r="P257" s="99"/>
      <x:c r="Q257" s="99"/>
      <x:c r="R257" s="99"/>
      <x:c r="S257" s="99"/>
      <x:c r="T257" s="99"/>
      <x:c r="U257" s="99"/>
      <x:c r="V257" s="99"/>
      <x:c r="W257" s="99"/>
      <x:c r="X257" s="99"/>
      <x:c r="Y257" s="99"/>
      <x:c r="Z257" s="99"/>
    </x:row>
    <x:row r="258">
      <x:c r="A258" s="99"/>
      <x:c r="B258" s="99"/>
      <x:c r="C258" s="99"/>
      <x:c r="D258" s="99"/>
      <x:c r="E258" s="99"/>
      <x:c r="F258" s="99"/>
      <x:c r="G258" s="99"/>
      <x:c r="H258" s="99"/>
      <x:c r="I258" s="99"/>
      <x:c r="J258" s="99"/>
      <x:c r="K258" s="99"/>
      <x:c r="L258" s="99"/>
      <x:c r="M258" s="99"/>
      <x:c r="N258" s="99"/>
      <x:c r="O258" s="99"/>
      <x:c r="P258" s="99"/>
      <x:c r="Q258" s="99"/>
      <x:c r="R258" s="99"/>
      <x:c r="S258" s="99"/>
      <x:c r="T258" s="99"/>
      <x:c r="U258" s="99"/>
      <x:c r="V258" s="99"/>
      <x:c r="W258" s="99"/>
      <x:c r="X258" s="99"/>
      <x:c r="Y258" s="99"/>
      <x:c r="Z258" s="99"/>
    </x:row>
    <x:row r="259">
      <x:c r="A259" s="99"/>
      <x:c r="B259" s="99"/>
      <x:c r="C259" s="99"/>
      <x:c r="D259" s="99"/>
      <x:c r="E259" s="99"/>
      <x:c r="F259" s="99"/>
      <x:c r="G259" s="99"/>
      <x:c r="H259" s="99"/>
      <x:c r="I259" s="99"/>
      <x:c r="J259" s="99"/>
      <x:c r="K259" s="99"/>
      <x:c r="L259" s="99"/>
      <x:c r="M259" s="99"/>
      <x:c r="N259" s="99"/>
      <x:c r="O259" s="99"/>
      <x:c r="P259" s="99"/>
      <x:c r="Q259" s="99"/>
      <x:c r="R259" s="99"/>
      <x:c r="S259" s="99"/>
      <x:c r="T259" s="99"/>
      <x:c r="U259" s="99"/>
      <x:c r="V259" s="99"/>
      <x:c r="W259" s="99"/>
      <x:c r="X259" s="99"/>
      <x:c r="Y259" s="99"/>
      <x:c r="Z259" s="99"/>
    </x:row>
    <x:row r="260">
      <x:c r="A260" s="99"/>
      <x:c r="B260" s="99"/>
      <x:c r="C260" s="99"/>
      <x:c r="D260" s="99"/>
      <x:c r="E260" s="99"/>
      <x:c r="F260" s="99"/>
      <x:c r="G260" s="99"/>
      <x:c r="H260" s="99"/>
      <x:c r="I260" s="99"/>
      <x:c r="J260" s="99"/>
      <x:c r="K260" s="99"/>
      <x:c r="L260" s="99"/>
      <x:c r="M260" s="99"/>
      <x:c r="N260" s="99"/>
      <x:c r="O260" s="99"/>
      <x:c r="P260" s="99"/>
      <x:c r="Q260" s="99"/>
      <x:c r="R260" s="99"/>
      <x:c r="S260" s="99"/>
      <x:c r="T260" s="99"/>
      <x:c r="U260" s="99"/>
      <x:c r="V260" s="99"/>
      <x:c r="W260" s="99"/>
      <x:c r="X260" s="99"/>
      <x:c r="Y260" s="99"/>
      <x:c r="Z260" s="99"/>
    </x:row>
    <x:row r="261">
      <x:c r="A261" s="99"/>
      <x:c r="B261" s="99"/>
      <x:c r="C261" s="99"/>
      <x:c r="D261" s="99"/>
      <x:c r="E261" s="99"/>
      <x:c r="F261" s="99"/>
      <x:c r="G261" s="99"/>
      <x:c r="H261" s="99"/>
      <x:c r="I261" s="99"/>
      <x:c r="J261" s="99"/>
      <x:c r="K261" s="99"/>
      <x:c r="L261" s="99"/>
      <x:c r="M261" s="99"/>
      <x:c r="N261" s="99"/>
      <x:c r="O261" s="99"/>
      <x:c r="P261" s="99"/>
      <x:c r="Q261" s="99"/>
      <x:c r="R261" s="99"/>
      <x:c r="S261" s="99"/>
      <x:c r="T261" s="99"/>
      <x:c r="U261" s="99"/>
      <x:c r="V261" s="99"/>
      <x:c r="W261" s="99"/>
      <x:c r="X261" s="99"/>
      <x:c r="Y261" s="99"/>
      <x:c r="Z261" s="99"/>
    </x:row>
    <x:row r="262">
      <x:c r="A262" s="99"/>
      <x:c r="B262" s="99"/>
      <x:c r="C262" s="99"/>
      <x:c r="D262" s="99"/>
      <x:c r="E262" s="99"/>
      <x:c r="F262" s="99"/>
      <x:c r="G262" s="99"/>
      <x:c r="H262" s="99"/>
      <x:c r="I262" s="99"/>
      <x:c r="J262" s="99"/>
      <x:c r="K262" s="99"/>
      <x:c r="L262" s="99"/>
      <x:c r="M262" s="99"/>
      <x:c r="N262" s="99"/>
      <x:c r="O262" s="99"/>
      <x:c r="P262" s="99"/>
      <x:c r="Q262" s="99"/>
      <x:c r="R262" s="99"/>
      <x:c r="S262" s="99"/>
      <x:c r="T262" s="99"/>
      <x:c r="U262" s="99"/>
      <x:c r="V262" s="99"/>
      <x:c r="W262" s="99"/>
      <x:c r="X262" s="99"/>
      <x:c r="Y262" s="99"/>
      <x:c r="Z262" s="99"/>
    </x:row>
    <x:row r="263">
      <x:c r="A263" s="99"/>
      <x:c r="B263" s="99"/>
      <x:c r="C263" s="99"/>
      <x:c r="D263" s="99"/>
      <x:c r="E263" s="99"/>
      <x:c r="F263" s="99"/>
      <x:c r="G263" s="99"/>
      <x:c r="H263" s="99"/>
      <x:c r="I263" s="99"/>
      <x:c r="J263" s="99"/>
      <x:c r="K263" s="99"/>
      <x:c r="L263" s="99"/>
      <x:c r="M263" s="99"/>
      <x:c r="N263" s="99"/>
      <x:c r="O263" s="99"/>
      <x:c r="P263" s="99"/>
      <x:c r="Q263" s="99"/>
      <x:c r="R263" s="99"/>
      <x:c r="S263" s="99"/>
      <x:c r="T263" s="99"/>
      <x:c r="U263" s="99"/>
      <x:c r="V263" s="99"/>
      <x:c r="W263" s="99"/>
      <x:c r="X263" s="99"/>
      <x:c r="Y263" s="99"/>
      <x:c r="Z263" s="99"/>
    </x:row>
    <x:row r="264">
      <x:c r="A264" s="99"/>
      <x:c r="B264" s="99"/>
      <x:c r="C264" s="99"/>
      <x:c r="D264" s="99"/>
      <x:c r="E264" s="99"/>
      <x:c r="F264" s="99"/>
      <x:c r="G264" s="99"/>
      <x:c r="H264" s="99"/>
      <x:c r="I264" s="99"/>
      <x:c r="J264" s="99"/>
      <x:c r="K264" s="99"/>
      <x:c r="L264" s="99"/>
      <x:c r="M264" s="99"/>
      <x:c r="N264" s="99"/>
      <x:c r="O264" s="99"/>
      <x:c r="P264" s="99"/>
      <x:c r="Q264" s="99"/>
      <x:c r="R264" s="99"/>
      <x:c r="S264" s="99"/>
      <x:c r="T264" s="99"/>
      <x:c r="U264" s="99"/>
      <x:c r="V264" s="99"/>
      <x:c r="W264" s="99"/>
      <x:c r="X264" s="99"/>
      <x:c r="Y264" s="99"/>
      <x:c r="Z264" s="99"/>
    </x:row>
    <x:row r="265">
      <x:c r="A265" s="99"/>
      <x:c r="B265" s="99"/>
      <x:c r="C265" s="99"/>
      <x:c r="D265" s="99"/>
      <x:c r="E265" s="99"/>
      <x:c r="F265" s="99"/>
      <x:c r="G265" s="99"/>
      <x:c r="H265" s="99"/>
      <x:c r="I265" s="99"/>
      <x:c r="J265" s="99"/>
      <x:c r="K265" s="99"/>
      <x:c r="L265" s="99"/>
      <x:c r="M265" s="99"/>
      <x:c r="N265" s="99"/>
      <x:c r="O265" s="99"/>
      <x:c r="P265" s="99"/>
      <x:c r="Q265" s="99"/>
      <x:c r="R265" s="99"/>
      <x:c r="S265" s="99"/>
      <x:c r="T265" s="99"/>
      <x:c r="U265" s="99"/>
      <x:c r="V265" s="99"/>
      <x:c r="W265" s="99"/>
      <x:c r="X265" s="99"/>
      <x:c r="Y265" s="99"/>
      <x:c r="Z265" s="99"/>
    </x:row>
    <x:row r="266">
      <x:c r="A266" s="99"/>
      <x:c r="B266" s="99"/>
      <x:c r="C266" s="99"/>
      <x:c r="D266" s="99"/>
      <x:c r="E266" s="99"/>
      <x:c r="F266" s="99"/>
      <x:c r="G266" s="99"/>
      <x:c r="H266" s="99"/>
      <x:c r="I266" s="99"/>
      <x:c r="J266" s="99"/>
      <x:c r="K266" s="99"/>
      <x:c r="L266" s="99"/>
      <x:c r="M266" s="99"/>
      <x:c r="N266" s="99"/>
      <x:c r="O266" s="99"/>
      <x:c r="P266" s="99"/>
      <x:c r="Q266" s="99"/>
      <x:c r="R266" s="99"/>
      <x:c r="S266" s="99"/>
      <x:c r="T266" s="99"/>
      <x:c r="U266" s="99"/>
      <x:c r="V266" s="99"/>
      <x:c r="W266" s="99"/>
      <x:c r="X266" s="99"/>
      <x:c r="Y266" s="99"/>
      <x:c r="Z266" s="99"/>
    </x:row>
    <x:row r="267">
      <x:c r="A267" s="99"/>
      <x:c r="B267" s="99"/>
      <x:c r="C267" s="99"/>
      <x:c r="D267" s="99"/>
      <x:c r="E267" s="99"/>
      <x:c r="F267" s="99"/>
      <x:c r="G267" s="99"/>
      <x:c r="H267" s="99"/>
      <x:c r="I267" s="99"/>
      <x:c r="J267" s="99"/>
      <x:c r="K267" s="99"/>
      <x:c r="L267" s="99"/>
      <x:c r="M267" s="99"/>
      <x:c r="N267" s="99"/>
      <x:c r="O267" s="99"/>
      <x:c r="P267" s="99"/>
      <x:c r="Q267" s="99"/>
      <x:c r="R267" s="99"/>
      <x:c r="S267" s="99"/>
      <x:c r="T267" s="99"/>
      <x:c r="U267" s="99"/>
      <x:c r="V267" s="99"/>
      <x:c r="W267" s="99"/>
      <x:c r="X267" s="99"/>
      <x:c r="Y267" s="99"/>
      <x:c r="Z267" s="99"/>
    </x:row>
    <x:row r="268">
      <x:c r="A268" s="99"/>
      <x:c r="B268" s="99"/>
      <x:c r="C268" s="99"/>
      <x:c r="D268" s="99"/>
      <x:c r="E268" s="99"/>
      <x:c r="F268" s="99"/>
      <x:c r="G268" s="99"/>
      <x:c r="H268" s="99"/>
      <x:c r="I268" s="99"/>
      <x:c r="J268" s="99"/>
      <x:c r="K268" s="99"/>
      <x:c r="L268" s="99"/>
      <x:c r="M268" s="99"/>
      <x:c r="N268" s="99"/>
      <x:c r="O268" s="99"/>
      <x:c r="P268" s="99"/>
      <x:c r="Q268" s="99"/>
      <x:c r="R268" s="99"/>
      <x:c r="S268" s="99"/>
      <x:c r="T268" s="99"/>
      <x:c r="U268" s="99"/>
      <x:c r="V268" s="99"/>
      <x:c r="W268" s="99"/>
      <x:c r="X268" s="99"/>
      <x:c r="Y268" s="99"/>
      <x:c r="Z268" s="99"/>
    </x:row>
    <x:row r="269">
      <x:c r="A269" s="99"/>
      <x:c r="B269" s="99"/>
      <x:c r="C269" s="99"/>
      <x:c r="D269" s="99"/>
      <x:c r="E269" s="99"/>
      <x:c r="F269" s="99"/>
      <x:c r="G269" s="99"/>
      <x:c r="H269" s="99"/>
      <x:c r="I269" s="99"/>
      <x:c r="J269" s="99"/>
      <x:c r="K269" s="99"/>
      <x:c r="L269" s="99"/>
      <x:c r="M269" s="99"/>
      <x:c r="N269" s="99"/>
      <x:c r="O269" s="99"/>
      <x:c r="P269" s="99"/>
      <x:c r="Q269" s="99"/>
      <x:c r="R269" s="99"/>
      <x:c r="S269" s="99"/>
      <x:c r="T269" s="99"/>
      <x:c r="U269" s="99"/>
      <x:c r="V269" s="99"/>
      <x:c r="W269" s="99"/>
      <x:c r="X269" s="99"/>
      <x:c r="Y269" s="99"/>
      <x:c r="Z269" s="99"/>
    </x:row>
    <x:row r="270">
      <x:c r="A270" s="99"/>
      <x:c r="B270" s="99"/>
      <x:c r="C270" s="99"/>
      <x:c r="D270" s="99"/>
      <x:c r="E270" s="99"/>
      <x:c r="F270" s="99"/>
      <x:c r="G270" s="99"/>
      <x:c r="H270" s="99"/>
      <x:c r="I270" s="99"/>
      <x:c r="J270" s="99"/>
      <x:c r="K270" s="99"/>
      <x:c r="L270" s="99"/>
      <x:c r="M270" s="99"/>
      <x:c r="N270" s="99"/>
      <x:c r="O270" s="99"/>
      <x:c r="P270" s="99"/>
      <x:c r="Q270" s="99"/>
      <x:c r="R270" s="99"/>
      <x:c r="S270" s="99"/>
      <x:c r="T270" s="99"/>
      <x:c r="U270" s="99"/>
      <x:c r="V270" s="99"/>
      <x:c r="W270" s="99"/>
      <x:c r="X270" s="99"/>
      <x:c r="Y270" s="99"/>
      <x:c r="Z270" s="99"/>
    </x:row>
    <x:row r="271">
      <x:c r="A271" s="99"/>
      <x:c r="B271" s="99"/>
      <x:c r="C271" s="99"/>
      <x:c r="D271" s="99"/>
      <x:c r="E271" s="99"/>
      <x:c r="F271" s="99"/>
      <x:c r="G271" s="99"/>
      <x:c r="H271" s="99"/>
      <x:c r="I271" s="99"/>
      <x:c r="J271" s="99"/>
      <x:c r="K271" s="99"/>
      <x:c r="L271" s="99"/>
      <x:c r="M271" s="99"/>
      <x:c r="N271" s="99"/>
      <x:c r="O271" s="99"/>
      <x:c r="P271" s="99"/>
      <x:c r="Q271" s="99"/>
      <x:c r="R271" s="99"/>
      <x:c r="S271" s="99"/>
      <x:c r="T271" s="99"/>
      <x:c r="U271" s="99"/>
      <x:c r="V271" s="99"/>
      <x:c r="W271" s="99"/>
      <x:c r="X271" s="99"/>
      <x:c r="Y271" s="99"/>
      <x:c r="Z271" s="99"/>
    </x:row>
    <x:row r="272">
      <x:c r="A272" s="99"/>
      <x:c r="B272" s="99"/>
      <x:c r="C272" s="99"/>
      <x:c r="D272" s="99"/>
      <x:c r="E272" s="99"/>
      <x:c r="F272" s="99"/>
      <x:c r="G272" s="99"/>
      <x:c r="H272" s="99"/>
      <x:c r="I272" s="99"/>
      <x:c r="J272" s="99"/>
      <x:c r="K272" s="99"/>
      <x:c r="L272" s="99"/>
      <x:c r="M272" s="99"/>
      <x:c r="N272" s="99"/>
      <x:c r="O272" s="99"/>
      <x:c r="P272" s="99"/>
      <x:c r="Q272" s="99"/>
      <x:c r="R272" s="99"/>
      <x:c r="S272" s="99"/>
      <x:c r="T272" s="99"/>
      <x:c r="U272" s="99"/>
      <x:c r="V272" s="99"/>
      <x:c r="W272" s="99"/>
      <x:c r="X272" s="99"/>
      <x:c r="Y272" s="99"/>
      <x:c r="Z272" s="99"/>
    </x:row>
    <x:row r="273">
      <x:c r="A273" s="99"/>
      <x:c r="B273" s="99"/>
      <x:c r="C273" s="99"/>
      <x:c r="D273" s="99"/>
      <x:c r="E273" s="99"/>
      <x:c r="F273" s="99"/>
      <x:c r="G273" s="99"/>
      <x:c r="H273" s="99"/>
      <x:c r="I273" s="99"/>
      <x:c r="J273" s="99"/>
      <x:c r="K273" s="99"/>
      <x:c r="L273" s="99"/>
      <x:c r="M273" s="99"/>
      <x:c r="N273" s="99"/>
      <x:c r="O273" s="99"/>
      <x:c r="P273" s="99"/>
      <x:c r="Q273" s="99"/>
      <x:c r="R273" s="99"/>
      <x:c r="S273" s="99"/>
      <x:c r="T273" s="99"/>
      <x:c r="U273" s="99"/>
      <x:c r="V273" s="99"/>
      <x:c r="W273" s="99"/>
      <x:c r="X273" s="99"/>
      <x:c r="Y273" s="99"/>
      <x:c r="Z273" s="99"/>
    </x:row>
    <x:row r="274">
      <x:c r="A274" s="99"/>
      <x:c r="B274" s="99"/>
      <x:c r="C274" s="99"/>
      <x:c r="D274" s="99"/>
      <x:c r="E274" s="99"/>
      <x:c r="F274" s="99"/>
      <x:c r="G274" s="99"/>
      <x:c r="H274" s="99"/>
      <x:c r="I274" s="99"/>
      <x:c r="J274" s="99"/>
      <x:c r="K274" s="99"/>
      <x:c r="L274" s="99"/>
      <x:c r="M274" s="99"/>
      <x:c r="N274" s="99"/>
      <x:c r="O274" s="99"/>
      <x:c r="P274" s="99"/>
      <x:c r="Q274" s="99"/>
      <x:c r="R274" s="99"/>
      <x:c r="S274" s="99"/>
      <x:c r="T274" s="99"/>
      <x:c r="U274" s="99"/>
      <x:c r="V274" s="99"/>
      <x:c r="W274" s="99"/>
      <x:c r="X274" s="99"/>
      <x:c r="Y274" s="99"/>
      <x:c r="Z274" s="99"/>
    </x:row>
    <x:row r="275">
      <x:c r="A275" s="99"/>
      <x:c r="B275" s="99"/>
      <x:c r="C275" s="99"/>
      <x:c r="D275" s="99"/>
      <x:c r="E275" s="99"/>
      <x:c r="F275" s="99"/>
      <x:c r="G275" s="99"/>
      <x:c r="H275" s="99"/>
      <x:c r="I275" s="99"/>
      <x:c r="J275" s="99"/>
      <x:c r="K275" s="99"/>
      <x:c r="L275" s="99"/>
      <x:c r="M275" s="99"/>
      <x:c r="N275" s="99"/>
      <x:c r="O275" s="99"/>
      <x:c r="P275" s="99"/>
      <x:c r="Q275" s="99"/>
      <x:c r="R275" s="99"/>
      <x:c r="S275" s="99"/>
      <x:c r="T275" s="99"/>
      <x:c r="U275" s="99"/>
      <x:c r="V275" s="99"/>
      <x:c r="W275" s="99"/>
      <x:c r="X275" s="99"/>
      <x:c r="Y275" s="99"/>
      <x:c r="Z275" s="99"/>
    </x:row>
    <x:row r="276">
      <x:c r="A276" s="99"/>
      <x:c r="B276" s="99"/>
      <x:c r="C276" s="99"/>
      <x:c r="D276" s="99"/>
      <x:c r="E276" s="99"/>
      <x:c r="F276" s="99"/>
      <x:c r="G276" s="99"/>
      <x:c r="H276" s="99"/>
      <x:c r="I276" s="99"/>
      <x:c r="J276" s="99"/>
      <x:c r="K276" s="99"/>
      <x:c r="L276" s="99"/>
      <x:c r="M276" s="99"/>
      <x:c r="N276" s="99"/>
      <x:c r="O276" s="99"/>
      <x:c r="P276" s="99"/>
      <x:c r="Q276" s="99"/>
      <x:c r="R276" s="99"/>
      <x:c r="S276" s="99"/>
      <x:c r="T276" s="99"/>
      <x:c r="U276" s="99"/>
      <x:c r="V276" s="99"/>
      <x:c r="W276" s="99"/>
      <x:c r="X276" s="99"/>
      <x:c r="Y276" s="99"/>
      <x:c r="Z276" s="99"/>
    </x:row>
    <x:row r="277">
      <x:c r="A277" s="99"/>
      <x:c r="B277" s="99"/>
      <x:c r="C277" s="99"/>
      <x:c r="D277" s="99"/>
      <x:c r="E277" s="99"/>
      <x:c r="F277" s="99"/>
      <x:c r="G277" s="99"/>
      <x:c r="H277" s="99"/>
      <x:c r="I277" s="99"/>
      <x:c r="J277" s="99"/>
      <x:c r="K277" s="99"/>
      <x:c r="L277" s="99"/>
      <x:c r="M277" s="99"/>
      <x:c r="N277" s="99"/>
      <x:c r="O277" s="99"/>
      <x:c r="P277" s="99"/>
      <x:c r="Q277" s="99"/>
      <x:c r="R277" s="99"/>
      <x:c r="S277" s="99"/>
      <x:c r="T277" s="99"/>
      <x:c r="U277" s="99"/>
      <x:c r="V277" s="99"/>
      <x:c r="W277" s="99"/>
      <x:c r="X277" s="99"/>
      <x:c r="Y277" s="99"/>
      <x:c r="Z277" s="99"/>
    </x:row>
    <x:row r="278">
      <x:c r="A278" s="99"/>
      <x:c r="B278" s="99"/>
      <x:c r="C278" s="99"/>
      <x:c r="D278" s="99"/>
      <x:c r="E278" s="99"/>
      <x:c r="F278" s="99"/>
      <x:c r="G278" s="99"/>
      <x:c r="H278" s="99"/>
      <x:c r="I278" s="99"/>
      <x:c r="J278" s="99"/>
      <x:c r="K278" s="99"/>
      <x:c r="L278" s="99"/>
      <x:c r="M278" s="99"/>
      <x:c r="N278" s="99"/>
      <x:c r="O278" s="99"/>
      <x:c r="P278" s="99"/>
      <x:c r="Q278" s="99"/>
      <x:c r="R278" s="99"/>
      <x:c r="S278" s="99"/>
      <x:c r="T278" s="99"/>
      <x:c r="U278" s="99"/>
      <x:c r="V278" s="99"/>
      <x:c r="W278" s="99"/>
      <x:c r="X278" s="99"/>
      <x:c r="Y278" s="99"/>
      <x:c r="Z278" s="99"/>
    </x:row>
    <x:row r="279">
      <x:c r="A279" s="99"/>
      <x:c r="B279" s="99"/>
      <x:c r="C279" s="99"/>
      <x:c r="D279" s="99"/>
      <x:c r="E279" s="99"/>
      <x:c r="F279" s="99"/>
      <x:c r="G279" s="99"/>
      <x:c r="H279" s="99"/>
      <x:c r="I279" s="99"/>
      <x:c r="J279" s="99"/>
      <x:c r="K279" s="99"/>
      <x:c r="L279" s="99"/>
      <x:c r="M279" s="99"/>
      <x:c r="N279" s="99"/>
      <x:c r="O279" s="99"/>
      <x:c r="P279" s="99"/>
      <x:c r="Q279" s="99"/>
      <x:c r="R279" s="99"/>
      <x:c r="S279" s="99"/>
      <x:c r="T279" s="99"/>
      <x:c r="U279" s="99"/>
      <x:c r="V279" s="99"/>
      <x:c r="W279" s="99"/>
      <x:c r="X279" s="99"/>
      <x:c r="Y279" s="99"/>
      <x:c r="Z279" s="99"/>
    </x:row>
    <x:row r="280">
      <x:c r="A280" s="99"/>
      <x:c r="B280" s="99"/>
      <x:c r="C280" s="99"/>
      <x:c r="D280" s="99"/>
      <x:c r="E280" s="99"/>
      <x:c r="F280" s="99"/>
      <x:c r="G280" s="99"/>
      <x:c r="H280" s="99"/>
      <x:c r="I280" s="99"/>
      <x:c r="J280" s="99"/>
      <x:c r="K280" s="99"/>
      <x:c r="L280" s="99"/>
      <x:c r="M280" s="99"/>
      <x:c r="N280" s="99"/>
      <x:c r="O280" s="99"/>
      <x:c r="P280" s="99"/>
      <x:c r="Q280" s="99"/>
      <x:c r="R280" s="99"/>
      <x:c r="S280" s="99"/>
      <x:c r="T280" s="99"/>
      <x:c r="U280" s="99"/>
      <x:c r="V280" s="99"/>
      <x:c r="W280" s="99"/>
      <x:c r="X280" s="99"/>
      <x:c r="Y280" s="99"/>
      <x:c r="Z280" s="99"/>
    </x:row>
    <x:row r="281">
      <x:c r="A281" s="99"/>
      <x:c r="B281" s="99"/>
      <x:c r="C281" s="99"/>
      <x:c r="D281" s="99"/>
      <x:c r="E281" s="99"/>
      <x:c r="F281" s="99"/>
      <x:c r="G281" s="99"/>
      <x:c r="H281" s="99"/>
      <x:c r="I281" s="99"/>
      <x:c r="J281" s="99"/>
      <x:c r="K281" s="99"/>
      <x:c r="L281" s="99"/>
      <x:c r="M281" s="99"/>
      <x:c r="N281" s="99"/>
      <x:c r="O281" s="99"/>
      <x:c r="P281" s="99"/>
      <x:c r="Q281" s="99"/>
      <x:c r="R281" s="99"/>
      <x:c r="S281" s="99"/>
      <x:c r="T281" s="99"/>
      <x:c r="U281" s="99"/>
      <x:c r="V281" s="99"/>
      <x:c r="W281" s="99"/>
      <x:c r="X281" s="99"/>
      <x:c r="Y281" s="99"/>
      <x:c r="Z281" s="99"/>
    </x:row>
    <x:row r="282">
      <x:c r="A282" s="99"/>
      <x:c r="B282" s="99"/>
      <x:c r="C282" s="99"/>
      <x:c r="D282" s="99"/>
      <x:c r="E282" s="99"/>
      <x:c r="F282" s="99"/>
      <x:c r="G282" s="99"/>
      <x:c r="H282" s="99"/>
      <x:c r="I282" s="99"/>
      <x:c r="J282" s="99"/>
      <x:c r="K282" s="99"/>
      <x:c r="L282" s="99"/>
      <x:c r="M282" s="99"/>
      <x:c r="N282" s="99"/>
      <x:c r="O282" s="99"/>
      <x:c r="P282" s="99"/>
      <x:c r="Q282" s="99"/>
      <x:c r="R282" s="99"/>
      <x:c r="S282" s="99"/>
      <x:c r="T282" s="99"/>
      <x:c r="U282" s="99"/>
      <x:c r="V282" s="99"/>
      <x:c r="W282" s="99"/>
      <x:c r="X282" s="99"/>
      <x:c r="Y282" s="99"/>
      <x:c r="Z282" s="99"/>
    </x:row>
    <x:row r="283">
      <x:c r="A283" s="99"/>
      <x:c r="B283" s="99"/>
      <x:c r="C283" s="99"/>
      <x:c r="D283" s="99"/>
      <x:c r="E283" s="99"/>
      <x:c r="F283" s="99"/>
      <x:c r="G283" s="99"/>
      <x:c r="H283" s="99"/>
      <x:c r="I283" s="99"/>
      <x:c r="J283" s="99"/>
      <x:c r="K283" s="99"/>
      <x:c r="L283" s="99"/>
      <x:c r="M283" s="99"/>
      <x:c r="N283" s="99"/>
      <x:c r="O283" s="99"/>
      <x:c r="P283" s="99"/>
      <x:c r="Q283" s="99"/>
      <x:c r="R283" s="99"/>
      <x:c r="S283" s="99"/>
      <x:c r="T283" s="99"/>
      <x:c r="U283" s="99"/>
      <x:c r="V283" s="99"/>
      <x:c r="W283" s="99"/>
      <x:c r="X283" s="99"/>
      <x:c r="Y283" s="99"/>
      <x:c r="Z283" s="99"/>
    </x:row>
    <x:row r="284">
      <x:c r="A284" s="99"/>
      <x:c r="B284" s="99"/>
      <x:c r="C284" s="99"/>
      <x:c r="D284" s="99"/>
      <x:c r="E284" s="99"/>
      <x:c r="F284" s="99"/>
      <x:c r="G284" s="99"/>
      <x:c r="H284" s="99"/>
      <x:c r="I284" s="99"/>
      <x:c r="J284" s="99"/>
      <x:c r="K284" s="99"/>
      <x:c r="L284" s="99"/>
      <x:c r="M284" s="99"/>
      <x:c r="N284" s="99"/>
      <x:c r="O284" s="99"/>
      <x:c r="P284" s="99"/>
      <x:c r="Q284" s="99"/>
      <x:c r="R284" s="99"/>
      <x:c r="S284" s="99"/>
      <x:c r="T284" s="99"/>
      <x:c r="U284" s="99"/>
      <x:c r="V284" s="99"/>
      <x:c r="W284" s="99"/>
      <x:c r="X284" s="99"/>
      <x:c r="Y284" s="99"/>
      <x:c r="Z284" s="99"/>
    </x:row>
    <x:row r="285">
      <x:c r="A285" s="99"/>
      <x:c r="B285" s="99"/>
      <x:c r="C285" s="99"/>
      <x:c r="D285" s="99"/>
      <x:c r="E285" s="99"/>
      <x:c r="F285" s="99"/>
      <x:c r="G285" s="99"/>
      <x:c r="H285" s="99"/>
      <x:c r="I285" s="99"/>
      <x:c r="J285" s="99"/>
      <x:c r="K285" s="99"/>
      <x:c r="L285" s="99"/>
      <x:c r="M285" s="99"/>
      <x:c r="N285" s="99"/>
      <x:c r="O285" s="99"/>
      <x:c r="P285" s="99"/>
      <x:c r="Q285" s="99"/>
      <x:c r="R285" s="99"/>
      <x:c r="S285" s="99"/>
      <x:c r="T285" s="99"/>
      <x:c r="U285" s="99"/>
      <x:c r="V285" s="99"/>
      <x:c r="W285" s="99"/>
      <x:c r="X285" s="99"/>
      <x:c r="Y285" s="99"/>
      <x:c r="Z285" s="99"/>
    </x:row>
    <x:row r="286">
      <x:c r="A286" s="99"/>
      <x:c r="B286" s="99"/>
      <x:c r="C286" s="99"/>
      <x:c r="D286" s="99"/>
      <x:c r="E286" s="99"/>
      <x:c r="F286" s="99"/>
      <x:c r="G286" s="99"/>
      <x:c r="H286" s="99"/>
      <x:c r="I286" s="99"/>
      <x:c r="J286" s="99"/>
      <x:c r="K286" s="99"/>
      <x:c r="L286" s="99"/>
      <x:c r="M286" s="99"/>
      <x:c r="N286" s="99"/>
      <x:c r="O286" s="99"/>
      <x:c r="P286" s="99"/>
      <x:c r="Q286" s="99"/>
      <x:c r="R286" s="99"/>
      <x:c r="S286" s="99"/>
      <x:c r="T286" s="99"/>
      <x:c r="U286" s="99"/>
      <x:c r="V286" s="99"/>
      <x:c r="W286" s="99"/>
      <x:c r="X286" s="99"/>
      <x:c r="Y286" s="99"/>
      <x:c r="Z286" s="99"/>
    </x:row>
    <x:row r="287">
      <x:c r="A287" s="99"/>
      <x:c r="B287" s="99"/>
      <x:c r="C287" s="99"/>
      <x:c r="D287" s="99"/>
      <x:c r="E287" s="99"/>
      <x:c r="F287" s="99"/>
      <x:c r="G287" s="99"/>
      <x:c r="H287" s="99"/>
      <x:c r="I287" s="99"/>
      <x:c r="J287" s="99"/>
      <x:c r="K287" s="99"/>
      <x:c r="L287" s="99"/>
      <x:c r="M287" s="99"/>
      <x:c r="N287" s="99"/>
      <x:c r="O287" s="99"/>
      <x:c r="P287" s="99"/>
      <x:c r="Q287" s="99"/>
      <x:c r="R287" s="99"/>
      <x:c r="S287" s="99"/>
      <x:c r="T287" s="99"/>
      <x:c r="U287" s="99"/>
      <x:c r="V287" s="99"/>
      <x:c r="W287" s="99"/>
      <x:c r="X287" s="99"/>
      <x:c r="Y287" s="99"/>
      <x:c r="Z287" s="99"/>
    </x:row>
    <x:row r="288">
      <x:c r="A288" s="99"/>
      <x:c r="B288" s="99"/>
      <x:c r="C288" s="99"/>
      <x:c r="D288" s="99"/>
      <x:c r="E288" s="99"/>
      <x:c r="F288" s="99"/>
      <x:c r="G288" s="99"/>
      <x:c r="H288" s="99"/>
      <x:c r="I288" s="99"/>
      <x:c r="J288" s="99"/>
      <x:c r="K288" s="99"/>
      <x:c r="L288" s="99"/>
      <x:c r="M288" s="99"/>
      <x:c r="N288" s="99"/>
      <x:c r="O288" s="99"/>
      <x:c r="P288" s="99"/>
      <x:c r="Q288" s="99"/>
      <x:c r="R288" s="99"/>
      <x:c r="S288" s="99"/>
      <x:c r="T288" s="99"/>
      <x:c r="U288" s="99"/>
      <x:c r="V288" s="99"/>
      <x:c r="W288" s="99"/>
      <x:c r="X288" s="99"/>
      <x:c r="Y288" s="99"/>
      <x:c r="Z288" s="99"/>
    </x:row>
    <x:row r="289">
      <x:c r="A289" s="99"/>
      <x:c r="B289" s="99"/>
      <x:c r="C289" s="99"/>
      <x:c r="D289" s="99"/>
      <x:c r="E289" s="99"/>
      <x:c r="F289" s="99"/>
      <x:c r="G289" s="99"/>
      <x:c r="H289" s="99"/>
      <x:c r="I289" s="99"/>
      <x:c r="J289" s="99"/>
      <x:c r="K289" s="99"/>
      <x:c r="L289" s="99"/>
      <x:c r="M289" s="99"/>
      <x:c r="N289" s="99"/>
      <x:c r="O289" s="99"/>
      <x:c r="P289" s="99"/>
      <x:c r="Q289" s="99"/>
      <x:c r="R289" s="99"/>
      <x:c r="S289" s="99"/>
      <x:c r="T289" s="99"/>
      <x:c r="U289" s="99"/>
      <x:c r="V289" s="99"/>
      <x:c r="W289" s="99"/>
      <x:c r="X289" s="99"/>
      <x:c r="Y289" s="99"/>
      <x:c r="Z289" s="99"/>
    </x:row>
    <x:row r="290">
      <x:c r="A290" s="99"/>
      <x:c r="B290" s="99"/>
      <x:c r="C290" s="99"/>
      <x:c r="D290" s="99"/>
      <x:c r="E290" s="99"/>
      <x:c r="F290" s="99"/>
      <x:c r="G290" s="99"/>
      <x:c r="H290" s="99"/>
      <x:c r="I290" s="99"/>
      <x:c r="J290" s="99"/>
      <x:c r="K290" s="99"/>
      <x:c r="L290" s="99"/>
      <x:c r="M290" s="99"/>
      <x:c r="N290" s="99"/>
      <x:c r="O290" s="99"/>
      <x:c r="P290" s="99"/>
      <x:c r="Q290" s="99"/>
      <x:c r="R290" s="99"/>
      <x:c r="S290" s="99"/>
      <x:c r="T290" s="99"/>
      <x:c r="U290" s="99"/>
      <x:c r="V290" s="99"/>
      <x:c r="W290" s="99"/>
      <x:c r="X290" s="99"/>
      <x:c r="Y290" s="99"/>
      <x:c r="Z290" s="99"/>
    </x:row>
    <x:row r="291">
      <x:c r="A291" s="99"/>
      <x:c r="B291" s="99"/>
      <x:c r="C291" s="99"/>
      <x:c r="D291" s="99"/>
      <x:c r="E291" s="99"/>
      <x:c r="F291" s="99"/>
      <x:c r="G291" s="99"/>
      <x:c r="H291" s="99"/>
      <x:c r="I291" s="99"/>
      <x:c r="J291" s="99"/>
      <x:c r="K291" s="99"/>
      <x:c r="L291" s="99"/>
      <x:c r="M291" s="99"/>
      <x:c r="N291" s="99"/>
      <x:c r="O291" s="99"/>
      <x:c r="P291" s="99"/>
      <x:c r="Q291" s="99"/>
      <x:c r="R291" s="99"/>
      <x:c r="S291" s="99"/>
      <x:c r="T291" s="99"/>
      <x:c r="U291" s="99"/>
      <x:c r="V291" s="99"/>
      <x:c r="W291" s="99"/>
      <x:c r="X291" s="99"/>
      <x:c r="Y291" s="99"/>
      <x:c r="Z291" s="99"/>
    </x:row>
    <x:row r="292">
      <x:c r="A292" s="99"/>
      <x:c r="B292" s="99"/>
      <x:c r="C292" s="99"/>
      <x:c r="D292" s="99"/>
      <x:c r="E292" s="99"/>
      <x:c r="F292" s="99"/>
      <x:c r="G292" s="99"/>
      <x:c r="H292" s="99"/>
      <x:c r="I292" s="99"/>
      <x:c r="J292" s="99"/>
      <x:c r="K292" s="99"/>
      <x:c r="L292" s="99"/>
      <x:c r="M292" s="99"/>
      <x:c r="N292" s="99"/>
      <x:c r="O292" s="99"/>
      <x:c r="P292" s="99"/>
      <x:c r="Q292" s="99"/>
      <x:c r="R292" s="99"/>
      <x:c r="S292" s="99"/>
      <x:c r="T292" s="99"/>
      <x:c r="U292" s="99"/>
      <x:c r="V292" s="99"/>
      <x:c r="W292" s="99"/>
      <x:c r="X292" s="99"/>
      <x:c r="Y292" s="99"/>
      <x:c r="Z292" s="99"/>
    </x:row>
    <x:row r="293">
      <x:c r="A293" s="99"/>
      <x:c r="B293" s="99"/>
      <x:c r="C293" s="99"/>
      <x:c r="D293" s="99"/>
      <x:c r="E293" s="99"/>
      <x:c r="F293" s="99"/>
      <x:c r="G293" s="99"/>
      <x:c r="H293" s="99"/>
      <x:c r="I293" s="99"/>
      <x:c r="J293" s="99"/>
      <x:c r="K293" s="99"/>
      <x:c r="L293" s="99"/>
      <x:c r="M293" s="99"/>
      <x:c r="N293" s="99"/>
      <x:c r="O293" s="99"/>
      <x:c r="P293" s="99"/>
      <x:c r="Q293" s="99"/>
      <x:c r="R293" s="99"/>
      <x:c r="S293" s="99"/>
      <x:c r="T293" s="99"/>
      <x:c r="U293" s="99"/>
      <x:c r="V293" s="99"/>
      <x:c r="W293" s="99"/>
      <x:c r="X293" s="99"/>
      <x:c r="Y293" s="99"/>
      <x:c r="Z293" s="99"/>
    </x:row>
    <x:row r="294">
      <x:c r="A294" s="99"/>
      <x:c r="B294" s="99"/>
      <x:c r="C294" s="99"/>
      <x:c r="D294" s="99"/>
      <x:c r="E294" s="99"/>
      <x:c r="F294" s="99"/>
      <x:c r="G294" s="99"/>
      <x:c r="H294" s="99"/>
      <x:c r="I294" s="99"/>
      <x:c r="J294" s="99"/>
      <x:c r="K294" s="99"/>
      <x:c r="L294" s="99"/>
      <x:c r="M294" s="99"/>
      <x:c r="N294" s="99"/>
      <x:c r="O294" s="99"/>
      <x:c r="P294" s="99"/>
      <x:c r="Q294" s="99"/>
      <x:c r="R294" s="99"/>
      <x:c r="S294" s="99"/>
      <x:c r="T294" s="99"/>
      <x:c r="U294" s="99"/>
      <x:c r="V294" s="99"/>
      <x:c r="W294" s="99"/>
      <x:c r="X294" s="99"/>
      <x:c r="Y294" s="99"/>
      <x:c r="Z294" s="99"/>
    </x:row>
    <x:row r="295">
      <x:c r="A295" s="99"/>
      <x:c r="B295" s="99"/>
      <x:c r="C295" s="99"/>
      <x:c r="D295" s="99"/>
      <x:c r="E295" s="99"/>
      <x:c r="F295" s="99"/>
      <x:c r="G295" s="99"/>
      <x:c r="H295" s="99"/>
      <x:c r="I295" s="99"/>
      <x:c r="J295" s="99"/>
      <x:c r="K295" s="99"/>
      <x:c r="L295" s="99"/>
      <x:c r="M295" s="99"/>
      <x:c r="N295" s="99"/>
      <x:c r="O295" s="99"/>
      <x:c r="P295" s="99"/>
      <x:c r="Q295" s="99"/>
      <x:c r="R295" s="99"/>
      <x:c r="S295" s="99"/>
      <x:c r="T295" s="99"/>
      <x:c r="U295" s="99"/>
      <x:c r="V295" s="99"/>
      <x:c r="W295" s="99"/>
      <x:c r="X295" s="99"/>
      <x:c r="Y295" s="99"/>
      <x:c r="Z295" s="99"/>
    </x:row>
    <x:row r="296">
      <x:c r="A296" s="99"/>
      <x:c r="B296" s="99"/>
      <x:c r="C296" s="99"/>
      <x:c r="D296" s="99"/>
      <x:c r="E296" s="99"/>
      <x:c r="F296" s="99"/>
      <x:c r="G296" s="99"/>
      <x:c r="H296" s="99"/>
      <x:c r="I296" s="99"/>
      <x:c r="J296" s="99"/>
      <x:c r="K296" s="99"/>
      <x:c r="L296" s="99"/>
      <x:c r="M296" s="99"/>
      <x:c r="N296" s="99"/>
      <x:c r="O296" s="99"/>
      <x:c r="P296" s="99"/>
      <x:c r="Q296" s="99"/>
      <x:c r="R296" s="99"/>
      <x:c r="S296" s="99"/>
      <x:c r="T296" s="99"/>
      <x:c r="U296" s="99"/>
      <x:c r="V296" s="99"/>
      <x:c r="W296" s="99"/>
      <x:c r="X296" s="99"/>
      <x:c r="Y296" s="99"/>
      <x:c r="Z296" s="99"/>
    </x:row>
    <x:row r="297">
      <x:c r="A297" s="99"/>
      <x:c r="B297" s="99"/>
      <x:c r="C297" s="99"/>
      <x:c r="D297" s="99"/>
      <x:c r="E297" s="99"/>
      <x:c r="F297" s="99"/>
      <x:c r="G297" s="99"/>
      <x:c r="H297" s="99"/>
      <x:c r="I297" s="99"/>
      <x:c r="J297" s="99"/>
      <x:c r="K297" s="99"/>
      <x:c r="L297" s="99"/>
      <x:c r="M297" s="99"/>
      <x:c r="N297" s="99"/>
      <x:c r="O297" s="99"/>
      <x:c r="P297" s="99"/>
      <x:c r="Q297" s="99"/>
      <x:c r="R297" s="99"/>
      <x:c r="S297" s="99"/>
      <x:c r="T297" s="99"/>
      <x:c r="U297" s="99"/>
      <x:c r="V297" s="99"/>
      <x:c r="W297" s="99"/>
      <x:c r="X297" s="99"/>
      <x:c r="Y297" s="99"/>
      <x:c r="Z297" s="99"/>
    </x:row>
    <x:row r="298">
      <x:c r="A298" s="99"/>
      <x:c r="B298" s="99"/>
      <x:c r="C298" s="99"/>
      <x:c r="D298" s="99"/>
      <x:c r="E298" s="99"/>
      <x:c r="F298" s="99"/>
      <x:c r="G298" s="99"/>
      <x:c r="H298" s="99"/>
      <x:c r="I298" s="99"/>
      <x:c r="J298" s="99"/>
      <x:c r="K298" s="99"/>
      <x:c r="L298" s="99"/>
      <x:c r="M298" s="99"/>
      <x:c r="N298" s="99"/>
      <x:c r="O298" s="99"/>
      <x:c r="P298" s="99"/>
      <x:c r="Q298" s="99"/>
      <x:c r="R298" s="99"/>
      <x:c r="S298" s="99"/>
      <x:c r="T298" s="99"/>
      <x:c r="U298" s="99"/>
      <x:c r="V298" s="99"/>
      <x:c r="W298" s="99"/>
      <x:c r="X298" s="99"/>
      <x:c r="Y298" s="99"/>
      <x:c r="Z298" s="99"/>
    </x:row>
    <x:row r="299">
      <x:c r="A299" s="99"/>
      <x:c r="B299" s="99"/>
      <x:c r="C299" s="99"/>
      <x:c r="D299" s="99"/>
      <x:c r="E299" s="99"/>
      <x:c r="F299" s="99"/>
      <x:c r="G299" s="99"/>
      <x:c r="H299" s="99"/>
      <x:c r="I299" s="99"/>
      <x:c r="J299" s="99"/>
      <x:c r="K299" s="99"/>
      <x:c r="L299" s="99"/>
      <x:c r="M299" s="99"/>
      <x:c r="N299" s="99"/>
      <x:c r="O299" s="99"/>
      <x:c r="P299" s="99"/>
      <x:c r="Q299" s="99"/>
      <x:c r="R299" s="99"/>
      <x:c r="S299" s="99"/>
      <x:c r="T299" s="99"/>
      <x:c r="U299" s="99"/>
      <x:c r="V299" s="99"/>
      <x:c r="W299" s="99"/>
      <x:c r="X299" s="99"/>
      <x:c r="Y299" s="99"/>
      <x:c r="Z299" s="99"/>
    </x:row>
    <x:row r="300">
      <x:c r="A300" s="99"/>
      <x:c r="B300" s="99"/>
      <x:c r="C300" s="99"/>
      <x:c r="D300" s="99"/>
      <x:c r="E300" s="99"/>
      <x:c r="F300" s="99"/>
      <x:c r="G300" s="99"/>
      <x:c r="H300" s="99"/>
      <x:c r="I300" s="99"/>
      <x:c r="J300" s="99"/>
      <x:c r="K300" s="99"/>
      <x:c r="L300" s="99"/>
      <x:c r="M300" s="99"/>
      <x:c r="N300" s="99"/>
      <x:c r="O300" s="99"/>
      <x:c r="P300" s="99"/>
      <x:c r="Q300" s="99"/>
      <x:c r="R300" s="99"/>
      <x:c r="S300" s="99"/>
      <x:c r="T300" s="99"/>
      <x:c r="U300" s="99"/>
      <x:c r="V300" s="99"/>
      <x:c r="W300" s="99"/>
      <x:c r="X300" s="99"/>
      <x:c r="Y300" s="99"/>
      <x:c r="Z300" s="99"/>
    </x:row>
    <x:row r="301">
      <x:c r="A301" s="99"/>
      <x:c r="B301" s="99"/>
      <x:c r="C301" s="99"/>
      <x:c r="D301" s="99"/>
      <x:c r="E301" s="99"/>
      <x:c r="F301" s="99"/>
      <x:c r="G301" s="99"/>
      <x:c r="H301" s="99"/>
      <x:c r="I301" s="99"/>
      <x:c r="J301" s="99"/>
      <x:c r="K301" s="99"/>
      <x:c r="L301" s="99"/>
      <x:c r="M301" s="99"/>
      <x:c r="N301" s="99"/>
      <x:c r="O301" s="99"/>
      <x:c r="P301" s="99"/>
      <x:c r="Q301" s="99"/>
      <x:c r="R301" s="99"/>
      <x:c r="S301" s="99"/>
      <x:c r="T301" s="99"/>
      <x:c r="U301" s="99"/>
      <x:c r="V301" s="99"/>
      <x:c r="W301" s="99"/>
      <x:c r="X301" s="99"/>
      <x:c r="Y301" s="99"/>
      <x:c r="Z301" s="99"/>
    </x:row>
    <x:row r="302">
      <x:c r="A302" s="99"/>
      <x:c r="B302" s="99"/>
      <x:c r="C302" s="99"/>
      <x:c r="D302" s="99"/>
      <x:c r="E302" s="99"/>
      <x:c r="F302" s="99"/>
      <x:c r="G302" s="99"/>
      <x:c r="H302" s="99"/>
      <x:c r="I302" s="99"/>
      <x:c r="J302" s="99"/>
      <x:c r="K302" s="99"/>
      <x:c r="L302" s="99"/>
      <x:c r="M302" s="99"/>
      <x:c r="N302" s="99"/>
      <x:c r="O302" s="99"/>
      <x:c r="P302" s="99"/>
      <x:c r="Q302" s="99"/>
      <x:c r="R302" s="99"/>
      <x:c r="S302" s="99"/>
      <x:c r="T302" s="99"/>
      <x:c r="U302" s="99"/>
      <x:c r="V302" s="99"/>
      <x:c r="W302" s="99"/>
      <x:c r="X302" s="99"/>
      <x:c r="Y302" s="99"/>
      <x:c r="Z302" s="99"/>
    </x:row>
    <x:row r="303">
      <x:c r="A303" s="99"/>
      <x:c r="B303" s="99"/>
      <x:c r="C303" s="99"/>
      <x:c r="D303" s="99"/>
      <x:c r="E303" s="99"/>
      <x:c r="F303" s="99"/>
      <x:c r="G303" s="99"/>
      <x:c r="H303" s="99"/>
      <x:c r="I303" s="99"/>
      <x:c r="J303" s="99"/>
      <x:c r="K303" s="99"/>
      <x:c r="L303" s="99"/>
      <x:c r="M303" s="99"/>
      <x:c r="N303" s="99"/>
      <x:c r="O303" s="99"/>
      <x:c r="P303" s="99"/>
      <x:c r="Q303" s="99"/>
      <x:c r="R303" s="99"/>
      <x:c r="S303" s="99"/>
      <x:c r="T303" s="99"/>
      <x:c r="U303" s="99"/>
      <x:c r="V303" s="99"/>
      <x:c r="W303" s="99"/>
      <x:c r="X303" s="99"/>
      <x:c r="Y303" s="99"/>
      <x:c r="Z303" s="99"/>
    </x:row>
    <x:row r="304">
      <x:c r="A304" s="99"/>
      <x:c r="B304" s="99"/>
      <x:c r="C304" s="99"/>
      <x:c r="D304" s="99"/>
      <x:c r="E304" s="99"/>
      <x:c r="F304" s="99"/>
      <x:c r="G304" s="99"/>
      <x:c r="H304" s="99"/>
      <x:c r="I304" s="99"/>
      <x:c r="J304" s="99"/>
      <x:c r="K304" s="99"/>
      <x:c r="L304" s="99"/>
      <x:c r="M304" s="99"/>
      <x:c r="N304" s="99"/>
      <x:c r="O304" s="99"/>
      <x:c r="P304" s="99"/>
      <x:c r="Q304" s="99"/>
      <x:c r="R304" s="99"/>
      <x:c r="S304" s="99"/>
      <x:c r="T304" s="99"/>
      <x:c r="U304" s="99"/>
      <x:c r="V304" s="99"/>
      <x:c r="W304" s="99"/>
      <x:c r="X304" s="99"/>
      <x:c r="Y304" s="99"/>
      <x:c r="Z304" s="99"/>
    </x:row>
    <x:row r="305">
      <x:c r="A305" s="99"/>
      <x:c r="B305" s="99"/>
      <x:c r="C305" s="99"/>
      <x:c r="D305" s="99"/>
      <x:c r="E305" s="99"/>
      <x:c r="F305" s="99"/>
      <x:c r="G305" s="99"/>
      <x:c r="H305" s="99"/>
      <x:c r="I305" s="99"/>
      <x:c r="J305" s="99"/>
      <x:c r="K305" s="99"/>
      <x:c r="L305" s="99"/>
      <x:c r="M305" s="99"/>
      <x:c r="N305" s="99"/>
      <x:c r="O305" s="99"/>
      <x:c r="P305" s="99"/>
      <x:c r="Q305" s="99"/>
      <x:c r="R305" s="99"/>
      <x:c r="S305" s="99"/>
      <x:c r="T305" s="99"/>
      <x:c r="U305" s="99"/>
      <x:c r="V305" s="99"/>
      <x:c r="W305" s="99"/>
      <x:c r="X305" s="99"/>
      <x:c r="Y305" s="99"/>
      <x:c r="Z305" s="99"/>
    </x:row>
    <x:row r="306">
      <x:c r="A306" s="99"/>
      <x:c r="B306" s="99"/>
      <x:c r="C306" s="99"/>
      <x:c r="D306" s="99"/>
      <x:c r="E306" s="99"/>
      <x:c r="F306" s="99"/>
      <x:c r="G306" s="99"/>
      <x:c r="H306" s="99"/>
      <x:c r="I306" s="99"/>
      <x:c r="J306" s="99"/>
      <x:c r="K306" s="99"/>
      <x:c r="L306" s="99"/>
      <x:c r="M306" s="99"/>
      <x:c r="N306" s="99"/>
      <x:c r="O306" s="99"/>
      <x:c r="P306" s="99"/>
      <x:c r="Q306" s="99"/>
      <x:c r="R306" s="99"/>
      <x:c r="S306" s="99"/>
      <x:c r="T306" s="99"/>
      <x:c r="U306" s="99"/>
      <x:c r="V306" s="99"/>
      <x:c r="W306" s="99"/>
      <x:c r="X306" s="99"/>
      <x:c r="Y306" s="99"/>
      <x:c r="Z306" s="99"/>
    </x:row>
    <x:row r="307">
      <x:c r="A307" s="99"/>
      <x:c r="B307" s="99"/>
      <x:c r="C307" s="99"/>
      <x:c r="D307" s="99"/>
      <x:c r="E307" s="99"/>
      <x:c r="F307" s="99"/>
      <x:c r="G307" s="99"/>
      <x:c r="H307" s="99"/>
      <x:c r="I307" s="99"/>
      <x:c r="J307" s="99"/>
      <x:c r="K307" s="99"/>
      <x:c r="L307" s="99"/>
      <x:c r="M307" s="99"/>
      <x:c r="N307" s="99"/>
      <x:c r="O307" s="99"/>
      <x:c r="P307" s="99"/>
      <x:c r="Q307" s="99"/>
      <x:c r="R307" s="99"/>
      <x:c r="S307" s="99"/>
      <x:c r="T307" s="99"/>
      <x:c r="U307" s="99"/>
      <x:c r="V307" s="99"/>
      <x:c r="W307" s="99"/>
      <x:c r="X307" s="99"/>
      <x:c r="Y307" s="99"/>
      <x:c r="Z307" s="99"/>
    </x:row>
    <x:row r="308">
      <x:c r="A308" s="99"/>
      <x:c r="B308" s="99"/>
      <x:c r="C308" s="99"/>
      <x:c r="D308" s="99"/>
      <x:c r="E308" s="99"/>
      <x:c r="F308" s="99"/>
      <x:c r="G308" s="99"/>
      <x:c r="H308" s="99"/>
      <x:c r="I308" s="99"/>
      <x:c r="J308" s="99"/>
      <x:c r="K308" s="99"/>
      <x:c r="L308" s="99"/>
      <x:c r="M308" s="99"/>
      <x:c r="N308" s="99"/>
      <x:c r="O308" s="99"/>
      <x:c r="P308" s="99"/>
      <x:c r="Q308" s="99"/>
      <x:c r="R308" s="99"/>
      <x:c r="S308" s="99"/>
      <x:c r="T308" s="99"/>
      <x:c r="U308" s="99"/>
      <x:c r="V308" s="99"/>
      <x:c r="W308" s="99"/>
      <x:c r="X308" s="99"/>
      <x:c r="Y308" s="99"/>
      <x:c r="Z308" s="99"/>
    </x:row>
    <x:row r="309">
      <x:c r="A309" s="99"/>
      <x:c r="B309" s="99"/>
      <x:c r="C309" s="99"/>
      <x:c r="D309" s="99"/>
      <x:c r="E309" s="99"/>
      <x:c r="F309" s="99"/>
      <x:c r="G309" s="99"/>
      <x:c r="H309" s="99"/>
      <x:c r="I309" s="99"/>
      <x:c r="J309" s="99"/>
      <x:c r="K309" s="99"/>
      <x:c r="L309" s="99"/>
      <x:c r="M309" s="99"/>
      <x:c r="N309" s="99"/>
      <x:c r="O309" s="99"/>
      <x:c r="P309" s="99"/>
      <x:c r="Q309" s="99"/>
      <x:c r="R309" s="99"/>
      <x:c r="S309" s="99"/>
      <x:c r="T309" s="99"/>
      <x:c r="U309" s="99"/>
      <x:c r="V309" s="99"/>
      <x:c r="W309" s="99"/>
      <x:c r="X309" s="99"/>
      <x:c r="Y309" s="99"/>
      <x:c r="Z309" s="99"/>
    </x:row>
    <x:row r="310">
      <x:c r="A310" s="99"/>
      <x:c r="B310" s="99"/>
      <x:c r="C310" s="99"/>
      <x:c r="D310" s="99"/>
      <x:c r="E310" s="99"/>
      <x:c r="F310" s="99"/>
      <x:c r="G310" s="99"/>
      <x:c r="H310" s="99"/>
      <x:c r="I310" s="99"/>
      <x:c r="J310" s="99"/>
      <x:c r="K310" s="99"/>
      <x:c r="L310" s="99"/>
      <x:c r="M310" s="99"/>
      <x:c r="N310" s="99"/>
      <x:c r="O310" s="99"/>
      <x:c r="P310" s="99"/>
      <x:c r="Q310" s="99"/>
      <x:c r="R310" s="99"/>
      <x:c r="S310" s="99"/>
      <x:c r="T310" s="99"/>
      <x:c r="U310" s="99"/>
      <x:c r="V310" s="99"/>
      <x:c r="W310" s="99"/>
      <x:c r="X310" s="99"/>
      <x:c r="Y310" s="99"/>
      <x:c r="Z310" s="99"/>
    </x:row>
    <x:row r="311">
      <x:c r="A311" s="99"/>
      <x:c r="B311" s="99"/>
      <x:c r="C311" s="99"/>
      <x:c r="D311" s="99"/>
      <x:c r="E311" s="99"/>
      <x:c r="F311" s="99"/>
      <x:c r="G311" s="99"/>
      <x:c r="H311" s="99"/>
      <x:c r="I311" s="99"/>
      <x:c r="J311" s="99"/>
      <x:c r="K311" s="99"/>
      <x:c r="L311" s="99"/>
      <x:c r="M311" s="99"/>
      <x:c r="N311" s="99"/>
      <x:c r="O311" s="99"/>
      <x:c r="P311" s="99"/>
      <x:c r="Q311" s="99"/>
      <x:c r="R311" s="99"/>
      <x:c r="S311" s="99"/>
      <x:c r="T311" s="99"/>
      <x:c r="U311" s="99"/>
      <x:c r="V311" s="99"/>
      <x:c r="W311" s="99"/>
      <x:c r="X311" s="99"/>
      <x:c r="Y311" s="99"/>
      <x:c r="Z311" s="99"/>
    </x:row>
    <x:row r="312">
      <x:c r="A312" s="99"/>
      <x:c r="B312" s="99"/>
      <x:c r="C312" s="99"/>
      <x:c r="D312" s="99"/>
      <x:c r="E312" s="99"/>
      <x:c r="F312" s="99"/>
      <x:c r="G312" s="99"/>
      <x:c r="H312" s="99"/>
      <x:c r="I312" s="99"/>
      <x:c r="J312" s="99"/>
      <x:c r="K312" s="99"/>
      <x:c r="L312" s="99"/>
      <x:c r="M312" s="99"/>
      <x:c r="N312" s="99"/>
      <x:c r="O312" s="99"/>
      <x:c r="P312" s="99"/>
      <x:c r="Q312" s="99"/>
      <x:c r="R312" s="99"/>
      <x:c r="S312" s="99"/>
      <x:c r="T312" s="99"/>
      <x:c r="U312" s="99"/>
      <x:c r="V312" s="99"/>
      <x:c r="W312" s="99"/>
      <x:c r="X312" s="99"/>
      <x:c r="Y312" s="99"/>
      <x:c r="Z312" s="99"/>
    </x:row>
    <x:row r="313">
      <x:c r="A313" s="99"/>
      <x:c r="B313" s="99"/>
      <x:c r="C313" s="99"/>
      <x:c r="D313" s="99"/>
      <x:c r="E313" s="99"/>
      <x:c r="F313" s="99"/>
      <x:c r="G313" s="99"/>
      <x:c r="H313" s="99"/>
      <x:c r="I313" s="99"/>
      <x:c r="J313" s="99"/>
      <x:c r="K313" s="99"/>
      <x:c r="L313" s="99"/>
      <x:c r="M313" s="99"/>
      <x:c r="N313" s="99"/>
      <x:c r="O313" s="99"/>
      <x:c r="P313" s="99"/>
      <x:c r="Q313" s="99"/>
      <x:c r="R313" s="99"/>
      <x:c r="S313" s="99"/>
      <x:c r="T313" s="99"/>
      <x:c r="U313" s="99"/>
      <x:c r="V313" s="99"/>
      <x:c r="W313" s="99"/>
      <x:c r="X313" s="99"/>
      <x:c r="Y313" s="99"/>
      <x:c r="Z313" s="99"/>
    </x:row>
    <x:row r="314">
      <x:c r="A314" s="99"/>
      <x:c r="B314" s="99"/>
      <x:c r="C314" s="99"/>
      <x:c r="D314" s="99"/>
      <x:c r="E314" s="99"/>
      <x:c r="F314" s="99"/>
      <x:c r="G314" s="99"/>
      <x:c r="H314" s="99"/>
      <x:c r="I314" s="99"/>
      <x:c r="J314" s="99"/>
      <x:c r="K314" s="99"/>
      <x:c r="L314" s="99"/>
      <x:c r="M314" s="99"/>
      <x:c r="N314" s="99"/>
      <x:c r="O314" s="99"/>
      <x:c r="P314" s="99"/>
      <x:c r="Q314" s="99"/>
      <x:c r="R314" s="99"/>
      <x:c r="S314" s="99"/>
      <x:c r="T314" s="99"/>
      <x:c r="U314" s="99"/>
      <x:c r="V314" s="99"/>
      <x:c r="W314" s="99"/>
      <x:c r="X314" s="99"/>
      <x:c r="Y314" s="99"/>
      <x:c r="Z314" s="99"/>
    </x:row>
    <x:row r="315">
      <x:c r="A315" s="99"/>
      <x:c r="B315" s="99"/>
      <x:c r="C315" s="99"/>
      <x:c r="D315" s="99"/>
      <x:c r="E315" s="99"/>
      <x:c r="F315" s="99"/>
      <x:c r="G315" s="99"/>
      <x:c r="H315" s="99"/>
      <x:c r="I315" s="99"/>
      <x:c r="J315" s="99"/>
      <x:c r="K315" s="99"/>
      <x:c r="L315" s="99"/>
      <x:c r="M315" s="99"/>
      <x:c r="N315" s="99"/>
      <x:c r="O315" s="99"/>
      <x:c r="P315" s="99"/>
      <x:c r="Q315" s="99"/>
      <x:c r="R315" s="99"/>
      <x:c r="S315" s="99"/>
      <x:c r="T315" s="99"/>
      <x:c r="U315" s="99"/>
      <x:c r="V315" s="99"/>
      <x:c r="W315" s="99"/>
      <x:c r="X315" s="99"/>
      <x:c r="Y315" s="99"/>
      <x:c r="Z315" s="99"/>
    </x:row>
    <x:row r="316">
      <x:c r="A316" s="99"/>
      <x:c r="B316" s="99"/>
      <x:c r="C316" s="99"/>
      <x:c r="D316" s="99"/>
      <x:c r="E316" s="99"/>
      <x:c r="F316" s="99"/>
      <x:c r="G316" s="99"/>
      <x:c r="H316" s="99"/>
      <x:c r="I316" s="99"/>
      <x:c r="J316" s="99"/>
      <x:c r="K316" s="99"/>
      <x:c r="L316" s="99"/>
      <x:c r="M316" s="99"/>
      <x:c r="N316" s="99"/>
      <x:c r="O316" s="99"/>
      <x:c r="P316" s="99"/>
      <x:c r="Q316" s="99"/>
      <x:c r="R316" s="99"/>
      <x:c r="S316" s="99"/>
      <x:c r="T316" s="99"/>
      <x:c r="U316" s="99"/>
      <x:c r="V316" s="99"/>
      <x:c r="W316" s="99"/>
      <x:c r="X316" s="99"/>
      <x:c r="Y316" s="99"/>
      <x:c r="Z316" s="99"/>
    </x:row>
    <x:row r="317">
      <x:c r="A317" s="99"/>
      <x:c r="B317" s="99"/>
      <x:c r="C317" s="99"/>
      <x:c r="D317" s="99"/>
      <x:c r="E317" s="99"/>
      <x:c r="F317" s="99"/>
      <x:c r="G317" s="99"/>
      <x:c r="H317" s="99"/>
      <x:c r="I317" s="99"/>
      <x:c r="J317" s="99"/>
      <x:c r="K317" s="99"/>
      <x:c r="L317" s="99"/>
      <x:c r="M317" s="99"/>
      <x:c r="N317" s="99"/>
      <x:c r="O317" s="99"/>
      <x:c r="P317" s="99"/>
      <x:c r="Q317" s="99"/>
      <x:c r="R317" s="99"/>
      <x:c r="S317" s="99"/>
      <x:c r="T317" s="99"/>
      <x:c r="U317" s="99"/>
      <x:c r="V317" s="99"/>
      <x:c r="W317" s="99"/>
      <x:c r="X317" s="99"/>
      <x:c r="Y317" s="99"/>
      <x:c r="Z317" s="99"/>
    </x:row>
    <x:row r="318">
      <x:c r="A318" s="99"/>
      <x:c r="B318" s="99"/>
      <x:c r="C318" s="99"/>
      <x:c r="D318" s="99"/>
      <x:c r="E318" s="99"/>
      <x:c r="F318" s="99"/>
      <x:c r="G318" s="99"/>
      <x:c r="H318" s="99"/>
      <x:c r="I318" s="99"/>
      <x:c r="J318" s="99"/>
      <x:c r="K318" s="99"/>
      <x:c r="L318" s="99"/>
      <x:c r="M318" s="99"/>
      <x:c r="N318" s="99"/>
      <x:c r="O318" s="99"/>
      <x:c r="P318" s="99"/>
      <x:c r="Q318" s="99"/>
      <x:c r="R318" s="99"/>
      <x:c r="S318" s="99"/>
      <x:c r="T318" s="99"/>
      <x:c r="U318" s="99"/>
      <x:c r="V318" s="99"/>
      <x:c r="W318" s="99"/>
      <x:c r="X318" s="99"/>
      <x:c r="Y318" s="99"/>
      <x:c r="Z318" s="99"/>
    </x:row>
    <x:row r="319">
      <x:c r="A319" s="99"/>
      <x:c r="B319" s="99"/>
      <x:c r="C319" s="99"/>
      <x:c r="D319" s="99"/>
      <x:c r="E319" s="99"/>
      <x:c r="F319" s="99"/>
      <x:c r="G319" s="99"/>
      <x:c r="H319" s="99"/>
      <x:c r="I319" s="99"/>
      <x:c r="J319" s="99"/>
      <x:c r="K319" s="99"/>
      <x:c r="L319" s="99"/>
      <x:c r="M319" s="99"/>
      <x:c r="N319" s="99"/>
      <x:c r="O319" s="99"/>
      <x:c r="P319" s="99"/>
      <x:c r="Q319" s="99"/>
      <x:c r="R319" s="99"/>
      <x:c r="S319" s="99"/>
      <x:c r="T319" s="99"/>
      <x:c r="U319" s="99"/>
      <x:c r="V319" s="99"/>
      <x:c r="W319" s="99"/>
      <x:c r="X319" s="99"/>
      <x:c r="Y319" s="99"/>
      <x:c r="Z319" s="99"/>
    </x:row>
    <x:row r="320">
      <x:c r="A320" s="99"/>
      <x:c r="B320" s="99"/>
      <x:c r="C320" s="99"/>
      <x:c r="D320" s="99"/>
      <x:c r="E320" s="99"/>
      <x:c r="F320" s="99"/>
      <x:c r="G320" s="99"/>
      <x:c r="H320" s="99"/>
      <x:c r="I320" s="99"/>
      <x:c r="J320" s="99"/>
      <x:c r="K320" s="99"/>
      <x:c r="L320" s="99"/>
      <x:c r="M320" s="99"/>
      <x:c r="N320" s="99"/>
      <x:c r="O320" s="99"/>
      <x:c r="P320" s="99"/>
      <x:c r="Q320" s="99"/>
      <x:c r="R320" s="99"/>
      <x:c r="S320" s="99"/>
      <x:c r="T320" s="99"/>
      <x:c r="U320" s="99"/>
      <x:c r="V320" s="99"/>
      <x:c r="W320" s="99"/>
      <x:c r="X320" s="99"/>
      <x:c r="Y320" s="99"/>
      <x:c r="Z320" s="99"/>
    </x:row>
    <x:row r="321">
      <x:c r="A321" s="99"/>
      <x:c r="B321" s="99"/>
      <x:c r="C321" s="99"/>
      <x:c r="D321" s="99"/>
      <x:c r="E321" s="99"/>
      <x:c r="F321" s="99"/>
      <x:c r="G321" s="99"/>
      <x:c r="H321" s="99"/>
      <x:c r="I321" s="99"/>
      <x:c r="J321" s="99"/>
      <x:c r="K321" s="99"/>
      <x:c r="L321" s="99"/>
      <x:c r="M321" s="99"/>
      <x:c r="N321" s="99"/>
      <x:c r="O321" s="99"/>
      <x:c r="P321" s="99"/>
      <x:c r="Q321" s="99"/>
      <x:c r="R321" s="99"/>
      <x:c r="S321" s="99"/>
      <x:c r="T321" s="99"/>
      <x:c r="U321" s="99"/>
      <x:c r="V321" s="99"/>
      <x:c r="W321" s="99"/>
      <x:c r="X321" s="99"/>
      <x:c r="Y321" s="99"/>
      <x:c r="Z321" s="99"/>
    </x:row>
    <x:row r="322">
      <x:c r="A322" s="99"/>
      <x:c r="B322" s="99"/>
      <x:c r="C322" s="99"/>
      <x:c r="D322" s="99"/>
      <x:c r="E322" s="99"/>
      <x:c r="F322" s="99"/>
      <x:c r="G322" s="99"/>
      <x:c r="H322" s="99"/>
      <x:c r="I322" s="99"/>
      <x:c r="J322" s="99"/>
      <x:c r="K322" s="99"/>
      <x:c r="L322" s="99"/>
      <x:c r="M322" s="99"/>
      <x:c r="N322" s="99"/>
      <x:c r="O322" s="99"/>
      <x:c r="P322" s="99"/>
      <x:c r="Q322" s="99"/>
      <x:c r="R322" s="99"/>
      <x:c r="S322" s="99"/>
      <x:c r="T322" s="99"/>
      <x:c r="U322" s="99"/>
      <x:c r="V322" s="99"/>
      <x:c r="W322" s="99"/>
      <x:c r="X322" s="99"/>
      <x:c r="Y322" s="99"/>
      <x:c r="Z322" s="99"/>
    </x:row>
    <x:row r="323">
      <x:c r="A323" s="99"/>
      <x:c r="B323" s="99"/>
      <x:c r="C323" s="99"/>
      <x:c r="D323" s="99"/>
      <x:c r="E323" s="99"/>
      <x:c r="F323" s="99"/>
      <x:c r="G323" s="99"/>
      <x:c r="H323" s="99"/>
      <x:c r="I323" s="99"/>
      <x:c r="J323" s="99"/>
      <x:c r="K323" s="99"/>
      <x:c r="L323" s="99"/>
      <x:c r="M323" s="99"/>
      <x:c r="N323" s="99"/>
      <x:c r="O323" s="99"/>
      <x:c r="P323" s="99"/>
      <x:c r="Q323" s="99"/>
      <x:c r="R323" s="99"/>
      <x:c r="S323" s="99"/>
      <x:c r="T323" s="99"/>
      <x:c r="U323" s="99"/>
      <x:c r="V323" s="99"/>
      <x:c r="W323" s="99"/>
      <x:c r="X323" s="99"/>
      <x:c r="Y323" s="99"/>
      <x:c r="Z323" s="99"/>
    </x:row>
    <x:row r="324">
      <x:c r="A324" s="99"/>
      <x:c r="B324" s="99"/>
      <x:c r="C324" s="99"/>
      <x:c r="D324" s="99"/>
      <x:c r="E324" s="99"/>
      <x:c r="F324" s="99"/>
      <x:c r="G324" s="99"/>
      <x:c r="H324" s="99"/>
      <x:c r="I324" s="99"/>
      <x:c r="J324" s="99"/>
      <x:c r="K324" s="99"/>
      <x:c r="L324" s="99"/>
      <x:c r="M324" s="99"/>
      <x:c r="N324" s="99"/>
      <x:c r="O324" s="99"/>
      <x:c r="P324" s="99"/>
      <x:c r="Q324" s="99"/>
      <x:c r="R324" s="99"/>
      <x:c r="S324" s="99"/>
      <x:c r="T324" s="99"/>
      <x:c r="U324" s="99"/>
      <x:c r="V324" s="99"/>
      <x:c r="W324" s="99"/>
      <x:c r="X324" s="99"/>
      <x:c r="Y324" s="99"/>
      <x:c r="Z324" s="99"/>
    </x:row>
    <x:row r="325">
      <x:c r="A325" s="99"/>
      <x:c r="B325" s="99"/>
      <x:c r="C325" s="99"/>
      <x:c r="D325" s="99"/>
      <x:c r="E325" s="99"/>
      <x:c r="F325" s="99"/>
      <x:c r="G325" s="99"/>
      <x:c r="H325" s="99"/>
      <x:c r="I325" s="99"/>
      <x:c r="J325" s="99"/>
      <x:c r="K325" s="99"/>
      <x:c r="L325" s="99"/>
      <x:c r="M325" s="99"/>
      <x:c r="N325" s="99"/>
      <x:c r="O325" s="99"/>
      <x:c r="P325" s="99"/>
      <x:c r="Q325" s="99"/>
      <x:c r="R325" s="99"/>
      <x:c r="S325" s="99"/>
      <x:c r="T325" s="99"/>
      <x:c r="U325" s="99"/>
      <x:c r="V325" s="99"/>
      <x:c r="W325" s="99"/>
      <x:c r="X325" s="99"/>
      <x:c r="Y325" s="99"/>
      <x:c r="Z325" s="99"/>
    </x:row>
    <x:row r="326">
      <x:c r="A326" s="99"/>
      <x:c r="B326" s="99"/>
      <x:c r="C326" s="99"/>
      <x:c r="D326" s="99"/>
      <x:c r="E326" s="99"/>
      <x:c r="F326" s="99"/>
      <x:c r="G326" s="99"/>
      <x:c r="H326" s="99"/>
      <x:c r="I326" s="99"/>
      <x:c r="J326" s="99"/>
      <x:c r="K326" s="99"/>
      <x:c r="L326" s="99"/>
      <x:c r="M326" s="99"/>
      <x:c r="N326" s="99"/>
      <x:c r="O326" s="99"/>
      <x:c r="P326" s="99"/>
      <x:c r="Q326" s="99"/>
      <x:c r="R326" s="99"/>
      <x:c r="S326" s="99"/>
      <x:c r="T326" s="99"/>
      <x:c r="U326" s="99"/>
      <x:c r="V326" s="99"/>
      <x:c r="W326" s="99"/>
      <x:c r="X326" s="99"/>
      <x:c r="Y326" s="99"/>
      <x:c r="Z326" s="99"/>
    </x:row>
    <x:row r="327">
      <x:c r="A327" s="99"/>
      <x:c r="B327" s="99"/>
      <x:c r="C327" s="99"/>
      <x:c r="D327" s="99"/>
      <x:c r="E327" s="99"/>
      <x:c r="F327" s="99"/>
      <x:c r="G327" s="99"/>
      <x:c r="H327" s="99"/>
      <x:c r="I327" s="99"/>
      <x:c r="J327" s="99"/>
      <x:c r="K327" s="99"/>
      <x:c r="L327" s="99"/>
      <x:c r="M327" s="99"/>
      <x:c r="N327" s="99"/>
      <x:c r="O327" s="99"/>
      <x:c r="P327" s="99"/>
      <x:c r="Q327" s="99"/>
      <x:c r="R327" s="99"/>
      <x:c r="S327" s="99"/>
      <x:c r="T327" s="99"/>
      <x:c r="U327" s="99"/>
      <x:c r="V327" s="99"/>
      <x:c r="W327" s="99"/>
      <x:c r="X327" s="99"/>
      <x:c r="Y327" s="99"/>
      <x:c r="Z327" s="99"/>
    </x:row>
    <x:row r="328">
      <x:c r="A328" s="99"/>
      <x:c r="B328" s="99"/>
      <x:c r="C328" s="99"/>
      <x:c r="D328" s="99"/>
      <x:c r="E328" s="99"/>
      <x:c r="F328" s="99"/>
      <x:c r="G328" s="99"/>
      <x:c r="H328" s="99"/>
      <x:c r="I328" s="99"/>
      <x:c r="J328" s="99"/>
      <x:c r="K328" s="99"/>
      <x:c r="L328" s="99"/>
      <x:c r="M328" s="99"/>
      <x:c r="N328" s="99"/>
      <x:c r="O328" s="99"/>
      <x:c r="P328" s="99"/>
      <x:c r="Q328" s="99"/>
      <x:c r="R328" s="99"/>
      <x:c r="S328" s="99"/>
      <x:c r="T328" s="99"/>
      <x:c r="U328" s="99"/>
      <x:c r="V328" s="99"/>
      <x:c r="W328" s="99"/>
      <x:c r="X328" s="99"/>
      <x:c r="Y328" s="99"/>
      <x:c r="Z328" s="99"/>
    </x:row>
    <x:row r="329">
      <x:c r="A329" s="99"/>
      <x:c r="B329" s="99"/>
      <x:c r="C329" s="99"/>
      <x:c r="D329" s="99"/>
      <x:c r="E329" s="99"/>
      <x:c r="F329" s="99"/>
      <x:c r="G329" s="99"/>
      <x:c r="H329" s="99"/>
      <x:c r="I329" s="99"/>
      <x:c r="J329" s="99"/>
      <x:c r="K329" s="99"/>
      <x:c r="L329" s="99"/>
      <x:c r="M329" s="99"/>
      <x:c r="N329" s="99"/>
      <x:c r="O329" s="99"/>
      <x:c r="P329" s="99"/>
      <x:c r="Q329" s="99"/>
      <x:c r="R329" s="99"/>
      <x:c r="S329" s="99"/>
      <x:c r="T329" s="99"/>
      <x:c r="U329" s="99"/>
      <x:c r="V329" s="99"/>
      <x:c r="W329" s="99"/>
      <x:c r="X329" s="99"/>
      <x:c r="Y329" s="99"/>
      <x:c r="Z329" s="99"/>
    </x:row>
    <x:row r="330">
      <x:c r="A330" s="99"/>
      <x:c r="B330" s="99"/>
      <x:c r="C330" s="99"/>
      <x:c r="D330" s="99"/>
      <x:c r="E330" s="99"/>
      <x:c r="F330" s="99"/>
      <x:c r="G330" s="99"/>
      <x:c r="H330" s="99"/>
      <x:c r="I330" s="99"/>
      <x:c r="J330" s="99"/>
      <x:c r="K330" s="99"/>
      <x:c r="L330" s="99"/>
      <x:c r="M330" s="99"/>
      <x:c r="N330" s="99"/>
      <x:c r="O330" s="99"/>
      <x:c r="P330" s="99"/>
      <x:c r="Q330" s="99"/>
      <x:c r="R330" s="99"/>
      <x:c r="S330" s="99"/>
      <x:c r="T330" s="99"/>
      <x:c r="U330" s="99"/>
      <x:c r="V330" s="99"/>
      <x:c r="W330" s="99"/>
      <x:c r="X330" s="99"/>
      <x:c r="Y330" s="99"/>
      <x:c r="Z330" s="99"/>
    </x:row>
    <x:row r="331">
      <x:c r="A331" s="99"/>
      <x:c r="B331" s="99"/>
      <x:c r="C331" s="99"/>
      <x:c r="D331" s="99"/>
      <x:c r="E331" s="99"/>
      <x:c r="F331" s="99"/>
      <x:c r="G331" s="99"/>
      <x:c r="H331" s="99"/>
      <x:c r="I331" s="99"/>
      <x:c r="J331" s="99"/>
      <x:c r="K331" s="99"/>
      <x:c r="L331" s="99"/>
      <x:c r="M331" s="99"/>
      <x:c r="N331" s="99"/>
      <x:c r="O331" s="99"/>
      <x:c r="P331" s="99"/>
      <x:c r="Q331" s="99"/>
      <x:c r="R331" s="99"/>
      <x:c r="S331" s="99"/>
      <x:c r="T331" s="99"/>
      <x:c r="U331" s="99"/>
      <x:c r="V331" s="99"/>
      <x:c r="W331" s="99"/>
      <x:c r="X331" s="99"/>
      <x:c r="Y331" s="99"/>
      <x:c r="Z331" s="99"/>
    </x:row>
    <x:row r="332">
      <x:c r="A332" s="99"/>
      <x:c r="B332" s="99"/>
      <x:c r="C332" s="99"/>
      <x:c r="D332" s="99"/>
      <x:c r="E332" s="99"/>
      <x:c r="F332" s="99"/>
      <x:c r="G332" s="99"/>
      <x:c r="H332" s="99"/>
      <x:c r="I332" s="99"/>
      <x:c r="J332" s="99"/>
      <x:c r="K332" s="99"/>
      <x:c r="L332" s="99"/>
      <x:c r="M332" s="99"/>
      <x:c r="N332" s="99"/>
      <x:c r="O332" s="99"/>
      <x:c r="P332" s="99"/>
      <x:c r="Q332" s="99"/>
      <x:c r="R332" s="99"/>
      <x:c r="S332" s="99"/>
      <x:c r="T332" s="99"/>
      <x:c r="U332" s="99"/>
      <x:c r="V332" s="99"/>
      <x:c r="W332" s="99"/>
      <x:c r="X332" s="99"/>
      <x:c r="Y332" s="99"/>
      <x:c r="Z332" s="99"/>
    </x:row>
    <x:row r="333">
      <x:c r="A333" s="99"/>
      <x:c r="B333" s="99"/>
      <x:c r="C333" s="99"/>
      <x:c r="D333" s="99"/>
      <x:c r="E333" s="99"/>
      <x:c r="F333" s="99"/>
      <x:c r="G333" s="99"/>
      <x:c r="H333" s="99"/>
      <x:c r="I333" s="99"/>
      <x:c r="J333" s="99"/>
      <x:c r="K333" s="99"/>
      <x:c r="L333" s="99"/>
      <x:c r="M333" s="99"/>
      <x:c r="N333" s="99"/>
      <x:c r="O333" s="99"/>
      <x:c r="P333" s="99"/>
      <x:c r="Q333" s="99"/>
      <x:c r="R333" s="99"/>
      <x:c r="S333" s="99"/>
      <x:c r="T333" s="99"/>
      <x:c r="U333" s="99"/>
      <x:c r="V333" s="99"/>
      <x:c r="W333" s="99"/>
      <x:c r="X333" s="99"/>
      <x:c r="Y333" s="99"/>
      <x:c r="Z333" s="99"/>
    </x:row>
    <x:row r="334">
      <x:c r="A334" s="99"/>
      <x:c r="B334" s="99"/>
      <x:c r="C334" s="99"/>
      <x:c r="D334" s="99"/>
      <x:c r="E334" s="99"/>
      <x:c r="F334" s="99"/>
      <x:c r="G334" s="99"/>
      <x:c r="H334" s="99"/>
      <x:c r="I334" s="99"/>
      <x:c r="J334" s="99"/>
      <x:c r="K334" s="99"/>
      <x:c r="L334" s="99"/>
      <x:c r="M334" s="99"/>
      <x:c r="N334" s="99"/>
      <x:c r="O334" s="99"/>
      <x:c r="P334" s="99"/>
      <x:c r="Q334" s="99"/>
      <x:c r="R334" s="99"/>
      <x:c r="S334" s="99"/>
      <x:c r="T334" s="99"/>
      <x:c r="U334" s="99"/>
      <x:c r="V334" s="99"/>
      <x:c r="W334" s="99"/>
      <x:c r="X334" s="99"/>
      <x:c r="Y334" s="99"/>
      <x:c r="Z334" s="99"/>
    </x:row>
    <x:row r="335">
      <x:c r="A335" s="99"/>
      <x:c r="B335" s="99"/>
      <x:c r="C335" s="99"/>
      <x:c r="D335" s="99"/>
      <x:c r="E335" s="99"/>
      <x:c r="F335" s="99"/>
      <x:c r="G335" s="99"/>
      <x:c r="H335" s="99"/>
      <x:c r="I335" s="99"/>
      <x:c r="J335" s="99"/>
      <x:c r="K335" s="99"/>
      <x:c r="L335" s="99"/>
      <x:c r="M335" s="99"/>
      <x:c r="N335" s="99"/>
      <x:c r="O335" s="99"/>
      <x:c r="P335" s="99"/>
      <x:c r="Q335" s="99"/>
      <x:c r="R335" s="99"/>
      <x:c r="S335" s="99"/>
      <x:c r="T335" s="99"/>
      <x:c r="U335" s="99"/>
      <x:c r="V335" s="99"/>
      <x:c r="W335" s="99"/>
      <x:c r="X335" s="99"/>
      <x:c r="Y335" s="99"/>
      <x:c r="Z335" s="99"/>
    </x:row>
    <x:row r="336">
      <x:c r="A336" s="99"/>
      <x:c r="B336" s="99"/>
      <x:c r="C336" s="99"/>
      <x:c r="D336" s="99"/>
      <x:c r="E336" s="99"/>
      <x:c r="F336" s="99"/>
      <x:c r="G336" s="99"/>
      <x:c r="H336" s="99"/>
      <x:c r="I336" s="99"/>
      <x:c r="J336" s="99"/>
      <x:c r="K336" s="99"/>
      <x:c r="L336" s="99"/>
      <x:c r="M336" s="99"/>
      <x:c r="N336" s="99"/>
      <x:c r="O336" s="99"/>
      <x:c r="P336" s="99"/>
      <x:c r="Q336" s="99"/>
      <x:c r="R336" s="99"/>
      <x:c r="S336" s="99"/>
      <x:c r="T336" s="99"/>
      <x:c r="U336" s="99"/>
      <x:c r="V336" s="99"/>
      <x:c r="W336" s="99"/>
      <x:c r="X336" s="99"/>
      <x:c r="Y336" s="99"/>
      <x:c r="Z336" s="99"/>
    </x:row>
    <x:row r="337">
      <x:c r="A337" s="99"/>
      <x:c r="B337" s="99"/>
      <x:c r="C337" s="99"/>
      <x:c r="D337" s="99"/>
      <x:c r="E337" s="99"/>
      <x:c r="F337" s="99"/>
      <x:c r="G337" s="99"/>
      <x:c r="H337" s="99"/>
      <x:c r="I337" s="99"/>
      <x:c r="J337" s="99"/>
      <x:c r="K337" s="99"/>
      <x:c r="L337" s="99"/>
      <x:c r="M337" s="99"/>
      <x:c r="N337" s="99"/>
      <x:c r="O337" s="99"/>
      <x:c r="P337" s="99"/>
      <x:c r="Q337" s="99"/>
      <x:c r="R337" s="99"/>
      <x:c r="S337" s="99"/>
      <x:c r="T337" s="99"/>
      <x:c r="U337" s="99"/>
      <x:c r="V337" s="99"/>
      <x:c r="W337" s="99"/>
      <x:c r="X337" s="99"/>
      <x:c r="Y337" s="99"/>
      <x:c r="Z337" s="99"/>
    </x:row>
    <x:row r="338">
      <x:c r="A338" s="99"/>
      <x:c r="B338" s="99"/>
      <x:c r="C338" s="99"/>
      <x:c r="D338" s="99"/>
      <x:c r="E338" s="99"/>
      <x:c r="F338" s="99"/>
      <x:c r="G338" s="99"/>
      <x:c r="H338" s="99"/>
      <x:c r="I338" s="99"/>
      <x:c r="J338" s="99"/>
      <x:c r="K338" s="99"/>
      <x:c r="L338" s="99"/>
      <x:c r="M338" s="99"/>
      <x:c r="N338" s="99"/>
      <x:c r="O338" s="99"/>
      <x:c r="P338" s="99"/>
      <x:c r="Q338" s="99"/>
      <x:c r="R338" s="99"/>
      <x:c r="S338" s="99"/>
      <x:c r="T338" s="99"/>
      <x:c r="U338" s="99"/>
      <x:c r="V338" s="99"/>
      <x:c r="W338" s="99"/>
      <x:c r="X338" s="99"/>
      <x:c r="Y338" s="99"/>
      <x:c r="Z338" s="99"/>
    </x:row>
    <x:row r="339">
      <x:c r="A339" s="99"/>
      <x:c r="B339" s="99"/>
      <x:c r="C339" s="99"/>
      <x:c r="D339" s="99"/>
      <x:c r="E339" s="99"/>
      <x:c r="F339" s="99"/>
      <x:c r="G339" s="99"/>
      <x:c r="H339" s="99"/>
      <x:c r="I339" s="99"/>
      <x:c r="J339" s="99"/>
      <x:c r="K339" s="99"/>
      <x:c r="L339" s="99"/>
      <x:c r="M339" s="99"/>
      <x:c r="N339" s="99"/>
      <x:c r="O339" s="99"/>
      <x:c r="P339" s="99"/>
      <x:c r="Q339" s="99"/>
      <x:c r="R339" s="99"/>
      <x:c r="S339" s="99"/>
      <x:c r="T339" s="99"/>
      <x:c r="U339" s="99"/>
      <x:c r="V339" s="99"/>
      <x:c r="W339" s="99"/>
      <x:c r="X339" s="99"/>
      <x:c r="Y339" s="99"/>
      <x:c r="Z339" s="99"/>
    </x:row>
    <x:row r="340">
      <x:c r="A340" s="99"/>
      <x:c r="B340" s="99"/>
      <x:c r="C340" s="99"/>
      <x:c r="D340" s="99"/>
      <x:c r="E340" s="99"/>
      <x:c r="F340" s="99"/>
      <x:c r="G340" s="99"/>
      <x:c r="H340" s="99"/>
      <x:c r="I340" s="99"/>
      <x:c r="J340" s="99"/>
      <x:c r="K340" s="99"/>
      <x:c r="L340" s="99"/>
      <x:c r="M340" s="99"/>
      <x:c r="N340" s="99"/>
      <x:c r="O340" s="99"/>
      <x:c r="P340" s="99"/>
      <x:c r="Q340" s="99"/>
      <x:c r="R340" s="99"/>
      <x:c r="S340" s="99"/>
      <x:c r="T340" s="99"/>
      <x:c r="U340" s="99"/>
      <x:c r="V340" s="99"/>
      <x:c r="W340" s="99"/>
      <x:c r="X340" s="99"/>
      <x:c r="Y340" s="99"/>
      <x:c r="Z340" s="99"/>
    </x:row>
    <x:row r="341">
      <x:c r="A341" s="99"/>
      <x:c r="B341" s="99"/>
      <x:c r="C341" s="99"/>
      <x:c r="D341" s="99"/>
      <x:c r="E341" s="99"/>
      <x:c r="F341" s="99"/>
      <x:c r="G341" s="99"/>
      <x:c r="H341" s="99"/>
      <x:c r="I341" s="99"/>
      <x:c r="J341" s="99"/>
      <x:c r="K341" s="99"/>
      <x:c r="L341" s="99"/>
      <x:c r="M341" s="99"/>
      <x:c r="N341" s="99"/>
      <x:c r="O341" s="99"/>
      <x:c r="P341" s="99"/>
      <x:c r="Q341" s="99"/>
      <x:c r="R341" s="99"/>
      <x:c r="S341" s="99"/>
      <x:c r="T341" s="99"/>
      <x:c r="U341" s="99"/>
      <x:c r="V341" s="99"/>
      <x:c r="W341" s="99"/>
      <x:c r="X341" s="99"/>
      <x:c r="Y341" s="99"/>
      <x:c r="Z341" s="99"/>
    </x:row>
    <x:row r="342">
      <x:c r="A342" s="99"/>
      <x:c r="B342" s="99"/>
      <x:c r="C342" s="99"/>
      <x:c r="D342" s="99"/>
      <x:c r="E342" s="99"/>
      <x:c r="F342" s="99"/>
      <x:c r="G342" s="99"/>
      <x:c r="H342" s="99"/>
      <x:c r="I342" s="99"/>
      <x:c r="J342" s="99"/>
      <x:c r="K342" s="99"/>
      <x:c r="L342" s="99"/>
      <x:c r="M342" s="99"/>
      <x:c r="N342" s="99"/>
      <x:c r="O342" s="99"/>
      <x:c r="P342" s="99"/>
      <x:c r="Q342" s="99"/>
      <x:c r="R342" s="99"/>
      <x:c r="S342" s="99"/>
      <x:c r="T342" s="99"/>
      <x:c r="U342" s="99"/>
      <x:c r="V342" s="99"/>
      <x:c r="W342" s="99"/>
      <x:c r="X342" s="99"/>
      <x:c r="Y342" s="99"/>
      <x:c r="Z342" s="99"/>
    </x:row>
    <x:row r="343">
      <x:c r="A343" s="99"/>
      <x:c r="B343" s="99"/>
      <x:c r="C343" s="99"/>
      <x:c r="D343" s="99"/>
      <x:c r="E343" s="99"/>
      <x:c r="F343" s="99"/>
      <x:c r="G343" s="99"/>
      <x:c r="H343" s="99"/>
      <x:c r="I343" s="99"/>
      <x:c r="J343" s="99"/>
      <x:c r="K343" s="99"/>
      <x:c r="L343" s="99"/>
      <x:c r="M343" s="99"/>
      <x:c r="N343" s="99"/>
      <x:c r="O343" s="99"/>
      <x:c r="P343" s="99"/>
      <x:c r="Q343" s="99"/>
      <x:c r="R343" s="99"/>
      <x:c r="S343" s="99"/>
      <x:c r="T343" s="99"/>
      <x:c r="U343" s="99"/>
      <x:c r="V343" s="99"/>
      <x:c r="W343" s="99"/>
      <x:c r="X343" s="99"/>
      <x:c r="Y343" s="99"/>
      <x:c r="Z343" s="99"/>
    </x:row>
    <x:row r="344">
      <x:c r="A344" s="99"/>
      <x:c r="B344" s="99"/>
      <x:c r="C344" s="99"/>
      <x:c r="D344" s="99"/>
      <x:c r="E344" s="99"/>
      <x:c r="F344" s="99"/>
      <x:c r="G344" s="99"/>
      <x:c r="H344" s="99"/>
      <x:c r="I344" s="99"/>
      <x:c r="J344" s="99"/>
      <x:c r="K344" s="99"/>
      <x:c r="L344" s="99"/>
      <x:c r="M344" s="99"/>
      <x:c r="N344" s="99"/>
      <x:c r="O344" s="99"/>
      <x:c r="P344" s="99"/>
      <x:c r="Q344" s="99"/>
      <x:c r="R344" s="99"/>
      <x:c r="S344" s="99"/>
      <x:c r="T344" s="99"/>
      <x:c r="U344" s="99"/>
      <x:c r="V344" s="99"/>
      <x:c r="W344" s="99"/>
      <x:c r="X344" s="99"/>
      <x:c r="Y344" s="99"/>
      <x:c r="Z344" s="99"/>
    </x:row>
    <x:row r="345">
      <x:c r="A345" s="99"/>
      <x:c r="B345" s="99"/>
      <x:c r="C345" s="99"/>
      <x:c r="D345" s="99"/>
      <x:c r="E345" s="99"/>
      <x:c r="F345" s="99"/>
      <x:c r="G345" s="99"/>
      <x:c r="H345" s="99"/>
      <x:c r="I345" s="99"/>
      <x:c r="J345" s="99"/>
      <x:c r="K345" s="99"/>
      <x:c r="L345" s="99"/>
      <x:c r="M345" s="99"/>
      <x:c r="N345" s="99"/>
      <x:c r="O345" s="99"/>
      <x:c r="P345" s="99"/>
      <x:c r="Q345" s="99"/>
      <x:c r="R345" s="99"/>
      <x:c r="S345" s="99"/>
      <x:c r="T345" s="99"/>
      <x:c r="U345" s="99"/>
      <x:c r="V345" s="99"/>
      <x:c r="W345" s="99"/>
      <x:c r="X345" s="99"/>
      <x:c r="Y345" s="99"/>
      <x:c r="Z345" s="99"/>
    </x:row>
    <x:row r="346">
      <x:c r="A346" s="99"/>
      <x:c r="B346" s="99"/>
      <x:c r="C346" s="99"/>
      <x:c r="D346" s="99"/>
      <x:c r="E346" s="99"/>
      <x:c r="F346" s="99"/>
      <x:c r="G346" s="99"/>
      <x:c r="H346" s="99"/>
      <x:c r="I346" s="99"/>
      <x:c r="J346" s="99"/>
      <x:c r="K346" s="99"/>
      <x:c r="L346" s="99"/>
      <x:c r="M346" s="99"/>
      <x:c r="N346" s="99"/>
      <x:c r="O346" s="99"/>
      <x:c r="P346" s="99"/>
      <x:c r="Q346" s="99"/>
      <x:c r="R346" s="99"/>
      <x:c r="S346" s="99"/>
      <x:c r="T346" s="99"/>
      <x:c r="U346" s="99"/>
      <x:c r="V346" s="99"/>
      <x:c r="W346" s="99"/>
      <x:c r="X346" s="99"/>
      <x:c r="Y346" s="99"/>
      <x:c r="Z346" s="99"/>
    </x:row>
    <x:row r="347">
      <x:c r="A347" s="99"/>
      <x:c r="B347" s="99"/>
      <x:c r="C347" s="99"/>
      <x:c r="D347" s="99"/>
      <x:c r="E347" s="99"/>
      <x:c r="F347" s="99"/>
      <x:c r="G347" s="99"/>
      <x:c r="H347" s="99"/>
      <x:c r="I347" s="99"/>
      <x:c r="J347" s="99"/>
      <x:c r="K347" s="99"/>
      <x:c r="L347" s="99"/>
      <x:c r="M347" s="99"/>
      <x:c r="N347" s="99"/>
      <x:c r="O347" s="99"/>
      <x:c r="P347" s="99"/>
      <x:c r="Q347" s="99"/>
      <x:c r="R347" s="99"/>
      <x:c r="S347" s="99"/>
      <x:c r="T347" s="99"/>
      <x:c r="U347" s="99"/>
      <x:c r="V347" s="99"/>
      <x:c r="W347" s="99"/>
      <x:c r="X347" s="99"/>
      <x:c r="Y347" s="99"/>
      <x:c r="Z347" s="99"/>
    </x:row>
    <x:row r="348">
      <x:c r="A348" s="99"/>
      <x:c r="B348" s="99"/>
      <x:c r="C348" s="99"/>
      <x:c r="D348" s="99"/>
      <x:c r="E348" s="99"/>
      <x:c r="F348" s="99"/>
      <x:c r="G348" s="99"/>
      <x:c r="H348" s="99"/>
      <x:c r="I348" s="99"/>
      <x:c r="J348" s="99"/>
      <x:c r="K348" s="99"/>
      <x:c r="L348" s="99"/>
      <x:c r="M348" s="99"/>
      <x:c r="N348" s="99"/>
      <x:c r="O348" s="99"/>
      <x:c r="P348" s="99"/>
      <x:c r="Q348" s="99"/>
      <x:c r="R348" s="99"/>
      <x:c r="S348" s="99"/>
      <x:c r="T348" s="99"/>
      <x:c r="U348" s="99"/>
      <x:c r="V348" s="99"/>
      <x:c r="W348" s="99"/>
      <x:c r="X348" s="99"/>
      <x:c r="Y348" s="99"/>
      <x:c r="Z348" s="99"/>
    </x:row>
    <x:row r="349">
      <x:c r="A349" s="99"/>
      <x:c r="B349" s="99"/>
      <x:c r="C349" s="99"/>
      <x:c r="D349" s="99"/>
      <x:c r="E349" s="99"/>
      <x:c r="F349" s="99"/>
      <x:c r="G349" s="99"/>
      <x:c r="H349" s="99"/>
      <x:c r="I349" s="99"/>
      <x:c r="J349" s="99"/>
      <x:c r="K349" s="99"/>
      <x:c r="L349" s="99"/>
      <x:c r="M349" s="99"/>
      <x:c r="N349" s="99"/>
      <x:c r="O349" s="99"/>
      <x:c r="P349" s="99"/>
      <x:c r="Q349" s="99"/>
      <x:c r="R349" s="99"/>
      <x:c r="S349" s="99"/>
      <x:c r="T349" s="99"/>
      <x:c r="U349" s="99"/>
      <x:c r="V349" s="99"/>
      <x:c r="W349" s="99"/>
      <x:c r="X349" s="99"/>
      <x:c r="Y349" s="99"/>
      <x:c r="Z349" s="99"/>
    </x:row>
    <x:row r="350">
      <x:c r="A350" s="99"/>
      <x:c r="B350" s="99"/>
      <x:c r="C350" s="99"/>
      <x:c r="D350" s="99"/>
      <x:c r="E350" s="99"/>
      <x:c r="F350" s="99"/>
      <x:c r="G350" s="99"/>
      <x:c r="H350" s="99"/>
      <x:c r="I350" s="99"/>
      <x:c r="J350" s="99"/>
      <x:c r="K350" s="99"/>
      <x:c r="L350" s="99"/>
      <x:c r="M350" s="99"/>
      <x:c r="N350" s="99"/>
      <x:c r="O350" s="99"/>
      <x:c r="P350" s="99"/>
      <x:c r="Q350" s="99"/>
      <x:c r="R350" s="99"/>
      <x:c r="S350" s="99"/>
      <x:c r="T350" s="99"/>
      <x:c r="U350" s="99"/>
      <x:c r="V350" s="99"/>
      <x:c r="W350" s="99"/>
      <x:c r="X350" s="99"/>
      <x:c r="Y350" s="99"/>
      <x:c r="Z350" s="99"/>
    </x:row>
    <x:row r="351">
      <x:c r="A351" s="99"/>
      <x:c r="B351" s="99"/>
      <x:c r="C351" s="99"/>
      <x:c r="D351" s="99"/>
      <x:c r="E351" s="99"/>
      <x:c r="F351" s="99"/>
      <x:c r="G351" s="99"/>
      <x:c r="H351" s="99"/>
      <x:c r="I351" s="99"/>
      <x:c r="J351" s="99"/>
      <x:c r="K351" s="99"/>
      <x:c r="L351" s="99"/>
      <x:c r="M351" s="99"/>
      <x:c r="N351" s="99"/>
      <x:c r="O351" s="99"/>
      <x:c r="P351" s="99"/>
      <x:c r="Q351" s="99"/>
      <x:c r="R351" s="99"/>
      <x:c r="S351" s="99"/>
      <x:c r="T351" s="99"/>
      <x:c r="U351" s="99"/>
      <x:c r="V351" s="99"/>
      <x:c r="W351" s="99"/>
      <x:c r="X351" s="99"/>
      <x:c r="Y351" s="99"/>
      <x:c r="Z351" s="99"/>
    </x:row>
    <x:row r="352">
      <x:c r="A352" s="99"/>
      <x:c r="B352" s="99"/>
      <x:c r="C352" s="99"/>
      <x:c r="D352" s="99"/>
      <x:c r="E352" s="99"/>
      <x:c r="F352" s="99"/>
      <x:c r="G352" s="99"/>
      <x:c r="H352" s="99"/>
      <x:c r="I352" s="99"/>
      <x:c r="J352" s="99"/>
      <x:c r="K352" s="99"/>
      <x:c r="L352" s="99"/>
      <x:c r="M352" s="99"/>
      <x:c r="N352" s="99"/>
      <x:c r="O352" s="99"/>
      <x:c r="P352" s="99"/>
      <x:c r="Q352" s="99"/>
      <x:c r="R352" s="99"/>
      <x:c r="S352" s="99"/>
      <x:c r="T352" s="99"/>
      <x:c r="U352" s="99"/>
      <x:c r="V352" s="99"/>
      <x:c r="W352" s="99"/>
      <x:c r="X352" s="99"/>
      <x:c r="Y352" s="99"/>
      <x:c r="Z352" s="99"/>
    </x:row>
    <x:row r="353">
      <x:c r="A353" s="99"/>
      <x:c r="B353" s="99"/>
      <x:c r="C353" s="99"/>
      <x:c r="D353" s="99"/>
      <x:c r="E353" s="99"/>
      <x:c r="F353" s="99"/>
      <x:c r="G353" s="99"/>
      <x:c r="H353" s="99"/>
      <x:c r="I353" s="99"/>
      <x:c r="J353" s="99"/>
      <x:c r="K353" s="99"/>
      <x:c r="L353" s="99"/>
      <x:c r="M353" s="99"/>
      <x:c r="N353" s="99"/>
      <x:c r="O353" s="99"/>
      <x:c r="P353" s="99"/>
      <x:c r="Q353" s="99"/>
      <x:c r="R353" s="99"/>
      <x:c r="S353" s="99"/>
      <x:c r="T353" s="99"/>
      <x:c r="U353" s="99"/>
      <x:c r="V353" s="99"/>
      <x:c r="W353" s="99"/>
      <x:c r="X353" s="99"/>
      <x:c r="Y353" s="99"/>
      <x:c r="Z353" s="99"/>
    </x:row>
    <x:row r="354">
      <x:c r="A354" s="99"/>
      <x:c r="B354" s="99"/>
      <x:c r="C354" s="99"/>
      <x:c r="D354" s="99"/>
      <x:c r="E354" s="99"/>
      <x:c r="F354" s="99"/>
      <x:c r="G354" s="99"/>
      <x:c r="H354" s="99"/>
      <x:c r="I354" s="99"/>
      <x:c r="J354" s="99"/>
      <x:c r="K354" s="99"/>
      <x:c r="L354" s="99"/>
      <x:c r="M354" s="99"/>
      <x:c r="N354" s="99"/>
      <x:c r="O354" s="99"/>
      <x:c r="P354" s="99"/>
      <x:c r="Q354" s="99"/>
      <x:c r="R354" s="99"/>
      <x:c r="S354" s="99"/>
      <x:c r="T354" s="99"/>
      <x:c r="U354" s="99"/>
      <x:c r="V354" s="99"/>
      <x:c r="W354" s="99"/>
      <x:c r="X354" s="99"/>
      <x:c r="Y354" s="99"/>
      <x:c r="Z354" s="99"/>
    </x:row>
    <x:row r="355">
      <x:c r="A355" s="99"/>
      <x:c r="B355" s="99"/>
      <x:c r="C355" s="99"/>
      <x:c r="D355" s="99"/>
      <x:c r="E355" s="99"/>
      <x:c r="F355" s="99"/>
      <x:c r="G355" s="99"/>
      <x:c r="H355" s="99"/>
      <x:c r="I355" s="99"/>
      <x:c r="J355" s="99"/>
      <x:c r="K355" s="99"/>
      <x:c r="L355" s="99"/>
      <x:c r="M355" s="99"/>
      <x:c r="N355" s="99"/>
      <x:c r="O355" s="99"/>
      <x:c r="P355" s="99"/>
      <x:c r="Q355" s="99"/>
      <x:c r="R355" s="99"/>
      <x:c r="S355" s="99"/>
      <x:c r="T355" s="99"/>
      <x:c r="U355" s="99"/>
      <x:c r="V355" s="99"/>
      <x:c r="W355" s="99"/>
      <x:c r="X355" s="99"/>
      <x:c r="Y355" s="99"/>
      <x:c r="Z355" s="99"/>
    </x:row>
    <x:row r="356">
      <x:c r="A356" s="99"/>
      <x:c r="B356" s="99"/>
      <x:c r="C356" s="99"/>
      <x:c r="D356" s="99"/>
      <x:c r="E356" s="99"/>
      <x:c r="F356" s="99"/>
      <x:c r="G356" s="99"/>
      <x:c r="H356" s="99"/>
      <x:c r="I356" s="99"/>
      <x:c r="J356" s="99"/>
      <x:c r="K356" s="99"/>
      <x:c r="L356" s="99"/>
      <x:c r="M356" s="99"/>
      <x:c r="N356" s="99"/>
      <x:c r="O356" s="99"/>
      <x:c r="P356" s="99"/>
      <x:c r="Q356" s="99"/>
      <x:c r="R356" s="99"/>
      <x:c r="S356" s="99"/>
      <x:c r="T356" s="99"/>
      <x:c r="U356" s="99"/>
      <x:c r="V356" s="99"/>
      <x:c r="W356" s="99"/>
      <x:c r="X356" s="99"/>
      <x:c r="Y356" s="99"/>
      <x:c r="Z356" s="99"/>
    </x:row>
    <x:row r="357">
      <x:c r="A357" s="99"/>
      <x:c r="B357" s="99"/>
      <x:c r="C357" s="99"/>
      <x:c r="D357" s="99"/>
      <x:c r="E357" s="99"/>
      <x:c r="F357" s="99"/>
      <x:c r="G357" s="99"/>
      <x:c r="H357" s="99"/>
      <x:c r="I357" s="99"/>
      <x:c r="J357" s="99"/>
      <x:c r="K357" s="99"/>
      <x:c r="L357" s="99"/>
      <x:c r="M357" s="99"/>
      <x:c r="N357" s="99"/>
      <x:c r="O357" s="99"/>
      <x:c r="P357" s="99"/>
      <x:c r="Q357" s="99"/>
      <x:c r="R357" s="99"/>
      <x:c r="S357" s="99"/>
      <x:c r="T357" s="99"/>
      <x:c r="U357" s="99"/>
      <x:c r="V357" s="99"/>
      <x:c r="W357" s="99"/>
      <x:c r="X357" s="99"/>
      <x:c r="Y357" s="99"/>
      <x:c r="Z357" s="99"/>
    </x:row>
    <x:row r="358">
      <x:c r="A358" s="99"/>
      <x:c r="B358" s="99"/>
      <x:c r="C358" s="99"/>
      <x:c r="D358" s="99"/>
      <x:c r="E358" s="99"/>
      <x:c r="F358" s="99"/>
      <x:c r="G358" s="99"/>
      <x:c r="H358" s="99"/>
      <x:c r="I358" s="99"/>
      <x:c r="J358" s="99"/>
      <x:c r="K358" s="99"/>
      <x:c r="L358" s="99"/>
      <x:c r="M358" s="99"/>
      <x:c r="N358" s="99"/>
      <x:c r="O358" s="99"/>
      <x:c r="P358" s="99"/>
      <x:c r="Q358" s="99"/>
      <x:c r="R358" s="99"/>
      <x:c r="S358" s="99"/>
      <x:c r="T358" s="99"/>
      <x:c r="U358" s="99"/>
      <x:c r="V358" s="99"/>
      <x:c r="W358" s="99"/>
      <x:c r="X358" s="99"/>
      <x:c r="Y358" s="99"/>
      <x:c r="Z358" s="99"/>
    </x:row>
    <x:row r="359">
      <x:c r="A359" s="99"/>
      <x:c r="B359" s="99"/>
      <x:c r="C359" s="99"/>
      <x:c r="D359" s="99"/>
      <x:c r="E359" s="99"/>
      <x:c r="F359" s="99"/>
      <x:c r="G359" s="99"/>
      <x:c r="H359" s="99"/>
      <x:c r="I359" s="99"/>
      <x:c r="J359" s="99"/>
      <x:c r="K359" s="99"/>
      <x:c r="L359" s="99"/>
      <x:c r="M359" s="99"/>
      <x:c r="N359" s="99"/>
      <x:c r="O359" s="99"/>
      <x:c r="P359" s="99"/>
      <x:c r="Q359" s="99"/>
      <x:c r="R359" s="99"/>
      <x:c r="S359" s="99"/>
      <x:c r="T359" s="99"/>
      <x:c r="U359" s="99"/>
      <x:c r="V359" s="99"/>
      <x:c r="W359" s="99"/>
      <x:c r="X359" s="99"/>
      <x:c r="Y359" s="99"/>
      <x:c r="Z359" s="99"/>
    </x:row>
    <x:row r="360">
      <x:c r="A360" s="99"/>
      <x:c r="B360" s="99"/>
      <x:c r="C360" s="99"/>
      <x:c r="D360" s="99"/>
      <x:c r="E360" s="99"/>
      <x:c r="F360" s="99"/>
      <x:c r="G360" s="99"/>
      <x:c r="H360" s="99"/>
      <x:c r="I360" s="99"/>
      <x:c r="J360" s="99"/>
      <x:c r="K360" s="99"/>
      <x:c r="L360" s="99"/>
      <x:c r="M360" s="99"/>
      <x:c r="N360" s="99"/>
      <x:c r="O360" s="99"/>
      <x:c r="P360" s="99"/>
      <x:c r="Q360" s="99"/>
      <x:c r="R360" s="99"/>
      <x:c r="S360" s="99"/>
      <x:c r="T360" s="99"/>
      <x:c r="U360" s="99"/>
      <x:c r="V360" s="99"/>
      <x:c r="W360" s="99"/>
      <x:c r="X360" s="99"/>
      <x:c r="Y360" s="99"/>
      <x:c r="Z360" s="99"/>
    </x:row>
    <x:row r="361">
      <x:c r="A361" s="99"/>
      <x:c r="B361" s="99"/>
      <x:c r="C361" s="99"/>
      <x:c r="D361" s="99"/>
      <x:c r="E361" s="99"/>
      <x:c r="F361" s="99"/>
      <x:c r="G361" s="99"/>
      <x:c r="H361" s="99"/>
      <x:c r="I361" s="99"/>
      <x:c r="J361" s="99"/>
      <x:c r="K361" s="99"/>
      <x:c r="L361" s="99"/>
      <x:c r="M361" s="99"/>
      <x:c r="N361" s="99"/>
      <x:c r="O361" s="99"/>
      <x:c r="P361" s="99"/>
      <x:c r="Q361" s="99"/>
      <x:c r="R361" s="99"/>
      <x:c r="S361" s="99"/>
      <x:c r="T361" s="99"/>
      <x:c r="U361" s="99"/>
      <x:c r="V361" s="99"/>
      <x:c r="W361" s="99"/>
      <x:c r="X361" s="99"/>
      <x:c r="Y361" s="99"/>
      <x:c r="Z361" s="99"/>
    </x:row>
    <x:row r="362">
      <x:c r="A362" s="99"/>
      <x:c r="B362" s="99"/>
      <x:c r="C362" s="99"/>
      <x:c r="D362" s="99"/>
      <x:c r="E362" s="99"/>
      <x:c r="F362" s="99"/>
      <x:c r="G362" s="99"/>
      <x:c r="H362" s="99"/>
      <x:c r="I362" s="99"/>
      <x:c r="J362" s="99"/>
      <x:c r="K362" s="99"/>
      <x:c r="L362" s="99"/>
      <x:c r="M362" s="99"/>
      <x:c r="N362" s="99"/>
      <x:c r="O362" s="99"/>
      <x:c r="P362" s="99"/>
      <x:c r="Q362" s="99"/>
      <x:c r="R362" s="99"/>
      <x:c r="S362" s="99"/>
      <x:c r="T362" s="99"/>
      <x:c r="U362" s="99"/>
      <x:c r="V362" s="99"/>
      <x:c r="W362" s="99"/>
      <x:c r="X362" s="99"/>
      <x:c r="Y362" s="99"/>
      <x:c r="Z362" s="99"/>
    </x:row>
    <x:row r="363">
      <x:c r="A363" s="99"/>
      <x:c r="B363" s="99"/>
      <x:c r="C363" s="99"/>
      <x:c r="D363" s="99"/>
      <x:c r="E363" s="99"/>
      <x:c r="F363" s="99"/>
      <x:c r="G363" s="99"/>
      <x:c r="H363" s="99"/>
      <x:c r="I363" s="99"/>
      <x:c r="J363" s="99"/>
      <x:c r="K363" s="99"/>
      <x:c r="L363" s="99"/>
      <x:c r="M363" s="99"/>
      <x:c r="N363" s="99"/>
      <x:c r="O363" s="99"/>
      <x:c r="P363" s="99"/>
      <x:c r="Q363" s="99"/>
      <x:c r="R363" s="99"/>
      <x:c r="S363" s="99"/>
      <x:c r="T363" s="99"/>
      <x:c r="U363" s="99"/>
      <x:c r="V363" s="99"/>
      <x:c r="W363" s="99"/>
      <x:c r="X363" s="99"/>
      <x:c r="Y363" s="99"/>
      <x:c r="Z363" s="99"/>
    </x:row>
    <x:row r="364">
      <x:c r="A364" s="99"/>
      <x:c r="B364" s="99"/>
      <x:c r="C364" s="99"/>
      <x:c r="D364" s="99"/>
      <x:c r="E364" s="99"/>
      <x:c r="F364" s="99"/>
      <x:c r="G364" s="99"/>
      <x:c r="H364" s="99"/>
      <x:c r="I364" s="99"/>
      <x:c r="J364" s="99"/>
      <x:c r="K364" s="99"/>
      <x:c r="L364" s="99"/>
      <x:c r="M364" s="99"/>
      <x:c r="N364" s="99"/>
      <x:c r="O364" s="99"/>
      <x:c r="P364" s="99"/>
      <x:c r="Q364" s="99"/>
      <x:c r="R364" s="99"/>
      <x:c r="S364" s="99"/>
      <x:c r="T364" s="99"/>
      <x:c r="U364" s="99"/>
      <x:c r="V364" s="99"/>
      <x:c r="W364" s="99"/>
      <x:c r="X364" s="99"/>
      <x:c r="Y364" s="99"/>
      <x:c r="Z364" s="99"/>
    </x:row>
    <x:row r="365">
      <x:c r="A365" s="99"/>
      <x:c r="B365" s="99"/>
      <x:c r="C365" s="99"/>
      <x:c r="D365" s="99"/>
      <x:c r="E365" s="99"/>
      <x:c r="F365" s="99"/>
      <x:c r="G365" s="99"/>
      <x:c r="H365" s="99"/>
      <x:c r="I365" s="99"/>
      <x:c r="J365" s="99"/>
      <x:c r="K365" s="99"/>
      <x:c r="L365" s="99"/>
      <x:c r="M365" s="99"/>
      <x:c r="N365" s="99"/>
      <x:c r="O365" s="99"/>
      <x:c r="P365" s="99"/>
      <x:c r="Q365" s="99"/>
      <x:c r="R365" s="99"/>
      <x:c r="S365" s="99"/>
      <x:c r="T365" s="99"/>
      <x:c r="U365" s="99"/>
      <x:c r="V365" s="99"/>
      <x:c r="W365" s="99"/>
      <x:c r="X365" s="99"/>
      <x:c r="Y365" s="99"/>
      <x:c r="Z365" s="99"/>
    </x:row>
    <x:row r="366">
      <x:c r="A366" s="99"/>
      <x:c r="B366" s="99"/>
      <x:c r="C366" s="99"/>
      <x:c r="D366" s="99"/>
      <x:c r="E366" s="99"/>
      <x:c r="F366" s="99"/>
      <x:c r="G366" s="99"/>
      <x:c r="H366" s="99"/>
      <x:c r="I366" s="99"/>
      <x:c r="J366" s="99"/>
      <x:c r="K366" s="99"/>
      <x:c r="L366" s="99"/>
      <x:c r="M366" s="99"/>
      <x:c r="N366" s="99"/>
      <x:c r="O366" s="99"/>
      <x:c r="P366" s="99"/>
      <x:c r="Q366" s="99"/>
      <x:c r="R366" s="99"/>
      <x:c r="S366" s="99"/>
      <x:c r="T366" s="99"/>
      <x:c r="U366" s="99"/>
      <x:c r="V366" s="99"/>
      <x:c r="W366" s="99"/>
      <x:c r="X366" s="99"/>
      <x:c r="Y366" s="99"/>
      <x:c r="Z366" s="99"/>
    </x:row>
    <x:row r="367">
      <x:c r="A367" s="99"/>
      <x:c r="B367" s="99"/>
      <x:c r="C367" s="99"/>
      <x:c r="D367" s="99"/>
      <x:c r="E367" s="99"/>
      <x:c r="F367" s="99"/>
      <x:c r="G367" s="99"/>
      <x:c r="H367" s="99"/>
      <x:c r="I367" s="99"/>
      <x:c r="J367" s="99"/>
      <x:c r="K367" s="99"/>
      <x:c r="L367" s="99"/>
      <x:c r="M367" s="99"/>
      <x:c r="N367" s="99"/>
      <x:c r="O367" s="99"/>
      <x:c r="P367" s="99"/>
      <x:c r="Q367" s="99"/>
      <x:c r="R367" s="99"/>
      <x:c r="S367" s="99"/>
      <x:c r="T367" s="99"/>
      <x:c r="U367" s="99"/>
      <x:c r="V367" s="99"/>
      <x:c r="W367" s="99"/>
      <x:c r="X367" s="99"/>
      <x:c r="Y367" s="99"/>
      <x:c r="Z367" s="99"/>
    </x:row>
    <x:row r="368">
      <x:c r="A368" s="99"/>
      <x:c r="B368" s="99"/>
      <x:c r="C368" s="99"/>
      <x:c r="D368" s="99"/>
      <x:c r="E368" s="99"/>
      <x:c r="F368" s="99"/>
      <x:c r="G368" s="99"/>
      <x:c r="H368" s="99"/>
      <x:c r="I368" s="99"/>
      <x:c r="J368" s="99"/>
      <x:c r="K368" s="99"/>
      <x:c r="L368" s="99"/>
      <x:c r="M368" s="99"/>
      <x:c r="N368" s="99"/>
      <x:c r="O368" s="99"/>
      <x:c r="P368" s="99"/>
      <x:c r="Q368" s="99"/>
      <x:c r="R368" s="99"/>
      <x:c r="S368" s="99"/>
      <x:c r="T368" s="99"/>
      <x:c r="U368" s="99"/>
      <x:c r="V368" s="99"/>
      <x:c r="W368" s="99"/>
      <x:c r="X368" s="99"/>
      <x:c r="Y368" s="99"/>
      <x:c r="Z368" s="99"/>
    </x:row>
    <x:row r="369">
      <x:c r="A369" s="99"/>
      <x:c r="B369" s="99"/>
      <x:c r="C369" s="99"/>
      <x:c r="D369" s="99"/>
      <x:c r="E369" s="99"/>
      <x:c r="F369" s="99"/>
      <x:c r="G369" s="99"/>
      <x:c r="H369" s="99"/>
      <x:c r="I369" s="99"/>
      <x:c r="J369" s="99"/>
      <x:c r="K369" s="99"/>
      <x:c r="L369" s="99"/>
      <x:c r="M369" s="99"/>
      <x:c r="N369" s="99"/>
      <x:c r="O369" s="99"/>
      <x:c r="P369" s="99"/>
      <x:c r="Q369" s="99"/>
      <x:c r="R369" s="99"/>
      <x:c r="S369" s="99"/>
      <x:c r="T369" s="99"/>
      <x:c r="U369" s="99"/>
      <x:c r="V369" s="99"/>
      <x:c r="W369" s="99"/>
      <x:c r="X369" s="99"/>
      <x:c r="Y369" s="99"/>
      <x:c r="Z369" s="99"/>
    </x:row>
    <x:row r="370">
      <x:c r="A370" s="99"/>
      <x:c r="B370" s="99"/>
      <x:c r="C370" s="99"/>
      <x:c r="D370" s="99"/>
      <x:c r="E370" s="99"/>
      <x:c r="F370" s="99"/>
      <x:c r="G370" s="99"/>
      <x:c r="H370" s="99"/>
      <x:c r="I370" s="99"/>
      <x:c r="J370" s="99"/>
      <x:c r="K370" s="99"/>
      <x:c r="L370" s="99"/>
      <x:c r="M370" s="99"/>
      <x:c r="N370" s="99"/>
      <x:c r="O370" s="99"/>
      <x:c r="P370" s="99"/>
      <x:c r="Q370" s="99"/>
      <x:c r="R370" s="99"/>
      <x:c r="S370" s="99"/>
      <x:c r="T370" s="99"/>
      <x:c r="U370" s="99"/>
      <x:c r="V370" s="99"/>
      <x:c r="W370" s="99"/>
      <x:c r="X370" s="99"/>
      <x:c r="Y370" s="99"/>
      <x:c r="Z370" s="99"/>
    </x:row>
    <x:row r="371">
      <x:c r="A371" s="99"/>
      <x:c r="B371" s="99"/>
      <x:c r="C371" s="99"/>
      <x:c r="D371" s="99"/>
      <x:c r="E371" s="99"/>
      <x:c r="F371" s="99"/>
      <x:c r="G371" s="99"/>
      <x:c r="H371" s="99"/>
      <x:c r="I371" s="99"/>
      <x:c r="J371" s="99"/>
      <x:c r="K371" s="99"/>
      <x:c r="L371" s="99"/>
      <x:c r="M371" s="99"/>
      <x:c r="N371" s="99"/>
      <x:c r="O371" s="99"/>
      <x:c r="P371" s="99"/>
      <x:c r="Q371" s="99"/>
      <x:c r="R371" s="99"/>
      <x:c r="S371" s="99"/>
      <x:c r="T371" s="99"/>
      <x:c r="U371" s="99"/>
      <x:c r="V371" s="99"/>
      <x:c r="W371" s="99"/>
      <x:c r="X371" s="99"/>
      <x:c r="Y371" s="99"/>
      <x:c r="Z371" s="99"/>
    </x:row>
    <x:row r="372">
      <x:c r="A372" s="99"/>
      <x:c r="B372" s="99"/>
      <x:c r="C372" s="99"/>
      <x:c r="D372" s="99"/>
      <x:c r="E372" s="99"/>
      <x:c r="F372" s="99"/>
      <x:c r="G372" s="99"/>
      <x:c r="H372" s="99"/>
      <x:c r="I372" s="99"/>
      <x:c r="J372" s="99"/>
      <x:c r="K372" s="99"/>
      <x:c r="L372" s="99"/>
      <x:c r="M372" s="99"/>
      <x:c r="N372" s="99"/>
      <x:c r="O372" s="99"/>
      <x:c r="P372" s="99"/>
      <x:c r="Q372" s="99"/>
      <x:c r="R372" s="99"/>
      <x:c r="S372" s="99"/>
      <x:c r="T372" s="99"/>
      <x:c r="U372" s="99"/>
      <x:c r="V372" s="99"/>
      <x:c r="W372" s="99"/>
      <x:c r="X372" s="99"/>
      <x:c r="Y372" s="99"/>
      <x:c r="Z372" s="99"/>
    </x:row>
    <x:row r="373">
      <x:c r="A373" s="99"/>
      <x:c r="B373" s="99"/>
      <x:c r="C373" s="99"/>
      <x:c r="D373" s="99"/>
      <x:c r="E373" s="99"/>
      <x:c r="F373" s="99"/>
      <x:c r="G373" s="99"/>
      <x:c r="H373" s="99"/>
      <x:c r="I373" s="99"/>
      <x:c r="J373" s="99"/>
      <x:c r="K373" s="99"/>
      <x:c r="L373" s="99"/>
      <x:c r="M373" s="99"/>
      <x:c r="N373" s="99"/>
      <x:c r="O373" s="99"/>
      <x:c r="P373" s="99"/>
      <x:c r="Q373" s="99"/>
      <x:c r="R373" s="99"/>
      <x:c r="S373" s="99"/>
      <x:c r="T373" s="99"/>
      <x:c r="U373" s="99"/>
      <x:c r="V373" s="99"/>
      <x:c r="W373" s="99"/>
      <x:c r="X373" s="99"/>
      <x:c r="Y373" s="99"/>
      <x:c r="Z373" s="99"/>
    </x:row>
    <x:row r="374">
      <x:c r="A374" s="99"/>
      <x:c r="B374" s="99"/>
      <x:c r="C374" s="99"/>
      <x:c r="D374" s="99"/>
      <x:c r="E374" s="99"/>
      <x:c r="F374" s="99"/>
      <x:c r="G374" s="99"/>
      <x:c r="H374" s="99"/>
      <x:c r="I374" s="99"/>
      <x:c r="J374" s="99"/>
      <x:c r="K374" s="99"/>
      <x:c r="L374" s="99"/>
      <x:c r="M374" s="99"/>
      <x:c r="N374" s="99"/>
      <x:c r="O374" s="99"/>
      <x:c r="P374" s="99"/>
      <x:c r="Q374" s="99"/>
      <x:c r="R374" s="99"/>
      <x:c r="S374" s="99"/>
      <x:c r="T374" s="99"/>
      <x:c r="U374" s="99"/>
      <x:c r="V374" s="99"/>
      <x:c r="W374" s="99"/>
      <x:c r="X374" s="99"/>
      <x:c r="Y374" s="99"/>
      <x:c r="Z374" s="99"/>
    </x:row>
    <x:row r="375">
      <x:c r="A375" s="99"/>
      <x:c r="B375" s="99"/>
      <x:c r="C375" s="99"/>
      <x:c r="D375" s="99"/>
      <x:c r="E375" s="99"/>
      <x:c r="F375" s="99"/>
      <x:c r="G375" s="99"/>
      <x:c r="H375" s="99"/>
      <x:c r="I375" s="99"/>
      <x:c r="J375" s="99"/>
      <x:c r="K375" s="99"/>
      <x:c r="L375" s="99"/>
      <x:c r="M375" s="99"/>
      <x:c r="N375" s="99"/>
      <x:c r="O375" s="99"/>
      <x:c r="P375" s="99"/>
      <x:c r="Q375" s="99"/>
      <x:c r="R375" s="99"/>
      <x:c r="S375" s="99"/>
      <x:c r="T375" s="99"/>
      <x:c r="U375" s="99"/>
      <x:c r="V375" s="99"/>
      <x:c r="W375" s="99"/>
      <x:c r="X375" s="99"/>
      <x:c r="Y375" s="99"/>
      <x:c r="Z375" s="99"/>
    </x:row>
    <x:row r="376">
      <x:c r="A376" s="99"/>
      <x:c r="B376" s="99"/>
      <x:c r="C376" s="99"/>
      <x:c r="D376" s="99"/>
      <x:c r="E376" s="99"/>
      <x:c r="F376" s="99"/>
      <x:c r="G376" s="99"/>
      <x:c r="H376" s="99"/>
      <x:c r="I376" s="99"/>
      <x:c r="J376" s="99"/>
      <x:c r="K376" s="99"/>
      <x:c r="L376" s="99"/>
      <x:c r="M376" s="99"/>
      <x:c r="N376" s="99"/>
      <x:c r="O376" s="99"/>
      <x:c r="P376" s="99"/>
      <x:c r="Q376" s="99"/>
      <x:c r="R376" s="99"/>
      <x:c r="S376" s="99"/>
      <x:c r="T376" s="99"/>
      <x:c r="U376" s="99"/>
      <x:c r="V376" s="99"/>
      <x:c r="W376" s="99"/>
      <x:c r="X376" s="99"/>
      <x:c r="Y376" s="99"/>
      <x:c r="Z376" s="99"/>
    </x:row>
    <x:row r="377">
      <x:c r="A377" s="99"/>
      <x:c r="B377" s="99"/>
      <x:c r="C377" s="99"/>
      <x:c r="D377" s="99"/>
      <x:c r="E377" s="99"/>
      <x:c r="F377" s="99"/>
      <x:c r="G377" s="99"/>
      <x:c r="H377" s="99"/>
      <x:c r="I377" s="99"/>
      <x:c r="J377" s="99"/>
      <x:c r="K377" s="99"/>
      <x:c r="L377" s="99"/>
      <x:c r="M377" s="99"/>
      <x:c r="N377" s="99"/>
      <x:c r="O377" s="99"/>
      <x:c r="P377" s="99"/>
      <x:c r="Q377" s="99"/>
      <x:c r="R377" s="99"/>
      <x:c r="S377" s="99"/>
      <x:c r="T377" s="99"/>
      <x:c r="U377" s="99"/>
      <x:c r="V377" s="99"/>
      <x:c r="W377" s="99"/>
      <x:c r="X377" s="99"/>
      <x:c r="Y377" s="99"/>
      <x:c r="Z377" s="99"/>
    </x:row>
    <x:row r="378">
      <x:c r="A378" s="99"/>
      <x:c r="B378" s="99"/>
      <x:c r="C378" s="99"/>
      <x:c r="D378" s="99"/>
      <x:c r="E378" s="99"/>
      <x:c r="F378" s="99"/>
      <x:c r="G378" s="99"/>
      <x:c r="H378" s="99"/>
      <x:c r="I378" s="99"/>
      <x:c r="J378" s="99"/>
      <x:c r="K378" s="99"/>
      <x:c r="L378" s="99"/>
      <x:c r="M378" s="99"/>
      <x:c r="N378" s="99"/>
      <x:c r="O378" s="99"/>
      <x:c r="P378" s="99"/>
      <x:c r="Q378" s="99"/>
      <x:c r="R378" s="99"/>
      <x:c r="S378" s="99"/>
      <x:c r="T378" s="99"/>
      <x:c r="U378" s="99"/>
      <x:c r="V378" s="99"/>
      <x:c r="W378" s="99"/>
      <x:c r="X378" s="99"/>
      <x:c r="Y378" s="99"/>
      <x:c r="Z378" s="99"/>
    </x:row>
    <x:row r="379">
      <x:c r="A379" s="99"/>
      <x:c r="B379" s="99"/>
      <x:c r="C379" s="99"/>
      <x:c r="D379" s="99"/>
      <x:c r="E379" s="99"/>
      <x:c r="F379" s="99"/>
      <x:c r="G379" s="99"/>
      <x:c r="H379" s="99"/>
      <x:c r="I379" s="99"/>
      <x:c r="J379" s="99"/>
      <x:c r="K379" s="99"/>
      <x:c r="L379" s="99"/>
      <x:c r="M379" s="99"/>
      <x:c r="N379" s="99"/>
      <x:c r="O379" s="99"/>
      <x:c r="P379" s="99"/>
      <x:c r="Q379" s="99"/>
      <x:c r="R379" s="99"/>
      <x:c r="S379" s="99"/>
      <x:c r="T379" s="99"/>
      <x:c r="U379" s="99"/>
      <x:c r="V379" s="99"/>
      <x:c r="W379" s="99"/>
      <x:c r="X379" s="99"/>
      <x:c r="Y379" s="99"/>
      <x:c r="Z379" s="99"/>
    </x:row>
    <x:row r="380">
      <x:c r="A380" s="99"/>
      <x:c r="B380" s="99"/>
      <x:c r="C380" s="99"/>
      <x:c r="D380" s="99"/>
      <x:c r="E380" s="99"/>
      <x:c r="F380" s="99"/>
      <x:c r="G380" s="99"/>
      <x:c r="H380" s="99"/>
      <x:c r="I380" s="99"/>
      <x:c r="J380" s="99"/>
      <x:c r="K380" s="99"/>
      <x:c r="L380" s="99"/>
      <x:c r="M380" s="99"/>
      <x:c r="N380" s="99"/>
      <x:c r="O380" s="99"/>
      <x:c r="P380" s="99"/>
      <x:c r="Q380" s="99"/>
      <x:c r="R380" s="99"/>
      <x:c r="S380" s="99"/>
      <x:c r="T380" s="99"/>
      <x:c r="U380" s="99"/>
      <x:c r="V380" s="99"/>
      <x:c r="W380" s="99"/>
      <x:c r="X380" s="99"/>
      <x:c r="Y380" s="99"/>
      <x:c r="Z380" s="99"/>
    </x:row>
    <x:row r="381">
      <x:c r="A381" s="99"/>
      <x:c r="B381" s="99"/>
      <x:c r="C381" s="99"/>
      <x:c r="D381" s="99"/>
      <x:c r="E381" s="99"/>
      <x:c r="F381" s="99"/>
      <x:c r="G381" s="99"/>
      <x:c r="H381" s="99"/>
      <x:c r="I381" s="99"/>
      <x:c r="J381" s="99"/>
      <x:c r="K381" s="99"/>
      <x:c r="L381" s="99"/>
      <x:c r="M381" s="99"/>
      <x:c r="N381" s="99"/>
      <x:c r="O381" s="99"/>
      <x:c r="P381" s="99"/>
      <x:c r="Q381" s="99"/>
      <x:c r="R381" s="99"/>
      <x:c r="S381" s="99"/>
      <x:c r="T381" s="99"/>
      <x:c r="U381" s="99"/>
      <x:c r="V381" s="99"/>
      <x:c r="W381" s="99"/>
      <x:c r="X381" s="99"/>
      <x:c r="Y381" s="99"/>
      <x:c r="Z381" s="99"/>
    </x:row>
    <x:row r="382">
      <x:c r="A382" s="99"/>
      <x:c r="B382" s="99"/>
      <x:c r="C382" s="99"/>
      <x:c r="D382" s="99"/>
      <x:c r="E382" s="99"/>
      <x:c r="F382" s="99"/>
      <x:c r="G382" s="99"/>
      <x:c r="H382" s="99"/>
      <x:c r="I382" s="99"/>
      <x:c r="J382" s="99"/>
      <x:c r="K382" s="99"/>
      <x:c r="L382" s="99"/>
      <x:c r="M382" s="99"/>
      <x:c r="N382" s="99"/>
      <x:c r="O382" s="99"/>
      <x:c r="P382" s="99"/>
      <x:c r="Q382" s="99"/>
      <x:c r="R382" s="99"/>
      <x:c r="S382" s="99"/>
      <x:c r="T382" s="99"/>
      <x:c r="U382" s="99"/>
      <x:c r="V382" s="99"/>
      <x:c r="W382" s="99"/>
      <x:c r="X382" s="99"/>
      <x:c r="Y382" s="99"/>
      <x:c r="Z382" s="99"/>
    </x:row>
    <x:row r="383">
      <x:c r="A383" s="99"/>
      <x:c r="B383" s="99"/>
      <x:c r="C383" s="99"/>
      <x:c r="D383" s="99"/>
      <x:c r="E383" s="99"/>
      <x:c r="F383" s="99"/>
      <x:c r="G383" s="99"/>
      <x:c r="H383" s="99"/>
      <x:c r="I383" s="99"/>
      <x:c r="J383" s="99"/>
      <x:c r="K383" s="99"/>
      <x:c r="L383" s="99"/>
      <x:c r="M383" s="99"/>
      <x:c r="N383" s="99"/>
      <x:c r="O383" s="99"/>
      <x:c r="P383" s="99"/>
      <x:c r="Q383" s="99"/>
      <x:c r="R383" s="99"/>
      <x:c r="S383" s="99"/>
      <x:c r="T383" s="99"/>
      <x:c r="U383" s="99"/>
      <x:c r="V383" s="99"/>
      <x:c r="W383" s="99"/>
      <x:c r="X383" s="99"/>
      <x:c r="Y383" s="99"/>
      <x:c r="Z383" s="99"/>
    </x:row>
    <x:row r="384">
      <x:c r="A384" s="99"/>
      <x:c r="B384" s="99"/>
      <x:c r="C384" s="99"/>
      <x:c r="D384" s="99"/>
      <x:c r="E384" s="99"/>
      <x:c r="F384" s="99"/>
      <x:c r="G384" s="99"/>
      <x:c r="H384" s="99"/>
      <x:c r="I384" s="99"/>
      <x:c r="J384" s="99"/>
      <x:c r="K384" s="99"/>
      <x:c r="L384" s="99"/>
      <x:c r="M384" s="99"/>
      <x:c r="N384" s="99"/>
      <x:c r="O384" s="99"/>
      <x:c r="P384" s="99"/>
      <x:c r="Q384" s="99"/>
      <x:c r="R384" s="99"/>
      <x:c r="S384" s="99"/>
      <x:c r="T384" s="99"/>
      <x:c r="U384" s="99"/>
      <x:c r="V384" s="99"/>
      <x:c r="W384" s="99"/>
      <x:c r="X384" s="99"/>
      <x:c r="Y384" s="99"/>
      <x:c r="Z384" s="99"/>
    </x:row>
    <x:row r="385">
      <x:c r="A385" s="99"/>
      <x:c r="B385" s="99"/>
      <x:c r="C385" s="99"/>
      <x:c r="D385" s="99"/>
      <x:c r="E385" s="99"/>
      <x:c r="F385" s="99"/>
      <x:c r="G385" s="99"/>
      <x:c r="H385" s="99"/>
      <x:c r="I385" s="99"/>
      <x:c r="J385" s="99"/>
      <x:c r="K385" s="99"/>
      <x:c r="L385" s="99"/>
      <x:c r="M385" s="99"/>
      <x:c r="N385" s="99"/>
      <x:c r="O385" s="99"/>
      <x:c r="P385" s="99"/>
      <x:c r="Q385" s="99"/>
      <x:c r="R385" s="99"/>
      <x:c r="S385" s="99"/>
      <x:c r="T385" s="99"/>
      <x:c r="U385" s="99"/>
      <x:c r="V385" s="99"/>
      <x:c r="W385" s="99"/>
      <x:c r="X385" s="99"/>
      <x:c r="Y385" s="99"/>
      <x:c r="Z385" s="99"/>
    </x:row>
    <x:row r="386">
      <x:c r="A386" s="99"/>
      <x:c r="B386" s="99"/>
      <x:c r="C386" s="99"/>
      <x:c r="D386" s="99"/>
      <x:c r="E386" s="99"/>
      <x:c r="F386" s="99"/>
      <x:c r="G386" s="99"/>
      <x:c r="H386" s="99"/>
      <x:c r="I386" s="99"/>
      <x:c r="J386" s="99"/>
      <x:c r="K386" s="99"/>
      <x:c r="L386" s="99"/>
      <x:c r="M386" s="99"/>
      <x:c r="N386" s="99"/>
      <x:c r="O386" s="99"/>
      <x:c r="P386" s="99"/>
      <x:c r="Q386" s="99"/>
      <x:c r="R386" s="99"/>
      <x:c r="S386" s="99"/>
      <x:c r="T386" s="99"/>
      <x:c r="U386" s="99"/>
      <x:c r="V386" s="99"/>
      <x:c r="W386" s="99"/>
      <x:c r="X386" s="99"/>
      <x:c r="Y386" s="99"/>
      <x:c r="Z386" s="99"/>
    </x:row>
    <x:row r="387">
      <x:c r="A387" s="99"/>
      <x:c r="B387" s="99"/>
      <x:c r="C387" s="99"/>
      <x:c r="D387" s="99"/>
      <x:c r="E387" s="99"/>
      <x:c r="F387" s="99"/>
      <x:c r="G387" s="99"/>
      <x:c r="H387" s="99"/>
      <x:c r="I387" s="99"/>
      <x:c r="J387" s="99"/>
      <x:c r="K387" s="99"/>
      <x:c r="L387" s="99"/>
      <x:c r="M387" s="99"/>
      <x:c r="N387" s="99"/>
      <x:c r="O387" s="99"/>
      <x:c r="P387" s="99"/>
      <x:c r="Q387" s="99"/>
      <x:c r="R387" s="99"/>
      <x:c r="S387" s="99"/>
      <x:c r="T387" s="99"/>
      <x:c r="U387" s="99"/>
      <x:c r="V387" s="99"/>
      <x:c r="W387" s="99"/>
      <x:c r="X387" s="99"/>
      <x:c r="Y387" s="99"/>
      <x:c r="Z387" s="99"/>
    </x:row>
    <x:row r="388">
      <x:c r="A388" s="99"/>
      <x:c r="B388" s="99"/>
      <x:c r="C388" s="99"/>
      <x:c r="D388" s="99"/>
      <x:c r="E388" s="99"/>
      <x:c r="F388" s="99"/>
      <x:c r="G388" s="99"/>
      <x:c r="H388" s="99"/>
      <x:c r="I388" s="99"/>
      <x:c r="J388" s="99"/>
      <x:c r="K388" s="99"/>
      <x:c r="L388" s="99"/>
      <x:c r="M388" s="99"/>
      <x:c r="N388" s="99"/>
      <x:c r="O388" s="99"/>
      <x:c r="P388" s="99"/>
      <x:c r="Q388" s="99"/>
      <x:c r="R388" s="99"/>
      <x:c r="S388" s="99"/>
      <x:c r="T388" s="99"/>
      <x:c r="U388" s="99"/>
      <x:c r="V388" s="99"/>
      <x:c r="W388" s="99"/>
      <x:c r="X388" s="99"/>
      <x:c r="Y388" s="99"/>
      <x:c r="Z388" s="99"/>
    </x:row>
    <x:row r="389">
      <x:c r="A389" s="99"/>
      <x:c r="B389" s="99"/>
      <x:c r="C389" s="99"/>
      <x:c r="D389" s="99"/>
      <x:c r="E389" s="99"/>
      <x:c r="F389" s="99"/>
      <x:c r="G389" s="99"/>
      <x:c r="H389" s="99"/>
      <x:c r="I389" s="99"/>
      <x:c r="J389" s="99"/>
      <x:c r="K389" s="99"/>
      <x:c r="L389" s="99"/>
      <x:c r="M389" s="99"/>
      <x:c r="N389" s="99"/>
      <x:c r="O389" s="99"/>
      <x:c r="P389" s="99"/>
      <x:c r="Q389" s="99"/>
      <x:c r="R389" s="99"/>
      <x:c r="S389" s="99"/>
      <x:c r="T389" s="99"/>
      <x:c r="U389" s="99"/>
      <x:c r="V389" s="99"/>
      <x:c r="W389" s="99"/>
      <x:c r="X389" s="99"/>
      <x:c r="Y389" s="99"/>
      <x:c r="Z389" s="99"/>
    </x:row>
    <x:row r="390">
      <x:c r="A390" s="99"/>
      <x:c r="B390" s="99"/>
      <x:c r="C390" s="99"/>
      <x:c r="D390" s="99"/>
      <x:c r="E390" s="99"/>
      <x:c r="F390" s="99"/>
      <x:c r="G390" s="99"/>
      <x:c r="H390" s="99"/>
      <x:c r="I390" s="99"/>
      <x:c r="J390" s="99"/>
      <x:c r="K390" s="99"/>
      <x:c r="L390" s="99"/>
      <x:c r="M390" s="99"/>
      <x:c r="N390" s="99"/>
      <x:c r="O390" s="99"/>
      <x:c r="P390" s="99"/>
      <x:c r="Q390" s="99"/>
      <x:c r="R390" s="99"/>
      <x:c r="S390" s="99"/>
      <x:c r="T390" s="99"/>
      <x:c r="U390" s="99"/>
      <x:c r="V390" s="99"/>
      <x:c r="W390" s="99"/>
      <x:c r="X390" s="99"/>
      <x:c r="Y390" s="99"/>
      <x:c r="Z390" s="99"/>
    </x:row>
    <x:row r="391">
      <x:c r="A391" s="99"/>
      <x:c r="B391" s="99"/>
      <x:c r="C391" s="99"/>
      <x:c r="D391" s="99"/>
      <x:c r="E391" s="99"/>
      <x:c r="F391" s="99"/>
      <x:c r="G391" s="99"/>
      <x:c r="H391" s="99"/>
      <x:c r="I391" s="99"/>
      <x:c r="J391" s="99"/>
      <x:c r="K391" s="99"/>
      <x:c r="L391" s="99"/>
      <x:c r="M391" s="99"/>
      <x:c r="N391" s="99"/>
      <x:c r="O391" s="99"/>
      <x:c r="P391" s="99"/>
      <x:c r="Q391" s="99"/>
      <x:c r="R391" s="99"/>
      <x:c r="S391" s="99"/>
      <x:c r="T391" s="99"/>
      <x:c r="U391" s="99"/>
      <x:c r="V391" s="99"/>
      <x:c r="W391" s="99"/>
      <x:c r="X391" s="99"/>
      <x:c r="Y391" s="99"/>
      <x:c r="Z391" s="99"/>
    </x:row>
    <x:row r="392">
      <x:c r="A392" s="99"/>
      <x:c r="B392" s="99"/>
      <x:c r="C392" s="99"/>
      <x:c r="D392" s="99"/>
      <x:c r="E392" s="99"/>
      <x:c r="F392" s="99"/>
      <x:c r="G392" s="99"/>
      <x:c r="H392" s="99"/>
      <x:c r="I392" s="99"/>
      <x:c r="J392" s="99"/>
      <x:c r="K392" s="99"/>
      <x:c r="L392" s="99"/>
      <x:c r="M392" s="99"/>
      <x:c r="N392" s="99"/>
      <x:c r="O392" s="99"/>
      <x:c r="P392" s="99"/>
      <x:c r="Q392" s="99"/>
      <x:c r="R392" s="99"/>
      <x:c r="S392" s="99"/>
      <x:c r="T392" s="99"/>
      <x:c r="U392" s="99"/>
      <x:c r="V392" s="99"/>
      <x:c r="W392" s="99"/>
      <x:c r="X392" s="99"/>
      <x:c r="Y392" s="99"/>
      <x:c r="Z392" s="99"/>
    </x:row>
    <x:row r="393">
      <x:c r="A393" s="99"/>
      <x:c r="B393" s="99"/>
      <x:c r="C393" s="99"/>
      <x:c r="D393" s="99"/>
      <x:c r="E393" s="99"/>
      <x:c r="F393" s="99"/>
      <x:c r="G393" s="99"/>
      <x:c r="H393" s="99"/>
      <x:c r="I393" s="99"/>
      <x:c r="J393" s="99"/>
      <x:c r="K393" s="99"/>
      <x:c r="L393" s="99"/>
      <x:c r="M393" s="99"/>
      <x:c r="N393" s="99"/>
      <x:c r="O393" s="99"/>
      <x:c r="P393" s="99"/>
      <x:c r="Q393" s="99"/>
      <x:c r="R393" s="99"/>
      <x:c r="S393" s="99"/>
      <x:c r="T393" s="99"/>
      <x:c r="U393" s="99"/>
      <x:c r="V393" s="99"/>
      <x:c r="W393" s="99"/>
      <x:c r="X393" s="99"/>
      <x:c r="Y393" s="99"/>
      <x:c r="Z393" s="99"/>
    </x:row>
    <x:row r="394">
      <x:c r="A394" s="99"/>
      <x:c r="B394" s="99"/>
      <x:c r="C394" s="99"/>
      <x:c r="D394" s="99"/>
      <x:c r="E394" s="99"/>
      <x:c r="F394" s="99"/>
      <x:c r="G394" s="99"/>
      <x:c r="H394" s="99"/>
      <x:c r="I394" s="99"/>
      <x:c r="J394" s="99"/>
      <x:c r="K394" s="99"/>
      <x:c r="L394" s="99"/>
      <x:c r="M394" s="99"/>
      <x:c r="N394" s="99"/>
      <x:c r="O394" s="99"/>
      <x:c r="P394" s="99"/>
      <x:c r="Q394" s="99"/>
      <x:c r="R394" s="99"/>
      <x:c r="S394" s="99"/>
      <x:c r="T394" s="99"/>
      <x:c r="U394" s="99"/>
      <x:c r="V394" s="99"/>
      <x:c r="W394" s="99"/>
      <x:c r="X394" s="99"/>
      <x:c r="Y394" s="99"/>
      <x:c r="Z394" s="99"/>
    </x:row>
    <x:row r="395">
      <x:c r="A395" s="99"/>
      <x:c r="B395" s="99"/>
      <x:c r="C395" s="99"/>
      <x:c r="D395" s="99"/>
      <x:c r="E395" s="99"/>
      <x:c r="F395" s="99"/>
      <x:c r="G395" s="99"/>
      <x:c r="H395" s="99"/>
      <x:c r="I395" s="99"/>
      <x:c r="J395" s="99"/>
      <x:c r="K395" s="99"/>
      <x:c r="L395" s="99"/>
      <x:c r="M395" s="99"/>
      <x:c r="N395" s="99"/>
      <x:c r="O395" s="99"/>
      <x:c r="P395" s="99"/>
      <x:c r="Q395" s="99"/>
      <x:c r="R395" s="99"/>
      <x:c r="S395" s="99"/>
      <x:c r="T395" s="99"/>
      <x:c r="U395" s="99"/>
      <x:c r="V395" s="99"/>
      <x:c r="W395" s="99"/>
      <x:c r="X395" s="99"/>
      <x:c r="Y395" s="99"/>
      <x:c r="Z395" s="99"/>
    </x:row>
    <x:row r="396">
      <x:c r="A396" s="99"/>
      <x:c r="B396" s="99"/>
      <x:c r="C396" s="99"/>
      <x:c r="D396" s="99"/>
      <x:c r="E396" s="99"/>
      <x:c r="F396" s="99"/>
      <x:c r="G396" s="99"/>
      <x:c r="H396" s="99"/>
      <x:c r="I396" s="99"/>
      <x:c r="J396" s="99"/>
      <x:c r="K396" s="99"/>
      <x:c r="L396" s="99"/>
      <x:c r="M396" s="99"/>
      <x:c r="N396" s="99"/>
      <x:c r="O396" s="99"/>
      <x:c r="P396" s="99"/>
      <x:c r="Q396" s="99"/>
      <x:c r="R396" s="99"/>
      <x:c r="S396" s="99"/>
      <x:c r="T396" s="99"/>
      <x:c r="U396" s="99"/>
      <x:c r="V396" s="99"/>
      <x:c r="W396" s="99"/>
      <x:c r="X396" s="99"/>
      <x:c r="Y396" s="99"/>
      <x:c r="Z396" s="99"/>
    </x:row>
    <x:row r="397">
      <x:c r="A397" s="99"/>
      <x:c r="B397" s="99"/>
      <x:c r="C397" s="99"/>
      <x:c r="D397" s="99"/>
      <x:c r="E397" s="99"/>
      <x:c r="F397" s="99"/>
      <x:c r="G397" s="99"/>
      <x:c r="H397" s="99"/>
      <x:c r="I397" s="99"/>
      <x:c r="J397" s="99"/>
      <x:c r="K397" s="99"/>
      <x:c r="L397" s="99"/>
      <x:c r="M397" s="99"/>
      <x:c r="N397" s="99"/>
      <x:c r="O397" s="99"/>
      <x:c r="P397" s="99"/>
      <x:c r="Q397" s="99"/>
      <x:c r="R397" s="99"/>
      <x:c r="S397" s="99"/>
      <x:c r="T397" s="99"/>
      <x:c r="U397" s="99"/>
      <x:c r="V397" s="99"/>
      <x:c r="W397" s="99"/>
      <x:c r="X397" s="99"/>
      <x:c r="Y397" s="99"/>
      <x:c r="Z397" s="99"/>
    </x:row>
    <x:row r="398">
      <x:c r="A398" s="99"/>
      <x:c r="B398" s="99"/>
      <x:c r="C398" s="99"/>
      <x:c r="D398" s="99"/>
      <x:c r="E398" s="99"/>
      <x:c r="F398" s="99"/>
      <x:c r="G398" s="99"/>
      <x:c r="H398" s="99"/>
      <x:c r="I398" s="99"/>
      <x:c r="J398" s="99"/>
      <x:c r="K398" s="99"/>
      <x:c r="L398" s="99"/>
      <x:c r="M398" s="99"/>
      <x:c r="N398" s="99"/>
      <x:c r="O398" s="99"/>
      <x:c r="P398" s="99"/>
      <x:c r="Q398" s="99"/>
      <x:c r="R398" s="99"/>
      <x:c r="S398" s="99"/>
      <x:c r="T398" s="99"/>
      <x:c r="U398" s="99"/>
      <x:c r="V398" s="99"/>
      <x:c r="W398" s="99"/>
      <x:c r="X398" s="99"/>
      <x:c r="Y398" s="99"/>
      <x:c r="Z398" s="99"/>
    </x:row>
    <x:row r="399">
      <x:c r="A399" s="99"/>
      <x:c r="B399" s="99"/>
      <x:c r="C399" s="99"/>
      <x:c r="D399" s="99"/>
      <x:c r="E399" s="99"/>
      <x:c r="F399" s="99"/>
      <x:c r="G399" s="99"/>
      <x:c r="H399" s="99"/>
      <x:c r="I399" s="99"/>
      <x:c r="J399" s="99"/>
      <x:c r="K399" s="99"/>
      <x:c r="L399" s="99"/>
      <x:c r="M399" s="99"/>
      <x:c r="N399" s="99"/>
      <x:c r="O399" s="99"/>
      <x:c r="P399" s="99"/>
      <x:c r="Q399" s="99"/>
      <x:c r="R399" s="99"/>
      <x:c r="S399" s="99"/>
      <x:c r="T399" s="99"/>
      <x:c r="U399" s="99"/>
      <x:c r="V399" s="99"/>
      <x:c r="W399" s="99"/>
      <x:c r="X399" s="99"/>
      <x:c r="Y399" s="99"/>
      <x:c r="Z399" s="99"/>
    </x:row>
    <x:row r="400">
      <x:c r="A400" s="99"/>
      <x:c r="B400" s="99"/>
      <x:c r="C400" s="99"/>
      <x:c r="D400" s="99"/>
      <x:c r="E400" s="99"/>
      <x:c r="F400" s="99"/>
      <x:c r="G400" s="99"/>
      <x:c r="H400" s="99"/>
      <x:c r="I400" s="99"/>
      <x:c r="J400" s="99"/>
      <x:c r="K400" s="99"/>
      <x:c r="L400" s="99"/>
      <x:c r="M400" s="99"/>
      <x:c r="N400" s="99"/>
      <x:c r="O400" s="99"/>
      <x:c r="P400" s="99"/>
      <x:c r="Q400" s="99"/>
      <x:c r="R400" s="99"/>
      <x:c r="S400" s="99"/>
      <x:c r="T400" s="99"/>
      <x:c r="U400" s="99"/>
      <x:c r="V400" s="99"/>
      <x:c r="W400" s="99"/>
      <x:c r="X400" s="99"/>
      <x:c r="Y400" s="99"/>
      <x:c r="Z400" s="99"/>
    </x:row>
    <x:row r="401">
      <x:c r="A401" s="99"/>
      <x:c r="B401" s="99"/>
      <x:c r="C401" s="99"/>
      <x:c r="D401" s="99"/>
      <x:c r="E401" s="99"/>
      <x:c r="F401" s="99"/>
      <x:c r="G401" s="99"/>
      <x:c r="H401" s="99"/>
      <x:c r="I401" s="99"/>
      <x:c r="J401" s="99"/>
      <x:c r="K401" s="99"/>
      <x:c r="L401" s="99"/>
      <x:c r="M401" s="99"/>
      <x:c r="N401" s="99"/>
      <x:c r="O401" s="99"/>
      <x:c r="P401" s="99"/>
      <x:c r="Q401" s="99"/>
      <x:c r="R401" s="99"/>
      <x:c r="S401" s="99"/>
      <x:c r="T401" s="99"/>
      <x:c r="U401" s="99"/>
      <x:c r="V401" s="99"/>
      <x:c r="W401" s="99"/>
      <x:c r="X401" s="99"/>
      <x:c r="Y401" s="99"/>
      <x:c r="Z401" s="99"/>
    </x:row>
    <x:row r="402">
      <x:c r="A402" s="99"/>
      <x:c r="B402" s="99"/>
      <x:c r="C402" s="99"/>
      <x:c r="D402" s="99"/>
      <x:c r="E402" s="99"/>
      <x:c r="F402" s="99"/>
      <x:c r="G402" s="99"/>
      <x:c r="H402" s="99"/>
      <x:c r="I402" s="99"/>
      <x:c r="J402" s="99"/>
      <x:c r="K402" s="99"/>
      <x:c r="L402" s="99"/>
      <x:c r="M402" s="99"/>
      <x:c r="N402" s="99"/>
      <x:c r="O402" s="99"/>
      <x:c r="P402" s="99"/>
      <x:c r="Q402" s="99"/>
      <x:c r="R402" s="99"/>
      <x:c r="S402" s="99"/>
      <x:c r="T402" s="99"/>
      <x:c r="U402" s="99"/>
      <x:c r="V402" s="99"/>
      <x:c r="W402" s="99"/>
      <x:c r="X402" s="99"/>
      <x:c r="Y402" s="99"/>
      <x:c r="Z402" s="99"/>
    </x:row>
    <x:row r="403">
      <x:c r="A403" s="99"/>
      <x:c r="B403" s="99"/>
      <x:c r="C403" s="99"/>
      <x:c r="D403" s="99"/>
      <x:c r="E403" s="99"/>
      <x:c r="F403" s="99"/>
      <x:c r="G403" s="99"/>
      <x:c r="H403" s="99"/>
      <x:c r="I403" s="99"/>
      <x:c r="J403" s="99"/>
      <x:c r="K403" s="99"/>
      <x:c r="L403" s="99"/>
      <x:c r="M403" s="99"/>
      <x:c r="N403" s="99"/>
      <x:c r="O403" s="99"/>
      <x:c r="P403" s="99"/>
      <x:c r="Q403" s="99"/>
      <x:c r="R403" s="99"/>
      <x:c r="S403" s="99"/>
      <x:c r="T403" s="99"/>
      <x:c r="U403" s="99"/>
      <x:c r="V403" s="99"/>
      <x:c r="W403" s="99"/>
      <x:c r="X403" s="99"/>
      <x:c r="Y403" s="99"/>
      <x:c r="Z403" s="99"/>
    </x:row>
    <x:row r="404">
      <x:c r="A404" s="99"/>
      <x:c r="B404" s="99"/>
      <x:c r="C404" s="99"/>
      <x:c r="D404" s="99"/>
      <x:c r="E404" s="99"/>
      <x:c r="F404" s="99"/>
      <x:c r="G404" s="99"/>
      <x:c r="H404" s="99"/>
      <x:c r="I404" s="99"/>
      <x:c r="J404" s="99"/>
      <x:c r="K404" s="99"/>
      <x:c r="L404" s="99"/>
      <x:c r="M404" s="99"/>
      <x:c r="N404" s="99"/>
      <x:c r="O404" s="99"/>
      <x:c r="P404" s="99"/>
      <x:c r="Q404" s="99"/>
      <x:c r="R404" s="99"/>
      <x:c r="S404" s="99"/>
      <x:c r="T404" s="99"/>
      <x:c r="U404" s="99"/>
      <x:c r="V404" s="99"/>
      <x:c r="W404" s="99"/>
      <x:c r="X404" s="99"/>
      <x:c r="Y404" s="99"/>
      <x:c r="Z404" s="99"/>
    </x:row>
    <x:row r="405">
      <x:c r="A405" s="99"/>
      <x:c r="B405" s="99"/>
      <x:c r="C405" s="99"/>
      <x:c r="D405" s="99"/>
      <x:c r="E405" s="99"/>
      <x:c r="F405" s="99"/>
      <x:c r="G405" s="99"/>
      <x:c r="H405" s="99"/>
      <x:c r="I405" s="99"/>
      <x:c r="J405" s="99"/>
      <x:c r="K405" s="99"/>
      <x:c r="L405" s="99"/>
      <x:c r="M405" s="99"/>
      <x:c r="N405" s="99"/>
      <x:c r="O405" s="99"/>
      <x:c r="P405" s="99"/>
      <x:c r="Q405" s="99"/>
      <x:c r="R405" s="99"/>
      <x:c r="S405" s="99"/>
      <x:c r="T405" s="99"/>
      <x:c r="U405" s="99"/>
      <x:c r="V405" s="99"/>
      <x:c r="W405" s="99"/>
      <x:c r="X405" s="99"/>
      <x:c r="Y405" s="99"/>
      <x:c r="Z405" s="99"/>
    </x:row>
    <x:row r="406">
      <x:c r="A406" s="99"/>
      <x:c r="B406" s="99"/>
      <x:c r="C406" s="99"/>
      <x:c r="D406" s="99"/>
      <x:c r="E406" s="99"/>
      <x:c r="F406" s="99"/>
      <x:c r="G406" s="99"/>
      <x:c r="H406" s="99"/>
      <x:c r="I406" s="99"/>
      <x:c r="J406" s="99"/>
      <x:c r="K406" s="99"/>
      <x:c r="L406" s="99"/>
      <x:c r="M406" s="99"/>
      <x:c r="N406" s="99"/>
      <x:c r="O406" s="99"/>
      <x:c r="P406" s="99"/>
      <x:c r="Q406" s="99"/>
      <x:c r="R406" s="99"/>
      <x:c r="S406" s="99"/>
      <x:c r="T406" s="99"/>
      <x:c r="U406" s="99"/>
      <x:c r="V406" s="99"/>
      <x:c r="W406" s="99"/>
      <x:c r="X406" s="99"/>
      <x:c r="Y406" s="99"/>
      <x:c r="Z406" s="99"/>
    </x:row>
    <x:row r="407">
      <x:c r="A407" s="99"/>
      <x:c r="B407" s="99"/>
      <x:c r="C407" s="99"/>
      <x:c r="D407" s="99"/>
      <x:c r="E407" s="99"/>
      <x:c r="F407" s="99"/>
      <x:c r="G407" s="99"/>
      <x:c r="H407" s="99"/>
      <x:c r="I407" s="99"/>
      <x:c r="J407" s="99"/>
      <x:c r="K407" s="99"/>
      <x:c r="L407" s="99"/>
      <x:c r="M407" s="99"/>
      <x:c r="N407" s="99"/>
      <x:c r="O407" s="99"/>
      <x:c r="P407" s="99"/>
      <x:c r="Q407" s="99"/>
      <x:c r="R407" s="99"/>
      <x:c r="S407" s="99"/>
      <x:c r="T407" s="99"/>
      <x:c r="U407" s="99"/>
      <x:c r="V407" s="99"/>
      <x:c r="W407" s="99"/>
      <x:c r="X407" s="99"/>
      <x:c r="Y407" s="99"/>
      <x:c r="Z407" s="99"/>
    </x:row>
    <x:row r="408">
      <x:c r="A408" s="99"/>
      <x:c r="B408" s="99"/>
      <x:c r="C408" s="99"/>
      <x:c r="D408" s="99"/>
      <x:c r="E408" s="99"/>
      <x:c r="F408" s="99"/>
      <x:c r="G408" s="99"/>
      <x:c r="H408" s="99"/>
      <x:c r="I408" s="99"/>
      <x:c r="J408" s="99"/>
      <x:c r="K408" s="99"/>
      <x:c r="L408" s="99"/>
      <x:c r="M408" s="99"/>
      <x:c r="N408" s="99"/>
      <x:c r="O408" s="99"/>
      <x:c r="P408" s="99"/>
      <x:c r="Q408" s="99"/>
      <x:c r="R408" s="99"/>
      <x:c r="S408" s="99"/>
      <x:c r="T408" s="99"/>
      <x:c r="U408" s="99"/>
      <x:c r="V408" s="99"/>
      <x:c r="W408" s="99"/>
      <x:c r="X408" s="99"/>
      <x:c r="Y408" s="99"/>
      <x:c r="Z408" s="99"/>
    </x:row>
    <x:row r="409">
      <x:c r="A409" s="99"/>
      <x:c r="B409" s="99"/>
      <x:c r="C409" s="99"/>
      <x:c r="D409" s="99"/>
      <x:c r="E409" s="99"/>
      <x:c r="F409" s="99"/>
      <x:c r="G409" s="99"/>
      <x:c r="H409" s="99"/>
      <x:c r="I409" s="99"/>
      <x:c r="J409" s="99"/>
      <x:c r="K409" s="99"/>
      <x:c r="L409" s="99"/>
      <x:c r="M409" s="99"/>
      <x:c r="N409" s="99"/>
      <x:c r="O409" s="99"/>
      <x:c r="P409" s="99"/>
      <x:c r="Q409" s="99"/>
      <x:c r="R409" s="99"/>
      <x:c r="S409" s="99"/>
      <x:c r="T409" s="99"/>
      <x:c r="U409" s="99"/>
      <x:c r="V409" s="99"/>
      <x:c r="W409" s="99"/>
      <x:c r="X409" s="99"/>
      <x:c r="Y409" s="99"/>
      <x:c r="Z409" s="99"/>
    </x:row>
    <x:row r="410">
      <x:c r="A410" s="99"/>
      <x:c r="B410" s="99"/>
      <x:c r="C410" s="99"/>
      <x:c r="D410" s="99"/>
      <x:c r="E410" s="99"/>
      <x:c r="F410" s="99"/>
      <x:c r="G410" s="99"/>
      <x:c r="H410" s="99"/>
      <x:c r="I410" s="99"/>
      <x:c r="J410" s="99"/>
      <x:c r="K410" s="99"/>
      <x:c r="L410" s="99"/>
      <x:c r="M410" s="99"/>
      <x:c r="N410" s="99"/>
      <x:c r="O410" s="99"/>
      <x:c r="P410" s="99"/>
      <x:c r="Q410" s="99"/>
      <x:c r="R410" s="99"/>
      <x:c r="S410" s="99"/>
      <x:c r="T410" s="99"/>
      <x:c r="U410" s="99"/>
      <x:c r="V410" s="99"/>
      <x:c r="W410" s="99"/>
      <x:c r="X410" s="99"/>
      <x:c r="Y410" s="99"/>
      <x:c r="Z410" s="99"/>
    </x:row>
    <x:row r="411">
      <x:c r="A411" s="99"/>
      <x:c r="B411" s="99"/>
      <x:c r="C411" s="99"/>
      <x:c r="D411" s="99"/>
      <x:c r="E411" s="99"/>
      <x:c r="F411" s="99"/>
      <x:c r="G411" s="99"/>
      <x:c r="H411" s="99"/>
      <x:c r="I411" s="99"/>
      <x:c r="J411" s="99"/>
      <x:c r="K411" s="99"/>
      <x:c r="L411" s="99"/>
      <x:c r="M411" s="99"/>
      <x:c r="N411" s="99"/>
      <x:c r="O411" s="99"/>
      <x:c r="P411" s="99"/>
      <x:c r="Q411" s="99"/>
      <x:c r="R411" s="99"/>
      <x:c r="S411" s="99"/>
      <x:c r="T411" s="99"/>
      <x:c r="U411" s="99"/>
      <x:c r="V411" s="99"/>
      <x:c r="W411" s="99"/>
      <x:c r="X411" s="99"/>
      <x:c r="Y411" s="99"/>
      <x:c r="Z411" s="99"/>
    </x:row>
    <x:row r="412">
      <x:c r="A412" s="99"/>
      <x:c r="B412" s="99"/>
      <x:c r="C412" s="99"/>
      <x:c r="D412" s="99"/>
      <x:c r="E412" s="99"/>
      <x:c r="F412" s="99"/>
      <x:c r="G412" s="99"/>
      <x:c r="H412" s="99"/>
      <x:c r="I412" s="99"/>
      <x:c r="J412" s="99"/>
      <x:c r="K412" s="99"/>
      <x:c r="L412" s="99"/>
      <x:c r="M412" s="99"/>
      <x:c r="N412" s="99"/>
      <x:c r="O412" s="99"/>
      <x:c r="P412" s="99"/>
      <x:c r="Q412" s="99"/>
      <x:c r="R412" s="99"/>
      <x:c r="S412" s="99"/>
      <x:c r="T412" s="99"/>
      <x:c r="U412" s="99"/>
      <x:c r="V412" s="99"/>
      <x:c r="W412" s="99"/>
      <x:c r="X412" s="99"/>
      <x:c r="Y412" s="99"/>
      <x:c r="Z412" s="99"/>
    </x:row>
    <x:row r="413">
      <x:c r="A413" s="99"/>
      <x:c r="B413" s="99"/>
      <x:c r="C413" s="99"/>
      <x:c r="D413" s="99"/>
      <x:c r="E413" s="99"/>
      <x:c r="F413" s="99"/>
      <x:c r="G413" s="99"/>
      <x:c r="H413" s="99"/>
      <x:c r="I413" s="99"/>
      <x:c r="J413" s="99"/>
      <x:c r="K413" s="99"/>
      <x:c r="L413" s="99"/>
      <x:c r="M413" s="99"/>
      <x:c r="N413" s="99"/>
      <x:c r="O413" s="99"/>
      <x:c r="P413" s="99"/>
      <x:c r="Q413" s="99"/>
      <x:c r="R413" s="99"/>
      <x:c r="S413" s="99"/>
      <x:c r="T413" s="99"/>
      <x:c r="U413" s="99"/>
      <x:c r="V413" s="99"/>
      <x:c r="W413" s="99"/>
      <x:c r="X413" s="99"/>
      <x:c r="Y413" s="99"/>
      <x:c r="Z413" s="99"/>
    </x:row>
    <x:row r="414">
      <x:c r="A414" s="99"/>
      <x:c r="B414" s="99"/>
      <x:c r="C414" s="99"/>
      <x:c r="D414" s="99"/>
      <x:c r="E414" s="99"/>
      <x:c r="F414" s="99"/>
      <x:c r="G414" s="99"/>
      <x:c r="H414" s="99"/>
      <x:c r="I414" s="99"/>
      <x:c r="J414" s="99"/>
      <x:c r="K414" s="99"/>
      <x:c r="L414" s="99"/>
      <x:c r="M414" s="99"/>
      <x:c r="N414" s="99"/>
      <x:c r="O414" s="99"/>
      <x:c r="P414" s="99"/>
      <x:c r="Q414" s="99"/>
      <x:c r="R414" s="99"/>
      <x:c r="S414" s="99"/>
      <x:c r="T414" s="99"/>
      <x:c r="U414" s="99"/>
      <x:c r="V414" s="99"/>
      <x:c r="W414" s="99"/>
      <x:c r="X414" s="99"/>
      <x:c r="Y414" s="99"/>
      <x:c r="Z414" s="99"/>
    </x:row>
    <x:row r="415">
      <x:c r="A415" s="99"/>
      <x:c r="B415" s="99"/>
      <x:c r="C415" s="99"/>
      <x:c r="D415" s="99"/>
      <x:c r="E415" s="99"/>
      <x:c r="F415" s="99"/>
      <x:c r="G415" s="99"/>
      <x:c r="H415" s="99"/>
      <x:c r="I415" s="99"/>
      <x:c r="J415" s="99"/>
      <x:c r="K415" s="99"/>
      <x:c r="L415" s="99"/>
      <x:c r="M415" s="99"/>
      <x:c r="N415" s="99"/>
      <x:c r="O415" s="99"/>
      <x:c r="P415" s="99"/>
      <x:c r="Q415" s="99"/>
      <x:c r="R415" s="99"/>
      <x:c r="S415" s="99"/>
      <x:c r="T415" s="99"/>
      <x:c r="U415" s="99"/>
      <x:c r="V415" s="99"/>
      <x:c r="W415" s="99"/>
      <x:c r="X415" s="99"/>
      <x:c r="Y415" s="99"/>
      <x:c r="Z415" s="99"/>
    </x:row>
    <x:row r="416">
      <x:c r="A416" s="99"/>
      <x:c r="B416" s="99"/>
      <x:c r="C416" s="99"/>
      <x:c r="D416" s="99"/>
      <x:c r="E416" s="99"/>
      <x:c r="F416" s="99"/>
      <x:c r="G416" s="99"/>
      <x:c r="H416" s="99"/>
      <x:c r="I416" s="99"/>
      <x:c r="J416" s="99"/>
      <x:c r="K416" s="99"/>
      <x:c r="L416" s="99"/>
      <x:c r="M416" s="99"/>
      <x:c r="N416" s="99"/>
      <x:c r="O416" s="99"/>
      <x:c r="P416" s="99"/>
      <x:c r="Q416" s="99"/>
      <x:c r="R416" s="99"/>
      <x:c r="S416" s="99"/>
      <x:c r="T416" s="99"/>
      <x:c r="U416" s="99"/>
      <x:c r="V416" s="99"/>
      <x:c r="W416" s="99"/>
      <x:c r="X416" s="99"/>
      <x:c r="Y416" s="99"/>
      <x:c r="Z416" s="99"/>
    </x:row>
    <x:row r="417">
      <x:c r="A417" s="99"/>
      <x:c r="B417" s="99"/>
      <x:c r="C417" s="99"/>
      <x:c r="D417" s="99"/>
      <x:c r="E417" s="99"/>
      <x:c r="F417" s="99"/>
      <x:c r="G417" s="99"/>
      <x:c r="H417" s="99"/>
      <x:c r="I417" s="99"/>
      <x:c r="J417" s="99"/>
      <x:c r="K417" s="99"/>
      <x:c r="L417" s="99"/>
      <x:c r="M417" s="99"/>
      <x:c r="N417" s="99"/>
      <x:c r="O417" s="99"/>
      <x:c r="P417" s="99"/>
      <x:c r="Q417" s="99"/>
      <x:c r="R417" s="99"/>
      <x:c r="S417" s="99"/>
      <x:c r="T417" s="99"/>
      <x:c r="U417" s="99"/>
      <x:c r="V417" s="99"/>
      <x:c r="W417" s="99"/>
      <x:c r="X417" s="99"/>
      <x:c r="Y417" s="99"/>
      <x:c r="Z417" s="99"/>
    </x:row>
    <x:row r="418">
      <x:c r="A418" s="99"/>
      <x:c r="B418" s="99"/>
      <x:c r="C418" s="99"/>
      <x:c r="D418" s="99"/>
      <x:c r="E418" s="99"/>
      <x:c r="F418" s="99"/>
      <x:c r="G418" s="99"/>
      <x:c r="H418" s="99"/>
      <x:c r="I418" s="99"/>
      <x:c r="J418" s="99"/>
      <x:c r="K418" s="99"/>
      <x:c r="L418" s="99"/>
      <x:c r="M418" s="99"/>
      <x:c r="N418" s="99"/>
      <x:c r="O418" s="99"/>
      <x:c r="P418" s="99"/>
      <x:c r="Q418" s="99"/>
      <x:c r="R418" s="99"/>
      <x:c r="S418" s="99"/>
      <x:c r="T418" s="99"/>
      <x:c r="U418" s="99"/>
      <x:c r="V418" s="99"/>
      <x:c r="W418" s="99"/>
      <x:c r="X418" s="99"/>
      <x:c r="Y418" s="99"/>
      <x:c r="Z418" s="99"/>
    </x:row>
    <x:row r="419">
      <x:c r="A419" s="99"/>
      <x:c r="B419" s="99"/>
      <x:c r="C419" s="99"/>
      <x:c r="D419" s="99"/>
      <x:c r="E419" s="99"/>
      <x:c r="F419" s="99"/>
      <x:c r="G419" s="99"/>
      <x:c r="H419" s="99"/>
      <x:c r="I419" s="99"/>
      <x:c r="J419" s="99"/>
      <x:c r="K419" s="99"/>
      <x:c r="L419" s="99"/>
      <x:c r="M419" s="99"/>
      <x:c r="N419" s="99"/>
      <x:c r="O419" s="99"/>
      <x:c r="P419" s="99"/>
      <x:c r="Q419" s="99"/>
      <x:c r="R419" s="99"/>
      <x:c r="S419" s="99"/>
      <x:c r="T419" s="99"/>
      <x:c r="U419" s="99"/>
      <x:c r="V419" s="99"/>
      <x:c r="W419" s="99"/>
      <x:c r="X419" s="99"/>
      <x:c r="Y419" s="99"/>
      <x:c r="Z419" s="99"/>
    </x:row>
    <x:row r="420">
      <x:c r="A420" s="99"/>
      <x:c r="B420" s="99"/>
      <x:c r="C420" s="99"/>
      <x:c r="D420" s="99"/>
      <x:c r="E420" s="99"/>
      <x:c r="F420" s="99"/>
      <x:c r="G420" s="99"/>
      <x:c r="H420" s="99"/>
      <x:c r="I420" s="99"/>
      <x:c r="J420" s="99"/>
      <x:c r="K420" s="99"/>
      <x:c r="L420" s="99"/>
      <x:c r="M420" s="99"/>
      <x:c r="N420" s="99"/>
      <x:c r="O420" s="99"/>
      <x:c r="P420" s="99"/>
      <x:c r="Q420" s="99"/>
      <x:c r="R420" s="99"/>
      <x:c r="S420" s="99"/>
      <x:c r="T420" s="99"/>
      <x:c r="U420" s="99"/>
      <x:c r="V420" s="99"/>
      <x:c r="W420" s="99"/>
      <x:c r="X420" s="99"/>
      <x:c r="Y420" s="99"/>
      <x:c r="Z420" s="99"/>
    </x:row>
    <x:row r="421">
      <x:c r="A421" s="99"/>
      <x:c r="B421" s="99"/>
      <x:c r="C421" s="99"/>
      <x:c r="D421" s="99"/>
      <x:c r="E421" s="99"/>
      <x:c r="F421" s="99"/>
      <x:c r="G421" s="99"/>
      <x:c r="H421" s="99"/>
      <x:c r="I421" s="99"/>
      <x:c r="J421" s="99"/>
      <x:c r="K421" s="99"/>
      <x:c r="L421" s="99"/>
      <x:c r="M421" s="99"/>
      <x:c r="N421" s="99"/>
      <x:c r="O421" s="99"/>
      <x:c r="P421" s="99"/>
      <x:c r="Q421" s="99"/>
      <x:c r="R421" s="99"/>
      <x:c r="S421" s="99"/>
      <x:c r="T421" s="99"/>
      <x:c r="U421" s="99"/>
      <x:c r="V421" s="99"/>
      <x:c r="W421" s="99"/>
      <x:c r="X421" s="99"/>
      <x:c r="Y421" s="99"/>
      <x:c r="Z421" s="99"/>
    </x:row>
    <x:row r="422">
      <x:c r="A422" s="99"/>
      <x:c r="B422" s="99"/>
      <x:c r="C422" s="99"/>
      <x:c r="D422" s="99"/>
      <x:c r="E422" s="99"/>
      <x:c r="F422" s="99"/>
      <x:c r="G422" s="99"/>
      <x:c r="H422" s="99"/>
      <x:c r="I422" s="99"/>
      <x:c r="J422" s="99"/>
      <x:c r="K422" s="99"/>
      <x:c r="L422" s="99"/>
      <x:c r="M422" s="99"/>
      <x:c r="N422" s="99"/>
      <x:c r="O422" s="99"/>
      <x:c r="P422" s="99"/>
      <x:c r="Q422" s="99"/>
      <x:c r="R422" s="99"/>
      <x:c r="S422" s="99"/>
      <x:c r="T422" s="99"/>
      <x:c r="U422" s="99"/>
      <x:c r="V422" s="99"/>
      <x:c r="W422" s="99"/>
      <x:c r="X422" s="99"/>
      <x:c r="Y422" s="99"/>
      <x:c r="Z422" s="99"/>
    </x:row>
    <x:row r="423">
      <x:c r="A423" s="99"/>
      <x:c r="B423" s="99"/>
      <x:c r="C423" s="99"/>
      <x:c r="D423" s="99"/>
      <x:c r="E423" s="99"/>
      <x:c r="F423" s="99"/>
      <x:c r="G423" s="99"/>
      <x:c r="H423" s="99"/>
      <x:c r="I423" s="99"/>
      <x:c r="J423" s="99"/>
      <x:c r="K423" s="99"/>
      <x:c r="L423" s="99"/>
      <x:c r="M423" s="99"/>
      <x:c r="N423" s="99"/>
      <x:c r="O423" s="99"/>
      <x:c r="P423" s="99"/>
      <x:c r="Q423" s="99"/>
      <x:c r="R423" s="99"/>
      <x:c r="S423" s="99"/>
      <x:c r="T423" s="99"/>
      <x:c r="U423" s="99"/>
      <x:c r="V423" s="99"/>
      <x:c r="W423" s="99"/>
      <x:c r="X423" s="99"/>
      <x:c r="Y423" s="99"/>
      <x:c r="Z423" s="99"/>
    </x:row>
    <x:row r="424">
      <x:c r="A424" s="99"/>
      <x:c r="B424" s="99"/>
      <x:c r="C424" s="99"/>
      <x:c r="D424" s="99"/>
      <x:c r="E424" s="99"/>
      <x:c r="F424" s="99"/>
      <x:c r="G424" s="99"/>
      <x:c r="H424" s="99"/>
      <x:c r="I424" s="99"/>
      <x:c r="J424" s="99"/>
      <x:c r="K424" s="99"/>
      <x:c r="L424" s="99"/>
      <x:c r="M424" s="99"/>
      <x:c r="N424" s="99"/>
      <x:c r="O424" s="99"/>
      <x:c r="P424" s="99"/>
      <x:c r="Q424" s="99"/>
      <x:c r="R424" s="99"/>
      <x:c r="S424" s="99"/>
      <x:c r="T424" s="99"/>
      <x:c r="U424" s="99"/>
      <x:c r="V424" s="99"/>
      <x:c r="W424" s="99"/>
      <x:c r="X424" s="99"/>
      <x:c r="Y424" s="99"/>
      <x:c r="Z424" s="99"/>
    </x:row>
    <x:row r="425">
      <x:c r="A425" s="99"/>
      <x:c r="B425" s="99"/>
      <x:c r="C425" s="99"/>
      <x:c r="D425" s="99"/>
      <x:c r="E425" s="99"/>
      <x:c r="F425" s="99"/>
      <x:c r="G425" s="99"/>
      <x:c r="H425" s="99"/>
      <x:c r="I425" s="99"/>
      <x:c r="J425" s="99"/>
      <x:c r="K425" s="99"/>
      <x:c r="L425" s="99"/>
      <x:c r="M425" s="99"/>
      <x:c r="N425" s="99"/>
      <x:c r="O425" s="99"/>
      <x:c r="P425" s="99"/>
      <x:c r="Q425" s="99"/>
      <x:c r="R425" s="99"/>
      <x:c r="S425" s="99"/>
      <x:c r="T425" s="99"/>
      <x:c r="U425" s="99"/>
      <x:c r="V425" s="99"/>
      <x:c r="W425" s="99"/>
      <x:c r="X425" s="99"/>
      <x:c r="Y425" s="99"/>
      <x:c r="Z425" s="99"/>
    </x:row>
    <x:row r="426">
      <x:c r="A426" s="99"/>
      <x:c r="B426" s="99"/>
      <x:c r="C426" s="99"/>
      <x:c r="D426" s="99"/>
      <x:c r="E426" s="99"/>
      <x:c r="F426" s="99"/>
      <x:c r="G426" s="99"/>
      <x:c r="H426" s="99"/>
      <x:c r="I426" s="99"/>
      <x:c r="J426" s="99"/>
      <x:c r="K426" s="99"/>
      <x:c r="L426" s="99"/>
      <x:c r="M426" s="99"/>
      <x:c r="N426" s="99"/>
      <x:c r="O426" s="99"/>
      <x:c r="P426" s="99"/>
      <x:c r="Q426" s="99"/>
      <x:c r="R426" s="99"/>
      <x:c r="S426" s="99"/>
      <x:c r="T426" s="99"/>
      <x:c r="U426" s="99"/>
      <x:c r="V426" s="99"/>
      <x:c r="W426" s="99"/>
      <x:c r="X426" s="99"/>
      <x:c r="Y426" s="99"/>
      <x:c r="Z426" s="99"/>
    </x:row>
    <x:row r="427">
      <x:c r="A427" s="99"/>
      <x:c r="B427" s="99"/>
      <x:c r="C427" s="99"/>
      <x:c r="D427" s="99"/>
      <x:c r="E427" s="99"/>
      <x:c r="F427" s="99"/>
      <x:c r="G427" s="99"/>
      <x:c r="H427" s="99"/>
      <x:c r="I427" s="99"/>
      <x:c r="J427" s="99"/>
      <x:c r="K427" s="99"/>
      <x:c r="L427" s="99"/>
      <x:c r="M427" s="99"/>
      <x:c r="N427" s="99"/>
      <x:c r="O427" s="99"/>
      <x:c r="P427" s="99"/>
      <x:c r="Q427" s="99"/>
      <x:c r="R427" s="99"/>
      <x:c r="S427" s="99"/>
      <x:c r="T427" s="99"/>
      <x:c r="U427" s="99"/>
      <x:c r="V427" s="99"/>
      <x:c r="W427" s="99"/>
      <x:c r="X427" s="99"/>
      <x:c r="Y427" s="99"/>
      <x:c r="Z427" s="99"/>
    </x:row>
    <x:row r="428">
      <x:c r="A428" s="99"/>
      <x:c r="B428" s="99"/>
      <x:c r="C428" s="99"/>
      <x:c r="D428" s="99"/>
      <x:c r="E428" s="99"/>
      <x:c r="F428" s="99"/>
      <x:c r="G428" s="99"/>
      <x:c r="H428" s="99"/>
      <x:c r="I428" s="99"/>
      <x:c r="J428" s="99"/>
      <x:c r="K428" s="99"/>
      <x:c r="L428" s="99"/>
      <x:c r="M428" s="99"/>
      <x:c r="N428" s="99"/>
      <x:c r="O428" s="99"/>
      <x:c r="P428" s="99"/>
      <x:c r="Q428" s="99"/>
      <x:c r="R428" s="99"/>
      <x:c r="S428" s="99"/>
      <x:c r="T428" s="99"/>
      <x:c r="U428" s="99"/>
      <x:c r="V428" s="99"/>
      <x:c r="W428" s="99"/>
      <x:c r="X428" s="99"/>
      <x:c r="Y428" s="99"/>
      <x:c r="Z428" s="99"/>
    </x:row>
    <x:row r="429">
      <x:c r="A429" s="99"/>
      <x:c r="B429" s="99"/>
      <x:c r="C429" s="99"/>
      <x:c r="D429" s="99"/>
      <x:c r="E429" s="99"/>
      <x:c r="F429" s="99"/>
      <x:c r="G429" s="99"/>
      <x:c r="H429" s="99"/>
      <x:c r="I429" s="99"/>
      <x:c r="J429" s="99"/>
      <x:c r="K429" s="99"/>
      <x:c r="L429" s="99"/>
      <x:c r="M429" s="99"/>
      <x:c r="N429" s="99"/>
      <x:c r="O429" s="99"/>
      <x:c r="P429" s="99"/>
      <x:c r="Q429" s="99"/>
      <x:c r="R429" s="99"/>
      <x:c r="S429" s="99"/>
      <x:c r="T429" s="99"/>
      <x:c r="U429" s="99"/>
      <x:c r="V429" s="99"/>
      <x:c r="W429" s="99"/>
      <x:c r="X429" s="99"/>
      <x:c r="Y429" s="99"/>
      <x:c r="Z429" s="99"/>
    </x:row>
    <x:row r="430">
      <x:c r="A430" s="99"/>
      <x:c r="B430" s="99"/>
      <x:c r="C430" s="99"/>
      <x:c r="D430" s="99"/>
      <x:c r="E430" s="99"/>
      <x:c r="F430" s="99"/>
      <x:c r="G430" s="99"/>
      <x:c r="H430" s="99"/>
      <x:c r="I430" s="99"/>
      <x:c r="J430" s="99"/>
      <x:c r="K430" s="99"/>
      <x:c r="L430" s="99"/>
      <x:c r="M430" s="99"/>
      <x:c r="N430" s="99"/>
      <x:c r="O430" s="99"/>
      <x:c r="P430" s="99"/>
      <x:c r="Q430" s="99"/>
      <x:c r="R430" s="99"/>
      <x:c r="S430" s="99"/>
      <x:c r="T430" s="99"/>
      <x:c r="U430" s="99"/>
      <x:c r="V430" s="99"/>
      <x:c r="W430" s="99"/>
      <x:c r="X430" s="99"/>
      <x:c r="Y430" s="99"/>
      <x:c r="Z430" s="99"/>
    </x:row>
    <x:row r="431">
      <x:c r="A431" s="99"/>
      <x:c r="B431" s="99"/>
      <x:c r="C431" s="99"/>
      <x:c r="D431" s="99"/>
      <x:c r="E431" s="99"/>
      <x:c r="F431" s="99"/>
      <x:c r="G431" s="99"/>
      <x:c r="H431" s="99"/>
      <x:c r="I431" s="99"/>
      <x:c r="J431" s="99"/>
      <x:c r="K431" s="99"/>
      <x:c r="L431" s="99"/>
      <x:c r="M431" s="99"/>
      <x:c r="N431" s="99"/>
      <x:c r="O431" s="99"/>
      <x:c r="P431" s="99"/>
      <x:c r="Q431" s="99"/>
      <x:c r="R431" s="99"/>
      <x:c r="S431" s="99"/>
      <x:c r="T431" s="99"/>
      <x:c r="U431" s="99"/>
      <x:c r="V431" s="99"/>
      <x:c r="W431" s="99"/>
      <x:c r="X431" s="99"/>
      <x:c r="Y431" s="99"/>
      <x:c r="Z431" s="99"/>
    </x:row>
    <x:row r="432">
      <x:c r="A432" s="99"/>
      <x:c r="B432" s="99"/>
      <x:c r="C432" s="99"/>
      <x:c r="D432" s="99"/>
      <x:c r="E432" s="99"/>
      <x:c r="F432" s="99"/>
      <x:c r="G432" s="99"/>
      <x:c r="H432" s="99"/>
      <x:c r="I432" s="99"/>
      <x:c r="J432" s="99"/>
      <x:c r="K432" s="99"/>
      <x:c r="L432" s="99"/>
      <x:c r="M432" s="99"/>
      <x:c r="N432" s="99"/>
      <x:c r="O432" s="99"/>
      <x:c r="P432" s="99"/>
      <x:c r="Q432" s="99"/>
      <x:c r="R432" s="99"/>
      <x:c r="S432" s="99"/>
      <x:c r="T432" s="99"/>
      <x:c r="U432" s="99"/>
      <x:c r="V432" s="99"/>
      <x:c r="W432" s="99"/>
      <x:c r="X432" s="99"/>
      <x:c r="Y432" s="99"/>
      <x:c r="Z432" s="99"/>
    </x:row>
    <x:row r="433">
      <x:c r="A433" s="99"/>
      <x:c r="B433" s="99"/>
      <x:c r="C433" s="99"/>
      <x:c r="D433" s="99"/>
      <x:c r="E433" s="99"/>
      <x:c r="F433" s="99"/>
      <x:c r="G433" s="99"/>
      <x:c r="H433" s="99"/>
      <x:c r="I433" s="99"/>
      <x:c r="J433" s="99"/>
      <x:c r="K433" s="99"/>
      <x:c r="L433" s="99"/>
      <x:c r="M433" s="99"/>
      <x:c r="N433" s="99"/>
      <x:c r="O433" s="99"/>
      <x:c r="P433" s="99"/>
      <x:c r="Q433" s="99"/>
      <x:c r="R433" s="99"/>
      <x:c r="S433" s="99"/>
      <x:c r="T433" s="99"/>
      <x:c r="U433" s="99"/>
      <x:c r="V433" s="99"/>
      <x:c r="W433" s="99"/>
      <x:c r="X433" s="99"/>
      <x:c r="Y433" s="99"/>
      <x:c r="Z433" s="99"/>
    </x:row>
    <x:row r="434">
      <x:c r="A434" s="99"/>
      <x:c r="B434" s="99"/>
      <x:c r="C434" s="99"/>
      <x:c r="D434" s="99"/>
      <x:c r="E434" s="99"/>
      <x:c r="F434" s="99"/>
      <x:c r="G434" s="99"/>
      <x:c r="H434" s="99"/>
      <x:c r="I434" s="99"/>
      <x:c r="J434" s="99"/>
      <x:c r="K434" s="99"/>
      <x:c r="L434" s="99"/>
      <x:c r="M434" s="99"/>
      <x:c r="N434" s="99"/>
      <x:c r="O434" s="99"/>
      <x:c r="P434" s="99"/>
      <x:c r="Q434" s="99"/>
      <x:c r="R434" s="99"/>
      <x:c r="S434" s="99"/>
      <x:c r="T434" s="99"/>
      <x:c r="U434" s="99"/>
      <x:c r="V434" s="99"/>
      <x:c r="W434" s="99"/>
      <x:c r="X434" s="99"/>
      <x:c r="Y434" s="99"/>
      <x:c r="Z434" s="99"/>
    </x:row>
    <x:row r="435">
      <x:c r="A435" s="99"/>
      <x:c r="B435" s="99"/>
      <x:c r="C435" s="99"/>
      <x:c r="D435" s="99"/>
      <x:c r="E435" s="99"/>
      <x:c r="F435" s="99"/>
      <x:c r="G435" s="99"/>
      <x:c r="H435" s="99"/>
      <x:c r="I435" s="99"/>
      <x:c r="J435" s="99"/>
      <x:c r="K435" s="99"/>
      <x:c r="L435" s="99"/>
      <x:c r="M435" s="99"/>
      <x:c r="N435" s="99"/>
      <x:c r="O435" s="99"/>
      <x:c r="P435" s="99"/>
      <x:c r="Q435" s="99"/>
      <x:c r="R435" s="99"/>
      <x:c r="S435" s="99"/>
      <x:c r="T435" s="99"/>
      <x:c r="U435" s="99"/>
      <x:c r="V435" s="99"/>
      <x:c r="W435" s="99"/>
      <x:c r="X435" s="99"/>
      <x:c r="Y435" s="99"/>
      <x:c r="Z435" s="99"/>
    </x:row>
    <x:row r="436">
      <x:c r="A436" s="99"/>
      <x:c r="B436" s="99"/>
      <x:c r="C436" s="99"/>
      <x:c r="D436" s="99"/>
      <x:c r="E436" s="99"/>
      <x:c r="F436" s="99"/>
      <x:c r="G436" s="99"/>
      <x:c r="H436" s="99"/>
      <x:c r="I436" s="99"/>
      <x:c r="J436" s="99"/>
      <x:c r="K436" s="99"/>
      <x:c r="L436" s="99"/>
      <x:c r="M436" s="99"/>
      <x:c r="N436" s="99"/>
      <x:c r="O436" s="99"/>
      <x:c r="P436" s="99"/>
      <x:c r="Q436" s="99"/>
      <x:c r="R436" s="99"/>
      <x:c r="S436" s="99"/>
      <x:c r="T436" s="99"/>
      <x:c r="U436" s="99"/>
      <x:c r="V436" s="99"/>
      <x:c r="W436" s="99"/>
      <x:c r="X436" s="99"/>
      <x:c r="Y436" s="99"/>
      <x:c r="Z436" s="99"/>
    </x:row>
    <x:row r="437">
      <x:c r="A437" s="99"/>
      <x:c r="B437" s="99"/>
      <x:c r="C437" s="99"/>
      <x:c r="D437" s="99"/>
      <x:c r="E437" s="99"/>
      <x:c r="F437" s="99"/>
      <x:c r="G437" s="99"/>
      <x:c r="H437" s="99"/>
      <x:c r="I437" s="99"/>
      <x:c r="J437" s="99"/>
      <x:c r="K437" s="99"/>
      <x:c r="L437" s="99"/>
      <x:c r="M437" s="99"/>
      <x:c r="N437" s="99"/>
      <x:c r="O437" s="99"/>
      <x:c r="P437" s="99"/>
      <x:c r="Q437" s="99"/>
      <x:c r="R437" s="99"/>
      <x:c r="S437" s="99"/>
      <x:c r="T437" s="99"/>
      <x:c r="U437" s="99"/>
      <x:c r="V437" s="99"/>
      <x:c r="W437" s="99"/>
      <x:c r="X437" s="99"/>
      <x:c r="Y437" s="99"/>
      <x:c r="Z437" s="99"/>
    </x:row>
    <x:row r="438">
      <x:c r="A438" s="99"/>
      <x:c r="B438" s="99"/>
      <x:c r="C438" s="99"/>
      <x:c r="D438" s="99"/>
      <x:c r="E438" s="99"/>
      <x:c r="F438" s="99"/>
      <x:c r="G438" s="99"/>
      <x:c r="H438" s="99"/>
      <x:c r="I438" s="99"/>
      <x:c r="J438" s="99"/>
      <x:c r="K438" s="99"/>
      <x:c r="L438" s="99"/>
      <x:c r="M438" s="99"/>
      <x:c r="N438" s="99"/>
      <x:c r="O438" s="99"/>
      <x:c r="P438" s="99"/>
      <x:c r="Q438" s="99"/>
      <x:c r="R438" s="99"/>
      <x:c r="S438" s="99"/>
      <x:c r="T438" s="99"/>
      <x:c r="U438" s="99"/>
      <x:c r="V438" s="99"/>
      <x:c r="W438" s="99"/>
      <x:c r="X438" s="99"/>
      <x:c r="Y438" s="99"/>
      <x:c r="Z438" s="99"/>
    </x:row>
    <x:row r="439">
      <x:c r="A439" s="99"/>
      <x:c r="B439" s="99"/>
      <x:c r="C439" s="99"/>
      <x:c r="D439" s="99"/>
      <x:c r="E439" s="99"/>
      <x:c r="F439" s="99"/>
      <x:c r="G439" s="99"/>
      <x:c r="H439" s="99"/>
      <x:c r="I439" s="99"/>
      <x:c r="J439" s="99"/>
      <x:c r="K439" s="99"/>
      <x:c r="L439" s="99"/>
      <x:c r="M439" s="99"/>
      <x:c r="N439" s="99"/>
      <x:c r="O439" s="99"/>
      <x:c r="P439" s="99"/>
      <x:c r="Q439" s="99"/>
      <x:c r="R439" s="99"/>
      <x:c r="S439" s="99"/>
      <x:c r="T439" s="99"/>
      <x:c r="U439" s="99"/>
      <x:c r="V439" s="99"/>
      <x:c r="W439" s="99"/>
      <x:c r="X439" s="99"/>
      <x:c r="Y439" s="99"/>
      <x:c r="Z439" s="99"/>
    </x:row>
    <x:row r="440">
      <x:c r="A440" s="99"/>
      <x:c r="B440" s="99"/>
      <x:c r="C440" s="99"/>
      <x:c r="D440" s="99"/>
      <x:c r="E440" s="99"/>
      <x:c r="F440" s="99"/>
      <x:c r="G440" s="99"/>
      <x:c r="H440" s="99"/>
      <x:c r="I440" s="99"/>
      <x:c r="J440" s="99"/>
      <x:c r="K440" s="99"/>
      <x:c r="L440" s="99"/>
      <x:c r="M440" s="99"/>
      <x:c r="N440" s="99"/>
      <x:c r="O440" s="99"/>
      <x:c r="P440" s="99"/>
      <x:c r="Q440" s="99"/>
      <x:c r="R440" s="99"/>
      <x:c r="S440" s="99"/>
      <x:c r="T440" s="99"/>
      <x:c r="U440" s="99"/>
      <x:c r="V440" s="99"/>
      <x:c r="W440" s="99"/>
      <x:c r="X440" s="99"/>
      <x:c r="Y440" s="99"/>
      <x:c r="Z440" s="99"/>
    </x:row>
    <x:row r="441">
      <x:c r="A441" s="99"/>
      <x:c r="B441" s="99"/>
      <x:c r="C441" s="99"/>
      <x:c r="D441" s="99"/>
      <x:c r="E441" s="99"/>
      <x:c r="F441" s="99"/>
      <x:c r="G441" s="99"/>
      <x:c r="H441" s="99"/>
      <x:c r="I441" s="99"/>
      <x:c r="J441" s="99"/>
      <x:c r="K441" s="99"/>
      <x:c r="L441" s="99"/>
      <x:c r="M441" s="99"/>
      <x:c r="N441" s="99"/>
      <x:c r="O441" s="99"/>
      <x:c r="P441" s="99"/>
      <x:c r="Q441" s="99"/>
      <x:c r="R441" s="99"/>
      <x:c r="S441" s="99"/>
      <x:c r="T441" s="99"/>
      <x:c r="U441" s="99"/>
      <x:c r="V441" s="99"/>
      <x:c r="W441" s="99"/>
      <x:c r="X441" s="99"/>
      <x:c r="Y441" s="99"/>
      <x:c r="Z441" s="99"/>
    </x:row>
    <x:row r="442">
      <x:c r="A442" s="99"/>
      <x:c r="B442" s="99"/>
      <x:c r="C442" s="99"/>
      <x:c r="D442" s="99"/>
      <x:c r="E442" s="99"/>
      <x:c r="F442" s="99"/>
      <x:c r="G442" s="99"/>
      <x:c r="H442" s="99"/>
      <x:c r="I442" s="99"/>
      <x:c r="J442" s="99"/>
      <x:c r="K442" s="99"/>
      <x:c r="L442" s="99"/>
      <x:c r="M442" s="99"/>
      <x:c r="N442" s="99"/>
      <x:c r="O442" s="99"/>
      <x:c r="P442" s="99"/>
      <x:c r="Q442" s="99"/>
      <x:c r="R442" s="99"/>
      <x:c r="S442" s="99"/>
      <x:c r="T442" s="99"/>
      <x:c r="U442" s="99"/>
      <x:c r="V442" s="99"/>
      <x:c r="W442" s="99"/>
      <x:c r="X442" s="99"/>
      <x:c r="Y442" s="99"/>
      <x:c r="Z442" s="99"/>
    </x:row>
    <x:row r="443">
      <x:c r="A443" s="99"/>
      <x:c r="B443" s="99"/>
      <x:c r="C443" s="99"/>
      <x:c r="D443" s="99"/>
      <x:c r="E443" s="99"/>
      <x:c r="F443" s="99"/>
      <x:c r="G443" s="99"/>
      <x:c r="H443" s="99"/>
      <x:c r="I443" s="99"/>
      <x:c r="J443" s="99"/>
      <x:c r="K443" s="99"/>
      <x:c r="L443" s="99"/>
      <x:c r="M443" s="99"/>
      <x:c r="N443" s="99"/>
      <x:c r="O443" s="99"/>
      <x:c r="P443" s="99"/>
      <x:c r="Q443" s="99"/>
      <x:c r="R443" s="99"/>
      <x:c r="S443" s="99"/>
      <x:c r="T443" s="99"/>
      <x:c r="U443" s="99"/>
      <x:c r="V443" s="99"/>
      <x:c r="W443" s="99"/>
      <x:c r="X443" s="99"/>
      <x:c r="Y443" s="99"/>
      <x:c r="Z443" s="99"/>
    </x:row>
    <x:row r="444">
      <x:c r="A444" s="99"/>
      <x:c r="B444" s="99"/>
      <x:c r="C444" s="99"/>
      <x:c r="D444" s="99"/>
      <x:c r="E444" s="99"/>
      <x:c r="F444" s="99"/>
      <x:c r="G444" s="99"/>
      <x:c r="H444" s="99"/>
      <x:c r="I444" s="99"/>
      <x:c r="J444" s="99"/>
      <x:c r="K444" s="99"/>
      <x:c r="L444" s="99"/>
      <x:c r="M444" s="99"/>
      <x:c r="N444" s="99"/>
      <x:c r="O444" s="99"/>
      <x:c r="P444" s="99"/>
      <x:c r="Q444" s="99"/>
      <x:c r="R444" s="99"/>
      <x:c r="S444" s="99"/>
      <x:c r="T444" s="99"/>
      <x:c r="U444" s="99"/>
      <x:c r="V444" s="99"/>
      <x:c r="W444" s="99"/>
      <x:c r="X444" s="99"/>
      <x:c r="Y444" s="99"/>
      <x:c r="Z444" s="99"/>
    </x:row>
    <x:row r="445">
      <x:c r="A445" s="99"/>
      <x:c r="B445" s="99"/>
      <x:c r="C445" s="99"/>
      <x:c r="D445" s="99"/>
      <x:c r="E445" s="99"/>
      <x:c r="F445" s="99"/>
      <x:c r="G445" s="99"/>
      <x:c r="H445" s="99"/>
      <x:c r="I445" s="99"/>
      <x:c r="J445" s="99"/>
      <x:c r="K445" s="99"/>
      <x:c r="L445" s="99"/>
      <x:c r="M445" s="99"/>
      <x:c r="N445" s="99"/>
      <x:c r="O445" s="99"/>
      <x:c r="P445" s="99"/>
      <x:c r="Q445" s="99"/>
      <x:c r="R445" s="99"/>
      <x:c r="S445" s="99"/>
      <x:c r="T445" s="99"/>
      <x:c r="U445" s="99"/>
      <x:c r="V445" s="99"/>
      <x:c r="W445" s="99"/>
      <x:c r="X445" s="99"/>
      <x:c r="Y445" s="99"/>
      <x:c r="Z445" s="99"/>
    </x:row>
    <x:row r="446">
      <x:c r="A446" s="99"/>
      <x:c r="B446" s="99"/>
      <x:c r="C446" s="99"/>
      <x:c r="D446" s="99"/>
      <x:c r="E446" s="99"/>
      <x:c r="F446" s="99"/>
      <x:c r="G446" s="99"/>
      <x:c r="H446" s="99"/>
      <x:c r="I446" s="99"/>
      <x:c r="J446" s="99"/>
      <x:c r="K446" s="99"/>
      <x:c r="L446" s="99"/>
      <x:c r="M446" s="99"/>
      <x:c r="N446" s="99"/>
      <x:c r="O446" s="99"/>
      <x:c r="P446" s="99"/>
      <x:c r="Q446" s="99"/>
      <x:c r="R446" s="99"/>
      <x:c r="S446" s="99"/>
      <x:c r="T446" s="99"/>
      <x:c r="U446" s="99"/>
      <x:c r="V446" s="99"/>
      <x:c r="W446" s="99"/>
      <x:c r="X446" s="99"/>
      <x:c r="Y446" s="99"/>
      <x:c r="Z446" s="99"/>
    </x:row>
    <x:row r="447">
      <x:c r="A447" s="99"/>
      <x:c r="B447" s="99"/>
      <x:c r="C447" s="99"/>
      <x:c r="D447" s="99"/>
      <x:c r="E447" s="99"/>
      <x:c r="F447" s="99"/>
      <x:c r="G447" s="99"/>
      <x:c r="H447" s="99"/>
      <x:c r="I447" s="99"/>
      <x:c r="J447" s="99"/>
      <x:c r="K447" s="99"/>
      <x:c r="L447" s="99"/>
      <x:c r="M447" s="99"/>
      <x:c r="N447" s="99"/>
      <x:c r="O447" s="99"/>
      <x:c r="P447" s="99"/>
      <x:c r="Q447" s="99"/>
      <x:c r="R447" s="99"/>
      <x:c r="S447" s="99"/>
      <x:c r="T447" s="99"/>
      <x:c r="U447" s="99"/>
      <x:c r="V447" s="99"/>
      <x:c r="W447" s="99"/>
      <x:c r="X447" s="99"/>
      <x:c r="Y447" s="99"/>
      <x:c r="Z447" s="99"/>
    </x:row>
    <x:row r="448">
      <x:c r="A448" s="99"/>
      <x:c r="B448" s="99"/>
      <x:c r="C448" s="99"/>
      <x:c r="D448" s="99"/>
      <x:c r="E448" s="99"/>
      <x:c r="F448" s="99"/>
      <x:c r="G448" s="99"/>
      <x:c r="H448" s="99"/>
      <x:c r="I448" s="99"/>
      <x:c r="J448" s="99"/>
      <x:c r="K448" s="99"/>
      <x:c r="L448" s="99"/>
      <x:c r="M448" s="99"/>
      <x:c r="N448" s="99"/>
      <x:c r="O448" s="99"/>
      <x:c r="P448" s="99"/>
      <x:c r="Q448" s="99"/>
      <x:c r="R448" s="99"/>
      <x:c r="S448" s="99"/>
      <x:c r="T448" s="99"/>
      <x:c r="U448" s="99"/>
      <x:c r="V448" s="99"/>
      <x:c r="W448" s="99"/>
      <x:c r="X448" s="99"/>
      <x:c r="Y448" s="99"/>
      <x:c r="Z448" s="99"/>
    </x:row>
    <x:row r="449">
      <x:c r="A449" s="99"/>
      <x:c r="B449" s="99"/>
      <x:c r="C449" s="99"/>
      <x:c r="D449" s="99"/>
      <x:c r="E449" s="99"/>
      <x:c r="F449" s="99"/>
      <x:c r="G449" s="99"/>
      <x:c r="H449" s="99"/>
      <x:c r="I449" s="99"/>
      <x:c r="J449" s="99"/>
      <x:c r="K449" s="99"/>
      <x:c r="L449" s="99"/>
      <x:c r="M449" s="99"/>
      <x:c r="N449" s="99"/>
      <x:c r="O449" s="99"/>
      <x:c r="P449" s="99"/>
      <x:c r="Q449" s="99"/>
      <x:c r="R449" s="99"/>
      <x:c r="S449" s="99"/>
      <x:c r="T449" s="99"/>
      <x:c r="U449" s="99"/>
      <x:c r="V449" s="99"/>
      <x:c r="W449" s="99"/>
      <x:c r="X449" s="99"/>
      <x:c r="Y449" s="99"/>
      <x:c r="Z449" s="99"/>
    </x:row>
    <x:row r="450">
      <x:c r="A450" s="99"/>
      <x:c r="B450" s="99"/>
      <x:c r="C450" s="99"/>
      <x:c r="D450" s="99"/>
      <x:c r="E450" s="99"/>
      <x:c r="F450" s="99"/>
      <x:c r="G450" s="99"/>
      <x:c r="H450" s="99"/>
      <x:c r="I450" s="99"/>
      <x:c r="J450" s="99"/>
      <x:c r="K450" s="99"/>
      <x:c r="L450" s="99"/>
      <x:c r="M450" s="99"/>
      <x:c r="N450" s="99"/>
      <x:c r="O450" s="99"/>
      <x:c r="P450" s="99"/>
      <x:c r="Q450" s="99"/>
      <x:c r="R450" s="99"/>
      <x:c r="S450" s="99"/>
      <x:c r="T450" s="99"/>
      <x:c r="U450" s="99"/>
      <x:c r="V450" s="99"/>
      <x:c r="W450" s="99"/>
      <x:c r="X450" s="99"/>
      <x:c r="Y450" s="99"/>
      <x:c r="Z450" s="99"/>
    </x:row>
    <x:row r="451">
      <x:c r="A451" s="99"/>
      <x:c r="B451" s="99"/>
      <x:c r="C451" s="99"/>
      <x:c r="D451" s="99"/>
      <x:c r="E451" s="99"/>
      <x:c r="F451" s="99"/>
      <x:c r="G451" s="99"/>
      <x:c r="H451" s="99"/>
      <x:c r="I451" s="99"/>
      <x:c r="J451" s="99"/>
      <x:c r="K451" s="99"/>
      <x:c r="L451" s="99"/>
      <x:c r="M451" s="99"/>
      <x:c r="N451" s="99"/>
      <x:c r="O451" s="99"/>
      <x:c r="P451" s="99"/>
      <x:c r="Q451" s="99"/>
      <x:c r="R451" s="99"/>
      <x:c r="S451" s="99"/>
      <x:c r="T451" s="99"/>
      <x:c r="U451" s="99"/>
      <x:c r="V451" s="99"/>
      <x:c r="W451" s="99"/>
      <x:c r="X451" s="99"/>
      <x:c r="Y451" s="99"/>
      <x:c r="Z451" s="99"/>
    </x:row>
    <x:row r="452">
      <x:c r="A452" s="99"/>
      <x:c r="B452" s="99"/>
      <x:c r="C452" s="99"/>
      <x:c r="D452" s="99"/>
      <x:c r="E452" s="99"/>
      <x:c r="F452" s="99"/>
      <x:c r="G452" s="99"/>
      <x:c r="H452" s="99"/>
      <x:c r="I452" s="99"/>
      <x:c r="J452" s="99"/>
      <x:c r="K452" s="99"/>
      <x:c r="L452" s="99"/>
      <x:c r="M452" s="99"/>
      <x:c r="N452" s="99"/>
      <x:c r="O452" s="99"/>
      <x:c r="P452" s="99"/>
      <x:c r="Q452" s="99"/>
      <x:c r="R452" s="99"/>
      <x:c r="S452" s="99"/>
      <x:c r="T452" s="99"/>
      <x:c r="U452" s="99"/>
      <x:c r="V452" s="99"/>
      <x:c r="W452" s="99"/>
      <x:c r="X452" s="99"/>
      <x:c r="Y452" s="99"/>
      <x:c r="Z452" s="99"/>
    </x:row>
    <x:row r="453">
      <x:c r="A453" s="99"/>
      <x:c r="B453" s="99"/>
      <x:c r="C453" s="99"/>
      <x:c r="D453" s="99"/>
      <x:c r="E453" s="99"/>
      <x:c r="F453" s="99"/>
      <x:c r="G453" s="99"/>
      <x:c r="H453" s="99"/>
      <x:c r="I453" s="99"/>
      <x:c r="J453" s="99"/>
      <x:c r="K453" s="99"/>
      <x:c r="L453" s="99"/>
      <x:c r="M453" s="99"/>
      <x:c r="N453" s="99"/>
      <x:c r="O453" s="99"/>
      <x:c r="P453" s="99"/>
      <x:c r="Q453" s="99"/>
      <x:c r="R453" s="99"/>
      <x:c r="S453" s="99"/>
      <x:c r="T453" s="99"/>
      <x:c r="U453" s="99"/>
      <x:c r="V453" s="99"/>
      <x:c r="W453" s="99"/>
      <x:c r="X453" s="99"/>
      <x:c r="Y453" s="99"/>
      <x:c r="Z453" s="99"/>
    </x:row>
    <x:row r="454">
      <x:c r="A454" s="99"/>
      <x:c r="B454" s="99"/>
      <x:c r="C454" s="99"/>
      <x:c r="D454" s="99"/>
      <x:c r="E454" s="99"/>
      <x:c r="F454" s="99"/>
      <x:c r="G454" s="99"/>
      <x:c r="H454" s="99"/>
      <x:c r="I454" s="99"/>
      <x:c r="J454" s="99"/>
      <x:c r="K454" s="99"/>
      <x:c r="L454" s="99"/>
      <x:c r="M454" s="99"/>
      <x:c r="N454" s="99"/>
      <x:c r="O454" s="99"/>
      <x:c r="P454" s="99"/>
      <x:c r="Q454" s="99"/>
      <x:c r="R454" s="99"/>
      <x:c r="S454" s="99"/>
      <x:c r="T454" s="99"/>
      <x:c r="U454" s="99"/>
      <x:c r="V454" s="99"/>
      <x:c r="W454" s="99"/>
      <x:c r="X454" s="99"/>
      <x:c r="Y454" s="99"/>
      <x:c r="Z454" s="99"/>
    </x:row>
    <x:row r="455">
      <x:c r="A455" s="99"/>
      <x:c r="B455" s="99"/>
      <x:c r="C455" s="99"/>
      <x:c r="D455" s="99"/>
      <x:c r="E455" s="99"/>
      <x:c r="F455" s="99"/>
      <x:c r="G455" s="99"/>
      <x:c r="H455" s="99"/>
      <x:c r="I455" s="99"/>
      <x:c r="J455" s="99"/>
      <x:c r="K455" s="99"/>
      <x:c r="L455" s="99"/>
      <x:c r="M455" s="99"/>
      <x:c r="N455" s="99"/>
      <x:c r="O455" s="99"/>
      <x:c r="P455" s="99"/>
      <x:c r="Q455" s="99"/>
      <x:c r="R455" s="99"/>
      <x:c r="S455" s="99"/>
      <x:c r="T455" s="99"/>
      <x:c r="U455" s="99"/>
      <x:c r="V455" s="99"/>
      <x:c r="W455" s="99"/>
      <x:c r="X455" s="99"/>
      <x:c r="Y455" s="99"/>
      <x:c r="Z455" s="99"/>
    </x:row>
    <x:row r="456">
      <x:c r="A456" s="99"/>
      <x:c r="B456" s="99"/>
      <x:c r="C456" s="99"/>
      <x:c r="D456" s="99"/>
      <x:c r="E456" s="99"/>
      <x:c r="F456" s="99"/>
      <x:c r="G456" s="99"/>
      <x:c r="H456" s="99"/>
      <x:c r="I456" s="99"/>
      <x:c r="J456" s="99"/>
      <x:c r="K456" s="99"/>
      <x:c r="L456" s="99"/>
      <x:c r="M456" s="99"/>
      <x:c r="N456" s="99"/>
      <x:c r="O456" s="99"/>
      <x:c r="P456" s="99"/>
      <x:c r="Q456" s="99"/>
      <x:c r="R456" s="99"/>
      <x:c r="S456" s="99"/>
      <x:c r="T456" s="99"/>
      <x:c r="U456" s="99"/>
      <x:c r="V456" s="99"/>
      <x:c r="W456" s="99"/>
      <x:c r="X456" s="99"/>
      <x:c r="Y456" s="99"/>
      <x:c r="Z456" s="99"/>
    </x:row>
    <x:row r="457">
      <x:c r="A457" s="99"/>
      <x:c r="B457" s="99"/>
      <x:c r="C457" s="99"/>
      <x:c r="D457" s="99"/>
      <x:c r="E457" s="99"/>
      <x:c r="F457" s="99"/>
      <x:c r="G457" s="99"/>
      <x:c r="H457" s="99"/>
      <x:c r="I457" s="99"/>
      <x:c r="J457" s="99"/>
      <x:c r="K457" s="99"/>
      <x:c r="L457" s="99"/>
      <x:c r="M457" s="99"/>
      <x:c r="N457" s="99"/>
      <x:c r="O457" s="99"/>
      <x:c r="P457" s="99"/>
      <x:c r="Q457" s="99"/>
      <x:c r="R457" s="99"/>
      <x:c r="S457" s="99"/>
      <x:c r="T457" s="99"/>
      <x:c r="U457" s="99"/>
      <x:c r="V457" s="99"/>
      <x:c r="W457" s="99"/>
      <x:c r="X457" s="99"/>
      <x:c r="Y457" s="99"/>
      <x:c r="Z457" s="99"/>
    </x:row>
    <x:row r="458">
      <x:c r="A458" s="99"/>
      <x:c r="B458" s="99"/>
      <x:c r="C458" s="99"/>
      <x:c r="D458" s="99"/>
      <x:c r="E458" s="99"/>
      <x:c r="F458" s="99"/>
      <x:c r="G458" s="99"/>
      <x:c r="H458" s="99"/>
      <x:c r="I458" s="99"/>
      <x:c r="J458" s="99"/>
      <x:c r="K458" s="99"/>
      <x:c r="L458" s="99"/>
      <x:c r="M458" s="99"/>
      <x:c r="N458" s="99"/>
      <x:c r="O458" s="99"/>
      <x:c r="P458" s="99"/>
      <x:c r="Q458" s="99"/>
      <x:c r="R458" s="99"/>
      <x:c r="S458" s="99"/>
      <x:c r="T458" s="99"/>
      <x:c r="U458" s="99"/>
      <x:c r="V458" s="99"/>
      <x:c r="W458" s="99"/>
      <x:c r="X458" s="99"/>
      <x:c r="Y458" s="99"/>
      <x:c r="Z458" s="99"/>
    </x:row>
    <x:row r="459">
      <x:c r="A459" s="99"/>
      <x:c r="B459" s="99"/>
      <x:c r="C459" s="99"/>
      <x:c r="D459" s="99"/>
      <x:c r="E459" s="99"/>
      <x:c r="F459" s="99"/>
      <x:c r="G459" s="99"/>
      <x:c r="H459" s="99"/>
      <x:c r="I459" s="99"/>
      <x:c r="J459" s="99"/>
      <x:c r="K459" s="99"/>
      <x:c r="L459" s="99"/>
      <x:c r="M459" s="99"/>
      <x:c r="N459" s="99"/>
      <x:c r="O459" s="99"/>
      <x:c r="P459" s="99"/>
      <x:c r="Q459" s="99"/>
      <x:c r="R459" s="99"/>
      <x:c r="S459" s="99"/>
      <x:c r="T459" s="99"/>
      <x:c r="U459" s="99"/>
      <x:c r="V459" s="99"/>
      <x:c r="W459" s="99"/>
      <x:c r="X459" s="99"/>
      <x:c r="Y459" s="99"/>
      <x:c r="Z459" s="99"/>
    </x:row>
    <x:row r="460">
      <x:c r="A460" s="99"/>
      <x:c r="B460" s="99"/>
      <x:c r="C460" s="99"/>
      <x:c r="D460" s="99"/>
      <x:c r="E460" s="99"/>
      <x:c r="F460" s="99"/>
      <x:c r="G460" s="99"/>
      <x:c r="H460" s="99"/>
      <x:c r="I460" s="99"/>
      <x:c r="J460" s="99"/>
      <x:c r="K460" s="99"/>
      <x:c r="L460" s="99"/>
      <x:c r="M460" s="99"/>
      <x:c r="N460" s="99"/>
      <x:c r="O460" s="99"/>
      <x:c r="P460" s="99"/>
      <x:c r="Q460" s="99"/>
      <x:c r="R460" s="99"/>
      <x:c r="S460" s="99"/>
      <x:c r="T460" s="99"/>
      <x:c r="U460" s="99"/>
      <x:c r="V460" s="99"/>
      <x:c r="W460" s="99"/>
      <x:c r="X460" s="99"/>
      <x:c r="Y460" s="99"/>
      <x:c r="Z460" s="99"/>
    </x:row>
    <x:row r="461">
      <x:c r="A461" s="99"/>
      <x:c r="B461" s="99"/>
      <x:c r="C461" s="99"/>
      <x:c r="D461" s="99"/>
      <x:c r="E461" s="99"/>
      <x:c r="F461" s="99"/>
      <x:c r="G461" s="99"/>
      <x:c r="H461" s="99"/>
      <x:c r="I461" s="99"/>
      <x:c r="J461" s="99"/>
      <x:c r="K461" s="99"/>
      <x:c r="L461" s="99"/>
      <x:c r="M461" s="99"/>
      <x:c r="N461" s="99"/>
      <x:c r="O461" s="99"/>
      <x:c r="P461" s="99"/>
      <x:c r="Q461" s="99"/>
      <x:c r="R461" s="99"/>
      <x:c r="S461" s="99"/>
      <x:c r="T461" s="99"/>
      <x:c r="U461" s="99"/>
      <x:c r="V461" s="99"/>
      <x:c r="W461" s="99"/>
      <x:c r="X461" s="99"/>
      <x:c r="Y461" s="99"/>
      <x:c r="Z461" s="99"/>
    </x:row>
    <x:row r="462">
      <x:c r="A462" s="99"/>
      <x:c r="B462" s="99"/>
      <x:c r="C462" s="99"/>
      <x:c r="D462" s="99"/>
      <x:c r="E462" s="99"/>
      <x:c r="F462" s="99"/>
      <x:c r="G462" s="99"/>
      <x:c r="H462" s="99"/>
      <x:c r="I462" s="99"/>
      <x:c r="J462" s="99"/>
      <x:c r="K462" s="99"/>
      <x:c r="L462" s="99"/>
      <x:c r="M462" s="99"/>
      <x:c r="N462" s="99"/>
      <x:c r="O462" s="99"/>
      <x:c r="P462" s="99"/>
      <x:c r="Q462" s="99"/>
      <x:c r="R462" s="99"/>
      <x:c r="S462" s="99"/>
      <x:c r="T462" s="99"/>
      <x:c r="U462" s="99"/>
      <x:c r="V462" s="99"/>
      <x:c r="W462" s="99"/>
      <x:c r="X462" s="99"/>
      <x:c r="Y462" s="99"/>
      <x:c r="Z462" s="99"/>
    </x:row>
    <x:row r="463">
      <x:c r="A463" s="99"/>
      <x:c r="B463" s="99"/>
      <x:c r="C463" s="99"/>
      <x:c r="D463" s="99"/>
      <x:c r="E463" s="99"/>
      <x:c r="F463" s="99"/>
      <x:c r="G463" s="99"/>
      <x:c r="H463" s="99"/>
      <x:c r="I463" s="99"/>
      <x:c r="J463" s="99"/>
      <x:c r="K463" s="99"/>
      <x:c r="L463" s="99"/>
      <x:c r="M463" s="99"/>
      <x:c r="N463" s="99"/>
      <x:c r="O463" s="99"/>
      <x:c r="P463" s="99"/>
      <x:c r="Q463" s="99"/>
      <x:c r="R463" s="99"/>
      <x:c r="S463" s="99"/>
      <x:c r="T463" s="99"/>
      <x:c r="U463" s="99"/>
      <x:c r="V463" s="99"/>
      <x:c r="W463" s="99"/>
      <x:c r="X463" s="99"/>
      <x:c r="Y463" s="99"/>
      <x:c r="Z463" s="99"/>
    </x:row>
    <x:row r="464">
      <x:c r="A464" s="99"/>
      <x:c r="B464" s="99"/>
      <x:c r="C464" s="99"/>
      <x:c r="D464" s="99"/>
      <x:c r="E464" s="99"/>
      <x:c r="F464" s="99"/>
      <x:c r="G464" s="99"/>
      <x:c r="H464" s="99"/>
      <x:c r="I464" s="99"/>
      <x:c r="J464" s="99"/>
      <x:c r="K464" s="99"/>
      <x:c r="L464" s="99"/>
      <x:c r="M464" s="99"/>
      <x:c r="N464" s="99"/>
      <x:c r="O464" s="99"/>
      <x:c r="P464" s="99"/>
      <x:c r="Q464" s="99"/>
      <x:c r="R464" s="99"/>
      <x:c r="S464" s="99"/>
      <x:c r="T464" s="99"/>
      <x:c r="U464" s="99"/>
      <x:c r="V464" s="99"/>
      <x:c r="W464" s="99"/>
      <x:c r="X464" s="99"/>
      <x:c r="Y464" s="99"/>
      <x:c r="Z464" s="99"/>
    </x:row>
    <x:row r="465">
      <x:c r="A465" s="99"/>
      <x:c r="B465" s="99"/>
      <x:c r="C465" s="99"/>
      <x:c r="D465" s="99"/>
      <x:c r="E465" s="99"/>
      <x:c r="F465" s="99"/>
      <x:c r="G465" s="99"/>
      <x:c r="H465" s="99"/>
      <x:c r="I465" s="99"/>
      <x:c r="J465" s="99"/>
      <x:c r="K465" s="99"/>
      <x:c r="L465" s="99"/>
      <x:c r="M465" s="99"/>
      <x:c r="N465" s="99"/>
      <x:c r="O465" s="99"/>
      <x:c r="P465" s="99"/>
      <x:c r="Q465" s="99"/>
      <x:c r="R465" s="99"/>
      <x:c r="S465" s="99"/>
      <x:c r="T465" s="99"/>
      <x:c r="U465" s="99"/>
      <x:c r="V465" s="99"/>
      <x:c r="W465" s="99"/>
      <x:c r="X465" s="99"/>
      <x:c r="Y465" s="99"/>
      <x:c r="Z465" s="99"/>
    </x:row>
    <x:row r="466">
      <x:c r="A466" s="99"/>
      <x:c r="B466" s="99"/>
      <x:c r="C466" s="99"/>
      <x:c r="D466" s="99"/>
      <x:c r="E466" s="99"/>
      <x:c r="F466" s="99"/>
      <x:c r="G466" s="99"/>
      <x:c r="H466" s="99"/>
      <x:c r="I466" s="99"/>
      <x:c r="J466" s="99"/>
      <x:c r="K466" s="99"/>
      <x:c r="L466" s="99"/>
      <x:c r="M466" s="99"/>
      <x:c r="N466" s="99"/>
      <x:c r="O466" s="99"/>
      <x:c r="P466" s="99"/>
      <x:c r="Q466" s="99"/>
      <x:c r="R466" s="99"/>
      <x:c r="S466" s="99"/>
      <x:c r="T466" s="99"/>
      <x:c r="U466" s="99"/>
      <x:c r="V466" s="99"/>
      <x:c r="W466" s="99"/>
      <x:c r="X466" s="99"/>
      <x:c r="Y466" s="99"/>
      <x:c r="Z466" s="99"/>
    </x:row>
    <x:row r="467">
      <x:c r="A467" s="99"/>
      <x:c r="B467" s="99"/>
      <x:c r="C467" s="99"/>
      <x:c r="D467" s="99"/>
      <x:c r="E467" s="99"/>
      <x:c r="F467" s="99"/>
      <x:c r="G467" s="99"/>
      <x:c r="H467" s="99"/>
      <x:c r="I467" s="99"/>
      <x:c r="J467" s="99"/>
      <x:c r="K467" s="99"/>
      <x:c r="L467" s="99"/>
      <x:c r="M467" s="99"/>
      <x:c r="N467" s="99"/>
      <x:c r="O467" s="99"/>
      <x:c r="P467" s="99"/>
      <x:c r="Q467" s="99"/>
      <x:c r="R467" s="99"/>
      <x:c r="S467" s="99"/>
      <x:c r="T467" s="99"/>
      <x:c r="U467" s="99"/>
      <x:c r="V467" s="99"/>
      <x:c r="W467" s="99"/>
      <x:c r="X467" s="99"/>
      <x:c r="Y467" s="99"/>
      <x:c r="Z467" s="99"/>
    </x:row>
    <x:row r="468">
      <x:c r="A468" s="99"/>
      <x:c r="B468" s="99"/>
      <x:c r="C468" s="99"/>
      <x:c r="D468" s="99"/>
      <x:c r="E468" s="99"/>
      <x:c r="F468" s="99"/>
      <x:c r="G468" s="99"/>
      <x:c r="H468" s="99"/>
      <x:c r="I468" s="99"/>
      <x:c r="J468" s="99"/>
      <x:c r="K468" s="99"/>
      <x:c r="L468" s="99"/>
      <x:c r="M468" s="99"/>
      <x:c r="N468" s="99"/>
      <x:c r="O468" s="99"/>
      <x:c r="P468" s="99"/>
      <x:c r="Q468" s="99"/>
      <x:c r="R468" s="99"/>
      <x:c r="S468" s="99"/>
      <x:c r="T468" s="99"/>
      <x:c r="U468" s="99"/>
      <x:c r="V468" s="99"/>
      <x:c r="W468" s="99"/>
      <x:c r="X468" s="99"/>
      <x:c r="Y468" s="99"/>
      <x:c r="Z468" s="99"/>
    </x:row>
    <x:row r="469">
      <x:c r="A469" s="99"/>
      <x:c r="B469" s="99"/>
      <x:c r="C469" s="99"/>
      <x:c r="D469" s="99"/>
      <x:c r="E469" s="99"/>
      <x:c r="F469" s="99"/>
      <x:c r="G469" s="99"/>
      <x:c r="H469" s="99"/>
      <x:c r="I469" s="99"/>
      <x:c r="J469" s="99"/>
      <x:c r="K469" s="99"/>
      <x:c r="L469" s="99"/>
      <x:c r="M469" s="99"/>
      <x:c r="N469" s="99"/>
      <x:c r="O469" s="99"/>
      <x:c r="P469" s="99"/>
      <x:c r="Q469" s="99"/>
      <x:c r="R469" s="99"/>
      <x:c r="S469" s="99"/>
      <x:c r="T469" s="99"/>
      <x:c r="U469" s="99"/>
      <x:c r="V469" s="99"/>
      <x:c r="W469" s="99"/>
      <x:c r="X469" s="99"/>
      <x:c r="Y469" s="99"/>
      <x:c r="Z469" s="99"/>
    </x:row>
    <x:row r="470">
      <x:c r="A470" s="99"/>
      <x:c r="B470" s="99"/>
      <x:c r="C470" s="99"/>
      <x:c r="D470" s="99"/>
      <x:c r="E470" s="99"/>
      <x:c r="F470" s="99"/>
      <x:c r="G470" s="99"/>
      <x:c r="H470" s="99"/>
      <x:c r="I470" s="99"/>
      <x:c r="J470" s="99"/>
      <x:c r="K470" s="99"/>
      <x:c r="L470" s="99"/>
      <x:c r="M470" s="99"/>
      <x:c r="N470" s="99"/>
      <x:c r="O470" s="99"/>
      <x:c r="P470" s="99"/>
      <x:c r="Q470" s="99"/>
      <x:c r="R470" s="99"/>
      <x:c r="S470" s="99"/>
      <x:c r="T470" s="99"/>
      <x:c r="U470" s="99"/>
      <x:c r="V470" s="99"/>
      <x:c r="W470" s="99"/>
      <x:c r="X470" s="99"/>
      <x:c r="Y470" s="99"/>
      <x:c r="Z470" s="99"/>
    </x:row>
    <x:row r="471">
      <x:c r="A471" s="99"/>
      <x:c r="B471" s="99"/>
      <x:c r="C471" s="99"/>
      <x:c r="D471" s="99"/>
      <x:c r="E471" s="99"/>
      <x:c r="F471" s="99"/>
      <x:c r="G471" s="99"/>
      <x:c r="H471" s="99"/>
      <x:c r="I471" s="99"/>
      <x:c r="J471" s="99"/>
      <x:c r="K471" s="99"/>
      <x:c r="L471" s="99"/>
      <x:c r="M471" s="99"/>
      <x:c r="N471" s="99"/>
      <x:c r="O471" s="99"/>
      <x:c r="P471" s="99"/>
      <x:c r="Q471" s="99"/>
      <x:c r="R471" s="99"/>
      <x:c r="S471" s="99"/>
      <x:c r="T471" s="99"/>
      <x:c r="U471" s="99"/>
      <x:c r="V471" s="99"/>
      <x:c r="W471" s="99"/>
      <x:c r="X471" s="99"/>
      <x:c r="Y471" s="99"/>
      <x:c r="Z471" s="99"/>
    </x:row>
    <x:row r="472">
      <x:c r="A472" s="99"/>
      <x:c r="B472" s="99"/>
      <x:c r="C472" s="99"/>
      <x:c r="D472" s="99"/>
      <x:c r="E472" s="99"/>
      <x:c r="F472" s="99"/>
      <x:c r="G472" s="99"/>
      <x:c r="H472" s="99"/>
      <x:c r="I472" s="99"/>
      <x:c r="J472" s="99"/>
      <x:c r="K472" s="99"/>
      <x:c r="L472" s="99"/>
      <x:c r="M472" s="99"/>
      <x:c r="N472" s="99"/>
      <x:c r="O472" s="99"/>
      <x:c r="P472" s="99"/>
      <x:c r="Q472" s="99"/>
      <x:c r="R472" s="99"/>
      <x:c r="S472" s="99"/>
      <x:c r="T472" s="99"/>
      <x:c r="U472" s="99"/>
      <x:c r="V472" s="99"/>
      <x:c r="W472" s="99"/>
      <x:c r="X472" s="99"/>
      <x:c r="Y472" s="99"/>
      <x:c r="Z472" s="99"/>
    </x:row>
    <x:row r="473">
      <x:c r="A473" s="99"/>
      <x:c r="B473" s="99"/>
      <x:c r="C473" s="99"/>
      <x:c r="D473" s="99"/>
      <x:c r="E473" s="99"/>
      <x:c r="F473" s="99"/>
      <x:c r="G473" s="99"/>
      <x:c r="H473" s="99"/>
      <x:c r="I473" s="99"/>
      <x:c r="J473" s="99"/>
      <x:c r="K473" s="99"/>
      <x:c r="L473" s="99"/>
      <x:c r="M473" s="99"/>
      <x:c r="N473" s="99"/>
      <x:c r="O473" s="99"/>
      <x:c r="P473" s="99"/>
      <x:c r="Q473" s="99"/>
      <x:c r="R473" s="99"/>
      <x:c r="S473" s="99"/>
      <x:c r="T473" s="99"/>
      <x:c r="U473" s="99"/>
      <x:c r="V473" s="99"/>
      <x:c r="W473" s="99"/>
      <x:c r="X473" s="99"/>
      <x:c r="Y473" s="99"/>
      <x:c r="Z473" s="99"/>
    </x:row>
    <x:row r="474">
      <x:c r="A474" s="99"/>
      <x:c r="B474" s="99"/>
      <x:c r="C474" s="99"/>
      <x:c r="D474" s="99"/>
      <x:c r="E474" s="99"/>
      <x:c r="F474" s="99"/>
      <x:c r="G474" s="99"/>
      <x:c r="H474" s="99"/>
      <x:c r="I474" s="99"/>
      <x:c r="J474" s="99"/>
      <x:c r="K474" s="99"/>
      <x:c r="L474" s="99"/>
      <x:c r="M474" s="99"/>
      <x:c r="N474" s="99"/>
      <x:c r="O474" s="99"/>
      <x:c r="P474" s="99"/>
      <x:c r="Q474" s="99"/>
      <x:c r="R474" s="99"/>
      <x:c r="S474" s="99"/>
      <x:c r="T474" s="99"/>
      <x:c r="U474" s="99"/>
      <x:c r="V474" s="99"/>
      <x:c r="W474" s="99"/>
      <x:c r="X474" s="99"/>
      <x:c r="Y474" s="99"/>
      <x:c r="Z474" s="99"/>
    </x:row>
    <x:row r="475">
      <x:c r="A475" s="99"/>
      <x:c r="B475" s="99"/>
      <x:c r="C475" s="99"/>
      <x:c r="D475" s="99"/>
      <x:c r="E475" s="99"/>
      <x:c r="F475" s="99"/>
      <x:c r="G475" s="99"/>
      <x:c r="H475" s="99"/>
      <x:c r="I475" s="99"/>
      <x:c r="J475" s="99"/>
      <x:c r="K475" s="99"/>
      <x:c r="L475" s="99"/>
      <x:c r="M475" s="99"/>
      <x:c r="N475" s="99"/>
      <x:c r="O475" s="99"/>
      <x:c r="P475" s="99"/>
      <x:c r="Q475" s="99"/>
      <x:c r="R475" s="99"/>
      <x:c r="S475" s="99"/>
      <x:c r="T475" s="99"/>
      <x:c r="U475" s="99"/>
      <x:c r="V475" s="99"/>
      <x:c r="W475" s="99"/>
      <x:c r="X475" s="99"/>
      <x:c r="Y475" s="99"/>
      <x:c r="Z475" s="99"/>
    </x:row>
    <x:row r="476">
      <x:c r="A476" s="99"/>
      <x:c r="B476" s="99"/>
      <x:c r="C476" s="99"/>
      <x:c r="D476" s="99"/>
      <x:c r="E476" s="99"/>
      <x:c r="F476" s="99"/>
      <x:c r="G476" s="99"/>
      <x:c r="H476" s="99"/>
      <x:c r="I476" s="99"/>
      <x:c r="J476" s="99"/>
      <x:c r="K476" s="99"/>
      <x:c r="L476" s="99"/>
      <x:c r="M476" s="99"/>
      <x:c r="N476" s="99"/>
      <x:c r="O476" s="99"/>
      <x:c r="P476" s="99"/>
      <x:c r="Q476" s="99"/>
      <x:c r="R476" s="99"/>
      <x:c r="S476" s="99"/>
      <x:c r="T476" s="99"/>
      <x:c r="U476" s="99"/>
      <x:c r="V476" s="99"/>
      <x:c r="W476" s="99"/>
      <x:c r="X476" s="99"/>
      <x:c r="Y476" s="99"/>
      <x:c r="Z476" s="99"/>
    </x:row>
    <x:row r="477">
      <x:c r="A477" s="99"/>
      <x:c r="B477" s="99"/>
      <x:c r="C477" s="99"/>
      <x:c r="D477" s="99"/>
      <x:c r="E477" s="99"/>
      <x:c r="F477" s="99"/>
      <x:c r="G477" s="99"/>
      <x:c r="H477" s="99"/>
      <x:c r="I477" s="99"/>
      <x:c r="J477" s="99"/>
      <x:c r="K477" s="99"/>
      <x:c r="L477" s="99"/>
      <x:c r="M477" s="99"/>
      <x:c r="N477" s="99"/>
      <x:c r="O477" s="99"/>
      <x:c r="P477" s="99"/>
      <x:c r="Q477" s="99"/>
      <x:c r="R477" s="99"/>
      <x:c r="S477" s="99"/>
      <x:c r="T477" s="99"/>
      <x:c r="U477" s="99"/>
      <x:c r="V477" s="99"/>
      <x:c r="W477" s="99"/>
      <x:c r="X477" s="99"/>
      <x:c r="Y477" s="99"/>
      <x:c r="Z477" s="99"/>
    </x:row>
    <x:row r="478">
      <x:c r="A478" s="99"/>
      <x:c r="B478" s="99"/>
      <x:c r="C478" s="99"/>
      <x:c r="D478" s="99"/>
      <x:c r="E478" s="99"/>
      <x:c r="F478" s="99"/>
      <x:c r="G478" s="99"/>
      <x:c r="H478" s="99"/>
      <x:c r="I478" s="99"/>
      <x:c r="J478" s="99"/>
      <x:c r="K478" s="99"/>
      <x:c r="L478" s="99"/>
      <x:c r="M478" s="99"/>
      <x:c r="N478" s="99"/>
      <x:c r="O478" s="99"/>
      <x:c r="P478" s="99"/>
      <x:c r="Q478" s="99"/>
      <x:c r="R478" s="99"/>
      <x:c r="S478" s="99"/>
      <x:c r="T478" s="99"/>
      <x:c r="U478" s="99"/>
      <x:c r="V478" s="99"/>
      <x:c r="W478" s="99"/>
      <x:c r="X478" s="99"/>
      <x:c r="Y478" s="99"/>
      <x:c r="Z478" s="99"/>
    </x:row>
    <x:row r="479">
      <x:c r="A479" s="99"/>
      <x:c r="B479" s="99"/>
      <x:c r="C479" s="99"/>
      <x:c r="D479" s="99"/>
      <x:c r="E479" s="99"/>
      <x:c r="F479" s="99"/>
      <x:c r="G479" s="99"/>
      <x:c r="H479" s="99"/>
      <x:c r="I479" s="99"/>
      <x:c r="J479" s="99"/>
      <x:c r="K479" s="99"/>
      <x:c r="L479" s="99"/>
      <x:c r="M479" s="99"/>
      <x:c r="N479" s="99"/>
      <x:c r="O479" s="99"/>
      <x:c r="P479" s="99"/>
      <x:c r="Q479" s="99"/>
      <x:c r="R479" s="99"/>
      <x:c r="S479" s="99"/>
      <x:c r="T479" s="99"/>
      <x:c r="U479" s="99"/>
      <x:c r="V479" s="99"/>
      <x:c r="W479" s="99"/>
      <x:c r="X479" s="99"/>
      <x:c r="Y479" s="99"/>
      <x:c r="Z479" s="99"/>
    </x:row>
    <x:row r="480">
      <x:c r="A480" s="99"/>
      <x:c r="B480" s="99"/>
      <x:c r="C480" s="99"/>
      <x:c r="D480" s="99"/>
      <x:c r="E480" s="99"/>
      <x:c r="F480" s="99"/>
      <x:c r="G480" s="99"/>
      <x:c r="H480" s="99"/>
      <x:c r="I480" s="99"/>
      <x:c r="J480" s="99"/>
      <x:c r="K480" s="99"/>
      <x:c r="L480" s="99"/>
      <x:c r="M480" s="99"/>
      <x:c r="N480" s="99"/>
      <x:c r="O480" s="99"/>
      <x:c r="P480" s="99"/>
      <x:c r="Q480" s="99"/>
      <x:c r="R480" s="99"/>
      <x:c r="S480" s="99"/>
      <x:c r="T480" s="99"/>
      <x:c r="U480" s="99"/>
      <x:c r="V480" s="99"/>
      <x:c r="W480" s="99"/>
      <x:c r="X480" s="99"/>
      <x:c r="Y480" s="99"/>
      <x:c r="Z480" s="99"/>
    </x:row>
    <x:row r="481">
      <x:c r="A481" s="99"/>
      <x:c r="B481" s="99"/>
      <x:c r="C481" s="99"/>
      <x:c r="D481" s="99"/>
      <x:c r="E481" s="99"/>
      <x:c r="F481" s="99"/>
      <x:c r="G481" s="99"/>
      <x:c r="H481" s="99"/>
      <x:c r="I481" s="99"/>
      <x:c r="J481" s="99"/>
      <x:c r="K481" s="99"/>
      <x:c r="L481" s="99"/>
      <x:c r="M481" s="99"/>
      <x:c r="N481" s="99"/>
      <x:c r="O481" s="99"/>
      <x:c r="P481" s="99"/>
      <x:c r="Q481" s="99"/>
      <x:c r="R481" s="99"/>
      <x:c r="S481" s="99"/>
      <x:c r="T481" s="99"/>
      <x:c r="U481" s="99"/>
      <x:c r="V481" s="99"/>
      <x:c r="W481" s="99"/>
      <x:c r="X481" s="99"/>
      <x:c r="Y481" s="99"/>
      <x:c r="Z481" s="99"/>
    </x:row>
    <x:row r="482">
      <x:c r="A482" s="99"/>
      <x:c r="B482" s="99"/>
      <x:c r="C482" s="99"/>
      <x:c r="D482" s="99"/>
      <x:c r="E482" s="99"/>
      <x:c r="F482" s="99"/>
      <x:c r="G482" s="99"/>
      <x:c r="H482" s="99"/>
      <x:c r="I482" s="99"/>
      <x:c r="J482" s="99"/>
      <x:c r="K482" s="99"/>
      <x:c r="L482" s="99"/>
      <x:c r="M482" s="99"/>
      <x:c r="N482" s="99"/>
      <x:c r="O482" s="99"/>
      <x:c r="P482" s="99"/>
      <x:c r="Q482" s="99"/>
      <x:c r="R482" s="99"/>
      <x:c r="S482" s="99"/>
      <x:c r="T482" s="99"/>
      <x:c r="U482" s="99"/>
      <x:c r="V482" s="99"/>
      <x:c r="W482" s="99"/>
      <x:c r="X482" s="99"/>
      <x:c r="Y482" s="99"/>
      <x:c r="Z482" s="99"/>
    </x:row>
    <x:row r="483">
      <x:c r="A483" s="99"/>
      <x:c r="B483" s="99"/>
      <x:c r="C483" s="99"/>
      <x:c r="D483" s="99"/>
      <x:c r="E483" s="99"/>
      <x:c r="F483" s="99"/>
      <x:c r="G483" s="99"/>
      <x:c r="H483" s="99"/>
      <x:c r="I483" s="99"/>
      <x:c r="J483" s="99"/>
      <x:c r="K483" s="99"/>
      <x:c r="L483" s="99"/>
      <x:c r="M483" s="99"/>
      <x:c r="N483" s="99"/>
      <x:c r="O483" s="99"/>
      <x:c r="P483" s="99"/>
      <x:c r="Q483" s="99"/>
      <x:c r="R483" s="99"/>
      <x:c r="S483" s="99"/>
      <x:c r="T483" s="99"/>
      <x:c r="U483" s="99"/>
      <x:c r="V483" s="99"/>
      <x:c r="W483" s="99"/>
      <x:c r="X483" s="99"/>
      <x:c r="Y483" s="99"/>
      <x:c r="Z483" s="99"/>
    </x:row>
    <x:row r="484">
      <x:c r="A484" s="99"/>
      <x:c r="B484" s="99"/>
      <x:c r="C484" s="99"/>
      <x:c r="D484" s="99"/>
      <x:c r="E484" s="99"/>
      <x:c r="F484" s="99"/>
      <x:c r="G484" s="99"/>
      <x:c r="H484" s="99"/>
      <x:c r="I484" s="99"/>
      <x:c r="J484" s="99"/>
      <x:c r="K484" s="99"/>
      <x:c r="L484" s="99"/>
      <x:c r="M484" s="99"/>
      <x:c r="N484" s="99"/>
      <x:c r="O484" s="99"/>
      <x:c r="P484" s="99"/>
      <x:c r="Q484" s="99"/>
      <x:c r="R484" s="99"/>
      <x:c r="S484" s="99"/>
      <x:c r="T484" s="99"/>
      <x:c r="U484" s="99"/>
      <x:c r="V484" s="99"/>
      <x:c r="W484" s="99"/>
      <x:c r="X484" s="99"/>
      <x:c r="Y484" s="99"/>
      <x:c r="Z484" s="99"/>
    </x:row>
    <x:row r="485">
      <x:c r="A485" s="99"/>
      <x:c r="B485" s="99"/>
      <x:c r="C485" s="99"/>
      <x:c r="D485" s="99"/>
      <x:c r="E485" s="99"/>
      <x:c r="F485" s="99"/>
      <x:c r="G485" s="99"/>
      <x:c r="H485" s="99"/>
      <x:c r="I485" s="99"/>
      <x:c r="J485" s="99"/>
      <x:c r="K485" s="99"/>
      <x:c r="L485" s="99"/>
      <x:c r="M485" s="99"/>
      <x:c r="N485" s="99"/>
      <x:c r="O485" s="99"/>
      <x:c r="P485" s="99"/>
      <x:c r="Q485" s="99"/>
      <x:c r="R485" s="99"/>
      <x:c r="S485" s="99"/>
      <x:c r="T485" s="99"/>
      <x:c r="U485" s="99"/>
      <x:c r="V485" s="99"/>
      <x:c r="W485" s="99"/>
      <x:c r="X485" s="99"/>
      <x:c r="Y485" s="99"/>
      <x:c r="Z485" s="99"/>
    </x:row>
    <x:row r="486">
      <x:c r="A486" s="99"/>
      <x:c r="B486" s="99"/>
      <x:c r="C486" s="99"/>
      <x:c r="D486" s="99"/>
      <x:c r="E486" s="99"/>
      <x:c r="F486" s="99"/>
      <x:c r="G486" s="99"/>
      <x:c r="H486" s="99"/>
      <x:c r="I486" s="99"/>
      <x:c r="J486" s="99"/>
      <x:c r="K486" s="99"/>
      <x:c r="L486" s="99"/>
      <x:c r="M486" s="99"/>
      <x:c r="N486" s="99"/>
      <x:c r="O486" s="99"/>
      <x:c r="P486" s="99"/>
      <x:c r="Q486" s="99"/>
      <x:c r="R486" s="99"/>
      <x:c r="S486" s="99"/>
      <x:c r="T486" s="99"/>
      <x:c r="U486" s="99"/>
      <x:c r="V486" s="99"/>
      <x:c r="W486" s="99"/>
      <x:c r="X486" s="99"/>
      <x:c r="Y486" s="99"/>
      <x:c r="Z486" s="99"/>
    </x:row>
    <x:row r="487">
      <x:c r="A487" s="99"/>
      <x:c r="B487" s="99"/>
      <x:c r="C487" s="99"/>
      <x:c r="D487" s="99"/>
      <x:c r="E487" s="99"/>
      <x:c r="F487" s="99"/>
      <x:c r="G487" s="99"/>
      <x:c r="H487" s="99"/>
      <x:c r="I487" s="99"/>
      <x:c r="J487" s="99"/>
      <x:c r="K487" s="99"/>
      <x:c r="L487" s="99"/>
      <x:c r="M487" s="99"/>
      <x:c r="N487" s="99"/>
      <x:c r="O487" s="99"/>
      <x:c r="P487" s="99"/>
      <x:c r="Q487" s="99"/>
      <x:c r="R487" s="99"/>
      <x:c r="S487" s="99"/>
      <x:c r="T487" s="99"/>
      <x:c r="U487" s="99"/>
      <x:c r="V487" s="99"/>
      <x:c r="W487" s="99"/>
      <x:c r="X487" s="99"/>
      <x:c r="Y487" s="99"/>
      <x:c r="Z487" s="99"/>
    </x:row>
    <x:row r="488">
      <x:c r="A488" s="99"/>
      <x:c r="B488" s="99"/>
      <x:c r="C488" s="99"/>
      <x:c r="D488" s="99"/>
      <x:c r="E488" s="99"/>
      <x:c r="F488" s="99"/>
      <x:c r="G488" s="99"/>
      <x:c r="H488" s="99"/>
      <x:c r="I488" s="99"/>
      <x:c r="J488" s="99"/>
      <x:c r="K488" s="99"/>
      <x:c r="L488" s="99"/>
      <x:c r="M488" s="99"/>
      <x:c r="N488" s="99"/>
      <x:c r="O488" s="99"/>
      <x:c r="P488" s="99"/>
      <x:c r="Q488" s="99"/>
      <x:c r="R488" s="99"/>
      <x:c r="S488" s="99"/>
      <x:c r="T488" s="99"/>
      <x:c r="U488" s="99"/>
      <x:c r="V488" s="99"/>
      <x:c r="W488" s="99"/>
      <x:c r="X488" s="99"/>
      <x:c r="Y488" s="99"/>
      <x:c r="Z488" s="99"/>
    </x:row>
    <x:row r="489">
      <x:c r="A489" s="99"/>
      <x:c r="B489" s="99"/>
      <x:c r="C489" s="99"/>
      <x:c r="D489" s="99"/>
      <x:c r="E489" s="99"/>
      <x:c r="F489" s="99"/>
      <x:c r="G489" s="99"/>
      <x:c r="H489" s="99"/>
      <x:c r="I489" s="99"/>
      <x:c r="J489" s="99"/>
      <x:c r="K489" s="99"/>
      <x:c r="L489" s="99"/>
      <x:c r="M489" s="99"/>
      <x:c r="N489" s="99"/>
      <x:c r="O489" s="99"/>
      <x:c r="P489" s="99"/>
      <x:c r="Q489" s="99"/>
      <x:c r="R489" s="99"/>
      <x:c r="S489" s="99"/>
      <x:c r="T489" s="99"/>
      <x:c r="U489" s="99"/>
      <x:c r="V489" s="99"/>
      <x:c r="W489" s="99"/>
      <x:c r="X489" s="99"/>
      <x:c r="Y489" s="99"/>
      <x:c r="Z489" s="99"/>
    </x:row>
    <x:row r="490">
      <x:c r="A490" s="99"/>
      <x:c r="B490" s="99"/>
      <x:c r="C490" s="99"/>
      <x:c r="D490" s="99"/>
      <x:c r="E490" s="99"/>
      <x:c r="F490" s="99"/>
      <x:c r="G490" s="99"/>
      <x:c r="H490" s="99"/>
      <x:c r="I490" s="99"/>
      <x:c r="J490" s="99"/>
      <x:c r="K490" s="99"/>
      <x:c r="L490" s="99"/>
      <x:c r="M490" s="99"/>
      <x:c r="N490" s="99"/>
      <x:c r="O490" s="99"/>
      <x:c r="P490" s="99"/>
      <x:c r="Q490" s="99"/>
      <x:c r="R490" s="99"/>
      <x:c r="S490" s="99"/>
      <x:c r="T490" s="99"/>
      <x:c r="U490" s="99"/>
      <x:c r="V490" s="99"/>
      <x:c r="W490" s="99"/>
      <x:c r="X490" s="99"/>
      <x:c r="Y490" s="99"/>
      <x:c r="Z490" s="99"/>
    </x:row>
    <x:row r="491">
      <x:c r="A491" s="99"/>
      <x:c r="B491" s="99"/>
      <x:c r="C491" s="99"/>
      <x:c r="D491" s="99"/>
      <x:c r="E491" s="99"/>
      <x:c r="F491" s="99"/>
      <x:c r="G491" s="99"/>
      <x:c r="H491" s="99"/>
      <x:c r="I491" s="99"/>
      <x:c r="J491" s="99"/>
      <x:c r="K491" s="99"/>
      <x:c r="L491" s="99"/>
      <x:c r="M491" s="99"/>
      <x:c r="N491" s="99"/>
      <x:c r="O491" s="99"/>
      <x:c r="P491" s="99"/>
      <x:c r="Q491" s="99"/>
      <x:c r="R491" s="99"/>
      <x:c r="S491" s="99"/>
      <x:c r="T491" s="99"/>
      <x:c r="U491" s="99"/>
      <x:c r="V491" s="99"/>
      <x:c r="W491" s="99"/>
      <x:c r="X491" s="99"/>
      <x:c r="Y491" s="99"/>
      <x:c r="Z491" s="99"/>
    </x:row>
    <x:row r="492">
      <x:c r="A492" s="99"/>
      <x:c r="B492" s="99"/>
      <x:c r="C492" s="99"/>
      <x:c r="D492" s="99"/>
      <x:c r="E492" s="99"/>
      <x:c r="F492" s="99"/>
      <x:c r="G492" s="99"/>
      <x:c r="H492" s="99"/>
      <x:c r="I492" s="99"/>
      <x:c r="J492" s="99"/>
      <x:c r="K492" s="99"/>
      <x:c r="L492" s="99"/>
      <x:c r="M492" s="99"/>
      <x:c r="N492" s="99"/>
      <x:c r="O492" s="99"/>
      <x:c r="P492" s="99"/>
      <x:c r="Q492" s="99"/>
      <x:c r="R492" s="99"/>
      <x:c r="S492" s="99"/>
      <x:c r="T492" s="99"/>
      <x:c r="U492" s="99"/>
      <x:c r="V492" s="99"/>
      <x:c r="W492" s="99"/>
      <x:c r="X492" s="99"/>
      <x:c r="Y492" s="99"/>
      <x:c r="Z492" s="99"/>
    </x:row>
    <x:row r="493">
      <x:c r="A493" s="99"/>
      <x:c r="B493" s="99"/>
      <x:c r="C493" s="99"/>
      <x:c r="D493" s="99"/>
      <x:c r="E493" s="99"/>
      <x:c r="F493" s="99"/>
      <x:c r="G493" s="99"/>
      <x:c r="H493" s="99"/>
      <x:c r="I493" s="99"/>
      <x:c r="J493" s="99"/>
      <x:c r="K493" s="99"/>
      <x:c r="L493" s="99"/>
      <x:c r="M493" s="99"/>
      <x:c r="N493" s="99"/>
      <x:c r="O493" s="99"/>
      <x:c r="P493" s="99"/>
      <x:c r="Q493" s="99"/>
      <x:c r="R493" s="99"/>
      <x:c r="S493" s="99"/>
      <x:c r="T493" s="99"/>
      <x:c r="U493" s="99"/>
      <x:c r="V493" s="99"/>
      <x:c r="W493" s="99"/>
      <x:c r="X493" s="99"/>
      <x:c r="Y493" s="99"/>
      <x:c r="Z493" s="99"/>
    </x:row>
    <x:row r="494">
      <x:c r="A494" s="99"/>
      <x:c r="B494" s="99"/>
      <x:c r="C494" s="99"/>
      <x:c r="D494" s="99"/>
      <x:c r="E494" s="99"/>
      <x:c r="F494" s="99"/>
      <x:c r="G494" s="99"/>
      <x:c r="H494" s="99"/>
      <x:c r="I494" s="99"/>
      <x:c r="J494" s="99"/>
      <x:c r="K494" s="99"/>
      <x:c r="L494" s="99"/>
      <x:c r="M494" s="99"/>
      <x:c r="N494" s="99"/>
      <x:c r="O494" s="99"/>
      <x:c r="P494" s="99"/>
      <x:c r="Q494" s="99"/>
      <x:c r="R494" s="99"/>
      <x:c r="S494" s="99"/>
      <x:c r="T494" s="99"/>
      <x:c r="U494" s="99"/>
      <x:c r="V494" s="99"/>
      <x:c r="W494" s="99"/>
      <x:c r="X494" s="99"/>
      <x:c r="Y494" s="99"/>
      <x:c r="Z494" s="99"/>
    </x:row>
    <x:row r="495">
      <x:c r="A495" s="99"/>
      <x:c r="B495" s="99"/>
      <x:c r="C495" s="99"/>
      <x:c r="D495" s="99"/>
      <x:c r="E495" s="99"/>
      <x:c r="F495" s="99"/>
      <x:c r="G495" s="99"/>
      <x:c r="H495" s="99"/>
      <x:c r="I495" s="99"/>
      <x:c r="J495" s="99"/>
      <x:c r="K495" s="99"/>
      <x:c r="L495" s="99"/>
      <x:c r="M495" s="99"/>
      <x:c r="N495" s="99"/>
      <x:c r="O495" s="99"/>
      <x:c r="P495" s="99"/>
      <x:c r="Q495" s="99"/>
      <x:c r="R495" s="99"/>
      <x:c r="S495" s="99"/>
      <x:c r="T495" s="99"/>
      <x:c r="U495" s="99"/>
      <x:c r="V495" s="99"/>
      <x:c r="W495" s="99"/>
      <x:c r="X495" s="99"/>
      <x:c r="Y495" s="99"/>
      <x:c r="Z495" s="99"/>
    </x:row>
    <x:row r="496">
      <x:c r="A496" s="99"/>
      <x:c r="B496" s="99"/>
      <x:c r="C496" s="99"/>
      <x:c r="D496" s="99"/>
      <x:c r="E496" s="99"/>
      <x:c r="F496" s="99"/>
      <x:c r="G496" s="99"/>
      <x:c r="H496" s="99"/>
      <x:c r="I496" s="99"/>
      <x:c r="J496" s="99"/>
      <x:c r="K496" s="99"/>
      <x:c r="L496" s="99"/>
      <x:c r="M496" s="99"/>
      <x:c r="N496" s="99"/>
      <x:c r="O496" s="99"/>
      <x:c r="P496" s="99"/>
      <x:c r="Q496" s="99"/>
      <x:c r="R496" s="99"/>
      <x:c r="S496" s="99"/>
      <x:c r="T496" s="99"/>
      <x:c r="U496" s="99"/>
      <x:c r="V496" s="99"/>
      <x:c r="W496" s="99"/>
      <x:c r="X496" s="99"/>
      <x:c r="Y496" s="99"/>
      <x:c r="Z496" s="99"/>
    </x:row>
    <x:row r="497">
      <x:c r="A497" s="99"/>
      <x:c r="B497" s="99"/>
      <x:c r="C497" s="99"/>
      <x:c r="D497" s="99"/>
      <x:c r="E497" s="99"/>
      <x:c r="F497" s="99"/>
      <x:c r="G497" s="99"/>
      <x:c r="H497" s="99"/>
      <x:c r="I497" s="99"/>
      <x:c r="J497" s="99"/>
      <x:c r="K497" s="99"/>
      <x:c r="L497" s="99"/>
      <x:c r="M497" s="99"/>
      <x:c r="N497" s="99"/>
      <x:c r="O497" s="99"/>
      <x:c r="P497" s="99"/>
      <x:c r="Q497" s="99"/>
      <x:c r="R497" s="99"/>
      <x:c r="S497" s="99"/>
      <x:c r="T497" s="99"/>
      <x:c r="U497" s="99"/>
      <x:c r="V497" s="99"/>
      <x:c r="W497" s="99"/>
      <x:c r="X497" s="99"/>
      <x:c r="Y497" s="99"/>
      <x:c r="Z497" s="99"/>
    </x:row>
    <x:row r="498">
      <x:c r="A498" s="99"/>
      <x:c r="B498" s="99"/>
      <x:c r="C498" s="99"/>
      <x:c r="D498" s="99"/>
      <x:c r="E498" s="99"/>
      <x:c r="F498" s="99"/>
      <x:c r="G498" s="99"/>
      <x:c r="H498" s="99"/>
      <x:c r="I498" s="99"/>
      <x:c r="J498" s="99"/>
      <x:c r="K498" s="99"/>
      <x:c r="L498" s="99"/>
      <x:c r="M498" s="99"/>
      <x:c r="N498" s="99"/>
      <x:c r="O498" s="99"/>
      <x:c r="P498" s="99"/>
      <x:c r="Q498" s="99"/>
      <x:c r="R498" s="99"/>
      <x:c r="S498" s="99"/>
      <x:c r="T498" s="99"/>
      <x:c r="U498" s="99"/>
      <x:c r="V498" s="99"/>
      <x:c r="W498" s="99"/>
      <x:c r="X498" s="99"/>
      <x:c r="Y498" s="99"/>
      <x:c r="Z498" s="99"/>
    </x:row>
    <x:row r="499">
      <x:c r="A499" s="99"/>
      <x:c r="B499" s="99"/>
      <x:c r="C499" s="99"/>
      <x:c r="D499" s="99"/>
      <x:c r="E499" s="99"/>
      <x:c r="F499" s="99"/>
      <x:c r="G499" s="99"/>
      <x:c r="H499" s="99"/>
      <x:c r="I499" s="99"/>
      <x:c r="J499" s="99"/>
      <x:c r="K499" s="99"/>
      <x:c r="L499" s="99"/>
      <x:c r="M499" s="99"/>
      <x:c r="N499" s="99"/>
      <x:c r="O499" s="99"/>
      <x:c r="P499" s="99"/>
      <x:c r="Q499" s="99"/>
      <x:c r="R499" s="99"/>
      <x:c r="S499" s="99"/>
      <x:c r="T499" s="99"/>
      <x:c r="U499" s="99"/>
      <x:c r="V499" s="99"/>
      <x:c r="W499" s="99"/>
      <x:c r="X499" s="99"/>
      <x:c r="Y499" s="99"/>
      <x:c r="Z499" s="99"/>
    </x:row>
    <x:row r="500">
      <x:c r="A500" s="99"/>
      <x:c r="B500" s="99"/>
      <x:c r="C500" s="99"/>
      <x:c r="D500" s="99"/>
      <x:c r="E500" s="99"/>
      <x:c r="F500" s="99"/>
      <x:c r="G500" s="99"/>
      <x:c r="H500" s="99"/>
      <x:c r="I500" s="99"/>
      <x:c r="J500" s="99"/>
      <x:c r="K500" s="99"/>
      <x:c r="L500" s="99"/>
      <x:c r="M500" s="99"/>
      <x:c r="N500" s="99"/>
      <x:c r="O500" s="99"/>
      <x:c r="P500" s="99"/>
      <x:c r="Q500" s="99"/>
      <x:c r="R500" s="99"/>
      <x:c r="S500" s="99"/>
      <x:c r="T500" s="99"/>
      <x:c r="U500" s="99"/>
      <x:c r="V500" s="99"/>
      <x:c r="W500" s="99"/>
      <x:c r="X500" s="99"/>
      <x:c r="Y500" s="99"/>
      <x:c r="Z500" s="99"/>
    </x:row>
    <x:row r="501">
      <x:c r="A501" s="99"/>
      <x:c r="B501" s="99"/>
      <x:c r="C501" s="99"/>
      <x:c r="D501" s="99"/>
      <x:c r="E501" s="99"/>
      <x:c r="F501" s="99"/>
      <x:c r="G501" s="99"/>
      <x:c r="H501" s="99"/>
      <x:c r="I501" s="99"/>
      <x:c r="J501" s="99"/>
      <x:c r="K501" s="99"/>
      <x:c r="L501" s="99"/>
      <x:c r="M501" s="99"/>
      <x:c r="N501" s="99"/>
      <x:c r="O501" s="99"/>
      <x:c r="P501" s="99"/>
      <x:c r="Q501" s="99"/>
      <x:c r="R501" s="99"/>
      <x:c r="S501" s="99"/>
      <x:c r="T501" s="99"/>
      <x:c r="U501" s="99"/>
      <x:c r="V501" s="99"/>
      <x:c r="W501" s="99"/>
      <x:c r="X501" s="99"/>
      <x:c r="Y501" s="99"/>
      <x:c r="Z501" s="99"/>
    </x:row>
    <x:row r="502">
      <x:c r="A502" s="99"/>
      <x:c r="B502" s="99"/>
      <x:c r="C502" s="99"/>
      <x:c r="D502" s="99"/>
      <x:c r="E502" s="99"/>
      <x:c r="F502" s="99"/>
      <x:c r="G502" s="99"/>
      <x:c r="H502" s="99"/>
      <x:c r="I502" s="99"/>
      <x:c r="J502" s="99"/>
      <x:c r="K502" s="99"/>
      <x:c r="L502" s="99"/>
      <x:c r="M502" s="99"/>
      <x:c r="N502" s="99"/>
      <x:c r="O502" s="99"/>
      <x:c r="P502" s="99"/>
      <x:c r="Q502" s="99"/>
      <x:c r="R502" s="99"/>
      <x:c r="S502" s="99"/>
      <x:c r="T502" s="99"/>
      <x:c r="U502" s="99"/>
      <x:c r="V502" s="99"/>
      <x:c r="W502" s="99"/>
      <x:c r="X502" s="99"/>
      <x:c r="Y502" s="99"/>
      <x:c r="Z502" s="99"/>
    </x:row>
    <x:row r="503">
      <x:c r="A503" s="99"/>
      <x:c r="B503" s="99"/>
      <x:c r="C503" s="99"/>
      <x:c r="D503" s="99"/>
      <x:c r="E503" s="99"/>
      <x:c r="F503" s="99"/>
      <x:c r="G503" s="99"/>
      <x:c r="H503" s="99"/>
      <x:c r="I503" s="99"/>
      <x:c r="J503" s="99"/>
      <x:c r="K503" s="99"/>
      <x:c r="L503" s="99"/>
      <x:c r="M503" s="99"/>
      <x:c r="N503" s="99"/>
      <x:c r="O503" s="99"/>
      <x:c r="P503" s="99"/>
      <x:c r="Q503" s="99"/>
      <x:c r="R503" s="99"/>
      <x:c r="S503" s="99"/>
      <x:c r="T503" s="99"/>
      <x:c r="U503" s="99"/>
      <x:c r="V503" s="99"/>
      <x:c r="W503" s="99"/>
      <x:c r="X503" s="99"/>
      <x:c r="Y503" s="99"/>
      <x:c r="Z503" s="99"/>
    </x:row>
    <x:row r="504">
      <x:c r="A504" s="99"/>
      <x:c r="B504" s="99"/>
      <x:c r="C504" s="99"/>
      <x:c r="D504" s="99"/>
      <x:c r="E504" s="99"/>
      <x:c r="F504" s="99"/>
      <x:c r="G504" s="99"/>
      <x:c r="H504" s="99"/>
      <x:c r="I504" s="99"/>
      <x:c r="J504" s="99"/>
      <x:c r="K504" s="99"/>
      <x:c r="L504" s="99"/>
      <x:c r="M504" s="99"/>
      <x:c r="N504" s="99"/>
      <x:c r="O504" s="99"/>
      <x:c r="P504" s="99"/>
      <x:c r="Q504" s="99"/>
      <x:c r="R504" s="99"/>
      <x:c r="S504" s="99"/>
      <x:c r="T504" s="99"/>
      <x:c r="U504" s="99"/>
      <x:c r="V504" s="99"/>
      <x:c r="W504" s="99"/>
      <x:c r="X504" s="99"/>
      <x:c r="Y504" s="99"/>
      <x:c r="Z504" s="99"/>
    </x:row>
    <x:row r="505">
      <x:c r="A505" s="99"/>
      <x:c r="B505" s="99"/>
      <x:c r="C505" s="99"/>
      <x:c r="D505" s="99"/>
      <x:c r="E505" s="99"/>
      <x:c r="F505" s="99"/>
      <x:c r="G505" s="99"/>
      <x:c r="H505" s="99"/>
      <x:c r="I505" s="99"/>
      <x:c r="J505" s="99"/>
      <x:c r="K505" s="99"/>
      <x:c r="L505" s="99"/>
      <x:c r="M505" s="99"/>
      <x:c r="N505" s="99"/>
      <x:c r="O505" s="99"/>
      <x:c r="P505" s="99"/>
      <x:c r="Q505" s="99"/>
      <x:c r="R505" s="99"/>
      <x:c r="S505" s="99"/>
      <x:c r="T505" s="99"/>
      <x:c r="U505" s="99"/>
      <x:c r="V505" s="99"/>
      <x:c r="W505" s="99"/>
      <x:c r="X505" s="99"/>
      <x:c r="Y505" s="99"/>
      <x:c r="Z505" s="99"/>
    </x:row>
    <x:row r="506">
      <x:c r="A506" s="99"/>
      <x:c r="B506" s="99"/>
      <x:c r="C506" s="99"/>
      <x:c r="D506" s="99"/>
      <x:c r="E506" s="99"/>
      <x:c r="F506" s="99"/>
      <x:c r="G506" s="99"/>
      <x:c r="H506" s="99"/>
      <x:c r="I506" s="99"/>
      <x:c r="J506" s="99"/>
      <x:c r="K506" s="99"/>
      <x:c r="L506" s="99"/>
      <x:c r="M506" s="99"/>
      <x:c r="N506" s="99"/>
      <x:c r="O506" s="99"/>
      <x:c r="P506" s="99"/>
      <x:c r="Q506" s="99"/>
      <x:c r="R506" s="99"/>
      <x:c r="S506" s="99"/>
      <x:c r="T506" s="99"/>
      <x:c r="U506" s="99"/>
      <x:c r="V506" s="99"/>
      <x:c r="W506" s="99"/>
      <x:c r="X506" s="99"/>
      <x:c r="Y506" s="99"/>
      <x:c r="Z506" s="99"/>
    </x:row>
    <x:row r="507">
      <x:c r="A507" s="99"/>
      <x:c r="B507" s="99"/>
      <x:c r="C507" s="99"/>
      <x:c r="D507" s="99"/>
      <x:c r="E507" s="99"/>
      <x:c r="F507" s="99"/>
      <x:c r="G507" s="99"/>
      <x:c r="H507" s="99"/>
      <x:c r="I507" s="99"/>
      <x:c r="J507" s="99"/>
      <x:c r="K507" s="99"/>
      <x:c r="L507" s="99"/>
      <x:c r="M507" s="99"/>
      <x:c r="N507" s="99"/>
      <x:c r="O507" s="99"/>
      <x:c r="P507" s="99"/>
      <x:c r="Q507" s="99"/>
      <x:c r="R507" s="99"/>
      <x:c r="S507" s="99"/>
      <x:c r="T507" s="99"/>
      <x:c r="U507" s="99"/>
      <x:c r="V507" s="99"/>
      <x:c r="W507" s="99"/>
      <x:c r="X507" s="99"/>
      <x:c r="Y507" s="99"/>
      <x:c r="Z507" s="99"/>
    </x:row>
    <x:row r="508">
      <x:c r="A508" s="99"/>
      <x:c r="B508" s="99"/>
      <x:c r="C508" s="99"/>
      <x:c r="D508" s="99"/>
      <x:c r="E508" s="99"/>
      <x:c r="F508" s="99"/>
      <x:c r="G508" s="99"/>
      <x:c r="H508" s="99"/>
      <x:c r="I508" s="99"/>
      <x:c r="J508" s="99"/>
      <x:c r="K508" s="99"/>
      <x:c r="L508" s="99"/>
      <x:c r="M508" s="99"/>
      <x:c r="N508" s="99"/>
      <x:c r="O508" s="99"/>
      <x:c r="P508" s="99"/>
      <x:c r="Q508" s="99"/>
      <x:c r="R508" s="99"/>
      <x:c r="S508" s="99"/>
      <x:c r="T508" s="99"/>
      <x:c r="U508" s="99"/>
      <x:c r="V508" s="99"/>
      <x:c r="W508" s="99"/>
      <x:c r="X508" s="99"/>
      <x:c r="Y508" s="99"/>
      <x:c r="Z508" s="99"/>
    </x:row>
    <x:row r="509">
      <x:c r="A509" s="99"/>
      <x:c r="B509" s="99"/>
      <x:c r="C509" s="99"/>
      <x:c r="D509" s="99"/>
      <x:c r="E509" s="99"/>
      <x:c r="F509" s="99"/>
      <x:c r="G509" s="99"/>
      <x:c r="H509" s="99"/>
      <x:c r="I509" s="99"/>
      <x:c r="J509" s="99"/>
      <x:c r="K509" s="99"/>
      <x:c r="L509" s="99"/>
      <x:c r="M509" s="99"/>
      <x:c r="N509" s="99"/>
      <x:c r="O509" s="99"/>
      <x:c r="P509" s="99"/>
      <x:c r="Q509" s="99"/>
      <x:c r="R509" s="99"/>
      <x:c r="S509" s="99"/>
      <x:c r="T509" s="99"/>
      <x:c r="U509" s="99"/>
      <x:c r="V509" s="99"/>
      <x:c r="W509" s="99"/>
      <x:c r="X509" s="99"/>
      <x:c r="Y509" s="99"/>
      <x:c r="Z509" s="99"/>
    </x:row>
    <x:row r="510">
      <x:c r="A510" s="99"/>
      <x:c r="B510" s="99"/>
      <x:c r="C510" s="99"/>
      <x:c r="D510" s="99"/>
      <x:c r="E510" s="99"/>
      <x:c r="F510" s="99"/>
      <x:c r="G510" s="99"/>
      <x:c r="H510" s="99"/>
      <x:c r="I510" s="99"/>
      <x:c r="J510" s="99"/>
      <x:c r="K510" s="99"/>
      <x:c r="L510" s="99"/>
      <x:c r="M510" s="99"/>
      <x:c r="N510" s="99"/>
      <x:c r="O510" s="99"/>
      <x:c r="P510" s="99"/>
      <x:c r="Q510" s="99"/>
      <x:c r="R510" s="99"/>
      <x:c r="S510" s="99"/>
      <x:c r="T510" s="99"/>
      <x:c r="U510" s="99"/>
      <x:c r="V510" s="99"/>
      <x:c r="W510" s="99"/>
      <x:c r="X510" s="99"/>
      <x:c r="Y510" s="99"/>
      <x:c r="Z510" s="99"/>
    </x:row>
    <x:row r="511">
      <x:c r="A511" s="99"/>
      <x:c r="B511" s="99"/>
      <x:c r="C511" s="99"/>
      <x:c r="D511" s="99"/>
      <x:c r="E511" s="99"/>
      <x:c r="F511" s="99"/>
      <x:c r="G511" s="99"/>
      <x:c r="H511" s="99"/>
      <x:c r="I511" s="99"/>
      <x:c r="J511" s="99"/>
      <x:c r="K511" s="99"/>
      <x:c r="L511" s="99"/>
      <x:c r="M511" s="99"/>
      <x:c r="N511" s="99"/>
      <x:c r="O511" s="99"/>
      <x:c r="P511" s="99"/>
      <x:c r="Q511" s="99"/>
      <x:c r="R511" s="99"/>
      <x:c r="S511" s="99"/>
      <x:c r="T511" s="99"/>
      <x:c r="U511" s="99"/>
      <x:c r="V511" s="99"/>
      <x:c r="W511" s="99"/>
      <x:c r="X511" s="99"/>
      <x:c r="Y511" s="99"/>
      <x:c r="Z511" s="99"/>
    </x:row>
    <x:row r="512">
      <x:c r="A512" s="99"/>
      <x:c r="B512" s="99"/>
      <x:c r="C512" s="99"/>
      <x:c r="D512" s="99"/>
      <x:c r="E512" s="99"/>
      <x:c r="F512" s="99"/>
      <x:c r="G512" s="99"/>
      <x:c r="H512" s="99"/>
      <x:c r="I512" s="99"/>
      <x:c r="J512" s="99"/>
      <x:c r="K512" s="99"/>
      <x:c r="L512" s="99"/>
      <x:c r="M512" s="99"/>
      <x:c r="N512" s="99"/>
      <x:c r="O512" s="99"/>
      <x:c r="P512" s="99"/>
      <x:c r="Q512" s="99"/>
      <x:c r="R512" s="99"/>
      <x:c r="S512" s="99"/>
      <x:c r="T512" s="99"/>
      <x:c r="U512" s="99"/>
      <x:c r="V512" s="99"/>
      <x:c r="W512" s="99"/>
      <x:c r="X512" s="99"/>
      <x:c r="Y512" s="99"/>
      <x:c r="Z512" s="99"/>
    </x:row>
    <x:row r="513">
      <x:c r="A513" s="99"/>
      <x:c r="B513" s="99"/>
      <x:c r="C513" s="99"/>
      <x:c r="D513" s="99"/>
      <x:c r="E513" s="99"/>
      <x:c r="F513" s="99"/>
      <x:c r="G513" s="99"/>
      <x:c r="H513" s="99"/>
      <x:c r="I513" s="99"/>
      <x:c r="J513" s="99"/>
      <x:c r="K513" s="99"/>
      <x:c r="L513" s="99"/>
      <x:c r="M513" s="99"/>
      <x:c r="N513" s="99"/>
      <x:c r="O513" s="99"/>
      <x:c r="P513" s="99"/>
      <x:c r="Q513" s="99"/>
      <x:c r="R513" s="99"/>
      <x:c r="S513" s="99"/>
      <x:c r="T513" s="99"/>
      <x:c r="U513" s="99"/>
      <x:c r="V513" s="99"/>
      <x:c r="W513" s="99"/>
      <x:c r="X513" s="99"/>
      <x:c r="Y513" s="99"/>
      <x:c r="Z513" s="99"/>
    </x:row>
    <x:row r="514">
      <x:c r="A514" s="99"/>
      <x:c r="B514" s="99"/>
      <x:c r="C514" s="99"/>
      <x:c r="D514" s="99"/>
      <x:c r="E514" s="99"/>
      <x:c r="F514" s="99"/>
      <x:c r="G514" s="99"/>
      <x:c r="H514" s="99"/>
      <x:c r="I514" s="99"/>
      <x:c r="J514" s="99"/>
      <x:c r="K514" s="99"/>
      <x:c r="L514" s="99"/>
      <x:c r="M514" s="99"/>
      <x:c r="N514" s="99"/>
      <x:c r="O514" s="99"/>
      <x:c r="P514" s="99"/>
      <x:c r="Q514" s="99"/>
      <x:c r="R514" s="99"/>
      <x:c r="S514" s="99"/>
      <x:c r="T514" s="99"/>
      <x:c r="U514" s="99"/>
      <x:c r="V514" s="99"/>
      <x:c r="W514" s="99"/>
      <x:c r="X514" s="99"/>
      <x:c r="Y514" s="99"/>
      <x:c r="Z514" s="99"/>
    </x:row>
    <x:row r="515">
      <x:c r="A515" s="99"/>
      <x:c r="B515" s="99"/>
      <x:c r="C515" s="99"/>
      <x:c r="D515" s="99"/>
      <x:c r="E515" s="99"/>
      <x:c r="F515" s="99"/>
      <x:c r="G515" s="99"/>
      <x:c r="H515" s="99"/>
      <x:c r="I515" s="99"/>
      <x:c r="J515" s="99"/>
      <x:c r="K515" s="99"/>
      <x:c r="L515" s="99"/>
      <x:c r="M515" s="99"/>
      <x:c r="N515" s="99"/>
      <x:c r="O515" s="99"/>
      <x:c r="P515" s="99"/>
      <x:c r="Q515" s="99"/>
      <x:c r="R515" s="99"/>
      <x:c r="S515" s="99"/>
      <x:c r="T515" s="99"/>
      <x:c r="U515" s="99"/>
      <x:c r="V515" s="99"/>
      <x:c r="W515" s="99"/>
      <x:c r="X515" s="99"/>
      <x:c r="Y515" s="99"/>
      <x:c r="Z515" s="99"/>
    </x:row>
    <x:row r="516">
      <x:c r="A516" s="99"/>
      <x:c r="B516" s="99"/>
      <x:c r="C516" s="99"/>
      <x:c r="D516" s="99"/>
      <x:c r="E516" s="99"/>
      <x:c r="F516" s="99"/>
      <x:c r="G516" s="99"/>
      <x:c r="H516" s="99"/>
      <x:c r="I516" s="99"/>
      <x:c r="J516" s="99"/>
      <x:c r="K516" s="99"/>
      <x:c r="L516" s="99"/>
      <x:c r="M516" s="99"/>
      <x:c r="N516" s="99"/>
      <x:c r="O516" s="99"/>
      <x:c r="P516" s="99"/>
      <x:c r="Q516" s="99"/>
      <x:c r="R516" s="99"/>
      <x:c r="S516" s="99"/>
      <x:c r="T516" s="99"/>
      <x:c r="U516" s="99"/>
      <x:c r="V516" s="99"/>
      <x:c r="W516" s="99"/>
      <x:c r="X516" s="99"/>
      <x:c r="Y516" s="99"/>
      <x:c r="Z516" s="99"/>
    </x:row>
    <x:row r="517">
      <x:c r="A517" s="99"/>
      <x:c r="B517" s="99"/>
      <x:c r="C517" s="99"/>
      <x:c r="D517" s="99"/>
      <x:c r="E517" s="99"/>
      <x:c r="F517" s="99"/>
      <x:c r="G517" s="99"/>
      <x:c r="H517" s="99"/>
      <x:c r="I517" s="99"/>
      <x:c r="J517" s="99"/>
      <x:c r="K517" s="99"/>
      <x:c r="L517" s="99"/>
      <x:c r="M517" s="99"/>
      <x:c r="N517" s="99"/>
      <x:c r="O517" s="99"/>
      <x:c r="P517" s="99"/>
      <x:c r="Q517" s="99"/>
      <x:c r="R517" s="99"/>
      <x:c r="S517" s="99"/>
      <x:c r="T517" s="99"/>
      <x:c r="U517" s="99"/>
      <x:c r="V517" s="99"/>
      <x:c r="W517" s="99"/>
      <x:c r="X517" s="99"/>
      <x:c r="Y517" s="99"/>
      <x:c r="Z517" s="99"/>
    </x:row>
    <x:row r="518">
      <x:c r="A518" s="99"/>
      <x:c r="B518" s="99"/>
      <x:c r="C518" s="99"/>
      <x:c r="D518" s="99"/>
      <x:c r="E518" s="99"/>
      <x:c r="F518" s="99"/>
      <x:c r="G518" s="99"/>
      <x:c r="H518" s="99"/>
      <x:c r="I518" s="99"/>
      <x:c r="J518" s="99"/>
      <x:c r="K518" s="99"/>
      <x:c r="L518" s="99"/>
      <x:c r="M518" s="99"/>
      <x:c r="N518" s="99"/>
      <x:c r="O518" s="99"/>
      <x:c r="P518" s="99"/>
      <x:c r="Q518" s="99"/>
      <x:c r="R518" s="99"/>
      <x:c r="S518" s="99"/>
      <x:c r="T518" s="99"/>
      <x:c r="U518" s="99"/>
      <x:c r="V518" s="99"/>
      <x:c r="W518" s="99"/>
      <x:c r="X518" s="99"/>
      <x:c r="Y518" s="99"/>
      <x:c r="Z518" s="99"/>
    </x:row>
    <x:row r="519">
      <x:c r="A519" s="99"/>
      <x:c r="B519" s="99"/>
      <x:c r="C519" s="99"/>
      <x:c r="D519" s="99"/>
      <x:c r="E519" s="99"/>
      <x:c r="F519" s="99"/>
      <x:c r="G519" s="99"/>
      <x:c r="H519" s="99"/>
      <x:c r="I519" s="99"/>
      <x:c r="J519" s="99"/>
      <x:c r="K519" s="99"/>
      <x:c r="L519" s="99"/>
      <x:c r="M519" s="99"/>
      <x:c r="N519" s="99"/>
      <x:c r="O519" s="99"/>
      <x:c r="P519" s="99"/>
      <x:c r="Q519" s="99"/>
      <x:c r="R519" s="99"/>
      <x:c r="S519" s="99"/>
      <x:c r="T519" s="99"/>
      <x:c r="U519" s="99"/>
      <x:c r="V519" s="99"/>
      <x:c r="W519" s="99"/>
      <x:c r="X519" s="99"/>
      <x:c r="Y519" s="99"/>
      <x:c r="Z519" s="99"/>
    </x:row>
    <x:row r="520">
      <x:c r="A520" s="99"/>
      <x:c r="B520" s="99"/>
      <x:c r="C520" s="99"/>
      <x:c r="D520" s="99"/>
      <x:c r="E520" s="99"/>
      <x:c r="F520" s="99"/>
      <x:c r="G520" s="99"/>
      <x:c r="H520" s="99"/>
      <x:c r="I520" s="99"/>
      <x:c r="J520" s="99"/>
      <x:c r="K520" s="99"/>
      <x:c r="L520" s="99"/>
      <x:c r="M520" s="99"/>
      <x:c r="N520" s="99"/>
      <x:c r="O520" s="99"/>
      <x:c r="P520" s="99"/>
      <x:c r="Q520" s="99"/>
      <x:c r="R520" s="99"/>
      <x:c r="S520" s="99"/>
      <x:c r="T520" s="99"/>
      <x:c r="U520" s="99"/>
      <x:c r="V520" s="99"/>
      <x:c r="W520" s="99"/>
      <x:c r="X520" s="99"/>
      <x:c r="Y520" s="99"/>
      <x:c r="Z520" s="99"/>
    </x:row>
  </x:sheetData>
  <x:mergeCells>
    <x:mergeCell ref="A1:H1"/>
    <x:mergeCell ref="A3:H3"/>
    <x:mergeCell ref="E11:H11"/>
    <x:mergeCell ref="E12:H17"/>
  </x:mergeCell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58" hidden="0" customWidth="1"/>
    <x:col min="4" max="4" width="24" hidden="0" customWidth="1"/>
    <x:col min="5" max="5" width="18" hidden="0" customWidth="1"/>
  </x:cols>
  <x:sheetData>
    <x:row r="1">
      <x:c r="A1" s="165" t="str">
        <x:v>SETUP — define the study once</x:v>
      </x:c>
      <x:c r="B1" s="165"/>
      <x:c r="C1" s="165"/>
      <x:c r="D1" s="165"/>
      <x:c r="E1" s="165"/>
      <x:c r="F1" s="165"/>
      <x:c r="G1" s="99"/>
      <x:c r="H1" s="99"/>
      <x:c r="I1" s="99"/>
      <x:c r="J1" s="99"/>
      <x:c r="K1" s="99"/>
      <x:c r="L1" s="99"/>
      <x:c r="M1" s="99"/>
      <x:c r="N1" s="99"/>
      <x:c r="O1" s="99"/>
      <x:c r="P1" s="99"/>
      <x:c r="Q1" s="99"/>
      <x:c r="R1" s="99"/>
      <x:c r="S1" s="99"/>
      <x:c r="T1" s="99"/>
      <x:c r="U1" s="99"/>
      <x:c r="V1" s="99"/>
      <x:c r="W1" s="99"/>
      <x:c r="X1" s="99"/>
      <x:c r="Y1" s="99"/>
      <x:c r="Z1" s="99"/>
    </x:row>
    <x:row r="2">
      <x:c r="A2" s="99"/>
      <x:c r="B2" s="99"/>
      <x:c r="C2" s="99"/>
      <x:c r="D2" s="99"/>
      <x:c r="E2" s="99"/>
      <x:c r="F2" s="99"/>
      <x:c r="G2" s="99"/>
      <x:c r="H2" s="99"/>
      <x:c r="I2" s="99"/>
      <x:c r="J2" s="99"/>
      <x:c r="K2" s="99"/>
      <x:c r="L2" s="99"/>
      <x:c r="M2" s="99"/>
      <x:c r="N2" s="99"/>
      <x:c r="O2" s="99"/>
      <x:c r="P2" s="99"/>
      <x:c r="Q2" s="99"/>
      <x:c r="R2" s="99"/>
      <x:c r="S2" s="99"/>
      <x:c r="T2" s="99"/>
      <x:c r="U2" s="99"/>
      <x:c r="V2" s="99"/>
      <x:c r="W2" s="99"/>
      <x:c r="X2" s="99"/>
      <x:c r="Y2" s="99"/>
      <x:c r="Z2" s="99"/>
    </x:row>
    <x:row r="3">
      <x:c r="A3" s="106" t="str">
        <x:v>Study / Survey Name</x:v>
      </x:c>
      <x:c r="B3" s="119" t="str"/>
      <x:c r="C3" s="99"/>
      <x:c r="D3" s="101" t="str">
        <x:v>AUTO SUMMARY</x:v>
      </x:c>
      <x:c r="E3" s="101" t="str">
        <x:v>VALUE</x:v>
      </x:c>
      <x:c r="F3" s="99"/>
      <x:c r="G3" s="99"/>
      <x:c r="H3" s="99"/>
      <x:c r="I3" s="99"/>
      <x:c r="J3" s="99"/>
      <x:c r="K3" s="99"/>
      <x:c r="L3" s="99"/>
      <x:c r="M3" s="99"/>
      <x:c r="N3" s="99"/>
      <x:c r="O3" s="99"/>
      <x:c r="P3" s="99"/>
      <x:c r="Q3" s="99"/>
      <x:c r="R3" s="99"/>
      <x:c r="S3" s="99"/>
      <x:c r="T3" s="99"/>
      <x:c r="U3" s="99"/>
      <x:c r="V3" s="99"/>
      <x:c r="W3" s="99"/>
      <x:c r="X3" s="99"/>
      <x:c r="Y3" s="99"/>
      <x:c r="Z3" s="99"/>
    </x:row>
    <x:row r="4">
      <x:c r="A4" s="106" t="str">
        <x:v>Research / Decision Question</x:v>
      </x:c>
      <x:c r="B4" s="119" t="str"/>
      <x:c r="C4" s="99"/>
      <x:c r="D4" s="106" t="str">
        <x:v>Items Defined</x:v>
      </x:c>
      <x:c r="E4" s="120" t="n">
        <x:f>COUNTIF('SURVEY DESIGN'!C4:C15,"&lt;&gt;")</x:f>
        <x:v>0</x:v>
      </x:c>
      <x:c r="F4" s="99"/>
      <x:c r="G4" s="99"/>
      <x:c r="H4" s="99"/>
      <x:c r="I4" s="99"/>
      <x:c r="J4" s="99"/>
      <x:c r="K4" s="99"/>
      <x:c r="L4" s="99"/>
      <x:c r="M4" s="99"/>
      <x:c r="N4" s="99"/>
      <x:c r="O4" s="99"/>
      <x:c r="P4" s="99"/>
      <x:c r="Q4" s="99"/>
      <x:c r="R4" s="99"/>
      <x:c r="S4" s="99"/>
      <x:c r="T4" s="99"/>
      <x:c r="U4" s="99"/>
      <x:c r="V4" s="99"/>
      <x:c r="W4" s="99"/>
      <x:c r="X4" s="99"/>
      <x:c r="Y4" s="99"/>
      <x:c r="Z4" s="99"/>
    </x:row>
    <x:row r="5">
      <x:c r="A5" s="106" t="str">
        <x:v>Target Population</x:v>
      </x:c>
      <x:c r="B5" s="119" t="str"/>
      <x:c r="C5" s="99"/>
      <x:c r="D5" s="106" t="str">
        <x:v>Responses Pasted</x:v>
      </x:c>
      <x:c r="E5" s="120" t="n">
        <x:f>COUNTIF('RESPONSE DATA'!A4:A503,"&lt;&gt;")</x:f>
        <x:v>0</x:v>
      </x:c>
      <x:c r="F5" s="99"/>
      <x:c r="G5" s="99"/>
      <x:c r="H5" s="99"/>
      <x:c r="I5" s="99"/>
      <x:c r="J5" s="99"/>
      <x:c r="K5" s="99"/>
      <x:c r="L5" s="99"/>
      <x:c r="M5" s="99"/>
      <x:c r="N5" s="99"/>
      <x:c r="O5" s="99"/>
      <x:c r="P5" s="99"/>
      <x:c r="Q5" s="99"/>
      <x:c r="R5" s="99"/>
      <x:c r="S5" s="99"/>
      <x:c r="T5" s="99"/>
      <x:c r="U5" s="99"/>
      <x:c r="V5" s="99"/>
      <x:c r="W5" s="99"/>
      <x:c r="X5" s="99"/>
      <x:c r="Y5" s="99"/>
      <x:c r="Z5" s="99"/>
    </x:row>
    <x:row r="6">
      <x:c r="A6" s="106" t="str">
        <x:v>Invited / Eligible Count</x:v>
      </x:c>
      <x:c r="B6" s="119" t="n">
        <x:v>0</x:v>
      </x:c>
      <x:c r="C6" s="99"/>
      <x:c r="D6" s="106" t="str">
        <x:v>Included Responses</x:v>
      </x:c>
      <x:c r="E6" s="120" t="n">
        <x:f>COUNTIF('RESPONSE DATA'!K4:K503,"Yes")</x:f>
        <x:v>0</x:v>
      </x:c>
      <x:c r="F6" s="99"/>
      <x:c r="G6" s="99"/>
      <x:c r="H6" s="99"/>
      <x:c r="I6" s="99"/>
      <x:c r="J6" s="99"/>
      <x:c r="K6" s="99"/>
      <x:c r="L6" s="99"/>
      <x:c r="M6" s="99"/>
      <x:c r="N6" s="99"/>
      <x:c r="O6" s="99"/>
      <x:c r="P6" s="99"/>
      <x:c r="Q6" s="99"/>
      <x:c r="R6" s="99"/>
      <x:c r="S6" s="99"/>
      <x:c r="T6" s="99"/>
      <x:c r="U6" s="99"/>
      <x:c r="V6" s="99"/>
      <x:c r="W6" s="99"/>
      <x:c r="X6" s="99"/>
      <x:c r="Y6" s="99"/>
      <x:c r="Z6" s="99"/>
    </x:row>
    <x:row r="7">
      <x:c r="A7" s="106" t="str">
        <x:v>Fielding Start</x:v>
      </x:c>
      <x:c r="B7" s="121" t="n">
        <x:v>46296</x:v>
      </x:c>
      <x:c r="C7" s="99"/>
      <x:c r="D7" s="106" t="str">
        <x:v>Response Rate</x:v>
      </x:c>
      <x:c r="E7" s="122" t="n">
        <x:f>IF(B6=0,0,E5/B6)</x:f>
        <x:v>0</x:v>
      </x:c>
      <x:c r="F7" s="99"/>
      <x:c r="G7" s="99"/>
      <x:c r="H7" s="99"/>
      <x:c r="I7" s="99"/>
      <x:c r="J7" s="99"/>
      <x:c r="K7" s="99"/>
      <x:c r="L7" s="99"/>
      <x:c r="M7" s="99"/>
      <x:c r="N7" s="99"/>
      <x:c r="O7" s="99"/>
      <x:c r="P7" s="99"/>
      <x:c r="Q7" s="99"/>
      <x:c r="R7" s="99"/>
      <x:c r="S7" s="99"/>
      <x:c r="T7" s="99"/>
      <x:c r="U7" s="99"/>
      <x:c r="V7" s="99"/>
      <x:c r="W7" s="99"/>
      <x:c r="X7" s="99"/>
      <x:c r="Y7" s="99"/>
      <x:c r="Z7" s="99"/>
    </x:row>
    <x:row r="8">
      <x:c r="A8" s="106" t="str">
        <x:v>Fielding End</x:v>
      </x:c>
      <x:c r="B8" s="121" t="n">
        <x:v>46310</x:v>
      </x:c>
      <x:c r="C8" s="99"/>
      <x:c r="D8" s="106" t="str">
        <x:v>Analysis Retention</x:v>
      </x:c>
      <x:c r="E8" s="122" t="n">
        <x:f>IF(E5=0,0,E6/E5)</x:f>
        <x:v>0</x:v>
      </x:c>
      <x:c r="F8" s="99"/>
      <x:c r="G8" s="99"/>
      <x:c r="H8" s="99"/>
      <x:c r="I8" s="99"/>
      <x:c r="J8" s="99"/>
      <x:c r="K8" s="99"/>
      <x:c r="L8" s="99"/>
      <x:c r="M8" s="99"/>
      <x:c r="N8" s="99"/>
      <x:c r="O8" s="99"/>
      <x:c r="P8" s="99"/>
      <x:c r="Q8" s="99"/>
      <x:c r="R8" s="99"/>
      <x:c r="S8" s="99"/>
      <x:c r="T8" s="99"/>
      <x:c r="U8" s="99"/>
      <x:c r="V8" s="99"/>
      <x:c r="W8" s="99"/>
      <x:c r="X8" s="99"/>
      <x:c r="Y8" s="99"/>
      <x:c r="Z8" s="99"/>
    </x:row>
    <x:row r="9">
      <x:c r="A9" s="106" t="str">
        <x:v>Minimum Completion Minutes</x:v>
      </x:c>
      <x:c r="B9" s="119" t="n">
        <x:v>3</x:v>
      </x:c>
      <x:c r="C9" s="99"/>
      <x:c r="D9" s="106" t="str">
        <x:v>QA Exclusions</x:v>
      </x:c>
      <x:c r="E9" s="120" t="n">
        <x:f>COUNTIF('RESPONSE DATA'!K4:K503,"No")</x:f>
        <x:v>0</x:v>
      </x:c>
      <x:c r="F9" s="99"/>
      <x:c r="G9" s="99"/>
      <x:c r="H9" s="99"/>
      <x:c r="I9" s="99"/>
      <x:c r="J9" s="99"/>
      <x:c r="K9" s="99"/>
      <x:c r="L9" s="99"/>
      <x:c r="M9" s="99"/>
      <x:c r="N9" s="99"/>
      <x:c r="O9" s="99"/>
      <x:c r="P9" s="99"/>
      <x:c r="Q9" s="99"/>
      <x:c r="R9" s="99"/>
      <x:c r="S9" s="99"/>
      <x:c r="T9" s="99"/>
      <x:c r="U9" s="99"/>
      <x:c r="V9" s="99"/>
      <x:c r="W9" s="99"/>
      <x:c r="X9" s="99"/>
      <x:c r="Y9" s="99"/>
      <x:c r="Z9" s="99"/>
    </x:row>
    <x:row r="10">
      <x:c r="A10" s="106" t="str">
        <x:v>Straightline Review Threshold</x:v>
      </x:c>
      <x:c r="B10" s="119" t="n">
        <x:v>8</x:v>
      </x:c>
      <x:c r="C10" s="99"/>
      <x:c r="D10" s="106" t="str">
        <x:v>Average Overall Score</x:v>
      </x:c>
      <x:c r="E10" s="123" t="n">
        <x:f>IF(E6=0,0,SUMIF('RESPONSE DATA'!K4:K503,"Yes",'RESPONSE DATA'!Y4:Y503)/E6)</x:f>
        <x:v>0</x:v>
      </x:c>
      <x:c r="F10" s="99"/>
      <x:c r="G10" s="99"/>
      <x:c r="H10" s="99"/>
      <x:c r="I10" s="99"/>
      <x:c r="J10" s="99"/>
      <x:c r="K10" s="99"/>
      <x:c r="L10" s="99"/>
      <x:c r="M10" s="99"/>
      <x:c r="N10" s="99"/>
      <x:c r="O10" s="99"/>
      <x:c r="P10" s="99"/>
      <x:c r="Q10" s="99"/>
      <x:c r="R10" s="99"/>
      <x:c r="S10" s="99"/>
      <x:c r="T10" s="99"/>
      <x:c r="U10" s="99"/>
      <x:c r="V10" s="99"/>
      <x:c r="W10" s="99"/>
      <x:c r="X10" s="99"/>
      <x:c r="Y10" s="99"/>
      <x:c r="Z10" s="99"/>
    </x:row>
    <x:row r="11">
      <x:c r="A11" s="106" t="str">
        <x:v>Favorable Threshold</x:v>
      </x:c>
      <x:c r="B11" s="119" t="n">
        <x:v>4</x:v>
      </x:c>
      <x:c r="C11" s="99"/>
      <x:c r="D11" s="106" t="str">
        <x:v>Open-Text Responses</x:v>
      </x:c>
      <x:c r="E11" s="120" t="n">
        <x:f>COUNTIF('RESPONSE DATA'!Z4:Z503,"&lt;&gt;")</x:f>
        <x:v>0</x:v>
      </x:c>
      <x:c r="F11" s="99"/>
      <x:c r="G11" s="99"/>
      <x:c r="H11" s="99"/>
      <x:c r="I11" s="99"/>
      <x:c r="J11" s="99"/>
      <x:c r="K11" s="99"/>
      <x:c r="L11" s="99"/>
      <x:c r="M11" s="99"/>
      <x:c r="N11" s="99"/>
      <x:c r="O11" s="99"/>
      <x:c r="P11" s="99"/>
      <x:c r="Q11" s="99"/>
      <x:c r="R11" s="99"/>
      <x:c r="S11" s="99"/>
      <x:c r="T11" s="99"/>
      <x:c r="U11" s="99"/>
      <x:c r="V11" s="99"/>
      <x:c r="W11" s="99"/>
      <x:c r="X11" s="99"/>
      <x:c r="Y11" s="99"/>
      <x:c r="Z11" s="99"/>
    </x:row>
    <x:row r="12">
      <x:c r="A12" s="106" t="str">
        <x:v>Minimum Segment N</x:v>
      </x:c>
      <x:c r="B12" s="119" t="n">
        <x:v>5</x:v>
      </x:c>
      <x:c r="C12" s="99"/>
      <x:c r="D12" s="99"/>
      <x:c r="E12" s="99"/>
      <x:c r="F12" s="99"/>
      <x:c r="G12" s="99"/>
      <x:c r="H12" s="99"/>
      <x:c r="I12" s="99"/>
      <x:c r="J12" s="99"/>
      <x:c r="K12" s="99"/>
      <x:c r="L12" s="99"/>
      <x:c r="M12" s="99"/>
      <x:c r="N12" s="99"/>
      <x:c r="O12" s="99"/>
      <x:c r="P12" s="99"/>
      <x:c r="Q12" s="99"/>
      <x:c r="R12" s="99"/>
      <x:c r="S12" s="99"/>
      <x:c r="T12" s="99"/>
      <x:c r="U12" s="99"/>
      <x:c r="V12" s="99"/>
      <x:c r="W12" s="99"/>
      <x:c r="X12" s="99"/>
      <x:c r="Y12" s="99"/>
      <x:c r="Z12" s="99"/>
    </x:row>
    <x:row r="13">
      <x:c r="A13" s="99"/>
      <x:c r="B13" s="99"/>
      <x:c r="C13" s="99"/>
      <x:c r="D13" s="99"/>
      <x:c r="E13" s="99"/>
      <x:c r="F13" s="99"/>
      <x:c r="G13" s="99"/>
      <x:c r="H13" s="99"/>
      <x:c r="I13" s="99"/>
      <x:c r="J13" s="99"/>
      <x:c r="K13" s="99"/>
      <x:c r="L13" s="99"/>
      <x:c r="M13" s="99"/>
      <x:c r="N13" s="99"/>
      <x:c r="O13" s="99"/>
      <x:c r="P13" s="99"/>
      <x:c r="Q13" s="99"/>
      <x:c r="R13" s="99"/>
      <x:c r="S13" s="99"/>
      <x:c r="T13" s="99"/>
      <x:c r="U13" s="99"/>
      <x:c r="V13" s="99"/>
      <x:c r="W13" s="99"/>
      <x:c r="X13" s="99"/>
      <x:c r="Y13" s="99"/>
      <x:c r="Z13" s="99"/>
    </x:row>
    <x:row r="14">
      <x:c r="A14" s="99"/>
      <x:c r="B14" s="99"/>
      <x:c r="C14" s="99"/>
      <x:c r="D14" s="99"/>
      <x:c r="E14" s="99"/>
      <x:c r="F14" s="99"/>
      <x:c r="G14" s="99"/>
      <x:c r="H14" s="99"/>
      <x:c r="I14" s="99"/>
      <x:c r="J14" s="99"/>
      <x:c r="K14" s="99"/>
      <x:c r="L14" s="99"/>
      <x:c r="M14" s="99"/>
      <x:c r="N14" s="99"/>
      <x:c r="O14" s="99"/>
      <x:c r="P14" s="99"/>
      <x:c r="Q14" s="99"/>
      <x:c r="R14" s="99"/>
      <x:c r="S14" s="99"/>
      <x:c r="T14" s="99"/>
      <x:c r="U14" s="99"/>
      <x:c r="V14" s="99"/>
      <x:c r="W14" s="99"/>
      <x:c r="X14" s="99"/>
      <x:c r="Y14" s="99"/>
      <x:c r="Z14" s="99"/>
    </x:row>
    <x:row r="15">
      <x:c r="A15" s="99"/>
      <x:c r="B15" s="99"/>
      <x:c r="C15" s="99"/>
      <x:c r="D15" s="99"/>
      <x:c r="E15" s="99"/>
      <x:c r="F15" s="99"/>
      <x:c r="G15" s="99"/>
      <x:c r="H15" s="99"/>
      <x:c r="I15" s="99"/>
      <x:c r="J15" s="99"/>
      <x:c r="K15" s="99"/>
      <x:c r="L15" s="99"/>
      <x:c r="M15" s="99"/>
      <x:c r="N15" s="99"/>
      <x:c r="O15" s="99"/>
      <x:c r="P15" s="99"/>
      <x:c r="Q15" s="99"/>
      <x:c r="R15" s="99"/>
      <x:c r="S15" s="99"/>
      <x:c r="T15" s="99"/>
      <x:c r="U15" s="99"/>
      <x:c r="V15" s="99"/>
      <x:c r="W15" s="99"/>
      <x:c r="X15" s="99"/>
      <x:c r="Y15" s="99"/>
      <x:c r="Z15" s="99"/>
    </x:row>
    <x:row r="16">
      <x:c r="A16" s="99"/>
      <x:c r="B16" s="99"/>
      <x:c r="C16" s="99"/>
      <x:c r="D16" s="99"/>
      <x:c r="E16" s="99"/>
      <x:c r="F16" s="99"/>
      <x:c r="G16" s="99"/>
      <x:c r="H16" s="99"/>
      <x:c r="I16" s="99"/>
      <x:c r="J16" s="99"/>
      <x:c r="K16" s="99"/>
      <x:c r="L16" s="99"/>
      <x:c r="M16" s="99"/>
      <x:c r="N16" s="99"/>
      <x:c r="O16" s="99"/>
      <x:c r="P16" s="99"/>
      <x:c r="Q16" s="99"/>
      <x:c r="R16" s="99"/>
      <x:c r="S16" s="99"/>
      <x:c r="T16" s="99"/>
      <x:c r="U16" s="99"/>
      <x:c r="V16" s="99"/>
      <x:c r="W16" s="99"/>
      <x:c r="X16" s="99"/>
      <x:c r="Y16" s="99"/>
      <x:c r="Z16" s="99"/>
    </x:row>
    <x:row r="17">
      <x:c r="A17" s="99"/>
      <x:c r="B17" s="99"/>
      <x:c r="C17" s="99"/>
      <x:c r="D17" s="99"/>
      <x:c r="E17" s="99"/>
      <x:c r="F17" s="99"/>
      <x:c r="G17" s="99"/>
      <x:c r="H17" s="99"/>
      <x:c r="I17" s="99"/>
      <x:c r="J17" s="99"/>
      <x:c r="K17" s="99"/>
      <x:c r="L17" s="99"/>
      <x:c r="M17" s="99"/>
      <x:c r="N17" s="99"/>
      <x:c r="O17" s="99"/>
      <x:c r="P17" s="99"/>
      <x:c r="Q17" s="99"/>
      <x:c r="R17" s="99"/>
      <x:c r="S17" s="99"/>
      <x:c r="T17" s="99"/>
      <x:c r="U17" s="99"/>
      <x:c r="V17" s="99"/>
      <x:c r="W17" s="99"/>
      <x:c r="X17" s="99"/>
      <x:c r="Y17" s="99"/>
      <x:c r="Z17" s="99"/>
    </x:row>
    <x:row r="18">
      <x:c r="A18" s="99"/>
      <x:c r="B18" s="99"/>
      <x:c r="C18" s="99"/>
      <x:c r="D18" s="99"/>
      <x:c r="E18" s="99"/>
      <x:c r="F18" s="99"/>
      <x:c r="G18" s="99"/>
      <x:c r="H18" s="99"/>
      <x:c r="I18" s="99"/>
      <x:c r="J18" s="99"/>
      <x:c r="K18" s="99"/>
      <x:c r="L18" s="99"/>
      <x:c r="M18" s="99"/>
      <x:c r="N18" s="99"/>
      <x:c r="O18" s="99"/>
      <x:c r="P18" s="99"/>
      <x:c r="Q18" s="99"/>
      <x:c r="R18" s="99"/>
      <x:c r="S18" s="99"/>
      <x:c r="T18" s="99"/>
      <x:c r="U18" s="99"/>
      <x:c r="V18" s="99"/>
      <x:c r="W18" s="99"/>
      <x:c r="X18" s="99"/>
      <x:c r="Y18" s="99"/>
      <x:c r="Z18" s="99"/>
    </x:row>
    <x:row r="19">
      <x:c r="A19" s="99"/>
      <x:c r="B19" s="99"/>
      <x:c r="C19" s="99"/>
      <x:c r="D19" s="99"/>
      <x:c r="E19" s="99"/>
      <x:c r="F19" s="99"/>
      <x:c r="G19" s="99"/>
      <x:c r="H19" s="99"/>
      <x:c r="I19" s="99"/>
      <x:c r="J19" s="99"/>
      <x:c r="K19" s="99"/>
      <x:c r="L19" s="99"/>
      <x:c r="M19" s="99"/>
      <x:c r="N19" s="99"/>
      <x:c r="O19" s="99"/>
      <x:c r="P19" s="99"/>
      <x:c r="Q19" s="99"/>
      <x:c r="R19" s="99"/>
      <x:c r="S19" s="99"/>
      <x:c r="T19" s="99"/>
      <x:c r="U19" s="99"/>
      <x:c r="V19" s="99"/>
      <x:c r="W19" s="99"/>
      <x:c r="X19" s="99"/>
      <x:c r="Y19" s="99"/>
      <x:c r="Z19" s="99"/>
    </x:row>
    <x:row r="20">
      <x:c r="A20" s="99"/>
      <x:c r="B20" s="99"/>
      <x:c r="C20" s="99"/>
      <x:c r="D20" s="99"/>
      <x:c r="E20" s="99"/>
      <x:c r="F20" s="99"/>
      <x:c r="G20" s="99"/>
      <x:c r="H20" s="99"/>
      <x:c r="I20" s="99"/>
      <x:c r="J20" s="99"/>
      <x:c r="K20" s="99"/>
      <x:c r="L20" s="99"/>
      <x:c r="M20" s="99"/>
      <x:c r="N20" s="99"/>
      <x:c r="O20" s="99"/>
      <x:c r="P20" s="99"/>
      <x:c r="Q20" s="99"/>
      <x:c r="R20" s="99"/>
      <x:c r="S20" s="99"/>
      <x:c r="T20" s="99"/>
      <x:c r="U20" s="99"/>
      <x:c r="V20" s="99"/>
      <x:c r="W20" s="99"/>
      <x:c r="X20" s="99"/>
      <x:c r="Y20" s="99"/>
      <x:c r="Z20" s="99"/>
    </x:row>
    <x:row r="21">
      <x:c r="A21" s="99"/>
      <x:c r="B21" s="99"/>
      <x:c r="C21" s="99"/>
      <x:c r="D21" s="99"/>
      <x:c r="E21" s="99"/>
      <x:c r="F21" s="99"/>
      <x:c r="G21" s="99"/>
      <x:c r="H21" s="99"/>
      <x:c r="I21" s="99"/>
      <x:c r="J21" s="99"/>
      <x:c r="K21" s="99"/>
      <x:c r="L21" s="99"/>
      <x:c r="M21" s="99"/>
      <x:c r="N21" s="99"/>
      <x:c r="O21" s="99"/>
      <x:c r="P21" s="99"/>
      <x:c r="Q21" s="99"/>
      <x:c r="R21" s="99"/>
      <x:c r="S21" s="99"/>
      <x:c r="T21" s="99"/>
      <x:c r="U21" s="99"/>
      <x:c r="V21" s="99"/>
      <x:c r="W21" s="99"/>
      <x:c r="X21" s="99"/>
      <x:c r="Y21" s="99"/>
      <x:c r="Z21" s="99"/>
    </x:row>
    <x:row r="22">
      <x:c r="A22" s="99"/>
      <x:c r="B22" s="99"/>
      <x:c r="C22" s="99"/>
      <x:c r="D22" s="99"/>
      <x:c r="E22" s="99"/>
      <x:c r="F22" s="99"/>
      <x:c r="G22" s="99"/>
      <x:c r="H22" s="99"/>
      <x:c r="I22" s="99"/>
      <x:c r="J22" s="99"/>
      <x:c r="K22" s="99"/>
      <x:c r="L22" s="99"/>
      <x:c r="M22" s="99"/>
      <x:c r="N22" s="99"/>
      <x:c r="O22" s="99"/>
      <x:c r="P22" s="99"/>
      <x:c r="Q22" s="99"/>
      <x:c r="R22" s="99"/>
      <x:c r="S22" s="99"/>
      <x:c r="T22" s="99"/>
      <x:c r="U22" s="99"/>
      <x:c r="V22" s="99"/>
      <x:c r="W22" s="99"/>
      <x:c r="X22" s="99"/>
      <x:c r="Y22" s="99"/>
      <x:c r="Z22" s="99"/>
    </x:row>
    <x:row r="23">
      <x:c r="A23" s="99"/>
      <x:c r="B23" s="99"/>
      <x:c r="C23" s="99"/>
      <x:c r="D23" s="99"/>
      <x:c r="E23" s="99"/>
      <x:c r="F23" s="99"/>
      <x:c r="G23" s="99"/>
      <x:c r="H23" s="99"/>
      <x:c r="I23" s="99"/>
      <x:c r="J23" s="99"/>
      <x:c r="K23" s="99"/>
      <x:c r="L23" s="99"/>
      <x:c r="M23" s="99"/>
      <x:c r="N23" s="99"/>
      <x:c r="O23" s="99"/>
      <x:c r="P23" s="99"/>
      <x:c r="Q23" s="99"/>
      <x:c r="R23" s="99"/>
      <x:c r="S23" s="99"/>
      <x:c r="T23" s="99"/>
      <x:c r="U23" s="99"/>
      <x:c r="V23" s="99"/>
      <x:c r="W23" s="99"/>
      <x:c r="X23" s="99"/>
      <x:c r="Y23" s="99"/>
      <x:c r="Z23" s="99"/>
    </x:row>
    <x:row r="24">
      <x:c r="A24" s="99"/>
      <x:c r="B24" s="99"/>
      <x:c r="C24" s="99"/>
      <x:c r="D24" s="99"/>
      <x:c r="E24" s="99"/>
      <x:c r="F24" s="99"/>
      <x:c r="G24" s="99"/>
      <x:c r="H24" s="99"/>
      <x:c r="I24" s="99"/>
      <x:c r="J24" s="99"/>
      <x:c r="K24" s="99"/>
      <x:c r="L24" s="99"/>
      <x:c r="M24" s="99"/>
      <x:c r="N24" s="99"/>
      <x:c r="O24" s="99"/>
      <x:c r="P24" s="99"/>
      <x:c r="Q24" s="99"/>
      <x:c r="R24" s="99"/>
      <x:c r="S24" s="99"/>
      <x:c r="T24" s="99"/>
      <x:c r="U24" s="99"/>
      <x:c r="V24" s="99"/>
      <x:c r="W24" s="99"/>
      <x:c r="X24" s="99"/>
      <x:c r="Y24" s="99"/>
      <x:c r="Z24" s="99"/>
    </x:row>
    <x:row r="25">
      <x:c r="A25" s="99"/>
      <x:c r="B25" s="99"/>
      <x:c r="C25" s="99"/>
      <x:c r="D25" s="99"/>
      <x:c r="E25" s="99"/>
      <x:c r="F25" s="99"/>
      <x:c r="G25" s="99"/>
      <x:c r="H25" s="99"/>
      <x:c r="I25" s="99"/>
      <x:c r="J25" s="99"/>
      <x:c r="K25" s="99"/>
      <x:c r="L25" s="99"/>
      <x:c r="M25" s="99"/>
      <x:c r="N25" s="99"/>
      <x:c r="O25" s="99"/>
      <x:c r="P25" s="99"/>
      <x:c r="Q25" s="99"/>
      <x:c r="R25" s="99"/>
      <x:c r="S25" s="99"/>
      <x:c r="T25" s="99"/>
      <x:c r="U25" s="99"/>
      <x:c r="V25" s="99"/>
      <x:c r="W25" s="99"/>
      <x:c r="X25" s="99"/>
      <x:c r="Y25" s="99"/>
      <x:c r="Z25" s="99"/>
    </x:row>
    <x:row r="26">
      <x:c r="A26" s="99"/>
      <x:c r="B26" s="99"/>
      <x:c r="C26" s="99"/>
      <x:c r="D26" s="99"/>
      <x:c r="E26" s="99"/>
      <x:c r="F26" s="99"/>
      <x:c r="G26" s="99"/>
      <x:c r="H26" s="99"/>
      <x:c r="I26" s="99"/>
      <x:c r="J26" s="99"/>
      <x:c r="K26" s="99"/>
      <x:c r="L26" s="99"/>
      <x:c r="M26" s="99"/>
      <x:c r="N26" s="99"/>
      <x:c r="O26" s="99"/>
      <x:c r="P26" s="99"/>
      <x:c r="Q26" s="99"/>
      <x:c r="R26" s="99"/>
      <x:c r="S26" s="99"/>
      <x:c r="T26" s="99"/>
      <x:c r="U26" s="99"/>
      <x:c r="V26" s="99"/>
      <x:c r="W26" s="99"/>
      <x:c r="X26" s="99"/>
      <x:c r="Y26" s="99"/>
      <x:c r="Z26" s="99"/>
    </x:row>
    <x:row r="27">
      <x:c r="A27" s="99"/>
      <x:c r="B27" s="99"/>
      <x:c r="C27" s="99"/>
      <x:c r="D27" s="99"/>
      <x:c r="E27" s="99"/>
      <x:c r="F27" s="99"/>
      <x:c r="G27" s="99"/>
      <x:c r="H27" s="99"/>
      <x:c r="I27" s="99"/>
      <x:c r="J27" s="99"/>
      <x:c r="K27" s="99"/>
      <x:c r="L27" s="99"/>
      <x:c r="M27" s="99"/>
      <x:c r="N27" s="99"/>
      <x:c r="O27" s="99"/>
      <x:c r="P27" s="99"/>
      <x:c r="Q27" s="99"/>
      <x:c r="R27" s="99"/>
      <x:c r="S27" s="99"/>
      <x:c r="T27" s="99"/>
      <x:c r="U27" s="99"/>
      <x:c r="V27" s="99"/>
      <x:c r="W27" s="99"/>
      <x:c r="X27" s="99"/>
      <x:c r="Y27" s="99"/>
      <x:c r="Z27" s="99"/>
    </x:row>
    <x:row r="28">
      <x:c r="A28" s="99"/>
      <x:c r="B28" s="99"/>
      <x:c r="C28" s="99"/>
      <x:c r="D28" s="99"/>
      <x:c r="E28" s="99"/>
      <x:c r="F28" s="99"/>
      <x:c r="G28" s="99"/>
      <x:c r="H28" s="99"/>
      <x:c r="I28" s="99"/>
      <x:c r="J28" s="99"/>
      <x:c r="K28" s="99"/>
      <x:c r="L28" s="99"/>
      <x:c r="M28" s="99"/>
      <x:c r="N28" s="99"/>
      <x:c r="O28" s="99"/>
      <x:c r="P28" s="99"/>
      <x:c r="Q28" s="99"/>
      <x:c r="R28" s="99"/>
      <x:c r="S28" s="99"/>
      <x:c r="T28" s="99"/>
      <x:c r="U28" s="99"/>
      <x:c r="V28" s="99"/>
      <x:c r="W28" s="99"/>
      <x:c r="X28" s="99"/>
      <x:c r="Y28" s="99"/>
      <x:c r="Z28" s="99"/>
    </x:row>
    <x:row r="29">
      <x:c r="A29" s="99"/>
      <x:c r="B29" s="99"/>
      <x:c r="C29" s="99"/>
      <x:c r="D29" s="99"/>
      <x:c r="E29" s="99"/>
      <x:c r="F29" s="99"/>
      <x:c r="G29" s="99"/>
      <x:c r="H29" s="99"/>
      <x:c r="I29" s="99"/>
      <x:c r="J29" s="99"/>
      <x:c r="K29" s="99"/>
      <x:c r="L29" s="99"/>
      <x:c r="M29" s="99"/>
      <x:c r="N29" s="99"/>
      <x:c r="O29" s="99"/>
      <x:c r="P29" s="99"/>
      <x:c r="Q29" s="99"/>
      <x:c r="R29" s="99"/>
      <x:c r="S29" s="99"/>
      <x:c r="T29" s="99"/>
      <x:c r="U29" s="99"/>
      <x:c r="V29" s="99"/>
      <x:c r="W29" s="99"/>
      <x:c r="X29" s="99"/>
      <x:c r="Y29" s="99"/>
      <x:c r="Z29" s="99"/>
    </x:row>
    <x:row r="30">
      <x:c r="A30" s="99"/>
      <x:c r="B30" s="99"/>
      <x:c r="C30" s="99"/>
      <x:c r="D30" s="99"/>
      <x:c r="E30" s="99"/>
      <x:c r="F30" s="99"/>
      <x:c r="G30" s="99"/>
      <x:c r="H30" s="99"/>
      <x:c r="I30" s="99"/>
      <x:c r="J30" s="99"/>
      <x:c r="K30" s="99"/>
      <x:c r="L30" s="99"/>
      <x:c r="M30" s="99"/>
      <x:c r="N30" s="99"/>
      <x:c r="O30" s="99"/>
      <x:c r="P30" s="99"/>
      <x:c r="Q30" s="99"/>
      <x:c r="R30" s="99"/>
      <x:c r="S30" s="99"/>
      <x:c r="T30" s="99"/>
      <x:c r="U30" s="99"/>
      <x:c r="V30" s="99"/>
      <x:c r="W30" s="99"/>
      <x:c r="X30" s="99"/>
      <x:c r="Y30" s="99"/>
      <x:c r="Z30" s="99"/>
    </x:row>
    <x:row r="31">
      <x:c r="A31" s="99"/>
      <x:c r="B31" s="99"/>
      <x:c r="C31" s="99"/>
      <x:c r="D31" s="99"/>
      <x:c r="E31" s="99"/>
      <x:c r="F31" s="99"/>
      <x:c r="G31" s="99"/>
      <x:c r="H31" s="99"/>
      <x:c r="I31" s="99"/>
      <x:c r="J31" s="99"/>
      <x:c r="K31" s="99"/>
      <x:c r="L31" s="99"/>
      <x:c r="M31" s="99"/>
      <x:c r="N31" s="99"/>
      <x:c r="O31" s="99"/>
      <x:c r="P31" s="99"/>
      <x:c r="Q31" s="99"/>
      <x:c r="R31" s="99"/>
      <x:c r="S31" s="99"/>
      <x:c r="T31" s="99"/>
      <x:c r="U31" s="99"/>
      <x:c r="V31" s="99"/>
      <x:c r="W31" s="99"/>
      <x:c r="X31" s="99"/>
      <x:c r="Y31" s="99"/>
      <x:c r="Z31" s="99"/>
    </x:row>
    <x:row r="32">
      <x:c r="A32" s="99"/>
      <x:c r="B32" s="99"/>
      <x:c r="C32" s="99"/>
      <x:c r="D32" s="99"/>
      <x:c r="E32" s="99"/>
      <x:c r="F32" s="99"/>
      <x:c r="G32" s="99"/>
      <x:c r="H32" s="99"/>
      <x:c r="I32" s="99"/>
      <x:c r="J32" s="99"/>
      <x:c r="K32" s="99"/>
      <x:c r="L32" s="99"/>
      <x:c r="M32" s="99"/>
      <x:c r="N32" s="99"/>
      <x:c r="O32" s="99"/>
      <x:c r="P32" s="99"/>
      <x:c r="Q32" s="99"/>
      <x:c r="R32" s="99"/>
      <x:c r="S32" s="99"/>
      <x:c r="T32" s="99"/>
      <x:c r="U32" s="99"/>
      <x:c r="V32" s="99"/>
      <x:c r="W32" s="99"/>
      <x:c r="X32" s="99"/>
      <x:c r="Y32" s="99"/>
      <x:c r="Z32" s="99"/>
    </x:row>
    <x:row r="33">
      <x:c r="A33" s="99"/>
      <x:c r="B33" s="99"/>
      <x:c r="C33" s="99"/>
      <x:c r="D33" s="99"/>
      <x:c r="E33" s="99"/>
      <x:c r="F33" s="99"/>
      <x:c r="G33" s="99"/>
      <x:c r="H33" s="99"/>
      <x:c r="I33" s="99"/>
      <x:c r="J33" s="99"/>
      <x:c r="K33" s="99"/>
      <x:c r="L33" s="99"/>
      <x:c r="M33" s="99"/>
      <x:c r="N33" s="99"/>
      <x:c r="O33" s="99"/>
      <x:c r="P33" s="99"/>
      <x:c r="Q33" s="99"/>
      <x:c r="R33" s="99"/>
      <x:c r="S33" s="99"/>
      <x:c r="T33" s="99"/>
      <x:c r="U33" s="99"/>
      <x:c r="V33" s="99"/>
      <x:c r="W33" s="99"/>
      <x:c r="X33" s="99"/>
      <x:c r="Y33" s="99"/>
      <x:c r="Z33" s="99"/>
    </x:row>
    <x:row r="34">
      <x:c r="A34" s="99"/>
      <x:c r="B34" s="99"/>
      <x:c r="C34" s="99"/>
      <x:c r="D34" s="99"/>
      <x:c r="E34" s="99"/>
      <x:c r="F34" s="99"/>
      <x:c r="G34" s="99"/>
      <x:c r="H34" s="99"/>
      <x:c r="I34" s="99"/>
      <x:c r="J34" s="99"/>
      <x:c r="K34" s="99"/>
      <x:c r="L34" s="99"/>
      <x:c r="M34" s="99"/>
      <x:c r="N34" s="99"/>
      <x:c r="O34" s="99"/>
      <x:c r="P34" s="99"/>
      <x:c r="Q34" s="99"/>
      <x:c r="R34" s="99"/>
      <x:c r="S34" s="99"/>
      <x:c r="T34" s="99"/>
      <x:c r="U34" s="99"/>
      <x:c r="V34" s="99"/>
      <x:c r="W34" s="99"/>
      <x:c r="X34" s="99"/>
      <x:c r="Y34" s="99"/>
      <x:c r="Z34" s="99"/>
    </x:row>
    <x:row r="35">
      <x:c r="A35" s="99"/>
      <x:c r="B35" s="99"/>
      <x:c r="C35" s="99"/>
      <x:c r="D35" s="99"/>
      <x:c r="E35" s="99"/>
      <x:c r="F35" s="99"/>
      <x:c r="G35" s="99"/>
      <x:c r="H35" s="99"/>
      <x:c r="I35" s="99"/>
      <x:c r="J35" s="99"/>
      <x:c r="K35" s="99"/>
      <x:c r="L35" s="99"/>
      <x:c r="M35" s="99"/>
      <x:c r="N35" s="99"/>
      <x:c r="O35" s="99"/>
      <x:c r="P35" s="99"/>
      <x:c r="Q35" s="99"/>
      <x:c r="R35" s="99"/>
      <x:c r="S35" s="99"/>
      <x:c r="T35" s="99"/>
      <x:c r="U35" s="99"/>
      <x:c r="V35" s="99"/>
      <x:c r="W35" s="99"/>
      <x:c r="X35" s="99"/>
      <x:c r="Y35" s="99"/>
      <x:c r="Z35" s="99"/>
    </x:row>
    <x:row r="36">
      <x:c r="A36" s="99"/>
      <x:c r="B36" s="99"/>
      <x:c r="C36" s="99"/>
      <x:c r="D36" s="99"/>
      <x:c r="E36" s="99"/>
      <x:c r="F36" s="99"/>
      <x:c r="G36" s="99"/>
      <x:c r="H36" s="99"/>
      <x:c r="I36" s="99"/>
      <x:c r="J36" s="99"/>
      <x:c r="K36" s="99"/>
      <x:c r="L36" s="99"/>
      <x:c r="M36" s="99"/>
      <x:c r="N36" s="99"/>
      <x:c r="O36" s="99"/>
      <x:c r="P36" s="99"/>
      <x:c r="Q36" s="99"/>
      <x:c r="R36" s="99"/>
      <x:c r="S36" s="99"/>
      <x:c r="T36" s="99"/>
      <x:c r="U36" s="99"/>
      <x:c r="V36" s="99"/>
      <x:c r="W36" s="99"/>
      <x:c r="X36" s="99"/>
      <x:c r="Y36" s="99"/>
      <x:c r="Z36" s="99"/>
    </x:row>
    <x:row r="37">
      <x:c r="A37" s="99"/>
      <x:c r="B37" s="99"/>
      <x:c r="C37" s="99"/>
      <x:c r="D37" s="99"/>
      <x:c r="E37" s="99"/>
      <x:c r="F37" s="99"/>
      <x:c r="G37" s="99"/>
      <x:c r="H37" s="99"/>
      <x:c r="I37" s="99"/>
      <x:c r="J37" s="99"/>
      <x:c r="K37" s="99"/>
      <x:c r="L37" s="99"/>
      <x:c r="M37" s="99"/>
      <x:c r="N37" s="99"/>
      <x:c r="O37" s="99"/>
      <x:c r="P37" s="99"/>
      <x:c r="Q37" s="99"/>
      <x:c r="R37" s="99"/>
      <x:c r="S37" s="99"/>
      <x:c r="T37" s="99"/>
      <x:c r="U37" s="99"/>
      <x:c r="V37" s="99"/>
      <x:c r="W37" s="99"/>
      <x:c r="X37" s="99"/>
      <x:c r="Y37" s="99"/>
      <x:c r="Z37" s="99"/>
    </x:row>
    <x:row r="38">
      <x:c r="A38" s="99"/>
      <x:c r="B38" s="99"/>
      <x:c r="C38" s="99"/>
      <x:c r="D38" s="99"/>
      <x:c r="E38" s="99"/>
      <x:c r="F38" s="99"/>
      <x:c r="G38" s="99"/>
      <x:c r="H38" s="99"/>
      <x:c r="I38" s="99"/>
      <x:c r="J38" s="99"/>
      <x:c r="K38" s="99"/>
      <x:c r="L38" s="99"/>
      <x:c r="M38" s="99"/>
      <x:c r="N38" s="99"/>
      <x:c r="O38" s="99"/>
      <x:c r="P38" s="99"/>
      <x:c r="Q38" s="99"/>
      <x:c r="R38" s="99"/>
      <x:c r="S38" s="99"/>
      <x:c r="T38" s="99"/>
      <x:c r="U38" s="99"/>
      <x:c r="V38" s="99"/>
      <x:c r="W38" s="99"/>
      <x:c r="X38" s="99"/>
      <x:c r="Y38" s="99"/>
      <x:c r="Z38" s="99"/>
    </x:row>
    <x:row r="39">
      <x:c r="A39" s="99"/>
      <x:c r="B39" s="99"/>
      <x:c r="C39" s="99"/>
      <x:c r="D39" s="99"/>
      <x:c r="E39" s="99"/>
      <x:c r="F39" s="99"/>
      <x:c r="G39" s="99"/>
      <x:c r="H39" s="99"/>
      <x:c r="I39" s="99"/>
      <x:c r="J39" s="99"/>
      <x:c r="K39" s="99"/>
      <x:c r="L39" s="99"/>
      <x:c r="M39" s="99"/>
      <x:c r="N39" s="99"/>
      <x:c r="O39" s="99"/>
      <x:c r="P39" s="99"/>
      <x:c r="Q39" s="99"/>
      <x:c r="R39" s="99"/>
      <x:c r="S39" s="99"/>
      <x:c r="T39" s="99"/>
      <x:c r="U39" s="99"/>
      <x:c r="V39" s="99"/>
      <x:c r="W39" s="99"/>
      <x:c r="X39" s="99"/>
      <x:c r="Y39" s="99"/>
      <x:c r="Z39" s="99"/>
    </x:row>
    <x:row r="40">
      <x:c r="A40" s="99"/>
      <x:c r="B40" s="99"/>
      <x:c r="C40" s="99"/>
      <x:c r="D40" s="99"/>
      <x:c r="E40" s="99"/>
      <x:c r="F40" s="99"/>
      <x:c r="G40" s="99"/>
      <x:c r="H40" s="99"/>
      <x:c r="I40" s="99"/>
      <x:c r="J40" s="99"/>
      <x:c r="K40" s="99"/>
      <x:c r="L40" s="99"/>
      <x:c r="M40" s="99"/>
      <x:c r="N40" s="99"/>
      <x:c r="O40" s="99"/>
      <x:c r="P40" s="99"/>
      <x:c r="Q40" s="99"/>
      <x:c r="R40" s="99"/>
      <x:c r="S40" s="99"/>
      <x:c r="T40" s="99"/>
      <x:c r="U40" s="99"/>
      <x:c r="V40" s="99"/>
      <x:c r="W40" s="99"/>
      <x:c r="X40" s="99"/>
      <x:c r="Y40" s="99"/>
      <x:c r="Z40" s="99"/>
    </x:row>
    <x:row r="41">
      <x:c r="A41" s="99"/>
      <x:c r="B41" s="99"/>
      <x:c r="C41" s="99"/>
      <x:c r="D41" s="99"/>
      <x:c r="E41" s="99"/>
      <x:c r="F41" s="99"/>
      <x:c r="G41" s="99"/>
      <x:c r="H41" s="99"/>
      <x:c r="I41" s="99"/>
      <x:c r="J41" s="99"/>
      <x:c r="K41" s="99"/>
      <x:c r="L41" s="99"/>
      <x:c r="M41" s="99"/>
      <x:c r="N41" s="99"/>
      <x:c r="O41" s="99"/>
      <x:c r="P41" s="99"/>
      <x:c r="Q41" s="99"/>
      <x:c r="R41" s="99"/>
      <x:c r="S41" s="99"/>
      <x:c r="T41" s="99"/>
      <x:c r="U41" s="99"/>
      <x:c r="V41" s="99"/>
      <x:c r="W41" s="99"/>
      <x:c r="X41" s="99"/>
      <x:c r="Y41" s="99"/>
      <x:c r="Z41" s="99"/>
    </x:row>
    <x:row r="42">
      <x:c r="A42" s="99"/>
      <x:c r="B42" s="99"/>
      <x:c r="C42" s="99"/>
      <x:c r="D42" s="99"/>
      <x:c r="E42" s="99"/>
      <x:c r="F42" s="99"/>
      <x:c r="G42" s="99"/>
      <x:c r="H42" s="99"/>
      <x:c r="I42" s="99"/>
      <x:c r="J42" s="99"/>
      <x:c r="K42" s="99"/>
      <x:c r="L42" s="99"/>
      <x:c r="M42" s="99"/>
      <x:c r="N42" s="99"/>
      <x:c r="O42" s="99"/>
      <x:c r="P42" s="99"/>
      <x:c r="Q42" s="99"/>
      <x:c r="R42" s="99"/>
      <x:c r="S42" s="99"/>
      <x:c r="T42" s="99"/>
      <x:c r="U42" s="99"/>
      <x:c r="V42" s="99"/>
      <x:c r="W42" s="99"/>
      <x:c r="X42" s="99"/>
      <x:c r="Y42" s="99"/>
      <x:c r="Z42" s="99"/>
    </x:row>
    <x:row r="43">
      <x:c r="A43" s="99"/>
      <x:c r="B43" s="99"/>
      <x:c r="C43" s="99"/>
      <x:c r="D43" s="99"/>
      <x:c r="E43" s="99"/>
      <x:c r="F43" s="99"/>
      <x:c r="G43" s="99"/>
      <x:c r="H43" s="99"/>
      <x:c r="I43" s="99"/>
      <x:c r="J43" s="99"/>
      <x:c r="K43" s="99"/>
      <x:c r="L43" s="99"/>
      <x:c r="M43" s="99"/>
      <x:c r="N43" s="99"/>
      <x:c r="O43" s="99"/>
      <x:c r="P43" s="99"/>
      <x:c r="Q43" s="99"/>
      <x:c r="R43" s="99"/>
      <x:c r="S43" s="99"/>
      <x:c r="T43" s="99"/>
      <x:c r="U43" s="99"/>
      <x:c r="V43" s="99"/>
      <x:c r="W43" s="99"/>
      <x:c r="X43" s="99"/>
      <x:c r="Y43" s="99"/>
      <x:c r="Z43" s="99"/>
    </x:row>
    <x:row r="44">
      <x:c r="A44" s="99"/>
      <x:c r="B44" s="99"/>
      <x:c r="C44" s="99"/>
      <x:c r="D44" s="99"/>
      <x:c r="E44" s="99"/>
      <x:c r="F44" s="99"/>
      <x:c r="G44" s="99"/>
      <x:c r="H44" s="99"/>
      <x:c r="I44" s="99"/>
      <x:c r="J44" s="99"/>
      <x:c r="K44" s="99"/>
      <x:c r="L44" s="99"/>
      <x:c r="M44" s="99"/>
      <x:c r="N44" s="99"/>
      <x:c r="O44" s="99"/>
      <x:c r="P44" s="99"/>
      <x:c r="Q44" s="99"/>
      <x:c r="R44" s="99"/>
      <x:c r="S44" s="99"/>
      <x:c r="T44" s="99"/>
      <x:c r="U44" s="99"/>
      <x:c r="V44" s="99"/>
      <x:c r="W44" s="99"/>
      <x:c r="X44" s="99"/>
      <x:c r="Y44" s="99"/>
      <x:c r="Z44" s="99"/>
    </x:row>
    <x:row r="45">
      <x:c r="A45" s="99"/>
      <x:c r="B45" s="99"/>
      <x:c r="C45" s="99"/>
      <x:c r="D45" s="99"/>
      <x:c r="E45" s="99"/>
      <x:c r="F45" s="99"/>
      <x:c r="G45" s="99"/>
      <x:c r="H45" s="99"/>
      <x:c r="I45" s="99"/>
      <x:c r="J45" s="99"/>
      <x:c r="K45" s="99"/>
      <x:c r="L45" s="99"/>
      <x:c r="M45" s="99"/>
      <x:c r="N45" s="99"/>
      <x:c r="O45" s="99"/>
      <x:c r="P45" s="99"/>
      <x:c r="Q45" s="99"/>
      <x:c r="R45" s="99"/>
      <x:c r="S45" s="99"/>
      <x:c r="T45" s="99"/>
      <x:c r="U45" s="99"/>
      <x:c r="V45" s="99"/>
      <x:c r="W45" s="99"/>
      <x:c r="X45" s="99"/>
      <x:c r="Y45" s="99"/>
      <x:c r="Z45" s="99"/>
    </x:row>
    <x:row r="46">
      <x:c r="A46" s="99"/>
      <x:c r="B46" s="99"/>
      <x:c r="C46" s="99"/>
      <x:c r="D46" s="99"/>
      <x:c r="E46" s="99"/>
      <x:c r="F46" s="99"/>
      <x:c r="G46" s="99"/>
      <x:c r="H46" s="99"/>
      <x:c r="I46" s="99"/>
      <x:c r="J46" s="99"/>
      <x:c r="K46" s="99"/>
      <x:c r="L46" s="99"/>
      <x:c r="M46" s="99"/>
      <x:c r="N46" s="99"/>
      <x:c r="O46" s="99"/>
      <x:c r="P46" s="99"/>
      <x:c r="Q46" s="99"/>
      <x:c r="R46" s="99"/>
      <x:c r="S46" s="99"/>
      <x:c r="T46" s="99"/>
      <x:c r="U46" s="99"/>
      <x:c r="V46" s="99"/>
      <x:c r="W46" s="99"/>
      <x:c r="X46" s="99"/>
      <x:c r="Y46" s="99"/>
      <x:c r="Z46" s="99"/>
    </x:row>
    <x:row r="47">
      <x:c r="A47" s="99"/>
      <x:c r="B47" s="99"/>
      <x:c r="C47" s="99"/>
      <x:c r="D47" s="99"/>
      <x:c r="E47" s="99"/>
      <x:c r="F47" s="99"/>
      <x:c r="G47" s="99"/>
      <x:c r="H47" s="99"/>
      <x:c r="I47" s="99"/>
      <x:c r="J47" s="99"/>
      <x:c r="K47" s="99"/>
      <x:c r="L47" s="99"/>
      <x:c r="M47" s="99"/>
      <x:c r="N47" s="99"/>
      <x:c r="O47" s="99"/>
      <x:c r="P47" s="99"/>
      <x:c r="Q47" s="99"/>
      <x:c r="R47" s="99"/>
      <x:c r="S47" s="99"/>
      <x:c r="T47" s="99"/>
      <x:c r="U47" s="99"/>
      <x:c r="V47" s="99"/>
      <x:c r="W47" s="99"/>
      <x:c r="X47" s="99"/>
      <x:c r="Y47" s="99"/>
      <x:c r="Z47" s="99"/>
    </x:row>
    <x:row r="48">
      <x:c r="A48" s="99"/>
      <x:c r="B48" s="99"/>
      <x:c r="C48" s="99"/>
      <x:c r="D48" s="99"/>
      <x:c r="E48" s="99"/>
      <x:c r="F48" s="99"/>
      <x:c r="G48" s="99"/>
      <x:c r="H48" s="99"/>
      <x:c r="I48" s="99"/>
      <x:c r="J48" s="99"/>
      <x:c r="K48" s="99"/>
      <x:c r="L48" s="99"/>
      <x:c r="M48" s="99"/>
      <x:c r="N48" s="99"/>
      <x:c r="O48" s="99"/>
      <x:c r="P48" s="99"/>
      <x:c r="Q48" s="99"/>
      <x:c r="R48" s="99"/>
      <x:c r="S48" s="99"/>
      <x:c r="T48" s="99"/>
      <x:c r="U48" s="99"/>
      <x:c r="V48" s="99"/>
      <x:c r="W48" s="99"/>
      <x:c r="X48" s="99"/>
      <x:c r="Y48" s="99"/>
      <x:c r="Z48" s="99"/>
    </x:row>
    <x:row r="49">
      <x:c r="A49" s="99"/>
      <x:c r="B49" s="99"/>
      <x:c r="C49" s="99"/>
      <x:c r="D49" s="99"/>
      <x:c r="E49" s="99"/>
      <x:c r="F49" s="99"/>
      <x:c r="G49" s="99"/>
      <x:c r="H49" s="99"/>
      <x:c r="I49" s="99"/>
      <x:c r="J49" s="99"/>
      <x:c r="K49" s="99"/>
      <x:c r="L49" s="99"/>
      <x:c r="M49" s="99"/>
      <x:c r="N49" s="99"/>
      <x:c r="O49" s="99"/>
      <x:c r="P49" s="99"/>
      <x:c r="Q49" s="99"/>
      <x:c r="R49" s="99"/>
      <x:c r="S49" s="99"/>
      <x:c r="T49" s="99"/>
      <x:c r="U49" s="99"/>
      <x:c r="V49" s="99"/>
      <x:c r="W49" s="99"/>
      <x:c r="X49" s="99"/>
      <x:c r="Y49" s="99"/>
      <x:c r="Z49" s="99"/>
    </x:row>
    <x:row r="50">
      <x:c r="A50" s="99"/>
      <x:c r="B50" s="99"/>
      <x:c r="C50" s="99"/>
      <x:c r="D50" s="99"/>
      <x:c r="E50" s="99"/>
      <x:c r="F50" s="99"/>
      <x:c r="G50" s="99"/>
      <x:c r="H50" s="99"/>
      <x:c r="I50" s="99"/>
      <x:c r="J50" s="99"/>
      <x:c r="K50" s="99"/>
      <x:c r="L50" s="99"/>
      <x:c r="M50" s="99"/>
      <x:c r="N50" s="99"/>
      <x:c r="O50" s="99"/>
      <x:c r="P50" s="99"/>
      <x:c r="Q50" s="99"/>
      <x:c r="R50" s="99"/>
      <x:c r="S50" s="99"/>
      <x:c r="T50" s="99"/>
      <x:c r="U50" s="99"/>
      <x:c r="V50" s="99"/>
      <x:c r="W50" s="99"/>
      <x:c r="X50" s="99"/>
      <x:c r="Y50" s="99"/>
      <x:c r="Z50" s="99"/>
    </x:row>
    <x:row r="51">
      <x:c r="A51" s="99"/>
      <x:c r="B51" s="99"/>
      <x:c r="C51" s="99"/>
      <x:c r="D51" s="99"/>
      <x:c r="E51" s="99"/>
      <x:c r="F51" s="99"/>
      <x:c r="G51" s="99"/>
      <x:c r="H51" s="99"/>
      <x:c r="I51" s="99"/>
      <x:c r="J51" s="99"/>
      <x:c r="K51" s="99"/>
      <x:c r="L51" s="99"/>
      <x:c r="M51" s="99"/>
      <x:c r="N51" s="99"/>
      <x:c r="O51" s="99"/>
      <x:c r="P51" s="99"/>
      <x:c r="Q51" s="99"/>
      <x:c r="R51" s="99"/>
      <x:c r="S51" s="99"/>
      <x:c r="T51" s="99"/>
      <x:c r="U51" s="99"/>
      <x:c r="V51" s="99"/>
      <x:c r="W51" s="99"/>
      <x:c r="X51" s="99"/>
      <x:c r="Y51" s="99"/>
      <x:c r="Z51" s="99"/>
    </x:row>
    <x:row r="52">
      <x:c r="A52" s="99"/>
      <x:c r="B52" s="99"/>
      <x:c r="C52" s="99"/>
      <x:c r="D52" s="99"/>
      <x:c r="E52" s="99"/>
      <x:c r="F52" s="99"/>
      <x:c r="G52" s="99"/>
      <x:c r="H52" s="99"/>
      <x:c r="I52" s="99"/>
      <x:c r="J52" s="99"/>
      <x:c r="K52" s="99"/>
      <x:c r="L52" s="99"/>
      <x:c r="M52" s="99"/>
      <x:c r="N52" s="99"/>
      <x:c r="O52" s="99"/>
      <x:c r="P52" s="99"/>
      <x:c r="Q52" s="99"/>
      <x:c r="R52" s="99"/>
      <x:c r="S52" s="99"/>
      <x:c r="T52" s="99"/>
      <x:c r="U52" s="99"/>
      <x:c r="V52" s="99"/>
      <x:c r="W52" s="99"/>
      <x:c r="X52" s="99"/>
      <x:c r="Y52" s="99"/>
      <x:c r="Z52" s="99"/>
    </x:row>
    <x:row r="53">
      <x:c r="A53" s="99"/>
      <x:c r="B53" s="99"/>
      <x:c r="C53" s="99"/>
      <x:c r="D53" s="99"/>
      <x:c r="E53" s="99"/>
      <x:c r="F53" s="99"/>
      <x:c r="G53" s="99"/>
      <x:c r="H53" s="99"/>
      <x:c r="I53" s="99"/>
      <x:c r="J53" s="99"/>
      <x:c r="K53" s="99"/>
      <x:c r="L53" s="99"/>
      <x:c r="M53" s="99"/>
      <x:c r="N53" s="99"/>
      <x:c r="O53" s="99"/>
      <x:c r="P53" s="99"/>
      <x:c r="Q53" s="99"/>
      <x:c r="R53" s="99"/>
      <x:c r="S53" s="99"/>
      <x:c r="T53" s="99"/>
      <x:c r="U53" s="99"/>
      <x:c r="V53" s="99"/>
      <x:c r="W53" s="99"/>
      <x:c r="X53" s="99"/>
      <x:c r="Y53" s="99"/>
      <x:c r="Z53" s="99"/>
    </x:row>
    <x:row r="54">
      <x:c r="A54" s="99"/>
      <x:c r="B54" s="99"/>
      <x:c r="C54" s="99"/>
      <x:c r="D54" s="99"/>
      <x:c r="E54" s="99"/>
      <x:c r="F54" s="99"/>
      <x:c r="G54" s="99"/>
      <x:c r="H54" s="99"/>
      <x:c r="I54" s="99"/>
      <x:c r="J54" s="99"/>
      <x:c r="K54" s="99"/>
      <x:c r="L54" s="99"/>
      <x:c r="M54" s="99"/>
      <x:c r="N54" s="99"/>
      <x:c r="O54" s="99"/>
      <x:c r="P54" s="99"/>
      <x:c r="Q54" s="99"/>
      <x:c r="R54" s="99"/>
      <x:c r="S54" s="99"/>
      <x:c r="T54" s="99"/>
      <x:c r="U54" s="99"/>
      <x:c r="V54" s="99"/>
      <x:c r="W54" s="99"/>
      <x:c r="X54" s="99"/>
      <x:c r="Y54" s="99"/>
      <x:c r="Z54" s="99"/>
    </x:row>
    <x:row r="55">
      <x:c r="A55" s="99"/>
      <x:c r="B55" s="99"/>
      <x:c r="C55" s="99"/>
      <x:c r="D55" s="99"/>
      <x:c r="E55" s="99"/>
      <x:c r="F55" s="99"/>
      <x:c r="G55" s="99"/>
      <x:c r="H55" s="99"/>
      <x:c r="I55" s="99"/>
      <x:c r="J55" s="99"/>
      <x:c r="K55" s="99"/>
      <x:c r="L55" s="99"/>
      <x:c r="M55" s="99"/>
      <x:c r="N55" s="99"/>
      <x:c r="O55" s="99"/>
      <x:c r="P55" s="99"/>
      <x:c r="Q55" s="99"/>
      <x:c r="R55" s="99"/>
      <x:c r="S55" s="99"/>
      <x:c r="T55" s="99"/>
      <x:c r="U55" s="99"/>
      <x:c r="V55" s="99"/>
      <x:c r="W55" s="99"/>
      <x:c r="X55" s="99"/>
      <x:c r="Y55" s="99"/>
      <x:c r="Z55" s="99"/>
    </x:row>
    <x:row r="56">
      <x:c r="A56" s="99"/>
      <x:c r="B56" s="99"/>
      <x:c r="C56" s="99"/>
      <x:c r="D56" s="99"/>
      <x:c r="E56" s="99"/>
      <x:c r="F56" s="99"/>
      <x:c r="G56" s="99"/>
      <x:c r="H56" s="99"/>
      <x:c r="I56" s="99"/>
      <x:c r="J56" s="99"/>
      <x:c r="K56" s="99"/>
      <x:c r="L56" s="99"/>
      <x:c r="M56" s="99"/>
      <x:c r="N56" s="99"/>
      <x:c r="O56" s="99"/>
      <x:c r="P56" s="99"/>
      <x:c r="Q56" s="99"/>
      <x:c r="R56" s="99"/>
      <x:c r="S56" s="99"/>
      <x:c r="T56" s="99"/>
      <x:c r="U56" s="99"/>
      <x:c r="V56" s="99"/>
      <x:c r="W56" s="99"/>
      <x:c r="X56" s="99"/>
      <x:c r="Y56" s="99"/>
      <x:c r="Z56" s="99"/>
    </x:row>
    <x:row r="57">
      <x:c r="A57" s="99"/>
      <x:c r="B57" s="99"/>
      <x:c r="C57" s="99"/>
      <x:c r="D57" s="99"/>
      <x:c r="E57" s="99"/>
      <x:c r="F57" s="99"/>
      <x:c r="G57" s="99"/>
      <x:c r="H57" s="99"/>
      <x:c r="I57" s="99"/>
      <x:c r="J57" s="99"/>
      <x:c r="K57" s="99"/>
      <x:c r="L57" s="99"/>
      <x:c r="M57" s="99"/>
      <x:c r="N57" s="99"/>
      <x:c r="O57" s="99"/>
      <x:c r="P57" s="99"/>
      <x:c r="Q57" s="99"/>
      <x:c r="R57" s="99"/>
      <x:c r="S57" s="99"/>
      <x:c r="T57" s="99"/>
      <x:c r="U57" s="99"/>
      <x:c r="V57" s="99"/>
      <x:c r="W57" s="99"/>
      <x:c r="X57" s="99"/>
      <x:c r="Y57" s="99"/>
      <x:c r="Z57" s="99"/>
    </x:row>
    <x:row r="58">
      <x:c r="A58" s="99"/>
      <x:c r="B58" s="99"/>
      <x:c r="C58" s="99"/>
      <x:c r="D58" s="99"/>
      <x:c r="E58" s="99"/>
      <x:c r="F58" s="99"/>
      <x:c r="G58" s="99"/>
      <x:c r="H58" s="99"/>
      <x:c r="I58" s="99"/>
      <x:c r="J58" s="99"/>
      <x:c r="K58" s="99"/>
      <x:c r="L58" s="99"/>
      <x:c r="M58" s="99"/>
      <x:c r="N58" s="99"/>
      <x:c r="O58" s="99"/>
      <x:c r="P58" s="99"/>
      <x:c r="Q58" s="99"/>
      <x:c r="R58" s="99"/>
      <x:c r="S58" s="99"/>
      <x:c r="T58" s="99"/>
      <x:c r="U58" s="99"/>
      <x:c r="V58" s="99"/>
      <x:c r="W58" s="99"/>
      <x:c r="X58" s="99"/>
      <x:c r="Y58" s="99"/>
      <x:c r="Z58" s="99"/>
    </x:row>
    <x:row r="59">
      <x:c r="A59" s="99"/>
      <x:c r="B59" s="99"/>
      <x:c r="C59" s="99"/>
      <x:c r="D59" s="99"/>
      <x:c r="E59" s="99"/>
      <x:c r="F59" s="99"/>
      <x:c r="G59" s="99"/>
      <x:c r="H59" s="99"/>
      <x:c r="I59" s="99"/>
      <x:c r="J59" s="99"/>
      <x:c r="K59" s="99"/>
      <x:c r="L59" s="99"/>
      <x:c r="M59" s="99"/>
      <x:c r="N59" s="99"/>
      <x:c r="O59" s="99"/>
      <x:c r="P59" s="99"/>
      <x:c r="Q59" s="99"/>
      <x:c r="R59" s="99"/>
      <x:c r="S59" s="99"/>
      <x:c r="T59" s="99"/>
      <x:c r="U59" s="99"/>
      <x:c r="V59" s="99"/>
      <x:c r="W59" s="99"/>
      <x:c r="X59" s="99"/>
      <x:c r="Y59" s="99"/>
      <x:c r="Z59" s="99"/>
    </x:row>
    <x:row r="60">
      <x:c r="A60" s="99"/>
      <x:c r="B60" s="99"/>
      <x:c r="C60" s="99"/>
      <x:c r="D60" s="99"/>
      <x:c r="E60" s="99"/>
      <x:c r="F60" s="99"/>
      <x:c r="G60" s="99"/>
      <x:c r="H60" s="99"/>
      <x:c r="I60" s="99"/>
      <x:c r="J60" s="99"/>
      <x:c r="K60" s="99"/>
      <x:c r="L60" s="99"/>
      <x:c r="M60" s="99"/>
      <x:c r="N60" s="99"/>
      <x:c r="O60" s="99"/>
      <x:c r="P60" s="99"/>
      <x:c r="Q60" s="99"/>
      <x:c r="R60" s="99"/>
      <x:c r="S60" s="99"/>
      <x:c r="T60" s="99"/>
      <x:c r="U60" s="99"/>
      <x:c r="V60" s="99"/>
      <x:c r="W60" s="99"/>
      <x:c r="X60" s="99"/>
      <x:c r="Y60" s="99"/>
      <x:c r="Z60" s="99"/>
    </x:row>
    <x:row r="61">
      <x:c r="A61" s="99"/>
      <x:c r="B61" s="99"/>
      <x:c r="C61" s="99"/>
      <x:c r="D61" s="99"/>
      <x:c r="E61" s="99"/>
      <x:c r="F61" s="99"/>
      <x:c r="G61" s="99"/>
      <x:c r="H61" s="99"/>
      <x:c r="I61" s="99"/>
      <x:c r="J61" s="99"/>
      <x:c r="K61" s="99"/>
      <x:c r="L61" s="99"/>
      <x:c r="M61" s="99"/>
      <x:c r="N61" s="99"/>
      <x:c r="O61" s="99"/>
      <x:c r="P61" s="99"/>
      <x:c r="Q61" s="99"/>
      <x:c r="R61" s="99"/>
      <x:c r="S61" s="99"/>
      <x:c r="T61" s="99"/>
      <x:c r="U61" s="99"/>
      <x:c r="V61" s="99"/>
      <x:c r="W61" s="99"/>
      <x:c r="X61" s="99"/>
      <x:c r="Y61" s="99"/>
      <x:c r="Z61" s="99"/>
    </x:row>
    <x:row r="62">
      <x:c r="A62" s="99"/>
      <x:c r="B62" s="99"/>
      <x:c r="C62" s="99"/>
      <x:c r="D62" s="99"/>
      <x:c r="E62" s="99"/>
      <x:c r="F62" s="99"/>
      <x:c r="G62" s="99"/>
      <x:c r="H62" s="99"/>
      <x:c r="I62" s="99"/>
      <x:c r="J62" s="99"/>
      <x:c r="K62" s="99"/>
      <x:c r="L62" s="99"/>
      <x:c r="M62" s="99"/>
      <x:c r="N62" s="99"/>
      <x:c r="O62" s="99"/>
      <x:c r="P62" s="99"/>
      <x:c r="Q62" s="99"/>
      <x:c r="R62" s="99"/>
      <x:c r="S62" s="99"/>
      <x:c r="T62" s="99"/>
      <x:c r="U62" s="99"/>
      <x:c r="V62" s="99"/>
      <x:c r="W62" s="99"/>
      <x:c r="X62" s="99"/>
      <x:c r="Y62" s="99"/>
      <x:c r="Z62" s="99"/>
    </x:row>
    <x:row r="63">
      <x:c r="A63" s="99"/>
      <x:c r="B63" s="99"/>
      <x:c r="C63" s="99"/>
      <x:c r="D63" s="99"/>
      <x:c r="E63" s="99"/>
      <x:c r="F63" s="99"/>
      <x:c r="G63" s="99"/>
      <x:c r="H63" s="99"/>
      <x:c r="I63" s="99"/>
      <x:c r="J63" s="99"/>
      <x:c r="K63" s="99"/>
      <x:c r="L63" s="99"/>
      <x:c r="M63" s="99"/>
      <x:c r="N63" s="99"/>
      <x:c r="O63" s="99"/>
      <x:c r="P63" s="99"/>
      <x:c r="Q63" s="99"/>
      <x:c r="R63" s="99"/>
      <x:c r="S63" s="99"/>
      <x:c r="T63" s="99"/>
      <x:c r="U63" s="99"/>
      <x:c r="V63" s="99"/>
      <x:c r="W63" s="99"/>
      <x:c r="X63" s="99"/>
      <x:c r="Y63" s="99"/>
      <x:c r="Z63" s="99"/>
    </x:row>
    <x:row r="64">
      <x:c r="A64" s="99"/>
      <x:c r="B64" s="99"/>
      <x:c r="C64" s="99"/>
      <x:c r="D64" s="99"/>
      <x:c r="E64" s="99"/>
      <x:c r="F64" s="99"/>
      <x:c r="G64" s="99"/>
      <x:c r="H64" s="99"/>
      <x:c r="I64" s="99"/>
      <x:c r="J64" s="99"/>
      <x:c r="K64" s="99"/>
      <x:c r="L64" s="99"/>
      <x:c r="M64" s="99"/>
      <x:c r="N64" s="99"/>
      <x:c r="O64" s="99"/>
      <x:c r="P64" s="99"/>
      <x:c r="Q64" s="99"/>
      <x:c r="R64" s="99"/>
      <x:c r="S64" s="99"/>
      <x:c r="T64" s="99"/>
      <x:c r="U64" s="99"/>
      <x:c r="V64" s="99"/>
      <x:c r="W64" s="99"/>
      <x:c r="X64" s="99"/>
      <x:c r="Y64" s="99"/>
      <x:c r="Z64" s="99"/>
    </x:row>
    <x:row r="65">
      <x:c r="A65" s="99"/>
      <x:c r="B65" s="99"/>
      <x:c r="C65" s="99"/>
      <x:c r="D65" s="99"/>
      <x:c r="E65" s="99"/>
      <x:c r="F65" s="99"/>
      <x:c r="G65" s="99"/>
      <x:c r="H65" s="99"/>
      <x:c r="I65" s="99"/>
      <x:c r="J65" s="99"/>
      <x:c r="K65" s="99"/>
      <x:c r="L65" s="99"/>
      <x:c r="M65" s="99"/>
      <x:c r="N65" s="99"/>
      <x:c r="O65" s="99"/>
      <x:c r="P65" s="99"/>
      <x:c r="Q65" s="99"/>
      <x:c r="R65" s="99"/>
      <x:c r="S65" s="99"/>
      <x:c r="T65" s="99"/>
      <x:c r="U65" s="99"/>
      <x:c r="V65" s="99"/>
      <x:c r="W65" s="99"/>
      <x:c r="X65" s="99"/>
      <x:c r="Y65" s="99"/>
      <x:c r="Z65" s="99"/>
    </x:row>
    <x:row r="66">
      <x:c r="A66" s="99"/>
      <x:c r="B66" s="99"/>
      <x:c r="C66" s="99"/>
      <x:c r="D66" s="99"/>
      <x:c r="E66" s="99"/>
      <x:c r="F66" s="99"/>
      <x:c r="G66" s="99"/>
      <x:c r="H66" s="99"/>
      <x:c r="I66" s="99"/>
      <x:c r="J66" s="99"/>
      <x:c r="K66" s="99"/>
      <x:c r="L66" s="99"/>
      <x:c r="M66" s="99"/>
      <x:c r="N66" s="99"/>
      <x:c r="O66" s="99"/>
      <x:c r="P66" s="99"/>
      <x:c r="Q66" s="99"/>
      <x:c r="R66" s="99"/>
      <x:c r="S66" s="99"/>
      <x:c r="T66" s="99"/>
      <x:c r="U66" s="99"/>
      <x:c r="V66" s="99"/>
      <x:c r="W66" s="99"/>
      <x:c r="X66" s="99"/>
      <x:c r="Y66" s="99"/>
      <x:c r="Z66" s="99"/>
    </x:row>
    <x:row r="67">
      <x:c r="A67" s="99"/>
      <x:c r="B67" s="99"/>
      <x:c r="C67" s="99"/>
      <x:c r="D67" s="99"/>
      <x:c r="E67" s="99"/>
      <x:c r="F67" s="99"/>
      <x:c r="G67" s="99"/>
      <x:c r="H67" s="99"/>
      <x:c r="I67" s="99"/>
      <x:c r="J67" s="99"/>
      <x:c r="K67" s="99"/>
      <x:c r="L67" s="99"/>
      <x:c r="M67" s="99"/>
      <x:c r="N67" s="99"/>
      <x:c r="O67" s="99"/>
      <x:c r="P67" s="99"/>
      <x:c r="Q67" s="99"/>
      <x:c r="R67" s="99"/>
      <x:c r="S67" s="99"/>
      <x:c r="T67" s="99"/>
      <x:c r="U67" s="99"/>
      <x:c r="V67" s="99"/>
      <x:c r="W67" s="99"/>
      <x:c r="X67" s="99"/>
      <x:c r="Y67" s="99"/>
      <x:c r="Z67" s="99"/>
    </x:row>
    <x:row r="68">
      <x:c r="A68" s="99"/>
      <x:c r="B68" s="99"/>
      <x:c r="C68" s="99"/>
      <x:c r="D68" s="99"/>
      <x:c r="E68" s="99"/>
      <x:c r="F68" s="99"/>
      <x:c r="G68" s="99"/>
      <x:c r="H68" s="99"/>
      <x:c r="I68" s="99"/>
      <x:c r="J68" s="99"/>
      <x:c r="K68" s="99"/>
      <x:c r="L68" s="99"/>
      <x:c r="M68" s="99"/>
      <x:c r="N68" s="99"/>
      <x:c r="O68" s="99"/>
      <x:c r="P68" s="99"/>
      <x:c r="Q68" s="99"/>
      <x:c r="R68" s="99"/>
      <x:c r="S68" s="99"/>
      <x:c r="T68" s="99"/>
      <x:c r="U68" s="99"/>
      <x:c r="V68" s="99"/>
      <x:c r="W68" s="99"/>
      <x:c r="X68" s="99"/>
      <x:c r="Y68" s="99"/>
      <x:c r="Z68" s="99"/>
    </x:row>
    <x:row r="69">
      <x:c r="A69" s="99"/>
      <x:c r="B69" s="99"/>
      <x:c r="C69" s="99"/>
      <x:c r="D69" s="99"/>
      <x:c r="E69" s="99"/>
      <x:c r="F69" s="99"/>
      <x:c r="G69" s="99"/>
      <x:c r="H69" s="99"/>
      <x:c r="I69" s="99"/>
      <x:c r="J69" s="99"/>
      <x:c r="K69" s="99"/>
      <x:c r="L69" s="99"/>
      <x:c r="M69" s="99"/>
      <x:c r="N69" s="99"/>
      <x:c r="O69" s="99"/>
      <x:c r="P69" s="99"/>
      <x:c r="Q69" s="99"/>
      <x:c r="R69" s="99"/>
      <x:c r="S69" s="99"/>
      <x:c r="T69" s="99"/>
      <x:c r="U69" s="99"/>
      <x:c r="V69" s="99"/>
      <x:c r="W69" s="99"/>
      <x:c r="X69" s="99"/>
      <x:c r="Y69" s="99"/>
      <x:c r="Z69" s="99"/>
    </x:row>
    <x:row r="70">
      <x:c r="A70" s="99"/>
      <x:c r="B70" s="99"/>
      <x:c r="C70" s="99"/>
      <x:c r="D70" s="99"/>
      <x:c r="E70" s="99"/>
      <x:c r="F70" s="99"/>
      <x:c r="G70" s="99"/>
      <x:c r="H70" s="99"/>
      <x:c r="I70" s="99"/>
      <x:c r="J70" s="99"/>
      <x:c r="K70" s="99"/>
      <x:c r="L70" s="99"/>
      <x:c r="M70" s="99"/>
      <x:c r="N70" s="99"/>
      <x:c r="O70" s="99"/>
      <x:c r="P70" s="99"/>
      <x:c r="Q70" s="99"/>
      <x:c r="R70" s="99"/>
      <x:c r="S70" s="99"/>
      <x:c r="T70" s="99"/>
      <x:c r="U70" s="99"/>
      <x:c r="V70" s="99"/>
      <x:c r="W70" s="99"/>
      <x:c r="X70" s="99"/>
      <x:c r="Y70" s="99"/>
      <x:c r="Z70" s="99"/>
    </x:row>
    <x:row r="71">
      <x:c r="A71" s="99"/>
      <x:c r="B71" s="99"/>
      <x:c r="C71" s="99"/>
      <x:c r="D71" s="99"/>
      <x:c r="E71" s="99"/>
      <x:c r="F71" s="99"/>
      <x:c r="G71" s="99"/>
      <x:c r="H71" s="99"/>
      <x:c r="I71" s="99"/>
      <x:c r="J71" s="99"/>
      <x:c r="K71" s="99"/>
      <x:c r="L71" s="99"/>
      <x:c r="M71" s="99"/>
      <x:c r="N71" s="99"/>
      <x:c r="O71" s="99"/>
      <x:c r="P71" s="99"/>
      <x:c r="Q71" s="99"/>
      <x:c r="R71" s="99"/>
      <x:c r="S71" s="99"/>
      <x:c r="T71" s="99"/>
      <x:c r="U71" s="99"/>
      <x:c r="V71" s="99"/>
      <x:c r="W71" s="99"/>
      <x:c r="X71" s="99"/>
      <x:c r="Y71" s="99"/>
      <x:c r="Z71" s="99"/>
    </x:row>
    <x:row r="72">
      <x:c r="A72" s="99"/>
      <x:c r="B72" s="99"/>
      <x:c r="C72" s="99"/>
      <x:c r="D72" s="99"/>
      <x:c r="E72" s="99"/>
      <x:c r="F72" s="99"/>
      <x:c r="G72" s="99"/>
      <x:c r="H72" s="99"/>
      <x:c r="I72" s="99"/>
      <x:c r="J72" s="99"/>
      <x:c r="K72" s="99"/>
      <x:c r="L72" s="99"/>
      <x:c r="M72" s="99"/>
      <x:c r="N72" s="99"/>
      <x:c r="O72" s="99"/>
      <x:c r="P72" s="99"/>
      <x:c r="Q72" s="99"/>
      <x:c r="R72" s="99"/>
      <x:c r="S72" s="99"/>
      <x:c r="T72" s="99"/>
      <x:c r="U72" s="99"/>
      <x:c r="V72" s="99"/>
      <x:c r="W72" s="99"/>
      <x:c r="X72" s="99"/>
      <x:c r="Y72" s="99"/>
      <x:c r="Z72" s="99"/>
    </x:row>
    <x:row r="73">
      <x:c r="A73" s="99"/>
      <x:c r="B73" s="99"/>
      <x:c r="C73" s="99"/>
      <x:c r="D73" s="99"/>
      <x:c r="E73" s="99"/>
      <x:c r="F73" s="99"/>
      <x:c r="G73" s="99"/>
      <x:c r="H73" s="99"/>
      <x:c r="I73" s="99"/>
      <x:c r="J73" s="99"/>
      <x:c r="K73" s="99"/>
      <x:c r="L73" s="99"/>
      <x:c r="M73" s="99"/>
      <x:c r="N73" s="99"/>
      <x:c r="O73" s="99"/>
      <x:c r="P73" s="99"/>
      <x:c r="Q73" s="99"/>
      <x:c r="R73" s="99"/>
      <x:c r="S73" s="99"/>
      <x:c r="T73" s="99"/>
      <x:c r="U73" s="99"/>
      <x:c r="V73" s="99"/>
      <x:c r="W73" s="99"/>
      <x:c r="X73" s="99"/>
      <x:c r="Y73" s="99"/>
      <x:c r="Z73" s="99"/>
    </x:row>
    <x:row r="74">
      <x:c r="A74" s="99"/>
      <x:c r="B74" s="99"/>
      <x:c r="C74" s="99"/>
      <x:c r="D74" s="99"/>
      <x:c r="E74" s="99"/>
      <x:c r="F74" s="99"/>
      <x:c r="G74" s="99"/>
      <x:c r="H74" s="99"/>
      <x:c r="I74" s="99"/>
      <x:c r="J74" s="99"/>
      <x:c r="K74" s="99"/>
      <x:c r="L74" s="99"/>
      <x:c r="M74" s="99"/>
      <x:c r="N74" s="99"/>
      <x:c r="O74" s="99"/>
      <x:c r="P74" s="99"/>
      <x:c r="Q74" s="99"/>
      <x:c r="R74" s="99"/>
      <x:c r="S74" s="99"/>
      <x:c r="T74" s="99"/>
      <x:c r="U74" s="99"/>
      <x:c r="V74" s="99"/>
      <x:c r="W74" s="99"/>
      <x:c r="X74" s="99"/>
      <x:c r="Y74" s="99"/>
      <x:c r="Z74" s="99"/>
    </x:row>
    <x:row r="75">
      <x:c r="A75" s="99"/>
      <x:c r="B75" s="99"/>
      <x:c r="C75" s="99"/>
      <x:c r="D75" s="99"/>
      <x:c r="E75" s="99"/>
      <x:c r="F75" s="99"/>
      <x:c r="G75" s="99"/>
      <x:c r="H75" s="99"/>
      <x:c r="I75" s="99"/>
      <x:c r="J75" s="99"/>
      <x:c r="K75" s="99"/>
      <x:c r="L75" s="99"/>
      <x:c r="M75" s="99"/>
      <x:c r="N75" s="99"/>
      <x:c r="O75" s="99"/>
      <x:c r="P75" s="99"/>
      <x:c r="Q75" s="99"/>
      <x:c r="R75" s="99"/>
      <x:c r="S75" s="99"/>
      <x:c r="T75" s="99"/>
      <x:c r="U75" s="99"/>
      <x:c r="V75" s="99"/>
      <x:c r="W75" s="99"/>
      <x:c r="X75" s="99"/>
      <x:c r="Y75" s="99"/>
      <x:c r="Z75" s="99"/>
    </x:row>
    <x:row r="76">
      <x:c r="A76" s="99"/>
      <x:c r="B76" s="99"/>
      <x:c r="C76" s="99"/>
      <x:c r="D76" s="99"/>
      <x:c r="E76" s="99"/>
      <x:c r="F76" s="99"/>
      <x:c r="G76" s="99"/>
      <x:c r="H76" s="99"/>
      <x:c r="I76" s="99"/>
      <x:c r="J76" s="99"/>
      <x:c r="K76" s="99"/>
      <x:c r="L76" s="99"/>
      <x:c r="M76" s="99"/>
      <x:c r="N76" s="99"/>
      <x:c r="O76" s="99"/>
      <x:c r="P76" s="99"/>
      <x:c r="Q76" s="99"/>
      <x:c r="R76" s="99"/>
      <x:c r="S76" s="99"/>
      <x:c r="T76" s="99"/>
      <x:c r="U76" s="99"/>
      <x:c r="V76" s="99"/>
      <x:c r="W76" s="99"/>
      <x:c r="X76" s="99"/>
      <x:c r="Y76" s="99"/>
      <x:c r="Z76" s="99"/>
    </x:row>
    <x:row r="77">
      <x:c r="A77" s="99"/>
      <x:c r="B77" s="99"/>
      <x:c r="C77" s="99"/>
      <x:c r="D77" s="99"/>
      <x:c r="E77" s="99"/>
      <x:c r="F77" s="99"/>
      <x:c r="G77" s="99"/>
      <x:c r="H77" s="99"/>
      <x:c r="I77" s="99"/>
      <x:c r="J77" s="99"/>
      <x:c r="K77" s="99"/>
      <x:c r="L77" s="99"/>
      <x:c r="M77" s="99"/>
      <x:c r="N77" s="99"/>
      <x:c r="O77" s="99"/>
      <x:c r="P77" s="99"/>
      <x:c r="Q77" s="99"/>
      <x:c r="R77" s="99"/>
      <x:c r="S77" s="99"/>
      <x:c r="T77" s="99"/>
      <x:c r="U77" s="99"/>
      <x:c r="V77" s="99"/>
      <x:c r="W77" s="99"/>
      <x:c r="X77" s="99"/>
      <x:c r="Y77" s="99"/>
      <x:c r="Z77" s="99"/>
    </x:row>
    <x:row r="78">
      <x:c r="A78" s="99"/>
      <x:c r="B78" s="99"/>
      <x:c r="C78" s="99"/>
      <x:c r="D78" s="99"/>
      <x:c r="E78" s="99"/>
      <x:c r="F78" s="99"/>
      <x:c r="G78" s="99"/>
      <x:c r="H78" s="99"/>
      <x:c r="I78" s="99"/>
      <x:c r="J78" s="99"/>
      <x:c r="K78" s="99"/>
      <x:c r="L78" s="99"/>
      <x:c r="M78" s="99"/>
      <x:c r="N78" s="99"/>
      <x:c r="O78" s="99"/>
      <x:c r="P78" s="99"/>
      <x:c r="Q78" s="99"/>
      <x:c r="R78" s="99"/>
      <x:c r="S78" s="99"/>
      <x:c r="T78" s="99"/>
      <x:c r="U78" s="99"/>
      <x:c r="V78" s="99"/>
      <x:c r="W78" s="99"/>
      <x:c r="X78" s="99"/>
      <x:c r="Y78" s="99"/>
      <x:c r="Z78" s="99"/>
    </x:row>
    <x:row r="79">
      <x:c r="A79" s="99"/>
      <x:c r="B79" s="99"/>
      <x:c r="C79" s="99"/>
      <x:c r="D79" s="99"/>
      <x:c r="E79" s="99"/>
      <x:c r="F79" s="99"/>
      <x:c r="G79" s="99"/>
      <x:c r="H79" s="99"/>
      <x:c r="I79" s="99"/>
      <x:c r="J79" s="99"/>
      <x:c r="K79" s="99"/>
      <x:c r="L79" s="99"/>
      <x:c r="M79" s="99"/>
      <x:c r="N79" s="99"/>
      <x:c r="O79" s="99"/>
      <x:c r="P79" s="99"/>
      <x:c r="Q79" s="99"/>
      <x:c r="R79" s="99"/>
      <x:c r="S79" s="99"/>
      <x:c r="T79" s="99"/>
      <x:c r="U79" s="99"/>
      <x:c r="V79" s="99"/>
      <x:c r="W79" s="99"/>
      <x:c r="X79" s="99"/>
      <x:c r="Y79" s="99"/>
      <x:c r="Z79" s="99"/>
    </x:row>
    <x:row r="80">
      <x:c r="A80" s="99"/>
      <x:c r="B80" s="99"/>
      <x:c r="C80" s="99"/>
      <x:c r="D80" s="99"/>
      <x:c r="E80" s="99"/>
      <x:c r="F80" s="99"/>
      <x:c r="G80" s="99"/>
      <x:c r="H80" s="99"/>
      <x:c r="I80" s="99"/>
      <x:c r="J80" s="99"/>
      <x:c r="K80" s="99"/>
      <x:c r="L80" s="99"/>
      <x:c r="M80" s="99"/>
      <x:c r="N80" s="99"/>
      <x:c r="O80" s="99"/>
      <x:c r="P80" s="99"/>
      <x:c r="Q80" s="99"/>
      <x:c r="R80" s="99"/>
      <x:c r="S80" s="99"/>
      <x:c r="T80" s="99"/>
      <x:c r="U80" s="99"/>
      <x:c r="V80" s="99"/>
      <x:c r="W80" s="99"/>
      <x:c r="X80" s="99"/>
      <x:c r="Y80" s="99"/>
      <x:c r="Z80" s="99"/>
    </x:row>
    <x:row r="81">
      <x:c r="A81" s="99"/>
      <x:c r="B81" s="99"/>
      <x:c r="C81" s="99"/>
      <x:c r="D81" s="99"/>
      <x:c r="E81" s="99"/>
      <x:c r="F81" s="99"/>
      <x:c r="G81" s="99"/>
      <x:c r="H81" s="99"/>
      <x:c r="I81" s="99"/>
      <x:c r="J81" s="99"/>
      <x:c r="K81" s="99"/>
      <x:c r="L81" s="99"/>
      <x:c r="M81" s="99"/>
      <x:c r="N81" s="99"/>
      <x:c r="O81" s="99"/>
      <x:c r="P81" s="99"/>
      <x:c r="Q81" s="99"/>
      <x:c r="R81" s="99"/>
      <x:c r="S81" s="99"/>
      <x:c r="T81" s="99"/>
      <x:c r="U81" s="99"/>
      <x:c r="V81" s="99"/>
      <x:c r="W81" s="99"/>
      <x:c r="X81" s="99"/>
      <x:c r="Y81" s="99"/>
      <x:c r="Z81" s="99"/>
    </x:row>
    <x:row r="82">
      <x:c r="A82" s="99"/>
      <x:c r="B82" s="99"/>
      <x:c r="C82" s="99"/>
      <x:c r="D82" s="99"/>
      <x:c r="E82" s="99"/>
      <x:c r="F82" s="99"/>
      <x:c r="G82" s="99"/>
      <x:c r="H82" s="99"/>
      <x:c r="I82" s="99"/>
      <x:c r="J82" s="99"/>
      <x:c r="K82" s="99"/>
      <x:c r="L82" s="99"/>
      <x:c r="M82" s="99"/>
      <x:c r="N82" s="99"/>
      <x:c r="O82" s="99"/>
      <x:c r="P82" s="99"/>
      <x:c r="Q82" s="99"/>
      <x:c r="R82" s="99"/>
      <x:c r="S82" s="99"/>
      <x:c r="T82" s="99"/>
      <x:c r="U82" s="99"/>
      <x:c r="V82" s="99"/>
      <x:c r="W82" s="99"/>
      <x:c r="X82" s="99"/>
      <x:c r="Y82" s="99"/>
      <x:c r="Z82" s="99"/>
    </x:row>
    <x:row r="83">
      <x:c r="A83" s="99"/>
      <x:c r="B83" s="99"/>
      <x:c r="C83" s="99"/>
      <x:c r="D83" s="99"/>
      <x:c r="E83" s="99"/>
      <x:c r="F83" s="99"/>
      <x:c r="G83" s="99"/>
      <x:c r="H83" s="99"/>
      <x:c r="I83" s="99"/>
      <x:c r="J83" s="99"/>
      <x:c r="K83" s="99"/>
      <x:c r="L83" s="99"/>
      <x:c r="M83" s="99"/>
      <x:c r="N83" s="99"/>
      <x:c r="O83" s="99"/>
      <x:c r="P83" s="99"/>
      <x:c r="Q83" s="99"/>
      <x:c r="R83" s="99"/>
      <x:c r="S83" s="99"/>
      <x:c r="T83" s="99"/>
      <x:c r="U83" s="99"/>
      <x:c r="V83" s="99"/>
      <x:c r="W83" s="99"/>
      <x:c r="X83" s="99"/>
      <x:c r="Y83" s="99"/>
      <x:c r="Z83" s="99"/>
    </x:row>
    <x:row r="84">
      <x:c r="A84" s="99"/>
      <x:c r="B84" s="99"/>
      <x:c r="C84" s="99"/>
      <x:c r="D84" s="99"/>
      <x:c r="E84" s="99"/>
      <x:c r="F84" s="99"/>
      <x:c r="G84" s="99"/>
      <x:c r="H84" s="99"/>
      <x:c r="I84" s="99"/>
      <x:c r="J84" s="99"/>
      <x:c r="K84" s="99"/>
      <x:c r="L84" s="99"/>
      <x:c r="M84" s="99"/>
      <x:c r="N84" s="99"/>
      <x:c r="O84" s="99"/>
      <x:c r="P84" s="99"/>
      <x:c r="Q84" s="99"/>
      <x:c r="R84" s="99"/>
      <x:c r="S84" s="99"/>
      <x:c r="T84" s="99"/>
      <x:c r="U84" s="99"/>
      <x:c r="V84" s="99"/>
      <x:c r="W84" s="99"/>
      <x:c r="X84" s="99"/>
      <x:c r="Y84" s="99"/>
      <x:c r="Z84" s="99"/>
    </x:row>
    <x:row r="85">
      <x:c r="A85" s="99"/>
      <x:c r="B85" s="99"/>
      <x:c r="C85" s="99"/>
      <x:c r="D85" s="99"/>
      <x:c r="E85" s="99"/>
      <x:c r="F85" s="99"/>
      <x:c r="G85" s="99"/>
      <x:c r="H85" s="99"/>
      <x:c r="I85" s="99"/>
      <x:c r="J85" s="99"/>
      <x:c r="K85" s="99"/>
      <x:c r="L85" s="99"/>
      <x:c r="M85" s="99"/>
      <x:c r="N85" s="99"/>
      <x:c r="O85" s="99"/>
      <x:c r="P85" s="99"/>
      <x:c r="Q85" s="99"/>
      <x:c r="R85" s="99"/>
      <x:c r="S85" s="99"/>
      <x:c r="T85" s="99"/>
      <x:c r="U85" s="99"/>
      <x:c r="V85" s="99"/>
      <x:c r="W85" s="99"/>
      <x:c r="X85" s="99"/>
      <x:c r="Y85" s="99"/>
      <x:c r="Z85" s="99"/>
    </x:row>
    <x:row r="86">
      <x:c r="A86" s="99"/>
      <x:c r="B86" s="99"/>
      <x:c r="C86" s="99"/>
      <x:c r="D86" s="99"/>
      <x:c r="E86" s="99"/>
      <x:c r="F86" s="99"/>
      <x:c r="G86" s="99"/>
      <x:c r="H86" s="99"/>
      <x:c r="I86" s="99"/>
      <x:c r="J86" s="99"/>
      <x:c r="K86" s="99"/>
      <x:c r="L86" s="99"/>
      <x:c r="M86" s="99"/>
      <x:c r="N86" s="99"/>
      <x:c r="O86" s="99"/>
      <x:c r="P86" s="99"/>
      <x:c r="Q86" s="99"/>
      <x:c r="R86" s="99"/>
      <x:c r="S86" s="99"/>
      <x:c r="T86" s="99"/>
      <x:c r="U86" s="99"/>
      <x:c r="V86" s="99"/>
      <x:c r="W86" s="99"/>
      <x:c r="X86" s="99"/>
      <x:c r="Y86" s="99"/>
      <x:c r="Z86" s="99"/>
    </x:row>
    <x:row r="87">
      <x:c r="A87" s="99"/>
      <x:c r="B87" s="99"/>
      <x:c r="C87" s="99"/>
      <x:c r="D87" s="99"/>
      <x:c r="E87" s="99"/>
      <x:c r="F87" s="99"/>
      <x:c r="G87" s="99"/>
      <x:c r="H87" s="99"/>
      <x:c r="I87" s="99"/>
      <x:c r="J87" s="99"/>
      <x:c r="K87" s="99"/>
      <x:c r="L87" s="99"/>
      <x:c r="M87" s="99"/>
      <x:c r="N87" s="99"/>
      <x:c r="O87" s="99"/>
      <x:c r="P87" s="99"/>
      <x:c r="Q87" s="99"/>
      <x:c r="R87" s="99"/>
      <x:c r="S87" s="99"/>
      <x:c r="T87" s="99"/>
      <x:c r="U87" s="99"/>
      <x:c r="V87" s="99"/>
      <x:c r="W87" s="99"/>
      <x:c r="X87" s="99"/>
      <x:c r="Y87" s="99"/>
      <x:c r="Z87" s="99"/>
    </x:row>
    <x:row r="88">
      <x:c r="A88" s="99"/>
      <x:c r="B88" s="99"/>
      <x:c r="C88" s="99"/>
      <x:c r="D88" s="99"/>
      <x:c r="E88" s="99"/>
      <x:c r="F88" s="99"/>
      <x:c r="G88" s="99"/>
      <x:c r="H88" s="99"/>
      <x:c r="I88" s="99"/>
      <x:c r="J88" s="99"/>
      <x:c r="K88" s="99"/>
      <x:c r="L88" s="99"/>
      <x:c r="M88" s="99"/>
      <x:c r="N88" s="99"/>
      <x:c r="O88" s="99"/>
      <x:c r="P88" s="99"/>
      <x:c r="Q88" s="99"/>
      <x:c r="R88" s="99"/>
      <x:c r="S88" s="99"/>
      <x:c r="T88" s="99"/>
      <x:c r="U88" s="99"/>
      <x:c r="V88" s="99"/>
      <x:c r="W88" s="99"/>
      <x:c r="X88" s="99"/>
      <x:c r="Y88" s="99"/>
      <x:c r="Z88" s="99"/>
    </x:row>
    <x:row r="89">
      <x:c r="A89" s="99"/>
      <x:c r="B89" s="99"/>
      <x:c r="C89" s="99"/>
      <x:c r="D89" s="99"/>
      <x:c r="E89" s="99"/>
      <x:c r="F89" s="99"/>
      <x:c r="G89" s="99"/>
      <x:c r="H89" s="99"/>
      <x:c r="I89" s="99"/>
      <x:c r="J89" s="99"/>
      <x:c r="K89" s="99"/>
      <x:c r="L89" s="99"/>
      <x:c r="M89" s="99"/>
      <x:c r="N89" s="99"/>
      <x:c r="O89" s="99"/>
      <x:c r="P89" s="99"/>
      <x:c r="Q89" s="99"/>
      <x:c r="R89" s="99"/>
      <x:c r="S89" s="99"/>
      <x:c r="T89" s="99"/>
      <x:c r="U89" s="99"/>
      <x:c r="V89" s="99"/>
      <x:c r="W89" s="99"/>
      <x:c r="X89" s="99"/>
      <x:c r="Y89" s="99"/>
      <x:c r="Z89" s="99"/>
    </x:row>
    <x:row r="90">
      <x:c r="A90" s="99"/>
      <x:c r="B90" s="99"/>
      <x:c r="C90" s="99"/>
      <x:c r="D90" s="99"/>
      <x:c r="E90" s="99"/>
      <x:c r="F90" s="99"/>
      <x:c r="G90" s="99"/>
      <x:c r="H90" s="99"/>
      <x:c r="I90" s="99"/>
      <x:c r="J90" s="99"/>
      <x:c r="K90" s="99"/>
      <x:c r="L90" s="99"/>
      <x:c r="M90" s="99"/>
      <x:c r="N90" s="99"/>
      <x:c r="O90" s="99"/>
      <x:c r="P90" s="99"/>
      <x:c r="Q90" s="99"/>
      <x:c r="R90" s="99"/>
      <x:c r="S90" s="99"/>
      <x:c r="T90" s="99"/>
      <x:c r="U90" s="99"/>
      <x:c r="V90" s="99"/>
      <x:c r="W90" s="99"/>
      <x:c r="X90" s="99"/>
      <x:c r="Y90" s="99"/>
      <x:c r="Z90" s="99"/>
    </x:row>
    <x:row r="91">
      <x:c r="A91" s="99"/>
      <x:c r="B91" s="99"/>
      <x:c r="C91" s="99"/>
      <x:c r="D91" s="99"/>
      <x:c r="E91" s="99"/>
      <x:c r="F91" s="99"/>
      <x:c r="G91" s="99"/>
      <x:c r="H91" s="99"/>
      <x:c r="I91" s="99"/>
      <x:c r="J91" s="99"/>
      <x:c r="K91" s="99"/>
      <x:c r="L91" s="99"/>
      <x:c r="M91" s="99"/>
      <x:c r="N91" s="99"/>
      <x:c r="O91" s="99"/>
      <x:c r="P91" s="99"/>
      <x:c r="Q91" s="99"/>
      <x:c r="R91" s="99"/>
      <x:c r="S91" s="99"/>
      <x:c r="T91" s="99"/>
      <x:c r="U91" s="99"/>
      <x:c r="V91" s="99"/>
      <x:c r="W91" s="99"/>
      <x:c r="X91" s="99"/>
      <x:c r="Y91" s="99"/>
      <x:c r="Z91" s="99"/>
    </x:row>
    <x:row r="92">
      <x:c r="A92" s="99"/>
      <x:c r="B92" s="99"/>
      <x:c r="C92" s="99"/>
      <x:c r="D92" s="99"/>
      <x:c r="E92" s="99"/>
      <x:c r="F92" s="99"/>
      <x:c r="G92" s="99"/>
      <x:c r="H92" s="99"/>
      <x:c r="I92" s="99"/>
      <x:c r="J92" s="99"/>
      <x:c r="K92" s="99"/>
      <x:c r="L92" s="99"/>
      <x:c r="M92" s="99"/>
      <x:c r="N92" s="99"/>
      <x:c r="O92" s="99"/>
      <x:c r="P92" s="99"/>
      <x:c r="Q92" s="99"/>
      <x:c r="R92" s="99"/>
      <x:c r="S92" s="99"/>
      <x:c r="T92" s="99"/>
      <x:c r="U92" s="99"/>
      <x:c r="V92" s="99"/>
      <x:c r="W92" s="99"/>
      <x:c r="X92" s="99"/>
      <x:c r="Y92" s="99"/>
      <x:c r="Z92" s="99"/>
    </x:row>
    <x:row r="93">
      <x:c r="A93" s="99"/>
      <x:c r="B93" s="99"/>
      <x:c r="C93" s="99"/>
      <x:c r="D93" s="99"/>
      <x:c r="E93" s="99"/>
      <x:c r="F93" s="99"/>
      <x:c r="G93" s="99"/>
      <x:c r="H93" s="99"/>
      <x:c r="I93" s="99"/>
      <x:c r="J93" s="99"/>
      <x:c r="K93" s="99"/>
      <x:c r="L93" s="99"/>
      <x:c r="M93" s="99"/>
      <x:c r="N93" s="99"/>
      <x:c r="O93" s="99"/>
      <x:c r="P93" s="99"/>
      <x:c r="Q93" s="99"/>
      <x:c r="R93" s="99"/>
      <x:c r="S93" s="99"/>
      <x:c r="T93" s="99"/>
      <x:c r="U93" s="99"/>
      <x:c r="V93" s="99"/>
      <x:c r="W93" s="99"/>
      <x:c r="X93" s="99"/>
      <x:c r="Y93" s="99"/>
      <x:c r="Z93" s="99"/>
    </x:row>
    <x:row r="94">
      <x:c r="A94" s="99"/>
      <x:c r="B94" s="99"/>
      <x:c r="C94" s="99"/>
      <x:c r="D94" s="99"/>
      <x:c r="E94" s="99"/>
      <x:c r="F94" s="99"/>
      <x:c r="G94" s="99"/>
      <x:c r="H94" s="99"/>
      <x:c r="I94" s="99"/>
      <x:c r="J94" s="99"/>
      <x:c r="K94" s="99"/>
      <x:c r="L94" s="99"/>
      <x:c r="M94" s="99"/>
      <x:c r="N94" s="99"/>
      <x:c r="O94" s="99"/>
      <x:c r="P94" s="99"/>
      <x:c r="Q94" s="99"/>
      <x:c r="R94" s="99"/>
      <x:c r="S94" s="99"/>
      <x:c r="T94" s="99"/>
      <x:c r="U94" s="99"/>
      <x:c r="V94" s="99"/>
      <x:c r="W94" s="99"/>
      <x:c r="X94" s="99"/>
      <x:c r="Y94" s="99"/>
      <x:c r="Z94" s="99"/>
    </x:row>
    <x:row r="95">
      <x:c r="A95" s="99"/>
      <x:c r="B95" s="99"/>
      <x:c r="C95" s="99"/>
      <x:c r="D95" s="99"/>
      <x:c r="E95" s="99"/>
      <x:c r="F95" s="99"/>
      <x:c r="G95" s="99"/>
      <x:c r="H95" s="99"/>
      <x:c r="I95" s="99"/>
      <x:c r="J95" s="99"/>
      <x:c r="K95" s="99"/>
      <x:c r="L95" s="99"/>
      <x:c r="M95" s="99"/>
      <x:c r="N95" s="99"/>
      <x:c r="O95" s="99"/>
      <x:c r="P95" s="99"/>
      <x:c r="Q95" s="99"/>
      <x:c r="R95" s="99"/>
      <x:c r="S95" s="99"/>
      <x:c r="T95" s="99"/>
      <x:c r="U95" s="99"/>
      <x:c r="V95" s="99"/>
      <x:c r="W95" s="99"/>
      <x:c r="X95" s="99"/>
      <x:c r="Y95" s="99"/>
      <x:c r="Z95" s="99"/>
    </x:row>
    <x:row r="96">
      <x:c r="A96" s="99"/>
      <x:c r="B96" s="99"/>
      <x:c r="C96" s="99"/>
      <x:c r="D96" s="99"/>
      <x:c r="E96" s="99"/>
      <x:c r="F96" s="99"/>
      <x:c r="G96" s="99"/>
      <x:c r="H96" s="99"/>
      <x:c r="I96" s="99"/>
      <x:c r="J96" s="99"/>
      <x:c r="K96" s="99"/>
      <x:c r="L96" s="99"/>
      <x:c r="M96" s="99"/>
      <x:c r="N96" s="99"/>
      <x:c r="O96" s="99"/>
      <x:c r="P96" s="99"/>
      <x:c r="Q96" s="99"/>
      <x:c r="R96" s="99"/>
      <x:c r="S96" s="99"/>
      <x:c r="T96" s="99"/>
      <x:c r="U96" s="99"/>
      <x:c r="V96" s="99"/>
      <x:c r="W96" s="99"/>
      <x:c r="X96" s="99"/>
      <x:c r="Y96" s="99"/>
      <x:c r="Z96" s="99"/>
    </x:row>
    <x:row r="97">
      <x:c r="A97" s="99"/>
      <x:c r="B97" s="99"/>
      <x:c r="C97" s="99"/>
      <x:c r="D97" s="99"/>
      <x:c r="E97" s="99"/>
      <x:c r="F97" s="99"/>
      <x:c r="G97" s="99"/>
      <x:c r="H97" s="99"/>
      <x:c r="I97" s="99"/>
      <x:c r="J97" s="99"/>
      <x:c r="K97" s="99"/>
      <x:c r="L97" s="99"/>
      <x:c r="M97" s="99"/>
      <x:c r="N97" s="99"/>
      <x:c r="O97" s="99"/>
      <x:c r="P97" s="99"/>
      <x:c r="Q97" s="99"/>
      <x:c r="R97" s="99"/>
      <x:c r="S97" s="99"/>
      <x:c r="T97" s="99"/>
      <x:c r="U97" s="99"/>
      <x:c r="V97" s="99"/>
      <x:c r="W97" s="99"/>
      <x:c r="X97" s="99"/>
      <x:c r="Y97" s="99"/>
      <x:c r="Z97" s="99"/>
    </x:row>
    <x:row r="98">
      <x:c r="A98" s="99"/>
      <x:c r="B98" s="99"/>
      <x:c r="C98" s="99"/>
      <x:c r="D98" s="99"/>
      <x:c r="E98" s="99"/>
      <x:c r="F98" s="99"/>
      <x:c r="G98" s="99"/>
      <x:c r="H98" s="99"/>
      <x:c r="I98" s="99"/>
      <x:c r="J98" s="99"/>
      <x:c r="K98" s="99"/>
      <x:c r="L98" s="99"/>
      <x:c r="M98" s="99"/>
      <x:c r="N98" s="99"/>
      <x:c r="O98" s="99"/>
      <x:c r="P98" s="99"/>
      <x:c r="Q98" s="99"/>
      <x:c r="R98" s="99"/>
      <x:c r="S98" s="99"/>
      <x:c r="T98" s="99"/>
      <x:c r="U98" s="99"/>
      <x:c r="V98" s="99"/>
      <x:c r="W98" s="99"/>
      <x:c r="X98" s="99"/>
      <x:c r="Y98" s="99"/>
      <x:c r="Z98" s="99"/>
    </x:row>
    <x:row r="99">
      <x:c r="A99" s="99"/>
      <x:c r="B99" s="99"/>
      <x:c r="C99" s="99"/>
      <x:c r="D99" s="99"/>
      <x:c r="E99" s="99"/>
      <x:c r="F99" s="99"/>
      <x:c r="G99" s="99"/>
      <x:c r="H99" s="99"/>
      <x:c r="I99" s="99"/>
      <x:c r="J99" s="99"/>
      <x:c r="K99" s="99"/>
      <x:c r="L99" s="99"/>
      <x:c r="M99" s="99"/>
      <x:c r="N99" s="99"/>
      <x:c r="O99" s="99"/>
      <x:c r="P99" s="99"/>
      <x:c r="Q99" s="99"/>
      <x:c r="R99" s="99"/>
      <x:c r="S99" s="99"/>
      <x:c r="T99" s="99"/>
      <x:c r="U99" s="99"/>
      <x:c r="V99" s="99"/>
      <x:c r="W99" s="99"/>
      <x:c r="X99" s="99"/>
      <x:c r="Y99" s="99"/>
      <x:c r="Z99" s="99"/>
    </x:row>
    <x:row r="100">
      <x:c r="A100" s="99"/>
      <x:c r="B100" s="99"/>
      <x:c r="C100" s="99"/>
      <x:c r="D100" s="99"/>
      <x:c r="E100" s="99"/>
      <x:c r="F100" s="99"/>
      <x:c r="G100" s="99"/>
      <x:c r="H100" s="99"/>
      <x:c r="I100" s="99"/>
      <x:c r="J100" s="99"/>
      <x:c r="K100" s="99"/>
      <x:c r="L100" s="99"/>
      <x:c r="M100" s="99"/>
      <x:c r="N100" s="99"/>
      <x:c r="O100" s="99"/>
      <x:c r="P100" s="99"/>
      <x:c r="Q100" s="99"/>
      <x:c r="R100" s="99"/>
      <x:c r="S100" s="99"/>
      <x:c r="T100" s="99"/>
      <x:c r="U100" s="99"/>
      <x:c r="V100" s="99"/>
      <x:c r="W100" s="99"/>
      <x:c r="X100" s="99"/>
      <x:c r="Y100" s="99"/>
      <x:c r="Z100" s="99"/>
    </x:row>
    <x:row r="101">
      <x:c r="A101" s="99"/>
      <x:c r="B101" s="99"/>
      <x:c r="C101" s="99"/>
      <x:c r="D101" s="99"/>
      <x:c r="E101" s="99"/>
      <x:c r="F101" s="99"/>
      <x:c r="G101" s="99"/>
      <x:c r="H101" s="99"/>
      <x:c r="I101" s="99"/>
      <x:c r="J101" s="99"/>
      <x:c r="K101" s="99"/>
      <x:c r="L101" s="99"/>
      <x:c r="M101" s="99"/>
      <x:c r="N101" s="99"/>
      <x:c r="O101" s="99"/>
      <x:c r="P101" s="99"/>
      <x:c r="Q101" s="99"/>
      <x:c r="R101" s="99"/>
      <x:c r="S101" s="99"/>
      <x:c r="T101" s="99"/>
      <x:c r="U101" s="99"/>
      <x:c r="V101" s="99"/>
      <x:c r="W101" s="99"/>
      <x:c r="X101" s="99"/>
      <x:c r="Y101" s="99"/>
      <x:c r="Z101" s="99"/>
    </x:row>
    <x:row r="102">
      <x:c r="A102" s="99"/>
      <x:c r="B102" s="99"/>
      <x:c r="C102" s="99"/>
      <x:c r="D102" s="99"/>
      <x:c r="E102" s="99"/>
      <x:c r="F102" s="99"/>
      <x:c r="G102" s="99"/>
      <x:c r="H102" s="99"/>
      <x:c r="I102" s="99"/>
      <x:c r="J102" s="99"/>
      <x:c r="K102" s="99"/>
      <x:c r="L102" s="99"/>
      <x:c r="M102" s="99"/>
      <x:c r="N102" s="99"/>
      <x:c r="O102" s="99"/>
      <x:c r="P102" s="99"/>
      <x:c r="Q102" s="99"/>
      <x:c r="R102" s="99"/>
      <x:c r="S102" s="99"/>
      <x:c r="T102" s="99"/>
      <x:c r="U102" s="99"/>
      <x:c r="V102" s="99"/>
      <x:c r="W102" s="99"/>
      <x:c r="X102" s="99"/>
      <x:c r="Y102" s="99"/>
      <x:c r="Z102" s="99"/>
    </x:row>
    <x:row r="103">
      <x:c r="A103" s="99"/>
      <x:c r="B103" s="99"/>
      <x:c r="C103" s="99"/>
      <x:c r="D103" s="99"/>
      <x:c r="E103" s="99"/>
      <x:c r="F103" s="99"/>
      <x:c r="G103" s="99"/>
      <x:c r="H103" s="99"/>
      <x:c r="I103" s="99"/>
      <x:c r="J103" s="99"/>
      <x:c r="K103" s="99"/>
      <x:c r="L103" s="99"/>
      <x:c r="M103" s="99"/>
      <x:c r="N103" s="99"/>
      <x:c r="O103" s="99"/>
      <x:c r="P103" s="99"/>
      <x:c r="Q103" s="99"/>
      <x:c r="R103" s="99"/>
      <x:c r="S103" s="99"/>
      <x:c r="T103" s="99"/>
      <x:c r="U103" s="99"/>
      <x:c r="V103" s="99"/>
      <x:c r="W103" s="99"/>
      <x:c r="X103" s="99"/>
      <x:c r="Y103" s="99"/>
      <x:c r="Z103" s="99"/>
    </x:row>
    <x:row r="104">
      <x:c r="A104" s="99"/>
      <x:c r="B104" s="99"/>
      <x:c r="C104" s="99"/>
      <x:c r="D104" s="99"/>
      <x:c r="E104" s="99"/>
      <x:c r="F104" s="99"/>
      <x:c r="G104" s="99"/>
      <x:c r="H104" s="99"/>
      <x:c r="I104" s="99"/>
      <x:c r="J104" s="99"/>
      <x:c r="K104" s="99"/>
      <x:c r="L104" s="99"/>
      <x:c r="M104" s="99"/>
      <x:c r="N104" s="99"/>
      <x:c r="O104" s="99"/>
      <x:c r="P104" s="99"/>
      <x:c r="Q104" s="99"/>
      <x:c r="R104" s="99"/>
      <x:c r="S104" s="99"/>
      <x:c r="T104" s="99"/>
      <x:c r="U104" s="99"/>
      <x:c r="V104" s="99"/>
      <x:c r="W104" s="99"/>
      <x:c r="X104" s="99"/>
      <x:c r="Y104" s="99"/>
      <x:c r="Z104" s="99"/>
    </x:row>
    <x:row r="105">
      <x:c r="A105" s="99"/>
      <x:c r="B105" s="99"/>
      <x:c r="C105" s="99"/>
      <x:c r="D105" s="99"/>
      <x:c r="E105" s="99"/>
      <x:c r="F105" s="99"/>
      <x:c r="G105" s="99"/>
      <x:c r="H105" s="99"/>
      <x:c r="I105" s="99"/>
      <x:c r="J105" s="99"/>
      <x:c r="K105" s="99"/>
      <x:c r="L105" s="99"/>
      <x:c r="M105" s="99"/>
      <x:c r="N105" s="99"/>
      <x:c r="O105" s="99"/>
      <x:c r="P105" s="99"/>
      <x:c r="Q105" s="99"/>
      <x:c r="R105" s="99"/>
      <x:c r="S105" s="99"/>
      <x:c r="T105" s="99"/>
      <x:c r="U105" s="99"/>
      <x:c r="V105" s="99"/>
      <x:c r="W105" s="99"/>
      <x:c r="X105" s="99"/>
      <x:c r="Y105" s="99"/>
      <x:c r="Z105" s="99"/>
    </x:row>
    <x:row r="106">
      <x:c r="A106" s="99"/>
      <x:c r="B106" s="99"/>
      <x:c r="C106" s="99"/>
      <x:c r="D106" s="99"/>
      <x:c r="E106" s="99"/>
      <x:c r="F106" s="99"/>
      <x:c r="G106" s="99"/>
      <x:c r="H106" s="99"/>
      <x:c r="I106" s="99"/>
      <x:c r="J106" s="99"/>
      <x:c r="K106" s="99"/>
      <x:c r="L106" s="99"/>
      <x:c r="M106" s="99"/>
      <x:c r="N106" s="99"/>
      <x:c r="O106" s="99"/>
      <x:c r="P106" s="99"/>
      <x:c r="Q106" s="99"/>
      <x:c r="R106" s="99"/>
      <x:c r="S106" s="99"/>
      <x:c r="T106" s="99"/>
      <x:c r="U106" s="99"/>
      <x:c r="V106" s="99"/>
      <x:c r="W106" s="99"/>
      <x:c r="X106" s="99"/>
      <x:c r="Y106" s="99"/>
      <x:c r="Z106" s="99"/>
    </x:row>
    <x:row r="107">
      <x:c r="A107" s="99"/>
      <x:c r="B107" s="99"/>
      <x:c r="C107" s="99"/>
      <x:c r="D107" s="99"/>
      <x:c r="E107" s="99"/>
      <x:c r="F107" s="99"/>
      <x:c r="G107" s="99"/>
      <x:c r="H107" s="99"/>
      <x:c r="I107" s="99"/>
      <x:c r="J107" s="99"/>
      <x:c r="K107" s="99"/>
      <x:c r="L107" s="99"/>
      <x:c r="M107" s="99"/>
      <x:c r="N107" s="99"/>
      <x:c r="O107" s="99"/>
      <x:c r="P107" s="99"/>
      <x:c r="Q107" s="99"/>
      <x:c r="R107" s="99"/>
      <x:c r="S107" s="99"/>
      <x:c r="T107" s="99"/>
      <x:c r="U107" s="99"/>
      <x:c r="V107" s="99"/>
      <x:c r="W107" s="99"/>
      <x:c r="X107" s="99"/>
      <x:c r="Y107" s="99"/>
      <x:c r="Z107" s="99"/>
    </x:row>
    <x:row r="108">
      <x:c r="A108" s="99"/>
      <x:c r="B108" s="99"/>
      <x:c r="C108" s="99"/>
      <x:c r="D108" s="99"/>
      <x:c r="E108" s="99"/>
      <x:c r="F108" s="99"/>
      <x:c r="G108" s="99"/>
      <x:c r="H108" s="99"/>
      <x:c r="I108" s="99"/>
      <x:c r="J108" s="99"/>
      <x:c r="K108" s="99"/>
      <x:c r="L108" s="99"/>
      <x:c r="M108" s="99"/>
      <x:c r="N108" s="99"/>
      <x:c r="O108" s="99"/>
      <x:c r="P108" s="99"/>
      <x:c r="Q108" s="99"/>
      <x:c r="R108" s="99"/>
      <x:c r="S108" s="99"/>
      <x:c r="T108" s="99"/>
      <x:c r="U108" s="99"/>
      <x:c r="V108" s="99"/>
      <x:c r="W108" s="99"/>
      <x:c r="X108" s="99"/>
      <x:c r="Y108" s="99"/>
      <x:c r="Z108" s="99"/>
    </x:row>
    <x:row r="109">
      <x:c r="A109" s="99"/>
      <x:c r="B109" s="99"/>
      <x:c r="C109" s="99"/>
      <x:c r="D109" s="99"/>
      <x:c r="E109" s="99"/>
      <x:c r="F109" s="99"/>
      <x:c r="G109" s="99"/>
      <x:c r="H109" s="99"/>
      <x:c r="I109" s="99"/>
      <x:c r="J109" s="99"/>
      <x:c r="K109" s="99"/>
      <x:c r="L109" s="99"/>
      <x:c r="M109" s="99"/>
      <x:c r="N109" s="99"/>
      <x:c r="O109" s="99"/>
      <x:c r="P109" s="99"/>
      <x:c r="Q109" s="99"/>
      <x:c r="R109" s="99"/>
      <x:c r="S109" s="99"/>
      <x:c r="T109" s="99"/>
      <x:c r="U109" s="99"/>
      <x:c r="V109" s="99"/>
      <x:c r="W109" s="99"/>
      <x:c r="X109" s="99"/>
      <x:c r="Y109" s="99"/>
      <x:c r="Z109" s="99"/>
    </x:row>
    <x:row r="110">
      <x:c r="A110" s="99"/>
      <x:c r="B110" s="99"/>
      <x:c r="C110" s="99"/>
      <x:c r="D110" s="99"/>
      <x:c r="E110" s="99"/>
      <x:c r="F110" s="99"/>
      <x:c r="G110" s="99"/>
      <x:c r="H110" s="99"/>
      <x:c r="I110" s="99"/>
      <x:c r="J110" s="99"/>
      <x:c r="K110" s="99"/>
      <x:c r="L110" s="99"/>
      <x:c r="M110" s="99"/>
      <x:c r="N110" s="99"/>
      <x:c r="O110" s="99"/>
      <x:c r="P110" s="99"/>
      <x:c r="Q110" s="99"/>
      <x:c r="R110" s="99"/>
      <x:c r="S110" s="99"/>
      <x:c r="T110" s="99"/>
      <x:c r="U110" s="99"/>
      <x:c r="V110" s="99"/>
      <x:c r="W110" s="99"/>
      <x:c r="X110" s="99"/>
      <x:c r="Y110" s="99"/>
      <x:c r="Z110" s="99"/>
    </x:row>
    <x:row r="111">
      <x:c r="A111" s="99"/>
      <x:c r="B111" s="99"/>
      <x:c r="C111" s="99"/>
      <x:c r="D111" s="99"/>
      <x:c r="E111" s="99"/>
      <x:c r="F111" s="99"/>
      <x:c r="G111" s="99"/>
      <x:c r="H111" s="99"/>
      <x:c r="I111" s="99"/>
      <x:c r="J111" s="99"/>
      <x:c r="K111" s="99"/>
      <x:c r="L111" s="99"/>
      <x:c r="M111" s="99"/>
      <x:c r="N111" s="99"/>
      <x:c r="O111" s="99"/>
      <x:c r="P111" s="99"/>
      <x:c r="Q111" s="99"/>
      <x:c r="R111" s="99"/>
      <x:c r="S111" s="99"/>
      <x:c r="T111" s="99"/>
      <x:c r="U111" s="99"/>
      <x:c r="V111" s="99"/>
      <x:c r="W111" s="99"/>
      <x:c r="X111" s="99"/>
      <x:c r="Y111" s="99"/>
      <x:c r="Z111" s="99"/>
    </x:row>
    <x:row r="112">
      <x:c r="A112" s="99"/>
      <x:c r="B112" s="99"/>
      <x:c r="C112" s="99"/>
      <x:c r="D112" s="99"/>
      <x:c r="E112" s="99"/>
      <x:c r="F112" s="99"/>
      <x:c r="G112" s="99"/>
      <x:c r="H112" s="99"/>
      <x:c r="I112" s="99"/>
      <x:c r="J112" s="99"/>
      <x:c r="K112" s="99"/>
      <x:c r="L112" s="99"/>
      <x:c r="M112" s="99"/>
      <x:c r="N112" s="99"/>
      <x:c r="O112" s="99"/>
      <x:c r="P112" s="99"/>
      <x:c r="Q112" s="99"/>
      <x:c r="R112" s="99"/>
      <x:c r="S112" s="99"/>
      <x:c r="T112" s="99"/>
      <x:c r="U112" s="99"/>
      <x:c r="V112" s="99"/>
      <x:c r="W112" s="99"/>
      <x:c r="X112" s="99"/>
      <x:c r="Y112" s="99"/>
      <x:c r="Z112" s="99"/>
    </x:row>
    <x:row r="113">
      <x:c r="A113" s="99"/>
      <x:c r="B113" s="99"/>
      <x:c r="C113" s="99"/>
      <x:c r="D113" s="99"/>
      <x:c r="E113" s="99"/>
      <x:c r="F113" s="99"/>
      <x:c r="G113" s="99"/>
      <x:c r="H113" s="99"/>
      <x:c r="I113" s="99"/>
      <x:c r="J113" s="99"/>
      <x:c r="K113" s="99"/>
      <x:c r="L113" s="99"/>
      <x:c r="M113" s="99"/>
      <x:c r="N113" s="99"/>
      <x:c r="O113" s="99"/>
      <x:c r="P113" s="99"/>
      <x:c r="Q113" s="99"/>
      <x:c r="R113" s="99"/>
      <x:c r="S113" s="99"/>
      <x:c r="T113" s="99"/>
      <x:c r="U113" s="99"/>
      <x:c r="V113" s="99"/>
      <x:c r="W113" s="99"/>
      <x:c r="X113" s="99"/>
      <x:c r="Y113" s="99"/>
      <x:c r="Z113" s="99"/>
    </x:row>
    <x:row r="114">
      <x:c r="A114" s="99"/>
      <x:c r="B114" s="99"/>
      <x:c r="C114" s="99"/>
      <x:c r="D114" s="99"/>
      <x:c r="E114" s="99"/>
      <x:c r="F114" s="99"/>
      <x:c r="G114" s="99"/>
      <x:c r="H114" s="99"/>
      <x:c r="I114" s="99"/>
      <x:c r="J114" s="99"/>
      <x:c r="K114" s="99"/>
      <x:c r="L114" s="99"/>
      <x:c r="M114" s="99"/>
      <x:c r="N114" s="99"/>
      <x:c r="O114" s="99"/>
      <x:c r="P114" s="99"/>
      <x:c r="Q114" s="99"/>
      <x:c r="R114" s="99"/>
      <x:c r="S114" s="99"/>
      <x:c r="T114" s="99"/>
      <x:c r="U114" s="99"/>
      <x:c r="V114" s="99"/>
      <x:c r="W114" s="99"/>
      <x:c r="X114" s="99"/>
      <x:c r="Y114" s="99"/>
      <x:c r="Z114" s="99"/>
    </x:row>
    <x:row r="115">
      <x:c r="A115" s="99"/>
      <x:c r="B115" s="99"/>
      <x:c r="C115" s="99"/>
      <x:c r="D115" s="99"/>
      <x:c r="E115" s="99"/>
      <x:c r="F115" s="99"/>
      <x:c r="G115" s="99"/>
      <x:c r="H115" s="99"/>
      <x:c r="I115" s="99"/>
      <x:c r="J115" s="99"/>
      <x:c r="K115" s="99"/>
      <x:c r="L115" s="99"/>
      <x:c r="M115" s="99"/>
      <x:c r="N115" s="99"/>
      <x:c r="O115" s="99"/>
      <x:c r="P115" s="99"/>
      <x:c r="Q115" s="99"/>
      <x:c r="R115" s="99"/>
      <x:c r="S115" s="99"/>
      <x:c r="T115" s="99"/>
      <x:c r="U115" s="99"/>
      <x:c r="V115" s="99"/>
      <x:c r="W115" s="99"/>
      <x:c r="X115" s="99"/>
      <x:c r="Y115" s="99"/>
      <x:c r="Z115" s="99"/>
    </x:row>
    <x:row r="116">
      <x:c r="A116" s="99"/>
      <x:c r="B116" s="99"/>
      <x:c r="C116" s="99"/>
      <x:c r="D116" s="99"/>
      <x:c r="E116" s="99"/>
      <x:c r="F116" s="99"/>
      <x:c r="G116" s="99"/>
      <x:c r="H116" s="99"/>
      <x:c r="I116" s="99"/>
      <x:c r="J116" s="99"/>
      <x:c r="K116" s="99"/>
      <x:c r="L116" s="99"/>
      <x:c r="M116" s="99"/>
      <x:c r="N116" s="99"/>
      <x:c r="O116" s="99"/>
      <x:c r="P116" s="99"/>
      <x:c r="Q116" s="99"/>
      <x:c r="R116" s="99"/>
      <x:c r="S116" s="99"/>
      <x:c r="T116" s="99"/>
      <x:c r="U116" s="99"/>
      <x:c r="V116" s="99"/>
      <x:c r="W116" s="99"/>
      <x:c r="X116" s="99"/>
      <x:c r="Y116" s="99"/>
      <x:c r="Z116" s="99"/>
    </x:row>
    <x:row r="117">
      <x:c r="A117" s="99"/>
      <x:c r="B117" s="99"/>
      <x:c r="C117" s="99"/>
      <x:c r="D117" s="99"/>
      <x:c r="E117" s="99"/>
      <x:c r="F117" s="99"/>
      <x:c r="G117" s="99"/>
      <x:c r="H117" s="99"/>
      <x:c r="I117" s="99"/>
      <x:c r="J117" s="99"/>
      <x:c r="K117" s="99"/>
      <x:c r="L117" s="99"/>
      <x:c r="M117" s="99"/>
      <x:c r="N117" s="99"/>
      <x:c r="O117" s="99"/>
      <x:c r="P117" s="99"/>
      <x:c r="Q117" s="99"/>
      <x:c r="R117" s="99"/>
      <x:c r="S117" s="99"/>
      <x:c r="T117" s="99"/>
      <x:c r="U117" s="99"/>
      <x:c r="V117" s="99"/>
      <x:c r="W117" s="99"/>
      <x:c r="X117" s="99"/>
      <x:c r="Y117" s="99"/>
      <x:c r="Z117" s="99"/>
    </x:row>
    <x:row r="118">
      <x:c r="A118" s="99"/>
      <x:c r="B118" s="99"/>
      <x:c r="C118" s="99"/>
      <x:c r="D118" s="99"/>
      <x:c r="E118" s="99"/>
      <x:c r="F118" s="99"/>
      <x:c r="G118" s="99"/>
      <x:c r="H118" s="99"/>
      <x:c r="I118" s="99"/>
      <x:c r="J118" s="99"/>
      <x:c r="K118" s="99"/>
      <x:c r="L118" s="99"/>
      <x:c r="M118" s="99"/>
      <x:c r="N118" s="99"/>
      <x:c r="O118" s="99"/>
      <x:c r="P118" s="99"/>
      <x:c r="Q118" s="99"/>
      <x:c r="R118" s="99"/>
      <x:c r="S118" s="99"/>
      <x:c r="T118" s="99"/>
      <x:c r="U118" s="99"/>
      <x:c r="V118" s="99"/>
      <x:c r="W118" s="99"/>
      <x:c r="X118" s="99"/>
      <x:c r="Y118" s="99"/>
      <x:c r="Z118" s="99"/>
    </x:row>
    <x:row r="119">
      <x:c r="A119" s="99"/>
      <x:c r="B119" s="99"/>
      <x:c r="C119" s="99"/>
      <x:c r="D119" s="99"/>
      <x:c r="E119" s="99"/>
      <x:c r="F119" s="99"/>
      <x:c r="G119" s="99"/>
      <x:c r="H119" s="99"/>
      <x:c r="I119" s="99"/>
      <x:c r="J119" s="99"/>
      <x:c r="K119" s="99"/>
      <x:c r="L119" s="99"/>
      <x:c r="M119" s="99"/>
      <x:c r="N119" s="99"/>
      <x:c r="O119" s="99"/>
      <x:c r="P119" s="99"/>
      <x:c r="Q119" s="99"/>
      <x:c r="R119" s="99"/>
      <x:c r="S119" s="99"/>
      <x:c r="T119" s="99"/>
      <x:c r="U119" s="99"/>
      <x:c r="V119" s="99"/>
      <x:c r="W119" s="99"/>
      <x:c r="X119" s="99"/>
      <x:c r="Y119" s="99"/>
      <x:c r="Z119" s="99"/>
    </x:row>
    <x:row r="120">
      <x:c r="A120" s="99"/>
      <x:c r="B120" s="99"/>
      <x:c r="C120" s="99"/>
      <x:c r="D120" s="99"/>
      <x:c r="E120" s="99"/>
      <x:c r="F120" s="99"/>
      <x:c r="G120" s="99"/>
      <x:c r="H120" s="99"/>
      <x:c r="I120" s="99"/>
      <x:c r="J120" s="99"/>
      <x:c r="K120" s="99"/>
      <x:c r="L120" s="99"/>
      <x:c r="M120" s="99"/>
      <x:c r="N120" s="99"/>
      <x:c r="O120" s="99"/>
      <x:c r="P120" s="99"/>
      <x:c r="Q120" s="99"/>
      <x:c r="R120" s="99"/>
      <x:c r="S120" s="99"/>
      <x:c r="T120" s="99"/>
      <x:c r="U120" s="99"/>
      <x:c r="V120" s="99"/>
      <x:c r="W120" s="99"/>
      <x:c r="X120" s="99"/>
      <x:c r="Y120" s="99"/>
      <x:c r="Z120" s="99"/>
    </x:row>
    <x:row r="121">
      <x:c r="A121" s="99"/>
      <x:c r="B121" s="99"/>
      <x:c r="C121" s="99"/>
      <x:c r="D121" s="99"/>
      <x:c r="E121" s="99"/>
      <x:c r="F121" s="99"/>
      <x:c r="G121" s="99"/>
      <x:c r="H121" s="99"/>
      <x:c r="I121" s="99"/>
      <x:c r="J121" s="99"/>
      <x:c r="K121" s="99"/>
      <x:c r="L121" s="99"/>
      <x:c r="M121" s="99"/>
      <x:c r="N121" s="99"/>
      <x:c r="O121" s="99"/>
      <x:c r="P121" s="99"/>
      <x:c r="Q121" s="99"/>
      <x:c r="R121" s="99"/>
      <x:c r="S121" s="99"/>
      <x:c r="T121" s="99"/>
      <x:c r="U121" s="99"/>
      <x:c r="V121" s="99"/>
      <x:c r="W121" s="99"/>
      <x:c r="X121" s="99"/>
      <x:c r="Y121" s="99"/>
      <x:c r="Z121" s="99"/>
    </x:row>
    <x:row r="122">
      <x:c r="A122" s="99"/>
      <x:c r="B122" s="99"/>
      <x:c r="C122" s="99"/>
      <x:c r="D122" s="99"/>
      <x:c r="E122" s="99"/>
      <x:c r="F122" s="99"/>
      <x:c r="G122" s="99"/>
      <x:c r="H122" s="99"/>
      <x:c r="I122" s="99"/>
      <x:c r="J122" s="99"/>
      <x:c r="K122" s="99"/>
      <x:c r="L122" s="99"/>
      <x:c r="M122" s="99"/>
      <x:c r="N122" s="99"/>
      <x:c r="O122" s="99"/>
      <x:c r="P122" s="99"/>
      <x:c r="Q122" s="99"/>
      <x:c r="R122" s="99"/>
      <x:c r="S122" s="99"/>
      <x:c r="T122" s="99"/>
      <x:c r="U122" s="99"/>
      <x:c r="V122" s="99"/>
      <x:c r="W122" s="99"/>
      <x:c r="X122" s="99"/>
      <x:c r="Y122" s="99"/>
      <x:c r="Z122" s="99"/>
    </x:row>
    <x:row r="123">
      <x:c r="A123" s="99"/>
      <x:c r="B123" s="99"/>
      <x:c r="C123" s="99"/>
      <x:c r="D123" s="99"/>
      <x:c r="E123" s="99"/>
      <x:c r="F123" s="99"/>
      <x:c r="G123" s="99"/>
      <x:c r="H123" s="99"/>
      <x:c r="I123" s="99"/>
      <x:c r="J123" s="99"/>
      <x:c r="K123" s="99"/>
      <x:c r="L123" s="99"/>
      <x:c r="M123" s="99"/>
      <x:c r="N123" s="99"/>
      <x:c r="O123" s="99"/>
      <x:c r="P123" s="99"/>
      <x:c r="Q123" s="99"/>
      <x:c r="R123" s="99"/>
      <x:c r="S123" s="99"/>
      <x:c r="T123" s="99"/>
      <x:c r="U123" s="99"/>
      <x:c r="V123" s="99"/>
      <x:c r="W123" s="99"/>
      <x:c r="X123" s="99"/>
      <x:c r="Y123" s="99"/>
      <x:c r="Z123" s="99"/>
    </x:row>
    <x:row r="124">
      <x:c r="A124" s="99"/>
      <x:c r="B124" s="99"/>
      <x:c r="C124" s="99"/>
      <x:c r="D124" s="99"/>
      <x:c r="E124" s="99"/>
      <x:c r="F124" s="99"/>
      <x:c r="G124" s="99"/>
      <x:c r="H124" s="99"/>
      <x:c r="I124" s="99"/>
      <x:c r="J124" s="99"/>
      <x:c r="K124" s="99"/>
      <x:c r="L124" s="99"/>
      <x:c r="M124" s="99"/>
      <x:c r="N124" s="99"/>
      <x:c r="O124" s="99"/>
      <x:c r="P124" s="99"/>
      <x:c r="Q124" s="99"/>
      <x:c r="R124" s="99"/>
      <x:c r="S124" s="99"/>
      <x:c r="T124" s="99"/>
      <x:c r="U124" s="99"/>
      <x:c r="V124" s="99"/>
      <x:c r="W124" s="99"/>
      <x:c r="X124" s="99"/>
      <x:c r="Y124" s="99"/>
      <x:c r="Z124" s="99"/>
    </x:row>
    <x:row r="125">
      <x:c r="A125" s="99"/>
      <x:c r="B125" s="99"/>
      <x:c r="C125" s="99"/>
      <x:c r="D125" s="99"/>
      <x:c r="E125" s="99"/>
      <x:c r="F125" s="99"/>
      <x:c r="G125" s="99"/>
      <x:c r="H125" s="99"/>
      <x:c r="I125" s="99"/>
      <x:c r="J125" s="99"/>
      <x:c r="K125" s="99"/>
      <x:c r="L125" s="99"/>
      <x:c r="M125" s="99"/>
      <x:c r="N125" s="99"/>
      <x:c r="O125" s="99"/>
      <x:c r="P125" s="99"/>
      <x:c r="Q125" s="99"/>
      <x:c r="R125" s="99"/>
      <x:c r="S125" s="99"/>
      <x:c r="T125" s="99"/>
      <x:c r="U125" s="99"/>
      <x:c r="V125" s="99"/>
      <x:c r="W125" s="99"/>
      <x:c r="X125" s="99"/>
      <x:c r="Y125" s="99"/>
      <x:c r="Z125" s="99"/>
    </x:row>
    <x:row r="126">
      <x:c r="A126" s="99"/>
      <x:c r="B126" s="99"/>
      <x:c r="C126" s="99"/>
      <x:c r="D126" s="99"/>
      <x:c r="E126" s="99"/>
      <x:c r="F126" s="99"/>
      <x:c r="G126" s="99"/>
      <x:c r="H126" s="99"/>
      <x:c r="I126" s="99"/>
      <x:c r="J126" s="99"/>
      <x:c r="K126" s="99"/>
      <x:c r="L126" s="99"/>
      <x:c r="M126" s="99"/>
      <x:c r="N126" s="99"/>
      <x:c r="O126" s="99"/>
      <x:c r="P126" s="99"/>
      <x:c r="Q126" s="99"/>
      <x:c r="R126" s="99"/>
      <x:c r="S126" s="99"/>
      <x:c r="T126" s="99"/>
      <x:c r="U126" s="99"/>
      <x:c r="V126" s="99"/>
      <x:c r="W126" s="99"/>
      <x:c r="X126" s="99"/>
      <x:c r="Y126" s="99"/>
      <x:c r="Z126" s="99"/>
    </x:row>
    <x:row r="127">
      <x:c r="A127" s="99"/>
      <x:c r="B127" s="99"/>
      <x:c r="C127" s="99"/>
      <x:c r="D127" s="99"/>
      <x:c r="E127" s="99"/>
      <x:c r="F127" s="99"/>
      <x:c r="G127" s="99"/>
      <x:c r="H127" s="99"/>
      <x:c r="I127" s="99"/>
      <x:c r="J127" s="99"/>
      <x:c r="K127" s="99"/>
      <x:c r="L127" s="99"/>
      <x:c r="M127" s="99"/>
      <x:c r="N127" s="99"/>
      <x:c r="O127" s="99"/>
      <x:c r="P127" s="99"/>
      <x:c r="Q127" s="99"/>
      <x:c r="R127" s="99"/>
      <x:c r="S127" s="99"/>
      <x:c r="T127" s="99"/>
      <x:c r="U127" s="99"/>
      <x:c r="V127" s="99"/>
      <x:c r="W127" s="99"/>
      <x:c r="X127" s="99"/>
      <x:c r="Y127" s="99"/>
      <x:c r="Z127" s="99"/>
    </x:row>
    <x:row r="128">
      <x:c r="A128" s="99"/>
      <x:c r="B128" s="99"/>
      <x:c r="C128" s="99"/>
      <x:c r="D128" s="99"/>
      <x:c r="E128" s="99"/>
      <x:c r="F128" s="99"/>
      <x:c r="G128" s="99"/>
      <x:c r="H128" s="99"/>
      <x:c r="I128" s="99"/>
      <x:c r="J128" s="99"/>
      <x:c r="K128" s="99"/>
      <x:c r="L128" s="99"/>
      <x:c r="M128" s="99"/>
      <x:c r="N128" s="99"/>
      <x:c r="O128" s="99"/>
      <x:c r="P128" s="99"/>
      <x:c r="Q128" s="99"/>
      <x:c r="R128" s="99"/>
      <x:c r="S128" s="99"/>
      <x:c r="T128" s="99"/>
      <x:c r="U128" s="99"/>
      <x:c r="V128" s="99"/>
      <x:c r="W128" s="99"/>
      <x:c r="X128" s="99"/>
      <x:c r="Y128" s="99"/>
      <x:c r="Z128" s="99"/>
    </x:row>
    <x:row r="129">
      <x:c r="A129" s="99"/>
      <x:c r="B129" s="99"/>
      <x:c r="C129" s="99"/>
      <x:c r="D129" s="99"/>
      <x:c r="E129" s="99"/>
      <x:c r="F129" s="99"/>
      <x:c r="G129" s="99"/>
      <x:c r="H129" s="99"/>
      <x:c r="I129" s="99"/>
      <x:c r="J129" s="99"/>
      <x:c r="K129" s="99"/>
      <x:c r="L129" s="99"/>
      <x:c r="M129" s="99"/>
      <x:c r="N129" s="99"/>
      <x:c r="O129" s="99"/>
      <x:c r="P129" s="99"/>
      <x:c r="Q129" s="99"/>
      <x:c r="R129" s="99"/>
      <x:c r="S129" s="99"/>
      <x:c r="T129" s="99"/>
      <x:c r="U129" s="99"/>
      <x:c r="V129" s="99"/>
      <x:c r="W129" s="99"/>
      <x:c r="X129" s="99"/>
      <x:c r="Y129" s="99"/>
      <x:c r="Z129" s="99"/>
    </x:row>
    <x:row r="130">
      <x:c r="A130" s="99"/>
      <x:c r="B130" s="99"/>
      <x:c r="C130" s="99"/>
      <x:c r="D130" s="99"/>
      <x:c r="E130" s="99"/>
      <x:c r="F130" s="99"/>
      <x:c r="G130" s="99"/>
      <x:c r="H130" s="99"/>
      <x:c r="I130" s="99"/>
      <x:c r="J130" s="99"/>
      <x:c r="K130" s="99"/>
      <x:c r="L130" s="99"/>
      <x:c r="M130" s="99"/>
      <x:c r="N130" s="99"/>
      <x:c r="O130" s="99"/>
      <x:c r="P130" s="99"/>
      <x:c r="Q130" s="99"/>
      <x:c r="R130" s="99"/>
      <x:c r="S130" s="99"/>
      <x:c r="T130" s="99"/>
      <x:c r="U130" s="99"/>
      <x:c r="V130" s="99"/>
      <x:c r="W130" s="99"/>
      <x:c r="X130" s="99"/>
      <x:c r="Y130" s="99"/>
      <x:c r="Z130" s="99"/>
    </x:row>
    <x:row r="131">
      <x:c r="A131" s="99"/>
      <x:c r="B131" s="99"/>
      <x:c r="C131" s="99"/>
      <x:c r="D131" s="99"/>
      <x:c r="E131" s="99"/>
      <x:c r="F131" s="99"/>
      <x:c r="G131" s="99"/>
      <x:c r="H131" s="99"/>
      <x:c r="I131" s="99"/>
      <x:c r="J131" s="99"/>
      <x:c r="K131" s="99"/>
      <x:c r="L131" s="99"/>
      <x:c r="M131" s="99"/>
      <x:c r="N131" s="99"/>
      <x:c r="O131" s="99"/>
      <x:c r="P131" s="99"/>
      <x:c r="Q131" s="99"/>
      <x:c r="R131" s="99"/>
      <x:c r="S131" s="99"/>
      <x:c r="T131" s="99"/>
      <x:c r="U131" s="99"/>
      <x:c r="V131" s="99"/>
      <x:c r="W131" s="99"/>
      <x:c r="X131" s="99"/>
      <x:c r="Y131" s="99"/>
      <x:c r="Z131" s="99"/>
    </x:row>
    <x:row r="132">
      <x:c r="A132" s="99"/>
      <x:c r="B132" s="99"/>
      <x:c r="C132" s="99"/>
      <x:c r="D132" s="99"/>
      <x:c r="E132" s="99"/>
      <x:c r="F132" s="99"/>
      <x:c r="G132" s="99"/>
      <x:c r="H132" s="99"/>
      <x:c r="I132" s="99"/>
      <x:c r="J132" s="99"/>
      <x:c r="K132" s="99"/>
      <x:c r="L132" s="99"/>
      <x:c r="M132" s="99"/>
      <x:c r="N132" s="99"/>
      <x:c r="O132" s="99"/>
      <x:c r="P132" s="99"/>
      <x:c r="Q132" s="99"/>
      <x:c r="R132" s="99"/>
      <x:c r="S132" s="99"/>
      <x:c r="T132" s="99"/>
      <x:c r="U132" s="99"/>
      <x:c r="V132" s="99"/>
      <x:c r="W132" s="99"/>
      <x:c r="X132" s="99"/>
      <x:c r="Y132" s="99"/>
      <x:c r="Z132" s="99"/>
    </x:row>
    <x:row r="133">
      <x:c r="A133" s="99"/>
      <x:c r="B133" s="99"/>
      <x:c r="C133" s="99"/>
      <x:c r="D133" s="99"/>
      <x:c r="E133" s="99"/>
      <x:c r="F133" s="99"/>
      <x:c r="G133" s="99"/>
      <x:c r="H133" s="99"/>
      <x:c r="I133" s="99"/>
      <x:c r="J133" s="99"/>
      <x:c r="K133" s="99"/>
      <x:c r="L133" s="99"/>
      <x:c r="M133" s="99"/>
      <x:c r="N133" s="99"/>
      <x:c r="O133" s="99"/>
      <x:c r="P133" s="99"/>
      <x:c r="Q133" s="99"/>
      <x:c r="R133" s="99"/>
      <x:c r="S133" s="99"/>
      <x:c r="T133" s="99"/>
      <x:c r="U133" s="99"/>
      <x:c r="V133" s="99"/>
      <x:c r="W133" s="99"/>
      <x:c r="X133" s="99"/>
      <x:c r="Y133" s="99"/>
      <x:c r="Z133" s="99"/>
    </x:row>
    <x:row r="134">
      <x:c r="A134" s="99"/>
      <x:c r="B134" s="99"/>
      <x:c r="C134" s="99"/>
      <x:c r="D134" s="99"/>
      <x:c r="E134" s="99"/>
      <x:c r="F134" s="99"/>
      <x:c r="G134" s="99"/>
      <x:c r="H134" s="99"/>
      <x:c r="I134" s="99"/>
      <x:c r="J134" s="99"/>
      <x:c r="K134" s="99"/>
      <x:c r="L134" s="99"/>
      <x:c r="M134" s="99"/>
      <x:c r="N134" s="99"/>
      <x:c r="O134" s="99"/>
      <x:c r="P134" s="99"/>
      <x:c r="Q134" s="99"/>
      <x:c r="R134" s="99"/>
      <x:c r="S134" s="99"/>
      <x:c r="T134" s="99"/>
      <x:c r="U134" s="99"/>
      <x:c r="V134" s="99"/>
      <x:c r="W134" s="99"/>
      <x:c r="X134" s="99"/>
      <x:c r="Y134" s="99"/>
      <x:c r="Z134" s="99"/>
    </x:row>
    <x:row r="135">
      <x:c r="A135" s="99"/>
      <x:c r="B135" s="99"/>
      <x:c r="C135" s="99"/>
      <x:c r="D135" s="99"/>
      <x:c r="E135" s="99"/>
      <x:c r="F135" s="99"/>
      <x:c r="G135" s="99"/>
      <x:c r="H135" s="99"/>
      <x:c r="I135" s="99"/>
      <x:c r="J135" s="99"/>
      <x:c r="K135" s="99"/>
      <x:c r="L135" s="99"/>
      <x:c r="M135" s="99"/>
      <x:c r="N135" s="99"/>
      <x:c r="O135" s="99"/>
      <x:c r="P135" s="99"/>
      <x:c r="Q135" s="99"/>
      <x:c r="R135" s="99"/>
      <x:c r="S135" s="99"/>
      <x:c r="T135" s="99"/>
      <x:c r="U135" s="99"/>
      <x:c r="V135" s="99"/>
      <x:c r="W135" s="99"/>
      <x:c r="X135" s="99"/>
      <x:c r="Y135" s="99"/>
      <x:c r="Z135" s="99"/>
    </x:row>
    <x:row r="136">
      <x:c r="A136" s="99"/>
      <x:c r="B136" s="99"/>
      <x:c r="C136" s="99"/>
      <x:c r="D136" s="99"/>
      <x:c r="E136" s="99"/>
      <x:c r="F136" s="99"/>
      <x:c r="G136" s="99"/>
      <x:c r="H136" s="99"/>
      <x:c r="I136" s="99"/>
      <x:c r="J136" s="99"/>
      <x:c r="K136" s="99"/>
      <x:c r="L136" s="99"/>
      <x:c r="M136" s="99"/>
      <x:c r="N136" s="99"/>
      <x:c r="O136" s="99"/>
      <x:c r="P136" s="99"/>
      <x:c r="Q136" s="99"/>
      <x:c r="R136" s="99"/>
      <x:c r="S136" s="99"/>
      <x:c r="T136" s="99"/>
      <x:c r="U136" s="99"/>
      <x:c r="V136" s="99"/>
      <x:c r="W136" s="99"/>
      <x:c r="X136" s="99"/>
      <x:c r="Y136" s="99"/>
      <x:c r="Z136" s="99"/>
    </x:row>
    <x:row r="137">
      <x:c r="A137" s="99"/>
      <x:c r="B137" s="99"/>
      <x:c r="C137" s="99"/>
      <x:c r="D137" s="99"/>
      <x:c r="E137" s="99"/>
      <x:c r="F137" s="99"/>
      <x:c r="G137" s="99"/>
      <x:c r="H137" s="99"/>
      <x:c r="I137" s="99"/>
      <x:c r="J137" s="99"/>
      <x:c r="K137" s="99"/>
      <x:c r="L137" s="99"/>
      <x:c r="M137" s="99"/>
      <x:c r="N137" s="99"/>
      <x:c r="O137" s="99"/>
      <x:c r="P137" s="99"/>
      <x:c r="Q137" s="99"/>
      <x:c r="R137" s="99"/>
      <x:c r="S137" s="99"/>
      <x:c r="T137" s="99"/>
      <x:c r="U137" s="99"/>
      <x:c r="V137" s="99"/>
      <x:c r="W137" s="99"/>
      <x:c r="X137" s="99"/>
      <x:c r="Y137" s="99"/>
      <x:c r="Z137" s="99"/>
    </x:row>
    <x:row r="138">
      <x:c r="A138" s="99"/>
      <x:c r="B138" s="99"/>
      <x:c r="C138" s="99"/>
      <x:c r="D138" s="99"/>
      <x:c r="E138" s="99"/>
      <x:c r="F138" s="99"/>
      <x:c r="G138" s="99"/>
      <x:c r="H138" s="99"/>
      <x:c r="I138" s="99"/>
      <x:c r="J138" s="99"/>
      <x:c r="K138" s="99"/>
      <x:c r="L138" s="99"/>
      <x:c r="M138" s="99"/>
      <x:c r="N138" s="99"/>
      <x:c r="O138" s="99"/>
      <x:c r="P138" s="99"/>
      <x:c r="Q138" s="99"/>
      <x:c r="R138" s="99"/>
      <x:c r="S138" s="99"/>
      <x:c r="T138" s="99"/>
      <x:c r="U138" s="99"/>
      <x:c r="V138" s="99"/>
      <x:c r="W138" s="99"/>
      <x:c r="X138" s="99"/>
      <x:c r="Y138" s="99"/>
      <x:c r="Z138" s="99"/>
    </x:row>
    <x:row r="139">
      <x:c r="A139" s="99"/>
      <x:c r="B139" s="99"/>
      <x:c r="C139" s="99"/>
      <x:c r="D139" s="99"/>
      <x:c r="E139" s="99"/>
      <x:c r="F139" s="99"/>
      <x:c r="G139" s="99"/>
      <x:c r="H139" s="99"/>
      <x:c r="I139" s="99"/>
      <x:c r="J139" s="99"/>
      <x:c r="K139" s="99"/>
      <x:c r="L139" s="99"/>
      <x:c r="M139" s="99"/>
      <x:c r="N139" s="99"/>
      <x:c r="O139" s="99"/>
      <x:c r="P139" s="99"/>
      <x:c r="Q139" s="99"/>
      <x:c r="R139" s="99"/>
      <x:c r="S139" s="99"/>
      <x:c r="T139" s="99"/>
      <x:c r="U139" s="99"/>
      <x:c r="V139" s="99"/>
      <x:c r="W139" s="99"/>
      <x:c r="X139" s="99"/>
      <x:c r="Y139" s="99"/>
      <x:c r="Z139" s="99"/>
    </x:row>
    <x:row r="140">
      <x:c r="A140" s="99"/>
      <x:c r="B140" s="99"/>
      <x:c r="C140" s="99"/>
      <x:c r="D140" s="99"/>
      <x:c r="E140" s="99"/>
      <x:c r="F140" s="99"/>
      <x:c r="G140" s="99"/>
      <x:c r="H140" s="99"/>
      <x:c r="I140" s="99"/>
      <x:c r="J140" s="99"/>
      <x:c r="K140" s="99"/>
      <x:c r="L140" s="99"/>
      <x:c r="M140" s="99"/>
      <x:c r="N140" s="99"/>
      <x:c r="O140" s="99"/>
      <x:c r="P140" s="99"/>
      <x:c r="Q140" s="99"/>
      <x:c r="R140" s="99"/>
      <x:c r="S140" s="99"/>
      <x:c r="T140" s="99"/>
      <x:c r="U140" s="99"/>
      <x:c r="V140" s="99"/>
      <x:c r="W140" s="99"/>
      <x:c r="X140" s="99"/>
      <x:c r="Y140" s="99"/>
      <x:c r="Z140" s="99"/>
    </x:row>
    <x:row r="141">
      <x:c r="A141" s="99"/>
      <x:c r="B141" s="99"/>
      <x:c r="C141" s="99"/>
      <x:c r="D141" s="99"/>
      <x:c r="E141" s="99"/>
      <x:c r="F141" s="99"/>
      <x:c r="G141" s="99"/>
      <x:c r="H141" s="99"/>
      <x:c r="I141" s="99"/>
      <x:c r="J141" s="99"/>
      <x:c r="K141" s="99"/>
      <x:c r="L141" s="99"/>
      <x:c r="M141" s="99"/>
      <x:c r="N141" s="99"/>
      <x:c r="O141" s="99"/>
      <x:c r="P141" s="99"/>
      <x:c r="Q141" s="99"/>
      <x:c r="R141" s="99"/>
      <x:c r="S141" s="99"/>
      <x:c r="T141" s="99"/>
      <x:c r="U141" s="99"/>
      <x:c r="V141" s="99"/>
      <x:c r="W141" s="99"/>
      <x:c r="X141" s="99"/>
      <x:c r="Y141" s="99"/>
      <x:c r="Z141" s="99"/>
    </x:row>
    <x:row r="142">
      <x:c r="A142" s="99"/>
      <x:c r="B142" s="99"/>
      <x:c r="C142" s="99"/>
      <x:c r="D142" s="99"/>
      <x:c r="E142" s="99"/>
      <x:c r="F142" s="99"/>
      <x:c r="G142" s="99"/>
      <x:c r="H142" s="99"/>
      <x:c r="I142" s="99"/>
      <x:c r="J142" s="99"/>
      <x:c r="K142" s="99"/>
      <x:c r="L142" s="99"/>
      <x:c r="M142" s="99"/>
      <x:c r="N142" s="99"/>
      <x:c r="O142" s="99"/>
      <x:c r="P142" s="99"/>
      <x:c r="Q142" s="99"/>
      <x:c r="R142" s="99"/>
      <x:c r="S142" s="99"/>
      <x:c r="T142" s="99"/>
      <x:c r="U142" s="99"/>
      <x:c r="V142" s="99"/>
      <x:c r="W142" s="99"/>
      <x:c r="X142" s="99"/>
      <x:c r="Y142" s="99"/>
      <x:c r="Z142" s="99"/>
    </x:row>
    <x:row r="143">
      <x:c r="A143" s="99"/>
      <x:c r="B143" s="99"/>
      <x:c r="C143" s="99"/>
      <x:c r="D143" s="99"/>
      <x:c r="E143" s="99"/>
      <x:c r="F143" s="99"/>
      <x:c r="G143" s="99"/>
      <x:c r="H143" s="99"/>
      <x:c r="I143" s="99"/>
      <x:c r="J143" s="99"/>
      <x:c r="K143" s="99"/>
      <x:c r="L143" s="99"/>
      <x:c r="M143" s="99"/>
      <x:c r="N143" s="99"/>
      <x:c r="O143" s="99"/>
      <x:c r="P143" s="99"/>
      <x:c r="Q143" s="99"/>
      <x:c r="R143" s="99"/>
      <x:c r="S143" s="99"/>
      <x:c r="T143" s="99"/>
      <x:c r="U143" s="99"/>
      <x:c r="V143" s="99"/>
      <x:c r="W143" s="99"/>
      <x:c r="X143" s="99"/>
      <x:c r="Y143" s="99"/>
      <x:c r="Z143" s="99"/>
    </x:row>
    <x:row r="144">
      <x:c r="A144" s="99"/>
      <x:c r="B144" s="99"/>
      <x:c r="C144" s="99"/>
      <x:c r="D144" s="99"/>
      <x:c r="E144" s="99"/>
      <x:c r="F144" s="99"/>
      <x:c r="G144" s="99"/>
      <x:c r="H144" s="99"/>
      <x:c r="I144" s="99"/>
      <x:c r="J144" s="99"/>
      <x:c r="K144" s="99"/>
      <x:c r="L144" s="99"/>
      <x:c r="M144" s="99"/>
      <x:c r="N144" s="99"/>
      <x:c r="O144" s="99"/>
      <x:c r="P144" s="99"/>
      <x:c r="Q144" s="99"/>
      <x:c r="R144" s="99"/>
      <x:c r="S144" s="99"/>
      <x:c r="T144" s="99"/>
      <x:c r="U144" s="99"/>
      <x:c r="V144" s="99"/>
      <x:c r="W144" s="99"/>
      <x:c r="X144" s="99"/>
      <x:c r="Y144" s="99"/>
      <x:c r="Z144" s="99"/>
    </x:row>
    <x:row r="145">
      <x:c r="A145" s="99"/>
      <x:c r="B145" s="99"/>
      <x:c r="C145" s="99"/>
      <x:c r="D145" s="99"/>
      <x:c r="E145" s="99"/>
      <x:c r="F145" s="99"/>
      <x:c r="G145" s="99"/>
      <x:c r="H145" s="99"/>
      <x:c r="I145" s="99"/>
      <x:c r="J145" s="99"/>
      <x:c r="K145" s="99"/>
      <x:c r="L145" s="99"/>
      <x:c r="M145" s="99"/>
      <x:c r="N145" s="99"/>
      <x:c r="O145" s="99"/>
      <x:c r="P145" s="99"/>
      <x:c r="Q145" s="99"/>
      <x:c r="R145" s="99"/>
      <x:c r="S145" s="99"/>
      <x:c r="T145" s="99"/>
      <x:c r="U145" s="99"/>
      <x:c r="V145" s="99"/>
      <x:c r="W145" s="99"/>
      <x:c r="X145" s="99"/>
      <x:c r="Y145" s="99"/>
      <x:c r="Z145" s="99"/>
    </x:row>
    <x:row r="146">
      <x:c r="A146" s="99"/>
      <x:c r="B146" s="99"/>
      <x:c r="C146" s="99"/>
      <x:c r="D146" s="99"/>
      <x:c r="E146" s="99"/>
      <x:c r="F146" s="99"/>
      <x:c r="G146" s="99"/>
      <x:c r="H146" s="99"/>
      <x:c r="I146" s="99"/>
      <x:c r="J146" s="99"/>
      <x:c r="K146" s="99"/>
      <x:c r="L146" s="99"/>
      <x:c r="M146" s="99"/>
      <x:c r="N146" s="99"/>
      <x:c r="O146" s="99"/>
      <x:c r="P146" s="99"/>
      <x:c r="Q146" s="99"/>
      <x:c r="R146" s="99"/>
      <x:c r="S146" s="99"/>
      <x:c r="T146" s="99"/>
      <x:c r="U146" s="99"/>
      <x:c r="V146" s="99"/>
      <x:c r="W146" s="99"/>
      <x:c r="X146" s="99"/>
      <x:c r="Y146" s="99"/>
      <x:c r="Z146" s="99"/>
    </x:row>
    <x:row r="147">
      <x:c r="A147" s="99"/>
      <x:c r="B147" s="99"/>
      <x:c r="C147" s="99"/>
      <x:c r="D147" s="99"/>
      <x:c r="E147" s="99"/>
      <x:c r="F147" s="99"/>
      <x:c r="G147" s="99"/>
      <x:c r="H147" s="99"/>
      <x:c r="I147" s="99"/>
      <x:c r="J147" s="99"/>
      <x:c r="K147" s="99"/>
      <x:c r="L147" s="99"/>
      <x:c r="M147" s="99"/>
      <x:c r="N147" s="99"/>
      <x:c r="O147" s="99"/>
      <x:c r="P147" s="99"/>
      <x:c r="Q147" s="99"/>
      <x:c r="R147" s="99"/>
      <x:c r="S147" s="99"/>
      <x:c r="T147" s="99"/>
      <x:c r="U147" s="99"/>
      <x:c r="V147" s="99"/>
      <x:c r="W147" s="99"/>
      <x:c r="X147" s="99"/>
      <x:c r="Y147" s="99"/>
      <x:c r="Z147" s="99"/>
    </x:row>
    <x:row r="148">
      <x:c r="A148" s="99"/>
      <x:c r="B148" s="99"/>
      <x:c r="C148" s="99"/>
      <x:c r="D148" s="99"/>
      <x:c r="E148" s="99"/>
      <x:c r="F148" s="99"/>
      <x:c r="G148" s="99"/>
      <x:c r="H148" s="99"/>
      <x:c r="I148" s="99"/>
      <x:c r="J148" s="99"/>
      <x:c r="K148" s="99"/>
      <x:c r="L148" s="99"/>
      <x:c r="M148" s="99"/>
      <x:c r="N148" s="99"/>
      <x:c r="O148" s="99"/>
      <x:c r="P148" s="99"/>
      <x:c r="Q148" s="99"/>
      <x:c r="R148" s="99"/>
      <x:c r="S148" s="99"/>
      <x:c r="T148" s="99"/>
      <x:c r="U148" s="99"/>
      <x:c r="V148" s="99"/>
      <x:c r="W148" s="99"/>
      <x:c r="X148" s="99"/>
      <x:c r="Y148" s="99"/>
      <x:c r="Z148" s="99"/>
    </x:row>
    <x:row r="149">
      <x:c r="A149" s="99"/>
      <x:c r="B149" s="99"/>
      <x:c r="C149" s="99"/>
      <x:c r="D149" s="99"/>
      <x:c r="E149" s="99"/>
      <x:c r="F149" s="99"/>
      <x:c r="G149" s="99"/>
      <x:c r="H149" s="99"/>
      <x:c r="I149" s="99"/>
      <x:c r="J149" s="99"/>
      <x:c r="K149" s="99"/>
      <x:c r="L149" s="99"/>
      <x:c r="M149" s="99"/>
      <x:c r="N149" s="99"/>
      <x:c r="O149" s="99"/>
      <x:c r="P149" s="99"/>
      <x:c r="Q149" s="99"/>
      <x:c r="R149" s="99"/>
      <x:c r="S149" s="99"/>
      <x:c r="T149" s="99"/>
      <x:c r="U149" s="99"/>
      <x:c r="V149" s="99"/>
      <x:c r="W149" s="99"/>
      <x:c r="X149" s="99"/>
      <x:c r="Y149" s="99"/>
      <x:c r="Z149" s="99"/>
    </x:row>
    <x:row r="150">
      <x:c r="A150" s="99"/>
      <x:c r="B150" s="99"/>
      <x:c r="C150" s="99"/>
      <x:c r="D150" s="99"/>
      <x:c r="E150" s="99"/>
      <x:c r="F150" s="99"/>
      <x:c r="G150" s="99"/>
      <x:c r="H150" s="99"/>
      <x:c r="I150" s="99"/>
      <x:c r="J150" s="99"/>
      <x:c r="K150" s="99"/>
      <x:c r="L150" s="99"/>
      <x:c r="M150" s="99"/>
      <x:c r="N150" s="99"/>
      <x:c r="O150" s="99"/>
      <x:c r="P150" s="99"/>
      <x:c r="Q150" s="99"/>
      <x:c r="R150" s="99"/>
      <x:c r="S150" s="99"/>
      <x:c r="T150" s="99"/>
      <x:c r="U150" s="99"/>
      <x:c r="V150" s="99"/>
      <x:c r="W150" s="99"/>
      <x:c r="X150" s="99"/>
      <x:c r="Y150" s="99"/>
      <x:c r="Z150" s="99"/>
    </x:row>
    <x:row r="151">
      <x:c r="A151" s="99"/>
      <x:c r="B151" s="99"/>
      <x:c r="C151" s="99"/>
      <x:c r="D151" s="99"/>
      <x:c r="E151" s="99"/>
      <x:c r="F151" s="99"/>
      <x:c r="G151" s="99"/>
      <x:c r="H151" s="99"/>
      <x:c r="I151" s="99"/>
      <x:c r="J151" s="99"/>
      <x:c r="K151" s="99"/>
      <x:c r="L151" s="99"/>
      <x:c r="M151" s="99"/>
      <x:c r="N151" s="99"/>
      <x:c r="O151" s="99"/>
      <x:c r="P151" s="99"/>
      <x:c r="Q151" s="99"/>
      <x:c r="R151" s="99"/>
      <x:c r="S151" s="99"/>
      <x:c r="T151" s="99"/>
      <x:c r="U151" s="99"/>
      <x:c r="V151" s="99"/>
      <x:c r="W151" s="99"/>
      <x:c r="X151" s="99"/>
      <x:c r="Y151" s="99"/>
      <x:c r="Z151" s="99"/>
    </x:row>
    <x:row r="152">
      <x:c r="A152" s="99"/>
      <x:c r="B152" s="99"/>
      <x:c r="C152" s="99"/>
      <x:c r="D152" s="99"/>
      <x:c r="E152" s="99"/>
      <x:c r="F152" s="99"/>
      <x:c r="G152" s="99"/>
      <x:c r="H152" s="99"/>
      <x:c r="I152" s="99"/>
      <x:c r="J152" s="99"/>
      <x:c r="K152" s="99"/>
      <x:c r="L152" s="99"/>
      <x:c r="M152" s="99"/>
      <x:c r="N152" s="99"/>
      <x:c r="O152" s="99"/>
      <x:c r="P152" s="99"/>
      <x:c r="Q152" s="99"/>
      <x:c r="R152" s="99"/>
      <x:c r="S152" s="99"/>
      <x:c r="T152" s="99"/>
      <x:c r="U152" s="99"/>
      <x:c r="V152" s="99"/>
      <x:c r="W152" s="99"/>
      <x:c r="X152" s="99"/>
      <x:c r="Y152" s="99"/>
      <x:c r="Z152" s="99"/>
    </x:row>
    <x:row r="153">
      <x:c r="A153" s="99"/>
      <x:c r="B153" s="99"/>
      <x:c r="C153" s="99"/>
      <x:c r="D153" s="99"/>
      <x:c r="E153" s="99"/>
      <x:c r="F153" s="99"/>
      <x:c r="G153" s="99"/>
      <x:c r="H153" s="99"/>
      <x:c r="I153" s="99"/>
      <x:c r="J153" s="99"/>
      <x:c r="K153" s="99"/>
      <x:c r="L153" s="99"/>
      <x:c r="M153" s="99"/>
      <x:c r="N153" s="99"/>
      <x:c r="O153" s="99"/>
      <x:c r="P153" s="99"/>
      <x:c r="Q153" s="99"/>
      <x:c r="R153" s="99"/>
      <x:c r="S153" s="99"/>
      <x:c r="T153" s="99"/>
      <x:c r="U153" s="99"/>
      <x:c r="V153" s="99"/>
      <x:c r="W153" s="99"/>
      <x:c r="X153" s="99"/>
      <x:c r="Y153" s="99"/>
      <x:c r="Z153" s="99"/>
    </x:row>
    <x:row r="154">
      <x:c r="A154" s="99"/>
      <x:c r="B154" s="99"/>
      <x:c r="C154" s="99"/>
      <x:c r="D154" s="99"/>
      <x:c r="E154" s="99"/>
      <x:c r="F154" s="99"/>
      <x:c r="G154" s="99"/>
      <x:c r="H154" s="99"/>
      <x:c r="I154" s="99"/>
      <x:c r="J154" s="99"/>
      <x:c r="K154" s="99"/>
      <x:c r="L154" s="99"/>
      <x:c r="M154" s="99"/>
      <x:c r="N154" s="99"/>
      <x:c r="O154" s="99"/>
      <x:c r="P154" s="99"/>
      <x:c r="Q154" s="99"/>
      <x:c r="R154" s="99"/>
      <x:c r="S154" s="99"/>
      <x:c r="T154" s="99"/>
      <x:c r="U154" s="99"/>
      <x:c r="V154" s="99"/>
      <x:c r="W154" s="99"/>
      <x:c r="X154" s="99"/>
      <x:c r="Y154" s="99"/>
      <x:c r="Z154" s="99"/>
    </x:row>
    <x:row r="155">
      <x:c r="A155" s="99"/>
      <x:c r="B155" s="99"/>
      <x:c r="C155" s="99"/>
      <x:c r="D155" s="99"/>
      <x:c r="E155" s="99"/>
      <x:c r="F155" s="99"/>
      <x:c r="G155" s="99"/>
      <x:c r="H155" s="99"/>
      <x:c r="I155" s="99"/>
      <x:c r="J155" s="99"/>
      <x:c r="K155" s="99"/>
      <x:c r="L155" s="99"/>
      <x:c r="M155" s="99"/>
      <x:c r="N155" s="99"/>
      <x:c r="O155" s="99"/>
      <x:c r="P155" s="99"/>
      <x:c r="Q155" s="99"/>
      <x:c r="R155" s="99"/>
      <x:c r="S155" s="99"/>
      <x:c r="T155" s="99"/>
      <x:c r="U155" s="99"/>
      <x:c r="V155" s="99"/>
      <x:c r="W155" s="99"/>
      <x:c r="X155" s="99"/>
      <x:c r="Y155" s="99"/>
      <x:c r="Z155" s="99"/>
    </x:row>
    <x:row r="156">
      <x:c r="A156" s="99"/>
      <x:c r="B156" s="99"/>
      <x:c r="C156" s="99"/>
      <x:c r="D156" s="99"/>
      <x:c r="E156" s="99"/>
      <x:c r="F156" s="99"/>
      <x:c r="G156" s="99"/>
      <x:c r="H156" s="99"/>
      <x:c r="I156" s="99"/>
      <x:c r="J156" s="99"/>
      <x:c r="K156" s="99"/>
      <x:c r="L156" s="99"/>
      <x:c r="M156" s="99"/>
      <x:c r="N156" s="99"/>
      <x:c r="O156" s="99"/>
      <x:c r="P156" s="99"/>
      <x:c r="Q156" s="99"/>
      <x:c r="R156" s="99"/>
      <x:c r="S156" s="99"/>
      <x:c r="T156" s="99"/>
      <x:c r="U156" s="99"/>
      <x:c r="V156" s="99"/>
      <x:c r="W156" s="99"/>
      <x:c r="X156" s="99"/>
      <x:c r="Y156" s="99"/>
      <x:c r="Z156" s="99"/>
    </x:row>
    <x:row r="157">
      <x:c r="A157" s="99"/>
      <x:c r="B157" s="99"/>
      <x:c r="C157" s="99"/>
      <x:c r="D157" s="99"/>
      <x:c r="E157" s="99"/>
      <x:c r="F157" s="99"/>
      <x:c r="G157" s="99"/>
      <x:c r="H157" s="99"/>
      <x:c r="I157" s="99"/>
      <x:c r="J157" s="99"/>
      <x:c r="K157" s="99"/>
      <x:c r="L157" s="99"/>
      <x:c r="M157" s="99"/>
      <x:c r="N157" s="99"/>
      <x:c r="O157" s="99"/>
      <x:c r="P157" s="99"/>
      <x:c r="Q157" s="99"/>
      <x:c r="R157" s="99"/>
      <x:c r="S157" s="99"/>
      <x:c r="T157" s="99"/>
      <x:c r="U157" s="99"/>
      <x:c r="V157" s="99"/>
      <x:c r="W157" s="99"/>
      <x:c r="X157" s="99"/>
      <x:c r="Y157" s="99"/>
      <x:c r="Z157" s="99"/>
    </x:row>
    <x:row r="158">
      <x:c r="A158" s="99"/>
      <x:c r="B158" s="99"/>
      <x:c r="C158" s="99"/>
      <x:c r="D158" s="99"/>
      <x:c r="E158" s="99"/>
      <x:c r="F158" s="99"/>
      <x:c r="G158" s="99"/>
      <x:c r="H158" s="99"/>
      <x:c r="I158" s="99"/>
      <x:c r="J158" s="99"/>
      <x:c r="K158" s="99"/>
      <x:c r="L158" s="99"/>
      <x:c r="M158" s="99"/>
      <x:c r="N158" s="99"/>
      <x:c r="O158" s="99"/>
      <x:c r="P158" s="99"/>
      <x:c r="Q158" s="99"/>
      <x:c r="R158" s="99"/>
      <x:c r="S158" s="99"/>
      <x:c r="T158" s="99"/>
      <x:c r="U158" s="99"/>
      <x:c r="V158" s="99"/>
      <x:c r="W158" s="99"/>
      <x:c r="X158" s="99"/>
      <x:c r="Y158" s="99"/>
      <x:c r="Z158" s="99"/>
    </x:row>
    <x:row r="159">
      <x:c r="A159" s="99"/>
      <x:c r="B159" s="99"/>
      <x:c r="C159" s="99"/>
      <x:c r="D159" s="99"/>
      <x:c r="E159" s="99"/>
      <x:c r="F159" s="99"/>
      <x:c r="G159" s="99"/>
      <x:c r="H159" s="99"/>
      <x:c r="I159" s="99"/>
      <x:c r="J159" s="99"/>
      <x:c r="K159" s="99"/>
      <x:c r="L159" s="99"/>
      <x:c r="M159" s="99"/>
      <x:c r="N159" s="99"/>
      <x:c r="O159" s="99"/>
      <x:c r="P159" s="99"/>
      <x:c r="Q159" s="99"/>
      <x:c r="R159" s="99"/>
      <x:c r="S159" s="99"/>
      <x:c r="T159" s="99"/>
      <x:c r="U159" s="99"/>
      <x:c r="V159" s="99"/>
      <x:c r="W159" s="99"/>
      <x:c r="X159" s="99"/>
      <x:c r="Y159" s="99"/>
      <x:c r="Z159" s="99"/>
    </x:row>
    <x:row r="160">
      <x:c r="A160" s="99"/>
      <x:c r="B160" s="99"/>
      <x:c r="C160" s="99"/>
      <x:c r="D160" s="99"/>
      <x:c r="E160" s="99"/>
      <x:c r="F160" s="99"/>
      <x:c r="G160" s="99"/>
      <x:c r="H160" s="99"/>
      <x:c r="I160" s="99"/>
      <x:c r="J160" s="99"/>
      <x:c r="K160" s="99"/>
      <x:c r="L160" s="99"/>
      <x:c r="M160" s="99"/>
      <x:c r="N160" s="99"/>
      <x:c r="O160" s="99"/>
      <x:c r="P160" s="99"/>
      <x:c r="Q160" s="99"/>
      <x:c r="R160" s="99"/>
      <x:c r="S160" s="99"/>
      <x:c r="T160" s="99"/>
      <x:c r="U160" s="99"/>
      <x:c r="V160" s="99"/>
      <x:c r="W160" s="99"/>
      <x:c r="X160" s="99"/>
      <x:c r="Y160" s="99"/>
      <x:c r="Z160" s="99"/>
    </x:row>
    <x:row r="161">
      <x:c r="A161" s="99"/>
      <x:c r="B161" s="99"/>
      <x:c r="C161" s="99"/>
      <x:c r="D161" s="99"/>
      <x:c r="E161" s="99"/>
      <x:c r="F161" s="99"/>
      <x:c r="G161" s="99"/>
      <x:c r="H161" s="99"/>
      <x:c r="I161" s="99"/>
      <x:c r="J161" s="99"/>
      <x:c r="K161" s="99"/>
      <x:c r="L161" s="99"/>
      <x:c r="M161" s="99"/>
      <x:c r="N161" s="99"/>
      <x:c r="O161" s="99"/>
      <x:c r="P161" s="99"/>
      <x:c r="Q161" s="99"/>
      <x:c r="R161" s="99"/>
      <x:c r="S161" s="99"/>
      <x:c r="T161" s="99"/>
      <x:c r="U161" s="99"/>
      <x:c r="V161" s="99"/>
      <x:c r="W161" s="99"/>
      <x:c r="X161" s="99"/>
      <x:c r="Y161" s="99"/>
      <x:c r="Z161" s="99"/>
    </x:row>
    <x:row r="162">
      <x:c r="A162" s="99"/>
      <x:c r="B162" s="99"/>
      <x:c r="C162" s="99"/>
      <x:c r="D162" s="99"/>
      <x:c r="E162" s="99"/>
      <x:c r="F162" s="99"/>
      <x:c r="G162" s="99"/>
      <x:c r="H162" s="99"/>
      <x:c r="I162" s="99"/>
      <x:c r="J162" s="99"/>
      <x:c r="K162" s="99"/>
      <x:c r="L162" s="99"/>
      <x:c r="M162" s="99"/>
      <x:c r="N162" s="99"/>
      <x:c r="O162" s="99"/>
      <x:c r="P162" s="99"/>
      <x:c r="Q162" s="99"/>
      <x:c r="R162" s="99"/>
      <x:c r="S162" s="99"/>
      <x:c r="T162" s="99"/>
      <x:c r="U162" s="99"/>
      <x:c r="V162" s="99"/>
      <x:c r="W162" s="99"/>
      <x:c r="X162" s="99"/>
      <x:c r="Y162" s="99"/>
      <x:c r="Z162" s="99"/>
    </x:row>
    <x:row r="163">
      <x:c r="A163" s="99"/>
      <x:c r="B163" s="99"/>
      <x:c r="C163" s="99"/>
      <x:c r="D163" s="99"/>
      <x:c r="E163" s="99"/>
      <x:c r="F163" s="99"/>
      <x:c r="G163" s="99"/>
      <x:c r="H163" s="99"/>
      <x:c r="I163" s="99"/>
      <x:c r="J163" s="99"/>
      <x:c r="K163" s="99"/>
      <x:c r="L163" s="99"/>
      <x:c r="M163" s="99"/>
      <x:c r="N163" s="99"/>
      <x:c r="O163" s="99"/>
      <x:c r="P163" s="99"/>
      <x:c r="Q163" s="99"/>
      <x:c r="R163" s="99"/>
      <x:c r="S163" s="99"/>
      <x:c r="T163" s="99"/>
      <x:c r="U163" s="99"/>
      <x:c r="V163" s="99"/>
      <x:c r="W163" s="99"/>
      <x:c r="X163" s="99"/>
      <x:c r="Y163" s="99"/>
      <x:c r="Z163" s="99"/>
    </x:row>
    <x:row r="164">
      <x:c r="A164" s="99"/>
      <x:c r="B164" s="99"/>
      <x:c r="C164" s="99"/>
      <x:c r="D164" s="99"/>
      <x:c r="E164" s="99"/>
      <x:c r="F164" s="99"/>
      <x:c r="G164" s="99"/>
      <x:c r="H164" s="99"/>
      <x:c r="I164" s="99"/>
      <x:c r="J164" s="99"/>
      <x:c r="K164" s="99"/>
      <x:c r="L164" s="99"/>
      <x:c r="M164" s="99"/>
      <x:c r="N164" s="99"/>
      <x:c r="O164" s="99"/>
      <x:c r="P164" s="99"/>
      <x:c r="Q164" s="99"/>
      <x:c r="R164" s="99"/>
      <x:c r="S164" s="99"/>
      <x:c r="T164" s="99"/>
      <x:c r="U164" s="99"/>
      <x:c r="V164" s="99"/>
      <x:c r="W164" s="99"/>
      <x:c r="X164" s="99"/>
      <x:c r="Y164" s="99"/>
      <x:c r="Z164" s="99"/>
    </x:row>
    <x:row r="165">
      <x:c r="A165" s="99"/>
      <x:c r="B165" s="99"/>
      <x:c r="C165" s="99"/>
      <x:c r="D165" s="99"/>
      <x:c r="E165" s="99"/>
      <x:c r="F165" s="99"/>
      <x:c r="G165" s="99"/>
      <x:c r="H165" s="99"/>
      <x:c r="I165" s="99"/>
      <x:c r="J165" s="99"/>
      <x:c r="K165" s="99"/>
      <x:c r="L165" s="99"/>
      <x:c r="M165" s="99"/>
      <x:c r="N165" s="99"/>
      <x:c r="O165" s="99"/>
      <x:c r="P165" s="99"/>
      <x:c r="Q165" s="99"/>
      <x:c r="R165" s="99"/>
      <x:c r="S165" s="99"/>
      <x:c r="T165" s="99"/>
      <x:c r="U165" s="99"/>
      <x:c r="V165" s="99"/>
      <x:c r="W165" s="99"/>
      <x:c r="X165" s="99"/>
      <x:c r="Y165" s="99"/>
      <x:c r="Z165" s="99"/>
    </x:row>
    <x:row r="166">
      <x:c r="A166" s="99"/>
      <x:c r="B166" s="99"/>
      <x:c r="C166" s="99"/>
      <x:c r="D166" s="99"/>
      <x:c r="E166" s="99"/>
      <x:c r="F166" s="99"/>
      <x:c r="G166" s="99"/>
      <x:c r="H166" s="99"/>
      <x:c r="I166" s="99"/>
      <x:c r="J166" s="99"/>
      <x:c r="K166" s="99"/>
      <x:c r="L166" s="99"/>
      <x:c r="M166" s="99"/>
      <x:c r="N166" s="99"/>
      <x:c r="O166" s="99"/>
      <x:c r="P166" s="99"/>
      <x:c r="Q166" s="99"/>
      <x:c r="R166" s="99"/>
      <x:c r="S166" s="99"/>
      <x:c r="T166" s="99"/>
      <x:c r="U166" s="99"/>
      <x:c r="V166" s="99"/>
      <x:c r="W166" s="99"/>
      <x:c r="X166" s="99"/>
      <x:c r="Y166" s="99"/>
      <x:c r="Z166" s="99"/>
    </x:row>
    <x:row r="167">
      <x:c r="A167" s="99"/>
      <x:c r="B167" s="99"/>
      <x:c r="C167" s="99"/>
      <x:c r="D167" s="99"/>
      <x:c r="E167" s="99"/>
      <x:c r="F167" s="99"/>
      <x:c r="G167" s="99"/>
      <x:c r="H167" s="99"/>
      <x:c r="I167" s="99"/>
      <x:c r="J167" s="99"/>
      <x:c r="K167" s="99"/>
      <x:c r="L167" s="99"/>
      <x:c r="M167" s="99"/>
      <x:c r="N167" s="99"/>
      <x:c r="O167" s="99"/>
      <x:c r="P167" s="99"/>
      <x:c r="Q167" s="99"/>
      <x:c r="R167" s="99"/>
      <x:c r="S167" s="99"/>
      <x:c r="T167" s="99"/>
      <x:c r="U167" s="99"/>
      <x:c r="V167" s="99"/>
      <x:c r="W167" s="99"/>
      <x:c r="X167" s="99"/>
      <x:c r="Y167" s="99"/>
      <x:c r="Z167" s="99"/>
    </x:row>
    <x:row r="168">
      <x:c r="A168" s="99"/>
      <x:c r="B168" s="99"/>
      <x:c r="C168" s="99"/>
      <x:c r="D168" s="99"/>
      <x:c r="E168" s="99"/>
      <x:c r="F168" s="99"/>
      <x:c r="G168" s="99"/>
      <x:c r="H168" s="99"/>
      <x:c r="I168" s="99"/>
      <x:c r="J168" s="99"/>
      <x:c r="K168" s="99"/>
      <x:c r="L168" s="99"/>
      <x:c r="M168" s="99"/>
      <x:c r="N168" s="99"/>
      <x:c r="O168" s="99"/>
      <x:c r="P168" s="99"/>
      <x:c r="Q168" s="99"/>
      <x:c r="R168" s="99"/>
      <x:c r="S168" s="99"/>
      <x:c r="T168" s="99"/>
      <x:c r="U168" s="99"/>
      <x:c r="V168" s="99"/>
      <x:c r="W168" s="99"/>
      <x:c r="X168" s="99"/>
      <x:c r="Y168" s="99"/>
      <x:c r="Z168" s="99"/>
    </x:row>
    <x:row r="169">
      <x:c r="A169" s="99"/>
      <x:c r="B169" s="99"/>
      <x:c r="C169" s="99"/>
      <x:c r="D169" s="99"/>
      <x:c r="E169" s="99"/>
      <x:c r="F169" s="99"/>
      <x:c r="G169" s="99"/>
      <x:c r="H169" s="99"/>
      <x:c r="I169" s="99"/>
      <x:c r="J169" s="99"/>
      <x:c r="K169" s="99"/>
      <x:c r="L169" s="99"/>
      <x:c r="M169" s="99"/>
      <x:c r="N169" s="99"/>
      <x:c r="O169" s="99"/>
      <x:c r="P169" s="99"/>
      <x:c r="Q169" s="99"/>
      <x:c r="R169" s="99"/>
      <x:c r="S169" s="99"/>
      <x:c r="T169" s="99"/>
      <x:c r="U169" s="99"/>
      <x:c r="V169" s="99"/>
      <x:c r="W169" s="99"/>
      <x:c r="X169" s="99"/>
      <x:c r="Y169" s="99"/>
      <x:c r="Z169" s="99"/>
    </x:row>
    <x:row r="170">
      <x:c r="A170" s="99"/>
      <x:c r="B170" s="99"/>
      <x:c r="C170" s="99"/>
      <x:c r="D170" s="99"/>
      <x:c r="E170" s="99"/>
      <x:c r="F170" s="99"/>
      <x:c r="G170" s="99"/>
      <x:c r="H170" s="99"/>
      <x:c r="I170" s="99"/>
      <x:c r="J170" s="99"/>
      <x:c r="K170" s="99"/>
      <x:c r="L170" s="99"/>
      <x:c r="M170" s="99"/>
      <x:c r="N170" s="99"/>
      <x:c r="O170" s="99"/>
      <x:c r="P170" s="99"/>
      <x:c r="Q170" s="99"/>
      <x:c r="R170" s="99"/>
      <x:c r="S170" s="99"/>
      <x:c r="T170" s="99"/>
      <x:c r="U170" s="99"/>
      <x:c r="V170" s="99"/>
      <x:c r="W170" s="99"/>
      <x:c r="X170" s="99"/>
      <x:c r="Y170" s="99"/>
      <x:c r="Z170" s="99"/>
    </x:row>
    <x:row r="171">
      <x:c r="A171" s="99"/>
      <x:c r="B171" s="99"/>
      <x:c r="C171" s="99"/>
      <x:c r="D171" s="99"/>
      <x:c r="E171" s="99"/>
      <x:c r="F171" s="99"/>
      <x:c r="G171" s="99"/>
      <x:c r="H171" s="99"/>
      <x:c r="I171" s="99"/>
      <x:c r="J171" s="99"/>
      <x:c r="K171" s="99"/>
      <x:c r="L171" s="99"/>
      <x:c r="M171" s="99"/>
      <x:c r="N171" s="99"/>
      <x:c r="O171" s="99"/>
      <x:c r="P171" s="99"/>
      <x:c r="Q171" s="99"/>
      <x:c r="R171" s="99"/>
      <x:c r="S171" s="99"/>
      <x:c r="T171" s="99"/>
      <x:c r="U171" s="99"/>
      <x:c r="V171" s="99"/>
      <x:c r="W171" s="99"/>
      <x:c r="X171" s="99"/>
      <x:c r="Y171" s="99"/>
      <x:c r="Z171" s="99"/>
    </x:row>
    <x:row r="172">
      <x:c r="A172" s="99"/>
      <x:c r="B172" s="99"/>
      <x:c r="C172" s="99"/>
      <x:c r="D172" s="99"/>
      <x:c r="E172" s="99"/>
      <x:c r="F172" s="99"/>
      <x:c r="G172" s="99"/>
      <x:c r="H172" s="99"/>
      <x:c r="I172" s="99"/>
      <x:c r="J172" s="99"/>
      <x:c r="K172" s="99"/>
      <x:c r="L172" s="99"/>
      <x:c r="M172" s="99"/>
      <x:c r="N172" s="99"/>
      <x:c r="O172" s="99"/>
      <x:c r="P172" s="99"/>
      <x:c r="Q172" s="99"/>
      <x:c r="R172" s="99"/>
      <x:c r="S172" s="99"/>
      <x:c r="T172" s="99"/>
      <x:c r="U172" s="99"/>
      <x:c r="V172" s="99"/>
      <x:c r="W172" s="99"/>
      <x:c r="X172" s="99"/>
      <x:c r="Y172" s="99"/>
      <x:c r="Z172" s="99"/>
    </x:row>
    <x:row r="173">
      <x:c r="A173" s="99"/>
      <x:c r="B173" s="99"/>
      <x:c r="C173" s="99"/>
      <x:c r="D173" s="99"/>
      <x:c r="E173" s="99"/>
      <x:c r="F173" s="99"/>
      <x:c r="G173" s="99"/>
      <x:c r="H173" s="99"/>
      <x:c r="I173" s="99"/>
      <x:c r="J173" s="99"/>
      <x:c r="K173" s="99"/>
      <x:c r="L173" s="99"/>
      <x:c r="M173" s="99"/>
      <x:c r="N173" s="99"/>
      <x:c r="O173" s="99"/>
      <x:c r="P173" s="99"/>
      <x:c r="Q173" s="99"/>
      <x:c r="R173" s="99"/>
      <x:c r="S173" s="99"/>
      <x:c r="T173" s="99"/>
      <x:c r="U173" s="99"/>
      <x:c r="V173" s="99"/>
      <x:c r="W173" s="99"/>
      <x:c r="X173" s="99"/>
      <x:c r="Y173" s="99"/>
      <x:c r="Z173" s="99"/>
    </x:row>
    <x:row r="174">
      <x:c r="A174" s="99"/>
      <x:c r="B174" s="99"/>
      <x:c r="C174" s="99"/>
      <x:c r="D174" s="99"/>
      <x:c r="E174" s="99"/>
      <x:c r="F174" s="99"/>
      <x:c r="G174" s="99"/>
      <x:c r="H174" s="99"/>
      <x:c r="I174" s="99"/>
      <x:c r="J174" s="99"/>
      <x:c r="K174" s="99"/>
      <x:c r="L174" s="99"/>
      <x:c r="M174" s="99"/>
      <x:c r="N174" s="99"/>
      <x:c r="O174" s="99"/>
      <x:c r="P174" s="99"/>
      <x:c r="Q174" s="99"/>
      <x:c r="R174" s="99"/>
      <x:c r="S174" s="99"/>
      <x:c r="T174" s="99"/>
      <x:c r="U174" s="99"/>
      <x:c r="V174" s="99"/>
      <x:c r="W174" s="99"/>
      <x:c r="X174" s="99"/>
      <x:c r="Y174" s="99"/>
      <x:c r="Z174" s="99"/>
    </x:row>
    <x:row r="175">
      <x:c r="A175" s="99"/>
      <x:c r="B175" s="99"/>
      <x:c r="C175" s="99"/>
      <x:c r="D175" s="99"/>
      <x:c r="E175" s="99"/>
      <x:c r="F175" s="99"/>
      <x:c r="G175" s="99"/>
      <x:c r="H175" s="99"/>
      <x:c r="I175" s="99"/>
      <x:c r="J175" s="99"/>
      <x:c r="K175" s="99"/>
      <x:c r="L175" s="99"/>
      <x:c r="M175" s="99"/>
      <x:c r="N175" s="99"/>
      <x:c r="O175" s="99"/>
      <x:c r="P175" s="99"/>
      <x:c r="Q175" s="99"/>
      <x:c r="R175" s="99"/>
      <x:c r="S175" s="99"/>
      <x:c r="T175" s="99"/>
      <x:c r="U175" s="99"/>
      <x:c r="V175" s="99"/>
      <x:c r="W175" s="99"/>
      <x:c r="X175" s="99"/>
      <x:c r="Y175" s="99"/>
      <x:c r="Z175" s="99"/>
    </x:row>
    <x:row r="176">
      <x:c r="A176" s="99"/>
      <x:c r="B176" s="99"/>
      <x:c r="C176" s="99"/>
      <x:c r="D176" s="99"/>
      <x:c r="E176" s="99"/>
      <x:c r="F176" s="99"/>
      <x:c r="G176" s="99"/>
      <x:c r="H176" s="99"/>
      <x:c r="I176" s="99"/>
      <x:c r="J176" s="99"/>
      <x:c r="K176" s="99"/>
      <x:c r="L176" s="99"/>
      <x:c r="M176" s="99"/>
      <x:c r="N176" s="99"/>
      <x:c r="O176" s="99"/>
      <x:c r="P176" s="99"/>
      <x:c r="Q176" s="99"/>
      <x:c r="R176" s="99"/>
      <x:c r="S176" s="99"/>
      <x:c r="T176" s="99"/>
      <x:c r="U176" s="99"/>
      <x:c r="V176" s="99"/>
      <x:c r="W176" s="99"/>
      <x:c r="X176" s="99"/>
      <x:c r="Y176" s="99"/>
      <x:c r="Z176" s="99"/>
    </x:row>
    <x:row r="177">
      <x:c r="A177" s="99"/>
      <x:c r="B177" s="99"/>
      <x:c r="C177" s="99"/>
      <x:c r="D177" s="99"/>
      <x:c r="E177" s="99"/>
      <x:c r="F177" s="99"/>
      <x:c r="G177" s="99"/>
      <x:c r="H177" s="99"/>
      <x:c r="I177" s="99"/>
      <x:c r="J177" s="99"/>
      <x:c r="K177" s="99"/>
      <x:c r="L177" s="99"/>
      <x:c r="M177" s="99"/>
      <x:c r="N177" s="99"/>
      <x:c r="O177" s="99"/>
      <x:c r="P177" s="99"/>
      <x:c r="Q177" s="99"/>
      <x:c r="R177" s="99"/>
      <x:c r="S177" s="99"/>
      <x:c r="T177" s="99"/>
      <x:c r="U177" s="99"/>
      <x:c r="V177" s="99"/>
      <x:c r="W177" s="99"/>
      <x:c r="X177" s="99"/>
      <x:c r="Y177" s="99"/>
      <x:c r="Z177" s="99"/>
    </x:row>
    <x:row r="178">
      <x:c r="A178" s="99"/>
      <x:c r="B178" s="99"/>
      <x:c r="C178" s="99"/>
      <x:c r="D178" s="99"/>
      <x:c r="E178" s="99"/>
      <x:c r="F178" s="99"/>
      <x:c r="G178" s="99"/>
      <x:c r="H178" s="99"/>
      <x:c r="I178" s="99"/>
      <x:c r="J178" s="99"/>
      <x:c r="K178" s="99"/>
      <x:c r="L178" s="99"/>
      <x:c r="M178" s="99"/>
      <x:c r="N178" s="99"/>
      <x:c r="O178" s="99"/>
      <x:c r="P178" s="99"/>
      <x:c r="Q178" s="99"/>
      <x:c r="R178" s="99"/>
      <x:c r="S178" s="99"/>
      <x:c r="T178" s="99"/>
      <x:c r="U178" s="99"/>
      <x:c r="V178" s="99"/>
      <x:c r="W178" s="99"/>
      <x:c r="X178" s="99"/>
      <x:c r="Y178" s="99"/>
      <x:c r="Z178" s="99"/>
    </x:row>
    <x:row r="179">
      <x:c r="A179" s="99"/>
      <x:c r="B179" s="99"/>
      <x:c r="C179" s="99"/>
      <x:c r="D179" s="99"/>
      <x:c r="E179" s="99"/>
      <x:c r="F179" s="99"/>
      <x:c r="G179" s="99"/>
      <x:c r="H179" s="99"/>
      <x:c r="I179" s="99"/>
      <x:c r="J179" s="99"/>
      <x:c r="K179" s="99"/>
      <x:c r="L179" s="99"/>
      <x:c r="M179" s="99"/>
      <x:c r="N179" s="99"/>
      <x:c r="O179" s="99"/>
      <x:c r="P179" s="99"/>
      <x:c r="Q179" s="99"/>
      <x:c r="R179" s="99"/>
      <x:c r="S179" s="99"/>
      <x:c r="T179" s="99"/>
      <x:c r="U179" s="99"/>
      <x:c r="V179" s="99"/>
      <x:c r="W179" s="99"/>
      <x:c r="X179" s="99"/>
      <x:c r="Y179" s="99"/>
      <x:c r="Z179" s="99"/>
    </x:row>
    <x:row r="180">
      <x:c r="A180" s="99"/>
      <x:c r="B180" s="99"/>
      <x:c r="C180" s="99"/>
      <x:c r="D180" s="99"/>
      <x:c r="E180" s="99"/>
      <x:c r="F180" s="99"/>
      <x:c r="G180" s="99"/>
      <x:c r="H180" s="99"/>
      <x:c r="I180" s="99"/>
      <x:c r="J180" s="99"/>
      <x:c r="K180" s="99"/>
      <x:c r="L180" s="99"/>
      <x:c r="M180" s="99"/>
      <x:c r="N180" s="99"/>
      <x:c r="O180" s="99"/>
      <x:c r="P180" s="99"/>
      <x:c r="Q180" s="99"/>
      <x:c r="R180" s="99"/>
      <x:c r="S180" s="99"/>
      <x:c r="T180" s="99"/>
      <x:c r="U180" s="99"/>
      <x:c r="V180" s="99"/>
      <x:c r="W180" s="99"/>
      <x:c r="X180" s="99"/>
      <x:c r="Y180" s="99"/>
      <x:c r="Z180" s="99"/>
    </x:row>
    <x:row r="181">
      <x:c r="A181" s="99"/>
      <x:c r="B181" s="99"/>
      <x:c r="C181" s="99"/>
      <x:c r="D181" s="99"/>
      <x:c r="E181" s="99"/>
      <x:c r="F181" s="99"/>
      <x:c r="G181" s="99"/>
      <x:c r="H181" s="99"/>
      <x:c r="I181" s="99"/>
      <x:c r="J181" s="99"/>
      <x:c r="K181" s="99"/>
      <x:c r="L181" s="99"/>
      <x:c r="M181" s="99"/>
      <x:c r="N181" s="99"/>
      <x:c r="O181" s="99"/>
      <x:c r="P181" s="99"/>
      <x:c r="Q181" s="99"/>
      <x:c r="R181" s="99"/>
      <x:c r="S181" s="99"/>
      <x:c r="T181" s="99"/>
      <x:c r="U181" s="99"/>
      <x:c r="V181" s="99"/>
      <x:c r="W181" s="99"/>
      <x:c r="X181" s="99"/>
      <x:c r="Y181" s="99"/>
      <x:c r="Z181" s="99"/>
    </x:row>
    <x:row r="182">
      <x:c r="A182" s="99"/>
      <x:c r="B182" s="99"/>
      <x:c r="C182" s="99"/>
      <x:c r="D182" s="99"/>
      <x:c r="E182" s="99"/>
      <x:c r="F182" s="99"/>
      <x:c r="G182" s="99"/>
      <x:c r="H182" s="99"/>
      <x:c r="I182" s="99"/>
      <x:c r="J182" s="99"/>
      <x:c r="K182" s="99"/>
      <x:c r="L182" s="99"/>
      <x:c r="M182" s="99"/>
      <x:c r="N182" s="99"/>
      <x:c r="O182" s="99"/>
      <x:c r="P182" s="99"/>
      <x:c r="Q182" s="99"/>
      <x:c r="R182" s="99"/>
      <x:c r="S182" s="99"/>
      <x:c r="T182" s="99"/>
      <x:c r="U182" s="99"/>
      <x:c r="V182" s="99"/>
      <x:c r="W182" s="99"/>
      <x:c r="X182" s="99"/>
      <x:c r="Y182" s="99"/>
      <x:c r="Z182" s="99"/>
    </x:row>
    <x:row r="183">
      <x:c r="A183" s="99"/>
      <x:c r="B183" s="99"/>
      <x:c r="C183" s="99"/>
      <x:c r="D183" s="99"/>
      <x:c r="E183" s="99"/>
      <x:c r="F183" s="99"/>
      <x:c r="G183" s="99"/>
      <x:c r="H183" s="99"/>
      <x:c r="I183" s="99"/>
      <x:c r="J183" s="99"/>
      <x:c r="K183" s="99"/>
      <x:c r="L183" s="99"/>
      <x:c r="M183" s="99"/>
      <x:c r="N183" s="99"/>
      <x:c r="O183" s="99"/>
      <x:c r="P183" s="99"/>
      <x:c r="Q183" s="99"/>
      <x:c r="R183" s="99"/>
      <x:c r="S183" s="99"/>
      <x:c r="T183" s="99"/>
      <x:c r="U183" s="99"/>
      <x:c r="V183" s="99"/>
      <x:c r="W183" s="99"/>
      <x:c r="X183" s="99"/>
      <x:c r="Y183" s="99"/>
      <x:c r="Z183" s="99"/>
    </x:row>
    <x:row r="184">
      <x:c r="A184" s="99"/>
      <x:c r="B184" s="99"/>
      <x:c r="C184" s="99"/>
      <x:c r="D184" s="99"/>
      <x:c r="E184" s="99"/>
      <x:c r="F184" s="99"/>
      <x:c r="G184" s="99"/>
      <x:c r="H184" s="99"/>
      <x:c r="I184" s="99"/>
      <x:c r="J184" s="99"/>
      <x:c r="K184" s="99"/>
      <x:c r="L184" s="99"/>
      <x:c r="M184" s="99"/>
      <x:c r="N184" s="99"/>
      <x:c r="O184" s="99"/>
      <x:c r="P184" s="99"/>
      <x:c r="Q184" s="99"/>
      <x:c r="R184" s="99"/>
      <x:c r="S184" s="99"/>
      <x:c r="T184" s="99"/>
      <x:c r="U184" s="99"/>
      <x:c r="V184" s="99"/>
      <x:c r="W184" s="99"/>
      <x:c r="X184" s="99"/>
      <x:c r="Y184" s="99"/>
      <x:c r="Z184" s="99"/>
    </x:row>
    <x:row r="185">
      <x:c r="A185" s="99"/>
      <x:c r="B185" s="99"/>
      <x:c r="C185" s="99"/>
      <x:c r="D185" s="99"/>
      <x:c r="E185" s="99"/>
      <x:c r="F185" s="99"/>
      <x:c r="G185" s="99"/>
      <x:c r="H185" s="99"/>
      <x:c r="I185" s="99"/>
      <x:c r="J185" s="99"/>
      <x:c r="K185" s="99"/>
      <x:c r="L185" s="99"/>
      <x:c r="M185" s="99"/>
      <x:c r="N185" s="99"/>
      <x:c r="O185" s="99"/>
      <x:c r="P185" s="99"/>
      <x:c r="Q185" s="99"/>
      <x:c r="R185" s="99"/>
      <x:c r="S185" s="99"/>
      <x:c r="T185" s="99"/>
      <x:c r="U185" s="99"/>
      <x:c r="V185" s="99"/>
      <x:c r="W185" s="99"/>
      <x:c r="X185" s="99"/>
      <x:c r="Y185" s="99"/>
      <x:c r="Z185" s="99"/>
    </x:row>
    <x:row r="186">
      <x:c r="A186" s="99"/>
      <x:c r="B186" s="99"/>
      <x:c r="C186" s="99"/>
      <x:c r="D186" s="99"/>
      <x:c r="E186" s="99"/>
      <x:c r="F186" s="99"/>
      <x:c r="G186" s="99"/>
      <x:c r="H186" s="99"/>
      <x:c r="I186" s="99"/>
      <x:c r="J186" s="99"/>
      <x:c r="K186" s="99"/>
      <x:c r="L186" s="99"/>
      <x:c r="M186" s="99"/>
      <x:c r="N186" s="99"/>
      <x:c r="O186" s="99"/>
      <x:c r="P186" s="99"/>
      <x:c r="Q186" s="99"/>
      <x:c r="R186" s="99"/>
      <x:c r="S186" s="99"/>
      <x:c r="T186" s="99"/>
      <x:c r="U186" s="99"/>
      <x:c r="V186" s="99"/>
      <x:c r="W186" s="99"/>
      <x:c r="X186" s="99"/>
      <x:c r="Y186" s="99"/>
      <x:c r="Z186" s="99"/>
    </x:row>
    <x:row r="187">
      <x:c r="A187" s="99"/>
      <x:c r="B187" s="99"/>
      <x:c r="C187" s="99"/>
      <x:c r="D187" s="99"/>
      <x:c r="E187" s="99"/>
      <x:c r="F187" s="99"/>
      <x:c r="G187" s="99"/>
      <x:c r="H187" s="99"/>
      <x:c r="I187" s="99"/>
      <x:c r="J187" s="99"/>
      <x:c r="K187" s="99"/>
      <x:c r="L187" s="99"/>
      <x:c r="M187" s="99"/>
      <x:c r="N187" s="99"/>
      <x:c r="O187" s="99"/>
      <x:c r="P187" s="99"/>
      <x:c r="Q187" s="99"/>
      <x:c r="R187" s="99"/>
      <x:c r="S187" s="99"/>
      <x:c r="T187" s="99"/>
      <x:c r="U187" s="99"/>
      <x:c r="V187" s="99"/>
      <x:c r="W187" s="99"/>
      <x:c r="X187" s="99"/>
      <x:c r="Y187" s="99"/>
      <x:c r="Z187" s="99"/>
    </x:row>
    <x:row r="188">
      <x:c r="A188" s="99"/>
      <x:c r="B188" s="99"/>
      <x:c r="C188" s="99"/>
      <x:c r="D188" s="99"/>
      <x:c r="E188" s="99"/>
      <x:c r="F188" s="99"/>
      <x:c r="G188" s="99"/>
      <x:c r="H188" s="99"/>
      <x:c r="I188" s="99"/>
      <x:c r="J188" s="99"/>
      <x:c r="K188" s="99"/>
      <x:c r="L188" s="99"/>
      <x:c r="M188" s="99"/>
      <x:c r="N188" s="99"/>
      <x:c r="O188" s="99"/>
      <x:c r="P188" s="99"/>
      <x:c r="Q188" s="99"/>
      <x:c r="R188" s="99"/>
      <x:c r="S188" s="99"/>
      <x:c r="T188" s="99"/>
      <x:c r="U188" s="99"/>
      <x:c r="V188" s="99"/>
      <x:c r="W188" s="99"/>
      <x:c r="X188" s="99"/>
      <x:c r="Y188" s="99"/>
      <x:c r="Z188" s="99"/>
    </x:row>
    <x:row r="189">
      <x:c r="A189" s="99"/>
      <x:c r="B189" s="99"/>
      <x:c r="C189" s="99"/>
      <x:c r="D189" s="99"/>
      <x:c r="E189" s="99"/>
      <x:c r="F189" s="99"/>
      <x:c r="G189" s="99"/>
      <x:c r="H189" s="99"/>
      <x:c r="I189" s="99"/>
      <x:c r="J189" s="99"/>
      <x:c r="K189" s="99"/>
      <x:c r="L189" s="99"/>
      <x:c r="M189" s="99"/>
      <x:c r="N189" s="99"/>
      <x:c r="O189" s="99"/>
      <x:c r="P189" s="99"/>
      <x:c r="Q189" s="99"/>
      <x:c r="R189" s="99"/>
      <x:c r="S189" s="99"/>
      <x:c r="T189" s="99"/>
      <x:c r="U189" s="99"/>
      <x:c r="V189" s="99"/>
      <x:c r="W189" s="99"/>
      <x:c r="X189" s="99"/>
      <x:c r="Y189" s="99"/>
      <x:c r="Z189" s="99"/>
    </x:row>
    <x:row r="190">
      <x:c r="A190" s="99"/>
      <x:c r="B190" s="99"/>
      <x:c r="C190" s="99"/>
      <x:c r="D190" s="99"/>
      <x:c r="E190" s="99"/>
      <x:c r="F190" s="99"/>
      <x:c r="G190" s="99"/>
      <x:c r="H190" s="99"/>
      <x:c r="I190" s="99"/>
      <x:c r="J190" s="99"/>
      <x:c r="K190" s="99"/>
      <x:c r="L190" s="99"/>
      <x:c r="M190" s="99"/>
      <x:c r="N190" s="99"/>
      <x:c r="O190" s="99"/>
      <x:c r="P190" s="99"/>
      <x:c r="Q190" s="99"/>
      <x:c r="R190" s="99"/>
      <x:c r="S190" s="99"/>
      <x:c r="T190" s="99"/>
      <x:c r="U190" s="99"/>
      <x:c r="V190" s="99"/>
      <x:c r="W190" s="99"/>
      <x:c r="X190" s="99"/>
      <x:c r="Y190" s="99"/>
      <x:c r="Z190" s="99"/>
    </x:row>
    <x:row r="191">
      <x:c r="A191" s="99"/>
      <x:c r="B191" s="99"/>
      <x:c r="C191" s="99"/>
      <x:c r="D191" s="99"/>
      <x:c r="E191" s="99"/>
      <x:c r="F191" s="99"/>
      <x:c r="G191" s="99"/>
      <x:c r="H191" s="99"/>
      <x:c r="I191" s="99"/>
      <x:c r="J191" s="99"/>
      <x:c r="K191" s="99"/>
      <x:c r="L191" s="99"/>
      <x:c r="M191" s="99"/>
      <x:c r="N191" s="99"/>
      <x:c r="O191" s="99"/>
      <x:c r="P191" s="99"/>
      <x:c r="Q191" s="99"/>
      <x:c r="R191" s="99"/>
      <x:c r="S191" s="99"/>
      <x:c r="T191" s="99"/>
      <x:c r="U191" s="99"/>
      <x:c r="V191" s="99"/>
      <x:c r="W191" s="99"/>
      <x:c r="X191" s="99"/>
      <x:c r="Y191" s="99"/>
      <x:c r="Z191" s="99"/>
    </x:row>
    <x:row r="192">
      <x:c r="A192" s="99"/>
      <x:c r="B192" s="99"/>
      <x:c r="C192" s="99"/>
      <x:c r="D192" s="99"/>
      <x:c r="E192" s="99"/>
      <x:c r="F192" s="99"/>
      <x:c r="G192" s="99"/>
      <x:c r="H192" s="99"/>
      <x:c r="I192" s="99"/>
      <x:c r="J192" s="99"/>
      <x:c r="K192" s="99"/>
      <x:c r="L192" s="99"/>
      <x:c r="M192" s="99"/>
      <x:c r="N192" s="99"/>
      <x:c r="O192" s="99"/>
      <x:c r="P192" s="99"/>
      <x:c r="Q192" s="99"/>
      <x:c r="R192" s="99"/>
      <x:c r="S192" s="99"/>
      <x:c r="T192" s="99"/>
      <x:c r="U192" s="99"/>
      <x:c r="V192" s="99"/>
      <x:c r="W192" s="99"/>
      <x:c r="X192" s="99"/>
      <x:c r="Y192" s="99"/>
      <x:c r="Z192" s="99"/>
    </x:row>
    <x:row r="193">
      <x:c r="A193" s="99"/>
      <x:c r="B193" s="99"/>
      <x:c r="C193" s="99"/>
      <x:c r="D193" s="99"/>
      <x:c r="E193" s="99"/>
      <x:c r="F193" s="99"/>
      <x:c r="G193" s="99"/>
      <x:c r="H193" s="99"/>
      <x:c r="I193" s="99"/>
      <x:c r="J193" s="99"/>
      <x:c r="K193" s="99"/>
      <x:c r="L193" s="99"/>
      <x:c r="M193" s="99"/>
      <x:c r="N193" s="99"/>
      <x:c r="O193" s="99"/>
      <x:c r="P193" s="99"/>
      <x:c r="Q193" s="99"/>
      <x:c r="R193" s="99"/>
      <x:c r="S193" s="99"/>
      <x:c r="T193" s="99"/>
      <x:c r="U193" s="99"/>
      <x:c r="V193" s="99"/>
      <x:c r="W193" s="99"/>
      <x:c r="X193" s="99"/>
      <x:c r="Y193" s="99"/>
      <x:c r="Z193" s="99"/>
    </x:row>
    <x:row r="194">
      <x:c r="A194" s="99"/>
      <x:c r="B194" s="99"/>
      <x:c r="C194" s="99"/>
      <x:c r="D194" s="99"/>
      <x:c r="E194" s="99"/>
      <x:c r="F194" s="99"/>
      <x:c r="G194" s="99"/>
      <x:c r="H194" s="99"/>
      <x:c r="I194" s="99"/>
      <x:c r="J194" s="99"/>
      <x:c r="K194" s="99"/>
      <x:c r="L194" s="99"/>
      <x:c r="M194" s="99"/>
      <x:c r="N194" s="99"/>
      <x:c r="O194" s="99"/>
      <x:c r="P194" s="99"/>
      <x:c r="Q194" s="99"/>
      <x:c r="R194" s="99"/>
      <x:c r="S194" s="99"/>
      <x:c r="T194" s="99"/>
      <x:c r="U194" s="99"/>
      <x:c r="V194" s="99"/>
      <x:c r="W194" s="99"/>
      <x:c r="X194" s="99"/>
      <x:c r="Y194" s="99"/>
      <x:c r="Z194" s="99"/>
    </x:row>
    <x:row r="195">
      <x:c r="A195" s="99"/>
      <x:c r="B195" s="99"/>
      <x:c r="C195" s="99"/>
      <x:c r="D195" s="99"/>
      <x:c r="E195" s="99"/>
      <x:c r="F195" s="99"/>
      <x:c r="G195" s="99"/>
      <x:c r="H195" s="99"/>
      <x:c r="I195" s="99"/>
      <x:c r="J195" s="99"/>
      <x:c r="K195" s="99"/>
      <x:c r="L195" s="99"/>
      <x:c r="M195" s="99"/>
      <x:c r="N195" s="99"/>
      <x:c r="O195" s="99"/>
      <x:c r="P195" s="99"/>
      <x:c r="Q195" s="99"/>
      <x:c r="R195" s="99"/>
      <x:c r="S195" s="99"/>
      <x:c r="T195" s="99"/>
      <x:c r="U195" s="99"/>
      <x:c r="V195" s="99"/>
      <x:c r="W195" s="99"/>
      <x:c r="X195" s="99"/>
      <x:c r="Y195" s="99"/>
      <x:c r="Z195" s="99"/>
    </x:row>
    <x:row r="196">
      <x:c r="A196" s="99"/>
      <x:c r="B196" s="99"/>
      <x:c r="C196" s="99"/>
      <x:c r="D196" s="99"/>
      <x:c r="E196" s="99"/>
      <x:c r="F196" s="99"/>
      <x:c r="G196" s="99"/>
      <x:c r="H196" s="99"/>
      <x:c r="I196" s="99"/>
      <x:c r="J196" s="99"/>
      <x:c r="K196" s="99"/>
      <x:c r="L196" s="99"/>
      <x:c r="M196" s="99"/>
      <x:c r="N196" s="99"/>
      <x:c r="O196" s="99"/>
      <x:c r="P196" s="99"/>
      <x:c r="Q196" s="99"/>
      <x:c r="R196" s="99"/>
      <x:c r="S196" s="99"/>
      <x:c r="T196" s="99"/>
      <x:c r="U196" s="99"/>
      <x:c r="V196" s="99"/>
      <x:c r="W196" s="99"/>
      <x:c r="X196" s="99"/>
      <x:c r="Y196" s="99"/>
      <x:c r="Z196" s="99"/>
    </x:row>
    <x:row r="197">
      <x:c r="A197" s="99"/>
      <x:c r="B197" s="99"/>
      <x:c r="C197" s="99"/>
      <x:c r="D197" s="99"/>
      <x:c r="E197" s="99"/>
      <x:c r="F197" s="99"/>
      <x:c r="G197" s="99"/>
      <x:c r="H197" s="99"/>
      <x:c r="I197" s="99"/>
      <x:c r="J197" s="99"/>
      <x:c r="K197" s="99"/>
      <x:c r="L197" s="99"/>
      <x:c r="M197" s="99"/>
      <x:c r="N197" s="99"/>
      <x:c r="O197" s="99"/>
      <x:c r="P197" s="99"/>
      <x:c r="Q197" s="99"/>
      <x:c r="R197" s="99"/>
      <x:c r="S197" s="99"/>
      <x:c r="T197" s="99"/>
      <x:c r="U197" s="99"/>
      <x:c r="V197" s="99"/>
      <x:c r="W197" s="99"/>
      <x:c r="X197" s="99"/>
      <x:c r="Y197" s="99"/>
      <x:c r="Z197" s="99"/>
    </x:row>
    <x:row r="198">
      <x:c r="A198" s="99"/>
      <x:c r="B198" s="99"/>
      <x:c r="C198" s="99"/>
      <x:c r="D198" s="99"/>
      <x:c r="E198" s="99"/>
      <x:c r="F198" s="99"/>
      <x:c r="G198" s="99"/>
      <x:c r="H198" s="99"/>
      <x:c r="I198" s="99"/>
      <x:c r="J198" s="99"/>
      <x:c r="K198" s="99"/>
      <x:c r="L198" s="99"/>
      <x:c r="M198" s="99"/>
      <x:c r="N198" s="99"/>
      <x:c r="O198" s="99"/>
      <x:c r="P198" s="99"/>
      <x:c r="Q198" s="99"/>
      <x:c r="R198" s="99"/>
      <x:c r="S198" s="99"/>
      <x:c r="T198" s="99"/>
      <x:c r="U198" s="99"/>
      <x:c r="V198" s="99"/>
      <x:c r="W198" s="99"/>
      <x:c r="X198" s="99"/>
      <x:c r="Y198" s="99"/>
      <x:c r="Z198" s="99"/>
    </x:row>
    <x:row r="199">
      <x:c r="A199" s="99"/>
      <x:c r="B199" s="99"/>
      <x:c r="C199" s="99"/>
      <x:c r="D199" s="99"/>
      <x:c r="E199" s="99"/>
      <x:c r="F199" s="99"/>
      <x:c r="G199" s="99"/>
      <x:c r="H199" s="99"/>
      <x:c r="I199" s="99"/>
      <x:c r="J199" s="99"/>
      <x:c r="K199" s="99"/>
      <x:c r="L199" s="99"/>
      <x:c r="M199" s="99"/>
      <x:c r="N199" s="99"/>
      <x:c r="O199" s="99"/>
      <x:c r="P199" s="99"/>
      <x:c r="Q199" s="99"/>
      <x:c r="R199" s="99"/>
      <x:c r="S199" s="99"/>
      <x:c r="T199" s="99"/>
      <x:c r="U199" s="99"/>
      <x:c r="V199" s="99"/>
      <x:c r="W199" s="99"/>
      <x:c r="X199" s="99"/>
      <x:c r="Y199" s="99"/>
      <x:c r="Z199" s="99"/>
    </x:row>
    <x:row r="200">
      <x:c r="A200" s="99"/>
      <x:c r="B200" s="99"/>
      <x:c r="C200" s="99"/>
      <x:c r="D200" s="99"/>
      <x:c r="E200" s="99"/>
      <x:c r="F200" s="99"/>
      <x:c r="G200" s="99"/>
      <x:c r="H200" s="99"/>
      <x:c r="I200" s="99"/>
      <x:c r="J200" s="99"/>
      <x:c r="K200" s="99"/>
      <x:c r="L200" s="99"/>
      <x:c r="M200" s="99"/>
      <x:c r="N200" s="99"/>
      <x:c r="O200" s="99"/>
      <x:c r="P200" s="99"/>
      <x:c r="Q200" s="99"/>
      <x:c r="R200" s="99"/>
      <x:c r="S200" s="99"/>
      <x:c r="T200" s="99"/>
      <x:c r="U200" s="99"/>
      <x:c r="V200" s="99"/>
      <x:c r="W200" s="99"/>
      <x:c r="X200" s="99"/>
      <x:c r="Y200" s="99"/>
      <x:c r="Z200" s="99"/>
    </x:row>
    <x:row r="201">
      <x:c r="A201" s="99"/>
      <x:c r="B201" s="99"/>
      <x:c r="C201" s="99"/>
      <x:c r="D201" s="99"/>
      <x:c r="E201" s="99"/>
      <x:c r="F201" s="99"/>
      <x:c r="G201" s="99"/>
      <x:c r="H201" s="99"/>
      <x:c r="I201" s="99"/>
      <x:c r="J201" s="99"/>
      <x:c r="K201" s="99"/>
      <x:c r="L201" s="99"/>
      <x:c r="M201" s="99"/>
      <x:c r="N201" s="99"/>
      <x:c r="O201" s="99"/>
      <x:c r="P201" s="99"/>
      <x:c r="Q201" s="99"/>
      <x:c r="R201" s="99"/>
      <x:c r="S201" s="99"/>
      <x:c r="T201" s="99"/>
      <x:c r="U201" s="99"/>
      <x:c r="V201" s="99"/>
      <x:c r="W201" s="99"/>
      <x:c r="X201" s="99"/>
      <x:c r="Y201" s="99"/>
      <x:c r="Z201" s="99"/>
    </x:row>
    <x:row r="202">
      <x:c r="A202" s="99"/>
      <x:c r="B202" s="99"/>
      <x:c r="C202" s="99"/>
      <x:c r="D202" s="99"/>
      <x:c r="E202" s="99"/>
      <x:c r="F202" s="99"/>
      <x:c r="G202" s="99"/>
      <x:c r="H202" s="99"/>
      <x:c r="I202" s="99"/>
      <x:c r="J202" s="99"/>
      <x:c r="K202" s="99"/>
      <x:c r="L202" s="99"/>
      <x:c r="M202" s="99"/>
      <x:c r="N202" s="99"/>
      <x:c r="O202" s="99"/>
      <x:c r="P202" s="99"/>
      <x:c r="Q202" s="99"/>
      <x:c r="R202" s="99"/>
      <x:c r="S202" s="99"/>
      <x:c r="T202" s="99"/>
      <x:c r="U202" s="99"/>
      <x:c r="V202" s="99"/>
      <x:c r="W202" s="99"/>
      <x:c r="X202" s="99"/>
      <x:c r="Y202" s="99"/>
      <x:c r="Z202" s="99"/>
    </x:row>
    <x:row r="203">
      <x:c r="A203" s="99"/>
      <x:c r="B203" s="99"/>
      <x:c r="C203" s="99"/>
      <x:c r="D203" s="99"/>
      <x:c r="E203" s="99"/>
      <x:c r="F203" s="99"/>
      <x:c r="G203" s="99"/>
      <x:c r="H203" s="99"/>
      <x:c r="I203" s="99"/>
      <x:c r="J203" s="99"/>
      <x:c r="K203" s="99"/>
      <x:c r="L203" s="99"/>
      <x:c r="M203" s="99"/>
      <x:c r="N203" s="99"/>
      <x:c r="O203" s="99"/>
      <x:c r="P203" s="99"/>
      <x:c r="Q203" s="99"/>
      <x:c r="R203" s="99"/>
      <x:c r="S203" s="99"/>
      <x:c r="T203" s="99"/>
      <x:c r="U203" s="99"/>
      <x:c r="V203" s="99"/>
      <x:c r="W203" s="99"/>
      <x:c r="X203" s="99"/>
      <x:c r="Y203" s="99"/>
      <x:c r="Z203" s="99"/>
    </x:row>
    <x:row r="204">
      <x:c r="A204" s="99"/>
      <x:c r="B204" s="99"/>
      <x:c r="C204" s="99"/>
      <x:c r="D204" s="99"/>
      <x:c r="E204" s="99"/>
      <x:c r="F204" s="99"/>
      <x:c r="G204" s="99"/>
      <x:c r="H204" s="99"/>
      <x:c r="I204" s="99"/>
      <x:c r="J204" s="99"/>
      <x:c r="K204" s="99"/>
      <x:c r="L204" s="99"/>
      <x:c r="M204" s="99"/>
      <x:c r="N204" s="99"/>
      <x:c r="O204" s="99"/>
      <x:c r="P204" s="99"/>
      <x:c r="Q204" s="99"/>
      <x:c r="R204" s="99"/>
      <x:c r="S204" s="99"/>
      <x:c r="T204" s="99"/>
      <x:c r="U204" s="99"/>
      <x:c r="V204" s="99"/>
      <x:c r="W204" s="99"/>
      <x:c r="X204" s="99"/>
      <x:c r="Y204" s="99"/>
      <x:c r="Z204" s="99"/>
    </x:row>
    <x:row r="205">
      <x:c r="A205" s="99"/>
      <x:c r="B205" s="99"/>
      <x:c r="C205" s="99"/>
      <x:c r="D205" s="99"/>
      <x:c r="E205" s="99"/>
      <x:c r="F205" s="99"/>
      <x:c r="G205" s="99"/>
      <x:c r="H205" s="99"/>
      <x:c r="I205" s="99"/>
      <x:c r="J205" s="99"/>
      <x:c r="K205" s="99"/>
      <x:c r="L205" s="99"/>
      <x:c r="M205" s="99"/>
      <x:c r="N205" s="99"/>
      <x:c r="O205" s="99"/>
      <x:c r="P205" s="99"/>
      <x:c r="Q205" s="99"/>
      <x:c r="R205" s="99"/>
      <x:c r="S205" s="99"/>
      <x:c r="T205" s="99"/>
      <x:c r="U205" s="99"/>
      <x:c r="V205" s="99"/>
      <x:c r="W205" s="99"/>
      <x:c r="X205" s="99"/>
      <x:c r="Y205" s="99"/>
      <x:c r="Z205" s="99"/>
    </x:row>
    <x:row r="206">
      <x:c r="A206" s="99"/>
      <x:c r="B206" s="99"/>
      <x:c r="C206" s="99"/>
      <x:c r="D206" s="99"/>
      <x:c r="E206" s="99"/>
      <x:c r="F206" s="99"/>
      <x:c r="G206" s="99"/>
      <x:c r="H206" s="99"/>
      <x:c r="I206" s="99"/>
      <x:c r="J206" s="99"/>
      <x:c r="K206" s="99"/>
      <x:c r="L206" s="99"/>
      <x:c r="M206" s="99"/>
      <x:c r="N206" s="99"/>
      <x:c r="O206" s="99"/>
      <x:c r="P206" s="99"/>
      <x:c r="Q206" s="99"/>
      <x:c r="R206" s="99"/>
      <x:c r="S206" s="99"/>
      <x:c r="T206" s="99"/>
      <x:c r="U206" s="99"/>
      <x:c r="V206" s="99"/>
      <x:c r="W206" s="99"/>
      <x:c r="X206" s="99"/>
      <x:c r="Y206" s="99"/>
      <x:c r="Z206" s="99"/>
    </x:row>
    <x:row r="207">
      <x:c r="A207" s="99"/>
      <x:c r="B207" s="99"/>
      <x:c r="C207" s="99"/>
      <x:c r="D207" s="99"/>
      <x:c r="E207" s="99"/>
      <x:c r="F207" s="99"/>
      <x:c r="G207" s="99"/>
      <x:c r="H207" s="99"/>
      <x:c r="I207" s="99"/>
      <x:c r="J207" s="99"/>
      <x:c r="K207" s="99"/>
      <x:c r="L207" s="99"/>
      <x:c r="M207" s="99"/>
      <x:c r="N207" s="99"/>
      <x:c r="O207" s="99"/>
      <x:c r="P207" s="99"/>
      <x:c r="Q207" s="99"/>
      <x:c r="R207" s="99"/>
      <x:c r="S207" s="99"/>
      <x:c r="T207" s="99"/>
      <x:c r="U207" s="99"/>
      <x:c r="V207" s="99"/>
      <x:c r="W207" s="99"/>
      <x:c r="X207" s="99"/>
      <x:c r="Y207" s="99"/>
      <x:c r="Z207" s="99"/>
    </x:row>
    <x:row r="208">
      <x:c r="A208" s="99"/>
      <x:c r="B208" s="99"/>
      <x:c r="C208" s="99"/>
      <x:c r="D208" s="99"/>
      <x:c r="E208" s="99"/>
      <x:c r="F208" s="99"/>
      <x:c r="G208" s="99"/>
      <x:c r="H208" s="99"/>
      <x:c r="I208" s="99"/>
      <x:c r="J208" s="99"/>
      <x:c r="K208" s="99"/>
      <x:c r="L208" s="99"/>
      <x:c r="M208" s="99"/>
      <x:c r="N208" s="99"/>
      <x:c r="O208" s="99"/>
      <x:c r="P208" s="99"/>
      <x:c r="Q208" s="99"/>
      <x:c r="R208" s="99"/>
      <x:c r="S208" s="99"/>
      <x:c r="T208" s="99"/>
      <x:c r="U208" s="99"/>
      <x:c r="V208" s="99"/>
      <x:c r="W208" s="99"/>
      <x:c r="X208" s="99"/>
      <x:c r="Y208" s="99"/>
      <x:c r="Z208" s="99"/>
    </x:row>
    <x:row r="209">
      <x:c r="A209" s="99"/>
      <x:c r="B209" s="99"/>
      <x:c r="C209" s="99"/>
      <x:c r="D209" s="99"/>
      <x:c r="E209" s="99"/>
      <x:c r="F209" s="99"/>
      <x:c r="G209" s="99"/>
      <x:c r="H209" s="99"/>
      <x:c r="I209" s="99"/>
      <x:c r="J209" s="99"/>
      <x:c r="K209" s="99"/>
      <x:c r="L209" s="99"/>
      <x:c r="M209" s="99"/>
      <x:c r="N209" s="99"/>
      <x:c r="O209" s="99"/>
      <x:c r="P209" s="99"/>
      <x:c r="Q209" s="99"/>
      <x:c r="R209" s="99"/>
      <x:c r="S209" s="99"/>
      <x:c r="T209" s="99"/>
      <x:c r="U209" s="99"/>
      <x:c r="V209" s="99"/>
      <x:c r="W209" s="99"/>
      <x:c r="X209" s="99"/>
      <x:c r="Y209" s="99"/>
      <x:c r="Z209" s="99"/>
    </x:row>
    <x:row r="210">
      <x:c r="A210" s="99"/>
      <x:c r="B210" s="99"/>
      <x:c r="C210" s="99"/>
      <x:c r="D210" s="99"/>
      <x:c r="E210" s="99"/>
      <x:c r="F210" s="99"/>
      <x:c r="G210" s="99"/>
      <x:c r="H210" s="99"/>
      <x:c r="I210" s="99"/>
      <x:c r="J210" s="99"/>
      <x:c r="K210" s="99"/>
      <x:c r="L210" s="99"/>
      <x:c r="M210" s="99"/>
      <x:c r="N210" s="99"/>
      <x:c r="O210" s="99"/>
      <x:c r="P210" s="99"/>
      <x:c r="Q210" s="99"/>
      <x:c r="R210" s="99"/>
      <x:c r="S210" s="99"/>
      <x:c r="T210" s="99"/>
      <x:c r="U210" s="99"/>
      <x:c r="V210" s="99"/>
      <x:c r="W210" s="99"/>
      <x:c r="X210" s="99"/>
      <x:c r="Y210" s="99"/>
      <x:c r="Z210" s="99"/>
    </x:row>
    <x:row r="211">
      <x:c r="A211" s="99"/>
      <x:c r="B211" s="99"/>
      <x:c r="C211" s="99"/>
      <x:c r="D211" s="99"/>
      <x:c r="E211" s="99"/>
      <x:c r="F211" s="99"/>
      <x:c r="G211" s="99"/>
      <x:c r="H211" s="99"/>
      <x:c r="I211" s="99"/>
      <x:c r="J211" s="99"/>
      <x:c r="K211" s="99"/>
      <x:c r="L211" s="99"/>
      <x:c r="M211" s="99"/>
      <x:c r="N211" s="99"/>
      <x:c r="O211" s="99"/>
      <x:c r="P211" s="99"/>
      <x:c r="Q211" s="99"/>
      <x:c r="R211" s="99"/>
      <x:c r="S211" s="99"/>
      <x:c r="T211" s="99"/>
      <x:c r="U211" s="99"/>
      <x:c r="V211" s="99"/>
      <x:c r="W211" s="99"/>
      <x:c r="X211" s="99"/>
      <x:c r="Y211" s="99"/>
      <x:c r="Z211" s="99"/>
    </x:row>
    <x:row r="212">
      <x:c r="A212" s="99"/>
      <x:c r="B212" s="99"/>
      <x:c r="C212" s="99"/>
      <x:c r="D212" s="99"/>
      <x:c r="E212" s="99"/>
      <x:c r="F212" s="99"/>
      <x:c r="G212" s="99"/>
      <x:c r="H212" s="99"/>
      <x:c r="I212" s="99"/>
      <x:c r="J212" s="99"/>
      <x:c r="K212" s="99"/>
      <x:c r="L212" s="99"/>
      <x:c r="M212" s="99"/>
      <x:c r="N212" s="99"/>
      <x:c r="O212" s="99"/>
      <x:c r="P212" s="99"/>
      <x:c r="Q212" s="99"/>
      <x:c r="R212" s="99"/>
      <x:c r="S212" s="99"/>
      <x:c r="T212" s="99"/>
      <x:c r="U212" s="99"/>
      <x:c r="V212" s="99"/>
      <x:c r="W212" s="99"/>
      <x:c r="X212" s="99"/>
      <x:c r="Y212" s="99"/>
      <x:c r="Z212" s="99"/>
    </x:row>
    <x:row r="213">
      <x:c r="A213" s="99"/>
      <x:c r="B213" s="99"/>
      <x:c r="C213" s="99"/>
      <x:c r="D213" s="99"/>
      <x:c r="E213" s="99"/>
      <x:c r="F213" s="99"/>
      <x:c r="G213" s="99"/>
      <x:c r="H213" s="99"/>
      <x:c r="I213" s="99"/>
      <x:c r="J213" s="99"/>
      <x:c r="K213" s="99"/>
      <x:c r="L213" s="99"/>
      <x:c r="M213" s="99"/>
      <x:c r="N213" s="99"/>
      <x:c r="O213" s="99"/>
      <x:c r="P213" s="99"/>
      <x:c r="Q213" s="99"/>
      <x:c r="R213" s="99"/>
      <x:c r="S213" s="99"/>
      <x:c r="T213" s="99"/>
      <x:c r="U213" s="99"/>
      <x:c r="V213" s="99"/>
      <x:c r="W213" s="99"/>
      <x:c r="X213" s="99"/>
      <x:c r="Y213" s="99"/>
      <x:c r="Z213" s="99"/>
    </x:row>
    <x:row r="214">
      <x:c r="A214" s="99"/>
      <x:c r="B214" s="99"/>
      <x:c r="C214" s="99"/>
      <x:c r="D214" s="99"/>
      <x:c r="E214" s="99"/>
      <x:c r="F214" s="99"/>
      <x:c r="G214" s="99"/>
      <x:c r="H214" s="99"/>
      <x:c r="I214" s="99"/>
      <x:c r="J214" s="99"/>
      <x:c r="K214" s="99"/>
      <x:c r="L214" s="99"/>
      <x:c r="M214" s="99"/>
      <x:c r="N214" s="99"/>
      <x:c r="O214" s="99"/>
      <x:c r="P214" s="99"/>
      <x:c r="Q214" s="99"/>
      <x:c r="R214" s="99"/>
      <x:c r="S214" s="99"/>
      <x:c r="T214" s="99"/>
      <x:c r="U214" s="99"/>
      <x:c r="V214" s="99"/>
      <x:c r="W214" s="99"/>
      <x:c r="X214" s="99"/>
      <x:c r="Y214" s="99"/>
      <x:c r="Z214" s="99"/>
    </x:row>
    <x:row r="215">
      <x:c r="A215" s="99"/>
      <x:c r="B215" s="99"/>
      <x:c r="C215" s="99"/>
      <x:c r="D215" s="99"/>
      <x:c r="E215" s="99"/>
      <x:c r="F215" s="99"/>
      <x:c r="G215" s="99"/>
      <x:c r="H215" s="99"/>
      <x:c r="I215" s="99"/>
      <x:c r="J215" s="99"/>
      <x:c r="K215" s="99"/>
      <x:c r="L215" s="99"/>
      <x:c r="M215" s="99"/>
      <x:c r="N215" s="99"/>
      <x:c r="O215" s="99"/>
      <x:c r="P215" s="99"/>
      <x:c r="Q215" s="99"/>
      <x:c r="R215" s="99"/>
      <x:c r="S215" s="99"/>
      <x:c r="T215" s="99"/>
      <x:c r="U215" s="99"/>
      <x:c r="V215" s="99"/>
      <x:c r="W215" s="99"/>
      <x:c r="X215" s="99"/>
      <x:c r="Y215" s="99"/>
      <x:c r="Z215" s="99"/>
    </x:row>
    <x:row r="216">
      <x:c r="A216" s="99"/>
      <x:c r="B216" s="99"/>
      <x:c r="C216" s="99"/>
      <x:c r="D216" s="99"/>
      <x:c r="E216" s="99"/>
      <x:c r="F216" s="99"/>
      <x:c r="G216" s="99"/>
      <x:c r="H216" s="99"/>
      <x:c r="I216" s="99"/>
      <x:c r="J216" s="99"/>
      <x:c r="K216" s="99"/>
      <x:c r="L216" s="99"/>
      <x:c r="M216" s="99"/>
      <x:c r="N216" s="99"/>
      <x:c r="O216" s="99"/>
      <x:c r="P216" s="99"/>
      <x:c r="Q216" s="99"/>
      <x:c r="R216" s="99"/>
      <x:c r="S216" s="99"/>
      <x:c r="T216" s="99"/>
      <x:c r="U216" s="99"/>
      <x:c r="V216" s="99"/>
      <x:c r="W216" s="99"/>
      <x:c r="X216" s="99"/>
      <x:c r="Y216" s="99"/>
      <x:c r="Z216" s="99"/>
    </x:row>
    <x:row r="217">
      <x:c r="A217" s="99"/>
      <x:c r="B217" s="99"/>
      <x:c r="C217" s="99"/>
      <x:c r="D217" s="99"/>
      <x:c r="E217" s="99"/>
      <x:c r="F217" s="99"/>
      <x:c r="G217" s="99"/>
      <x:c r="H217" s="99"/>
      <x:c r="I217" s="99"/>
      <x:c r="J217" s="99"/>
      <x:c r="K217" s="99"/>
      <x:c r="L217" s="99"/>
      <x:c r="M217" s="99"/>
      <x:c r="N217" s="99"/>
      <x:c r="O217" s="99"/>
      <x:c r="P217" s="99"/>
      <x:c r="Q217" s="99"/>
      <x:c r="R217" s="99"/>
      <x:c r="S217" s="99"/>
      <x:c r="T217" s="99"/>
      <x:c r="U217" s="99"/>
      <x:c r="V217" s="99"/>
      <x:c r="W217" s="99"/>
      <x:c r="X217" s="99"/>
      <x:c r="Y217" s="99"/>
      <x:c r="Z217" s="99"/>
    </x:row>
    <x:row r="218">
      <x:c r="A218" s="99"/>
      <x:c r="B218" s="99"/>
      <x:c r="C218" s="99"/>
      <x:c r="D218" s="99"/>
      <x:c r="E218" s="99"/>
      <x:c r="F218" s="99"/>
      <x:c r="G218" s="99"/>
      <x:c r="H218" s="99"/>
      <x:c r="I218" s="99"/>
      <x:c r="J218" s="99"/>
      <x:c r="K218" s="99"/>
      <x:c r="L218" s="99"/>
      <x:c r="M218" s="99"/>
      <x:c r="N218" s="99"/>
      <x:c r="O218" s="99"/>
      <x:c r="P218" s="99"/>
      <x:c r="Q218" s="99"/>
      <x:c r="R218" s="99"/>
      <x:c r="S218" s="99"/>
      <x:c r="T218" s="99"/>
      <x:c r="U218" s="99"/>
      <x:c r="V218" s="99"/>
      <x:c r="W218" s="99"/>
      <x:c r="X218" s="99"/>
      <x:c r="Y218" s="99"/>
      <x:c r="Z218" s="99"/>
    </x:row>
    <x:row r="219">
      <x:c r="A219" s="99"/>
      <x:c r="B219" s="99"/>
      <x:c r="C219" s="99"/>
      <x:c r="D219" s="99"/>
      <x:c r="E219" s="99"/>
      <x:c r="F219" s="99"/>
      <x:c r="G219" s="99"/>
      <x:c r="H219" s="99"/>
      <x:c r="I219" s="99"/>
      <x:c r="J219" s="99"/>
      <x:c r="K219" s="99"/>
      <x:c r="L219" s="99"/>
      <x:c r="M219" s="99"/>
      <x:c r="N219" s="99"/>
      <x:c r="O219" s="99"/>
      <x:c r="P219" s="99"/>
      <x:c r="Q219" s="99"/>
      <x:c r="R219" s="99"/>
      <x:c r="S219" s="99"/>
      <x:c r="T219" s="99"/>
      <x:c r="U219" s="99"/>
      <x:c r="V219" s="99"/>
      <x:c r="W219" s="99"/>
      <x:c r="X219" s="99"/>
      <x:c r="Y219" s="99"/>
      <x:c r="Z219" s="99"/>
    </x:row>
    <x:row r="220">
      <x:c r="A220" s="99"/>
      <x:c r="B220" s="99"/>
      <x:c r="C220" s="99"/>
      <x:c r="D220" s="99"/>
      <x:c r="E220" s="99"/>
      <x:c r="F220" s="99"/>
      <x:c r="G220" s="99"/>
      <x:c r="H220" s="99"/>
      <x:c r="I220" s="99"/>
      <x:c r="J220" s="99"/>
      <x:c r="K220" s="99"/>
      <x:c r="L220" s="99"/>
      <x:c r="M220" s="99"/>
      <x:c r="N220" s="99"/>
      <x:c r="O220" s="99"/>
      <x:c r="P220" s="99"/>
      <x:c r="Q220" s="99"/>
      <x:c r="R220" s="99"/>
      <x:c r="S220" s="99"/>
      <x:c r="T220" s="99"/>
      <x:c r="U220" s="99"/>
      <x:c r="V220" s="99"/>
      <x:c r="W220" s="99"/>
      <x:c r="X220" s="99"/>
      <x:c r="Y220" s="99"/>
      <x:c r="Z220" s="99"/>
    </x:row>
    <x:row r="221">
      <x:c r="A221" s="99"/>
      <x:c r="B221" s="99"/>
      <x:c r="C221" s="99"/>
      <x:c r="D221" s="99"/>
      <x:c r="E221" s="99"/>
      <x:c r="F221" s="99"/>
      <x:c r="G221" s="99"/>
      <x:c r="H221" s="99"/>
      <x:c r="I221" s="99"/>
      <x:c r="J221" s="99"/>
      <x:c r="K221" s="99"/>
      <x:c r="L221" s="99"/>
      <x:c r="M221" s="99"/>
      <x:c r="N221" s="99"/>
      <x:c r="O221" s="99"/>
      <x:c r="P221" s="99"/>
      <x:c r="Q221" s="99"/>
      <x:c r="R221" s="99"/>
      <x:c r="S221" s="99"/>
      <x:c r="T221" s="99"/>
      <x:c r="U221" s="99"/>
      <x:c r="V221" s="99"/>
      <x:c r="W221" s="99"/>
      <x:c r="X221" s="99"/>
      <x:c r="Y221" s="99"/>
      <x:c r="Z221" s="99"/>
    </x:row>
    <x:row r="222">
      <x:c r="A222" s="99"/>
      <x:c r="B222" s="99"/>
      <x:c r="C222" s="99"/>
      <x:c r="D222" s="99"/>
      <x:c r="E222" s="99"/>
      <x:c r="F222" s="99"/>
      <x:c r="G222" s="99"/>
      <x:c r="H222" s="99"/>
      <x:c r="I222" s="99"/>
      <x:c r="J222" s="99"/>
      <x:c r="K222" s="99"/>
      <x:c r="L222" s="99"/>
      <x:c r="M222" s="99"/>
      <x:c r="N222" s="99"/>
      <x:c r="O222" s="99"/>
      <x:c r="P222" s="99"/>
      <x:c r="Q222" s="99"/>
      <x:c r="R222" s="99"/>
      <x:c r="S222" s="99"/>
      <x:c r="T222" s="99"/>
      <x:c r="U222" s="99"/>
      <x:c r="V222" s="99"/>
      <x:c r="W222" s="99"/>
      <x:c r="X222" s="99"/>
      <x:c r="Y222" s="99"/>
      <x:c r="Z222" s="99"/>
    </x:row>
    <x:row r="223">
      <x:c r="A223" s="99"/>
      <x:c r="B223" s="99"/>
      <x:c r="C223" s="99"/>
      <x:c r="D223" s="99"/>
      <x:c r="E223" s="99"/>
      <x:c r="F223" s="99"/>
      <x:c r="G223" s="99"/>
      <x:c r="H223" s="99"/>
      <x:c r="I223" s="99"/>
      <x:c r="J223" s="99"/>
      <x:c r="K223" s="99"/>
      <x:c r="L223" s="99"/>
      <x:c r="M223" s="99"/>
      <x:c r="N223" s="99"/>
      <x:c r="O223" s="99"/>
      <x:c r="P223" s="99"/>
      <x:c r="Q223" s="99"/>
      <x:c r="R223" s="99"/>
      <x:c r="S223" s="99"/>
      <x:c r="T223" s="99"/>
      <x:c r="U223" s="99"/>
      <x:c r="V223" s="99"/>
      <x:c r="W223" s="99"/>
      <x:c r="X223" s="99"/>
      <x:c r="Y223" s="99"/>
      <x:c r="Z223" s="99"/>
    </x:row>
    <x:row r="224">
      <x:c r="A224" s="99"/>
      <x:c r="B224" s="99"/>
      <x:c r="C224" s="99"/>
      <x:c r="D224" s="99"/>
      <x:c r="E224" s="99"/>
      <x:c r="F224" s="99"/>
      <x:c r="G224" s="99"/>
      <x:c r="H224" s="99"/>
      <x:c r="I224" s="99"/>
      <x:c r="J224" s="99"/>
      <x:c r="K224" s="99"/>
      <x:c r="L224" s="99"/>
      <x:c r="M224" s="99"/>
      <x:c r="N224" s="99"/>
      <x:c r="O224" s="99"/>
      <x:c r="P224" s="99"/>
      <x:c r="Q224" s="99"/>
      <x:c r="R224" s="99"/>
      <x:c r="S224" s="99"/>
      <x:c r="T224" s="99"/>
      <x:c r="U224" s="99"/>
      <x:c r="V224" s="99"/>
      <x:c r="W224" s="99"/>
      <x:c r="X224" s="99"/>
      <x:c r="Y224" s="99"/>
      <x:c r="Z224" s="99"/>
    </x:row>
    <x:row r="225">
      <x:c r="A225" s="99"/>
      <x:c r="B225" s="99"/>
      <x:c r="C225" s="99"/>
      <x:c r="D225" s="99"/>
      <x:c r="E225" s="99"/>
      <x:c r="F225" s="99"/>
      <x:c r="G225" s="99"/>
      <x:c r="H225" s="99"/>
      <x:c r="I225" s="99"/>
      <x:c r="J225" s="99"/>
      <x:c r="K225" s="99"/>
      <x:c r="L225" s="99"/>
      <x:c r="M225" s="99"/>
      <x:c r="N225" s="99"/>
      <x:c r="O225" s="99"/>
      <x:c r="P225" s="99"/>
      <x:c r="Q225" s="99"/>
      <x:c r="R225" s="99"/>
      <x:c r="S225" s="99"/>
      <x:c r="T225" s="99"/>
      <x:c r="U225" s="99"/>
      <x:c r="V225" s="99"/>
      <x:c r="W225" s="99"/>
      <x:c r="X225" s="99"/>
      <x:c r="Y225" s="99"/>
      <x:c r="Z225" s="99"/>
    </x:row>
    <x:row r="226">
      <x:c r="A226" s="99"/>
      <x:c r="B226" s="99"/>
      <x:c r="C226" s="99"/>
      <x:c r="D226" s="99"/>
      <x:c r="E226" s="99"/>
      <x:c r="F226" s="99"/>
      <x:c r="G226" s="99"/>
      <x:c r="H226" s="99"/>
      <x:c r="I226" s="99"/>
      <x:c r="J226" s="99"/>
      <x:c r="K226" s="99"/>
      <x:c r="L226" s="99"/>
      <x:c r="M226" s="99"/>
      <x:c r="N226" s="99"/>
      <x:c r="O226" s="99"/>
      <x:c r="P226" s="99"/>
      <x:c r="Q226" s="99"/>
      <x:c r="R226" s="99"/>
      <x:c r="S226" s="99"/>
      <x:c r="T226" s="99"/>
      <x:c r="U226" s="99"/>
      <x:c r="V226" s="99"/>
      <x:c r="W226" s="99"/>
      <x:c r="X226" s="99"/>
      <x:c r="Y226" s="99"/>
      <x:c r="Z226" s="99"/>
    </x:row>
    <x:row r="227">
      <x:c r="A227" s="99"/>
      <x:c r="B227" s="99"/>
      <x:c r="C227" s="99"/>
      <x:c r="D227" s="99"/>
      <x:c r="E227" s="99"/>
      <x:c r="F227" s="99"/>
      <x:c r="G227" s="99"/>
      <x:c r="H227" s="99"/>
      <x:c r="I227" s="99"/>
      <x:c r="J227" s="99"/>
      <x:c r="K227" s="99"/>
      <x:c r="L227" s="99"/>
      <x:c r="M227" s="99"/>
      <x:c r="N227" s="99"/>
      <x:c r="O227" s="99"/>
      <x:c r="P227" s="99"/>
      <x:c r="Q227" s="99"/>
      <x:c r="R227" s="99"/>
      <x:c r="S227" s="99"/>
      <x:c r="T227" s="99"/>
      <x:c r="U227" s="99"/>
      <x:c r="V227" s="99"/>
      <x:c r="W227" s="99"/>
      <x:c r="X227" s="99"/>
      <x:c r="Y227" s="99"/>
      <x:c r="Z227" s="99"/>
    </x:row>
    <x:row r="228">
      <x:c r="A228" s="99"/>
      <x:c r="B228" s="99"/>
      <x:c r="C228" s="99"/>
      <x:c r="D228" s="99"/>
      <x:c r="E228" s="99"/>
      <x:c r="F228" s="99"/>
      <x:c r="G228" s="99"/>
      <x:c r="H228" s="99"/>
      <x:c r="I228" s="99"/>
      <x:c r="J228" s="99"/>
      <x:c r="K228" s="99"/>
      <x:c r="L228" s="99"/>
      <x:c r="M228" s="99"/>
      <x:c r="N228" s="99"/>
      <x:c r="O228" s="99"/>
      <x:c r="P228" s="99"/>
      <x:c r="Q228" s="99"/>
      <x:c r="R228" s="99"/>
      <x:c r="S228" s="99"/>
      <x:c r="T228" s="99"/>
      <x:c r="U228" s="99"/>
      <x:c r="V228" s="99"/>
      <x:c r="W228" s="99"/>
      <x:c r="X228" s="99"/>
      <x:c r="Y228" s="99"/>
      <x:c r="Z228" s="99"/>
    </x:row>
    <x:row r="229">
      <x:c r="A229" s="99"/>
      <x:c r="B229" s="99"/>
      <x:c r="C229" s="99"/>
      <x:c r="D229" s="99"/>
      <x:c r="E229" s="99"/>
      <x:c r="F229" s="99"/>
      <x:c r="G229" s="99"/>
      <x:c r="H229" s="99"/>
      <x:c r="I229" s="99"/>
      <x:c r="J229" s="99"/>
      <x:c r="K229" s="99"/>
      <x:c r="L229" s="99"/>
      <x:c r="M229" s="99"/>
      <x:c r="N229" s="99"/>
      <x:c r="O229" s="99"/>
      <x:c r="P229" s="99"/>
      <x:c r="Q229" s="99"/>
      <x:c r="R229" s="99"/>
      <x:c r="S229" s="99"/>
      <x:c r="T229" s="99"/>
      <x:c r="U229" s="99"/>
      <x:c r="V229" s="99"/>
      <x:c r="W229" s="99"/>
      <x:c r="X229" s="99"/>
      <x:c r="Y229" s="99"/>
      <x:c r="Z229" s="99"/>
    </x:row>
    <x:row r="230">
      <x:c r="A230" s="99"/>
      <x:c r="B230" s="99"/>
      <x:c r="C230" s="99"/>
      <x:c r="D230" s="99"/>
      <x:c r="E230" s="99"/>
      <x:c r="F230" s="99"/>
      <x:c r="G230" s="99"/>
      <x:c r="H230" s="99"/>
      <x:c r="I230" s="99"/>
      <x:c r="J230" s="99"/>
      <x:c r="K230" s="99"/>
      <x:c r="L230" s="99"/>
      <x:c r="M230" s="99"/>
      <x:c r="N230" s="99"/>
      <x:c r="O230" s="99"/>
      <x:c r="P230" s="99"/>
      <x:c r="Q230" s="99"/>
      <x:c r="R230" s="99"/>
      <x:c r="S230" s="99"/>
      <x:c r="T230" s="99"/>
      <x:c r="U230" s="99"/>
      <x:c r="V230" s="99"/>
      <x:c r="W230" s="99"/>
      <x:c r="X230" s="99"/>
      <x:c r="Y230" s="99"/>
      <x:c r="Z230" s="99"/>
    </x:row>
    <x:row r="231">
      <x:c r="A231" s="99"/>
      <x:c r="B231" s="99"/>
      <x:c r="C231" s="99"/>
      <x:c r="D231" s="99"/>
      <x:c r="E231" s="99"/>
      <x:c r="F231" s="99"/>
      <x:c r="G231" s="99"/>
      <x:c r="H231" s="99"/>
      <x:c r="I231" s="99"/>
      <x:c r="J231" s="99"/>
      <x:c r="K231" s="99"/>
      <x:c r="L231" s="99"/>
      <x:c r="M231" s="99"/>
      <x:c r="N231" s="99"/>
      <x:c r="O231" s="99"/>
      <x:c r="P231" s="99"/>
      <x:c r="Q231" s="99"/>
      <x:c r="R231" s="99"/>
      <x:c r="S231" s="99"/>
      <x:c r="T231" s="99"/>
      <x:c r="U231" s="99"/>
      <x:c r="V231" s="99"/>
      <x:c r="W231" s="99"/>
      <x:c r="X231" s="99"/>
      <x:c r="Y231" s="99"/>
      <x:c r="Z231" s="99"/>
    </x:row>
    <x:row r="232">
      <x:c r="A232" s="99"/>
      <x:c r="B232" s="99"/>
      <x:c r="C232" s="99"/>
      <x:c r="D232" s="99"/>
      <x:c r="E232" s="99"/>
      <x:c r="F232" s="99"/>
      <x:c r="G232" s="99"/>
      <x:c r="H232" s="99"/>
      <x:c r="I232" s="99"/>
      <x:c r="J232" s="99"/>
      <x:c r="K232" s="99"/>
      <x:c r="L232" s="99"/>
      <x:c r="M232" s="99"/>
      <x:c r="N232" s="99"/>
      <x:c r="O232" s="99"/>
      <x:c r="P232" s="99"/>
      <x:c r="Q232" s="99"/>
      <x:c r="R232" s="99"/>
      <x:c r="S232" s="99"/>
      <x:c r="T232" s="99"/>
      <x:c r="U232" s="99"/>
      <x:c r="V232" s="99"/>
      <x:c r="W232" s="99"/>
      <x:c r="X232" s="99"/>
      <x:c r="Y232" s="99"/>
      <x:c r="Z232" s="99"/>
    </x:row>
    <x:row r="233">
      <x:c r="A233" s="99"/>
      <x:c r="B233" s="99"/>
      <x:c r="C233" s="99"/>
      <x:c r="D233" s="99"/>
      <x:c r="E233" s="99"/>
      <x:c r="F233" s="99"/>
      <x:c r="G233" s="99"/>
      <x:c r="H233" s="99"/>
      <x:c r="I233" s="99"/>
      <x:c r="J233" s="99"/>
      <x:c r="K233" s="99"/>
      <x:c r="L233" s="99"/>
      <x:c r="M233" s="99"/>
      <x:c r="N233" s="99"/>
      <x:c r="O233" s="99"/>
      <x:c r="P233" s="99"/>
      <x:c r="Q233" s="99"/>
      <x:c r="R233" s="99"/>
      <x:c r="S233" s="99"/>
      <x:c r="T233" s="99"/>
      <x:c r="U233" s="99"/>
      <x:c r="V233" s="99"/>
      <x:c r="W233" s="99"/>
      <x:c r="X233" s="99"/>
      <x:c r="Y233" s="99"/>
      <x:c r="Z233" s="99"/>
    </x:row>
    <x:row r="234">
      <x:c r="A234" s="99"/>
      <x:c r="B234" s="99"/>
      <x:c r="C234" s="99"/>
      <x:c r="D234" s="99"/>
      <x:c r="E234" s="99"/>
      <x:c r="F234" s="99"/>
      <x:c r="G234" s="99"/>
      <x:c r="H234" s="99"/>
      <x:c r="I234" s="99"/>
      <x:c r="J234" s="99"/>
      <x:c r="K234" s="99"/>
      <x:c r="L234" s="99"/>
      <x:c r="M234" s="99"/>
      <x:c r="N234" s="99"/>
      <x:c r="O234" s="99"/>
      <x:c r="P234" s="99"/>
      <x:c r="Q234" s="99"/>
      <x:c r="R234" s="99"/>
      <x:c r="S234" s="99"/>
      <x:c r="T234" s="99"/>
      <x:c r="U234" s="99"/>
      <x:c r="V234" s="99"/>
      <x:c r="W234" s="99"/>
      <x:c r="X234" s="99"/>
      <x:c r="Y234" s="99"/>
      <x:c r="Z234" s="99"/>
    </x:row>
    <x:row r="235">
      <x:c r="A235" s="99"/>
      <x:c r="B235" s="99"/>
      <x:c r="C235" s="99"/>
      <x:c r="D235" s="99"/>
      <x:c r="E235" s="99"/>
      <x:c r="F235" s="99"/>
      <x:c r="G235" s="99"/>
      <x:c r="H235" s="99"/>
      <x:c r="I235" s="99"/>
      <x:c r="J235" s="99"/>
      <x:c r="K235" s="99"/>
      <x:c r="L235" s="99"/>
      <x:c r="M235" s="99"/>
      <x:c r="N235" s="99"/>
      <x:c r="O235" s="99"/>
      <x:c r="P235" s="99"/>
      <x:c r="Q235" s="99"/>
      <x:c r="R235" s="99"/>
      <x:c r="S235" s="99"/>
      <x:c r="T235" s="99"/>
      <x:c r="U235" s="99"/>
      <x:c r="V235" s="99"/>
      <x:c r="W235" s="99"/>
      <x:c r="X235" s="99"/>
      <x:c r="Y235" s="99"/>
      <x:c r="Z235" s="99"/>
    </x:row>
    <x:row r="236">
      <x:c r="A236" s="99"/>
      <x:c r="B236" s="99"/>
      <x:c r="C236" s="99"/>
      <x:c r="D236" s="99"/>
      <x:c r="E236" s="99"/>
      <x:c r="F236" s="99"/>
      <x:c r="G236" s="99"/>
      <x:c r="H236" s="99"/>
      <x:c r="I236" s="99"/>
      <x:c r="J236" s="99"/>
      <x:c r="K236" s="99"/>
      <x:c r="L236" s="99"/>
      <x:c r="M236" s="99"/>
      <x:c r="N236" s="99"/>
      <x:c r="O236" s="99"/>
      <x:c r="P236" s="99"/>
      <x:c r="Q236" s="99"/>
      <x:c r="R236" s="99"/>
      <x:c r="S236" s="99"/>
      <x:c r="T236" s="99"/>
      <x:c r="U236" s="99"/>
      <x:c r="V236" s="99"/>
      <x:c r="W236" s="99"/>
      <x:c r="X236" s="99"/>
      <x:c r="Y236" s="99"/>
      <x:c r="Z236" s="99"/>
    </x:row>
    <x:row r="237">
      <x:c r="A237" s="99"/>
      <x:c r="B237" s="99"/>
      <x:c r="C237" s="99"/>
      <x:c r="D237" s="99"/>
      <x:c r="E237" s="99"/>
      <x:c r="F237" s="99"/>
      <x:c r="G237" s="99"/>
      <x:c r="H237" s="99"/>
      <x:c r="I237" s="99"/>
      <x:c r="J237" s="99"/>
      <x:c r="K237" s="99"/>
      <x:c r="L237" s="99"/>
      <x:c r="M237" s="99"/>
      <x:c r="N237" s="99"/>
      <x:c r="O237" s="99"/>
      <x:c r="P237" s="99"/>
      <x:c r="Q237" s="99"/>
      <x:c r="R237" s="99"/>
      <x:c r="S237" s="99"/>
      <x:c r="T237" s="99"/>
      <x:c r="U237" s="99"/>
      <x:c r="V237" s="99"/>
      <x:c r="W237" s="99"/>
      <x:c r="X237" s="99"/>
      <x:c r="Y237" s="99"/>
      <x:c r="Z237" s="99"/>
    </x:row>
    <x:row r="238">
      <x:c r="A238" s="99"/>
      <x:c r="B238" s="99"/>
      <x:c r="C238" s="99"/>
      <x:c r="D238" s="99"/>
      <x:c r="E238" s="99"/>
      <x:c r="F238" s="99"/>
      <x:c r="G238" s="99"/>
      <x:c r="H238" s="99"/>
      <x:c r="I238" s="99"/>
      <x:c r="J238" s="99"/>
      <x:c r="K238" s="99"/>
      <x:c r="L238" s="99"/>
      <x:c r="M238" s="99"/>
      <x:c r="N238" s="99"/>
      <x:c r="O238" s="99"/>
      <x:c r="P238" s="99"/>
      <x:c r="Q238" s="99"/>
      <x:c r="R238" s="99"/>
      <x:c r="S238" s="99"/>
      <x:c r="T238" s="99"/>
      <x:c r="U238" s="99"/>
      <x:c r="V238" s="99"/>
      <x:c r="W238" s="99"/>
      <x:c r="X238" s="99"/>
      <x:c r="Y238" s="99"/>
      <x:c r="Z238" s="99"/>
    </x:row>
    <x:row r="239">
      <x:c r="A239" s="99"/>
      <x:c r="B239" s="99"/>
      <x:c r="C239" s="99"/>
      <x:c r="D239" s="99"/>
      <x:c r="E239" s="99"/>
      <x:c r="F239" s="99"/>
      <x:c r="G239" s="99"/>
      <x:c r="H239" s="99"/>
      <x:c r="I239" s="99"/>
      <x:c r="J239" s="99"/>
      <x:c r="K239" s="99"/>
      <x:c r="L239" s="99"/>
      <x:c r="M239" s="99"/>
      <x:c r="N239" s="99"/>
      <x:c r="O239" s="99"/>
      <x:c r="P239" s="99"/>
      <x:c r="Q239" s="99"/>
      <x:c r="R239" s="99"/>
      <x:c r="S239" s="99"/>
      <x:c r="T239" s="99"/>
      <x:c r="U239" s="99"/>
      <x:c r="V239" s="99"/>
      <x:c r="W239" s="99"/>
      <x:c r="X239" s="99"/>
      <x:c r="Y239" s="99"/>
      <x:c r="Z239" s="99"/>
    </x:row>
    <x:row r="240">
      <x:c r="A240" s="99"/>
      <x:c r="B240" s="99"/>
      <x:c r="C240" s="99"/>
      <x:c r="D240" s="99"/>
      <x:c r="E240" s="99"/>
      <x:c r="F240" s="99"/>
      <x:c r="G240" s="99"/>
      <x:c r="H240" s="99"/>
      <x:c r="I240" s="99"/>
      <x:c r="J240" s="99"/>
      <x:c r="K240" s="99"/>
      <x:c r="L240" s="99"/>
      <x:c r="M240" s="99"/>
      <x:c r="N240" s="99"/>
      <x:c r="O240" s="99"/>
      <x:c r="P240" s="99"/>
      <x:c r="Q240" s="99"/>
      <x:c r="R240" s="99"/>
      <x:c r="S240" s="99"/>
      <x:c r="T240" s="99"/>
      <x:c r="U240" s="99"/>
      <x:c r="V240" s="99"/>
      <x:c r="W240" s="99"/>
      <x:c r="X240" s="99"/>
      <x:c r="Y240" s="99"/>
      <x:c r="Z240" s="99"/>
    </x:row>
    <x:row r="241">
      <x:c r="A241" s="99"/>
      <x:c r="B241" s="99"/>
      <x:c r="C241" s="99"/>
      <x:c r="D241" s="99"/>
      <x:c r="E241" s="99"/>
      <x:c r="F241" s="99"/>
      <x:c r="G241" s="99"/>
      <x:c r="H241" s="99"/>
      <x:c r="I241" s="99"/>
      <x:c r="J241" s="99"/>
      <x:c r="K241" s="99"/>
      <x:c r="L241" s="99"/>
      <x:c r="M241" s="99"/>
      <x:c r="N241" s="99"/>
      <x:c r="O241" s="99"/>
      <x:c r="P241" s="99"/>
      <x:c r="Q241" s="99"/>
      <x:c r="R241" s="99"/>
      <x:c r="S241" s="99"/>
      <x:c r="T241" s="99"/>
      <x:c r="U241" s="99"/>
      <x:c r="V241" s="99"/>
      <x:c r="W241" s="99"/>
      <x:c r="X241" s="99"/>
      <x:c r="Y241" s="99"/>
      <x:c r="Z241" s="99"/>
    </x:row>
    <x:row r="242">
      <x:c r="A242" s="99"/>
      <x:c r="B242" s="99"/>
      <x:c r="C242" s="99"/>
      <x:c r="D242" s="99"/>
      <x:c r="E242" s="99"/>
      <x:c r="F242" s="99"/>
      <x:c r="G242" s="99"/>
      <x:c r="H242" s="99"/>
      <x:c r="I242" s="99"/>
      <x:c r="J242" s="99"/>
      <x:c r="K242" s="99"/>
      <x:c r="L242" s="99"/>
      <x:c r="M242" s="99"/>
      <x:c r="N242" s="99"/>
      <x:c r="O242" s="99"/>
      <x:c r="P242" s="99"/>
      <x:c r="Q242" s="99"/>
      <x:c r="R242" s="99"/>
      <x:c r="S242" s="99"/>
      <x:c r="T242" s="99"/>
      <x:c r="U242" s="99"/>
      <x:c r="V242" s="99"/>
      <x:c r="W242" s="99"/>
      <x:c r="X242" s="99"/>
      <x:c r="Y242" s="99"/>
      <x:c r="Z242" s="99"/>
    </x:row>
    <x:row r="243">
      <x:c r="A243" s="99"/>
      <x:c r="B243" s="99"/>
      <x:c r="C243" s="99"/>
      <x:c r="D243" s="99"/>
      <x:c r="E243" s="99"/>
      <x:c r="F243" s="99"/>
      <x:c r="G243" s="99"/>
      <x:c r="H243" s="99"/>
      <x:c r="I243" s="99"/>
      <x:c r="J243" s="99"/>
      <x:c r="K243" s="99"/>
      <x:c r="L243" s="99"/>
      <x:c r="M243" s="99"/>
      <x:c r="N243" s="99"/>
      <x:c r="O243" s="99"/>
      <x:c r="P243" s="99"/>
      <x:c r="Q243" s="99"/>
      <x:c r="R243" s="99"/>
      <x:c r="S243" s="99"/>
      <x:c r="T243" s="99"/>
      <x:c r="U243" s="99"/>
      <x:c r="V243" s="99"/>
      <x:c r="W243" s="99"/>
      <x:c r="X243" s="99"/>
      <x:c r="Y243" s="99"/>
      <x:c r="Z243" s="99"/>
    </x:row>
    <x:row r="244">
      <x:c r="A244" s="99"/>
      <x:c r="B244" s="99"/>
      <x:c r="C244" s="99"/>
      <x:c r="D244" s="99"/>
      <x:c r="E244" s="99"/>
      <x:c r="F244" s="99"/>
      <x:c r="G244" s="99"/>
      <x:c r="H244" s="99"/>
      <x:c r="I244" s="99"/>
      <x:c r="J244" s="99"/>
      <x:c r="K244" s="99"/>
      <x:c r="L244" s="99"/>
      <x:c r="M244" s="99"/>
      <x:c r="N244" s="99"/>
      <x:c r="O244" s="99"/>
      <x:c r="P244" s="99"/>
      <x:c r="Q244" s="99"/>
      <x:c r="R244" s="99"/>
      <x:c r="S244" s="99"/>
      <x:c r="T244" s="99"/>
      <x:c r="U244" s="99"/>
      <x:c r="V244" s="99"/>
      <x:c r="W244" s="99"/>
      <x:c r="X244" s="99"/>
      <x:c r="Y244" s="99"/>
      <x:c r="Z244" s="99"/>
    </x:row>
    <x:row r="245">
      <x:c r="A245" s="99"/>
      <x:c r="B245" s="99"/>
      <x:c r="C245" s="99"/>
      <x:c r="D245" s="99"/>
      <x:c r="E245" s="99"/>
      <x:c r="F245" s="99"/>
      <x:c r="G245" s="99"/>
      <x:c r="H245" s="99"/>
      <x:c r="I245" s="99"/>
      <x:c r="J245" s="99"/>
      <x:c r="K245" s="99"/>
      <x:c r="L245" s="99"/>
      <x:c r="M245" s="99"/>
      <x:c r="N245" s="99"/>
      <x:c r="O245" s="99"/>
      <x:c r="P245" s="99"/>
      <x:c r="Q245" s="99"/>
      <x:c r="R245" s="99"/>
      <x:c r="S245" s="99"/>
      <x:c r="T245" s="99"/>
      <x:c r="U245" s="99"/>
      <x:c r="V245" s="99"/>
      <x:c r="W245" s="99"/>
      <x:c r="X245" s="99"/>
      <x:c r="Y245" s="99"/>
      <x:c r="Z245" s="99"/>
    </x:row>
    <x:row r="246">
      <x:c r="A246" s="99"/>
      <x:c r="B246" s="99"/>
      <x:c r="C246" s="99"/>
      <x:c r="D246" s="99"/>
      <x:c r="E246" s="99"/>
      <x:c r="F246" s="99"/>
      <x:c r="G246" s="99"/>
      <x:c r="H246" s="99"/>
      <x:c r="I246" s="99"/>
      <x:c r="J246" s="99"/>
      <x:c r="K246" s="99"/>
      <x:c r="L246" s="99"/>
      <x:c r="M246" s="99"/>
      <x:c r="N246" s="99"/>
      <x:c r="O246" s="99"/>
      <x:c r="P246" s="99"/>
      <x:c r="Q246" s="99"/>
      <x:c r="R246" s="99"/>
      <x:c r="S246" s="99"/>
      <x:c r="T246" s="99"/>
      <x:c r="U246" s="99"/>
      <x:c r="V246" s="99"/>
      <x:c r="W246" s="99"/>
      <x:c r="X246" s="99"/>
      <x:c r="Y246" s="99"/>
      <x:c r="Z246" s="99"/>
    </x:row>
    <x:row r="247">
      <x:c r="A247" s="99"/>
      <x:c r="B247" s="99"/>
      <x:c r="C247" s="99"/>
      <x:c r="D247" s="99"/>
      <x:c r="E247" s="99"/>
      <x:c r="F247" s="99"/>
      <x:c r="G247" s="99"/>
      <x:c r="H247" s="99"/>
      <x:c r="I247" s="99"/>
      <x:c r="J247" s="99"/>
      <x:c r="K247" s="99"/>
      <x:c r="L247" s="99"/>
      <x:c r="M247" s="99"/>
      <x:c r="N247" s="99"/>
      <x:c r="O247" s="99"/>
      <x:c r="P247" s="99"/>
      <x:c r="Q247" s="99"/>
      <x:c r="R247" s="99"/>
      <x:c r="S247" s="99"/>
      <x:c r="T247" s="99"/>
      <x:c r="U247" s="99"/>
      <x:c r="V247" s="99"/>
      <x:c r="W247" s="99"/>
      <x:c r="X247" s="99"/>
      <x:c r="Y247" s="99"/>
      <x:c r="Z247" s="99"/>
    </x:row>
    <x:row r="248">
      <x:c r="A248" s="99"/>
      <x:c r="B248" s="99"/>
      <x:c r="C248" s="99"/>
      <x:c r="D248" s="99"/>
      <x:c r="E248" s="99"/>
      <x:c r="F248" s="99"/>
      <x:c r="G248" s="99"/>
      <x:c r="H248" s="99"/>
      <x:c r="I248" s="99"/>
      <x:c r="J248" s="99"/>
      <x:c r="K248" s="99"/>
      <x:c r="L248" s="99"/>
      <x:c r="M248" s="99"/>
      <x:c r="N248" s="99"/>
      <x:c r="O248" s="99"/>
      <x:c r="P248" s="99"/>
      <x:c r="Q248" s="99"/>
      <x:c r="R248" s="99"/>
      <x:c r="S248" s="99"/>
      <x:c r="T248" s="99"/>
      <x:c r="U248" s="99"/>
      <x:c r="V248" s="99"/>
      <x:c r="W248" s="99"/>
      <x:c r="X248" s="99"/>
      <x:c r="Y248" s="99"/>
      <x:c r="Z248" s="99"/>
    </x:row>
    <x:row r="249">
      <x:c r="A249" s="99"/>
      <x:c r="B249" s="99"/>
      <x:c r="C249" s="99"/>
      <x:c r="D249" s="99"/>
      <x:c r="E249" s="99"/>
      <x:c r="F249" s="99"/>
      <x:c r="G249" s="99"/>
      <x:c r="H249" s="99"/>
      <x:c r="I249" s="99"/>
      <x:c r="J249" s="99"/>
      <x:c r="K249" s="99"/>
      <x:c r="L249" s="99"/>
      <x:c r="M249" s="99"/>
      <x:c r="N249" s="99"/>
      <x:c r="O249" s="99"/>
      <x:c r="P249" s="99"/>
      <x:c r="Q249" s="99"/>
      <x:c r="R249" s="99"/>
      <x:c r="S249" s="99"/>
      <x:c r="T249" s="99"/>
      <x:c r="U249" s="99"/>
      <x:c r="V249" s="99"/>
      <x:c r="W249" s="99"/>
      <x:c r="X249" s="99"/>
      <x:c r="Y249" s="99"/>
      <x:c r="Z249" s="99"/>
    </x:row>
    <x:row r="250">
      <x:c r="A250" s="99"/>
      <x:c r="B250" s="99"/>
      <x:c r="C250" s="99"/>
      <x:c r="D250" s="99"/>
      <x:c r="E250" s="99"/>
      <x:c r="F250" s="99"/>
      <x:c r="G250" s="99"/>
      <x:c r="H250" s="99"/>
      <x:c r="I250" s="99"/>
      <x:c r="J250" s="99"/>
      <x:c r="K250" s="99"/>
      <x:c r="L250" s="99"/>
      <x:c r="M250" s="99"/>
      <x:c r="N250" s="99"/>
      <x:c r="O250" s="99"/>
      <x:c r="P250" s="99"/>
      <x:c r="Q250" s="99"/>
      <x:c r="R250" s="99"/>
      <x:c r="S250" s="99"/>
      <x:c r="T250" s="99"/>
      <x:c r="U250" s="99"/>
      <x:c r="V250" s="99"/>
      <x:c r="W250" s="99"/>
      <x:c r="X250" s="99"/>
      <x:c r="Y250" s="99"/>
      <x:c r="Z250" s="99"/>
    </x:row>
    <x:row r="251">
      <x:c r="A251" s="99"/>
      <x:c r="B251" s="99"/>
      <x:c r="C251" s="99"/>
      <x:c r="D251" s="99"/>
      <x:c r="E251" s="99"/>
      <x:c r="F251" s="99"/>
      <x:c r="G251" s="99"/>
      <x:c r="H251" s="99"/>
      <x:c r="I251" s="99"/>
      <x:c r="J251" s="99"/>
      <x:c r="K251" s="99"/>
      <x:c r="L251" s="99"/>
      <x:c r="M251" s="99"/>
      <x:c r="N251" s="99"/>
      <x:c r="O251" s="99"/>
      <x:c r="P251" s="99"/>
      <x:c r="Q251" s="99"/>
      <x:c r="R251" s="99"/>
      <x:c r="S251" s="99"/>
      <x:c r="T251" s="99"/>
      <x:c r="U251" s="99"/>
      <x:c r="V251" s="99"/>
      <x:c r="W251" s="99"/>
      <x:c r="X251" s="99"/>
      <x:c r="Y251" s="99"/>
      <x:c r="Z251" s="99"/>
    </x:row>
    <x:row r="252">
      <x:c r="A252" s="99"/>
      <x:c r="B252" s="99"/>
      <x:c r="C252" s="99"/>
      <x:c r="D252" s="99"/>
      <x:c r="E252" s="99"/>
      <x:c r="F252" s="99"/>
      <x:c r="G252" s="99"/>
      <x:c r="H252" s="99"/>
      <x:c r="I252" s="99"/>
      <x:c r="J252" s="99"/>
      <x:c r="K252" s="99"/>
      <x:c r="L252" s="99"/>
      <x:c r="M252" s="99"/>
      <x:c r="N252" s="99"/>
      <x:c r="O252" s="99"/>
      <x:c r="P252" s="99"/>
      <x:c r="Q252" s="99"/>
      <x:c r="R252" s="99"/>
      <x:c r="S252" s="99"/>
      <x:c r="T252" s="99"/>
      <x:c r="U252" s="99"/>
      <x:c r="V252" s="99"/>
      <x:c r="W252" s="99"/>
      <x:c r="X252" s="99"/>
      <x:c r="Y252" s="99"/>
      <x:c r="Z252" s="99"/>
    </x:row>
    <x:row r="253">
      <x:c r="A253" s="99"/>
      <x:c r="B253" s="99"/>
      <x:c r="C253" s="99"/>
      <x:c r="D253" s="99"/>
      <x:c r="E253" s="99"/>
      <x:c r="F253" s="99"/>
      <x:c r="G253" s="99"/>
      <x:c r="H253" s="99"/>
      <x:c r="I253" s="99"/>
      <x:c r="J253" s="99"/>
      <x:c r="K253" s="99"/>
      <x:c r="L253" s="99"/>
      <x:c r="M253" s="99"/>
      <x:c r="N253" s="99"/>
      <x:c r="O253" s="99"/>
      <x:c r="P253" s="99"/>
      <x:c r="Q253" s="99"/>
      <x:c r="R253" s="99"/>
      <x:c r="S253" s="99"/>
      <x:c r="T253" s="99"/>
      <x:c r="U253" s="99"/>
      <x:c r="V253" s="99"/>
      <x:c r="W253" s="99"/>
      <x:c r="X253" s="99"/>
      <x:c r="Y253" s="99"/>
      <x:c r="Z253" s="99"/>
    </x:row>
    <x:row r="254">
      <x:c r="A254" s="99"/>
      <x:c r="B254" s="99"/>
      <x:c r="C254" s="99"/>
      <x:c r="D254" s="99"/>
      <x:c r="E254" s="99"/>
      <x:c r="F254" s="99"/>
      <x:c r="G254" s="99"/>
      <x:c r="H254" s="99"/>
      <x:c r="I254" s="99"/>
      <x:c r="J254" s="99"/>
      <x:c r="K254" s="99"/>
      <x:c r="L254" s="99"/>
      <x:c r="M254" s="99"/>
      <x:c r="N254" s="99"/>
      <x:c r="O254" s="99"/>
      <x:c r="P254" s="99"/>
      <x:c r="Q254" s="99"/>
      <x:c r="R254" s="99"/>
      <x:c r="S254" s="99"/>
      <x:c r="T254" s="99"/>
      <x:c r="U254" s="99"/>
      <x:c r="V254" s="99"/>
      <x:c r="W254" s="99"/>
      <x:c r="X254" s="99"/>
      <x:c r="Y254" s="99"/>
      <x:c r="Z254" s="99"/>
    </x:row>
    <x:row r="255">
      <x:c r="A255" s="99"/>
      <x:c r="B255" s="99"/>
      <x:c r="C255" s="99"/>
      <x:c r="D255" s="99"/>
      <x:c r="E255" s="99"/>
      <x:c r="F255" s="99"/>
      <x:c r="G255" s="99"/>
      <x:c r="H255" s="99"/>
      <x:c r="I255" s="99"/>
      <x:c r="J255" s="99"/>
      <x:c r="K255" s="99"/>
      <x:c r="L255" s="99"/>
      <x:c r="M255" s="99"/>
      <x:c r="N255" s="99"/>
      <x:c r="O255" s="99"/>
      <x:c r="P255" s="99"/>
      <x:c r="Q255" s="99"/>
      <x:c r="R255" s="99"/>
      <x:c r="S255" s="99"/>
      <x:c r="T255" s="99"/>
      <x:c r="U255" s="99"/>
      <x:c r="V255" s="99"/>
      <x:c r="W255" s="99"/>
      <x:c r="X255" s="99"/>
      <x:c r="Y255" s="99"/>
      <x:c r="Z255" s="99"/>
    </x:row>
    <x:row r="256">
      <x:c r="A256" s="99"/>
      <x:c r="B256" s="99"/>
      <x:c r="C256" s="99"/>
      <x:c r="D256" s="99"/>
      <x:c r="E256" s="99"/>
      <x:c r="F256" s="99"/>
      <x:c r="G256" s="99"/>
      <x:c r="H256" s="99"/>
      <x:c r="I256" s="99"/>
      <x:c r="J256" s="99"/>
      <x:c r="K256" s="99"/>
      <x:c r="L256" s="99"/>
      <x:c r="M256" s="99"/>
      <x:c r="N256" s="99"/>
      <x:c r="O256" s="99"/>
      <x:c r="P256" s="99"/>
      <x:c r="Q256" s="99"/>
      <x:c r="R256" s="99"/>
      <x:c r="S256" s="99"/>
      <x:c r="T256" s="99"/>
      <x:c r="U256" s="99"/>
      <x:c r="V256" s="99"/>
      <x:c r="W256" s="99"/>
      <x:c r="X256" s="99"/>
      <x:c r="Y256" s="99"/>
      <x:c r="Z256" s="99"/>
    </x:row>
    <x:row r="257">
      <x:c r="A257" s="99"/>
      <x:c r="B257" s="99"/>
      <x:c r="C257" s="99"/>
      <x:c r="D257" s="99"/>
      <x:c r="E257" s="99"/>
      <x:c r="F257" s="99"/>
      <x:c r="G257" s="99"/>
      <x:c r="H257" s="99"/>
      <x:c r="I257" s="99"/>
      <x:c r="J257" s="99"/>
      <x:c r="K257" s="99"/>
      <x:c r="L257" s="99"/>
      <x:c r="M257" s="99"/>
      <x:c r="N257" s="99"/>
      <x:c r="O257" s="99"/>
      <x:c r="P257" s="99"/>
      <x:c r="Q257" s="99"/>
      <x:c r="R257" s="99"/>
      <x:c r="S257" s="99"/>
      <x:c r="T257" s="99"/>
      <x:c r="U257" s="99"/>
      <x:c r="V257" s="99"/>
      <x:c r="W257" s="99"/>
      <x:c r="X257" s="99"/>
      <x:c r="Y257" s="99"/>
      <x:c r="Z257" s="99"/>
    </x:row>
    <x:row r="258">
      <x:c r="A258" s="99"/>
      <x:c r="B258" s="99"/>
      <x:c r="C258" s="99"/>
      <x:c r="D258" s="99"/>
      <x:c r="E258" s="99"/>
      <x:c r="F258" s="99"/>
      <x:c r="G258" s="99"/>
      <x:c r="H258" s="99"/>
      <x:c r="I258" s="99"/>
      <x:c r="J258" s="99"/>
      <x:c r="K258" s="99"/>
      <x:c r="L258" s="99"/>
      <x:c r="M258" s="99"/>
      <x:c r="N258" s="99"/>
      <x:c r="O258" s="99"/>
      <x:c r="P258" s="99"/>
      <x:c r="Q258" s="99"/>
      <x:c r="R258" s="99"/>
      <x:c r="S258" s="99"/>
      <x:c r="T258" s="99"/>
      <x:c r="U258" s="99"/>
      <x:c r="V258" s="99"/>
      <x:c r="W258" s="99"/>
      <x:c r="X258" s="99"/>
      <x:c r="Y258" s="99"/>
      <x:c r="Z258" s="99"/>
    </x:row>
    <x:row r="259">
      <x:c r="A259" s="99"/>
      <x:c r="B259" s="99"/>
      <x:c r="C259" s="99"/>
      <x:c r="D259" s="99"/>
      <x:c r="E259" s="99"/>
      <x:c r="F259" s="99"/>
      <x:c r="G259" s="99"/>
      <x:c r="H259" s="99"/>
      <x:c r="I259" s="99"/>
      <x:c r="J259" s="99"/>
      <x:c r="K259" s="99"/>
      <x:c r="L259" s="99"/>
      <x:c r="M259" s="99"/>
      <x:c r="N259" s="99"/>
      <x:c r="O259" s="99"/>
      <x:c r="P259" s="99"/>
      <x:c r="Q259" s="99"/>
      <x:c r="R259" s="99"/>
      <x:c r="S259" s="99"/>
      <x:c r="T259" s="99"/>
      <x:c r="U259" s="99"/>
      <x:c r="V259" s="99"/>
      <x:c r="W259" s="99"/>
      <x:c r="X259" s="99"/>
      <x:c r="Y259" s="99"/>
      <x:c r="Z259" s="99"/>
    </x:row>
    <x:row r="260">
      <x:c r="A260" s="99"/>
      <x:c r="B260" s="99"/>
      <x:c r="C260" s="99"/>
      <x:c r="D260" s="99"/>
      <x:c r="E260" s="99"/>
      <x:c r="F260" s="99"/>
      <x:c r="G260" s="99"/>
      <x:c r="H260" s="99"/>
      <x:c r="I260" s="99"/>
      <x:c r="J260" s="99"/>
      <x:c r="K260" s="99"/>
      <x:c r="L260" s="99"/>
      <x:c r="M260" s="99"/>
      <x:c r="N260" s="99"/>
      <x:c r="O260" s="99"/>
      <x:c r="P260" s="99"/>
      <x:c r="Q260" s="99"/>
      <x:c r="R260" s="99"/>
      <x:c r="S260" s="99"/>
      <x:c r="T260" s="99"/>
      <x:c r="U260" s="99"/>
      <x:c r="V260" s="99"/>
      <x:c r="W260" s="99"/>
      <x:c r="X260" s="99"/>
      <x:c r="Y260" s="99"/>
      <x:c r="Z260" s="99"/>
    </x:row>
    <x:row r="261">
      <x:c r="A261" s="99"/>
      <x:c r="B261" s="99"/>
      <x:c r="C261" s="99"/>
      <x:c r="D261" s="99"/>
      <x:c r="E261" s="99"/>
      <x:c r="F261" s="99"/>
      <x:c r="G261" s="99"/>
      <x:c r="H261" s="99"/>
      <x:c r="I261" s="99"/>
      <x:c r="J261" s="99"/>
      <x:c r="K261" s="99"/>
      <x:c r="L261" s="99"/>
      <x:c r="M261" s="99"/>
      <x:c r="N261" s="99"/>
      <x:c r="O261" s="99"/>
      <x:c r="P261" s="99"/>
      <x:c r="Q261" s="99"/>
      <x:c r="R261" s="99"/>
      <x:c r="S261" s="99"/>
      <x:c r="T261" s="99"/>
      <x:c r="U261" s="99"/>
      <x:c r="V261" s="99"/>
      <x:c r="W261" s="99"/>
      <x:c r="X261" s="99"/>
      <x:c r="Y261" s="99"/>
      <x:c r="Z261" s="99"/>
    </x:row>
    <x:row r="262">
      <x:c r="A262" s="99"/>
      <x:c r="B262" s="99"/>
      <x:c r="C262" s="99"/>
      <x:c r="D262" s="99"/>
      <x:c r="E262" s="99"/>
      <x:c r="F262" s="99"/>
      <x:c r="G262" s="99"/>
      <x:c r="H262" s="99"/>
      <x:c r="I262" s="99"/>
      <x:c r="J262" s="99"/>
      <x:c r="K262" s="99"/>
      <x:c r="L262" s="99"/>
      <x:c r="M262" s="99"/>
      <x:c r="N262" s="99"/>
      <x:c r="O262" s="99"/>
      <x:c r="P262" s="99"/>
      <x:c r="Q262" s="99"/>
      <x:c r="R262" s="99"/>
      <x:c r="S262" s="99"/>
      <x:c r="T262" s="99"/>
      <x:c r="U262" s="99"/>
      <x:c r="V262" s="99"/>
      <x:c r="W262" s="99"/>
      <x:c r="X262" s="99"/>
      <x:c r="Y262" s="99"/>
      <x:c r="Z262" s="99"/>
    </x:row>
    <x:row r="263">
      <x:c r="A263" s="99"/>
      <x:c r="B263" s="99"/>
      <x:c r="C263" s="99"/>
      <x:c r="D263" s="99"/>
      <x:c r="E263" s="99"/>
      <x:c r="F263" s="99"/>
      <x:c r="G263" s="99"/>
      <x:c r="H263" s="99"/>
      <x:c r="I263" s="99"/>
      <x:c r="J263" s="99"/>
      <x:c r="K263" s="99"/>
      <x:c r="L263" s="99"/>
      <x:c r="M263" s="99"/>
      <x:c r="N263" s="99"/>
      <x:c r="O263" s="99"/>
      <x:c r="P263" s="99"/>
      <x:c r="Q263" s="99"/>
      <x:c r="R263" s="99"/>
      <x:c r="S263" s="99"/>
      <x:c r="T263" s="99"/>
      <x:c r="U263" s="99"/>
      <x:c r="V263" s="99"/>
      <x:c r="W263" s="99"/>
      <x:c r="X263" s="99"/>
      <x:c r="Y263" s="99"/>
      <x:c r="Z263" s="99"/>
    </x:row>
    <x:row r="264">
      <x:c r="A264" s="99"/>
      <x:c r="B264" s="99"/>
      <x:c r="C264" s="99"/>
      <x:c r="D264" s="99"/>
      <x:c r="E264" s="99"/>
      <x:c r="F264" s="99"/>
      <x:c r="G264" s="99"/>
      <x:c r="H264" s="99"/>
      <x:c r="I264" s="99"/>
      <x:c r="J264" s="99"/>
      <x:c r="K264" s="99"/>
      <x:c r="L264" s="99"/>
      <x:c r="M264" s="99"/>
      <x:c r="N264" s="99"/>
      <x:c r="O264" s="99"/>
      <x:c r="P264" s="99"/>
      <x:c r="Q264" s="99"/>
      <x:c r="R264" s="99"/>
      <x:c r="S264" s="99"/>
      <x:c r="T264" s="99"/>
      <x:c r="U264" s="99"/>
      <x:c r="V264" s="99"/>
      <x:c r="W264" s="99"/>
      <x:c r="X264" s="99"/>
      <x:c r="Y264" s="99"/>
      <x:c r="Z264" s="99"/>
    </x:row>
    <x:row r="265">
      <x:c r="A265" s="99"/>
      <x:c r="B265" s="99"/>
      <x:c r="C265" s="99"/>
      <x:c r="D265" s="99"/>
      <x:c r="E265" s="99"/>
      <x:c r="F265" s="99"/>
      <x:c r="G265" s="99"/>
      <x:c r="H265" s="99"/>
      <x:c r="I265" s="99"/>
      <x:c r="J265" s="99"/>
      <x:c r="K265" s="99"/>
      <x:c r="L265" s="99"/>
      <x:c r="M265" s="99"/>
      <x:c r="N265" s="99"/>
      <x:c r="O265" s="99"/>
      <x:c r="P265" s="99"/>
      <x:c r="Q265" s="99"/>
      <x:c r="R265" s="99"/>
      <x:c r="S265" s="99"/>
      <x:c r="T265" s="99"/>
      <x:c r="U265" s="99"/>
      <x:c r="V265" s="99"/>
      <x:c r="W265" s="99"/>
      <x:c r="X265" s="99"/>
      <x:c r="Y265" s="99"/>
      <x:c r="Z265" s="99"/>
    </x:row>
    <x:row r="266">
      <x:c r="A266" s="99"/>
      <x:c r="B266" s="99"/>
      <x:c r="C266" s="99"/>
      <x:c r="D266" s="99"/>
      <x:c r="E266" s="99"/>
      <x:c r="F266" s="99"/>
      <x:c r="G266" s="99"/>
      <x:c r="H266" s="99"/>
      <x:c r="I266" s="99"/>
      <x:c r="J266" s="99"/>
      <x:c r="K266" s="99"/>
      <x:c r="L266" s="99"/>
      <x:c r="M266" s="99"/>
      <x:c r="N266" s="99"/>
      <x:c r="O266" s="99"/>
      <x:c r="P266" s="99"/>
      <x:c r="Q266" s="99"/>
      <x:c r="R266" s="99"/>
      <x:c r="S266" s="99"/>
      <x:c r="T266" s="99"/>
      <x:c r="U266" s="99"/>
      <x:c r="V266" s="99"/>
      <x:c r="W266" s="99"/>
      <x:c r="X266" s="99"/>
      <x:c r="Y266" s="99"/>
      <x:c r="Z266" s="99"/>
    </x:row>
    <x:row r="267">
      <x:c r="A267" s="99"/>
      <x:c r="B267" s="99"/>
      <x:c r="C267" s="99"/>
      <x:c r="D267" s="99"/>
      <x:c r="E267" s="99"/>
      <x:c r="F267" s="99"/>
      <x:c r="G267" s="99"/>
      <x:c r="H267" s="99"/>
      <x:c r="I267" s="99"/>
      <x:c r="J267" s="99"/>
      <x:c r="K267" s="99"/>
      <x:c r="L267" s="99"/>
      <x:c r="M267" s="99"/>
      <x:c r="N267" s="99"/>
      <x:c r="O267" s="99"/>
      <x:c r="P267" s="99"/>
      <x:c r="Q267" s="99"/>
      <x:c r="R267" s="99"/>
      <x:c r="S267" s="99"/>
      <x:c r="T267" s="99"/>
      <x:c r="U267" s="99"/>
      <x:c r="V267" s="99"/>
      <x:c r="W267" s="99"/>
      <x:c r="X267" s="99"/>
      <x:c r="Y267" s="99"/>
      <x:c r="Z267" s="99"/>
    </x:row>
    <x:row r="268">
      <x:c r="A268" s="99"/>
      <x:c r="B268" s="99"/>
      <x:c r="C268" s="99"/>
      <x:c r="D268" s="99"/>
      <x:c r="E268" s="99"/>
      <x:c r="F268" s="99"/>
      <x:c r="G268" s="99"/>
      <x:c r="H268" s="99"/>
      <x:c r="I268" s="99"/>
      <x:c r="J268" s="99"/>
      <x:c r="K268" s="99"/>
      <x:c r="L268" s="99"/>
      <x:c r="M268" s="99"/>
      <x:c r="N268" s="99"/>
      <x:c r="O268" s="99"/>
      <x:c r="P268" s="99"/>
      <x:c r="Q268" s="99"/>
      <x:c r="R268" s="99"/>
      <x:c r="S268" s="99"/>
      <x:c r="T268" s="99"/>
      <x:c r="U268" s="99"/>
      <x:c r="V268" s="99"/>
      <x:c r="W268" s="99"/>
      <x:c r="X268" s="99"/>
      <x:c r="Y268" s="99"/>
      <x:c r="Z268" s="99"/>
    </x:row>
    <x:row r="269">
      <x:c r="A269" s="99"/>
      <x:c r="B269" s="99"/>
      <x:c r="C269" s="99"/>
      <x:c r="D269" s="99"/>
      <x:c r="E269" s="99"/>
      <x:c r="F269" s="99"/>
      <x:c r="G269" s="99"/>
      <x:c r="H269" s="99"/>
      <x:c r="I269" s="99"/>
      <x:c r="J269" s="99"/>
      <x:c r="K269" s="99"/>
      <x:c r="L269" s="99"/>
      <x:c r="M269" s="99"/>
      <x:c r="N269" s="99"/>
      <x:c r="O269" s="99"/>
      <x:c r="P269" s="99"/>
      <x:c r="Q269" s="99"/>
      <x:c r="R269" s="99"/>
      <x:c r="S269" s="99"/>
      <x:c r="T269" s="99"/>
      <x:c r="U269" s="99"/>
      <x:c r="V269" s="99"/>
      <x:c r="W269" s="99"/>
      <x:c r="X269" s="99"/>
      <x:c r="Y269" s="99"/>
      <x:c r="Z269" s="99"/>
    </x:row>
    <x:row r="270">
      <x:c r="A270" s="99"/>
      <x:c r="B270" s="99"/>
      <x:c r="C270" s="99"/>
      <x:c r="D270" s="99"/>
      <x:c r="E270" s="99"/>
      <x:c r="F270" s="99"/>
      <x:c r="G270" s="99"/>
      <x:c r="H270" s="99"/>
      <x:c r="I270" s="99"/>
      <x:c r="J270" s="99"/>
      <x:c r="K270" s="99"/>
      <x:c r="L270" s="99"/>
      <x:c r="M270" s="99"/>
      <x:c r="N270" s="99"/>
      <x:c r="O270" s="99"/>
      <x:c r="P270" s="99"/>
      <x:c r="Q270" s="99"/>
      <x:c r="R270" s="99"/>
      <x:c r="S270" s="99"/>
      <x:c r="T270" s="99"/>
      <x:c r="U270" s="99"/>
      <x:c r="V270" s="99"/>
      <x:c r="W270" s="99"/>
      <x:c r="X270" s="99"/>
      <x:c r="Y270" s="99"/>
      <x:c r="Z270" s="99"/>
    </x:row>
    <x:row r="271">
      <x:c r="A271" s="99"/>
      <x:c r="B271" s="99"/>
      <x:c r="C271" s="99"/>
      <x:c r="D271" s="99"/>
      <x:c r="E271" s="99"/>
      <x:c r="F271" s="99"/>
      <x:c r="G271" s="99"/>
      <x:c r="H271" s="99"/>
      <x:c r="I271" s="99"/>
      <x:c r="J271" s="99"/>
      <x:c r="K271" s="99"/>
      <x:c r="L271" s="99"/>
      <x:c r="M271" s="99"/>
      <x:c r="N271" s="99"/>
      <x:c r="O271" s="99"/>
      <x:c r="P271" s="99"/>
      <x:c r="Q271" s="99"/>
      <x:c r="R271" s="99"/>
      <x:c r="S271" s="99"/>
      <x:c r="T271" s="99"/>
      <x:c r="U271" s="99"/>
      <x:c r="V271" s="99"/>
      <x:c r="W271" s="99"/>
      <x:c r="X271" s="99"/>
      <x:c r="Y271" s="99"/>
      <x:c r="Z271" s="99"/>
    </x:row>
    <x:row r="272">
      <x:c r="A272" s="99"/>
      <x:c r="B272" s="99"/>
      <x:c r="C272" s="99"/>
      <x:c r="D272" s="99"/>
      <x:c r="E272" s="99"/>
      <x:c r="F272" s="99"/>
      <x:c r="G272" s="99"/>
      <x:c r="H272" s="99"/>
      <x:c r="I272" s="99"/>
      <x:c r="J272" s="99"/>
      <x:c r="K272" s="99"/>
      <x:c r="L272" s="99"/>
      <x:c r="M272" s="99"/>
      <x:c r="N272" s="99"/>
      <x:c r="O272" s="99"/>
      <x:c r="P272" s="99"/>
      <x:c r="Q272" s="99"/>
      <x:c r="R272" s="99"/>
      <x:c r="S272" s="99"/>
      <x:c r="T272" s="99"/>
      <x:c r="U272" s="99"/>
      <x:c r="V272" s="99"/>
      <x:c r="W272" s="99"/>
      <x:c r="X272" s="99"/>
      <x:c r="Y272" s="99"/>
      <x:c r="Z272" s="99"/>
    </x:row>
    <x:row r="273">
      <x:c r="A273" s="99"/>
      <x:c r="B273" s="99"/>
      <x:c r="C273" s="99"/>
      <x:c r="D273" s="99"/>
      <x:c r="E273" s="99"/>
      <x:c r="F273" s="99"/>
      <x:c r="G273" s="99"/>
      <x:c r="H273" s="99"/>
      <x:c r="I273" s="99"/>
      <x:c r="J273" s="99"/>
      <x:c r="K273" s="99"/>
      <x:c r="L273" s="99"/>
      <x:c r="M273" s="99"/>
      <x:c r="N273" s="99"/>
      <x:c r="O273" s="99"/>
      <x:c r="P273" s="99"/>
      <x:c r="Q273" s="99"/>
      <x:c r="R273" s="99"/>
      <x:c r="S273" s="99"/>
      <x:c r="T273" s="99"/>
      <x:c r="U273" s="99"/>
      <x:c r="V273" s="99"/>
      <x:c r="W273" s="99"/>
      <x:c r="X273" s="99"/>
      <x:c r="Y273" s="99"/>
      <x:c r="Z273" s="99"/>
    </x:row>
    <x:row r="274">
      <x:c r="A274" s="99"/>
      <x:c r="B274" s="99"/>
      <x:c r="C274" s="99"/>
      <x:c r="D274" s="99"/>
      <x:c r="E274" s="99"/>
      <x:c r="F274" s="99"/>
      <x:c r="G274" s="99"/>
      <x:c r="H274" s="99"/>
      <x:c r="I274" s="99"/>
      <x:c r="J274" s="99"/>
      <x:c r="K274" s="99"/>
      <x:c r="L274" s="99"/>
      <x:c r="M274" s="99"/>
      <x:c r="N274" s="99"/>
      <x:c r="O274" s="99"/>
      <x:c r="P274" s="99"/>
      <x:c r="Q274" s="99"/>
      <x:c r="R274" s="99"/>
      <x:c r="S274" s="99"/>
      <x:c r="T274" s="99"/>
      <x:c r="U274" s="99"/>
      <x:c r="V274" s="99"/>
      <x:c r="W274" s="99"/>
      <x:c r="X274" s="99"/>
      <x:c r="Y274" s="99"/>
      <x:c r="Z274" s="99"/>
    </x:row>
    <x:row r="275">
      <x:c r="A275" s="99"/>
      <x:c r="B275" s="99"/>
      <x:c r="C275" s="99"/>
      <x:c r="D275" s="99"/>
      <x:c r="E275" s="99"/>
      <x:c r="F275" s="99"/>
      <x:c r="G275" s="99"/>
      <x:c r="H275" s="99"/>
      <x:c r="I275" s="99"/>
      <x:c r="J275" s="99"/>
      <x:c r="K275" s="99"/>
      <x:c r="L275" s="99"/>
      <x:c r="M275" s="99"/>
      <x:c r="N275" s="99"/>
      <x:c r="O275" s="99"/>
      <x:c r="P275" s="99"/>
      <x:c r="Q275" s="99"/>
      <x:c r="R275" s="99"/>
      <x:c r="S275" s="99"/>
      <x:c r="T275" s="99"/>
      <x:c r="U275" s="99"/>
      <x:c r="V275" s="99"/>
      <x:c r="W275" s="99"/>
      <x:c r="X275" s="99"/>
      <x:c r="Y275" s="99"/>
      <x:c r="Z275" s="99"/>
    </x:row>
    <x:row r="276">
      <x:c r="A276" s="99"/>
      <x:c r="B276" s="99"/>
      <x:c r="C276" s="99"/>
      <x:c r="D276" s="99"/>
      <x:c r="E276" s="99"/>
      <x:c r="F276" s="99"/>
      <x:c r="G276" s="99"/>
      <x:c r="H276" s="99"/>
      <x:c r="I276" s="99"/>
      <x:c r="J276" s="99"/>
      <x:c r="K276" s="99"/>
      <x:c r="L276" s="99"/>
      <x:c r="M276" s="99"/>
      <x:c r="N276" s="99"/>
      <x:c r="O276" s="99"/>
      <x:c r="P276" s="99"/>
      <x:c r="Q276" s="99"/>
      <x:c r="R276" s="99"/>
      <x:c r="S276" s="99"/>
      <x:c r="T276" s="99"/>
      <x:c r="U276" s="99"/>
      <x:c r="V276" s="99"/>
      <x:c r="W276" s="99"/>
      <x:c r="X276" s="99"/>
      <x:c r="Y276" s="99"/>
      <x:c r="Z276" s="99"/>
    </x:row>
    <x:row r="277">
      <x:c r="A277" s="99"/>
      <x:c r="B277" s="99"/>
      <x:c r="C277" s="99"/>
      <x:c r="D277" s="99"/>
      <x:c r="E277" s="99"/>
      <x:c r="F277" s="99"/>
      <x:c r="G277" s="99"/>
      <x:c r="H277" s="99"/>
      <x:c r="I277" s="99"/>
      <x:c r="J277" s="99"/>
      <x:c r="K277" s="99"/>
      <x:c r="L277" s="99"/>
      <x:c r="M277" s="99"/>
      <x:c r="N277" s="99"/>
      <x:c r="O277" s="99"/>
      <x:c r="P277" s="99"/>
      <x:c r="Q277" s="99"/>
      <x:c r="R277" s="99"/>
      <x:c r="S277" s="99"/>
      <x:c r="T277" s="99"/>
      <x:c r="U277" s="99"/>
      <x:c r="V277" s="99"/>
      <x:c r="W277" s="99"/>
      <x:c r="X277" s="99"/>
      <x:c r="Y277" s="99"/>
      <x:c r="Z277" s="99"/>
    </x:row>
    <x:row r="278">
      <x:c r="A278" s="99"/>
      <x:c r="B278" s="99"/>
      <x:c r="C278" s="99"/>
      <x:c r="D278" s="99"/>
      <x:c r="E278" s="99"/>
      <x:c r="F278" s="99"/>
      <x:c r="G278" s="99"/>
      <x:c r="H278" s="99"/>
      <x:c r="I278" s="99"/>
      <x:c r="J278" s="99"/>
      <x:c r="K278" s="99"/>
      <x:c r="L278" s="99"/>
      <x:c r="M278" s="99"/>
      <x:c r="N278" s="99"/>
      <x:c r="O278" s="99"/>
      <x:c r="P278" s="99"/>
      <x:c r="Q278" s="99"/>
      <x:c r="R278" s="99"/>
      <x:c r="S278" s="99"/>
      <x:c r="T278" s="99"/>
      <x:c r="U278" s="99"/>
      <x:c r="V278" s="99"/>
      <x:c r="W278" s="99"/>
      <x:c r="X278" s="99"/>
      <x:c r="Y278" s="99"/>
      <x:c r="Z278" s="99"/>
    </x:row>
    <x:row r="279">
      <x:c r="A279" s="99"/>
      <x:c r="B279" s="99"/>
      <x:c r="C279" s="99"/>
      <x:c r="D279" s="99"/>
      <x:c r="E279" s="99"/>
      <x:c r="F279" s="99"/>
      <x:c r="G279" s="99"/>
      <x:c r="H279" s="99"/>
      <x:c r="I279" s="99"/>
      <x:c r="J279" s="99"/>
      <x:c r="K279" s="99"/>
      <x:c r="L279" s="99"/>
      <x:c r="M279" s="99"/>
      <x:c r="N279" s="99"/>
      <x:c r="O279" s="99"/>
      <x:c r="P279" s="99"/>
      <x:c r="Q279" s="99"/>
      <x:c r="R279" s="99"/>
      <x:c r="S279" s="99"/>
      <x:c r="T279" s="99"/>
      <x:c r="U279" s="99"/>
      <x:c r="V279" s="99"/>
      <x:c r="W279" s="99"/>
      <x:c r="X279" s="99"/>
      <x:c r="Y279" s="99"/>
      <x:c r="Z279" s="99"/>
    </x:row>
    <x:row r="280">
      <x:c r="A280" s="99"/>
      <x:c r="B280" s="99"/>
      <x:c r="C280" s="99"/>
      <x:c r="D280" s="99"/>
      <x:c r="E280" s="99"/>
      <x:c r="F280" s="99"/>
      <x:c r="G280" s="99"/>
      <x:c r="H280" s="99"/>
      <x:c r="I280" s="99"/>
      <x:c r="J280" s="99"/>
      <x:c r="K280" s="99"/>
      <x:c r="L280" s="99"/>
      <x:c r="M280" s="99"/>
      <x:c r="N280" s="99"/>
      <x:c r="O280" s="99"/>
      <x:c r="P280" s="99"/>
      <x:c r="Q280" s="99"/>
      <x:c r="R280" s="99"/>
      <x:c r="S280" s="99"/>
      <x:c r="T280" s="99"/>
      <x:c r="U280" s="99"/>
      <x:c r="V280" s="99"/>
      <x:c r="W280" s="99"/>
      <x:c r="X280" s="99"/>
      <x:c r="Y280" s="99"/>
      <x:c r="Z280" s="99"/>
    </x:row>
    <x:row r="281">
      <x:c r="A281" s="99"/>
      <x:c r="B281" s="99"/>
      <x:c r="C281" s="99"/>
      <x:c r="D281" s="99"/>
      <x:c r="E281" s="99"/>
      <x:c r="F281" s="99"/>
      <x:c r="G281" s="99"/>
      <x:c r="H281" s="99"/>
      <x:c r="I281" s="99"/>
      <x:c r="J281" s="99"/>
      <x:c r="K281" s="99"/>
      <x:c r="L281" s="99"/>
      <x:c r="M281" s="99"/>
      <x:c r="N281" s="99"/>
      <x:c r="O281" s="99"/>
      <x:c r="P281" s="99"/>
      <x:c r="Q281" s="99"/>
      <x:c r="R281" s="99"/>
      <x:c r="S281" s="99"/>
      <x:c r="T281" s="99"/>
      <x:c r="U281" s="99"/>
      <x:c r="V281" s="99"/>
      <x:c r="W281" s="99"/>
      <x:c r="X281" s="99"/>
      <x:c r="Y281" s="99"/>
      <x:c r="Z281" s="99"/>
    </x:row>
    <x:row r="282">
      <x:c r="A282" s="99"/>
      <x:c r="B282" s="99"/>
      <x:c r="C282" s="99"/>
      <x:c r="D282" s="99"/>
      <x:c r="E282" s="99"/>
      <x:c r="F282" s="99"/>
      <x:c r="G282" s="99"/>
      <x:c r="H282" s="99"/>
      <x:c r="I282" s="99"/>
      <x:c r="J282" s="99"/>
      <x:c r="K282" s="99"/>
      <x:c r="L282" s="99"/>
      <x:c r="M282" s="99"/>
      <x:c r="N282" s="99"/>
      <x:c r="O282" s="99"/>
      <x:c r="P282" s="99"/>
      <x:c r="Q282" s="99"/>
      <x:c r="R282" s="99"/>
      <x:c r="S282" s="99"/>
      <x:c r="T282" s="99"/>
      <x:c r="U282" s="99"/>
      <x:c r="V282" s="99"/>
      <x:c r="W282" s="99"/>
      <x:c r="X282" s="99"/>
      <x:c r="Y282" s="99"/>
      <x:c r="Z282" s="99"/>
    </x:row>
    <x:row r="283">
      <x:c r="A283" s="99"/>
      <x:c r="B283" s="99"/>
      <x:c r="C283" s="99"/>
      <x:c r="D283" s="99"/>
      <x:c r="E283" s="99"/>
      <x:c r="F283" s="99"/>
      <x:c r="G283" s="99"/>
      <x:c r="H283" s="99"/>
      <x:c r="I283" s="99"/>
      <x:c r="J283" s="99"/>
      <x:c r="K283" s="99"/>
      <x:c r="L283" s="99"/>
      <x:c r="M283" s="99"/>
      <x:c r="N283" s="99"/>
      <x:c r="O283" s="99"/>
      <x:c r="P283" s="99"/>
      <x:c r="Q283" s="99"/>
      <x:c r="R283" s="99"/>
      <x:c r="S283" s="99"/>
      <x:c r="T283" s="99"/>
      <x:c r="U283" s="99"/>
      <x:c r="V283" s="99"/>
      <x:c r="W283" s="99"/>
      <x:c r="X283" s="99"/>
      <x:c r="Y283" s="99"/>
      <x:c r="Z283" s="99"/>
    </x:row>
    <x:row r="284">
      <x:c r="A284" s="99"/>
      <x:c r="B284" s="99"/>
      <x:c r="C284" s="99"/>
      <x:c r="D284" s="99"/>
      <x:c r="E284" s="99"/>
      <x:c r="F284" s="99"/>
      <x:c r="G284" s="99"/>
      <x:c r="H284" s="99"/>
      <x:c r="I284" s="99"/>
      <x:c r="J284" s="99"/>
      <x:c r="K284" s="99"/>
      <x:c r="L284" s="99"/>
      <x:c r="M284" s="99"/>
      <x:c r="N284" s="99"/>
      <x:c r="O284" s="99"/>
      <x:c r="P284" s="99"/>
      <x:c r="Q284" s="99"/>
      <x:c r="R284" s="99"/>
      <x:c r="S284" s="99"/>
      <x:c r="T284" s="99"/>
      <x:c r="U284" s="99"/>
      <x:c r="V284" s="99"/>
      <x:c r="W284" s="99"/>
      <x:c r="X284" s="99"/>
      <x:c r="Y284" s="99"/>
      <x:c r="Z284" s="99"/>
    </x:row>
    <x:row r="285">
      <x:c r="A285" s="99"/>
      <x:c r="B285" s="99"/>
      <x:c r="C285" s="99"/>
      <x:c r="D285" s="99"/>
      <x:c r="E285" s="99"/>
      <x:c r="F285" s="99"/>
      <x:c r="G285" s="99"/>
      <x:c r="H285" s="99"/>
      <x:c r="I285" s="99"/>
      <x:c r="J285" s="99"/>
      <x:c r="K285" s="99"/>
      <x:c r="L285" s="99"/>
      <x:c r="M285" s="99"/>
      <x:c r="N285" s="99"/>
      <x:c r="O285" s="99"/>
      <x:c r="P285" s="99"/>
      <x:c r="Q285" s="99"/>
      <x:c r="R285" s="99"/>
      <x:c r="S285" s="99"/>
      <x:c r="T285" s="99"/>
      <x:c r="U285" s="99"/>
      <x:c r="V285" s="99"/>
      <x:c r="W285" s="99"/>
      <x:c r="X285" s="99"/>
      <x:c r="Y285" s="99"/>
      <x:c r="Z285" s="99"/>
    </x:row>
    <x:row r="286">
      <x:c r="A286" s="99"/>
      <x:c r="B286" s="99"/>
      <x:c r="C286" s="99"/>
      <x:c r="D286" s="99"/>
      <x:c r="E286" s="99"/>
      <x:c r="F286" s="99"/>
      <x:c r="G286" s="99"/>
      <x:c r="H286" s="99"/>
      <x:c r="I286" s="99"/>
      <x:c r="J286" s="99"/>
      <x:c r="K286" s="99"/>
      <x:c r="L286" s="99"/>
      <x:c r="M286" s="99"/>
      <x:c r="N286" s="99"/>
      <x:c r="O286" s="99"/>
      <x:c r="P286" s="99"/>
      <x:c r="Q286" s="99"/>
      <x:c r="R286" s="99"/>
      <x:c r="S286" s="99"/>
      <x:c r="T286" s="99"/>
      <x:c r="U286" s="99"/>
      <x:c r="V286" s="99"/>
      <x:c r="W286" s="99"/>
      <x:c r="X286" s="99"/>
      <x:c r="Y286" s="99"/>
      <x:c r="Z286" s="99"/>
    </x:row>
    <x:row r="287">
      <x:c r="A287" s="99"/>
      <x:c r="B287" s="99"/>
      <x:c r="C287" s="99"/>
      <x:c r="D287" s="99"/>
      <x:c r="E287" s="99"/>
      <x:c r="F287" s="99"/>
      <x:c r="G287" s="99"/>
      <x:c r="H287" s="99"/>
      <x:c r="I287" s="99"/>
      <x:c r="J287" s="99"/>
      <x:c r="K287" s="99"/>
      <x:c r="L287" s="99"/>
      <x:c r="M287" s="99"/>
      <x:c r="N287" s="99"/>
      <x:c r="O287" s="99"/>
      <x:c r="P287" s="99"/>
      <x:c r="Q287" s="99"/>
      <x:c r="R287" s="99"/>
      <x:c r="S287" s="99"/>
      <x:c r="T287" s="99"/>
      <x:c r="U287" s="99"/>
      <x:c r="V287" s="99"/>
      <x:c r="W287" s="99"/>
      <x:c r="X287" s="99"/>
      <x:c r="Y287" s="99"/>
      <x:c r="Z287" s="99"/>
    </x:row>
    <x:row r="288">
      <x:c r="A288" s="99"/>
      <x:c r="B288" s="99"/>
      <x:c r="C288" s="99"/>
      <x:c r="D288" s="99"/>
      <x:c r="E288" s="99"/>
      <x:c r="F288" s="99"/>
      <x:c r="G288" s="99"/>
      <x:c r="H288" s="99"/>
      <x:c r="I288" s="99"/>
      <x:c r="J288" s="99"/>
      <x:c r="K288" s="99"/>
      <x:c r="L288" s="99"/>
      <x:c r="M288" s="99"/>
      <x:c r="N288" s="99"/>
      <x:c r="O288" s="99"/>
      <x:c r="P288" s="99"/>
      <x:c r="Q288" s="99"/>
      <x:c r="R288" s="99"/>
      <x:c r="S288" s="99"/>
      <x:c r="T288" s="99"/>
      <x:c r="U288" s="99"/>
      <x:c r="V288" s="99"/>
      <x:c r="W288" s="99"/>
      <x:c r="X288" s="99"/>
      <x:c r="Y288" s="99"/>
      <x:c r="Z288" s="99"/>
    </x:row>
    <x:row r="289">
      <x:c r="A289" s="99"/>
      <x:c r="B289" s="99"/>
      <x:c r="C289" s="99"/>
      <x:c r="D289" s="99"/>
      <x:c r="E289" s="99"/>
      <x:c r="F289" s="99"/>
      <x:c r="G289" s="99"/>
      <x:c r="H289" s="99"/>
      <x:c r="I289" s="99"/>
      <x:c r="J289" s="99"/>
      <x:c r="K289" s="99"/>
      <x:c r="L289" s="99"/>
      <x:c r="M289" s="99"/>
      <x:c r="N289" s="99"/>
      <x:c r="O289" s="99"/>
      <x:c r="P289" s="99"/>
      <x:c r="Q289" s="99"/>
      <x:c r="R289" s="99"/>
      <x:c r="S289" s="99"/>
      <x:c r="T289" s="99"/>
      <x:c r="U289" s="99"/>
      <x:c r="V289" s="99"/>
      <x:c r="W289" s="99"/>
      <x:c r="X289" s="99"/>
      <x:c r="Y289" s="99"/>
      <x:c r="Z289" s="99"/>
    </x:row>
    <x:row r="290">
      <x:c r="A290" s="99"/>
      <x:c r="B290" s="99"/>
      <x:c r="C290" s="99"/>
      <x:c r="D290" s="99"/>
      <x:c r="E290" s="99"/>
      <x:c r="F290" s="99"/>
      <x:c r="G290" s="99"/>
      <x:c r="H290" s="99"/>
      <x:c r="I290" s="99"/>
      <x:c r="J290" s="99"/>
      <x:c r="K290" s="99"/>
      <x:c r="L290" s="99"/>
      <x:c r="M290" s="99"/>
      <x:c r="N290" s="99"/>
      <x:c r="O290" s="99"/>
      <x:c r="P290" s="99"/>
      <x:c r="Q290" s="99"/>
      <x:c r="R290" s="99"/>
      <x:c r="S290" s="99"/>
      <x:c r="T290" s="99"/>
      <x:c r="U290" s="99"/>
      <x:c r="V290" s="99"/>
      <x:c r="W290" s="99"/>
      <x:c r="X290" s="99"/>
      <x:c r="Y290" s="99"/>
      <x:c r="Z290" s="99"/>
    </x:row>
    <x:row r="291">
      <x:c r="A291" s="99"/>
      <x:c r="B291" s="99"/>
      <x:c r="C291" s="99"/>
      <x:c r="D291" s="99"/>
      <x:c r="E291" s="99"/>
      <x:c r="F291" s="99"/>
      <x:c r="G291" s="99"/>
      <x:c r="H291" s="99"/>
      <x:c r="I291" s="99"/>
      <x:c r="J291" s="99"/>
      <x:c r="K291" s="99"/>
      <x:c r="L291" s="99"/>
      <x:c r="M291" s="99"/>
      <x:c r="N291" s="99"/>
      <x:c r="O291" s="99"/>
      <x:c r="P291" s="99"/>
      <x:c r="Q291" s="99"/>
      <x:c r="R291" s="99"/>
      <x:c r="S291" s="99"/>
      <x:c r="T291" s="99"/>
      <x:c r="U291" s="99"/>
      <x:c r="V291" s="99"/>
      <x:c r="W291" s="99"/>
      <x:c r="X291" s="99"/>
      <x:c r="Y291" s="99"/>
      <x:c r="Z291" s="99"/>
    </x:row>
    <x:row r="292">
      <x:c r="A292" s="99"/>
      <x:c r="B292" s="99"/>
      <x:c r="C292" s="99"/>
      <x:c r="D292" s="99"/>
      <x:c r="E292" s="99"/>
      <x:c r="F292" s="99"/>
      <x:c r="G292" s="99"/>
      <x:c r="H292" s="99"/>
      <x:c r="I292" s="99"/>
      <x:c r="J292" s="99"/>
      <x:c r="K292" s="99"/>
      <x:c r="L292" s="99"/>
      <x:c r="M292" s="99"/>
      <x:c r="N292" s="99"/>
      <x:c r="O292" s="99"/>
      <x:c r="P292" s="99"/>
      <x:c r="Q292" s="99"/>
      <x:c r="R292" s="99"/>
      <x:c r="S292" s="99"/>
      <x:c r="T292" s="99"/>
      <x:c r="U292" s="99"/>
      <x:c r="V292" s="99"/>
      <x:c r="W292" s="99"/>
      <x:c r="X292" s="99"/>
      <x:c r="Y292" s="99"/>
      <x:c r="Z292" s="99"/>
    </x:row>
    <x:row r="293">
      <x:c r="A293" s="99"/>
      <x:c r="B293" s="99"/>
      <x:c r="C293" s="99"/>
      <x:c r="D293" s="99"/>
      <x:c r="E293" s="99"/>
      <x:c r="F293" s="99"/>
      <x:c r="G293" s="99"/>
      <x:c r="H293" s="99"/>
      <x:c r="I293" s="99"/>
      <x:c r="J293" s="99"/>
      <x:c r="K293" s="99"/>
      <x:c r="L293" s="99"/>
      <x:c r="M293" s="99"/>
      <x:c r="N293" s="99"/>
      <x:c r="O293" s="99"/>
      <x:c r="P293" s="99"/>
      <x:c r="Q293" s="99"/>
      <x:c r="R293" s="99"/>
      <x:c r="S293" s="99"/>
      <x:c r="T293" s="99"/>
      <x:c r="U293" s="99"/>
      <x:c r="V293" s="99"/>
      <x:c r="W293" s="99"/>
      <x:c r="X293" s="99"/>
      <x:c r="Y293" s="99"/>
      <x:c r="Z293" s="99"/>
    </x:row>
    <x:row r="294">
      <x:c r="A294" s="99"/>
      <x:c r="B294" s="99"/>
      <x:c r="C294" s="99"/>
      <x:c r="D294" s="99"/>
      <x:c r="E294" s="99"/>
      <x:c r="F294" s="99"/>
      <x:c r="G294" s="99"/>
      <x:c r="H294" s="99"/>
      <x:c r="I294" s="99"/>
      <x:c r="J294" s="99"/>
      <x:c r="K294" s="99"/>
      <x:c r="L294" s="99"/>
      <x:c r="M294" s="99"/>
      <x:c r="N294" s="99"/>
      <x:c r="O294" s="99"/>
      <x:c r="P294" s="99"/>
      <x:c r="Q294" s="99"/>
      <x:c r="R294" s="99"/>
      <x:c r="S294" s="99"/>
      <x:c r="T294" s="99"/>
      <x:c r="U294" s="99"/>
      <x:c r="V294" s="99"/>
      <x:c r="W294" s="99"/>
      <x:c r="X294" s="99"/>
      <x:c r="Y294" s="99"/>
      <x:c r="Z294" s="99"/>
    </x:row>
    <x:row r="295">
      <x:c r="A295" s="99"/>
      <x:c r="B295" s="99"/>
      <x:c r="C295" s="99"/>
      <x:c r="D295" s="99"/>
      <x:c r="E295" s="99"/>
      <x:c r="F295" s="99"/>
      <x:c r="G295" s="99"/>
      <x:c r="H295" s="99"/>
      <x:c r="I295" s="99"/>
      <x:c r="J295" s="99"/>
      <x:c r="K295" s="99"/>
      <x:c r="L295" s="99"/>
      <x:c r="M295" s="99"/>
      <x:c r="N295" s="99"/>
      <x:c r="O295" s="99"/>
      <x:c r="P295" s="99"/>
      <x:c r="Q295" s="99"/>
      <x:c r="R295" s="99"/>
      <x:c r="S295" s="99"/>
      <x:c r="T295" s="99"/>
      <x:c r="U295" s="99"/>
      <x:c r="V295" s="99"/>
      <x:c r="W295" s="99"/>
      <x:c r="X295" s="99"/>
      <x:c r="Y295" s="99"/>
      <x:c r="Z295" s="99"/>
    </x:row>
    <x:row r="296">
      <x:c r="A296" s="99"/>
      <x:c r="B296" s="99"/>
      <x:c r="C296" s="99"/>
      <x:c r="D296" s="99"/>
      <x:c r="E296" s="99"/>
      <x:c r="F296" s="99"/>
      <x:c r="G296" s="99"/>
      <x:c r="H296" s="99"/>
      <x:c r="I296" s="99"/>
      <x:c r="J296" s="99"/>
      <x:c r="K296" s="99"/>
      <x:c r="L296" s="99"/>
      <x:c r="M296" s="99"/>
      <x:c r="N296" s="99"/>
      <x:c r="O296" s="99"/>
      <x:c r="P296" s="99"/>
      <x:c r="Q296" s="99"/>
      <x:c r="R296" s="99"/>
      <x:c r="S296" s="99"/>
      <x:c r="T296" s="99"/>
      <x:c r="U296" s="99"/>
      <x:c r="V296" s="99"/>
      <x:c r="W296" s="99"/>
      <x:c r="X296" s="99"/>
      <x:c r="Y296" s="99"/>
      <x:c r="Z296" s="99"/>
    </x:row>
    <x:row r="297">
      <x:c r="A297" s="99"/>
      <x:c r="B297" s="99"/>
      <x:c r="C297" s="99"/>
      <x:c r="D297" s="99"/>
      <x:c r="E297" s="99"/>
      <x:c r="F297" s="99"/>
      <x:c r="G297" s="99"/>
      <x:c r="H297" s="99"/>
      <x:c r="I297" s="99"/>
      <x:c r="J297" s="99"/>
      <x:c r="K297" s="99"/>
      <x:c r="L297" s="99"/>
      <x:c r="M297" s="99"/>
      <x:c r="N297" s="99"/>
      <x:c r="O297" s="99"/>
      <x:c r="P297" s="99"/>
      <x:c r="Q297" s="99"/>
      <x:c r="R297" s="99"/>
      <x:c r="S297" s="99"/>
      <x:c r="T297" s="99"/>
      <x:c r="U297" s="99"/>
      <x:c r="V297" s="99"/>
      <x:c r="W297" s="99"/>
      <x:c r="X297" s="99"/>
      <x:c r="Y297" s="99"/>
      <x:c r="Z297" s="99"/>
    </x:row>
    <x:row r="298">
      <x:c r="A298" s="99"/>
      <x:c r="B298" s="99"/>
      <x:c r="C298" s="99"/>
      <x:c r="D298" s="99"/>
      <x:c r="E298" s="99"/>
      <x:c r="F298" s="99"/>
      <x:c r="G298" s="99"/>
      <x:c r="H298" s="99"/>
      <x:c r="I298" s="99"/>
      <x:c r="J298" s="99"/>
      <x:c r="K298" s="99"/>
      <x:c r="L298" s="99"/>
      <x:c r="M298" s="99"/>
      <x:c r="N298" s="99"/>
      <x:c r="O298" s="99"/>
      <x:c r="P298" s="99"/>
      <x:c r="Q298" s="99"/>
      <x:c r="R298" s="99"/>
      <x:c r="S298" s="99"/>
      <x:c r="T298" s="99"/>
      <x:c r="U298" s="99"/>
      <x:c r="V298" s="99"/>
      <x:c r="W298" s="99"/>
      <x:c r="X298" s="99"/>
      <x:c r="Y298" s="99"/>
      <x:c r="Z298" s="99"/>
    </x:row>
    <x:row r="299">
      <x:c r="A299" s="99"/>
      <x:c r="B299" s="99"/>
      <x:c r="C299" s="99"/>
      <x:c r="D299" s="99"/>
      <x:c r="E299" s="99"/>
      <x:c r="F299" s="99"/>
      <x:c r="G299" s="99"/>
      <x:c r="H299" s="99"/>
      <x:c r="I299" s="99"/>
      <x:c r="J299" s="99"/>
      <x:c r="K299" s="99"/>
      <x:c r="L299" s="99"/>
      <x:c r="M299" s="99"/>
      <x:c r="N299" s="99"/>
      <x:c r="O299" s="99"/>
      <x:c r="P299" s="99"/>
      <x:c r="Q299" s="99"/>
      <x:c r="R299" s="99"/>
      <x:c r="S299" s="99"/>
      <x:c r="T299" s="99"/>
      <x:c r="U299" s="99"/>
      <x:c r="V299" s="99"/>
      <x:c r="W299" s="99"/>
      <x:c r="X299" s="99"/>
      <x:c r="Y299" s="99"/>
      <x:c r="Z299" s="99"/>
    </x:row>
    <x:row r="300">
      <x:c r="A300" s="99"/>
      <x:c r="B300" s="99"/>
      <x:c r="C300" s="99"/>
      <x:c r="D300" s="99"/>
      <x:c r="E300" s="99"/>
      <x:c r="F300" s="99"/>
      <x:c r="G300" s="99"/>
      <x:c r="H300" s="99"/>
      <x:c r="I300" s="99"/>
      <x:c r="J300" s="99"/>
      <x:c r="K300" s="99"/>
      <x:c r="L300" s="99"/>
      <x:c r="M300" s="99"/>
      <x:c r="N300" s="99"/>
      <x:c r="O300" s="99"/>
      <x:c r="P300" s="99"/>
      <x:c r="Q300" s="99"/>
      <x:c r="R300" s="99"/>
      <x:c r="S300" s="99"/>
      <x:c r="T300" s="99"/>
      <x:c r="U300" s="99"/>
      <x:c r="V300" s="99"/>
      <x:c r="W300" s="99"/>
      <x:c r="X300" s="99"/>
      <x:c r="Y300" s="99"/>
      <x:c r="Z300" s="99"/>
    </x:row>
    <x:row r="301">
      <x:c r="A301" s="99"/>
      <x:c r="B301" s="99"/>
      <x:c r="C301" s="99"/>
      <x:c r="D301" s="99"/>
      <x:c r="E301" s="99"/>
      <x:c r="F301" s="99"/>
      <x:c r="G301" s="99"/>
      <x:c r="H301" s="99"/>
      <x:c r="I301" s="99"/>
      <x:c r="J301" s="99"/>
      <x:c r="K301" s="99"/>
      <x:c r="L301" s="99"/>
      <x:c r="M301" s="99"/>
      <x:c r="N301" s="99"/>
      <x:c r="O301" s="99"/>
      <x:c r="P301" s="99"/>
      <x:c r="Q301" s="99"/>
      <x:c r="R301" s="99"/>
      <x:c r="S301" s="99"/>
      <x:c r="T301" s="99"/>
      <x:c r="U301" s="99"/>
      <x:c r="V301" s="99"/>
      <x:c r="W301" s="99"/>
      <x:c r="X301" s="99"/>
      <x:c r="Y301" s="99"/>
      <x:c r="Z301" s="99"/>
    </x:row>
    <x:row r="302">
      <x:c r="A302" s="99"/>
      <x:c r="B302" s="99"/>
      <x:c r="C302" s="99"/>
      <x:c r="D302" s="99"/>
      <x:c r="E302" s="99"/>
      <x:c r="F302" s="99"/>
      <x:c r="G302" s="99"/>
      <x:c r="H302" s="99"/>
      <x:c r="I302" s="99"/>
      <x:c r="J302" s="99"/>
      <x:c r="K302" s="99"/>
      <x:c r="L302" s="99"/>
      <x:c r="M302" s="99"/>
      <x:c r="N302" s="99"/>
      <x:c r="O302" s="99"/>
      <x:c r="P302" s="99"/>
      <x:c r="Q302" s="99"/>
      <x:c r="R302" s="99"/>
      <x:c r="S302" s="99"/>
      <x:c r="T302" s="99"/>
      <x:c r="U302" s="99"/>
      <x:c r="V302" s="99"/>
      <x:c r="W302" s="99"/>
      <x:c r="X302" s="99"/>
      <x:c r="Y302" s="99"/>
      <x:c r="Z302" s="99"/>
    </x:row>
    <x:row r="303">
      <x:c r="A303" s="99"/>
      <x:c r="B303" s="99"/>
      <x:c r="C303" s="99"/>
      <x:c r="D303" s="99"/>
      <x:c r="E303" s="99"/>
      <x:c r="F303" s="99"/>
      <x:c r="G303" s="99"/>
      <x:c r="H303" s="99"/>
      <x:c r="I303" s="99"/>
      <x:c r="J303" s="99"/>
      <x:c r="K303" s="99"/>
      <x:c r="L303" s="99"/>
      <x:c r="M303" s="99"/>
      <x:c r="N303" s="99"/>
      <x:c r="O303" s="99"/>
      <x:c r="P303" s="99"/>
      <x:c r="Q303" s="99"/>
      <x:c r="R303" s="99"/>
      <x:c r="S303" s="99"/>
      <x:c r="T303" s="99"/>
      <x:c r="U303" s="99"/>
      <x:c r="V303" s="99"/>
      <x:c r="W303" s="99"/>
      <x:c r="X303" s="99"/>
      <x:c r="Y303" s="99"/>
      <x:c r="Z303" s="99"/>
    </x:row>
    <x:row r="304">
      <x:c r="A304" s="99"/>
      <x:c r="B304" s="99"/>
      <x:c r="C304" s="99"/>
      <x:c r="D304" s="99"/>
      <x:c r="E304" s="99"/>
      <x:c r="F304" s="99"/>
      <x:c r="G304" s="99"/>
      <x:c r="H304" s="99"/>
      <x:c r="I304" s="99"/>
      <x:c r="J304" s="99"/>
      <x:c r="K304" s="99"/>
      <x:c r="L304" s="99"/>
      <x:c r="M304" s="99"/>
      <x:c r="N304" s="99"/>
      <x:c r="O304" s="99"/>
      <x:c r="P304" s="99"/>
      <x:c r="Q304" s="99"/>
      <x:c r="R304" s="99"/>
      <x:c r="S304" s="99"/>
      <x:c r="T304" s="99"/>
      <x:c r="U304" s="99"/>
      <x:c r="V304" s="99"/>
      <x:c r="W304" s="99"/>
      <x:c r="X304" s="99"/>
      <x:c r="Y304" s="99"/>
      <x:c r="Z304" s="99"/>
    </x:row>
    <x:row r="305">
      <x:c r="A305" s="99"/>
      <x:c r="B305" s="99"/>
      <x:c r="C305" s="99"/>
      <x:c r="D305" s="99"/>
      <x:c r="E305" s="99"/>
      <x:c r="F305" s="99"/>
      <x:c r="G305" s="99"/>
      <x:c r="H305" s="99"/>
      <x:c r="I305" s="99"/>
      <x:c r="J305" s="99"/>
      <x:c r="K305" s="99"/>
      <x:c r="L305" s="99"/>
      <x:c r="M305" s="99"/>
      <x:c r="N305" s="99"/>
      <x:c r="O305" s="99"/>
      <x:c r="P305" s="99"/>
      <x:c r="Q305" s="99"/>
      <x:c r="R305" s="99"/>
      <x:c r="S305" s="99"/>
      <x:c r="T305" s="99"/>
      <x:c r="U305" s="99"/>
      <x:c r="V305" s="99"/>
      <x:c r="W305" s="99"/>
      <x:c r="X305" s="99"/>
      <x:c r="Y305" s="99"/>
      <x:c r="Z305" s="99"/>
    </x:row>
    <x:row r="306">
      <x:c r="A306" s="99"/>
      <x:c r="B306" s="99"/>
      <x:c r="C306" s="99"/>
      <x:c r="D306" s="99"/>
      <x:c r="E306" s="99"/>
      <x:c r="F306" s="99"/>
      <x:c r="G306" s="99"/>
      <x:c r="H306" s="99"/>
      <x:c r="I306" s="99"/>
      <x:c r="J306" s="99"/>
      <x:c r="K306" s="99"/>
      <x:c r="L306" s="99"/>
      <x:c r="M306" s="99"/>
      <x:c r="N306" s="99"/>
      <x:c r="O306" s="99"/>
      <x:c r="P306" s="99"/>
      <x:c r="Q306" s="99"/>
      <x:c r="R306" s="99"/>
      <x:c r="S306" s="99"/>
      <x:c r="T306" s="99"/>
      <x:c r="U306" s="99"/>
      <x:c r="V306" s="99"/>
      <x:c r="W306" s="99"/>
      <x:c r="X306" s="99"/>
      <x:c r="Y306" s="99"/>
      <x:c r="Z306" s="99"/>
    </x:row>
    <x:row r="307">
      <x:c r="A307" s="99"/>
      <x:c r="B307" s="99"/>
      <x:c r="C307" s="99"/>
      <x:c r="D307" s="99"/>
      <x:c r="E307" s="99"/>
      <x:c r="F307" s="99"/>
      <x:c r="G307" s="99"/>
      <x:c r="H307" s="99"/>
      <x:c r="I307" s="99"/>
      <x:c r="J307" s="99"/>
      <x:c r="K307" s="99"/>
      <x:c r="L307" s="99"/>
      <x:c r="M307" s="99"/>
      <x:c r="N307" s="99"/>
      <x:c r="O307" s="99"/>
      <x:c r="P307" s="99"/>
      <x:c r="Q307" s="99"/>
      <x:c r="R307" s="99"/>
      <x:c r="S307" s="99"/>
      <x:c r="T307" s="99"/>
      <x:c r="U307" s="99"/>
      <x:c r="V307" s="99"/>
      <x:c r="W307" s="99"/>
      <x:c r="X307" s="99"/>
      <x:c r="Y307" s="99"/>
      <x:c r="Z307" s="99"/>
    </x:row>
    <x:row r="308">
      <x:c r="A308" s="99"/>
      <x:c r="B308" s="99"/>
      <x:c r="C308" s="99"/>
      <x:c r="D308" s="99"/>
      <x:c r="E308" s="99"/>
      <x:c r="F308" s="99"/>
      <x:c r="G308" s="99"/>
      <x:c r="H308" s="99"/>
      <x:c r="I308" s="99"/>
      <x:c r="J308" s="99"/>
      <x:c r="K308" s="99"/>
      <x:c r="L308" s="99"/>
      <x:c r="M308" s="99"/>
      <x:c r="N308" s="99"/>
      <x:c r="O308" s="99"/>
      <x:c r="P308" s="99"/>
      <x:c r="Q308" s="99"/>
      <x:c r="R308" s="99"/>
      <x:c r="S308" s="99"/>
      <x:c r="T308" s="99"/>
      <x:c r="U308" s="99"/>
      <x:c r="V308" s="99"/>
      <x:c r="W308" s="99"/>
      <x:c r="X308" s="99"/>
      <x:c r="Y308" s="99"/>
      <x:c r="Z308" s="99"/>
    </x:row>
    <x:row r="309">
      <x:c r="A309" s="99"/>
      <x:c r="B309" s="99"/>
      <x:c r="C309" s="99"/>
      <x:c r="D309" s="99"/>
      <x:c r="E309" s="99"/>
      <x:c r="F309" s="99"/>
      <x:c r="G309" s="99"/>
      <x:c r="H309" s="99"/>
      <x:c r="I309" s="99"/>
      <x:c r="J309" s="99"/>
      <x:c r="K309" s="99"/>
      <x:c r="L309" s="99"/>
      <x:c r="M309" s="99"/>
      <x:c r="N309" s="99"/>
      <x:c r="O309" s="99"/>
      <x:c r="P309" s="99"/>
      <x:c r="Q309" s="99"/>
      <x:c r="R309" s="99"/>
      <x:c r="S309" s="99"/>
      <x:c r="T309" s="99"/>
      <x:c r="U309" s="99"/>
      <x:c r="V309" s="99"/>
      <x:c r="W309" s="99"/>
      <x:c r="X309" s="99"/>
      <x:c r="Y309" s="99"/>
      <x:c r="Z309" s="99"/>
    </x:row>
    <x:row r="310">
      <x:c r="A310" s="99"/>
      <x:c r="B310" s="99"/>
      <x:c r="C310" s="99"/>
      <x:c r="D310" s="99"/>
      <x:c r="E310" s="99"/>
      <x:c r="F310" s="99"/>
      <x:c r="G310" s="99"/>
      <x:c r="H310" s="99"/>
      <x:c r="I310" s="99"/>
      <x:c r="J310" s="99"/>
      <x:c r="K310" s="99"/>
      <x:c r="L310" s="99"/>
      <x:c r="M310" s="99"/>
      <x:c r="N310" s="99"/>
      <x:c r="O310" s="99"/>
      <x:c r="P310" s="99"/>
      <x:c r="Q310" s="99"/>
      <x:c r="R310" s="99"/>
      <x:c r="S310" s="99"/>
      <x:c r="T310" s="99"/>
      <x:c r="U310" s="99"/>
      <x:c r="V310" s="99"/>
      <x:c r="W310" s="99"/>
      <x:c r="X310" s="99"/>
      <x:c r="Y310" s="99"/>
      <x:c r="Z310" s="99"/>
    </x:row>
    <x:row r="311">
      <x:c r="A311" s="99"/>
      <x:c r="B311" s="99"/>
      <x:c r="C311" s="99"/>
      <x:c r="D311" s="99"/>
      <x:c r="E311" s="99"/>
      <x:c r="F311" s="99"/>
      <x:c r="G311" s="99"/>
      <x:c r="H311" s="99"/>
      <x:c r="I311" s="99"/>
      <x:c r="J311" s="99"/>
      <x:c r="K311" s="99"/>
      <x:c r="L311" s="99"/>
      <x:c r="M311" s="99"/>
      <x:c r="N311" s="99"/>
      <x:c r="O311" s="99"/>
      <x:c r="P311" s="99"/>
      <x:c r="Q311" s="99"/>
      <x:c r="R311" s="99"/>
      <x:c r="S311" s="99"/>
      <x:c r="T311" s="99"/>
      <x:c r="U311" s="99"/>
      <x:c r="V311" s="99"/>
      <x:c r="W311" s="99"/>
      <x:c r="X311" s="99"/>
      <x:c r="Y311" s="99"/>
      <x:c r="Z311" s="99"/>
    </x:row>
    <x:row r="312">
      <x:c r="A312" s="99"/>
      <x:c r="B312" s="99"/>
      <x:c r="C312" s="99"/>
      <x:c r="D312" s="99"/>
      <x:c r="E312" s="99"/>
      <x:c r="F312" s="99"/>
      <x:c r="G312" s="99"/>
      <x:c r="H312" s="99"/>
      <x:c r="I312" s="99"/>
      <x:c r="J312" s="99"/>
      <x:c r="K312" s="99"/>
      <x:c r="L312" s="99"/>
      <x:c r="M312" s="99"/>
      <x:c r="N312" s="99"/>
      <x:c r="O312" s="99"/>
      <x:c r="P312" s="99"/>
      <x:c r="Q312" s="99"/>
      <x:c r="R312" s="99"/>
      <x:c r="S312" s="99"/>
      <x:c r="T312" s="99"/>
      <x:c r="U312" s="99"/>
      <x:c r="V312" s="99"/>
      <x:c r="W312" s="99"/>
      <x:c r="X312" s="99"/>
      <x:c r="Y312" s="99"/>
      <x:c r="Z312" s="99"/>
    </x:row>
    <x:row r="313">
      <x:c r="A313" s="99"/>
      <x:c r="B313" s="99"/>
      <x:c r="C313" s="99"/>
      <x:c r="D313" s="99"/>
      <x:c r="E313" s="99"/>
      <x:c r="F313" s="99"/>
      <x:c r="G313" s="99"/>
      <x:c r="H313" s="99"/>
      <x:c r="I313" s="99"/>
      <x:c r="J313" s="99"/>
      <x:c r="K313" s="99"/>
      <x:c r="L313" s="99"/>
      <x:c r="M313" s="99"/>
      <x:c r="N313" s="99"/>
      <x:c r="O313" s="99"/>
      <x:c r="P313" s="99"/>
      <x:c r="Q313" s="99"/>
      <x:c r="R313" s="99"/>
      <x:c r="S313" s="99"/>
      <x:c r="T313" s="99"/>
      <x:c r="U313" s="99"/>
      <x:c r="V313" s="99"/>
      <x:c r="W313" s="99"/>
      <x:c r="X313" s="99"/>
      <x:c r="Y313" s="99"/>
      <x:c r="Z313" s="99"/>
    </x:row>
    <x:row r="314">
      <x:c r="A314" s="99"/>
      <x:c r="B314" s="99"/>
      <x:c r="C314" s="99"/>
      <x:c r="D314" s="99"/>
      <x:c r="E314" s="99"/>
      <x:c r="F314" s="99"/>
      <x:c r="G314" s="99"/>
      <x:c r="H314" s="99"/>
      <x:c r="I314" s="99"/>
      <x:c r="J314" s="99"/>
      <x:c r="K314" s="99"/>
      <x:c r="L314" s="99"/>
      <x:c r="M314" s="99"/>
      <x:c r="N314" s="99"/>
      <x:c r="O314" s="99"/>
      <x:c r="P314" s="99"/>
      <x:c r="Q314" s="99"/>
      <x:c r="R314" s="99"/>
      <x:c r="S314" s="99"/>
      <x:c r="T314" s="99"/>
      <x:c r="U314" s="99"/>
      <x:c r="V314" s="99"/>
      <x:c r="W314" s="99"/>
      <x:c r="X314" s="99"/>
      <x:c r="Y314" s="99"/>
      <x:c r="Z314" s="99"/>
    </x:row>
    <x:row r="315">
      <x:c r="A315" s="99"/>
      <x:c r="B315" s="99"/>
      <x:c r="C315" s="99"/>
      <x:c r="D315" s="99"/>
      <x:c r="E315" s="99"/>
      <x:c r="F315" s="99"/>
      <x:c r="G315" s="99"/>
      <x:c r="H315" s="99"/>
      <x:c r="I315" s="99"/>
      <x:c r="J315" s="99"/>
      <x:c r="K315" s="99"/>
      <x:c r="L315" s="99"/>
      <x:c r="M315" s="99"/>
      <x:c r="N315" s="99"/>
      <x:c r="O315" s="99"/>
      <x:c r="P315" s="99"/>
      <x:c r="Q315" s="99"/>
      <x:c r="R315" s="99"/>
      <x:c r="S315" s="99"/>
      <x:c r="T315" s="99"/>
      <x:c r="U315" s="99"/>
      <x:c r="V315" s="99"/>
      <x:c r="W315" s="99"/>
      <x:c r="X315" s="99"/>
      <x:c r="Y315" s="99"/>
      <x:c r="Z315" s="99"/>
    </x:row>
    <x:row r="316">
      <x:c r="A316" s="99"/>
      <x:c r="B316" s="99"/>
      <x:c r="C316" s="99"/>
      <x:c r="D316" s="99"/>
      <x:c r="E316" s="99"/>
      <x:c r="F316" s="99"/>
      <x:c r="G316" s="99"/>
      <x:c r="H316" s="99"/>
      <x:c r="I316" s="99"/>
      <x:c r="J316" s="99"/>
      <x:c r="K316" s="99"/>
      <x:c r="L316" s="99"/>
      <x:c r="M316" s="99"/>
      <x:c r="N316" s="99"/>
      <x:c r="O316" s="99"/>
      <x:c r="P316" s="99"/>
      <x:c r="Q316" s="99"/>
      <x:c r="R316" s="99"/>
      <x:c r="S316" s="99"/>
      <x:c r="T316" s="99"/>
      <x:c r="U316" s="99"/>
      <x:c r="V316" s="99"/>
      <x:c r="W316" s="99"/>
      <x:c r="X316" s="99"/>
      <x:c r="Y316" s="99"/>
      <x:c r="Z316" s="99"/>
    </x:row>
    <x:row r="317">
      <x:c r="A317" s="99"/>
      <x:c r="B317" s="99"/>
      <x:c r="C317" s="99"/>
      <x:c r="D317" s="99"/>
      <x:c r="E317" s="99"/>
      <x:c r="F317" s="99"/>
      <x:c r="G317" s="99"/>
      <x:c r="H317" s="99"/>
      <x:c r="I317" s="99"/>
      <x:c r="J317" s="99"/>
      <x:c r="K317" s="99"/>
      <x:c r="L317" s="99"/>
      <x:c r="M317" s="99"/>
      <x:c r="N317" s="99"/>
      <x:c r="O317" s="99"/>
      <x:c r="P317" s="99"/>
      <x:c r="Q317" s="99"/>
      <x:c r="R317" s="99"/>
      <x:c r="S317" s="99"/>
      <x:c r="T317" s="99"/>
      <x:c r="U317" s="99"/>
      <x:c r="V317" s="99"/>
      <x:c r="W317" s="99"/>
      <x:c r="X317" s="99"/>
      <x:c r="Y317" s="99"/>
      <x:c r="Z317" s="99"/>
    </x:row>
    <x:row r="318">
      <x:c r="A318" s="99"/>
      <x:c r="B318" s="99"/>
      <x:c r="C318" s="99"/>
      <x:c r="D318" s="99"/>
      <x:c r="E318" s="99"/>
      <x:c r="F318" s="99"/>
      <x:c r="G318" s="99"/>
      <x:c r="H318" s="99"/>
      <x:c r="I318" s="99"/>
      <x:c r="J318" s="99"/>
      <x:c r="K318" s="99"/>
      <x:c r="L318" s="99"/>
      <x:c r="M318" s="99"/>
      <x:c r="N318" s="99"/>
      <x:c r="O318" s="99"/>
      <x:c r="P318" s="99"/>
      <x:c r="Q318" s="99"/>
      <x:c r="R318" s="99"/>
      <x:c r="S318" s="99"/>
      <x:c r="T318" s="99"/>
      <x:c r="U318" s="99"/>
      <x:c r="V318" s="99"/>
      <x:c r="W318" s="99"/>
      <x:c r="X318" s="99"/>
      <x:c r="Y318" s="99"/>
      <x:c r="Z318" s="99"/>
    </x:row>
    <x:row r="319">
      <x:c r="A319" s="99"/>
      <x:c r="B319" s="99"/>
      <x:c r="C319" s="99"/>
      <x:c r="D319" s="99"/>
      <x:c r="E319" s="99"/>
      <x:c r="F319" s="99"/>
      <x:c r="G319" s="99"/>
      <x:c r="H319" s="99"/>
      <x:c r="I319" s="99"/>
      <x:c r="J319" s="99"/>
      <x:c r="K319" s="99"/>
      <x:c r="L319" s="99"/>
      <x:c r="M319" s="99"/>
      <x:c r="N319" s="99"/>
      <x:c r="O319" s="99"/>
      <x:c r="P319" s="99"/>
      <x:c r="Q319" s="99"/>
      <x:c r="R319" s="99"/>
      <x:c r="S319" s="99"/>
      <x:c r="T319" s="99"/>
      <x:c r="U319" s="99"/>
      <x:c r="V319" s="99"/>
      <x:c r="W319" s="99"/>
      <x:c r="X319" s="99"/>
      <x:c r="Y319" s="99"/>
      <x:c r="Z319" s="99"/>
    </x:row>
    <x:row r="320">
      <x:c r="A320" s="99"/>
      <x:c r="B320" s="99"/>
      <x:c r="C320" s="99"/>
      <x:c r="D320" s="99"/>
      <x:c r="E320" s="99"/>
      <x:c r="F320" s="99"/>
      <x:c r="G320" s="99"/>
      <x:c r="H320" s="99"/>
      <x:c r="I320" s="99"/>
      <x:c r="J320" s="99"/>
      <x:c r="K320" s="99"/>
      <x:c r="L320" s="99"/>
      <x:c r="M320" s="99"/>
      <x:c r="N320" s="99"/>
      <x:c r="O320" s="99"/>
      <x:c r="P320" s="99"/>
      <x:c r="Q320" s="99"/>
      <x:c r="R320" s="99"/>
      <x:c r="S320" s="99"/>
      <x:c r="T320" s="99"/>
      <x:c r="U320" s="99"/>
      <x:c r="V320" s="99"/>
      <x:c r="W320" s="99"/>
      <x:c r="X320" s="99"/>
      <x:c r="Y320" s="99"/>
      <x:c r="Z320" s="99"/>
    </x:row>
    <x:row r="321">
      <x:c r="A321" s="99"/>
      <x:c r="B321" s="99"/>
      <x:c r="C321" s="99"/>
      <x:c r="D321" s="99"/>
      <x:c r="E321" s="99"/>
      <x:c r="F321" s="99"/>
      <x:c r="G321" s="99"/>
      <x:c r="H321" s="99"/>
      <x:c r="I321" s="99"/>
      <x:c r="J321" s="99"/>
      <x:c r="K321" s="99"/>
      <x:c r="L321" s="99"/>
      <x:c r="M321" s="99"/>
      <x:c r="N321" s="99"/>
      <x:c r="O321" s="99"/>
      <x:c r="P321" s="99"/>
      <x:c r="Q321" s="99"/>
      <x:c r="R321" s="99"/>
      <x:c r="S321" s="99"/>
      <x:c r="T321" s="99"/>
      <x:c r="U321" s="99"/>
      <x:c r="V321" s="99"/>
      <x:c r="W321" s="99"/>
      <x:c r="X321" s="99"/>
      <x:c r="Y321" s="99"/>
      <x:c r="Z321" s="99"/>
    </x:row>
    <x:row r="322">
      <x:c r="A322" s="99"/>
      <x:c r="B322" s="99"/>
      <x:c r="C322" s="99"/>
      <x:c r="D322" s="99"/>
      <x:c r="E322" s="99"/>
      <x:c r="F322" s="99"/>
      <x:c r="G322" s="99"/>
      <x:c r="H322" s="99"/>
      <x:c r="I322" s="99"/>
      <x:c r="J322" s="99"/>
      <x:c r="K322" s="99"/>
      <x:c r="L322" s="99"/>
      <x:c r="M322" s="99"/>
      <x:c r="N322" s="99"/>
      <x:c r="O322" s="99"/>
      <x:c r="P322" s="99"/>
      <x:c r="Q322" s="99"/>
      <x:c r="R322" s="99"/>
      <x:c r="S322" s="99"/>
      <x:c r="T322" s="99"/>
      <x:c r="U322" s="99"/>
      <x:c r="V322" s="99"/>
      <x:c r="W322" s="99"/>
      <x:c r="X322" s="99"/>
      <x:c r="Y322" s="99"/>
      <x:c r="Z322" s="99"/>
    </x:row>
    <x:row r="323">
      <x:c r="A323" s="99"/>
      <x:c r="B323" s="99"/>
      <x:c r="C323" s="99"/>
      <x:c r="D323" s="99"/>
      <x:c r="E323" s="99"/>
      <x:c r="F323" s="99"/>
      <x:c r="G323" s="99"/>
      <x:c r="H323" s="99"/>
      <x:c r="I323" s="99"/>
      <x:c r="J323" s="99"/>
      <x:c r="K323" s="99"/>
      <x:c r="L323" s="99"/>
      <x:c r="M323" s="99"/>
      <x:c r="N323" s="99"/>
      <x:c r="O323" s="99"/>
      <x:c r="P323" s="99"/>
      <x:c r="Q323" s="99"/>
      <x:c r="R323" s="99"/>
      <x:c r="S323" s="99"/>
      <x:c r="T323" s="99"/>
      <x:c r="U323" s="99"/>
      <x:c r="V323" s="99"/>
      <x:c r="W323" s="99"/>
      <x:c r="X323" s="99"/>
      <x:c r="Y323" s="99"/>
      <x:c r="Z323" s="99"/>
    </x:row>
    <x:row r="324">
      <x:c r="A324" s="99"/>
      <x:c r="B324" s="99"/>
      <x:c r="C324" s="99"/>
      <x:c r="D324" s="99"/>
      <x:c r="E324" s="99"/>
      <x:c r="F324" s="99"/>
      <x:c r="G324" s="99"/>
      <x:c r="H324" s="99"/>
      <x:c r="I324" s="99"/>
      <x:c r="J324" s="99"/>
      <x:c r="K324" s="99"/>
      <x:c r="L324" s="99"/>
      <x:c r="M324" s="99"/>
      <x:c r="N324" s="99"/>
      <x:c r="O324" s="99"/>
      <x:c r="P324" s="99"/>
      <x:c r="Q324" s="99"/>
      <x:c r="R324" s="99"/>
      <x:c r="S324" s="99"/>
      <x:c r="T324" s="99"/>
      <x:c r="U324" s="99"/>
      <x:c r="V324" s="99"/>
      <x:c r="W324" s="99"/>
      <x:c r="X324" s="99"/>
      <x:c r="Y324" s="99"/>
      <x:c r="Z324" s="99"/>
    </x:row>
    <x:row r="325">
      <x:c r="A325" s="99"/>
      <x:c r="B325" s="99"/>
      <x:c r="C325" s="99"/>
      <x:c r="D325" s="99"/>
      <x:c r="E325" s="99"/>
      <x:c r="F325" s="99"/>
      <x:c r="G325" s="99"/>
      <x:c r="H325" s="99"/>
      <x:c r="I325" s="99"/>
      <x:c r="J325" s="99"/>
      <x:c r="K325" s="99"/>
      <x:c r="L325" s="99"/>
      <x:c r="M325" s="99"/>
      <x:c r="N325" s="99"/>
      <x:c r="O325" s="99"/>
      <x:c r="P325" s="99"/>
      <x:c r="Q325" s="99"/>
      <x:c r="R325" s="99"/>
      <x:c r="S325" s="99"/>
      <x:c r="T325" s="99"/>
      <x:c r="U325" s="99"/>
      <x:c r="V325" s="99"/>
      <x:c r="W325" s="99"/>
      <x:c r="X325" s="99"/>
      <x:c r="Y325" s="99"/>
      <x:c r="Z325" s="99"/>
    </x:row>
    <x:row r="326">
      <x:c r="A326" s="99"/>
      <x:c r="B326" s="99"/>
      <x:c r="C326" s="99"/>
      <x:c r="D326" s="99"/>
      <x:c r="E326" s="99"/>
      <x:c r="F326" s="99"/>
      <x:c r="G326" s="99"/>
      <x:c r="H326" s="99"/>
      <x:c r="I326" s="99"/>
      <x:c r="J326" s="99"/>
      <x:c r="K326" s="99"/>
      <x:c r="L326" s="99"/>
      <x:c r="M326" s="99"/>
      <x:c r="N326" s="99"/>
      <x:c r="O326" s="99"/>
      <x:c r="P326" s="99"/>
      <x:c r="Q326" s="99"/>
      <x:c r="R326" s="99"/>
      <x:c r="S326" s="99"/>
      <x:c r="T326" s="99"/>
      <x:c r="U326" s="99"/>
      <x:c r="V326" s="99"/>
      <x:c r="W326" s="99"/>
      <x:c r="X326" s="99"/>
      <x:c r="Y326" s="99"/>
      <x:c r="Z326" s="99"/>
    </x:row>
    <x:row r="327">
      <x:c r="A327" s="99"/>
      <x:c r="B327" s="99"/>
      <x:c r="C327" s="99"/>
      <x:c r="D327" s="99"/>
      <x:c r="E327" s="99"/>
      <x:c r="F327" s="99"/>
      <x:c r="G327" s="99"/>
      <x:c r="H327" s="99"/>
      <x:c r="I327" s="99"/>
      <x:c r="J327" s="99"/>
      <x:c r="K327" s="99"/>
      <x:c r="L327" s="99"/>
      <x:c r="M327" s="99"/>
      <x:c r="N327" s="99"/>
      <x:c r="O327" s="99"/>
      <x:c r="P327" s="99"/>
      <x:c r="Q327" s="99"/>
      <x:c r="R327" s="99"/>
      <x:c r="S327" s="99"/>
      <x:c r="T327" s="99"/>
      <x:c r="U327" s="99"/>
      <x:c r="V327" s="99"/>
      <x:c r="W327" s="99"/>
      <x:c r="X327" s="99"/>
      <x:c r="Y327" s="99"/>
      <x:c r="Z327" s="99"/>
    </x:row>
    <x:row r="328">
      <x:c r="A328" s="99"/>
      <x:c r="B328" s="99"/>
      <x:c r="C328" s="99"/>
      <x:c r="D328" s="99"/>
      <x:c r="E328" s="99"/>
      <x:c r="F328" s="99"/>
      <x:c r="G328" s="99"/>
      <x:c r="H328" s="99"/>
      <x:c r="I328" s="99"/>
      <x:c r="J328" s="99"/>
      <x:c r="K328" s="99"/>
      <x:c r="L328" s="99"/>
      <x:c r="M328" s="99"/>
      <x:c r="N328" s="99"/>
      <x:c r="O328" s="99"/>
      <x:c r="P328" s="99"/>
      <x:c r="Q328" s="99"/>
      <x:c r="R328" s="99"/>
      <x:c r="S328" s="99"/>
      <x:c r="T328" s="99"/>
      <x:c r="U328" s="99"/>
      <x:c r="V328" s="99"/>
      <x:c r="W328" s="99"/>
      <x:c r="X328" s="99"/>
      <x:c r="Y328" s="99"/>
      <x:c r="Z328" s="99"/>
    </x:row>
    <x:row r="329">
      <x:c r="A329" s="99"/>
      <x:c r="B329" s="99"/>
      <x:c r="C329" s="99"/>
      <x:c r="D329" s="99"/>
      <x:c r="E329" s="99"/>
      <x:c r="F329" s="99"/>
      <x:c r="G329" s="99"/>
      <x:c r="H329" s="99"/>
      <x:c r="I329" s="99"/>
      <x:c r="J329" s="99"/>
      <x:c r="K329" s="99"/>
      <x:c r="L329" s="99"/>
      <x:c r="M329" s="99"/>
      <x:c r="N329" s="99"/>
      <x:c r="O329" s="99"/>
      <x:c r="P329" s="99"/>
      <x:c r="Q329" s="99"/>
      <x:c r="R329" s="99"/>
      <x:c r="S329" s="99"/>
      <x:c r="T329" s="99"/>
      <x:c r="U329" s="99"/>
      <x:c r="V329" s="99"/>
      <x:c r="W329" s="99"/>
      <x:c r="X329" s="99"/>
      <x:c r="Y329" s="99"/>
      <x:c r="Z329" s="99"/>
    </x:row>
    <x:row r="330">
      <x:c r="A330" s="99"/>
      <x:c r="B330" s="99"/>
      <x:c r="C330" s="99"/>
      <x:c r="D330" s="99"/>
      <x:c r="E330" s="99"/>
      <x:c r="F330" s="99"/>
      <x:c r="G330" s="99"/>
      <x:c r="H330" s="99"/>
      <x:c r="I330" s="99"/>
      <x:c r="J330" s="99"/>
      <x:c r="K330" s="99"/>
      <x:c r="L330" s="99"/>
      <x:c r="M330" s="99"/>
      <x:c r="N330" s="99"/>
      <x:c r="O330" s="99"/>
      <x:c r="P330" s="99"/>
      <x:c r="Q330" s="99"/>
      <x:c r="R330" s="99"/>
      <x:c r="S330" s="99"/>
      <x:c r="T330" s="99"/>
      <x:c r="U330" s="99"/>
      <x:c r="V330" s="99"/>
      <x:c r="W330" s="99"/>
      <x:c r="X330" s="99"/>
      <x:c r="Y330" s="99"/>
      <x:c r="Z330" s="99"/>
    </x:row>
    <x:row r="331">
      <x:c r="A331" s="99"/>
      <x:c r="B331" s="99"/>
      <x:c r="C331" s="99"/>
      <x:c r="D331" s="99"/>
      <x:c r="E331" s="99"/>
      <x:c r="F331" s="99"/>
      <x:c r="G331" s="99"/>
      <x:c r="H331" s="99"/>
      <x:c r="I331" s="99"/>
      <x:c r="J331" s="99"/>
      <x:c r="K331" s="99"/>
      <x:c r="L331" s="99"/>
      <x:c r="M331" s="99"/>
      <x:c r="N331" s="99"/>
      <x:c r="O331" s="99"/>
      <x:c r="P331" s="99"/>
      <x:c r="Q331" s="99"/>
      <x:c r="R331" s="99"/>
      <x:c r="S331" s="99"/>
      <x:c r="T331" s="99"/>
      <x:c r="U331" s="99"/>
      <x:c r="V331" s="99"/>
      <x:c r="W331" s="99"/>
      <x:c r="X331" s="99"/>
      <x:c r="Y331" s="99"/>
      <x:c r="Z331" s="99"/>
    </x:row>
    <x:row r="332">
      <x:c r="A332" s="99"/>
      <x:c r="B332" s="99"/>
      <x:c r="C332" s="99"/>
      <x:c r="D332" s="99"/>
      <x:c r="E332" s="99"/>
      <x:c r="F332" s="99"/>
      <x:c r="G332" s="99"/>
      <x:c r="H332" s="99"/>
      <x:c r="I332" s="99"/>
      <x:c r="J332" s="99"/>
      <x:c r="K332" s="99"/>
      <x:c r="L332" s="99"/>
      <x:c r="M332" s="99"/>
      <x:c r="N332" s="99"/>
      <x:c r="O332" s="99"/>
      <x:c r="P332" s="99"/>
      <x:c r="Q332" s="99"/>
      <x:c r="R332" s="99"/>
      <x:c r="S332" s="99"/>
      <x:c r="T332" s="99"/>
      <x:c r="U332" s="99"/>
      <x:c r="V332" s="99"/>
      <x:c r="W332" s="99"/>
      <x:c r="X332" s="99"/>
      <x:c r="Y332" s="99"/>
      <x:c r="Z332" s="99"/>
    </x:row>
    <x:row r="333">
      <x:c r="A333" s="99"/>
      <x:c r="B333" s="99"/>
      <x:c r="C333" s="99"/>
      <x:c r="D333" s="99"/>
      <x:c r="E333" s="99"/>
      <x:c r="F333" s="99"/>
      <x:c r="G333" s="99"/>
      <x:c r="H333" s="99"/>
      <x:c r="I333" s="99"/>
      <x:c r="J333" s="99"/>
      <x:c r="K333" s="99"/>
      <x:c r="L333" s="99"/>
      <x:c r="M333" s="99"/>
      <x:c r="N333" s="99"/>
      <x:c r="O333" s="99"/>
      <x:c r="P333" s="99"/>
      <x:c r="Q333" s="99"/>
      <x:c r="R333" s="99"/>
      <x:c r="S333" s="99"/>
      <x:c r="T333" s="99"/>
      <x:c r="U333" s="99"/>
      <x:c r="V333" s="99"/>
      <x:c r="W333" s="99"/>
      <x:c r="X333" s="99"/>
      <x:c r="Y333" s="99"/>
      <x:c r="Z333" s="99"/>
    </x:row>
    <x:row r="334">
      <x:c r="A334" s="99"/>
      <x:c r="B334" s="99"/>
      <x:c r="C334" s="99"/>
      <x:c r="D334" s="99"/>
      <x:c r="E334" s="99"/>
      <x:c r="F334" s="99"/>
      <x:c r="G334" s="99"/>
      <x:c r="H334" s="99"/>
      <x:c r="I334" s="99"/>
      <x:c r="J334" s="99"/>
      <x:c r="K334" s="99"/>
      <x:c r="L334" s="99"/>
      <x:c r="M334" s="99"/>
      <x:c r="N334" s="99"/>
      <x:c r="O334" s="99"/>
      <x:c r="P334" s="99"/>
      <x:c r="Q334" s="99"/>
      <x:c r="R334" s="99"/>
      <x:c r="S334" s="99"/>
      <x:c r="T334" s="99"/>
      <x:c r="U334" s="99"/>
      <x:c r="V334" s="99"/>
      <x:c r="W334" s="99"/>
      <x:c r="X334" s="99"/>
      <x:c r="Y334" s="99"/>
      <x:c r="Z334" s="99"/>
    </x:row>
    <x:row r="335">
      <x:c r="A335" s="99"/>
      <x:c r="B335" s="99"/>
      <x:c r="C335" s="99"/>
      <x:c r="D335" s="99"/>
      <x:c r="E335" s="99"/>
      <x:c r="F335" s="99"/>
      <x:c r="G335" s="99"/>
      <x:c r="H335" s="99"/>
      <x:c r="I335" s="99"/>
      <x:c r="J335" s="99"/>
      <x:c r="K335" s="99"/>
      <x:c r="L335" s="99"/>
      <x:c r="M335" s="99"/>
      <x:c r="N335" s="99"/>
      <x:c r="O335" s="99"/>
      <x:c r="P335" s="99"/>
      <x:c r="Q335" s="99"/>
      <x:c r="R335" s="99"/>
      <x:c r="S335" s="99"/>
      <x:c r="T335" s="99"/>
      <x:c r="U335" s="99"/>
      <x:c r="V335" s="99"/>
      <x:c r="W335" s="99"/>
      <x:c r="X335" s="99"/>
      <x:c r="Y335" s="99"/>
      <x:c r="Z335" s="99"/>
    </x:row>
    <x:row r="336">
      <x:c r="A336" s="99"/>
      <x:c r="B336" s="99"/>
      <x:c r="C336" s="99"/>
      <x:c r="D336" s="99"/>
      <x:c r="E336" s="99"/>
      <x:c r="F336" s="99"/>
      <x:c r="G336" s="99"/>
      <x:c r="H336" s="99"/>
      <x:c r="I336" s="99"/>
      <x:c r="J336" s="99"/>
      <x:c r="K336" s="99"/>
      <x:c r="L336" s="99"/>
      <x:c r="M336" s="99"/>
      <x:c r="N336" s="99"/>
      <x:c r="O336" s="99"/>
      <x:c r="P336" s="99"/>
      <x:c r="Q336" s="99"/>
      <x:c r="R336" s="99"/>
      <x:c r="S336" s="99"/>
      <x:c r="T336" s="99"/>
      <x:c r="U336" s="99"/>
      <x:c r="V336" s="99"/>
      <x:c r="W336" s="99"/>
      <x:c r="X336" s="99"/>
      <x:c r="Y336" s="99"/>
      <x:c r="Z336" s="99"/>
    </x:row>
    <x:row r="337">
      <x:c r="A337" s="99"/>
      <x:c r="B337" s="99"/>
      <x:c r="C337" s="99"/>
      <x:c r="D337" s="99"/>
      <x:c r="E337" s="99"/>
      <x:c r="F337" s="99"/>
      <x:c r="G337" s="99"/>
      <x:c r="H337" s="99"/>
      <x:c r="I337" s="99"/>
      <x:c r="J337" s="99"/>
      <x:c r="K337" s="99"/>
      <x:c r="L337" s="99"/>
      <x:c r="M337" s="99"/>
      <x:c r="N337" s="99"/>
      <x:c r="O337" s="99"/>
      <x:c r="P337" s="99"/>
      <x:c r="Q337" s="99"/>
      <x:c r="R337" s="99"/>
      <x:c r="S337" s="99"/>
      <x:c r="T337" s="99"/>
      <x:c r="U337" s="99"/>
      <x:c r="V337" s="99"/>
      <x:c r="W337" s="99"/>
      <x:c r="X337" s="99"/>
      <x:c r="Y337" s="99"/>
      <x:c r="Z337" s="99"/>
    </x:row>
    <x:row r="338">
      <x:c r="A338" s="99"/>
      <x:c r="B338" s="99"/>
      <x:c r="C338" s="99"/>
      <x:c r="D338" s="99"/>
      <x:c r="E338" s="99"/>
      <x:c r="F338" s="99"/>
      <x:c r="G338" s="99"/>
      <x:c r="H338" s="99"/>
      <x:c r="I338" s="99"/>
      <x:c r="J338" s="99"/>
      <x:c r="K338" s="99"/>
      <x:c r="L338" s="99"/>
      <x:c r="M338" s="99"/>
      <x:c r="N338" s="99"/>
      <x:c r="O338" s="99"/>
      <x:c r="P338" s="99"/>
      <x:c r="Q338" s="99"/>
      <x:c r="R338" s="99"/>
      <x:c r="S338" s="99"/>
      <x:c r="T338" s="99"/>
      <x:c r="U338" s="99"/>
      <x:c r="V338" s="99"/>
      <x:c r="W338" s="99"/>
      <x:c r="X338" s="99"/>
      <x:c r="Y338" s="99"/>
      <x:c r="Z338" s="99"/>
    </x:row>
    <x:row r="339">
      <x:c r="A339" s="99"/>
      <x:c r="B339" s="99"/>
      <x:c r="C339" s="99"/>
      <x:c r="D339" s="99"/>
      <x:c r="E339" s="99"/>
      <x:c r="F339" s="99"/>
      <x:c r="G339" s="99"/>
      <x:c r="H339" s="99"/>
      <x:c r="I339" s="99"/>
      <x:c r="J339" s="99"/>
      <x:c r="K339" s="99"/>
      <x:c r="L339" s="99"/>
      <x:c r="M339" s="99"/>
      <x:c r="N339" s="99"/>
      <x:c r="O339" s="99"/>
      <x:c r="P339" s="99"/>
      <x:c r="Q339" s="99"/>
      <x:c r="R339" s="99"/>
      <x:c r="S339" s="99"/>
      <x:c r="T339" s="99"/>
      <x:c r="U339" s="99"/>
      <x:c r="V339" s="99"/>
      <x:c r="W339" s="99"/>
      <x:c r="X339" s="99"/>
      <x:c r="Y339" s="99"/>
      <x:c r="Z339" s="99"/>
    </x:row>
    <x:row r="340">
      <x:c r="A340" s="99"/>
      <x:c r="B340" s="99"/>
      <x:c r="C340" s="99"/>
      <x:c r="D340" s="99"/>
      <x:c r="E340" s="99"/>
      <x:c r="F340" s="99"/>
      <x:c r="G340" s="99"/>
      <x:c r="H340" s="99"/>
      <x:c r="I340" s="99"/>
      <x:c r="J340" s="99"/>
      <x:c r="K340" s="99"/>
      <x:c r="L340" s="99"/>
      <x:c r="M340" s="99"/>
      <x:c r="N340" s="99"/>
      <x:c r="O340" s="99"/>
      <x:c r="P340" s="99"/>
      <x:c r="Q340" s="99"/>
      <x:c r="R340" s="99"/>
      <x:c r="S340" s="99"/>
      <x:c r="T340" s="99"/>
      <x:c r="U340" s="99"/>
      <x:c r="V340" s="99"/>
      <x:c r="W340" s="99"/>
      <x:c r="X340" s="99"/>
      <x:c r="Y340" s="99"/>
      <x:c r="Z340" s="99"/>
    </x:row>
    <x:row r="341">
      <x:c r="A341" s="99"/>
      <x:c r="B341" s="99"/>
      <x:c r="C341" s="99"/>
      <x:c r="D341" s="99"/>
      <x:c r="E341" s="99"/>
      <x:c r="F341" s="99"/>
      <x:c r="G341" s="99"/>
      <x:c r="H341" s="99"/>
      <x:c r="I341" s="99"/>
      <x:c r="J341" s="99"/>
      <x:c r="K341" s="99"/>
      <x:c r="L341" s="99"/>
      <x:c r="M341" s="99"/>
      <x:c r="N341" s="99"/>
      <x:c r="O341" s="99"/>
      <x:c r="P341" s="99"/>
      <x:c r="Q341" s="99"/>
      <x:c r="R341" s="99"/>
      <x:c r="S341" s="99"/>
      <x:c r="T341" s="99"/>
      <x:c r="U341" s="99"/>
      <x:c r="V341" s="99"/>
      <x:c r="W341" s="99"/>
      <x:c r="X341" s="99"/>
      <x:c r="Y341" s="99"/>
      <x:c r="Z341" s="99"/>
    </x:row>
    <x:row r="342">
      <x:c r="A342" s="99"/>
      <x:c r="B342" s="99"/>
      <x:c r="C342" s="99"/>
      <x:c r="D342" s="99"/>
      <x:c r="E342" s="99"/>
      <x:c r="F342" s="99"/>
      <x:c r="G342" s="99"/>
      <x:c r="H342" s="99"/>
      <x:c r="I342" s="99"/>
      <x:c r="J342" s="99"/>
      <x:c r="K342" s="99"/>
      <x:c r="L342" s="99"/>
      <x:c r="M342" s="99"/>
      <x:c r="N342" s="99"/>
      <x:c r="O342" s="99"/>
      <x:c r="P342" s="99"/>
      <x:c r="Q342" s="99"/>
      <x:c r="R342" s="99"/>
      <x:c r="S342" s="99"/>
      <x:c r="T342" s="99"/>
      <x:c r="U342" s="99"/>
      <x:c r="V342" s="99"/>
      <x:c r="W342" s="99"/>
      <x:c r="X342" s="99"/>
      <x:c r="Y342" s="99"/>
      <x:c r="Z342" s="99"/>
    </x:row>
    <x:row r="343">
      <x:c r="A343" s="99"/>
      <x:c r="B343" s="99"/>
      <x:c r="C343" s="99"/>
      <x:c r="D343" s="99"/>
      <x:c r="E343" s="99"/>
      <x:c r="F343" s="99"/>
      <x:c r="G343" s="99"/>
      <x:c r="H343" s="99"/>
      <x:c r="I343" s="99"/>
      <x:c r="J343" s="99"/>
      <x:c r="K343" s="99"/>
      <x:c r="L343" s="99"/>
      <x:c r="M343" s="99"/>
      <x:c r="N343" s="99"/>
      <x:c r="O343" s="99"/>
      <x:c r="P343" s="99"/>
      <x:c r="Q343" s="99"/>
      <x:c r="R343" s="99"/>
      <x:c r="S343" s="99"/>
      <x:c r="T343" s="99"/>
      <x:c r="U343" s="99"/>
      <x:c r="V343" s="99"/>
      <x:c r="W343" s="99"/>
      <x:c r="X343" s="99"/>
      <x:c r="Y343" s="99"/>
      <x:c r="Z343" s="99"/>
    </x:row>
    <x:row r="344">
      <x:c r="A344" s="99"/>
      <x:c r="B344" s="99"/>
      <x:c r="C344" s="99"/>
      <x:c r="D344" s="99"/>
      <x:c r="E344" s="99"/>
      <x:c r="F344" s="99"/>
      <x:c r="G344" s="99"/>
      <x:c r="H344" s="99"/>
      <x:c r="I344" s="99"/>
      <x:c r="J344" s="99"/>
      <x:c r="K344" s="99"/>
      <x:c r="L344" s="99"/>
      <x:c r="M344" s="99"/>
      <x:c r="N344" s="99"/>
      <x:c r="O344" s="99"/>
      <x:c r="P344" s="99"/>
      <x:c r="Q344" s="99"/>
      <x:c r="R344" s="99"/>
      <x:c r="S344" s="99"/>
      <x:c r="T344" s="99"/>
      <x:c r="U344" s="99"/>
      <x:c r="V344" s="99"/>
      <x:c r="W344" s="99"/>
      <x:c r="X344" s="99"/>
      <x:c r="Y344" s="99"/>
      <x:c r="Z344" s="99"/>
    </x:row>
    <x:row r="345">
      <x:c r="A345" s="99"/>
      <x:c r="B345" s="99"/>
      <x:c r="C345" s="99"/>
      <x:c r="D345" s="99"/>
      <x:c r="E345" s="99"/>
      <x:c r="F345" s="99"/>
      <x:c r="G345" s="99"/>
      <x:c r="H345" s="99"/>
      <x:c r="I345" s="99"/>
      <x:c r="J345" s="99"/>
      <x:c r="K345" s="99"/>
      <x:c r="L345" s="99"/>
      <x:c r="M345" s="99"/>
      <x:c r="N345" s="99"/>
      <x:c r="O345" s="99"/>
      <x:c r="P345" s="99"/>
      <x:c r="Q345" s="99"/>
      <x:c r="R345" s="99"/>
      <x:c r="S345" s="99"/>
      <x:c r="T345" s="99"/>
      <x:c r="U345" s="99"/>
      <x:c r="V345" s="99"/>
      <x:c r="W345" s="99"/>
      <x:c r="X345" s="99"/>
      <x:c r="Y345" s="99"/>
      <x:c r="Z345" s="99"/>
    </x:row>
    <x:row r="346">
      <x:c r="A346" s="99"/>
      <x:c r="B346" s="99"/>
      <x:c r="C346" s="99"/>
      <x:c r="D346" s="99"/>
      <x:c r="E346" s="99"/>
      <x:c r="F346" s="99"/>
      <x:c r="G346" s="99"/>
      <x:c r="H346" s="99"/>
      <x:c r="I346" s="99"/>
      <x:c r="J346" s="99"/>
      <x:c r="K346" s="99"/>
      <x:c r="L346" s="99"/>
      <x:c r="M346" s="99"/>
      <x:c r="N346" s="99"/>
      <x:c r="O346" s="99"/>
      <x:c r="P346" s="99"/>
      <x:c r="Q346" s="99"/>
      <x:c r="R346" s="99"/>
      <x:c r="S346" s="99"/>
      <x:c r="T346" s="99"/>
      <x:c r="U346" s="99"/>
      <x:c r="V346" s="99"/>
      <x:c r="W346" s="99"/>
      <x:c r="X346" s="99"/>
      <x:c r="Y346" s="99"/>
      <x:c r="Z346" s="99"/>
    </x:row>
    <x:row r="347">
      <x:c r="A347" s="99"/>
      <x:c r="B347" s="99"/>
      <x:c r="C347" s="99"/>
      <x:c r="D347" s="99"/>
      <x:c r="E347" s="99"/>
      <x:c r="F347" s="99"/>
      <x:c r="G347" s="99"/>
      <x:c r="H347" s="99"/>
      <x:c r="I347" s="99"/>
      <x:c r="J347" s="99"/>
      <x:c r="K347" s="99"/>
      <x:c r="L347" s="99"/>
      <x:c r="M347" s="99"/>
      <x:c r="N347" s="99"/>
      <x:c r="O347" s="99"/>
      <x:c r="P347" s="99"/>
      <x:c r="Q347" s="99"/>
      <x:c r="R347" s="99"/>
      <x:c r="S347" s="99"/>
      <x:c r="T347" s="99"/>
      <x:c r="U347" s="99"/>
      <x:c r="V347" s="99"/>
      <x:c r="W347" s="99"/>
      <x:c r="X347" s="99"/>
      <x:c r="Y347" s="99"/>
      <x:c r="Z347" s="99"/>
    </x:row>
    <x:row r="348">
      <x:c r="A348" s="99"/>
      <x:c r="B348" s="99"/>
      <x:c r="C348" s="99"/>
      <x:c r="D348" s="99"/>
      <x:c r="E348" s="99"/>
      <x:c r="F348" s="99"/>
      <x:c r="G348" s="99"/>
      <x:c r="H348" s="99"/>
      <x:c r="I348" s="99"/>
      <x:c r="J348" s="99"/>
      <x:c r="K348" s="99"/>
      <x:c r="L348" s="99"/>
      <x:c r="M348" s="99"/>
      <x:c r="N348" s="99"/>
      <x:c r="O348" s="99"/>
      <x:c r="P348" s="99"/>
      <x:c r="Q348" s="99"/>
      <x:c r="R348" s="99"/>
      <x:c r="S348" s="99"/>
      <x:c r="T348" s="99"/>
      <x:c r="U348" s="99"/>
      <x:c r="V348" s="99"/>
      <x:c r="W348" s="99"/>
      <x:c r="X348" s="99"/>
      <x:c r="Y348" s="99"/>
      <x:c r="Z348" s="99"/>
    </x:row>
    <x:row r="349">
      <x:c r="A349" s="99"/>
      <x:c r="B349" s="99"/>
      <x:c r="C349" s="99"/>
      <x:c r="D349" s="99"/>
      <x:c r="E349" s="99"/>
      <x:c r="F349" s="99"/>
      <x:c r="G349" s="99"/>
      <x:c r="H349" s="99"/>
      <x:c r="I349" s="99"/>
      <x:c r="J349" s="99"/>
      <x:c r="K349" s="99"/>
      <x:c r="L349" s="99"/>
      <x:c r="M349" s="99"/>
      <x:c r="N349" s="99"/>
      <x:c r="O349" s="99"/>
      <x:c r="P349" s="99"/>
      <x:c r="Q349" s="99"/>
      <x:c r="R349" s="99"/>
      <x:c r="S349" s="99"/>
      <x:c r="T349" s="99"/>
      <x:c r="U349" s="99"/>
      <x:c r="V349" s="99"/>
      <x:c r="W349" s="99"/>
      <x:c r="X349" s="99"/>
      <x:c r="Y349" s="99"/>
      <x:c r="Z349" s="99"/>
    </x:row>
    <x:row r="350">
      <x:c r="A350" s="99"/>
      <x:c r="B350" s="99"/>
      <x:c r="C350" s="99"/>
      <x:c r="D350" s="99"/>
      <x:c r="E350" s="99"/>
      <x:c r="F350" s="99"/>
      <x:c r="G350" s="99"/>
      <x:c r="H350" s="99"/>
      <x:c r="I350" s="99"/>
      <x:c r="J350" s="99"/>
      <x:c r="K350" s="99"/>
      <x:c r="L350" s="99"/>
      <x:c r="M350" s="99"/>
      <x:c r="N350" s="99"/>
      <x:c r="O350" s="99"/>
      <x:c r="P350" s="99"/>
      <x:c r="Q350" s="99"/>
      <x:c r="R350" s="99"/>
      <x:c r="S350" s="99"/>
      <x:c r="T350" s="99"/>
      <x:c r="U350" s="99"/>
      <x:c r="V350" s="99"/>
      <x:c r="W350" s="99"/>
      <x:c r="X350" s="99"/>
      <x:c r="Y350" s="99"/>
      <x:c r="Z350" s="99"/>
    </x:row>
    <x:row r="351">
      <x:c r="A351" s="99"/>
      <x:c r="B351" s="99"/>
      <x:c r="C351" s="99"/>
      <x:c r="D351" s="99"/>
      <x:c r="E351" s="99"/>
      <x:c r="F351" s="99"/>
      <x:c r="G351" s="99"/>
      <x:c r="H351" s="99"/>
      <x:c r="I351" s="99"/>
      <x:c r="J351" s="99"/>
      <x:c r="K351" s="99"/>
      <x:c r="L351" s="99"/>
      <x:c r="M351" s="99"/>
      <x:c r="N351" s="99"/>
      <x:c r="O351" s="99"/>
      <x:c r="P351" s="99"/>
      <x:c r="Q351" s="99"/>
      <x:c r="R351" s="99"/>
      <x:c r="S351" s="99"/>
      <x:c r="T351" s="99"/>
      <x:c r="U351" s="99"/>
      <x:c r="V351" s="99"/>
      <x:c r="W351" s="99"/>
      <x:c r="X351" s="99"/>
      <x:c r="Y351" s="99"/>
      <x:c r="Z351" s="99"/>
    </x:row>
    <x:row r="352">
      <x:c r="A352" s="99"/>
      <x:c r="B352" s="99"/>
      <x:c r="C352" s="99"/>
      <x:c r="D352" s="99"/>
      <x:c r="E352" s="99"/>
      <x:c r="F352" s="99"/>
      <x:c r="G352" s="99"/>
      <x:c r="H352" s="99"/>
      <x:c r="I352" s="99"/>
      <x:c r="J352" s="99"/>
      <x:c r="K352" s="99"/>
      <x:c r="L352" s="99"/>
      <x:c r="M352" s="99"/>
      <x:c r="N352" s="99"/>
      <x:c r="O352" s="99"/>
      <x:c r="P352" s="99"/>
      <x:c r="Q352" s="99"/>
      <x:c r="R352" s="99"/>
      <x:c r="S352" s="99"/>
      <x:c r="T352" s="99"/>
      <x:c r="U352" s="99"/>
      <x:c r="V352" s="99"/>
      <x:c r="W352" s="99"/>
      <x:c r="X352" s="99"/>
      <x:c r="Y352" s="99"/>
      <x:c r="Z352" s="99"/>
    </x:row>
    <x:row r="353">
      <x:c r="A353" s="99"/>
      <x:c r="B353" s="99"/>
      <x:c r="C353" s="99"/>
      <x:c r="D353" s="99"/>
      <x:c r="E353" s="99"/>
      <x:c r="F353" s="99"/>
      <x:c r="G353" s="99"/>
      <x:c r="H353" s="99"/>
      <x:c r="I353" s="99"/>
      <x:c r="J353" s="99"/>
      <x:c r="K353" s="99"/>
      <x:c r="L353" s="99"/>
      <x:c r="M353" s="99"/>
      <x:c r="N353" s="99"/>
      <x:c r="O353" s="99"/>
      <x:c r="P353" s="99"/>
      <x:c r="Q353" s="99"/>
      <x:c r="R353" s="99"/>
      <x:c r="S353" s="99"/>
      <x:c r="T353" s="99"/>
      <x:c r="U353" s="99"/>
      <x:c r="V353" s="99"/>
      <x:c r="W353" s="99"/>
      <x:c r="X353" s="99"/>
      <x:c r="Y353" s="99"/>
      <x:c r="Z353" s="99"/>
    </x:row>
    <x:row r="354">
      <x:c r="A354" s="99"/>
      <x:c r="B354" s="99"/>
      <x:c r="C354" s="99"/>
      <x:c r="D354" s="99"/>
      <x:c r="E354" s="99"/>
      <x:c r="F354" s="99"/>
      <x:c r="G354" s="99"/>
      <x:c r="H354" s="99"/>
      <x:c r="I354" s="99"/>
      <x:c r="J354" s="99"/>
      <x:c r="K354" s="99"/>
      <x:c r="L354" s="99"/>
      <x:c r="M354" s="99"/>
      <x:c r="N354" s="99"/>
      <x:c r="O354" s="99"/>
      <x:c r="P354" s="99"/>
      <x:c r="Q354" s="99"/>
      <x:c r="R354" s="99"/>
      <x:c r="S354" s="99"/>
      <x:c r="T354" s="99"/>
      <x:c r="U354" s="99"/>
      <x:c r="V354" s="99"/>
      <x:c r="W354" s="99"/>
      <x:c r="X354" s="99"/>
      <x:c r="Y354" s="99"/>
      <x:c r="Z354" s="99"/>
    </x:row>
    <x:row r="355">
      <x:c r="A355" s="99"/>
      <x:c r="B355" s="99"/>
      <x:c r="C355" s="99"/>
      <x:c r="D355" s="99"/>
      <x:c r="E355" s="99"/>
      <x:c r="F355" s="99"/>
      <x:c r="G355" s="99"/>
      <x:c r="H355" s="99"/>
      <x:c r="I355" s="99"/>
      <x:c r="J355" s="99"/>
      <x:c r="K355" s="99"/>
      <x:c r="L355" s="99"/>
      <x:c r="M355" s="99"/>
      <x:c r="N355" s="99"/>
      <x:c r="O355" s="99"/>
      <x:c r="P355" s="99"/>
      <x:c r="Q355" s="99"/>
      <x:c r="R355" s="99"/>
      <x:c r="S355" s="99"/>
      <x:c r="T355" s="99"/>
      <x:c r="U355" s="99"/>
      <x:c r="V355" s="99"/>
      <x:c r="W355" s="99"/>
      <x:c r="X355" s="99"/>
      <x:c r="Y355" s="99"/>
      <x:c r="Z355" s="99"/>
    </x:row>
    <x:row r="356">
      <x:c r="A356" s="99"/>
      <x:c r="B356" s="99"/>
      <x:c r="C356" s="99"/>
      <x:c r="D356" s="99"/>
      <x:c r="E356" s="99"/>
      <x:c r="F356" s="99"/>
      <x:c r="G356" s="99"/>
      <x:c r="H356" s="99"/>
      <x:c r="I356" s="99"/>
      <x:c r="J356" s="99"/>
      <x:c r="K356" s="99"/>
      <x:c r="L356" s="99"/>
      <x:c r="M356" s="99"/>
      <x:c r="N356" s="99"/>
      <x:c r="O356" s="99"/>
      <x:c r="P356" s="99"/>
      <x:c r="Q356" s="99"/>
      <x:c r="R356" s="99"/>
      <x:c r="S356" s="99"/>
      <x:c r="T356" s="99"/>
      <x:c r="U356" s="99"/>
      <x:c r="V356" s="99"/>
      <x:c r="W356" s="99"/>
      <x:c r="X356" s="99"/>
      <x:c r="Y356" s="99"/>
      <x:c r="Z356" s="99"/>
    </x:row>
    <x:row r="357">
      <x:c r="A357" s="99"/>
      <x:c r="B357" s="99"/>
      <x:c r="C357" s="99"/>
      <x:c r="D357" s="99"/>
      <x:c r="E357" s="99"/>
      <x:c r="F357" s="99"/>
      <x:c r="G357" s="99"/>
      <x:c r="H357" s="99"/>
      <x:c r="I357" s="99"/>
      <x:c r="J357" s="99"/>
      <x:c r="K357" s="99"/>
      <x:c r="L357" s="99"/>
      <x:c r="M357" s="99"/>
      <x:c r="N357" s="99"/>
      <x:c r="O357" s="99"/>
      <x:c r="P357" s="99"/>
      <x:c r="Q357" s="99"/>
      <x:c r="R357" s="99"/>
      <x:c r="S357" s="99"/>
      <x:c r="T357" s="99"/>
      <x:c r="U357" s="99"/>
      <x:c r="V357" s="99"/>
      <x:c r="W357" s="99"/>
      <x:c r="X357" s="99"/>
      <x:c r="Y357" s="99"/>
      <x:c r="Z357" s="99"/>
    </x:row>
    <x:row r="358">
      <x:c r="A358" s="99"/>
      <x:c r="B358" s="99"/>
      <x:c r="C358" s="99"/>
      <x:c r="D358" s="99"/>
      <x:c r="E358" s="99"/>
      <x:c r="F358" s="99"/>
      <x:c r="G358" s="99"/>
      <x:c r="H358" s="99"/>
      <x:c r="I358" s="99"/>
      <x:c r="J358" s="99"/>
      <x:c r="K358" s="99"/>
      <x:c r="L358" s="99"/>
      <x:c r="M358" s="99"/>
      <x:c r="N358" s="99"/>
      <x:c r="O358" s="99"/>
      <x:c r="P358" s="99"/>
      <x:c r="Q358" s="99"/>
      <x:c r="R358" s="99"/>
      <x:c r="S358" s="99"/>
      <x:c r="T358" s="99"/>
      <x:c r="U358" s="99"/>
      <x:c r="V358" s="99"/>
      <x:c r="W358" s="99"/>
      <x:c r="X358" s="99"/>
      <x:c r="Y358" s="99"/>
      <x:c r="Z358" s="99"/>
    </x:row>
    <x:row r="359">
      <x:c r="A359" s="99"/>
      <x:c r="B359" s="99"/>
      <x:c r="C359" s="99"/>
      <x:c r="D359" s="99"/>
      <x:c r="E359" s="99"/>
      <x:c r="F359" s="99"/>
      <x:c r="G359" s="99"/>
      <x:c r="H359" s="99"/>
      <x:c r="I359" s="99"/>
      <x:c r="J359" s="99"/>
      <x:c r="K359" s="99"/>
      <x:c r="L359" s="99"/>
      <x:c r="M359" s="99"/>
      <x:c r="N359" s="99"/>
      <x:c r="O359" s="99"/>
      <x:c r="P359" s="99"/>
      <x:c r="Q359" s="99"/>
      <x:c r="R359" s="99"/>
      <x:c r="S359" s="99"/>
      <x:c r="T359" s="99"/>
      <x:c r="U359" s="99"/>
      <x:c r="V359" s="99"/>
      <x:c r="W359" s="99"/>
      <x:c r="X359" s="99"/>
      <x:c r="Y359" s="99"/>
      <x:c r="Z359" s="99"/>
    </x:row>
    <x:row r="360">
      <x:c r="A360" s="99"/>
      <x:c r="B360" s="99"/>
      <x:c r="C360" s="99"/>
      <x:c r="D360" s="99"/>
      <x:c r="E360" s="99"/>
      <x:c r="F360" s="99"/>
      <x:c r="G360" s="99"/>
      <x:c r="H360" s="99"/>
      <x:c r="I360" s="99"/>
      <x:c r="J360" s="99"/>
      <x:c r="K360" s="99"/>
      <x:c r="L360" s="99"/>
      <x:c r="M360" s="99"/>
      <x:c r="N360" s="99"/>
      <x:c r="O360" s="99"/>
      <x:c r="P360" s="99"/>
      <x:c r="Q360" s="99"/>
      <x:c r="R360" s="99"/>
      <x:c r="S360" s="99"/>
      <x:c r="T360" s="99"/>
      <x:c r="U360" s="99"/>
      <x:c r="V360" s="99"/>
      <x:c r="W360" s="99"/>
      <x:c r="X360" s="99"/>
      <x:c r="Y360" s="99"/>
      <x:c r="Z360" s="99"/>
    </x:row>
    <x:row r="361">
      <x:c r="A361" s="99"/>
      <x:c r="B361" s="99"/>
      <x:c r="C361" s="99"/>
      <x:c r="D361" s="99"/>
      <x:c r="E361" s="99"/>
      <x:c r="F361" s="99"/>
      <x:c r="G361" s="99"/>
      <x:c r="H361" s="99"/>
      <x:c r="I361" s="99"/>
      <x:c r="J361" s="99"/>
      <x:c r="K361" s="99"/>
      <x:c r="L361" s="99"/>
      <x:c r="M361" s="99"/>
      <x:c r="N361" s="99"/>
      <x:c r="O361" s="99"/>
      <x:c r="P361" s="99"/>
      <x:c r="Q361" s="99"/>
      <x:c r="R361" s="99"/>
      <x:c r="S361" s="99"/>
      <x:c r="T361" s="99"/>
      <x:c r="U361" s="99"/>
      <x:c r="V361" s="99"/>
      <x:c r="W361" s="99"/>
      <x:c r="X361" s="99"/>
      <x:c r="Y361" s="99"/>
      <x:c r="Z361" s="99"/>
    </x:row>
    <x:row r="362">
      <x:c r="A362" s="99"/>
      <x:c r="B362" s="99"/>
      <x:c r="C362" s="99"/>
      <x:c r="D362" s="99"/>
      <x:c r="E362" s="99"/>
      <x:c r="F362" s="99"/>
      <x:c r="G362" s="99"/>
      <x:c r="H362" s="99"/>
      <x:c r="I362" s="99"/>
      <x:c r="J362" s="99"/>
      <x:c r="K362" s="99"/>
      <x:c r="L362" s="99"/>
      <x:c r="M362" s="99"/>
      <x:c r="N362" s="99"/>
      <x:c r="O362" s="99"/>
      <x:c r="P362" s="99"/>
      <x:c r="Q362" s="99"/>
      <x:c r="R362" s="99"/>
      <x:c r="S362" s="99"/>
      <x:c r="T362" s="99"/>
      <x:c r="U362" s="99"/>
      <x:c r="V362" s="99"/>
      <x:c r="W362" s="99"/>
      <x:c r="X362" s="99"/>
      <x:c r="Y362" s="99"/>
      <x:c r="Z362" s="99"/>
    </x:row>
    <x:row r="363">
      <x:c r="A363" s="99"/>
      <x:c r="B363" s="99"/>
      <x:c r="C363" s="99"/>
      <x:c r="D363" s="99"/>
      <x:c r="E363" s="99"/>
      <x:c r="F363" s="99"/>
      <x:c r="G363" s="99"/>
      <x:c r="H363" s="99"/>
      <x:c r="I363" s="99"/>
      <x:c r="J363" s="99"/>
      <x:c r="K363" s="99"/>
      <x:c r="L363" s="99"/>
      <x:c r="M363" s="99"/>
      <x:c r="N363" s="99"/>
      <x:c r="O363" s="99"/>
      <x:c r="P363" s="99"/>
      <x:c r="Q363" s="99"/>
      <x:c r="R363" s="99"/>
      <x:c r="S363" s="99"/>
      <x:c r="T363" s="99"/>
      <x:c r="U363" s="99"/>
      <x:c r="V363" s="99"/>
      <x:c r="W363" s="99"/>
      <x:c r="X363" s="99"/>
      <x:c r="Y363" s="99"/>
      <x:c r="Z363" s="99"/>
    </x:row>
    <x:row r="364">
      <x:c r="A364" s="99"/>
      <x:c r="B364" s="99"/>
      <x:c r="C364" s="99"/>
      <x:c r="D364" s="99"/>
      <x:c r="E364" s="99"/>
      <x:c r="F364" s="99"/>
      <x:c r="G364" s="99"/>
      <x:c r="H364" s="99"/>
      <x:c r="I364" s="99"/>
      <x:c r="J364" s="99"/>
      <x:c r="K364" s="99"/>
      <x:c r="L364" s="99"/>
      <x:c r="M364" s="99"/>
      <x:c r="N364" s="99"/>
      <x:c r="O364" s="99"/>
      <x:c r="P364" s="99"/>
      <x:c r="Q364" s="99"/>
      <x:c r="R364" s="99"/>
      <x:c r="S364" s="99"/>
      <x:c r="T364" s="99"/>
      <x:c r="U364" s="99"/>
      <x:c r="V364" s="99"/>
      <x:c r="W364" s="99"/>
      <x:c r="X364" s="99"/>
      <x:c r="Y364" s="99"/>
      <x:c r="Z364" s="99"/>
    </x:row>
    <x:row r="365">
      <x:c r="A365" s="99"/>
      <x:c r="B365" s="99"/>
      <x:c r="C365" s="99"/>
      <x:c r="D365" s="99"/>
      <x:c r="E365" s="99"/>
      <x:c r="F365" s="99"/>
      <x:c r="G365" s="99"/>
      <x:c r="H365" s="99"/>
      <x:c r="I365" s="99"/>
      <x:c r="J365" s="99"/>
      <x:c r="K365" s="99"/>
      <x:c r="L365" s="99"/>
      <x:c r="M365" s="99"/>
      <x:c r="N365" s="99"/>
      <x:c r="O365" s="99"/>
      <x:c r="P365" s="99"/>
      <x:c r="Q365" s="99"/>
      <x:c r="R365" s="99"/>
      <x:c r="S365" s="99"/>
      <x:c r="T365" s="99"/>
      <x:c r="U365" s="99"/>
      <x:c r="V365" s="99"/>
      <x:c r="W365" s="99"/>
      <x:c r="X365" s="99"/>
      <x:c r="Y365" s="99"/>
      <x:c r="Z365" s="99"/>
    </x:row>
    <x:row r="366">
      <x:c r="A366" s="99"/>
      <x:c r="B366" s="99"/>
      <x:c r="C366" s="99"/>
      <x:c r="D366" s="99"/>
      <x:c r="E366" s="99"/>
      <x:c r="F366" s="99"/>
      <x:c r="G366" s="99"/>
      <x:c r="H366" s="99"/>
      <x:c r="I366" s="99"/>
      <x:c r="J366" s="99"/>
      <x:c r="K366" s="99"/>
      <x:c r="L366" s="99"/>
      <x:c r="M366" s="99"/>
      <x:c r="N366" s="99"/>
      <x:c r="O366" s="99"/>
      <x:c r="P366" s="99"/>
      <x:c r="Q366" s="99"/>
      <x:c r="R366" s="99"/>
      <x:c r="S366" s="99"/>
      <x:c r="T366" s="99"/>
      <x:c r="U366" s="99"/>
      <x:c r="V366" s="99"/>
      <x:c r="W366" s="99"/>
      <x:c r="X366" s="99"/>
      <x:c r="Y366" s="99"/>
      <x:c r="Z366" s="99"/>
    </x:row>
    <x:row r="367">
      <x:c r="A367" s="99"/>
      <x:c r="B367" s="99"/>
      <x:c r="C367" s="99"/>
      <x:c r="D367" s="99"/>
      <x:c r="E367" s="99"/>
      <x:c r="F367" s="99"/>
      <x:c r="G367" s="99"/>
      <x:c r="H367" s="99"/>
      <x:c r="I367" s="99"/>
      <x:c r="J367" s="99"/>
      <x:c r="K367" s="99"/>
      <x:c r="L367" s="99"/>
      <x:c r="M367" s="99"/>
      <x:c r="N367" s="99"/>
      <x:c r="O367" s="99"/>
      <x:c r="P367" s="99"/>
      <x:c r="Q367" s="99"/>
      <x:c r="R367" s="99"/>
      <x:c r="S367" s="99"/>
      <x:c r="T367" s="99"/>
      <x:c r="U367" s="99"/>
      <x:c r="V367" s="99"/>
      <x:c r="W367" s="99"/>
      <x:c r="X367" s="99"/>
      <x:c r="Y367" s="99"/>
      <x:c r="Z367" s="99"/>
    </x:row>
    <x:row r="368">
      <x:c r="A368" s="99"/>
      <x:c r="B368" s="99"/>
      <x:c r="C368" s="99"/>
      <x:c r="D368" s="99"/>
      <x:c r="E368" s="99"/>
      <x:c r="F368" s="99"/>
      <x:c r="G368" s="99"/>
      <x:c r="H368" s="99"/>
      <x:c r="I368" s="99"/>
      <x:c r="J368" s="99"/>
      <x:c r="K368" s="99"/>
      <x:c r="L368" s="99"/>
      <x:c r="M368" s="99"/>
      <x:c r="N368" s="99"/>
      <x:c r="O368" s="99"/>
      <x:c r="P368" s="99"/>
      <x:c r="Q368" s="99"/>
      <x:c r="R368" s="99"/>
      <x:c r="S368" s="99"/>
      <x:c r="T368" s="99"/>
      <x:c r="U368" s="99"/>
      <x:c r="V368" s="99"/>
      <x:c r="W368" s="99"/>
      <x:c r="X368" s="99"/>
      <x:c r="Y368" s="99"/>
      <x:c r="Z368" s="99"/>
    </x:row>
    <x:row r="369">
      <x:c r="A369" s="99"/>
      <x:c r="B369" s="99"/>
      <x:c r="C369" s="99"/>
      <x:c r="D369" s="99"/>
      <x:c r="E369" s="99"/>
      <x:c r="F369" s="99"/>
      <x:c r="G369" s="99"/>
      <x:c r="H369" s="99"/>
      <x:c r="I369" s="99"/>
      <x:c r="J369" s="99"/>
      <x:c r="K369" s="99"/>
      <x:c r="L369" s="99"/>
      <x:c r="M369" s="99"/>
      <x:c r="N369" s="99"/>
      <x:c r="O369" s="99"/>
      <x:c r="P369" s="99"/>
      <x:c r="Q369" s="99"/>
      <x:c r="R369" s="99"/>
      <x:c r="S369" s="99"/>
      <x:c r="T369" s="99"/>
      <x:c r="U369" s="99"/>
      <x:c r="V369" s="99"/>
      <x:c r="W369" s="99"/>
      <x:c r="X369" s="99"/>
      <x:c r="Y369" s="99"/>
      <x:c r="Z369" s="99"/>
    </x:row>
    <x:row r="370">
      <x:c r="A370" s="99"/>
      <x:c r="B370" s="99"/>
      <x:c r="C370" s="99"/>
      <x:c r="D370" s="99"/>
      <x:c r="E370" s="99"/>
      <x:c r="F370" s="99"/>
      <x:c r="G370" s="99"/>
      <x:c r="H370" s="99"/>
      <x:c r="I370" s="99"/>
      <x:c r="J370" s="99"/>
      <x:c r="K370" s="99"/>
      <x:c r="L370" s="99"/>
      <x:c r="M370" s="99"/>
      <x:c r="N370" s="99"/>
      <x:c r="O370" s="99"/>
      <x:c r="P370" s="99"/>
      <x:c r="Q370" s="99"/>
      <x:c r="R370" s="99"/>
      <x:c r="S370" s="99"/>
      <x:c r="T370" s="99"/>
      <x:c r="U370" s="99"/>
      <x:c r="V370" s="99"/>
      <x:c r="W370" s="99"/>
      <x:c r="X370" s="99"/>
      <x:c r="Y370" s="99"/>
      <x:c r="Z370" s="99"/>
    </x:row>
    <x:row r="371">
      <x:c r="A371" s="99"/>
      <x:c r="B371" s="99"/>
      <x:c r="C371" s="99"/>
      <x:c r="D371" s="99"/>
      <x:c r="E371" s="99"/>
      <x:c r="F371" s="99"/>
      <x:c r="G371" s="99"/>
      <x:c r="H371" s="99"/>
      <x:c r="I371" s="99"/>
      <x:c r="J371" s="99"/>
      <x:c r="K371" s="99"/>
      <x:c r="L371" s="99"/>
      <x:c r="M371" s="99"/>
      <x:c r="N371" s="99"/>
      <x:c r="O371" s="99"/>
      <x:c r="P371" s="99"/>
      <x:c r="Q371" s="99"/>
      <x:c r="R371" s="99"/>
      <x:c r="S371" s="99"/>
      <x:c r="T371" s="99"/>
      <x:c r="U371" s="99"/>
      <x:c r="V371" s="99"/>
      <x:c r="W371" s="99"/>
      <x:c r="X371" s="99"/>
      <x:c r="Y371" s="99"/>
      <x:c r="Z371" s="99"/>
    </x:row>
    <x:row r="372">
      <x:c r="A372" s="99"/>
      <x:c r="B372" s="99"/>
      <x:c r="C372" s="99"/>
      <x:c r="D372" s="99"/>
      <x:c r="E372" s="99"/>
      <x:c r="F372" s="99"/>
      <x:c r="G372" s="99"/>
      <x:c r="H372" s="99"/>
      <x:c r="I372" s="99"/>
      <x:c r="J372" s="99"/>
      <x:c r="K372" s="99"/>
      <x:c r="L372" s="99"/>
      <x:c r="M372" s="99"/>
      <x:c r="N372" s="99"/>
      <x:c r="O372" s="99"/>
      <x:c r="P372" s="99"/>
      <x:c r="Q372" s="99"/>
      <x:c r="R372" s="99"/>
      <x:c r="S372" s="99"/>
      <x:c r="T372" s="99"/>
      <x:c r="U372" s="99"/>
      <x:c r="V372" s="99"/>
      <x:c r="W372" s="99"/>
      <x:c r="X372" s="99"/>
      <x:c r="Y372" s="99"/>
      <x:c r="Z372" s="99"/>
    </x:row>
    <x:row r="373">
      <x:c r="A373" s="99"/>
      <x:c r="B373" s="99"/>
      <x:c r="C373" s="99"/>
      <x:c r="D373" s="99"/>
      <x:c r="E373" s="99"/>
      <x:c r="F373" s="99"/>
      <x:c r="G373" s="99"/>
      <x:c r="H373" s="99"/>
      <x:c r="I373" s="99"/>
      <x:c r="J373" s="99"/>
      <x:c r="K373" s="99"/>
      <x:c r="L373" s="99"/>
      <x:c r="M373" s="99"/>
      <x:c r="N373" s="99"/>
      <x:c r="O373" s="99"/>
      <x:c r="P373" s="99"/>
      <x:c r="Q373" s="99"/>
      <x:c r="R373" s="99"/>
      <x:c r="S373" s="99"/>
      <x:c r="T373" s="99"/>
      <x:c r="U373" s="99"/>
      <x:c r="V373" s="99"/>
      <x:c r="W373" s="99"/>
      <x:c r="X373" s="99"/>
      <x:c r="Y373" s="99"/>
      <x:c r="Z373" s="99"/>
    </x:row>
    <x:row r="374">
      <x:c r="A374" s="99"/>
      <x:c r="B374" s="99"/>
      <x:c r="C374" s="99"/>
      <x:c r="D374" s="99"/>
      <x:c r="E374" s="99"/>
      <x:c r="F374" s="99"/>
      <x:c r="G374" s="99"/>
      <x:c r="H374" s="99"/>
      <x:c r="I374" s="99"/>
      <x:c r="J374" s="99"/>
      <x:c r="K374" s="99"/>
      <x:c r="L374" s="99"/>
      <x:c r="M374" s="99"/>
      <x:c r="N374" s="99"/>
      <x:c r="O374" s="99"/>
      <x:c r="P374" s="99"/>
      <x:c r="Q374" s="99"/>
      <x:c r="R374" s="99"/>
      <x:c r="S374" s="99"/>
      <x:c r="T374" s="99"/>
      <x:c r="U374" s="99"/>
      <x:c r="V374" s="99"/>
      <x:c r="W374" s="99"/>
      <x:c r="X374" s="99"/>
      <x:c r="Y374" s="99"/>
      <x:c r="Z374" s="99"/>
    </x:row>
    <x:row r="375">
      <x:c r="A375" s="99"/>
      <x:c r="B375" s="99"/>
      <x:c r="C375" s="99"/>
      <x:c r="D375" s="99"/>
      <x:c r="E375" s="99"/>
      <x:c r="F375" s="99"/>
      <x:c r="G375" s="99"/>
      <x:c r="H375" s="99"/>
      <x:c r="I375" s="99"/>
      <x:c r="J375" s="99"/>
      <x:c r="K375" s="99"/>
      <x:c r="L375" s="99"/>
      <x:c r="M375" s="99"/>
      <x:c r="N375" s="99"/>
      <x:c r="O375" s="99"/>
      <x:c r="P375" s="99"/>
      <x:c r="Q375" s="99"/>
      <x:c r="R375" s="99"/>
      <x:c r="S375" s="99"/>
      <x:c r="T375" s="99"/>
      <x:c r="U375" s="99"/>
      <x:c r="V375" s="99"/>
      <x:c r="W375" s="99"/>
      <x:c r="X375" s="99"/>
      <x:c r="Y375" s="99"/>
      <x:c r="Z375" s="99"/>
    </x:row>
    <x:row r="376">
      <x:c r="A376" s="99"/>
      <x:c r="B376" s="99"/>
      <x:c r="C376" s="99"/>
      <x:c r="D376" s="99"/>
      <x:c r="E376" s="99"/>
      <x:c r="F376" s="99"/>
      <x:c r="G376" s="99"/>
      <x:c r="H376" s="99"/>
      <x:c r="I376" s="99"/>
      <x:c r="J376" s="99"/>
      <x:c r="K376" s="99"/>
      <x:c r="L376" s="99"/>
      <x:c r="M376" s="99"/>
      <x:c r="N376" s="99"/>
      <x:c r="O376" s="99"/>
      <x:c r="P376" s="99"/>
      <x:c r="Q376" s="99"/>
      <x:c r="R376" s="99"/>
      <x:c r="S376" s="99"/>
      <x:c r="T376" s="99"/>
      <x:c r="U376" s="99"/>
      <x:c r="V376" s="99"/>
      <x:c r="W376" s="99"/>
      <x:c r="X376" s="99"/>
      <x:c r="Y376" s="99"/>
      <x:c r="Z376" s="99"/>
    </x:row>
    <x:row r="377">
      <x:c r="A377" s="99"/>
      <x:c r="B377" s="99"/>
      <x:c r="C377" s="99"/>
      <x:c r="D377" s="99"/>
      <x:c r="E377" s="99"/>
      <x:c r="F377" s="99"/>
      <x:c r="G377" s="99"/>
      <x:c r="H377" s="99"/>
      <x:c r="I377" s="99"/>
      <x:c r="J377" s="99"/>
      <x:c r="K377" s="99"/>
      <x:c r="L377" s="99"/>
      <x:c r="M377" s="99"/>
      <x:c r="N377" s="99"/>
      <x:c r="O377" s="99"/>
      <x:c r="P377" s="99"/>
      <x:c r="Q377" s="99"/>
      <x:c r="R377" s="99"/>
      <x:c r="S377" s="99"/>
      <x:c r="T377" s="99"/>
      <x:c r="U377" s="99"/>
      <x:c r="V377" s="99"/>
      <x:c r="W377" s="99"/>
      <x:c r="X377" s="99"/>
      <x:c r="Y377" s="99"/>
      <x:c r="Z377" s="99"/>
    </x:row>
    <x:row r="378">
      <x:c r="A378" s="99"/>
      <x:c r="B378" s="99"/>
      <x:c r="C378" s="99"/>
      <x:c r="D378" s="99"/>
      <x:c r="E378" s="99"/>
      <x:c r="F378" s="99"/>
      <x:c r="G378" s="99"/>
      <x:c r="H378" s="99"/>
      <x:c r="I378" s="99"/>
      <x:c r="J378" s="99"/>
      <x:c r="K378" s="99"/>
      <x:c r="L378" s="99"/>
      <x:c r="M378" s="99"/>
      <x:c r="N378" s="99"/>
      <x:c r="O378" s="99"/>
      <x:c r="P378" s="99"/>
      <x:c r="Q378" s="99"/>
      <x:c r="R378" s="99"/>
      <x:c r="S378" s="99"/>
      <x:c r="T378" s="99"/>
      <x:c r="U378" s="99"/>
      <x:c r="V378" s="99"/>
      <x:c r="W378" s="99"/>
      <x:c r="X378" s="99"/>
      <x:c r="Y378" s="99"/>
      <x:c r="Z378" s="99"/>
    </x:row>
    <x:row r="379">
      <x:c r="A379" s="99"/>
      <x:c r="B379" s="99"/>
      <x:c r="C379" s="99"/>
      <x:c r="D379" s="99"/>
      <x:c r="E379" s="99"/>
      <x:c r="F379" s="99"/>
      <x:c r="G379" s="99"/>
      <x:c r="H379" s="99"/>
      <x:c r="I379" s="99"/>
      <x:c r="J379" s="99"/>
      <x:c r="K379" s="99"/>
      <x:c r="L379" s="99"/>
      <x:c r="M379" s="99"/>
      <x:c r="N379" s="99"/>
      <x:c r="O379" s="99"/>
      <x:c r="P379" s="99"/>
      <x:c r="Q379" s="99"/>
      <x:c r="R379" s="99"/>
      <x:c r="S379" s="99"/>
      <x:c r="T379" s="99"/>
      <x:c r="U379" s="99"/>
      <x:c r="V379" s="99"/>
      <x:c r="W379" s="99"/>
      <x:c r="X379" s="99"/>
      <x:c r="Y379" s="99"/>
      <x:c r="Z379" s="99"/>
    </x:row>
    <x:row r="380">
      <x:c r="A380" s="99"/>
      <x:c r="B380" s="99"/>
      <x:c r="C380" s="99"/>
      <x:c r="D380" s="99"/>
      <x:c r="E380" s="99"/>
      <x:c r="F380" s="99"/>
      <x:c r="G380" s="99"/>
      <x:c r="H380" s="99"/>
      <x:c r="I380" s="99"/>
      <x:c r="J380" s="99"/>
      <x:c r="K380" s="99"/>
      <x:c r="L380" s="99"/>
      <x:c r="M380" s="99"/>
      <x:c r="N380" s="99"/>
      <x:c r="O380" s="99"/>
      <x:c r="P380" s="99"/>
      <x:c r="Q380" s="99"/>
      <x:c r="R380" s="99"/>
      <x:c r="S380" s="99"/>
      <x:c r="T380" s="99"/>
      <x:c r="U380" s="99"/>
      <x:c r="V380" s="99"/>
      <x:c r="W380" s="99"/>
      <x:c r="X380" s="99"/>
      <x:c r="Y380" s="99"/>
      <x:c r="Z380" s="99"/>
    </x:row>
    <x:row r="381">
      <x:c r="A381" s="99"/>
      <x:c r="B381" s="99"/>
      <x:c r="C381" s="99"/>
      <x:c r="D381" s="99"/>
      <x:c r="E381" s="99"/>
      <x:c r="F381" s="99"/>
      <x:c r="G381" s="99"/>
      <x:c r="H381" s="99"/>
      <x:c r="I381" s="99"/>
      <x:c r="J381" s="99"/>
      <x:c r="K381" s="99"/>
      <x:c r="L381" s="99"/>
      <x:c r="M381" s="99"/>
      <x:c r="N381" s="99"/>
      <x:c r="O381" s="99"/>
      <x:c r="P381" s="99"/>
      <x:c r="Q381" s="99"/>
      <x:c r="R381" s="99"/>
      <x:c r="S381" s="99"/>
      <x:c r="T381" s="99"/>
      <x:c r="U381" s="99"/>
      <x:c r="V381" s="99"/>
      <x:c r="W381" s="99"/>
      <x:c r="X381" s="99"/>
      <x:c r="Y381" s="99"/>
      <x:c r="Z381" s="99"/>
    </x:row>
    <x:row r="382">
      <x:c r="A382" s="99"/>
      <x:c r="B382" s="99"/>
      <x:c r="C382" s="99"/>
      <x:c r="D382" s="99"/>
      <x:c r="E382" s="99"/>
      <x:c r="F382" s="99"/>
      <x:c r="G382" s="99"/>
      <x:c r="H382" s="99"/>
      <x:c r="I382" s="99"/>
      <x:c r="J382" s="99"/>
      <x:c r="K382" s="99"/>
      <x:c r="L382" s="99"/>
      <x:c r="M382" s="99"/>
      <x:c r="N382" s="99"/>
      <x:c r="O382" s="99"/>
      <x:c r="P382" s="99"/>
      <x:c r="Q382" s="99"/>
      <x:c r="R382" s="99"/>
      <x:c r="S382" s="99"/>
      <x:c r="T382" s="99"/>
      <x:c r="U382" s="99"/>
      <x:c r="V382" s="99"/>
      <x:c r="W382" s="99"/>
      <x:c r="X382" s="99"/>
      <x:c r="Y382" s="99"/>
      <x:c r="Z382" s="99"/>
    </x:row>
    <x:row r="383">
      <x:c r="A383" s="99"/>
      <x:c r="B383" s="99"/>
      <x:c r="C383" s="99"/>
      <x:c r="D383" s="99"/>
      <x:c r="E383" s="99"/>
      <x:c r="F383" s="99"/>
      <x:c r="G383" s="99"/>
      <x:c r="H383" s="99"/>
      <x:c r="I383" s="99"/>
      <x:c r="J383" s="99"/>
      <x:c r="K383" s="99"/>
      <x:c r="L383" s="99"/>
      <x:c r="M383" s="99"/>
      <x:c r="N383" s="99"/>
      <x:c r="O383" s="99"/>
      <x:c r="P383" s="99"/>
      <x:c r="Q383" s="99"/>
      <x:c r="R383" s="99"/>
      <x:c r="S383" s="99"/>
      <x:c r="T383" s="99"/>
      <x:c r="U383" s="99"/>
      <x:c r="V383" s="99"/>
      <x:c r="W383" s="99"/>
      <x:c r="X383" s="99"/>
      <x:c r="Y383" s="99"/>
      <x:c r="Z383" s="99"/>
    </x:row>
    <x:row r="384">
      <x:c r="A384" s="99"/>
      <x:c r="B384" s="99"/>
      <x:c r="C384" s="99"/>
      <x:c r="D384" s="99"/>
      <x:c r="E384" s="99"/>
      <x:c r="F384" s="99"/>
      <x:c r="G384" s="99"/>
      <x:c r="H384" s="99"/>
      <x:c r="I384" s="99"/>
      <x:c r="J384" s="99"/>
      <x:c r="K384" s="99"/>
      <x:c r="L384" s="99"/>
      <x:c r="M384" s="99"/>
      <x:c r="N384" s="99"/>
      <x:c r="O384" s="99"/>
      <x:c r="P384" s="99"/>
      <x:c r="Q384" s="99"/>
      <x:c r="R384" s="99"/>
      <x:c r="S384" s="99"/>
      <x:c r="T384" s="99"/>
      <x:c r="U384" s="99"/>
      <x:c r="V384" s="99"/>
      <x:c r="W384" s="99"/>
      <x:c r="X384" s="99"/>
      <x:c r="Y384" s="99"/>
      <x:c r="Z384" s="99"/>
    </x:row>
    <x:row r="385">
      <x:c r="A385" s="99"/>
      <x:c r="B385" s="99"/>
      <x:c r="C385" s="99"/>
      <x:c r="D385" s="99"/>
      <x:c r="E385" s="99"/>
      <x:c r="F385" s="99"/>
      <x:c r="G385" s="99"/>
      <x:c r="H385" s="99"/>
      <x:c r="I385" s="99"/>
      <x:c r="J385" s="99"/>
      <x:c r="K385" s="99"/>
      <x:c r="L385" s="99"/>
      <x:c r="M385" s="99"/>
      <x:c r="N385" s="99"/>
      <x:c r="O385" s="99"/>
      <x:c r="P385" s="99"/>
      <x:c r="Q385" s="99"/>
      <x:c r="R385" s="99"/>
      <x:c r="S385" s="99"/>
      <x:c r="T385" s="99"/>
      <x:c r="U385" s="99"/>
      <x:c r="V385" s="99"/>
      <x:c r="W385" s="99"/>
      <x:c r="X385" s="99"/>
      <x:c r="Y385" s="99"/>
      <x:c r="Z385" s="99"/>
    </x:row>
    <x:row r="386">
      <x:c r="A386" s="99"/>
      <x:c r="B386" s="99"/>
      <x:c r="C386" s="99"/>
      <x:c r="D386" s="99"/>
      <x:c r="E386" s="99"/>
      <x:c r="F386" s="99"/>
      <x:c r="G386" s="99"/>
      <x:c r="H386" s="99"/>
      <x:c r="I386" s="99"/>
      <x:c r="J386" s="99"/>
      <x:c r="K386" s="99"/>
      <x:c r="L386" s="99"/>
      <x:c r="M386" s="99"/>
      <x:c r="N386" s="99"/>
      <x:c r="O386" s="99"/>
      <x:c r="P386" s="99"/>
      <x:c r="Q386" s="99"/>
      <x:c r="R386" s="99"/>
      <x:c r="S386" s="99"/>
      <x:c r="T386" s="99"/>
      <x:c r="U386" s="99"/>
      <x:c r="V386" s="99"/>
      <x:c r="W386" s="99"/>
      <x:c r="X386" s="99"/>
      <x:c r="Y386" s="99"/>
      <x:c r="Z386" s="99"/>
    </x:row>
    <x:row r="387">
      <x:c r="A387" s="99"/>
      <x:c r="B387" s="99"/>
      <x:c r="C387" s="99"/>
      <x:c r="D387" s="99"/>
      <x:c r="E387" s="99"/>
      <x:c r="F387" s="99"/>
      <x:c r="G387" s="99"/>
      <x:c r="H387" s="99"/>
      <x:c r="I387" s="99"/>
      <x:c r="J387" s="99"/>
      <x:c r="K387" s="99"/>
      <x:c r="L387" s="99"/>
      <x:c r="M387" s="99"/>
      <x:c r="N387" s="99"/>
      <x:c r="O387" s="99"/>
      <x:c r="P387" s="99"/>
      <x:c r="Q387" s="99"/>
      <x:c r="R387" s="99"/>
      <x:c r="S387" s="99"/>
      <x:c r="T387" s="99"/>
      <x:c r="U387" s="99"/>
      <x:c r="V387" s="99"/>
      <x:c r="W387" s="99"/>
      <x:c r="X387" s="99"/>
      <x:c r="Y387" s="99"/>
      <x:c r="Z387" s="99"/>
    </x:row>
    <x:row r="388">
      <x:c r="A388" s="99"/>
      <x:c r="B388" s="99"/>
      <x:c r="C388" s="99"/>
      <x:c r="D388" s="99"/>
      <x:c r="E388" s="99"/>
      <x:c r="F388" s="99"/>
      <x:c r="G388" s="99"/>
      <x:c r="H388" s="99"/>
      <x:c r="I388" s="99"/>
      <x:c r="J388" s="99"/>
      <x:c r="K388" s="99"/>
      <x:c r="L388" s="99"/>
      <x:c r="M388" s="99"/>
      <x:c r="N388" s="99"/>
      <x:c r="O388" s="99"/>
      <x:c r="P388" s="99"/>
      <x:c r="Q388" s="99"/>
      <x:c r="R388" s="99"/>
      <x:c r="S388" s="99"/>
      <x:c r="T388" s="99"/>
      <x:c r="U388" s="99"/>
      <x:c r="V388" s="99"/>
      <x:c r="W388" s="99"/>
      <x:c r="X388" s="99"/>
      <x:c r="Y388" s="99"/>
      <x:c r="Z388" s="99"/>
    </x:row>
    <x:row r="389">
      <x:c r="A389" s="99"/>
      <x:c r="B389" s="99"/>
      <x:c r="C389" s="99"/>
      <x:c r="D389" s="99"/>
      <x:c r="E389" s="99"/>
      <x:c r="F389" s="99"/>
      <x:c r="G389" s="99"/>
      <x:c r="H389" s="99"/>
      <x:c r="I389" s="99"/>
      <x:c r="J389" s="99"/>
      <x:c r="K389" s="99"/>
      <x:c r="L389" s="99"/>
      <x:c r="M389" s="99"/>
      <x:c r="N389" s="99"/>
      <x:c r="O389" s="99"/>
      <x:c r="P389" s="99"/>
      <x:c r="Q389" s="99"/>
      <x:c r="R389" s="99"/>
      <x:c r="S389" s="99"/>
      <x:c r="T389" s="99"/>
      <x:c r="U389" s="99"/>
      <x:c r="V389" s="99"/>
      <x:c r="W389" s="99"/>
      <x:c r="X389" s="99"/>
      <x:c r="Y389" s="99"/>
      <x:c r="Z389" s="99"/>
    </x:row>
    <x:row r="390">
      <x:c r="A390" s="99"/>
      <x:c r="B390" s="99"/>
      <x:c r="C390" s="99"/>
      <x:c r="D390" s="99"/>
      <x:c r="E390" s="99"/>
      <x:c r="F390" s="99"/>
      <x:c r="G390" s="99"/>
      <x:c r="H390" s="99"/>
      <x:c r="I390" s="99"/>
      <x:c r="J390" s="99"/>
      <x:c r="K390" s="99"/>
      <x:c r="L390" s="99"/>
      <x:c r="M390" s="99"/>
      <x:c r="N390" s="99"/>
      <x:c r="O390" s="99"/>
      <x:c r="P390" s="99"/>
      <x:c r="Q390" s="99"/>
      <x:c r="R390" s="99"/>
      <x:c r="S390" s="99"/>
      <x:c r="T390" s="99"/>
      <x:c r="U390" s="99"/>
      <x:c r="V390" s="99"/>
      <x:c r="W390" s="99"/>
      <x:c r="X390" s="99"/>
      <x:c r="Y390" s="99"/>
      <x:c r="Z390" s="99"/>
    </x:row>
    <x:row r="391">
      <x:c r="A391" s="99"/>
      <x:c r="B391" s="99"/>
      <x:c r="C391" s="99"/>
      <x:c r="D391" s="99"/>
      <x:c r="E391" s="99"/>
      <x:c r="F391" s="99"/>
      <x:c r="G391" s="99"/>
      <x:c r="H391" s="99"/>
      <x:c r="I391" s="99"/>
      <x:c r="J391" s="99"/>
      <x:c r="K391" s="99"/>
      <x:c r="L391" s="99"/>
      <x:c r="M391" s="99"/>
      <x:c r="N391" s="99"/>
      <x:c r="O391" s="99"/>
      <x:c r="P391" s="99"/>
      <x:c r="Q391" s="99"/>
      <x:c r="R391" s="99"/>
      <x:c r="S391" s="99"/>
      <x:c r="T391" s="99"/>
      <x:c r="U391" s="99"/>
      <x:c r="V391" s="99"/>
      <x:c r="W391" s="99"/>
      <x:c r="X391" s="99"/>
      <x:c r="Y391" s="99"/>
      <x:c r="Z391" s="99"/>
    </x:row>
    <x:row r="392">
      <x:c r="A392" s="99"/>
      <x:c r="B392" s="99"/>
      <x:c r="C392" s="99"/>
      <x:c r="D392" s="99"/>
      <x:c r="E392" s="99"/>
      <x:c r="F392" s="99"/>
      <x:c r="G392" s="99"/>
      <x:c r="H392" s="99"/>
      <x:c r="I392" s="99"/>
      <x:c r="J392" s="99"/>
      <x:c r="K392" s="99"/>
      <x:c r="L392" s="99"/>
      <x:c r="M392" s="99"/>
      <x:c r="N392" s="99"/>
      <x:c r="O392" s="99"/>
      <x:c r="P392" s="99"/>
      <x:c r="Q392" s="99"/>
      <x:c r="R392" s="99"/>
      <x:c r="S392" s="99"/>
      <x:c r="T392" s="99"/>
      <x:c r="U392" s="99"/>
      <x:c r="V392" s="99"/>
      <x:c r="W392" s="99"/>
      <x:c r="X392" s="99"/>
      <x:c r="Y392" s="99"/>
      <x:c r="Z392" s="99"/>
    </x:row>
    <x:row r="393">
      <x:c r="A393" s="99"/>
      <x:c r="B393" s="99"/>
      <x:c r="C393" s="99"/>
      <x:c r="D393" s="99"/>
      <x:c r="E393" s="99"/>
      <x:c r="F393" s="99"/>
      <x:c r="G393" s="99"/>
      <x:c r="H393" s="99"/>
      <x:c r="I393" s="99"/>
      <x:c r="J393" s="99"/>
      <x:c r="K393" s="99"/>
      <x:c r="L393" s="99"/>
      <x:c r="M393" s="99"/>
      <x:c r="N393" s="99"/>
      <x:c r="O393" s="99"/>
      <x:c r="P393" s="99"/>
      <x:c r="Q393" s="99"/>
      <x:c r="R393" s="99"/>
      <x:c r="S393" s="99"/>
      <x:c r="T393" s="99"/>
      <x:c r="U393" s="99"/>
      <x:c r="V393" s="99"/>
      <x:c r="W393" s="99"/>
      <x:c r="X393" s="99"/>
      <x:c r="Y393" s="99"/>
      <x:c r="Z393" s="99"/>
    </x:row>
    <x:row r="394">
      <x:c r="A394" s="99"/>
      <x:c r="B394" s="99"/>
      <x:c r="C394" s="99"/>
      <x:c r="D394" s="99"/>
      <x:c r="E394" s="99"/>
      <x:c r="F394" s="99"/>
      <x:c r="G394" s="99"/>
      <x:c r="H394" s="99"/>
      <x:c r="I394" s="99"/>
      <x:c r="J394" s="99"/>
      <x:c r="K394" s="99"/>
      <x:c r="L394" s="99"/>
      <x:c r="M394" s="99"/>
      <x:c r="N394" s="99"/>
      <x:c r="O394" s="99"/>
      <x:c r="P394" s="99"/>
      <x:c r="Q394" s="99"/>
      <x:c r="R394" s="99"/>
      <x:c r="S394" s="99"/>
      <x:c r="T394" s="99"/>
      <x:c r="U394" s="99"/>
      <x:c r="V394" s="99"/>
      <x:c r="W394" s="99"/>
      <x:c r="X394" s="99"/>
      <x:c r="Y394" s="99"/>
      <x:c r="Z394" s="99"/>
    </x:row>
    <x:row r="395">
      <x:c r="A395" s="99"/>
      <x:c r="B395" s="99"/>
      <x:c r="C395" s="99"/>
      <x:c r="D395" s="99"/>
      <x:c r="E395" s="99"/>
      <x:c r="F395" s="99"/>
      <x:c r="G395" s="99"/>
      <x:c r="H395" s="99"/>
      <x:c r="I395" s="99"/>
      <x:c r="J395" s="99"/>
      <x:c r="K395" s="99"/>
      <x:c r="L395" s="99"/>
      <x:c r="M395" s="99"/>
      <x:c r="N395" s="99"/>
      <x:c r="O395" s="99"/>
      <x:c r="P395" s="99"/>
      <x:c r="Q395" s="99"/>
      <x:c r="R395" s="99"/>
      <x:c r="S395" s="99"/>
      <x:c r="T395" s="99"/>
      <x:c r="U395" s="99"/>
      <x:c r="V395" s="99"/>
      <x:c r="W395" s="99"/>
      <x:c r="X395" s="99"/>
      <x:c r="Y395" s="99"/>
      <x:c r="Z395" s="99"/>
    </x:row>
    <x:row r="396">
      <x:c r="A396" s="99"/>
      <x:c r="B396" s="99"/>
      <x:c r="C396" s="99"/>
      <x:c r="D396" s="99"/>
      <x:c r="E396" s="99"/>
      <x:c r="F396" s="99"/>
      <x:c r="G396" s="99"/>
      <x:c r="H396" s="99"/>
      <x:c r="I396" s="99"/>
      <x:c r="J396" s="99"/>
      <x:c r="K396" s="99"/>
      <x:c r="L396" s="99"/>
      <x:c r="M396" s="99"/>
      <x:c r="N396" s="99"/>
      <x:c r="O396" s="99"/>
      <x:c r="P396" s="99"/>
      <x:c r="Q396" s="99"/>
      <x:c r="R396" s="99"/>
      <x:c r="S396" s="99"/>
      <x:c r="T396" s="99"/>
      <x:c r="U396" s="99"/>
      <x:c r="V396" s="99"/>
      <x:c r="W396" s="99"/>
      <x:c r="X396" s="99"/>
      <x:c r="Y396" s="99"/>
      <x:c r="Z396" s="99"/>
    </x:row>
    <x:row r="397">
      <x:c r="A397" s="99"/>
      <x:c r="B397" s="99"/>
      <x:c r="C397" s="99"/>
      <x:c r="D397" s="99"/>
      <x:c r="E397" s="99"/>
      <x:c r="F397" s="99"/>
      <x:c r="G397" s="99"/>
      <x:c r="H397" s="99"/>
      <x:c r="I397" s="99"/>
      <x:c r="J397" s="99"/>
      <x:c r="K397" s="99"/>
      <x:c r="L397" s="99"/>
      <x:c r="M397" s="99"/>
      <x:c r="N397" s="99"/>
      <x:c r="O397" s="99"/>
      <x:c r="P397" s="99"/>
      <x:c r="Q397" s="99"/>
      <x:c r="R397" s="99"/>
      <x:c r="S397" s="99"/>
      <x:c r="T397" s="99"/>
      <x:c r="U397" s="99"/>
      <x:c r="V397" s="99"/>
      <x:c r="W397" s="99"/>
      <x:c r="X397" s="99"/>
      <x:c r="Y397" s="99"/>
      <x:c r="Z397" s="99"/>
    </x:row>
    <x:row r="398">
      <x:c r="A398" s="99"/>
      <x:c r="B398" s="99"/>
      <x:c r="C398" s="99"/>
      <x:c r="D398" s="99"/>
      <x:c r="E398" s="99"/>
      <x:c r="F398" s="99"/>
      <x:c r="G398" s="99"/>
      <x:c r="H398" s="99"/>
      <x:c r="I398" s="99"/>
      <x:c r="J398" s="99"/>
      <x:c r="K398" s="99"/>
      <x:c r="L398" s="99"/>
      <x:c r="M398" s="99"/>
      <x:c r="N398" s="99"/>
      <x:c r="O398" s="99"/>
      <x:c r="P398" s="99"/>
      <x:c r="Q398" s="99"/>
      <x:c r="R398" s="99"/>
      <x:c r="S398" s="99"/>
      <x:c r="T398" s="99"/>
      <x:c r="U398" s="99"/>
      <x:c r="V398" s="99"/>
      <x:c r="W398" s="99"/>
      <x:c r="X398" s="99"/>
      <x:c r="Y398" s="99"/>
      <x:c r="Z398" s="99"/>
    </x:row>
    <x:row r="399">
      <x:c r="A399" s="99"/>
      <x:c r="B399" s="99"/>
      <x:c r="C399" s="99"/>
      <x:c r="D399" s="99"/>
      <x:c r="E399" s="99"/>
      <x:c r="F399" s="99"/>
      <x:c r="G399" s="99"/>
      <x:c r="H399" s="99"/>
      <x:c r="I399" s="99"/>
      <x:c r="J399" s="99"/>
      <x:c r="K399" s="99"/>
      <x:c r="L399" s="99"/>
      <x:c r="M399" s="99"/>
      <x:c r="N399" s="99"/>
      <x:c r="O399" s="99"/>
      <x:c r="P399" s="99"/>
      <x:c r="Q399" s="99"/>
      <x:c r="R399" s="99"/>
      <x:c r="S399" s="99"/>
      <x:c r="T399" s="99"/>
      <x:c r="U399" s="99"/>
      <x:c r="V399" s="99"/>
      <x:c r="W399" s="99"/>
      <x:c r="X399" s="99"/>
      <x:c r="Y399" s="99"/>
      <x:c r="Z399" s="99"/>
    </x:row>
    <x:row r="400">
      <x:c r="A400" s="99"/>
      <x:c r="B400" s="99"/>
      <x:c r="C400" s="99"/>
      <x:c r="D400" s="99"/>
      <x:c r="E400" s="99"/>
      <x:c r="F400" s="99"/>
      <x:c r="G400" s="99"/>
      <x:c r="H400" s="99"/>
      <x:c r="I400" s="99"/>
      <x:c r="J400" s="99"/>
      <x:c r="K400" s="99"/>
      <x:c r="L400" s="99"/>
      <x:c r="M400" s="99"/>
      <x:c r="N400" s="99"/>
      <x:c r="O400" s="99"/>
      <x:c r="P400" s="99"/>
      <x:c r="Q400" s="99"/>
      <x:c r="R400" s="99"/>
      <x:c r="S400" s="99"/>
      <x:c r="T400" s="99"/>
      <x:c r="U400" s="99"/>
      <x:c r="V400" s="99"/>
      <x:c r="W400" s="99"/>
      <x:c r="X400" s="99"/>
      <x:c r="Y400" s="99"/>
      <x:c r="Z400" s="99"/>
    </x:row>
    <x:row r="401">
      <x:c r="A401" s="99"/>
      <x:c r="B401" s="99"/>
      <x:c r="C401" s="99"/>
      <x:c r="D401" s="99"/>
      <x:c r="E401" s="99"/>
      <x:c r="F401" s="99"/>
      <x:c r="G401" s="99"/>
      <x:c r="H401" s="99"/>
      <x:c r="I401" s="99"/>
      <x:c r="J401" s="99"/>
      <x:c r="K401" s="99"/>
      <x:c r="L401" s="99"/>
      <x:c r="M401" s="99"/>
      <x:c r="N401" s="99"/>
      <x:c r="O401" s="99"/>
      <x:c r="P401" s="99"/>
      <x:c r="Q401" s="99"/>
      <x:c r="R401" s="99"/>
      <x:c r="S401" s="99"/>
      <x:c r="T401" s="99"/>
      <x:c r="U401" s="99"/>
      <x:c r="V401" s="99"/>
      <x:c r="W401" s="99"/>
      <x:c r="X401" s="99"/>
      <x:c r="Y401" s="99"/>
      <x:c r="Z401" s="99"/>
    </x:row>
    <x:row r="402">
      <x:c r="A402" s="99"/>
      <x:c r="B402" s="99"/>
      <x:c r="C402" s="99"/>
      <x:c r="D402" s="99"/>
      <x:c r="E402" s="99"/>
      <x:c r="F402" s="99"/>
      <x:c r="G402" s="99"/>
      <x:c r="H402" s="99"/>
      <x:c r="I402" s="99"/>
      <x:c r="J402" s="99"/>
      <x:c r="K402" s="99"/>
      <x:c r="L402" s="99"/>
      <x:c r="M402" s="99"/>
      <x:c r="N402" s="99"/>
      <x:c r="O402" s="99"/>
      <x:c r="P402" s="99"/>
      <x:c r="Q402" s="99"/>
      <x:c r="R402" s="99"/>
      <x:c r="S402" s="99"/>
      <x:c r="T402" s="99"/>
      <x:c r="U402" s="99"/>
      <x:c r="V402" s="99"/>
      <x:c r="W402" s="99"/>
      <x:c r="X402" s="99"/>
      <x:c r="Y402" s="99"/>
      <x:c r="Z402" s="99"/>
    </x:row>
    <x:row r="403">
      <x:c r="A403" s="99"/>
      <x:c r="B403" s="99"/>
      <x:c r="C403" s="99"/>
      <x:c r="D403" s="99"/>
      <x:c r="E403" s="99"/>
      <x:c r="F403" s="99"/>
      <x:c r="G403" s="99"/>
      <x:c r="H403" s="99"/>
      <x:c r="I403" s="99"/>
      <x:c r="J403" s="99"/>
      <x:c r="K403" s="99"/>
      <x:c r="L403" s="99"/>
      <x:c r="M403" s="99"/>
      <x:c r="N403" s="99"/>
      <x:c r="O403" s="99"/>
      <x:c r="P403" s="99"/>
      <x:c r="Q403" s="99"/>
      <x:c r="R403" s="99"/>
      <x:c r="S403" s="99"/>
      <x:c r="T403" s="99"/>
      <x:c r="U403" s="99"/>
      <x:c r="V403" s="99"/>
      <x:c r="W403" s="99"/>
      <x:c r="X403" s="99"/>
      <x:c r="Y403" s="99"/>
      <x:c r="Z403" s="99"/>
    </x:row>
    <x:row r="404">
      <x:c r="A404" s="99"/>
      <x:c r="B404" s="99"/>
      <x:c r="C404" s="99"/>
      <x:c r="D404" s="99"/>
      <x:c r="E404" s="99"/>
      <x:c r="F404" s="99"/>
      <x:c r="G404" s="99"/>
      <x:c r="H404" s="99"/>
      <x:c r="I404" s="99"/>
      <x:c r="J404" s="99"/>
      <x:c r="K404" s="99"/>
      <x:c r="L404" s="99"/>
      <x:c r="M404" s="99"/>
      <x:c r="N404" s="99"/>
      <x:c r="O404" s="99"/>
      <x:c r="P404" s="99"/>
      <x:c r="Q404" s="99"/>
      <x:c r="R404" s="99"/>
      <x:c r="S404" s="99"/>
      <x:c r="T404" s="99"/>
      <x:c r="U404" s="99"/>
      <x:c r="V404" s="99"/>
      <x:c r="W404" s="99"/>
      <x:c r="X404" s="99"/>
      <x:c r="Y404" s="99"/>
      <x:c r="Z404" s="99"/>
    </x:row>
    <x:row r="405">
      <x:c r="A405" s="99"/>
      <x:c r="B405" s="99"/>
      <x:c r="C405" s="99"/>
      <x:c r="D405" s="99"/>
      <x:c r="E405" s="99"/>
      <x:c r="F405" s="99"/>
      <x:c r="G405" s="99"/>
      <x:c r="H405" s="99"/>
      <x:c r="I405" s="99"/>
      <x:c r="J405" s="99"/>
      <x:c r="K405" s="99"/>
      <x:c r="L405" s="99"/>
      <x:c r="M405" s="99"/>
      <x:c r="N405" s="99"/>
      <x:c r="O405" s="99"/>
      <x:c r="P405" s="99"/>
      <x:c r="Q405" s="99"/>
      <x:c r="R405" s="99"/>
      <x:c r="S405" s="99"/>
      <x:c r="T405" s="99"/>
      <x:c r="U405" s="99"/>
      <x:c r="V405" s="99"/>
      <x:c r="W405" s="99"/>
      <x:c r="X405" s="99"/>
      <x:c r="Y405" s="99"/>
      <x:c r="Z405" s="99"/>
    </x:row>
    <x:row r="406">
      <x:c r="A406" s="99"/>
      <x:c r="B406" s="99"/>
      <x:c r="C406" s="99"/>
      <x:c r="D406" s="99"/>
      <x:c r="E406" s="99"/>
      <x:c r="F406" s="99"/>
      <x:c r="G406" s="99"/>
      <x:c r="H406" s="99"/>
      <x:c r="I406" s="99"/>
      <x:c r="J406" s="99"/>
      <x:c r="K406" s="99"/>
      <x:c r="L406" s="99"/>
      <x:c r="M406" s="99"/>
      <x:c r="N406" s="99"/>
      <x:c r="O406" s="99"/>
      <x:c r="P406" s="99"/>
      <x:c r="Q406" s="99"/>
      <x:c r="R406" s="99"/>
      <x:c r="S406" s="99"/>
      <x:c r="T406" s="99"/>
      <x:c r="U406" s="99"/>
      <x:c r="V406" s="99"/>
      <x:c r="W406" s="99"/>
      <x:c r="X406" s="99"/>
      <x:c r="Y406" s="99"/>
      <x:c r="Z406" s="99"/>
    </x:row>
    <x:row r="407">
      <x:c r="A407" s="99"/>
      <x:c r="B407" s="99"/>
      <x:c r="C407" s="99"/>
      <x:c r="D407" s="99"/>
      <x:c r="E407" s="99"/>
      <x:c r="F407" s="99"/>
      <x:c r="G407" s="99"/>
      <x:c r="H407" s="99"/>
      <x:c r="I407" s="99"/>
      <x:c r="J407" s="99"/>
      <x:c r="K407" s="99"/>
      <x:c r="L407" s="99"/>
      <x:c r="M407" s="99"/>
      <x:c r="N407" s="99"/>
      <x:c r="O407" s="99"/>
      <x:c r="P407" s="99"/>
      <x:c r="Q407" s="99"/>
      <x:c r="R407" s="99"/>
      <x:c r="S407" s="99"/>
      <x:c r="T407" s="99"/>
      <x:c r="U407" s="99"/>
      <x:c r="V407" s="99"/>
      <x:c r="W407" s="99"/>
      <x:c r="X407" s="99"/>
      <x:c r="Y407" s="99"/>
      <x:c r="Z407" s="99"/>
    </x:row>
    <x:row r="408">
      <x:c r="A408" s="99"/>
      <x:c r="B408" s="99"/>
      <x:c r="C408" s="99"/>
      <x:c r="D408" s="99"/>
      <x:c r="E408" s="99"/>
      <x:c r="F408" s="99"/>
      <x:c r="G408" s="99"/>
      <x:c r="H408" s="99"/>
      <x:c r="I408" s="99"/>
      <x:c r="J408" s="99"/>
      <x:c r="K408" s="99"/>
      <x:c r="L408" s="99"/>
      <x:c r="M408" s="99"/>
      <x:c r="N408" s="99"/>
      <x:c r="O408" s="99"/>
      <x:c r="P408" s="99"/>
      <x:c r="Q408" s="99"/>
      <x:c r="R408" s="99"/>
      <x:c r="S408" s="99"/>
      <x:c r="T408" s="99"/>
      <x:c r="U408" s="99"/>
      <x:c r="V408" s="99"/>
      <x:c r="W408" s="99"/>
      <x:c r="X408" s="99"/>
      <x:c r="Y408" s="99"/>
      <x:c r="Z408" s="99"/>
    </x:row>
    <x:row r="409">
      <x:c r="A409" s="99"/>
      <x:c r="B409" s="99"/>
      <x:c r="C409" s="99"/>
      <x:c r="D409" s="99"/>
      <x:c r="E409" s="99"/>
      <x:c r="F409" s="99"/>
      <x:c r="G409" s="99"/>
      <x:c r="H409" s="99"/>
      <x:c r="I409" s="99"/>
      <x:c r="J409" s="99"/>
      <x:c r="K409" s="99"/>
      <x:c r="L409" s="99"/>
      <x:c r="M409" s="99"/>
      <x:c r="N409" s="99"/>
      <x:c r="O409" s="99"/>
      <x:c r="P409" s="99"/>
      <x:c r="Q409" s="99"/>
      <x:c r="R409" s="99"/>
      <x:c r="S409" s="99"/>
      <x:c r="T409" s="99"/>
      <x:c r="U409" s="99"/>
      <x:c r="V409" s="99"/>
      <x:c r="W409" s="99"/>
      <x:c r="X409" s="99"/>
      <x:c r="Y409" s="99"/>
      <x:c r="Z409" s="99"/>
    </x:row>
    <x:row r="410">
      <x:c r="A410" s="99"/>
      <x:c r="B410" s="99"/>
      <x:c r="C410" s="99"/>
      <x:c r="D410" s="99"/>
      <x:c r="E410" s="99"/>
      <x:c r="F410" s="99"/>
      <x:c r="G410" s="99"/>
      <x:c r="H410" s="99"/>
      <x:c r="I410" s="99"/>
      <x:c r="J410" s="99"/>
      <x:c r="K410" s="99"/>
      <x:c r="L410" s="99"/>
      <x:c r="M410" s="99"/>
      <x:c r="N410" s="99"/>
      <x:c r="O410" s="99"/>
      <x:c r="P410" s="99"/>
      <x:c r="Q410" s="99"/>
      <x:c r="R410" s="99"/>
      <x:c r="S410" s="99"/>
      <x:c r="T410" s="99"/>
      <x:c r="U410" s="99"/>
      <x:c r="V410" s="99"/>
      <x:c r="W410" s="99"/>
      <x:c r="X410" s="99"/>
      <x:c r="Y410" s="99"/>
      <x:c r="Z410" s="99"/>
    </x:row>
    <x:row r="411">
      <x:c r="A411" s="99"/>
      <x:c r="B411" s="99"/>
      <x:c r="C411" s="99"/>
      <x:c r="D411" s="99"/>
      <x:c r="E411" s="99"/>
      <x:c r="F411" s="99"/>
      <x:c r="G411" s="99"/>
      <x:c r="H411" s="99"/>
      <x:c r="I411" s="99"/>
      <x:c r="J411" s="99"/>
      <x:c r="K411" s="99"/>
      <x:c r="L411" s="99"/>
      <x:c r="M411" s="99"/>
      <x:c r="N411" s="99"/>
      <x:c r="O411" s="99"/>
      <x:c r="P411" s="99"/>
      <x:c r="Q411" s="99"/>
      <x:c r="R411" s="99"/>
      <x:c r="S411" s="99"/>
      <x:c r="T411" s="99"/>
      <x:c r="U411" s="99"/>
      <x:c r="V411" s="99"/>
      <x:c r="W411" s="99"/>
      <x:c r="X411" s="99"/>
      <x:c r="Y411" s="99"/>
      <x:c r="Z411" s="99"/>
    </x:row>
    <x:row r="412">
      <x:c r="A412" s="99"/>
      <x:c r="B412" s="99"/>
      <x:c r="C412" s="99"/>
      <x:c r="D412" s="99"/>
      <x:c r="E412" s="99"/>
      <x:c r="F412" s="99"/>
      <x:c r="G412" s="99"/>
      <x:c r="H412" s="99"/>
      <x:c r="I412" s="99"/>
      <x:c r="J412" s="99"/>
      <x:c r="K412" s="99"/>
      <x:c r="L412" s="99"/>
      <x:c r="M412" s="99"/>
      <x:c r="N412" s="99"/>
      <x:c r="O412" s="99"/>
      <x:c r="P412" s="99"/>
      <x:c r="Q412" s="99"/>
      <x:c r="R412" s="99"/>
      <x:c r="S412" s="99"/>
      <x:c r="T412" s="99"/>
      <x:c r="U412" s="99"/>
      <x:c r="V412" s="99"/>
      <x:c r="W412" s="99"/>
      <x:c r="X412" s="99"/>
      <x:c r="Y412" s="99"/>
      <x:c r="Z412" s="99"/>
    </x:row>
    <x:row r="413">
      <x:c r="A413" s="99"/>
      <x:c r="B413" s="99"/>
      <x:c r="C413" s="99"/>
      <x:c r="D413" s="99"/>
      <x:c r="E413" s="99"/>
      <x:c r="F413" s="99"/>
      <x:c r="G413" s="99"/>
      <x:c r="H413" s="99"/>
      <x:c r="I413" s="99"/>
      <x:c r="J413" s="99"/>
      <x:c r="K413" s="99"/>
      <x:c r="L413" s="99"/>
      <x:c r="M413" s="99"/>
      <x:c r="N413" s="99"/>
      <x:c r="O413" s="99"/>
      <x:c r="P413" s="99"/>
      <x:c r="Q413" s="99"/>
      <x:c r="R413" s="99"/>
      <x:c r="S413" s="99"/>
      <x:c r="T413" s="99"/>
      <x:c r="U413" s="99"/>
      <x:c r="V413" s="99"/>
      <x:c r="W413" s="99"/>
      <x:c r="X413" s="99"/>
      <x:c r="Y413" s="99"/>
      <x:c r="Z413" s="99"/>
    </x:row>
    <x:row r="414">
      <x:c r="A414" s="99"/>
      <x:c r="B414" s="99"/>
      <x:c r="C414" s="99"/>
      <x:c r="D414" s="99"/>
      <x:c r="E414" s="99"/>
      <x:c r="F414" s="99"/>
      <x:c r="G414" s="99"/>
      <x:c r="H414" s="99"/>
      <x:c r="I414" s="99"/>
      <x:c r="J414" s="99"/>
      <x:c r="K414" s="99"/>
      <x:c r="L414" s="99"/>
      <x:c r="M414" s="99"/>
      <x:c r="N414" s="99"/>
      <x:c r="O414" s="99"/>
      <x:c r="P414" s="99"/>
      <x:c r="Q414" s="99"/>
      <x:c r="R414" s="99"/>
      <x:c r="S414" s="99"/>
      <x:c r="T414" s="99"/>
      <x:c r="U414" s="99"/>
      <x:c r="V414" s="99"/>
      <x:c r="W414" s="99"/>
      <x:c r="X414" s="99"/>
      <x:c r="Y414" s="99"/>
      <x:c r="Z414" s="99"/>
    </x:row>
    <x:row r="415">
      <x:c r="A415" s="99"/>
      <x:c r="B415" s="99"/>
      <x:c r="C415" s="99"/>
      <x:c r="D415" s="99"/>
      <x:c r="E415" s="99"/>
      <x:c r="F415" s="99"/>
      <x:c r="G415" s="99"/>
      <x:c r="H415" s="99"/>
      <x:c r="I415" s="99"/>
      <x:c r="J415" s="99"/>
      <x:c r="K415" s="99"/>
      <x:c r="L415" s="99"/>
      <x:c r="M415" s="99"/>
      <x:c r="N415" s="99"/>
      <x:c r="O415" s="99"/>
      <x:c r="P415" s="99"/>
      <x:c r="Q415" s="99"/>
      <x:c r="R415" s="99"/>
      <x:c r="S415" s="99"/>
      <x:c r="T415" s="99"/>
      <x:c r="U415" s="99"/>
      <x:c r="V415" s="99"/>
      <x:c r="W415" s="99"/>
      <x:c r="X415" s="99"/>
      <x:c r="Y415" s="99"/>
      <x:c r="Z415" s="99"/>
    </x:row>
    <x:row r="416">
      <x:c r="A416" s="99"/>
      <x:c r="B416" s="99"/>
      <x:c r="C416" s="99"/>
      <x:c r="D416" s="99"/>
      <x:c r="E416" s="99"/>
      <x:c r="F416" s="99"/>
      <x:c r="G416" s="99"/>
      <x:c r="H416" s="99"/>
      <x:c r="I416" s="99"/>
      <x:c r="J416" s="99"/>
      <x:c r="K416" s="99"/>
      <x:c r="L416" s="99"/>
      <x:c r="M416" s="99"/>
      <x:c r="N416" s="99"/>
      <x:c r="O416" s="99"/>
      <x:c r="P416" s="99"/>
      <x:c r="Q416" s="99"/>
      <x:c r="R416" s="99"/>
      <x:c r="S416" s="99"/>
      <x:c r="T416" s="99"/>
      <x:c r="U416" s="99"/>
      <x:c r="V416" s="99"/>
      <x:c r="W416" s="99"/>
      <x:c r="X416" s="99"/>
      <x:c r="Y416" s="99"/>
      <x:c r="Z416" s="99"/>
    </x:row>
    <x:row r="417">
      <x:c r="A417" s="99"/>
      <x:c r="B417" s="99"/>
      <x:c r="C417" s="99"/>
      <x:c r="D417" s="99"/>
      <x:c r="E417" s="99"/>
      <x:c r="F417" s="99"/>
      <x:c r="G417" s="99"/>
      <x:c r="H417" s="99"/>
      <x:c r="I417" s="99"/>
      <x:c r="J417" s="99"/>
      <x:c r="K417" s="99"/>
      <x:c r="L417" s="99"/>
      <x:c r="M417" s="99"/>
      <x:c r="N417" s="99"/>
      <x:c r="O417" s="99"/>
      <x:c r="P417" s="99"/>
      <x:c r="Q417" s="99"/>
      <x:c r="R417" s="99"/>
      <x:c r="S417" s="99"/>
      <x:c r="T417" s="99"/>
      <x:c r="U417" s="99"/>
      <x:c r="V417" s="99"/>
      <x:c r="W417" s="99"/>
      <x:c r="X417" s="99"/>
      <x:c r="Y417" s="99"/>
      <x:c r="Z417" s="99"/>
    </x:row>
    <x:row r="418">
      <x:c r="A418" s="99"/>
      <x:c r="B418" s="99"/>
      <x:c r="C418" s="99"/>
      <x:c r="D418" s="99"/>
      <x:c r="E418" s="99"/>
      <x:c r="F418" s="99"/>
      <x:c r="G418" s="99"/>
      <x:c r="H418" s="99"/>
      <x:c r="I418" s="99"/>
      <x:c r="J418" s="99"/>
      <x:c r="K418" s="99"/>
      <x:c r="L418" s="99"/>
      <x:c r="M418" s="99"/>
      <x:c r="N418" s="99"/>
      <x:c r="O418" s="99"/>
      <x:c r="P418" s="99"/>
      <x:c r="Q418" s="99"/>
      <x:c r="R418" s="99"/>
      <x:c r="S418" s="99"/>
      <x:c r="T418" s="99"/>
      <x:c r="U418" s="99"/>
      <x:c r="V418" s="99"/>
      <x:c r="W418" s="99"/>
      <x:c r="X418" s="99"/>
      <x:c r="Y418" s="99"/>
      <x:c r="Z418" s="99"/>
    </x:row>
    <x:row r="419">
      <x:c r="A419" s="99"/>
      <x:c r="B419" s="99"/>
      <x:c r="C419" s="99"/>
      <x:c r="D419" s="99"/>
      <x:c r="E419" s="99"/>
      <x:c r="F419" s="99"/>
      <x:c r="G419" s="99"/>
      <x:c r="H419" s="99"/>
      <x:c r="I419" s="99"/>
      <x:c r="J419" s="99"/>
      <x:c r="K419" s="99"/>
      <x:c r="L419" s="99"/>
      <x:c r="M419" s="99"/>
      <x:c r="N419" s="99"/>
      <x:c r="O419" s="99"/>
      <x:c r="P419" s="99"/>
      <x:c r="Q419" s="99"/>
      <x:c r="R419" s="99"/>
      <x:c r="S419" s="99"/>
      <x:c r="T419" s="99"/>
      <x:c r="U419" s="99"/>
      <x:c r="V419" s="99"/>
      <x:c r="W419" s="99"/>
      <x:c r="X419" s="99"/>
      <x:c r="Y419" s="99"/>
      <x:c r="Z419" s="99"/>
    </x:row>
    <x:row r="420">
      <x:c r="A420" s="99"/>
      <x:c r="B420" s="99"/>
      <x:c r="C420" s="99"/>
      <x:c r="D420" s="99"/>
      <x:c r="E420" s="99"/>
      <x:c r="F420" s="99"/>
      <x:c r="G420" s="99"/>
      <x:c r="H420" s="99"/>
      <x:c r="I420" s="99"/>
      <x:c r="J420" s="99"/>
      <x:c r="K420" s="99"/>
      <x:c r="L420" s="99"/>
      <x:c r="M420" s="99"/>
      <x:c r="N420" s="99"/>
      <x:c r="O420" s="99"/>
      <x:c r="P420" s="99"/>
      <x:c r="Q420" s="99"/>
      <x:c r="R420" s="99"/>
      <x:c r="S420" s="99"/>
      <x:c r="T420" s="99"/>
      <x:c r="U420" s="99"/>
      <x:c r="V420" s="99"/>
      <x:c r="W420" s="99"/>
      <x:c r="X420" s="99"/>
      <x:c r="Y420" s="99"/>
      <x:c r="Z420" s="99"/>
    </x:row>
    <x:row r="421">
      <x:c r="A421" s="99"/>
      <x:c r="B421" s="99"/>
      <x:c r="C421" s="99"/>
      <x:c r="D421" s="99"/>
      <x:c r="E421" s="99"/>
      <x:c r="F421" s="99"/>
      <x:c r="G421" s="99"/>
      <x:c r="H421" s="99"/>
      <x:c r="I421" s="99"/>
      <x:c r="J421" s="99"/>
      <x:c r="K421" s="99"/>
      <x:c r="L421" s="99"/>
      <x:c r="M421" s="99"/>
      <x:c r="N421" s="99"/>
      <x:c r="O421" s="99"/>
      <x:c r="P421" s="99"/>
      <x:c r="Q421" s="99"/>
      <x:c r="R421" s="99"/>
      <x:c r="S421" s="99"/>
      <x:c r="T421" s="99"/>
      <x:c r="U421" s="99"/>
      <x:c r="V421" s="99"/>
      <x:c r="W421" s="99"/>
      <x:c r="X421" s="99"/>
      <x:c r="Y421" s="99"/>
      <x:c r="Z421" s="99"/>
    </x:row>
    <x:row r="422">
      <x:c r="A422" s="99"/>
      <x:c r="B422" s="99"/>
      <x:c r="C422" s="99"/>
      <x:c r="D422" s="99"/>
      <x:c r="E422" s="99"/>
      <x:c r="F422" s="99"/>
      <x:c r="G422" s="99"/>
      <x:c r="H422" s="99"/>
      <x:c r="I422" s="99"/>
      <x:c r="J422" s="99"/>
      <x:c r="K422" s="99"/>
      <x:c r="L422" s="99"/>
      <x:c r="M422" s="99"/>
      <x:c r="N422" s="99"/>
      <x:c r="O422" s="99"/>
      <x:c r="P422" s="99"/>
      <x:c r="Q422" s="99"/>
      <x:c r="R422" s="99"/>
      <x:c r="S422" s="99"/>
      <x:c r="T422" s="99"/>
      <x:c r="U422" s="99"/>
      <x:c r="V422" s="99"/>
      <x:c r="W422" s="99"/>
      <x:c r="X422" s="99"/>
      <x:c r="Y422" s="99"/>
      <x:c r="Z422" s="99"/>
    </x:row>
    <x:row r="423">
      <x:c r="A423" s="99"/>
      <x:c r="B423" s="99"/>
      <x:c r="C423" s="99"/>
      <x:c r="D423" s="99"/>
      <x:c r="E423" s="99"/>
      <x:c r="F423" s="99"/>
      <x:c r="G423" s="99"/>
      <x:c r="H423" s="99"/>
      <x:c r="I423" s="99"/>
      <x:c r="J423" s="99"/>
      <x:c r="K423" s="99"/>
      <x:c r="L423" s="99"/>
      <x:c r="M423" s="99"/>
      <x:c r="N423" s="99"/>
      <x:c r="O423" s="99"/>
      <x:c r="P423" s="99"/>
      <x:c r="Q423" s="99"/>
      <x:c r="R423" s="99"/>
      <x:c r="S423" s="99"/>
      <x:c r="T423" s="99"/>
      <x:c r="U423" s="99"/>
      <x:c r="V423" s="99"/>
      <x:c r="W423" s="99"/>
      <x:c r="X423" s="99"/>
      <x:c r="Y423" s="99"/>
      <x:c r="Z423" s="99"/>
    </x:row>
    <x:row r="424">
      <x:c r="A424" s="99"/>
      <x:c r="B424" s="99"/>
      <x:c r="C424" s="99"/>
      <x:c r="D424" s="99"/>
      <x:c r="E424" s="99"/>
      <x:c r="F424" s="99"/>
      <x:c r="G424" s="99"/>
      <x:c r="H424" s="99"/>
      <x:c r="I424" s="99"/>
      <x:c r="J424" s="99"/>
      <x:c r="K424" s="99"/>
      <x:c r="L424" s="99"/>
      <x:c r="M424" s="99"/>
      <x:c r="N424" s="99"/>
      <x:c r="O424" s="99"/>
      <x:c r="P424" s="99"/>
      <x:c r="Q424" s="99"/>
      <x:c r="R424" s="99"/>
      <x:c r="S424" s="99"/>
      <x:c r="T424" s="99"/>
      <x:c r="U424" s="99"/>
      <x:c r="V424" s="99"/>
      <x:c r="W424" s="99"/>
      <x:c r="X424" s="99"/>
      <x:c r="Y424" s="99"/>
      <x:c r="Z424" s="99"/>
    </x:row>
    <x:row r="425">
      <x:c r="A425" s="99"/>
      <x:c r="B425" s="99"/>
      <x:c r="C425" s="99"/>
      <x:c r="D425" s="99"/>
      <x:c r="E425" s="99"/>
      <x:c r="F425" s="99"/>
      <x:c r="G425" s="99"/>
      <x:c r="H425" s="99"/>
      <x:c r="I425" s="99"/>
      <x:c r="J425" s="99"/>
      <x:c r="K425" s="99"/>
      <x:c r="L425" s="99"/>
      <x:c r="M425" s="99"/>
      <x:c r="N425" s="99"/>
      <x:c r="O425" s="99"/>
      <x:c r="P425" s="99"/>
      <x:c r="Q425" s="99"/>
      <x:c r="R425" s="99"/>
      <x:c r="S425" s="99"/>
      <x:c r="T425" s="99"/>
      <x:c r="U425" s="99"/>
      <x:c r="V425" s="99"/>
      <x:c r="W425" s="99"/>
      <x:c r="X425" s="99"/>
      <x:c r="Y425" s="99"/>
      <x:c r="Z425" s="99"/>
    </x:row>
    <x:row r="426">
      <x:c r="A426" s="99"/>
      <x:c r="B426" s="99"/>
      <x:c r="C426" s="99"/>
      <x:c r="D426" s="99"/>
      <x:c r="E426" s="99"/>
      <x:c r="F426" s="99"/>
      <x:c r="G426" s="99"/>
      <x:c r="H426" s="99"/>
      <x:c r="I426" s="99"/>
      <x:c r="J426" s="99"/>
      <x:c r="K426" s="99"/>
      <x:c r="L426" s="99"/>
      <x:c r="M426" s="99"/>
      <x:c r="N426" s="99"/>
      <x:c r="O426" s="99"/>
      <x:c r="P426" s="99"/>
      <x:c r="Q426" s="99"/>
      <x:c r="R426" s="99"/>
      <x:c r="S426" s="99"/>
      <x:c r="T426" s="99"/>
      <x:c r="U426" s="99"/>
      <x:c r="V426" s="99"/>
      <x:c r="W426" s="99"/>
      <x:c r="X426" s="99"/>
      <x:c r="Y426" s="99"/>
      <x:c r="Z426" s="99"/>
    </x:row>
    <x:row r="427">
      <x:c r="A427" s="99"/>
      <x:c r="B427" s="99"/>
      <x:c r="C427" s="99"/>
      <x:c r="D427" s="99"/>
      <x:c r="E427" s="99"/>
      <x:c r="F427" s="99"/>
      <x:c r="G427" s="99"/>
      <x:c r="H427" s="99"/>
      <x:c r="I427" s="99"/>
      <x:c r="J427" s="99"/>
      <x:c r="K427" s="99"/>
      <x:c r="L427" s="99"/>
      <x:c r="M427" s="99"/>
      <x:c r="N427" s="99"/>
      <x:c r="O427" s="99"/>
      <x:c r="P427" s="99"/>
      <x:c r="Q427" s="99"/>
      <x:c r="R427" s="99"/>
      <x:c r="S427" s="99"/>
      <x:c r="T427" s="99"/>
      <x:c r="U427" s="99"/>
      <x:c r="V427" s="99"/>
      <x:c r="W427" s="99"/>
      <x:c r="X427" s="99"/>
      <x:c r="Y427" s="99"/>
      <x:c r="Z427" s="99"/>
    </x:row>
    <x:row r="428">
      <x:c r="A428" s="99"/>
      <x:c r="B428" s="99"/>
      <x:c r="C428" s="99"/>
      <x:c r="D428" s="99"/>
      <x:c r="E428" s="99"/>
      <x:c r="F428" s="99"/>
      <x:c r="G428" s="99"/>
      <x:c r="H428" s="99"/>
      <x:c r="I428" s="99"/>
      <x:c r="J428" s="99"/>
      <x:c r="K428" s="99"/>
      <x:c r="L428" s="99"/>
      <x:c r="M428" s="99"/>
      <x:c r="N428" s="99"/>
      <x:c r="O428" s="99"/>
      <x:c r="P428" s="99"/>
      <x:c r="Q428" s="99"/>
      <x:c r="R428" s="99"/>
      <x:c r="S428" s="99"/>
      <x:c r="T428" s="99"/>
      <x:c r="U428" s="99"/>
      <x:c r="V428" s="99"/>
      <x:c r="W428" s="99"/>
      <x:c r="X428" s="99"/>
      <x:c r="Y428" s="99"/>
      <x:c r="Z428" s="99"/>
    </x:row>
    <x:row r="429">
      <x:c r="A429" s="99"/>
      <x:c r="B429" s="99"/>
      <x:c r="C429" s="99"/>
      <x:c r="D429" s="99"/>
      <x:c r="E429" s="99"/>
      <x:c r="F429" s="99"/>
      <x:c r="G429" s="99"/>
      <x:c r="H429" s="99"/>
      <x:c r="I429" s="99"/>
      <x:c r="J429" s="99"/>
      <x:c r="K429" s="99"/>
      <x:c r="L429" s="99"/>
      <x:c r="M429" s="99"/>
      <x:c r="N429" s="99"/>
      <x:c r="O429" s="99"/>
      <x:c r="P429" s="99"/>
      <x:c r="Q429" s="99"/>
      <x:c r="R429" s="99"/>
      <x:c r="S429" s="99"/>
      <x:c r="T429" s="99"/>
      <x:c r="U429" s="99"/>
      <x:c r="V429" s="99"/>
      <x:c r="W429" s="99"/>
      <x:c r="X429" s="99"/>
      <x:c r="Y429" s="99"/>
      <x:c r="Z429" s="99"/>
    </x:row>
    <x:row r="430">
      <x:c r="A430" s="99"/>
      <x:c r="B430" s="99"/>
      <x:c r="C430" s="99"/>
      <x:c r="D430" s="99"/>
      <x:c r="E430" s="99"/>
      <x:c r="F430" s="99"/>
      <x:c r="G430" s="99"/>
      <x:c r="H430" s="99"/>
      <x:c r="I430" s="99"/>
      <x:c r="J430" s="99"/>
      <x:c r="K430" s="99"/>
      <x:c r="L430" s="99"/>
      <x:c r="M430" s="99"/>
      <x:c r="N430" s="99"/>
      <x:c r="O430" s="99"/>
      <x:c r="P430" s="99"/>
      <x:c r="Q430" s="99"/>
      <x:c r="R430" s="99"/>
      <x:c r="S430" s="99"/>
      <x:c r="T430" s="99"/>
      <x:c r="U430" s="99"/>
      <x:c r="V430" s="99"/>
      <x:c r="W430" s="99"/>
      <x:c r="X430" s="99"/>
      <x:c r="Y430" s="99"/>
      <x:c r="Z430" s="99"/>
    </x:row>
    <x:row r="431">
      <x:c r="A431" s="99"/>
      <x:c r="B431" s="99"/>
      <x:c r="C431" s="99"/>
      <x:c r="D431" s="99"/>
      <x:c r="E431" s="99"/>
      <x:c r="F431" s="99"/>
      <x:c r="G431" s="99"/>
      <x:c r="H431" s="99"/>
      <x:c r="I431" s="99"/>
      <x:c r="J431" s="99"/>
      <x:c r="K431" s="99"/>
      <x:c r="L431" s="99"/>
      <x:c r="M431" s="99"/>
      <x:c r="N431" s="99"/>
      <x:c r="O431" s="99"/>
      <x:c r="P431" s="99"/>
      <x:c r="Q431" s="99"/>
      <x:c r="R431" s="99"/>
      <x:c r="S431" s="99"/>
      <x:c r="T431" s="99"/>
      <x:c r="U431" s="99"/>
      <x:c r="V431" s="99"/>
      <x:c r="W431" s="99"/>
      <x:c r="X431" s="99"/>
      <x:c r="Y431" s="99"/>
      <x:c r="Z431" s="99"/>
    </x:row>
    <x:row r="432">
      <x:c r="A432" s="99"/>
      <x:c r="B432" s="99"/>
      <x:c r="C432" s="99"/>
      <x:c r="D432" s="99"/>
      <x:c r="E432" s="99"/>
      <x:c r="F432" s="99"/>
      <x:c r="G432" s="99"/>
      <x:c r="H432" s="99"/>
      <x:c r="I432" s="99"/>
      <x:c r="J432" s="99"/>
      <x:c r="K432" s="99"/>
      <x:c r="L432" s="99"/>
      <x:c r="M432" s="99"/>
      <x:c r="N432" s="99"/>
      <x:c r="O432" s="99"/>
      <x:c r="P432" s="99"/>
      <x:c r="Q432" s="99"/>
      <x:c r="R432" s="99"/>
      <x:c r="S432" s="99"/>
      <x:c r="T432" s="99"/>
      <x:c r="U432" s="99"/>
      <x:c r="V432" s="99"/>
      <x:c r="W432" s="99"/>
      <x:c r="X432" s="99"/>
      <x:c r="Y432" s="99"/>
      <x:c r="Z432" s="99"/>
    </x:row>
    <x:row r="433">
      <x:c r="A433" s="99"/>
      <x:c r="B433" s="99"/>
      <x:c r="C433" s="99"/>
      <x:c r="D433" s="99"/>
      <x:c r="E433" s="99"/>
      <x:c r="F433" s="99"/>
      <x:c r="G433" s="99"/>
      <x:c r="H433" s="99"/>
      <x:c r="I433" s="99"/>
      <x:c r="J433" s="99"/>
      <x:c r="K433" s="99"/>
      <x:c r="L433" s="99"/>
      <x:c r="M433" s="99"/>
      <x:c r="N433" s="99"/>
      <x:c r="O433" s="99"/>
      <x:c r="P433" s="99"/>
      <x:c r="Q433" s="99"/>
      <x:c r="R433" s="99"/>
      <x:c r="S433" s="99"/>
      <x:c r="T433" s="99"/>
      <x:c r="U433" s="99"/>
      <x:c r="V433" s="99"/>
      <x:c r="W433" s="99"/>
      <x:c r="X433" s="99"/>
      <x:c r="Y433" s="99"/>
      <x:c r="Z433" s="99"/>
    </x:row>
    <x:row r="434">
      <x:c r="A434" s="99"/>
      <x:c r="B434" s="99"/>
      <x:c r="C434" s="99"/>
      <x:c r="D434" s="99"/>
      <x:c r="E434" s="99"/>
      <x:c r="F434" s="99"/>
      <x:c r="G434" s="99"/>
      <x:c r="H434" s="99"/>
      <x:c r="I434" s="99"/>
      <x:c r="J434" s="99"/>
      <x:c r="K434" s="99"/>
      <x:c r="L434" s="99"/>
      <x:c r="M434" s="99"/>
      <x:c r="N434" s="99"/>
      <x:c r="O434" s="99"/>
      <x:c r="P434" s="99"/>
      <x:c r="Q434" s="99"/>
      <x:c r="R434" s="99"/>
      <x:c r="S434" s="99"/>
      <x:c r="T434" s="99"/>
      <x:c r="U434" s="99"/>
      <x:c r="V434" s="99"/>
      <x:c r="W434" s="99"/>
      <x:c r="X434" s="99"/>
      <x:c r="Y434" s="99"/>
      <x:c r="Z434" s="99"/>
    </x:row>
    <x:row r="435">
      <x:c r="A435" s="99"/>
      <x:c r="B435" s="99"/>
      <x:c r="C435" s="99"/>
      <x:c r="D435" s="99"/>
      <x:c r="E435" s="99"/>
      <x:c r="F435" s="99"/>
      <x:c r="G435" s="99"/>
      <x:c r="H435" s="99"/>
      <x:c r="I435" s="99"/>
      <x:c r="J435" s="99"/>
      <x:c r="K435" s="99"/>
      <x:c r="L435" s="99"/>
      <x:c r="M435" s="99"/>
      <x:c r="N435" s="99"/>
      <x:c r="O435" s="99"/>
      <x:c r="P435" s="99"/>
      <x:c r="Q435" s="99"/>
      <x:c r="R435" s="99"/>
      <x:c r="S435" s="99"/>
      <x:c r="T435" s="99"/>
      <x:c r="U435" s="99"/>
      <x:c r="V435" s="99"/>
      <x:c r="W435" s="99"/>
      <x:c r="X435" s="99"/>
      <x:c r="Y435" s="99"/>
      <x:c r="Z435" s="99"/>
    </x:row>
    <x:row r="436">
      <x:c r="A436" s="99"/>
      <x:c r="B436" s="99"/>
      <x:c r="C436" s="99"/>
      <x:c r="D436" s="99"/>
      <x:c r="E436" s="99"/>
      <x:c r="F436" s="99"/>
      <x:c r="G436" s="99"/>
      <x:c r="H436" s="99"/>
      <x:c r="I436" s="99"/>
      <x:c r="J436" s="99"/>
      <x:c r="K436" s="99"/>
      <x:c r="L436" s="99"/>
      <x:c r="M436" s="99"/>
      <x:c r="N436" s="99"/>
      <x:c r="O436" s="99"/>
      <x:c r="P436" s="99"/>
      <x:c r="Q436" s="99"/>
      <x:c r="R436" s="99"/>
      <x:c r="S436" s="99"/>
      <x:c r="T436" s="99"/>
      <x:c r="U436" s="99"/>
      <x:c r="V436" s="99"/>
      <x:c r="W436" s="99"/>
      <x:c r="X436" s="99"/>
      <x:c r="Y436" s="99"/>
      <x:c r="Z436" s="99"/>
    </x:row>
    <x:row r="437">
      <x:c r="A437" s="99"/>
      <x:c r="B437" s="99"/>
      <x:c r="C437" s="99"/>
      <x:c r="D437" s="99"/>
      <x:c r="E437" s="99"/>
      <x:c r="F437" s="99"/>
      <x:c r="G437" s="99"/>
      <x:c r="H437" s="99"/>
      <x:c r="I437" s="99"/>
      <x:c r="J437" s="99"/>
      <x:c r="K437" s="99"/>
      <x:c r="L437" s="99"/>
      <x:c r="M437" s="99"/>
      <x:c r="N437" s="99"/>
      <x:c r="O437" s="99"/>
      <x:c r="P437" s="99"/>
      <x:c r="Q437" s="99"/>
      <x:c r="R437" s="99"/>
      <x:c r="S437" s="99"/>
      <x:c r="T437" s="99"/>
      <x:c r="U437" s="99"/>
      <x:c r="V437" s="99"/>
      <x:c r="W437" s="99"/>
      <x:c r="X437" s="99"/>
      <x:c r="Y437" s="99"/>
      <x:c r="Z437" s="99"/>
    </x:row>
    <x:row r="438">
      <x:c r="A438" s="99"/>
      <x:c r="B438" s="99"/>
      <x:c r="C438" s="99"/>
      <x:c r="D438" s="99"/>
      <x:c r="E438" s="99"/>
      <x:c r="F438" s="99"/>
      <x:c r="G438" s="99"/>
      <x:c r="H438" s="99"/>
      <x:c r="I438" s="99"/>
      <x:c r="J438" s="99"/>
      <x:c r="K438" s="99"/>
      <x:c r="L438" s="99"/>
      <x:c r="M438" s="99"/>
      <x:c r="N438" s="99"/>
      <x:c r="O438" s="99"/>
      <x:c r="P438" s="99"/>
      <x:c r="Q438" s="99"/>
      <x:c r="R438" s="99"/>
      <x:c r="S438" s="99"/>
      <x:c r="T438" s="99"/>
      <x:c r="U438" s="99"/>
      <x:c r="V438" s="99"/>
      <x:c r="W438" s="99"/>
      <x:c r="X438" s="99"/>
      <x:c r="Y438" s="99"/>
      <x:c r="Z438" s="99"/>
    </x:row>
    <x:row r="439">
      <x:c r="A439" s="99"/>
      <x:c r="B439" s="99"/>
      <x:c r="C439" s="99"/>
      <x:c r="D439" s="99"/>
      <x:c r="E439" s="99"/>
      <x:c r="F439" s="99"/>
      <x:c r="G439" s="99"/>
      <x:c r="H439" s="99"/>
      <x:c r="I439" s="99"/>
      <x:c r="J439" s="99"/>
      <x:c r="K439" s="99"/>
      <x:c r="L439" s="99"/>
      <x:c r="M439" s="99"/>
      <x:c r="N439" s="99"/>
      <x:c r="O439" s="99"/>
      <x:c r="P439" s="99"/>
      <x:c r="Q439" s="99"/>
      <x:c r="R439" s="99"/>
      <x:c r="S439" s="99"/>
      <x:c r="T439" s="99"/>
      <x:c r="U439" s="99"/>
      <x:c r="V439" s="99"/>
      <x:c r="W439" s="99"/>
      <x:c r="X439" s="99"/>
      <x:c r="Y439" s="99"/>
      <x:c r="Z439" s="99"/>
    </x:row>
    <x:row r="440">
      <x:c r="A440" s="99"/>
      <x:c r="B440" s="99"/>
      <x:c r="C440" s="99"/>
      <x:c r="D440" s="99"/>
      <x:c r="E440" s="99"/>
      <x:c r="F440" s="99"/>
      <x:c r="G440" s="99"/>
      <x:c r="H440" s="99"/>
      <x:c r="I440" s="99"/>
      <x:c r="J440" s="99"/>
      <x:c r="K440" s="99"/>
      <x:c r="L440" s="99"/>
      <x:c r="M440" s="99"/>
      <x:c r="N440" s="99"/>
      <x:c r="O440" s="99"/>
      <x:c r="P440" s="99"/>
      <x:c r="Q440" s="99"/>
      <x:c r="R440" s="99"/>
      <x:c r="S440" s="99"/>
      <x:c r="T440" s="99"/>
      <x:c r="U440" s="99"/>
      <x:c r="V440" s="99"/>
      <x:c r="W440" s="99"/>
      <x:c r="X440" s="99"/>
      <x:c r="Y440" s="99"/>
      <x:c r="Z440" s="99"/>
    </x:row>
    <x:row r="441">
      <x:c r="A441" s="99"/>
      <x:c r="B441" s="99"/>
      <x:c r="C441" s="99"/>
      <x:c r="D441" s="99"/>
      <x:c r="E441" s="99"/>
      <x:c r="F441" s="99"/>
      <x:c r="G441" s="99"/>
      <x:c r="H441" s="99"/>
      <x:c r="I441" s="99"/>
      <x:c r="J441" s="99"/>
      <x:c r="K441" s="99"/>
      <x:c r="L441" s="99"/>
      <x:c r="M441" s="99"/>
      <x:c r="N441" s="99"/>
      <x:c r="O441" s="99"/>
      <x:c r="P441" s="99"/>
      <x:c r="Q441" s="99"/>
      <x:c r="R441" s="99"/>
      <x:c r="S441" s="99"/>
      <x:c r="T441" s="99"/>
      <x:c r="U441" s="99"/>
      <x:c r="V441" s="99"/>
      <x:c r="W441" s="99"/>
      <x:c r="X441" s="99"/>
      <x:c r="Y441" s="99"/>
      <x:c r="Z441" s="99"/>
    </x:row>
    <x:row r="442">
      <x:c r="A442" s="99"/>
      <x:c r="B442" s="99"/>
      <x:c r="C442" s="99"/>
      <x:c r="D442" s="99"/>
      <x:c r="E442" s="99"/>
      <x:c r="F442" s="99"/>
      <x:c r="G442" s="99"/>
      <x:c r="H442" s="99"/>
      <x:c r="I442" s="99"/>
      <x:c r="J442" s="99"/>
      <x:c r="K442" s="99"/>
      <x:c r="L442" s="99"/>
      <x:c r="M442" s="99"/>
      <x:c r="N442" s="99"/>
      <x:c r="O442" s="99"/>
      <x:c r="P442" s="99"/>
      <x:c r="Q442" s="99"/>
      <x:c r="R442" s="99"/>
      <x:c r="S442" s="99"/>
      <x:c r="T442" s="99"/>
      <x:c r="U442" s="99"/>
      <x:c r="V442" s="99"/>
      <x:c r="W442" s="99"/>
      <x:c r="X442" s="99"/>
      <x:c r="Y442" s="99"/>
      <x:c r="Z442" s="99"/>
    </x:row>
    <x:row r="443">
      <x:c r="A443" s="99"/>
      <x:c r="B443" s="99"/>
      <x:c r="C443" s="99"/>
      <x:c r="D443" s="99"/>
      <x:c r="E443" s="99"/>
      <x:c r="F443" s="99"/>
      <x:c r="G443" s="99"/>
      <x:c r="H443" s="99"/>
      <x:c r="I443" s="99"/>
      <x:c r="J443" s="99"/>
      <x:c r="K443" s="99"/>
      <x:c r="L443" s="99"/>
      <x:c r="M443" s="99"/>
      <x:c r="N443" s="99"/>
      <x:c r="O443" s="99"/>
      <x:c r="P443" s="99"/>
      <x:c r="Q443" s="99"/>
      <x:c r="R443" s="99"/>
      <x:c r="S443" s="99"/>
      <x:c r="T443" s="99"/>
      <x:c r="U443" s="99"/>
      <x:c r="V443" s="99"/>
      <x:c r="W443" s="99"/>
      <x:c r="X443" s="99"/>
      <x:c r="Y443" s="99"/>
      <x:c r="Z443" s="99"/>
    </x:row>
    <x:row r="444">
      <x:c r="A444" s="99"/>
      <x:c r="B444" s="99"/>
      <x:c r="C444" s="99"/>
      <x:c r="D444" s="99"/>
      <x:c r="E444" s="99"/>
      <x:c r="F444" s="99"/>
      <x:c r="G444" s="99"/>
      <x:c r="H444" s="99"/>
      <x:c r="I444" s="99"/>
      <x:c r="J444" s="99"/>
      <x:c r="K444" s="99"/>
      <x:c r="L444" s="99"/>
      <x:c r="M444" s="99"/>
      <x:c r="N444" s="99"/>
      <x:c r="O444" s="99"/>
      <x:c r="P444" s="99"/>
      <x:c r="Q444" s="99"/>
      <x:c r="R444" s="99"/>
      <x:c r="S444" s="99"/>
      <x:c r="T444" s="99"/>
      <x:c r="U444" s="99"/>
      <x:c r="V444" s="99"/>
      <x:c r="W444" s="99"/>
      <x:c r="X444" s="99"/>
      <x:c r="Y444" s="99"/>
      <x:c r="Z444" s="99"/>
    </x:row>
    <x:row r="445">
      <x:c r="A445" s="99"/>
      <x:c r="B445" s="99"/>
      <x:c r="C445" s="99"/>
      <x:c r="D445" s="99"/>
      <x:c r="E445" s="99"/>
      <x:c r="F445" s="99"/>
      <x:c r="G445" s="99"/>
      <x:c r="H445" s="99"/>
      <x:c r="I445" s="99"/>
      <x:c r="J445" s="99"/>
      <x:c r="K445" s="99"/>
      <x:c r="L445" s="99"/>
      <x:c r="M445" s="99"/>
      <x:c r="N445" s="99"/>
      <x:c r="O445" s="99"/>
      <x:c r="P445" s="99"/>
      <x:c r="Q445" s="99"/>
      <x:c r="R445" s="99"/>
      <x:c r="S445" s="99"/>
      <x:c r="T445" s="99"/>
      <x:c r="U445" s="99"/>
      <x:c r="V445" s="99"/>
      <x:c r="W445" s="99"/>
      <x:c r="X445" s="99"/>
      <x:c r="Y445" s="99"/>
      <x:c r="Z445" s="99"/>
    </x:row>
    <x:row r="446">
      <x:c r="A446" s="99"/>
      <x:c r="B446" s="99"/>
      <x:c r="C446" s="99"/>
      <x:c r="D446" s="99"/>
      <x:c r="E446" s="99"/>
      <x:c r="F446" s="99"/>
      <x:c r="G446" s="99"/>
      <x:c r="H446" s="99"/>
      <x:c r="I446" s="99"/>
      <x:c r="J446" s="99"/>
      <x:c r="K446" s="99"/>
      <x:c r="L446" s="99"/>
      <x:c r="M446" s="99"/>
      <x:c r="N446" s="99"/>
      <x:c r="O446" s="99"/>
      <x:c r="P446" s="99"/>
      <x:c r="Q446" s="99"/>
      <x:c r="R446" s="99"/>
      <x:c r="S446" s="99"/>
      <x:c r="T446" s="99"/>
      <x:c r="U446" s="99"/>
      <x:c r="V446" s="99"/>
      <x:c r="W446" s="99"/>
      <x:c r="X446" s="99"/>
      <x:c r="Y446" s="99"/>
      <x:c r="Z446" s="99"/>
    </x:row>
    <x:row r="447">
      <x:c r="A447" s="99"/>
      <x:c r="B447" s="99"/>
      <x:c r="C447" s="99"/>
      <x:c r="D447" s="99"/>
      <x:c r="E447" s="99"/>
      <x:c r="F447" s="99"/>
      <x:c r="G447" s="99"/>
      <x:c r="H447" s="99"/>
      <x:c r="I447" s="99"/>
      <x:c r="J447" s="99"/>
      <x:c r="K447" s="99"/>
      <x:c r="L447" s="99"/>
      <x:c r="M447" s="99"/>
      <x:c r="N447" s="99"/>
      <x:c r="O447" s="99"/>
      <x:c r="P447" s="99"/>
      <x:c r="Q447" s="99"/>
      <x:c r="R447" s="99"/>
      <x:c r="S447" s="99"/>
      <x:c r="T447" s="99"/>
      <x:c r="U447" s="99"/>
      <x:c r="V447" s="99"/>
      <x:c r="W447" s="99"/>
      <x:c r="X447" s="99"/>
      <x:c r="Y447" s="99"/>
      <x:c r="Z447" s="99"/>
    </x:row>
    <x:row r="448">
      <x:c r="A448" s="99"/>
      <x:c r="B448" s="99"/>
      <x:c r="C448" s="99"/>
      <x:c r="D448" s="99"/>
      <x:c r="E448" s="99"/>
      <x:c r="F448" s="99"/>
      <x:c r="G448" s="99"/>
      <x:c r="H448" s="99"/>
      <x:c r="I448" s="99"/>
      <x:c r="J448" s="99"/>
      <x:c r="K448" s="99"/>
      <x:c r="L448" s="99"/>
      <x:c r="M448" s="99"/>
      <x:c r="N448" s="99"/>
      <x:c r="O448" s="99"/>
      <x:c r="P448" s="99"/>
      <x:c r="Q448" s="99"/>
      <x:c r="R448" s="99"/>
      <x:c r="S448" s="99"/>
      <x:c r="T448" s="99"/>
      <x:c r="U448" s="99"/>
      <x:c r="V448" s="99"/>
      <x:c r="W448" s="99"/>
      <x:c r="X448" s="99"/>
      <x:c r="Y448" s="99"/>
      <x:c r="Z448" s="99"/>
    </x:row>
    <x:row r="449">
      <x:c r="A449" s="99"/>
      <x:c r="B449" s="99"/>
      <x:c r="C449" s="99"/>
      <x:c r="D449" s="99"/>
      <x:c r="E449" s="99"/>
      <x:c r="F449" s="99"/>
      <x:c r="G449" s="99"/>
      <x:c r="H449" s="99"/>
      <x:c r="I449" s="99"/>
      <x:c r="J449" s="99"/>
      <x:c r="K449" s="99"/>
      <x:c r="L449" s="99"/>
      <x:c r="M449" s="99"/>
      <x:c r="N449" s="99"/>
      <x:c r="O449" s="99"/>
      <x:c r="P449" s="99"/>
      <x:c r="Q449" s="99"/>
      <x:c r="R449" s="99"/>
      <x:c r="S449" s="99"/>
      <x:c r="T449" s="99"/>
      <x:c r="U449" s="99"/>
      <x:c r="V449" s="99"/>
      <x:c r="W449" s="99"/>
      <x:c r="X449" s="99"/>
      <x:c r="Y449" s="99"/>
      <x:c r="Z449" s="99"/>
    </x:row>
    <x:row r="450">
      <x:c r="A450" s="99"/>
      <x:c r="B450" s="99"/>
      <x:c r="C450" s="99"/>
      <x:c r="D450" s="99"/>
      <x:c r="E450" s="99"/>
      <x:c r="F450" s="99"/>
      <x:c r="G450" s="99"/>
      <x:c r="H450" s="99"/>
      <x:c r="I450" s="99"/>
      <x:c r="J450" s="99"/>
      <x:c r="K450" s="99"/>
      <x:c r="L450" s="99"/>
      <x:c r="M450" s="99"/>
      <x:c r="N450" s="99"/>
      <x:c r="O450" s="99"/>
      <x:c r="P450" s="99"/>
      <x:c r="Q450" s="99"/>
      <x:c r="R450" s="99"/>
      <x:c r="S450" s="99"/>
      <x:c r="T450" s="99"/>
      <x:c r="U450" s="99"/>
      <x:c r="V450" s="99"/>
      <x:c r="W450" s="99"/>
      <x:c r="X450" s="99"/>
      <x:c r="Y450" s="99"/>
      <x:c r="Z450" s="99"/>
    </x:row>
    <x:row r="451">
      <x:c r="A451" s="99"/>
      <x:c r="B451" s="99"/>
      <x:c r="C451" s="99"/>
      <x:c r="D451" s="99"/>
      <x:c r="E451" s="99"/>
      <x:c r="F451" s="99"/>
      <x:c r="G451" s="99"/>
      <x:c r="H451" s="99"/>
      <x:c r="I451" s="99"/>
      <x:c r="J451" s="99"/>
      <x:c r="K451" s="99"/>
      <x:c r="L451" s="99"/>
      <x:c r="M451" s="99"/>
      <x:c r="N451" s="99"/>
      <x:c r="O451" s="99"/>
      <x:c r="P451" s="99"/>
      <x:c r="Q451" s="99"/>
      <x:c r="R451" s="99"/>
      <x:c r="S451" s="99"/>
      <x:c r="T451" s="99"/>
      <x:c r="U451" s="99"/>
      <x:c r="V451" s="99"/>
      <x:c r="W451" s="99"/>
      <x:c r="X451" s="99"/>
      <x:c r="Y451" s="99"/>
      <x:c r="Z451" s="99"/>
    </x:row>
    <x:row r="452">
      <x:c r="A452" s="99"/>
      <x:c r="B452" s="99"/>
      <x:c r="C452" s="99"/>
      <x:c r="D452" s="99"/>
      <x:c r="E452" s="99"/>
      <x:c r="F452" s="99"/>
      <x:c r="G452" s="99"/>
      <x:c r="H452" s="99"/>
      <x:c r="I452" s="99"/>
      <x:c r="J452" s="99"/>
      <x:c r="K452" s="99"/>
      <x:c r="L452" s="99"/>
      <x:c r="M452" s="99"/>
      <x:c r="N452" s="99"/>
      <x:c r="O452" s="99"/>
      <x:c r="P452" s="99"/>
      <x:c r="Q452" s="99"/>
      <x:c r="R452" s="99"/>
      <x:c r="S452" s="99"/>
      <x:c r="T452" s="99"/>
      <x:c r="U452" s="99"/>
      <x:c r="V452" s="99"/>
      <x:c r="W452" s="99"/>
      <x:c r="X452" s="99"/>
      <x:c r="Y452" s="99"/>
      <x:c r="Z452" s="99"/>
    </x:row>
    <x:row r="453">
      <x:c r="A453" s="99"/>
      <x:c r="B453" s="99"/>
      <x:c r="C453" s="99"/>
      <x:c r="D453" s="99"/>
      <x:c r="E453" s="99"/>
      <x:c r="F453" s="99"/>
      <x:c r="G453" s="99"/>
      <x:c r="H453" s="99"/>
      <x:c r="I453" s="99"/>
      <x:c r="J453" s="99"/>
      <x:c r="K453" s="99"/>
      <x:c r="L453" s="99"/>
      <x:c r="M453" s="99"/>
      <x:c r="N453" s="99"/>
      <x:c r="O453" s="99"/>
      <x:c r="P453" s="99"/>
      <x:c r="Q453" s="99"/>
      <x:c r="R453" s="99"/>
      <x:c r="S453" s="99"/>
      <x:c r="T453" s="99"/>
      <x:c r="U453" s="99"/>
      <x:c r="V453" s="99"/>
      <x:c r="W453" s="99"/>
      <x:c r="X453" s="99"/>
      <x:c r="Y453" s="99"/>
      <x:c r="Z453" s="99"/>
    </x:row>
    <x:row r="454">
      <x:c r="A454" s="99"/>
      <x:c r="B454" s="99"/>
      <x:c r="C454" s="99"/>
      <x:c r="D454" s="99"/>
      <x:c r="E454" s="99"/>
      <x:c r="F454" s="99"/>
      <x:c r="G454" s="99"/>
      <x:c r="H454" s="99"/>
      <x:c r="I454" s="99"/>
      <x:c r="J454" s="99"/>
      <x:c r="K454" s="99"/>
      <x:c r="L454" s="99"/>
      <x:c r="M454" s="99"/>
      <x:c r="N454" s="99"/>
      <x:c r="O454" s="99"/>
      <x:c r="P454" s="99"/>
      <x:c r="Q454" s="99"/>
      <x:c r="R454" s="99"/>
      <x:c r="S454" s="99"/>
      <x:c r="T454" s="99"/>
      <x:c r="U454" s="99"/>
      <x:c r="V454" s="99"/>
      <x:c r="W454" s="99"/>
      <x:c r="X454" s="99"/>
      <x:c r="Y454" s="99"/>
      <x:c r="Z454" s="99"/>
    </x:row>
    <x:row r="455">
      <x:c r="A455" s="99"/>
      <x:c r="B455" s="99"/>
      <x:c r="C455" s="99"/>
      <x:c r="D455" s="99"/>
      <x:c r="E455" s="99"/>
      <x:c r="F455" s="99"/>
      <x:c r="G455" s="99"/>
      <x:c r="H455" s="99"/>
      <x:c r="I455" s="99"/>
      <x:c r="J455" s="99"/>
      <x:c r="K455" s="99"/>
      <x:c r="L455" s="99"/>
      <x:c r="M455" s="99"/>
      <x:c r="N455" s="99"/>
      <x:c r="O455" s="99"/>
      <x:c r="P455" s="99"/>
      <x:c r="Q455" s="99"/>
      <x:c r="R455" s="99"/>
      <x:c r="S455" s="99"/>
      <x:c r="T455" s="99"/>
      <x:c r="U455" s="99"/>
      <x:c r="V455" s="99"/>
      <x:c r="W455" s="99"/>
      <x:c r="X455" s="99"/>
      <x:c r="Y455" s="99"/>
      <x:c r="Z455" s="99"/>
    </x:row>
    <x:row r="456">
      <x:c r="A456" s="99"/>
      <x:c r="B456" s="99"/>
      <x:c r="C456" s="99"/>
      <x:c r="D456" s="99"/>
      <x:c r="E456" s="99"/>
      <x:c r="F456" s="99"/>
      <x:c r="G456" s="99"/>
      <x:c r="H456" s="99"/>
      <x:c r="I456" s="99"/>
      <x:c r="J456" s="99"/>
      <x:c r="K456" s="99"/>
      <x:c r="L456" s="99"/>
      <x:c r="M456" s="99"/>
      <x:c r="N456" s="99"/>
      <x:c r="O456" s="99"/>
      <x:c r="P456" s="99"/>
      <x:c r="Q456" s="99"/>
      <x:c r="R456" s="99"/>
      <x:c r="S456" s="99"/>
      <x:c r="T456" s="99"/>
      <x:c r="U456" s="99"/>
      <x:c r="V456" s="99"/>
      <x:c r="W456" s="99"/>
      <x:c r="X456" s="99"/>
      <x:c r="Y456" s="99"/>
      <x:c r="Z456" s="99"/>
    </x:row>
    <x:row r="457">
      <x:c r="A457" s="99"/>
      <x:c r="B457" s="99"/>
      <x:c r="C457" s="99"/>
      <x:c r="D457" s="99"/>
      <x:c r="E457" s="99"/>
      <x:c r="F457" s="99"/>
      <x:c r="G457" s="99"/>
      <x:c r="H457" s="99"/>
      <x:c r="I457" s="99"/>
      <x:c r="J457" s="99"/>
      <x:c r="K457" s="99"/>
      <x:c r="L457" s="99"/>
      <x:c r="M457" s="99"/>
      <x:c r="N457" s="99"/>
      <x:c r="O457" s="99"/>
      <x:c r="P457" s="99"/>
      <x:c r="Q457" s="99"/>
      <x:c r="R457" s="99"/>
      <x:c r="S457" s="99"/>
      <x:c r="T457" s="99"/>
      <x:c r="U457" s="99"/>
      <x:c r="V457" s="99"/>
      <x:c r="W457" s="99"/>
      <x:c r="X457" s="99"/>
      <x:c r="Y457" s="99"/>
      <x:c r="Z457" s="99"/>
    </x:row>
    <x:row r="458">
      <x:c r="A458" s="99"/>
      <x:c r="B458" s="99"/>
      <x:c r="C458" s="99"/>
      <x:c r="D458" s="99"/>
      <x:c r="E458" s="99"/>
      <x:c r="F458" s="99"/>
      <x:c r="G458" s="99"/>
      <x:c r="H458" s="99"/>
      <x:c r="I458" s="99"/>
      <x:c r="J458" s="99"/>
      <x:c r="K458" s="99"/>
      <x:c r="L458" s="99"/>
      <x:c r="M458" s="99"/>
      <x:c r="N458" s="99"/>
      <x:c r="O458" s="99"/>
      <x:c r="P458" s="99"/>
      <x:c r="Q458" s="99"/>
      <x:c r="R458" s="99"/>
      <x:c r="S458" s="99"/>
      <x:c r="T458" s="99"/>
      <x:c r="U458" s="99"/>
      <x:c r="V458" s="99"/>
      <x:c r="W458" s="99"/>
      <x:c r="X458" s="99"/>
      <x:c r="Y458" s="99"/>
      <x:c r="Z458" s="99"/>
    </x:row>
    <x:row r="459">
      <x:c r="A459" s="99"/>
      <x:c r="B459" s="99"/>
      <x:c r="C459" s="99"/>
      <x:c r="D459" s="99"/>
      <x:c r="E459" s="99"/>
      <x:c r="F459" s="99"/>
      <x:c r="G459" s="99"/>
      <x:c r="H459" s="99"/>
      <x:c r="I459" s="99"/>
      <x:c r="J459" s="99"/>
      <x:c r="K459" s="99"/>
      <x:c r="L459" s="99"/>
      <x:c r="M459" s="99"/>
      <x:c r="N459" s="99"/>
      <x:c r="O459" s="99"/>
      <x:c r="P459" s="99"/>
      <x:c r="Q459" s="99"/>
      <x:c r="R459" s="99"/>
      <x:c r="S459" s="99"/>
      <x:c r="T459" s="99"/>
      <x:c r="U459" s="99"/>
      <x:c r="V459" s="99"/>
      <x:c r="W459" s="99"/>
      <x:c r="X459" s="99"/>
      <x:c r="Y459" s="99"/>
      <x:c r="Z459" s="99"/>
    </x:row>
    <x:row r="460">
      <x:c r="A460" s="99"/>
      <x:c r="B460" s="99"/>
      <x:c r="C460" s="99"/>
      <x:c r="D460" s="99"/>
      <x:c r="E460" s="99"/>
      <x:c r="F460" s="99"/>
      <x:c r="G460" s="99"/>
      <x:c r="H460" s="99"/>
      <x:c r="I460" s="99"/>
      <x:c r="J460" s="99"/>
      <x:c r="K460" s="99"/>
      <x:c r="L460" s="99"/>
      <x:c r="M460" s="99"/>
      <x:c r="N460" s="99"/>
      <x:c r="O460" s="99"/>
      <x:c r="P460" s="99"/>
      <x:c r="Q460" s="99"/>
      <x:c r="R460" s="99"/>
      <x:c r="S460" s="99"/>
      <x:c r="T460" s="99"/>
      <x:c r="U460" s="99"/>
      <x:c r="V460" s="99"/>
      <x:c r="W460" s="99"/>
      <x:c r="X460" s="99"/>
      <x:c r="Y460" s="99"/>
      <x:c r="Z460" s="99"/>
    </x:row>
    <x:row r="461">
      <x:c r="A461" s="99"/>
      <x:c r="B461" s="99"/>
      <x:c r="C461" s="99"/>
      <x:c r="D461" s="99"/>
      <x:c r="E461" s="99"/>
      <x:c r="F461" s="99"/>
      <x:c r="G461" s="99"/>
      <x:c r="H461" s="99"/>
      <x:c r="I461" s="99"/>
      <x:c r="J461" s="99"/>
      <x:c r="K461" s="99"/>
      <x:c r="L461" s="99"/>
      <x:c r="M461" s="99"/>
      <x:c r="N461" s="99"/>
      <x:c r="O461" s="99"/>
      <x:c r="P461" s="99"/>
      <x:c r="Q461" s="99"/>
      <x:c r="R461" s="99"/>
      <x:c r="S461" s="99"/>
      <x:c r="T461" s="99"/>
      <x:c r="U461" s="99"/>
      <x:c r="V461" s="99"/>
      <x:c r="W461" s="99"/>
      <x:c r="X461" s="99"/>
      <x:c r="Y461" s="99"/>
      <x:c r="Z461" s="99"/>
    </x:row>
    <x:row r="462">
      <x:c r="A462" s="99"/>
      <x:c r="B462" s="99"/>
      <x:c r="C462" s="99"/>
      <x:c r="D462" s="99"/>
      <x:c r="E462" s="99"/>
      <x:c r="F462" s="99"/>
      <x:c r="G462" s="99"/>
      <x:c r="H462" s="99"/>
      <x:c r="I462" s="99"/>
      <x:c r="J462" s="99"/>
      <x:c r="K462" s="99"/>
      <x:c r="L462" s="99"/>
      <x:c r="M462" s="99"/>
      <x:c r="N462" s="99"/>
      <x:c r="O462" s="99"/>
      <x:c r="P462" s="99"/>
      <x:c r="Q462" s="99"/>
      <x:c r="R462" s="99"/>
      <x:c r="S462" s="99"/>
      <x:c r="T462" s="99"/>
      <x:c r="U462" s="99"/>
      <x:c r="V462" s="99"/>
      <x:c r="W462" s="99"/>
      <x:c r="X462" s="99"/>
      <x:c r="Y462" s="99"/>
      <x:c r="Z462" s="99"/>
    </x:row>
    <x:row r="463">
      <x:c r="A463" s="99"/>
      <x:c r="B463" s="99"/>
      <x:c r="C463" s="99"/>
      <x:c r="D463" s="99"/>
      <x:c r="E463" s="99"/>
      <x:c r="F463" s="99"/>
      <x:c r="G463" s="99"/>
      <x:c r="H463" s="99"/>
      <x:c r="I463" s="99"/>
      <x:c r="J463" s="99"/>
      <x:c r="K463" s="99"/>
      <x:c r="L463" s="99"/>
      <x:c r="M463" s="99"/>
      <x:c r="N463" s="99"/>
      <x:c r="O463" s="99"/>
      <x:c r="P463" s="99"/>
      <x:c r="Q463" s="99"/>
      <x:c r="R463" s="99"/>
      <x:c r="S463" s="99"/>
      <x:c r="T463" s="99"/>
      <x:c r="U463" s="99"/>
      <x:c r="V463" s="99"/>
      <x:c r="W463" s="99"/>
      <x:c r="X463" s="99"/>
      <x:c r="Y463" s="99"/>
      <x:c r="Z463" s="99"/>
    </x:row>
    <x:row r="464">
      <x:c r="A464" s="99"/>
      <x:c r="B464" s="99"/>
      <x:c r="C464" s="99"/>
      <x:c r="D464" s="99"/>
      <x:c r="E464" s="99"/>
      <x:c r="F464" s="99"/>
      <x:c r="G464" s="99"/>
      <x:c r="H464" s="99"/>
      <x:c r="I464" s="99"/>
      <x:c r="J464" s="99"/>
      <x:c r="K464" s="99"/>
      <x:c r="L464" s="99"/>
      <x:c r="M464" s="99"/>
      <x:c r="N464" s="99"/>
      <x:c r="O464" s="99"/>
      <x:c r="P464" s="99"/>
      <x:c r="Q464" s="99"/>
      <x:c r="R464" s="99"/>
      <x:c r="S464" s="99"/>
      <x:c r="T464" s="99"/>
      <x:c r="U464" s="99"/>
      <x:c r="V464" s="99"/>
      <x:c r="W464" s="99"/>
      <x:c r="X464" s="99"/>
      <x:c r="Y464" s="99"/>
      <x:c r="Z464" s="99"/>
    </x:row>
    <x:row r="465">
      <x:c r="A465" s="99"/>
      <x:c r="B465" s="99"/>
      <x:c r="C465" s="99"/>
      <x:c r="D465" s="99"/>
      <x:c r="E465" s="99"/>
      <x:c r="F465" s="99"/>
      <x:c r="G465" s="99"/>
      <x:c r="H465" s="99"/>
      <x:c r="I465" s="99"/>
      <x:c r="J465" s="99"/>
      <x:c r="K465" s="99"/>
      <x:c r="L465" s="99"/>
      <x:c r="M465" s="99"/>
      <x:c r="N465" s="99"/>
      <x:c r="O465" s="99"/>
      <x:c r="P465" s="99"/>
      <x:c r="Q465" s="99"/>
      <x:c r="R465" s="99"/>
      <x:c r="S465" s="99"/>
      <x:c r="T465" s="99"/>
      <x:c r="U465" s="99"/>
      <x:c r="V465" s="99"/>
      <x:c r="W465" s="99"/>
      <x:c r="X465" s="99"/>
      <x:c r="Y465" s="99"/>
      <x:c r="Z465" s="99"/>
    </x:row>
    <x:row r="466">
      <x:c r="A466" s="99"/>
      <x:c r="B466" s="99"/>
      <x:c r="C466" s="99"/>
      <x:c r="D466" s="99"/>
      <x:c r="E466" s="99"/>
      <x:c r="F466" s="99"/>
      <x:c r="G466" s="99"/>
      <x:c r="H466" s="99"/>
      <x:c r="I466" s="99"/>
      <x:c r="J466" s="99"/>
      <x:c r="K466" s="99"/>
      <x:c r="L466" s="99"/>
      <x:c r="M466" s="99"/>
      <x:c r="N466" s="99"/>
      <x:c r="O466" s="99"/>
      <x:c r="P466" s="99"/>
      <x:c r="Q466" s="99"/>
      <x:c r="R466" s="99"/>
      <x:c r="S466" s="99"/>
      <x:c r="T466" s="99"/>
      <x:c r="U466" s="99"/>
      <x:c r="V466" s="99"/>
      <x:c r="W466" s="99"/>
      <x:c r="X466" s="99"/>
      <x:c r="Y466" s="99"/>
      <x:c r="Z466" s="99"/>
    </x:row>
    <x:row r="467">
      <x:c r="A467" s="99"/>
      <x:c r="B467" s="99"/>
      <x:c r="C467" s="99"/>
      <x:c r="D467" s="99"/>
      <x:c r="E467" s="99"/>
      <x:c r="F467" s="99"/>
      <x:c r="G467" s="99"/>
      <x:c r="H467" s="99"/>
      <x:c r="I467" s="99"/>
      <x:c r="J467" s="99"/>
      <x:c r="K467" s="99"/>
      <x:c r="L467" s="99"/>
      <x:c r="M467" s="99"/>
      <x:c r="N467" s="99"/>
      <x:c r="O467" s="99"/>
      <x:c r="P467" s="99"/>
      <x:c r="Q467" s="99"/>
      <x:c r="R467" s="99"/>
      <x:c r="S467" s="99"/>
      <x:c r="T467" s="99"/>
      <x:c r="U467" s="99"/>
      <x:c r="V467" s="99"/>
      <x:c r="W467" s="99"/>
      <x:c r="X467" s="99"/>
      <x:c r="Y467" s="99"/>
      <x:c r="Z467" s="99"/>
    </x:row>
    <x:row r="468">
      <x:c r="A468" s="99"/>
      <x:c r="B468" s="99"/>
      <x:c r="C468" s="99"/>
      <x:c r="D468" s="99"/>
      <x:c r="E468" s="99"/>
      <x:c r="F468" s="99"/>
      <x:c r="G468" s="99"/>
      <x:c r="H468" s="99"/>
      <x:c r="I468" s="99"/>
      <x:c r="J468" s="99"/>
      <x:c r="K468" s="99"/>
      <x:c r="L468" s="99"/>
      <x:c r="M468" s="99"/>
      <x:c r="N468" s="99"/>
      <x:c r="O468" s="99"/>
      <x:c r="P468" s="99"/>
      <x:c r="Q468" s="99"/>
      <x:c r="R468" s="99"/>
      <x:c r="S468" s="99"/>
      <x:c r="T468" s="99"/>
      <x:c r="U468" s="99"/>
      <x:c r="V468" s="99"/>
      <x:c r="W468" s="99"/>
      <x:c r="X468" s="99"/>
      <x:c r="Y468" s="99"/>
      <x:c r="Z468" s="99"/>
    </x:row>
    <x:row r="469">
      <x:c r="A469" s="99"/>
      <x:c r="B469" s="99"/>
      <x:c r="C469" s="99"/>
      <x:c r="D469" s="99"/>
      <x:c r="E469" s="99"/>
      <x:c r="F469" s="99"/>
      <x:c r="G469" s="99"/>
      <x:c r="H469" s="99"/>
      <x:c r="I469" s="99"/>
      <x:c r="J469" s="99"/>
      <x:c r="K469" s="99"/>
      <x:c r="L469" s="99"/>
      <x:c r="M469" s="99"/>
      <x:c r="N469" s="99"/>
      <x:c r="O469" s="99"/>
      <x:c r="P469" s="99"/>
      <x:c r="Q469" s="99"/>
      <x:c r="R469" s="99"/>
      <x:c r="S469" s="99"/>
      <x:c r="T469" s="99"/>
      <x:c r="U469" s="99"/>
      <x:c r="V469" s="99"/>
      <x:c r="W469" s="99"/>
      <x:c r="X469" s="99"/>
      <x:c r="Y469" s="99"/>
      <x:c r="Z469" s="99"/>
    </x:row>
    <x:row r="470">
      <x:c r="A470" s="99"/>
      <x:c r="B470" s="99"/>
      <x:c r="C470" s="99"/>
      <x:c r="D470" s="99"/>
      <x:c r="E470" s="99"/>
      <x:c r="F470" s="99"/>
      <x:c r="G470" s="99"/>
      <x:c r="H470" s="99"/>
      <x:c r="I470" s="99"/>
      <x:c r="J470" s="99"/>
      <x:c r="K470" s="99"/>
      <x:c r="L470" s="99"/>
      <x:c r="M470" s="99"/>
      <x:c r="N470" s="99"/>
      <x:c r="O470" s="99"/>
      <x:c r="P470" s="99"/>
      <x:c r="Q470" s="99"/>
      <x:c r="R470" s="99"/>
      <x:c r="S470" s="99"/>
      <x:c r="T470" s="99"/>
      <x:c r="U470" s="99"/>
      <x:c r="V470" s="99"/>
      <x:c r="W470" s="99"/>
      <x:c r="X470" s="99"/>
      <x:c r="Y470" s="99"/>
      <x:c r="Z470" s="99"/>
    </x:row>
    <x:row r="471">
      <x:c r="A471" s="99"/>
      <x:c r="B471" s="99"/>
      <x:c r="C471" s="99"/>
      <x:c r="D471" s="99"/>
      <x:c r="E471" s="99"/>
      <x:c r="F471" s="99"/>
      <x:c r="G471" s="99"/>
      <x:c r="H471" s="99"/>
      <x:c r="I471" s="99"/>
      <x:c r="J471" s="99"/>
      <x:c r="K471" s="99"/>
      <x:c r="L471" s="99"/>
      <x:c r="M471" s="99"/>
      <x:c r="N471" s="99"/>
      <x:c r="O471" s="99"/>
      <x:c r="P471" s="99"/>
      <x:c r="Q471" s="99"/>
      <x:c r="R471" s="99"/>
      <x:c r="S471" s="99"/>
      <x:c r="T471" s="99"/>
      <x:c r="U471" s="99"/>
      <x:c r="V471" s="99"/>
      <x:c r="W471" s="99"/>
      <x:c r="X471" s="99"/>
      <x:c r="Y471" s="99"/>
      <x:c r="Z471" s="99"/>
    </x:row>
    <x:row r="472">
      <x:c r="A472" s="99"/>
      <x:c r="B472" s="99"/>
      <x:c r="C472" s="99"/>
      <x:c r="D472" s="99"/>
      <x:c r="E472" s="99"/>
      <x:c r="F472" s="99"/>
      <x:c r="G472" s="99"/>
      <x:c r="H472" s="99"/>
      <x:c r="I472" s="99"/>
      <x:c r="J472" s="99"/>
      <x:c r="K472" s="99"/>
      <x:c r="L472" s="99"/>
      <x:c r="M472" s="99"/>
      <x:c r="N472" s="99"/>
      <x:c r="O472" s="99"/>
      <x:c r="P472" s="99"/>
      <x:c r="Q472" s="99"/>
      <x:c r="R472" s="99"/>
      <x:c r="S472" s="99"/>
      <x:c r="T472" s="99"/>
      <x:c r="U472" s="99"/>
      <x:c r="V472" s="99"/>
      <x:c r="W472" s="99"/>
      <x:c r="X472" s="99"/>
      <x:c r="Y472" s="99"/>
      <x:c r="Z472" s="99"/>
    </x:row>
    <x:row r="473">
      <x:c r="A473" s="99"/>
      <x:c r="B473" s="99"/>
      <x:c r="C473" s="99"/>
      <x:c r="D473" s="99"/>
      <x:c r="E473" s="99"/>
      <x:c r="F473" s="99"/>
      <x:c r="G473" s="99"/>
      <x:c r="H473" s="99"/>
      <x:c r="I473" s="99"/>
      <x:c r="J473" s="99"/>
      <x:c r="K473" s="99"/>
      <x:c r="L473" s="99"/>
      <x:c r="M473" s="99"/>
      <x:c r="N473" s="99"/>
      <x:c r="O473" s="99"/>
      <x:c r="P473" s="99"/>
      <x:c r="Q473" s="99"/>
      <x:c r="R473" s="99"/>
      <x:c r="S473" s="99"/>
      <x:c r="T473" s="99"/>
      <x:c r="U473" s="99"/>
      <x:c r="V473" s="99"/>
      <x:c r="W473" s="99"/>
      <x:c r="X473" s="99"/>
      <x:c r="Y473" s="99"/>
      <x:c r="Z473" s="99"/>
    </x:row>
    <x:row r="474">
      <x:c r="A474" s="99"/>
      <x:c r="B474" s="99"/>
      <x:c r="C474" s="99"/>
      <x:c r="D474" s="99"/>
      <x:c r="E474" s="99"/>
      <x:c r="F474" s="99"/>
      <x:c r="G474" s="99"/>
      <x:c r="H474" s="99"/>
      <x:c r="I474" s="99"/>
      <x:c r="J474" s="99"/>
      <x:c r="K474" s="99"/>
      <x:c r="L474" s="99"/>
      <x:c r="M474" s="99"/>
      <x:c r="N474" s="99"/>
      <x:c r="O474" s="99"/>
      <x:c r="P474" s="99"/>
      <x:c r="Q474" s="99"/>
      <x:c r="R474" s="99"/>
      <x:c r="S474" s="99"/>
      <x:c r="T474" s="99"/>
      <x:c r="U474" s="99"/>
      <x:c r="V474" s="99"/>
      <x:c r="W474" s="99"/>
      <x:c r="X474" s="99"/>
      <x:c r="Y474" s="99"/>
      <x:c r="Z474" s="99"/>
    </x:row>
    <x:row r="475">
      <x:c r="A475" s="99"/>
      <x:c r="B475" s="99"/>
      <x:c r="C475" s="99"/>
      <x:c r="D475" s="99"/>
      <x:c r="E475" s="99"/>
      <x:c r="F475" s="99"/>
      <x:c r="G475" s="99"/>
      <x:c r="H475" s="99"/>
      <x:c r="I475" s="99"/>
      <x:c r="J475" s="99"/>
      <x:c r="K475" s="99"/>
      <x:c r="L475" s="99"/>
      <x:c r="M475" s="99"/>
      <x:c r="N475" s="99"/>
      <x:c r="O475" s="99"/>
      <x:c r="P475" s="99"/>
      <x:c r="Q475" s="99"/>
      <x:c r="R475" s="99"/>
      <x:c r="S475" s="99"/>
      <x:c r="T475" s="99"/>
      <x:c r="U475" s="99"/>
      <x:c r="V475" s="99"/>
      <x:c r="W475" s="99"/>
      <x:c r="X475" s="99"/>
      <x:c r="Y475" s="99"/>
      <x:c r="Z475" s="99"/>
    </x:row>
    <x:row r="476">
      <x:c r="A476" s="99"/>
      <x:c r="B476" s="99"/>
      <x:c r="C476" s="99"/>
      <x:c r="D476" s="99"/>
      <x:c r="E476" s="99"/>
      <x:c r="F476" s="99"/>
      <x:c r="G476" s="99"/>
      <x:c r="H476" s="99"/>
      <x:c r="I476" s="99"/>
      <x:c r="J476" s="99"/>
      <x:c r="K476" s="99"/>
      <x:c r="L476" s="99"/>
      <x:c r="M476" s="99"/>
      <x:c r="N476" s="99"/>
      <x:c r="O476" s="99"/>
      <x:c r="P476" s="99"/>
      <x:c r="Q476" s="99"/>
      <x:c r="R476" s="99"/>
      <x:c r="S476" s="99"/>
      <x:c r="T476" s="99"/>
      <x:c r="U476" s="99"/>
      <x:c r="V476" s="99"/>
      <x:c r="W476" s="99"/>
      <x:c r="X476" s="99"/>
      <x:c r="Y476" s="99"/>
      <x:c r="Z476" s="99"/>
    </x:row>
    <x:row r="477">
      <x:c r="A477" s="99"/>
      <x:c r="B477" s="99"/>
      <x:c r="C477" s="99"/>
      <x:c r="D477" s="99"/>
      <x:c r="E477" s="99"/>
      <x:c r="F477" s="99"/>
      <x:c r="G477" s="99"/>
      <x:c r="H477" s="99"/>
      <x:c r="I477" s="99"/>
      <x:c r="J477" s="99"/>
      <x:c r="K477" s="99"/>
      <x:c r="L477" s="99"/>
      <x:c r="M477" s="99"/>
      <x:c r="N477" s="99"/>
      <x:c r="O477" s="99"/>
      <x:c r="P477" s="99"/>
      <x:c r="Q477" s="99"/>
      <x:c r="R477" s="99"/>
      <x:c r="S477" s="99"/>
      <x:c r="T477" s="99"/>
      <x:c r="U477" s="99"/>
      <x:c r="V477" s="99"/>
      <x:c r="W477" s="99"/>
      <x:c r="X477" s="99"/>
      <x:c r="Y477" s="99"/>
      <x:c r="Z477" s="99"/>
    </x:row>
    <x:row r="478">
      <x:c r="A478" s="99"/>
      <x:c r="B478" s="99"/>
      <x:c r="C478" s="99"/>
      <x:c r="D478" s="99"/>
      <x:c r="E478" s="99"/>
      <x:c r="F478" s="99"/>
      <x:c r="G478" s="99"/>
      <x:c r="H478" s="99"/>
      <x:c r="I478" s="99"/>
      <x:c r="J478" s="99"/>
      <x:c r="K478" s="99"/>
      <x:c r="L478" s="99"/>
      <x:c r="M478" s="99"/>
      <x:c r="N478" s="99"/>
      <x:c r="O478" s="99"/>
      <x:c r="P478" s="99"/>
      <x:c r="Q478" s="99"/>
      <x:c r="R478" s="99"/>
      <x:c r="S478" s="99"/>
      <x:c r="T478" s="99"/>
      <x:c r="U478" s="99"/>
      <x:c r="V478" s="99"/>
      <x:c r="W478" s="99"/>
      <x:c r="X478" s="99"/>
      <x:c r="Y478" s="99"/>
      <x:c r="Z478" s="99"/>
    </x:row>
    <x:row r="479">
      <x:c r="A479" s="99"/>
      <x:c r="B479" s="99"/>
      <x:c r="C479" s="99"/>
      <x:c r="D479" s="99"/>
      <x:c r="E479" s="99"/>
      <x:c r="F479" s="99"/>
      <x:c r="G479" s="99"/>
      <x:c r="H479" s="99"/>
      <x:c r="I479" s="99"/>
      <x:c r="J479" s="99"/>
      <x:c r="K479" s="99"/>
      <x:c r="L479" s="99"/>
      <x:c r="M479" s="99"/>
      <x:c r="N479" s="99"/>
      <x:c r="O479" s="99"/>
      <x:c r="P479" s="99"/>
      <x:c r="Q479" s="99"/>
      <x:c r="R479" s="99"/>
      <x:c r="S479" s="99"/>
      <x:c r="T479" s="99"/>
      <x:c r="U479" s="99"/>
      <x:c r="V479" s="99"/>
      <x:c r="W479" s="99"/>
      <x:c r="X479" s="99"/>
      <x:c r="Y479" s="99"/>
      <x:c r="Z479" s="99"/>
    </x:row>
    <x:row r="480">
      <x:c r="A480" s="99"/>
      <x:c r="B480" s="99"/>
      <x:c r="C480" s="99"/>
      <x:c r="D480" s="99"/>
      <x:c r="E480" s="99"/>
      <x:c r="F480" s="99"/>
      <x:c r="G480" s="99"/>
      <x:c r="H480" s="99"/>
      <x:c r="I480" s="99"/>
      <x:c r="J480" s="99"/>
      <x:c r="K480" s="99"/>
      <x:c r="L480" s="99"/>
      <x:c r="M480" s="99"/>
      <x:c r="N480" s="99"/>
      <x:c r="O480" s="99"/>
      <x:c r="P480" s="99"/>
      <x:c r="Q480" s="99"/>
      <x:c r="R480" s="99"/>
      <x:c r="S480" s="99"/>
      <x:c r="T480" s="99"/>
      <x:c r="U480" s="99"/>
      <x:c r="V480" s="99"/>
      <x:c r="W480" s="99"/>
      <x:c r="X480" s="99"/>
      <x:c r="Y480" s="99"/>
      <x:c r="Z480" s="99"/>
    </x:row>
    <x:row r="481">
      <x:c r="A481" s="99"/>
      <x:c r="B481" s="99"/>
      <x:c r="C481" s="99"/>
      <x:c r="D481" s="99"/>
      <x:c r="E481" s="99"/>
      <x:c r="F481" s="99"/>
      <x:c r="G481" s="99"/>
      <x:c r="H481" s="99"/>
      <x:c r="I481" s="99"/>
      <x:c r="J481" s="99"/>
      <x:c r="K481" s="99"/>
      <x:c r="L481" s="99"/>
      <x:c r="M481" s="99"/>
      <x:c r="N481" s="99"/>
      <x:c r="O481" s="99"/>
      <x:c r="P481" s="99"/>
      <x:c r="Q481" s="99"/>
      <x:c r="R481" s="99"/>
      <x:c r="S481" s="99"/>
      <x:c r="T481" s="99"/>
      <x:c r="U481" s="99"/>
      <x:c r="V481" s="99"/>
      <x:c r="W481" s="99"/>
      <x:c r="X481" s="99"/>
      <x:c r="Y481" s="99"/>
      <x:c r="Z481" s="99"/>
    </x:row>
    <x:row r="482">
      <x:c r="A482" s="99"/>
      <x:c r="B482" s="99"/>
      <x:c r="C482" s="99"/>
      <x:c r="D482" s="99"/>
      <x:c r="E482" s="99"/>
      <x:c r="F482" s="99"/>
      <x:c r="G482" s="99"/>
      <x:c r="H482" s="99"/>
      <x:c r="I482" s="99"/>
      <x:c r="J482" s="99"/>
      <x:c r="K482" s="99"/>
      <x:c r="L482" s="99"/>
      <x:c r="M482" s="99"/>
      <x:c r="N482" s="99"/>
      <x:c r="O482" s="99"/>
      <x:c r="P482" s="99"/>
      <x:c r="Q482" s="99"/>
      <x:c r="R482" s="99"/>
      <x:c r="S482" s="99"/>
      <x:c r="T482" s="99"/>
      <x:c r="U482" s="99"/>
      <x:c r="V482" s="99"/>
      <x:c r="W482" s="99"/>
      <x:c r="X482" s="99"/>
      <x:c r="Y482" s="99"/>
      <x:c r="Z482" s="99"/>
    </x:row>
    <x:row r="483">
      <x:c r="A483" s="99"/>
      <x:c r="B483" s="99"/>
      <x:c r="C483" s="99"/>
      <x:c r="D483" s="99"/>
      <x:c r="E483" s="99"/>
      <x:c r="F483" s="99"/>
      <x:c r="G483" s="99"/>
      <x:c r="H483" s="99"/>
      <x:c r="I483" s="99"/>
      <x:c r="J483" s="99"/>
      <x:c r="K483" s="99"/>
      <x:c r="L483" s="99"/>
      <x:c r="M483" s="99"/>
      <x:c r="N483" s="99"/>
      <x:c r="O483" s="99"/>
      <x:c r="P483" s="99"/>
      <x:c r="Q483" s="99"/>
      <x:c r="R483" s="99"/>
      <x:c r="S483" s="99"/>
      <x:c r="T483" s="99"/>
      <x:c r="U483" s="99"/>
      <x:c r="V483" s="99"/>
      <x:c r="W483" s="99"/>
      <x:c r="X483" s="99"/>
      <x:c r="Y483" s="99"/>
      <x:c r="Z483" s="99"/>
    </x:row>
    <x:row r="484">
      <x:c r="A484" s="99"/>
      <x:c r="B484" s="99"/>
      <x:c r="C484" s="99"/>
      <x:c r="D484" s="99"/>
      <x:c r="E484" s="99"/>
      <x:c r="F484" s="99"/>
      <x:c r="G484" s="99"/>
      <x:c r="H484" s="99"/>
      <x:c r="I484" s="99"/>
      <x:c r="J484" s="99"/>
      <x:c r="K484" s="99"/>
      <x:c r="L484" s="99"/>
      <x:c r="M484" s="99"/>
      <x:c r="N484" s="99"/>
      <x:c r="O484" s="99"/>
      <x:c r="P484" s="99"/>
      <x:c r="Q484" s="99"/>
      <x:c r="R484" s="99"/>
      <x:c r="S484" s="99"/>
      <x:c r="T484" s="99"/>
      <x:c r="U484" s="99"/>
      <x:c r="V484" s="99"/>
      <x:c r="W484" s="99"/>
      <x:c r="X484" s="99"/>
      <x:c r="Y484" s="99"/>
      <x:c r="Z484" s="99"/>
    </x:row>
    <x:row r="485">
      <x:c r="A485" s="99"/>
      <x:c r="B485" s="99"/>
      <x:c r="C485" s="99"/>
      <x:c r="D485" s="99"/>
      <x:c r="E485" s="99"/>
      <x:c r="F485" s="99"/>
      <x:c r="G485" s="99"/>
      <x:c r="H485" s="99"/>
      <x:c r="I485" s="99"/>
      <x:c r="J485" s="99"/>
      <x:c r="K485" s="99"/>
      <x:c r="L485" s="99"/>
      <x:c r="M485" s="99"/>
      <x:c r="N485" s="99"/>
      <x:c r="O485" s="99"/>
      <x:c r="P485" s="99"/>
      <x:c r="Q485" s="99"/>
      <x:c r="R485" s="99"/>
      <x:c r="S485" s="99"/>
      <x:c r="T485" s="99"/>
      <x:c r="U485" s="99"/>
      <x:c r="V485" s="99"/>
      <x:c r="W485" s="99"/>
      <x:c r="X485" s="99"/>
      <x:c r="Y485" s="99"/>
      <x:c r="Z485" s="99"/>
    </x:row>
    <x:row r="486">
      <x:c r="A486" s="99"/>
      <x:c r="B486" s="99"/>
      <x:c r="C486" s="99"/>
      <x:c r="D486" s="99"/>
      <x:c r="E486" s="99"/>
      <x:c r="F486" s="99"/>
      <x:c r="G486" s="99"/>
      <x:c r="H486" s="99"/>
      <x:c r="I486" s="99"/>
      <x:c r="J486" s="99"/>
      <x:c r="K486" s="99"/>
      <x:c r="L486" s="99"/>
      <x:c r="M486" s="99"/>
      <x:c r="N486" s="99"/>
      <x:c r="O486" s="99"/>
      <x:c r="P486" s="99"/>
      <x:c r="Q486" s="99"/>
      <x:c r="R486" s="99"/>
      <x:c r="S486" s="99"/>
      <x:c r="T486" s="99"/>
      <x:c r="U486" s="99"/>
      <x:c r="V486" s="99"/>
      <x:c r="W486" s="99"/>
      <x:c r="X486" s="99"/>
      <x:c r="Y486" s="99"/>
      <x:c r="Z486" s="99"/>
    </x:row>
    <x:row r="487">
      <x:c r="A487" s="99"/>
      <x:c r="B487" s="99"/>
      <x:c r="C487" s="99"/>
      <x:c r="D487" s="99"/>
      <x:c r="E487" s="99"/>
      <x:c r="F487" s="99"/>
      <x:c r="G487" s="99"/>
      <x:c r="H487" s="99"/>
      <x:c r="I487" s="99"/>
      <x:c r="J487" s="99"/>
      <x:c r="K487" s="99"/>
      <x:c r="L487" s="99"/>
      <x:c r="M487" s="99"/>
      <x:c r="N487" s="99"/>
      <x:c r="O487" s="99"/>
      <x:c r="P487" s="99"/>
      <x:c r="Q487" s="99"/>
      <x:c r="R487" s="99"/>
      <x:c r="S487" s="99"/>
      <x:c r="T487" s="99"/>
      <x:c r="U487" s="99"/>
      <x:c r="V487" s="99"/>
      <x:c r="W487" s="99"/>
      <x:c r="X487" s="99"/>
      <x:c r="Y487" s="99"/>
      <x:c r="Z487" s="99"/>
    </x:row>
    <x:row r="488">
      <x:c r="A488" s="99"/>
      <x:c r="B488" s="99"/>
      <x:c r="C488" s="99"/>
      <x:c r="D488" s="99"/>
      <x:c r="E488" s="99"/>
      <x:c r="F488" s="99"/>
      <x:c r="G488" s="99"/>
      <x:c r="H488" s="99"/>
      <x:c r="I488" s="99"/>
      <x:c r="J488" s="99"/>
      <x:c r="K488" s="99"/>
      <x:c r="L488" s="99"/>
      <x:c r="M488" s="99"/>
      <x:c r="N488" s="99"/>
      <x:c r="O488" s="99"/>
      <x:c r="P488" s="99"/>
      <x:c r="Q488" s="99"/>
      <x:c r="R488" s="99"/>
      <x:c r="S488" s="99"/>
      <x:c r="T488" s="99"/>
      <x:c r="U488" s="99"/>
      <x:c r="V488" s="99"/>
      <x:c r="W488" s="99"/>
      <x:c r="X488" s="99"/>
      <x:c r="Y488" s="99"/>
      <x:c r="Z488" s="99"/>
    </x:row>
    <x:row r="489">
      <x:c r="A489" s="99"/>
      <x:c r="B489" s="99"/>
      <x:c r="C489" s="99"/>
      <x:c r="D489" s="99"/>
      <x:c r="E489" s="99"/>
      <x:c r="F489" s="99"/>
      <x:c r="G489" s="99"/>
      <x:c r="H489" s="99"/>
      <x:c r="I489" s="99"/>
      <x:c r="J489" s="99"/>
      <x:c r="K489" s="99"/>
      <x:c r="L489" s="99"/>
      <x:c r="M489" s="99"/>
      <x:c r="N489" s="99"/>
      <x:c r="O489" s="99"/>
      <x:c r="P489" s="99"/>
      <x:c r="Q489" s="99"/>
      <x:c r="R489" s="99"/>
      <x:c r="S489" s="99"/>
      <x:c r="T489" s="99"/>
      <x:c r="U489" s="99"/>
      <x:c r="V489" s="99"/>
      <x:c r="W489" s="99"/>
      <x:c r="X489" s="99"/>
      <x:c r="Y489" s="99"/>
      <x:c r="Z489" s="99"/>
    </x:row>
    <x:row r="490">
      <x:c r="A490" s="99"/>
      <x:c r="B490" s="99"/>
      <x:c r="C490" s="99"/>
      <x:c r="D490" s="99"/>
      <x:c r="E490" s="99"/>
      <x:c r="F490" s="99"/>
      <x:c r="G490" s="99"/>
      <x:c r="H490" s="99"/>
      <x:c r="I490" s="99"/>
      <x:c r="J490" s="99"/>
      <x:c r="K490" s="99"/>
      <x:c r="L490" s="99"/>
      <x:c r="M490" s="99"/>
      <x:c r="N490" s="99"/>
      <x:c r="O490" s="99"/>
      <x:c r="P490" s="99"/>
      <x:c r="Q490" s="99"/>
      <x:c r="R490" s="99"/>
      <x:c r="S490" s="99"/>
      <x:c r="T490" s="99"/>
      <x:c r="U490" s="99"/>
      <x:c r="V490" s="99"/>
      <x:c r="W490" s="99"/>
      <x:c r="X490" s="99"/>
      <x:c r="Y490" s="99"/>
      <x:c r="Z490" s="99"/>
    </x:row>
    <x:row r="491">
      <x:c r="A491" s="99"/>
      <x:c r="B491" s="99"/>
      <x:c r="C491" s="99"/>
      <x:c r="D491" s="99"/>
      <x:c r="E491" s="99"/>
      <x:c r="F491" s="99"/>
      <x:c r="G491" s="99"/>
      <x:c r="H491" s="99"/>
      <x:c r="I491" s="99"/>
      <x:c r="J491" s="99"/>
      <x:c r="K491" s="99"/>
      <x:c r="L491" s="99"/>
      <x:c r="M491" s="99"/>
      <x:c r="N491" s="99"/>
      <x:c r="O491" s="99"/>
      <x:c r="P491" s="99"/>
      <x:c r="Q491" s="99"/>
      <x:c r="R491" s="99"/>
      <x:c r="S491" s="99"/>
      <x:c r="T491" s="99"/>
      <x:c r="U491" s="99"/>
      <x:c r="V491" s="99"/>
      <x:c r="W491" s="99"/>
      <x:c r="X491" s="99"/>
      <x:c r="Y491" s="99"/>
      <x:c r="Z491" s="99"/>
    </x:row>
    <x:row r="492">
      <x:c r="A492" s="99"/>
      <x:c r="B492" s="99"/>
      <x:c r="C492" s="99"/>
      <x:c r="D492" s="99"/>
      <x:c r="E492" s="99"/>
      <x:c r="F492" s="99"/>
      <x:c r="G492" s="99"/>
      <x:c r="H492" s="99"/>
      <x:c r="I492" s="99"/>
      <x:c r="J492" s="99"/>
      <x:c r="K492" s="99"/>
      <x:c r="L492" s="99"/>
      <x:c r="M492" s="99"/>
      <x:c r="N492" s="99"/>
      <x:c r="O492" s="99"/>
      <x:c r="P492" s="99"/>
      <x:c r="Q492" s="99"/>
      <x:c r="R492" s="99"/>
      <x:c r="S492" s="99"/>
      <x:c r="T492" s="99"/>
      <x:c r="U492" s="99"/>
      <x:c r="V492" s="99"/>
      <x:c r="W492" s="99"/>
      <x:c r="X492" s="99"/>
      <x:c r="Y492" s="99"/>
      <x:c r="Z492" s="99"/>
    </x:row>
    <x:row r="493">
      <x:c r="A493" s="99"/>
      <x:c r="B493" s="99"/>
      <x:c r="C493" s="99"/>
      <x:c r="D493" s="99"/>
      <x:c r="E493" s="99"/>
      <x:c r="F493" s="99"/>
      <x:c r="G493" s="99"/>
      <x:c r="H493" s="99"/>
      <x:c r="I493" s="99"/>
      <x:c r="J493" s="99"/>
      <x:c r="K493" s="99"/>
      <x:c r="L493" s="99"/>
      <x:c r="M493" s="99"/>
      <x:c r="N493" s="99"/>
      <x:c r="O493" s="99"/>
      <x:c r="P493" s="99"/>
      <x:c r="Q493" s="99"/>
      <x:c r="R493" s="99"/>
      <x:c r="S493" s="99"/>
      <x:c r="T493" s="99"/>
      <x:c r="U493" s="99"/>
      <x:c r="V493" s="99"/>
      <x:c r="W493" s="99"/>
      <x:c r="X493" s="99"/>
      <x:c r="Y493" s="99"/>
      <x:c r="Z493" s="99"/>
    </x:row>
    <x:row r="494">
      <x:c r="A494" s="99"/>
      <x:c r="B494" s="99"/>
      <x:c r="C494" s="99"/>
      <x:c r="D494" s="99"/>
      <x:c r="E494" s="99"/>
      <x:c r="F494" s="99"/>
      <x:c r="G494" s="99"/>
      <x:c r="H494" s="99"/>
      <x:c r="I494" s="99"/>
      <x:c r="J494" s="99"/>
      <x:c r="K494" s="99"/>
      <x:c r="L494" s="99"/>
      <x:c r="M494" s="99"/>
      <x:c r="N494" s="99"/>
      <x:c r="O494" s="99"/>
      <x:c r="P494" s="99"/>
      <x:c r="Q494" s="99"/>
      <x:c r="R494" s="99"/>
      <x:c r="S494" s="99"/>
      <x:c r="T494" s="99"/>
      <x:c r="U494" s="99"/>
      <x:c r="V494" s="99"/>
      <x:c r="W494" s="99"/>
      <x:c r="X494" s="99"/>
      <x:c r="Y494" s="99"/>
      <x:c r="Z494" s="99"/>
    </x:row>
    <x:row r="495">
      <x:c r="A495" s="99"/>
      <x:c r="B495" s="99"/>
      <x:c r="C495" s="99"/>
      <x:c r="D495" s="99"/>
      <x:c r="E495" s="99"/>
      <x:c r="F495" s="99"/>
      <x:c r="G495" s="99"/>
      <x:c r="H495" s="99"/>
      <x:c r="I495" s="99"/>
      <x:c r="J495" s="99"/>
      <x:c r="K495" s="99"/>
      <x:c r="L495" s="99"/>
      <x:c r="M495" s="99"/>
      <x:c r="N495" s="99"/>
      <x:c r="O495" s="99"/>
      <x:c r="P495" s="99"/>
      <x:c r="Q495" s="99"/>
      <x:c r="R495" s="99"/>
      <x:c r="S495" s="99"/>
      <x:c r="T495" s="99"/>
      <x:c r="U495" s="99"/>
      <x:c r="V495" s="99"/>
      <x:c r="W495" s="99"/>
      <x:c r="X495" s="99"/>
      <x:c r="Y495" s="99"/>
      <x:c r="Z495" s="99"/>
    </x:row>
    <x:row r="496">
      <x:c r="A496" s="99"/>
      <x:c r="B496" s="99"/>
      <x:c r="C496" s="99"/>
      <x:c r="D496" s="99"/>
      <x:c r="E496" s="99"/>
      <x:c r="F496" s="99"/>
      <x:c r="G496" s="99"/>
      <x:c r="H496" s="99"/>
      <x:c r="I496" s="99"/>
      <x:c r="J496" s="99"/>
      <x:c r="K496" s="99"/>
      <x:c r="L496" s="99"/>
      <x:c r="M496" s="99"/>
      <x:c r="N496" s="99"/>
      <x:c r="O496" s="99"/>
      <x:c r="P496" s="99"/>
      <x:c r="Q496" s="99"/>
      <x:c r="R496" s="99"/>
      <x:c r="S496" s="99"/>
      <x:c r="T496" s="99"/>
      <x:c r="U496" s="99"/>
      <x:c r="V496" s="99"/>
      <x:c r="W496" s="99"/>
      <x:c r="X496" s="99"/>
      <x:c r="Y496" s="99"/>
      <x:c r="Z496" s="99"/>
    </x:row>
    <x:row r="497">
      <x:c r="A497" s="99"/>
      <x:c r="B497" s="99"/>
      <x:c r="C497" s="99"/>
      <x:c r="D497" s="99"/>
      <x:c r="E497" s="99"/>
      <x:c r="F497" s="99"/>
      <x:c r="G497" s="99"/>
      <x:c r="H497" s="99"/>
      <x:c r="I497" s="99"/>
      <x:c r="J497" s="99"/>
      <x:c r="K497" s="99"/>
      <x:c r="L497" s="99"/>
      <x:c r="M497" s="99"/>
      <x:c r="N497" s="99"/>
      <x:c r="O497" s="99"/>
      <x:c r="P497" s="99"/>
      <x:c r="Q497" s="99"/>
      <x:c r="R497" s="99"/>
      <x:c r="S497" s="99"/>
      <x:c r="T497" s="99"/>
      <x:c r="U497" s="99"/>
      <x:c r="V497" s="99"/>
      <x:c r="W497" s="99"/>
      <x:c r="X497" s="99"/>
      <x:c r="Y497" s="99"/>
      <x:c r="Z497" s="99"/>
    </x:row>
    <x:row r="498">
      <x:c r="A498" s="99"/>
      <x:c r="B498" s="99"/>
      <x:c r="C498" s="99"/>
      <x:c r="D498" s="99"/>
      <x:c r="E498" s="99"/>
      <x:c r="F498" s="99"/>
      <x:c r="G498" s="99"/>
      <x:c r="H498" s="99"/>
      <x:c r="I498" s="99"/>
      <x:c r="J498" s="99"/>
      <x:c r="K498" s="99"/>
      <x:c r="L498" s="99"/>
      <x:c r="M498" s="99"/>
      <x:c r="N498" s="99"/>
      <x:c r="O498" s="99"/>
      <x:c r="P498" s="99"/>
      <x:c r="Q498" s="99"/>
      <x:c r="R498" s="99"/>
      <x:c r="S498" s="99"/>
      <x:c r="T498" s="99"/>
      <x:c r="U498" s="99"/>
      <x:c r="V498" s="99"/>
      <x:c r="W498" s="99"/>
      <x:c r="X498" s="99"/>
      <x:c r="Y498" s="99"/>
      <x:c r="Z498" s="99"/>
    </x:row>
    <x:row r="499">
      <x:c r="A499" s="99"/>
      <x:c r="B499" s="99"/>
      <x:c r="C499" s="99"/>
      <x:c r="D499" s="99"/>
      <x:c r="E499" s="99"/>
      <x:c r="F499" s="99"/>
      <x:c r="G499" s="99"/>
      <x:c r="H499" s="99"/>
      <x:c r="I499" s="99"/>
      <x:c r="J499" s="99"/>
      <x:c r="K499" s="99"/>
      <x:c r="L499" s="99"/>
      <x:c r="M499" s="99"/>
      <x:c r="N499" s="99"/>
      <x:c r="O499" s="99"/>
      <x:c r="P499" s="99"/>
      <x:c r="Q499" s="99"/>
      <x:c r="R499" s="99"/>
      <x:c r="S499" s="99"/>
      <x:c r="T499" s="99"/>
      <x:c r="U499" s="99"/>
      <x:c r="V499" s="99"/>
      <x:c r="W499" s="99"/>
      <x:c r="X499" s="99"/>
      <x:c r="Y499" s="99"/>
      <x:c r="Z499" s="99"/>
    </x:row>
    <x:row r="500">
      <x:c r="A500" s="99"/>
      <x:c r="B500" s="99"/>
      <x:c r="C500" s="99"/>
      <x:c r="D500" s="99"/>
      <x:c r="E500" s="99"/>
      <x:c r="F500" s="99"/>
      <x:c r="G500" s="99"/>
      <x:c r="H500" s="99"/>
      <x:c r="I500" s="99"/>
      <x:c r="J500" s="99"/>
      <x:c r="K500" s="99"/>
      <x:c r="L500" s="99"/>
      <x:c r="M500" s="99"/>
      <x:c r="N500" s="99"/>
      <x:c r="O500" s="99"/>
      <x:c r="P500" s="99"/>
      <x:c r="Q500" s="99"/>
      <x:c r="R500" s="99"/>
      <x:c r="S500" s="99"/>
      <x:c r="T500" s="99"/>
      <x:c r="U500" s="99"/>
      <x:c r="V500" s="99"/>
      <x:c r="W500" s="99"/>
      <x:c r="X500" s="99"/>
      <x:c r="Y500" s="99"/>
      <x:c r="Z500" s="99"/>
    </x:row>
    <x:row r="501">
      <x:c r="A501" s="99"/>
      <x:c r="B501" s="99"/>
      <x:c r="C501" s="99"/>
      <x:c r="D501" s="99"/>
      <x:c r="E501" s="99"/>
      <x:c r="F501" s="99"/>
      <x:c r="G501" s="99"/>
      <x:c r="H501" s="99"/>
      <x:c r="I501" s="99"/>
      <x:c r="J501" s="99"/>
      <x:c r="K501" s="99"/>
      <x:c r="L501" s="99"/>
      <x:c r="M501" s="99"/>
      <x:c r="N501" s="99"/>
      <x:c r="O501" s="99"/>
      <x:c r="P501" s="99"/>
      <x:c r="Q501" s="99"/>
      <x:c r="R501" s="99"/>
      <x:c r="S501" s="99"/>
      <x:c r="T501" s="99"/>
      <x:c r="U501" s="99"/>
      <x:c r="V501" s="99"/>
      <x:c r="W501" s="99"/>
      <x:c r="X501" s="99"/>
      <x:c r="Y501" s="99"/>
      <x:c r="Z501" s="99"/>
    </x:row>
    <x:row r="502">
      <x:c r="A502" s="99"/>
      <x:c r="B502" s="99"/>
      <x:c r="C502" s="99"/>
      <x:c r="D502" s="99"/>
      <x:c r="E502" s="99"/>
      <x:c r="F502" s="99"/>
      <x:c r="G502" s="99"/>
      <x:c r="H502" s="99"/>
      <x:c r="I502" s="99"/>
      <x:c r="J502" s="99"/>
      <x:c r="K502" s="99"/>
      <x:c r="L502" s="99"/>
      <x:c r="M502" s="99"/>
      <x:c r="N502" s="99"/>
      <x:c r="O502" s="99"/>
      <x:c r="P502" s="99"/>
      <x:c r="Q502" s="99"/>
      <x:c r="R502" s="99"/>
      <x:c r="S502" s="99"/>
      <x:c r="T502" s="99"/>
      <x:c r="U502" s="99"/>
      <x:c r="V502" s="99"/>
      <x:c r="W502" s="99"/>
      <x:c r="X502" s="99"/>
      <x:c r="Y502" s="99"/>
      <x:c r="Z502" s="99"/>
    </x:row>
    <x:row r="503">
      <x:c r="A503" s="99"/>
      <x:c r="B503" s="99"/>
      <x:c r="C503" s="99"/>
      <x:c r="D503" s="99"/>
      <x:c r="E503" s="99"/>
      <x:c r="F503" s="99"/>
      <x:c r="G503" s="99"/>
      <x:c r="H503" s="99"/>
      <x:c r="I503" s="99"/>
      <x:c r="J503" s="99"/>
      <x:c r="K503" s="99"/>
      <x:c r="L503" s="99"/>
      <x:c r="M503" s="99"/>
      <x:c r="N503" s="99"/>
      <x:c r="O503" s="99"/>
      <x:c r="P503" s="99"/>
      <x:c r="Q503" s="99"/>
      <x:c r="R503" s="99"/>
      <x:c r="S503" s="99"/>
      <x:c r="T503" s="99"/>
      <x:c r="U503" s="99"/>
      <x:c r="V503" s="99"/>
      <x:c r="W503" s="99"/>
      <x:c r="X503" s="99"/>
      <x:c r="Y503" s="99"/>
      <x:c r="Z503" s="99"/>
    </x:row>
    <x:row r="504">
      <x:c r="A504" s="99"/>
      <x:c r="B504" s="99"/>
      <x:c r="C504" s="99"/>
      <x:c r="D504" s="99"/>
      <x:c r="E504" s="99"/>
      <x:c r="F504" s="99"/>
      <x:c r="G504" s="99"/>
      <x:c r="H504" s="99"/>
      <x:c r="I504" s="99"/>
      <x:c r="J504" s="99"/>
      <x:c r="K504" s="99"/>
      <x:c r="L504" s="99"/>
      <x:c r="M504" s="99"/>
      <x:c r="N504" s="99"/>
      <x:c r="O504" s="99"/>
      <x:c r="P504" s="99"/>
      <x:c r="Q504" s="99"/>
      <x:c r="R504" s="99"/>
      <x:c r="S504" s="99"/>
      <x:c r="T504" s="99"/>
      <x:c r="U504" s="99"/>
      <x:c r="V504" s="99"/>
      <x:c r="W504" s="99"/>
      <x:c r="X504" s="99"/>
      <x:c r="Y504" s="99"/>
      <x:c r="Z504" s="99"/>
    </x:row>
    <x:row r="505">
      <x:c r="A505" s="99"/>
      <x:c r="B505" s="99"/>
      <x:c r="C505" s="99"/>
      <x:c r="D505" s="99"/>
      <x:c r="E505" s="99"/>
      <x:c r="F505" s="99"/>
      <x:c r="G505" s="99"/>
      <x:c r="H505" s="99"/>
      <x:c r="I505" s="99"/>
      <x:c r="J505" s="99"/>
      <x:c r="K505" s="99"/>
      <x:c r="L505" s="99"/>
      <x:c r="M505" s="99"/>
      <x:c r="N505" s="99"/>
      <x:c r="O505" s="99"/>
      <x:c r="P505" s="99"/>
      <x:c r="Q505" s="99"/>
      <x:c r="R505" s="99"/>
      <x:c r="S505" s="99"/>
      <x:c r="T505" s="99"/>
      <x:c r="U505" s="99"/>
      <x:c r="V505" s="99"/>
      <x:c r="W505" s="99"/>
      <x:c r="X505" s="99"/>
      <x:c r="Y505" s="99"/>
      <x:c r="Z505" s="99"/>
    </x:row>
    <x:row r="506">
      <x:c r="A506" s="99"/>
      <x:c r="B506" s="99"/>
      <x:c r="C506" s="99"/>
      <x:c r="D506" s="99"/>
      <x:c r="E506" s="99"/>
      <x:c r="F506" s="99"/>
      <x:c r="G506" s="99"/>
      <x:c r="H506" s="99"/>
      <x:c r="I506" s="99"/>
      <x:c r="J506" s="99"/>
      <x:c r="K506" s="99"/>
      <x:c r="L506" s="99"/>
      <x:c r="M506" s="99"/>
      <x:c r="N506" s="99"/>
      <x:c r="O506" s="99"/>
      <x:c r="P506" s="99"/>
      <x:c r="Q506" s="99"/>
      <x:c r="R506" s="99"/>
      <x:c r="S506" s="99"/>
      <x:c r="T506" s="99"/>
      <x:c r="U506" s="99"/>
      <x:c r="V506" s="99"/>
      <x:c r="W506" s="99"/>
      <x:c r="X506" s="99"/>
      <x:c r="Y506" s="99"/>
      <x:c r="Z506" s="99"/>
    </x:row>
    <x:row r="507">
      <x:c r="A507" s="99"/>
      <x:c r="B507" s="99"/>
      <x:c r="C507" s="99"/>
      <x:c r="D507" s="99"/>
      <x:c r="E507" s="99"/>
      <x:c r="F507" s="99"/>
      <x:c r="G507" s="99"/>
      <x:c r="H507" s="99"/>
      <x:c r="I507" s="99"/>
      <x:c r="J507" s="99"/>
      <x:c r="K507" s="99"/>
      <x:c r="L507" s="99"/>
      <x:c r="M507" s="99"/>
      <x:c r="N507" s="99"/>
      <x:c r="O507" s="99"/>
      <x:c r="P507" s="99"/>
      <x:c r="Q507" s="99"/>
      <x:c r="R507" s="99"/>
      <x:c r="S507" s="99"/>
      <x:c r="T507" s="99"/>
      <x:c r="U507" s="99"/>
      <x:c r="V507" s="99"/>
      <x:c r="W507" s="99"/>
      <x:c r="X507" s="99"/>
      <x:c r="Y507" s="99"/>
      <x:c r="Z507" s="99"/>
    </x:row>
    <x:row r="508">
      <x:c r="A508" s="99"/>
      <x:c r="B508" s="99"/>
      <x:c r="C508" s="99"/>
      <x:c r="D508" s="99"/>
      <x:c r="E508" s="99"/>
      <x:c r="F508" s="99"/>
      <x:c r="G508" s="99"/>
      <x:c r="H508" s="99"/>
      <x:c r="I508" s="99"/>
      <x:c r="J508" s="99"/>
      <x:c r="K508" s="99"/>
      <x:c r="L508" s="99"/>
      <x:c r="M508" s="99"/>
      <x:c r="N508" s="99"/>
      <x:c r="O508" s="99"/>
      <x:c r="P508" s="99"/>
      <x:c r="Q508" s="99"/>
      <x:c r="R508" s="99"/>
      <x:c r="S508" s="99"/>
      <x:c r="T508" s="99"/>
      <x:c r="U508" s="99"/>
      <x:c r="V508" s="99"/>
      <x:c r="W508" s="99"/>
      <x:c r="X508" s="99"/>
      <x:c r="Y508" s="99"/>
      <x:c r="Z508" s="99"/>
    </x:row>
    <x:row r="509">
      <x:c r="A509" s="99"/>
      <x:c r="B509" s="99"/>
      <x:c r="C509" s="99"/>
      <x:c r="D509" s="99"/>
      <x:c r="E509" s="99"/>
      <x:c r="F509" s="99"/>
      <x:c r="G509" s="99"/>
      <x:c r="H509" s="99"/>
      <x:c r="I509" s="99"/>
      <x:c r="J509" s="99"/>
      <x:c r="K509" s="99"/>
      <x:c r="L509" s="99"/>
      <x:c r="M509" s="99"/>
      <x:c r="N509" s="99"/>
      <x:c r="O509" s="99"/>
      <x:c r="P509" s="99"/>
      <x:c r="Q509" s="99"/>
      <x:c r="R509" s="99"/>
      <x:c r="S509" s="99"/>
      <x:c r="T509" s="99"/>
      <x:c r="U509" s="99"/>
      <x:c r="V509" s="99"/>
      <x:c r="W509" s="99"/>
      <x:c r="X509" s="99"/>
      <x:c r="Y509" s="99"/>
      <x:c r="Z509" s="99"/>
    </x:row>
    <x:row r="510">
      <x:c r="A510" s="99"/>
      <x:c r="B510" s="99"/>
      <x:c r="C510" s="99"/>
      <x:c r="D510" s="99"/>
      <x:c r="E510" s="99"/>
      <x:c r="F510" s="99"/>
      <x:c r="G510" s="99"/>
      <x:c r="H510" s="99"/>
      <x:c r="I510" s="99"/>
      <x:c r="J510" s="99"/>
      <x:c r="K510" s="99"/>
      <x:c r="L510" s="99"/>
      <x:c r="M510" s="99"/>
      <x:c r="N510" s="99"/>
      <x:c r="O510" s="99"/>
      <x:c r="P510" s="99"/>
      <x:c r="Q510" s="99"/>
      <x:c r="R510" s="99"/>
      <x:c r="S510" s="99"/>
      <x:c r="T510" s="99"/>
      <x:c r="U510" s="99"/>
      <x:c r="V510" s="99"/>
      <x:c r="W510" s="99"/>
      <x:c r="X510" s="99"/>
      <x:c r="Y510" s="99"/>
      <x:c r="Z510" s="99"/>
    </x:row>
    <x:row r="511">
      <x:c r="A511" s="99"/>
      <x:c r="B511" s="99"/>
      <x:c r="C511" s="99"/>
      <x:c r="D511" s="99"/>
      <x:c r="E511" s="99"/>
      <x:c r="F511" s="99"/>
      <x:c r="G511" s="99"/>
      <x:c r="H511" s="99"/>
      <x:c r="I511" s="99"/>
      <x:c r="J511" s="99"/>
      <x:c r="K511" s="99"/>
      <x:c r="L511" s="99"/>
      <x:c r="M511" s="99"/>
      <x:c r="N511" s="99"/>
      <x:c r="O511" s="99"/>
      <x:c r="P511" s="99"/>
      <x:c r="Q511" s="99"/>
      <x:c r="R511" s="99"/>
      <x:c r="S511" s="99"/>
      <x:c r="T511" s="99"/>
      <x:c r="U511" s="99"/>
      <x:c r="V511" s="99"/>
      <x:c r="W511" s="99"/>
      <x:c r="X511" s="99"/>
      <x:c r="Y511" s="99"/>
      <x:c r="Z511" s="99"/>
    </x:row>
    <x:row r="512">
      <x:c r="A512" s="99"/>
      <x:c r="B512" s="99"/>
      <x:c r="C512" s="99"/>
      <x:c r="D512" s="99"/>
      <x:c r="E512" s="99"/>
      <x:c r="F512" s="99"/>
      <x:c r="G512" s="99"/>
      <x:c r="H512" s="99"/>
      <x:c r="I512" s="99"/>
      <x:c r="J512" s="99"/>
      <x:c r="K512" s="99"/>
      <x:c r="L512" s="99"/>
      <x:c r="M512" s="99"/>
      <x:c r="N512" s="99"/>
      <x:c r="O512" s="99"/>
      <x:c r="P512" s="99"/>
      <x:c r="Q512" s="99"/>
      <x:c r="R512" s="99"/>
      <x:c r="S512" s="99"/>
      <x:c r="T512" s="99"/>
      <x:c r="U512" s="99"/>
      <x:c r="V512" s="99"/>
      <x:c r="W512" s="99"/>
      <x:c r="X512" s="99"/>
      <x:c r="Y512" s="99"/>
      <x:c r="Z512" s="99"/>
    </x:row>
    <x:row r="513">
      <x:c r="A513" s="99"/>
      <x:c r="B513" s="99"/>
      <x:c r="C513" s="99"/>
      <x:c r="D513" s="99"/>
      <x:c r="E513" s="99"/>
      <x:c r="F513" s="99"/>
      <x:c r="G513" s="99"/>
      <x:c r="H513" s="99"/>
      <x:c r="I513" s="99"/>
      <x:c r="J513" s="99"/>
      <x:c r="K513" s="99"/>
      <x:c r="L513" s="99"/>
      <x:c r="M513" s="99"/>
      <x:c r="N513" s="99"/>
      <x:c r="O513" s="99"/>
      <x:c r="P513" s="99"/>
      <x:c r="Q513" s="99"/>
      <x:c r="R513" s="99"/>
      <x:c r="S513" s="99"/>
      <x:c r="T513" s="99"/>
      <x:c r="U513" s="99"/>
      <x:c r="V513" s="99"/>
      <x:c r="W513" s="99"/>
      <x:c r="X513" s="99"/>
      <x:c r="Y513" s="99"/>
      <x:c r="Z513" s="99"/>
    </x:row>
    <x:row r="514">
      <x:c r="A514" s="99"/>
      <x:c r="B514" s="99"/>
      <x:c r="C514" s="99"/>
      <x:c r="D514" s="99"/>
      <x:c r="E514" s="99"/>
      <x:c r="F514" s="99"/>
      <x:c r="G514" s="99"/>
      <x:c r="H514" s="99"/>
      <x:c r="I514" s="99"/>
      <x:c r="J514" s="99"/>
      <x:c r="K514" s="99"/>
      <x:c r="L514" s="99"/>
      <x:c r="M514" s="99"/>
      <x:c r="N514" s="99"/>
      <x:c r="O514" s="99"/>
      <x:c r="P514" s="99"/>
      <x:c r="Q514" s="99"/>
      <x:c r="R514" s="99"/>
      <x:c r="S514" s="99"/>
      <x:c r="T514" s="99"/>
      <x:c r="U514" s="99"/>
      <x:c r="V514" s="99"/>
      <x:c r="W514" s="99"/>
      <x:c r="X514" s="99"/>
      <x:c r="Y514" s="99"/>
      <x:c r="Z514" s="99"/>
    </x:row>
    <x:row r="515">
      <x:c r="A515" s="99"/>
      <x:c r="B515" s="99"/>
      <x:c r="C515" s="99"/>
      <x:c r="D515" s="99"/>
      <x:c r="E515" s="99"/>
      <x:c r="F515" s="99"/>
      <x:c r="G515" s="99"/>
      <x:c r="H515" s="99"/>
      <x:c r="I515" s="99"/>
      <x:c r="J515" s="99"/>
      <x:c r="K515" s="99"/>
      <x:c r="L515" s="99"/>
      <x:c r="M515" s="99"/>
      <x:c r="N515" s="99"/>
      <x:c r="O515" s="99"/>
      <x:c r="P515" s="99"/>
      <x:c r="Q515" s="99"/>
      <x:c r="R515" s="99"/>
      <x:c r="S515" s="99"/>
      <x:c r="T515" s="99"/>
      <x:c r="U515" s="99"/>
      <x:c r="V515" s="99"/>
      <x:c r="W515" s="99"/>
      <x:c r="X515" s="99"/>
      <x:c r="Y515" s="99"/>
      <x:c r="Z515" s="99"/>
    </x:row>
    <x:row r="516">
      <x:c r="A516" s="99"/>
      <x:c r="B516" s="99"/>
      <x:c r="C516" s="99"/>
      <x:c r="D516" s="99"/>
      <x:c r="E516" s="99"/>
      <x:c r="F516" s="99"/>
      <x:c r="G516" s="99"/>
      <x:c r="H516" s="99"/>
      <x:c r="I516" s="99"/>
      <x:c r="J516" s="99"/>
      <x:c r="K516" s="99"/>
      <x:c r="L516" s="99"/>
      <x:c r="M516" s="99"/>
      <x:c r="N516" s="99"/>
      <x:c r="O516" s="99"/>
      <x:c r="P516" s="99"/>
      <x:c r="Q516" s="99"/>
      <x:c r="R516" s="99"/>
      <x:c r="S516" s="99"/>
      <x:c r="T516" s="99"/>
      <x:c r="U516" s="99"/>
      <x:c r="V516" s="99"/>
      <x:c r="W516" s="99"/>
      <x:c r="X516" s="99"/>
      <x:c r="Y516" s="99"/>
      <x:c r="Z516" s="99"/>
    </x:row>
    <x:row r="517">
      <x:c r="A517" s="99"/>
      <x:c r="B517" s="99"/>
      <x:c r="C517" s="99"/>
      <x:c r="D517" s="99"/>
      <x:c r="E517" s="99"/>
      <x:c r="F517" s="99"/>
      <x:c r="G517" s="99"/>
      <x:c r="H517" s="99"/>
      <x:c r="I517" s="99"/>
      <x:c r="J517" s="99"/>
      <x:c r="K517" s="99"/>
      <x:c r="L517" s="99"/>
      <x:c r="M517" s="99"/>
      <x:c r="N517" s="99"/>
      <x:c r="O517" s="99"/>
      <x:c r="P517" s="99"/>
      <x:c r="Q517" s="99"/>
      <x:c r="R517" s="99"/>
      <x:c r="S517" s="99"/>
      <x:c r="T517" s="99"/>
      <x:c r="U517" s="99"/>
      <x:c r="V517" s="99"/>
      <x:c r="W517" s="99"/>
      <x:c r="X517" s="99"/>
      <x:c r="Y517" s="99"/>
      <x:c r="Z517" s="99"/>
    </x:row>
    <x:row r="518">
      <x:c r="A518" s="99"/>
      <x:c r="B518" s="99"/>
      <x:c r="C518" s="99"/>
      <x:c r="D518" s="99"/>
      <x:c r="E518" s="99"/>
      <x:c r="F518" s="99"/>
      <x:c r="G518" s="99"/>
      <x:c r="H518" s="99"/>
      <x:c r="I518" s="99"/>
      <x:c r="J518" s="99"/>
      <x:c r="K518" s="99"/>
      <x:c r="L518" s="99"/>
      <x:c r="M518" s="99"/>
      <x:c r="N518" s="99"/>
      <x:c r="O518" s="99"/>
      <x:c r="P518" s="99"/>
      <x:c r="Q518" s="99"/>
      <x:c r="R518" s="99"/>
      <x:c r="S518" s="99"/>
      <x:c r="T518" s="99"/>
      <x:c r="U518" s="99"/>
      <x:c r="V518" s="99"/>
      <x:c r="W518" s="99"/>
      <x:c r="X518" s="99"/>
      <x:c r="Y518" s="99"/>
      <x:c r="Z518" s="99"/>
    </x:row>
    <x:row r="519">
      <x:c r="A519" s="99"/>
      <x:c r="B519" s="99"/>
      <x:c r="C519" s="99"/>
      <x:c r="D519" s="99"/>
      <x:c r="E519" s="99"/>
      <x:c r="F519" s="99"/>
      <x:c r="G519" s="99"/>
      <x:c r="H519" s="99"/>
      <x:c r="I519" s="99"/>
      <x:c r="J519" s="99"/>
      <x:c r="K519" s="99"/>
      <x:c r="L519" s="99"/>
      <x:c r="M519" s="99"/>
      <x:c r="N519" s="99"/>
      <x:c r="O519" s="99"/>
      <x:c r="P519" s="99"/>
      <x:c r="Q519" s="99"/>
      <x:c r="R519" s="99"/>
      <x:c r="S519" s="99"/>
      <x:c r="T519" s="99"/>
      <x:c r="U519" s="99"/>
      <x:c r="V519" s="99"/>
      <x:c r="W519" s="99"/>
      <x:c r="X519" s="99"/>
      <x:c r="Y519" s="99"/>
      <x:c r="Z519" s="99"/>
    </x:row>
    <x:row r="520">
      <x:c r="A520" s="99"/>
      <x:c r="B520" s="99"/>
      <x:c r="C520" s="99"/>
      <x:c r="D520" s="99"/>
      <x:c r="E520" s="99"/>
      <x:c r="F520" s="99"/>
      <x:c r="G520" s="99"/>
      <x:c r="H520" s="99"/>
      <x:c r="I520" s="99"/>
      <x:c r="J520" s="99"/>
      <x:c r="K520" s="99"/>
      <x:c r="L520" s="99"/>
      <x:c r="M520" s="99"/>
      <x:c r="N520" s="99"/>
      <x:c r="O520" s="99"/>
      <x:c r="P520" s="99"/>
      <x:c r="Q520" s="99"/>
      <x:c r="R520" s="99"/>
      <x:c r="S520" s="99"/>
      <x:c r="T520" s="99"/>
      <x:c r="U520" s="99"/>
      <x:c r="V520" s="99"/>
      <x:c r="W520" s="99"/>
      <x:c r="X520" s="99"/>
      <x:c r="Y520" s="99"/>
      <x:c r="Z520" s="99"/>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24" hidden="0" customWidth="1"/>
    <x:col min="3" max="3" width="48" hidden="0" customWidth="1"/>
    <x:col min="4" max="4" width="18" hidden="0" customWidth="1"/>
    <x:col min="5" max="5" width="24" hidden="0" customWidth="1"/>
    <x:col min="6" max="6" width="12" hidden="0" customWidth="1"/>
    <x:col min="7" max="7" width="16" hidden="0" customWidth="1"/>
    <x:col min="8" max="8" width="24" hidden="0" customWidth="1"/>
    <x:col min="9" max="9" width="34" hidden="0" customWidth="1"/>
    <x:col min="10" max="10" width="20" hidden="0" customWidth="1"/>
    <x:col min="11" max="11" width="18" hidden="0" customWidth="1"/>
    <x:col min="12" max="12" width="14" hidden="0" customWidth="1"/>
    <x:col min="13" max="13" width="18" hidden="0" customWidth="1"/>
    <x:col min="14" max="14" width="30" hidden="0" customWidth="1"/>
  </x:cols>
  <x:sheetData>
    <x:row r="1">
      <x:c r="A1" s="165" t="str">
        <x:v>SURVEY DESIGN — enter each item once; wording and metadata QA remain visible before fielding</x:v>
      </x:c>
      <x:c r="B1" s="165"/>
      <x:c r="C1" s="165"/>
      <x:c r="D1" s="165"/>
      <x:c r="E1" s="165"/>
      <x:c r="F1" s="165"/>
      <x:c r="G1" s="165"/>
      <x:c r="H1" s="165"/>
      <x:c r="I1" s="165"/>
      <x:c r="J1" s="165"/>
      <x:c r="K1" s="165"/>
      <x:c r="L1" s="165"/>
      <x:c r="M1" s="165"/>
      <x:c r="N1" s="165"/>
      <x:c r="O1" s="99"/>
      <x:c r="P1" s="99"/>
      <x:c r="Q1" s="99"/>
      <x:c r="R1" s="99"/>
      <x:c r="S1" s="99"/>
      <x:c r="T1" s="99"/>
      <x:c r="U1" s="99"/>
      <x:c r="V1" s="99"/>
      <x:c r="W1" s="99"/>
      <x:c r="X1" s="99"/>
      <x:c r="Y1" s="99"/>
      <x:c r="Z1" s="99"/>
    </x:row>
    <x:row r="2">
      <x:c r="A2" s="99"/>
      <x:c r="B2" s="99"/>
      <x:c r="C2" s="99"/>
      <x:c r="D2" s="99"/>
      <x:c r="E2" s="99"/>
      <x:c r="F2" s="99"/>
      <x:c r="G2" s="99"/>
      <x:c r="H2" s="99"/>
      <x:c r="I2" s="99"/>
      <x:c r="J2" s="99"/>
      <x:c r="K2" s="99"/>
      <x:c r="L2" s="99"/>
      <x:c r="M2" s="99"/>
      <x:c r="N2" s="99"/>
      <x:c r="O2" s="99"/>
      <x:c r="P2" s="99"/>
      <x:c r="Q2" s="99"/>
      <x:c r="R2" s="99"/>
      <x:c r="S2" s="99"/>
      <x:c r="T2" s="99"/>
      <x:c r="U2" s="99"/>
      <x:c r="V2" s="99"/>
      <x:c r="W2" s="99"/>
      <x:c r="X2" s="99"/>
      <x:c r="Y2" s="99"/>
      <x:c r="Z2" s="99"/>
    </x:row>
    <x:row r="3">
      <x:c r="A3" s="129" t="str">
        <x:v>Item ID</x:v>
      </x:c>
      <x:c r="B3" s="129" t="str">
        <x:v>Construct / Topic</x:v>
      </x:c>
      <x:c r="C3" s="129" t="str">
        <x:v>Question / Prompt</x:v>
      </x:c>
      <x:c r="D3" s="129" t="str">
        <x:v>Question Type</x:v>
      </x:c>
      <x:c r="E3" s="129" t="str">
        <x:v>Response Scale</x:v>
      </x:c>
      <x:c r="F3" s="129" t="str">
        <x:v>Required?</x:v>
      </x:c>
      <x:c r="G3" s="129" t="str">
        <x:v>Reverse Scored?</x:v>
      </x:c>
      <x:c r="H3" s="129" t="str">
        <x:v>Scoring / Coding</x:v>
      </x:c>
      <x:c r="I3" s="129" t="str">
        <x:v>Decision Use</x:v>
      </x:c>
      <x:c r="J3" s="129" t="str">
        <x:v>Potential Double-Barrel?</x:v>
      </x:c>
      <x:c r="K3" s="129" t="str">
        <x:v>Absolute Wording?</x:v>
      </x:c>
      <x:c r="L3" s="129" t="str">
        <x:v>Length Flag</x:v>
      </x:c>
      <x:c r="M3" s="129" t="str">
        <x:v>Metadata QA</x:v>
      </x:c>
      <x:c r="N3" s="129" t="str">
        <x:v>Notes</x:v>
      </x:c>
      <x:c r="O3" s="99"/>
      <x:c r="P3" s="99"/>
      <x:c r="Q3" s="99"/>
      <x:c r="R3" s="99"/>
      <x:c r="S3" s="99"/>
      <x:c r="T3" s="99"/>
      <x:c r="U3" s="99"/>
      <x:c r="V3" s="99"/>
      <x:c r="W3" s="99"/>
      <x:c r="X3" s="99"/>
      <x:c r="Y3" s="99"/>
      <x:c r="Z3" s="99"/>
    </x:row>
    <x:row r="4">
      <x:c r="A4" s="130" t="str">
        <x:f>IF(C4="","","Q"&amp;TEXT(ROW()-3,"00"))</x:f>
      </x:c>
      <x:c r="B4" s="119"/>
      <x:c r="C4" s="119"/>
      <x:c r="D4" s="119"/>
      <x:c r="E4" s="119"/>
      <x:c r="F4" s="119"/>
      <x:c r="G4" s="119"/>
      <x:c r="H4" s="119"/>
      <x:c r="I4" s="119"/>
      <x:c r="J4" s="130" t="str">
        <x:f>IF(C4="","",IF(ISNUMBER(SEARCH(" and ",LOWER(C4))),"REVIEW","OK"))</x:f>
      </x:c>
      <x:c r="K4" s="130" t="str">
        <x:f>IF(C4="","",IF(OR(ISNUMBER(SEARCH("always",LOWER(C4))),ISNUMBER(SEARCH("never",LOWER(C4))),ISNUMBER(SEARCH("everyone",LOWER(C4))),ISNUMBER(SEARCH("no one",LOWER(C4)))),"REVIEW","OK"))</x:f>
      </x:c>
      <x:c r="L4" s="130" t="str">
        <x:f>IF(C4="","",IF(LEN(C4)&gt;180,"REVIEW","OK"))</x:f>
      </x:c>
      <x:c r="M4" s="130" t="str">
        <x:f>IF(C4="","",IF(OR(B4="",D4="",F4=""),"ACTION NEEDED","OK"))</x:f>
      </x:c>
      <x:c r="N4" s="119"/>
      <x:c r="O4" s="99"/>
      <x:c r="P4" s="99"/>
      <x:c r="Q4" s="99"/>
      <x:c r="R4" s="99"/>
      <x:c r="S4" s="99"/>
      <x:c r="T4" s="99"/>
      <x:c r="U4" s="99"/>
      <x:c r="V4" s="99"/>
      <x:c r="W4" s="99"/>
      <x:c r="X4" s="99"/>
      <x:c r="Y4" s="99"/>
      <x:c r="Z4" s="99"/>
    </x:row>
    <x:row r="5">
      <x:c r="A5" s="130" t="str">
        <x:f>IF(C5="","","Q"&amp;TEXT(ROW()-3,"00"))</x:f>
      </x:c>
      <x:c r="B5" s="119"/>
      <x:c r="C5" s="119"/>
      <x:c r="D5" s="119"/>
      <x:c r="E5" s="119"/>
      <x:c r="F5" s="119"/>
      <x:c r="G5" s="119"/>
      <x:c r="H5" s="119"/>
      <x:c r="I5" s="119"/>
      <x:c r="J5" s="130" t="str">
        <x:f>IF(C5="","",IF(ISNUMBER(SEARCH(" and ",LOWER(C5))),"REVIEW","OK"))</x:f>
      </x:c>
      <x:c r="K5" s="130" t="str">
        <x:f>IF(C5="","",IF(OR(ISNUMBER(SEARCH("always",LOWER(C5))),ISNUMBER(SEARCH("never",LOWER(C5))),ISNUMBER(SEARCH("everyone",LOWER(C5))),ISNUMBER(SEARCH("no one",LOWER(C5)))),"REVIEW","OK"))</x:f>
      </x:c>
      <x:c r="L5" s="130" t="str">
        <x:f>IF(C5="","",IF(LEN(C5)&gt;180,"REVIEW","OK"))</x:f>
      </x:c>
      <x:c r="M5" s="130" t="str">
        <x:f>IF(C5="","",IF(OR(B5="",D5="",F5=""),"ACTION NEEDED","OK"))</x:f>
      </x:c>
      <x:c r="N5" s="119"/>
      <x:c r="O5" s="99"/>
      <x:c r="P5" s="99"/>
      <x:c r="Q5" s="99"/>
      <x:c r="R5" s="99"/>
      <x:c r="S5" s="99"/>
      <x:c r="T5" s="99"/>
      <x:c r="U5" s="99"/>
      <x:c r="V5" s="99"/>
      <x:c r="W5" s="99"/>
      <x:c r="X5" s="99"/>
      <x:c r="Y5" s="99"/>
      <x:c r="Z5" s="99"/>
    </x:row>
    <x:row r="6">
      <x:c r="A6" s="130" t="str">
        <x:f>IF(C6="","","Q"&amp;TEXT(ROW()-3,"00"))</x:f>
      </x:c>
      <x:c r="B6" s="119"/>
      <x:c r="C6" s="119"/>
      <x:c r="D6" s="119"/>
      <x:c r="E6" s="119"/>
      <x:c r="F6" s="119"/>
      <x:c r="G6" s="119"/>
      <x:c r="H6" s="119"/>
      <x:c r="I6" s="119"/>
      <x:c r="J6" s="130" t="str">
        <x:f>IF(C6="","",IF(ISNUMBER(SEARCH(" and ",LOWER(C6))),"REVIEW","OK"))</x:f>
      </x:c>
      <x:c r="K6" s="130" t="str">
        <x:f>IF(C6="","",IF(OR(ISNUMBER(SEARCH("always",LOWER(C6))),ISNUMBER(SEARCH("never",LOWER(C6))),ISNUMBER(SEARCH("everyone",LOWER(C6))),ISNUMBER(SEARCH("no one",LOWER(C6)))),"REVIEW","OK"))</x:f>
      </x:c>
      <x:c r="L6" s="130" t="str">
        <x:f>IF(C6="","",IF(LEN(C6)&gt;180,"REVIEW","OK"))</x:f>
      </x:c>
      <x:c r="M6" s="130" t="str">
        <x:f>IF(C6="","",IF(OR(B6="",D6="",F6=""),"ACTION NEEDED","OK"))</x:f>
      </x:c>
      <x:c r="N6" s="119"/>
      <x:c r="O6" s="99"/>
      <x:c r="P6" s="99"/>
      <x:c r="Q6" s="99"/>
      <x:c r="R6" s="99"/>
      <x:c r="S6" s="99"/>
      <x:c r="T6" s="99"/>
      <x:c r="U6" s="99"/>
      <x:c r="V6" s="99"/>
      <x:c r="W6" s="99"/>
      <x:c r="X6" s="99"/>
      <x:c r="Y6" s="99"/>
      <x:c r="Z6" s="99"/>
    </x:row>
    <x:row r="7">
      <x:c r="A7" s="130" t="str">
        <x:f>IF(C7="","","Q"&amp;TEXT(ROW()-3,"00"))</x:f>
      </x:c>
      <x:c r="B7" s="119"/>
      <x:c r="C7" s="119"/>
      <x:c r="D7" s="119"/>
      <x:c r="E7" s="119"/>
      <x:c r="F7" s="119"/>
      <x:c r="G7" s="119"/>
      <x:c r="H7" s="119"/>
      <x:c r="I7" s="119"/>
      <x:c r="J7" s="130" t="str">
        <x:f>IF(C7="","",IF(ISNUMBER(SEARCH(" and ",LOWER(C7))),"REVIEW","OK"))</x:f>
      </x:c>
      <x:c r="K7" s="130" t="str">
        <x:f>IF(C7="","",IF(OR(ISNUMBER(SEARCH("always",LOWER(C7))),ISNUMBER(SEARCH("never",LOWER(C7))),ISNUMBER(SEARCH("everyone",LOWER(C7))),ISNUMBER(SEARCH("no one",LOWER(C7)))),"REVIEW","OK"))</x:f>
      </x:c>
      <x:c r="L7" s="130" t="str">
        <x:f>IF(C7="","",IF(LEN(C7)&gt;180,"REVIEW","OK"))</x:f>
      </x:c>
      <x:c r="M7" s="130" t="str">
        <x:f>IF(C7="","",IF(OR(B7="",D7="",F7=""),"ACTION NEEDED","OK"))</x:f>
      </x:c>
      <x:c r="N7" s="119"/>
      <x:c r="O7" s="99"/>
      <x:c r="P7" s="99"/>
      <x:c r="Q7" s="99"/>
      <x:c r="R7" s="99"/>
      <x:c r="S7" s="99"/>
      <x:c r="T7" s="99"/>
      <x:c r="U7" s="99"/>
      <x:c r="V7" s="99"/>
      <x:c r="W7" s="99"/>
      <x:c r="X7" s="99"/>
      <x:c r="Y7" s="99"/>
      <x:c r="Z7" s="99"/>
    </x:row>
    <x:row r="8">
      <x:c r="A8" s="130" t="str">
        <x:f>IF(C8="","","Q"&amp;TEXT(ROW()-3,"00"))</x:f>
      </x:c>
      <x:c r="B8" s="119"/>
      <x:c r="C8" s="119"/>
      <x:c r="D8" s="119"/>
      <x:c r="E8" s="119"/>
      <x:c r="F8" s="119"/>
      <x:c r="G8" s="119"/>
      <x:c r="H8" s="119"/>
      <x:c r="I8" s="119"/>
      <x:c r="J8" s="130" t="str">
        <x:f>IF(C8="","",IF(ISNUMBER(SEARCH(" and ",LOWER(C8))),"REVIEW","OK"))</x:f>
      </x:c>
      <x:c r="K8" s="130" t="str">
        <x:f>IF(C8="","",IF(OR(ISNUMBER(SEARCH("always",LOWER(C8))),ISNUMBER(SEARCH("never",LOWER(C8))),ISNUMBER(SEARCH("everyone",LOWER(C8))),ISNUMBER(SEARCH("no one",LOWER(C8)))),"REVIEW","OK"))</x:f>
      </x:c>
      <x:c r="L8" s="130" t="str">
        <x:f>IF(C8="","",IF(LEN(C8)&gt;180,"REVIEW","OK"))</x:f>
      </x:c>
      <x:c r="M8" s="130" t="str">
        <x:f>IF(C8="","",IF(OR(B8="",D8="",F8=""),"ACTION NEEDED","OK"))</x:f>
      </x:c>
      <x:c r="N8" s="119"/>
      <x:c r="O8" s="99"/>
      <x:c r="P8" s="99"/>
      <x:c r="Q8" s="99"/>
      <x:c r="R8" s="99"/>
      <x:c r="S8" s="99"/>
      <x:c r="T8" s="99"/>
      <x:c r="U8" s="99"/>
      <x:c r="V8" s="99"/>
      <x:c r="W8" s="99"/>
      <x:c r="X8" s="99"/>
      <x:c r="Y8" s="99"/>
      <x:c r="Z8" s="99"/>
    </x:row>
    <x:row r="9">
      <x:c r="A9" s="130" t="str">
        <x:f>IF(C9="","","Q"&amp;TEXT(ROW()-3,"00"))</x:f>
      </x:c>
      <x:c r="B9" s="119"/>
      <x:c r="C9" s="119"/>
      <x:c r="D9" s="119"/>
      <x:c r="E9" s="119"/>
      <x:c r="F9" s="119"/>
      <x:c r="G9" s="119"/>
      <x:c r="H9" s="119"/>
      <x:c r="I9" s="119"/>
      <x:c r="J9" s="130" t="str">
        <x:f>IF(C9="","",IF(ISNUMBER(SEARCH(" and ",LOWER(C9))),"REVIEW","OK"))</x:f>
      </x:c>
      <x:c r="K9" s="130" t="str">
        <x:f>IF(C9="","",IF(OR(ISNUMBER(SEARCH("always",LOWER(C9))),ISNUMBER(SEARCH("never",LOWER(C9))),ISNUMBER(SEARCH("everyone",LOWER(C9))),ISNUMBER(SEARCH("no one",LOWER(C9)))),"REVIEW","OK"))</x:f>
      </x:c>
      <x:c r="L9" s="130" t="str">
        <x:f>IF(C9="","",IF(LEN(C9)&gt;180,"REVIEW","OK"))</x:f>
      </x:c>
      <x:c r="M9" s="130" t="str">
        <x:f>IF(C9="","",IF(OR(B9="",D9="",F9=""),"ACTION NEEDED","OK"))</x:f>
      </x:c>
      <x:c r="N9" s="119"/>
      <x:c r="O9" s="99"/>
      <x:c r="P9" s="99"/>
      <x:c r="Q9" s="99"/>
      <x:c r="R9" s="99"/>
      <x:c r="S9" s="99"/>
      <x:c r="T9" s="99"/>
      <x:c r="U9" s="99"/>
      <x:c r="V9" s="99"/>
      <x:c r="W9" s="99"/>
      <x:c r="X9" s="99"/>
      <x:c r="Y9" s="99"/>
      <x:c r="Z9" s="99"/>
    </x:row>
    <x:row r="10">
      <x:c r="A10" s="130" t="str">
        <x:f>IF(C10="","","Q"&amp;TEXT(ROW()-3,"00"))</x:f>
      </x:c>
      <x:c r="B10" s="119"/>
      <x:c r="C10" s="119"/>
      <x:c r="D10" s="119"/>
      <x:c r="E10" s="119"/>
      <x:c r="F10" s="119"/>
      <x:c r="G10" s="119"/>
      <x:c r="H10" s="119"/>
      <x:c r="I10" s="119"/>
      <x:c r="J10" s="130" t="str">
        <x:f>IF(C10="","",IF(ISNUMBER(SEARCH(" and ",LOWER(C10))),"REVIEW","OK"))</x:f>
      </x:c>
      <x:c r="K10" s="130" t="str">
        <x:f>IF(C10="","",IF(OR(ISNUMBER(SEARCH("always",LOWER(C10))),ISNUMBER(SEARCH("never",LOWER(C10))),ISNUMBER(SEARCH("everyone",LOWER(C10))),ISNUMBER(SEARCH("no one",LOWER(C10)))),"REVIEW","OK"))</x:f>
      </x:c>
      <x:c r="L10" s="130" t="str">
        <x:f>IF(C10="","",IF(LEN(C10)&gt;180,"REVIEW","OK"))</x:f>
      </x:c>
      <x:c r="M10" s="130" t="str">
        <x:f>IF(C10="","",IF(OR(B10="",D10="",F10=""),"ACTION NEEDED","OK"))</x:f>
      </x:c>
      <x:c r="N10" s="119"/>
      <x:c r="O10" s="99"/>
      <x:c r="P10" s="99"/>
      <x:c r="Q10" s="99"/>
      <x:c r="R10" s="99"/>
      <x:c r="S10" s="99"/>
      <x:c r="T10" s="99"/>
      <x:c r="U10" s="99"/>
      <x:c r="V10" s="99"/>
      <x:c r="W10" s="99"/>
      <x:c r="X10" s="99"/>
      <x:c r="Y10" s="99"/>
      <x:c r="Z10" s="99"/>
    </x:row>
    <x:row r="11">
      <x:c r="A11" s="130" t="str">
        <x:f>IF(C11="","","Q"&amp;TEXT(ROW()-3,"00"))</x:f>
      </x:c>
      <x:c r="B11" s="119"/>
      <x:c r="C11" s="119"/>
      <x:c r="D11" s="119"/>
      <x:c r="E11" s="119"/>
      <x:c r="F11" s="119"/>
      <x:c r="G11" s="119"/>
      <x:c r="H11" s="119"/>
      <x:c r="I11" s="119"/>
      <x:c r="J11" s="130" t="str">
        <x:f>IF(C11="","",IF(ISNUMBER(SEARCH(" and ",LOWER(C11))),"REVIEW","OK"))</x:f>
      </x:c>
      <x:c r="K11" s="130" t="str">
        <x:f>IF(C11="","",IF(OR(ISNUMBER(SEARCH("always",LOWER(C11))),ISNUMBER(SEARCH("never",LOWER(C11))),ISNUMBER(SEARCH("everyone",LOWER(C11))),ISNUMBER(SEARCH("no one",LOWER(C11)))),"REVIEW","OK"))</x:f>
      </x:c>
      <x:c r="L11" s="130" t="str">
        <x:f>IF(C11="","",IF(LEN(C11)&gt;180,"REVIEW","OK"))</x:f>
      </x:c>
      <x:c r="M11" s="130" t="str">
        <x:f>IF(C11="","",IF(OR(B11="",D11="",F11=""),"ACTION NEEDED","OK"))</x:f>
      </x:c>
      <x:c r="N11" s="119"/>
      <x:c r="O11" s="99"/>
      <x:c r="P11" s="99"/>
      <x:c r="Q11" s="99"/>
      <x:c r="R11" s="99"/>
      <x:c r="S11" s="99"/>
      <x:c r="T11" s="99"/>
      <x:c r="U11" s="99"/>
      <x:c r="V11" s="99"/>
      <x:c r="W11" s="99"/>
      <x:c r="X11" s="99"/>
      <x:c r="Y11" s="99"/>
      <x:c r="Z11" s="99"/>
    </x:row>
    <x:row r="12">
      <x:c r="A12" s="130" t="str">
        <x:f>IF(C12="","","Q"&amp;TEXT(ROW()-3,"00"))</x:f>
      </x:c>
      <x:c r="B12" s="119"/>
      <x:c r="C12" s="119"/>
      <x:c r="D12" s="119"/>
      <x:c r="E12" s="119"/>
      <x:c r="F12" s="119"/>
      <x:c r="G12" s="119"/>
      <x:c r="H12" s="119"/>
      <x:c r="I12" s="119"/>
      <x:c r="J12" s="130" t="str">
        <x:f>IF(C12="","",IF(ISNUMBER(SEARCH(" and ",LOWER(C12))),"REVIEW","OK"))</x:f>
      </x:c>
      <x:c r="K12" s="130" t="str">
        <x:f>IF(C12="","",IF(OR(ISNUMBER(SEARCH("always",LOWER(C12))),ISNUMBER(SEARCH("never",LOWER(C12))),ISNUMBER(SEARCH("everyone",LOWER(C12))),ISNUMBER(SEARCH("no one",LOWER(C12)))),"REVIEW","OK"))</x:f>
      </x:c>
      <x:c r="L12" s="130" t="str">
        <x:f>IF(C12="","",IF(LEN(C12)&gt;180,"REVIEW","OK"))</x:f>
      </x:c>
      <x:c r="M12" s="130" t="str">
        <x:f>IF(C12="","",IF(OR(B12="",D12="",F12=""),"ACTION NEEDED","OK"))</x:f>
      </x:c>
      <x:c r="N12" s="119"/>
      <x:c r="O12" s="99"/>
      <x:c r="P12" s="99"/>
      <x:c r="Q12" s="99"/>
      <x:c r="R12" s="99"/>
      <x:c r="S12" s="99"/>
      <x:c r="T12" s="99"/>
      <x:c r="U12" s="99"/>
      <x:c r="V12" s="99"/>
      <x:c r="W12" s="99"/>
      <x:c r="X12" s="99"/>
      <x:c r="Y12" s="99"/>
      <x:c r="Z12" s="99"/>
    </x:row>
    <x:row r="13">
      <x:c r="A13" s="130" t="str">
        <x:f>IF(C13="","","Q"&amp;TEXT(ROW()-3,"00"))</x:f>
      </x:c>
      <x:c r="B13" s="119"/>
      <x:c r="C13" s="119"/>
      <x:c r="D13" s="119"/>
      <x:c r="E13" s="119"/>
      <x:c r="F13" s="119"/>
      <x:c r="G13" s="119"/>
      <x:c r="H13" s="119"/>
      <x:c r="I13" s="119"/>
      <x:c r="J13" s="130" t="str">
        <x:f>IF(C13="","",IF(ISNUMBER(SEARCH(" and ",LOWER(C13))),"REVIEW","OK"))</x:f>
      </x:c>
      <x:c r="K13" s="130" t="str">
        <x:f>IF(C13="","",IF(OR(ISNUMBER(SEARCH("always",LOWER(C13))),ISNUMBER(SEARCH("never",LOWER(C13))),ISNUMBER(SEARCH("everyone",LOWER(C13))),ISNUMBER(SEARCH("no one",LOWER(C13)))),"REVIEW","OK"))</x:f>
      </x:c>
      <x:c r="L13" s="130" t="str">
        <x:f>IF(C13="","",IF(LEN(C13)&gt;180,"REVIEW","OK"))</x:f>
      </x:c>
      <x:c r="M13" s="130" t="str">
        <x:f>IF(C13="","",IF(OR(B13="",D13="",F13=""),"ACTION NEEDED","OK"))</x:f>
      </x:c>
      <x:c r="N13" s="119"/>
      <x:c r="O13" s="99"/>
      <x:c r="P13" s="99"/>
      <x:c r="Q13" s="99"/>
      <x:c r="R13" s="99"/>
      <x:c r="S13" s="99"/>
      <x:c r="T13" s="99"/>
      <x:c r="U13" s="99"/>
      <x:c r="V13" s="99"/>
      <x:c r="W13" s="99"/>
      <x:c r="X13" s="99"/>
      <x:c r="Y13" s="99"/>
      <x:c r="Z13" s="99"/>
    </x:row>
    <x:row r="14">
      <x:c r="A14" s="130" t="str">
        <x:f>IF(C14="","","Q"&amp;TEXT(ROW()-3,"00"))</x:f>
      </x:c>
      <x:c r="B14" s="119"/>
      <x:c r="C14" s="119"/>
      <x:c r="D14" s="119"/>
      <x:c r="E14" s="119"/>
      <x:c r="F14" s="119"/>
      <x:c r="G14" s="119"/>
      <x:c r="H14" s="119"/>
      <x:c r="I14" s="119"/>
      <x:c r="J14" s="130" t="str">
        <x:f>IF(C14="","",IF(ISNUMBER(SEARCH(" and ",LOWER(C14))),"REVIEW","OK"))</x:f>
      </x:c>
      <x:c r="K14" s="130" t="str">
        <x:f>IF(C14="","",IF(OR(ISNUMBER(SEARCH("always",LOWER(C14))),ISNUMBER(SEARCH("never",LOWER(C14))),ISNUMBER(SEARCH("everyone",LOWER(C14))),ISNUMBER(SEARCH("no one",LOWER(C14)))),"REVIEW","OK"))</x:f>
      </x:c>
      <x:c r="L14" s="130" t="str">
        <x:f>IF(C14="","",IF(LEN(C14)&gt;180,"REVIEW","OK"))</x:f>
      </x:c>
      <x:c r="M14" s="130" t="str">
        <x:f>IF(C14="","",IF(OR(B14="",D14="",F14=""),"ACTION NEEDED","OK"))</x:f>
      </x:c>
      <x:c r="N14" s="119"/>
      <x:c r="O14" s="99"/>
      <x:c r="P14" s="99"/>
      <x:c r="Q14" s="99"/>
      <x:c r="R14" s="99"/>
      <x:c r="S14" s="99"/>
      <x:c r="T14" s="99"/>
      <x:c r="U14" s="99"/>
      <x:c r="V14" s="99"/>
      <x:c r="W14" s="99"/>
      <x:c r="X14" s="99"/>
      <x:c r="Y14" s="99"/>
      <x:c r="Z14" s="99"/>
    </x:row>
    <x:row r="15">
      <x:c r="A15" s="130" t="str">
        <x:f>IF(C15="","","Q"&amp;TEXT(ROW()-3,"00"))</x:f>
      </x:c>
      <x:c r="B15" s="119"/>
      <x:c r="C15" s="119"/>
      <x:c r="D15" s="119"/>
      <x:c r="E15" s="119"/>
      <x:c r="F15" s="119"/>
      <x:c r="G15" s="119"/>
      <x:c r="H15" s="119"/>
      <x:c r="I15" s="119"/>
      <x:c r="J15" s="130" t="str">
        <x:f>IF(C15="","",IF(ISNUMBER(SEARCH(" and ",LOWER(C15))),"REVIEW","OK"))</x:f>
      </x:c>
      <x:c r="K15" s="130" t="str">
        <x:f>IF(C15="","",IF(OR(ISNUMBER(SEARCH("always",LOWER(C15))),ISNUMBER(SEARCH("never",LOWER(C15))),ISNUMBER(SEARCH("everyone",LOWER(C15))),ISNUMBER(SEARCH("no one",LOWER(C15)))),"REVIEW","OK"))</x:f>
      </x:c>
      <x:c r="L15" s="130" t="str">
        <x:f>IF(C15="","",IF(LEN(C15)&gt;180,"REVIEW","OK"))</x:f>
      </x:c>
      <x:c r="M15" s="130" t="str">
        <x:f>IF(C15="","",IF(OR(B15="",D15="",F15=""),"ACTION NEEDED","OK"))</x:f>
      </x:c>
      <x:c r="N15" s="119"/>
      <x:c r="O15" s="99"/>
      <x:c r="P15" s="99"/>
      <x:c r="Q15" s="99"/>
      <x:c r="R15" s="99"/>
      <x:c r="S15" s="99"/>
      <x:c r="T15" s="99"/>
      <x:c r="U15" s="99"/>
      <x:c r="V15" s="99"/>
      <x:c r="W15" s="99"/>
      <x:c r="X15" s="99"/>
      <x:c r="Y15" s="99"/>
      <x:c r="Z15" s="99"/>
    </x:row>
    <x:row r="16">
      <x:c r="A16" s="99"/>
      <x:c r="B16" s="99"/>
      <x:c r="C16" s="99"/>
      <x:c r="D16" s="99"/>
      <x:c r="E16" s="99"/>
      <x:c r="F16" s="99"/>
      <x:c r="G16" s="99"/>
      <x:c r="H16" s="99"/>
      <x:c r="I16" s="99"/>
      <x:c r="J16" s="99"/>
      <x:c r="K16" s="99"/>
      <x:c r="L16" s="99"/>
      <x:c r="M16" s="99"/>
      <x:c r="N16" s="99"/>
      <x:c r="O16" s="99"/>
      <x:c r="P16" s="99"/>
      <x:c r="Q16" s="99"/>
      <x:c r="R16" s="99"/>
      <x:c r="S16" s="99"/>
      <x:c r="T16" s="99"/>
      <x:c r="U16" s="99"/>
      <x:c r="V16" s="99"/>
      <x:c r="W16" s="99"/>
      <x:c r="X16" s="99"/>
      <x:c r="Y16" s="99"/>
      <x:c r="Z16" s="99"/>
    </x:row>
    <x:row r="17">
      <x:c r="A17" s="99"/>
      <x:c r="B17" s="99"/>
      <x:c r="C17" s="99"/>
      <x:c r="D17" s="99"/>
      <x:c r="E17" s="99"/>
      <x:c r="F17" s="99"/>
      <x:c r="G17" s="99"/>
      <x:c r="H17" s="99"/>
      <x:c r="I17" s="99"/>
      <x:c r="J17" s="99"/>
      <x:c r="K17" s="99"/>
      <x:c r="L17" s="99"/>
      <x:c r="M17" s="99"/>
      <x:c r="N17" s="99"/>
      <x:c r="O17" s="99"/>
      <x:c r="P17" s="99"/>
      <x:c r="Q17" s="99"/>
      <x:c r="R17" s="99"/>
      <x:c r="S17" s="99"/>
      <x:c r="T17" s="99"/>
      <x:c r="U17" s="99"/>
      <x:c r="V17" s="99"/>
      <x:c r="W17" s="99"/>
      <x:c r="X17" s="99"/>
      <x:c r="Y17" s="99"/>
      <x:c r="Z17" s="99"/>
    </x:row>
    <x:row r="18">
      <x:c r="A18" s="99"/>
      <x:c r="B18" s="99"/>
      <x:c r="C18" s="99"/>
      <x:c r="D18" s="99"/>
      <x:c r="E18" s="99"/>
      <x:c r="F18" s="99"/>
      <x:c r="G18" s="99"/>
      <x:c r="H18" s="99"/>
      <x:c r="I18" s="99"/>
      <x:c r="J18" s="99"/>
      <x:c r="K18" s="99"/>
      <x:c r="L18" s="99"/>
      <x:c r="M18" s="99"/>
      <x:c r="N18" s="99"/>
      <x:c r="O18" s="99"/>
      <x:c r="P18" s="99"/>
      <x:c r="Q18" s="99"/>
      <x:c r="R18" s="99"/>
      <x:c r="S18" s="99"/>
      <x:c r="T18" s="99"/>
      <x:c r="U18" s="99"/>
      <x:c r="V18" s="99"/>
      <x:c r="W18" s="99"/>
      <x:c r="X18" s="99"/>
      <x:c r="Y18" s="99"/>
      <x:c r="Z18" s="99"/>
    </x:row>
    <x:row r="19">
      <x:c r="A19" s="99"/>
      <x:c r="B19" s="99"/>
      <x:c r="C19" s="99"/>
      <x:c r="D19" s="99"/>
      <x:c r="E19" s="99"/>
      <x:c r="F19" s="99"/>
      <x:c r="G19" s="99"/>
      <x:c r="H19" s="99"/>
      <x:c r="I19" s="99"/>
      <x:c r="J19" s="99"/>
      <x:c r="K19" s="99"/>
      <x:c r="L19" s="99"/>
      <x:c r="M19" s="99"/>
      <x:c r="N19" s="99"/>
      <x:c r="O19" s="99"/>
      <x:c r="P19" s="99"/>
      <x:c r="Q19" s="99"/>
      <x:c r="R19" s="99"/>
      <x:c r="S19" s="99"/>
      <x:c r="T19" s="99"/>
      <x:c r="U19" s="99"/>
      <x:c r="V19" s="99"/>
      <x:c r="W19" s="99"/>
      <x:c r="X19" s="99"/>
      <x:c r="Y19" s="99"/>
      <x:c r="Z19" s="99"/>
    </x:row>
    <x:row r="20">
      <x:c r="A20" s="99"/>
      <x:c r="B20" s="99"/>
      <x:c r="C20" s="99"/>
      <x:c r="D20" s="99"/>
      <x:c r="E20" s="99"/>
      <x:c r="F20" s="99"/>
      <x:c r="G20" s="99"/>
      <x:c r="H20" s="99"/>
      <x:c r="I20" s="99"/>
      <x:c r="J20" s="99"/>
      <x:c r="K20" s="99"/>
      <x:c r="L20" s="99"/>
      <x:c r="M20" s="99"/>
      <x:c r="N20" s="99"/>
      <x:c r="O20" s="99"/>
      <x:c r="P20" s="99"/>
      <x:c r="Q20" s="99"/>
      <x:c r="R20" s="99"/>
      <x:c r="S20" s="99"/>
      <x:c r="T20" s="99"/>
      <x:c r="U20" s="99"/>
      <x:c r="V20" s="99"/>
      <x:c r="W20" s="99"/>
      <x:c r="X20" s="99"/>
      <x:c r="Y20" s="99"/>
      <x:c r="Z20" s="99"/>
    </x:row>
    <x:row r="21">
      <x:c r="A21" s="99"/>
      <x:c r="B21" s="99"/>
      <x:c r="C21" s="99"/>
      <x:c r="D21" s="99"/>
      <x:c r="E21" s="99"/>
      <x:c r="F21" s="99"/>
      <x:c r="G21" s="99"/>
      <x:c r="H21" s="99"/>
      <x:c r="I21" s="99"/>
      <x:c r="J21" s="99"/>
      <x:c r="K21" s="99"/>
      <x:c r="L21" s="99"/>
      <x:c r="M21" s="99"/>
      <x:c r="N21" s="99"/>
      <x:c r="O21" s="99"/>
      <x:c r="P21" s="99"/>
      <x:c r="Q21" s="99"/>
      <x:c r="R21" s="99"/>
      <x:c r="S21" s="99"/>
      <x:c r="T21" s="99"/>
      <x:c r="U21" s="99"/>
      <x:c r="V21" s="99"/>
      <x:c r="W21" s="99"/>
      <x:c r="X21" s="99"/>
      <x:c r="Y21" s="99"/>
      <x:c r="Z21" s="99"/>
    </x:row>
    <x:row r="22">
      <x:c r="A22" s="99"/>
      <x:c r="B22" s="99"/>
      <x:c r="C22" s="99"/>
      <x:c r="D22" s="99"/>
      <x:c r="E22" s="99"/>
      <x:c r="F22" s="99"/>
      <x:c r="G22" s="99"/>
      <x:c r="H22" s="99"/>
      <x:c r="I22" s="99"/>
      <x:c r="J22" s="99"/>
      <x:c r="K22" s="99"/>
      <x:c r="L22" s="99"/>
      <x:c r="M22" s="99"/>
      <x:c r="N22" s="99"/>
      <x:c r="O22" s="99"/>
      <x:c r="P22" s="99"/>
      <x:c r="Q22" s="99"/>
      <x:c r="R22" s="99"/>
      <x:c r="S22" s="99"/>
      <x:c r="T22" s="99"/>
      <x:c r="U22" s="99"/>
      <x:c r="V22" s="99"/>
      <x:c r="W22" s="99"/>
      <x:c r="X22" s="99"/>
      <x:c r="Y22" s="99"/>
      <x:c r="Z22" s="99"/>
    </x:row>
    <x:row r="23">
      <x:c r="A23" s="99"/>
      <x:c r="B23" s="99"/>
      <x:c r="C23" s="99"/>
      <x:c r="D23" s="99"/>
      <x:c r="E23" s="99"/>
      <x:c r="F23" s="99"/>
      <x:c r="G23" s="99"/>
      <x:c r="H23" s="99"/>
      <x:c r="I23" s="99"/>
      <x:c r="J23" s="99"/>
      <x:c r="K23" s="99"/>
      <x:c r="L23" s="99"/>
      <x:c r="M23" s="99"/>
      <x:c r="N23" s="99"/>
      <x:c r="O23" s="99"/>
      <x:c r="P23" s="99"/>
      <x:c r="Q23" s="99"/>
      <x:c r="R23" s="99"/>
      <x:c r="S23" s="99"/>
      <x:c r="T23" s="99"/>
      <x:c r="U23" s="99"/>
      <x:c r="V23" s="99"/>
      <x:c r="W23" s="99"/>
      <x:c r="X23" s="99"/>
      <x:c r="Y23" s="99"/>
      <x:c r="Z23" s="99"/>
    </x:row>
    <x:row r="24">
      <x:c r="A24" s="99"/>
      <x:c r="B24" s="99"/>
      <x:c r="C24" s="99"/>
      <x:c r="D24" s="99"/>
      <x:c r="E24" s="99"/>
      <x:c r="F24" s="99"/>
      <x:c r="G24" s="99"/>
      <x:c r="H24" s="99"/>
      <x:c r="I24" s="99"/>
      <x:c r="J24" s="99"/>
      <x:c r="K24" s="99"/>
      <x:c r="L24" s="99"/>
      <x:c r="M24" s="99"/>
      <x:c r="N24" s="99"/>
      <x:c r="O24" s="99"/>
      <x:c r="P24" s="99"/>
      <x:c r="Q24" s="99"/>
      <x:c r="R24" s="99"/>
      <x:c r="S24" s="99"/>
      <x:c r="T24" s="99"/>
      <x:c r="U24" s="99"/>
      <x:c r="V24" s="99"/>
      <x:c r="W24" s="99"/>
      <x:c r="X24" s="99"/>
      <x:c r="Y24" s="99"/>
      <x:c r="Z24" s="99"/>
    </x:row>
    <x:row r="25">
      <x:c r="A25" s="99"/>
      <x:c r="B25" s="99"/>
      <x:c r="C25" s="99"/>
      <x:c r="D25" s="99"/>
      <x:c r="E25" s="99"/>
      <x:c r="F25" s="99"/>
      <x:c r="G25" s="99"/>
      <x:c r="H25" s="99"/>
      <x:c r="I25" s="99"/>
      <x:c r="J25" s="99"/>
      <x:c r="K25" s="99"/>
      <x:c r="L25" s="99"/>
      <x:c r="M25" s="99"/>
      <x:c r="N25" s="99"/>
      <x:c r="O25" s="99"/>
      <x:c r="P25" s="99"/>
      <x:c r="Q25" s="99"/>
      <x:c r="R25" s="99"/>
      <x:c r="S25" s="99"/>
      <x:c r="T25" s="99"/>
      <x:c r="U25" s="99"/>
      <x:c r="V25" s="99"/>
      <x:c r="W25" s="99"/>
      <x:c r="X25" s="99"/>
      <x:c r="Y25" s="99"/>
      <x:c r="Z25" s="99"/>
    </x:row>
    <x:row r="26">
      <x:c r="A26" s="99"/>
      <x:c r="B26" s="99"/>
      <x:c r="C26" s="99"/>
      <x:c r="D26" s="99"/>
      <x:c r="E26" s="99"/>
      <x:c r="F26" s="99"/>
      <x:c r="G26" s="99"/>
      <x:c r="H26" s="99"/>
      <x:c r="I26" s="99"/>
      <x:c r="J26" s="99"/>
      <x:c r="K26" s="99"/>
      <x:c r="L26" s="99"/>
      <x:c r="M26" s="99"/>
      <x:c r="N26" s="99"/>
      <x:c r="O26" s="99"/>
      <x:c r="P26" s="99"/>
      <x:c r="Q26" s="99"/>
      <x:c r="R26" s="99"/>
      <x:c r="S26" s="99"/>
      <x:c r="T26" s="99"/>
      <x:c r="U26" s="99"/>
      <x:c r="V26" s="99"/>
      <x:c r="W26" s="99"/>
      <x:c r="X26" s="99"/>
      <x:c r="Y26" s="99"/>
      <x:c r="Z26" s="99"/>
    </x:row>
    <x:row r="27">
      <x:c r="A27" s="99"/>
      <x:c r="B27" s="99"/>
      <x:c r="C27" s="99"/>
      <x:c r="D27" s="99"/>
      <x:c r="E27" s="99"/>
      <x:c r="F27" s="99"/>
      <x:c r="G27" s="99"/>
      <x:c r="H27" s="99"/>
      <x:c r="I27" s="99"/>
      <x:c r="J27" s="99"/>
      <x:c r="K27" s="99"/>
      <x:c r="L27" s="99"/>
      <x:c r="M27" s="99"/>
      <x:c r="N27" s="99"/>
      <x:c r="O27" s="99"/>
      <x:c r="P27" s="99"/>
      <x:c r="Q27" s="99"/>
      <x:c r="R27" s="99"/>
      <x:c r="S27" s="99"/>
      <x:c r="T27" s="99"/>
      <x:c r="U27" s="99"/>
      <x:c r="V27" s="99"/>
      <x:c r="W27" s="99"/>
      <x:c r="X27" s="99"/>
      <x:c r="Y27" s="99"/>
      <x:c r="Z27" s="99"/>
    </x:row>
    <x:row r="28">
      <x:c r="A28" s="99"/>
      <x:c r="B28" s="99"/>
      <x:c r="C28" s="99"/>
      <x:c r="D28" s="99"/>
      <x:c r="E28" s="99"/>
      <x:c r="F28" s="99"/>
      <x:c r="G28" s="99"/>
      <x:c r="H28" s="99"/>
      <x:c r="I28" s="99"/>
      <x:c r="J28" s="99"/>
      <x:c r="K28" s="99"/>
      <x:c r="L28" s="99"/>
      <x:c r="M28" s="99"/>
      <x:c r="N28" s="99"/>
      <x:c r="O28" s="99"/>
      <x:c r="P28" s="99"/>
      <x:c r="Q28" s="99"/>
      <x:c r="R28" s="99"/>
      <x:c r="S28" s="99"/>
      <x:c r="T28" s="99"/>
      <x:c r="U28" s="99"/>
      <x:c r="V28" s="99"/>
      <x:c r="W28" s="99"/>
      <x:c r="X28" s="99"/>
      <x:c r="Y28" s="99"/>
      <x:c r="Z28" s="99"/>
    </x:row>
    <x:row r="29">
      <x:c r="A29" s="99"/>
      <x:c r="B29" s="99"/>
      <x:c r="C29" s="99"/>
      <x:c r="D29" s="99"/>
      <x:c r="E29" s="99"/>
      <x:c r="F29" s="99"/>
      <x:c r="G29" s="99"/>
      <x:c r="H29" s="99"/>
      <x:c r="I29" s="99"/>
      <x:c r="J29" s="99"/>
      <x:c r="K29" s="99"/>
      <x:c r="L29" s="99"/>
      <x:c r="M29" s="99"/>
      <x:c r="N29" s="99"/>
      <x:c r="O29" s="99"/>
      <x:c r="P29" s="99"/>
      <x:c r="Q29" s="99"/>
      <x:c r="R29" s="99"/>
      <x:c r="S29" s="99"/>
      <x:c r="T29" s="99"/>
      <x:c r="U29" s="99"/>
      <x:c r="V29" s="99"/>
      <x:c r="W29" s="99"/>
      <x:c r="X29" s="99"/>
      <x:c r="Y29" s="99"/>
      <x:c r="Z29" s="99"/>
    </x:row>
    <x:row r="30">
      <x:c r="A30" s="99"/>
      <x:c r="B30" s="99"/>
      <x:c r="C30" s="99"/>
      <x:c r="D30" s="99"/>
      <x:c r="E30" s="99"/>
      <x:c r="F30" s="99"/>
      <x:c r="G30" s="99"/>
      <x:c r="H30" s="99"/>
      <x:c r="I30" s="99"/>
      <x:c r="J30" s="99"/>
      <x:c r="K30" s="99"/>
      <x:c r="L30" s="99"/>
      <x:c r="M30" s="99"/>
      <x:c r="N30" s="99"/>
      <x:c r="O30" s="99"/>
      <x:c r="P30" s="99"/>
      <x:c r="Q30" s="99"/>
      <x:c r="R30" s="99"/>
      <x:c r="S30" s="99"/>
      <x:c r="T30" s="99"/>
      <x:c r="U30" s="99"/>
      <x:c r="V30" s="99"/>
      <x:c r="W30" s="99"/>
      <x:c r="X30" s="99"/>
      <x:c r="Y30" s="99"/>
      <x:c r="Z30" s="99"/>
    </x:row>
    <x:row r="31">
      <x:c r="A31" s="99"/>
      <x:c r="B31" s="99"/>
      <x:c r="C31" s="99"/>
      <x:c r="D31" s="99"/>
      <x:c r="E31" s="99"/>
      <x:c r="F31" s="99"/>
      <x:c r="G31" s="99"/>
      <x:c r="H31" s="99"/>
      <x:c r="I31" s="99"/>
      <x:c r="J31" s="99"/>
      <x:c r="K31" s="99"/>
      <x:c r="L31" s="99"/>
      <x:c r="M31" s="99"/>
      <x:c r="N31" s="99"/>
      <x:c r="O31" s="99"/>
      <x:c r="P31" s="99"/>
      <x:c r="Q31" s="99"/>
      <x:c r="R31" s="99"/>
      <x:c r="S31" s="99"/>
      <x:c r="T31" s="99"/>
      <x:c r="U31" s="99"/>
      <x:c r="V31" s="99"/>
      <x:c r="W31" s="99"/>
      <x:c r="X31" s="99"/>
      <x:c r="Y31" s="99"/>
      <x:c r="Z31" s="99"/>
    </x:row>
    <x:row r="32">
      <x:c r="A32" s="99"/>
      <x:c r="B32" s="99"/>
      <x:c r="C32" s="99"/>
      <x:c r="D32" s="99"/>
      <x:c r="E32" s="99"/>
      <x:c r="F32" s="99"/>
      <x:c r="G32" s="99"/>
      <x:c r="H32" s="99"/>
      <x:c r="I32" s="99"/>
      <x:c r="J32" s="99"/>
      <x:c r="K32" s="99"/>
      <x:c r="L32" s="99"/>
      <x:c r="M32" s="99"/>
      <x:c r="N32" s="99"/>
      <x:c r="O32" s="99"/>
      <x:c r="P32" s="99"/>
      <x:c r="Q32" s="99"/>
      <x:c r="R32" s="99"/>
      <x:c r="S32" s="99"/>
      <x:c r="T32" s="99"/>
      <x:c r="U32" s="99"/>
      <x:c r="V32" s="99"/>
      <x:c r="W32" s="99"/>
      <x:c r="X32" s="99"/>
      <x:c r="Y32" s="99"/>
      <x:c r="Z32" s="99"/>
    </x:row>
    <x:row r="33">
      <x:c r="A33" s="99"/>
      <x:c r="B33" s="99"/>
      <x:c r="C33" s="99"/>
      <x:c r="D33" s="99"/>
      <x:c r="E33" s="99"/>
      <x:c r="F33" s="99"/>
      <x:c r="G33" s="99"/>
      <x:c r="H33" s="99"/>
      <x:c r="I33" s="99"/>
      <x:c r="J33" s="99"/>
      <x:c r="K33" s="99"/>
      <x:c r="L33" s="99"/>
      <x:c r="M33" s="99"/>
      <x:c r="N33" s="99"/>
      <x:c r="O33" s="99"/>
      <x:c r="P33" s="99"/>
      <x:c r="Q33" s="99"/>
      <x:c r="R33" s="99"/>
      <x:c r="S33" s="99"/>
      <x:c r="T33" s="99"/>
      <x:c r="U33" s="99"/>
      <x:c r="V33" s="99"/>
      <x:c r="W33" s="99"/>
      <x:c r="X33" s="99"/>
      <x:c r="Y33" s="99"/>
      <x:c r="Z33" s="99"/>
    </x:row>
    <x:row r="34">
      <x:c r="A34" s="99"/>
      <x:c r="B34" s="99"/>
      <x:c r="C34" s="99"/>
      <x:c r="D34" s="99"/>
      <x:c r="E34" s="99"/>
      <x:c r="F34" s="99"/>
      <x:c r="G34" s="99"/>
      <x:c r="H34" s="99"/>
      <x:c r="I34" s="99"/>
      <x:c r="J34" s="99"/>
      <x:c r="K34" s="99"/>
      <x:c r="L34" s="99"/>
      <x:c r="M34" s="99"/>
      <x:c r="N34" s="99"/>
      <x:c r="O34" s="99"/>
      <x:c r="P34" s="99"/>
      <x:c r="Q34" s="99"/>
      <x:c r="R34" s="99"/>
      <x:c r="S34" s="99"/>
      <x:c r="T34" s="99"/>
      <x:c r="U34" s="99"/>
      <x:c r="V34" s="99"/>
      <x:c r="W34" s="99"/>
      <x:c r="X34" s="99"/>
      <x:c r="Y34" s="99"/>
      <x:c r="Z34" s="99"/>
    </x:row>
    <x:row r="35">
      <x:c r="A35" s="99"/>
      <x:c r="B35" s="99"/>
      <x:c r="C35" s="99"/>
      <x:c r="D35" s="99"/>
      <x:c r="E35" s="99"/>
      <x:c r="F35" s="99"/>
      <x:c r="G35" s="99"/>
      <x:c r="H35" s="99"/>
      <x:c r="I35" s="99"/>
      <x:c r="J35" s="99"/>
      <x:c r="K35" s="99"/>
      <x:c r="L35" s="99"/>
      <x:c r="M35" s="99"/>
      <x:c r="N35" s="99"/>
      <x:c r="O35" s="99"/>
      <x:c r="P35" s="99"/>
      <x:c r="Q35" s="99"/>
      <x:c r="R35" s="99"/>
      <x:c r="S35" s="99"/>
      <x:c r="T35" s="99"/>
      <x:c r="U35" s="99"/>
      <x:c r="V35" s="99"/>
      <x:c r="W35" s="99"/>
      <x:c r="X35" s="99"/>
      <x:c r="Y35" s="99"/>
      <x:c r="Z35" s="99"/>
    </x:row>
    <x:row r="36">
      <x:c r="A36" s="99"/>
      <x:c r="B36" s="99"/>
      <x:c r="C36" s="99"/>
      <x:c r="D36" s="99"/>
      <x:c r="E36" s="99"/>
      <x:c r="F36" s="99"/>
      <x:c r="G36" s="99"/>
      <x:c r="H36" s="99"/>
      <x:c r="I36" s="99"/>
      <x:c r="J36" s="99"/>
      <x:c r="K36" s="99"/>
      <x:c r="L36" s="99"/>
      <x:c r="M36" s="99"/>
      <x:c r="N36" s="99"/>
      <x:c r="O36" s="99"/>
      <x:c r="P36" s="99"/>
      <x:c r="Q36" s="99"/>
      <x:c r="R36" s="99"/>
      <x:c r="S36" s="99"/>
      <x:c r="T36" s="99"/>
      <x:c r="U36" s="99"/>
      <x:c r="V36" s="99"/>
      <x:c r="W36" s="99"/>
      <x:c r="X36" s="99"/>
      <x:c r="Y36" s="99"/>
      <x:c r="Z36" s="99"/>
    </x:row>
    <x:row r="37">
      <x:c r="A37" s="99"/>
      <x:c r="B37" s="99"/>
      <x:c r="C37" s="99"/>
      <x:c r="D37" s="99"/>
      <x:c r="E37" s="99"/>
      <x:c r="F37" s="99"/>
      <x:c r="G37" s="99"/>
      <x:c r="H37" s="99"/>
      <x:c r="I37" s="99"/>
      <x:c r="J37" s="99"/>
      <x:c r="K37" s="99"/>
      <x:c r="L37" s="99"/>
      <x:c r="M37" s="99"/>
      <x:c r="N37" s="99"/>
      <x:c r="O37" s="99"/>
      <x:c r="P37" s="99"/>
      <x:c r="Q37" s="99"/>
      <x:c r="R37" s="99"/>
      <x:c r="S37" s="99"/>
      <x:c r="T37" s="99"/>
      <x:c r="U37" s="99"/>
      <x:c r="V37" s="99"/>
      <x:c r="W37" s="99"/>
      <x:c r="X37" s="99"/>
      <x:c r="Y37" s="99"/>
      <x:c r="Z37" s="99"/>
    </x:row>
    <x:row r="38">
      <x:c r="A38" s="99"/>
      <x:c r="B38" s="99"/>
      <x:c r="C38" s="99"/>
      <x:c r="D38" s="99"/>
      <x:c r="E38" s="99"/>
      <x:c r="F38" s="99"/>
      <x:c r="G38" s="99"/>
      <x:c r="H38" s="99"/>
      <x:c r="I38" s="99"/>
      <x:c r="J38" s="99"/>
      <x:c r="K38" s="99"/>
      <x:c r="L38" s="99"/>
      <x:c r="M38" s="99"/>
      <x:c r="N38" s="99"/>
      <x:c r="O38" s="99"/>
      <x:c r="P38" s="99"/>
      <x:c r="Q38" s="99"/>
      <x:c r="R38" s="99"/>
      <x:c r="S38" s="99"/>
      <x:c r="T38" s="99"/>
      <x:c r="U38" s="99"/>
      <x:c r="V38" s="99"/>
      <x:c r="W38" s="99"/>
      <x:c r="X38" s="99"/>
      <x:c r="Y38" s="99"/>
      <x:c r="Z38" s="99"/>
    </x:row>
    <x:row r="39">
      <x:c r="A39" s="99"/>
      <x:c r="B39" s="99"/>
      <x:c r="C39" s="99"/>
      <x:c r="D39" s="99"/>
      <x:c r="E39" s="99"/>
      <x:c r="F39" s="99"/>
      <x:c r="G39" s="99"/>
      <x:c r="H39" s="99"/>
      <x:c r="I39" s="99"/>
      <x:c r="J39" s="99"/>
      <x:c r="K39" s="99"/>
      <x:c r="L39" s="99"/>
      <x:c r="M39" s="99"/>
      <x:c r="N39" s="99"/>
      <x:c r="O39" s="99"/>
      <x:c r="P39" s="99"/>
      <x:c r="Q39" s="99"/>
      <x:c r="R39" s="99"/>
      <x:c r="S39" s="99"/>
      <x:c r="T39" s="99"/>
      <x:c r="U39" s="99"/>
      <x:c r="V39" s="99"/>
      <x:c r="W39" s="99"/>
      <x:c r="X39" s="99"/>
      <x:c r="Y39" s="99"/>
      <x:c r="Z39" s="99"/>
    </x:row>
    <x:row r="40">
      <x:c r="A40" s="99"/>
      <x:c r="B40" s="99"/>
      <x:c r="C40" s="99"/>
      <x:c r="D40" s="99"/>
      <x:c r="E40" s="99"/>
      <x:c r="F40" s="99"/>
      <x:c r="G40" s="99"/>
      <x:c r="H40" s="99"/>
      <x:c r="I40" s="99"/>
      <x:c r="J40" s="99"/>
      <x:c r="K40" s="99"/>
      <x:c r="L40" s="99"/>
      <x:c r="M40" s="99"/>
      <x:c r="N40" s="99"/>
      <x:c r="O40" s="99"/>
      <x:c r="P40" s="99"/>
      <x:c r="Q40" s="99"/>
      <x:c r="R40" s="99"/>
      <x:c r="S40" s="99"/>
      <x:c r="T40" s="99"/>
      <x:c r="U40" s="99"/>
      <x:c r="V40" s="99"/>
      <x:c r="W40" s="99"/>
      <x:c r="X40" s="99"/>
      <x:c r="Y40" s="99"/>
      <x:c r="Z40" s="99"/>
    </x:row>
    <x:row r="41">
      <x:c r="A41" s="99"/>
      <x:c r="B41" s="99"/>
      <x:c r="C41" s="99"/>
      <x:c r="D41" s="99"/>
      <x:c r="E41" s="99"/>
      <x:c r="F41" s="99"/>
      <x:c r="G41" s="99"/>
      <x:c r="H41" s="99"/>
      <x:c r="I41" s="99"/>
      <x:c r="J41" s="99"/>
      <x:c r="K41" s="99"/>
      <x:c r="L41" s="99"/>
      <x:c r="M41" s="99"/>
      <x:c r="N41" s="99"/>
      <x:c r="O41" s="99"/>
      <x:c r="P41" s="99"/>
      <x:c r="Q41" s="99"/>
      <x:c r="R41" s="99"/>
      <x:c r="S41" s="99"/>
      <x:c r="T41" s="99"/>
      <x:c r="U41" s="99"/>
      <x:c r="V41" s="99"/>
      <x:c r="W41" s="99"/>
      <x:c r="X41" s="99"/>
      <x:c r="Y41" s="99"/>
      <x:c r="Z41" s="99"/>
    </x:row>
    <x:row r="42">
      <x:c r="A42" s="99"/>
      <x:c r="B42" s="99"/>
      <x:c r="C42" s="99"/>
      <x:c r="D42" s="99"/>
      <x:c r="E42" s="99"/>
      <x:c r="F42" s="99"/>
      <x:c r="G42" s="99"/>
      <x:c r="H42" s="99"/>
      <x:c r="I42" s="99"/>
      <x:c r="J42" s="99"/>
      <x:c r="K42" s="99"/>
      <x:c r="L42" s="99"/>
      <x:c r="M42" s="99"/>
      <x:c r="N42" s="99"/>
      <x:c r="O42" s="99"/>
      <x:c r="P42" s="99"/>
      <x:c r="Q42" s="99"/>
      <x:c r="R42" s="99"/>
      <x:c r="S42" s="99"/>
      <x:c r="T42" s="99"/>
      <x:c r="U42" s="99"/>
      <x:c r="V42" s="99"/>
      <x:c r="W42" s="99"/>
      <x:c r="X42" s="99"/>
      <x:c r="Y42" s="99"/>
      <x:c r="Z42" s="99"/>
    </x:row>
    <x:row r="43">
      <x:c r="A43" s="99"/>
      <x:c r="B43" s="99"/>
      <x:c r="C43" s="99"/>
      <x:c r="D43" s="99"/>
      <x:c r="E43" s="99"/>
      <x:c r="F43" s="99"/>
      <x:c r="G43" s="99"/>
      <x:c r="H43" s="99"/>
      <x:c r="I43" s="99"/>
      <x:c r="J43" s="99"/>
      <x:c r="K43" s="99"/>
      <x:c r="L43" s="99"/>
      <x:c r="M43" s="99"/>
      <x:c r="N43" s="99"/>
      <x:c r="O43" s="99"/>
      <x:c r="P43" s="99"/>
      <x:c r="Q43" s="99"/>
      <x:c r="R43" s="99"/>
      <x:c r="S43" s="99"/>
      <x:c r="T43" s="99"/>
      <x:c r="U43" s="99"/>
      <x:c r="V43" s="99"/>
      <x:c r="W43" s="99"/>
      <x:c r="X43" s="99"/>
      <x:c r="Y43" s="99"/>
      <x:c r="Z43" s="99"/>
    </x:row>
    <x:row r="44">
      <x:c r="A44" s="99"/>
      <x:c r="B44" s="99"/>
      <x:c r="C44" s="99"/>
      <x:c r="D44" s="99"/>
      <x:c r="E44" s="99"/>
      <x:c r="F44" s="99"/>
      <x:c r="G44" s="99"/>
      <x:c r="H44" s="99"/>
      <x:c r="I44" s="99"/>
      <x:c r="J44" s="99"/>
      <x:c r="K44" s="99"/>
      <x:c r="L44" s="99"/>
      <x:c r="M44" s="99"/>
      <x:c r="N44" s="99"/>
      <x:c r="O44" s="99"/>
      <x:c r="P44" s="99"/>
      <x:c r="Q44" s="99"/>
      <x:c r="R44" s="99"/>
      <x:c r="S44" s="99"/>
      <x:c r="T44" s="99"/>
      <x:c r="U44" s="99"/>
      <x:c r="V44" s="99"/>
      <x:c r="W44" s="99"/>
      <x:c r="X44" s="99"/>
      <x:c r="Y44" s="99"/>
      <x:c r="Z44" s="99"/>
    </x:row>
    <x:row r="45">
      <x:c r="A45" s="99"/>
      <x:c r="B45" s="99"/>
      <x:c r="C45" s="99"/>
      <x:c r="D45" s="99"/>
      <x:c r="E45" s="99"/>
      <x:c r="F45" s="99"/>
      <x:c r="G45" s="99"/>
      <x:c r="H45" s="99"/>
      <x:c r="I45" s="99"/>
      <x:c r="J45" s="99"/>
      <x:c r="K45" s="99"/>
      <x:c r="L45" s="99"/>
      <x:c r="M45" s="99"/>
      <x:c r="N45" s="99"/>
      <x:c r="O45" s="99"/>
      <x:c r="P45" s="99"/>
      <x:c r="Q45" s="99"/>
      <x:c r="R45" s="99"/>
      <x:c r="S45" s="99"/>
      <x:c r="T45" s="99"/>
      <x:c r="U45" s="99"/>
      <x:c r="V45" s="99"/>
      <x:c r="W45" s="99"/>
      <x:c r="X45" s="99"/>
      <x:c r="Y45" s="99"/>
      <x:c r="Z45" s="99"/>
    </x:row>
    <x:row r="46">
      <x:c r="A46" s="99"/>
      <x:c r="B46" s="99"/>
      <x:c r="C46" s="99"/>
      <x:c r="D46" s="99"/>
      <x:c r="E46" s="99"/>
      <x:c r="F46" s="99"/>
      <x:c r="G46" s="99"/>
      <x:c r="H46" s="99"/>
      <x:c r="I46" s="99"/>
      <x:c r="J46" s="99"/>
      <x:c r="K46" s="99"/>
      <x:c r="L46" s="99"/>
      <x:c r="M46" s="99"/>
      <x:c r="N46" s="99"/>
      <x:c r="O46" s="99"/>
      <x:c r="P46" s="99"/>
      <x:c r="Q46" s="99"/>
      <x:c r="R46" s="99"/>
      <x:c r="S46" s="99"/>
      <x:c r="T46" s="99"/>
      <x:c r="U46" s="99"/>
      <x:c r="V46" s="99"/>
      <x:c r="W46" s="99"/>
      <x:c r="X46" s="99"/>
      <x:c r="Y46" s="99"/>
      <x:c r="Z46" s="99"/>
    </x:row>
    <x:row r="47">
      <x:c r="A47" s="99"/>
      <x:c r="B47" s="99"/>
      <x:c r="C47" s="99"/>
      <x:c r="D47" s="99"/>
      <x:c r="E47" s="99"/>
      <x:c r="F47" s="99"/>
      <x:c r="G47" s="99"/>
      <x:c r="H47" s="99"/>
      <x:c r="I47" s="99"/>
      <x:c r="J47" s="99"/>
      <x:c r="K47" s="99"/>
      <x:c r="L47" s="99"/>
      <x:c r="M47" s="99"/>
      <x:c r="N47" s="99"/>
      <x:c r="O47" s="99"/>
      <x:c r="P47" s="99"/>
      <x:c r="Q47" s="99"/>
      <x:c r="R47" s="99"/>
      <x:c r="S47" s="99"/>
      <x:c r="T47" s="99"/>
      <x:c r="U47" s="99"/>
      <x:c r="V47" s="99"/>
      <x:c r="W47" s="99"/>
      <x:c r="X47" s="99"/>
      <x:c r="Y47" s="99"/>
      <x:c r="Z47" s="99"/>
    </x:row>
    <x:row r="48">
      <x:c r="A48" s="99"/>
      <x:c r="B48" s="99"/>
      <x:c r="C48" s="99"/>
      <x:c r="D48" s="99"/>
      <x:c r="E48" s="99"/>
      <x:c r="F48" s="99"/>
      <x:c r="G48" s="99"/>
      <x:c r="H48" s="99"/>
      <x:c r="I48" s="99"/>
      <x:c r="J48" s="99"/>
      <x:c r="K48" s="99"/>
      <x:c r="L48" s="99"/>
      <x:c r="M48" s="99"/>
      <x:c r="N48" s="99"/>
      <x:c r="O48" s="99"/>
      <x:c r="P48" s="99"/>
      <x:c r="Q48" s="99"/>
      <x:c r="R48" s="99"/>
      <x:c r="S48" s="99"/>
      <x:c r="T48" s="99"/>
      <x:c r="U48" s="99"/>
      <x:c r="V48" s="99"/>
      <x:c r="W48" s="99"/>
      <x:c r="X48" s="99"/>
      <x:c r="Y48" s="99"/>
      <x:c r="Z48" s="99"/>
    </x:row>
    <x:row r="49">
      <x:c r="A49" s="99"/>
      <x:c r="B49" s="99"/>
      <x:c r="C49" s="99"/>
      <x:c r="D49" s="99"/>
      <x:c r="E49" s="99"/>
      <x:c r="F49" s="99"/>
      <x:c r="G49" s="99"/>
      <x:c r="H49" s="99"/>
      <x:c r="I49" s="99"/>
      <x:c r="J49" s="99"/>
      <x:c r="K49" s="99"/>
      <x:c r="L49" s="99"/>
      <x:c r="M49" s="99"/>
      <x:c r="N49" s="99"/>
      <x:c r="O49" s="99"/>
      <x:c r="P49" s="99"/>
      <x:c r="Q49" s="99"/>
      <x:c r="R49" s="99"/>
      <x:c r="S49" s="99"/>
      <x:c r="T49" s="99"/>
      <x:c r="U49" s="99"/>
      <x:c r="V49" s="99"/>
      <x:c r="W49" s="99"/>
      <x:c r="X49" s="99"/>
      <x:c r="Y49" s="99"/>
      <x:c r="Z49" s="99"/>
    </x:row>
    <x:row r="50">
      <x:c r="A50" s="99"/>
      <x:c r="B50" s="99"/>
      <x:c r="C50" s="99"/>
      <x:c r="D50" s="99"/>
      <x:c r="E50" s="99"/>
      <x:c r="F50" s="99"/>
      <x:c r="G50" s="99"/>
      <x:c r="H50" s="99"/>
      <x:c r="I50" s="99"/>
      <x:c r="J50" s="99"/>
      <x:c r="K50" s="99"/>
      <x:c r="L50" s="99"/>
      <x:c r="M50" s="99"/>
      <x:c r="N50" s="99"/>
      <x:c r="O50" s="99"/>
      <x:c r="P50" s="99"/>
      <x:c r="Q50" s="99"/>
      <x:c r="R50" s="99"/>
      <x:c r="S50" s="99"/>
      <x:c r="T50" s="99"/>
      <x:c r="U50" s="99"/>
      <x:c r="V50" s="99"/>
      <x:c r="W50" s="99"/>
      <x:c r="X50" s="99"/>
      <x:c r="Y50" s="99"/>
      <x:c r="Z50" s="99"/>
    </x:row>
    <x:row r="51">
      <x:c r="A51" s="99"/>
      <x:c r="B51" s="99"/>
      <x:c r="C51" s="99"/>
      <x:c r="D51" s="99"/>
      <x:c r="E51" s="99"/>
      <x:c r="F51" s="99"/>
      <x:c r="G51" s="99"/>
      <x:c r="H51" s="99"/>
      <x:c r="I51" s="99"/>
      <x:c r="J51" s="99"/>
      <x:c r="K51" s="99"/>
      <x:c r="L51" s="99"/>
      <x:c r="M51" s="99"/>
      <x:c r="N51" s="99"/>
      <x:c r="O51" s="99"/>
      <x:c r="P51" s="99"/>
      <x:c r="Q51" s="99"/>
      <x:c r="R51" s="99"/>
      <x:c r="S51" s="99"/>
      <x:c r="T51" s="99"/>
      <x:c r="U51" s="99"/>
      <x:c r="V51" s="99"/>
      <x:c r="W51" s="99"/>
      <x:c r="X51" s="99"/>
      <x:c r="Y51" s="99"/>
      <x:c r="Z51" s="99"/>
    </x:row>
    <x:row r="52">
      <x:c r="A52" s="99"/>
      <x:c r="B52" s="99"/>
      <x:c r="C52" s="99"/>
      <x:c r="D52" s="99"/>
      <x:c r="E52" s="99"/>
      <x:c r="F52" s="99"/>
      <x:c r="G52" s="99"/>
      <x:c r="H52" s="99"/>
      <x:c r="I52" s="99"/>
      <x:c r="J52" s="99"/>
      <x:c r="K52" s="99"/>
      <x:c r="L52" s="99"/>
      <x:c r="M52" s="99"/>
      <x:c r="N52" s="99"/>
      <x:c r="O52" s="99"/>
      <x:c r="P52" s="99"/>
      <x:c r="Q52" s="99"/>
      <x:c r="R52" s="99"/>
      <x:c r="S52" s="99"/>
      <x:c r="T52" s="99"/>
      <x:c r="U52" s="99"/>
      <x:c r="V52" s="99"/>
      <x:c r="W52" s="99"/>
      <x:c r="X52" s="99"/>
      <x:c r="Y52" s="99"/>
      <x:c r="Z52" s="99"/>
    </x:row>
    <x:row r="53">
      <x:c r="A53" s="99"/>
      <x:c r="B53" s="99"/>
      <x:c r="C53" s="99"/>
      <x:c r="D53" s="99"/>
      <x:c r="E53" s="99"/>
      <x:c r="F53" s="99"/>
      <x:c r="G53" s="99"/>
      <x:c r="H53" s="99"/>
      <x:c r="I53" s="99"/>
      <x:c r="J53" s="99"/>
      <x:c r="K53" s="99"/>
      <x:c r="L53" s="99"/>
      <x:c r="M53" s="99"/>
      <x:c r="N53" s="99"/>
      <x:c r="O53" s="99"/>
      <x:c r="P53" s="99"/>
      <x:c r="Q53" s="99"/>
      <x:c r="R53" s="99"/>
      <x:c r="S53" s="99"/>
      <x:c r="T53" s="99"/>
      <x:c r="U53" s="99"/>
      <x:c r="V53" s="99"/>
      <x:c r="W53" s="99"/>
      <x:c r="X53" s="99"/>
      <x:c r="Y53" s="99"/>
      <x:c r="Z53" s="99"/>
    </x:row>
    <x:row r="54">
      <x:c r="A54" s="99"/>
      <x:c r="B54" s="99"/>
      <x:c r="C54" s="99"/>
      <x:c r="D54" s="99"/>
      <x:c r="E54" s="99"/>
      <x:c r="F54" s="99"/>
      <x:c r="G54" s="99"/>
      <x:c r="H54" s="99"/>
      <x:c r="I54" s="99"/>
      <x:c r="J54" s="99"/>
      <x:c r="K54" s="99"/>
      <x:c r="L54" s="99"/>
      <x:c r="M54" s="99"/>
      <x:c r="N54" s="99"/>
      <x:c r="O54" s="99"/>
      <x:c r="P54" s="99"/>
      <x:c r="Q54" s="99"/>
      <x:c r="R54" s="99"/>
      <x:c r="S54" s="99"/>
      <x:c r="T54" s="99"/>
      <x:c r="U54" s="99"/>
      <x:c r="V54" s="99"/>
      <x:c r="W54" s="99"/>
      <x:c r="X54" s="99"/>
      <x:c r="Y54" s="99"/>
      <x:c r="Z54" s="99"/>
    </x:row>
    <x:row r="55">
      <x:c r="A55" s="99"/>
      <x:c r="B55" s="99"/>
      <x:c r="C55" s="99"/>
      <x:c r="D55" s="99"/>
      <x:c r="E55" s="99"/>
      <x:c r="F55" s="99"/>
      <x:c r="G55" s="99"/>
      <x:c r="H55" s="99"/>
      <x:c r="I55" s="99"/>
      <x:c r="J55" s="99"/>
      <x:c r="K55" s="99"/>
      <x:c r="L55" s="99"/>
      <x:c r="M55" s="99"/>
      <x:c r="N55" s="99"/>
      <x:c r="O55" s="99"/>
      <x:c r="P55" s="99"/>
      <x:c r="Q55" s="99"/>
      <x:c r="R55" s="99"/>
      <x:c r="S55" s="99"/>
      <x:c r="T55" s="99"/>
      <x:c r="U55" s="99"/>
      <x:c r="V55" s="99"/>
      <x:c r="W55" s="99"/>
      <x:c r="X55" s="99"/>
      <x:c r="Y55" s="99"/>
      <x:c r="Z55" s="99"/>
    </x:row>
    <x:row r="56">
      <x:c r="A56" s="99"/>
      <x:c r="B56" s="99"/>
      <x:c r="C56" s="99"/>
      <x:c r="D56" s="99"/>
      <x:c r="E56" s="99"/>
      <x:c r="F56" s="99"/>
      <x:c r="G56" s="99"/>
      <x:c r="H56" s="99"/>
      <x:c r="I56" s="99"/>
      <x:c r="J56" s="99"/>
      <x:c r="K56" s="99"/>
      <x:c r="L56" s="99"/>
      <x:c r="M56" s="99"/>
      <x:c r="N56" s="99"/>
      <x:c r="O56" s="99"/>
      <x:c r="P56" s="99"/>
      <x:c r="Q56" s="99"/>
      <x:c r="R56" s="99"/>
      <x:c r="S56" s="99"/>
      <x:c r="T56" s="99"/>
      <x:c r="U56" s="99"/>
      <x:c r="V56" s="99"/>
      <x:c r="W56" s="99"/>
      <x:c r="X56" s="99"/>
      <x:c r="Y56" s="99"/>
      <x:c r="Z56" s="99"/>
    </x:row>
    <x:row r="57">
      <x:c r="A57" s="99"/>
      <x:c r="B57" s="99"/>
      <x:c r="C57" s="99"/>
      <x:c r="D57" s="99"/>
      <x:c r="E57" s="99"/>
      <x:c r="F57" s="99"/>
      <x:c r="G57" s="99"/>
      <x:c r="H57" s="99"/>
      <x:c r="I57" s="99"/>
      <x:c r="J57" s="99"/>
      <x:c r="K57" s="99"/>
      <x:c r="L57" s="99"/>
      <x:c r="M57" s="99"/>
      <x:c r="N57" s="99"/>
      <x:c r="O57" s="99"/>
      <x:c r="P57" s="99"/>
      <x:c r="Q57" s="99"/>
      <x:c r="R57" s="99"/>
      <x:c r="S57" s="99"/>
      <x:c r="T57" s="99"/>
      <x:c r="U57" s="99"/>
      <x:c r="V57" s="99"/>
      <x:c r="W57" s="99"/>
      <x:c r="X57" s="99"/>
      <x:c r="Y57" s="99"/>
      <x:c r="Z57" s="99"/>
    </x:row>
    <x:row r="58">
      <x:c r="A58" s="99"/>
      <x:c r="B58" s="99"/>
      <x:c r="C58" s="99"/>
      <x:c r="D58" s="99"/>
      <x:c r="E58" s="99"/>
      <x:c r="F58" s="99"/>
      <x:c r="G58" s="99"/>
      <x:c r="H58" s="99"/>
      <x:c r="I58" s="99"/>
      <x:c r="J58" s="99"/>
      <x:c r="K58" s="99"/>
      <x:c r="L58" s="99"/>
      <x:c r="M58" s="99"/>
      <x:c r="N58" s="99"/>
      <x:c r="O58" s="99"/>
      <x:c r="P58" s="99"/>
      <x:c r="Q58" s="99"/>
      <x:c r="R58" s="99"/>
      <x:c r="S58" s="99"/>
      <x:c r="T58" s="99"/>
      <x:c r="U58" s="99"/>
      <x:c r="V58" s="99"/>
      <x:c r="W58" s="99"/>
      <x:c r="X58" s="99"/>
      <x:c r="Y58" s="99"/>
      <x:c r="Z58" s="99"/>
    </x:row>
    <x:row r="59">
      <x:c r="A59" s="99"/>
      <x:c r="B59" s="99"/>
      <x:c r="C59" s="99"/>
      <x:c r="D59" s="99"/>
      <x:c r="E59" s="99"/>
      <x:c r="F59" s="99"/>
      <x:c r="G59" s="99"/>
      <x:c r="H59" s="99"/>
      <x:c r="I59" s="99"/>
      <x:c r="J59" s="99"/>
      <x:c r="K59" s="99"/>
      <x:c r="L59" s="99"/>
      <x:c r="M59" s="99"/>
      <x:c r="N59" s="99"/>
      <x:c r="O59" s="99"/>
      <x:c r="P59" s="99"/>
      <x:c r="Q59" s="99"/>
      <x:c r="R59" s="99"/>
      <x:c r="S59" s="99"/>
      <x:c r="T59" s="99"/>
      <x:c r="U59" s="99"/>
      <x:c r="V59" s="99"/>
      <x:c r="W59" s="99"/>
      <x:c r="X59" s="99"/>
      <x:c r="Y59" s="99"/>
      <x:c r="Z59" s="99"/>
    </x:row>
    <x:row r="60">
      <x:c r="A60" s="99"/>
      <x:c r="B60" s="99"/>
      <x:c r="C60" s="99"/>
      <x:c r="D60" s="99"/>
      <x:c r="E60" s="99"/>
      <x:c r="F60" s="99"/>
      <x:c r="G60" s="99"/>
      <x:c r="H60" s="99"/>
      <x:c r="I60" s="99"/>
      <x:c r="J60" s="99"/>
      <x:c r="K60" s="99"/>
      <x:c r="L60" s="99"/>
      <x:c r="M60" s="99"/>
      <x:c r="N60" s="99"/>
      <x:c r="O60" s="99"/>
      <x:c r="P60" s="99"/>
      <x:c r="Q60" s="99"/>
      <x:c r="R60" s="99"/>
      <x:c r="S60" s="99"/>
      <x:c r="T60" s="99"/>
      <x:c r="U60" s="99"/>
      <x:c r="V60" s="99"/>
      <x:c r="W60" s="99"/>
      <x:c r="X60" s="99"/>
      <x:c r="Y60" s="99"/>
      <x:c r="Z60" s="99"/>
    </x:row>
    <x:row r="61">
      <x:c r="A61" s="99"/>
      <x:c r="B61" s="99"/>
      <x:c r="C61" s="99"/>
      <x:c r="D61" s="99"/>
      <x:c r="E61" s="99"/>
      <x:c r="F61" s="99"/>
      <x:c r="G61" s="99"/>
      <x:c r="H61" s="99"/>
      <x:c r="I61" s="99"/>
      <x:c r="J61" s="99"/>
      <x:c r="K61" s="99"/>
      <x:c r="L61" s="99"/>
      <x:c r="M61" s="99"/>
      <x:c r="N61" s="99"/>
      <x:c r="O61" s="99"/>
      <x:c r="P61" s="99"/>
      <x:c r="Q61" s="99"/>
      <x:c r="R61" s="99"/>
      <x:c r="S61" s="99"/>
      <x:c r="T61" s="99"/>
      <x:c r="U61" s="99"/>
      <x:c r="V61" s="99"/>
      <x:c r="W61" s="99"/>
      <x:c r="X61" s="99"/>
      <x:c r="Y61" s="99"/>
      <x:c r="Z61" s="99"/>
    </x:row>
    <x:row r="62">
      <x:c r="A62" s="99"/>
      <x:c r="B62" s="99"/>
      <x:c r="C62" s="99"/>
      <x:c r="D62" s="99"/>
      <x:c r="E62" s="99"/>
      <x:c r="F62" s="99"/>
      <x:c r="G62" s="99"/>
      <x:c r="H62" s="99"/>
      <x:c r="I62" s="99"/>
      <x:c r="J62" s="99"/>
      <x:c r="K62" s="99"/>
      <x:c r="L62" s="99"/>
      <x:c r="M62" s="99"/>
      <x:c r="N62" s="99"/>
      <x:c r="O62" s="99"/>
      <x:c r="P62" s="99"/>
      <x:c r="Q62" s="99"/>
      <x:c r="R62" s="99"/>
      <x:c r="S62" s="99"/>
      <x:c r="T62" s="99"/>
      <x:c r="U62" s="99"/>
      <x:c r="V62" s="99"/>
      <x:c r="W62" s="99"/>
      <x:c r="X62" s="99"/>
      <x:c r="Y62" s="99"/>
      <x:c r="Z62" s="99"/>
    </x:row>
    <x:row r="63">
      <x:c r="A63" s="99"/>
      <x:c r="B63" s="99"/>
      <x:c r="C63" s="99"/>
      <x:c r="D63" s="99"/>
      <x:c r="E63" s="99"/>
      <x:c r="F63" s="99"/>
      <x:c r="G63" s="99"/>
      <x:c r="H63" s="99"/>
      <x:c r="I63" s="99"/>
      <x:c r="J63" s="99"/>
      <x:c r="K63" s="99"/>
      <x:c r="L63" s="99"/>
      <x:c r="M63" s="99"/>
      <x:c r="N63" s="99"/>
      <x:c r="O63" s="99"/>
      <x:c r="P63" s="99"/>
      <x:c r="Q63" s="99"/>
      <x:c r="R63" s="99"/>
      <x:c r="S63" s="99"/>
      <x:c r="T63" s="99"/>
      <x:c r="U63" s="99"/>
      <x:c r="V63" s="99"/>
      <x:c r="W63" s="99"/>
      <x:c r="X63" s="99"/>
      <x:c r="Y63" s="99"/>
      <x:c r="Z63" s="99"/>
    </x:row>
    <x:row r="64">
      <x:c r="A64" s="99"/>
      <x:c r="B64" s="99"/>
      <x:c r="C64" s="99"/>
      <x:c r="D64" s="99"/>
      <x:c r="E64" s="99"/>
      <x:c r="F64" s="99"/>
      <x:c r="G64" s="99"/>
      <x:c r="H64" s="99"/>
      <x:c r="I64" s="99"/>
      <x:c r="J64" s="99"/>
      <x:c r="K64" s="99"/>
      <x:c r="L64" s="99"/>
      <x:c r="M64" s="99"/>
      <x:c r="N64" s="99"/>
      <x:c r="O64" s="99"/>
      <x:c r="P64" s="99"/>
      <x:c r="Q64" s="99"/>
      <x:c r="R64" s="99"/>
      <x:c r="S64" s="99"/>
      <x:c r="T64" s="99"/>
      <x:c r="U64" s="99"/>
      <x:c r="V64" s="99"/>
      <x:c r="W64" s="99"/>
      <x:c r="X64" s="99"/>
      <x:c r="Y64" s="99"/>
      <x:c r="Z64" s="99"/>
    </x:row>
    <x:row r="65">
      <x:c r="A65" s="99"/>
      <x:c r="B65" s="99"/>
      <x:c r="C65" s="99"/>
      <x:c r="D65" s="99"/>
      <x:c r="E65" s="99"/>
      <x:c r="F65" s="99"/>
      <x:c r="G65" s="99"/>
      <x:c r="H65" s="99"/>
      <x:c r="I65" s="99"/>
      <x:c r="J65" s="99"/>
      <x:c r="K65" s="99"/>
      <x:c r="L65" s="99"/>
      <x:c r="M65" s="99"/>
      <x:c r="N65" s="99"/>
      <x:c r="O65" s="99"/>
      <x:c r="P65" s="99"/>
      <x:c r="Q65" s="99"/>
      <x:c r="R65" s="99"/>
      <x:c r="S65" s="99"/>
      <x:c r="T65" s="99"/>
      <x:c r="U65" s="99"/>
      <x:c r="V65" s="99"/>
      <x:c r="W65" s="99"/>
      <x:c r="X65" s="99"/>
      <x:c r="Y65" s="99"/>
      <x:c r="Z65" s="99"/>
    </x:row>
    <x:row r="66">
      <x:c r="A66" s="99"/>
      <x:c r="B66" s="99"/>
      <x:c r="C66" s="99"/>
      <x:c r="D66" s="99"/>
      <x:c r="E66" s="99"/>
      <x:c r="F66" s="99"/>
      <x:c r="G66" s="99"/>
      <x:c r="H66" s="99"/>
      <x:c r="I66" s="99"/>
      <x:c r="J66" s="99"/>
      <x:c r="K66" s="99"/>
      <x:c r="L66" s="99"/>
      <x:c r="M66" s="99"/>
      <x:c r="N66" s="99"/>
      <x:c r="O66" s="99"/>
      <x:c r="P66" s="99"/>
      <x:c r="Q66" s="99"/>
      <x:c r="R66" s="99"/>
      <x:c r="S66" s="99"/>
      <x:c r="T66" s="99"/>
      <x:c r="U66" s="99"/>
      <x:c r="V66" s="99"/>
      <x:c r="W66" s="99"/>
      <x:c r="X66" s="99"/>
      <x:c r="Y66" s="99"/>
      <x:c r="Z66" s="99"/>
    </x:row>
    <x:row r="67">
      <x:c r="A67" s="99"/>
      <x:c r="B67" s="99"/>
      <x:c r="C67" s="99"/>
      <x:c r="D67" s="99"/>
      <x:c r="E67" s="99"/>
      <x:c r="F67" s="99"/>
      <x:c r="G67" s="99"/>
      <x:c r="H67" s="99"/>
      <x:c r="I67" s="99"/>
      <x:c r="J67" s="99"/>
      <x:c r="K67" s="99"/>
      <x:c r="L67" s="99"/>
      <x:c r="M67" s="99"/>
      <x:c r="N67" s="99"/>
      <x:c r="O67" s="99"/>
      <x:c r="P67" s="99"/>
      <x:c r="Q67" s="99"/>
      <x:c r="R67" s="99"/>
      <x:c r="S67" s="99"/>
      <x:c r="T67" s="99"/>
      <x:c r="U67" s="99"/>
      <x:c r="V67" s="99"/>
      <x:c r="W67" s="99"/>
      <x:c r="X67" s="99"/>
      <x:c r="Y67" s="99"/>
      <x:c r="Z67" s="99"/>
    </x:row>
    <x:row r="68">
      <x:c r="A68" s="99"/>
      <x:c r="B68" s="99"/>
      <x:c r="C68" s="99"/>
      <x:c r="D68" s="99"/>
      <x:c r="E68" s="99"/>
      <x:c r="F68" s="99"/>
      <x:c r="G68" s="99"/>
      <x:c r="H68" s="99"/>
      <x:c r="I68" s="99"/>
      <x:c r="J68" s="99"/>
      <x:c r="K68" s="99"/>
      <x:c r="L68" s="99"/>
      <x:c r="M68" s="99"/>
      <x:c r="N68" s="99"/>
      <x:c r="O68" s="99"/>
      <x:c r="P68" s="99"/>
      <x:c r="Q68" s="99"/>
      <x:c r="R68" s="99"/>
      <x:c r="S68" s="99"/>
      <x:c r="T68" s="99"/>
      <x:c r="U68" s="99"/>
      <x:c r="V68" s="99"/>
      <x:c r="W68" s="99"/>
      <x:c r="X68" s="99"/>
      <x:c r="Y68" s="99"/>
      <x:c r="Z68" s="99"/>
    </x:row>
    <x:row r="69">
      <x:c r="A69" s="99"/>
      <x:c r="B69" s="99"/>
      <x:c r="C69" s="99"/>
      <x:c r="D69" s="99"/>
      <x:c r="E69" s="99"/>
      <x:c r="F69" s="99"/>
      <x:c r="G69" s="99"/>
      <x:c r="H69" s="99"/>
      <x:c r="I69" s="99"/>
      <x:c r="J69" s="99"/>
      <x:c r="K69" s="99"/>
      <x:c r="L69" s="99"/>
      <x:c r="M69" s="99"/>
      <x:c r="N69" s="99"/>
      <x:c r="O69" s="99"/>
      <x:c r="P69" s="99"/>
      <x:c r="Q69" s="99"/>
      <x:c r="R69" s="99"/>
      <x:c r="S69" s="99"/>
      <x:c r="T69" s="99"/>
      <x:c r="U69" s="99"/>
      <x:c r="V69" s="99"/>
      <x:c r="W69" s="99"/>
      <x:c r="X69" s="99"/>
      <x:c r="Y69" s="99"/>
      <x:c r="Z69" s="99"/>
    </x:row>
    <x:row r="70">
      <x:c r="A70" s="99"/>
      <x:c r="B70" s="99"/>
      <x:c r="C70" s="99"/>
      <x:c r="D70" s="99"/>
      <x:c r="E70" s="99"/>
      <x:c r="F70" s="99"/>
      <x:c r="G70" s="99"/>
      <x:c r="H70" s="99"/>
      <x:c r="I70" s="99"/>
      <x:c r="J70" s="99"/>
      <x:c r="K70" s="99"/>
      <x:c r="L70" s="99"/>
      <x:c r="M70" s="99"/>
      <x:c r="N70" s="99"/>
      <x:c r="O70" s="99"/>
      <x:c r="P70" s="99"/>
      <x:c r="Q70" s="99"/>
      <x:c r="R70" s="99"/>
      <x:c r="S70" s="99"/>
      <x:c r="T70" s="99"/>
      <x:c r="U70" s="99"/>
      <x:c r="V70" s="99"/>
      <x:c r="W70" s="99"/>
      <x:c r="X70" s="99"/>
      <x:c r="Y70" s="99"/>
      <x:c r="Z70" s="99"/>
    </x:row>
    <x:row r="71">
      <x:c r="A71" s="99"/>
      <x:c r="B71" s="99"/>
      <x:c r="C71" s="99"/>
      <x:c r="D71" s="99"/>
      <x:c r="E71" s="99"/>
      <x:c r="F71" s="99"/>
      <x:c r="G71" s="99"/>
      <x:c r="H71" s="99"/>
      <x:c r="I71" s="99"/>
      <x:c r="J71" s="99"/>
      <x:c r="K71" s="99"/>
      <x:c r="L71" s="99"/>
      <x:c r="M71" s="99"/>
      <x:c r="N71" s="99"/>
      <x:c r="O71" s="99"/>
      <x:c r="P71" s="99"/>
      <x:c r="Q71" s="99"/>
      <x:c r="R71" s="99"/>
      <x:c r="S71" s="99"/>
      <x:c r="T71" s="99"/>
      <x:c r="U71" s="99"/>
      <x:c r="V71" s="99"/>
      <x:c r="W71" s="99"/>
      <x:c r="X71" s="99"/>
      <x:c r="Y71" s="99"/>
      <x:c r="Z71" s="99"/>
    </x:row>
    <x:row r="72">
      <x:c r="A72" s="99"/>
      <x:c r="B72" s="99"/>
      <x:c r="C72" s="99"/>
      <x:c r="D72" s="99"/>
      <x:c r="E72" s="99"/>
      <x:c r="F72" s="99"/>
      <x:c r="G72" s="99"/>
      <x:c r="H72" s="99"/>
      <x:c r="I72" s="99"/>
      <x:c r="J72" s="99"/>
      <x:c r="K72" s="99"/>
      <x:c r="L72" s="99"/>
      <x:c r="M72" s="99"/>
      <x:c r="N72" s="99"/>
      <x:c r="O72" s="99"/>
      <x:c r="P72" s="99"/>
      <x:c r="Q72" s="99"/>
      <x:c r="R72" s="99"/>
      <x:c r="S72" s="99"/>
      <x:c r="T72" s="99"/>
      <x:c r="U72" s="99"/>
      <x:c r="V72" s="99"/>
      <x:c r="W72" s="99"/>
      <x:c r="X72" s="99"/>
      <x:c r="Y72" s="99"/>
      <x:c r="Z72" s="99"/>
    </x:row>
    <x:row r="73">
      <x:c r="A73" s="99"/>
      <x:c r="B73" s="99"/>
      <x:c r="C73" s="99"/>
      <x:c r="D73" s="99"/>
      <x:c r="E73" s="99"/>
      <x:c r="F73" s="99"/>
      <x:c r="G73" s="99"/>
      <x:c r="H73" s="99"/>
      <x:c r="I73" s="99"/>
      <x:c r="J73" s="99"/>
      <x:c r="K73" s="99"/>
      <x:c r="L73" s="99"/>
      <x:c r="M73" s="99"/>
      <x:c r="N73" s="99"/>
      <x:c r="O73" s="99"/>
      <x:c r="P73" s="99"/>
      <x:c r="Q73" s="99"/>
      <x:c r="R73" s="99"/>
      <x:c r="S73" s="99"/>
      <x:c r="T73" s="99"/>
      <x:c r="U73" s="99"/>
      <x:c r="V73" s="99"/>
      <x:c r="W73" s="99"/>
      <x:c r="X73" s="99"/>
      <x:c r="Y73" s="99"/>
      <x:c r="Z73" s="99"/>
    </x:row>
    <x:row r="74">
      <x:c r="A74" s="99"/>
      <x:c r="B74" s="99"/>
      <x:c r="C74" s="99"/>
      <x:c r="D74" s="99"/>
      <x:c r="E74" s="99"/>
      <x:c r="F74" s="99"/>
      <x:c r="G74" s="99"/>
      <x:c r="H74" s="99"/>
      <x:c r="I74" s="99"/>
      <x:c r="J74" s="99"/>
      <x:c r="K74" s="99"/>
      <x:c r="L74" s="99"/>
      <x:c r="M74" s="99"/>
      <x:c r="N74" s="99"/>
      <x:c r="O74" s="99"/>
      <x:c r="P74" s="99"/>
      <x:c r="Q74" s="99"/>
      <x:c r="R74" s="99"/>
      <x:c r="S74" s="99"/>
      <x:c r="T74" s="99"/>
      <x:c r="U74" s="99"/>
      <x:c r="V74" s="99"/>
      <x:c r="W74" s="99"/>
      <x:c r="X74" s="99"/>
      <x:c r="Y74" s="99"/>
      <x:c r="Z74" s="99"/>
    </x:row>
    <x:row r="75">
      <x:c r="A75" s="99"/>
      <x:c r="B75" s="99"/>
      <x:c r="C75" s="99"/>
      <x:c r="D75" s="99"/>
      <x:c r="E75" s="99"/>
      <x:c r="F75" s="99"/>
      <x:c r="G75" s="99"/>
      <x:c r="H75" s="99"/>
      <x:c r="I75" s="99"/>
      <x:c r="J75" s="99"/>
      <x:c r="K75" s="99"/>
      <x:c r="L75" s="99"/>
      <x:c r="M75" s="99"/>
      <x:c r="N75" s="99"/>
      <x:c r="O75" s="99"/>
      <x:c r="P75" s="99"/>
      <x:c r="Q75" s="99"/>
      <x:c r="R75" s="99"/>
      <x:c r="S75" s="99"/>
      <x:c r="T75" s="99"/>
      <x:c r="U75" s="99"/>
      <x:c r="V75" s="99"/>
      <x:c r="W75" s="99"/>
      <x:c r="X75" s="99"/>
      <x:c r="Y75" s="99"/>
      <x:c r="Z75" s="99"/>
    </x:row>
    <x:row r="76">
      <x:c r="A76" s="99"/>
      <x:c r="B76" s="99"/>
      <x:c r="C76" s="99"/>
      <x:c r="D76" s="99"/>
      <x:c r="E76" s="99"/>
      <x:c r="F76" s="99"/>
      <x:c r="G76" s="99"/>
      <x:c r="H76" s="99"/>
      <x:c r="I76" s="99"/>
      <x:c r="J76" s="99"/>
      <x:c r="K76" s="99"/>
      <x:c r="L76" s="99"/>
      <x:c r="M76" s="99"/>
      <x:c r="N76" s="99"/>
      <x:c r="O76" s="99"/>
      <x:c r="P76" s="99"/>
      <x:c r="Q76" s="99"/>
      <x:c r="R76" s="99"/>
      <x:c r="S76" s="99"/>
      <x:c r="T76" s="99"/>
      <x:c r="U76" s="99"/>
      <x:c r="V76" s="99"/>
      <x:c r="W76" s="99"/>
      <x:c r="X76" s="99"/>
      <x:c r="Y76" s="99"/>
      <x:c r="Z76" s="99"/>
    </x:row>
    <x:row r="77">
      <x:c r="A77" s="99"/>
      <x:c r="B77" s="99"/>
      <x:c r="C77" s="99"/>
      <x:c r="D77" s="99"/>
      <x:c r="E77" s="99"/>
      <x:c r="F77" s="99"/>
      <x:c r="G77" s="99"/>
      <x:c r="H77" s="99"/>
      <x:c r="I77" s="99"/>
      <x:c r="J77" s="99"/>
      <x:c r="K77" s="99"/>
      <x:c r="L77" s="99"/>
      <x:c r="M77" s="99"/>
      <x:c r="N77" s="99"/>
      <x:c r="O77" s="99"/>
      <x:c r="P77" s="99"/>
      <x:c r="Q77" s="99"/>
      <x:c r="R77" s="99"/>
      <x:c r="S77" s="99"/>
      <x:c r="T77" s="99"/>
      <x:c r="U77" s="99"/>
      <x:c r="V77" s="99"/>
      <x:c r="W77" s="99"/>
      <x:c r="X77" s="99"/>
      <x:c r="Y77" s="99"/>
      <x:c r="Z77" s="99"/>
    </x:row>
    <x:row r="78">
      <x:c r="A78" s="99"/>
      <x:c r="B78" s="99"/>
      <x:c r="C78" s="99"/>
      <x:c r="D78" s="99"/>
      <x:c r="E78" s="99"/>
      <x:c r="F78" s="99"/>
      <x:c r="G78" s="99"/>
      <x:c r="H78" s="99"/>
      <x:c r="I78" s="99"/>
      <x:c r="J78" s="99"/>
      <x:c r="K78" s="99"/>
      <x:c r="L78" s="99"/>
      <x:c r="M78" s="99"/>
      <x:c r="N78" s="99"/>
      <x:c r="O78" s="99"/>
      <x:c r="P78" s="99"/>
      <x:c r="Q78" s="99"/>
      <x:c r="R78" s="99"/>
      <x:c r="S78" s="99"/>
      <x:c r="T78" s="99"/>
      <x:c r="U78" s="99"/>
      <x:c r="V78" s="99"/>
      <x:c r="W78" s="99"/>
      <x:c r="X78" s="99"/>
      <x:c r="Y78" s="99"/>
      <x:c r="Z78" s="99"/>
    </x:row>
    <x:row r="79">
      <x:c r="A79" s="99"/>
      <x:c r="B79" s="99"/>
      <x:c r="C79" s="99"/>
      <x:c r="D79" s="99"/>
      <x:c r="E79" s="99"/>
      <x:c r="F79" s="99"/>
      <x:c r="G79" s="99"/>
      <x:c r="H79" s="99"/>
      <x:c r="I79" s="99"/>
      <x:c r="J79" s="99"/>
      <x:c r="K79" s="99"/>
      <x:c r="L79" s="99"/>
      <x:c r="M79" s="99"/>
      <x:c r="N79" s="99"/>
      <x:c r="O79" s="99"/>
      <x:c r="P79" s="99"/>
      <x:c r="Q79" s="99"/>
      <x:c r="R79" s="99"/>
      <x:c r="S79" s="99"/>
      <x:c r="T79" s="99"/>
      <x:c r="U79" s="99"/>
      <x:c r="V79" s="99"/>
      <x:c r="W79" s="99"/>
      <x:c r="X79" s="99"/>
      <x:c r="Y79" s="99"/>
      <x:c r="Z79" s="99"/>
    </x:row>
    <x:row r="80">
      <x:c r="A80" s="99"/>
      <x:c r="B80" s="99"/>
      <x:c r="C80" s="99"/>
      <x:c r="D80" s="99"/>
      <x:c r="E80" s="99"/>
      <x:c r="F80" s="99"/>
      <x:c r="G80" s="99"/>
      <x:c r="H80" s="99"/>
      <x:c r="I80" s="99"/>
      <x:c r="J80" s="99"/>
      <x:c r="K80" s="99"/>
      <x:c r="L80" s="99"/>
      <x:c r="M80" s="99"/>
      <x:c r="N80" s="99"/>
      <x:c r="O80" s="99"/>
      <x:c r="P80" s="99"/>
      <x:c r="Q80" s="99"/>
      <x:c r="R80" s="99"/>
      <x:c r="S80" s="99"/>
      <x:c r="T80" s="99"/>
      <x:c r="U80" s="99"/>
      <x:c r="V80" s="99"/>
      <x:c r="W80" s="99"/>
      <x:c r="X80" s="99"/>
      <x:c r="Y80" s="99"/>
      <x:c r="Z80" s="99"/>
    </x:row>
    <x:row r="81">
      <x:c r="A81" s="99"/>
      <x:c r="B81" s="99"/>
      <x:c r="C81" s="99"/>
      <x:c r="D81" s="99"/>
      <x:c r="E81" s="99"/>
      <x:c r="F81" s="99"/>
      <x:c r="G81" s="99"/>
      <x:c r="H81" s="99"/>
      <x:c r="I81" s="99"/>
      <x:c r="J81" s="99"/>
      <x:c r="K81" s="99"/>
      <x:c r="L81" s="99"/>
      <x:c r="M81" s="99"/>
      <x:c r="N81" s="99"/>
      <x:c r="O81" s="99"/>
      <x:c r="P81" s="99"/>
      <x:c r="Q81" s="99"/>
      <x:c r="R81" s="99"/>
      <x:c r="S81" s="99"/>
      <x:c r="T81" s="99"/>
      <x:c r="U81" s="99"/>
      <x:c r="V81" s="99"/>
      <x:c r="W81" s="99"/>
      <x:c r="X81" s="99"/>
      <x:c r="Y81" s="99"/>
      <x:c r="Z81" s="99"/>
    </x:row>
    <x:row r="82">
      <x:c r="A82" s="99"/>
      <x:c r="B82" s="99"/>
      <x:c r="C82" s="99"/>
      <x:c r="D82" s="99"/>
      <x:c r="E82" s="99"/>
      <x:c r="F82" s="99"/>
      <x:c r="G82" s="99"/>
      <x:c r="H82" s="99"/>
      <x:c r="I82" s="99"/>
      <x:c r="J82" s="99"/>
      <x:c r="K82" s="99"/>
      <x:c r="L82" s="99"/>
      <x:c r="M82" s="99"/>
      <x:c r="N82" s="99"/>
      <x:c r="O82" s="99"/>
      <x:c r="P82" s="99"/>
      <x:c r="Q82" s="99"/>
      <x:c r="R82" s="99"/>
      <x:c r="S82" s="99"/>
      <x:c r="T82" s="99"/>
      <x:c r="U82" s="99"/>
      <x:c r="V82" s="99"/>
      <x:c r="W82" s="99"/>
      <x:c r="X82" s="99"/>
      <x:c r="Y82" s="99"/>
      <x:c r="Z82" s="99"/>
    </x:row>
    <x:row r="83">
      <x:c r="A83" s="99"/>
      <x:c r="B83" s="99"/>
      <x:c r="C83" s="99"/>
      <x:c r="D83" s="99"/>
      <x:c r="E83" s="99"/>
      <x:c r="F83" s="99"/>
      <x:c r="G83" s="99"/>
      <x:c r="H83" s="99"/>
      <x:c r="I83" s="99"/>
      <x:c r="J83" s="99"/>
      <x:c r="K83" s="99"/>
      <x:c r="L83" s="99"/>
      <x:c r="M83" s="99"/>
      <x:c r="N83" s="99"/>
      <x:c r="O83" s="99"/>
      <x:c r="P83" s="99"/>
      <x:c r="Q83" s="99"/>
      <x:c r="R83" s="99"/>
      <x:c r="S83" s="99"/>
      <x:c r="T83" s="99"/>
      <x:c r="U83" s="99"/>
      <x:c r="V83" s="99"/>
      <x:c r="W83" s="99"/>
      <x:c r="X83" s="99"/>
      <x:c r="Y83" s="99"/>
      <x:c r="Z83" s="99"/>
    </x:row>
    <x:row r="84">
      <x:c r="A84" s="99"/>
      <x:c r="B84" s="99"/>
      <x:c r="C84" s="99"/>
      <x:c r="D84" s="99"/>
      <x:c r="E84" s="99"/>
      <x:c r="F84" s="99"/>
      <x:c r="G84" s="99"/>
      <x:c r="H84" s="99"/>
      <x:c r="I84" s="99"/>
      <x:c r="J84" s="99"/>
      <x:c r="K84" s="99"/>
      <x:c r="L84" s="99"/>
      <x:c r="M84" s="99"/>
      <x:c r="N84" s="99"/>
      <x:c r="O84" s="99"/>
      <x:c r="P84" s="99"/>
      <x:c r="Q84" s="99"/>
      <x:c r="R84" s="99"/>
      <x:c r="S84" s="99"/>
      <x:c r="T84" s="99"/>
      <x:c r="U84" s="99"/>
      <x:c r="V84" s="99"/>
      <x:c r="W84" s="99"/>
      <x:c r="X84" s="99"/>
      <x:c r="Y84" s="99"/>
      <x:c r="Z84" s="99"/>
    </x:row>
    <x:row r="85">
      <x:c r="A85" s="99"/>
      <x:c r="B85" s="99"/>
      <x:c r="C85" s="99"/>
      <x:c r="D85" s="99"/>
      <x:c r="E85" s="99"/>
      <x:c r="F85" s="99"/>
      <x:c r="G85" s="99"/>
      <x:c r="H85" s="99"/>
      <x:c r="I85" s="99"/>
      <x:c r="J85" s="99"/>
      <x:c r="K85" s="99"/>
      <x:c r="L85" s="99"/>
      <x:c r="M85" s="99"/>
      <x:c r="N85" s="99"/>
      <x:c r="O85" s="99"/>
      <x:c r="P85" s="99"/>
      <x:c r="Q85" s="99"/>
      <x:c r="R85" s="99"/>
      <x:c r="S85" s="99"/>
      <x:c r="T85" s="99"/>
      <x:c r="U85" s="99"/>
      <x:c r="V85" s="99"/>
      <x:c r="W85" s="99"/>
      <x:c r="X85" s="99"/>
      <x:c r="Y85" s="99"/>
      <x:c r="Z85" s="99"/>
    </x:row>
    <x:row r="86">
      <x:c r="A86" s="99"/>
      <x:c r="B86" s="99"/>
      <x:c r="C86" s="99"/>
      <x:c r="D86" s="99"/>
      <x:c r="E86" s="99"/>
      <x:c r="F86" s="99"/>
      <x:c r="G86" s="99"/>
      <x:c r="H86" s="99"/>
      <x:c r="I86" s="99"/>
      <x:c r="J86" s="99"/>
      <x:c r="K86" s="99"/>
      <x:c r="L86" s="99"/>
      <x:c r="M86" s="99"/>
      <x:c r="N86" s="99"/>
      <x:c r="O86" s="99"/>
      <x:c r="P86" s="99"/>
      <x:c r="Q86" s="99"/>
      <x:c r="R86" s="99"/>
      <x:c r="S86" s="99"/>
      <x:c r="T86" s="99"/>
      <x:c r="U86" s="99"/>
      <x:c r="V86" s="99"/>
      <x:c r="W86" s="99"/>
      <x:c r="X86" s="99"/>
      <x:c r="Y86" s="99"/>
      <x:c r="Z86" s="99"/>
    </x:row>
    <x:row r="87">
      <x:c r="A87" s="99"/>
      <x:c r="B87" s="99"/>
      <x:c r="C87" s="99"/>
      <x:c r="D87" s="99"/>
      <x:c r="E87" s="99"/>
      <x:c r="F87" s="99"/>
      <x:c r="G87" s="99"/>
      <x:c r="H87" s="99"/>
      <x:c r="I87" s="99"/>
      <x:c r="J87" s="99"/>
      <x:c r="K87" s="99"/>
      <x:c r="L87" s="99"/>
      <x:c r="M87" s="99"/>
      <x:c r="N87" s="99"/>
      <x:c r="O87" s="99"/>
      <x:c r="P87" s="99"/>
      <x:c r="Q87" s="99"/>
      <x:c r="R87" s="99"/>
      <x:c r="S87" s="99"/>
      <x:c r="T87" s="99"/>
      <x:c r="U87" s="99"/>
      <x:c r="V87" s="99"/>
      <x:c r="W87" s="99"/>
      <x:c r="X87" s="99"/>
      <x:c r="Y87" s="99"/>
      <x:c r="Z87" s="99"/>
    </x:row>
    <x:row r="88">
      <x:c r="A88" s="99"/>
      <x:c r="B88" s="99"/>
      <x:c r="C88" s="99"/>
      <x:c r="D88" s="99"/>
      <x:c r="E88" s="99"/>
      <x:c r="F88" s="99"/>
      <x:c r="G88" s="99"/>
      <x:c r="H88" s="99"/>
      <x:c r="I88" s="99"/>
      <x:c r="J88" s="99"/>
      <x:c r="K88" s="99"/>
      <x:c r="L88" s="99"/>
      <x:c r="M88" s="99"/>
      <x:c r="N88" s="99"/>
      <x:c r="O88" s="99"/>
      <x:c r="P88" s="99"/>
      <x:c r="Q88" s="99"/>
      <x:c r="R88" s="99"/>
      <x:c r="S88" s="99"/>
      <x:c r="T88" s="99"/>
      <x:c r="U88" s="99"/>
      <x:c r="V88" s="99"/>
      <x:c r="W88" s="99"/>
      <x:c r="X88" s="99"/>
      <x:c r="Y88" s="99"/>
      <x:c r="Z88" s="99"/>
    </x:row>
    <x:row r="89">
      <x:c r="A89" s="99"/>
      <x:c r="B89" s="99"/>
      <x:c r="C89" s="99"/>
      <x:c r="D89" s="99"/>
      <x:c r="E89" s="99"/>
      <x:c r="F89" s="99"/>
      <x:c r="G89" s="99"/>
      <x:c r="H89" s="99"/>
      <x:c r="I89" s="99"/>
      <x:c r="J89" s="99"/>
      <x:c r="K89" s="99"/>
      <x:c r="L89" s="99"/>
      <x:c r="M89" s="99"/>
      <x:c r="N89" s="99"/>
      <x:c r="O89" s="99"/>
      <x:c r="P89" s="99"/>
      <x:c r="Q89" s="99"/>
      <x:c r="R89" s="99"/>
      <x:c r="S89" s="99"/>
      <x:c r="T89" s="99"/>
      <x:c r="U89" s="99"/>
      <x:c r="V89" s="99"/>
      <x:c r="W89" s="99"/>
      <x:c r="X89" s="99"/>
      <x:c r="Y89" s="99"/>
      <x:c r="Z89" s="99"/>
    </x:row>
    <x:row r="90">
      <x:c r="A90" s="99"/>
      <x:c r="B90" s="99"/>
      <x:c r="C90" s="99"/>
      <x:c r="D90" s="99"/>
      <x:c r="E90" s="99"/>
      <x:c r="F90" s="99"/>
      <x:c r="G90" s="99"/>
      <x:c r="H90" s="99"/>
      <x:c r="I90" s="99"/>
      <x:c r="J90" s="99"/>
      <x:c r="K90" s="99"/>
      <x:c r="L90" s="99"/>
      <x:c r="M90" s="99"/>
      <x:c r="N90" s="99"/>
      <x:c r="O90" s="99"/>
      <x:c r="P90" s="99"/>
      <x:c r="Q90" s="99"/>
      <x:c r="R90" s="99"/>
      <x:c r="S90" s="99"/>
      <x:c r="T90" s="99"/>
      <x:c r="U90" s="99"/>
      <x:c r="V90" s="99"/>
      <x:c r="W90" s="99"/>
      <x:c r="X90" s="99"/>
      <x:c r="Y90" s="99"/>
      <x:c r="Z90" s="99"/>
    </x:row>
    <x:row r="91">
      <x:c r="A91" s="99"/>
      <x:c r="B91" s="99"/>
      <x:c r="C91" s="99"/>
      <x:c r="D91" s="99"/>
      <x:c r="E91" s="99"/>
      <x:c r="F91" s="99"/>
      <x:c r="G91" s="99"/>
      <x:c r="H91" s="99"/>
      <x:c r="I91" s="99"/>
      <x:c r="J91" s="99"/>
      <x:c r="K91" s="99"/>
      <x:c r="L91" s="99"/>
      <x:c r="M91" s="99"/>
      <x:c r="N91" s="99"/>
      <x:c r="O91" s="99"/>
      <x:c r="P91" s="99"/>
      <x:c r="Q91" s="99"/>
      <x:c r="R91" s="99"/>
      <x:c r="S91" s="99"/>
      <x:c r="T91" s="99"/>
      <x:c r="U91" s="99"/>
      <x:c r="V91" s="99"/>
      <x:c r="W91" s="99"/>
      <x:c r="X91" s="99"/>
      <x:c r="Y91" s="99"/>
      <x:c r="Z91" s="99"/>
    </x:row>
    <x:row r="92">
      <x:c r="A92" s="99"/>
      <x:c r="B92" s="99"/>
      <x:c r="C92" s="99"/>
      <x:c r="D92" s="99"/>
      <x:c r="E92" s="99"/>
      <x:c r="F92" s="99"/>
      <x:c r="G92" s="99"/>
      <x:c r="H92" s="99"/>
      <x:c r="I92" s="99"/>
      <x:c r="J92" s="99"/>
      <x:c r="K92" s="99"/>
      <x:c r="L92" s="99"/>
      <x:c r="M92" s="99"/>
      <x:c r="N92" s="99"/>
      <x:c r="O92" s="99"/>
      <x:c r="P92" s="99"/>
      <x:c r="Q92" s="99"/>
      <x:c r="R92" s="99"/>
      <x:c r="S92" s="99"/>
      <x:c r="T92" s="99"/>
      <x:c r="U92" s="99"/>
      <x:c r="V92" s="99"/>
      <x:c r="W92" s="99"/>
      <x:c r="X92" s="99"/>
      <x:c r="Y92" s="99"/>
      <x:c r="Z92" s="99"/>
    </x:row>
    <x:row r="93">
      <x:c r="A93" s="99"/>
      <x:c r="B93" s="99"/>
      <x:c r="C93" s="99"/>
      <x:c r="D93" s="99"/>
      <x:c r="E93" s="99"/>
      <x:c r="F93" s="99"/>
      <x:c r="G93" s="99"/>
      <x:c r="H93" s="99"/>
      <x:c r="I93" s="99"/>
      <x:c r="J93" s="99"/>
      <x:c r="K93" s="99"/>
      <x:c r="L93" s="99"/>
      <x:c r="M93" s="99"/>
      <x:c r="N93" s="99"/>
      <x:c r="O93" s="99"/>
      <x:c r="P93" s="99"/>
      <x:c r="Q93" s="99"/>
      <x:c r="R93" s="99"/>
      <x:c r="S93" s="99"/>
      <x:c r="T93" s="99"/>
      <x:c r="U93" s="99"/>
      <x:c r="V93" s="99"/>
      <x:c r="W93" s="99"/>
      <x:c r="X93" s="99"/>
      <x:c r="Y93" s="99"/>
      <x:c r="Z93" s="99"/>
    </x:row>
    <x:row r="94">
      <x:c r="A94" s="99"/>
      <x:c r="B94" s="99"/>
      <x:c r="C94" s="99"/>
      <x:c r="D94" s="99"/>
      <x:c r="E94" s="99"/>
      <x:c r="F94" s="99"/>
      <x:c r="G94" s="99"/>
      <x:c r="H94" s="99"/>
      <x:c r="I94" s="99"/>
      <x:c r="J94" s="99"/>
      <x:c r="K94" s="99"/>
      <x:c r="L94" s="99"/>
      <x:c r="M94" s="99"/>
      <x:c r="N94" s="99"/>
      <x:c r="O94" s="99"/>
      <x:c r="P94" s="99"/>
      <x:c r="Q94" s="99"/>
      <x:c r="R94" s="99"/>
      <x:c r="S94" s="99"/>
      <x:c r="T94" s="99"/>
      <x:c r="U94" s="99"/>
      <x:c r="V94" s="99"/>
      <x:c r="W94" s="99"/>
      <x:c r="X94" s="99"/>
      <x:c r="Y94" s="99"/>
      <x:c r="Z94" s="99"/>
    </x:row>
    <x:row r="95">
      <x:c r="A95" s="99"/>
      <x:c r="B95" s="99"/>
      <x:c r="C95" s="99"/>
      <x:c r="D95" s="99"/>
      <x:c r="E95" s="99"/>
      <x:c r="F95" s="99"/>
      <x:c r="G95" s="99"/>
      <x:c r="H95" s="99"/>
      <x:c r="I95" s="99"/>
      <x:c r="J95" s="99"/>
      <x:c r="K95" s="99"/>
      <x:c r="L95" s="99"/>
      <x:c r="M95" s="99"/>
      <x:c r="N95" s="99"/>
      <x:c r="O95" s="99"/>
      <x:c r="P95" s="99"/>
      <x:c r="Q95" s="99"/>
      <x:c r="R95" s="99"/>
      <x:c r="S95" s="99"/>
      <x:c r="T95" s="99"/>
      <x:c r="U95" s="99"/>
      <x:c r="V95" s="99"/>
      <x:c r="W95" s="99"/>
      <x:c r="X95" s="99"/>
      <x:c r="Y95" s="99"/>
      <x:c r="Z95" s="99"/>
    </x:row>
    <x:row r="96">
      <x:c r="A96" s="99"/>
      <x:c r="B96" s="99"/>
      <x:c r="C96" s="99"/>
      <x:c r="D96" s="99"/>
      <x:c r="E96" s="99"/>
      <x:c r="F96" s="99"/>
      <x:c r="G96" s="99"/>
      <x:c r="H96" s="99"/>
      <x:c r="I96" s="99"/>
      <x:c r="J96" s="99"/>
      <x:c r="K96" s="99"/>
      <x:c r="L96" s="99"/>
      <x:c r="M96" s="99"/>
      <x:c r="N96" s="99"/>
      <x:c r="O96" s="99"/>
      <x:c r="P96" s="99"/>
      <x:c r="Q96" s="99"/>
      <x:c r="R96" s="99"/>
      <x:c r="S96" s="99"/>
      <x:c r="T96" s="99"/>
      <x:c r="U96" s="99"/>
      <x:c r="V96" s="99"/>
      <x:c r="W96" s="99"/>
      <x:c r="X96" s="99"/>
      <x:c r="Y96" s="99"/>
      <x:c r="Z96" s="99"/>
    </x:row>
    <x:row r="97">
      <x:c r="A97" s="99"/>
      <x:c r="B97" s="99"/>
      <x:c r="C97" s="99"/>
      <x:c r="D97" s="99"/>
      <x:c r="E97" s="99"/>
      <x:c r="F97" s="99"/>
      <x:c r="G97" s="99"/>
      <x:c r="H97" s="99"/>
      <x:c r="I97" s="99"/>
      <x:c r="J97" s="99"/>
      <x:c r="K97" s="99"/>
      <x:c r="L97" s="99"/>
      <x:c r="M97" s="99"/>
      <x:c r="N97" s="99"/>
      <x:c r="O97" s="99"/>
      <x:c r="P97" s="99"/>
      <x:c r="Q97" s="99"/>
      <x:c r="R97" s="99"/>
      <x:c r="S97" s="99"/>
      <x:c r="T97" s="99"/>
      <x:c r="U97" s="99"/>
      <x:c r="V97" s="99"/>
      <x:c r="W97" s="99"/>
      <x:c r="X97" s="99"/>
      <x:c r="Y97" s="99"/>
      <x:c r="Z97" s="99"/>
    </x:row>
    <x:row r="98">
      <x:c r="A98" s="99"/>
      <x:c r="B98" s="99"/>
      <x:c r="C98" s="99"/>
      <x:c r="D98" s="99"/>
      <x:c r="E98" s="99"/>
      <x:c r="F98" s="99"/>
      <x:c r="G98" s="99"/>
      <x:c r="H98" s="99"/>
      <x:c r="I98" s="99"/>
      <x:c r="J98" s="99"/>
      <x:c r="K98" s="99"/>
      <x:c r="L98" s="99"/>
      <x:c r="M98" s="99"/>
      <x:c r="N98" s="99"/>
      <x:c r="O98" s="99"/>
      <x:c r="P98" s="99"/>
      <x:c r="Q98" s="99"/>
      <x:c r="R98" s="99"/>
      <x:c r="S98" s="99"/>
      <x:c r="T98" s="99"/>
      <x:c r="U98" s="99"/>
      <x:c r="V98" s="99"/>
      <x:c r="W98" s="99"/>
      <x:c r="X98" s="99"/>
      <x:c r="Y98" s="99"/>
      <x:c r="Z98" s="99"/>
    </x:row>
    <x:row r="99">
      <x:c r="A99" s="99"/>
      <x:c r="B99" s="99"/>
      <x:c r="C99" s="99"/>
      <x:c r="D99" s="99"/>
      <x:c r="E99" s="99"/>
      <x:c r="F99" s="99"/>
      <x:c r="G99" s="99"/>
      <x:c r="H99" s="99"/>
      <x:c r="I99" s="99"/>
      <x:c r="J99" s="99"/>
      <x:c r="K99" s="99"/>
      <x:c r="L99" s="99"/>
      <x:c r="M99" s="99"/>
      <x:c r="N99" s="99"/>
      <x:c r="O99" s="99"/>
      <x:c r="P99" s="99"/>
      <x:c r="Q99" s="99"/>
      <x:c r="R99" s="99"/>
      <x:c r="S99" s="99"/>
      <x:c r="T99" s="99"/>
      <x:c r="U99" s="99"/>
      <x:c r="V99" s="99"/>
      <x:c r="W99" s="99"/>
      <x:c r="X99" s="99"/>
      <x:c r="Y99" s="99"/>
      <x:c r="Z99" s="99"/>
    </x:row>
    <x:row r="100">
      <x:c r="A100" s="99"/>
      <x:c r="B100" s="99"/>
      <x:c r="C100" s="99"/>
      <x:c r="D100" s="99"/>
      <x:c r="E100" s="99"/>
      <x:c r="F100" s="99"/>
      <x:c r="G100" s="99"/>
      <x:c r="H100" s="99"/>
      <x:c r="I100" s="99"/>
      <x:c r="J100" s="99"/>
      <x:c r="K100" s="99"/>
      <x:c r="L100" s="99"/>
      <x:c r="M100" s="99"/>
      <x:c r="N100" s="99"/>
      <x:c r="O100" s="99"/>
      <x:c r="P100" s="99"/>
      <x:c r="Q100" s="99"/>
      <x:c r="R100" s="99"/>
      <x:c r="S100" s="99"/>
      <x:c r="T100" s="99"/>
      <x:c r="U100" s="99"/>
      <x:c r="V100" s="99"/>
      <x:c r="W100" s="99"/>
      <x:c r="X100" s="99"/>
      <x:c r="Y100" s="99"/>
      <x:c r="Z100" s="99"/>
    </x:row>
    <x:row r="101">
      <x:c r="A101" s="99"/>
      <x:c r="B101" s="99"/>
      <x:c r="C101" s="99"/>
      <x:c r="D101" s="99"/>
      <x:c r="E101" s="99"/>
      <x:c r="F101" s="99"/>
      <x:c r="G101" s="99"/>
      <x:c r="H101" s="99"/>
      <x:c r="I101" s="99"/>
      <x:c r="J101" s="99"/>
      <x:c r="K101" s="99"/>
      <x:c r="L101" s="99"/>
      <x:c r="M101" s="99"/>
      <x:c r="N101" s="99"/>
      <x:c r="O101" s="99"/>
      <x:c r="P101" s="99"/>
      <x:c r="Q101" s="99"/>
      <x:c r="R101" s="99"/>
      <x:c r="S101" s="99"/>
      <x:c r="T101" s="99"/>
      <x:c r="U101" s="99"/>
      <x:c r="V101" s="99"/>
      <x:c r="W101" s="99"/>
      <x:c r="X101" s="99"/>
      <x:c r="Y101" s="99"/>
      <x:c r="Z101" s="99"/>
    </x:row>
    <x:row r="102">
      <x:c r="A102" s="99"/>
      <x:c r="B102" s="99"/>
      <x:c r="C102" s="99"/>
      <x:c r="D102" s="99"/>
      <x:c r="E102" s="99"/>
      <x:c r="F102" s="99"/>
      <x:c r="G102" s="99"/>
      <x:c r="H102" s="99"/>
      <x:c r="I102" s="99"/>
      <x:c r="J102" s="99"/>
      <x:c r="K102" s="99"/>
      <x:c r="L102" s="99"/>
      <x:c r="M102" s="99"/>
      <x:c r="N102" s="99"/>
      <x:c r="O102" s="99"/>
      <x:c r="P102" s="99"/>
      <x:c r="Q102" s="99"/>
      <x:c r="R102" s="99"/>
      <x:c r="S102" s="99"/>
      <x:c r="T102" s="99"/>
      <x:c r="U102" s="99"/>
      <x:c r="V102" s="99"/>
      <x:c r="W102" s="99"/>
      <x:c r="X102" s="99"/>
      <x:c r="Y102" s="99"/>
      <x:c r="Z102" s="99"/>
    </x:row>
    <x:row r="103">
      <x:c r="A103" s="99"/>
      <x:c r="B103" s="99"/>
      <x:c r="C103" s="99"/>
      <x:c r="D103" s="99"/>
      <x:c r="E103" s="99"/>
      <x:c r="F103" s="99"/>
      <x:c r="G103" s="99"/>
      <x:c r="H103" s="99"/>
      <x:c r="I103" s="99"/>
      <x:c r="J103" s="99"/>
      <x:c r="K103" s="99"/>
      <x:c r="L103" s="99"/>
      <x:c r="M103" s="99"/>
      <x:c r="N103" s="99"/>
      <x:c r="O103" s="99"/>
      <x:c r="P103" s="99"/>
      <x:c r="Q103" s="99"/>
      <x:c r="R103" s="99"/>
      <x:c r="S103" s="99"/>
      <x:c r="T103" s="99"/>
      <x:c r="U103" s="99"/>
      <x:c r="V103" s="99"/>
      <x:c r="W103" s="99"/>
      <x:c r="X103" s="99"/>
      <x:c r="Y103" s="99"/>
      <x:c r="Z103" s="99"/>
    </x:row>
    <x:row r="104">
      <x:c r="A104" s="99"/>
      <x:c r="B104" s="99"/>
      <x:c r="C104" s="99"/>
      <x:c r="D104" s="99"/>
      <x:c r="E104" s="99"/>
      <x:c r="F104" s="99"/>
      <x:c r="G104" s="99"/>
      <x:c r="H104" s="99"/>
      <x:c r="I104" s="99"/>
      <x:c r="J104" s="99"/>
      <x:c r="K104" s="99"/>
      <x:c r="L104" s="99"/>
      <x:c r="M104" s="99"/>
      <x:c r="N104" s="99"/>
      <x:c r="O104" s="99"/>
      <x:c r="P104" s="99"/>
      <x:c r="Q104" s="99"/>
      <x:c r="R104" s="99"/>
      <x:c r="S104" s="99"/>
      <x:c r="T104" s="99"/>
      <x:c r="U104" s="99"/>
      <x:c r="V104" s="99"/>
      <x:c r="W104" s="99"/>
      <x:c r="X104" s="99"/>
      <x:c r="Y104" s="99"/>
      <x:c r="Z104" s="99"/>
    </x:row>
    <x:row r="105">
      <x:c r="A105" s="99"/>
      <x:c r="B105" s="99"/>
      <x:c r="C105" s="99"/>
      <x:c r="D105" s="99"/>
      <x:c r="E105" s="99"/>
      <x:c r="F105" s="99"/>
      <x:c r="G105" s="99"/>
      <x:c r="H105" s="99"/>
      <x:c r="I105" s="99"/>
      <x:c r="J105" s="99"/>
      <x:c r="K105" s="99"/>
      <x:c r="L105" s="99"/>
      <x:c r="M105" s="99"/>
      <x:c r="N105" s="99"/>
      <x:c r="O105" s="99"/>
      <x:c r="P105" s="99"/>
      <x:c r="Q105" s="99"/>
      <x:c r="R105" s="99"/>
      <x:c r="S105" s="99"/>
      <x:c r="T105" s="99"/>
      <x:c r="U105" s="99"/>
      <x:c r="V105" s="99"/>
      <x:c r="W105" s="99"/>
      <x:c r="X105" s="99"/>
      <x:c r="Y105" s="99"/>
      <x:c r="Z105" s="99"/>
    </x:row>
    <x:row r="106">
      <x:c r="A106" s="99"/>
      <x:c r="B106" s="99"/>
      <x:c r="C106" s="99"/>
      <x:c r="D106" s="99"/>
      <x:c r="E106" s="99"/>
      <x:c r="F106" s="99"/>
      <x:c r="G106" s="99"/>
      <x:c r="H106" s="99"/>
      <x:c r="I106" s="99"/>
      <x:c r="J106" s="99"/>
      <x:c r="K106" s="99"/>
      <x:c r="L106" s="99"/>
      <x:c r="M106" s="99"/>
      <x:c r="N106" s="99"/>
      <x:c r="O106" s="99"/>
      <x:c r="P106" s="99"/>
      <x:c r="Q106" s="99"/>
      <x:c r="R106" s="99"/>
      <x:c r="S106" s="99"/>
      <x:c r="T106" s="99"/>
      <x:c r="U106" s="99"/>
      <x:c r="V106" s="99"/>
      <x:c r="W106" s="99"/>
      <x:c r="X106" s="99"/>
      <x:c r="Y106" s="99"/>
      <x:c r="Z106" s="99"/>
    </x:row>
    <x:row r="107">
      <x:c r="A107" s="99"/>
      <x:c r="B107" s="99"/>
      <x:c r="C107" s="99"/>
      <x:c r="D107" s="99"/>
      <x:c r="E107" s="99"/>
      <x:c r="F107" s="99"/>
      <x:c r="G107" s="99"/>
      <x:c r="H107" s="99"/>
      <x:c r="I107" s="99"/>
      <x:c r="J107" s="99"/>
      <x:c r="K107" s="99"/>
      <x:c r="L107" s="99"/>
      <x:c r="M107" s="99"/>
      <x:c r="N107" s="99"/>
      <x:c r="O107" s="99"/>
      <x:c r="P107" s="99"/>
      <x:c r="Q107" s="99"/>
      <x:c r="R107" s="99"/>
      <x:c r="S107" s="99"/>
      <x:c r="T107" s="99"/>
      <x:c r="U107" s="99"/>
      <x:c r="V107" s="99"/>
      <x:c r="W107" s="99"/>
      <x:c r="X107" s="99"/>
      <x:c r="Y107" s="99"/>
      <x:c r="Z107" s="99"/>
    </x:row>
    <x:row r="108">
      <x:c r="A108" s="99"/>
      <x:c r="B108" s="99"/>
      <x:c r="C108" s="99"/>
      <x:c r="D108" s="99"/>
      <x:c r="E108" s="99"/>
      <x:c r="F108" s="99"/>
      <x:c r="G108" s="99"/>
      <x:c r="H108" s="99"/>
      <x:c r="I108" s="99"/>
      <x:c r="J108" s="99"/>
      <x:c r="K108" s="99"/>
      <x:c r="L108" s="99"/>
      <x:c r="M108" s="99"/>
      <x:c r="N108" s="99"/>
      <x:c r="O108" s="99"/>
      <x:c r="P108" s="99"/>
      <x:c r="Q108" s="99"/>
      <x:c r="R108" s="99"/>
      <x:c r="S108" s="99"/>
      <x:c r="T108" s="99"/>
      <x:c r="U108" s="99"/>
      <x:c r="V108" s="99"/>
      <x:c r="W108" s="99"/>
      <x:c r="X108" s="99"/>
      <x:c r="Y108" s="99"/>
      <x:c r="Z108" s="99"/>
    </x:row>
    <x:row r="109">
      <x:c r="A109" s="99"/>
      <x:c r="B109" s="99"/>
      <x:c r="C109" s="99"/>
      <x:c r="D109" s="99"/>
      <x:c r="E109" s="99"/>
      <x:c r="F109" s="99"/>
      <x:c r="G109" s="99"/>
      <x:c r="H109" s="99"/>
      <x:c r="I109" s="99"/>
      <x:c r="J109" s="99"/>
      <x:c r="K109" s="99"/>
      <x:c r="L109" s="99"/>
      <x:c r="M109" s="99"/>
      <x:c r="N109" s="99"/>
      <x:c r="O109" s="99"/>
      <x:c r="P109" s="99"/>
      <x:c r="Q109" s="99"/>
      <x:c r="R109" s="99"/>
      <x:c r="S109" s="99"/>
      <x:c r="T109" s="99"/>
      <x:c r="U109" s="99"/>
      <x:c r="V109" s="99"/>
      <x:c r="W109" s="99"/>
      <x:c r="X109" s="99"/>
      <x:c r="Y109" s="99"/>
      <x:c r="Z109" s="99"/>
    </x:row>
    <x:row r="110">
      <x:c r="A110" s="99"/>
      <x:c r="B110" s="99"/>
      <x:c r="C110" s="99"/>
      <x:c r="D110" s="99"/>
      <x:c r="E110" s="99"/>
      <x:c r="F110" s="99"/>
      <x:c r="G110" s="99"/>
      <x:c r="H110" s="99"/>
      <x:c r="I110" s="99"/>
      <x:c r="J110" s="99"/>
      <x:c r="K110" s="99"/>
      <x:c r="L110" s="99"/>
      <x:c r="M110" s="99"/>
      <x:c r="N110" s="99"/>
      <x:c r="O110" s="99"/>
      <x:c r="P110" s="99"/>
      <x:c r="Q110" s="99"/>
      <x:c r="R110" s="99"/>
      <x:c r="S110" s="99"/>
      <x:c r="T110" s="99"/>
      <x:c r="U110" s="99"/>
      <x:c r="V110" s="99"/>
      <x:c r="W110" s="99"/>
      <x:c r="X110" s="99"/>
      <x:c r="Y110" s="99"/>
      <x:c r="Z110" s="99"/>
    </x:row>
    <x:row r="111">
      <x:c r="A111" s="99"/>
      <x:c r="B111" s="99"/>
      <x:c r="C111" s="99"/>
      <x:c r="D111" s="99"/>
      <x:c r="E111" s="99"/>
      <x:c r="F111" s="99"/>
      <x:c r="G111" s="99"/>
      <x:c r="H111" s="99"/>
      <x:c r="I111" s="99"/>
      <x:c r="J111" s="99"/>
      <x:c r="K111" s="99"/>
      <x:c r="L111" s="99"/>
      <x:c r="M111" s="99"/>
      <x:c r="N111" s="99"/>
      <x:c r="O111" s="99"/>
      <x:c r="P111" s="99"/>
      <x:c r="Q111" s="99"/>
      <x:c r="R111" s="99"/>
      <x:c r="S111" s="99"/>
      <x:c r="T111" s="99"/>
      <x:c r="U111" s="99"/>
      <x:c r="V111" s="99"/>
      <x:c r="W111" s="99"/>
      <x:c r="X111" s="99"/>
      <x:c r="Y111" s="99"/>
      <x:c r="Z111" s="99"/>
    </x:row>
    <x:row r="112">
      <x:c r="A112" s="99"/>
      <x:c r="B112" s="99"/>
      <x:c r="C112" s="99"/>
      <x:c r="D112" s="99"/>
      <x:c r="E112" s="99"/>
      <x:c r="F112" s="99"/>
      <x:c r="G112" s="99"/>
      <x:c r="H112" s="99"/>
      <x:c r="I112" s="99"/>
      <x:c r="J112" s="99"/>
      <x:c r="K112" s="99"/>
      <x:c r="L112" s="99"/>
      <x:c r="M112" s="99"/>
      <x:c r="N112" s="99"/>
      <x:c r="O112" s="99"/>
      <x:c r="P112" s="99"/>
      <x:c r="Q112" s="99"/>
      <x:c r="R112" s="99"/>
      <x:c r="S112" s="99"/>
      <x:c r="T112" s="99"/>
      <x:c r="U112" s="99"/>
      <x:c r="V112" s="99"/>
      <x:c r="W112" s="99"/>
      <x:c r="X112" s="99"/>
      <x:c r="Y112" s="99"/>
      <x:c r="Z112" s="99"/>
    </x:row>
    <x:row r="113">
      <x:c r="A113" s="99"/>
      <x:c r="B113" s="99"/>
      <x:c r="C113" s="99"/>
      <x:c r="D113" s="99"/>
      <x:c r="E113" s="99"/>
      <x:c r="F113" s="99"/>
      <x:c r="G113" s="99"/>
      <x:c r="H113" s="99"/>
      <x:c r="I113" s="99"/>
      <x:c r="J113" s="99"/>
      <x:c r="K113" s="99"/>
      <x:c r="L113" s="99"/>
      <x:c r="M113" s="99"/>
      <x:c r="N113" s="99"/>
      <x:c r="O113" s="99"/>
      <x:c r="P113" s="99"/>
      <x:c r="Q113" s="99"/>
      <x:c r="R113" s="99"/>
      <x:c r="S113" s="99"/>
      <x:c r="T113" s="99"/>
      <x:c r="U113" s="99"/>
      <x:c r="V113" s="99"/>
      <x:c r="W113" s="99"/>
      <x:c r="X113" s="99"/>
      <x:c r="Y113" s="99"/>
      <x:c r="Z113" s="99"/>
    </x:row>
    <x:row r="114">
      <x:c r="A114" s="99"/>
      <x:c r="B114" s="99"/>
      <x:c r="C114" s="99"/>
      <x:c r="D114" s="99"/>
      <x:c r="E114" s="99"/>
      <x:c r="F114" s="99"/>
      <x:c r="G114" s="99"/>
      <x:c r="H114" s="99"/>
      <x:c r="I114" s="99"/>
      <x:c r="J114" s="99"/>
      <x:c r="K114" s="99"/>
      <x:c r="L114" s="99"/>
      <x:c r="M114" s="99"/>
      <x:c r="N114" s="99"/>
      <x:c r="O114" s="99"/>
      <x:c r="P114" s="99"/>
      <x:c r="Q114" s="99"/>
      <x:c r="R114" s="99"/>
      <x:c r="S114" s="99"/>
      <x:c r="T114" s="99"/>
      <x:c r="U114" s="99"/>
      <x:c r="V114" s="99"/>
      <x:c r="W114" s="99"/>
      <x:c r="X114" s="99"/>
      <x:c r="Y114" s="99"/>
      <x:c r="Z114" s="99"/>
    </x:row>
    <x:row r="115">
      <x:c r="A115" s="99"/>
      <x:c r="B115" s="99"/>
      <x:c r="C115" s="99"/>
      <x:c r="D115" s="99"/>
      <x:c r="E115" s="99"/>
      <x:c r="F115" s="99"/>
      <x:c r="G115" s="99"/>
      <x:c r="H115" s="99"/>
      <x:c r="I115" s="99"/>
      <x:c r="J115" s="99"/>
      <x:c r="K115" s="99"/>
      <x:c r="L115" s="99"/>
      <x:c r="M115" s="99"/>
      <x:c r="N115" s="99"/>
      <x:c r="O115" s="99"/>
      <x:c r="P115" s="99"/>
      <x:c r="Q115" s="99"/>
      <x:c r="R115" s="99"/>
      <x:c r="S115" s="99"/>
      <x:c r="T115" s="99"/>
      <x:c r="U115" s="99"/>
      <x:c r="V115" s="99"/>
      <x:c r="W115" s="99"/>
      <x:c r="X115" s="99"/>
      <x:c r="Y115" s="99"/>
      <x:c r="Z115" s="99"/>
    </x:row>
    <x:row r="116">
      <x:c r="A116" s="99"/>
      <x:c r="B116" s="99"/>
      <x:c r="C116" s="99"/>
      <x:c r="D116" s="99"/>
      <x:c r="E116" s="99"/>
      <x:c r="F116" s="99"/>
      <x:c r="G116" s="99"/>
      <x:c r="H116" s="99"/>
      <x:c r="I116" s="99"/>
      <x:c r="J116" s="99"/>
      <x:c r="K116" s="99"/>
      <x:c r="L116" s="99"/>
      <x:c r="M116" s="99"/>
      <x:c r="N116" s="99"/>
      <x:c r="O116" s="99"/>
      <x:c r="P116" s="99"/>
      <x:c r="Q116" s="99"/>
      <x:c r="R116" s="99"/>
      <x:c r="S116" s="99"/>
      <x:c r="T116" s="99"/>
      <x:c r="U116" s="99"/>
      <x:c r="V116" s="99"/>
      <x:c r="W116" s="99"/>
      <x:c r="X116" s="99"/>
      <x:c r="Y116" s="99"/>
      <x:c r="Z116" s="99"/>
    </x:row>
    <x:row r="117">
      <x:c r="A117" s="99"/>
      <x:c r="B117" s="99"/>
      <x:c r="C117" s="99"/>
      <x:c r="D117" s="99"/>
      <x:c r="E117" s="99"/>
      <x:c r="F117" s="99"/>
      <x:c r="G117" s="99"/>
      <x:c r="H117" s="99"/>
      <x:c r="I117" s="99"/>
      <x:c r="J117" s="99"/>
      <x:c r="K117" s="99"/>
      <x:c r="L117" s="99"/>
      <x:c r="M117" s="99"/>
      <x:c r="N117" s="99"/>
      <x:c r="O117" s="99"/>
      <x:c r="P117" s="99"/>
      <x:c r="Q117" s="99"/>
      <x:c r="R117" s="99"/>
      <x:c r="S117" s="99"/>
      <x:c r="T117" s="99"/>
      <x:c r="U117" s="99"/>
      <x:c r="V117" s="99"/>
      <x:c r="W117" s="99"/>
      <x:c r="X117" s="99"/>
      <x:c r="Y117" s="99"/>
      <x:c r="Z117" s="99"/>
    </x:row>
    <x:row r="118">
      <x:c r="A118" s="99"/>
      <x:c r="B118" s="99"/>
      <x:c r="C118" s="99"/>
      <x:c r="D118" s="99"/>
      <x:c r="E118" s="99"/>
      <x:c r="F118" s="99"/>
      <x:c r="G118" s="99"/>
      <x:c r="H118" s="99"/>
      <x:c r="I118" s="99"/>
      <x:c r="J118" s="99"/>
      <x:c r="K118" s="99"/>
      <x:c r="L118" s="99"/>
      <x:c r="M118" s="99"/>
      <x:c r="N118" s="99"/>
      <x:c r="O118" s="99"/>
      <x:c r="P118" s="99"/>
      <x:c r="Q118" s="99"/>
      <x:c r="R118" s="99"/>
      <x:c r="S118" s="99"/>
      <x:c r="T118" s="99"/>
      <x:c r="U118" s="99"/>
      <x:c r="V118" s="99"/>
      <x:c r="W118" s="99"/>
      <x:c r="X118" s="99"/>
      <x:c r="Y118" s="99"/>
      <x:c r="Z118" s="99"/>
    </x:row>
    <x:row r="119">
      <x:c r="A119" s="99"/>
      <x:c r="B119" s="99"/>
      <x:c r="C119" s="99"/>
      <x:c r="D119" s="99"/>
      <x:c r="E119" s="99"/>
      <x:c r="F119" s="99"/>
      <x:c r="G119" s="99"/>
      <x:c r="H119" s="99"/>
      <x:c r="I119" s="99"/>
      <x:c r="J119" s="99"/>
      <x:c r="K119" s="99"/>
      <x:c r="L119" s="99"/>
      <x:c r="M119" s="99"/>
      <x:c r="N119" s="99"/>
      <x:c r="O119" s="99"/>
      <x:c r="P119" s="99"/>
      <x:c r="Q119" s="99"/>
      <x:c r="R119" s="99"/>
      <x:c r="S119" s="99"/>
      <x:c r="T119" s="99"/>
      <x:c r="U119" s="99"/>
      <x:c r="V119" s="99"/>
      <x:c r="W119" s="99"/>
      <x:c r="X119" s="99"/>
      <x:c r="Y119" s="99"/>
      <x:c r="Z119" s="99"/>
    </x:row>
    <x:row r="120">
      <x:c r="A120" s="99"/>
      <x:c r="B120" s="99"/>
      <x:c r="C120" s="99"/>
      <x:c r="D120" s="99"/>
      <x:c r="E120" s="99"/>
      <x:c r="F120" s="99"/>
      <x:c r="G120" s="99"/>
      <x:c r="H120" s="99"/>
      <x:c r="I120" s="99"/>
      <x:c r="J120" s="99"/>
      <x:c r="K120" s="99"/>
      <x:c r="L120" s="99"/>
      <x:c r="M120" s="99"/>
      <x:c r="N120" s="99"/>
      <x:c r="O120" s="99"/>
      <x:c r="P120" s="99"/>
      <x:c r="Q120" s="99"/>
      <x:c r="R120" s="99"/>
      <x:c r="S120" s="99"/>
      <x:c r="T120" s="99"/>
      <x:c r="U120" s="99"/>
      <x:c r="V120" s="99"/>
      <x:c r="W120" s="99"/>
      <x:c r="X120" s="99"/>
      <x:c r="Y120" s="99"/>
      <x:c r="Z120" s="99"/>
    </x:row>
    <x:row r="121">
      <x:c r="A121" s="99"/>
      <x:c r="B121" s="99"/>
      <x:c r="C121" s="99"/>
      <x:c r="D121" s="99"/>
      <x:c r="E121" s="99"/>
      <x:c r="F121" s="99"/>
      <x:c r="G121" s="99"/>
      <x:c r="H121" s="99"/>
      <x:c r="I121" s="99"/>
      <x:c r="J121" s="99"/>
      <x:c r="K121" s="99"/>
      <x:c r="L121" s="99"/>
      <x:c r="M121" s="99"/>
      <x:c r="N121" s="99"/>
      <x:c r="O121" s="99"/>
      <x:c r="P121" s="99"/>
      <x:c r="Q121" s="99"/>
      <x:c r="R121" s="99"/>
      <x:c r="S121" s="99"/>
      <x:c r="T121" s="99"/>
      <x:c r="U121" s="99"/>
      <x:c r="V121" s="99"/>
      <x:c r="W121" s="99"/>
      <x:c r="X121" s="99"/>
      <x:c r="Y121" s="99"/>
      <x:c r="Z121" s="99"/>
    </x:row>
    <x:row r="122">
      <x:c r="A122" s="99"/>
      <x:c r="B122" s="99"/>
      <x:c r="C122" s="99"/>
      <x:c r="D122" s="99"/>
      <x:c r="E122" s="99"/>
      <x:c r="F122" s="99"/>
      <x:c r="G122" s="99"/>
      <x:c r="H122" s="99"/>
      <x:c r="I122" s="99"/>
      <x:c r="J122" s="99"/>
      <x:c r="K122" s="99"/>
      <x:c r="L122" s="99"/>
      <x:c r="M122" s="99"/>
      <x:c r="N122" s="99"/>
      <x:c r="O122" s="99"/>
      <x:c r="P122" s="99"/>
      <x:c r="Q122" s="99"/>
      <x:c r="R122" s="99"/>
      <x:c r="S122" s="99"/>
      <x:c r="T122" s="99"/>
      <x:c r="U122" s="99"/>
      <x:c r="V122" s="99"/>
      <x:c r="W122" s="99"/>
      <x:c r="X122" s="99"/>
      <x:c r="Y122" s="99"/>
      <x:c r="Z122" s="99"/>
    </x:row>
    <x:row r="123">
      <x:c r="A123" s="99"/>
      <x:c r="B123" s="99"/>
      <x:c r="C123" s="99"/>
      <x:c r="D123" s="99"/>
      <x:c r="E123" s="99"/>
      <x:c r="F123" s="99"/>
      <x:c r="G123" s="99"/>
      <x:c r="H123" s="99"/>
      <x:c r="I123" s="99"/>
      <x:c r="J123" s="99"/>
      <x:c r="K123" s="99"/>
      <x:c r="L123" s="99"/>
      <x:c r="M123" s="99"/>
      <x:c r="N123" s="99"/>
      <x:c r="O123" s="99"/>
      <x:c r="P123" s="99"/>
      <x:c r="Q123" s="99"/>
      <x:c r="R123" s="99"/>
      <x:c r="S123" s="99"/>
      <x:c r="T123" s="99"/>
      <x:c r="U123" s="99"/>
      <x:c r="V123" s="99"/>
      <x:c r="W123" s="99"/>
      <x:c r="X123" s="99"/>
      <x:c r="Y123" s="99"/>
      <x:c r="Z123" s="99"/>
    </x:row>
    <x:row r="124">
      <x:c r="A124" s="99"/>
      <x:c r="B124" s="99"/>
      <x:c r="C124" s="99"/>
      <x:c r="D124" s="99"/>
      <x:c r="E124" s="99"/>
      <x:c r="F124" s="99"/>
      <x:c r="G124" s="99"/>
      <x:c r="H124" s="99"/>
      <x:c r="I124" s="99"/>
      <x:c r="J124" s="99"/>
      <x:c r="K124" s="99"/>
      <x:c r="L124" s="99"/>
      <x:c r="M124" s="99"/>
      <x:c r="N124" s="99"/>
      <x:c r="O124" s="99"/>
      <x:c r="P124" s="99"/>
      <x:c r="Q124" s="99"/>
      <x:c r="R124" s="99"/>
      <x:c r="S124" s="99"/>
      <x:c r="T124" s="99"/>
      <x:c r="U124" s="99"/>
      <x:c r="V124" s="99"/>
      <x:c r="W124" s="99"/>
      <x:c r="X124" s="99"/>
      <x:c r="Y124" s="99"/>
      <x:c r="Z124" s="99"/>
    </x:row>
    <x:row r="125">
      <x:c r="A125" s="99"/>
      <x:c r="B125" s="99"/>
      <x:c r="C125" s="99"/>
      <x:c r="D125" s="99"/>
      <x:c r="E125" s="99"/>
      <x:c r="F125" s="99"/>
      <x:c r="G125" s="99"/>
      <x:c r="H125" s="99"/>
      <x:c r="I125" s="99"/>
      <x:c r="J125" s="99"/>
      <x:c r="K125" s="99"/>
      <x:c r="L125" s="99"/>
      <x:c r="M125" s="99"/>
      <x:c r="N125" s="99"/>
      <x:c r="O125" s="99"/>
      <x:c r="P125" s="99"/>
      <x:c r="Q125" s="99"/>
      <x:c r="R125" s="99"/>
      <x:c r="S125" s="99"/>
      <x:c r="T125" s="99"/>
      <x:c r="U125" s="99"/>
      <x:c r="V125" s="99"/>
      <x:c r="W125" s="99"/>
      <x:c r="X125" s="99"/>
      <x:c r="Y125" s="99"/>
      <x:c r="Z125" s="99"/>
    </x:row>
    <x:row r="126">
      <x:c r="A126" s="99"/>
      <x:c r="B126" s="99"/>
      <x:c r="C126" s="99"/>
      <x:c r="D126" s="99"/>
      <x:c r="E126" s="99"/>
      <x:c r="F126" s="99"/>
      <x:c r="G126" s="99"/>
      <x:c r="H126" s="99"/>
      <x:c r="I126" s="99"/>
      <x:c r="J126" s="99"/>
      <x:c r="K126" s="99"/>
      <x:c r="L126" s="99"/>
      <x:c r="M126" s="99"/>
      <x:c r="N126" s="99"/>
      <x:c r="O126" s="99"/>
      <x:c r="P126" s="99"/>
      <x:c r="Q126" s="99"/>
      <x:c r="R126" s="99"/>
      <x:c r="S126" s="99"/>
      <x:c r="T126" s="99"/>
      <x:c r="U126" s="99"/>
      <x:c r="V126" s="99"/>
      <x:c r="W126" s="99"/>
      <x:c r="X126" s="99"/>
      <x:c r="Y126" s="99"/>
      <x:c r="Z126" s="99"/>
    </x:row>
    <x:row r="127">
      <x:c r="A127" s="99"/>
      <x:c r="B127" s="99"/>
      <x:c r="C127" s="99"/>
      <x:c r="D127" s="99"/>
      <x:c r="E127" s="99"/>
      <x:c r="F127" s="99"/>
      <x:c r="G127" s="99"/>
      <x:c r="H127" s="99"/>
      <x:c r="I127" s="99"/>
      <x:c r="J127" s="99"/>
      <x:c r="K127" s="99"/>
      <x:c r="L127" s="99"/>
      <x:c r="M127" s="99"/>
      <x:c r="N127" s="99"/>
      <x:c r="O127" s="99"/>
      <x:c r="P127" s="99"/>
      <x:c r="Q127" s="99"/>
      <x:c r="R127" s="99"/>
      <x:c r="S127" s="99"/>
      <x:c r="T127" s="99"/>
      <x:c r="U127" s="99"/>
      <x:c r="V127" s="99"/>
      <x:c r="W127" s="99"/>
      <x:c r="X127" s="99"/>
      <x:c r="Y127" s="99"/>
      <x:c r="Z127" s="99"/>
    </x:row>
    <x:row r="128">
      <x:c r="A128" s="99"/>
      <x:c r="B128" s="99"/>
      <x:c r="C128" s="99"/>
      <x:c r="D128" s="99"/>
      <x:c r="E128" s="99"/>
      <x:c r="F128" s="99"/>
      <x:c r="G128" s="99"/>
      <x:c r="H128" s="99"/>
      <x:c r="I128" s="99"/>
      <x:c r="J128" s="99"/>
      <x:c r="K128" s="99"/>
      <x:c r="L128" s="99"/>
      <x:c r="M128" s="99"/>
      <x:c r="N128" s="99"/>
      <x:c r="O128" s="99"/>
      <x:c r="P128" s="99"/>
      <x:c r="Q128" s="99"/>
      <x:c r="R128" s="99"/>
      <x:c r="S128" s="99"/>
      <x:c r="T128" s="99"/>
      <x:c r="U128" s="99"/>
      <x:c r="V128" s="99"/>
      <x:c r="W128" s="99"/>
      <x:c r="X128" s="99"/>
      <x:c r="Y128" s="99"/>
      <x:c r="Z128" s="99"/>
    </x:row>
    <x:row r="129">
      <x:c r="A129" s="99"/>
      <x:c r="B129" s="99"/>
      <x:c r="C129" s="99"/>
      <x:c r="D129" s="99"/>
      <x:c r="E129" s="99"/>
      <x:c r="F129" s="99"/>
      <x:c r="G129" s="99"/>
      <x:c r="H129" s="99"/>
      <x:c r="I129" s="99"/>
      <x:c r="J129" s="99"/>
      <x:c r="K129" s="99"/>
      <x:c r="L129" s="99"/>
      <x:c r="M129" s="99"/>
      <x:c r="N129" s="99"/>
      <x:c r="O129" s="99"/>
      <x:c r="P129" s="99"/>
      <x:c r="Q129" s="99"/>
      <x:c r="R129" s="99"/>
      <x:c r="S129" s="99"/>
      <x:c r="T129" s="99"/>
      <x:c r="U129" s="99"/>
      <x:c r="V129" s="99"/>
      <x:c r="W129" s="99"/>
      <x:c r="X129" s="99"/>
      <x:c r="Y129" s="99"/>
      <x:c r="Z129" s="99"/>
    </x:row>
    <x:row r="130">
      <x:c r="A130" s="99"/>
      <x:c r="B130" s="99"/>
      <x:c r="C130" s="99"/>
      <x:c r="D130" s="99"/>
      <x:c r="E130" s="99"/>
      <x:c r="F130" s="99"/>
      <x:c r="G130" s="99"/>
      <x:c r="H130" s="99"/>
      <x:c r="I130" s="99"/>
      <x:c r="J130" s="99"/>
      <x:c r="K130" s="99"/>
      <x:c r="L130" s="99"/>
      <x:c r="M130" s="99"/>
      <x:c r="N130" s="99"/>
      <x:c r="O130" s="99"/>
      <x:c r="P130" s="99"/>
      <x:c r="Q130" s="99"/>
      <x:c r="R130" s="99"/>
      <x:c r="S130" s="99"/>
      <x:c r="T130" s="99"/>
      <x:c r="U130" s="99"/>
      <x:c r="V130" s="99"/>
      <x:c r="W130" s="99"/>
      <x:c r="X130" s="99"/>
      <x:c r="Y130" s="99"/>
      <x:c r="Z130" s="99"/>
    </x:row>
    <x:row r="131">
      <x:c r="A131" s="99"/>
      <x:c r="B131" s="99"/>
      <x:c r="C131" s="99"/>
      <x:c r="D131" s="99"/>
      <x:c r="E131" s="99"/>
      <x:c r="F131" s="99"/>
      <x:c r="G131" s="99"/>
      <x:c r="H131" s="99"/>
      <x:c r="I131" s="99"/>
      <x:c r="J131" s="99"/>
      <x:c r="K131" s="99"/>
      <x:c r="L131" s="99"/>
      <x:c r="M131" s="99"/>
      <x:c r="N131" s="99"/>
      <x:c r="O131" s="99"/>
      <x:c r="P131" s="99"/>
      <x:c r="Q131" s="99"/>
      <x:c r="R131" s="99"/>
      <x:c r="S131" s="99"/>
      <x:c r="T131" s="99"/>
      <x:c r="U131" s="99"/>
      <x:c r="V131" s="99"/>
      <x:c r="W131" s="99"/>
      <x:c r="X131" s="99"/>
      <x:c r="Y131" s="99"/>
      <x:c r="Z131" s="99"/>
    </x:row>
    <x:row r="132">
      <x:c r="A132" s="99"/>
      <x:c r="B132" s="99"/>
      <x:c r="C132" s="99"/>
      <x:c r="D132" s="99"/>
      <x:c r="E132" s="99"/>
      <x:c r="F132" s="99"/>
      <x:c r="G132" s="99"/>
      <x:c r="H132" s="99"/>
      <x:c r="I132" s="99"/>
      <x:c r="J132" s="99"/>
      <x:c r="K132" s="99"/>
      <x:c r="L132" s="99"/>
      <x:c r="M132" s="99"/>
      <x:c r="N132" s="99"/>
      <x:c r="O132" s="99"/>
      <x:c r="P132" s="99"/>
      <x:c r="Q132" s="99"/>
      <x:c r="R132" s="99"/>
      <x:c r="S132" s="99"/>
      <x:c r="T132" s="99"/>
      <x:c r="U132" s="99"/>
      <x:c r="V132" s="99"/>
      <x:c r="W132" s="99"/>
      <x:c r="X132" s="99"/>
      <x:c r="Y132" s="99"/>
      <x:c r="Z132" s="99"/>
    </x:row>
    <x:row r="133">
      <x:c r="A133" s="99"/>
      <x:c r="B133" s="99"/>
      <x:c r="C133" s="99"/>
      <x:c r="D133" s="99"/>
      <x:c r="E133" s="99"/>
      <x:c r="F133" s="99"/>
      <x:c r="G133" s="99"/>
      <x:c r="H133" s="99"/>
      <x:c r="I133" s="99"/>
      <x:c r="J133" s="99"/>
      <x:c r="K133" s="99"/>
      <x:c r="L133" s="99"/>
      <x:c r="M133" s="99"/>
      <x:c r="N133" s="99"/>
      <x:c r="O133" s="99"/>
      <x:c r="P133" s="99"/>
      <x:c r="Q133" s="99"/>
      <x:c r="R133" s="99"/>
      <x:c r="S133" s="99"/>
      <x:c r="T133" s="99"/>
      <x:c r="U133" s="99"/>
      <x:c r="V133" s="99"/>
      <x:c r="W133" s="99"/>
      <x:c r="X133" s="99"/>
      <x:c r="Y133" s="99"/>
      <x:c r="Z133" s="99"/>
    </x:row>
    <x:row r="134">
      <x:c r="A134" s="99"/>
      <x:c r="B134" s="99"/>
      <x:c r="C134" s="99"/>
      <x:c r="D134" s="99"/>
      <x:c r="E134" s="99"/>
      <x:c r="F134" s="99"/>
      <x:c r="G134" s="99"/>
      <x:c r="H134" s="99"/>
      <x:c r="I134" s="99"/>
      <x:c r="J134" s="99"/>
      <x:c r="K134" s="99"/>
      <x:c r="L134" s="99"/>
      <x:c r="M134" s="99"/>
      <x:c r="N134" s="99"/>
      <x:c r="O134" s="99"/>
      <x:c r="P134" s="99"/>
      <x:c r="Q134" s="99"/>
      <x:c r="R134" s="99"/>
      <x:c r="S134" s="99"/>
      <x:c r="T134" s="99"/>
      <x:c r="U134" s="99"/>
      <x:c r="V134" s="99"/>
      <x:c r="W134" s="99"/>
      <x:c r="X134" s="99"/>
      <x:c r="Y134" s="99"/>
      <x:c r="Z134" s="99"/>
    </x:row>
    <x:row r="135">
      <x:c r="A135" s="99"/>
      <x:c r="B135" s="99"/>
      <x:c r="C135" s="99"/>
      <x:c r="D135" s="99"/>
      <x:c r="E135" s="99"/>
      <x:c r="F135" s="99"/>
      <x:c r="G135" s="99"/>
      <x:c r="H135" s="99"/>
      <x:c r="I135" s="99"/>
      <x:c r="J135" s="99"/>
      <x:c r="K135" s="99"/>
      <x:c r="L135" s="99"/>
      <x:c r="M135" s="99"/>
      <x:c r="N135" s="99"/>
      <x:c r="O135" s="99"/>
      <x:c r="P135" s="99"/>
      <x:c r="Q135" s="99"/>
      <x:c r="R135" s="99"/>
      <x:c r="S135" s="99"/>
      <x:c r="T135" s="99"/>
      <x:c r="U135" s="99"/>
      <x:c r="V135" s="99"/>
      <x:c r="W135" s="99"/>
      <x:c r="X135" s="99"/>
      <x:c r="Y135" s="99"/>
      <x:c r="Z135" s="99"/>
    </x:row>
    <x:row r="136">
      <x:c r="A136" s="99"/>
      <x:c r="B136" s="99"/>
      <x:c r="C136" s="99"/>
      <x:c r="D136" s="99"/>
      <x:c r="E136" s="99"/>
      <x:c r="F136" s="99"/>
      <x:c r="G136" s="99"/>
      <x:c r="H136" s="99"/>
      <x:c r="I136" s="99"/>
      <x:c r="J136" s="99"/>
      <x:c r="K136" s="99"/>
      <x:c r="L136" s="99"/>
      <x:c r="M136" s="99"/>
      <x:c r="N136" s="99"/>
      <x:c r="O136" s="99"/>
      <x:c r="P136" s="99"/>
      <x:c r="Q136" s="99"/>
      <x:c r="R136" s="99"/>
      <x:c r="S136" s="99"/>
      <x:c r="T136" s="99"/>
      <x:c r="U136" s="99"/>
      <x:c r="V136" s="99"/>
      <x:c r="W136" s="99"/>
      <x:c r="X136" s="99"/>
      <x:c r="Y136" s="99"/>
      <x:c r="Z136" s="99"/>
    </x:row>
    <x:row r="137">
      <x:c r="A137" s="99"/>
      <x:c r="B137" s="99"/>
      <x:c r="C137" s="99"/>
      <x:c r="D137" s="99"/>
      <x:c r="E137" s="99"/>
      <x:c r="F137" s="99"/>
      <x:c r="G137" s="99"/>
      <x:c r="H137" s="99"/>
      <x:c r="I137" s="99"/>
      <x:c r="J137" s="99"/>
      <x:c r="K137" s="99"/>
      <x:c r="L137" s="99"/>
      <x:c r="M137" s="99"/>
      <x:c r="N137" s="99"/>
      <x:c r="O137" s="99"/>
      <x:c r="P137" s="99"/>
      <x:c r="Q137" s="99"/>
      <x:c r="R137" s="99"/>
      <x:c r="S137" s="99"/>
      <x:c r="T137" s="99"/>
      <x:c r="U137" s="99"/>
      <x:c r="V137" s="99"/>
      <x:c r="W137" s="99"/>
      <x:c r="X137" s="99"/>
      <x:c r="Y137" s="99"/>
      <x:c r="Z137" s="99"/>
    </x:row>
    <x:row r="138">
      <x:c r="A138" s="99"/>
      <x:c r="B138" s="99"/>
      <x:c r="C138" s="99"/>
      <x:c r="D138" s="99"/>
      <x:c r="E138" s="99"/>
      <x:c r="F138" s="99"/>
      <x:c r="G138" s="99"/>
      <x:c r="H138" s="99"/>
      <x:c r="I138" s="99"/>
      <x:c r="J138" s="99"/>
      <x:c r="K138" s="99"/>
      <x:c r="L138" s="99"/>
      <x:c r="M138" s="99"/>
      <x:c r="N138" s="99"/>
      <x:c r="O138" s="99"/>
      <x:c r="P138" s="99"/>
      <x:c r="Q138" s="99"/>
      <x:c r="R138" s="99"/>
      <x:c r="S138" s="99"/>
      <x:c r="T138" s="99"/>
      <x:c r="U138" s="99"/>
      <x:c r="V138" s="99"/>
      <x:c r="W138" s="99"/>
      <x:c r="X138" s="99"/>
      <x:c r="Y138" s="99"/>
      <x:c r="Z138" s="99"/>
    </x:row>
    <x:row r="139">
      <x:c r="A139" s="99"/>
      <x:c r="B139" s="99"/>
      <x:c r="C139" s="99"/>
      <x:c r="D139" s="99"/>
      <x:c r="E139" s="99"/>
      <x:c r="F139" s="99"/>
      <x:c r="G139" s="99"/>
      <x:c r="H139" s="99"/>
      <x:c r="I139" s="99"/>
      <x:c r="J139" s="99"/>
      <x:c r="K139" s="99"/>
      <x:c r="L139" s="99"/>
      <x:c r="M139" s="99"/>
      <x:c r="N139" s="99"/>
      <x:c r="O139" s="99"/>
      <x:c r="P139" s="99"/>
      <x:c r="Q139" s="99"/>
      <x:c r="R139" s="99"/>
      <x:c r="S139" s="99"/>
      <x:c r="T139" s="99"/>
      <x:c r="U139" s="99"/>
      <x:c r="V139" s="99"/>
      <x:c r="W139" s="99"/>
      <x:c r="X139" s="99"/>
      <x:c r="Y139" s="99"/>
      <x:c r="Z139" s="99"/>
    </x:row>
    <x:row r="140">
      <x:c r="A140" s="99"/>
      <x:c r="B140" s="99"/>
      <x:c r="C140" s="99"/>
      <x:c r="D140" s="99"/>
      <x:c r="E140" s="99"/>
      <x:c r="F140" s="99"/>
      <x:c r="G140" s="99"/>
      <x:c r="H140" s="99"/>
      <x:c r="I140" s="99"/>
      <x:c r="J140" s="99"/>
      <x:c r="K140" s="99"/>
      <x:c r="L140" s="99"/>
      <x:c r="M140" s="99"/>
      <x:c r="N140" s="99"/>
      <x:c r="O140" s="99"/>
      <x:c r="P140" s="99"/>
      <x:c r="Q140" s="99"/>
      <x:c r="R140" s="99"/>
      <x:c r="S140" s="99"/>
      <x:c r="T140" s="99"/>
      <x:c r="U140" s="99"/>
      <x:c r="V140" s="99"/>
      <x:c r="W140" s="99"/>
      <x:c r="X140" s="99"/>
      <x:c r="Y140" s="99"/>
      <x:c r="Z140" s="99"/>
    </x:row>
    <x:row r="141">
      <x:c r="A141" s="99"/>
      <x:c r="B141" s="99"/>
      <x:c r="C141" s="99"/>
      <x:c r="D141" s="99"/>
      <x:c r="E141" s="99"/>
      <x:c r="F141" s="99"/>
      <x:c r="G141" s="99"/>
      <x:c r="H141" s="99"/>
      <x:c r="I141" s="99"/>
      <x:c r="J141" s="99"/>
      <x:c r="K141" s="99"/>
      <x:c r="L141" s="99"/>
      <x:c r="M141" s="99"/>
      <x:c r="N141" s="99"/>
      <x:c r="O141" s="99"/>
      <x:c r="P141" s="99"/>
      <x:c r="Q141" s="99"/>
      <x:c r="R141" s="99"/>
      <x:c r="S141" s="99"/>
      <x:c r="T141" s="99"/>
      <x:c r="U141" s="99"/>
      <x:c r="V141" s="99"/>
      <x:c r="W141" s="99"/>
      <x:c r="X141" s="99"/>
      <x:c r="Y141" s="99"/>
      <x:c r="Z141" s="99"/>
    </x:row>
    <x:row r="142">
      <x:c r="A142" s="99"/>
      <x:c r="B142" s="99"/>
      <x:c r="C142" s="99"/>
      <x:c r="D142" s="99"/>
      <x:c r="E142" s="99"/>
      <x:c r="F142" s="99"/>
      <x:c r="G142" s="99"/>
      <x:c r="H142" s="99"/>
      <x:c r="I142" s="99"/>
      <x:c r="J142" s="99"/>
      <x:c r="K142" s="99"/>
      <x:c r="L142" s="99"/>
      <x:c r="M142" s="99"/>
      <x:c r="N142" s="99"/>
      <x:c r="O142" s="99"/>
      <x:c r="P142" s="99"/>
      <x:c r="Q142" s="99"/>
      <x:c r="R142" s="99"/>
      <x:c r="S142" s="99"/>
      <x:c r="T142" s="99"/>
      <x:c r="U142" s="99"/>
      <x:c r="V142" s="99"/>
      <x:c r="W142" s="99"/>
      <x:c r="X142" s="99"/>
      <x:c r="Y142" s="99"/>
      <x:c r="Z142" s="99"/>
    </x:row>
    <x:row r="143">
      <x:c r="A143" s="99"/>
      <x:c r="B143" s="99"/>
      <x:c r="C143" s="99"/>
      <x:c r="D143" s="99"/>
      <x:c r="E143" s="99"/>
      <x:c r="F143" s="99"/>
      <x:c r="G143" s="99"/>
      <x:c r="H143" s="99"/>
      <x:c r="I143" s="99"/>
      <x:c r="J143" s="99"/>
      <x:c r="K143" s="99"/>
      <x:c r="L143" s="99"/>
      <x:c r="M143" s="99"/>
      <x:c r="N143" s="99"/>
      <x:c r="O143" s="99"/>
      <x:c r="P143" s="99"/>
      <x:c r="Q143" s="99"/>
      <x:c r="R143" s="99"/>
      <x:c r="S143" s="99"/>
      <x:c r="T143" s="99"/>
      <x:c r="U143" s="99"/>
      <x:c r="V143" s="99"/>
      <x:c r="W143" s="99"/>
      <x:c r="X143" s="99"/>
      <x:c r="Y143" s="99"/>
      <x:c r="Z143" s="99"/>
    </x:row>
    <x:row r="144">
      <x:c r="A144" s="99"/>
      <x:c r="B144" s="99"/>
      <x:c r="C144" s="99"/>
      <x:c r="D144" s="99"/>
      <x:c r="E144" s="99"/>
      <x:c r="F144" s="99"/>
      <x:c r="G144" s="99"/>
      <x:c r="H144" s="99"/>
      <x:c r="I144" s="99"/>
      <x:c r="J144" s="99"/>
      <x:c r="K144" s="99"/>
      <x:c r="L144" s="99"/>
      <x:c r="M144" s="99"/>
      <x:c r="N144" s="99"/>
      <x:c r="O144" s="99"/>
      <x:c r="P144" s="99"/>
      <x:c r="Q144" s="99"/>
      <x:c r="R144" s="99"/>
      <x:c r="S144" s="99"/>
      <x:c r="T144" s="99"/>
      <x:c r="U144" s="99"/>
      <x:c r="V144" s="99"/>
      <x:c r="W144" s="99"/>
      <x:c r="X144" s="99"/>
      <x:c r="Y144" s="99"/>
      <x:c r="Z144" s="99"/>
    </x:row>
    <x:row r="145">
      <x:c r="A145" s="99"/>
      <x:c r="B145" s="99"/>
      <x:c r="C145" s="99"/>
      <x:c r="D145" s="99"/>
      <x:c r="E145" s="99"/>
      <x:c r="F145" s="99"/>
      <x:c r="G145" s="99"/>
      <x:c r="H145" s="99"/>
      <x:c r="I145" s="99"/>
      <x:c r="J145" s="99"/>
      <x:c r="K145" s="99"/>
      <x:c r="L145" s="99"/>
      <x:c r="M145" s="99"/>
      <x:c r="N145" s="99"/>
      <x:c r="O145" s="99"/>
      <x:c r="P145" s="99"/>
      <x:c r="Q145" s="99"/>
      <x:c r="R145" s="99"/>
      <x:c r="S145" s="99"/>
      <x:c r="T145" s="99"/>
      <x:c r="U145" s="99"/>
      <x:c r="V145" s="99"/>
      <x:c r="W145" s="99"/>
      <x:c r="X145" s="99"/>
      <x:c r="Y145" s="99"/>
      <x:c r="Z145" s="99"/>
    </x:row>
    <x:row r="146">
      <x:c r="A146" s="99"/>
      <x:c r="B146" s="99"/>
      <x:c r="C146" s="99"/>
      <x:c r="D146" s="99"/>
      <x:c r="E146" s="99"/>
      <x:c r="F146" s="99"/>
      <x:c r="G146" s="99"/>
      <x:c r="H146" s="99"/>
      <x:c r="I146" s="99"/>
      <x:c r="J146" s="99"/>
      <x:c r="K146" s="99"/>
      <x:c r="L146" s="99"/>
      <x:c r="M146" s="99"/>
      <x:c r="N146" s="99"/>
      <x:c r="O146" s="99"/>
      <x:c r="P146" s="99"/>
      <x:c r="Q146" s="99"/>
      <x:c r="R146" s="99"/>
      <x:c r="S146" s="99"/>
      <x:c r="T146" s="99"/>
      <x:c r="U146" s="99"/>
      <x:c r="V146" s="99"/>
      <x:c r="W146" s="99"/>
      <x:c r="X146" s="99"/>
      <x:c r="Y146" s="99"/>
      <x:c r="Z146" s="99"/>
    </x:row>
    <x:row r="147">
      <x:c r="A147" s="99"/>
      <x:c r="B147" s="99"/>
      <x:c r="C147" s="99"/>
      <x:c r="D147" s="99"/>
      <x:c r="E147" s="99"/>
      <x:c r="F147" s="99"/>
      <x:c r="G147" s="99"/>
      <x:c r="H147" s="99"/>
      <x:c r="I147" s="99"/>
      <x:c r="J147" s="99"/>
      <x:c r="K147" s="99"/>
      <x:c r="L147" s="99"/>
      <x:c r="M147" s="99"/>
      <x:c r="N147" s="99"/>
      <x:c r="O147" s="99"/>
      <x:c r="P147" s="99"/>
      <x:c r="Q147" s="99"/>
      <x:c r="R147" s="99"/>
      <x:c r="S147" s="99"/>
      <x:c r="T147" s="99"/>
      <x:c r="U147" s="99"/>
      <x:c r="V147" s="99"/>
      <x:c r="W147" s="99"/>
      <x:c r="X147" s="99"/>
      <x:c r="Y147" s="99"/>
      <x:c r="Z147" s="99"/>
    </x:row>
    <x:row r="148">
      <x:c r="A148" s="99"/>
      <x:c r="B148" s="99"/>
      <x:c r="C148" s="99"/>
      <x:c r="D148" s="99"/>
      <x:c r="E148" s="99"/>
      <x:c r="F148" s="99"/>
      <x:c r="G148" s="99"/>
      <x:c r="H148" s="99"/>
      <x:c r="I148" s="99"/>
      <x:c r="J148" s="99"/>
      <x:c r="K148" s="99"/>
      <x:c r="L148" s="99"/>
      <x:c r="M148" s="99"/>
      <x:c r="N148" s="99"/>
      <x:c r="O148" s="99"/>
      <x:c r="P148" s="99"/>
      <x:c r="Q148" s="99"/>
      <x:c r="R148" s="99"/>
      <x:c r="S148" s="99"/>
      <x:c r="T148" s="99"/>
      <x:c r="U148" s="99"/>
      <x:c r="V148" s="99"/>
      <x:c r="W148" s="99"/>
      <x:c r="X148" s="99"/>
      <x:c r="Y148" s="99"/>
      <x:c r="Z148" s="99"/>
    </x:row>
    <x:row r="149">
      <x:c r="A149" s="99"/>
      <x:c r="B149" s="99"/>
      <x:c r="C149" s="99"/>
      <x:c r="D149" s="99"/>
      <x:c r="E149" s="99"/>
      <x:c r="F149" s="99"/>
      <x:c r="G149" s="99"/>
      <x:c r="H149" s="99"/>
      <x:c r="I149" s="99"/>
      <x:c r="J149" s="99"/>
      <x:c r="K149" s="99"/>
      <x:c r="L149" s="99"/>
      <x:c r="M149" s="99"/>
      <x:c r="N149" s="99"/>
      <x:c r="O149" s="99"/>
      <x:c r="P149" s="99"/>
      <x:c r="Q149" s="99"/>
      <x:c r="R149" s="99"/>
      <x:c r="S149" s="99"/>
      <x:c r="T149" s="99"/>
      <x:c r="U149" s="99"/>
      <x:c r="V149" s="99"/>
      <x:c r="W149" s="99"/>
      <x:c r="X149" s="99"/>
      <x:c r="Y149" s="99"/>
      <x:c r="Z149" s="99"/>
    </x:row>
    <x:row r="150">
      <x:c r="A150" s="99"/>
      <x:c r="B150" s="99"/>
      <x:c r="C150" s="99"/>
      <x:c r="D150" s="99"/>
      <x:c r="E150" s="99"/>
      <x:c r="F150" s="99"/>
      <x:c r="G150" s="99"/>
      <x:c r="H150" s="99"/>
      <x:c r="I150" s="99"/>
      <x:c r="J150" s="99"/>
      <x:c r="K150" s="99"/>
      <x:c r="L150" s="99"/>
      <x:c r="M150" s="99"/>
      <x:c r="N150" s="99"/>
      <x:c r="O150" s="99"/>
      <x:c r="P150" s="99"/>
      <x:c r="Q150" s="99"/>
      <x:c r="R150" s="99"/>
      <x:c r="S150" s="99"/>
      <x:c r="T150" s="99"/>
      <x:c r="U150" s="99"/>
      <x:c r="V150" s="99"/>
      <x:c r="W150" s="99"/>
      <x:c r="X150" s="99"/>
      <x:c r="Y150" s="99"/>
      <x:c r="Z150" s="99"/>
    </x:row>
    <x:row r="151">
      <x:c r="A151" s="99"/>
      <x:c r="B151" s="99"/>
      <x:c r="C151" s="99"/>
      <x:c r="D151" s="99"/>
      <x:c r="E151" s="99"/>
      <x:c r="F151" s="99"/>
      <x:c r="G151" s="99"/>
      <x:c r="H151" s="99"/>
      <x:c r="I151" s="99"/>
      <x:c r="J151" s="99"/>
      <x:c r="K151" s="99"/>
      <x:c r="L151" s="99"/>
      <x:c r="M151" s="99"/>
      <x:c r="N151" s="99"/>
      <x:c r="O151" s="99"/>
      <x:c r="P151" s="99"/>
      <x:c r="Q151" s="99"/>
      <x:c r="R151" s="99"/>
      <x:c r="S151" s="99"/>
      <x:c r="T151" s="99"/>
      <x:c r="U151" s="99"/>
      <x:c r="V151" s="99"/>
      <x:c r="W151" s="99"/>
      <x:c r="X151" s="99"/>
      <x:c r="Y151" s="99"/>
      <x:c r="Z151" s="99"/>
    </x:row>
    <x:row r="152">
      <x:c r="A152" s="99"/>
      <x:c r="B152" s="99"/>
      <x:c r="C152" s="99"/>
      <x:c r="D152" s="99"/>
      <x:c r="E152" s="99"/>
      <x:c r="F152" s="99"/>
      <x:c r="G152" s="99"/>
      <x:c r="H152" s="99"/>
      <x:c r="I152" s="99"/>
      <x:c r="J152" s="99"/>
      <x:c r="K152" s="99"/>
      <x:c r="L152" s="99"/>
      <x:c r="M152" s="99"/>
      <x:c r="N152" s="99"/>
      <x:c r="O152" s="99"/>
      <x:c r="P152" s="99"/>
      <x:c r="Q152" s="99"/>
      <x:c r="R152" s="99"/>
      <x:c r="S152" s="99"/>
      <x:c r="T152" s="99"/>
      <x:c r="U152" s="99"/>
      <x:c r="V152" s="99"/>
      <x:c r="W152" s="99"/>
      <x:c r="X152" s="99"/>
      <x:c r="Y152" s="99"/>
      <x:c r="Z152" s="99"/>
    </x:row>
    <x:row r="153">
      <x:c r="A153" s="99"/>
      <x:c r="B153" s="99"/>
      <x:c r="C153" s="99"/>
      <x:c r="D153" s="99"/>
      <x:c r="E153" s="99"/>
      <x:c r="F153" s="99"/>
      <x:c r="G153" s="99"/>
      <x:c r="H153" s="99"/>
      <x:c r="I153" s="99"/>
      <x:c r="J153" s="99"/>
      <x:c r="K153" s="99"/>
      <x:c r="L153" s="99"/>
      <x:c r="M153" s="99"/>
      <x:c r="N153" s="99"/>
      <x:c r="O153" s="99"/>
      <x:c r="P153" s="99"/>
      <x:c r="Q153" s="99"/>
      <x:c r="R153" s="99"/>
      <x:c r="S153" s="99"/>
      <x:c r="T153" s="99"/>
      <x:c r="U153" s="99"/>
      <x:c r="V153" s="99"/>
      <x:c r="W153" s="99"/>
      <x:c r="X153" s="99"/>
      <x:c r="Y153" s="99"/>
      <x:c r="Z153" s="99"/>
    </x:row>
    <x:row r="154">
      <x:c r="A154" s="99"/>
      <x:c r="B154" s="99"/>
      <x:c r="C154" s="99"/>
      <x:c r="D154" s="99"/>
      <x:c r="E154" s="99"/>
      <x:c r="F154" s="99"/>
      <x:c r="G154" s="99"/>
      <x:c r="H154" s="99"/>
      <x:c r="I154" s="99"/>
      <x:c r="J154" s="99"/>
      <x:c r="K154" s="99"/>
      <x:c r="L154" s="99"/>
      <x:c r="M154" s="99"/>
      <x:c r="N154" s="99"/>
      <x:c r="O154" s="99"/>
      <x:c r="P154" s="99"/>
      <x:c r="Q154" s="99"/>
      <x:c r="R154" s="99"/>
      <x:c r="S154" s="99"/>
      <x:c r="T154" s="99"/>
      <x:c r="U154" s="99"/>
      <x:c r="V154" s="99"/>
      <x:c r="W154" s="99"/>
      <x:c r="X154" s="99"/>
      <x:c r="Y154" s="99"/>
      <x:c r="Z154" s="99"/>
    </x:row>
    <x:row r="155">
      <x:c r="A155" s="99"/>
      <x:c r="B155" s="99"/>
      <x:c r="C155" s="99"/>
      <x:c r="D155" s="99"/>
      <x:c r="E155" s="99"/>
      <x:c r="F155" s="99"/>
      <x:c r="G155" s="99"/>
      <x:c r="H155" s="99"/>
      <x:c r="I155" s="99"/>
      <x:c r="J155" s="99"/>
      <x:c r="K155" s="99"/>
      <x:c r="L155" s="99"/>
      <x:c r="M155" s="99"/>
      <x:c r="N155" s="99"/>
      <x:c r="O155" s="99"/>
      <x:c r="P155" s="99"/>
      <x:c r="Q155" s="99"/>
      <x:c r="R155" s="99"/>
      <x:c r="S155" s="99"/>
      <x:c r="T155" s="99"/>
      <x:c r="U155" s="99"/>
      <x:c r="V155" s="99"/>
      <x:c r="W155" s="99"/>
      <x:c r="X155" s="99"/>
      <x:c r="Y155" s="99"/>
      <x:c r="Z155" s="99"/>
    </x:row>
    <x:row r="156">
      <x:c r="A156" s="99"/>
      <x:c r="B156" s="99"/>
      <x:c r="C156" s="99"/>
      <x:c r="D156" s="99"/>
      <x:c r="E156" s="99"/>
      <x:c r="F156" s="99"/>
      <x:c r="G156" s="99"/>
      <x:c r="H156" s="99"/>
      <x:c r="I156" s="99"/>
      <x:c r="J156" s="99"/>
      <x:c r="K156" s="99"/>
      <x:c r="L156" s="99"/>
      <x:c r="M156" s="99"/>
      <x:c r="N156" s="99"/>
      <x:c r="O156" s="99"/>
      <x:c r="P156" s="99"/>
      <x:c r="Q156" s="99"/>
      <x:c r="R156" s="99"/>
      <x:c r="S156" s="99"/>
      <x:c r="T156" s="99"/>
      <x:c r="U156" s="99"/>
      <x:c r="V156" s="99"/>
      <x:c r="W156" s="99"/>
      <x:c r="X156" s="99"/>
      <x:c r="Y156" s="99"/>
      <x:c r="Z156" s="99"/>
    </x:row>
    <x:row r="157">
      <x:c r="A157" s="99"/>
      <x:c r="B157" s="99"/>
      <x:c r="C157" s="99"/>
      <x:c r="D157" s="99"/>
      <x:c r="E157" s="99"/>
      <x:c r="F157" s="99"/>
      <x:c r="G157" s="99"/>
      <x:c r="H157" s="99"/>
      <x:c r="I157" s="99"/>
      <x:c r="J157" s="99"/>
      <x:c r="K157" s="99"/>
      <x:c r="L157" s="99"/>
      <x:c r="M157" s="99"/>
      <x:c r="N157" s="99"/>
      <x:c r="O157" s="99"/>
      <x:c r="P157" s="99"/>
      <x:c r="Q157" s="99"/>
      <x:c r="R157" s="99"/>
      <x:c r="S157" s="99"/>
      <x:c r="T157" s="99"/>
      <x:c r="U157" s="99"/>
      <x:c r="V157" s="99"/>
      <x:c r="W157" s="99"/>
      <x:c r="X157" s="99"/>
      <x:c r="Y157" s="99"/>
      <x:c r="Z157" s="99"/>
    </x:row>
    <x:row r="158">
      <x:c r="A158" s="99"/>
      <x:c r="B158" s="99"/>
      <x:c r="C158" s="99"/>
      <x:c r="D158" s="99"/>
      <x:c r="E158" s="99"/>
      <x:c r="F158" s="99"/>
      <x:c r="G158" s="99"/>
      <x:c r="H158" s="99"/>
      <x:c r="I158" s="99"/>
      <x:c r="J158" s="99"/>
      <x:c r="K158" s="99"/>
      <x:c r="L158" s="99"/>
      <x:c r="M158" s="99"/>
      <x:c r="N158" s="99"/>
      <x:c r="O158" s="99"/>
      <x:c r="P158" s="99"/>
      <x:c r="Q158" s="99"/>
      <x:c r="R158" s="99"/>
      <x:c r="S158" s="99"/>
      <x:c r="T158" s="99"/>
      <x:c r="U158" s="99"/>
      <x:c r="V158" s="99"/>
      <x:c r="W158" s="99"/>
      <x:c r="X158" s="99"/>
      <x:c r="Y158" s="99"/>
      <x:c r="Z158" s="99"/>
    </x:row>
    <x:row r="159">
      <x:c r="A159" s="99"/>
      <x:c r="B159" s="99"/>
      <x:c r="C159" s="99"/>
      <x:c r="D159" s="99"/>
      <x:c r="E159" s="99"/>
      <x:c r="F159" s="99"/>
      <x:c r="G159" s="99"/>
      <x:c r="H159" s="99"/>
      <x:c r="I159" s="99"/>
      <x:c r="J159" s="99"/>
      <x:c r="K159" s="99"/>
      <x:c r="L159" s="99"/>
      <x:c r="M159" s="99"/>
      <x:c r="N159" s="99"/>
      <x:c r="O159" s="99"/>
      <x:c r="P159" s="99"/>
      <x:c r="Q159" s="99"/>
      <x:c r="R159" s="99"/>
      <x:c r="S159" s="99"/>
      <x:c r="T159" s="99"/>
      <x:c r="U159" s="99"/>
      <x:c r="V159" s="99"/>
      <x:c r="W159" s="99"/>
      <x:c r="X159" s="99"/>
      <x:c r="Y159" s="99"/>
      <x:c r="Z159" s="99"/>
    </x:row>
    <x:row r="160">
      <x:c r="A160" s="99"/>
      <x:c r="B160" s="99"/>
      <x:c r="C160" s="99"/>
      <x:c r="D160" s="99"/>
      <x:c r="E160" s="99"/>
      <x:c r="F160" s="99"/>
      <x:c r="G160" s="99"/>
      <x:c r="H160" s="99"/>
      <x:c r="I160" s="99"/>
      <x:c r="J160" s="99"/>
      <x:c r="K160" s="99"/>
      <x:c r="L160" s="99"/>
      <x:c r="M160" s="99"/>
      <x:c r="N160" s="99"/>
      <x:c r="O160" s="99"/>
      <x:c r="P160" s="99"/>
      <x:c r="Q160" s="99"/>
      <x:c r="R160" s="99"/>
      <x:c r="S160" s="99"/>
      <x:c r="T160" s="99"/>
      <x:c r="U160" s="99"/>
      <x:c r="V160" s="99"/>
      <x:c r="W160" s="99"/>
      <x:c r="X160" s="99"/>
      <x:c r="Y160" s="99"/>
      <x:c r="Z160" s="99"/>
    </x:row>
    <x:row r="161">
      <x:c r="A161" s="99"/>
      <x:c r="B161" s="99"/>
      <x:c r="C161" s="99"/>
      <x:c r="D161" s="99"/>
      <x:c r="E161" s="99"/>
      <x:c r="F161" s="99"/>
      <x:c r="G161" s="99"/>
      <x:c r="H161" s="99"/>
      <x:c r="I161" s="99"/>
      <x:c r="J161" s="99"/>
      <x:c r="K161" s="99"/>
      <x:c r="L161" s="99"/>
      <x:c r="M161" s="99"/>
      <x:c r="N161" s="99"/>
      <x:c r="O161" s="99"/>
      <x:c r="P161" s="99"/>
      <x:c r="Q161" s="99"/>
      <x:c r="R161" s="99"/>
      <x:c r="S161" s="99"/>
      <x:c r="T161" s="99"/>
      <x:c r="U161" s="99"/>
      <x:c r="V161" s="99"/>
      <x:c r="W161" s="99"/>
      <x:c r="X161" s="99"/>
      <x:c r="Y161" s="99"/>
      <x:c r="Z161" s="99"/>
    </x:row>
    <x:row r="162">
      <x:c r="A162" s="99"/>
      <x:c r="B162" s="99"/>
      <x:c r="C162" s="99"/>
      <x:c r="D162" s="99"/>
      <x:c r="E162" s="99"/>
      <x:c r="F162" s="99"/>
      <x:c r="G162" s="99"/>
      <x:c r="H162" s="99"/>
      <x:c r="I162" s="99"/>
      <x:c r="J162" s="99"/>
      <x:c r="K162" s="99"/>
      <x:c r="L162" s="99"/>
      <x:c r="M162" s="99"/>
      <x:c r="N162" s="99"/>
      <x:c r="O162" s="99"/>
      <x:c r="P162" s="99"/>
      <x:c r="Q162" s="99"/>
      <x:c r="R162" s="99"/>
      <x:c r="S162" s="99"/>
      <x:c r="T162" s="99"/>
      <x:c r="U162" s="99"/>
      <x:c r="V162" s="99"/>
      <x:c r="W162" s="99"/>
      <x:c r="X162" s="99"/>
      <x:c r="Y162" s="99"/>
      <x:c r="Z162" s="99"/>
    </x:row>
    <x:row r="163">
      <x:c r="A163" s="99"/>
      <x:c r="B163" s="99"/>
      <x:c r="C163" s="99"/>
      <x:c r="D163" s="99"/>
      <x:c r="E163" s="99"/>
      <x:c r="F163" s="99"/>
      <x:c r="G163" s="99"/>
      <x:c r="H163" s="99"/>
      <x:c r="I163" s="99"/>
      <x:c r="J163" s="99"/>
      <x:c r="K163" s="99"/>
      <x:c r="L163" s="99"/>
      <x:c r="M163" s="99"/>
      <x:c r="N163" s="99"/>
      <x:c r="O163" s="99"/>
      <x:c r="P163" s="99"/>
      <x:c r="Q163" s="99"/>
      <x:c r="R163" s="99"/>
      <x:c r="S163" s="99"/>
      <x:c r="T163" s="99"/>
      <x:c r="U163" s="99"/>
      <x:c r="V163" s="99"/>
      <x:c r="W163" s="99"/>
      <x:c r="X163" s="99"/>
      <x:c r="Y163" s="99"/>
      <x:c r="Z163" s="99"/>
    </x:row>
    <x:row r="164">
      <x:c r="A164" s="99"/>
      <x:c r="B164" s="99"/>
      <x:c r="C164" s="99"/>
      <x:c r="D164" s="99"/>
      <x:c r="E164" s="99"/>
      <x:c r="F164" s="99"/>
      <x:c r="G164" s="99"/>
      <x:c r="H164" s="99"/>
      <x:c r="I164" s="99"/>
      <x:c r="J164" s="99"/>
      <x:c r="K164" s="99"/>
      <x:c r="L164" s="99"/>
      <x:c r="M164" s="99"/>
      <x:c r="N164" s="99"/>
      <x:c r="O164" s="99"/>
      <x:c r="P164" s="99"/>
      <x:c r="Q164" s="99"/>
      <x:c r="R164" s="99"/>
      <x:c r="S164" s="99"/>
      <x:c r="T164" s="99"/>
      <x:c r="U164" s="99"/>
      <x:c r="V164" s="99"/>
      <x:c r="W164" s="99"/>
      <x:c r="X164" s="99"/>
      <x:c r="Y164" s="99"/>
      <x:c r="Z164" s="99"/>
    </x:row>
    <x:row r="165">
      <x:c r="A165" s="99"/>
      <x:c r="B165" s="99"/>
      <x:c r="C165" s="99"/>
      <x:c r="D165" s="99"/>
      <x:c r="E165" s="99"/>
      <x:c r="F165" s="99"/>
      <x:c r="G165" s="99"/>
      <x:c r="H165" s="99"/>
      <x:c r="I165" s="99"/>
      <x:c r="J165" s="99"/>
      <x:c r="K165" s="99"/>
      <x:c r="L165" s="99"/>
      <x:c r="M165" s="99"/>
      <x:c r="N165" s="99"/>
      <x:c r="O165" s="99"/>
      <x:c r="P165" s="99"/>
      <x:c r="Q165" s="99"/>
      <x:c r="R165" s="99"/>
      <x:c r="S165" s="99"/>
      <x:c r="T165" s="99"/>
      <x:c r="U165" s="99"/>
      <x:c r="V165" s="99"/>
      <x:c r="W165" s="99"/>
      <x:c r="X165" s="99"/>
      <x:c r="Y165" s="99"/>
      <x:c r="Z165" s="99"/>
    </x:row>
    <x:row r="166">
      <x:c r="A166" s="99"/>
      <x:c r="B166" s="99"/>
      <x:c r="C166" s="99"/>
      <x:c r="D166" s="99"/>
      <x:c r="E166" s="99"/>
      <x:c r="F166" s="99"/>
      <x:c r="G166" s="99"/>
      <x:c r="H166" s="99"/>
      <x:c r="I166" s="99"/>
      <x:c r="J166" s="99"/>
      <x:c r="K166" s="99"/>
      <x:c r="L166" s="99"/>
      <x:c r="M166" s="99"/>
      <x:c r="N166" s="99"/>
      <x:c r="O166" s="99"/>
      <x:c r="P166" s="99"/>
      <x:c r="Q166" s="99"/>
      <x:c r="R166" s="99"/>
      <x:c r="S166" s="99"/>
      <x:c r="T166" s="99"/>
      <x:c r="U166" s="99"/>
      <x:c r="V166" s="99"/>
      <x:c r="W166" s="99"/>
      <x:c r="X166" s="99"/>
      <x:c r="Y166" s="99"/>
      <x:c r="Z166" s="99"/>
    </x:row>
    <x:row r="167">
      <x:c r="A167" s="99"/>
      <x:c r="B167" s="99"/>
      <x:c r="C167" s="99"/>
      <x:c r="D167" s="99"/>
      <x:c r="E167" s="99"/>
      <x:c r="F167" s="99"/>
      <x:c r="G167" s="99"/>
      <x:c r="H167" s="99"/>
      <x:c r="I167" s="99"/>
      <x:c r="J167" s="99"/>
      <x:c r="K167" s="99"/>
      <x:c r="L167" s="99"/>
      <x:c r="M167" s="99"/>
      <x:c r="N167" s="99"/>
      <x:c r="O167" s="99"/>
      <x:c r="P167" s="99"/>
      <x:c r="Q167" s="99"/>
      <x:c r="R167" s="99"/>
      <x:c r="S167" s="99"/>
      <x:c r="T167" s="99"/>
      <x:c r="U167" s="99"/>
      <x:c r="V167" s="99"/>
      <x:c r="W167" s="99"/>
      <x:c r="X167" s="99"/>
      <x:c r="Y167" s="99"/>
      <x:c r="Z167" s="99"/>
    </x:row>
    <x:row r="168">
      <x:c r="A168" s="99"/>
      <x:c r="B168" s="99"/>
      <x:c r="C168" s="99"/>
      <x:c r="D168" s="99"/>
      <x:c r="E168" s="99"/>
      <x:c r="F168" s="99"/>
      <x:c r="G168" s="99"/>
      <x:c r="H168" s="99"/>
      <x:c r="I168" s="99"/>
      <x:c r="J168" s="99"/>
      <x:c r="K168" s="99"/>
      <x:c r="L168" s="99"/>
      <x:c r="M168" s="99"/>
      <x:c r="N168" s="99"/>
      <x:c r="O168" s="99"/>
      <x:c r="P168" s="99"/>
      <x:c r="Q168" s="99"/>
      <x:c r="R168" s="99"/>
      <x:c r="S168" s="99"/>
      <x:c r="T168" s="99"/>
      <x:c r="U168" s="99"/>
      <x:c r="V168" s="99"/>
      <x:c r="W168" s="99"/>
      <x:c r="X168" s="99"/>
      <x:c r="Y168" s="99"/>
      <x:c r="Z168" s="99"/>
    </x:row>
    <x:row r="169">
      <x:c r="A169" s="99"/>
      <x:c r="B169" s="99"/>
      <x:c r="C169" s="99"/>
      <x:c r="D169" s="99"/>
      <x:c r="E169" s="99"/>
      <x:c r="F169" s="99"/>
      <x:c r="G169" s="99"/>
      <x:c r="H169" s="99"/>
      <x:c r="I169" s="99"/>
      <x:c r="J169" s="99"/>
      <x:c r="K169" s="99"/>
      <x:c r="L169" s="99"/>
      <x:c r="M169" s="99"/>
      <x:c r="N169" s="99"/>
      <x:c r="O169" s="99"/>
      <x:c r="P169" s="99"/>
      <x:c r="Q169" s="99"/>
      <x:c r="R169" s="99"/>
      <x:c r="S169" s="99"/>
      <x:c r="T169" s="99"/>
      <x:c r="U169" s="99"/>
      <x:c r="V169" s="99"/>
      <x:c r="W169" s="99"/>
      <x:c r="X169" s="99"/>
      <x:c r="Y169" s="99"/>
      <x:c r="Z169" s="99"/>
    </x:row>
    <x:row r="170">
      <x:c r="A170" s="99"/>
      <x:c r="B170" s="99"/>
      <x:c r="C170" s="99"/>
      <x:c r="D170" s="99"/>
      <x:c r="E170" s="99"/>
      <x:c r="F170" s="99"/>
      <x:c r="G170" s="99"/>
      <x:c r="H170" s="99"/>
      <x:c r="I170" s="99"/>
      <x:c r="J170" s="99"/>
      <x:c r="K170" s="99"/>
      <x:c r="L170" s="99"/>
      <x:c r="M170" s="99"/>
      <x:c r="N170" s="99"/>
      <x:c r="O170" s="99"/>
      <x:c r="P170" s="99"/>
      <x:c r="Q170" s="99"/>
      <x:c r="R170" s="99"/>
      <x:c r="S170" s="99"/>
      <x:c r="T170" s="99"/>
      <x:c r="U170" s="99"/>
      <x:c r="V170" s="99"/>
      <x:c r="W170" s="99"/>
      <x:c r="X170" s="99"/>
      <x:c r="Y170" s="99"/>
      <x:c r="Z170" s="99"/>
    </x:row>
    <x:row r="171">
      <x:c r="A171" s="99"/>
      <x:c r="B171" s="99"/>
      <x:c r="C171" s="99"/>
      <x:c r="D171" s="99"/>
      <x:c r="E171" s="99"/>
      <x:c r="F171" s="99"/>
      <x:c r="G171" s="99"/>
      <x:c r="H171" s="99"/>
      <x:c r="I171" s="99"/>
      <x:c r="J171" s="99"/>
      <x:c r="K171" s="99"/>
      <x:c r="L171" s="99"/>
      <x:c r="M171" s="99"/>
      <x:c r="N171" s="99"/>
      <x:c r="O171" s="99"/>
      <x:c r="P171" s="99"/>
      <x:c r="Q171" s="99"/>
      <x:c r="R171" s="99"/>
      <x:c r="S171" s="99"/>
      <x:c r="T171" s="99"/>
      <x:c r="U171" s="99"/>
      <x:c r="V171" s="99"/>
      <x:c r="W171" s="99"/>
      <x:c r="X171" s="99"/>
      <x:c r="Y171" s="99"/>
      <x:c r="Z171" s="99"/>
    </x:row>
    <x:row r="172">
      <x:c r="A172" s="99"/>
      <x:c r="B172" s="99"/>
      <x:c r="C172" s="99"/>
      <x:c r="D172" s="99"/>
      <x:c r="E172" s="99"/>
      <x:c r="F172" s="99"/>
      <x:c r="G172" s="99"/>
      <x:c r="H172" s="99"/>
      <x:c r="I172" s="99"/>
      <x:c r="J172" s="99"/>
      <x:c r="K172" s="99"/>
      <x:c r="L172" s="99"/>
      <x:c r="M172" s="99"/>
      <x:c r="N172" s="99"/>
      <x:c r="O172" s="99"/>
      <x:c r="P172" s="99"/>
      <x:c r="Q172" s="99"/>
      <x:c r="R172" s="99"/>
      <x:c r="S172" s="99"/>
      <x:c r="T172" s="99"/>
      <x:c r="U172" s="99"/>
      <x:c r="V172" s="99"/>
      <x:c r="W172" s="99"/>
      <x:c r="X172" s="99"/>
      <x:c r="Y172" s="99"/>
      <x:c r="Z172" s="99"/>
    </x:row>
    <x:row r="173">
      <x:c r="A173" s="99"/>
      <x:c r="B173" s="99"/>
      <x:c r="C173" s="99"/>
      <x:c r="D173" s="99"/>
      <x:c r="E173" s="99"/>
      <x:c r="F173" s="99"/>
      <x:c r="G173" s="99"/>
      <x:c r="H173" s="99"/>
      <x:c r="I173" s="99"/>
      <x:c r="J173" s="99"/>
      <x:c r="K173" s="99"/>
      <x:c r="L173" s="99"/>
      <x:c r="M173" s="99"/>
      <x:c r="N173" s="99"/>
      <x:c r="O173" s="99"/>
      <x:c r="P173" s="99"/>
      <x:c r="Q173" s="99"/>
      <x:c r="R173" s="99"/>
      <x:c r="S173" s="99"/>
      <x:c r="T173" s="99"/>
      <x:c r="U173" s="99"/>
      <x:c r="V173" s="99"/>
      <x:c r="W173" s="99"/>
      <x:c r="X173" s="99"/>
      <x:c r="Y173" s="99"/>
      <x:c r="Z173" s="99"/>
    </x:row>
    <x:row r="174">
      <x:c r="A174" s="99"/>
      <x:c r="B174" s="99"/>
      <x:c r="C174" s="99"/>
      <x:c r="D174" s="99"/>
      <x:c r="E174" s="99"/>
      <x:c r="F174" s="99"/>
      <x:c r="G174" s="99"/>
      <x:c r="H174" s="99"/>
      <x:c r="I174" s="99"/>
      <x:c r="J174" s="99"/>
      <x:c r="K174" s="99"/>
      <x:c r="L174" s="99"/>
      <x:c r="M174" s="99"/>
      <x:c r="N174" s="99"/>
      <x:c r="O174" s="99"/>
      <x:c r="P174" s="99"/>
      <x:c r="Q174" s="99"/>
      <x:c r="R174" s="99"/>
      <x:c r="S174" s="99"/>
      <x:c r="T174" s="99"/>
      <x:c r="U174" s="99"/>
      <x:c r="V174" s="99"/>
      <x:c r="W174" s="99"/>
      <x:c r="X174" s="99"/>
      <x:c r="Y174" s="99"/>
      <x:c r="Z174" s="99"/>
    </x:row>
    <x:row r="175">
      <x:c r="A175" s="99"/>
      <x:c r="B175" s="99"/>
      <x:c r="C175" s="99"/>
      <x:c r="D175" s="99"/>
      <x:c r="E175" s="99"/>
      <x:c r="F175" s="99"/>
      <x:c r="G175" s="99"/>
      <x:c r="H175" s="99"/>
      <x:c r="I175" s="99"/>
      <x:c r="J175" s="99"/>
      <x:c r="K175" s="99"/>
      <x:c r="L175" s="99"/>
      <x:c r="M175" s="99"/>
      <x:c r="N175" s="99"/>
      <x:c r="O175" s="99"/>
      <x:c r="P175" s="99"/>
      <x:c r="Q175" s="99"/>
      <x:c r="R175" s="99"/>
      <x:c r="S175" s="99"/>
      <x:c r="T175" s="99"/>
      <x:c r="U175" s="99"/>
      <x:c r="V175" s="99"/>
      <x:c r="W175" s="99"/>
      <x:c r="X175" s="99"/>
      <x:c r="Y175" s="99"/>
      <x:c r="Z175" s="99"/>
    </x:row>
    <x:row r="176">
      <x:c r="A176" s="99"/>
      <x:c r="B176" s="99"/>
      <x:c r="C176" s="99"/>
      <x:c r="D176" s="99"/>
      <x:c r="E176" s="99"/>
      <x:c r="F176" s="99"/>
      <x:c r="G176" s="99"/>
      <x:c r="H176" s="99"/>
      <x:c r="I176" s="99"/>
      <x:c r="J176" s="99"/>
      <x:c r="K176" s="99"/>
      <x:c r="L176" s="99"/>
      <x:c r="M176" s="99"/>
      <x:c r="N176" s="99"/>
      <x:c r="O176" s="99"/>
      <x:c r="P176" s="99"/>
      <x:c r="Q176" s="99"/>
      <x:c r="R176" s="99"/>
      <x:c r="S176" s="99"/>
      <x:c r="T176" s="99"/>
      <x:c r="U176" s="99"/>
      <x:c r="V176" s="99"/>
      <x:c r="W176" s="99"/>
      <x:c r="X176" s="99"/>
      <x:c r="Y176" s="99"/>
      <x:c r="Z176" s="99"/>
    </x:row>
    <x:row r="177">
      <x:c r="A177" s="99"/>
      <x:c r="B177" s="99"/>
      <x:c r="C177" s="99"/>
      <x:c r="D177" s="99"/>
      <x:c r="E177" s="99"/>
      <x:c r="F177" s="99"/>
      <x:c r="G177" s="99"/>
      <x:c r="H177" s="99"/>
      <x:c r="I177" s="99"/>
      <x:c r="J177" s="99"/>
      <x:c r="K177" s="99"/>
      <x:c r="L177" s="99"/>
      <x:c r="M177" s="99"/>
      <x:c r="N177" s="99"/>
      <x:c r="O177" s="99"/>
      <x:c r="P177" s="99"/>
      <x:c r="Q177" s="99"/>
      <x:c r="R177" s="99"/>
      <x:c r="S177" s="99"/>
      <x:c r="T177" s="99"/>
      <x:c r="U177" s="99"/>
      <x:c r="V177" s="99"/>
      <x:c r="W177" s="99"/>
      <x:c r="X177" s="99"/>
      <x:c r="Y177" s="99"/>
      <x:c r="Z177" s="99"/>
    </x:row>
    <x:row r="178">
      <x:c r="A178" s="99"/>
      <x:c r="B178" s="99"/>
      <x:c r="C178" s="99"/>
      <x:c r="D178" s="99"/>
      <x:c r="E178" s="99"/>
      <x:c r="F178" s="99"/>
      <x:c r="G178" s="99"/>
      <x:c r="H178" s="99"/>
      <x:c r="I178" s="99"/>
      <x:c r="J178" s="99"/>
      <x:c r="K178" s="99"/>
      <x:c r="L178" s="99"/>
      <x:c r="M178" s="99"/>
      <x:c r="N178" s="99"/>
      <x:c r="O178" s="99"/>
      <x:c r="P178" s="99"/>
      <x:c r="Q178" s="99"/>
      <x:c r="R178" s="99"/>
      <x:c r="S178" s="99"/>
      <x:c r="T178" s="99"/>
      <x:c r="U178" s="99"/>
      <x:c r="V178" s="99"/>
      <x:c r="W178" s="99"/>
      <x:c r="X178" s="99"/>
      <x:c r="Y178" s="99"/>
      <x:c r="Z178" s="99"/>
    </x:row>
    <x:row r="179">
      <x:c r="A179" s="99"/>
      <x:c r="B179" s="99"/>
      <x:c r="C179" s="99"/>
      <x:c r="D179" s="99"/>
      <x:c r="E179" s="99"/>
      <x:c r="F179" s="99"/>
      <x:c r="G179" s="99"/>
      <x:c r="H179" s="99"/>
      <x:c r="I179" s="99"/>
      <x:c r="J179" s="99"/>
      <x:c r="K179" s="99"/>
      <x:c r="L179" s="99"/>
      <x:c r="M179" s="99"/>
      <x:c r="N179" s="99"/>
      <x:c r="O179" s="99"/>
      <x:c r="P179" s="99"/>
      <x:c r="Q179" s="99"/>
      <x:c r="R179" s="99"/>
      <x:c r="S179" s="99"/>
      <x:c r="T179" s="99"/>
      <x:c r="U179" s="99"/>
      <x:c r="V179" s="99"/>
      <x:c r="W179" s="99"/>
      <x:c r="X179" s="99"/>
      <x:c r="Y179" s="99"/>
      <x:c r="Z179" s="99"/>
    </x:row>
    <x:row r="180">
      <x:c r="A180" s="99"/>
      <x:c r="B180" s="99"/>
      <x:c r="C180" s="99"/>
      <x:c r="D180" s="99"/>
      <x:c r="E180" s="99"/>
      <x:c r="F180" s="99"/>
      <x:c r="G180" s="99"/>
      <x:c r="H180" s="99"/>
      <x:c r="I180" s="99"/>
      <x:c r="J180" s="99"/>
      <x:c r="K180" s="99"/>
      <x:c r="L180" s="99"/>
      <x:c r="M180" s="99"/>
      <x:c r="N180" s="99"/>
      <x:c r="O180" s="99"/>
      <x:c r="P180" s="99"/>
      <x:c r="Q180" s="99"/>
      <x:c r="R180" s="99"/>
      <x:c r="S180" s="99"/>
      <x:c r="T180" s="99"/>
      <x:c r="U180" s="99"/>
      <x:c r="V180" s="99"/>
      <x:c r="W180" s="99"/>
      <x:c r="X180" s="99"/>
      <x:c r="Y180" s="99"/>
      <x:c r="Z180" s="99"/>
    </x:row>
    <x:row r="181">
      <x:c r="A181" s="99"/>
      <x:c r="B181" s="99"/>
      <x:c r="C181" s="99"/>
      <x:c r="D181" s="99"/>
      <x:c r="E181" s="99"/>
      <x:c r="F181" s="99"/>
      <x:c r="G181" s="99"/>
      <x:c r="H181" s="99"/>
      <x:c r="I181" s="99"/>
      <x:c r="J181" s="99"/>
      <x:c r="K181" s="99"/>
      <x:c r="L181" s="99"/>
      <x:c r="M181" s="99"/>
      <x:c r="N181" s="99"/>
      <x:c r="O181" s="99"/>
      <x:c r="P181" s="99"/>
      <x:c r="Q181" s="99"/>
      <x:c r="R181" s="99"/>
      <x:c r="S181" s="99"/>
      <x:c r="T181" s="99"/>
      <x:c r="U181" s="99"/>
      <x:c r="V181" s="99"/>
      <x:c r="W181" s="99"/>
      <x:c r="X181" s="99"/>
      <x:c r="Y181" s="99"/>
      <x:c r="Z181" s="99"/>
    </x:row>
    <x:row r="182">
      <x:c r="A182" s="99"/>
      <x:c r="B182" s="99"/>
      <x:c r="C182" s="99"/>
      <x:c r="D182" s="99"/>
      <x:c r="E182" s="99"/>
      <x:c r="F182" s="99"/>
      <x:c r="G182" s="99"/>
      <x:c r="H182" s="99"/>
      <x:c r="I182" s="99"/>
      <x:c r="J182" s="99"/>
      <x:c r="K182" s="99"/>
      <x:c r="L182" s="99"/>
      <x:c r="M182" s="99"/>
      <x:c r="N182" s="99"/>
      <x:c r="O182" s="99"/>
      <x:c r="P182" s="99"/>
      <x:c r="Q182" s="99"/>
      <x:c r="R182" s="99"/>
      <x:c r="S182" s="99"/>
      <x:c r="T182" s="99"/>
      <x:c r="U182" s="99"/>
      <x:c r="V182" s="99"/>
      <x:c r="W182" s="99"/>
      <x:c r="X182" s="99"/>
      <x:c r="Y182" s="99"/>
      <x:c r="Z182" s="99"/>
    </x:row>
    <x:row r="183">
      <x:c r="A183" s="99"/>
      <x:c r="B183" s="99"/>
      <x:c r="C183" s="99"/>
      <x:c r="D183" s="99"/>
      <x:c r="E183" s="99"/>
      <x:c r="F183" s="99"/>
      <x:c r="G183" s="99"/>
      <x:c r="H183" s="99"/>
      <x:c r="I183" s="99"/>
      <x:c r="J183" s="99"/>
      <x:c r="K183" s="99"/>
      <x:c r="L183" s="99"/>
      <x:c r="M183" s="99"/>
      <x:c r="N183" s="99"/>
      <x:c r="O183" s="99"/>
      <x:c r="P183" s="99"/>
      <x:c r="Q183" s="99"/>
      <x:c r="R183" s="99"/>
      <x:c r="S183" s="99"/>
      <x:c r="T183" s="99"/>
      <x:c r="U183" s="99"/>
      <x:c r="V183" s="99"/>
      <x:c r="W183" s="99"/>
      <x:c r="X183" s="99"/>
      <x:c r="Y183" s="99"/>
      <x:c r="Z183" s="99"/>
    </x:row>
    <x:row r="184">
      <x:c r="A184" s="99"/>
      <x:c r="B184" s="99"/>
      <x:c r="C184" s="99"/>
      <x:c r="D184" s="99"/>
      <x:c r="E184" s="99"/>
      <x:c r="F184" s="99"/>
      <x:c r="G184" s="99"/>
      <x:c r="H184" s="99"/>
      <x:c r="I184" s="99"/>
      <x:c r="J184" s="99"/>
      <x:c r="K184" s="99"/>
      <x:c r="L184" s="99"/>
      <x:c r="M184" s="99"/>
      <x:c r="N184" s="99"/>
      <x:c r="O184" s="99"/>
      <x:c r="P184" s="99"/>
      <x:c r="Q184" s="99"/>
      <x:c r="R184" s="99"/>
      <x:c r="S184" s="99"/>
      <x:c r="T184" s="99"/>
      <x:c r="U184" s="99"/>
      <x:c r="V184" s="99"/>
      <x:c r="W184" s="99"/>
      <x:c r="X184" s="99"/>
      <x:c r="Y184" s="99"/>
      <x:c r="Z184" s="99"/>
    </x:row>
    <x:row r="185">
      <x:c r="A185" s="99"/>
      <x:c r="B185" s="99"/>
      <x:c r="C185" s="99"/>
      <x:c r="D185" s="99"/>
      <x:c r="E185" s="99"/>
      <x:c r="F185" s="99"/>
      <x:c r="G185" s="99"/>
      <x:c r="H185" s="99"/>
      <x:c r="I185" s="99"/>
      <x:c r="J185" s="99"/>
      <x:c r="K185" s="99"/>
      <x:c r="L185" s="99"/>
      <x:c r="M185" s="99"/>
      <x:c r="N185" s="99"/>
      <x:c r="O185" s="99"/>
      <x:c r="P185" s="99"/>
      <x:c r="Q185" s="99"/>
      <x:c r="R185" s="99"/>
      <x:c r="S185" s="99"/>
      <x:c r="T185" s="99"/>
      <x:c r="U185" s="99"/>
      <x:c r="V185" s="99"/>
      <x:c r="W185" s="99"/>
      <x:c r="X185" s="99"/>
      <x:c r="Y185" s="99"/>
      <x:c r="Z185" s="99"/>
    </x:row>
    <x:row r="186">
      <x:c r="A186" s="99"/>
      <x:c r="B186" s="99"/>
      <x:c r="C186" s="99"/>
      <x:c r="D186" s="99"/>
      <x:c r="E186" s="99"/>
      <x:c r="F186" s="99"/>
      <x:c r="G186" s="99"/>
      <x:c r="H186" s="99"/>
      <x:c r="I186" s="99"/>
      <x:c r="J186" s="99"/>
      <x:c r="K186" s="99"/>
      <x:c r="L186" s="99"/>
      <x:c r="M186" s="99"/>
      <x:c r="N186" s="99"/>
      <x:c r="O186" s="99"/>
      <x:c r="P186" s="99"/>
      <x:c r="Q186" s="99"/>
      <x:c r="R186" s="99"/>
      <x:c r="S186" s="99"/>
      <x:c r="T186" s="99"/>
      <x:c r="U186" s="99"/>
      <x:c r="V186" s="99"/>
      <x:c r="W186" s="99"/>
      <x:c r="X186" s="99"/>
      <x:c r="Y186" s="99"/>
      <x:c r="Z186" s="99"/>
    </x:row>
    <x:row r="187">
      <x:c r="A187" s="99"/>
      <x:c r="B187" s="99"/>
      <x:c r="C187" s="99"/>
      <x:c r="D187" s="99"/>
      <x:c r="E187" s="99"/>
      <x:c r="F187" s="99"/>
      <x:c r="G187" s="99"/>
      <x:c r="H187" s="99"/>
      <x:c r="I187" s="99"/>
      <x:c r="J187" s="99"/>
      <x:c r="K187" s="99"/>
      <x:c r="L187" s="99"/>
      <x:c r="M187" s="99"/>
      <x:c r="N187" s="99"/>
      <x:c r="O187" s="99"/>
      <x:c r="P187" s="99"/>
      <x:c r="Q187" s="99"/>
      <x:c r="R187" s="99"/>
      <x:c r="S187" s="99"/>
      <x:c r="T187" s="99"/>
      <x:c r="U187" s="99"/>
      <x:c r="V187" s="99"/>
      <x:c r="W187" s="99"/>
      <x:c r="X187" s="99"/>
      <x:c r="Y187" s="99"/>
      <x:c r="Z187" s="99"/>
    </x:row>
    <x:row r="188">
      <x:c r="A188" s="99"/>
      <x:c r="B188" s="99"/>
      <x:c r="C188" s="99"/>
      <x:c r="D188" s="99"/>
      <x:c r="E188" s="99"/>
      <x:c r="F188" s="99"/>
      <x:c r="G188" s="99"/>
      <x:c r="H188" s="99"/>
      <x:c r="I188" s="99"/>
      <x:c r="J188" s="99"/>
      <x:c r="K188" s="99"/>
      <x:c r="L188" s="99"/>
      <x:c r="M188" s="99"/>
      <x:c r="N188" s="99"/>
      <x:c r="O188" s="99"/>
      <x:c r="P188" s="99"/>
      <x:c r="Q188" s="99"/>
      <x:c r="R188" s="99"/>
      <x:c r="S188" s="99"/>
      <x:c r="T188" s="99"/>
      <x:c r="U188" s="99"/>
      <x:c r="V188" s="99"/>
      <x:c r="W188" s="99"/>
      <x:c r="X188" s="99"/>
      <x:c r="Y188" s="99"/>
      <x:c r="Z188" s="99"/>
    </x:row>
    <x:row r="189">
      <x:c r="A189" s="99"/>
      <x:c r="B189" s="99"/>
      <x:c r="C189" s="99"/>
      <x:c r="D189" s="99"/>
      <x:c r="E189" s="99"/>
      <x:c r="F189" s="99"/>
      <x:c r="G189" s="99"/>
      <x:c r="H189" s="99"/>
      <x:c r="I189" s="99"/>
      <x:c r="J189" s="99"/>
      <x:c r="K189" s="99"/>
      <x:c r="L189" s="99"/>
      <x:c r="M189" s="99"/>
      <x:c r="N189" s="99"/>
      <x:c r="O189" s="99"/>
      <x:c r="P189" s="99"/>
      <x:c r="Q189" s="99"/>
      <x:c r="R189" s="99"/>
      <x:c r="S189" s="99"/>
      <x:c r="T189" s="99"/>
      <x:c r="U189" s="99"/>
      <x:c r="V189" s="99"/>
      <x:c r="W189" s="99"/>
      <x:c r="X189" s="99"/>
      <x:c r="Y189" s="99"/>
      <x:c r="Z189" s="99"/>
    </x:row>
    <x:row r="190">
      <x:c r="A190" s="99"/>
      <x:c r="B190" s="99"/>
      <x:c r="C190" s="99"/>
      <x:c r="D190" s="99"/>
      <x:c r="E190" s="99"/>
      <x:c r="F190" s="99"/>
      <x:c r="G190" s="99"/>
      <x:c r="H190" s="99"/>
      <x:c r="I190" s="99"/>
      <x:c r="J190" s="99"/>
      <x:c r="K190" s="99"/>
      <x:c r="L190" s="99"/>
      <x:c r="M190" s="99"/>
      <x:c r="N190" s="99"/>
      <x:c r="O190" s="99"/>
      <x:c r="P190" s="99"/>
      <x:c r="Q190" s="99"/>
      <x:c r="R190" s="99"/>
      <x:c r="S190" s="99"/>
      <x:c r="T190" s="99"/>
      <x:c r="U190" s="99"/>
      <x:c r="V190" s="99"/>
      <x:c r="W190" s="99"/>
      <x:c r="X190" s="99"/>
      <x:c r="Y190" s="99"/>
      <x:c r="Z190" s="99"/>
    </x:row>
    <x:row r="191">
      <x:c r="A191" s="99"/>
      <x:c r="B191" s="99"/>
      <x:c r="C191" s="99"/>
      <x:c r="D191" s="99"/>
      <x:c r="E191" s="99"/>
      <x:c r="F191" s="99"/>
      <x:c r="G191" s="99"/>
      <x:c r="H191" s="99"/>
      <x:c r="I191" s="99"/>
      <x:c r="J191" s="99"/>
      <x:c r="K191" s="99"/>
      <x:c r="L191" s="99"/>
      <x:c r="M191" s="99"/>
      <x:c r="N191" s="99"/>
      <x:c r="O191" s="99"/>
      <x:c r="P191" s="99"/>
      <x:c r="Q191" s="99"/>
      <x:c r="R191" s="99"/>
      <x:c r="S191" s="99"/>
      <x:c r="T191" s="99"/>
      <x:c r="U191" s="99"/>
      <x:c r="V191" s="99"/>
      <x:c r="W191" s="99"/>
      <x:c r="X191" s="99"/>
      <x:c r="Y191" s="99"/>
      <x:c r="Z191" s="99"/>
    </x:row>
    <x:row r="192">
      <x:c r="A192" s="99"/>
      <x:c r="B192" s="99"/>
      <x:c r="C192" s="99"/>
      <x:c r="D192" s="99"/>
      <x:c r="E192" s="99"/>
      <x:c r="F192" s="99"/>
      <x:c r="G192" s="99"/>
      <x:c r="H192" s="99"/>
      <x:c r="I192" s="99"/>
      <x:c r="J192" s="99"/>
      <x:c r="K192" s="99"/>
      <x:c r="L192" s="99"/>
      <x:c r="M192" s="99"/>
      <x:c r="N192" s="99"/>
      <x:c r="O192" s="99"/>
      <x:c r="P192" s="99"/>
      <x:c r="Q192" s="99"/>
      <x:c r="R192" s="99"/>
      <x:c r="S192" s="99"/>
      <x:c r="T192" s="99"/>
      <x:c r="U192" s="99"/>
      <x:c r="V192" s="99"/>
      <x:c r="W192" s="99"/>
      <x:c r="X192" s="99"/>
      <x:c r="Y192" s="99"/>
      <x:c r="Z192" s="99"/>
    </x:row>
    <x:row r="193">
      <x:c r="A193" s="99"/>
      <x:c r="B193" s="99"/>
      <x:c r="C193" s="99"/>
      <x:c r="D193" s="99"/>
      <x:c r="E193" s="99"/>
      <x:c r="F193" s="99"/>
      <x:c r="G193" s="99"/>
      <x:c r="H193" s="99"/>
      <x:c r="I193" s="99"/>
      <x:c r="J193" s="99"/>
      <x:c r="K193" s="99"/>
      <x:c r="L193" s="99"/>
      <x:c r="M193" s="99"/>
      <x:c r="N193" s="99"/>
      <x:c r="O193" s="99"/>
      <x:c r="P193" s="99"/>
      <x:c r="Q193" s="99"/>
      <x:c r="R193" s="99"/>
      <x:c r="S193" s="99"/>
      <x:c r="T193" s="99"/>
      <x:c r="U193" s="99"/>
      <x:c r="V193" s="99"/>
      <x:c r="W193" s="99"/>
      <x:c r="X193" s="99"/>
      <x:c r="Y193" s="99"/>
      <x:c r="Z193" s="99"/>
    </x:row>
    <x:row r="194">
      <x:c r="A194" s="99"/>
      <x:c r="B194" s="99"/>
      <x:c r="C194" s="99"/>
      <x:c r="D194" s="99"/>
      <x:c r="E194" s="99"/>
      <x:c r="F194" s="99"/>
      <x:c r="G194" s="99"/>
      <x:c r="H194" s="99"/>
      <x:c r="I194" s="99"/>
      <x:c r="J194" s="99"/>
      <x:c r="K194" s="99"/>
      <x:c r="L194" s="99"/>
      <x:c r="M194" s="99"/>
      <x:c r="N194" s="99"/>
      <x:c r="O194" s="99"/>
      <x:c r="P194" s="99"/>
      <x:c r="Q194" s="99"/>
      <x:c r="R194" s="99"/>
      <x:c r="S194" s="99"/>
      <x:c r="T194" s="99"/>
      <x:c r="U194" s="99"/>
      <x:c r="V194" s="99"/>
      <x:c r="W194" s="99"/>
      <x:c r="X194" s="99"/>
      <x:c r="Y194" s="99"/>
      <x:c r="Z194" s="99"/>
    </x:row>
    <x:row r="195">
      <x:c r="A195" s="99"/>
      <x:c r="B195" s="99"/>
      <x:c r="C195" s="99"/>
      <x:c r="D195" s="99"/>
      <x:c r="E195" s="99"/>
      <x:c r="F195" s="99"/>
      <x:c r="G195" s="99"/>
      <x:c r="H195" s="99"/>
      <x:c r="I195" s="99"/>
      <x:c r="J195" s="99"/>
      <x:c r="K195" s="99"/>
      <x:c r="L195" s="99"/>
      <x:c r="M195" s="99"/>
      <x:c r="N195" s="99"/>
      <x:c r="O195" s="99"/>
      <x:c r="P195" s="99"/>
      <x:c r="Q195" s="99"/>
      <x:c r="R195" s="99"/>
      <x:c r="S195" s="99"/>
      <x:c r="T195" s="99"/>
      <x:c r="U195" s="99"/>
      <x:c r="V195" s="99"/>
      <x:c r="W195" s="99"/>
      <x:c r="X195" s="99"/>
      <x:c r="Y195" s="99"/>
      <x:c r="Z195" s="99"/>
    </x:row>
    <x:row r="196">
      <x:c r="A196" s="99"/>
      <x:c r="B196" s="99"/>
      <x:c r="C196" s="99"/>
      <x:c r="D196" s="99"/>
      <x:c r="E196" s="99"/>
      <x:c r="F196" s="99"/>
      <x:c r="G196" s="99"/>
      <x:c r="H196" s="99"/>
      <x:c r="I196" s="99"/>
      <x:c r="J196" s="99"/>
      <x:c r="K196" s="99"/>
      <x:c r="L196" s="99"/>
      <x:c r="M196" s="99"/>
      <x:c r="N196" s="99"/>
      <x:c r="O196" s="99"/>
      <x:c r="P196" s="99"/>
      <x:c r="Q196" s="99"/>
      <x:c r="R196" s="99"/>
      <x:c r="S196" s="99"/>
      <x:c r="T196" s="99"/>
      <x:c r="U196" s="99"/>
      <x:c r="V196" s="99"/>
      <x:c r="W196" s="99"/>
      <x:c r="X196" s="99"/>
      <x:c r="Y196" s="99"/>
      <x:c r="Z196" s="99"/>
    </x:row>
    <x:row r="197">
      <x:c r="A197" s="99"/>
      <x:c r="B197" s="99"/>
      <x:c r="C197" s="99"/>
      <x:c r="D197" s="99"/>
      <x:c r="E197" s="99"/>
      <x:c r="F197" s="99"/>
      <x:c r="G197" s="99"/>
      <x:c r="H197" s="99"/>
      <x:c r="I197" s="99"/>
      <x:c r="J197" s="99"/>
      <x:c r="K197" s="99"/>
      <x:c r="L197" s="99"/>
      <x:c r="M197" s="99"/>
      <x:c r="N197" s="99"/>
      <x:c r="O197" s="99"/>
      <x:c r="P197" s="99"/>
      <x:c r="Q197" s="99"/>
      <x:c r="R197" s="99"/>
      <x:c r="S197" s="99"/>
      <x:c r="T197" s="99"/>
      <x:c r="U197" s="99"/>
      <x:c r="V197" s="99"/>
      <x:c r="W197" s="99"/>
      <x:c r="X197" s="99"/>
      <x:c r="Y197" s="99"/>
      <x:c r="Z197" s="99"/>
    </x:row>
    <x:row r="198">
      <x:c r="A198" s="99"/>
      <x:c r="B198" s="99"/>
      <x:c r="C198" s="99"/>
      <x:c r="D198" s="99"/>
      <x:c r="E198" s="99"/>
      <x:c r="F198" s="99"/>
      <x:c r="G198" s="99"/>
      <x:c r="H198" s="99"/>
      <x:c r="I198" s="99"/>
      <x:c r="J198" s="99"/>
      <x:c r="K198" s="99"/>
      <x:c r="L198" s="99"/>
      <x:c r="M198" s="99"/>
      <x:c r="N198" s="99"/>
      <x:c r="O198" s="99"/>
      <x:c r="P198" s="99"/>
      <x:c r="Q198" s="99"/>
      <x:c r="R198" s="99"/>
      <x:c r="S198" s="99"/>
      <x:c r="T198" s="99"/>
      <x:c r="U198" s="99"/>
      <x:c r="V198" s="99"/>
      <x:c r="W198" s="99"/>
      <x:c r="X198" s="99"/>
      <x:c r="Y198" s="99"/>
      <x:c r="Z198" s="99"/>
    </x:row>
    <x:row r="199">
      <x:c r="A199" s="99"/>
      <x:c r="B199" s="99"/>
      <x:c r="C199" s="99"/>
      <x:c r="D199" s="99"/>
      <x:c r="E199" s="99"/>
      <x:c r="F199" s="99"/>
      <x:c r="G199" s="99"/>
      <x:c r="H199" s="99"/>
      <x:c r="I199" s="99"/>
      <x:c r="J199" s="99"/>
      <x:c r="K199" s="99"/>
      <x:c r="L199" s="99"/>
      <x:c r="M199" s="99"/>
      <x:c r="N199" s="99"/>
      <x:c r="O199" s="99"/>
      <x:c r="P199" s="99"/>
      <x:c r="Q199" s="99"/>
      <x:c r="R199" s="99"/>
      <x:c r="S199" s="99"/>
      <x:c r="T199" s="99"/>
      <x:c r="U199" s="99"/>
      <x:c r="V199" s="99"/>
      <x:c r="W199" s="99"/>
      <x:c r="X199" s="99"/>
      <x:c r="Y199" s="99"/>
      <x:c r="Z199" s="99"/>
    </x:row>
    <x:row r="200">
      <x:c r="A200" s="99"/>
      <x:c r="B200" s="99"/>
      <x:c r="C200" s="99"/>
      <x:c r="D200" s="99"/>
      <x:c r="E200" s="99"/>
      <x:c r="F200" s="99"/>
      <x:c r="G200" s="99"/>
      <x:c r="H200" s="99"/>
      <x:c r="I200" s="99"/>
      <x:c r="J200" s="99"/>
      <x:c r="K200" s="99"/>
      <x:c r="L200" s="99"/>
      <x:c r="M200" s="99"/>
      <x:c r="N200" s="99"/>
      <x:c r="O200" s="99"/>
      <x:c r="P200" s="99"/>
      <x:c r="Q200" s="99"/>
      <x:c r="R200" s="99"/>
      <x:c r="S200" s="99"/>
      <x:c r="T200" s="99"/>
      <x:c r="U200" s="99"/>
      <x:c r="V200" s="99"/>
      <x:c r="W200" s="99"/>
      <x:c r="X200" s="99"/>
      <x:c r="Y200" s="99"/>
      <x:c r="Z200" s="99"/>
    </x:row>
    <x:row r="201">
      <x:c r="A201" s="99"/>
      <x:c r="B201" s="99"/>
      <x:c r="C201" s="99"/>
      <x:c r="D201" s="99"/>
      <x:c r="E201" s="99"/>
      <x:c r="F201" s="99"/>
      <x:c r="G201" s="99"/>
      <x:c r="H201" s="99"/>
      <x:c r="I201" s="99"/>
      <x:c r="J201" s="99"/>
      <x:c r="K201" s="99"/>
      <x:c r="L201" s="99"/>
      <x:c r="M201" s="99"/>
      <x:c r="N201" s="99"/>
      <x:c r="O201" s="99"/>
      <x:c r="P201" s="99"/>
      <x:c r="Q201" s="99"/>
      <x:c r="R201" s="99"/>
      <x:c r="S201" s="99"/>
      <x:c r="T201" s="99"/>
      <x:c r="U201" s="99"/>
      <x:c r="V201" s="99"/>
      <x:c r="W201" s="99"/>
      <x:c r="X201" s="99"/>
      <x:c r="Y201" s="99"/>
      <x:c r="Z201" s="99"/>
    </x:row>
    <x:row r="202">
      <x:c r="A202" s="99"/>
      <x:c r="B202" s="99"/>
      <x:c r="C202" s="99"/>
      <x:c r="D202" s="99"/>
      <x:c r="E202" s="99"/>
      <x:c r="F202" s="99"/>
      <x:c r="G202" s="99"/>
      <x:c r="H202" s="99"/>
      <x:c r="I202" s="99"/>
      <x:c r="J202" s="99"/>
      <x:c r="K202" s="99"/>
      <x:c r="L202" s="99"/>
      <x:c r="M202" s="99"/>
      <x:c r="N202" s="99"/>
      <x:c r="O202" s="99"/>
      <x:c r="P202" s="99"/>
      <x:c r="Q202" s="99"/>
      <x:c r="R202" s="99"/>
      <x:c r="S202" s="99"/>
      <x:c r="T202" s="99"/>
      <x:c r="U202" s="99"/>
      <x:c r="V202" s="99"/>
      <x:c r="W202" s="99"/>
      <x:c r="X202" s="99"/>
      <x:c r="Y202" s="99"/>
      <x:c r="Z202" s="99"/>
    </x:row>
    <x:row r="203">
      <x:c r="A203" s="99"/>
      <x:c r="B203" s="99"/>
      <x:c r="C203" s="99"/>
      <x:c r="D203" s="99"/>
      <x:c r="E203" s="99"/>
      <x:c r="F203" s="99"/>
      <x:c r="G203" s="99"/>
      <x:c r="H203" s="99"/>
      <x:c r="I203" s="99"/>
      <x:c r="J203" s="99"/>
      <x:c r="K203" s="99"/>
      <x:c r="L203" s="99"/>
      <x:c r="M203" s="99"/>
      <x:c r="N203" s="99"/>
      <x:c r="O203" s="99"/>
      <x:c r="P203" s="99"/>
      <x:c r="Q203" s="99"/>
      <x:c r="R203" s="99"/>
      <x:c r="S203" s="99"/>
      <x:c r="T203" s="99"/>
      <x:c r="U203" s="99"/>
      <x:c r="V203" s="99"/>
      <x:c r="W203" s="99"/>
      <x:c r="X203" s="99"/>
      <x:c r="Y203" s="99"/>
      <x:c r="Z203" s="99"/>
    </x:row>
    <x:row r="204">
      <x:c r="A204" s="99"/>
      <x:c r="B204" s="99"/>
      <x:c r="C204" s="99"/>
      <x:c r="D204" s="99"/>
      <x:c r="E204" s="99"/>
      <x:c r="F204" s="99"/>
      <x:c r="G204" s="99"/>
      <x:c r="H204" s="99"/>
      <x:c r="I204" s="99"/>
      <x:c r="J204" s="99"/>
      <x:c r="K204" s="99"/>
      <x:c r="L204" s="99"/>
      <x:c r="M204" s="99"/>
      <x:c r="N204" s="99"/>
      <x:c r="O204" s="99"/>
      <x:c r="P204" s="99"/>
      <x:c r="Q204" s="99"/>
      <x:c r="R204" s="99"/>
      <x:c r="S204" s="99"/>
      <x:c r="T204" s="99"/>
      <x:c r="U204" s="99"/>
      <x:c r="V204" s="99"/>
      <x:c r="W204" s="99"/>
      <x:c r="X204" s="99"/>
      <x:c r="Y204" s="99"/>
      <x:c r="Z204" s="99"/>
    </x:row>
    <x:row r="205">
      <x:c r="A205" s="99"/>
      <x:c r="B205" s="99"/>
      <x:c r="C205" s="99"/>
      <x:c r="D205" s="99"/>
      <x:c r="E205" s="99"/>
      <x:c r="F205" s="99"/>
      <x:c r="G205" s="99"/>
      <x:c r="H205" s="99"/>
      <x:c r="I205" s="99"/>
      <x:c r="J205" s="99"/>
      <x:c r="K205" s="99"/>
      <x:c r="L205" s="99"/>
      <x:c r="M205" s="99"/>
      <x:c r="N205" s="99"/>
      <x:c r="O205" s="99"/>
      <x:c r="P205" s="99"/>
      <x:c r="Q205" s="99"/>
      <x:c r="R205" s="99"/>
      <x:c r="S205" s="99"/>
      <x:c r="T205" s="99"/>
      <x:c r="U205" s="99"/>
      <x:c r="V205" s="99"/>
      <x:c r="W205" s="99"/>
      <x:c r="X205" s="99"/>
      <x:c r="Y205" s="99"/>
      <x:c r="Z205" s="99"/>
    </x:row>
    <x:row r="206">
      <x:c r="A206" s="99"/>
      <x:c r="B206" s="99"/>
      <x:c r="C206" s="99"/>
      <x:c r="D206" s="99"/>
      <x:c r="E206" s="99"/>
      <x:c r="F206" s="99"/>
      <x:c r="G206" s="99"/>
      <x:c r="H206" s="99"/>
      <x:c r="I206" s="99"/>
      <x:c r="J206" s="99"/>
      <x:c r="K206" s="99"/>
      <x:c r="L206" s="99"/>
      <x:c r="M206" s="99"/>
      <x:c r="N206" s="99"/>
      <x:c r="O206" s="99"/>
      <x:c r="P206" s="99"/>
      <x:c r="Q206" s="99"/>
      <x:c r="R206" s="99"/>
      <x:c r="S206" s="99"/>
      <x:c r="T206" s="99"/>
      <x:c r="U206" s="99"/>
      <x:c r="V206" s="99"/>
      <x:c r="W206" s="99"/>
      <x:c r="X206" s="99"/>
      <x:c r="Y206" s="99"/>
      <x:c r="Z206" s="99"/>
    </x:row>
    <x:row r="207">
      <x:c r="A207" s="99"/>
      <x:c r="B207" s="99"/>
      <x:c r="C207" s="99"/>
      <x:c r="D207" s="99"/>
      <x:c r="E207" s="99"/>
      <x:c r="F207" s="99"/>
      <x:c r="G207" s="99"/>
      <x:c r="H207" s="99"/>
      <x:c r="I207" s="99"/>
      <x:c r="J207" s="99"/>
      <x:c r="K207" s="99"/>
      <x:c r="L207" s="99"/>
      <x:c r="M207" s="99"/>
      <x:c r="N207" s="99"/>
      <x:c r="O207" s="99"/>
      <x:c r="P207" s="99"/>
      <x:c r="Q207" s="99"/>
      <x:c r="R207" s="99"/>
      <x:c r="S207" s="99"/>
      <x:c r="T207" s="99"/>
      <x:c r="U207" s="99"/>
      <x:c r="V207" s="99"/>
      <x:c r="W207" s="99"/>
      <x:c r="X207" s="99"/>
      <x:c r="Y207" s="99"/>
      <x:c r="Z207" s="99"/>
    </x:row>
    <x:row r="208">
      <x:c r="A208" s="99"/>
      <x:c r="B208" s="99"/>
      <x:c r="C208" s="99"/>
      <x:c r="D208" s="99"/>
      <x:c r="E208" s="99"/>
      <x:c r="F208" s="99"/>
      <x:c r="G208" s="99"/>
      <x:c r="H208" s="99"/>
      <x:c r="I208" s="99"/>
      <x:c r="J208" s="99"/>
      <x:c r="K208" s="99"/>
      <x:c r="L208" s="99"/>
      <x:c r="M208" s="99"/>
      <x:c r="N208" s="99"/>
      <x:c r="O208" s="99"/>
      <x:c r="P208" s="99"/>
      <x:c r="Q208" s="99"/>
      <x:c r="R208" s="99"/>
      <x:c r="S208" s="99"/>
      <x:c r="T208" s="99"/>
      <x:c r="U208" s="99"/>
      <x:c r="V208" s="99"/>
      <x:c r="W208" s="99"/>
      <x:c r="X208" s="99"/>
      <x:c r="Y208" s="99"/>
      <x:c r="Z208" s="99"/>
    </x:row>
    <x:row r="209">
      <x:c r="A209" s="99"/>
      <x:c r="B209" s="99"/>
      <x:c r="C209" s="99"/>
      <x:c r="D209" s="99"/>
      <x:c r="E209" s="99"/>
      <x:c r="F209" s="99"/>
      <x:c r="G209" s="99"/>
      <x:c r="H209" s="99"/>
      <x:c r="I209" s="99"/>
      <x:c r="J209" s="99"/>
      <x:c r="K209" s="99"/>
      <x:c r="L209" s="99"/>
      <x:c r="M209" s="99"/>
      <x:c r="N209" s="99"/>
      <x:c r="O209" s="99"/>
      <x:c r="P209" s="99"/>
      <x:c r="Q209" s="99"/>
      <x:c r="R209" s="99"/>
      <x:c r="S209" s="99"/>
      <x:c r="T209" s="99"/>
      <x:c r="U209" s="99"/>
      <x:c r="V209" s="99"/>
      <x:c r="W209" s="99"/>
      <x:c r="X209" s="99"/>
      <x:c r="Y209" s="99"/>
      <x:c r="Z209" s="99"/>
    </x:row>
    <x:row r="210">
      <x:c r="A210" s="99"/>
      <x:c r="B210" s="99"/>
      <x:c r="C210" s="99"/>
      <x:c r="D210" s="99"/>
      <x:c r="E210" s="99"/>
      <x:c r="F210" s="99"/>
      <x:c r="G210" s="99"/>
      <x:c r="H210" s="99"/>
      <x:c r="I210" s="99"/>
      <x:c r="J210" s="99"/>
      <x:c r="K210" s="99"/>
      <x:c r="L210" s="99"/>
      <x:c r="M210" s="99"/>
      <x:c r="N210" s="99"/>
      <x:c r="O210" s="99"/>
      <x:c r="P210" s="99"/>
      <x:c r="Q210" s="99"/>
      <x:c r="R210" s="99"/>
      <x:c r="S210" s="99"/>
      <x:c r="T210" s="99"/>
      <x:c r="U210" s="99"/>
      <x:c r="V210" s="99"/>
      <x:c r="W210" s="99"/>
      <x:c r="X210" s="99"/>
      <x:c r="Y210" s="99"/>
      <x:c r="Z210" s="99"/>
    </x:row>
    <x:row r="211">
      <x:c r="A211" s="99"/>
      <x:c r="B211" s="99"/>
      <x:c r="C211" s="99"/>
      <x:c r="D211" s="99"/>
      <x:c r="E211" s="99"/>
      <x:c r="F211" s="99"/>
      <x:c r="G211" s="99"/>
      <x:c r="H211" s="99"/>
      <x:c r="I211" s="99"/>
      <x:c r="J211" s="99"/>
      <x:c r="K211" s="99"/>
      <x:c r="L211" s="99"/>
      <x:c r="M211" s="99"/>
      <x:c r="N211" s="99"/>
      <x:c r="O211" s="99"/>
      <x:c r="P211" s="99"/>
      <x:c r="Q211" s="99"/>
      <x:c r="R211" s="99"/>
      <x:c r="S211" s="99"/>
      <x:c r="T211" s="99"/>
      <x:c r="U211" s="99"/>
      <x:c r="V211" s="99"/>
      <x:c r="W211" s="99"/>
      <x:c r="X211" s="99"/>
      <x:c r="Y211" s="99"/>
      <x:c r="Z211" s="99"/>
    </x:row>
    <x:row r="212">
      <x:c r="A212" s="99"/>
      <x:c r="B212" s="99"/>
      <x:c r="C212" s="99"/>
      <x:c r="D212" s="99"/>
      <x:c r="E212" s="99"/>
      <x:c r="F212" s="99"/>
      <x:c r="G212" s="99"/>
      <x:c r="H212" s="99"/>
      <x:c r="I212" s="99"/>
      <x:c r="J212" s="99"/>
      <x:c r="K212" s="99"/>
      <x:c r="L212" s="99"/>
      <x:c r="M212" s="99"/>
      <x:c r="N212" s="99"/>
      <x:c r="O212" s="99"/>
      <x:c r="P212" s="99"/>
      <x:c r="Q212" s="99"/>
      <x:c r="R212" s="99"/>
      <x:c r="S212" s="99"/>
      <x:c r="T212" s="99"/>
      <x:c r="U212" s="99"/>
      <x:c r="V212" s="99"/>
      <x:c r="W212" s="99"/>
      <x:c r="X212" s="99"/>
      <x:c r="Y212" s="99"/>
      <x:c r="Z212" s="99"/>
    </x:row>
    <x:row r="213">
      <x:c r="A213" s="99"/>
      <x:c r="B213" s="99"/>
      <x:c r="C213" s="99"/>
      <x:c r="D213" s="99"/>
      <x:c r="E213" s="99"/>
      <x:c r="F213" s="99"/>
      <x:c r="G213" s="99"/>
      <x:c r="H213" s="99"/>
      <x:c r="I213" s="99"/>
      <x:c r="J213" s="99"/>
      <x:c r="K213" s="99"/>
      <x:c r="L213" s="99"/>
      <x:c r="M213" s="99"/>
      <x:c r="N213" s="99"/>
      <x:c r="O213" s="99"/>
      <x:c r="P213" s="99"/>
      <x:c r="Q213" s="99"/>
      <x:c r="R213" s="99"/>
      <x:c r="S213" s="99"/>
      <x:c r="T213" s="99"/>
      <x:c r="U213" s="99"/>
      <x:c r="V213" s="99"/>
      <x:c r="W213" s="99"/>
      <x:c r="X213" s="99"/>
      <x:c r="Y213" s="99"/>
      <x:c r="Z213" s="99"/>
    </x:row>
    <x:row r="214">
      <x:c r="A214" s="99"/>
      <x:c r="B214" s="99"/>
      <x:c r="C214" s="99"/>
      <x:c r="D214" s="99"/>
      <x:c r="E214" s="99"/>
      <x:c r="F214" s="99"/>
      <x:c r="G214" s="99"/>
      <x:c r="H214" s="99"/>
      <x:c r="I214" s="99"/>
      <x:c r="J214" s="99"/>
      <x:c r="K214" s="99"/>
      <x:c r="L214" s="99"/>
      <x:c r="M214" s="99"/>
      <x:c r="N214" s="99"/>
      <x:c r="O214" s="99"/>
      <x:c r="P214" s="99"/>
      <x:c r="Q214" s="99"/>
      <x:c r="R214" s="99"/>
      <x:c r="S214" s="99"/>
      <x:c r="T214" s="99"/>
      <x:c r="U214" s="99"/>
      <x:c r="V214" s="99"/>
      <x:c r="W214" s="99"/>
      <x:c r="X214" s="99"/>
      <x:c r="Y214" s="99"/>
      <x:c r="Z214" s="99"/>
    </x:row>
    <x:row r="215">
      <x:c r="A215" s="99"/>
      <x:c r="B215" s="99"/>
      <x:c r="C215" s="99"/>
      <x:c r="D215" s="99"/>
      <x:c r="E215" s="99"/>
      <x:c r="F215" s="99"/>
      <x:c r="G215" s="99"/>
      <x:c r="H215" s="99"/>
      <x:c r="I215" s="99"/>
      <x:c r="J215" s="99"/>
      <x:c r="K215" s="99"/>
      <x:c r="L215" s="99"/>
      <x:c r="M215" s="99"/>
      <x:c r="N215" s="99"/>
      <x:c r="O215" s="99"/>
      <x:c r="P215" s="99"/>
      <x:c r="Q215" s="99"/>
      <x:c r="R215" s="99"/>
      <x:c r="S215" s="99"/>
      <x:c r="T215" s="99"/>
      <x:c r="U215" s="99"/>
      <x:c r="V215" s="99"/>
      <x:c r="W215" s="99"/>
      <x:c r="X215" s="99"/>
      <x:c r="Y215" s="99"/>
      <x:c r="Z215" s="99"/>
    </x:row>
    <x:row r="216">
      <x:c r="A216" s="99"/>
      <x:c r="B216" s="99"/>
      <x:c r="C216" s="99"/>
      <x:c r="D216" s="99"/>
      <x:c r="E216" s="99"/>
      <x:c r="F216" s="99"/>
      <x:c r="G216" s="99"/>
      <x:c r="H216" s="99"/>
      <x:c r="I216" s="99"/>
      <x:c r="J216" s="99"/>
      <x:c r="K216" s="99"/>
      <x:c r="L216" s="99"/>
      <x:c r="M216" s="99"/>
      <x:c r="N216" s="99"/>
      <x:c r="O216" s="99"/>
      <x:c r="P216" s="99"/>
      <x:c r="Q216" s="99"/>
      <x:c r="R216" s="99"/>
      <x:c r="S216" s="99"/>
      <x:c r="T216" s="99"/>
      <x:c r="U216" s="99"/>
      <x:c r="V216" s="99"/>
      <x:c r="W216" s="99"/>
      <x:c r="X216" s="99"/>
      <x:c r="Y216" s="99"/>
      <x:c r="Z216" s="99"/>
    </x:row>
    <x:row r="217">
      <x:c r="A217" s="99"/>
      <x:c r="B217" s="99"/>
      <x:c r="C217" s="99"/>
      <x:c r="D217" s="99"/>
      <x:c r="E217" s="99"/>
      <x:c r="F217" s="99"/>
      <x:c r="G217" s="99"/>
      <x:c r="H217" s="99"/>
      <x:c r="I217" s="99"/>
      <x:c r="J217" s="99"/>
      <x:c r="K217" s="99"/>
      <x:c r="L217" s="99"/>
      <x:c r="M217" s="99"/>
      <x:c r="N217" s="99"/>
      <x:c r="O217" s="99"/>
      <x:c r="P217" s="99"/>
      <x:c r="Q217" s="99"/>
      <x:c r="R217" s="99"/>
      <x:c r="S217" s="99"/>
      <x:c r="T217" s="99"/>
      <x:c r="U217" s="99"/>
      <x:c r="V217" s="99"/>
      <x:c r="W217" s="99"/>
      <x:c r="X217" s="99"/>
      <x:c r="Y217" s="99"/>
      <x:c r="Z217" s="99"/>
    </x:row>
    <x:row r="218">
      <x:c r="A218" s="99"/>
      <x:c r="B218" s="99"/>
      <x:c r="C218" s="99"/>
      <x:c r="D218" s="99"/>
      <x:c r="E218" s="99"/>
      <x:c r="F218" s="99"/>
      <x:c r="G218" s="99"/>
      <x:c r="H218" s="99"/>
      <x:c r="I218" s="99"/>
      <x:c r="J218" s="99"/>
      <x:c r="K218" s="99"/>
      <x:c r="L218" s="99"/>
      <x:c r="M218" s="99"/>
      <x:c r="N218" s="99"/>
      <x:c r="O218" s="99"/>
      <x:c r="P218" s="99"/>
      <x:c r="Q218" s="99"/>
      <x:c r="R218" s="99"/>
      <x:c r="S218" s="99"/>
      <x:c r="T218" s="99"/>
      <x:c r="U218" s="99"/>
      <x:c r="V218" s="99"/>
      <x:c r="W218" s="99"/>
      <x:c r="X218" s="99"/>
      <x:c r="Y218" s="99"/>
      <x:c r="Z218" s="99"/>
    </x:row>
    <x:row r="219">
      <x:c r="A219" s="99"/>
      <x:c r="B219" s="99"/>
      <x:c r="C219" s="99"/>
      <x:c r="D219" s="99"/>
      <x:c r="E219" s="99"/>
      <x:c r="F219" s="99"/>
      <x:c r="G219" s="99"/>
      <x:c r="H219" s="99"/>
      <x:c r="I219" s="99"/>
      <x:c r="J219" s="99"/>
      <x:c r="K219" s="99"/>
      <x:c r="L219" s="99"/>
      <x:c r="M219" s="99"/>
      <x:c r="N219" s="99"/>
      <x:c r="O219" s="99"/>
      <x:c r="P219" s="99"/>
      <x:c r="Q219" s="99"/>
      <x:c r="R219" s="99"/>
      <x:c r="S219" s="99"/>
      <x:c r="T219" s="99"/>
      <x:c r="U219" s="99"/>
      <x:c r="V219" s="99"/>
      <x:c r="W219" s="99"/>
      <x:c r="X219" s="99"/>
      <x:c r="Y219" s="99"/>
      <x:c r="Z219" s="99"/>
    </x:row>
    <x:row r="220">
      <x:c r="A220" s="99"/>
      <x:c r="B220" s="99"/>
      <x:c r="C220" s="99"/>
      <x:c r="D220" s="99"/>
      <x:c r="E220" s="99"/>
      <x:c r="F220" s="99"/>
      <x:c r="G220" s="99"/>
      <x:c r="H220" s="99"/>
      <x:c r="I220" s="99"/>
      <x:c r="J220" s="99"/>
      <x:c r="K220" s="99"/>
      <x:c r="L220" s="99"/>
      <x:c r="M220" s="99"/>
      <x:c r="N220" s="99"/>
      <x:c r="O220" s="99"/>
      <x:c r="P220" s="99"/>
      <x:c r="Q220" s="99"/>
      <x:c r="R220" s="99"/>
      <x:c r="S220" s="99"/>
      <x:c r="T220" s="99"/>
      <x:c r="U220" s="99"/>
      <x:c r="V220" s="99"/>
      <x:c r="W220" s="99"/>
      <x:c r="X220" s="99"/>
      <x:c r="Y220" s="99"/>
      <x:c r="Z220" s="99"/>
    </x:row>
    <x:row r="221">
      <x:c r="A221" s="99"/>
      <x:c r="B221" s="99"/>
      <x:c r="C221" s="99"/>
      <x:c r="D221" s="99"/>
      <x:c r="E221" s="99"/>
      <x:c r="F221" s="99"/>
      <x:c r="G221" s="99"/>
      <x:c r="H221" s="99"/>
      <x:c r="I221" s="99"/>
      <x:c r="J221" s="99"/>
      <x:c r="K221" s="99"/>
      <x:c r="L221" s="99"/>
      <x:c r="M221" s="99"/>
      <x:c r="N221" s="99"/>
      <x:c r="O221" s="99"/>
      <x:c r="P221" s="99"/>
      <x:c r="Q221" s="99"/>
      <x:c r="R221" s="99"/>
      <x:c r="S221" s="99"/>
      <x:c r="T221" s="99"/>
      <x:c r="U221" s="99"/>
      <x:c r="V221" s="99"/>
      <x:c r="W221" s="99"/>
      <x:c r="X221" s="99"/>
      <x:c r="Y221" s="99"/>
      <x:c r="Z221" s="99"/>
    </x:row>
    <x:row r="222">
      <x:c r="A222" s="99"/>
      <x:c r="B222" s="99"/>
      <x:c r="C222" s="99"/>
      <x:c r="D222" s="99"/>
      <x:c r="E222" s="99"/>
      <x:c r="F222" s="99"/>
      <x:c r="G222" s="99"/>
      <x:c r="H222" s="99"/>
      <x:c r="I222" s="99"/>
      <x:c r="J222" s="99"/>
      <x:c r="K222" s="99"/>
      <x:c r="L222" s="99"/>
      <x:c r="M222" s="99"/>
      <x:c r="N222" s="99"/>
      <x:c r="O222" s="99"/>
      <x:c r="P222" s="99"/>
      <x:c r="Q222" s="99"/>
      <x:c r="R222" s="99"/>
      <x:c r="S222" s="99"/>
      <x:c r="T222" s="99"/>
      <x:c r="U222" s="99"/>
      <x:c r="V222" s="99"/>
      <x:c r="W222" s="99"/>
      <x:c r="X222" s="99"/>
      <x:c r="Y222" s="99"/>
      <x:c r="Z222" s="99"/>
    </x:row>
    <x:row r="223">
      <x:c r="A223" s="99"/>
      <x:c r="B223" s="99"/>
      <x:c r="C223" s="99"/>
      <x:c r="D223" s="99"/>
      <x:c r="E223" s="99"/>
      <x:c r="F223" s="99"/>
      <x:c r="G223" s="99"/>
      <x:c r="H223" s="99"/>
      <x:c r="I223" s="99"/>
      <x:c r="J223" s="99"/>
      <x:c r="K223" s="99"/>
      <x:c r="L223" s="99"/>
      <x:c r="M223" s="99"/>
      <x:c r="N223" s="99"/>
      <x:c r="O223" s="99"/>
      <x:c r="P223" s="99"/>
      <x:c r="Q223" s="99"/>
      <x:c r="R223" s="99"/>
      <x:c r="S223" s="99"/>
      <x:c r="T223" s="99"/>
      <x:c r="U223" s="99"/>
      <x:c r="V223" s="99"/>
      <x:c r="W223" s="99"/>
      <x:c r="X223" s="99"/>
      <x:c r="Y223" s="99"/>
      <x:c r="Z223" s="99"/>
    </x:row>
    <x:row r="224">
      <x:c r="A224" s="99"/>
      <x:c r="B224" s="99"/>
      <x:c r="C224" s="99"/>
      <x:c r="D224" s="99"/>
      <x:c r="E224" s="99"/>
      <x:c r="F224" s="99"/>
      <x:c r="G224" s="99"/>
      <x:c r="H224" s="99"/>
      <x:c r="I224" s="99"/>
      <x:c r="J224" s="99"/>
      <x:c r="K224" s="99"/>
      <x:c r="L224" s="99"/>
      <x:c r="M224" s="99"/>
      <x:c r="N224" s="99"/>
      <x:c r="O224" s="99"/>
      <x:c r="P224" s="99"/>
      <x:c r="Q224" s="99"/>
      <x:c r="R224" s="99"/>
      <x:c r="S224" s="99"/>
      <x:c r="T224" s="99"/>
      <x:c r="U224" s="99"/>
      <x:c r="V224" s="99"/>
      <x:c r="W224" s="99"/>
      <x:c r="X224" s="99"/>
      <x:c r="Y224" s="99"/>
      <x:c r="Z224" s="99"/>
    </x:row>
    <x:row r="225">
      <x:c r="A225" s="99"/>
      <x:c r="B225" s="99"/>
      <x:c r="C225" s="99"/>
      <x:c r="D225" s="99"/>
      <x:c r="E225" s="99"/>
      <x:c r="F225" s="99"/>
      <x:c r="G225" s="99"/>
      <x:c r="H225" s="99"/>
      <x:c r="I225" s="99"/>
      <x:c r="J225" s="99"/>
      <x:c r="K225" s="99"/>
      <x:c r="L225" s="99"/>
      <x:c r="M225" s="99"/>
      <x:c r="N225" s="99"/>
      <x:c r="O225" s="99"/>
      <x:c r="P225" s="99"/>
      <x:c r="Q225" s="99"/>
      <x:c r="R225" s="99"/>
      <x:c r="S225" s="99"/>
      <x:c r="T225" s="99"/>
      <x:c r="U225" s="99"/>
      <x:c r="V225" s="99"/>
      <x:c r="W225" s="99"/>
      <x:c r="X225" s="99"/>
      <x:c r="Y225" s="99"/>
      <x:c r="Z225" s="99"/>
    </x:row>
    <x:row r="226">
      <x:c r="A226" s="99"/>
      <x:c r="B226" s="99"/>
      <x:c r="C226" s="99"/>
      <x:c r="D226" s="99"/>
      <x:c r="E226" s="99"/>
      <x:c r="F226" s="99"/>
      <x:c r="G226" s="99"/>
      <x:c r="H226" s="99"/>
      <x:c r="I226" s="99"/>
      <x:c r="J226" s="99"/>
      <x:c r="K226" s="99"/>
      <x:c r="L226" s="99"/>
      <x:c r="M226" s="99"/>
      <x:c r="N226" s="99"/>
      <x:c r="O226" s="99"/>
      <x:c r="P226" s="99"/>
      <x:c r="Q226" s="99"/>
      <x:c r="R226" s="99"/>
      <x:c r="S226" s="99"/>
      <x:c r="T226" s="99"/>
      <x:c r="U226" s="99"/>
      <x:c r="V226" s="99"/>
      <x:c r="W226" s="99"/>
      <x:c r="X226" s="99"/>
      <x:c r="Y226" s="99"/>
      <x:c r="Z226" s="99"/>
    </x:row>
    <x:row r="227">
      <x:c r="A227" s="99"/>
      <x:c r="B227" s="99"/>
      <x:c r="C227" s="99"/>
      <x:c r="D227" s="99"/>
      <x:c r="E227" s="99"/>
      <x:c r="F227" s="99"/>
      <x:c r="G227" s="99"/>
      <x:c r="H227" s="99"/>
      <x:c r="I227" s="99"/>
      <x:c r="J227" s="99"/>
      <x:c r="K227" s="99"/>
      <x:c r="L227" s="99"/>
      <x:c r="M227" s="99"/>
      <x:c r="N227" s="99"/>
      <x:c r="O227" s="99"/>
      <x:c r="P227" s="99"/>
      <x:c r="Q227" s="99"/>
      <x:c r="R227" s="99"/>
      <x:c r="S227" s="99"/>
      <x:c r="T227" s="99"/>
      <x:c r="U227" s="99"/>
      <x:c r="V227" s="99"/>
      <x:c r="W227" s="99"/>
      <x:c r="X227" s="99"/>
      <x:c r="Y227" s="99"/>
      <x:c r="Z227" s="99"/>
    </x:row>
    <x:row r="228">
      <x:c r="A228" s="99"/>
      <x:c r="B228" s="99"/>
      <x:c r="C228" s="99"/>
      <x:c r="D228" s="99"/>
      <x:c r="E228" s="99"/>
      <x:c r="F228" s="99"/>
      <x:c r="G228" s="99"/>
      <x:c r="H228" s="99"/>
      <x:c r="I228" s="99"/>
      <x:c r="J228" s="99"/>
      <x:c r="K228" s="99"/>
      <x:c r="L228" s="99"/>
      <x:c r="M228" s="99"/>
      <x:c r="N228" s="99"/>
      <x:c r="O228" s="99"/>
      <x:c r="P228" s="99"/>
      <x:c r="Q228" s="99"/>
      <x:c r="R228" s="99"/>
      <x:c r="S228" s="99"/>
      <x:c r="T228" s="99"/>
      <x:c r="U228" s="99"/>
      <x:c r="V228" s="99"/>
      <x:c r="W228" s="99"/>
      <x:c r="X228" s="99"/>
      <x:c r="Y228" s="99"/>
      <x:c r="Z228" s="99"/>
    </x:row>
    <x:row r="229">
      <x:c r="A229" s="99"/>
      <x:c r="B229" s="99"/>
      <x:c r="C229" s="99"/>
      <x:c r="D229" s="99"/>
      <x:c r="E229" s="99"/>
      <x:c r="F229" s="99"/>
      <x:c r="G229" s="99"/>
      <x:c r="H229" s="99"/>
      <x:c r="I229" s="99"/>
      <x:c r="J229" s="99"/>
      <x:c r="K229" s="99"/>
      <x:c r="L229" s="99"/>
      <x:c r="M229" s="99"/>
      <x:c r="N229" s="99"/>
      <x:c r="O229" s="99"/>
      <x:c r="P229" s="99"/>
      <x:c r="Q229" s="99"/>
      <x:c r="R229" s="99"/>
      <x:c r="S229" s="99"/>
      <x:c r="T229" s="99"/>
      <x:c r="U229" s="99"/>
      <x:c r="V229" s="99"/>
      <x:c r="W229" s="99"/>
      <x:c r="X229" s="99"/>
      <x:c r="Y229" s="99"/>
      <x:c r="Z229" s="99"/>
    </x:row>
    <x:row r="230">
      <x:c r="A230" s="99"/>
      <x:c r="B230" s="99"/>
      <x:c r="C230" s="99"/>
      <x:c r="D230" s="99"/>
      <x:c r="E230" s="99"/>
      <x:c r="F230" s="99"/>
      <x:c r="G230" s="99"/>
      <x:c r="H230" s="99"/>
      <x:c r="I230" s="99"/>
      <x:c r="J230" s="99"/>
      <x:c r="K230" s="99"/>
      <x:c r="L230" s="99"/>
      <x:c r="M230" s="99"/>
      <x:c r="N230" s="99"/>
      <x:c r="O230" s="99"/>
      <x:c r="P230" s="99"/>
      <x:c r="Q230" s="99"/>
      <x:c r="R230" s="99"/>
      <x:c r="S230" s="99"/>
      <x:c r="T230" s="99"/>
      <x:c r="U230" s="99"/>
      <x:c r="V230" s="99"/>
      <x:c r="W230" s="99"/>
      <x:c r="X230" s="99"/>
      <x:c r="Y230" s="99"/>
      <x:c r="Z230" s="99"/>
    </x:row>
    <x:row r="231">
      <x:c r="A231" s="99"/>
      <x:c r="B231" s="99"/>
      <x:c r="C231" s="99"/>
      <x:c r="D231" s="99"/>
      <x:c r="E231" s="99"/>
      <x:c r="F231" s="99"/>
      <x:c r="G231" s="99"/>
      <x:c r="H231" s="99"/>
      <x:c r="I231" s="99"/>
      <x:c r="J231" s="99"/>
      <x:c r="K231" s="99"/>
      <x:c r="L231" s="99"/>
      <x:c r="M231" s="99"/>
      <x:c r="N231" s="99"/>
      <x:c r="O231" s="99"/>
      <x:c r="P231" s="99"/>
      <x:c r="Q231" s="99"/>
      <x:c r="R231" s="99"/>
      <x:c r="S231" s="99"/>
      <x:c r="T231" s="99"/>
      <x:c r="U231" s="99"/>
      <x:c r="V231" s="99"/>
      <x:c r="W231" s="99"/>
      <x:c r="X231" s="99"/>
      <x:c r="Y231" s="99"/>
      <x:c r="Z231" s="99"/>
    </x:row>
    <x:row r="232">
      <x:c r="A232" s="99"/>
      <x:c r="B232" s="99"/>
      <x:c r="C232" s="99"/>
      <x:c r="D232" s="99"/>
      <x:c r="E232" s="99"/>
      <x:c r="F232" s="99"/>
      <x:c r="G232" s="99"/>
      <x:c r="H232" s="99"/>
      <x:c r="I232" s="99"/>
      <x:c r="J232" s="99"/>
      <x:c r="K232" s="99"/>
      <x:c r="L232" s="99"/>
      <x:c r="M232" s="99"/>
      <x:c r="N232" s="99"/>
      <x:c r="O232" s="99"/>
      <x:c r="P232" s="99"/>
      <x:c r="Q232" s="99"/>
      <x:c r="R232" s="99"/>
      <x:c r="S232" s="99"/>
      <x:c r="T232" s="99"/>
      <x:c r="U232" s="99"/>
      <x:c r="V232" s="99"/>
      <x:c r="W232" s="99"/>
      <x:c r="X232" s="99"/>
      <x:c r="Y232" s="99"/>
      <x:c r="Z232" s="99"/>
    </x:row>
    <x:row r="233">
      <x:c r="A233" s="99"/>
      <x:c r="B233" s="99"/>
      <x:c r="C233" s="99"/>
      <x:c r="D233" s="99"/>
      <x:c r="E233" s="99"/>
      <x:c r="F233" s="99"/>
      <x:c r="G233" s="99"/>
      <x:c r="H233" s="99"/>
      <x:c r="I233" s="99"/>
      <x:c r="J233" s="99"/>
      <x:c r="K233" s="99"/>
      <x:c r="L233" s="99"/>
      <x:c r="M233" s="99"/>
      <x:c r="N233" s="99"/>
      <x:c r="O233" s="99"/>
      <x:c r="P233" s="99"/>
      <x:c r="Q233" s="99"/>
      <x:c r="R233" s="99"/>
      <x:c r="S233" s="99"/>
      <x:c r="T233" s="99"/>
      <x:c r="U233" s="99"/>
      <x:c r="V233" s="99"/>
      <x:c r="W233" s="99"/>
      <x:c r="X233" s="99"/>
      <x:c r="Y233" s="99"/>
      <x:c r="Z233" s="99"/>
    </x:row>
    <x:row r="234">
      <x:c r="A234" s="99"/>
      <x:c r="B234" s="99"/>
      <x:c r="C234" s="99"/>
      <x:c r="D234" s="99"/>
      <x:c r="E234" s="99"/>
      <x:c r="F234" s="99"/>
      <x:c r="G234" s="99"/>
      <x:c r="H234" s="99"/>
      <x:c r="I234" s="99"/>
      <x:c r="J234" s="99"/>
      <x:c r="K234" s="99"/>
      <x:c r="L234" s="99"/>
      <x:c r="M234" s="99"/>
      <x:c r="N234" s="99"/>
      <x:c r="O234" s="99"/>
      <x:c r="P234" s="99"/>
      <x:c r="Q234" s="99"/>
      <x:c r="R234" s="99"/>
      <x:c r="S234" s="99"/>
      <x:c r="T234" s="99"/>
      <x:c r="U234" s="99"/>
      <x:c r="V234" s="99"/>
      <x:c r="W234" s="99"/>
      <x:c r="X234" s="99"/>
      <x:c r="Y234" s="99"/>
      <x:c r="Z234" s="99"/>
    </x:row>
    <x:row r="235">
      <x:c r="A235" s="99"/>
      <x:c r="B235" s="99"/>
      <x:c r="C235" s="99"/>
      <x:c r="D235" s="99"/>
      <x:c r="E235" s="99"/>
      <x:c r="F235" s="99"/>
      <x:c r="G235" s="99"/>
      <x:c r="H235" s="99"/>
      <x:c r="I235" s="99"/>
      <x:c r="J235" s="99"/>
      <x:c r="K235" s="99"/>
      <x:c r="L235" s="99"/>
      <x:c r="M235" s="99"/>
      <x:c r="N235" s="99"/>
      <x:c r="O235" s="99"/>
      <x:c r="P235" s="99"/>
      <x:c r="Q235" s="99"/>
      <x:c r="R235" s="99"/>
      <x:c r="S235" s="99"/>
      <x:c r="T235" s="99"/>
      <x:c r="U235" s="99"/>
      <x:c r="V235" s="99"/>
      <x:c r="W235" s="99"/>
      <x:c r="X235" s="99"/>
      <x:c r="Y235" s="99"/>
      <x:c r="Z235" s="99"/>
    </x:row>
    <x:row r="236">
      <x:c r="A236" s="99"/>
      <x:c r="B236" s="99"/>
      <x:c r="C236" s="99"/>
      <x:c r="D236" s="99"/>
      <x:c r="E236" s="99"/>
      <x:c r="F236" s="99"/>
      <x:c r="G236" s="99"/>
      <x:c r="H236" s="99"/>
      <x:c r="I236" s="99"/>
      <x:c r="J236" s="99"/>
      <x:c r="K236" s="99"/>
      <x:c r="L236" s="99"/>
      <x:c r="M236" s="99"/>
      <x:c r="N236" s="99"/>
      <x:c r="O236" s="99"/>
      <x:c r="P236" s="99"/>
      <x:c r="Q236" s="99"/>
      <x:c r="R236" s="99"/>
      <x:c r="S236" s="99"/>
      <x:c r="T236" s="99"/>
      <x:c r="U236" s="99"/>
      <x:c r="V236" s="99"/>
      <x:c r="W236" s="99"/>
      <x:c r="X236" s="99"/>
      <x:c r="Y236" s="99"/>
      <x:c r="Z236" s="99"/>
    </x:row>
    <x:row r="237">
      <x:c r="A237" s="99"/>
      <x:c r="B237" s="99"/>
      <x:c r="C237" s="99"/>
      <x:c r="D237" s="99"/>
      <x:c r="E237" s="99"/>
      <x:c r="F237" s="99"/>
      <x:c r="G237" s="99"/>
      <x:c r="H237" s="99"/>
      <x:c r="I237" s="99"/>
      <x:c r="J237" s="99"/>
      <x:c r="K237" s="99"/>
      <x:c r="L237" s="99"/>
      <x:c r="M237" s="99"/>
      <x:c r="N237" s="99"/>
      <x:c r="O237" s="99"/>
      <x:c r="P237" s="99"/>
      <x:c r="Q237" s="99"/>
      <x:c r="R237" s="99"/>
      <x:c r="S237" s="99"/>
      <x:c r="T237" s="99"/>
      <x:c r="U237" s="99"/>
      <x:c r="V237" s="99"/>
      <x:c r="W237" s="99"/>
      <x:c r="X237" s="99"/>
      <x:c r="Y237" s="99"/>
      <x:c r="Z237" s="99"/>
    </x:row>
    <x:row r="238">
      <x:c r="A238" s="99"/>
      <x:c r="B238" s="99"/>
      <x:c r="C238" s="99"/>
      <x:c r="D238" s="99"/>
      <x:c r="E238" s="99"/>
      <x:c r="F238" s="99"/>
      <x:c r="G238" s="99"/>
      <x:c r="H238" s="99"/>
      <x:c r="I238" s="99"/>
      <x:c r="J238" s="99"/>
      <x:c r="K238" s="99"/>
      <x:c r="L238" s="99"/>
      <x:c r="M238" s="99"/>
      <x:c r="N238" s="99"/>
      <x:c r="O238" s="99"/>
      <x:c r="P238" s="99"/>
      <x:c r="Q238" s="99"/>
      <x:c r="R238" s="99"/>
      <x:c r="S238" s="99"/>
      <x:c r="T238" s="99"/>
      <x:c r="U238" s="99"/>
      <x:c r="V238" s="99"/>
      <x:c r="W238" s="99"/>
      <x:c r="X238" s="99"/>
      <x:c r="Y238" s="99"/>
      <x:c r="Z238" s="99"/>
    </x:row>
    <x:row r="239">
      <x:c r="A239" s="99"/>
      <x:c r="B239" s="99"/>
      <x:c r="C239" s="99"/>
      <x:c r="D239" s="99"/>
      <x:c r="E239" s="99"/>
      <x:c r="F239" s="99"/>
      <x:c r="G239" s="99"/>
      <x:c r="H239" s="99"/>
      <x:c r="I239" s="99"/>
      <x:c r="J239" s="99"/>
      <x:c r="K239" s="99"/>
      <x:c r="L239" s="99"/>
      <x:c r="M239" s="99"/>
      <x:c r="N239" s="99"/>
      <x:c r="O239" s="99"/>
      <x:c r="P239" s="99"/>
      <x:c r="Q239" s="99"/>
      <x:c r="R239" s="99"/>
      <x:c r="S239" s="99"/>
      <x:c r="T239" s="99"/>
      <x:c r="U239" s="99"/>
      <x:c r="V239" s="99"/>
      <x:c r="W239" s="99"/>
      <x:c r="X239" s="99"/>
      <x:c r="Y239" s="99"/>
      <x:c r="Z239" s="99"/>
    </x:row>
    <x:row r="240">
      <x:c r="A240" s="99"/>
      <x:c r="B240" s="99"/>
      <x:c r="C240" s="99"/>
      <x:c r="D240" s="99"/>
      <x:c r="E240" s="99"/>
      <x:c r="F240" s="99"/>
      <x:c r="G240" s="99"/>
      <x:c r="H240" s="99"/>
      <x:c r="I240" s="99"/>
      <x:c r="J240" s="99"/>
      <x:c r="K240" s="99"/>
      <x:c r="L240" s="99"/>
      <x:c r="M240" s="99"/>
      <x:c r="N240" s="99"/>
      <x:c r="O240" s="99"/>
      <x:c r="P240" s="99"/>
      <x:c r="Q240" s="99"/>
      <x:c r="R240" s="99"/>
      <x:c r="S240" s="99"/>
      <x:c r="T240" s="99"/>
      <x:c r="U240" s="99"/>
      <x:c r="V240" s="99"/>
      <x:c r="W240" s="99"/>
      <x:c r="X240" s="99"/>
      <x:c r="Y240" s="99"/>
      <x:c r="Z240" s="99"/>
    </x:row>
    <x:row r="241">
      <x:c r="A241" s="99"/>
      <x:c r="B241" s="99"/>
      <x:c r="C241" s="99"/>
      <x:c r="D241" s="99"/>
      <x:c r="E241" s="99"/>
      <x:c r="F241" s="99"/>
      <x:c r="G241" s="99"/>
      <x:c r="H241" s="99"/>
      <x:c r="I241" s="99"/>
      <x:c r="J241" s="99"/>
      <x:c r="K241" s="99"/>
      <x:c r="L241" s="99"/>
      <x:c r="M241" s="99"/>
      <x:c r="N241" s="99"/>
      <x:c r="O241" s="99"/>
      <x:c r="P241" s="99"/>
      <x:c r="Q241" s="99"/>
      <x:c r="R241" s="99"/>
      <x:c r="S241" s="99"/>
      <x:c r="T241" s="99"/>
      <x:c r="U241" s="99"/>
      <x:c r="V241" s="99"/>
      <x:c r="W241" s="99"/>
      <x:c r="X241" s="99"/>
      <x:c r="Y241" s="99"/>
      <x:c r="Z241" s="99"/>
    </x:row>
    <x:row r="242">
      <x:c r="A242" s="99"/>
      <x:c r="B242" s="99"/>
      <x:c r="C242" s="99"/>
      <x:c r="D242" s="99"/>
      <x:c r="E242" s="99"/>
      <x:c r="F242" s="99"/>
      <x:c r="G242" s="99"/>
      <x:c r="H242" s="99"/>
      <x:c r="I242" s="99"/>
      <x:c r="J242" s="99"/>
      <x:c r="K242" s="99"/>
      <x:c r="L242" s="99"/>
      <x:c r="M242" s="99"/>
      <x:c r="N242" s="99"/>
      <x:c r="O242" s="99"/>
      <x:c r="P242" s="99"/>
      <x:c r="Q242" s="99"/>
      <x:c r="R242" s="99"/>
      <x:c r="S242" s="99"/>
      <x:c r="T242" s="99"/>
      <x:c r="U242" s="99"/>
      <x:c r="V242" s="99"/>
      <x:c r="W242" s="99"/>
      <x:c r="X242" s="99"/>
      <x:c r="Y242" s="99"/>
      <x:c r="Z242" s="99"/>
    </x:row>
    <x:row r="243">
      <x:c r="A243" s="99"/>
      <x:c r="B243" s="99"/>
      <x:c r="C243" s="99"/>
      <x:c r="D243" s="99"/>
      <x:c r="E243" s="99"/>
      <x:c r="F243" s="99"/>
      <x:c r="G243" s="99"/>
      <x:c r="H243" s="99"/>
      <x:c r="I243" s="99"/>
      <x:c r="J243" s="99"/>
      <x:c r="K243" s="99"/>
      <x:c r="L243" s="99"/>
      <x:c r="M243" s="99"/>
      <x:c r="N243" s="99"/>
      <x:c r="O243" s="99"/>
      <x:c r="P243" s="99"/>
      <x:c r="Q243" s="99"/>
      <x:c r="R243" s="99"/>
      <x:c r="S243" s="99"/>
      <x:c r="T243" s="99"/>
      <x:c r="U243" s="99"/>
      <x:c r="V243" s="99"/>
      <x:c r="W243" s="99"/>
      <x:c r="X243" s="99"/>
      <x:c r="Y243" s="99"/>
      <x:c r="Z243" s="99"/>
    </x:row>
    <x:row r="244">
      <x:c r="A244" s="99"/>
      <x:c r="B244" s="99"/>
      <x:c r="C244" s="99"/>
      <x:c r="D244" s="99"/>
      <x:c r="E244" s="99"/>
      <x:c r="F244" s="99"/>
      <x:c r="G244" s="99"/>
      <x:c r="H244" s="99"/>
      <x:c r="I244" s="99"/>
      <x:c r="J244" s="99"/>
      <x:c r="K244" s="99"/>
      <x:c r="L244" s="99"/>
      <x:c r="M244" s="99"/>
      <x:c r="N244" s="99"/>
      <x:c r="O244" s="99"/>
      <x:c r="P244" s="99"/>
      <x:c r="Q244" s="99"/>
      <x:c r="R244" s="99"/>
      <x:c r="S244" s="99"/>
      <x:c r="T244" s="99"/>
      <x:c r="U244" s="99"/>
      <x:c r="V244" s="99"/>
      <x:c r="W244" s="99"/>
      <x:c r="X244" s="99"/>
      <x:c r="Y244" s="99"/>
      <x:c r="Z244" s="99"/>
    </x:row>
    <x:row r="245">
      <x:c r="A245" s="99"/>
      <x:c r="B245" s="99"/>
      <x:c r="C245" s="99"/>
      <x:c r="D245" s="99"/>
      <x:c r="E245" s="99"/>
      <x:c r="F245" s="99"/>
      <x:c r="G245" s="99"/>
      <x:c r="H245" s="99"/>
      <x:c r="I245" s="99"/>
      <x:c r="J245" s="99"/>
      <x:c r="K245" s="99"/>
      <x:c r="L245" s="99"/>
      <x:c r="M245" s="99"/>
      <x:c r="N245" s="99"/>
      <x:c r="O245" s="99"/>
      <x:c r="P245" s="99"/>
      <x:c r="Q245" s="99"/>
      <x:c r="R245" s="99"/>
      <x:c r="S245" s="99"/>
      <x:c r="T245" s="99"/>
      <x:c r="U245" s="99"/>
      <x:c r="V245" s="99"/>
      <x:c r="W245" s="99"/>
      <x:c r="X245" s="99"/>
      <x:c r="Y245" s="99"/>
      <x:c r="Z245" s="99"/>
    </x:row>
    <x:row r="246">
      <x:c r="A246" s="99"/>
      <x:c r="B246" s="99"/>
      <x:c r="C246" s="99"/>
      <x:c r="D246" s="99"/>
      <x:c r="E246" s="99"/>
      <x:c r="F246" s="99"/>
      <x:c r="G246" s="99"/>
      <x:c r="H246" s="99"/>
      <x:c r="I246" s="99"/>
      <x:c r="J246" s="99"/>
      <x:c r="K246" s="99"/>
      <x:c r="L246" s="99"/>
      <x:c r="M246" s="99"/>
      <x:c r="N246" s="99"/>
      <x:c r="O246" s="99"/>
      <x:c r="P246" s="99"/>
      <x:c r="Q246" s="99"/>
      <x:c r="R246" s="99"/>
      <x:c r="S246" s="99"/>
      <x:c r="T246" s="99"/>
      <x:c r="U246" s="99"/>
      <x:c r="V246" s="99"/>
      <x:c r="W246" s="99"/>
      <x:c r="X246" s="99"/>
      <x:c r="Y246" s="99"/>
      <x:c r="Z246" s="99"/>
    </x:row>
    <x:row r="247">
      <x:c r="A247" s="99"/>
      <x:c r="B247" s="99"/>
      <x:c r="C247" s="99"/>
      <x:c r="D247" s="99"/>
      <x:c r="E247" s="99"/>
      <x:c r="F247" s="99"/>
      <x:c r="G247" s="99"/>
      <x:c r="H247" s="99"/>
      <x:c r="I247" s="99"/>
      <x:c r="J247" s="99"/>
      <x:c r="K247" s="99"/>
      <x:c r="L247" s="99"/>
      <x:c r="M247" s="99"/>
      <x:c r="N247" s="99"/>
      <x:c r="O247" s="99"/>
      <x:c r="P247" s="99"/>
      <x:c r="Q247" s="99"/>
      <x:c r="R247" s="99"/>
      <x:c r="S247" s="99"/>
      <x:c r="T247" s="99"/>
      <x:c r="U247" s="99"/>
      <x:c r="V247" s="99"/>
      <x:c r="W247" s="99"/>
      <x:c r="X247" s="99"/>
      <x:c r="Y247" s="99"/>
      <x:c r="Z247" s="99"/>
    </x:row>
    <x:row r="248">
      <x:c r="A248" s="99"/>
      <x:c r="B248" s="99"/>
      <x:c r="C248" s="99"/>
      <x:c r="D248" s="99"/>
      <x:c r="E248" s="99"/>
      <x:c r="F248" s="99"/>
      <x:c r="G248" s="99"/>
      <x:c r="H248" s="99"/>
      <x:c r="I248" s="99"/>
      <x:c r="J248" s="99"/>
      <x:c r="K248" s="99"/>
      <x:c r="L248" s="99"/>
      <x:c r="M248" s="99"/>
      <x:c r="N248" s="99"/>
      <x:c r="O248" s="99"/>
      <x:c r="P248" s="99"/>
      <x:c r="Q248" s="99"/>
      <x:c r="R248" s="99"/>
      <x:c r="S248" s="99"/>
      <x:c r="T248" s="99"/>
      <x:c r="U248" s="99"/>
      <x:c r="V248" s="99"/>
      <x:c r="W248" s="99"/>
      <x:c r="X248" s="99"/>
      <x:c r="Y248" s="99"/>
      <x:c r="Z248" s="99"/>
    </x:row>
    <x:row r="249">
      <x:c r="A249" s="99"/>
      <x:c r="B249" s="99"/>
      <x:c r="C249" s="99"/>
      <x:c r="D249" s="99"/>
      <x:c r="E249" s="99"/>
      <x:c r="F249" s="99"/>
      <x:c r="G249" s="99"/>
      <x:c r="H249" s="99"/>
      <x:c r="I249" s="99"/>
      <x:c r="J249" s="99"/>
      <x:c r="K249" s="99"/>
      <x:c r="L249" s="99"/>
      <x:c r="M249" s="99"/>
      <x:c r="N249" s="99"/>
      <x:c r="O249" s="99"/>
      <x:c r="P249" s="99"/>
      <x:c r="Q249" s="99"/>
      <x:c r="R249" s="99"/>
      <x:c r="S249" s="99"/>
      <x:c r="T249" s="99"/>
      <x:c r="U249" s="99"/>
      <x:c r="V249" s="99"/>
      <x:c r="W249" s="99"/>
      <x:c r="X249" s="99"/>
      <x:c r="Y249" s="99"/>
      <x:c r="Z249" s="99"/>
    </x:row>
    <x:row r="250">
      <x:c r="A250" s="99"/>
      <x:c r="B250" s="99"/>
      <x:c r="C250" s="99"/>
      <x:c r="D250" s="99"/>
      <x:c r="E250" s="99"/>
      <x:c r="F250" s="99"/>
      <x:c r="G250" s="99"/>
      <x:c r="H250" s="99"/>
      <x:c r="I250" s="99"/>
      <x:c r="J250" s="99"/>
      <x:c r="K250" s="99"/>
      <x:c r="L250" s="99"/>
      <x:c r="M250" s="99"/>
      <x:c r="N250" s="99"/>
      <x:c r="O250" s="99"/>
      <x:c r="P250" s="99"/>
      <x:c r="Q250" s="99"/>
      <x:c r="R250" s="99"/>
      <x:c r="S250" s="99"/>
      <x:c r="T250" s="99"/>
      <x:c r="U250" s="99"/>
      <x:c r="V250" s="99"/>
      <x:c r="W250" s="99"/>
      <x:c r="X250" s="99"/>
      <x:c r="Y250" s="99"/>
      <x:c r="Z250" s="99"/>
    </x:row>
    <x:row r="251">
      <x:c r="A251" s="99"/>
      <x:c r="B251" s="99"/>
      <x:c r="C251" s="99"/>
      <x:c r="D251" s="99"/>
      <x:c r="E251" s="99"/>
      <x:c r="F251" s="99"/>
      <x:c r="G251" s="99"/>
      <x:c r="H251" s="99"/>
      <x:c r="I251" s="99"/>
      <x:c r="J251" s="99"/>
      <x:c r="K251" s="99"/>
      <x:c r="L251" s="99"/>
      <x:c r="M251" s="99"/>
      <x:c r="N251" s="99"/>
      <x:c r="O251" s="99"/>
      <x:c r="P251" s="99"/>
      <x:c r="Q251" s="99"/>
      <x:c r="R251" s="99"/>
      <x:c r="S251" s="99"/>
      <x:c r="T251" s="99"/>
      <x:c r="U251" s="99"/>
      <x:c r="V251" s="99"/>
      <x:c r="W251" s="99"/>
      <x:c r="X251" s="99"/>
      <x:c r="Y251" s="99"/>
      <x:c r="Z251" s="99"/>
    </x:row>
    <x:row r="252">
      <x:c r="A252" s="99"/>
      <x:c r="B252" s="99"/>
      <x:c r="C252" s="99"/>
      <x:c r="D252" s="99"/>
      <x:c r="E252" s="99"/>
      <x:c r="F252" s="99"/>
      <x:c r="G252" s="99"/>
      <x:c r="H252" s="99"/>
      <x:c r="I252" s="99"/>
      <x:c r="J252" s="99"/>
      <x:c r="K252" s="99"/>
      <x:c r="L252" s="99"/>
      <x:c r="M252" s="99"/>
      <x:c r="N252" s="99"/>
      <x:c r="O252" s="99"/>
      <x:c r="P252" s="99"/>
      <x:c r="Q252" s="99"/>
      <x:c r="R252" s="99"/>
      <x:c r="S252" s="99"/>
      <x:c r="T252" s="99"/>
      <x:c r="U252" s="99"/>
      <x:c r="V252" s="99"/>
      <x:c r="W252" s="99"/>
      <x:c r="X252" s="99"/>
      <x:c r="Y252" s="99"/>
      <x:c r="Z252" s="99"/>
    </x:row>
    <x:row r="253">
      <x:c r="A253" s="99"/>
      <x:c r="B253" s="99"/>
      <x:c r="C253" s="99"/>
      <x:c r="D253" s="99"/>
      <x:c r="E253" s="99"/>
      <x:c r="F253" s="99"/>
      <x:c r="G253" s="99"/>
      <x:c r="H253" s="99"/>
      <x:c r="I253" s="99"/>
      <x:c r="J253" s="99"/>
      <x:c r="K253" s="99"/>
      <x:c r="L253" s="99"/>
      <x:c r="M253" s="99"/>
      <x:c r="N253" s="99"/>
      <x:c r="O253" s="99"/>
      <x:c r="P253" s="99"/>
      <x:c r="Q253" s="99"/>
      <x:c r="R253" s="99"/>
      <x:c r="S253" s="99"/>
      <x:c r="T253" s="99"/>
      <x:c r="U253" s="99"/>
      <x:c r="V253" s="99"/>
      <x:c r="W253" s="99"/>
      <x:c r="X253" s="99"/>
      <x:c r="Y253" s="99"/>
      <x:c r="Z253" s="99"/>
    </x:row>
    <x:row r="254">
      <x:c r="A254" s="99"/>
      <x:c r="B254" s="99"/>
      <x:c r="C254" s="99"/>
      <x:c r="D254" s="99"/>
      <x:c r="E254" s="99"/>
      <x:c r="F254" s="99"/>
      <x:c r="G254" s="99"/>
      <x:c r="H254" s="99"/>
      <x:c r="I254" s="99"/>
      <x:c r="J254" s="99"/>
      <x:c r="K254" s="99"/>
      <x:c r="L254" s="99"/>
      <x:c r="M254" s="99"/>
      <x:c r="N254" s="99"/>
      <x:c r="O254" s="99"/>
      <x:c r="P254" s="99"/>
      <x:c r="Q254" s="99"/>
      <x:c r="R254" s="99"/>
      <x:c r="S254" s="99"/>
      <x:c r="T254" s="99"/>
      <x:c r="U254" s="99"/>
      <x:c r="V254" s="99"/>
      <x:c r="W254" s="99"/>
      <x:c r="X254" s="99"/>
      <x:c r="Y254" s="99"/>
      <x:c r="Z254" s="99"/>
    </x:row>
    <x:row r="255">
      <x:c r="A255" s="99"/>
      <x:c r="B255" s="99"/>
      <x:c r="C255" s="99"/>
      <x:c r="D255" s="99"/>
      <x:c r="E255" s="99"/>
      <x:c r="F255" s="99"/>
      <x:c r="G255" s="99"/>
      <x:c r="H255" s="99"/>
      <x:c r="I255" s="99"/>
      <x:c r="J255" s="99"/>
      <x:c r="K255" s="99"/>
      <x:c r="L255" s="99"/>
      <x:c r="M255" s="99"/>
      <x:c r="N255" s="99"/>
      <x:c r="O255" s="99"/>
      <x:c r="P255" s="99"/>
      <x:c r="Q255" s="99"/>
      <x:c r="R255" s="99"/>
      <x:c r="S255" s="99"/>
      <x:c r="T255" s="99"/>
      <x:c r="U255" s="99"/>
      <x:c r="V255" s="99"/>
      <x:c r="W255" s="99"/>
      <x:c r="X255" s="99"/>
      <x:c r="Y255" s="99"/>
      <x:c r="Z255" s="99"/>
    </x:row>
    <x:row r="256">
      <x:c r="A256" s="99"/>
      <x:c r="B256" s="99"/>
      <x:c r="C256" s="99"/>
      <x:c r="D256" s="99"/>
      <x:c r="E256" s="99"/>
      <x:c r="F256" s="99"/>
      <x:c r="G256" s="99"/>
      <x:c r="H256" s="99"/>
      <x:c r="I256" s="99"/>
      <x:c r="J256" s="99"/>
      <x:c r="K256" s="99"/>
      <x:c r="L256" s="99"/>
      <x:c r="M256" s="99"/>
      <x:c r="N256" s="99"/>
      <x:c r="O256" s="99"/>
      <x:c r="P256" s="99"/>
      <x:c r="Q256" s="99"/>
      <x:c r="R256" s="99"/>
      <x:c r="S256" s="99"/>
      <x:c r="T256" s="99"/>
      <x:c r="U256" s="99"/>
      <x:c r="V256" s="99"/>
      <x:c r="W256" s="99"/>
      <x:c r="X256" s="99"/>
      <x:c r="Y256" s="99"/>
      <x:c r="Z256" s="99"/>
    </x:row>
    <x:row r="257">
      <x:c r="A257" s="99"/>
      <x:c r="B257" s="99"/>
      <x:c r="C257" s="99"/>
      <x:c r="D257" s="99"/>
      <x:c r="E257" s="99"/>
      <x:c r="F257" s="99"/>
      <x:c r="G257" s="99"/>
      <x:c r="H257" s="99"/>
      <x:c r="I257" s="99"/>
      <x:c r="J257" s="99"/>
      <x:c r="K257" s="99"/>
      <x:c r="L257" s="99"/>
      <x:c r="M257" s="99"/>
      <x:c r="N257" s="99"/>
      <x:c r="O257" s="99"/>
      <x:c r="P257" s="99"/>
      <x:c r="Q257" s="99"/>
      <x:c r="R257" s="99"/>
      <x:c r="S257" s="99"/>
      <x:c r="T257" s="99"/>
      <x:c r="U257" s="99"/>
      <x:c r="V257" s="99"/>
      <x:c r="W257" s="99"/>
      <x:c r="X257" s="99"/>
      <x:c r="Y257" s="99"/>
      <x:c r="Z257" s="99"/>
    </x:row>
    <x:row r="258">
      <x:c r="A258" s="99"/>
      <x:c r="B258" s="99"/>
      <x:c r="C258" s="99"/>
      <x:c r="D258" s="99"/>
      <x:c r="E258" s="99"/>
      <x:c r="F258" s="99"/>
      <x:c r="G258" s="99"/>
      <x:c r="H258" s="99"/>
      <x:c r="I258" s="99"/>
      <x:c r="J258" s="99"/>
      <x:c r="K258" s="99"/>
      <x:c r="L258" s="99"/>
      <x:c r="M258" s="99"/>
      <x:c r="N258" s="99"/>
      <x:c r="O258" s="99"/>
      <x:c r="P258" s="99"/>
      <x:c r="Q258" s="99"/>
      <x:c r="R258" s="99"/>
      <x:c r="S258" s="99"/>
      <x:c r="T258" s="99"/>
      <x:c r="U258" s="99"/>
      <x:c r="V258" s="99"/>
      <x:c r="W258" s="99"/>
      <x:c r="X258" s="99"/>
      <x:c r="Y258" s="99"/>
      <x:c r="Z258" s="99"/>
    </x:row>
    <x:row r="259">
      <x:c r="A259" s="99"/>
      <x:c r="B259" s="99"/>
      <x:c r="C259" s="99"/>
      <x:c r="D259" s="99"/>
      <x:c r="E259" s="99"/>
      <x:c r="F259" s="99"/>
      <x:c r="G259" s="99"/>
      <x:c r="H259" s="99"/>
      <x:c r="I259" s="99"/>
      <x:c r="J259" s="99"/>
      <x:c r="K259" s="99"/>
      <x:c r="L259" s="99"/>
      <x:c r="M259" s="99"/>
      <x:c r="N259" s="99"/>
      <x:c r="O259" s="99"/>
      <x:c r="P259" s="99"/>
      <x:c r="Q259" s="99"/>
      <x:c r="R259" s="99"/>
      <x:c r="S259" s="99"/>
      <x:c r="T259" s="99"/>
      <x:c r="U259" s="99"/>
      <x:c r="V259" s="99"/>
      <x:c r="W259" s="99"/>
      <x:c r="X259" s="99"/>
      <x:c r="Y259" s="99"/>
      <x:c r="Z259" s="99"/>
    </x:row>
    <x:row r="260">
      <x:c r="A260" s="99"/>
      <x:c r="B260" s="99"/>
      <x:c r="C260" s="99"/>
      <x:c r="D260" s="99"/>
      <x:c r="E260" s="99"/>
      <x:c r="F260" s="99"/>
      <x:c r="G260" s="99"/>
      <x:c r="H260" s="99"/>
      <x:c r="I260" s="99"/>
      <x:c r="J260" s="99"/>
      <x:c r="K260" s="99"/>
      <x:c r="L260" s="99"/>
      <x:c r="M260" s="99"/>
      <x:c r="N260" s="99"/>
      <x:c r="O260" s="99"/>
      <x:c r="P260" s="99"/>
      <x:c r="Q260" s="99"/>
      <x:c r="R260" s="99"/>
      <x:c r="S260" s="99"/>
      <x:c r="T260" s="99"/>
      <x:c r="U260" s="99"/>
      <x:c r="V260" s="99"/>
      <x:c r="W260" s="99"/>
      <x:c r="X260" s="99"/>
      <x:c r="Y260" s="99"/>
      <x:c r="Z260" s="99"/>
    </x:row>
    <x:row r="261">
      <x:c r="A261" s="99"/>
      <x:c r="B261" s="99"/>
      <x:c r="C261" s="99"/>
      <x:c r="D261" s="99"/>
      <x:c r="E261" s="99"/>
      <x:c r="F261" s="99"/>
      <x:c r="G261" s="99"/>
      <x:c r="H261" s="99"/>
      <x:c r="I261" s="99"/>
      <x:c r="J261" s="99"/>
      <x:c r="K261" s="99"/>
      <x:c r="L261" s="99"/>
      <x:c r="M261" s="99"/>
      <x:c r="N261" s="99"/>
      <x:c r="O261" s="99"/>
      <x:c r="P261" s="99"/>
      <x:c r="Q261" s="99"/>
      <x:c r="R261" s="99"/>
      <x:c r="S261" s="99"/>
      <x:c r="T261" s="99"/>
      <x:c r="U261" s="99"/>
      <x:c r="V261" s="99"/>
      <x:c r="W261" s="99"/>
      <x:c r="X261" s="99"/>
      <x:c r="Y261" s="99"/>
      <x:c r="Z261" s="99"/>
    </x:row>
    <x:row r="262">
      <x:c r="A262" s="99"/>
      <x:c r="B262" s="99"/>
      <x:c r="C262" s="99"/>
      <x:c r="D262" s="99"/>
      <x:c r="E262" s="99"/>
      <x:c r="F262" s="99"/>
      <x:c r="G262" s="99"/>
      <x:c r="H262" s="99"/>
      <x:c r="I262" s="99"/>
      <x:c r="J262" s="99"/>
      <x:c r="K262" s="99"/>
      <x:c r="L262" s="99"/>
      <x:c r="M262" s="99"/>
      <x:c r="N262" s="99"/>
      <x:c r="O262" s="99"/>
      <x:c r="P262" s="99"/>
      <x:c r="Q262" s="99"/>
      <x:c r="R262" s="99"/>
      <x:c r="S262" s="99"/>
      <x:c r="T262" s="99"/>
      <x:c r="U262" s="99"/>
      <x:c r="V262" s="99"/>
      <x:c r="W262" s="99"/>
      <x:c r="X262" s="99"/>
      <x:c r="Y262" s="99"/>
      <x:c r="Z262" s="99"/>
    </x:row>
    <x:row r="263">
      <x:c r="A263" s="99"/>
      <x:c r="B263" s="99"/>
      <x:c r="C263" s="99"/>
      <x:c r="D263" s="99"/>
      <x:c r="E263" s="99"/>
      <x:c r="F263" s="99"/>
      <x:c r="G263" s="99"/>
      <x:c r="H263" s="99"/>
      <x:c r="I263" s="99"/>
      <x:c r="J263" s="99"/>
      <x:c r="K263" s="99"/>
      <x:c r="L263" s="99"/>
      <x:c r="M263" s="99"/>
      <x:c r="N263" s="99"/>
      <x:c r="O263" s="99"/>
      <x:c r="P263" s="99"/>
      <x:c r="Q263" s="99"/>
      <x:c r="R263" s="99"/>
      <x:c r="S263" s="99"/>
      <x:c r="T263" s="99"/>
      <x:c r="U263" s="99"/>
      <x:c r="V263" s="99"/>
      <x:c r="W263" s="99"/>
      <x:c r="X263" s="99"/>
      <x:c r="Y263" s="99"/>
      <x:c r="Z263" s="99"/>
    </x:row>
    <x:row r="264">
      <x:c r="A264" s="99"/>
      <x:c r="B264" s="99"/>
      <x:c r="C264" s="99"/>
      <x:c r="D264" s="99"/>
      <x:c r="E264" s="99"/>
      <x:c r="F264" s="99"/>
      <x:c r="G264" s="99"/>
      <x:c r="H264" s="99"/>
      <x:c r="I264" s="99"/>
      <x:c r="J264" s="99"/>
      <x:c r="K264" s="99"/>
      <x:c r="L264" s="99"/>
      <x:c r="M264" s="99"/>
      <x:c r="N264" s="99"/>
      <x:c r="O264" s="99"/>
      <x:c r="P264" s="99"/>
      <x:c r="Q264" s="99"/>
      <x:c r="R264" s="99"/>
      <x:c r="S264" s="99"/>
      <x:c r="T264" s="99"/>
      <x:c r="U264" s="99"/>
      <x:c r="V264" s="99"/>
      <x:c r="W264" s="99"/>
      <x:c r="X264" s="99"/>
      <x:c r="Y264" s="99"/>
      <x:c r="Z264" s="99"/>
    </x:row>
    <x:row r="265">
      <x:c r="A265" s="99"/>
      <x:c r="B265" s="99"/>
      <x:c r="C265" s="99"/>
      <x:c r="D265" s="99"/>
      <x:c r="E265" s="99"/>
      <x:c r="F265" s="99"/>
      <x:c r="G265" s="99"/>
      <x:c r="H265" s="99"/>
      <x:c r="I265" s="99"/>
      <x:c r="J265" s="99"/>
      <x:c r="K265" s="99"/>
      <x:c r="L265" s="99"/>
      <x:c r="M265" s="99"/>
      <x:c r="N265" s="99"/>
      <x:c r="O265" s="99"/>
      <x:c r="P265" s="99"/>
      <x:c r="Q265" s="99"/>
      <x:c r="R265" s="99"/>
      <x:c r="S265" s="99"/>
      <x:c r="T265" s="99"/>
      <x:c r="U265" s="99"/>
      <x:c r="V265" s="99"/>
      <x:c r="W265" s="99"/>
      <x:c r="X265" s="99"/>
      <x:c r="Y265" s="99"/>
      <x:c r="Z265" s="99"/>
    </x:row>
    <x:row r="266">
      <x:c r="A266" s="99"/>
      <x:c r="B266" s="99"/>
      <x:c r="C266" s="99"/>
      <x:c r="D266" s="99"/>
      <x:c r="E266" s="99"/>
      <x:c r="F266" s="99"/>
      <x:c r="G266" s="99"/>
      <x:c r="H266" s="99"/>
      <x:c r="I266" s="99"/>
      <x:c r="J266" s="99"/>
      <x:c r="K266" s="99"/>
      <x:c r="L266" s="99"/>
      <x:c r="M266" s="99"/>
      <x:c r="N266" s="99"/>
      <x:c r="O266" s="99"/>
      <x:c r="P266" s="99"/>
      <x:c r="Q266" s="99"/>
      <x:c r="R266" s="99"/>
      <x:c r="S266" s="99"/>
      <x:c r="T266" s="99"/>
      <x:c r="U266" s="99"/>
      <x:c r="V266" s="99"/>
      <x:c r="W266" s="99"/>
      <x:c r="X266" s="99"/>
      <x:c r="Y266" s="99"/>
      <x:c r="Z266" s="99"/>
    </x:row>
    <x:row r="267">
      <x:c r="A267" s="99"/>
      <x:c r="B267" s="99"/>
      <x:c r="C267" s="99"/>
      <x:c r="D267" s="99"/>
      <x:c r="E267" s="99"/>
      <x:c r="F267" s="99"/>
      <x:c r="G267" s="99"/>
      <x:c r="H267" s="99"/>
      <x:c r="I267" s="99"/>
      <x:c r="J267" s="99"/>
      <x:c r="K267" s="99"/>
      <x:c r="L267" s="99"/>
      <x:c r="M267" s="99"/>
      <x:c r="N267" s="99"/>
      <x:c r="O267" s="99"/>
      <x:c r="P267" s="99"/>
      <x:c r="Q267" s="99"/>
      <x:c r="R267" s="99"/>
      <x:c r="S267" s="99"/>
      <x:c r="T267" s="99"/>
      <x:c r="U267" s="99"/>
      <x:c r="V267" s="99"/>
      <x:c r="W267" s="99"/>
      <x:c r="X267" s="99"/>
      <x:c r="Y267" s="99"/>
      <x:c r="Z267" s="99"/>
    </x:row>
    <x:row r="268">
      <x:c r="A268" s="99"/>
      <x:c r="B268" s="99"/>
      <x:c r="C268" s="99"/>
      <x:c r="D268" s="99"/>
      <x:c r="E268" s="99"/>
      <x:c r="F268" s="99"/>
      <x:c r="G268" s="99"/>
      <x:c r="H268" s="99"/>
      <x:c r="I268" s="99"/>
      <x:c r="J268" s="99"/>
      <x:c r="K268" s="99"/>
      <x:c r="L268" s="99"/>
      <x:c r="M268" s="99"/>
      <x:c r="N268" s="99"/>
      <x:c r="O268" s="99"/>
      <x:c r="P268" s="99"/>
      <x:c r="Q268" s="99"/>
      <x:c r="R268" s="99"/>
      <x:c r="S268" s="99"/>
      <x:c r="T268" s="99"/>
      <x:c r="U268" s="99"/>
      <x:c r="V268" s="99"/>
      <x:c r="W268" s="99"/>
      <x:c r="X268" s="99"/>
      <x:c r="Y268" s="99"/>
      <x:c r="Z268" s="99"/>
    </x:row>
    <x:row r="269">
      <x:c r="A269" s="99"/>
      <x:c r="B269" s="99"/>
      <x:c r="C269" s="99"/>
      <x:c r="D269" s="99"/>
      <x:c r="E269" s="99"/>
      <x:c r="F269" s="99"/>
      <x:c r="G269" s="99"/>
      <x:c r="H269" s="99"/>
      <x:c r="I269" s="99"/>
      <x:c r="J269" s="99"/>
      <x:c r="K269" s="99"/>
      <x:c r="L269" s="99"/>
      <x:c r="M269" s="99"/>
      <x:c r="N269" s="99"/>
      <x:c r="O269" s="99"/>
      <x:c r="P269" s="99"/>
      <x:c r="Q269" s="99"/>
      <x:c r="R269" s="99"/>
      <x:c r="S269" s="99"/>
      <x:c r="T269" s="99"/>
      <x:c r="U269" s="99"/>
      <x:c r="V269" s="99"/>
      <x:c r="W269" s="99"/>
      <x:c r="X269" s="99"/>
      <x:c r="Y269" s="99"/>
      <x:c r="Z269" s="99"/>
    </x:row>
    <x:row r="270">
      <x:c r="A270" s="99"/>
      <x:c r="B270" s="99"/>
      <x:c r="C270" s="99"/>
      <x:c r="D270" s="99"/>
      <x:c r="E270" s="99"/>
      <x:c r="F270" s="99"/>
      <x:c r="G270" s="99"/>
      <x:c r="H270" s="99"/>
      <x:c r="I270" s="99"/>
      <x:c r="J270" s="99"/>
      <x:c r="K270" s="99"/>
      <x:c r="L270" s="99"/>
      <x:c r="M270" s="99"/>
      <x:c r="N270" s="99"/>
      <x:c r="O270" s="99"/>
      <x:c r="P270" s="99"/>
      <x:c r="Q270" s="99"/>
      <x:c r="R270" s="99"/>
      <x:c r="S270" s="99"/>
      <x:c r="T270" s="99"/>
      <x:c r="U270" s="99"/>
      <x:c r="V270" s="99"/>
      <x:c r="W270" s="99"/>
      <x:c r="X270" s="99"/>
      <x:c r="Y270" s="99"/>
      <x:c r="Z270" s="99"/>
    </x:row>
    <x:row r="271">
      <x:c r="A271" s="99"/>
      <x:c r="B271" s="99"/>
      <x:c r="C271" s="99"/>
      <x:c r="D271" s="99"/>
      <x:c r="E271" s="99"/>
      <x:c r="F271" s="99"/>
      <x:c r="G271" s="99"/>
      <x:c r="H271" s="99"/>
      <x:c r="I271" s="99"/>
      <x:c r="J271" s="99"/>
      <x:c r="K271" s="99"/>
      <x:c r="L271" s="99"/>
      <x:c r="M271" s="99"/>
      <x:c r="N271" s="99"/>
      <x:c r="O271" s="99"/>
      <x:c r="P271" s="99"/>
      <x:c r="Q271" s="99"/>
      <x:c r="R271" s="99"/>
      <x:c r="S271" s="99"/>
      <x:c r="T271" s="99"/>
      <x:c r="U271" s="99"/>
      <x:c r="V271" s="99"/>
      <x:c r="W271" s="99"/>
      <x:c r="X271" s="99"/>
      <x:c r="Y271" s="99"/>
      <x:c r="Z271" s="99"/>
    </x:row>
    <x:row r="272">
      <x:c r="A272" s="99"/>
      <x:c r="B272" s="99"/>
      <x:c r="C272" s="99"/>
      <x:c r="D272" s="99"/>
      <x:c r="E272" s="99"/>
      <x:c r="F272" s="99"/>
      <x:c r="G272" s="99"/>
      <x:c r="H272" s="99"/>
      <x:c r="I272" s="99"/>
      <x:c r="J272" s="99"/>
      <x:c r="K272" s="99"/>
      <x:c r="L272" s="99"/>
      <x:c r="M272" s="99"/>
      <x:c r="N272" s="99"/>
      <x:c r="O272" s="99"/>
      <x:c r="P272" s="99"/>
      <x:c r="Q272" s="99"/>
      <x:c r="R272" s="99"/>
      <x:c r="S272" s="99"/>
      <x:c r="T272" s="99"/>
      <x:c r="U272" s="99"/>
      <x:c r="V272" s="99"/>
      <x:c r="W272" s="99"/>
      <x:c r="X272" s="99"/>
      <x:c r="Y272" s="99"/>
      <x:c r="Z272" s="99"/>
    </x:row>
    <x:row r="273">
      <x:c r="A273" s="99"/>
      <x:c r="B273" s="99"/>
      <x:c r="C273" s="99"/>
      <x:c r="D273" s="99"/>
      <x:c r="E273" s="99"/>
      <x:c r="F273" s="99"/>
      <x:c r="G273" s="99"/>
      <x:c r="H273" s="99"/>
      <x:c r="I273" s="99"/>
      <x:c r="J273" s="99"/>
      <x:c r="K273" s="99"/>
      <x:c r="L273" s="99"/>
      <x:c r="M273" s="99"/>
      <x:c r="N273" s="99"/>
      <x:c r="O273" s="99"/>
      <x:c r="P273" s="99"/>
      <x:c r="Q273" s="99"/>
      <x:c r="R273" s="99"/>
      <x:c r="S273" s="99"/>
      <x:c r="T273" s="99"/>
      <x:c r="U273" s="99"/>
      <x:c r="V273" s="99"/>
      <x:c r="W273" s="99"/>
      <x:c r="X273" s="99"/>
      <x:c r="Y273" s="99"/>
      <x:c r="Z273" s="99"/>
    </x:row>
    <x:row r="274">
      <x:c r="A274" s="99"/>
      <x:c r="B274" s="99"/>
      <x:c r="C274" s="99"/>
      <x:c r="D274" s="99"/>
      <x:c r="E274" s="99"/>
      <x:c r="F274" s="99"/>
      <x:c r="G274" s="99"/>
      <x:c r="H274" s="99"/>
      <x:c r="I274" s="99"/>
      <x:c r="J274" s="99"/>
      <x:c r="K274" s="99"/>
      <x:c r="L274" s="99"/>
      <x:c r="M274" s="99"/>
      <x:c r="N274" s="99"/>
      <x:c r="O274" s="99"/>
      <x:c r="P274" s="99"/>
      <x:c r="Q274" s="99"/>
      <x:c r="R274" s="99"/>
      <x:c r="S274" s="99"/>
      <x:c r="T274" s="99"/>
      <x:c r="U274" s="99"/>
      <x:c r="V274" s="99"/>
      <x:c r="W274" s="99"/>
      <x:c r="X274" s="99"/>
      <x:c r="Y274" s="99"/>
      <x:c r="Z274" s="99"/>
    </x:row>
    <x:row r="275">
      <x:c r="A275" s="99"/>
      <x:c r="B275" s="99"/>
      <x:c r="C275" s="99"/>
      <x:c r="D275" s="99"/>
      <x:c r="E275" s="99"/>
      <x:c r="F275" s="99"/>
      <x:c r="G275" s="99"/>
      <x:c r="H275" s="99"/>
      <x:c r="I275" s="99"/>
      <x:c r="J275" s="99"/>
      <x:c r="K275" s="99"/>
      <x:c r="L275" s="99"/>
      <x:c r="M275" s="99"/>
      <x:c r="N275" s="99"/>
      <x:c r="O275" s="99"/>
      <x:c r="P275" s="99"/>
      <x:c r="Q275" s="99"/>
      <x:c r="R275" s="99"/>
      <x:c r="S275" s="99"/>
      <x:c r="T275" s="99"/>
      <x:c r="U275" s="99"/>
      <x:c r="V275" s="99"/>
      <x:c r="W275" s="99"/>
      <x:c r="X275" s="99"/>
      <x:c r="Y275" s="99"/>
      <x:c r="Z275" s="99"/>
    </x:row>
    <x:row r="276">
      <x:c r="A276" s="99"/>
      <x:c r="B276" s="99"/>
      <x:c r="C276" s="99"/>
      <x:c r="D276" s="99"/>
      <x:c r="E276" s="99"/>
      <x:c r="F276" s="99"/>
      <x:c r="G276" s="99"/>
      <x:c r="H276" s="99"/>
      <x:c r="I276" s="99"/>
      <x:c r="J276" s="99"/>
      <x:c r="K276" s="99"/>
      <x:c r="L276" s="99"/>
      <x:c r="M276" s="99"/>
      <x:c r="N276" s="99"/>
      <x:c r="O276" s="99"/>
      <x:c r="P276" s="99"/>
      <x:c r="Q276" s="99"/>
      <x:c r="R276" s="99"/>
      <x:c r="S276" s="99"/>
      <x:c r="T276" s="99"/>
      <x:c r="U276" s="99"/>
      <x:c r="V276" s="99"/>
      <x:c r="W276" s="99"/>
      <x:c r="X276" s="99"/>
      <x:c r="Y276" s="99"/>
      <x:c r="Z276" s="99"/>
    </x:row>
    <x:row r="277">
      <x:c r="A277" s="99"/>
      <x:c r="B277" s="99"/>
      <x:c r="C277" s="99"/>
      <x:c r="D277" s="99"/>
      <x:c r="E277" s="99"/>
      <x:c r="F277" s="99"/>
      <x:c r="G277" s="99"/>
      <x:c r="H277" s="99"/>
      <x:c r="I277" s="99"/>
      <x:c r="J277" s="99"/>
      <x:c r="K277" s="99"/>
      <x:c r="L277" s="99"/>
      <x:c r="M277" s="99"/>
      <x:c r="N277" s="99"/>
      <x:c r="O277" s="99"/>
      <x:c r="P277" s="99"/>
      <x:c r="Q277" s="99"/>
      <x:c r="R277" s="99"/>
      <x:c r="S277" s="99"/>
      <x:c r="T277" s="99"/>
      <x:c r="U277" s="99"/>
      <x:c r="V277" s="99"/>
      <x:c r="W277" s="99"/>
      <x:c r="X277" s="99"/>
      <x:c r="Y277" s="99"/>
      <x:c r="Z277" s="99"/>
    </x:row>
    <x:row r="278">
      <x:c r="A278" s="99"/>
      <x:c r="B278" s="99"/>
      <x:c r="C278" s="99"/>
      <x:c r="D278" s="99"/>
      <x:c r="E278" s="99"/>
      <x:c r="F278" s="99"/>
      <x:c r="G278" s="99"/>
      <x:c r="H278" s="99"/>
      <x:c r="I278" s="99"/>
      <x:c r="J278" s="99"/>
      <x:c r="K278" s="99"/>
      <x:c r="L278" s="99"/>
      <x:c r="M278" s="99"/>
      <x:c r="N278" s="99"/>
      <x:c r="O278" s="99"/>
      <x:c r="P278" s="99"/>
      <x:c r="Q278" s="99"/>
      <x:c r="R278" s="99"/>
      <x:c r="S278" s="99"/>
      <x:c r="T278" s="99"/>
      <x:c r="U278" s="99"/>
      <x:c r="V278" s="99"/>
      <x:c r="W278" s="99"/>
      <x:c r="X278" s="99"/>
      <x:c r="Y278" s="99"/>
      <x:c r="Z278" s="99"/>
    </x:row>
    <x:row r="279">
      <x:c r="A279" s="99"/>
      <x:c r="B279" s="99"/>
      <x:c r="C279" s="99"/>
      <x:c r="D279" s="99"/>
      <x:c r="E279" s="99"/>
      <x:c r="F279" s="99"/>
      <x:c r="G279" s="99"/>
      <x:c r="H279" s="99"/>
      <x:c r="I279" s="99"/>
      <x:c r="J279" s="99"/>
      <x:c r="K279" s="99"/>
      <x:c r="L279" s="99"/>
      <x:c r="M279" s="99"/>
      <x:c r="N279" s="99"/>
      <x:c r="O279" s="99"/>
      <x:c r="P279" s="99"/>
      <x:c r="Q279" s="99"/>
      <x:c r="R279" s="99"/>
      <x:c r="S279" s="99"/>
      <x:c r="T279" s="99"/>
      <x:c r="U279" s="99"/>
      <x:c r="V279" s="99"/>
      <x:c r="W279" s="99"/>
      <x:c r="X279" s="99"/>
      <x:c r="Y279" s="99"/>
      <x:c r="Z279" s="99"/>
    </x:row>
    <x:row r="280">
      <x:c r="A280" s="99"/>
      <x:c r="B280" s="99"/>
      <x:c r="C280" s="99"/>
      <x:c r="D280" s="99"/>
      <x:c r="E280" s="99"/>
      <x:c r="F280" s="99"/>
      <x:c r="G280" s="99"/>
      <x:c r="H280" s="99"/>
      <x:c r="I280" s="99"/>
      <x:c r="J280" s="99"/>
      <x:c r="K280" s="99"/>
      <x:c r="L280" s="99"/>
      <x:c r="M280" s="99"/>
      <x:c r="N280" s="99"/>
      <x:c r="O280" s="99"/>
      <x:c r="P280" s="99"/>
      <x:c r="Q280" s="99"/>
      <x:c r="R280" s="99"/>
      <x:c r="S280" s="99"/>
      <x:c r="T280" s="99"/>
      <x:c r="U280" s="99"/>
      <x:c r="V280" s="99"/>
      <x:c r="W280" s="99"/>
      <x:c r="X280" s="99"/>
      <x:c r="Y280" s="99"/>
      <x:c r="Z280" s="99"/>
    </x:row>
    <x:row r="281">
      <x:c r="A281" s="99"/>
      <x:c r="B281" s="99"/>
      <x:c r="C281" s="99"/>
      <x:c r="D281" s="99"/>
      <x:c r="E281" s="99"/>
      <x:c r="F281" s="99"/>
      <x:c r="G281" s="99"/>
      <x:c r="H281" s="99"/>
      <x:c r="I281" s="99"/>
      <x:c r="J281" s="99"/>
      <x:c r="K281" s="99"/>
      <x:c r="L281" s="99"/>
      <x:c r="M281" s="99"/>
      <x:c r="N281" s="99"/>
      <x:c r="O281" s="99"/>
      <x:c r="P281" s="99"/>
      <x:c r="Q281" s="99"/>
      <x:c r="R281" s="99"/>
      <x:c r="S281" s="99"/>
      <x:c r="T281" s="99"/>
      <x:c r="U281" s="99"/>
      <x:c r="V281" s="99"/>
      <x:c r="W281" s="99"/>
      <x:c r="X281" s="99"/>
      <x:c r="Y281" s="99"/>
      <x:c r="Z281" s="99"/>
    </x:row>
    <x:row r="282">
      <x:c r="A282" s="99"/>
      <x:c r="B282" s="99"/>
      <x:c r="C282" s="99"/>
      <x:c r="D282" s="99"/>
      <x:c r="E282" s="99"/>
      <x:c r="F282" s="99"/>
      <x:c r="G282" s="99"/>
      <x:c r="H282" s="99"/>
      <x:c r="I282" s="99"/>
      <x:c r="J282" s="99"/>
      <x:c r="K282" s="99"/>
      <x:c r="L282" s="99"/>
      <x:c r="M282" s="99"/>
      <x:c r="N282" s="99"/>
      <x:c r="O282" s="99"/>
      <x:c r="P282" s="99"/>
      <x:c r="Q282" s="99"/>
      <x:c r="R282" s="99"/>
      <x:c r="S282" s="99"/>
      <x:c r="T282" s="99"/>
      <x:c r="U282" s="99"/>
      <x:c r="V282" s="99"/>
      <x:c r="W282" s="99"/>
      <x:c r="X282" s="99"/>
      <x:c r="Y282" s="99"/>
      <x:c r="Z282" s="99"/>
    </x:row>
    <x:row r="283">
      <x:c r="A283" s="99"/>
      <x:c r="B283" s="99"/>
      <x:c r="C283" s="99"/>
      <x:c r="D283" s="99"/>
      <x:c r="E283" s="99"/>
      <x:c r="F283" s="99"/>
      <x:c r="G283" s="99"/>
      <x:c r="H283" s="99"/>
      <x:c r="I283" s="99"/>
      <x:c r="J283" s="99"/>
      <x:c r="K283" s="99"/>
      <x:c r="L283" s="99"/>
      <x:c r="M283" s="99"/>
      <x:c r="N283" s="99"/>
      <x:c r="O283" s="99"/>
      <x:c r="P283" s="99"/>
      <x:c r="Q283" s="99"/>
      <x:c r="R283" s="99"/>
      <x:c r="S283" s="99"/>
      <x:c r="T283" s="99"/>
      <x:c r="U283" s="99"/>
      <x:c r="V283" s="99"/>
      <x:c r="W283" s="99"/>
      <x:c r="X283" s="99"/>
      <x:c r="Y283" s="99"/>
      <x:c r="Z283" s="99"/>
    </x:row>
    <x:row r="284">
      <x:c r="A284" s="99"/>
      <x:c r="B284" s="99"/>
      <x:c r="C284" s="99"/>
      <x:c r="D284" s="99"/>
      <x:c r="E284" s="99"/>
      <x:c r="F284" s="99"/>
      <x:c r="G284" s="99"/>
      <x:c r="H284" s="99"/>
      <x:c r="I284" s="99"/>
      <x:c r="J284" s="99"/>
      <x:c r="K284" s="99"/>
      <x:c r="L284" s="99"/>
      <x:c r="M284" s="99"/>
      <x:c r="N284" s="99"/>
      <x:c r="O284" s="99"/>
      <x:c r="P284" s="99"/>
      <x:c r="Q284" s="99"/>
      <x:c r="R284" s="99"/>
      <x:c r="S284" s="99"/>
      <x:c r="T284" s="99"/>
      <x:c r="U284" s="99"/>
      <x:c r="V284" s="99"/>
      <x:c r="W284" s="99"/>
      <x:c r="X284" s="99"/>
      <x:c r="Y284" s="99"/>
      <x:c r="Z284" s="99"/>
    </x:row>
    <x:row r="285">
      <x:c r="A285" s="99"/>
      <x:c r="B285" s="99"/>
      <x:c r="C285" s="99"/>
      <x:c r="D285" s="99"/>
      <x:c r="E285" s="99"/>
      <x:c r="F285" s="99"/>
      <x:c r="G285" s="99"/>
      <x:c r="H285" s="99"/>
      <x:c r="I285" s="99"/>
      <x:c r="J285" s="99"/>
      <x:c r="K285" s="99"/>
      <x:c r="L285" s="99"/>
      <x:c r="M285" s="99"/>
      <x:c r="N285" s="99"/>
      <x:c r="O285" s="99"/>
      <x:c r="P285" s="99"/>
      <x:c r="Q285" s="99"/>
      <x:c r="R285" s="99"/>
      <x:c r="S285" s="99"/>
      <x:c r="T285" s="99"/>
      <x:c r="U285" s="99"/>
      <x:c r="V285" s="99"/>
      <x:c r="W285" s="99"/>
      <x:c r="X285" s="99"/>
      <x:c r="Y285" s="99"/>
      <x:c r="Z285" s="99"/>
    </x:row>
    <x:row r="286">
      <x:c r="A286" s="99"/>
      <x:c r="B286" s="99"/>
      <x:c r="C286" s="99"/>
      <x:c r="D286" s="99"/>
      <x:c r="E286" s="99"/>
      <x:c r="F286" s="99"/>
      <x:c r="G286" s="99"/>
      <x:c r="H286" s="99"/>
      <x:c r="I286" s="99"/>
      <x:c r="J286" s="99"/>
      <x:c r="K286" s="99"/>
      <x:c r="L286" s="99"/>
      <x:c r="M286" s="99"/>
      <x:c r="N286" s="99"/>
      <x:c r="O286" s="99"/>
      <x:c r="P286" s="99"/>
      <x:c r="Q286" s="99"/>
      <x:c r="R286" s="99"/>
      <x:c r="S286" s="99"/>
      <x:c r="T286" s="99"/>
      <x:c r="U286" s="99"/>
      <x:c r="V286" s="99"/>
      <x:c r="W286" s="99"/>
      <x:c r="X286" s="99"/>
      <x:c r="Y286" s="99"/>
      <x:c r="Z286" s="99"/>
    </x:row>
    <x:row r="287">
      <x:c r="A287" s="99"/>
      <x:c r="B287" s="99"/>
      <x:c r="C287" s="99"/>
      <x:c r="D287" s="99"/>
      <x:c r="E287" s="99"/>
      <x:c r="F287" s="99"/>
      <x:c r="G287" s="99"/>
      <x:c r="H287" s="99"/>
      <x:c r="I287" s="99"/>
      <x:c r="J287" s="99"/>
      <x:c r="K287" s="99"/>
      <x:c r="L287" s="99"/>
      <x:c r="M287" s="99"/>
      <x:c r="N287" s="99"/>
      <x:c r="O287" s="99"/>
      <x:c r="P287" s="99"/>
      <x:c r="Q287" s="99"/>
      <x:c r="R287" s="99"/>
      <x:c r="S287" s="99"/>
      <x:c r="T287" s="99"/>
      <x:c r="U287" s="99"/>
      <x:c r="V287" s="99"/>
      <x:c r="W287" s="99"/>
      <x:c r="X287" s="99"/>
      <x:c r="Y287" s="99"/>
      <x:c r="Z287" s="99"/>
    </x:row>
    <x:row r="288">
      <x:c r="A288" s="99"/>
      <x:c r="B288" s="99"/>
      <x:c r="C288" s="99"/>
      <x:c r="D288" s="99"/>
      <x:c r="E288" s="99"/>
      <x:c r="F288" s="99"/>
      <x:c r="G288" s="99"/>
      <x:c r="H288" s="99"/>
      <x:c r="I288" s="99"/>
      <x:c r="J288" s="99"/>
      <x:c r="K288" s="99"/>
      <x:c r="L288" s="99"/>
      <x:c r="M288" s="99"/>
      <x:c r="N288" s="99"/>
      <x:c r="O288" s="99"/>
      <x:c r="P288" s="99"/>
      <x:c r="Q288" s="99"/>
      <x:c r="R288" s="99"/>
      <x:c r="S288" s="99"/>
      <x:c r="T288" s="99"/>
      <x:c r="U288" s="99"/>
      <x:c r="V288" s="99"/>
      <x:c r="W288" s="99"/>
      <x:c r="X288" s="99"/>
      <x:c r="Y288" s="99"/>
      <x:c r="Z288" s="99"/>
    </x:row>
    <x:row r="289">
      <x:c r="A289" s="99"/>
      <x:c r="B289" s="99"/>
      <x:c r="C289" s="99"/>
      <x:c r="D289" s="99"/>
      <x:c r="E289" s="99"/>
      <x:c r="F289" s="99"/>
      <x:c r="G289" s="99"/>
      <x:c r="H289" s="99"/>
      <x:c r="I289" s="99"/>
      <x:c r="J289" s="99"/>
      <x:c r="K289" s="99"/>
      <x:c r="L289" s="99"/>
      <x:c r="M289" s="99"/>
      <x:c r="N289" s="99"/>
      <x:c r="O289" s="99"/>
      <x:c r="P289" s="99"/>
      <x:c r="Q289" s="99"/>
      <x:c r="R289" s="99"/>
      <x:c r="S289" s="99"/>
      <x:c r="T289" s="99"/>
      <x:c r="U289" s="99"/>
      <x:c r="V289" s="99"/>
      <x:c r="W289" s="99"/>
      <x:c r="X289" s="99"/>
      <x:c r="Y289" s="99"/>
      <x:c r="Z289" s="99"/>
    </x:row>
    <x:row r="290">
      <x:c r="A290" s="99"/>
      <x:c r="B290" s="99"/>
      <x:c r="C290" s="99"/>
      <x:c r="D290" s="99"/>
      <x:c r="E290" s="99"/>
      <x:c r="F290" s="99"/>
      <x:c r="G290" s="99"/>
      <x:c r="H290" s="99"/>
      <x:c r="I290" s="99"/>
      <x:c r="J290" s="99"/>
      <x:c r="K290" s="99"/>
      <x:c r="L290" s="99"/>
      <x:c r="M290" s="99"/>
      <x:c r="N290" s="99"/>
      <x:c r="O290" s="99"/>
      <x:c r="P290" s="99"/>
      <x:c r="Q290" s="99"/>
      <x:c r="R290" s="99"/>
      <x:c r="S290" s="99"/>
      <x:c r="T290" s="99"/>
      <x:c r="U290" s="99"/>
      <x:c r="V290" s="99"/>
      <x:c r="W290" s="99"/>
      <x:c r="X290" s="99"/>
      <x:c r="Y290" s="99"/>
      <x:c r="Z290" s="99"/>
    </x:row>
    <x:row r="291">
      <x:c r="A291" s="99"/>
      <x:c r="B291" s="99"/>
      <x:c r="C291" s="99"/>
      <x:c r="D291" s="99"/>
      <x:c r="E291" s="99"/>
      <x:c r="F291" s="99"/>
      <x:c r="G291" s="99"/>
      <x:c r="H291" s="99"/>
      <x:c r="I291" s="99"/>
      <x:c r="J291" s="99"/>
      <x:c r="K291" s="99"/>
      <x:c r="L291" s="99"/>
      <x:c r="M291" s="99"/>
      <x:c r="N291" s="99"/>
      <x:c r="O291" s="99"/>
      <x:c r="P291" s="99"/>
      <x:c r="Q291" s="99"/>
      <x:c r="R291" s="99"/>
      <x:c r="S291" s="99"/>
      <x:c r="T291" s="99"/>
      <x:c r="U291" s="99"/>
      <x:c r="V291" s="99"/>
      <x:c r="W291" s="99"/>
      <x:c r="X291" s="99"/>
      <x:c r="Y291" s="99"/>
      <x:c r="Z291" s="99"/>
    </x:row>
    <x:row r="292">
      <x:c r="A292" s="99"/>
      <x:c r="B292" s="99"/>
      <x:c r="C292" s="99"/>
      <x:c r="D292" s="99"/>
      <x:c r="E292" s="99"/>
      <x:c r="F292" s="99"/>
      <x:c r="G292" s="99"/>
      <x:c r="H292" s="99"/>
      <x:c r="I292" s="99"/>
      <x:c r="J292" s="99"/>
      <x:c r="K292" s="99"/>
      <x:c r="L292" s="99"/>
      <x:c r="M292" s="99"/>
      <x:c r="N292" s="99"/>
      <x:c r="O292" s="99"/>
      <x:c r="P292" s="99"/>
      <x:c r="Q292" s="99"/>
      <x:c r="R292" s="99"/>
      <x:c r="S292" s="99"/>
      <x:c r="T292" s="99"/>
      <x:c r="U292" s="99"/>
      <x:c r="V292" s="99"/>
      <x:c r="W292" s="99"/>
      <x:c r="X292" s="99"/>
      <x:c r="Y292" s="99"/>
      <x:c r="Z292" s="99"/>
    </x:row>
    <x:row r="293">
      <x:c r="A293" s="99"/>
      <x:c r="B293" s="99"/>
      <x:c r="C293" s="99"/>
      <x:c r="D293" s="99"/>
      <x:c r="E293" s="99"/>
      <x:c r="F293" s="99"/>
      <x:c r="G293" s="99"/>
      <x:c r="H293" s="99"/>
      <x:c r="I293" s="99"/>
      <x:c r="J293" s="99"/>
      <x:c r="K293" s="99"/>
      <x:c r="L293" s="99"/>
      <x:c r="M293" s="99"/>
      <x:c r="N293" s="99"/>
      <x:c r="O293" s="99"/>
      <x:c r="P293" s="99"/>
      <x:c r="Q293" s="99"/>
      <x:c r="R293" s="99"/>
      <x:c r="S293" s="99"/>
      <x:c r="T293" s="99"/>
      <x:c r="U293" s="99"/>
      <x:c r="V293" s="99"/>
      <x:c r="W293" s="99"/>
      <x:c r="X293" s="99"/>
      <x:c r="Y293" s="99"/>
      <x:c r="Z293" s="99"/>
    </x:row>
    <x:row r="294">
      <x:c r="A294" s="99"/>
      <x:c r="B294" s="99"/>
      <x:c r="C294" s="99"/>
      <x:c r="D294" s="99"/>
      <x:c r="E294" s="99"/>
      <x:c r="F294" s="99"/>
      <x:c r="G294" s="99"/>
      <x:c r="H294" s="99"/>
      <x:c r="I294" s="99"/>
      <x:c r="J294" s="99"/>
      <x:c r="K294" s="99"/>
      <x:c r="L294" s="99"/>
      <x:c r="M294" s="99"/>
      <x:c r="N294" s="99"/>
      <x:c r="O294" s="99"/>
      <x:c r="P294" s="99"/>
      <x:c r="Q294" s="99"/>
      <x:c r="R294" s="99"/>
      <x:c r="S294" s="99"/>
      <x:c r="T294" s="99"/>
      <x:c r="U294" s="99"/>
      <x:c r="V294" s="99"/>
      <x:c r="W294" s="99"/>
      <x:c r="X294" s="99"/>
      <x:c r="Y294" s="99"/>
      <x:c r="Z294" s="99"/>
    </x:row>
    <x:row r="295">
      <x:c r="A295" s="99"/>
      <x:c r="B295" s="99"/>
      <x:c r="C295" s="99"/>
      <x:c r="D295" s="99"/>
      <x:c r="E295" s="99"/>
      <x:c r="F295" s="99"/>
      <x:c r="G295" s="99"/>
      <x:c r="H295" s="99"/>
      <x:c r="I295" s="99"/>
      <x:c r="J295" s="99"/>
      <x:c r="K295" s="99"/>
      <x:c r="L295" s="99"/>
      <x:c r="M295" s="99"/>
      <x:c r="N295" s="99"/>
      <x:c r="O295" s="99"/>
      <x:c r="P295" s="99"/>
      <x:c r="Q295" s="99"/>
      <x:c r="R295" s="99"/>
      <x:c r="S295" s="99"/>
      <x:c r="T295" s="99"/>
      <x:c r="U295" s="99"/>
      <x:c r="V295" s="99"/>
      <x:c r="W295" s="99"/>
      <x:c r="X295" s="99"/>
      <x:c r="Y295" s="99"/>
      <x:c r="Z295" s="99"/>
    </x:row>
    <x:row r="296">
      <x:c r="A296" s="99"/>
      <x:c r="B296" s="99"/>
      <x:c r="C296" s="99"/>
      <x:c r="D296" s="99"/>
      <x:c r="E296" s="99"/>
      <x:c r="F296" s="99"/>
      <x:c r="G296" s="99"/>
      <x:c r="H296" s="99"/>
      <x:c r="I296" s="99"/>
      <x:c r="J296" s="99"/>
      <x:c r="K296" s="99"/>
      <x:c r="L296" s="99"/>
      <x:c r="M296" s="99"/>
      <x:c r="N296" s="99"/>
      <x:c r="O296" s="99"/>
      <x:c r="P296" s="99"/>
      <x:c r="Q296" s="99"/>
      <x:c r="R296" s="99"/>
      <x:c r="S296" s="99"/>
      <x:c r="T296" s="99"/>
      <x:c r="U296" s="99"/>
      <x:c r="V296" s="99"/>
      <x:c r="W296" s="99"/>
      <x:c r="X296" s="99"/>
      <x:c r="Y296" s="99"/>
      <x:c r="Z296" s="99"/>
    </x:row>
    <x:row r="297">
      <x:c r="A297" s="99"/>
      <x:c r="B297" s="99"/>
      <x:c r="C297" s="99"/>
      <x:c r="D297" s="99"/>
      <x:c r="E297" s="99"/>
      <x:c r="F297" s="99"/>
      <x:c r="G297" s="99"/>
      <x:c r="H297" s="99"/>
      <x:c r="I297" s="99"/>
      <x:c r="J297" s="99"/>
      <x:c r="K297" s="99"/>
      <x:c r="L297" s="99"/>
      <x:c r="M297" s="99"/>
      <x:c r="N297" s="99"/>
      <x:c r="O297" s="99"/>
      <x:c r="P297" s="99"/>
      <x:c r="Q297" s="99"/>
      <x:c r="R297" s="99"/>
      <x:c r="S297" s="99"/>
      <x:c r="T297" s="99"/>
      <x:c r="U297" s="99"/>
      <x:c r="V297" s="99"/>
      <x:c r="W297" s="99"/>
      <x:c r="X297" s="99"/>
      <x:c r="Y297" s="99"/>
      <x:c r="Z297" s="99"/>
    </x:row>
    <x:row r="298">
      <x:c r="A298" s="99"/>
      <x:c r="B298" s="99"/>
      <x:c r="C298" s="99"/>
      <x:c r="D298" s="99"/>
      <x:c r="E298" s="99"/>
      <x:c r="F298" s="99"/>
      <x:c r="G298" s="99"/>
      <x:c r="H298" s="99"/>
      <x:c r="I298" s="99"/>
      <x:c r="J298" s="99"/>
      <x:c r="K298" s="99"/>
      <x:c r="L298" s="99"/>
      <x:c r="M298" s="99"/>
      <x:c r="N298" s="99"/>
      <x:c r="O298" s="99"/>
      <x:c r="P298" s="99"/>
      <x:c r="Q298" s="99"/>
      <x:c r="R298" s="99"/>
      <x:c r="S298" s="99"/>
      <x:c r="T298" s="99"/>
      <x:c r="U298" s="99"/>
      <x:c r="V298" s="99"/>
      <x:c r="W298" s="99"/>
      <x:c r="X298" s="99"/>
      <x:c r="Y298" s="99"/>
      <x:c r="Z298" s="99"/>
    </x:row>
    <x:row r="299">
      <x:c r="A299" s="99"/>
      <x:c r="B299" s="99"/>
      <x:c r="C299" s="99"/>
      <x:c r="D299" s="99"/>
      <x:c r="E299" s="99"/>
      <x:c r="F299" s="99"/>
      <x:c r="G299" s="99"/>
      <x:c r="H299" s="99"/>
      <x:c r="I299" s="99"/>
      <x:c r="J299" s="99"/>
      <x:c r="K299" s="99"/>
      <x:c r="L299" s="99"/>
      <x:c r="M299" s="99"/>
      <x:c r="N299" s="99"/>
      <x:c r="O299" s="99"/>
      <x:c r="P299" s="99"/>
      <x:c r="Q299" s="99"/>
      <x:c r="R299" s="99"/>
      <x:c r="S299" s="99"/>
      <x:c r="T299" s="99"/>
      <x:c r="U299" s="99"/>
      <x:c r="V299" s="99"/>
      <x:c r="W299" s="99"/>
      <x:c r="X299" s="99"/>
      <x:c r="Y299" s="99"/>
      <x:c r="Z299" s="99"/>
    </x:row>
    <x:row r="300">
      <x:c r="A300" s="99"/>
      <x:c r="B300" s="99"/>
      <x:c r="C300" s="99"/>
      <x:c r="D300" s="99"/>
      <x:c r="E300" s="99"/>
      <x:c r="F300" s="99"/>
      <x:c r="G300" s="99"/>
      <x:c r="H300" s="99"/>
      <x:c r="I300" s="99"/>
      <x:c r="J300" s="99"/>
      <x:c r="K300" s="99"/>
      <x:c r="L300" s="99"/>
      <x:c r="M300" s="99"/>
      <x:c r="N300" s="99"/>
      <x:c r="O300" s="99"/>
      <x:c r="P300" s="99"/>
      <x:c r="Q300" s="99"/>
      <x:c r="R300" s="99"/>
      <x:c r="S300" s="99"/>
      <x:c r="T300" s="99"/>
      <x:c r="U300" s="99"/>
      <x:c r="V300" s="99"/>
      <x:c r="W300" s="99"/>
      <x:c r="X300" s="99"/>
      <x:c r="Y300" s="99"/>
      <x:c r="Z300" s="99"/>
    </x:row>
    <x:row r="301">
      <x:c r="A301" s="99"/>
      <x:c r="B301" s="99"/>
      <x:c r="C301" s="99"/>
      <x:c r="D301" s="99"/>
      <x:c r="E301" s="99"/>
      <x:c r="F301" s="99"/>
      <x:c r="G301" s="99"/>
      <x:c r="H301" s="99"/>
      <x:c r="I301" s="99"/>
      <x:c r="J301" s="99"/>
      <x:c r="K301" s="99"/>
      <x:c r="L301" s="99"/>
      <x:c r="M301" s="99"/>
      <x:c r="N301" s="99"/>
      <x:c r="O301" s="99"/>
      <x:c r="P301" s="99"/>
      <x:c r="Q301" s="99"/>
      <x:c r="R301" s="99"/>
      <x:c r="S301" s="99"/>
      <x:c r="T301" s="99"/>
      <x:c r="U301" s="99"/>
      <x:c r="V301" s="99"/>
      <x:c r="W301" s="99"/>
      <x:c r="X301" s="99"/>
      <x:c r="Y301" s="99"/>
      <x:c r="Z301" s="99"/>
    </x:row>
    <x:row r="302">
      <x:c r="A302" s="99"/>
      <x:c r="B302" s="99"/>
      <x:c r="C302" s="99"/>
      <x:c r="D302" s="99"/>
      <x:c r="E302" s="99"/>
      <x:c r="F302" s="99"/>
      <x:c r="G302" s="99"/>
      <x:c r="H302" s="99"/>
      <x:c r="I302" s="99"/>
      <x:c r="J302" s="99"/>
      <x:c r="K302" s="99"/>
      <x:c r="L302" s="99"/>
      <x:c r="M302" s="99"/>
      <x:c r="N302" s="99"/>
      <x:c r="O302" s="99"/>
      <x:c r="P302" s="99"/>
      <x:c r="Q302" s="99"/>
      <x:c r="R302" s="99"/>
      <x:c r="S302" s="99"/>
      <x:c r="T302" s="99"/>
      <x:c r="U302" s="99"/>
      <x:c r="V302" s="99"/>
      <x:c r="W302" s="99"/>
      <x:c r="X302" s="99"/>
      <x:c r="Y302" s="99"/>
      <x:c r="Z302" s="99"/>
    </x:row>
    <x:row r="303">
      <x:c r="A303" s="99"/>
      <x:c r="B303" s="99"/>
      <x:c r="C303" s="99"/>
      <x:c r="D303" s="99"/>
      <x:c r="E303" s="99"/>
      <x:c r="F303" s="99"/>
      <x:c r="G303" s="99"/>
      <x:c r="H303" s="99"/>
      <x:c r="I303" s="99"/>
      <x:c r="J303" s="99"/>
      <x:c r="K303" s="99"/>
      <x:c r="L303" s="99"/>
      <x:c r="M303" s="99"/>
      <x:c r="N303" s="99"/>
      <x:c r="O303" s="99"/>
      <x:c r="P303" s="99"/>
      <x:c r="Q303" s="99"/>
      <x:c r="R303" s="99"/>
      <x:c r="S303" s="99"/>
      <x:c r="T303" s="99"/>
      <x:c r="U303" s="99"/>
      <x:c r="V303" s="99"/>
      <x:c r="W303" s="99"/>
      <x:c r="X303" s="99"/>
      <x:c r="Y303" s="99"/>
      <x:c r="Z303" s="99"/>
    </x:row>
    <x:row r="304">
      <x:c r="A304" s="99"/>
      <x:c r="B304" s="99"/>
      <x:c r="C304" s="99"/>
      <x:c r="D304" s="99"/>
      <x:c r="E304" s="99"/>
      <x:c r="F304" s="99"/>
      <x:c r="G304" s="99"/>
      <x:c r="H304" s="99"/>
      <x:c r="I304" s="99"/>
      <x:c r="J304" s="99"/>
      <x:c r="K304" s="99"/>
      <x:c r="L304" s="99"/>
      <x:c r="M304" s="99"/>
      <x:c r="N304" s="99"/>
      <x:c r="O304" s="99"/>
      <x:c r="P304" s="99"/>
      <x:c r="Q304" s="99"/>
      <x:c r="R304" s="99"/>
      <x:c r="S304" s="99"/>
      <x:c r="T304" s="99"/>
      <x:c r="U304" s="99"/>
      <x:c r="V304" s="99"/>
      <x:c r="W304" s="99"/>
      <x:c r="X304" s="99"/>
      <x:c r="Y304" s="99"/>
      <x:c r="Z304" s="99"/>
    </x:row>
    <x:row r="305">
      <x:c r="A305" s="99"/>
      <x:c r="B305" s="99"/>
      <x:c r="C305" s="99"/>
      <x:c r="D305" s="99"/>
      <x:c r="E305" s="99"/>
      <x:c r="F305" s="99"/>
      <x:c r="G305" s="99"/>
      <x:c r="H305" s="99"/>
      <x:c r="I305" s="99"/>
      <x:c r="J305" s="99"/>
      <x:c r="K305" s="99"/>
      <x:c r="L305" s="99"/>
      <x:c r="M305" s="99"/>
      <x:c r="N305" s="99"/>
      <x:c r="O305" s="99"/>
      <x:c r="P305" s="99"/>
      <x:c r="Q305" s="99"/>
      <x:c r="R305" s="99"/>
      <x:c r="S305" s="99"/>
      <x:c r="T305" s="99"/>
      <x:c r="U305" s="99"/>
      <x:c r="V305" s="99"/>
      <x:c r="W305" s="99"/>
      <x:c r="X305" s="99"/>
      <x:c r="Y305" s="99"/>
      <x:c r="Z305" s="99"/>
    </x:row>
    <x:row r="306">
      <x:c r="A306" s="99"/>
      <x:c r="B306" s="99"/>
      <x:c r="C306" s="99"/>
      <x:c r="D306" s="99"/>
      <x:c r="E306" s="99"/>
      <x:c r="F306" s="99"/>
      <x:c r="G306" s="99"/>
      <x:c r="H306" s="99"/>
      <x:c r="I306" s="99"/>
      <x:c r="J306" s="99"/>
      <x:c r="K306" s="99"/>
      <x:c r="L306" s="99"/>
      <x:c r="M306" s="99"/>
      <x:c r="N306" s="99"/>
      <x:c r="O306" s="99"/>
      <x:c r="P306" s="99"/>
      <x:c r="Q306" s="99"/>
      <x:c r="R306" s="99"/>
      <x:c r="S306" s="99"/>
      <x:c r="T306" s="99"/>
      <x:c r="U306" s="99"/>
      <x:c r="V306" s="99"/>
      <x:c r="W306" s="99"/>
      <x:c r="X306" s="99"/>
      <x:c r="Y306" s="99"/>
      <x:c r="Z306" s="99"/>
    </x:row>
    <x:row r="307">
      <x:c r="A307" s="99"/>
      <x:c r="B307" s="99"/>
      <x:c r="C307" s="99"/>
      <x:c r="D307" s="99"/>
      <x:c r="E307" s="99"/>
      <x:c r="F307" s="99"/>
      <x:c r="G307" s="99"/>
      <x:c r="H307" s="99"/>
      <x:c r="I307" s="99"/>
      <x:c r="J307" s="99"/>
      <x:c r="K307" s="99"/>
      <x:c r="L307" s="99"/>
      <x:c r="M307" s="99"/>
      <x:c r="N307" s="99"/>
      <x:c r="O307" s="99"/>
      <x:c r="P307" s="99"/>
      <x:c r="Q307" s="99"/>
      <x:c r="R307" s="99"/>
      <x:c r="S307" s="99"/>
      <x:c r="T307" s="99"/>
      <x:c r="U307" s="99"/>
      <x:c r="V307" s="99"/>
      <x:c r="W307" s="99"/>
      <x:c r="X307" s="99"/>
      <x:c r="Y307" s="99"/>
      <x:c r="Z307" s="99"/>
    </x:row>
    <x:row r="308">
      <x:c r="A308" s="99"/>
      <x:c r="B308" s="99"/>
      <x:c r="C308" s="99"/>
      <x:c r="D308" s="99"/>
      <x:c r="E308" s="99"/>
      <x:c r="F308" s="99"/>
      <x:c r="G308" s="99"/>
      <x:c r="H308" s="99"/>
      <x:c r="I308" s="99"/>
      <x:c r="J308" s="99"/>
      <x:c r="K308" s="99"/>
      <x:c r="L308" s="99"/>
      <x:c r="M308" s="99"/>
      <x:c r="N308" s="99"/>
      <x:c r="O308" s="99"/>
      <x:c r="P308" s="99"/>
      <x:c r="Q308" s="99"/>
      <x:c r="R308" s="99"/>
      <x:c r="S308" s="99"/>
      <x:c r="T308" s="99"/>
      <x:c r="U308" s="99"/>
      <x:c r="V308" s="99"/>
      <x:c r="W308" s="99"/>
      <x:c r="X308" s="99"/>
      <x:c r="Y308" s="99"/>
      <x:c r="Z308" s="99"/>
    </x:row>
    <x:row r="309">
      <x:c r="A309" s="99"/>
      <x:c r="B309" s="99"/>
      <x:c r="C309" s="99"/>
      <x:c r="D309" s="99"/>
      <x:c r="E309" s="99"/>
      <x:c r="F309" s="99"/>
      <x:c r="G309" s="99"/>
      <x:c r="H309" s="99"/>
      <x:c r="I309" s="99"/>
      <x:c r="J309" s="99"/>
      <x:c r="K309" s="99"/>
      <x:c r="L309" s="99"/>
      <x:c r="M309" s="99"/>
      <x:c r="N309" s="99"/>
      <x:c r="O309" s="99"/>
      <x:c r="P309" s="99"/>
      <x:c r="Q309" s="99"/>
      <x:c r="R309" s="99"/>
      <x:c r="S309" s="99"/>
      <x:c r="T309" s="99"/>
      <x:c r="U309" s="99"/>
      <x:c r="V309" s="99"/>
      <x:c r="W309" s="99"/>
      <x:c r="X309" s="99"/>
      <x:c r="Y309" s="99"/>
      <x:c r="Z309" s="99"/>
    </x:row>
    <x:row r="310">
      <x:c r="A310" s="99"/>
      <x:c r="B310" s="99"/>
      <x:c r="C310" s="99"/>
      <x:c r="D310" s="99"/>
      <x:c r="E310" s="99"/>
      <x:c r="F310" s="99"/>
      <x:c r="G310" s="99"/>
      <x:c r="H310" s="99"/>
      <x:c r="I310" s="99"/>
      <x:c r="J310" s="99"/>
      <x:c r="K310" s="99"/>
      <x:c r="L310" s="99"/>
      <x:c r="M310" s="99"/>
      <x:c r="N310" s="99"/>
      <x:c r="O310" s="99"/>
      <x:c r="P310" s="99"/>
      <x:c r="Q310" s="99"/>
      <x:c r="R310" s="99"/>
      <x:c r="S310" s="99"/>
      <x:c r="T310" s="99"/>
      <x:c r="U310" s="99"/>
      <x:c r="V310" s="99"/>
      <x:c r="W310" s="99"/>
      <x:c r="X310" s="99"/>
      <x:c r="Y310" s="99"/>
      <x:c r="Z310" s="99"/>
    </x:row>
    <x:row r="311">
      <x:c r="A311" s="99"/>
      <x:c r="B311" s="99"/>
      <x:c r="C311" s="99"/>
      <x:c r="D311" s="99"/>
      <x:c r="E311" s="99"/>
      <x:c r="F311" s="99"/>
      <x:c r="G311" s="99"/>
      <x:c r="H311" s="99"/>
      <x:c r="I311" s="99"/>
      <x:c r="J311" s="99"/>
      <x:c r="K311" s="99"/>
      <x:c r="L311" s="99"/>
      <x:c r="M311" s="99"/>
      <x:c r="N311" s="99"/>
      <x:c r="O311" s="99"/>
      <x:c r="P311" s="99"/>
      <x:c r="Q311" s="99"/>
      <x:c r="R311" s="99"/>
      <x:c r="S311" s="99"/>
      <x:c r="T311" s="99"/>
      <x:c r="U311" s="99"/>
      <x:c r="V311" s="99"/>
      <x:c r="W311" s="99"/>
      <x:c r="X311" s="99"/>
      <x:c r="Y311" s="99"/>
      <x:c r="Z311" s="99"/>
    </x:row>
    <x:row r="312">
      <x:c r="A312" s="99"/>
      <x:c r="B312" s="99"/>
      <x:c r="C312" s="99"/>
      <x:c r="D312" s="99"/>
      <x:c r="E312" s="99"/>
      <x:c r="F312" s="99"/>
      <x:c r="G312" s="99"/>
      <x:c r="H312" s="99"/>
      <x:c r="I312" s="99"/>
      <x:c r="J312" s="99"/>
      <x:c r="K312" s="99"/>
      <x:c r="L312" s="99"/>
      <x:c r="M312" s="99"/>
      <x:c r="N312" s="99"/>
      <x:c r="O312" s="99"/>
      <x:c r="P312" s="99"/>
      <x:c r="Q312" s="99"/>
      <x:c r="R312" s="99"/>
      <x:c r="S312" s="99"/>
      <x:c r="T312" s="99"/>
      <x:c r="U312" s="99"/>
      <x:c r="V312" s="99"/>
      <x:c r="W312" s="99"/>
      <x:c r="X312" s="99"/>
      <x:c r="Y312" s="99"/>
      <x:c r="Z312" s="99"/>
    </x:row>
    <x:row r="313">
      <x:c r="A313" s="99"/>
      <x:c r="B313" s="99"/>
      <x:c r="C313" s="99"/>
      <x:c r="D313" s="99"/>
      <x:c r="E313" s="99"/>
      <x:c r="F313" s="99"/>
      <x:c r="G313" s="99"/>
      <x:c r="H313" s="99"/>
      <x:c r="I313" s="99"/>
      <x:c r="J313" s="99"/>
      <x:c r="K313" s="99"/>
      <x:c r="L313" s="99"/>
      <x:c r="M313" s="99"/>
      <x:c r="N313" s="99"/>
      <x:c r="O313" s="99"/>
      <x:c r="P313" s="99"/>
      <x:c r="Q313" s="99"/>
      <x:c r="R313" s="99"/>
      <x:c r="S313" s="99"/>
      <x:c r="T313" s="99"/>
      <x:c r="U313" s="99"/>
      <x:c r="V313" s="99"/>
      <x:c r="W313" s="99"/>
      <x:c r="X313" s="99"/>
      <x:c r="Y313" s="99"/>
      <x:c r="Z313" s="99"/>
    </x:row>
    <x:row r="314">
      <x:c r="A314" s="99"/>
      <x:c r="B314" s="99"/>
      <x:c r="C314" s="99"/>
      <x:c r="D314" s="99"/>
      <x:c r="E314" s="99"/>
      <x:c r="F314" s="99"/>
      <x:c r="G314" s="99"/>
      <x:c r="H314" s="99"/>
      <x:c r="I314" s="99"/>
      <x:c r="J314" s="99"/>
      <x:c r="K314" s="99"/>
      <x:c r="L314" s="99"/>
      <x:c r="M314" s="99"/>
      <x:c r="N314" s="99"/>
      <x:c r="O314" s="99"/>
      <x:c r="P314" s="99"/>
      <x:c r="Q314" s="99"/>
      <x:c r="R314" s="99"/>
      <x:c r="S314" s="99"/>
      <x:c r="T314" s="99"/>
      <x:c r="U314" s="99"/>
      <x:c r="V314" s="99"/>
      <x:c r="W314" s="99"/>
      <x:c r="X314" s="99"/>
      <x:c r="Y314" s="99"/>
      <x:c r="Z314" s="99"/>
    </x:row>
    <x:row r="315">
      <x:c r="A315" s="99"/>
      <x:c r="B315" s="99"/>
      <x:c r="C315" s="99"/>
      <x:c r="D315" s="99"/>
      <x:c r="E315" s="99"/>
      <x:c r="F315" s="99"/>
      <x:c r="G315" s="99"/>
      <x:c r="H315" s="99"/>
      <x:c r="I315" s="99"/>
      <x:c r="J315" s="99"/>
      <x:c r="K315" s="99"/>
      <x:c r="L315" s="99"/>
      <x:c r="M315" s="99"/>
      <x:c r="N315" s="99"/>
      <x:c r="O315" s="99"/>
      <x:c r="P315" s="99"/>
      <x:c r="Q315" s="99"/>
      <x:c r="R315" s="99"/>
      <x:c r="S315" s="99"/>
      <x:c r="T315" s="99"/>
      <x:c r="U315" s="99"/>
      <x:c r="V315" s="99"/>
      <x:c r="W315" s="99"/>
      <x:c r="X315" s="99"/>
      <x:c r="Y315" s="99"/>
      <x:c r="Z315" s="99"/>
    </x:row>
    <x:row r="316">
      <x:c r="A316" s="99"/>
      <x:c r="B316" s="99"/>
      <x:c r="C316" s="99"/>
      <x:c r="D316" s="99"/>
      <x:c r="E316" s="99"/>
      <x:c r="F316" s="99"/>
      <x:c r="G316" s="99"/>
      <x:c r="H316" s="99"/>
      <x:c r="I316" s="99"/>
      <x:c r="J316" s="99"/>
      <x:c r="K316" s="99"/>
      <x:c r="L316" s="99"/>
      <x:c r="M316" s="99"/>
      <x:c r="N316" s="99"/>
      <x:c r="O316" s="99"/>
      <x:c r="P316" s="99"/>
      <x:c r="Q316" s="99"/>
      <x:c r="R316" s="99"/>
      <x:c r="S316" s="99"/>
      <x:c r="T316" s="99"/>
      <x:c r="U316" s="99"/>
      <x:c r="V316" s="99"/>
      <x:c r="W316" s="99"/>
      <x:c r="X316" s="99"/>
      <x:c r="Y316" s="99"/>
      <x:c r="Z316" s="99"/>
    </x:row>
    <x:row r="317">
      <x:c r="A317" s="99"/>
      <x:c r="B317" s="99"/>
      <x:c r="C317" s="99"/>
      <x:c r="D317" s="99"/>
      <x:c r="E317" s="99"/>
      <x:c r="F317" s="99"/>
      <x:c r="G317" s="99"/>
      <x:c r="H317" s="99"/>
      <x:c r="I317" s="99"/>
      <x:c r="J317" s="99"/>
      <x:c r="K317" s="99"/>
      <x:c r="L317" s="99"/>
      <x:c r="M317" s="99"/>
      <x:c r="N317" s="99"/>
      <x:c r="O317" s="99"/>
      <x:c r="P317" s="99"/>
      <x:c r="Q317" s="99"/>
      <x:c r="R317" s="99"/>
      <x:c r="S317" s="99"/>
      <x:c r="T317" s="99"/>
      <x:c r="U317" s="99"/>
      <x:c r="V317" s="99"/>
      <x:c r="W317" s="99"/>
      <x:c r="X317" s="99"/>
      <x:c r="Y317" s="99"/>
      <x:c r="Z317" s="99"/>
    </x:row>
    <x:row r="318">
      <x:c r="A318" s="99"/>
      <x:c r="B318" s="99"/>
      <x:c r="C318" s="99"/>
      <x:c r="D318" s="99"/>
      <x:c r="E318" s="99"/>
      <x:c r="F318" s="99"/>
      <x:c r="G318" s="99"/>
      <x:c r="H318" s="99"/>
      <x:c r="I318" s="99"/>
      <x:c r="J318" s="99"/>
      <x:c r="K318" s="99"/>
      <x:c r="L318" s="99"/>
      <x:c r="M318" s="99"/>
      <x:c r="N318" s="99"/>
      <x:c r="O318" s="99"/>
      <x:c r="P318" s="99"/>
      <x:c r="Q318" s="99"/>
      <x:c r="R318" s="99"/>
      <x:c r="S318" s="99"/>
      <x:c r="T318" s="99"/>
      <x:c r="U318" s="99"/>
      <x:c r="V318" s="99"/>
      <x:c r="W318" s="99"/>
      <x:c r="X318" s="99"/>
      <x:c r="Y318" s="99"/>
      <x:c r="Z318" s="99"/>
    </x:row>
    <x:row r="319">
      <x:c r="A319" s="99"/>
      <x:c r="B319" s="99"/>
      <x:c r="C319" s="99"/>
      <x:c r="D319" s="99"/>
      <x:c r="E319" s="99"/>
      <x:c r="F319" s="99"/>
      <x:c r="G319" s="99"/>
      <x:c r="H319" s="99"/>
      <x:c r="I319" s="99"/>
      <x:c r="J319" s="99"/>
      <x:c r="K319" s="99"/>
      <x:c r="L319" s="99"/>
      <x:c r="M319" s="99"/>
      <x:c r="N319" s="99"/>
      <x:c r="O319" s="99"/>
      <x:c r="P319" s="99"/>
      <x:c r="Q319" s="99"/>
      <x:c r="R319" s="99"/>
      <x:c r="S319" s="99"/>
      <x:c r="T319" s="99"/>
      <x:c r="U319" s="99"/>
      <x:c r="V319" s="99"/>
      <x:c r="W319" s="99"/>
      <x:c r="X319" s="99"/>
      <x:c r="Y319" s="99"/>
      <x:c r="Z319" s="99"/>
    </x:row>
    <x:row r="320">
      <x:c r="A320" s="99"/>
      <x:c r="B320" s="99"/>
      <x:c r="C320" s="99"/>
      <x:c r="D320" s="99"/>
      <x:c r="E320" s="99"/>
      <x:c r="F320" s="99"/>
      <x:c r="G320" s="99"/>
      <x:c r="H320" s="99"/>
      <x:c r="I320" s="99"/>
      <x:c r="J320" s="99"/>
      <x:c r="K320" s="99"/>
      <x:c r="L320" s="99"/>
      <x:c r="M320" s="99"/>
      <x:c r="N320" s="99"/>
      <x:c r="O320" s="99"/>
      <x:c r="P320" s="99"/>
      <x:c r="Q320" s="99"/>
      <x:c r="R320" s="99"/>
      <x:c r="S320" s="99"/>
      <x:c r="T320" s="99"/>
      <x:c r="U320" s="99"/>
      <x:c r="V320" s="99"/>
      <x:c r="W320" s="99"/>
      <x:c r="X320" s="99"/>
      <x:c r="Y320" s="99"/>
      <x:c r="Z320" s="99"/>
    </x:row>
    <x:row r="321">
      <x:c r="A321" s="99"/>
      <x:c r="B321" s="99"/>
      <x:c r="C321" s="99"/>
      <x:c r="D321" s="99"/>
      <x:c r="E321" s="99"/>
      <x:c r="F321" s="99"/>
      <x:c r="G321" s="99"/>
      <x:c r="H321" s="99"/>
      <x:c r="I321" s="99"/>
      <x:c r="J321" s="99"/>
      <x:c r="K321" s="99"/>
      <x:c r="L321" s="99"/>
      <x:c r="M321" s="99"/>
      <x:c r="N321" s="99"/>
      <x:c r="O321" s="99"/>
      <x:c r="P321" s="99"/>
      <x:c r="Q321" s="99"/>
      <x:c r="R321" s="99"/>
      <x:c r="S321" s="99"/>
      <x:c r="T321" s="99"/>
      <x:c r="U321" s="99"/>
      <x:c r="V321" s="99"/>
      <x:c r="W321" s="99"/>
      <x:c r="X321" s="99"/>
      <x:c r="Y321" s="99"/>
      <x:c r="Z321" s="99"/>
    </x:row>
    <x:row r="322">
      <x:c r="A322" s="99"/>
      <x:c r="B322" s="99"/>
      <x:c r="C322" s="99"/>
      <x:c r="D322" s="99"/>
      <x:c r="E322" s="99"/>
      <x:c r="F322" s="99"/>
      <x:c r="G322" s="99"/>
      <x:c r="H322" s="99"/>
      <x:c r="I322" s="99"/>
      <x:c r="J322" s="99"/>
      <x:c r="K322" s="99"/>
      <x:c r="L322" s="99"/>
      <x:c r="M322" s="99"/>
      <x:c r="N322" s="99"/>
      <x:c r="O322" s="99"/>
      <x:c r="P322" s="99"/>
      <x:c r="Q322" s="99"/>
      <x:c r="R322" s="99"/>
      <x:c r="S322" s="99"/>
      <x:c r="T322" s="99"/>
      <x:c r="U322" s="99"/>
      <x:c r="V322" s="99"/>
      <x:c r="W322" s="99"/>
      <x:c r="X322" s="99"/>
      <x:c r="Y322" s="99"/>
      <x:c r="Z322" s="99"/>
    </x:row>
    <x:row r="323">
      <x:c r="A323" s="99"/>
      <x:c r="B323" s="99"/>
      <x:c r="C323" s="99"/>
      <x:c r="D323" s="99"/>
      <x:c r="E323" s="99"/>
      <x:c r="F323" s="99"/>
      <x:c r="G323" s="99"/>
      <x:c r="H323" s="99"/>
      <x:c r="I323" s="99"/>
      <x:c r="J323" s="99"/>
      <x:c r="K323" s="99"/>
      <x:c r="L323" s="99"/>
      <x:c r="M323" s="99"/>
      <x:c r="N323" s="99"/>
      <x:c r="O323" s="99"/>
      <x:c r="P323" s="99"/>
      <x:c r="Q323" s="99"/>
      <x:c r="R323" s="99"/>
      <x:c r="S323" s="99"/>
      <x:c r="T323" s="99"/>
      <x:c r="U323" s="99"/>
      <x:c r="V323" s="99"/>
      <x:c r="W323" s="99"/>
      <x:c r="X323" s="99"/>
      <x:c r="Y323" s="99"/>
      <x:c r="Z323" s="99"/>
    </x:row>
    <x:row r="324">
      <x:c r="A324" s="99"/>
      <x:c r="B324" s="99"/>
      <x:c r="C324" s="99"/>
      <x:c r="D324" s="99"/>
      <x:c r="E324" s="99"/>
      <x:c r="F324" s="99"/>
      <x:c r="G324" s="99"/>
      <x:c r="H324" s="99"/>
      <x:c r="I324" s="99"/>
      <x:c r="J324" s="99"/>
      <x:c r="K324" s="99"/>
      <x:c r="L324" s="99"/>
      <x:c r="M324" s="99"/>
      <x:c r="N324" s="99"/>
      <x:c r="O324" s="99"/>
      <x:c r="P324" s="99"/>
      <x:c r="Q324" s="99"/>
      <x:c r="R324" s="99"/>
      <x:c r="S324" s="99"/>
      <x:c r="T324" s="99"/>
      <x:c r="U324" s="99"/>
      <x:c r="V324" s="99"/>
      <x:c r="W324" s="99"/>
      <x:c r="X324" s="99"/>
      <x:c r="Y324" s="99"/>
      <x:c r="Z324" s="99"/>
    </x:row>
    <x:row r="325">
      <x:c r="A325" s="99"/>
      <x:c r="B325" s="99"/>
      <x:c r="C325" s="99"/>
      <x:c r="D325" s="99"/>
      <x:c r="E325" s="99"/>
      <x:c r="F325" s="99"/>
      <x:c r="G325" s="99"/>
      <x:c r="H325" s="99"/>
      <x:c r="I325" s="99"/>
      <x:c r="J325" s="99"/>
      <x:c r="K325" s="99"/>
      <x:c r="L325" s="99"/>
      <x:c r="M325" s="99"/>
      <x:c r="N325" s="99"/>
      <x:c r="O325" s="99"/>
      <x:c r="P325" s="99"/>
      <x:c r="Q325" s="99"/>
      <x:c r="R325" s="99"/>
      <x:c r="S325" s="99"/>
      <x:c r="T325" s="99"/>
      <x:c r="U325" s="99"/>
      <x:c r="V325" s="99"/>
      <x:c r="W325" s="99"/>
      <x:c r="X325" s="99"/>
      <x:c r="Y325" s="99"/>
      <x:c r="Z325" s="99"/>
    </x:row>
    <x:row r="326">
      <x:c r="A326" s="99"/>
      <x:c r="B326" s="99"/>
      <x:c r="C326" s="99"/>
      <x:c r="D326" s="99"/>
      <x:c r="E326" s="99"/>
      <x:c r="F326" s="99"/>
      <x:c r="G326" s="99"/>
      <x:c r="H326" s="99"/>
      <x:c r="I326" s="99"/>
      <x:c r="J326" s="99"/>
      <x:c r="K326" s="99"/>
      <x:c r="L326" s="99"/>
      <x:c r="M326" s="99"/>
      <x:c r="N326" s="99"/>
      <x:c r="O326" s="99"/>
      <x:c r="P326" s="99"/>
      <x:c r="Q326" s="99"/>
      <x:c r="R326" s="99"/>
      <x:c r="S326" s="99"/>
      <x:c r="T326" s="99"/>
      <x:c r="U326" s="99"/>
      <x:c r="V326" s="99"/>
      <x:c r="W326" s="99"/>
      <x:c r="X326" s="99"/>
      <x:c r="Y326" s="99"/>
      <x:c r="Z326" s="99"/>
    </x:row>
    <x:row r="327">
      <x:c r="A327" s="99"/>
      <x:c r="B327" s="99"/>
      <x:c r="C327" s="99"/>
      <x:c r="D327" s="99"/>
      <x:c r="E327" s="99"/>
      <x:c r="F327" s="99"/>
      <x:c r="G327" s="99"/>
      <x:c r="H327" s="99"/>
      <x:c r="I327" s="99"/>
      <x:c r="J327" s="99"/>
      <x:c r="K327" s="99"/>
      <x:c r="L327" s="99"/>
      <x:c r="M327" s="99"/>
      <x:c r="N327" s="99"/>
      <x:c r="O327" s="99"/>
      <x:c r="P327" s="99"/>
      <x:c r="Q327" s="99"/>
      <x:c r="R327" s="99"/>
      <x:c r="S327" s="99"/>
      <x:c r="T327" s="99"/>
      <x:c r="U327" s="99"/>
      <x:c r="V327" s="99"/>
      <x:c r="W327" s="99"/>
      <x:c r="X327" s="99"/>
      <x:c r="Y327" s="99"/>
      <x:c r="Z327" s="99"/>
    </x:row>
    <x:row r="328">
      <x:c r="A328" s="99"/>
      <x:c r="B328" s="99"/>
      <x:c r="C328" s="99"/>
      <x:c r="D328" s="99"/>
      <x:c r="E328" s="99"/>
      <x:c r="F328" s="99"/>
      <x:c r="G328" s="99"/>
      <x:c r="H328" s="99"/>
      <x:c r="I328" s="99"/>
      <x:c r="J328" s="99"/>
      <x:c r="K328" s="99"/>
      <x:c r="L328" s="99"/>
      <x:c r="M328" s="99"/>
      <x:c r="N328" s="99"/>
      <x:c r="O328" s="99"/>
      <x:c r="P328" s="99"/>
      <x:c r="Q328" s="99"/>
      <x:c r="R328" s="99"/>
      <x:c r="S328" s="99"/>
      <x:c r="T328" s="99"/>
      <x:c r="U328" s="99"/>
      <x:c r="V328" s="99"/>
      <x:c r="W328" s="99"/>
      <x:c r="X328" s="99"/>
      <x:c r="Y328" s="99"/>
      <x:c r="Z328" s="99"/>
    </x:row>
    <x:row r="329">
      <x:c r="A329" s="99"/>
      <x:c r="B329" s="99"/>
      <x:c r="C329" s="99"/>
      <x:c r="D329" s="99"/>
      <x:c r="E329" s="99"/>
      <x:c r="F329" s="99"/>
      <x:c r="G329" s="99"/>
      <x:c r="H329" s="99"/>
      <x:c r="I329" s="99"/>
      <x:c r="J329" s="99"/>
      <x:c r="K329" s="99"/>
      <x:c r="L329" s="99"/>
      <x:c r="M329" s="99"/>
      <x:c r="N329" s="99"/>
      <x:c r="O329" s="99"/>
      <x:c r="P329" s="99"/>
      <x:c r="Q329" s="99"/>
      <x:c r="R329" s="99"/>
      <x:c r="S329" s="99"/>
      <x:c r="T329" s="99"/>
      <x:c r="U329" s="99"/>
      <x:c r="V329" s="99"/>
      <x:c r="W329" s="99"/>
      <x:c r="X329" s="99"/>
      <x:c r="Y329" s="99"/>
      <x:c r="Z329" s="99"/>
    </x:row>
    <x:row r="330">
      <x:c r="A330" s="99"/>
      <x:c r="B330" s="99"/>
      <x:c r="C330" s="99"/>
      <x:c r="D330" s="99"/>
      <x:c r="E330" s="99"/>
      <x:c r="F330" s="99"/>
      <x:c r="G330" s="99"/>
      <x:c r="H330" s="99"/>
      <x:c r="I330" s="99"/>
      <x:c r="J330" s="99"/>
      <x:c r="K330" s="99"/>
      <x:c r="L330" s="99"/>
      <x:c r="M330" s="99"/>
      <x:c r="N330" s="99"/>
      <x:c r="O330" s="99"/>
      <x:c r="P330" s="99"/>
      <x:c r="Q330" s="99"/>
      <x:c r="R330" s="99"/>
      <x:c r="S330" s="99"/>
      <x:c r="T330" s="99"/>
      <x:c r="U330" s="99"/>
      <x:c r="V330" s="99"/>
      <x:c r="W330" s="99"/>
      <x:c r="X330" s="99"/>
      <x:c r="Y330" s="99"/>
      <x:c r="Z330" s="99"/>
    </x:row>
    <x:row r="331">
      <x:c r="A331" s="99"/>
      <x:c r="B331" s="99"/>
      <x:c r="C331" s="99"/>
      <x:c r="D331" s="99"/>
      <x:c r="E331" s="99"/>
      <x:c r="F331" s="99"/>
      <x:c r="G331" s="99"/>
      <x:c r="H331" s="99"/>
      <x:c r="I331" s="99"/>
      <x:c r="J331" s="99"/>
      <x:c r="K331" s="99"/>
      <x:c r="L331" s="99"/>
      <x:c r="M331" s="99"/>
      <x:c r="N331" s="99"/>
      <x:c r="O331" s="99"/>
      <x:c r="P331" s="99"/>
      <x:c r="Q331" s="99"/>
      <x:c r="R331" s="99"/>
      <x:c r="S331" s="99"/>
      <x:c r="T331" s="99"/>
      <x:c r="U331" s="99"/>
      <x:c r="V331" s="99"/>
      <x:c r="W331" s="99"/>
      <x:c r="X331" s="99"/>
      <x:c r="Y331" s="99"/>
      <x:c r="Z331" s="99"/>
    </x:row>
    <x:row r="332">
      <x:c r="A332" s="99"/>
      <x:c r="B332" s="99"/>
      <x:c r="C332" s="99"/>
      <x:c r="D332" s="99"/>
      <x:c r="E332" s="99"/>
      <x:c r="F332" s="99"/>
      <x:c r="G332" s="99"/>
      <x:c r="H332" s="99"/>
      <x:c r="I332" s="99"/>
      <x:c r="J332" s="99"/>
      <x:c r="K332" s="99"/>
      <x:c r="L332" s="99"/>
      <x:c r="M332" s="99"/>
      <x:c r="N332" s="99"/>
      <x:c r="O332" s="99"/>
      <x:c r="P332" s="99"/>
      <x:c r="Q332" s="99"/>
      <x:c r="R332" s="99"/>
      <x:c r="S332" s="99"/>
      <x:c r="T332" s="99"/>
      <x:c r="U332" s="99"/>
      <x:c r="V332" s="99"/>
      <x:c r="W332" s="99"/>
      <x:c r="X332" s="99"/>
      <x:c r="Y332" s="99"/>
      <x:c r="Z332" s="99"/>
    </x:row>
    <x:row r="333">
      <x:c r="A333" s="99"/>
      <x:c r="B333" s="99"/>
      <x:c r="C333" s="99"/>
      <x:c r="D333" s="99"/>
      <x:c r="E333" s="99"/>
      <x:c r="F333" s="99"/>
      <x:c r="G333" s="99"/>
      <x:c r="H333" s="99"/>
      <x:c r="I333" s="99"/>
      <x:c r="J333" s="99"/>
      <x:c r="K333" s="99"/>
      <x:c r="L333" s="99"/>
      <x:c r="M333" s="99"/>
      <x:c r="N333" s="99"/>
      <x:c r="O333" s="99"/>
      <x:c r="P333" s="99"/>
      <x:c r="Q333" s="99"/>
      <x:c r="R333" s="99"/>
      <x:c r="S333" s="99"/>
      <x:c r="T333" s="99"/>
      <x:c r="U333" s="99"/>
      <x:c r="V333" s="99"/>
      <x:c r="W333" s="99"/>
      <x:c r="X333" s="99"/>
      <x:c r="Y333" s="99"/>
      <x:c r="Z333" s="99"/>
    </x:row>
    <x:row r="334">
      <x:c r="A334" s="99"/>
      <x:c r="B334" s="99"/>
      <x:c r="C334" s="99"/>
      <x:c r="D334" s="99"/>
      <x:c r="E334" s="99"/>
      <x:c r="F334" s="99"/>
      <x:c r="G334" s="99"/>
      <x:c r="H334" s="99"/>
      <x:c r="I334" s="99"/>
      <x:c r="J334" s="99"/>
      <x:c r="K334" s="99"/>
      <x:c r="L334" s="99"/>
      <x:c r="M334" s="99"/>
      <x:c r="N334" s="99"/>
      <x:c r="O334" s="99"/>
      <x:c r="P334" s="99"/>
      <x:c r="Q334" s="99"/>
      <x:c r="R334" s="99"/>
      <x:c r="S334" s="99"/>
      <x:c r="T334" s="99"/>
      <x:c r="U334" s="99"/>
      <x:c r="V334" s="99"/>
      <x:c r="W334" s="99"/>
      <x:c r="X334" s="99"/>
      <x:c r="Y334" s="99"/>
      <x:c r="Z334" s="99"/>
    </x:row>
    <x:row r="335">
      <x:c r="A335" s="99"/>
      <x:c r="B335" s="99"/>
      <x:c r="C335" s="99"/>
      <x:c r="D335" s="99"/>
      <x:c r="E335" s="99"/>
      <x:c r="F335" s="99"/>
      <x:c r="G335" s="99"/>
      <x:c r="H335" s="99"/>
      <x:c r="I335" s="99"/>
      <x:c r="J335" s="99"/>
      <x:c r="K335" s="99"/>
      <x:c r="L335" s="99"/>
      <x:c r="M335" s="99"/>
      <x:c r="N335" s="99"/>
      <x:c r="O335" s="99"/>
      <x:c r="P335" s="99"/>
      <x:c r="Q335" s="99"/>
      <x:c r="R335" s="99"/>
      <x:c r="S335" s="99"/>
      <x:c r="T335" s="99"/>
      <x:c r="U335" s="99"/>
      <x:c r="V335" s="99"/>
      <x:c r="W335" s="99"/>
      <x:c r="X335" s="99"/>
      <x:c r="Y335" s="99"/>
      <x:c r="Z335" s="99"/>
    </x:row>
    <x:row r="336">
      <x:c r="A336" s="99"/>
      <x:c r="B336" s="99"/>
      <x:c r="C336" s="99"/>
      <x:c r="D336" s="99"/>
      <x:c r="E336" s="99"/>
      <x:c r="F336" s="99"/>
      <x:c r="G336" s="99"/>
      <x:c r="H336" s="99"/>
      <x:c r="I336" s="99"/>
      <x:c r="J336" s="99"/>
      <x:c r="K336" s="99"/>
      <x:c r="L336" s="99"/>
      <x:c r="M336" s="99"/>
      <x:c r="N336" s="99"/>
      <x:c r="O336" s="99"/>
      <x:c r="P336" s="99"/>
      <x:c r="Q336" s="99"/>
      <x:c r="R336" s="99"/>
      <x:c r="S336" s="99"/>
      <x:c r="T336" s="99"/>
      <x:c r="U336" s="99"/>
      <x:c r="V336" s="99"/>
      <x:c r="W336" s="99"/>
      <x:c r="X336" s="99"/>
      <x:c r="Y336" s="99"/>
      <x:c r="Z336" s="99"/>
    </x:row>
    <x:row r="337">
      <x:c r="A337" s="99"/>
      <x:c r="B337" s="99"/>
      <x:c r="C337" s="99"/>
      <x:c r="D337" s="99"/>
      <x:c r="E337" s="99"/>
      <x:c r="F337" s="99"/>
      <x:c r="G337" s="99"/>
      <x:c r="H337" s="99"/>
      <x:c r="I337" s="99"/>
      <x:c r="J337" s="99"/>
      <x:c r="K337" s="99"/>
      <x:c r="L337" s="99"/>
      <x:c r="M337" s="99"/>
      <x:c r="N337" s="99"/>
      <x:c r="O337" s="99"/>
      <x:c r="P337" s="99"/>
      <x:c r="Q337" s="99"/>
      <x:c r="R337" s="99"/>
      <x:c r="S337" s="99"/>
      <x:c r="T337" s="99"/>
      <x:c r="U337" s="99"/>
      <x:c r="V337" s="99"/>
      <x:c r="W337" s="99"/>
      <x:c r="X337" s="99"/>
      <x:c r="Y337" s="99"/>
      <x:c r="Z337" s="99"/>
    </x:row>
    <x:row r="338">
      <x:c r="A338" s="99"/>
      <x:c r="B338" s="99"/>
      <x:c r="C338" s="99"/>
      <x:c r="D338" s="99"/>
      <x:c r="E338" s="99"/>
      <x:c r="F338" s="99"/>
      <x:c r="G338" s="99"/>
      <x:c r="H338" s="99"/>
      <x:c r="I338" s="99"/>
      <x:c r="J338" s="99"/>
      <x:c r="K338" s="99"/>
      <x:c r="L338" s="99"/>
      <x:c r="M338" s="99"/>
      <x:c r="N338" s="99"/>
      <x:c r="O338" s="99"/>
      <x:c r="P338" s="99"/>
      <x:c r="Q338" s="99"/>
      <x:c r="R338" s="99"/>
      <x:c r="S338" s="99"/>
      <x:c r="T338" s="99"/>
      <x:c r="U338" s="99"/>
      <x:c r="V338" s="99"/>
      <x:c r="W338" s="99"/>
      <x:c r="X338" s="99"/>
      <x:c r="Y338" s="99"/>
      <x:c r="Z338" s="99"/>
    </x:row>
    <x:row r="339">
      <x:c r="A339" s="99"/>
      <x:c r="B339" s="99"/>
      <x:c r="C339" s="99"/>
      <x:c r="D339" s="99"/>
      <x:c r="E339" s="99"/>
      <x:c r="F339" s="99"/>
      <x:c r="G339" s="99"/>
      <x:c r="H339" s="99"/>
      <x:c r="I339" s="99"/>
      <x:c r="J339" s="99"/>
      <x:c r="K339" s="99"/>
      <x:c r="L339" s="99"/>
      <x:c r="M339" s="99"/>
      <x:c r="N339" s="99"/>
      <x:c r="O339" s="99"/>
      <x:c r="P339" s="99"/>
      <x:c r="Q339" s="99"/>
      <x:c r="R339" s="99"/>
      <x:c r="S339" s="99"/>
      <x:c r="T339" s="99"/>
      <x:c r="U339" s="99"/>
      <x:c r="V339" s="99"/>
      <x:c r="W339" s="99"/>
      <x:c r="X339" s="99"/>
      <x:c r="Y339" s="99"/>
      <x:c r="Z339" s="99"/>
    </x:row>
    <x:row r="340">
      <x:c r="A340" s="99"/>
      <x:c r="B340" s="99"/>
      <x:c r="C340" s="99"/>
      <x:c r="D340" s="99"/>
      <x:c r="E340" s="99"/>
      <x:c r="F340" s="99"/>
      <x:c r="G340" s="99"/>
      <x:c r="H340" s="99"/>
      <x:c r="I340" s="99"/>
      <x:c r="J340" s="99"/>
      <x:c r="K340" s="99"/>
      <x:c r="L340" s="99"/>
      <x:c r="M340" s="99"/>
      <x:c r="N340" s="99"/>
      <x:c r="O340" s="99"/>
      <x:c r="P340" s="99"/>
      <x:c r="Q340" s="99"/>
      <x:c r="R340" s="99"/>
      <x:c r="S340" s="99"/>
      <x:c r="T340" s="99"/>
      <x:c r="U340" s="99"/>
      <x:c r="V340" s="99"/>
      <x:c r="W340" s="99"/>
      <x:c r="X340" s="99"/>
      <x:c r="Y340" s="99"/>
      <x:c r="Z340" s="99"/>
    </x:row>
    <x:row r="341">
      <x:c r="A341" s="99"/>
      <x:c r="B341" s="99"/>
      <x:c r="C341" s="99"/>
      <x:c r="D341" s="99"/>
      <x:c r="E341" s="99"/>
      <x:c r="F341" s="99"/>
      <x:c r="G341" s="99"/>
      <x:c r="H341" s="99"/>
      <x:c r="I341" s="99"/>
      <x:c r="J341" s="99"/>
      <x:c r="K341" s="99"/>
      <x:c r="L341" s="99"/>
      <x:c r="M341" s="99"/>
      <x:c r="N341" s="99"/>
      <x:c r="O341" s="99"/>
      <x:c r="P341" s="99"/>
      <x:c r="Q341" s="99"/>
      <x:c r="R341" s="99"/>
      <x:c r="S341" s="99"/>
      <x:c r="T341" s="99"/>
      <x:c r="U341" s="99"/>
      <x:c r="V341" s="99"/>
      <x:c r="W341" s="99"/>
      <x:c r="X341" s="99"/>
      <x:c r="Y341" s="99"/>
      <x:c r="Z341" s="99"/>
    </x:row>
    <x:row r="342">
      <x:c r="A342" s="99"/>
      <x:c r="B342" s="99"/>
      <x:c r="C342" s="99"/>
      <x:c r="D342" s="99"/>
      <x:c r="E342" s="99"/>
      <x:c r="F342" s="99"/>
      <x:c r="G342" s="99"/>
      <x:c r="H342" s="99"/>
      <x:c r="I342" s="99"/>
      <x:c r="J342" s="99"/>
      <x:c r="K342" s="99"/>
      <x:c r="L342" s="99"/>
      <x:c r="M342" s="99"/>
      <x:c r="N342" s="99"/>
      <x:c r="O342" s="99"/>
      <x:c r="P342" s="99"/>
      <x:c r="Q342" s="99"/>
      <x:c r="R342" s="99"/>
      <x:c r="S342" s="99"/>
      <x:c r="T342" s="99"/>
      <x:c r="U342" s="99"/>
      <x:c r="V342" s="99"/>
      <x:c r="W342" s="99"/>
      <x:c r="X342" s="99"/>
      <x:c r="Y342" s="99"/>
      <x:c r="Z342" s="99"/>
    </x:row>
    <x:row r="343">
      <x:c r="A343" s="99"/>
      <x:c r="B343" s="99"/>
      <x:c r="C343" s="99"/>
      <x:c r="D343" s="99"/>
      <x:c r="E343" s="99"/>
      <x:c r="F343" s="99"/>
      <x:c r="G343" s="99"/>
      <x:c r="H343" s="99"/>
      <x:c r="I343" s="99"/>
      <x:c r="J343" s="99"/>
      <x:c r="K343" s="99"/>
      <x:c r="L343" s="99"/>
      <x:c r="M343" s="99"/>
      <x:c r="N343" s="99"/>
      <x:c r="O343" s="99"/>
      <x:c r="P343" s="99"/>
      <x:c r="Q343" s="99"/>
      <x:c r="R343" s="99"/>
      <x:c r="S343" s="99"/>
      <x:c r="T343" s="99"/>
      <x:c r="U343" s="99"/>
      <x:c r="V343" s="99"/>
      <x:c r="W343" s="99"/>
      <x:c r="X343" s="99"/>
      <x:c r="Y343" s="99"/>
      <x:c r="Z343" s="99"/>
    </x:row>
    <x:row r="344">
      <x:c r="A344" s="99"/>
      <x:c r="B344" s="99"/>
      <x:c r="C344" s="99"/>
      <x:c r="D344" s="99"/>
      <x:c r="E344" s="99"/>
      <x:c r="F344" s="99"/>
      <x:c r="G344" s="99"/>
      <x:c r="H344" s="99"/>
      <x:c r="I344" s="99"/>
      <x:c r="J344" s="99"/>
      <x:c r="K344" s="99"/>
      <x:c r="L344" s="99"/>
      <x:c r="M344" s="99"/>
      <x:c r="N344" s="99"/>
      <x:c r="O344" s="99"/>
      <x:c r="P344" s="99"/>
      <x:c r="Q344" s="99"/>
      <x:c r="R344" s="99"/>
      <x:c r="S344" s="99"/>
      <x:c r="T344" s="99"/>
      <x:c r="U344" s="99"/>
      <x:c r="V344" s="99"/>
      <x:c r="W344" s="99"/>
      <x:c r="X344" s="99"/>
      <x:c r="Y344" s="99"/>
      <x:c r="Z344" s="99"/>
    </x:row>
    <x:row r="345">
      <x:c r="A345" s="99"/>
      <x:c r="B345" s="99"/>
      <x:c r="C345" s="99"/>
      <x:c r="D345" s="99"/>
      <x:c r="E345" s="99"/>
      <x:c r="F345" s="99"/>
      <x:c r="G345" s="99"/>
      <x:c r="H345" s="99"/>
      <x:c r="I345" s="99"/>
      <x:c r="J345" s="99"/>
      <x:c r="K345" s="99"/>
      <x:c r="L345" s="99"/>
      <x:c r="M345" s="99"/>
      <x:c r="N345" s="99"/>
      <x:c r="O345" s="99"/>
      <x:c r="P345" s="99"/>
      <x:c r="Q345" s="99"/>
      <x:c r="R345" s="99"/>
      <x:c r="S345" s="99"/>
      <x:c r="T345" s="99"/>
      <x:c r="U345" s="99"/>
      <x:c r="V345" s="99"/>
      <x:c r="W345" s="99"/>
      <x:c r="X345" s="99"/>
      <x:c r="Y345" s="99"/>
      <x:c r="Z345" s="99"/>
    </x:row>
    <x:row r="346">
      <x:c r="A346" s="99"/>
      <x:c r="B346" s="99"/>
      <x:c r="C346" s="99"/>
      <x:c r="D346" s="99"/>
      <x:c r="E346" s="99"/>
      <x:c r="F346" s="99"/>
      <x:c r="G346" s="99"/>
      <x:c r="H346" s="99"/>
      <x:c r="I346" s="99"/>
      <x:c r="J346" s="99"/>
      <x:c r="K346" s="99"/>
      <x:c r="L346" s="99"/>
      <x:c r="M346" s="99"/>
      <x:c r="N346" s="99"/>
      <x:c r="O346" s="99"/>
      <x:c r="P346" s="99"/>
      <x:c r="Q346" s="99"/>
      <x:c r="R346" s="99"/>
      <x:c r="S346" s="99"/>
      <x:c r="T346" s="99"/>
      <x:c r="U346" s="99"/>
      <x:c r="V346" s="99"/>
      <x:c r="W346" s="99"/>
      <x:c r="X346" s="99"/>
      <x:c r="Y346" s="99"/>
      <x:c r="Z346" s="99"/>
    </x:row>
    <x:row r="347">
      <x:c r="A347" s="99"/>
      <x:c r="B347" s="99"/>
      <x:c r="C347" s="99"/>
      <x:c r="D347" s="99"/>
      <x:c r="E347" s="99"/>
      <x:c r="F347" s="99"/>
      <x:c r="G347" s="99"/>
      <x:c r="H347" s="99"/>
      <x:c r="I347" s="99"/>
      <x:c r="J347" s="99"/>
      <x:c r="K347" s="99"/>
      <x:c r="L347" s="99"/>
      <x:c r="M347" s="99"/>
      <x:c r="N347" s="99"/>
      <x:c r="O347" s="99"/>
      <x:c r="P347" s="99"/>
      <x:c r="Q347" s="99"/>
      <x:c r="R347" s="99"/>
      <x:c r="S347" s="99"/>
      <x:c r="T347" s="99"/>
      <x:c r="U347" s="99"/>
      <x:c r="V347" s="99"/>
      <x:c r="W347" s="99"/>
      <x:c r="X347" s="99"/>
      <x:c r="Y347" s="99"/>
      <x:c r="Z347" s="99"/>
    </x:row>
    <x:row r="348">
      <x:c r="A348" s="99"/>
      <x:c r="B348" s="99"/>
      <x:c r="C348" s="99"/>
      <x:c r="D348" s="99"/>
      <x:c r="E348" s="99"/>
      <x:c r="F348" s="99"/>
      <x:c r="G348" s="99"/>
      <x:c r="H348" s="99"/>
      <x:c r="I348" s="99"/>
      <x:c r="J348" s="99"/>
      <x:c r="K348" s="99"/>
      <x:c r="L348" s="99"/>
      <x:c r="M348" s="99"/>
      <x:c r="N348" s="99"/>
      <x:c r="O348" s="99"/>
      <x:c r="P348" s="99"/>
      <x:c r="Q348" s="99"/>
      <x:c r="R348" s="99"/>
      <x:c r="S348" s="99"/>
      <x:c r="T348" s="99"/>
      <x:c r="U348" s="99"/>
      <x:c r="V348" s="99"/>
      <x:c r="W348" s="99"/>
      <x:c r="X348" s="99"/>
      <x:c r="Y348" s="99"/>
      <x:c r="Z348" s="99"/>
    </x:row>
    <x:row r="349">
      <x:c r="A349" s="99"/>
      <x:c r="B349" s="99"/>
      <x:c r="C349" s="99"/>
      <x:c r="D349" s="99"/>
      <x:c r="E349" s="99"/>
      <x:c r="F349" s="99"/>
      <x:c r="G349" s="99"/>
      <x:c r="H349" s="99"/>
      <x:c r="I349" s="99"/>
      <x:c r="J349" s="99"/>
      <x:c r="K349" s="99"/>
      <x:c r="L349" s="99"/>
      <x:c r="M349" s="99"/>
      <x:c r="N349" s="99"/>
      <x:c r="O349" s="99"/>
      <x:c r="P349" s="99"/>
      <x:c r="Q349" s="99"/>
      <x:c r="R349" s="99"/>
      <x:c r="S349" s="99"/>
      <x:c r="T349" s="99"/>
      <x:c r="U349" s="99"/>
      <x:c r="V349" s="99"/>
      <x:c r="W349" s="99"/>
      <x:c r="X349" s="99"/>
      <x:c r="Y349" s="99"/>
      <x:c r="Z349" s="99"/>
    </x:row>
    <x:row r="350">
      <x:c r="A350" s="99"/>
      <x:c r="B350" s="99"/>
      <x:c r="C350" s="99"/>
      <x:c r="D350" s="99"/>
      <x:c r="E350" s="99"/>
      <x:c r="F350" s="99"/>
      <x:c r="G350" s="99"/>
      <x:c r="H350" s="99"/>
      <x:c r="I350" s="99"/>
      <x:c r="J350" s="99"/>
      <x:c r="K350" s="99"/>
      <x:c r="L350" s="99"/>
      <x:c r="M350" s="99"/>
      <x:c r="N350" s="99"/>
      <x:c r="O350" s="99"/>
      <x:c r="P350" s="99"/>
      <x:c r="Q350" s="99"/>
      <x:c r="R350" s="99"/>
      <x:c r="S350" s="99"/>
      <x:c r="T350" s="99"/>
      <x:c r="U350" s="99"/>
      <x:c r="V350" s="99"/>
      <x:c r="W350" s="99"/>
      <x:c r="X350" s="99"/>
      <x:c r="Y350" s="99"/>
      <x:c r="Z350" s="99"/>
    </x:row>
    <x:row r="351">
      <x:c r="A351" s="99"/>
      <x:c r="B351" s="99"/>
      <x:c r="C351" s="99"/>
      <x:c r="D351" s="99"/>
      <x:c r="E351" s="99"/>
      <x:c r="F351" s="99"/>
      <x:c r="G351" s="99"/>
      <x:c r="H351" s="99"/>
      <x:c r="I351" s="99"/>
      <x:c r="J351" s="99"/>
      <x:c r="K351" s="99"/>
      <x:c r="L351" s="99"/>
      <x:c r="M351" s="99"/>
      <x:c r="N351" s="99"/>
      <x:c r="O351" s="99"/>
      <x:c r="P351" s="99"/>
      <x:c r="Q351" s="99"/>
      <x:c r="R351" s="99"/>
      <x:c r="S351" s="99"/>
      <x:c r="T351" s="99"/>
      <x:c r="U351" s="99"/>
      <x:c r="V351" s="99"/>
      <x:c r="W351" s="99"/>
      <x:c r="X351" s="99"/>
      <x:c r="Y351" s="99"/>
      <x:c r="Z351" s="99"/>
    </x:row>
    <x:row r="352">
      <x:c r="A352" s="99"/>
      <x:c r="B352" s="99"/>
      <x:c r="C352" s="99"/>
      <x:c r="D352" s="99"/>
      <x:c r="E352" s="99"/>
      <x:c r="F352" s="99"/>
      <x:c r="G352" s="99"/>
      <x:c r="H352" s="99"/>
      <x:c r="I352" s="99"/>
      <x:c r="J352" s="99"/>
      <x:c r="K352" s="99"/>
      <x:c r="L352" s="99"/>
      <x:c r="M352" s="99"/>
      <x:c r="N352" s="99"/>
      <x:c r="O352" s="99"/>
      <x:c r="P352" s="99"/>
      <x:c r="Q352" s="99"/>
      <x:c r="R352" s="99"/>
      <x:c r="S352" s="99"/>
      <x:c r="T352" s="99"/>
      <x:c r="U352" s="99"/>
      <x:c r="V352" s="99"/>
      <x:c r="W352" s="99"/>
      <x:c r="X352" s="99"/>
      <x:c r="Y352" s="99"/>
      <x:c r="Z352" s="99"/>
    </x:row>
    <x:row r="353">
      <x:c r="A353" s="99"/>
      <x:c r="B353" s="99"/>
      <x:c r="C353" s="99"/>
      <x:c r="D353" s="99"/>
      <x:c r="E353" s="99"/>
      <x:c r="F353" s="99"/>
      <x:c r="G353" s="99"/>
      <x:c r="H353" s="99"/>
      <x:c r="I353" s="99"/>
      <x:c r="J353" s="99"/>
      <x:c r="K353" s="99"/>
      <x:c r="L353" s="99"/>
      <x:c r="M353" s="99"/>
      <x:c r="N353" s="99"/>
      <x:c r="O353" s="99"/>
      <x:c r="P353" s="99"/>
      <x:c r="Q353" s="99"/>
      <x:c r="R353" s="99"/>
      <x:c r="S353" s="99"/>
      <x:c r="T353" s="99"/>
      <x:c r="U353" s="99"/>
      <x:c r="V353" s="99"/>
      <x:c r="W353" s="99"/>
      <x:c r="X353" s="99"/>
      <x:c r="Y353" s="99"/>
      <x:c r="Z353" s="99"/>
    </x:row>
    <x:row r="354">
      <x:c r="A354" s="99"/>
      <x:c r="B354" s="99"/>
      <x:c r="C354" s="99"/>
      <x:c r="D354" s="99"/>
      <x:c r="E354" s="99"/>
      <x:c r="F354" s="99"/>
      <x:c r="G354" s="99"/>
      <x:c r="H354" s="99"/>
      <x:c r="I354" s="99"/>
      <x:c r="J354" s="99"/>
      <x:c r="K354" s="99"/>
      <x:c r="L354" s="99"/>
      <x:c r="M354" s="99"/>
      <x:c r="N354" s="99"/>
      <x:c r="O354" s="99"/>
      <x:c r="P354" s="99"/>
      <x:c r="Q354" s="99"/>
      <x:c r="R354" s="99"/>
      <x:c r="S354" s="99"/>
      <x:c r="T354" s="99"/>
      <x:c r="U354" s="99"/>
      <x:c r="V354" s="99"/>
      <x:c r="W354" s="99"/>
      <x:c r="X354" s="99"/>
      <x:c r="Y354" s="99"/>
      <x:c r="Z354" s="99"/>
    </x:row>
    <x:row r="355">
      <x:c r="A355" s="99"/>
      <x:c r="B355" s="99"/>
      <x:c r="C355" s="99"/>
      <x:c r="D355" s="99"/>
      <x:c r="E355" s="99"/>
      <x:c r="F355" s="99"/>
      <x:c r="G355" s="99"/>
      <x:c r="H355" s="99"/>
      <x:c r="I355" s="99"/>
      <x:c r="J355" s="99"/>
      <x:c r="K355" s="99"/>
      <x:c r="L355" s="99"/>
      <x:c r="M355" s="99"/>
      <x:c r="N355" s="99"/>
      <x:c r="O355" s="99"/>
      <x:c r="P355" s="99"/>
      <x:c r="Q355" s="99"/>
      <x:c r="R355" s="99"/>
      <x:c r="S355" s="99"/>
      <x:c r="T355" s="99"/>
      <x:c r="U355" s="99"/>
      <x:c r="V355" s="99"/>
      <x:c r="W355" s="99"/>
      <x:c r="X355" s="99"/>
      <x:c r="Y355" s="99"/>
      <x:c r="Z355" s="99"/>
    </x:row>
    <x:row r="356">
      <x:c r="A356" s="99"/>
      <x:c r="B356" s="99"/>
      <x:c r="C356" s="99"/>
      <x:c r="D356" s="99"/>
      <x:c r="E356" s="99"/>
      <x:c r="F356" s="99"/>
      <x:c r="G356" s="99"/>
      <x:c r="H356" s="99"/>
      <x:c r="I356" s="99"/>
      <x:c r="J356" s="99"/>
      <x:c r="K356" s="99"/>
      <x:c r="L356" s="99"/>
      <x:c r="M356" s="99"/>
      <x:c r="N356" s="99"/>
      <x:c r="O356" s="99"/>
      <x:c r="P356" s="99"/>
      <x:c r="Q356" s="99"/>
      <x:c r="R356" s="99"/>
      <x:c r="S356" s="99"/>
      <x:c r="T356" s="99"/>
      <x:c r="U356" s="99"/>
      <x:c r="V356" s="99"/>
      <x:c r="W356" s="99"/>
      <x:c r="X356" s="99"/>
      <x:c r="Y356" s="99"/>
      <x:c r="Z356" s="99"/>
    </x:row>
    <x:row r="357">
      <x:c r="A357" s="99"/>
      <x:c r="B357" s="99"/>
      <x:c r="C357" s="99"/>
      <x:c r="D357" s="99"/>
      <x:c r="E357" s="99"/>
      <x:c r="F357" s="99"/>
      <x:c r="G357" s="99"/>
      <x:c r="H357" s="99"/>
      <x:c r="I357" s="99"/>
      <x:c r="J357" s="99"/>
      <x:c r="K357" s="99"/>
      <x:c r="L357" s="99"/>
      <x:c r="M357" s="99"/>
      <x:c r="N357" s="99"/>
      <x:c r="O357" s="99"/>
      <x:c r="P357" s="99"/>
      <x:c r="Q357" s="99"/>
      <x:c r="R357" s="99"/>
      <x:c r="S357" s="99"/>
      <x:c r="T357" s="99"/>
      <x:c r="U357" s="99"/>
      <x:c r="V357" s="99"/>
      <x:c r="W357" s="99"/>
      <x:c r="X357" s="99"/>
      <x:c r="Y357" s="99"/>
      <x:c r="Z357" s="99"/>
    </x:row>
    <x:row r="358">
      <x:c r="A358" s="99"/>
      <x:c r="B358" s="99"/>
      <x:c r="C358" s="99"/>
      <x:c r="D358" s="99"/>
      <x:c r="E358" s="99"/>
      <x:c r="F358" s="99"/>
      <x:c r="G358" s="99"/>
      <x:c r="H358" s="99"/>
      <x:c r="I358" s="99"/>
      <x:c r="J358" s="99"/>
      <x:c r="K358" s="99"/>
      <x:c r="L358" s="99"/>
      <x:c r="M358" s="99"/>
      <x:c r="N358" s="99"/>
      <x:c r="O358" s="99"/>
      <x:c r="P358" s="99"/>
      <x:c r="Q358" s="99"/>
      <x:c r="R358" s="99"/>
      <x:c r="S358" s="99"/>
      <x:c r="T358" s="99"/>
      <x:c r="U358" s="99"/>
      <x:c r="V358" s="99"/>
      <x:c r="W358" s="99"/>
      <x:c r="X358" s="99"/>
      <x:c r="Y358" s="99"/>
      <x:c r="Z358" s="99"/>
    </x:row>
    <x:row r="359">
      <x:c r="A359" s="99"/>
      <x:c r="B359" s="99"/>
      <x:c r="C359" s="99"/>
      <x:c r="D359" s="99"/>
      <x:c r="E359" s="99"/>
      <x:c r="F359" s="99"/>
      <x:c r="G359" s="99"/>
      <x:c r="H359" s="99"/>
      <x:c r="I359" s="99"/>
      <x:c r="J359" s="99"/>
      <x:c r="K359" s="99"/>
      <x:c r="L359" s="99"/>
      <x:c r="M359" s="99"/>
      <x:c r="N359" s="99"/>
      <x:c r="O359" s="99"/>
      <x:c r="P359" s="99"/>
      <x:c r="Q359" s="99"/>
      <x:c r="R359" s="99"/>
      <x:c r="S359" s="99"/>
      <x:c r="T359" s="99"/>
      <x:c r="U359" s="99"/>
      <x:c r="V359" s="99"/>
      <x:c r="W359" s="99"/>
      <x:c r="X359" s="99"/>
      <x:c r="Y359" s="99"/>
      <x:c r="Z359" s="99"/>
    </x:row>
    <x:row r="360">
      <x:c r="A360" s="99"/>
      <x:c r="B360" s="99"/>
      <x:c r="C360" s="99"/>
      <x:c r="D360" s="99"/>
      <x:c r="E360" s="99"/>
      <x:c r="F360" s="99"/>
      <x:c r="G360" s="99"/>
      <x:c r="H360" s="99"/>
      <x:c r="I360" s="99"/>
      <x:c r="J360" s="99"/>
      <x:c r="K360" s="99"/>
      <x:c r="L360" s="99"/>
      <x:c r="M360" s="99"/>
      <x:c r="N360" s="99"/>
      <x:c r="O360" s="99"/>
      <x:c r="P360" s="99"/>
      <x:c r="Q360" s="99"/>
      <x:c r="R360" s="99"/>
      <x:c r="S360" s="99"/>
      <x:c r="T360" s="99"/>
      <x:c r="U360" s="99"/>
      <x:c r="V360" s="99"/>
      <x:c r="W360" s="99"/>
      <x:c r="X360" s="99"/>
      <x:c r="Y360" s="99"/>
      <x:c r="Z360" s="99"/>
    </x:row>
    <x:row r="361">
      <x:c r="A361" s="99"/>
      <x:c r="B361" s="99"/>
      <x:c r="C361" s="99"/>
      <x:c r="D361" s="99"/>
      <x:c r="E361" s="99"/>
      <x:c r="F361" s="99"/>
      <x:c r="G361" s="99"/>
      <x:c r="H361" s="99"/>
      <x:c r="I361" s="99"/>
      <x:c r="J361" s="99"/>
      <x:c r="K361" s="99"/>
      <x:c r="L361" s="99"/>
      <x:c r="M361" s="99"/>
      <x:c r="N361" s="99"/>
      <x:c r="O361" s="99"/>
      <x:c r="P361" s="99"/>
      <x:c r="Q361" s="99"/>
      <x:c r="R361" s="99"/>
      <x:c r="S361" s="99"/>
      <x:c r="T361" s="99"/>
      <x:c r="U361" s="99"/>
      <x:c r="V361" s="99"/>
      <x:c r="W361" s="99"/>
      <x:c r="X361" s="99"/>
      <x:c r="Y361" s="99"/>
      <x:c r="Z361" s="99"/>
    </x:row>
    <x:row r="362">
      <x:c r="A362" s="99"/>
      <x:c r="B362" s="99"/>
      <x:c r="C362" s="99"/>
      <x:c r="D362" s="99"/>
      <x:c r="E362" s="99"/>
      <x:c r="F362" s="99"/>
      <x:c r="G362" s="99"/>
      <x:c r="H362" s="99"/>
      <x:c r="I362" s="99"/>
      <x:c r="J362" s="99"/>
      <x:c r="K362" s="99"/>
      <x:c r="L362" s="99"/>
      <x:c r="M362" s="99"/>
      <x:c r="N362" s="99"/>
      <x:c r="O362" s="99"/>
      <x:c r="P362" s="99"/>
      <x:c r="Q362" s="99"/>
      <x:c r="R362" s="99"/>
      <x:c r="S362" s="99"/>
      <x:c r="T362" s="99"/>
      <x:c r="U362" s="99"/>
      <x:c r="V362" s="99"/>
      <x:c r="W362" s="99"/>
      <x:c r="X362" s="99"/>
      <x:c r="Y362" s="99"/>
      <x:c r="Z362" s="99"/>
    </x:row>
    <x:row r="363">
      <x:c r="A363" s="99"/>
      <x:c r="B363" s="99"/>
      <x:c r="C363" s="99"/>
      <x:c r="D363" s="99"/>
      <x:c r="E363" s="99"/>
      <x:c r="F363" s="99"/>
      <x:c r="G363" s="99"/>
      <x:c r="H363" s="99"/>
      <x:c r="I363" s="99"/>
      <x:c r="J363" s="99"/>
      <x:c r="K363" s="99"/>
      <x:c r="L363" s="99"/>
      <x:c r="M363" s="99"/>
      <x:c r="N363" s="99"/>
      <x:c r="O363" s="99"/>
      <x:c r="P363" s="99"/>
      <x:c r="Q363" s="99"/>
      <x:c r="R363" s="99"/>
      <x:c r="S363" s="99"/>
      <x:c r="T363" s="99"/>
      <x:c r="U363" s="99"/>
      <x:c r="V363" s="99"/>
      <x:c r="W363" s="99"/>
      <x:c r="X363" s="99"/>
      <x:c r="Y363" s="99"/>
      <x:c r="Z363" s="99"/>
    </x:row>
    <x:row r="364">
      <x:c r="A364" s="99"/>
      <x:c r="B364" s="99"/>
      <x:c r="C364" s="99"/>
      <x:c r="D364" s="99"/>
      <x:c r="E364" s="99"/>
      <x:c r="F364" s="99"/>
      <x:c r="G364" s="99"/>
      <x:c r="H364" s="99"/>
      <x:c r="I364" s="99"/>
      <x:c r="J364" s="99"/>
      <x:c r="K364" s="99"/>
      <x:c r="L364" s="99"/>
      <x:c r="M364" s="99"/>
      <x:c r="N364" s="99"/>
      <x:c r="O364" s="99"/>
      <x:c r="P364" s="99"/>
      <x:c r="Q364" s="99"/>
      <x:c r="R364" s="99"/>
      <x:c r="S364" s="99"/>
      <x:c r="T364" s="99"/>
      <x:c r="U364" s="99"/>
      <x:c r="V364" s="99"/>
      <x:c r="W364" s="99"/>
      <x:c r="X364" s="99"/>
      <x:c r="Y364" s="99"/>
      <x:c r="Z364" s="99"/>
    </x:row>
    <x:row r="365">
      <x:c r="A365" s="99"/>
      <x:c r="B365" s="99"/>
      <x:c r="C365" s="99"/>
      <x:c r="D365" s="99"/>
      <x:c r="E365" s="99"/>
      <x:c r="F365" s="99"/>
      <x:c r="G365" s="99"/>
      <x:c r="H365" s="99"/>
      <x:c r="I365" s="99"/>
      <x:c r="J365" s="99"/>
      <x:c r="K365" s="99"/>
      <x:c r="L365" s="99"/>
      <x:c r="M365" s="99"/>
      <x:c r="N365" s="99"/>
      <x:c r="O365" s="99"/>
      <x:c r="P365" s="99"/>
      <x:c r="Q365" s="99"/>
      <x:c r="R365" s="99"/>
      <x:c r="S365" s="99"/>
      <x:c r="T365" s="99"/>
      <x:c r="U365" s="99"/>
      <x:c r="V365" s="99"/>
      <x:c r="W365" s="99"/>
      <x:c r="X365" s="99"/>
      <x:c r="Y365" s="99"/>
      <x:c r="Z365" s="99"/>
    </x:row>
    <x:row r="366">
      <x:c r="A366" s="99"/>
      <x:c r="B366" s="99"/>
      <x:c r="C366" s="99"/>
      <x:c r="D366" s="99"/>
      <x:c r="E366" s="99"/>
      <x:c r="F366" s="99"/>
      <x:c r="G366" s="99"/>
      <x:c r="H366" s="99"/>
      <x:c r="I366" s="99"/>
      <x:c r="J366" s="99"/>
      <x:c r="K366" s="99"/>
      <x:c r="L366" s="99"/>
      <x:c r="M366" s="99"/>
      <x:c r="N366" s="99"/>
      <x:c r="O366" s="99"/>
      <x:c r="P366" s="99"/>
      <x:c r="Q366" s="99"/>
      <x:c r="R366" s="99"/>
      <x:c r="S366" s="99"/>
      <x:c r="T366" s="99"/>
      <x:c r="U366" s="99"/>
      <x:c r="V366" s="99"/>
      <x:c r="W366" s="99"/>
      <x:c r="X366" s="99"/>
      <x:c r="Y366" s="99"/>
      <x:c r="Z366" s="99"/>
    </x:row>
    <x:row r="367">
      <x:c r="A367" s="99"/>
      <x:c r="B367" s="99"/>
      <x:c r="C367" s="99"/>
      <x:c r="D367" s="99"/>
      <x:c r="E367" s="99"/>
      <x:c r="F367" s="99"/>
      <x:c r="G367" s="99"/>
      <x:c r="H367" s="99"/>
      <x:c r="I367" s="99"/>
      <x:c r="J367" s="99"/>
      <x:c r="K367" s="99"/>
      <x:c r="L367" s="99"/>
      <x:c r="M367" s="99"/>
      <x:c r="N367" s="99"/>
      <x:c r="O367" s="99"/>
      <x:c r="P367" s="99"/>
      <x:c r="Q367" s="99"/>
      <x:c r="R367" s="99"/>
      <x:c r="S367" s="99"/>
      <x:c r="T367" s="99"/>
      <x:c r="U367" s="99"/>
      <x:c r="V367" s="99"/>
      <x:c r="W367" s="99"/>
      <x:c r="X367" s="99"/>
      <x:c r="Y367" s="99"/>
      <x:c r="Z367" s="99"/>
    </x:row>
    <x:row r="368">
      <x:c r="A368" s="99"/>
      <x:c r="B368" s="99"/>
      <x:c r="C368" s="99"/>
      <x:c r="D368" s="99"/>
      <x:c r="E368" s="99"/>
      <x:c r="F368" s="99"/>
      <x:c r="G368" s="99"/>
      <x:c r="H368" s="99"/>
      <x:c r="I368" s="99"/>
      <x:c r="J368" s="99"/>
      <x:c r="K368" s="99"/>
      <x:c r="L368" s="99"/>
      <x:c r="M368" s="99"/>
      <x:c r="N368" s="99"/>
      <x:c r="O368" s="99"/>
      <x:c r="P368" s="99"/>
      <x:c r="Q368" s="99"/>
      <x:c r="R368" s="99"/>
      <x:c r="S368" s="99"/>
      <x:c r="T368" s="99"/>
      <x:c r="U368" s="99"/>
      <x:c r="V368" s="99"/>
      <x:c r="W368" s="99"/>
      <x:c r="X368" s="99"/>
      <x:c r="Y368" s="99"/>
      <x:c r="Z368" s="99"/>
    </x:row>
    <x:row r="369">
      <x:c r="A369" s="99"/>
      <x:c r="B369" s="99"/>
      <x:c r="C369" s="99"/>
      <x:c r="D369" s="99"/>
      <x:c r="E369" s="99"/>
      <x:c r="F369" s="99"/>
      <x:c r="G369" s="99"/>
      <x:c r="H369" s="99"/>
      <x:c r="I369" s="99"/>
      <x:c r="J369" s="99"/>
      <x:c r="K369" s="99"/>
      <x:c r="L369" s="99"/>
      <x:c r="M369" s="99"/>
      <x:c r="N369" s="99"/>
      <x:c r="O369" s="99"/>
      <x:c r="P369" s="99"/>
      <x:c r="Q369" s="99"/>
      <x:c r="R369" s="99"/>
      <x:c r="S369" s="99"/>
      <x:c r="T369" s="99"/>
      <x:c r="U369" s="99"/>
      <x:c r="V369" s="99"/>
      <x:c r="W369" s="99"/>
      <x:c r="X369" s="99"/>
      <x:c r="Y369" s="99"/>
      <x:c r="Z369" s="99"/>
    </x:row>
    <x:row r="370">
      <x:c r="A370" s="99"/>
      <x:c r="B370" s="99"/>
      <x:c r="C370" s="99"/>
      <x:c r="D370" s="99"/>
      <x:c r="E370" s="99"/>
      <x:c r="F370" s="99"/>
      <x:c r="G370" s="99"/>
      <x:c r="H370" s="99"/>
      <x:c r="I370" s="99"/>
      <x:c r="J370" s="99"/>
      <x:c r="K370" s="99"/>
      <x:c r="L370" s="99"/>
      <x:c r="M370" s="99"/>
      <x:c r="N370" s="99"/>
      <x:c r="O370" s="99"/>
      <x:c r="P370" s="99"/>
      <x:c r="Q370" s="99"/>
      <x:c r="R370" s="99"/>
      <x:c r="S370" s="99"/>
      <x:c r="T370" s="99"/>
      <x:c r="U370" s="99"/>
      <x:c r="V370" s="99"/>
      <x:c r="W370" s="99"/>
      <x:c r="X370" s="99"/>
      <x:c r="Y370" s="99"/>
      <x:c r="Z370" s="99"/>
    </x:row>
    <x:row r="371">
      <x:c r="A371" s="99"/>
      <x:c r="B371" s="99"/>
      <x:c r="C371" s="99"/>
      <x:c r="D371" s="99"/>
      <x:c r="E371" s="99"/>
      <x:c r="F371" s="99"/>
      <x:c r="G371" s="99"/>
      <x:c r="H371" s="99"/>
      <x:c r="I371" s="99"/>
      <x:c r="J371" s="99"/>
      <x:c r="K371" s="99"/>
      <x:c r="L371" s="99"/>
      <x:c r="M371" s="99"/>
      <x:c r="N371" s="99"/>
      <x:c r="O371" s="99"/>
      <x:c r="P371" s="99"/>
      <x:c r="Q371" s="99"/>
      <x:c r="R371" s="99"/>
      <x:c r="S371" s="99"/>
      <x:c r="T371" s="99"/>
      <x:c r="U371" s="99"/>
      <x:c r="V371" s="99"/>
      <x:c r="W371" s="99"/>
      <x:c r="X371" s="99"/>
      <x:c r="Y371" s="99"/>
      <x:c r="Z371" s="99"/>
    </x:row>
    <x:row r="372">
      <x:c r="A372" s="99"/>
      <x:c r="B372" s="99"/>
      <x:c r="C372" s="99"/>
      <x:c r="D372" s="99"/>
      <x:c r="E372" s="99"/>
      <x:c r="F372" s="99"/>
      <x:c r="G372" s="99"/>
      <x:c r="H372" s="99"/>
      <x:c r="I372" s="99"/>
      <x:c r="J372" s="99"/>
      <x:c r="K372" s="99"/>
      <x:c r="L372" s="99"/>
      <x:c r="M372" s="99"/>
      <x:c r="N372" s="99"/>
      <x:c r="O372" s="99"/>
      <x:c r="P372" s="99"/>
      <x:c r="Q372" s="99"/>
      <x:c r="R372" s="99"/>
      <x:c r="S372" s="99"/>
      <x:c r="T372" s="99"/>
      <x:c r="U372" s="99"/>
      <x:c r="V372" s="99"/>
      <x:c r="W372" s="99"/>
      <x:c r="X372" s="99"/>
      <x:c r="Y372" s="99"/>
      <x:c r="Z372" s="99"/>
    </x:row>
    <x:row r="373">
      <x:c r="A373" s="99"/>
      <x:c r="B373" s="99"/>
      <x:c r="C373" s="99"/>
      <x:c r="D373" s="99"/>
      <x:c r="E373" s="99"/>
      <x:c r="F373" s="99"/>
      <x:c r="G373" s="99"/>
      <x:c r="H373" s="99"/>
      <x:c r="I373" s="99"/>
      <x:c r="J373" s="99"/>
      <x:c r="K373" s="99"/>
      <x:c r="L373" s="99"/>
      <x:c r="M373" s="99"/>
      <x:c r="N373" s="99"/>
      <x:c r="O373" s="99"/>
      <x:c r="P373" s="99"/>
      <x:c r="Q373" s="99"/>
      <x:c r="R373" s="99"/>
      <x:c r="S373" s="99"/>
      <x:c r="T373" s="99"/>
      <x:c r="U373" s="99"/>
      <x:c r="V373" s="99"/>
      <x:c r="W373" s="99"/>
      <x:c r="X373" s="99"/>
      <x:c r="Y373" s="99"/>
      <x:c r="Z373" s="99"/>
    </x:row>
    <x:row r="374">
      <x:c r="A374" s="99"/>
      <x:c r="B374" s="99"/>
      <x:c r="C374" s="99"/>
      <x:c r="D374" s="99"/>
      <x:c r="E374" s="99"/>
      <x:c r="F374" s="99"/>
      <x:c r="G374" s="99"/>
      <x:c r="H374" s="99"/>
      <x:c r="I374" s="99"/>
      <x:c r="J374" s="99"/>
      <x:c r="K374" s="99"/>
      <x:c r="L374" s="99"/>
      <x:c r="M374" s="99"/>
      <x:c r="N374" s="99"/>
      <x:c r="O374" s="99"/>
      <x:c r="P374" s="99"/>
      <x:c r="Q374" s="99"/>
      <x:c r="R374" s="99"/>
      <x:c r="S374" s="99"/>
      <x:c r="T374" s="99"/>
      <x:c r="U374" s="99"/>
      <x:c r="V374" s="99"/>
      <x:c r="W374" s="99"/>
      <x:c r="X374" s="99"/>
      <x:c r="Y374" s="99"/>
      <x:c r="Z374" s="99"/>
    </x:row>
    <x:row r="375">
      <x:c r="A375" s="99"/>
      <x:c r="B375" s="99"/>
      <x:c r="C375" s="99"/>
      <x:c r="D375" s="99"/>
      <x:c r="E375" s="99"/>
      <x:c r="F375" s="99"/>
      <x:c r="G375" s="99"/>
      <x:c r="H375" s="99"/>
      <x:c r="I375" s="99"/>
      <x:c r="J375" s="99"/>
      <x:c r="K375" s="99"/>
      <x:c r="L375" s="99"/>
      <x:c r="M375" s="99"/>
      <x:c r="N375" s="99"/>
      <x:c r="O375" s="99"/>
      <x:c r="P375" s="99"/>
      <x:c r="Q375" s="99"/>
      <x:c r="R375" s="99"/>
      <x:c r="S375" s="99"/>
      <x:c r="T375" s="99"/>
      <x:c r="U375" s="99"/>
      <x:c r="V375" s="99"/>
      <x:c r="W375" s="99"/>
      <x:c r="X375" s="99"/>
      <x:c r="Y375" s="99"/>
      <x:c r="Z375" s="99"/>
    </x:row>
    <x:row r="376">
      <x:c r="A376" s="99"/>
      <x:c r="B376" s="99"/>
      <x:c r="C376" s="99"/>
      <x:c r="D376" s="99"/>
      <x:c r="E376" s="99"/>
      <x:c r="F376" s="99"/>
      <x:c r="G376" s="99"/>
      <x:c r="H376" s="99"/>
      <x:c r="I376" s="99"/>
      <x:c r="J376" s="99"/>
      <x:c r="K376" s="99"/>
      <x:c r="L376" s="99"/>
      <x:c r="M376" s="99"/>
      <x:c r="N376" s="99"/>
      <x:c r="O376" s="99"/>
      <x:c r="P376" s="99"/>
      <x:c r="Q376" s="99"/>
      <x:c r="R376" s="99"/>
      <x:c r="S376" s="99"/>
      <x:c r="T376" s="99"/>
      <x:c r="U376" s="99"/>
      <x:c r="V376" s="99"/>
      <x:c r="W376" s="99"/>
      <x:c r="X376" s="99"/>
      <x:c r="Y376" s="99"/>
      <x:c r="Z376" s="99"/>
    </x:row>
    <x:row r="377">
      <x:c r="A377" s="99"/>
      <x:c r="B377" s="99"/>
      <x:c r="C377" s="99"/>
      <x:c r="D377" s="99"/>
      <x:c r="E377" s="99"/>
      <x:c r="F377" s="99"/>
      <x:c r="G377" s="99"/>
      <x:c r="H377" s="99"/>
      <x:c r="I377" s="99"/>
      <x:c r="J377" s="99"/>
      <x:c r="K377" s="99"/>
      <x:c r="L377" s="99"/>
      <x:c r="M377" s="99"/>
      <x:c r="N377" s="99"/>
      <x:c r="O377" s="99"/>
      <x:c r="P377" s="99"/>
      <x:c r="Q377" s="99"/>
      <x:c r="R377" s="99"/>
      <x:c r="S377" s="99"/>
      <x:c r="T377" s="99"/>
      <x:c r="U377" s="99"/>
      <x:c r="V377" s="99"/>
      <x:c r="W377" s="99"/>
      <x:c r="X377" s="99"/>
      <x:c r="Y377" s="99"/>
      <x:c r="Z377" s="99"/>
    </x:row>
    <x:row r="378">
      <x:c r="A378" s="99"/>
      <x:c r="B378" s="99"/>
      <x:c r="C378" s="99"/>
      <x:c r="D378" s="99"/>
      <x:c r="E378" s="99"/>
      <x:c r="F378" s="99"/>
      <x:c r="G378" s="99"/>
      <x:c r="H378" s="99"/>
      <x:c r="I378" s="99"/>
      <x:c r="J378" s="99"/>
      <x:c r="K378" s="99"/>
      <x:c r="L378" s="99"/>
      <x:c r="M378" s="99"/>
      <x:c r="N378" s="99"/>
      <x:c r="O378" s="99"/>
      <x:c r="P378" s="99"/>
      <x:c r="Q378" s="99"/>
      <x:c r="R378" s="99"/>
      <x:c r="S378" s="99"/>
      <x:c r="T378" s="99"/>
      <x:c r="U378" s="99"/>
      <x:c r="V378" s="99"/>
      <x:c r="W378" s="99"/>
      <x:c r="X378" s="99"/>
      <x:c r="Y378" s="99"/>
      <x:c r="Z378" s="99"/>
    </x:row>
    <x:row r="379">
      <x:c r="A379" s="99"/>
      <x:c r="B379" s="99"/>
      <x:c r="C379" s="99"/>
      <x:c r="D379" s="99"/>
      <x:c r="E379" s="99"/>
      <x:c r="F379" s="99"/>
      <x:c r="G379" s="99"/>
      <x:c r="H379" s="99"/>
      <x:c r="I379" s="99"/>
      <x:c r="J379" s="99"/>
      <x:c r="K379" s="99"/>
      <x:c r="L379" s="99"/>
      <x:c r="M379" s="99"/>
      <x:c r="N379" s="99"/>
      <x:c r="O379" s="99"/>
      <x:c r="P379" s="99"/>
      <x:c r="Q379" s="99"/>
      <x:c r="R379" s="99"/>
      <x:c r="S379" s="99"/>
      <x:c r="T379" s="99"/>
      <x:c r="U379" s="99"/>
      <x:c r="V379" s="99"/>
      <x:c r="W379" s="99"/>
      <x:c r="X379" s="99"/>
      <x:c r="Y379" s="99"/>
      <x:c r="Z379" s="99"/>
    </x:row>
    <x:row r="380">
      <x:c r="A380" s="99"/>
      <x:c r="B380" s="99"/>
      <x:c r="C380" s="99"/>
      <x:c r="D380" s="99"/>
      <x:c r="E380" s="99"/>
      <x:c r="F380" s="99"/>
      <x:c r="G380" s="99"/>
      <x:c r="H380" s="99"/>
      <x:c r="I380" s="99"/>
      <x:c r="J380" s="99"/>
      <x:c r="K380" s="99"/>
      <x:c r="L380" s="99"/>
      <x:c r="M380" s="99"/>
      <x:c r="N380" s="99"/>
      <x:c r="O380" s="99"/>
      <x:c r="P380" s="99"/>
      <x:c r="Q380" s="99"/>
      <x:c r="R380" s="99"/>
      <x:c r="S380" s="99"/>
      <x:c r="T380" s="99"/>
      <x:c r="U380" s="99"/>
      <x:c r="V380" s="99"/>
      <x:c r="W380" s="99"/>
      <x:c r="X380" s="99"/>
      <x:c r="Y380" s="99"/>
      <x:c r="Z380" s="99"/>
    </x:row>
    <x:row r="381">
      <x:c r="A381" s="99"/>
      <x:c r="B381" s="99"/>
      <x:c r="C381" s="99"/>
      <x:c r="D381" s="99"/>
      <x:c r="E381" s="99"/>
      <x:c r="F381" s="99"/>
      <x:c r="G381" s="99"/>
      <x:c r="H381" s="99"/>
      <x:c r="I381" s="99"/>
      <x:c r="J381" s="99"/>
      <x:c r="K381" s="99"/>
      <x:c r="L381" s="99"/>
      <x:c r="M381" s="99"/>
      <x:c r="N381" s="99"/>
      <x:c r="O381" s="99"/>
      <x:c r="P381" s="99"/>
      <x:c r="Q381" s="99"/>
      <x:c r="R381" s="99"/>
      <x:c r="S381" s="99"/>
      <x:c r="T381" s="99"/>
      <x:c r="U381" s="99"/>
      <x:c r="V381" s="99"/>
      <x:c r="W381" s="99"/>
      <x:c r="X381" s="99"/>
      <x:c r="Y381" s="99"/>
      <x:c r="Z381" s="99"/>
    </x:row>
    <x:row r="382">
      <x:c r="A382" s="99"/>
      <x:c r="B382" s="99"/>
      <x:c r="C382" s="99"/>
      <x:c r="D382" s="99"/>
      <x:c r="E382" s="99"/>
      <x:c r="F382" s="99"/>
      <x:c r="G382" s="99"/>
      <x:c r="H382" s="99"/>
      <x:c r="I382" s="99"/>
      <x:c r="J382" s="99"/>
      <x:c r="K382" s="99"/>
      <x:c r="L382" s="99"/>
      <x:c r="M382" s="99"/>
      <x:c r="N382" s="99"/>
      <x:c r="O382" s="99"/>
      <x:c r="P382" s="99"/>
      <x:c r="Q382" s="99"/>
      <x:c r="R382" s="99"/>
      <x:c r="S382" s="99"/>
      <x:c r="T382" s="99"/>
      <x:c r="U382" s="99"/>
      <x:c r="V382" s="99"/>
      <x:c r="W382" s="99"/>
      <x:c r="X382" s="99"/>
      <x:c r="Y382" s="99"/>
      <x:c r="Z382" s="99"/>
    </x:row>
    <x:row r="383">
      <x:c r="A383" s="99"/>
      <x:c r="B383" s="99"/>
      <x:c r="C383" s="99"/>
      <x:c r="D383" s="99"/>
      <x:c r="E383" s="99"/>
      <x:c r="F383" s="99"/>
      <x:c r="G383" s="99"/>
      <x:c r="H383" s="99"/>
      <x:c r="I383" s="99"/>
      <x:c r="J383" s="99"/>
      <x:c r="K383" s="99"/>
      <x:c r="L383" s="99"/>
      <x:c r="M383" s="99"/>
      <x:c r="N383" s="99"/>
      <x:c r="O383" s="99"/>
      <x:c r="P383" s="99"/>
      <x:c r="Q383" s="99"/>
      <x:c r="R383" s="99"/>
      <x:c r="S383" s="99"/>
      <x:c r="T383" s="99"/>
      <x:c r="U383" s="99"/>
      <x:c r="V383" s="99"/>
      <x:c r="W383" s="99"/>
      <x:c r="X383" s="99"/>
      <x:c r="Y383" s="99"/>
      <x:c r="Z383" s="99"/>
    </x:row>
    <x:row r="384">
      <x:c r="A384" s="99"/>
      <x:c r="B384" s="99"/>
      <x:c r="C384" s="99"/>
      <x:c r="D384" s="99"/>
      <x:c r="E384" s="99"/>
      <x:c r="F384" s="99"/>
      <x:c r="G384" s="99"/>
      <x:c r="H384" s="99"/>
      <x:c r="I384" s="99"/>
      <x:c r="J384" s="99"/>
      <x:c r="K384" s="99"/>
      <x:c r="L384" s="99"/>
      <x:c r="M384" s="99"/>
      <x:c r="N384" s="99"/>
      <x:c r="O384" s="99"/>
      <x:c r="P384" s="99"/>
      <x:c r="Q384" s="99"/>
      <x:c r="R384" s="99"/>
      <x:c r="S384" s="99"/>
      <x:c r="T384" s="99"/>
      <x:c r="U384" s="99"/>
      <x:c r="V384" s="99"/>
      <x:c r="W384" s="99"/>
      <x:c r="X384" s="99"/>
      <x:c r="Y384" s="99"/>
      <x:c r="Z384" s="99"/>
    </x:row>
    <x:row r="385">
      <x:c r="A385" s="99"/>
      <x:c r="B385" s="99"/>
      <x:c r="C385" s="99"/>
      <x:c r="D385" s="99"/>
      <x:c r="E385" s="99"/>
      <x:c r="F385" s="99"/>
      <x:c r="G385" s="99"/>
      <x:c r="H385" s="99"/>
      <x:c r="I385" s="99"/>
      <x:c r="J385" s="99"/>
      <x:c r="K385" s="99"/>
      <x:c r="L385" s="99"/>
      <x:c r="M385" s="99"/>
      <x:c r="N385" s="99"/>
      <x:c r="O385" s="99"/>
      <x:c r="P385" s="99"/>
      <x:c r="Q385" s="99"/>
      <x:c r="R385" s="99"/>
      <x:c r="S385" s="99"/>
      <x:c r="T385" s="99"/>
      <x:c r="U385" s="99"/>
      <x:c r="V385" s="99"/>
      <x:c r="W385" s="99"/>
      <x:c r="X385" s="99"/>
      <x:c r="Y385" s="99"/>
      <x:c r="Z385" s="99"/>
    </x:row>
    <x:row r="386">
      <x:c r="A386" s="99"/>
      <x:c r="B386" s="99"/>
      <x:c r="C386" s="99"/>
      <x:c r="D386" s="99"/>
      <x:c r="E386" s="99"/>
      <x:c r="F386" s="99"/>
      <x:c r="G386" s="99"/>
      <x:c r="H386" s="99"/>
      <x:c r="I386" s="99"/>
      <x:c r="J386" s="99"/>
      <x:c r="K386" s="99"/>
      <x:c r="L386" s="99"/>
      <x:c r="M386" s="99"/>
      <x:c r="N386" s="99"/>
      <x:c r="O386" s="99"/>
      <x:c r="P386" s="99"/>
      <x:c r="Q386" s="99"/>
      <x:c r="R386" s="99"/>
      <x:c r="S386" s="99"/>
      <x:c r="T386" s="99"/>
      <x:c r="U386" s="99"/>
      <x:c r="V386" s="99"/>
      <x:c r="W386" s="99"/>
      <x:c r="X386" s="99"/>
      <x:c r="Y386" s="99"/>
      <x:c r="Z386" s="99"/>
    </x:row>
    <x:row r="387">
      <x:c r="A387" s="99"/>
      <x:c r="B387" s="99"/>
      <x:c r="C387" s="99"/>
      <x:c r="D387" s="99"/>
      <x:c r="E387" s="99"/>
      <x:c r="F387" s="99"/>
      <x:c r="G387" s="99"/>
      <x:c r="H387" s="99"/>
      <x:c r="I387" s="99"/>
      <x:c r="J387" s="99"/>
      <x:c r="K387" s="99"/>
      <x:c r="L387" s="99"/>
      <x:c r="M387" s="99"/>
      <x:c r="N387" s="99"/>
      <x:c r="O387" s="99"/>
      <x:c r="P387" s="99"/>
      <x:c r="Q387" s="99"/>
      <x:c r="R387" s="99"/>
      <x:c r="S387" s="99"/>
      <x:c r="T387" s="99"/>
      <x:c r="U387" s="99"/>
      <x:c r="V387" s="99"/>
      <x:c r="W387" s="99"/>
      <x:c r="X387" s="99"/>
      <x:c r="Y387" s="99"/>
      <x:c r="Z387" s="99"/>
    </x:row>
    <x:row r="388">
      <x:c r="A388" s="99"/>
      <x:c r="B388" s="99"/>
      <x:c r="C388" s="99"/>
      <x:c r="D388" s="99"/>
      <x:c r="E388" s="99"/>
      <x:c r="F388" s="99"/>
      <x:c r="G388" s="99"/>
      <x:c r="H388" s="99"/>
      <x:c r="I388" s="99"/>
      <x:c r="J388" s="99"/>
      <x:c r="K388" s="99"/>
      <x:c r="L388" s="99"/>
      <x:c r="M388" s="99"/>
      <x:c r="N388" s="99"/>
      <x:c r="O388" s="99"/>
      <x:c r="P388" s="99"/>
      <x:c r="Q388" s="99"/>
      <x:c r="R388" s="99"/>
      <x:c r="S388" s="99"/>
      <x:c r="T388" s="99"/>
      <x:c r="U388" s="99"/>
      <x:c r="V388" s="99"/>
      <x:c r="W388" s="99"/>
      <x:c r="X388" s="99"/>
      <x:c r="Y388" s="99"/>
      <x:c r="Z388" s="99"/>
    </x:row>
    <x:row r="389">
      <x:c r="A389" s="99"/>
      <x:c r="B389" s="99"/>
      <x:c r="C389" s="99"/>
      <x:c r="D389" s="99"/>
      <x:c r="E389" s="99"/>
      <x:c r="F389" s="99"/>
      <x:c r="G389" s="99"/>
      <x:c r="H389" s="99"/>
      <x:c r="I389" s="99"/>
      <x:c r="J389" s="99"/>
      <x:c r="K389" s="99"/>
      <x:c r="L389" s="99"/>
      <x:c r="M389" s="99"/>
      <x:c r="N389" s="99"/>
      <x:c r="O389" s="99"/>
      <x:c r="P389" s="99"/>
      <x:c r="Q389" s="99"/>
      <x:c r="R389" s="99"/>
      <x:c r="S389" s="99"/>
      <x:c r="T389" s="99"/>
      <x:c r="U389" s="99"/>
      <x:c r="V389" s="99"/>
      <x:c r="W389" s="99"/>
      <x:c r="X389" s="99"/>
      <x:c r="Y389" s="99"/>
      <x:c r="Z389" s="99"/>
    </x:row>
    <x:row r="390">
      <x:c r="A390" s="99"/>
      <x:c r="B390" s="99"/>
      <x:c r="C390" s="99"/>
      <x:c r="D390" s="99"/>
      <x:c r="E390" s="99"/>
      <x:c r="F390" s="99"/>
      <x:c r="G390" s="99"/>
      <x:c r="H390" s="99"/>
      <x:c r="I390" s="99"/>
      <x:c r="J390" s="99"/>
      <x:c r="K390" s="99"/>
      <x:c r="L390" s="99"/>
      <x:c r="M390" s="99"/>
      <x:c r="N390" s="99"/>
      <x:c r="O390" s="99"/>
      <x:c r="P390" s="99"/>
      <x:c r="Q390" s="99"/>
      <x:c r="R390" s="99"/>
      <x:c r="S390" s="99"/>
      <x:c r="T390" s="99"/>
      <x:c r="U390" s="99"/>
      <x:c r="V390" s="99"/>
      <x:c r="W390" s="99"/>
      <x:c r="X390" s="99"/>
      <x:c r="Y390" s="99"/>
      <x:c r="Z390" s="99"/>
    </x:row>
    <x:row r="391">
      <x:c r="A391" s="99"/>
      <x:c r="B391" s="99"/>
      <x:c r="C391" s="99"/>
      <x:c r="D391" s="99"/>
      <x:c r="E391" s="99"/>
      <x:c r="F391" s="99"/>
      <x:c r="G391" s="99"/>
      <x:c r="H391" s="99"/>
      <x:c r="I391" s="99"/>
      <x:c r="J391" s="99"/>
      <x:c r="K391" s="99"/>
      <x:c r="L391" s="99"/>
      <x:c r="M391" s="99"/>
      <x:c r="N391" s="99"/>
      <x:c r="O391" s="99"/>
      <x:c r="P391" s="99"/>
      <x:c r="Q391" s="99"/>
      <x:c r="R391" s="99"/>
      <x:c r="S391" s="99"/>
      <x:c r="T391" s="99"/>
      <x:c r="U391" s="99"/>
      <x:c r="V391" s="99"/>
      <x:c r="W391" s="99"/>
      <x:c r="X391" s="99"/>
      <x:c r="Y391" s="99"/>
      <x:c r="Z391" s="99"/>
    </x:row>
    <x:row r="392">
      <x:c r="A392" s="99"/>
      <x:c r="B392" s="99"/>
      <x:c r="C392" s="99"/>
      <x:c r="D392" s="99"/>
      <x:c r="E392" s="99"/>
      <x:c r="F392" s="99"/>
      <x:c r="G392" s="99"/>
      <x:c r="H392" s="99"/>
      <x:c r="I392" s="99"/>
      <x:c r="J392" s="99"/>
      <x:c r="K392" s="99"/>
      <x:c r="L392" s="99"/>
      <x:c r="M392" s="99"/>
      <x:c r="N392" s="99"/>
      <x:c r="O392" s="99"/>
      <x:c r="P392" s="99"/>
      <x:c r="Q392" s="99"/>
      <x:c r="R392" s="99"/>
      <x:c r="S392" s="99"/>
      <x:c r="T392" s="99"/>
      <x:c r="U392" s="99"/>
      <x:c r="V392" s="99"/>
      <x:c r="W392" s="99"/>
      <x:c r="X392" s="99"/>
      <x:c r="Y392" s="99"/>
      <x:c r="Z392" s="99"/>
    </x:row>
    <x:row r="393">
      <x:c r="A393" s="99"/>
      <x:c r="B393" s="99"/>
      <x:c r="C393" s="99"/>
      <x:c r="D393" s="99"/>
      <x:c r="E393" s="99"/>
      <x:c r="F393" s="99"/>
      <x:c r="G393" s="99"/>
      <x:c r="H393" s="99"/>
      <x:c r="I393" s="99"/>
      <x:c r="J393" s="99"/>
      <x:c r="K393" s="99"/>
      <x:c r="L393" s="99"/>
      <x:c r="M393" s="99"/>
      <x:c r="N393" s="99"/>
      <x:c r="O393" s="99"/>
      <x:c r="P393" s="99"/>
      <x:c r="Q393" s="99"/>
      <x:c r="R393" s="99"/>
      <x:c r="S393" s="99"/>
      <x:c r="T393" s="99"/>
      <x:c r="U393" s="99"/>
      <x:c r="V393" s="99"/>
      <x:c r="W393" s="99"/>
      <x:c r="X393" s="99"/>
      <x:c r="Y393" s="99"/>
      <x:c r="Z393" s="99"/>
    </x:row>
    <x:row r="394">
      <x:c r="A394" s="99"/>
      <x:c r="B394" s="99"/>
      <x:c r="C394" s="99"/>
      <x:c r="D394" s="99"/>
      <x:c r="E394" s="99"/>
      <x:c r="F394" s="99"/>
      <x:c r="G394" s="99"/>
      <x:c r="H394" s="99"/>
      <x:c r="I394" s="99"/>
      <x:c r="J394" s="99"/>
      <x:c r="K394" s="99"/>
      <x:c r="L394" s="99"/>
      <x:c r="M394" s="99"/>
      <x:c r="N394" s="99"/>
      <x:c r="O394" s="99"/>
      <x:c r="P394" s="99"/>
      <x:c r="Q394" s="99"/>
      <x:c r="R394" s="99"/>
      <x:c r="S394" s="99"/>
      <x:c r="T394" s="99"/>
      <x:c r="U394" s="99"/>
      <x:c r="V394" s="99"/>
      <x:c r="W394" s="99"/>
      <x:c r="X394" s="99"/>
      <x:c r="Y394" s="99"/>
      <x:c r="Z394" s="99"/>
    </x:row>
    <x:row r="395">
      <x:c r="A395" s="99"/>
      <x:c r="B395" s="99"/>
      <x:c r="C395" s="99"/>
      <x:c r="D395" s="99"/>
      <x:c r="E395" s="99"/>
      <x:c r="F395" s="99"/>
      <x:c r="G395" s="99"/>
      <x:c r="H395" s="99"/>
      <x:c r="I395" s="99"/>
      <x:c r="J395" s="99"/>
      <x:c r="K395" s="99"/>
      <x:c r="L395" s="99"/>
      <x:c r="M395" s="99"/>
      <x:c r="N395" s="99"/>
      <x:c r="O395" s="99"/>
      <x:c r="P395" s="99"/>
      <x:c r="Q395" s="99"/>
      <x:c r="R395" s="99"/>
      <x:c r="S395" s="99"/>
      <x:c r="T395" s="99"/>
      <x:c r="U395" s="99"/>
      <x:c r="V395" s="99"/>
      <x:c r="W395" s="99"/>
      <x:c r="X395" s="99"/>
      <x:c r="Y395" s="99"/>
      <x:c r="Z395" s="99"/>
    </x:row>
    <x:row r="396">
      <x:c r="A396" s="99"/>
      <x:c r="B396" s="99"/>
      <x:c r="C396" s="99"/>
      <x:c r="D396" s="99"/>
      <x:c r="E396" s="99"/>
      <x:c r="F396" s="99"/>
      <x:c r="G396" s="99"/>
      <x:c r="H396" s="99"/>
      <x:c r="I396" s="99"/>
      <x:c r="J396" s="99"/>
      <x:c r="K396" s="99"/>
      <x:c r="L396" s="99"/>
      <x:c r="M396" s="99"/>
      <x:c r="N396" s="99"/>
      <x:c r="O396" s="99"/>
      <x:c r="P396" s="99"/>
      <x:c r="Q396" s="99"/>
      <x:c r="R396" s="99"/>
      <x:c r="S396" s="99"/>
      <x:c r="T396" s="99"/>
      <x:c r="U396" s="99"/>
      <x:c r="V396" s="99"/>
      <x:c r="W396" s="99"/>
      <x:c r="X396" s="99"/>
      <x:c r="Y396" s="99"/>
      <x:c r="Z396" s="99"/>
    </x:row>
    <x:row r="397">
      <x:c r="A397" s="99"/>
      <x:c r="B397" s="99"/>
      <x:c r="C397" s="99"/>
      <x:c r="D397" s="99"/>
      <x:c r="E397" s="99"/>
      <x:c r="F397" s="99"/>
      <x:c r="G397" s="99"/>
      <x:c r="H397" s="99"/>
      <x:c r="I397" s="99"/>
      <x:c r="J397" s="99"/>
      <x:c r="K397" s="99"/>
      <x:c r="L397" s="99"/>
      <x:c r="M397" s="99"/>
      <x:c r="N397" s="99"/>
      <x:c r="O397" s="99"/>
      <x:c r="P397" s="99"/>
      <x:c r="Q397" s="99"/>
      <x:c r="R397" s="99"/>
      <x:c r="S397" s="99"/>
      <x:c r="T397" s="99"/>
      <x:c r="U397" s="99"/>
      <x:c r="V397" s="99"/>
      <x:c r="W397" s="99"/>
      <x:c r="X397" s="99"/>
      <x:c r="Y397" s="99"/>
      <x:c r="Z397" s="99"/>
    </x:row>
    <x:row r="398">
      <x:c r="A398" s="99"/>
      <x:c r="B398" s="99"/>
      <x:c r="C398" s="99"/>
      <x:c r="D398" s="99"/>
      <x:c r="E398" s="99"/>
      <x:c r="F398" s="99"/>
      <x:c r="G398" s="99"/>
      <x:c r="H398" s="99"/>
      <x:c r="I398" s="99"/>
      <x:c r="J398" s="99"/>
      <x:c r="K398" s="99"/>
      <x:c r="L398" s="99"/>
      <x:c r="M398" s="99"/>
      <x:c r="N398" s="99"/>
      <x:c r="O398" s="99"/>
      <x:c r="P398" s="99"/>
      <x:c r="Q398" s="99"/>
      <x:c r="R398" s="99"/>
      <x:c r="S398" s="99"/>
      <x:c r="T398" s="99"/>
      <x:c r="U398" s="99"/>
      <x:c r="V398" s="99"/>
      <x:c r="W398" s="99"/>
      <x:c r="X398" s="99"/>
      <x:c r="Y398" s="99"/>
      <x:c r="Z398" s="99"/>
    </x:row>
    <x:row r="399">
      <x:c r="A399" s="99"/>
      <x:c r="B399" s="99"/>
      <x:c r="C399" s="99"/>
      <x:c r="D399" s="99"/>
      <x:c r="E399" s="99"/>
      <x:c r="F399" s="99"/>
      <x:c r="G399" s="99"/>
      <x:c r="H399" s="99"/>
      <x:c r="I399" s="99"/>
      <x:c r="J399" s="99"/>
      <x:c r="K399" s="99"/>
      <x:c r="L399" s="99"/>
      <x:c r="M399" s="99"/>
      <x:c r="N399" s="99"/>
      <x:c r="O399" s="99"/>
      <x:c r="P399" s="99"/>
      <x:c r="Q399" s="99"/>
      <x:c r="R399" s="99"/>
      <x:c r="S399" s="99"/>
      <x:c r="T399" s="99"/>
      <x:c r="U399" s="99"/>
      <x:c r="V399" s="99"/>
      <x:c r="W399" s="99"/>
      <x:c r="X399" s="99"/>
      <x:c r="Y399" s="99"/>
      <x:c r="Z399" s="99"/>
    </x:row>
    <x:row r="400">
      <x:c r="A400" s="99"/>
      <x:c r="B400" s="99"/>
      <x:c r="C400" s="99"/>
      <x:c r="D400" s="99"/>
      <x:c r="E400" s="99"/>
      <x:c r="F400" s="99"/>
      <x:c r="G400" s="99"/>
      <x:c r="H400" s="99"/>
      <x:c r="I400" s="99"/>
      <x:c r="J400" s="99"/>
      <x:c r="K400" s="99"/>
      <x:c r="L400" s="99"/>
      <x:c r="M400" s="99"/>
      <x:c r="N400" s="99"/>
      <x:c r="O400" s="99"/>
      <x:c r="P400" s="99"/>
      <x:c r="Q400" s="99"/>
      <x:c r="R400" s="99"/>
      <x:c r="S400" s="99"/>
      <x:c r="T400" s="99"/>
      <x:c r="U400" s="99"/>
      <x:c r="V400" s="99"/>
      <x:c r="W400" s="99"/>
      <x:c r="X400" s="99"/>
      <x:c r="Y400" s="99"/>
      <x:c r="Z400" s="99"/>
    </x:row>
    <x:row r="401">
      <x:c r="A401" s="99"/>
      <x:c r="B401" s="99"/>
      <x:c r="C401" s="99"/>
      <x:c r="D401" s="99"/>
      <x:c r="E401" s="99"/>
      <x:c r="F401" s="99"/>
      <x:c r="G401" s="99"/>
      <x:c r="H401" s="99"/>
      <x:c r="I401" s="99"/>
      <x:c r="J401" s="99"/>
      <x:c r="K401" s="99"/>
      <x:c r="L401" s="99"/>
      <x:c r="M401" s="99"/>
      <x:c r="N401" s="99"/>
      <x:c r="O401" s="99"/>
      <x:c r="P401" s="99"/>
      <x:c r="Q401" s="99"/>
      <x:c r="R401" s="99"/>
      <x:c r="S401" s="99"/>
      <x:c r="T401" s="99"/>
      <x:c r="U401" s="99"/>
      <x:c r="V401" s="99"/>
      <x:c r="W401" s="99"/>
      <x:c r="X401" s="99"/>
      <x:c r="Y401" s="99"/>
      <x:c r="Z401" s="99"/>
    </x:row>
    <x:row r="402">
      <x:c r="A402" s="99"/>
      <x:c r="B402" s="99"/>
      <x:c r="C402" s="99"/>
      <x:c r="D402" s="99"/>
      <x:c r="E402" s="99"/>
      <x:c r="F402" s="99"/>
      <x:c r="G402" s="99"/>
      <x:c r="H402" s="99"/>
      <x:c r="I402" s="99"/>
      <x:c r="J402" s="99"/>
      <x:c r="K402" s="99"/>
      <x:c r="L402" s="99"/>
      <x:c r="M402" s="99"/>
      <x:c r="N402" s="99"/>
      <x:c r="O402" s="99"/>
      <x:c r="P402" s="99"/>
      <x:c r="Q402" s="99"/>
      <x:c r="R402" s="99"/>
      <x:c r="S402" s="99"/>
      <x:c r="T402" s="99"/>
      <x:c r="U402" s="99"/>
      <x:c r="V402" s="99"/>
      <x:c r="W402" s="99"/>
      <x:c r="X402" s="99"/>
      <x:c r="Y402" s="99"/>
      <x:c r="Z402" s="99"/>
    </x:row>
    <x:row r="403">
      <x:c r="A403" s="99"/>
      <x:c r="B403" s="99"/>
      <x:c r="C403" s="99"/>
      <x:c r="D403" s="99"/>
      <x:c r="E403" s="99"/>
      <x:c r="F403" s="99"/>
      <x:c r="G403" s="99"/>
      <x:c r="H403" s="99"/>
      <x:c r="I403" s="99"/>
      <x:c r="J403" s="99"/>
      <x:c r="K403" s="99"/>
      <x:c r="L403" s="99"/>
      <x:c r="M403" s="99"/>
      <x:c r="N403" s="99"/>
      <x:c r="O403" s="99"/>
      <x:c r="P403" s="99"/>
      <x:c r="Q403" s="99"/>
      <x:c r="R403" s="99"/>
      <x:c r="S403" s="99"/>
      <x:c r="T403" s="99"/>
      <x:c r="U403" s="99"/>
      <x:c r="V403" s="99"/>
      <x:c r="W403" s="99"/>
      <x:c r="X403" s="99"/>
      <x:c r="Y403" s="99"/>
      <x:c r="Z403" s="99"/>
    </x:row>
    <x:row r="404">
      <x:c r="A404" s="99"/>
      <x:c r="B404" s="99"/>
      <x:c r="C404" s="99"/>
      <x:c r="D404" s="99"/>
      <x:c r="E404" s="99"/>
      <x:c r="F404" s="99"/>
      <x:c r="G404" s="99"/>
      <x:c r="H404" s="99"/>
      <x:c r="I404" s="99"/>
      <x:c r="J404" s="99"/>
      <x:c r="K404" s="99"/>
      <x:c r="L404" s="99"/>
      <x:c r="M404" s="99"/>
      <x:c r="N404" s="99"/>
      <x:c r="O404" s="99"/>
      <x:c r="P404" s="99"/>
      <x:c r="Q404" s="99"/>
      <x:c r="R404" s="99"/>
      <x:c r="S404" s="99"/>
      <x:c r="T404" s="99"/>
      <x:c r="U404" s="99"/>
      <x:c r="V404" s="99"/>
      <x:c r="W404" s="99"/>
      <x:c r="X404" s="99"/>
      <x:c r="Y404" s="99"/>
      <x:c r="Z404" s="99"/>
    </x:row>
    <x:row r="405">
      <x:c r="A405" s="99"/>
      <x:c r="B405" s="99"/>
      <x:c r="C405" s="99"/>
      <x:c r="D405" s="99"/>
      <x:c r="E405" s="99"/>
      <x:c r="F405" s="99"/>
      <x:c r="G405" s="99"/>
      <x:c r="H405" s="99"/>
      <x:c r="I405" s="99"/>
      <x:c r="J405" s="99"/>
      <x:c r="K405" s="99"/>
      <x:c r="L405" s="99"/>
      <x:c r="M405" s="99"/>
      <x:c r="N405" s="99"/>
      <x:c r="O405" s="99"/>
      <x:c r="P405" s="99"/>
      <x:c r="Q405" s="99"/>
      <x:c r="R405" s="99"/>
      <x:c r="S405" s="99"/>
      <x:c r="T405" s="99"/>
      <x:c r="U405" s="99"/>
      <x:c r="V405" s="99"/>
      <x:c r="W405" s="99"/>
      <x:c r="X405" s="99"/>
      <x:c r="Y405" s="99"/>
      <x:c r="Z405" s="99"/>
    </x:row>
    <x:row r="406">
      <x:c r="A406" s="99"/>
      <x:c r="B406" s="99"/>
      <x:c r="C406" s="99"/>
      <x:c r="D406" s="99"/>
      <x:c r="E406" s="99"/>
      <x:c r="F406" s="99"/>
      <x:c r="G406" s="99"/>
      <x:c r="H406" s="99"/>
      <x:c r="I406" s="99"/>
      <x:c r="J406" s="99"/>
      <x:c r="K406" s="99"/>
      <x:c r="L406" s="99"/>
      <x:c r="M406" s="99"/>
      <x:c r="N406" s="99"/>
      <x:c r="O406" s="99"/>
      <x:c r="P406" s="99"/>
      <x:c r="Q406" s="99"/>
      <x:c r="R406" s="99"/>
      <x:c r="S406" s="99"/>
      <x:c r="T406" s="99"/>
      <x:c r="U406" s="99"/>
      <x:c r="V406" s="99"/>
      <x:c r="W406" s="99"/>
      <x:c r="X406" s="99"/>
      <x:c r="Y406" s="99"/>
      <x:c r="Z406" s="99"/>
    </x:row>
    <x:row r="407">
      <x:c r="A407" s="99"/>
      <x:c r="B407" s="99"/>
      <x:c r="C407" s="99"/>
      <x:c r="D407" s="99"/>
      <x:c r="E407" s="99"/>
      <x:c r="F407" s="99"/>
      <x:c r="G407" s="99"/>
      <x:c r="H407" s="99"/>
      <x:c r="I407" s="99"/>
      <x:c r="J407" s="99"/>
      <x:c r="K407" s="99"/>
      <x:c r="L407" s="99"/>
      <x:c r="M407" s="99"/>
      <x:c r="N407" s="99"/>
      <x:c r="O407" s="99"/>
      <x:c r="P407" s="99"/>
      <x:c r="Q407" s="99"/>
      <x:c r="R407" s="99"/>
      <x:c r="S407" s="99"/>
      <x:c r="T407" s="99"/>
      <x:c r="U407" s="99"/>
      <x:c r="V407" s="99"/>
      <x:c r="W407" s="99"/>
      <x:c r="X407" s="99"/>
      <x:c r="Y407" s="99"/>
      <x:c r="Z407" s="99"/>
    </x:row>
    <x:row r="408">
      <x:c r="A408" s="99"/>
      <x:c r="B408" s="99"/>
      <x:c r="C408" s="99"/>
      <x:c r="D408" s="99"/>
      <x:c r="E408" s="99"/>
      <x:c r="F408" s="99"/>
      <x:c r="G408" s="99"/>
      <x:c r="H408" s="99"/>
      <x:c r="I408" s="99"/>
      <x:c r="J408" s="99"/>
      <x:c r="K408" s="99"/>
      <x:c r="L408" s="99"/>
      <x:c r="M408" s="99"/>
      <x:c r="N408" s="99"/>
      <x:c r="O408" s="99"/>
      <x:c r="P408" s="99"/>
      <x:c r="Q408" s="99"/>
      <x:c r="R408" s="99"/>
      <x:c r="S408" s="99"/>
      <x:c r="T408" s="99"/>
      <x:c r="U408" s="99"/>
      <x:c r="V408" s="99"/>
      <x:c r="W408" s="99"/>
      <x:c r="X408" s="99"/>
      <x:c r="Y408" s="99"/>
      <x:c r="Z408" s="99"/>
    </x:row>
    <x:row r="409">
      <x:c r="A409" s="99"/>
      <x:c r="B409" s="99"/>
      <x:c r="C409" s="99"/>
      <x:c r="D409" s="99"/>
      <x:c r="E409" s="99"/>
      <x:c r="F409" s="99"/>
      <x:c r="G409" s="99"/>
      <x:c r="H409" s="99"/>
      <x:c r="I409" s="99"/>
      <x:c r="J409" s="99"/>
      <x:c r="K409" s="99"/>
      <x:c r="L409" s="99"/>
      <x:c r="M409" s="99"/>
      <x:c r="N409" s="99"/>
      <x:c r="O409" s="99"/>
      <x:c r="P409" s="99"/>
      <x:c r="Q409" s="99"/>
      <x:c r="R409" s="99"/>
      <x:c r="S409" s="99"/>
      <x:c r="T409" s="99"/>
      <x:c r="U409" s="99"/>
      <x:c r="V409" s="99"/>
      <x:c r="W409" s="99"/>
      <x:c r="X409" s="99"/>
      <x:c r="Y409" s="99"/>
      <x:c r="Z409" s="99"/>
    </x:row>
    <x:row r="410">
      <x:c r="A410" s="99"/>
      <x:c r="B410" s="99"/>
      <x:c r="C410" s="99"/>
      <x:c r="D410" s="99"/>
      <x:c r="E410" s="99"/>
      <x:c r="F410" s="99"/>
      <x:c r="G410" s="99"/>
      <x:c r="H410" s="99"/>
      <x:c r="I410" s="99"/>
      <x:c r="J410" s="99"/>
      <x:c r="K410" s="99"/>
      <x:c r="L410" s="99"/>
      <x:c r="M410" s="99"/>
      <x:c r="N410" s="99"/>
      <x:c r="O410" s="99"/>
      <x:c r="P410" s="99"/>
      <x:c r="Q410" s="99"/>
      <x:c r="R410" s="99"/>
      <x:c r="S410" s="99"/>
      <x:c r="T410" s="99"/>
      <x:c r="U410" s="99"/>
      <x:c r="V410" s="99"/>
      <x:c r="W410" s="99"/>
      <x:c r="X410" s="99"/>
      <x:c r="Y410" s="99"/>
      <x:c r="Z410" s="99"/>
    </x:row>
    <x:row r="411">
      <x:c r="A411" s="99"/>
      <x:c r="B411" s="99"/>
      <x:c r="C411" s="99"/>
      <x:c r="D411" s="99"/>
      <x:c r="E411" s="99"/>
      <x:c r="F411" s="99"/>
      <x:c r="G411" s="99"/>
      <x:c r="H411" s="99"/>
      <x:c r="I411" s="99"/>
      <x:c r="J411" s="99"/>
      <x:c r="K411" s="99"/>
      <x:c r="L411" s="99"/>
      <x:c r="M411" s="99"/>
      <x:c r="N411" s="99"/>
      <x:c r="O411" s="99"/>
      <x:c r="P411" s="99"/>
      <x:c r="Q411" s="99"/>
      <x:c r="R411" s="99"/>
      <x:c r="S411" s="99"/>
      <x:c r="T411" s="99"/>
      <x:c r="U411" s="99"/>
      <x:c r="V411" s="99"/>
      <x:c r="W411" s="99"/>
      <x:c r="X411" s="99"/>
      <x:c r="Y411" s="99"/>
      <x:c r="Z411" s="99"/>
    </x:row>
    <x:row r="412">
      <x:c r="A412" s="99"/>
      <x:c r="B412" s="99"/>
      <x:c r="C412" s="99"/>
      <x:c r="D412" s="99"/>
      <x:c r="E412" s="99"/>
      <x:c r="F412" s="99"/>
      <x:c r="G412" s="99"/>
      <x:c r="H412" s="99"/>
      <x:c r="I412" s="99"/>
      <x:c r="J412" s="99"/>
      <x:c r="K412" s="99"/>
      <x:c r="L412" s="99"/>
      <x:c r="M412" s="99"/>
      <x:c r="N412" s="99"/>
      <x:c r="O412" s="99"/>
      <x:c r="P412" s="99"/>
      <x:c r="Q412" s="99"/>
      <x:c r="R412" s="99"/>
      <x:c r="S412" s="99"/>
      <x:c r="T412" s="99"/>
      <x:c r="U412" s="99"/>
      <x:c r="V412" s="99"/>
      <x:c r="W412" s="99"/>
      <x:c r="X412" s="99"/>
      <x:c r="Y412" s="99"/>
      <x:c r="Z412" s="99"/>
    </x:row>
    <x:row r="413">
      <x:c r="A413" s="99"/>
      <x:c r="B413" s="99"/>
      <x:c r="C413" s="99"/>
      <x:c r="D413" s="99"/>
      <x:c r="E413" s="99"/>
      <x:c r="F413" s="99"/>
      <x:c r="G413" s="99"/>
      <x:c r="H413" s="99"/>
      <x:c r="I413" s="99"/>
      <x:c r="J413" s="99"/>
      <x:c r="K413" s="99"/>
      <x:c r="L413" s="99"/>
      <x:c r="M413" s="99"/>
      <x:c r="N413" s="99"/>
      <x:c r="O413" s="99"/>
      <x:c r="P413" s="99"/>
      <x:c r="Q413" s="99"/>
      <x:c r="R413" s="99"/>
      <x:c r="S413" s="99"/>
      <x:c r="T413" s="99"/>
      <x:c r="U413" s="99"/>
      <x:c r="V413" s="99"/>
      <x:c r="W413" s="99"/>
      <x:c r="X413" s="99"/>
      <x:c r="Y413" s="99"/>
      <x:c r="Z413" s="99"/>
    </x:row>
    <x:row r="414">
      <x:c r="A414" s="99"/>
      <x:c r="B414" s="99"/>
      <x:c r="C414" s="99"/>
      <x:c r="D414" s="99"/>
      <x:c r="E414" s="99"/>
      <x:c r="F414" s="99"/>
      <x:c r="G414" s="99"/>
      <x:c r="H414" s="99"/>
      <x:c r="I414" s="99"/>
      <x:c r="J414" s="99"/>
      <x:c r="K414" s="99"/>
      <x:c r="L414" s="99"/>
      <x:c r="M414" s="99"/>
      <x:c r="N414" s="99"/>
      <x:c r="O414" s="99"/>
      <x:c r="P414" s="99"/>
      <x:c r="Q414" s="99"/>
      <x:c r="R414" s="99"/>
      <x:c r="S414" s="99"/>
      <x:c r="T414" s="99"/>
      <x:c r="U414" s="99"/>
      <x:c r="V414" s="99"/>
      <x:c r="W414" s="99"/>
      <x:c r="X414" s="99"/>
      <x:c r="Y414" s="99"/>
      <x:c r="Z414" s="99"/>
    </x:row>
    <x:row r="415">
      <x:c r="A415" s="99"/>
      <x:c r="B415" s="99"/>
      <x:c r="C415" s="99"/>
      <x:c r="D415" s="99"/>
      <x:c r="E415" s="99"/>
      <x:c r="F415" s="99"/>
      <x:c r="G415" s="99"/>
      <x:c r="H415" s="99"/>
      <x:c r="I415" s="99"/>
      <x:c r="J415" s="99"/>
      <x:c r="K415" s="99"/>
      <x:c r="L415" s="99"/>
      <x:c r="M415" s="99"/>
      <x:c r="N415" s="99"/>
      <x:c r="O415" s="99"/>
      <x:c r="P415" s="99"/>
      <x:c r="Q415" s="99"/>
      <x:c r="R415" s="99"/>
      <x:c r="S415" s="99"/>
      <x:c r="T415" s="99"/>
      <x:c r="U415" s="99"/>
      <x:c r="V415" s="99"/>
      <x:c r="W415" s="99"/>
      <x:c r="X415" s="99"/>
      <x:c r="Y415" s="99"/>
      <x:c r="Z415" s="99"/>
    </x:row>
    <x:row r="416">
      <x:c r="A416" s="99"/>
      <x:c r="B416" s="99"/>
      <x:c r="C416" s="99"/>
      <x:c r="D416" s="99"/>
      <x:c r="E416" s="99"/>
      <x:c r="F416" s="99"/>
      <x:c r="G416" s="99"/>
      <x:c r="H416" s="99"/>
      <x:c r="I416" s="99"/>
      <x:c r="J416" s="99"/>
      <x:c r="K416" s="99"/>
      <x:c r="L416" s="99"/>
      <x:c r="M416" s="99"/>
      <x:c r="N416" s="99"/>
      <x:c r="O416" s="99"/>
      <x:c r="P416" s="99"/>
      <x:c r="Q416" s="99"/>
      <x:c r="R416" s="99"/>
      <x:c r="S416" s="99"/>
      <x:c r="T416" s="99"/>
      <x:c r="U416" s="99"/>
      <x:c r="V416" s="99"/>
      <x:c r="W416" s="99"/>
      <x:c r="X416" s="99"/>
      <x:c r="Y416" s="99"/>
      <x:c r="Z416" s="99"/>
    </x:row>
    <x:row r="417">
      <x:c r="A417" s="99"/>
      <x:c r="B417" s="99"/>
      <x:c r="C417" s="99"/>
      <x:c r="D417" s="99"/>
      <x:c r="E417" s="99"/>
      <x:c r="F417" s="99"/>
      <x:c r="G417" s="99"/>
      <x:c r="H417" s="99"/>
      <x:c r="I417" s="99"/>
      <x:c r="J417" s="99"/>
      <x:c r="K417" s="99"/>
      <x:c r="L417" s="99"/>
      <x:c r="M417" s="99"/>
      <x:c r="N417" s="99"/>
      <x:c r="O417" s="99"/>
      <x:c r="P417" s="99"/>
      <x:c r="Q417" s="99"/>
      <x:c r="R417" s="99"/>
      <x:c r="S417" s="99"/>
      <x:c r="T417" s="99"/>
      <x:c r="U417" s="99"/>
      <x:c r="V417" s="99"/>
      <x:c r="W417" s="99"/>
      <x:c r="X417" s="99"/>
      <x:c r="Y417" s="99"/>
      <x:c r="Z417" s="99"/>
    </x:row>
    <x:row r="418">
      <x:c r="A418" s="99"/>
      <x:c r="B418" s="99"/>
      <x:c r="C418" s="99"/>
      <x:c r="D418" s="99"/>
      <x:c r="E418" s="99"/>
      <x:c r="F418" s="99"/>
      <x:c r="G418" s="99"/>
      <x:c r="H418" s="99"/>
      <x:c r="I418" s="99"/>
      <x:c r="J418" s="99"/>
      <x:c r="K418" s="99"/>
      <x:c r="L418" s="99"/>
      <x:c r="M418" s="99"/>
      <x:c r="N418" s="99"/>
      <x:c r="O418" s="99"/>
      <x:c r="P418" s="99"/>
      <x:c r="Q418" s="99"/>
      <x:c r="R418" s="99"/>
      <x:c r="S418" s="99"/>
      <x:c r="T418" s="99"/>
      <x:c r="U418" s="99"/>
      <x:c r="V418" s="99"/>
      <x:c r="W418" s="99"/>
      <x:c r="X418" s="99"/>
      <x:c r="Y418" s="99"/>
      <x:c r="Z418" s="99"/>
    </x:row>
    <x:row r="419">
      <x:c r="A419" s="99"/>
      <x:c r="B419" s="99"/>
      <x:c r="C419" s="99"/>
      <x:c r="D419" s="99"/>
      <x:c r="E419" s="99"/>
      <x:c r="F419" s="99"/>
      <x:c r="G419" s="99"/>
      <x:c r="H419" s="99"/>
      <x:c r="I419" s="99"/>
      <x:c r="J419" s="99"/>
      <x:c r="K419" s="99"/>
      <x:c r="L419" s="99"/>
      <x:c r="M419" s="99"/>
      <x:c r="N419" s="99"/>
      <x:c r="O419" s="99"/>
      <x:c r="P419" s="99"/>
      <x:c r="Q419" s="99"/>
      <x:c r="R419" s="99"/>
      <x:c r="S419" s="99"/>
      <x:c r="T419" s="99"/>
      <x:c r="U419" s="99"/>
      <x:c r="V419" s="99"/>
      <x:c r="W419" s="99"/>
      <x:c r="X419" s="99"/>
      <x:c r="Y419" s="99"/>
      <x:c r="Z419" s="99"/>
    </x:row>
    <x:row r="420">
      <x:c r="A420" s="99"/>
      <x:c r="B420" s="99"/>
      <x:c r="C420" s="99"/>
      <x:c r="D420" s="99"/>
      <x:c r="E420" s="99"/>
      <x:c r="F420" s="99"/>
      <x:c r="G420" s="99"/>
      <x:c r="H420" s="99"/>
      <x:c r="I420" s="99"/>
      <x:c r="J420" s="99"/>
      <x:c r="K420" s="99"/>
      <x:c r="L420" s="99"/>
      <x:c r="M420" s="99"/>
      <x:c r="N420" s="99"/>
      <x:c r="O420" s="99"/>
      <x:c r="P420" s="99"/>
      <x:c r="Q420" s="99"/>
      <x:c r="R420" s="99"/>
      <x:c r="S420" s="99"/>
      <x:c r="T420" s="99"/>
      <x:c r="U420" s="99"/>
      <x:c r="V420" s="99"/>
      <x:c r="W420" s="99"/>
      <x:c r="X420" s="99"/>
      <x:c r="Y420" s="99"/>
      <x:c r="Z420" s="99"/>
    </x:row>
    <x:row r="421">
      <x:c r="A421" s="99"/>
      <x:c r="B421" s="99"/>
      <x:c r="C421" s="99"/>
      <x:c r="D421" s="99"/>
      <x:c r="E421" s="99"/>
      <x:c r="F421" s="99"/>
      <x:c r="G421" s="99"/>
      <x:c r="H421" s="99"/>
      <x:c r="I421" s="99"/>
      <x:c r="J421" s="99"/>
      <x:c r="K421" s="99"/>
      <x:c r="L421" s="99"/>
      <x:c r="M421" s="99"/>
      <x:c r="N421" s="99"/>
      <x:c r="O421" s="99"/>
      <x:c r="P421" s="99"/>
      <x:c r="Q421" s="99"/>
      <x:c r="R421" s="99"/>
      <x:c r="S421" s="99"/>
      <x:c r="T421" s="99"/>
      <x:c r="U421" s="99"/>
      <x:c r="V421" s="99"/>
      <x:c r="W421" s="99"/>
      <x:c r="X421" s="99"/>
      <x:c r="Y421" s="99"/>
      <x:c r="Z421" s="99"/>
    </x:row>
    <x:row r="422">
      <x:c r="A422" s="99"/>
      <x:c r="B422" s="99"/>
      <x:c r="C422" s="99"/>
      <x:c r="D422" s="99"/>
      <x:c r="E422" s="99"/>
      <x:c r="F422" s="99"/>
      <x:c r="G422" s="99"/>
      <x:c r="H422" s="99"/>
      <x:c r="I422" s="99"/>
      <x:c r="J422" s="99"/>
      <x:c r="K422" s="99"/>
      <x:c r="L422" s="99"/>
      <x:c r="M422" s="99"/>
      <x:c r="N422" s="99"/>
      <x:c r="O422" s="99"/>
      <x:c r="P422" s="99"/>
      <x:c r="Q422" s="99"/>
      <x:c r="R422" s="99"/>
      <x:c r="S422" s="99"/>
      <x:c r="T422" s="99"/>
      <x:c r="U422" s="99"/>
      <x:c r="V422" s="99"/>
      <x:c r="W422" s="99"/>
      <x:c r="X422" s="99"/>
      <x:c r="Y422" s="99"/>
      <x:c r="Z422" s="99"/>
    </x:row>
    <x:row r="423">
      <x:c r="A423" s="99"/>
      <x:c r="B423" s="99"/>
      <x:c r="C423" s="99"/>
      <x:c r="D423" s="99"/>
      <x:c r="E423" s="99"/>
      <x:c r="F423" s="99"/>
      <x:c r="G423" s="99"/>
      <x:c r="H423" s="99"/>
      <x:c r="I423" s="99"/>
      <x:c r="J423" s="99"/>
      <x:c r="K423" s="99"/>
      <x:c r="L423" s="99"/>
      <x:c r="M423" s="99"/>
      <x:c r="N423" s="99"/>
      <x:c r="O423" s="99"/>
      <x:c r="P423" s="99"/>
      <x:c r="Q423" s="99"/>
      <x:c r="R423" s="99"/>
      <x:c r="S423" s="99"/>
      <x:c r="T423" s="99"/>
      <x:c r="U423" s="99"/>
      <x:c r="V423" s="99"/>
      <x:c r="W423" s="99"/>
      <x:c r="X423" s="99"/>
      <x:c r="Y423" s="99"/>
      <x:c r="Z423" s="99"/>
    </x:row>
    <x:row r="424">
      <x:c r="A424" s="99"/>
      <x:c r="B424" s="99"/>
      <x:c r="C424" s="99"/>
      <x:c r="D424" s="99"/>
      <x:c r="E424" s="99"/>
      <x:c r="F424" s="99"/>
      <x:c r="G424" s="99"/>
      <x:c r="H424" s="99"/>
      <x:c r="I424" s="99"/>
      <x:c r="J424" s="99"/>
      <x:c r="K424" s="99"/>
      <x:c r="L424" s="99"/>
      <x:c r="M424" s="99"/>
      <x:c r="N424" s="99"/>
      <x:c r="O424" s="99"/>
      <x:c r="P424" s="99"/>
      <x:c r="Q424" s="99"/>
      <x:c r="R424" s="99"/>
      <x:c r="S424" s="99"/>
      <x:c r="T424" s="99"/>
      <x:c r="U424" s="99"/>
      <x:c r="V424" s="99"/>
      <x:c r="W424" s="99"/>
      <x:c r="X424" s="99"/>
      <x:c r="Y424" s="99"/>
      <x:c r="Z424" s="99"/>
    </x:row>
    <x:row r="425">
      <x:c r="A425" s="99"/>
      <x:c r="B425" s="99"/>
      <x:c r="C425" s="99"/>
      <x:c r="D425" s="99"/>
      <x:c r="E425" s="99"/>
      <x:c r="F425" s="99"/>
      <x:c r="G425" s="99"/>
      <x:c r="H425" s="99"/>
      <x:c r="I425" s="99"/>
      <x:c r="J425" s="99"/>
      <x:c r="K425" s="99"/>
      <x:c r="L425" s="99"/>
      <x:c r="M425" s="99"/>
      <x:c r="N425" s="99"/>
      <x:c r="O425" s="99"/>
      <x:c r="P425" s="99"/>
      <x:c r="Q425" s="99"/>
      <x:c r="R425" s="99"/>
      <x:c r="S425" s="99"/>
      <x:c r="T425" s="99"/>
      <x:c r="U425" s="99"/>
      <x:c r="V425" s="99"/>
      <x:c r="W425" s="99"/>
      <x:c r="X425" s="99"/>
      <x:c r="Y425" s="99"/>
      <x:c r="Z425" s="99"/>
    </x:row>
    <x:row r="426">
      <x:c r="A426" s="99"/>
      <x:c r="B426" s="99"/>
      <x:c r="C426" s="99"/>
      <x:c r="D426" s="99"/>
      <x:c r="E426" s="99"/>
      <x:c r="F426" s="99"/>
      <x:c r="G426" s="99"/>
      <x:c r="H426" s="99"/>
      <x:c r="I426" s="99"/>
      <x:c r="J426" s="99"/>
      <x:c r="K426" s="99"/>
      <x:c r="L426" s="99"/>
      <x:c r="M426" s="99"/>
      <x:c r="N426" s="99"/>
      <x:c r="O426" s="99"/>
      <x:c r="P426" s="99"/>
      <x:c r="Q426" s="99"/>
      <x:c r="R426" s="99"/>
      <x:c r="S426" s="99"/>
      <x:c r="T426" s="99"/>
      <x:c r="U426" s="99"/>
      <x:c r="V426" s="99"/>
      <x:c r="W426" s="99"/>
      <x:c r="X426" s="99"/>
      <x:c r="Y426" s="99"/>
      <x:c r="Z426" s="99"/>
    </x:row>
    <x:row r="427">
      <x:c r="A427" s="99"/>
      <x:c r="B427" s="99"/>
      <x:c r="C427" s="99"/>
      <x:c r="D427" s="99"/>
      <x:c r="E427" s="99"/>
      <x:c r="F427" s="99"/>
      <x:c r="G427" s="99"/>
      <x:c r="H427" s="99"/>
      <x:c r="I427" s="99"/>
      <x:c r="J427" s="99"/>
      <x:c r="K427" s="99"/>
      <x:c r="L427" s="99"/>
      <x:c r="M427" s="99"/>
      <x:c r="N427" s="99"/>
      <x:c r="O427" s="99"/>
      <x:c r="P427" s="99"/>
      <x:c r="Q427" s="99"/>
      <x:c r="R427" s="99"/>
      <x:c r="S427" s="99"/>
      <x:c r="T427" s="99"/>
      <x:c r="U427" s="99"/>
      <x:c r="V427" s="99"/>
      <x:c r="W427" s="99"/>
      <x:c r="X427" s="99"/>
      <x:c r="Y427" s="99"/>
      <x:c r="Z427" s="99"/>
    </x:row>
    <x:row r="428">
      <x:c r="A428" s="99"/>
      <x:c r="B428" s="99"/>
      <x:c r="C428" s="99"/>
      <x:c r="D428" s="99"/>
      <x:c r="E428" s="99"/>
      <x:c r="F428" s="99"/>
      <x:c r="G428" s="99"/>
      <x:c r="H428" s="99"/>
      <x:c r="I428" s="99"/>
      <x:c r="J428" s="99"/>
      <x:c r="K428" s="99"/>
      <x:c r="L428" s="99"/>
      <x:c r="M428" s="99"/>
      <x:c r="N428" s="99"/>
      <x:c r="O428" s="99"/>
      <x:c r="P428" s="99"/>
      <x:c r="Q428" s="99"/>
      <x:c r="R428" s="99"/>
      <x:c r="S428" s="99"/>
      <x:c r="T428" s="99"/>
      <x:c r="U428" s="99"/>
      <x:c r="V428" s="99"/>
      <x:c r="W428" s="99"/>
      <x:c r="X428" s="99"/>
      <x:c r="Y428" s="99"/>
      <x:c r="Z428" s="99"/>
    </x:row>
    <x:row r="429">
      <x:c r="A429" s="99"/>
      <x:c r="B429" s="99"/>
      <x:c r="C429" s="99"/>
      <x:c r="D429" s="99"/>
      <x:c r="E429" s="99"/>
      <x:c r="F429" s="99"/>
      <x:c r="G429" s="99"/>
      <x:c r="H429" s="99"/>
      <x:c r="I429" s="99"/>
      <x:c r="J429" s="99"/>
      <x:c r="K429" s="99"/>
      <x:c r="L429" s="99"/>
      <x:c r="M429" s="99"/>
      <x:c r="N429" s="99"/>
      <x:c r="O429" s="99"/>
      <x:c r="P429" s="99"/>
      <x:c r="Q429" s="99"/>
      <x:c r="R429" s="99"/>
      <x:c r="S429" s="99"/>
      <x:c r="T429" s="99"/>
      <x:c r="U429" s="99"/>
      <x:c r="V429" s="99"/>
      <x:c r="W429" s="99"/>
      <x:c r="X429" s="99"/>
      <x:c r="Y429" s="99"/>
      <x:c r="Z429" s="99"/>
    </x:row>
    <x:row r="430">
      <x:c r="A430" s="99"/>
      <x:c r="B430" s="99"/>
      <x:c r="C430" s="99"/>
      <x:c r="D430" s="99"/>
      <x:c r="E430" s="99"/>
      <x:c r="F430" s="99"/>
      <x:c r="G430" s="99"/>
      <x:c r="H430" s="99"/>
      <x:c r="I430" s="99"/>
      <x:c r="J430" s="99"/>
      <x:c r="K430" s="99"/>
      <x:c r="L430" s="99"/>
      <x:c r="M430" s="99"/>
      <x:c r="N430" s="99"/>
      <x:c r="O430" s="99"/>
      <x:c r="P430" s="99"/>
      <x:c r="Q430" s="99"/>
      <x:c r="R430" s="99"/>
      <x:c r="S430" s="99"/>
      <x:c r="T430" s="99"/>
      <x:c r="U430" s="99"/>
      <x:c r="V430" s="99"/>
      <x:c r="W430" s="99"/>
      <x:c r="X430" s="99"/>
      <x:c r="Y430" s="99"/>
      <x:c r="Z430" s="99"/>
    </x:row>
    <x:row r="431">
      <x:c r="A431" s="99"/>
      <x:c r="B431" s="99"/>
      <x:c r="C431" s="99"/>
      <x:c r="D431" s="99"/>
      <x:c r="E431" s="99"/>
      <x:c r="F431" s="99"/>
      <x:c r="G431" s="99"/>
      <x:c r="H431" s="99"/>
      <x:c r="I431" s="99"/>
      <x:c r="J431" s="99"/>
      <x:c r="K431" s="99"/>
      <x:c r="L431" s="99"/>
      <x:c r="M431" s="99"/>
      <x:c r="N431" s="99"/>
      <x:c r="O431" s="99"/>
      <x:c r="P431" s="99"/>
      <x:c r="Q431" s="99"/>
      <x:c r="R431" s="99"/>
      <x:c r="S431" s="99"/>
      <x:c r="T431" s="99"/>
      <x:c r="U431" s="99"/>
      <x:c r="V431" s="99"/>
      <x:c r="W431" s="99"/>
      <x:c r="X431" s="99"/>
      <x:c r="Y431" s="99"/>
      <x:c r="Z431" s="99"/>
    </x:row>
    <x:row r="432">
      <x:c r="A432" s="99"/>
      <x:c r="B432" s="99"/>
      <x:c r="C432" s="99"/>
      <x:c r="D432" s="99"/>
      <x:c r="E432" s="99"/>
      <x:c r="F432" s="99"/>
      <x:c r="G432" s="99"/>
      <x:c r="H432" s="99"/>
      <x:c r="I432" s="99"/>
      <x:c r="J432" s="99"/>
      <x:c r="K432" s="99"/>
      <x:c r="L432" s="99"/>
      <x:c r="M432" s="99"/>
      <x:c r="N432" s="99"/>
      <x:c r="O432" s="99"/>
      <x:c r="P432" s="99"/>
      <x:c r="Q432" s="99"/>
      <x:c r="R432" s="99"/>
      <x:c r="S432" s="99"/>
      <x:c r="T432" s="99"/>
      <x:c r="U432" s="99"/>
      <x:c r="V432" s="99"/>
      <x:c r="W432" s="99"/>
      <x:c r="X432" s="99"/>
      <x:c r="Y432" s="99"/>
      <x:c r="Z432" s="99"/>
    </x:row>
    <x:row r="433">
      <x:c r="A433" s="99"/>
      <x:c r="B433" s="99"/>
      <x:c r="C433" s="99"/>
      <x:c r="D433" s="99"/>
      <x:c r="E433" s="99"/>
      <x:c r="F433" s="99"/>
      <x:c r="G433" s="99"/>
      <x:c r="H433" s="99"/>
      <x:c r="I433" s="99"/>
      <x:c r="J433" s="99"/>
      <x:c r="K433" s="99"/>
      <x:c r="L433" s="99"/>
      <x:c r="M433" s="99"/>
      <x:c r="N433" s="99"/>
      <x:c r="O433" s="99"/>
      <x:c r="P433" s="99"/>
      <x:c r="Q433" s="99"/>
      <x:c r="R433" s="99"/>
      <x:c r="S433" s="99"/>
      <x:c r="T433" s="99"/>
      <x:c r="U433" s="99"/>
      <x:c r="V433" s="99"/>
      <x:c r="W433" s="99"/>
      <x:c r="X433" s="99"/>
      <x:c r="Y433" s="99"/>
      <x:c r="Z433" s="99"/>
    </x:row>
    <x:row r="434">
      <x:c r="A434" s="99"/>
      <x:c r="B434" s="99"/>
      <x:c r="C434" s="99"/>
      <x:c r="D434" s="99"/>
      <x:c r="E434" s="99"/>
      <x:c r="F434" s="99"/>
      <x:c r="G434" s="99"/>
      <x:c r="H434" s="99"/>
      <x:c r="I434" s="99"/>
      <x:c r="J434" s="99"/>
      <x:c r="K434" s="99"/>
      <x:c r="L434" s="99"/>
      <x:c r="M434" s="99"/>
      <x:c r="N434" s="99"/>
      <x:c r="O434" s="99"/>
      <x:c r="P434" s="99"/>
      <x:c r="Q434" s="99"/>
      <x:c r="R434" s="99"/>
      <x:c r="S434" s="99"/>
      <x:c r="T434" s="99"/>
      <x:c r="U434" s="99"/>
      <x:c r="V434" s="99"/>
      <x:c r="W434" s="99"/>
      <x:c r="X434" s="99"/>
      <x:c r="Y434" s="99"/>
      <x:c r="Z434" s="99"/>
    </x:row>
    <x:row r="435">
      <x:c r="A435" s="99"/>
      <x:c r="B435" s="99"/>
      <x:c r="C435" s="99"/>
      <x:c r="D435" s="99"/>
      <x:c r="E435" s="99"/>
      <x:c r="F435" s="99"/>
      <x:c r="G435" s="99"/>
      <x:c r="H435" s="99"/>
      <x:c r="I435" s="99"/>
      <x:c r="J435" s="99"/>
      <x:c r="K435" s="99"/>
      <x:c r="L435" s="99"/>
      <x:c r="M435" s="99"/>
      <x:c r="N435" s="99"/>
      <x:c r="O435" s="99"/>
      <x:c r="P435" s="99"/>
      <x:c r="Q435" s="99"/>
      <x:c r="R435" s="99"/>
      <x:c r="S435" s="99"/>
      <x:c r="T435" s="99"/>
      <x:c r="U435" s="99"/>
      <x:c r="V435" s="99"/>
      <x:c r="W435" s="99"/>
      <x:c r="X435" s="99"/>
      <x:c r="Y435" s="99"/>
      <x:c r="Z435" s="99"/>
    </x:row>
    <x:row r="436">
      <x:c r="A436" s="99"/>
      <x:c r="B436" s="99"/>
      <x:c r="C436" s="99"/>
      <x:c r="D436" s="99"/>
      <x:c r="E436" s="99"/>
      <x:c r="F436" s="99"/>
      <x:c r="G436" s="99"/>
      <x:c r="H436" s="99"/>
      <x:c r="I436" s="99"/>
      <x:c r="J436" s="99"/>
      <x:c r="K436" s="99"/>
      <x:c r="L436" s="99"/>
      <x:c r="M436" s="99"/>
      <x:c r="N436" s="99"/>
      <x:c r="O436" s="99"/>
      <x:c r="P436" s="99"/>
      <x:c r="Q436" s="99"/>
      <x:c r="R436" s="99"/>
      <x:c r="S436" s="99"/>
      <x:c r="T436" s="99"/>
      <x:c r="U436" s="99"/>
      <x:c r="V436" s="99"/>
      <x:c r="W436" s="99"/>
      <x:c r="X436" s="99"/>
      <x:c r="Y436" s="99"/>
      <x:c r="Z436" s="99"/>
    </x:row>
    <x:row r="437">
      <x:c r="A437" s="99"/>
      <x:c r="B437" s="99"/>
      <x:c r="C437" s="99"/>
      <x:c r="D437" s="99"/>
      <x:c r="E437" s="99"/>
      <x:c r="F437" s="99"/>
      <x:c r="G437" s="99"/>
      <x:c r="H437" s="99"/>
      <x:c r="I437" s="99"/>
      <x:c r="J437" s="99"/>
      <x:c r="K437" s="99"/>
      <x:c r="L437" s="99"/>
      <x:c r="M437" s="99"/>
      <x:c r="N437" s="99"/>
      <x:c r="O437" s="99"/>
      <x:c r="P437" s="99"/>
      <x:c r="Q437" s="99"/>
      <x:c r="R437" s="99"/>
      <x:c r="S437" s="99"/>
      <x:c r="T437" s="99"/>
      <x:c r="U437" s="99"/>
      <x:c r="V437" s="99"/>
      <x:c r="W437" s="99"/>
      <x:c r="X437" s="99"/>
      <x:c r="Y437" s="99"/>
      <x:c r="Z437" s="99"/>
    </x:row>
    <x:row r="438">
      <x:c r="A438" s="99"/>
      <x:c r="B438" s="99"/>
      <x:c r="C438" s="99"/>
      <x:c r="D438" s="99"/>
      <x:c r="E438" s="99"/>
      <x:c r="F438" s="99"/>
      <x:c r="G438" s="99"/>
      <x:c r="H438" s="99"/>
      <x:c r="I438" s="99"/>
      <x:c r="J438" s="99"/>
      <x:c r="K438" s="99"/>
      <x:c r="L438" s="99"/>
      <x:c r="M438" s="99"/>
      <x:c r="N438" s="99"/>
      <x:c r="O438" s="99"/>
      <x:c r="P438" s="99"/>
      <x:c r="Q438" s="99"/>
      <x:c r="R438" s="99"/>
      <x:c r="S438" s="99"/>
      <x:c r="T438" s="99"/>
      <x:c r="U438" s="99"/>
      <x:c r="V438" s="99"/>
      <x:c r="W438" s="99"/>
      <x:c r="X438" s="99"/>
      <x:c r="Y438" s="99"/>
      <x:c r="Z438" s="99"/>
    </x:row>
    <x:row r="439">
      <x:c r="A439" s="99"/>
      <x:c r="B439" s="99"/>
      <x:c r="C439" s="99"/>
      <x:c r="D439" s="99"/>
      <x:c r="E439" s="99"/>
      <x:c r="F439" s="99"/>
      <x:c r="G439" s="99"/>
      <x:c r="H439" s="99"/>
      <x:c r="I439" s="99"/>
      <x:c r="J439" s="99"/>
      <x:c r="K439" s="99"/>
      <x:c r="L439" s="99"/>
      <x:c r="M439" s="99"/>
      <x:c r="N439" s="99"/>
      <x:c r="O439" s="99"/>
      <x:c r="P439" s="99"/>
      <x:c r="Q439" s="99"/>
      <x:c r="R439" s="99"/>
      <x:c r="S439" s="99"/>
      <x:c r="T439" s="99"/>
      <x:c r="U439" s="99"/>
      <x:c r="V439" s="99"/>
      <x:c r="W439" s="99"/>
      <x:c r="X439" s="99"/>
      <x:c r="Y439" s="99"/>
      <x:c r="Z439" s="99"/>
    </x:row>
    <x:row r="440">
      <x:c r="A440" s="99"/>
      <x:c r="B440" s="99"/>
      <x:c r="C440" s="99"/>
      <x:c r="D440" s="99"/>
      <x:c r="E440" s="99"/>
      <x:c r="F440" s="99"/>
      <x:c r="G440" s="99"/>
      <x:c r="H440" s="99"/>
      <x:c r="I440" s="99"/>
      <x:c r="J440" s="99"/>
      <x:c r="K440" s="99"/>
      <x:c r="L440" s="99"/>
      <x:c r="M440" s="99"/>
      <x:c r="N440" s="99"/>
      <x:c r="O440" s="99"/>
      <x:c r="P440" s="99"/>
      <x:c r="Q440" s="99"/>
      <x:c r="R440" s="99"/>
      <x:c r="S440" s="99"/>
      <x:c r="T440" s="99"/>
      <x:c r="U440" s="99"/>
      <x:c r="V440" s="99"/>
      <x:c r="W440" s="99"/>
      <x:c r="X440" s="99"/>
      <x:c r="Y440" s="99"/>
      <x:c r="Z440" s="99"/>
    </x:row>
    <x:row r="441">
      <x:c r="A441" s="99"/>
      <x:c r="B441" s="99"/>
      <x:c r="C441" s="99"/>
      <x:c r="D441" s="99"/>
      <x:c r="E441" s="99"/>
      <x:c r="F441" s="99"/>
      <x:c r="G441" s="99"/>
      <x:c r="H441" s="99"/>
      <x:c r="I441" s="99"/>
      <x:c r="J441" s="99"/>
      <x:c r="K441" s="99"/>
      <x:c r="L441" s="99"/>
      <x:c r="M441" s="99"/>
      <x:c r="N441" s="99"/>
      <x:c r="O441" s="99"/>
      <x:c r="P441" s="99"/>
      <x:c r="Q441" s="99"/>
      <x:c r="R441" s="99"/>
      <x:c r="S441" s="99"/>
      <x:c r="T441" s="99"/>
      <x:c r="U441" s="99"/>
      <x:c r="V441" s="99"/>
      <x:c r="W441" s="99"/>
      <x:c r="X441" s="99"/>
      <x:c r="Y441" s="99"/>
      <x:c r="Z441" s="99"/>
    </x:row>
    <x:row r="442">
      <x:c r="A442" s="99"/>
      <x:c r="B442" s="99"/>
      <x:c r="C442" s="99"/>
      <x:c r="D442" s="99"/>
      <x:c r="E442" s="99"/>
      <x:c r="F442" s="99"/>
      <x:c r="G442" s="99"/>
      <x:c r="H442" s="99"/>
      <x:c r="I442" s="99"/>
      <x:c r="J442" s="99"/>
      <x:c r="K442" s="99"/>
      <x:c r="L442" s="99"/>
      <x:c r="M442" s="99"/>
      <x:c r="N442" s="99"/>
      <x:c r="O442" s="99"/>
      <x:c r="P442" s="99"/>
      <x:c r="Q442" s="99"/>
      <x:c r="R442" s="99"/>
      <x:c r="S442" s="99"/>
      <x:c r="T442" s="99"/>
      <x:c r="U442" s="99"/>
      <x:c r="V442" s="99"/>
      <x:c r="W442" s="99"/>
      <x:c r="X442" s="99"/>
      <x:c r="Y442" s="99"/>
      <x:c r="Z442" s="99"/>
    </x:row>
    <x:row r="443">
      <x:c r="A443" s="99"/>
      <x:c r="B443" s="99"/>
      <x:c r="C443" s="99"/>
      <x:c r="D443" s="99"/>
      <x:c r="E443" s="99"/>
      <x:c r="F443" s="99"/>
      <x:c r="G443" s="99"/>
      <x:c r="H443" s="99"/>
      <x:c r="I443" s="99"/>
      <x:c r="J443" s="99"/>
      <x:c r="K443" s="99"/>
      <x:c r="L443" s="99"/>
      <x:c r="M443" s="99"/>
      <x:c r="N443" s="99"/>
      <x:c r="O443" s="99"/>
      <x:c r="P443" s="99"/>
      <x:c r="Q443" s="99"/>
      <x:c r="R443" s="99"/>
      <x:c r="S443" s="99"/>
      <x:c r="T443" s="99"/>
      <x:c r="U443" s="99"/>
      <x:c r="V443" s="99"/>
      <x:c r="W443" s="99"/>
      <x:c r="X443" s="99"/>
      <x:c r="Y443" s="99"/>
      <x:c r="Z443" s="99"/>
    </x:row>
    <x:row r="444">
      <x:c r="A444" s="99"/>
      <x:c r="B444" s="99"/>
      <x:c r="C444" s="99"/>
      <x:c r="D444" s="99"/>
      <x:c r="E444" s="99"/>
      <x:c r="F444" s="99"/>
      <x:c r="G444" s="99"/>
      <x:c r="H444" s="99"/>
      <x:c r="I444" s="99"/>
      <x:c r="J444" s="99"/>
      <x:c r="K444" s="99"/>
      <x:c r="L444" s="99"/>
      <x:c r="M444" s="99"/>
      <x:c r="N444" s="99"/>
      <x:c r="O444" s="99"/>
      <x:c r="P444" s="99"/>
      <x:c r="Q444" s="99"/>
      <x:c r="R444" s="99"/>
      <x:c r="S444" s="99"/>
      <x:c r="T444" s="99"/>
      <x:c r="U444" s="99"/>
      <x:c r="V444" s="99"/>
      <x:c r="W444" s="99"/>
      <x:c r="X444" s="99"/>
      <x:c r="Y444" s="99"/>
      <x:c r="Z444" s="99"/>
    </x:row>
    <x:row r="445">
      <x:c r="A445" s="99"/>
      <x:c r="B445" s="99"/>
      <x:c r="C445" s="99"/>
      <x:c r="D445" s="99"/>
      <x:c r="E445" s="99"/>
      <x:c r="F445" s="99"/>
      <x:c r="G445" s="99"/>
      <x:c r="H445" s="99"/>
      <x:c r="I445" s="99"/>
      <x:c r="J445" s="99"/>
      <x:c r="K445" s="99"/>
      <x:c r="L445" s="99"/>
      <x:c r="M445" s="99"/>
      <x:c r="N445" s="99"/>
      <x:c r="O445" s="99"/>
      <x:c r="P445" s="99"/>
      <x:c r="Q445" s="99"/>
      <x:c r="R445" s="99"/>
      <x:c r="S445" s="99"/>
      <x:c r="T445" s="99"/>
      <x:c r="U445" s="99"/>
      <x:c r="V445" s="99"/>
      <x:c r="W445" s="99"/>
      <x:c r="X445" s="99"/>
      <x:c r="Y445" s="99"/>
      <x:c r="Z445" s="99"/>
    </x:row>
    <x:row r="446">
      <x:c r="A446" s="99"/>
      <x:c r="B446" s="99"/>
      <x:c r="C446" s="99"/>
      <x:c r="D446" s="99"/>
      <x:c r="E446" s="99"/>
      <x:c r="F446" s="99"/>
      <x:c r="G446" s="99"/>
      <x:c r="H446" s="99"/>
      <x:c r="I446" s="99"/>
      <x:c r="J446" s="99"/>
      <x:c r="K446" s="99"/>
      <x:c r="L446" s="99"/>
      <x:c r="M446" s="99"/>
      <x:c r="N446" s="99"/>
      <x:c r="O446" s="99"/>
      <x:c r="P446" s="99"/>
      <x:c r="Q446" s="99"/>
      <x:c r="R446" s="99"/>
      <x:c r="S446" s="99"/>
      <x:c r="T446" s="99"/>
      <x:c r="U446" s="99"/>
      <x:c r="V446" s="99"/>
      <x:c r="W446" s="99"/>
      <x:c r="X446" s="99"/>
      <x:c r="Y446" s="99"/>
      <x:c r="Z446" s="99"/>
    </x:row>
    <x:row r="447">
      <x:c r="A447" s="99"/>
      <x:c r="B447" s="99"/>
      <x:c r="C447" s="99"/>
      <x:c r="D447" s="99"/>
      <x:c r="E447" s="99"/>
      <x:c r="F447" s="99"/>
      <x:c r="G447" s="99"/>
      <x:c r="H447" s="99"/>
      <x:c r="I447" s="99"/>
      <x:c r="J447" s="99"/>
      <x:c r="K447" s="99"/>
      <x:c r="L447" s="99"/>
      <x:c r="M447" s="99"/>
      <x:c r="N447" s="99"/>
      <x:c r="O447" s="99"/>
      <x:c r="P447" s="99"/>
      <x:c r="Q447" s="99"/>
      <x:c r="R447" s="99"/>
      <x:c r="S447" s="99"/>
      <x:c r="T447" s="99"/>
      <x:c r="U447" s="99"/>
      <x:c r="V447" s="99"/>
      <x:c r="W447" s="99"/>
      <x:c r="X447" s="99"/>
      <x:c r="Y447" s="99"/>
      <x:c r="Z447" s="99"/>
    </x:row>
    <x:row r="448">
      <x:c r="A448" s="99"/>
      <x:c r="B448" s="99"/>
      <x:c r="C448" s="99"/>
      <x:c r="D448" s="99"/>
      <x:c r="E448" s="99"/>
      <x:c r="F448" s="99"/>
      <x:c r="G448" s="99"/>
      <x:c r="H448" s="99"/>
      <x:c r="I448" s="99"/>
      <x:c r="J448" s="99"/>
      <x:c r="K448" s="99"/>
      <x:c r="L448" s="99"/>
      <x:c r="M448" s="99"/>
      <x:c r="N448" s="99"/>
      <x:c r="O448" s="99"/>
      <x:c r="P448" s="99"/>
      <x:c r="Q448" s="99"/>
      <x:c r="R448" s="99"/>
      <x:c r="S448" s="99"/>
      <x:c r="T448" s="99"/>
      <x:c r="U448" s="99"/>
      <x:c r="V448" s="99"/>
      <x:c r="W448" s="99"/>
      <x:c r="X448" s="99"/>
      <x:c r="Y448" s="99"/>
      <x:c r="Z448" s="99"/>
    </x:row>
    <x:row r="449">
      <x:c r="A449" s="99"/>
      <x:c r="B449" s="99"/>
      <x:c r="C449" s="99"/>
      <x:c r="D449" s="99"/>
      <x:c r="E449" s="99"/>
      <x:c r="F449" s="99"/>
      <x:c r="G449" s="99"/>
      <x:c r="H449" s="99"/>
      <x:c r="I449" s="99"/>
      <x:c r="J449" s="99"/>
      <x:c r="K449" s="99"/>
      <x:c r="L449" s="99"/>
      <x:c r="M449" s="99"/>
      <x:c r="N449" s="99"/>
      <x:c r="O449" s="99"/>
      <x:c r="P449" s="99"/>
      <x:c r="Q449" s="99"/>
      <x:c r="R449" s="99"/>
      <x:c r="S449" s="99"/>
      <x:c r="T449" s="99"/>
      <x:c r="U449" s="99"/>
      <x:c r="V449" s="99"/>
      <x:c r="W449" s="99"/>
      <x:c r="X449" s="99"/>
      <x:c r="Y449" s="99"/>
      <x:c r="Z449" s="99"/>
    </x:row>
    <x:row r="450">
      <x:c r="A450" s="99"/>
      <x:c r="B450" s="99"/>
      <x:c r="C450" s="99"/>
      <x:c r="D450" s="99"/>
      <x:c r="E450" s="99"/>
      <x:c r="F450" s="99"/>
      <x:c r="G450" s="99"/>
      <x:c r="H450" s="99"/>
      <x:c r="I450" s="99"/>
      <x:c r="J450" s="99"/>
      <x:c r="K450" s="99"/>
      <x:c r="L450" s="99"/>
      <x:c r="M450" s="99"/>
      <x:c r="N450" s="99"/>
      <x:c r="O450" s="99"/>
      <x:c r="P450" s="99"/>
      <x:c r="Q450" s="99"/>
      <x:c r="R450" s="99"/>
      <x:c r="S450" s="99"/>
      <x:c r="T450" s="99"/>
      <x:c r="U450" s="99"/>
      <x:c r="V450" s="99"/>
      <x:c r="W450" s="99"/>
      <x:c r="X450" s="99"/>
      <x:c r="Y450" s="99"/>
      <x:c r="Z450" s="99"/>
    </x:row>
    <x:row r="451">
      <x:c r="A451" s="99"/>
      <x:c r="B451" s="99"/>
      <x:c r="C451" s="99"/>
      <x:c r="D451" s="99"/>
      <x:c r="E451" s="99"/>
      <x:c r="F451" s="99"/>
      <x:c r="G451" s="99"/>
      <x:c r="H451" s="99"/>
      <x:c r="I451" s="99"/>
      <x:c r="J451" s="99"/>
      <x:c r="K451" s="99"/>
      <x:c r="L451" s="99"/>
      <x:c r="M451" s="99"/>
      <x:c r="N451" s="99"/>
      <x:c r="O451" s="99"/>
      <x:c r="P451" s="99"/>
      <x:c r="Q451" s="99"/>
      <x:c r="R451" s="99"/>
      <x:c r="S451" s="99"/>
      <x:c r="T451" s="99"/>
      <x:c r="U451" s="99"/>
      <x:c r="V451" s="99"/>
      <x:c r="W451" s="99"/>
      <x:c r="X451" s="99"/>
      <x:c r="Y451" s="99"/>
      <x:c r="Z451" s="99"/>
    </x:row>
    <x:row r="452">
      <x:c r="A452" s="99"/>
      <x:c r="B452" s="99"/>
      <x:c r="C452" s="99"/>
      <x:c r="D452" s="99"/>
      <x:c r="E452" s="99"/>
      <x:c r="F452" s="99"/>
      <x:c r="G452" s="99"/>
      <x:c r="H452" s="99"/>
      <x:c r="I452" s="99"/>
      <x:c r="J452" s="99"/>
      <x:c r="K452" s="99"/>
      <x:c r="L452" s="99"/>
      <x:c r="M452" s="99"/>
      <x:c r="N452" s="99"/>
      <x:c r="O452" s="99"/>
      <x:c r="P452" s="99"/>
      <x:c r="Q452" s="99"/>
      <x:c r="R452" s="99"/>
      <x:c r="S452" s="99"/>
      <x:c r="T452" s="99"/>
      <x:c r="U452" s="99"/>
      <x:c r="V452" s="99"/>
      <x:c r="W452" s="99"/>
      <x:c r="X452" s="99"/>
      <x:c r="Y452" s="99"/>
      <x:c r="Z452" s="99"/>
    </x:row>
    <x:row r="453">
      <x:c r="A453" s="99"/>
      <x:c r="B453" s="99"/>
      <x:c r="C453" s="99"/>
      <x:c r="D453" s="99"/>
      <x:c r="E453" s="99"/>
      <x:c r="F453" s="99"/>
      <x:c r="G453" s="99"/>
      <x:c r="H453" s="99"/>
      <x:c r="I453" s="99"/>
      <x:c r="J453" s="99"/>
      <x:c r="K453" s="99"/>
      <x:c r="L453" s="99"/>
      <x:c r="M453" s="99"/>
      <x:c r="N453" s="99"/>
      <x:c r="O453" s="99"/>
      <x:c r="P453" s="99"/>
      <x:c r="Q453" s="99"/>
      <x:c r="R453" s="99"/>
      <x:c r="S453" s="99"/>
      <x:c r="T453" s="99"/>
      <x:c r="U453" s="99"/>
      <x:c r="V453" s="99"/>
      <x:c r="W453" s="99"/>
      <x:c r="X453" s="99"/>
      <x:c r="Y453" s="99"/>
      <x:c r="Z453" s="99"/>
    </x:row>
    <x:row r="454">
      <x:c r="A454" s="99"/>
      <x:c r="B454" s="99"/>
      <x:c r="C454" s="99"/>
      <x:c r="D454" s="99"/>
      <x:c r="E454" s="99"/>
      <x:c r="F454" s="99"/>
      <x:c r="G454" s="99"/>
      <x:c r="H454" s="99"/>
      <x:c r="I454" s="99"/>
      <x:c r="J454" s="99"/>
      <x:c r="K454" s="99"/>
      <x:c r="L454" s="99"/>
      <x:c r="M454" s="99"/>
      <x:c r="N454" s="99"/>
      <x:c r="O454" s="99"/>
      <x:c r="P454" s="99"/>
      <x:c r="Q454" s="99"/>
      <x:c r="R454" s="99"/>
      <x:c r="S454" s="99"/>
      <x:c r="T454" s="99"/>
      <x:c r="U454" s="99"/>
      <x:c r="V454" s="99"/>
      <x:c r="W454" s="99"/>
      <x:c r="X454" s="99"/>
      <x:c r="Y454" s="99"/>
      <x:c r="Z454" s="99"/>
    </x:row>
    <x:row r="455">
      <x:c r="A455" s="99"/>
      <x:c r="B455" s="99"/>
      <x:c r="C455" s="99"/>
      <x:c r="D455" s="99"/>
      <x:c r="E455" s="99"/>
      <x:c r="F455" s="99"/>
      <x:c r="G455" s="99"/>
      <x:c r="H455" s="99"/>
      <x:c r="I455" s="99"/>
      <x:c r="J455" s="99"/>
      <x:c r="K455" s="99"/>
      <x:c r="L455" s="99"/>
      <x:c r="M455" s="99"/>
      <x:c r="N455" s="99"/>
      <x:c r="O455" s="99"/>
      <x:c r="P455" s="99"/>
      <x:c r="Q455" s="99"/>
      <x:c r="R455" s="99"/>
      <x:c r="S455" s="99"/>
      <x:c r="T455" s="99"/>
      <x:c r="U455" s="99"/>
      <x:c r="V455" s="99"/>
      <x:c r="W455" s="99"/>
      <x:c r="X455" s="99"/>
      <x:c r="Y455" s="99"/>
      <x:c r="Z455" s="99"/>
    </x:row>
    <x:row r="456">
      <x:c r="A456" s="99"/>
      <x:c r="B456" s="99"/>
      <x:c r="C456" s="99"/>
      <x:c r="D456" s="99"/>
      <x:c r="E456" s="99"/>
      <x:c r="F456" s="99"/>
      <x:c r="G456" s="99"/>
      <x:c r="H456" s="99"/>
      <x:c r="I456" s="99"/>
      <x:c r="J456" s="99"/>
      <x:c r="K456" s="99"/>
      <x:c r="L456" s="99"/>
      <x:c r="M456" s="99"/>
      <x:c r="N456" s="99"/>
      <x:c r="O456" s="99"/>
      <x:c r="P456" s="99"/>
      <x:c r="Q456" s="99"/>
      <x:c r="R456" s="99"/>
      <x:c r="S456" s="99"/>
      <x:c r="T456" s="99"/>
      <x:c r="U456" s="99"/>
      <x:c r="V456" s="99"/>
      <x:c r="W456" s="99"/>
      <x:c r="X456" s="99"/>
      <x:c r="Y456" s="99"/>
      <x:c r="Z456" s="99"/>
    </x:row>
    <x:row r="457">
      <x:c r="A457" s="99"/>
      <x:c r="B457" s="99"/>
      <x:c r="C457" s="99"/>
      <x:c r="D457" s="99"/>
      <x:c r="E457" s="99"/>
      <x:c r="F457" s="99"/>
      <x:c r="G457" s="99"/>
      <x:c r="H457" s="99"/>
      <x:c r="I457" s="99"/>
      <x:c r="J457" s="99"/>
      <x:c r="K457" s="99"/>
      <x:c r="L457" s="99"/>
      <x:c r="M457" s="99"/>
      <x:c r="N457" s="99"/>
      <x:c r="O457" s="99"/>
      <x:c r="P457" s="99"/>
      <x:c r="Q457" s="99"/>
      <x:c r="R457" s="99"/>
      <x:c r="S457" s="99"/>
      <x:c r="T457" s="99"/>
      <x:c r="U457" s="99"/>
      <x:c r="V457" s="99"/>
      <x:c r="W457" s="99"/>
      <x:c r="X457" s="99"/>
      <x:c r="Y457" s="99"/>
      <x:c r="Z457" s="99"/>
    </x:row>
    <x:row r="458">
      <x:c r="A458" s="99"/>
      <x:c r="B458" s="99"/>
      <x:c r="C458" s="99"/>
      <x:c r="D458" s="99"/>
      <x:c r="E458" s="99"/>
      <x:c r="F458" s="99"/>
      <x:c r="G458" s="99"/>
      <x:c r="H458" s="99"/>
      <x:c r="I458" s="99"/>
      <x:c r="J458" s="99"/>
      <x:c r="K458" s="99"/>
      <x:c r="L458" s="99"/>
      <x:c r="M458" s="99"/>
      <x:c r="N458" s="99"/>
      <x:c r="O458" s="99"/>
      <x:c r="P458" s="99"/>
      <x:c r="Q458" s="99"/>
      <x:c r="R458" s="99"/>
      <x:c r="S458" s="99"/>
      <x:c r="T458" s="99"/>
      <x:c r="U458" s="99"/>
      <x:c r="V458" s="99"/>
      <x:c r="W458" s="99"/>
      <x:c r="X458" s="99"/>
      <x:c r="Y458" s="99"/>
      <x:c r="Z458" s="99"/>
    </x:row>
    <x:row r="459">
      <x:c r="A459" s="99"/>
      <x:c r="B459" s="99"/>
      <x:c r="C459" s="99"/>
      <x:c r="D459" s="99"/>
      <x:c r="E459" s="99"/>
      <x:c r="F459" s="99"/>
      <x:c r="G459" s="99"/>
      <x:c r="H459" s="99"/>
      <x:c r="I459" s="99"/>
      <x:c r="J459" s="99"/>
      <x:c r="K459" s="99"/>
      <x:c r="L459" s="99"/>
      <x:c r="M459" s="99"/>
      <x:c r="N459" s="99"/>
      <x:c r="O459" s="99"/>
      <x:c r="P459" s="99"/>
      <x:c r="Q459" s="99"/>
      <x:c r="R459" s="99"/>
      <x:c r="S459" s="99"/>
      <x:c r="T459" s="99"/>
      <x:c r="U459" s="99"/>
      <x:c r="V459" s="99"/>
      <x:c r="W459" s="99"/>
      <x:c r="X459" s="99"/>
      <x:c r="Y459" s="99"/>
      <x:c r="Z459" s="99"/>
    </x:row>
    <x:row r="460">
      <x:c r="A460" s="99"/>
      <x:c r="B460" s="99"/>
      <x:c r="C460" s="99"/>
      <x:c r="D460" s="99"/>
      <x:c r="E460" s="99"/>
      <x:c r="F460" s="99"/>
      <x:c r="G460" s="99"/>
      <x:c r="H460" s="99"/>
      <x:c r="I460" s="99"/>
      <x:c r="J460" s="99"/>
      <x:c r="K460" s="99"/>
      <x:c r="L460" s="99"/>
      <x:c r="M460" s="99"/>
      <x:c r="N460" s="99"/>
      <x:c r="O460" s="99"/>
      <x:c r="P460" s="99"/>
      <x:c r="Q460" s="99"/>
      <x:c r="R460" s="99"/>
      <x:c r="S460" s="99"/>
      <x:c r="T460" s="99"/>
      <x:c r="U460" s="99"/>
      <x:c r="V460" s="99"/>
      <x:c r="W460" s="99"/>
      <x:c r="X460" s="99"/>
      <x:c r="Y460" s="99"/>
      <x:c r="Z460" s="99"/>
    </x:row>
    <x:row r="461">
      <x:c r="A461" s="99"/>
      <x:c r="B461" s="99"/>
      <x:c r="C461" s="99"/>
      <x:c r="D461" s="99"/>
      <x:c r="E461" s="99"/>
      <x:c r="F461" s="99"/>
      <x:c r="G461" s="99"/>
      <x:c r="H461" s="99"/>
      <x:c r="I461" s="99"/>
      <x:c r="J461" s="99"/>
      <x:c r="K461" s="99"/>
      <x:c r="L461" s="99"/>
      <x:c r="M461" s="99"/>
      <x:c r="N461" s="99"/>
      <x:c r="O461" s="99"/>
      <x:c r="P461" s="99"/>
      <x:c r="Q461" s="99"/>
      <x:c r="R461" s="99"/>
      <x:c r="S461" s="99"/>
      <x:c r="T461" s="99"/>
      <x:c r="U461" s="99"/>
      <x:c r="V461" s="99"/>
      <x:c r="W461" s="99"/>
      <x:c r="X461" s="99"/>
      <x:c r="Y461" s="99"/>
      <x:c r="Z461" s="99"/>
    </x:row>
    <x:row r="462">
      <x:c r="A462" s="99"/>
      <x:c r="B462" s="99"/>
      <x:c r="C462" s="99"/>
      <x:c r="D462" s="99"/>
      <x:c r="E462" s="99"/>
      <x:c r="F462" s="99"/>
      <x:c r="G462" s="99"/>
      <x:c r="H462" s="99"/>
      <x:c r="I462" s="99"/>
      <x:c r="J462" s="99"/>
      <x:c r="K462" s="99"/>
      <x:c r="L462" s="99"/>
      <x:c r="M462" s="99"/>
      <x:c r="N462" s="99"/>
      <x:c r="O462" s="99"/>
      <x:c r="P462" s="99"/>
      <x:c r="Q462" s="99"/>
      <x:c r="R462" s="99"/>
      <x:c r="S462" s="99"/>
      <x:c r="T462" s="99"/>
      <x:c r="U462" s="99"/>
      <x:c r="V462" s="99"/>
      <x:c r="W462" s="99"/>
      <x:c r="X462" s="99"/>
      <x:c r="Y462" s="99"/>
      <x:c r="Z462" s="99"/>
    </x:row>
    <x:row r="463">
      <x:c r="A463" s="99"/>
      <x:c r="B463" s="99"/>
      <x:c r="C463" s="99"/>
      <x:c r="D463" s="99"/>
      <x:c r="E463" s="99"/>
      <x:c r="F463" s="99"/>
      <x:c r="G463" s="99"/>
      <x:c r="H463" s="99"/>
      <x:c r="I463" s="99"/>
      <x:c r="J463" s="99"/>
      <x:c r="K463" s="99"/>
      <x:c r="L463" s="99"/>
      <x:c r="M463" s="99"/>
      <x:c r="N463" s="99"/>
      <x:c r="O463" s="99"/>
      <x:c r="P463" s="99"/>
      <x:c r="Q463" s="99"/>
      <x:c r="R463" s="99"/>
      <x:c r="S463" s="99"/>
      <x:c r="T463" s="99"/>
      <x:c r="U463" s="99"/>
      <x:c r="V463" s="99"/>
      <x:c r="W463" s="99"/>
      <x:c r="X463" s="99"/>
      <x:c r="Y463" s="99"/>
      <x:c r="Z463" s="99"/>
    </x:row>
    <x:row r="464">
      <x:c r="A464" s="99"/>
      <x:c r="B464" s="99"/>
      <x:c r="C464" s="99"/>
      <x:c r="D464" s="99"/>
      <x:c r="E464" s="99"/>
      <x:c r="F464" s="99"/>
      <x:c r="G464" s="99"/>
      <x:c r="H464" s="99"/>
      <x:c r="I464" s="99"/>
      <x:c r="J464" s="99"/>
      <x:c r="K464" s="99"/>
      <x:c r="L464" s="99"/>
      <x:c r="M464" s="99"/>
      <x:c r="N464" s="99"/>
      <x:c r="O464" s="99"/>
      <x:c r="P464" s="99"/>
      <x:c r="Q464" s="99"/>
      <x:c r="R464" s="99"/>
      <x:c r="S464" s="99"/>
      <x:c r="T464" s="99"/>
      <x:c r="U464" s="99"/>
      <x:c r="V464" s="99"/>
      <x:c r="W464" s="99"/>
      <x:c r="X464" s="99"/>
      <x:c r="Y464" s="99"/>
      <x:c r="Z464" s="99"/>
    </x:row>
    <x:row r="465">
      <x:c r="A465" s="99"/>
      <x:c r="B465" s="99"/>
      <x:c r="C465" s="99"/>
      <x:c r="D465" s="99"/>
      <x:c r="E465" s="99"/>
      <x:c r="F465" s="99"/>
      <x:c r="G465" s="99"/>
      <x:c r="H465" s="99"/>
      <x:c r="I465" s="99"/>
      <x:c r="J465" s="99"/>
      <x:c r="K465" s="99"/>
      <x:c r="L465" s="99"/>
      <x:c r="M465" s="99"/>
      <x:c r="N465" s="99"/>
      <x:c r="O465" s="99"/>
      <x:c r="P465" s="99"/>
      <x:c r="Q465" s="99"/>
      <x:c r="R465" s="99"/>
      <x:c r="S465" s="99"/>
      <x:c r="T465" s="99"/>
      <x:c r="U465" s="99"/>
      <x:c r="V465" s="99"/>
      <x:c r="W465" s="99"/>
      <x:c r="X465" s="99"/>
      <x:c r="Y465" s="99"/>
      <x:c r="Z465" s="99"/>
    </x:row>
    <x:row r="466">
      <x:c r="A466" s="99"/>
      <x:c r="B466" s="99"/>
      <x:c r="C466" s="99"/>
      <x:c r="D466" s="99"/>
      <x:c r="E466" s="99"/>
      <x:c r="F466" s="99"/>
      <x:c r="G466" s="99"/>
      <x:c r="H466" s="99"/>
      <x:c r="I466" s="99"/>
      <x:c r="J466" s="99"/>
      <x:c r="K466" s="99"/>
      <x:c r="L466" s="99"/>
      <x:c r="M466" s="99"/>
      <x:c r="N466" s="99"/>
      <x:c r="O466" s="99"/>
      <x:c r="P466" s="99"/>
      <x:c r="Q466" s="99"/>
      <x:c r="R466" s="99"/>
      <x:c r="S466" s="99"/>
      <x:c r="T466" s="99"/>
      <x:c r="U466" s="99"/>
      <x:c r="V466" s="99"/>
      <x:c r="W466" s="99"/>
      <x:c r="X466" s="99"/>
      <x:c r="Y466" s="99"/>
      <x:c r="Z466" s="99"/>
    </x:row>
    <x:row r="467">
      <x:c r="A467" s="99"/>
      <x:c r="B467" s="99"/>
      <x:c r="C467" s="99"/>
      <x:c r="D467" s="99"/>
      <x:c r="E467" s="99"/>
      <x:c r="F467" s="99"/>
      <x:c r="G467" s="99"/>
      <x:c r="H467" s="99"/>
      <x:c r="I467" s="99"/>
      <x:c r="J467" s="99"/>
      <x:c r="K467" s="99"/>
      <x:c r="L467" s="99"/>
      <x:c r="M467" s="99"/>
      <x:c r="N467" s="99"/>
      <x:c r="O467" s="99"/>
      <x:c r="P467" s="99"/>
      <x:c r="Q467" s="99"/>
      <x:c r="R467" s="99"/>
      <x:c r="S467" s="99"/>
      <x:c r="T467" s="99"/>
      <x:c r="U467" s="99"/>
      <x:c r="V467" s="99"/>
      <x:c r="W467" s="99"/>
      <x:c r="X467" s="99"/>
      <x:c r="Y467" s="99"/>
      <x:c r="Z467" s="99"/>
    </x:row>
    <x:row r="468">
      <x:c r="A468" s="99"/>
      <x:c r="B468" s="99"/>
      <x:c r="C468" s="99"/>
      <x:c r="D468" s="99"/>
      <x:c r="E468" s="99"/>
      <x:c r="F468" s="99"/>
      <x:c r="G468" s="99"/>
      <x:c r="H468" s="99"/>
      <x:c r="I468" s="99"/>
      <x:c r="J468" s="99"/>
      <x:c r="K468" s="99"/>
      <x:c r="L468" s="99"/>
      <x:c r="M468" s="99"/>
      <x:c r="N468" s="99"/>
      <x:c r="O468" s="99"/>
      <x:c r="P468" s="99"/>
      <x:c r="Q468" s="99"/>
      <x:c r="R468" s="99"/>
      <x:c r="S468" s="99"/>
      <x:c r="T468" s="99"/>
      <x:c r="U468" s="99"/>
      <x:c r="V468" s="99"/>
      <x:c r="W468" s="99"/>
      <x:c r="X468" s="99"/>
      <x:c r="Y468" s="99"/>
      <x:c r="Z468" s="99"/>
    </x:row>
    <x:row r="469">
      <x:c r="A469" s="99"/>
      <x:c r="B469" s="99"/>
      <x:c r="C469" s="99"/>
      <x:c r="D469" s="99"/>
      <x:c r="E469" s="99"/>
      <x:c r="F469" s="99"/>
      <x:c r="G469" s="99"/>
      <x:c r="H469" s="99"/>
      <x:c r="I469" s="99"/>
      <x:c r="J469" s="99"/>
      <x:c r="K469" s="99"/>
      <x:c r="L469" s="99"/>
      <x:c r="M469" s="99"/>
      <x:c r="N469" s="99"/>
      <x:c r="O469" s="99"/>
      <x:c r="P469" s="99"/>
      <x:c r="Q469" s="99"/>
      <x:c r="R469" s="99"/>
      <x:c r="S469" s="99"/>
      <x:c r="T469" s="99"/>
      <x:c r="U469" s="99"/>
      <x:c r="V469" s="99"/>
      <x:c r="W469" s="99"/>
      <x:c r="X469" s="99"/>
      <x:c r="Y469" s="99"/>
      <x:c r="Z469" s="99"/>
    </x:row>
    <x:row r="470">
      <x:c r="A470" s="99"/>
      <x:c r="B470" s="99"/>
      <x:c r="C470" s="99"/>
      <x:c r="D470" s="99"/>
      <x:c r="E470" s="99"/>
      <x:c r="F470" s="99"/>
      <x:c r="G470" s="99"/>
      <x:c r="H470" s="99"/>
      <x:c r="I470" s="99"/>
      <x:c r="J470" s="99"/>
      <x:c r="K470" s="99"/>
      <x:c r="L470" s="99"/>
      <x:c r="M470" s="99"/>
      <x:c r="N470" s="99"/>
      <x:c r="O470" s="99"/>
      <x:c r="P470" s="99"/>
      <x:c r="Q470" s="99"/>
      <x:c r="R470" s="99"/>
      <x:c r="S470" s="99"/>
      <x:c r="T470" s="99"/>
      <x:c r="U470" s="99"/>
      <x:c r="V470" s="99"/>
      <x:c r="W470" s="99"/>
      <x:c r="X470" s="99"/>
      <x:c r="Y470" s="99"/>
      <x:c r="Z470" s="99"/>
    </x:row>
    <x:row r="471">
      <x:c r="A471" s="99"/>
      <x:c r="B471" s="99"/>
      <x:c r="C471" s="99"/>
      <x:c r="D471" s="99"/>
      <x:c r="E471" s="99"/>
      <x:c r="F471" s="99"/>
      <x:c r="G471" s="99"/>
      <x:c r="H471" s="99"/>
      <x:c r="I471" s="99"/>
      <x:c r="J471" s="99"/>
      <x:c r="K471" s="99"/>
      <x:c r="L471" s="99"/>
      <x:c r="M471" s="99"/>
      <x:c r="N471" s="99"/>
      <x:c r="O471" s="99"/>
      <x:c r="P471" s="99"/>
      <x:c r="Q471" s="99"/>
      <x:c r="R471" s="99"/>
      <x:c r="S471" s="99"/>
      <x:c r="T471" s="99"/>
      <x:c r="U471" s="99"/>
      <x:c r="V471" s="99"/>
      <x:c r="W471" s="99"/>
      <x:c r="X471" s="99"/>
      <x:c r="Y471" s="99"/>
      <x:c r="Z471" s="99"/>
    </x:row>
    <x:row r="472">
      <x:c r="A472" s="99"/>
      <x:c r="B472" s="99"/>
      <x:c r="C472" s="99"/>
      <x:c r="D472" s="99"/>
      <x:c r="E472" s="99"/>
      <x:c r="F472" s="99"/>
      <x:c r="G472" s="99"/>
      <x:c r="H472" s="99"/>
      <x:c r="I472" s="99"/>
      <x:c r="J472" s="99"/>
      <x:c r="K472" s="99"/>
      <x:c r="L472" s="99"/>
      <x:c r="M472" s="99"/>
      <x:c r="N472" s="99"/>
      <x:c r="O472" s="99"/>
      <x:c r="P472" s="99"/>
      <x:c r="Q472" s="99"/>
      <x:c r="R472" s="99"/>
      <x:c r="S472" s="99"/>
      <x:c r="T472" s="99"/>
      <x:c r="U472" s="99"/>
      <x:c r="V472" s="99"/>
      <x:c r="W472" s="99"/>
      <x:c r="X472" s="99"/>
      <x:c r="Y472" s="99"/>
      <x:c r="Z472" s="99"/>
    </x:row>
    <x:row r="473">
      <x:c r="A473" s="99"/>
      <x:c r="B473" s="99"/>
      <x:c r="C473" s="99"/>
      <x:c r="D473" s="99"/>
      <x:c r="E473" s="99"/>
      <x:c r="F473" s="99"/>
      <x:c r="G473" s="99"/>
      <x:c r="H473" s="99"/>
      <x:c r="I473" s="99"/>
      <x:c r="J473" s="99"/>
      <x:c r="K473" s="99"/>
      <x:c r="L473" s="99"/>
      <x:c r="M473" s="99"/>
      <x:c r="N473" s="99"/>
      <x:c r="O473" s="99"/>
      <x:c r="P473" s="99"/>
      <x:c r="Q473" s="99"/>
      <x:c r="R473" s="99"/>
      <x:c r="S473" s="99"/>
      <x:c r="T473" s="99"/>
      <x:c r="U473" s="99"/>
      <x:c r="V473" s="99"/>
      <x:c r="W473" s="99"/>
      <x:c r="X473" s="99"/>
      <x:c r="Y473" s="99"/>
      <x:c r="Z473" s="99"/>
    </x:row>
    <x:row r="474">
      <x:c r="A474" s="99"/>
      <x:c r="B474" s="99"/>
      <x:c r="C474" s="99"/>
      <x:c r="D474" s="99"/>
      <x:c r="E474" s="99"/>
      <x:c r="F474" s="99"/>
      <x:c r="G474" s="99"/>
      <x:c r="H474" s="99"/>
      <x:c r="I474" s="99"/>
      <x:c r="J474" s="99"/>
      <x:c r="K474" s="99"/>
      <x:c r="L474" s="99"/>
      <x:c r="M474" s="99"/>
      <x:c r="N474" s="99"/>
      <x:c r="O474" s="99"/>
      <x:c r="P474" s="99"/>
      <x:c r="Q474" s="99"/>
      <x:c r="R474" s="99"/>
      <x:c r="S474" s="99"/>
      <x:c r="T474" s="99"/>
      <x:c r="U474" s="99"/>
      <x:c r="V474" s="99"/>
      <x:c r="W474" s="99"/>
      <x:c r="X474" s="99"/>
      <x:c r="Y474" s="99"/>
      <x:c r="Z474" s="99"/>
    </x:row>
    <x:row r="475">
      <x:c r="A475" s="99"/>
      <x:c r="B475" s="99"/>
      <x:c r="C475" s="99"/>
      <x:c r="D475" s="99"/>
      <x:c r="E475" s="99"/>
      <x:c r="F475" s="99"/>
      <x:c r="G475" s="99"/>
      <x:c r="H475" s="99"/>
      <x:c r="I475" s="99"/>
      <x:c r="J475" s="99"/>
      <x:c r="K475" s="99"/>
      <x:c r="L475" s="99"/>
      <x:c r="M475" s="99"/>
      <x:c r="N475" s="99"/>
      <x:c r="O475" s="99"/>
      <x:c r="P475" s="99"/>
      <x:c r="Q475" s="99"/>
      <x:c r="R475" s="99"/>
      <x:c r="S475" s="99"/>
      <x:c r="T475" s="99"/>
      <x:c r="U475" s="99"/>
      <x:c r="V475" s="99"/>
      <x:c r="W475" s="99"/>
      <x:c r="X475" s="99"/>
      <x:c r="Y475" s="99"/>
      <x:c r="Z475" s="99"/>
    </x:row>
    <x:row r="476">
      <x:c r="A476" s="99"/>
      <x:c r="B476" s="99"/>
      <x:c r="C476" s="99"/>
      <x:c r="D476" s="99"/>
      <x:c r="E476" s="99"/>
      <x:c r="F476" s="99"/>
      <x:c r="G476" s="99"/>
      <x:c r="H476" s="99"/>
      <x:c r="I476" s="99"/>
      <x:c r="J476" s="99"/>
      <x:c r="K476" s="99"/>
      <x:c r="L476" s="99"/>
      <x:c r="M476" s="99"/>
      <x:c r="N476" s="99"/>
      <x:c r="O476" s="99"/>
      <x:c r="P476" s="99"/>
      <x:c r="Q476" s="99"/>
      <x:c r="R476" s="99"/>
      <x:c r="S476" s="99"/>
      <x:c r="T476" s="99"/>
      <x:c r="U476" s="99"/>
      <x:c r="V476" s="99"/>
      <x:c r="W476" s="99"/>
      <x:c r="X476" s="99"/>
      <x:c r="Y476" s="99"/>
      <x:c r="Z476" s="99"/>
    </x:row>
    <x:row r="477">
      <x:c r="A477" s="99"/>
      <x:c r="B477" s="99"/>
      <x:c r="C477" s="99"/>
      <x:c r="D477" s="99"/>
      <x:c r="E477" s="99"/>
      <x:c r="F477" s="99"/>
      <x:c r="G477" s="99"/>
      <x:c r="H477" s="99"/>
      <x:c r="I477" s="99"/>
      <x:c r="J477" s="99"/>
      <x:c r="K477" s="99"/>
      <x:c r="L477" s="99"/>
      <x:c r="M477" s="99"/>
      <x:c r="N477" s="99"/>
      <x:c r="O477" s="99"/>
      <x:c r="P477" s="99"/>
      <x:c r="Q477" s="99"/>
      <x:c r="R477" s="99"/>
      <x:c r="S477" s="99"/>
      <x:c r="T477" s="99"/>
      <x:c r="U477" s="99"/>
      <x:c r="V477" s="99"/>
      <x:c r="W477" s="99"/>
      <x:c r="X477" s="99"/>
      <x:c r="Y477" s="99"/>
      <x:c r="Z477" s="99"/>
    </x:row>
    <x:row r="478">
      <x:c r="A478" s="99"/>
      <x:c r="B478" s="99"/>
      <x:c r="C478" s="99"/>
      <x:c r="D478" s="99"/>
      <x:c r="E478" s="99"/>
      <x:c r="F478" s="99"/>
      <x:c r="G478" s="99"/>
      <x:c r="H478" s="99"/>
      <x:c r="I478" s="99"/>
      <x:c r="J478" s="99"/>
      <x:c r="K478" s="99"/>
      <x:c r="L478" s="99"/>
      <x:c r="M478" s="99"/>
      <x:c r="N478" s="99"/>
      <x:c r="O478" s="99"/>
      <x:c r="P478" s="99"/>
      <x:c r="Q478" s="99"/>
      <x:c r="R478" s="99"/>
      <x:c r="S478" s="99"/>
      <x:c r="T478" s="99"/>
      <x:c r="U478" s="99"/>
      <x:c r="V478" s="99"/>
      <x:c r="W478" s="99"/>
      <x:c r="X478" s="99"/>
      <x:c r="Y478" s="99"/>
      <x:c r="Z478" s="99"/>
    </x:row>
    <x:row r="479">
      <x:c r="A479" s="99"/>
      <x:c r="B479" s="99"/>
      <x:c r="C479" s="99"/>
      <x:c r="D479" s="99"/>
      <x:c r="E479" s="99"/>
      <x:c r="F479" s="99"/>
      <x:c r="G479" s="99"/>
      <x:c r="H479" s="99"/>
      <x:c r="I479" s="99"/>
      <x:c r="J479" s="99"/>
      <x:c r="K479" s="99"/>
      <x:c r="L479" s="99"/>
      <x:c r="M479" s="99"/>
      <x:c r="N479" s="99"/>
      <x:c r="O479" s="99"/>
      <x:c r="P479" s="99"/>
      <x:c r="Q479" s="99"/>
      <x:c r="R479" s="99"/>
      <x:c r="S479" s="99"/>
      <x:c r="T479" s="99"/>
      <x:c r="U479" s="99"/>
      <x:c r="V479" s="99"/>
      <x:c r="W479" s="99"/>
      <x:c r="X479" s="99"/>
      <x:c r="Y479" s="99"/>
      <x:c r="Z479" s="99"/>
    </x:row>
    <x:row r="480">
      <x:c r="A480" s="99"/>
      <x:c r="B480" s="99"/>
      <x:c r="C480" s="99"/>
      <x:c r="D480" s="99"/>
      <x:c r="E480" s="99"/>
      <x:c r="F480" s="99"/>
      <x:c r="G480" s="99"/>
      <x:c r="H480" s="99"/>
      <x:c r="I480" s="99"/>
      <x:c r="J480" s="99"/>
      <x:c r="K480" s="99"/>
      <x:c r="L480" s="99"/>
      <x:c r="M480" s="99"/>
      <x:c r="N480" s="99"/>
      <x:c r="O480" s="99"/>
      <x:c r="P480" s="99"/>
      <x:c r="Q480" s="99"/>
      <x:c r="R480" s="99"/>
      <x:c r="S480" s="99"/>
      <x:c r="T480" s="99"/>
      <x:c r="U480" s="99"/>
      <x:c r="V480" s="99"/>
      <x:c r="W480" s="99"/>
      <x:c r="X480" s="99"/>
      <x:c r="Y480" s="99"/>
      <x:c r="Z480" s="99"/>
    </x:row>
    <x:row r="481">
      <x:c r="A481" s="99"/>
      <x:c r="B481" s="99"/>
      <x:c r="C481" s="99"/>
      <x:c r="D481" s="99"/>
      <x:c r="E481" s="99"/>
      <x:c r="F481" s="99"/>
      <x:c r="G481" s="99"/>
      <x:c r="H481" s="99"/>
      <x:c r="I481" s="99"/>
      <x:c r="J481" s="99"/>
      <x:c r="K481" s="99"/>
      <x:c r="L481" s="99"/>
      <x:c r="M481" s="99"/>
      <x:c r="N481" s="99"/>
      <x:c r="O481" s="99"/>
      <x:c r="P481" s="99"/>
      <x:c r="Q481" s="99"/>
      <x:c r="R481" s="99"/>
      <x:c r="S481" s="99"/>
      <x:c r="T481" s="99"/>
      <x:c r="U481" s="99"/>
      <x:c r="V481" s="99"/>
      <x:c r="W481" s="99"/>
      <x:c r="X481" s="99"/>
      <x:c r="Y481" s="99"/>
      <x:c r="Z481" s="99"/>
    </x:row>
    <x:row r="482">
      <x:c r="A482" s="99"/>
      <x:c r="B482" s="99"/>
      <x:c r="C482" s="99"/>
      <x:c r="D482" s="99"/>
      <x:c r="E482" s="99"/>
      <x:c r="F482" s="99"/>
      <x:c r="G482" s="99"/>
      <x:c r="H482" s="99"/>
      <x:c r="I482" s="99"/>
      <x:c r="J482" s="99"/>
      <x:c r="K482" s="99"/>
      <x:c r="L482" s="99"/>
      <x:c r="M482" s="99"/>
      <x:c r="N482" s="99"/>
      <x:c r="O482" s="99"/>
      <x:c r="P482" s="99"/>
      <x:c r="Q482" s="99"/>
      <x:c r="R482" s="99"/>
      <x:c r="S482" s="99"/>
      <x:c r="T482" s="99"/>
      <x:c r="U482" s="99"/>
      <x:c r="V482" s="99"/>
      <x:c r="W482" s="99"/>
      <x:c r="X482" s="99"/>
      <x:c r="Y482" s="99"/>
      <x:c r="Z482" s="99"/>
    </x:row>
    <x:row r="483">
      <x:c r="A483" s="99"/>
      <x:c r="B483" s="99"/>
      <x:c r="C483" s="99"/>
      <x:c r="D483" s="99"/>
      <x:c r="E483" s="99"/>
      <x:c r="F483" s="99"/>
      <x:c r="G483" s="99"/>
      <x:c r="H483" s="99"/>
      <x:c r="I483" s="99"/>
      <x:c r="J483" s="99"/>
      <x:c r="K483" s="99"/>
      <x:c r="L483" s="99"/>
      <x:c r="M483" s="99"/>
      <x:c r="N483" s="99"/>
      <x:c r="O483" s="99"/>
      <x:c r="P483" s="99"/>
      <x:c r="Q483" s="99"/>
      <x:c r="R483" s="99"/>
      <x:c r="S483" s="99"/>
      <x:c r="T483" s="99"/>
      <x:c r="U483" s="99"/>
      <x:c r="V483" s="99"/>
      <x:c r="W483" s="99"/>
      <x:c r="X483" s="99"/>
      <x:c r="Y483" s="99"/>
      <x:c r="Z483" s="99"/>
    </x:row>
    <x:row r="484">
      <x:c r="A484" s="99"/>
      <x:c r="B484" s="99"/>
      <x:c r="C484" s="99"/>
      <x:c r="D484" s="99"/>
      <x:c r="E484" s="99"/>
      <x:c r="F484" s="99"/>
      <x:c r="G484" s="99"/>
      <x:c r="H484" s="99"/>
      <x:c r="I484" s="99"/>
      <x:c r="J484" s="99"/>
      <x:c r="K484" s="99"/>
      <x:c r="L484" s="99"/>
      <x:c r="M484" s="99"/>
      <x:c r="N484" s="99"/>
      <x:c r="O484" s="99"/>
      <x:c r="P484" s="99"/>
      <x:c r="Q484" s="99"/>
      <x:c r="R484" s="99"/>
      <x:c r="S484" s="99"/>
      <x:c r="T484" s="99"/>
      <x:c r="U484" s="99"/>
      <x:c r="V484" s="99"/>
      <x:c r="W484" s="99"/>
      <x:c r="X484" s="99"/>
      <x:c r="Y484" s="99"/>
      <x:c r="Z484" s="99"/>
    </x:row>
    <x:row r="485">
      <x:c r="A485" s="99"/>
      <x:c r="B485" s="99"/>
      <x:c r="C485" s="99"/>
      <x:c r="D485" s="99"/>
      <x:c r="E485" s="99"/>
      <x:c r="F485" s="99"/>
      <x:c r="G485" s="99"/>
      <x:c r="H485" s="99"/>
      <x:c r="I485" s="99"/>
      <x:c r="J485" s="99"/>
      <x:c r="K485" s="99"/>
      <x:c r="L485" s="99"/>
      <x:c r="M485" s="99"/>
      <x:c r="N485" s="99"/>
      <x:c r="O485" s="99"/>
      <x:c r="P485" s="99"/>
      <x:c r="Q485" s="99"/>
      <x:c r="R485" s="99"/>
      <x:c r="S485" s="99"/>
      <x:c r="T485" s="99"/>
      <x:c r="U485" s="99"/>
      <x:c r="V485" s="99"/>
      <x:c r="W485" s="99"/>
      <x:c r="X485" s="99"/>
      <x:c r="Y485" s="99"/>
      <x:c r="Z485" s="99"/>
    </x:row>
    <x:row r="486">
      <x:c r="A486" s="99"/>
      <x:c r="B486" s="99"/>
      <x:c r="C486" s="99"/>
      <x:c r="D486" s="99"/>
      <x:c r="E486" s="99"/>
      <x:c r="F486" s="99"/>
      <x:c r="G486" s="99"/>
      <x:c r="H486" s="99"/>
      <x:c r="I486" s="99"/>
      <x:c r="J486" s="99"/>
      <x:c r="K486" s="99"/>
      <x:c r="L486" s="99"/>
      <x:c r="M486" s="99"/>
      <x:c r="N486" s="99"/>
      <x:c r="O486" s="99"/>
      <x:c r="P486" s="99"/>
      <x:c r="Q486" s="99"/>
      <x:c r="R486" s="99"/>
      <x:c r="S486" s="99"/>
      <x:c r="T486" s="99"/>
      <x:c r="U486" s="99"/>
      <x:c r="V486" s="99"/>
      <x:c r="W486" s="99"/>
      <x:c r="X486" s="99"/>
      <x:c r="Y486" s="99"/>
      <x:c r="Z486" s="99"/>
    </x:row>
    <x:row r="487">
      <x:c r="A487" s="99"/>
      <x:c r="B487" s="99"/>
      <x:c r="C487" s="99"/>
      <x:c r="D487" s="99"/>
      <x:c r="E487" s="99"/>
      <x:c r="F487" s="99"/>
      <x:c r="G487" s="99"/>
      <x:c r="H487" s="99"/>
      <x:c r="I487" s="99"/>
      <x:c r="J487" s="99"/>
      <x:c r="K487" s="99"/>
      <x:c r="L487" s="99"/>
      <x:c r="M487" s="99"/>
      <x:c r="N487" s="99"/>
      <x:c r="O487" s="99"/>
      <x:c r="P487" s="99"/>
      <x:c r="Q487" s="99"/>
      <x:c r="R487" s="99"/>
      <x:c r="S487" s="99"/>
      <x:c r="T487" s="99"/>
      <x:c r="U487" s="99"/>
      <x:c r="V487" s="99"/>
      <x:c r="W487" s="99"/>
      <x:c r="X487" s="99"/>
      <x:c r="Y487" s="99"/>
      <x:c r="Z487" s="99"/>
    </x:row>
    <x:row r="488">
      <x:c r="A488" s="99"/>
      <x:c r="B488" s="99"/>
      <x:c r="C488" s="99"/>
      <x:c r="D488" s="99"/>
      <x:c r="E488" s="99"/>
      <x:c r="F488" s="99"/>
      <x:c r="G488" s="99"/>
      <x:c r="H488" s="99"/>
      <x:c r="I488" s="99"/>
      <x:c r="J488" s="99"/>
      <x:c r="K488" s="99"/>
      <x:c r="L488" s="99"/>
      <x:c r="M488" s="99"/>
      <x:c r="N488" s="99"/>
      <x:c r="O488" s="99"/>
      <x:c r="P488" s="99"/>
      <x:c r="Q488" s="99"/>
      <x:c r="R488" s="99"/>
      <x:c r="S488" s="99"/>
      <x:c r="T488" s="99"/>
      <x:c r="U488" s="99"/>
      <x:c r="V488" s="99"/>
      <x:c r="W488" s="99"/>
      <x:c r="X488" s="99"/>
      <x:c r="Y488" s="99"/>
      <x:c r="Z488" s="99"/>
    </x:row>
    <x:row r="489">
      <x:c r="A489" s="99"/>
      <x:c r="B489" s="99"/>
      <x:c r="C489" s="99"/>
      <x:c r="D489" s="99"/>
      <x:c r="E489" s="99"/>
      <x:c r="F489" s="99"/>
      <x:c r="G489" s="99"/>
      <x:c r="H489" s="99"/>
      <x:c r="I489" s="99"/>
      <x:c r="J489" s="99"/>
      <x:c r="K489" s="99"/>
      <x:c r="L489" s="99"/>
      <x:c r="M489" s="99"/>
      <x:c r="N489" s="99"/>
      <x:c r="O489" s="99"/>
      <x:c r="P489" s="99"/>
      <x:c r="Q489" s="99"/>
      <x:c r="R489" s="99"/>
      <x:c r="S489" s="99"/>
      <x:c r="T489" s="99"/>
      <x:c r="U489" s="99"/>
      <x:c r="V489" s="99"/>
      <x:c r="W489" s="99"/>
      <x:c r="X489" s="99"/>
      <x:c r="Y489" s="99"/>
      <x:c r="Z489" s="99"/>
    </x:row>
    <x:row r="490">
      <x:c r="A490" s="99"/>
      <x:c r="B490" s="99"/>
      <x:c r="C490" s="99"/>
      <x:c r="D490" s="99"/>
      <x:c r="E490" s="99"/>
      <x:c r="F490" s="99"/>
      <x:c r="G490" s="99"/>
      <x:c r="H490" s="99"/>
      <x:c r="I490" s="99"/>
      <x:c r="J490" s="99"/>
      <x:c r="K490" s="99"/>
      <x:c r="L490" s="99"/>
      <x:c r="M490" s="99"/>
      <x:c r="N490" s="99"/>
      <x:c r="O490" s="99"/>
      <x:c r="P490" s="99"/>
      <x:c r="Q490" s="99"/>
      <x:c r="R490" s="99"/>
      <x:c r="S490" s="99"/>
      <x:c r="T490" s="99"/>
      <x:c r="U490" s="99"/>
      <x:c r="V490" s="99"/>
      <x:c r="W490" s="99"/>
      <x:c r="X490" s="99"/>
      <x:c r="Y490" s="99"/>
      <x:c r="Z490" s="99"/>
    </x:row>
    <x:row r="491">
      <x:c r="A491" s="99"/>
      <x:c r="B491" s="99"/>
      <x:c r="C491" s="99"/>
      <x:c r="D491" s="99"/>
      <x:c r="E491" s="99"/>
      <x:c r="F491" s="99"/>
      <x:c r="G491" s="99"/>
      <x:c r="H491" s="99"/>
      <x:c r="I491" s="99"/>
      <x:c r="J491" s="99"/>
      <x:c r="K491" s="99"/>
      <x:c r="L491" s="99"/>
      <x:c r="M491" s="99"/>
      <x:c r="N491" s="99"/>
      <x:c r="O491" s="99"/>
      <x:c r="P491" s="99"/>
      <x:c r="Q491" s="99"/>
      <x:c r="R491" s="99"/>
      <x:c r="S491" s="99"/>
      <x:c r="T491" s="99"/>
      <x:c r="U491" s="99"/>
      <x:c r="V491" s="99"/>
      <x:c r="W491" s="99"/>
      <x:c r="X491" s="99"/>
      <x:c r="Y491" s="99"/>
      <x:c r="Z491" s="99"/>
    </x:row>
    <x:row r="492">
      <x:c r="A492" s="99"/>
      <x:c r="B492" s="99"/>
      <x:c r="C492" s="99"/>
      <x:c r="D492" s="99"/>
      <x:c r="E492" s="99"/>
      <x:c r="F492" s="99"/>
      <x:c r="G492" s="99"/>
      <x:c r="H492" s="99"/>
      <x:c r="I492" s="99"/>
      <x:c r="J492" s="99"/>
      <x:c r="K492" s="99"/>
      <x:c r="L492" s="99"/>
      <x:c r="M492" s="99"/>
      <x:c r="N492" s="99"/>
      <x:c r="O492" s="99"/>
      <x:c r="P492" s="99"/>
      <x:c r="Q492" s="99"/>
      <x:c r="R492" s="99"/>
      <x:c r="S492" s="99"/>
      <x:c r="T492" s="99"/>
      <x:c r="U492" s="99"/>
      <x:c r="V492" s="99"/>
      <x:c r="W492" s="99"/>
      <x:c r="X492" s="99"/>
      <x:c r="Y492" s="99"/>
      <x:c r="Z492" s="99"/>
    </x:row>
    <x:row r="493">
      <x:c r="A493" s="99"/>
      <x:c r="B493" s="99"/>
      <x:c r="C493" s="99"/>
      <x:c r="D493" s="99"/>
      <x:c r="E493" s="99"/>
      <x:c r="F493" s="99"/>
      <x:c r="G493" s="99"/>
      <x:c r="H493" s="99"/>
      <x:c r="I493" s="99"/>
      <x:c r="J493" s="99"/>
      <x:c r="K493" s="99"/>
      <x:c r="L493" s="99"/>
      <x:c r="M493" s="99"/>
      <x:c r="N493" s="99"/>
      <x:c r="O493" s="99"/>
      <x:c r="P493" s="99"/>
      <x:c r="Q493" s="99"/>
      <x:c r="R493" s="99"/>
      <x:c r="S493" s="99"/>
      <x:c r="T493" s="99"/>
      <x:c r="U493" s="99"/>
      <x:c r="V493" s="99"/>
      <x:c r="W493" s="99"/>
      <x:c r="X493" s="99"/>
      <x:c r="Y493" s="99"/>
      <x:c r="Z493" s="99"/>
    </x:row>
    <x:row r="494">
      <x:c r="A494" s="99"/>
      <x:c r="B494" s="99"/>
      <x:c r="C494" s="99"/>
      <x:c r="D494" s="99"/>
      <x:c r="E494" s="99"/>
      <x:c r="F494" s="99"/>
      <x:c r="G494" s="99"/>
      <x:c r="H494" s="99"/>
      <x:c r="I494" s="99"/>
      <x:c r="J494" s="99"/>
      <x:c r="K494" s="99"/>
      <x:c r="L494" s="99"/>
      <x:c r="M494" s="99"/>
      <x:c r="N494" s="99"/>
      <x:c r="O494" s="99"/>
      <x:c r="P494" s="99"/>
      <x:c r="Q494" s="99"/>
      <x:c r="R494" s="99"/>
      <x:c r="S494" s="99"/>
      <x:c r="T494" s="99"/>
      <x:c r="U494" s="99"/>
      <x:c r="V494" s="99"/>
      <x:c r="W494" s="99"/>
      <x:c r="X494" s="99"/>
      <x:c r="Y494" s="99"/>
      <x:c r="Z494" s="99"/>
    </x:row>
    <x:row r="495">
      <x:c r="A495" s="99"/>
      <x:c r="B495" s="99"/>
      <x:c r="C495" s="99"/>
      <x:c r="D495" s="99"/>
      <x:c r="E495" s="99"/>
      <x:c r="F495" s="99"/>
      <x:c r="G495" s="99"/>
      <x:c r="H495" s="99"/>
      <x:c r="I495" s="99"/>
      <x:c r="J495" s="99"/>
      <x:c r="K495" s="99"/>
      <x:c r="L495" s="99"/>
      <x:c r="M495" s="99"/>
      <x:c r="N495" s="99"/>
      <x:c r="O495" s="99"/>
      <x:c r="P495" s="99"/>
      <x:c r="Q495" s="99"/>
      <x:c r="R495" s="99"/>
      <x:c r="S495" s="99"/>
      <x:c r="T495" s="99"/>
      <x:c r="U495" s="99"/>
      <x:c r="V495" s="99"/>
      <x:c r="W495" s="99"/>
      <x:c r="X495" s="99"/>
      <x:c r="Y495" s="99"/>
      <x:c r="Z495" s="99"/>
    </x:row>
    <x:row r="496">
      <x:c r="A496" s="99"/>
      <x:c r="B496" s="99"/>
      <x:c r="C496" s="99"/>
      <x:c r="D496" s="99"/>
      <x:c r="E496" s="99"/>
      <x:c r="F496" s="99"/>
      <x:c r="G496" s="99"/>
      <x:c r="H496" s="99"/>
      <x:c r="I496" s="99"/>
      <x:c r="J496" s="99"/>
      <x:c r="K496" s="99"/>
      <x:c r="L496" s="99"/>
      <x:c r="M496" s="99"/>
      <x:c r="N496" s="99"/>
      <x:c r="O496" s="99"/>
      <x:c r="P496" s="99"/>
      <x:c r="Q496" s="99"/>
      <x:c r="R496" s="99"/>
      <x:c r="S496" s="99"/>
      <x:c r="T496" s="99"/>
      <x:c r="U496" s="99"/>
      <x:c r="V496" s="99"/>
      <x:c r="W496" s="99"/>
      <x:c r="X496" s="99"/>
      <x:c r="Y496" s="99"/>
      <x:c r="Z496" s="99"/>
    </x:row>
    <x:row r="497">
      <x:c r="A497" s="99"/>
      <x:c r="B497" s="99"/>
      <x:c r="C497" s="99"/>
      <x:c r="D497" s="99"/>
      <x:c r="E497" s="99"/>
      <x:c r="F497" s="99"/>
      <x:c r="G497" s="99"/>
      <x:c r="H497" s="99"/>
      <x:c r="I497" s="99"/>
      <x:c r="J497" s="99"/>
      <x:c r="K497" s="99"/>
      <x:c r="L497" s="99"/>
      <x:c r="M497" s="99"/>
      <x:c r="N497" s="99"/>
      <x:c r="O497" s="99"/>
      <x:c r="P497" s="99"/>
      <x:c r="Q497" s="99"/>
      <x:c r="R497" s="99"/>
      <x:c r="S497" s="99"/>
      <x:c r="T497" s="99"/>
      <x:c r="U497" s="99"/>
      <x:c r="V497" s="99"/>
      <x:c r="W497" s="99"/>
      <x:c r="X497" s="99"/>
      <x:c r="Y497" s="99"/>
      <x:c r="Z497" s="99"/>
    </x:row>
    <x:row r="498">
      <x:c r="A498" s="99"/>
      <x:c r="B498" s="99"/>
      <x:c r="C498" s="99"/>
      <x:c r="D498" s="99"/>
      <x:c r="E498" s="99"/>
      <x:c r="F498" s="99"/>
      <x:c r="G498" s="99"/>
      <x:c r="H498" s="99"/>
      <x:c r="I498" s="99"/>
      <x:c r="J498" s="99"/>
      <x:c r="K498" s="99"/>
      <x:c r="L498" s="99"/>
      <x:c r="M498" s="99"/>
      <x:c r="N498" s="99"/>
      <x:c r="O498" s="99"/>
      <x:c r="P498" s="99"/>
      <x:c r="Q498" s="99"/>
      <x:c r="R498" s="99"/>
      <x:c r="S498" s="99"/>
      <x:c r="T498" s="99"/>
      <x:c r="U498" s="99"/>
      <x:c r="V498" s="99"/>
      <x:c r="W498" s="99"/>
      <x:c r="X498" s="99"/>
      <x:c r="Y498" s="99"/>
      <x:c r="Z498" s="99"/>
    </x:row>
    <x:row r="499">
      <x:c r="A499" s="99"/>
      <x:c r="B499" s="99"/>
      <x:c r="C499" s="99"/>
      <x:c r="D499" s="99"/>
      <x:c r="E499" s="99"/>
      <x:c r="F499" s="99"/>
      <x:c r="G499" s="99"/>
      <x:c r="H499" s="99"/>
      <x:c r="I499" s="99"/>
      <x:c r="J499" s="99"/>
      <x:c r="K499" s="99"/>
      <x:c r="L499" s="99"/>
      <x:c r="M499" s="99"/>
      <x:c r="N499" s="99"/>
      <x:c r="O499" s="99"/>
      <x:c r="P499" s="99"/>
      <x:c r="Q499" s="99"/>
      <x:c r="R499" s="99"/>
      <x:c r="S499" s="99"/>
      <x:c r="T499" s="99"/>
      <x:c r="U499" s="99"/>
      <x:c r="V499" s="99"/>
      <x:c r="W499" s="99"/>
      <x:c r="X499" s="99"/>
      <x:c r="Y499" s="99"/>
      <x:c r="Z499" s="99"/>
    </x:row>
    <x:row r="500">
      <x:c r="A500" s="99"/>
      <x:c r="B500" s="99"/>
      <x:c r="C500" s="99"/>
      <x:c r="D500" s="99"/>
      <x:c r="E500" s="99"/>
      <x:c r="F500" s="99"/>
      <x:c r="G500" s="99"/>
      <x:c r="H500" s="99"/>
      <x:c r="I500" s="99"/>
      <x:c r="J500" s="99"/>
      <x:c r="K500" s="99"/>
      <x:c r="L500" s="99"/>
      <x:c r="M500" s="99"/>
      <x:c r="N500" s="99"/>
      <x:c r="O500" s="99"/>
      <x:c r="P500" s="99"/>
      <x:c r="Q500" s="99"/>
      <x:c r="R500" s="99"/>
      <x:c r="S500" s="99"/>
      <x:c r="T500" s="99"/>
      <x:c r="U500" s="99"/>
      <x:c r="V500" s="99"/>
      <x:c r="W500" s="99"/>
      <x:c r="X500" s="99"/>
      <x:c r="Y500" s="99"/>
      <x:c r="Z500" s="99"/>
    </x:row>
    <x:row r="501">
      <x:c r="A501" s="99"/>
      <x:c r="B501" s="99"/>
      <x:c r="C501" s="99"/>
      <x:c r="D501" s="99"/>
      <x:c r="E501" s="99"/>
      <x:c r="F501" s="99"/>
      <x:c r="G501" s="99"/>
      <x:c r="H501" s="99"/>
      <x:c r="I501" s="99"/>
      <x:c r="J501" s="99"/>
      <x:c r="K501" s="99"/>
      <x:c r="L501" s="99"/>
      <x:c r="M501" s="99"/>
      <x:c r="N501" s="99"/>
      <x:c r="O501" s="99"/>
      <x:c r="P501" s="99"/>
      <x:c r="Q501" s="99"/>
      <x:c r="R501" s="99"/>
      <x:c r="S501" s="99"/>
      <x:c r="T501" s="99"/>
      <x:c r="U501" s="99"/>
      <x:c r="V501" s="99"/>
      <x:c r="W501" s="99"/>
      <x:c r="X501" s="99"/>
      <x:c r="Y501" s="99"/>
      <x:c r="Z501" s="99"/>
    </x:row>
    <x:row r="502">
      <x:c r="A502" s="99"/>
      <x:c r="B502" s="99"/>
      <x:c r="C502" s="99"/>
      <x:c r="D502" s="99"/>
      <x:c r="E502" s="99"/>
      <x:c r="F502" s="99"/>
      <x:c r="G502" s="99"/>
      <x:c r="H502" s="99"/>
      <x:c r="I502" s="99"/>
      <x:c r="J502" s="99"/>
      <x:c r="K502" s="99"/>
      <x:c r="L502" s="99"/>
      <x:c r="M502" s="99"/>
      <x:c r="N502" s="99"/>
      <x:c r="O502" s="99"/>
      <x:c r="P502" s="99"/>
      <x:c r="Q502" s="99"/>
      <x:c r="R502" s="99"/>
      <x:c r="S502" s="99"/>
      <x:c r="T502" s="99"/>
      <x:c r="U502" s="99"/>
      <x:c r="V502" s="99"/>
      <x:c r="W502" s="99"/>
      <x:c r="X502" s="99"/>
      <x:c r="Y502" s="99"/>
      <x:c r="Z502" s="99"/>
    </x:row>
    <x:row r="503">
      <x:c r="A503" s="99"/>
      <x:c r="B503" s="99"/>
      <x:c r="C503" s="99"/>
      <x:c r="D503" s="99"/>
      <x:c r="E503" s="99"/>
      <x:c r="F503" s="99"/>
      <x:c r="G503" s="99"/>
      <x:c r="H503" s="99"/>
      <x:c r="I503" s="99"/>
      <x:c r="J503" s="99"/>
      <x:c r="K503" s="99"/>
      <x:c r="L503" s="99"/>
      <x:c r="M503" s="99"/>
      <x:c r="N503" s="99"/>
      <x:c r="O503" s="99"/>
      <x:c r="P503" s="99"/>
      <x:c r="Q503" s="99"/>
      <x:c r="R503" s="99"/>
      <x:c r="S503" s="99"/>
      <x:c r="T503" s="99"/>
      <x:c r="U503" s="99"/>
      <x:c r="V503" s="99"/>
      <x:c r="W503" s="99"/>
      <x:c r="X503" s="99"/>
      <x:c r="Y503" s="99"/>
      <x:c r="Z503" s="99"/>
    </x:row>
    <x:row r="504">
      <x:c r="A504" s="99"/>
      <x:c r="B504" s="99"/>
      <x:c r="C504" s="99"/>
      <x:c r="D504" s="99"/>
      <x:c r="E504" s="99"/>
      <x:c r="F504" s="99"/>
      <x:c r="G504" s="99"/>
      <x:c r="H504" s="99"/>
      <x:c r="I504" s="99"/>
      <x:c r="J504" s="99"/>
      <x:c r="K504" s="99"/>
      <x:c r="L504" s="99"/>
      <x:c r="M504" s="99"/>
      <x:c r="N504" s="99"/>
      <x:c r="O504" s="99"/>
      <x:c r="P504" s="99"/>
      <x:c r="Q504" s="99"/>
      <x:c r="R504" s="99"/>
      <x:c r="S504" s="99"/>
      <x:c r="T504" s="99"/>
      <x:c r="U504" s="99"/>
      <x:c r="V504" s="99"/>
      <x:c r="W504" s="99"/>
      <x:c r="X504" s="99"/>
      <x:c r="Y504" s="99"/>
      <x:c r="Z504" s="99"/>
    </x:row>
    <x:row r="505">
      <x:c r="A505" s="99"/>
      <x:c r="B505" s="99"/>
      <x:c r="C505" s="99"/>
      <x:c r="D505" s="99"/>
      <x:c r="E505" s="99"/>
      <x:c r="F505" s="99"/>
      <x:c r="G505" s="99"/>
      <x:c r="H505" s="99"/>
      <x:c r="I505" s="99"/>
      <x:c r="J505" s="99"/>
      <x:c r="K505" s="99"/>
      <x:c r="L505" s="99"/>
      <x:c r="M505" s="99"/>
      <x:c r="N505" s="99"/>
      <x:c r="O505" s="99"/>
      <x:c r="P505" s="99"/>
      <x:c r="Q505" s="99"/>
      <x:c r="R505" s="99"/>
      <x:c r="S505" s="99"/>
      <x:c r="T505" s="99"/>
      <x:c r="U505" s="99"/>
      <x:c r="V505" s="99"/>
      <x:c r="W505" s="99"/>
      <x:c r="X505" s="99"/>
      <x:c r="Y505" s="99"/>
      <x:c r="Z505" s="99"/>
    </x:row>
    <x:row r="506">
      <x:c r="A506" s="99"/>
      <x:c r="B506" s="99"/>
      <x:c r="C506" s="99"/>
      <x:c r="D506" s="99"/>
      <x:c r="E506" s="99"/>
      <x:c r="F506" s="99"/>
      <x:c r="G506" s="99"/>
      <x:c r="H506" s="99"/>
      <x:c r="I506" s="99"/>
      <x:c r="J506" s="99"/>
      <x:c r="K506" s="99"/>
      <x:c r="L506" s="99"/>
      <x:c r="M506" s="99"/>
      <x:c r="N506" s="99"/>
      <x:c r="O506" s="99"/>
      <x:c r="P506" s="99"/>
      <x:c r="Q506" s="99"/>
      <x:c r="R506" s="99"/>
      <x:c r="S506" s="99"/>
      <x:c r="T506" s="99"/>
      <x:c r="U506" s="99"/>
      <x:c r="V506" s="99"/>
      <x:c r="W506" s="99"/>
      <x:c r="X506" s="99"/>
      <x:c r="Y506" s="99"/>
      <x:c r="Z506" s="99"/>
    </x:row>
    <x:row r="507">
      <x:c r="A507" s="99"/>
      <x:c r="B507" s="99"/>
      <x:c r="C507" s="99"/>
      <x:c r="D507" s="99"/>
      <x:c r="E507" s="99"/>
      <x:c r="F507" s="99"/>
      <x:c r="G507" s="99"/>
      <x:c r="H507" s="99"/>
      <x:c r="I507" s="99"/>
      <x:c r="J507" s="99"/>
      <x:c r="K507" s="99"/>
      <x:c r="L507" s="99"/>
      <x:c r="M507" s="99"/>
      <x:c r="N507" s="99"/>
      <x:c r="O507" s="99"/>
      <x:c r="P507" s="99"/>
      <x:c r="Q507" s="99"/>
      <x:c r="R507" s="99"/>
      <x:c r="S507" s="99"/>
      <x:c r="T507" s="99"/>
      <x:c r="U507" s="99"/>
      <x:c r="V507" s="99"/>
      <x:c r="W507" s="99"/>
      <x:c r="X507" s="99"/>
      <x:c r="Y507" s="99"/>
      <x:c r="Z507" s="99"/>
    </x:row>
    <x:row r="508">
      <x:c r="A508" s="99"/>
      <x:c r="B508" s="99"/>
      <x:c r="C508" s="99"/>
      <x:c r="D508" s="99"/>
      <x:c r="E508" s="99"/>
      <x:c r="F508" s="99"/>
      <x:c r="G508" s="99"/>
      <x:c r="H508" s="99"/>
      <x:c r="I508" s="99"/>
      <x:c r="J508" s="99"/>
      <x:c r="K508" s="99"/>
      <x:c r="L508" s="99"/>
      <x:c r="M508" s="99"/>
      <x:c r="N508" s="99"/>
      <x:c r="O508" s="99"/>
      <x:c r="P508" s="99"/>
      <x:c r="Q508" s="99"/>
      <x:c r="R508" s="99"/>
      <x:c r="S508" s="99"/>
      <x:c r="T508" s="99"/>
      <x:c r="U508" s="99"/>
      <x:c r="V508" s="99"/>
      <x:c r="W508" s="99"/>
      <x:c r="X508" s="99"/>
      <x:c r="Y508" s="99"/>
      <x:c r="Z508" s="99"/>
    </x:row>
    <x:row r="509">
      <x:c r="A509" s="99"/>
      <x:c r="B509" s="99"/>
      <x:c r="C509" s="99"/>
      <x:c r="D509" s="99"/>
      <x:c r="E509" s="99"/>
      <x:c r="F509" s="99"/>
      <x:c r="G509" s="99"/>
      <x:c r="H509" s="99"/>
      <x:c r="I509" s="99"/>
      <x:c r="J509" s="99"/>
      <x:c r="K509" s="99"/>
      <x:c r="L509" s="99"/>
      <x:c r="M509" s="99"/>
      <x:c r="N509" s="99"/>
      <x:c r="O509" s="99"/>
      <x:c r="P509" s="99"/>
      <x:c r="Q509" s="99"/>
      <x:c r="R509" s="99"/>
      <x:c r="S509" s="99"/>
      <x:c r="T509" s="99"/>
      <x:c r="U509" s="99"/>
      <x:c r="V509" s="99"/>
      <x:c r="W509" s="99"/>
      <x:c r="X509" s="99"/>
      <x:c r="Y509" s="99"/>
      <x:c r="Z509" s="99"/>
    </x:row>
    <x:row r="510">
      <x:c r="A510" s="99"/>
      <x:c r="B510" s="99"/>
      <x:c r="C510" s="99"/>
      <x:c r="D510" s="99"/>
      <x:c r="E510" s="99"/>
      <x:c r="F510" s="99"/>
      <x:c r="G510" s="99"/>
      <x:c r="H510" s="99"/>
      <x:c r="I510" s="99"/>
      <x:c r="J510" s="99"/>
      <x:c r="K510" s="99"/>
      <x:c r="L510" s="99"/>
      <x:c r="M510" s="99"/>
      <x:c r="N510" s="99"/>
      <x:c r="O510" s="99"/>
      <x:c r="P510" s="99"/>
      <x:c r="Q510" s="99"/>
      <x:c r="R510" s="99"/>
      <x:c r="S510" s="99"/>
      <x:c r="T510" s="99"/>
      <x:c r="U510" s="99"/>
      <x:c r="V510" s="99"/>
      <x:c r="W510" s="99"/>
      <x:c r="X510" s="99"/>
      <x:c r="Y510" s="99"/>
      <x:c r="Z510" s="99"/>
    </x:row>
    <x:row r="511">
      <x:c r="A511" s="99"/>
      <x:c r="B511" s="99"/>
      <x:c r="C511" s="99"/>
      <x:c r="D511" s="99"/>
      <x:c r="E511" s="99"/>
      <x:c r="F511" s="99"/>
      <x:c r="G511" s="99"/>
      <x:c r="H511" s="99"/>
      <x:c r="I511" s="99"/>
      <x:c r="J511" s="99"/>
      <x:c r="K511" s="99"/>
      <x:c r="L511" s="99"/>
      <x:c r="M511" s="99"/>
      <x:c r="N511" s="99"/>
      <x:c r="O511" s="99"/>
      <x:c r="P511" s="99"/>
      <x:c r="Q511" s="99"/>
      <x:c r="R511" s="99"/>
      <x:c r="S511" s="99"/>
      <x:c r="T511" s="99"/>
      <x:c r="U511" s="99"/>
      <x:c r="V511" s="99"/>
      <x:c r="W511" s="99"/>
      <x:c r="X511" s="99"/>
      <x:c r="Y511" s="99"/>
      <x:c r="Z511" s="99"/>
    </x:row>
    <x:row r="512">
      <x:c r="A512" s="99"/>
      <x:c r="B512" s="99"/>
      <x:c r="C512" s="99"/>
      <x:c r="D512" s="99"/>
      <x:c r="E512" s="99"/>
      <x:c r="F512" s="99"/>
      <x:c r="G512" s="99"/>
      <x:c r="H512" s="99"/>
      <x:c r="I512" s="99"/>
      <x:c r="J512" s="99"/>
      <x:c r="K512" s="99"/>
      <x:c r="L512" s="99"/>
      <x:c r="M512" s="99"/>
      <x:c r="N512" s="99"/>
      <x:c r="O512" s="99"/>
      <x:c r="P512" s="99"/>
      <x:c r="Q512" s="99"/>
      <x:c r="R512" s="99"/>
      <x:c r="S512" s="99"/>
      <x:c r="T512" s="99"/>
      <x:c r="U512" s="99"/>
      <x:c r="V512" s="99"/>
      <x:c r="W512" s="99"/>
      <x:c r="X512" s="99"/>
      <x:c r="Y512" s="99"/>
      <x:c r="Z512" s="99"/>
    </x:row>
    <x:row r="513">
      <x:c r="A513" s="99"/>
      <x:c r="B513" s="99"/>
      <x:c r="C513" s="99"/>
      <x:c r="D513" s="99"/>
      <x:c r="E513" s="99"/>
      <x:c r="F513" s="99"/>
      <x:c r="G513" s="99"/>
      <x:c r="H513" s="99"/>
      <x:c r="I513" s="99"/>
      <x:c r="J513" s="99"/>
      <x:c r="K513" s="99"/>
      <x:c r="L513" s="99"/>
      <x:c r="M513" s="99"/>
      <x:c r="N513" s="99"/>
      <x:c r="O513" s="99"/>
      <x:c r="P513" s="99"/>
      <x:c r="Q513" s="99"/>
      <x:c r="R513" s="99"/>
      <x:c r="S513" s="99"/>
      <x:c r="T513" s="99"/>
      <x:c r="U513" s="99"/>
      <x:c r="V513" s="99"/>
      <x:c r="W513" s="99"/>
      <x:c r="X513" s="99"/>
      <x:c r="Y513" s="99"/>
      <x:c r="Z513" s="99"/>
    </x:row>
    <x:row r="514">
      <x:c r="A514" s="99"/>
      <x:c r="B514" s="99"/>
      <x:c r="C514" s="99"/>
      <x:c r="D514" s="99"/>
      <x:c r="E514" s="99"/>
      <x:c r="F514" s="99"/>
      <x:c r="G514" s="99"/>
      <x:c r="H514" s="99"/>
      <x:c r="I514" s="99"/>
      <x:c r="J514" s="99"/>
      <x:c r="K514" s="99"/>
      <x:c r="L514" s="99"/>
      <x:c r="M514" s="99"/>
      <x:c r="N514" s="99"/>
      <x:c r="O514" s="99"/>
      <x:c r="P514" s="99"/>
      <x:c r="Q514" s="99"/>
      <x:c r="R514" s="99"/>
      <x:c r="S514" s="99"/>
      <x:c r="T514" s="99"/>
      <x:c r="U514" s="99"/>
      <x:c r="V514" s="99"/>
      <x:c r="W514" s="99"/>
      <x:c r="X514" s="99"/>
      <x:c r="Y514" s="99"/>
      <x:c r="Z514" s="99"/>
    </x:row>
    <x:row r="515">
      <x:c r="A515" s="99"/>
      <x:c r="B515" s="99"/>
      <x:c r="C515" s="99"/>
      <x:c r="D515" s="99"/>
      <x:c r="E515" s="99"/>
      <x:c r="F515" s="99"/>
      <x:c r="G515" s="99"/>
      <x:c r="H515" s="99"/>
      <x:c r="I515" s="99"/>
      <x:c r="J515" s="99"/>
      <x:c r="K515" s="99"/>
      <x:c r="L515" s="99"/>
      <x:c r="M515" s="99"/>
      <x:c r="N515" s="99"/>
      <x:c r="O515" s="99"/>
      <x:c r="P515" s="99"/>
      <x:c r="Q515" s="99"/>
      <x:c r="R515" s="99"/>
      <x:c r="S515" s="99"/>
      <x:c r="T515" s="99"/>
      <x:c r="U515" s="99"/>
      <x:c r="V515" s="99"/>
      <x:c r="W515" s="99"/>
      <x:c r="X515" s="99"/>
      <x:c r="Y515" s="99"/>
      <x:c r="Z515" s="99"/>
    </x:row>
    <x:row r="516">
      <x:c r="A516" s="99"/>
      <x:c r="B516" s="99"/>
      <x:c r="C516" s="99"/>
      <x:c r="D516" s="99"/>
      <x:c r="E516" s="99"/>
      <x:c r="F516" s="99"/>
      <x:c r="G516" s="99"/>
      <x:c r="H516" s="99"/>
      <x:c r="I516" s="99"/>
      <x:c r="J516" s="99"/>
      <x:c r="K516" s="99"/>
      <x:c r="L516" s="99"/>
      <x:c r="M516" s="99"/>
      <x:c r="N516" s="99"/>
      <x:c r="O516" s="99"/>
      <x:c r="P516" s="99"/>
      <x:c r="Q516" s="99"/>
      <x:c r="R516" s="99"/>
      <x:c r="S516" s="99"/>
      <x:c r="T516" s="99"/>
      <x:c r="U516" s="99"/>
      <x:c r="V516" s="99"/>
      <x:c r="W516" s="99"/>
      <x:c r="X516" s="99"/>
      <x:c r="Y516" s="99"/>
      <x:c r="Z516" s="99"/>
    </x:row>
    <x:row r="517">
      <x:c r="A517" s="99"/>
      <x:c r="B517" s="99"/>
      <x:c r="C517" s="99"/>
      <x:c r="D517" s="99"/>
      <x:c r="E517" s="99"/>
      <x:c r="F517" s="99"/>
      <x:c r="G517" s="99"/>
      <x:c r="H517" s="99"/>
      <x:c r="I517" s="99"/>
      <x:c r="J517" s="99"/>
      <x:c r="K517" s="99"/>
      <x:c r="L517" s="99"/>
      <x:c r="M517" s="99"/>
      <x:c r="N517" s="99"/>
      <x:c r="O517" s="99"/>
      <x:c r="P517" s="99"/>
      <x:c r="Q517" s="99"/>
      <x:c r="R517" s="99"/>
      <x:c r="S517" s="99"/>
      <x:c r="T517" s="99"/>
      <x:c r="U517" s="99"/>
      <x:c r="V517" s="99"/>
      <x:c r="W517" s="99"/>
      <x:c r="X517" s="99"/>
      <x:c r="Y517" s="99"/>
      <x:c r="Z517" s="99"/>
    </x:row>
    <x:row r="518">
      <x:c r="A518" s="99"/>
      <x:c r="B518" s="99"/>
      <x:c r="C518" s="99"/>
      <x:c r="D518" s="99"/>
      <x:c r="E518" s="99"/>
      <x:c r="F518" s="99"/>
      <x:c r="G518" s="99"/>
      <x:c r="H518" s="99"/>
      <x:c r="I518" s="99"/>
      <x:c r="J518" s="99"/>
      <x:c r="K518" s="99"/>
      <x:c r="L518" s="99"/>
      <x:c r="M518" s="99"/>
      <x:c r="N518" s="99"/>
      <x:c r="O518" s="99"/>
      <x:c r="P518" s="99"/>
      <x:c r="Q518" s="99"/>
      <x:c r="R518" s="99"/>
      <x:c r="S518" s="99"/>
      <x:c r="T518" s="99"/>
      <x:c r="U518" s="99"/>
      <x:c r="V518" s="99"/>
      <x:c r="W518" s="99"/>
      <x:c r="X518" s="99"/>
      <x:c r="Y518" s="99"/>
      <x:c r="Z518" s="99"/>
    </x:row>
    <x:row r="519">
      <x:c r="A519" s="99"/>
      <x:c r="B519" s="99"/>
      <x:c r="C519" s="99"/>
      <x:c r="D519" s="99"/>
      <x:c r="E519" s="99"/>
      <x:c r="F519" s="99"/>
      <x:c r="G519" s="99"/>
      <x:c r="H519" s="99"/>
      <x:c r="I519" s="99"/>
      <x:c r="J519" s="99"/>
      <x:c r="K519" s="99"/>
      <x:c r="L519" s="99"/>
      <x:c r="M519" s="99"/>
      <x:c r="N519" s="99"/>
      <x:c r="O519" s="99"/>
      <x:c r="P519" s="99"/>
      <x:c r="Q519" s="99"/>
      <x:c r="R519" s="99"/>
      <x:c r="S519" s="99"/>
      <x:c r="T519" s="99"/>
      <x:c r="U519" s="99"/>
      <x:c r="V519" s="99"/>
      <x:c r="W519" s="99"/>
      <x:c r="X519" s="99"/>
      <x:c r="Y519" s="99"/>
      <x:c r="Z519" s="99"/>
    </x:row>
    <x:row r="520">
      <x:c r="A520" s="99"/>
      <x:c r="B520" s="99"/>
      <x:c r="C520" s="99"/>
      <x:c r="D520" s="99"/>
      <x:c r="E520" s="99"/>
      <x:c r="F520" s="99"/>
      <x:c r="G520" s="99"/>
      <x:c r="H520" s="99"/>
      <x:c r="I520" s="99"/>
      <x:c r="J520" s="99"/>
      <x:c r="K520" s="99"/>
      <x:c r="L520" s="99"/>
      <x:c r="M520" s="99"/>
      <x:c r="N520" s="99"/>
      <x:c r="O520" s="99"/>
      <x:c r="P520" s="99"/>
      <x:c r="Q520" s="99"/>
      <x:c r="R520" s="99"/>
      <x:c r="S520" s="99"/>
      <x:c r="T520" s="99"/>
      <x:c r="U520" s="99"/>
      <x:c r="V520" s="99"/>
      <x:c r="W520" s="99"/>
      <x:c r="X520" s="99"/>
      <x:c r="Y520" s="99"/>
      <x:c r="Z520" s="99"/>
    </x:row>
  </x:sheetData>
  <x:mergeCells>
    <x:mergeCell ref="A1:N1"/>
  </x:mergeCells>
  <x:conditionalFormatting sqref="J4:M15">
    <x:cfRule type="expression" dxfId="0" priority="1">
      <x:formula>OR($J4="REVIEW",$K4="REVIEW",$L4="REVIEW",$M4="ACTION NEEDED")</x:formula>
    </x:cfRule>
  </x:conditionalFormatting>
  <x:dataValidations count="3">
    <x:dataValidation type="list" sqref="D4:D15">
      <x:formula1>_LISTS!$A$2:$A$8</x:formula1>
    </x:dataValidation>
    <x:dataValidation type="list" sqref="F4:F15">
      <x:formula1>_LISTS!$B$2:$B$5</x:formula1>
    </x:dataValidation>
    <x:dataValidation type="list" sqref="G4:G15">
      <x:formula1>_LISTS!$C$2:$C$4</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72" hidden="0" customWidth="1"/>
  </x:cols>
  <x:sheetData>
    <x:row r="1">
      <x:c r="A1" s="165" t="str">
        <x:v>FIELDING PLAN — document how the data will be produced, not only how it will be analyzed</x:v>
      </x:c>
      <x:c r="B1" s="165"/>
      <x:c r="C1" s="165"/>
      <x:c r="D1" s="165"/>
      <x:c r="E1" s="165"/>
      <x:c r="F1" s="165"/>
      <x:c r="G1" s="99"/>
      <x:c r="H1" s="99"/>
      <x:c r="I1" s="99"/>
      <x:c r="J1" s="99"/>
      <x:c r="K1" s="99"/>
      <x:c r="L1" s="99"/>
      <x:c r="M1" s="99"/>
      <x:c r="N1" s="99"/>
      <x:c r="O1" s="99"/>
      <x:c r="P1" s="99"/>
      <x:c r="Q1" s="99"/>
      <x:c r="R1" s="99"/>
      <x:c r="S1" s="99"/>
      <x:c r="T1" s="99"/>
      <x:c r="U1" s="99"/>
      <x:c r="V1" s="99"/>
      <x:c r="W1" s="99"/>
      <x:c r="X1" s="99"/>
      <x:c r="Y1" s="99"/>
      <x:c r="Z1" s="99"/>
    </x:row>
    <x:row r="2">
      <x:c r="A2" s="99"/>
      <x:c r="B2" s="99"/>
      <x:c r="C2" s="99"/>
      <x:c r="D2" s="99"/>
      <x:c r="E2" s="99"/>
      <x:c r="F2" s="99"/>
      <x:c r="G2" s="99"/>
      <x:c r="H2" s="99"/>
      <x:c r="I2" s="99"/>
      <x:c r="J2" s="99"/>
      <x:c r="K2" s="99"/>
      <x:c r="L2" s="99"/>
      <x:c r="M2" s="99"/>
      <x:c r="N2" s="99"/>
      <x:c r="O2" s="99"/>
      <x:c r="P2" s="99"/>
      <x:c r="Q2" s="99"/>
      <x:c r="R2" s="99"/>
      <x:c r="S2" s="99"/>
      <x:c r="T2" s="99"/>
      <x:c r="U2" s="99"/>
      <x:c r="V2" s="99"/>
      <x:c r="W2" s="99"/>
      <x:c r="X2" s="99"/>
      <x:c r="Y2" s="99"/>
      <x:c r="Z2" s="99"/>
    </x:row>
    <x:row r="3">
      <x:c r="A3" s="106" t="str">
        <x:v>Target Population</x:v>
      </x:c>
      <x:c r="B3" s="119" t="str"/>
      <x:c r="C3" s="99"/>
      <x:c r="D3" s="99"/>
      <x:c r="E3" s="99"/>
      <x:c r="F3" s="99"/>
      <x:c r="G3" s="99"/>
      <x:c r="H3" s="99"/>
      <x:c r="I3" s="99"/>
      <x:c r="J3" s="99"/>
      <x:c r="K3" s="99"/>
      <x:c r="L3" s="99"/>
      <x:c r="M3" s="99"/>
      <x:c r="N3" s="99"/>
      <x:c r="O3" s="99"/>
      <x:c r="P3" s="99"/>
      <x:c r="Q3" s="99"/>
      <x:c r="R3" s="99"/>
      <x:c r="S3" s="99"/>
      <x:c r="T3" s="99"/>
      <x:c r="U3" s="99"/>
      <x:c r="V3" s="99"/>
      <x:c r="W3" s="99"/>
      <x:c r="X3" s="99"/>
      <x:c r="Y3" s="99"/>
      <x:c r="Z3" s="99"/>
    </x:row>
    <x:row r="4">
      <x:c r="A4" s="106" t="str">
        <x:v>Sampling / Recruitment Approach</x:v>
      </x:c>
      <x:c r="B4" s="119" t="str"/>
      <x:c r="C4" s="99"/>
      <x:c r="D4" s="99"/>
      <x:c r="E4" s="99"/>
      <x:c r="F4" s="99"/>
      <x:c r="G4" s="99"/>
      <x:c r="H4" s="99"/>
      <x:c r="I4" s="99"/>
      <x:c r="J4" s="99"/>
      <x:c r="K4" s="99"/>
      <x:c r="L4" s="99"/>
      <x:c r="M4" s="99"/>
      <x:c r="N4" s="99"/>
      <x:c r="O4" s="99"/>
      <x:c r="P4" s="99"/>
      <x:c r="Q4" s="99"/>
      <x:c r="R4" s="99"/>
      <x:c r="S4" s="99"/>
      <x:c r="T4" s="99"/>
      <x:c r="U4" s="99"/>
      <x:c r="V4" s="99"/>
      <x:c r="W4" s="99"/>
      <x:c r="X4" s="99"/>
      <x:c r="Y4" s="99"/>
      <x:c r="Z4" s="99"/>
    </x:row>
    <x:row r="5">
      <x:c r="A5" s="106" t="str">
        <x:v>Fielding Window</x:v>
      </x:c>
      <x:c r="B5" s="130" t="str">
        <x:f>TEXT(SETUP!B7,"mmm d, yyyy")&amp;" – "&amp;TEXT(SETUP!B8,"mmm d, yyyy")</x:f>
        <x:v>Oct 1, 2026 – Oct 15, 2026</x:v>
      </x:c>
      <x:c r="C5" s="99"/>
      <x:c r="D5" s="99"/>
      <x:c r="E5" s="99"/>
      <x:c r="F5" s="99"/>
      <x:c r="G5" s="99"/>
      <x:c r="H5" s="99"/>
      <x:c r="I5" s="99"/>
      <x:c r="J5" s="99"/>
      <x:c r="K5" s="99"/>
      <x:c r="L5" s="99"/>
      <x:c r="M5" s="99"/>
      <x:c r="N5" s="99"/>
      <x:c r="O5" s="99"/>
      <x:c r="P5" s="99"/>
      <x:c r="Q5" s="99"/>
      <x:c r="R5" s="99"/>
      <x:c r="S5" s="99"/>
      <x:c r="T5" s="99"/>
      <x:c r="U5" s="99"/>
      <x:c r="V5" s="99"/>
      <x:c r="W5" s="99"/>
      <x:c r="X5" s="99"/>
      <x:c r="Y5" s="99"/>
      <x:c r="Z5" s="99"/>
    </x:row>
    <x:row r="6">
      <x:c r="A6" s="106" t="str">
        <x:v>Invitation Channel(s)</x:v>
      </x:c>
      <x:c r="B6" s="119" t="str"/>
      <x:c r="C6" s="99"/>
      <x:c r="D6" s="99"/>
      <x:c r="E6" s="99"/>
      <x:c r="F6" s="99"/>
      <x:c r="G6" s="99"/>
      <x:c r="H6" s="99"/>
      <x:c r="I6" s="99"/>
      <x:c r="J6" s="99"/>
      <x:c r="K6" s="99"/>
      <x:c r="L6" s="99"/>
      <x:c r="M6" s="99"/>
      <x:c r="N6" s="99"/>
      <x:c r="O6" s="99"/>
      <x:c r="P6" s="99"/>
      <x:c r="Q6" s="99"/>
      <x:c r="R6" s="99"/>
      <x:c r="S6" s="99"/>
      <x:c r="T6" s="99"/>
      <x:c r="U6" s="99"/>
      <x:c r="V6" s="99"/>
      <x:c r="W6" s="99"/>
      <x:c r="X6" s="99"/>
      <x:c r="Y6" s="99"/>
      <x:c r="Z6" s="99"/>
    </x:row>
    <x:row r="7">
      <x:c r="A7" s="106" t="str">
        <x:v>Reminder Plan</x:v>
      </x:c>
      <x:c r="B7" s="119" t="str"/>
      <x:c r="C7" s="99"/>
      <x:c r="D7" s="99"/>
      <x:c r="E7" s="99"/>
      <x:c r="F7" s="99"/>
      <x:c r="G7" s="99"/>
      <x:c r="H7" s="99"/>
      <x:c r="I7" s="99"/>
      <x:c r="J7" s="99"/>
      <x:c r="K7" s="99"/>
      <x:c r="L7" s="99"/>
      <x:c r="M7" s="99"/>
      <x:c r="N7" s="99"/>
      <x:c r="O7" s="99"/>
      <x:c r="P7" s="99"/>
      <x:c r="Q7" s="99"/>
      <x:c r="R7" s="99"/>
      <x:c r="S7" s="99"/>
      <x:c r="T7" s="99"/>
      <x:c r="U7" s="99"/>
      <x:c r="V7" s="99"/>
      <x:c r="W7" s="99"/>
      <x:c r="X7" s="99"/>
      <x:c r="Y7" s="99"/>
      <x:c r="Z7" s="99"/>
    </x:row>
    <x:row r="8">
      <x:c r="A8" s="106" t="str">
        <x:v>Consent / Study Information</x:v>
      </x:c>
      <x:c r="B8" s="119" t="str"/>
      <x:c r="C8" s="99"/>
      <x:c r="D8" s="99"/>
      <x:c r="E8" s="99"/>
      <x:c r="F8" s="99"/>
      <x:c r="G8" s="99"/>
      <x:c r="H8" s="99"/>
      <x:c r="I8" s="99"/>
      <x:c r="J8" s="99"/>
      <x:c r="K8" s="99"/>
      <x:c r="L8" s="99"/>
      <x:c r="M8" s="99"/>
      <x:c r="N8" s="99"/>
      <x:c r="O8" s="99"/>
      <x:c r="P8" s="99"/>
      <x:c r="Q8" s="99"/>
      <x:c r="R8" s="99"/>
      <x:c r="S8" s="99"/>
      <x:c r="T8" s="99"/>
      <x:c r="U8" s="99"/>
      <x:c r="V8" s="99"/>
      <x:c r="W8" s="99"/>
      <x:c r="X8" s="99"/>
      <x:c r="Y8" s="99"/>
      <x:c r="Z8" s="99"/>
    </x:row>
    <x:row r="9">
      <x:c r="A9" s="106" t="str">
        <x:v>Privacy / Data Handling</x:v>
      </x:c>
      <x:c r="B9" s="119" t="str"/>
      <x:c r="C9" s="99"/>
      <x:c r="D9" s="99"/>
      <x:c r="E9" s="99"/>
      <x:c r="F9" s="99"/>
      <x:c r="G9" s="99"/>
      <x:c r="H9" s="99"/>
      <x:c r="I9" s="99"/>
      <x:c r="J9" s="99"/>
      <x:c r="K9" s="99"/>
      <x:c r="L9" s="99"/>
      <x:c r="M9" s="99"/>
      <x:c r="N9" s="99"/>
      <x:c r="O9" s="99"/>
      <x:c r="P9" s="99"/>
      <x:c r="Q9" s="99"/>
      <x:c r="R9" s="99"/>
      <x:c r="S9" s="99"/>
      <x:c r="T9" s="99"/>
      <x:c r="U9" s="99"/>
      <x:c r="V9" s="99"/>
      <x:c r="W9" s="99"/>
      <x:c r="X9" s="99"/>
      <x:c r="Y9" s="99"/>
      <x:c r="Z9" s="99"/>
    </x:row>
    <x:row r="10">
      <x:c r="A10" s="106" t="str">
        <x:v>Incentive (if any)</x:v>
      </x:c>
      <x:c r="B10" s="119" t="str"/>
      <x:c r="C10" s="99"/>
      <x:c r="D10" s="99"/>
      <x:c r="E10" s="99"/>
      <x:c r="F10" s="99"/>
      <x:c r="G10" s="99"/>
      <x:c r="H10" s="99"/>
      <x:c r="I10" s="99"/>
      <x:c r="J10" s="99"/>
      <x:c r="K10" s="99"/>
      <x:c r="L10" s="99"/>
      <x:c r="M10" s="99"/>
      <x:c r="N10" s="99"/>
      <x:c r="O10" s="99"/>
      <x:c r="P10" s="99"/>
      <x:c r="Q10" s="99"/>
      <x:c r="R10" s="99"/>
      <x:c r="S10" s="99"/>
      <x:c r="T10" s="99"/>
      <x:c r="U10" s="99"/>
      <x:c r="V10" s="99"/>
      <x:c r="W10" s="99"/>
      <x:c r="X10" s="99"/>
      <x:c r="Y10" s="99"/>
      <x:c r="Z10" s="99"/>
    </x:row>
    <x:row r="11">
      <x:c r="A11" s="106" t="str">
        <x:v>Primary Outcome / Construct</x:v>
      </x:c>
      <x:c r="B11" s="119" t="str"/>
      <x:c r="C11" s="99"/>
      <x:c r="D11" s="99"/>
      <x:c r="E11" s="99"/>
      <x:c r="F11" s="99"/>
      <x:c r="G11" s="99"/>
      <x:c r="H11" s="99"/>
      <x:c r="I11" s="99"/>
      <x:c r="J11" s="99"/>
      <x:c r="K11" s="99"/>
      <x:c r="L11" s="99"/>
      <x:c r="M11" s="99"/>
      <x:c r="N11" s="99"/>
      <x:c r="O11" s="99"/>
      <x:c r="P11" s="99"/>
      <x:c r="Q11" s="99"/>
      <x:c r="R11" s="99"/>
      <x:c r="S11" s="99"/>
      <x:c r="T11" s="99"/>
      <x:c r="U11" s="99"/>
      <x:c r="V11" s="99"/>
      <x:c r="W11" s="99"/>
      <x:c r="X11" s="99"/>
      <x:c r="Y11" s="99"/>
      <x:c r="Z11" s="99"/>
    </x:row>
    <x:row r="12">
      <x:c r="A12" s="106" t="str">
        <x:v>Planned Segments</x:v>
      </x:c>
      <x:c r="B12" s="119" t="str"/>
      <x:c r="C12" s="99"/>
      <x:c r="D12" s="99"/>
      <x:c r="E12" s="99"/>
      <x:c r="F12" s="99"/>
      <x:c r="G12" s="99"/>
      <x:c r="H12" s="99"/>
      <x:c r="I12" s="99"/>
      <x:c r="J12" s="99"/>
      <x:c r="K12" s="99"/>
      <x:c r="L12" s="99"/>
      <x:c r="M12" s="99"/>
      <x:c r="N12" s="99"/>
      <x:c r="O12" s="99"/>
      <x:c r="P12" s="99"/>
      <x:c r="Q12" s="99"/>
      <x:c r="R12" s="99"/>
      <x:c r="S12" s="99"/>
      <x:c r="T12" s="99"/>
      <x:c r="U12" s="99"/>
      <x:c r="V12" s="99"/>
      <x:c r="W12" s="99"/>
      <x:c r="X12" s="99"/>
      <x:c r="Y12" s="99"/>
      <x:c r="Z12" s="99"/>
    </x:row>
    <x:row r="13">
      <x:c r="A13" s="106" t="str">
        <x:v>Planned Analysis</x:v>
      </x:c>
      <x:c r="B13" s="119" t="str">
        <x:v>Descriptive summaries, QA retention, item performance, segmentation, needs-priority analysis, and coded open text.</x:v>
      </x:c>
      <x:c r="C13" s="99"/>
      <x:c r="D13" s="99"/>
      <x:c r="E13" s="99"/>
      <x:c r="F13" s="99"/>
      <x:c r="G13" s="99"/>
      <x:c r="H13" s="99"/>
      <x:c r="I13" s="99"/>
      <x:c r="J13" s="99"/>
      <x:c r="K13" s="99"/>
      <x:c r="L13" s="99"/>
      <x:c r="M13" s="99"/>
      <x:c r="N13" s="99"/>
      <x:c r="O13" s="99"/>
      <x:c r="P13" s="99"/>
      <x:c r="Q13" s="99"/>
      <x:c r="R13" s="99"/>
      <x:c r="S13" s="99"/>
      <x:c r="T13" s="99"/>
      <x:c r="U13" s="99"/>
      <x:c r="V13" s="99"/>
      <x:c r="W13" s="99"/>
      <x:c r="X13" s="99"/>
      <x:c r="Y13" s="99"/>
      <x:c r="Z13" s="99"/>
    </x:row>
    <x:row r="14">
      <x:c r="A14" s="106" t="str">
        <x:v>Decision This Will Inform</x:v>
      </x:c>
      <x:c r="B14" s="119" t="str"/>
      <x:c r="C14" s="99"/>
      <x:c r="D14" s="99"/>
      <x:c r="E14" s="99"/>
      <x:c r="F14" s="99"/>
      <x:c r="G14" s="99"/>
      <x:c r="H14" s="99"/>
      <x:c r="I14" s="99"/>
      <x:c r="J14" s="99"/>
      <x:c r="K14" s="99"/>
      <x:c r="L14" s="99"/>
      <x:c r="M14" s="99"/>
      <x:c r="N14" s="99"/>
      <x:c r="O14" s="99"/>
      <x:c r="P14" s="99"/>
      <x:c r="Q14" s="99"/>
      <x:c r="R14" s="99"/>
      <x:c r="S14" s="99"/>
      <x:c r="T14" s="99"/>
      <x:c r="U14" s="99"/>
      <x:c r="V14" s="99"/>
      <x:c r="W14" s="99"/>
      <x:c r="X14" s="99"/>
      <x:c r="Y14" s="99"/>
      <x:c r="Z14" s="99"/>
    </x:row>
    <x:row r="15">
      <x:c r="A15" s="106" t="str">
        <x:v>Known Limitations Before Fielding</x:v>
      </x:c>
      <x:c r="B15" s="119" t="str"/>
      <x:c r="C15" s="99"/>
      <x:c r="D15" s="99"/>
      <x:c r="E15" s="99"/>
      <x:c r="F15" s="99"/>
      <x:c r="G15" s="99"/>
      <x:c r="H15" s="99"/>
      <x:c r="I15" s="99"/>
      <x:c r="J15" s="99"/>
      <x:c r="K15" s="99"/>
      <x:c r="L15" s="99"/>
      <x:c r="M15" s="99"/>
      <x:c r="N15" s="99"/>
      <x:c r="O15" s="99"/>
      <x:c r="P15" s="99"/>
      <x:c r="Q15" s="99"/>
      <x:c r="R15" s="99"/>
      <x:c r="S15" s="99"/>
      <x:c r="T15" s="99"/>
      <x:c r="U15" s="99"/>
      <x:c r="V15" s="99"/>
      <x:c r="W15" s="99"/>
      <x:c r="X15" s="99"/>
      <x:c r="Y15" s="99"/>
      <x:c r="Z15" s="99"/>
    </x:row>
    <x:row r="16">
      <x:c r="A16" s="99"/>
      <x:c r="B16" s="99"/>
      <x:c r="C16" s="99"/>
      <x:c r="D16" s="99"/>
      <x:c r="E16" s="99"/>
      <x:c r="F16" s="99"/>
      <x:c r="G16" s="99"/>
      <x:c r="H16" s="99"/>
      <x:c r="I16" s="99"/>
      <x:c r="J16" s="99"/>
      <x:c r="K16" s="99"/>
      <x:c r="L16" s="99"/>
      <x:c r="M16" s="99"/>
      <x:c r="N16" s="99"/>
      <x:c r="O16" s="99"/>
      <x:c r="P16" s="99"/>
      <x:c r="Q16" s="99"/>
      <x:c r="R16" s="99"/>
      <x:c r="S16" s="99"/>
      <x:c r="T16" s="99"/>
      <x:c r="U16" s="99"/>
      <x:c r="V16" s="99"/>
      <x:c r="W16" s="99"/>
      <x:c r="X16" s="99"/>
      <x:c r="Y16" s="99"/>
      <x:c r="Z16" s="99"/>
    </x:row>
    <x:row r="17">
      <x:c r="A17" s="99"/>
      <x:c r="B17" s="99"/>
      <x:c r="C17" s="99"/>
      <x:c r="D17" s="99"/>
      <x:c r="E17" s="99"/>
      <x:c r="F17" s="99"/>
      <x:c r="G17" s="99"/>
      <x:c r="H17" s="99"/>
      <x:c r="I17" s="99"/>
      <x:c r="J17" s="99"/>
      <x:c r="K17" s="99"/>
      <x:c r="L17" s="99"/>
      <x:c r="M17" s="99"/>
      <x:c r="N17" s="99"/>
      <x:c r="O17" s="99"/>
      <x:c r="P17" s="99"/>
      <x:c r="Q17" s="99"/>
      <x:c r="R17" s="99"/>
      <x:c r="S17" s="99"/>
      <x:c r="T17" s="99"/>
      <x:c r="U17" s="99"/>
      <x:c r="V17" s="99"/>
      <x:c r="W17" s="99"/>
      <x:c r="X17" s="99"/>
      <x:c r="Y17" s="99"/>
      <x:c r="Z17" s="99"/>
    </x:row>
    <x:row r="18">
      <x:c r="A18" s="99"/>
      <x:c r="B18" s="99"/>
      <x:c r="C18" s="99"/>
      <x:c r="D18" s="99"/>
      <x:c r="E18" s="99"/>
      <x:c r="F18" s="99"/>
      <x:c r="G18" s="99"/>
      <x:c r="H18" s="99"/>
      <x:c r="I18" s="99"/>
      <x:c r="J18" s="99"/>
      <x:c r="K18" s="99"/>
      <x:c r="L18" s="99"/>
      <x:c r="M18" s="99"/>
      <x:c r="N18" s="99"/>
      <x:c r="O18" s="99"/>
      <x:c r="P18" s="99"/>
      <x:c r="Q18" s="99"/>
      <x:c r="R18" s="99"/>
      <x:c r="S18" s="99"/>
      <x:c r="T18" s="99"/>
      <x:c r="U18" s="99"/>
      <x:c r="V18" s="99"/>
      <x:c r="W18" s="99"/>
      <x:c r="X18" s="99"/>
      <x:c r="Y18" s="99"/>
      <x:c r="Z18" s="99"/>
    </x:row>
    <x:row r="19">
      <x:c r="A19" s="99"/>
      <x:c r="B19" s="99"/>
      <x:c r="C19" s="99"/>
      <x:c r="D19" s="99"/>
      <x:c r="E19" s="99"/>
      <x:c r="F19" s="99"/>
      <x:c r="G19" s="99"/>
      <x:c r="H19" s="99"/>
      <x:c r="I19" s="99"/>
      <x:c r="J19" s="99"/>
      <x:c r="K19" s="99"/>
      <x:c r="L19" s="99"/>
      <x:c r="M19" s="99"/>
      <x:c r="N19" s="99"/>
      <x:c r="O19" s="99"/>
      <x:c r="P19" s="99"/>
      <x:c r="Q19" s="99"/>
      <x:c r="R19" s="99"/>
      <x:c r="S19" s="99"/>
      <x:c r="T19" s="99"/>
      <x:c r="U19" s="99"/>
      <x:c r="V19" s="99"/>
      <x:c r="W19" s="99"/>
      <x:c r="X19" s="99"/>
      <x:c r="Y19" s="99"/>
      <x:c r="Z19" s="99"/>
    </x:row>
    <x:row r="20">
      <x:c r="A20" s="99"/>
      <x:c r="B20" s="99"/>
      <x:c r="C20" s="99"/>
      <x:c r="D20" s="99"/>
      <x:c r="E20" s="99"/>
      <x:c r="F20" s="99"/>
      <x:c r="G20" s="99"/>
      <x:c r="H20" s="99"/>
      <x:c r="I20" s="99"/>
      <x:c r="J20" s="99"/>
      <x:c r="K20" s="99"/>
      <x:c r="L20" s="99"/>
      <x:c r="M20" s="99"/>
      <x:c r="N20" s="99"/>
      <x:c r="O20" s="99"/>
      <x:c r="P20" s="99"/>
      <x:c r="Q20" s="99"/>
      <x:c r="R20" s="99"/>
      <x:c r="S20" s="99"/>
      <x:c r="T20" s="99"/>
      <x:c r="U20" s="99"/>
      <x:c r="V20" s="99"/>
      <x:c r="W20" s="99"/>
      <x:c r="X20" s="99"/>
      <x:c r="Y20" s="99"/>
      <x:c r="Z20" s="99"/>
    </x:row>
    <x:row r="21">
      <x:c r="A21" s="99"/>
      <x:c r="B21" s="99"/>
      <x:c r="C21" s="99"/>
      <x:c r="D21" s="99"/>
      <x:c r="E21" s="99"/>
      <x:c r="F21" s="99"/>
      <x:c r="G21" s="99"/>
      <x:c r="H21" s="99"/>
      <x:c r="I21" s="99"/>
      <x:c r="J21" s="99"/>
      <x:c r="K21" s="99"/>
      <x:c r="L21" s="99"/>
      <x:c r="M21" s="99"/>
      <x:c r="N21" s="99"/>
      <x:c r="O21" s="99"/>
      <x:c r="P21" s="99"/>
      <x:c r="Q21" s="99"/>
      <x:c r="R21" s="99"/>
      <x:c r="S21" s="99"/>
      <x:c r="T21" s="99"/>
      <x:c r="U21" s="99"/>
      <x:c r="V21" s="99"/>
      <x:c r="W21" s="99"/>
      <x:c r="X21" s="99"/>
      <x:c r="Y21" s="99"/>
      <x:c r="Z21" s="99"/>
    </x:row>
    <x:row r="22">
      <x:c r="A22" s="99"/>
      <x:c r="B22" s="99"/>
      <x:c r="C22" s="99"/>
      <x:c r="D22" s="99"/>
      <x:c r="E22" s="99"/>
      <x:c r="F22" s="99"/>
      <x:c r="G22" s="99"/>
      <x:c r="H22" s="99"/>
      <x:c r="I22" s="99"/>
      <x:c r="J22" s="99"/>
      <x:c r="K22" s="99"/>
      <x:c r="L22" s="99"/>
      <x:c r="M22" s="99"/>
      <x:c r="N22" s="99"/>
      <x:c r="O22" s="99"/>
      <x:c r="P22" s="99"/>
      <x:c r="Q22" s="99"/>
      <x:c r="R22" s="99"/>
      <x:c r="S22" s="99"/>
      <x:c r="T22" s="99"/>
      <x:c r="U22" s="99"/>
      <x:c r="V22" s="99"/>
      <x:c r="W22" s="99"/>
      <x:c r="X22" s="99"/>
      <x:c r="Y22" s="99"/>
      <x:c r="Z22" s="99"/>
    </x:row>
    <x:row r="23">
      <x:c r="A23" s="99"/>
      <x:c r="B23" s="99"/>
      <x:c r="C23" s="99"/>
      <x:c r="D23" s="99"/>
      <x:c r="E23" s="99"/>
      <x:c r="F23" s="99"/>
      <x:c r="G23" s="99"/>
      <x:c r="H23" s="99"/>
      <x:c r="I23" s="99"/>
      <x:c r="J23" s="99"/>
      <x:c r="K23" s="99"/>
      <x:c r="L23" s="99"/>
      <x:c r="M23" s="99"/>
      <x:c r="N23" s="99"/>
      <x:c r="O23" s="99"/>
      <x:c r="P23" s="99"/>
      <x:c r="Q23" s="99"/>
      <x:c r="R23" s="99"/>
      <x:c r="S23" s="99"/>
      <x:c r="T23" s="99"/>
      <x:c r="U23" s="99"/>
      <x:c r="V23" s="99"/>
      <x:c r="W23" s="99"/>
      <x:c r="X23" s="99"/>
      <x:c r="Y23" s="99"/>
      <x:c r="Z23" s="99"/>
    </x:row>
    <x:row r="24">
      <x:c r="A24" s="99"/>
      <x:c r="B24" s="99"/>
      <x:c r="C24" s="99"/>
      <x:c r="D24" s="99"/>
      <x:c r="E24" s="99"/>
      <x:c r="F24" s="99"/>
      <x:c r="G24" s="99"/>
      <x:c r="H24" s="99"/>
      <x:c r="I24" s="99"/>
      <x:c r="J24" s="99"/>
      <x:c r="K24" s="99"/>
      <x:c r="L24" s="99"/>
      <x:c r="M24" s="99"/>
      <x:c r="N24" s="99"/>
      <x:c r="O24" s="99"/>
      <x:c r="P24" s="99"/>
      <x:c r="Q24" s="99"/>
      <x:c r="R24" s="99"/>
      <x:c r="S24" s="99"/>
      <x:c r="T24" s="99"/>
      <x:c r="U24" s="99"/>
      <x:c r="V24" s="99"/>
      <x:c r="W24" s="99"/>
      <x:c r="X24" s="99"/>
      <x:c r="Y24" s="99"/>
      <x:c r="Z24" s="99"/>
    </x:row>
    <x:row r="25">
      <x:c r="A25" s="99"/>
      <x:c r="B25" s="99"/>
      <x:c r="C25" s="99"/>
      <x:c r="D25" s="99"/>
      <x:c r="E25" s="99"/>
      <x:c r="F25" s="99"/>
      <x:c r="G25" s="99"/>
      <x:c r="H25" s="99"/>
      <x:c r="I25" s="99"/>
      <x:c r="J25" s="99"/>
      <x:c r="K25" s="99"/>
      <x:c r="L25" s="99"/>
      <x:c r="M25" s="99"/>
      <x:c r="N25" s="99"/>
      <x:c r="O25" s="99"/>
      <x:c r="P25" s="99"/>
      <x:c r="Q25" s="99"/>
      <x:c r="R25" s="99"/>
      <x:c r="S25" s="99"/>
      <x:c r="T25" s="99"/>
      <x:c r="U25" s="99"/>
      <x:c r="V25" s="99"/>
      <x:c r="W25" s="99"/>
      <x:c r="X25" s="99"/>
      <x:c r="Y25" s="99"/>
      <x:c r="Z25" s="99"/>
    </x:row>
    <x:row r="26">
      <x:c r="A26" s="99"/>
      <x:c r="B26" s="99"/>
      <x:c r="C26" s="99"/>
      <x:c r="D26" s="99"/>
      <x:c r="E26" s="99"/>
      <x:c r="F26" s="99"/>
      <x:c r="G26" s="99"/>
      <x:c r="H26" s="99"/>
      <x:c r="I26" s="99"/>
      <x:c r="J26" s="99"/>
      <x:c r="K26" s="99"/>
      <x:c r="L26" s="99"/>
      <x:c r="M26" s="99"/>
      <x:c r="N26" s="99"/>
      <x:c r="O26" s="99"/>
      <x:c r="P26" s="99"/>
      <x:c r="Q26" s="99"/>
      <x:c r="R26" s="99"/>
      <x:c r="S26" s="99"/>
      <x:c r="T26" s="99"/>
      <x:c r="U26" s="99"/>
      <x:c r="V26" s="99"/>
      <x:c r="W26" s="99"/>
      <x:c r="X26" s="99"/>
      <x:c r="Y26" s="99"/>
      <x:c r="Z26" s="99"/>
    </x:row>
    <x:row r="27">
      <x:c r="A27" s="99"/>
      <x:c r="B27" s="99"/>
      <x:c r="C27" s="99"/>
      <x:c r="D27" s="99"/>
      <x:c r="E27" s="99"/>
      <x:c r="F27" s="99"/>
      <x:c r="G27" s="99"/>
      <x:c r="H27" s="99"/>
      <x:c r="I27" s="99"/>
      <x:c r="J27" s="99"/>
      <x:c r="K27" s="99"/>
      <x:c r="L27" s="99"/>
      <x:c r="M27" s="99"/>
      <x:c r="N27" s="99"/>
      <x:c r="O27" s="99"/>
      <x:c r="P27" s="99"/>
      <x:c r="Q27" s="99"/>
      <x:c r="R27" s="99"/>
      <x:c r="S27" s="99"/>
      <x:c r="T27" s="99"/>
      <x:c r="U27" s="99"/>
      <x:c r="V27" s="99"/>
      <x:c r="W27" s="99"/>
      <x:c r="X27" s="99"/>
      <x:c r="Y27" s="99"/>
      <x:c r="Z27" s="99"/>
    </x:row>
    <x:row r="28">
      <x:c r="A28" s="99"/>
      <x:c r="B28" s="99"/>
      <x:c r="C28" s="99"/>
      <x:c r="D28" s="99"/>
      <x:c r="E28" s="99"/>
      <x:c r="F28" s="99"/>
      <x:c r="G28" s="99"/>
      <x:c r="H28" s="99"/>
      <x:c r="I28" s="99"/>
      <x:c r="J28" s="99"/>
      <x:c r="K28" s="99"/>
      <x:c r="L28" s="99"/>
      <x:c r="M28" s="99"/>
      <x:c r="N28" s="99"/>
      <x:c r="O28" s="99"/>
      <x:c r="P28" s="99"/>
      <x:c r="Q28" s="99"/>
      <x:c r="R28" s="99"/>
      <x:c r="S28" s="99"/>
      <x:c r="T28" s="99"/>
      <x:c r="U28" s="99"/>
      <x:c r="V28" s="99"/>
      <x:c r="W28" s="99"/>
      <x:c r="X28" s="99"/>
      <x:c r="Y28" s="99"/>
      <x:c r="Z28" s="99"/>
    </x:row>
    <x:row r="29">
      <x:c r="A29" s="99"/>
      <x:c r="B29" s="99"/>
      <x:c r="C29" s="99"/>
      <x:c r="D29" s="99"/>
      <x:c r="E29" s="99"/>
      <x:c r="F29" s="99"/>
      <x:c r="G29" s="99"/>
      <x:c r="H29" s="99"/>
      <x:c r="I29" s="99"/>
      <x:c r="J29" s="99"/>
      <x:c r="K29" s="99"/>
      <x:c r="L29" s="99"/>
      <x:c r="M29" s="99"/>
      <x:c r="N29" s="99"/>
      <x:c r="O29" s="99"/>
      <x:c r="P29" s="99"/>
      <x:c r="Q29" s="99"/>
      <x:c r="R29" s="99"/>
      <x:c r="S29" s="99"/>
      <x:c r="T29" s="99"/>
      <x:c r="U29" s="99"/>
      <x:c r="V29" s="99"/>
      <x:c r="W29" s="99"/>
      <x:c r="X29" s="99"/>
      <x:c r="Y29" s="99"/>
      <x:c r="Z29" s="99"/>
    </x:row>
    <x:row r="30">
      <x:c r="A30" s="99"/>
      <x:c r="B30" s="99"/>
      <x:c r="C30" s="99"/>
      <x:c r="D30" s="99"/>
      <x:c r="E30" s="99"/>
      <x:c r="F30" s="99"/>
      <x:c r="G30" s="99"/>
      <x:c r="H30" s="99"/>
      <x:c r="I30" s="99"/>
      <x:c r="J30" s="99"/>
      <x:c r="K30" s="99"/>
      <x:c r="L30" s="99"/>
      <x:c r="M30" s="99"/>
      <x:c r="N30" s="99"/>
      <x:c r="O30" s="99"/>
      <x:c r="P30" s="99"/>
      <x:c r="Q30" s="99"/>
      <x:c r="R30" s="99"/>
      <x:c r="S30" s="99"/>
      <x:c r="T30" s="99"/>
      <x:c r="U30" s="99"/>
      <x:c r="V30" s="99"/>
      <x:c r="W30" s="99"/>
      <x:c r="X30" s="99"/>
      <x:c r="Y30" s="99"/>
      <x:c r="Z30" s="99"/>
    </x:row>
    <x:row r="31">
      <x:c r="A31" s="99"/>
      <x:c r="B31" s="99"/>
      <x:c r="C31" s="99"/>
      <x:c r="D31" s="99"/>
      <x:c r="E31" s="99"/>
      <x:c r="F31" s="99"/>
      <x:c r="G31" s="99"/>
      <x:c r="H31" s="99"/>
      <x:c r="I31" s="99"/>
      <x:c r="J31" s="99"/>
      <x:c r="K31" s="99"/>
      <x:c r="L31" s="99"/>
      <x:c r="M31" s="99"/>
      <x:c r="N31" s="99"/>
      <x:c r="O31" s="99"/>
      <x:c r="P31" s="99"/>
      <x:c r="Q31" s="99"/>
      <x:c r="R31" s="99"/>
      <x:c r="S31" s="99"/>
      <x:c r="T31" s="99"/>
      <x:c r="U31" s="99"/>
      <x:c r="V31" s="99"/>
      <x:c r="W31" s="99"/>
      <x:c r="X31" s="99"/>
      <x:c r="Y31" s="99"/>
      <x:c r="Z31" s="99"/>
    </x:row>
    <x:row r="32">
      <x:c r="A32" s="99"/>
      <x:c r="B32" s="99"/>
      <x:c r="C32" s="99"/>
      <x:c r="D32" s="99"/>
      <x:c r="E32" s="99"/>
      <x:c r="F32" s="99"/>
      <x:c r="G32" s="99"/>
      <x:c r="H32" s="99"/>
      <x:c r="I32" s="99"/>
      <x:c r="J32" s="99"/>
      <x:c r="K32" s="99"/>
      <x:c r="L32" s="99"/>
      <x:c r="M32" s="99"/>
      <x:c r="N32" s="99"/>
      <x:c r="O32" s="99"/>
      <x:c r="P32" s="99"/>
      <x:c r="Q32" s="99"/>
      <x:c r="R32" s="99"/>
      <x:c r="S32" s="99"/>
      <x:c r="T32" s="99"/>
      <x:c r="U32" s="99"/>
      <x:c r="V32" s="99"/>
      <x:c r="W32" s="99"/>
      <x:c r="X32" s="99"/>
      <x:c r="Y32" s="99"/>
      <x:c r="Z32" s="99"/>
    </x:row>
    <x:row r="33">
      <x:c r="A33" s="99"/>
      <x:c r="B33" s="99"/>
      <x:c r="C33" s="99"/>
      <x:c r="D33" s="99"/>
      <x:c r="E33" s="99"/>
      <x:c r="F33" s="99"/>
      <x:c r="G33" s="99"/>
      <x:c r="H33" s="99"/>
      <x:c r="I33" s="99"/>
      <x:c r="J33" s="99"/>
      <x:c r="K33" s="99"/>
      <x:c r="L33" s="99"/>
      <x:c r="M33" s="99"/>
      <x:c r="N33" s="99"/>
      <x:c r="O33" s="99"/>
      <x:c r="P33" s="99"/>
      <x:c r="Q33" s="99"/>
      <x:c r="R33" s="99"/>
      <x:c r="S33" s="99"/>
      <x:c r="T33" s="99"/>
      <x:c r="U33" s="99"/>
      <x:c r="V33" s="99"/>
      <x:c r="W33" s="99"/>
      <x:c r="X33" s="99"/>
      <x:c r="Y33" s="99"/>
      <x:c r="Z33" s="99"/>
    </x:row>
    <x:row r="34">
      <x:c r="A34" s="99"/>
      <x:c r="B34" s="99"/>
      <x:c r="C34" s="99"/>
      <x:c r="D34" s="99"/>
      <x:c r="E34" s="99"/>
      <x:c r="F34" s="99"/>
      <x:c r="G34" s="99"/>
      <x:c r="H34" s="99"/>
      <x:c r="I34" s="99"/>
      <x:c r="J34" s="99"/>
      <x:c r="K34" s="99"/>
      <x:c r="L34" s="99"/>
      <x:c r="M34" s="99"/>
      <x:c r="N34" s="99"/>
      <x:c r="O34" s="99"/>
      <x:c r="P34" s="99"/>
      <x:c r="Q34" s="99"/>
      <x:c r="R34" s="99"/>
      <x:c r="S34" s="99"/>
      <x:c r="T34" s="99"/>
      <x:c r="U34" s="99"/>
      <x:c r="V34" s="99"/>
      <x:c r="W34" s="99"/>
      <x:c r="X34" s="99"/>
      <x:c r="Y34" s="99"/>
      <x:c r="Z34" s="99"/>
    </x:row>
    <x:row r="35">
      <x:c r="A35" s="99"/>
      <x:c r="B35" s="99"/>
      <x:c r="C35" s="99"/>
      <x:c r="D35" s="99"/>
      <x:c r="E35" s="99"/>
      <x:c r="F35" s="99"/>
      <x:c r="G35" s="99"/>
      <x:c r="H35" s="99"/>
      <x:c r="I35" s="99"/>
      <x:c r="J35" s="99"/>
      <x:c r="K35" s="99"/>
      <x:c r="L35" s="99"/>
      <x:c r="M35" s="99"/>
      <x:c r="N35" s="99"/>
      <x:c r="O35" s="99"/>
      <x:c r="P35" s="99"/>
      <x:c r="Q35" s="99"/>
      <x:c r="R35" s="99"/>
      <x:c r="S35" s="99"/>
      <x:c r="T35" s="99"/>
      <x:c r="U35" s="99"/>
      <x:c r="V35" s="99"/>
      <x:c r="W35" s="99"/>
      <x:c r="X35" s="99"/>
      <x:c r="Y35" s="99"/>
      <x:c r="Z35" s="99"/>
    </x:row>
    <x:row r="36">
      <x:c r="A36" s="99"/>
      <x:c r="B36" s="99"/>
      <x:c r="C36" s="99"/>
      <x:c r="D36" s="99"/>
      <x:c r="E36" s="99"/>
      <x:c r="F36" s="99"/>
      <x:c r="G36" s="99"/>
      <x:c r="H36" s="99"/>
      <x:c r="I36" s="99"/>
      <x:c r="J36" s="99"/>
      <x:c r="K36" s="99"/>
      <x:c r="L36" s="99"/>
      <x:c r="M36" s="99"/>
      <x:c r="N36" s="99"/>
      <x:c r="O36" s="99"/>
      <x:c r="P36" s="99"/>
      <x:c r="Q36" s="99"/>
      <x:c r="R36" s="99"/>
      <x:c r="S36" s="99"/>
      <x:c r="T36" s="99"/>
      <x:c r="U36" s="99"/>
      <x:c r="V36" s="99"/>
      <x:c r="W36" s="99"/>
      <x:c r="X36" s="99"/>
      <x:c r="Y36" s="99"/>
      <x:c r="Z36" s="99"/>
    </x:row>
    <x:row r="37">
      <x:c r="A37" s="99"/>
      <x:c r="B37" s="99"/>
      <x:c r="C37" s="99"/>
      <x:c r="D37" s="99"/>
      <x:c r="E37" s="99"/>
      <x:c r="F37" s="99"/>
      <x:c r="G37" s="99"/>
      <x:c r="H37" s="99"/>
      <x:c r="I37" s="99"/>
      <x:c r="J37" s="99"/>
      <x:c r="K37" s="99"/>
      <x:c r="L37" s="99"/>
      <x:c r="M37" s="99"/>
      <x:c r="N37" s="99"/>
      <x:c r="O37" s="99"/>
      <x:c r="P37" s="99"/>
      <x:c r="Q37" s="99"/>
      <x:c r="R37" s="99"/>
      <x:c r="S37" s="99"/>
      <x:c r="T37" s="99"/>
      <x:c r="U37" s="99"/>
      <x:c r="V37" s="99"/>
      <x:c r="W37" s="99"/>
      <x:c r="X37" s="99"/>
      <x:c r="Y37" s="99"/>
      <x:c r="Z37" s="99"/>
    </x:row>
    <x:row r="38">
      <x:c r="A38" s="99"/>
      <x:c r="B38" s="99"/>
      <x:c r="C38" s="99"/>
      <x:c r="D38" s="99"/>
      <x:c r="E38" s="99"/>
      <x:c r="F38" s="99"/>
      <x:c r="G38" s="99"/>
      <x:c r="H38" s="99"/>
      <x:c r="I38" s="99"/>
      <x:c r="J38" s="99"/>
      <x:c r="K38" s="99"/>
      <x:c r="L38" s="99"/>
      <x:c r="M38" s="99"/>
      <x:c r="N38" s="99"/>
      <x:c r="O38" s="99"/>
      <x:c r="P38" s="99"/>
      <x:c r="Q38" s="99"/>
      <x:c r="R38" s="99"/>
      <x:c r="S38" s="99"/>
      <x:c r="T38" s="99"/>
      <x:c r="U38" s="99"/>
      <x:c r="V38" s="99"/>
      <x:c r="W38" s="99"/>
      <x:c r="X38" s="99"/>
      <x:c r="Y38" s="99"/>
      <x:c r="Z38" s="99"/>
    </x:row>
    <x:row r="39">
      <x:c r="A39" s="99"/>
      <x:c r="B39" s="99"/>
      <x:c r="C39" s="99"/>
      <x:c r="D39" s="99"/>
      <x:c r="E39" s="99"/>
      <x:c r="F39" s="99"/>
      <x:c r="G39" s="99"/>
      <x:c r="H39" s="99"/>
      <x:c r="I39" s="99"/>
      <x:c r="J39" s="99"/>
      <x:c r="K39" s="99"/>
      <x:c r="L39" s="99"/>
      <x:c r="M39" s="99"/>
      <x:c r="N39" s="99"/>
      <x:c r="O39" s="99"/>
      <x:c r="P39" s="99"/>
      <x:c r="Q39" s="99"/>
      <x:c r="R39" s="99"/>
      <x:c r="S39" s="99"/>
      <x:c r="T39" s="99"/>
      <x:c r="U39" s="99"/>
      <x:c r="V39" s="99"/>
      <x:c r="W39" s="99"/>
      <x:c r="X39" s="99"/>
      <x:c r="Y39" s="99"/>
      <x:c r="Z39" s="99"/>
    </x:row>
    <x:row r="40">
      <x:c r="A40" s="99"/>
      <x:c r="B40" s="99"/>
      <x:c r="C40" s="99"/>
      <x:c r="D40" s="99"/>
      <x:c r="E40" s="99"/>
      <x:c r="F40" s="99"/>
      <x:c r="G40" s="99"/>
      <x:c r="H40" s="99"/>
      <x:c r="I40" s="99"/>
      <x:c r="J40" s="99"/>
      <x:c r="K40" s="99"/>
      <x:c r="L40" s="99"/>
      <x:c r="M40" s="99"/>
      <x:c r="N40" s="99"/>
      <x:c r="O40" s="99"/>
      <x:c r="P40" s="99"/>
      <x:c r="Q40" s="99"/>
      <x:c r="R40" s="99"/>
      <x:c r="S40" s="99"/>
      <x:c r="T40" s="99"/>
      <x:c r="U40" s="99"/>
      <x:c r="V40" s="99"/>
      <x:c r="W40" s="99"/>
      <x:c r="X40" s="99"/>
      <x:c r="Y40" s="99"/>
      <x:c r="Z40" s="99"/>
    </x:row>
    <x:row r="41">
      <x:c r="A41" s="99"/>
      <x:c r="B41" s="99"/>
      <x:c r="C41" s="99"/>
      <x:c r="D41" s="99"/>
      <x:c r="E41" s="99"/>
      <x:c r="F41" s="99"/>
      <x:c r="G41" s="99"/>
      <x:c r="H41" s="99"/>
      <x:c r="I41" s="99"/>
      <x:c r="J41" s="99"/>
      <x:c r="K41" s="99"/>
      <x:c r="L41" s="99"/>
      <x:c r="M41" s="99"/>
      <x:c r="N41" s="99"/>
      <x:c r="O41" s="99"/>
      <x:c r="P41" s="99"/>
      <x:c r="Q41" s="99"/>
      <x:c r="R41" s="99"/>
      <x:c r="S41" s="99"/>
      <x:c r="T41" s="99"/>
      <x:c r="U41" s="99"/>
      <x:c r="V41" s="99"/>
      <x:c r="W41" s="99"/>
      <x:c r="X41" s="99"/>
      <x:c r="Y41" s="99"/>
      <x:c r="Z41" s="99"/>
    </x:row>
    <x:row r="42">
      <x:c r="A42" s="99"/>
      <x:c r="B42" s="99"/>
      <x:c r="C42" s="99"/>
      <x:c r="D42" s="99"/>
      <x:c r="E42" s="99"/>
      <x:c r="F42" s="99"/>
      <x:c r="G42" s="99"/>
      <x:c r="H42" s="99"/>
      <x:c r="I42" s="99"/>
      <x:c r="J42" s="99"/>
      <x:c r="K42" s="99"/>
      <x:c r="L42" s="99"/>
      <x:c r="M42" s="99"/>
      <x:c r="N42" s="99"/>
      <x:c r="O42" s="99"/>
      <x:c r="P42" s="99"/>
      <x:c r="Q42" s="99"/>
      <x:c r="R42" s="99"/>
      <x:c r="S42" s="99"/>
      <x:c r="T42" s="99"/>
      <x:c r="U42" s="99"/>
      <x:c r="V42" s="99"/>
      <x:c r="W42" s="99"/>
      <x:c r="X42" s="99"/>
      <x:c r="Y42" s="99"/>
      <x:c r="Z42" s="99"/>
    </x:row>
    <x:row r="43">
      <x:c r="A43" s="99"/>
      <x:c r="B43" s="99"/>
      <x:c r="C43" s="99"/>
      <x:c r="D43" s="99"/>
      <x:c r="E43" s="99"/>
      <x:c r="F43" s="99"/>
      <x:c r="G43" s="99"/>
      <x:c r="H43" s="99"/>
      <x:c r="I43" s="99"/>
      <x:c r="J43" s="99"/>
      <x:c r="K43" s="99"/>
      <x:c r="L43" s="99"/>
      <x:c r="M43" s="99"/>
      <x:c r="N43" s="99"/>
      <x:c r="O43" s="99"/>
      <x:c r="P43" s="99"/>
      <x:c r="Q43" s="99"/>
      <x:c r="R43" s="99"/>
      <x:c r="S43" s="99"/>
      <x:c r="T43" s="99"/>
      <x:c r="U43" s="99"/>
      <x:c r="V43" s="99"/>
      <x:c r="W43" s="99"/>
      <x:c r="X43" s="99"/>
      <x:c r="Y43" s="99"/>
      <x:c r="Z43" s="99"/>
    </x:row>
    <x:row r="44">
      <x:c r="A44" s="99"/>
      <x:c r="B44" s="99"/>
      <x:c r="C44" s="99"/>
      <x:c r="D44" s="99"/>
      <x:c r="E44" s="99"/>
      <x:c r="F44" s="99"/>
      <x:c r="G44" s="99"/>
      <x:c r="H44" s="99"/>
      <x:c r="I44" s="99"/>
      <x:c r="J44" s="99"/>
      <x:c r="K44" s="99"/>
      <x:c r="L44" s="99"/>
      <x:c r="M44" s="99"/>
      <x:c r="N44" s="99"/>
      <x:c r="O44" s="99"/>
      <x:c r="P44" s="99"/>
      <x:c r="Q44" s="99"/>
      <x:c r="R44" s="99"/>
      <x:c r="S44" s="99"/>
      <x:c r="T44" s="99"/>
      <x:c r="U44" s="99"/>
      <x:c r="V44" s="99"/>
      <x:c r="W44" s="99"/>
      <x:c r="X44" s="99"/>
      <x:c r="Y44" s="99"/>
      <x:c r="Z44" s="99"/>
    </x:row>
    <x:row r="45">
      <x:c r="A45" s="99"/>
      <x:c r="B45" s="99"/>
      <x:c r="C45" s="99"/>
      <x:c r="D45" s="99"/>
      <x:c r="E45" s="99"/>
      <x:c r="F45" s="99"/>
      <x:c r="G45" s="99"/>
      <x:c r="H45" s="99"/>
      <x:c r="I45" s="99"/>
      <x:c r="J45" s="99"/>
      <x:c r="K45" s="99"/>
      <x:c r="L45" s="99"/>
      <x:c r="M45" s="99"/>
      <x:c r="N45" s="99"/>
      <x:c r="O45" s="99"/>
      <x:c r="P45" s="99"/>
      <x:c r="Q45" s="99"/>
      <x:c r="R45" s="99"/>
      <x:c r="S45" s="99"/>
      <x:c r="T45" s="99"/>
      <x:c r="U45" s="99"/>
      <x:c r="V45" s="99"/>
      <x:c r="W45" s="99"/>
      <x:c r="X45" s="99"/>
      <x:c r="Y45" s="99"/>
      <x:c r="Z45" s="99"/>
    </x:row>
    <x:row r="46">
      <x:c r="A46" s="99"/>
      <x:c r="B46" s="99"/>
      <x:c r="C46" s="99"/>
      <x:c r="D46" s="99"/>
      <x:c r="E46" s="99"/>
      <x:c r="F46" s="99"/>
      <x:c r="G46" s="99"/>
      <x:c r="H46" s="99"/>
      <x:c r="I46" s="99"/>
      <x:c r="J46" s="99"/>
      <x:c r="K46" s="99"/>
      <x:c r="L46" s="99"/>
      <x:c r="M46" s="99"/>
      <x:c r="N46" s="99"/>
      <x:c r="O46" s="99"/>
      <x:c r="P46" s="99"/>
      <x:c r="Q46" s="99"/>
      <x:c r="R46" s="99"/>
      <x:c r="S46" s="99"/>
      <x:c r="T46" s="99"/>
      <x:c r="U46" s="99"/>
      <x:c r="V46" s="99"/>
      <x:c r="W46" s="99"/>
      <x:c r="X46" s="99"/>
      <x:c r="Y46" s="99"/>
      <x:c r="Z46" s="99"/>
    </x:row>
    <x:row r="47">
      <x:c r="A47" s="99"/>
      <x:c r="B47" s="99"/>
      <x:c r="C47" s="99"/>
      <x:c r="D47" s="99"/>
      <x:c r="E47" s="99"/>
      <x:c r="F47" s="99"/>
      <x:c r="G47" s="99"/>
      <x:c r="H47" s="99"/>
      <x:c r="I47" s="99"/>
      <x:c r="J47" s="99"/>
      <x:c r="K47" s="99"/>
      <x:c r="L47" s="99"/>
      <x:c r="M47" s="99"/>
      <x:c r="N47" s="99"/>
      <x:c r="O47" s="99"/>
      <x:c r="P47" s="99"/>
      <x:c r="Q47" s="99"/>
      <x:c r="R47" s="99"/>
      <x:c r="S47" s="99"/>
      <x:c r="T47" s="99"/>
      <x:c r="U47" s="99"/>
      <x:c r="V47" s="99"/>
      <x:c r="W47" s="99"/>
      <x:c r="X47" s="99"/>
      <x:c r="Y47" s="99"/>
      <x:c r="Z47" s="99"/>
    </x:row>
    <x:row r="48">
      <x:c r="A48" s="99"/>
      <x:c r="B48" s="99"/>
      <x:c r="C48" s="99"/>
      <x:c r="D48" s="99"/>
      <x:c r="E48" s="99"/>
      <x:c r="F48" s="99"/>
      <x:c r="G48" s="99"/>
      <x:c r="H48" s="99"/>
      <x:c r="I48" s="99"/>
      <x:c r="J48" s="99"/>
      <x:c r="K48" s="99"/>
      <x:c r="L48" s="99"/>
      <x:c r="M48" s="99"/>
      <x:c r="N48" s="99"/>
      <x:c r="O48" s="99"/>
      <x:c r="P48" s="99"/>
      <x:c r="Q48" s="99"/>
      <x:c r="R48" s="99"/>
      <x:c r="S48" s="99"/>
      <x:c r="T48" s="99"/>
      <x:c r="U48" s="99"/>
      <x:c r="V48" s="99"/>
      <x:c r="W48" s="99"/>
      <x:c r="X48" s="99"/>
      <x:c r="Y48" s="99"/>
      <x:c r="Z48" s="99"/>
    </x:row>
    <x:row r="49">
      <x:c r="A49" s="99"/>
      <x:c r="B49" s="99"/>
      <x:c r="C49" s="99"/>
      <x:c r="D49" s="99"/>
      <x:c r="E49" s="99"/>
      <x:c r="F49" s="99"/>
      <x:c r="G49" s="99"/>
      <x:c r="H49" s="99"/>
      <x:c r="I49" s="99"/>
      <x:c r="J49" s="99"/>
      <x:c r="K49" s="99"/>
      <x:c r="L49" s="99"/>
      <x:c r="M49" s="99"/>
      <x:c r="N49" s="99"/>
      <x:c r="O49" s="99"/>
      <x:c r="P49" s="99"/>
      <x:c r="Q49" s="99"/>
      <x:c r="R49" s="99"/>
      <x:c r="S49" s="99"/>
      <x:c r="T49" s="99"/>
      <x:c r="U49" s="99"/>
      <x:c r="V49" s="99"/>
      <x:c r="W49" s="99"/>
      <x:c r="X49" s="99"/>
      <x:c r="Y49" s="99"/>
      <x:c r="Z49" s="99"/>
    </x:row>
    <x:row r="50">
      <x:c r="A50" s="99"/>
      <x:c r="B50" s="99"/>
      <x:c r="C50" s="99"/>
      <x:c r="D50" s="99"/>
      <x:c r="E50" s="99"/>
      <x:c r="F50" s="99"/>
      <x:c r="G50" s="99"/>
      <x:c r="H50" s="99"/>
      <x:c r="I50" s="99"/>
      <x:c r="J50" s="99"/>
      <x:c r="K50" s="99"/>
      <x:c r="L50" s="99"/>
      <x:c r="M50" s="99"/>
      <x:c r="N50" s="99"/>
      <x:c r="O50" s="99"/>
      <x:c r="P50" s="99"/>
      <x:c r="Q50" s="99"/>
      <x:c r="R50" s="99"/>
      <x:c r="S50" s="99"/>
      <x:c r="T50" s="99"/>
      <x:c r="U50" s="99"/>
      <x:c r="V50" s="99"/>
      <x:c r="W50" s="99"/>
      <x:c r="X50" s="99"/>
      <x:c r="Y50" s="99"/>
      <x:c r="Z50" s="99"/>
    </x:row>
    <x:row r="51">
      <x:c r="A51" s="99"/>
      <x:c r="B51" s="99"/>
      <x:c r="C51" s="99"/>
      <x:c r="D51" s="99"/>
      <x:c r="E51" s="99"/>
      <x:c r="F51" s="99"/>
      <x:c r="G51" s="99"/>
      <x:c r="H51" s="99"/>
      <x:c r="I51" s="99"/>
      <x:c r="J51" s="99"/>
      <x:c r="K51" s="99"/>
      <x:c r="L51" s="99"/>
      <x:c r="M51" s="99"/>
      <x:c r="N51" s="99"/>
      <x:c r="O51" s="99"/>
      <x:c r="P51" s="99"/>
      <x:c r="Q51" s="99"/>
      <x:c r="R51" s="99"/>
      <x:c r="S51" s="99"/>
      <x:c r="T51" s="99"/>
      <x:c r="U51" s="99"/>
      <x:c r="V51" s="99"/>
      <x:c r="W51" s="99"/>
      <x:c r="X51" s="99"/>
      <x:c r="Y51" s="99"/>
      <x:c r="Z51" s="99"/>
    </x:row>
    <x:row r="52">
      <x:c r="A52" s="99"/>
      <x:c r="B52" s="99"/>
      <x:c r="C52" s="99"/>
      <x:c r="D52" s="99"/>
      <x:c r="E52" s="99"/>
      <x:c r="F52" s="99"/>
      <x:c r="G52" s="99"/>
      <x:c r="H52" s="99"/>
      <x:c r="I52" s="99"/>
      <x:c r="J52" s="99"/>
      <x:c r="K52" s="99"/>
      <x:c r="L52" s="99"/>
      <x:c r="M52" s="99"/>
      <x:c r="N52" s="99"/>
      <x:c r="O52" s="99"/>
      <x:c r="P52" s="99"/>
      <x:c r="Q52" s="99"/>
      <x:c r="R52" s="99"/>
      <x:c r="S52" s="99"/>
      <x:c r="T52" s="99"/>
      <x:c r="U52" s="99"/>
      <x:c r="V52" s="99"/>
      <x:c r="W52" s="99"/>
      <x:c r="X52" s="99"/>
      <x:c r="Y52" s="99"/>
      <x:c r="Z52" s="99"/>
    </x:row>
    <x:row r="53">
      <x:c r="A53" s="99"/>
      <x:c r="B53" s="99"/>
      <x:c r="C53" s="99"/>
      <x:c r="D53" s="99"/>
      <x:c r="E53" s="99"/>
      <x:c r="F53" s="99"/>
      <x:c r="G53" s="99"/>
      <x:c r="H53" s="99"/>
      <x:c r="I53" s="99"/>
      <x:c r="J53" s="99"/>
      <x:c r="K53" s="99"/>
      <x:c r="L53" s="99"/>
      <x:c r="M53" s="99"/>
      <x:c r="N53" s="99"/>
      <x:c r="O53" s="99"/>
      <x:c r="P53" s="99"/>
      <x:c r="Q53" s="99"/>
      <x:c r="R53" s="99"/>
      <x:c r="S53" s="99"/>
      <x:c r="T53" s="99"/>
      <x:c r="U53" s="99"/>
      <x:c r="V53" s="99"/>
      <x:c r="W53" s="99"/>
      <x:c r="X53" s="99"/>
      <x:c r="Y53" s="99"/>
      <x:c r="Z53" s="99"/>
    </x:row>
    <x:row r="54">
      <x:c r="A54" s="99"/>
      <x:c r="B54" s="99"/>
      <x:c r="C54" s="99"/>
      <x:c r="D54" s="99"/>
      <x:c r="E54" s="99"/>
      <x:c r="F54" s="99"/>
      <x:c r="G54" s="99"/>
      <x:c r="H54" s="99"/>
      <x:c r="I54" s="99"/>
      <x:c r="J54" s="99"/>
      <x:c r="K54" s="99"/>
      <x:c r="L54" s="99"/>
      <x:c r="M54" s="99"/>
      <x:c r="N54" s="99"/>
      <x:c r="O54" s="99"/>
      <x:c r="P54" s="99"/>
      <x:c r="Q54" s="99"/>
      <x:c r="R54" s="99"/>
      <x:c r="S54" s="99"/>
      <x:c r="T54" s="99"/>
      <x:c r="U54" s="99"/>
      <x:c r="V54" s="99"/>
      <x:c r="W54" s="99"/>
      <x:c r="X54" s="99"/>
      <x:c r="Y54" s="99"/>
      <x:c r="Z54" s="99"/>
    </x:row>
    <x:row r="55">
      <x:c r="A55" s="99"/>
      <x:c r="B55" s="99"/>
      <x:c r="C55" s="99"/>
      <x:c r="D55" s="99"/>
      <x:c r="E55" s="99"/>
      <x:c r="F55" s="99"/>
      <x:c r="G55" s="99"/>
      <x:c r="H55" s="99"/>
      <x:c r="I55" s="99"/>
      <x:c r="J55" s="99"/>
      <x:c r="K55" s="99"/>
      <x:c r="L55" s="99"/>
      <x:c r="M55" s="99"/>
      <x:c r="N55" s="99"/>
      <x:c r="O55" s="99"/>
      <x:c r="P55" s="99"/>
      <x:c r="Q55" s="99"/>
      <x:c r="R55" s="99"/>
      <x:c r="S55" s="99"/>
      <x:c r="T55" s="99"/>
      <x:c r="U55" s="99"/>
      <x:c r="V55" s="99"/>
      <x:c r="W55" s="99"/>
      <x:c r="X55" s="99"/>
      <x:c r="Y55" s="99"/>
      <x:c r="Z55" s="99"/>
    </x:row>
    <x:row r="56">
      <x:c r="A56" s="99"/>
      <x:c r="B56" s="99"/>
      <x:c r="C56" s="99"/>
      <x:c r="D56" s="99"/>
      <x:c r="E56" s="99"/>
      <x:c r="F56" s="99"/>
      <x:c r="G56" s="99"/>
      <x:c r="H56" s="99"/>
      <x:c r="I56" s="99"/>
      <x:c r="J56" s="99"/>
      <x:c r="K56" s="99"/>
      <x:c r="L56" s="99"/>
      <x:c r="M56" s="99"/>
      <x:c r="N56" s="99"/>
      <x:c r="O56" s="99"/>
      <x:c r="P56" s="99"/>
      <x:c r="Q56" s="99"/>
      <x:c r="R56" s="99"/>
      <x:c r="S56" s="99"/>
      <x:c r="T56" s="99"/>
      <x:c r="U56" s="99"/>
      <x:c r="V56" s="99"/>
      <x:c r="W56" s="99"/>
      <x:c r="X56" s="99"/>
      <x:c r="Y56" s="99"/>
      <x:c r="Z56" s="99"/>
    </x:row>
    <x:row r="57">
      <x:c r="A57" s="99"/>
      <x:c r="B57" s="99"/>
      <x:c r="C57" s="99"/>
      <x:c r="D57" s="99"/>
      <x:c r="E57" s="99"/>
      <x:c r="F57" s="99"/>
      <x:c r="G57" s="99"/>
      <x:c r="H57" s="99"/>
      <x:c r="I57" s="99"/>
      <x:c r="J57" s="99"/>
      <x:c r="K57" s="99"/>
      <x:c r="L57" s="99"/>
      <x:c r="M57" s="99"/>
      <x:c r="N57" s="99"/>
      <x:c r="O57" s="99"/>
      <x:c r="P57" s="99"/>
      <x:c r="Q57" s="99"/>
      <x:c r="R57" s="99"/>
      <x:c r="S57" s="99"/>
      <x:c r="T57" s="99"/>
      <x:c r="U57" s="99"/>
      <x:c r="V57" s="99"/>
      <x:c r="W57" s="99"/>
      <x:c r="X57" s="99"/>
      <x:c r="Y57" s="99"/>
      <x:c r="Z57" s="99"/>
    </x:row>
    <x:row r="58">
      <x:c r="A58" s="99"/>
      <x:c r="B58" s="99"/>
      <x:c r="C58" s="99"/>
      <x:c r="D58" s="99"/>
      <x:c r="E58" s="99"/>
      <x:c r="F58" s="99"/>
      <x:c r="G58" s="99"/>
      <x:c r="H58" s="99"/>
      <x:c r="I58" s="99"/>
      <x:c r="J58" s="99"/>
      <x:c r="K58" s="99"/>
      <x:c r="L58" s="99"/>
      <x:c r="M58" s="99"/>
      <x:c r="N58" s="99"/>
      <x:c r="O58" s="99"/>
      <x:c r="P58" s="99"/>
      <x:c r="Q58" s="99"/>
      <x:c r="R58" s="99"/>
      <x:c r="S58" s="99"/>
      <x:c r="T58" s="99"/>
      <x:c r="U58" s="99"/>
      <x:c r="V58" s="99"/>
      <x:c r="W58" s="99"/>
      <x:c r="X58" s="99"/>
      <x:c r="Y58" s="99"/>
      <x:c r="Z58" s="99"/>
    </x:row>
    <x:row r="59">
      <x:c r="A59" s="99"/>
      <x:c r="B59" s="99"/>
      <x:c r="C59" s="99"/>
      <x:c r="D59" s="99"/>
      <x:c r="E59" s="99"/>
      <x:c r="F59" s="99"/>
      <x:c r="G59" s="99"/>
      <x:c r="H59" s="99"/>
      <x:c r="I59" s="99"/>
      <x:c r="J59" s="99"/>
      <x:c r="K59" s="99"/>
      <x:c r="L59" s="99"/>
      <x:c r="M59" s="99"/>
      <x:c r="N59" s="99"/>
      <x:c r="O59" s="99"/>
      <x:c r="P59" s="99"/>
      <x:c r="Q59" s="99"/>
      <x:c r="R59" s="99"/>
      <x:c r="S59" s="99"/>
      <x:c r="T59" s="99"/>
      <x:c r="U59" s="99"/>
      <x:c r="V59" s="99"/>
      <x:c r="W59" s="99"/>
      <x:c r="X59" s="99"/>
      <x:c r="Y59" s="99"/>
      <x:c r="Z59" s="99"/>
    </x:row>
    <x:row r="60">
      <x:c r="A60" s="99"/>
      <x:c r="B60" s="99"/>
      <x:c r="C60" s="99"/>
      <x:c r="D60" s="99"/>
      <x:c r="E60" s="99"/>
      <x:c r="F60" s="99"/>
      <x:c r="G60" s="99"/>
      <x:c r="H60" s="99"/>
      <x:c r="I60" s="99"/>
      <x:c r="J60" s="99"/>
      <x:c r="K60" s="99"/>
      <x:c r="L60" s="99"/>
      <x:c r="M60" s="99"/>
      <x:c r="N60" s="99"/>
      <x:c r="O60" s="99"/>
      <x:c r="P60" s="99"/>
      <x:c r="Q60" s="99"/>
      <x:c r="R60" s="99"/>
      <x:c r="S60" s="99"/>
      <x:c r="T60" s="99"/>
      <x:c r="U60" s="99"/>
      <x:c r="V60" s="99"/>
      <x:c r="W60" s="99"/>
      <x:c r="X60" s="99"/>
      <x:c r="Y60" s="99"/>
      <x:c r="Z60" s="99"/>
    </x:row>
    <x:row r="61">
      <x:c r="A61" s="99"/>
      <x:c r="B61" s="99"/>
      <x:c r="C61" s="99"/>
      <x:c r="D61" s="99"/>
      <x:c r="E61" s="99"/>
      <x:c r="F61" s="99"/>
      <x:c r="G61" s="99"/>
      <x:c r="H61" s="99"/>
      <x:c r="I61" s="99"/>
      <x:c r="J61" s="99"/>
      <x:c r="K61" s="99"/>
      <x:c r="L61" s="99"/>
      <x:c r="M61" s="99"/>
      <x:c r="N61" s="99"/>
      <x:c r="O61" s="99"/>
      <x:c r="P61" s="99"/>
      <x:c r="Q61" s="99"/>
      <x:c r="R61" s="99"/>
      <x:c r="S61" s="99"/>
      <x:c r="T61" s="99"/>
      <x:c r="U61" s="99"/>
      <x:c r="V61" s="99"/>
      <x:c r="W61" s="99"/>
      <x:c r="X61" s="99"/>
      <x:c r="Y61" s="99"/>
      <x:c r="Z61" s="99"/>
    </x:row>
    <x:row r="62">
      <x:c r="A62" s="99"/>
      <x:c r="B62" s="99"/>
      <x:c r="C62" s="99"/>
      <x:c r="D62" s="99"/>
      <x:c r="E62" s="99"/>
      <x:c r="F62" s="99"/>
      <x:c r="G62" s="99"/>
      <x:c r="H62" s="99"/>
      <x:c r="I62" s="99"/>
      <x:c r="J62" s="99"/>
      <x:c r="K62" s="99"/>
      <x:c r="L62" s="99"/>
      <x:c r="M62" s="99"/>
      <x:c r="N62" s="99"/>
      <x:c r="O62" s="99"/>
      <x:c r="P62" s="99"/>
      <x:c r="Q62" s="99"/>
      <x:c r="R62" s="99"/>
      <x:c r="S62" s="99"/>
      <x:c r="T62" s="99"/>
      <x:c r="U62" s="99"/>
      <x:c r="V62" s="99"/>
      <x:c r="W62" s="99"/>
      <x:c r="X62" s="99"/>
      <x:c r="Y62" s="99"/>
      <x:c r="Z62" s="99"/>
    </x:row>
    <x:row r="63">
      <x:c r="A63" s="99"/>
      <x:c r="B63" s="99"/>
      <x:c r="C63" s="99"/>
      <x:c r="D63" s="99"/>
      <x:c r="E63" s="99"/>
      <x:c r="F63" s="99"/>
      <x:c r="G63" s="99"/>
      <x:c r="H63" s="99"/>
      <x:c r="I63" s="99"/>
      <x:c r="J63" s="99"/>
      <x:c r="K63" s="99"/>
      <x:c r="L63" s="99"/>
      <x:c r="M63" s="99"/>
      <x:c r="N63" s="99"/>
      <x:c r="O63" s="99"/>
      <x:c r="P63" s="99"/>
      <x:c r="Q63" s="99"/>
      <x:c r="R63" s="99"/>
      <x:c r="S63" s="99"/>
      <x:c r="T63" s="99"/>
      <x:c r="U63" s="99"/>
      <x:c r="V63" s="99"/>
      <x:c r="W63" s="99"/>
      <x:c r="X63" s="99"/>
      <x:c r="Y63" s="99"/>
      <x:c r="Z63" s="99"/>
    </x:row>
    <x:row r="64">
      <x:c r="A64" s="99"/>
      <x:c r="B64" s="99"/>
      <x:c r="C64" s="99"/>
      <x:c r="D64" s="99"/>
      <x:c r="E64" s="99"/>
      <x:c r="F64" s="99"/>
      <x:c r="G64" s="99"/>
      <x:c r="H64" s="99"/>
      <x:c r="I64" s="99"/>
      <x:c r="J64" s="99"/>
      <x:c r="K64" s="99"/>
      <x:c r="L64" s="99"/>
      <x:c r="M64" s="99"/>
      <x:c r="N64" s="99"/>
      <x:c r="O64" s="99"/>
      <x:c r="P64" s="99"/>
      <x:c r="Q64" s="99"/>
      <x:c r="R64" s="99"/>
      <x:c r="S64" s="99"/>
      <x:c r="T64" s="99"/>
      <x:c r="U64" s="99"/>
      <x:c r="V64" s="99"/>
      <x:c r="W64" s="99"/>
      <x:c r="X64" s="99"/>
      <x:c r="Y64" s="99"/>
      <x:c r="Z64" s="99"/>
    </x:row>
    <x:row r="65">
      <x:c r="A65" s="99"/>
      <x:c r="B65" s="99"/>
      <x:c r="C65" s="99"/>
      <x:c r="D65" s="99"/>
      <x:c r="E65" s="99"/>
      <x:c r="F65" s="99"/>
      <x:c r="G65" s="99"/>
      <x:c r="H65" s="99"/>
      <x:c r="I65" s="99"/>
      <x:c r="J65" s="99"/>
      <x:c r="K65" s="99"/>
      <x:c r="L65" s="99"/>
      <x:c r="M65" s="99"/>
      <x:c r="N65" s="99"/>
      <x:c r="O65" s="99"/>
      <x:c r="P65" s="99"/>
      <x:c r="Q65" s="99"/>
      <x:c r="R65" s="99"/>
      <x:c r="S65" s="99"/>
      <x:c r="T65" s="99"/>
      <x:c r="U65" s="99"/>
      <x:c r="V65" s="99"/>
      <x:c r="W65" s="99"/>
      <x:c r="X65" s="99"/>
      <x:c r="Y65" s="99"/>
      <x:c r="Z65" s="99"/>
    </x:row>
    <x:row r="66">
      <x:c r="A66" s="99"/>
      <x:c r="B66" s="99"/>
      <x:c r="C66" s="99"/>
      <x:c r="D66" s="99"/>
      <x:c r="E66" s="99"/>
      <x:c r="F66" s="99"/>
      <x:c r="G66" s="99"/>
      <x:c r="H66" s="99"/>
      <x:c r="I66" s="99"/>
      <x:c r="J66" s="99"/>
      <x:c r="K66" s="99"/>
      <x:c r="L66" s="99"/>
      <x:c r="M66" s="99"/>
      <x:c r="N66" s="99"/>
      <x:c r="O66" s="99"/>
      <x:c r="P66" s="99"/>
      <x:c r="Q66" s="99"/>
      <x:c r="R66" s="99"/>
      <x:c r="S66" s="99"/>
      <x:c r="T66" s="99"/>
      <x:c r="U66" s="99"/>
      <x:c r="V66" s="99"/>
      <x:c r="W66" s="99"/>
      <x:c r="X66" s="99"/>
      <x:c r="Y66" s="99"/>
      <x:c r="Z66" s="99"/>
    </x:row>
    <x:row r="67">
      <x:c r="A67" s="99"/>
      <x:c r="B67" s="99"/>
      <x:c r="C67" s="99"/>
      <x:c r="D67" s="99"/>
      <x:c r="E67" s="99"/>
      <x:c r="F67" s="99"/>
      <x:c r="G67" s="99"/>
      <x:c r="H67" s="99"/>
      <x:c r="I67" s="99"/>
      <x:c r="J67" s="99"/>
      <x:c r="K67" s="99"/>
      <x:c r="L67" s="99"/>
      <x:c r="M67" s="99"/>
      <x:c r="N67" s="99"/>
      <x:c r="O67" s="99"/>
      <x:c r="P67" s="99"/>
      <x:c r="Q67" s="99"/>
      <x:c r="R67" s="99"/>
      <x:c r="S67" s="99"/>
      <x:c r="T67" s="99"/>
      <x:c r="U67" s="99"/>
      <x:c r="V67" s="99"/>
      <x:c r="W67" s="99"/>
      <x:c r="X67" s="99"/>
      <x:c r="Y67" s="99"/>
      <x:c r="Z67" s="99"/>
    </x:row>
    <x:row r="68">
      <x:c r="A68" s="99"/>
      <x:c r="B68" s="99"/>
      <x:c r="C68" s="99"/>
      <x:c r="D68" s="99"/>
      <x:c r="E68" s="99"/>
      <x:c r="F68" s="99"/>
      <x:c r="G68" s="99"/>
      <x:c r="H68" s="99"/>
      <x:c r="I68" s="99"/>
      <x:c r="J68" s="99"/>
      <x:c r="K68" s="99"/>
      <x:c r="L68" s="99"/>
      <x:c r="M68" s="99"/>
      <x:c r="N68" s="99"/>
      <x:c r="O68" s="99"/>
      <x:c r="P68" s="99"/>
      <x:c r="Q68" s="99"/>
      <x:c r="R68" s="99"/>
      <x:c r="S68" s="99"/>
      <x:c r="T68" s="99"/>
      <x:c r="U68" s="99"/>
      <x:c r="V68" s="99"/>
      <x:c r="W68" s="99"/>
      <x:c r="X68" s="99"/>
      <x:c r="Y68" s="99"/>
      <x:c r="Z68" s="99"/>
    </x:row>
    <x:row r="69">
      <x:c r="A69" s="99"/>
      <x:c r="B69" s="99"/>
      <x:c r="C69" s="99"/>
      <x:c r="D69" s="99"/>
      <x:c r="E69" s="99"/>
      <x:c r="F69" s="99"/>
      <x:c r="G69" s="99"/>
      <x:c r="H69" s="99"/>
      <x:c r="I69" s="99"/>
      <x:c r="J69" s="99"/>
      <x:c r="K69" s="99"/>
      <x:c r="L69" s="99"/>
      <x:c r="M69" s="99"/>
      <x:c r="N69" s="99"/>
      <x:c r="O69" s="99"/>
      <x:c r="P69" s="99"/>
      <x:c r="Q69" s="99"/>
      <x:c r="R69" s="99"/>
      <x:c r="S69" s="99"/>
      <x:c r="T69" s="99"/>
      <x:c r="U69" s="99"/>
      <x:c r="V69" s="99"/>
      <x:c r="W69" s="99"/>
      <x:c r="X69" s="99"/>
      <x:c r="Y69" s="99"/>
      <x:c r="Z69" s="99"/>
    </x:row>
    <x:row r="70">
      <x:c r="A70" s="99"/>
      <x:c r="B70" s="99"/>
      <x:c r="C70" s="99"/>
      <x:c r="D70" s="99"/>
      <x:c r="E70" s="99"/>
      <x:c r="F70" s="99"/>
      <x:c r="G70" s="99"/>
      <x:c r="H70" s="99"/>
      <x:c r="I70" s="99"/>
      <x:c r="J70" s="99"/>
      <x:c r="K70" s="99"/>
      <x:c r="L70" s="99"/>
      <x:c r="M70" s="99"/>
      <x:c r="N70" s="99"/>
      <x:c r="O70" s="99"/>
      <x:c r="P70" s="99"/>
      <x:c r="Q70" s="99"/>
      <x:c r="R70" s="99"/>
      <x:c r="S70" s="99"/>
      <x:c r="T70" s="99"/>
      <x:c r="U70" s="99"/>
      <x:c r="V70" s="99"/>
      <x:c r="W70" s="99"/>
      <x:c r="X70" s="99"/>
      <x:c r="Y70" s="99"/>
      <x:c r="Z70" s="99"/>
    </x:row>
    <x:row r="71">
      <x:c r="A71" s="99"/>
      <x:c r="B71" s="99"/>
      <x:c r="C71" s="99"/>
      <x:c r="D71" s="99"/>
      <x:c r="E71" s="99"/>
      <x:c r="F71" s="99"/>
      <x:c r="G71" s="99"/>
      <x:c r="H71" s="99"/>
      <x:c r="I71" s="99"/>
      <x:c r="J71" s="99"/>
      <x:c r="K71" s="99"/>
      <x:c r="L71" s="99"/>
      <x:c r="M71" s="99"/>
      <x:c r="N71" s="99"/>
      <x:c r="O71" s="99"/>
      <x:c r="P71" s="99"/>
      <x:c r="Q71" s="99"/>
      <x:c r="R71" s="99"/>
      <x:c r="S71" s="99"/>
      <x:c r="T71" s="99"/>
      <x:c r="U71" s="99"/>
      <x:c r="V71" s="99"/>
      <x:c r="W71" s="99"/>
      <x:c r="X71" s="99"/>
      <x:c r="Y71" s="99"/>
      <x:c r="Z71" s="99"/>
    </x:row>
    <x:row r="72">
      <x:c r="A72" s="99"/>
      <x:c r="B72" s="99"/>
      <x:c r="C72" s="99"/>
      <x:c r="D72" s="99"/>
      <x:c r="E72" s="99"/>
      <x:c r="F72" s="99"/>
      <x:c r="G72" s="99"/>
      <x:c r="H72" s="99"/>
      <x:c r="I72" s="99"/>
      <x:c r="J72" s="99"/>
      <x:c r="K72" s="99"/>
      <x:c r="L72" s="99"/>
      <x:c r="M72" s="99"/>
      <x:c r="N72" s="99"/>
      <x:c r="O72" s="99"/>
      <x:c r="P72" s="99"/>
      <x:c r="Q72" s="99"/>
      <x:c r="R72" s="99"/>
      <x:c r="S72" s="99"/>
      <x:c r="T72" s="99"/>
      <x:c r="U72" s="99"/>
      <x:c r="V72" s="99"/>
      <x:c r="W72" s="99"/>
      <x:c r="X72" s="99"/>
      <x:c r="Y72" s="99"/>
      <x:c r="Z72" s="99"/>
    </x:row>
    <x:row r="73">
      <x:c r="A73" s="99"/>
      <x:c r="B73" s="99"/>
      <x:c r="C73" s="99"/>
      <x:c r="D73" s="99"/>
      <x:c r="E73" s="99"/>
      <x:c r="F73" s="99"/>
      <x:c r="G73" s="99"/>
      <x:c r="H73" s="99"/>
      <x:c r="I73" s="99"/>
      <x:c r="J73" s="99"/>
      <x:c r="K73" s="99"/>
      <x:c r="L73" s="99"/>
      <x:c r="M73" s="99"/>
      <x:c r="N73" s="99"/>
      <x:c r="O73" s="99"/>
      <x:c r="P73" s="99"/>
      <x:c r="Q73" s="99"/>
      <x:c r="R73" s="99"/>
      <x:c r="S73" s="99"/>
      <x:c r="T73" s="99"/>
      <x:c r="U73" s="99"/>
      <x:c r="V73" s="99"/>
      <x:c r="W73" s="99"/>
      <x:c r="X73" s="99"/>
      <x:c r="Y73" s="99"/>
      <x:c r="Z73" s="99"/>
    </x:row>
    <x:row r="74">
      <x:c r="A74" s="99"/>
      <x:c r="B74" s="99"/>
      <x:c r="C74" s="99"/>
      <x:c r="D74" s="99"/>
      <x:c r="E74" s="99"/>
      <x:c r="F74" s="99"/>
      <x:c r="G74" s="99"/>
      <x:c r="H74" s="99"/>
      <x:c r="I74" s="99"/>
      <x:c r="J74" s="99"/>
      <x:c r="K74" s="99"/>
      <x:c r="L74" s="99"/>
      <x:c r="M74" s="99"/>
      <x:c r="N74" s="99"/>
      <x:c r="O74" s="99"/>
      <x:c r="P74" s="99"/>
      <x:c r="Q74" s="99"/>
      <x:c r="R74" s="99"/>
      <x:c r="S74" s="99"/>
      <x:c r="T74" s="99"/>
      <x:c r="U74" s="99"/>
      <x:c r="V74" s="99"/>
      <x:c r="W74" s="99"/>
      <x:c r="X74" s="99"/>
      <x:c r="Y74" s="99"/>
      <x:c r="Z74" s="99"/>
    </x:row>
    <x:row r="75">
      <x:c r="A75" s="99"/>
      <x:c r="B75" s="99"/>
      <x:c r="C75" s="99"/>
      <x:c r="D75" s="99"/>
      <x:c r="E75" s="99"/>
      <x:c r="F75" s="99"/>
      <x:c r="G75" s="99"/>
      <x:c r="H75" s="99"/>
      <x:c r="I75" s="99"/>
      <x:c r="J75" s="99"/>
      <x:c r="K75" s="99"/>
      <x:c r="L75" s="99"/>
      <x:c r="M75" s="99"/>
      <x:c r="N75" s="99"/>
      <x:c r="O75" s="99"/>
      <x:c r="P75" s="99"/>
      <x:c r="Q75" s="99"/>
      <x:c r="R75" s="99"/>
      <x:c r="S75" s="99"/>
      <x:c r="T75" s="99"/>
      <x:c r="U75" s="99"/>
      <x:c r="V75" s="99"/>
      <x:c r="W75" s="99"/>
      <x:c r="X75" s="99"/>
      <x:c r="Y75" s="99"/>
      <x:c r="Z75" s="99"/>
    </x:row>
    <x:row r="76">
      <x:c r="A76" s="99"/>
      <x:c r="B76" s="99"/>
      <x:c r="C76" s="99"/>
      <x:c r="D76" s="99"/>
      <x:c r="E76" s="99"/>
      <x:c r="F76" s="99"/>
      <x:c r="G76" s="99"/>
      <x:c r="H76" s="99"/>
      <x:c r="I76" s="99"/>
      <x:c r="J76" s="99"/>
      <x:c r="K76" s="99"/>
      <x:c r="L76" s="99"/>
      <x:c r="M76" s="99"/>
      <x:c r="N76" s="99"/>
      <x:c r="O76" s="99"/>
      <x:c r="P76" s="99"/>
      <x:c r="Q76" s="99"/>
      <x:c r="R76" s="99"/>
      <x:c r="S76" s="99"/>
      <x:c r="T76" s="99"/>
      <x:c r="U76" s="99"/>
      <x:c r="V76" s="99"/>
      <x:c r="W76" s="99"/>
      <x:c r="X76" s="99"/>
      <x:c r="Y76" s="99"/>
      <x:c r="Z76" s="99"/>
    </x:row>
    <x:row r="77">
      <x:c r="A77" s="99"/>
      <x:c r="B77" s="99"/>
      <x:c r="C77" s="99"/>
      <x:c r="D77" s="99"/>
      <x:c r="E77" s="99"/>
      <x:c r="F77" s="99"/>
      <x:c r="G77" s="99"/>
      <x:c r="H77" s="99"/>
      <x:c r="I77" s="99"/>
      <x:c r="J77" s="99"/>
      <x:c r="K77" s="99"/>
      <x:c r="L77" s="99"/>
      <x:c r="M77" s="99"/>
      <x:c r="N77" s="99"/>
      <x:c r="O77" s="99"/>
      <x:c r="P77" s="99"/>
      <x:c r="Q77" s="99"/>
      <x:c r="R77" s="99"/>
      <x:c r="S77" s="99"/>
      <x:c r="T77" s="99"/>
      <x:c r="U77" s="99"/>
      <x:c r="V77" s="99"/>
      <x:c r="W77" s="99"/>
      <x:c r="X77" s="99"/>
      <x:c r="Y77" s="99"/>
      <x:c r="Z77" s="99"/>
    </x:row>
    <x:row r="78">
      <x:c r="A78" s="99"/>
      <x:c r="B78" s="99"/>
      <x:c r="C78" s="99"/>
      <x:c r="D78" s="99"/>
      <x:c r="E78" s="99"/>
      <x:c r="F78" s="99"/>
      <x:c r="G78" s="99"/>
      <x:c r="H78" s="99"/>
      <x:c r="I78" s="99"/>
      <x:c r="J78" s="99"/>
      <x:c r="K78" s="99"/>
      <x:c r="L78" s="99"/>
      <x:c r="M78" s="99"/>
      <x:c r="N78" s="99"/>
      <x:c r="O78" s="99"/>
      <x:c r="P78" s="99"/>
      <x:c r="Q78" s="99"/>
      <x:c r="R78" s="99"/>
      <x:c r="S78" s="99"/>
      <x:c r="T78" s="99"/>
      <x:c r="U78" s="99"/>
      <x:c r="V78" s="99"/>
      <x:c r="W78" s="99"/>
      <x:c r="X78" s="99"/>
      <x:c r="Y78" s="99"/>
      <x:c r="Z78" s="99"/>
    </x:row>
    <x:row r="79">
      <x:c r="A79" s="99"/>
      <x:c r="B79" s="99"/>
      <x:c r="C79" s="99"/>
      <x:c r="D79" s="99"/>
      <x:c r="E79" s="99"/>
      <x:c r="F79" s="99"/>
      <x:c r="G79" s="99"/>
      <x:c r="H79" s="99"/>
      <x:c r="I79" s="99"/>
      <x:c r="J79" s="99"/>
      <x:c r="K79" s="99"/>
      <x:c r="L79" s="99"/>
      <x:c r="M79" s="99"/>
      <x:c r="N79" s="99"/>
      <x:c r="O79" s="99"/>
      <x:c r="P79" s="99"/>
      <x:c r="Q79" s="99"/>
      <x:c r="R79" s="99"/>
      <x:c r="S79" s="99"/>
      <x:c r="T79" s="99"/>
      <x:c r="U79" s="99"/>
      <x:c r="V79" s="99"/>
      <x:c r="W79" s="99"/>
      <x:c r="X79" s="99"/>
      <x:c r="Y79" s="99"/>
      <x:c r="Z79" s="99"/>
    </x:row>
    <x:row r="80">
      <x:c r="A80" s="99"/>
      <x:c r="B80" s="99"/>
      <x:c r="C80" s="99"/>
      <x:c r="D80" s="99"/>
      <x:c r="E80" s="99"/>
      <x:c r="F80" s="99"/>
      <x:c r="G80" s="99"/>
      <x:c r="H80" s="99"/>
      <x:c r="I80" s="99"/>
      <x:c r="J80" s="99"/>
      <x:c r="K80" s="99"/>
      <x:c r="L80" s="99"/>
      <x:c r="M80" s="99"/>
      <x:c r="N80" s="99"/>
      <x:c r="O80" s="99"/>
      <x:c r="P80" s="99"/>
      <x:c r="Q80" s="99"/>
      <x:c r="R80" s="99"/>
      <x:c r="S80" s="99"/>
      <x:c r="T80" s="99"/>
      <x:c r="U80" s="99"/>
      <x:c r="V80" s="99"/>
      <x:c r="W80" s="99"/>
      <x:c r="X80" s="99"/>
      <x:c r="Y80" s="99"/>
      <x:c r="Z80" s="99"/>
    </x:row>
    <x:row r="81">
      <x:c r="A81" s="99"/>
      <x:c r="B81" s="99"/>
      <x:c r="C81" s="99"/>
      <x:c r="D81" s="99"/>
      <x:c r="E81" s="99"/>
      <x:c r="F81" s="99"/>
      <x:c r="G81" s="99"/>
      <x:c r="H81" s="99"/>
      <x:c r="I81" s="99"/>
      <x:c r="J81" s="99"/>
      <x:c r="K81" s="99"/>
      <x:c r="L81" s="99"/>
      <x:c r="M81" s="99"/>
      <x:c r="N81" s="99"/>
      <x:c r="O81" s="99"/>
      <x:c r="P81" s="99"/>
      <x:c r="Q81" s="99"/>
      <x:c r="R81" s="99"/>
      <x:c r="S81" s="99"/>
      <x:c r="T81" s="99"/>
      <x:c r="U81" s="99"/>
      <x:c r="V81" s="99"/>
      <x:c r="W81" s="99"/>
      <x:c r="X81" s="99"/>
      <x:c r="Y81" s="99"/>
      <x:c r="Z81" s="99"/>
    </x:row>
    <x:row r="82">
      <x:c r="A82" s="99"/>
      <x:c r="B82" s="99"/>
      <x:c r="C82" s="99"/>
      <x:c r="D82" s="99"/>
      <x:c r="E82" s="99"/>
      <x:c r="F82" s="99"/>
      <x:c r="G82" s="99"/>
      <x:c r="H82" s="99"/>
      <x:c r="I82" s="99"/>
      <x:c r="J82" s="99"/>
      <x:c r="K82" s="99"/>
      <x:c r="L82" s="99"/>
      <x:c r="M82" s="99"/>
      <x:c r="N82" s="99"/>
      <x:c r="O82" s="99"/>
      <x:c r="P82" s="99"/>
      <x:c r="Q82" s="99"/>
      <x:c r="R82" s="99"/>
      <x:c r="S82" s="99"/>
      <x:c r="T82" s="99"/>
      <x:c r="U82" s="99"/>
      <x:c r="V82" s="99"/>
      <x:c r="W82" s="99"/>
      <x:c r="X82" s="99"/>
      <x:c r="Y82" s="99"/>
      <x:c r="Z82" s="99"/>
    </x:row>
    <x:row r="83">
      <x:c r="A83" s="99"/>
      <x:c r="B83" s="99"/>
      <x:c r="C83" s="99"/>
      <x:c r="D83" s="99"/>
      <x:c r="E83" s="99"/>
      <x:c r="F83" s="99"/>
      <x:c r="G83" s="99"/>
      <x:c r="H83" s="99"/>
      <x:c r="I83" s="99"/>
      <x:c r="J83" s="99"/>
      <x:c r="K83" s="99"/>
      <x:c r="L83" s="99"/>
      <x:c r="M83" s="99"/>
      <x:c r="N83" s="99"/>
      <x:c r="O83" s="99"/>
      <x:c r="P83" s="99"/>
      <x:c r="Q83" s="99"/>
      <x:c r="R83" s="99"/>
      <x:c r="S83" s="99"/>
      <x:c r="T83" s="99"/>
      <x:c r="U83" s="99"/>
      <x:c r="V83" s="99"/>
      <x:c r="W83" s="99"/>
      <x:c r="X83" s="99"/>
      <x:c r="Y83" s="99"/>
      <x:c r="Z83" s="99"/>
    </x:row>
    <x:row r="84">
      <x:c r="A84" s="99"/>
      <x:c r="B84" s="99"/>
      <x:c r="C84" s="99"/>
      <x:c r="D84" s="99"/>
      <x:c r="E84" s="99"/>
      <x:c r="F84" s="99"/>
      <x:c r="G84" s="99"/>
      <x:c r="H84" s="99"/>
      <x:c r="I84" s="99"/>
      <x:c r="J84" s="99"/>
      <x:c r="K84" s="99"/>
      <x:c r="L84" s="99"/>
      <x:c r="M84" s="99"/>
      <x:c r="N84" s="99"/>
      <x:c r="O84" s="99"/>
      <x:c r="P84" s="99"/>
      <x:c r="Q84" s="99"/>
      <x:c r="R84" s="99"/>
      <x:c r="S84" s="99"/>
      <x:c r="T84" s="99"/>
      <x:c r="U84" s="99"/>
      <x:c r="V84" s="99"/>
      <x:c r="W84" s="99"/>
      <x:c r="X84" s="99"/>
      <x:c r="Y84" s="99"/>
      <x:c r="Z84" s="99"/>
    </x:row>
    <x:row r="85">
      <x:c r="A85" s="99"/>
      <x:c r="B85" s="99"/>
      <x:c r="C85" s="99"/>
      <x:c r="D85" s="99"/>
      <x:c r="E85" s="99"/>
      <x:c r="F85" s="99"/>
      <x:c r="G85" s="99"/>
      <x:c r="H85" s="99"/>
      <x:c r="I85" s="99"/>
      <x:c r="J85" s="99"/>
      <x:c r="K85" s="99"/>
      <x:c r="L85" s="99"/>
      <x:c r="M85" s="99"/>
      <x:c r="N85" s="99"/>
      <x:c r="O85" s="99"/>
      <x:c r="P85" s="99"/>
      <x:c r="Q85" s="99"/>
      <x:c r="R85" s="99"/>
      <x:c r="S85" s="99"/>
      <x:c r="T85" s="99"/>
      <x:c r="U85" s="99"/>
      <x:c r="V85" s="99"/>
      <x:c r="W85" s="99"/>
      <x:c r="X85" s="99"/>
      <x:c r="Y85" s="99"/>
      <x:c r="Z85" s="99"/>
    </x:row>
    <x:row r="86">
      <x:c r="A86" s="99"/>
      <x:c r="B86" s="99"/>
      <x:c r="C86" s="99"/>
      <x:c r="D86" s="99"/>
      <x:c r="E86" s="99"/>
      <x:c r="F86" s="99"/>
      <x:c r="G86" s="99"/>
      <x:c r="H86" s="99"/>
      <x:c r="I86" s="99"/>
      <x:c r="J86" s="99"/>
      <x:c r="K86" s="99"/>
      <x:c r="L86" s="99"/>
      <x:c r="M86" s="99"/>
      <x:c r="N86" s="99"/>
      <x:c r="O86" s="99"/>
      <x:c r="P86" s="99"/>
      <x:c r="Q86" s="99"/>
      <x:c r="R86" s="99"/>
      <x:c r="S86" s="99"/>
      <x:c r="T86" s="99"/>
      <x:c r="U86" s="99"/>
      <x:c r="V86" s="99"/>
      <x:c r="W86" s="99"/>
      <x:c r="X86" s="99"/>
      <x:c r="Y86" s="99"/>
      <x:c r="Z86" s="99"/>
    </x:row>
    <x:row r="87">
      <x:c r="A87" s="99"/>
      <x:c r="B87" s="99"/>
      <x:c r="C87" s="99"/>
      <x:c r="D87" s="99"/>
      <x:c r="E87" s="99"/>
      <x:c r="F87" s="99"/>
      <x:c r="G87" s="99"/>
      <x:c r="H87" s="99"/>
      <x:c r="I87" s="99"/>
      <x:c r="J87" s="99"/>
      <x:c r="K87" s="99"/>
      <x:c r="L87" s="99"/>
      <x:c r="M87" s="99"/>
      <x:c r="N87" s="99"/>
      <x:c r="O87" s="99"/>
      <x:c r="P87" s="99"/>
      <x:c r="Q87" s="99"/>
      <x:c r="R87" s="99"/>
      <x:c r="S87" s="99"/>
      <x:c r="T87" s="99"/>
      <x:c r="U87" s="99"/>
      <x:c r="V87" s="99"/>
      <x:c r="W87" s="99"/>
      <x:c r="X87" s="99"/>
      <x:c r="Y87" s="99"/>
      <x:c r="Z87" s="99"/>
    </x:row>
    <x:row r="88">
      <x:c r="A88" s="99"/>
      <x:c r="B88" s="99"/>
      <x:c r="C88" s="99"/>
      <x:c r="D88" s="99"/>
      <x:c r="E88" s="99"/>
      <x:c r="F88" s="99"/>
      <x:c r="G88" s="99"/>
      <x:c r="H88" s="99"/>
      <x:c r="I88" s="99"/>
      <x:c r="J88" s="99"/>
      <x:c r="K88" s="99"/>
      <x:c r="L88" s="99"/>
      <x:c r="M88" s="99"/>
      <x:c r="N88" s="99"/>
      <x:c r="O88" s="99"/>
      <x:c r="P88" s="99"/>
      <x:c r="Q88" s="99"/>
      <x:c r="R88" s="99"/>
      <x:c r="S88" s="99"/>
      <x:c r="T88" s="99"/>
      <x:c r="U88" s="99"/>
      <x:c r="V88" s="99"/>
      <x:c r="W88" s="99"/>
      <x:c r="X88" s="99"/>
      <x:c r="Y88" s="99"/>
      <x:c r="Z88" s="99"/>
    </x:row>
    <x:row r="89">
      <x:c r="A89" s="99"/>
      <x:c r="B89" s="99"/>
      <x:c r="C89" s="99"/>
      <x:c r="D89" s="99"/>
      <x:c r="E89" s="99"/>
      <x:c r="F89" s="99"/>
      <x:c r="G89" s="99"/>
      <x:c r="H89" s="99"/>
      <x:c r="I89" s="99"/>
      <x:c r="J89" s="99"/>
      <x:c r="K89" s="99"/>
      <x:c r="L89" s="99"/>
      <x:c r="M89" s="99"/>
      <x:c r="N89" s="99"/>
      <x:c r="O89" s="99"/>
      <x:c r="P89" s="99"/>
      <x:c r="Q89" s="99"/>
      <x:c r="R89" s="99"/>
      <x:c r="S89" s="99"/>
      <x:c r="T89" s="99"/>
      <x:c r="U89" s="99"/>
      <x:c r="V89" s="99"/>
      <x:c r="W89" s="99"/>
      <x:c r="X89" s="99"/>
      <x:c r="Y89" s="99"/>
      <x:c r="Z89" s="99"/>
    </x:row>
    <x:row r="90">
      <x:c r="A90" s="99"/>
      <x:c r="B90" s="99"/>
      <x:c r="C90" s="99"/>
      <x:c r="D90" s="99"/>
      <x:c r="E90" s="99"/>
      <x:c r="F90" s="99"/>
      <x:c r="G90" s="99"/>
      <x:c r="H90" s="99"/>
      <x:c r="I90" s="99"/>
      <x:c r="J90" s="99"/>
      <x:c r="K90" s="99"/>
      <x:c r="L90" s="99"/>
      <x:c r="M90" s="99"/>
      <x:c r="N90" s="99"/>
      <x:c r="O90" s="99"/>
      <x:c r="P90" s="99"/>
      <x:c r="Q90" s="99"/>
      <x:c r="R90" s="99"/>
      <x:c r="S90" s="99"/>
      <x:c r="T90" s="99"/>
      <x:c r="U90" s="99"/>
      <x:c r="V90" s="99"/>
      <x:c r="W90" s="99"/>
      <x:c r="X90" s="99"/>
      <x:c r="Y90" s="99"/>
      <x:c r="Z90" s="99"/>
    </x:row>
    <x:row r="91">
      <x:c r="A91" s="99"/>
      <x:c r="B91" s="99"/>
      <x:c r="C91" s="99"/>
      <x:c r="D91" s="99"/>
      <x:c r="E91" s="99"/>
      <x:c r="F91" s="99"/>
      <x:c r="G91" s="99"/>
      <x:c r="H91" s="99"/>
      <x:c r="I91" s="99"/>
      <x:c r="J91" s="99"/>
      <x:c r="K91" s="99"/>
      <x:c r="L91" s="99"/>
      <x:c r="M91" s="99"/>
      <x:c r="N91" s="99"/>
      <x:c r="O91" s="99"/>
      <x:c r="P91" s="99"/>
      <x:c r="Q91" s="99"/>
      <x:c r="R91" s="99"/>
      <x:c r="S91" s="99"/>
      <x:c r="T91" s="99"/>
      <x:c r="U91" s="99"/>
      <x:c r="V91" s="99"/>
      <x:c r="W91" s="99"/>
      <x:c r="X91" s="99"/>
      <x:c r="Y91" s="99"/>
      <x:c r="Z91" s="99"/>
    </x:row>
    <x:row r="92">
      <x:c r="A92" s="99"/>
      <x:c r="B92" s="99"/>
      <x:c r="C92" s="99"/>
      <x:c r="D92" s="99"/>
      <x:c r="E92" s="99"/>
      <x:c r="F92" s="99"/>
      <x:c r="G92" s="99"/>
      <x:c r="H92" s="99"/>
      <x:c r="I92" s="99"/>
      <x:c r="J92" s="99"/>
      <x:c r="K92" s="99"/>
      <x:c r="L92" s="99"/>
      <x:c r="M92" s="99"/>
      <x:c r="N92" s="99"/>
      <x:c r="O92" s="99"/>
      <x:c r="P92" s="99"/>
      <x:c r="Q92" s="99"/>
      <x:c r="R92" s="99"/>
      <x:c r="S92" s="99"/>
      <x:c r="T92" s="99"/>
      <x:c r="U92" s="99"/>
      <x:c r="V92" s="99"/>
      <x:c r="W92" s="99"/>
      <x:c r="X92" s="99"/>
      <x:c r="Y92" s="99"/>
      <x:c r="Z92" s="99"/>
    </x:row>
    <x:row r="93">
      <x:c r="A93" s="99"/>
      <x:c r="B93" s="99"/>
      <x:c r="C93" s="99"/>
      <x:c r="D93" s="99"/>
      <x:c r="E93" s="99"/>
      <x:c r="F93" s="99"/>
      <x:c r="G93" s="99"/>
      <x:c r="H93" s="99"/>
      <x:c r="I93" s="99"/>
      <x:c r="J93" s="99"/>
      <x:c r="K93" s="99"/>
      <x:c r="L93" s="99"/>
      <x:c r="M93" s="99"/>
      <x:c r="N93" s="99"/>
      <x:c r="O93" s="99"/>
      <x:c r="P93" s="99"/>
      <x:c r="Q93" s="99"/>
      <x:c r="R93" s="99"/>
      <x:c r="S93" s="99"/>
      <x:c r="T93" s="99"/>
      <x:c r="U93" s="99"/>
      <x:c r="V93" s="99"/>
      <x:c r="W93" s="99"/>
      <x:c r="X93" s="99"/>
      <x:c r="Y93" s="99"/>
      <x:c r="Z93" s="99"/>
    </x:row>
    <x:row r="94">
      <x:c r="A94" s="99"/>
      <x:c r="B94" s="99"/>
      <x:c r="C94" s="99"/>
      <x:c r="D94" s="99"/>
      <x:c r="E94" s="99"/>
      <x:c r="F94" s="99"/>
      <x:c r="G94" s="99"/>
      <x:c r="H94" s="99"/>
      <x:c r="I94" s="99"/>
      <x:c r="J94" s="99"/>
      <x:c r="K94" s="99"/>
      <x:c r="L94" s="99"/>
      <x:c r="M94" s="99"/>
      <x:c r="N94" s="99"/>
      <x:c r="O94" s="99"/>
      <x:c r="P94" s="99"/>
      <x:c r="Q94" s="99"/>
      <x:c r="R94" s="99"/>
      <x:c r="S94" s="99"/>
      <x:c r="T94" s="99"/>
      <x:c r="U94" s="99"/>
      <x:c r="V94" s="99"/>
      <x:c r="W94" s="99"/>
      <x:c r="X94" s="99"/>
      <x:c r="Y94" s="99"/>
      <x:c r="Z94" s="99"/>
    </x:row>
    <x:row r="95">
      <x:c r="A95" s="99"/>
      <x:c r="B95" s="99"/>
      <x:c r="C95" s="99"/>
      <x:c r="D95" s="99"/>
      <x:c r="E95" s="99"/>
      <x:c r="F95" s="99"/>
      <x:c r="G95" s="99"/>
      <x:c r="H95" s="99"/>
      <x:c r="I95" s="99"/>
      <x:c r="J95" s="99"/>
      <x:c r="K95" s="99"/>
      <x:c r="L95" s="99"/>
      <x:c r="M95" s="99"/>
      <x:c r="N95" s="99"/>
      <x:c r="O95" s="99"/>
      <x:c r="P95" s="99"/>
      <x:c r="Q95" s="99"/>
      <x:c r="R95" s="99"/>
      <x:c r="S95" s="99"/>
      <x:c r="T95" s="99"/>
      <x:c r="U95" s="99"/>
      <x:c r="V95" s="99"/>
      <x:c r="W95" s="99"/>
      <x:c r="X95" s="99"/>
      <x:c r="Y95" s="99"/>
      <x:c r="Z95" s="99"/>
    </x:row>
    <x:row r="96">
      <x:c r="A96" s="99"/>
      <x:c r="B96" s="99"/>
      <x:c r="C96" s="99"/>
      <x:c r="D96" s="99"/>
      <x:c r="E96" s="99"/>
      <x:c r="F96" s="99"/>
      <x:c r="G96" s="99"/>
      <x:c r="H96" s="99"/>
      <x:c r="I96" s="99"/>
      <x:c r="J96" s="99"/>
      <x:c r="K96" s="99"/>
      <x:c r="L96" s="99"/>
      <x:c r="M96" s="99"/>
      <x:c r="N96" s="99"/>
      <x:c r="O96" s="99"/>
      <x:c r="P96" s="99"/>
      <x:c r="Q96" s="99"/>
      <x:c r="R96" s="99"/>
      <x:c r="S96" s="99"/>
      <x:c r="T96" s="99"/>
      <x:c r="U96" s="99"/>
      <x:c r="V96" s="99"/>
      <x:c r="W96" s="99"/>
      <x:c r="X96" s="99"/>
      <x:c r="Y96" s="99"/>
      <x:c r="Z96" s="99"/>
    </x:row>
    <x:row r="97">
      <x:c r="A97" s="99"/>
      <x:c r="B97" s="99"/>
      <x:c r="C97" s="99"/>
      <x:c r="D97" s="99"/>
      <x:c r="E97" s="99"/>
      <x:c r="F97" s="99"/>
      <x:c r="G97" s="99"/>
      <x:c r="H97" s="99"/>
      <x:c r="I97" s="99"/>
      <x:c r="J97" s="99"/>
      <x:c r="K97" s="99"/>
      <x:c r="L97" s="99"/>
      <x:c r="M97" s="99"/>
      <x:c r="N97" s="99"/>
      <x:c r="O97" s="99"/>
      <x:c r="P97" s="99"/>
      <x:c r="Q97" s="99"/>
      <x:c r="R97" s="99"/>
      <x:c r="S97" s="99"/>
      <x:c r="T97" s="99"/>
      <x:c r="U97" s="99"/>
      <x:c r="V97" s="99"/>
      <x:c r="W97" s="99"/>
      <x:c r="X97" s="99"/>
      <x:c r="Y97" s="99"/>
      <x:c r="Z97" s="99"/>
    </x:row>
    <x:row r="98">
      <x:c r="A98" s="99"/>
      <x:c r="B98" s="99"/>
      <x:c r="C98" s="99"/>
      <x:c r="D98" s="99"/>
      <x:c r="E98" s="99"/>
      <x:c r="F98" s="99"/>
      <x:c r="G98" s="99"/>
      <x:c r="H98" s="99"/>
      <x:c r="I98" s="99"/>
      <x:c r="J98" s="99"/>
      <x:c r="K98" s="99"/>
      <x:c r="L98" s="99"/>
      <x:c r="M98" s="99"/>
      <x:c r="N98" s="99"/>
      <x:c r="O98" s="99"/>
      <x:c r="P98" s="99"/>
      <x:c r="Q98" s="99"/>
      <x:c r="R98" s="99"/>
      <x:c r="S98" s="99"/>
      <x:c r="T98" s="99"/>
      <x:c r="U98" s="99"/>
      <x:c r="V98" s="99"/>
      <x:c r="W98" s="99"/>
      <x:c r="X98" s="99"/>
      <x:c r="Y98" s="99"/>
      <x:c r="Z98" s="99"/>
    </x:row>
    <x:row r="99">
      <x:c r="A99" s="99"/>
      <x:c r="B99" s="99"/>
      <x:c r="C99" s="99"/>
      <x:c r="D99" s="99"/>
      <x:c r="E99" s="99"/>
      <x:c r="F99" s="99"/>
      <x:c r="G99" s="99"/>
      <x:c r="H99" s="99"/>
      <x:c r="I99" s="99"/>
      <x:c r="J99" s="99"/>
      <x:c r="K99" s="99"/>
      <x:c r="L99" s="99"/>
      <x:c r="M99" s="99"/>
      <x:c r="N99" s="99"/>
      <x:c r="O99" s="99"/>
      <x:c r="P99" s="99"/>
      <x:c r="Q99" s="99"/>
      <x:c r="R99" s="99"/>
      <x:c r="S99" s="99"/>
      <x:c r="T99" s="99"/>
      <x:c r="U99" s="99"/>
      <x:c r="V99" s="99"/>
      <x:c r="W99" s="99"/>
      <x:c r="X99" s="99"/>
      <x:c r="Y99" s="99"/>
      <x:c r="Z99" s="99"/>
    </x:row>
    <x:row r="100">
      <x:c r="A100" s="99"/>
      <x:c r="B100" s="99"/>
      <x:c r="C100" s="99"/>
      <x:c r="D100" s="99"/>
      <x:c r="E100" s="99"/>
      <x:c r="F100" s="99"/>
      <x:c r="G100" s="99"/>
      <x:c r="H100" s="99"/>
      <x:c r="I100" s="99"/>
      <x:c r="J100" s="99"/>
      <x:c r="K100" s="99"/>
      <x:c r="L100" s="99"/>
      <x:c r="M100" s="99"/>
      <x:c r="N100" s="99"/>
      <x:c r="O100" s="99"/>
      <x:c r="P100" s="99"/>
      <x:c r="Q100" s="99"/>
      <x:c r="R100" s="99"/>
      <x:c r="S100" s="99"/>
      <x:c r="T100" s="99"/>
      <x:c r="U100" s="99"/>
      <x:c r="V100" s="99"/>
      <x:c r="W100" s="99"/>
      <x:c r="X100" s="99"/>
      <x:c r="Y100" s="99"/>
      <x:c r="Z100" s="99"/>
    </x:row>
    <x:row r="101">
      <x:c r="A101" s="99"/>
      <x:c r="B101" s="99"/>
      <x:c r="C101" s="99"/>
      <x:c r="D101" s="99"/>
      <x:c r="E101" s="99"/>
      <x:c r="F101" s="99"/>
      <x:c r="G101" s="99"/>
      <x:c r="H101" s="99"/>
      <x:c r="I101" s="99"/>
      <x:c r="J101" s="99"/>
      <x:c r="K101" s="99"/>
      <x:c r="L101" s="99"/>
      <x:c r="M101" s="99"/>
      <x:c r="N101" s="99"/>
      <x:c r="O101" s="99"/>
      <x:c r="P101" s="99"/>
      <x:c r="Q101" s="99"/>
      <x:c r="R101" s="99"/>
      <x:c r="S101" s="99"/>
      <x:c r="T101" s="99"/>
      <x:c r="U101" s="99"/>
      <x:c r="V101" s="99"/>
      <x:c r="W101" s="99"/>
      <x:c r="X101" s="99"/>
      <x:c r="Y101" s="99"/>
      <x:c r="Z101" s="99"/>
    </x:row>
    <x:row r="102">
      <x:c r="A102" s="99"/>
      <x:c r="B102" s="99"/>
      <x:c r="C102" s="99"/>
      <x:c r="D102" s="99"/>
      <x:c r="E102" s="99"/>
      <x:c r="F102" s="99"/>
      <x:c r="G102" s="99"/>
      <x:c r="H102" s="99"/>
      <x:c r="I102" s="99"/>
      <x:c r="J102" s="99"/>
      <x:c r="K102" s="99"/>
      <x:c r="L102" s="99"/>
      <x:c r="M102" s="99"/>
      <x:c r="N102" s="99"/>
      <x:c r="O102" s="99"/>
      <x:c r="P102" s="99"/>
      <x:c r="Q102" s="99"/>
      <x:c r="R102" s="99"/>
      <x:c r="S102" s="99"/>
      <x:c r="T102" s="99"/>
      <x:c r="U102" s="99"/>
      <x:c r="V102" s="99"/>
      <x:c r="W102" s="99"/>
      <x:c r="X102" s="99"/>
      <x:c r="Y102" s="99"/>
      <x:c r="Z102" s="99"/>
    </x:row>
    <x:row r="103">
      <x:c r="A103" s="99"/>
      <x:c r="B103" s="99"/>
      <x:c r="C103" s="99"/>
      <x:c r="D103" s="99"/>
      <x:c r="E103" s="99"/>
      <x:c r="F103" s="99"/>
      <x:c r="G103" s="99"/>
      <x:c r="H103" s="99"/>
      <x:c r="I103" s="99"/>
      <x:c r="J103" s="99"/>
      <x:c r="K103" s="99"/>
      <x:c r="L103" s="99"/>
      <x:c r="M103" s="99"/>
      <x:c r="N103" s="99"/>
      <x:c r="O103" s="99"/>
      <x:c r="P103" s="99"/>
      <x:c r="Q103" s="99"/>
      <x:c r="R103" s="99"/>
      <x:c r="S103" s="99"/>
      <x:c r="T103" s="99"/>
      <x:c r="U103" s="99"/>
      <x:c r="V103" s="99"/>
      <x:c r="W103" s="99"/>
      <x:c r="X103" s="99"/>
      <x:c r="Y103" s="99"/>
      <x:c r="Z103" s="99"/>
    </x:row>
    <x:row r="104">
      <x:c r="A104" s="99"/>
      <x:c r="B104" s="99"/>
      <x:c r="C104" s="99"/>
      <x:c r="D104" s="99"/>
      <x:c r="E104" s="99"/>
      <x:c r="F104" s="99"/>
      <x:c r="G104" s="99"/>
      <x:c r="H104" s="99"/>
      <x:c r="I104" s="99"/>
      <x:c r="J104" s="99"/>
      <x:c r="K104" s="99"/>
      <x:c r="L104" s="99"/>
      <x:c r="M104" s="99"/>
      <x:c r="N104" s="99"/>
      <x:c r="O104" s="99"/>
      <x:c r="P104" s="99"/>
      <x:c r="Q104" s="99"/>
      <x:c r="R104" s="99"/>
      <x:c r="S104" s="99"/>
      <x:c r="T104" s="99"/>
      <x:c r="U104" s="99"/>
      <x:c r="V104" s="99"/>
      <x:c r="W104" s="99"/>
      <x:c r="X104" s="99"/>
      <x:c r="Y104" s="99"/>
      <x:c r="Z104" s="99"/>
    </x:row>
    <x:row r="105">
      <x:c r="A105" s="99"/>
      <x:c r="B105" s="99"/>
      <x:c r="C105" s="99"/>
      <x:c r="D105" s="99"/>
      <x:c r="E105" s="99"/>
      <x:c r="F105" s="99"/>
      <x:c r="G105" s="99"/>
      <x:c r="H105" s="99"/>
      <x:c r="I105" s="99"/>
      <x:c r="J105" s="99"/>
      <x:c r="K105" s="99"/>
      <x:c r="L105" s="99"/>
      <x:c r="M105" s="99"/>
      <x:c r="N105" s="99"/>
      <x:c r="O105" s="99"/>
      <x:c r="P105" s="99"/>
      <x:c r="Q105" s="99"/>
      <x:c r="R105" s="99"/>
      <x:c r="S105" s="99"/>
      <x:c r="T105" s="99"/>
      <x:c r="U105" s="99"/>
      <x:c r="V105" s="99"/>
      <x:c r="W105" s="99"/>
      <x:c r="X105" s="99"/>
      <x:c r="Y105" s="99"/>
      <x:c r="Z105" s="99"/>
    </x:row>
    <x:row r="106">
      <x:c r="A106" s="99"/>
      <x:c r="B106" s="99"/>
      <x:c r="C106" s="99"/>
      <x:c r="D106" s="99"/>
      <x:c r="E106" s="99"/>
      <x:c r="F106" s="99"/>
      <x:c r="G106" s="99"/>
      <x:c r="H106" s="99"/>
      <x:c r="I106" s="99"/>
      <x:c r="J106" s="99"/>
      <x:c r="K106" s="99"/>
      <x:c r="L106" s="99"/>
      <x:c r="M106" s="99"/>
      <x:c r="N106" s="99"/>
      <x:c r="O106" s="99"/>
      <x:c r="P106" s="99"/>
      <x:c r="Q106" s="99"/>
      <x:c r="R106" s="99"/>
      <x:c r="S106" s="99"/>
      <x:c r="T106" s="99"/>
      <x:c r="U106" s="99"/>
      <x:c r="V106" s="99"/>
      <x:c r="W106" s="99"/>
      <x:c r="X106" s="99"/>
      <x:c r="Y106" s="99"/>
      <x:c r="Z106" s="99"/>
    </x:row>
    <x:row r="107">
      <x:c r="A107" s="99"/>
      <x:c r="B107" s="99"/>
      <x:c r="C107" s="99"/>
      <x:c r="D107" s="99"/>
      <x:c r="E107" s="99"/>
      <x:c r="F107" s="99"/>
      <x:c r="G107" s="99"/>
      <x:c r="H107" s="99"/>
      <x:c r="I107" s="99"/>
      <x:c r="J107" s="99"/>
      <x:c r="K107" s="99"/>
      <x:c r="L107" s="99"/>
      <x:c r="M107" s="99"/>
      <x:c r="N107" s="99"/>
      <x:c r="O107" s="99"/>
      <x:c r="P107" s="99"/>
      <x:c r="Q107" s="99"/>
      <x:c r="R107" s="99"/>
      <x:c r="S107" s="99"/>
      <x:c r="T107" s="99"/>
      <x:c r="U107" s="99"/>
      <x:c r="V107" s="99"/>
      <x:c r="W107" s="99"/>
      <x:c r="X107" s="99"/>
      <x:c r="Y107" s="99"/>
      <x:c r="Z107" s="99"/>
    </x:row>
    <x:row r="108">
      <x:c r="A108" s="99"/>
      <x:c r="B108" s="99"/>
      <x:c r="C108" s="99"/>
      <x:c r="D108" s="99"/>
      <x:c r="E108" s="99"/>
      <x:c r="F108" s="99"/>
      <x:c r="G108" s="99"/>
      <x:c r="H108" s="99"/>
      <x:c r="I108" s="99"/>
      <x:c r="J108" s="99"/>
      <x:c r="K108" s="99"/>
      <x:c r="L108" s="99"/>
      <x:c r="M108" s="99"/>
      <x:c r="N108" s="99"/>
      <x:c r="O108" s="99"/>
      <x:c r="P108" s="99"/>
      <x:c r="Q108" s="99"/>
      <x:c r="R108" s="99"/>
      <x:c r="S108" s="99"/>
      <x:c r="T108" s="99"/>
      <x:c r="U108" s="99"/>
      <x:c r="V108" s="99"/>
      <x:c r="W108" s="99"/>
      <x:c r="X108" s="99"/>
      <x:c r="Y108" s="99"/>
      <x:c r="Z108" s="99"/>
    </x:row>
    <x:row r="109">
      <x:c r="A109" s="99"/>
      <x:c r="B109" s="99"/>
      <x:c r="C109" s="99"/>
      <x:c r="D109" s="99"/>
      <x:c r="E109" s="99"/>
      <x:c r="F109" s="99"/>
      <x:c r="G109" s="99"/>
      <x:c r="H109" s="99"/>
      <x:c r="I109" s="99"/>
      <x:c r="J109" s="99"/>
      <x:c r="K109" s="99"/>
      <x:c r="L109" s="99"/>
      <x:c r="M109" s="99"/>
      <x:c r="N109" s="99"/>
      <x:c r="O109" s="99"/>
      <x:c r="P109" s="99"/>
      <x:c r="Q109" s="99"/>
      <x:c r="R109" s="99"/>
      <x:c r="S109" s="99"/>
      <x:c r="T109" s="99"/>
      <x:c r="U109" s="99"/>
      <x:c r="V109" s="99"/>
      <x:c r="W109" s="99"/>
      <x:c r="X109" s="99"/>
      <x:c r="Y109" s="99"/>
      <x:c r="Z109" s="99"/>
    </x:row>
    <x:row r="110">
      <x:c r="A110" s="99"/>
      <x:c r="B110" s="99"/>
      <x:c r="C110" s="99"/>
      <x:c r="D110" s="99"/>
      <x:c r="E110" s="99"/>
      <x:c r="F110" s="99"/>
      <x:c r="G110" s="99"/>
      <x:c r="H110" s="99"/>
      <x:c r="I110" s="99"/>
      <x:c r="J110" s="99"/>
      <x:c r="K110" s="99"/>
      <x:c r="L110" s="99"/>
      <x:c r="M110" s="99"/>
      <x:c r="N110" s="99"/>
      <x:c r="O110" s="99"/>
      <x:c r="P110" s="99"/>
      <x:c r="Q110" s="99"/>
      <x:c r="R110" s="99"/>
      <x:c r="S110" s="99"/>
      <x:c r="T110" s="99"/>
      <x:c r="U110" s="99"/>
      <x:c r="V110" s="99"/>
      <x:c r="W110" s="99"/>
      <x:c r="X110" s="99"/>
      <x:c r="Y110" s="99"/>
      <x:c r="Z110" s="99"/>
    </x:row>
    <x:row r="111">
      <x:c r="A111" s="99"/>
      <x:c r="B111" s="99"/>
      <x:c r="C111" s="99"/>
      <x:c r="D111" s="99"/>
      <x:c r="E111" s="99"/>
      <x:c r="F111" s="99"/>
      <x:c r="G111" s="99"/>
      <x:c r="H111" s="99"/>
      <x:c r="I111" s="99"/>
      <x:c r="J111" s="99"/>
      <x:c r="K111" s="99"/>
      <x:c r="L111" s="99"/>
      <x:c r="M111" s="99"/>
      <x:c r="N111" s="99"/>
      <x:c r="O111" s="99"/>
      <x:c r="P111" s="99"/>
      <x:c r="Q111" s="99"/>
      <x:c r="R111" s="99"/>
      <x:c r="S111" s="99"/>
      <x:c r="T111" s="99"/>
      <x:c r="U111" s="99"/>
      <x:c r="V111" s="99"/>
      <x:c r="W111" s="99"/>
      <x:c r="X111" s="99"/>
      <x:c r="Y111" s="99"/>
      <x:c r="Z111" s="99"/>
    </x:row>
    <x:row r="112">
      <x:c r="A112" s="99"/>
      <x:c r="B112" s="99"/>
      <x:c r="C112" s="99"/>
      <x:c r="D112" s="99"/>
      <x:c r="E112" s="99"/>
      <x:c r="F112" s="99"/>
      <x:c r="G112" s="99"/>
      <x:c r="H112" s="99"/>
      <x:c r="I112" s="99"/>
      <x:c r="J112" s="99"/>
      <x:c r="K112" s="99"/>
      <x:c r="L112" s="99"/>
      <x:c r="M112" s="99"/>
      <x:c r="N112" s="99"/>
      <x:c r="O112" s="99"/>
      <x:c r="P112" s="99"/>
      <x:c r="Q112" s="99"/>
      <x:c r="R112" s="99"/>
      <x:c r="S112" s="99"/>
      <x:c r="T112" s="99"/>
      <x:c r="U112" s="99"/>
      <x:c r="V112" s="99"/>
      <x:c r="W112" s="99"/>
      <x:c r="X112" s="99"/>
      <x:c r="Y112" s="99"/>
      <x:c r="Z112" s="99"/>
    </x:row>
    <x:row r="113">
      <x:c r="A113" s="99"/>
      <x:c r="B113" s="99"/>
      <x:c r="C113" s="99"/>
      <x:c r="D113" s="99"/>
      <x:c r="E113" s="99"/>
      <x:c r="F113" s="99"/>
      <x:c r="G113" s="99"/>
      <x:c r="H113" s="99"/>
      <x:c r="I113" s="99"/>
      <x:c r="J113" s="99"/>
      <x:c r="K113" s="99"/>
      <x:c r="L113" s="99"/>
      <x:c r="M113" s="99"/>
      <x:c r="N113" s="99"/>
      <x:c r="O113" s="99"/>
      <x:c r="P113" s="99"/>
      <x:c r="Q113" s="99"/>
      <x:c r="R113" s="99"/>
      <x:c r="S113" s="99"/>
      <x:c r="T113" s="99"/>
      <x:c r="U113" s="99"/>
      <x:c r="V113" s="99"/>
      <x:c r="W113" s="99"/>
      <x:c r="X113" s="99"/>
      <x:c r="Y113" s="99"/>
      <x:c r="Z113" s="99"/>
    </x:row>
    <x:row r="114">
      <x:c r="A114" s="99"/>
      <x:c r="B114" s="99"/>
      <x:c r="C114" s="99"/>
      <x:c r="D114" s="99"/>
      <x:c r="E114" s="99"/>
      <x:c r="F114" s="99"/>
      <x:c r="G114" s="99"/>
      <x:c r="H114" s="99"/>
      <x:c r="I114" s="99"/>
      <x:c r="J114" s="99"/>
      <x:c r="K114" s="99"/>
      <x:c r="L114" s="99"/>
      <x:c r="M114" s="99"/>
      <x:c r="N114" s="99"/>
      <x:c r="O114" s="99"/>
      <x:c r="P114" s="99"/>
      <x:c r="Q114" s="99"/>
      <x:c r="R114" s="99"/>
      <x:c r="S114" s="99"/>
      <x:c r="T114" s="99"/>
      <x:c r="U114" s="99"/>
      <x:c r="V114" s="99"/>
      <x:c r="W114" s="99"/>
      <x:c r="X114" s="99"/>
      <x:c r="Y114" s="99"/>
      <x:c r="Z114" s="99"/>
    </x:row>
    <x:row r="115">
      <x:c r="A115" s="99"/>
      <x:c r="B115" s="99"/>
      <x:c r="C115" s="99"/>
      <x:c r="D115" s="99"/>
      <x:c r="E115" s="99"/>
      <x:c r="F115" s="99"/>
      <x:c r="G115" s="99"/>
      <x:c r="H115" s="99"/>
      <x:c r="I115" s="99"/>
      <x:c r="J115" s="99"/>
      <x:c r="K115" s="99"/>
      <x:c r="L115" s="99"/>
      <x:c r="M115" s="99"/>
      <x:c r="N115" s="99"/>
      <x:c r="O115" s="99"/>
      <x:c r="P115" s="99"/>
      <x:c r="Q115" s="99"/>
      <x:c r="R115" s="99"/>
      <x:c r="S115" s="99"/>
      <x:c r="T115" s="99"/>
      <x:c r="U115" s="99"/>
      <x:c r="V115" s="99"/>
      <x:c r="W115" s="99"/>
      <x:c r="X115" s="99"/>
      <x:c r="Y115" s="99"/>
      <x:c r="Z115" s="99"/>
    </x:row>
    <x:row r="116">
      <x:c r="A116" s="99"/>
      <x:c r="B116" s="99"/>
      <x:c r="C116" s="99"/>
      <x:c r="D116" s="99"/>
      <x:c r="E116" s="99"/>
      <x:c r="F116" s="99"/>
      <x:c r="G116" s="99"/>
      <x:c r="H116" s="99"/>
      <x:c r="I116" s="99"/>
      <x:c r="J116" s="99"/>
      <x:c r="K116" s="99"/>
      <x:c r="L116" s="99"/>
      <x:c r="M116" s="99"/>
      <x:c r="N116" s="99"/>
      <x:c r="O116" s="99"/>
      <x:c r="P116" s="99"/>
      <x:c r="Q116" s="99"/>
      <x:c r="R116" s="99"/>
      <x:c r="S116" s="99"/>
      <x:c r="T116" s="99"/>
      <x:c r="U116" s="99"/>
      <x:c r="V116" s="99"/>
      <x:c r="W116" s="99"/>
      <x:c r="X116" s="99"/>
      <x:c r="Y116" s="99"/>
      <x:c r="Z116" s="99"/>
    </x:row>
    <x:row r="117">
      <x:c r="A117" s="99"/>
      <x:c r="B117" s="99"/>
      <x:c r="C117" s="99"/>
      <x:c r="D117" s="99"/>
      <x:c r="E117" s="99"/>
      <x:c r="F117" s="99"/>
      <x:c r="G117" s="99"/>
      <x:c r="H117" s="99"/>
      <x:c r="I117" s="99"/>
      <x:c r="J117" s="99"/>
      <x:c r="K117" s="99"/>
      <x:c r="L117" s="99"/>
      <x:c r="M117" s="99"/>
      <x:c r="N117" s="99"/>
      <x:c r="O117" s="99"/>
      <x:c r="P117" s="99"/>
      <x:c r="Q117" s="99"/>
      <x:c r="R117" s="99"/>
      <x:c r="S117" s="99"/>
      <x:c r="T117" s="99"/>
      <x:c r="U117" s="99"/>
      <x:c r="V117" s="99"/>
      <x:c r="W117" s="99"/>
      <x:c r="X117" s="99"/>
      <x:c r="Y117" s="99"/>
      <x:c r="Z117" s="99"/>
    </x:row>
    <x:row r="118">
      <x:c r="A118" s="99"/>
      <x:c r="B118" s="99"/>
      <x:c r="C118" s="99"/>
      <x:c r="D118" s="99"/>
      <x:c r="E118" s="99"/>
      <x:c r="F118" s="99"/>
      <x:c r="G118" s="99"/>
      <x:c r="H118" s="99"/>
      <x:c r="I118" s="99"/>
      <x:c r="J118" s="99"/>
      <x:c r="K118" s="99"/>
      <x:c r="L118" s="99"/>
      <x:c r="M118" s="99"/>
      <x:c r="N118" s="99"/>
      <x:c r="O118" s="99"/>
      <x:c r="P118" s="99"/>
      <x:c r="Q118" s="99"/>
      <x:c r="R118" s="99"/>
      <x:c r="S118" s="99"/>
      <x:c r="T118" s="99"/>
      <x:c r="U118" s="99"/>
      <x:c r="V118" s="99"/>
      <x:c r="W118" s="99"/>
      <x:c r="X118" s="99"/>
      <x:c r="Y118" s="99"/>
      <x:c r="Z118" s="99"/>
    </x:row>
    <x:row r="119">
      <x:c r="A119" s="99"/>
      <x:c r="B119" s="99"/>
      <x:c r="C119" s="99"/>
      <x:c r="D119" s="99"/>
      <x:c r="E119" s="99"/>
      <x:c r="F119" s="99"/>
      <x:c r="G119" s="99"/>
      <x:c r="H119" s="99"/>
      <x:c r="I119" s="99"/>
      <x:c r="J119" s="99"/>
      <x:c r="K119" s="99"/>
      <x:c r="L119" s="99"/>
      <x:c r="M119" s="99"/>
      <x:c r="N119" s="99"/>
      <x:c r="O119" s="99"/>
      <x:c r="P119" s="99"/>
      <x:c r="Q119" s="99"/>
      <x:c r="R119" s="99"/>
      <x:c r="S119" s="99"/>
      <x:c r="T119" s="99"/>
      <x:c r="U119" s="99"/>
      <x:c r="V119" s="99"/>
      <x:c r="W119" s="99"/>
      <x:c r="X119" s="99"/>
      <x:c r="Y119" s="99"/>
      <x:c r="Z119" s="99"/>
    </x:row>
    <x:row r="120">
      <x:c r="A120" s="99"/>
      <x:c r="B120" s="99"/>
      <x:c r="C120" s="99"/>
      <x:c r="D120" s="99"/>
      <x:c r="E120" s="99"/>
      <x:c r="F120" s="99"/>
      <x:c r="G120" s="99"/>
      <x:c r="H120" s="99"/>
      <x:c r="I120" s="99"/>
      <x:c r="J120" s="99"/>
      <x:c r="K120" s="99"/>
      <x:c r="L120" s="99"/>
      <x:c r="M120" s="99"/>
      <x:c r="N120" s="99"/>
      <x:c r="O120" s="99"/>
      <x:c r="P120" s="99"/>
      <x:c r="Q120" s="99"/>
      <x:c r="R120" s="99"/>
      <x:c r="S120" s="99"/>
      <x:c r="T120" s="99"/>
      <x:c r="U120" s="99"/>
      <x:c r="V120" s="99"/>
      <x:c r="W120" s="99"/>
      <x:c r="X120" s="99"/>
      <x:c r="Y120" s="99"/>
      <x:c r="Z120" s="99"/>
    </x:row>
    <x:row r="121">
      <x:c r="A121" s="99"/>
      <x:c r="B121" s="99"/>
      <x:c r="C121" s="99"/>
      <x:c r="D121" s="99"/>
      <x:c r="E121" s="99"/>
      <x:c r="F121" s="99"/>
      <x:c r="G121" s="99"/>
      <x:c r="H121" s="99"/>
      <x:c r="I121" s="99"/>
      <x:c r="J121" s="99"/>
      <x:c r="K121" s="99"/>
      <x:c r="L121" s="99"/>
      <x:c r="M121" s="99"/>
      <x:c r="N121" s="99"/>
      <x:c r="O121" s="99"/>
      <x:c r="P121" s="99"/>
      <x:c r="Q121" s="99"/>
      <x:c r="R121" s="99"/>
      <x:c r="S121" s="99"/>
      <x:c r="T121" s="99"/>
      <x:c r="U121" s="99"/>
      <x:c r="V121" s="99"/>
      <x:c r="W121" s="99"/>
      <x:c r="X121" s="99"/>
      <x:c r="Y121" s="99"/>
      <x:c r="Z121" s="99"/>
    </x:row>
    <x:row r="122">
      <x:c r="A122" s="99"/>
      <x:c r="B122" s="99"/>
      <x:c r="C122" s="99"/>
      <x:c r="D122" s="99"/>
      <x:c r="E122" s="99"/>
      <x:c r="F122" s="99"/>
      <x:c r="G122" s="99"/>
      <x:c r="H122" s="99"/>
      <x:c r="I122" s="99"/>
      <x:c r="J122" s="99"/>
      <x:c r="K122" s="99"/>
      <x:c r="L122" s="99"/>
      <x:c r="M122" s="99"/>
      <x:c r="N122" s="99"/>
      <x:c r="O122" s="99"/>
      <x:c r="P122" s="99"/>
      <x:c r="Q122" s="99"/>
      <x:c r="R122" s="99"/>
      <x:c r="S122" s="99"/>
      <x:c r="T122" s="99"/>
      <x:c r="U122" s="99"/>
      <x:c r="V122" s="99"/>
      <x:c r="W122" s="99"/>
      <x:c r="X122" s="99"/>
      <x:c r="Y122" s="99"/>
      <x:c r="Z122" s="99"/>
    </x:row>
    <x:row r="123">
      <x:c r="A123" s="99"/>
      <x:c r="B123" s="99"/>
      <x:c r="C123" s="99"/>
      <x:c r="D123" s="99"/>
      <x:c r="E123" s="99"/>
      <x:c r="F123" s="99"/>
      <x:c r="G123" s="99"/>
      <x:c r="H123" s="99"/>
      <x:c r="I123" s="99"/>
      <x:c r="J123" s="99"/>
      <x:c r="K123" s="99"/>
      <x:c r="L123" s="99"/>
      <x:c r="M123" s="99"/>
      <x:c r="N123" s="99"/>
      <x:c r="O123" s="99"/>
      <x:c r="P123" s="99"/>
      <x:c r="Q123" s="99"/>
      <x:c r="R123" s="99"/>
      <x:c r="S123" s="99"/>
      <x:c r="T123" s="99"/>
      <x:c r="U123" s="99"/>
      <x:c r="V123" s="99"/>
      <x:c r="W123" s="99"/>
      <x:c r="X123" s="99"/>
      <x:c r="Y123" s="99"/>
      <x:c r="Z123" s="99"/>
    </x:row>
    <x:row r="124">
      <x:c r="A124" s="99"/>
      <x:c r="B124" s="99"/>
      <x:c r="C124" s="99"/>
      <x:c r="D124" s="99"/>
      <x:c r="E124" s="99"/>
      <x:c r="F124" s="99"/>
      <x:c r="G124" s="99"/>
      <x:c r="H124" s="99"/>
      <x:c r="I124" s="99"/>
      <x:c r="J124" s="99"/>
      <x:c r="K124" s="99"/>
      <x:c r="L124" s="99"/>
      <x:c r="M124" s="99"/>
      <x:c r="N124" s="99"/>
      <x:c r="O124" s="99"/>
      <x:c r="P124" s="99"/>
      <x:c r="Q124" s="99"/>
      <x:c r="R124" s="99"/>
      <x:c r="S124" s="99"/>
      <x:c r="T124" s="99"/>
      <x:c r="U124" s="99"/>
      <x:c r="V124" s="99"/>
      <x:c r="W124" s="99"/>
      <x:c r="X124" s="99"/>
      <x:c r="Y124" s="99"/>
      <x:c r="Z124" s="99"/>
    </x:row>
    <x:row r="125">
      <x:c r="A125" s="99"/>
      <x:c r="B125" s="99"/>
      <x:c r="C125" s="99"/>
      <x:c r="D125" s="99"/>
      <x:c r="E125" s="99"/>
      <x:c r="F125" s="99"/>
      <x:c r="G125" s="99"/>
      <x:c r="H125" s="99"/>
      <x:c r="I125" s="99"/>
      <x:c r="J125" s="99"/>
      <x:c r="K125" s="99"/>
      <x:c r="L125" s="99"/>
      <x:c r="M125" s="99"/>
      <x:c r="N125" s="99"/>
      <x:c r="O125" s="99"/>
      <x:c r="P125" s="99"/>
      <x:c r="Q125" s="99"/>
      <x:c r="R125" s="99"/>
      <x:c r="S125" s="99"/>
      <x:c r="T125" s="99"/>
      <x:c r="U125" s="99"/>
      <x:c r="V125" s="99"/>
      <x:c r="W125" s="99"/>
      <x:c r="X125" s="99"/>
      <x:c r="Y125" s="99"/>
      <x:c r="Z125" s="99"/>
    </x:row>
    <x:row r="126">
      <x:c r="A126" s="99"/>
      <x:c r="B126" s="99"/>
      <x:c r="C126" s="99"/>
      <x:c r="D126" s="99"/>
      <x:c r="E126" s="99"/>
      <x:c r="F126" s="99"/>
      <x:c r="G126" s="99"/>
      <x:c r="H126" s="99"/>
      <x:c r="I126" s="99"/>
      <x:c r="J126" s="99"/>
      <x:c r="K126" s="99"/>
      <x:c r="L126" s="99"/>
      <x:c r="M126" s="99"/>
      <x:c r="N126" s="99"/>
      <x:c r="O126" s="99"/>
      <x:c r="P126" s="99"/>
      <x:c r="Q126" s="99"/>
      <x:c r="R126" s="99"/>
      <x:c r="S126" s="99"/>
      <x:c r="T126" s="99"/>
      <x:c r="U126" s="99"/>
      <x:c r="V126" s="99"/>
      <x:c r="W126" s="99"/>
      <x:c r="X126" s="99"/>
      <x:c r="Y126" s="99"/>
      <x:c r="Z126" s="99"/>
    </x:row>
    <x:row r="127">
      <x:c r="A127" s="99"/>
      <x:c r="B127" s="99"/>
      <x:c r="C127" s="99"/>
      <x:c r="D127" s="99"/>
      <x:c r="E127" s="99"/>
      <x:c r="F127" s="99"/>
      <x:c r="G127" s="99"/>
      <x:c r="H127" s="99"/>
      <x:c r="I127" s="99"/>
      <x:c r="J127" s="99"/>
      <x:c r="K127" s="99"/>
      <x:c r="L127" s="99"/>
      <x:c r="M127" s="99"/>
      <x:c r="N127" s="99"/>
      <x:c r="O127" s="99"/>
      <x:c r="P127" s="99"/>
      <x:c r="Q127" s="99"/>
      <x:c r="R127" s="99"/>
      <x:c r="S127" s="99"/>
      <x:c r="T127" s="99"/>
      <x:c r="U127" s="99"/>
      <x:c r="V127" s="99"/>
      <x:c r="W127" s="99"/>
      <x:c r="X127" s="99"/>
      <x:c r="Y127" s="99"/>
      <x:c r="Z127" s="99"/>
    </x:row>
    <x:row r="128">
      <x:c r="A128" s="99"/>
      <x:c r="B128" s="99"/>
      <x:c r="C128" s="99"/>
      <x:c r="D128" s="99"/>
      <x:c r="E128" s="99"/>
      <x:c r="F128" s="99"/>
      <x:c r="G128" s="99"/>
      <x:c r="H128" s="99"/>
      <x:c r="I128" s="99"/>
      <x:c r="J128" s="99"/>
      <x:c r="K128" s="99"/>
      <x:c r="L128" s="99"/>
      <x:c r="M128" s="99"/>
      <x:c r="N128" s="99"/>
      <x:c r="O128" s="99"/>
      <x:c r="P128" s="99"/>
      <x:c r="Q128" s="99"/>
      <x:c r="R128" s="99"/>
      <x:c r="S128" s="99"/>
      <x:c r="T128" s="99"/>
      <x:c r="U128" s="99"/>
      <x:c r="V128" s="99"/>
      <x:c r="W128" s="99"/>
      <x:c r="X128" s="99"/>
      <x:c r="Y128" s="99"/>
      <x:c r="Z128" s="99"/>
    </x:row>
    <x:row r="129">
      <x:c r="A129" s="99"/>
      <x:c r="B129" s="99"/>
      <x:c r="C129" s="99"/>
      <x:c r="D129" s="99"/>
      <x:c r="E129" s="99"/>
      <x:c r="F129" s="99"/>
      <x:c r="G129" s="99"/>
      <x:c r="H129" s="99"/>
      <x:c r="I129" s="99"/>
      <x:c r="J129" s="99"/>
      <x:c r="K129" s="99"/>
      <x:c r="L129" s="99"/>
      <x:c r="M129" s="99"/>
      <x:c r="N129" s="99"/>
      <x:c r="O129" s="99"/>
      <x:c r="P129" s="99"/>
      <x:c r="Q129" s="99"/>
      <x:c r="R129" s="99"/>
      <x:c r="S129" s="99"/>
      <x:c r="T129" s="99"/>
      <x:c r="U129" s="99"/>
      <x:c r="V129" s="99"/>
      <x:c r="W129" s="99"/>
      <x:c r="X129" s="99"/>
      <x:c r="Y129" s="99"/>
      <x:c r="Z129" s="99"/>
    </x:row>
    <x:row r="130">
      <x:c r="A130" s="99"/>
      <x:c r="B130" s="99"/>
      <x:c r="C130" s="99"/>
      <x:c r="D130" s="99"/>
      <x:c r="E130" s="99"/>
      <x:c r="F130" s="99"/>
      <x:c r="G130" s="99"/>
      <x:c r="H130" s="99"/>
      <x:c r="I130" s="99"/>
      <x:c r="J130" s="99"/>
      <x:c r="K130" s="99"/>
      <x:c r="L130" s="99"/>
      <x:c r="M130" s="99"/>
      <x:c r="N130" s="99"/>
      <x:c r="O130" s="99"/>
      <x:c r="P130" s="99"/>
      <x:c r="Q130" s="99"/>
      <x:c r="R130" s="99"/>
      <x:c r="S130" s="99"/>
      <x:c r="T130" s="99"/>
      <x:c r="U130" s="99"/>
      <x:c r="V130" s="99"/>
      <x:c r="W130" s="99"/>
      <x:c r="X130" s="99"/>
      <x:c r="Y130" s="99"/>
      <x:c r="Z130" s="99"/>
    </x:row>
    <x:row r="131">
      <x:c r="A131" s="99"/>
      <x:c r="B131" s="99"/>
      <x:c r="C131" s="99"/>
      <x:c r="D131" s="99"/>
      <x:c r="E131" s="99"/>
      <x:c r="F131" s="99"/>
      <x:c r="G131" s="99"/>
      <x:c r="H131" s="99"/>
      <x:c r="I131" s="99"/>
      <x:c r="J131" s="99"/>
      <x:c r="K131" s="99"/>
      <x:c r="L131" s="99"/>
      <x:c r="M131" s="99"/>
      <x:c r="N131" s="99"/>
      <x:c r="O131" s="99"/>
      <x:c r="P131" s="99"/>
      <x:c r="Q131" s="99"/>
      <x:c r="R131" s="99"/>
      <x:c r="S131" s="99"/>
      <x:c r="T131" s="99"/>
      <x:c r="U131" s="99"/>
      <x:c r="V131" s="99"/>
      <x:c r="W131" s="99"/>
      <x:c r="X131" s="99"/>
      <x:c r="Y131" s="99"/>
      <x:c r="Z131" s="99"/>
    </x:row>
    <x:row r="132">
      <x:c r="A132" s="99"/>
      <x:c r="B132" s="99"/>
      <x:c r="C132" s="99"/>
      <x:c r="D132" s="99"/>
      <x:c r="E132" s="99"/>
      <x:c r="F132" s="99"/>
      <x:c r="G132" s="99"/>
      <x:c r="H132" s="99"/>
      <x:c r="I132" s="99"/>
      <x:c r="J132" s="99"/>
      <x:c r="K132" s="99"/>
      <x:c r="L132" s="99"/>
      <x:c r="M132" s="99"/>
      <x:c r="N132" s="99"/>
      <x:c r="O132" s="99"/>
      <x:c r="P132" s="99"/>
      <x:c r="Q132" s="99"/>
      <x:c r="R132" s="99"/>
      <x:c r="S132" s="99"/>
      <x:c r="T132" s="99"/>
      <x:c r="U132" s="99"/>
      <x:c r="V132" s="99"/>
      <x:c r="W132" s="99"/>
      <x:c r="X132" s="99"/>
      <x:c r="Y132" s="99"/>
      <x:c r="Z132" s="99"/>
    </x:row>
    <x:row r="133">
      <x:c r="A133" s="99"/>
      <x:c r="B133" s="99"/>
      <x:c r="C133" s="99"/>
      <x:c r="D133" s="99"/>
      <x:c r="E133" s="99"/>
      <x:c r="F133" s="99"/>
      <x:c r="G133" s="99"/>
      <x:c r="H133" s="99"/>
      <x:c r="I133" s="99"/>
      <x:c r="J133" s="99"/>
      <x:c r="K133" s="99"/>
      <x:c r="L133" s="99"/>
      <x:c r="M133" s="99"/>
      <x:c r="N133" s="99"/>
      <x:c r="O133" s="99"/>
      <x:c r="P133" s="99"/>
      <x:c r="Q133" s="99"/>
      <x:c r="R133" s="99"/>
      <x:c r="S133" s="99"/>
      <x:c r="T133" s="99"/>
      <x:c r="U133" s="99"/>
      <x:c r="V133" s="99"/>
      <x:c r="W133" s="99"/>
      <x:c r="X133" s="99"/>
      <x:c r="Y133" s="99"/>
      <x:c r="Z133" s="99"/>
    </x:row>
    <x:row r="134">
      <x:c r="A134" s="99"/>
      <x:c r="B134" s="99"/>
      <x:c r="C134" s="99"/>
      <x:c r="D134" s="99"/>
      <x:c r="E134" s="99"/>
      <x:c r="F134" s="99"/>
      <x:c r="G134" s="99"/>
      <x:c r="H134" s="99"/>
      <x:c r="I134" s="99"/>
      <x:c r="J134" s="99"/>
      <x:c r="K134" s="99"/>
      <x:c r="L134" s="99"/>
      <x:c r="M134" s="99"/>
      <x:c r="N134" s="99"/>
      <x:c r="O134" s="99"/>
      <x:c r="P134" s="99"/>
      <x:c r="Q134" s="99"/>
      <x:c r="R134" s="99"/>
      <x:c r="S134" s="99"/>
      <x:c r="T134" s="99"/>
      <x:c r="U134" s="99"/>
      <x:c r="V134" s="99"/>
      <x:c r="W134" s="99"/>
      <x:c r="X134" s="99"/>
      <x:c r="Y134" s="99"/>
      <x:c r="Z134" s="99"/>
    </x:row>
    <x:row r="135">
      <x:c r="A135" s="99"/>
      <x:c r="B135" s="99"/>
      <x:c r="C135" s="99"/>
      <x:c r="D135" s="99"/>
      <x:c r="E135" s="99"/>
      <x:c r="F135" s="99"/>
      <x:c r="G135" s="99"/>
      <x:c r="H135" s="99"/>
      <x:c r="I135" s="99"/>
      <x:c r="J135" s="99"/>
      <x:c r="K135" s="99"/>
      <x:c r="L135" s="99"/>
      <x:c r="M135" s="99"/>
      <x:c r="N135" s="99"/>
      <x:c r="O135" s="99"/>
      <x:c r="P135" s="99"/>
      <x:c r="Q135" s="99"/>
      <x:c r="R135" s="99"/>
      <x:c r="S135" s="99"/>
      <x:c r="T135" s="99"/>
      <x:c r="U135" s="99"/>
      <x:c r="V135" s="99"/>
      <x:c r="W135" s="99"/>
      <x:c r="X135" s="99"/>
      <x:c r="Y135" s="99"/>
      <x:c r="Z135" s="99"/>
    </x:row>
    <x:row r="136">
      <x:c r="A136" s="99"/>
      <x:c r="B136" s="99"/>
      <x:c r="C136" s="99"/>
      <x:c r="D136" s="99"/>
      <x:c r="E136" s="99"/>
      <x:c r="F136" s="99"/>
      <x:c r="G136" s="99"/>
      <x:c r="H136" s="99"/>
      <x:c r="I136" s="99"/>
      <x:c r="J136" s="99"/>
      <x:c r="K136" s="99"/>
      <x:c r="L136" s="99"/>
      <x:c r="M136" s="99"/>
      <x:c r="N136" s="99"/>
      <x:c r="O136" s="99"/>
      <x:c r="P136" s="99"/>
      <x:c r="Q136" s="99"/>
      <x:c r="R136" s="99"/>
      <x:c r="S136" s="99"/>
      <x:c r="T136" s="99"/>
      <x:c r="U136" s="99"/>
      <x:c r="V136" s="99"/>
      <x:c r="W136" s="99"/>
      <x:c r="X136" s="99"/>
      <x:c r="Y136" s="99"/>
      <x:c r="Z136" s="99"/>
    </x:row>
    <x:row r="137">
      <x:c r="A137" s="99"/>
      <x:c r="B137" s="99"/>
      <x:c r="C137" s="99"/>
      <x:c r="D137" s="99"/>
      <x:c r="E137" s="99"/>
      <x:c r="F137" s="99"/>
      <x:c r="G137" s="99"/>
      <x:c r="H137" s="99"/>
      <x:c r="I137" s="99"/>
      <x:c r="J137" s="99"/>
      <x:c r="K137" s="99"/>
      <x:c r="L137" s="99"/>
      <x:c r="M137" s="99"/>
      <x:c r="N137" s="99"/>
      <x:c r="O137" s="99"/>
      <x:c r="P137" s="99"/>
      <x:c r="Q137" s="99"/>
      <x:c r="R137" s="99"/>
      <x:c r="S137" s="99"/>
      <x:c r="T137" s="99"/>
      <x:c r="U137" s="99"/>
      <x:c r="V137" s="99"/>
      <x:c r="W137" s="99"/>
      <x:c r="X137" s="99"/>
      <x:c r="Y137" s="99"/>
      <x:c r="Z137" s="99"/>
    </x:row>
    <x:row r="138">
      <x:c r="A138" s="99"/>
      <x:c r="B138" s="99"/>
      <x:c r="C138" s="99"/>
      <x:c r="D138" s="99"/>
      <x:c r="E138" s="99"/>
      <x:c r="F138" s="99"/>
      <x:c r="G138" s="99"/>
      <x:c r="H138" s="99"/>
      <x:c r="I138" s="99"/>
      <x:c r="J138" s="99"/>
      <x:c r="K138" s="99"/>
      <x:c r="L138" s="99"/>
      <x:c r="M138" s="99"/>
      <x:c r="N138" s="99"/>
      <x:c r="O138" s="99"/>
      <x:c r="P138" s="99"/>
      <x:c r="Q138" s="99"/>
      <x:c r="R138" s="99"/>
      <x:c r="S138" s="99"/>
      <x:c r="T138" s="99"/>
      <x:c r="U138" s="99"/>
      <x:c r="V138" s="99"/>
      <x:c r="W138" s="99"/>
      <x:c r="X138" s="99"/>
      <x:c r="Y138" s="99"/>
      <x:c r="Z138" s="99"/>
    </x:row>
    <x:row r="139">
      <x:c r="A139" s="99"/>
      <x:c r="B139" s="99"/>
      <x:c r="C139" s="99"/>
      <x:c r="D139" s="99"/>
      <x:c r="E139" s="99"/>
      <x:c r="F139" s="99"/>
      <x:c r="G139" s="99"/>
      <x:c r="H139" s="99"/>
      <x:c r="I139" s="99"/>
      <x:c r="J139" s="99"/>
      <x:c r="K139" s="99"/>
      <x:c r="L139" s="99"/>
      <x:c r="M139" s="99"/>
      <x:c r="N139" s="99"/>
      <x:c r="O139" s="99"/>
      <x:c r="P139" s="99"/>
      <x:c r="Q139" s="99"/>
      <x:c r="R139" s="99"/>
      <x:c r="S139" s="99"/>
      <x:c r="T139" s="99"/>
      <x:c r="U139" s="99"/>
      <x:c r="V139" s="99"/>
      <x:c r="W139" s="99"/>
      <x:c r="X139" s="99"/>
      <x:c r="Y139" s="99"/>
      <x:c r="Z139" s="99"/>
    </x:row>
    <x:row r="140">
      <x:c r="A140" s="99"/>
      <x:c r="B140" s="99"/>
      <x:c r="C140" s="99"/>
      <x:c r="D140" s="99"/>
      <x:c r="E140" s="99"/>
      <x:c r="F140" s="99"/>
      <x:c r="G140" s="99"/>
      <x:c r="H140" s="99"/>
      <x:c r="I140" s="99"/>
      <x:c r="J140" s="99"/>
      <x:c r="K140" s="99"/>
      <x:c r="L140" s="99"/>
      <x:c r="M140" s="99"/>
      <x:c r="N140" s="99"/>
      <x:c r="O140" s="99"/>
      <x:c r="P140" s="99"/>
      <x:c r="Q140" s="99"/>
      <x:c r="R140" s="99"/>
      <x:c r="S140" s="99"/>
      <x:c r="T140" s="99"/>
      <x:c r="U140" s="99"/>
      <x:c r="V140" s="99"/>
      <x:c r="W140" s="99"/>
      <x:c r="X140" s="99"/>
      <x:c r="Y140" s="99"/>
      <x:c r="Z140" s="99"/>
    </x:row>
    <x:row r="141">
      <x:c r="A141" s="99"/>
      <x:c r="B141" s="99"/>
      <x:c r="C141" s="99"/>
      <x:c r="D141" s="99"/>
      <x:c r="E141" s="99"/>
      <x:c r="F141" s="99"/>
      <x:c r="G141" s="99"/>
      <x:c r="H141" s="99"/>
      <x:c r="I141" s="99"/>
      <x:c r="J141" s="99"/>
      <x:c r="K141" s="99"/>
      <x:c r="L141" s="99"/>
      <x:c r="M141" s="99"/>
      <x:c r="N141" s="99"/>
      <x:c r="O141" s="99"/>
      <x:c r="P141" s="99"/>
      <x:c r="Q141" s="99"/>
      <x:c r="R141" s="99"/>
      <x:c r="S141" s="99"/>
      <x:c r="T141" s="99"/>
      <x:c r="U141" s="99"/>
      <x:c r="V141" s="99"/>
      <x:c r="W141" s="99"/>
      <x:c r="X141" s="99"/>
      <x:c r="Y141" s="99"/>
      <x:c r="Z141" s="99"/>
    </x:row>
    <x:row r="142">
      <x:c r="A142" s="99"/>
      <x:c r="B142" s="99"/>
      <x:c r="C142" s="99"/>
      <x:c r="D142" s="99"/>
      <x:c r="E142" s="99"/>
      <x:c r="F142" s="99"/>
      <x:c r="G142" s="99"/>
      <x:c r="H142" s="99"/>
      <x:c r="I142" s="99"/>
      <x:c r="J142" s="99"/>
      <x:c r="K142" s="99"/>
      <x:c r="L142" s="99"/>
      <x:c r="M142" s="99"/>
      <x:c r="N142" s="99"/>
      <x:c r="O142" s="99"/>
      <x:c r="P142" s="99"/>
      <x:c r="Q142" s="99"/>
      <x:c r="R142" s="99"/>
      <x:c r="S142" s="99"/>
      <x:c r="T142" s="99"/>
      <x:c r="U142" s="99"/>
      <x:c r="V142" s="99"/>
      <x:c r="W142" s="99"/>
      <x:c r="X142" s="99"/>
      <x:c r="Y142" s="99"/>
      <x:c r="Z142" s="99"/>
    </x:row>
    <x:row r="143">
      <x:c r="A143" s="99"/>
      <x:c r="B143" s="99"/>
      <x:c r="C143" s="99"/>
      <x:c r="D143" s="99"/>
      <x:c r="E143" s="99"/>
      <x:c r="F143" s="99"/>
      <x:c r="G143" s="99"/>
      <x:c r="H143" s="99"/>
      <x:c r="I143" s="99"/>
      <x:c r="J143" s="99"/>
      <x:c r="K143" s="99"/>
      <x:c r="L143" s="99"/>
      <x:c r="M143" s="99"/>
      <x:c r="N143" s="99"/>
      <x:c r="O143" s="99"/>
      <x:c r="P143" s="99"/>
      <x:c r="Q143" s="99"/>
      <x:c r="R143" s="99"/>
      <x:c r="S143" s="99"/>
      <x:c r="T143" s="99"/>
      <x:c r="U143" s="99"/>
      <x:c r="V143" s="99"/>
      <x:c r="W143" s="99"/>
      <x:c r="X143" s="99"/>
      <x:c r="Y143" s="99"/>
      <x:c r="Z143" s="99"/>
    </x:row>
    <x:row r="144">
      <x:c r="A144" s="99"/>
      <x:c r="B144" s="99"/>
      <x:c r="C144" s="99"/>
      <x:c r="D144" s="99"/>
      <x:c r="E144" s="99"/>
      <x:c r="F144" s="99"/>
      <x:c r="G144" s="99"/>
      <x:c r="H144" s="99"/>
      <x:c r="I144" s="99"/>
      <x:c r="J144" s="99"/>
      <x:c r="K144" s="99"/>
      <x:c r="L144" s="99"/>
      <x:c r="M144" s="99"/>
      <x:c r="N144" s="99"/>
      <x:c r="O144" s="99"/>
      <x:c r="P144" s="99"/>
      <x:c r="Q144" s="99"/>
      <x:c r="R144" s="99"/>
      <x:c r="S144" s="99"/>
      <x:c r="T144" s="99"/>
      <x:c r="U144" s="99"/>
      <x:c r="V144" s="99"/>
      <x:c r="W144" s="99"/>
      <x:c r="X144" s="99"/>
      <x:c r="Y144" s="99"/>
      <x:c r="Z144" s="99"/>
    </x:row>
    <x:row r="145">
      <x:c r="A145" s="99"/>
      <x:c r="B145" s="99"/>
      <x:c r="C145" s="99"/>
      <x:c r="D145" s="99"/>
      <x:c r="E145" s="99"/>
      <x:c r="F145" s="99"/>
      <x:c r="G145" s="99"/>
      <x:c r="H145" s="99"/>
      <x:c r="I145" s="99"/>
      <x:c r="J145" s="99"/>
      <x:c r="K145" s="99"/>
      <x:c r="L145" s="99"/>
      <x:c r="M145" s="99"/>
      <x:c r="N145" s="99"/>
      <x:c r="O145" s="99"/>
      <x:c r="P145" s="99"/>
      <x:c r="Q145" s="99"/>
      <x:c r="R145" s="99"/>
      <x:c r="S145" s="99"/>
      <x:c r="T145" s="99"/>
      <x:c r="U145" s="99"/>
      <x:c r="V145" s="99"/>
      <x:c r="W145" s="99"/>
      <x:c r="X145" s="99"/>
      <x:c r="Y145" s="99"/>
      <x:c r="Z145" s="99"/>
    </x:row>
    <x:row r="146">
      <x:c r="A146" s="99"/>
      <x:c r="B146" s="99"/>
      <x:c r="C146" s="99"/>
      <x:c r="D146" s="99"/>
      <x:c r="E146" s="99"/>
      <x:c r="F146" s="99"/>
      <x:c r="G146" s="99"/>
      <x:c r="H146" s="99"/>
      <x:c r="I146" s="99"/>
      <x:c r="J146" s="99"/>
      <x:c r="K146" s="99"/>
      <x:c r="L146" s="99"/>
      <x:c r="M146" s="99"/>
      <x:c r="N146" s="99"/>
      <x:c r="O146" s="99"/>
      <x:c r="P146" s="99"/>
      <x:c r="Q146" s="99"/>
      <x:c r="R146" s="99"/>
      <x:c r="S146" s="99"/>
      <x:c r="T146" s="99"/>
      <x:c r="U146" s="99"/>
      <x:c r="V146" s="99"/>
      <x:c r="W146" s="99"/>
      <x:c r="X146" s="99"/>
      <x:c r="Y146" s="99"/>
      <x:c r="Z146" s="99"/>
    </x:row>
    <x:row r="147">
      <x:c r="A147" s="99"/>
      <x:c r="B147" s="99"/>
      <x:c r="C147" s="99"/>
      <x:c r="D147" s="99"/>
      <x:c r="E147" s="99"/>
      <x:c r="F147" s="99"/>
      <x:c r="G147" s="99"/>
      <x:c r="H147" s="99"/>
      <x:c r="I147" s="99"/>
      <x:c r="J147" s="99"/>
      <x:c r="K147" s="99"/>
      <x:c r="L147" s="99"/>
      <x:c r="M147" s="99"/>
      <x:c r="N147" s="99"/>
      <x:c r="O147" s="99"/>
      <x:c r="P147" s="99"/>
      <x:c r="Q147" s="99"/>
      <x:c r="R147" s="99"/>
      <x:c r="S147" s="99"/>
      <x:c r="T147" s="99"/>
      <x:c r="U147" s="99"/>
      <x:c r="V147" s="99"/>
      <x:c r="W147" s="99"/>
      <x:c r="X147" s="99"/>
      <x:c r="Y147" s="99"/>
      <x:c r="Z147" s="99"/>
    </x:row>
    <x:row r="148">
      <x:c r="A148" s="99"/>
      <x:c r="B148" s="99"/>
      <x:c r="C148" s="99"/>
      <x:c r="D148" s="99"/>
      <x:c r="E148" s="99"/>
      <x:c r="F148" s="99"/>
      <x:c r="G148" s="99"/>
      <x:c r="H148" s="99"/>
      <x:c r="I148" s="99"/>
      <x:c r="J148" s="99"/>
      <x:c r="K148" s="99"/>
      <x:c r="L148" s="99"/>
      <x:c r="M148" s="99"/>
      <x:c r="N148" s="99"/>
      <x:c r="O148" s="99"/>
      <x:c r="P148" s="99"/>
      <x:c r="Q148" s="99"/>
      <x:c r="R148" s="99"/>
      <x:c r="S148" s="99"/>
      <x:c r="T148" s="99"/>
      <x:c r="U148" s="99"/>
      <x:c r="V148" s="99"/>
      <x:c r="W148" s="99"/>
      <x:c r="X148" s="99"/>
      <x:c r="Y148" s="99"/>
      <x:c r="Z148" s="99"/>
    </x:row>
    <x:row r="149">
      <x:c r="A149" s="99"/>
      <x:c r="B149" s="99"/>
      <x:c r="C149" s="99"/>
      <x:c r="D149" s="99"/>
      <x:c r="E149" s="99"/>
      <x:c r="F149" s="99"/>
      <x:c r="G149" s="99"/>
      <x:c r="H149" s="99"/>
      <x:c r="I149" s="99"/>
      <x:c r="J149" s="99"/>
      <x:c r="K149" s="99"/>
      <x:c r="L149" s="99"/>
      <x:c r="M149" s="99"/>
      <x:c r="N149" s="99"/>
      <x:c r="O149" s="99"/>
      <x:c r="P149" s="99"/>
      <x:c r="Q149" s="99"/>
      <x:c r="R149" s="99"/>
      <x:c r="S149" s="99"/>
      <x:c r="T149" s="99"/>
      <x:c r="U149" s="99"/>
      <x:c r="V149" s="99"/>
      <x:c r="W149" s="99"/>
      <x:c r="X149" s="99"/>
      <x:c r="Y149" s="99"/>
      <x:c r="Z149" s="99"/>
    </x:row>
    <x:row r="150">
      <x:c r="A150" s="99"/>
      <x:c r="B150" s="99"/>
      <x:c r="C150" s="99"/>
      <x:c r="D150" s="99"/>
      <x:c r="E150" s="99"/>
      <x:c r="F150" s="99"/>
      <x:c r="G150" s="99"/>
      <x:c r="H150" s="99"/>
      <x:c r="I150" s="99"/>
      <x:c r="J150" s="99"/>
      <x:c r="K150" s="99"/>
      <x:c r="L150" s="99"/>
      <x:c r="M150" s="99"/>
      <x:c r="N150" s="99"/>
      <x:c r="O150" s="99"/>
      <x:c r="P150" s="99"/>
      <x:c r="Q150" s="99"/>
      <x:c r="R150" s="99"/>
      <x:c r="S150" s="99"/>
      <x:c r="T150" s="99"/>
      <x:c r="U150" s="99"/>
      <x:c r="V150" s="99"/>
      <x:c r="W150" s="99"/>
      <x:c r="X150" s="99"/>
      <x:c r="Y150" s="99"/>
      <x:c r="Z150" s="99"/>
    </x:row>
    <x:row r="151">
      <x:c r="A151" s="99"/>
      <x:c r="B151" s="99"/>
      <x:c r="C151" s="99"/>
      <x:c r="D151" s="99"/>
      <x:c r="E151" s="99"/>
      <x:c r="F151" s="99"/>
      <x:c r="G151" s="99"/>
      <x:c r="H151" s="99"/>
      <x:c r="I151" s="99"/>
      <x:c r="J151" s="99"/>
      <x:c r="K151" s="99"/>
      <x:c r="L151" s="99"/>
      <x:c r="M151" s="99"/>
      <x:c r="N151" s="99"/>
      <x:c r="O151" s="99"/>
      <x:c r="P151" s="99"/>
      <x:c r="Q151" s="99"/>
      <x:c r="R151" s="99"/>
      <x:c r="S151" s="99"/>
      <x:c r="T151" s="99"/>
      <x:c r="U151" s="99"/>
      <x:c r="V151" s="99"/>
      <x:c r="W151" s="99"/>
      <x:c r="X151" s="99"/>
      <x:c r="Y151" s="99"/>
      <x:c r="Z151" s="99"/>
    </x:row>
    <x:row r="152">
      <x:c r="A152" s="99"/>
      <x:c r="B152" s="99"/>
      <x:c r="C152" s="99"/>
      <x:c r="D152" s="99"/>
      <x:c r="E152" s="99"/>
      <x:c r="F152" s="99"/>
      <x:c r="G152" s="99"/>
      <x:c r="H152" s="99"/>
      <x:c r="I152" s="99"/>
      <x:c r="J152" s="99"/>
      <x:c r="K152" s="99"/>
      <x:c r="L152" s="99"/>
      <x:c r="M152" s="99"/>
      <x:c r="N152" s="99"/>
      <x:c r="O152" s="99"/>
      <x:c r="P152" s="99"/>
      <x:c r="Q152" s="99"/>
      <x:c r="R152" s="99"/>
      <x:c r="S152" s="99"/>
      <x:c r="T152" s="99"/>
      <x:c r="U152" s="99"/>
      <x:c r="V152" s="99"/>
      <x:c r="W152" s="99"/>
      <x:c r="X152" s="99"/>
      <x:c r="Y152" s="99"/>
      <x:c r="Z152" s="99"/>
    </x:row>
    <x:row r="153">
      <x:c r="A153" s="99"/>
      <x:c r="B153" s="99"/>
      <x:c r="C153" s="99"/>
      <x:c r="D153" s="99"/>
      <x:c r="E153" s="99"/>
      <x:c r="F153" s="99"/>
      <x:c r="G153" s="99"/>
      <x:c r="H153" s="99"/>
      <x:c r="I153" s="99"/>
      <x:c r="J153" s="99"/>
      <x:c r="K153" s="99"/>
      <x:c r="L153" s="99"/>
      <x:c r="M153" s="99"/>
      <x:c r="N153" s="99"/>
      <x:c r="O153" s="99"/>
      <x:c r="P153" s="99"/>
      <x:c r="Q153" s="99"/>
      <x:c r="R153" s="99"/>
      <x:c r="S153" s="99"/>
      <x:c r="T153" s="99"/>
      <x:c r="U153" s="99"/>
      <x:c r="V153" s="99"/>
      <x:c r="W153" s="99"/>
      <x:c r="X153" s="99"/>
      <x:c r="Y153" s="99"/>
      <x:c r="Z153" s="99"/>
    </x:row>
    <x:row r="154">
      <x:c r="A154" s="99"/>
      <x:c r="B154" s="99"/>
      <x:c r="C154" s="99"/>
      <x:c r="D154" s="99"/>
      <x:c r="E154" s="99"/>
      <x:c r="F154" s="99"/>
      <x:c r="G154" s="99"/>
      <x:c r="H154" s="99"/>
      <x:c r="I154" s="99"/>
      <x:c r="J154" s="99"/>
      <x:c r="K154" s="99"/>
      <x:c r="L154" s="99"/>
      <x:c r="M154" s="99"/>
      <x:c r="N154" s="99"/>
      <x:c r="O154" s="99"/>
      <x:c r="P154" s="99"/>
      <x:c r="Q154" s="99"/>
      <x:c r="R154" s="99"/>
      <x:c r="S154" s="99"/>
      <x:c r="T154" s="99"/>
      <x:c r="U154" s="99"/>
      <x:c r="V154" s="99"/>
      <x:c r="W154" s="99"/>
      <x:c r="X154" s="99"/>
      <x:c r="Y154" s="99"/>
      <x:c r="Z154" s="99"/>
    </x:row>
    <x:row r="155">
      <x:c r="A155" s="99"/>
      <x:c r="B155" s="99"/>
      <x:c r="C155" s="99"/>
      <x:c r="D155" s="99"/>
      <x:c r="E155" s="99"/>
      <x:c r="F155" s="99"/>
      <x:c r="G155" s="99"/>
      <x:c r="H155" s="99"/>
      <x:c r="I155" s="99"/>
      <x:c r="J155" s="99"/>
      <x:c r="K155" s="99"/>
      <x:c r="L155" s="99"/>
      <x:c r="M155" s="99"/>
      <x:c r="N155" s="99"/>
      <x:c r="O155" s="99"/>
      <x:c r="P155" s="99"/>
      <x:c r="Q155" s="99"/>
      <x:c r="R155" s="99"/>
      <x:c r="S155" s="99"/>
      <x:c r="T155" s="99"/>
      <x:c r="U155" s="99"/>
      <x:c r="V155" s="99"/>
      <x:c r="W155" s="99"/>
      <x:c r="X155" s="99"/>
      <x:c r="Y155" s="99"/>
      <x:c r="Z155" s="99"/>
    </x:row>
    <x:row r="156">
      <x:c r="A156" s="99"/>
      <x:c r="B156" s="99"/>
      <x:c r="C156" s="99"/>
      <x:c r="D156" s="99"/>
      <x:c r="E156" s="99"/>
      <x:c r="F156" s="99"/>
      <x:c r="G156" s="99"/>
      <x:c r="H156" s="99"/>
      <x:c r="I156" s="99"/>
      <x:c r="J156" s="99"/>
      <x:c r="K156" s="99"/>
      <x:c r="L156" s="99"/>
      <x:c r="M156" s="99"/>
      <x:c r="N156" s="99"/>
      <x:c r="O156" s="99"/>
      <x:c r="P156" s="99"/>
      <x:c r="Q156" s="99"/>
      <x:c r="R156" s="99"/>
      <x:c r="S156" s="99"/>
      <x:c r="T156" s="99"/>
      <x:c r="U156" s="99"/>
      <x:c r="V156" s="99"/>
      <x:c r="W156" s="99"/>
      <x:c r="X156" s="99"/>
      <x:c r="Y156" s="99"/>
      <x:c r="Z156" s="99"/>
    </x:row>
    <x:row r="157">
      <x:c r="A157" s="99"/>
      <x:c r="B157" s="99"/>
      <x:c r="C157" s="99"/>
      <x:c r="D157" s="99"/>
      <x:c r="E157" s="99"/>
      <x:c r="F157" s="99"/>
      <x:c r="G157" s="99"/>
      <x:c r="H157" s="99"/>
      <x:c r="I157" s="99"/>
      <x:c r="J157" s="99"/>
      <x:c r="K157" s="99"/>
      <x:c r="L157" s="99"/>
      <x:c r="M157" s="99"/>
      <x:c r="N157" s="99"/>
      <x:c r="O157" s="99"/>
      <x:c r="P157" s="99"/>
      <x:c r="Q157" s="99"/>
      <x:c r="R157" s="99"/>
      <x:c r="S157" s="99"/>
      <x:c r="T157" s="99"/>
      <x:c r="U157" s="99"/>
      <x:c r="V157" s="99"/>
      <x:c r="W157" s="99"/>
      <x:c r="X157" s="99"/>
      <x:c r="Y157" s="99"/>
      <x:c r="Z157" s="99"/>
    </x:row>
    <x:row r="158">
      <x:c r="A158" s="99"/>
      <x:c r="B158" s="99"/>
      <x:c r="C158" s="99"/>
      <x:c r="D158" s="99"/>
      <x:c r="E158" s="99"/>
      <x:c r="F158" s="99"/>
      <x:c r="G158" s="99"/>
      <x:c r="H158" s="99"/>
      <x:c r="I158" s="99"/>
      <x:c r="J158" s="99"/>
      <x:c r="K158" s="99"/>
      <x:c r="L158" s="99"/>
      <x:c r="M158" s="99"/>
      <x:c r="N158" s="99"/>
      <x:c r="O158" s="99"/>
      <x:c r="P158" s="99"/>
      <x:c r="Q158" s="99"/>
      <x:c r="R158" s="99"/>
      <x:c r="S158" s="99"/>
      <x:c r="T158" s="99"/>
      <x:c r="U158" s="99"/>
      <x:c r="V158" s="99"/>
      <x:c r="W158" s="99"/>
      <x:c r="X158" s="99"/>
      <x:c r="Y158" s="99"/>
      <x:c r="Z158" s="99"/>
    </x:row>
    <x:row r="159">
      <x:c r="A159" s="99"/>
      <x:c r="B159" s="99"/>
      <x:c r="C159" s="99"/>
      <x:c r="D159" s="99"/>
      <x:c r="E159" s="99"/>
      <x:c r="F159" s="99"/>
      <x:c r="G159" s="99"/>
      <x:c r="H159" s="99"/>
      <x:c r="I159" s="99"/>
      <x:c r="J159" s="99"/>
      <x:c r="K159" s="99"/>
      <x:c r="L159" s="99"/>
      <x:c r="M159" s="99"/>
      <x:c r="N159" s="99"/>
      <x:c r="O159" s="99"/>
      <x:c r="P159" s="99"/>
      <x:c r="Q159" s="99"/>
      <x:c r="R159" s="99"/>
      <x:c r="S159" s="99"/>
      <x:c r="T159" s="99"/>
      <x:c r="U159" s="99"/>
      <x:c r="V159" s="99"/>
      <x:c r="W159" s="99"/>
      <x:c r="X159" s="99"/>
      <x:c r="Y159" s="99"/>
      <x:c r="Z159" s="99"/>
    </x:row>
    <x:row r="160">
      <x:c r="A160" s="99"/>
      <x:c r="B160" s="99"/>
      <x:c r="C160" s="99"/>
      <x:c r="D160" s="99"/>
      <x:c r="E160" s="99"/>
      <x:c r="F160" s="99"/>
      <x:c r="G160" s="99"/>
      <x:c r="H160" s="99"/>
      <x:c r="I160" s="99"/>
      <x:c r="J160" s="99"/>
      <x:c r="K160" s="99"/>
      <x:c r="L160" s="99"/>
      <x:c r="M160" s="99"/>
      <x:c r="N160" s="99"/>
      <x:c r="O160" s="99"/>
      <x:c r="P160" s="99"/>
      <x:c r="Q160" s="99"/>
      <x:c r="R160" s="99"/>
      <x:c r="S160" s="99"/>
      <x:c r="T160" s="99"/>
      <x:c r="U160" s="99"/>
      <x:c r="V160" s="99"/>
      <x:c r="W160" s="99"/>
      <x:c r="X160" s="99"/>
      <x:c r="Y160" s="99"/>
      <x:c r="Z160" s="99"/>
    </x:row>
    <x:row r="161">
      <x:c r="A161" s="99"/>
      <x:c r="B161" s="99"/>
      <x:c r="C161" s="99"/>
      <x:c r="D161" s="99"/>
      <x:c r="E161" s="99"/>
      <x:c r="F161" s="99"/>
      <x:c r="G161" s="99"/>
      <x:c r="H161" s="99"/>
      <x:c r="I161" s="99"/>
      <x:c r="J161" s="99"/>
      <x:c r="K161" s="99"/>
      <x:c r="L161" s="99"/>
      <x:c r="M161" s="99"/>
      <x:c r="N161" s="99"/>
      <x:c r="O161" s="99"/>
      <x:c r="P161" s="99"/>
      <x:c r="Q161" s="99"/>
      <x:c r="R161" s="99"/>
      <x:c r="S161" s="99"/>
      <x:c r="T161" s="99"/>
      <x:c r="U161" s="99"/>
      <x:c r="V161" s="99"/>
      <x:c r="W161" s="99"/>
      <x:c r="X161" s="99"/>
      <x:c r="Y161" s="99"/>
      <x:c r="Z161" s="99"/>
    </x:row>
    <x:row r="162">
      <x:c r="A162" s="99"/>
      <x:c r="B162" s="99"/>
      <x:c r="C162" s="99"/>
      <x:c r="D162" s="99"/>
      <x:c r="E162" s="99"/>
      <x:c r="F162" s="99"/>
      <x:c r="G162" s="99"/>
      <x:c r="H162" s="99"/>
      <x:c r="I162" s="99"/>
      <x:c r="J162" s="99"/>
      <x:c r="K162" s="99"/>
      <x:c r="L162" s="99"/>
      <x:c r="M162" s="99"/>
      <x:c r="N162" s="99"/>
      <x:c r="O162" s="99"/>
      <x:c r="P162" s="99"/>
      <x:c r="Q162" s="99"/>
      <x:c r="R162" s="99"/>
      <x:c r="S162" s="99"/>
      <x:c r="T162" s="99"/>
      <x:c r="U162" s="99"/>
      <x:c r="V162" s="99"/>
      <x:c r="W162" s="99"/>
      <x:c r="X162" s="99"/>
      <x:c r="Y162" s="99"/>
      <x:c r="Z162" s="99"/>
    </x:row>
    <x:row r="163">
      <x:c r="A163" s="99"/>
      <x:c r="B163" s="99"/>
      <x:c r="C163" s="99"/>
      <x:c r="D163" s="99"/>
      <x:c r="E163" s="99"/>
      <x:c r="F163" s="99"/>
      <x:c r="G163" s="99"/>
      <x:c r="H163" s="99"/>
      <x:c r="I163" s="99"/>
      <x:c r="J163" s="99"/>
      <x:c r="K163" s="99"/>
      <x:c r="L163" s="99"/>
      <x:c r="M163" s="99"/>
      <x:c r="N163" s="99"/>
      <x:c r="O163" s="99"/>
      <x:c r="P163" s="99"/>
      <x:c r="Q163" s="99"/>
      <x:c r="R163" s="99"/>
      <x:c r="S163" s="99"/>
      <x:c r="T163" s="99"/>
      <x:c r="U163" s="99"/>
      <x:c r="V163" s="99"/>
      <x:c r="W163" s="99"/>
      <x:c r="X163" s="99"/>
      <x:c r="Y163" s="99"/>
      <x:c r="Z163" s="99"/>
    </x:row>
    <x:row r="164">
      <x:c r="A164" s="99"/>
      <x:c r="B164" s="99"/>
      <x:c r="C164" s="99"/>
      <x:c r="D164" s="99"/>
      <x:c r="E164" s="99"/>
      <x:c r="F164" s="99"/>
      <x:c r="G164" s="99"/>
      <x:c r="H164" s="99"/>
      <x:c r="I164" s="99"/>
      <x:c r="J164" s="99"/>
      <x:c r="K164" s="99"/>
      <x:c r="L164" s="99"/>
      <x:c r="M164" s="99"/>
      <x:c r="N164" s="99"/>
      <x:c r="O164" s="99"/>
      <x:c r="P164" s="99"/>
      <x:c r="Q164" s="99"/>
      <x:c r="R164" s="99"/>
      <x:c r="S164" s="99"/>
      <x:c r="T164" s="99"/>
      <x:c r="U164" s="99"/>
      <x:c r="V164" s="99"/>
      <x:c r="W164" s="99"/>
      <x:c r="X164" s="99"/>
      <x:c r="Y164" s="99"/>
      <x:c r="Z164" s="99"/>
    </x:row>
    <x:row r="165">
      <x:c r="A165" s="99"/>
      <x:c r="B165" s="99"/>
      <x:c r="C165" s="99"/>
      <x:c r="D165" s="99"/>
      <x:c r="E165" s="99"/>
      <x:c r="F165" s="99"/>
      <x:c r="G165" s="99"/>
      <x:c r="H165" s="99"/>
      <x:c r="I165" s="99"/>
      <x:c r="J165" s="99"/>
      <x:c r="K165" s="99"/>
      <x:c r="L165" s="99"/>
      <x:c r="M165" s="99"/>
      <x:c r="N165" s="99"/>
      <x:c r="O165" s="99"/>
      <x:c r="P165" s="99"/>
      <x:c r="Q165" s="99"/>
      <x:c r="R165" s="99"/>
      <x:c r="S165" s="99"/>
      <x:c r="T165" s="99"/>
      <x:c r="U165" s="99"/>
      <x:c r="V165" s="99"/>
      <x:c r="W165" s="99"/>
      <x:c r="X165" s="99"/>
      <x:c r="Y165" s="99"/>
      <x:c r="Z165" s="99"/>
    </x:row>
    <x:row r="166">
      <x:c r="A166" s="99"/>
      <x:c r="B166" s="99"/>
      <x:c r="C166" s="99"/>
      <x:c r="D166" s="99"/>
      <x:c r="E166" s="99"/>
      <x:c r="F166" s="99"/>
      <x:c r="G166" s="99"/>
      <x:c r="H166" s="99"/>
      <x:c r="I166" s="99"/>
      <x:c r="J166" s="99"/>
      <x:c r="K166" s="99"/>
      <x:c r="L166" s="99"/>
      <x:c r="M166" s="99"/>
      <x:c r="N166" s="99"/>
      <x:c r="O166" s="99"/>
      <x:c r="P166" s="99"/>
      <x:c r="Q166" s="99"/>
      <x:c r="R166" s="99"/>
      <x:c r="S166" s="99"/>
      <x:c r="T166" s="99"/>
      <x:c r="U166" s="99"/>
      <x:c r="V166" s="99"/>
      <x:c r="W166" s="99"/>
      <x:c r="X166" s="99"/>
      <x:c r="Y166" s="99"/>
      <x:c r="Z166" s="99"/>
    </x:row>
    <x:row r="167">
      <x:c r="A167" s="99"/>
      <x:c r="B167" s="99"/>
      <x:c r="C167" s="99"/>
      <x:c r="D167" s="99"/>
      <x:c r="E167" s="99"/>
      <x:c r="F167" s="99"/>
      <x:c r="G167" s="99"/>
      <x:c r="H167" s="99"/>
      <x:c r="I167" s="99"/>
      <x:c r="J167" s="99"/>
      <x:c r="K167" s="99"/>
      <x:c r="L167" s="99"/>
      <x:c r="M167" s="99"/>
      <x:c r="N167" s="99"/>
      <x:c r="O167" s="99"/>
      <x:c r="P167" s="99"/>
      <x:c r="Q167" s="99"/>
      <x:c r="R167" s="99"/>
      <x:c r="S167" s="99"/>
      <x:c r="T167" s="99"/>
      <x:c r="U167" s="99"/>
      <x:c r="V167" s="99"/>
      <x:c r="W167" s="99"/>
      <x:c r="X167" s="99"/>
      <x:c r="Y167" s="99"/>
      <x:c r="Z167" s="99"/>
    </x:row>
    <x:row r="168">
      <x:c r="A168" s="99"/>
      <x:c r="B168" s="99"/>
      <x:c r="C168" s="99"/>
      <x:c r="D168" s="99"/>
      <x:c r="E168" s="99"/>
      <x:c r="F168" s="99"/>
      <x:c r="G168" s="99"/>
      <x:c r="H168" s="99"/>
      <x:c r="I168" s="99"/>
      <x:c r="J168" s="99"/>
      <x:c r="K168" s="99"/>
      <x:c r="L168" s="99"/>
      <x:c r="M168" s="99"/>
      <x:c r="N168" s="99"/>
      <x:c r="O168" s="99"/>
      <x:c r="P168" s="99"/>
      <x:c r="Q168" s="99"/>
      <x:c r="R168" s="99"/>
      <x:c r="S168" s="99"/>
      <x:c r="T168" s="99"/>
      <x:c r="U168" s="99"/>
      <x:c r="V168" s="99"/>
      <x:c r="W168" s="99"/>
      <x:c r="X168" s="99"/>
      <x:c r="Y168" s="99"/>
      <x:c r="Z168" s="99"/>
    </x:row>
    <x:row r="169">
      <x:c r="A169" s="99"/>
      <x:c r="B169" s="99"/>
      <x:c r="C169" s="99"/>
      <x:c r="D169" s="99"/>
      <x:c r="E169" s="99"/>
      <x:c r="F169" s="99"/>
      <x:c r="G169" s="99"/>
      <x:c r="H169" s="99"/>
      <x:c r="I169" s="99"/>
      <x:c r="J169" s="99"/>
      <x:c r="K169" s="99"/>
      <x:c r="L169" s="99"/>
      <x:c r="M169" s="99"/>
      <x:c r="N169" s="99"/>
      <x:c r="O169" s="99"/>
      <x:c r="P169" s="99"/>
      <x:c r="Q169" s="99"/>
      <x:c r="R169" s="99"/>
      <x:c r="S169" s="99"/>
      <x:c r="T169" s="99"/>
      <x:c r="U169" s="99"/>
      <x:c r="V169" s="99"/>
      <x:c r="W169" s="99"/>
      <x:c r="X169" s="99"/>
      <x:c r="Y169" s="99"/>
      <x:c r="Z169" s="99"/>
    </x:row>
    <x:row r="170">
      <x:c r="A170" s="99"/>
      <x:c r="B170" s="99"/>
      <x:c r="C170" s="99"/>
      <x:c r="D170" s="99"/>
      <x:c r="E170" s="99"/>
      <x:c r="F170" s="99"/>
      <x:c r="G170" s="99"/>
      <x:c r="H170" s="99"/>
      <x:c r="I170" s="99"/>
      <x:c r="J170" s="99"/>
      <x:c r="K170" s="99"/>
      <x:c r="L170" s="99"/>
      <x:c r="M170" s="99"/>
      <x:c r="N170" s="99"/>
      <x:c r="O170" s="99"/>
      <x:c r="P170" s="99"/>
      <x:c r="Q170" s="99"/>
      <x:c r="R170" s="99"/>
      <x:c r="S170" s="99"/>
      <x:c r="T170" s="99"/>
      <x:c r="U170" s="99"/>
      <x:c r="V170" s="99"/>
      <x:c r="W170" s="99"/>
      <x:c r="X170" s="99"/>
      <x:c r="Y170" s="99"/>
      <x:c r="Z170" s="99"/>
    </x:row>
    <x:row r="171">
      <x:c r="A171" s="99"/>
      <x:c r="B171" s="99"/>
      <x:c r="C171" s="99"/>
      <x:c r="D171" s="99"/>
      <x:c r="E171" s="99"/>
      <x:c r="F171" s="99"/>
      <x:c r="G171" s="99"/>
      <x:c r="H171" s="99"/>
      <x:c r="I171" s="99"/>
      <x:c r="J171" s="99"/>
      <x:c r="K171" s="99"/>
      <x:c r="L171" s="99"/>
      <x:c r="M171" s="99"/>
      <x:c r="N171" s="99"/>
      <x:c r="O171" s="99"/>
      <x:c r="P171" s="99"/>
      <x:c r="Q171" s="99"/>
      <x:c r="R171" s="99"/>
      <x:c r="S171" s="99"/>
      <x:c r="T171" s="99"/>
      <x:c r="U171" s="99"/>
      <x:c r="V171" s="99"/>
      <x:c r="W171" s="99"/>
      <x:c r="X171" s="99"/>
      <x:c r="Y171" s="99"/>
      <x:c r="Z171" s="99"/>
    </x:row>
    <x:row r="172">
      <x:c r="A172" s="99"/>
      <x:c r="B172" s="99"/>
      <x:c r="C172" s="99"/>
      <x:c r="D172" s="99"/>
      <x:c r="E172" s="99"/>
      <x:c r="F172" s="99"/>
      <x:c r="G172" s="99"/>
      <x:c r="H172" s="99"/>
      <x:c r="I172" s="99"/>
      <x:c r="J172" s="99"/>
      <x:c r="K172" s="99"/>
      <x:c r="L172" s="99"/>
      <x:c r="M172" s="99"/>
      <x:c r="N172" s="99"/>
      <x:c r="O172" s="99"/>
      <x:c r="P172" s="99"/>
      <x:c r="Q172" s="99"/>
      <x:c r="R172" s="99"/>
      <x:c r="S172" s="99"/>
      <x:c r="T172" s="99"/>
      <x:c r="U172" s="99"/>
      <x:c r="V172" s="99"/>
      <x:c r="W172" s="99"/>
      <x:c r="X172" s="99"/>
      <x:c r="Y172" s="99"/>
      <x:c r="Z172" s="99"/>
    </x:row>
    <x:row r="173">
      <x:c r="A173" s="99"/>
      <x:c r="B173" s="99"/>
      <x:c r="C173" s="99"/>
      <x:c r="D173" s="99"/>
      <x:c r="E173" s="99"/>
      <x:c r="F173" s="99"/>
      <x:c r="G173" s="99"/>
      <x:c r="H173" s="99"/>
      <x:c r="I173" s="99"/>
      <x:c r="J173" s="99"/>
      <x:c r="K173" s="99"/>
      <x:c r="L173" s="99"/>
      <x:c r="M173" s="99"/>
      <x:c r="N173" s="99"/>
      <x:c r="O173" s="99"/>
      <x:c r="P173" s="99"/>
      <x:c r="Q173" s="99"/>
      <x:c r="R173" s="99"/>
      <x:c r="S173" s="99"/>
      <x:c r="T173" s="99"/>
      <x:c r="U173" s="99"/>
      <x:c r="V173" s="99"/>
      <x:c r="W173" s="99"/>
      <x:c r="X173" s="99"/>
      <x:c r="Y173" s="99"/>
      <x:c r="Z173" s="99"/>
    </x:row>
    <x:row r="174">
      <x:c r="A174" s="99"/>
      <x:c r="B174" s="99"/>
      <x:c r="C174" s="99"/>
      <x:c r="D174" s="99"/>
      <x:c r="E174" s="99"/>
      <x:c r="F174" s="99"/>
      <x:c r="G174" s="99"/>
      <x:c r="H174" s="99"/>
      <x:c r="I174" s="99"/>
      <x:c r="J174" s="99"/>
      <x:c r="K174" s="99"/>
      <x:c r="L174" s="99"/>
      <x:c r="M174" s="99"/>
      <x:c r="N174" s="99"/>
      <x:c r="O174" s="99"/>
      <x:c r="P174" s="99"/>
      <x:c r="Q174" s="99"/>
      <x:c r="R174" s="99"/>
      <x:c r="S174" s="99"/>
      <x:c r="T174" s="99"/>
      <x:c r="U174" s="99"/>
      <x:c r="V174" s="99"/>
      <x:c r="W174" s="99"/>
      <x:c r="X174" s="99"/>
      <x:c r="Y174" s="99"/>
      <x:c r="Z174" s="99"/>
    </x:row>
    <x:row r="175">
      <x:c r="A175" s="99"/>
      <x:c r="B175" s="99"/>
      <x:c r="C175" s="99"/>
      <x:c r="D175" s="99"/>
      <x:c r="E175" s="99"/>
      <x:c r="F175" s="99"/>
      <x:c r="G175" s="99"/>
      <x:c r="H175" s="99"/>
      <x:c r="I175" s="99"/>
      <x:c r="J175" s="99"/>
      <x:c r="K175" s="99"/>
      <x:c r="L175" s="99"/>
      <x:c r="M175" s="99"/>
      <x:c r="N175" s="99"/>
      <x:c r="O175" s="99"/>
      <x:c r="P175" s="99"/>
      <x:c r="Q175" s="99"/>
      <x:c r="R175" s="99"/>
      <x:c r="S175" s="99"/>
      <x:c r="T175" s="99"/>
      <x:c r="U175" s="99"/>
      <x:c r="V175" s="99"/>
      <x:c r="W175" s="99"/>
      <x:c r="X175" s="99"/>
      <x:c r="Y175" s="99"/>
      <x:c r="Z175" s="99"/>
    </x:row>
    <x:row r="176">
      <x:c r="A176" s="99"/>
      <x:c r="B176" s="99"/>
      <x:c r="C176" s="99"/>
      <x:c r="D176" s="99"/>
      <x:c r="E176" s="99"/>
      <x:c r="F176" s="99"/>
      <x:c r="G176" s="99"/>
      <x:c r="H176" s="99"/>
      <x:c r="I176" s="99"/>
      <x:c r="J176" s="99"/>
      <x:c r="K176" s="99"/>
      <x:c r="L176" s="99"/>
      <x:c r="M176" s="99"/>
      <x:c r="N176" s="99"/>
      <x:c r="O176" s="99"/>
      <x:c r="P176" s="99"/>
      <x:c r="Q176" s="99"/>
      <x:c r="R176" s="99"/>
      <x:c r="S176" s="99"/>
      <x:c r="T176" s="99"/>
      <x:c r="U176" s="99"/>
      <x:c r="V176" s="99"/>
      <x:c r="W176" s="99"/>
      <x:c r="X176" s="99"/>
      <x:c r="Y176" s="99"/>
      <x:c r="Z176" s="99"/>
    </x:row>
    <x:row r="177">
      <x:c r="A177" s="99"/>
      <x:c r="B177" s="99"/>
      <x:c r="C177" s="99"/>
      <x:c r="D177" s="99"/>
      <x:c r="E177" s="99"/>
      <x:c r="F177" s="99"/>
      <x:c r="G177" s="99"/>
      <x:c r="H177" s="99"/>
      <x:c r="I177" s="99"/>
      <x:c r="J177" s="99"/>
      <x:c r="K177" s="99"/>
      <x:c r="L177" s="99"/>
      <x:c r="M177" s="99"/>
      <x:c r="N177" s="99"/>
      <x:c r="O177" s="99"/>
      <x:c r="P177" s="99"/>
      <x:c r="Q177" s="99"/>
      <x:c r="R177" s="99"/>
      <x:c r="S177" s="99"/>
      <x:c r="T177" s="99"/>
      <x:c r="U177" s="99"/>
      <x:c r="V177" s="99"/>
      <x:c r="W177" s="99"/>
      <x:c r="X177" s="99"/>
      <x:c r="Y177" s="99"/>
      <x:c r="Z177" s="99"/>
    </x:row>
    <x:row r="178">
      <x:c r="A178" s="99"/>
      <x:c r="B178" s="99"/>
      <x:c r="C178" s="99"/>
      <x:c r="D178" s="99"/>
      <x:c r="E178" s="99"/>
      <x:c r="F178" s="99"/>
      <x:c r="G178" s="99"/>
      <x:c r="H178" s="99"/>
      <x:c r="I178" s="99"/>
      <x:c r="J178" s="99"/>
      <x:c r="K178" s="99"/>
      <x:c r="L178" s="99"/>
      <x:c r="M178" s="99"/>
      <x:c r="N178" s="99"/>
      <x:c r="O178" s="99"/>
      <x:c r="P178" s="99"/>
      <x:c r="Q178" s="99"/>
      <x:c r="R178" s="99"/>
      <x:c r="S178" s="99"/>
      <x:c r="T178" s="99"/>
      <x:c r="U178" s="99"/>
      <x:c r="V178" s="99"/>
      <x:c r="W178" s="99"/>
      <x:c r="X178" s="99"/>
      <x:c r="Y178" s="99"/>
      <x:c r="Z178" s="99"/>
    </x:row>
    <x:row r="179">
      <x:c r="A179" s="99"/>
      <x:c r="B179" s="99"/>
      <x:c r="C179" s="99"/>
      <x:c r="D179" s="99"/>
      <x:c r="E179" s="99"/>
      <x:c r="F179" s="99"/>
      <x:c r="G179" s="99"/>
      <x:c r="H179" s="99"/>
      <x:c r="I179" s="99"/>
      <x:c r="J179" s="99"/>
      <x:c r="K179" s="99"/>
      <x:c r="L179" s="99"/>
      <x:c r="M179" s="99"/>
      <x:c r="N179" s="99"/>
      <x:c r="O179" s="99"/>
      <x:c r="P179" s="99"/>
      <x:c r="Q179" s="99"/>
      <x:c r="R179" s="99"/>
      <x:c r="S179" s="99"/>
      <x:c r="T179" s="99"/>
      <x:c r="U179" s="99"/>
      <x:c r="V179" s="99"/>
      <x:c r="W179" s="99"/>
      <x:c r="X179" s="99"/>
      <x:c r="Y179" s="99"/>
      <x:c r="Z179" s="99"/>
    </x:row>
    <x:row r="180">
      <x:c r="A180" s="99"/>
      <x:c r="B180" s="99"/>
      <x:c r="C180" s="99"/>
      <x:c r="D180" s="99"/>
      <x:c r="E180" s="99"/>
      <x:c r="F180" s="99"/>
      <x:c r="G180" s="99"/>
      <x:c r="H180" s="99"/>
      <x:c r="I180" s="99"/>
      <x:c r="J180" s="99"/>
      <x:c r="K180" s="99"/>
      <x:c r="L180" s="99"/>
      <x:c r="M180" s="99"/>
      <x:c r="N180" s="99"/>
      <x:c r="O180" s="99"/>
      <x:c r="P180" s="99"/>
      <x:c r="Q180" s="99"/>
      <x:c r="R180" s="99"/>
      <x:c r="S180" s="99"/>
      <x:c r="T180" s="99"/>
      <x:c r="U180" s="99"/>
      <x:c r="V180" s="99"/>
      <x:c r="W180" s="99"/>
      <x:c r="X180" s="99"/>
      <x:c r="Y180" s="99"/>
      <x:c r="Z180" s="99"/>
    </x:row>
    <x:row r="181">
      <x:c r="A181" s="99"/>
      <x:c r="B181" s="99"/>
      <x:c r="C181" s="99"/>
      <x:c r="D181" s="99"/>
      <x:c r="E181" s="99"/>
      <x:c r="F181" s="99"/>
      <x:c r="G181" s="99"/>
      <x:c r="H181" s="99"/>
      <x:c r="I181" s="99"/>
      <x:c r="J181" s="99"/>
      <x:c r="K181" s="99"/>
      <x:c r="L181" s="99"/>
      <x:c r="M181" s="99"/>
      <x:c r="N181" s="99"/>
      <x:c r="O181" s="99"/>
      <x:c r="P181" s="99"/>
      <x:c r="Q181" s="99"/>
      <x:c r="R181" s="99"/>
      <x:c r="S181" s="99"/>
      <x:c r="T181" s="99"/>
      <x:c r="U181" s="99"/>
      <x:c r="V181" s="99"/>
      <x:c r="W181" s="99"/>
      <x:c r="X181" s="99"/>
      <x:c r="Y181" s="99"/>
      <x:c r="Z181" s="99"/>
    </x:row>
    <x:row r="182">
      <x:c r="A182" s="99"/>
      <x:c r="B182" s="99"/>
      <x:c r="C182" s="99"/>
      <x:c r="D182" s="99"/>
      <x:c r="E182" s="99"/>
      <x:c r="F182" s="99"/>
      <x:c r="G182" s="99"/>
      <x:c r="H182" s="99"/>
      <x:c r="I182" s="99"/>
      <x:c r="J182" s="99"/>
      <x:c r="K182" s="99"/>
      <x:c r="L182" s="99"/>
      <x:c r="M182" s="99"/>
      <x:c r="N182" s="99"/>
      <x:c r="O182" s="99"/>
      <x:c r="P182" s="99"/>
      <x:c r="Q182" s="99"/>
      <x:c r="R182" s="99"/>
      <x:c r="S182" s="99"/>
      <x:c r="T182" s="99"/>
      <x:c r="U182" s="99"/>
      <x:c r="V182" s="99"/>
      <x:c r="W182" s="99"/>
      <x:c r="X182" s="99"/>
      <x:c r="Y182" s="99"/>
      <x:c r="Z182" s="99"/>
    </x:row>
    <x:row r="183">
      <x:c r="A183" s="99"/>
      <x:c r="B183" s="99"/>
      <x:c r="C183" s="99"/>
      <x:c r="D183" s="99"/>
      <x:c r="E183" s="99"/>
      <x:c r="F183" s="99"/>
      <x:c r="G183" s="99"/>
      <x:c r="H183" s="99"/>
      <x:c r="I183" s="99"/>
      <x:c r="J183" s="99"/>
      <x:c r="K183" s="99"/>
      <x:c r="L183" s="99"/>
      <x:c r="M183" s="99"/>
      <x:c r="N183" s="99"/>
      <x:c r="O183" s="99"/>
      <x:c r="P183" s="99"/>
      <x:c r="Q183" s="99"/>
      <x:c r="R183" s="99"/>
      <x:c r="S183" s="99"/>
      <x:c r="T183" s="99"/>
      <x:c r="U183" s="99"/>
      <x:c r="V183" s="99"/>
      <x:c r="W183" s="99"/>
      <x:c r="X183" s="99"/>
      <x:c r="Y183" s="99"/>
      <x:c r="Z183" s="99"/>
    </x:row>
    <x:row r="184">
      <x:c r="A184" s="99"/>
      <x:c r="B184" s="99"/>
      <x:c r="C184" s="99"/>
      <x:c r="D184" s="99"/>
      <x:c r="E184" s="99"/>
      <x:c r="F184" s="99"/>
      <x:c r="G184" s="99"/>
      <x:c r="H184" s="99"/>
      <x:c r="I184" s="99"/>
      <x:c r="J184" s="99"/>
      <x:c r="K184" s="99"/>
      <x:c r="L184" s="99"/>
      <x:c r="M184" s="99"/>
      <x:c r="N184" s="99"/>
      <x:c r="O184" s="99"/>
      <x:c r="P184" s="99"/>
      <x:c r="Q184" s="99"/>
      <x:c r="R184" s="99"/>
      <x:c r="S184" s="99"/>
      <x:c r="T184" s="99"/>
      <x:c r="U184" s="99"/>
      <x:c r="V184" s="99"/>
      <x:c r="W184" s="99"/>
      <x:c r="X184" s="99"/>
      <x:c r="Y184" s="99"/>
      <x:c r="Z184" s="99"/>
    </x:row>
    <x:row r="185">
      <x:c r="A185" s="99"/>
      <x:c r="B185" s="99"/>
      <x:c r="C185" s="99"/>
      <x:c r="D185" s="99"/>
      <x:c r="E185" s="99"/>
      <x:c r="F185" s="99"/>
      <x:c r="G185" s="99"/>
      <x:c r="H185" s="99"/>
      <x:c r="I185" s="99"/>
      <x:c r="J185" s="99"/>
      <x:c r="K185" s="99"/>
      <x:c r="L185" s="99"/>
      <x:c r="M185" s="99"/>
      <x:c r="N185" s="99"/>
      <x:c r="O185" s="99"/>
      <x:c r="P185" s="99"/>
      <x:c r="Q185" s="99"/>
      <x:c r="R185" s="99"/>
      <x:c r="S185" s="99"/>
      <x:c r="T185" s="99"/>
      <x:c r="U185" s="99"/>
      <x:c r="V185" s="99"/>
      <x:c r="W185" s="99"/>
      <x:c r="X185" s="99"/>
      <x:c r="Y185" s="99"/>
      <x:c r="Z185" s="99"/>
    </x:row>
    <x:row r="186">
      <x:c r="A186" s="99"/>
      <x:c r="B186" s="99"/>
      <x:c r="C186" s="99"/>
      <x:c r="D186" s="99"/>
      <x:c r="E186" s="99"/>
      <x:c r="F186" s="99"/>
      <x:c r="G186" s="99"/>
      <x:c r="H186" s="99"/>
      <x:c r="I186" s="99"/>
      <x:c r="J186" s="99"/>
      <x:c r="K186" s="99"/>
      <x:c r="L186" s="99"/>
      <x:c r="M186" s="99"/>
      <x:c r="N186" s="99"/>
      <x:c r="O186" s="99"/>
      <x:c r="P186" s="99"/>
      <x:c r="Q186" s="99"/>
      <x:c r="R186" s="99"/>
      <x:c r="S186" s="99"/>
      <x:c r="T186" s="99"/>
      <x:c r="U186" s="99"/>
      <x:c r="V186" s="99"/>
      <x:c r="W186" s="99"/>
      <x:c r="X186" s="99"/>
      <x:c r="Y186" s="99"/>
      <x:c r="Z186" s="99"/>
    </x:row>
    <x:row r="187">
      <x:c r="A187" s="99"/>
      <x:c r="B187" s="99"/>
      <x:c r="C187" s="99"/>
      <x:c r="D187" s="99"/>
      <x:c r="E187" s="99"/>
      <x:c r="F187" s="99"/>
      <x:c r="G187" s="99"/>
      <x:c r="H187" s="99"/>
      <x:c r="I187" s="99"/>
      <x:c r="J187" s="99"/>
      <x:c r="K187" s="99"/>
      <x:c r="L187" s="99"/>
      <x:c r="M187" s="99"/>
      <x:c r="N187" s="99"/>
      <x:c r="O187" s="99"/>
      <x:c r="P187" s="99"/>
      <x:c r="Q187" s="99"/>
      <x:c r="R187" s="99"/>
      <x:c r="S187" s="99"/>
      <x:c r="T187" s="99"/>
      <x:c r="U187" s="99"/>
      <x:c r="V187" s="99"/>
      <x:c r="W187" s="99"/>
      <x:c r="X187" s="99"/>
      <x:c r="Y187" s="99"/>
      <x:c r="Z187" s="99"/>
    </x:row>
    <x:row r="188">
      <x:c r="A188" s="99"/>
      <x:c r="B188" s="99"/>
      <x:c r="C188" s="99"/>
      <x:c r="D188" s="99"/>
      <x:c r="E188" s="99"/>
      <x:c r="F188" s="99"/>
      <x:c r="G188" s="99"/>
      <x:c r="H188" s="99"/>
      <x:c r="I188" s="99"/>
      <x:c r="J188" s="99"/>
      <x:c r="K188" s="99"/>
      <x:c r="L188" s="99"/>
      <x:c r="M188" s="99"/>
      <x:c r="N188" s="99"/>
      <x:c r="O188" s="99"/>
      <x:c r="P188" s="99"/>
      <x:c r="Q188" s="99"/>
      <x:c r="R188" s="99"/>
      <x:c r="S188" s="99"/>
      <x:c r="T188" s="99"/>
      <x:c r="U188" s="99"/>
      <x:c r="V188" s="99"/>
      <x:c r="W188" s="99"/>
      <x:c r="X188" s="99"/>
      <x:c r="Y188" s="99"/>
      <x:c r="Z188" s="99"/>
    </x:row>
    <x:row r="189">
      <x:c r="A189" s="99"/>
      <x:c r="B189" s="99"/>
      <x:c r="C189" s="99"/>
      <x:c r="D189" s="99"/>
      <x:c r="E189" s="99"/>
      <x:c r="F189" s="99"/>
      <x:c r="G189" s="99"/>
      <x:c r="H189" s="99"/>
      <x:c r="I189" s="99"/>
      <x:c r="J189" s="99"/>
      <x:c r="K189" s="99"/>
      <x:c r="L189" s="99"/>
      <x:c r="M189" s="99"/>
      <x:c r="N189" s="99"/>
      <x:c r="O189" s="99"/>
      <x:c r="P189" s="99"/>
      <x:c r="Q189" s="99"/>
      <x:c r="R189" s="99"/>
      <x:c r="S189" s="99"/>
      <x:c r="T189" s="99"/>
      <x:c r="U189" s="99"/>
      <x:c r="V189" s="99"/>
      <x:c r="W189" s="99"/>
      <x:c r="X189" s="99"/>
      <x:c r="Y189" s="99"/>
      <x:c r="Z189" s="99"/>
    </x:row>
    <x:row r="190">
      <x:c r="A190" s="99"/>
      <x:c r="B190" s="99"/>
      <x:c r="C190" s="99"/>
      <x:c r="D190" s="99"/>
      <x:c r="E190" s="99"/>
      <x:c r="F190" s="99"/>
      <x:c r="G190" s="99"/>
      <x:c r="H190" s="99"/>
      <x:c r="I190" s="99"/>
      <x:c r="J190" s="99"/>
      <x:c r="K190" s="99"/>
      <x:c r="L190" s="99"/>
      <x:c r="M190" s="99"/>
      <x:c r="N190" s="99"/>
      <x:c r="O190" s="99"/>
      <x:c r="P190" s="99"/>
      <x:c r="Q190" s="99"/>
      <x:c r="R190" s="99"/>
      <x:c r="S190" s="99"/>
      <x:c r="T190" s="99"/>
      <x:c r="U190" s="99"/>
      <x:c r="V190" s="99"/>
      <x:c r="W190" s="99"/>
      <x:c r="X190" s="99"/>
      <x:c r="Y190" s="99"/>
      <x:c r="Z190" s="99"/>
    </x:row>
    <x:row r="191">
      <x:c r="A191" s="99"/>
      <x:c r="B191" s="99"/>
      <x:c r="C191" s="99"/>
      <x:c r="D191" s="99"/>
      <x:c r="E191" s="99"/>
      <x:c r="F191" s="99"/>
      <x:c r="G191" s="99"/>
      <x:c r="H191" s="99"/>
      <x:c r="I191" s="99"/>
      <x:c r="J191" s="99"/>
      <x:c r="K191" s="99"/>
      <x:c r="L191" s="99"/>
      <x:c r="M191" s="99"/>
      <x:c r="N191" s="99"/>
      <x:c r="O191" s="99"/>
      <x:c r="P191" s="99"/>
      <x:c r="Q191" s="99"/>
      <x:c r="R191" s="99"/>
      <x:c r="S191" s="99"/>
      <x:c r="T191" s="99"/>
      <x:c r="U191" s="99"/>
      <x:c r="V191" s="99"/>
      <x:c r="W191" s="99"/>
      <x:c r="X191" s="99"/>
      <x:c r="Y191" s="99"/>
      <x:c r="Z191" s="99"/>
    </x:row>
    <x:row r="192">
      <x:c r="A192" s="99"/>
      <x:c r="B192" s="99"/>
      <x:c r="C192" s="99"/>
      <x:c r="D192" s="99"/>
      <x:c r="E192" s="99"/>
      <x:c r="F192" s="99"/>
      <x:c r="G192" s="99"/>
      <x:c r="H192" s="99"/>
      <x:c r="I192" s="99"/>
      <x:c r="J192" s="99"/>
      <x:c r="K192" s="99"/>
      <x:c r="L192" s="99"/>
      <x:c r="M192" s="99"/>
      <x:c r="N192" s="99"/>
      <x:c r="O192" s="99"/>
      <x:c r="P192" s="99"/>
      <x:c r="Q192" s="99"/>
      <x:c r="R192" s="99"/>
      <x:c r="S192" s="99"/>
      <x:c r="T192" s="99"/>
      <x:c r="U192" s="99"/>
      <x:c r="V192" s="99"/>
      <x:c r="W192" s="99"/>
      <x:c r="X192" s="99"/>
      <x:c r="Y192" s="99"/>
      <x:c r="Z192" s="99"/>
    </x:row>
    <x:row r="193">
      <x:c r="A193" s="99"/>
      <x:c r="B193" s="99"/>
      <x:c r="C193" s="99"/>
      <x:c r="D193" s="99"/>
      <x:c r="E193" s="99"/>
      <x:c r="F193" s="99"/>
      <x:c r="G193" s="99"/>
      <x:c r="H193" s="99"/>
      <x:c r="I193" s="99"/>
      <x:c r="J193" s="99"/>
      <x:c r="K193" s="99"/>
      <x:c r="L193" s="99"/>
      <x:c r="M193" s="99"/>
      <x:c r="N193" s="99"/>
      <x:c r="O193" s="99"/>
      <x:c r="P193" s="99"/>
      <x:c r="Q193" s="99"/>
      <x:c r="R193" s="99"/>
      <x:c r="S193" s="99"/>
      <x:c r="T193" s="99"/>
      <x:c r="U193" s="99"/>
      <x:c r="V193" s="99"/>
      <x:c r="W193" s="99"/>
      <x:c r="X193" s="99"/>
      <x:c r="Y193" s="99"/>
      <x:c r="Z193" s="99"/>
    </x:row>
    <x:row r="194">
      <x:c r="A194" s="99"/>
      <x:c r="B194" s="99"/>
      <x:c r="C194" s="99"/>
      <x:c r="D194" s="99"/>
      <x:c r="E194" s="99"/>
      <x:c r="F194" s="99"/>
      <x:c r="G194" s="99"/>
      <x:c r="H194" s="99"/>
      <x:c r="I194" s="99"/>
      <x:c r="J194" s="99"/>
      <x:c r="K194" s="99"/>
      <x:c r="L194" s="99"/>
      <x:c r="M194" s="99"/>
      <x:c r="N194" s="99"/>
      <x:c r="O194" s="99"/>
      <x:c r="P194" s="99"/>
      <x:c r="Q194" s="99"/>
      <x:c r="R194" s="99"/>
      <x:c r="S194" s="99"/>
      <x:c r="T194" s="99"/>
      <x:c r="U194" s="99"/>
      <x:c r="V194" s="99"/>
      <x:c r="W194" s="99"/>
      <x:c r="X194" s="99"/>
      <x:c r="Y194" s="99"/>
      <x:c r="Z194" s="99"/>
    </x:row>
    <x:row r="195">
      <x:c r="A195" s="99"/>
      <x:c r="B195" s="99"/>
      <x:c r="C195" s="99"/>
      <x:c r="D195" s="99"/>
      <x:c r="E195" s="99"/>
      <x:c r="F195" s="99"/>
      <x:c r="G195" s="99"/>
      <x:c r="H195" s="99"/>
      <x:c r="I195" s="99"/>
      <x:c r="J195" s="99"/>
      <x:c r="K195" s="99"/>
      <x:c r="L195" s="99"/>
      <x:c r="M195" s="99"/>
      <x:c r="N195" s="99"/>
      <x:c r="O195" s="99"/>
      <x:c r="P195" s="99"/>
      <x:c r="Q195" s="99"/>
      <x:c r="R195" s="99"/>
      <x:c r="S195" s="99"/>
      <x:c r="T195" s="99"/>
      <x:c r="U195" s="99"/>
      <x:c r="V195" s="99"/>
      <x:c r="W195" s="99"/>
      <x:c r="X195" s="99"/>
      <x:c r="Y195" s="99"/>
      <x:c r="Z195" s="99"/>
    </x:row>
    <x:row r="196">
      <x:c r="A196" s="99"/>
      <x:c r="B196" s="99"/>
      <x:c r="C196" s="99"/>
      <x:c r="D196" s="99"/>
      <x:c r="E196" s="99"/>
      <x:c r="F196" s="99"/>
      <x:c r="G196" s="99"/>
      <x:c r="H196" s="99"/>
      <x:c r="I196" s="99"/>
      <x:c r="J196" s="99"/>
      <x:c r="K196" s="99"/>
      <x:c r="L196" s="99"/>
      <x:c r="M196" s="99"/>
      <x:c r="N196" s="99"/>
      <x:c r="O196" s="99"/>
      <x:c r="P196" s="99"/>
      <x:c r="Q196" s="99"/>
      <x:c r="R196" s="99"/>
      <x:c r="S196" s="99"/>
      <x:c r="T196" s="99"/>
      <x:c r="U196" s="99"/>
      <x:c r="V196" s="99"/>
      <x:c r="W196" s="99"/>
      <x:c r="X196" s="99"/>
      <x:c r="Y196" s="99"/>
      <x:c r="Z196" s="99"/>
    </x:row>
    <x:row r="197">
      <x:c r="A197" s="99"/>
      <x:c r="B197" s="99"/>
      <x:c r="C197" s="99"/>
      <x:c r="D197" s="99"/>
      <x:c r="E197" s="99"/>
      <x:c r="F197" s="99"/>
      <x:c r="G197" s="99"/>
      <x:c r="H197" s="99"/>
      <x:c r="I197" s="99"/>
      <x:c r="J197" s="99"/>
      <x:c r="K197" s="99"/>
      <x:c r="L197" s="99"/>
      <x:c r="M197" s="99"/>
      <x:c r="N197" s="99"/>
      <x:c r="O197" s="99"/>
      <x:c r="P197" s="99"/>
      <x:c r="Q197" s="99"/>
      <x:c r="R197" s="99"/>
      <x:c r="S197" s="99"/>
      <x:c r="T197" s="99"/>
      <x:c r="U197" s="99"/>
      <x:c r="V197" s="99"/>
      <x:c r="W197" s="99"/>
      <x:c r="X197" s="99"/>
      <x:c r="Y197" s="99"/>
      <x:c r="Z197" s="99"/>
    </x:row>
    <x:row r="198">
      <x:c r="A198" s="99"/>
      <x:c r="B198" s="99"/>
      <x:c r="C198" s="99"/>
      <x:c r="D198" s="99"/>
      <x:c r="E198" s="99"/>
      <x:c r="F198" s="99"/>
      <x:c r="G198" s="99"/>
      <x:c r="H198" s="99"/>
      <x:c r="I198" s="99"/>
      <x:c r="J198" s="99"/>
      <x:c r="K198" s="99"/>
      <x:c r="L198" s="99"/>
      <x:c r="M198" s="99"/>
      <x:c r="N198" s="99"/>
      <x:c r="O198" s="99"/>
      <x:c r="P198" s="99"/>
      <x:c r="Q198" s="99"/>
      <x:c r="R198" s="99"/>
      <x:c r="S198" s="99"/>
      <x:c r="T198" s="99"/>
      <x:c r="U198" s="99"/>
      <x:c r="V198" s="99"/>
      <x:c r="W198" s="99"/>
      <x:c r="X198" s="99"/>
      <x:c r="Y198" s="99"/>
      <x:c r="Z198" s="99"/>
    </x:row>
    <x:row r="199">
      <x:c r="A199" s="99"/>
      <x:c r="B199" s="99"/>
      <x:c r="C199" s="99"/>
      <x:c r="D199" s="99"/>
      <x:c r="E199" s="99"/>
      <x:c r="F199" s="99"/>
      <x:c r="G199" s="99"/>
      <x:c r="H199" s="99"/>
      <x:c r="I199" s="99"/>
      <x:c r="J199" s="99"/>
      <x:c r="K199" s="99"/>
      <x:c r="L199" s="99"/>
      <x:c r="M199" s="99"/>
      <x:c r="N199" s="99"/>
      <x:c r="O199" s="99"/>
      <x:c r="P199" s="99"/>
      <x:c r="Q199" s="99"/>
      <x:c r="R199" s="99"/>
      <x:c r="S199" s="99"/>
      <x:c r="T199" s="99"/>
      <x:c r="U199" s="99"/>
      <x:c r="V199" s="99"/>
      <x:c r="W199" s="99"/>
      <x:c r="X199" s="99"/>
      <x:c r="Y199" s="99"/>
      <x:c r="Z199" s="99"/>
    </x:row>
    <x:row r="200">
      <x:c r="A200" s="99"/>
      <x:c r="B200" s="99"/>
      <x:c r="C200" s="99"/>
      <x:c r="D200" s="99"/>
      <x:c r="E200" s="99"/>
      <x:c r="F200" s="99"/>
      <x:c r="G200" s="99"/>
      <x:c r="H200" s="99"/>
      <x:c r="I200" s="99"/>
      <x:c r="J200" s="99"/>
      <x:c r="K200" s="99"/>
      <x:c r="L200" s="99"/>
      <x:c r="M200" s="99"/>
      <x:c r="N200" s="99"/>
      <x:c r="O200" s="99"/>
      <x:c r="P200" s="99"/>
      <x:c r="Q200" s="99"/>
      <x:c r="R200" s="99"/>
      <x:c r="S200" s="99"/>
      <x:c r="T200" s="99"/>
      <x:c r="U200" s="99"/>
      <x:c r="V200" s="99"/>
      <x:c r="W200" s="99"/>
      <x:c r="X200" s="99"/>
      <x:c r="Y200" s="99"/>
      <x:c r="Z200" s="99"/>
    </x:row>
    <x:row r="201">
      <x:c r="A201" s="99"/>
      <x:c r="B201" s="99"/>
      <x:c r="C201" s="99"/>
      <x:c r="D201" s="99"/>
      <x:c r="E201" s="99"/>
      <x:c r="F201" s="99"/>
      <x:c r="G201" s="99"/>
      <x:c r="H201" s="99"/>
      <x:c r="I201" s="99"/>
      <x:c r="J201" s="99"/>
      <x:c r="K201" s="99"/>
      <x:c r="L201" s="99"/>
      <x:c r="M201" s="99"/>
      <x:c r="N201" s="99"/>
      <x:c r="O201" s="99"/>
      <x:c r="P201" s="99"/>
      <x:c r="Q201" s="99"/>
      <x:c r="R201" s="99"/>
      <x:c r="S201" s="99"/>
      <x:c r="T201" s="99"/>
      <x:c r="U201" s="99"/>
      <x:c r="V201" s="99"/>
      <x:c r="W201" s="99"/>
      <x:c r="X201" s="99"/>
      <x:c r="Y201" s="99"/>
      <x:c r="Z201" s="99"/>
    </x:row>
    <x:row r="202">
      <x:c r="A202" s="99"/>
      <x:c r="B202" s="99"/>
      <x:c r="C202" s="99"/>
      <x:c r="D202" s="99"/>
      <x:c r="E202" s="99"/>
      <x:c r="F202" s="99"/>
      <x:c r="G202" s="99"/>
      <x:c r="H202" s="99"/>
      <x:c r="I202" s="99"/>
      <x:c r="J202" s="99"/>
      <x:c r="K202" s="99"/>
      <x:c r="L202" s="99"/>
      <x:c r="M202" s="99"/>
      <x:c r="N202" s="99"/>
      <x:c r="O202" s="99"/>
      <x:c r="P202" s="99"/>
      <x:c r="Q202" s="99"/>
      <x:c r="R202" s="99"/>
      <x:c r="S202" s="99"/>
      <x:c r="T202" s="99"/>
      <x:c r="U202" s="99"/>
      <x:c r="V202" s="99"/>
      <x:c r="W202" s="99"/>
      <x:c r="X202" s="99"/>
      <x:c r="Y202" s="99"/>
      <x:c r="Z202" s="99"/>
    </x:row>
    <x:row r="203">
      <x:c r="A203" s="99"/>
      <x:c r="B203" s="99"/>
      <x:c r="C203" s="99"/>
      <x:c r="D203" s="99"/>
      <x:c r="E203" s="99"/>
      <x:c r="F203" s="99"/>
      <x:c r="G203" s="99"/>
      <x:c r="H203" s="99"/>
      <x:c r="I203" s="99"/>
      <x:c r="J203" s="99"/>
      <x:c r="K203" s="99"/>
      <x:c r="L203" s="99"/>
      <x:c r="M203" s="99"/>
      <x:c r="N203" s="99"/>
      <x:c r="O203" s="99"/>
      <x:c r="P203" s="99"/>
      <x:c r="Q203" s="99"/>
      <x:c r="R203" s="99"/>
      <x:c r="S203" s="99"/>
      <x:c r="T203" s="99"/>
      <x:c r="U203" s="99"/>
      <x:c r="V203" s="99"/>
      <x:c r="W203" s="99"/>
      <x:c r="X203" s="99"/>
      <x:c r="Y203" s="99"/>
      <x:c r="Z203" s="99"/>
    </x:row>
    <x:row r="204">
      <x:c r="A204" s="99"/>
      <x:c r="B204" s="99"/>
      <x:c r="C204" s="99"/>
      <x:c r="D204" s="99"/>
      <x:c r="E204" s="99"/>
      <x:c r="F204" s="99"/>
      <x:c r="G204" s="99"/>
      <x:c r="H204" s="99"/>
      <x:c r="I204" s="99"/>
      <x:c r="J204" s="99"/>
      <x:c r="K204" s="99"/>
      <x:c r="L204" s="99"/>
      <x:c r="M204" s="99"/>
      <x:c r="N204" s="99"/>
      <x:c r="O204" s="99"/>
      <x:c r="P204" s="99"/>
      <x:c r="Q204" s="99"/>
      <x:c r="R204" s="99"/>
      <x:c r="S204" s="99"/>
      <x:c r="T204" s="99"/>
      <x:c r="U204" s="99"/>
      <x:c r="V204" s="99"/>
      <x:c r="W204" s="99"/>
      <x:c r="X204" s="99"/>
      <x:c r="Y204" s="99"/>
      <x:c r="Z204" s="99"/>
    </x:row>
    <x:row r="205">
      <x:c r="A205" s="99"/>
      <x:c r="B205" s="99"/>
      <x:c r="C205" s="99"/>
      <x:c r="D205" s="99"/>
      <x:c r="E205" s="99"/>
      <x:c r="F205" s="99"/>
      <x:c r="G205" s="99"/>
      <x:c r="H205" s="99"/>
      <x:c r="I205" s="99"/>
      <x:c r="J205" s="99"/>
      <x:c r="K205" s="99"/>
      <x:c r="L205" s="99"/>
      <x:c r="M205" s="99"/>
      <x:c r="N205" s="99"/>
      <x:c r="O205" s="99"/>
      <x:c r="P205" s="99"/>
      <x:c r="Q205" s="99"/>
      <x:c r="R205" s="99"/>
      <x:c r="S205" s="99"/>
      <x:c r="T205" s="99"/>
      <x:c r="U205" s="99"/>
      <x:c r="V205" s="99"/>
      <x:c r="W205" s="99"/>
      <x:c r="X205" s="99"/>
      <x:c r="Y205" s="99"/>
      <x:c r="Z205" s="99"/>
    </x:row>
    <x:row r="206">
      <x:c r="A206" s="99"/>
      <x:c r="B206" s="99"/>
      <x:c r="C206" s="99"/>
      <x:c r="D206" s="99"/>
      <x:c r="E206" s="99"/>
      <x:c r="F206" s="99"/>
      <x:c r="G206" s="99"/>
      <x:c r="H206" s="99"/>
      <x:c r="I206" s="99"/>
      <x:c r="J206" s="99"/>
      <x:c r="K206" s="99"/>
      <x:c r="L206" s="99"/>
      <x:c r="M206" s="99"/>
      <x:c r="N206" s="99"/>
      <x:c r="O206" s="99"/>
      <x:c r="P206" s="99"/>
      <x:c r="Q206" s="99"/>
      <x:c r="R206" s="99"/>
      <x:c r="S206" s="99"/>
      <x:c r="T206" s="99"/>
      <x:c r="U206" s="99"/>
      <x:c r="V206" s="99"/>
      <x:c r="W206" s="99"/>
      <x:c r="X206" s="99"/>
      <x:c r="Y206" s="99"/>
      <x:c r="Z206" s="99"/>
    </x:row>
    <x:row r="207">
      <x:c r="A207" s="99"/>
      <x:c r="B207" s="99"/>
      <x:c r="C207" s="99"/>
      <x:c r="D207" s="99"/>
      <x:c r="E207" s="99"/>
      <x:c r="F207" s="99"/>
      <x:c r="G207" s="99"/>
      <x:c r="H207" s="99"/>
      <x:c r="I207" s="99"/>
      <x:c r="J207" s="99"/>
      <x:c r="K207" s="99"/>
      <x:c r="L207" s="99"/>
      <x:c r="M207" s="99"/>
      <x:c r="N207" s="99"/>
      <x:c r="O207" s="99"/>
      <x:c r="P207" s="99"/>
      <x:c r="Q207" s="99"/>
      <x:c r="R207" s="99"/>
      <x:c r="S207" s="99"/>
      <x:c r="T207" s="99"/>
      <x:c r="U207" s="99"/>
      <x:c r="V207" s="99"/>
      <x:c r="W207" s="99"/>
      <x:c r="X207" s="99"/>
      <x:c r="Y207" s="99"/>
      <x:c r="Z207" s="99"/>
    </x:row>
    <x:row r="208">
      <x:c r="A208" s="99"/>
      <x:c r="B208" s="99"/>
      <x:c r="C208" s="99"/>
      <x:c r="D208" s="99"/>
      <x:c r="E208" s="99"/>
      <x:c r="F208" s="99"/>
      <x:c r="G208" s="99"/>
      <x:c r="H208" s="99"/>
      <x:c r="I208" s="99"/>
      <x:c r="J208" s="99"/>
      <x:c r="K208" s="99"/>
      <x:c r="L208" s="99"/>
      <x:c r="M208" s="99"/>
      <x:c r="N208" s="99"/>
      <x:c r="O208" s="99"/>
      <x:c r="P208" s="99"/>
      <x:c r="Q208" s="99"/>
      <x:c r="R208" s="99"/>
      <x:c r="S208" s="99"/>
      <x:c r="T208" s="99"/>
      <x:c r="U208" s="99"/>
      <x:c r="V208" s="99"/>
      <x:c r="W208" s="99"/>
      <x:c r="X208" s="99"/>
      <x:c r="Y208" s="99"/>
      <x:c r="Z208" s="99"/>
    </x:row>
    <x:row r="209">
      <x:c r="A209" s="99"/>
      <x:c r="B209" s="99"/>
      <x:c r="C209" s="99"/>
      <x:c r="D209" s="99"/>
      <x:c r="E209" s="99"/>
      <x:c r="F209" s="99"/>
      <x:c r="G209" s="99"/>
      <x:c r="H209" s="99"/>
      <x:c r="I209" s="99"/>
      <x:c r="J209" s="99"/>
      <x:c r="K209" s="99"/>
      <x:c r="L209" s="99"/>
      <x:c r="M209" s="99"/>
      <x:c r="N209" s="99"/>
      <x:c r="O209" s="99"/>
      <x:c r="P209" s="99"/>
      <x:c r="Q209" s="99"/>
      <x:c r="R209" s="99"/>
      <x:c r="S209" s="99"/>
      <x:c r="T209" s="99"/>
      <x:c r="U209" s="99"/>
      <x:c r="V209" s="99"/>
      <x:c r="W209" s="99"/>
      <x:c r="X209" s="99"/>
      <x:c r="Y209" s="99"/>
      <x:c r="Z209" s="99"/>
    </x:row>
    <x:row r="210">
      <x:c r="A210" s="99"/>
      <x:c r="B210" s="99"/>
      <x:c r="C210" s="99"/>
      <x:c r="D210" s="99"/>
      <x:c r="E210" s="99"/>
      <x:c r="F210" s="99"/>
      <x:c r="G210" s="99"/>
      <x:c r="H210" s="99"/>
      <x:c r="I210" s="99"/>
      <x:c r="J210" s="99"/>
      <x:c r="K210" s="99"/>
      <x:c r="L210" s="99"/>
      <x:c r="M210" s="99"/>
      <x:c r="N210" s="99"/>
      <x:c r="O210" s="99"/>
      <x:c r="P210" s="99"/>
      <x:c r="Q210" s="99"/>
      <x:c r="R210" s="99"/>
      <x:c r="S210" s="99"/>
      <x:c r="T210" s="99"/>
      <x:c r="U210" s="99"/>
      <x:c r="V210" s="99"/>
      <x:c r="W210" s="99"/>
      <x:c r="X210" s="99"/>
      <x:c r="Y210" s="99"/>
      <x:c r="Z210" s="99"/>
    </x:row>
    <x:row r="211">
      <x:c r="A211" s="99"/>
      <x:c r="B211" s="99"/>
      <x:c r="C211" s="99"/>
      <x:c r="D211" s="99"/>
      <x:c r="E211" s="99"/>
      <x:c r="F211" s="99"/>
      <x:c r="G211" s="99"/>
      <x:c r="H211" s="99"/>
      <x:c r="I211" s="99"/>
      <x:c r="J211" s="99"/>
      <x:c r="K211" s="99"/>
      <x:c r="L211" s="99"/>
      <x:c r="M211" s="99"/>
      <x:c r="N211" s="99"/>
      <x:c r="O211" s="99"/>
      <x:c r="P211" s="99"/>
      <x:c r="Q211" s="99"/>
      <x:c r="R211" s="99"/>
      <x:c r="S211" s="99"/>
      <x:c r="T211" s="99"/>
      <x:c r="U211" s="99"/>
      <x:c r="V211" s="99"/>
      <x:c r="W211" s="99"/>
      <x:c r="X211" s="99"/>
      <x:c r="Y211" s="99"/>
      <x:c r="Z211" s="99"/>
    </x:row>
    <x:row r="212">
      <x:c r="A212" s="99"/>
      <x:c r="B212" s="99"/>
      <x:c r="C212" s="99"/>
      <x:c r="D212" s="99"/>
      <x:c r="E212" s="99"/>
      <x:c r="F212" s="99"/>
      <x:c r="G212" s="99"/>
      <x:c r="H212" s="99"/>
      <x:c r="I212" s="99"/>
      <x:c r="J212" s="99"/>
      <x:c r="K212" s="99"/>
      <x:c r="L212" s="99"/>
      <x:c r="M212" s="99"/>
      <x:c r="N212" s="99"/>
      <x:c r="O212" s="99"/>
      <x:c r="P212" s="99"/>
      <x:c r="Q212" s="99"/>
      <x:c r="R212" s="99"/>
      <x:c r="S212" s="99"/>
      <x:c r="T212" s="99"/>
      <x:c r="U212" s="99"/>
      <x:c r="V212" s="99"/>
      <x:c r="W212" s="99"/>
      <x:c r="X212" s="99"/>
      <x:c r="Y212" s="99"/>
      <x:c r="Z212" s="99"/>
    </x:row>
    <x:row r="213">
      <x:c r="A213" s="99"/>
      <x:c r="B213" s="99"/>
      <x:c r="C213" s="99"/>
      <x:c r="D213" s="99"/>
      <x:c r="E213" s="99"/>
      <x:c r="F213" s="99"/>
      <x:c r="G213" s="99"/>
      <x:c r="H213" s="99"/>
      <x:c r="I213" s="99"/>
      <x:c r="J213" s="99"/>
      <x:c r="K213" s="99"/>
      <x:c r="L213" s="99"/>
      <x:c r="M213" s="99"/>
      <x:c r="N213" s="99"/>
      <x:c r="O213" s="99"/>
      <x:c r="P213" s="99"/>
      <x:c r="Q213" s="99"/>
      <x:c r="R213" s="99"/>
      <x:c r="S213" s="99"/>
      <x:c r="T213" s="99"/>
      <x:c r="U213" s="99"/>
      <x:c r="V213" s="99"/>
      <x:c r="W213" s="99"/>
      <x:c r="X213" s="99"/>
      <x:c r="Y213" s="99"/>
      <x:c r="Z213" s="99"/>
    </x:row>
    <x:row r="214">
      <x:c r="A214" s="99"/>
      <x:c r="B214" s="99"/>
      <x:c r="C214" s="99"/>
      <x:c r="D214" s="99"/>
      <x:c r="E214" s="99"/>
      <x:c r="F214" s="99"/>
      <x:c r="G214" s="99"/>
      <x:c r="H214" s="99"/>
      <x:c r="I214" s="99"/>
      <x:c r="J214" s="99"/>
      <x:c r="K214" s="99"/>
      <x:c r="L214" s="99"/>
      <x:c r="M214" s="99"/>
      <x:c r="N214" s="99"/>
      <x:c r="O214" s="99"/>
      <x:c r="P214" s="99"/>
      <x:c r="Q214" s="99"/>
      <x:c r="R214" s="99"/>
      <x:c r="S214" s="99"/>
      <x:c r="T214" s="99"/>
      <x:c r="U214" s="99"/>
      <x:c r="V214" s="99"/>
      <x:c r="W214" s="99"/>
      <x:c r="X214" s="99"/>
      <x:c r="Y214" s="99"/>
      <x:c r="Z214" s="99"/>
    </x:row>
    <x:row r="215">
      <x:c r="A215" s="99"/>
      <x:c r="B215" s="99"/>
      <x:c r="C215" s="99"/>
      <x:c r="D215" s="99"/>
      <x:c r="E215" s="99"/>
      <x:c r="F215" s="99"/>
      <x:c r="G215" s="99"/>
      <x:c r="H215" s="99"/>
      <x:c r="I215" s="99"/>
      <x:c r="J215" s="99"/>
      <x:c r="K215" s="99"/>
      <x:c r="L215" s="99"/>
      <x:c r="M215" s="99"/>
      <x:c r="N215" s="99"/>
      <x:c r="O215" s="99"/>
      <x:c r="P215" s="99"/>
      <x:c r="Q215" s="99"/>
      <x:c r="R215" s="99"/>
      <x:c r="S215" s="99"/>
      <x:c r="T215" s="99"/>
      <x:c r="U215" s="99"/>
      <x:c r="V215" s="99"/>
      <x:c r="W215" s="99"/>
      <x:c r="X215" s="99"/>
      <x:c r="Y215" s="99"/>
      <x:c r="Z215" s="99"/>
    </x:row>
    <x:row r="216">
      <x:c r="A216" s="99"/>
      <x:c r="B216" s="99"/>
      <x:c r="C216" s="99"/>
      <x:c r="D216" s="99"/>
      <x:c r="E216" s="99"/>
      <x:c r="F216" s="99"/>
      <x:c r="G216" s="99"/>
      <x:c r="H216" s="99"/>
      <x:c r="I216" s="99"/>
      <x:c r="J216" s="99"/>
      <x:c r="K216" s="99"/>
      <x:c r="L216" s="99"/>
      <x:c r="M216" s="99"/>
      <x:c r="N216" s="99"/>
      <x:c r="O216" s="99"/>
      <x:c r="P216" s="99"/>
      <x:c r="Q216" s="99"/>
      <x:c r="R216" s="99"/>
      <x:c r="S216" s="99"/>
      <x:c r="T216" s="99"/>
      <x:c r="U216" s="99"/>
      <x:c r="V216" s="99"/>
      <x:c r="W216" s="99"/>
      <x:c r="X216" s="99"/>
      <x:c r="Y216" s="99"/>
      <x:c r="Z216" s="99"/>
    </x:row>
    <x:row r="217">
      <x:c r="A217" s="99"/>
      <x:c r="B217" s="99"/>
      <x:c r="C217" s="99"/>
      <x:c r="D217" s="99"/>
      <x:c r="E217" s="99"/>
      <x:c r="F217" s="99"/>
      <x:c r="G217" s="99"/>
      <x:c r="H217" s="99"/>
      <x:c r="I217" s="99"/>
      <x:c r="J217" s="99"/>
      <x:c r="K217" s="99"/>
      <x:c r="L217" s="99"/>
      <x:c r="M217" s="99"/>
      <x:c r="N217" s="99"/>
      <x:c r="O217" s="99"/>
      <x:c r="P217" s="99"/>
      <x:c r="Q217" s="99"/>
      <x:c r="R217" s="99"/>
      <x:c r="S217" s="99"/>
      <x:c r="T217" s="99"/>
      <x:c r="U217" s="99"/>
      <x:c r="V217" s="99"/>
      <x:c r="W217" s="99"/>
      <x:c r="X217" s="99"/>
      <x:c r="Y217" s="99"/>
      <x:c r="Z217" s="99"/>
    </x:row>
    <x:row r="218">
      <x:c r="A218" s="99"/>
      <x:c r="B218" s="99"/>
      <x:c r="C218" s="99"/>
      <x:c r="D218" s="99"/>
      <x:c r="E218" s="99"/>
      <x:c r="F218" s="99"/>
      <x:c r="G218" s="99"/>
      <x:c r="H218" s="99"/>
      <x:c r="I218" s="99"/>
      <x:c r="J218" s="99"/>
      <x:c r="K218" s="99"/>
      <x:c r="L218" s="99"/>
      <x:c r="M218" s="99"/>
      <x:c r="N218" s="99"/>
      <x:c r="O218" s="99"/>
      <x:c r="P218" s="99"/>
      <x:c r="Q218" s="99"/>
      <x:c r="R218" s="99"/>
      <x:c r="S218" s="99"/>
      <x:c r="T218" s="99"/>
      <x:c r="U218" s="99"/>
      <x:c r="V218" s="99"/>
      <x:c r="W218" s="99"/>
      <x:c r="X218" s="99"/>
      <x:c r="Y218" s="99"/>
      <x:c r="Z218" s="99"/>
    </x:row>
    <x:row r="219">
      <x:c r="A219" s="99"/>
      <x:c r="B219" s="99"/>
      <x:c r="C219" s="99"/>
      <x:c r="D219" s="99"/>
      <x:c r="E219" s="99"/>
      <x:c r="F219" s="99"/>
      <x:c r="G219" s="99"/>
      <x:c r="H219" s="99"/>
      <x:c r="I219" s="99"/>
      <x:c r="J219" s="99"/>
      <x:c r="K219" s="99"/>
      <x:c r="L219" s="99"/>
      <x:c r="M219" s="99"/>
      <x:c r="N219" s="99"/>
      <x:c r="O219" s="99"/>
      <x:c r="P219" s="99"/>
      <x:c r="Q219" s="99"/>
      <x:c r="R219" s="99"/>
      <x:c r="S219" s="99"/>
      <x:c r="T219" s="99"/>
      <x:c r="U219" s="99"/>
      <x:c r="V219" s="99"/>
      <x:c r="W219" s="99"/>
      <x:c r="X219" s="99"/>
      <x:c r="Y219" s="99"/>
      <x:c r="Z219" s="99"/>
    </x:row>
    <x:row r="220">
      <x:c r="A220" s="99"/>
      <x:c r="B220" s="99"/>
      <x:c r="C220" s="99"/>
      <x:c r="D220" s="99"/>
      <x:c r="E220" s="99"/>
      <x:c r="F220" s="99"/>
      <x:c r="G220" s="99"/>
      <x:c r="H220" s="99"/>
      <x:c r="I220" s="99"/>
      <x:c r="J220" s="99"/>
      <x:c r="K220" s="99"/>
      <x:c r="L220" s="99"/>
      <x:c r="M220" s="99"/>
      <x:c r="N220" s="99"/>
      <x:c r="O220" s="99"/>
      <x:c r="P220" s="99"/>
      <x:c r="Q220" s="99"/>
      <x:c r="R220" s="99"/>
      <x:c r="S220" s="99"/>
      <x:c r="T220" s="99"/>
      <x:c r="U220" s="99"/>
      <x:c r="V220" s="99"/>
      <x:c r="W220" s="99"/>
      <x:c r="X220" s="99"/>
      <x:c r="Y220" s="99"/>
      <x:c r="Z220" s="99"/>
    </x:row>
    <x:row r="221">
      <x:c r="A221" s="99"/>
      <x:c r="B221" s="99"/>
      <x:c r="C221" s="99"/>
      <x:c r="D221" s="99"/>
      <x:c r="E221" s="99"/>
      <x:c r="F221" s="99"/>
      <x:c r="G221" s="99"/>
      <x:c r="H221" s="99"/>
      <x:c r="I221" s="99"/>
      <x:c r="J221" s="99"/>
      <x:c r="K221" s="99"/>
      <x:c r="L221" s="99"/>
      <x:c r="M221" s="99"/>
      <x:c r="N221" s="99"/>
      <x:c r="O221" s="99"/>
      <x:c r="P221" s="99"/>
      <x:c r="Q221" s="99"/>
      <x:c r="R221" s="99"/>
      <x:c r="S221" s="99"/>
      <x:c r="T221" s="99"/>
      <x:c r="U221" s="99"/>
      <x:c r="V221" s="99"/>
      <x:c r="W221" s="99"/>
      <x:c r="X221" s="99"/>
      <x:c r="Y221" s="99"/>
      <x:c r="Z221" s="99"/>
    </x:row>
    <x:row r="222">
      <x:c r="A222" s="99"/>
      <x:c r="B222" s="99"/>
      <x:c r="C222" s="99"/>
      <x:c r="D222" s="99"/>
      <x:c r="E222" s="99"/>
      <x:c r="F222" s="99"/>
      <x:c r="G222" s="99"/>
      <x:c r="H222" s="99"/>
      <x:c r="I222" s="99"/>
      <x:c r="J222" s="99"/>
      <x:c r="K222" s="99"/>
      <x:c r="L222" s="99"/>
      <x:c r="M222" s="99"/>
      <x:c r="N222" s="99"/>
      <x:c r="O222" s="99"/>
      <x:c r="P222" s="99"/>
      <x:c r="Q222" s="99"/>
      <x:c r="R222" s="99"/>
      <x:c r="S222" s="99"/>
      <x:c r="T222" s="99"/>
      <x:c r="U222" s="99"/>
      <x:c r="V222" s="99"/>
      <x:c r="W222" s="99"/>
      <x:c r="X222" s="99"/>
      <x:c r="Y222" s="99"/>
      <x:c r="Z222" s="99"/>
    </x:row>
    <x:row r="223">
      <x:c r="A223" s="99"/>
      <x:c r="B223" s="99"/>
      <x:c r="C223" s="99"/>
      <x:c r="D223" s="99"/>
      <x:c r="E223" s="99"/>
      <x:c r="F223" s="99"/>
      <x:c r="G223" s="99"/>
      <x:c r="H223" s="99"/>
      <x:c r="I223" s="99"/>
      <x:c r="J223" s="99"/>
      <x:c r="K223" s="99"/>
      <x:c r="L223" s="99"/>
      <x:c r="M223" s="99"/>
      <x:c r="N223" s="99"/>
      <x:c r="O223" s="99"/>
      <x:c r="P223" s="99"/>
      <x:c r="Q223" s="99"/>
      <x:c r="R223" s="99"/>
      <x:c r="S223" s="99"/>
      <x:c r="T223" s="99"/>
      <x:c r="U223" s="99"/>
      <x:c r="V223" s="99"/>
      <x:c r="W223" s="99"/>
      <x:c r="X223" s="99"/>
      <x:c r="Y223" s="99"/>
      <x:c r="Z223" s="99"/>
    </x:row>
    <x:row r="224">
      <x:c r="A224" s="99"/>
      <x:c r="B224" s="99"/>
      <x:c r="C224" s="99"/>
      <x:c r="D224" s="99"/>
      <x:c r="E224" s="99"/>
      <x:c r="F224" s="99"/>
      <x:c r="G224" s="99"/>
      <x:c r="H224" s="99"/>
      <x:c r="I224" s="99"/>
      <x:c r="J224" s="99"/>
      <x:c r="K224" s="99"/>
      <x:c r="L224" s="99"/>
      <x:c r="M224" s="99"/>
      <x:c r="N224" s="99"/>
      <x:c r="O224" s="99"/>
      <x:c r="P224" s="99"/>
      <x:c r="Q224" s="99"/>
      <x:c r="R224" s="99"/>
      <x:c r="S224" s="99"/>
      <x:c r="T224" s="99"/>
      <x:c r="U224" s="99"/>
      <x:c r="V224" s="99"/>
      <x:c r="W224" s="99"/>
      <x:c r="X224" s="99"/>
      <x:c r="Y224" s="99"/>
      <x:c r="Z224" s="99"/>
    </x:row>
    <x:row r="225">
      <x:c r="A225" s="99"/>
      <x:c r="B225" s="99"/>
      <x:c r="C225" s="99"/>
      <x:c r="D225" s="99"/>
      <x:c r="E225" s="99"/>
      <x:c r="F225" s="99"/>
      <x:c r="G225" s="99"/>
      <x:c r="H225" s="99"/>
      <x:c r="I225" s="99"/>
      <x:c r="J225" s="99"/>
      <x:c r="K225" s="99"/>
      <x:c r="L225" s="99"/>
      <x:c r="M225" s="99"/>
      <x:c r="N225" s="99"/>
      <x:c r="O225" s="99"/>
      <x:c r="P225" s="99"/>
      <x:c r="Q225" s="99"/>
      <x:c r="R225" s="99"/>
      <x:c r="S225" s="99"/>
      <x:c r="T225" s="99"/>
      <x:c r="U225" s="99"/>
      <x:c r="V225" s="99"/>
      <x:c r="W225" s="99"/>
      <x:c r="X225" s="99"/>
      <x:c r="Y225" s="99"/>
      <x:c r="Z225" s="99"/>
    </x:row>
    <x:row r="226">
      <x:c r="A226" s="99"/>
      <x:c r="B226" s="99"/>
      <x:c r="C226" s="99"/>
      <x:c r="D226" s="99"/>
      <x:c r="E226" s="99"/>
      <x:c r="F226" s="99"/>
      <x:c r="G226" s="99"/>
      <x:c r="H226" s="99"/>
      <x:c r="I226" s="99"/>
      <x:c r="J226" s="99"/>
      <x:c r="K226" s="99"/>
      <x:c r="L226" s="99"/>
      <x:c r="M226" s="99"/>
      <x:c r="N226" s="99"/>
      <x:c r="O226" s="99"/>
      <x:c r="P226" s="99"/>
      <x:c r="Q226" s="99"/>
      <x:c r="R226" s="99"/>
      <x:c r="S226" s="99"/>
      <x:c r="T226" s="99"/>
      <x:c r="U226" s="99"/>
      <x:c r="V226" s="99"/>
      <x:c r="W226" s="99"/>
      <x:c r="X226" s="99"/>
      <x:c r="Y226" s="99"/>
      <x:c r="Z226" s="99"/>
    </x:row>
    <x:row r="227">
      <x:c r="A227" s="99"/>
      <x:c r="B227" s="99"/>
      <x:c r="C227" s="99"/>
      <x:c r="D227" s="99"/>
      <x:c r="E227" s="99"/>
      <x:c r="F227" s="99"/>
      <x:c r="G227" s="99"/>
      <x:c r="H227" s="99"/>
      <x:c r="I227" s="99"/>
      <x:c r="J227" s="99"/>
      <x:c r="K227" s="99"/>
      <x:c r="L227" s="99"/>
      <x:c r="M227" s="99"/>
      <x:c r="N227" s="99"/>
      <x:c r="O227" s="99"/>
      <x:c r="P227" s="99"/>
      <x:c r="Q227" s="99"/>
      <x:c r="R227" s="99"/>
      <x:c r="S227" s="99"/>
      <x:c r="T227" s="99"/>
      <x:c r="U227" s="99"/>
      <x:c r="V227" s="99"/>
      <x:c r="W227" s="99"/>
      <x:c r="X227" s="99"/>
      <x:c r="Y227" s="99"/>
      <x:c r="Z227" s="99"/>
    </x:row>
    <x:row r="228">
      <x:c r="A228" s="99"/>
      <x:c r="B228" s="99"/>
      <x:c r="C228" s="99"/>
      <x:c r="D228" s="99"/>
      <x:c r="E228" s="99"/>
      <x:c r="F228" s="99"/>
      <x:c r="G228" s="99"/>
      <x:c r="H228" s="99"/>
      <x:c r="I228" s="99"/>
      <x:c r="J228" s="99"/>
      <x:c r="K228" s="99"/>
      <x:c r="L228" s="99"/>
      <x:c r="M228" s="99"/>
      <x:c r="N228" s="99"/>
      <x:c r="O228" s="99"/>
      <x:c r="P228" s="99"/>
      <x:c r="Q228" s="99"/>
      <x:c r="R228" s="99"/>
      <x:c r="S228" s="99"/>
      <x:c r="T228" s="99"/>
      <x:c r="U228" s="99"/>
      <x:c r="V228" s="99"/>
      <x:c r="W228" s="99"/>
      <x:c r="X228" s="99"/>
      <x:c r="Y228" s="99"/>
      <x:c r="Z228" s="99"/>
    </x:row>
    <x:row r="229">
      <x:c r="A229" s="99"/>
      <x:c r="B229" s="99"/>
      <x:c r="C229" s="99"/>
      <x:c r="D229" s="99"/>
      <x:c r="E229" s="99"/>
      <x:c r="F229" s="99"/>
      <x:c r="G229" s="99"/>
      <x:c r="H229" s="99"/>
      <x:c r="I229" s="99"/>
      <x:c r="J229" s="99"/>
      <x:c r="K229" s="99"/>
      <x:c r="L229" s="99"/>
      <x:c r="M229" s="99"/>
      <x:c r="N229" s="99"/>
      <x:c r="O229" s="99"/>
      <x:c r="P229" s="99"/>
      <x:c r="Q229" s="99"/>
      <x:c r="R229" s="99"/>
      <x:c r="S229" s="99"/>
      <x:c r="T229" s="99"/>
      <x:c r="U229" s="99"/>
      <x:c r="V229" s="99"/>
      <x:c r="W229" s="99"/>
      <x:c r="X229" s="99"/>
      <x:c r="Y229" s="99"/>
      <x:c r="Z229" s="99"/>
    </x:row>
    <x:row r="230">
      <x:c r="A230" s="99"/>
      <x:c r="B230" s="99"/>
      <x:c r="C230" s="99"/>
      <x:c r="D230" s="99"/>
      <x:c r="E230" s="99"/>
      <x:c r="F230" s="99"/>
      <x:c r="G230" s="99"/>
      <x:c r="H230" s="99"/>
      <x:c r="I230" s="99"/>
      <x:c r="J230" s="99"/>
      <x:c r="K230" s="99"/>
      <x:c r="L230" s="99"/>
      <x:c r="M230" s="99"/>
      <x:c r="N230" s="99"/>
      <x:c r="O230" s="99"/>
      <x:c r="P230" s="99"/>
      <x:c r="Q230" s="99"/>
      <x:c r="R230" s="99"/>
      <x:c r="S230" s="99"/>
      <x:c r="T230" s="99"/>
      <x:c r="U230" s="99"/>
      <x:c r="V230" s="99"/>
      <x:c r="W230" s="99"/>
      <x:c r="X230" s="99"/>
      <x:c r="Y230" s="99"/>
      <x:c r="Z230" s="99"/>
    </x:row>
    <x:row r="231">
      <x:c r="A231" s="99"/>
      <x:c r="B231" s="99"/>
      <x:c r="C231" s="99"/>
      <x:c r="D231" s="99"/>
      <x:c r="E231" s="99"/>
      <x:c r="F231" s="99"/>
      <x:c r="G231" s="99"/>
      <x:c r="H231" s="99"/>
      <x:c r="I231" s="99"/>
      <x:c r="J231" s="99"/>
      <x:c r="K231" s="99"/>
      <x:c r="L231" s="99"/>
      <x:c r="M231" s="99"/>
      <x:c r="N231" s="99"/>
      <x:c r="O231" s="99"/>
      <x:c r="P231" s="99"/>
      <x:c r="Q231" s="99"/>
      <x:c r="R231" s="99"/>
      <x:c r="S231" s="99"/>
      <x:c r="T231" s="99"/>
      <x:c r="U231" s="99"/>
      <x:c r="V231" s="99"/>
      <x:c r="W231" s="99"/>
      <x:c r="X231" s="99"/>
      <x:c r="Y231" s="99"/>
      <x:c r="Z231" s="99"/>
    </x:row>
    <x:row r="232">
      <x:c r="A232" s="99"/>
      <x:c r="B232" s="99"/>
      <x:c r="C232" s="99"/>
      <x:c r="D232" s="99"/>
      <x:c r="E232" s="99"/>
      <x:c r="F232" s="99"/>
      <x:c r="G232" s="99"/>
      <x:c r="H232" s="99"/>
      <x:c r="I232" s="99"/>
      <x:c r="J232" s="99"/>
      <x:c r="K232" s="99"/>
      <x:c r="L232" s="99"/>
      <x:c r="M232" s="99"/>
      <x:c r="N232" s="99"/>
      <x:c r="O232" s="99"/>
      <x:c r="P232" s="99"/>
      <x:c r="Q232" s="99"/>
      <x:c r="R232" s="99"/>
      <x:c r="S232" s="99"/>
      <x:c r="T232" s="99"/>
      <x:c r="U232" s="99"/>
      <x:c r="V232" s="99"/>
      <x:c r="W232" s="99"/>
      <x:c r="X232" s="99"/>
      <x:c r="Y232" s="99"/>
      <x:c r="Z232" s="99"/>
    </x:row>
    <x:row r="233">
      <x:c r="A233" s="99"/>
      <x:c r="B233" s="99"/>
      <x:c r="C233" s="99"/>
      <x:c r="D233" s="99"/>
      <x:c r="E233" s="99"/>
      <x:c r="F233" s="99"/>
      <x:c r="G233" s="99"/>
      <x:c r="H233" s="99"/>
      <x:c r="I233" s="99"/>
      <x:c r="J233" s="99"/>
      <x:c r="K233" s="99"/>
      <x:c r="L233" s="99"/>
      <x:c r="M233" s="99"/>
      <x:c r="N233" s="99"/>
      <x:c r="O233" s="99"/>
      <x:c r="P233" s="99"/>
      <x:c r="Q233" s="99"/>
      <x:c r="R233" s="99"/>
      <x:c r="S233" s="99"/>
      <x:c r="T233" s="99"/>
      <x:c r="U233" s="99"/>
      <x:c r="V233" s="99"/>
      <x:c r="W233" s="99"/>
      <x:c r="X233" s="99"/>
      <x:c r="Y233" s="99"/>
      <x:c r="Z233" s="99"/>
    </x:row>
    <x:row r="234">
      <x:c r="A234" s="99"/>
      <x:c r="B234" s="99"/>
      <x:c r="C234" s="99"/>
      <x:c r="D234" s="99"/>
      <x:c r="E234" s="99"/>
      <x:c r="F234" s="99"/>
      <x:c r="G234" s="99"/>
      <x:c r="H234" s="99"/>
      <x:c r="I234" s="99"/>
      <x:c r="J234" s="99"/>
      <x:c r="K234" s="99"/>
      <x:c r="L234" s="99"/>
      <x:c r="M234" s="99"/>
      <x:c r="N234" s="99"/>
      <x:c r="O234" s="99"/>
      <x:c r="P234" s="99"/>
      <x:c r="Q234" s="99"/>
      <x:c r="R234" s="99"/>
      <x:c r="S234" s="99"/>
      <x:c r="T234" s="99"/>
      <x:c r="U234" s="99"/>
      <x:c r="V234" s="99"/>
      <x:c r="W234" s="99"/>
      <x:c r="X234" s="99"/>
      <x:c r="Y234" s="99"/>
      <x:c r="Z234" s="99"/>
    </x:row>
    <x:row r="235">
      <x:c r="A235" s="99"/>
      <x:c r="B235" s="99"/>
      <x:c r="C235" s="99"/>
      <x:c r="D235" s="99"/>
      <x:c r="E235" s="99"/>
      <x:c r="F235" s="99"/>
      <x:c r="G235" s="99"/>
      <x:c r="H235" s="99"/>
      <x:c r="I235" s="99"/>
      <x:c r="J235" s="99"/>
      <x:c r="K235" s="99"/>
      <x:c r="L235" s="99"/>
      <x:c r="M235" s="99"/>
      <x:c r="N235" s="99"/>
      <x:c r="O235" s="99"/>
      <x:c r="P235" s="99"/>
      <x:c r="Q235" s="99"/>
      <x:c r="R235" s="99"/>
      <x:c r="S235" s="99"/>
      <x:c r="T235" s="99"/>
      <x:c r="U235" s="99"/>
      <x:c r="V235" s="99"/>
      <x:c r="W235" s="99"/>
      <x:c r="X235" s="99"/>
      <x:c r="Y235" s="99"/>
      <x:c r="Z235" s="99"/>
    </x:row>
    <x:row r="236">
      <x:c r="A236" s="99"/>
      <x:c r="B236" s="99"/>
      <x:c r="C236" s="99"/>
      <x:c r="D236" s="99"/>
      <x:c r="E236" s="99"/>
      <x:c r="F236" s="99"/>
      <x:c r="G236" s="99"/>
      <x:c r="H236" s="99"/>
      <x:c r="I236" s="99"/>
      <x:c r="J236" s="99"/>
      <x:c r="K236" s="99"/>
      <x:c r="L236" s="99"/>
      <x:c r="M236" s="99"/>
      <x:c r="N236" s="99"/>
      <x:c r="O236" s="99"/>
      <x:c r="P236" s="99"/>
      <x:c r="Q236" s="99"/>
      <x:c r="R236" s="99"/>
      <x:c r="S236" s="99"/>
      <x:c r="T236" s="99"/>
      <x:c r="U236" s="99"/>
      <x:c r="V236" s="99"/>
      <x:c r="W236" s="99"/>
      <x:c r="X236" s="99"/>
      <x:c r="Y236" s="99"/>
      <x:c r="Z236" s="99"/>
    </x:row>
    <x:row r="237">
      <x:c r="A237" s="99"/>
      <x:c r="B237" s="99"/>
      <x:c r="C237" s="99"/>
      <x:c r="D237" s="99"/>
      <x:c r="E237" s="99"/>
      <x:c r="F237" s="99"/>
      <x:c r="G237" s="99"/>
      <x:c r="H237" s="99"/>
      <x:c r="I237" s="99"/>
      <x:c r="J237" s="99"/>
      <x:c r="K237" s="99"/>
      <x:c r="L237" s="99"/>
      <x:c r="M237" s="99"/>
      <x:c r="N237" s="99"/>
      <x:c r="O237" s="99"/>
      <x:c r="P237" s="99"/>
      <x:c r="Q237" s="99"/>
      <x:c r="R237" s="99"/>
      <x:c r="S237" s="99"/>
      <x:c r="T237" s="99"/>
      <x:c r="U237" s="99"/>
      <x:c r="V237" s="99"/>
      <x:c r="W237" s="99"/>
      <x:c r="X237" s="99"/>
      <x:c r="Y237" s="99"/>
      <x:c r="Z237" s="99"/>
    </x:row>
    <x:row r="238">
      <x:c r="A238" s="99"/>
      <x:c r="B238" s="99"/>
      <x:c r="C238" s="99"/>
      <x:c r="D238" s="99"/>
      <x:c r="E238" s="99"/>
      <x:c r="F238" s="99"/>
      <x:c r="G238" s="99"/>
      <x:c r="H238" s="99"/>
      <x:c r="I238" s="99"/>
      <x:c r="J238" s="99"/>
      <x:c r="K238" s="99"/>
      <x:c r="L238" s="99"/>
      <x:c r="M238" s="99"/>
      <x:c r="N238" s="99"/>
      <x:c r="O238" s="99"/>
      <x:c r="P238" s="99"/>
      <x:c r="Q238" s="99"/>
      <x:c r="R238" s="99"/>
      <x:c r="S238" s="99"/>
      <x:c r="T238" s="99"/>
      <x:c r="U238" s="99"/>
      <x:c r="V238" s="99"/>
      <x:c r="W238" s="99"/>
      <x:c r="X238" s="99"/>
      <x:c r="Y238" s="99"/>
      <x:c r="Z238" s="99"/>
    </x:row>
    <x:row r="239">
      <x:c r="A239" s="99"/>
      <x:c r="B239" s="99"/>
      <x:c r="C239" s="99"/>
      <x:c r="D239" s="99"/>
      <x:c r="E239" s="99"/>
      <x:c r="F239" s="99"/>
      <x:c r="G239" s="99"/>
      <x:c r="H239" s="99"/>
      <x:c r="I239" s="99"/>
      <x:c r="J239" s="99"/>
      <x:c r="K239" s="99"/>
      <x:c r="L239" s="99"/>
      <x:c r="M239" s="99"/>
      <x:c r="N239" s="99"/>
      <x:c r="O239" s="99"/>
      <x:c r="P239" s="99"/>
      <x:c r="Q239" s="99"/>
      <x:c r="R239" s="99"/>
      <x:c r="S239" s="99"/>
      <x:c r="T239" s="99"/>
      <x:c r="U239" s="99"/>
      <x:c r="V239" s="99"/>
      <x:c r="W239" s="99"/>
      <x:c r="X239" s="99"/>
      <x:c r="Y239" s="99"/>
      <x:c r="Z239" s="99"/>
    </x:row>
    <x:row r="240">
      <x:c r="A240" s="99"/>
      <x:c r="B240" s="99"/>
      <x:c r="C240" s="99"/>
      <x:c r="D240" s="99"/>
      <x:c r="E240" s="99"/>
      <x:c r="F240" s="99"/>
      <x:c r="G240" s="99"/>
      <x:c r="H240" s="99"/>
      <x:c r="I240" s="99"/>
      <x:c r="J240" s="99"/>
      <x:c r="K240" s="99"/>
      <x:c r="L240" s="99"/>
      <x:c r="M240" s="99"/>
      <x:c r="N240" s="99"/>
      <x:c r="O240" s="99"/>
      <x:c r="P240" s="99"/>
      <x:c r="Q240" s="99"/>
      <x:c r="R240" s="99"/>
      <x:c r="S240" s="99"/>
      <x:c r="T240" s="99"/>
      <x:c r="U240" s="99"/>
      <x:c r="V240" s="99"/>
      <x:c r="W240" s="99"/>
      <x:c r="X240" s="99"/>
      <x:c r="Y240" s="99"/>
      <x:c r="Z240" s="99"/>
    </x:row>
    <x:row r="241">
      <x:c r="A241" s="99"/>
      <x:c r="B241" s="99"/>
      <x:c r="C241" s="99"/>
      <x:c r="D241" s="99"/>
      <x:c r="E241" s="99"/>
      <x:c r="F241" s="99"/>
      <x:c r="G241" s="99"/>
      <x:c r="H241" s="99"/>
      <x:c r="I241" s="99"/>
      <x:c r="J241" s="99"/>
      <x:c r="K241" s="99"/>
      <x:c r="L241" s="99"/>
      <x:c r="M241" s="99"/>
      <x:c r="N241" s="99"/>
      <x:c r="O241" s="99"/>
      <x:c r="P241" s="99"/>
      <x:c r="Q241" s="99"/>
      <x:c r="R241" s="99"/>
      <x:c r="S241" s="99"/>
      <x:c r="T241" s="99"/>
      <x:c r="U241" s="99"/>
      <x:c r="V241" s="99"/>
      <x:c r="W241" s="99"/>
      <x:c r="X241" s="99"/>
      <x:c r="Y241" s="99"/>
      <x:c r="Z241" s="99"/>
    </x:row>
    <x:row r="242">
      <x:c r="A242" s="99"/>
      <x:c r="B242" s="99"/>
      <x:c r="C242" s="99"/>
      <x:c r="D242" s="99"/>
      <x:c r="E242" s="99"/>
      <x:c r="F242" s="99"/>
      <x:c r="G242" s="99"/>
      <x:c r="H242" s="99"/>
      <x:c r="I242" s="99"/>
      <x:c r="J242" s="99"/>
      <x:c r="K242" s="99"/>
      <x:c r="L242" s="99"/>
      <x:c r="M242" s="99"/>
      <x:c r="N242" s="99"/>
      <x:c r="O242" s="99"/>
      <x:c r="P242" s="99"/>
      <x:c r="Q242" s="99"/>
      <x:c r="R242" s="99"/>
      <x:c r="S242" s="99"/>
      <x:c r="T242" s="99"/>
      <x:c r="U242" s="99"/>
      <x:c r="V242" s="99"/>
      <x:c r="W242" s="99"/>
      <x:c r="X242" s="99"/>
      <x:c r="Y242" s="99"/>
      <x:c r="Z242" s="99"/>
    </x:row>
    <x:row r="243">
      <x:c r="A243" s="99"/>
      <x:c r="B243" s="99"/>
      <x:c r="C243" s="99"/>
      <x:c r="D243" s="99"/>
      <x:c r="E243" s="99"/>
      <x:c r="F243" s="99"/>
      <x:c r="G243" s="99"/>
      <x:c r="H243" s="99"/>
      <x:c r="I243" s="99"/>
      <x:c r="J243" s="99"/>
      <x:c r="K243" s="99"/>
      <x:c r="L243" s="99"/>
      <x:c r="M243" s="99"/>
      <x:c r="N243" s="99"/>
      <x:c r="O243" s="99"/>
      <x:c r="P243" s="99"/>
      <x:c r="Q243" s="99"/>
      <x:c r="R243" s="99"/>
      <x:c r="S243" s="99"/>
      <x:c r="T243" s="99"/>
      <x:c r="U243" s="99"/>
      <x:c r="V243" s="99"/>
      <x:c r="W243" s="99"/>
      <x:c r="X243" s="99"/>
      <x:c r="Y243" s="99"/>
      <x:c r="Z243" s="99"/>
    </x:row>
    <x:row r="244">
      <x:c r="A244" s="99"/>
      <x:c r="B244" s="99"/>
      <x:c r="C244" s="99"/>
      <x:c r="D244" s="99"/>
      <x:c r="E244" s="99"/>
      <x:c r="F244" s="99"/>
      <x:c r="G244" s="99"/>
      <x:c r="H244" s="99"/>
      <x:c r="I244" s="99"/>
      <x:c r="J244" s="99"/>
      <x:c r="K244" s="99"/>
      <x:c r="L244" s="99"/>
      <x:c r="M244" s="99"/>
      <x:c r="N244" s="99"/>
      <x:c r="O244" s="99"/>
      <x:c r="P244" s="99"/>
      <x:c r="Q244" s="99"/>
      <x:c r="R244" s="99"/>
      <x:c r="S244" s="99"/>
      <x:c r="T244" s="99"/>
      <x:c r="U244" s="99"/>
      <x:c r="V244" s="99"/>
      <x:c r="W244" s="99"/>
      <x:c r="X244" s="99"/>
      <x:c r="Y244" s="99"/>
      <x:c r="Z244" s="99"/>
    </x:row>
    <x:row r="245">
      <x:c r="A245" s="99"/>
      <x:c r="B245" s="99"/>
      <x:c r="C245" s="99"/>
      <x:c r="D245" s="99"/>
      <x:c r="E245" s="99"/>
      <x:c r="F245" s="99"/>
      <x:c r="G245" s="99"/>
      <x:c r="H245" s="99"/>
      <x:c r="I245" s="99"/>
      <x:c r="J245" s="99"/>
      <x:c r="K245" s="99"/>
      <x:c r="L245" s="99"/>
      <x:c r="M245" s="99"/>
      <x:c r="N245" s="99"/>
      <x:c r="O245" s="99"/>
      <x:c r="P245" s="99"/>
      <x:c r="Q245" s="99"/>
      <x:c r="R245" s="99"/>
      <x:c r="S245" s="99"/>
      <x:c r="T245" s="99"/>
      <x:c r="U245" s="99"/>
      <x:c r="V245" s="99"/>
      <x:c r="W245" s="99"/>
      <x:c r="X245" s="99"/>
      <x:c r="Y245" s="99"/>
      <x:c r="Z245" s="99"/>
    </x:row>
    <x:row r="246">
      <x:c r="A246" s="99"/>
      <x:c r="B246" s="99"/>
      <x:c r="C246" s="99"/>
      <x:c r="D246" s="99"/>
      <x:c r="E246" s="99"/>
      <x:c r="F246" s="99"/>
      <x:c r="G246" s="99"/>
      <x:c r="H246" s="99"/>
      <x:c r="I246" s="99"/>
      <x:c r="J246" s="99"/>
      <x:c r="K246" s="99"/>
      <x:c r="L246" s="99"/>
      <x:c r="M246" s="99"/>
      <x:c r="N246" s="99"/>
      <x:c r="O246" s="99"/>
      <x:c r="P246" s="99"/>
      <x:c r="Q246" s="99"/>
      <x:c r="R246" s="99"/>
      <x:c r="S246" s="99"/>
      <x:c r="T246" s="99"/>
      <x:c r="U246" s="99"/>
      <x:c r="V246" s="99"/>
      <x:c r="W246" s="99"/>
      <x:c r="X246" s="99"/>
      <x:c r="Y246" s="99"/>
      <x:c r="Z246" s="99"/>
    </x:row>
    <x:row r="247">
      <x:c r="A247" s="99"/>
      <x:c r="B247" s="99"/>
      <x:c r="C247" s="99"/>
      <x:c r="D247" s="99"/>
      <x:c r="E247" s="99"/>
      <x:c r="F247" s="99"/>
      <x:c r="G247" s="99"/>
      <x:c r="H247" s="99"/>
      <x:c r="I247" s="99"/>
      <x:c r="J247" s="99"/>
      <x:c r="K247" s="99"/>
      <x:c r="L247" s="99"/>
      <x:c r="M247" s="99"/>
      <x:c r="N247" s="99"/>
      <x:c r="O247" s="99"/>
      <x:c r="P247" s="99"/>
      <x:c r="Q247" s="99"/>
      <x:c r="R247" s="99"/>
      <x:c r="S247" s="99"/>
      <x:c r="T247" s="99"/>
      <x:c r="U247" s="99"/>
      <x:c r="V247" s="99"/>
      <x:c r="W247" s="99"/>
      <x:c r="X247" s="99"/>
      <x:c r="Y247" s="99"/>
      <x:c r="Z247" s="99"/>
    </x:row>
    <x:row r="248">
      <x:c r="A248" s="99"/>
      <x:c r="B248" s="99"/>
      <x:c r="C248" s="99"/>
      <x:c r="D248" s="99"/>
      <x:c r="E248" s="99"/>
      <x:c r="F248" s="99"/>
      <x:c r="G248" s="99"/>
      <x:c r="H248" s="99"/>
      <x:c r="I248" s="99"/>
      <x:c r="J248" s="99"/>
      <x:c r="K248" s="99"/>
      <x:c r="L248" s="99"/>
      <x:c r="M248" s="99"/>
      <x:c r="N248" s="99"/>
      <x:c r="O248" s="99"/>
      <x:c r="P248" s="99"/>
      <x:c r="Q248" s="99"/>
      <x:c r="R248" s="99"/>
      <x:c r="S248" s="99"/>
      <x:c r="T248" s="99"/>
      <x:c r="U248" s="99"/>
      <x:c r="V248" s="99"/>
      <x:c r="W248" s="99"/>
      <x:c r="X248" s="99"/>
      <x:c r="Y248" s="99"/>
      <x:c r="Z248" s="99"/>
    </x:row>
    <x:row r="249">
      <x:c r="A249" s="99"/>
      <x:c r="B249" s="99"/>
      <x:c r="C249" s="99"/>
      <x:c r="D249" s="99"/>
      <x:c r="E249" s="99"/>
      <x:c r="F249" s="99"/>
      <x:c r="G249" s="99"/>
      <x:c r="H249" s="99"/>
      <x:c r="I249" s="99"/>
      <x:c r="J249" s="99"/>
      <x:c r="K249" s="99"/>
      <x:c r="L249" s="99"/>
      <x:c r="M249" s="99"/>
      <x:c r="N249" s="99"/>
      <x:c r="O249" s="99"/>
      <x:c r="P249" s="99"/>
      <x:c r="Q249" s="99"/>
      <x:c r="R249" s="99"/>
      <x:c r="S249" s="99"/>
      <x:c r="T249" s="99"/>
      <x:c r="U249" s="99"/>
      <x:c r="V249" s="99"/>
      <x:c r="W249" s="99"/>
      <x:c r="X249" s="99"/>
      <x:c r="Y249" s="99"/>
      <x:c r="Z249" s="99"/>
    </x:row>
    <x:row r="250">
      <x:c r="A250" s="99"/>
      <x:c r="B250" s="99"/>
      <x:c r="C250" s="99"/>
      <x:c r="D250" s="99"/>
      <x:c r="E250" s="99"/>
      <x:c r="F250" s="99"/>
      <x:c r="G250" s="99"/>
      <x:c r="H250" s="99"/>
      <x:c r="I250" s="99"/>
      <x:c r="J250" s="99"/>
      <x:c r="K250" s="99"/>
      <x:c r="L250" s="99"/>
      <x:c r="M250" s="99"/>
      <x:c r="N250" s="99"/>
      <x:c r="O250" s="99"/>
      <x:c r="P250" s="99"/>
      <x:c r="Q250" s="99"/>
      <x:c r="R250" s="99"/>
      <x:c r="S250" s="99"/>
      <x:c r="T250" s="99"/>
      <x:c r="U250" s="99"/>
      <x:c r="V250" s="99"/>
      <x:c r="W250" s="99"/>
      <x:c r="X250" s="99"/>
      <x:c r="Y250" s="99"/>
      <x:c r="Z250" s="99"/>
    </x:row>
    <x:row r="251">
      <x:c r="A251" s="99"/>
      <x:c r="B251" s="99"/>
      <x:c r="C251" s="99"/>
      <x:c r="D251" s="99"/>
      <x:c r="E251" s="99"/>
      <x:c r="F251" s="99"/>
      <x:c r="G251" s="99"/>
      <x:c r="H251" s="99"/>
      <x:c r="I251" s="99"/>
      <x:c r="J251" s="99"/>
      <x:c r="K251" s="99"/>
      <x:c r="L251" s="99"/>
      <x:c r="M251" s="99"/>
      <x:c r="N251" s="99"/>
      <x:c r="O251" s="99"/>
      <x:c r="P251" s="99"/>
      <x:c r="Q251" s="99"/>
      <x:c r="R251" s="99"/>
      <x:c r="S251" s="99"/>
      <x:c r="T251" s="99"/>
      <x:c r="U251" s="99"/>
      <x:c r="V251" s="99"/>
      <x:c r="W251" s="99"/>
      <x:c r="X251" s="99"/>
      <x:c r="Y251" s="99"/>
      <x:c r="Z251" s="99"/>
    </x:row>
    <x:row r="252">
      <x:c r="A252" s="99"/>
      <x:c r="B252" s="99"/>
      <x:c r="C252" s="99"/>
      <x:c r="D252" s="99"/>
      <x:c r="E252" s="99"/>
      <x:c r="F252" s="99"/>
      <x:c r="G252" s="99"/>
      <x:c r="H252" s="99"/>
      <x:c r="I252" s="99"/>
      <x:c r="J252" s="99"/>
      <x:c r="K252" s="99"/>
      <x:c r="L252" s="99"/>
      <x:c r="M252" s="99"/>
      <x:c r="N252" s="99"/>
      <x:c r="O252" s="99"/>
      <x:c r="P252" s="99"/>
      <x:c r="Q252" s="99"/>
      <x:c r="R252" s="99"/>
      <x:c r="S252" s="99"/>
      <x:c r="T252" s="99"/>
      <x:c r="U252" s="99"/>
      <x:c r="V252" s="99"/>
      <x:c r="W252" s="99"/>
      <x:c r="X252" s="99"/>
      <x:c r="Y252" s="99"/>
      <x:c r="Z252" s="99"/>
    </x:row>
    <x:row r="253">
      <x:c r="A253" s="99"/>
      <x:c r="B253" s="99"/>
      <x:c r="C253" s="99"/>
      <x:c r="D253" s="99"/>
      <x:c r="E253" s="99"/>
      <x:c r="F253" s="99"/>
      <x:c r="G253" s="99"/>
      <x:c r="H253" s="99"/>
      <x:c r="I253" s="99"/>
      <x:c r="J253" s="99"/>
      <x:c r="K253" s="99"/>
      <x:c r="L253" s="99"/>
      <x:c r="M253" s="99"/>
      <x:c r="N253" s="99"/>
      <x:c r="O253" s="99"/>
      <x:c r="P253" s="99"/>
      <x:c r="Q253" s="99"/>
      <x:c r="R253" s="99"/>
      <x:c r="S253" s="99"/>
      <x:c r="T253" s="99"/>
      <x:c r="U253" s="99"/>
      <x:c r="V253" s="99"/>
      <x:c r="W253" s="99"/>
      <x:c r="X253" s="99"/>
      <x:c r="Y253" s="99"/>
      <x:c r="Z253" s="99"/>
    </x:row>
    <x:row r="254">
      <x:c r="A254" s="99"/>
      <x:c r="B254" s="99"/>
      <x:c r="C254" s="99"/>
      <x:c r="D254" s="99"/>
      <x:c r="E254" s="99"/>
      <x:c r="F254" s="99"/>
      <x:c r="G254" s="99"/>
      <x:c r="H254" s="99"/>
      <x:c r="I254" s="99"/>
      <x:c r="J254" s="99"/>
      <x:c r="K254" s="99"/>
      <x:c r="L254" s="99"/>
      <x:c r="M254" s="99"/>
      <x:c r="N254" s="99"/>
      <x:c r="O254" s="99"/>
      <x:c r="P254" s="99"/>
      <x:c r="Q254" s="99"/>
      <x:c r="R254" s="99"/>
      <x:c r="S254" s="99"/>
      <x:c r="T254" s="99"/>
      <x:c r="U254" s="99"/>
      <x:c r="V254" s="99"/>
      <x:c r="W254" s="99"/>
      <x:c r="X254" s="99"/>
      <x:c r="Y254" s="99"/>
      <x:c r="Z254" s="99"/>
    </x:row>
    <x:row r="255">
      <x:c r="A255" s="99"/>
      <x:c r="B255" s="99"/>
      <x:c r="C255" s="99"/>
      <x:c r="D255" s="99"/>
      <x:c r="E255" s="99"/>
      <x:c r="F255" s="99"/>
      <x:c r="G255" s="99"/>
      <x:c r="H255" s="99"/>
      <x:c r="I255" s="99"/>
      <x:c r="J255" s="99"/>
      <x:c r="K255" s="99"/>
      <x:c r="L255" s="99"/>
      <x:c r="M255" s="99"/>
      <x:c r="N255" s="99"/>
      <x:c r="O255" s="99"/>
      <x:c r="P255" s="99"/>
      <x:c r="Q255" s="99"/>
      <x:c r="R255" s="99"/>
      <x:c r="S255" s="99"/>
      <x:c r="T255" s="99"/>
      <x:c r="U255" s="99"/>
      <x:c r="V255" s="99"/>
      <x:c r="W255" s="99"/>
      <x:c r="X255" s="99"/>
      <x:c r="Y255" s="99"/>
      <x:c r="Z255" s="99"/>
    </x:row>
    <x:row r="256">
      <x:c r="A256" s="99"/>
      <x:c r="B256" s="99"/>
      <x:c r="C256" s="99"/>
      <x:c r="D256" s="99"/>
      <x:c r="E256" s="99"/>
      <x:c r="F256" s="99"/>
      <x:c r="G256" s="99"/>
      <x:c r="H256" s="99"/>
      <x:c r="I256" s="99"/>
      <x:c r="J256" s="99"/>
      <x:c r="K256" s="99"/>
      <x:c r="L256" s="99"/>
      <x:c r="M256" s="99"/>
      <x:c r="N256" s="99"/>
      <x:c r="O256" s="99"/>
      <x:c r="P256" s="99"/>
      <x:c r="Q256" s="99"/>
      <x:c r="R256" s="99"/>
      <x:c r="S256" s="99"/>
      <x:c r="T256" s="99"/>
      <x:c r="U256" s="99"/>
      <x:c r="V256" s="99"/>
      <x:c r="W256" s="99"/>
      <x:c r="X256" s="99"/>
      <x:c r="Y256" s="99"/>
      <x:c r="Z256" s="99"/>
    </x:row>
    <x:row r="257">
      <x:c r="A257" s="99"/>
      <x:c r="B257" s="99"/>
      <x:c r="C257" s="99"/>
      <x:c r="D257" s="99"/>
      <x:c r="E257" s="99"/>
      <x:c r="F257" s="99"/>
      <x:c r="G257" s="99"/>
      <x:c r="H257" s="99"/>
      <x:c r="I257" s="99"/>
      <x:c r="J257" s="99"/>
      <x:c r="K257" s="99"/>
      <x:c r="L257" s="99"/>
      <x:c r="M257" s="99"/>
      <x:c r="N257" s="99"/>
      <x:c r="O257" s="99"/>
      <x:c r="P257" s="99"/>
      <x:c r="Q257" s="99"/>
      <x:c r="R257" s="99"/>
      <x:c r="S257" s="99"/>
      <x:c r="T257" s="99"/>
      <x:c r="U257" s="99"/>
      <x:c r="V257" s="99"/>
      <x:c r="W257" s="99"/>
      <x:c r="X257" s="99"/>
      <x:c r="Y257" s="99"/>
      <x:c r="Z257" s="99"/>
    </x:row>
    <x:row r="258">
      <x:c r="A258" s="99"/>
      <x:c r="B258" s="99"/>
      <x:c r="C258" s="99"/>
      <x:c r="D258" s="99"/>
      <x:c r="E258" s="99"/>
      <x:c r="F258" s="99"/>
      <x:c r="G258" s="99"/>
      <x:c r="H258" s="99"/>
      <x:c r="I258" s="99"/>
      <x:c r="J258" s="99"/>
      <x:c r="K258" s="99"/>
      <x:c r="L258" s="99"/>
      <x:c r="M258" s="99"/>
      <x:c r="N258" s="99"/>
      <x:c r="O258" s="99"/>
      <x:c r="P258" s="99"/>
      <x:c r="Q258" s="99"/>
      <x:c r="R258" s="99"/>
      <x:c r="S258" s="99"/>
      <x:c r="T258" s="99"/>
      <x:c r="U258" s="99"/>
      <x:c r="V258" s="99"/>
      <x:c r="W258" s="99"/>
      <x:c r="X258" s="99"/>
      <x:c r="Y258" s="99"/>
      <x:c r="Z258" s="99"/>
    </x:row>
    <x:row r="259">
      <x:c r="A259" s="99"/>
      <x:c r="B259" s="99"/>
      <x:c r="C259" s="99"/>
      <x:c r="D259" s="99"/>
      <x:c r="E259" s="99"/>
      <x:c r="F259" s="99"/>
      <x:c r="G259" s="99"/>
      <x:c r="H259" s="99"/>
      <x:c r="I259" s="99"/>
      <x:c r="J259" s="99"/>
      <x:c r="K259" s="99"/>
      <x:c r="L259" s="99"/>
      <x:c r="M259" s="99"/>
      <x:c r="N259" s="99"/>
      <x:c r="O259" s="99"/>
      <x:c r="P259" s="99"/>
      <x:c r="Q259" s="99"/>
      <x:c r="R259" s="99"/>
      <x:c r="S259" s="99"/>
      <x:c r="T259" s="99"/>
      <x:c r="U259" s="99"/>
      <x:c r="V259" s="99"/>
      <x:c r="W259" s="99"/>
      <x:c r="X259" s="99"/>
      <x:c r="Y259" s="99"/>
      <x:c r="Z259" s="99"/>
    </x:row>
    <x:row r="260">
      <x:c r="A260" s="99"/>
      <x:c r="B260" s="99"/>
      <x:c r="C260" s="99"/>
      <x:c r="D260" s="99"/>
      <x:c r="E260" s="99"/>
      <x:c r="F260" s="99"/>
      <x:c r="G260" s="99"/>
      <x:c r="H260" s="99"/>
      <x:c r="I260" s="99"/>
      <x:c r="J260" s="99"/>
      <x:c r="K260" s="99"/>
      <x:c r="L260" s="99"/>
      <x:c r="M260" s="99"/>
      <x:c r="N260" s="99"/>
      <x:c r="O260" s="99"/>
      <x:c r="P260" s="99"/>
      <x:c r="Q260" s="99"/>
      <x:c r="R260" s="99"/>
      <x:c r="S260" s="99"/>
      <x:c r="T260" s="99"/>
      <x:c r="U260" s="99"/>
      <x:c r="V260" s="99"/>
      <x:c r="W260" s="99"/>
      <x:c r="X260" s="99"/>
      <x:c r="Y260" s="99"/>
      <x:c r="Z260" s="99"/>
    </x:row>
    <x:row r="261">
      <x:c r="A261" s="99"/>
      <x:c r="B261" s="99"/>
      <x:c r="C261" s="99"/>
      <x:c r="D261" s="99"/>
      <x:c r="E261" s="99"/>
      <x:c r="F261" s="99"/>
      <x:c r="G261" s="99"/>
      <x:c r="H261" s="99"/>
      <x:c r="I261" s="99"/>
      <x:c r="J261" s="99"/>
      <x:c r="K261" s="99"/>
      <x:c r="L261" s="99"/>
      <x:c r="M261" s="99"/>
      <x:c r="N261" s="99"/>
      <x:c r="O261" s="99"/>
      <x:c r="P261" s="99"/>
      <x:c r="Q261" s="99"/>
      <x:c r="R261" s="99"/>
      <x:c r="S261" s="99"/>
      <x:c r="T261" s="99"/>
      <x:c r="U261" s="99"/>
      <x:c r="V261" s="99"/>
      <x:c r="W261" s="99"/>
      <x:c r="X261" s="99"/>
      <x:c r="Y261" s="99"/>
      <x:c r="Z261" s="99"/>
    </x:row>
    <x:row r="262">
      <x:c r="A262" s="99"/>
      <x:c r="B262" s="99"/>
      <x:c r="C262" s="99"/>
      <x:c r="D262" s="99"/>
      <x:c r="E262" s="99"/>
      <x:c r="F262" s="99"/>
      <x:c r="G262" s="99"/>
      <x:c r="H262" s="99"/>
      <x:c r="I262" s="99"/>
      <x:c r="J262" s="99"/>
      <x:c r="K262" s="99"/>
      <x:c r="L262" s="99"/>
      <x:c r="M262" s="99"/>
      <x:c r="N262" s="99"/>
      <x:c r="O262" s="99"/>
      <x:c r="P262" s="99"/>
      <x:c r="Q262" s="99"/>
      <x:c r="R262" s="99"/>
      <x:c r="S262" s="99"/>
      <x:c r="T262" s="99"/>
      <x:c r="U262" s="99"/>
      <x:c r="V262" s="99"/>
      <x:c r="W262" s="99"/>
      <x:c r="X262" s="99"/>
      <x:c r="Y262" s="99"/>
      <x:c r="Z262" s="99"/>
    </x:row>
    <x:row r="263">
      <x:c r="A263" s="99"/>
      <x:c r="B263" s="99"/>
      <x:c r="C263" s="99"/>
      <x:c r="D263" s="99"/>
      <x:c r="E263" s="99"/>
      <x:c r="F263" s="99"/>
      <x:c r="G263" s="99"/>
      <x:c r="H263" s="99"/>
      <x:c r="I263" s="99"/>
      <x:c r="J263" s="99"/>
      <x:c r="K263" s="99"/>
      <x:c r="L263" s="99"/>
      <x:c r="M263" s="99"/>
      <x:c r="N263" s="99"/>
      <x:c r="O263" s="99"/>
      <x:c r="P263" s="99"/>
      <x:c r="Q263" s="99"/>
      <x:c r="R263" s="99"/>
      <x:c r="S263" s="99"/>
      <x:c r="T263" s="99"/>
      <x:c r="U263" s="99"/>
      <x:c r="V263" s="99"/>
      <x:c r="W263" s="99"/>
      <x:c r="X263" s="99"/>
      <x:c r="Y263" s="99"/>
      <x:c r="Z263" s="99"/>
    </x:row>
    <x:row r="264">
      <x:c r="A264" s="99"/>
      <x:c r="B264" s="99"/>
      <x:c r="C264" s="99"/>
      <x:c r="D264" s="99"/>
      <x:c r="E264" s="99"/>
      <x:c r="F264" s="99"/>
      <x:c r="G264" s="99"/>
      <x:c r="H264" s="99"/>
      <x:c r="I264" s="99"/>
      <x:c r="J264" s="99"/>
      <x:c r="K264" s="99"/>
      <x:c r="L264" s="99"/>
      <x:c r="M264" s="99"/>
      <x:c r="N264" s="99"/>
      <x:c r="O264" s="99"/>
      <x:c r="P264" s="99"/>
      <x:c r="Q264" s="99"/>
      <x:c r="R264" s="99"/>
      <x:c r="S264" s="99"/>
      <x:c r="T264" s="99"/>
      <x:c r="U264" s="99"/>
      <x:c r="V264" s="99"/>
      <x:c r="W264" s="99"/>
      <x:c r="X264" s="99"/>
      <x:c r="Y264" s="99"/>
      <x:c r="Z264" s="99"/>
    </x:row>
    <x:row r="265">
      <x:c r="A265" s="99"/>
      <x:c r="B265" s="99"/>
      <x:c r="C265" s="99"/>
      <x:c r="D265" s="99"/>
      <x:c r="E265" s="99"/>
      <x:c r="F265" s="99"/>
      <x:c r="G265" s="99"/>
      <x:c r="H265" s="99"/>
      <x:c r="I265" s="99"/>
      <x:c r="J265" s="99"/>
      <x:c r="K265" s="99"/>
      <x:c r="L265" s="99"/>
      <x:c r="M265" s="99"/>
      <x:c r="N265" s="99"/>
      <x:c r="O265" s="99"/>
      <x:c r="P265" s="99"/>
      <x:c r="Q265" s="99"/>
      <x:c r="R265" s="99"/>
      <x:c r="S265" s="99"/>
      <x:c r="T265" s="99"/>
      <x:c r="U265" s="99"/>
      <x:c r="V265" s="99"/>
      <x:c r="W265" s="99"/>
      <x:c r="X265" s="99"/>
      <x:c r="Y265" s="99"/>
      <x:c r="Z265" s="99"/>
    </x:row>
    <x:row r="266">
      <x:c r="A266" s="99"/>
      <x:c r="B266" s="99"/>
      <x:c r="C266" s="99"/>
      <x:c r="D266" s="99"/>
      <x:c r="E266" s="99"/>
      <x:c r="F266" s="99"/>
      <x:c r="G266" s="99"/>
      <x:c r="H266" s="99"/>
      <x:c r="I266" s="99"/>
      <x:c r="J266" s="99"/>
      <x:c r="K266" s="99"/>
      <x:c r="L266" s="99"/>
      <x:c r="M266" s="99"/>
      <x:c r="N266" s="99"/>
      <x:c r="O266" s="99"/>
      <x:c r="P266" s="99"/>
      <x:c r="Q266" s="99"/>
      <x:c r="R266" s="99"/>
      <x:c r="S266" s="99"/>
      <x:c r="T266" s="99"/>
      <x:c r="U266" s="99"/>
      <x:c r="V266" s="99"/>
      <x:c r="W266" s="99"/>
      <x:c r="X266" s="99"/>
      <x:c r="Y266" s="99"/>
      <x:c r="Z266" s="99"/>
    </x:row>
    <x:row r="267">
      <x:c r="A267" s="99"/>
      <x:c r="B267" s="99"/>
      <x:c r="C267" s="99"/>
      <x:c r="D267" s="99"/>
      <x:c r="E267" s="99"/>
      <x:c r="F267" s="99"/>
      <x:c r="G267" s="99"/>
      <x:c r="H267" s="99"/>
      <x:c r="I267" s="99"/>
      <x:c r="J267" s="99"/>
      <x:c r="K267" s="99"/>
      <x:c r="L267" s="99"/>
      <x:c r="M267" s="99"/>
      <x:c r="N267" s="99"/>
      <x:c r="O267" s="99"/>
      <x:c r="P267" s="99"/>
      <x:c r="Q267" s="99"/>
      <x:c r="R267" s="99"/>
      <x:c r="S267" s="99"/>
      <x:c r="T267" s="99"/>
      <x:c r="U267" s="99"/>
      <x:c r="V267" s="99"/>
      <x:c r="W267" s="99"/>
      <x:c r="X267" s="99"/>
      <x:c r="Y267" s="99"/>
      <x:c r="Z267" s="99"/>
    </x:row>
    <x:row r="268">
      <x:c r="A268" s="99"/>
      <x:c r="B268" s="99"/>
      <x:c r="C268" s="99"/>
      <x:c r="D268" s="99"/>
      <x:c r="E268" s="99"/>
      <x:c r="F268" s="99"/>
      <x:c r="G268" s="99"/>
      <x:c r="H268" s="99"/>
      <x:c r="I268" s="99"/>
      <x:c r="J268" s="99"/>
      <x:c r="K268" s="99"/>
      <x:c r="L268" s="99"/>
      <x:c r="M268" s="99"/>
      <x:c r="N268" s="99"/>
      <x:c r="O268" s="99"/>
      <x:c r="P268" s="99"/>
      <x:c r="Q268" s="99"/>
      <x:c r="R268" s="99"/>
      <x:c r="S268" s="99"/>
      <x:c r="T268" s="99"/>
      <x:c r="U268" s="99"/>
      <x:c r="V268" s="99"/>
      <x:c r="W268" s="99"/>
      <x:c r="X268" s="99"/>
      <x:c r="Y268" s="99"/>
      <x:c r="Z268" s="99"/>
    </x:row>
    <x:row r="269">
      <x:c r="A269" s="99"/>
      <x:c r="B269" s="99"/>
      <x:c r="C269" s="99"/>
      <x:c r="D269" s="99"/>
      <x:c r="E269" s="99"/>
      <x:c r="F269" s="99"/>
      <x:c r="G269" s="99"/>
      <x:c r="H269" s="99"/>
      <x:c r="I269" s="99"/>
      <x:c r="J269" s="99"/>
      <x:c r="K269" s="99"/>
      <x:c r="L269" s="99"/>
      <x:c r="M269" s="99"/>
      <x:c r="N269" s="99"/>
      <x:c r="O269" s="99"/>
      <x:c r="P269" s="99"/>
      <x:c r="Q269" s="99"/>
      <x:c r="R269" s="99"/>
      <x:c r="S269" s="99"/>
      <x:c r="T269" s="99"/>
      <x:c r="U269" s="99"/>
      <x:c r="V269" s="99"/>
      <x:c r="W269" s="99"/>
      <x:c r="X269" s="99"/>
      <x:c r="Y269" s="99"/>
      <x:c r="Z269" s="99"/>
    </x:row>
    <x:row r="270">
      <x:c r="A270" s="99"/>
      <x:c r="B270" s="99"/>
      <x:c r="C270" s="99"/>
      <x:c r="D270" s="99"/>
      <x:c r="E270" s="99"/>
      <x:c r="F270" s="99"/>
      <x:c r="G270" s="99"/>
      <x:c r="H270" s="99"/>
      <x:c r="I270" s="99"/>
      <x:c r="J270" s="99"/>
      <x:c r="K270" s="99"/>
      <x:c r="L270" s="99"/>
      <x:c r="M270" s="99"/>
      <x:c r="N270" s="99"/>
      <x:c r="O270" s="99"/>
      <x:c r="P270" s="99"/>
      <x:c r="Q270" s="99"/>
      <x:c r="R270" s="99"/>
      <x:c r="S270" s="99"/>
      <x:c r="T270" s="99"/>
      <x:c r="U270" s="99"/>
      <x:c r="V270" s="99"/>
      <x:c r="W270" s="99"/>
      <x:c r="X270" s="99"/>
      <x:c r="Y270" s="99"/>
      <x:c r="Z270" s="99"/>
    </x:row>
    <x:row r="271">
      <x:c r="A271" s="99"/>
      <x:c r="B271" s="99"/>
      <x:c r="C271" s="99"/>
      <x:c r="D271" s="99"/>
      <x:c r="E271" s="99"/>
      <x:c r="F271" s="99"/>
      <x:c r="G271" s="99"/>
      <x:c r="H271" s="99"/>
      <x:c r="I271" s="99"/>
      <x:c r="J271" s="99"/>
      <x:c r="K271" s="99"/>
      <x:c r="L271" s="99"/>
      <x:c r="M271" s="99"/>
      <x:c r="N271" s="99"/>
      <x:c r="O271" s="99"/>
      <x:c r="P271" s="99"/>
      <x:c r="Q271" s="99"/>
      <x:c r="R271" s="99"/>
      <x:c r="S271" s="99"/>
      <x:c r="T271" s="99"/>
      <x:c r="U271" s="99"/>
      <x:c r="V271" s="99"/>
      <x:c r="W271" s="99"/>
      <x:c r="X271" s="99"/>
      <x:c r="Y271" s="99"/>
      <x:c r="Z271" s="99"/>
    </x:row>
    <x:row r="272">
      <x:c r="A272" s="99"/>
      <x:c r="B272" s="99"/>
      <x:c r="C272" s="99"/>
      <x:c r="D272" s="99"/>
      <x:c r="E272" s="99"/>
      <x:c r="F272" s="99"/>
      <x:c r="G272" s="99"/>
      <x:c r="H272" s="99"/>
      <x:c r="I272" s="99"/>
      <x:c r="J272" s="99"/>
      <x:c r="K272" s="99"/>
      <x:c r="L272" s="99"/>
      <x:c r="M272" s="99"/>
      <x:c r="N272" s="99"/>
      <x:c r="O272" s="99"/>
      <x:c r="P272" s="99"/>
      <x:c r="Q272" s="99"/>
      <x:c r="R272" s="99"/>
      <x:c r="S272" s="99"/>
      <x:c r="T272" s="99"/>
      <x:c r="U272" s="99"/>
      <x:c r="V272" s="99"/>
      <x:c r="W272" s="99"/>
      <x:c r="X272" s="99"/>
      <x:c r="Y272" s="99"/>
      <x:c r="Z272" s="99"/>
    </x:row>
    <x:row r="273">
      <x:c r="A273" s="99"/>
      <x:c r="B273" s="99"/>
      <x:c r="C273" s="99"/>
      <x:c r="D273" s="99"/>
      <x:c r="E273" s="99"/>
      <x:c r="F273" s="99"/>
      <x:c r="G273" s="99"/>
      <x:c r="H273" s="99"/>
      <x:c r="I273" s="99"/>
      <x:c r="J273" s="99"/>
      <x:c r="K273" s="99"/>
      <x:c r="L273" s="99"/>
      <x:c r="M273" s="99"/>
      <x:c r="N273" s="99"/>
      <x:c r="O273" s="99"/>
      <x:c r="P273" s="99"/>
      <x:c r="Q273" s="99"/>
      <x:c r="R273" s="99"/>
      <x:c r="S273" s="99"/>
      <x:c r="T273" s="99"/>
      <x:c r="U273" s="99"/>
      <x:c r="V273" s="99"/>
      <x:c r="W273" s="99"/>
      <x:c r="X273" s="99"/>
      <x:c r="Y273" s="99"/>
      <x:c r="Z273" s="99"/>
    </x:row>
    <x:row r="274">
      <x:c r="A274" s="99"/>
      <x:c r="B274" s="99"/>
      <x:c r="C274" s="99"/>
      <x:c r="D274" s="99"/>
      <x:c r="E274" s="99"/>
      <x:c r="F274" s="99"/>
      <x:c r="G274" s="99"/>
      <x:c r="H274" s="99"/>
      <x:c r="I274" s="99"/>
      <x:c r="J274" s="99"/>
      <x:c r="K274" s="99"/>
      <x:c r="L274" s="99"/>
      <x:c r="M274" s="99"/>
      <x:c r="N274" s="99"/>
      <x:c r="O274" s="99"/>
      <x:c r="P274" s="99"/>
      <x:c r="Q274" s="99"/>
      <x:c r="R274" s="99"/>
      <x:c r="S274" s="99"/>
      <x:c r="T274" s="99"/>
      <x:c r="U274" s="99"/>
      <x:c r="V274" s="99"/>
      <x:c r="W274" s="99"/>
      <x:c r="X274" s="99"/>
      <x:c r="Y274" s="99"/>
      <x:c r="Z274" s="99"/>
    </x:row>
    <x:row r="275">
      <x:c r="A275" s="99"/>
      <x:c r="B275" s="99"/>
      <x:c r="C275" s="99"/>
      <x:c r="D275" s="99"/>
      <x:c r="E275" s="99"/>
      <x:c r="F275" s="99"/>
      <x:c r="G275" s="99"/>
      <x:c r="H275" s="99"/>
      <x:c r="I275" s="99"/>
      <x:c r="J275" s="99"/>
      <x:c r="K275" s="99"/>
      <x:c r="L275" s="99"/>
      <x:c r="M275" s="99"/>
      <x:c r="N275" s="99"/>
      <x:c r="O275" s="99"/>
      <x:c r="P275" s="99"/>
      <x:c r="Q275" s="99"/>
      <x:c r="R275" s="99"/>
      <x:c r="S275" s="99"/>
      <x:c r="T275" s="99"/>
      <x:c r="U275" s="99"/>
      <x:c r="V275" s="99"/>
      <x:c r="W275" s="99"/>
      <x:c r="X275" s="99"/>
      <x:c r="Y275" s="99"/>
      <x:c r="Z275" s="99"/>
    </x:row>
    <x:row r="276">
      <x:c r="A276" s="99"/>
      <x:c r="B276" s="99"/>
      <x:c r="C276" s="99"/>
      <x:c r="D276" s="99"/>
      <x:c r="E276" s="99"/>
      <x:c r="F276" s="99"/>
      <x:c r="G276" s="99"/>
      <x:c r="H276" s="99"/>
      <x:c r="I276" s="99"/>
      <x:c r="J276" s="99"/>
      <x:c r="K276" s="99"/>
      <x:c r="L276" s="99"/>
      <x:c r="M276" s="99"/>
      <x:c r="N276" s="99"/>
      <x:c r="O276" s="99"/>
      <x:c r="P276" s="99"/>
      <x:c r="Q276" s="99"/>
      <x:c r="R276" s="99"/>
      <x:c r="S276" s="99"/>
      <x:c r="T276" s="99"/>
      <x:c r="U276" s="99"/>
      <x:c r="V276" s="99"/>
      <x:c r="W276" s="99"/>
      <x:c r="X276" s="99"/>
      <x:c r="Y276" s="99"/>
      <x:c r="Z276" s="99"/>
    </x:row>
    <x:row r="277">
      <x:c r="A277" s="99"/>
      <x:c r="B277" s="99"/>
      <x:c r="C277" s="99"/>
      <x:c r="D277" s="99"/>
      <x:c r="E277" s="99"/>
      <x:c r="F277" s="99"/>
      <x:c r="G277" s="99"/>
      <x:c r="H277" s="99"/>
      <x:c r="I277" s="99"/>
      <x:c r="J277" s="99"/>
      <x:c r="K277" s="99"/>
      <x:c r="L277" s="99"/>
      <x:c r="M277" s="99"/>
      <x:c r="N277" s="99"/>
      <x:c r="O277" s="99"/>
      <x:c r="P277" s="99"/>
      <x:c r="Q277" s="99"/>
      <x:c r="R277" s="99"/>
      <x:c r="S277" s="99"/>
      <x:c r="T277" s="99"/>
      <x:c r="U277" s="99"/>
      <x:c r="V277" s="99"/>
      <x:c r="W277" s="99"/>
      <x:c r="X277" s="99"/>
      <x:c r="Y277" s="99"/>
      <x:c r="Z277" s="99"/>
    </x:row>
    <x:row r="278">
      <x:c r="A278" s="99"/>
      <x:c r="B278" s="99"/>
      <x:c r="C278" s="99"/>
      <x:c r="D278" s="99"/>
      <x:c r="E278" s="99"/>
      <x:c r="F278" s="99"/>
      <x:c r="G278" s="99"/>
      <x:c r="H278" s="99"/>
      <x:c r="I278" s="99"/>
      <x:c r="J278" s="99"/>
      <x:c r="K278" s="99"/>
      <x:c r="L278" s="99"/>
      <x:c r="M278" s="99"/>
      <x:c r="N278" s="99"/>
      <x:c r="O278" s="99"/>
      <x:c r="P278" s="99"/>
      <x:c r="Q278" s="99"/>
      <x:c r="R278" s="99"/>
      <x:c r="S278" s="99"/>
      <x:c r="T278" s="99"/>
      <x:c r="U278" s="99"/>
      <x:c r="V278" s="99"/>
      <x:c r="W278" s="99"/>
      <x:c r="X278" s="99"/>
      <x:c r="Y278" s="99"/>
      <x:c r="Z278" s="99"/>
    </x:row>
    <x:row r="279">
      <x:c r="A279" s="99"/>
      <x:c r="B279" s="99"/>
      <x:c r="C279" s="99"/>
      <x:c r="D279" s="99"/>
      <x:c r="E279" s="99"/>
      <x:c r="F279" s="99"/>
      <x:c r="G279" s="99"/>
      <x:c r="H279" s="99"/>
      <x:c r="I279" s="99"/>
      <x:c r="J279" s="99"/>
      <x:c r="K279" s="99"/>
      <x:c r="L279" s="99"/>
      <x:c r="M279" s="99"/>
      <x:c r="N279" s="99"/>
      <x:c r="O279" s="99"/>
      <x:c r="P279" s="99"/>
      <x:c r="Q279" s="99"/>
      <x:c r="R279" s="99"/>
      <x:c r="S279" s="99"/>
      <x:c r="T279" s="99"/>
      <x:c r="U279" s="99"/>
      <x:c r="V279" s="99"/>
      <x:c r="W279" s="99"/>
      <x:c r="X279" s="99"/>
      <x:c r="Y279" s="99"/>
      <x:c r="Z279" s="99"/>
    </x:row>
    <x:row r="280">
      <x:c r="A280" s="99"/>
      <x:c r="B280" s="99"/>
      <x:c r="C280" s="99"/>
      <x:c r="D280" s="99"/>
      <x:c r="E280" s="99"/>
      <x:c r="F280" s="99"/>
      <x:c r="G280" s="99"/>
      <x:c r="H280" s="99"/>
      <x:c r="I280" s="99"/>
      <x:c r="J280" s="99"/>
      <x:c r="K280" s="99"/>
      <x:c r="L280" s="99"/>
      <x:c r="M280" s="99"/>
      <x:c r="N280" s="99"/>
      <x:c r="O280" s="99"/>
      <x:c r="P280" s="99"/>
      <x:c r="Q280" s="99"/>
      <x:c r="R280" s="99"/>
      <x:c r="S280" s="99"/>
      <x:c r="T280" s="99"/>
      <x:c r="U280" s="99"/>
      <x:c r="V280" s="99"/>
      <x:c r="W280" s="99"/>
      <x:c r="X280" s="99"/>
      <x:c r="Y280" s="99"/>
      <x:c r="Z280" s="99"/>
    </x:row>
    <x:row r="281">
      <x:c r="A281" s="99"/>
      <x:c r="B281" s="99"/>
      <x:c r="C281" s="99"/>
      <x:c r="D281" s="99"/>
      <x:c r="E281" s="99"/>
      <x:c r="F281" s="99"/>
      <x:c r="G281" s="99"/>
      <x:c r="H281" s="99"/>
      <x:c r="I281" s="99"/>
      <x:c r="J281" s="99"/>
      <x:c r="K281" s="99"/>
      <x:c r="L281" s="99"/>
      <x:c r="M281" s="99"/>
      <x:c r="N281" s="99"/>
      <x:c r="O281" s="99"/>
      <x:c r="P281" s="99"/>
      <x:c r="Q281" s="99"/>
      <x:c r="R281" s="99"/>
      <x:c r="S281" s="99"/>
      <x:c r="T281" s="99"/>
      <x:c r="U281" s="99"/>
      <x:c r="V281" s="99"/>
      <x:c r="W281" s="99"/>
      <x:c r="X281" s="99"/>
      <x:c r="Y281" s="99"/>
      <x:c r="Z281" s="99"/>
    </x:row>
    <x:row r="282">
      <x:c r="A282" s="99"/>
      <x:c r="B282" s="99"/>
      <x:c r="C282" s="99"/>
      <x:c r="D282" s="99"/>
      <x:c r="E282" s="99"/>
      <x:c r="F282" s="99"/>
      <x:c r="G282" s="99"/>
      <x:c r="H282" s="99"/>
      <x:c r="I282" s="99"/>
      <x:c r="J282" s="99"/>
      <x:c r="K282" s="99"/>
      <x:c r="L282" s="99"/>
      <x:c r="M282" s="99"/>
      <x:c r="N282" s="99"/>
      <x:c r="O282" s="99"/>
      <x:c r="P282" s="99"/>
      <x:c r="Q282" s="99"/>
      <x:c r="R282" s="99"/>
      <x:c r="S282" s="99"/>
      <x:c r="T282" s="99"/>
      <x:c r="U282" s="99"/>
      <x:c r="V282" s="99"/>
      <x:c r="W282" s="99"/>
      <x:c r="X282" s="99"/>
      <x:c r="Y282" s="99"/>
      <x:c r="Z282" s="99"/>
    </x:row>
    <x:row r="283">
      <x:c r="A283" s="99"/>
      <x:c r="B283" s="99"/>
      <x:c r="C283" s="99"/>
      <x:c r="D283" s="99"/>
      <x:c r="E283" s="99"/>
      <x:c r="F283" s="99"/>
      <x:c r="G283" s="99"/>
      <x:c r="H283" s="99"/>
      <x:c r="I283" s="99"/>
      <x:c r="J283" s="99"/>
      <x:c r="K283" s="99"/>
      <x:c r="L283" s="99"/>
      <x:c r="M283" s="99"/>
      <x:c r="N283" s="99"/>
      <x:c r="O283" s="99"/>
      <x:c r="P283" s="99"/>
      <x:c r="Q283" s="99"/>
      <x:c r="R283" s="99"/>
      <x:c r="S283" s="99"/>
      <x:c r="T283" s="99"/>
      <x:c r="U283" s="99"/>
      <x:c r="V283" s="99"/>
      <x:c r="W283" s="99"/>
      <x:c r="X283" s="99"/>
      <x:c r="Y283" s="99"/>
      <x:c r="Z283" s="99"/>
    </x:row>
    <x:row r="284">
      <x:c r="A284" s="99"/>
      <x:c r="B284" s="99"/>
      <x:c r="C284" s="99"/>
      <x:c r="D284" s="99"/>
      <x:c r="E284" s="99"/>
      <x:c r="F284" s="99"/>
      <x:c r="G284" s="99"/>
      <x:c r="H284" s="99"/>
      <x:c r="I284" s="99"/>
      <x:c r="J284" s="99"/>
      <x:c r="K284" s="99"/>
      <x:c r="L284" s="99"/>
      <x:c r="M284" s="99"/>
      <x:c r="N284" s="99"/>
      <x:c r="O284" s="99"/>
      <x:c r="P284" s="99"/>
      <x:c r="Q284" s="99"/>
      <x:c r="R284" s="99"/>
      <x:c r="S284" s="99"/>
      <x:c r="T284" s="99"/>
      <x:c r="U284" s="99"/>
      <x:c r="V284" s="99"/>
      <x:c r="W284" s="99"/>
      <x:c r="X284" s="99"/>
      <x:c r="Y284" s="99"/>
      <x:c r="Z284" s="99"/>
    </x:row>
    <x:row r="285">
      <x:c r="A285" s="99"/>
      <x:c r="B285" s="99"/>
      <x:c r="C285" s="99"/>
      <x:c r="D285" s="99"/>
      <x:c r="E285" s="99"/>
      <x:c r="F285" s="99"/>
      <x:c r="G285" s="99"/>
      <x:c r="H285" s="99"/>
      <x:c r="I285" s="99"/>
      <x:c r="J285" s="99"/>
      <x:c r="K285" s="99"/>
      <x:c r="L285" s="99"/>
      <x:c r="M285" s="99"/>
      <x:c r="N285" s="99"/>
      <x:c r="O285" s="99"/>
      <x:c r="P285" s="99"/>
      <x:c r="Q285" s="99"/>
      <x:c r="R285" s="99"/>
      <x:c r="S285" s="99"/>
      <x:c r="T285" s="99"/>
      <x:c r="U285" s="99"/>
      <x:c r="V285" s="99"/>
      <x:c r="W285" s="99"/>
      <x:c r="X285" s="99"/>
      <x:c r="Y285" s="99"/>
      <x:c r="Z285" s="99"/>
    </x:row>
    <x:row r="286">
      <x:c r="A286" s="99"/>
      <x:c r="B286" s="99"/>
      <x:c r="C286" s="99"/>
      <x:c r="D286" s="99"/>
      <x:c r="E286" s="99"/>
      <x:c r="F286" s="99"/>
      <x:c r="G286" s="99"/>
      <x:c r="H286" s="99"/>
      <x:c r="I286" s="99"/>
      <x:c r="J286" s="99"/>
      <x:c r="K286" s="99"/>
      <x:c r="L286" s="99"/>
      <x:c r="M286" s="99"/>
      <x:c r="N286" s="99"/>
      <x:c r="O286" s="99"/>
      <x:c r="P286" s="99"/>
      <x:c r="Q286" s="99"/>
      <x:c r="R286" s="99"/>
      <x:c r="S286" s="99"/>
      <x:c r="T286" s="99"/>
      <x:c r="U286" s="99"/>
      <x:c r="V286" s="99"/>
      <x:c r="W286" s="99"/>
      <x:c r="X286" s="99"/>
      <x:c r="Y286" s="99"/>
      <x:c r="Z286" s="99"/>
    </x:row>
    <x:row r="287">
      <x:c r="A287" s="99"/>
      <x:c r="B287" s="99"/>
      <x:c r="C287" s="99"/>
      <x:c r="D287" s="99"/>
      <x:c r="E287" s="99"/>
      <x:c r="F287" s="99"/>
      <x:c r="G287" s="99"/>
      <x:c r="H287" s="99"/>
      <x:c r="I287" s="99"/>
      <x:c r="J287" s="99"/>
      <x:c r="K287" s="99"/>
      <x:c r="L287" s="99"/>
      <x:c r="M287" s="99"/>
      <x:c r="N287" s="99"/>
      <x:c r="O287" s="99"/>
      <x:c r="P287" s="99"/>
      <x:c r="Q287" s="99"/>
      <x:c r="R287" s="99"/>
      <x:c r="S287" s="99"/>
      <x:c r="T287" s="99"/>
      <x:c r="U287" s="99"/>
      <x:c r="V287" s="99"/>
      <x:c r="W287" s="99"/>
      <x:c r="X287" s="99"/>
      <x:c r="Y287" s="99"/>
      <x:c r="Z287" s="99"/>
    </x:row>
    <x:row r="288">
      <x:c r="A288" s="99"/>
      <x:c r="B288" s="99"/>
      <x:c r="C288" s="99"/>
      <x:c r="D288" s="99"/>
      <x:c r="E288" s="99"/>
      <x:c r="F288" s="99"/>
      <x:c r="G288" s="99"/>
      <x:c r="H288" s="99"/>
      <x:c r="I288" s="99"/>
      <x:c r="J288" s="99"/>
      <x:c r="K288" s="99"/>
      <x:c r="L288" s="99"/>
      <x:c r="M288" s="99"/>
      <x:c r="N288" s="99"/>
      <x:c r="O288" s="99"/>
      <x:c r="P288" s="99"/>
      <x:c r="Q288" s="99"/>
      <x:c r="R288" s="99"/>
      <x:c r="S288" s="99"/>
      <x:c r="T288" s="99"/>
      <x:c r="U288" s="99"/>
      <x:c r="V288" s="99"/>
      <x:c r="W288" s="99"/>
      <x:c r="X288" s="99"/>
      <x:c r="Y288" s="99"/>
      <x:c r="Z288" s="99"/>
    </x:row>
    <x:row r="289">
      <x:c r="A289" s="99"/>
      <x:c r="B289" s="99"/>
      <x:c r="C289" s="99"/>
      <x:c r="D289" s="99"/>
      <x:c r="E289" s="99"/>
      <x:c r="F289" s="99"/>
      <x:c r="G289" s="99"/>
      <x:c r="H289" s="99"/>
      <x:c r="I289" s="99"/>
      <x:c r="J289" s="99"/>
      <x:c r="K289" s="99"/>
      <x:c r="L289" s="99"/>
      <x:c r="M289" s="99"/>
      <x:c r="N289" s="99"/>
      <x:c r="O289" s="99"/>
      <x:c r="P289" s="99"/>
      <x:c r="Q289" s="99"/>
      <x:c r="R289" s="99"/>
      <x:c r="S289" s="99"/>
      <x:c r="T289" s="99"/>
      <x:c r="U289" s="99"/>
      <x:c r="V289" s="99"/>
      <x:c r="W289" s="99"/>
      <x:c r="X289" s="99"/>
      <x:c r="Y289" s="99"/>
      <x:c r="Z289" s="99"/>
    </x:row>
    <x:row r="290">
      <x:c r="A290" s="99"/>
      <x:c r="B290" s="99"/>
      <x:c r="C290" s="99"/>
      <x:c r="D290" s="99"/>
      <x:c r="E290" s="99"/>
      <x:c r="F290" s="99"/>
      <x:c r="G290" s="99"/>
      <x:c r="H290" s="99"/>
      <x:c r="I290" s="99"/>
      <x:c r="J290" s="99"/>
      <x:c r="K290" s="99"/>
      <x:c r="L290" s="99"/>
      <x:c r="M290" s="99"/>
      <x:c r="N290" s="99"/>
      <x:c r="O290" s="99"/>
      <x:c r="P290" s="99"/>
      <x:c r="Q290" s="99"/>
      <x:c r="R290" s="99"/>
      <x:c r="S290" s="99"/>
      <x:c r="T290" s="99"/>
      <x:c r="U290" s="99"/>
      <x:c r="V290" s="99"/>
      <x:c r="W290" s="99"/>
      <x:c r="X290" s="99"/>
      <x:c r="Y290" s="99"/>
      <x:c r="Z290" s="99"/>
    </x:row>
    <x:row r="291">
      <x:c r="A291" s="99"/>
      <x:c r="B291" s="99"/>
      <x:c r="C291" s="99"/>
      <x:c r="D291" s="99"/>
      <x:c r="E291" s="99"/>
      <x:c r="F291" s="99"/>
      <x:c r="G291" s="99"/>
      <x:c r="H291" s="99"/>
      <x:c r="I291" s="99"/>
      <x:c r="J291" s="99"/>
      <x:c r="K291" s="99"/>
      <x:c r="L291" s="99"/>
      <x:c r="M291" s="99"/>
      <x:c r="N291" s="99"/>
      <x:c r="O291" s="99"/>
      <x:c r="P291" s="99"/>
      <x:c r="Q291" s="99"/>
      <x:c r="R291" s="99"/>
      <x:c r="S291" s="99"/>
      <x:c r="T291" s="99"/>
      <x:c r="U291" s="99"/>
      <x:c r="V291" s="99"/>
      <x:c r="W291" s="99"/>
      <x:c r="X291" s="99"/>
      <x:c r="Y291" s="99"/>
      <x:c r="Z291" s="99"/>
    </x:row>
    <x:row r="292">
      <x:c r="A292" s="99"/>
      <x:c r="B292" s="99"/>
      <x:c r="C292" s="99"/>
      <x:c r="D292" s="99"/>
      <x:c r="E292" s="99"/>
      <x:c r="F292" s="99"/>
      <x:c r="G292" s="99"/>
      <x:c r="H292" s="99"/>
      <x:c r="I292" s="99"/>
      <x:c r="J292" s="99"/>
      <x:c r="K292" s="99"/>
      <x:c r="L292" s="99"/>
      <x:c r="M292" s="99"/>
      <x:c r="N292" s="99"/>
      <x:c r="O292" s="99"/>
      <x:c r="P292" s="99"/>
      <x:c r="Q292" s="99"/>
      <x:c r="R292" s="99"/>
      <x:c r="S292" s="99"/>
      <x:c r="T292" s="99"/>
      <x:c r="U292" s="99"/>
      <x:c r="V292" s="99"/>
      <x:c r="W292" s="99"/>
      <x:c r="X292" s="99"/>
      <x:c r="Y292" s="99"/>
      <x:c r="Z292" s="99"/>
    </x:row>
    <x:row r="293">
      <x:c r="A293" s="99"/>
      <x:c r="B293" s="99"/>
      <x:c r="C293" s="99"/>
      <x:c r="D293" s="99"/>
      <x:c r="E293" s="99"/>
      <x:c r="F293" s="99"/>
      <x:c r="G293" s="99"/>
      <x:c r="H293" s="99"/>
      <x:c r="I293" s="99"/>
      <x:c r="J293" s="99"/>
      <x:c r="K293" s="99"/>
      <x:c r="L293" s="99"/>
      <x:c r="M293" s="99"/>
      <x:c r="N293" s="99"/>
      <x:c r="O293" s="99"/>
      <x:c r="P293" s="99"/>
      <x:c r="Q293" s="99"/>
      <x:c r="R293" s="99"/>
      <x:c r="S293" s="99"/>
      <x:c r="T293" s="99"/>
      <x:c r="U293" s="99"/>
      <x:c r="V293" s="99"/>
      <x:c r="W293" s="99"/>
      <x:c r="X293" s="99"/>
      <x:c r="Y293" s="99"/>
      <x:c r="Z293" s="99"/>
    </x:row>
    <x:row r="294">
      <x:c r="A294" s="99"/>
      <x:c r="B294" s="99"/>
      <x:c r="C294" s="99"/>
      <x:c r="D294" s="99"/>
      <x:c r="E294" s="99"/>
      <x:c r="F294" s="99"/>
      <x:c r="G294" s="99"/>
      <x:c r="H294" s="99"/>
      <x:c r="I294" s="99"/>
      <x:c r="J294" s="99"/>
      <x:c r="K294" s="99"/>
      <x:c r="L294" s="99"/>
      <x:c r="M294" s="99"/>
      <x:c r="N294" s="99"/>
      <x:c r="O294" s="99"/>
      <x:c r="P294" s="99"/>
      <x:c r="Q294" s="99"/>
      <x:c r="R294" s="99"/>
      <x:c r="S294" s="99"/>
      <x:c r="T294" s="99"/>
      <x:c r="U294" s="99"/>
      <x:c r="V294" s="99"/>
      <x:c r="W294" s="99"/>
      <x:c r="X294" s="99"/>
      <x:c r="Y294" s="99"/>
      <x:c r="Z294" s="99"/>
    </x:row>
    <x:row r="295">
      <x:c r="A295" s="99"/>
      <x:c r="B295" s="99"/>
      <x:c r="C295" s="99"/>
      <x:c r="D295" s="99"/>
      <x:c r="E295" s="99"/>
      <x:c r="F295" s="99"/>
      <x:c r="G295" s="99"/>
      <x:c r="H295" s="99"/>
      <x:c r="I295" s="99"/>
      <x:c r="J295" s="99"/>
      <x:c r="K295" s="99"/>
      <x:c r="L295" s="99"/>
      <x:c r="M295" s="99"/>
      <x:c r="N295" s="99"/>
      <x:c r="O295" s="99"/>
      <x:c r="P295" s="99"/>
      <x:c r="Q295" s="99"/>
      <x:c r="R295" s="99"/>
      <x:c r="S295" s="99"/>
      <x:c r="T295" s="99"/>
      <x:c r="U295" s="99"/>
      <x:c r="V295" s="99"/>
      <x:c r="W295" s="99"/>
      <x:c r="X295" s="99"/>
      <x:c r="Y295" s="99"/>
      <x:c r="Z295" s="99"/>
    </x:row>
    <x:row r="296">
      <x:c r="A296" s="99"/>
      <x:c r="B296" s="99"/>
      <x:c r="C296" s="99"/>
      <x:c r="D296" s="99"/>
      <x:c r="E296" s="99"/>
      <x:c r="F296" s="99"/>
      <x:c r="G296" s="99"/>
      <x:c r="H296" s="99"/>
      <x:c r="I296" s="99"/>
      <x:c r="J296" s="99"/>
      <x:c r="K296" s="99"/>
      <x:c r="L296" s="99"/>
      <x:c r="M296" s="99"/>
      <x:c r="N296" s="99"/>
      <x:c r="O296" s="99"/>
      <x:c r="P296" s="99"/>
      <x:c r="Q296" s="99"/>
      <x:c r="R296" s="99"/>
      <x:c r="S296" s="99"/>
      <x:c r="T296" s="99"/>
      <x:c r="U296" s="99"/>
      <x:c r="V296" s="99"/>
      <x:c r="W296" s="99"/>
      <x:c r="X296" s="99"/>
      <x:c r="Y296" s="99"/>
      <x:c r="Z296" s="99"/>
    </x:row>
    <x:row r="297">
      <x:c r="A297" s="99"/>
      <x:c r="B297" s="99"/>
      <x:c r="C297" s="99"/>
      <x:c r="D297" s="99"/>
      <x:c r="E297" s="99"/>
      <x:c r="F297" s="99"/>
      <x:c r="G297" s="99"/>
      <x:c r="H297" s="99"/>
      <x:c r="I297" s="99"/>
      <x:c r="J297" s="99"/>
      <x:c r="K297" s="99"/>
      <x:c r="L297" s="99"/>
      <x:c r="M297" s="99"/>
      <x:c r="N297" s="99"/>
      <x:c r="O297" s="99"/>
      <x:c r="P297" s="99"/>
      <x:c r="Q297" s="99"/>
      <x:c r="R297" s="99"/>
      <x:c r="S297" s="99"/>
      <x:c r="T297" s="99"/>
      <x:c r="U297" s="99"/>
      <x:c r="V297" s="99"/>
      <x:c r="W297" s="99"/>
      <x:c r="X297" s="99"/>
      <x:c r="Y297" s="99"/>
      <x:c r="Z297" s="99"/>
    </x:row>
    <x:row r="298">
      <x:c r="A298" s="99"/>
      <x:c r="B298" s="99"/>
      <x:c r="C298" s="99"/>
      <x:c r="D298" s="99"/>
      <x:c r="E298" s="99"/>
      <x:c r="F298" s="99"/>
      <x:c r="G298" s="99"/>
      <x:c r="H298" s="99"/>
      <x:c r="I298" s="99"/>
      <x:c r="J298" s="99"/>
      <x:c r="K298" s="99"/>
      <x:c r="L298" s="99"/>
      <x:c r="M298" s="99"/>
      <x:c r="N298" s="99"/>
      <x:c r="O298" s="99"/>
      <x:c r="P298" s="99"/>
      <x:c r="Q298" s="99"/>
      <x:c r="R298" s="99"/>
      <x:c r="S298" s="99"/>
      <x:c r="T298" s="99"/>
      <x:c r="U298" s="99"/>
      <x:c r="V298" s="99"/>
      <x:c r="W298" s="99"/>
      <x:c r="X298" s="99"/>
      <x:c r="Y298" s="99"/>
      <x:c r="Z298" s="99"/>
    </x:row>
    <x:row r="299">
      <x:c r="A299" s="99"/>
      <x:c r="B299" s="99"/>
      <x:c r="C299" s="99"/>
      <x:c r="D299" s="99"/>
      <x:c r="E299" s="99"/>
      <x:c r="F299" s="99"/>
      <x:c r="G299" s="99"/>
      <x:c r="H299" s="99"/>
      <x:c r="I299" s="99"/>
      <x:c r="J299" s="99"/>
      <x:c r="K299" s="99"/>
      <x:c r="L299" s="99"/>
      <x:c r="M299" s="99"/>
      <x:c r="N299" s="99"/>
      <x:c r="O299" s="99"/>
      <x:c r="P299" s="99"/>
      <x:c r="Q299" s="99"/>
      <x:c r="R299" s="99"/>
      <x:c r="S299" s="99"/>
      <x:c r="T299" s="99"/>
      <x:c r="U299" s="99"/>
      <x:c r="V299" s="99"/>
      <x:c r="W299" s="99"/>
      <x:c r="X299" s="99"/>
      <x:c r="Y299" s="99"/>
      <x:c r="Z299" s="99"/>
    </x:row>
    <x:row r="300">
      <x:c r="A300" s="99"/>
      <x:c r="B300" s="99"/>
      <x:c r="C300" s="99"/>
      <x:c r="D300" s="99"/>
      <x:c r="E300" s="99"/>
      <x:c r="F300" s="99"/>
      <x:c r="G300" s="99"/>
      <x:c r="H300" s="99"/>
      <x:c r="I300" s="99"/>
      <x:c r="J300" s="99"/>
      <x:c r="K300" s="99"/>
      <x:c r="L300" s="99"/>
      <x:c r="M300" s="99"/>
      <x:c r="N300" s="99"/>
      <x:c r="O300" s="99"/>
      <x:c r="P300" s="99"/>
      <x:c r="Q300" s="99"/>
      <x:c r="R300" s="99"/>
      <x:c r="S300" s="99"/>
      <x:c r="T300" s="99"/>
      <x:c r="U300" s="99"/>
      <x:c r="V300" s="99"/>
      <x:c r="W300" s="99"/>
      <x:c r="X300" s="99"/>
      <x:c r="Y300" s="99"/>
      <x:c r="Z300" s="99"/>
    </x:row>
    <x:row r="301">
      <x:c r="A301" s="99"/>
      <x:c r="B301" s="99"/>
      <x:c r="C301" s="99"/>
      <x:c r="D301" s="99"/>
      <x:c r="E301" s="99"/>
      <x:c r="F301" s="99"/>
      <x:c r="G301" s="99"/>
      <x:c r="H301" s="99"/>
      <x:c r="I301" s="99"/>
      <x:c r="J301" s="99"/>
      <x:c r="K301" s="99"/>
      <x:c r="L301" s="99"/>
      <x:c r="M301" s="99"/>
      <x:c r="N301" s="99"/>
      <x:c r="O301" s="99"/>
      <x:c r="P301" s="99"/>
      <x:c r="Q301" s="99"/>
      <x:c r="R301" s="99"/>
      <x:c r="S301" s="99"/>
      <x:c r="T301" s="99"/>
      <x:c r="U301" s="99"/>
      <x:c r="V301" s="99"/>
      <x:c r="W301" s="99"/>
      <x:c r="X301" s="99"/>
      <x:c r="Y301" s="99"/>
      <x:c r="Z301" s="99"/>
    </x:row>
    <x:row r="302">
      <x:c r="A302" s="99"/>
      <x:c r="B302" s="99"/>
      <x:c r="C302" s="99"/>
      <x:c r="D302" s="99"/>
      <x:c r="E302" s="99"/>
      <x:c r="F302" s="99"/>
      <x:c r="G302" s="99"/>
      <x:c r="H302" s="99"/>
      <x:c r="I302" s="99"/>
      <x:c r="J302" s="99"/>
      <x:c r="K302" s="99"/>
      <x:c r="L302" s="99"/>
      <x:c r="M302" s="99"/>
      <x:c r="N302" s="99"/>
      <x:c r="O302" s="99"/>
      <x:c r="P302" s="99"/>
      <x:c r="Q302" s="99"/>
      <x:c r="R302" s="99"/>
      <x:c r="S302" s="99"/>
      <x:c r="T302" s="99"/>
      <x:c r="U302" s="99"/>
      <x:c r="V302" s="99"/>
      <x:c r="W302" s="99"/>
      <x:c r="X302" s="99"/>
      <x:c r="Y302" s="99"/>
      <x:c r="Z302" s="99"/>
    </x:row>
    <x:row r="303">
      <x:c r="A303" s="99"/>
      <x:c r="B303" s="99"/>
      <x:c r="C303" s="99"/>
      <x:c r="D303" s="99"/>
      <x:c r="E303" s="99"/>
      <x:c r="F303" s="99"/>
      <x:c r="G303" s="99"/>
      <x:c r="H303" s="99"/>
      <x:c r="I303" s="99"/>
      <x:c r="J303" s="99"/>
      <x:c r="K303" s="99"/>
      <x:c r="L303" s="99"/>
      <x:c r="M303" s="99"/>
      <x:c r="N303" s="99"/>
      <x:c r="O303" s="99"/>
      <x:c r="P303" s="99"/>
      <x:c r="Q303" s="99"/>
      <x:c r="R303" s="99"/>
      <x:c r="S303" s="99"/>
      <x:c r="T303" s="99"/>
      <x:c r="U303" s="99"/>
      <x:c r="V303" s="99"/>
      <x:c r="W303" s="99"/>
      <x:c r="X303" s="99"/>
      <x:c r="Y303" s="99"/>
      <x:c r="Z303" s="99"/>
    </x:row>
    <x:row r="304">
      <x:c r="A304" s="99"/>
      <x:c r="B304" s="99"/>
      <x:c r="C304" s="99"/>
      <x:c r="D304" s="99"/>
      <x:c r="E304" s="99"/>
      <x:c r="F304" s="99"/>
      <x:c r="G304" s="99"/>
      <x:c r="H304" s="99"/>
      <x:c r="I304" s="99"/>
      <x:c r="J304" s="99"/>
      <x:c r="K304" s="99"/>
      <x:c r="L304" s="99"/>
      <x:c r="M304" s="99"/>
      <x:c r="N304" s="99"/>
      <x:c r="O304" s="99"/>
      <x:c r="P304" s="99"/>
      <x:c r="Q304" s="99"/>
      <x:c r="R304" s="99"/>
      <x:c r="S304" s="99"/>
      <x:c r="T304" s="99"/>
      <x:c r="U304" s="99"/>
      <x:c r="V304" s="99"/>
      <x:c r="W304" s="99"/>
      <x:c r="X304" s="99"/>
      <x:c r="Y304" s="99"/>
      <x:c r="Z304" s="99"/>
    </x:row>
    <x:row r="305">
      <x:c r="A305" s="99"/>
      <x:c r="B305" s="99"/>
      <x:c r="C305" s="99"/>
      <x:c r="D305" s="99"/>
      <x:c r="E305" s="99"/>
      <x:c r="F305" s="99"/>
      <x:c r="G305" s="99"/>
      <x:c r="H305" s="99"/>
      <x:c r="I305" s="99"/>
      <x:c r="J305" s="99"/>
      <x:c r="K305" s="99"/>
      <x:c r="L305" s="99"/>
      <x:c r="M305" s="99"/>
      <x:c r="N305" s="99"/>
      <x:c r="O305" s="99"/>
      <x:c r="P305" s="99"/>
      <x:c r="Q305" s="99"/>
      <x:c r="R305" s="99"/>
      <x:c r="S305" s="99"/>
      <x:c r="T305" s="99"/>
      <x:c r="U305" s="99"/>
      <x:c r="V305" s="99"/>
      <x:c r="W305" s="99"/>
      <x:c r="X305" s="99"/>
      <x:c r="Y305" s="99"/>
      <x:c r="Z305" s="99"/>
    </x:row>
    <x:row r="306">
      <x:c r="A306" s="99"/>
      <x:c r="B306" s="99"/>
      <x:c r="C306" s="99"/>
      <x:c r="D306" s="99"/>
      <x:c r="E306" s="99"/>
      <x:c r="F306" s="99"/>
      <x:c r="G306" s="99"/>
      <x:c r="H306" s="99"/>
      <x:c r="I306" s="99"/>
      <x:c r="J306" s="99"/>
      <x:c r="K306" s="99"/>
      <x:c r="L306" s="99"/>
      <x:c r="M306" s="99"/>
      <x:c r="N306" s="99"/>
      <x:c r="O306" s="99"/>
      <x:c r="P306" s="99"/>
      <x:c r="Q306" s="99"/>
      <x:c r="R306" s="99"/>
      <x:c r="S306" s="99"/>
      <x:c r="T306" s="99"/>
      <x:c r="U306" s="99"/>
      <x:c r="V306" s="99"/>
      <x:c r="W306" s="99"/>
      <x:c r="X306" s="99"/>
      <x:c r="Y306" s="99"/>
      <x:c r="Z306" s="99"/>
    </x:row>
    <x:row r="307">
      <x:c r="A307" s="99"/>
      <x:c r="B307" s="99"/>
      <x:c r="C307" s="99"/>
      <x:c r="D307" s="99"/>
      <x:c r="E307" s="99"/>
      <x:c r="F307" s="99"/>
      <x:c r="G307" s="99"/>
      <x:c r="H307" s="99"/>
      <x:c r="I307" s="99"/>
      <x:c r="J307" s="99"/>
      <x:c r="K307" s="99"/>
      <x:c r="L307" s="99"/>
      <x:c r="M307" s="99"/>
      <x:c r="N307" s="99"/>
      <x:c r="O307" s="99"/>
      <x:c r="P307" s="99"/>
      <x:c r="Q307" s="99"/>
      <x:c r="R307" s="99"/>
      <x:c r="S307" s="99"/>
      <x:c r="T307" s="99"/>
      <x:c r="U307" s="99"/>
      <x:c r="V307" s="99"/>
      <x:c r="W307" s="99"/>
      <x:c r="X307" s="99"/>
      <x:c r="Y307" s="99"/>
      <x:c r="Z307" s="99"/>
    </x:row>
    <x:row r="308">
      <x:c r="A308" s="99"/>
      <x:c r="B308" s="99"/>
      <x:c r="C308" s="99"/>
      <x:c r="D308" s="99"/>
      <x:c r="E308" s="99"/>
      <x:c r="F308" s="99"/>
      <x:c r="G308" s="99"/>
      <x:c r="H308" s="99"/>
      <x:c r="I308" s="99"/>
      <x:c r="J308" s="99"/>
      <x:c r="K308" s="99"/>
      <x:c r="L308" s="99"/>
      <x:c r="M308" s="99"/>
      <x:c r="N308" s="99"/>
      <x:c r="O308" s="99"/>
      <x:c r="P308" s="99"/>
      <x:c r="Q308" s="99"/>
      <x:c r="R308" s="99"/>
      <x:c r="S308" s="99"/>
      <x:c r="T308" s="99"/>
      <x:c r="U308" s="99"/>
      <x:c r="V308" s="99"/>
      <x:c r="W308" s="99"/>
      <x:c r="X308" s="99"/>
      <x:c r="Y308" s="99"/>
      <x:c r="Z308" s="99"/>
    </x:row>
    <x:row r="309">
      <x:c r="A309" s="99"/>
      <x:c r="B309" s="99"/>
      <x:c r="C309" s="99"/>
      <x:c r="D309" s="99"/>
      <x:c r="E309" s="99"/>
      <x:c r="F309" s="99"/>
      <x:c r="G309" s="99"/>
      <x:c r="H309" s="99"/>
      <x:c r="I309" s="99"/>
      <x:c r="J309" s="99"/>
      <x:c r="K309" s="99"/>
      <x:c r="L309" s="99"/>
      <x:c r="M309" s="99"/>
      <x:c r="N309" s="99"/>
      <x:c r="O309" s="99"/>
      <x:c r="P309" s="99"/>
      <x:c r="Q309" s="99"/>
      <x:c r="R309" s="99"/>
      <x:c r="S309" s="99"/>
      <x:c r="T309" s="99"/>
      <x:c r="U309" s="99"/>
      <x:c r="V309" s="99"/>
      <x:c r="W309" s="99"/>
      <x:c r="X309" s="99"/>
      <x:c r="Y309" s="99"/>
      <x:c r="Z309" s="99"/>
    </x:row>
    <x:row r="310">
      <x:c r="A310" s="99"/>
      <x:c r="B310" s="99"/>
      <x:c r="C310" s="99"/>
      <x:c r="D310" s="99"/>
      <x:c r="E310" s="99"/>
      <x:c r="F310" s="99"/>
      <x:c r="G310" s="99"/>
      <x:c r="H310" s="99"/>
      <x:c r="I310" s="99"/>
      <x:c r="J310" s="99"/>
      <x:c r="K310" s="99"/>
      <x:c r="L310" s="99"/>
      <x:c r="M310" s="99"/>
      <x:c r="N310" s="99"/>
      <x:c r="O310" s="99"/>
      <x:c r="P310" s="99"/>
      <x:c r="Q310" s="99"/>
      <x:c r="R310" s="99"/>
      <x:c r="S310" s="99"/>
      <x:c r="T310" s="99"/>
      <x:c r="U310" s="99"/>
      <x:c r="V310" s="99"/>
      <x:c r="W310" s="99"/>
      <x:c r="X310" s="99"/>
      <x:c r="Y310" s="99"/>
      <x:c r="Z310" s="99"/>
    </x:row>
    <x:row r="311">
      <x:c r="A311" s="99"/>
      <x:c r="B311" s="99"/>
      <x:c r="C311" s="99"/>
      <x:c r="D311" s="99"/>
      <x:c r="E311" s="99"/>
      <x:c r="F311" s="99"/>
      <x:c r="G311" s="99"/>
      <x:c r="H311" s="99"/>
      <x:c r="I311" s="99"/>
      <x:c r="J311" s="99"/>
      <x:c r="K311" s="99"/>
      <x:c r="L311" s="99"/>
      <x:c r="M311" s="99"/>
      <x:c r="N311" s="99"/>
      <x:c r="O311" s="99"/>
      <x:c r="P311" s="99"/>
      <x:c r="Q311" s="99"/>
      <x:c r="R311" s="99"/>
      <x:c r="S311" s="99"/>
      <x:c r="T311" s="99"/>
      <x:c r="U311" s="99"/>
      <x:c r="V311" s="99"/>
      <x:c r="W311" s="99"/>
      <x:c r="X311" s="99"/>
      <x:c r="Y311" s="99"/>
      <x:c r="Z311" s="99"/>
    </x:row>
    <x:row r="312">
      <x:c r="A312" s="99"/>
      <x:c r="B312" s="99"/>
      <x:c r="C312" s="99"/>
      <x:c r="D312" s="99"/>
      <x:c r="E312" s="99"/>
      <x:c r="F312" s="99"/>
      <x:c r="G312" s="99"/>
      <x:c r="H312" s="99"/>
      <x:c r="I312" s="99"/>
      <x:c r="J312" s="99"/>
      <x:c r="K312" s="99"/>
      <x:c r="L312" s="99"/>
      <x:c r="M312" s="99"/>
      <x:c r="N312" s="99"/>
      <x:c r="O312" s="99"/>
      <x:c r="P312" s="99"/>
      <x:c r="Q312" s="99"/>
      <x:c r="R312" s="99"/>
      <x:c r="S312" s="99"/>
      <x:c r="T312" s="99"/>
      <x:c r="U312" s="99"/>
      <x:c r="V312" s="99"/>
      <x:c r="W312" s="99"/>
      <x:c r="X312" s="99"/>
      <x:c r="Y312" s="99"/>
      <x:c r="Z312" s="99"/>
    </x:row>
    <x:row r="313">
      <x:c r="A313" s="99"/>
      <x:c r="B313" s="99"/>
      <x:c r="C313" s="99"/>
      <x:c r="D313" s="99"/>
      <x:c r="E313" s="99"/>
      <x:c r="F313" s="99"/>
      <x:c r="G313" s="99"/>
      <x:c r="H313" s="99"/>
      <x:c r="I313" s="99"/>
      <x:c r="J313" s="99"/>
      <x:c r="K313" s="99"/>
      <x:c r="L313" s="99"/>
      <x:c r="M313" s="99"/>
      <x:c r="N313" s="99"/>
      <x:c r="O313" s="99"/>
      <x:c r="P313" s="99"/>
      <x:c r="Q313" s="99"/>
      <x:c r="R313" s="99"/>
      <x:c r="S313" s="99"/>
      <x:c r="T313" s="99"/>
      <x:c r="U313" s="99"/>
      <x:c r="V313" s="99"/>
      <x:c r="W313" s="99"/>
      <x:c r="X313" s="99"/>
      <x:c r="Y313" s="99"/>
      <x:c r="Z313" s="99"/>
    </x:row>
    <x:row r="314">
      <x:c r="A314" s="99"/>
      <x:c r="B314" s="99"/>
      <x:c r="C314" s="99"/>
      <x:c r="D314" s="99"/>
      <x:c r="E314" s="99"/>
      <x:c r="F314" s="99"/>
      <x:c r="G314" s="99"/>
      <x:c r="H314" s="99"/>
      <x:c r="I314" s="99"/>
      <x:c r="J314" s="99"/>
      <x:c r="K314" s="99"/>
      <x:c r="L314" s="99"/>
      <x:c r="M314" s="99"/>
      <x:c r="N314" s="99"/>
      <x:c r="O314" s="99"/>
      <x:c r="P314" s="99"/>
      <x:c r="Q314" s="99"/>
      <x:c r="R314" s="99"/>
      <x:c r="S314" s="99"/>
      <x:c r="T314" s="99"/>
      <x:c r="U314" s="99"/>
      <x:c r="V314" s="99"/>
      <x:c r="W314" s="99"/>
      <x:c r="X314" s="99"/>
      <x:c r="Y314" s="99"/>
      <x:c r="Z314" s="99"/>
    </x:row>
    <x:row r="315">
      <x:c r="A315" s="99"/>
      <x:c r="B315" s="99"/>
      <x:c r="C315" s="99"/>
      <x:c r="D315" s="99"/>
      <x:c r="E315" s="99"/>
      <x:c r="F315" s="99"/>
      <x:c r="G315" s="99"/>
      <x:c r="H315" s="99"/>
      <x:c r="I315" s="99"/>
      <x:c r="J315" s="99"/>
      <x:c r="K315" s="99"/>
      <x:c r="L315" s="99"/>
      <x:c r="M315" s="99"/>
      <x:c r="N315" s="99"/>
      <x:c r="O315" s="99"/>
      <x:c r="P315" s="99"/>
      <x:c r="Q315" s="99"/>
      <x:c r="R315" s="99"/>
      <x:c r="S315" s="99"/>
      <x:c r="T315" s="99"/>
      <x:c r="U315" s="99"/>
      <x:c r="V315" s="99"/>
      <x:c r="W315" s="99"/>
      <x:c r="X315" s="99"/>
      <x:c r="Y315" s="99"/>
      <x:c r="Z315" s="99"/>
    </x:row>
    <x:row r="316">
      <x:c r="A316" s="99"/>
      <x:c r="B316" s="99"/>
      <x:c r="C316" s="99"/>
      <x:c r="D316" s="99"/>
      <x:c r="E316" s="99"/>
      <x:c r="F316" s="99"/>
      <x:c r="G316" s="99"/>
      <x:c r="H316" s="99"/>
      <x:c r="I316" s="99"/>
      <x:c r="J316" s="99"/>
      <x:c r="K316" s="99"/>
      <x:c r="L316" s="99"/>
      <x:c r="M316" s="99"/>
      <x:c r="N316" s="99"/>
      <x:c r="O316" s="99"/>
      <x:c r="P316" s="99"/>
      <x:c r="Q316" s="99"/>
      <x:c r="R316" s="99"/>
      <x:c r="S316" s="99"/>
      <x:c r="T316" s="99"/>
      <x:c r="U316" s="99"/>
      <x:c r="V316" s="99"/>
      <x:c r="W316" s="99"/>
      <x:c r="X316" s="99"/>
      <x:c r="Y316" s="99"/>
      <x:c r="Z316" s="99"/>
    </x:row>
    <x:row r="317">
      <x:c r="A317" s="99"/>
      <x:c r="B317" s="99"/>
      <x:c r="C317" s="99"/>
      <x:c r="D317" s="99"/>
      <x:c r="E317" s="99"/>
      <x:c r="F317" s="99"/>
      <x:c r="G317" s="99"/>
      <x:c r="H317" s="99"/>
      <x:c r="I317" s="99"/>
      <x:c r="J317" s="99"/>
      <x:c r="K317" s="99"/>
      <x:c r="L317" s="99"/>
      <x:c r="M317" s="99"/>
      <x:c r="N317" s="99"/>
      <x:c r="O317" s="99"/>
      <x:c r="P317" s="99"/>
      <x:c r="Q317" s="99"/>
      <x:c r="R317" s="99"/>
      <x:c r="S317" s="99"/>
      <x:c r="T317" s="99"/>
      <x:c r="U317" s="99"/>
      <x:c r="V317" s="99"/>
      <x:c r="W317" s="99"/>
      <x:c r="X317" s="99"/>
      <x:c r="Y317" s="99"/>
      <x:c r="Z317" s="99"/>
    </x:row>
    <x:row r="318">
      <x:c r="A318" s="99"/>
      <x:c r="B318" s="99"/>
      <x:c r="C318" s="99"/>
      <x:c r="D318" s="99"/>
      <x:c r="E318" s="99"/>
      <x:c r="F318" s="99"/>
      <x:c r="G318" s="99"/>
      <x:c r="H318" s="99"/>
      <x:c r="I318" s="99"/>
      <x:c r="J318" s="99"/>
      <x:c r="K318" s="99"/>
      <x:c r="L318" s="99"/>
      <x:c r="M318" s="99"/>
      <x:c r="N318" s="99"/>
      <x:c r="O318" s="99"/>
      <x:c r="P318" s="99"/>
      <x:c r="Q318" s="99"/>
      <x:c r="R318" s="99"/>
      <x:c r="S318" s="99"/>
      <x:c r="T318" s="99"/>
      <x:c r="U318" s="99"/>
      <x:c r="V318" s="99"/>
      <x:c r="W318" s="99"/>
      <x:c r="X318" s="99"/>
      <x:c r="Y318" s="99"/>
      <x:c r="Z318" s="99"/>
    </x:row>
    <x:row r="319">
      <x:c r="A319" s="99"/>
      <x:c r="B319" s="99"/>
      <x:c r="C319" s="99"/>
      <x:c r="D319" s="99"/>
      <x:c r="E319" s="99"/>
      <x:c r="F319" s="99"/>
      <x:c r="G319" s="99"/>
      <x:c r="H319" s="99"/>
      <x:c r="I319" s="99"/>
      <x:c r="J319" s="99"/>
      <x:c r="K319" s="99"/>
      <x:c r="L319" s="99"/>
      <x:c r="M319" s="99"/>
      <x:c r="N319" s="99"/>
      <x:c r="O319" s="99"/>
      <x:c r="P319" s="99"/>
      <x:c r="Q319" s="99"/>
      <x:c r="R319" s="99"/>
      <x:c r="S319" s="99"/>
      <x:c r="T319" s="99"/>
      <x:c r="U319" s="99"/>
      <x:c r="V319" s="99"/>
      <x:c r="W319" s="99"/>
      <x:c r="X319" s="99"/>
      <x:c r="Y319" s="99"/>
      <x:c r="Z319" s="99"/>
    </x:row>
    <x:row r="320">
      <x:c r="A320" s="99"/>
      <x:c r="B320" s="99"/>
      <x:c r="C320" s="99"/>
      <x:c r="D320" s="99"/>
      <x:c r="E320" s="99"/>
      <x:c r="F320" s="99"/>
      <x:c r="G320" s="99"/>
      <x:c r="H320" s="99"/>
      <x:c r="I320" s="99"/>
      <x:c r="J320" s="99"/>
      <x:c r="K320" s="99"/>
      <x:c r="L320" s="99"/>
      <x:c r="M320" s="99"/>
      <x:c r="N320" s="99"/>
      <x:c r="O320" s="99"/>
      <x:c r="P320" s="99"/>
      <x:c r="Q320" s="99"/>
      <x:c r="R320" s="99"/>
      <x:c r="S320" s="99"/>
      <x:c r="T320" s="99"/>
      <x:c r="U320" s="99"/>
      <x:c r="V320" s="99"/>
      <x:c r="W320" s="99"/>
      <x:c r="X320" s="99"/>
      <x:c r="Y320" s="99"/>
      <x:c r="Z320" s="99"/>
    </x:row>
    <x:row r="321">
      <x:c r="A321" s="99"/>
      <x:c r="B321" s="99"/>
      <x:c r="C321" s="99"/>
      <x:c r="D321" s="99"/>
      <x:c r="E321" s="99"/>
      <x:c r="F321" s="99"/>
      <x:c r="G321" s="99"/>
      <x:c r="H321" s="99"/>
      <x:c r="I321" s="99"/>
      <x:c r="J321" s="99"/>
      <x:c r="K321" s="99"/>
      <x:c r="L321" s="99"/>
      <x:c r="M321" s="99"/>
      <x:c r="N321" s="99"/>
      <x:c r="O321" s="99"/>
      <x:c r="P321" s="99"/>
      <x:c r="Q321" s="99"/>
      <x:c r="R321" s="99"/>
      <x:c r="S321" s="99"/>
      <x:c r="T321" s="99"/>
      <x:c r="U321" s="99"/>
      <x:c r="V321" s="99"/>
      <x:c r="W321" s="99"/>
      <x:c r="X321" s="99"/>
      <x:c r="Y321" s="99"/>
      <x:c r="Z321" s="99"/>
    </x:row>
    <x:row r="322">
      <x:c r="A322" s="99"/>
      <x:c r="B322" s="99"/>
      <x:c r="C322" s="99"/>
      <x:c r="D322" s="99"/>
      <x:c r="E322" s="99"/>
      <x:c r="F322" s="99"/>
      <x:c r="G322" s="99"/>
      <x:c r="H322" s="99"/>
      <x:c r="I322" s="99"/>
      <x:c r="J322" s="99"/>
      <x:c r="K322" s="99"/>
      <x:c r="L322" s="99"/>
      <x:c r="M322" s="99"/>
      <x:c r="N322" s="99"/>
      <x:c r="O322" s="99"/>
      <x:c r="P322" s="99"/>
      <x:c r="Q322" s="99"/>
      <x:c r="R322" s="99"/>
      <x:c r="S322" s="99"/>
      <x:c r="T322" s="99"/>
      <x:c r="U322" s="99"/>
      <x:c r="V322" s="99"/>
      <x:c r="W322" s="99"/>
      <x:c r="X322" s="99"/>
      <x:c r="Y322" s="99"/>
      <x:c r="Z322" s="99"/>
    </x:row>
    <x:row r="323">
      <x:c r="A323" s="99"/>
      <x:c r="B323" s="99"/>
      <x:c r="C323" s="99"/>
      <x:c r="D323" s="99"/>
      <x:c r="E323" s="99"/>
      <x:c r="F323" s="99"/>
      <x:c r="G323" s="99"/>
      <x:c r="H323" s="99"/>
      <x:c r="I323" s="99"/>
      <x:c r="J323" s="99"/>
      <x:c r="K323" s="99"/>
      <x:c r="L323" s="99"/>
      <x:c r="M323" s="99"/>
      <x:c r="N323" s="99"/>
      <x:c r="O323" s="99"/>
      <x:c r="P323" s="99"/>
      <x:c r="Q323" s="99"/>
      <x:c r="R323" s="99"/>
      <x:c r="S323" s="99"/>
      <x:c r="T323" s="99"/>
      <x:c r="U323" s="99"/>
      <x:c r="V323" s="99"/>
      <x:c r="W323" s="99"/>
      <x:c r="X323" s="99"/>
      <x:c r="Y323" s="99"/>
      <x:c r="Z323" s="99"/>
    </x:row>
    <x:row r="324">
      <x:c r="A324" s="99"/>
      <x:c r="B324" s="99"/>
      <x:c r="C324" s="99"/>
      <x:c r="D324" s="99"/>
      <x:c r="E324" s="99"/>
      <x:c r="F324" s="99"/>
      <x:c r="G324" s="99"/>
      <x:c r="H324" s="99"/>
      <x:c r="I324" s="99"/>
      <x:c r="J324" s="99"/>
      <x:c r="K324" s="99"/>
      <x:c r="L324" s="99"/>
      <x:c r="M324" s="99"/>
      <x:c r="N324" s="99"/>
      <x:c r="O324" s="99"/>
      <x:c r="P324" s="99"/>
      <x:c r="Q324" s="99"/>
      <x:c r="R324" s="99"/>
      <x:c r="S324" s="99"/>
      <x:c r="T324" s="99"/>
      <x:c r="U324" s="99"/>
      <x:c r="V324" s="99"/>
      <x:c r="W324" s="99"/>
      <x:c r="X324" s="99"/>
      <x:c r="Y324" s="99"/>
      <x:c r="Z324" s="99"/>
    </x:row>
    <x:row r="325">
      <x:c r="A325" s="99"/>
      <x:c r="B325" s="99"/>
      <x:c r="C325" s="99"/>
      <x:c r="D325" s="99"/>
      <x:c r="E325" s="99"/>
      <x:c r="F325" s="99"/>
      <x:c r="G325" s="99"/>
      <x:c r="H325" s="99"/>
      <x:c r="I325" s="99"/>
      <x:c r="J325" s="99"/>
      <x:c r="K325" s="99"/>
      <x:c r="L325" s="99"/>
      <x:c r="M325" s="99"/>
      <x:c r="N325" s="99"/>
      <x:c r="O325" s="99"/>
      <x:c r="P325" s="99"/>
      <x:c r="Q325" s="99"/>
      <x:c r="R325" s="99"/>
      <x:c r="S325" s="99"/>
      <x:c r="T325" s="99"/>
      <x:c r="U325" s="99"/>
      <x:c r="V325" s="99"/>
      <x:c r="W325" s="99"/>
      <x:c r="X325" s="99"/>
      <x:c r="Y325" s="99"/>
      <x:c r="Z325" s="99"/>
    </x:row>
    <x:row r="326">
      <x:c r="A326" s="99"/>
      <x:c r="B326" s="99"/>
      <x:c r="C326" s="99"/>
      <x:c r="D326" s="99"/>
      <x:c r="E326" s="99"/>
      <x:c r="F326" s="99"/>
      <x:c r="G326" s="99"/>
      <x:c r="H326" s="99"/>
      <x:c r="I326" s="99"/>
      <x:c r="J326" s="99"/>
      <x:c r="K326" s="99"/>
      <x:c r="L326" s="99"/>
      <x:c r="M326" s="99"/>
      <x:c r="N326" s="99"/>
      <x:c r="O326" s="99"/>
      <x:c r="P326" s="99"/>
      <x:c r="Q326" s="99"/>
      <x:c r="R326" s="99"/>
      <x:c r="S326" s="99"/>
      <x:c r="T326" s="99"/>
      <x:c r="U326" s="99"/>
      <x:c r="V326" s="99"/>
      <x:c r="W326" s="99"/>
      <x:c r="X326" s="99"/>
      <x:c r="Y326" s="99"/>
      <x:c r="Z326" s="99"/>
    </x:row>
    <x:row r="327">
      <x:c r="A327" s="99"/>
      <x:c r="B327" s="99"/>
      <x:c r="C327" s="99"/>
      <x:c r="D327" s="99"/>
      <x:c r="E327" s="99"/>
      <x:c r="F327" s="99"/>
      <x:c r="G327" s="99"/>
      <x:c r="H327" s="99"/>
      <x:c r="I327" s="99"/>
      <x:c r="J327" s="99"/>
      <x:c r="K327" s="99"/>
      <x:c r="L327" s="99"/>
      <x:c r="M327" s="99"/>
      <x:c r="N327" s="99"/>
      <x:c r="O327" s="99"/>
      <x:c r="P327" s="99"/>
      <x:c r="Q327" s="99"/>
      <x:c r="R327" s="99"/>
      <x:c r="S327" s="99"/>
      <x:c r="T327" s="99"/>
      <x:c r="U327" s="99"/>
      <x:c r="V327" s="99"/>
      <x:c r="W327" s="99"/>
      <x:c r="X327" s="99"/>
      <x:c r="Y327" s="99"/>
      <x:c r="Z327" s="99"/>
    </x:row>
    <x:row r="328">
      <x:c r="A328" s="99"/>
      <x:c r="B328" s="99"/>
      <x:c r="C328" s="99"/>
      <x:c r="D328" s="99"/>
      <x:c r="E328" s="99"/>
      <x:c r="F328" s="99"/>
      <x:c r="G328" s="99"/>
      <x:c r="H328" s="99"/>
      <x:c r="I328" s="99"/>
      <x:c r="J328" s="99"/>
      <x:c r="K328" s="99"/>
      <x:c r="L328" s="99"/>
      <x:c r="M328" s="99"/>
      <x:c r="N328" s="99"/>
      <x:c r="O328" s="99"/>
      <x:c r="P328" s="99"/>
      <x:c r="Q328" s="99"/>
      <x:c r="R328" s="99"/>
      <x:c r="S328" s="99"/>
      <x:c r="T328" s="99"/>
      <x:c r="U328" s="99"/>
      <x:c r="V328" s="99"/>
      <x:c r="W328" s="99"/>
      <x:c r="X328" s="99"/>
      <x:c r="Y328" s="99"/>
      <x:c r="Z328" s="99"/>
    </x:row>
    <x:row r="329">
      <x:c r="A329" s="99"/>
      <x:c r="B329" s="99"/>
      <x:c r="C329" s="99"/>
      <x:c r="D329" s="99"/>
      <x:c r="E329" s="99"/>
      <x:c r="F329" s="99"/>
      <x:c r="G329" s="99"/>
      <x:c r="H329" s="99"/>
      <x:c r="I329" s="99"/>
      <x:c r="J329" s="99"/>
      <x:c r="K329" s="99"/>
      <x:c r="L329" s="99"/>
      <x:c r="M329" s="99"/>
      <x:c r="N329" s="99"/>
      <x:c r="O329" s="99"/>
      <x:c r="P329" s="99"/>
      <x:c r="Q329" s="99"/>
      <x:c r="R329" s="99"/>
      <x:c r="S329" s="99"/>
      <x:c r="T329" s="99"/>
      <x:c r="U329" s="99"/>
      <x:c r="V329" s="99"/>
      <x:c r="W329" s="99"/>
      <x:c r="X329" s="99"/>
      <x:c r="Y329" s="99"/>
      <x:c r="Z329" s="99"/>
    </x:row>
    <x:row r="330">
      <x:c r="A330" s="99"/>
      <x:c r="B330" s="99"/>
      <x:c r="C330" s="99"/>
      <x:c r="D330" s="99"/>
      <x:c r="E330" s="99"/>
      <x:c r="F330" s="99"/>
      <x:c r="G330" s="99"/>
      <x:c r="H330" s="99"/>
      <x:c r="I330" s="99"/>
      <x:c r="J330" s="99"/>
      <x:c r="K330" s="99"/>
      <x:c r="L330" s="99"/>
      <x:c r="M330" s="99"/>
      <x:c r="N330" s="99"/>
      <x:c r="O330" s="99"/>
      <x:c r="P330" s="99"/>
      <x:c r="Q330" s="99"/>
      <x:c r="R330" s="99"/>
      <x:c r="S330" s="99"/>
      <x:c r="T330" s="99"/>
      <x:c r="U330" s="99"/>
      <x:c r="V330" s="99"/>
      <x:c r="W330" s="99"/>
      <x:c r="X330" s="99"/>
      <x:c r="Y330" s="99"/>
      <x:c r="Z330" s="99"/>
    </x:row>
    <x:row r="331">
      <x:c r="A331" s="99"/>
      <x:c r="B331" s="99"/>
      <x:c r="C331" s="99"/>
      <x:c r="D331" s="99"/>
      <x:c r="E331" s="99"/>
      <x:c r="F331" s="99"/>
      <x:c r="G331" s="99"/>
      <x:c r="H331" s="99"/>
      <x:c r="I331" s="99"/>
      <x:c r="J331" s="99"/>
      <x:c r="K331" s="99"/>
      <x:c r="L331" s="99"/>
      <x:c r="M331" s="99"/>
      <x:c r="N331" s="99"/>
      <x:c r="O331" s="99"/>
      <x:c r="P331" s="99"/>
      <x:c r="Q331" s="99"/>
      <x:c r="R331" s="99"/>
      <x:c r="S331" s="99"/>
      <x:c r="T331" s="99"/>
      <x:c r="U331" s="99"/>
      <x:c r="V331" s="99"/>
      <x:c r="W331" s="99"/>
      <x:c r="X331" s="99"/>
      <x:c r="Y331" s="99"/>
      <x:c r="Z331" s="99"/>
    </x:row>
    <x:row r="332">
      <x:c r="A332" s="99"/>
      <x:c r="B332" s="99"/>
      <x:c r="C332" s="99"/>
      <x:c r="D332" s="99"/>
      <x:c r="E332" s="99"/>
      <x:c r="F332" s="99"/>
      <x:c r="G332" s="99"/>
      <x:c r="H332" s="99"/>
      <x:c r="I332" s="99"/>
      <x:c r="J332" s="99"/>
      <x:c r="K332" s="99"/>
      <x:c r="L332" s="99"/>
      <x:c r="M332" s="99"/>
      <x:c r="N332" s="99"/>
      <x:c r="O332" s="99"/>
      <x:c r="P332" s="99"/>
      <x:c r="Q332" s="99"/>
      <x:c r="R332" s="99"/>
      <x:c r="S332" s="99"/>
      <x:c r="T332" s="99"/>
      <x:c r="U332" s="99"/>
      <x:c r="V332" s="99"/>
      <x:c r="W332" s="99"/>
      <x:c r="X332" s="99"/>
      <x:c r="Y332" s="99"/>
      <x:c r="Z332" s="99"/>
    </x:row>
    <x:row r="333">
      <x:c r="A333" s="99"/>
      <x:c r="B333" s="99"/>
      <x:c r="C333" s="99"/>
      <x:c r="D333" s="99"/>
      <x:c r="E333" s="99"/>
      <x:c r="F333" s="99"/>
      <x:c r="G333" s="99"/>
      <x:c r="H333" s="99"/>
      <x:c r="I333" s="99"/>
      <x:c r="J333" s="99"/>
      <x:c r="K333" s="99"/>
      <x:c r="L333" s="99"/>
      <x:c r="M333" s="99"/>
      <x:c r="N333" s="99"/>
      <x:c r="O333" s="99"/>
      <x:c r="P333" s="99"/>
      <x:c r="Q333" s="99"/>
      <x:c r="R333" s="99"/>
      <x:c r="S333" s="99"/>
      <x:c r="T333" s="99"/>
      <x:c r="U333" s="99"/>
      <x:c r="V333" s="99"/>
      <x:c r="W333" s="99"/>
      <x:c r="X333" s="99"/>
      <x:c r="Y333" s="99"/>
      <x:c r="Z333" s="99"/>
    </x:row>
    <x:row r="334">
      <x:c r="A334" s="99"/>
      <x:c r="B334" s="99"/>
      <x:c r="C334" s="99"/>
      <x:c r="D334" s="99"/>
      <x:c r="E334" s="99"/>
      <x:c r="F334" s="99"/>
      <x:c r="G334" s="99"/>
      <x:c r="H334" s="99"/>
      <x:c r="I334" s="99"/>
      <x:c r="J334" s="99"/>
      <x:c r="K334" s="99"/>
      <x:c r="L334" s="99"/>
      <x:c r="M334" s="99"/>
      <x:c r="N334" s="99"/>
      <x:c r="O334" s="99"/>
      <x:c r="P334" s="99"/>
      <x:c r="Q334" s="99"/>
      <x:c r="R334" s="99"/>
      <x:c r="S334" s="99"/>
      <x:c r="T334" s="99"/>
      <x:c r="U334" s="99"/>
      <x:c r="V334" s="99"/>
      <x:c r="W334" s="99"/>
      <x:c r="X334" s="99"/>
      <x:c r="Y334" s="99"/>
      <x:c r="Z334" s="99"/>
    </x:row>
    <x:row r="335">
      <x:c r="A335" s="99"/>
      <x:c r="B335" s="99"/>
      <x:c r="C335" s="99"/>
      <x:c r="D335" s="99"/>
      <x:c r="E335" s="99"/>
      <x:c r="F335" s="99"/>
      <x:c r="G335" s="99"/>
      <x:c r="H335" s="99"/>
      <x:c r="I335" s="99"/>
      <x:c r="J335" s="99"/>
      <x:c r="K335" s="99"/>
      <x:c r="L335" s="99"/>
      <x:c r="M335" s="99"/>
      <x:c r="N335" s="99"/>
      <x:c r="O335" s="99"/>
      <x:c r="P335" s="99"/>
      <x:c r="Q335" s="99"/>
      <x:c r="R335" s="99"/>
      <x:c r="S335" s="99"/>
      <x:c r="T335" s="99"/>
      <x:c r="U335" s="99"/>
      <x:c r="V335" s="99"/>
      <x:c r="W335" s="99"/>
      <x:c r="X335" s="99"/>
      <x:c r="Y335" s="99"/>
      <x:c r="Z335" s="99"/>
    </x:row>
    <x:row r="336">
      <x:c r="A336" s="99"/>
      <x:c r="B336" s="99"/>
      <x:c r="C336" s="99"/>
      <x:c r="D336" s="99"/>
      <x:c r="E336" s="99"/>
      <x:c r="F336" s="99"/>
      <x:c r="G336" s="99"/>
      <x:c r="H336" s="99"/>
      <x:c r="I336" s="99"/>
      <x:c r="J336" s="99"/>
      <x:c r="K336" s="99"/>
      <x:c r="L336" s="99"/>
      <x:c r="M336" s="99"/>
      <x:c r="N336" s="99"/>
      <x:c r="O336" s="99"/>
      <x:c r="P336" s="99"/>
      <x:c r="Q336" s="99"/>
      <x:c r="R336" s="99"/>
      <x:c r="S336" s="99"/>
      <x:c r="T336" s="99"/>
      <x:c r="U336" s="99"/>
      <x:c r="V336" s="99"/>
      <x:c r="W336" s="99"/>
      <x:c r="X336" s="99"/>
      <x:c r="Y336" s="99"/>
      <x:c r="Z336" s="99"/>
    </x:row>
    <x:row r="337">
      <x:c r="A337" s="99"/>
      <x:c r="B337" s="99"/>
      <x:c r="C337" s="99"/>
      <x:c r="D337" s="99"/>
      <x:c r="E337" s="99"/>
      <x:c r="F337" s="99"/>
      <x:c r="G337" s="99"/>
      <x:c r="H337" s="99"/>
      <x:c r="I337" s="99"/>
      <x:c r="J337" s="99"/>
      <x:c r="K337" s="99"/>
      <x:c r="L337" s="99"/>
      <x:c r="M337" s="99"/>
      <x:c r="N337" s="99"/>
      <x:c r="O337" s="99"/>
      <x:c r="P337" s="99"/>
      <x:c r="Q337" s="99"/>
      <x:c r="R337" s="99"/>
      <x:c r="S337" s="99"/>
      <x:c r="T337" s="99"/>
      <x:c r="U337" s="99"/>
      <x:c r="V337" s="99"/>
      <x:c r="W337" s="99"/>
      <x:c r="X337" s="99"/>
      <x:c r="Y337" s="99"/>
      <x:c r="Z337" s="99"/>
    </x:row>
    <x:row r="338">
      <x:c r="A338" s="99"/>
      <x:c r="B338" s="99"/>
      <x:c r="C338" s="99"/>
      <x:c r="D338" s="99"/>
      <x:c r="E338" s="99"/>
      <x:c r="F338" s="99"/>
      <x:c r="G338" s="99"/>
      <x:c r="H338" s="99"/>
      <x:c r="I338" s="99"/>
      <x:c r="J338" s="99"/>
      <x:c r="K338" s="99"/>
      <x:c r="L338" s="99"/>
      <x:c r="M338" s="99"/>
      <x:c r="N338" s="99"/>
      <x:c r="O338" s="99"/>
      <x:c r="P338" s="99"/>
      <x:c r="Q338" s="99"/>
      <x:c r="R338" s="99"/>
      <x:c r="S338" s="99"/>
      <x:c r="T338" s="99"/>
      <x:c r="U338" s="99"/>
      <x:c r="V338" s="99"/>
      <x:c r="W338" s="99"/>
      <x:c r="X338" s="99"/>
      <x:c r="Y338" s="99"/>
      <x:c r="Z338" s="99"/>
    </x:row>
    <x:row r="339">
      <x:c r="A339" s="99"/>
      <x:c r="B339" s="99"/>
      <x:c r="C339" s="99"/>
      <x:c r="D339" s="99"/>
      <x:c r="E339" s="99"/>
      <x:c r="F339" s="99"/>
      <x:c r="G339" s="99"/>
      <x:c r="H339" s="99"/>
      <x:c r="I339" s="99"/>
      <x:c r="J339" s="99"/>
      <x:c r="K339" s="99"/>
      <x:c r="L339" s="99"/>
      <x:c r="M339" s="99"/>
      <x:c r="N339" s="99"/>
      <x:c r="O339" s="99"/>
      <x:c r="P339" s="99"/>
      <x:c r="Q339" s="99"/>
      <x:c r="R339" s="99"/>
      <x:c r="S339" s="99"/>
      <x:c r="T339" s="99"/>
      <x:c r="U339" s="99"/>
      <x:c r="V339" s="99"/>
      <x:c r="W339" s="99"/>
      <x:c r="X339" s="99"/>
      <x:c r="Y339" s="99"/>
      <x:c r="Z339" s="99"/>
    </x:row>
    <x:row r="340">
      <x:c r="A340" s="99"/>
      <x:c r="B340" s="99"/>
      <x:c r="C340" s="99"/>
      <x:c r="D340" s="99"/>
      <x:c r="E340" s="99"/>
      <x:c r="F340" s="99"/>
      <x:c r="G340" s="99"/>
      <x:c r="H340" s="99"/>
      <x:c r="I340" s="99"/>
      <x:c r="J340" s="99"/>
      <x:c r="K340" s="99"/>
      <x:c r="L340" s="99"/>
      <x:c r="M340" s="99"/>
      <x:c r="N340" s="99"/>
      <x:c r="O340" s="99"/>
      <x:c r="P340" s="99"/>
      <x:c r="Q340" s="99"/>
      <x:c r="R340" s="99"/>
      <x:c r="S340" s="99"/>
      <x:c r="T340" s="99"/>
      <x:c r="U340" s="99"/>
      <x:c r="V340" s="99"/>
      <x:c r="W340" s="99"/>
      <x:c r="X340" s="99"/>
      <x:c r="Y340" s="99"/>
      <x:c r="Z340" s="99"/>
    </x:row>
    <x:row r="341">
      <x:c r="A341" s="99"/>
      <x:c r="B341" s="99"/>
      <x:c r="C341" s="99"/>
      <x:c r="D341" s="99"/>
      <x:c r="E341" s="99"/>
      <x:c r="F341" s="99"/>
      <x:c r="G341" s="99"/>
      <x:c r="H341" s="99"/>
      <x:c r="I341" s="99"/>
      <x:c r="J341" s="99"/>
      <x:c r="K341" s="99"/>
      <x:c r="L341" s="99"/>
      <x:c r="M341" s="99"/>
      <x:c r="N341" s="99"/>
      <x:c r="O341" s="99"/>
      <x:c r="P341" s="99"/>
      <x:c r="Q341" s="99"/>
      <x:c r="R341" s="99"/>
      <x:c r="S341" s="99"/>
      <x:c r="T341" s="99"/>
      <x:c r="U341" s="99"/>
      <x:c r="V341" s="99"/>
      <x:c r="W341" s="99"/>
      <x:c r="X341" s="99"/>
      <x:c r="Y341" s="99"/>
      <x:c r="Z341" s="99"/>
    </x:row>
    <x:row r="342">
      <x:c r="A342" s="99"/>
      <x:c r="B342" s="99"/>
      <x:c r="C342" s="99"/>
      <x:c r="D342" s="99"/>
      <x:c r="E342" s="99"/>
      <x:c r="F342" s="99"/>
      <x:c r="G342" s="99"/>
      <x:c r="H342" s="99"/>
      <x:c r="I342" s="99"/>
      <x:c r="J342" s="99"/>
      <x:c r="K342" s="99"/>
      <x:c r="L342" s="99"/>
      <x:c r="M342" s="99"/>
      <x:c r="N342" s="99"/>
      <x:c r="O342" s="99"/>
      <x:c r="P342" s="99"/>
      <x:c r="Q342" s="99"/>
      <x:c r="R342" s="99"/>
      <x:c r="S342" s="99"/>
      <x:c r="T342" s="99"/>
      <x:c r="U342" s="99"/>
      <x:c r="V342" s="99"/>
      <x:c r="W342" s="99"/>
      <x:c r="X342" s="99"/>
      <x:c r="Y342" s="99"/>
      <x:c r="Z342" s="99"/>
    </x:row>
    <x:row r="343">
      <x:c r="A343" s="99"/>
      <x:c r="B343" s="99"/>
      <x:c r="C343" s="99"/>
      <x:c r="D343" s="99"/>
      <x:c r="E343" s="99"/>
      <x:c r="F343" s="99"/>
      <x:c r="G343" s="99"/>
      <x:c r="H343" s="99"/>
      <x:c r="I343" s="99"/>
      <x:c r="J343" s="99"/>
      <x:c r="K343" s="99"/>
      <x:c r="L343" s="99"/>
      <x:c r="M343" s="99"/>
      <x:c r="N343" s="99"/>
      <x:c r="O343" s="99"/>
      <x:c r="P343" s="99"/>
      <x:c r="Q343" s="99"/>
      <x:c r="R343" s="99"/>
      <x:c r="S343" s="99"/>
      <x:c r="T343" s="99"/>
      <x:c r="U343" s="99"/>
      <x:c r="V343" s="99"/>
      <x:c r="W343" s="99"/>
      <x:c r="X343" s="99"/>
      <x:c r="Y343" s="99"/>
      <x:c r="Z343" s="99"/>
    </x:row>
    <x:row r="344">
      <x:c r="A344" s="99"/>
      <x:c r="B344" s="99"/>
      <x:c r="C344" s="99"/>
      <x:c r="D344" s="99"/>
      <x:c r="E344" s="99"/>
      <x:c r="F344" s="99"/>
      <x:c r="G344" s="99"/>
      <x:c r="H344" s="99"/>
      <x:c r="I344" s="99"/>
      <x:c r="J344" s="99"/>
      <x:c r="K344" s="99"/>
      <x:c r="L344" s="99"/>
      <x:c r="M344" s="99"/>
      <x:c r="N344" s="99"/>
      <x:c r="O344" s="99"/>
      <x:c r="P344" s="99"/>
      <x:c r="Q344" s="99"/>
      <x:c r="R344" s="99"/>
      <x:c r="S344" s="99"/>
      <x:c r="T344" s="99"/>
      <x:c r="U344" s="99"/>
      <x:c r="V344" s="99"/>
      <x:c r="W344" s="99"/>
      <x:c r="X344" s="99"/>
      <x:c r="Y344" s="99"/>
      <x:c r="Z344" s="99"/>
    </x:row>
    <x:row r="345">
      <x:c r="A345" s="99"/>
      <x:c r="B345" s="99"/>
      <x:c r="C345" s="99"/>
      <x:c r="D345" s="99"/>
      <x:c r="E345" s="99"/>
      <x:c r="F345" s="99"/>
      <x:c r="G345" s="99"/>
      <x:c r="H345" s="99"/>
      <x:c r="I345" s="99"/>
      <x:c r="J345" s="99"/>
      <x:c r="K345" s="99"/>
      <x:c r="L345" s="99"/>
      <x:c r="M345" s="99"/>
      <x:c r="N345" s="99"/>
      <x:c r="O345" s="99"/>
      <x:c r="P345" s="99"/>
      <x:c r="Q345" s="99"/>
      <x:c r="R345" s="99"/>
      <x:c r="S345" s="99"/>
      <x:c r="T345" s="99"/>
      <x:c r="U345" s="99"/>
      <x:c r="V345" s="99"/>
      <x:c r="W345" s="99"/>
      <x:c r="X345" s="99"/>
      <x:c r="Y345" s="99"/>
      <x:c r="Z345" s="99"/>
    </x:row>
    <x:row r="346">
      <x:c r="A346" s="99"/>
      <x:c r="B346" s="99"/>
      <x:c r="C346" s="99"/>
      <x:c r="D346" s="99"/>
      <x:c r="E346" s="99"/>
      <x:c r="F346" s="99"/>
      <x:c r="G346" s="99"/>
      <x:c r="H346" s="99"/>
      <x:c r="I346" s="99"/>
      <x:c r="J346" s="99"/>
      <x:c r="K346" s="99"/>
      <x:c r="L346" s="99"/>
      <x:c r="M346" s="99"/>
      <x:c r="N346" s="99"/>
      <x:c r="O346" s="99"/>
      <x:c r="P346" s="99"/>
      <x:c r="Q346" s="99"/>
      <x:c r="R346" s="99"/>
      <x:c r="S346" s="99"/>
      <x:c r="T346" s="99"/>
      <x:c r="U346" s="99"/>
      <x:c r="V346" s="99"/>
      <x:c r="W346" s="99"/>
      <x:c r="X346" s="99"/>
      <x:c r="Y346" s="99"/>
      <x:c r="Z346" s="99"/>
    </x:row>
    <x:row r="347">
      <x:c r="A347" s="99"/>
      <x:c r="B347" s="99"/>
      <x:c r="C347" s="99"/>
      <x:c r="D347" s="99"/>
      <x:c r="E347" s="99"/>
      <x:c r="F347" s="99"/>
      <x:c r="G347" s="99"/>
      <x:c r="H347" s="99"/>
      <x:c r="I347" s="99"/>
      <x:c r="J347" s="99"/>
      <x:c r="K347" s="99"/>
      <x:c r="L347" s="99"/>
      <x:c r="M347" s="99"/>
      <x:c r="N347" s="99"/>
      <x:c r="O347" s="99"/>
      <x:c r="P347" s="99"/>
      <x:c r="Q347" s="99"/>
      <x:c r="R347" s="99"/>
      <x:c r="S347" s="99"/>
      <x:c r="T347" s="99"/>
      <x:c r="U347" s="99"/>
      <x:c r="V347" s="99"/>
      <x:c r="W347" s="99"/>
      <x:c r="X347" s="99"/>
      <x:c r="Y347" s="99"/>
      <x:c r="Z347" s="99"/>
    </x:row>
    <x:row r="348">
      <x:c r="A348" s="99"/>
      <x:c r="B348" s="99"/>
      <x:c r="C348" s="99"/>
      <x:c r="D348" s="99"/>
      <x:c r="E348" s="99"/>
      <x:c r="F348" s="99"/>
      <x:c r="G348" s="99"/>
      <x:c r="H348" s="99"/>
      <x:c r="I348" s="99"/>
      <x:c r="J348" s="99"/>
      <x:c r="K348" s="99"/>
      <x:c r="L348" s="99"/>
      <x:c r="M348" s="99"/>
      <x:c r="N348" s="99"/>
      <x:c r="O348" s="99"/>
      <x:c r="P348" s="99"/>
      <x:c r="Q348" s="99"/>
      <x:c r="R348" s="99"/>
      <x:c r="S348" s="99"/>
      <x:c r="T348" s="99"/>
      <x:c r="U348" s="99"/>
      <x:c r="V348" s="99"/>
      <x:c r="W348" s="99"/>
      <x:c r="X348" s="99"/>
      <x:c r="Y348" s="99"/>
      <x:c r="Z348" s="99"/>
    </x:row>
    <x:row r="349">
      <x:c r="A349" s="99"/>
      <x:c r="B349" s="99"/>
      <x:c r="C349" s="99"/>
      <x:c r="D349" s="99"/>
      <x:c r="E349" s="99"/>
      <x:c r="F349" s="99"/>
      <x:c r="G349" s="99"/>
      <x:c r="H349" s="99"/>
      <x:c r="I349" s="99"/>
      <x:c r="J349" s="99"/>
      <x:c r="K349" s="99"/>
      <x:c r="L349" s="99"/>
      <x:c r="M349" s="99"/>
      <x:c r="N349" s="99"/>
      <x:c r="O349" s="99"/>
      <x:c r="P349" s="99"/>
      <x:c r="Q349" s="99"/>
      <x:c r="R349" s="99"/>
      <x:c r="S349" s="99"/>
      <x:c r="T349" s="99"/>
      <x:c r="U349" s="99"/>
      <x:c r="V349" s="99"/>
      <x:c r="W349" s="99"/>
      <x:c r="X349" s="99"/>
      <x:c r="Y349" s="99"/>
      <x:c r="Z349" s="99"/>
    </x:row>
    <x:row r="350">
      <x:c r="A350" s="99"/>
      <x:c r="B350" s="99"/>
      <x:c r="C350" s="99"/>
      <x:c r="D350" s="99"/>
      <x:c r="E350" s="99"/>
      <x:c r="F350" s="99"/>
      <x:c r="G350" s="99"/>
      <x:c r="H350" s="99"/>
      <x:c r="I350" s="99"/>
      <x:c r="J350" s="99"/>
      <x:c r="K350" s="99"/>
      <x:c r="L350" s="99"/>
      <x:c r="M350" s="99"/>
      <x:c r="N350" s="99"/>
      <x:c r="O350" s="99"/>
      <x:c r="P350" s="99"/>
      <x:c r="Q350" s="99"/>
      <x:c r="R350" s="99"/>
      <x:c r="S350" s="99"/>
      <x:c r="T350" s="99"/>
      <x:c r="U350" s="99"/>
      <x:c r="V350" s="99"/>
      <x:c r="W350" s="99"/>
      <x:c r="X350" s="99"/>
      <x:c r="Y350" s="99"/>
      <x:c r="Z350" s="99"/>
    </x:row>
    <x:row r="351">
      <x:c r="A351" s="99"/>
      <x:c r="B351" s="99"/>
      <x:c r="C351" s="99"/>
      <x:c r="D351" s="99"/>
      <x:c r="E351" s="99"/>
      <x:c r="F351" s="99"/>
      <x:c r="G351" s="99"/>
      <x:c r="H351" s="99"/>
      <x:c r="I351" s="99"/>
      <x:c r="J351" s="99"/>
      <x:c r="K351" s="99"/>
      <x:c r="L351" s="99"/>
      <x:c r="M351" s="99"/>
      <x:c r="N351" s="99"/>
      <x:c r="O351" s="99"/>
      <x:c r="P351" s="99"/>
      <x:c r="Q351" s="99"/>
      <x:c r="R351" s="99"/>
      <x:c r="S351" s="99"/>
      <x:c r="T351" s="99"/>
      <x:c r="U351" s="99"/>
      <x:c r="V351" s="99"/>
      <x:c r="W351" s="99"/>
      <x:c r="X351" s="99"/>
      <x:c r="Y351" s="99"/>
      <x:c r="Z351" s="99"/>
    </x:row>
    <x:row r="352">
      <x:c r="A352" s="99"/>
      <x:c r="B352" s="99"/>
      <x:c r="C352" s="99"/>
      <x:c r="D352" s="99"/>
      <x:c r="E352" s="99"/>
      <x:c r="F352" s="99"/>
      <x:c r="G352" s="99"/>
      <x:c r="H352" s="99"/>
      <x:c r="I352" s="99"/>
      <x:c r="J352" s="99"/>
      <x:c r="K352" s="99"/>
      <x:c r="L352" s="99"/>
      <x:c r="M352" s="99"/>
      <x:c r="N352" s="99"/>
      <x:c r="O352" s="99"/>
      <x:c r="P352" s="99"/>
      <x:c r="Q352" s="99"/>
      <x:c r="R352" s="99"/>
      <x:c r="S352" s="99"/>
      <x:c r="T352" s="99"/>
      <x:c r="U352" s="99"/>
      <x:c r="V352" s="99"/>
      <x:c r="W352" s="99"/>
      <x:c r="X352" s="99"/>
      <x:c r="Y352" s="99"/>
      <x:c r="Z352" s="99"/>
    </x:row>
    <x:row r="353">
      <x:c r="A353" s="99"/>
      <x:c r="B353" s="99"/>
      <x:c r="C353" s="99"/>
      <x:c r="D353" s="99"/>
      <x:c r="E353" s="99"/>
      <x:c r="F353" s="99"/>
      <x:c r="G353" s="99"/>
      <x:c r="H353" s="99"/>
      <x:c r="I353" s="99"/>
      <x:c r="J353" s="99"/>
      <x:c r="K353" s="99"/>
      <x:c r="L353" s="99"/>
      <x:c r="M353" s="99"/>
      <x:c r="N353" s="99"/>
      <x:c r="O353" s="99"/>
      <x:c r="P353" s="99"/>
      <x:c r="Q353" s="99"/>
      <x:c r="R353" s="99"/>
      <x:c r="S353" s="99"/>
      <x:c r="T353" s="99"/>
      <x:c r="U353" s="99"/>
      <x:c r="V353" s="99"/>
      <x:c r="W353" s="99"/>
      <x:c r="X353" s="99"/>
      <x:c r="Y353" s="99"/>
      <x:c r="Z353" s="99"/>
    </x:row>
    <x:row r="354">
      <x:c r="A354" s="99"/>
      <x:c r="B354" s="99"/>
      <x:c r="C354" s="99"/>
      <x:c r="D354" s="99"/>
      <x:c r="E354" s="99"/>
      <x:c r="F354" s="99"/>
      <x:c r="G354" s="99"/>
      <x:c r="H354" s="99"/>
      <x:c r="I354" s="99"/>
      <x:c r="J354" s="99"/>
      <x:c r="K354" s="99"/>
      <x:c r="L354" s="99"/>
      <x:c r="M354" s="99"/>
      <x:c r="N354" s="99"/>
      <x:c r="O354" s="99"/>
      <x:c r="P354" s="99"/>
      <x:c r="Q354" s="99"/>
      <x:c r="R354" s="99"/>
      <x:c r="S354" s="99"/>
      <x:c r="T354" s="99"/>
      <x:c r="U354" s="99"/>
      <x:c r="V354" s="99"/>
      <x:c r="W354" s="99"/>
      <x:c r="X354" s="99"/>
      <x:c r="Y354" s="99"/>
      <x:c r="Z354" s="99"/>
    </x:row>
    <x:row r="355">
      <x:c r="A355" s="99"/>
      <x:c r="B355" s="99"/>
      <x:c r="C355" s="99"/>
      <x:c r="D355" s="99"/>
      <x:c r="E355" s="99"/>
      <x:c r="F355" s="99"/>
      <x:c r="G355" s="99"/>
      <x:c r="H355" s="99"/>
      <x:c r="I355" s="99"/>
      <x:c r="J355" s="99"/>
      <x:c r="K355" s="99"/>
      <x:c r="L355" s="99"/>
      <x:c r="M355" s="99"/>
      <x:c r="N355" s="99"/>
      <x:c r="O355" s="99"/>
      <x:c r="P355" s="99"/>
      <x:c r="Q355" s="99"/>
      <x:c r="R355" s="99"/>
      <x:c r="S355" s="99"/>
      <x:c r="T355" s="99"/>
      <x:c r="U355" s="99"/>
      <x:c r="V355" s="99"/>
      <x:c r="W355" s="99"/>
      <x:c r="X355" s="99"/>
      <x:c r="Y355" s="99"/>
      <x:c r="Z355" s="99"/>
    </x:row>
    <x:row r="356">
      <x:c r="A356" s="99"/>
      <x:c r="B356" s="99"/>
      <x:c r="C356" s="99"/>
      <x:c r="D356" s="99"/>
      <x:c r="E356" s="99"/>
      <x:c r="F356" s="99"/>
      <x:c r="G356" s="99"/>
      <x:c r="H356" s="99"/>
      <x:c r="I356" s="99"/>
      <x:c r="J356" s="99"/>
      <x:c r="K356" s="99"/>
      <x:c r="L356" s="99"/>
      <x:c r="M356" s="99"/>
      <x:c r="N356" s="99"/>
      <x:c r="O356" s="99"/>
      <x:c r="P356" s="99"/>
      <x:c r="Q356" s="99"/>
      <x:c r="R356" s="99"/>
      <x:c r="S356" s="99"/>
      <x:c r="T356" s="99"/>
      <x:c r="U356" s="99"/>
      <x:c r="V356" s="99"/>
      <x:c r="W356" s="99"/>
      <x:c r="X356" s="99"/>
      <x:c r="Y356" s="99"/>
      <x:c r="Z356" s="99"/>
    </x:row>
    <x:row r="357">
      <x:c r="A357" s="99"/>
      <x:c r="B357" s="99"/>
      <x:c r="C357" s="99"/>
      <x:c r="D357" s="99"/>
      <x:c r="E357" s="99"/>
      <x:c r="F357" s="99"/>
      <x:c r="G357" s="99"/>
      <x:c r="H357" s="99"/>
      <x:c r="I357" s="99"/>
      <x:c r="J357" s="99"/>
      <x:c r="K357" s="99"/>
      <x:c r="L357" s="99"/>
      <x:c r="M357" s="99"/>
      <x:c r="N357" s="99"/>
      <x:c r="O357" s="99"/>
      <x:c r="P357" s="99"/>
      <x:c r="Q357" s="99"/>
      <x:c r="R357" s="99"/>
      <x:c r="S357" s="99"/>
      <x:c r="T357" s="99"/>
      <x:c r="U357" s="99"/>
      <x:c r="V357" s="99"/>
      <x:c r="W357" s="99"/>
      <x:c r="X357" s="99"/>
      <x:c r="Y357" s="99"/>
      <x:c r="Z357" s="99"/>
    </x:row>
    <x:row r="358">
      <x:c r="A358" s="99"/>
      <x:c r="B358" s="99"/>
      <x:c r="C358" s="99"/>
      <x:c r="D358" s="99"/>
      <x:c r="E358" s="99"/>
      <x:c r="F358" s="99"/>
      <x:c r="G358" s="99"/>
      <x:c r="H358" s="99"/>
      <x:c r="I358" s="99"/>
      <x:c r="J358" s="99"/>
      <x:c r="K358" s="99"/>
      <x:c r="L358" s="99"/>
      <x:c r="M358" s="99"/>
      <x:c r="N358" s="99"/>
      <x:c r="O358" s="99"/>
      <x:c r="P358" s="99"/>
      <x:c r="Q358" s="99"/>
      <x:c r="R358" s="99"/>
      <x:c r="S358" s="99"/>
      <x:c r="T358" s="99"/>
      <x:c r="U358" s="99"/>
      <x:c r="V358" s="99"/>
      <x:c r="W358" s="99"/>
      <x:c r="X358" s="99"/>
      <x:c r="Y358" s="99"/>
      <x:c r="Z358" s="99"/>
    </x:row>
    <x:row r="359">
      <x:c r="A359" s="99"/>
      <x:c r="B359" s="99"/>
      <x:c r="C359" s="99"/>
      <x:c r="D359" s="99"/>
      <x:c r="E359" s="99"/>
      <x:c r="F359" s="99"/>
      <x:c r="G359" s="99"/>
      <x:c r="H359" s="99"/>
      <x:c r="I359" s="99"/>
      <x:c r="J359" s="99"/>
      <x:c r="K359" s="99"/>
      <x:c r="L359" s="99"/>
      <x:c r="M359" s="99"/>
      <x:c r="N359" s="99"/>
      <x:c r="O359" s="99"/>
      <x:c r="P359" s="99"/>
      <x:c r="Q359" s="99"/>
      <x:c r="R359" s="99"/>
      <x:c r="S359" s="99"/>
      <x:c r="T359" s="99"/>
      <x:c r="U359" s="99"/>
      <x:c r="V359" s="99"/>
      <x:c r="W359" s="99"/>
      <x:c r="X359" s="99"/>
      <x:c r="Y359" s="99"/>
      <x:c r="Z359" s="99"/>
    </x:row>
    <x:row r="360">
      <x:c r="A360" s="99"/>
      <x:c r="B360" s="99"/>
      <x:c r="C360" s="99"/>
      <x:c r="D360" s="99"/>
      <x:c r="E360" s="99"/>
      <x:c r="F360" s="99"/>
      <x:c r="G360" s="99"/>
      <x:c r="H360" s="99"/>
      <x:c r="I360" s="99"/>
      <x:c r="J360" s="99"/>
      <x:c r="K360" s="99"/>
      <x:c r="L360" s="99"/>
      <x:c r="M360" s="99"/>
      <x:c r="N360" s="99"/>
      <x:c r="O360" s="99"/>
      <x:c r="P360" s="99"/>
      <x:c r="Q360" s="99"/>
      <x:c r="R360" s="99"/>
      <x:c r="S360" s="99"/>
      <x:c r="T360" s="99"/>
      <x:c r="U360" s="99"/>
      <x:c r="V360" s="99"/>
      <x:c r="W360" s="99"/>
      <x:c r="X360" s="99"/>
      <x:c r="Y360" s="99"/>
      <x:c r="Z360" s="99"/>
    </x:row>
    <x:row r="361">
      <x:c r="A361" s="99"/>
      <x:c r="B361" s="99"/>
      <x:c r="C361" s="99"/>
      <x:c r="D361" s="99"/>
      <x:c r="E361" s="99"/>
      <x:c r="F361" s="99"/>
      <x:c r="G361" s="99"/>
      <x:c r="H361" s="99"/>
      <x:c r="I361" s="99"/>
      <x:c r="J361" s="99"/>
      <x:c r="K361" s="99"/>
      <x:c r="L361" s="99"/>
      <x:c r="M361" s="99"/>
      <x:c r="N361" s="99"/>
      <x:c r="O361" s="99"/>
      <x:c r="P361" s="99"/>
      <x:c r="Q361" s="99"/>
      <x:c r="R361" s="99"/>
      <x:c r="S361" s="99"/>
      <x:c r="T361" s="99"/>
      <x:c r="U361" s="99"/>
      <x:c r="V361" s="99"/>
      <x:c r="W361" s="99"/>
      <x:c r="X361" s="99"/>
      <x:c r="Y361" s="99"/>
      <x:c r="Z361" s="99"/>
    </x:row>
    <x:row r="362">
      <x:c r="A362" s="99"/>
      <x:c r="B362" s="99"/>
      <x:c r="C362" s="99"/>
      <x:c r="D362" s="99"/>
      <x:c r="E362" s="99"/>
      <x:c r="F362" s="99"/>
      <x:c r="G362" s="99"/>
      <x:c r="H362" s="99"/>
      <x:c r="I362" s="99"/>
      <x:c r="J362" s="99"/>
      <x:c r="K362" s="99"/>
      <x:c r="L362" s="99"/>
      <x:c r="M362" s="99"/>
      <x:c r="N362" s="99"/>
      <x:c r="O362" s="99"/>
      <x:c r="P362" s="99"/>
      <x:c r="Q362" s="99"/>
      <x:c r="R362" s="99"/>
      <x:c r="S362" s="99"/>
      <x:c r="T362" s="99"/>
      <x:c r="U362" s="99"/>
      <x:c r="V362" s="99"/>
      <x:c r="W362" s="99"/>
      <x:c r="X362" s="99"/>
      <x:c r="Y362" s="99"/>
      <x:c r="Z362" s="99"/>
    </x:row>
    <x:row r="363">
      <x:c r="A363" s="99"/>
      <x:c r="B363" s="99"/>
      <x:c r="C363" s="99"/>
      <x:c r="D363" s="99"/>
      <x:c r="E363" s="99"/>
      <x:c r="F363" s="99"/>
      <x:c r="G363" s="99"/>
      <x:c r="H363" s="99"/>
      <x:c r="I363" s="99"/>
      <x:c r="J363" s="99"/>
      <x:c r="K363" s="99"/>
      <x:c r="L363" s="99"/>
      <x:c r="M363" s="99"/>
      <x:c r="N363" s="99"/>
      <x:c r="O363" s="99"/>
      <x:c r="P363" s="99"/>
      <x:c r="Q363" s="99"/>
      <x:c r="R363" s="99"/>
      <x:c r="S363" s="99"/>
      <x:c r="T363" s="99"/>
      <x:c r="U363" s="99"/>
      <x:c r="V363" s="99"/>
      <x:c r="W363" s="99"/>
      <x:c r="X363" s="99"/>
      <x:c r="Y363" s="99"/>
      <x:c r="Z363" s="99"/>
    </x:row>
    <x:row r="364">
      <x:c r="A364" s="99"/>
      <x:c r="B364" s="99"/>
      <x:c r="C364" s="99"/>
      <x:c r="D364" s="99"/>
      <x:c r="E364" s="99"/>
      <x:c r="F364" s="99"/>
      <x:c r="G364" s="99"/>
      <x:c r="H364" s="99"/>
      <x:c r="I364" s="99"/>
      <x:c r="J364" s="99"/>
      <x:c r="K364" s="99"/>
      <x:c r="L364" s="99"/>
      <x:c r="M364" s="99"/>
      <x:c r="N364" s="99"/>
      <x:c r="O364" s="99"/>
      <x:c r="P364" s="99"/>
      <x:c r="Q364" s="99"/>
      <x:c r="R364" s="99"/>
      <x:c r="S364" s="99"/>
      <x:c r="T364" s="99"/>
      <x:c r="U364" s="99"/>
      <x:c r="V364" s="99"/>
      <x:c r="W364" s="99"/>
      <x:c r="X364" s="99"/>
      <x:c r="Y364" s="99"/>
      <x:c r="Z364" s="99"/>
    </x:row>
    <x:row r="365">
      <x:c r="A365" s="99"/>
      <x:c r="B365" s="99"/>
      <x:c r="C365" s="99"/>
      <x:c r="D365" s="99"/>
      <x:c r="E365" s="99"/>
      <x:c r="F365" s="99"/>
      <x:c r="G365" s="99"/>
      <x:c r="H365" s="99"/>
      <x:c r="I365" s="99"/>
      <x:c r="J365" s="99"/>
      <x:c r="K365" s="99"/>
      <x:c r="L365" s="99"/>
      <x:c r="M365" s="99"/>
      <x:c r="N365" s="99"/>
      <x:c r="O365" s="99"/>
      <x:c r="P365" s="99"/>
      <x:c r="Q365" s="99"/>
      <x:c r="R365" s="99"/>
      <x:c r="S365" s="99"/>
      <x:c r="T365" s="99"/>
      <x:c r="U365" s="99"/>
      <x:c r="V365" s="99"/>
      <x:c r="W365" s="99"/>
      <x:c r="X365" s="99"/>
      <x:c r="Y365" s="99"/>
      <x:c r="Z365" s="99"/>
    </x:row>
    <x:row r="366">
      <x:c r="A366" s="99"/>
      <x:c r="B366" s="99"/>
      <x:c r="C366" s="99"/>
      <x:c r="D366" s="99"/>
      <x:c r="E366" s="99"/>
      <x:c r="F366" s="99"/>
      <x:c r="G366" s="99"/>
      <x:c r="H366" s="99"/>
      <x:c r="I366" s="99"/>
      <x:c r="J366" s="99"/>
      <x:c r="K366" s="99"/>
      <x:c r="L366" s="99"/>
      <x:c r="M366" s="99"/>
      <x:c r="N366" s="99"/>
      <x:c r="O366" s="99"/>
      <x:c r="P366" s="99"/>
      <x:c r="Q366" s="99"/>
      <x:c r="R366" s="99"/>
      <x:c r="S366" s="99"/>
      <x:c r="T366" s="99"/>
      <x:c r="U366" s="99"/>
      <x:c r="V366" s="99"/>
      <x:c r="W366" s="99"/>
      <x:c r="X366" s="99"/>
      <x:c r="Y366" s="99"/>
      <x:c r="Z366" s="99"/>
    </x:row>
    <x:row r="367">
      <x:c r="A367" s="99"/>
      <x:c r="B367" s="99"/>
      <x:c r="C367" s="99"/>
      <x:c r="D367" s="99"/>
      <x:c r="E367" s="99"/>
      <x:c r="F367" s="99"/>
      <x:c r="G367" s="99"/>
      <x:c r="H367" s="99"/>
      <x:c r="I367" s="99"/>
      <x:c r="J367" s="99"/>
      <x:c r="K367" s="99"/>
      <x:c r="L367" s="99"/>
      <x:c r="M367" s="99"/>
      <x:c r="N367" s="99"/>
      <x:c r="O367" s="99"/>
      <x:c r="P367" s="99"/>
      <x:c r="Q367" s="99"/>
      <x:c r="R367" s="99"/>
      <x:c r="S367" s="99"/>
      <x:c r="T367" s="99"/>
      <x:c r="U367" s="99"/>
      <x:c r="V367" s="99"/>
      <x:c r="W367" s="99"/>
      <x:c r="X367" s="99"/>
      <x:c r="Y367" s="99"/>
      <x:c r="Z367" s="99"/>
    </x:row>
    <x:row r="368">
      <x:c r="A368" s="99"/>
      <x:c r="B368" s="99"/>
      <x:c r="C368" s="99"/>
      <x:c r="D368" s="99"/>
      <x:c r="E368" s="99"/>
      <x:c r="F368" s="99"/>
      <x:c r="G368" s="99"/>
      <x:c r="H368" s="99"/>
      <x:c r="I368" s="99"/>
      <x:c r="J368" s="99"/>
      <x:c r="K368" s="99"/>
      <x:c r="L368" s="99"/>
      <x:c r="M368" s="99"/>
      <x:c r="N368" s="99"/>
      <x:c r="O368" s="99"/>
      <x:c r="P368" s="99"/>
      <x:c r="Q368" s="99"/>
      <x:c r="R368" s="99"/>
      <x:c r="S368" s="99"/>
      <x:c r="T368" s="99"/>
      <x:c r="U368" s="99"/>
      <x:c r="V368" s="99"/>
      <x:c r="W368" s="99"/>
      <x:c r="X368" s="99"/>
      <x:c r="Y368" s="99"/>
      <x:c r="Z368" s="99"/>
    </x:row>
    <x:row r="369">
      <x:c r="A369" s="99"/>
      <x:c r="B369" s="99"/>
      <x:c r="C369" s="99"/>
      <x:c r="D369" s="99"/>
      <x:c r="E369" s="99"/>
      <x:c r="F369" s="99"/>
      <x:c r="G369" s="99"/>
      <x:c r="H369" s="99"/>
      <x:c r="I369" s="99"/>
      <x:c r="J369" s="99"/>
      <x:c r="K369" s="99"/>
      <x:c r="L369" s="99"/>
      <x:c r="M369" s="99"/>
      <x:c r="N369" s="99"/>
      <x:c r="O369" s="99"/>
      <x:c r="P369" s="99"/>
      <x:c r="Q369" s="99"/>
      <x:c r="R369" s="99"/>
      <x:c r="S369" s="99"/>
      <x:c r="T369" s="99"/>
      <x:c r="U369" s="99"/>
      <x:c r="V369" s="99"/>
      <x:c r="W369" s="99"/>
      <x:c r="X369" s="99"/>
      <x:c r="Y369" s="99"/>
      <x:c r="Z369" s="99"/>
    </x:row>
    <x:row r="370">
      <x:c r="A370" s="99"/>
      <x:c r="B370" s="99"/>
      <x:c r="C370" s="99"/>
      <x:c r="D370" s="99"/>
      <x:c r="E370" s="99"/>
      <x:c r="F370" s="99"/>
      <x:c r="G370" s="99"/>
      <x:c r="H370" s="99"/>
      <x:c r="I370" s="99"/>
      <x:c r="J370" s="99"/>
      <x:c r="K370" s="99"/>
      <x:c r="L370" s="99"/>
      <x:c r="M370" s="99"/>
      <x:c r="N370" s="99"/>
      <x:c r="O370" s="99"/>
      <x:c r="P370" s="99"/>
      <x:c r="Q370" s="99"/>
      <x:c r="R370" s="99"/>
      <x:c r="S370" s="99"/>
      <x:c r="T370" s="99"/>
      <x:c r="U370" s="99"/>
      <x:c r="V370" s="99"/>
      <x:c r="W370" s="99"/>
      <x:c r="X370" s="99"/>
      <x:c r="Y370" s="99"/>
      <x:c r="Z370" s="99"/>
    </x:row>
    <x:row r="371">
      <x:c r="A371" s="99"/>
      <x:c r="B371" s="99"/>
      <x:c r="C371" s="99"/>
      <x:c r="D371" s="99"/>
      <x:c r="E371" s="99"/>
      <x:c r="F371" s="99"/>
      <x:c r="G371" s="99"/>
      <x:c r="H371" s="99"/>
      <x:c r="I371" s="99"/>
      <x:c r="J371" s="99"/>
      <x:c r="K371" s="99"/>
      <x:c r="L371" s="99"/>
      <x:c r="M371" s="99"/>
      <x:c r="N371" s="99"/>
      <x:c r="O371" s="99"/>
      <x:c r="P371" s="99"/>
      <x:c r="Q371" s="99"/>
      <x:c r="R371" s="99"/>
      <x:c r="S371" s="99"/>
      <x:c r="T371" s="99"/>
      <x:c r="U371" s="99"/>
      <x:c r="V371" s="99"/>
      <x:c r="W371" s="99"/>
      <x:c r="X371" s="99"/>
      <x:c r="Y371" s="99"/>
      <x:c r="Z371" s="99"/>
    </x:row>
    <x:row r="372">
      <x:c r="A372" s="99"/>
      <x:c r="B372" s="99"/>
      <x:c r="C372" s="99"/>
      <x:c r="D372" s="99"/>
      <x:c r="E372" s="99"/>
      <x:c r="F372" s="99"/>
      <x:c r="G372" s="99"/>
      <x:c r="H372" s="99"/>
      <x:c r="I372" s="99"/>
      <x:c r="J372" s="99"/>
      <x:c r="K372" s="99"/>
      <x:c r="L372" s="99"/>
      <x:c r="M372" s="99"/>
      <x:c r="N372" s="99"/>
      <x:c r="O372" s="99"/>
      <x:c r="P372" s="99"/>
      <x:c r="Q372" s="99"/>
      <x:c r="R372" s="99"/>
      <x:c r="S372" s="99"/>
      <x:c r="T372" s="99"/>
      <x:c r="U372" s="99"/>
      <x:c r="V372" s="99"/>
      <x:c r="W372" s="99"/>
      <x:c r="X372" s="99"/>
      <x:c r="Y372" s="99"/>
      <x:c r="Z372" s="99"/>
    </x:row>
    <x:row r="373">
      <x:c r="A373" s="99"/>
      <x:c r="B373" s="99"/>
      <x:c r="C373" s="99"/>
      <x:c r="D373" s="99"/>
      <x:c r="E373" s="99"/>
      <x:c r="F373" s="99"/>
      <x:c r="G373" s="99"/>
      <x:c r="H373" s="99"/>
      <x:c r="I373" s="99"/>
      <x:c r="J373" s="99"/>
      <x:c r="K373" s="99"/>
      <x:c r="L373" s="99"/>
      <x:c r="M373" s="99"/>
      <x:c r="N373" s="99"/>
      <x:c r="O373" s="99"/>
      <x:c r="P373" s="99"/>
      <x:c r="Q373" s="99"/>
      <x:c r="R373" s="99"/>
      <x:c r="S373" s="99"/>
      <x:c r="T373" s="99"/>
      <x:c r="U373" s="99"/>
      <x:c r="V373" s="99"/>
      <x:c r="W373" s="99"/>
      <x:c r="X373" s="99"/>
      <x:c r="Y373" s="99"/>
      <x:c r="Z373" s="99"/>
    </x:row>
    <x:row r="374">
      <x:c r="A374" s="99"/>
      <x:c r="B374" s="99"/>
      <x:c r="C374" s="99"/>
      <x:c r="D374" s="99"/>
      <x:c r="E374" s="99"/>
      <x:c r="F374" s="99"/>
      <x:c r="G374" s="99"/>
      <x:c r="H374" s="99"/>
      <x:c r="I374" s="99"/>
      <x:c r="J374" s="99"/>
      <x:c r="K374" s="99"/>
      <x:c r="L374" s="99"/>
      <x:c r="M374" s="99"/>
      <x:c r="N374" s="99"/>
      <x:c r="O374" s="99"/>
      <x:c r="P374" s="99"/>
      <x:c r="Q374" s="99"/>
      <x:c r="R374" s="99"/>
      <x:c r="S374" s="99"/>
      <x:c r="T374" s="99"/>
      <x:c r="U374" s="99"/>
      <x:c r="V374" s="99"/>
      <x:c r="W374" s="99"/>
      <x:c r="X374" s="99"/>
      <x:c r="Y374" s="99"/>
      <x:c r="Z374" s="99"/>
    </x:row>
    <x:row r="375">
      <x:c r="A375" s="99"/>
      <x:c r="B375" s="99"/>
      <x:c r="C375" s="99"/>
      <x:c r="D375" s="99"/>
      <x:c r="E375" s="99"/>
      <x:c r="F375" s="99"/>
      <x:c r="G375" s="99"/>
      <x:c r="H375" s="99"/>
      <x:c r="I375" s="99"/>
      <x:c r="J375" s="99"/>
      <x:c r="K375" s="99"/>
      <x:c r="L375" s="99"/>
      <x:c r="M375" s="99"/>
      <x:c r="N375" s="99"/>
      <x:c r="O375" s="99"/>
      <x:c r="P375" s="99"/>
      <x:c r="Q375" s="99"/>
      <x:c r="R375" s="99"/>
      <x:c r="S375" s="99"/>
      <x:c r="T375" s="99"/>
      <x:c r="U375" s="99"/>
      <x:c r="V375" s="99"/>
      <x:c r="W375" s="99"/>
      <x:c r="X375" s="99"/>
      <x:c r="Y375" s="99"/>
      <x:c r="Z375" s="99"/>
    </x:row>
    <x:row r="376">
      <x:c r="A376" s="99"/>
      <x:c r="B376" s="99"/>
      <x:c r="C376" s="99"/>
      <x:c r="D376" s="99"/>
      <x:c r="E376" s="99"/>
      <x:c r="F376" s="99"/>
      <x:c r="G376" s="99"/>
      <x:c r="H376" s="99"/>
      <x:c r="I376" s="99"/>
      <x:c r="J376" s="99"/>
      <x:c r="K376" s="99"/>
      <x:c r="L376" s="99"/>
      <x:c r="M376" s="99"/>
      <x:c r="N376" s="99"/>
      <x:c r="O376" s="99"/>
      <x:c r="P376" s="99"/>
      <x:c r="Q376" s="99"/>
      <x:c r="R376" s="99"/>
      <x:c r="S376" s="99"/>
      <x:c r="T376" s="99"/>
      <x:c r="U376" s="99"/>
      <x:c r="V376" s="99"/>
      <x:c r="W376" s="99"/>
      <x:c r="X376" s="99"/>
      <x:c r="Y376" s="99"/>
      <x:c r="Z376" s="99"/>
    </x:row>
    <x:row r="377">
      <x:c r="A377" s="99"/>
      <x:c r="B377" s="99"/>
      <x:c r="C377" s="99"/>
      <x:c r="D377" s="99"/>
      <x:c r="E377" s="99"/>
      <x:c r="F377" s="99"/>
      <x:c r="G377" s="99"/>
      <x:c r="H377" s="99"/>
      <x:c r="I377" s="99"/>
      <x:c r="J377" s="99"/>
      <x:c r="K377" s="99"/>
      <x:c r="L377" s="99"/>
      <x:c r="M377" s="99"/>
      <x:c r="N377" s="99"/>
      <x:c r="O377" s="99"/>
      <x:c r="P377" s="99"/>
      <x:c r="Q377" s="99"/>
      <x:c r="R377" s="99"/>
      <x:c r="S377" s="99"/>
      <x:c r="T377" s="99"/>
      <x:c r="U377" s="99"/>
      <x:c r="V377" s="99"/>
      <x:c r="W377" s="99"/>
      <x:c r="X377" s="99"/>
      <x:c r="Y377" s="99"/>
      <x:c r="Z377" s="99"/>
    </x:row>
    <x:row r="378">
      <x:c r="A378" s="99"/>
      <x:c r="B378" s="99"/>
      <x:c r="C378" s="99"/>
      <x:c r="D378" s="99"/>
      <x:c r="E378" s="99"/>
      <x:c r="F378" s="99"/>
      <x:c r="G378" s="99"/>
      <x:c r="H378" s="99"/>
      <x:c r="I378" s="99"/>
      <x:c r="J378" s="99"/>
      <x:c r="K378" s="99"/>
      <x:c r="L378" s="99"/>
      <x:c r="M378" s="99"/>
      <x:c r="N378" s="99"/>
      <x:c r="O378" s="99"/>
      <x:c r="P378" s="99"/>
      <x:c r="Q378" s="99"/>
      <x:c r="R378" s="99"/>
      <x:c r="S378" s="99"/>
      <x:c r="T378" s="99"/>
      <x:c r="U378" s="99"/>
      <x:c r="V378" s="99"/>
      <x:c r="W378" s="99"/>
      <x:c r="X378" s="99"/>
      <x:c r="Y378" s="99"/>
      <x:c r="Z378" s="99"/>
    </x:row>
    <x:row r="379">
      <x:c r="A379" s="99"/>
      <x:c r="B379" s="99"/>
      <x:c r="C379" s="99"/>
      <x:c r="D379" s="99"/>
      <x:c r="E379" s="99"/>
      <x:c r="F379" s="99"/>
      <x:c r="G379" s="99"/>
      <x:c r="H379" s="99"/>
      <x:c r="I379" s="99"/>
      <x:c r="J379" s="99"/>
      <x:c r="K379" s="99"/>
      <x:c r="L379" s="99"/>
      <x:c r="M379" s="99"/>
      <x:c r="N379" s="99"/>
      <x:c r="O379" s="99"/>
      <x:c r="P379" s="99"/>
      <x:c r="Q379" s="99"/>
      <x:c r="R379" s="99"/>
      <x:c r="S379" s="99"/>
      <x:c r="T379" s="99"/>
      <x:c r="U379" s="99"/>
      <x:c r="V379" s="99"/>
      <x:c r="W379" s="99"/>
      <x:c r="X379" s="99"/>
      <x:c r="Y379" s="99"/>
      <x:c r="Z379" s="99"/>
    </x:row>
    <x:row r="380">
      <x:c r="A380" s="99"/>
      <x:c r="B380" s="99"/>
      <x:c r="C380" s="99"/>
      <x:c r="D380" s="99"/>
      <x:c r="E380" s="99"/>
      <x:c r="F380" s="99"/>
      <x:c r="G380" s="99"/>
      <x:c r="H380" s="99"/>
      <x:c r="I380" s="99"/>
      <x:c r="J380" s="99"/>
      <x:c r="K380" s="99"/>
      <x:c r="L380" s="99"/>
      <x:c r="M380" s="99"/>
      <x:c r="N380" s="99"/>
      <x:c r="O380" s="99"/>
      <x:c r="P380" s="99"/>
      <x:c r="Q380" s="99"/>
      <x:c r="R380" s="99"/>
      <x:c r="S380" s="99"/>
      <x:c r="T380" s="99"/>
      <x:c r="U380" s="99"/>
      <x:c r="V380" s="99"/>
      <x:c r="W380" s="99"/>
      <x:c r="X380" s="99"/>
      <x:c r="Y380" s="99"/>
      <x:c r="Z380" s="99"/>
    </x:row>
    <x:row r="381">
      <x:c r="A381" s="99"/>
      <x:c r="B381" s="99"/>
      <x:c r="C381" s="99"/>
      <x:c r="D381" s="99"/>
      <x:c r="E381" s="99"/>
      <x:c r="F381" s="99"/>
      <x:c r="G381" s="99"/>
      <x:c r="H381" s="99"/>
      <x:c r="I381" s="99"/>
      <x:c r="J381" s="99"/>
      <x:c r="K381" s="99"/>
      <x:c r="L381" s="99"/>
      <x:c r="M381" s="99"/>
      <x:c r="N381" s="99"/>
      <x:c r="O381" s="99"/>
      <x:c r="P381" s="99"/>
      <x:c r="Q381" s="99"/>
      <x:c r="R381" s="99"/>
      <x:c r="S381" s="99"/>
      <x:c r="T381" s="99"/>
      <x:c r="U381" s="99"/>
      <x:c r="V381" s="99"/>
      <x:c r="W381" s="99"/>
      <x:c r="X381" s="99"/>
      <x:c r="Y381" s="99"/>
      <x:c r="Z381" s="99"/>
    </x:row>
    <x:row r="382">
      <x:c r="A382" s="99"/>
      <x:c r="B382" s="99"/>
      <x:c r="C382" s="99"/>
      <x:c r="D382" s="99"/>
      <x:c r="E382" s="99"/>
      <x:c r="F382" s="99"/>
      <x:c r="G382" s="99"/>
      <x:c r="H382" s="99"/>
      <x:c r="I382" s="99"/>
      <x:c r="J382" s="99"/>
      <x:c r="K382" s="99"/>
      <x:c r="L382" s="99"/>
      <x:c r="M382" s="99"/>
      <x:c r="N382" s="99"/>
      <x:c r="O382" s="99"/>
      <x:c r="P382" s="99"/>
      <x:c r="Q382" s="99"/>
      <x:c r="R382" s="99"/>
      <x:c r="S382" s="99"/>
      <x:c r="T382" s="99"/>
      <x:c r="U382" s="99"/>
      <x:c r="V382" s="99"/>
      <x:c r="W382" s="99"/>
      <x:c r="X382" s="99"/>
      <x:c r="Y382" s="99"/>
      <x:c r="Z382" s="99"/>
    </x:row>
    <x:row r="383">
      <x:c r="A383" s="99"/>
      <x:c r="B383" s="99"/>
      <x:c r="C383" s="99"/>
      <x:c r="D383" s="99"/>
      <x:c r="E383" s="99"/>
      <x:c r="F383" s="99"/>
      <x:c r="G383" s="99"/>
      <x:c r="H383" s="99"/>
      <x:c r="I383" s="99"/>
      <x:c r="J383" s="99"/>
      <x:c r="K383" s="99"/>
      <x:c r="L383" s="99"/>
      <x:c r="M383" s="99"/>
      <x:c r="N383" s="99"/>
      <x:c r="O383" s="99"/>
      <x:c r="P383" s="99"/>
      <x:c r="Q383" s="99"/>
      <x:c r="R383" s="99"/>
      <x:c r="S383" s="99"/>
      <x:c r="T383" s="99"/>
      <x:c r="U383" s="99"/>
      <x:c r="V383" s="99"/>
      <x:c r="W383" s="99"/>
      <x:c r="X383" s="99"/>
      <x:c r="Y383" s="99"/>
      <x:c r="Z383" s="99"/>
    </x:row>
    <x:row r="384">
      <x:c r="A384" s="99"/>
      <x:c r="B384" s="99"/>
      <x:c r="C384" s="99"/>
      <x:c r="D384" s="99"/>
      <x:c r="E384" s="99"/>
      <x:c r="F384" s="99"/>
      <x:c r="G384" s="99"/>
      <x:c r="H384" s="99"/>
      <x:c r="I384" s="99"/>
      <x:c r="J384" s="99"/>
      <x:c r="K384" s="99"/>
      <x:c r="L384" s="99"/>
      <x:c r="M384" s="99"/>
      <x:c r="N384" s="99"/>
      <x:c r="O384" s="99"/>
      <x:c r="P384" s="99"/>
      <x:c r="Q384" s="99"/>
      <x:c r="R384" s="99"/>
      <x:c r="S384" s="99"/>
      <x:c r="T384" s="99"/>
      <x:c r="U384" s="99"/>
      <x:c r="V384" s="99"/>
      <x:c r="W384" s="99"/>
      <x:c r="X384" s="99"/>
      <x:c r="Y384" s="99"/>
      <x:c r="Z384" s="99"/>
    </x:row>
    <x:row r="385">
      <x:c r="A385" s="99"/>
      <x:c r="B385" s="99"/>
      <x:c r="C385" s="99"/>
      <x:c r="D385" s="99"/>
      <x:c r="E385" s="99"/>
      <x:c r="F385" s="99"/>
      <x:c r="G385" s="99"/>
      <x:c r="H385" s="99"/>
      <x:c r="I385" s="99"/>
      <x:c r="J385" s="99"/>
      <x:c r="K385" s="99"/>
      <x:c r="L385" s="99"/>
      <x:c r="M385" s="99"/>
      <x:c r="N385" s="99"/>
      <x:c r="O385" s="99"/>
      <x:c r="P385" s="99"/>
      <x:c r="Q385" s="99"/>
      <x:c r="R385" s="99"/>
      <x:c r="S385" s="99"/>
      <x:c r="T385" s="99"/>
      <x:c r="U385" s="99"/>
      <x:c r="V385" s="99"/>
      <x:c r="W385" s="99"/>
      <x:c r="X385" s="99"/>
      <x:c r="Y385" s="99"/>
      <x:c r="Z385" s="99"/>
    </x:row>
    <x:row r="386">
      <x:c r="A386" s="99"/>
      <x:c r="B386" s="99"/>
      <x:c r="C386" s="99"/>
      <x:c r="D386" s="99"/>
      <x:c r="E386" s="99"/>
      <x:c r="F386" s="99"/>
      <x:c r="G386" s="99"/>
      <x:c r="H386" s="99"/>
      <x:c r="I386" s="99"/>
      <x:c r="J386" s="99"/>
      <x:c r="K386" s="99"/>
      <x:c r="L386" s="99"/>
      <x:c r="M386" s="99"/>
      <x:c r="N386" s="99"/>
      <x:c r="O386" s="99"/>
      <x:c r="P386" s="99"/>
      <x:c r="Q386" s="99"/>
      <x:c r="R386" s="99"/>
      <x:c r="S386" s="99"/>
      <x:c r="T386" s="99"/>
      <x:c r="U386" s="99"/>
      <x:c r="V386" s="99"/>
      <x:c r="W386" s="99"/>
      <x:c r="X386" s="99"/>
      <x:c r="Y386" s="99"/>
      <x:c r="Z386" s="99"/>
    </x:row>
    <x:row r="387">
      <x:c r="A387" s="99"/>
      <x:c r="B387" s="99"/>
      <x:c r="C387" s="99"/>
      <x:c r="D387" s="99"/>
      <x:c r="E387" s="99"/>
      <x:c r="F387" s="99"/>
      <x:c r="G387" s="99"/>
      <x:c r="H387" s="99"/>
      <x:c r="I387" s="99"/>
      <x:c r="J387" s="99"/>
      <x:c r="K387" s="99"/>
      <x:c r="L387" s="99"/>
      <x:c r="M387" s="99"/>
      <x:c r="N387" s="99"/>
      <x:c r="O387" s="99"/>
      <x:c r="P387" s="99"/>
      <x:c r="Q387" s="99"/>
      <x:c r="R387" s="99"/>
      <x:c r="S387" s="99"/>
      <x:c r="T387" s="99"/>
      <x:c r="U387" s="99"/>
      <x:c r="V387" s="99"/>
      <x:c r="W387" s="99"/>
      <x:c r="X387" s="99"/>
      <x:c r="Y387" s="99"/>
      <x:c r="Z387" s="99"/>
    </x:row>
    <x:row r="388">
      <x:c r="A388" s="99"/>
      <x:c r="B388" s="99"/>
      <x:c r="C388" s="99"/>
      <x:c r="D388" s="99"/>
      <x:c r="E388" s="99"/>
      <x:c r="F388" s="99"/>
      <x:c r="G388" s="99"/>
      <x:c r="H388" s="99"/>
      <x:c r="I388" s="99"/>
      <x:c r="J388" s="99"/>
      <x:c r="K388" s="99"/>
      <x:c r="L388" s="99"/>
      <x:c r="M388" s="99"/>
      <x:c r="N388" s="99"/>
      <x:c r="O388" s="99"/>
      <x:c r="P388" s="99"/>
      <x:c r="Q388" s="99"/>
      <x:c r="R388" s="99"/>
      <x:c r="S388" s="99"/>
      <x:c r="T388" s="99"/>
      <x:c r="U388" s="99"/>
      <x:c r="V388" s="99"/>
      <x:c r="W388" s="99"/>
      <x:c r="X388" s="99"/>
      <x:c r="Y388" s="99"/>
      <x:c r="Z388" s="99"/>
    </x:row>
    <x:row r="389">
      <x:c r="A389" s="99"/>
      <x:c r="B389" s="99"/>
      <x:c r="C389" s="99"/>
      <x:c r="D389" s="99"/>
      <x:c r="E389" s="99"/>
      <x:c r="F389" s="99"/>
      <x:c r="G389" s="99"/>
      <x:c r="H389" s="99"/>
      <x:c r="I389" s="99"/>
      <x:c r="J389" s="99"/>
      <x:c r="K389" s="99"/>
      <x:c r="L389" s="99"/>
      <x:c r="M389" s="99"/>
      <x:c r="N389" s="99"/>
      <x:c r="O389" s="99"/>
      <x:c r="P389" s="99"/>
      <x:c r="Q389" s="99"/>
      <x:c r="R389" s="99"/>
      <x:c r="S389" s="99"/>
      <x:c r="T389" s="99"/>
      <x:c r="U389" s="99"/>
      <x:c r="V389" s="99"/>
      <x:c r="W389" s="99"/>
      <x:c r="X389" s="99"/>
      <x:c r="Y389" s="99"/>
      <x:c r="Z389" s="99"/>
    </x:row>
    <x:row r="390">
      <x:c r="A390" s="99"/>
      <x:c r="B390" s="99"/>
      <x:c r="C390" s="99"/>
      <x:c r="D390" s="99"/>
      <x:c r="E390" s="99"/>
      <x:c r="F390" s="99"/>
      <x:c r="G390" s="99"/>
      <x:c r="H390" s="99"/>
      <x:c r="I390" s="99"/>
      <x:c r="J390" s="99"/>
      <x:c r="K390" s="99"/>
      <x:c r="L390" s="99"/>
      <x:c r="M390" s="99"/>
      <x:c r="N390" s="99"/>
      <x:c r="O390" s="99"/>
      <x:c r="P390" s="99"/>
      <x:c r="Q390" s="99"/>
      <x:c r="R390" s="99"/>
      <x:c r="S390" s="99"/>
      <x:c r="T390" s="99"/>
      <x:c r="U390" s="99"/>
      <x:c r="V390" s="99"/>
      <x:c r="W390" s="99"/>
      <x:c r="X390" s="99"/>
      <x:c r="Y390" s="99"/>
      <x:c r="Z390" s="99"/>
    </x:row>
    <x:row r="391">
      <x:c r="A391" s="99"/>
      <x:c r="B391" s="99"/>
      <x:c r="C391" s="99"/>
      <x:c r="D391" s="99"/>
      <x:c r="E391" s="99"/>
      <x:c r="F391" s="99"/>
      <x:c r="G391" s="99"/>
      <x:c r="H391" s="99"/>
      <x:c r="I391" s="99"/>
      <x:c r="J391" s="99"/>
      <x:c r="K391" s="99"/>
      <x:c r="L391" s="99"/>
      <x:c r="M391" s="99"/>
      <x:c r="N391" s="99"/>
      <x:c r="O391" s="99"/>
      <x:c r="P391" s="99"/>
      <x:c r="Q391" s="99"/>
      <x:c r="R391" s="99"/>
      <x:c r="S391" s="99"/>
      <x:c r="T391" s="99"/>
      <x:c r="U391" s="99"/>
      <x:c r="V391" s="99"/>
      <x:c r="W391" s="99"/>
      <x:c r="X391" s="99"/>
      <x:c r="Y391" s="99"/>
      <x:c r="Z391" s="99"/>
    </x:row>
    <x:row r="392">
      <x:c r="A392" s="99"/>
      <x:c r="B392" s="99"/>
      <x:c r="C392" s="99"/>
      <x:c r="D392" s="99"/>
      <x:c r="E392" s="99"/>
      <x:c r="F392" s="99"/>
      <x:c r="G392" s="99"/>
      <x:c r="H392" s="99"/>
      <x:c r="I392" s="99"/>
      <x:c r="J392" s="99"/>
      <x:c r="K392" s="99"/>
      <x:c r="L392" s="99"/>
      <x:c r="M392" s="99"/>
      <x:c r="N392" s="99"/>
      <x:c r="O392" s="99"/>
      <x:c r="P392" s="99"/>
      <x:c r="Q392" s="99"/>
      <x:c r="R392" s="99"/>
      <x:c r="S392" s="99"/>
      <x:c r="T392" s="99"/>
      <x:c r="U392" s="99"/>
      <x:c r="V392" s="99"/>
      <x:c r="W392" s="99"/>
      <x:c r="X392" s="99"/>
      <x:c r="Y392" s="99"/>
      <x:c r="Z392" s="99"/>
    </x:row>
    <x:row r="393">
      <x:c r="A393" s="99"/>
      <x:c r="B393" s="99"/>
      <x:c r="C393" s="99"/>
      <x:c r="D393" s="99"/>
      <x:c r="E393" s="99"/>
      <x:c r="F393" s="99"/>
      <x:c r="G393" s="99"/>
      <x:c r="H393" s="99"/>
      <x:c r="I393" s="99"/>
      <x:c r="J393" s="99"/>
      <x:c r="K393" s="99"/>
      <x:c r="L393" s="99"/>
      <x:c r="M393" s="99"/>
      <x:c r="N393" s="99"/>
      <x:c r="O393" s="99"/>
      <x:c r="P393" s="99"/>
      <x:c r="Q393" s="99"/>
      <x:c r="R393" s="99"/>
      <x:c r="S393" s="99"/>
      <x:c r="T393" s="99"/>
      <x:c r="U393" s="99"/>
      <x:c r="V393" s="99"/>
      <x:c r="W393" s="99"/>
      <x:c r="X393" s="99"/>
      <x:c r="Y393" s="99"/>
      <x:c r="Z393" s="99"/>
    </x:row>
    <x:row r="394">
      <x:c r="A394" s="99"/>
      <x:c r="B394" s="99"/>
      <x:c r="C394" s="99"/>
      <x:c r="D394" s="99"/>
      <x:c r="E394" s="99"/>
      <x:c r="F394" s="99"/>
      <x:c r="G394" s="99"/>
      <x:c r="H394" s="99"/>
      <x:c r="I394" s="99"/>
      <x:c r="J394" s="99"/>
      <x:c r="K394" s="99"/>
      <x:c r="L394" s="99"/>
      <x:c r="M394" s="99"/>
      <x:c r="N394" s="99"/>
      <x:c r="O394" s="99"/>
      <x:c r="P394" s="99"/>
      <x:c r="Q394" s="99"/>
      <x:c r="R394" s="99"/>
      <x:c r="S394" s="99"/>
      <x:c r="T394" s="99"/>
      <x:c r="U394" s="99"/>
      <x:c r="V394" s="99"/>
      <x:c r="W394" s="99"/>
      <x:c r="X394" s="99"/>
      <x:c r="Y394" s="99"/>
      <x:c r="Z394" s="99"/>
    </x:row>
    <x:row r="395">
      <x:c r="A395" s="99"/>
      <x:c r="B395" s="99"/>
      <x:c r="C395" s="99"/>
      <x:c r="D395" s="99"/>
      <x:c r="E395" s="99"/>
      <x:c r="F395" s="99"/>
      <x:c r="G395" s="99"/>
      <x:c r="H395" s="99"/>
      <x:c r="I395" s="99"/>
      <x:c r="J395" s="99"/>
      <x:c r="K395" s="99"/>
      <x:c r="L395" s="99"/>
      <x:c r="M395" s="99"/>
      <x:c r="N395" s="99"/>
      <x:c r="O395" s="99"/>
      <x:c r="P395" s="99"/>
      <x:c r="Q395" s="99"/>
      <x:c r="R395" s="99"/>
      <x:c r="S395" s="99"/>
      <x:c r="T395" s="99"/>
      <x:c r="U395" s="99"/>
      <x:c r="V395" s="99"/>
      <x:c r="W395" s="99"/>
      <x:c r="X395" s="99"/>
      <x:c r="Y395" s="99"/>
      <x:c r="Z395" s="99"/>
    </x:row>
    <x:row r="396">
      <x:c r="A396" s="99"/>
      <x:c r="B396" s="99"/>
      <x:c r="C396" s="99"/>
      <x:c r="D396" s="99"/>
      <x:c r="E396" s="99"/>
      <x:c r="F396" s="99"/>
      <x:c r="G396" s="99"/>
      <x:c r="H396" s="99"/>
      <x:c r="I396" s="99"/>
      <x:c r="J396" s="99"/>
      <x:c r="K396" s="99"/>
      <x:c r="L396" s="99"/>
      <x:c r="M396" s="99"/>
      <x:c r="N396" s="99"/>
      <x:c r="O396" s="99"/>
      <x:c r="P396" s="99"/>
      <x:c r="Q396" s="99"/>
      <x:c r="R396" s="99"/>
      <x:c r="S396" s="99"/>
      <x:c r="T396" s="99"/>
      <x:c r="U396" s="99"/>
      <x:c r="V396" s="99"/>
      <x:c r="W396" s="99"/>
      <x:c r="X396" s="99"/>
      <x:c r="Y396" s="99"/>
      <x:c r="Z396" s="99"/>
    </x:row>
    <x:row r="397">
      <x:c r="A397" s="99"/>
      <x:c r="B397" s="99"/>
      <x:c r="C397" s="99"/>
      <x:c r="D397" s="99"/>
      <x:c r="E397" s="99"/>
      <x:c r="F397" s="99"/>
      <x:c r="G397" s="99"/>
      <x:c r="H397" s="99"/>
      <x:c r="I397" s="99"/>
      <x:c r="J397" s="99"/>
      <x:c r="K397" s="99"/>
      <x:c r="L397" s="99"/>
      <x:c r="M397" s="99"/>
      <x:c r="N397" s="99"/>
      <x:c r="O397" s="99"/>
      <x:c r="P397" s="99"/>
      <x:c r="Q397" s="99"/>
      <x:c r="R397" s="99"/>
      <x:c r="S397" s="99"/>
      <x:c r="T397" s="99"/>
      <x:c r="U397" s="99"/>
      <x:c r="V397" s="99"/>
      <x:c r="W397" s="99"/>
      <x:c r="X397" s="99"/>
      <x:c r="Y397" s="99"/>
      <x:c r="Z397" s="99"/>
    </x:row>
    <x:row r="398">
      <x:c r="A398" s="99"/>
      <x:c r="B398" s="99"/>
      <x:c r="C398" s="99"/>
      <x:c r="D398" s="99"/>
      <x:c r="E398" s="99"/>
      <x:c r="F398" s="99"/>
      <x:c r="G398" s="99"/>
      <x:c r="H398" s="99"/>
      <x:c r="I398" s="99"/>
      <x:c r="J398" s="99"/>
      <x:c r="K398" s="99"/>
      <x:c r="L398" s="99"/>
      <x:c r="M398" s="99"/>
      <x:c r="N398" s="99"/>
      <x:c r="O398" s="99"/>
      <x:c r="P398" s="99"/>
      <x:c r="Q398" s="99"/>
      <x:c r="R398" s="99"/>
      <x:c r="S398" s="99"/>
      <x:c r="T398" s="99"/>
      <x:c r="U398" s="99"/>
      <x:c r="V398" s="99"/>
      <x:c r="W398" s="99"/>
      <x:c r="X398" s="99"/>
      <x:c r="Y398" s="99"/>
      <x:c r="Z398" s="99"/>
    </x:row>
    <x:row r="399">
      <x:c r="A399" s="99"/>
      <x:c r="B399" s="99"/>
      <x:c r="C399" s="99"/>
      <x:c r="D399" s="99"/>
      <x:c r="E399" s="99"/>
      <x:c r="F399" s="99"/>
      <x:c r="G399" s="99"/>
      <x:c r="H399" s="99"/>
      <x:c r="I399" s="99"/>
      <x:c r="J399" s="99"/>
      <x:c r="K399" s="99"/>
      <x:c r="L399" s="99"/>
      <x:c r="M399" s="99"/>
      <x:c r="N399" s="99"/>
      <x:c r="O399" s="99"/>
      <x:c r="P399" s="99"/>
      <x:c r="Q399" s="99"/>
      <x:c r="R399" s="99"/>
      <x:c r="S399" s="99"/>
      <x:c r="T399" s="99"/>
      <x:c r="U399" s="99"/>
      <x:c r="V399" s="99"/>
      <x:c r="W399" s="99"/>
      <x:c r="X399" s="99"/>
      <x:c r="Y399" s="99"/>
      <x:c r="Z399" s="99"/>
    </x:row>
    <x:row r="400">
      <x:c r="A400" s="99"/>
      <x:c r="B400" s="99"/>
      <x:c r="C400" s="99"/>
      <x:c r="D400" s="99"/>
      <x:c r="E400" s="99"/>
      <x:c r="F400" s="99"/>
      <x:c r="G400" s="99"/>
      <x:c r="H400" s="99"/>
      <x:c r="I400" s="99"/>
      <x:c r="J400" s="99"/>
      <x:c r="K400" s="99"/>
      <x:c r="L400" s="99"/>
      <x:c r="M400" s="99"/>
      <x:c r="N400" s="99"/>
      <x:c r="O400" s="99"/>
      <x:c r="P400" s="99"/>
      <x:c r="Q400" s="99"/>
      <x:c r="R400" s="99"/>
      <x:c r="S400" s="99"/>
      <x:c r="T400" s="99"/>
      <x:c r="U400" s="99"/>
      <x:c r="V400" s="99"/>
      <x:c r="W400" s="99"/>
      <x:c r="X400" s="99"/>
      <x:c r="Y400" s="99"/>
      <x:c r="Z400" s="99"/>
    </x:row>
    <x:row r="401">
      <x:c r="A401" s="99"/>
      <x:c r="B401" s="99"/>
      <x:c r="C401" s="99"/>
      <x:c r="D401" s="99"/>
      <x:c r="E401" s="99"/>
      <x:c r="F401" s="99"/>
      <x:c r="G401" s="99"/>
      <x:c r="H401" s="99"/>
      <x:c r="I401" s="99"/>
      <x:c r="J401" s="99"/>
      <x:c r="K401" s="99"/>
      <x:c r="L401" s="99"/>
      <x:c r="M401" s="99"/>
      <x:c r="N401" s="99"/>
      <x:c r="O401" s="99"/>
      <x:c r="P401" s="99"/>
      <x:c r="Q401" s="99"/>
      <x:c r="R401" s="99"/>
      <x:c r="S401" s="99"/>
      <x:c r="T401" s="99"/>
      <x:c r="U401" s="99"/>
      <x:c r="V401" s="99"/>
      <x:c r="W401" s="99"/>
      <x:c r="X401" s="99"/>
      <x:c r="Y401" s="99"/>
      <x:c r="Z401" s="99"/>
    </x:row>
    <x:row r="402">
      <x:c r="A402" s="99"/>
      <x:c r="B402" s="99"/>
      <x:c r="C402" s="99"/>
      <x:c r="D402" s="99"/>
      <x:c r="E402" s="99"/>
      <x:c r="F402" s="99"/>
      <x:c r="G402" s="99"/>
      <x:c r="H402" s="99"/>
      <x:c r="I402" s="99"/>
      <x:c r="J402" s="99"/>
      <x:c r="K402" s="99"/>
      <x:c r="L402" s="99"/>
      <x:c r="M402" s="99"/>
      <x:c r="N402" s="99"/>
      <x:c r="O402" s="99"/>
      <x:c r="P402" s="99"/>
      <x:c r="Q402" s="99"/>
      <x:c r="R402" s="99"/>
      <x:c r="S402" s="99"/>
      <x:c r="T402" s="99"/>
      <x:c r="U402" s="99"/>
      <x:c r="V402" s="99"/>
      <x:c r="W402" s="99"/>
      <x:c r="X402" s="99"/>
      <x:c r="Y402" s="99"/>
      <x:c r="Z402" s="99"/>
    </x:row>
    <x:row r="403">
      <x:c r="A403" s="99"/>
      <x:c r="B403" s="99"/>
      <x:c r="C403" s="99"/>
      <x:c r="D403" s="99"/>
      <x:c r="E403" s="99"/>
      <x:c r="F403" s="99"/>
      <x:c r="G403" s="99"/>
      <x:c r="H403" s="99"/>
      <x:c r="I403" s="99"/>
      <x:c r="J403" s="99"/>
      <x:c r="K403" s="99"/>
      <x:c r="L403" s="99"/>
      <x:c r="M403" s="99"/>
      <x:c r="N403" s="99"/>
      <x:c r="O403" s="99"/>
      <x:c r="P403" s="99"/>
      <x:c r="Q403" s="99"/>
      <x:c r="R403" s="99"/>
      <x:c r="S403" s="99"/>
      <x:c r="T403" s="99"/>
      <x:c r="U403" s="99"/>
      <x:c r="V403" s="99"/>
      <x:c r="W403" s="99"/>
      <x:c r="X403" s="99"/>
      <x:c r="Y403" s="99"/>
      <x:c r="Z403" s="99"/>
    </x:row>
    <x:row r="404">
      <x:c r="A404" s="99"/>
      <x:c r="B404" s="99"/>
      <x:c r="C404" s="99"/>
      <x:c r="D404" s="99"/>
      <x:c r="E404" s="99"/>
      <x:c r="F404" s="99"/>
      <x:c r="G404" s="99"/>
      <x:c r="H404" s="99"/>
      <x:c r="I404" s="99"/>
      <x:c r="J404" s="99"/>
      <x:c r="K404" s="99"/>
      <x:c r="L404" s="99"/>
      <x:c r="M404" s="99"/>
      <x:c r="N404" s="99"/>
      <x:c r="O404" s="99"/>
      <x:c r="P404" s="99"/>
      <x:c r="Q404" s="99"/>
      <x:c r="R404" s="99"/>
      <x:c r="S404" s="99"/>
      <x:c r="T404" s="99"/>
      <x:c r="U404" s="99"/>
      <x:c r="V404" s="99"/>
      <x:c r="W404" s="99"/>
      <x:c r="X404" s="99"/>
      <x:c r="Y404" s="99"/>
      <x:c r="Z404" s="99"/>
    </x:row>
    <x:row r="405">
      <x:c r="A405" s="99"/>
      <x:c r="B405" s="99"/>
      <x:c r="C405" s="99"/>
      <x:c r="D405" s="99"/>
      <x:c r="E405" s="99"/>
      <x:c r="F405" s="99"/>
      <x:c r="G405" s="99"/>
      <x:c r="H405" s="99"/>
      <x:c r="I405" s="99"/>
      <x:c r="J405" s="99"/>
      <x:c r="K405" s="99"/>
      <x:c r="L405" s="99"/>
      <x:c r="M405" s="99"/>
      <x:c r="N405" s="99"/>
      <x:c r="O405" s="99"/>
      <x:c r="P405" s="99"/>
      <x:c r="Q405" s="99"/>
      <x:c r="R405" s="99"/>
      <x:c r="S405" s="99"/>
      <x:c r="T405" s="99"/>
      <x:c r="U405" s="99"/>
      <x:c r="V405" s="99"/>
      <x:c r="W405" s="99"/>
      <x:c r="X405" s="99"/>
      <x:c r="Y405" s="99"/>
      <x:c r="Z405" s="99"/>
    </x:row>
    <x:row r="406">
      <x:c r="A406" s="99"/>
      <x:c r="B406" s="99"/>
      <x:c r="C406" s="99"/>
      <x:c r="D406" s="99"/>
      <x:c r="E406" s="99"/>
      <x:c r="F406" s="99"/>
      <x:c r="G406" s="99"/>
      <x:c r="H406" s="99"/>
      <x:c r="I406" s="99"/>
      <x:c r="J406" s="99"/>
      <x:c r="K406" s="99"/>
      <x:c r="L406" s="99"/>
      <x:c r="M406" s="99"/>
      <x:c r="N406" s="99"/>
      <x:c r="O406" s="99"/>
      <x:c r="P406" s="99"/>
      <x:c r="Q406" s="99"/>
      <x:c r="R406" s="99"/>
      <x:c r="S406" s="99"/>
      <x:c r="T406" s="99"/>
      <x:c r="U406" s="99"/>
      <x:c r="V406" s="99"/>
      <x:c r="W406" s="99"/>
      <x:c r="X406" s="99"/>
      <x:c r="Y406" s="99"/>
      <x:c r="Z406" s="99"/>
    </x:row>
    <x:row r="407">
      <x:c r="A407" s="99"/>
      <x:c r="B407" s="99"/>
      <x:c r="C407" s="99"/>
      <x:c r="D407" s="99"/>
      <x:c r="E407" s="99"/>
      <x:c r="F407" s="99"/>
      <x:c r="G407" s="99"/>
      <x:c r="H407" s="99"/>
      <x:c r="I407" s="99"/>
      <x:c r="J407" s="99"/>
      <x:c r="K407" s="99"/>
      <x:c r="L407" s="99"/>
      <x:c r="M407" s="99"/>
      <x:c r="N407" s="99"/>
      <x:c r="O407" s="99"/>
      <x:c r="P407" s="99"/>
      <x:c r="Q407" s="99"/>
      <x:c r="R407" s="99"/>
      <x:c r="S407" s="99"/>
      <x:c r="T407" s="99"/>
      <x:c r="U407" s="99"/>
      <x:c r="V407" s="99"/>
      <x:c r="W407" s="99"/>
      <x:c r="X407" s="99"/>
      <x:c r="Y407" s="99"/>
      <x:c r="Z407" s="99"/>
    </x:row>
    <x:row r="408">
      <x:c r="A408" s="99"/>
      <x:c r="B408" s="99"/>
      <x:c r="C408" s="99"/>
      <x:c r="D408" s="99"/>
      <x:c r="E408" s="99"/>
      <x:c r="F408" s="99"/>
      <x:c r="G408" s="99"/>
      <x:c r="H408" s="99"/>
      <x:c r="I408" s="99"/>
      <x:c r="J408" s="99"/>
      <x:c r="K408" s="99"/>
      <x:c r="L408" s="99"/>
      <x:c r="M408" s="99"/>
      <x:c r="N408" s="99"/>
      <x:c r="O408" s="99"/>
      <x:c r="P408" s="99"/>
      <x:c r="Q408" s="99"/>
      <x:c r="R408" s="99"/>
      <x:c r="S408" s="99"/>
      <x:c r="T408" s="99"/>
      <x:c r="U408" s="99"/>
      <x:c r="V408" s="99"/>
      <x:c r="W408" s="99"/>
      <x:c r="X408" s="99"/>
      <x:c r="Y408" s="99"/>
      <x:c r="Z408" s="99"/>
    </x:row>
    <x:row r="409">
      <x:c r="A409" s="99"/>
      <x:c r="B409" s="99"/>
      <x:c r="C409" s="99"/>
      <x:c r="D409" s="99"/>
      <x:c r="E409" s="99"/>
      <x:c r="F409" s="99"/>
      <x:c r="G409" s="99"/>
      <x:c r="H409" s="99"/>
      <x:c r="I409" s="99"/>
      <x:c r="J409" s="99"/>
      <x:c r="K409" s="99"/>
      <x:c r="L409" s="99"/>
      <x:c r="M409" s="99"/>
      <x:c r="N409" s="99"/>
      <x:c r="O409" s="99"/>
      <x:c r="P409" s="99"/>
      <x:c r="Q409" s="99"/>
      <x:c r="R409" s="99"/>
      <x:c r="S409" s="99"/>
      <x:c r="T409" s="99"/>
      <x:c r="U409" s="99"/>
      <x:c r="V409" s="99"/>
      <x:c r="W409" s="99"/>
      <x:c r="X409" s="99"/>
      <x:c r="Y409" s="99"/>
      <x:c r="Z409" s="99"/>
    </x:row>
    <x:row r="410">
      <x:c r="A410" s="99"/>
      <x:c r="B410" s="99"/>
      <x:c r="C410" s="99"/>
      <x:c r="D410" s="99"/>
      <x:c r="E410" s="99"/>
      <x:c r="F410" s="99"/>
      <x:c r="G410" s="99"/>
      <x:c r="H410" s="99"/>
      <x:c r="I410" s="99"/>
      <x:c r="J410" s="99"/>
      <x:c r="K410" s="99"/>
      <x:c r="L410" s="99"/>
      <x:c r="M410" s="99"/>
      <x:c r="N410" s="99"/>
      <x:c r="O410" s="99"/>
      <x:c r="P410" s="99"/>
      <x:c r="Q410" s="99"/>
      <x:c r="R410" s="99"/>
      <x:c r="S410" s="99"/>
      <x:c r="T410" s="99"/>
      <x:c r="U410" s="99"/>
      <x:c r="V410" s="99"/>
      <x:c r="W410" s="99"/>
      <x:c r="X410" s="99"/>
      <x:c r="Y410" s="99"/>
      <x:c r="Z410" s="99"/>
    </x:row>
    <x:row r="411">
      <x:c r="A411" s="99"/>
      <x:c r="B411" s="99"/>
      <x:c r="C411" s="99"/>
      <x:c r="D411" s="99"/>
      <x:c r="E411" s="99"/>
      <x:c r="F411" s="99"/>
      <x:c r="G411" s="99"/>
      <x:c r="H411" s="99"/>
      <x:c r="I411" s="99"/>
      <x:c r="J411" s="99"/>
      <x:c r="K411" s="99"/>
      <x:c r="L411" s="99"/>
      <x:c r="M411" s="99"/>
      <x:c r="N411" s="99"/>
      <x:c r="O411" s="99"/>
      <x:c r="P411" s="99"/>
      <x:c r="Q411" s="99"/>
      <x:c r="R411" s="99"/>
      <x:c r="S411" s="99"/>
      <x:c r="T411" s="99"/>
      <x:c r="U411" s="99"/>
      <x:c r="V411" s="99"/>
      <x:c r="W411" s="99"/>
      <x:c r="X411" s="99"/>
      <x:c r="Y411" s="99"/>
      <x:c r="Z411" s="99"/>
    </x:row>
    <x:row r="412">
      <x:c r="A412" s="99"/>
      <x:c r="B412" s="99"/>
      <x:c r="C412" s="99"/>
      <x:c r="D412" s="99"/>
      <x:c r="E412" s="99"/>
      <x:c r="F412" s="99"/>
      <x:c r="G412" s="99"/>
      <x:c r="H412" s="99"/>
      <x:c r="I412" s="99"/>
      <x:c r="J412" s="99"/>
      <x:c r="K412" s="99"/>
      <x:c r="L412" s="99"/>
      <x:c r="M412" s="99"/>
      <x:c r="N412" s="99"/>
      <x:c r="O412" s="99"/>
      <x:c r="P412" s="99"/>
      <x:c r="Q412" s="99"/>
      <x:c r="R412" s="99"/>
      <x:c r="S412" s="99"/>
      <x:c r="T412" s="99"/>
      <x:c r="U412" s="99"/>
      <x:c r="V412" s="99"/>
      <x:c r="W412" s="99"/>
      <x:c r="X412" s="99"/>
      <x:c r="Y412" s="99"/>
      <x:c r="Z412" s="99"/>
    </x:row>
    <x:row r="413">
      <x:c r="A413" s="99"/>
      <x:c r="B413" s="99"/>
      <x:c r="C413" s="99"/>
      <x:c r="D413" s="99"/>
      <x:c r="E413" s="99"/>
      <x:c r="F413" s="99"/>
      <x:c r="G413" s="99"/>
      <x:c r="H413" s="99"/>
      <x:c r="I413" s="99"/>
      <x:c r="J413" s="99"/>
      <x:c r="K413" s="99"/>
      <x:c r="L413" s="99"/>
      <x:c r="M413" s="99"/>
      <x:c r="N413" s="99"/>
      <x:c r="O413" s="99"/>
      <x:c r="P413" s="99"/>
      <x:c r="Q413" s="99"/>
      <x:c r="R413" s="99"/>
      <x:c r="S413" s="99"/>
      <x:c r="T413" s="99"/>
      <x:c r="U413" s="99"/>
      <x:c r="V413" s="99"/>
      <x:c r="W413" s="99"/>
      <x:c r="X413" s="99"/>
      <x:c r="Y413" s="99"/>
      <x:c r="Z413" s="99"/>
    </x:row>
    <x:row r="414">
      <x:c r="A414" s="99"/>
      <x:c r="B414" s="99"/>
      <x:c r="C414" s="99"/>
      <x:c r="D414" s="99"/>
      <x:c r="E414" s="99"/>
      <x:c r="F414" s="99"/>
      <x:c r="G414" s="99"/>
      <x:c r="H414" s="99"/>
      <x:c r="I414" s="99"/>
      <x:c r="J414" s="99"/>
      <x:c r="K414" s="99"/>
      <x:c r="L414" s="99"/>
      <x:c r="M414" s="99"/>
      <x:c r="N414" s="99"/>
      <x:c r="O414" s="99"/>
      <x:c r="P414" s="99"/>
      <x:c r="Q414" s="99"/>
      <x:c r="R414" s="99"/>
      <x:c r="S414" s="99"/>
      <x:c r="T414" s="99"/>
      <x:c r="U414" s="99"/>
      <x:c r="V414" s="99"/>
      <x:c r="W414" s="99"/>
      <x:c r="X414" s="99"/>
      <x:c r="Y414" s="99"/>
      <x:c r="Z414" s="99"/>
    </x:row>
    <x:row r="415">
      <x:c r="A415" s="99"/>
      <x:c r="B415" s="99"/>
      <x:c r="C415" s="99"/>
      <x:c r="D415" s="99"/>
      <x:c r="E415" s="99"/>
      <x:c r="F415" s="99"/>
      <x:c r="G415" s="99"/>
      <x:c r="H415" s="99"/>
      <x:c r="I415" s="99"/>
      <x:c r="J415" s="99"/>
      <x:c r="K415" s="99"/>
      <x:c r="L415" s="99"/>
      <x:c r="M415" s="99"/>
      <x:c r="N415" s="99"/>
      <x:c r="O415" s="99"/>
      <x:c r="P415" s="99"/>
      <x:c r="Q415" s="99"/>
      <x:c r="R415" s="99"/>
      <x:c r="S415" s="99"/>
      <x:c r="T415" s="99"/>
      <x:c r="U415" s="99"/>
      <x:c r="V415" s="99"/>
      <x:c r="W415" s="99"/>
      <x:c r="X415" s="99"/>
      <x:c r="Y415" s="99"/>
      <x:c r="Z415" s="99"/>
    </x:row>
    <x:row r="416">
      <x:c r="A416" s="99"/>
      <x:c r="B416" s="99"/>
      <x:c r="C416" s="99"/>
      <x:c r="D416" s="99"/>
      <x:c r="E416" s="99"/>
      <x:c r="F416" s="99"/>
      <x:c r="G416" s="99"/>
      <x:c r="H416" s="99"/>
      <x:c r="I416" s="99"/>
      <x:c r="J416" s="99"/>
      <x:c r="K416" s="99"/>
      <x:c r="L416" s="99"/>
      <x:c r="M416" s="99"/>
      <x:c r="N416" s="99"/>
      <x:c r="O416" s="99"/>
      <x:c r="P416" s="99"/>
      <x:c r="Q416" s="99"/>
      <x:c r="R416" s="99"/>
      <x:c r="S416" s="99"/>
      <x:c r="T416" s="99"/>
      <x:c r="U416" s="99"/>
      <x:c r="V416" s="99"/>
      <x:c r="W416" s="99"/>
      <x:c r="X416" s="99"/>
      <x:c r="Y416" s="99"/>
      <x:c r="Z416" s="99"/>
    </x:row>
    <x:row r="417">
      <x:c r="A417" s="99"/>
      <x:c r="B417" s="99"/>
      <x:c r="C417" s="99"/>
      <x:c r="D417" s="99"/>
      <x:c r="E417" s="99"/>
      <x:c r="F417" s="99"/>
      <x:c r="G417" s="99"/>
      <x:c r="H417" s="99"/>
      <x:c r="I417" s="99"/>
      <x:c r="J417" s="99"/>
      <x:c r="K417" s="99"/>
      <x:c r="L417" s="99"/>
      <x:c r="M417" s="99"/>
      <x:c r="N417" s="99"/>
      <x:c r="O417" s="99"/>
      <x:c r="P417" s="99"/>
      <x:c r="Q417" s="99"/>
      <x:c r="R417" s="99"/>
      <x:c r="S417" s="99"/>
      <x:c r="T417" s="99"/>
      <x:c r="U417" s="99"/>
      <x:c r="V417" s="99"/>
      <x:c r="W417" s="99"/>
      <x:c r="X417" s="99"/>
      <x:c r="Y417" s="99"/>
      <x:c r="Z417" s="99"/>
    </x:row>
    <x:row r="418">
      <x:c r="A418" s="99"/>
      <x:c r="B418" s="99"/>
      <x:c r="C418" s="99"/>
      <x:c r="D418" s="99"/>
      <x:c r="E418" s="99"/>
      <x:c r="F418" s="99"/>
      <x:c r="G418" s="99"/>
      <x:c r="H418" s="99"/>
      <x:c r="I418" s="99"/>
      <x:c r="J418" s="99"/>
      <x:c r="K418" s="99"/>
      <x:c r="L418" s="99"/>
      <x:c r="M418" s="99"/>
      <x:c r="N418" s="99"/>
      <x:c r="O418" s="99"/>
      <x:c r="P418" s="99"/>
      <x:c r="Q418" s="99"/>
      <x:c r="R418" s="99"/>
      <x:c r="S418" s="99"/>
      <x:c r="T418" s="99"/>
      <x:c r="U418" s="99"/>
      <x:c r="V418" s="99"/>
      <x:c r="W418" s="99"/>
      <x:c r="X418" s="99"/>
      <x:c r="Y418" s="99"/>
      <x:c r="Z418" s="99"/>
    </x:row>
    <x:row r="419">
      <x:c r="A419" s="99"/>
      <x:c r="B419" s="99"/>
      <x:c r="C419" s="99"/>
      <x:c r="D419" s="99"/>
      <x:c r="E419" s="99"/>
      <x:c r="F419" s="99"/>
      <x:c r="G419" s="99"/>
      <x:c r="H419" s="99"/>
      <x:c r="I419" s="99"/>
      <x:c r="J419" s="99"/>
      <x:c r="K419" s="99"/>
      <x:c r="L419" s="99"/>
      <x:c r="M419" s="99"/>
      <x:c r="N419" s="99"/>
      <x:c r="O419" s="99"/>
      <x:c r="P419" s="99"/>
      <x:c r="Q419" s="99"/>
      <x:c r="R419" s="99"/>
      <x:c r="S419" s="99"/>
      <x:c r="T419" s="99"/>
      <x:c r="U419" s="99"/>
      <x:c r="V419" s="99"/>
      <x:c r="W419" s="99"/>
      <x:c r="X419" s="99"/>
      <x:c r="Y419" s="99"/>
      <x:c r="Z419" s="99"/>
    </x:row>
    <x:row r="420">
      <x:c r="A420" s="99"/>
      <x:c r="B420" s="99"/>
      <x:c r="C420" s="99"/>
      <x:c r="D420" s="99"/>
      <x:c r="E420" s="99"/>
      <x:c r="F420" s="99"/>
      <x:c r="G420" s="99"/>
      <x:c r="H420" s="99"/>
      <x:c r="I420" s="99"/>
      <x:c r="J420" s="99"/>
      <x:c r="K420" s="99"/>
      <x:c r="L420" s="99"/>
      <x:c r="M420" s="99"/>
      <x:c r="N420" s="99"/>
      <x:c r="O420" s="99"/>
      <x:c r="P420" s="99"/>
      <x:c r="Q420" s="99"/>
      <x:c r="R420" s="99"/>
      <x:c r="S420" s="99"/>
      <x:c r="T420" s="99"/>
      <x:c r="U420" s="99"/>
      <x:c r="V420" s="99"/>
      <x:c r="W420" s="99"/>
      <x:c r="X420" s="99"/>
      <x:c r="Y420" s="99"/>
      <x:c r="Z420" s="99"/>
    </x:row>
    <x:row r="421">
      <x:c r="A421" s="99"/>
      <x:c r="B421" s="99"/>
      <x:c r="C421" s="99"/>
      <x:c r="D421" s="99"/>
      <x:c r="E421" s="99"/>
      <x:c r="F421" s="99"/>
      <x:c r="G421" s="99"/>
      <x:c r="H421" s="99"/>
      <x:c r="I421" s="99"/>
      <x:c r="J421" s="99"/>
      <x:c r="K421" s="99"/>
      <x:c r="L421" s="99"/>
      <x:c r="M421" s="99"/>
      <x:c r="N421" s="99"/>
      <x:c r="O421" s="99"/>
      <x:c r="P421" s="99"/>
      <x:c r="Q421" s="99"/>
      <x:c r="R421" s="99"/>
      <x:c r="S421" s="99"/>
      <x:c r="T421" s="99"/>
      <x:c r="U421" s="99"/>
      <x:c r="V421" s="99"/>
      <x:c r="W421" s="99"/>
      <x:c r="X421" s="99"/>
      <x:c r="Y421" s="99"/>
      <x:c r="Z421" s="99"/>
    </x:row>
    <x:row r="422">
      <x:c r="A422" s="99"/>
      <x:c r="B422" s="99"/>
      <x:c r="C422" s="99"/>
      <x:c r="D422" s="99"/>
      <x:c r="E422" s="99"/>
      <x:c r="F422" s="99"/>
      <x:c r="G422" s="99"/>
      <x:c r="H422" s="99"/>
      <x:c r="I422" s="99"/>
      <x:c r="J422" s="99"/>
      <x:c r="K422" s="99"/>
      <x:c r="L422" s="99"/>
      <x:c r="M422" s="99"/>
      <x:c r="N422" s="99"/>
      <x:c r="O422" s="99"/>
      <x:c r="P422" s="99"/>
      <x:c r="Q422" s="99"/>
      <x:c r="R422" s="99"/>
      <x:c r="S422" s="99"/>
      <x:c r="T422" s="99"/>
      <x:c r="U422" s="99"/>
      <x:c r="V422" s="99"/>
      <x:c r="W422" s="99"/>
      <x:c r="X422" s="99"/>
      <x:c r="Y422" s="99"/>
      <x:c r="Z422" s="99"/>
    </x:row>
    <x:row r="423">
      <x:c r="A423" s="99"/>
      <x:c r="B423" s="99"/>
      <x:c r="C423" s="99"/>
      <x:c r="D423" s="99"/>
      <x:c r="E423" s="99"/>
      <x:c r="F423" s="99"/>
      <x:c r="G423" s="99"/>
      <x:c r="H423" s="99"/>
      <x:c r="I423" s="99"/>
      <x:c r="J423" s="99"/>
      <x:c r="K423" s="99"/>
      <x:c r="L423" s="99"/>
      <x:c r="M423" s="99"/>
      <x:c r="N423" s="99"/>
      <x:c r="O423" s="99"/>
      <x:c r="P423" s="99"/>
      <x:c r="Q423" s="99"/>
      <x:c r="R423" s="99"/>
      <x:c r="S423" s="99"/>
      <x:c r="T423" s="99"/>
      <x:c r="U423" s="99"/>
      <x:c r="V423" s="99"/>
      <x:c r="W423" s="99"/>
      <x:c r="X423" s="99"/>
      <x:c r="Y423" s="99"/>
      <x:c r="Z423" s="99"/>
    </x:row>
    <x:row r="424">
      <x:c r="A424" s="99"/>
      <x:c r="B424" s="99"/>
      <x:c r="C424" s="99"/>
      <x:c r="D424" s="99"/>
      <x:c r="E424" s="99"/>
      <x:c r="F424" s="99"/>
      <x:c r="G424" s="99"/>
      <x:c r="H424" s="99"/>
      <x:c r="I424" s="99"/>
      <x:c r="J424" s="99"/>
      <x:c r="K424" s="99"/>
      <x:c r="L424" s="99"/>
      <x:c r="M424" s="99"/>
      <x:c r="N424" s="99"/>
      <x:c r="O424" s="99"/>
      <x:c r="P424" s="99"/>
      <x:c r="Q424" s="99"/>
      <x:c r="R424" s="99"/>
      <x:c r="S424" s="99"/>
      <x:c r="T424" s="99"/>
      <x:c r="U424" s="99"/>
      <x:c r="V424" s="99"/>
      <x:c r="W424" s="99"/>
      <x:c r="X424" s="99"/>
      <x:c r="Y424" s="99"/>
      <x:c r="Z424" s="99"/>
    </x:row>
    <x:row r="425">
      <x:c r="A425" s="99"/>
      <x:c r="B425" s="99"/>
      <x:c r="C425" s="99"/>
      <x:c r="D425" s="99"/>
      <x:c r="E425" s="99"/>
      <x:c r="F425" s="99"/>
      <x:c r="G425" s="99"/>
      <x:c r="H425" s="99"/>
      <x:c r="I425" s="99"/>
      <x:c r="J425" s="99"/>
      <x:c r="K425" s="99"/>
      <x:c r="L425" s="99"/>
      <x:c r="M425" s="99"/>
      <x:c r="N425" s="99"/>
      <x:c r="O425" s="99"/>
      <x:c r="P425" s="99"/>
      <x:c r="Q425" s="99"/>
      <x:c r="R425" s="99"/>
      <x:c r="S425" s="99"/>
      <x:c r="T425" s="99"/>
      <x:c r="U425" s="99"/>
      <x:c r="V425" s="99"/>
      <x:c r="W425" s="99"/>
      <x:c r="X425" s="99"/>
      <x:c r="Y425" s="99"/>
      <x:c r="Z425" s="99"/>
    </x:row>
    <x:row r="426">
      <x:c r="A426" s="99"/>
      <x:c r="B426" s="99"/>
      <x:c r="C426" s="99"/>
      <x:c r="D426" s="99"/>
      <x:c r="E426" s="99"/>
      <x:c r="F426" s="99"/>
      <x:c r="G426" s="99"/>
      <x:c r="H426" s="99"/>
      <x:c r="I426" s="99"/>
      <x:c r="J426" s="99"/>
      <x:c r="K426" s="99"/>
      <x:c r="L426" s="99"/>
      <x:c r="M426" s="99"/>
      <x:c r="N426" s="99"/>
      <x:c r="O426" s="99"/>
      <x:c r="P426" s="99"/>
      <x:c r="Q426" s="99"/>
      <x:c r="R426" s="99"/>
      <x:c r="S426" s="99"/>
      <x:c r="T426" s="99"/>
      <x:c r="U426" s="99"/>
      <x:c r="V426" s="99"/>
      <x:c r="W426" s="99"/>
      <x:c r="X426" s="99"/>
      <x:c r="Y426" s="99"/>
      <x:c r="Z426" s="99"/>
    </x:row>
    <x:row r="427">
      <x:c r="A427" s="99"/>
      <x:c r="B427" s="99"/>
      <x:c r="C427" s="99"/>
      <x:c r="D427" s="99"/>
      <x:c r="E427" s="99"/>
      <x:c r="F427" s="99"/>
      <x:c r="G427" s="99"/>
      <x:c r="H427" s="99"/>
      <x:c r="I427" s="99"/>
      <x:c r="J427" s="99"/>
      <x:c r="K427" s="99"/>
      <x:c r="L427" s="99"/>
      <x:c r="M427" s="99"/>
      <x:c r="N427" s="99"/>
      <x:c r="O427" s="99"/>
      <x:c r="P427" s="99"/>
      <x:c r="Q427" s="99"/>
      <x:c r="R427" s="99"/>
      <x:c r="S427" s="99"/>
      <x:c r="T427" s="99"/>
      <x:c r="U427" s="99"/>
      <x:c r="V427" s="99"/>
      <x:c r="W427" s="99"/>
      <x:c r="X427" s="99"/>
      <x:c r="Y427" s="99"/>
      <x:c r="Z427" s="99"/>
    </x:row>
    <x:row r="428">
      <x:c r="A428" s="99"/>
      <x:c r="B428" s="99"/>
      <x:c r="C428" s="99"/>
      <x:c r="D428" s="99"/>
      <x:c r="E428" s="99"/>
      <x:c r="F428" s="99"/>
      <x:c r="G428" s="99"/>
      <x:c r="H428" s="99"/>
      <x:c r="I428" s="99"/>
      <x:c r="J428" s="99"/>
      <x:c r="K428" s="99"/>
      <x:c r="L428" s="99"/>
      <x:c r="M428" s="99"/>
      <x:c r="N428" s="99"/>
      <x:c r="O428" s="99"/>
      <x:c r="P428" s="99"/>
      <x:c r="Q428" s="99"/>
      <x:c r="R428" s="99"/>
      <x:c r="S428" s="99"/>
      <x:c r="T428" s="99"/>
      <x:c r="U428" s="99"/>
      <x:c r="V428" s="99"/>
      <x:c r="W428" s="99"/>
      <x:c r="X428" s="99"/>
      <x:c r="Y428" s="99"/>
      <x:c r="Z428" s="99"/>
    </x:row>
    <x:row r="429">
      <x:c r="A429" s="99"/>
      <x:c r="B429" s="99"/>
      <x:c r="C429" s="99"/>
      <x:c r="D429" s="99"/>
      <x:c r="E429" s="99"/>
      <x:c r="F429" s="99"/>
      <x:c r="G429" s="99"/>
      <x:c r="H429" s="99"/>
      <x:c r="I429" s="99"/>
      <x:c r="J429" s="99"/>
      <x:c r="K429" s="99"/>
      <x:c r="L429" s="99"/>
      <x:c r="M429" s="99"/>
      <x:c r="N429" s="99"/>
      <x:c r="O429" s="99"/>
      <x:c r="P429" s="99"/>
      <x:c r="Q429" s="99"/>
      <x:c r="R429" s="99"/>
      <x:c r="S429" s="99"/>
      <x:c r="T429" s="99"/>
      <x:c r="U429" s="99"/>
      <x:c r="V429" s="99"/>
      <x:c r="W429" s="99"/>
      <x:c r="X429" s="99"/>
      <x:c r="Y429" s="99"/>
      <x:c r="Z429" s="99"/>
    </x:row>
    <x:row r="430">
      <x:c r="A430" s="99"/>
      <x:c r="B430" s="99"/>
      <x:c r="C430" s="99"/>
      <x:c r="D430" s="99"/>
      <x:c r="E430" s="99"/>
      <x:c r="F430" s="99"/>
      <x:c r="G430" s="99"/>
      <x:c r="H430" s="99"/>
      <x:c r="I430" s="99"/>
      <x:c r="J430" s="99"/>
      <x:c r="K430" s="99"/>
      <x:c r="L430" s="99"/>
      <x:c r="M430" s="99"/>
      <x:c r="N430" s="99"/>
      <x:c r="O430" s="99"/>
      <x:c r="P430" s="99"/>
      <x:c r="Q430" s="99"/>
      <x:c r="R430" s="99"/>
      <x:c r="S430" s="99"/>
      <x:c r="T430" s="99"/>
      <x:c r="U430" s="99"/>
      <x:c r="V430" s="99"/>
      <x:c r="W430" s="99"/>
      <x:c r="X430" s="99"/>
      <x:c r="Y430" s="99"/>
      <x:c r="Z430" s="99"/>
    </x:row>
    <x:row r="431">
      <x:c r="A431" s="99"/>
      <x:c r="B431" s="99"/>
      <x:c r="C431" s="99"/>
      <x:c r="D431" s="99"/>
      <x:c r="E431" s="99"/>
      <x:c r="F431" s="99"/>
      <x:c r="G431" s="99"/>
      <x:c r="H431" s="99"/>
      <x:c r="I431" s="99"/>
      <x:c r="J431" s="99"/>
      <x:c r="K431" s="99"/>
      <x:c r="L431" s="99"/>
      <x:c r="M431" s="99"/>
      <x:c r="N431" s="99"/>
      <x:c r="O431" s="99"/>
      <x:c r="P431" s="99"/>
      <x:c r="Q431" s="99"/>
      <x:c r="R431" s="99"/>
      <x:c r="S431" s="99"/>
      <x:c r="T431" s="99"/>
      <x:c r="U431" s="99"/>
      <x:c r="V431" s="99"/>
      <x:c r="W431" s="99"/>
      <x:c r="X431" s="99"/>
      <x:c r="Y431" s="99"/>
      <x:c r="Z431" s="99"/>
    </x:row>
    <x:row r="432">
      <x:c r="A432" s="99"/>
      <x:c r="B432" s="99"/>
      <x:c r="C432" s="99"/>
      <x:c r="D432" s="99"/>
      <x:c r="E432" s="99"/>
      <x:c r="F432" s="99"/>
      <x:c r="G432" s="99"/>
      <x:c r="H432" s="99"/>
      <x:c r="I432" s="99"/>
      <x:c r="J432" s="99"/>
      <x:c r="K432" s="99"/>
      <x:c r="L432" s="99"/>
      <x:c r="M432" s="99"/>
      <x:c r="N432" s="99"/>
      <x:c r="O432" s="99"/>
      <x:c r="P432" s="99"/>
      <x:c r="Q432" s="99"/>
      <x:c r="R432" s="99"/>
      <x:c r="S432" s="99"/>
      <x:c r="T432" s="99"/>
      <x:c r="U432" s="99"/>
      <x:c r="V432" s="99"/>
      <x:c r="W432" s="99"/>
      <x:c r="X432" s="99"/>
      <x:c r="Y432" s="99"/>
      <x:c r="Z432" s="99"/>
    </x:row>
    <x:row r="433">
      <x:c r="A433" s="99"/>
      <x:c r="B433" s="99"/>
      <x:c r="C433" s="99"/>
      <x:c r="D433" s="99"/>
      <x:c r="E433" s="99"/>
      <x:c r="F433" s="99"/>
      <x:c r="G433" s="99"/>
      <x:c r="H433" s="99"/>
      <x:c r="I433" s="99"/>
      <x:c r="J433" s="99"/>
      <x:c r="K433" s="99"/>
      <x:c r="L433" s="99"/>
      <x:c r="M433" s="99"/>
      <x:c r="N433" s="99"/>
      <x:c r="O433" s="99"/>
      <x:c r="P433" s="99"/>
      <x:c r="Q433" s="99"/>
      <x:c r="R433" s="99"/>
      <x:c r="S433" s="99"/>
      <x:c r="T433" s="99"/>
      <x:c r="U433" s="99"/>
      <x:c r="V433" s="99"/>
      <x:c r="W433" s="99"/>
      <x:c r="X433" s="99"/>
      <x:c r="Y433" s="99"/>
      <x:c r="Z433" s="99"/>
    </x:row>
    <x:row r="434">
      <x:c r="A434" s="99"/>
      <x:c r="B434" s="99"/>
      <x:c r="C434" s="99"/>
      <x:c r="D434" s="99"/>
      <x:c r="E434" s="99"/>
      <x:c r="F434" s="99"/>
      <x:c r="G434" s="99"/>
      <x:c r="H434" s="99"/>
      <x:c r="I434" s="99"/>
      <x:c r="J434" s="99"/>
      <x:c r="K434" s="99"/>
      <x:c r="L434" s="99"/>
      <x:c r="M434" s="99"/>
      <x:c r="N434" s="99"/>
      <x:c r="O434" s="99"/>
      <x:c r="P434" s="99"/>
      <x:c r="Q434" s="99"/>
      <x:c r="R434" s="99"/>
      <x:c r="S434" s="99"/>
      <x:c r="T434" s="99"/>
      <x:c r="U434" s="99"/>
      <x:c r="V434" s="99"/>
      <x:c r="W434" s="99"/>
      <x:c r="X434" s="99"/>
      <x:c r="Y434" s="99"/>
      <x:c r="Z434" s="99"/>
    </x:row>
    <x:row r="435">
      <x:c r="A435" s="99"/>
      <x:c r="B435" s="99"/>
      <x:c r="C435" s="99"/>
      <x:c r="D435" s="99"/>
      <x:c r="E435" s="99"/>
      <x:c r="F435" s="99"/>
      <x:c r="G435" s="99"/>
      <x:c r="H435" s="99"/>
      <x:c r="I435" s="99"/>
      <x:c r="J435" s="99"/>
      <x:c r="K435" s="99"/>
      <x:c r="L435" s="99"/>
      <x:c r="M435" s="99"/>
      <x:c r="N435" s="99"/>
      <x:c r="O435" s="99"/>
      <x:c r="P435" s="99"/>
      <x:c r="Q435" s="99"/>
      <x:c r="R435" s="99"/>
      <x:c r="S435" s="99"/>
      <x:c r="T435" s="99"/>
      <x:c r="U435" s="99"/>
      <x:c r="V435" s="99"/>
      <x:c r="W435" s="99"/>
      <x:c r="X435" s="99"/>
      <x:c r="Y435" s="99"/>
      <x:c r="Z435" s="99"/>
    </x:row>
    <x:row r="436">
      <x:c r="A436" s="99"/>
      <x:c r="B436" s="99"/>
      <x:c r="C436" s="99"/>
      <x:c r="D436" s="99"/>
      <x:c r="E436" s="99"/>
      <x:c r="F436" s="99"/>
      <x:c r="G436" s="99"/>
      <x:c r="H436" s="99"/>
      <x:c r="I436" s="99"/>
      <x:c r="J436" s="99"/>
      <x:c r="K436" s="99"/>
      <x:c r="L436" s="99"/>
      <x:c r="M436" s="99"/>
      <x:c r="N436" s="99"/>
      <x:c r="O436" s="99"/>
      <x:c r="P436" s="99"/>
      <x:c r="Q436" s="99"/>
      <x:c r="R436" s="99"/>
      <x:c r="S436" s="99"/>
      <x:c r="T436" s="99"/>
      <x:c r="U436" s="99"/>
      <x:c r="V436" s="99"/>
      <x:c r="W436" s="99"/>
      <x:c r="X436" s="99"/>
      <x:c r="Y436" s="99"/>
      <x:c r="Z436" s="99"/>
    </x:row>
    <x:row r="437">
      <x:c r="A437" s="99"/>
      <x:c r="B437" s="99"/>
      <x:c r="C437" s="99"/>
      <x:c r="D437" s="99"/>
      <x:c r="E437" s="99"/>
      <x:c r="F437" s="99"/>
      <x:c r="G437" s="99"/>
      <x:c r="H437" s="99"/>
      <x:c r="I437" s="99"/>
      <x:c r="J437" s="99"/>
      <x:c r="K437" s="99"/>
      <x:c r="L437" s="99"/>
      <x:c r="M437" s="99"/>
      <x:c r="N437" s="99"/>
      <x:c r="O437" s="99"/>
      <x:c r="P437" s="99"/>
      <x:c r="Q437" s="99"/>
      <x:c r="R437" s="99"/>
      <x:c r="S437" s="99"/>
      <x:c r="T437" s="99"/>
      <x:c r="U437" s="99"/>
      <x:c r="V437" s="99"/>
      <x:c r="W437" s="99"/>
      <x:c r="X437" s="99"/>
      <x:c r="Y437" s="99"/>
      <x:c r="Z437" s="99"/>
    </x:row>
    <x:row r="438">
      <x:c r="A438" s="99"/>
      <x:c r="B438" s="99"/>
      <x:c r="C438" s="99"/>
      <x:c r="D438" s="99"/>
      <x:c r="E438" s="99"/>
      <x:c r="F438" s="99"/>
      <x:c r="G438" s="99"/>
      <x:c r="H438" s="99"/>
      <x:c r="I438" s="99"/>
      <x:c r="J438" s="99"/>
      <x:c r="K438" s="99"/>
      <x:c r="L438" s="99"/>
      <x:c r="M438" s="99"/>
      <x:c r="N438" s="99"/>
      <x:c r="O438" s="99"/>
      <x:c r="P438" s="99"/>
      <x:c r="Q438" s="99"/>
      <x:c r="R438" s="99"/>
      <x:c r="S438" s="99"/>
      <x:c r="T438" s="99"/>
      <x:c r="U438" s="99"/>
      <x:c r="V438" s="99"/>
      <x:c r="W438" s="99"/>
      <x:c r="X438" s="99"/>
      <x:c r="Y438" s="99"/>
      <x:c r="Z438" s="99"/>
    </x:row>
    <x:row r="439">
      <x:c r="A439" s="99"/>
      <x:c r="B439" s="99"/>
      <x:c r="C439" s="99"/>
      <x:c r="D439" s="99"/>
      <x:c r="E439" s="99"/>
      <x:c r="F439" s="99"/>
      <x:c r="G439" s="99"/>
      <x:c r="H439" s="99"/>
      <x:c r="I439" s="99"/>
      <x:c r="J439" s="99"/>
      <x:c r="K439" s="99"/>
      <x:c r="L439" s="99"/>
      <x:c r="M439" s="99"/>
      <x:c r="N439" s="99"/>
      <x:c r="O439" s="99"/>
      <x:c r="P439" s="99"/>
      <x:c r="Q439" s="99"/>
      <x:c r="R439" s="99"/>
      <x:c r="S439" s="99"/>
      <x:c r="T439" s="99"/>
      <x:c r="U439" s="99"/>
      <x:c r="V439" s="99"/>
      <x:c r="W439" s="99"/>
      <x:c r="X439" s="99"/>
      <x:c r="Y439" s="99"/>
      <x:c r="Z439" s="99"/>
    </x:row>
    <x:row r="440">
      <x:c r="A440" s="99"/>
      <x:c r="B440" s="99"/>
      <x:c r="C440" s="99"/>
      <x:c r="D440" s="99"/>
      <x:c r="E440" s="99"/>
      <x:c r="F440" s="99"/>
      <x:c r="G440" s="99"/>
      <x:c r="H440" s="99"/>
      <x:c r="I440" s="99"/>
      <x:c r="J440" s="99"/>
      <x:c r="K440" s="99"/>
      <x:c r="L440" s="99"/>
      <x:c r="M440" s="99"/>
      <x:c r="N440" s="99"/>
      <x:c r="O440" s="99"/>
      <x:c r="P440" s="99"/>
      <x:c r="Q440" s="99"/>
      <x:c r="R440" s="99"/>
      <x:c r="S440" s="99"/>
      <x:c r="T440" s="99"/>
      <x:c r="U440" s="99"/>
      <x:c r="V440" s="99"/>
      <x:c r="W440" s="99"/>
      <x:c r="X440" s="99"/>
      <x:c r="Y440" s="99"/>
      <x:c r="Z440" s="99"/>
    </x:row>
    <x:row r="441">
      <x:c r="A441" s="99"/>
      <x:c r="B441" s="99"/>
      <x:c r="C441" s="99"/>
      <x:c r="D441" s="99"/>
      <x:c r="E441" s="99"/>
      <x:c r="F441" s="99"/>
      <x:c r="G441" s="99"/>
      <x:c r="H441" s="99"/>
      <x:c r="I441" s="99"/>
      <x:c r="J441" s="99"/>
      <x:c r="K441" s="99"/>
      <x:c r="L441" s="99"/>
      <x:c r="M441" s="99"/>
      <x:c r="N441" s="99"/>
      <x:c r="O441" s="99"/>
      <x:c r="P441" s="99"/>
      <x:c r="Q441" s="99"/>
      <x:c r="R441" s="99"/>
      <x:c r="S441" s="99"/>
      <x:c r="T441" s="99"/>
      <x:c r="U441" s="99"/>
      <x:c r="V441" s="99"/>
      <x:c r="W441" s="99"/>
      <x:c r="X441" s="99"/>
      <x:c r="Y441" s="99"/>
      <x:c r="Z441" s="99"/>
    </x:row>
    <x:row r="442">
      <x:c r="A442" s="99"/>
      <x:c r="B442" s="99"/>
      <x:c r="C442" s="99"/>
      <x:c r="D442" s="99"/>
      <x:c r="E442" s="99"/>
      <x:c r="F442" s="99"/>
      <x:c r="G442" s="99"/>
      <x:c r="H442" s="99"/>
      <x:c r="I442" s="99"/>
      <x:c r="J442" s="99"/>
      <x:c r="K442" s="99"/>
      <x:c r="L442" s="99"/>
      <x:c r="M442" s="99"/>
      <x:c r="N442" s="99"/>
      <x:c r="O442" s="99"/>
      <x:c r="P442" s="99"/>
      <x:c r="Q442" s="99"/>
      <x:c r="R442" s="99"/>
      <x:c r="S442" s="99"/>
      <x:c r="T442" s="99"/>
      <x:c r="U442" s="99"/>
      <x:c r="V442" s="99"/>
      <x:c r="W442" s="99"/>
      <x:c r="X442" s="99"/>
      <x:c r="Y442" s="99"/>
      <x:c r="Z442" s="99"/>
    </x:row>
    <x:row r="443">
      <x:c r="A443" s="99"/>
      <x:c r="B443" s="99"/>
      <x:c r="C443" s="99"/>
      <x:c r="D443" s="99"/>
      <x:c r="E443" s="99"/>
      <x:c r="F443" s="99"/>
      <x:c r="G443" s="99"/>
      <x:c r="H443" s="99"/>
      <x:c r="I443" s="99"/>
      <x:c r="J443" s="99"/>
      <x:c r="K443" s="99"/>
      <x:c r="L443" s="99"/>
      <x:c r="M443" s="99"/>
      <x:c r="N443" s="99"/>
      <x:c r="O443" s="99"/>
      <x:c r="P443" s="99"/>
      <x:c r="Q443" s="99"/>
      <x:c r="R443" s="99"/>
      <x:c r="S443" s="99"/>
      <x:c r="T443" s="99"/>
      <x:c r="U443" s="99"/>
      <x:c r="V443" s="99"/>
      <x:c r="W443" s="99"/>
      <x:c r="X443" s="99"/>
      <x:c r="Y443" s="99"/>
      <x:c r="Z443" s="99"/>
    </x:row>
    <x:row r="444">
      <x:c r="A444" s="99"/>
      <x:c r="B444" s="99"/>
      <x:c r="C444" s="99"/>
      <x:c r="D444" s="99"/>
      <x:c r="E444" s="99"/>
      <x:c r="F444" s="99"/>
      <x:c r="G444" s="99"/>
      <x:c r="H444" s="99"/>
      <x:c r="I444" s="99"/>
      <x:c r="J444" s="99"/>
      <x:c r="K444" s="99"/>
      <x:c r="L444" s="99"/>
      <x:c r="M444" s="99"/>
      <x:c r="N444" s="99"/>
      <x:c r="O444" s="99"/>
      <x:c r="P444" s="99"/>
      <x:c r="Q444" s="99"/>
      <x:c r="R444" s="99"/>
      <x:c r="S444" s="99"/>
      <x:c r="T444" s="99"/>
      <x:c r="U444" s="99"/>
      <x:c r="V444" s="99"/>
      <x:c r="W444" s="99"/>
      <x:c r="X444" s="99"/>
      <x:c r="Y444" s="99"/>
      <x:c r="Z444" s="99"/>
    </x:row>
    <x:row r="445">
      <x:c r="A445" s="99"/>
      <x:c r="B445" s="99"/>
      <x:c r="C445" s="99"/>
      <x:c r="D445" s="99"/>
      <x:c r="E445" s="99"/>
      <x:c r="F445" s="99"/>
      <x:c r="G445" s="99"/>
      <x:c r="H445" s="99"/>
      <x:c r="I445" s="99"/>
      <x:c r="J445" s="99"/>
      <x:c r="K445" s="99"/>
      <x:c r="L445" s="99"/>
      <x:c r="M445" s="99"/>
      <x:c r="N445" s="99"/>
      <x:c r="O445" s="99"/>
      <x:c r="P445" s="99"/>
      <x:c r="Q445" s="99"/>
      <x:c r="R445" s="99"/>
      <x:c r="S445" s="99"/>
      <x:c r="T445" s="99"/>
      <x:c r="U445" s="99"/>
      <x:c r="V445" s="99"/>
      <x:c r="W445" s="99"/>
      <x:c r="X445" s="99"/>
      <x:c r="Y445" s="99"/>
      <x:c r="Z445" s="99"/>
    </x:row>
    <x:row r="446">
      <x:c r="A446" s="99"/>
      <x:c r="B446" s="99"/>
      <x:c r="C446" s="99"/>
      <x:c r="D446" s="99"/>
      <x:c r="E446" s="99"/>
      <x:c r="F446" s="99"/>
      <x:c r="G446" s="99"/>
      <x:c r="H446" s="99"/>
      <x:c r="I446" s="99"/>
      <x:c r="J446" s="99"/>
      <x:c r="K446" s="99"/>
      <x:c r="L446" s="99"/>
      <x:c r="M446" s="99"/>
      <x:c r="N446" s="99"/>
      <x:c r="O446" s="99"/>
      <x:c r="P446" s="99"/>
      <x:c r="Q446" s="99"/>
      <x:c r="R446" s="99"/>
      <x:c r="S446" s="99"/>
      <x:c r="T446" s="99"/>
      <x:c r="U446" s="99"/>
      <x:c r="V446" s="99"/>
      <x:c r="W446" s="99"/>
      <x:c r="X446" s="99"/>
      <x:c r="Y446" s="99"/>
      <x:c r="Z446" s="99"/>
    </x:row>
    <x:row r="447">
      <x:c r="A447" s="99"/>
      <x:c r="B447" s="99"/>
      <x:c r="C447" s="99"/>
      <x:c r="D447" s="99"/>
      <x:c r="E447" s="99"/>
      <x:c r="F447" s="99"/>
      <x:c r="G447" s="99"/>
      <x:c r="H447" s="99"/>
      <x:c r="I447" s="99"/>
      <x:c r="J447" s="99"/>
      <x:c r="K447" s="99"/>
      <x:c r="L447" s="99"/>
      <x:c r="M447" s="99"/>
      <x:c r="N447" s="99"/>
      <x:c r="O447" s="99"/>
      <x:c r="P447" s="99"/>
      <x:c r="Q447" s="99"/>
      <x:c r="R447" s="99"/>
      <x:c r="S447" s="99"/>
      <x:c r="T447" s="99"/>
      <x:c r="U447" s="99"/>
      <x:c r="V447" s="99"/>
      <x:c r="W447" s="99"/>
      <x:c r="X447" s="99"/>
      <x:c r="Y447" s="99"/>
      <x:c r="Z447" s="99"/>
    </x:row>
    <x:row r="448">
      <x:c r="A448" s="99"/>
      <x:c r="B448" s="99"/>
      <x:c r="C448" s="99"/>
      <x:c r="D448" s="99"/>
      <x:c r="E448" s="99"/>
      <x:c r="F448" s="99"/>
      <x:c r="G448" s="99"/>
      <x:c r="H448" s="99"/>
      <x:c r="I448" s="99"/>
      <x:c r="J448" s="99"/>
      <x:c r="K448" s="99"/>
      <x:c r="L448" s="99"/>
      <x:c r="M448" s="99"/>
      <x:c r="N448" s="99"/>
      <x:c r="O448" s="99"/>
      <x:c r="P448" s="99"/>
      <x:c r="Q448" s="99"/>
      <x:c r="R448" s="99"/>
      <x:c r="S448" s="99"/>
      <x:c r="T448" s="99"/>
      <x:c r="U448" s="99"/>
      <x:c r="V448" s="99"/>
      <x:c r="W448" s="99"/>
      <x:c r="X448" s="99"/>
      <x:c r="Y448" s="99"/>
      <x:c r="Z448" s="99"/>
    </x:row>
    <x:row r="449">
      <x:c r="A449" s="99"/>
      <x:c r="B449" s="99"/>
      <x:c r="C449" s="99"/>
      <x:c r="D449" s="99"/>
      <x:c r="E449" s="99"/>
      <x:c r="F449" s="99"/>
      <x:c r="G449" s="99"/>
      <x:c r="H449" s="99"/>
      <x:c r="I449" s="99"/>
      <x:c r="J449" s="99"/>
      <x:c r="K449" s="99"/>
      <x:c r="L449" s="99"/>
      <x:c r="M449" s="99"/>
      <x:c r="N449" s="99"/>
      <x:c r="O449" s="99"/>
      <x:c r="P449" s="99"/>
      <x:c r="Q449" s="99"/>
      <x:c r="R449" s="99"/>
      <x:c r="S449" s="99"/>
      <x:c r="T449" s="99"/>
      <x:c r="U449" s="99"/>
      <x:c r="V449" s="99"/>
      <x:c r="W449" s="99"/>
      <x:c r="X449" s="99"/>
      <x:c r="Y449" s="99"/>
      <x:c r="Z449" s="99"/>
    </x:row>
    <x:row r="450">
      <x:c r="A450" s="99"/>
      <x:c r="B450" s="99"/>
      <x:c r="C450" s="99"/>
      <x:c r="D450" s="99"/>
      <x:c r="E450" s="99"/>
      <x:c r="F450" s="99"/>
      <x:c r="G450" s="99"/>
      <x:c r="H450" s="99"/>
      <x:c r="I450" s="99"/>
      <x:c r="J450" s="99"/>
      <x:c r="K450" s="99"/>
      <x:c r="L450" s="99"/>
      <x:c r="M450" s="99"/>
      <x:c r="N450" s="99"/>
      <x:c r="O450" s="99"/>
      <x:c r="P450" s="99"/>
      <x:c r="Q450" s="99"/>
      <x:c r="R450" s="99"/>
      <x:c r="S450" s="99"/>
      <x:c r="T450" s="99"/>
      <x:c r="U450" s="99"/>
      <x:c r="V450" s="99"/>
      <x:c r="W450" s="99"/>
      <x:c r="X450" s="99"/>
      <x:c r="Y450" s="99"/>
      <x:c r="Z450" s="99"/>
    </x:row>
    <x:row r="451">
      <x:c r="A451" s="99"/>
      <x:c r="B451" s="99"/>
      <x:c r="C451" s="99"/>
      <x:c r="D451" s="99"/>
      <x:c r="E451" s="99"/>
      <x:c r="F451" s="99"/>
      <x:c r="G451" s="99"/>
      <x:c r="H451" s="99"/>
      <x:c r="I451" s="99"/>
      <x:c r="J451" s="99"/>
      <x:c r="K451" s="99"/>
      <x:c r="L451" s="99"/>
      <x:c r="M451" s="99"/>
      <x:c r="N451" s="99"/>
      <x:c r="O451" s="99"/>
      <x:c r="P451" s="99"/>
      <x:c r="Q451" s="99"/>
      <x:c r="R451" s="99"/>
      <x:c r="S451" s="99"/>
      <x:c r="T451" s="99"/>
      <x:c r="U451" s="99"/>
      <x:c r="V451" s="99"/>
      <x:c r="W451" s="99"/>
      <x:c r="X451" s="99"/>
      <x:c r="Y451" s="99"/>
      <x:c r="Z451" s="99"/>
    </x:row>
    <x:row r="452">
      <x:c r="A452" s="99"/>
      <x:c r="B452" s="99"/>
      <x:c r="C452" s="99"/>
      <x:c r="D452" s="99"/>
      <x:c r="E452" s="99"/>
      <x:c r="F452" s="99"/>
      <x:c r="G452" s="99"/>
      <x:c r="H452" s="99"/>
      <x:c r="I452" s="99"/>
      <x:c r="J452" s="99"/>
      <x:c r="K452" s="99"/>
      <x:c r="L452" s="99"/>
      <x:c r="M452" s="99"/>
      <x:c r="N452" s="99"/>
      <x:c r="O452" s="99"/>
      <x:c r="P452" s="99"/>
      <x:c r="Q452" s="99"/>
      <x:c r="R452" s="99"/>
      <x:c r="S452" s="99"/>
      <x:c r="T452" s="99"/>
      <x:c r="U452" s="99"/>
      <x:c r="V452" s="99"/>
      <x:c r="W452" s="99"/>
      <x:c r="X452" s="99"/>
      <x:c r="Y452" s="99"/>
      <x:c r="Z452" s="99"/>
    </x:row>
    <x:row r="453">
      <x:c r="A453" s="99"/>
      <x:c r="B453" s="99"/>
      <x:c r="C453" s="99"/>
      <x:c r="D453" s="99"/>
      <x:c r="E453" s="99"/>
      <x:c r="F453" s="99"/>
      <x:c r="G453" s="99"/>
      <x:c r="H453" s="99"/>
      <x:c r="I453" s="99"/>
      <x:c r="J453" s="99"/>
      <x:c r="K453" s="99"/>
      <x:c r="L453" s="99"/>
      <x:c r="M453" s="99"/>
      <x:c r="N453" s="99"/>
      <x:c r="O453" s="99"/>
      <x:c r="P453" s="99"/>
      <x:c r="Q453" s="99"/>
      <x:c r="R453" s="99"/>
      <x:c r="S453" s="99"/>
      <x:c r="T453" s="99"/>
      <x:c r="U453" s="99"/>
      <x:c r="V453" s="99"/>
      <x:c r="W453" s="99"/>
      <x:c r="X453" s="99"/>
      <x:c r="Y453" s="99"/>
      <x:c r="Z453" s="99"/>
    </x:row>
    <x:row r="454">
      <x:c r="A454" s="99"/>
      <x:c r="B454" s="99"/>
      <x:c r="C454" s="99"/>
      <x:c r="D454" s="99"/>
      <x:c r="E454" s="99"/>
      <x:c r="F454" s="99"/>
      <x:c r="G454" s="99"/>
      <x:c r="H454" s="99"/>
      <x:c r="I454" s="99"/>
      <x:c r="J454" s="99"/>
      <x:c r="K454" s="99"/>
      <x:c r="L454" s="99"/>
      <x:c r="M454" s="99"/>
      <x:c r="N454" s="99"/>
      <x:c r="O454" s="99"/>
      <x:c r="P454" s="99"/>
      <x:c r="Q454" s="99"/>
      <x:c r="R454" s="99"/>
      <x:c r="S454" s="99"/>
      <x:c r="T454" s="99"/>
      <x:c r="U454" s="99"/>
      <x:c r="V454" s="99"/>
      <x:c r="W454" s="99"/>
      <x:c r="X454" s="99"/>
      <x:c r="Y454" s="99"/>
      <x:c r="Z454" s="99"/>
    </x:row>
    <x:row r="455">
      <x:c r="A455" s="99"/>
      <x:c r="B455" s="99"/>
      <x:c r="C455" s="99"/>
      <x:c r="D455" s="99"/>
      <x:c r="E455" s="99"/>
      <x:c r="F455" s="99"/>
      <x:c r="G455" s="99"/>
      <x:c r="H455" s="99"/>
      <x:c r="I455" s="99"/>
      <x:c r="J455" s="99"/>
      <x:c r="K455" s="99"/>
      <x:c r="L455" s="99"/>
      <x:c r="M455" s="99"/>
      <x:c r="N455" s="99"/>
      <x:c r="O455" s="99"/>
      <x:c r="P455" s="99"/>
      <x:c r="Q455" s="99"/>
      <x:c r="R455" s="99"/>
      <x:c r="S455" s="99"/>
      <x:c r="T455" s="99"/>
      <x:c r="U455" s="99"/>
      <x:c r="V455" s="99"/>
      <x:c r="W455" s="99"/>
      <x:c r="X455" s="99"/>
      <x:c r="Y455" s="99"/>
      <x:c r="Z455" s="99"/>
    </x:row>
    <x:row r="456">
      <x:c r="A456" s="99"/>
      <x:c r="B456" s="99"/>
      <x:c r="C456" s="99"/>
      <x:c r="D456" s="99"/>
      <x:c r="E456" s="99"/>
      <x:c r="F456" s="99"/>
      <x:c r="G456" s="99"/>
      <x:c r="H456" s="99"/>
      <x:c r="I456" s="99"/>
      <x:c r="J456" s="99"/>
      <x:c r="K456" s="99"/>
      <x:c r="L456" s="99"/>
      <x:c r="M456" s="99"/>
      <x:c r="N456" s="99"/>
      <x:c r="O456" s="99"/>
      <x:c r="P456" s="99"/>
      <x:c r="Q456" s="99"/>
      <x:c r="R456" s="99"/>
      <x:c r="S456" s="99"/>
      <x:c r="T456" s="99"/>
      <x:c r="U456" s="99"/>
      <x:c r="V456" s="99"/>
      <x:c r="W456" s="99"/>
      <x:c r="X456" s="99"/>
      <x:c r="Y456" s="99"/>
      <x:c r="Z456" s="99"/>
    </x:row>
    <x:row r="457">
      <x:c r="A457" s="99"/>
      <x:c r="B457" s="99"/>
      <x:c r="C457" s="99"/>
      <x:c r="D457" s="99"/>
      <x:c r="E457" s="99"/>
      <x:c r="F457" s="99"/>
      <x:c r="G457" s="99"/>
      <x:c r="H457" s="99"/>
      <x:c r="I457" s="99"/>
      <x:c r="J457" s="99"/>
      <x:c r="K457" s="99"/>
      <x:c r="L457" s="99"/>
      <x:c r="M457" s="99"/>
      <x:c r="N457" s="99"/>
      <x:c r="O457" s="99"/>
      <x:c r="P457" s="99"/>
      <x:c r="Q457" s="99"/>
      <x:c r="R457" s="99"/>
      <x:c r="S457" s="99"/>
      <x:c r="T457" s="99"/>
      <x:c r="U457" s="99"/>
      <x:c r="V457" s="99"/>
      <x:c r="W457" s="99"/>
      <x:c r="X457" s="99"/>
      <x:c r="Y457" s="99"/>
      <x:c r="Z457" s="99"/>
    </x:row>
    <x:row r="458">
      <x:c r="A458" s="99"/>
      <x:c r="B458" s="99"/>
      <x:c r="C458" s="99"/>
      <x:c r="D458" s="99"/>
      <x:c r="E458" s="99"/>
      <x:c r="F458" s="99"/>
      <x:c r="G458" s="99"/>
      <x:c r="H458" s="99"/>
      <x:c r="I458" s="99"/>
      <x:c r="J458" s="99"/>
      <x:c r="K458" s="99"/>
      <x:c r="L458" s="99"/>
      <x:c r="M458" s="99"/>
      <x:c r="N458" s="99"/>
      <x:c r="O458" s="99"/>
      <x:c r="P458" s="99"/>
      <x:c r="Q458" s="99"/>
      <x:c r="R458" s="99"/>
      <x:c r="S458" s="99"/>
      <x:c r="T458" s="99"/>
      <x:c r="U458" s="99"/>
      <x:c r="V458" s="99"/>
      <x:c r="W458" s="99"/>
      <x:c r="X458" s="99"/>
      <x:c r="Y458" s="99"/>
      <x:c r="Z458" s="99"/>
    </x:row>
    <x:row r="459">
      <x:c r="A459" s="99"/>
      <x:c r="B459" s="99"/>
      <x:c r="C459" s="99"/>
      <x:c r="D459" s="99"/>
      <x:c r="E459" s="99"/>
      <x:c r="F459" s="99"/>
      <x:c r="G459" s="99"/>
      <x:c r="H459" s="99"/>
      <x:c r="I459" s="99"/>
      <x:c r="J459" s="99"/>
      <x:c r="K459" s="99"/>
      <x:c r="L459" s="99"/>
      <x:c r="M459" s="99"/>
      <x:c r="N459" s="99"/>
      <x:c r="O459" s="99"/>
      <x:c r="P459" s="99"/>
      <x:c r="Q459" s="99"/>
      <x:c r="R459" s="99"/>
      <x:c r="S459" s="99"/>
      <x:c r="T459" s="99"/>
      <x:c r="U459" s="99"/>
      <x:c r="V459" s="99"/>
      <x:c r="W459" s="99"/>
      <x:c r="X459" s="99"/>
      <x:c r="Y459" s="99"/>
      <x:c r="Z459" s="99"/>
    </x:row>
    <x:row r="460">
      <x:c r="A460" s="99"/>
      <x:c r="B460" s="99"/>
      <x:c r="C460" s="99"/>
      <x:c r="D460" s="99"/>
      <x:c r="E460" s="99"/>
      <x:c r="F460" s="99"/>
      <x:c r="G460" s="99"/>
      <x:c r="H460" s="99"/>
      <x:c r="I460" s="99"/>
      <x:c r="J460" s="99"/>
      <x:c r="K460" s="99"/>
      <x:c r="L460" s="99"/>
      <x:c r="M460" s="99"/>
      <x:c r="N460" s="99"/>
      <x:c r="O460" s="99"/>
      <x:c r="P460" s="99"/>
      <x:c r="Q460" s="99"/>
      <x:c r="R460" s="99"/>
      <x:c r="S460" s="99"/>
      <x:c r="T460" s="99"/>
      <x:c r="U460" s="99"/>
      <x:c r="V460" s="99"/>
      <x:c r="W460" s="99"/>
      <x:c r="X460" s="99"/>
      <x:c r="Y460" s="99"/>
      <x:c r="Z460" s="99"/>
    </x:row>
    <x:row r="461">
      <x:c r="A461" s="99"/>
      <x:c r="B461" s="99"/>
      <x:c r="C461" s="99"/>
      <x:c r="D461" s="99"/>
      <x:c r="E461" s="99"/>
      <x:c r="F461" s="99"/>
      <x:c r="G461" s="99"/>
      <x:c r="H461" s="99"/>
      <x:c r="I461" s="99"/>
      <x:c r="J461" s="99"/>
      <x:c r="K461" s="99"/>
      <x:c r="L461" s="99"/>
      <x:c r="M461" s="99"/>
      <x:c r="N461" s="99"/>
      <x:c r="O461" s="99"/>
      <x:c r="P461" s="99"/>
      <x:c r="Q461" s="99"/>
      <x:c r="R461" s="99"/>
      <x:c r="S461" s="99"/>
      <x:c r="T461" s="99"/>
      <x:c r="U461" s="99"/>
      <x:c r="V461" s="99"/>
      <x:c r="W461" s="99"/>
      <x:c r="X461" s="99"/>
      <x:c r="Y461" s="99"/>
      <x:c r="Z461" s="99"/>
    </x:row>
    <x:row r="462">
      <x:c r="A462" s="99"/>
      <x:c r="B462" s="99"/>
      <x:c r="C462" s="99"/>
      <x:c r="D462" s="99"/>
      <x:c r="E462" s="99"/>
      <x:c r="F462" s="99"/>
      <x:c r="G462" s="99"/>
      <x:c r="H462" s="99"/>
      <x:c r="I462" s="99"/>
      <x:c r="J462" s="99"/>
      <x:c r="K462" s="99"/>
      <x:c r="L462" s="99"/>
      <x:c r="M462" s="99"/>
      <x:c r="N462" s="99"/>
      <x:c r="O462" s="99"/>
      <x:c r="P462" s="99"/>
      <x:c r="Q462" s="99"/>
      <x:c r="R462" s="99"/>
      <x:c r="S462" s="99"/>
      <x:c r="T462" s="99"/>
      <x:c r="U462" s="99"/>
      <x:c r="V462" s="99"/>
      <x:c r="W462" s="99"/>
      <x:c r="X462" s="99"/>
      <x:c r="Y462" s="99"/>
      <x:c r="Z462" s="99"/>
    </x:row>
    <x:row r="463">
      <x:c r="A463" s="99"/>
      <x:c r="B463" s="99"/>
      <x:c r="C463" s="99"/>
      <x:c r="D463" s="99"/>
      <x:c r="E463" s="99"/>
      <x:c r="F463" s="99"/>
      <x:c r="G463" s="99"/>
      <x:c r="H463" s="99"/>
      <x:c r="I463" s="99"/>
      <x:c r="J463" s="99"/>
      <x:c r="K463" s="99"/>
      <x:c r="L463" s="99"/>
      <x:c r="M463" s="99"/>
      <x:c r="N463" s="99"/>
      <x:c r="O463" s="99"/>
      <x:c r="P463" s="99"/>
      <x:c r="Q463" s="99"/>
      <x:c r="R463" s="99"/>
      <x:c r="S463" s="99"/>
      <x:c r="T463" s="99"/>
      <x:c r="U463" s="99"/>
      <x:c r="V463" s="99"/>
      <x:c r="W463" s="99"/>
      <x:c r="X463" s="99"/>
      <x:c r="Y463" s="99"/>
      <x:c r="Z463" s="99"/>
    </x:row>
    <x:row r="464">
      <x:c r="A464" s="99"/>
      <x:c r="B464" s="99"/>
      <x:c r="C464" s="99"/>
      <x:c r="D464" s="99"/>
      <x:c r="E464" s="99"/>
      <x:c r="F464" s="99"/>
      <x:c r="G464" s="99"/>
      <x:c r="H464" s="99"/>
      <x:c r="I464" s="99"/>
      <x:c r="J464" s="99"/>
      <x:c r="K464" s="99"/>
      <x:c r="L464" s="99"/>
      <x:c r="M464" s="99"/>
      <x:c r="N464" s="99"/>
      <x:c r="O464" s="99"/>
      <x:c r="P464" s="99"/>
      <x:c r="Q464" s="99"/>
      <x:c r="R464" s="99"/>
      <x:c r="S464" s="99"/>
      <x:c r="T464" s="99"/>
      <x:c r="U464" s="99"/>
      <x:c r="V464" s="99"/>
      <x:c r="W464" s="99"/>
      <x:c r="X464" s="99"/>
      <x:c r="Y464" s="99"/>
      <x:c r="Z464" s="99"/>
    </x:row>
    <x:row r="465">
      <x:c r="A465" s="99"/>
      <x:c r="B465" s="99"/>
      <x:c r="C465" s="99"/>
      <x:c r="D465" s="99"/>
      <x:c r="E465" s="99"/>
      <x:c r="F465" s="99"/>
      <x:c r="G465" s="99"/>
      <x:c r="H465" s="99"/>
      <x:c r="I465" s="99"/>
      <x:c r="J465" s="99"/>
      <x:c r="K465" s="99"/>
      <x:c r="L465" s="99"/>
      <x:c r="M465" s="99"/>
      <x:c r="N465" s="99"/>
      <x:c r="O465" s="99"/>
      <x:c r="P465" s="99"/>
      <x:c r="Q465" s="99"/>
      <x:c r="R465" s="99"/>
      <x:c r="S465" s="99"/>
      <x:c r="T465" s="99"/>
      <x:c r="U465" s="99"/>
      <x:c r="V465" s="99"/>
      <x:c r="W465" s="99"/>
      <x:c r="X465" s="99"/>
      <x:c r="Y465" s="99"/>
      <x:c r="Z465" s="99"/>
    </x:row>
    <x:row r="466">
      <x:c r="A466" s="99"/>
      <x:c r="B466" s="99"/>
      <x:c r="C466" s="99"/>
      <x:c r="D466" s="99"/>
      <x:c r="E466" s="99"/>
      <x:c r="F466" s="99"/>
      <x:c r="G466" s="99"/>
      <x:c r="H466" s="99"/>
      <x:c r="I466" s="99"/>
      <x:c r="J466" s="99"/>
      <x:c r="K466" s="99"/>
      <x:c r="L466" s="99"/>
      <x:c r="M466" s="99"/>
      <x:c r="N466" s="99"/>
      <x:c r="O466" s="99"/>
      <x:c r="P466" s="99"/>
      <x:c r="Q466" s="99"/>
      <x:c r="R466" s="99"/>
      <x:c r="S466" s="99"/>
      <x:c r="T466" s="99"/>
      <x:c r="U466" s="99"/>
      <x:c r="V466" s="99"/>
      <x:c r="W466" s="99"/>
      <x:c r="X466" s="99"/>
      <x:c r="Y466" s="99"/>
      <x:c r="Z466" s="99"/>
    </x:row>
    <x:row r="467">
      <x:c r="A467" s="99"/>
      <x:c r="B467" s="99"/>
      <x:c r="C467" s="99"/>
      <x:c r="D467" s="99"/>
      <x:c r="E467" s="99"/>
      <x:c r="F467" s="99"/>
      <x:c r="G467" s="99"/>
      <x:c r="H467" s="99"/>
      <x:c r="I467" s="99"/>
      <x:c r="J467" s="99"/>
      <x:c r="K467" s="99"/>
      <x:c r="L467" s="99"/>
      <x:c r="M467" s="99"/>
      <x:c r="N467" s="99"/>
      <x:c r="O467" s="99"/>
      <x:c r="P467" s="99"/>
      <x:c r="Q467" s="99"/>
      <x:c r="R467" s="99"/>
      <x:c r="S467" s="99"/>
      <x:c r="T467" s="99"/>
      <x:c r="U467" s="99"/>
      <x:c r="V467" s="99"/>
      <x:c r="W467" s="99"/>
      <x:c r="X467" s="99"/>
      <x:c r="Y467" s="99"/>
      <x:c r="Z467" s="99"/>
    </x:row>
    <x:row r="468">
      <x:c r="A468" s="99"/>
      <x:c r="B468" s="99"/>
      <x:c r="C468" s="99"/>
      <x:c r="D468" s="99"/>
      <x:c r="E468" s="99"/>
      <x:c r="F468" s="99"/>
      <x:c r="G468" s="99"/>
      <x:c r="H468" s="99"/>
      <x:c r="I468" s="99"/>
      <x:c r="J468" s="99"/>
      <x:c r="K468" s="99"/>
      <x:c r="L468" s="99"/>
      <x:c r="M468" s="99"/>
      <x:c r="N468" s="99"/>
      <x:c r="O468" s="99"/>
      <x:c r="P468" s="99"/>
      <x:c r="Q468" s="99"/>
      <x:c r="R468" s="99"/>
      <x:c r="S468" s="99"/>
      <x:c r="T468" s="99"/>
      <x:c r="U468" s="99"/>
      <x:c r="V468" s="99"/>
      <x:c r="W468" s="99"/>
      <x:c r="X468" s="99"/>
      <x:c r="Y468" s="99"/>
      <x:c r="Z468" s="99"/>
    </x:row>
    <x:row r="469">
      <x:c r="A469" s="99"/>
      <x:c r="B469" s="99"/>
      <x:c r="C469" s="99"/>
      <x:c r="D469" s="99"/>
      <x:c r="E469" s="99"/>
      <x:c r="F469" s="99"/>
      <x:c r="G469" s="99"/>
      <x:c r="H469" s="99"/>
      <x:c r="I469" s="99"/>
      <x:c r="J469" s="99"/>
      <x:c r="K469" s="99"/>
      <x:c r="L469" s="99"/>
      <x:c r="M469" s="99"/>
      <x:c r="N469" s="99"/>
      <x:c r="O469" s="99"/>
      <x:c r="P469" s="99"/>
      <x:c r="Q469" s="99"/>
      <x:c r="R469" s="99"/>
      <x:c r="S469" s="99"/>
      <x:c r="T469" s="99"/>
      <x:c r="U469" s="99"/>
      <x:c r="V469" s="99"/>
      <x:c r="W469" s="99"/>
      <x:c r="X469" s="99"/>
      <x:c r="Y469" s="99"/>
      <x:c r="Z469" s="99"/>
    </x:row>
    <x:row r="470">
      <x:c r="A470" s="99"/>
      <x:c r="B470" s="99"/>
      <x:c r="C470" s="99"/>
      <x:c r="D470" s="99"/>
      <x:c r="E470" s="99"/>
      <x:c r="F470" s="99"/>
      <x:c r="G470" s="99"/>
      <x:c r="H470" s="99"/>
      <x:c r="I470" s="99"/>
      <x:c r="J470" s="99"/>
      <x:c r="K470" s="99"/>
      <x:c r="L470" s="99"/>
      <x:c r="M470" s="99"/>
      <x:c r="N470" s="99"/>
      <x:c r="O470" s="99"/>
      <x:c r="P470" s="99"/>
      <x:c r="Q470" s="99"/>
      <x:c r="R470" s="99"/>
      <x:c r="S470" s="99"/>
      <x:c r="T470" s="99"/>
      <x:c r="U470" s="99"/>
      <x:c r="V470" s="99"/>
      <x:c r="W470" s="99"/>
      <x:c r="X470" s="99"/>
      <x:c r="Y470" s="99"/>
      <x:c r="Z470" s="99"/>
    </x:row>
    <x:row r="471">
      <x:c r="A471" s="99"/>
      <x:c r="B471" s="99"/>
      <x:c r="C471" s="99"/>
      <x:c r="D471" s="99"/>
      <x:c r="E471" s="99"/>
      <x:c r="F471" s="99"/>
      <x:c r="G471" s="99"/>
      <x:c r="H471" s="99"/>
      <x:c r="I471" s="99"/>
      <x:c r="J471" s="99"/>
      <x:c r="K471" s="99"/>
      <x:c r="L471" s="99"/>
      <x:c r="M471" s="99"/>
      <x:c r="N471" s="99"/>
      <x:c r="O471" s="99"/>
      <x:c r="P471" s="99"/>
      <x:c r="Q471" s="99"/>
      <x:c r="R471" s="99"/>
      <x:c r="S471" s="99"/>
      <x:c r="T471" s="99"/>
      <x:c r="U471" s="99"/>
      <x:c r="V471" s="99"/>
      <x:c r="W471" s="99"/>
      <x:c r="X471" s="99"/>
      <x:c r="Y471" s="99"/>
      <x:c r="Z471" s="99"/>
    </x:row>
    <x:row r="472">
      <x:c r="A472" s="99"/>
      <x:c r="B472" s="99"/>
      <x:c r="C472" s="99"/>
      <x:c r="D472" s="99"/>
      <x:c r="E472" s="99"/>
      <x:c r="F472" s="99"/>
      <x:c r="G472" s="99"/>
      <x:c r="H472" s="99"/>
      <x:c r="I472" s="99"/>
      <x:c r="J472" s="99"/>
      <x:c r="K472" s="99"/>
      <x:c r="L472" s="99"/>
      <x:c r="M472" s="99"/>
      <x:c r="N472" s="99"/>
      <x:c r="O472" s="99"/>
      <x:c r="P472" s="99"/>
      <x:c r="Q472" s="99"/>
      <x:c r="R472" s="99"/>
      <x:c r="S472" s="99"/>
      <x:c r="T472" s="99"/>
      <x:c r="U472" s="99"/>
      <x:c r="V472" s="99"/>
      <x:c r="W472" s="99"/>
      <x:c r="X472" s="99"/>
      <x:c r="Y472" s="99"/>
      <x:c r="Z472" s="99"/>
    </x:row>
    <x:row r="473">
      <x:c r="A473" s="99"/>
      <x:c r="B473" s="99"/>
      <x:c r="C473" s="99"/>
      <x:c r="D473" s="99"/>
      <x:c r="E473" s="99"/>
      <x:c r="F473" s="99"/>
      <x:c r="G473" s="99"/>
      <x:c r="H473" s="99"/>
      <x:c r="I473" s="99"/>
      <x:c r="J473" s="99"/>
      <x:c r="K473" s="99"/>
      <x:c r="L473" s="99"/>
      <x:c r="M473" s="99"/>
      <x:c r="N473" s="99"/>
      <x:c r="O473" s="99"/>
      <x:c r="P473" s="99"/>
      <x:c r="Q473" s="99"/>
      <x:c r="R473" s="99"/>
      <x:c r="S473" s="99"/>
      <x:c r="T473" s="99"/>
      <x:c r="U473" s="99"/>
      <x:c r="V473" s="99"/>
      <x:c r="W473" s="99"/>
      <x:c r="X473" s="99"/>
      <x:c r="Y473" s="99"/>
      <x:c r="Z473" s="99"/>
    </x:row>
    <x:row r="474">
      <x:c r="A474" s="99"/>
      <x:c r="B474" s="99"/>
      <x:c r="C474" s="99"/>
      <x:c r="D474" s="99"/>
      <x:c r="E474" s="99"/>
      <x:c r="F474" s="99"/>
      <x:c r="G474" s="99"/>
      <x:c r="H474" s="99"/>
      <x:c r="I474" s="99"/>
      <x:c r="J474" s="99"/>
      <x:c r="K474" s="99"/>
      <x:c r="L474" s="99"/>
      <x:c r="M474" s="99"/>
      <x:c r="N474" s="99"/>
      <x:c r="O474" s="99"/>
      <x:c r="P474" s="99"/>
      <x:c r="Q474" s="99"/>
      <x:c r="R474" s="99"/>
      <x:c r="S474" s="99"/>
      <x:c r="T474" s="99"/>
      <x:c r="U474" s="99"/>
      <x:c r="V474" s="99"/>
      <x:c r="W474" s="99"/>
      <x:c r="X474" s="99"/>
      <x:c r="Y474" s="99"/>
      <x:c r="Z474" s="99"/>
    </x:row>
    <x:row r="475">
      <x:c r="A475" s="99"/>
      <x:c r="B475" s="99"/>
      <x:c r="C475" s="99"/>
      <x:c r="D475" s="99"/>
      <x:c r="E475" s="99"/>
      <x:c r="F475" s="99"/>
      <x:c r="G475" s="99"/>
      <x:c r="H475" s="99"/>
      <x:c r="I475" s="99"/>
      <x:c r="J475" s="99"/>
      <x:c r="K475" s="99"/>
      <x:c r="L475" s="99"/>
      <x:c r="M475" s="99"/>
      <x:c r="N475" s="99"/>
      <x:c r="O475" s="99"/>
      <x:c r="P475" s="99"/>
      <x:c r="Q475" s="99"/>
      <x:c r="R475" s="99"/>
      <x:c r="S475" s="99"/>
      <x:c r="T475" s="99"/>
      <x:c r="U475" s="99"/>
      <x:c r="V475" s="99"/>
      <x:c r="W475" s="99"/>
      <x:c r="X475" s="99"/>
      <x:c r="Y475" s="99"/>
      <x:c r="Z475" s="99"/>
    </x:row>
    <x:row r="476">
      <x:c r="A476" s="99"/>
      <x:c r="B476" s="99"/>
      <x:c r="C476" s="99"/>
      <x:c r="D476" s="99"/>
      <x:c r="E476" s="99"/>
      <x:c r="F476" s="99"/>
      <x:c r="G476" s="99"/>
      <x:c r="H476" s="99"/>
      <x:c r="I476" s="99"/>
      <x:c r="J476" s="99"/>
      <x:c r="K476" s="99"/>
      <x:c r="L476" s="99"/>
      <x:c r="M476" s="99"/>
      <x:c r="N476" s="99"/>
      <x:c r="O476" s="99"/>
      <x:c r="P476" s="99"/>
      <x:c r="Q476" s="99"/>
      <x:c r="R476" s="99"/>
      <x:c r="S476" s="99"/>
      <x:c r="T476" s="99"/>
      <x:c r="U476" s="99"/>
      <x:c r="V476" s="99"/>
      <x:c r="W476" s="99"/>
      <x:c r="X476" s="99"/>
      <x:c r="Y476" s="99"/>
      <x:c r="Z476" s="99"/>
    </x:row>
    <x:row r="477">
      <x:c r="A477" s="99"/>
      <x:c r="B477" s="99"/>
      <x:c r="C477" s="99"/>
      <x:c r="D477" s="99"/>
      <x:c r="E477" s="99"/>
      <x:c r="F477" s="99"/>
      <x:c r="G477" s="99"/>
      <x:c r="H477" s="99"/>
      <x:c r="I477" s="99"/>
      <x:c r="J477" s="99"/>
      <x:c r="K477" s="99"/>
      <x:c r="L477" s="99"/>
      <x:c r="M477" s="99"/>
      <x:c r="N477" s="99"/>
      <x:c r="O477" s="99"/>
      <x:c r="P477" s="99"/>
      <x:c r="Q477" s="99"/>
      <x:c r="R477" s="99"/>
      <x:c r="S477" s="99"/>
      <x:c r="T477" s="99"/>
      <x:c r="U477" s="99"/>
      <x:c r="V477" s="99"/>
      <x:c r="W477" s="99"/>
      <x:c r="X477" s="99"/>
      <x:c r="Y477" s="99"/>
      <x:c r="Z477" s="99"/>
    </x:row>
    <x:row r="478">
      <x:c r="A478" s="99"/>
      <x:c r="B478" s="99"/>
      <x:c r="C478" s="99"/>
      <x:c r="D478" s="99"/>
      <x:c r="E478" s="99"/>
      <x:c r="F478" s="99"/>
      <x:c r="G478" s="99"/>
      <x:c r="H478" s="99"/>
      <x:c r="I478" s="99"/>
      <x:c r="J478" s="99"/>
      <x:c r="K478" s="99"/>
      <x:c r="L478" s="99"/>
      <x:c r="M478" s="99"/>
      <x:c r="N478" s="99"/>
      <x:c r="O478" s="99"/>
      <x:c r="P478" s="99"/>
      <x:c r="Q478" s="99"/>
      <x:c r="R478" s="99"/>
      <x:c r="S478" s="99"/>
      <x:c r="T478" s="99"/>
      <x:c r="U478" s="99"/>
      <x:c r="V478" s="99"/>
      <x:c r="W478" s="99"/>
      <x:c r="X478" s="99"/>
      <x:c r="Y478" s="99"/>
      <x:c r="Z478" s="99"/>
    </x:row>
    <x:row r="479">
      <x:c r="A479" s="99"/>
      <x:c r="B479" s="99"/>
      <x:c r="C479" s="99"/>
      <x:c r="D479" s="99"/>
      <x:c r="E479" s="99"/>
      <x:c r="F479" s="99"/>
      <x:c r="G479" s="99"/>
      <x:c r="H479" s="99"/>
      <x:c r="I479" s="99"/>
      <x:c r="J479" s="99"/>
      <x:c r="K479" s="99"/>
      <x:c r="L479" s="99"/>
      <x:c r="M479" s="99"/>
      <x:c r="N479" s="99"/>
      <x:c r="O479" s="99"/>
      <x:c r="P479" s="99"/>
      <x:c r="Q479" s="99"/>
      <x:c r="R479" s="99"/>
      <x:c r="S479" s="99"/>
      <x:c r="T479" s="99"/>
      <x:c r="U479" s="99"/>
      <x:c r="V479" s="99"/>
      <x:c r="W479" s="99"/>
      <x:c r="X479" s="99"/>
      <x:c r="Y479" s="99"/>
      <x:c r="Z479" s="99"/>
    </x:row>
    <x:row r="480">
      <x:c r="A480" s="99"/>
      <x:c r="B480" s="99"/>
      <x:c r="C480" s="99"/>
      <x:c r="D480" s="99"/>
      <x:c r="E480" s="99"/>
      <x:c r="F480" s="99"/>
      <x:c r="G480" s="99"/>
      <x:c r="H480" s="99"/>
      <x:c r="I480" s="99"/>
      <x:c r="J480" s="99"/>
      <x:c r="K480" s="99"/>
      <x:c r="L480" s="99"/>
      <x:c r="M480" s="99"/>
      <x:c r="N480" s="99"/>
      <x:c r="O480" s="99"/>
      <x:c r="P480" s="99"/>
      <x:c r="Q480" s="99"/>
      <x:c r="R480" s="99"/>
      <x:c r="S480" s="99"/>
      <x:c r="T480" s="99"/>
      <x:c r="U480" s="99"/>
      <x:c r="V480" s="99"/>
      <x:c r="W480" s="99"/>
      <x:c r="X480" s="99"/>
      <x:c r="Y480" s="99"/>
      <x:c r="Z480" s="99"/>
    </x:row>
    <x:row r="481">
      <x:c r="A481" s="99"/>
      <x:c r="B481" s="99"/>
      <x:c r="C481" s="99"/>
      <x:c r="D481" s="99"/>
      <x:c r="E481" s="99"/>
      <x:c r="F481" s="99"/>
      <x:c r="G481" s="99"/>
      <x:c r="H481" s="99"/>
      <x:c r="I481" s="99"/>
      <x:c r="J481" s="99"/>
      <x:c r="K481" s="99"/>
      <x:c r="L481" s="99"/>
      <x:c r="M481" s="99"/>
      <x:c r="N481" s="99"/>
      <x:c r="O481" s="99"/>
      <x:c r="P481" s="99"/>
      <x:c r="Q481" s="99"/>
      <x:c r="R481" s="99"/>
      <x:c r="S481" s="99"/>
      <x:c r="T481" s="99"/>
      <x:c r="U481" s="99"/>
      <x:c r="V481" s="99"/>
      <x:c r="W481" s="99"/>
      <x:c r="X481" s="99"/>
      <x:c r="Y481" s="99"/>
      <x:c r="Z481" s="99"/>
    </x:row>
    <x:row r="482">
      <x:c r="A482" s="99"/>
      <x:c r="B482" s="99"/>
      <x:c r="C482" s="99"/>
      <x:c r="D482" s="99"/>
      <x:c r="E482" s="99"/>
      <x:c r="F482" s="99"/>
      <x:c r="G482" s="99"/>
      <x:c r="H482" s="99"/>
      <x:c r="I482" s="99"/>
      <x:c r="J482" s="99"/>
      <x:c r="K482" s="99"/>
      <x:c r="L482" s="99"/>
      <x:c r="M482" s="99"/>
      <x:c r="N482" s="99"/>
      <x:c r="O482" s="99"/>
      <x:c r="P482" s="99"/>
      <x:c r="Q482" s="99"/>
      <x:c r="R482" s="99"/>
      <x:c r="S482" s="99"/>
      <x:c r="T482" s="99"/>
      <x:c r="U482" s="99"/>
      <x:c r="V482" s="99"/>
      <x:c r="W482" s="99"/>
      <x:c r="X482" s="99"/>
      <x:c r="Y482" s="99"/>
      <x:c r="Z482" s="99"/>
    </x:row>
    <x:row r="483">
      <x:c r="A483" s="99"/>
      <x:c r="B483" s="99"/>
      <x:c r="C483" s="99"/>
      <x:c r="D483" s="99"/>
      <x:c r="E483" s="99"/>
      <x:c r="F483" s="99"/>
      <x:c r="G483" s="99"/>
      <x:c r="H483" s="99"/>
      <x:c r="I483" s="99"/>
      <x:c r="J483" s="99"/>
      <x:c r="K483" s="99"/>
      <x:c r="L483" s="99"/>
      <x:c r="M483" s="99"/>
      <x:c r="N483" s="99"/>
      <x:c r="O483" s="99"/>
      <x:c r="P483" s="99"/>
      <x:c r="Q483" s="99"/>
      <x:c r="R483" s="99"/>
      <x:c r="S483" s="99"/>
      <x:c r="T483" s="99"/>
      <x:c r="U483" s="99"/>
      <x:c r="V483" s="99"/>
      <x:c r="W483" s="99"/>
      <x:c r="X483" s="99"/>
      <x:c r="Y483" s="99"/>
      <x:c r="Z483" s="99"/>
    </x:row>
    <x:row r="484">
      <x:c r="A484" s="99"/>
      <x:c r="B484" s="99"/>
      <x:c r="C484" s="99"/>
      <x:c r="D484" s="99"/>
      <x:c r="E484" s="99"/>
      <x:c r="F484" s="99"/>
      <x:c r="G484" s="99"/>
      <x:c r="H484" s="99"/>
      <x:c r="I484" s="99"/>
      <x:c r="J484" s="99"/>
      <x:c r="K484" s="99"/>
      <x:c r="L484" s="99"/>
      <x:c r="M484" s="99"/>
      <x:c r="N484" s="99"/>
      <x:c r="O484" s="99"/>
      <x:c r="P484" s="99"/>
      <x:c r="Q484" s="99"/>
      <x:c r="R484" s="99"/>
      <x:c r="S484" s="99"/>
      <x:c r="T484" s="99"/>
      <x:c r="U484" s="99"/>
      <x:c r="V484" s="99"/>
      <x:c r="W484" s="99"/>
      <x:c r="X484" s="99"/>
      <x:c r="Y484" s="99"/>
      <x:c r="Z484" s="99"/>
    </x:row>
    <x:row r="485">
      <x:c r="A485" s="99"/>
      <x:c r="B485" s="99"/>
      <x:c r="C485" s="99"/>
      <x:c r="D485" s="99"/>
      <x:c r="E485" s="99"/>
      <x:c r="F485" s="99"/>
      <x:c r="G485" s="99"/>
      <x:c r="H485" s="99"/>
      <x:c r="I485" s="99"/>
      <x:c r="J485" s="99"/>
      <x:c r="K485" s="99"/>
      <x:c r="L485" s="99"/>
      <x:c r="M485" s="99"/>
      <x:c r="N485" s="99"/>
      <x:c r="O485" s="99"/>
      <x:c r="P485" s="99"/>
      <x:c r="Q485" s="99"/>
      <x:c r="R485" s="99"/>
      <x:c r="S485" s="99"/>
      <x:c r="T485" s="99"/>
      <x:c r="U485" s="99"/>
      <x:c r="V485" s="99"/>
      <x:c r="W485" s="99"/>
      <x:c r="X485" s="99"/>
      <x:c r="Y485" s="99"/>
      <x:c r="Z485" s="99"/>
    </x:row>
    <x:row r="486">
      <x:c r="A486" s="99"/>
      <x:c r="B486" s="99"/>
      <x:c r="C486" s="99"/>
      <x:c r="D486" s="99"/>
      <x:c r="E486" s="99"/>
      <x:c r="F486" s="99"/>
      <x:c r="G486" s="99"/>
      <x:c r="H486" s="99"/>
      <x:c r="I486" s="99"/>
      <x:c r="J486" s="99"/>
      <x:c r="K486" s="99"/>
      <x:c r="L486" s="99"/>
      <x:c r="M486" s="99"/>
      <x:c r="N486" s="99"/>
      <x:c r="O486" s="99"/>
      <x:c r="P486" s="99"/>
      <x:c r="Q486" s="99"/>
      <x:c r="R486" s="99"/>
      <x:c r="S486" s="99"/>
      <x:c r="T486" s="99"/>
      <x:c r="U486" s="99"/>
      <x:c r="V486" s="99"/>
      <x:c r="W486" s="99"/>
      <x:c r="X486" s="99"/>
      <x:c r="Y486" s="99"/>
      <x:c r="Z486" s="99"/>
    </x:row>
    <x:row r="487">
      <x:c r="A487" s="99"/>
      <x:c r="B487" s="99"/>
      <x:c r="C487" s="99"/>
      <x:c r="D487" s="99"/>
      <x:c r="E487" s="99"/>
      <x:c r="F487" s="99"/>
      <x:c r="G487" s="99"/>
      <x:c r="H487" s="99"/>
      <x:c r="I487" s="99"/>
      <x:c r="J487" s="99"/>
      <x:c r="K487" s="99"/>
      <x:c r="L487" s="99"/>
      <x:c r="M487" s="99"/>
      <x:c r="N487" s="99"/>
      <x:c r="O487" s="99"/>
      <x:c r="P487" s="99"/>
      <x:c r="Q487" s="99"/>
      <x:c r="R487" s="99"/>
      <x:c r="S487" s="99"/>
      <x:c r="T487" s="99"/>
      <x:c r="U487" s="99"/>
      <x:c r="V487" s="99"/>
      <x:c r="W487" s="99"/>
      <x:c r="X487" s="99"/>
      <x:c r="Y487" s="99"/>
      <x:c r="Z487" s="99"/>
    </x:row>
    <x:row r="488">
      <x:c r="A488" s="99"/>
      <x:c r="B488" s="99"/>
      <x:c r="C488" s="99"/>
      <x:c r="D488" s="99"/>
      <x:c r="E488" s="99"/>
      <x:c r="F488" s="99"/>
      <x:c r="G488" s="99"/>
      <x:c r="H488" s="99"/>
      <x:c r="I488" s="99"/>
      <x:c r="J488" s="99"/>
      <x:c r="K488" s="99"/>
      <x:c r="L488" s="99"/>
      <x:c r="M488" s="99"/>
      <x:c r="N488" s="99"/>
      <x:c r="O488" s="99"/>
      <x:c r="P488" s="99"/>
      <x:c r="Q488" s="99"/>
      <x:c r="R488" s="99"/>
      <x:c r="S488" s="99"/>
      <x:c r="T488" s="99"/>
      <x:c r="U488" s="99"/>
      <x:c r="V488" s="99"/>
      <x:c r="W488" s="99"/>
      <x:c r="X488" s="99"/>
      <x:c r="Y488" s="99"/>
      <x:c r="Z488" s="99"/>
    </x:row>
    <x:row r="489">
      <x:c r="A489" s="99"/>
      <x:c r="B489" s="99"/>
      <x:c r="C489" s="99"/>
      <x:c r="D489" s="99"/>
      <x:c r="E489" s="99"/>
      <x:c r="F489" s="99"/>
      <x:c r="G489" s="99"/>
      <x:c r="H489" s="99"/>
      <x:c r="I489" s="99"/>
      <x:c r="J489" s="99"/>
      <x:c r="K489" s="99"/>
      <x:c r="L489" s="99"/>
      <x:c r="M489" s="99"/>
      <x:c r="N489" s="99"/>
      <x:c r="O489" s="99"/>
      <x:c r="P489" s="99"/>
      <x:c r="Q489" s="99"/>
      <x:c r="R489" s="99"/>
      <x:c r="S489" s="99"/>
      <x:c r="T489" s="99"/>
      <x:c r="U489" s="99"/>
      <x:c r="V489" s="99"/>
      <x:c r="W489" s="99"/>
      <x:c r="X489" s="99"/>
      <x:c r="Y489" s="99"/>
      <x:c r="Z489" s="99"/>
    </x:row>
    <x:row r="490">
      <x:c r="A490" s="99"/>
      <x:c r="B490" s="99"/>
      <x:c r="C490" s="99"/>
      <x:c r="D490" s="99"/>
      <x:c r="E490" s="99"/>
      <x:c r="F490" s="99"/>
      <x:c r="G490" s="99"/>
      <x:c r="H490" s="99"/>
      <x:c r="I490" s="99"/>
      <x:c r="J490" s="99"/>
      <x:c r="K490" s="99"/>
      <x:c r="L490" s="99"/>
      <x:c r="M490" s="99"/>
      <x:c r="N490" s="99"/>
      <x:c r="O490" s="99"/>
      <x:c r="P490" s="99"/>
      <x:c r="Q490" s="99"/>
      <x:c r="R490" s="99"/>
      <x:c r="S490" s="99"/>
      <x:c r="T490" s="99"/>
      <x:c r="U490" s="99"/>
      <x:c r="V490" s="99"/>
      <x:c r="W490" s="99"/>
      <x:c r="X490" s="99"/>
      <x:c r="Y490" s="99"/>
      <x:c r="Z490" s="99"/>
    </x:row>
    <x:row r="491">
      <x:c r="A491" s="99"/>
      <x:c r="B491" s="99"/>
      <x:c r="C491" s="99"/>
      <x:c r="D491" s="99"/>
      <x:c r="E491" s="99"/>
      <x:c r="F491" s="99"/>
      <x:c r="G491" s="99"/>
      <x:c r="H491" s="99"/>
      <x:c r="I491" s="99"/>
      <x:c r="J491" s="99"/>
      <x:c r="K491" s="99"/>
      <x:c r="L491" s="99"/>
      <x:c r="M491" s="99"/>
      <x:c r="N491" s="99"/>
      <x:c r="O491" s="99"/>
      <x:c r="P491" s="99"/>
      <x:c r="Q491" s="99"/>
      <x:c r="R491" s="99"/>
      <x:c r="S491" s="99"/>
      <x:c r="T491" s="99"/>
      <x:c r="U491" s="99"/>
      <x:c r="V491" s="99"/>
      <x:c r="W491" s="99"/>
      <x:c r="X491" s="99"/>
      <x:c r="Y491" s="99"/>
      <x:c r="Z491" s="99"/>
    </x:row>
    <x:row r="492">
      <x:c r="A492" s="99"/>
      <x:c r="B492" s="99"/>
      <x:c r="C492" s="99"/>
      <x:c r="D492" s="99"/>
      <x:c r="E492" s="99"/>
      <x:c r="F492" s="99"/>
      <x:c r="G492" s="99"/>
      <x:c r="H492" s="99"/>
      <x:c r="I492" s="99"/>
      <x:c r="J492" s="99"/>
      <x:c r="K492" s="99"/>
      <x:c r="L492" s="99"/>
      <x:c r="M492" s="99"/>
      <x:c r="N492" s="99"/>
      <x:c r="O492" s="99"/>
      <x:c r="P492" s="99"/>
      <x:c r="Q492" s="99"/>
      <x:c r="R492" s="99"/>
      <x:c r="S492" s="99"/>
      <x:c r="T492" s="99"/>
      <x:c r="U492" s="99"/>
      <x:c r="V492" s="99"/>
      <x:c r="W492" s="99"/>
      <x:c r="X492" s="99"/>
      <x:c r="Y492" s="99"/>
      <x:c r="Z492" s="99"/>
    </x:row>
    <x:row r="493">
      <x:c r="A493" s="99"/>
      <x:c r="B493" s="99"/>
      <x:c r="C493" s="99"/>
      <x:c r="D493" s="99"/>
      <x:c r="E493" s="99"/>
      <x:c r="F493" s="99"/>
      <x:c r="G493" s="99"/>
      <x:c r="H493" s="99"/>
      <x:c r="I493" s="99"/>
      <x:c r="J493" s="99"/>
      <x:c r="K493" s="99"/>
      <x:c r="L493" s="99"/>
      <x:c r="M493" s="99"/>
      <x:c r="N493" s="99"/>
      <x:c r="O493" s="99"/>
      <x:c r="P493" s="99"/>
      <x:c r="Q493" s="99"/>
      <x:c r="R493" s="99"/>
      <x:c r="S493" s="99"/>
      <x:c r="T493" s="99"/>
      <x:c r="U493" s="99"/>
      <x:c r="V493" s="99"/>
      <x:c r="W493" s="99"/>
      <x:c r="X493" s="99"/>
      <x:c r="Y493" s="99"/>
      <x:c r="Z493" s="99"/>
    </x:row>
    <x:row r="494">
      <x:c r="A494" s="99"/>
      <x:c r="B494" s="99"/>
      <x:c r="C494" s="99"/>
      <x:c r="D494" s="99"/>
      <x:c r="E494" s="99"/>
      <x:c r="F494" s="99"/>
      <x:c r="G494" s="99"/>
      <x:c r="H494" s="99"/>
      <x:c r="I494" s="99"/>
      <x:c r="J494" s="99"/>
      <x:c r="K494" s="99"/>
      <x:c r="L494" s="99"/>
      <x:c r="M494" s="99"/>
      <x:c r="N494" s="99"/>
      <x:c r="O494" s="99"/>
      <x:c r="P494" s="99"/>
      <x:c r="Q494" s="99"/>
      <x:c r="R494" s="99"/>
      <x:c r="S494" s="99"/>
      <x:c r="T494" s="99"/>
      <x:c r="U494" s="99"/>
      <x:c r="V494" s="99"/>
      <x:c r="W494" s="99"/>
      <x:c r="X494" s="99"/>
      <x:c r="Y494" s="99"/>
      <x:c r="Z494" s="99"/>
    </x:row>
    <x:row r="495">
      <x:c r="A495" s="99"/>
      <x:c r="B495" s="99"/>
      <x:c r="C495" s="99"/>
      <x:c r="D495" s="99"/>
      <x:c r="E495" s="99"/>
      <x:c r="F495" s="99"/>
      <x:c r="G495" s="99"/>
      <x:c r="H495" s="99"/>
      <x:c r="I495" s="99"/>
      <x:c r="J495" s="99"/>
      <x:c r="K495" s="99"/>
      <x:c r="L495" s="99"/>
      <x:c r="M495" s="99"/>
      <x:c r="N495" s="99"/>
      <x:c r="O495" s="99"/>
      <x:c r="P495" s="99"/>
      <x:c r="Q495" s="99"/>
      <x:c r="R495" s="99"/>
      <x:c r="S495" s="99"/>
      <x:c r="T495" s="99"/>
      <x:c r="U495" s="99"/>
      <x:c r="V495" s="99"/>
      <x:c r="W495" s="99"/>
      <x:c r="X495" s="99"/>
      <x:c r="Y495" s="99"/>
      <x:c r="Z495" s="99"/>
    </x:row>
    <x:row r="496">
      <x:c r="A496" s="99"/>
      <x:c r="B496" s="99"/>
      <x:c r="C496" s="99"/>
      <x:c r="D496" s="99"/>
      <x:c r="E496" s="99"/>
      <x:c r="F496" s="99"/>
      <x:c r="G496" s="99"/>
      <x:c r="H496" s="99"/>
      <x:c r="I496" s="99"/>
      <x:c r="J496" s="99"/>
      <x:c r="K496" s="99"/>
      <x:c r="L496" s="99"/>
      <x:c r="M496" s="99"/>
      <x:c r="N496" s="99"/>
      <x:c r="O496" s="99"/>
      <x:c r="P496" s="99"/>
      <x:c r="Q496" s="99"/>
      <x:c r="R496" s="99"/>
      <x:c r="S496" s="99"/>
      <x:c r="T496" s="99"/>
      <x:c r="U496" s="99"/>
      <x:c r="V496" s="99"/>
      <x:c r="W496" s="99"/>
      <x:c r="X496" s="99"/>
      <x:c r="Y496" s="99"/>
      <x:c r="Z496" s="99"/>
    </x:row>
    <x:row r="497">
      <x:c r="A497" s="99"/>
      <x:c r="B497" s="99"/>
      <x:c r="C497" s="99"/>
      <x:c r="D497" s="99"/>
      <x:c r="E497" s="99"/>
      <x:c r="F497" s="99"/>
      <x:c r="G497" s="99"/>
      <x:c r="H497" s="99"/>
      <x:c r="I497" s="99"/>
      <x:c r="J497" s="99"/>
      <x:c r="K497" s="99"/>
      <x:c r="L497" s="99"/>
      <x:c r="M497" s="99"/>
      <x:c r="N497" s="99"/>
      <x:c r="O497" s="99"/>
      <x:c r="P497" s="99"/>
      <x:c r="Q497" s="99"/>
      <x:c r="R497" s="99"/>
      <x:c r="S497" s="99"/>
      <x:c r="T497" s="99"/>
      <x:c r="U497" s="99"/>
      <x:c r="V497" s="99"/>
      <x:c r="W497" s="99"/>
      <x:c r="X497" s="99"/>
      <x:c r="Y497" s="99"/>
      <x:c r="Z497" s="99"/>
    </x:row>
    <x:row r="498">
      <x:c r="A498" s="99"/>
      <x:c r="B498" s="99"/>
      <x:c r="C498" s="99"/>
      <x:c r="D498" s="99"/>
      <x:c r="E498" s="99"/>
      <x:c r="F498" s="99"/>
      <x:c r="G498" s="99"/>
      <x:c r="H498" s="99"/>
      <x:c r="I498" s="99"/>
      <x:c r="J498" s="99"/>
      <x:c r="K498" s="99"/>
      <x:c r="L498" s="99"/>
      <x:c r="M498" s="99"/>
      <x:c r="N498" s="99"/>
      <x:c r="O498" s="99"/>
      <x:c r="P498" s="99"/>
      <x:c r="Q498" s="99"/>
      <x:c r="R498" s="99"/>
      <x:c r="S498" s="99"/>
      <x:c r="T498" s="99"/>
      <x:c r="U498" s="99"/>
      <x:c r="V498" s="99"/>
      <x:c r="W498" s="99"/>
      <x:c r="X498" s="99"/>
      <x:c r="Y498" s="99"/>
      <x:c r="Z498" s="99"/>
    </x:row>
    <x:row r="499">
      <x:c r="A499" s="99"/>
      <x:c r="B499" s="99"/>
      <x:c r="C499" s="99"/>
      <x:c r="D499" s="99"/>
      <x:c r="E499" s="99"/>
      <x:c r="F499" s="99"/>
      <x:c r="G499" s="99"/>
      <x:c r="H499" s="99"/>
      <x:c r="I499" s="99"/>
      <x:c r="J499" s="99"/>
      <x:c r="K499" s="99"/>
      <x:c r="L499" s="99"/>
      <x:c r="M499" s="99"/>
      <x:c r="N499" s="99"/>
      <x:c r="O499" s="99"/>
      <x:c r="P499" s="99"/>
      <x:c r="Q499" s="99"/>
      <x:c r="R499" s="99"/>
      <x:c r="S499" s="99"/>
      <x:c r="T499" s="99"/>
      <x:c r="U499" s="99"/>
      <x:c r="V499" s="99"/>
      <x:c r="W499" s="99"/>
      <x:c r="X499" s="99"/>
      <x:c r="Y499" s="99"/>
      <x:c r="Z499" s="99"/>
    </x:row>
    <x:row r="500">
      <x:c r="A500" s="99"/>
      <x:c r="B500" s="99"/>
      <x:c r="C500" s="99"/>
      <x:c r="D500" s="99"/>
      <x:c r="E500" s="99"/>
      <x:c r="F500" s="99"/>
      <x:c r="G500" s="99"/>
      <x:c r="H500" s="99"/>
      <x:c r="I500" s="99"/>
      <x:c r="J500" s="99"/>
      <x:c r="K500" s="99"/>
      <x:c r="L500" s="99"/>
      <x:c r="M500" s="99"/>
      <x:c r="N500" s="99"/>
      <x:c r="O500" s="99"/>
      <x:c r="P500" s="99"/>
      <x:c r="Q500" s="99"/>
      <x:c r="R500" s="99"/>
      <x:c r="S500" s="99"/>
      <x:c r="T500" s="99"/>
      <x:c r="U500" s="99"/>
      <x:c r="V500" s="99"/>
      <x:c r="W500" s="99"/>
      <x:c r="X500" s="99"/>
      <x:c r="Y500" s="99"/>
      <x:c r="Z500" s="99"/>
    </x:row>
    <x:row r="501">
      <x:c r="A501" s="99"/>
      <x:c r="B501" s="99"/>
      <x:c r="C501" s="99"/>
      <x:c r="D501" s="99"/>
      <x:c r="E501" s="99"/>
      <x:c r="F501" s="99"/>
      <x:c r="G501" s="99"/>
      <x:c r="H501" s="99"/>
      <x:c r="I501" s="99"/>
      <x:c r="J501" s="99"/>
      <x:c r="K501" s="99"/>
      <x:c r="L501" s="99"/>
      <x:c r="M501" s="99"/>
      <x:c r="N501" s="99"/>
      <x:c r="O501" s="99"/>
      <x:c r="P501" s="99"/>
      <x:c r="Q501" s="99"/>
      <x:c r="R501" s="99"/>
      <x:c r="S501" s="99"/>
      <x:c r="T501" s="99"/>
      <x:c r="U501" s="99"/>
      <x:c r="V501" s="99"/>
      <x:c r="W501" s="99"/>
      <x:c r="X501" s="99"/>
      <x:c r="Y501" s="99"/>
      <x:c r="Z501" s="99"/>
    </x:row>
    <x:row r="502">
      <x:c r="A502" s="99"/>
      <x:c r="B502" s="99"/>
      <x:c r="C502" s="99"/>
      <x:c r="D502" s="99"/>
      <x:c r="E502" s="99"/>
      <x:c r="F502" s="99"/>
      <x:c r="G502" s="99"/>
      <x:c r="H502" s="99"/>
      <x:c r="I502" s="99"/>
      <x:c r="J502" s="99"/>
      <x:c r="K502" s="99"/>
      <x:c r="L502" s="99"/>
      <x:c r="M502" s="99"/>
      <x:c r="N502" s="99"/>
      <x:c r="O502" s="99"/>
      <x:c r="P502" s="99"/>
      <x:c r="Q502" s="99"/>
      <x:c r="R502" s="99"/>
      <x:c r="S502" s="99"/>
      <x:c r="T502" s="99"/>
      <x:c r="U502" s="99"/>
      <x:c r="V502" s="99"/>
      <x:c r="W502" s="99"/>
      <x:c r="X502" s="99"/>
      <x:c r="Y502" s="99"/>
      <x:c r="Z502" s="99"/>
    </x:row>
    <x:row r="503">
      <x:c r="A503" s="99"/>
      <x:c r="B503" s="99"/>
      <x:c r="C503" s="99"/>
      <x:c r="D503" s="99"/>
      <x:c r="E503" s="99"/>
      <x:c r="F503" s="99"/>
      <x:c r="G503" s="99"/>
      <x:c r="H503" s="99"/>
      <x:c r="I503" s="99"/>
      <x:c r="J503" s="99"/>
      <x:c r="K503" s="99"/>
      <x:c r="L503" s="99"/>
      <x:c r="M503" s="99"/>
      <x:c r="N503" s="99"/>
      <x:c r="O503" s="99"/>
      <x:c r="P503" s="99"/>
      <x:c r="Q503" s="99"/>
      <x:c r="R503" s="99"/>
      <x:c r="S503" s="99"/>
      <x:c r="T503" s="99"/>
      <x:c r="U503" s="99"/>
      <x:c r="V503" s="99"/>
      <x:c r="W503" s="99"/>
      <x:c r="X503" s="99"/>
      <x:c r="Y503" s="99"/>
      <x:c r="Z503" s="99"/>
    </x:row>
    <x:row r="504">
      <x:c r="A504" s="99"/>
      <x:c r="B504" s="99"/>
      <x:c r="C504" s="99"/>
      <x:c r="D504" s="99"/>
      <x:c r="E504" s="99"/>
      <x:c r="F504" s="99"/>
      <x:c r="G504" s="99"/>
      <x:c r="H504" s="99"/>
      <x:c r="I504" s="99"/>
      <x:c r="J504" s="99"/>
      <x:c r="K504" s="99"/>
      <x:c r="L504" s="99"/>
      <x:c r="M504" s="99"/>
      <x:c r="N504" s="99"/>
      <x:c r="O504" s="99"/>
      <x:c r="P504" s="99"/>
      <x:c r="Q504" s="99"/>
      <x:c r="R504" s="99"/>
      <x:c r="S504" s="99"/>
      <x:c r="T504" s="99"/>
      <x:c r="U504" s="99"/>
      <x:c r="V504" s="99"/>
      <x:c r="W504" s="99"/>
      <x:c r="X504" s="99"/>
      <x:c r="Y504" s="99"/>
      <x:c r="Z504" s="99"/>
    </x:row>
    <x:row r="505">
      <x:c r="A505" s="99"/>
      <x:c r="B505" s="99"/>
      <x:c r="C505" s="99"/>
      <x:c r="D505" s="99"/>
      <x:c r="E505" s="99"/>
      <x:c r="F505" s="99"/>
      <x:c r="G505" s="99"/>
      <x:c r="H505" s="99"/>
      <x:c r="I505" s="99"/>
      <x:c r="J505" s="99"/>
      <x:c r="K505" s="99"/>
      <x:c r="L505" s="99"/>
      <x:c r="M505" s="99"/>
      <x:c r="N505" s="99"/>
      <x:c r="O505" s="99"/>
      <x:c r="P505" s="99"/>
      <x:c r="Q505" s="99"/>
      <x:c r="R505" s="99"/>
      <x:c r="S505" s="99"/>
      <x:c r="T505" s="99"/>
      <x:c r="U505" s="99"/>
      <x:c r="V505" s="99"/>
      <x:c r="W505" s="99"/>
      <x:c r="X505" s="99"/>
      <x:c r="Y505" s="99"/>
      <x:c r="Z505" s="99"/>
    </x:row>
    <x:row r="506">
      <x:c r="A506" s="99"/>
      <x:c r="B506" s="99"/>
      <x:c r="C506" s="99"/>
      <x:c r="D506" s="99"/>
      <x:c r="E506" s="99"/>
      <x:c r="F506" s="99"/>
      <x:c r="G506" s="99"/>
      <x:c r="H506" s="99"/>
      <x:c r="I506" s="99"/>
      <x:c r="J506" s="99"/>
      <x:c r="K506" s="99"/>
      <x:c r="L506" s="99"/>
      <x:c r="M506" s="99"/>
      <x:c r="N506" s="99"/>
      <x:c r="O506" s="99"/>
      <x:c r="P506" s="99"/>
      <x:c r="Q506" s="99"/>
      <x:c r="R506" s="99"/>
      <x:c r="S506" s="99"/>
      <x:c r="T506" s="99"/>
      <x:c r="U506" s="99"/>
      <x:c r="V506" s="99"/>
      <x:c r="W506" s="99"/>
      <x:c r="X506" s="99"/>
      <x:c r="Y506" s="99"/>
      <x:c r="Z506" s="99"/>
    </x:row>
    <x:row r="507">
      <x:c r="A507" s="99"/>
      <x:c r="B507" s="99"/>
      <x:c r="C507" s="99"/>
      <x:c r="D507" s="99"/>
      <x:c r="E507" s="99"/>
      <x:c r="F507" s="99"/>
      <x:c r="G507" s="99"/>
      <x:c r="H507" s="99"/>
      <x:c r="I507" s="99"/>
      <x:c r="J507" s="99"/>
      <x:c r="K507" s="99"/>
      <x:c r="L507" s="99"/>
      <x:c r="M507" s="99"/>
      <x:c r="N507" s="99"/>
      <x:c r="O507" s="99"/>
      <x:c r="P507" s="99"/>
      <x:c r="Q507" s="99"/>
      <x:c r="R507" s="99"/>
      <x:c r="S507" s="99"/>
      <x:c r="T507" s="99"/>
      <x:c r="U507" s="99"/>
      <x:c r="V507" s="99"/>
      <x:c r="W507" s="99"/>
      <x:c r="X507" s="99"/>
      <x:c r="Y507" s="99"/>
      <x:c r="Z507" s="99"/>
    </x:row>
    <x:row r="508">
      <x:c r="A508" s="99"/>
      <x:c r="B508" s="99"/>
      <x:c r="C508" s="99"/>
      <x:c r="D508" s="99"/>
      <x:c r="E508" s="99"/>
      <x:c r="F508" s="99"/>
      <x:c r="G508" s="99"/>
      <x:c r="H508" s="99"/>
      <x:c r="I508" s="99"/>
      <x:c r="J508" s="99"/>
      <x:c r="K508" s="99"/>
      <x:c r="L508" s="99"/>
      <x:c r="M508" s="99"/>
      <x:c r="N508" s="99"/>
      <x:c r="O508" s="99"/>
      <x:c r="P508" s="99"/>
      <x:c r="Q508" s="99"/>
      <x:c r="R508" s="99"/>
      <x:c r="S508" s="99"/>
      <x:c r="T508" s="99"/>
      <x:c r="U508" s="99"/>
      <x:c r="V508" s="99"/>
      <x:c r="W508" s="99"/>
      <x:c r="X508" s="99"/>
      <x:c r="Y508" s="99"/>
      <x:c r="Z508" s="99"/>
    </x:row>
    <x:row r="509">
      <x:c r="A509" s="99"/>
      <x:c r="B509" s="99"/>
      <x:c r="C509" s="99"/>
      <x:c r="D509" s="99"/>
      <x:c r="E509" s="99"/>
      <x:c r="F509" s="99"/>
      <x:c r="G509" s="99"/>
      <x:c r="H509" s="99"/>
      <x:c r="I509" s="99"/>
      <x:c r="J509" s="99"/>
      <x:c r="K509" s="99"/>
      <x:c r="L509" s="99"/>
      <x:c r="M509" s="99"/>
      <x:c r="N509" s="99"/>
      <x:c r="O509" s="99"/>
      <x:c r="P509" s="99"/>
      <x:c r="Q509" s="99"/>
      <x:c r="R509" s="99"/>
      <x:c r="S509" s="99"/>
      <x:c r="T509" s="99"/>
      <x:c r="U509" s="99"/>
      <x:c r="V509" s="99"/>
      <x:c r="W509" s="99"/>
      <x:c r="X509" s="99"/>
      <x:c r="Y509" s="99"/>
      <x:c r="Z509" s="99"/>
    </x:row>
    <x:row r="510">
      <x:c r="A510" s="99"/>
      <x:c r="B510" s="99"/>
      <x:c r="C510" s="99"/>
      <x:c r="D510" s="99"/>
      <x:c r="E510" s="99"/>
      <x:c r="F510" s="99"/>
      <x:c r="G510" s="99"/>
      <x:c r="H510" s="99"/>
      <x:c r="I510" s="99"/>
      <x:c r="J510" s="99"/>
      <x:c r="K510" s="99"/>
      <x:c r="L510" s="99"/>
      <x:c r="M510" s="99"/>
      <x:c r="N510" s="99"/>
      <x:c r="O510" s="99"/>
      <x:c r="P510" s="99"/>
      <x:c r="Q510" s="99"/>
      <x:c r="R510" s="99"/>
      <x:c r="S510" s="99"/>
      <x:c r="T510" s="99"/>
      <x:c r="U510" s="99"/>
      <x:c r="V510" s="99"/>
      <x:c r="W510" s="99"/>
      <x:c r="X510" s="99"/>
      <x:c r="Y510" s="99"/>
      <x:c r="Z510" s="99"/>
    </x:row>
    <x:row r="511">
      <x:c r="A511" s="99"/>
      <x:c r="B511" s="99"/>
      <x:c r="C511" s="99"/>
      <x:c r="D511" s="99"/>
      <x:c r="E511" s="99"/>
      <x:c r="F511" s="99"/>
      <x:c r="G511" s="99"/>
      <x:c r="H511" s="99"/>
      <x:c r="I511" s="99"/>
      <x:c r="J511" s="99"/>
      <x:c r="K511" s="99"/>
      <x:c r="L511" s="99"/>
      <x:c r="M511" s="99"/>
      <x:c r="N511" s="99"/>
      <x:c r="O511" s="99"/>
      <x:c r="P511" s="99"/>
      <x:c r="Q511" s="99"/>
      <x:c r="R511" s="99"/>
      <x:c r="S511" s="99"/>
      <x:c r="T511" s="99"/>
      <x:c r="U511" s="99"/>
      <x:c r="V511" s="99"/>
      <x:c r="W511" s="99"/>
      <x:c r="X511" s="99"/>
      <x:c r="Y511" s="99"/>
      <x:c r="Z511" s="99"/>
    </x:row>
    <x:row r="512">
      <x:c r="A512" s="99"/>
      <x:c r="B512" s="99"/>
      <x:c r="C512" s="99"/>
      <x:c r="D512" s="99"/>
      <x:c r="E512" s="99"/>
      <x:c r="F512" s="99"/>
      <x:c r="G512" s="99"/>
      <x:c r="H512" s="99"/>
      <x:c r="I512" s="99"/>
      <x:c r="J512" s="99"/>
      <x:c r="K512" s="99"/>
      <x:c r="L512" s="99"/>
      <x:c r="M512" s="99"/>
      <x:c r="N512" s="99"/>
      <x:c r="O512" s="99"/>
      <x:c r="P512" s="99"/>
      <x:c r="Q512" s="99"/>
      <x:c r="R512" s="99"/>
      <x:c r="S512" s="99"/>
      <x:c r="T512" s="99"/>
      <x:c r="U512" s="99"/>
      <x:c r="V512" s="99"/>
      <x:c r="W512" s="99"/>
      <x:c r="X512" s="99"/>
      <x:c r="Y512" s="99"/>
      <x:c r="Z512" s="99"/>
    </x:row>
    <x:row r="513">
      <x:c r="A513" s="99"/>
      <x:c r="B513" s="99"/>
      <x:c r="C513" s="99"/>
      <x:c r="D513" s="99"/>
      <x:c r="E513" s="99"/>
      <x:c r="F513" s="99"/>
      <x:c r="G513" s="99"/>
      <x:c r="H513" s="99"/>
      <x:c r="I513" s="99"/>
      <x:c r="J513" s="99"/>
      <x:c r="K513" s="99"/>
      <x:c r="L513" s="99"/>
      <x:c r="M513" s="99"/>
      <x:c r="N513" s="99"/>
      <x:c r="O513" s="99"/>
      <x:c r="P513" s="99"/>
      <x:c r="Q513" s="99"/>
      <x:c r="R513" s="99"/>
      <x:c r="S513" s="99"/>
      <x:c r="T513" s="99"/>
      <x:c r="U513" s="99"/>
      <x:c r="V513" s="99"/>
      <x:c r="W513" s="99"/>
      <x:c r="X513" s="99"/>
      <x:c r="Y513" s="99"/>
      <x:c r="Z513" s="99"/>
    </x:row>
    <x:row r="514">
      <x:c r="A514" s="99"/>
      <x:c r="B514" s="99"/>
      <x:c r="C514" s="99"/>
      <x:c r="D514" s="99"/>
      <x:c r="E514" s="99"/>
      <x:c r="F514" s="99"/>
      <x:c r="G514" s="99"/>
      <x:c r="H514" s="99"/>
      <x:c r="I514" s="99"/>
      <x:c r="J514" s="99"/>
      <x:c r="K514" s="99"/>
      <x:c r="L514" s="99"/>
      <x:c r="M514" s="99"/>
      <x:c r="N514" s="99"/>
      <x:c r="O514" s="99"/>
      <x:c r="P514" s="99"/>
      <x:c r="Q514" s="99"/>
      <x:c r="R514" s="99"/>
      <x:c r="S514" s="99"/>
      <x:c r="T514" s="99"/>
      <x:c r="U514" s="99"/>
      <x:c r="V514" s="99"/>
      <x:c r="W514" s="99"/>
      <x:c r="X514" s="99"/>
      <x:c r="Y514" s="99"/>
      <x:c r="Z514" s="99"/>
    </x:row>
    <x:row r="515">
      <x:c r="A515" s="99"/>
      <x:c r="B515" s="99"/>
      <x:c r="C515" s="99"/>
      <x:c r="D515" s="99"/>
      <x:c r="E515" s="99"/>
      <x:c r="F515" s="99"/>
      <x:c r="G515" s="99"/>
      <x:c r="H515" s="99"/>
      <x:c r="I515" s="99"/>
      <x:c r="J515" s="99"/>
      <x:c r="K515" s="99"/>
      <x:c r="L515" s="99"/>
      <x:c r="M515" s="99"/>
      <x:c r="N515" s="99"/>
      <x:c r="O515" s="99"/>
      <x:c r="P515" s="99"/>
      <x:c r="Q515" s="99"/>
      <x:c r="R515" s="99"/>
      <x:c r="S515" s="99"/>
      <x:c r="T515" s="99"/>
      <x:c r="U515" s="99"/>
      <x:c r="V515" s="99"/>
      <x:c r="W515" s="99"/>
      <x:c r="X515" s="99"/>
      <x:c r="Y515" s="99"/>
      <x:c r="Z515" s="99"/>
    </x:row>
    <x:row r="516">
      <x:c r="A516" s="99"/>
      <x:c r="B516" s="99"/>
      <x:c r="C516" s="99"/>
      <x:c r="D516" s="99"/>
      <x:c r="E516" s="99"/>
      <x:c r="F516" s="99"/>
      <x:c r="G516" s="99"/>
      <x:c r="H516" s="99"/>
      <x:c r="I516" s="99"/>
      <x:c r="J516" s="99"/>
      <x:c r="K516" s="99"/>
      <x:c r="L516" s="99"/>
      <x:c r="M516" s="99"/>
      <x:c r="N516" s="99"/>
      <x:c r="O516" s="99"/>
      <x:c r="P516" s="99"/>
      <x:c r="Q516" s="99"/>
      <x:c r="R516" s="99"/>
      <x:c r="S516" s="99"/>
      <x:c r="T516" s="99"/>
      <x:c r="U516" s="99"/>
      <x:c r="V516" s="99"/>
      <x:c r="W516" s="99"/>
      <x:c r="X516" s="99"/>
      <x:c r="Y516" s="99"/>
      <x:c r="Z516" s="99"/>
    </x:row>
    <x:row r="517">
      <x:c r="A517" s="99"/>
      <x:c r="B517" s="99"/>
      <x:c r="C517" s="99"/>
      <x:c r="D517" s="99"/>
      <x:c r="E517" s="99"/>
      <x:c r="F517" s="99"/>
      <x:c r="G517" s="99"/>
      <x:c r="H517" s="99"/>
      <x:c r="I517" s="99"/>
      <x:c r="J517" s="99"/>
      <x:c r="K517" s="99"/>
      <x:c r="L517" s="99"/>
      <x:c r="M517" s="99"/>
      <x:c r="N517" s="99"/>
      <x:c r="O517" s="99"/>
      <x:c r="P517" s="99"/>
      <x:c r="Q517" s="99"/>
      <x:c r="R517" s="99"/>
      <x:c r="S517" s="99"/>
      <x:c r="T517" s="99"/>
      <x:c r="U517" s="99"/>
      <x:c r="V517" s="99"/>
      <x:c r="W517" s="99"/>
      <x:c r="X517" s="99"/>
      <x:c r="Y517" s="99"/>
      <x:c r="Z517" s="99"/>
    </x:row>
    <x:row r="518">
      <x:c r="A518" s="99"/>
      <x:c r="B518" s="99"/>
      <x:c r="C518" s="99"/>
      <x:c r="D518" s="99"/>
      <x:c r="E518" s="99"/>
      <x:c r="F518" s="99"/>
      <x:c r="G518" s="99"/>
      <x:c r="H518" s="99"/>
      <x:c r="I518" s="99"/>
      <x:c r="J518" s="99"/>
      <x:c r="K518" s="99"/>
      <x:c r="L518" s="99"/>
      <x:c r="M518" s="99"/>
      <x:c r="N518" s="99"/>
      <x:c r="O518" s="99"/>
      <x:c r="P518" s="99"/>
      <x:c r="Q518" s="99"/>
      <x:c r="R518" s="99"/>
      <x:c r="S518" s="99"/>
      <x:c r="T518" s="99"/>
      <x:c r="U518" s="99"/>
      <x:c r="V518" s="99"/>
      <x:c r="W518" s="99"/>
      <x:c r="X518" s="99"/>
      <x:c r="Y518" s="99"/>
      <x:c r="Z518" s="99"/>
    </x:row>
    <x:row r="519">
      <x:c r="A519" s="99"/>
      <x:c r="B519" s="99"/>
      <x:c r="C519" s="99"/>
      <x:c r="D519" s="99"/>
      <x:c r="E519" s="99"/>
      <x:c r="F519" s="99"/>
      <x:c r="G519" s="99"/>
      <x:c r="H519" s="99"/>
      <x:c r="I519" s="99"/>
      <x:c r="J519" s="99"/>
      <x:c r="K519" s="99"/>
      <x:c r="L519" s="99"/>
      <x:c r="M519" s="99"/>
      <x:c r="N519" s="99"/>
      <x:c r="O519" s="99"/>
      <x:c r="P519" s="99"/>
      <x:c r="Q519" s="99"/>
      <x:c r="R519" s="99"/>
      <x:c r="S519" s="99"/>
      <x:c r="T519" s="99"/>
      <x:c r="U519" s="99"/>
      <x:c r="V519" s="99"/>
      <x:c r="W519" s="99"/>
      <x:c r="X519" s="99"/>
      <x:c r="Y519" s="99"/>
      <x:c r="Z519" s="99"/>
    </x:row>
    <x:row r="520">
      <x:c r="A520" s="99"/>
      <x:c r="B520" s="99"/>
      <x:c r="C520" s="99"/>
      <x:c r="D520" s="99"/>
      <x:c r="E520" s="99"/>
      <x:c r="F520" s="99"/>
      <x:c r="G520" s="99"/>
      <x:c r="H520" s="99"/>
      <x:c r="I520" s="99"/>
      <x:c r="J520" s="99"/>
      <x:c r="K520" s="99"/>
      <x:c r="L520" s="99"/>
      <x:c r="M520" s="99"/>
      <x:c r="N520" s="99"/>
      <x:c r="O520" s="99"/>
      <x:c r="P520" s="99"/>
      <x:c r="Q520" s="99"/>
      <x:c r="R520" s="99"/>
      <x:c r="S520" s="99"/>
      <x:c r="T520" s="99"/>
      <x:c r="U520" s="99"/>
      <x:c r="V520" s="99"/>
      <x:c r="W520" s="99"/>
      <x:c r="X520" s="99"/>
      <x:c r="Y520" s="99"/>
      <x:c r="Z520" s="99"/>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10" hidden="0" customWidth="1"/>
    <x:col min="4" max="4" width="18" hidden="0" customWidth="1"/>
    <x:col min="5" max="5" width="18" hidden="0" customWidth="1"/>
    <x:col min="6" max="6" width="16" hidden="0" customWidth="1"/>
    <x:col min="7" max="7" width="20" hidden="0" customWidth="1"/>
    <x:col min="8" max="8" width="16" hidden="0" customWidth="1"/>
    <x:col min="9" max="9" width="18" hidden="0" customWidth="1"/>
    <x:col min="10" max="10" width="20" hidden="0" customWidth="1"/>
    <x:col min="11" max="11" width="10" hidden="0" customWidth="1"/>
    <x:col min="12" max="12" width="28" hidden="0" customWidth="1"/>
    <x:col min="25" max="25" width="14" hidden="0" customWidth="1"/>
    <x:col min="26" max="26" width="40" hidden="0" customWidth="1"/>
    <x:col min="13" max="13" width="10" hidden="0" customWidth="1"/>
    <x:col min="14" max="14" width="10"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0" hidden="0" customWidth="1"/>
    <x:col min="23" max="23" width="10" hidden="0" customWidth="1"/>
    <x:col min="24" max="24" width="10" hidden="0" customWidth="1"/>
  </x:cols>
  <x:sheetData>
    <x:row r="1">
      <x:c r="A1" s="165" t="str">
        <x:v>RESPONSE DATA — paste one respondent per row; yellow cells are inputs, green cells calculate</x:v>
      </x:c>
      <x:c r="B1" s="165"/>
      <x:c r="C1" s="165"/>
      <x:c r="D1" s="165"/>
      <x:c r="E1" s="165"/>
      <x:c r="F1" s="165"/>
      <x:c r="G1" s="165"/>
      <x:c r="H1" s="165"/>
      <x:c r="I1" s="165"/>
      <x:c r="J1" s="165"/>
      <x:c r="K1" s="165"/>
      <x:c r="L1" s="165"/>
      <x:c r="M1" s="165"/>
      <x:c r="N1" s="165"/>
      <x:c r="O1" s="165"/>
      <x:c r="P1" s="165"/>
      <x:c r="Q1" s="165"/>
      <x:c r="R1" s="165"/>
      <x:c r="S1" s="165"/>
      <x:c r="T1" s="165"/>
      <x:c r="U1" s="165"/>
      <x:c r="V1" s="165"/>
      <x:c r="W1" s="165"/>
      <x:c r="X1" s="165"/>
      <x:c r="Y1" s="165"/>
      <x:c r="Z1" s="165"/>
    </x:row>
    <x:row r="2">
      <x:c r="A2" s="99"/>
      <x:c r="B2" s="99"/>
      <x:c r="C2" s="99"/>
      <x:c r="D2" s="99"/>
      <x:c r="E2" s="99"/>
      <x:c r="F2" s="99"/>
      <x:c r="G2" s="99"/>
      <x:c r="H2" s="99"/>
      <x:c r="I2" s="99"/>
      <x:c r="J2" s="99"/>
      <x:c r="K2" s="99"/>
      <x:c r="L2" s="99"/>
      <x:c r="M2" s="99"/>
      <x:c r="N2" s="99"/>
      <x:c r="O2" s="99"/>
      <x:c r="P2" s="99"/>
      <x:c r="Q2" s="99"/>
      <x:c r="R2" s="99"/>
      <x:c r="S2" s="99"/>
      <x:c r="T2" s="99"/>
      <x:c r="U2" s="99"/>
      <x:c r="V2" s="99"/>
      <x:c r="W2" s="99"/>
      <x:c r="X2" s="99"/>
      <x:c r="Y2" s="99"/>
      <x:c r="Z2" s="99"/>
    </x:row>
    <x:row r="3">
      <x:c r="A3" s="129" t="str">
        <x:v>Respondent ID</x:v>
      </x:c>
      <x:c r="B3" s="129" t="str">
        <x:v>Response Status</x:v>
      </x:c>
      <x:c r="C3" s="129" t="str">
        <x:v>Consent</x:v>
      </x:c>
      <x:c r="D3" s="129" t="str">
        <x:v>Segment A</x:v>
      </x:c>
      <x:c r="E3" s="129" t="str">
        <x:v>Segment B</x:v>
      </x:c>
      <x:c r="F3" s="129" t="str">
        <x:v>Completion Minutes</x:v>
      </x:c>
      <x:c r="G3" s="129" t="str">
        <x:v>Attention Check Passed?</x:v>
      </x:c>
      <x:c r="H3" s="129" t="str">
        <x:v>Straightline Flag</x:v>
      </x:c>
      <x:c r="I3" s="129" t="str">
        <x:v>Missing Scored Items</x:v>
      </x:c>
      <x:c r="J3" s="129" t="str">
        <x:v>QA Flag</x:v>
      </x:c>
      <x:c r="K3" s="129" t="str">
        <x:v>Include?</x:v>
      </x:c>
      <x:c r="L3" s="129" t="str">
        <x:v>Exclusion Reason</x:v>
      </x:c>
      <x:c r="M3" s="129" t="str">
        <x:f>IF('SURVEY DESIGN'!A4="","",'SURVEY DESIGN'!A4)</x:f>
      </x:c>
      <x:c r="N3" s="129" t="str">
        <x:f>IF('SURVEY DESIGN'!A5="","",'SURVEY DESIGN'!A5)</x:f>
      </x:c>
      <x:c r="O3" s="129" t="str">
        <x:f>IF('SURVEY DESIGN'!A6="","",'SURVEY DESIGN'!A6)</x:f>
      </x:c>
      <x:c r="P3" s="129" t="str">
        <x:f>IF('SURVEY DESIGN'!A7="","",'SURVEY DESIGN'!A7)</x:f>
      </x:c>
      <x:c r="Q3" s="129" t="str">
        <x:f>IF('SURVEY DESIGN'!A8="","",'SURVEY DESIGN'!A8)</x:f>
      </x:c>
      <x:c r="R3" s="129" t="str">
        <x:f>IF('SURVEY DESIGN'!A9="","",'SURVEY DESIGN'!A9)</x:f>
      </x:c>
      <x:c r="S3" s="129" t="str">
        <x:f>IF('SURVEY DESIGN'!A10="","",'SURVEY DESIGN'!A10)</x:f>
      </x:c>
      <x:c r="T3" s="129" t="str">
        <x:f>IF('SURVEY DESIGN'!A11="","",'SURVEY DESIGN'!A11)</x:f>
      </x:c>
      <x:c r="U3" s="129" t="str">
        <x:f>IF('SURVEY DESIGN'!A12="","",'SURVEY DESIGN'!A12)</x:f>
      </x:c>
      <x:c r="V3" s="129" t="str">
        <x:f>IF('SURVEY DESIGN'!A13="","",'SURVEY DESIGN'!A13)</x:f>
      </x:c>
      <x:c r="W3" s="129" t="str">
        <x:f>IF('SURVEY DESIGN'!A14="","",'SURVEY DESIGN'!A14)</x:f>
      </x:c>
      <x:c r="X3" s="129" t="str">
        <x:f>IF('SURVEY DESIGN'!A15="","",'SURVEY DESIGN'!A15)</x:f>
      </x:c>
      <x:c r="Y3" s="129" t="str">
        <x:v>Overall Score</x:v>
      </x:c>
      <x:c r="Z3" s="129" t="str">
        <x:v>Open Text</x:v>
      </x:c>
    </x:row>
    <x:row r="4">
      <x:c r="A4" s="119"/>
      <x:c r="B4" s="119"/>
      <x:c r="C4" s="119"/>
      <x:c r="D4" s="119"/>
      <x:c r="E4" s="119"/>
      <x:c r="F4" s="119"/>
      <x:c r="G4" s="119"/>
      <x:c r="H4" s="130" t="str">
        <x:f>IF(A4="","",IF(AND(COUNTA(M4:X4)&gt;=SETUP!$B$10,COUNTIF(M4:X4,MAX(M4:X4))=COUNTA(M4:X4)),"Yes","No"))</x:f>
      </x:c>
      <x:c r="I4" s="130" t="str">
        <x:f>IF(A4="","",IF('SURVEY DESIGN'!C4&lt;&gt;"",--(M4=""),0)+IF('SURVEY DESIGN'!C5&lt;&gt;"",--(N4=""),0)+IF('SURVEY DESIGN'!C6&lt;&gt;"",--(O4=""),0)+IF('SURVEY DESIGN'!C7&lt;&gt;"",--(P4=""),0)+IF('SURVEY DESIGN'!C8&lt;&gt;"",--(Q4=""),0)+IF('SURVEY DESIGN'!C9&lt;&gt;"",--(R4=""),0)+IF('SURVEY DESIGN'!C10&lt;&gt;"",--(S4=""),0)+IF('SURVEY DESIGN'!C11&lt;&gt;"",--(T4=""),0)+IF('SURVEY DESIGN'!C12&lt;&gt;"",--(U4=""),0)+IF('SURVEY DESIGN'!C13&lt;&gt;"",--(V4=""),0)+IF('SURVEY DESIGN'!C14&lt;&gt;"",--(W4=""),0)+IF('SURVEY DESIGN'!C15&lt;&gt;"",--(X4=""),0))</x:f>
      </x:c>
      <x:c r="J4" s="130" t="str">
        <x:f>IF(A4="","",IF(C4&lt;&gt;"Yes","NO CONSENT",IF(F4&lt;SETUP!$B$9,"SPEEDING",IF(G4&lt;&gt;"Yes","ATTENTION CHECK",IF(H4="Yes","STRAIGHTLINE REVIEW",IF(I4&gt;0,"MISSING ITEMS","OK"))))))</x:f>
      </x:c>
      <x:c r="K4" s="130" t="str">
        <x:f>IF(A4="","",IF(J4="OK","Yes","No"))</x:f>
      </x:c>
      <x:c r="L4" s="130" t="str">
        <x:f>IF(A4="","",IF(J4="OK","",IF(J4="NO CONSENT","Consent not affirmed",IF(J4="SPEEDING","Completion time below threshold",IF(J4="ATTENTION CHECK","Attention check failed",IF(J4="STRAIGHTLINE REVIEW","Straightlining review threshold met","Missing scored item(s)"))))))</x:f>
      </x:c>
      <x:c r="M4" s="119"/>
      <x:c r="N4" s="119"/>
      <x:c r="O4" s="119"/>
      <x:c r="P4" s="119"/>
      <x:c r="Q4" s="119"/>
      <x:c r="R4" s="119"/>
      <x:c r="S4" s="119"/>
      <x:c r="T4" s="119"/>
      <x:c r="U4" s="119"/>
      <x:c r="V4" s="119"/>
      <x:c r="W4" s="119"/>
      <x:c r="X4" s="119"/>
      <x:c r="Y4" s="133" t="str">
        <x:f>IF(K4&lt;&gt;"Yes","",IFERROR(AVERAGE(M4:X4),""))</x:f>
      </x:c>
      <x:c r="Z4" s="119"/>
    </x:row>
    <x:row r="5">
      <x:c r="A5" s="119"/>
      <x:c r="B5" s="119"/>
      <x:c r="C5" s="119"/>
      <x:c r="D5" s="119"/>
      <x:c r="E5" s="119"/>
      <x:c r="F5" s="119"/>
      <x:c r="G5" s="119"/>
      <x:c r="H5" s="130" t="str">
        <x:f>IF(A5="","",IF(AND(COUNTA(M5:X5)&gt;=SETUP!$B$10,COUNTIF(M5:X5,MAX(M5:X5))=COUNTA(M5:X5)),"Yes","No"))</x:f>
      </x:c>
      <x:c r="I5" s="130" t="str">
        <x:f>IF(A5="","",IF('SURVEY DESIGN'!C5&lt;&gt;"",--(M5=""),0)+IF('SURVEY DESIGN'!C6&lt;&gt;"",--(N5=""),0)+IF('SURVEY DESIGN'!C7&lt;&gt;"",--(O5=""),0)+IF('SURVEY DESIGN'!C8&lt;&gt;"",--(P5=""),0)+IF('SURVEY DESIGN'!C9&lt;&gt;"",--(Q5=""),0)+IF('SURVEY DESIGN'!C10&lt;&gt;"",--(R5=""),0)+IF('SURVEY DESIGN'!C11&lt;&gt;"",--(S5=""),0)+IF('SURVEY DESIGN'!C12&lt;&gt;"",--(T5=""),0)+IF('SURVEY DESIGN'!C13&lt;&gt;"",--(U5=""),0)+IF('SURVEY DESIGN'!C14&lt;&gt;"",--(V5=""),0)+IF('SURVEY DESIGN'!C15&lt;&gt;"",--(W5=""),0)+IF('SURVEY DESIGN'!C16&lt;&gt;"",--(X5=""),0))</x:f>
      </x:c>
      <x:c r="J5" s="130" t="str">
        <x:f>IF(A5="","",IF(C5&lt;&gt;"Yes","NO CONSENT",IF(F5&lt;SETUP!$B$9,"SPEEDING",IF(G5&lt;&gt;"Yes","ATTENTION CHECK",IF(H5="Yes","STRAIGHTLINE REVIEW",IF(I5&gt;0,"MISSING ITEMS","OK"))))))</x:f>
      </x:c>
      <x:c r="K5" s="130" t="str">
        <x:f>IF(A5="","",IF(J5="OK","Yes","No"))</x:f>
      </x:c>
      <x:c r="L5" s="130" t="str">
        <x:f>IF(A5="","",IF(J5="OK","",IF(J5="NO CONSENT","Consent not affirmed",IF(J5="SPEEDING","Completion time below threshold",IF(J5="ATTENTION CHECK","Attention check failed",IF(J5="STRAIGHTLINE REVIEW","Straightlining review threshold met","Missing scored item(s)"))))))</x:f>
      </x:c>
      <x:c r="M5" s="119"/>
      <x:c r="N5" s="119"/>
      <x:c r="O5" s="119"/>
      <x:c r="P5" s="119"/>
      <x:c r="Q5" s="119"/>
      <x:c r="R5" s="119"/>
      <x:c r="S5" s="119"/>
      <x:c r="T5" s="119"/>
      <x:c r="U5" s="119"/>
      <x:c r="V5" s="119"/>
      <x:c r="W5" s="119"/>
      <x:c r="X5" s="119"/>
      <x:c r="Y5" s="133" t="str">
        <x:f>IF(K5&lt;&gt;"Yes","",IFERROR(AVERAGE(M5:X5),""))</x:f>
      </x:c>
      <x:c r="Z5" s="119"/>
    </x:row>
    <x:row r="6">
      <x:c r="A6" s="119"/>
      <x:c r="B6" s="119"/>
      <x:c r="C6" s="119"/>
      <x:c r="D6" s="119"/>
      <x:c r="E6" s="119"/>
      <x:c r="F6" s="119"/>
      <x:c r="G6" s="119"/>
      <x:c r="H6" s="130" t="str">
        <x:f>IF(A6="","",IF(AND(COUNTA(M6:X6)&gt;=SETUP!$B$10,COUNTIF(M6:X6,MAX(M6:X6))=COUNTA(M6:X6)),"Yes","No"))</x:f>
      </x:c>
      <x:c r="I6" s="130" t="str">
        <x:f>IF(A6="","",IF('SURVEY DESIGN'!C6&lt;&gt;"",--(M6=""),0)+IF('SURVEY DESIGN'!C7&lt;&gt;"",--(N6=""),0)+IF('SURVEY DESIGN'!C8&lt;&gt;"",--(O6=""),0)+IF('SURVEY DESIGN'!C9&lt;&gt;"",--(P6=""),0)+IF('SURVEY DESIGN'!C10&lt;&gt;"",--(Q6=""),0)+IF('SURVEY DESIGN'!C11&lt;&gt;"",--(R6=""),0)+IF('SURVEY DESIGN'!C12&lt;&gt;"",--(S6=""),0)+IF('SURVEY DESIGN'!C13&lt;&gt;"",--(T6=""),0)+IF('SURVEY DESIGN'!C14&lt;&gt;"",--(U6=""),0)+IF('SURVEY DESIGN'!C15&lt;&gt;"",--(V6=""),0)+IF('SURVEY DESIGN'!C16&lt;&gt;"",--(W6=""),0)+IF('SURVEY DESIGN'!C17&lt;&gt;"",--(X6=""),0))</x:f>
      </x:c>
      <x:c r="J6" s="130" t="str">
        <x:f>IF(A6="","",IF(C6&lt;&gt;"Yes","NO CONSENT",IF(F6&lt;SETUP!$B$9,"SPEEDING",IF(G6&lt;&gt;"Yes","ATTENTION CHECK",IF(H6="Yes","STRAIGHTLINE REVIEW",IF(I6&gt;0,"MISSING ITEMS","OK"))))))</x:f>
      </x:c>
      <x:c r="K6" s="130" t="str">
        <x:f>IF(A6="","",IF(J6="OK","Yes","No"))</x:f>
      </x:c>
      <x:c r="L6" s="130" t="str">
        <x:f>IF(A6="","",IF(J6="OK","",IF(J6="NO CONSENT","Consent not affirmed",IF(J6="SPEEDING","Completion time below threshold",IF(J6="ATTENTION CHECK","Attention check failed",IF(J6="STRAIGHTLINE REVIEW","Straightlining review threshold met","Missing scored item(s)"))))))</x:f>
      </x:c>
      <x:c r="M6" s="119"/>
      <x:c r="N6" s="119"/>
      <x:c r="O6" s="119"/>
      <x:c r="P6" s="119"/>
      <x:c r="Q6" s="119"/>
      <x:c r="R6" s="119"/>
      <x:c r="S6" s="119"/>
      <x:c r="T6" s="119"/>
      <x:c r="U6" s="119"/>
      <x:c r="V6" s="119"/>
      <x:c r="W6" s="119"/>
      <x:c r="X6" s="119"/>
      <x:c r="Y6" s="133" t="str">
        <x:f>IF(K6&lt;&gt;"Yes","",IFERROR(AVERAGE(M6:X6),""))</x:f>
      </x:c>
      <x:c r="Z6" s="119"/>
    </x:row>
    <x:row r="7">
      <x:c r="A7" s="119"/>
      <x:c r="B7" s="119"/>
      <x:c r="C7" s="119"/>
      <x:c r="D7" s="119"/>
      <x:c r="E7" s="119"/>
      <x:c r="F7" s="119"/>
      <x:c r="G7" s="119"/>
      <x:c r="H7" s="130" t="str">
        <x:f>IF(A7="","",IF(AND(COUNTA(M7:X7)&gt;=SETUP!$B$10,COUNTIF(M7:X7,MAX(M7:X7))=COUNTA(M7:X7)),"Yes","No"))</x:f>
      </x:c>
      <x:c r="I7" s="130" t="str">
        <x:f>IF(A7="","",IF('SURVEY DESIGN'!C7&lt;&gt;"",--(M7=""),0)+IF('SURVEY DESIGN'!C8&lt;&gt;"",--(N7=""),0)+IF('SURVEY DESIGN'!C9&lt;&gt;"",--(O7=""),0)+IF('SURVEY DESIGN'!C10&lt;&gt;"",--(P7=""),0)+IF('SURVEY DESIGN'!C11&lt;&gt;"",--(Q7=""),0)+IF('SURVEY DESIGN'!C12&lt;&gt;"",--(R7=""),0)+IF('SURVEY DESIGN'!C13&lt;&gt;"",--(S7=""),0)+IF('SURVEY DESIGN'!C14&lt;&gt;"",--(T7=""),0)+IF('SURVEY DESIGN'!C15&lt;&gt;"",--(U7=""),0)+IF('SURVEY DESIGN'!C16&lt;&gt;"",--(V7=""),0)+IF('SURVEY DESIGN'!C17&lt;&gt;"",--(W7=""),0)+IF('SURVEY DESIGN'!C18&lt;&gt;"",--(X7=""),0))</x:f>
      </x:c>
      <x:c r="J7" s="130" t="str">
        <x:f>IF(A7="","",IF(C7&lt;&gt;"Yes","NO CONSENT",IF(F7&lt;SETUP!$B$9,"SPEEDING",IF(G7&lt;&gt;"Yes","ATTENTION CHECK",IF(H7="Yes","STRAIGHTLINE REVIEW",IF(I7&gt;0,"MISSING ITEMS","OK"))))))</x:f>
      </x:c>
      <x:c r="K7" s="130" t="str">
        <x:f>IF(A7="","",IF(J7="OK","Yes","No"))</x:f>
      </x:c>
      <x:c r="L7" s="130" t="str">
        <x:f>IF(A7="","",IF(J7="OK","",IF(J7="NO CONSENT","Consent not affirmed",IF(J7="SPEEDING","Completion time below threshold",IF(J7="ATTENTION CHECK","Attention check failed",IF(J7="STRAIGHTLINE REVIEW","Straightlining review threshold met","Missing scored item(s)"))))))</x:f>
      </x:c>
      <x:c r="M7" s="119"/>
      <x:c r="N7" s="119"/>
      <x:c r="O7" s="119"/>
      <x:c r="P7" s="119"/>
      <x:c r="Q7" s="119"/>
      <x:c r="R7" s="119"/>
      <x:c r="S7" s="119"/>
      <x:c r="T7" s="119"/>
      <x:c r="U7" s="119"/>
      <x:c r="V7" s="119"/>
      <x:c r="W7" s="119"/>
      <x:c r="X7" s="119"/>
      <x:c r="Y7" s="133" t="str">
        <x:f>IF(K7&lt;&gt;"Yes","",IFERROR(AVERAGE(M7:X7),""))</x:f>
      </x:c>
      <x:c r="Z7" s="119"/>
    </x:row>
    <x:row r="8">
      <x:c r="A8" s="119"/>
      <x:c r="B8" s="119"/>
      <x:c r="C8" s="119"/>
      <x:c r="D8" s="119"/>
      <x:c r="E8" s="119"/>
      <x:c r="F8" s="119"/>
      <x:c r="G8" s="119"/>
      <x:c r="H8" s="130" t="str">
        <x:f>IF(A8="","",IF(AND(COUNTA(M8:X8)&gt;=SETUP!$B$10,COUNTIF(M8:X8,MAX(M8:X8))=COUNTA(M8:X8)),"Yes","No"))</x:f>
      </x:c>
      <x:c r="I8" s="130" t="str">
        <x:f>IF(A8="","",IF('SURVEY DESIGN'!C8&lt;&gt;"",--(M8=""),0)+IF('SURVEY DESIGN'!C9&lt;&gt;"",--(N8=""),0)+IF('SURVEY DESIGN'!C10&lt;&gt;"",--(O8=""),0)+IF('SURVEY DESIGN'!C11&lt;&gt;"",--(P8=""),0)+IF('SURVEY DESIGN'!C12&lt;&gt;"",--(Q8=""),0)+IF('SURVEY DESIGN'!C13&lt;&gt;"",--(R8=""),0)+IF('SURVEY DESIGN'!C14&lt;&gt;"",--(S8=""),0)+IF('SURVEY DESIGN'!C15&lt;&gt;"",--(T8=""),0)+IF('SURVEY DESIGN'!C16&lt;&gt;"",--(U8=""),0)+IF('SURVEY DESIGN'!C17&lt;&gt;"",--(V8=""),0)+IF('SURVEY DESIGN'!C18&lt;&gt;"",--(W8=""),0)+IF('SURVEY DESIGN'!C19&lt;&gt;"",--(X8=""),0))</x:f>
      </x:c>
      <x:c r="J8" s="130" t="str">
        <x:f>IF(A8="","",IF(C8&lt;&gt;"Yes","NO CONSENT",IF(F8&lt;SETUP!$B$9,"SPEEDING",IF(G8&lt;&gt;"Yes","ATTENTION CHECK",IF(H8="Yes","STRAIGHTLINE REVIEW",IF(I8&gt;0,"MISSING ITEMS","OK"))))))</x:f>
      </x:c>
      <x:c r="K8" s="130" t="str">
        <x:f>IF(A8="","",IF(J8="OK","Yes","No"))</x:f>
      </x:c>
      <x:c r="L8" s="130" t="str">
        <x:f>IF(A8="","",IF(J8="OK","",IF(J8="NO CONSENT","Consent not affirmed",IF(J8="SPEEDING","Completion time below threshold",IF(J8="ATTENTION CHECK","Attention check failed",IF(J8="STRAIGHTLINE REVIEW","Straightlining review threshold met","Missing scored item(s)"))))))</x:f>
      </x:c>
      <x:c r="M8" s="119"/>
      <x:c r="N8" s="119"/>
      <x:c r="O8" s="119"/>
      <x:c r="P8" s="119"/>
      <x:c r="Q8" s="119"/>
      <x:c r="R8" s="119"/>
      <x:c r="S8" s="119"/>
      <x:c r="T8" s="119"/>
      <x:c r="U8" s="119"/>
      <x:c r="V8" s="119"/>
      <x:c r="W8" s="119"/>
      <x:c r="X8" s="119"/>
      <x:c r="Y8" s="133" t="str">
        <x:f>IF(K8&lt;&gt;"Yes","",IFERROR(AVERAGE(M8:X8),""))</x:f>
      </x:c>
      <x:c r="Z8" s="119"/>
    </x:row>
    <x:row r="9">
      <x:c r="A9" s="119"/>
      <x:c r="B9" s="119"/>
      <x:c r="C9" s="119"/>
      <x:c r="D9" s="119"/>
      <x:c r="E9" s="119"/>
      <x:c r="F9" s="119"/>
      <x:c r="G9" s="119"/>
      <x:c r="H9" s="130" t="str">
        <x:f>IF(A9="","",IF(AND(COUNTA(M9:X9)&gt;=SETUP!$B$10,COUNTIF(M9:X9,MAX(M9:X9))=COUNTA(M9:X9)),"Yes","No"))</x:f>
      </x:c>
      <x:c r="I9" s="130" t="str">
        <x:f>IF(A9="","",IF('SURVEY DESIGN'!C9&lt;&gt;"",--(M9=""),0)+IF('SURVEY DESIGN'!C10&lt;&gt;"",--(N9=""),0)+IF('SURVEY DESIGN'!C11&lt;&gt;"",--(O9=""),0)+IF('SURVEY DESIGN'!C12&lt;&gt;"",--(P9=""),0)+IF('SURVEY DESIGN'!C13&lt;&gt;"",--(Q9=""),0)+IF('SURVEY DESIGN'!C14&lt;&gt;"",--(R9=""),0)+IF('SURVEY DESIGN'!C15&lt;&gt;"",--(S9=""),0)+IF('SURVEY DESIGN'!C16&lt;&gt;"",--(T9=""),0)+IF('SURVEY DESIGN'!C17&lt;&gt;"",--(U9=""),0)+IF('SURVEY DESIGN'!C18&lt;&gt;"",--(V9=""),0)+IF('SURVEY DESIGN'!C19&lt;&gt;"",--(W9=""),0)+IF('SURVEY DESIGN'!C20&lt;&gt;"",--(X9=""),0))</x:f>
      </x:c>
      <x:c r="J9" s="130" t="str">
        <x:f>IF(A9="","",IF(C9&lt;&gt;"Yes","NO CONSENT",IF(F9&lt;SETUP!$B$9,"SPEEDING",IF(G9&lt;&gt;"Yes","ATTENTION CHECK",IF(H9="Yes","STRAIGHTLINE REVIEW",IF(I9&gt;0,"MISSING ITEMS","OK"))))))</x:f>
      </x:c>
      <x:c r="K9" s="130" t="str">
        <x:f>IF(A9="","",IF(J9="OK","Yes","No"))</x:f>
      </x:c>
      <x:c r="L9" s="130" t="str">
        <x:f>IF(A9="","",IF(J9="OK","",IF(J9="NO CONSENT","Consent not affirmed",IF(J9="SPEEDING","Completion time below threshold",IF(J9="ATTENTION CHECK","Attention check failed",IF(J9="STRAIGHTLINE REVIEW","Straightlining review threshold met","Missing scored item(s)"))))))</x:f>
      </x:c>
      <x:c r="M9" s="119"/>
      <x:c r="N9" s="119"/>
      <x:c r="O9" s="119"/>
      <x:c r="P9" s="119"/>
      <x:c r="Q9" s="119"/>
      <x:c r="R9" s="119"/>
      <x:c r="S9" s="119"/>
      <x:c r="T9" s="119"/>
      <x:c r="U9" s="119"/>
      <x:c r="V9" s="119"/>
      <x:c r="W9" s="119"/>
      <x:c r="X9" s="119"/>
      <x:c r="Y9" s="133" t="str">
        <x:f>IF(K9&lt;&gt;"Yes","",IFERROR(AVERAGE(M9:X9),""))</x:f>
      </x:c>
      <x:c r="Z9" s="119"/>
    </x:row>
    <x:row r="10">
      <x:c r="A10" s="119"/>
      <x:c r="B10" s="119"/>
      <x:c r="C10" s="119"/>
      <x:c r="D10" s="119"/>
      <x:c r="E10" s="119"/>
      <x:c r="F10" s="119"/>
      <x:c r="G10" s="119"/>
      <x:c r="H10" s="130" t="str">
        <x:f>IF(A10="","",IF(AND(COUNTA(M10:X10)&gt;=SETUP!$B$10,COUNTIF(M10:X10,MAX(M10:X10))=COUNTA(M10:X10)),"Yes","No"))</x:f>
      </x:c>
      <x:c r="I10" s="130" t="str">
        <x:f>IF(A10="","",IF('SURVEY DESIGN'!C10&lt;&gt;"",--(M10=""),0)+IF('SURVEY DESIGN'!C11&lt;&gt;"",--(N10=""),0)+IF('SURVEY DESIGN'!C12&lt;&gt;"",--(O10=""),0)+IF('SURVEY DESIGN'!C13&lt;&gt;"",--(P10=""),0)+IF('SURVEY DESIGN'!C14&lt;&gt;"",--(Q10=""),0)+IF('SURVEY DESIGN'!C15&lt;&gt;"",--(R10=""),0)+IF('SURVEY DESIGN'!C16&lt;&gt;"",--(S10=""),0)+IF('SURVEY DESIGN'!C17&lt;&gt;"",--(T10=""),0)+IF('SURVEY DESIGN'!C18&lt;&gt;"",--(U10=""),0)+IF('SURVEY DESIGN'!C19&lt;&gt;"",--(V10=""),0)+IF('SURVEY DESIGN'!C20&lt;&gt;"",--(W10=""),0)+IF('SURVEY DESIGN'!C21&lt;&gt;"",--(X10=""),0))</x:f>
      </x:c>
      <x:c r="J10" s="130" t="str">
        <x:f>IF(A10="","",IF(C10&lt;&gt;"Yes","NO CONSENT",IF(F10&lt;SETUP!$B$9,"SPEEDING",IF(G10&lt;&gt;"Yes","ATTENTION CHECK",IF(H10="Yes","STRAIGHTLINE REVIEW",IF(I10&gt;0,"MISSING ITEMS","OK"))))))</x:f>
      </x:c>
      <x:c r="K10" s="130" t="str">
        <x:f>IF(A10="","",IF(J10="OK","Yes","No"))</x:f>
      </x:c>
      <x:c r="L10" s="130" t="str">
        <x:f>IF(A10="","",IF(J10="OK","",IF(J10="NO CONSENT","Consent not affirmed",IF(J10="SPEEDING","Completion time below threshold",IF(J10="ATTENTION CHECK","Attention check failed",IF(J10="STRAIGHTLINE REVIEW","Straightlining review threshold met","Missing scored item(s)"))))))</x:f>
      </x:c>
      <x:c r="M10" s="119"/>
      <x:c r="N10" s="119"/>
      <x:c r="O10" s="119"/>
      <x:c r="P10" s="119"/>
      <x:c r="Q10" s="119"/>
      <x:c r="R10" s="119"/>
      <x:c r="S10" s="119"/>
      <x:c r="T10" s="119"/>
      <x:c r="U10" s="119"/>
      <x:c r="V10" s="119"/>
      <x:c r="W10" s="119"/>
      <x:c r="X10" s="119"/>
      <x:c r="Y10" s="133" t="str">
        <x:f>IF(K10&lt;&gt;"Yes","",IFERROR(AVERAGE(M10:X10),""))</x:f>
      </x:c>
      <x:c r="Z10" s="119"/>
    </x:row>
    <x:row r="11">
      <x:c r="A11" s="119"/>
      <x:c r="B11" s="119"/>
      <x:c r="C11" s="119"/>
      <x:c r="D11" s="119"/>
      <x:c r="E11" s="119"/>
      <x:c r="F11" s="119"/>
      <x:c r="G11" s="119"/>
      <x:c r="H11" s="130" t="str">
        <x:f>IF(A11="","",IF(AND(COUNTA(M11:X11)&gt;=SETUP!$B$10,COUNTIF(M11:X11,MAX(M11:X11))=COUNTA(M11:X11)),"Yes","No"))</x:f>
      </x:c>
      <x:c r="I11" s="130" t="str">
        <x:f>IF(A11="","",IF('SURVEY DESIGN'!C11&lt;&gt;"",--(M11=""),0)+IF('SURVEY DESIGN'!C12&lt;&gt;"",--(N11=""),0)+IF('SURVEY DESIGN'!C13&lt;&gt;"",--(O11=""),0)+IF('SURVEY DESIGN'!C14&lt;&gt;"",--(P11=""),0)+IF('SURVEY DESIGN'!C15&lt;&gt;"",--(Q11=""),0)+IF('SURVEY DESIGN'!C16&lt;&gt;"",--(R11=""),0)+IF('SURVEY DESIGN'!C17&lt;&gt;"",--(S11=""),0)+IF('SURVEY DESIGN'!C18&lt;&gt;"",--(T11=""),0)+IF('SURVEY DESIGN'!C19&lt;&gt;"",--(U11=""),0)+IF('SURVEY DESIGN'!C20&lt;&gt;"",--(V11=""),0)+IF('SURVEY DESIGN'!C21&lt;&gt;"",--(W11=""),0)+IF('SURVEY DESIGN'!C22&lt;&gt;"",--(X11=""),0))</x:f>
      </x:c>
      <x:c r="J11" s="130" t="str">
        <x:f>IF(A11="","",IF(C11&lt;&gt;"Yes","NO CONSENT",IF(F11&lt;SETUP!$B$9,"SPEEDING",IF(G11&lt;&gt;"Yes","ATTENTION CHECK",IF(H11="Yes","STRAIGHTLINE REVIEW",IF(I11&gt;0,"MISSING ITEMS","OK"))))))</x:f>
      </x:c>
      <x:c r="K11" s="130" t="str">
        <x:f>IF(A11="","",IF(J11="OK","Yes","No"))</x:f>
      </x:c>
      <x:c r="L11" s="130" t="str">
        <x:f>IF(A11="","",IF(J11="OK","",IF(J11="NO CONSENT","Consent not affirmed",IF(J11="SPEEDING","Completion time below threshold",IF(J11="ATTENTION CHECK","Attention check failed",IF(J11="STRAIGHTLINE REVIEW","Straightlining review threshold met","Missing scored item(s)"))))))</x:f>
      </x:c>
      <x:c r="M11" s="119"/>
      <x:c r="N11" s="119"/>
      <x:c r="O11" s="119"/>
      <x:c r="P11" s="119"/>
      <x:c r="Q11" s="119"/>
      <x:c r="R11" s="119"/>
      <x:c r="S11" s="119"/>
      <x:c r="T11" s="119"/>
      <x:c r="U11" s="119"/>
      <x:c r="V11" s="119"/>
      <x:c r="W11" s="119"/>
      <x:c r="X11" s="119"/>
      <x:c r="Y11" s="133" t="str">
        <x:f>IF(K11&lt;&gt;"Yes","",IFERROR(AVERAGE(M11:X11),""))</x:f>
      </x:c>
      <x:c r="Z11" s="119"/>
    </x:row>
    <x:row r="12">
      <x:c r="A12" s="119"/>
      <x:c r="B12" s="119"/>
      <x:c r="C12" s="119"/>
      <x:c r="D12" s="119"/>
      <x:c r="E12" s="119"/>
      <x:c r="F12" s="119"/>
      <x:c r="G12" s="119"/>
      <x:c r="H12" s="130" t="str">
        <x:f>IF(A12="","",IF(AND(COUNTA(M12:X12)&gt;=SETUP!$B$10,COUNTIF(M12:X12,MAX(M12:X12))=COUNTA(M12:X12)),"Yes","No"))</x:f>
      </x:c>
      <x:c r="I12" s="130" t="str">
        <x:f>IF(A12="","",IF('SURVEY DESIGN'!C12&lt;&gt;"",--(M12=""),0)+IF('SURVEY DESIGN'!C13&lt;&gt;"",--(N12=""),0)+IF('SURVEY DESIGN'!C14&lt;&gt;"",--(O12=""),0)+IF('SURVEY DESIGN'!C15&lt;&gt;"",--(P12=""),0)+IF('SURVEY DESIGN'!C16&lt;&gt;"",--(Q12=""),0)+IF('SURVEY DESIGN'!C17&lt;&gt;"",--(R12=""),0)+IF('SURVEY DESIGN'!C18&lt;&gt;"",--(S12=""),0)+IF('SURVEY DESIGN'!C19&lt;&gt;"",--(T12=""),0)+IF('SURVEY DESIGN'!C20&lt;&gt;"",--(U12=""),0)+IF('SURVEY DESIGN'!C21&lt;&gt;"",--(V12=""),0)+IF('SURVEY DESIGN'!C22&lt;&gt;"",--(W12=""),0)+IF('SURVEY DESIGN'!C23&lt;&gt;"",--(X12=""),0))</x:f>
      </x:c>
      <x:c r="J12" s="130" t="str">
        <x:f>IF(A12="","",IF(C12&lt;&gt;"Yes","NO CONSENT",IF(F12&lt;SETUP!$B$9,"SPEEDING",IF(G12&lt;&gt;"Yes","ATTENTION CHECK",IF(H12="Yes","STRAIGHTLINE REVIEW",IF(I12&gt;0,"MISSING ITEMS","OK"))))))</x:f>
      </x:c>
      <x:c r="K12" s="130" t="str">
        <x:f>IF(A12="","",IF(J12="OK","Yes","No"))</x:f>
      </x:c>
      <x:c r="L12" s="130" t="str">
        <x:f>IF(A12="","",IF(J12="OK","",IF(J12="NO CONSENT","Consent not affirmed",IF(J12="SPEEDING","Completion time below threshold",IF(J12="ATTENTION CHECK","Attention check failed",IF(J12="STRAIGHTLINE REVIEW","Straightlining review threshold met","Missing scored item(s)"))))))</x:f>
      </x:c>
      <x:c r="M12" s="119"/>
      <x:c r="N12" s="119"/>
      <x:c r="O12" s="119"/>
      <x:c r="P12" s="119"/>
      <x:c r="Q12" s="119"/>
      <x:c r="R12" s="119"/>
      <x:c r="S12" s="119"/>
      <x:c r="T12" s="119"/>
      <x:c r="U12" s="119"/>
      <x:c r="V12" s="119"/>
      <x:c r="W12" s="119"/>
      <x:c r="X12" s="119"/>
      <x:c r="Y12" s="133" t="str">
        <x:f>IF(K12&lt;&gt;"Yes","",IFERROR(AVERAGE(M12:X12),""))</x:f>
      </x:c>
      <x:c r="Z12" s="119"/>
    </x:row>
    <x:row r="13">
      <x:c r="A13" s="119"/>
      <x:c r="B13" s="119"/>
      <x:c r="C13" s="119"/>
      <x:c r="D13" s="119"/>
      <x:c r="E13" s="119"/>
      <x:c r="F13" s="119"/>
      <x:c r="G13" s="119"/>
      <x:c r="H13" s="130" t="str">
        <x:f>IF(A13="","",IF(AND(COUNTA(M13:X13)&gt;=SETUP!$B$10,COUNTIF(M13:X13,MAX(M13:X13))=COUNTA(M13:X13)),"Yes","No"))</x:f>
      </x:c>
      <x:c r="I13" s="130" t="str">
        <x:f>IF(A13="","",IF('SURVEY DESIGN'!C13&lt;&gt;"",--(M13=""),0)+IF('SURVEY DESIGN'!C14&lt;&gt;"",--(N13=""),0)+IF('SURVEY DESIGN'!C15&lt;&gt;"",--(O13=""),0)+IF('SURVEY DESIGN'!C16&lt;&gt;"",--(P13=""),0)+IF('SURVEY DESIGN'!C17&lt;&gt;"",--(Q13=""),0)+IF('SURVEY DESIGN'!C18&lt;&gt;"",--(R13=""),0)+IF('SURVEY DESIGN'!C19&lt;&gt;"",--(S13=""),0)+IF('SURVEY DESIGN'!C20&lt;&gt;"",--(T13=""),0)+IF('SURVEY DESIGN'!C21&lt;&gt;"",--(U13=""),0)+IF('SURVEY DESIGN'!C22&lt;&gt;"",--(V13=""),0)+IF('SURVEY DESIGN'!C23&lt;&gt;"",--(W13=""),0)+IF('SURVEY DESIGN'!C24&lt;&gt;"",--(X13=""),0))</x:f>
      </x:c>
      <x:c r="J13" s="130" t="str">
        <x:f>IF(A13="","",IF(C13&lt;&gt;"Yes","NO CONSENT",IF(F13&lt;SETUP!$B$9,"SPEEDING",IF(G13&lt;&gt;"Yes","ATTENTION CHECK",IF(H13="Yes","STRAIGHTLINE REVIEW",IF(I13&gt;0,"MISSING ITEMS","OK"))))))</x:f>
      </x:c>
      <x:c r="K13" s="130" t="str">
        <x:f>IF(A13="","",IF(J13="OK","Yes","No"))</x:f>
      </x:c>
      <x:c r="L13" s="130" t="str">
        <x:f>IF(A13="","",IF(J13="OK","",IF(J13="NO CONSENT","Consent not affirmed",IF(J13="SPEEDING","Completion time below threshold",IF(J13="ATTENTION CHECK","Attention check failed",IF(J13="STRAIGHTLINE REVIEW","Straightlining review threshold met","Missing scored item(s)"))))))</x:f>
      </x:c>
      <x:c r="M13" s="119"/>
      <x:c r="N13" s="119"/>
      <x:c r="O13" s="119"/>
      <x:c r="P13" s="119"/>
      <x:c r="Q13" s="119"/>
      <x:c r="R13" s="119"/>
      <x:c r="S13" s="119"/>
      <x:c r="T13" s="119"/>
      <x:c r="U13" s="119"/>
      <x:c r="V13" s="119"/>
      <x:c r="W13" s="119"/>
      <x:c r="X13" s="119"/>
      <x:c r="Y13" s="133" t="str">
        <x:f>IF(K13&lt;&gt;"Yes","",IFERROR(AVERAGE(M13:X13),""))</x:f>
      </x:c>
      <x:c r="Z13" s="119"/>
    </x:row>
    <x:row r="14">
      <x:c r="A14" s="119"/>
      <x:c r="B14" s="119"/>
      <x:c r="C14" s="119"/>
      <x:c r="D14" s="119"/>
      <x:c r="E14" s="119"/>
      <x:c r="F14" s="119"/>
      <x:c r="G14" s="119"/>
      <x:c r="H14" s="130" t="str">
        <x:f>IF(A14="","",IF(AND(COUNTA(M14:X14)&gt;=SETUP!$B$10,COUNTIF(M14:X14,MAX(M14:X14))=COUNTA(M14:X14)),"Yes","No"))</x:f>
      </x:c>
      <x:c r="I14" s="130" t="str">
        <x:f>IF(A14="","",IF('SURVEY DESIGN'!C14&lt;&gt;"",--(M14=""),0)+IF('SURVEY DESIGN'!C15&lt;&gt;"",--(N14=""),0)+IF('SURVEY DESIGN'!C16&lt;&gt;"",--(O14=""),0)+IF('SURVEY DESIGN'!C17&lt;&gt;"",--(P14=""),0)+IF('SURVEY DESIGN'!C18&lt;&gt;"",--(Q14=""),0)+IF('SURVEY DESIGN'!C19&lt;&gt;"",--(R14=""),0)+IF('SURVEY DESIGN'!C20&lt;&gt;"",--(S14=""),0)+IF('SURVEY DESIGN'!C21&lt;&gt;"",--(T14=""),0)+IF('SURVEY DESIGN'!C22&lt;&gt;"",--(U14=""),0)+IF('SURVEY DESIGN'!C23&lt;&gt;"",--(V14=""),0)+IF('SURVEY DESIGN'!C24&lt;&gt;"",--(W14=""),0)+IF('SURVEY DESIGN'!C25&lt;&gt;"",--(X14=""),0))</x:f>
      </x:c>
      <x:c r="J14" s="130" t="str">
        <x:f>IF(A14="","",IF(C14&lt;&gt;"Yes","NO CONSENT",IF(F14&lt;SETUP!$B$9,"SPEEDING",IF(G14&lt;&gt;"Yes","ATTENTION CHECK",IF(H14="Yes","STRAIGHTLINE REVIEW",IF(I14&gt;0,"MISSING ITEMS","OK"))))))</x:f>
      </x:c>
      <x:c r="K14" s="130" t="str">
        <x:f>IF(A14="","",IF(J14="OK","Yes","No"))</x:f>
      </x:c>
      <x:c r="L14" s="130" t="str">
        <x:f>IF(A14="","",IF(J14="OK","",IF(J14="NO CONSENT","Consent not affirmed",IF(J14="SPEEDING","Completion time below threshold",IF(J14="ATTENTION CHECK","Attention check failed",IF(J14="STRAIGHTLINE REVIEW","Straightlining review threshold met","Missing scored item(s)"))))))</x:f>
      </x:c>
      <x:c r="M14" s="119"/>
      <x:c r="N14" s="119"/>
      <x:c r="O14" s="119"/>
      <x:c r="P14" s="119"/>
      <x:c r="Q14" s="119"/>
      <x:c r="R14" s="119"/>
      <x:c r="S14" s="119"/>
      <x:c r="T14" s="119"/>
      <x:c r="U14" s="119"/>
      <x:c r="V14" s="119"/>
      <x:c r="W14" s="119"/>
      <x:c r="X14" s="119"/>
      <x:c r="Y14" s="133" t="str">
        <x:f>IF(K14&lt;&gt;"Yes","",IFERROR(AVERAGE(M14:X14),""))</x:f>
      </x:c>
      <x:c r="Z14" s="119"/>
    </x:row>
    <x:row r="15">
      <x:c r="A15" s="119"/>
      <x:c r="B15" s="119"/>
      <x:c r="C15" s="119"/>
      <x:c r="D15" s="119"/>
      <x:c r="E15" s="119"/>
      <x:c r="F15" s="119"/>
      <x:c r="G15" s="119"/>
      <x:c r="H15" s="130" t="str">
        <x:f>IF(A15="","",IF(AND(COUNTA(M15:X15)&gt;=SETUP!$B$10,COUNTIF(M15:X15,MAX(M15:X15))=COUNTA(M15:X15)),"Yes","No"))</x:f>
      </x:c>
      <x:c r="I15" s="130" t="str">
        <x:f>IF(A15="","",IF('SURVEY DESIGN'!C15&lt;&gt;"",--(M15=""),0)+IF('SURVEY DESIGN'!C16&lt;&gt;"",--(N15=""),0)+IF('SURVEY DESIGN'!C17&lt;&gt;"",--(O15=""),0)+IF('SURVEY DESIGN'!C18&lt;&gt;"",--(P15=""),0)+IF('SURVEY DESIGN'!C19&lt;&gt;"",--(Q15=""),0)+IF('SURVEY DESIGN'!C20&lt;&gt;"",--(R15=""),0)+IF('SURVEY DESIGN'!C21&lt;&gt;"",--(S15=""),0)+IF('SURVEY DESIGN'!C22&lt;&gt;"",--(T15=""),0)+IF('SURVEY DESIGN'!C23&lt;&gt;"",--(U15=""),0)+IF('SURVEY DESIGN'!C24&lt;&gt;"",--(V15=""),0)+IF('SURVEY DESIGN'!C25&lt;&gt;"",--(W15=""),0)+IF('SURVEY DESIGN'!C26&lt;&gt;"",--(X15=""),0))</x:f>
      </x:c>
      <x:c r="J15" s="130" t="str">
        <x:f>IF(A15="","",IF(C15&lt;&gt;"Yes","NO CONSENT",IF(F15&lt;SETUP!$B$9,"SPEEDING",IF(G15&lt;&gt;"Yes","ATTENTION CHECK",IF(H15="Yes","STRAIGHTLINE REVIEW",IF(I15&gt;0,"MISSING ITEMS","OK"))))))</x:f>
      </x:c>
      <x:c r="K15" s="130" t="str">
        <x:f>IF(A15="","",IF(J15="OK","Yes","No"))</x:f>
      </x:c>
      <x:c r="L15" s="130" t="str">
        <x:f>IF(A15="","",IF(J15="OK","",IF(J15="NO CONSENT","Consent not affirmed",IF(J15="SPEEDING","Completion time below threshold",IF(J15="ATTENTION CHECK","Attention check failed",IF(J15="STRAIGHTLINE REVIEW","Straightlining review threshold met","Missing scored item(s)"))))))</x:f>
      </x:c>
      <x:c r="M15" s="119"/>
      <x:c r="N15" s="119"/>
      <x:c r="O15" s="119"/>
      <x:c r="P15" s="119"/>
      <x:c r="Q15" s="119"/>
      <x:c r="R15" s="119"/>
      <x:c r="S15" s="119"/>
      <x:c r="T15" s="119"/>
      <x:c r="U15" s="119"/>
      <x:c r="V15" s="119"/>
      <x:c r="W15" s="119"/>
      <x:c r="X15" s="119"/>
      <x:c r="Y15" s="133" t="str">
        <x:f>IF(K15&lt;&gt;"Yes","",IFERROR(AVERAGE(M15:X15),""))</x:f>
      </x:c>
      <x:c r="Z15" s="119"/>
    </x:row>
    <x:row r="16">
      <x:c r="A16" s="119"/>
      <x:c r="B16" s="119"/>
      <x:c r="C16" s="119"/>
      <x:c r="D16" s="119"/>
      <x:c r="E16" s="119"/>
      <x:c r="F16" s="119"/>
      <x:c r="G16" s="119"/>
      <x:c r="H16" s="130" t="str">
        <x:f>IF(A16="","",IF(AND(COUNTA(M16:X16)&gt;=SETUP!$B$10,COUNTIF(M16:X16,MAX(M16:X16))=COUNTA(M16:X16)),"Yes","No"))</x:f>
      </x:c>
      <x:c r="I16" s="130" t="str">
        <x:f>IF(A16="","",IF('SURVEY DESIGN'!C16&lt;&gt;"",--(M16=""),0)+IF('SURVEY DESIGN'!C17&lt;&gt;"",--(N16=""),0)+IF('SURVEY DESIGN'!C18&lt;&gt;"",--(O16=""),0)+IF('SURVEY DESIGN'!C19&lt;&gt;"",--(P16=""),0)+IF('SURVEY DESIGN'!C20&lt;&gt;"",--(Q16=""),0)+IF('SURVEY DESIGN'!C21&lt;&gt;"",--(R16=""),0)+IF('SURVEY DESIGN'!C22&lt;&gt;"",--(S16=""),0)+IF('SURVEY DESIGN'!C23&lt;&gt;"",--(T16=""),0)+IF('SURVEY DESIGN'!C24&lt;&gt;"",--(U16=""),0)+IF('SURVEY DESIGN'!C25&lt;&gt;"",--(V16=""),0)+IF('SURVEY DESIGN'!C26&lt;&gt;"",--(W16=""),0)+IF('SURVEY DESIGN'!C27&lt;&gt;"",--(X16=""),0))</x:f>
      </x:c>
      <x:c r="J16" s="130" t="str">
        <x:f>IF(A16="","",IF(C16&lt;&gt;"Yes","NO CONSENT",IF(F16&lt;SETUP!$B$9,"SPEEDING",IF(G16&lt;&gt;"Yes","ATTENTION CHECK",IF(H16="Yes","STRAIGHTLINE REVIEW",IF(I16&gt;0,"MISSING ITEMS","OK"))))))</x:f>
      </x:c>
      <x:c r="K16" s="130" t="str">
        <x:f>IF(A16="","",IF(J16="OK","Yes","No"))</x:f>
      </x:c>
      <x:c r="L16" s="130" t="str">
        <x:f>IF(A16="","",IF(J16="OK","",IF(J16="NO CONSENT","Consent not affirmed",IF(J16="SPEEDING","Completion time below threshold",IF(J16="ATTENTION CHECK","Attention check failed",IF(J16="STRAIGHTLINE REVIEW","Straightlining review threshold met","Missing scored item(s)"))))))</x:f>
      </x:c>
      <x:c r="M16" s="119"/>
      <x:c r="N16" s="119"/>
      <x:c r="O16" s="119"/>
      <x:c r="P16" s="119"/>
      <x:c r="Q16" s="119"/>
      <x:c r="R16" s="119"/>
      <x:c r="S16" s="119"/>
      <x:c r="T16" s="119"/>
      <x:c r="U16" s="119"/>
      <x:c r="V16" s="119"/>
      <x:c r="W16" s="119"/>
      <x:c r="X16" s="119"/>
      <x:c r="Y16" s="133" t="str">
        <x:f>IF(K16&lt;&gt;"Yes","",IFERROR(AVERAGE(M16:X16),""))</x:f>
      </x:c>
      <x:c r="Z16" s="119"/>
    </x:row>
    <x:row r="17">
      <x:c r="A17" s="119"/>
      <x:c r="B17" s="119"/>
      <x:c r="C17" s="119"/>
      <x:c r="D17" s="119"/>
      <x:c r="E17" s="119"/>
      <x:c r="F17" s="119"/>
      <x:c r="G17" s="119"/>
      <x:c r="H17" s="130" t="str">
        <x:f>IF(A17="","",IF(AND(COUNTA(M17:X17)&gt;=SETUP!$B$10,COUNTIF(M17:X17,MAX(M17:X17))=COUNTA(M17:X17)),"Yes","No"))</x:f>
      </x:c>
      <x:c r="I17" s="130" t="str">
        <x:f>IF(A17="","",IF('SURVEY DESIGN'!C17&lt;&gt;"",--(M17=""),0)+IF('SURVEY DESIGN'!C18&lt;&gt;"",--(N17=""),0)+IF('SURVEY DESIGN'!C19&lt;&gt;"",--(O17=""),0)+IF('SURVEY DESIGN'!C20&lt;&gt;"",--(P17=""),0)+IF('SURVEY DESIGN'!C21&lt;&gt;"",--(Q17=""),0)+IF('SURVEY DESIGN'!C22&lt;&gt;"",--(R17=""),0)+IF('SURVEY DESIGN'!C23&lt;&gt;"",--(S17=""),0)+IF('SURVEY DESIGN'!C24&lt;&gt;"",--(T17=""),0)+IF('SURVEY DESIGN'!C25&lt;&gt;"",--(U17=""),0)+IF('SURVEY DESIGN'!C26&lt;&gt;"",--(V17=""),0)+IF('SURVEY DESIGN'!C27&lt;&gt;"",--(W17=""),0)+IF('SURVEY DESIGN'!C28&lt;&gt;"",--(X17=""),0))</x:f>
      </x:c>
      <x:c r="J17" s="130" t="str">
        <x:f>IF(A17="","",IF(C17&lt;&gt;"Yes","NO CONSENT",IF(F17&lt;SETUP!$B$9,"SPEEDING",IF(G17&lt;&gt;"Yes","ATTENTION CHECK",IF(H17="Yes","STRAIGHTLINE REVIEW",IF(I17&gt;0,"MISSING ITEMS","OK"))))))</x:f>
      </x:c>
      <x:c r="K17" s="130" t="str">
        <x:f>IF(A17="","",IF(J17="OK","Yes","No"))</x:f>
      </x:c>
      <x:c r="L17" s="130" t="str">
        <x:f>IF(A17="","",IF(J17="OK","",IF(J17="NO CONSENT","Consent not affirmed",IF(J17="SPEEDING","Completion time below threshold",IF(J17="ATTENTION CHECK","Attention check failed",IF(J17="STRAIGHTLINE REVIEW","Straightlining review threshold met","Missing scored item(s)"))))))</x:f>
      </x:c>
      <x:c r="M17" s="119"/>
      <x:c r="N17" s="119"/>
      <x:c r="O17" s="119"/>
      <x:c r="P17" s="119"/>
      <x:c r="Q17" s="119"/>
      <x:c r="R17" s="119"/>
      <x:c r="S17" s="119"/>
      <x:c r="T17" s="119"/>
      <x:c r="U17" s="119"/>
      <x:c r="V17" s="119"/>
      <x:c r="W17" s="119"/>
      <x:c r="X17" s="119"/>
      <x:c r="Y17" s="133" t="str">
        <x:f>IF(K17&lt;&gt;"Yes","",IFERROR(AVERAGE(M17:X17),""))</x:f>
      </x:c>
      <x:c r="Z17" s="119"/>
    </x:row>
    <x:row r="18">
      <x:c r="A18" s="119"/>
      <x:c r="B18" s="119"/>
      <x:c r="C18" s="119"/>
      <x:c r="D18" s="119"/>
      <x:c r="E18" s="119"/>
      <x:c r="F18" s="119"/>
      <x:c r="G18" s="119"/>
      <x:c r="H18" s="130" t="str">
        <x:f>IF(A18="","",IF(AND(COUNTA(M18:X18)&gt;=SETUP!$B$10,COUNTIF(M18:X18,MAX(M18:X18))=COUNTA(M18:X18)),"Yes","No"))</x:f>
      </x:c>
      <x:c r="I18" s="130" t="str">
        <x:f>IF(A18="","",IF('SURVEY DESIGN'!C18&lt;&gt;"",--(M18=""),0)+IF('SURVEY DESIGN'!C19&lt;&gt;"",--(N18=""),0)+IF('SURVEY DESIGN'!C20&lt;&gt;"",--(O18=""),0)+IF('SURVEY DESIGN'!C21&lt;&gt;"",--(P18=""),0)+IF('SURVEY DESIGN'!C22&lt;&gt;"",--(Q18=""),0)+IF('SURVEY DESIGN'!C23&lt;&gt;"",--(R18=""),0)+IF('SURVEY DESIGN'!C24&lt;&gt;"",--(S18=""),0)+IF('SURVEY DESIGN'!C25&lt;&gt;"",--(T18=""),0)+IF('SURVEY DESIGN'!C26&lt;&gt;"",--(U18=""),0)+IF('SURVEY DESIGN'!C27&lt;&gt;"",--(V18=""),0)+IF('SURVEY DESIGN'!C28&lt;&gt;"",--(W18=""),0)+IF('SURVEY DESIGN'!C29&lt;&gt;"",--(X18=""),0))</x:f>
      </x:c>
      <x:c r="J18" s="130" t="str">
        <x:f>IF(A18="","",IF(C18&lt;&gt;"Yes","NO CONSENT",IF(F18&lt;SETUP!$B$9,"SPEEDING",IF(G18&lt;&gt;"Yes","ATTENTION CHECK",IF(H18="Yes","STRAIGHTLINE REVIEW",IF(I18&gt;0,"MISSING ITEMS","OK"))))))</x:f>
      </x:c>
      <x:c r="K18" s="130" t="str">
        <x:f>IF(A18="","",IF(J18="OK","Yes","No"))</x:f>
      </x:c>
      <x:c r="L18" s="130" t="str">
        <x:f>IF(A18="","",IF(J18="OK","",IF(J18="NO CONSENT","Consent not affirmed",IF(J18="SPEEDING","Completion time below threshold",IF(J18="ATTENTION CHECK","Attention check failed",IF(J18="STRAIGHTLINE REVIEW","Straightlining review threshold met","Missing scored item(s)"))))))</x:f>
      </x:c>
      <x:c r="M18" s="119"/>
      <x:c r="N18" s="119"/>
      <x:c r="O18" s="119"/>
      <x:c r="P18" s="119"/>
      <x:c r="Q18" s="119"/>
      <x:c r="R18" s="119"/>
      <x:c r="S18" s="119"/>
      <x:c r="T18" s="119"/>
      <x:c r="U18" s="119"/>
      <x:c r="V18" s="119"/>
      <x:c r="W18" s="119"/>
      <x:c r="X18" s="119"/>
      <x:c r="Y18" s="133" t="str">
        <x:f>IF(K18&lt;&gt;"Yes","",IFERROR(AVERAGE(M18:X18),""))</x:f>
      </x:c>
      <x:c r="Z18" s="119"/>
    </x:row>
    <x:row r="19">
      <x:c r="A19" s="119"/>
      <x:c r="B19" s="119"/>
      <x:c r="C19" s="119"/>
      <x:c r="D19" s="119"/>
      <x:c r="E19" s="119"/>
      <x:c r="F19" s="119"/>
      <x:c r="G19" s="119"/>
      <x:c r="H19" s="130" t="str">
        <x:f>IF(A19="","",IF(AND(COUNTA(M19:X19)&gt;=SETUP!$B$10,COUNTIF(M19:X19,MAX(M19:X19))=COUNTA(M19:X19)),"Yes","No"))</x:f>
      </x:c>
      <x:c r="I19" s="130" t="str">
        <x:f>IF(A19="","",IF('SURVEY DESIGN'!C19&lt;&gt;"",--(M19=""),0)+IF('SURVEY DESIGN'!C20&lt;&gt;"",--(N19=""),0)+IF('SURVEY DESIGN'!C21&lt;&gt;"",--(O19=""),0)+IF('SURVEY DESIGN'!C22&lt;&gt;"",--(P19=""),0)+IF('SURVEY DESIGN'!C23&lt;&gt;"",--(Q19=""),0)+IF('SURVEY DESIGN'!C24&lt;&gt;"",--(R19=""),0)+IF('SURVEY DESIGN'!C25&lt;&gt;"",--(S19=""),0)+IF('SURVEY DESIGN'!C26&lt;&gt;"",--(T19=""),0)+IF('SURVEY DESIGN'!C27&lt;&gt;"",--(U19=""),0)+IF('SURVEY DESIGN'!C28&lt;&gt;"",--(V19=""),0)+IF('SURVEY DESIGN'!C29&lt;&gt;"",--(W19=""),0)+IF('SURVEY DESIGN'!C30&lt;&gt;"",--(X19=""),0))</x:f>
      </x:c>
      <x:c r="J19" s="130" t="str">
        <x:f>IF(A19="","",IF(C19&lt;&gt;"Yes","NO CONSENT",IF(F19&lt;SETUP!$B$9,"SPEEDING",IF(G19&lt;&gt;"Yes","ATTENTION CHECK",IF(H19="Yes","STRAIGHTLINE REVIEW",IF(I19&gt;0,"MISSING ITEMS","OK"))))))</x:f>
      </x:c>
      <x:c r="K19" s="130" t="str">
        <x:f>IF(A19="","",IF(J19="OK","Yes","No"))</x:f>
      </x:c>
      <x:c r="L19" s="130" t="str">
        <x:f>IF(A19="","",IF(J19="OK","",IF(J19="NO CONSENT","Consent not affirmed",IF(J19="SPEEDING","Completion time below threshold",IF(J19="ATTENTION CHECK","Attention check failed",IF(J19="STRAIGHTLINE REVIEW","Straightlining review threshold met","Missing scored item(s)"))))))</x:f>
      </x:c>
      <x:c r="M19" s="119"/>
      <x:c r="N19" s="119"/>
      <x:c r="O19" s="119"/>
      <x:c r="P19" s="119"/>
      <x:c r="Q19" s="119"/>
      <x:c r="R19" s="119"/>
      <x:c r="S19" s="119"/>
      <x:c r="T19" s="119"/>
      <x:c r="U19" s="119"/>
      <x:c r="V19" s="119"/>
      <x:c r="W19" s="119"/>
      <x:c r="X19" s="119"/>
      <x:c r="Y19" s="133" t="str">
        <x:f>IF(K19&lt;&gt;"Yes","",IFERROR(AVERAGE(M19:X19),""))</x:f>
      </x:c>
      <x:c r="Z19" s="119"/>
    </x:row>
    <x:row r="20">
      <x:c r="A20" s="119"/>
      <x:c r="B20" s="119"/>
      <x:c r="C20" s="119"/>
      <x:c r="D20" s="119"/>
      <x:c r="E20" s="119"/>
      <x:c r="F20" s="119"/>
      <x:c r="G20" s="119"/>
      <x:c r="H20" s="130" t="str">
        <x:f>IF(A20="","",IF(AND(COUNTA(M20:X20)&gt;=SETUP!$B$10,COUNTIF(M20:X20,MAX(M20:X20))=COUNTA(M20:X20)),"Yes","No"))</x:f>
      </x:c>
      <x:c r="I20" s="130" t="str">
        <x:f>IF(A20="","",IF('SURVEY DESIGN'!C20&lt;&gt;"",--(M20=""),0)+IF('SURVEY DESIGN'!C21&lt;&gt;"",--(N20=""),0)+IF('SURVEY DESIGN'!C22&lt;&gt;"",--(O20=""),0)+IF('SURVEY DESIGN'!C23&lt;&gt;"",--(P20=""),0)+IF('SURVEY DESIGN'!C24&lt;&gt;"",--(Q20=""),0)+IF('SURVEY DESIGN'!C25&lt;&gt;"",--(R20=""),0)+IF('SURVEY DESIGN'!C26&lt;&gt;"",--(S20=""),0)+IF('SURVEY DESIGN'!C27&lt;&gt;"",--(T20=""),0)+IF('SURVEY DESIGN'!C28&lt;&gt;"",--(U20=""),0)+IF('SURVEY DESIGN'!C29&lt;&gt;"",--(V20=""),0)+IF('SURVEY DESIGN'!C30&lt;&gt;"",--(W20=""),0)+IF('SURVEY DESIGN'!C31&lt;&gt;"",--(X20=""),0))</x:f>
      </x:c>
      <x:c r="J20" s="130" t="str">
        <x:f>IF(A20="","",IF(C20&lt;&gt;"Yes","NO CONSENT",IF(F20&lt;SETUP!$B$9,"SPEEDING",IF(G20&lt;&gt;"Yes","ATTENTION CHECK",IF(H20="Yes","STRAIGHTLINE REVIEW",IF(I20&gt;0,"MISSING ITEMS","OK"))))))</x:f>
      </x:c>
      <x:c r="K20" s="130" t="str">
        <x:f>IF(A20="","",IF(J20="OK","Yes","No"))</x:f>
      </x:c>
      <x:c r="L20" s="130" t="str">
        <x:f>IF(A20="","",IF(J20="OK","",IF(J20="NO CONSENT","Consent not affirmed",IF(J20="SPEEDING","Completion time below threshold",IF(J20="ATTENTION CHECK","Attention check failed",IF(J20="STRAIGHTLINE REVIEW","Straightlining review threshold met","Missing scored item(s)"))))))</x:f>
      </x:c>
      <x:c r="M20" s="119"/>
      <x:c r="N20" s="119"/>
      <x:c r="O20" s="119"/>
      <x:c r="P20" s="119"/>
      <x:c r="Q20" s="119"/>
      <x:c r="R20" s="119"/>
      <x:c r="S20" s="119"/>
      <x:c r="T20" s="119"/>
      <x:c r="U20" s="119"/>
      <x:c r="V20" s="119"/>
      <x:c r="W20" s="119"/>
      <x:c r="X20" s="119"/>
      <x:c r="Y20" s="133" t="str">
        <x:f>IF(K20&lt;&gt;"Yes","",IFERROR(AVERAGE(M20:X20),""))</x:f>
      </x:c>
      <x:c r="Z20" s="119"/>
    </x:row>
    <x:row r="21">
      <x:c r="A21" s="119"/>
      <x:c r="B21" s="119"/>
      <x:c r="C21" s="119"/>
      <x:c r="D21" s="119"/>
      <x:c r="E21" s="119"/>
      <x:c r="F21" s="119"/>
      <x:c r="G21" s="119"/>
      <x:c r="H21" s="130" t="str">
        <x:f>IF(A21="","",IF(AND(COUNTA(M21:X21)&gt;=SETUP!$B$10,COUNTIF(M21:X21,MAX(M21:X21))=COUNTA(M21:X21)),"Yes","No"))</x:f>
      </x:c>
      <x:c r="I21" s="130" t="str">
        <x:f>IF(A21="","",IF('SURVEY DESIGN'!C21&lt;&gt;"",--(M21=""),0)+IF('SURVEY DESIGN'!C22&lt;&gt;"",--(N21=""),0)+IF('SURVEY DESIGN'!C23&lt;&gt;"",--(O21=""),0)+IF('SURVEY DESIGN'!C24&lt;&gt;"",--(P21=""),0)+IF('SURVEY DESIGN'!C25&lt;&gt;"",--(Q21=""),0)+IF('SURVEY DESIGN'!C26&lt;&gt;"",--(R21=""),0)+IF('SURVEY DESIGN'!C27&lt;&gt;"",--(S21=""),0)+IF('SURVEY DESIGN'!C28&lt;&gt;"",--(T21=""),0)+IF('SURVEY DESIGN'!C29&lt;&gt;"",--(U21=""),0)+IF('SURVEY DESIGN'!C30&lt;&gt;"",--(V21=""),0)+IF('SURVEY DESIGN'!C31&lt;&gt;"",--(W21=""),0)+IF('SURVEY DESIGN'!C32&lt;&gt;"",--(X21=""),0))</x:f>
      </x:c>
      <x:c r="J21" s="130" t="str">
        <x:f>IF(A21="","",IF(C21&lt;&gt;"Yes","NO CONSENT",IF(F21&lt;SETUP!$B$9,"SPEEDING",IF(G21&lt;&gt;"Yes","ATTENTION CHECK",IF(H21="Yes","STRAIGHTLINE REVIEW",IF(I21&gt;0,"MISSING ITEMS","OK"))))))</x:f>
      </x:c>
      <x:c r="K21" s="130" t="str">
        <x:f>IF(A21="","",IF(J21="OK","Yes","No"))</x:f>
      </x:c>
      <x:c r="L21" s="130" t="str">
        <x:f>IF(A21="","",IF(J21="OK","",IF(J21="NO CONSENT","Consent not affirmed",IF(J21="SPEEDING","Completion time below threshold",IF(J21="ATTENTION CHECK","Attention check failed",IF(J21="STRAIGHTLINE REVIEW","Straightlining review threshold met","Missing scored item(s)"))))))</x:f>
      </x:c>
      <x:c r="M21" s="119"/>
      <x:c r="N21" s="119"/>
      <x:c r="O21" s="119"/>
      <x:c r="P21" s="119"/>
      <x:c r="Q21" s="119"/>
      <x:c r="R21" s="119"/>
      <x:c r="S21" s="119"/>
      <x:c r="T21" s="119"/>
      <x:c r="U21" s="119"/>
      <x:c r="V21" s="119"/>
      <x:c r="W21" s="119"/>
      <x:c r="X21" s="119"/>
      <x:c r="Y21" s="133" t="str">
        <x:f>IF(K21&lt;&gt;"Yes","",IFERROR(AVERAGE(M21:X21),""))</x:f>
      </x:c>
      <x:c r="Z21" s="119"/>
    </x:row>
    <x:row r="22">
      <x:c r="A22" s="119"/>
      <x:c r="B22" s="119"/>
      <x:c r="C22" s="119"/>
      <x:c r="D22" s="119"/>
      <x:c r="E22" s="119"/>
      <x:c r="F22" s="119"/>
      <x:c r="G22" s="119"/>
      <x:c r="H22" s="130" t="str">
        <x:f>IF(A22="","",IF(AND(COUNTA(M22:X22)&gt;=SETUP!$B$10,COUNTIF(M22:X22,MAX(M22:X22))=COUNTA(M22:X22)),"Yes","No"))</x:f>
      </x:c>
      <x:c r="I22" s="130" t="str">
        <x:f>IF(A22="","",IF('SURVEY DESIGN'!C22&lt;&gt;"",--(M22=""),0)+IF('SURVEY DESIGN'!C23&lt;&gt;"",--(N22=""),0)+IF('SURVEY DESIGN'!C24&lt;&gt;"",--(O22=""),0)+IF('SURVEY DESIGN'!C25&lt;&gt;"",--(P22=""),0)+IF('SURVEY DESIGN'!C26&lt;&gt;"",--(Q22=""),0)+IF('SURVEY DESIGN'!C27&lt;&gt;"",--(R22=""),0)+IF('SURVEY DESIGN'!C28&lt;&gt;"",--(S22=""),0)+IF('SURVEY DESIGN'!C29&lt;&gt;"",--(T22=""),0)+IF('SURVEY DESIGN'!C30&lt;&gt;"",--(U22=""),0)+IF('SURVEY DESIGN'!C31&lt;&gt;"",--(V22=""),0)+IF('SURVEY DESIGN'!C32&lt;&gt;"",--(W22=""),0)+IF('SURVEY DESIGN'!C33&lt;&gt;"",--(X22=""),0))</x:f>
      </x:c>
      <x:c r="J22" s="130" t="str">
        <x:f>IF(A22="","",IF(C22&lt;&gt;"Yes","NO CONSENT",IF(F22&lt;SETUP!$B$9,"SPEEDING",IF(G22&lt;&gt;"Yes","ATTENTION CHECK",IF(H22="Yes","STRAIGHTLINE REVIEW",IF(I22&gt;0,"MISSING ITEMS","OK"))))))</x:f>
      </x:c>
      <x:c r="K22" s="130" t="str">
        <x:f>IF(A22="","",IF(J22="OK","Yes","No"))</x:f>
      </x:c>
      <x:c r="L22" s="130" t="str">
        <x:f>IF(A22="","",IF(J22="OK","",IF(J22="NO CONSENT","Consent not affirmed",IF(J22="SPEEDING","Completion time below threshold",IF(J22="ATTENTION CHECK","Attention check failed",IF(J22="STRAIGHTLINE REVIEW","Straightlining review threshold met","Missing scored item(s)"))))))</x:f>
      </x:c>
      <x:c r="M22" s="119"/>
      <x:c r="N22" s="119"/>
      <x:c r="O22" s="119"/>
      <x:c r="P22" s="119"/>
      <x:c r="Q22" s="119"/>
      <x:c r="R22" s="119"/>
      <x:c r="S22" s="119"/>
      <x:c r="T22" s="119"/>
      <x:c r="U22" s="119"/>
      <x:c r="V22" s="119"/>
      <x:c r="W22" s="119"/>
      <x:c r="X22" s="119"/>
      <x:c r="Y22" s="133" t="str">
        <x:f>IF(K22&lt;&gt;"Yes","",IFERROR(AVERAGE(M22:X22),""))</x:f>
      </x:c>
      <x:c r="Z22" s="119"/>
    </x:row>
    <x:row r="23">
      <x:c r="A23" s="119"/>
      <x:c r="B23" s="119"/>
      <x:c r="C23" s="119"/>
      <x:c r="D23" s="119"/>
      <x:c r="E23" s="119"/>
      <x:c r="F23" s="119"/>
      <x:c r="G23" s="119"/>
      <x:c r="H23" s="130" t="str">
        <x:f>IF(A23="","",IF(AND(COUNTA(M23:X23)&gt;=SETUP!$B$10,COUNTIF(M23:X23,MAX(M23:X23))=COUNTA(M23:X23)),"Yes","No"))</x:f>
      </x:c>
      <x:c r="I23" s="130" t="str">
        <x:f>IF(A23="","",IF('SURVEY DESIGN'!C23&lt;&gt;"",--(M23=""),0)+IF('SURVEY DESIGN'!C24&lt;&gt;"",--(N23=""),0)+IF('SURVEY DESIGN'!C25&lt;&gt;"",--(O23=""),0)+IF('SURVEY DESIGN'!C26&lt;&gt;"",--(P23=""),0)+IF('SURVEY DESIGN'!C27&lt;&gt;"",--(Q23=""),0)+IF('SURVEY DESIGN'!C28&lt;&gt;"",--(R23=""),0)+IF('SURVEY DESIGN'!C29&lt;&gt;"",--(S23=""),0)+IF('SURVEY DESIGN'!C30&lt;&gt;"",--(T23=""),0)+IF('SURVEY DESIGN'!C31&lt;&gt;"",--(U23=""),0)+IF('SURVEY DESIGN'!C32&lt;&gt;"",--(V23=""),0)+IF('SURVEY DESIGN'!C33&lt;&gt;"",--(W23=""),0)+IF('SURVEY DESIGN'!C34&lt;&gt;"",--(X23=""),0))</x:f>
      </x:c>
      <x:c r="J23" s="130" t="str">
        <x:f>IF(A23="","",IF(C23&lt;&gt;"Yes","NO CONSENT",IF(F23&lt;SETUP!$B$9,"SPEEDING",IF(G23&lt;&gt;"Yes","ATTENTION CHECK",IF(H23="Yes","STRAIGHTLINE REVIEW",IF(I23&gt;0,"MISSING ITEMS","OK"))))))</x:f>
      </x:c>
      <x:c r="K23" s="130" t="str">
        <x:f>IF(A23="","",IF(J23="OK","Yes","No"))</x:f>
      </x:c>
      <x:c r="L23" s="130" t="str">
        <x:f>IF(A23="","",IF(J23="OK","",IF(J23="NO CONSENT","Consent not affirmed",IF(J23="SPEEDING","Completion time below threshold",IF(J23="ATTENTION CHECK","Attention check failed",IF(J23="STRAIGHTLINE REVIEW","Straightlining review threshold met","Missing scored item(s)"))))))</x:f>
      </x:c>
      <x:c r="M23" s="119"/>
      <x:c r="N23" s="119"/>
      <x:c r="O23" s="119"/>
      <x:c r="P23" s="119"/>
      <x:c r="Q23" s="119"/>
      <x:c r="R23" s="119"/>
      <x:c r="S23" s="119"/>
      <x:c r="T23" s="119"/>
      <x:c r="U23" s="119"/>
      <x:c r="V23" s="119"/>
      <x:c r="W23" s="119"/>
      <x:c r="X23" s="119"/>
      <x:c r="Y23" s="133" t="str">
        <x:f>IF(K23&lt;&gt;"Yes","",IFERROR(AVERAGE(M23:X23),""))</x:f>
      </x:c>
      <x:c r="Z23" s="119"/>
    </x:row>
    <x:row r="24">
      <x:c r="A24" s="119"/>
      <x:c r="B24" s="119"/>
      <x:c r="C24" s="119"/>
      <x:c r="D24" s="119"/>
      <x:c r="E24" s="119"/>
      <x:c r="F24" s="119"/>
      <x:c r="G24" s="119"/>
      <x:c r="H24" s="130" t="str">
        <x:f>IF(A24="","",IF(AND(COUNTA(M24:X24)&gt;=SETUP!$B$10,COUNTIF(M24:X24,MAX(M24:X24))=COUNTA(M24:X24)),"Yes","No"))</x:f>
      </x:c>
      <x:c r="I24" s="130" t="str">
        <x:f>IF(A24="","",IF('SURVEY DESIGN'!C24&lt;&gt;"",--(M24=""),0)+IF('SURVEY DESIGN'!C25&lt;&gt;"",--(N24=""),0)+IF('SURVEY DESIGN'!C26&lt;&gt;"",--(O24=""),0)+IF('SURVEY DESIGN'!C27&lt;&gt;"",--(P24=""),0)+IF('SURVEY DESIGN'!C28&lt;&gt;"",--(Q24=""),0)+IF('SURVEY DESIGN'!C29&lt;&gt;"",--(R24=""),0)+IF('SURVEY DESIGN'!C30&lt;&gt;"",--(S24=""),0)+IF('SURVEY DESIGN'!C31&lt;&gt;"",--(T24=""),0)+IF('SURVEY DESIGN'!C32&lt;&gt;"",--(U24=""),0)+IF('SURVEY DESIGN'!C33&lt;&gt;"",--(V24=""),0)+IF('SURVEY DESIGN'!C34&lt;&gt;"",--(W24=""),0)+IF('SURVEY DESIGN'!C35&lt;&gt;"",--(X24=""),0))</x:f>
      </x:c>
      <x:c r="J24" s="130" t="str">
        <x:f>IF(A24="","",IF(C24&lt;&gt;"Yes","NO CONSENT",IF(F24&lt;SETUP!$B$9,"SPEEDING",IF(G24&lt;&gt;"Yes","ATTENTION CHECK",IF(H24="Yes","STRAIGHTLINE REVIEW",IF(I24&gt;0,"MISSING ITEMS","OK"))))))</x:f>
      </x:c>
      <x:c r="K24" s="130" t="str">
        <x:f>IF(A24="","",IF(J24="OK","Yes","No"))</x:f>
      </x:c>
      <x:c r="L24" s="130" t="str">
        <x:f>IF(A24="","",IF(J24="OK","",IF(J24="NO CONSENT","Consent not affirmed",IF(J24="SPEEDING","Completion time below threshold",IF(J24="ATTENTION CHECK","Attention check failed",IF(J24="STRAIGHTLINE REVIEW","Straightlining review threshold met","Missing scored item(s)"))))))</x:f>
      </x:c>
      <x:c r="M24" s="119"/>
      <x:c r="N24" s="119"/>
      <x:c r="O24" s="119"/>
      <x:c r="P24" s="119"/>
      <x:c r="Q24" s="119"/>
      <x:c r="R24" s="119"/>
      <x:c r="S24" s="119"/>
      <x:c r="T24" s="119"/>
      <x:c r="U24" s="119"/>
      <x:c r="V24" s="119"/>
      <x:c r="W24" s="119"/>
      <x:c r="X24" s="119"/>
      <x:c r="Y24" s="133" t="str">
        <x:f>IF(K24&lt;&gt;"Yes","",IFERROR(AVERAGE(M24:X24),""))</x:f>
      </x:c>
      <x:c r="Z24" s="119"/>
    </x:row>
    <x:row r="25">
      <x:c r="A25" s="119"/>
      <x:c r="B25" s="119"/>
      <x:c r="C25" s="119"/>
      <x:c r="D25" s="119"/>
      <x:c r="E25" s="119"/>
      <x:c r="F25" s="119"/>
      <x:c r="G25" s="119"/>
      <x:c r="H25" s="130" t="str">
        <x:f>IF(A25="","",IF(AND(COUNTA(M25:X25)&gt;=SETUP!$B$10,COUNTIF(M25:X25,MAX(M25:X25))=COUNTA(M25:X25)),"Yes","No"))</x:f>
      </x:c>
      <x:c r="I25" s="130" t="str">
        <x:f>IF(A25="","",IF('SURVEY DESIGN'!C25&lt;&gt;"",--(M25=""),0)+IF('SURVEY DESIGN'!C26&lt;&gt;"",--(N25=""),0)+IF('SURVEY DESIGN'!C27&lt;&gt;"",--(O25=""),0)+IF('SURVEY DESIGN'!C28&lt;&gt;"",--(P25=""),0)+IF('SURVEY DESIGN'!C29&lt;&gt;"",--(Q25=""),0)+IF('SURVEY DESIGN'!C30&lt;&gt;"",--(R25=""),0)+IF('SURVEY DESIGN'!C31&lt;&gt;"",--(S25=""),0)+IF('SURVEY DESIGN'!C32&lt;&gt;"",--(T25=""),0)+IF('SURVEY DESIGN'!C33&lt;&gt;"",--(U25=""),0)+IF('SURVEY DESIGN'!C34&lt;&gt;"",--(V25=""),0)+IF('SURVEY DESIGN'!C35&lt;&gt;"",--(W25=""),0)+IF('SURVEY DESIGN'!C36&lt;&gt;"",--(X25=""),0))</x:f>
      </x:c>
      <x:c r="J25" s="130" t="str">
        <x:f>IF(A25="","",IF(C25&lt;&gt;"Yes","NO CONSENT",IF(F25&lt;SETUP!$B$9,"SPEEDING",IF(G25&lt;&gt;"Yes","ATTENTION CHECK",IF(H25="Yes","STRAIGHTLINE REVIEW",IF(I25&gt;0,"MISSING ITEMS","OK"))))))</x:f>
      </x:c>
      <x:c r="K25" s="130" t="str">
        <x:f>IF(A25="","",IF(J25="OK","Yes","No"))</x:f>
      </x:c>
      <x:c r="L25" s="130" t="str">
        <x:f>IF(A25="","",IF(J25="OK","",IF(J25="NO CONSENT","Consent not affirmed",IF(J25="SPEEDING","Completion time below threshold",IF(J25="ATTENTION CHECK","Attention check failed",IF(J25="STRAIGHTLINE REVIEW","Straightlining review threshold met","Missing scored item(s)"))))))</x:f>
      </x:c>
      <x:c r="M25" s="119"/>
      <x:c r="N25" s="119"/>
      <x:c r="O25" s="119"/>
      <x:c r="P25" s="119"/>
      <x:c r="Q25" s="119"/>
      <x:c r="R25" s="119"/>
      <x:c r="S25" s="119"/>
      <x:c r="T25" s="119"/>
      <x:c r="U25" s="119"/>
      <x:c r="V25" s="119"/>
      <x:c r="W25" s="119"/>
      <x:c r="X25" s="119"/>
      <x:c r="Y25" s="133" t="str">
        <x:f>IF(K25&lt;&gt;"Yes","",IFERROR(AVERAGE(M25:X25),""))</x:f>
      </x:c>
      <x:c r="Z25" s="119"/>
    </x:row>
    <x:row r="26">
      <x:c r="A26" s="119"/>
      <x:c r="B26" s="119"/>
      <x:c r="C26" s="119"/>
      <x:c r="D26" s="119"/>
      <x:c r="E26" s="119"/>
      <x:c r="F26" s="119"/>
      <x:c r="G26" s="119"/>
      <x:c r="H26" s="130" t="str">
        <x:f>IF(A26="","",IF(AND(COUNTA(M26:X26)&gt;=SETUP!$B$10,COUNTIF(M26:X26,MAX(M26:X26))=COUNTA(M26:X26)),"Yes","No"))</x:f>
      </x:c>
      <x:c r="I26" s="130" t="str">
        <x:f>IF(A26="","",IF('SURVEY DESIGN'!C26&lt;&gt;"",--(M26=""),0)+IF('SURVEY DESIGN'!C27&lt;&gt;"",--(N26=""),0)+IF('SURVEY DESIGN'!C28&lt;&gt;"",--(O26=""),0)+IF('SURVEY DESIGN'!C29&lt;&gt;"",--(P26=""),0)+IF('SURVEY DESIGN'!C30&lt;&gt;"",--(Q26=""),0)+IF('SURVEY DESIGN'!C31&lt;&gt;"",--(R26=""),0)+IF('SURVEY DESIGN'!C32&lt;&gt;"",--(S26=""),0)+IF('SURVEY DESIGN'!C33&lt;&gt;"",--(T26=""),0)+IF('SURVEY DESIGN'!C34&lt;&gt;"",--(U26=""),0)+IF('SURVEY DESIGN'!C35&lt;&gt;"",--(V26=""),0)+IF('SURVEY DESIGN'!C36&lt;&gt;"",--(W26=""),0)+IF('SURVEY DESIGN'!C37&lt;&gt;"",--(X26=""),0))</x:f>
      </x:c>
      <x:c r="J26" s="130" t="str">
        <x:f>IF(A26="","",IF(C26&lt;&gt;"Yes","NO CONSENT",IF(F26&lt;SETUP!$B$9,"SPEEDING",IF(G26&lt;&gt;"Yes","ATTENTION CHECK",IF(H26="Yes","STRAIGHTLINE REVIEW",IF(I26&gt;0,"MISSING ITEMS","OK"))))))</x:f>
      </x:c>
      <x:c r="K26" s="130" t="str">
        <x:f>IF(A26="","",IF(J26="OK","Yes","No"))</x:f>
      </x:c>
      <x:c r="L26" s="130" t="str">
        <x:f>IF(A26="","",IF(J26="OK","",IF(J26="NO CONSENT","Consent not affirmed",IF(J26="SPEEDING","Completion time below threshold",IF(J26="ATTENTION CHECK","Attention check failed",IF(J26="STRAIGHTLINE REVIEW","Straightlining review threshold met","Missing scored item(s)"))))))</x:f>
      </x:c>
      <x:c r="M26" s="119"/>
      <x:c r="N26" s="119"/>
      <x:c r="O26" s="119"/>
      <x:c r="P26" s="119"/>
      <x:c r="Q26" s="119"/>
      <x:c r="R26" s="119"/>
      <x:c r="S26" s="119"/>
      <x:c r="T26" s="119"/>
      <x:c r="U26" s="119"/>
      <x:c r="V26" s="119"/>
      <x:c r="W26" s="119"/>
      <x:c r="X26" s="119"/>
      <x:c r="Y26" s="133" t="str">
        <x:f>IF(K26&lt;&gt;"Yes","",IFERROR(AVERAGE(M26:X26),""))</x:f>
      </x:c>
      <x:c r="Z26" s="119"/>
    </x:row>
    <x:row r="27">
      <x:c r="A27" s="119"/>
      <x:c r="B27" s="119"/>
      <x:c r="C27" s="119"/>
      <x:c r="D27" s="119"/>
      <x:c r="E27" s="119"/>
      <x:c r="F27" s="119"/>
      <x:c r="G27" s="119"/>
      <x:c r="H27" s="130" t="str">
        <x:f>IF(A27="","",IF(AND(COUNTA(M27:X27)&gt;=SETUP!$B$10,COUNTIF(M27:X27,MAX(M27:X27))=COUNTA(M27:X27)),"Yes","No"))</x:f>
      </x:c>
      <x:c r="I27" s="130" t="str">
        <x:f>IF(A27="","",IF('SURVEY DESIGN'!C27&lt;&gt;"",--(M27=""),0)+IF('SURVEY DESIGN'!C28&lt;&gt;"",--(N27=""),0)+IF('SURVEY DESIGN'!C29&lt;&gt;"",--(O27=""),0)+IF('SURVEY DESIGN'!C30&lt;&gt;"",--(P27=""),0)+IF('SURVEY DESIGN'!C31&lt;&gt;"",--(Q27=""),0)+IF('SURVEY DESIGN'!C32&lt;&gt;"",--(R27=""),0)+IF('SURVEY DESIGN'!C33&lt;&gt;"",--(S27=""),0)+IF('SURVEY DESIGN'!C34&lt;&gt;"",--(T27=""),0)+IF('SURVEY DESIGN'!C35&lt;&gt;"",--(U27=""),0)+IF('SURVEY DESIGN'!C36&lt;&gt;"",--(V27=""),0)+IF('SURVEY DESIGN'!C37&lt;&gt;"",--(W27=""),0)+IF('SURVEY DESIGN'!C38&lt;&gt;"",--(X27=""),0))</x:f>
      </x:c>
      <x:c r="J27" s="130" t="str">
        <x:f>IF(A27="","",IF(C27&lt;&gt;"Yes","NO CONSENT",IF(F27&lt;SETUP!$B$9,"SPEEDING",IF(G27&lt;&gt;"Yes","ATTENTION CHECK",IF(H27="Yes","STRAIGHTLINE REVIEW",IF(I27&gt;0,"MISSING ITEMS","OK"))))))</x:f>
      </x:c>
      <x:c r="K27" s="130" t="str">
        <x:f>IF(A27="","",IF(J27="OK","Yes","No"))</x:f>
      </x:c>
      <x:c r="L27" s="130" t="str">
        <x:f>IF(A27="","",IF(J27="OK","",IF(J27="NO CONSENT","Consent not affirmed",IF(J27="SPEEDING","Completion time below threshold",IF(J27="ATTENTION CHECK","Attention check failed",IF(J27="STRAIGHTLINE REVIEW","Straightlining review threshold met","Missing scored item(s)"))))))</x:f>
      </x:c>
      <x:c r="M27" s="119"/>
      <x:c r="N27" s="119"/>
      <x:c r="O27" s="119"/>
      <x:c r="P27" s="119"/>
      <x:c r="Q27" s="119"/>
      <x:c r="R27" s="119"/>
      <x:c r="S27" s="119"/>
      <x:c r="T27" s="119"/>
      <x:c r="U27" s="119"/>
      <x:c r="V27" s="119"/>
      <x:c r="W27" s="119"/>
      <x:c r="X27" s="119"/>
      <x:c r="Y27" s="133" t="str">
        <x:f>IF(K27&lt;&gt;"Yes","",IFERROR(AVERAGE(M27:X27),""))</x:f>
      </x:c>
      <x:c r="Z27" s="119"/>
    </x:row>
    <x:row r="28">
      <x:c r="A28" s="119"/>
      <x:c r="B28" s="119"/>
      <x:c r="C28" s="119"/>
      <x:c r="D28" s="119"/>
      <x:c r="E28" s="119"/>
      <x:c r="F28" s="119"/>
      <x:c r="G28" s="119"/>
      <x:c r="H28" s="130" t="str">
        <x:f>IF(A28="","",IF(AND(COUNTA(M28:X28)&gt;=SETUP!$B$10,COUNTIF(M28:X28,MAX(M28:X28))=COUNTA(M28:X28)),"Yes","No"))</x:f>
      </x:c>
      <x:c r="I28" s="130" t="str">
        <x:f>IF(A28="","",IF('SURVEY DESIGN'!C28&lt;&gt;"",--(M28=""),0)+IF('SURVEY DESIGN'!C29&lt;&gt;"",--(N28=""),0)+IF('SURVEY DESIGN'!C30&lt;&gt;"",--(O28=""),0)+IF('SURVEY DESIGN'!C31&lt;&gt;"",--(P28=""),0)+IF('SURVEY DESIGN'!C32&lt;&gt;"",--(Q28=""),0)+IF('SURVEY DESIGN'!C33&lt;&gt;"",--(R28=""),0)+IF('SURVEY DESIGN'!C34&lt;&gt;"",--(S28=""),0)+IF('SURVEY DESIGN'!C35&lt;&gt;"",--(T28=""),0)+IF('SURVEY DESIGN'!C36&lt;&gt;"",--(U28=""),0)+IF('SURVEY DESIGN'!C37&lt;&gt;"",--(V28=""),0)+IF('SURVEY DESIGN'!C38&lt;&gt;"",--(W28=""),0)+IF('SURVEY DESIGN'!C39&lt;&gt;"",--(X28=""),0))</x:f>
      </x:c>
      <x:c r="J28" s="130" t="str">
        <x:f>IF(A28="","",IF(C28&lt;&gt;"Yes","NO CONSENT",IF(F28&lt;SETUP!$B$9,"SPEEDING",IF(G28&lt;&gt;"Yes","ATTENTION CHECK",IF(H28="Yes","STRAIGHTLINE REVIEW",IF(I28&gt;0,"MISSING ITEMS","OK"))))))</x:f>
      </x:c>
      <x:c r="K28" s="130" t="str">
        <x:f>IF(A28="","",IF(J28="OK","Yes","No"))</x:f>
      </x:c>
      <x:c r="L28" s="130" t="str">
        <x:f>IF(A28="","",IF(J28="OK","",IF(J28="NO CONSENT","Consent not affirmed",IF(J28="SPEEDING","Completion time below threshold",IF(J28="ATTENTION CHECK","Attention check failed",IF(J28="STRAIGHTLINE REVIEW","Straightlining review threshold met","Missing scored item(s)"))))))</x:f>
      </x:c>
      <x:c r="M28" s="119"/>
      <x:c r="N28" s="119"/>
      <x:c r="O28" s="119"/>
      <x:c r="P28" s="119"/>
      <x:c r="Q28" s="119"/>
      <x:c r="R28" s="119"/>
      <x:c r="S28" s="119"/>
      <x:c r="T28" s="119"/>
      <x:c r="U28" s="119"/>
      <x:c r="V28" s="119"/>
      <x:c r="W28" s="119"/>
      <x:c r="X28" s="119"/>
      <x:c r="Y28" s="133" t="str">
        <x:f>IF(K28&lt;&gt;"Yes","",IFERROR(AVERAGE(M28:X28),""))</x:f>
      </x:c>
      <x:c r="Z28" s="119"/>
    </x:row>
    <x:row r="29">
      <x:c r="A29" s="119"/>
      <x:c r="B29" s="119"/>
      <x:c r="C29" s="119"/>
      <x:c r="D29" s="119"/>
      <x:c r="E29" s="119"/>
      <x:c r="F29" s="119"/>
      <x:c r="G29" s="119"/>
      <x:c r="H29" s="130" t="str">
        <x:f>IF(A29="","",IF(AND(COUNTA(M29:X29)&gt;=SETUP!$B$10,COUNTIF(M29:X29,MAX(M29:X29))=COUNTA(M29:X29)),"Yes","No"))</x:f>
      </x:c>
      <x:c r="I29" s="130" t="str">
        <x:f>IF(A29="","",IF('SURVEY DESIGN'!C29&lt;&gt;"",--(M29=""),0)+IF('SURVEY DESIGN'!C30&lt;&gt;"",--(N29=""),0)+IF('SURVEY DESIGN'!C31&lt;&gt;"",--(O29=""),0)+IF('SURVEY DESIGN'!C32&lt;&gt;"",--(P29=""),0)+IF('SURVEY DESIGN'!C33&lt;&gt;"",--(Q29=""),0)+IF('SURVEY DESIGN'!C34&lt;&gt;"",--(R29=""),0)+IF('SURVEY DESIGN'!C35&lt;&gt;"",--(S29=""),0)+IF('SURVEY DESIGN'!C36&lt;&gt;"",--(T29=""),0)+IF('SURVEY DESIGN'!C37&lt;&gt;"",--(U29=""),0)+IF('SURVEY DESIGN'!C38&lt;&gt;"",--(V29=""),0)+IF('SURVEY DESIGN'!C39&lt;&gt;"",--(W29=""),0)+IF('SURVEY DESIGN'!C40&lt;&gt;"",--(X29=""),0))</x:f>
      </x:c>
      <x:c r="J29" s="130" t="str">
        <x:f>IF(A29="","",IF(C29&lt;&gt;"Yes","NO CONSENT",IF(F29&lt;SETUP!$B$9,"SPEEDING",IF(G29&lt;&gt;"Yes","ATTENTION CHECK",IF(H29="Yes","STRAIGHTLINE REVIEW",IF(I29&gt;0,"MISSING ITEMS","OK"))))))</x:f>
      </x:c>
      <x:c r="K29" s="130" t="str">
        <x:f>IF(A29="","",IF(J29="OK","Yes","No"))</x:f>
      </x:c>
      <x:c r="L29" s="130" t="str">
        <x:f>IF(A29="","",IF(J29="OK","",IF(J29="NO CONSENT","Consent not affirmed",IF(J29="SPEEDING","Completion time below threshold",IF(J29="ATTENTION CHECK","Attention check failed",IF(J29="STRAIGHTLINE REVIEW","Straightlining review threshold met","Missing scored item(s)"))))))</x:f>
      </x:c>
      <x:c r="M29" s="119"/>
      <x:c r="N29" s="119"/>
      <x:c r="O29" s="119"/>
      <x:c r="P29" s="119"/>
      <x:c r="Q29" s="119"/>
      <x:c r="R29" s="119"/>
      <x:c r="S29" s="119"/>
      <x:c r="T29" s="119"/>
      <x:c r="U29" s="119"/>
      <x:c r="V29" s="119"/>
      <x:c r="W29" s="119"/>
      <x:c r="X29" s="119"/>
      <x:c r="Y29" s="133" t="str">
        <x:f>IF(K29&lt;&gt;"Yes","",IFERROR(AVERAGE(M29:X29),""))</x:f>
      </x:c>
      <x:c r="Z29" s="119"/>
    </x:row>
    <x:row r="30">
      <x:c r="A30" s="119"/>
      <x:c r="B30" s="119"/>
      <x:c r="C30" s="119"/>
      <x:c r="D30" s="119"/>
      <x:c r="E30" s="119"/>
      <x:c r="F30" s="119"/>
      <x:c r="G30" s="119"/>
      <x:c r="H30" s="130" t="str">
        <x:f>IF(A30="","",IF(AND(COUNTA(M30:X30)&gt;=SETUP!$B$10,COUNTIF(M30:X30,MAX(M30:X30))=COUNTA(M30:X30)),"Yes","No"))</x:f>
      </x:c>
      <x:c r="I30" s="130" t="str">
        <x:f>IF(A30="","",IF('SURVEY DESIGN'!C30&lt;&gt;"",--(M30=""),0)+IF('SURVEY DESIGN'!C31&lt;&gt;"",--(N30=""),0)+IF('SURVEY DESIGN'!C32&lt;&gt;"",--(O30=""),0)+IF('SURVEY DESIGN'!C33&lt;&gt;"",--(P30=""),0)+IF('SURVEY DESIGN'!C34&lt;&gt;"",--(Q30=""),0)+IF('SURVEY DESIGN'!C35&lt;&gt;"",--(R30=""),0)+IF('SURVEY DESIGN'!C36&lt;&gt;"",--(S30=""),0)+IF('SURVEY DESIGN'!C37&lt;&gt;"",--(T30=""),0)+IF('SURVEY DESIGN'!C38&lt;&gt;"",--(U30=""),0)+IF('SURVEY DESIGN'!C39&lt;&gt;"",--(V30=""),0)+IF('SURVEY DESIGN'!C40&lt;&gt;"",--(W30=""),0)+IF('SURVEY DESIGN'!C41&lt;&gt;"",--(X30=""),0))</x:f>
      </x:c>
      <x:c r="J30" s="130" t="str">
        <x:f>IF(A30="","",IF(C30&lt;&gt;"Yes","NO CONSENT",IF(F30&lt;SETUP!$B$9,"SPEEDING",IF(G30&lt;&gt;"Yes","ATTENTION CHECK",IF(H30="Yes","STRAIGHTLINE REVIEW",IF(I30&gt;0,"MISSING ITEMS","OK"))))))</x:f>
      </x:c>
      <x:c r="K30" s="130" t="str">
        <x:f>IF(A30="","",IF(J30="OK","Yes","No"))</x:f>
      </x:c>
      <x:c r="L30" s="130" t="str">
        <x:f>IF(A30="","",IF(J30="OK","",IF(J30="NO CONSENT","Consent not affirmed",IF(J30="SPEEDING","Completion time below threshold",IF(J30="ATTENTION CHECK","Attention check failed",IF(J30="STRAIGHTLINE REVIEW","Straightlining review threshold met","Missing scored item(s)"))))))</x:f>
      </x:c>
      <x:c r="M30" s="119"/>
      <x:c r="N30" s="119"/>
      <x:c r="O30" s="119"/>
      <x:c r="P30" s="119"/>
      <x:c r="Q30" s="119"/>
      <x:c r="R30" s="119"/>
      <x:c r="S30" s="119"/>
      <x:c r="T30" s="119"/>
      <x:c r="U30" s="119"/>
      <x:c r="V30" s="119"/>
      <x:c r="W30" s="119"/>
      <x:c r="X30" s="119"/>
      <x:c r="Y30" s="133" t="str">
        <x:f>IF(K30&lt;&gt;"Yes","",IFERROR(AVERAGE(M30:X30),""))</x:f>
      </x:c>
      <x:c r="Z30" s="119"/>
    </x:row>
    <x:row r="31">
      <x:c r="A31" s="119"/>
      <x:c r="B31" s="119"/>
      <x:c r="C31" s="119"/>
      <x:c r="D31" s="119"/>
      <x:c r="E31" s="119"/>
      <x:c r="F31" s="119"/>
      <x:c r="G31" s="119"/>
      <x:c r="H31" s="130" t="str">
        <x:f>IF(A31="","",IF(AND(COUNTA(M31:X31)&gt;=SETUP!$B$10,COUNTIF(M31:X31,MAX(M31:X31))=COUNTA(M31:X31)),"Yes","No"))</x:f>
      </x:c>
      <x:c r="I31" s="130" t="str">
        <x:f>IF(A31="","",IF('SURVEY DESIGN'!C31&lt;&gt;"",--(M31=""),0)+IF('SURVEY DESIGN'!C32&lt;&gt;"",--(N31=""),0)+IF('SURVEY DESIGN'!C33&lt;&gt;"",--(O31=""),0)+IF('SURVEY DESIGN'!C34&lt;&gt;"",--(P31=""),0)+IF('SURVEY DESIGN'!C35&lt;&gt;"",--(Q31=""),0)+IF('SURVEY DESIGN'!C36&lt;&gt;"",--(R31=""),0)+IF('SURVEY DESIGN'!C37&lt;&gt;"",--(S31=""),0)+IF('SURVEY DESIGN'!C38&lt;&gt;"",--(T31=""),0)+IF('SURVEY DESIGN'!C39&lt;&gt;"",--(U31=""),0)+IF('SURVEY DESIGN'!C40&lt;&gt;"",--(V31=""),0)+IF('SURVEY DESIGN'!C41&lt;&gt;"",--(W31=""),0)+IF('SURVEY DESIGN'!C42&lt;&gt;"",--(X31=""),0))</x:f>
      </x:c>
      <x:c r="J31" s="130" t="str">
        <x:f>IF(A31="","",IF(C31&lt;&gt;"Yes","NO CONSENT",IF(F31&lt;SETUP!$B$9,"SPEEDING",IF(G31&lt;&gt;"Yes","ATTENTION CHECK",IF(H31="Yes","STRAIGHTLINE REVIEW",IF(I31&gt;0,"MISSING ITEMS","OK"))))))</x:f>
      </x:c>
      <x:c r="K31" s="130" t="str">
        <x:f>IF(A31="","",IF(J31="OK","Yes","No"))</x:f>
      </x:c>
      <x:c r="L31" s="130" t="str">
        <x:f>IF(A31="","",IF(J31="OK","",IF(J31="NO CONSENT","Consent not affirmed",IF(J31="SPEEDING","Completion time below threshold",IF(J31="ATTENTION CHECK","Attention check failed",IF(J31="STRAIGHTLINE REVIEW","Straightlining review threshold met","Missing scored item(s)"))))))</x:f>
      </x:c>
      <x:c r="M31" s="119"/>
      <x:c r="N31" s="119"/>
      <x:c r="O31" s="119"/>
      <x:c r="P31" s="119"/>
      <x:c r="Q31" s="119"/>
      <x:c r="R31" s="119"/>
      <x:c r="S31" s="119"/>
      <x:c r="T31" s="119"/>
      <x:c r="U31" s="119"/>
      <x:c r="V31" s="119"/>
      <x:c r="W31" s="119"/>
      <x:c r="X31" s="119"/>
      <x:c r="Y31" s="133" t="str">
        <x:f>IF(K31&lt;&gt;"Yes","",IFERROR(AVERAGE(M31:X31),""))</x:f>
      </x:c>
      <x:c r="Z31" s="119"/>
    </x:row>
    <x:row r="32">
      <x:c r="A32" s="119"/>
      <x:c r="B32" s="119"/>
      <x:c r="C32" s="119"/>
      <x:c r="D32" s="119"/>
      <x:c r="E32" s="119"/>
      <x:c r="F32" s="119"/>
      <x:c r="G32" s="119"/>
      <x:c r="H32" s="130" t="str">
        <x:f>IF(A32="","",IF(AND(COUNTA(M32:X32)&gt;=SETUP!$B$10,COUNTIF(M32:X32,MAX(M32:X32))=COUNTA(M32:X32)),"Yes","No"))</x:f>
      </x:c>
      <x:c r="I32" s="130" t="str">
        <x:f>IF(A32="","",IF('SURVEY DESIGN'!C32&lt;&gt;"",--(M32=""),0)+IF('SURVEY DESIGN'!C33&lt;&gt;"",--(N32=""),0)+IF('SURVEY DESIGN'!C34&lt;&gt;"",--(O32=""),0)+IF('SURVEY DESIGN'!C35&lt;&gt;"",--(P32=""),0)+IF('SURVEY DESIGN'!C36&lt;&gt;"",--(Q32=""),0)+IF('SURVEY DESIGN'!C37&lt;&gt;"",--(R32=""),0)+IF('SURVEY DESIGN'!C38&lt;&gt;"",--(S32=""),0)+IF('SURVEY DESIGN'!C39&lt;&gt;"",--(T32=""),0)+IF('SURVEY DESIGN'!C40&lt;&gt;"",--(U32=""),0)+IF('SURVEY DESIGN'!C41&lt;&gt;"",--(V32=""),0)+IF('SURVEY DESIGN'!C42&lt;&gt;"",--(W32=""),0)+IF('SURVEY DESIGN'!C43&lt;&gt;"",--(X32=""),0))</x:f>
      </x:c>
      <x:c r="J32" s="130" t="str">
        <x:f>IF(A32="","",IF(C32&lt;&gt;"Yes","NO CONSENT",IF(F32&lt;SETUP!$B$9,"SPEEDING",IF(G32&lt;&gt;"Yes","ATTENTION CHECK",IF(H32="Yes","STRAIGHTLINE REVIEW",IF(I32&gt;0,"MISSING ITEMS","OK"))))))</x:f>
      </x:c>
      <x:c r="K32" s="130" t="str">
        <x:f>IF(A32="","",IF(J32="OK","Yes","No"))</x:f>
      </x:c>
      <x:c r="L32" s="130" t="str">
        <x:f>IF(A32="","",IF(J32="OK","",IF(J32="NO CONSENT","Consent not affirmed",IF(J32="SPEEDING","Completion time below threshold",IF(J32="ATTENTION CHECK","Attention check failed",IF(J32="STRAIGHTLINE REVIEW","Straightlining review threshold met","Missing scored item(s)"))))))</x:f>
      </x:c>
      <x:c r="M32" s="119"/>
      <x:c r="N32" s="119"/>
      <x:c r="O32" s="119"/>
      <x:c r="P32" s="119"/>
      <x:c r="Q32" s="119"/>
      <x:c r="R32" s="119"/>
      <x:c r="S32" s="119"/>
      <x:c r="T32" s="119"/>
      <x:c r="U32" s="119"/>
      <x:c r="V32" s="119"/>
      <x:c r="W32" s="119"/>
      <x:c r="X32" s="119"/>
      <x:c r="Y32" s="133" t="str">
        <x:f>IF(K32&lt;&gt;"Yes","",IFERROR(AVERAGE(M32:X32),""))</x:f>
      </x:c>
      <x:c r="Z32" s="119"/>
    </x:row>
    <x:row r="33">
      <x:c r="A33" s="119"/>
      <x:c r="B33" s="119"/>
      <x:c r="C33" s="119"/>
      <x:c r="D33" s="119"/>
      <x:c r="E33" s="119"/>
      <x:c r="F33" s="119"/>
      <x:c r="G33" s="119"/>
      <x:c r="H33" s="130" t="str">
        <x:f>IF(A33="","",IF(AND(COUNTA(M33:X33)&gt;=SETUP!$B$10,COUNTIF(M33:X33,MAX(M33:X33))=COUNTA(M33:X33)),"Yes","No"))</x:f>
      </x:c>
      <x:c r="I33" s="130" t="str">
        <x:f>IF(A33="","",IF('SURVEY DESIGN'!C33&lt;&gt;"",--(M33=""),0)+IF('SURVEY DESIGN'!C34&lt;&gt;"",--(N33=""),0)+IF('SURVEY DESIGN'!C35&lt;&gt;"",--(O33=""),0)+IF('SURVEY DESIGN'!C36&lt;&gt;"",--(P33=""),0)+IF('SURVEY DESIGN'!C37&lt;&gt;"",--(Q33=""),0)+IF('SURVEY DESIGN'!C38&lt;&gt;"",--(R33=""),0)+IF('SURVEY DESIGN'!C39&lt;&gt;"",--(S33=""),0)+IF('SURVEY DESIGN'!C40&lt;&gt;"",--(T33=""),0)+IF('SURVEY DESIGN'!C41&lt;&gt;"",--(U33=""),0)+IF('SURVEY DESIGN'!C42&lt;&gt;"",--(V33=""),0)+IF('SURVEY DESIGN'!C43&lt;&gt;"",--(W33=""),0)+IF('SURVEY DESIGN'!C44&lt;&gt;"",--(X33=""),0))</x:f>
      </x:c>
      <x:c r="J33" s="130" t="str">
        <x:f>IF(A33="","",IF(C33&lt;&gt;"Yes","NO CONSENT",IF(F33&lt;SETUP!$B$9,"SPEEDING",IF(G33&lt;&gt;"Yes","ATTENTION CHECK",IF(H33="Yes","STRAIGHTLINE REVIEW",IF(I33&gt;0,"MISSING ITEMS","OK"))))))</x:f>
      </x:c>
      <x:c r="K33" s="130" t="str">
        <x:f>IF(A33="","",IF(J33="OK","Yes","No"))</x:f>
      </x:c>
      <x:c r="L33" s="130" t="str">
        <x:f>IF(A33="","",IF(J33="OK","",IF(J33="NO CONSENT","Consent not affirmed",IF(J33="SPEEDING","Completion time below threshold",IF(J33="ATTENTION CHECK","Attention check failed",IF(J33="STRAIGHTLINE REVIEW","Straightlining review threshold met","Missing scored item(s)"))))))</x:f>
      </x:c>
      <x:c r="M33" s="119"/>
      <x:c r="N33" s="119"/>
      <x:c r="O33" s="119"/>
      <x:c r="P33" s="119"/>
      <x:c r="Q33" s="119"/>
      <x:c r="R33" s="119"/>
      <x:c r="S33" s="119"/>
      <x:c r="T33" s="119"/>
      <x:c r="U33" s="119"/>
      <x:c r="V33" s="119"/>
      <x:c r="W33" s="119"/>
      <x:c r="X33" s="119"/>
      <x:c r="Y33" s="133" t="str">
        <x:f>IF(K33&lt;&gt;"Yes","",IFERROR(AVERAGE(M33:X33),""))</x:f>
      </x:c>
      <x:c r="Z33" s="119"/>
    </x:row>
    <x:row r="34">
      <x:c r="A34" s="119"/>
      <x:c r="B34" s="119"/>
      <x:c r="C34" s="119"/>
      <x:c r="D34" s="119"/>
      <x:c r="E34" s="119"/>
      <x:c r="F34" s="119"/>
      <x:c r="G34" s="119"/>
      <x:c r="H34" s="130" t="str">
        <x:f>IF(A34="","",IF(AND(COUNTA(M34:X34)&gt;=SETUP!$B$10,COUNTIF(M34:X34,MAX(M34:X34))=COUNTA(M34:X34)),"Yes","No"))</x:f>
      </x:c>
      <x:c r="I34" s="130" t="str">
        <x:f>IF(A34="","",IF('SURVEY DESIGN'!C34&lt;&gt;"",--(M34=""),0)+IF('SURVEY DESIGN'!C35&lt;&gt;"",--(N34=""),0)+IF('SURVEY DESIGN'!C36&lt;&gt;"",--(O34=""),0)+IF('SURVEY DESIGN'!C37&lt;&gt;"",--(P34=""),0)+IF('SURVEY DESIGN'!C38&lt;&gt;"",--(Q34=""),0)+IF('SURVEY DESIGN'!C39&lt;&gt;"",--(R34=""),0)+IF('SURVEY DESIGN'!C40&lt;&gt;"",--(S34=""),0)+IF('SURVEY DESIGN'!C41&lt;&gt;"",--(T34=""),0)+IF('SURVEY DESIGN'!C42&lt;&gt;"",--(U34=""),0)+IF('SURVEY DESIGN'!C43&lt;&gt;"",--(V34=""),0)+IF('SURVEY DESIGN'!C44&lt;&gt;"",--(W34=""),0)+IF('SURVEY DESIGN'!C45&lt;&gt;"",--(X34=""),0))</x:f>
      </x:c>
      <x:c r="J34" s="130" t="str">
        <x:f>IF(A34="","",IF(C34&lt;&gt;"Yes","NO CONSENT",IF(F34&lt;SETUP!$B$9,"SPEEDING",IF(G34&lt;&gt;"Yes","ATTENTION CHECK",IF(H34="Yes","STRAIGHTLINE REVIEW",IF(I34&gt;0,"MISSING ITEMS","OK"))))))</x:f>
      </x:c>
      <x:c r="K34" s="130" t="str">
        <x:f>IF(A34="","",IF(J34="OK","Yes","No"))</x:f>
      </x:c>
      <x:c r="L34" s="130" t="str">
        <x:f>IF(A34="","",IF(J34="OK","",IF(J34="NO CONSENT","Consent not affirmed",IF(J34="SPEEDING","Completion time below threshold",IF(J34="ATTENTION CHECK","Attention check failed",IF(J34="STRAIGHTLINE REVIEW","Straightlining review threshold met","Missing scored item(s)"))))))</x:f>
      </x:c>
      <x:c r="M34" s="119"/>
      <x:c r="N34" s="119"/>
      <x:c r="O34" s="119"/>
      <x:c r="P34" s="119"/>
      <x:c r="Q34" s="119"/>
      <x:c r="R34" s="119"/>
      <x:c r="S34" s="119"/>
      <x:c r="T34" s="119"/>
      <x:c r="U34" s="119"/>
      <x:c r="V34" s="119"/>
      <x:c r="W34" s="119"/>
      <x:c r="X34" s="119"/>
      <x:c r="Y34" s="133" t="str">
        <x:f>IF(K34&lt;&gt;"Yes","",IFERROR(AVERAGE(M34:X34),""))</x:f>
      </x:c>
      <x:c r="Z34" s="119"/>
    </x:row>
    <x:row r="35">
      <x:c r="A35" s="119"/>
      <x:c r="B35" s="119"/>
      <x:c r="C35" s="119"/>
      <x:c r="D35" s="119"/>
      <x:c r="E35" s="119"/>
      <x:c r="F35" s="119"/>
      <x:c r="G35" s="119"/>
      <x:c r="H35" s="130" t="str">
        <x:f>IF(A35="","",IF(AND(COUNTA(M35:X35)&gt;=SETUP!$B$10,COUNTIF(M35:X35,MAX(M35:X35))=COUNTA(M35:X35)),"Yes","No"))</x:f>
      </x:c>
      <x:c r="I35" s="130" t="str">
        <x:f>IF(A35="","",IF('SURVEY DESIGN'!C35&lt;&gt;"",--(M35=""),0)+IF('SURVEY DESIGN'!C36&lt;&gt;"",--(N35=""),0)+IF('SURVEY DESIGN'!C37&lt;&gt;"",--(O35=""),0)+IF('SURVEY DESIGN'!C38&lt;&gt;"",--(P35=""),0)+IF('SURVEY DESIGN'!C39&lt;&gt;"",--(Q35=""),0)+IF('SURVEY DESIGN'!C40&lt;&gt;"",--(R35=""),0)+IF('SURVEY DESIGN'!C41&lt;&gt;"",--(S35=""),0)+IF('SURVEY DESIGN'!C42&lt;&gt;"",--(T35=""),0)+IF('SURVEY DESIGN'!C43&lt;&gt;"",--(U35=""),0)+IF('SURVEY DESIGN'!C44&lt;&gt;"",--(V35=""),0)+IF('SURVEY DESIGN'!C45&lt;&gt;"",--(W35=""),0)+IF('SURVEY DESIGN'!C46&lt;&gt;"",--(X35=""),0))</x:f>
      </x:c>
      <x:c r="J35" s="130" t="str">
        <x:f>IF(A35="","",IF(C35&lt;&gt;"Yes","NO CONSENT",IF(F35&lt;SETUP!$B$9,"SPEEDING",IF(G35&lt;&gt;"Yes","ATTENTION CHECK",IF(H35="Yes","STRAIGHTLINE REVIEW",IF(I35&gt;0,"MISSING ITEMS","OK"))))))</x:f>
      </x:c>
      <x:c r="K35" s="130" t="str">
        <x:f>IF(A35="","",IF(J35="OK","Yes","No"))</x:f>
      </x:c>
      <x:c r="L35" s="130" t="str">
        <x:f>IF(A35="","",IF(J35="OK","",IF(J35="NO CONSENT","Consent not affirmed",IF(J35="SPEEDING","Completion time below threshold",IF(J35="ATTENTION CHECK","Attention check failed",IF(J35="STRAIGHTLINE REVIEW","Straightlining review threshold met","Missing scored item(s)"))))))</x:f>
      </x:c>
      <x:c r="M35" s="119"/>
      <x:c r="N35" s="119"/>
      <x:c r="O35" s="119"/>
      <x:c r="P35" s="119"/>
      <x:c r="Q35" s="119"/>
      <x:c r="R35" s="119"/>
      <x:c r="S35" s="119"/>
      <x:c r="T35" s="119"/>
      <x:c r="U35" s="119"/>
      <x:c r="V35" s="119"/>
      <x:c r="W35" s="119"/>
      <x:c r="X35" s="119"/>
      <x:c r="Y35" s="133" t="str">
        <x:f>IF(K35&lt;&gt;"Yes","",IFERROR(AVERAGE(M35:X35),""))</x:f>
      </x:c>
      <x:c r="Z35" s="119"/>
    </x:row>
    <x:row r="36">
      <x:c r="A36" s="119"/>
      <x:c r="B36" s="119"/>
      <x:c r="C36" s="119"/>
      <x:c r="D36" s="119"/>
      <x:c r="E36" s="119"/>
      <x:c r="F36" s="119"/>
      <x:c r="G36" s="119"/>
      <x:c r="H36" s="130" t="str">
        <x:f>IF(A36="","",IF(AND(COUNTA(M36:X36)&gt;=SETUP!$B$10,COUNTIF(M36:X36,MAX(M36:X36))=COUNTA(M36:X36)),"Yes","No"))</x:f>
      </x:c>
      <x:c r="I36" s="130" t="str">
        <x:f>IF(A36="","",IF('SURVEY DESIGN'!C36&lt;&gt;"",--(M36=""),0)+IF('SURVEY DESIGN'!C37&lt;&gt;"",--(N36=""),0)+IF('SURVEY DESIGN'!C38&lt;&gt;"",--(O36=""),0)+IF('SURVEY DESIGN'!C39&lt;&gt;"",--(P36=""),0)+IF('SURVEY DESIGN'!C40&lt;&gt;"",--(Q36=""),0)+IF('SURVEY DESIGN'!C41&lt;&gt;"",--(R36=""),0)+IF('SURVEY DESIGN'!C42&lt;&gt;"",--(S36=""),0)+IF('SURVEY DESIGN'!C43&lt;&gt;"",--(T36=""),0)+IF('SURVEY DESIGN'!C44&lt;&gt;"",--(U36=""),0)+IF('SURVEY DESIGN'!C45&lt;&gt;"",--(V36=""),0)+IF('SURVEY DESIGN'!C46&lt;&gt;"",--(W36=""),0)+IF('SURVEY DESIGN'!C47&lt;&gt;"",--(X36=""),0))</x:f>
      </x:c>
      <x:c r="J36" s="130" t="str">
        <x:f>IF(A36="","",IF(C36&lt;&gt;"Yes","NO CONSENT",IF(F36&lt;SETUP!$B$9,"SPEEDING",IF(G36&lt;&gt;"Yes","ATTENTION CHECK",IF(H36="Yes","STRAIGHTLINE REVIEW",IF(I36&gt;0,"MISSING ITEMS","OK"))))))</x:f>
      </x:c>
      <x:c r="K36" s="130" t="str">
        <x:f>IF(A36="","",IF(J36="OK","Yes","No"))</x:f>
      </x:c>
      <x:c r="L36" s="130" t="str">
        <x:f>IF(A36="","",IF(J36="OK","",IF(J36="NO CONSENT","Consent not affirmed",IF(J36="SPEEDING","Completion time below threshold",IF(J36="ATTENTION CHECK","Attention check failed",IF(J36="STRAIGHTLINE REVIEW","Straightlining review threshold met","Missing scored item(s)"))))))</x:f>
      </x:c>
      <x:c r="M36" s="119"/>
      <x:c r="N36" s="119"/>
      <x:c r="O36" s="119"/>
      <x:c r="P36" s="119"/>
      <x:c r="Q36" s="119"/>
      <x:c r="R36" s="119"/>
      <x:c r="S36" s="119"/>
      <x:c r="T36" s="119"/>
      <x:c r="U36" s="119"/>
      <x:c r="V36" s="119"/>
      <x:c r="W36" s="119"/>
      <x:c r="X36" s="119"/>
      <x:c r="Y36" s="133" t="str">
        <x:f>IF(K36&lt;&gt;"Yes","",IFERROR(AVERAGE(M36:X36),""))</x:f>
      </x:c>
      <x:c r="Z36" s="119"/>
    </x:row>
    <x:row r="37">
      <x:c r="A37" s="119"/>
      <x:c r="B37" s="119"/>
      <x:c r="C37" s="119"/>
      <x:c r="D37" s="119"/>
      <x:c r="E37" s="119"/>
      <x:c r="F37" s="119"/>
      <x:c r="G37" s="119"/>
      <x:c r="H37" s="130" t="str">
        <x:f>IF(A37="","",IF(AND(COUNTA(M37:X37)&gt;=SETUP!$B$10,COUNTIF(M37:X37,MAX(M37:X37))=COUNTA(M37:X37)),"Yes","No"))</x:f>
      </x:c>
      <x:c r="I37" s="130" t="str">
        <x:f>IF(A37="","",IF('SURVEY DESIGN'!C37&lt;&gt;"",--(M37=""),0)+IF('SURVEY DESIGN'!C38&lt;&gt;"",--(N37=""),0)+IF('SURVEY DESIGN'!C39&lt;&gt;"",--(O37=""),0)+IF('SURVEY DESIGN'!C40&lt;&gt;"",--(P37=""),0)+IF('SURVEY DESIGN'!C41&lt;&gt;"",--(Q37=""),0)+IF('SURVEY DESIGN'!C42&lt;&gt;"",--(R37=""),0)+IF('SURVEY DESIGN'!C43&lt;&gt;"",--(S37=""),0)+IF('SURVEY DESIGN'!C44&lt;&gt;"",--(T37=""),0)+IF('SURVEY DESIGN'!C45&lt;&gt;"",--(U37=""),0)+IF('SURVEY DESIGN'!C46&lt;&gt;"",--(V37=""),0)+IF('SURVEY DESIGN'!C47&lt;&gt;"",--(W37=""),0)+IF('SURVEY DESIGN'!C48&lt;&gt;"",--(X37=""),0))</x:f>
      </x:c>
      <x:c r="J37" s="130" t="str">
        <x:f>IF(A37="","",IF(C37&lt;&gt;"Yes","NO CONSENT",IF(F37&lt;SETUP!$B$9,"SPEEDING",IF(G37&lt;&gt;"Yes","ATTENTION CHECK",IF(H37="Yes","STRAIGHTLINE REVIEW",IF(I37&gt;0,"MISSING ITEMS","OK"))))))</x:f>
      </x:c>
      <x:c r="K37" s="130" t="str">
        <x:f>IF(A37="","",IF(J37="OK","Yes","No"))</x:f>
      </x:c>
      <x:c r="L37" s="130" t="str">
        <x:f>IF(A37="","",IF(J37="OK","",IF(J37="NO CONSENT","Consent not affirmed",IF(J37="SPEEDING","Completion time below threshold",IF(J37="ATTENTION CHECK","Attention check failed",IF(J37="STRAIGHTLINE REVIEW","Straightlining review threshold met","Missing scored item(s)"))))))</x:f>
      </x:c>
      <x:c r="M37" s="119"/>
      <x:c r="N37" s="119"/>
      <x:c r="O37" s="119"/>
      <x:c r="P37" s="119"/>
      <x:c r="Q37" s="119"/>
      <x:c r="R37" s="119"/>
      <x:c r="S37" s="119"/>
      <x:c r="T37" s="119"/>
      <x:c r="U37" s="119"/>
      <x:c r="V37" s="119"/>
      <x:c r="W37" s="119"/>
      <x:c r="X37" s="119"/>
      <x:c r="Y37" s="133" t="str">
        <x:f>IF(K37&lt;&gt;"Yes","",IFERROR(AVERAGE(M37:X37),""))</x:f>
      </x:c>
      <x:c r="Z37" s="119"/>
    </x:row>
    <x:row r="38">
      <x:c r="A38" s="119"/>
      <x:c r="B38" s="119"/>
      <x:c r="C38" s="119"/>
      <x:c r="D38" s="119"/>
      <x:c r="E38" s="119"/>
      <x:c r="F38" s="119"/>
      <x:c r="G38" s="119"/>
      <x:c r="H38" s="130" t="str">
        <x:f>IF(A38="","",IF(AND(COUNTA(M38:X38)&gt;=SETUP!$B$10,COUNTIF(M38:X38,MAX(M38:X38))=COUNTA(M38:X38)),"Yes","No"))</x:f>
      </x:c>
      <x:c r="I38" s="130" t="str">
        <x:f>IF(A38="","",IF('SURVEY DESIGN'!C38&lt;&gt;"",--(M38=""),0)+IF('SURVEY DESIGN'!C39&lt;&gt;"",--(N38=""),0)+IF('SURVEY DESIGN'!C40&lt;&gt;"",--(O38=""),0)+IF('SURVEY DESIGN'!C41&lt;&gt;"",--(P38=""),0)+IF('SURVEY DESIGN'!C42&lt;&gt;"",--(Q38=""),0)+IF('SURVEY DESIGN'!C43&lt;&gt;"",--(R38=""),0)+IF('SURVEY DESIGN'!C44&lt;&gt;"",--(S38=""),0)+IF('SURVEY DESIGN'!C45&lt;&gt;"",--(T38=""),0)+IF('SURVEY DESIGN'!C46&lt;&gt;"",--(U38=""),0)+IF('SURVEY DESIGN'!C47&lt;&gt;"",--(V38=""),0)+IF('SURVEY DESIGN'!C48&lt;&gt;"",--(W38=""),0)+IF('SURVEY DESIGN'!C49&lt;&gt;"",--(X38=""),0))</x:f>
      </x:c>
      <x:c r="J38" s="130" t="str">
        <x:f>IF(A38="","",IF(C38&lt;&gt;"Yes","NO CONSENT",IF(F38&lt;SETUP!$B$9,"SPEEDING",IF(G38&lt;&gt;"Yes","ATTENTION CHECK",IF(H38="Yes","STRAIGHTLINE REVIEW",IF(I38&gt;0,"MISSING ITEMS","OK"))))))</x:f>
      </x:c>
      <x:c r="K38" s="130" t="str">
        <x:f>IF(A38="","",IF(J38="OK","Yes","No"))</x:f>
      </x:c>
      <x:c r="L38" s="130" t="str">
        <x:f>IF(A38="","",IF(J38="OK","",IF(J38="NO CONSENT","Consent not affirmed",IF(J38="SPEEDING","Completion time below threshold",IF(J38="ATTENTION CHECK","Attention check failed",IF(J38="STRAIGHTLINE REVIEW","Straightlining review threshold met","Missing scored item(s)"))))))</x:f>
      </x:c>
      <x:c r="M38" s="119"/>
      <x:c r="N38" s="119"/>
      <x:c r="O38" s="119"/>
      <x:c r="P38" s="119"/>
      <x:c r="Q38" s="119"/>
      <x:c r="R38" s="119"/>
      <x:c r="S38" s="119"/>
      <x:c r="T38" s="119"/>
      <x:c r="U38" s="119"/>
      <x:c r="V38" s="119"/>
      <x:c r="W38" s="119"/>
      <x:c r="X38" s="119"/>
      <x:c r="Y38" s="133" t="str">
        <x:f>IF(K38&lt;&gt;"Yes","",IFERROR(AVERAGE(M38:X38),""))</x:f>
      </x:c>
      <x:c r="Z38" s="119"/>
    </x:row>
    <x:row r="39">
      <x:c r="A39" s="119"/>
      <x:c r="B39" s="119"/>
      <x:c r="C39" s="119"/>
      <x:c r="D39" s="119"/>
      <x:c r="E39" s="119"/>
      <x:c r="F39" s="119"/>
      <x:c r="G39" s="119"/>
      <x:c r="H39" s="130" t="str">
        <x:f>IF(A39="","",IF(AND(COUNTA(M39:X39)&gt;=SETUP!$B$10,COUNTIF(M39:X39,MAX(M39:X39))=COUNTA(M39:X39)),"Yes","No"))</x:f>
      </x:c>
      <x:c r="I39" s="130" t="str">
        <x:f>IF(A39="","",IF('SURVEY DESIGN'!C39&lt;&gt;"",--(M39=""),0)+IF('SURVEY DESIGN'!C40&lt;&gt;"",--(N39=""),0)+IF('SURVEY DESIGN'!C41&lt;&gt;"",--(O39=""),0)+IF('SURVEY DESIGN'!C42&lt;&gt;"",--(P39=""),0)+IF('SURVEY DESIGN'!C43&lt;&gt;"",--(Q39=""),0)+IF('SURVEY DESIGN'!C44&lt;&gt;"",--(R39=""),0)+IF('SURVEY DESIGN'!C45&lt;&gt;"",--(S39=""),0)+IF('SURVEY DESIGN'!C46&lt;&gt;"",--(T39=""),0)+IF('SURVEY DESIGN'!C47&lt;&gt;"",--(U39=""),0)+IF('SURVEY DESIGN'!C48&lt;&gt;"",--(V39=""),0)+IF('SURVEY DESIGN'!C49&lt;&gt;"",--(W39=""),0)+IF('SURVEY DESIGN'!C50&lt;&gt;"",--(X39=""),0))</x:f>
      </x:c>
      <x:c r="J39" s="130" t="str">
        <x:f>IF(A39="","",IF(C39&lt;&gt;"Yes","NO CONSENT",IF(F39&lt;SETUP!$B$9,"SPEEDING",IF(G39&lt;&gt;"Yes","ATTENTION CHECK",IF(H39="Yes","STRAIGHTLINE REVIEW",IF(I39&gt;0,"MISSING ITEMS","OK"))))))</x:f>
      </x:c>
      <x:c r="K39" s="130" t="str">
        <x:f>IF(A39="","",IF(J39="OK","Yes","No"))</x:f>
      </x:c>
      <x:c r="L39" s="130" t="str">
        <x:f>IF(A39="","",IF(J39="OK","",IF(J39="NO CONSENT","Consent not affirmed",IF(J39="SPEEDING","Completion time below threshold",IF(J39="ATTENTION CHECK","Attention check failed",IF(J39="STRAIGHTLINE REVIEW","Straightlining review threshold met","Missing scored item(s)"))))))</x:f>
      </x:c>
      <x:c r="M39" s="119"/>
      <x:c r="N39" s="119"/>
      <x:c r="O39" s="119"/>
      <x:c r="P39" s="119"/>
      <x:c r="Q39" s="119"/>
      <x:c r="R39" s="119"/>
      <x:c r="S39" s="119"/>
      <x:c r="T39" s="119"/>
      <x:c r="U39" s="119"/>
      <x:c r="V39" s="119"/>
      <x:c r="W39" s="119"/>
      <x:c r="X39" s="119"/>
      <x:c r="Y39" s="133" t="str">
        <x:f>IF(K39&lt;&gt;"Yes","",IFERROR(AVERAGE(M39:X39),""))</x:f>
      </x:c>
      <x:c r="Z39" s="119"/>
    </x:row>
    <x:row r="40">
      <x:c r="A40" s="119"/>
      <x:c r="B40" s="119"/>
      <x:c r="C40" s="119"/>
      <x:c r="D40" s="119"/>
      <x:c r="E40" s="119"/>
      <x:c r="F40" s="119"/>
      <x:c r="G40" s="119"/>
      <x:c r="H40" s="130" t="str">
        <x:f>IF(A40="","",IF(AND(COUNTA(M40:X40)&gt;=SETUP!$B$10,COUNTIF(M40:X40,MAX(M40:X40))=COUNTA(M40:X40)),"Yes","No"))</x:f>
      </x:c>
      <x:c r="I40" s="130" t="str">
        <x:f>IF(A40="","",IF('SURVEY DESIGN'!C40&lt;&gt;"",--(M40=""),0)+IF('SURVEY DESIGN'!C41&lt;&gt;"",--(N40=""),0)+IF('SURVEY DESIGN'!C42&lt;&gt;"",--(O40=""),0)+IF('SURVEY DESIGN'!C43&lt;&gt;"",--(P40=""),0)+IF('SURVEY DESIGN'!C44&lt;&gt;"",--(Q40=""),0)+IF('SURVEY DESIGN'!C45&lt;&gt;"",--(R40=""),0)+IF('SURVEY DESIGN'!C46&lt;&gt;"",--(S40=""),0)+IF('SURVEY DESIGN'!C47&lt;&gt;"",--(T40=""),0)+IF('SURVEY DESIGN'!C48&lt;&gt;"",--(U40=""),0)+IF('SURVEY DESIGN'!C49&lt;&gt;"",--(V40=""),0)+IF('SURVEY DESIGN'!C50&lt;&gt;"",--(W40=""),0)+IF('SURVEY DESIGN'!C51&lt;&gt;"",--(X40=""),0))</x:f>
      </x:c>
      <x:c r="J40" s="130" t="str">
        <x:f>IF(A40="","",IF(C40&lt;&gt;"Yes","NO CONSENT",IF(F40&lt;SETUP!$B$9,"SPEEDING",IF(G40&lt;&gt;"Yes","ATTENTION CHECK",IF(H40="Yes","STRAIGHTLINE REVIEW",IF(I40&gt;0,"MISSING ITEMS","OK"))))))</x:f>
      </x:c>
      <x:c r="K40" s="130" t="str">
        <x:f>IF(A40="","",IF(J40="OK","Yes","No"))</x:f>
      </x:c>
      <x:c r="L40" s="130" t="str">
        <x:f>IF(A40="","",IF(J40="OK","",IF(J40="NO CONSENT","Consent not affirmed",IF(J40="SPEEDING","Completion time below threshold",IF(J40="ATTENTION CHECK","Attention check failed",IF(J40="STRAIGHTLINE REVIEW","Straightlining review threshold met","Missing scored item(s)"))))))</x:f>
      </x:c>
      <x:c r="M40" s="119"/>
      <x:c r="N40" s="119"/>
      <x:c r="O40" s="119"/>
      <x:c r="P40" s="119"/>
      <x:c r="Q40" s="119"/>
      <x:c r="R40" s="119"/>
      <x:c r="S40" s="119"/>
      <x:c r="T40" s="119"/>
      <x:c r="U40" s="119"/>
      <x:c r="V40" s="119"/>
      <x:c r="W40" s="119"/>
      <x:c r="X40" s="119"/>
      <x:c r="Y40" s="133" t="str">
        <x:f>IF(K40&lt;&gt;"Yes","",IFERROR(AVERAGE(M40:X40),""))</x:f>
      </x:c>
      <x:c r="Z40" s="119"/>
    </x:row>
    <x:row r="41">
      <x:c r="A41" s="119"/>
      <x:c r="B41" s="119"/>
      <x:c r="C41" s="119"/>
      <x:c r="D41" s="119"/>
      <x:c r="E41" s="119"/>
      <x:c r="F41" s="119"/>
      <x:c r="G41" s="119"/>
      <x:c r="H41" s="130" t="str">
        <x:f>IF(A41="","",IF(AND(COUNTA(M41:X41)&gt;=SETUP!$B$10,COUNTIF(M41:X41,MAX(M41:X41))=COUNTA(M41:X41)),"Yes","No"))</x:f>
      </x:c>
      <x:c r="I41" s="130" t="str">
        <x:f>IF(A41="","",IF('SURVEY DESIGN'!C41&lt;&gt;"",--(M41=""),0)+IF('SURVEY DESIGN'!C42&lt;&gt;"",--(N41=""),0)+IF('SURVEY DESIGN'!C43&lt;&gt;"",--(O41=""),0)+IF('SURVEY DESIGN'!C44&lt;&gt;"",--(P41=""),0)+IF('SURVEY DESIGN'!C45&lt;&gt;"",--(Q41=""),0)+IF('SURVEY DESIGN'!C46&lt;&gt;"",--(R41=""),0)+IF('SURVEY DESIGN'!C47&lt;&gt;"",--(S41=""),0)+IF('SURVEY DESIGN'!C48&lt;&gt;"",--(T41=""),0)+IF('SURVEY DESIGN'!C49&lt;&gt;"",--(U41=""),0)+IF('SURVEY DESIGN'!C50&lt;&gt;"",--(V41=""),0)+IF('SURVEY DESIGN'!C51&lt;&gt;"",--(W41=""),0)+IF('SURVEY DESIGN'!C52&lt;&gt;"",--(X41=""),0))</x:f>
      </x:c>
      <x:c r="J41" s="130" t="str">
        <x:f>IF(A41="","",IF(C41&lt;&gt;"Yes","NO CONSENT",IF(F41&lt;SETUP!$B$9,"SPEEDING",IF(G41&lt;&gt;"Yes","ATTENTION CHECK",IF(H41="Yes","STRAIGHTLINE REVIEW",IF(I41&gt;0,"MISSING ITEMS","OK"))))))</x:f>
      </x:c>
      <x:c r="K41" s="130" t="str">
        <x:f>IF(A41="","",IF(J41="OK","Yes","No"))</x:f>
      </x:c>
      <x:c r="L41" s="130" t="str">
        <x:f>IF(A41="","",IF(J41="OK","",IF(J41="NO CONSENT","Consent not affirmed",IF(J41="SPEEDING","Completion time below threshold",IF(J41="ATTENTION CHECK","Attention check failed",IF(J41="STRAIGHTLINE REVIEW","Straightlining review threshold met","Missing scored item(s)"))))))</x:f>
      </x:c>
      <x:c r="M41" s="119"/>
      <x:c r="N41" s="119"/>
      <x:c r="O41" s="119"/>
      <x:c r="P41" s="119"/>
      <x:c r="Q41" s="119"/>
      <x:c r="R41" s="119"/>
      <x:c r="S41" s="119"/>
      <x:c r="T41" s="119"/>
      <x:c r="U41" s="119"/>
      <x:c r="V41" s="119"/>
      <x:c r="W41" s="119"/>
      <x:c r="X41" s="119"/>
      <x:c r="Y41" s="133" t="str">
        <x:f>IF(K41&lt;&gt;"Yes","",IFERROR(AVERAGE(M41:X41),""))</x:f>
      </x:c>
      <x:c r="Z41" s="119"/>
    </x:row>
    <x:row r="42">
      <x:c r="A42" s="119"/>
      <x:c r="B42" s="119"/>
      <x:c r="C42" s="119"/>
      <x:c r="D42" s="119"/>
      <x:c r="E42" s="119"/>
      <x:c r="F42" s="119"/>
      <x:c r="G42" s="119"/>
      <x:c r="H42" s="130" t="str">
        <x:f>IF(A42="","",IF(AND(COUNTA(M42:X42)&gt;=SETUP!$B$10,COUNTIF(M42:X42,MAX(M42:X42))=COUNTA(M42:X42)),"Yes","No"))</x:f>
      </x:c>
      <x:c r="I42" s="130" t="str">
        <x:f>IF(A42="","",IF('SURVEY DESIGN'!C42&lt;&gt;"",--(M42=""),0)+IF('SURVEY DESIGN'!C43&lt;&gt;"",--(N42=""),0)+IF('SURVEY DESIGN'!C44&lt;&gt;"",--(O42=""),0)+IF('SURVEY DESIGN'!C45&lt;&gt;"",--(P42=""),0)+IF('SURVEY DESIGN'!C46&lt;&gt;"",--(Q42=""),0)+IF('SURVEY DESIGN'!C47&lt;&gt;"",--(R42=""),0)+IF('SURVEY DESIGN'!C48&lt;&gt;"",--(S42=""),0)+IF('SURVEY DESIGN'!C49&lt;&gt;"",--(T42=""),0)+IF('SURVEY DESIGN'!C50&lt;&gt;"",--(U42=""),0)+IF('SURVEY DESIGN'!C51&lt;&gt;"",--(V42=""),0)+IF('SURVEY DESIGN'!C52&lt;&gt;"",--(W42=""),0)+IF('SURVEY DESIGN'!C53&lt;&gt;"",--(X42=""),0))</x:f>
      </x:c>
      <x:c r="J42" s="130" t="str">
        <x:f>IF(A42="","",IF(C42&lt;&gt;"Yes","NO CONSENT",IF(F42&lt;SETUP!$B$9,"SPEEDING",IF(G42&lt;&gt;"Yes","ATTENTION CHECK",IF(H42="Yes","STRAIGHTLINE REVIEW",IF(I42&gt;0,"MISSING ITEMS","OK"))))))</x:f>
      </x:c>
      <x:c r="K42" s="130" t="str">
        <x:f>IF(A42="","",IF(J42="OK","Yes","No"))</x:f>
      </x:c>
      <x:c r="L42" s="130" t="str">
        <x:f>IF(A42="","",IF(J42="OK","",IF(J42="NO CONSENT","Consent not affirmed",IF(J42="SPEEDING","Completion time below threshold",IF(J42="ATTENTION CHECK","Attention check failed",IF(J42="STRAIGHTLINE REVIEW","Straightlining review threshold met","Missing scored item(s)"))))))</x:f>
      </x:c>
      <x:c r="M42" s="119"/>
      <x:c r="N42" s="119"/>
      <x:c r="O42" s="119"/>
      <x:c r="P42" s="119"/>
      <x:c r="Q42" s="119"/>
      <x:c r="R42" s="119"/>
      <x:c r="S42" s="119"/>
      <x:c r="T42" s="119"/>
      <x:c r="U42" s="119"/>
      <x:c r="V42" s="119"/>
      <x:c r="W42" s="119"/>
      <x:c r="X42" s="119"/>
      <x:c r="Y42" s="133" t="str">
        <x:f>IF(K42&lt;&gt;"Yes","",IFERROR(AVERAGE(M42:X42),""))</x:f>
      </x:c>
      <x:c r="Z42" s="119"/>
    </x:row>
    <x:row r="43">
      <x:c r="A43" s="119"/>
      <x:c r="B43" s="119"/>
      <x:c r="C43" s="119"/>
      <x:c r="D43" s="119"/>
      <x:c r="E43" s="119"/>
      <x:c r="F43" s="119"/>
      <x:c r="G43" s="119"/>
      <x:c r="H43" s="130" t="str">
        <x:f>IF(A43="","",IF(AND(COUNTA(M43:X43)&gt;=SETUP!$B$10,COUNTIF(M43:X43,MAX(M43:X43))=COUNTA(M43:X43)),"Yes","No"))</x:f>
      </x:c>
      <x:c r="I43" s="130" t="str">
        <x:f>IF(A43="","",IF('SURVEY DESIGN'!C43&lt;&gt;"",--(M43=""),0)+IF('SURVEY DESIGN'!C44&lt;&gt;"",--(N43=""),0)+IF('SURVEY DESIGN'!C45&lt;&gt;"",--(O43=""),0)+IF('SURVEY DESIGN'!C46&lt;&gt;"",--(P43=""),0)+IF('SURVEY DESIGN'!C47&lt;&gt;"",--(Q43=""),0)+IF('SURVEY DESIGN'!C48&lt;&gt;"",--(R43=""),0)+IF('SURVEY DESIGN'!C49&lt;&gt;"",--(S43=""),0)+IF('SURVEY DESIGN'!C50&lt;&gt;"",--(T43=""),0)+IF('SURVEY DESIGN'!C51&lt;&gt;"",--(U43=""),0)+IF('SURVEY DESIGN'!C52&lt;&gt;"",--(V43=""),0)+IF('SURVEY DESIGN'!C53&lt;&gt;"",--(W43=""),0)+IF('SURVEY DESIGN'!C54&lt;&gt;"",--(X43=""),0))</x:f>
      </x:c>
      <x:c r="J43" s="130" t="str">
        <x:f>IF(A43="","",IF(C43&lt;&gt;"Yes","NO CONSENT",IF(F43&lt;SETUP!$B$9,"SPEEDING",IF(G43&lt;&gt;"Yes","ATTENTION CHECK",IF(H43="Yes","STRAIGHTLINE REVIEW",IF(I43&gt;0,"MISSING ITEMS","OK"))))))</x:f>
      </x:c>
      <x:c r="K43" s="130" t="str">
        <x:f>IF(A43="","",IF(J43="OK","Yes","No"))</x:f>
      </x:c>
      <x:c r="L43" s="130" t="str">
        <x:f>IF(A43="","",IF(J43="OK","",IF(J43="NO CONSENT","Consent not affirmed",IF(J43="SPEEDING","Completion time below threshold",IF(J43="ATTENTION CHECK","Attention check failed",IF(J43="STRAIGHTLINE REVIEW","Straightlining review threshold met","Missing scored item(s)"))))))</x:f>
      </x:c>
      <x:c r="M43" s="119"/>
      <x:c r="N43" s="119"/>
      <x:c r="O43" s="119"/>
      <x:c r="P43" s="119"/>
      <x:c r="Q43" s="119"/>
      <x:c r="R43" s="119"/>
      <x:c r="S43" s="119"/>
      <x:c r="T43" s="119"/>
      <x:c r="U43" s="119"/>
      <x:c r="V43" s="119"/>
      <x:c r="W43" s="119"/>
      <x:c r="X43" s="119"/>
      <x:c r="Y43" s="133" t="str">
        <x:f>IF(K43&lt;&gt;"Yes","",IFERROR(AVERAGE(M43:X43),""))</x:f>
      </x:c>
      <x:c r="Z43" s="119"/>
    </x:row>
    <x:row r="44">
      <x:c r="A44" s="119"/>
      <x:c r="B44" s="119"/>
      <x:c r="C44" s="119"/>
      <x:c r="D44" s="119"/>
      <x:c r="E44" s="119"/>
      <x:c r="F44" s="119"/>
      <x:c r="G44" s="119"/>
      <x:c r="H44" s="130" t="str">
        <x:f>IF(A44="","",IF(AND(COUNTA(M44:X44)&gt;=SETUP!$B$10,COUNTIF(M44:X44,MAX(M44:X44))=COUNTA(M44:X44)),"Yes","No"))</x:f>
      </x:c>
      <x:c r="I44" s="130" t="str">
        <x:f>IF(A44="","",IF('SURVEY DESIGN'!C44&lt;&gt;"",--(M44=""),0)+IF('SURVEY DESIGN'!C45&lt;&gt;"",--(N44=""),0)+IF('SURVEY DESIGN'!C46&lt;&gt;"",--(O44=""),0)+IF('SURVEY DESIGN'!C47&lt;&gt;"",--(P44=""),0)+IF('SURVEY DESIGN'!C48&lt;&gt;"",--(Q44=""),0)+IF('SURVEY DESIGN'!C49&lt;&gt;"",--(R44=""),0)+IF('SURVEY DESIGN'!C50&lt;&gt;"",--(S44=""),0)+IF('SURVEY DESIGN'!C51&lt;&gt;"",--(T44=""),0)+IF('SURVEY DESIGN'!C52&lt;&gt;"",--(U44=""),0)+IF('SURVEY DESIGN'!C53&lt;&gt;"",--(V44=""),0)+IF('SURVEY DESIGN'!C54&lt;&gt;"",--(W44=""),0)+IF('SURVEY DESIGN'!C55&lt;&gt;"",--(X44=""),0))</x:f>
      </x:c>
      <x:c r="J44" s="130" t="str">
        <x:f>IF(A44="","",IF(C44&lt;&gt;"Yes","NO CONSENT",IF(F44&lt;SETUP!$B$9,"SPEEDING",IF(G44&lt;&gt;"Yes","ATTENTION CHECK",IF(H44="Yes","STRAIGHTLINE REVIEW",IF(I44&gt;0,"MISSING ITEMS","OK"))))))</x:f>
      </x:c>
      <x:c r="K44" s="130" t="str">
        <x:f>IF(A44="","",IF(J44="OK","Yes","No"))</x:f>
      </x:c>
      <x:c r="L44" s="130" t="str">
        <x:f>IF(A44="","",IF(J44="OK","",IF(J44="NO CONSENT","Consent not affirmed",IF(J44="SPEEDING","Completion time below threshold",IF(J44="ATTENTION CHECK","Attention check failed",IF(J44="STRAIGHTLINE REVIEW","Straightlining review threshold met","Missing scored item(s)"))))))</x:f>
      </x:c>
      <x:c r="M44" s="119"/>
      <x:c r="N44" s="119"/>
      <x:c r="O44" s="119"/>
      <x:c r="P44" s="119"/>
      <x:c r="Q44" s="119"/>
      <x:c r="R44" s="119"/>
      <x:c r="S44" s="119"/>
      <x:c r="T44" s="119"/>
      <x:c r="U44" s="119"/>
      <x:c r="V44" s="119"/>
      <x:c r="W44" s="119"/>
      <x:c r="X44" s="119"/>
      <x:c r="Y44" s="133" t="str">
        <x:f>IF(K44&lt;&gt;"Yes","",IFERROR(AVERAGE(M44:X44),""))</x:f>
      </x:c>
      <x:c r="Z44" s="119"/>
    </x:row>
    <x:row r="45">
      <x:c r="A45" s="119"/>
      <x:c r="B45" s="119"/>
      <x:c r="C45" s="119"/>
      <x:c r="D45" s="119"/>
      <x:c r="E45" s="119"/>
      <x:c r="F45" s="119"/>
      <x:c r="G45" s="119"/>
      <x:c r="H45" s="130" t="str">
        <x:f>IF(A45="","",IF(AND(COUNTA(M45:X45)&gt;=SETUP!$B$10,COUNTIF(M45:X45,MAX(M45:X45))=COUNTA(M45:X45)),"Yes","No"))</x:f>
      </x:c>
      <x:c r="I45" s="130" t="str">
        <x:f>IF(A45="","",IF('SURVEY DESIGN'!C45&lt;&gt;"",--(M45=""),0)+IF('SURVEY DESIGN'!C46&lt;&gt;"",--(N45=""),0)+IF('SURVEY DESIGN'!C47&lt;&gt;"",--(O45=""),0)+IF('SURVEY DESIGN'!C48&lt;&gt;"",--(P45=""),0)+IF('SURVEY DESIGN'!C49&lt;&gt;"",--(Q45=""),0)+IF('SURVEY DESIGN'!C50&lt;&gt;"",--(R45=""),0)+IF('SURVEY DESIGN'!C51&lt;&gt;"",--(S45=""),0)+IF('SURVEY DESIGN'!C52&lt;&gt;"",--(T45=""),0)+IF('SURVEY DESIGN'!C53&lt;&gt;"",--(U45=""),0)+IF('SURVEY DESIGN'!C54&lt;&gt;"",--(V45=""),0)+IF('SURVEY DESIGN'!C55&lt;&gt;"",--(W45=""),0)+IF('SURVEY DESIGN'!C56&lt;&gt;"",--(X45=""),0))</x:f>
      </x:c>
      <x:c r="J45" s="130" t="str">
        <x:f>IF(A45="","",IF(C45&lt;&gt;"Yes","NO CONSENT",IF(F45&lt;SETUP!$B$9,"SPEEDING",IF(G45&lt;&gt;"Yes","ATTENTION CHECK",IF(H45="Yes","STRAIGHTLINE REVIEW",IF(I45&gt;0,"MISSING ITEMS","OK"))))))</x:f>
      </x:c>
      <x:c r="K45" s="130" t="str">
        <x:f>IF(A45="","",IF(J45="OK","Yes","No"))</x:f>
      </x:c>
      <x:c r="L45" s="130" t="str">
        <x:f>IF(A45="","",IF(J45="OK","",IF(J45="NO CONSENT","Consent not affirmed",IF(J45="SPEEDING","Completion time below threshold",IF(J45="ATTENTION CHECK","Attention check failed",IF(J45="STRAIGHTLINE REVIEW","Straightlining review threshold met","Missing scored item(s)"))))))</x:f>
      </x:c>
      <x:c r="M45" s="119"/>
      <x:c r="N45" s="119"/>
      <x:c r="O45" s="119"/>
      <x:c r="P45" s="119"/>
      <x:c r="Q45" s="119"/>
      <x:c r="R45" s="119"/>
      <x:c r="S45" s="119"/>
      <x:c r="T45" s="119"/>
      <x:c r="U45" s="119"/>
      <x:c r="V45" s="119"/>
      <x:c r="W45" s="119"/>
      <x:c r="X45" s="119"/>
      <x:c r="Y45" s="133" t="str">
        <x:f>IF(K45&lt;&gt;"Yes","",IFERROR(AVERAGE(M45:X45),""))</x:f>
      </x:c>
      <x:c r="Z45" s="119"/>
    </x:row>
    <x:row r="46">
      <x:c r="A46" s="119"/>
      <x:c r="B46" s="119"/>
      <x:c r="C46" s="119"/>
      <x:c r="D46" s="119"/>
      <x:c r="E46" s="119"/>
      <x:c r="F46" s="119"/>
      <x:c r="G46" s="119"/>
      <x:c r="H46" s="130" t="str">
        <x:f>IF(A46="","",IF(AND(COUNTA(M46:X46)&gt;=SETUP!$B$10,COUNTIF(M46:X46,MAX(M46:X46))=COUNTA(M46:X46)),"Yes","No"))</x:f>
      </x:c>
      <x:c r="I46" s="130" t="str">
        <x:f>IF(A46="","",IF('SURVEY DESIGN'!C46&lt;&gt;"",--(M46=""),0)+IF('SURVEY DESIGN'!C47&lt;&gt;"",--(N46=""),0)+IF('SURVEY DESIGN'!C48&lt;&gt;"",--(O46=""),0)+IF('SURVEY DESIGN'!C49&lt;&gt;"",--(P46=""),0)+IF('SURVEY DESIGN'!C50&lt;&gt;"",--(Q46=""),0)+IF('SURVEY DESIGN'!C51&lt;&gt;"",--(R46=""),0)+IF('SURVEY DESIGN'!C52&lt;&gt;"",--(S46=""),0)+IF('SURVEY DESIGN'!C53&lt;&gt;"",--(T46=""),0)+IF('SURVEY DESIGN'!C54&lt;&gt;"",--(U46=""),0)+IF('SURVEY DESIGN'!C55&lt;&gt;"",--(V46=""),0)+IF('SURVEY DESIGN'!C56&lt;&gt;"",--(W46=""),0)+IF('SURVEY DESIGN'!C57&lt;&gt;"",--(X46=""),0))</x:f>
      </x:c>
      <x:c r="J46" s="130" t="str">
        <x:f>IF(A46="","",IF(C46&lt;&gt;"Yes","NO CONSENT",IF(F46&lt;SETUP!$B$9,"SPEEDING",IF(G46&lt;&gt;"Yes","ATTENTION CHECK",IF(H46="Yes","STRAIGHTLINE REVIEW",IF(I46&gt;0,"MISSING ITEMS","OK"))))))</x:f>
      </x:c>
      <x:c r="K46" s="130" t="str">
        <x:f>IF(A46="","",IF(J46="OK","Yes","No"))</x:f>
      </x:c>
      <x:c r="L46" s="130" t="str">
        <x:f>IF(A46="","",IF(J46="OK","",IF(J46="NO CONSENT","Consent not affirmed",IF(J46="SPEEDING","Completion time below threshold",IF(J46="ATTENTION CHECK","Attention check failed",IF(J46="STRAIGHTLINE REVIEW","Straightlining review threshold met","Missing scored item(s)"))))))</x:f>
      </x:c>
      <x:c r="M46" s="119"/>
      <x:c r="N46" s="119"/>
      <x:c r="O46" s="119"/>
      <x:c r="P46" s="119"/>
      <x:c r="Q46" s="119"/>
      <x:c r="R46" s="119"/>
      <x:c r="S46" s="119"/>
      <x:c r="T46" s="119"/>
      <x:c r="U46" s="119"/>
      <x:c r="V46" s="119"/>
      <x:c r="W46" s="119"/>
      <x:c r="X46" s="119"/>
      <x:c r="Y46" s="133" t="str">
        <x:f>IF(K46&lt;&gt;"Yes","",IFERROR(AVERAGE(M46:X46),""))</x:f>
      </x:c>
      <x:c r="Z46" s="119"/>
    </x:row>
    <x:row r="47">
      <x:c r="A47" s="119"/>
      <x:c r="B47" s="119"/>
      <x:c r="C47" s="119"/>
      <x:c r="D47" s="119"/>
      <x:c r="E47" s="119"/>
      <x:c r="F47" s="119"/>
      <x:c r="G47" s="119"/>
      <x:c r="H47" s="130" t="str">
        <x:f>IF(A47="","",IF(AND(COUNTA(M47:X47)&gt;=SETUP!$B$10,COUNTIF(M47:X47,MAX(M47:X47))=COUNTA(M47:X47)),"Yes","No"))</x:f>
      </x:c>
      <x:c r="I47" s="130" t="str">
        <x:f>IF(A47="","",IF('SURVEY DESIGN'!C47&lt;&gt;"",--(M47=""),0)+IF('SURVEY DESIGN'!C48&lt;&gt;"",--(N47=""),0)+IF('SURVEY DESIGN'!C49&lt;&gt;"",--(O47=""),0)+IF('SURVEY DESIGN'!C50&lt;&gt;"",--(P47=""),0)+IF('SURVEY DESIGN'!C51&lt;&gt;"",--(Q47=""),0)+IF('SURVEY DESIGN'!C52&lt;&gt;"",--(R47=""),0)+IF('SURVEY DESIGN'!C53&lt;&gt;"",--(S47=""),0)+IF('SURVEY DESIGN'!C54&lt;&gt;"",--(T47=""),0)+IF('SURVEY DESIGN'!C55&lt;&gt;"",--(U47=""),0)+IF('SURVEY DESIGN'!C56&lt;&gt;"",--(V47=""),0)+IF('SURVEY DESIGN'!C57&lt;&gt;"",--(W47=""),0)+IF('SURVEY DESIGN'!C58&lt;&gt;"",--(X47=""),0))</x:f>
      </x:c>
      <x:c r="J47" s="130" t="str">
        <x:f>IF(A47="","",IF(C47&lt;&gt;"Yes","NO CONSENT",IF(F47&lt;SETUP!$B$9,"SPEEDING",IF(G47&lt;&gt;"Yes","ATTENTION CHECK",IF(H47="Yes","STRAIGHTLINE REVIEW",IF(I47&gt;0,"MISSING ITEMS","OK"))))))</x:f>
      </x:c>
      <x:c r="K47" s="130" t="str">
        <x:f>IF(A47="","",IF(J47="OK","Yes","No"))</x:f>
      </x:c>
      <x:c r="L47" s="130" t="str">
        <x:f>IF(A47="","",IF(J47="OK","",IF(J47="NO CONSENT","Consent not affirmed",IF(J47="SPEEDING","Completion time below threshold",IF(J47="ATTENTION CHECK","Attention check failed",IF(J47="STRAIGHTLINE REVIEW","Straightlining review threshold met","Missing scored item(s)"))))))</x:f>
      </x:c>
      <x:c r="M47" s="119"/>
      <x:c r="N47" s="119"/>
      <x:c r="O47" s="119"/>
      <x:c r="P47" s="119"/>
      <x:c r="Q47" s="119"/>
      <x:c r="R47" s="119"/>
      <x:c r="S47" s="119"/>
      <x:c r="T47" s="119"/>
      <x:c r="U47" s="119"/>
      <x:c r="V47" s="119"/>
      <x:c r="W47" s="119"/>
      <x:c r="X47" s="119"/>
      <x:c r="Y47" s="133" t="str">
        <x:f>IF(K47&lt;&gt;"Yes","",IFERROR(AVERAGE(M47:X47),""))</x:f>
      </x:c>
      <x:c r="Z47" s="119"/>
    </x:row>
    <x:row r="48">
      <x:c r="A48" s="119"/>
      <x:c r="B48" s="119"/>
      <x:c r="C48" s="119"/>
      <x:c r="D48" s="119"/>
      <x:c r="E48" s="119"/>
      <x:c r="F48" s="119"/>
      <x:c r="G48" s="119"/>
      <x:c r="H48" s="130" t="str">
        <x:f>IF(A48="","",IF(AND(COUNTA(M48:X48)&gt;=SETUP!$B$10,COUNTIF(M48:X48,MAX(M48:X48))=COUNTA(M48:X48)),"Yes","No"))</x:f>
      </x:c>
      <x:c r="I48" s="130" t="str">
        <x:f>IF(A48="","",IF('SURVEY DESIGN'!C48&lt;&gt;"",--(M48=""),0)+IF('SURVEY DESIGN'!C49&lt;&gt;"",--(N48=""),0)+IF('SURVEY DESIGN'!C50&lt;&gt;"",--(O48=""),0)+IF('SURVEY DESIGN'!C51&lt;&gt;"",--(P48=""),0)+IF('SURVEY DESIGN'!C52&lt;&gt;"",--(Q48=""),0)+IF('SURVEY DESIGN'!C53&lt;&gt;"",--(R48=""),0)+IF('SURVEY DESIGN'!C54&lt;&gt;"",--(S48=""),0)+IF('SURVEY DESIGN'!C55&lt;&gt;"",--(T48=""),0)+IF('SURVEY DESIGN'!C56&lt;&gt;"",--(U48=""),0)+IF('SURVEY DESIGN'!C57&lt;&gt;"",--(V48=""),0)+IF('SURVEY DESIGN'!C58&lt;&gt;"",--(W48=""),0)+IF('SURVEY DESIGN'!C59&lt;&gt;"",--(X48=""),0))</x:f>
      </x:c>
      <x:c r="J48" s="130" t="str">
        <x:f>IF(A48="","",IF(C48&lt;&gt;"Yes","NO CONSENT",IF(F48&lt;SETUP!$B$9,"SPEEDING",IF(G48&lt;&gt;"Yes","ATTENTION CHECK",IF(H48="Yes","STRAIGHTLINE REVIEW",IF(I48&gt;0,"MISSING ITEMS","OK"))))))</x:f>
      </x:c>
      <x:c r="K48" s="130" t="str">
        <x:f>IF(A48="","",IF(J48="OK","Yes","No"))</x:f>
      </x:c>
      <x:c r="L48" s="130" t="str">
        <x:f>IF(A48="","",IF(J48="OK","",IF(J48="NO CONSENT","Consent not affirmed",IF(J48="SPEEDING","Completion time below threshold",IF(J48="ATTENTION CHECK","Attention check failed",IF(J48="STRAIGHTLINE REVIEW","Straightlining review threshold met","Missing scored item(s)"))))))</x:f>
      </x:c>
      <x:c r="M48" s="119"/>
      <x:c r="N48" s="119"/>
      <x:c r="O48" s="119"/>
      <x:c r="P48" s="119"/>
      <x:c r="Q48" s="119"/>
      <x:c r="R48" s="119"/>
      <x:c r="S48" s="119"/>
      <x:c r="T48" s="119"/>
      <x:c r="U48" s="119"/>
      <x:c r="V48" s="119"/>
      <x:c r="W48" s="119"/>
      <x:c r="X48" s="119"/>
      <x:c r="Y48" s="133" t="str">
        <x:f>IF(K48&lt;&gt;"Yes","",IFERROR(AVERAGE(M48:X48),""))</x:f>
      </x:c>
      <x:c r="Z48" s="119"/>
    </x:row>
    <x:row r="49">
      <x:c r="A49" s="119"/>
      <x:c r="B49" s="119"/>
      <x:c r="C49" s="119"/>
      <x:c r="D49" s="119"/>
      <x:c r="E49" s="119"/>
      <x:c r="F49" s="119"/>
      <x:c r="G49" s="119"/>
      <x:c r="H49" s="130" t="str">
        <x:f>IF(A49="","",IF(AND(COUNTA(M49:X49)&gt;=SETUP!$B$10,COUNTIF(M49:X49,MAX(M49:X49))=COUNTA(M49:X49)),"Yes","No"))</x:f>
      </x:c>
      <x:c r="I49" s="130" t="str">
        <x:f>IF(A49="","",IF('SURVEY DESIGN'!C49&lt;&gt;"",--(M49=""),0)+IF('SURVEY DESIGN'!C50&lt;&gt;"",--(N49=""),0)+IF('SURVEY DESIGN'!C51&lt;&gt;"",--(O49=""),0)+IF('SURVEY DESIGN'!C52&lt;&gt;"",--(P49=""),0)+IF('SURVEY DESIGN'!C53&lt;&gt;"",--(Q49=""),0)+IF('SURVEY DESIGN'!C54&lt;&gt;"",--(R49=""),0)+IF('SURVEY DESIGN'!C55&lt;&gt;"",--(S49=""),0)+IF('SURVEY DESIGN'!C56&lt;&gt;"",--(T49=""),0)+IF('SURVEY DESIGN'!C57&lt;&gt;"",--(U49=""),0)+IF('SURVEY DESIGN'!C58&lt;&gt;"",--(V49=""),0)+IF('SURVEY DESIGN'!C59&lt;&gt;"",--(W49=""),0)+IF('SURVEY DESIGN'!C60&lt;&gt;"",--(X49=""),0))</x:f>
      </x:c>
      <x:c r="J49" s="130" t="str">
        <x:f>IF(A49="","",IF(C49&lt;&gt;"Yes","NO CONSENT",IF(F49&lt;SETUP!$B$9,"SPEEDING",IF(G49&lt;&gt;"Yes","ATTENTION CHECK",IF(H49="Yes","STRAIGHTLINE REVIEW",IF(I49&gt;0,"MISSING ITEMS","OK"))))))</x:f>
      </x:c>
      <x:c r="K49" s="130" t="str">
        <x:f>IF(A49="","",IF(J49="OK","Yes","No"))</x:f>
      </x:c>
      <x:c r="L49" s="130" t="str">
        <x:f>IF(A49="","",IF(J49="OK","",IF(J49="NO CONSENT","Consent not affirmed",IF(J49="SPEEDING","Completion time below threshold",IF(J49="ATTENTION CHECK","Attention check failed",IF(J49="STRAIGHTLINE REVIEW","Straightlining review threshold met","Missing scored item(s)"))))))</x:f>
      </x:c>
      <x:c r="M49" s="119"/>
      <x:c r="N49" s="119"/>
      <x:c r="O49" s="119"/>
      <x:c r="P49" s="119"/>
      <x:c r="Q49" s="119"/>
      <x:c r="R49" s="119"/>
      <x:c r="S49" s="119"/>
      <x:c r="T49" s="119"/>
      <x:c r="U49" s="119"/>
      <x:c r="V49" s="119"/>
      <x:c r="W49" s="119"/>
      <x:c r="X49" s="119"/>
      <x:c r="Y49" s="133" t="str">
        <x:f>IF(K49&lt;&gt;"Yes","",IFERROR(AVERAGE(M49:X49),""))</x:f>
      </x:c>
      <x:c r="Z49" s="119"/>
    </x:row>
    <x:row r="50">
      <x:c r="A50" s="119"/>
      <x:c r="B50" s="119"/>
      <x:c r="C50" s="119"/>
      <x:c r="D50" s="119"/>
      <x:c r="E50" s="119"/>
      <x:c r="F50" s="119"/>
      <x:c r="G50" s="119"/>
      <x:c r="H50" s="130" t="str">
        <x:f>IF(A50="","",IF(AND(COUNTA(M50:X50)&gt;=SETUP!$B$10,COUNTIF(M50:X50,MAX(M50:X50))=COUNTA(M50:X50)),"Yes","No"))</x:f>
      </x:c>
      <x:c r="I50" s="130" t="str">
        <x:f>IF(A50="","",IF('SURVEY DESIGN'!C50&lt;&gt;"",--(M50=""),0)+IF('SURVEY DESIGN'!C51&lt;&gt;"",--(N50=""),0)+IF('SURVEY DESIGN'!C52&lt;&gt;"",--(O50=""),0)+IF('SURVEY DESIGN'!C53&lt;&gt;"",--(P50=""),0)+IF('SURVEY DESIGN'!C54&lt;&gt;"",--(Q50=""),0)+IF('SURVEY DESIGN'!C55&lt;&gt;"",--(R50=""),0)+IF('SURVEY DESIGN'!C56&lt;&gt;"",--(S50=""),0)+IF('SURVEY DESIGN'!C57&lt;&gt;"",--(T50=""),0)+IF('SURVEY DESIGN'!C58&lt;&gt;"",--(U50=""),0)+IF('SURVEY DESIGN'!C59&lt;&gt;"",--(V50=""),0)+IF('SURVEY DESIGN'!C60&lt;&gt;"",--(W50=""),0)+IF('SURVEY DESIGN'!C61&lt;&gt;"",--(X50=""),0))</x:f>
      </x:c>
      <x:c r="J50" s="130" t="str">
        <x:f>IF(A50="","",IF(C50&lt;&gt;"Yes","NO CONSENT",IF(F50&lt;SETUP!$B$9,"SPEEDING",IF(G50&lt;&gt;"Yes","ATTENTION CHECK",IF(H50="Yes","STRAIGHTLINE REVIEW",IF(I50&gt;0,"MISSING ITEMS","OK"))))))</x:f>
      </x:c>
      <x:c r="K50" s="130" t="str">
        <x:f>IF(A50="","",IF(J50="OK","Yes","No"))</x:f>
      </x:c>
      <x:c r="L50" s="130" t="str">
        <x:f>IF(A50="","",IF(J50="OK","",IF(J50="NO CONSENT","Consent not affirmed",IF(J50="SPEEDING","Completion time below threshold",IF(J50="ATTENTION CHECK","Attention check failed",IF(J50="STRAIGHTLINE REVIEW","Straightlining review threshold met","Missing scored item(s)"))))))</x:f>
      </x:c>
      <x:c r="M50" s="119"/>
      <x:c r="N50" s="119"/>
      <x:c r="O50" s="119"/>
      <x:c r="P50" s="119"/>
      <x:c r="Q50" s="119"/>
      <x:c r="R50" s="119"/>
      <x:c r="S50" s="119"/>
      <x:c r="T50" s="119"/>
      <x:c r="U50" s="119"/>
      <x:c r="V50" s="119"/>
      <x:c r="W50" s="119"/>
      <x:c r="X50" s="119"/>
      <x:c r="Y50" s="133" t="str">
        <x:f>IF(K50&lt;&gt;"Yes","",IFERROR(AVERAGE(M50:X50),""))</x:f>
      </x:c>
      <x:c r="Z50" s="119"/>
    </x:row>
    <x:row r="51">
      <x:c r="A51" s="119"/>
      <x:c r="B51" s="119"/>
      <x:c r="C51" s="119"/>
      <x:c r="D51" s="119"/>
      <x:c r="E51" s="119"/>
      <x:c r="F51" s="119"/>
      <x:c r="G51" s="119"/>
      <x:c r="H51" s="130" t="str">
        <x:f>IF(A51="","",IF(AND(COUNTA(M51:X51)&gt;=SETUP!$B$10,COUNTIF(M51:X51,MAX(M51:X51))=COUNTA(M51:X51)),"Yes","No"))</x:f>
      </x:c>
      <x:c r="I51" s="130" t="str">
        <x:f>IF(A51="","",IF('SURVEY DESIGN'!C51&lt;&gt;"",--(M51=""),0)+IF('SURVEY DESIGN'!C52&lt;&gt;"",--(N51=""),0)+IF('SURVEY DESIGN'!C53&lt;&gt;"",--(O51=""),0)+IF('SURVEY DESIGN'!C54&lt;&gt;"",--(P51=""),0)+IF('SURVEY DESIGN'!C55&lt;&gt;"",--(Q51=""),0)+IF('SURVEY DESIGN'!C56&lt;&gt;"",--(R51=""),0)+IF('SURVEY DESIGN'!C57&lt;&gt;"",--(S51=""),0)+IF('SURVEY DESIGN'!C58&lt;&gt;"",--(T51=""),0)+IF('SURVEY DESIGN'!C59&lt;&gt;"",--(U51=""),0)+IF('SURVEY DESIGN'!C60&lt;&gt;"",--(V51=""),0)+IF('SURVEY DESIGN'!C61&lt;&gt;"",--(W51=""),0)+IF('SURVEY DESIGN'!C62&lt;&gt;"",--(X51=""),0))</x:f>
      </x:c>
      <x:c r="J51" s="130" t="str">
        <x:f>IF(A51="","",IF(C51&lt;&gt;"Yes","NO CONSENT",IF(F51&lt;SETUP!$B$9,"SPEEDING",IF(G51&lt;&gt;"Yes","ATTENTION CHECK",IF(H51="Yes","STRAIGHTLINE REVIEW",IF(I51&gt;0,"MISSING ITEMS","OK"))))))</x:f>
      </x:c>
      <x:c r="K51" s="130" t="str">
        <x:f>IF(A51="","",IF(J51="OK","Yes","No"))</x:f>
      </x:c>
      <x:c r="L51" s="130" t="str">
        <x:f>IF(A51="","",IF(J51="OK","",IF(J51="NO CONSENT","Consent not affirmed",IF(J51="SPEEDING","Completion time below threshold",IF(J51="ATTENTION CHECK","Attention check failed",IF(J51="STRAIGHTLINE REVIEW","Straightlining review threshold met","Missing scored item(s)"))))))</x:f>
      </x:c>
      <x:c r="M51" s="119"/>
      <x:c r="N51" s="119"/>
      <x:c r="O51" s="119"/>
      <x:c r="P51" s="119"/>
      <x:c r="Q51" s="119"/>
      <x:c r="R51" s="119"/>
      <x:c r="S51" s="119"/>
      <x:c r="T51" s="119"/>
      <x:c r="U51" s="119"/>
      <x:c r="V51" s="119"/>
      <x:c r="W51" s="119"/>
      <x:c r="X51" s="119"/>
      <x:c r="Y51" s="133" t="str">
        <x:f>IF(K51&lt;&gt;"Yes","",IFERROR(AVERAGE(M51:X51),""))</x:f>
      </x:c>
      <x:c r="Z51" s="119"/>
    </x:row>
    <x:row r="52">
      <x:c r="A52" s="119"/>
      <x:c r="B52" s="119"/>
      <x:c r="C52" s="119"/>
      <x:c r="D52" s="119"/>
      <x:c r="E52" s="119"/>
      <x:c r="F52" s="119"/>
      <x:c r="G52" s="119"/>
      <x:c r="H52" s="130" t="str">
        <x:f>IF(A52="","",IF(AND(COUNTA(M52:X52)&gt;=SETUP!$B$10,COUNTIF(M52:X52,MAX(M52:X52))=COUNTA(M52:X52)),"Yes","No"))</x:f>
      </x:c>
      <x:c r="I52" s="130" t="str">
        <x:f>IF(A52="","",IF('SURVEY DESIGN'!C52&lt;&gt;"",--(M52=""),0)+IF('SURVEY DESIGN'!C53&lt;&gt;"",--(N52=""),0)+IF('SURVEY DESIGN'!C54&lt;&gt;"",--(O52=""),0)+IF('SURVEY DESIGN'!C55&lt;&gt;"",--(P52=""),0)+IF('SURVEY DESIGN'!C56&lt;&gt;"",--(Q52=""),0)+IF('SURVEY DESIGN'!C57&lt;&gt;"",--(R52=""),0)+IF('SURVEY DESIGN'!C58&lt;&gt;"",--(S52=""),0)+IF('SURVEY DESIGN'!C59&lt;&gt;"",--(T52=""),0)+IF('SURVEY DESIGN'!C60&lt;&gt;"",--(U52=""),0)+IF('SURVEY DESIGN'!C61&lt;&gt;"",--(V52=""),0)+IF('SURVEY DESIGN'!C62&lt;&gt;"",--(W52=""),0)+IF('SURVEY DESIGN'!C63&lt;&gt;"",--(X52=""),0))</x:f>
      </x:c>
      <x:c r="J52" s="130" t="str">
        <x:f>IF(A52="","",IF(C52&lt;&gt;"Yes","NO CONSENT",IF(F52&lt;SETUP!$B$9,"SPEEDING",IF(G52&lt;&gt;"Yes","ATTENTION CHECK",IF(H52="Yes","STRAIGHTLINE REVIEW",IF(I52&gt;0,"MISSING ITEMS","OK"))))))</x:f>
      </x:c>
      <x:c r="K52" s="130" t="str">
        <x:f>IF(A52="","",IF(J52="OK","Yes","No"))</x:f>
      </x:c>
      <x:c r="L52" s="130" t="str">
        <x:f>IF(A52="","",IF(J52="OK","",IF(J52="NO CONSENT","Consent not affirmed",IF(J52="SPEEDING","Completion time below threshold",IF(J52="ATTENTION CHECK","Attention check failed",IF(J52="STRAIGHTLINE REVIEW","Straightlining review threshold met","Missing scored item(s)"))))))</x:f>
      </x:c>
      <x:c r="M52" s="119"/>
      <x:c r="N52" s="119"/>
      <x:c r="O52" s="119"/>
      <x:c r="P52" s="119"/>
      <x:c r="Q52" s="119"/>
      <x:c r="R52" s="119"/>
      <x:c r="S52" s="119"/>
      <x:c r="T52" s="119"/>
      <x:c r="U52" s="119"/>
      <x:c r="V52" s="119"/>
      <x:c r="W52" s="119"/>
      <x:c r="X52" s="119"/>
      <x:c r="Y52" s="133" t="str">
        <x:f>IF(K52&lt;&gt;"Yes","",IFERROR(AVERAGE(M52:X52),""))</x:f>
      </x:c>
      <x:c r="Z52" s="119"/>
    </x:row>
    <x:row r="53">
      <x:c r="A53" s="119"/>
      <x:c r="B53" s="119"/>
      <x:c r="C53" s="119"/>
      <x:c r="D53" s="119"/>
      <x:c r="E53" s="119"/>
      <x:c r="F53" s="119"/>
      <x:c r="G53" s="119"/>
      <x:c r="H53" s="130" t="str">
        <x:f>IF(A53="","",IF(AND(COUNTA(M53:X53)&gt;=SETUP!$B$10,COUNTIF(M53:X53,MAX(M53:X53))=COUNTA(M53:X53)),"Yes","No"))</x:f>
      </x:c>
      <x:c r="I53" s="130" t="str">
        <x:f>IF(A53="","",IF('SURVEY DESIGN'!C53&lt;&gt;"",--(M53=""),0)+IF('SURVEY DESIGN'!C54&lt;&gt;"",--(N53=""),0)+IF('SURVEY DESIGN'!C55&lt;&gt;"",--(O53=""),0)+IF('SURVEY DESIGN'!C56&lt;&gt;"",--(P53=""),0)+IF('SURVEY DESIGN'!C57&lt;&gt;"",--(Q53=""),0)+IF('SURVEY DESIGN'!C58&lt;&gt;"",--(R53=""),0)+IF('SURVEY DESIGN'!C59&lt;&gt;"",--(S53=""),0)+IF('SURVEY DESIGN'!C60&lt;&gt;"",--(T53=""),0)+IF('SURVEY DESIGN'!C61&lt;&gt;"",--(U53=""),0)+IF('SURVEY DESIGN'!C62&lt;&gt;"",--(V53=""),0)+IF('SURVEY DESIGN'!C63&lt;&gt;"",--(W53=""),0)+IF('SURVEY DESIGN'!C64&lt;&gt;"",--(X53=""),0))</x:f>
      </x:c>
      <x:c r="J53" s="130" t="str">
        <x:f>IF(A53="","",IF(C53&lt;&gt;"Yes","NO CONSENT",IF(F53&lt;SETUP!$B$9,"SPEEDING",IF(G53&lt;&gt;"Yes","ATTENTION CHECK",IF(H53="Yes","STRAIGHTLINE REVIEW",IF(I53&gt;0,"MISSING ITEMS","OK"))))))</x:f>
      </x:c>
      <x:c r="K53" s="130" t="str">
        <x:f>IF(A53="","",IF(J53="OK","Yes","No"))</x:f>
      </x:c>
      <x:c r="L53" s="130" t="str">
        <x:f>IF(A53="","",IF(J53="OK","",IF(J53="NO CONSENT","Consent not affirmed",IF(J53="SPEEDING","Completion time below threshold",IF(J53="ATTENTION CHECK","Attention check failed",IF(J53="STRAIGHTLINE REVIEW","Straightlining review threshold met","Missing scored item(s)"))))))</x:f>
      </x:c>
      <x:c r="M53" s="119"/>
      <x:c r="N53" s="119"/>
      <x:c r="O53" s="119"/>
      <x:c r="P53" s="119"/>
      <x:c r="Q53" s="119"/>
      <x:c r="R53" s="119"/>
      <x:c r="S53" s="119"/>
      <x:c r="T53" s="119"/>
      <x:c r="U53" s="119"/>
      <x:c r="V53" s="119"/>
      <x:c r="W53" s="119"/>
      <x:c r="X53" s="119"/>
      <x:c r="Y53" s="133" t="str">
        <x:f>IF(K53&lt;&gt;"Yes","",IFERROR(AVERAGE(M53:X53),""))</x:f>
      </x:c>
      <x:c r="Z53" s="119"/>
    </x:row>
    <x:row r="54">
      <x:c r="A54" s="119"/>
      <x:c r="B54" s="119"/>
      <x:c r="C54" s="119"/>
      <x:c r="D54" s="119"/>
      <x:c r="E54" s="119"/>
      <x:c r="F54" s="119"/>
      <x:c r="G54" s="119"/>
      <x:c r="H54" s="130" t="str">
        <x:f>IF(A54="","",IF(AND(COUNTA(M54:X54)&gt;=SETUP!$B$10,COUNTIF(M54:X54,MAX(M54:X54))=COUNTA(M54:X54)),"Yes","No"))</x:f>
      </x:c>
      <x:c r="I54" s="130" t="str">
        <x:f>IF(A54="","",IF('SURVEY DESIGN'!C54&lt;&gt;"",--(M54=""),0)+IF('SURVEY DESIGN'!C55&lt;&gt;"",--(N54=""),0)+IF('SURVEY DESIGN'!C56&lt;&gt;"",--(O54=""),0)+IF('SURVEY DESIGN'!C57&lt;&gt;"",--(P54=""),0)+IF('SURVEY DESIGN'!C58&lt;&gt;"",--(Q54=""),0)+IF('SURVEY DESIGN'!C59&lt;&gt;"",--(R54=""),0)+IF('SURVEY DESIGN'!C60&lt;&gt;"",--(S54=""),0)+IF('SURVEY DESIGN'!C61&lt;&gt;"",--(T54=""),0)+IF('SURVEY DESIGN'!C62&lt;&gt;"",--(U54=""),0)+IF('SURVEY DESIGN'!C63&lt;&gt;"",--(V54=""),0)+IF('SURVEY DESIGN'!C64&lt;&gt;"",--(W54=""),0)+IF('SURVEY DESIGN'!C65&lt;&gt;"",--(X54=""),0))</x:f>
      </x:c>
      <x:c r="J54" s="130" t="str">
        <x:f>IF(A54="","",IF(C54&lt;&gt;"Yes","NO CONSENT",IF(F54&lt;SETUP!$B$9,"SPEEDING",IF(G54&lt;&gt;"Yes","ATTENTION CHECK",IF(H54="Yes","STRAIGHTLINE REVIEW",IF(I54&gt;0,"MISSING ITEMS","OK"))))))</x:f>
      </x:c>
      <x:c r="K54" s="130" t="str">
        <x:f>IF(A54="","",IF(J54="OK","Yes","No"))</x:f>
      </x:c>
      <x:c r="L54" s="130" t="str">
        <x:f>IF(A54="","",IF(J54="OK","",IF(J54="NO CONSENT","Consent not affirmed",IF(J54="SPEEDING","Completion time below threshold",IF(J54="ATTENTION CHECK","Attention check failed",IF(J54="STRAIGHTLINE REVIEW","Straightlining review threshold met","Missing scored item(s)"))))))</x:f>
      </x:c>
      <x:c r="M54" s="119"/>
      <x:c r="N54" s="119"/>
      <x:c r="O54" s="119"/>
      <x:c r="P54" s="119"/>
      <x:c r="Q54" s="119"/>
      <x:c r="R54" s="119"/>
      <x:c r="S54" s="119"/>
      <x:c r="T54" s="119"/>
      <x:c r="U54" s="119"/>
      <x:c r="V54" s="119"/>
      <x:c r="W54" s="119"/>
      <x:c r="X54" s="119"/>
      <x:c r="Y54" s="133" t="str">
        <x:f>IF(K54&lt;&gt;"Yes","",IFERROR(AVERAGE(M54:X54),""))</x:f>
      </x:c>
      <x:c r="Z54" s="119"/>
    </x:row>
    <x:row r="55">
      <x:c r="A55" s="119"/>
      <x:c r="B55" s="119"/>
      <x:c r="C55" s="119"/>
      <x:c r="D55" s="119"/>
      <x:c r="E55" s="119"/>
      <x:c r="F55" s="119"/>
      <x:c r="G55" s="119"/>
      <x:c r="H55" s="130" t="str">
        <x:f>IF(A55="","",IF(AND(COUNTA(M55:X55)&gt;=SETUP!$B$10,COUNTIF(M55:X55,MAX(M55:X55))=COUNTA(M55:X55)),"Yes","No"))</x:f>
      </x:c>
      <x:c r="I55" s="130" t="str">
        <x:f>IF(A55="","",IF('SURVEY DESIGN'!C55&lt;&gt;"",--(M55=""),0)+IF('SURVEY DESIGN'!C56&lt;&gt;"",--(N55=""),0)+IF('SURVEY DESIGN'!C57&lt;&gt;"",--(O55=""),0)+IF('SURVEY DESIGN'!C58&lt;&gt;"",--(P55=""),0)+IF('SURVEY DESIGN'!C59&lt;&gt;"",--(Q55=""),0)+IF('SURVEY DESIGN'!C60&lt;&gt;"",--(R55=""),0)+IF('SURVEY DESIGN'!C61&lt;&gt;"",--(S55=""),0)+IF('SURVEY DESIGN'!C62&lt;&gt;"",--(T55=""),0)+IF('SURVEY DESIGN'!C63&lt;&gt;"",--(U55=""),0)+IF('SURVEY DESIGN'!C64&lt;&gt;"",--(V55=""),0)+IF('SURVEY DESIGN'!C65&lt;&gt;"",--(W55=""),0)+IF('SURVEY DESIGN'!C66&lt;&gt;"",--(X55=""),0))</x:f>
      </x:c>
      <x:c r="J55" s="130" t="str">
        <x:f>IF(A55="","",IF(C55&lt;&gt;"Yes","NO CONSENT",IF(F55&lt;SETUP!$B$9,"SPEEDING",IF(G55&lt;&gt;"Yes","ATTENTION CHECK",IF(H55="Yes","STRAIGHTLINE REVIEW",IF(I55&gt;0,"MISSING ITEMS","OK"))))))</x:f>
      </x:c>
      <x:c r="K55" s="130" t="str">
        <x:f>IF(A55="","",IF(J55="OK","Yes","No"))</x:f>
      </x:c>
      <x:c r="L55" s="130" t="str">
        <x:f>IF(A55="","",IF(J55="OK","",IF(J55="NO CONSENT","Consent not affirmed",IF(J55="SPEEDING","Completion time below threshold",IF(J55="ATTENTION CHECK","Attention check failed",IF(J55="STRAIGHTLINE REVIEW","Straightlining review threshold met","Missing scored item(s)"))))))</x:f>
      </x:c>
      <x:c r="M55" s="119"/>
      <x:c r="N55" s="119"/>
      <x:c r="O55" s="119"/>
      <x:c r="P55" s="119"/>
      <x:c r="Q55" s="119"/>
      <x:c r="R55" s="119"/>
      <x:c r="S55" s="119"/>
      <x:c r="T55" s="119"/>
      <x:c r="U55" s="119"/>
      <x:c r="V55" s="119"/>
      <x:c r="W55" s="119"/>
      <x:c r="X55" s="119"/>
      <x:c r="Y55" s="133" t="str">
        <x:f>IF(K55&lt;&gt;"Yes","",IFERROR(AVERAGE(M55:X55),""))</x:f>
      </x:c>
      <x:c r="Z55" s="119"/>
    </x:row>
    <x:row r="56">
      <x:c r="A56" s="119"/>
      <x:c r="B56" s="119"/>
      <x:c r="C56" s="119"/>
      <x:c r="D56" s="119"/>
      <x:c r="E56" s="119"/>
      <x:c r="F56" s="119"/>
      <x:c r="G56" s="119"/>
      <x:c r="H56" s="130" t="str">
        <x:f>IF(A56="","",IF(AND(COUNTA(M56:X56)&gt;=SETUP!$B$10,COUNTIF(M56:X56,MAX(M56:X56))=COUNTA(M56:X56)),"Yes","No"))</x:f>
      </x:c>
      <x:c r="I56" s="130" t="str">
        <x:f>IF(A56="","",IF('SURVEY DESIGN'!C56&lt;&gt;"",--(M56=""),0)+IF('SURVEY DESIGN'!C57&lt;&gt;"",--(N56=""),0)+IF('SURVEY DESIGN'!C58&lt;&gt;"",--(O56=""),0)+IF('SURVEY DESIGN'!C59&lt;&gt;"",--(P56=""),0)+IF('SURVEY DESIGN'!C60&lt;&gt;"",--(Q56=""),0)+IF('SURVEY DESIGN'!C61&lt;&gt;"",--(R56=""),0)+IF('SURVEY DESIGN'!C62&lt;&gt;"",--(S56=""),0)+IF('SURVEY DESIGN'!C63&lt;&gt;"",--(T56=""),0)+IF('SURVEY DESIGN'!C64&lt;&gt;"",--(U56=""),0)+IF('SURVEY DESIGN'!C65&lt;&gt;"",--(V56=""),0)+IF('SURVEY DESIGN'!C66&lt;&gt;"",--(W56=""),0)+IF('SURVEY DESIGN'!C67&lt;&gt;"",--(X56=""),0))</x:f>
      </x:c>
      <x:c r="J56" s="130" t="str">
        <x:f>IF(A56="","",IF(C56&lt;&gt;"Yes","NO CONSENT",IF(F56&lt;SETUP!$B$9,"SPEEDING",IF(G56&lt;&gt;"Yes","ATTENTION CHECK",IF(H56="Yes","STRAIGHTLINE REVIEW",IF(I56&gt;0,"MISSING ITEMS","OK"))))))</x:f>
      </x:c>
      <x:c r="K56" s="130" t="str">
        <x:f>IF(A56="","",IF(J56="OK","Yes","No"))</x:f>
      </x:c>
      <x:c r="L56" s="130" t="str">
        <x:f>IF(A56="","",IF(J56="OK","",IF(J56="NO CONSENT","Consent not affirmed",IF(J56="SPEEDING","Completion time below threshold",IF(J56="ATTENTION CHECK","Attention check failed",IF(J56="STRAIGHTLINE REVIEW","Straightlining review threshold met","Missing scored item(s)"))))))</x:f>
      </x:c>
      <x:c r="M56" s="119"/>
      <x:c r="N56" s="119"/>
      <x:c r="O56" s="119"/>
      <x:c r="P56" s="119"/>
      <x:c r="Q56" s="119"/>
      <x:c r="R56" s="119"/>
      <x:c r="S56" s="119"/>
      <x:c r="T56" s="119"/>
      <x:c r="U56" s="119"/>
      <x:c r="V56" s="119"/>
      <x:c r="W56" s="119"/>
      <x:c r="X56" s="119"/>
      <x:c r="Y56" s="133" t="str">
        <x:f>IF(K56&lt;&gt;"Yes","",IFERROR(AVERAGE(M56:X56),""))</x:f>
      </x:c>
      <x:c r="Z56" s="119"/>
    </x:row>
    <x:row r="57">
      <x:c r="A57" s="119"/>
      <x:c r="B57" s="119"/>
      <x:c r="C57" s="119"/>
      <x:c r="D57" s="119"/>
      <x:c r="E57" s="119"/>
      <x:c r="F57" s="119"/>
      <x:c r="G57" s="119"/>
      <x:c r="H57" s="130" t="str">
        <x:f>IF(A57="","",IF(AND(COUNTA(M57:X57)&gt;=SETUP!$B$10,COUNTIF(M57:X57,MAX(M57:X57))=COUNTA(M57:X57)),"Yes","No"))</x:f>
      </x:c>
      <x:c r="I57" s="130" t="str">
        <x:f>IF(A57="","",IF('SURVEY DESIGN'!C57&lt;&gt;"",--(M57=""),0)+IF('SURVEY DESIGN'!C58&lt;&gt;"",--(N57=""),0)+IF('SURVEY DESIGN'!C59&lt;&gt;"",--(O57=""),0)+IF('SURVEY DESIGN'!C60&lt;&gt;"",--(P57=""),0)+IF('SURVEY DESIGN'!C61&lt;&gt;"",--(Q57=""),0)+IF('SURVEY DESIGN'!C62&lt;&gt;"",--(R57=""),0)+IF('SURVEY DESIGN'!C63&lt;&gt;"",--(S57=""),0)+IF('SURVEY DESIGN'!C64&lt;&gt;"",--(T57=""),0)+IF('SURVEY DESIGN'!C65&lt;&gt;"",--(U57=""),0)+IF('SURVEY DESIGN'!C66&lt;&gt;"",--(V57=""),0)+IF('SURVEY DESIGN'!C67&lt;&gt;"",--(W57=""),0)+IF('SURVEY DESIGN'!C68&lt;&gt;"",--(X57=""),0))</x:f>
      </x:c>
      <x:c r="J57" s="130" t="str">
        <x:f>IF(A57="","",IF(C57&lt;&gt;"Yes","NO CONSENT",IF(F57&lt;SETUP!$B$9,"SPEEDING",IF(G57&lt;&gt;"Yes","ATTENTION CHECK",IF(H57="Yes","STRAIGHTLINE REVIEW",IF(I57&gt;0,"MISSING ITEMS","OK"))))))</x:f>
      </x:c>
      <x:c r="K57" s="130" t="str">
        <x:f>IF(A57="","",IF(J57="OK","Yes","No"))</x:f>
      </x:c>
      <x:c r="L57" s="130" t="str">
        <x:f>IF(A57="","",IF(J57="OK","",IF(J57="NO CONSENT","Consent not affirmed",IF(J57="SPEEDING","Completion time below threshold",IF(J57="ATTENTION CHECK","Attention check failed",IF(J57="STRAIGHTLINE REVIEW","Straightlining review threshold met","Missing scored item(s)"))))))</x:f>
      </x:c>
      <x:c r="M57" s="119"/>
      <x:c r="N57" s="119"/>
      <x:c r="O57" s="119"/>
      <x:c r="P57" s="119"/>
      <x:c r="Q57" s="119"/>
      <x:c r="R57" s="119"/>
      <x:c r="S57" s="119"/>
      <x:c r="T57" s="119"/>
      <x:c r="U57" s="119"/>
      <x:c r="V57" s="119"/>
      <x:c r="W57" s="119"/>
      <x:c r="X57" s="119"/>
      <x:c r="Y57" s="133" t="str">
        <x:f>IF(K57&lt;&gt;"Yes","",IFERROR(AVERAGE(M57:X57),""))</x:f>
      </x:c>
      <x:c r="Z57" s="119"/>
    </x:row>
    <x:row r="58">
      <x:c r="A58" s="119"/>
      <x:c r="B58" s="119"/>
      <x:c r="C58" s="119"/>
      <x:c r="D58" s="119"/>
      <x:c r="E58" s="119"/>
      <x:c r="F58" s="119"/>
      <x:c r="G58" s="119"/>
      <x:c r="H58" s="130" t="str">
        <x:f>IF(A58="","",IF(AND(COUNTA(M58:X58)&gt;=SETUP!$B$10,COUNTIF(M58:X58,MAX(M58:X58))=COUNTA(M58:X58)),"Yes","No"))</x:f>
      </x:c>
      <x:c r="I58" s="130" t="str">
        <x:f>IF(A58="","",IF('SURVEY DESIGN'!C58&lt;&gt;"",--(M58=""),0)+IF('SURVEY DESIGN'!C59&lt;&gt;"",--(N58=""),0)+IF('SURVEY DESIGN'!C60&lt;&gt;"",--(O58=""),0)+IF('SURVEY DESIGN'!C61&lt;&gt;"",--(P58=""),0)+IF('SURVEY DESIGN'!C62&lt;&gt;"",--(Q58=""),0)+IF('SURVEY DESIGN'!C63&lt;&gt;"",--(R58=""),0)+IF('SURVEY DESIGN'!C64&lt;&gt;"",--(S58=""),0)+IF('SURVEY DESIGN'!C65&lt;&gt;"",--(T58=""),0)+IF('SURVEY DESIGN'!C66&lt;&gt;"",--(U58=""),0)+IF('SURVEY DESIGN'!C67&lt;&gt;"",--(V58=""),0)+IF('SURVEY DESIGN'!C68&lt;&gt;"",--(W58=""),0)+IF('SURVEY DESIGN'!C69&lt;&gt;"",--(X58=""),0))</x:f>
      </x:c>
      <x:c r="J58" s="130" t="str">
        <x:f>IF(A58="","",IF(C58&lt;&gt;"Yes","NO CONSENT",IF(F58&lt;SETUP!$B$9,"SPEEDING",IF(G58&lt;&gt;"Yes","ATTENTION CHECK",IF(H58="Yes","STRAIGHTLINE REVIEW",IF(I58&gt;0,"MISSING ITEMS","OK"))))))</x:f>
      </x:c>
      <x:c r="K58" s="130" t="str">
        <x:f>IF(A58="","",IF(J58="OK","Yes","No"))</x:f>
      </x:c>
      <x:c r="L58" s="130" t="str">
        <x:f>IF(A58="","",IF(J58="OK","",IF(J58="NO CONSENT","Consent not affirmed",IF(J58="SPEEDING","Completion time below threshold",IF(J58="ATTENTION CHECK","Attention check failed",IF(J58="STRAIGHTLINE REVIEW","Straightlining review threshold met","Missing scored item(s)"))))))</x:f>
      </x:c>
      <x:c r="M58" s="119"/>
      <x:c r="N58" s="119"/>
      <x:c r="O58" s="119"/>
      <x:c r="P58" s="119"/>
      <x:c r="Q58" s="119"/>
      <x:c r="R58" s="119"/>
      <x:c r="S58" s="119"/>
      <x:c r="T58" s="119"/>
      <x:c r="U58" s="119"/>
      <x:c r="V58" s="119"/>
      <x:c r="W58" s="119"/>
      <x:c r="X58" s="119"/>
      <x:c r="Y58" s="133" t="str">
        <x:f>IF(K58&lt;&gt;"Yes","",IFERROR(AVERAGE(M58:X58),""))</x:f>
      </x:c>
      <x:c r="Z58" s="119"/>
    </x:row>
    <x:row r="59">
      <x:c r="A59" s="119"/>
      <x:c r="B59" s="119"/>
      <x:c r="C59" s="119"/>
      <x:c r="D59" s="119"/>
      <x:c r="E59" s="119"/>
      <x:c r="F59" s="119"/>
      <x:c r="G59" s="119"/>
      <x:c r="H59" s="130" t="str">
        <x:f>IF(A59="","",IF(AND(COUNTA(M59:X59)&gt;=SETUP!$B$10,COUNTIF(M59:X59,MAX(M59:X59))=COUNTA(M59:X59)),"Yes","No"))</x:f>
      </x:c>
      <x:c r="I59" s="130" t="str">
        <x:f>IF(A59="","",IF('SURVEY DESIGN'!C59&lt;&gt;"",--(M59=""),0)+IF('SURVEY DESIGN'!C60&lt;&gt;"",--(N59=""),0)+IF('SURVEY DESIGN'!C61&lt;&gt;"",--(O59=""),0)+IF('SURVEY DESIGN'!C62&lt;&gt;"",--(P59=""),0)+IF('SURVEY DESIGN'!C63&lt;&gt;"",--(Q59=""),0)+IF('SURVEY DESIGN'!C64&lt;&gt;"",--(R59=""),0)+IF('SURVEY DESIGN'!C65&lt;&gt;"",--(S59=""),0)+IF('SURVEY DESIGN'!C66&lt;&gt;"",--(T59=""),0)+IF('SURVEY DESIGN'!C67&lt;&gt;"",--(U59=""),0)+IF('SURVEY DESIGN'!C68&lt;&gt;"",--(V59=""),0)+IF('SURVEY DESIGN'!C69&lt;&gt;"",--(W59=""),0)+IF('SURVEY DESIGN'!C70&lt;&gt;"",--(X59=""),0))</x:f>
      </x:c>
      <x:c r="J59" s="130" t="str">
        <x:f>IF(A59="","",IF(C59&lt;&gt;"Yes","NO CONSENT",IF(F59&lt;SETUP!$B$9,"SPEEDING",IF(G59&lt;&gt;"Yes","ATTENTION CHECK",IF(H59="Yes","STRAIGHTLINE REVIEW",IF(I59&gt;0,"MISSING ITEMS","OK"))))))</x:f>
      </x:c>
      <x:c r="K59" s="130" t="str">
        <x:f>IF(A59="","",IF(J59="OK","Yes","No"))</x:f>
      </x:c>
      <x:c r="L59" s="130" t="str">
        <x:f>IF(A59="","",IF(J59="OK","",IF(J59="NO CONSENT","Consent not affirmed",IF(J59="SPEEDING","Completion time below threshold",IF(J59="ATTENTION CHECK","Attention check failed",IF(J59="STRAIGHTLINE REVIEW","Straightlining review threshold met","Missing scored item(s)"))))))</x:f>
      </x:c>
      <x:c r="M59" s="119"/>
      <x:c r="N59" s="119"/>
      <x:c r="O59" s="119"/>
      <x:c r="P59" s="119"/>
      <x:c r="Q59" s="119"/>
      <x:c r="R59" s="119"/>
      <x:c r="S59" s="119"/>
      <x:c r="T59" s="119"/>
      <x:c r="U59" s="119"/>
      <x:c r="V59" s="119"/>
      <x:c r="W59" s="119"/>
      <x:c r="X59" s="119"/>
      <x:c r="Y59" s="133" t="str">
        <x:f>IF(K59&lt;&gt;"Yes","",IFERROR(AVERAGE(M59:X59),""))</x:f>
      </x:c>
      <x:c r="Z59" s="119"/>
    </x:row>
    <x:row r="60">
      <x:c r="A60" s="119"/>
      <x:c r="B60" s="119"/>
      <x:c r="C60" s="119"/>
      <x:c r="D60" s="119"/>
      <x:c r="E60" s="119"/>
      <x:c r="F60" s="119"/>
      <x:c r="G60" s="119"/>
      <x:c r="H60" s="130" t="str">
        <x:f>IF(A60="","",IF(AND(COUNTA(M60:X60)&gt;=SETUP!$B$10,COUNTIF(M60:X60,MAX(M60:X60))=COUNTA(M60:X60)),"Yes","No"))</x:f>
      </x:c>
      <x:c r="I60" s="130" t="str">
        <x:f>IF(A60="","",IF('SURVEY DESIGN'!C60&lt;&gt;"",--(M60=""),0)+IF('SURVEY DESIGN'!C61&lt;&gt;"",--(N60=""),0)+IF('SURVEY DESIGN'!C62&lt;&gt;"",--(O60=""),0)+IF('SURVEY DESIGN'!C63&lt;&gt;"",--(P60=""),0)+IF('SURVEY DESIGN'!C64&lt;&gt;"",--(Q60=""),0)+IF('SURVEY DESIGN'!C65&lt;&gt;"",--(R60=""),0)+IF('SURVEY DESIGN'!C66&lt;&gt;"",--(S60=""),0)+IF('SURVEY DESIGN'!C67&lt;&gt;"",--(T60=""),0)+IF('SURVEY DESIGN'!C68&lt;&gt;"",--(U60=""),0)+IF('SURVEY DESIGN'!C69&lt;&gt;"",--(V60=""),0)+IF('SURVEY DESIGN'!C70&lt;&gt;"",--(W60=""),0)+IF('SURVEY DESIGN'!C71&lt;&gt;"",--(X60=""),0))</x:f>
      </x:c>
      <x:c r="J60" s="130" t="str">
        <x:f>IF(A60="","",IF(C60&lt;&gt;"Yes","NO CONSENT",IF(F60&lt;SETUP!$B$9,"SPEEDING",IF(G60&lt;&gt;"Yes","ATTENTION CHECK",IF(H60="Yes","STRAIGHTLINE REVIEW",IF(I60&gt;0,"MISSING ITEMS","OK"))))))</x:f>
      </x:c>
      <x:c r="K60" s="130" t="str">
        <x:f>IF(A60="","",IF(J60="OK","Yes","No"))</x:f>
      </x:c>
      <x:c r="L60" s="130" t="str">
        <x:f>IF(A60="","",IF(J60="OK","",IF(J60="NO CONSENT","Consent not affirmed",IF(J60="SPEEDING","Completion time below threshold",IF(J60="ATTENTION CHECK","Attention check failed",IF(J60="STRAIGHTLINE REVIEW","Straightlining review threshold met","Missing scored item(s)"))))))</x:f>
      </x:c>
      <x:c r="M60" s="119"/>
      <x:c r="N60" s="119"/>
      <x:c r="O60" s="119"/>
      <x:c r="P60" s="119"/>
      <x:c r="Q60" s="119"/>
      <x:c r="R60" s="119"/>
      <x:c r="S60" s="119"/>
      <x:c r="T60" s="119"/>
      <x:c r="U60" s="119"/>
      <x:c r="V60" s="119"/>
      <x:c r="W60" s="119"/>
      <x:c r="X60" s="119"/>
      <x:c r="Y60" s="133" t="str">
        <x:f>IF(K60&lt;&gt;"Yes","",IFERROR(AVERAGE(M60:X60),""))</x:f>
      </x:c>
      <x:c r="Z60" s="119"/>
    </x:row>
    <x:row r="61">
      <x:c r="A61" s="119"/>
      <x:c r="B61" s="119"/>
      <x:c r="C61" s="119"/>
      <x:c r="D61" s="119"/>
      <x:c r="E61" s="119"/>
      <x:c r="F61" s="119"/>
      <x:c r="G61" s="119"/>
      <x:c r="H61" s="130" t="str">
        <x:f>IF(A61="","",IF(AND(COUNTA(M61:X61)&gt;=SETUP!$B$10,COUNTIF(M61:X61,MAX(M61:X61))=COUNTA(M61:X61)),"Yes","No"))</x:f>
      </x:c>
      <x:c r="I61" s="130" t="str">
        <x:f>IF(A61="","",IF('SURVEY DESIGN'!C61&lt;&gt;"",--(M61=""),0)+IF('SURVEY DESIGN'!C62&lt;&gt;"",--(N61=""),0)+IF('SURVEY DESIGN'!C63&lt;&gt;"",--(O61=""),0)+IF('SURVEY DESIGN'!C64&lt;&gt;"",--(P61=""),0)+IF('SURVEY DESIGN'!C65&lt;&gt;"",--(Q61=""),0)+IF('SURVEY DESIGN'!C66&lt;&gt;"",--(R61=""),0)+IF('SURVEY DESIGN'!C67&lt;&gt;"",--(S61=""),0)+IF('SURVEY DESIGN'!C68&lt;&gt;"",--(T61=""),0)+IF('SURVEY DESIGN'!C69&lt;&gt;"",--(U61=""),0)+IF('SURVEY DESIGN'!C70&lt;&gt;"",--(V61=""),0)+IF('SURVEY DESIGN'!C71&lt;&gt;"",--(W61=""),0)+IF('SURVEY DESIGN'!C72&lt;&gt;"",--(X61=""),0))</x:f>
      </x:c>
      <x:c r="J61" s="130" t="str">
        <x:f>IF(A61="","",IF(C61&lt;&gt;"Yes","NO CONSENT",IF(F61&lt;SETUP!$B$9,"SPEEDING",IF(G61&lt;&gt;"Yes","ATTENTION CHECK",IF(H61="Yes","STRAIGHTLINE REVIEW",IF(I61&gt;0,"MISSING ITEMS","OK"))))))</x:f>
      </x:c>
      <x:c r="K61" s="130" t="str">
        <x:f>IF(A61="","",IF(J61="OK","Yes","No"))</x:f>
      </x:c>
      <x:c r="L61" s="130" t="str">
        <x:f>IF(A61="","",IF(J61="OK","",IF(J61="NO CONSENT","Consent not affirmed",IF(J61="SPEEDING","Completion time below threshold",IF(J61="ATTENTION CHECK","Attention check failed",IF(J61="STRAIGHTLINE REVIEW","Straightlining review threshold met","Missing scored item(s)"))))))</x:f>
      </x:c>
      <x:c r="M61" s="119"/>
      <x:c r="N61" s="119"/>
      <x:c r="O61" s="119"/>
      <x:c r="P61" s="119"/>
      <x:c r="Q61" s="119"/>
      <x:c r="R61" s="119"/>
      <x:c r="S61" s="119"/>
      <x:c r="T61" s="119"/>
      <x:c r="U61" s="119"/>
      <x:c r="V61" s="119"/>
      <x:c r="W61" s="119"/>
      <x:c r="X61" s="119"/>
      <x:c r="Y61" s="133" t="str">
        <x:f>IF(K61&lt;&gt;"Yes","",IFERROR(AVERAGE(M61:X61),""))</x:f>
      </x:c>
      <x:c r="Z61" s="119"/>
    </x:row>
    <x:row r="62">
      <x:c r="A62" s="119"/>
      <x:c r="B62" s="119"/>
      <x:c r="C62" s="119"/>
      <x:c r="D62" s="119"/>
      <x:c r="E62" s="119"/>
      <x:c r="F62" s="119"/>
      <x:c r="G62" s="119"/>
      <x:c r="H62" s="130" t="str">
        <x:f>IF(A62="","",IF(AND(COUNTA(M62:X62)&gt;=SETUP!$B$10,COUNTIF(M62:X62,MAX(M62:X62))=COUNTA(M62:X62)),"Yes","No"))</x:f>
      </x:c>
      <x:c r="I62" s="130" t="str">
        <x:f>IF(A62="","",IF('SURVEY DESIGN'!C62&lt;&gt;"",--(M62=""),0)+IF('SURVEY DESIGN'!C63&lt;&gt;"",--(N62=""),0)+IF('SURVEY DESIGN'!C64&lt;&gt;"",--(O62=""),0)+IF('SURVEY DESIGN'!C65&lt;&gt;"",--(P62=""),0)+IF('SURVEY DESIGN'!C66&lt;&gt;"",--(Q62=""),0)+IF('SURVEY DESIGN'!C67&lt;&gt;"",--(R62=""),0)+IF('SURVEY DESIGN'!C68&lt;&gt;"",--(S62=""),0)+IF('SURVEY DESIGN'!C69&lt;&gt;"",--(T62=""),0)+IF('SURVEY DESIGN'!C70&lt;&gt;"",--(U62=""),0)+IF('SURVEY DESIGN'!C71&lt;&gt;"",--(V62=""),0)+IF('SURVEY DESIGN'!C72&lt;&gt;"",--(W62=""),0)+IF('SURVEY DESIGN'!C73&lt;&gt;"",--(X62=""),0))</x:f>
      </x:c>
      <x:c r="J62" s="130" t="str">
        <x:f>IF(A62="","",IF(C62&lt;&gt;"Yes","NO CONSENT",IF(F62&lt;SETUP!$B$9,"SPEEDING",IF(G62&lt;&gt;"Yes","ATTENTION CHECK",IF(H62="Yes","STRAIGHTLINE REVIEW",IF(I62&gt;0,"MISSING ITEMS","OK"))))))</x:f>
      </x:c>
      <x:c r="K62" s="130" t="str">
        <x:f>IF(A62="","",IF(J62="OK","Yes","No"))</x:f>
      </x:c>
      <x:c r="L62" s="130" t="str">
        <x:f>IF(A62="","",IF(J62="OK","",IF(J62="NO CONSENT","Consent not affirmed",IF(J62="SPEEDING","Completion time below threshold",IF(J62="ATTENTION CHECK","Attention check failed",IF(J62="STRAIGHTLINE REVIEW","Straightlining review threshold met","Missing scored item(s)"))))))</x:f>
      </x:c>
      <x:c r="M62" s="119"/>
      <x:c r="N62" s="119"/>
      <x:c r="O62" s="119"/>
      <x:c r="P62" s="119"/>
      <x:c r="Q62" s="119"/>
      <x:c r="R62" s="119"/>
      <x:c r="S62" s="119"/>
      <x:c r="T62" s="119"/>
      <x:c r="U62" s="119"/>
      <x:c r="V62" s="119"/>
      <x:c r="W62" s="119"/>
      <x:c r="X62" s="119"/>
      <x:c r="Y62" s="133" t="str">
        <x:f>IF(K62&lt;&gt;"Yes","",IFERROR(AVERAGE(M62:X62),""))</x:f>
      </x:c>
      <x:c r="Z62" s="119"/>
    </x:row>
    <x:row r="63">
      <x:c r="A63" s="119"/>
      <x:c r="B63" s="119"/>
      <x:c r="C63" s="119"/>
      <x:c r="D63" s="119"/>
      <x:c r="E63" s="119"/>
      <x:c r="F63" s="119"/>
      <x:c r="G63" s="119"/>
      <x:c r="H63" s="130" t="str">
        <x:f>IF(A63="","",IF(AND(COUNTA(M63:X63)&gt;=SETUP!$B$10,COUNTIF(M63:X63,MAX(M63:X63))=COUNTA(M63:X63)),"Yes","No"))</x:f>
      </x:c>
      <x:c r="I63" s="130" t="str">
        <x:f>IF(A63="","",IF('SURVEY DESIGN'!C63&lt;&gt;"",--(M63=""),0)+IF('SURVEY DESIGN'!C64&lt;&gt;"",--(N63=""),0)+IF('SURVEY DESIGN'!C65&lt;&gt;"",--(O63=""),0)+IF('SURVEY DESIGN'!C66&lt;&gt;"",--(P63=""),0)+IF('SURVEY DESIGN'!C67&lt;&gt;"",--(Q63=""),0)+IF('SURVEY DESIGN'!C68&lt;&gt;"",--(R63=""),0)+IF('SURVEY DESIGN'!C69&lt;&gt;"",--(S63=""),0)+IF('SURVEY DESIGN'!C70&lt;&gt;"",--(T63=""),0)+IF('SURVEY DESIGN'!C71&lt;&gt;"",--(U63=""),0)+IF('SURVEY DESIGN'!C72&lt;&gt;"",--(V63=""),0)+IF('SURVEY DESIGN'!C73&lt;&gt;"",--(W63=""),0)+IF('SURVEY DESIGN'!C74&lt;&gt;"",--(X63=""),0))</x:f>
      </x:c>
      <x:c r="J63" s="130" t="str">
        <x:f>IF(A63="","",IF(C63&lt;&gt;"Yes","NO CONSENT",IF(F63&lt;SETUP!$B$9,"SPEEDING",IF(G63&lt;&gt;"Yes","ATTENTION CHECK",IF(H63="Yes","STRAIGHTLINE REVIEW",IF(I63&gt;0,"MISSING ITEMS","OK"))))))</x:f>
      </x:c>
      <x:c r="K63" s="130" t="str">
        <x:f>IF(A63="","",IF(J63="OK","Yes","No"))</x:f>
      </x:c>
      <x:c r="L63" s="130" t="str">
        <x:f>IF(A63="","",IF(J63="OK","",IF(J63="NO CONSENT","Consent not affirmed",IF(J63="SPEEDING","Completion time below threshold",IF(J63="ATTENTION CHECK","Attention check failed",IF(J63="STRAIGHTLINE REVIEW","Straightlining review threshold met","Missing scored item(s)"))))))</x:f>
      </x:c>
      <x:c r="M63" s="119"/>
      <x:c r="N63" s="119"/>
      <x:c r="O63" s="119"/>
      <x:c r="P63" s="119"/>
      <x:c r="Q63" s="119"/>
      <x:c r="R63" s="119"/>
      <x:c r="S63" s="119"/>
      <x:c r="T63" s="119"/>
      <x:c r="U63" s="119"/>
      <x:c r="V63" s="119"/>
      <x:c r="W63" s="119"/>
      <x:c r="X63" s="119"/>
      <x:c r="Y63" s="133" t="str">
        <x:f>IF(K63&lt;&gt;"Yes","",IFERROR(AVERAGE(M63:X63),""))</x:f>
      </x:c>
      <x:c r="Z63" s="119"/>
    </x:row>
    <x:row r="64">
      <x:c r="A64" s="119"/>
      <x:c r="B64" s="119"/>
      <x:c r="C64" s="119"/>
      <x:c r="D64" s="119"/>
      <x:c r="E64" s="119"/>
      <x:c r="F64" s="119"/>
      <x:c r="G64" s="119"/>
      <x:c r="H64" s="130" t="str">
        <x:f>IF(A64="","",IF(AND(COUNTA(M64:X64)&gt;=SETUP!$B$10,COUNTIF(M64:X64,MAX(M64:X64))=COUNTA(M64:X64)),"Yes","No"))</x:f>
      </x:c>
      <x:c r="I64" s="130" t="str">
        <x:f>IF(A64="","",IF('SURVEY DESIGN'!C64&lt;&gt;"",--(M64=""),0)+IF('SURVEY DESIGN'!C65&lt;&gt;"",--(N64=""),0)+IF('SURVEY DESIGN'!C66&lt;&gt;"",--(O64=""),0)+IF('SURVEY DESIGN'!C67&lt;&gt;"",--(P64=""),0)+IF('SURVEY DESIGN'!C68&lt;&gt;"",--(Q64=""),0)+IF('SURVEY DESIGN'!C69&lt;&gt;"",--(R64=""),0)+IF('SURVEY DESIGN'!C70&lt;&gt;"",--(S64=""),0)+IF('SURVEY DESIGN'!C71&lt;&gt;"",--(T64=""),0)+IF('SURVEY DESIGN'!C72&lt;&gt;"",--(U64=""),0)+IF('SURVEY DESIGN'!C73&lt;&gt;"",--(V64=""),0)+IF('SURVEY DESIGN'!C74&lt;&gt;"",--(W64=""),0)+IF('SURVEY DESIGN'!C75&lt;&gt;"",--(X64=""),0))</x:f>
      </x:c>
      <x:c r="J64" s="130" t="str">
        <x:f>IF(A64="","",IF(C64&lt;&gt;"Yes","NO CONSENT",IF(F64&lt;SETUP!$B$9,"SPEEDING",IF(G64&lt;&gt;"Yes","ATTENTION CHECK",IF(H64="Yes","STRAIGHTLINE REVIEW",IF(I64&gt;0,"MISSING ITEMS","OK"))))))</x:f>
      </x:c>
      <x:c r="K64" s="130" t="str">
        <x:f>IF(A64="","",IF(J64="OK","Yes","No"))</x:f>
      </x:c>
      <x:c r="L64" s="130" t="str">
        <x:f>IF(A64="","",IF(J64="OK","",IF(J64="NO CONSENT","Consent not affirmed",IF(J64="SPEEDING","Completion time below threshold",IF(J64="ATTENTION CHECK","Attention check failed",IF(J64="STRAIGHTLINE REVIEW","Straightlining review threshold met","Missing scored item(s)"))))))</x:f>
      </x:c>
      <x:c r="M64" s="119"/>
      <x:c r="N64" s="119"/>
      <x:c r="O64" s="119"/>
      <x:c r="P64" s="119"/>
      <x:c r="Q64" s="119"/>
      <x:c r="R64" s="119"/>
      <x:c r="S64" s="119"/>
      <x:c r="T64" s="119"/>
      <x:c r="U64" s="119"/>
      <x:c r="V64" s="119"/>
      <x:c r="W64" s="119"/>
      <x:c r="X64" s="119"/>
      <x:c r="Y64" s="133" t="str">
        <x:f>IF(K64&lt;&gt;"Yes","",IFERROR(AVERAGE(M64:X64),""))</x:f>
      </x:c>
      <x:c r="Z64" s="119"/>
    </x:row>
    <x:row r="65">
      <x:c r="A65" s="119"/>
      <x:c r="B65" s="119"/>
      <x:c r="C65" s="119"/>
      <x:c r="D65" s="119"/>
      <x:c r="E65" s="119"/>
      <x:c r="F65" s="119"/>
      <x:c r="G65" s="119"/>
      <x:c r="H65" s="130" t="str">
        <x:f>IF(A65="","",IF(AND(COUNTA(M65:X65)&gt;=SETUP!$B$10,COUNTIF(M65:X65,MAX(M65:X65))=COUNTA(M65:X65)),"Yes","No"))</x:f>
      </x:c>
      <x:c r="I65" s="130" t="str">
        <x:f>IF(A65="","",IF('SURVEY DESIGN'!C65&lt;&gt;"",--(M65=""),0)+IF('SURVEY DESIGN'!C66&lt;&gt;"",--(N65=""),0)+IF('SURVEY DESIGN'!C67&lt;&gt;"",--(O65=""),0)+IF('SURVEY DESIGN'!C68&lt;&gt;"",--(P65=""),0)+IF('SURVEY DESIGN'!C69&lt;&gt;"",--(Q65=""),0)+IF('SURVEY DESIGN'!C70&lt;&gt;"",--(R65=""),0)+IF('SURVEY DESIGN'!C71&lt;&gt;"",--(S65=""),0)+IF('SURVEY DESIGN'!C72&lt;&gt;"",--(T65=""),0)+IF('SURVEY DESIGN'!C73&lt;&gt;"",--(U65=""),0)+IF('SURVEY DESIGN'!C74&lt;&gt;"",--(V65=""),0)+IF('SURVEY DESIGN'!C75&lt;&gt;"",--(W65=""),0)+IF('SURVEY DESIGN'!C76&lt;&gt;"",--(X65=""),0))</x:f>
      </x:c>
      <x:c r="J65" s="130" t="str">
        <x:f>IF(A65="","",IF(C65&lt;&gt;"Yes","NO CONSENT",IF(F65&lt;SETUP!$B$9,"SPEEDING",IF(G65&lt;&gt;"Yes","ATTENTION CHECK",IF(H65="Yes","STRAIGHTLINE REVIEW",IF(I65&gt;0,"MISSING ITEMS","OK"))))))</x:f>
      </x:c>
      <x:c r="K65" s="130" t="str">
        <x:f>IF(A65="","",IF(J65="OK","Yes","No"))</x:f>
      </x:c>
      <x:c r="L65" s="130" t="str">
        <x:f>IF(A65="","",IF(J65="OK","",IF(J65="NO CONSENT","Consent not affirmed",IF(J65="SPEEDING","Completion time below threshold",IF(J65="ATTENTION CHECK","Attention check failed",IF(J65="STRAIGHTLINE REVIEW","Straightlining review threshold met","Missing scored item(s)"))))))</x:f>
      </x:c>
      <x:c r="M65" s="119"/>
      <x:c r="N65" s="119"/>
      <x:c r="O65" s="119"/>
      <x:c r="P65" s="119"/>
      <x:c r="Q65" s="119"/>
      <x:c r="R65" s="119"/>
      <x:c r="S65" s="119"/>
      <x:c r="T65" s="119"/>
      <x:c r="U65" s="119"/>
      <x:c r="V65" s="119"/>
      <x:c r="W65" s="119"/>
      <x:c r="X65" s="119"/>
      <x:c r="Y65" s="133" t="str">
        <x:f>IF(K65&lt;&gt;"Yes","",IFERROR(AVERAGE(M65:X65),""))</x:f>
      </x:c>
      <x:c r="Z65" s="119"/>
    </x:row>
    <x:row r="66">
      <x:c r="A66" s="119"/>
      <x:c r="B66" s="119"/>
      <x:c r="C66" s="119"/>
      <x:c r="D66" s="119"/>
      <x:c r="E66" s="119"/>
      <x:c r="F66" s="119"/>
      <x:c r="G66" s="119"/>
      <x:c r="H66" s="130" t="str">
        <x:f>IF(A66="","",IF(AND(COUNTA(M66:X66)&gt;=SETUP!$B$10,COUNTIF(M66:X66,MAX(M66:X66))=COUNTA(M66:X66)),"Yes","No"))</x:f>
      </x:c>
      <x:c r="I66" s="130" t="str">
        <x:f>IF(A66="","",IF('SURVEY DESIGN'!C66&lt;&gt;"",--(M66=""),0)+IF('SURVEY DESIGN'!C67&lt;&gt;"",--(N66=""),0)+IF('SURVEY DESIGN'!C68&lt;&gt;"",--(O66=""),0)+IF('SURVEY DESIGN'!C69&lt;&gt;"",--(P66=""),0)+IF('SURVEY DESIGN'!C70&lt;&gt;"",--(Q66=""),0)+IF('SURVEY DESIGN'!C71&lt;&gt;"",--(R66=""),0)+IF('SURVEY DESIGN'!C72&lt;&gt;"",--(S66=""),0)+IF('SURVEY DESIGN'!C73&lt;&gt;"",--(T66=""),0)+IF('SURVEY DESIGN'!C74&lt;&gt;"",--(U66=""),0)+IF('SURVEY DESIGN'!C75&lt;&gt;"",--(V66=""),0)+IF('SURVEY DESIGN'!C76&lt;&gt;"",--(W66=""),0)+IF('SURVEY DESIGN'!C77&lt;&gt;"",--(X66=""),0))</x:f>
      </x:c>
      <x:c r="J66" s="130" t="str">
        <x:f>IF(A66="","",IF(C66&lt;&gt;"Yes","NO CONSENT",IF(F66&lt;SETUP!$B$9,"SPEEDING",IF(G66&lt;&gt;"Yes","ATTENTION CHECK",IF(H66="Yes","STRAIGHTLINE REVIEW",IF(I66&gt;0,"MISSING ITEMS","OK"))))))</x:f>
      </x:c>
      <x:c r="K66" s="130" t="str">
        <x:f>IF(A66="","",IF(J66="OK","Yes","No"))</x:f>
      </x:c>
      <x:c r="L66" s="130" t="str">
        <x:f>IF(A66="","",IF(J66="OK","",IF(J66="NO CONSENT","Consent not affirmed",IF(J66="SPEEDING","Completion time below threshold",IF(J66="ATTENTION CHECK","Attention check failed",IF(J66="STRAIGHTLINE REVIEW","Straightlining review threshold met","Missing scored item(s)"))))))</x:f>
      </x:c>
      <x:c r="M66" s="119"/>
      <x:c r="N66" s="119"/>
      <x:c r="O66" s="119"/>
      <x:c r="P66" s="119"/>
      <x:c r="Q66" s="119"/>
      <x:c r="R66" s="119"/>
      <x:c r="S66" s="119"/>
      <x:c r="T66" s="119"/>
      <x:c r="U66" s="119"/>
      <x:c r="V66" s="119"/>
      <x:c r="W66" s="119"/>
      <x:c r="X66" s="119"/>
      <x:c r="Y66" s="133" t="str">
        <x:f>IF(K66&lt;&gt;"Yes","",IFERROR(AVERAGE(M66:X66),""))</x:f>
      </x:c>
      <x:c r="Z66" s="119"/>
    </x:row>
    <x:row r="67">
      <x:c r="A67" s="119"/>
      <x:c r="B67" s="119"/>
      <x:c r="C67" s="119"/>
      <x:c r="D67" s="119"/>
      <x:c r="E67" s="119"/>
      <x:c r="F67" s="119"/>
      <x:c r="G67" s="119"/>
      <x:c r="H67" s="130" t="str">
        <x:f>IF(A67="","",IF(AND(COUNTA(M67:X67)&gt;=SETUP!$B$10,COUNTIF(M67:X67,MAX(M67:X67))=COUNTA(M67:X67)),"Yes","No"))</x:f>
      </x:c>
      <x:c r="I67" s="130" t="str">
        <x:f>IF(A67="","",IF('SURVEY DESIGN'!C67&lt;&gt;"",--(M67=""),0)+IF('SURVEY DESIGN'!C68&lt;&gt;"",--(N67=""),0)+IF('SURVEY DESIGN'!C69&lt;&gt;"",--(O67=""),0)+IF('SURVEY DESIGN'!C70&lt;&gt;"",--(P67=""),0)+IF('SURVEY DESIGN'!C71&lt;&gt;"",--(Q67=""),0)+IF('SURVEY DESIGN'!C72&lt;&gt;"",--(R67=""),0)+IF('SURVEY DESIGN'!C73&lt;&gt;"",--(S67=""),0)+IF('SURVEY DESIGN'!C74&lt;&gt;"",--(T67=""),0)+IF('SURVEY DESIGN'!C75&lt;&gt;"",--(U67=""),0)+IF('SURVEY DESIGN'!C76&lt;&gt;"",--(V67=""),0)+IF('SURVEY DESIGN'!C77&lt;&gt;"",--(W67=""),0)+IF('SURVEY DESIGN'!C78&lt;&gt;"",--(X67=""),0))</x:f>
      </x:c>
      <x:c r="J67" s="130" t="str">
        <x:f>IF(A67="","",IF(C67&lt;&gt;"Yes","NO CONSENT",IF(F67&lt;SETUP!$B$9,"SPEEDING",IF(G67&lt;&gt;"Yes","ATTENTION CHECK",IF(H67="Yes","STRAIGHTLINE REVIEW",IF(I67&gt;0,"MISSING ITEMS","OK"))))))</x:f>
      </x:c>
      <x:c r="K67" s="130" t="str">
        <x:f>IF(A67="","",IF(J67="OK","Yes","No"))</x:f>
      </x:c>
      <x:c r="L67" s="130" t="str">
        <x:f>IF(A67="","",IF(J67="OK","",IF(J67="NO CONSENT","Consent not affirmed",IF(J67="SPEEDING","Completion time below threshold",IF(J67="ATTENTION CHECK","Attention check failed",IF(J67="STRAIGHTLINE REVIEW","Straightlining review threshold met","Missing scored item(s)"))))))</x:f>
      </x:c>
      <x:c r="M67" s="119"/>
      <x:c r="N67" s="119"/>
      <x:c r="O67" s="119"/>
      <x:c r="P67" s="119"/>
      <x:c r="Q67" s="119"/>
      <x:c r="R67" s="119"/>
      <x:c r="S67" s="119"/>
      <x:c r="T67" s="119"/>
      <x:c r="U67" s="119"/>
      <x:c r="V67" s="119"/>
      <x:c r="W67" s="119"/>
      <x:c r="X67" s="119"/>
      <x:c r="Y67" s="133" t="str">
        <x:f>IF(K67&lt;&gt;"Yes","",IFERROR(AVERAGE(M67:X67),""))</x:f>
      </x:c>
      <x:c r="Z67" s="119"/>
    </x:row>
    <x:row r="68">
      <x:c r="A68" s="119"/>
      <x:c r="B68" s="119"/>
      <x:c r="C68" s="119"/>
      <x:c r="D68" s="119"/>
      <x:c r="E68" s="119"/>
      <x:c r="F68" s="119"/>
      <x:c r="G68" s="119"/>
      <x:c r="H68" s="130" t="str">
        <x:f>IF(A68="","",IF(AND(COUNTA(M68:X68)&gt;=SETUP!$B$10,COUNTIF(M68:X68,MAX(M68:X68))=COUNTA(M68:X68)),"Yes","No"))</x:f>
      </x:c>
      <x:c r="I68" s="130" t="str">
        <x:f>IF(A68="","",IF('SURVEY DESIGN'!C68&lt;&gt;"",--(M68=""),0)+IF('SURVEY DESIGN'!C69&lt;&gt;"",--(N68=""),0)+IF('SURVEY DESIGN'!C70&lt;&gt;"",--(O68=""),0)+IF('SURVEY DESIGN'!C71&lt;&gt;"",--(P68=""),0)+IF('SURVEY DESIGN'!C72&lt;&gt;"",--(Q68=""),0)+IF('SURVEY DESIGN'!C73&lt;&gt;"",--(R68=""),0)+IF('SURVEY DESIGN'!C74&lt;&gt;"",--(S68=""),0)+IF('SURVEY DESIGN'!C75&lt;&gt;"",--(T68=""),0)+IF('SURVEY DESIGN'!C76&lt;&gt;"",--(U68=""),0)+IF('SURVEY DESIGN'!C77&lt;&gt;"",--(V68=""),0)+IF('SURVEY DESIGN'!C78&lt;&gt;"",--(W68=""),0)+IF('SURVEY DESIGN'!C79&lt;&gt;"",--(X68=""),0))</x:f>
      </x:c>
      <x:c r="J68" s="130" t="str">
        <x:f>IF(A68="","",IF(C68&lt;&gt;"Yes","NO CONSENT",IF(F68&lt;SETUP!$B$9,"SPEEDING",IF(G68&lt;&gt;"Yes","ATTENTION CHECK",IF(H68="Yes","STRAIGHTLINE REVIEW",IF(I68&gt;0,"MISSING ITEMS","OK"))))))</x:f>
      </x:c>
      <x:c r="K68" s="130" t="str">
        <x:f>IF(A68="","",IF(J68="OK","Yes","No"))</x:f>
      </x:c>
      <x:c r="L68" s="130" t="str">
        <x:f>IF(A68="","",IF(J68="OK","",IF(J68="NO CONSENT","Consent not affirmed",IF(J68="SPEEDING","Completion time below threshold",IF(J68="ATTENTION CHECK","Attention check failed",IF(J68="STRAIGHTLINE REVIEW","Straightlining review threshold met","Missing scored item(s)"))))))</x:f>
      </x:c>
      <x:c r="M68" s="119"/>
      <x:c r="N68" s="119"/>
      <x:c r="O68" s="119"/>
      <x:c r="P68" s="119"/>
      <x:c r="Q68" s="119"/>
      <x:c r="R68" s="119"/>
      <x:c r="S68" s="119"/>
      <x:c r="T68" s="119"/>
      <x:c r="U68" s="119"/>
      <x:c r="V68" s="119"/>
      <x:c r="W68" s="119"/>
      <x:c r="X68" s="119"/>
      <x:c r="Y68" s="133" t="str">
        <x:f>IF(K68&lt;&gt;"Yes","",IFERROR(AVERAGE(M68:X68),""))</x:f>
      </x:c>
      <x:c r="Z68" s="119"/>
    </x:row>
    <x:row r="69">
      <x:c r="A69" s="119"/>
      <x:c r="B69" s="119"/>
      <x:c r="C69" s="119"/>
      <x:c r="D69" s="119"/>
      <x:c r="E69" s="119"/>
      <x:c r="F69" s="119"/>
      <x:c r="G69" s="119"/>
      <x:c r="H69" s="130" t="str">
        <x:f>IF(A69="","",IF(AND(COUNTA(M69:X69)&gt;=SETUP!$B$10,COUNTIF(M69:X69,MAX(M69:X69))=COUNTA(M69:X69)),"Yes","No"))</x:f>
      </x:c>
      <x:c r="I69" s="130" t="str">
        <x:f>IF(A69="","",IF('SURVEY DESIGN'!C69&lt;&gt;"",--(M69=""),0)+IF('SURVEY DESIGN'!C70&lt;&gt;"",--(N69=""),0)+IF('SURVEY DESIGN'!C71&lt;&gt;"",--(O69=""),0)+IF('SURVEY DESIGN'!C72&lt;&gt;"",--(P69=""),0)+IF('SURVEY DESIGN'!C73&lt;&gt;"",--(Q69=""),0)+IF('SURVEY DESIGN'!C74&lt;&gt;"",--(R69=""),0)+IF('SURVEY DESIGN'!C75&lt;&gt;"",--(S69=""),0)+IF('SURVEY DESIGN'!C76&lt;&gt;"",--(T69=""),0)+IF('SURVEY DESIGN'!C77&lt;&gt;"",--(U69=""),0)+IF('SURVEY DESIGN'!C78&lt;&gt;"",--(V69=""),0)+IF('SURVEY DESIGN'!C79&lt;&gt;"",--(W69=""),0)+IF('SURVEY DESIGN'!C80&lt;&gt;"",--(X69=""),0))</x:f>
      </x:c>
      <x:c r="J69" s="130" t="str">
        <x:f>IF(A69="","",IF(C69&lt;&gt;"Yes","NO CONSENT",IF(F69&lt;SETUP!$B$9,"SPEEDING",IF(G69&lt;&gt;"Yes","ATTENTION CHECK",IF(H69="Yes","STRAIGHTLINE REVIEW",IF(I69&gt;0,"MISSING ITEMS","OK"))))))</x:f>
      </x:c>
      <x:c r="K69" s="130" t="str">
        <x:f>IF(A69="","",IF(J69="OK","Yes","No"))</x:f>
      </x:c>
      <x:c r="L69" s="130" t="str">
        <x:f>IF(A69="","",IF(J69="OK","",IF(J69="NO CONSENT","Consent not affirmed",IF(J69="SPEEDING","Completion time below threshold",IF(J69="ATTENTION CHECK","Attention check failed",IF(J69="STRAIGHTLINE REVIEW","Straightlining review threshold met","Missing scored item(s)"))))))</x:f>
      </x:c>
      <x:c r="M69" s="119"/>
      <x:c r="N69" s="119"/>
      <x:c r="O69" s="119"/>
      <x:c r="P69" s="119"/>
      <x:c r="Q69" s="119"/>
      <x:c r="R69" s="119"/>
      <x:c r="S69" s="119"/>
      <x:c r="T69" s="119"/>
      <x:c r="U69" s="119"/>
      <x:c r="V69" s="119"/>
      <x:c r="W69" s="119"/>
      <x:c r="X69" s="119"/>
      <x:c r="Y69" s="133" t="str">
        <x:f>IF(K69&lt;&gt;"Yes","",IFERROR(AVERAGE(M69:X69),""))</x:f>
      </x:c>
      <x:c r="Z69" s="119"/>
    </x:row>
    <x:row r="70">
      <x:c r="A70" s="119"/>
      <x:c r="B70" s="119"/>
      <x:c r="C70" s="119"/>
      <x:c r="D70" s="119"/>
      <x:c r="E70" s="119"/>
      <x:c r="F70" s="119"/>
      <x:c r="G70" s="119"/>
      <x:c r="H70" s="130" t="str">
        <x:f>IF(A70="","",IF(AND(COUNTA(M70:X70)&gt;=SETUP!$B$10,COUNTIF(M70:X70,MAX(M70:X70))=COUNTA(M70:X70)),"Yes","No"))</x:f>
      </x:c>
      <x:c r="I70" s="130" t="str">
        <x:f>IF(A70="","",IF('SURVEY DESIGN'!C70&lt;&gt;"",--(M70=""),0)+IF('SURVEY DESIGN'!C71&lt;&gt;"",--(N70=""),0)+IF('SURVEY DESIGN'!C72&lt;&gt;"",--(O70=""),0)+IF('SURVEY DESIGN'!C73&lt;&gt;"",--(P70=""),0)+IF('SURVEY DESIGN'!C74&lt;&gt;"",--(Q70=""),0)+IF('SURVEY DESIGN'!C75&lt;&gt;"",--(R70=""),0)+IF('SURVEY DESIGN'!C76&lt;&gt;"",--(S70=""),0)+IF('SURVEY DESIGN'!C77&lt;&gt;"",--(T70=""),0)+IF('SURVEY DESIGN'!C78&lt;&gt;"",--(U70=""),0)+IF('SURVEY DESIGN'!C79&lt;&gt;"",--(V70=""),0)+IF('SURVEY DESIGN'!C80&lt;&gt;"",--(W70=""),0)+IF('SURVEY DESIGN'!C81&lt;&gt;"",--(X70=""),0))</x:f>
      </x:c>
      <x:c r="J70" s="130" t="str">
        <x:f>IF(A70="","",IF(C70&lt;&gt;"Yes","NO CONSENT",IF(F70&lt;SETUP!$B$9,"SPEEDING",IF(G70&lt;&gt;"Yes","ATTENTION CHECK",IF(H70="Yes","STRAIGHTLINE REVIEW",IF(I70&gt;0,"MISSING ITEMS","OK"))))))</x:f>
      </x:c>
      <x:c r="K70" s="130" t="str">
        <x:f>IF(A70="","",IF(J70="OK","Yes","No"))</x:f>
      </x:c>
      <x:c r="L70" s="130" t="str">
        <x:f>IF(A70="","",IF(J70="OK","",IF(J70="NO CONSENT","Consent not affirmed",IF(J70="SPEEDING","Completion time below threshold",IF(J70="ATTENTION CHECK","Attention check failed",IF(J70="STRAIGHTLINE REVIEW","Straightlining review threshold met","Missing scored item(s)"))))))</x:f>
      </x:c>
      <x:c r="M70" s="119"/>
      <x:c r="N70" s="119"/>
      <x:c r="O70" s="119"/>
      <x:c r="P70" s="119"/>
      <x:c r="Q70" s="119"/>
      <x:c r="R70" s="119"/>
      <x:c r="S70" s="119"/>
      <x:c r="T70" s="119"/>
      <x:c r="U70" s="119"/>
      <x:c r="V70" s="119"/>
      <x:c r="W70" s="119"/>
      <x:c r="X70" s="119"/>
      <x:c r="Y70" s="133" t="str">
        <x:f>IF(K70&lt;&gt;"Yes","",IFERROR(AVERAGE(M70:X70),""))</x:f>
      </x:c>
      <x:c r="Z70" s="119"/>
    </x:row>
    <x:row r="71">
      <x:c r="A71" s="119"/>
      <x:c r="B71" s="119"/>
      <x:c r="C71" s="119"/>
      <x:c r="D71" s="119"/>
      <x:c r="E71" s="119"/>
      <x:c r="F71" s="119"/>
      <x:c r="G71" s="119"/>
      <x:c r="H71" s="130" t="str">
        <x:f>IF(A71="","",IF(AND(COUNTA(M71:X71)&gt;=SETUP!$B$10,COUNTIF(M71:X71,MAX(M71:X71))=COUNTA(M71:X71)),"Yes","No"))</x:f>
      </x:c>
      <x:c r="I71" s="130" t="str">
        <x:f>IF(A71="","",IF('SURVEY DESIGN'!C71&lt;&gt;"",--(M71=""),0)+IF('SURVEY DESIGN'!C72&lt;&gt;"",--(N71=""),0)+IF('SURVEY DESIGN'!C73&lt;&gt;"",--(O71=""),0)+IF('SURVEY DESIGN'!C74&lt;&gt;"",--(P71=""),0)+IF('SURVEY DESIGN'!C75&lt;&gt;"",--(Q71=""),0)+IF('SURVEY DESIGN'!C76&lt;&gt;"",--(R71=""),0)+IF('SURVEY DESIGN'!C77&lt;&gt;"",--(S71=""),0)+IF('SURVEY DESIGN'!C78&lt;&gt;"",--(T71=""),0)+IF('SURVEY DESIGN'!C79&lt;&gt;"",--(U71=""),0)+IF('SURVEY DESIGN'!C80&lt;&gt;"",--(V71=""),0)+IF('SURVEY DESIGN'!C81&lt;&gt;"",--(W71=""),0)+IF('SURVEY DESIGN'!C82&lt;&gt;"",--(X71=""),0))</x:f>
      </x:c>
      <x:c r="J71" s="130" t="str">
        <x:f>IF(A71="","",IF(C71&lt;&gt;"Yes","NO CONSENT",IF(F71&lt;SETUP!$B$9,"SPEEDING",IF(G71&lt;&gt;"Yes","ATTENTION CHECK",IF(H71="Yes","STRAIGHTLINE REVIEW",IF(I71&gt;0,"MISSING ITEMS","OK"))))))</x:f>
      </x:c>
      <x:c r="K71" s="130" t="str">
        <x:f>IF(A71="","",IF(J71="OK","Yes","No"))</x:f>
      </x:c>
      <x:c r="L71" s="130" t="str">
        <x:f>IF(A71="","",IF(J71="OK","",IF(J71="NO CONSENT","Consent not affirmed",IF(J71="SPEEDING","Completion time below threshold",IF(J71="ATTENTION CHECK","Attention check failed",IF(J71="STRAIGHTLINE REVIEW","Straightlining review threshold met","Missing scored item(s)"))))))</x:f>
      </x:c>
      <x:c r="M71" s="119"/>
      <x:c r="N71" s="119"/>
      <x:c r="O71" s="119"/>
      <x:c r="P71" s="119"/>
      <x:c r="Q71" s="119"/>
      <x:c r="R71" s="119"/>
      <x:c r="S71" s="119"/>
      <x:c r="T71" s="119"/>
      <x:c r="U71" s="119"/>
      <x:c r="V71" s="119"/>
      <x:c r="W71" s="119"/>
      <x:c r="X71" s="119"/>
      <x:c r="Y71" s="133" t="str">
        <x:f>IF(K71&lt;&gt;"Yes","",IFERROR(AVERAGE(M71:X71),""))</x:f>
      </x:c>
      <x:c r="Z71" s="119"/>
    </x:row>
    <x:row r="72">
      <x:c r="A72" s="119"/>
      <x:c r="B72" s="119"/>
      <x:c r="C72" s="119"/>
      <x:c r="D72" s="119"/>
      <x:c r="E72" s="119"/>
      <x:c r="F72" s="119"/>
      <x:c r="G72" s="119"/>
      <x:c r="H72" s="130" t="str">
        <x:f>IF(A72="","",IF(AND(COUNTA(M72:X72)&gt;=SETUP!$B$10,COUNTIF(M72:X72,MAX(M72:X72))=COUNTA(M72:X72)),"Yes","No"))</x:f>
      </x:c>
      <x:c r="I72" s="130" t="str">
        <x:f>IF(A72="","",IF('SURVEY DESIGN'!C72&lt;&gt;"",--(M72=""),0)+IF('SURVEY DESIGN'!C73&lt;&gt;"",--(N72=""),0)+IF('SURVEY DESIGN'!C74&lt;&gt;"",--(O72=""),0)+IF('SURVEY DESIGN'!C75&lt;&gt;"",--(P72=""),0)+IF('SURVEY DESIGN'!C76&lt;&gt;"",--(Q72=""),0)+IF('SURVEY DESIGN'!C77&lt;&gt;"",--(R72=""),0)+IF('SURVEY DESIGN'!C78&lt;&gt;"",--(S72=""),0)+IF('SURVEY DESIGN'!C79&lt;&gt;"",--(T72=""),0)+IF('SURVEY DESIGN'!C80&lt;&gt;"",--(U72=""),0)+IF('SURVEY DESIGN'!C81&lt;&gt;"",--(V72=""),0)+IF('SURVEY DESIGN'!C82&lt;&gt;"",--(W72=""),0)+IF('SURVEY DESIGN'!C83&lt;&gt;"",--(X72=""),0))</x:f>
      </x:c>
      <x:c r="J72" s="130" t="str">
        <x:f>IF(A72="","",IF(C72&lt;&gt;"Yes","NO CONSENT",IF(F72&lt;SETUP!$B$9,"SPEEDING",IF(G72&lt;&gt;"Yes","ATTENTION CHECK",IF(H72="Yes","STRAIGHTLINE REVIEW",IF(I72&gt;0,"MISSING ITEMS","OK"))))))</x:f>
      </x:c>
      <x:c r="K72" s="130" t="str">
        <x:f>IF(A72="","",IF(J72="OK","Yes","No"))</x:f>
      </x:c>
      <x:c r="L72" s="130" t="str">
        <x:f>IF(A72="","",IF(J72="OK","",IF(J72="NO CONSENT","Consent not affirmed",IF(J72="SPEEDING","Completion time below threshold",IF(J72="ATTENTION CHECK","Attention check failed",IF(J72="STRAIGHTLINE REVIEW","Straightlining review threshold met","Missing scored item(s)"))))))</x:f>
      </x:c>
      <x:c r="M72" s="119"/>
      <x:c r="N72" s="119"/>
      <x:c r="O72" s="119"/>
      <x:c r="P72" s="119"/>
      <x:c r="Q72" s="119"/>
      <x:c r="R72" s="119"/>
      <x:c r="S72" s="119"/>
      <x:c r="T72" s="119"/>
      <x:c r="U72" s="119"/>
      <x:c r="V72" s="119"/>
      <x:c r="W72" s="119"/>
      <x:c r="X72" s="119"/>
      <x:c r="Y72" s="133" t="str">
        <x:f>IF(K72&lt;&gt;"Yes","",IFERROR(AVERAGE(M72:X72),""))</x:f>
      </x:c>
      <x:c r="Z72" s="119"/>
    </x:row>
    <x:row r="73">
      <x:c r="A73" s="119"/>
      <x:c r="B73" s="119"/>
      <x:c r="C73" s="119"/>
      <x:c r="D73" s="119"/>
      <x:c r="E73" s="119"/>
      <x:c r="F73" s="119"/>
      <x:c r="G73" s="119"/>
      <x:c r="H73" s="130" t="str">
        <x:f>IF(A73="","",IF(AND(COUNTA(M73:X73)&gt;=SETUP!$B$10,COUNTIF(M73:X73,MAX(M73:X73))=COUNTA(M73:X73)),"Yes","No"))</x:f>
      </x:c>
      <x:c r="I73" s="130" t="str">
        <x:f>IF(A73="","",IF('SURVEY DESIGN'!C73&lt;&gt;"",--(M73=""),0)+IF('SURVEY DESIGN'!C74&lt;&gt;"",--(N73=""),0)+IF('SURVEY DESIGN'!C75&lt;&gt;"",--(O73=""),0)+IF('SURVEY DESIGN'!C76&lt;&gt;"",--(P73=""),0)+IF('SURVEY DESIGN'!C77&lt;&gt;"",--(Q73=""),0)+IF('SURVEY DESIGN'!C78&lt;&gt;"",--(R73=""),0)+IF('SURVEY DESIGN'!C79&lt;&gt;"",--(S73=""),0)+IF('SURVEY DESIGN'!C80&lt;&gt;"",--(T73=""),0)+IF('SURVEY DESIGN'!C81&lt;&gt;"",--(U73=""),0)+IF('SURVEY DESIGN'!C82&lt;&gt;"",--(V73=""),0)+IF('SURVEY DESIGN'!C83&lt;&gt;"",--(W73=""),0)+IF('SURVEY DESIGN'!C84&lt;&gt;"",--(X73=""),0))</x:f>
      </x:c>
      <x:c r="J73" s="130" t="str">
        <x:f>IF(A73="","",IF(C73&lt;&gt;"Yes","NO CONSENT",IF(F73&lt;SETUP!$B$9,"SPEEDING",IF(G73&lt;&gt;"Yes","ATTENTION CHECK",IF(H73="Yes","STRAIGHTLINE REVIEW",IF(I73&gt;0,"MISSING ITEMS","OK"))))))</x:f>
      </x:c>
      <x:c r="K73" s="130" t="str">
        <x:f>IF(A73="","",IF(J73="OK","Yes","No"))</x:f>
      </x:c>
      <x:c r="L73" s="130" t="str">
        <x:f>IF(A73="","",IF(J73="OK","",IF(J73="NO CONSENT","Consent not affirmed",IF(J73="SPEEDING","Completion time below threshold",IF(J73="ATTENTION CHECK","Attention check failed",IF(J73="STRAIGHTLINE REVIEW","Straightlining review threshold met","Missing scored item(s)"))))))</x:f>
      </x:c>
      <x:c r="M73" s="119"/>
      <x:c r="N73" s="119"/>
      <x:c r="O73" s="119"/>
      <x:c r="P73" s="119"/>
      <x:c r="Q73" s="119"/>
      <x:c r="R73" s="119"/>
      <x:c r="S73" s="119"/>
      <x:c r="T73" s="119"/>
      <x:c r="U73" s="119"/>
      <x:c r="V73" s="119"/>
      <x:c r="W73" s="119"/>
      <x:c r="X73" s="119"/>
      <x:c r="Y73" s="133" t="str">
        <x:f>IF(K73&lt;&gt;"Yes","",IFERROR(AVERAGE(M73:X73),""))</x:f>
      </x:c>
      <x:c r="Z73" s="119"/>
    </x:row>
    <x:row r="74">
      <x:c r="A74" s="119"/>
      <x:c r="B74" s="119"/>
      <x:c r="C74" s="119"/>
      <x:c r="D74" s="119"/>
      <x:c r="E74" s="119"/>
      <x:c r="F74" s="119"/>
      <x:c r="G74" s="119"/>
      <x:c r="H74" s="130" t="str">
        <x:f>IF(A74="","",IF(AND(COUNTA(M74:X74)&gt;=SETUP!$B$10,COUNTIF(M74:X74,MAX(M74:X74))=COUNTA(M74:X74)),"Yes","No"))</x:f>
      </x:c>
      <x:c r="I74" s="130" t="str">
        <x:f>IF(A74="","",IF('SURVEY DESIGN'!C74&lt;&gt;"",--(M74=""),0)+IF('SURVEY DESIGN'!C75&lt;&gt;"",--(N74=""),0)+IF('SURVEY DESIGN'!C76&lt;&gt;"",--(O74=""),0)+IF('SURVEY DESIGN'!C77&lt;&gt;"",--(P74=""),0)+IF('SURVEY DESIGN'!C78&lt;&gt;"",--(Q74=""),0)+IF('SURVEY DESIGN'!C79&lt;&gt;"",--(R74=""),0)+IF('SURVEY DESIGN'!C80&lt;&gt;"",--(S74=""),0)+IF('SURVEY DESIGN'!C81&lt;&gt;"",--(T74=""),0)+IF('SURVEY DESIGN'!C82&lt;&gt;"",--(U74=""),0)+IF('SURVEY DESIGN'!C83&lt;&gt;"",--(V74=""),0)+IF('SURVEY DESIGN'!C84&lt;&gt;"",--(W74=""),0)+IF('SURVEY DESIGN'!C85&lt;&gt;"",--(X74=""),0))</x:f>
      </x:c>
      <x:c r="J74" s="130" t="str">
        <x:f>IF(A74="","",IF(C74&lt;&gt;"Yes","NO CONSENT",IF(F74&lt;SETUP!$B$9,"SPEEDING",IF(G74&lt;&gt;"Yes","ATTENTION CHECK",IF(H74="Yes","STRAIGHTLINE REVIEW",IF(I74&gt;0,"MISSING ITEMS","OK"))))))</x:f>
      </x:c>
      <x:c r="K74" s="130" t="str">
        <x:f>IF(A74="","",IF(J74="OK","Yes","No"))</x:f>
      </x:c>
      <x:c r="L74" s="130" t="str">
        <x:f>IF(A74="","",IF(J74="OK","",IF(J74="NO CONSENT","Consent not affirmed",IF(J74="SPEEDING","Completion time below threshold",IF(J74="ATTENTION CHECK","Attention check failed",IF(J74="STRAIGHTLINE REVIEW","Straightlining review threshold met","Missing scored item(s)"))))))</x:f>
      </x:c>
      <x:c r="M74" s="119"/>
      <x:c r="N74" s="119"/>
      <x:c r="O74" s="119"/>
      <x:c r="P74" s="119"/>
      <x:c r="Q74" s="119"/>
      <x:c r="R74" s="119"/>
      <x:c r="S74" s="119"/>
      <x:c r="T74" s="119"/>
      <x:c r="U74" s="119"/>
      <x:c r="V74" s="119"/>
      <x:c r="W74" s="119"/>
      <x:c r="X74" s="119"/>
      <x:c r="Y74" s="133" t="str">
        <x:f>IF(K74&lt;&gt;"Yes","",IFERROR(AVERAGE(M74:X74),""))</x:f>
      </x:c>
      <x:c r="Z74" s="119"/>
    </x:row>
    <x:row r="75">
      <x:c r="A75" s="119"/>
      <x:c r="B75" s="119"/>
      <x:c r="C75" s="119"/>
      <x:c r="D75" s="119"/>
      <x:c r="E75" s="119"/>
      <x:c r="F75" s="119"/>
      <x:c r="G75" s="119"/>
      <x:c r="H75" s="130" t="str">
        <x:f>IF(A75="","",IF(AND(COUNTA(M75:X75)&gt;=SETUP!$B$10,COUNTIF(M75:X75,MAX(M75:X75))=COUNTA(M75:X75)),"Yes","No"))</x:f>
      </x:c>
      <x:c r="I75" s="130" t="str">
        <x:f>IF(A75="","",IF('SURVEY DESIGN'!C75&lt;&gt;"",--(M75=""),0)+IF('SURVEY DESIGN'!C76&lt;&gt;"",--(N75=""),0)+IF('SURVEY DESIGN'!C77&lt;&gt;"",--(O75=""),0)+IF('SURVEY DESIGN'!C78&lt;&gt;"",--(P75=""),0)+IF('SURVEY DESIGN'!C79&lt;&gt;"",--(Q75=""),0)+IF('SURVEY DESIGN'!C80&lt;&gt;"",--(R75=""),0)+IF('SURVEY DESIGN'!C81&lt;&gt;"",--(S75=""),0)+IF('SURVEY DESIGN'!C82&lt;&gt;"",--(T75=""),0)+IF('SURVEY DESIGN'!C83&lt;&gt;"",--(U75=""),0)+IF('SURVEY DESIGN'!C84&lt;&gt;"",--(V75=""),0)+IF('SURVEY DESIGN'!C85&lt;&gt;"",--(W75=""),0)+IF('SURVEY DESIGN'!C86&lt;&gt;"",--(X75=""),0))</x:f>
      </x:c>
      <x:c r="J75" s="130" t="str">
        <x:f>IF(A75="","",IF(C75&lt;&gt;"Yes","NO CONSENT",IF(F75&lt;SETUP!$B$9,"SPEEDING",IF(G75&lt;&gt;"Yes","ATTENTION CHECK",IF(H75="Yes","STRAIGHTLINE REVIEW",IF(I75&gt;0,"MISSING ITEMS","OK"))))))</x:f>
      </x:c>
      <x:c r="K75" s="130" t="str">
        <x:f>IF(A75="","",IF(J75="OK","Yes","No"))</x:f>
      </x:c>
      <x:c r="L75" s="130" t="str">
        <x:f>IF(A75="","",IF(J75="OK","",IF(J75="NO CONSENT","Consent not affirmed",IF(J75="SPEEDING","Completion time below threshold",IF(J75="ATTENTION CHECK","Attention check failed",IF(J75="STRAIGHTLINE REVIEW","Straightlining review threshold met","Missing scored item(s)"))))))</x:f>
      </x:c>
      <x:c r="M75" s="119"/>
      <x:c r="N75" s="119"/>
      <x:c r="O75" s="119"/>
      <x:c r="P75" s="119"/>
      <x:c r="Q75" s="119"/>
      <x:c r="R75" s="119"/>
      <x:c r="S75" s="119"/>
      <x:c r="T75" s="119"/>
      <x:c r="U75" s="119"/>
      <x:c r="V75" s="119"/>
      <x:c r="W75" s="119"/>
      <x:c r="X75" s="119"/>
      <x:c r="Y75" s="133" t="str">
        <x:f>IF(K75&lt;&gt;"Yes","",IFERROR(AVERAGE(M75:X75),""))</x:f>
      </x:c>
      <x:c r="Z75" s="119"/>
    </x:row>
    <x:row r="76">
      <x:c r="A76" s="119"/>
      <x:c r="B76" s="119"/>
      <x:c r="C76" s="119"/>
      <x:c r="D76" s="119"/>
      <x:c r="E76" s="119"/>
      <x:c r="F76" s="119"/>
      <x:c r="G76" s="119"/>
      <x:c r="H76" s="130" t="str">
        <x:f>IF(A76="","",IF(AND(COUNTA(M76:X76)&gt;=SETUP!$B$10,COUNTIF(M76:X76,MAX(M76:X76))=COUNTA(M76:X76)),"Yes","No"))</x:f>
      </x:c>
      <x:c r="I76" s="130" t="str">
        <x:f>IF(A76="","",IF('SURVEY DESIGN'!C76&lt;&gt;"",--(M76=""),0)+IF('SURVEY DESIGN'!C77&lt;&gt;"",--(N76=""),0)+IF('SURVEY DESIGN'!C78&lt;&gt;"",--(O76=""),0)+IF('SURVEY DESIGN'!C79&lt;&gt;"",--(P76=""),0)+IF('SURVEY DESIGN'!C80&lt;&gt;"",--(Q76=""),0)+IF('SURVEY DESIGN'!C81&lt;&gt;"",--(R76=""),0)+IF('SURVEY DESIGN'!C82&lt;&gt;"",--(S76=""),0)+IF('SURVEY DESIGN'!C83&lt;&gt;"",--(T76=""),0)+IF('SURVEY DESIGN'!C84&lt;&gt;"",--(U76=""),0)+IF('SURVEY DESIGN'!C85&lt;&gt;"",--(V76=""),0)+IF('SURVEY DESIGN'!C86&lt;&gt;"",--(W76=""),0)+IF('SURVEY DESIGN'!C87&lt;&gt;"",--(X76=""),0))</x:f>
      </x:c>
      <x:c r="J76" s="130" t="str">
        <x:f>IF(A76="","",IF(C76&lt;&gt;"Yes","NO CONSENT",IF(F76&lt;SETUP!$B$9,"SPEEDING",IF(G76&lt;&gt;"Yes","ATTENTION CHECK",IF(H76="Yes","STRAIGHTLINE REVIEW",IF(I76&gt;0,"MISSING ITEMS","OK"))))))</x:f>
      </x:c>
      <x:c r="K76" s="130" t="str">
        <x:f>IF(A76="","",IF(J76="OK","Yes","No"))</x:f>
      </x:c>
      <x:c r="L76" s="130" t="str">
        <x:f>IF(A76="","",IF(J76="OK","",IF(J76="NO CONSENT","Consent not affirmed",IF(J76="SPEEDING","Completion time below threshold",IF(J76="ATTENTION CHECK","Attention check failed",IF(J76="STRAIGHTLINE REVIEW","Straightlining review threshold met","Missing scored item(s)"))))))</x:f>
      </x:c>
      <x:c r="M76" s="119"/>
      <x:c r="N76" s="119"/>
      <x:c r="O76" s="119"/>
      <x:c r="P76" s="119"/>
      <x:c r="Q76" s="119"/>
      <x:c r="R76" s="119"/>
      <x:c r="S76" s="119"/>
      <x:c r="T76" s="119"/>
      <x:c r="U76" s="119"/>
      <x:c r="V76" s="119"/>
      <x:c r="W76" s="119"/>
      <x:c r="X76" s="119"/>
      <x:c r="Y76" s="133" t="str">
        <x:f>IF(K76&lt;&gt;"Yes","",IFERROR(AVERAGE(M76:X76),""))</x:f>
      </x:c>
      <x:c r="Z76" s="119"/>
    </x:row>
    <x:row r="77">
      <x:c r="A77" s="119"/>
      <x:c r="B77" s="119"/>
      <x:c r="C77" s="119"/>
      <x:c r="D77" s="119"/>
      <x:c r="E77" s="119"/>
      <x:c r="F77" s="119"/>
      <x:c r="G77" s="119"/>
      <x:c r="H77" s="130" t="str">
        <x:f>IF(A77="","",IF(AND(COUNTA(M77:X77)&gt;=SETUP!$B$10,COUNTIF(M77:X77,MAX(M77:X77))=COUNTA(M77:X77)),"Yes","No"))</x:f>
      </x:c>
      <x:c r="I77" s="130" t="str">
        <x:f>IF(A77="","",IF('SURVEY DESIGN'!C77&lt;&gt;"",--(M77=""),0)+IF('SURVEY DESIGN'!C78&lt;&gt;"",--(N77=""),0)+IF('SURVEY DESIGN'!C79&lt;&gt;"",--(O77=""),0)+IF('SURVEY DESIGN'!C80&lt;&gt;"",--(P77=""),0)+IF('SURVEY DESIGN'!C81&lt;&gt;"",--(Q77=""),0)+IF('SURVEY DESIGN'!C82&lt;&gt;"",--(R77=""),0)+IF('SURVEY DESIGN'!C83&lt;&gt;"",--(S77=""),0)+IF('SURVEY DESIGN'!C84&lt;&gt;"",--(T77=""),0)+IF('SURVEY DESIGN'!C85&lt;&gt;"",--(U77=""),0)+IF('SURVEY DESIGN'!C86&lt;&gt;"",--(V77=""),0)+IF('SURVEY DESIGN'!C87&lt;&gt;"",--(W77=""),0)+IF('SURVEY DESIGN'!C88&lt;&gt;"",--(X77=""),0))</x:f>
      </x:c>
      <x:c r="J77" s="130" t="str">
        <x:f>IF(A77="","",IF(C77&lt;&gt;"Yes","NO CONSENT",IF(F77&lt;SETUP!$B$9,"SPEEDING",IF(G77&lt;&gt;"Yes","ATTENTION CHECK",IF(H77="Yes","STRAIGHTLINE REVIEW",IF(I77&gt;0,"MISSING ITEMS","OK"))))))</x:f>
      </x:c>
      <x:c r="K77" s="130" t="str">
        <x:f>IF(A77="","",IF(J77="OK","Yes","No"))</x:f>
      </x:c>
      <x:c r="L77" s="130" t="str">
        <x:f>IF(A77="","",IF(J77="OK","",IF(J77="NO CONSENT","Consent not affirmed",IF(J77="SPEEDING","Completion time below threshold",IF(J77="ATTENTION CHECK","Attention check failed",IF(J77="STRAIGHTLINE REVIEW","Straightlining review threshold met","Missing scored item(s)"))))))</x:f>
      </x:c>
      <x:c r="M77" s="119"/>
      <x:c r="N77" s="119"/>
      <x:c r="O77" s="119"/>
      <x:c r="P77" s="119"/>
      <x:c r="Q77" s="119"/>
      <x:c r="R77" s="119"/>
      <x:c r="S77" s="119"/>
      <x:c r="T77" s="119"/>
      <x:c r="U77" s="119"/>
      <x:c r="V77" s="119"/>
      <x:c r="W77" s="119"/>
      <x:c r="X77" s="119"/>
      <x:c r="Y77" s="133" t="str">
        <x:f>IF(K77&lt;&gt;"Yes","",IFERROR(AVERAGE(M77:X77),""))</x:f>
      </x:c>
      <x:c r="Z77" s="119"/>
    </x:row>
    <x:row r="78">
      <x:c r="A78" s="119"/>
      <x:c r="B78" s="119"/>
      <x:c r="C78" s="119"/>
      <x:c r="D78" s="119"/>
      <x:c r="E78" s="119"/>
      <x:c r="F78" s="119"/>
      <x:c r="G78" s="119"/>
      <x:c r="H78" s="130" t="str">
        <x:f>IF(A78="","",IF(AND(COUNTA(M78:X78)&gt;=SETUP!$B$10,COUNTIF(M78:X78,MAX(M78:X78))=COUNTA(M78:X78)),"Yes","No"))</x:f>
      </x:c>
      <x:c r="I78" s="130" t="str">
        <x:f>IF(A78="","",IF('SURVEY DESIGN'!C78&lt;&gt;"",--(M78=""),0)+IF('SURVEY DESIGN'!C79&lt;&gt;"",--(N78=""),0)+IF('SURVEY DESIGN'!C80&lt;&gt;"",--(O78=""),0)+IF('SURVEY DESIGN'!C81&lt;&gt;"",--(P78=""),0)+IF('SURVEY DESIGN'!C82&lt;&gt;"",--(Q78=""),0)+IF('SURVEY DESIGN'!C83&lt;&gt;"",--(R78=""),0)+IF('SURVEY DESIGN'!C84&lt;&gt;"",--(S78=""),0)+IF('SURVEY DESIGN'!C85&lt;&gt;"",--(T78=""),0)+IF('SURVEY DESIGN'!C86&lt;&gt;"",--(U78=""),0)+IF('SURVEY DESIGN'!C87&lt;&gt;"",--(V78=""),0)+IF('SURVEY DESIGN'!C88&lt;&gt;"",--(W78=""),0)+IF('SURVEY DESIGN'!C89&lt;&gt;"",--(X78=""),0))</x:f>
      </x:c>
      <x:c r="J78" s="130" t="str">
        <x:f>IF(A78="","",IF(C78&lt;&gt;"Yes","NO CONSENT",IF(F78&lt;SETUP!$B$9,"SPEEDING",IF(G78&lt;&gt;"Yes","ATTENTION CHECK",IF(H78="Yes","STRAIGHTLINE REVIEW",IF(I78&gt;0,"MISSING ITEMS","OK"))))))</x:f>
      </x:c>
      <x:c r="K78" s="130" t="str">
        <x:f>IF(A78="","",IF(J78="OK","Yes","No"))</x:f>
      </x:c>
      <x:c r="L78" s="130" t="str">
        <x:f>IF(A78="","",IF(J78="OK","",IF(J78="NO CONSENT","Consent not affirmed",IF(J78="SPEEDING","Completion time below threshold",IF(J78="ATTENTION CHECK","Attention check failed",IF(J78="STRAIGHTLINE REVIEW","Straightlining review threshold met","Missing scored item(s)"))))))</x:f>
      </x:c>
      <x:c r="M78" s="119"/>
      <x:c r="N78" s="119"/>
      <x:c r="O78" s="119"/>
      <x:c r="P78" s="119"/>
      <x:c r="Q78" s="119"/>
      <x:c r="R78" s="119"/>
      <x:c r="S78" s="119"/>
      <x:c r="T78" s="119"/>
      <x:c r="U78" s="119"/>
      <x:c r="V78" s="119"/>
      <x:c r="W78" s="119"/>
      <x:c r="X78" s="119"/>
      <x:c r="Y78" s="133" t="str">
        <x:f>IF(K78&lt;&gt;"Yes","",IFERROR(AVERAGE(M78:X78),""))</x:f>
      </x:c>
      <x:c r="Z78" s="119"/>
    </x:row>
    <x:row r="79">
      <x:c r="A79" s="119"/>
      <x:c r="B79" s="119"/>
      <x:c r="C79" s="119"/>
      <x:c r="D79" s="119"/>
      <x:c r="E79" s="119"/>
      <x:c r="F79" s="119"/>
      <x:c r="G79" s="119"/>
      <x:c r="H79" s="130" t="str">
        <x:f>IF(A79="","",IF(AND(COUNTA(M79:X79)&gt;=SETUP!$B$10,COUNTIF(M79:X79,MAX(M79:X79))=COUNTA(M79:X79)),"Yes","No"))</x:f>
      </x:c>
      <x:c r="I79" s="130" t="str">
        <x:f>IF(A79="","",IF('SURVEY DESIGN'!C79&lt;&gt;"",--(M79=""),0)+IF('SURVEY DESIGN'!C80&lt;&gt;"",--(N79=""),0)+IF('SURVEY DESIGN'!C81&lt;&gt;"",--(O79=""),0)+IF('SURVEY DESIGN'!C82&lt;&gt;"",--(P79=""),0)+IF('SURVEY DESIGN'!C83&lt;&gt;"",--(Q79=""),0)+IF('SURVEY DESIGN'!C84&lt;&gt;"",--(R79=""),0)+IF('SURVEY DESIGN'!C85&lt;&gt;"",--(S79=""),0)+IF('SURVEY DESIGN'!C86&lt;&gt;"",--(T79=""),0)+IF('SURVEY DESIGN'!C87&lt;&gt;"",--(U79=""),0)+IF('SURVEY DESIGN'!C88&lt;&gt;"",--(V79=""),0)+IF('SURVEY DESIGN'!C89&lt;&gt;"",--(W79=""),0)+IF('SURVEY DESIGN'!C90&lt;&gt;"",--(X79=""),0))</x:f>
      </x:c>
      <x:c r="J79" s="130" t="str">
        <x:f>IF(A79="","",IF(C79&lt;&gt;"Yes","NO CONSENT",IF(F79&lt;SETUP!$B$9,"SPEEDING",IF(G79&lt;&gt;"Yes","ATTENTION CHECK",IF(H79="Yes","STRAIGHTLINE REVIEW",IF(I79&gt;0,"MISSING ITEMS","OK"))))))</x:f>
      </x:c>
      <x:c r="K79" s="130" t="str">
        <x:f>IF(A79="","",IF(J79="OK","Yes","No"))</x:f>
      </x:c>
      <x:c r="L79" s="130" t="str">
        <x:f>IF(A79="","",IF(J79="OK","",IF(J79="NO CONSENT","Consent not affirmed",IF(J79="SPEEDING","Completion time below threshold",IF(J79="ATTENTION CHECK","Attention check failed",IF(J79="STRAIGHTLINE REVIEW","Straightlining review threshold met","Missing scored item(s)"))))))</x:f>
      </x:c>
      <x:c r="M79" s="119"/>
      <x:c r="N79" s="119"/>
      <x:c r="O79" s="119"/>
      <x:c r="P79" s="119"/>
      <x:c r="Q79" s="119"/>
      <x:c r="R79" s="119"/>
      <x:c r="S79" s="119"/>
      <x:c r="T79" s="119"/>
      <x:c r="U79" s="119"/>
      <x:c r="V79" s="119"/>
      <x:c r="W79" s="119"/>
      <x:c r="X79" s="119"/>
      <x:c r="Y79" s="133" t="str">
        <x:f>IF(K79&lt;&gt;"Yes","",IFERROR(AVERAGE(M79:X79),""))</x:f>
      </x:c>
      <x:c r="Z79" s="119"/>
    </x:row>
    <x:row r="80">
      <x:c r="A80" s="119"/>
      <x:c r="B80" s="119"/>
      <x:c r="C80" s="119"/>
      <x:c r="D80" s="119"/>
      <x:c r="E80" s="119"/>
      <x:c r="F80" s="119"/>
      <x:c r="G80" s="119"/>
      <x:c r="H80" s="130" t="str">
        <x:f>IF(A80="","",IF(AND(COUNTA(M80:X80)&gt;=SETUP!$B$10,COUNTIF(M80:X80,MAX(M80:X80))=COUNTA(M80:X80)),"Yes","No"))</x:f>
      </x:c>
      <x:c r="I80" s="130" t="str">
        <x:f>IF(A80="","",IF('SURVEY DESIGN'!C80&lt;&gt;"",--(M80=""),0)+IF('SURVEY DESIGN'!C81&lt;&gt;"",--(N80=""),0)+IF('SURVEY DESIGN'!C82&lt;&gt;"",--(O80=""),0)+IF('SURVEY DESIGN'!C83&lt;&gt;"",--(P80=""),0)+IF('SURVEY DESIGN'!C84&lt;&gt;"",--(Q80=""),0)+IF('SURVEY DESIGN'!C85&lt;&gt;"",--(R80=""),0)+IF('SURVEY DESIGN'!C86&lt;&gt;"",--(S80=""),0)+IF('SURVEY DESIGN'!C87&lt;&gt;"",--(T80=""),0)+IF('SURVEY DESIGN'!C88&lt;&gt;"",--(U80=""),0)+IF('SURVEY DESIGN'!C89&lt;&gt;"",--(V80=""),0)+IF('SURVEY DESIGN'!C90&lt;&gt;"",--(W80=""),0)+IF('SURVEY DESIGN'!C91&lt;&gt;"",--(X80=""),0))</x:f>
      </x:c>
      <x:c r="J80" s="130" t="str">
        <x:f>IF(A80="","",IF(C80&lt;&gt;"Yes","NO CONSENT",IF(F80&lt;SETUP!$B$9,"SPEEDING",IF(G80&lt;&gt;"Yes","ATTENTION CHECK",IF(H80="Yes","STRAIGHTLINE REVIEW",IF(I80&gt;0,"MISSING ITEMS","OK"))))))</x:f>
      </x:c>
      <x:c r="K80" s="130" t="str">
        <x:f>IF(A80="","",IF(J80="OK","Yes","No"))</x:f>
      </x:c>
      <x:c r="L80" s="130" t="str">
        <x:f>IF(A80="","",IF(J80="OK","",IF(J80="NO CONSENT","Consent not affirmed",IF(J80="SPEEDING","Completion time below threshold",IF(J80="ATTENTION CHECK","Attention check failed",IF(J80="STRAIGHTLINE REVIEW","Straightlining review threshold met","Missing scored item(s)"))))))</x:f>
      </x:c>
      <x:c r="M80" s="119"/>
      <x:c r="N80" s="119"/>
      <x:c r="O80" s="119"/>
      <x:c r="P80" s="119"/>
      <x:c r="Q80" s="119"/>
      <x:c r="R80" s="119"/>
      <x:c r="S80" s="119"/>
      <x:c r="T80" s="119"/>
      <x:c r="U80" s="119"/>
      <x:c r="V80" s="119"/>
      <x:c r="W80" s="119"/>
      <x:c r="X80" s="119"/>
      <x:c r="Y80" s="133" t="str">
        <x:f>IF(K80&lt;&gt;"Yes","",IFERROR(AVERAGE(M80:X80),""))</x:f>
      </x:c>
      <x:c r="Z80" s="119"/>
    </x:row>
    <x:row r="81">
      <x:c r="A81" s="119"/>
      <x:c r="B81" s="119"/>
      <x:c r="C81" s="119"/>
      <x:c r="D81" s="119"/>
      <x:c r="E81" s="119"/>
      <x:c r="F81" s="119"/>
      <x:c r="G81" s="119"/>
      <x:c r="H81" s="130" t="str">
        <x:f>IF(A81="","",IF(AND(COUNTA(M81:X81)&gt;=SETUP!$B$10,COUNTIF(M81:X81,MAX(M81:X81))=COUNTA(M81:X81)),"Yes","No"))</x:f>
      </x:c>
      <x:c r="I81" s="130" t="str">
        <x:f>IF(A81="","",IF('SURVEY DESIGN'!C81&lt;&gt;"",--(M81=""),0)+IF('SURVEY DESIGN'!C82&lt;&gt;"",--(N81=""),0)+IF('SURVEY DESIGN'!C83&lt;&gt;"",--(O81=""),0)+IF('SURVEY DESIGN'!C84&lt;&gt;"",--(P81=""),0)+IF('SURVEY DESIGN'!C85&lt;&gt;"",--(Q81=""),0)+IF('SURVEY DESIGN'!C86&lt;&gt;"",--(R81=""),0)+IF('SURVEY DESIGN'!C87&lt;&gt;"",--(S81=""),0)+IF('SURVEY DESIGN'!C88&lt;&gt;"",--(T81=""),0)+IF('SURVEY DESIGN'!C89&lt;&gt;"",--(U81=""),0)+IF('SURVEY DESIGN'!C90&lt;&gt;"",--(V81=""),0)+IF('SURVEY DESIGN'!C91&lt;&gt;"",--(W81=""),0)+IF('SURVEY DESIGN'!C92&lt;&gt;"",--(X81=""),0))</x:f>
      </x:c>
      <x:c r="J81" s="130" t="str">
        <x:f>IF(A81="","",IF(C81&lt;&gt;"Yes","NO CONSENT",IF(F81&lt;SETUP!$B$9,"SPEEDING",IF(G81&lt;&gt;"Yes","ATTENTION CHECK",IF(H81="Yes","STRAIGHTLINE REVIEW",IF(I81&gt;0,"MISSING ITEMS","OK"))))))</x:f>
      </x:c>
      <x:c r="K81" s="130" t="str">
        <x:f>IF(A81="","",IF(J81="OK","Yes","No"))</x:f>
      </x:c>
      <x:c r="L81" s="130" t="str">
        <x:f>IF(A81="","",IF(J81="OK","",IF(J81="NO CONSENT","Consent not affirmed",IF(J81="SPEEDING","Completion time below threshold",IF(J81="ATTENTION CHECK","Attention check failed",IF(J81="STRAIGHTLINE REVIEW","Straightlining review threshold met","Missing scored item(s)"))))))</x:f>
      </x:c>
      <x:c r="M81" s="119"/>
      <x:c r="N81" s="119"/>
      <x:c r="O81" s="119"/>
      <x:c r="P81" s="119"/>
      <x:c r="Q81" s="119"/>
      <x:c r="R81" s="119"/>
      <x:c r="S81" s="119"/>
      <x:c r="T81" s="119"/>
      <x:c r="U81" s="119"/>
      <x:c r="V81" s="119"/>
      <x:c r="W81" s="119"/>
      <x:c r="X81" s="119"/>
      <x:c r="Y81" s="133" t="str">
        <x:f>IF(K81&lt;&gt;"Yes","",IFERROR(AVERAGE(M81:X81),""))</x:f>
      </x:c>
      <x:c r="Z81" s="119"/>
    </x:row>
    <x:row r="82">
      <x:c r="A82" s="119"/>
      <x:c r="B82" s="119"/>
      <x:c r="C82" s="119"/>
      <x:c r="D82" s="119"/>
      <x:c r="E82" s="119"/>
      <x:c r="F82" s="119"/>
      <x:c r="G82" s="119"/>
      <x:c r="H82" s="130" t="str">
        <x:f>IF(A82="","",IF(AND(COUNTA(M82:X82)&gt;=SETUP!$B$10,COUNTIF(M82:X82,MAX(M82:X82))=COUNTA(M82:X82)),"Yes","No"))</x:f>
      </x:c>
      <x:c r="I82" s="130" t="str">
        <x:f>IF(A82="","",IF('SURVEY DESIGN'!C82&lt;&gt;"",--(M82=""),0)+IF('SURVEY DESIGN'!C83&lt;&gt;"",--(N82=""),0)+IF('SURVEY DESIGN'!C84&lt;&gt;"",--(O82=""),0)+IF('SURVEY DESIGN'!C85&lt;&gt;"",--(P82=""),0)+IF('SURVEY DESIGN'!C86&lt;&gt;"",--(Q82=""),0)+IF('SURVEY DESIGN'!C87&lt;&gt;"",--(R82=""),0)+IF('SURVEY DESIGN'!C88&lt;&gt;"",--(S82=""),0)+IF('SURVEY DESIGN'!C89&lt;&gt;"",--(T82=""),0)+IF('SURVEY DESIGN'!C90&lt;&gt;"",--(U82=""),0)+IF('SURVEY DESIGN'!C91&lt;&gt;"",--(V82=""),0)+IF('SURVEY DESIGN'!C92&lt;&gt;"",--(W82=""),0)+IF('SURVEY DESIGN'!C93&lt;&gt;"",--(X82=""),0))</x:f>
      </x:c>
      <x:c r="J82" s="130" t="str">
        <x:f>IF(A82="","",IF(C82&lt;&gt;"Yes","NO CONSENT",IF(F82&lt;SETUP!$B$9,"SPEEDING",IF(G82&lt;&gt;"Yes","ATTENTION CHECK",IF(H82="Yes","STRAIGHTLINE REVIEW",IF(I82&gt;0,"MISSING ITEMS","OK"))))))</x:f>
      </x:c>
      <x:c r="K82" s="130" t="str">
        <x:f>IF(A82="","",IF(J82="OK","Yes","No"))</x:f>
      </x:c>
      <x:c r="L82" s="130" t="str">
        <x:f>IF(A82="","",IF(J82="OK","",IF(J82="NO CONSENT","Consent not affirmed",IF(J82="SPEEDING","Completion time below threshold",IF(J82="ATTENTION CHECK","Attention check failed",IF(J82="STRAIGHTLINE REVIEW","Straightlining review threshold met","Missing scored item(s)"))))))</x:f>
      </x:c>
      <x:c r="M82" s="119"/>
      <x:c r="N82" s="119"/>
      <x:c r="O82" s="119"/>
      <x:c r="P82" s="119"/>
      <x:c r="Q82" s="119"/>
      <x:c r="R82" s="119"/>
      <x:c r="S82" s="119"/>
      <x:c r="T82" s="119"/>
      <x:c r="U82" s="119"/>
      <x:c r="V82" s="119"/>
      <x:c r="W82" s="119"/>
      <x:c r="X82" s="119"/>
      <x:c r="Y82" s="133" t="str">
        <x:f>IF(K82&lt;&gt;"Yes","",IFERROR(AVERAGE(M82:X82),""))</x:f>
      </x:c>
      <x:c r="Z82" s="119"/>
    </x:row>
    <x:row r="83">
      <x:c r="A83" s="119"/>
      <x:c r="B83" s="119"/>
      <x:c r="C83" s="119"/>
      <x:c r="D83" s="119"/>
      <x:c r="E83" s="119"/>
      <x:c r="F83" s="119"/>
      <x:c r="G83" s="119"/>
      <x:c r="H83" s="130" t="str">
        <x:f>IF(A83="","",IF(AND(COUNTA(M83:X83)&gt;=SETUP!$B$10,COUNTIF(M83:X83,MAX(M83:X83))=COUNTA(M83:X83)),"Yes","No"))</x:f>
      </x:c>
      <x:c r="I83" s="130" t="str">
        <x:f>IF(A83="","",IF('SURVEY DESIGN'!C83&lt;&gt;"",--(M83=""),0)+IF('SURVEY DESIGN'!C84&lt;&gt;"",--(N83=""),0)+IF('SURVEY DESIGN'!C85&lt;&gt;"",--(O83=""),0)+IF('SURVEY DESIGN'!C86&lt;&gt;"",--(P83=""),0)+IF('SURVEY DESIGN'!C87&lt;&gt;"",--(Q83=""),0)+IF('SURVEY DESIGN'!C88&lt;&gt;"",--(R83=""),0)+IF('SURVEY DESIGN'!C89&lt;&gt;"",--(S83=""),0)+IF('SURVEY DESIGN'!C90&lt;&gt;"",--(T83=""),0)+IF('SURVEY DESIGN'!C91&lt;&gt;"",--(U83=""),0)+IF('SURVEY DESIGN'!C92&lt;&gt;"",--(V83=""),0)+IF('SURVEY DESIGN'!C93&lt;&gt;"",--(W83=""),0)+IF('SURVEY DESIGN'!C94&lt;&gt;"",--(X83=""),0))</x:f>
      </x:c>
      <x:c r="J83" s="130" t="str">
        <x:f>IF(A83="","",IF(C83&lt;&gt;"Yes","NO CONSENT",IF(F83&lt;SETUP!$B$9,"SPEEDING",IF(G83&lt;&gt;"Yes","ATTENTION CHECK",IF(H83="Yes","STRAIGHTLINE REVIEW",IF(I83&gt;0,"MISSING ITEMS","OK"))))))</x:f>
      </x:c>
      <x:c r="K83" s="130" t="str">
        <x:f>IF(A83="","",IF(J83="OK","Yes","No"))</x:f>
      </x:c>
      <x:c r="L83" s="130" t="str">
        <x:f>IF(A83="","",IF(J83="OK","",IF(J83="NO CONSENT","Consent not affirmed",IF(J83="SPEEDING","Completion time below threshold",IF(J83="ATTENTION CHECK","Attention check failed",IF(J83="STRAIGHTLINE REVIEW","Straightlining review threshold met","Missing scored item(s)"))))))</x:f>
      </x:c>
      <x:c r="M83" s="119"/>
      <x:c r="N83" s="119"/>
      <x:c r="O83" s="119"/>
      <x:c r="P83" s="119"/>
      <x:c r="Q83" s="119"/>
      <x:c r="R83" s="119"/>
      <x:c r="S83" s="119"/>
      <x:c r="T83" s="119"/>
      <x:c r="U83" s="119"/>
      <x:c r="V83" s="119"/>
      <x:c r="W83" s="119"/>
      <x:c r="X83" s="119"/>
      <x:c r="Y83" s="133" t="str">
        <x:f>IF(K83&lt;&gt;"Yes","",IFERROR(AVERAGE(M83:X83),""))</x:f>
      </x:c>
      <x:c r="Z83" s="119"/>
    </x:row>
    <x:row r="84">
      <x:c r="A84" s="119"/>
      <x:c r="B84" s="119"/>
      <x:c r="C84" s="119"/>
      <x:c r="D84" s="119"/>
      <x:c r="E84" s="119"/>
      <x:c r="F84" s="119"/>
      <x:c r="G84" s="119"/>
      <x:c r="H84" s="130" t="str">
        <x:f>IF(A84="","",IF(AND(COUNTA(M84:X84)&gt;=SETUP!$B$10,COUNTIF(M84:X84,MAX(M84:X84))=COUNTA(M84:X84)),"Yes","No"))</x:f>
      </x:c>
      <x:c r="I84" s="130" t="str">
        <x:f>IF(A84="","",IF('SURVEY DESIGN'!C84&lt;&gt;"",--(M84=""),0)+IF('SURVEY DESIGN'!C85&lt;&gt;"",--(N84=""),0)+IF('SURVEY DESIGN'!C86&lt;&gt;"",--(O84=""),0)+IF('SURVEY DESIGN'!C87&lt;&gt;"",--(P84=""),0)+IF('SURVEY DESIGN'!C88&lt;&gt;"",--(Q84=""),0)+IF('SURVEY DESIGN'!C89&lt;&gt;"",--(R84=""),0)+IF('SURVEY DESIGN'!C90&lt;&gt;"",--(S84=""),0)+IF('SURVEY DESIGN'!C91&lt;&gt;"",--(T84=""),0)+IF('SURVEY DESIGN'!C92&lt;&gt;"",--(U84=""),0)+IF('SURVEY DESIGN'!C93&lt;&gt;"",--(V84=""),0)+IF('SURVEY DESIGN'!C94&lt;&gt;"",--(W84=""),0)+IF('SURVEY DESIGN'!C95&lt;&gt;"",--(X84=""),0))</x:f>
      </x:c>
      <x:c r="J84" s="130" t="str">
        <x:f>IF(A84="","",IF(C84&lt;&gt;"Yes","NO CONSENT",IF(F84&lt;SETUP!$B$9,"SPEEDING",IF(G84&lt;&gt;"Yes","ATTENTION CHECK",IF(H84="Yes","STRAIGHTLINE REVIEW",IF(I84&gt;0,"MISSING ITEMS","OK"))))))</x:f>
      </x:c>
      <x:c r="K84" s="130" t="str">
        <x:f>IF(A84="","",IF(J84="OK","Yes","No"))</x:f>
      </x:c>
      <x:c r="L84" s="130" t="str">
        <x:f>IF(A84="","",IF(J84="OK","",IF(J84="NO CONSENT","Consent not affirmed",IF(J84="SPEEDING","Completion time below threshold",IF(J84="ATTENTION CHECK","Attention check failed",IF(J84="STRAIGHTLINE REVIEW","Straightlining review threshold met","Missing scored item(s)"))))))</x:f>
      </x:c>
      <x:c r="M84" s="119"/>
      <x:c r="N84" s="119"/>
      <x:c r="O84" s="119"/>
      <x:c r="P84" s="119"/>
      <x:c r="Q84" s="119"/>
      <x:c r="R84" s="119"/>
      <x:c r="S84" s="119"/>
      <x:c r="T84" s="119"/>
      <x:c r="U84" s="119"/>
      <x:c r="V84" s="119"/>
      <x:c r="W84" s="119"/>
      <x:c r="X84" s="119"/>
      <x:c r="Y84" s="133" t="str">
        <x:f>IF(K84&lt;&gt;"Yes","",IFERROR(AVERAGE(M84:X84),""))</x:f>
      </x:c>
      <x:c r="Z84" s="119"/>
    </x:row>
    <x:row r="85">
      <x:c r="A85" s="119"/>
      <x:c r="B85" s="119"/>
      <x:c r="C85" s="119"/>
      <x:c r="D85" s="119"/>
      <x:c r="E85" s="119"/>
      <x:c r="F85" s="119"/>
      <x:c r="G85" s="119"/>
      <x:c r="H85" s="130" t="str">
        <x:f>IF(A85="","",IF(AND(COUNTA(M85:X85)&gt;=SETUP!$B$10,COUNTIF(M85:X85,MAX(M85:X85))=COUNTA(M85:X85)),"Yes","No"))</x:f>
      </x:c>
      <x:c r="I85" s="130" t="str">
        <x:f>IF(A85="","",IF('SURVEY DESIGN'!C85&lt;&gt;"",--(M85=""),0)+IF('SURVEY DESIGN'!C86&lt;&gt;"",--(N85=""),0)+IF('SURVEY DESIGN'!C87&lt;&gt;"",--(O85=""),0)+IF('SURVEY DESIGN'!C88&lt;&gt;"",--(P85=""),0)+IF('SURVEY DESIGN'!C89&lt;&gt;"",--(Q85=""),0)+IF('SURVEY DESIGN'!C90&lt;&gt;"",--(R85=""),0)+IF('SURVEY DESIGN'!C91&lt;&gt;"",--(S85=""),0)+IF('SURVEY DESIGN'!C92&lt;&gt;"",--(T85=""),0)+IF('SURVEY DESIGN'!C93&lt;&gt;"",--(U85=""),0)+IF('SURVEY DESIGN'!C94&lt;&gt;"",--(V85=""),0)+IF('SURVEY DESIGN'!C95&lt;&gt;"",--(W85=""),0)+IF('SURVEY DESIGN'!C96&lt;&gt;"",--(X85=""),0))</x:f>
      </x:c>
      <x:c r="J85" s="130" t="str">
        <x:f>IF(A85="","",IF(C85&lt;&gt;"Yes","NO CONSENT",IF(F85&lt;SETUP!$B$9,"SPEEDING",IF(G85&lt;&gt;"Yes","ATTENTION CHECK",IF(H85="Yes","STRAIGHTLINE REVIEW",IF(I85&gt;0,"MISSING ITEMS","OK"))))))</x:f>
      </x:c>
      <x:c r="K85" s="130" t="str">
        <x:f>IF(A85="","",IF(J85="OK","Yes","No"))</x:f>
      </x:c>
      <x:c r="L85" s="130" t="str">
        <x:f>IF(A85="","",IF(J85="OK","",IF(J85="NO CONSENT","Consent not affirmed",IF(J85="SPEEDING","Completion time below threshold",IF(J85="ATTENTION CHECK","Attention check failed",IF(J85="STRAIGHTLINE REVIEW","Straightlining review threshold met","Missing scored item(s)"))))))</x:f>
      </x:c>
      <x:c r="M85" s="119"/>
      <x:c r="N85" s="119"/>
      <x:c r="O85" s="119"/>
      <x:c r="P85" s="119"/>
      <x:c r="Q85" s="119"/>
      <x:c r="R85" s="119"/>
      <x:c r="S85" s="119"/>
      <x:c r="T85" s="119"/>
      <x:c r="U85" s="119"/>
      <x:c r="V85" s="119"/>
      <x:c r="W85" s="119"/>
      <x:c r="X85" s="119"/>
      <x:c r="Y85" s="133" t="str">
        <x:f>IF(K85&lt;&gt;"Yes","",IFERROR(AVERAGE(M85:X85),""))</x:f>
      </x:c>
      <x:c r="Z85" s="119"/>
    </x:row>
    <x:row r="86">
      <x:c r="A86" s="119"/>
      <x:c r="B86" s="119"/>
      <x:c r="C86" s="119"/>
      <x:c r="D86" s="119"/>
      <x:c r="E86" s="119"/>
      <x:c r="F86" s="119"/>
      <x:c r="G86" s="119"/>
      <x:c r="H86" s="130" t="str">
        <x:f>IF(A86="","",IF(AND(COUNTA(M86:X86)&gt;=SETUP!$B$10,COUNTIF(M86:X86,MAX(M86:X86))=COUNTA(M86:X86)),"Yes","No"))</x:f>
      </x:c>
      <x:c r="I86" s="130" t="str">
        <x:f>IF(A86="","",IF('SURVEY DESIGN'!C86&lt;&gt;"",--(M86=""),0)+IF('SURVEY DESIGN'!C87&lt;&gt;"",--(N86=""),0)+IF('SURVEY DESIGN'!C88&lt;&gt;"",--(O86=""),0)+IF('SURVEY DESIGN'!C89&lt;&gt;"",--(P86=""),0)+IF('SURVEY DESIGN'!C90&lt;&gt;"",--(Q86=""),0)+IF('SURVEY DESIGN'!C91&lt;&gt;"",--(R86=""),0)+IF('SURVEY DESIGN'!C92&lt;&gt;"",--(S86=""),0)+IF('SURVEY DESIGN'!C93&lt;&gt;"",--(T86=""),0)+IF('SURVEY DESIGN'!C94&lt;&gt;"",--(U86=""),0)+IF('SURVEY DESIGN'!C95&lt;&gt;"",--(V86=""),0)+IF('SURVEY DESIGN'!C96&lt;&gt;"",--(W86=""),0)+IF('SURVEY DESIGN'!C97&lt;&gt;"",--(X86=""),0))</x:f>
      </x:c>
      <x:c r="J86" s="130" t="str">
        <x:f>IF(A86="","",IF(C86&lt;&gt;"Yes","NO CONSENT",IF(F86&lt;SETUP!$B$9,"SPEEDING",IF(G86&lt;&gt;"Yes","ATTENTION CHECK",IF(H86="Yes","STRAIGHTLINE REVIEW",IF(I86&gt;0,"MISSING ITEMS","OK"))))))</x:f>
      </x:c>
      <x:c r="K86" s="130" t="str">
        <x:f>IF(A86="","",IF(J86="OK","Yes","No"))</x:f>
      </x:c>
      <x:c r="L86" s="130" t="str">
        <x:f>IF(A86="","",IF(J86="OK","",IF(J86="NO CONSENT","Consent not affirmed",IF(J86="SPEEDING","Completion time below threshold",IF(J86="ATTENTION CHECK","Attention check failed",IF(J86="STRAIGHTLINE REVIEW","Straightlining review threshold met","Missing scored item(s)"))))))</x:f>
      </x:c>
      <x:c r="M86" s="119"/>
      <x:c r="N86" s="119"/>
      <x:c r="O86" s="119"/>
      <x:c r="P86" s="119"/>
      <x:c r="Q86" s="119"/>
      <x:c r="R86" s="119"/>
      <x:c r="S86" s="119"/>
      <x:c r="T86" s="119"/>
      <x:c r="U86" s="119"/>
      <x:c r="V86" s="119"/>
      <x:c r="W86" s="119"/>
      <x:c r="X86" s="119"/>
      <x:c r="Y86" s="133" t="str">
        <x:f>IF(K86&lt;&gt;"Yes","",IFERROR(AVERAGE(M86:X86),""))</x:f>
      </x:c>
      <x:c r="Z86" s="119"/>
    </x:row>
    <x:row r="87">
      <x:c r="A87" s="119"/>
      <x:c r="B87" s="119"/>
      <x:c r="C87" s="119"/>
      <x:c r="D87" s="119"/>
      <x:c r="E87" s="119"/>
      <x:c r="F87" s="119"/>
      <x:c r="G87" s="119"/>
      <x:c r="H87" s="130" t="str">
        <x:f>IF(A87="","",IF(AND(COUNTA(M87:X87)&gt;=SETUP!$B$10,COUNTIF(M87:X87,MAX(M87:X87))=COUNTA(M87:X87)),"Yes","No"))</x:f>
      </x:c>
      <x:c r="I87" s="130" t="str">
        <x:f>IF(A87="","",IF('SURVEY DESIGN'!C87&lt;&gt;"",--(M87=""),0)+IF('SURVEY DESIGN'!C88&lt;&gt;"",--(N87=""),0)+IF('SURVEY DESIGN'!C89&lt;&gt;"",--(O87=""),0)+IF('SURVEY DESIGN'!C90&lt;&gt;"",--(P87=""),0)+IF('SURVEY DESIGN'!C91&lt;&gt;"",--(Q87=""),0)+IF('SURVEY DESIGN'!C92&lt;&gt;"",--(R87=""),0)+IF('SURVEY DESIGN'!C93&lt;&gt;"",--(S87=""),0)+IF('SURVEY DESIGN'!C94&lt;&gt;"",--(T87=""),0)+IF('SURVEY DESIGN'!C95&lt;&gt;"",--(U87=""),0)+IF('SURVEY DESIGN'!C96&lt;&gt;"",--(V87=""),0)+IF('SURVEY DESIGN'!C97&lt;&gt;"",--(W87=""),0)+IF('SURVEY DESIGN'!C98&lt;&gt;"",--(X87=""),0))</x:f>
      </x:c>
      <x:c r="J87" s="130" t="str">
        <x:f>IF(A87="","",IF(C87&lt;&gt;"Yes","NO CONSENT",IF(F87&lt;SETUP!$B$9,"SPEEDING",IF(G87&lt;&gt;"Yes","ATTENTION CHECK",IF(H87="Yes","STRAIGHTLINE REVIEW",IF(I87&gt;0,"MISSING ITEMS","OK"))))))</x:f>
      </x:c>
      <x:c r="K87" s="130" t="str">
        <x:f>IF(A87="","",IF(J87="OK","Yes","No"))</x:f>
      </x:c>
      <x:c r="L87" s="130" t="str">
        <x:f>IF(A87="","",IF(J87="OK","",IF(J87="NO CONSENT","Consent not affirmed",IF(J87="SPEEDING","Completion time below threshold",IF(J87="ATTENTION CHECK","Attention check failed",IF(J87="STRAIGHTLINE REVIEW","Straightlining review threshold met","Missing scored item(s)"))))))</x:f>
      </x:c>
      <x:c r="M87" s="119"/>
      <x:c r="N87" s="119"/>
      <x:c r="O87" s="119"/>
      <x:c r="P87" s="119"/>
      <x:c r="Q87" s="119"/>
      <x:c r="R87" s="119"/>
      <x:c r="S87" s="119"/>
      <x:c r="T87" s="119"/>
      <x:c r="U87" s="119"/>
      <x:c r="V87" s="119"/>
      <x:c r="W87" s="119"/>
      <x:c r="X87" s="119"/>
      <x:c r="Y87" s="133" t="str">
        <x:f>IF(K87&lt;&gt;"Yes","",IFERROR(AVERAGE(M87:X87),""))</x:f>
      </x:c>
      <x:c r="Z87" s="119"/>
    </x:row>
    <x:row r="88">
      <x:c r="A88" s="119"/>
      <x:c r="B88" s="119"/>
      <x:c r="C88" s="119"/>
      <x:c r="D88" s="119"/>
      <x:c r="E88" s="119"/>
      <x:c r="F88" s="119"/>
      <x:c r="G88" s="119"/>
      <x:c r="H88" s="130" t="str">
        <x:f>IF(A88="","",IF(AND(COUNTA(M88:X88)&gt;=SETUP!$B$10,COUNTIF(M88:X88,MAX(M88:X88))=COUNTA(M88:X88)),"Yes","No"))</x:f>
      </x:c>
      <x:c r="I88" s="130" t="str">
        <x:f>IF(A88="","",IF('SURVEY DESIGN'!C88&lt;&gt;"",--(M88=""),0)+IF('SURVEY DESIGN'!C89&lt;&gt;"",--(N88=""),0)+IF('SURVEY DESIGN'!C90&lt;&gt;"",--(O88=""),0)+IF('SURVEY DESIGN'!C91&lt;&gt;"",--(P88=""),0)+IF('SURVEY DESIGN'!C92&lt;&gt;"",--(Q88=""),0)+IF('SURVEY DESIGN'!C93&lt;&gt;"",--(R88=""),0)+IF('SURVEY DESIGN'!C94&lt;&gt;"",--(S88=""),0)+IF('SURVEY DESIGN'!C95&lt;&gt;"",--(T88=""),0)+IF('SURVEY DESIGN'!C96&lt;&gt;"",--(U88=""),0)+IF('SURVEY DESIGN'!C97&lt;&gt;"",--(V88=""),0)+IF('SURVEY DESIGN'!C98&lt;&gt;"",--(W88=""),0)+IF('SURVEY DESIGN'!C99&lt;&gt;"",--(X88=""),0))</x:f>
      </x:c>
      <x:c r="J88" s="130" t="str">
        <x:f>IF(A88="","",IF(C88&lt;&gt;"Yes","NO CONSENT",IF(F88&lt;SETUP!$B$9,"SPEEDING",IF(G88&lt;&gt;"Yes","ATTENTION CHECK",IF(H88="Yes","STRAIGHTLINE REVIEW",IF(I88&gt;0,"MISSING ITEMS","OK"))))))</x:f>
      </x:c>
      <x:c r="K88" s="130" t="str">
        <x:f>IF(A88="","",IF(J88="OK","Yes","No"))</x:f>
      </x:c>
      <x:c r="L88" s="130" t="str">
        <x:f>IF(A88="","",IF(J88="OK","",IF(J88="NO CONSENT","Consent not affirmed",IF(J88="SPEEDING","Completion time below threshold",IF(J88="ATTENTION CHECK","Attention check failed",IF(J88="STRAIGHTLINE REVIEW","Straightlining review threshold met","Missing scored item(s)"))))))</x:f>
      </x:c>
      <x:c r="M88" s="119"/>
      <x:c r="N88" s="119"/>
      <x:c r="O88" s="119"/>
      <x:c r="P88" s="119"/>
      <x:c r="Q88" s="119"/>
      <x:c r="R88" s="119"/>
      <x:c r="S88" s="119"/>
      <x:c r="T88" s="119"/>
      <x:c r="U88" s="119"/>
      <x:c r="V88" s="119"/>
      <x:c r="W88" s="119"/>
      <x:c r="X88" s="119"/>
      <x:c r="Y88" s="133" t="str">
        <x:f>IF(K88&lt;&gt;"Yes","",IFERROR(AVERAGE(M88:X88),""))</x:f>
      </x:c>
      <x:c r="Z88" s="119"/>
    </x:row>
    <x:row r="89">
      <x:c r="A89" s="119"/>
      <x:c r="B89" s="119"/>
      <x:c r="C89" s="119"/>
      <x:c r="D89" s="119"/>
      <x:c r="E89" s="119"/>
      <x:c r="F89" s="119"/>
      <x:c r="G89" s="119"/>
      <x:c r="H89" s="130" t="str">
        <x:f>IF(A89="","",IF(AND(COUNTA(M89:X89)&gt;=SETUP!$B$10,COUNTIF(M89:X89,MAX(M89:X89))=COUNTA(M89:X89)),"Yes","No"))</x:f>
      </x:c>
      <x:c r="I89" s="130" t="str">
        <x:f>IF(A89="","",IF('SURVEY DESIGN'!C89&lt;&gt;"",--(M89=""),0)+IF('SURVEY DESIGN'!C90&lt;&gt;"",--(N89=""),0)+IF('SURVEY DESIGN'!C91&lt;&gt;"",--(O89=""),0)+IF('SURVEY DESIGN'!C92&lt;&gt;"",--(P89=""),0)+IF('SURVEY DESIGN'!C93&lt;&gt;"",--(Q89=""),0)+IF('SURVEY DESIGN'!C94&lt;&gt;"",--(R89=""),0)+IF('SURVEY DESIGN'!C95&lt;&gt;"",--(S89=""),0)+IF('SURVEY DESIGN'!C96&lt;&gt;"",--(T89=""),0)+IF('SURVEY DESIGN'!C97&lt;&gt;"",--(U89=""),0)+IF('SURVEY DESIGN'!C98&lt;&gt;"",--(V89=""),0)+IF('SURVEY DESIGN'!C99&lt;&gt;"",--(W89=""),0)+IF('SURVEY DESIGN'!C100&lt;&gt;"",--(X89=""),0))</x:f>
      </x:c>
      <x:c r="J89" s="130" t="str">
        <x:f>IF(A89="","",IF(C89&lt;&gt;"Yes","NO CONSENT",IF(F89&lt;SETUP!$B$9,"SPEEDING",IF(G89&lt;&gt;"Yes","ATTENTION CHECK",IF(H89="Yes","STRAIGHTLINE REVIEW",IF(I89&gt;0,"MISSING ITEMS","OK"))))))</x:f>
      </x:c>
      <x:c r="K89" s="130" t="str">
        <x:f>IF(A89="","",IF(J89="OK","Yes","No"))</x:f>
      </x:c>
      <x:c r="L89" s="130" t="str">
        <x:f>IF(A89="","",IF(J89="OK","",IF(J89="NO CONSENT","Consent not affirmed",IF(J89="SPEEDING","Completion time below threshold",IF(J89="ATTENTION CHECK","Attention check failed",IF(J89="STRAIGHTLINE REVIEW","Straightlining review threshold met","Missing scored item(s)"))))))</x:f>
      </x:c>
      <x:c r="M89" s="119"/>
      <x:c r="N89" s="119"/>
      <x:c r="O89" s="119"/>
      <x:c r="P89" s="119"/>
      <x:c r="Q89" s="119"/>
      <x:c r="R89" s="119"/>
      <x:c r="S89" s="119"/>
      <x:c r="T89" s="119"/>
      <x:c r="U89" s="119"/>
      <x:c r="V89" s="119"/>
      <x:c r="W89" s="119"/>
      <x:c r="X89" s="119"/>
      <x:c r="Y89" s="133" t="str">
        <x:f>IF(K89&lt;&gt;"Yes","",IFERROR(AVERAGE(M89:X89),""))</x:f>
      </x:c>
      <x:c r="Z89" s="119"/>
    </x:row>
    <x:row r="90">
      <x:c r="A90" s="119"/>
      <x:c r="B90" s="119"/>
      <x:c r="C90" s="119"/>
      <x:c r="D90" s="119"/>
      <x:c r="E90" s="119"/>
      <x:c r="F90" s="119"/>
      <x:c r="G90" s="119"/>
      <x:c r="H90" s="130" t="str">
        <x:f>IF(A90="","",IF(AND(COUNTA(M90:X90)&gt;=SETUP!$B$10,COUNTIF(M90:X90,MAX(M90:X90))=COUNTA(M90:X90)),"Yes","No"))</x:f>
      </x:c>
      <x:c r="I90" s="130" t="str">
        <x:f>IF(A90="","",IF('SURVEY DESIGN'!C90&lt;&gt;"",--(M90=""),0)+IF('SURVEY DESIGN'!C91&lt;&gt;"",--(N90=""),0)+IF('SURVEY DESIGN'!C92&lt;&gt;"",--(O90=""),0)+IF('SURVEY DESIGN'!C93&lt;&gt;"",--(P90=""),0)+IF('SURVEY DESIGN'!C94&lt;&gt;"",--(Q90=""),0)+IF('SURVEY DESIGN'!C95&lt;&gt;"",--(R90=""),0)+IF('SURVEY DESIGN'!C96&lt;&gt;"",--(S90=""),0)+IF('SURVEY DESIGN'!C97&lt;&gt;"",--(T90=""),0)+IF('SURVEY DESIGN'!C98&lt;&gt;"",--(U90=""),0)+IF('SURVEY DESIGN'!C99&lt;&gt;"",--(V90=""),0)+IF('SURVEY DESIGN'!C100&lt;&gt;"",--(W90=""),0)+IF('SURVEY DESIGN'!C101&lt;&gt;"",--(X90=""),0))</x:f>
      </x:c>
      <x:c r="J90" s="130" t="str">
        <x:f>IF(A90="","",IF(C90&lt;&gt;"Yes","NO CONSENT",IF(F90&lt;SETUP!$B$9,"SPEEDING",IF(G90&lt;&gt;"Yes","ATTENTION CHECK",IF(H90="Yes","STRAIGHTLINE REVIEW",IF(I90&gt;0,"MISSING ITEMS","OK"))))))</x:f>
      </x:c>
      <x:c r="K90" s="130" t="str">
        <x:f>IF(A90="","",IF(J90="OK","Yes","No"))</x:f>
      </x:c>
      <x:c r="L90" s="130" t="str">
        <x:f>IF(A90="","",IF(J90="OK","",IF(J90="NO CONSENT","Consent not affirmed",IF(J90="SPEEDING","Completion time below threshold",IF(J90="ATTENTION CHECK","Attention check failed",IF(J90="STRAIGHTLINE REVIEW","Straightlining review threshold met","Missing scored item(s)"))))))</x:f>
      </x:c>
      <x:c r="M90" s="119"/>
      <x:c r="N90" s="119"/>
      <x:c r="O90" s="119"/>
      <x:c r="P90" s="119"/>
      <x:c r="Q90" s="119"/>
      <x:c r="R90" s="119"/>
      <x:c r="S90" s="119"/>
      <x:c r="T90" s="119"/>
      <x:c r="U90" s="119"/>
      <x:c r="V90" s="119"/>
      <x:c r="W90" s="119"/>
      <x:c r="X90" s="119"/>
      <x:c r="Y90" s="133" t="str">
        <x:f>IF(K90&lt;&gt;"Yes","",IFERROR(AVERAGE(M90:X90),""))</x:f>
      </x:c>
      <x:c r="Z90" s="119"/>
    </x:row>
    <x:row r="91">
      <x:c r="A91" s="119"/>
      <x:c r="B91" s="119"/>
      <x:c r="C91" s="119"/>
      <x:c r="D91" s="119"/>
      <x:c r="E91" s="119"/>
      <x:c r="F91" s="119"/>
      <x:c r="G91" s="119"/>
      <x:c r="H91" s="130" t="str">
        <x:f>IF(A91="","",IF(AND(COUNTA(M91:X91)&gt;=SETUP!$B$10,COUNTIF(M91:X91,MAX(M91:X91))=COUNTA(M91:X91)),"Yes","No"))</x:f>
      </x:c>
      <x:c r="I91" s="130" t="str">
        <x:f>IF(A91="","",IF('SURVEY DESIGN'!C91&lt;&gt;"",--(M91=""),0)+IF('SURVEY DESIGN'!C92&lt;&gt;"",--(N91=""),0)+IF('SURVEY DESIGN'!C93&lt;&gt;"",--(O91=""),0)+IF('SURVEY DESIGN'!C94&lt;&gt;"",--(P91=""),0)+IF('SURVEY DESIGN'!C95&lt;&gt;"",--(Q91=""),0)+IF('SURVEY DESIGN'!C96&lt;&gt;"",--(R91=""),0)+IF('SURVEY DESIGN'!C97&lt;&gt;"",--(S91=""),0)+IF('SURVEY DESIGN'!C98&lt;&gt;"",--(T91=""),0)+IF('SURVEY DESIGN'!C99&lt;&gt;"",--(U91=""),0)+IF('SURVEY DESIGN'!C100&lt;&gt;"",--(V91=""),0)+IF('SURVEY DESIGN'!C101&lt;&gt;"",--(W91=""),0)+IF('SURVEY DESIGN'!C102&lt;&gt;"",--(X91=""),0))</x:f>
      </x:c>
      <x:c r="J91" s="130" t="str">
        <x:f>IF(A91="","",IF(C91&lt;&gt;"Yes","NO CONSENT",IF(F91&lt;SETUP!$B$9,"SPEEDING",IF(G91&lt;&gt;"Yes","ATTENTION CHECK",IF(H91="Yes","STRAIGHTLINE REVIEW",IF(I91&gt;0,"MISSING ITEMS","OK"))))))</x:f>
      </x:c>
      <x:c r="K91" s="130" t="str">
        <x:f>IF(A91="","",IF(J91="OK","Yes","No"))</x:f>
      </x:c>
      <x:c r="L91" s="130" t="str">
        <x:f>IF(A91="","",IF(J91="OK","",IF(J91="NO CONSENT","Consent not affirmed",IF(J91="SPEEDING","Completion time below threshold",IF(J91="ATTENTION CHECK","Attention check failed",IF(J91="STRAIGHTLINE REVIEW","Straightlining review threshold met","Missing scored item(s)"))))))</x:f>
      </x:c>
      <x:c r="M91" s="119"/>
      <x:c r="N91" s="119"/>
      <x:c r="O91" s="119"/>
      <x:c r="P91" s="119"/>
      <x:c r="Q91" s="119"/>
      <x:c r="R91" s="119"/>
      <x:c r="S91" s="119"/>
      <x:c r="T91" s="119"/>
      <x:c r="U91" s="119"/>
      <x:c r="V91" s="119"/>
      <x:c r="W91" s="119"/>
      <x:c r="X91" s="119"/>
      <x:c r="Y91" s="133" t="str">
        <x:f>IF(K91&lt;&gt;"Yes","",IFERROR(AVERAGE(M91:X91),""))</x:f>
      </x:c>
      <x:c r="Z91" s="119"/>
    </x:row>
    <x:row r="92">
      <x:c r="A92" s="119"/>
      <x:c r="B92" s="119"/>
      <x:c r="C92" s="119"/>
      <x:c r="D92" s="119"/>
      <x:c r="E92" s="119"/>
      <x:c r="F92" s="119"/>
      <x:c r="G92" s="119"/>
      <x:c r="H92" s="130" t="str">
        <x:f>IF(A92="","",IF(AND(COUNTA(M92:X92)&gt;=SETUP!$B$10,COUNTIF(M92:X92,MAX(M92:X92))=COUNTA(M92:X92)),"Yes","No"))</x:f>
      </x:c>
      <x:c r="I92" s="130" t="str">
        <x:f>IF(A92="","",IF('SURVEY DESIGN'!C92&lt;&gt;"",--(M92=""),0)+IF('SURVEY DESIGN'!C93&lt;&gt;"",--(N92=""),0)+IF('SURVEY DESIGN'!C94&lt;&gt;"",--(O92=""),0)+IF('SURVEY DESIGN'!C95&lt;&gt;"",--(P92=""),0)+IF('SURVEY DESIGN'!C96&lt;&gt;"",--(Q92=""),0)+IF('SURVEY DESIGN'!C97&lt;&gt;"",--(R92=""),0)+IF('SURVEY DESIGN'!C98&lt;&gt;"",--(S92=""),0)+IF('SURVEY DESIGN'!C99&lt;&gt;"",--(T92=""),0)+IF('SURVEY DESIGN'!C100&lt;&gt;"",--(U92=""),0)+IF('SURVEY DESIGN'!C101&lt;&gt;"",--(V92=""),0)+IF('SURVEY DESIGN'!C102&lt;&gt;"",--(W92=""),0)+IF('SURVEY DESIGN'!C103&lt;&gt;"",--(X92=""),0))</x:f>
      </x:c>
      <x:c r="J92" s="130" t="str">
        <x:f>IF(A92="","",IF(C92&lt;&gt;"Yes","NO CONSENT",IF(F92&lt;SETUP!$B$9,"SPEEDING",IF(G92&lt;&gt;"Yes","ATTENTION CHECK",IF(H92="Yes","STRAIGHTLINE REVIEW",IF(I92&gt;0,"MISSING ITEMS","OK"))))))</x:f>
      </x:c>
      <x:c r="K92" s="130" t="str">
        <x:f>IF(A92="","",IF(J92="OK","Yes","No"))</x:f>
      </x:c>
      <x:c r="L92" s="130" t="str">
        <x:f>IF(A92="","",IF(J92="OK","",IF(J92="NO CONSENT","Consent not affirmed",IF(J92="SPEEDING","Completion time below threshold",IF(J92="ATTENTION CHECK","Attention check failed",IF(J92="STRAIGHTLINE REVIEW","Straightlining review threshold met","Missing scored item(s)"))))))</x:f>
      </x:c>
      <x:c r="M92" s="119"/>
      <x:c r="N92" s="119"/>
      <x:c r="O92" s="119"/>
      <x:c r="P92" s="119"/>
      <x:c r="Q92" s="119"/>
      <x:c r="R92" s="119"/>
      <x:c r="S92" s="119"/>
      <x:c r="T92" s="119"/>
      <x:c r="U92" s="119"/>
      <x:c r="V92" s="119"/>
      <x:c r="W92" s="119"/>
      <x:c r="X92" s="119"/>
      <x:c r="Y92" s="133" t="str">
        <x:f>IF(K92&lt;&gt;"Yes","",IFERROR(AVERAGE(M92:X92),""))</x:f>
      </x:c>
      <x:c r="Z92" s="119"/>
    </x:row>
    <x:row r="93">
      <x:c r="A93" s="119"/>
      <x:c r="B93" s="119"/>
      <x:c r="C93" s="119"/>
      <x:c r="D93" s="119"/>
      <x:c r="E93" s="119"/>
      <x:c r="F93" s="119"/>
      <x:c r="G93" s="119"/>
      <x:c r="H93" s="130" t="str">
        <x:f>IF(A93="","",IF(AND(COUNTA(M93:X93)&gt;=SETUP!$B$10,COUNTIF(M93:X93,MAX(M93:X93))=COUNTA(M93:X93)),"Yes","No"))</x:f>
      </x:c>
      <x:c r="I93" s="130" t="str">
        <x:f>IF(A93="","",IF('SURVEY DESIGN'!C93&lt;&gt;"",--(M93=""),0)+IF('SURVEY DESIGN'!C94&lt;&gt;"",--(N93=""),0)+IF('SURVEY DESIGN'!C95&lt;&gt;"",--(O93=""),0)+IF('SURVEY DESIGN'!C96&lt;&gt;"",--(P93=""),0)+IF('SURVEY DESIGN'!C97&lt;&gt;"",--(Q93=""),0)+IF('SURVEY DESIGN'!C98&lt;&gt;"",--(R93=""),0)+IF('SURVEY DESIGN'!C99&lt;&gt;"",--(S93=""),0)+IF('SURVEY DESIGN'!C100&lt;&gt;"",--(T93=""),0)+IF('SURVEY DESIGN'!C101&lt;&gt;"",--(U93=""),0)+IF('SURVEY DESIGN'!C102&lt;&gt;"",--(V93=""),0)+IF('SURVEY DESIGN'!C103&lt;&gt;"",--(W93=""),0)+IF('SURVEY DESIGN'!C104&lt;&gt;"",--(X93=""),0))</x:f>
      </x:c>
      <x:c r="J93" s="130" t="str">
        <x:f>IF(A93="","",IF(C93&lt;&gt;"Yes","NO CONSENT",IF(F93&lt;SETUP!$B$9,"SPEEDING",IF(G93&lt;&gt;"Yes","ATTENTION CHECK",IF(H93="Yes","STRAIGHTLINE REVIEW",IF(I93&gt;0,"MISSING ITEMS","OK"))))))</x:f>
      </x:c>
      <x:c r="K93" s="130" t="str">
        <x:f>IF(A93="","",IF(J93="OK","Yes","No"))</x:f>
      </x:c>
      <x:c r="L93" s="130" t="str">
        <x:f>IF(A93="","",IF(J93="OK","",IF(J93="NO CONSENT","Consent not affirmed",IF(J93="SPEEDING","Completion time below threshold",IF(J93="ATTENTION CHECK","Attention check failed",IF(J93="STRAIGHTLINE REVIEW","Straightlining review threshold met","Missing scored item(s)"))))))</x:f>
      </x:c>
      <x:c r="M93" s="119"/>
      <x:c r="N93" s="119"/>
      <x:c r="O93" s="119"/>
      <x:c r="P93" s="119"/>
      <x:c r="Q93" s="119"/>
      <x:c r="R93" s="119"/>
      <x:c r="S93" s="119"/>
      <x:c r="T93" s="119"/>
      <x:c r="U93" s="119"/>
      <x:c r="V93" s="119"/>
      <x:c r="W93" s="119"/>
      <x:c r="X93" s="119"/>
      <x:c r="Y93" s="133" t="str">
        <x:f>IF(K93&lt;&gt;"Yes","",IFERROR(AVERAGE(M93:X93),""))</x:f>
      </x:c>
      <x:c r="Z93" s="119"/>
    </x:row>
    <x:row r="94">
      <x:c r="A94" s="119"/>
      <x:c r="B94" s="119"/>
      <x:c r="C94" s="119"/>
      <x:c r="D94" s="119"/>
      <x:c r="E94" s="119"/>
      <x:c r="F94" s="119"/>
      <x:c r="G94" s="119"/>
      <x:c r="H94" s="130" t="str">
        <x:f>IF(A94="","",IF(AND(COUNTA(M94:X94)&gt;=SETUP!$B$10,COUNTIF(M94:X94,MAX(M94:X94))=COUNTA(M94:X94)),"Yes","No"))</x:f>
      </x:c>
      <x:c r="I94" s="130" t="str">
        <x:f>IF(A94="","",IF('SURVEY DESIGN'!C94&lt;&gt;"",--(M94=""),0)+IF('SURVEY DESIGN'!C95&lt;&gt;"",--(N94=""),0)+IF('SURVEY DESIGN'!C96&lt;&gt;"",--(O94=""),0)+IF('SURVEY DESIGN'!C97&lt;&gt;"",--(P94=""),0)+IF('SURVEY DESIGN'!C98&lt;&gt;"",--(Q94=""),0)+IF('SURVEY DESIGN'!C99&lt;&gt;"",--(R94=""),0)+IF('SURVEY DESIGN'!C100&lt;&gt;"",--(S94=""),0)+IF('SURVEY DESIGN'!C101&lt;&gt;"",--(T94=""),0)+IF('SURVEY DESIGN'!C102&lt;&gt;"",--(U94=""),0)+IF('SURVEY DESIGN'!C103&lt;&gt;"",--(V94=""),0)+IF('SURVEY DESIGN'!C104&lt;&gt;"",--(W94=""),0)+IF('SURVEY DESIGN'!C105&lt;&gt;"",--(X94=""),0))</x:f>
      </x:c>
      <x:c r="J94" s="130" t="str">
        <x:f>IF(A94="","",IF(C94&lt;&gt;"Yes","NO CONSENT",IF(F94&lt;SETUP!$B$9,"SPEEDING",IF(G94&lt;&gt;"Yes","ATTENTION CHECK",IF(H94="Yes","STRAIGHTLINE REVIEW",IF(I94&gt;0,"MISSING ITEMS","OK"))))))</x:f>
      </x:c>
      <x:c r="K94" s="130" t="str">
        <x:f>IF(A94="","",IF(J94="OK","Yes","No"))</x:f>
      </x:c>
      <x:c r="L94" s="130" t="str">
        <x:f>IF(A94="","",IF(J94="OK","",IF(J94="NO CONSENT","Consent not affirmed",IF(J94="SPEEDING","Completion time below threshold",IF(J94="ATTENTION CHECK","Attention check failed",IF(J94="STRAIGHTLINE REVIEW","Straightlining review threshold met","Missing scored item(s)"))))))</x:f>
      </x:c>
      <x:c r="M94" s="119"/>
      <x:c r="N94" s="119"/>
      <x:c r="O94" s="119"/>
      <x:c r="P94" s="119"/>
      <x:c r="Q94" s="119"/>
      <x:c r="R94" s="119"/>
      <x:c r="S94" s="119"/>
      <x:c r="T94" s="119"/>
      <x:c r="U94" s="119"/>
      <x:c r="V94" s="119"/>
      <x:c r="W94" s="119"/>
      <x:c r="X94" s="119"/>
      <x:c r="Y94" s="133" t="str">
        <x:f>IF(K94&lt;&gt;"Yes","",IFERROR(AVERAGE(M94:X94),""))</x:f>
      </x:c>
      <x:c r="Z94" s="119"/>
    </x:row>
    <x:row r="95">
      <x:c r="A95" s="119"/>
      <x:c r="B95" s="119"/>
      <x:c r="C95" s="119"/>
      <x:c r="D95" s="119"/>
      <x:c r="E95" s="119"/>
      <x:c r="F95" s="119"/>
      <x:c r="G95" s="119"/>
      <x:c r="H95" s="130" t="str">
        <x:f>IF(A95="","",IF(AND(COUNTA(M95:X95)&gt;=SETUP!$B$10,COUNTIF(M95:X95,MAX(M95:X95))=COUNTA(M95:X95)),"Yes","No"))</x:f>
      </x:c>
      <x:c r="I95" s="130" t="str">
        <x:f>IF(A95="","",IF('SURVEY DESIGN'!C95&lt;&gt;"",--(M95=""),0)+IF('SURVEY DESIGN'!C96&lt;&gt;"",--(N95=""),0)+IF('SURVEY DESIGN'!C97&lt;&gt;"",--(O95=""),0)+IF('SURVEY DESIGN'!C98&lt;&gt;"",--(P95=""),0)+IF('SURVEY DESIGN'!C99&lt;&gt;"",--(Q95=""),0)+IF('SURVEY DESIGN'!C100&lt;&gt;"",--(R95=""),0)+IF('SURVEY DESIGN'!C101&lt;&gt;"",--(S95=""),0)+IF('SURVEY DESIGN'!C102&lt;&gt;"",--(T95=""),0)+IF('SURVEY DESIGN'!C103&lt;&gt;"",--(U95=""),0)+IF('SURVEY DESIGN'!C104&lt;&gt;"",--(V95=""),0)+IF('SURVEY DESIGN'!C105&lt;&gt;"",--(W95=""),0)+IF('SURVEY DESIGN'!C106&lt;&gt;"",--(X95=""),0))</x:f>
      </x:c>
      <x:c r="J95" s="130" t="str">
        <x:f>IF(A95="","",IF(C95&lt;&gt;"Yes","NO CONSENT",IF(F95&lt;SETUP!$B$9,"SPEEDING",IF(G95&lt;&gt;"Yes","ATTENTION CHECK",IF(H95="Yes","STRAIGHTLINE REVIEW",IF(I95&gt;0,"MISSING ITEMS","OK"))))))</x:f>
      </x:c>
      <x:c r="K95" s="130" t="str">
        <x:f>IF(A95="","",IF(J95="OK","Yes","No"))</x:f>
      </x:c>
      <x:c r="L95" s="130" t="str">
        <x:f>IF(A95="","",IF(J95="OK","",IF(J95="NO CONSENT","Consent not affirmed",IF(J95="SPEEDING","Completion time below threshold",IF(J95="ATTENTION CHECK","Attention check failed",IF(J95="STRAIGHTLINE REVIEW","Straightlining review threshold met","Missing scored item(s)"))))))</x:f>
      </x:c>
      <x:c r="M95" s="119"/>
      <x:c r="N95" s="119"/>
      <x:c r="O95" s="119"/>
      <x:c r="P95" s="119"/>
      <x:c r="Q95" s="119"/>
      <x:c r="R95" s="119"/>
      <x:c r="S95" s="119"/>
      <x:c r="T95" s="119"/>
      <x:c r="U95" s="119"/>
      <x:c r="V95" s="119"/>
      <x:c r="W95" s="119"/>
      <x:c r="X95" s="119"/>
      <x:c r="Y95" s="133" t="str">
        <x:f>IF(K95&lt;&gt;"Yes","",IFERROR(AVERAGE(M95:X95),""))</x:f>
      </x:c>
      <x:c r="Z95" s="119"/>
    </x:row>
    <x:row r="96">
      <x:c r="A96" s="119"/>
      <x:c r="B96" s="119"/>
      <x:c r="C96" s="119"/>
      <x:c r="D96" s="119"/>
      <x:c r="E96" s="119"/>
      <x:c r="F96" s="119"/>
      <x:c r="G96" s="119"/>
      <x:c r="H96" s="130" t="str">
        <x:f>IF(A96="","",IF(AND(COUNTA(M96:X96)&gt;=SETUP!$B$10,COUNTIF(M96:X96,MAX(M96:X96))=COUNTA(M96:X96)),"Yes","No"))</x:f>
      </x:c>
      <x:c r="I96" s="130" t="str">
        <x:f>IF(A96="","",IF('SURVEY DESIGN'!C96&lt;&gt;"",--(M96=""),0)+IF('SURVEY DESIGN'!C97&lt;&gt;"",--(N96=""),0)+IF('SURVEY DESIGN'!C98&lt;&gt;"",--(O96=""),0)+IF('SURVEY DESIGN'!C99&lt;&gt;"",--(P96=""),0)+IF('SURVEY DESIGN'!C100&lt;&gt;"",--(Q96=""),0)+IF('SURVEY DESIGN'!C101&lt;&gt;"",--(R96=""),0)+IF('SURVEY DESIGN'!C102&lt;&gt;"",--(S96=""),0)+IF('SURVEY DESIGN'!C103&lt;&gt;"",--(T96=""),0)+IF('SURVEY DESIGN'!C104&lt;&gt;"",--(U96=""),0)+IF('SURVEY DESIGN'!C105&lt;&gt;"",--(V96=""),0)+IF('SURVEY DESIGN'!C106&lt;&gt;"",--(W96=""),0)+IF('SURVEY DESIGN'!C107&lt;&gt;"",--(X96=""),0))</x:f>
      </x:c>
      <x:c r="J96" s="130" t="str">
        <x:f>IF(A96="","",IF(C96&lt;&gt;"Yes","NO CONSENT",IF(F96&lt;SETUP!$B$9,"SPEEDING",IF(G96&lt;&gt;"Yes","ATTENTION CHECK",IF(H96="Yes","STRAIGHTLINE REVIEW",IF(I96&gt;0,"MISSING ITEMS","OK"))))))</x:f>
      </x:c>
      <x:c r="K96" s="130" t="str">
        <x:f>IF(A96="","",IF(J96="OK","Yes","No"))</x:f>
      </x:c>
      <x:c r="L96" s="130" t="str">
        <x:f>IF(A96="","",IF(J96="OK","",IF(J96="NO CONSENT","Consent not affirmed",IF(J96="SPEEDING","Completion time below threshold",IF(J96="ATTENTION CHECK","Attention check failed",IF(J96="STRAIGHTLINE REVIEW","Straightlining review threshold met","Missing scored item(s)"))))))</x:f>
      </x:c>
      <x:c r="M96" s="119"/>
      <x:c r="N96" s="119"/>
      <x:c r="O96" s="119"/>
      <x:c r="P96" s="119"/>
      <x:c r="Q96" s="119"/>
      <x:c r="R96" s="119"/>
      <x:c r="S96" s="119"/>
      <x:c r="T96" s="119"/>
      <x:c r="U96" s="119"/>
      <x:c r="V96" s="119"/>
      <x:c r="W96" s="119"/>
      <x:c r="X96" s="119"/>
      <x:c r="Y96" s="133" t="str">
        <x:f>IF(K96&lt;&gt;"Yes","",IFERROR(AVERAGE(M96:X96),""))</x:f>
      </x:c>
      <x:c r="Z96" s="119"/>
    </x:row>
    <x:row r="97">
      <x:c r="A97" s="119"/>
      <x:c r="B97" s="119"/>
      <x:c r="C97" s="119"/>
      <x:c r="D97" s="119"/>
      <x:c r="E97" s="119"/>
      <x:c r="F97" s="119"/>
      <x:c r="G97" s="119"/>
      <x:c r="H97" s="130" t="str">
        <x:f>IF(A97="","",IF(AND(COUNTA(M97:X97)&gt;=SETUP!$B$10,COUNTIF(M97:X97,MAX(M97:X97))=COUNTA(M97:X97)),"Yes","No"))</x:f>
      </x:c>
      <x:c r="I97" s="130" t="str">
        <x:f>IF(A97="","",IF('SURVEY DESIGN'!C97&lt;&gt;"",--(M97=""),0)+IF('SURVEY DESIGN'!C98&lt;&gt;"",--(N97=""),0)+IF('SURVEY DESIGN'!C99&lt;&gt;"",--(O97=""),0)+IF('SURVEY DESIGN'!C100&lt;&gt;"",--(P97=""),0)+IF('SURVEY DESIGN'!C101&lt;&gt;"",--(Q97=""),0)+IF('SURVEY DESIGN'!C102&lt;&gt;"",--(R97=""),0)+IF('SURVEY DESIGN'!C103&lt;&gt;"",--(S97=""),0)+IF('SURVEY DESIGN'!C104&lt;&gt;"",--(T97=""),0)+IF('SURVEY DESIGN'!C105&lt;&gt;"",--(U97=""),0)+IF('SURVEY DESIGN'!C106&lt;&gt;"",--(V97=""),0)+IF('SURVEY DESIGN'!C107&lt;&gt;"",--(W97=""),0)+IF('SURVEY DESIGN'!C108&lt;&gt;"",--(X97=""),0))</x:f>
      </x:c>
      <x:c r="J97" s="130" t="str">
        <x:f>IF(A97="","",IF(C97&lt;&gt;"Yes","NO CONSENT",IF(F97&lt;SETUP!$B$9,"SPEEDING",IF(G97&lt;&gt;"Yes","ATTENTION CHECK",IF(H97="Yes","STRAIGHTLINE REVIEW",IF(I97&gt;0,"MISSING ITEMS","OK"))))))</x:f>
      </x:c>
      <x:c r="K97" s="130" t="str">
        <x:f>IF(A97="","",IF(J97="OK","Yes","No"))</x:f>
      </x:c>
      <x:c r="L97" s="130" t="str">
        <x:f>IF(A97="","",IF(J97="OK","",IF(J97="NO CONSENT","Consent not affirmed",IF(J97="SPEEDING","Completion time below threshold",IF(J97="ATTENTION CHECK","Attention check failed",IF(J97="STRAIGHTLINE REVIEW","Straightlining review threshold met","Missing scored item(s)"))))))</x:f>
      </x:c>
      <x:c r="M97" s="119"/>
      <x:c r="N97" s="119"/>
      <x:c r="O97" s="119"/>
      <x:c r="P97" s="119"/>
      <x:c r="Q97" s="119"/>
      <x:c r="R97" s="119"/>
      <x:c r="S97" s="119"/>
      <x:c r="T97" s="119"/>
      <x:c r="U97" s="119"/>
      <x:c r="V97" s="119"/>
      <x:c r="W97" s="119"/>
      <x:c r="X97" s="119"/>
      <x:c r="Y97" s="133" t="str">
        <x:f>IF(K97&lt;&gt;"Yes","",IFERROR(AVERAGE(M97:X97),""))</x:f>
      </x:c>
      <x:c r="Z97" s="119"/>
    </x:row>
    <x:row r="98">
      <x:c r="A98" s="119"/>
      <x:c r="B98" s="119"/>
      <x:c r="C98" s="119"/>
      <x:c r="D98" s="119"/>
      <x:c r="E98" s="119"/>
      <x:c r="F98" s="119"/>
      <x:c r="G98" s="119"/>
      <x:c r="H98" s="130" t="str">
        <x:f>IF(A98="","",IF(AND(COUNTA(M98:X98)&gt;=SETUP!$B$10,COUNTIF(M98:X98,MAX(M98:X98))=COUNTA(M98:X98)),"Yes","No"))</x:f>
      </x:c>
      <x:c r="I98" s="130" t="str">
        <x:f>IF(A98="","",IF('SURVEY DESIGN'!C98&lt;&gt;"",--(M98=""),0)+IF('SURVEY DESIGN'!C99&lt;&gt;"",--(N98=""),0)+IF('SURVEY DESIGN'!C100&lt;&gt;"",--(O98=""),0)+IF('SURVEY DESIGN'!C101&lt;&gt;"",--(P98=""),0)+IF('SURVEY DESIGN'!C102&lt;&gt;"",--(Q98=""),0)+IF('SURVEY DESIGN'!C103&lt;&gt;"",--(R98=""),0)+IF('SURVEY DESIGN'!C104&lt;&gt;"",--(S98=""),0)+IF('SURVEY DESIGN'!C105&lt;&gt;"",--(T98=""),0)+IF('SURVEY DESIGN'!C106&lt;&gt;"",--(U98=""),0)+IF('SURVEY DESIGN'!C107&lt;&gt;"",--(V98=""),0)+IF('SURVEY DESIGN'!C108&lt;&gt;"",--(W98=""),0)+IF('SURVEY DESIGN'!C109&lt;&gt;"",--(X98=""),0))</x:f>
      </x:c>
      <x:c r="J98" s="130" t="str">
        <x:f>IF(A98="","",IF(C98&lt;&gt;"Yes","NO CONSENT",IF(F98&lt;SETUP!$B$9,"SPEEDING",IF(G98&lt;&gt;"Yes","ATTENTION CHECK",IF(H98="Yes","STRAIGHTLINE REVIEW",IF(I98&gt;0,"MISSING ITEMS","OK"))))))</x:f>
      </x:c>
      <x:c r="K98" s="130" t="str">
        <x:f>IF(A98="","",IF(J98="OK","Yes","No"))</x:f>
      </x:c>
      <x:c r="L98" s="130" t="str">
        <x:f>IF(A98="","",IF(J98="OK","",IF(J98="NO CONSENT","Consent not affirmed",IF(J98="SPEEDING","Completion time below threshold",IF(J98="ATTENTION CHECK","Attention check failed",IF(J98="STRAIGHTLINE REVIEW","Straightlining review threshold met","Missing scored item(s)"))))))</x:f>
      </x:c>
      <x:c r="M98" s="119"/>
      <x:c r="N98" s="119"/>
      <x:c r="O98" s="119"/>
      <x:c r="P98" s="119"/>
      <x:c r="Q98" s="119"/>
      <x:c r="R98" s="119"/>
      <x:c r="S98" s="119"/>
      <x:c r="T98" s="119"/>
      <x:c r="U98" s="119"/>
      <x:c r="V98" s="119"/>
      <x:c r="W98" s="119"/>
      <x:c r="X98" s="119"/>
      <x:c r="Y98" s="133" t="str">
        <x:f>IF(K98&lt;&gt;"Yes","",IFERROR(AVERAGE(M98:X98),""))</x:f>
      </x:c>
      <x:c r="Z98" s="119"/>
    </x:row>
    <x:row r="99">
      <x:c r="A99" s="119"/>
      <x:c r="B99" s="119"/>
      <x:c r="C99" s="119"/>
      <x:c r="D99" s="119"/>
      <x:c r="E99" s="119"/>
      <x:c r="F99" s="119"/>
      <x:c r="G99" s="119"/>
      <x:c r="H99" s="130" t="str">
        <x:f>IF(A99="","",IF(AND(COUNTA(M99:X99)&gt;=SETUP!$B$10,COUNTIF(M99:X99,MAX(M99:X99))=COUNTA(M99:X99)),"Yes","No"))</x:f>
      </x:c>
      <x:c r="I99" s="130" t="str">
        <x:f>IF(A99="","",IF('SURVEY DESIGN'!C99&lt;&gt;"",--(M99=""),0)+IF('SURVEY DESIGN'!C100&lt;&gt;"",--(N99=""),0)+IF('SURVEY DESIGN'!C101&lt;&gt;"",--(O99=""),0)+IF('SURVEY DESIGN'!C102&lt;&gt;"",--(P99=""),0)+IF('SURVEY DESIGN'!C103&lt;&gt;"",--(Q99=""),0)+IF('SURVEY DESIGN'!C104&lt;&gt;"",--(R99=""),0)+IF('SURVEY DESIGN'!C105&lt;&gt;"",--(S99=""),0)+IF('SURVEY DESIGN'!C106&lt;&gt;"",--(T99=""),0)+IF('SURVEY DESIGN'!C107&lt;&gt;"",--(U99=""),0)+IF('SURVEY DESIGN'!C108&lt;&gt;"",--(V99=""),0)+IF('SURVEY DESIGN'!C109&lt;&gt;"",--(W99=""),0)+IF('SURVEY DESIGN'!C110&lt;&gt;"",--(X99=""),0))</x:f>
      </x:c>
      <x:c r="J99" s="130" t="str">
        <x:f>IF(A99="","",IF(C99&lt;&gt;"Yes","NO CONSENT",IF(F99&lt;SETUP!$B$9,"SPEEDING",IF(G99&lt;&gt;"Yes","ATTENTION CHECK",IF(H99="Yes","STRAIGHTLINE REVIEW",IF(I99&gt;0,"MISSING ITEMS","OK"))))))</x:f>
      </x:c>
      <x:c r="K99" s="130" t="str">
        <x:f>IF(A99="","",IF(J99="OK","Yes","No"))</x:f>
      </x:c>
      <x:c r="L99" s="130" t="str">
        <x:f>IF(A99="","",IF(J99="OK","",IF(J99="NO CONSENT","Consent not affirmed",IF(J99="SPEEDING","Completion time below threshold",IF(J99="ATTENTION CHECK","Attention check failed",IF(J99="STRAIGHTLINE REVIEW","Straightlining review threshold met","Missing scored item(s)"))))))</x:f>
      </x:c>
      <x:c r="M99" s="119"/>
      <x:c r="N99" s="119"/>
      <x:c r="O99" s="119"/>
      <x:c r="P99" s="119"/>
      <x:c r="Q99" s="119"/>
      <x:c r="R99" s="119"/>
      <x:c r="S99" s="119"/>
      <x:c r="T99" s="119"/>
      <x:c r="U99" s="119"/>
      <x:c r="V99" s="119"/>
      <x:c r="W99" s="119"/>
      <x:c r="X99" s="119"/>
      <x:c r="Y99" s="133" t="str">
        <x:f>IF(K99&lt;&gt;"Yes","",IFERROR(AVERAGE(M99:X99),""))</x:f>
      </x:c>
      <x:c r="Z99" s="119"/>
    </x:row>
    <x:row r="100">
      <x:c r="A100" s="119"/>
      <x:c r="B100" s="119"/>
      <x:c r="C100" s="119"/>
      <x:c r="D100" s="119"/>
      <x:c r="E100" s="119"/>
      <x:c r="F100" s="119"/>
      <x:c r="G100" s="119"/>
      <x:c r="H100" s="130" t="str">
        <x:f>IF(A100="","",IF(AND(COUNTA(M100:X100)&gt;=SETUP!$B$10,COUNTIF(M100:X100,MAX(M100:X100))=COUNTA(M100:X100)),"Yes","No"))</x:f>
      </x:c>
      <x:c r="I100" s="130" t="str">
        <x:f>IF(A100="","",IF('SURVEY DESIGN'!C100&lt;&gt;"",--(M100=""),0)+IF('SURVEY DESIGN'!C101&lt;&gt;"",--(N100=""),0)+IF('SURVEY DESIGN'!C102&lt;&gt;"",--(O100=""),0)+IF('SURVEY DESIGN'!C103&lt;&gt;"",--(P100=""),0)+IF('SURVEY DESIGN'!C104&lt;&gt;"",--(Q100=""),0)+IF('SURVEY DESIGN'!C105&lt;&gt;"",--(R100=""),0)+IF('SURVEY DESIGN'!C106&lt;&gt;"",--(S100=""),0)+IF('SURVEY DESIGN'!C107&lt;&gt;"",--(T100=""),0)+IF('SURVEY DESIGN'!C108&lt;&gt;"",--(U100=""),0)+IF('SURVEY DESIGN'!C109&lt;&gt;"",--(V100=""),0)+IF('SURVEY DESIGN'!C110&lt;&gt;"",--(W100=""),0)+IF('SURVEY DESIGN'!C111&lt;&gt;"",--(X100=""),0))</x:f>
      </x:c>
      <x:c r="J100" s="130" t="str">
        <x:f>IF(A100="","",IF(C100&lt;&gt;"Yes","NO CONSENT",IF(F100&lt;SETUP!$B$9,"SPEEDING",IF(G100&lt;&gt;"Yes","ATTENTION CHECK",IF(H100="Yes","STRAIGHTLINE REVIEW",IF(I100&gt;0,"MISSING ITEMS","OK"))))))</x:f>
      </x:c>
      <x:c r="K100" s="130" t="str">
        <x:f>IF(A100="","",IF(J100="OK","Yes","No"))</x:f>
      </x:c>
      <x:c r="L100" s="130" t="str">
        <x:f>IF(A100="","",IF(J100="OK","",IF(J100="NO CONSENT","Consent not affirmed",IF(J100="SPEEDING","Completion time below threshold",IF(J100="ATTENTION CHECK","Attention check failed",IF(J100="STRAIGHTLINE REVIEW","Straightlining review threshold met","Missing scored item(s)"))))))</x:f>
      </x:c>
      <x:c r="M100" s="119"/>
      <x:c r="N100" s="119"/>
      <x:c r="O100" s="119"/>
      <x:c r="P100" s="119"/>
      <x:c r="Q100" s="119"/>
      <x:c r="R100" s="119"/>
      <x:c r="S100" s="119"/>
      <x:c r="T100" s="119"/>
      <x:c r="U100" s="119"/>
      <x:c r="V100" s="119"/>
      <x:c r="W100" s="119"/>
      <x:c r="X100" s="119"/>
      <x:c r="Y100" s="133" t="str">
        <x:f>IF(K100&lt;&gt;"Yes","",IFERROR(AVERAGE(M100:X100),""))</x:f>
      </x:c>
      <x:c r="Z100" s="119"/>
    </x:row>
    <x:row r="101">
      <x:c r="A101" s="119"/>
      <x:c r="B101" s="119"/>
      <x:c r="C101" s="119"/>
      <x:c r="D101" s="119"/>
      <x:c r="E101" s="119"/>
      <x:c r="F101" s="119"/>
      <x:c r="G101" s="119"/>
      <x:c r="H101" s="130" t="str">
        <x:f>IF(A101="","",IF(AND(COUNTA(M101:X101)&gt;=SETUP!$B$10,COUNTIF(M101:X101,MAX(M101:X101))=COUNTA(M101:X101)),"Yes","No"))</x:f>
      </x:c>
      <x:c r="I101" s="130" t="str">
        <x:f>IF(A101="","",IF('SURVEY DESIGN'!C101&lt;&gt;"",--(M101=""),0)+IF('SURVEY DESIGN'!C102&lt;&gt;"",--(N101=""),0)+IF('SURVEY DESIGN'!C103&lt;&gt;"",--(O101=""),0)+IF('SURVEY DESIGN'!C104&lt;&gt;"",--(P101=""),0)+IF('SURVEY DESIGN'!C105&lt;&gt;"",--(Q101=""),0)+IF('SURVEY DESIGN'!C106&lt;&gt;"",--(R101=""),0)+IF('SURVEY DESIGN'!C107&lt;&gt;"",--(S101=""),0)+IF('SURVEY DESIGN'!C108&lt;&gt;"",--(T101=""),0)+IF('SURVEY DESIGN'!C109&lt;&gt;"",--(U101=""),0)+IF('SURVEY DESIGN'!C110&lt;&gt;"",--(V101=""),0)+IF('SURVEY DESIGN'!C111&lt;&gt;"",--(W101=""),0)+IF('SURVEY DESIGN'!C112&lt;&gt;"",--(X101=""),0))</x:f>
      </x:c>
      <x:c r="J101" s="130" t="str">
        <x:f>IF(A101="","",IF(C101&lt;&gt;"Yes","NO CONSENT",IF(F101&lt;SETUP!$B$9,"SPEEDING",IF(G101&lt;&gt;"Yes","ATTENTION CHECK",IF(H101="Yes","STRAIGHTLINE REVIEW",IF(I101&gt;0,"MISSING ITEMS","OK"))))))</x:f>
      </x:c>
      <x:c r="K101" s="130" t="str">
        <x:f>IF(A101="","",IF(J101="OK","Yes","No"))</x:f>
      </x:c>
      <x:c r="L101" s="130" t="str">
        <x:f>IF(A101="","",IF(J101="OK","",IF(J101="NO CONSENT","Consent not affirmed",IF(J101="SPEEDING","Completion time below threshold",IF(J101="ATTENTION CHECK","Attention check failed",IF(J101="STRAIGHTLINE REVIEW","Straightlining review threshold met","Missing scored item(s)"))))))</x:f>
      </x:c>
      <x:c r="M101" s="119"/>
      <x:c r="N101" s="119"/>
      <x:c r="O101" s="119"/>
      <x:c r="P101" s="119"/>
      <x:c r="Q101" s="119"/>
      <x:c r="R101" s="119"/>
      <x:c r="S101" s="119"/>
      <x:c r="T101" s="119"/>
      <x:c r="U101" s="119"/>
      <x:c r="V101" s="119"/>
      <x:c r="W101" s="119"/>
      <x:c r="X101" s="119"/>
      <x:c r="Y101" s="133" t="str">
        <x:f>IF(K101&lt;&gt;"Yes","",IFERROR(AVERAGE(M101:X101),""))</x:f>
      </x:c>
      <x:c r="Z101" s="119"/>
    </x:row>
    <x:row r="102">
      <x:c r="A102" s="119"/>
      <x:c r="B102" s="119"/>
      <x:c r="C102" s="119"/>
      <x:c r="D102" s="119"/>
      <x:c r="E102" s="119"/>
      <x:c r="F102" s="119"/>
      <x:c r="G102" s="119"/>
      <x:c r="H102" s="130" t="str">
        <x:f>IF(A102="","",IF(AND(COUNTA(M102:X102)&gt;=SETUP!$B$10,COUNTIF(M102:X102,MAX(M102:X102))=COUNTA(M102:X102)),"Yes","No"))</x:f>
      </x:c>
      <x:c r="I102" s="130" t="str">
        <x:f>IF(A102="","",IF('SURVEY DESIGN'!C102&lt;&gt;"",--(M102=""),0)+IF('SURVEY DESIGN'!C103&lt;&gt;"",--(N102=""),0)+IF('SURVEY DESIGN'!C104&lt;&gt;"",--(O102=""),0)+IF('SURVEY DESIGN'!C105&lt;&gt;"",--(P102=""),0)+IF('SURVEY DESIGN'!C106&lt;&gt;"",--(Q102=""),0)+IF('SURVEY DESIGN'!C107&lt;&gt;"",--(R102=""),0)+IF('SURVEY DESIGN'!C108&lt;&gt;"",--(S102=""),0)+IF('SURVEY DESIGN'!C109&lt;&gt;"",--(T102=""),0)+IF('SURVEY DESIGN'!C110&lt;&gt;"",--(U102=""),0)+IF('SURVEY DESIGN'!C111&lt;&gt;"",--(V102=""),0)+IF('SURVEY DESIGN'!C112&lt;&gt;"",--(W102=""),0)+IF('SURVEY DESIGN'!C113&lt;&gt;"",--(X102=""),0))</x:f>
      </x:c>
      <x:c r="J102" s="130" t="str">
        <x:f>IF(A102="","",IF(C102&lt;&gt;"Yes","NO CONSENT",IF(F102&lt;SETUP!$B$9,"SPEEDING",IF(G102&lt;&gt;"Yes","ATTENTION CHECK",IF(H102="Yes","STRAIGHTLINE REVIEW",IF(I102&gt;0,"MISSING ITEMS","OK"))))))</x:f>
      </x:c>
      <x:c r="K102" s="130" t="str">
        <x:f>IF(A102="","",IF(J102="OK","Yes","No"))</x:f>
      </x:c>
      <x:c r="L102" s="130" t="str">
        <x:f>IF(A102="","",IF(J102="OK","",IF(J102="NO CONSENT","Consent not affirmed",IF(J102="SPEEDING","Completion time below threshold",IF(J102="ATTENTION CHECK","Attention check failed",IF(J102="STRAIGHTLINE REVIEW","Straightlining review threshold met","Missing scored item(s)"))))))</x:f>
      </x:c>
      <x:c r="M102" s="119"/>
      <x:c r="N102" s="119"/>
      <x:c r="O102" s="119"/>
      <x:c r="P102" s="119"/>
      <x:c r="Q102" s="119"/>
      <x:c r="R102" s="119"/>
      <x:c r="S102" s="119"/>
      <x:c r="T102" s="119"/>
      <x:c r="U102" s="119"/>
      <x:c r="V102" s="119"/>
      <x:c r="W102" s="119"/>
      <x:c r="X102" s="119"/>
      <x:c r="Y102" s="133" t="str">
        <x:f>IF(K102&lt;&gt;"Yes","",IFERROR(AVERAGE(M102:X102),""))</x:f>
      </x:c>
      <x:c r="Z102" s="119"/>
    </x:row>
    <x:row r="103">
      <x:c r="A103" s="119"/>
      <x:c r="B103" s="119"/>
      <x:c r="C103" s="119"/>
      <x:c r="D103" s="119"/>
      <x:c r="E103" s="119"/>
      <x:c r="F103" s="119"/>
      <x:c r="G103" s="119"/>
      <x:c r="H103" s="130" t="str">
        <x:f>IF(A103="","",IF(AND(COUNTA(M103:X103)&gt;=SETUP!$B$10,COUNTIF(M103:X103,MAX(M103:X103))=COUNTA(M103:X103)),"Yes","No"))</x:f>
      </x:c>
      <x:c r="I103" s="130" t="str">
        <x:f>IF(A103="","",IF('SURVEY DESIGN'!C103&lt;&gt;"",--(M103=""),0)+IF('SURVEY DESIGN'!C104&lt;&gt;"",--(N103=""),0)+IF('SURVEY DESIGN'!C105&lt;&gt;"",--(O103=""),0)+IF('SURVEY DESIGN'!C106&lt;&gt;"",--(P103=""),0)+IF('SURVEY DESIGN'!C107&lt;&gt;"",--(Q103=""),0)+IF('SURVEY DESIGN'!C108&lt;&gt;"",--(R103=""),0)+IF('SURVEY DESIGN'!C109&lt;&gt;"",--(S103=""),0)+IF('SURVEY DESIGN'!C110&lt;&gt;"",--(T103=""),0)+IF('SURVEY DESIGN'!C111&lt;&gt;"",--(U103=""),0)+IF('SURVEY DESIGN'!C112&lt;&gt;"",--(V103=""),0)+IF('SURVEY DESIGN'!C113&lt;&gt;"",--(W103=""),0)+IF('SURVEY DESIGN'!C114&lt;&gt;"",--(X103=""),0))</x:f>
      </x:c>
      <x:c r="J103" s="130" t="str">
        <x:f>IF(A103="","",IF(C103&lt;&gt;"Yes","NO CONSENT",IF(F103&lt;SETUP!$B$9,"SPEEDING",IF(G103&lt;&gt;"Yes","ATTENTION CHECK",IF(H103="Yes","STRAIGHTLINE REVIEW",IF(I103&gt;0,"MISSING ITEMS","OK"))))))</x:f>
      </x:c>
      <x:c r="K103" s="130" t="str">
        <x:f>IF(A103="","",IF(J103="OK","Yes","No"))</x:f>
      </x:c>
      <x:c r="L103" s="130" t="str">
        <x:f>IF(A103="","",IF(J103="OK","",IF(J103="NO CONSENT","Consent not affirmed",IF(J103="SPEEDING","Completion time below threshold",IF(J103="ATTENTION CHECK","Attention check failed",IF(J103="STRAIGHTLINE REVIEW","Straightlining review threshold met","Missing scored item(s)"))))))</x:f>
      </x:c>
      <x:c r="M103" s="119"/>
      <x:c r="N103" s="119"/>
      <x:c r="O103" s="119"/>
      <x:c r="P103" s="119"/>
      <x:c r="Q103" s="119"/>
      <x:c r="R103" s="119"/>
      <x:c r="S103" s="119"/>
      <x:c r="T103" s="119"/>
      <x:c r="U103" s="119"/>
      <x:c r="V103" s="119"/>
      <x:c r="W103" s="119"/>
      <x:c r="X103" s="119"/>
      <x:c r="Y103" s="133" t="str">
        <x:f>IF(K103&lt;&gt;"Yes","",IFERROR(AVERAGE(M103:X103),""))</x:f>
      </x:c>
      <x:c r="Z103" s="119"/>
    </x:row>
    <x:row r="104">
      <x:c r="A104" s="119"/>
      <x:c r="B104" s="119"/>
      <x:c r="C104" s="119"/>
      <x:c r="D104" s="119"/>
      <x:c r="E104" s="119"/>
      <x:c r="F104" s="119"/>
      <x:c r="G104" s="119"/>
      <x:c r="H104" s="130" t="str">
        <x:f>IF(A104="","",IF(AND(COUNTA(M104:X104)&gt;=SETUP!$B$10,COUNTIF(M104:X104,MAX(M104:X104))=COUNTA(M104:X104)),"Yes","No"))</x:f>
      </x:c>
      <x:c r="I104" s="130" t="str">
        <x:f>IF(A104="","",IF('SURVEY DESIGN'!C104&lt;&gt;"",--(M104=""),0)+IF('SURVEY DESIGN'!C105&lt;&gt;"",--(N104=""),0)+IF('SURVEY DESIGN'!C106&lt;&gt;"",--(O104=""),0)+IF('SURVEY DESIGN'!C107&lt;&gt;"",--(P104=""),0)+IF('SURVEY DESIGN'!C108&lt;&gt;"",--(Q104=""),0)+IF('SURVEY DESIGN'!C109&lt;&gt;"",--(R104=""),0)+IF('SURVEY DESIGN'!C110&lt;&gt;"",--(S104=""),0)+IF('SURVEY DESIGN'!C111&lt;&gt;"",--(T104=""),0)+IF('SURVEY DESIGN'!C112&lt;&gt;"",--(U104=""),0)+IF('SURVEY DESIGN'!C113&lt;&gt;"",--(V104=""),0)+IF('SURVEY DESIGN'!C114&lt;&gt;"",--(W104=""),0)+IF('SURVEY DESIGN'!C115&lt;&gt;"",--(X104=""),0))</x:f>
      </x:c>
      <x:c r="J104" s="130" t="str">
        <x:f>IF(A104="","",IF(C104&lt;&gt;"Yes","NO CONSENT",IF(F104&lt;SETUP!$B$9,"SPEEDING",IF(G104&lt;&gt;"Yes","ATTENTION CHECK",IF(H104="Yes","STRAIGHTLINE REVIEW",IF(I104&gt;0,"MISSING ITEMS","OK"))))))</x:f>
      </x:c>
      <x:c r="K104" s="130" t="str">
        <x:f>IF(A104="","",IF(J104="OK","Yes","No"))</x:f>
      </x:c>
      <x:c r="L104" s="130" t="str">
        <x:f>IF(A104="","",IF(J104="OK","",IF(J104="NO CONSENT","Consent not affirmed",IF(J104="SPEEDING","Completion time below threshold",IF(J104="ATTENTION CHECK","Attention check failed",IF(J104="STRAIGHTLINE REVIEW","Straightlining review threshold met","Missing scored item(s)"))))))</x:f>
      </x:c>
      <x:c r="M104" s="119"/>
      <x:c r="N104" s="119"/>
      <x:c r="O104" s="119"/>
      <x:c r="P104" s="119"/>
      <x:c r="Q104" s="119"/>
      <x:c r="R104" s="119"/>
      <x:c r="S104" s="119"/>
      <x:c r="T104" s="119"/>
      <x:c r="U104" s="119"/>
      <x:c r="V104" s="119"/>
      <x:c r="W104" s="119"/>
      <x:c r="X104" s="119"/>
      <x:c r="Y104" s="133" t="str">
        <x:f>IF(K104&lt;&gt;"Yes","",IFERROR(AVERAGE(M104:X104),""))</x:f>
      </x:c>
      <x:c r="Z104" s="119"/>
    </x:row>
    <x:row r="105">
      <x:c r="A105" s="119"/>
      <x:c r="B105" s="119"/>
      <x:c r="C105" s="119"/>
      <x:c r="D105" s="119"/>
      <x:c r="E105" s="119"/>
      <x:c r="F105" s="119"/>
      <x:c r="G105" s="119"/>
      <x:c r="H105" s="130" t="str">
        <x:f>IF(A105="","",IF(AND(COUNTA(M105:X105)&gt;=SETUP!$B$10,COUNTIF(M105:X105,MAX(M105:X105))=COUNTA(M105:X105)),"Yes","No"))</x:f>
      </x:c>
      <x:c r="I105" s="130" t="str">
        <x:f>IF(A105="","",IF('SURVEY DESIGN'!C105&lt;&gt;"",--(M105=""),0)+IF('SURVEY DESIGN'!C106&lt;&gt;"",--(N105=""),0)+IF('SURVEY DESIGN'!C107&lt;&gt;"",--(O105=""),0)+IF('SURVEY DESIGN'!C108&lt;&gt;"",--(P105=""),0)+IF('SURVEY DESIGN'!C109&lt;&gt;"",--(Q105=""),0)+IF('SURVEY DESIGN'!C110&lt;&gt;"",--(R105=""),0)+IF('SURVEY DESIGN'!C111&lt;&gt;"",--(S105=""),0)+IF('SURVEY DESIGN'!C112&lt;&gt;"",--(T105=""),0)+IF('SURVEY DESIGN'!C113&lt;&gt;"",--(U105=""),0)+IF('SURVEY DESIGN'!C114&lt;&gt;"",--(V105=""),0)+IF('SURVEY DESIGN'!C115&lt;&gt;"",--(W105=""),0)+IF('SURVEY DESIGN'!C116&lt;&gt;"",--(X105=""),0))</x:f>
      </x:c>
      <x:c r="J105" s="130" t="str">
        <x:f>IF(A105="","",IF(C105&lt;&gt;"Yes","NO CONSENT",IF(F105&lt;SETUP!$B$9,"SPEEDING",IF(G105&lt;&gt;"Yes","ATTENTION CHECK",IF(H105="Yes","STRAIGHTLINE REVIEW",IF(I105&gt;0,"MISSING ITEMS","OK"))))))</x:f>
      </x:c>
      <x:c r="K105" s="130" t="str">
        <x:f>IF(A105="","",IF(J105="OK","Yes","No"))</x:f>
      </x:c>
      <x:c r="L105" s="130" t="str">
        <x:f>IF(A105="","",IF(J105="OK","",IF(J105="NO CONSENT","Consent not affirmed",IF(J105="SPEEDING","Completion time below threshold",IF(J105="ATTENTION CHECK","Attention check failed",IF(J105="STRAIGHTLINE REVIEW","Straightlining review threshold met","Missing scored item(s)"))))))</x:f>
      </x:c>
      <x:c r="M105" s="119"/>
      <x:c r="N105" s="119"/>
      <x:c r="O105" s="119"/>
      <x:c r="P105" s="119"/>
      <x:c r="Q105" s="119"/>
      <x:c r="R105" s="119"/>
      <x:c r="S105" s="119"/>
      <x:c r="T105" s="119"/>
      <x:c r="U105" s="119"/>
      <x:c r="V105" s="119"/>
      <x:c r="W105" s="119"/>
      <x:c r="X105" s="119"/>
      <x:c r="Y105" s="133" t="str">
        <x:f>IF(K105&lt;&gt;"Yes","",IFERROR(AVERAGE(M105:X105),""))</x:f>
      </x:c>
      <x:c r="Z105" s="119"/>
    </x:row>
    <x:row r="106">
      <x:c r="A106" s="119"/>
      <x:c r="B106" s="119"/>
      <x:c r="C106" s="119"/>
      <x:c r="D106" s="119"/>
      <x:c r="E106" s="119"/>
      <x:c r="F106" s="119"/>
      <x:c r="G106" s="119"/>
      <x:c r="H106" s="130" t="str">
        <x:f>IF(A106="","",IF(AND(COUNTA(M106:X106)&gt;=SETUP!$B$10,COUNTIF(M106:X106,MAX(M106:X106))=COUNTA(M106:X106)),"Yes","No"))</x:f>
      </x:c>
      <x:c r="I106" s="130" t="str">
        <x:f>IF(A106="","",IF('SURVEY DESIGN'!C106&lt;&gt;"",--(M106=""),0)+IF('SURVEY DESIGN'!C107&lt;&gt;"",--(N106=""),0)+IF('SURVEY DESIGN'!C108&lt;&gt;"",--(O106=""),0)+IF('SURVEY DESIGN'!C109&lt;&gt;"",--(P106=""),0)+IF('SURVEY DESIGN'!C110&lt;&gt;"",--(Q106=""),0)+IF('SURVEY DESIGN'!C111&lt;&gt;"",--(R106=""),0)+IF('SURVEY DESIGN'!C112&lt;&gt;"",--(S106=""),0)+IF('SURVEY DESIGN'!C113&lt;&gt;"",--(T106=""),0)+IF('SURVEY DESIGN'!C114&lt;&gt;"",--(U106=""),0)+IF('SURVEY DESIGN'!C115&lt;&gt;"",--(V106=""),0)+IF('SURVEY DESIGN'!C116&lt;&gt;"",--(W106=""),0)+IF('SURVEY DESIGN'!C117&lt;&gt;"",--(X106=""),0))</x:f>
      </x:c>
      <x:c r="J106" s="130" t="str">
        <x:f>IF(A106="","",IF(C106&lt;&gt;"Yes","NO CONSENT",IF(F106&lt;SETUP!$B$9,"SPEEDING",IF(G106&lt;&gt;"Yes","ATTENTION CHECK",IF(H106="Yes","STRAIGHTLINE REVIEW",IF(I106&gt;0,"MISSING ITEMS","OK"))))))</x:f>
      </x:c>
      <x:c r="K106" s="130" t="str">
        <x:f>IF(A106="","",IF(J106="OK","Yes","No"))</x:f>
      </x:c>
      <x:c r="L106" s="130" t="str">
        <x:f>IF(A106="","",IF(J106="OK","",IF(J106="NO CONSENT","Consent not affirmed",IF(J106="SPEEDING","Completion time below threshold",IF(J106="ATTENTION CHECK","Attention check failed",IF(J106="STRAIGHTLINE REVIEW","Straightlining review threshold met","Missing scored item(s)"))))))</x:f>
      </x:c>
      <x:c r="M106" s="119"/>
      <x:c r="N106" s="119"/>
      <x:c r="O106" s="119"/>
      <x:c r="P106" s="119"/>
      <x:c r="Q106" s="119"/>
      <x:c r="R106" s="119"/>
      <x:c r="S106" s="119"/>
      <x:c r="T106" s="119"/>
      <x:c r="U106" s="119"/>
      <x:c r="V106" s="119"/>
      <x:c r="W106" s="119"/>
      <x:c r="X106" s="119"/>
      <x:c r="Y106" s="133" t="str">
        <x:f>IF(K106&lt;&gt;"Yes","",IFERROR(AVERAGE(M106:X106),""))</x:f>
      </x:c>
      <x:c r="Z106" s="119"/>
    </x:row>
    <x:row r="107">
      <x:c r="A107" s="119"/>
      <x:c r="B107" s="119"/>
      <x:c r="C107" s="119"/>
      <x:c r="D107" s="119"/>
      <x:c r="E107" s="119"/>
      <x:c r="F107" s="119"/>
      <x:c r="G107" s="119"/>
      <x:c r="H107" s="130" t="str">
        <x:f>IF(A107="","",IF(AND(COUNTA(M107:X107)&gt;=SETUP!$B$10,COUNTIF(M107:X107,MAX(M107:X107))=COUNTA(M107:X107)),"Yes","No"))</x:f>
      </x:c>
      <x:c r="I107" s="130" t="str">
        <x:f>IF(A107="","",IF('SURVEY DESIGN'!C107&lt;&gt;"",--(M107=""),0)+IF('SURVEY DESIGN'!C108&lt;&gt;"",--(N107=""),0)+IF('SURVEY DESIGN'!C109&lt;&gt;"",--(O107=""),0)+IF('SURVEY DESIGN'!C110&lt;&gt;"",--(P107=""),0)+IF('SURVEY DESIGN'!C111&lt;&gt;"",--(Q107=""),0)+IF('SURVEY DESIGN'!C112&lt;&gt;"",--(R107=""),0)+IF('SURVEY DESIGN'!C113&lt;&gt;"",--(S107=""),0)+IF('SURVEY DESIGN'!C114&lt;&gt;"",--(T107=""),0)+IF('SURVEY DESIGN'!C115&lt;&gt;"",--(U107=""),0)+IF('SURVEY DESIGN'!C116&lt;&gt;"",--(V107=""),0)+IF('SURVEY DESIGN'!C117&lt;&gt;"",--(W107=""),0)+IF('SURVEY DESIGN'!C118&lt;&gt;"",--(X107=""),0))</x:f>
      </x:c>
      <x:c r="J107" s="130" t="str">
        <x:f>IF(A107="","",IF(C107&lt;&gt;"Yes","NO CONSENT",IF(F107&lt;SETUP!$B$9,"SPEEDING",IF(G107&lt;&gt;"Yes","ATTENTION CHECK",IF(H107="Yes","STRAIGHTLINE REVIEW",IF(I107&gt;0,"MISSING ITEMS","OK"))))))</x:f>
      </x:c>
      <x:c r="K107" s="130" t="str">
        <x:f>IF(A107="","",IF(J107="OK","Yes","No"))</x:f>
      </x:c>
      <x:c r="L107" s="130" t="str">
        <x:f>IF(A107="","",IF(J107="OK","",IF(J107="NO CONSENT","Consent not affirmed",IF(J107="SPEEDING","Completion time below threshold",IF(J107="ATTENTION CHECK","Attention check failed",IF(J107="STRAIGHTLINE REVIEW","Straightlining review threshold met","Missing scored item(s)"))))))</x:f>
      </x:c>
      <x:c r="M107" s="119"/>
      <x:c r="N107" s="119"/>
      <x:c r="O107" s="119"/>
      <x:c r="P107" s="119"/>
      <x:c r="Q107" s="119"/>
      <x:c r="R107" s="119"/>
      <x:c r="S107" s="119"/>
      <x:c r="T107" s="119"/>
      <x:c r="U107" s="119"/>
      <x:c r="V107" s="119"/>
      <x:c r="W107" s="119"/>
      <x:c r="X107" s="119"/>
      <x:c r="Y107" s="133" t="str">
        <x:f>IF(K107&lt;&gt;"Yes","",IFERROR(AVERAGE(M107:X107),""))</x:f>
      </x:c>
      <x:c r="Z107" s="119"/>
    </x:row>
    <x:row r="108">
      <x:c r="A108" s="119"/>
      <x:c r="B108" s="119"/>
      <x:c r="C108" s="119"/>
      <x:c r="D108" s="119"/>
      <x:c r="E108" s="119"/>
      <x:c r="F108" s="119"/>
      <x:c r="G108" s="119"/>
      <x:c r="H108" s="130" t="str">
        <x:f>IF(A108="","",IF(AND(COUNTA(M108:X108)&gt;=SETUP!$B$10,COUNTIF(M108:X108,MAX(M108:X108))=COUNTA(M108:X108)),"Yes","No"))</x:f>
      </x:c>
      <x:c r="I108" s="130" t="str">
        <x:f>IF(A108="","",IF('SURVEY DESIGN'!C108&lt;&gt;"",--(M108=""),0)+IF('SURVEY DESIGN'!C109&lt;&gt;"",--(N108=""),0)+IF('SURVEY DESIGN'!C110&lt;&gt;"",--(O108=""),0)+IF('SURVEY DESIGN'!C111&lt;&gt;"",--(P108=""),0)+IF('SURVEY DESIGN'!C112&lt;&gt;"",--(Q108=""),0)+IF('SURVEY DESIGN'!C113&lt;&gt;"",--(R108=""),0)+IF('SURVEY DESIGN'!C114&lt;&gt;"",--(S108=""),0)+IF('SURVEY DESIGN'!C115&lt;&gt;"",--(T108=""),0)+IF('SURVEY DESIGN'!C116&lt;&gt;"",--(U108=""),0)+IF('SURVEY DESIGN'!C117&lt;&gt;"",--(V108=""),0)+IF('SURVEY DESIGN'!C118&lt;&gt;"",--(W108=""),0)+IF('SURVEY DESIGN'!C119&lt;&gt;"",--(X108=""),0))</x:f>
      </x:c>
      <x:c r="J108" s="130" t="str">
        <x:f>IF(A108="","",IF(C108&lt;&gt;"Yes","NO CONSENT",IF(F108&lt;SETUP!$B$9,"SPEEDING",IF(G108&lt;&gt;"Yes","ATTENTION CHECK",IF(H108="Yes","STRAIGHTLINE REVIEW",IF(I108&gt;0,"MISSING ITEMS","OK"))))))</x:f>
      </x:c>
      <x:c r="K108" s="130" t="str">
        <x:f>IF(A108="","",IF(J108="OK","Yes","No"))</x:f>
      </x:c>
      <x:c r="L108" s="130" t="str">
        <x:f>IF(A108="","",IF(J108="OK","",IF(J108="NO CONSENT","Consent not affirmed",IF(J108="SPEEDING","Completion time below threshold",IF(J108="ATTENTION CHECK","Attention check failed",IF(J108="STRAIGHTLINE REVIEW","Straightlining review threshold met","Missing scored item(s)"))))))</x:f>
      </x:c>
      <x:c r="M108" s="119"/>
      <x:c r="N108" s="119"/>
      <x:c r="O108" s="119"/>
      <x:c r="P108" s="119"/>
      <x:c r="Q108" s="119"/>
      <x:c r="R108" s="119"/>
      <x:c r="S108" s="119"/>
      <x:c r="T108" s="119"/>
      <x:c r="U108" s="119"/>
      <x:c r="V108" s="119"/>
      <x:c r="W108" s="119"/>
      <x:c r="X108" s="119"/>
      <x:c r="Y108" s="133" t="str">
        <x:f>IF(K108&lt;&gt;"Yes","",IFERROR(AVERAGE(M108:X108),""))</x:f>
      </x:c>
      <x:c r="Z108" s="119"/>
    </x:row>
    <x:row r="109">
      <x:c r="A109" s="119"/>
      <x:c r="B109" s="119"/>
      <x:c r="C109" s="119"/>
      <x:c r="D109" s="119"/>
      <x:c r="E109" s="119"/>
      <x:c r="F109" s="119"/>
      <x:c r="G109" s="119"/>
      <x:c r="H109" s="130" t="str">
        <x:f>IF(A109="","",IF(AND(COUNTA(M109:X109)&gt;=SETUP!$B$10,COUNTIF(M109:X109,MAX(M109:X109))=COUNTA(M109:X109)),"Yes","No"))</x:f>
      </x:c>
      <x:c r="I109" s="130" t="str">
        <x:f>IF(A109="","",IF('SURVEY DESIGN'!C109&lt;&gt;"",--(M109=""),0)+IF('SURVEY DESIGN'!C110&lt;&gt;"",--(N109=""),0)+IF('SURVEY DESIGN'!C111&lt;&gt;"",--(O109=""),0)+IF('SURVEY DESIGN'!C112&lt;&gt;"",--(P109=""),0)+IF('SURVEY DESIGN'!C113&lt;&gt;"",--(Q109=""),0)+IF('SURVEY DESIGN'!C114&lt;&gt;"",--(R109=""),0)+IF('SURVEY DESIGN'!C115&lt;&gt;"",--(S109=""),0)+IF('SURVEY DESIGN'!C116&lt;&gt;"",--(T109=""),0)+IF('SURVEY DESIGN'!C117&lt;&gt;"",--(U109=""),0)+IF('SURVEY DESIGN'!C118&lt;&gt;"",--(V109=""),0)+IF('SURVEY DESIGN'!C119&lt;&gt;"",--(W109=""),0)+IF('SURVEY DESIGN'!C120&lt;&gt;"",--(X109=""),0))</x:f>
      </x:c>
      <x:c r="J109" s="130" t="str">
        <x:f>IF(A109="","",IF(C109&lt;&gt;"Yes","NO CONSENT",IF(F109&lt;SETUP!$B$9,"SPEEDING",IF(G109&lt;&gt;"Yes","ATTENTION CHECK",IF(H109="Yes","STRAIGHTLINE REVIEW",IF(I109&gt;0,"MISSING ITEMS","OK"))))))</x:f>
      </x:c>
      <x:c r="K109" s="130" t="str">
        <x:f>IF(A109="","",IF(J109="OK","Yes","No"))</x:f>
      </x:c>
      <x:c r="L109" s="130" t="str">
        <x:f>IF(A109="","",IF(J109="OK","",IF(J109="NO CONSENT","Consent not affirmed",IF(J109="SPEEDING","Completion time below threshold",IF(J109="ATTENTION CHECK","Attention check failed",IF(J109="STRAIGHTLINE REVIEW","Straightlining review threshold met","Missing scored item(s)"))))))</x:f>
      </x:c>
      <x:c r="M109" s="119"/>
      <x:c r="N109" s="119"/>
      <x:c r="O109" s="119"/>
      <x:c r="P109" s="119"/>
      <x:c r="Q109" s="119"/>
      <x:c r="R109" s="119"/>
      <x:c r="S109" s="119"/>
      <x:c r="T109" s="119"/>
      <x:c r="U109" s="119"/>
      <x:c r="V109" s="119"/>
      <x:c r="W109" s="119"/>
      <x:c r="X109" s="119"/>
      <x:c r="Y109" s="133" t="str">
        <x:f>IF(K109&lt;&gt;"Yes","",IFERROR(AVERAGE(M109:X109),""))</x:f>
      </x:c>
      <x:c r="Z109" s="119"/>
    </x:row>
    <x:row r="110">
      <x:c r="A110" s="119"/>
      <x:c r="B110" s="119"/>
      <x:c r="C110" s="119"/>
      <x:c r="D110" s="119"/>
      <x:c r="E110" s="119"/>
      <x:c r="F110" s="119"/>
      <x:c r="G110" s="119"/>
      <x:c r="H110" s="130" t="str">
        <x:f>IF(A110="","",IF(AND(COUNTA(M110:X110)&gt;=SETUP!$B$10,COUNTIF(M110:X110,MAX(M110:X110))=COUNTA(M110:X110)),"Yes","No"))</x:f>
      </x:c>
      <x:c r="I110" s="130" t="str">
        <x:f>IF(A110="","",IF('SURVEY DESIGN'!C110&lt;&gt;"",--(M110=""),0)+IF('SURVEY DESIGN'!C111&lt;&gt;"",--(N110=""),0)+IF('SURVEY DESIGN'!C112&lt;&gt;"",--(O110=""),0)+IF('SURVEY DESIGN'!C113&lt;&gt;"",--(P110=""),0)+IF('SURVEY DESIGN'!C114&lt;&gt;"",--(Q110=""),0)+IF('SURVEY DESIGN'!C115&lt;&gt;"",--(R110=""),0)+IF('SURVEY DESIGN'!C116&lt;&gt;"",--(S110=""),0)+IF('SURVEY DESIGN'!C117&lt;&gt;"",--(T110=""),0)+IF('SURVEY DESIGN'!C118&lt;&gt;"",--(U110=""),0)+IF('SURVEY DESIGN'!C119&lt;&gt;"",--(V110=""),0)+IF('SURVEY DESIGN'!C120&lt;&gt;"",--(W110=""),0)+IF('SURVEY DESIGN'!C121&lt;&gt;"",--(X110=""),0))</x:f>
      </x:c>
      <x:c r="J110" s="130" t="str">
        <x:f>IF(A110="","",IF(C110&lt;&gt;"Yes","NO CONSENT",IF(F110&lt;SETUP!$B$9,"SPEEDING",IF(G110&lt;&gt;"Yes","ATTENTION CHECK",IF(H110="Yes","STRAIGHTLINE REVIEW",IF(I110&gt;0,"MISSING ITEMS","OK"))))))</x:f>
      </x:c>
      <x:c r="K110" s="130" t="str">
        <x:f>IF(A110="","",IF(J110="OK","Yes","No"))</x:f>
      </x:c>
      <x:c r="L110" s="130" t="str">
        <x:f>IF(A110="","",IF(J110="OK","",IF(J110="NO CONSENT","Consent not affirmed",IF(J110="SPEEDING","Completion time below threshold",IF(J110="ATTENTION CHECK","Attention check failed",IF(J110="STRAIGHTLINE REVIEW","Straightlining review threshold met","Missing scored item(s)"))))))</x:f>
      </x:c>
      <x:c r="M110" s="119"/>
      <x:c r="N110" s="119"/>
      <x:c r="O110" s="119"/>
      <x:c r="P110" s="119"/>
      <x:c r="Q110" s="119"/>
      <x:c r="R110" s="119"/>
      <x:c r="S110" s="119"/>
      <x:c r="T110" s="119"/>
      <x:c r="U110" s="119"/>
      <x:c r="V110" s="119"/>
      <x:c r="W110" s="119"/>
      <x:c r="X110" s="119"/>
      <x:c r="Y110" s="133" t="str">
        <x:f>IF(K110&lt;&gt;"Yes","",IFERROR(AVERAGE(M110:X110),""))</x:f>
      </x:c>
      <x:c r="Z110" s="119"/>
    </x:row>
    <x:row r="111">
      <x:c r="A111" s="119"/>
      <x:c r="B111" s="119"/>
      <x:c r="C111" s="119"/>
      <x:c r="D111" s="119"/>
      <x:c r="E111" s="119"/>
      <x:c r="F111" s="119"/>
      <x:c r="G111" s="119"/>
      <x:c r="H111" s="130" t="str">
        <x:f>IF(A111="","",IF(AND(COUNTA(M111:X111)&gt;=SETUP!$B$10,COUNTIF(M111:X111,MAX(M111:X111))=COUNTA(M111:X111)),"Yes","No"))</x:f>
      </x:c>
      <x:c r="I111" s="130" t="str">
        <x:f>IF(A111="","",IF('SURVEY DESIGN'!C111&lt;&gt;"",--(M111=""),0)+IF('SURVEY DESIGN'!C112&lt;&gt;"",--(N111=""),0)+IF('SURVEY DESIGN'!C113&lt;&gt;"",--(O111=""),0)+IF('SURVEY DESIGN'!C114&lt;&gt;"",--(P111=""),0)+IF('SURVEY DESIGN'!C115&lt;&gt;"",--(Q111=""),0)+IF('SURVEY DESIGN'!C116&lt;&gt;"",--(R111=""),0)+IF('SURVEY DESIGN'!C117&lt;&gt;"",--(S111=""),0)+IF('SURVEY DESIGN'!C118&lt;&gt;"",--(T111=""),0)+IF('SURVEY DESIGN'!C119&lt;&gt;"",--(U111=""),0)+IF('SURVEY DESIGN'!C120&lt;&gt;"",--(V111=""),0)+IF('SURVEY DESIGN'!C121&lt;&gt;"",--(W111=""),0)+IF('SURVEY DESIGN'!C122&lt;&gt;"",--(X111=""),0))</x:f>
      </x:c>
      <x:c r="J111" s="130" t="str">
        <x:f>IF(A111="","",IF(C111&lt;&gt;"Yes","NO CONSENT",IF(F111&lt;SETUP!$B$9,"SPEEDING",IF(G111&lt;&gt;"Yes","ATTENTION CHECK",IF(H111="Yes","STRAIGHTLINE REVIEW",IF(I111&gt;0,"MISSING ITEMS","OK"))))))</x:f>
      </x:c>
      <x:c r="K111" s="130" t="str">
        <x:f>IF(A111="","",IF(J111="OK","Yes","No"))</x:f>
      </x:c>
      <x:c r="L111" s="130" t="str">
        <x:f>IF(A111="","",IF(J111="OK","",IF(J111="NO CONSENT","Consent not affirmed",IF(J111="SPEEDING","Completion time below threshold",IF(J111="ATTENTION CHECK","Attention check failed",IF(J111="STRAIGHTLINE REVIEW","Straightlining review threshold met","Missing scored item(s)"))))))</x:f>
      </x:c>
      <x:c r="M111" s="119"/>
      <x:c r="N111" s="119"/>
      <x:c r="O111" s="119"/>
      <x:c r="P111" s="119"/>
      <x:c r="Q111" s="119"/>
      <x:c r="R111" s="119"/>
      <x:c r="S111" s="119"/>
      <x:c r="T111" s="119"/>
      <x:c r="U111" s="119"/>
      <x:c r="V111" s="119"/>
      <x:c r="W111" s="119"/>
      <x:c r="X111" s="119"/>
      <x:c r="Y111" s="133" t="str">
        <x:f>IF(K111&lt;&gt;"Yes","",IFERROR(AVERAGE(M111:X111),""))</x:f>
      </x:c>
      <x:c r="Z111" s="119"/>
    </x:row>
    <x:row r="112">
      <x:c r="A112" s="119"/>
      <x:c r="B112" s="119"/>
      <x:c r="C112" s="119"/>
      <x:c r="D112" s="119"/>
      <x:c r="E112" s="119"/>
      <x:c r="F112" s="119"/>
      <x:c r="G112" s="119"/>
      <x:c r="H112" s="130" t="str">
        <x:f>IF(A112="","",IF(AND(COUNTA(M112:X112)&gt;=SETUP!$B$10,COUNTIF(M112:X112,MAX(M112:X112))=COUNTA(M112:X112)),"Yes","No"))</x:f>
      </x:c>
      <x:c r="I112" s="130" t="str">
        <x:f>IF(A112="","",IF('SURVEY DESIGN'!C112&lt;&gt;"",--(M112=""),0)+IF('SURVEY DESIGN'!C113&lt;&gt;"",--(N112=""),0)+IF('SURVEY DESIGN'!C114&lt;&gt;"",--(O112=""),0)+IF('SURVEY DESIGN'!C115&lt;&gt;"",--(P112=""),0)+IF('SURVEY DESIGN'!C116&lt;&gt;"",--(Q112=""),0)+IF('SURVEY DESIGN'!C117&lt;&gt;"",--(R112=""),0)+IF('SURVEY DESIGN'!C118&lt;&gt;"",--(S112=""),0)+IF('SURVEY DESIGN'!C119&lt;&gt;"",--(T112=""),0)+IF('SURVEY DESIGN'!C120&lt;&gt;"",--(U112=""),0)+IF('SURVEY DESIGN'!C121&lt;&gt;"",--(V112=""),0)+IF('SURVEY DESIGN'!C122&lt;&gt;"",--(W112=""),0)+IF('SURVEY DESIGN'!C123&lt;&gt;"",--(X112=""),0))</x:f>
      </x:c>
      <x:c r="J112" s="130" t="str">
        <x:f>IF(A112="","",IF(C112&lt;&gt;"Yes","NO CONSENT",IF(F112&lt;SETUP!$B$9,"SPEEDING",IF(G112&lt;&gt;"Yes","ATTENTION CHECK",IF(H112="Yes","STRAIGHTLINE REVIEW",IF(I112&gt;0,"MISSING ITEMS","OK"))))))</x:f>
      </x:c>
      <x:c r="K112" s="130" t="str">
        <x:f>IF(A112="","",IF(J112="OK","Yes","No"))</x:f>
      </x:c>
      <x:c r="L112" s="130" t="str">
        <x:f>IF(A112="","",IF(J112="OK","",IF(J112="NO CONSENT","Consent not affirmed",IF(J112="SPEEDING","Completion time below threshold",IF(J112="ATTENTION CHECK","Attention check failed",IF(J112="STRAIGHTLINE REVIEW","Straightlining review threshold met","Missing scored item(s)"))))))</x:f>
      </x:c>
      <x:c r="M112" s="119"/>
      <x:c r="N112" s="119"/>
      <x:c r="O112" s="119"/>
      <x:c r="P112" s="119"/>
      <x:c r="Q112" s="119"/>
      <x:c r="R112" s="119"/>
      <x:c r="S112" s="119"/>
      <x:c r="T112" s="119"/>
      <x:c r="U112" s="119"/>
      <x:c r="V112" s="119"/>
      <x:c r="W112" s="119"/>
      <x:c r="X112" s="119"/>
      <x:c r="Y112" s="133" t="str">
        <x:f>IF(K112&lt;&gt;"Yes","",IFERROR(AVERAGE(M112:X112),""))</x:f>
      </x:c>
      <x:c r="Z112" s="119"/>
    </x:row>
    <x:row r="113">
      <x:c r="A113" s="119"/>
      <x:c r="B113" s="119"/>
      <x:c r="C113" s="119"/>
      <x:c r="D113" s="119"/>
      <x:c r="E113" s="119"/>
      <x:c r="F113" s="119"/>
      <x:c r="G113" s="119"/>
      <x:c r="H113" s="130" t="str">
        <x:f>IF(A113="","",IF(AND(COUNTA(M113:X113)&gt;=SETUP!$B$10,COUNTIF(M113:X113,MAX(M113:X113))=COUNTA(M113:X113)),"Yes","No"))</x:f>
      </x:c>
      <x:c r="I113" s="130" t="str">
        <x:f>IF(A113="","",IF('SURVEY DESIGN'!C113&lt;&gt;"",--(M113=""),0)+IF('SURVEY DESIGN'!C114&lt;&gt;"",--(N113=""),0)+IF('SURVEY DESIGN'!C115&lt;&gt;"",--(O113=""),0)+IF('SURVEY DESIGN'!C116&lt;&gt;"",--(P113=""),0)+IF('SURVEY DESIGN'!C117&lt;&gt;"",--(Q113=""),0)+IF('SURVEY DESIGN'!C118&lt;&gt;"",--(R113=""),0)+IF('SURVEY DESIGN'!C119&lt;&gt;"",--(S113=""),0)+IF('SURVEY DESIGN'!C120&lt;&gt;"",--(T113=""),0)+IF('SURVEY DESIGN'!C121&lt;&gt;"",--(U113=""),0)+IF('SURVEY DESIGN'!C122&lt;&gt;"",--(V113=""),0)+IF('SURVEY DESIGN'!C123&lt;&gt;"",--(W113=""),0)+IF('SURVEY DESIGN'!C124&lt;&gt;"",--(X113=""),0))</x:f>
      </x:c>
      <x:c r="J113" s="130" t="str">
        <x:f>IF(A113="","",IF(C113&lt;&gt;"Yes","NO CONSENT",IF(F113&lt;SETUP!$B$9,"SPEEDING",IF(G113&lt;&gt;"Yes","ATTENTION CHECK",IF(H113="Yes","STRAIGHTLINE REVIEW",IF(I113&gt;0,"MISSING ITEMS","OK"))))))</x:f>
      </x:c>
      <x:c r="K113" s="130" t="str">
        <x:f>IF(A113="","",IF(J113="OK","Yes","No"))</x:f>
      </x:c>
      <x:c r="L113" s="130" t="str">
        <x:f>IF(A113="","",IF(J113="OK","",IF(J113="NO CONSENT","Consent not affirmed",IF(J113="SPEEDING","Completion time below threshold",IF(J113="ATTENTION CHECK","Attention check failed",IF(J113="STRAIGHTLINE REVIEW","Straightlining review threshold met","Missing scored item(s)"))))))</x:f>
      </x:c>
      <x:c r="M113" s="119"/>
      <x:c r="N113" s="119"/>
      <x:c r="O113" s="119"/>
      <x:c r="P113" s="119"/>
      <x:c r="Q113" s="119"/>
      <x:c r="R113" s="119"/>
      <x:c r="S113" s="119"/>
      <x:c r="T113" s="119"/>
      <x:c r="U113" s="119"/>
      <x:c r="V113" s="119"/>
      <x:c r="W113" s="119"/>
      <x:c r="X113" s="119"/>
      <x:c r="Y113" s="133" t="str">
        <x:f>IF(K113&lt;&gt;"Yes","",IFERROR(AVERAGE(M113:X113),""))</x:f>
      </x:c>
      <x:c r="Z113" s="119"/>
    </x:row>
    <x:row r="114">
      <x:c r="A114" s="119"/>
      <x:c r="B114" s="119"/>
      <x:c r="C114" s="119"/>
      <x:c r="D114" s="119"/>
      <x:c r="E114" s="119"/>
      <x:c r="F114" s="119"/>
      <x:c r="G114" s="119"/>
      <x:c r="H114" s="130" t="str">
        <x:f>IF(A114="","",IF(AND(COUNTA(M114:X114)&gt;=SETUP!$B$10,COUNTIF(M114:X114,MAX(M114:X114))=COUNTA(M114:X114)),"Yes","No"))</x:f>
      </x:c>
      <x:c r="I114" s="130" t="str">
        <x:f>IF(A114="","",IF('SURVEY DESIGN'!C114&lt;&gt;"",--(M114=""),0)+IF('SURVEY DESIGN'!C115&lt;&gt;"",--(N114=""),0)+IF('SURVEY DESIGN'!C116&lt;&gt;"",--(O114=""),0)+IF('SURVEY DESIGN'!C117&lt;&gt;"",--(P114=""),0)+IF('SURVEY DESIGN'!C118&lt;&gt;"",--(Q114=""),0)+IF('SURVEY DESIGN'!C119&lt;&gt;"",--(R114=""),0)+IF('SURVEY DESIGN'!C120&lt;&gt;"",--(S114=""),0)+IF('SURVEY DESIGN'!C121&lt;&gt;"",--(T114=""),0)+IF('SURVEY DESIGN'!C122&lt;&gt;"",--(U114=""),0)+IF('SURVEY DESIGN'!C123&lt;&gt;"",--(V114=""),0)+IF('SURVEY DESIGN'!C124&lt;&gt;"",--(W114=""),0)+IF('SURVEY DESIGN'!C125&lt;&gt;"",--(X114=""),0))</x:f>
      </x:c>
      <x:c r="J114" s="130" t="str">
        <x:f>IF(A114="","",IF(C114&lt;&gt;"Yes","NO CONSENT",IF(F114&lt;SETUP!$B$9,"SPEEDING",IF(G114&lt;&gt;"Yes","ATTENTION CHECK",IF(H114="Yes","STRAIGHTLINE REVIEW",IF(I114&gt;0,"MISSING ITEMS","OK"))))))</x:f>
      </x:c>
      <x:c r="K114" s="130" t="str">
        <x:f>IF(A114="","",IF(J114="OK","Yes","No"))</x:f>
      </x:c>
      <x:c r="L114" s="130" t="str">
        <x:f>IF(A114="","",IF(J114="OK","",IF(J114="NO CONSENT","Consent not affirmed",IF(J114="SPEEDING","Completion time below threshold",IF(J114="ATTENTION CHECK","Attention check failed",IF(J114="STRAIGHTLINE REVIEW","Straightlining review threshold met","Missing scored item(s)"))))))</x:f>
      </x:c>
      <x:c r="M114" s="119"/>
      <x:c r="N114" s="119"/>
      <x:c r="O114" s="119"/>
      <x:c r="P114" s="119"/>
      <x:c r="Q114" s="119"/>
      <x:c r="R114" s="119"/>
      <x:c r="S114" s="119"/>
      <x:c r="T114" s="119"/>
      <x:c r="U114" s="119"/>
      <x:c r="V114" s="119"/>
      <x:c r="W114" s="119"/>
      <x:c r="X114" s="119"/>
      <x:c r="Y114" s="133" t="str">
        <x:f>IF(K114&lt;&gt;"Yes","",IFERROR(AVERAGE(M114:X114),""))</x:f>
      </x:c>
      <x:c r="Z114" s="119"/>
    </x:row>
    <x:row r="115">
      <x:c r="A115" s="119"/>
      <x:c r="B115" s="119"/>
      <x:c r="C115" s="119"/>
      <x:c r="D115" s="119"/>
      <x:c r="E115" s="119"/>
      <x:c r="F115" s="119"/>
      <x:c r="G115" s="119"/>
      <x:c r="H115" s="130" t="str">
        <x:f>IF(A115="","",IF(AND(COUNTA(M115:X115)&gt;=SETUP!$B$10,COUNTIF(M115:X115,MAX(M115:X115))=COUNTA(M115:X115)),"Yes","No"))</x:f>
      </x:c>
      <x:c r="I115" s="130" t="str">
        <x:f>IF(A115="","",IF('SURVEY DESIGN'!C115&lt;&gt;"",--(M115=""),0)+IF('SURVEY DESIGN'!C116&lt;&gt;"",--(N115=""),0)+IF('SURVEY DESIGN'!C117&lt;&gt;"",--(O115=""),0)+IF('SURVEY DESIGN'!C118&lt;&gt;"",--(P115=""),0)+IF('SURVEY DESIGN'!C119&lt;&gt;"",--(Q115=""),0)+IF('SURVEY DESIGN'!C120&lt;&gt;"",--(R115=""),0)+IF('SURVEY DESIGN'!C121&lt;&gt;"",--(S115=""),0)+IF('SURVEY DESIGN'!C122&lt;&gt;"",--(T115=""),0)+IF('SURVEY DESIGN'!C123&lt;&gt;"",--(U115=""),0)+IF('SURVEY DESIGN'!C124&lt;&gt;"",--(V115=""),0)+IF('SURVEY DESIGN'!C125&lt;&gt;"",--(W115=""),0)+IF('SURVEY DESIGN'!C126&lt;&gt;"",--(X115=""),0))</x:f>
      </x:c>
      <x:c r="J115" s="130" t="str">
        <x:f>IF(A115="","",IF(C115&lt;&gt;"Yes","NO CONSENT",IF(F115&lt;SETUP!$B$9,"SPEEDING",IF(G115&lt;&gt;"Yes","ATTENTION CHECK",IF(H115="Yes","STRAIGHTLINE REVIEW",IF(I115&gt;0,"MISSING ITEMS","OK"))))))</x:f>
      </x:c>
      <x:c r="K115" s="130" t="str">
        <x:f>IF(A115="","",IF(J115="OK","Yes","No"))</x:f>
      </x:c>
      <x:c r="L115" s="130" t="str">
        <x:f>IF(A115="","",IF(J115="OK","",IF(J115="NO CONSENT","Consent not affirmed",IF(J115="SPEEDING","Completion time below threshold",IF(J115="ATTENTION CHECK","Attention check failed",IF(J115="STRAIGHTLINE REVIEW","Straightlining review threshold met","Missing scored item(s)"))))))</x:f>
      </x:c>
      <x:c r="M115" s="119"/>
      <x:c r="N115" s="119"/>
      <x:c r="O115" s="119"/>
      <x:c r="P115" s="119"/>
      <x:c r="Q115" s="119"/>
      <x:c r="R115" s="119"/>
      <x:c r="S115" s="119"/>
      <x:c r="T115" s="119"/>
      <x:c r="U115" s="119"/>
      <x:c r="V115" s="119"/>
      <x:c r="W115" s="119"/>
      <x:c r="X115" s="119"/>
      <x:c r="Y115" s="133" t="str">
        <x:f>IF(K115&lt;&gt;"Yes","",IFERROR(AVERAGE(M115:X115),""))</x:f>
      </x:c>
      <x:c r="Z115" s="119"/>
    </x:row>
    <x:row r="116">
      <x:c r="A116" s="119"/>
      <x:c r="B116" s="119"/>
      <x:c r="C116" s="119"/>
      <x:c r="D116" s="119"/>
      <x:c r="E116" s="119"/>
      <x:c r="F116" s="119"/>
      <x:c r="G116" s="119"/>
      <x:c r="H116" s="130" t="str">
        <x:f>IF(A116="","",IF(AND(COUNTA(M116:X116)&gt;=SETUP!$B$10,COUNTIF(M116:X116,MAX(M116:X116))=COUNTA(M116:X116)),"Yes","No"))</x:f>
      </x:c>
      <x:c r="I116" s="130" t="str">
        <x:f>IF(A116="","",IF('SURVEY DESIGN'!C116&lt;&gt;"",--(M116=""),0)+IF('SURVEY DESIGN'!C117&lt;&gt;"",--(N116=""),0)+IF('SURVEY DESIGN'!C118&lt;&gt;"",--(O116=""),0)+IF('SURVEY DESIGN'!C119&lt;&gt;"",--(P116=""),0)+IF('SURVEY DESIGN'!C120&lt;&gt;"",--(Q116=""),0)+IF('SURVEY DESIGN'!C121&lt;&gt;"",--(R116=""),0)+IF('SURVEY DESIGN'!C122&lt;&gt;"",--(S116=""),0)+IF('SURVEY DESIGN'!C123&lt;&gt;"",--(T116=""),0)+IF('SURVEY DESIGN'!C124&lt;&gt;"",--(U116=""),0)+IF('SURVEY DESIGN'!C125&lt;&gt;"",--(V116=""),0)+IF('SURVEY DESIGN'!C126&lt;&gt;"",--(W116=""),0)+IF('SURVEY DESIGN'!C127&lt;&gt;"",--(X116=""),0))</x:f>
      </x:c>
      <x:c r="J116" s="130" t="str">
        <x:f>IF(A116="","",IF(C116&lt;&gt;"Yes","NO CONSENT",IF(F116&lt;SETUP!$B$9,"SPEEDING",IF(G116&lt;&gt;"Yes","ATTENTION CHECK",IF(H116="Yes","STRAIGHTLINE REVIEW",IF(I116&gt;0,"MISSING ITEMS","OK"))))))</x:f>
      </x:c>
      <x:c r="K116" s="130" t="str">
        <x:f>IF(A116="","",IF(J116="OK","Yes","No"))</x:f>
      </x:c>
      <x:c r="L116" s="130" t="str">
        <x:f>IF(A116="","",IF(J116="OK","",IF(J116="NO CONSENT","Consent not affirmed",IF(J116="SPEEDING","Completion time below threshold",IF(J116="ATTENTION CHECK","Attention check failed",IF(J116="STRAIGHTLINE REVIEW","Straightlining review threshold met","Missing scored item(s)"))))))</x:f>
      </x:c>
      <x:c r="M116" s="119"/>
      <x:c r="N116" s="119"/>
      <x:c r="O116" s="119"/>
      <x:c r="P116" s="119"/>
      <x:c r="Q116" s="119"/>
      <x:c r="R116" s="119"/>
      <x:c r="S116" s="119"/>
      <x:c r="T116" s="119"/>
      <x:c r="U116" s="119"/>
      <x:c r="V116" s="119"/>
      <x:c r="W116" s="119"/>
      <x:c r="X116" s="119"/>
      <x:c r="Y116" s="133" t="str">
        <x:f>IF(K116&lt;&gt;"Yes","",IFERROR(AVERAGE(M116:X116),""))</x:f>
      </x:c>
      <x:c r="Z116" s="119"/>
    </x:row>
    <x:row r="117">
      <x:c r="A117" s="119"/>
      <x:c r="B117" s="119"/>
      <x:c r="C117" s="119"/>
      <x:c r="D117" s="119"/>
      <x:c r="E117" s="119"/>
      <x:c r="F117" s="119"/>
      <x:c r="G117" s="119"/>
      <x:c r="H117" s="130" t="str">
        <x:f>IF(A117="","",IF(AND(COUNTA(M117:X117)&gt;=SETUP!$B$10,COUNTIF(M117:X117,MAX(M117:X117))=COUNTA(M117:X117)),"Yes","No"))</x:f>
      </x:c>
      <x:c r="I117" s="130" t="str">
        <x:f>IF(A117="","",IF('SURVEY DESIGN'!C117&lt;&gt;"",--(M117=""),0)+IF('SURVEY DESIGN'!C118&lt;&gt;"",--(N117=""),0)+IF('SURVEY DESIGN'!C119&lt;&gt;"",--(O117=""),0)+IF('SURVEY DESIGN'!C120&lt;&gt;"",--(P117=""),0)+IF('SURVEY DESIGN'!C121&lt;&gt;"",--(Q117=""),0)+IF('SURVEY DESIGN'!C122&lt;&gt;"",--(R117=""),0)+IF('SURVEY DESIGN'!C123&lt;&gt;"",--(S117=""),0)+IF('SURVEY DESIGN'!C124&lt;&gt;"",--(T117=""),0)+IF('SURVEY DESIGN'!C125&lt;&gt;"",--(U117=""),0)+IF('SURVEY DESIGN'!C126&lt;&gt;"",--(V117=""),0)+IF('SURVEY DESIGN'!C127&lt;&gt;"",--(W117=""),0)+IF('SURVEY DESIGN'!C128&lt;&gt;"",--(X117=""),0))</x:f>
      </x:c>
      <x:c r="J117" s="130" t="str">
        <x:f>IF(A117="","",IF(C117&lt;&gt;"Yes","NO CONSENT",IF(F117&lt;SETUP!$B$9,"SPEEDING",IF(G117&lt;&gt;"Yes","ATTENTION CHECK",IF(H117="Yes","STRAIGHTLINE REVIEW",IF(I117&gt;0,"MISSING ITEMS","OK"))))))</x:f>
      </x:c>
      <x:c r="K117" s="130" t="str">
        <x:f>IF(A117="","",IF(J117="OK","Yes","No"))</x:f>
      </x:c>
      <x:c r="L117" s="130" t="str">
        <x:f>IF(A117="","",IF(J117="OK","",IF(J117="NO CONSENT","Consent not affirmed",IF(J117="SPEEDING","Completion time below threshold",IF(J117="ATTENTION CHECK","Attention check failed",IF(J117="STRAIGHTLINE REVIEW","Straightlining review threshold met","Missing scored item(s)"))))))</x:f>
      </x:c>
      <x:c r="M117" s="119"/>
      <x:c r="N117" s="119"/>
      <x:c r="O117" s="119"/>
      <x:c r="P117" s="119"/>
      <x:c r="Q117" s="119"/>
      <x:c r="R117" s="119"/>
      <x:c r="S117" s="119"/>
      <x:c r="T117" s="119"/>
      <x:c r="U117" s="119"/>
      <x:c r="V117" s="119"/>
      <x:c r="W117" s="119"/>
      <x:c r="X117" s="119"/>
      <x:c r="Y117" s="133" t="str">
        <x:f>IF(K117&lt;&gt;"Yes","",IFERROR(AVERAGE(M117:X117),""))</x:f>
      </x:c>
      <x:c r="Z117" s="119"/>
    </x:row>
    <x:row r="118">
      <x:c r="A118" s="119"/>
      <x:c r="B118" s="119"/>
      <x:c r="C118" s="119"/>
      <x:c r="D118" s="119"/>
      <x:c r="E118" s="119"/>
      <x:c r="F118" s="119"/>
      <x:c r="G118" s="119"/>
      <x:c r="H118" s="130" t="str">
        <x:f>IF(A118="","",IF(AND(COUNTA(M118:X118)&gt;=SETUP!$B$10,COUNTIF(M118:X118,MAX(M118:X118))=COUNTA(M118:X118)),"Yes","No"))</x:f>
      </x:c>
      <x:c r="I118" s="130" t="str">
        <x:f>IF(A118="","",IF('SURVEY DESIGN'!C118&lt;&gt;"",--(M118=""),0)+IF('SURVEY DESIGN'!C119&lt;&gt;"",--(N118=""),0)+IF('SURVEY DESIGN'!C120&lt;&gt;"",--(O118=""),0)+IF('SURVEY DESIGN'!C121&lt;&gt;"",--(P118=""),0)+IF('SURVEY DESIGN'!C122&lt;&gt;"",--(Q118=""),0)+IF('SURVEY DESIGN'!C123&lt;&gt;"",--(R118=""),0)+IF('SURVEY DESIGN'!C124&lt;&gt;"",--(S118=""),0)+IF('SURVEY DESIGN'!C125&lt;&gt;"",--(T118=""),0)+IF('SURVEY DESIGN'!C126&lt;&gt;"",--(U118=""),0)+IF('SURVEY DESIGN'!C127&lt;&gt;"",--(V118=""),0)+IF('SURVEY DESIGN'!C128&lt;&gt;"",--(W118=""),0)+IF('SURVEY DESIGN'!C129&lt;&gt;"",--(X118=""),0))</x:f>
      </x:c>
      <x:c r="J118" s="130" t="str">
        <x:f>IF(A118="","",IF(C118&lt;&gt;"Yes","NO CONSENT",IF(F118&lt;SETUP!$B$9,"SPEEDING",IF(G118&lt;&gt;"Yes","ATTENTION CHECK",IF(H118="Yes","STRAIGHTLINE REVIEW",IF(I118&gt;0,"MISSING ITEMS","OK"))))))</x:f>
      </x:c>
      <x:c r="K118" s="130" t="str">
        <x:f>IF(A118="","",IF(J118="OK","Yes","No"))</x:f>
      </x:c>
      <x:c r="L118" s="130" t="str">
        <x:f>IF(A118="","",IF(J118="OK","",IF(J118="NO CONSENT","Consent not affirmed",IF(J118="SPEEDING","Completion time below threshold",IF(J118="ATTENTION CHECK","Attention check failed",IF(J118="STRAIGHTLINE REVIEW","Straightlining review threshold met","Missing scored item(s)"))))))</x:f>
      </x:c>
      <x:c r="M118" s="119"/>
      <x:c r="N118" s="119"/>
      <x:c r="O118" s="119"/>
      <x:c r="P118" s="119"/>
      <x:c r="Q118" s="119"/>
      <x:c r="R118" s="119"/>
      <x:c r="S118" s="119"/>
      <x:c r="T118" s="119"/>
      <x:c r="U118" s="119"/>
      <x:c r="V118" s="119"/>
      <x:c r="W118" s="119"/>
      <x:c r="X118" s="119"/>
      <x:c r="Y118" s="133" t="str">
        <x:f>IF(K118&lt;&gt;"Yes","",IFERROR(AVERAGE(M118:X118),""))</x:f>
      </x:c>
      <x:c r="Z118" s="119"/>
    </x:row>
    <x:row r="119">
      <x:c r="A119" s="119"/>
      <x:c r="B119" s="119"/>
      <x:c r="C119" s="119"/>
      <x:c r="D119" s="119"/>
      <x:c r="E119" s="119"/>
      <x:c r="F119" s="119"/>
      <x:c r="G119" s="119"/>
      <x:c r="H119" s="130" t="str">
        <x:f>IF(A119="","",IF(AND(COUNTA(M119:X119)&gt;=SETUP!$B$10,COUNTIF(M119:X119,MAX(M119:X119))=COUNTA(M119:X119)),"Yes","No"))</x:f>
      </x:c>
      <x:c r="I119" s="130" t="str">
        <x:f>IF(A119="","",IF('SURVEY DESIGN'!C119&lt;&gt;"",--(M119=""),0)+IF('SURVEY DESIGN'!C120&lt;&gt;"",--(N119=""),0)+IF('SURVEY DESIGN'!C121&lt;&gt;"",--(O119=""),0)+IF('SURVEY DESIGN'!C122&lt;&gt;"",--(P119=""),0)+IF('SURVEY DESIGN'!C123&lt;&gt;"",--(Q119=""),0)+IF('SURVEY DESIGN'!C124&lt;&gt;"",--(R119=""),0)+IF('SURVEY DESIGN'!C125&lt;&gt;"",--(S119=""),0)+IF('SURVEY DESIGN'!C126&lt;&gt;"",--(T119=""),0)+IF('SURVEY DESIGN'!C127&lt;&gt;"",--(U119=""),0)+IF('SURVEY DESIGN'!C128&lt;&gt;"",--(V119=""),0)+IF('SURVEY DESIGN'!C129&lt;&gt;"",--(W119=""),0)+IF('SURVEY DESIGN'!C130&lt;&gt;"",--(X119=""),0))</x:f>
      </x:c>
      <x:c r="J119" s="130" t="str">
        <x:f>IF(A119="","",IF(C119&lt;&gt;"Yes","NO CONSENT",IF(F119&lt;SETUP!$B$9,"SPEEDING",IF(G119&lt;&gt;"Yes","ATTENTION CHECK",IF(H119="Yes","STRAIGHTLINE REVIEW",IF(I119&gt;0,"MISSING ITEMS","OK"))))))</x:f>
      </x:c>
      <x:c r="K119" s="130" t="str">
        <x:f>IF(A119="","",IF(J119="OK","Yes","No"))</x:f>
      </x:c>
      <x:c r="L119" s="130" t="str">
        <x:f>IF(A119="","",IF(J119="OK","",IF(J119="NO CONSENT","Consent not affirmed",IF(J119="SPEEDING","Completion time below threshold",IF(J119="ATTENTION CHECK","Attention check failed",IF(J119="STRAIGHTLINE REVIEW","Straightlining review threshold met","Missing scored item(s)"))))))</x:f>
      </x:c>
      <x:c r="M119" s="119"/>
      <x:c r="N119" s="119"/>
      <x:c r="O119" s="119"/>
      <x:c r="P119" s="119"/>
      <x:c r="Q119" s="119"/>
      <x:c r="R119" s="119"/>
      <x:c r="S119" s="119"/>
      <x:c r="T119" s="119"/>
      <x:c r="U119" s="119"/>
      <x:c r="V119" s="119"/>
      <x:c r="W119" s="119"/>
      <x:c r="X119" s="119"/>
      <x:c r="Y119" s="133" t="str">
        <x:f>IF(K119&lt;&gt;"Yes","",IFERROR(AVERAGE(M119:X119),""))</x:f>
      </x:c>
      <x:c r="Z119" s="119"/>
    </x:row>
    <x:row r="120">
      <x:c r="A120" s="119"/>
      <x:c r="B120" s="119"/>
      <x:c r="C120" s="119"/>
      <x:c r="D120" s="119"/>
      <x:c r="E120" s="119"/>
      <x:c r="F120" s="119"/>
      <x:c r="G120" s="119"/>
      <x:c r="H120" s="130" t="str">
        <x:f>IF(A120="","",IF(AND(COUNTA(M120:X120)&gt;=SETUP!$B$10,COUNTIF(M120:X120,MAX(M120:X120))=COUNTA(M120:X120)),"Yes","No"))</x:f>
      </x:c>
      <x:c r="I120" s="130" t="str">
        <x:f>IF(A120="","",IF('SURVEY DESIGN'!C120&lt;&gt;"",--(M120=""),0)+IF('SURVEY DESIGN'!C121&lt;&gt;"",--(N120=""),0)+IF('SURVEY DESIGN'!C122&lt;&gt;"",--(O120=""),0)+IF('SURVEY DESIGN'!C123&lt;&gt;"",--(P120=""),0)+IF('SURVEY DESIGN'!C124&lt;&gt;"",--(Q120=""),0)+IF('SURVEY DESIGN'!C125&lt;&gt;"",--(R120=""),0)+IF('SURVEY DESIGN'!C126&lt;&gt;"",--(S120=""),0)+IF('SURVEY DESIGN'!C127&lt;&gt;"",--(T120=""),0)+IF('SURVEY DESIGN'!C128&lt;&gt;"",--(U120=""),0)+IF('SURVEY DESIGN'!C129&lt;&gt;"",--(V120=""),0)+IF('SURVEY DESIGN'!C130&lt;&gt;"",--(W120=""),0)+IF('SURVEY DESIGN'!C131&lt;&gt;"",--(X120=""),0))</x:f>
      </x:c>
      <x:c r="J120" s="130" t="str">
        <x:f>IF(A120="","",IF(C120&lt;&gt;"Yes","NO CONSENT",IF(F120&lt;SETUP!$B$9,"SPEEDING",IF(G120&lt;&gt;"Yes","ATTENTION CHECK",IF(H120="Yes","STRAIGHTLINE REVIEW",IF(I120&gt;0,"MISSING ITEMS","OK"))))))</x:f>
      </x:c>
      <x:c r="K120" s="130" t="str">
        <x:f>IF(A120="","",IF(J120="OK","Yes","No"))</x:f>
      </x:c>
      <x:c r="L120" s="130" t="str">
        <x:f>IF(A120="","",IF(J120="OK","",IF(J120="NO CONSENT","Consent not affirmed",IF(J120="SPEEDING","Completion time below threshold",IF(J120="ATTENTION CHECK","Attention check failed",IF(J120="STRAIGHTLINE REVIEW","Straightlining review threshold met","Missing scored item(s)"))))))</x:f>
      </x:c>
      <x:c r="M120" s="119"/>
      <x:c r="N120" s="119"/>
      <x:c r="O120" s="119"/>
      <x:c r="P120" s="119"/>
      <x:c r="Q120" s="119"/>
      <x:c r="R120" s="119"/>
      <x:c r="S120" s="119"/>
      <x:c r="T120" s="119"/>
      <x:c r="U120" s="119"/>
      <x:c r="V120" s="119"/>
      <x:c r="W120" s="119"/>
      <x:c r="X120" s="119"/>
      <x:c r="Y120" s="133" t="str">
        <x:f>IF(K120&lt;&gt;"Yes","",IFERROR(AVERAGE(M120:X120),""))</x:f>
      </x:c>
      <x:c r="Z120" s="119"/>
    </x:row>
    <x:row r="121">
      <x:c r="A121" s="119"/>
      <x:c r="B121" s="119"/>
      <x:c r="C121" s="119"/>
      <x:c r="D121" s="119"/>
      <x:c r="E121" s="119"/>
      <x:c r="F121" s="119"/>
      <x:c r="G121" s="119"/>
      <x:c r="H121" s="130" t="str">
        <x:f>IF(A121="","",IF(AND(COUNTA(M121:X121)&gt;=SETUP!$B$10,COUNTIF(M121:X121,MAX(M121:X121))=COUNTA(M121:X121)),"Yes","No"))</x:f>
      </x:c>
      <x:c r="I121" s="130" t="str">
        <x:f>IF(A121="","",IF('SURVEY DESIGN'!C121&lt;&gt;"",--(M121=""),0)+IF('SURVEY DESIGN'!C122&lt;&gt;"",--(N121=""),0)+IF('SURVEY DESIGN'!C123&lt;&gt;"",--(O121=""),0)+IF('SURVEY DESIGN'!C124&lt;&gt;"",--(P121=""),0)+IF('SURVEY DESIGN'!C125&lt;&gt;"",--(Q121=""),0)+IF('SURVEY DESIGN'!C126&lt;&gt;"",--(R121=""),0)+IF('SURVEY DESIGN'!C127&lt;&gt;"",--(S121=""),0)+IF('SURVEY DESIGN'!C128&lt;&gt;"",--(T121=""),0)+IF('SURVEY DESIGN'!C129&lt;&gt;"",--(U121=""),0)+IF('SURVEY DESIGN'!C130&lt;&gt;"",--(V121=""),0)+IF('SURVEY DESIGN'!C131&lt;&gt;"",--(W121=""),0)+IF('SURVEY DESIGN'!C132&lt;&gt;"",--(X121=""),0))</x:f>
      </x:c>
      <x:c r="J121" s="130" t="str">
        <x:f>IF(A121="","",IF(C121&lt;&gt;"Yes","NO CONSENT",IF(F121&lt;SETUP!$B$9,"SPEEDING",IF(G121&lt;&gt;"Yes","ATTENTION CHECK",IF(H121="Yes","STRAIGHTLINE REVIEW",IF(I121&gt;0,"MISSING ITEMS","OK"))))))</x:f>
      </x:c>
      <x:c r="K121" s="130" t="str">
        <x:f>IF(A121="","",IF(J121="OK","Yes","No"))</x:f>
      </x:c>
      <x:c r="L121" s="130" t="str">
        <x:f>IF(A121="","",IF(J121="OK","",IF(J121="NO CONSENT","Consent not affirmed",IF(J121="SPEEDING","Completion time below threshold",IF(J121="ATTENTION CHECK","Attention check failed",IF(J121="STRAIGHTLINE REVIEW","Straightlining review threshold met","Missing scored item(s)"))))))</x:f>
      </x:c>
      <x:c r="M121" s="119"/>
      <x:c r="N121" s="119"/>
      <x:c r="O121" s="119"/>
      <x:c r="P121" s="119"/>
      <x:c r="Q121" s="119"/>
      <x:c r="R121" s="119"/>
      <x:c r="S121" s="119"/>
      <x:c r="T121" s="119"/>
      <x:c r="U121" s="119"/>
      <x:c r="V121" s="119"/>
      <x:c r="W121" s="119"/>
      <x:c r="X121" s="119"/>
      <x:c r="Y121" s="133" t="str">
        <x:f>IF(K121&lt;&gt;"Yes","",IFERROR(AVERAGE(M121:X121),""))</x:f>
      </x:c>
      <x:c r="Z121" s="119"/>
    </x:row>
    <x:row r="122">
      <x:c r="A122" s="119"/>
      <x:c r="B122" s="119"/>
      <x:c r="C122" s="119"/>
      <x:c r="D122" s="119"/>
      <x:c r="E122" s="119"/>
      <x:c r="F122" s="119"/>
      <x:c r="G122" s="119"/>
      <x:c r="H122" s="130" t="str">
        <x:f>IF(A122="","",IF(AND(COUNTA(M122:X122)&gt;=SETUP!$B$10,COUNTIF(M122:X122,MAX(M122:X122))=COUNTA(M122:X122)),"Yes","No"))</x:f>
      </x:c>
      <x:c r="I122" s="130" t="str">
        <x:f>IF(A122="","",IF('SURVEY DESIGN'!C122&lt;&gt;"",--(M122=""),0)+IF('SURVEY DESIGN'!C123&lt;&gt;"",--(N122=""),0)+IF('SURVEY DESIGN'!C124&lt;&gt;"",--(O122=""),0)+IF('SURVEY DESIGN'!C125&lt;&gt;"",--(P122=""),0)+IF('SURVEY DESIGN'!C126&lt;&gt;"",--(Q122=""),0)+IF('SURVEY DESIGN'!C127&lt;&gt;"",--(R122=""),0)+IF('SURVEY DESIGN'!C128&lt;&gt;"",--(S122=""),0)+IF('SURVEY DESIGN'!C129&lt;&gt;"",--(T122=""),0)+IF('SURVEY DESIGN'!C130&lt;&gt;"",--(U122=""),0)+IF('SURVEY DESIGN'!C131&lt;&gt;"",--(V122=""),0)+IF('SURVEY DESIGN'!C132&lt;&gt;"",--(W122=""),0)+IF('SURVEY DESIGN'!C133&lt;&gt;"",--(X122=""),0))</x:f>
      </x:c>
      <x:c r="J122" s="130" t="str">
        <x:f>IF(A122="","",IF(C122&lt;&gt;"Yes","NO CONSENT",IF(F122&lt;SETUP!$B$9,"SPEEDING",IF(G122&lt;&gt;"Yes","ATTENTION CHECK",IF(H122="Yes","STRAIGHTLINE REVIEW",IF(I122&gt;0,"MISSING ITEMS","OK"))))))</x:f>
      </x:c>
      <x:c r="K122" s="130" t="str">
        <x:f>IF(A122="","",IF(J122="OK","Yes","No"))</x:f>
      </x:c>
      <x:c r="L122" s="130" t="str">
        <x:f>IF(A122="","",IF(J122="OK","",IF(J122="NO CONSENT","Consent not affirmed",IF(J122="SPEEDING","Completion time below threshold",IF(J122="ATTENTION CHECK","Attention check failed",IF(J122="STRAIGHTLINE REVIEW","Straightlining review threshold met","Missing scored item(s)"))))))</x:f>
      </x:c>
      <x:c r="M122" s="119"/>
      <x:c r="N122" s="119"/>
      <x:c r="O122" s="119"/>
      <x:c r="P122" s="119"/>
      <x:c r="Q122" s="119"/>
      <x:c r="R122" s="119"/>
      <x:c r="S122" s="119"/>
      <x:c r="T122" s="119"/>
      <x:c r="U122" s="119"/>
      <x:c r="V122" s="119"/>
      <x:c r="W122" s="119"/>
      <x:c r="X122" s="119"/>
      <x:c r="Y122" s="133" t="str">
        <x:f>IF(K122&lt;&gt;"Yes","",IFERROR(AVERAGE(M122:X122),""))</x:f>
      </x:c>
      <x:c r="Z122" s="119"/>
    </x:row>
    <x:row r="123">
      <x:c r="A123" s="119"/>
      <x:c r="B123" s="119"/>
      <x:c r="C123" s="119"/>
      <x:c r="D123" s="119"/>
      <x:c r="E123" s="119"/>
      <x:c r="F123" s="119"/>
      <x:c r="G123" s="119"/>
      <x:c r="H123" s="130" t="str">
        <x:f>IF(A123="","",IF(AND(COUNTA(M123:X123)&gt;=SETUP!$B$10,COUNTIF(M123:X123,MAX(M123:X123))=COUNTA(M123:X123)),"Yes","No"))</x:f>
      </x:c>
      <x:c r="I123" s="130" t="str">
        <x:f>IF(A123="","",IF('SURVEY DESIGN'!C123&lt;&gt;"",--(M123=""),0)+IF('SURVEY DESIGN'!C124&lt;&gt;"",--(N123=""),0)+IF('SURVEY DESIGN'!C125&lt;&gt;"",--(O123=""),0)+IF('SURVEY DESIGN'!C126&lt;&gt;"",--(P123=""),0)+IF('SURVEY DESIGN'!C127&lt;&gt;"",--(Q123=""),0)+IF('SURVEY DESIGN'!C128&lt;&gt;"",--(R123=""),0)+IF('SURVEY DESIGN'!C129&lt;&gt;"",--(S123=""),0)+IF('SURVEY DESIGN'!C130&lt;&gt;"",--(T123=""),0)+IF('SURVEY DESIGN'!C131&lt;&gt;"",--(U123=""),0)+IF('SURVEY DESIGN'!C132&lt;&gt;"",--(V123=""),0)+IF('SURVEY DESIGN'!C133&lt;&gt;"",--(W123=""),0)+IF('SURVEY DESIGN'!C134&lt;&gt;"",--(X123=""),0))</x:f>
      </x:c>
      <x:c r="J123" s="130" t="str">
        <x:f>IF(A123="","",IF(C123&lt;&gt;"Yes","NO CONSENT",IF(F123&lt;SETUP!$B$9,"SPEEDING",IF(G123&lt;&gt;"Yes","ATTENTION CHECK",IF(H123="Yes","STRAIGHTLINE REVIEW",IF(I123&gt;0,"MISSING ITEMS","OK"))))))</x:f>
      </x:c>
      <x:c r="K123" s="130" t="str">
        <x:f>IF(A123="","",IF(J123="OK","Yes","No"))</x:f>
      </x:c>
      <x:c r="L123" s="130" t="str">
        <x:f>IF(A123="","",IF(J123="OK","",IF(J123="NO CONSENT","Consent not affirmed",IF(J123="SPEEDING","Completion time below threshold",IF(J123="ATTENTION CHECK","Attention check failed",IF(J123="STRAIGHTLINE REVIEW","Straightlining review threshold met","Missing scored item(s)"))))))</x:f>
      </x:c>
      <x:c r="M123" s="119"/>
      <x:c r="N123" s="119"/>
      <x:c r="O123" s="119"/>
      <x:c r="P123" s="119"/>
      <x:c r="Q123" s="119"/>
      <x:c r="R123" s="119"/>
      <x:c r="S123" s="119"/>
      <x:c r="T123" s="119"/>
      <x:c r="U123" s="119"/>
      <x:c r="V123" s="119"/>
      <x:c r="W123" s="119"/>
      <x:c r="X123" s="119"/>
      <x:c r="Y123" s="133" t="str">
        <x:f>IF(K123&lt;&gt;"Yes","",IFERROR(AVERAGE(M123:X123),""))</x:f>
      </x:c>
      <x:c r="Z123" s="119"/>
    </x:row>
    <x:row r="124">
      <x:c r="A124" s="119"/>
      <x:c r="B124" s="119"/>
      <x:c r="C124" s="119"/>
      <x:c r="D124" s="119"/>
      <x:c r="E124" s="119"/>
      <x:c r="F124" s="119"/>
      <x:c r="G124" s="119"/>
      <x:c r="H124" s="130" t="str">
        <x:f>IF(A124="","",IF(AND(COUNTA(M124:X124)&gt;=SETUP!$B$10,COUNTIF(M124:X124,MAX(M124:X124))=COUNTA(M124:X124)),"Yes","No"))</x:f>
      </x:c>
      <x:c r="I124" s="130" t="str">
        <x:f>IF(A124="","",IF('SURVEY DESIGN'!C124&lt;&gt;"",--(M124=""),0)+IF('SURVEY DESIGN'!C125&lt;&gt;"",--(N124=""),0)+IF('SURVEY DESIGN'!C126&lt;&gt;"",--(O124=""),0)+IF('SURVEY DESIGN'!C127&lt;&gt;"",--(P124=""),0)+IF('SURVEY DESIGN'!C128&lt;&gt;"",--(Q124=""),0)+IF('SURVEY DESIGN'!C129&lt;&gt;"",--(R124=""),0)+IF('SURVEY DESIGN'!C130&lt;&gt;"",--(S124=""),0)+IF('SURVEY DESIGN'!C131&lt;&gt;"",--(T124=""),0)+IF('SURVEY DESIGN'!C132&lt;&gt;"",--(U124=""),0)+IF('SURVEY DESIGN'!C133&lt;&gt;"",--(V124=""),0)+IF('SURVEY DESIGN'!C134&lt;&gt;"",--(W124=""),0)+IF('SURVEY DESIGN'!C135&lt;&gt;"",--(X124=""),0))</x:f>
      </x:c>
      <x:c r="J124" s="130" t="str">
        <x:f>IF(A124="","",IF(C124&lt;&gt;"Yes","NO CONSENT",IF(F124&lt;SETUP!$B$9,"SPEEDING",IF(G124&lt;&gt;"Yes","ATTENTION CHECK",IF(H124="Yes","STRAIGHTLINE REVIEW",IF(I124&gt;0,"MISSING ITEMS","OK"))))))</x:f>
      </x:c>
      <x:c r="K124" s="130" t="str">
        <x:f>IF(A124="","",IF(J124="OK","Yes","No"))</x:f>
      </x:c>
      <x:c r="L124" s="130" t="str">
        <x:f>IF(A124="","",IF(J124="OK","",IF(J124="NO CONSENT","Consent not affirmed",IF(J124="SPEEDING","Completion time below threshold",IF(J124="ATTENTION CHECK","Attention check failed",IF(J124="STRAIGHTLINE REVIEW","Straightlining review threshold met","Missing scored item(s)"))))))</x:f>
      </x:c>
      <x:c r="M124" s="119"/>
      <x:c r="N124" s="119"/>
      <x:c r="O124" s="119"/>
      <x:c r="P124" s="119"/>
      <x:c r="Q124" s="119"/>
      <x:c r="R124" s="119"/>
      <x:c r="S124" s="119"/>
      <x:c r="T124" s="119"/>
      <x:c r="U124" s="119"/>
      <x:c r="V124" s="119"/>
      <x:c r="W124" s="119"/>
      <x:c r="X124" s="119"/>
      <x:c r="Y124" s="133" t="str">
        <x:f>IF(K124&lt;&gt;"Yes","",IFERROR(AVERAGE(M124:X124),""))</x:f>
      </x:c>
      <x:c r="Z124" s="119"/>
    </x:row>
    <x:row r="125">
      <x:c r="A125" s="119"/>
      <x:c r="B125" s="119"/>
      <x:c r="C125" s="119"/>
      <x:c r="D125" s="119"/>
      <x:c r="E125" s="119"/>
      <x:c r="F125" s="119"/>
      <x:c r="G125" s="119"/>
      <x:c r="H125" s="130" t="str">
        <x:f>IF(A125="","",IF(AND(COUNTA(M125:X125)&gt;=SETUP!$B$10,COUNTIF(M125:X125,MAX(M125:X125))=COUNTA(M125:X125)),"Yes","No"))</x:f>
      </x:c>
      <x:c r="I125" s="130" t="str">
        <x:f>IF(A125="","",IF('SURVEY DESIGN'!C125&lt;&gt;"",--(M125=""),0)+IF('SURVEY DESIGN'!C126&lt;&gt;"",--(N125=""),0)+IF('SURVEY DESIGN'!C127&lt;&gt;"",--(O125=""),0)+IF('SURVEY DESIGN'!C128&lt;&gt;"",--(P125=""),0)+IF('SURVEY DESIGN'!C129&lt;&gt;"",--(Q125=""),0)+IF('SURVEY DESIGN'!C130&lt;&gt;"",--(R125=""),0)+IF('SURVEY DESIGN'!C131&lt;&gt;"",--(S125=""),0)+IF('SURVEY DESIGN'!C132&lt;&gt;"",--(T125=""),0)+IF('SURVEY DESIGN'!C133&lt;&gt;"",--(U125=""),0)+IF('SURVEY DESIGN'!C134&lt;&gt;"",--(V125=""),0)+IF('SURVEY DESIGN'!C135&lt;&gt;"",--(W125=""),0)+IF('SURVEY DESIGN'!C136&lt;&gt;"",--(X125=""),0))</x:f>
      </x:c>
      <x:c r="J125" s="130" t="str">
        <x:f>IF(A125="","",IF(C125&lt;&gt;"Yes","NO CONSENT",IF(F125&lt;SETUP!$B$9,"SPEEDING",IF(G125&lt;&gt;"Yes","ATTENTION CHECK",IF(H125="Yes","STRAIGHTLINE REVIEW",IF(I125&gt;0,"MISSING ITEMS","OK"))))))</x:f>
      </x:c>
      <x:c r="K125" s="130" t="str">
        <x:f>IF(A125="","",IF(J125="OK","Yes","No"))</x:f>
      </x:c>
      <x:c r="L125" s="130" t="str">
        <x:f>IF(A125="","",IF(J125="OK","",IF(J125="NO CONSENT","Consent not affirmed",IF(J125="SPEEDING","Completion time below threshold",IF(J125="ATTENTION CHECK","Attention check failed",IF(J125="STRAIGHTLINE REVIEW","Straightlining review threshold met","Missing scored item(s)"))))))</x:f>
      </x:c>
      <x:c r="M125" s="119"/>
      <x:c r="N125" s="119"/>
      <x:c r="O125" s="119"/>
      <x:c r="P125" s="119"/>
      <x:c r="Q125" s="119"/>
      <x:c r="R125" s="119"/>
      <x:c r="S125" s="119"/>
      <x:c r="T125" s="119"/>
      <x:c r="U125" s="119"/>
      <x:c r="V125" s="119"/>
      <x:c r="W125" s="119"/>
      <x:c r="X125" s="119"/>
      <x:c r="Y125" s="133" t="str">
        <x:f>IF(K125&lt;&gt;"Yes","",IFERROR(AVERAGE(M125:X125),""))</x:f>
      </x:c>
      <x:c r="Z125" s="119"/>
    </x:row>
    <x:row r="126">
      <x:c r="A126" s="119"/>
      <x:c r="B126" s="119"/>
      <x:c r="C126" s="119"/>
      <x:c r="D126" s="119"/>
      <x:c r="E126" s="119"/>
      <x:c r="F126" s="119"/>
      <x:c r="G126" s="119"/>
      <x:c r="H126" s="130" t="str">
        <x:f>IF(A126="","",IF(AND(COUNTA(M126:X126)&gt;=SETUP!$B$10,COUNTIF(M126:X126,MAX(M126:X126))=COUNTA(M126:X126)),"Yes","No"))</x:f>
      </x:c>
      <x:c r="I126" s="130" t="str">
        <x:f>IF(A126="","",IF('SURVEY DESIGN'!C126&lt;&gt;"",--(M126=""),0)+IF('SURVEY DESIGN'!C127&lt;&gt;"",--(N126=""),0)+IF('SURVEY DESIGN'!C128&lt;&gt;"",--(O126=""),0)+IF('SURVEY DESIGN'!C129&lt;&gt;"",--(P126=""),0)+IF('SURVEY DESIGN'!C130&lt;&gt;"",--(Q126=""),0)+IF('SURVEY DESIGN'!C131&lt;&gt;"",--(R126=""),0)+IF('SURVEY DESIGN'!C132&lt;&gt;"",--(S126=""),0)+IF('SURVEY DESIGN'!C133&lt;&gt;"",--(T126=""),0)+IF('SURVEY DESIGN'!C134&lt;&gt;"",--(U126=""),0)+IF('SURVEY DESIGN'!C135&lt;&gt;"",--(V126=""),0)+IF('SURVEY DESIGN'!C136&lt;&gt;"",--(W126=""),0)+IF('SURVEY DESIGN'!C137&lt;&gt;"",--(X126=""),0))</x:f>
      </x:c>
      <x:c r="J126" s="130" t="str">
        <x:f>IF(A126="","",IF(C126&lt;&gt;"Yes","NO CONSENT",IF(F126&lt;SETUP!$B$9,"SPEEDING",IF(G126&lt;&gt;"Yes","ATTENTION CHECK",IF(H126="Yes","STRAIGHTLINE REVIEW",IF(I126&gt;0,"MISSING ITEMS","OK"))))))</x:f>
      </x:c>
      <x:c r="K126" s="130" t="str">
        <x:f>IF(A126="","",IF(J126="OK","Yes","No"))</x:f>
      </x:c>
      <x:c r="L126" s="130" t="str">
        <x:f>IF(A126="","",IF(J126="OK","",IF(J126="NO CONSENT","Consent not affirmed",IF(J126="SPEEDING","Completion time below threshold",IF(J126="ATTENTION CHECK","Attention check failed",IF(J126="STRAIGHTLINE REVIEW","Straightlining review threshold met","Missing scored item(s)"))))))</x:f>
      </x:c>
      <x:c r="M126" s="119"/>
      <x:c r="N126" s="119"/>
      <x:c r="O126" s="119"/>
      <x:c r="P126" s="119"/>
      <x:c r="Q126" s="119"/>
      <x:c r="R126" s="119"/>
      <x:c r="S126" s="119"/>
      <x:c r="T126" s="119"/>
      <x:c r="U126" s="119"/>
      <x:c r="V126" s="119"/>
      <x:c r="W126" s="119"/>
      <x:c r="X126" s="119"/>
      <x:c r="Y126" s="133" t="str">
        <x:f>IF(K126&lt;&gt;"Yes","",IFERROR(AVERAGE(M126:X126),""))</x:f>
      </x:c>
      <x:c r="Z126" s="119"/>
    </x:row>
    <x:row r="127">
      <x:c r="A127" s="119"/>
      <x:c r="B127" s="119"/>
      <x:c r="C127" s="119"/>
      <x:c r="D127" s="119"/>
      <x:c r="E127" s="119"/>
      <x:c r="F127" s="119"/>
      <x:c r="G127" s="119"/>
      <x:c r="H127" s="130" t="str">
        <x:f>IF(A127="","",IF(AND(COUNTA(M127:X127)&gt;=SETUP!$B$10,COUNTIF(M127:X127,MAX(M127:X127))=COUNTA(M127:X127)),"Yes","No"))</x:f>
      </x:c>
      <x:c r="I127" s="130" t="str">
        <x:f>IF(A127="","",IF('SURVEY DESIGN'!C127&lt;&gt;"",--(M127=""),0)+IF('SURVEY DESIGN'!C128&lt;&gt;"",--(N127=""),0)+IF('SURVEY DESIGN'!C129&lt;&gt;"",--(O127=""),0)+IF('SURVEY DESIGN'!C130&lt;&gt;"",--(P127=""),0)+IF('SURVEY DESIGN'!C131&lt;&gt;"",--(Q127=""),0)+IF('SURVEY DESIGN'!C132&lt;&gt;"",--(R127=""),0)+IF('SURVEY DESIGN'!C133&lt;&gt;"",--(S127=""),0)+IF('SURVEY DESIGN'!C134&lt;&gt;"",--(T127=""),0)+IF('SURVEY DESIGN'!C135&lt;&gt;"",--(U127=""),0)+IF('SURVEY DESIGN'!C136&lt;&gt;"",--(V127=""),0)+IF('SURVEY DESIGN'!C137&lt;&gt;"",--(W127=""),0)+IF('SURVEY DESIGN'!C138&lt;&gt;"",--(X127=""),0))</x:f>
      </x:c>
      <x:c r="J127" s="130" t="str">
        <x:f>IF(A127="","",IF(C127&lt;&gt;"Yes","NO CONSENT",IF(F127&lt;SETUP!$B$9,"SPEEDING",IF(G127&lt;&gt;"Yes","ATTENTION CHECK",IF(H127="Yes","STRAIGHTLINE REVIEW",IF(I127&gt;0,"MISSING ITEMS","OK"))))))</x:f>
      </x:c>
      <x:c r="K127" s="130" t="str">
        <x:f>IF(A127="","",IF(J127="OK","Yes","No"))</x:f>
      </x:c>
      <x:c r="L127" s="130" t="str">
        <x:f>IF(A127="","",IF(J127="OK","",IF(J127="NO CONSENT","Consent not affirmed",IF(J127="SPEEDING","Completion time below threshold",IF(J127="ATTENTION CHECK","Attention check failed",IF(J127="STRAIGHTLINE REVIEW","Straightlining review threshold met","Missing scored item(s)"))))))</x:f>
      </x:c>
      <x:c r="M127" s="119"/>
      <x:c r="N127" s="119"/>
      <x:c r="O127" s="119"/>
      <x:c r="P127" s="119"/>
      <x:c r="Q127" s="119"/>
      <x:c r="R127" s="119"/>
      <x:c r="S127" s="119"/>
      <x:c r="T127" s="119"/>
      <x:c r="U127" s="119"/>
      <x:c r="V127" s="119"/>
      <x:c r="W127" s="119"/>
      <x:c r="X127" s="119"/>
      <x:c r="Y127" s="133" t="str">
        <x:f>IF(K127&lt;&gt;"Yes","",IFERROR(AVERAGE(M127:X127),""))</x:f>
      </x:c>
      <x:c r="Z127" s="119"/>
    </x:row>
    <x:row r="128">
      <x:c r="A128" s="119"/>
      <x:c r="B128" s="119"/>
      <x:c r="C128" s="119"/>
      <x:c r="D128" s="119"/>
      <x:c r="E128" s="119"/>
      <x:c r="F128" s="119"/>
      <x:c r="G128" s="119"/>
      <x:c r="H128" s="130" t="str">
        <x:f>IF(A128="","",IF(AND(COUNTA(M128:X128)&gt;=SETUP!$B$10,COUNTIF(M128:X128,MAX(M128:X128))=COUNTA(M128:X128)),"Yes","No"))</x:f>
      </x:c>
      <x:c r="I128" s="130" t="str">
        <x:f>IF(A128="","",IF('SURVEY DESIGN'!C128&lt;&gt;"",--(M128=""),0)+IF('SURVEY DESIGN'!C129&lt;&gt;"",--(N128=""),0)+IF('SURVEY DESIGN'!C130&lt;&gt;"",--(O128=""),0)+IF('SURVEY DESIGN'!C131&lt;&gt;"",--(P128=""),0)+IF('SURVEY DESIGN'!C132&lt;&gt;"",--(Q128=""),0)+IF('SURVEY DESIGN'!C133&lt;&gt;"",--(R128=""),0)+IF('SURVEY DESIGN'!C134&lt;&gt;"",--(S128=""),0)+IF('SURVEY DESIGN'!C135&lt;&gt;"",--(T128=""),0)+IF('SURVEY DESIGN'!C136&lt;&gt;"",--(U128=""),0)+IF('SURVEY DESIGN'!C137&lt;&gt;"",--(V128=""),0)+IF('SURVEY DESIGN'!C138&lt;&gt;"",--(W128=""),0)+IF('SURVEY DESIGN'!C139&lt;&gt;"",--(X128=""),0))</x:f>
      </x:c>
      <x:c r="J128" s="130" t="str">
        <x:f>IF(A128="","",IF(C128&lt;&gt;"Yes","NO CONSENT",IF(F128&lt;SETUP!$B$9,"SPEEDING",IF(G128&lt;&gt;"Yes","ATTENTION CHECK",IF(H128="Yes","STRAIGHTLINE REVIEW",IF(I128&gt;0,"MISSING ITEMS","OK"))))))</x:f>
      </x:c>
      <x:c r="K128" s="130" t="str">
        <x:f>IF(A128="","",IF(J128="OK","Yes","No"))</x:f>
      </x:c>
      <x:c r="L128" s="130" t="str">
        <x:f>IF(A128="","",IF(J128="OK","",IF(J128="NO CONSENT","Consent not affirmed",IF(J128="SPEEDING","Completion time below threshold",IF(J128="ATTENTION CHECK","Attention check failed",IF(J128="STRAIGHTLINE REVIEW","Straightlining review threshold met","Missing scored item(s)"))))))</x:f>
      </x:c>
      <x:c r="M128" s="119"/>
      <x:c r="N128" s="119"/>
      <x:c r="O128" s="119"/>
      <x:c r="P128" s="119"/>
      <x:c r="Q128" s="119"/>
      <x:c r="R128" s="119"/>
      <x:c r="S128" s="119"/>
      <x:c r="T128" s="119"/>
      <x:c r="U128" s="119"/>
      <x:c r="V128" s="119"/>
      <x:c r="W128" s="119"/>
      <x:c r="X128" s="119"/>
      <x:c r="Y128" s="133" t="str">
        <x:f>IF(K128&lt;&gt;"Yes","",IFERROR(AVERAGE(M128:X128),""))</x:f>
      </x:c>
      <x:c r="Z128" s="119"/>
    </x:row>
    <x:row r="129">
      <x:c r="A129" s="119"/>
      <x:c r="B129" s="119"/>
      <x:c r="C129" s="119"/>
      <x:c r="D129" s="119"/>
      <x:c r="E129" s="119"/>
      <x:c r="F129" s="119"/>
      <x:c r="G129" s="119"/>
      <x:c r="H129" s="130" t="str">
        <x:f>IF(A129="","",IF(AND(COUNTA(M129:X129)&gt;=SETUP!$B$10,COUNTIF(M129:X129,MAX(M129:X129))=COUNTA(M129:X129)),"Yes","No"))</x:f>
      </x:c>
      <x:c r="I129" s="130" t="str">
        <x:f>IF(A129="","",IF('SURVEY DESIGN'!C129&lt;&gt;"",--(M129=""),0)+IF('SURVEY DESIGN'!C130&lt;&gt;"",--(N129=""),0)+IF('SURVEY DESIGN'!C131&lt;&gt;"",--(O129=""),0)+IF('SURVEY DESIGN'!C132&lt;&gt;"",--(P129=""),0)+IF('SURVEY DESIGN'!C133&lt;&gt;"",--(Q129=""),0)+IF('SURVEY DESIGN'!C134&lt;&gt;"",--(R129=""),0)+IF('SURVEY DESIGN'!C135&lt;&gt;"",--(S129=""),0)+IF('SURVEY DESIGN'!C136&lt;&gt;"",--(T129=""),0)+IF('SURVEY DESIGN'!C137&lt;&gt;"",--(U129=""),0)+IF('SURVEY DESIGN'!C138&lt;&gt;"",--(V129=""),0)+IF('SURVEY DESIGN'!C139&lt;&gt;"",--(W129=""),0)+IF('SURVEY DESIGN'!C140&lt;&gt;"",--(X129=""),0))</x:f>
      </x:c>
      <x:c r="J129" s="130" t="str">
        <x:f>IF(A129="","",IF(C129&lt;&gt;"Yes","NO CONSENT",IF(F129&lt;SETUP!$B$9,"SPEEDING",IF(G129&lt;&gt;"Yes","ATTENTION CHECK",IF(H129="Yes","STRAIGHTLINE REVIEW",IF(I129&gt;0,"MISSING ITEMS","OK"))))))</x:f>
      </x:c>
      <x:c r="K129" s="130" t="str">
        <x:f>IF(A129="","",IF(J129="OK","Yes","No"))</x:f>
      </x:c>
      <x:c r="L129" s="130" t="str">
        <x:f>IF(A129="","",IF(J129="OK","",IF(J129="NO CONSENT","Consent not affirmed",IF(J129="SPEEDING","Completion time below threshold",IF(J129="ATTENTION CHECK","Attention check failed",IF(J129="STRAIGHTLINE REVIEW","Straightlining review threshold met","Missing scored item(s)"))))))</x:f>
      </x:c>
      <x:c r="M129" s="119"/>
      <x:c r="N129" s="119"/>
      <x:c r="O129" s="119"/>
      <x:c r="P129" s="119"/>
      <x:c r="Q129" s="119"/>
      <x:c r="R129" s="119"/>
      <x:c r="S129" s="119"/>
      <x:c r="T129" s="119"/>
      <x:c r="U129" s="119"/>
      <x:c r="V129" s="119"/>
      <x:c r="W129" s="119"/>
      <x:c r="X129" s="119"/>
      <x:c r="Y129" s="133" t="str">
        <x:f>IF(K129&lt;&gt;"Yes","",IFERROR(AVERAGE(M129:X129),""))</x:f>
      </x:c>
      <x:c r="Z129" s="119"/>
    </x:row>
    <x:row r="130">
      <x:c r="A130" s="119"/>
      <x:c r="B130" s="119"/>
      <x:c r="C130" s="119"/>
      <x:c r="D130" s="119"/>
      <x:c r="E130" s="119"/>
      <x:c r="F130" s="119"/>
      <x:c r="G130" s="119"/>
      <x:c r="H130" s="130" t="str">
        <x:f>IF(A130="","",IF(AND(COUNTA(M130:X130)&gt;=SETUP!$B$10,COUNTIF(M130:X130,MAX(M130:X130))=COUNTA(M130:X130)),"Yes","No"))</x:f>
      </x:c>
      <x:c r="I130" s="130" t="str">
        <x:f>IF(A130="","",IF('SURVEY DESIGN'!C130&lt;&gt;"",--(M130=""),0)+IF('SURVEY DESIGN'!C131&lt;&gt;"",--(N130=""),0)+IF('SURVEY DESIGN'!C132&lt;&gt;"",--(O130=""),0)+IF('SURVEY DESIGN'!C133&lt;&gt;"",--(P130=""),0)+IF('SURVEY DESIGN'!C134&lt;&gt;"",--(Q130=""),0)+IF('SURVEY DESIGN'!C135&lt;&gt;"",--(R130=""),0)+IF('SURVEY DESIGN'!C136&lt;&gt;"",--(S130=""),0)+IF('SURVEY DESIGN'!C137&lt;&gt;"",--(T130=""),0)+IF('SURVEY DESIGN'!C138&lt;&gt;"",--(U130=""),0)+IF('SURVEY DESIGN'!C139&lt;&gt;"",--(V130=""),0)+IF('SURVEY DESIGN'!C140&lt;&gt;"",--(W130=""),0)+IF('SURVEY DESIGN'!C141&lt;&gt;"",--(X130=""),0))</x:f>
      </x:c>
      <x:c r="J130" s="130" t="str">
        <x:f>IF(A130="","",IF(C130&lt;&gt;"Yes","NO CONSENT",IF(F130&lt;SETUP!$B$9,"SPEEDING",IF(G130&lt;&gt;"Yes","ATTENTION CHECK",IF(H130="Yes","STRAIGHTLINE REVIEW",IF(I130&gt;0,"MISSING ITEMS","OK"))))))</x:f>
      </x:c>
      <x:c r="K130" s="130" t="str">
        <x:f>IF(A130="","",IF(J130="OK","Yes","No"))</x:f>
      </x:c>
      <x:c r="L130" s="130" t="str">
        <x:f>IF(A130="","",IF(J130="OK","",IF(J130="NO CONSENT","Consent not affirmed",IF(J130="SPEEDING","Completion time below threshold",IF(J130="ATTENTION CHECK","Attention check failed",IF(J130="STRAIGHTLINE REVIEW","Straightlining review threshold met","Missing scored item(s)"))))))</x:f>
      </x:c>
      <x:c r="M130" s="119"/>
      <x:c r="N130" s="119"/>
      <x:c r="O130" s="119"/>
      <x:c r="P130" s="119"/>
      <x:c r="Q130" s="119"/>
      <x:c r="R130" s="119"/>
      <x:c r="S130" s="119"/>
      <x:c r="T130" s="119"/>
      <x:c r="U130" s="119"/>
      <x:c r="V130" s="119"/>
      <x:c r="W130" s="119"/>
      <x:c r="X130" s="119"/>
      <x:c r="Y130" s="133" t="str">
        <x:f>IF(K130&lt;&gt;"Yes","",IFERROR(AVERAGE(M130:X130),""))</x:f>
      </x:c>
      <x:c r="Z130" s="119"/>
    </x:row>
    <x:row r="131">
      <x:c r="A131" s="119"/>
      <x:c r="B131" s="119"/>
      <x:c r="C131" s="119"/>
      <x:c r="D131" s="119"/>
      <x:c r="E131" s="119"/>
      <x:c r="F131" s="119"/>
      <x:c r="G131" s="119"/>
      <x:c r="H131" s="130" t="str">
        <x:f>IF(A131="","",IF(AND(COUNTA(M131:X131)&gt;=SETUP!$B$10,COUNTIF(M131:X131,MAX(M131:X131))=COUNTA(M131:X131)),"Yes","No"))</x:f>
      </x:c>
      <x:c r="I131" s="130" t="str">
        <x:f>IF(A131="","",IF('SURVEY DESIGN'!C131&lt;&gt;"",--(M131=""),0)+IF('SURVEY DESIGN'!C132&lt;&gt;"",--(N131=""),0)+IF('SURVEY DESIGN'!C133&lt;&gt;"",--(O131=""),0)+IF('SURVEY DESIGN'!C134&lt;&gt;"",--(P131=""),0)+IF('SURVEY DESIGN'!C135&lt;&gt;"",--(Q131=""),0)+IF('SURVEY DESIGN'!C136&lt;&gt;"",--(R131=""),0)+IF('SURVEY DESIGN'!C137&lt;&gt;"",--(S131=""),0)+IF('SURVEY DESIGN'!C138&lt;&gt;"",--(T131=""),0)+IF('SURVEY DESIGN'!C139&lt;&gt;"",--(U131=""),0)+IF('SURVEY DESIGN'!C140&lt;&gt;"",--(V131=""),0)+IF('SURVEY DESIGN'!C141&lt;&gt;"",--(W131=""),0)+IF('SURVEY DESIGN'!C142&lt;&gt;"",--(X131=""),0))</x:f>
      </x:c>
      <x:c r="J131" s="130" t="str">
        <x:f>IF(A131="","",IF(C131&lt;&gt;"Yes","NO CONSENT",IF(F131&lt;SETUP!$B$9,"SPEEDING",IF(G131&lt;&gt;"Yes","ATTENTION CHECK",IF(H131="Yes","STRAIGHTLINE REVIEW",IF(I131&gt;0,"MISSING ITEMS","OK"))))))</x:f>
      </x:c>
      <x:c r="K131" s="130" t="str">
        <x:f>IF(A131="","",IF(J131="OK","Yes","No"))</x:f>
      </x:c>
      <x:c r="L131" s="130" t="str">
        <x:f>IF(A131="","",IF(J131="OK","",IF(J131="NO CONSENT","Consent not affirmed",IF(J131="SPEEDING","Completion time below threshold",IF(J131="ATTENTION CHECK","Attention check failed",IF(J131="STRAIGHTLINE REVIEW","Straightlining review threshold met","Missing scored item(s)"))))))</x:f>
      </x:c>
      <x:c r="M131" s="119"/>
      <x:c r="N131" s="119"/>
      <x:c r="O131" s="119"/>
      <x:c r="P131" s="119"/>
      <x:c r="Q131" s="119"/>
      <x:c r="R131" s="119"/>
      <x:c r="S131" s="119"/>
      <x:c r="T131" s="119"/>
      <x:c r="U131" s="119"/>
      <x:c r="V131" s="119"/>
      <x:c r="W131" s="119"/>
      <x:c r="X131" s="119"/>
      <x:c r="Y131" s="133" t="str">
        <x:f>IF(K131&lt;&gt;"Yes","",IFERROR(AVERAGE(M131:X131),""))</x:f>
      </x:c>
      <x:c r="Z131" s="119"/>
    </x:row>
    <x:row r="132">
      <x:c r="A132" s="119"/>
      <x:c r="B132" s="119"/>
      <x:c r="C132" s="119"/>
      <x:c r="D132" s="119"/>
      <x:c r="E132" s="119"/>
      <x:c r="F132" s="119"/>
      <x:c r="G132" s="119"/>
      <x:c r="H132" s="130" t="str">
        <x:f>IF(A132="","",IF(AND(COUNTA(M132:X132)&gt;=SETUP!$B$10,COUNTIF(M132:X132,MAX(M132:X132))=COUNTA(M132:X132)),"Yes","No"))</x:f>
      </x:c>
      <x:c r="I132" s="130" t="str">
        <x:f>IF(A132="","",IF('SURVEY DESIGN'!C132&lt;&gt;"",--(M132=""),0)+IF('SURVEY DESIGN'!C133&lt;&gt;"",--(N132=""),0)+IF('SURVEY DESIGN'!C134&lt;&gt;"",--(O132=""),0)+IF('SURVEY DESIGN'!C135&lt;&gt;"",--(P132=""),0)+IF('SURVEY DESIGN'!C136&lt;&gt;"",--(Q132=""),0)+IF('SURVEY DESIGN'!C137&lt;&gt;"",--(R132=""),0)+IF('SURVEY DESIGN'!C138&lt;&gt;"",--(S132=""),0)+IF('SURVEY DESIGN'!C139&lt;&gt;"",--(T132=""),0)+IF('SURVEY DESIGN'!C140&lt;&gt;"",--(U132=""),0)+IF('SURVEY DESIGN'!C141&lt;&gt;"",--(V132=""),0)+IF('SURVEY DESIGN'!C142&lt;&gt;"",--(W132=""),0)+IF('SURVEY DESIGN'!C143&lt;&gt;"",--(X132=""),0))</x:f>
      </x:c>
      <x:c r="J132" s="130" t="str">
        <x:f>IF(A132="","",IF(C132&lt;&gt;"Yes","NO CONSENT",IF(F132&lt;SETUP!$B$9,"SPEEDING",IF(G132&lt;&gt;"Yes","ATTENTION CHECK",IF(H132="Yes","STRAIGHTLINE REVIEW",IF(I132&gt;0,"MISSING ITEMS","OK"))))))</x:f>
      </x:c>
      <x:c r="K132" s="130" t="str">
        <x:f>IF(A132="","",IF(J132="OK","Yes","No"))</x:f>
      </x:c>
      <x:c r="L132" s="130" t="str">
        <x:f>IF(A132="","",IF(J132="OK","",IF(J132="NO CONSENT","Consent not affirmed",IF(J132="SPEEDING","Completion time below threshold",IF(J132="ATTENTION CHECK","Attention check failed",IF(J132="STRAIGHTLINE REVIEW","Straightlining review threshold met","Missing scored item(s)"))))))</x:f>
      </x:c>
      <x:c r="M132" s="119"/>
      <x:c r="N132" s="119"/>
      <x:c r="O132" s="119"/>
      <x:c r="P132" s="119"/>
      <x:c r="Q132" s="119"/>
      <x:c r="R132" s="119"/>
      <x:c r="S132" s="119"/>
      <x:c r="T132" s="119"/>
      <x:c r="U132" s="119"/>
      <x:c r="V132" s="119"/>
      <x:c r="W132" s="119"/>
      <x:c r="X132" s="119"/>
      <x:c r="Y132" s="133" t="str">
        <x:f>IF(K132&lt;&gt;"Yes","",IFERROR(AVERAGE(M132:X132),""))</x:f>
      </x:c>
      <x:c r="Z132" s="119"/>
    </x:row>
    <x:row r="133">
      <x:c r="A133" s="119"/>
      <x:c r="B133" s="119"/>
      <x:c r="C133" s="119"/>
      <x:c r="D133" s="119"/>
      <x:c r="E133" s="119"/>
      <x:c r="F133" s="119"/>
      <x:c r="G133" s="119"/>
      <x:c r="H133" s="130" t="str">
        <x:f>IF(A133="","",IF(AND(COUNTA(M133:X133)&gt;=SETUP!$B$10,COUNTIF(M133:X133,MAX(M133:X133))=COUNTA(M133:X133)),"Yes","No"))</x:f>
      </x:c>
      <x:c r="I133" s="130" t="str">
        <x:f>IF(A133="","",IF('SURVEY DESIGN'!C133&lt;&gt;"",--(M133=""),0)+IF('SURVEY DESIGN'!C134&lt;&gt;"",--(N133=""),0)+IF('SURVEY DESIGN'!C135&lt;&gt;"",--(O133=""),0)+IF('SURVEY DESIGN'!C136&lt;&gt;"",--(P133=""),0)+IF('SURVEY DESIGN'!C137&lt;&gt;"",--(Q133=""),0)+IF('SURVEY DESIGN'!C138&lt;&gt;"",--(R133=""),0)+IF('SURVEY DESIGN'!C139&lt;&gt;"",--(S133=""),0)+IF('SURVEY DESIGN'!C140&lt;&gt;"",--(T133=""),0)+IF('SURVEY DESIGN'!C141&lt;&gt;"",--(U133=""),0)+IF('SURVEY DESIGN'!C142&lt;&gt;"",--(V133=""),0)+IF('SURVEY DESIGN'!C143&lt;&gt;"",--(W133=""),0)+IF('SURVEY DESIGN'!C144&lt;&gt;"",--(X133=""),0))</x:f>
      </x:c>
      <x:c r="J133" s="130" t="str">
        <x:f>IF(A133="","",IF(C133&lt;&gt;"Yes","NO CONSENT",IF(F133&lt;SETUP!$B$9,"SPEEDING",IF(G133&lt;&gt;"Yes","ATTENTION CHECK",IF(H133="Yes","STRAIGHTLINE REVIEW",IF(I133&gt;0,"MISSING ITEMS","OK"))))))</x:f>
      </x:c>
      <x:c r="K133" s="130" t="str">
        <x:f>IF(A133="","",IF(J133="OK","Yes","No"))</x:f>
      </x:c>
      <x:c r="L133" s="130" t="str">
        <x:f>IF(A133="","",IF(J133="OK","",IF(J133="NO CONSENT","Consent not affirmed",IF(J133="SPEEDING","Completion time below threshold",IF(J133="ATTENTION CHECK","Attention check failed",IF(J133="STRAIGHTLINE REVIEW","Straightlining review threshold met","Missing scored item(s)"))))))</x:f>
      </x:c>
      <x:c r="M133" s="119"/>
      <x:c r="N133" s="119"/>
      <x:c r="O133" s="119"/>
      <x:c r="P133" s="119"/>
      <x:c r="Q133" s="119"/>
      <x:c r="R133" s="119"/>
      <x:c r="S133" s="119"/>
      <x:c r="T133" s="119"/>
      <x:c r="U133" s="119"/>
      <x:c r="V133" s="119"/>
      <x:c r="W133" s="119"/>
      <x:c r="X133" s="119"/>
      <x:c r="Y133" s="133" t="str">
        <x:f>IF(K133&lt;&gt;"Yes","",IFERROR(AVERAGE(M133:X133),""))</x:f>
      </x:c>
      <x:c r="Z133" s="119"/>
    </x:row>
    <x:row r="134">
      <x:c r="A134" s="119"/>
      <x:c r="B134" s="119"/>
      <x:c r="C134" s="119"/>
      <x:c r="D134" s="119"/>
      <x:c r="E134" s="119"/>
      <x:c r="F134" s="119"/>
      <x:c r="G134" s="119"/>
      <x:c r="H134" s="130" t="str">
        <x:f>IF(A134="","",IF(AND(COUNTA(M134:X134)&gt;=SETUP!$B$10,COUNTIF(M134:X134,MAX(M134:X134))=COUNTA(M134:X134)),"Yes","No"))</x:f>
      </x:c>
      <x:c r="I134" s="130" t="str">
        <x:f>IF(A134="","",IF('SURVEY DESIGN'!C134&lt;&gt;"",--(M134=""),0)+IF('SURVEY DESIGN'!C135&lt;&gt;"",--(N134=""),0)+IF('SURVEY DESIGN'!C136&lt;&gt;"",--(O134=""),0)+IF('SURVEY DESIGN'!C137&lt;&gt;"",--(P134=""),0)+IF('SURVEY DESIGN'!C138&lt;&gt;"",--(Q134=""),0)+IF('SURVEY DESIGN'!C139&lt;&gt;"",--(R134=""),0)+IF('SURVEY DESIGN'!C140&lt;&gt;"",--(S134=""),0)+IF('SURVEY DESIGN'!C141&lt;&gt;"",--(T134=""),0)+IF('SURVEY DESIGN'!C142&lt;&gt;"",--(U134=""),0)+IF('SURVEY DESIGN'!C143&lt;&gt;"",--(V134=""),0)+IF('SURVEY DESIGN'!C144&lt;&gt;"",--(W134=""),0)+IF('SURVEY DESIGN'!C145&lt;&gt;"",--(X134=""),0))</x:f>
      </x:c>
      <x:c r="J134" s="130" t="str">
        <x:f>IF(A134="","",IF(C134&lt;&gt;"Yes","NO CONSENT",IF(F134&lt;SETUP!$B$9,"SPEEDING",IF(G134&lt;&gt;"Yes","ATTENTION CHECK",IF(H134="Yes","STRAIGHTLINE REVIEW",IF(I134&gt;0,"MISSING ITEMS","OK"))))))</x:f>
      </x:c>
      <x:c r="K134" s="130" t="str">
        <x:f>IF(A134="","",IF(J134="OK","Yes","No"))</x:f>
      </x:c>
      <x:c r="L134" s="130" t="str">
        <x:f>IF(A134="","",IF(J134="OK","",IF(J134="NO CONSENT","Consent not affirmed",IF(J134="SPEEDING","Completion time below threshold",IF(J134="ATTENTION CHECK","Attention check failed",IF(J134="STRAIGHTLINE REVIEW","Straightlining review threshold met","Missing scored item(s)"))))))</x:f>
      </x:c>
      <x:c r="M134" s="119"/>
      <x:c r="N134" s="119"/>
      <x:c r="O134" s="119"/>
      <x:c r="P134" s="119"/>
      <x:c r="Q134" s="119"/>
      <x:c r="R134" s="119"/>
      <x:c r="S134" s="119"/>
      <x:c r="T134" s="119"/>
      <x:c r="U134" s="119"/>
      <x:c r="V134" s="119"/>
      <x:c r="W134" s="119"/>
      <x:c r="X134" s="119"/>
      <x:c r="Y134" s="133" t="str">
        <x:f>IF(K134&lt;&gt;"Yes","",IFERROR(AVERAGE(M134:X134),""))</x:f>
      </x:c>
      <x:c r="Z134" s="119"/>
    </x:row>
    <x:row r="135">
      <x:c r="A135" s="119"/>
      <x:c r="B135" s="119"/>
      <x:c r="C135" s="119"/>
      <x:c r="D135" s="119"/>
      <x:c r="E135" s="119"/>
      <x:c r="F135" s="119"/>
      <x:c r="G135" s="119"/>
      <x:c r="H135" s="130" t="str">
        <x:f>IF(A135="","",IF(AND(COUNTA(M135:X135)&gt;=SETUP!$B$10,COUNTIF(M135:X135,MAX(M135:X135))=COUNTA(M135:X135)),"Yes","No"))</x:f>
      </x:c>
      <x:c r="I135" s="130" t="str">
        <x:f>IF(A135="","",IF('SURVEY DESIGN'!C135&lt;&gt;"",--(M135=""),0)+IF('SURVEY DESIGN'!C136&lt;&gt;"",--(N135=""),0)+IF('SURVEY DESIGN'!C137&lt;&gt;"",--(O135=""),0)+IF('SURVEY DESIGN'!C138&lt;&gt;"",--(P135=""),0)+IF('SURVEY DESIGN'!C139&lt;&gt;"",--(Q135=""),0)+IF('SURVEY DESIGN'!C140&lt;&gt;"",--(R135=""),0)+IF('SURVEY DESIGN'!C141&lt;&gt;"",--(S135=""),0)+IF('SURVEY DESIGN'!C142&lt;&gt;"",--(T135=""),0)+IF('SURVEY DESIGN'!C143&lt;&gt;"",--(U135=""),0)+IF('SURVEY DESIGN'!C144&lt;&gt;"",--(V135=""),0)+IF('SURVEY DESIGN'!C145&lt;&gt;"",--(W135=""),0)+IF('SURVEY DESIGN'!C146&lt;&gt;"",--(X135=""),0))</x:f>
      </x:c>
      <x:c r="J135" s="130" t="str">
        <x:f>IF(A135="","",IF(C135&lt;&gt;"Yes","NO CONSENT",IF(F135&lt;SETUP!$B$9,"SPEEDING",IF(G135&lt;&gt;"Yes","ATTENTION CHECK",IF(H135="Yes","STRAIGHTLINE REVIEW",IF(I135&gt;0,"MISSING ITEMS","OK"))))))</x:f>
      </x:c>
      <x:c r="K135" s="130" t="str">
        <x:f>IF(A135="","",IF(J135="OK","Yes","No"))</x:f>
      </x:c>
      <x:c r="L135" s="130" t="str">
        <x:f>IF(A135="","",IF(J135="OK","",IF(J135="NO CONSENT","Consent not affirmed",IF(J135="SPEEDING","Completion time below threshold",IF(J135="ATTENTION CHECK","Attention check failed",IF(J135="STRAIGHTLINE REVIEW","Straightlining review threshold met","Missing scored item(s)"))))))</x:f>
      </x:c>
      <x:c r="M135" s="119"/>
      <x:c r="N135" s="119"/>
      <x:c r="O135" s="119"/>
      <x:c r="P135" s="119"/>
      <x:c r="Q135" s="119"/>
      <x:c r="R135" s="119"/>
      <x:c r="S135" s="119"/>
      <x:c r="T135" s="119"/>
      <x:c r="U135" s="119"/>
      <x:c r="V135" s="119"/>
      <x:c r="W135" s="119"/>
      <x:c r="X135" s="119"/>
      <x:c r="Y135" s="133" t="str">
        <x:f>IF(K135&lt;&gt;"Yes","",IFERROR(AVERAGE(M135:X135),""))</x:f>
      </x:c>
      <x:c r="Z135" s="119"/>
    </x:row>
    <x:row r="136">
      <x:c r="A136" s="119"/>
      <x:c r="B136" s="119"/>
      <x:c r="C136" s="119"/>
      <x:c r="D136" s="119"/>
      <x:c r="E136" s="119"/>
      <x:c r="F136" s="119"/>
      <x:c r="G136" s="119"/>
      <x:c r="H136" s="130" t="str">
        <x:f>IF(A136="","",IF(AND(COUNTA(M136:X136)&gt;=SETUP!$B$10,COUNTIF(M136:X136,MAX(M136:X136))=COUNTA(M136:X136)),"Yes","No"))</x:f>
      </x:c>
      <x:c r="I136" s="130" t="str">
        <x:f>IF(A136="","",IF('SURVEY DESIGN'!C136&lt;&gt;"",--(M136=""),0)+IF('SURVEY DESIGN'!C137&lt;&gt;"",--(N136=""),0)+IF('SURVEY DESIGN'!C138&lt;&gt;"",--(O136=""),0)+IF('SURVEY DESIGN'!C139&lt;&gt;"",--(P136=""),0)+IF('SURVEY DESIGN'!C140&lt;&gt;"",--(Q136=""),0)+IF('SURVEY DESIGN'!C141&lt;&gt;"",--(R136=""),0)+IF('SURVEY DESIGN'!C142&lt;&gt;"",--(S136=""),0)+IF('SURVEY DESIGN'!C143&lt;&gt;"",--(T136=""),0)+IF('SURVEY DESIGN'!C144&lt;&gt;"",--(U136=""),0)+IF('SURVEY DESIGN'!C145&lt;&gt;"",--(V136=""),0)+IF('SURVEY DESIGN'!C146&lt;&gt;"",--(W136=""),0)+IF('SURVEY DESIGN'!C147&lt;&gt;"",--(X136=""),0))</x:f>
      </x:c>
      <x:c r="J136" s="130" t="str">
        <x:f>IF(A136="","",IF(C136&lt;&gt;"Yes","NO CONSENT",IF(F136&lt;SETUP!$B$9,"SPEEDING",IF(G136&lt;&gt;"Yes","ATTENTION CHECK",IF(H136="Yes","STRAIGHTLINE REVIEW",IF(I136&gt;0,"MISSING ITEMS","OK"))))))</x:f>
      </x:c>
      <x:c r="K136" s="130" t="str">
        <x:f>IF(A136="","",IF(J136="OK","Yes","No"))</x:f>
      </x:c>
      <x:c r="L136" s="130" t="str">
        <x:f>IF(A136="","",IF(J136="OK","",IF(J136="NO CONSENT","Consent not affirmed",IF(J136="SPEEDING","Completion time below threshold",IF(J136="ATTENTION CHECK","Attention check failed",IF(J136="STRAIGHTLINE REVIEW","Straightlining review threshold met","Missing scored item(s)"))))))</x:f>
      </x:c>
      <x:c r="M136" s="119"/>
      <x:c r="N136" s="119"/>
      <x:c r="O136" s="119"/>
      <x:c r="P136" s="119"/>
      <x:c r="Q136" s="119"/>
      <x:c r="R136" s="119"/>
      <x:c r="S136" s="119"/>
      <x:c r="T136" s="119"/>
      <x:c r="U136" s="119"/>
      <x:c r="V136" s="119"/>
      <x:c r="W136" s="119"/>
      <x:c r="X136" s="119"/>
      <x:c r="Y136" s="133" t="str">
        <x:f>IF(K136&lt;&gt;"Yes","",IFERROR(AVERAGE(M136:X136),""))</x:f>
      </x:c>
      <x:c r="Z136" s="119"/>
    </x:row>
    <x:row r="137">
      <x:c r="A137" s="119"/>
      <x:c r="B137" s="119"/>
      <x:c r="C137" s="119"/>
      <x:c r="D137" s="119"/>
      <x:c r="E137" s="119"/>
      <x:c r="F137" s="119"/>
      <x:c r="G137" s="119"/>
      <x:c r="H137" s="130" t="str">
        <x:f>IF(A137="","",IF(AND(COUNTA(M137:X137)&gt;=SETUP!$B$10,COUNTIF(M137:X137,MAX(M137:X137))=COUNTA(M137:X137)),"Yes","No"))</x:f>
      </x:c>
      <x:c r="I137" s="130" t="str">
        <x:f>IF(A137="","",IF('SURVEY DESIGN'!C137&lt;&gt;"",--(M137=""),0)+IF('SURVEY DESIGN'!C138&lt;&gt;"",--(N137=""),0)+IF('SURVEY DESIGN'!C139&lt;&gt;"",--(O137=""),0)+IF('SURVEY DESIGN'!C140&lt;&gt;"",--(P137=""),0)+IF('SURVEY DESIGN'!C141&lt;&gt;"",--(Q137=""),0)+IF('SURVEY DESIGN'!C142&lt;&gt;"",--(R137=""),0)+IF('SURVEY DESIGN'!C143&lt;&gt;"",--(S137=""),0)+IF('SURVEY DESIGN'!C144&lt;&gt;"",--(T137=""),0)+IF('SURVEY DESIGN'!C145&lt;&gt;"",--(U137=""),0)+IF('SURVEY DESIGN'!C146&lt;&gt;"",--(V137=""),0)+IF('SURVEY DESIGN'!C147&lt;&gt;"",--(W137=""),0)+IF('SURVEY DESIGN'!C148&lt;&gt;"",--(X137=""),0))</x:f>
      </x:c>
      <x:c r="J137" s="130" t="str">
        <x:f>IF(A137="","",IF(C137&lt;&gt;"Yes","NO CONSENT",IF(F137&lt;SETUP!$B$9,"SPEEDING",IF(G137&lt;&gt;"Yes","ATTENTION CHECK",IF(H137="Yes","STRAIGHTLINE REVIEW",IF(I137&gt;0,"MISSING ITEMS","OK"))))))</x:f>
      </x:c>
      <x:c r="K137" s="130" t="str">
        <x:f>IF(A137="","",IF(J137="OK","Yes","No"))</x:f>
      </x:c>
      <x:c r="L137" s="130" t="str">
        <x:f>IF(A137="","",IF(J137="OK","",IF(J137="NO CONSENT","Consent not affirmed",IF(J137="SPEEDING","Completion time below threshold",IF(J137="ATTENTION CHECK","Attention check failed",IF(J137="STRAIGHTLINE REVIEW","Straightlining review threshold met","Missing scored item(s)"))))))</x:f>
      </x:c>
      <x:c r="M137" s="119"/>
      <x:c r="N137" s="119"/>
      <x:c r="O137" s="119"/>
      <x:c r="P137" s="119"/>
      <x:c r="Q137" s="119"/>
      <x:c r="R137" s="119"/>
      <x:c r="S137" s="119"/>
      <x:c r="T137" s="119"/>
      <x:c r="U137" s="119"/>
      <x:c r="V137" s="119"/>
      <x:c r="W137" s="119"/>
      <x:c r="X137" s="119"/>
      <x:c r="Y137" s="133" t="str">
        <x:f>IF(K137&lt;&gt;"Yes","",IFERROR(AVERAGE(M137:X137),""))</x:f>
      </x:c>
      <x:c r="Z137" s="119"/>
    </x:row>
    <x:row r="138">
      <x:c r="A138" s="119"/>
      <x:c r="B138" s="119"/>
      <x:c r="C138" s="119"/>
      <x:c r="D138" s="119"/>
      <x:c r="E138" s="119"/>
      <x:c r="F138" s="119"/>
      <x:c r="G138" s="119"/>
      <x:c r="H138" s="130" t="str">
        <x:f>IF(A138="","",IF(AND(COUNTA(M138:X138)&gt;=SETUP!$B$10,COUNTIF(M138:X138,MAX(M138:X138))=COUNTA(M138:X138)),"Yes","No"))</x:f>
      </x:c>
      <x:c r="I138" s="130" t="str">
        <x:f>IF(A138="","",IF('SURVEY DESIGN'!C138&lt;&gt;"",--(M138=""),0)+IF('SURVEY DESIGN'!C139&lt;&gt;"",--(N138=""),0)+IF('SURVEY DESIGN'!C140&lt;&gt;"",--(O138=""),0)+IF('SURVEY DESIGN'!C141&lt;&gt;"",--(P138=""),0)+IF('SURVEY DESIGN'!C142&lt;&gt;"",--(Q138=""),0)+IF('SURVEY DESIGN'!C143&lt;&gt;"",--(R138=""),0)+IF('SURVEY DESIGN'!C144&lt;&gt;"",--(S138=""),0)+IF('SURVEY DESIGN'!C145&lt;&gt;"",--(T138=""),0)+IF('SURVEY DESIGN'!C146&lt;&gt;"",--(U138=""),0)+IF('SURVEY DESIGN'!C147&lt;&gt;"",--(V138=""),0)+IF('SURVEY DESIGN'!C148&lt;&gt;"",--(W138=""),0)+IF('SURVEY DESIGN'!C149&lt;&gt;"",--(X138=""),0))</x:f>
      </x:c>
      <x:c r="J138" s="130" t="str">
        <x:f>IF(A138="","",IF(C138&lt;&gt;"Yes","NO CONSENT",IF(F138&lt;SETUP!$B$9,"SPEEDING",IF(G138&lt;&gt;"Yes","ATTENTION CHECK",IF(H138="Yes","STRAIGHTLINE REVIEW",IF(I138&gt;0,"MISSING ITEMS","OK"))))))</x:f>
      </x:c>
      <x:c r="K138" s="130" t="str">
        <x:f>IF(A138="","",IF(J138="OK","Yes","No"))</x:f>
      </x:c>
      <x:c r="L138" s="130" t="str">
        <x:f>IF(A138="","",IF(J138="OK","",IF(J138="NO CONSENT","Consent not affirmed",IF(J138="SPEEDING","Completion time below threshold",IF(J138="ATTENTION CHECK","Attention check failed",IF(J138="STRAIGHTLINE REVIEW","Straightlining review threshold met","Missing scored item(s)"))))))</x:f>
      </x:c>
      <x:c r="M138" s="119"/>
      <x:c r="N138" s="119"/>
      <x:c r="O138" s="119"/>
      <x:c r="P138" s="119"/>
      <x:c r="Q138" s="119"/>
      <x:c r="R138" s="119"/>
      <x:c r="S138" s="119"/>
      <x:c r="T138" s="119"/>
      <x:c r="U138" s="119"/>
      <x:c r="V138" s="119"/>
      <x:c r="W138" s="119"/>
      <x:c r="X138" s="119"/>
      <x:c r="Y138" s="133" t="str">
        <x:f>IF(K138&lt;&gt;"Yes","",IFERROR(AVERAGE(M138:X138),""))</x:f>
      </x:c>
      <x:c r="Z138" s="119"/>
    </x:row>
    <x:row r="139">
      <x:c r="A139" s="119"/>
      <x:c r="B139" s="119"/>
      <x:c r="C139" s="119"/>
      <x:c r="D139" s="119"/>
      <x:c r="E139" s="119"/>
      <x:c r="F139" s="119"/>
      <x:c r="G139" s="119"/>
      <x:c r="H139" s="130" t="str">
        <x:f>IF(A139="","",IF(AND(COUNTA(M139:X139)&gt;=SETUP!$B$10,COUNTIF(M139:X139,MAX(M139:X139))=COUNTA(M139:X139)),"Yes","No"))</x:f>
      </x:c>
      <x:c r="I139" s="130" t="str">
        <x:f>IF(A139="","",IF('SURVEY DESIGN'!C139&lt;&gt;"",--(M139=""),0)+IF('SURVEY DESIGN'!C140&lt;&gt;"",--(N139=""),0)+IF('SURVEY DESIGN'!C141&lt;&gt;"",--(O139=""),0)+IF('SURVEY DESIGN'!C142&lt;&gt;"",--(P139=""),0)+IF('SURVEY DESIGN'!C143&lt;&gt;"",--(Q139=""),0)+IF('SURVEY DESIGN'!C144&lt;&gt;"",--(R139=""),0)+IF('SURVEY DESIGN'!C145&lt;&gt;"",--(S139=""),0)+IF('SURVEY DESIGN'!C146&lt;&gt;"",--(T139=""),0)+IF('SURVEY DESIGN'!C147&lt;&gt;"",--(U139=""),0)+IF('SURVEY DESIGN'!C148&lt;&gt;"",--(V139=""),0)+IF('SURVEY DESIGN'!C149&lt;&gt;"",--(W139=""),0)+IF('SURVEY DESIGN'!C150&lt;&gt;"",--(X139=""),0))</x:f>
      </x:c>
      <x:c r="J139" s="130" t="str">
        <x:f>IF(A139="","",IF(C139&lt;&gt;"Yes","NO CONSENT",IF(F139&lt;SETUP!$B$9,"SPEEDING",IF(G139&lt;&gt;"Yes","ATTENTION CHECK",IF(H139="Yes","STRAIGHTLINE REVIEW",IF(I139&gt;0,"MISSING ITEMS","OK"))))))</x:f>
      </x:c>
      <x:c r="K139" s="130" t="str">
        <x:f>IF(A139="","",IF(J139="OK","Yes","No"))</x:f>
      </x:c>
      <x:c r="L139" s="130" t="str">
        <x:f>IF(A139="","",IF(J139="OK","",IF(J139="NO CONSENT","Consent not affirmed",IF(J139="SPEEDING","Completion time below threshold",IF(J139="ATTENTION CHECK","Attention check failed",IF(J139="STRAIGHTLINE REVIEW","Straightlining review threshold met","Missing scored item(s)"))))))</x:f>
      </x:c>
      <x:c r="M139" s="119"/>
      <x:c r="N139" s="119"/>
      <x:c r="O139" s="119"/>
      <x:c r="P139" s="119"/>
      <x:c r="Q139" s="119"/>
      <x:c r="R139" s="119"/>
      <x:c r="S139" s="119"/>
      <x:c r="T139" s="119"/>
      <x:c r="U139" s="119"/>
      <x:c r="V139" s="119"/>
      <x:c r="W139" s="119"/>
      <x:c r="X139" s="119"/>
      <x:c r="Y139" s="133" t="str">
        <x:f>IF(K139&lt;&gt;"Yes","",IFERROR(AVERAGE(M139:X139),""))</x:f>
      </x:c>
      <x:c r="Z139" s="119"/>
    </x:row>
    <x:row r="140">
      <x:c r="A140" s="119"/>
      <x:c r="B140" s="119"/>
      <x:c r="C140" s="119"/>
      <x:c r="D140" s="119"/>
      <x:c r="E140" s="119"/>
      <x:c r="F140" s="119"/>
      <x:c r="G140" s="119"/>
      <x:c r="H140" s="130" t="str">
        <x:f>IF(A140="","",IF(AND(COUNTA(M140:X140)&gt;=SETUP!$B$10,COUNTIF(M140:X140,MAX(M140:X140))=COUNTA(M140:X140)),"Yes","No"))</x:f>
      </x:c>
      <x:c r="I140" s="130" t="str">
        <x:f>IF(A140="","",IF('SURVEY DESIGN'!C140&lt;&gt;"",--(M140=""),0)+IF('SURVEY DESIGN'!C141&lt;&gt;"",--(N140=""),0)+IF('SURVEY DESIGN'!C142&lt;&gt;"",--(O140=""),0)+IF('SURVEY DESIGN'!C143&lt;&gt;"",--(P140=""),0)+IF('SURVEY DESIGN'!C144&lt;&gt;"",--(Q140=""),0)+IF('SURVEY DESIGN'!C145&lt;&gt;"",--(R140=""),0)+IF('SURVEY DESIGN'!C146&lt;&gt;"",--(S140=""),0)+IF('SURVEY DESIGN'!C147&lt;&gt;"",--(T140=""),0)+IF('SURVEY DESIGN'!C148&lt;&gt;"",--(U140=""),0)+IF('SURVEY DESIGN'!C149&lt;&gt;"",--(V140=""),0)+IF('SURVEY DESIGN'!C150&lt;&gt;"",--(W140=""),0)+IF('SURVEY DESIGN'!C151&lt;&gt;"",--(X140=""),0))</x:f>
      </x:c>
      <x:c r="J140" s="130" t="str">
        <x:f>IF(A140="","",IF(C140&lt;&gt;"Yes","NO CONSENT",IF(F140&lt;SETUP!$B$9,"SPEEDING",IF(G140&lt;&gt;"Yes","ATTENTION CHECK",IF(H140="Yes","STRAIGHTLINE REVIEW",IF(I140&gt;0,"MISSING ITEMS","OK"))))))</x:f>
      </x:c>
      <x:c r="K140" s="130" t="str">
        <x:f>IF(A140="","",IF(J140="OK","Yes","No"))</x:f>
      </x:c>
      <x:c r="L140" s="130" t="str">
        <x:f>IF(A140="","",IF(J140="OK","",IF(J140="NO CONSENT","Consent not affirmed",IF(J140="SPEEDING","Completion time below threshold",IF(J140="ATTENTION CHECK","Attention check failed",IF(J140="STRAIGHTLINE REVIEW","Straightlining review threshold met","Missing scored item(s)"))))))</x:f>
      </x:c>
      <x:c r="M140" s="119"/>
      <x:c r="N140" s="119"/>
      <x:c r="O140" s="119"/>
      <x:c r="P140" s="119"/>
      <x:c r="Q140" s="119"/>
      <x:c r="R140" s="119"/>
      <x:c r="S140" s="119"/>
      <x:c r="T140" s="119"/>
      <x:c r="U140" s="119"/>
      <x:c r="V140" s="119"/>
      <x:c r="W140" s="119"/>
      <x:c r="X140" s="119"/>
      <x:c r="Y140" s="133" t="str">
        <x:f>IF(K140&lt;&gt;"Yes","",IFERROR(AVERAGE(M140:X140),""))</x:f>
      </x:c>
      <x:c r="Z140" s="119"/>
    </x:row>
    <x:row r="141">
      <x:c r="A141" s="119"/>
      <x:c r="B141" s="119"/>
      <x:c r="C141" s="119"/>
      <x:c r="D141" s="119"/>
      <x:c r="E141" s="119"/>
      <x:c r="F141" s="119"/>
      <x:c r="G141" s="119"/>
      <x:c r="H141" s="130" t="str">
        <x:f>IF(A141="","",IF(AND(COUNTA(M141:X141)&gt;=SETUP!$B$10,COUNTIF(M141:X141,MAX(M141:X141))=COUNTA(M141:X141)),"Yes","No"))</x:f>
      </x:c>
      <x:c r="I141" s="130" t="str">
        <x:f>IF(A141="","",IF('SURVEY DESIGN'!C141&lt;&gt;"",--(M141=""),0)+IF('SURVEY DESIGN'!C142&lt;&gt;"",--(N141=""),0)+IF('SURVEY DESIGN'!C143&lt;&gt;"",--(O141=""),0)+IF('SURVEY DESIGN'!C144&lt;&gt;"",--(P141=""),0)+IF('SURVEY DESIGN'!C145&lt;&gt;"",--(Q141=""),0)+IF('SURVEY DESIGN'!C146&lt;&gt;"",--(R141=""),0)+IF('SURVEY DESIGN'!C147&lt;&gt;"",--(S141=""),0)+IF('SURVEY DESIGN'!C148&lt;&gt;"",--(T141=""),0)+IF('SURVEY DESIGN'!C149&lt;&gt;"",--(U141=""),0)+IF('SURVEY DESIGN'!C150&lt;&gt;"",--(V141=""),0)+IF('SURVEY DESIGN'!C151&lt;&gt;"",--(W141=""),0)+IF('SURVEY DESIGN'!C152&lt;&gt;"",--(X141=""),0))</x:f>
      </x:c>
      <x:c r="J141" s="130" t="str">
        <x:f>IF(A141="","",IF(C141&lt;&gt;"Yes","NO CONSENT",IF(F141&lt;SETUP!$B$9,"SPEEDING",IF(G141&lt;&gt;"Yes","ATTENTION CHECK",IF(H141="Yes","STRAIGHTLINE REVIEW",IF(I141&gt;0,"MISSING ITEMS","OK"))))))</x:f>
      </x:c>
      <x:c r="K141" s="130" t="str">
        <x:f>IF(A141="","",IF(J141="OK","Yes","No"))</x:f>
      </x:c>
      <x:c r="L141" s="130" t="str">
        <x:f>IF(A141="","",IF(J141="OK","",IF(J141="NO CONSENT","Consent not affirmed",IF(J141="SPEEDING","Completion time below threshold",IF(J141="ATTENTION CHECK","Attention check failed",IF(J141="STRAIGHTLINE REVIEW","Straightlining review threshold met","Missing scored item(s)"))))))</x:f>
      </x:c>
      <x:c r="M141" s="119"/>
      <x:c r="N141" s="119"/>
      <x:c r="O141" s="119"/>
      <x:c r="P141" s="119"/>
      <x:c r="Q141" s="119"/>
      <x:c r="R141" s="119"/>
      <x:c r="S141" s="119"/>
      <x:c r="T141" s="119"/>
      <x:c r="U141" s="119"/>
      <x:c r="V141" s="119"/>
      <x:c r="W141" s="119"/>
      <x:c r="X141" s="119"/>
      <x:c r="Y141" s="133" t="str">
        <x:f>IF(K141&lt;&gt;"Yes","",IFERROR(AVERAGE(M141:X141),""))</x:f>
      </x:c>
      <x:c r="Z141" s="119"/>
    </x:row>
    <x:row r="142">
      <x:c r="A142" s="119"/>
      <x:c r="B142" s="119"/>
      <x:c r="C142" s="119"/>
      <x:c r="D142" s="119"/>
      <x:c r="E142" s="119"/>
      <x:c r="F142" s="119"/>
      <x:c r="G142" s="119"/>
      <x:c r="H142" s="130" t="str">
        <x:f>IF(A142="","",IF(AND(COUNTA(M142:X142)&gt;=SETUP!$B$10,COUNTIF(M142:X142,MAX(M142:X142))=COUNTA(M142:X142)),"Yes","No"))</x:f>
      </x:c>
      <x:c r="I142" s="130" t="str">
        <x:f>IF(A142="","",IF('SURVEY DESIGN'!C142&lt;&gt;"",--(M142=""),0)+IF('SURVEY DESIGN'!C143&lt;&gt;"",--(N142=""),0)+IF('SURVEY DESIGN'!C144&lt;&gt;"",--(O142=""),0)+IF('SURVEY DESIGN'!C145&lt;&gt;"",--(P142=""),0)+IF('SURVEY DESIGN'!C146&lt;&gt;"",--(Q142=""),0)+IF('SURVEY DESIGN'!C147&lt;&gt;"",--(R142=""),0)+IF('SURVEY DESIGN'!C148&lt;&gt;"",--(S142=""),0)+IF('SURVEY DESIGN'!C149&lt;&gt;"",--(T142=""),0)+IF('SURVEY DESIGN'!C150&lt;&gt;"",--(U142=""),0)+IF('SURVEY DESIGN'!C151&lt;&gt;"",--(V142=""),0)+IF('SURVEY DESIGN'!C152&lt;&gt;"",--(W142=""),0)+IF('SURVEY DESIGN'!C153&lt;&gt;"",--(X142=""),0))</x:f>
      </x:c>
      <x:c r="J142" s="130" t="str">
        <x:f>IF(A142="","",IF(C142&lt;&gt;"Yes","NO CONSENT",IF(F142&lt;SETUP!$B$9,"SPEEDING",IF(G142&lt;&gt;"Yes","ATTENTION CHECK",IF(H142="Yes","STRAIGHTLINE REVIEW",IF(I142&gt;0,"MISSING ITEMS","OK"))))))</x:f>
      </x:c>
      <x:c r="K142" s="130" t="str">
        <x:f>IF(A142="","",IF(J142="OK","Yes","No"))</x:f>
      </x:c>
      <x:c r="L142" s="130" t="str">
        <x:f>IF(A142="","",IF(J142="OK","",IF(J142="NO CONSENT","Consent not affirmed",IF(J142="SPEEDING","Completion time below threshold",IF(J142="ATTENTION CHECK","Attention check failed",IF(J142="STRAIGHTLINE REVIEW","Straightlining review threshold met","Missing scored item(s)"))))))</x:f>
      </x:c>
      <x:c r="M142" s="119"/>
      <x:c r="N142" s="119"/>
      <x:c r="O142" s="119"/>
      <x:c r="P142" s="119"/>
      <x:c r="Q142" s="119"/>
      <x:c r="R142" s="119"/>
      <x:c r="S142" s="119"/>
      <x:c r="T142" s="119"/>
      <x:c r="U142" s="119"/>
      <x:c r="V142" s="119"/>
      <x:c r="W142" s="119"/>
      <x:c r="X142" s="119"/>
      <x:c r="Y142" s="133" t="str">
        <x:f>IF(K142&lt;&gt;"Yes","",IFERROR(AVERAGE(M142:X142),""))</x:f>
      </x:c>
      <x:c r="Z142" s="119"/>
    </x:row>
    <x:row r="143">
      <x:c r="A143" s="119"/>
      <x:c r="B143" s="119"/>
      <x:c r="C143" s="119"/>
      <x:c r="D143" s="119"/>
      <x:c r="E143" s="119"/>
      <x:c r="F143" s="119"/>
      <x:c r="G143" s="119"/>
      <x:c r="H143" s="130" t="str">
        <x:f>IF(A143="","",IF(AND(COUNTA(M143:X143)&gt;=SETUP!$B$10,COUNTIF(M143:X143,MAX(M143:X143))=COUNTA(M143:X143)),"Yes","No"))</x:f>
      </x:c>
      <x:c r="I143" s="130" t="str">
        <x:f>IF(A143="","",IF('SURVEY DESIGN'!C143&lt;&gt;"",--(M143=""),0)+IF('SURVEY DESIGN'!C144&lt;&gt;"",--(N143=""),0)+IF('SURVEY DESIGN'!C145&lt;&gt;"",--(O143=""),0)+IF('SURVEY DESIGN'!C146&lt;&gt;"",--(P143=""),0)+IF('SURVEY DESIGN'!C147&lt;&gt;"",--(Q143=""),0)+IF('SURVEY DESIGN'!C148&lt;&gt;"",--(R143=""),0)+IF('SURVEY DESIGN'!C149&lt;&gt;"",--(S143=""),0)+IF('SURVEY DESIGN'!C150&lt;&gt;"",--(T143=""),0)+IF('SURVEY DESIGN'!C151&lt;&gt;"",--(U143=""),0)+IF('SURVEY DESIGN'!C152&lt;&gt;"",--(V143=""),0)+IF('SURVEY DESIGN'!C153&lt;&gt;"",--(W143=""),0)+IF('SURVEY DESIGN'!C154&lt;&gt;"",--(X143=""),0))</x:f>
      </x:c>
      <x:c r="J143" s="130" t="str">
        <x:f>IF(A143="","",IF(C143&lt;&gt;"Yes","NO CONSENT",IF(F143&lt;SETUP!$B$9,"SPEEDING",IF(G143&lt;&gt;"Yes","ATTENTION CHECK",IF(H143="Yes","STRAIGHTLINE REVIEW",IF(I143&gt;0,"MISSING ITEMS","OK"))))))</x:f>
      </x:c>
      <x:c r="K143" s="130" t="str">
        <x:f>IF(A143="","",IF(J143="OK","Yes","No"))</x:f>
      </x:c>
      <x:c r="L143" s="130" t="str">
        <x:f>IF(A143="","",IF(J143="OK","",IF(J143="NO CONSENT","Consent not affirmed",IF(J143="SPEEDING","Completion time below threshold",IF(J143="ATTENTION CHECK","Attention check failed",IF(J143="STRAIGHTLINE REVIEW","Straightlining review threshold met","Missing scored item(s)"))))))</x:f>
      </x:c>
      <x:c r="M143" s="119"/>
      <x:c r="N143" s="119"/>
      <x:c r="O143" s="119"/>
      <x:c r="P143" s="119"/>
      <x:c r="Q143" s="119"/>
      <x:c r="R143" s="119"/>
      <x:c r="S143" s="119"/>
      <x:c r="T143" s="119"/>
      <x:c r="U143" s="119"/>
      <x:c r="V143" s="119"/>
      <x:c r="W143" s="119"/>
      <x:c r="X143" s="119"/>
      <x:c r="Y143" s="133" t="str">
        <x:f>IF(K143&lt;&gt;"Yes","",IFERROR(AVERAGE(M143:X143),""))</x:f>
      </x:c>
      <x:c r="Z143" s="119"/>
    </x:row>
    <x:row r="144">
      <x:c r="A144" s="119"/>
      <x:c r="B144" s="119"/>
      <x:c r="C144" s="119"/>
      <x:c r="D144" s="119"/>
      <x:c r="E144" s="119"/>
      <x:c r="F144" s="119"/>
      <x:c r="G144" s="119"/>
      <x:c r="H144" s="130" t="str">
        <x:f>IF(A144="","",IF(AND(COUNTA(M144:X144)&gt;=SETUP!$B$10,COUNTIF(M144:X144,MAX(M144:X144))=COUNTA(M144:X144)),"Yes","No"))</x:f>
      </x:c>
      <x:c r="I144" s="130" t="str">
        <x:f>IF(A144="","",IF('SURVEY DESIGN'!C144&lt;&gt;"",--(M144=""),0)+IF('SURVEY DESIGN'!C145&lt;&gt;"",--(N144=""),0)+IF('SURVEY DESIGN'!C146&lt;&gt;"",--(O144=""),0)+IF('SURVEY DESIGN'!C147&lt;&gt;"",--(P144=""),0)+IF('SURVEY DESIGN'!C148&lt;&gt;"",--(Q144=""),0)+IF('SURVEY DESIGN'!C149&lt;&gt;"",--(R144=""),0)+IF('SURVEY DESIGN'!C150&lt;&gt;"",--(S144=""),0)+IF('SURVEY DESIGN'!C151&lt;&gt;"",--(T144=""),0)+IF('SURVEY DESIGN'!C152&lt;&gt;"",--(U144=""),0)+IF('SURVEY DESIGN'!C153&lt;&gt;"",--(V144=""),0)+IF('SURVEY DESIGN'!C154&lt;&gt;"",--(W144=""),0)+IF('SURVEY DESIGN'!C155&lt;&gt;"",--(X144=""),0))</x:f>
      </x:c>
      <x:c r="J144" s="130" t="str">
        <x:f>IF(A144="","",IF(C144&lt;&gt;"Yes","NO CONSENT",IF(F144&lt;SETUP!$B$9,"SPEEDING",IF(G144&lt;&gt;"Yes","ATTENTION CHECK",IF(H144="Yes","STRAIGHTLINE REVIEW",IF(I144&gt;0,"MISSING ITEMS","OK"))))))</x:f>
      </x:c>
      <x:c r="K144" s="130" t="str">
        <x:f>IF(A144="","",IF(J144="OK","Yes","No"))</x:f>
      </x:c>
      <x:c r="L144" s="130" t="str">
        <x:f>IF(A144="","",IF(J144="OK","",IF(J144="NO CONSENT","Consent not affirmed",IF(J144="SPEEDING","Completion time below threshold",IF(J144="ATTENTION CHECK","Attention check failed",IF(J144="STRAIGHTLINE REVIEW","Straightlining review threshold met","Missing scored item(s)"))))))</x:f>
      </x:c>
      <x:c r="M144" s="119"/>
      <x:c r="N144" s="119"/>
      <x:c r="O144" s="119"/>
      <x:c r="P144" s="119"/>
      <x:c r="Q144" s="119"/>
      <x:c r="R144" s="119"/>
      <x:c r="S144" s="119"/>
      <x:c r="T144" s="119"/>
      <x:c r="U144" s="119"/>
      <x:c r="V144" s="119"/>
      <x:c r="W144" s="119"/>
      <x:c r="X144" s="119"/>
      <x:c r="Y144" s="133" t="str">
        <x:f>IF(K144&lt;&gt;"Yes","",IFERROR(AVERAGE(M144:X144),""))</x:f>
      </x:c>
      <x:c r="Z144" s="119"/>
    </x:row>
    <x:row r="145">
      <x:c r="A145" s="119"/>
      <x:c r="B145" s="119"/>
      <x:c r="C145" s="119"/>
      <x:c r="D145" s="119"/>
      <x:c r="E145" s="119"/>
      <x:c r="F145" s="119"/>
      <x:c r="G145" s="119"/>
      <x:c r="H145" s="130" t="str">
        <x:f>IF(A145="","",IF(AND(COUNTA(M145:X145)&gt;=SETUP!$B$10,COUNTIF(M145:X145,MAX(M145:X145))=COUNTA(M145:X145)),"Yes","No"))</x:f>
      </x:c>
      <x:c r="I145" s="130" t="str">
        <x:f>IF(A145="","",IF('SURVEY DESIGN'!C145&lt;&gt;"",--(M145=""),0)+IF('SURVEY DESIGN'!C146&lt;&gt;"",--(N145=""),0)+IF('SURVEY DESIGN'!C147&lt;&gt;"",--(O145=""),0)+IF('SURVEY DESIGN'!C148&lt;&gt;"",--(P145=""),0)+IF('SURVEY DESIGN'!C149&lt;&gt;"",--(Q145=""),0)+IF('SURVEY DESIGN'!C150&lt;&gt;"",--(R145=""),0)+IF('SURVEY DESIGN'!C151&lt;&gt;"",--(S145=""),0)+IF('SURVEY DESIGN'!C152&lt;&gt;"",--(T145=""),0)+IF('SURVEY DESIGN'!C153&lt;&gt;"",--(U145=""),0)+IF('SURVEY DESIGN'!C154&lt;&gt;"",--(V145=""),0)+IF('SURVEY DESIGN'!C155&lt;&gt;"",--(W145=""),0)+IF('SURVEY DESIGN'!C156&lt;&gt;"",--(X145=""),0))</x:f>
      </x:c>
      <x:c r="J145" s="130" t="str">
        <x:f>IF(A145="","",IF(C145&lt;&gt;"Yes","NO CONSENT",IF(F145&lt;SETUP!$B$9,"SPEEDING",IF(G145&lt;&gt;"Yes","ATTENTION CHECK",IF(H145="Yes","STRAIGHTLINE REVIEW",IF(I145&gt;0,"MISSING ITEMS","OK"))))))</x:f>
      </x:c>
      <x:c r="K145" s="130" t="str">
        <x:f>IF(A145="","",IF(J145="OK","Yes","No"))</x:f>
      </x:c>
      <x:c r="L145" s="130" t="str">
        <x:f>IF(A145="","",IF(J145="OK","",IF(J145="NO CONSENT","Consent not affirmed",IF(J145="SPEEDING","Completion time below threshold",IF(J145="ATTENTION CHECK","Attention check failed",IF(J145="STRAIGHTLINE REVIEW","Straightlining review threshold met","Missing scored item(s)"))))))</x:f>
      </x:c>
      <x:c r="M145" s="119"/>
      <x:c r="N145" s="119"/>
      <x:c r="O145" s="119"/>
      <x:c r="P145" s="119"/>
      <x:c r="Q145" s="119"/>
      <x:c r="R145" s="119"/>
      <x:c r="S145" s="119"/>
      <x:c r="T145" s="119"/>
      <x:c r="U145" s="119"/>
      <x:c r="V145" s="119"/>
      <x:c r="W145" s="119"/>
      <x:c r="X145" s="119"/>
      <x:c r="Y145" s="133" t="str">
        <x:f>IF(K145&lt;&gt;"Yes","",IFERROR(AVERAGE(M145:X145),""))</x:f>
      </x:c>
      <x:c r="Z145" s="119"/>
    </x:row>
    <x:row r="146">
      <x:c r="A146" s="119"/>
      <x:c r="B146" s="119"/>
      <x:c r="C146" s="119"/>
      <x:c r="D146" s="119"/>
      <x:c r="E146" s="119"/>
      <x:c r="F146" s="119"/>
      <x:c r="G146" s="119"/>
      <x:c r="H146" s="130" t="str">
        <x:f>IF(A146="","",IF(AND(COUNTA(M146:X146)&gt;=SETUP!$B$10,COUNTIF(M146:X146,MAX(M146:X146))=COUNTA(M146:X146)),"Yes","No"))</x:f>
      </x:c>
      <x:c r="I146" s="130" t="str">
        <x:f>IF(A146="","",IF('SURVEY DESIGN'!C146&lt;&gt;"",--(M146=""),0)+IF('SURVEY DESIGN'!C147&lt;&gt;"",--(N146=""),0)+IF('SURVEY DESIGN'!C148&lt;&gt;"",--(O146=""),0)+IF('SURVEY DESIGN'!C149&lt;&gt;"",--(P146=""),0)+IF('SURVEY DESIGN'!C150&lt;&gt;"",--(Q146=""),0)+IF('SURVEY DESIGN'!C151&lt;&gt;"",--(R146=""),0)+IF('SURVEY DESIGN'!C152&lt;&gt;"",--(S146=""),0)+IF('SURVEY DESIGN'!C153&lt;&gt;"",--(T146=""),0)+IF('SURVEY DESIGN'!C154&lt;&gt;"",--(U146=""),0)+IF('SURVEY DESIGN'!C155&lt;&gt;"",--(V146=""),0)+IF('SURVEY DESIGN'!C156&lt;&gt;"",--(W146=""),0)+IF('SURVEY DESIGN'!C157&lt;&gt;"",--(X146=""),0))</x:f>
      </x:c>
      <x:c r="J146" s="130" t="str">
        <x:f>IF(A146="","",IF(C146&lt;&gt;"Yes","NO CONSENT",IF(F146&lt;SETUP!$B$9,"SPEEDING",IF(G146&lt;&gt;"Yes","ATTENTION CHECK",IF(H146="Yes","STRAIGHTLINE REVIEW",IF(I146&gt;0,"MISSING ITEMS","OK"))))))</x:f>
      </x:c>
      <x:c r="K146" s="130" t="str">
        <x:f>IF(A146="","",IF(J146="OK","Yes","No"))</x:f>
      </x:c>
      <x:c r="L146" s="130" t="str">
        <x:f>IF(A146="","",IF(J146="OK","",IF(J146="NO CONSENT","Consent not affirmed",IF(J146="SPEEDING","Completion time below threshold",IF(J146="ATTENTION CHECK","Attention check failed",IF(J146="STRAIGHTLINE REVIEW","Straightlining review threshold met","Missing scored item(s)"))))))</x:f>
      </x:c>
      <x:c r="M146" s="119"/>
      <x:c r="N146" s="119"/>
      <x:c r="O146" s="119"/>
      <x:c r="P146" s="119"/>
      <x:c r="Q146" s="119"/>
      <x:c r="R146" s="119"/>
      <x:c r="S146" s="119"/>
      <x:c r="T146" s="119"/>
      <x:c r="U146" s="119"/>
      <x:c r="V146" s="119"/>
      <x:c r="W146" s="119"/>
      <x:c r="X146" s="119"/>
      <x:c r="Y146" s="133" t="str">
        <x:f>IF(K146&lt;&gt;"Yes","",IFERROR(AVERAGE(M146:X146),""))</x:f>
      </x:c>
      <x:c r="Z146" s="119"/>
    </x:row>
    <x:row r="147">
      <x:c r="A147" s="119"/>
      <x:c r="B147" s="119"/>
      <x:c r="C147" s="119"/>
      <x:c r="D147" s="119"/>
      <x:c r="E147" s="119"/>
      <x:c r="F147" s="119"/>
      <x:c r="G147" s="119"/>
      <x:c r="H147" s="130" t="str">
        <x:f>IF(A147="","",IF(AND(COUNTA(M147:X147)&gt;=SETUP!$B$10,COUNTIF(M147:X147,MAX(M147:X147))=COUNTA(M147:X147)),"Yes","No"))</x:f>
      </x:c>
      <x:c r="I147" s="130" t="str">
        <x:f>IF(A147="","",IF('SURVEY DESIGN'!C147&lt;&gt;"",--(M147=""),0)+IF('SURVEY DESIGN'!C148&lt;&gt;"",--(N147=""),0)+IF('SURVEY DESIGN'!C149&lt;&gt;"",--(O147=""),0)+IF('SURVEY DESIGN'!C150&lt;&gt;"",--(P147=""),0)+IF('SURVEY DESIGN'!C151&lt;&gt;"",--(Q147=""),0)+IF('SURVEY DESIGN'!C152&lt;&gt;"",--(R147=""),0)+IF('SURVEY DESIGN'!C153&lt;&gt;"",--(S147=""),0)+IF('SURVEY DESIGN'!C154&lt;&gt;"",--(T147=""),0)+IF('SURVEY DESIGN'!C155&lt;&gt;"",--(U147=""),0)+IF('SURVEY DESIGN'!C156&lt;&gt;"",--(V147=""),0)+IF('SURVEY DESIGN'!C157&lt;&gt;"",--(W147=""),0)+IF('SURVEY DESIGN'!C158&lt;&gt;"",--(X147=""),0))</x:f>
      </x:c>
      <x:c r="J147" s="130" t="str">
        <x:f>IF(A147="","",IF(C147&lt;&gt;"Yes","NO CONSENT",IF(F147&lt;SETUP!$B$9,"SPEEDING",IF(G147&lt;&gt;"Yes","ATTENTION CHECK",IF(H147="Yes","STRAIGHTLINE REVIEW",IF(I147&gt;0,"MISSING ITEMS","OK"))))))</x:f>
      </x:c>
      <x:c r="K147" s="130" t="str">
        <x:f>IF(A147="","",IF(J147="OK","Yes","No"))</x:f>
      </x:c>
      <x:c r="L147" s="130" t="str">
        <x:f>IF(A147="","",IF(J147="OK","",IF(J147="NO CONSENT","Consent not affirmed",IF(J147="SPEEDING","Completion time below threshold",IF(J147="ATTENTION CHECK","Attention check failed",IF(J147="STRAIGHTLINE REVIEW","Straightlining review threshold met","Missing scored item(s)"))))))</x:f>
      </x:c>
      <x:c r="M147" s="119"/>
      <x:c r="N147" s="119"/>
      <x:c r="O147" s="119"/>
      <x:c r="P147" s="119"/>
      <x:c r="Q147" s="119"/>
      <x:c r="R147" s="119"/>
      <x:c r="S147" s="119"/>
      <x:c r="T147" s="119"/>
      <x:c r="U147" s="119"/>
      <x:c r="V147" s="119"/>
      <x:c r="W147" s="119"/>
      <x:c r="X147" s="119"/>
      <x:c r="Y147" s="133" t="str">
        <x:f>IF(K147&lt;&gt;"Yes","",IFERROR(AVERAGE(M147:X147),""))</x:f>
      </x:c>
      <x:c r="Z147" s="119"/>
    </x:row>
    <x:row r="148">
      <x:c r="A148" s="119"/>
      <x:c r="B148" s="119"/>
      <x:c r="C148" s="119"/>
      <x:c r="D148" s="119"/>
      <x:c r="E148" s="119"/>
      <x:c r="F148" s="119"/>
      <x:c r="G148" s="119"/>
      <x:c r="H148" s="130" t="str">
        <x:f>IF(A148="","",IF(AND(COUNTA(M148:X148)&gt;=SETUP!$B$10,COUNTIF(M148:X148,MAX(M148:X148))=COUNTA(M148:X148)),"Yes","No"))</x:f>
      </x:c>
      <x:c r="I148" s="130" t="str">
        <x:f>IF(A148="","",IF('SURVEY DESIGN'!C148&lt;&gt;"",--(M148=""),0)+IF('SURVEY DESIGN'!C149&lt;&gt;"",--(N148=""),0)+IF('SURVEY DESIGN'!C150&lt;&gt;"",--(O148=""),0)+IF('SURVEY DESIGN'!C151&lt;&gt;"",--(P148=""),0)+IF('SURVEY DESIGN'!C152&lt;&gt;"",--(Q148=""),0)+IF('SURVEY DESIGN'!C153&lt;&gt;"",--(R148=""),0)+IF('SURVEY DESIGN'!C154&lt;&gt;"",--(S148=""),0)+IF('SURVEY DESIGN'!C155&lt;&gt;"",--(T148=""),0)+IF('SURVEY DESIGN'!C156&lt;&gt;"",--(U148=""),0)+IF('SURVEY DESIGN'!C157&lt;&gt;"",--(V148=""),0)+IF('SURVEY DESIGN'!C158&lt;&gt;"",--(W148=""),0)+IF('SURVEY DESIGN'!C159&lt;&gt;"",--(X148=""),0))</x:f>
      </x:c>
      <x:c r="J148" s="130" t="str">
        <x:f>IF(A148="","",IF(C148&lt;&gt;"Yes","NO CONSENT",IF(F148&lt;SETUP!$B$9,"SPEEDING",IF(G148&lt;&gt;"Yes","ATTENTION CHECK",IF(H148="Yes","STRAIGHTLINE REVIEW",IF(I148&gt;0,"MISSING ITEMS","OK"))))))</x:f>
      </x:c>
      <x:c r="K148" s="130" t="str">
        <x:f>IF(A148="","",IF(J148="OK","Yes","No"))</x:f>
      </x:c>
      <x:c r="L148" s="130" t="str">
        <x:f>IF(A148="","",IF(J148="OK","",IF(J148="NO CONSENT","Consent not affirmed",IF(J148="SPEEDING","Completion time below threshold",IF(J148="ATTENTION CHECK","Attention check failed",IF(J148="STRAIGHTLINE REVIEW","Straightlining review threshold met","Missing scored item(s)"))))))</x:f>
      </x:c>
      <x:c r="M148" s="119"/>
      <x:c r="N148" s="119"/>
      <x:c r="O148" s="119"/>
      <x:c r="P148" s="119"/>
      <x:c r="Q148" s="119"/>
      <x:c r="R148" s="119"/>
      <x:c r="S148" s="119"/>
      <x:c r="T148" s="119"/>
      <x:c r="U148" s="119"/>
      <x:c r="V148" s="119"/>
      <x:c r="W148" s="119"/>
      <x:c r="X148" s="119"/>
      <x:c r="Y148" s="133" t="str">
        <x:f>IF(K148&lt;&gt;"Yes","",IFERROR(AVERAGE(M148:X148),""))</x:f>
      </x:c>
      <x:c r="Z148" s="119"/>
    </x:row>
    <x:row r="149">
      <x:c r="A149" s="119"/>
      <x:c r="B149" s="119"/>
      <x:c r="C149" s="119"/>
      <x:c r="D149" s="119"/>
      <x:c r="E149" s="119"/>
      <x:c r="F149" s="119"/>
      <x:c r="G149" s="119"/>
      <x:c r="H149" s="130" t="str">
        <x:f>IF(A149="","",IF(AND(COUNTA(M149:X149)&gt;=SETUP!$B$10,COUNTIF(M149:X149,MAX(M149:X149))=COUNTA(M149:X149)),"Yes","No"))</x:f>
      </x:c>
      <x:c r="I149" s="130" t="str">
        <x:f>IF(A149="","",IF('SURVEY DESIGN'!C149&lt;&gt;"",--(M149=""),0)+IF('SURVEY DESIGN'!C150&lt;&gt;"",--(N149=""),0)+IF('SURVEY DESIGN'!C151&lt;&gt;"",--(O149=""),0)+IF('SURVEY DESIGN'!C152&lt;&gt;"",--(P149=""),0)+IF('SURVEY DESIGN'!C153&lt;&gt;"",--(Q149=""),0)+IF('SURVEY DESIGN'!C154&lt;&gt;"",--(R149=""),0)+IF('SURVEY DESIGN'!C155&lt;&gt;"",--(S149=""),0)+IF('SURVEY DESIGN'!C156&lt;&gt;"",--(T149=""),0)+IF('SURVEY DESIGN'!C157&lt;&gt;"",--(U149=""),0)+IF('SURVEY DESIGN'!C158&lt;&gt;"",--(V149=""),0)+IF('SURVEY DESIGN'!C159&lt;&gt;"",--(W149=""),0)+IF('SURVEY DESIGN'!C160&lt;&gt;"",--(X149=""),0))</x:f>
      </x:c>
      <x:c r="J149" s="130" t="str">
        <x:f>IF(A149="","",IF(C149&lt;&gt;"Yes","NO CONSENT",IF(F149&lt;SETUP!$B$9,"SPEEDING",IF(G149&lt;&gt;"Yes","ATTENTION CHECK",IF(H149="Yes","STRAIGHTLINE REVIEW",IF(I149&gt;0,"MISSING ITEMS","OK"))))))</x:f>
      </x:c>
      <x:c r="K149" s="130" t="str">
        <x:f>IF(A149="","",IF(J149="OK","Yes","No"))</x:f>
      </x:c>
      <x:c r="L149" s="130" t="str">
        <x:f>IF(A149="","",IF(J149="OK","",IF(J149="NO CONSENT","Consent not affirmed",IF(J149="SPEEDING","Completion time below threshold",IF(J149="ATTENTION CHECK","Attention check failed",IF(J149="STRAIGHTLINE REVIEW","Straightlining review threshold met","Missing scored item(s)"))))))</x:f>
      </x:c>
      <x:c r="M149" s="119"/>
      <x:c r="N149" s="119"/>
      <x:c r="O149" s="119"/>
      <x:c r="P149" s="119"/>
      <x:c r="Q149" s="119"/>
      <x:c r="R149" s="119"/>
      <x:c r="S149" s="119"/>
      <x:c r="T149" s="119"/>
      <x:c r="U149" s="119"/>
      <x:c r="V149" s="119"/>
      <x:c r="W149" s="119"/>
      <x:c r="X149" s="119"/>
      <x:c r="Y149" s="133" t="str">
        <x:f>IF(K149&lt;&gt;"Yes","",IFERROR(AVERAGE(M149:X149),""))</x:f>
      </x:c>
      <x:c r="Z149" s="119"/>
    </x:row>
    <x:row r="150">
      <x:c r="A150" s="119"/>
      <x:c r="B150" s="119"/>
      <x:c r="C150" s="119"/>
      <x:c r="D150" s="119"/>
      <x:c r="E150" s="119"/>
      <x:c r="F150" s="119"/>
      <x:c r="G150" s="119"/>
      <x:c r="H150" s="130" t="str">
        <x:f>IF(A150="","",IF(AND(COUNTA(M150:X150)&gt;=SETUP!$B$10,COUNTIF(M150:X150,MAX(M150:X150))=COUNTA(M150:X150)),"Yes","No"))</x:f>
      </x:c>
      <x:c r="I150" s="130" t="str">
        <x:f>IF(A150="","",IF('SURVEY DESIGN'!C150&lt;&gt;"",--(M150=""),0)+IF('SURVEY DESIGN'!C151&lt;&gt;"",--(N150=""),0)+IF('SURVEY DESIGN'!C152&lt;&gt;"",--(O150=""),0)+IF('SURVEY DESIGN'!C153&lt;&gt;"",--(P150=""),0)+IF('SURVEY DESIGN'!C154&lt;&gt;"",--(Q150=""),0)+IF('SURVEY DESIGN'!C155&lt;&gt;"",--(R150=""),0)+IF('SURVEY DESIGN'!C156&lt;&gt;"",--(S150=""),0)+IF('SURVEY DESIGN'!C157&lt;&gt;"",--(T150=""),0)+IF('SURVEY DESIGN'!C158&lt;&gt;"",--(U150=""),0)+IF('SURVEY DESIGN'!C159&lt;&gt;"",--(V150=""),0)+IF('SURVEY DESIGN'!C160&lt;&gt;"",--(W150=""),0)+IF('SURVEY DESIGN'!C161&lt;&gt;"",--(X150=""),0))</x:f>
      </x:c>
      <x:c r="J150" s="130" t="str">
        <x:f>IF(A150="","",IF(C150&lt;&gt;"Yes","NO CONSENT",IF(F150&lt;SETUP!$B$9,"SPEEDING",IF(G150&lt;&gt;"Yes","ATTENTION CHECK",IF(H150="Yes","STRAIGHTLINE REVIEW",IF(I150&gt;0,"MISSING ITEMS","OK"))))))</x:f>
      </x:c>
      <x:c r="K150" s="130" t="str">
        <x:f>IF(A150="","",IF(J150="OK","Yes","No"))</x:f>
      </x:c>
      <x:c r="L150" s="130" t="str">
        <x:f>IF(A150="","",IF(J150="OK","",IF(J150="NO CONSENT","Consent not affirmed",IF(J150="SPEEDING","Completion time below threshold",IF(J150="ATTENTION CHECK","Attention check failed",IF(J150="STRAIGHTLINE REVIEW","Straightlining review threshold met","Missing scored item(s)"))))))</x:f>
      </x:c>
      <x:c r="M150" s="119"/>
      <x:c r="N150" s="119"/>
      <x:c r="O150" s="119"/>
      <x:c r="P150" s="119"/>
      <x:c r="Q150" s="119"/>
      <x:c r="R150" s="119"/>
      <x:c r="S150" s="119"/>
      <x:c r="T150" s="119"/>
      <x:c r="U150" s="119"/>
      <x:c r="V150" s="119"/>
      <x:c r="W150" s="119"/>
      <x:c r="X150" s="119"/>
      <x:c r="Y150" s="133" t="str">
        <x:f>IF(K150&lt;&gt;"Yes","",IFERROR(AVERAGE(M150:X150),""))</x:f>
      </x:c>
      <x:c r="Z150" s="119"/>
    </x:row>
    <x:row r="151">
      <x:c r="A151" s="119"/>
      <x:c r="B151" s="119"/>
      <x:c r="C151" s="119"/>
      <x:c r="D151" s="119"/>
      <x:c r="E151" s="119"/>
      <x:c r="F151" s="119"/>
      <x:c r="G151" s="119"/>
      <x:c r="H151" s="130" t="str">
        <x:f>IF(A151="","",IF(AND(COUNTA(M151:X151)&gt;=SETUP!$B$10,COUNTIF(M151:X151,MAX(M151:X151))=COUNTA(M151:X151)),"Yes","No"))</x:f>
      </x:c>
      <x:c r="I151" s="130" t="str">
        <x:f>IF(A151="","",IF('SURVEY DESIGN'!C151&lt;&gt;"",--(M151=""),0)+IF('SURVEY DESIGN'!C152&lt;&gt;"",--(N151=""),0)+IF('SURVEY DESIGN'!C153&lt;&gt;"",--(O151=""),0)+IF('SURVEY DESIGN'!C154&lt;&gt;"",--(P151=""),0)+IF('SURVEY DESIGN'!C155&lt;&gt;"",--(Q151=""),0)+IF('SURVEY DESIGN'!C156&lt;&gt;"",--(R151=""),0)+IF('SURVEY DESIGN'!C157&lt;&gt;"",--(S151=""),0)+IF('SURVEY DESIGN'!C158&lt;&gt;"",--(T151=""),0)+IF('SURVEY DESIGN'!C159&lt;&gt;"",--(U151=""),0)+IF('SURVEY DESIGN'!C160&lt;&gt;"",--(V151=""),0)+IF('SURVEY DESIGN'!C161&lt;&gt;"",--(W151=""),0)+IF('SURVEY DESIGN'!C162&lt;&gt;"",--(X151=""),0))</x:f>
      </x:c>
      <x:c r="J151" s="130" t="str">
        <x:f>IF(A151="","",IF(C151&lt;&gt;"Yes","NO CONSENT",IF(F151&lt;SETUP!$B$9,"SPEEDING",IF(G151&lt;&gt;"Yes","ATTENTION CHECK",IF(H151="Yes","STRAIGHTLINE REVIEW",IF(I151&gt;0,"MISSING ITEMS","OK"))))))</x:f>
      </x:c>
      <x:c r="K151" s="130" t="str">
        <x:f>IF(A151="","",IF(J151="OK","Yes","No"))</x:f>
      </x:c>
      <x:c r="L151" s="130" t="str">
        <x:f>IF(A151="","",IF(J151="OK","",IF(J151="NO CONSENT","Consent not affirmed",IF(J151="SPEEDING","Completion time below threshold",IF(J151="ATTENTION CHECK","Attention check failed",IF(J151="STRAIGHTLINE REVIEW","Straightlining review threshold met","Missing scored item(s)"))))))</x:f>
      </x:c>
      <x:c r="M151" s="119"/>
      <x:c r="N151" s="119"/>
      <x:c r="O151" s="119"/>
      <x:c r="P151" s="119"/>
      <x:c r="Q151" s="119"/>
      <x:c r="R151" s="119"/>
      <x:c r="S151" s="119"/>
      <x:c r="T151" s="119"/>
      <x:c r="U151" s="119"/>
      <x:c r="V151" s="119"/>
      <x:c r="W151" s="119"/>
      <x:c r="X151" s="119"/>
      <x:c r="Y151" s="133" t="str">
        <x:f>IF(K151&lt;&gt;"Yes","",IFERROR(AVERAGE(M151:X151),""))</x:f>
      </x:c>
      <x:c r="Z151" s="119"/>
    </x:row>
    <x:row r="152">
      <x:c r="A152" s="119"/>
      <x:c r="B152" s="119"/>
      <x:c r="C152" s="119"/>
      <x:c r="D152" s="119"/>
      <x:c r="E152" s="119"/>
      <x:c r="F152" s="119"/>
      <x:c r="G152" s="119"/>
      <x:c r="H152" s="130" t="str">
        <x:f>IF(A152="","",IF(AND(COUNTA(M152:X152)&gt;=SETUP!$B$10,COUNTIF(M152:X152,MAX(M152:X152))=COUNTA(M152:X152)),"Yes","No"))</x:f>
      </x:c>
      <x:c r="I152" s="130" t="str">
        <x:f>IF(A152="","",IF('SURVEY DESIGN'!C152&lt;&gt;"",--(M152=""),0)+IF('SURVEY DESIGN'!C153&lt;&gt;"",--(N152=""),0)+IF('SURVEY DESIGN'!C154&lt;&gt;"",--(O152=""),0)+IF('SURVEY DESIGN'!C155&lt;&gt;"",--(P152=""),0)+IF('SURVEY DESIGN'!C156&lt;&gt;"",--(Q152=""),0)+IF('SURVEY DESIGN'!C157&lt;&gt;"",--(R152=""),0)+IF('SURVEY DESIGN'!C158&lt;&gt;"",--(S152=""),0)+IF('SURVEY DESIGN'!C159&lt;&gt;"",--(T152=""),0)+IF('SURVEY DESIGN'!C160&lt;&gt;"",--(U152=""),0)+IF('SURVEY DESIGN'!C161&lt;&gt;"",--(V152=""),0)+IF('SURVEY DESIGN'!C162&lt;&gt;"",--(W152=""),0)+IF('SURVEY DESIGN'!C163&lt;&gt;"",--(X152=""),0))</x:f>
      </x:c>
      <x:c r="J152" s="130" t="str">
        <x:f>IF(A152="","",IF(C152&lt;&gt;"Yes","NO CONSENT",IF(F152&lt;SETUP!$B$9,"SPEEDING",IF(G152&lt;&gt;"Yes","ATTENTION CHECK",IF(H152="Yes","STRAIGHTLINE REVIEW",IF(I152&gt;0,"MISSING ITEMS","OK"))))))</x:f>
      </x:c>
      <x:c r="K152" s="130" t="str">
        <x:f>IF(A152="","",IF(J152="OK","Yes","No"))</x:f>
      </x:c>
      <x:c r="L152" s="130" t="str">
        <x:f>IF(A152="","",IF(J152="OK","",IF(J152="NO CONSENT","Consent not affirmed",IF(J152="SPEEDING","Completion time below threshold",IF(J152="ATTENTION CHECK","Attention check failed",IF(J152="STRAIGHTLINE REVIEW","Straightlining review threshold met","Missing scored item(s)"))))))</x:f>
      </x:c>
      <x:c r="M152" s="119"/>
      <x:c r="N152" s="119"/>
      <x:c r="O152" s="119"/>
      <x:c r="P152" s="119"/>
      <x:c r="Q152" s="119"/>
      <x:c r="R152" s="119"/>
      <x:c r="S152" s="119"/>
      <x:c r="T152" s="119"/>
      <x:c r="U152" s="119"/>
      <x:c r="V152" s="119"/>
      <x:c r="W152" s="119"/>
      <x:c r="X152" s="119"/>
      <x:c r="Y152" s="133" t="str">
        <x:f>IF(K152&lt;&gt;"Yes","",IFERROR(AVERAGE(M152:X152),""))</x:f>
      </x:c>
      <x:c r="Z152" s="119"/>
    </x:row>
    <x:row r="153">
      <x:c r="A153" s="119"/>
      <x:c r="B153" s="119"/>
      <x:c r="C153" s="119"/>
      <x:c r="D153" s="119"/>
      <x:c r="E153" s="119"/>
      <x:c r="F153" s="119"/>
      <x:c r="G153" s="119"/>
      <x:c r="H153" s="130" t="str">
        <x:f>IF(A153="","",IF(AND(COUNTA(M153:X153)&gt;=SETUP!$B$10,COUNTIF(M153:X153,MAX(M153:X153))=COUNTA(M153:X153)),"Yes","No"))</x:f>
      </x:c>
      <x:c r="I153" s="130" t="str">
        <x:f>IF(A153="","",IF('SURVEY DESIGN'!C153&lt;&gt;"",--(M153=""),0)+IF('SURVEY DESIGN'!C154&lt;&gt;"",--(N153=""),0)+IF('SURVEY DESIGN'!C155&lt;&gt;"",--(O153=""),0)+IF('SURVEY DESIGN'!C156&lt;&gt;"",--(P153=""),0)+IF('SURVEY DESIGN'!C157&lt;&gt;"",--(Q153=""),0)+IF('SURVEY DESIGN'!C158&lt;&gt;"",--(R153=""),0)+IF('SURVEY DESIGN'!C159&lt;&gt;"",--(S153=""),0)+IF('SURVEY DESIGN'!C160&lt;&gt;"",--(T153=""),0)+IF('SURVEY DESIGN'!C161&lt;&gt;"",--(U153=""),0)+IF('SURVEY DESIGN'!C162&lt;&gt;"",--(V153=""),0)+IF('SURVEY DESIGN'!C163&lt;&gt;"",--(W153=""),0)+IF('SURVEY DESIGN'!C164&lt;&gt;"",--(X153=""),0))</x:f>
      </x:c>
      <x:c r="J153" s="130" t="str">
        <x:f>IF(A153="","",IF(C153&lt;&gt;"Yes","NO CONSENT",IF(F153&lt;SETUP!$B$9,"SPEEDING",IF(G153&lt;&gt;"Yes","ATTENTION CHECK",IF(H153="Yes","STRAIGHTLINE REVIEW",IF(I153&gt;0,"MISSING ITEMS","OK"))))))</x:f>
      </x:c>
      <x:c r="K153" s="130" t="str">
        <x:f>IF(A153="","",IF(J153="OK","Yes","No"))</x:f>
      </x:c>
      <x:c r="L153" s="130" t="str">
        <x:f>IF(A153="","",IF(J153="OK","",IF(J153="NO CONSENT","Consent not affirmed",IF(J153="SPEEDING","Completion time below threshold",IF(J153="ATTENTION CHECK","Attention check failed",IF(J153="STRAIGHTLINE REVIEW","Straightlining review threshold met","Missing scored item(s)"))))))</x:f>
      </x:c>
      <x:c r="M153" s="119"/>
      <x:c r="N153" s="119"/>
      <x:c r="O153" s="119"/>
      <x:c r="P153" s="119"/>
      <x:c r="Q153" s="119"/>
      <x:c r="R153" s="119"/>
      <x:c r="S153" s="119"/>
      <x:c r="T153" s="119"/>
      <x:c r="U153" s="119"/>
      <x:c r="V153" s="119"/>
      <x:c r="W153" s="119"/>
      <x:c r="X153" s="119"/>
      <x:c r="Y153" s="133" t="str">
        <x:f>IF(K153&lt;&gt;"Yes","",IFERROR(AVERAGE(M153:X153),""))</x:f>
      </x:c>
      <x:c r="Z153" s="119"/>
    </x:row>
    <x:row r="154">
      <x:c r="A154" s="119"/>
      <x:c r="B154" s="119"/>
      <x:c r="C154" s="119"/>
      <x:c r="D154" s="119"/>
      <x:c r="E154" s="119"/>
      <x:c r="F154" s="119"/>
      <x:c r="G154" s="119"/>
      <x:c r="H154" s="130" t="str">
        <x:f>IF(A154="","",IF(AND(COUNTA(M154:X154)&gt;=SETUP!$B$10,COUNTIF(M154:X154,MAX(M154:X154))=COUNTA(M154:X154)),"Yes","No"))</x:f>
      </x:c>
      <x:c r="I154" s="130" t="str">
        <x:f>IF(A154="","",IF('SURVEY DESIGN'!C154&lt;&gt;"",--(M154=""),0)+IF('SURVEY DESIGN'!C155&lt;&gt;"",--(N154=""),0)+IF('SURVEY DESIGN'!C156&lt;&gt;"",--(O154=""),0)+IF('SURVEY DESIGN'!C157&lt;&gt;"",--(P154=""),0)+IF('SURVEY DESIGN'!C158&lt;&gt;"",--(Q154=""),0)+IF('SURVEY DESIGN'!C159&lt;&gt;"",--(R154=""),0)+IF('SURVEY DESIGN'!C160&lt;&gt;"",--(S154=""),0)+IF('SURVEY DESIGN'!C161&lt;&gt;"",--(T154=""),0)+IF('SURVEY DESIGN'!C162&lt;&gt;"",--(U154=""),0)+IF('SURVEY DESIGN'!C163&lt;&gt;"",--(V154=""),0)+IF('SURVEY DESIGN'!C164&lt;&gt;"",--(W154=""),0)+IF('SURVEY DESIGN'!C165&lt;&gt;"",--(X154=""),0))</x:f>
      </x:c>
      <x:c r="J154" s="130" t="str">
        <x:f>IF(A154="","",IF(C154&lt;&gt;"Yes","NO CONSENT",IF(F154&lt;SETUP!$B$9,"SPEEDING",IF(G154&lt;&gt;"Yes","ATTENTION CHECK",IF(H154="Yes","STRAIGHTLINE REVIEW",IF(I154&gt;0,"MISSING ITEMS","OK"))))))</x:f>
      </x:c>
      <x:c r="K154" s="130" t="str">
        <x:f>IF(A154="","",IF(J154="OK","Yes","No"))</x:f>
      </x:c>
      <x:c r="L154" s="130" t="str">
        <x:f>IF(A154="","",IF(J154="OK","",IF(J154="NO CONSENT","Consent not affirmed",IF(J154="SPEEDING","Completion time below threshold",IF(J154="ATTENTION CHECK","Attention check failed",IF(J154="STRAIGHTLINE REVIEW","Straightlining review threshold met","Missing scored item(s)"))))))</x:f>
      </x:c>
      <x:c r="M154" s="119"/>
      <x:c r="N154" s="119"/>
      <x:c r="O154" s="119"/>
      <x:c r="P154" s="119"/>
      <x:c r="Q154" s="119"/>
      <x:c r="R154" s="119"/>
      <x:c r="S154" s="119"/>
      <x:c r="T154" s="119"/>
      <x:c r="U154" s="119"/>
      <x:c r="V154" s="119"/>
      <x:c r="W154" s="119"/>
      <x:c r="X154" s="119"/>
      <x:c r="Y154" s="133" t="str">
        <x:f>IF(K154&lt;&gt;"Yes","",IFERROR(AVERAGE(M154:X154),""))</x:f>
      </x:c>
      <x:c r="Z154" s="119"/>
    </x:row>
    <x:row r="155">
      <x:c r="A155" s="119"/>
      <x:c r="B155" s="119"/>
      <x:c r="C155" s="119"/>
      <x:c r="D155" s="119"/>
      <x:c r="E155" s="119"/>
      <x:c r="F155" s="119"/>
      <x:c r="G155" s="119"/>
      <x:c r="H155" s="130" t="str">
        <x:f>IF(A155="","",IF(AND(COUNTA(M155:X155)&gt;=SETUP!$B$10,COUNTIF(M155:X155,MAX(M155:X155))=COUNTA(M155:X155)),"Yes","No"))</x:f>
      </x:c>
      <x:c r="I155" s="130" t="str">
        <x:f>IF(A155="","",IF('SURVEY DESIGN'!C155&lt;&gt;"",--(M155=""),0)+IF('SURVEY DESIGN'!C156&lt;&gt;"",--(N155=""),0)+IF('SURVEY DESIGN'!C157&lt;&gt;"",--(O155=""),0)+IF('SURVEY DESIGN'!C158&lt;&gt;"",--(P155=""),0)+IF('SURVEY DESIGN'!C159&lt;&gt;"",--(Q155=""),0)+IF('SURVEY DESIGN'!C160&lt;&gt;"",--(R155=""),0)+IF('SURVEY DESIGN'!C161&lt;&gt;"",--(S155=""),0)+IF('SURVEY DESIGN'!C162&lt;&gt;"",--(T155=""),0)+IF('SURVEY DESIGN'!C163&lt;&gt;"",--(U155=""),0)+IF('SURVEY DESIGN'!C164&lt;&gt;"",--(V155=""),0)+IF('SURVEY DESIGN'!C165&lt;&gt;"",--(W155=""),0)+IF('SURVEY DESIGN'!C166&lt;&gt;"",--(X155=""),0))</x:f>
      </x:c>
      <x:c r="J155" s="130" t="str">
        <x:f>IF(A155="","",IF(C155&lt;&gt;"Yes","NO CONSENT",IF(F155&lt;SETUP!$B$9,"SPEEDING",IF(G155&lt;&gt;"Yes","ATTENTION CHECK",IF(H155="Yes","STRAIGHTLINE REVIEW",IF(I155&gt;0,"MISSING ITEMS","OK"))))))</x:f>
      </x:c>
      <x:c r="K155" s="130" t="str">
        <x:f>IF(A155="","",IF(J155="OK","Yes","No"))</x:f>
      </x:c>
      <x:c r="L155" s="130" t="str">
        <x:f>IF(A155="","",IF(J155="OK","",IF(J155="NO CONSENT","Consent not affirmed",IF(J155="SPEEDING","Completion time below threshold",IF(J155="ATTENTION CHECK","Attention check failed",IF(J155="STRAIGHTLINE REVIEW","Straightlining review threshold met","Missing scored item(s)"))))))</x:f>
      </x:c>
      <x:c r="M155" s="119"/>
      <x:c r="N155" s="119"/>
      <x:c r="O155" s="119"/>
      <x:c r="P155" s="119"/>
      <x:c r="Q155" s="119"/>
      <x:c r="R155" s="119"/>
      <x:c r="S155" s="119"/>
      <x:c r="T155" s="119"/>
      <x:c r="U155" s="119"/>
      <x:c r="V155" s="119"/>
      <x:c r="W155" s="119"/>
      <x:c r="X155" s="119"/>
      <x:c r="Y155" s="133" t="str">
        <x:f>IF(K155&lt;&gt;"Yes","",IFERROR(AVERAGE(M155:X155),""))</x:f>
      </x:c>
      <x:c r="Z155" s="119"/>
    </x:row>
    <x:row r="156">
      <x:c r="A156" s="119"/>
      <x:c r="B156" s="119"/>
      <x:c r="C156" s="119"/>
      <x:c r="D156" s="119"/>
      <x:c r="E156" s="119"/>
      <x:c r="F156" s="119"/>
      <x:c r="G156" s="119"/>
      <x:c r="H156" s="130" t="str">
        <x:f>IF(A156="","",IF(AND(COUNTA(M156:X156)&gt;=SETUP!$B$10,COUNTIF(M156:X156,MAX(M156:X156))=COUNTA(M156:X156)),"Yes","No"))</x:f>
      </x:c>
      <x:c r="I156" s="130" t="str">
        <x:f>IF(A156="","",IF('SURVEY DESIGN'!C156&lt;&gt;"",--(M156=""),0)+IF('SURVEY DESIGN'!C157&lt;&gt;"",--(N156=""),0)+IF('SURVEY DESIGN'!C158&lt;&gt;"",--(O156=""),0)+IF('SURVEY DESIGN'!C159&lt;&gt;"",--(P156=""),0)+IF('SURVEY DESIGN'!C160&lt;&gt;"",--(Q156=""),0)+IF('SURVEY DESIGN'!C161&lt;&gt;"",--(R156=""),0)+IF('SURVEY DESIGN'!C162&lt;&gt;"",--(S156=""),0)+IF('SURVEY DESIGN'!C163&lt;&gt;"",--(T156=""),0)+IF('SURVEY DESIGN'!C164&lt;&gt;"",--(U156=""),0)+IF('SURVEY DESIGN'!C165&lt;&gt;"",--(V156=""),0)+IF('SURVEY DESIGN'!C166&lt;&gt;"",--(W156=""),0)+IF('SURVEY DESIGN'!C167&lt;&gt;"",--(X156=""),0))</x:f>
      </x:c>
      <x:c r="J156" s="130" t="str">
        <x:f>IF(A156="","",IF(C156&lt;&gt;"Yes","NO CONSENT",IF(F156&lt;SETUP!$B$9,"SPEEDING",IF(G156&lt;&gt;"Yes","ATTENTION CHECK",IF(H156="Yes","STRAIGHTLINE REVIEW",IF(I156&gt;0,"MISSING ITEMS","OK"))))))</x:f>
      </x:c>
      <x:c r="K156" s="130" t="str">
        <x:f>IF(A156="","",IF(J156="OK","Yes","No"))</x:f>
      </x:c>
      <x:c r="L156" s="130" t="str">
        <x:f>IF(A156="","",IF(J156="OK","",IF(J156="NO CONSENT","Consent not affirmed",IF(J156="SPEEDING","Completion time below threshold",IF(J156="ATTENTION CHECK","Attention check failed",IF(J156="STRAIGHTLINE REVIEW","Straightlining review threshold met","Missing scored item(s)"))))))</x:f>
      </x:c>
      <x:c r="M156" s="119"/>
      <x:c r="N156" s="119"/>
      <x:c r="O156" s="119"/>
      <x:c r="P156" s="119"/>
      <x:c r="Q156" s="119"/>
      <x:c r="R156" s="119"/>
      <x:c r="S156" s="119"/>
      <x:c r="T156" s="119"/>
      <x:c r="U156" s="119"/>
      <x:c r="V156" s="119"/>
      <x:c r="W156" s="119"/>
      <x:c r="X156" s="119"/>
      <x:c r="Y156" s="133" t="str">
        <x:f>IF(K156&lt;&gt;"Yes","",IFERROR(AVERAGE(M156:X156),""))</x:f>
      </x:c>
      <x:c r="Z156" s="119"/>
    </x:row>
    <x:row r="157">
      <x:c r="A157" s="119"/>
      <x:c r="B157" s="119"/>
      <x:c r="C157" s="119"/>
      <x:c r="D157" s="119"/>
      <x:c r="E157" s="119"/>
      <x:c r="F157" s="119"/>
      <x:c r="G157" s="119"/>
      <x:c r="H157" s="130" t="str">
        <x:f>IF(A157="","",IF(AND(COUNTA(M157:X157)&gt;=SETUP!$B$10,COUNTIF(M157:X157,MAX(M157:X157))=COUNTA(M157:X157)),"Yes","No"))</x:f>
      </x:c>
      <x:c r="I157" s="130" t="str">
        <x:f>IF(A157="","",IF('SURVEY DESIGN'!C157&lt;&gt;"",--(M157=""),0)+IF('SURVEY DESIGN'!C158&lt;&gt;"",--(N157=""),0)+IF('SURVEY DESIGN'!C159&lt;&gt;"",--(O157=""),0)+IF('SURVEY DESIGN'!C160&lt;&gt;"",--(P157=""),0)+IF('SURVEY DESIGN'!C161&lt;&gt;"",--(Q157=""),0)+IF('SURVEY DESIGN'!C162&lt;&gt;"",--(R157=""),0)+IF('SURVEY DESIGN'!C163&lt;&gt;"",--(S157=""),0)+IF('SURVEY DESIGN'!C164&lt;&gt;"",--(T157=""),0)+IF('SURVEY DESIGN'!C165&lt;&gt;"",--(U157=""),0)+IF('SURVEY DESIGN'!C166&lt;&gt;"",--(V157=""),0)+IF('SURVEY DESIGN'!C167&lt;&gt;"",--(W157=""),0)+IF('SURVEY DESIGN'!C168&lt;&gt;"",--(X157=""),0))</x:f>
      </x:c>
      <x:c r="J157" s="130" t="str">
        <x:f>IF(A157="","",IF(C157&lt;&gt;"Yes","NO CONSENT",IF(F157&lt;SETUP!$B$9,"SPEEDING",IF(G157&lt;&gt;"Yes","ATTENTION CHECK",IF(H157="Yes","STRAIGHTLINE REVIEW",IF(I157&gt;0,"MISSING ITEMS","OK"))))))</x:f>
      </x:c>
      <x:c r="K157" s="130" t="str">
        <x:f>IF(A157="","",IF(J157="OK","Yes","No"))</x:f>
      </x:c>
      <x:c r="L157" s="130" t="str">
        <x:f>IF(A157="","",IF(J157="OK","",IF(J157="NO CONSENT","Consent not affirmed",IF(J157="SPEEDING","Completion time below threshold",IF(J157="ATTENTION CHECK","Attention check failed",IF(J157="STRAIGHTLINE REVIEW","Straightlining review threshold met","Missing scored item(s)"))))))</x:f>
      </x:c>
      <x:c r="M157" s="119"/>
      <x:c r="N157" s="119"/>
      <x:c r="O157" s="119"/>
      <x:c r="P157" s="119"/>
      <x:c r="Q157" s="119"/>
      <x:c r="R157" s="119"/>
      <x:c r="S157" s="119"/>
      <x:c r="T157" s="119"/>
      <x:c r="U157" s="119"/>
      <x:c r="V157" s="119"/>
      <x:c r="W157" s="119"/>
      <x:c r="X157" s="119"/>
      <x:c r="Y157" s="133" t="str">
        <x:f>IF(K157&lt;&gt;"Yes","",IFERROR(AVERAGE(M157:X157),""))</x:f>
      </x:c>
      <x:c r="Z157" s="119"/>
    </x:row>
    <x:row r="158">
      <x:c r="A158" s="119"/>
      <x:c r="B158" s="119"/>
      <x:c r="C158" s="119"/>
      <x:c r="D158" s="119"/>
      <x:c r="E158" s="119"/>
      <x:c r="F158" s="119"/>
      <x:c r="G158" s="119"/>
      <x:c r="H158" s="130" t="str">
        <x:f>IF(A158="","",IF(AND(COUNTA(M158:X158)&gt;=SETUP!$B$10,COUNTIF(M158:X158,MAX(M158:X158))=COUNTA(M158:X158)),"Yes","No"))</x:f>
      </x:c>
      <x:c r="I158" s="130" t="str">
        <x:f>IF(A158="","",IF('SURVEY DESIGN'!C158&lt;&gt;"",--(M158=""),0)+IF('SURVEY DESIGN'!C159&lt;&gt;"",--(N158=""),0)+IF('SURVEY DESIGN'!C160&lt;&gt;"",--(O158=""),0)+IF('SURVEY DESIGN'!C161&lt;&gt;"",--(P158=""),0)+IF('SURVEY DESIGN'!C162&lt;&gt;"",--(Q158=""),0)+IF('SURVEY DESIGN'!C163&lt;&gt;"",--(R158=""),0)+IF('SURVEY DESIGN'!C164&lt;&gt;"",--(S158=""),0)+IF('SURVEY DESIGN'!C165&lt;&gt;"",--(T158=""),0)+IF('SURVEY DESIGN'!C166&lt;&gt;"",--(U158=""),0)+IF('SURVEY DESIGN'!C167&lt;&gt;"",--(V158=""),0)+IF('SURVEY DESIGN'!C168&lt;&gt;"",--(W158=""),0)+IF('SURVEY DESIGN'!C169&lt;&gt;"",--(X158=""),0))</x:f>
      </x:c>
      <x:c r="J158" s="130" t="str">
        <x:f>IF(A158="","",IF(C158&lt;&gt;"Yes","NO CONSENT",IF(F158&lt;SETUP!$B$9,"SPEEDING",IF(G158&lt;&gt;"Yes","ATTENTION CHECK",IF(H158="Yes","STRAIGHTLINE REVIEW",IF(I158&gt;0,"MISSING ITEMS","OK"))))))</x:f>
      </x:c>
      <x:c r="K158" s="130" t="str">
        <x:f>IF(A158="","",IF(J158="OK","Yes","No"))</x:f>
      </x:c>
      <x:c r="L158" s="130" t="str">
        <x:f>IF(A158="","",IF(J158="OK","",IF(J158="NO CONSENT","Consent not affirmed",IF(J158="SPEEDING","Completion time below threshold",IF(J158="ATTENTION CHECK","Attention check failed",IF(J158="STRAIGHTLINE REVIEW","Straightlining review threshold met","Missing scored item(s)"))))))</x:f>
      </x:c>
      <x:c r="M158" s="119"/>
      <x:c r="N158" s="119"/>
      <x:c r="O158" s="119"/>
      <x:c r="P158" s="119"/>
      <x:c r="Q158" s="119"/>
      <x:c r="R158" s="119"/>
      <x:c r="S158" s="119"/>
      <x:c r="T158" s="119"/>
      <x:c r="U158" s="119"/>
      <x:c r="V158" s="119"/>
      <x:c r="W158" s="119"/>
      <x:c r="X158" s="119"/>
      <x:c r="Y158" s="133" t="str">
        <x:f>IF(K158&lt;&gt;"Yes","",IFERROR(AVERAGE(M158:X158),""))</x:f>
      </x:c>
      <x:c r="Z158" s="119"/>
    </x:row>
    <x:row r="159">
      <x:c r="A159" s="119"/>
      <x:c r="B159" s="119"/>
      <x:c r="C159" s="119"/>
      <x:c r="D159" s="119"/>
      <x:c r="E159" s="119"/>
      <x:c r="F159" s="119"/>
      <x:c r="G159" s="119"/>
      <x:c r="H159" s="130" t="str">
        <x:f>IF(A159="","",IF(AND(COUNTA(M159:X159)&gt;=SETUP!$B$10,COUNTIF(M159:X159,MAX(M159:X159))=COUNTA(M159:X159)),"Yes","No"))</x:f>
      </x:c>
      <x:c r="I159" s="130" t="str">
        <x:f>IF(A159="","",IF('SURVEY DESIGN'!C159&lt;&gt;"",--(M159=""),0)+IF('SURVEY DESIGN'!C160&lt;&gt;"",--(N159=""),0)+IF('SURVEY DESIGN'!C161&lt;&gt;"",--(O159=""),0)+IF('SURVEY DESIGN'!C162&lt;&gt;"",--(P159=""),0)+IF('SURVEY DESIGN'!C163&lt;&gt;"",--(Q159=""),0)+IF('SURVEY DESIGN'!C164&lt;&gt;"",--(R159=""),0)+IF('SURVEY DESIGN'!C165&lt;&gt;"",--(S159=""),0)+IF('SURVEY DESIGN'!C166&lt;&gt;"",--(T159=""),0)+IF('SURVEY DESIGN'!C167&lt;&gt;"",--(U159=""),0)+IF('SURVEY DESIGN'!C168&lt;&gt;"",--(V159=""),0)+IF('SURVEY DESIGN'!C169&lt;&gt;"",--(W159=""),0)+IF('SURVEY DESIGN'!C170&lt;&gt;"",--(X159=""),0))</x:f>
      </x:c>
      <x:c r="J159" s="130" t="str">
        <x:f>IF(A159="","",IF(C159&lt;&gt;"Yes","NO CONSENT",IF(F159&lt;SETUP!$B$9,"SPEEDING",IF(G159&lt;&gt;"Yes","ATTENTION CHECK",IF(H159="Yes","STRAIGHTLINE REVIEW",IF(I159&gt;0,"MISSING ITEMS","OK"))))))</x:f>
      </x:c>
      <x:c r="K159" s="130" t="str">
        <x:f>IF(A159="","",IF(J159="OK","Yes","No"))</x:f>
      </x:c>
      <x:c r="L159" s="130" t="str">
        <x:f>IF(A159="","",IF(J159="OK","",IF(J159="NO CONSENT","Consent not affirmed",IF(J159="SPEEDING","Completion time below threshold",IF(J159="ATTENTION CHECK","Attention check failed",IF(J159="STRAIGHTLINE REVIEW","Straightlining review threshold met","Missing scored item(s)"))))))</x:f>
      </x:c>
      <x:c r="M159" s="119"/>
      <x:c r="N159" s="119"/>
      <x:c r="O159" s="119"/>
      <x:c r="P159" s="119"/>
      <x:c r="Q159" s="119"/>
      <x:c r="R159" s="119"/>
      <x:c r="S159" s="119"/>
      <x:c r="T159" s="119"/>
      <x:c r="U159" s="119"/>
      <x:c r="V159" s="119"/>
      <x:c r="W159" s="119"/>
      <x:c r="X159" s="119"/>
      <x:c r="Y159" s="133" t="str">
        <x:f>IF(K159&lt;&gt;"Yes","",IFERROR(AVERAGE(M159:X159),""))</x:f>
      </x:c>
      <x:c r="Z159" s="119"/>
    </x:row>
    <x:row r="160">
      <x:c r="A160" s="119"/>
      <x:c r="B160" s="119"/>
      <x:c r="C160" s="119"/>
      <x:c r="D160" s="119"/>
      <x:c r="E160" s="119"/>
      <x:c r="F160" s="119"/>
      <x:c r="G160" s="119"/>
      <x:c r="H160" s="130" t="str">
        <x:f>IF(A160="","",IF(AND(COUNTA(M160:X160)&gt;=SETUP!$B$10,COUNTIF(M160:X160,MAX(M160:X160))=COUNTA(M160:X160)),"Yes","No"))</x:f>
      </x:c>
      <x:c r="I160" s="130" t="str">
        <x:f>IF(A160="","",IF('SURVEY DESIGN'!C160&lt;&gt;"",--(M160=""),0)+IF('SURVEY DESIGN'!C161&lt;&gt;"",--(N160=""),0)+IF('SURVEY DESIGN'!C162&lt;&gt;"",--(O160=""),0)+IF('SURVEY DESIGN'!C163&lt;&gt;"",--(P160=""),0)+IF('SURVEY DESIGN'!C164&lt;&gt;"",--(Q160=""),0)+IF('SURVEY DESIGN'!C165&lt;&gt;"",--(R160=""),0)+IF('SURVEY DESIGN'!C166&lt;&gt;"",--(S160=""),0)+IF('SURVEY DESIGN'!C167&lt;&gt;"",--(T160=""),0)+IF('SURVEY DESIGN'!C168&lt;&gt;"",--(U160=""),0)+IF('SURVEY DESIGN'!C169&lt;&gt;"",--(V160=""),0)+IF('SURVEY DESIGN'!C170&lt;&gt;"",--(W160=""),0)+IF('SURVEY DESIGN'!C171&lt;&gt;"",--(X160=""),0))</x:f>
      </x:c>
      <x:c r="J160" s="130" t="str">
        <x:f>IF(A160="","",IF(C160&lt;&gt;"Yes","NO CONSENT",IF(F160&lt;SETUP!$B$9,"SPEEDING",IF(G160&lt;&gt;"Yes","ATTENTION CHECK",IF(H160="Yes","STRAIGHTLINE REVIEW",IF(I160&gt;0,"MISSING ITEMS","OK"))))))</x:f>
      </x:c>
      <x:c r="K160" s="130" t="str">
        <x:f>IF(A160="","",IF(J160="OK","Yes","No"))</x:f>
      </x:c>
      <x:c r="L160" s="130" t="str">
        <x:f>IF(A160="","",IF(J160="OK","",IF(J160="NO CONSENT","Consent not affirmed",IF(J160="SPEEDING","Completion time below threshold",IF(J160="ATTENTION CHECK","Attention check failed",IF(J160="STRAIGHTLINE REVIEW","Straightlining review threshold met","Missing scored item(s)"))))))</x:f>
      </x:c>
      <x:c r="M160" s="119"/>
      <x:c r="N160" s="119"/>
      <x:c r="O160" s="119"/>
      <x:c r="P160" s="119"/>
      <x:c r="Q160" s="119"/>
      <x:c r="R160" s="119"/>
      <x:c r="S160" s="119"/>
      <x:c r="T160" s="119"/>
      <x:c r="U160" s="119"/>
      <x:c r="V160" s="119"/>
      <x:c r="W160" s="119"/>
      <x:c r="X160" s="119"/>
      <x:c r="Y160" s="133" t="str">
        <x:f>IF(K160&lt;&gt;"Yes","",IFERROR(AVERAGE(M160:X160),""))</x:f>
      </x:c>
      <x:c r="Z160" s="119"/>
    </x:row>
    <x:row r="161">
      <x:c r="A161" s="119"/>
      <x:c r="B161" s="119"/>
      <x:c r="C161" s="119"/>
      <x:c r="D161" s="119"/>
      <x:c r="E161" s="119"/>
      <x:c r="F161" s="119"/>
      <x:c r="G161" s="119"/>
      <x:c r="H161" s="130" t="str">
        <x:f>IF(A161="","",IF(AND(COUNTA(M161:X161)&gt;=SETUP!$B$10,COUNTIF(M161:X161,MAX(M161:X161))=COUNTA(M161:X161)),"Yes","No"))</x:f>
      </x:c>
      <x:c r="I161" s="130" t="str">
        <x:f>IF(A161="","",IF('SURVEY DESIGN'!C161&lt;&gt;"",--(M161=""),0)+IF('SURVEY DESIGN'!C162&lt;&gt;"",--(N161=""),0)+IF('SURVEY DESIGN'!C163&lt;&gt;"",--(O161=""),0)+IF('SURVEY DESIGN'!C164&lt;&gt;"",--(P161=""),0)+IF('SURVEY DESIGN'!C165&lt;&gt;"",--(Q161=""),0)+IF('SURVEY DESIGN'!C166&lt;&gt;"",--(R161=""),0)+IF('SURVEY DESIGN'!C167&lt;&gt;"",--(S161=""),0)+IF('SURVEY DESIGN'!C168&lt;&gt;"",--(T161=""),0)+IF('SURVEY DESIGN'!C169&lt;&gt;"",--(U161=""),0)+IF('SURVEY DESIGN'!C170&lt;&gt;"",--(V161=""),0)+IF('SURVEY DESIGN'!C171&lt;&gt;"",--(W161=""),0)+IF('SURVEY DESIGN'!C172&lt;&gt;"",--(X161=""),0))</x:f>
      </x:c>
      <x:c r="J161" s="130" t="str">
        <x:f>IF(A161="","",IF(C161&lt;&gt;"Yes","NO CONSENT",IF(F161&lt;SETUP!$B$9,"SPEEDING",IF(G161&lt;&gt;"Yes","ATTENTION CHECK",IF(H161="Yes","STRAIGHTLINE REVIEW",IF(I161&gt;0,"MISSING ITEMS","OK"))))))</x:f>
      </x:c>
      <x:c r="K161" s="130" t="str">
        <x:f>IF(A161="","",IF(J161="OK","Yes","No"))</x:f>
      </x:c>
      <x:c r="L161" s="130" t="str">
        <x:f>IF(A161="","",IF(J161="OK","",IF(J161="NO CONSENT","Consent not affirmed",IF(J161="SPEEDING","Completion time below threshold",IF(J161="ATTENTION CHECK","Attention check failed",IF(J161="STRAIGHTLINE REVIEW","Straightlining review threshold met","Missing scored item(s)"))))))</x:f>
      </x:c>
      <x:c r="M161" s="119"/>
      <x:c r="N161" s="119"/>
      <x:c r="O161" s="119"/>
      <x:c r="P161" s="119"/>
      <x:c r="Q161" s="119"/>
      <x:c r="R161" s="119"/>
      <x:c r="S161" s="119"/>
      <x:c r="T161" s="119"/>
      <x:c r="U161" s="119"/>
      <x:c r="V161" s="119"/>
      <x:c r="W161" s="119"/>
      <x:c r="X161" s="119"/>
      <x:c r="Y161" s="133" t="str">
        <x:f>IF(K161&lt;&gt;"Yes","",IFERROR(AVERAGE(M161:X161),""))</x:f>
      </x:c>
      <x:c r="Z161" s="119"/>
    </x:row>
    <x:row r="162">
      <x:c r="A162" s="119"/>
      <x:c r="B162" s="119"/>
      <x:c r="C162" s="119"/>
      <x:c r="D162" s="119"/>
      <x:c r="E162" s="119"/>
      <x:c r="F162" s="119"/>
      <x:c r="G162" s="119"/>
      <x:c r="H162" s="130" t="str">
        <x:f>IF(A162="","",IF(AND(COUNTA(M162:X162)&gt;=SETUP!$B$10,COUNTIF(M162:X162,MAX(M162:X162))=COUNTA(M162:X162)),"Yes","No"))</x:f>
      </x:c>
      <x:c r="I162" s="130" t="str">
        <x:f>IF(A162="","",IF('SURVEY DESIGN'!C162&lt;&gt;"",--(M162=""),0)+IF('SURVEY DESIGN'!C163&lt;&gt;"",--(N162=""),0)+IF('SURVEY DESIGN'!C164&lt;&gt;"",--(O162=""),0)+IF('SURVEY DESIGN'!C165&lt;&gt;"",--(P162=""),0)+IF('SURVEY DESIGN'!C166&lt;&gt;"",--(Q162=""),0)+IF('SURVEY DESIGN'!C167&lt;&gt;"",--(R162=""),0)+IF('SURVEY DESIGN'!C168&lt;&gt;"",--(S162=""),0)+IF('SURVEY DESIGN'!C169&lt;&gt;"",--(T162=""),0)+IF('SURVEY DESIGN'!C170&lt;&gt;"",--(U162=""),0)+IF('SURVEY DESIGN'!C171&lt;&gt;"",--(V162=""),0)+IF('SURVEY DESIGN'!C172&lt;&gt;"",--(W162=""),0)+IF('SURVEY DESIGN'!C173&lt;&gt;"",--(X162=""),0))</x:f>
      </x:c>
      <x:c r="J162" s="130" t="str">
        <x:f>IF(A162="","",IF(C162&lt;&gt;"Yes","NO CONSENT",IF(F162&lt;SETUP!$B$9,"SPEEDING",IF(G162&lt;&gt;"Yes","ATTENTION CHECK",IF(H162="Yes","STRAIGHTLINE REVIEW",IF(I162&gt;0,"MISSING ITEMS","OK"))))))</x:f>
      </x:c>
      <x:c r="K162" s="130" t="str">
        <x:f>IF(A162="","",IF(J162="OK","Yes","No"))</x:f>
      </x:c>
      <x:c r="L162" s="130" t="str">
        <x:f>IF(A162="","",IF(J162="OK","",IF(J162="NO CONSENT","Consent not affirmed",IF(J162="SPEEDING","Completion time below threshold",IF(J162="ATTENTION CHECK","Attention check failed",IF(J162="STRAIGHTLINE REVIEW","Straightlining review threshold met","Missing scored item(s)"))))))</x:f>
      </x:c>
      <x:c r="M162" s="119"/>
      <x:c r="N162" s="119"/>
      <x:c r="O162" s="119"/>
      <x:c r="P162" s="119"/>
      <x:c r="Q162" s="119"/>
      <x:c r="R162" s="119"/>
      <x:c r="S162" s="119"/>
      <x:c r="T162" s="119"/>
      <x:c r="U162" s="119"/>
      <x:c r="V162" s="119"/>
      <x:c r="W162" s="119"/>
      <x:c r="X162" s="119"/>
      <x:c r="Y162" s="133" t="str">
        <x:f>IF(K162&lt;&gt;"Yes","",IFERROR(AVERAGE(M162:X162),""))</x:f>
      </x:c>
      <x:c r="Z162" s="119"/>
    </x:row>
    <x:row r="163">
      <x:c r="A163" s="119"/>
      <x:c r="B163" s="119"/>
      <x:c r="C163" s="119"/>
      <x:c r="D163" s="119"/>
      <x:c r="E163" s="119"/>
      <x:c r="F163" s="119"/>
      <x:c r="G163" s="119"/>
      <x:c r="H163" s="130" t="str">
        <x:f>IF(A163="","",IF(AND(COUNTA(M163:X163)&gt;=SETUP!$B$10,COUNTIF(M163:X163,MAX(M163:X163))=COUNTA(M163:X163)),"Yes","No"))</x:f>
      </x:c>
      <x:c r="I163" s="130" t="str">
        <x:f>IF(A163="","",IF('SURVEY DESIGN'!C163&lt;&gt;"",--(M163=""),0)+IF('SURVEY DESIGN'!C164&lt;&gt;"",--(N163=""),0)+IF('SURVEY DESIGN'!C165&lt;&gt;"",--(O163=""),0)+IF('SURVEY DESIGN'!C166&lt;&gt;"",--(P163=""),0)+IF('SURVEY DESIGN'!C167&lt;&gt;"",--(Q163=""),0)+IF('SURVEY DESIGN'!C168&lt;&gt;"",--(R163=""),0)+IF('SURVEY DESIGN'!C169&lt;&gt;"",--(S163=""),0)+IF('SURVEY DESIGN'!C170&lt;&gt;"",--(T163=""),0)+IF('SURVEY DESIGN'!C171&lt;&gt;"",--(U163=""),0)+IF('SURVEY DESIGN'!C172&lt;&gt;"",--(V163=""),0)+IF('SURVEY DESIGN'!C173&lt;&gt;"",--(W163=""),0)+IF('SURVEY DESIGN'!C174&lt;&gt;"",--(X163=""),0))</x:f>
      </x:c>
      <x:c r="J163" s="130" t="str">
        <x:f>IF(A163="","",IF(C163&lt;&gt;"Yes","NO CONSENT",IF(F163&lt;SETUP!$B$9,"SPEEDING",IF(G163&lt;&gt;"Yes","ATTENTION CHECK",IF(H163="Yes","STRAIGHTLINE REVIEW",IF(I163&gt;0,"MISSING ITEMS","OK"))))))</x:f>
      </x:c>
      <x:c r="K163" s="130" t="str">
        <x:f>IF(A163="","",IF(J163="OK","Yes","No"))</x:f>
      </x:c>
      <x:c r="L163" s="130" t="str">
        <x:f>IF(A163="","",IF(J163="OK","",IF(J163="NO CONSENT","Consent not affirmed",IF(J163="SPEEDING","Completion time below threshold",IF(J163="ATTENTION CHECK","Attention check failed",IF(J163="STRAIGHTLINE REVIEW","Straightlining review threshold met","Missing scored item(s)"))))))</x:f>
      </x:c>
      <x:c r="M163" s="119"/>
      <x:c r="N163" s="119"/>
      <x:c r="O163" s="119"/>
      <x:c r="P163" s="119"/>
      <x:c r="Q163" s="119"/>
      <x:c r="R163" s="119"/>
      <x:c r="S163" s="119"/>
      <x:c r="T163" s="119"/>
      <x:c r="U163" s="119"/>
      <x:c r="V163" s="119"/>
      <x:c r="W163" s="119"/>
      <x:c r="X163" s="119"/>
      <x:c r="Y163" s="133" t="str">
        <x:f>IF(K163&lt;&gt;"Yes","",IFERROR(AVERAGE(M163:X163),""))</x:f>
      </x:c>
      <x:c r="Z163" s="119"/>
    </x:row>
    <x:row r="164">
      <x:c r="A164" s="119"/>
      <x:c r="B164" s="119"/>
      <x:c r="C164" s="119"/>
      <x:c r="D164" s="119"/>
      <x:c r="E164" s="119"/>
      <x:c r="F164" s="119"/>
      <x:c r="G164" s="119"/>
      <x:c r="H164" s="130" t="str">
        <x:f>IF(A164="","",IF(AND(COUNTA(M164:X164)&gt;=SETUP!$B$10,COUNTIF(M164:X164,MAX(M164:X164))=COUNTA(M164:X164)),"Yes","No"))</x:f>
      </x:c>
      <x:c r="I164" s="130" t="str">
        <x:f>IF(A164="","",IF('SURVEY DESIGN'!C164&lt;&gt;"",--(M164=""),0)+IF('SURVEY DESIGN'!C165&lt;&gt;"",--(N164=""),0)+IF('SURVEY DESIGN'!C166&lt;&gt;"",--(O164=""),0)+IF('SURVEY DESIGN'!C167&lt;&gt;"",--(P164=""),0)+IF('SURVEY DESIGN'!C168&lt;&gt;"",--(Q164=""),0)+IF('SURVEY DESIGN'!C169&lt;&gt;"",--(R164=""),0)+IF('SURVEY DESIGN'!C170&lt;&gt;"",--(S164=""),0)+IF('SURVEY DESIGN'!C171&lt;&gt;"",--(T164=""),0)+IF('SURVEY DESIGN'!C172&lt;&gt;"",--(U164=""),0)+IF('SURVEY DESIGN'!C173&lt;&gt;"",--(V164=""),0)+IF('SURVEY DESIGN'!C174&lt;&gt;"",--(W164=""),0)+IF('SURVEY DESIGN'!C175&lt;&gt;"",--(X164=""),0))</x:f>
      </x:c>
      <x:c r="J164" s="130" t="str">
        <x:f>IF(A164="","",IF(C164&lt;&gt;"Yes","NO CONSENT",IF(F164&lt;SETUP!$B$9,"SPEEDING",IF(G164&lt;&gt;"Yes","ATTENTION CHECK",IF(H164="Yes","STRAIGHTLINE REVIEW",IF(I164&gt;0,"MISSING ITEMS","OK"))))))</x:f>
      </x:c>
      <x:c r="K164" s="130" t="str">
        <x:f>IF(A164="","",IF(J164="OK","Yes","No"))</x:f>
      </x:c>
      <x:c r="L164" s="130" t="str">
        <x:f>IF(A164="","",IF(J164="OK","",IF(J164="NO CONSENT","Consent not affirmed",IF(J164="SPEEDING","Completion time below threshold",IF(J164="ATTENTION CHECK","Attention check failed",IF(J164="STRAIGHTLINE REVIEW","Straightlining review threshold met","Missing scored item(s)"))))))</x:f>
      </x:c>
      <x:c r="M164" s="119"/>
      <x:c r="N164" s="119"/>
      <x:c r="O164" s="119"/>
      <x:c r="P164" s="119"/>
      <x:c r="Q164" s="119"/>
      <x:c r="R164" s="119"/>
      <x:c r="S164" s="119"/>
      <x:c r="T164" s="119"/>
      <x:c r="U164" s="119"/>
      <x:c r="V164" s="119"/>
      <x:c r="W164" s="119"/>
      <x:c r="X164" s="119"/>
      <x:c r="Y164" s="133" t="str">
        <x:f>IF(K164&lt;&gt;"Yes","",IFERROR(AVERAGE(M164:X164),""))</x:f>
      </x:c>
      <x:c r="Z164" s="119"/>
    </x:row>
    <x:row r="165">
      <x:c r="A165" s="119"/>
      <x:c r="B165" s="119"/>
      <x:c r="C165" s="119"/>
      <x:c r="D165" s="119"/>
      <x:c r="E165" s="119"/>
      <x:c r="F165" s="119"/>
      <x:c r="G165" s="119"/>
      <x:c r="H165" s="130" t="str">
        <x:f>IF(A165="","",IF(AND(COUNTA(M165:X165)&gt;=SETUP!$B$10,COUNTIF(M165:X165,MAX(M165:X165))=COUNTA(M165:X165)),"Yes","No"))</x:f>
      </x:c>
      <x:c r="I165" s="130" t="str">
        <x:f>IF(A165="","",IF('SURVEY DESIGN'!C165&lt;&gt;"",--(M165=""),0)+IF('SURVEY DESIGN'!C166&lt;&gt;"",--(N165=""),0)+IF('SURVEY DESIGN'!C167&lt;&gt;"",--(O165=""),0)+IF('SURVEY DESIGN'!C168&lt;&gt;"",--(P165=""),0)+IF('SURVEY DESIGN'!C169&lt;&gt;"",--(Q165=""),0)+IF('SURVEY DESIGN'!C170&lt;&gt;"",--(R165=""),0)+IF('SURVEY DESIGN'!C171&lt;&gt;"",--(S165=""),0)+IF('SURVEY DESIGN'!C172&lt;&gt;"",--(T165=""),0)+IF('SURVEY DESIGN'!C173&lt;&gt;"",--(U165=""),0)+IF('SURVEY DESIGN'!C174&lt;&gt;"",--(V165=""),0)+IF('SURVEY DESIGN'!C175&lt;&gt;"",--(W165=""),0)+IF('SURVEY DESIGN'!C176&lt;&gt;"",--(X165=""),0))</x:f>
      </x:c>
      <x:c r="J165" s="130" t="str">
        <x:f>IF(A165="","",IF(C165&lt;&gt;"Yes","NO CONSENT",IF(F165&lt;SETUP!$B$9,"SPEEDING",IF(G165&lt;&gt;"Yes","ATTENTION CHECK",IF(H165="Yes","STRAIGHTLINE REVIEW",IF(I165&gt;0,"MISSING ITEMS","OK"))))))</x:f>
      </x:c>
      <x:c r="K165" s="130" t="str">
        <x:f>IF(A165="","",IF(J165="OK","Yes","No"))</x:f>
      </x:c>
      <x:c r="L165" s="130" t="str">
        <x:f>IF(A165="","",IF(J165="OK","",IF(J165="NO CONSENT","Consent not affirmed",IF(J165="SPEEDING","Completion time below threshold",IF(J165="ATTENTION CHECK","Attention check failed",IF(J165="STRAIGHTLINE REVIEW","Straightlining review threshold met","Missing scored item(s)"))))))</x:f>
      </x:c>
      <x:c r="M165" s="119"/>
      <x:c r="N165" s="119"/>
      <x:c r="O165" s="119"/>
      <x:c r="P165" s="119"/>
      <x:c r="Q165" s="119"/>
      <x:c r="R165" s="119"/>
      <x:c r="S165" s="119"/>
      <x:c r="T165" s="119"/>
      <x:c r="U165" s="119"/>
      <x:c r="V165" s="119"/>
      <x:c r="W165" s="119"/>
      <x:c r="X165" s="119"/>
      <x:c r="Y165" s="133" t="str">
        <x:f>IF(K165&lt;&gt;"Yes","",IFERROR(AVERAGE(M165:X165),""))</x:f>
      </x:c>
      <x:c r="Z165" s="119"/>
    </x:row>
    <x:row r="166">
      <x:c r="A166" s="119"/>
      <x:c r="B166" s="119"/>
      <x:c r="C166" s="119"/>
      <x:c r="D166" s="119"/>
      <x:c r="E166" s="119"/>
      <x:c r="F166" s="119"/>
      <x:c r="G166" s="119"/>
      <x:c r="H166" s="130" t="str">
        <x:f>IF(A166="","",IF(AND(COUNTA(M166:X166)&gt;=SETUP!$B$10,COUNTIF(M166:X166,MAX(M166:X166))=COUNTA(M166:X166)),"Yes","No"))</x:f>
      </x:c>
      <x:c r="I166" s="130" t="str">
        <x:f>IF(A166="","",IF('SURVEY DESIGN'!C166&lt;&gt;"",--(M166=""),0)+IF('SURVEY DESIGN'!C167&lt;&gt;"",--(N166=""),0)+IF('SURVEY DESIGN'!C168&lt;&gt;"",--(O166=""),0)+IF('SURVEY DESIGN'!C169&lt;&gt;"",--(P166=""),0)+IF('SURVEY DESIGN'!C170&lt;&gt;"",--(Q166=""),0)+IF('SURVEY DESIGN'!C171&lt;&gt;"",--(R166=""),0)+IF('SURVEY DESIGN'!C172&lt;&gt;"",--(S166=""),0)+IF('SURVEY DESIGN'!C173&lt;&gt;"",--(T166=""),0)+IF('SURVEY DESIGN'!C174&lt;&gt;"",--(U166=""),0)+IF('SURVEY DESIGN'!C175&lt;&gt;"",--(V166=""),0)+IF('SURVEY DESIGN'!C176&lt;&gt;"",--(W166=""),0)+IF('SURVEY DESIGN'!C177&lt;&gt;"",--(X166=""),0))</x:f>
      </x:c>
      <x:c r="J166" s="130" t="str">
        <x:f>IF(A166="","",IF(C166&lt;&gt;"Yes","NO CONSENT",IF(F166&lt;SETUP!$B$9,"SPEEDING",IF(G166&lt;&gt;"Yes","ATTENTION CHECK",IF(H166="Yes","STRAIGHTLINE REVIEW",IF(I166&gt;0,"MISSING ITEMS","OK"))))))</x:f>
      </x:c>
      <x:c r="K166" s="130" t="str">
        <x:f>IF(A166="","",IF(J166="OK","Yes","No"))</x:f>
      </x:c>
      <x:c r="L166" s="130" t="str">
        <x:f>IF(A166="","",IF(J166="OK","",IF(J166="NO CONSENT","Consent not affirmed",IF(J166="SPEEDING","Completion time below threshold",IF(J166="ATTENTION CHECK","Attention check failed",IF(J166="STRAIGHTLINE REVIEW","Straightlining review threshold met","Missing scored item(s)"))))))</x:f>
      </x:c>
      <x:c r="M166" s="119"/>
      <x:c r="N166" s="119"/>
      <x:c r="O166" s="119"/>
      <x:c r="P166" s="119"/>
      <x:c r="Q166" s="119"/>
      <x:c r="R166" s="119"/>
      <x:c r="S166" s="119"/>
      <x:c r="T166" s="119"/>
      <x:c r="U166" s="119"/>
      <x:c r="V166" s="119"/>
      <x:c r="W166" s="119"/>
      <x:c r="X166" s="119"/>
      <x:c r="Y166" s="133" t="str">
        <x:f>IF(K166&lt;&gt;"Yes","",IFERROR(AVERAGE(M166:X166),""))</x:f>
      </x:c>
      <x:c r="Z166" s="119"/>
    </x:row>
    <x:row r="167">
      <x:c r="A167" s="119"/>
      <x:c r="B167" s="119"/>
      <x:c r="C167" s="119"/>
      <x:c r="D167" s="119"/>
      <x:c r="E167" s="119"/>
      <x:c r="F167" s="119"/>
      <x:c r="G167" s="119"/>
      <x:c r="H167" s="130" t="str">
        <x:f>IF(A167="","",IF(AND(COUNTA(M167:X167)&gt;=SETUP!$B$10,COUNTIF(M167:X167,MAX(M167:X167))=COUNTA(M167:X167)),"Yes","No"))</x:f>
      </x:c>
      <x:c r="I167" s="130" t="str">
        <x:f>IF(A167="","",IF('SURVEY DESIGN'!C167&lt;&gt;"",--(M167=""),0)+IF('SURVEY DESIGN'!C168&lt;&gt;"",--(N167=""),0)+IF('SURVEY DESIGN'!C169&lt;&gt;"",--(O167=""),0)+IF('SURVEY DESIGN'!C170&lt;&gt;"",--(P167=""),0)+IF('SURVEY DESIGN'!C171&lt;&gt;"",--(Q167=""),0)+IF('SURVEY DESIGN'!C172&lt;&gt;"",--(R167=""),0)+IF('SURVEY DESIGN'!C173&lt;&gt;"",--(S167=""),0)+IF('SURVEY DESIGN'!C174&lt;&gt;"",--(T167=""),0)+IF('SURVEY DESIGN'!C175&lt;&gt;"",--(U167=""),0)+IF('SURVEY DESIGN'!C176&lt;&gt;"",--(V167=""),0)+IF('SURVEY DESIGN'!C177&lt;&gt;"",--(W167=""),0)+IF('SURVEY DESIGN'!C178&lt;&gt;"",--(X167=""),0))</x:f>
      </x:c>
      <x:c r="J167" s="130" t="str">
        <x:f>IF(A167="","",IF(C167&lt;&gt;"Yes","NO CONSENT",IF(F167&lt;SETUP!$B$9,"SPEEDING",IF(G167&lt;&gt;"Yes","ATTENTION CHECK",IF(H167="Yes","STRAIGHTLINE REVIEW",IF(I167&gt;0,"MISSING ITEMS","OK"))))))</x:f>
      </x:c>
      <x:c r="K167" s="130" t="str">
        <x:f>IF(A167="","",IF(J167="OK","Yes","No"))</x:f>
      </x:c>
      <x:c r="L167" s="130" t="str">
        <x:f>IF(A167="","",IF(J167="OK","",IF(J167="NO CONSENT","Consent not affirmed",IF(J167="SPEEDING","Completion time below threshold",IF(J167="ATTENTION CHECK","Attention check failed",IF(J167="STRAIGHTLINE REVIEW","Straightlining review threshold met","Missing scored item(s)"))))))</x:f>
      </x:c>
      <x:c r="M167" s="119"/>
      <x:c r="N167" s="119"/>
      <x:c r="O167" s="119"/>
      <x:c r="P167" s="119"/>
      <x:c r="Q167" s="119"/>
      <x:c r="R167" s="119"/>
      <x:c r="S167" s="119"/>
      <x:c r="T167" s="119"/>
      <x:c r="U167" s="119"/>
      <x:c r="V167" s="119"/>
      <x:c r="W167" s="119"/>
      <x:c r="X167" s="119"/>
      <x:c r="Y167" s="133" t="str">
        <x:f>IF(K167&lt;&gt;"Yes","",IFERROR(AVERAGE(M167:X167),""))</x:f>
      </x:c>
      <x:c r="Z167" s="119"/>
    </x:row>
    <x:row r="168">
      <x:c r="A168" s="119"/>
      <x:c r="B168" s="119"/>
      <x:c r="C168" s="119"/>
      <x:c r="D168" s="119"/>
      <x:c r="E168" s="119"/>
      <x:c r="F168" s="119"/>
      <x:c r="G168" s="119"/>
      <x:c r="H168" s="130" t="str">
        <x:f>IF(A168="","",IF(AND(COUNTA(M168:X168)&gt;=SETUP!$B$10,COUNTIF(M168:X168,MAX(M168:X168))=COUNTA(M168:X168)),"Yes","No"))</x:f>
      </x:c>
      <x:c r="I168" s="130" t="str">
        <x:f>IF(A168="","",IF('SURVEY DESIGN'!C168&lt;&gt;"",--(M168=""),0)+IF('SURVEY DESIGN'!C169&lt;&gt;"",--(N168=""),0)+IF('SURVEY DESIGN'!C170&lt;&gt;"",--(O168=""),0)+IF('SURVEY DESIGN'!C171&lt;&gt;"",--(P168=""),0)+IF('SURVEY DESIGN'!C172&lt;&gt;"",--(Q168=""),0)+IF('SURVEY DESIGN'!C173&lt;&gt;"",--(R168=""),0)+IF('SURVEY DESIGN'!C174&lt;&gt;"",--(S168=""),0)+IF('SURVEY DESIGN'!C175&lt;&gt;"",--(T168=""),0)+IF('SURVEY DESIGN'!C176&lt;&gt;"",--(U168=""),0)+IF('SURVEY DESIGN'!C177&lt;&gt;"",--(V168=""),0)+IF('SURVEY DESIGN'!C178&lt;&gt;"",--(W168=""),0)+IF('SURVEY DESIGN'!C179&lt;&gt;"",--(X168=""),0))</x:f>
      </x:c>
      <x:c r="J168" s="130" t="str">
        <x:f>IF(A168="","",IF(C168&lt;&gt;"Yes","NO CONSENT",IF(F168&lt;SETUP!$B$9,"SPEEDING",IF(G168&lt;&gt;"Yes","ATTENTION CHECK",IF(H168="Yes","STRAIGHTLINE REVIEW",IF(I168&gt;0,"MISSING ITEMS","OK"))))))</x:f>
      </x:c>
      <x:c r="K168" s="130" t="str">
        <x:f>IF(A168="","",IF(J168="OK","Yes","No"))</x:f>
      </x:c>
      <x:c r="L168" s="130" t="str">
        <x:f>IF(A168="","",IF(J168="OK","",IF(J168="NO CONSENT","Consent not affirmed",IF(J168="SPEEDING","Completion time below threshold",IF(J168="ATTENTION CHECK","Attention check failed",IF(J168="STRAIGHTLINE REVIEW","Straightlining review threshold met","Missing scored item(s)"))))))</x:f>
      </x:c>
      <x:c r="M168" s="119"/>
      <x:c r="N168" s="119"/>
      <x:c r="O168" s="119"/>
      <x:c r="P168" s="119"/>
      <x:c r="Q168" s="119"/>
      <x:c r="R168" s="119"/>
      <x:c r="S168" s="119"/>
      <x:c r="T168" s="119"/>
      <x:c r="U168" s="119"/>
      <x:c r="V168" s="119"/>
      <x:c r="W168" s="119"/>
      <x:c r="X168" s="119"/>
      <x:c r="Y168" s="133" t="str">
        <x:f>IF(K168&lt;&gt;"Yes","",IFERROR(AVERAGE(M168:X168),""))</x:f>
      </x:c>
      <x:c r="Z168" s="119"/>
    </x:row>
    <x:row r="169">
      <x:c r="A169" s="119"/>
      <x:c r="B169" s="119"/>
      <x:c r="C169" s="119"/>
      <x:c r="D169" s="119"/>
      <x:c r="E169" s="119"/>
      <x:c r="F169" s="119"/>
      <x:c r="G169" s="119"/>
      <x:c r="H169" s="130" t="str">
        <x:f>IF(A169="","",IF(AND(COUNTA(M169:X169)&gt;=SETUP!$B$10,COUNTIF(M169:X169,MAX(M169:X169))=COUNTA(M169:X169)),"Yes","No"))</x:f>
      </x:c>
      <x:c r="I169" s="130" t="str">
        <x:f>IF(A169="","",IF('SURVEY DESIGN'!C169&lt;&gt;"",--(M169=""),0)+IF('SURVEY DESIGN'!C170&lt;&gt;"",--(N169=""),0)+IF('SURVEY DESIGN'!C171&lt;&gt;"",--(O169=""),0)+IF('SURVEY DESIGN'!C172&lt;&gt;"",--(P169=""),0)+IF('SURVEY DESIGN'!C173&lt;&gt;"",--(Q169=""),0)+IF('SURVEY DESIGN'!C174&lt;&gt;"",--(R169=""),0)+IF('SURVEY DESIGN'!C175&lt;&gt;"",--(S169=""),0)+IF('SURVEY DESIGN'!C176&lt;&gt;"",--(T169=""),0)+IF('SURVEY DESIGN'!C177&lt;&gt;"",--(U169=""),0)+IF('SURVEY DESIGN'!C178&lt;&gt;"",--(V169=""),0)+IF('SURVEY DESIGN'!C179&lt;&gt;"",--(W169=""),0)+IF('SURVEY DESIGN'!C180&lt;&gt;"",--(X169=""),0))</x:f>
      </x:c>
      <x:c r="J169" s="130" t="str">
        <x:f>IF(A169="","",IF(C169&lt;&gt;"Yes","NO CONSENT",IF(F169&lt;SETUP!$B$9,"SPEEDING",IF(G169&lt;&gt;"Yes","ATTENTION CHECK",IF(H169="Yes","STRAIGHTLINE REVIEW",IF(I169&gt;0,"MISSING ITEMS","OK"))))))</x:f>
      </x:c>
      <x:c r="K169" s="130" t="str">
        <x:f>IF(A169="","",IF(J169="OK","Yes","No"))</x:f>
      </x:c>
      <x:c r="L169" s="130" t="str">
        <x:f>IF(A169="","",IF(J169="OK","",IF(J169="NO CONSENT","Consent not affirmed",IF(J169="SPEEDING","Completion time below threshold",IF(J169="ATTENTION CHECK","Attention check failed",IF(J169="STRAIGHTLINE REVIEW","Straightlining review threshold met","Missing scored item(s)"))))))</x:f>
      </x:c>
      <x:c r="M169" s="119"/>
      <x:c r="N169" s="119"/>
      <x:c r="O169" s="119"/>
      <x:c r="P169" s="119"/>
      <x:c r="Q169" s="119"/>
      <x:c r="R169" s="119"/>
      <x:c r="S169" s="119"/>
      <x:c r="T169" s="119"/>
      <x:c r="U169" s="119"/>
      <x:c r="V169" s="119"/>
      <x:c r="W169" s="119"/>
      <x:c r="X169" s="119"/>
      <x:c r="Y169" s="133" t="str">
        <x:f>IF(K169&lt;&gt;"Yes","",IFERROR(AVERAGE(M169:X169),""))</x:f>
      </x:c>
      <x:c r="Z169" s="119"/>
    </x:row>
    <x:row r="170">
      <x:c r="A170" s="119"/>
      <x:c r="B170" s="119"/>
      <x:c r="C170" s="119"/>
      <x:c r="D170" s="119"/>
      <x:c r="E170" s="119"/>
      <x:c r="F170" s="119"/>
      <x:c r="G170" s="119"/>
      <x:c r="H170" s="130" t="str">
        <x:f>IF(A170="","",IF(AND(COUNTA(M170:X170)&gt;=SETUP!$B$10,COUNTIF(M170:X170,MAX(M170:X170))=COUNTA(M170:X170)),"Yes","No"))</x:f>
      </x:c>
      <x:c r="I170" s="130" t="str">
        <x:f>IF(A170="","",IF('SURVEY DESIGN'!C170&lt;&gt;"",--(M170=""),0)+IF('SURVEY DESIGN'!C171&lt;&gt;"",--(N170=""),0)+IF('SURVEY DESIGN'!C172&lt;&gt;"",--(O170=""),0)+IF('SURVEY DESIGN'!C173&lt;&gt;"",--(P170=""),0)+IF('SURVEY DESIGN'!C174&lt;&gt;"",--(Q170=""),0)+IF('SURVEY DESIGN'!C175&lt;&gt;"",--(R170=""),0)+IF('SURVEY DESIGN'!C176&lt;&gt;"",--(S170=""),0)+IF('SURVEY DESIGN'!C177&lt;&gt;"",--(T170=""),0)+IF('SURVEY DESIGN'!C178&lt;&gt;"",--(U170=""),0)+IF('SURVEY DESIGN'!C179&lt;&gt;"",--(V170=""),0)+IF('SURVEY DESIGN'!C180&lt;&gt;"",--(W170=""),0)+IF('SURVEY DESIGN'!C181&lt;&gt;"",--(X170=""),0))</x:f>
      </x:c>
      <x:c r="J170" s="130" t="str">
        <x:f>IF(A170="","",IF(C170&lt;&gt;"Yes","NO CONSENT",IF(F170&lt;SETUP!$B$9,"SPEEDING",IF(G170&lt;&gt;"Yes","ATTENTION CHECK",IF(H170="Yes","STRAIGHTLINE REVIEW",IF(I170&gt;0,"MISSING ITEMS","OK"))))))</x:f>
      </x:c>
      <x:c r="K170" s="130" t="str">
        <x:f>IF(A170="","",IF(J170="OK","Yes","No"))</x:f>
      </x:c>
      <x:c r="L170" s="130" t="str">
        <x:f>IF(A170="","",IF(J170="OK","",IF(J170="NO CONSENT","Consent not affirmed",IF(J170="SPEEDING","Completion time below threshold",IF(J170="ATTENTION CHECK","Attention check failed",IF(J170="STRAIGHTLINE REVIEW","Straightlining review threshold met","Missing scored item(s)"))))))</x:f>
      </x:c>
      <x:c r="M170" s="119"/>
      <x:c r="N170" s="119"/>
      <x:c r="O170" s="119"/>
      <x:c r="P170" s="119"/>
      <x:c r="Q170" s="119"/>
      <x:c r="R170" s="119"/>
      <x:c r="S170" s="119"/>
      <x:c r="T170" s="119"/>
      <x:c r="U170" s="119"/>
      <x:c r="V170" s="119"/>
      <x:c r="W170" s="119"/>
      <x:c r="X170" s="119"/>
      <x:c r="Y170" s="133" t="str">
        <x:f>IF(K170&lt;&gt;"Yes","",IFERROR(AVERAGE(M170:X170),""))</x:f>
      </x:c>
      <x:c r="Z170" s="119"/>
    </x:row>
    <x:row r="171">
      <x:c r="A171" s="119"/>
      <x:c r="B171" s="119"/>
      <x:c r="C171" s="119"/>
      <x:c r="D171" s="119"/>
      <x:c r="E171" s="119"/>
      <x:c r="F171" s="119"/>
      <x:c r="G171" s="119"/>
      <x:c r="H171" s="130" t="str">
        <x:f>IF(A171="","",IF(AND(COUNTA(M171:X171)&gt;=SETUP!$B$10,COUNTIF(M171:X171,MAX(M171:X171))=COUNTA(M171:X171)),"Yes","No"))</x:f>
      </x:c>
      <x:c r="I171" s="130" t="str">
        <x:f>IF(A171="","",IF('SURVEY DESIGN'!C171&lt;&gt;"",--(M171=""),0)+IF('SURVEY DESIGN'!C172&lt;&gt;"",--(N171=""),0)+IF('SURVEY DESIGN'!C173&lt;&gt;"",--(O171=""),0)+IF('SURVEY DESIGN'!C174&lt;&gt;"",--(P171=""),0)+IF('SURVEY DESIGN'!C175&lt;&gt;"",--(Q171=""),0)+IF('SURVEY DESIGN'!C176&lt;&gt;"",--(R171=""),0)+IF('SURVEY DESIGN'!C177&lt;&gt;"",--(S171=""),0)+IF('SURVEY DESIGN'!C178&lt;&gt;"",--(T171=""),0)+IF('SURVEY DESIGN'!C179&lt;&gt;"",--(U171=""),0)+IF('SURVEY DESIGN'!C180&lt;&gt;"",--(V171=""),0)+IF('SURVEY DESIGN'!C181&lt;&gt;"",--(W171=""),0)+IF('SURVEY DESIGN'!C182&lt;&gt;"",--(X171=""),0))</x:f>
      </x:c>
      <x:c r="J171" s="130" t="str">
        <x:f>IF(A171="","",IF(C171&lt;&gt;"Yes","NO CONSENT",IF(F171&lt;SETUP!$B$9,"SPEEDING",IF(G171&lt;&gt;"Yes","ATTENTION CHECK",IF(H171="Yes","STRAIGHTLINE REVIEW",IF(I171&gt;0,"MISSING ITEMS","OK"))))))</x:f>
      </x:c>
      <x:c r="K171" s="130" t="str">
        <x:f>IF(A171="","",IF(J171="OK","Yes","No"))</x:f>
      </x:c>
      <x:c r="L171" s="130" t="str">
        <x:f>IF(A171="","",IF(J171="OK","",IF(J171="NO CONSENT","Consent not affirmed",IF(J171="SPEEDING","Completion time below threshold",IF(J171="ATTENTION CHECK","Attention check failed",IF(J171="STRAIGHTLINE REVIEW","Straightlining review threshold met","Missing scored item(s)"))))))</x:f>
      </x:c>
      <x:c r="M171" s="119"/>
      <x:c r="N171" s="119"/>
      <x:c r="O171" s="119"/>
      <x:c r="P171" s="119"/>
      <x:c r="Q171" s="119"/>
      <x:c r="R171" s="119"/>
      <x:c r="S171" s="119"/>
      <x:c r="T171" s="119"/>
      <x:c r="U171" s="119"/>
      <x:c r="V171" s="119"/>
      <x:c r="W171" s="119"/>
      <x:c r="X171" s="119"/>
      <x:c r="Y171" s="133" t="str">
        <x:f>IF(K171&lt;&gt;"Yes","",IFERROR(AVERAGE(M171:X171),""))</x:f>
      </x:c>
      <x:c r="Z171" s="119"/>
    </x:row>
    <x:row r="172">
      <x:c r="A172" s="119"/>
      <x:c r="B172" s="119"/>
      <x:c r="C172" s="119"/>
      <x:c r="D172" s="119"/>
      <x:c r="E172" s="119"/>
      <x:c r="F172" s="119"/>
      <x:c r="G172" s="119"/>
      <x:c r="H172" s="130" t="str">
        <x:f>IF(A172="","",IF(AND(COUNTA(M172:X172)&gt;=SETUP!$B$10,COUNTIF(M172:X172,MAX(M172:X172))=COUNTA(M172:X172)),"Yes","No"))</x:f>
      </x:c>
      <x:c r="I172" s="130" t="str">
        <x:f>IF(A172="","",IF('SURVEY DESIGN'!C172&lt;&gt;"",--(M172=""),0)+IF('SURVEY DESIGN'!C173&lt;&gt;"",--(N172=""),0)+IF('SURVEY DESIGN'!C174&lt;&gt;"",--(O172=""),0)+IF('SURVEY DESIGN'!C175&lt;&gt;"",--(P172=""),0)+IF('SURVEY DESIGN'!C176&lt;&gt;"",--(Q172=""),0)+IF('SURVEY DESIGN'!C177&lt;&gt;"",--(R172=""),0)+IF('SURVEY DESIGN'!C178&lt;&gt;"",--(S172=""),0)+IF('SURVEY DESIGN'!C179&lt;&gt;"",--(T172=""),0)+IF('SURVEY DESIGN'!C180&lt;&gt;"",--(U172=""),0)+IF('SURVEY DESIGN'!C181&lt;&gt;"",--(V172=""),0)+IF('SURVEY DESIGN'!C182&lt;&gt;"",--(W172=""),0)+IF('SURVEY DESIGN'!C183&lt;&gt;"",--(X172=""),0))</x:f>
      </x:c>
      <x:c r="J172" s="130" t="str">
        <x:f>IF(A172="","",IF(C172&lt;&gt;"Yes","NO CONSENT",IF(F172&lt;SETUP!$B$9,"SPEEDING",IF(G172&lt;&gt;"Yes","ATTENTION CHECK",IF(H172="Yes","STRAIGHTLINE REVIEW",IF(I172&gt;0,"MISSING ITEMS","OK"))))))</x:f>
      </x:c>
      <x:c r="K172" s="130" t="str">
        <x:f>IF(A172="","",IF(J172="OK","Yes","No"))</x:f>
      </x:c>
      <x:c r="L172" s="130" t="str">
        <x:f>IF(A172="","",IF(J172="OK","",IF(J172="NO CONSENT","Consent not affirmed",IF(J172="SPEEDING","Completion time below threshold",IF(J172="ATTENTION CHECK","Attention check failed",IF(J172="STRAIGHTLINE REVIEW","Straightlining review threshold met","Missing scored item(s)"))))))</x:f>
      </x:c>
      <x:c r="M172" s="119"/>
      <x:c r="N172" s="119"/>
      <x:c r="O172" s="119"/>
      <x:c r="P172" s="119"/>
      <x:c r="Q172" s="119"/>
      <x:c r="R172" s="119"/>
      <x:c r="S172" s="119"/>
      <x:c r="T172" s="119"/>
      <x:c r="U172" s="119"/>
      <x:c r="V172" s="119"/>
      <x:c r="W172" s="119"/>
      <x:c r="X172" s="119"/>
      <x:c r="Y172" s="133" t="str">
        <x:f>IF(K172&lt;&gt;"Yes","",IFERROR(AVERAGE(M172:X172),""))</x:f>
      </x:c>
      <x:c r="Z172" s="119"/>
    </x:row>
    <x:row r="173">
      <x:c r="A173" s="119"/>
      <x:c r="B173" s="119"/>
      <x:c r="C173" s="119"/>
      <x:c r="D173" s="119"/>
      <x:c r="E173" s="119"/>
      <x:c r="F173" s="119"/>
      <x:c r="G173" s="119"/>
      <x:c r="H173" s="130" t="str">
        <x:f>IF(A173="","",IF(AND(COUNTA(M173:X173)&gt;=SETUP!$B$10,COUNTIF(M173:X173,MAX(M173:X173))=COUNTA(M173:X173)),"Yes","No"))</x:f>
      </x:c>
      <x:c r="I173" s="130" t="str">
        <x:f>IF(A173="","",IF('SURVEY DESIGN'!C173&lt;&gt;"",--(M173=""),0)+IF('SURVEY DESIGN'!C174&lt;&gt;"",--(N173=""),0)+IF('SURVEY DESIGN'!C175&lt;&gt;"",--(O173=""),0)+IF('SURVEY DESIGN'!C176&lt;&gt;"",--(P173=""),0)+IF('SURVEY DESIGN'!C177&lt;&gt;"",--(Q173=""),0)+IF('SURVEY DESIGN'!C178&lt;&gt;"",--(R173=""),0)+IF('SURVEY DESIGN'!C179&lt;&gt;"",--(S173=""),0)+IF('SURVEY DESIGN'!C180&lt;&gt;"",--(T173=""),0)+IF('SURVEY DESIGN'!C181&lt;&gt;"",--(U173=""),0)+IF('SURVEY DESIGN'!C182&lt;&gt;"",--(V173=""),0)+IF('SURVEY DESIGN'!C183&lt;&gt;"",--(W173=""),0)+IF('SURVEY DESIGN'!C184&lt;&gt;"",--(X173=""),0))</x:f>
      </x:c>
      <x:c r="J173" s="130" t="str">
        <x:f>IF(A173="","",IF(C173&lt;&gt;"Yes","NO CONSENT",IF(F173&lt;SETUP!$B$9,"SPEEDING",IF(G173&lt;&gt;"Yes","ATTENTION CHECK",IF(H173="Yes","STRAIGHTLINE REVIEW",IF(I173&gt;0,"MISSING ITEMS","OK"))))))</x:f>
      </x:c>
      <x:c r="K173" s="130" t="str">
        <x:f>IF(A173="","",IF(J173="OK","Yes","No"))</x:f>
      </x:c>
      <x:c r="L173" s="130" t="str">
        <x:f>IF(A173="","",IF(J173="OK","",IF(J173="NO CONSENT","Consent not affirmed",IF(J173="SPEEDING","Completion time below threshold",IF(J173="ATTENTION CHECK","Attention check failed",IF(J173="STRAIGHTLINE REVIEW","Straightlining review threshold met","Missing scored item(s)"))))))</x:f>
      </x:c>
      <x:c r="M173" s="119"/>
      <x:c r="N173" s="119"/>
      <x:c r="O173" s="119"/>
      <x:c r="P173" s="119"/>
      <x:c r="Q173" s="119"/>
      <x:c r="R173" s="119"/>
      <x:c r="S173" s="119"/>
      <x:c r="T173" s="119"/>
      <x:c r="U173" s="119"/>
      <x:c r="V173" s="119"/>
      <x:c r="W173" s="119"/>
      <x:c r="X173" s="119"/>
      <x:c r="Y173" s="133" t="str">
        <x:f>IF(K173&lt;&gt;"Yes","",IFERROR(AVERAGE(M173:X173),""))</x:f>
      </x:c>
      <x:c r="Z173" s="119"/>
    </x:row>
    <x:row r="174">
      <x:c r="A174" s="119"/>
      <x:c r="B174" s="119"/>
      <x:c r="C174" s="119"/>
      <x:c r="D174" s="119"/>
      <x:c r="E174" s="119"/>
      <x:c r="F174" s="119"/>
      <x:c r="G174" s="119"/>
      <x:c r="H174" s="130" t="str">
        <x:f>IF(A174="","",IF(AND(COUNTA(M174:X174)&gt;=SETUP!$B$10,COUNTIF(M174:X174,MAX(M174:X174))=COUNTA(M174:X174)),"Yes","No"))</x:f>
      </x:c>
      <x:c r="I174" s="130" t="str">
        <x:f>IF(A174="","",IF('SURVEY DESIGN'!C174&lt;&gt;"",--(M174=""),0)+IF('SURVEY DESIGN'!C175&lt;&gt;"",--(N174=""),0)+IF('SURVEY DESIGN'!C176&lt;&gt;"",--(O174=""),0)+IF('SURVEY DESIGN'!C177&lt;&gt;"",--(P174=""),0)+IF('SURVEY DESIGN'!C178&lt;&gt;"",--(Q174=""),0)+IF('SURVEY DESIGN'!C179&lt;&gt;"",--(R174=""),0)+IF('SURVEY DESIGN'!C180&lt;&gt;"",--(S174=""),0)+IF('SURVEY DESIGN'!C181&lt;&gt;"",--(T174=""),0)+IF('SURVEY DESIGN'!C182&lt;&gt;"",--(U174=""),0)+IF('SURVEY DESIGN'!C183&lt;&gt;"",--(V174=""),0)+IF('SURVEY DESIGN'!C184&lt;&gt;"",--(W174=""),0)+IF('SURVEY DESIGN'!C185&lt;&gt;"",--(X174=""),0))</x:f>
      </x:c>
      <x:c r="J174" s="130" t="str">
        <x:f>IF(A174="","",IF(C174&lt;&gt;"Yes","NO CONSENT",IF(F174&lt;SETUP!$B$9,"SPEEDING",IF(G174&lt;&gt;"Yes","ATTENTION CHECK",IF(H174="Yes","STRAIGHTLINE REVIEW",IF(I174&gt;0,"MISSING ITEMS","OK"))))))</x:f>
      </x:c>
      <x:c r="K174" s="130" t="str">
        <x:f>IF(A174="","",IF(J174="OK","Yes","No"))</x:f>
      </x:c>
      <x:c r="L174" s="130" t="str">
        <x:f>IF(A174="","",IF(J174="OK","",IF(J174="NO CONSENT","Consent not affirmed",IF(J174="SPEEDING","Completion time below threshold",IF(J174="ATTENTION CHECK","Attention check failed",IF(J174="STRAIGHTLINE REVIEW","Straightlining review threshold met","Missing scored item(s)"))))))</x:f>
      </x:c>
      <x:c r="M174" s="119"/>
      <x:c r="N174" s="119"/>
      <x:c r="O174" s="119"/>
      <x:c r="P174" s="119"/>
      <x:c r="Q174" s="119"/>
      <x:c r="R174" s="119"/>
      <x:c r="S174" s="119"/>
      <x:c r="T174" s="119"/>
      <x:c r="U174" s="119"/>
      <x:c r="V174" s="119"/>
      <x:c r="W174" s="119"/>
      <x:c r="X174" s="119"/>
      <x:c r="Y174" s="133" t="str">
        <x:f>IF(K174&lt;&gt;"Yes","",IFERROR(AVERAGE(M174:X174),""))</x:f>
      </x:c>
      <x:c r="Z174" s="119"/>
    </x:row>
    <x:row r="175">
      <x:c r="A175" s="119"/>
      <x:c r="B175" s="119"/>
      <x:c r="C175" s="119"/>
      <x:c r="D175" s="119"/>
      <x:c r="E175" s="119"/>
      <x:c r="F175" s="119"/>
      <x:c r="G175" s="119"/>
      <x:c r="H175" s="130" t="str">
        <x:f>IF(A175="","",IF(AND(COUNTA(M175:X175)&gt;=SETUP!$B$10,COUNTIF(M175:X175,MAX(M175:X175))=COUNTA(M175:X175)),"Yes","No"))</x:f>
      </x:c>
      <x:c r="I175" s="130" t="str">
        <x:f>IF(A175="","",IF('SURVEY DESIGN'!C175&lt;&gt;"",--(M175=""),0)+IF('SURVEY DESIGN'!C176&lt;&gt;"",--(N175=""),0)+IF('SURVEY DESIGN'!C177&lt;&gt;"",--(O175=""),0)+IF('SURVEY DESIGN'!C178&lt;&gt;"",--(P175=""),0)+IF('SURVEY DESIGN'!C179&lt;&gt;"",--(Q175=""),0)+IF('SURVEY DESIGN'!C180&lt;&gt;"",--(R175=""),0)+IF('SURVEY DESIGN'!C181&lt;&gt;"",--(S175=""),0)+IF('SURVEY DESIGN'!C182&lt;&gt;"",--(T175=""),0)+IF('SURVEY DESIGN'!C183&lt;&gt;"",--(U175=""),0)+IF('SURVEY DESIGN'!C184&lt;&gt;"",--(V175=""),0)+IF('SURVEY DESIGN'!C185&lt;&gt;"",--(W175=""),0)+IF('SURVEY DESIGN'!C186&lt;&gt;"",--(X175=""),0))</x:f>
      </x:c>
      <x:c r="J175" s="130" t="str">
        <x:f>IF(A175="","",IF(C175&lt;&gt;"Yes","NO CONSENT",IF(F175&lt;SETUP!$B$9,"SPEEDING",IF(G175&lt;&gt;"Yes","ATTENTION CHECK",IF(H175="Yes","STRAIGHTLINE REVIEW",IF(I175&gt;0,"MISSING ITEMS","OK"))))))</x:f>
      </x:c>
      <x:c r="K175" s="130" t="str">
        <x:f>IF(A175="","",IF(J175="OK","Yes","No"))</x:f>
      </x:c>
      <x:c r="L175" s="130" t="str">
        <x:f>IF(A175="","",IF(J175="OK","",IF(J175="NO CONSENT","Consent not affirmed",IF(J175="SPEEDING","Completion time below threshold",IF(J175="ATTENTION CHECK","Attention check failed",IF(J175="STRAIGHTLINE REVIEW","Straightlining review threshold met","Missing scored item(s)"))))))</x:f>
      </x:c>
      <x:c r="M175" s="119"/>
      <x:c r="N175" s="119"/>
      <x:c r="O175" s="119"/>
      <x:c r="P175" s="119"/>
      <x:c r="Q175" s="119"/>
      <x:c r="R175" s="119"/>
      <x:c r="S175" s="119"/>
      <x:c r="T175" s="119"/>
      <x:c r="U175" s="119"/>
      <x:c r="V175" s="119"/>
      <x:c r="W175" s="119"/>
      <x:c r="X175" s="119"/>
      <x:c r="Y175" s="133" t="str">
        <x:f>IF(K175&lt;&gt;"Yes","",IFERROR(AVERAGE(M175:X175),""))</x:f>
      </x:c>
      <x:c r="Z175" s="119"/>
    </x:row>
    <x:row r="176">
      <x:c r="A176" s="119"/>
      <x:c r="B176" s="119"/>
      <x:c r="C176" s="119"/>
      <x:c r="D176" s="119"/>
      <x:c r="E176" s="119"/>
      <x:c r="F176" s="119"/>
      <x:c r="G176" s="119"/>
      <x:c r="H176" s="130" t="str">
        <x:f>IF(A176="","",IF(AND(COUNTA(M176:X176)&gt;=SETUP!$B$10,COUNTIF(M176:X176,MAX(M176:X176))=COUNTA(M176:X176)),"Yes","No"))</x:f>
      </x:c>
      <x:c r="I176" s="130" t="str">
        <x:f>IF(A176="","",IF('SURVEY DESIGN'!C176&lt;&gt;"",--(M176=""),0)+IF('SURVEY DESIGN'!C177&lt;&gt;"",--(N176=""),0)+IF('SURVEY DESIGN'!C178&lt;&gt;"",--(O176=""),0)+IF('SURVEY DESIGN'!C179&lt;&gt;"",--(P176=""),0)+IF('SURVEY DESIGN'!C180&lt;&gt;"",--(Q176=""),0)+IF('SURVEY DESIGN'!C181&lt;&gt;"",--(R176=""),0)+IF('SURVEY DESIGN'!C182&lt;&gt;"",--(S176=""),0)+IF('SURVEY DESIGN'!C183&lt;&gt;"",--(T176=""),0)+IF('SURVEY DESIGN'!C184&lt;&gt;"",--(U176=""),0)+IF('SURVEY DESIGN'!C185&lt;&gt;"",--(V176=""),0)+IF('SURVEY DESIGN'!C186&lt;&gt;"",--(W176=""),0)+IF('SURVEY DESIGN'!C187&lt;&gt;"",--(X176=""),0))</x:f>
      </x:c>
      <x:c r="J176" s="130" t="str">
        <x:f>IF(A176="","",IF(C176&lt;&gt;"Yes","NO CONSENT",IF(F176&lt;SETUP!$B$9,"SPEEDING",IF(G176&lt;&gt;"Yes","ATTENTION CHECK",IF(H176="Yes","STRAIGHTLINE REVIEW",IF(I176&gt;0,"MISSING ITEMS","OK"))))))</x:f>
      </x:c>
      <x:c r="K176" s="130" t="str">
        <x:f>IF(A176="","",IF(J176="OK","Yes","No"))</x:f>
      </x:c>
      <x:c r="L176" s="130" t="str">
        <x:f>IF(A176="","",IF(J176="OK","",IF(J176="NO CONSENT","Consent not affirmed",IF(J176="SPEEDING","Completion time below threshold",IF(J176="ATTENTION CHECK","Attention check failed",IF(J176="STRAIGHTLINE REVIEW","Straightlining review threshold met","Missing scored item(s)"))))))</x:f>
      </x:c>
      <x:c r="M176" s="119"/>
      <x:c r="N176" s="119"/>
      <x:c r="O176" s="119"/>
      <x:c r="P176" s="119"/>
      <x:c r="Q176" s="119"/>
      <x:c r="R176" s="119"/>
      <x:c r="S176" s="119"/>
      <x:c r="T176" s="119"/>
      <x:c r="U176" s="119"/>
      <x:c r="V176" s="119"/>
      <x:c r="W176" s="119"/>
      <x:c r="X176" s="119"/>
      <x:c r="Y176" s="133" t="str">
        <x:f>IF(K176&lt;&gt;"Yes","",IFERROR(AVERAGE(M176:X176),""))</x:f>
      </x:c>
      <x:c r="Z176" s="119"/>
    </x:row>
    <x:row r="177">
      <x:c r="A177" s="119"/>
      <x:c r="B177" s="119"/>
      <x:c r="C177" s="119"/>
      <x:c r="D177" s="119"/>
      <x:c r="E177" s="119"/>
      <x:c r="F177" s="119"/>
      <x:c r="G177" s="119"/>
      <x:c r="H177" s="130" t="str">
        <x:f>IF(A177="","",IF(AND(COUNTA(M177:X177)&gt;=SETUP!$B$10,COUNTIF(M177:X177,MAX(M177:X177))=COUNTA(M177:X177)),"Yes","No"))</x:f>
      </x:c>
      <x:c r="I177" s="130" t="str">
        <x:f>IF(A177="","",IF('SURVEY DESIGN'!C177&lt;&gt;"",--(M177=""),0)+IF('SURVEY DESIGN'!C178&lt;&gt;"",--(N177=""),0)+IF('SURVEY DESIGN'!C179&lt;&gt;"",--(O177=""),0)+IF('SURVEY DESIGN'!C180&lt;&gt;"",--(P177=""),0)+IF('SURVEY DESIGN'!C181&lt;&gt;"",--(Q177=""),0)+IF('SURVEY DESIGN'!C182&lt;&gt;"",--(R177=""),0)+IF('SURVEY DESIGN'!C183&lt;&gt;"",--(S177=""),0)+IF('SURVEY DESIGN'!C184&lt;&gt;"",--(T177=""),0)+IF('SURVEY DESIGN'!C185&lt;&gt;"",--(U177=""),0)+IF('SURVEY DESIGN'!C186&lt;&gt;"",--(V177=""),0)+IF('SURVEY DESIGN'!C187&lt;&gt;"",--(W177=""),0)+IF('SURVEY DESIGN'!C188&lt;&gt;"",--(X177=""),0))</x:f>
      </x:c>
      <x:c r="J177" s="130" t="str">
        <x:f>IF(A177="","",IF(C177&lt;&gt;"Yes","NO CONSENT",IF(F177&lt;SETUP!$B$9,"SPEEDING",IF(G177&lt;&gt;"Yes","ATTENTION CHECK",IF(H177="Yes","STRAIGHTLINE REVIEW",IF(I177&gt;0,"MISSING ITEMS","OK"))))))</x:f>
      </x:c>
      <x:c r="K177" s="130" t="str">
        <x:f>IF(A177="","",IF(J177="OK","Yes","No"))</x:f>
      </x:c>
      <x:c r="L177" s="130" t="str">
        <x:f>IF(A177="","",IF(J177="OK","",IF(J177="NO CONSENT","Consent not affirmed",IF(J177="SPEEDING","Completion time below threshold",IF(J177="ATTENTION CHECK","Attention check failed",IF(J177="STRAIGHTLINE REVIEW","Straightlining review threshold met","Missing scored item(s)"))))))</x:f>
      </x:c>
      <x:c r="M177" s="119"/>
      <x:c r="N177" s="119"/>
      <x:c r="O177" s="119"/>
      <x:c r="P177" s="119"/>
      <x:c r="Q177" s="119"/>
      <x:c r="R177" s="119"/>
      <x:c r="S177" s="119"/>
      <x:c r="T177" s="119"/>
      <x:c r="U177" s="119"/>
      <x:c r="V177" s="119"/>
      <x:c r="W177" s="119"/>
      <x:c r="X177" s="119"/>
      <x:c r="Y177" s="133" t="str">
        <x:f>IF(K177&lt;&gt;"Yes","",IFERROR(AVERAGE(M177:X177),""))</x:f>
      </x:c>
      <x:c r="Z177" s="119"/>
    </x:row>
    <x:row r="178">
      <x:c r="A178" s="119"/>
      <x:c r="B178" s="119"/>
      <x:c r="C178" s="119"/>
      <x:c r="D178" s="119"/>
      <x:c r="E178" s="119"/>
      <x:c r="F178" s="119"/>
      <x:c r="G178" s="119"/>
      <x:c r="H178" s="130" t="str">
        <x:f>IF(A178="","",IF(AND(COUNTA(M178:X178)&gt;=SETUP!$B$10,COUNTIF(M178:X178,MAX(M178:X178))=COUNTA(M178:X178)),"Yes","No"))</x:f>
      </x:c>
      <x:c r="I178" s="130" t="str">
        <x:f>IF(A178="","",IF('SURVEY DESIGN'!C178&lt;&gt;"",--(M178=""),0)+IF('SURVEY DESIGN'!C179&lt;&gt;"",--(N178=""),0)+IF('SURVEY DESIGN'!C180&lt;&gt;"",--(O178=""),0)+IF('SURVEY DESIGN'!C181&lt;&gt;"",--(P178=""),0)+IF('SURVEY DESIGN'!C182&lt;&gt;"",--(Q178=""),0)+IF('SURVEY DESIGN'!C183&lt;&gt;"",--(R178=""),0)+IF('SURVEY DESIGN'!C184&lt;&gt;"",--(S178=""),0)+IF('SURVEY DESIGN'!C185&lt;&gt;"",--(T178=""),0)+IF('SURVEY DESIGN'!C186&lt;&gt;"",--(U178=""),0)+IF('SURVEY DESIGN'!C187&lt;&gt;"",--(V178=""),0)+IF('SURVEY DESIGN'!C188&lt;&gt;"",--(W178=""),0)+IF('SURVEY DESIGN'!C189&lt;&gt;"",--(X178=""),0))</x:f>
      </x:c>
      <x:c r="J178" s="130" t="str">
        <x:f>IF(A178="","",IF(C178&lt;&gt;"Yes","NO CONSENT",IF(F178&lt;SETUP!$B$9,"SPEEDING",IF(G178&lt;&gt;"Yes","ATTENTION CHECK",IF(H178="Yes","STRAIGHTLINE REVIEW",IF(I178&gt;0,"MISSING ITEMS","OK"))))))</x:f>
      </x:c>
      <x:c r="K178" s="130" t="str">
        <x:f>IF(A178="","",IF(J178="OK","Yes","No"))</x:f>
      </x:c>
      <x:c r="L178" s="130" t="str">
        <x:f>IF(A178="","",IF(J178="OK","",IF(J178="NO CONSENT","Consent not affirmed",IF(J178="SPEEDING","Completion time below threshold",IF(J178="ATTENTION CHECK","Attention check failed",IF(J178="STRAIGHTLINE REVIEW","Straightlining review threshold met","Missing scored item(s)"))))))</x:f>
      </x:c>
      <x:c r="M178" s="119"/>
      <x:c r="N178" s="119"/>
      <x:c r="O178" s="119"/>
      <x:c r="P178" s="119"/>
      <x:c r="Q178" s="119"/>
      <x:c r="R178" s="119"/>
      <x:c r="S178" s="119"/>
      <x:c r="T178" s="119"/>
      <x:c r="U178" s="119"/>
      <x:c r="V178" s="119"/>
      <x:c r="W178" s="119"/>
      <x:c r="X178" s="119"/>
      <x:c r="Y178" s="133" t="str">
        <x:f>IF(K178&lt;&gt;"Yes","",IFERROR(AVERAGE(M178:X178),""))</x:f>
      </x:c>
      <x:c r="Z178" s="119"/>
    </x:row>
    <x:row r="179">
      <x:c r="A179" s="119"/>
      <x:c r="B179" s="119"/>
      <x:c r="C179" s="119"/>
      <x:c r="D179" s="119"/>
      <x:c r="E179" s="119"/>
      <x:c r="F179" s="119"/>
      <x:c r="G179" s="119"/>
      <x:c r="H179" s="130" t="str">
        <x:f>IF(A179="","",IF(AND(COUNTA(M179:X179)&gt;=SETUP!$B$10,COUNTIF(M179:X179,MAX(M179:X179))=COUNTA(M179:X179)),"Yes","No"))</x:f>
      </x:c>
      <x:c r="I179" s="130" t="str">
        <x:f>IF(A179="","",IF('SURVEY DESIGN'!C179&lt;&gt;"",--(M179=""),0)+IF('SURVEY DESIGN'!C180&lt;&gt;"",--(N179=""),0)+IF('SURVEY DESIGN'!C181&lt;&gt;"",--(O179=""),0)+IF('SURVEY DESIGN'!C182&lt;&gt;"",--(P179=""),0)+IF('SURVEY DESIGN'!C183&lt;&gt;"",--(Q179=""),0)+IF('SURVEY DESIGN'!C184&lt;&gt;"",--(R179=""),0)+IF('SURVEY DESIGN'!C185&lt;&gt;"",--(S179=""),0)+IF('SURVEY DESIGN'!C186&lt;&gt;"",--(T179=""),0)+IF('SURVEY DESIGN'!C187&lt;&gt;"",--(U179=""),0)+IF('SURVEY DESIGN'!C188&lt;&gt;"",--(V179=""),0)+IF('SURVEY DESIGN'!C189&lt;&gt;"",--(W179=""),0)+IF('SURVEY DESIGN'!C190&lt;&gt;"",--(X179=""),0))</x:f>
      </x:c>
      <x:c r="J179" s="130" t="str">
        <x:f>IF(A179="","",IF(C179&lt;&gt;"Yes","NO CONSENT",IF(F179&lt;SETUP!$B$9,"SPEEDING",IF(G179&lt;&gt;"Yes","ATTENTION CHECK",IF(H179="Yes","STRAIGHTLINE REVIEW",IF(I179&gt;0,"MISSING ITEMS","OK"))))))</x:f>
      </x:c>
      <x:c r="K179" s="130" t="str">
        <x:f>IF(A179="","",IF(J179="OK","Yes","No"))</x:f>
      </x:c>
      <x:c r="L179" s="130" t="str">
        <x:f>IF(A179="","",IF(J179="OK","",IF(J179="NO CONSENT","Consent not affirmed",IF(J179="SPEEDING","Completion time below threshold",IF(J179="ATTENTION CHECK","Attention check failed",IF(J179="STRAIGHTLINE REVIEW","Straightlining review threshold met","Missing scored item(s)"))))))</x:f>
      </x:c>
      <x:c r="M179" s="119"/>
      <x:c r="N179" s="119"/>
      <x:c r="O179" s="119"/>
      <x:c r="P179" s="119"/>
      <x:c r="Q179" s="119"/>
      <x:c r="R179" s="119"/>
      <x:c r="S179" s="119"/>
      <x:c r="T179" s="119"/>
      <x:c r="U179" s="119"/>
      <x:c r="V179" s="119"/>
      <x:c r="W179" s="119"/>
      <x:c r="X179" s="119"/>
      <x:c r="Y179" s="133" t="str">
        <x:f>IF(K179&lt;&gt;"Yes","",IFERROR(AVERAGE(M179:X179),""))</x:f>
      </x:c>
      <x:c r="Z179" s="119"/>
    </x:row>
    <x:row r="180">
      <x:c r="A180" s="119"/>
      <x:c r="B180" s="119"/>
      <x:c r="C180" s="119"/>
      <x:c r="D180" s="119"/>
      <x:c r="E180" s="119"/>
      <x:c r="F180" s="119"/>
      <x:c r="G180" s="119"/>
      <x:c r="H180" s="130" t="str">
        <x:f>IF(A180="","",IF(AND(COUNTA(M180:X180)&gt;=SETUP!$B$10,COUNTIF(M180:X180,MAX(M180:X180))=COUNTA(M180:X180)),"Yes","No"))</x:f>
      </x:c>
      <x:c r="I180" s="130" t="str">
        <x:f>IF(A180="","",IF('SURVEY DESIGN'!C180&lt;&gt;"",--(M180=""),0)+IF('SURVEY DESIGN'!C181&lt;&gt;"",--(N180=""),0)+IF('SURVEY DESIGN'!C182&lt;&gt;"",--(O180=""),0)+IF('SURVEY DESIGN'!C183&lt;&gt;"",--(P180=""),0)+IF('SURVEY DESIGN'!C184&lt;&gt;"",--(Q180=""),0)+IF('SURVEY DESIGN'!C185&lt;&gt;"",--(R180=""),0)+IF('SURVEY DESIGN'!C186&lt;&gt;"",--(S180=""),0)+IF('SURVEY DESIGN'!C187&lt;&gt;"",--(T180=""),0)+IF('SURVEY DESIGN'!C188&lt;&gt;"",--(U180=""),0)+IF('SURVEY DESIGN'!C189&lt;&gt;"",--(V180=""),0)+IF('SURVEY DESIGN'!C190&lt;&gt;"",--(W180=""),0)+IF('SURVEY DESIGN'!C191&lt;&gt;"",--(X180=""),0))</x:f>
      </x:c>
      <x:c r="J180" s="130" t="str">
        <x:f>IF(A180="","",IF(C180&lt;&gt;"Yes","NO CONSENT",IF(F180&lt;SETUP!$B$9,"SPEEDING",IF(G180&lt;&gt;"Yes","ATTENTION CHECK",IF(H180="Yes","STRAIGHTLINE REVIEW",IF(I180&gt;0,"MISSING ITEMS","OK"))))))</x:f>
      </x:c>
      <x:c r="K180" s="130" t="str">
        <x:f>IF(A180="","",IF(J180="OK","Yes","No"))</x:f>
      </x:c>
      <x:c r="L180" s="130" t="str">
        <x:f>IF(A180="","",IF(J180="OK","",IF(J180="NO CONSENT","Consent not affirmed",IF(J180="SPEEDING","Completion time below threshold",IF(J180="ATTENTION CHECK","Attention check failed",IF(J180="STRAIGHTLINE REVIEW","Straightlining review threshold met","Missing scored item(s)"))))))</x:f>
      </x:c>
      <x:c r="M180" s="119"/>
      <x:c r="N180" s="119"/>
      <x:c r="O180" s="119"/>
      <x:c r="P180" s="119"/>
      <x:c r="Q180" s="119"/>
      <x:c r="R180" s="119"/>
      <x:c r="S180" s="119"/>
      <x:c r="T180" s="119"/>
      <x:c r="U180" s="119"/>
      <x:c r="V180" s="119"/>
      <x:c r="W180" s="119"/>
      <x:c r="X180" s="119"/>
      <x:c r="Y180" s="133" t="str">
        <x:f>IF(K180&lt;&gt;"Yes","",IFERROR(AVERAGE(M180:X180),""))</x:f>
      </x:c>
      <x:c r="Z180" s="119"/>
    </x:row>
    <x:row r="181">
      <x:c r="A181" s="119"/>
      <x:c r="B181" s="119"/>
      <x:c r="C181" s="119"/>
      <x:c r="D181" s="119"/>
      <x:c r="E181" s="119"/>
      <x:c r="F181" s="119"/>
      <x:c r="G181" s="119"/>
      <x:c r="H181" s="130" t="str">
        <x:f>IF(A181="","",IF(AND(COUNTA(M181:X181)&gt;=SETUP!$B$10,COUNTIF(M181:X181,MAX(M181:X181))=COUNTA(M181:X181)),"Yes","No"))</x:f>
      </x:c>
      <x:c r="I181" s="130" t="str">
        <x:f>IF(A181="","",IF('SURVEY DESIGN'!C181&lt;&gt;"",--(M181=""),0)+IF('SURVEY DESIGN'!C182&lt;&gt;"",--(N181=""),0)+IF('SURVEY DESIGN'!C183&lt;&gt;"",--(O181=""),0)+IF('SURVEY DESIGN'!C184&lt;&gt;"",--(P181=""),0)+IF('SURVEY DESIGN'!C185&lt;&gt;"",--(Q181=""),0)+IF('SURVEY DESIGN'!C186&lt;&gt;"",--(R181=""),0)+IF('SURVEY DESIGN'!C187&lt;&gt;"",--(S181=""),0)+IF('SURVEY DESIGN'!C188&lt;&gt;"",--(T181=""),0)+IF('SURVEY DESIGN'!C189&lt;&gt;"",--(U181=""),0)+IF('SURVEY DESIGN'!C190&lt;&gt;"",--(V181=""),0)+IF('SURVEY DESIGN'!C191&lt;&gt;"",--(W181=""),0)+IF('SURVEY DESIGN'!C192&lt;&gt;"",--(X181=""),0))</x:f>
      </x:c>
      <x:c r="J181" s="130" t="str">
        <x:f>IF(A181="","",IF(C181&lt;&gt;"Yes","NO CONSENT",IF(F181&lt;SETUP!$B$9,"SPEEDING",IF(G181&lt;&gt;"Yes","ATTENTION CHECK",IF(H181="Yes","STRAIGHTLINE REVIEW",IF(I181&gt;0,"MISSING ITEMS","OK"))))))</x:f>
      </x:c>
      <x:c r="K181" s="130" t="str">
        <x:f>IF(A181="","",IF(J181="OK","Yes","No"))</x:f>
      </x:c>
      <x:c r="L181" s="130" t="str">
        <x:f>IF(A181="","",IF(J181="OK","",IF(J181="NO CONSENT","Consent not affirmed",IF(J181="SPEEDING","Completion time below threshold",IF(J181="ATTENTION CHECK","Attention check failed",IF(J181="STRAIGHTLINE REVIEW","Straightlining review threshold met","Missing scored item(s)"))))))</x:f>
      </x:c>
      <x:c r="M181" s="119"/>
      <x:c r="N181" s="119"/>
      <x:c r="O181" s="119"/>
      <x:c r="P181" s="119"/>
      <x:c r="Q181" s="119"/>
      <x:c r="R181" s="119"/>
      <x:c r="S181" s="119"/>
      <x:c r="T181" s="119"/>
      <x:c r="U181" s="119"/>
      <x:c r="V181" s="119"/>
      <x:c r="W181" s="119"/>
      <x:c r="X181" s="119"/>
      <x:c r="Y181" s="133" t="str">
        <x:f>IF(K181&lt;&gt;"Yes","",IFERROR(AVERAGE(M181:X181),""))</x:f>
      </x:c>
      <x:c r="Z181" s="119"/>
    </x:row>
    <x:row r="182">
      <x:c r="A182" s="119"/>
      <x:c r="B182" s="119"/>
      <x:c r="C182" s="119"/>
      <x:c r="D182" s="119"/>
      <x:c r="E182" s="119"/>
      <x:c r="F182" s="119"/>
      <x:c r="G182" s="119"/>
      <x:c r="H182" s="130" t="str">
        <x:f>IF(A182="","",IF(AND(COUNTA(M182:X182)&gt;=SETUP!$B$10,COUNTIF(M182:X182,MAX(M182:X182))=COUNTA(M182:X182)),"Yes","No"))</x:f>
      </x:c>
      <x:c r="I182" s="130" t="str">
        <x:f>IF(A182="","",IF('SURVEY DESIGN'!C182&lt;&gt;"",--(M182=""),0)+IF('SURVEY DESIGN'!C183&lt;&gt;"",--(N182=""),0)+IF('SURVEY DESIGN'!C184&lt;&gt;"",--(O182=""),0)+IF('SURVEY DESIGN'!C185&lt;&gt;"",--(P182=""),0)+IF('SURVEY DESIGN'!C186&lt;&gt;"",--(Q182=""),0)+IF('SURVEY DESIGN'!C187&lt;&gt;"",--(R182=""),0)+IF('SURVEY DESIGN'!C188&lt;&gt;"",--(S182=""),0)+IF('SURVEY DESIGN'!C189&lt;&gt;"",--(T182=""),0)+IF('SURVEY DESIGN'!C190&lt;&gt;"",--(U182=""),0)+IF('SURVEY DESIGN'!C191&lt;&gt;"",--(V182=""),0)+IF('SURVEY DESIGN'!C192&lt;&gt;"",--(W182=""),0)+IF('SURVEY DESIGN'!C193&lt;&gt;"",--(X182=""),0))</x:f>
      </x:c>
      <x:c r="J182" s="130" t="str">
        <x:f>IF(A182="","",IF(C182&lt;&gt;"Yes","NO CONSENT",IF(F182&lt;SETUP!$B$9,"SPEEDING",IF(G182&lt;&gt;"Yes","ATTENTION CHECK",IF(H182="Yes","STRAIGHTLINE REVIEW",IF(I182&gt;0,"MISSING ITEMS","OK"))))))</x:f>
      </x:c>
      <x:c r="K182" s="130" t="str">
        <x:f>IF(A182="","",IF(J182="OK","Yes","No"))</x:f>
      </x:c>
      <x:c r="L182" s="130" t="str">
        <x:f>IF(A182="","",IF(J182="OK","",IF(J182="NO CONSENT","Consent not affirmed",IF(J182="SPEEDING","Completion time below threshold",IF(J182="ATTENTION CHECK","Attention check failed",IF(J182="STRAIGHTLINE REVIEW","Straightlining review threshold met","Missing scored item(s)"))))))</x:f>
      </x:c>
      <x:c r="M182" s="119"/>
      <x:c r="N182" s="119"/>
      <x:c r="O182" s="119"/>
      <x:c r="P182" s="119"/>
      <x:c r="Q182" s="119"/>
      <x:c r="R182" s="119"/>
      <x:c r="S182" s="119"/>
      <x:c r="T182" s="119"/>
      <x:c r="U182" s="119"/>
      <x:c r="V182" s="119"/>
      <x:c r="W182" s="119"/>
      <x:c r="X182" s="119"/>
      <x:c r="Y182" s="133" t="str">
        <x:f>IF(K182&lt;&gt;"Yes","",IFERROR(AVERAGE(M182:X182),""))</x:f>
      </x:c>
      <x:c r="Z182" s="119"/>
    </x:row>
    <x:row r="183">
      <x:c r="A183" s="119"/>
      <x:c r="B183" s="119"/>
      <x:c r="C183" s="119"/>
      <x:c r="D183" s="119"/>
      <x:c r="E183" s="119"/>
      <x:c r="F183" s="119"/>
      <x:c r="G183" s="119"/>
      <x:c r="H183" s="130" t="str">
        <x:f>IF(A183="","",IF(AND(COUNTA(M183:X183)&gt;=SETUP!$B$10,COUNTIF(M183:X183,MAX(M183:X183))=COUNTA(M183:X183)),"Yes","No"))</x:f>
      </x:c>
      <x:c r="I183" s="130" t="str">
        <x:f>IF(A183="","",IF('SURVEY DESIGN'!C183&lt;&gt;"",--(M183=""),0)+IF('SURVEY DESIGN'!C184&lt;&gt;"",--(N183=""),0)+IF('SURVEY DESIGN'!C185&lt;&gt;"",--(O183=""),0)+IF('SURVEY DESIGN'!C186&lt;&gt;"",--(P183=""),0)+IF('SURVEY DESIGN'!C187&lt;&gt;"",--(Q183=""),0)+IF('SURVEY DESIGN'!C188&lt;&gt;"",--(R183=""),0)+IF('SURVEY DESIGN'!C189&lt;&gt;"",--(S183=""),0)+IF('SURVEY DESIGN'!C190&lt;&gt;"",--(T183=""),0)+IF('SURVEY DESIGN'!C191&lt;&gt;"",--(U183=""),0)+IF('SURVEY DESIGN'!C192&lt;&gt;"",--(V183=""),0)+IF('SURVEY DESIGN'!C193&lt;&gt;"",--(W183=""),0)+IF('SURVEY DESIGN'!C194&lt;&gt;"",--(X183=""),0))</x:f>
      </x:c>
      <x:c r="J183" s="130" t="str">
        <x:f>IF(A183="","",IF(C183&lt;&gt;"Yes","NO CONSENT",IF(F183&lt;SETUP!$B$9,"SPEEDING",IF(G183&lt;&gt;"Yes","ATTENTION CHECK",IF(H183="Yes","STRAIGHTLINE REVIEW",IF(I183&gt;0,"MISSING ITEMS","OK"))))))</x:f>
      </x:c>
      <x:c r="K183" s="130" t="str">
        <x:f>IF(A183="","",IF(J183="OK","Yes","No"))</x:f>
      </x:c>
      <x:c r="L183" s="130" t="str">
        <x:f>IF(A183="","",IF(J183="OK","",IF(J183="NO CONSENT","Consent not affirmed",IF(J183="SPEEDING","Completion time below threshold",IF(J183="ATTENTION CHECK","Attention check failed",IF(J183="STRAIGHTLINE REVIEW","Straightlining review threshold met","Missing scored item(s)"))))))</x:f>
      </x:c>
      <x:c r="M183" s="119"/>
      <x:c r="N183" s="119"/>
      <x:c r="O183" s="119"/>
      <x:c r="P183" s="119"/>
      <x:c r="Q183" s="119"/>
      <x:c r="R183" s="119"/>
      <x:c r="S183" s="119"/>
      <x:c r="T183" s="119"/>
      <x:c r="U183" s="119"/>
      <x:c r="V183" s="119"/>
      <x:c r="W183" s="119"/>
      <x:c r="X183" s="119"/>
      <x:c r="Y183" s="133" t="str">
        <x:f>IF(K183&lt;&gt;"Yes","",IFERROR(AVERAGE(M183:X183),""))</x:f>
      </x:c>
      <x:c r="Z183" s="119"/>
    </x:row>
    <x:row r="184">
      <x:c r="A184" s="119"/>
      <x:c r="B184" s="119"/>
      <x:c r="C184" s="119"/>
      <x:c r="D184" s="119"/>
      <x:c r="E184" s="119"/>
      <x:c r="F184" s="119"/>
      <x:c r="G184" s="119"/>
      <x:c r="H184" s="130" t="str">
        <x:f>IF(A184="","",IF(AND(COUNTA(M184:X184)&gt;=SETUP!$B$10,COUNTIF(M184:X184,MAX(M184:X184))=COUNTA(M184:X184)),"Yes","No"))</x:f>
      </x:c>
      <x:c r="I184" s="130" t="str">
        <x:f>IF(A184="","",IF('SURVEY DESIGN'!C184&lt;&gt;"",--(M184=""),0)+IF('SURVEY DESIGN'!C185&lt;&gt;"",--(N184=""),0)+IF('SURVEY DESIGN'!C186&lt;&gt;"",--(O184=""),0)+IF('SURVEY DESIGN'!C187&lt;&gt;"",--(P184=""),0)+IF('SURVEY DESIGN'!C188&lt;&gt;"",--(Q184=""),0)+IF('SURVEY DESIGN'!C189&lt;&gt;"",--(R184=""),0)+IF('SURVEY DESIGN'!C190&lt;&gt;"",--(S184=""),0)+IF('SURVEY DESIGN'!C191&lt;&gt;"",--(T184=""),0)+IF('SURVEY DESIGN'!C192&lt;&gt;"",--(U184=""),0)+IF('SURVEY DESIGN'!C193&lt;&gt;"",--(V184=""),0)+IF('SURVEY DESIGN'!C194&lt;&gt;"",--(W184=""),0)+IF('SURVEY DESIGN'!C195&lt;&gt;"",--(X184=""),0))</x:f>
      </x:c>
      <x:c r="J184" s="130" t="str">
        <x:f>IF(A184="","",IF(C184&lt;&gt;"Yes","NO CONSENT",IF(F184&lt;SETUP!$B$9,"SPEEDING",IF(G184&lt;&gt;"Yes","ATTENTION CHECK",IF(H184="Yes","STRAIGHTLINE REVIEW",IF(I184&gt;0,"MISSING ITEMS","OK"))))))</x:f>
      </x:c>
      <x:c r="K184" s="130" t="str">
        <x:f>IF(A184="","",IF(J184="OK","Yes","No"))</x:f>
      </x:c>
      <x:c r="L184" s="130" t="str">
        <x:f>IF(A184="","",IF(J184="OK","",IF(J184="NO CONSENT","Consent not affirmed",IF(J184="SPEEDING","Completion time below threshold",IF(J184="ATTENTION CHECK","Attention check failed",IF(J184="STRAIGHTLINE REVIEW","Straightlining review threshold met","Missing scored item(s)"))))))</x:f>
      </x:c>
      <x:c r="M184" s="119"/>
      <x:c r="N184" s="119"/>
      <x:c r="O184" s="119"/>
      <x:c r="P184" s="119"/>
      <x:c r="Q184" s="119"/>
      <x:c r="R184" s="119"/>
      <x:c r="S184" s="119"/>
      <x:c r="T184" s="119"/>
      <x:c r="U184" s="119"/>
      <x:c r="V184" s="119"/>
      <x:c r="W184" s="119"/>
      <x:c r="X184" s="119"/>
      <x:c r="Y184" s="133" t="str">
        <x:f>IF(K184&lt;&gt;"Yes","",IFERROR(AVERAGE(M184:X184),""))</x:f>
      </x:c>
      <x:c r="Z184" s="119"/>
    </x:row>
    <x:row r="185">
      <x:c r="A185" s="119"/>
      <x:c r="B185" s="119"/>
      <x:c r="C185" s="119"/>
      <x:c r="D185" s="119"/>
      <x:c r="E185" s="119"/>
      <x:c r="F185" s="119"/>
      <x:c r="G185" s="119"/>
      <x:c r="H185" s="130" t="str">
        <x:f>IF(A185="","",IF(AND(COUNTA(M185:X185)&gt;=SETUP!$B$10,COUNTIF(M185:X185,MAX(M185:X185))=COUNTA(M185:X185)),"Yes","No"))</x:f>
      </x:c>
      <x:c r="I185" s="130" t="str">
        <x:f>IF(A185="","",IF('SURVEY DESIGN'!C185&lt;&gt;"",--(M185=""),0)+IF('SURVEY DESIGN'!C186&lt;&gt;"",--(N185=""),0)+IF('SURVEY DESIGN'!C187&lt;&gt;"",--(O185=""),0)+IF('SURVEY DESIGN'!C188&lt;&gt;"",--(P185=""),0)+IF('SURVEY DESIGN'!C189&lt;&gt;"",--(Q185=""),0)+IF('SURVEY DESIGN'!C190&lt;&gt;"",--(R185=""),0)+IF('SURVEY DESIGN'!C191&lt;&gt;"",--(S185=""),0)+IF('SURVEY DESIGN'!C192&lt;&gt;"",--(T185=""),0)+IF('SURVEY DESIGN'!C193&lt;&gt;"",--(U185=""),0)+IF('SURVEY DESIGN'!C194&lt;&gt;"",--(V185=""),0)+IF('SURVEY DESIGN'!C195&lt;&gt;"",--(W185=""),0)+IF('SURVEY DESIGN'!C196&lt;&gt;"",--(X185=""),0))</x:f>
      </x:c>
      <x:c r="J185" s="130" t="str">
        <x:f>IF(A185="","",IF(C185&lt;&gt;"Yes","NO CONSENT",IF(F185&lt;SETUP!$B$9,"SPEEDING",IF(G185&lt;&gt;"Yes","ATTENTION CHECK",IF(H185="Yes","STRAIGHTLINE REVIEW",IF(I185&gt;0,"MISSING ITEMS","OK"))))))</x:f>
      </x:c>
      <x:c r="K185" s="130" t="str">
        <x:f>IF(A185="","",IF(J185="OK","Yes","No"))</x:f>
      </x:c>
      <x:c r="L185" s="130" t="str">
        <x:f>IF(A185="","",IF(J185="OK","",IF(J185="NO CONSENT","Consent not affirmed",IF(J185="SPEEDING","Completion time below threshold",IF(J185="ATTENTION CHECK","Attention check failed",IF(J185="STRAIGHTLINE REVIEW","Straightlining review threshold met","Missing scored item(s)"))))))</x:f>
      </x:c>
      <x:c r="M185" s="119"/>
      <x:c r="N185" s="119"/>
      <x:c r="O185" s="119"/>
      <x:c r="P185" s="119"/>
      <x:c r="Q185" s="119"/>
      <x:c r="R185" s="119"/>
      <x:c r="S185" s="119"/>
      <x:c r="T185" s="119"/>
      <x:c r="U185" s="119"/>
      <x:c r="V185" s="119"/>
      <x:c r="W185" s="119"/>
      <x:c r="X185" s="119"/>
      <x:c r="Y185" s="133" t="str">
        <x:f>IF(K185&lt;&gt;"Yes","",IFERROR(AVERAGE(M185:X185),""))</x:f>
      </x:c>
      <x:c r="Z185" s="119"/>
    </x:row>
    <x:row r="186">
      <x:c r="A186" s="119"/>
      <x:c r="B186" s="119"/>
      <x:c r="C186" s="119"/>
      <x:c r="D186" s="119"/>
      <x:c r="E186" s="119"/>
      <x:c r="F186" s="119"/>
      <x:c r="G186" s="119"/>
      <x:c r="H186" s="130" t="str">
        <x:f>IF(A186="","",IF(AND(COUNTA(M186:X186)&gt;=SETUP!$B$10,COUNTIF(M186:X186,MAX(M186:X186))=COUNTA(M186:X186)),"Yes","No"))</x:f>
      </x:c>
      <x:c r="I186" s="130" t="str">
        <x:f>IF(A186="","",IF('SURVEY DESIGN'!C186&lt;&gt;"",--(M186=""),0)+IF('SURVEY DESIGN'!C187&lt;&gt;"",--(N186=""),0)+IF('SURVEY DESIGN'!C188&lt;&gt;"",--(O186=""),0)+IF('SURVEY DESIGN'!C189&lt;&gt;"",--(P186=""),0)+IF('SURVEY DESIGN'!C190&lt;&gt;"",--(Q186=""),0)+IF('SURVEY DESIGN'!C191&lt;&gt;"",--(R186=""),0)+IF('SURVEY DESIGN'!C192&lt;&gt;"",--(S186=""),0)+IF('SURVEY DESIGN'!C193&lt;&gt;"",--(T186=""),0)+IF('SURVEY DESIGN'!C194&lt;&gt;"",--(U186=""),0)+IF('SURVEY DESIGN'!C195&lt;&gt;"",--(V186=""),0)+IF('SURVEY DESIGN'!C196&lt;&gt;"",--(W186=""),0)+IF('SURVEY DESIGN'!C197&lt;&gt;"",--(X186=""),0))</x:f>
      </x:c>
      <x:c r="J186" s="130" t="str">
        <x:f>IF(A186="","",IF(C186&lt;&gt;"Yes","NO CONSENT",IF(F186&lt;SETUP!$B$9,"SPEEDING",IF(G186&lt;&gt;"Yes","ATTENTION CHECK",IF(H186="Yes","STRAIGHTLINE REVIEW",IF(I186&gt;0,"MISSING ITEMS","OK"))))))</x:f>
      </x:c>
      <x:c r="K186" s="130" t="str">
        <x:f>IF(A186="","",IF(J186="OK","Yes","No"))</x:f>
      </x:c>
      <x:c r="L186" s="130" t="str">
        <x:f>IF(A186="","",IF(J186="OK","",IF(J186="NO CONSENT","Consent not affirmed",IF(J186="SPEEDING","Completion time below threshold",IF(J186="ATTENTION CHECK","Attention check failed",IF(J186="STRAIGHTLINE REVIEW","Straightlining review threshold met","Missing scored item(s)"))))))</x:f>
      </x:c>
      <x:c r="M186" s="119"/>
      <x:c r="N186" s="119"/>
      <x:c r="O186" s="119"/>
      <x:c r="P186" s="119"/>
      <x:c r="Q186" s="119"/>
      <x:c r="R186" s="119"/>
      <x:c r="S186" s="119"/>
      <x:c r="T186" s="119"/>
      <x:c r="U186" s="119"/>
      <x:c r="V186" s="119"/>
      <x:c r="W186" s="119"/>
      <x:c r="X186" s="119"/>
      <x:c r="Y186" s="133" t="str">
        <x:f>IF(K186&lt;&gt;"Yes","",IFERROR(AVERAGE(M186:X186),""))</x:f>
      </x:c>
      <x:c r="Z186" s="119"/>
    </x:row>
    <x:row r="187">
      <x:c r="A187" s="119"/>
      <x:c r="B187" s="119"/>
      <x:c r="C187" s="119"/>
      <x:c r="D187" s="119"/>
      <x:c r="E187" s="119"/>
      <x:c r="F187" s="119"/>
      <x:c r="G187" s="119"/>
      <x:c r="H187" s="130" t="str">
        <x:f>IF(A187="","",IF(AND(COUNTA(M187:X187)&gt;=SETUP!$B$10,COUNTIF(M187:X187,MAX(M187:X187))=COUNTA(M187:X187)),"Yes","No"))</x:f>
      </x:c>
      <x:c r="I187" s="130" t="str">
        <x:f>IF(A187="","",IF('SURVEY DESIGN'!C187&lt;&gt;"",--(M187=""),0)+IF('SURVEY DESIGN'!C188&lt;&gt;"",--(N187=""),0)+IF('SURVEY DESIGN'!C189&lt;&gt;"",--(O187=""),0)+IF('SURVEY DESIGN'!C190&lt;&gt;"",--(P187=""),0)+IF('SURVEY DESIGN'!C191&lt;&gt;"",--(Q187=""),0)+IF('SURVEY DESIGN'!C192&lt;&gt;"",--(R187=""),0)+IF('SURVEY DESIGN'!C193&lt;&gt;"",--(S187=""),0)+IF('SURVEY DESIGN'!C194&lt;&gt;"",--(T187=""),0)+IF('SURVEY DESIGN'!C195&lt;&gt;"",--(U187=""),0)+IF('SURVEY DESIGN'!C196&lt;&gt;"",--(V187=""),0)+IF('SURVEY DESIGN'!C197&lt;&gt;"",--(W187=""),0)+IF('SURVEY DESIGN'!C198&lt;&gt;"",--(X187=""),0))</x:f>
      </x:c>
      <x:c r="J187" s="130" t="str">
        <x:f>IF(A187="","",IF(C187&lt;&gt;"Yes","NO CONSENT",IF(F187&lt;SETUP!$B$9,"SPEEDING",IF(G187&lt;&gt;"Yes","ATTENTION CHECK",IF(H187="Yes","STRAIGHTLINE REVIEW",IF(I187&gt;0,"MISSING ITEMS","OK"))))))</x:f>
      </x:c>
      <x:c r="K187" s="130" t="str">
        <x:f>IF(A187="","",IF(J187="OK","Yes","No"))</x:f>
      </x:c>
      <x:c r="L187" s="130" t="str">
        <x:f>IF(A187="","",IF(J187="OK","",IF(J187="NO CONSENT","Consent not affirmed",IF(J187="SPEEDING","Completion time below threshold",IF(J187="ATTENTION CHECK","Attention check failed",IF(J187="STRAIGHTLINE REVIEW","Straightlining review threshold met","Missing scored item(s)"))))))</x:f>
      </x:c>
      <x:c r="M187" s="119"/>
      <x:c r="N187" s="119"/>
      <x:c r="O187" s="119"/>
      <x:c r="P187" s="119"/>
      <x:c r="Q187" s="119"/>
      <x:c r="R187" s="119"/>
      <x:c r="S187" s="119"/>
      <x:c r="T187" s="119"/>
      <x:c r="U187" s="119"/>
      <x:c r="V187" s="119"/>
      <x:c r="W187" s="119"/>
      <x:c r="X187" s="119"/>
      <x:c r="Y187" s="133" t="str">
        <x:f>IF(K187&lt;&gt;"Yes","",IFERROR(AVERAGE(M187:X187),""))</x:f>
      </x:c>
      <x:c r="Z187" s="119"/>
    </x:row>
    <x:row r="188">
      <x:c r="A188" s="119"/>
      <x:c r="B188" s="119"/>
      <x:c r="C188" s="119"/>
      <x:c r="D188" s="119"/>
      <x:c r="E188" s="119"/>
      <x:c r="F188" s="119"/>
      <x:c r="G188" s="119"/>
      <x:c r="H188" s="130" t="str">
        <x:f>IF(A188="","",IF(AND(COUNTA(M188:X188)&gt;=SETUP!$B$10,COUNTIF(M188:X188,MAX(M188:X188))=COUNTA(M188:X188)),"Yes","No"))</x:f>
      </x:c>
      <x:c r="I188" s="130" t="str">
        <x:f>IF(A188="","",IF('SURVEY DESIGN'!C188&lt;&gt;"",--(M188=""),0)+IF('SURVEY DESIGN'!C189&lt;&gt;"",--(N188=""),0)+IF('SURVEY DESIGN'!C190&lt;&gt;"",--(O188=""),0)+IF('SURVEY DESIGN'!C191&lt;&gt;"",--(P188=""),0)+IF('SURVEY DESIGN'!C192&lt;&gt;"",--(Q188=""),0)+IF('SURVEY DESIGN'!C193&lt;&gt;"",--(R188=""),0)+IF('SURVEY DESIGN'!C194&lt;&gt;"",--(S188=""),0)+IF('SURVEY DESIGN'!C195&lt;&gt;"",--(T188=""),0)+IF('SURVEY DESIGN'!C196&lt;&gt;"",--(U188=""),0)+IF('SURVEY DESIGN'!C197&lt;&gt;"",--(V188=""),0)+IF('SURVEY DESIGN'!C198&lt;&gt;"",--(W188=""),0)+IF('SURVEY DESIGN'!C199&lt;&gt;"",--(X188=""),0))</x:f>
      </x:c>
      <x:c r="J188" s="130" t="str">
        <x:f>IF(A188="","",IF(C188&lt;&gt;"Yes","NO CONSENT",IF(F188&lt;SETUP!$B$9,"SPEEDING",IF(G188&lt;&gt;"Yes","ATTENTION CHECK",IF(H188="Yes","STRAIGHTLINE REVIEW",IF(I188&gt;0,"MISSING ITEMS","OK"))))))</x:f>
      </x:c>
      <x:c r="K188" s="130" t="str">
        <x:f>IF(A188="","",IF(J188="OK","Yes","No"))</x:f>
      </x:c>
      <x:c r="L188" s="130" t="str">
        <x:f>IF(A188="","",IF(J188="OK","",IF(J188="NO CONSENT","Consent not affirmed",IF(J188="SPEEDING","Completion time below threshold",IF(J188="ATTENTION CHECK","Attention check failed",IF(J188="STRAIGHTLINE REVIEW","Straightlining review threshold met","Missing scored item(s)"))))))</x:f>
      </x:c>
      <x:c r="M188" s="119"/>
      <x:c r="N188" s="119"/>
      <x:c r="O188" s="119"/>
      <x:c r="P188" s="119"/>
      <x:c r="Q188" s="119"/>
      <x:c r="R188" s="119"/>
      <x:c r="S188" s="119"/>
      <x:c r="T188" s="119"/>
      <x:c r="U188" s="119"/>
      <x:c r="V188" s="119"/>
      <x:c r="W188" s="119"/>
      <x:c r="X188" s="119"/>
      <x:c r="Y188" s="133" t="str">
        <x:f>IF(K188&lt;&gt;"Yes","",IFERROR(AVERAGE(M188:X188),""))</x:f>
      </x:c>
      <x:c r="Z188" s="119"/>
    </x:row>
    <x:row r="189">
      <x:c r="A189" s="119"/>
      <x:c r="B189" s="119"/>
      <x:c r="C189" s="119"/>
      <x:c r="D189" s="119"/>
      <x:c r="E189" s="119"/>
      <x:c r="F189" s="119"/>
      <x:c r="G189" s="119"/>
      <x:c r="H189" s="130" t="str">
        <x:f>IF(A189="","",IF(AND(COUNTA(M189:X189)&gt;=SETUP!$B$10,COUNTIF(M189:X189,MAX(M189:X189))=COUNTA(M189:X189)),"Yes","No"))</x:f>
      </x:c>
      <x:c r="I189" s="130" t="str">
        <x:f>IF(A189="","",IF('SURVEY DESIGN'!C189&lt;&gt;"",--(M189=""),0)+IF('SURVEY DESIGN'!C190&lt;&gt;"",--(N189=""),0)+IF('SURVEY DESIGN'!C191&lt;&gt;"",--(O189=""),0)+IF('SURVEY DESIGN'!C192&lt;&gt;"",--(P189=""),0)+IF('SURVEY DESIGN'!C193&lt;&gt;"",--(Q189=""),0)+IF('SURVEY DESIGN'!C194&lt;&gt;"",--(R189=""),0)+IF('SURVEY DESIGN'!C195&lt;&gt;"",--(S189=""),0)+IF('SURVEY DESIGN'!C196&lt;&gt;"",--(T189=""),0)+IF('SURVEY DESIGN'!C197&lt;&gt;"",--(U189=""),0)+IF('SURVEY DESIGN'!C198&lt;&gt;"",--(V189=""),0)+IF('SURVEY DESIGN'!C199&lt;&gt;"",--(W189=""),0)+IF('SURVEY DESIGN'!C200&lt;&gt;"",--(X189=""),0))</x:f>
      </x:c>
      <x:c r="J189" s="130" t="str">
        <x:f>IF(A189="","",IF(C189&lt;&gt;"Yes","NO CONSENT",IF(F189&lt;SETUP!$B$9,"SPEEDING",IF(G189&lt;&gt;"Yes","ATTENTION CHECK",IF(H189="Yes","STRAIGHTLINE REVIEW",IF(I189&gt;0,"MISSING ITEMS","OK"))))))</x:f>
      </x:c>
      <x:c r="K189" s="130" t="str">
        <x:f>IF(A189="","",IF(J189="OK","Yes","No"))</x:f>
      </x:c>
      <x:c r="L189" s="130" t="str">
        <x:f>IF(A189="","",IF(J189="OK","",IF(J189="NO CONSENT","Consent not affirmed",IF(J189="SPEEDING","Completion time below threshold",IF(J189="ATTENTION CHECK","Attention check failed",IF(J189="STRAIGHTLINE REVIEW","Straightlining review threshold met","Missing scored item(s)"))))))</x:f>
      </x:c>
      <x:c r="M189" s="119"/>
      <x:c r="N189" s="119"/>
      <x:c r="O189" s="119"/>
      <x:c r="P189" s="119"/>
      <x:c r="Q189" s="119"/>
      <x:c r="R189" s="119"/>
      <x:c r="S189" s="119"/>
      <x:c r="T189" s="119"/>
      <x:c r="U189" s="119"/>
      <x:c r="V189" s="119"/>
      <x:c r="W189" s="119"/>
      <x:c r="X189" s="119"/>
      <x:c r="Y189" s="133" t="str">
        <x:f>IF(K189&lt;&gt;"Yes","",IFERROR(AVERAGE(M189:X189),""))</x:f>
      </x:c>
      <x:c r="Z189" s="119"/>
    </x:row>
    <x:row r="190">
      <x:c r="A190" s="119"/>
      <x:c r="B190" s="119"/>
      <x:c r="C190" s="119"/>
      <x:c r="D190" s="119"/>
      <x:c r="E190" s="119"/>
      <x:c r="F190" s="119"/>
      <x:c r="G190" s="119"/>
      <x:c r="H190" s="130" t="str">
        <x:f>IF(A190="","",IF(AND(COUNTA(M190:X190)&gt;=SETUP!$B$10,COUNTIF(M190:X190,MAX(M190:X190))=COUNTA(M190:X190)),"Yes","No"))</x:f>
      </x:c>
      <x:c r="I190" s="130" t="str">
        <x:f>IF(A190="","",IF('SURVEY DESIGN'!C190&lt;&gt;"",--(M190=""),0)+IF('SURVEY DESIGN'!C191&lt;&gt;"",--(N190=""),0)+IF('SURVEY DESIGN'!C192&lt;&gt;"",--(O190=""),0)+IF('SURVEY DESIGN'!C193&lt;&gt;"",--(P190=""),0)+IF('SURVEY DESIGN'!C194&lt;&gt;"",--(Q190=""),0)+IF('SURVEY DESIGN'!C195&lt;&gt;"",--(R190=""),0)+IF('SURVEY DESIGN'!C196&lt;&gt;"",--(S190=""),0)+IF('SURVEY DESIGN'!C197&lt;&gt;"",--(T190=""),0)+IF('SURVEY DESIGN'!C198&lt;&gt;"",--(U190=""),0)+IF('SURVEY DESIGN'!C199&lt;&gt;"",--(V190=""),0)+IF('SURVEY DESIGN'!C200&lt;&gt;"",--(W190=""),0)+IF('SURVEY DESIGN'!C201&lt;&gt;"",--(X190=""),0))</x:f>
      </x:c>
      <x:c r="J190" s="130" t="str">
        <x:f>IF(A190="","",IF(C190&lt;&gt;"Yes","NO CONSENT",IF(F190&lt;SETUP!$B$9,"SPEEDING",IF(G190&lt;&gt;"Yes","ATTENTION CHECK",IF(H190="Yes","STRAIGHTLINE REVIEW",IF(I190&gt;0,"MISSING ITEMS","OK"))))))</x:f>
      </x:c>
      <x:c r="K190" s="130" t="str">
        <x:f>IF(A190="","",IF(J190="OK","Yes","No"))</x:f>
      </x:c>
      <x:c r="L190" s="130" t="str">
        <x:f>IF(A190="","",IF(J190="OK","",IF(J190="NO CONSENT","Consent not affirmed",IF(J190="SPEEDING","Completion time below threshold",IF(J190="ATTENTION CHECK","Attention check failed",IF(J190="STRAIGHTLINE REVIEW","Straightlining review threshold met","Missing scored item(s)"))))))</x:f>
      </x:c>
      <x:c r="M190" s="119"/>
      <x:c r="N190" s="119"/>
      <x:c r="O190" s="119"/>
      <x:c r="P190" s="119"/>
      <x:c r="Q190" s="119"/>
      <x:c r="R190" s="119"/>
      <x:c r="S190" s="119"/>
      <x:c r="T190" s="119"/>
      <x:c r="U190" s="119"/>
      <x:c r="V190" s="119"/>
      <x:c r="W190" s="119"/>
      <x:c r="X190" s="119"/>
      <x:c r="Y190" s="133" t="str">
        <x:f>IF(K190&lt;&gt;"Yes","",IFERROR(AVERAGE(M190:X190),""))</x:f>
      </x:c>
      <x:c r="Z190" s="119"/>
    </x:row>
    <x:row r="191">
      <x:c r="A191" s="119"/>
      <x:c r="B191" s="119"/>
      <x:c r="C191" s="119"/>
      <x:c r="D191" s="119"/>
      <x:c r="E191" s="119"/>
      <x:c r="F191" s="119"/>
      <x:c r="G191" s="119"/>
      <x:c r="H191" s="130" t="str">
        <x:f>IF(A191="","",IF(AND(COUNTA(M191:X191)&gt;=SETUP!$B$10,COUNTIF(M191:X191,MAX(M191:X191))=COUNTA(M191:X191)),"Yes","No"))</x:f>
      </x:c>
      <x:c r="I191" s="130" t="str">
        <x:f>IF(A191="","",IF('SURVEY DESIGN'!C191&lt;&gt;"",--(M191=""),0)+IF('SURVEY DESIGN'!C192&lt;&gt;"",--(N191=""),0)+IF('SURVEY DESIGN'!C193&lt;&gt;"",--(O191=""),0)+IF('SURVEY DESIGN'!C194&lt;&gt;"",--(P191=""),0)+IF('SURVEY DESIGN'!C195&lt;&gt;"",--(Q191=""),0)+IF('SURVEY DESIGN'!C196&lt;&gt;"",--(R191=""),0)+IF('SURVEY DESIGN'!C197&lt;&gt;"",--(S191=""),0)+IF('SURVEY DESIGN'!C198&lt;&gt;"",--(T191=""),0)+IF('SURVEY DESIGN'!C199&lt;&gt;"",--(U191=""),0)+IF('SURVEY DESIGN'!C200&lt;&gt;"",--(V191=""),0)+IF('SURVEY DESIGN'!C201&lt;&gt;"",--(W191=""),0)+IF('SURVEY DESIGN'!C202&lt;&gt;"",--(X191=""),0))</x:f>
      </x:c>
      <x:c r="J191" s="130" t="str">
        <x:f>IF(A191="","",IF(C191&lt;&gt;"Yes","NO CONSENT",IF(F191&lt;SETUP!$B$9,"SPEEDING",IF(G191&lt;&gt;"Yes","ATTENTION CHECK",IF(H191="Yes","STRAIGHTLINE REVIEW",IF(I191&gt;0,"MISSING ITEMS","OK"))))))</x:f>
      </x:c>
      <x:c r="K191" s="130" t="str">
        <x:f>IF(A191="","",IF(J191="OK","Yes","No"))</x:f>
      </x:c>
      <x:c r="L191" s="130" t="str">
        <x:f>IF(A191="","",IF(J191="OK","",IF(J191="NO CONSENT","Consent not affirmed",IF(J191="SPEEDING","Completion time below threshold",IF(J191="ATTENTION CHECK","Attention check failed",IF(J191="STRAIGHTLINE REVIEW","Straightlining review threshold met","Missing scored item(s)"))))))</x:f>
      </x:c>
      <x:c r="M191" s="119"/>
      <x:c r="N191" s="119"/>
      <x:c r="O191" s="119"/>
      <x:c r="P191" s="119"/>
      <x:c r="Q191" s="119"/>
      <x:c r="R191" s="119"/>
      <x:c r="S191" s="119"/>
      <x:c r="T191" s="119"/>
      <x:c r="U191" s="119"/>
      <x:c r="V191" s="119"/>
      <x:c r="W191" s="119"/>
      <x:c r="X191" s="119"/>
      <x:c r="Y191" s="133" t="str">
        <x:f>IF(K191&lt;&gt;"Yes","",IFERROR(AVERAGE(M191:X191),""))</x:f>
      </x:c>
      <x:c r="Z191" s="119"/>
    </x:row>
    <x:row r="192">
      <x:c r="A192" s="119"/>
      <x:c r="B192" s="119"/>
      <x:c r="C192" s="119"/>
      <x:c r="D192" s="119"/>
      <x:c r="E192" s="119"/>
      <x:c r="F192" s="119"/>
      <x:c r="G192" s="119"/>
      <x:c r="H192" s="130" t="str">
        <x:f>IF(A192="","",IF(AND(COUNTA(M192:X192)&gt;=SETUP!$B$10,COUNTIF(M192:X192,MAX(M192:X192))=COUNTA(M192:X192)),"Yes","No"))</x:f>
      </x:c>
      <x:c r="I192" s="130" t="str">
        <x:f>IF(A192="","",IF('SURVEY DESIGN'!C192&lt;&gt;"",--(M192=""),0)+IF('SURVEY DESIGN'!C193&lt;&gt;"",--(N192=""),0)+IF('SURVEY DESIGN'!C194&lt;&gt;"",--(O192=""),0)+IF('SURVEY DESIGN'!C195&lt;&gt;"",--(P192=""),0)+IF('SURVEY DESIGN'!C196&lt;&gt;"",--(Q192=""),0)+IF('SURVEY DESIGN'!C197&lt;&gt;"",--(R192=""),0)+IF('SURVEY DESIGN'!C198&lt;&gt;"",--(S192=""),0)+IF('SURVEY DESIGN'!C199&lt;&gt;"",--(T192=""),0)+IF('SURVEY DESIGN'!C200&lt;&gt;"",--(U192=""),0)+IF('SURVEY DESIGN'!C201&lt;&gt;"",--(V192=""),0)+IF('SURVEY DESIGN'!C202&lt;&gt;"",--(W192=""),0)+IF('SURVEY DESIGN'!C203&lt;&gt;"",--(X192=""),0))</x:f>
      </x:c>
      <x:c r="J192" s="130" t="str">
        <x:f>IF(A192="","",IF(C192&lt;&gt;"Yes","NO CONSENT",IF(F192&lt;SETUP!$B$9,"SPEEDING",IF(G192&lt;&gt;"Yes","ATTENTION CHECK",IF(H192="Yes","STRAIGHTLINE REVIEW",IF(I192&gt;0,"MISSING ITEMS","OK"))))))</x:f>
      </x:c>
      <x:c r="K192" s="130" t="str">
        <x:f>IF(A192="","",IF(J192="OK","Yes","No"))</x:f>
      </x:c>
      <x:c r="L192" s="130" t="str">
        <x:f>IF(A192="","",IF(J192="OK","",IF(J192="NO CONSENT","Consent not affirmed",IF(J192="SPEEDING","Completion time below threshold",IF(J192="ATTENTION CHECK","Attention check failed",IF(J192="STRAIGHTLINE REVIEW","Straightlining review threshold met","Missing scored item(s)"))))))</x:f>
      </x:c>
      <x:c r="M192" s="119"/>
      <x:c r="N192" s="119"/>
      <x:c r="O192" s="119"/>
      <x:c r="P192" s="119"/>
      <x:c r="Q192" s="119"/>
      <x:c r="R192" s="119"/>
      <x:c r="S192" s="119"/>
      <x:c r="T192" s="119"/>
      <x:c r="U192" s="119"/>
      <x:c r="V192" s="119"/>
      <x:c r="W192" s="119"/>
      <x:c r="X192" s="119"/>
      <x:c r="Y192" s="133" t="str">
        <x:f>IF(K192&lt;&gt;"Yes","",IFERROR(AVERAGE(M192:X192),""))</x:f>
      </x:c>
      <x:c r="Z192" s="119"/>
    </x:row>
    <x:row r="193">
      <x:c r="A193" s="119"/>
      <x:c r="B193" s="119"/>
      <x:c r="C193" s="119"/>
      <x:c r="D193" s="119"/>
      <x:c r="E193" s="119"/>
      <x:c r="F193" s="119"/>
      <x:c r="G193" s="119"/>
      <x:c r="H193" s="130" t="str">
        <x:f>IF(A193="","",IF(AND(COUNTA(M193:X193)&gt;=SETUP!$B$10,COUNTIF(M193:X193,MAX(M193:X193))=COUNTA(M193:X193)),"Yes","No"))</x:f>
      </x:c>
      <x:c r="I193" s="130" t="str">
        <x:f>IF(A193="","",IF('SURVEY DESIGN'!C193&lt;&gt;"",--(M193=""),0)+IF('SURVEY DESIGN'!C194&lt;&gt;"",--(N193=""),0)+IF('SURVEY DESIGN'!C195&lt;&gt;"",--(O193=""),0)+IF('SURVEY DESIGN'!C196&lt;&gt;"",--(P193=""),0)+IF('SURVEY DESIGN'!C197&lt;&gt;"",--(Q193=""),0)+IF('SURVEY DESIGN'!C198&lt;&gt;"",--(R193=""),0)+IF('SURVEY DESIGN'!C199&lt;&gt;"",--(S193=""),0)+IF('SURVEY DESIGN'!C200&lt;&gt;"",--(T193=""),0)+IF('SURVEY DESIGN'!C201&lt;&gt;"",--(U193=""),0)+IF('SURVEY DESIGN'!C202&lt;&gt;"",--(V193=""),0)+IF('SURVEY DESIGN'!C203&lt;&gt;"",--(W193=""),0)+IF('SURVEY DESIGN'!C204&lt;&gt;"",--(X193=""),0))</x:f>
      </x:c>
      <x:c r="J193" s="130" t="str">
        <x:f>IF(A193="","",IF(C193&lt;&gt;"Yes","NO CONSENT",IF(F193&lt;SETUP!$B$9,"SPEEDING",IF(G193&lt;&gt;"Yes","ATTENTION CHECK",IF(H193="Yes","STRAIGHTLINE REVIEW",IF(I193&gt;0,"MISSING ITEMS","OK"))))))</x:f>
      </x:c>
      <x:c r="K193" s="130" t="str">
        <x:f>IF(A193="","",IF(J193="OK","Yes","No"))</x:f>
      </x:c>
      <x:c r="L193" s="130" t="str">
        <x:f>IF(A193="","",IF(J193="OK","",IF(J193="NO CONSENT","Consent not affirmed",IF(J193="SPEEDING","Completion time below threshold",IF(J193="ATTENTION CHECK","Attention check failed",IF(J193="STRAIGHTLINE REVIEW","Straightlining review threshold met","Missing scored item(s)"))))))</x:f>
      </x:c>
      <x:c r="M193" s="119"/>
      <x:c r="N193" s="119"/>
      <x:c r="O193" s="119"/>
      <x:c r="P193" s="119"/>
      <x:c r="Q193" s="119"/>
      <x:c r="R193" s="119"/>
      <x:c r="S193" s="119"/>
      <x:c r="T193" s="119"/>
      <x:c r="U193" s="119"/>
      <x:c r="V193" s="119"/>
      <x:c r="W193" s="119"/>
      <x:c r="X193" s="119"/>
      <x:c r="Y193" s="133" t="str">
        <x:f>IF(K193&lt;&gt;"Yes","",IFERROR(AVERAGE(M193:X193),""))</x:f>
      </x:c>
      <x:c r="Z193" s="119"/>
    </x:row>
    <x:row r="194">
      <x:c r="A194" s="119"/>
      <x:c r="B194" s="119"/>
      <x:c r="C194" s="119"/>
      <x:c r="D194" s="119"/>
      <x:c r="E194" s="119"/>
      <x:c r="F194" s="119"/>
      <x:c r="G194" s="119"/>
      <x:c r="H194" s="130" t="str">
        <x:f>IF(A194="","",IF(AND(COUNTA(M194:X194)&gt;=SETUP!$B$10,COUNTIF(M194:X194,MAX(M194:X194))=COUNTA(M194:X194)),"Yes","No"))</x:f>
      </x:c>
      <x:c r="I194" s="130" t="str">
        <x:f>IF(A194="","",IF('SURVEY DESIGN'!C194&lt;&gt;"",--(M194=""),0)+IF('SURVEY DESIGN'!C195&lt;&gt;"",--(N194=""),0)+IF('SURVEY DESIGN'!C196&lt;&gt;"",--(O194=""),0)+IF('SURVEY DESIGN'!C197&lt;&gt;"",--(P194=""),0)+IF('SURVEY DESIGN'!C198&lt;&gt;"",--(Q194=""),0)+IF('SURVEY DESIGN'!C199&lt;&gt;"",--(R194=""),0)+IF('SURVEY DESIGN'!C200&lt;&gt;"",--(S194=""),0)+IF('SURVEY DESIGN'!C201&lt;&gt;"",--(T194=""),0)+IF('SURVEY DESIGN'!C202&lt;&gt;"",--(U194=""),0)+IF('SURVEY DESIGN'!C203&lt;&gt;"",--(V194=""),0)+IF('SURVEY DESIGN'!C204&lt;&gt;"",--(W194=""),0)+IF('SURVEY DESIGN'!C205&lt;&gt;"",--(X194=""),0))</x:f>
      </x:c>
      <x:c r="J194" s="130" t="str">
        <x:f>IF(A194="","",IF(C194&lt;&gt;"Yes","NO CONSENT",IF(F194&lt;SETUP!$B$9,"SPEEDING",IF(G194&lt;&gt;"Yes","ATTENTION CHECK",IF(H194="Yes","STRAIGHTLINE REVIEW",IF(I194&gt;0,"MISSING ITEMS","OK"))))))</x:f>
      </x:c>
      <x:c r="K194" s="130" t="str">
        <x:f>IF(A194="","",IF(J194="OK","Yes","No"))</x:f>
      </x:c>
      <x:c r="L194" s="130" t="str">
        <x:f>IF(A194="","",IF(J194="OK","",IF(J194="NO CONSENT","Consent not affirmed",IF(J194="SPEEDING","Completion time below threshold",IF(J194="ATTENTION CHECK","Attention check failed",IF(J194="STRAIGHTLINE REVIEW","Straightlining review threshold met","Missing scored item(s)"))))))</x:f>
      </x:c>
      <x:c r="M194" s="119"/>
      <x:c r="N194" s="119"/>
      <x:c r="O194" s="119"/>
      <x:c r="P194" s="119"/>
      <x:c r="Q194" s="119"/>
      <x:c r="R194" s="119"/>
      <x:c r="S194" s="119"/>
      <x:c r="T194" s="119"/>
      <x:c r="U194" s="119"/>
      <x:c r="V194" s="119"/>
      <x:c r="W194" s="119"/>
      <x:c r="X194" s="119"/>
      <x:c r="Y194" s="133" t="str">
        <x:f>IF(K194&lt;&gt;"Yes","",IFERROR(AVERAGE(M194:X194),""))</x:f>
      </x:c>
      <x:c r="Z194" s="119"/>
    </x:row>
    <x:row r="195">
      <x:c r="A195" s="119"/>
      <x:c r="B195" s="119"/>
      <x:c r="C195" s="119"/>
      <x:c r="D195" s="119"/>
      <x:c r="E195" s="119"/>
      <x:c r="F195" s="119"/>
      <x:c r="G195" s="119"/>
      <x:c r="H195" s="130" t="str">
        <x:f>IF(A195="","",IF(AND(COUNTA(M195:X195)&gt;=SETUP!$B$10,COUNTIF(M195:X195,MAX(M195:X195))=COUNTA(M195:X195)),"Yes","No"))</x:f>
      </x:c>
      <x:c r="I195" s="130" t="str">
        <x:f>IF(A195="","",IF('SURVEY DESIGN'!C195&lt;&gt;"",--(M195=""),0)+IF('SURVEY DESIGN'!C196&lt;&gt;"",--(N195=""),0)+IF('SURVEY DESIGN'!C197&lt;&gt;"",--(O195=""),0)+IF('SURVEY DESIGN'!C198&lt;&gt;"",--(P195=""),0)+IF('SURVEY DESIGN'!C199&lt;&gt;"",--(Q195=""),0)+IF('SURVEY DESIGN'!C200&lt;&gt;"",--(R195=""),0)+IF('SURVEY DESIGN'!C201&lt;&gt;"",--(S195=""),0)+IF('SURVEY DESIGN'!C202&lt;&gt;"",--(T195=""),0)+IF('SURVEY DESIGN'!C203&lt;&gt;"",--(U195=""),0)+IF('SURVEY DESIGN'!C204&lt;&gt;"",--(V195=""),0)+IF('SURVEY DESIGN'!C205&lt;&gt;"",--(W195=""),0)+IF('SURVEY DESIGN'!C206&lt;&gt;"",--(X195=""),0))</x:f>
      </x:c>
      <x:c r="J195" s="130" t="str">
        <x:f>IF(A195="","",IF(C195&lt;&gt;"Yes","NO CONSENT",IF(F195&lt;SETUP!$B$9,"SPEEDING",IF(G195&lt;&gt;"Yes","ATTENTION CHECK",IF(H195="Yes","STRAIGHTLINE REVIEW",IF(I195&gt;0,"MISSING ITEMS","OK"))))))</x:f>
      </x:c>
      <x:c r="K195" s="130" t="str">
        <x:f>IF(A195="","",IF(J195="OK","Yes","No"))</x:f>
      </x:c>
      <x:c r="L195" s="130" t="str">
        <x:f>IF(A195="","",IF(J195="OK","",IF(J195="NO CONSENT","Consent not affirmed",IF(J195="SPEEDING","Completion time below threshold",IF(J195="ATTENTION CHECK","Attention check failed",IF(J195="STRAIGHTLINE REVIEW","Straightlining review threshold met","Missing scored item(s)"))))))</x:f>
      </x:c>
      <x:c r="M195" s="119"/>
      <x:c r="N195" s="119"/>
      <x:c r="O195" s="119"/>
      <x:c r="P195" s="119"/>
      <x:c r="Q195" s="119"/>
      <x:c r="R195" s="119"/>
      <x:c r="S195" s="119"/>
      <x:c r="T195" s="119"/>
      <x:c r="U195" s="119"/>
      <x:c r="V195" s="119"/>
      <x:c r="W195" s="119"/>
      <x:c r="X195" s="119"/>
      <x:c r="Y195" s="133" t="str">
        <x:f>IF(K195&lt;&gt;"Yes","",IFERROR(AVERAGE(M195:X195),""))</x:f>
      </x:c>
      <x:c r="Z195" s="119"/>
    </x:row>
    <x:row r="196">
      <x:c r="A196" s="119"/>
      <x:c r="B196" s="119"/>
      <x:c r="C196" s="119"/>
      <x:c r="D196" s="119"/>
      <x:c r="E196" s="119"/>
      <x:c r="F196" s="119"/>
      <x:c r="G196" s="119"/>
      <x:c r="H196" s="130" t="str">
        <x:f>IF(A196="","",IF(AND(COUNTA(M196:X196)&gt;=SETUP!$B$10,COUNTIF(M196:X196,MAX(M196:X196))=COUNTA(M196:X196)),"Yes","No"))</x:f>
      </x:c>
      <x:c r="I196" s="130" t="str">
        <x:f>IF(A196="","",IF('SURVEY DESIGN'!C196&lt;&gt;"",--(M196=""),0)+IF('SURVEY DESIGN'!C197&lt;&gt;"",--(N196=""),0)+IF('SURVEY DESIGN'!C198&lt;&gt;"",--(O196=""),0)+IF('SURVEY DESIGN'!C199&lt;&gt;"",--(P196=""),0)+IF('SURVEY DESIGN'!C200&lt;&gt;"",--(Q196=""),0)+IF('SURVEY DESIGN'!C201&lt;&gt;"",--(R196=""),0)+IF('SURVEY DESIGN'!C202&lt;&gt;"",--(S196=""),0)+IF('SURVEY DESIGN'!C203&lt;&gt;"",--(T196=""),0)+IF('SURVEY DESIGN'!C204&lt;&gt;"",--(U196=""),0)+IF('SURVEY DESIGN'!C205&lt;&gt;"",--(V196=""),0)+IF('SURVEY DESIGN'!C206&lt;&gt;"",--(W196=""),0)+IF('SURVEY DESIGN'!C207&lt;&gt;"",--(X196=""),0))</x:f>
      </x:c>
      <x:c r="J196" s="130" t="str">
        <x:f>IF(A196="","",IF(C196&lt;&gt;"Yes","NO CONSENT",IF(F196&lt;SETUP!$B$9,"SPEEDING",IF(G196&lt;&gt;"Yes","ATTENTION CHECK",IF(H196="Yes","STRAIGHTLINE REVIEW",IF(I196&gt;0,"MISSING ITEMS","OK"))))))</x:f>
      </x:c>
      <x:c r="K196" s="130" t="str">
        <x:f>IF(A196="","",IF(J196="OK","Yes","No"))</x:f>
      </x:c>
      <x:c r="L196" s="130" t="str">
        <x:f>IF(A196="","",IF(J196="OK","",IF(J196="NO CONSENT","Consent not affirmed",IF(J196="SPEEDING","Completion time below threshold",IF(J196="ATTENTION CHECK","Attention check failed",IF(J196="STRAIGHTLINE REVIEW","Straightlining review threshold met","Missing scored item(s)"))))))</x:f>
      </x:c>
      <x:c r="M196" s="119"/>
      <x:c r="N196" s="119"/>
      <x:c r="O196" s="119"/>
      <x:c r="P196" s="119"/>
      <x:c r="Q196" s="119"/>
      <x:c r="R196" s="119"/>
      <x:c r="S196" s="119"/>
      <x:c r="T196" s="119"/>
      <x:c r="U196" s="119"/>
      <x:c r="V196" s="119"/>
      <x:c r="W196" s="119"/>
      <x:c r="X196" s="119"/>
      <x:c r="Y196" s="133" t="str">
        <x:f>IF(K196&lt;&gt;"Yes","",IFERROR(AVERAGE(M196:X196),""))</x:f>
      </x:c>
      <x:c r="Z196" s="119"/>
    </x:row>
    <x:row r="197">
      <x:c r="A197" s="119"/>
      <x:c r="B197" s="119"/>
      <x:c r="C197" s="119"/>
      <x:c r="D197" s="119"/>
      <x:c r="E197" s="119"/>
      <x:c r="F197" s="119"/>
      <x:c r="G197" s="119"/>
      <x:c r="H197" s="130" t="str">
        <x:f>IF(A197="","",IF(AND(COUNTA(M197:X197)&gt;=SETUP!$B$10,COUNTIF(M197:X197,MAX(M197:X197))=COUNTA(M197:X197)),"Yes","No"))</x:f>
      </x:c>
      <x:c r="I197" s="130" t="str">
        <x:f>IF(A197="","",IF('SURVEY DESIGN'!C197&lt;&gt;"",--(M197=""),0)+IF('SURVEY DESIGN'!C198&lt;&gt;"",--(N197=""),0)+IF('SURVEY DESIGN'!C199&lt;&gt;"",--(O197=""),0)+IF('SURVEY DESIGN'!C200&lt;&gt;"",--(P197=""),0)+IF('SURVEY DESIGN'!C201&lt;&gt;"",--(Q197=""),0)+IF('SURVEY DESIGN'!C202&lt;&gt;"",--(R197=""),0)+IF('SURVEY DESIGN'!C203&lt;&gt;"",--(S197=""),0)+IF('SURVEY DESIGN'!C204&lt;&gt;"",--(T197=""),0)+IF('SURVEY DESIGN'!C205&lt;&gt;"",--(U197=""),0)+IF('SURVEY DESIGN'!C206&lt;&gt;"",--(V197=""),0)+IF('SURVEY DESIGN'!C207&lt;&gt;"",--(W197=""),0)+IF('SURVEY DESIGN'!C208&lt;&gt;"",--(X197=""),0))</x:f>
      </x:c>
      <x:c r="J197" s="130" t="str">
        <x:f>IF(A197="","",IF(C197&lt;&gt;"Yes","NO CONSENT",IF(F197&lt;SETUP!$B$9,"SPEEDING",IF(G197&lt;&gt;"Yes","ATTENTION CHECK",IF(H197="Yes","STRAIGHTLINE REVIEW",IF(I197&gt;0,"MISSING ITEMS","OK"))))))</x:f>
      </x:c>
      <x:c r="K197" s="130" t="str">
        <x:f>IF(A197="","",IF(J197="OK","Yes","No"))</x:f>
      </x:c>
      <x:c r="L197" s="130" t="str">
        <x:f>IF(A197="","",IF(J197="OK","",IF(J197="NO CONSENT","Consent not affirmed",IF(J197="SPEEDING","Completion time below threshold",IF(J197="ATTENTION CHECK","Attention check failed",IF(J197="STRAIGHTLINE REVIEW","Straightlining review threshold met","Missing scored item(s)"))))))</x:f>
      </x:c>
      <x:c r="M197" s="119"/>
      <x:c r="N197" s="119"/>
      <x:c r="O197" s="119"/>
      <x:c r="P197" s="119"/>
      <x:c r="Q197" s="119"/>
      <x:c r="R197" s="119"/>
      <x:c r="S197" s="119"/>
      <x:c r="T197" s="119"/>
      <x:c r="U197" s="119"/>
      <x:c r="V197" s="119"/>
      <x:c r="W197" s="119"/>
      <x:c r="X197" s="119"/>
      <x:c r="Y197" s="133" t="str">
        <x:f>IF(K197&lt;&gt;"Yes","",IFERROR(AVERAGE(M197:X197),""))</x:f>
      </x:c>
      <x:c r="Z197" s="119"/>
    </x:row>
    <x:row r="198">
      <x:c r="A198" s="119"/>
      <x:c r="B198" s="119"/>
      <x:c r="C198" s="119"/>
      <x:c r="D198" s="119"/>
      <x:c r="E198" s="119"/>
      <x:c r="F198" s="119"/>
      <x:c r="G198" s="119"/>
      <x:c r="H198" s="130" t="str">
        <x:f>IF(A198="","",IF(AND(COUNTA(M198:X198)&gt;=SETUP!$B$10,COUNTIF(M198:X198,MAX(M198:X198))=COUNTA(M198:X198)),"Yes","No"))</x:f>
      </x:c>
      <x:c r="I198" s="130" t="str">
        <x:f>IF(A198="","",IF('SURVEY DESIGN'!C198&lt;&gt;"",--(M198=""),0)+IF('SURVEY DESIGN'!C199&lt;&gt;"",--(N198=""),0)+IF('SURVEY DESIGN'!C200&lt;&gt;"",--(O198=""),0)+IF('SURVEY DESIGN'!C201&lt;&gt;"",--(P198=""),0)+IF('SURVEY DESIGN'!C202&lt;&gt;"",--(Q198=""),0)+IF('SURVEY DESIGN'!C203&lt;&gt;"",--(R198=""),0)+IF('SURVEY DESIGN'!C204&lt;&gt;"",--(S198=""),0)+IF('SURVEY DESIGN'!C205&lt;&gt;"",--(T198=""),0)+IF('SURVEY DESIGN'!C206&lt;&gt;"",--(U198=""),0)+IF('SURVEY DESIGN'!C207&lt;&gt;"",--(V198=""),0)+IF('SURVEY DESIGN'!C208&lt;&gt;"",--(W198=""),0)+IF('SURVEY DESIGN'!C209&lt;&gt;"",--(X198=""),0))</x:f>
      </x:c>
      <x:c r="J198" s="130" t="str">
        <x:f>IF(A198="","",IF(C198&lt;&gt;"Yes","NO CONSENT",IF(F198&lt;SETUP!$B$9,"SPEEDING",IF(G198&lt;&gt;"Yes","ATTENTION CHECK",IF(H198="Yes","STRAIGHTLINE REVIEW",IF(I198&gt;0,"MISSING ITEMS","OK"))))))</x:f>
      </x:c>
      <x:c r="K198" s="130" t="str">
        <x:f>IF(A198="","",IF(J198="OK","Yes","No"))</x:f>
      </x:c>
      <x:c r="L198" s="130" t="str">
        <x:f>IF(A198="","",IF(J198="OK","",IF(J198="NO CONSENT","Consent not affirmed",IF(J198="SPEEDING","Completion time below threshold",IF(J198="ATTENTION CHECK","Attention check failed",IF(J198="STRAIGHTLINE REVIEW","Straightlining review threshold met","Missing scored item(s)"))))))</x:f>
      </x:c>
      <x:c r="M198" s="119"/>
      <x:c r="N198" s="119"/>
      <x:c r="O198" s="119"/>
      <x:c r="P198" s="119"/>
      <x:c r="Q198" s="119"/>
      <x:c r="R198" s="119"/>
      <x:c r="S198" s="119"/>
      <x:c r="T198" s="119"/>
      <x:c r="U198" s="119"/>
      <x:c r="V198" s="119"/>
      <x:c r="W198" s="119"/>
      <x:c r="X198" s="119"/>
      <x:c r="Y198" s="133" t="str">
        <x:f>IF(K198&lt;&gt;"Yes","",IFERROR(AVERAGE(M198:X198),""))</x:f>
      </x:c>
      <x:c r="Z198" s="119"/>
    </x:row>
    <x:row r="199">
      <x:c r="A199" s="119"/>
      <x:c r="B199" s="119"/>
      <x:c r="C199" s="119"/>
      <x:c r="D199" s="119"/>
      <x:c r="E199" s="119"/>
      <x:c r="F199" s="119"/>
      <x:c r="G199" s="119"/>
      <x:c r="H199" s="130" t="str">
        <x:f>IF(A199="","",IF(AND(COUNTA(M199:X199)&gt;=SETUP!$B$10,COUNTIF(M199:X199,MAX(M199:X199))=COUNTA(M199:X199)),"Yes","No"))</x:f>
      </x:c>
      <x:c r="I199" s="130" t="str">
        <x:f>IF(A199="","",IF('SURVEY DESIGN'!C199&lt;&gt;"",--(M199=""),0)+IF('SURVEY DESIGN'!C200&lt;&gt;"",--(N199=""),0)+IF('SURVEY DESIGN'!C201&lt;&gt;"",--(O199=""),0)+IF('SURVEY DESIGN'!C202&lt;&gt;"",--(P199=""),0)+IF('SURVEY DESIGN'!C203&lt;&gt;"",--(Q199=""),0)+IF('SURVEY DESIGN'!C204&lt;&gt;"",--(R199=""),0)+IF('SURVEY DESIGN'!C205&lt;&gt;"",--(S199=""),0)+IF('SURVEY DESIGN'!C206&lt;&gt;"",--(T199=""),0)+IF('SURVEY DESIGN'!C207&lt;&gt;"",--(U199=""),0)+IF('SURVEY DESIGN'!C208&lt;&gt;"",--(V199=""),0)+IF('SURVEY DESIGN'!C209&lt;&gt;"",--(W199=""),0)+IF('SURVEY DESIGN'!C210&lt;&gt;"",--(X199=""),0))</x:f>
      </x:c>
      <x:c r="J199" s="130" t="str">
        <x:f>IF(A199="","",IF(C199&lt;&gt;"Yes","NO CONSENT",IF(F199&lt;SETUP!$B$9,"SPEEDING",IF(G199&lt;&gt;"Yes","ATTENTION CHECK",IF(H199="Yes","STRAIGHTLINE REVIEW",IF(I199&gt;0,"MISSING ITEMS","OK"))))))</x:f>
      </x:c>
      <x:c r="K199" s="130" t="str">
        <x:f>IF(A199="","",IF(J199="OK","Yes","No"))</x:f>
      </x:c>
      <x:c r="L199" s="130" t="str">
        <x:f>IF(A199="","",IF(J199="OK","",IF(J199="NO CONSENT","Consent not affirmed",IF(J199="SPEEDING","Completion time below threshold",IF(J199="ATTENTION CHECK","Attention check failed",IF(J199="STRAIGHTLINE REVIEW","Straightlining review threshold met","Missing scored item(s)"))))))</x:f>
      </x:c>
      <x:c r="M199" s="119"/>
      <x:c r="N199" s="119"/>
      <x:c r="O199" s="119"/>
      <x:c r="P199" s="119"/>
      <x:c r="Q199" s="119"/>
      <x:c r="R199" s="119"/>
      <x:c r="S199" s="119"/>
      <x:c r="T199" s="119"/>
      <x:c r="U199" s="119"/>
      <x:c r="V199" s="119"/>
      <x:c r="W199" s="119"/>
      <x:c r="X199" s="119"/>
      <x:c r="Y199" s="133" t="str">
        <x:f>IF(K199&lt;&gt;"Yes","",IFERROR(AVERAGE(M199:X199),""))</x:f>
      </x:c>
      <x:c r="Z199" s="119"/>
    </x:row>
    <x:row r="200">
      <x:c r="A200" s="119"/>
      <x:c r="B200" s="119"/>
      <x:c r="C200" s="119"/>
      <x:c r="D200" s="119"/>
      <x:c r="E200" s="119"/>
      <x:c r="F200" s="119"/>
      <x:c r="G200" s="119"/>
      <x:c r="H200" s="130" t="str">
        <x:f>IF(A200="","",IF(AND(COUNTA(M200:X200)&gt;=SETUP!$B$10,COUNTIF(M200:X200,MAX(M200:X200))=COUNTA(M200:X200)),"Yes","No"))</x:f>
      </x:c>
      <x:c r="I200" s="130" t="str">
        <x:f>IF(A200="","",IF('SURVEY DESIGN'!C200&lt;&gt;"",--(M200=""),0)+IF('SURVEY DESIGN'!C201&lt;&gt;"",--(N200=""),0)+IF('SURVEY DESIGN'!C202&lt;&gt;"",--(O200=""),0)+IF('SURVEY DESIGN'!C203&lt;&gt;"",--(P200=""),0)+IF('SURVEY DESIGN'!C204&lt;&gt;"",--(Q200=""),0)+IF('SURVEY DESIGN'!C205&lt;&gt;"",--(R200=""),0)+IF('SURVEY DESIGN'!C206&lt;&gt;"",--(S200=""),0)+IF('SURVEY DESIGN'!C207&lt;&gt;"",--(T200=""),0)+IF('SURVEY DESIGN'!C208&lt;&gt;"",--(U200=""),0)+IF('SURVEY DESIGN'!C209&lt;&gt;"",--(V200=""),0)+IF('SURVEY DESIGN'!C210&lt;&gt;"",--(W200=""),0)+IF('SURVEY DESIGN'!C211&lt;&gt;"",--(X200=""),0))</x:f>
      </x:c>
      <x:c r="J200" s="130" t="str">
        <x:f>IF(A200="","",IF(C200&lt;&gt;"Yes","NO CONSENT",IF(F200&lt;SETUP!$B$9,"SPEEDING",IF(G200&lt;&gt;"Yes","ATTENTION CHECK",IF(H200="Yes","STRAIGHTLINE REVIEW",IF(I200&gt;0,"MISSING ITEMS","OK"))))))</x:f>
      </x:c>
      <x:c r="K200" s="130" t="str">
        <x:f>IF(A200="","",IF(J200="OK","Yes","No"))</x:f>
      </x:c>
      <x:c r="L200" s="130" t="str">
        <x:f>IF(A200="","",IF(J200="OK","",IF(J200="NO CONSENT","Consent not affirmed",IF(J200="SPEEDING","Completion time below threshold",IF(J200="ATTENTION CHECK","Attention check failed",IF(J200="STRAIGHTLINE REVIEW","Straightlining review threshold met","Missing scored item(s)"))))))</x:f>
      </x:c>
      <x:c r="M200" s="119"/>
      <x:c r="N200" s="119"/>
      <x:c r="O200" s="119"/>
      <x:c r="P200" s="119"/>
      <x:c r="Q200" s="119"/>
      <x:c r="R200" s="119"/>
      <x:c r="S200" s="119"/>
      <x:c r="T200" s="119"/>
      <x:c r="U200" s="119"/>
      <x:c r="V200" s="119"/>
      <x:c r="W200" s="119"/>
      <x:c r="X200" s="119"/>
      <x:c r="Y200" s="133" t="str">
        <x:f>IF(K200&lt;&gt;"Yes","",IFERROR(AVERAGE(M200:X200),""))</x:f>
      </x:c>
      <x:c r="Z200" s="119"/>
    </x:row>
    <x:row r="201">
      <x:c r="A201" s="119"/>
      <x:c r="B201" s="119"/>
      <x:c r="C201" s="119"/>
      <x:c r="D201" s="119"/>
      <x:c r="E201" s="119"/>
      <x:c r="F201" s="119"/>
      <x:c r="G201" s="119"/>
      <x:c r="H201" s="130" t="str">
        <x:f>IF(A201="","",IF(AND(COUNTA(M201:X201)&gt;=SETUP!$B$10,COUNTIF(M201:X201,MAX(M201:X201))=COUNTA(M201:X201)),"Yes","No"))</x:f>
      </x:c>
      <x:c r="I201" s="130" t="str">
        <x:f>IF(A201="","",IF('SURVEY DESIGN'!C201&lt;&gt;"",--(M201=""),0)+IF('SURVEY DESIGN'!C202&lt;&gt;"",--(N201=""),0)+IF('SURVEY DESIGN'!C203&lt;&gt;"",--(O201=""),0)+IF('SURVEY DESIGN'!C204&lt;&gt;"",--(P201=""),0)+IF('SURVEY DESIGN'!C205&lt;&gt;"",--(Q201=""),0)+IF('SURVEY DESIGN'!C206&lt;&gt;"",--(R201=""),0)+IF('SURVEY DESIGN'!C207&lt;&gt;"",--(S201=""),0)+IF('SURVEY DESIGN'!C208&lt;&gt;"",--(T201=""),0)+IF('SURVEY DESIGN'!C209&lt;&gt;"",--(U201=""),0)+IF('SURVEY DESIGN'!C210&lt;&gt;"",--(V201=""),0)+IF('SURVEY DESIGN'!C211&lt;&gt;"",--(W201=""),0)+IF('SURVEY DESIGN'!C212&lt;&gt;"",--(X201=""),0))</x:f>
      </x:c>
      <x:c r="J201" s="130" t="str">
        <x:f>IF(A201="","",IF(C201&lt;&gt;"Yes","NO CONSENT",IF(F201&lt;SETUP!$B$9,"SPEEDING",IF(G201&lt;&gt;"Yes","ATTENTION CHECK",IF(H201="Yes","STRAIGHTLINE REVIEW",IF(I201&gt;0,"MISSING ITEMS","OK"))))))</x:f>
      </x:c>
      <x:c r="K201" s="130" t="str">
        <x:f>IF(A201="","",IF(J201="OK","Yes","No"))</x:f>
      </x:c>
      <x:c r="L201" s="130" t="str">
        <x:f>IF(A201="","",IF(J201="OK","",IF(J201="NO CONSENT","Consent not affirmed",IF(J201="SPEEDING","Completion time below threshold",IF(J201="ATTENTION CHECK","Attention check failed",IF(J201="STRAIGHTLINE REVIEW","Straightlining review threshold met","Missing scored item(s)"))))))</x:f>
      </x:c>
      <x:c r="M201" s="119"/>
      <x:c r="N201" s="119"/>
      <x:c r="O201" s="119"/>
      <x:c r="P201" s="119"/>
      <x:c r="Q201" s="119"/>
      <x:c r="R201" s="119"/>
      <x:c r="S201" s="119"/>
      <x:c r="T201" s="119"/>
      <x:c r="U201" s="119"/>
      <x:c r="V201" s="119"/>
      <x:c r="W201" s="119"/>
      <x:c r="X201" s="119"/>
      <x:c r="Y201" s="133" t="str">
        <x:f>IF(K201&lt;&gt;"Yes","",IFERROR(AVERAGE(M201:X201),""))</x:f>
      </x:c>
      <x:c r="Z201" s="119"/>
    </x:row>
    <x:row r="202">
      <x:c r="A202" s="119"/>
      <x:c r="B202" s="119"/>
      <x:c r="C202" s="119"/>
      <x:c r="D202" s="119"/>
      <x:c r="E202" s="119"/>
      <x:c r="F202" s="119"/>
      <x:c r="G202" s="119"/>
      <x:c r="H202" s="130" t="str">
        <x:f>IF(A202="","",IF(AND(COUNTA(M202:X202)&gt;=SETUP!$B$10,COUNTIF(M202:X202,MAX(M202:X202))=COUNTA(M202:X202)),"Yes","No"))</x:f>
      </x:c>
      <x:c r="I202" s="130" t="str">
        <x:f>IF(A202="","",IF('SURVEY DESIGN'!C202&lt;&gt;"",--(M202=""),0)+IF('SURVEY DESIGN'!C203&lt;&gt;"",--(N202=""),0)+IF('SURVEY DESIGN'!C204&lt;&gt;"",--(O202=""),0)+IF('SURVEY DESIGN'!C205&lt;&gt;"",--(P202=""),0)+IF('SURVEY DESIGN'!C206&lt;&gt;"",--(Q202=""),0)+IF('SURVEY DESIGN'!C207&lt;&gt;"",--(R202=""),0)+IF('SURVEY DESIGN'!C208&lt;&gt;"",--(S202=""),0)+IF('SURVEY DESIGN'!C209&lt;&gt;"",--(T202=""),0)+IF('SURVEY DESIGN'!C210&lt;&gt;"",--(U202=""),0)+IF('SURVEY DESIGN'!C211&lt;&gt;"",--(V202=""),0)+IF('SURVEY DESIGN'!C212&lt;&gt;"",--(W202=""),0)+IF('SURVEY DESIGN'!C213&lt;&gt;"",--(X202=""),0))</x:f>
      </x:c>
      <x:c r="J202" s="130" t="str">
        <x:f>IF(A202="","",IF(C202&lt;&gt;"Yes","NO CONSENT",IF(F202&lt;SETUP!$B$9,"SPEEDING",IF(G202&lt;&gt;"Yes","ATTENTION CHECK",IF(H202="Yes","STRAIGHTLINE REVIEW",IF(I202&gt;0,"MISSING ITEMS","OK"))))))</x:f>
      </x:c>
      <x:c r="K202" s="130" t="str">
        <x:f>IF(A202="","",IF(J202="OK","Yes","No"))</x:f>
      </x:c>
      <x:c r="L202" s="130" t="str">
        <x:f>IF(A202="","",IF(J202="OK","",IF(J202="NO CONSENT","Consent not affirmed",IF(J202="SPEEDING","Completion time below threshold",IF(J202="ATTENTION CHECK","Attention check failed",IF(J202="STRAIGHTLINE REVIEW","Straightlining review threshold met","Missing scored item(s)"))))))</x:f>
      </x:c>
      <x:c r="M202" s="119"/>
      <x:c r="N202" s="119"/>
      <x:c r="O202" s="119"/>
      <x:c r="P202" s="119"/>
      <x:c r="Q202" s="119"/>
      <x:c r="R202" s="119"/>
      <x:c r="S202" s="119"/>
      <x:c r="T202" s="119"/>
      <x:c r="U202" s="119"/>
      <x:c r="V202" s="119"/>
      <x:c r="W202" s="119"/>
      <x:c r="X202" s="119"/>
      <x:c r="Y202" s="133" t="str">
        <x:f>IF(K202&lt;&gt;"Yes","",IFERROR(AVERAGE(M202:X202),""))</x:f>
      </x:c>
      <x:c r="Z202" s="119"/>
    </x:row>
    <x:row r="203">
      <x:c r="A203" s="119"/>
      <x:c r="B203" s="119"/>
      <x:c r="C203" s="119"/>
      <x:c r="D203" s="119"/>
      <x:c r="E203" s="119"/>
      <x:c r="F203" s="119"/>
      <x:c r="G203" s="119"/>
      <x:c r="H203" s="130" t="str">
        <x:f>IF(A203="","",IF(AND(COUNTA(M203:X203)&gt;=SETUP!$B$10,COUNTIF(M203:X203,MAX(M203:X203))=COUNTA(M203:X203)),"Yes","No"))</x:f>
      </x:c>
      <x:c r="I203" s="130" t="str">
        <x:f>IF(A203="","",IF('SURVEY DESIGN'!C203&lt;&gt;"",--(M203=""),0)+IF('SURVEY DESIGN'!C204&lt;&gt;"",--(N203=""),0)+IF('SURVEY DESIGN'!C205&lt;&gt;"",--(O203=""),0)+IF('SURVEY DESIGN'!C206&lt;&gt;"",--(P203=""),0)+IF('SURVEY DESIGN'!C207&lt;&gt;"",--(Q203=""),0)+IF('SURVEY DESIGN'!C208&lt;&gt;"",--(R203=""),0)+IF('SURVEY DESIGN'!C209&lt;&gt;"",--(S203=""),0)+IF('SURVEY DESIGN'!C210&lt;&gt;"",--(T203=""),0)+IF('SURVEY DESIGN'!C211&lt;&gt;"",--(U203=""),0)+IF('SURVEY DESIGN'!C212&lt;&gt;"",--(V203=""),0)+IF('SURVEY DESIGN'!C213&lt;&gt;"",--(W203=""),0)+IF('SURVEY DESIGN'!C214&lt;&gt;"",--(X203=""),0))</x:f>
      </x:c>
      <x:c r="J203" s="130" t="str">
        <x:f>IF(A203="","",IF(C203&lt;&gt;"Yes","NO CONSENT",IF(F203&lt;SETUP!$B$9,"SPEEDING",IF(G203&lt;&gt;"Yes","ATTENTION CHECK",IF(H203="Yes","STRAIGHTLINE REVIEW",IF(I203&gt;0,"MISSING ITEMS","OK"))))))</x:f>
      </x:c>
      <x:c r="K203" s="130" t="str">
        <x:f>IF(A203="","",IF(J203="OK","Yes","No"))</x:f>
      </x:c>
      <x:c r="L203" s="130" t="str">
        <x:f>IF(A203="","",IF(J203="OK","",IF(J203="NO CONSENT","Consent not affirmed",IF(J203="SPEEDING","Completion time below threshold",IF(J203="ATTENTION CHECK","Attention check failed",IF(J203="STRAIGHTLINE REVIEW","Straightlining review threshold met","Missing scored item(s)"))))))</x:f>
      </x:c>
      <x:c r="M203" s="119"/>
      <x:c r="N203" s="119"/>
      <x:c r="O203" s="119"/>
      <x:c r="P203" s="119"/>
      <x:c r="Q203" s="119"/>
      <x:c r="R203" s="119"/>
      <x:c r="S203" s="119"/>
      <x:c r="T203" s="119"/>
      <x:c r="U203" s="119"/>
      <x:c r="V203" s="119"/>
      <x:c r="W203" s="119"/>
      <x:c r="X203" s="119"/>
      <x:c r="Y203" s="133" t="str">
        <x:f>IF(K203&lt;&gt;"Yes","",IFERROR(AVERAGE(M203:X203),""))</x:f>
      </x:c>
      <x:c r="Z203" s="119"/>
    </x:row>
    <x:row r="204">
      <x:c r="A204" s="119"/>
      <x:c r="B204" s="119"/>
      <x:c r="C204" s="119"/>
      <x:c r="D204" s="119"/>
      <x:c r="E204" s="119"/>
      <x:c r="F204" s="119"/>
      <x:c r="G204" s="119"/>
      <x:c r="H204" s="130" t="str">
        <x:f>IF(A204="","",IF(AND(COUNTA(M204:X204)&gt;=SETUP!$B$10,COUNTIF(M204:X204,MAX(M204:X204))=COUNTA(M204:X204)),"Yes","No"))</x:f>
      </x:c>
      <x:c r="I204" s="130" t="str">
        <x:f>IF(A204="","",IF('SURVEY DESIGN'!C204&lt;&gt;"",--(M204=""),0)+IF('SURVEY DESIGN'!C205&lt;&gt;"",--(N204=""),0)+IF('SURVEY DESIGN'!C206&lt;&gt;"",--(O204=""),0)+IF('SURVEY DESIGN'!C207&lt;&gt;"",--(P204=""),0)+IF('SURVEY DESIGN'!C208&lt;&gt;"",--(Q204=""),0)+IF('SURVEY DESIGN'!C209&lt;&gt;"",--(R204=""),0)+IF('SURVEY DESIGN'!C210&lt;&gt;"",--(S204=""),0)+IF('SURVEY DESIGN'!C211&lt;&gt;"",--(T204=""),0)+IF('SURVEY DESIGN'!C212&lt;&gt;"",--(U204=""),0)+IF('SURVEY DESIGN'!C213&lt;&gt;"",--(V204=""),0)+IF('SURVEY DESIGN'!C214&lt;&gt;"",--(W204=""),0)+IF('SURVEY DESIGN'!C215&lt;&gt;"",--(X204=""),0))</x:f>
      </x:c>
      <x:c r="J204" s="130" t="str">
        <x:f>IF(A204="","",IF(C204&lt;&gt;"Yes","NO CONSENT",IF(F204&lt;SETUP!$B$9,"SPEEDING",IF(G204&lt;&gt;"Yes","ATTENTION CHECK",IF(H204="Yes","STRAIGHTLINE REVIEW",IF(I204&gt;0,"MISSING ITEMS","OK"))))))</x:f>
      </x:c>
      <x:c r="K204" s="130" t="str">
        <x:f>IF(A204="","",IF(J204="OK","Yes","No"))</x:f>
      </x:c>
      <x:c r="L204" s="130" t="str">
        <x:f>IF(A204="","",IF(J204="OK","",IF(J204="NO CONSENT","Consent not affirmed",IF(J204="SPEEDING","Completion time below threshold",IF(J204="ATTENTION CHECK","Attention check failed",IF(J204="STRAIGHTLINE REVIEW","Straightlining review threshold met","Missing scored item(s)"))))))</x:f>
      </x:c>
      <x:c r="M204" s="119"/>
      <x:c r="N204" s="119"/>
      <x:c r="O204" s="119"/>
      <x:c r="P204" s="119"/>
      <x:c r="Q204" s="119"/>
      <x:c r="R204" s="119"/>
      <x:c r="S204" s="119"/>
      <x:c r="T204" s="119"/>
      <x:c r="U204" s="119"/>
      <x:c r="V204" s="119"/>
      <x:c r="W204" s="119"/>
      <x:c r="X204" s="119"/>
      <x:c r="Y204" s="133" t="str">
        <x:f>IF(K204&lt;&gt;"Yes","",IFERROR(AVERAGE(M204:X204),""))</x:f>
      </x:c>
      <x:c r="Z204" s="119"/>
    </x:row>
    <x:row r="205">
      <x:c r="A205" s="119"/>
      <x:c r="B205" s="119"/>
      <x:c r="C205" s="119"/>
      <x:c r="D205" s="119"/>
      <x:c r="E205" s="119"/>
      <x:c r="F205" s="119"/>
      <x:c r="G205" s="119"/>
      <x:c r="H205" s="130" t="str">
        <x:f>IF(A205="","",IF(AND(COUNTA(M205:X205)&gt;=SETUP!$B$10,COUNTIF(M205:X205,MAX(M205:X205))=COUNTA(M205:X205)),"Yes","No"))</x:f>
      </x:c>
      <x:c r="I205" s="130" t="str">
        <x:f>IF(A205="","",IF('SURVEY DESIGN'!C205&lt;&gt;"",--(M205=""),0)+IF('SURVEY DESIGN'!C206&lt;&gt;"",--(N205=""),0)+IF('SURVEY DESIGN'!C207&lt;&gt;"",--(O205=""),0)+IF('SURVEY DESIGN'!C208&lt;&gt;"",--(P205=""),0)+IF('SURVEY DESIGN'!C209&lt;&gt;"",--(Q205=""),0)+IF('SURVEY DESIGN'!C210&lt;&gt;"",--(R205=""),0)+IF('SURVEY DESIGN'!C211&lt;&gt;"",--(S205=""),0)+IF('SURVEY DESIGN'!C212&lt;&gt;"",--(T205=""),0)+IF('SURVEY DESIGN'!C213&lt;&gt;"",--(U205=""),0)+IF('SURVEY DESIGN'!C214&lt;&gt;"",--(V205=""),0)+IF('SURVEY DESIGN'!C215&lt;&gt;"",--(W205=""),0)+IF('SURVEY DESIGN'!C216&lt;&gt;"",--(X205=""),0))</x:f>
      </x:c>
      <x:c r="J205" s="130" t="str">
        <x:f>IF(A205="","",IF(C205&lt;&gt;"Yes","NO CONSENT",IF(F205&lt;SETUP!$B$9,"SPEEDING",IF(G205&lt;&gt;"Yes","ATTENTION CHECK",IF(H205="Yes","STRAIGHTLINE REVIEW",IF(I205&gt;0,"MISSING ITEMS","OK"))))))</x:f>
      </x:c>
      <x:c r="K205" s="130" t="str">
        <x:f>IF(A205="","",IF(J205="OK","Yes","No"))</x:f>
      </x:c>
      <x:c r="L205" s="130" t="str">
        <x:f>IF(A205="","",IF(J205="OK","",IF(J205="NO CONSENT","Consent not affirmed",IF(J205="SPEEDING","Completion time below threshold",IF(J205="ATTENTION CHECK","Attention check failed",IF(J205="STRAIGHTLINE REVIEW","Straightlining review threshold met","Missing scored item(s)"))))))</x:f>
      </x:c>
      <x:c r="M205" s="119"/>
      <x:c r="N205" s="119"/>
      <x:c r="O205" s="119"/>
      <x:c r="P205" s="119"/>
      <x:c r="Q205" s="119"/>
      <x:c r="R205" s="119"/>
      <x:c r="S205" s="119"/>
      <x:c r="T205" s="119"/>
      <x:c r="U205" s="119"/>
      <x:c r="V205" s="119"/>
      <x:c r="W205" s="119"/>
      <x:c r="X205" s="119"/>
      <x:c r="Y205" s="133" t="str">
        <x:f>IF(K205&lt;&gt;"Yes","",IFERROR(AVERAGE(M205:X205),""))</x:f>
      </x:c>
      <x:c r="Z205" s="119"/>
    </x:row>
    <x:row r="206">
      <x:c r="A206" s="119"/>
      <x:c r="B206" s="119"/>
      <x:c r="C206" s="119"/>
      <x:c r="D206" s="119"/>
      <x:c r="E206" s="119"/>
      <x:c r="F206" s="119"/>
      <x:c r="G206" s="119"/>
      <x:c r="H206" s="130" t="str">
        <x:f>IF(A206="","",IF(AND(COUNTA(M206:X206)&gt;=SETUP!$B$10,COUNTIF(M206:X206,MAX(M206:X206))=COUNTA(M206:X206)),"Yes","No"))</x:f>
      </x:c>
      <x:c r="I206" s="130" t="str">
        <x:f>IF(A206="","",IF('SURVEY DESIGN'!C206&lt;&gt;"",--(M206=""),0)+IF('SURVEY DESIGN'!C207&lt;&gt;"",--(N206=""),0)+IF('SURVEY DESIGN'!C208&lt;&gt;"",--(O206=""),0)+IF('SURVEY DESIGN'!C209&lt;&gt;"",--(P206=""),0)+IF('SURVEY DESIGN'!C210&lt;&gt;"",--(Q206=""),0)+IF('SURVEY DESIGN'!C211&lt;&gt;"",--(R206=""),0)+IF('SURVEY DESIGN'!C212&lt;&gt;"",--(S206=""),0)+IF('SURVEY DESIGN'!C213&lt;&gt;"",--(T206=""),0)+IF('SURVEY DESIGN'!C214&lt;&gt;"",--(U206=""),0)+IF('SURVEY DESIGN'!C215&lt;&gt;"",--(V206=""),0)+IF('SURVEY DESIGN'!C216&lt;&gt;"",--(W206=""),0)+IF('SURVEY DESIGN'!C217&lt;&gt;"",--(X206=""),0))</x:f>
      </x:c>
      <x:c r="J206" s="130" t="str">
        <x:f>IF(A206="","",IF(C206&lt;&gt;"Yes","NO CONSENT",IF(F206&lt;SETUP!$B$9,"SPEEDING",IF(G206&lt;&gt;"Yes","ATTENTION CHECK",IF(H206="Yes","STRAIGHTLINE REVIEW",IF(I206&gt;0,"MISSING ITEMS","OK"))))))</x:f>
      </x:c>
      <x:c r="K206" s="130" t="str">
        <x:f>IF(A206="","",IF(J206="OK","Yes","No"))</x:f>
      </x:c>
      <x:c r="L206" s="130" t="str">
        <x:f>IF(A206="","",IF(J206="OK","",IF(J206="NO CONSENT","Consent not affirmed",IF(J206="SPEEDING","Completion time below threshold",IF(J206="ATTENTION CHECK","Attention check failed",IF(J206="STRAIGHTLINE REVIEW","Straightlining review threshold met","Missing scored item(s)"))))))</x:f>
      </x:c>
      <x:c r="M206" s="119"/>
      <x:c r="N206" s="119"/>
      <x:c r="O206" s="119"/>
      <x:c r="P206" s="119"/>
      <x:c r="Q206" s="119"/>
      <x:c r="R206" s="119"/>
      <x:c r="S206" s="119"/>
      <x:c r="T206" s="119"/>
      <x:c r="U206" s="119"/>
      <x:c r="V206" s="119"/>
      <x:c r="W206" s="119"/>
      <x:c r="X206" s="119"/>
      <x:c r="Y206" s="133" t="str">
        <x:f>IF(K206&lt;&gt;"Yes","",IFERROR(AVERAGE(M206:X206),""))</x:f>
      </x:c>
      <x:c r="Z206" s="119"/>
    </x:row>
    <x:row r="207">
      <x:c r="A207" s="119"/>
      <x:c r="B207" s="119"/>
      <x:c r="C207" s="119"/>
      <x:c r="D207" s="119"/>
      <x:c r="E207" s="119"/>
      <x:c r="F207" s="119"/>
      <x:c r="G207" s="119"/>
      <x:c r="H207" s="130" t="str">
        <x:f>IF(A207="","",IF(AND(COUNTA(M207:X207)&gt;=SETUP!$B$10,COUNTIF(M207:X207,MAX(M207:X207))=COUNTA(M207:X207)),"Yes","No"))</x:f>
      </x:c>
      <x:c r="I207" s="130" t="str">
        <x:f>IF(A207="","",IF('SURVEY DESIGN'!C207&lt;&gt;"",--(M207=""),0)+IF('SURVEY DESIGN'!C208&lt;&gt;"",--(N207=""),0)+IF('SURVEY DESIGN'!C209&lt;&gt;"",--(O207=""),0)+IF('SURVEY DESIGN'!C210&lt;&gt;"",--(P207=""),0)+IF('SURVEY DESIGN'!C211&lt;&gt;"",--(Q207=""),0)+IF('SURVEY DESIGN'!C212&lt;&gt;"",--(R207=""),0)+IF('SURVEY DESIGN'!C213&lt;&gt;"",--(S207=""),0)+IF('SURVEY DESIGN'!C214&lt;&gt;"",--(T207=""),0)+IF('SURVEY DESIGN'!C215&lt;&gt;"",--(U207=""),0)+IF('SURVEY DESIGN'!C216&lt;&gt;"",--(V207=""),0)+IF('SURVEY DESIGN'!C217&lt;&gt;"",--(W207=""),0)+IF('SURVEY DESIGN'!C218&lt;&gt;"",--(X207=""),0))</x:f>
      </x:c>
      <x:c r="J207" s="130" t="str">
        <x:f>IF(A207="","",IF(C207&lt;&gt;"Yes","NO CONSENT",IF(F207&lt;SETUP!$B$9,"SPEEDING",IF(G207&lt;&gt;"Yes","ATTENTION CHECK",IF(H207="Yes","STRAIGHTLINE REVIEW",IF(I207&gt;0,"MISSING ITEMS","OK"))))))</x:f>
      </x:c>
      <x:c r="K207" s="130" t="str">
        <x:f>IF(A207="","",IF(J207="OK","Yes","No"))</x:f>
      </x:c>
      <x:c r="L207" s="130" t="str">
        <x:f>IF(A207="","",IF(J207="OK","",IF(J207="NO CONSENT","Consent not affirmed",IF(J207="SPEEDING","Completion time below threshold",IF(J207="ATTENTION CHECK","Attention check failed",IF(J207="STRAIGHTLINE REVIEW","Straightlining review threshold met","Missing scored item(s)"))))))</x:f>
      </x:c>
      <x:c r="M207" s="119"/>
      <x:c r="N207" s="119"/>
      <x:c r="O207" s="119"/>
      <x:c r="P207" s="119"/>
      <x:c r="Q207" s="119"/>
      <x:c r="R207" s="119"/>
      <x:c r="S207" s="119"/>
      <x:c r="T207" s="119"/>
      <x:c r="U207" s="119"/>
      <x:c r="V207" s="119"/>
      <x:c r="W207" s="119"/>
      <x:c r="X207" s="119"/>
      <x:c r="Y207" s="133" t="str">
        <x:f>IF(K207&lt;&gt;"Yes","",IFERROR(AVERAGE(M207:X207),""))</x:f>
      </x:c>
      <x:c r="Z207" s="119"/>
    </x:row>
    <x:row r="208">
      <x:c r="A208" s="119"/>
      <x:c r="B208" s="119"/>
      <x:c r="C208" s="119"/>
      <x:c r="D208" s="119"/>
      <x:c r="E208" s="119"/>
      <x:c r="F208" s="119"/>
      <x:c r="G208" s="119"/>
      <x:c r="H208" s="130" t="str">
        <x:f>IF(A208="","",IF(AND(COUNTA(M208:X208)&gt;=SETUP!$B$10,COUNTIF(M208:X208,MAX(M208:X208))=COUNTA(M208:X208)),"Yes","No"))</x:f>
      </x:c>
      <x:c r="I208" s="130" t="str">
        <x:f>IF(A208="","",IF('SURVEY DESIGN'!C208&lt;&gt;"",--(M208=""),0)+IF('SURVEY DESIGN'!C209&lt;&gt;"",--(N208=""),0)+IF('SURVEY DESIGN'!C210&lt;&gt;"",--(O208=""),0)+IF('SURVEY DESIGN'!C211&lt;&gt;"",--(P208=""),0)+IF('SURVEY DESIGN'!C212&lt;&gt;"",--(Q208=""),0)+IF('SURVEY DESIGN'!C213&lt;&gt;"",--(R208=""),0)+IF('SURVEY DESIGN'!C214&lt;&gt;"",--(S208=""),0)+IF('SURVEY DESIGN'!C215&lt;&gt;"",--(T208=""),0)+IF('SURVEY DESIGN'!C216&lt;&gt;"",--(U208=""),0)+IF('SURVEY DESIGN'!C217&lt;&gt;"",--(V208=""),0)+IF('SURVEY DESIGN'!C218&lt;&gt;"",--(W208=""),0)+IF('SURVEY DESIGN'!C219&lt;&gt;"",--(X208=""),0))</x:f>
      </x:c>
      <x:c r="J208" s="130" t="str">
        <x:f>IF(A208="","",IF(C208&lt;&gt;"Yes","NO CONSENT",IF(F208&lt;SETUP!$B$9,"SPEEDING",IF(G208&lt;&gt;"Yes","ATTENTION CHECK",IF(H208="Yes","STRAIGHTLINE REVIEW",IF(I208&gt;0,"MISSING ITEMS","OK"))))))</x:f>
      </x:c>
      <x:c r="K208" s="130" t="str">
        <x:f>IF(A208="","",IF(J208="OK","Yes","No"))</x:f>
      </x:c>
      <x:c r="L208" s="130" t="str">
        <x:f>IF(A208="","",IF(J208="OK","",IF(J208="NO CONSENT","Consent not affirmed",IF(J208="SPEEDING","Completion time below threshold",IF(J208="ATTENTION CHECK","Attention check failed",IF(J208="STRAIGHTLINE REVIEW","Straightlining review threshold met","Missing scored item(s)"))))))</x:f>
      </x:c>
      <x:c r="M208" s="119"/>
      <x:c r="N208" s="119"/>
      <x:c r="O208" s="119"/>
      <x:c r="P208" s="119"/>
      <x:c r="Q208" s="119"/>
      <x:c r="R208" s="119"/>
      <x:c r="S208" s="119"/>
      <x:c r="T208" s="119"/>
      <x:c r="U208" s="119"/>
      <x:c r="V208" s="119"/>
      <x:c r="W208" s="119"/>
      <x:c r="X208" s="119"/>
      <x:c r="Y208" s="133" t="str">
        <x:f>IF(K208&lt;&gt;"Yes","",IFERROR(AVERAGE(M208:X208),""))</x:f>
      </x:c>
      <x:c r="Z208" s="119"/>
    </x:row>
    <x:row r="209">
      <x:c r="A209" s="119"/>
      <x:c r="B209" s="119"/>
      <x:c r="C209" s="119"/>
      <x:c r="D209" s="119"/>
      <x:c r="E209" s="119"/>
      <x:c r="F209" s="119"/>
      <x:c r="G209" s="119"/>
      <x:c r="H209" s="130" t="str">
        <x:f>IF(A209="","",IF(AND(COUNTA(M209:X209)&gt;=SETUP!$B$10,COUNTIF(M209:X209,MAX(M209:X209))=COUNTA(M209:X209)),"Yes","No"))</x:f>
      </x:c>
      <x:c r="I209" s="130" t="str">
        <x:f>IF(A209="","",IF('SURVEY DESIGN'!C209&lt;&gt;"",--(M209=""),0)+IF('SURVEY DESIGN'!C210&lt;&gt;"",--(N209=""),0)+IF('SURVEY DESIGN'!C211&lt;&gt;"",--(O209=""),0)+IF('SURVEY DESIGN'!C212&lt;&gt;"",--(P209=""),0)+IF('SURVEY DESIGN'!C213&lt;&gt;"",--(Q209=""),0)+IF('SURVEY DESIGN'!C214&lt;&gt;"",--(R209=""),0)+IF('SURVEY DESIGN'!C215&lt;&gt;"",--(S209=""),0)+IF('SURVEY DESIGN'!C216&lt;&gt;"",--(T209=""),0)+IF('SURVEY DESIGN'!C217&lt;&gt;"",--(U209=""),0)+IF('SURVEY DESIGN'!C218&lt;&gt;"",--(V209=""),0)+IF('SURVEY DESIGN'!C219&lt;&gt;"",--(W209=""),0)+IF('SURVEY DESIGN'!C220&lt;&gt;"",--(X209=""),0))</x:f>
      </x:c>
      <x:c r="J209" s="130" t="str">
        <x:f>IF(A209="","",IF(C209&lt;&gt;"Yes","NO CONSENT",IF(F209&lt;SETUP!$B$9,"SPEEDING",IF(G209&lt;&gt;"Yes","ATTENTION CHECK",IF(H209="Yes","STRAIGHTLINE REVIEW",IF(I209&gt;0,"MISSING ITEMS","OK"))))))</x:f>
      </x:c>
      <x:c r="K209" s="130" t="str">
        <x:f>IF(A209="","",IF(J209="OK","Yes","No"))</x:f>
      </x:c>
      <x:c r="L209" s="130" t="str">
        <x:f>IF(A209="","",IF(J209="OK","",IF(J209="NO CONSENT","Consent not affirmed",IF(J209="SPEEDING","Completion time below threshold",IF(J209="ATTENTION CHECK","Attention check failed",IF(J209="STRAIGHTLINE REVIEW","Straightlining review threshold met","Missing scored item(s)"))))))</x:f>
      </x:c>
      <x:c r="M209" s="119"/>
      <x:c r="N209" s="119"/>
      <x:c r="O209" s="119"/>
      <x:c r="P209" s="119"/>
      <x:c r="Q209" s="119"/>
      <x:c r="R209" s="119"/>
      <x:c r="S209" s="119"/>
      <x:c r="T209" s="119"/>
      <x:c r="U209" s="119"/>
      <x:c r="V209" s="119"/>
      <x:c r="W209" s="119"/>
      <x:c r="X209" s="119"/>
      <x:c r="Y209" s="133" t="str">
        <x:f>IF(K209&lt;&gt;"Yes","",IFERROR(AVERAGE(M209:X209),""))</x:f>
      </x:c>
      <x:c r="Z209" s="119"/>
    </x:row>
    <x:row r="210">
      <x:c r="A210" s="119"/>
      <x:c r="B210" s="119"/>
      <x:c r="C210" s="119"/>
      <x:c r="D210" s="119"/>
      <x:c r="E210" s="119"/>
      <x:c r="F210" s="119"/>
      <x:c r="G210" s="119"/>
      <x:c r="H210" s="130" t="str">
        <x:f>IF(A210="","",IF(AND(COUNTA(M210:X210)&gt;=SETUP!$B$10,COUNTIF(M210:X210,MAX(M210:X210))=COUNTA(M210:X210)),"Yes","No"))</x:f>
      </x:c>
      <x:c r="I210" s="130" t="str">
        <x:f>IF(A210="","",IF('SURVEY DESIGN'!C210&lt;&gt;"",--(M210=""),0)+IF('SURVEY DESIGN'!C211&lt;&gt;"",--(N210=""),0)+IF('SURVEY DESIGN'!C212&lt;&gt;"",--(O210=""),0)+IF('SURVEY DESIGN'!C213&lt;&gt;"",--(P210=""),0)+IF('SURVEY DESIGN'!C214&lt;&gt;"",--(Q210=""),0)+IF('SURVEY DESIGN'!C215&lt;&gt;"",--(R210=""),0)+IF('SURVEY DESIGN'!C216&lt;&gt;"",--(S210=""),0)+IF('SURVEY DESIGN'!C217&lt;&gt;"",--(T210=""),0)+IF('SURVEY DESIGN'!C218&lt;&gt;"",--(U210=""),0)+IF('SURVEY DESIGN'!C219&lt;&gt;"",--(V210=""),0)+IF('SURVEY DESIGN'!C220&lt;&gt;"",--(W210=""),0)+IF('SURVEY DESIGN'!C221&lt;&gt;"",--(X210=""),0))</x:f>
      </x:c>
      <x:c r="J210" s="130" t="str">
        <x:f>IF(A210="","",IF(C210&lt;&gt;"Yes","NO CONSENT",IF(F210&lt;SETUP!$B$9,"SPEEDING",IF(G210&lt;&gt;"Yes","ATTENTION CHECK",IF(H210="Yes","STRAIGHTLINE REVIEW",IF(I210&gt;0,"MISSING ITEMS","OK"))))))</x:f>
      </x:c>
      <x:c r="K210" s="130" t="str">
        <x:f>IF(A210="","",IF(J210="OK","Yes","No"))</x:f>
      </x:c>
      <x:c r="L210" s="130" t="str">
        <x:f>IF(A210="","",IF(J210="OK","",IF(J210="NO CONSENT","Consent not affirmed",IF(J210="SPEEDING","Completion time below threshold",IF(J210="ATTENTION CHECK","Attention check failed",IF(J210="STRAIGHTLINE REVIEW","Straightlining review threshold met","Missing scored item(s)"))))))</x:f>
      </x:c>
      <x:c r="M210" s="119"/>
      <x:c r="N210" s="119"/>
      <x:c r="O210" s="119"/>
      <x:c r="P210" s="119"/>
      <x:c r="Q210" s="119"/>
      <x:c r="R210" s="119"/>
      <x:c r="S210" s="119"/>
      <x:c r="T210" s="119"/>
      <x:c r="U210" s="119"/>
      <x:c r="V210" s="119"/>
      <x:c r="W210" s="119"/>
      <x:c r="X210" s="119"/>
      <x:c r="Y210" s="133" t="str">
        <x:f>IF(K210&lt;&gt;"Yes","",IFERROR(AVERAGE(M210:X210),""))</x:f>
      </x:c>
      <x:c r="Z210" s="119"/>
    </x:row>
    <x:row r="211">
      <x:c r="A211" s="119"/>
      <x:c r="B211" s="119"/>
      <x:c r="C211" s="119"/>
      <x:c r="D211" s="119"/>
      <x:c r="E211" s="119"/>
      <x:c r="F211" s="119"/>
      <x:c r="G211" s="119"/>
      <x:c r="H211" s="130" t="str">
        <x:f>IF(A211="","",IF(AND(COUNTA(M211:X211)&gt;=SETUP!$B$10,COUNTIF(M211:X211,MAX(M211:X211))=COUNTA(M211:X211)),"Yes","No"))</x:f>
      </x:c>
      <x:c r="I211" s="130" t="str">
        <x:f>IF(A211="","",IF('SURVEY DESIGN'!C211&lt;&gt;"",--(M211=""),0)+IF('SURVEY DESIGN'!C212&lt;&gt;"",--(N211=""),0)+IF('SURVEY DESIGN'!C213&lt;&gt;"",--(O211=""),0)+IF('SURVEY DESIGN'!C214&lt;&gt;"",--(P211=""),0)+IF('SURVEY DESIGN'!C215&lt;&gt;"",--(Q211=""),0)+IF('SURVEY DESIGN'!C216&lt;&gt;"",--(R211=""),0)+IF('SURVEY DESIGN'!C217&lt;&gt;"",--(S211=""),0)+IF('SURVEY DESIGN'!C218&lt;&gt;"",--(T211=""),0)+IF('SURVEY DESIGN'!C219&lt;&gt;"",--(U211=""),0)+IF('SURVEY DESIGN'!C220&lt;&gt;"",--(V211=""),0)+IF('SURVEY DESIGN'!C221&lt;&gt;"",--(W211=""),0)+IF('SURVEY DESIGN'!C222&lt;&gt;"",--(X211=""),0))</x:f>
      </x:c>
      <x:c r="J211" s="130" t="str">
        <x:f>IF(A211="","",IF(C211&lt;&gt;"Yes","NO CONSENT",IF(F211&lt;SETUP!$B$9,"SPEEDING",IF(G211&lt;&gt;"Yes","ATTENTION CHECK",IF(H211="Yes","STRAIGHTLINE REVIEW",IF(I211&gt;0,"MISSING ITEMS","OK"))))))</x:f>
      </x:c>
      <x:c r="K211" s="130" t="str">
        <x:f>IF(A211="","",IF(J211="OK","Yes","No"))</x:f>
      </x:c>
      <x:c r="L211" s="130" t="str">
        <x:f>IF(A211="","",IF(J211="OK","",IF(J211="NO CONSENT","Consent not affirmed",IF(J211="SPEEDING","Completion time below threshold",IF(J211="ATTENTION CHECK","Attention check failed",IF(J211="STRAIGHTLINE REVIEW","Straightlining review threshold met","Missing scored item(s)"))))))</x:f>
      </x:c>
      <x:c r="M211" s="119"/>
      <x:c r="N211" s="119"/>
      <x:c r="O211" s="119"/>
      <x:c r="P211" s="119"/>
      <x:c r="Q211" s="119"/>
      <x:c r="R211" s="119"/>
      <x:c r="S211" s="119"/>
      <x:c r="T211" s="119"/>
      <x:c r="U211" s="119"/>
      <x:c r="V211" s="119"/>
      <x:c r="W211" s="119"/>
      <x:c r="X211" s="119"/>
      <x:c r="Y211" s="133" t="str">
        <x:f>IF(K211&lt;&gt;"Yes","",IFERROR(AVERAGE(M211:X211),""))</x:f>
      </x:c>
      <x:c r="Z211" s="119"/>
    </x:row>
    <x:row r="212">
      <x:c r="A212" s="119"/>
      <x:c r="B212" s="119"/>
      <x:c r="C212" s="119"/>
      <x:c r="D212" s="119"/>
      <x:c r="E212" s="119"/>
      <x:c r="F212" s="119"/>
      <x:c r="G212" s="119"/>
      <x:c r="H212" s="130" t="str">
        <x:f>IF(A212="","",IF(AND(COUNTA(M212:X212)&gt;=SETUP!$B$10,COUNTIF(M212:X212,MAX(M212:X212))=COUNTA(M212:X212)),"Yes","No"))</x:f>
      </x:c>
      <x:c r="I212" s="130" t="str">
        <x:f>IF(A212="","",IF('SURVEY DESIGN'!C212&lt;&gt;"",--(M212=""),0)+IF('SURVEY DESIGN'!C213&lt;&gt;"",--(N212=""),0)+IF('SURVEY DESIGN'!C214&lt;&gt;"",--(O212=""),0)+IF('SURVEY DESIGN'!C215&lt;&gt;"",--(P212=""),0)+IF('SURVEY DESIGN'!C216&lt;&gt;"",--(Q212=""),0)+IF('SURVEY DESIGN'!C217&lt;&gt;"",--(R212=""),0)+IF('SURVEY DESIGN'!C218&lt;&gt;"",--(S212=""),0)+IF('SURVEY DESIGN'!C219&lt;&gt;"",--(T212=""),0)+IF('SURVEY DESIGN'!C220&lt;&gt;"",--(U212=""),0)+IF('SURVEY DESIGN'!C221&lt;&gt;"",--(V212=""),0)+IF('SURVEY DESIGN'!C222&lt;&gt;"",--(W212=""),0)+IF('SURVEY DESIGN'!C223&lt;&gt;"",--(X212=""),0))</x:f>
      </x:c>
      <x:c r="J212" s="130" t="str">
        <x:f>IF(A212="","",IF(C212&lt;&gt;"Yes","NO CONSENT",IF(F212&lt;SETUP!$B$9,"SPEEDING",IF(G212&lt;&gt;"Yes","ATTENTION CHECK",IF(H212="Yes","STRAIGHTLINE REVIEW",IF(I212&gt;0,"MISSING ITEMS","OK"))))))</x:f>
      </x:c>
      <x:c r="K212" s="130" t="str">
        <x:f>IF(A212="","",IF(J212="OK","Yes","No"))</x:f>
      </x:c>
      <x:c r="L212" s="130" t="str">
        <x:f>IF(A212="","",IF(J212="OK","",IF(J212="NO CONSENT","Consent not affirmed",IF(J212="SPEEDING","Completion time below threshold",IF(J212="ATTENTION CHECK","Attention check failed",IF(J212="STRAIGHTLINE REVIEW","Straightlining review threshold met","Missing scored item(s)"))))))</x:f>
      </x:c>
      <x:c r="M212" s="119"/>
      <x:c r="N212" s="119"/>
      <x:c r="O212" s="119"/>
      <x:c r="P212" s="119"/>
      <x:c r="Q212" s="119"/>
      <x:c r="R212" s="119"/>
      <x:c r="S212" s="119"/>
      <x:c r="T212" s="119"/>
      <x:c r="U212" s="119"/>
      <x:c r="V212" s="119"/>
      <x:c r="W212" s="119"/>
      <x:c r="X212" s="119"/>
      <x:c r="Y212" s="133" t="str">
        <x:f>IF(K212&lt;&gt;"Yes","",IFERROR(AVERAGE(M212:X212),""))</x:f>
      </x:c>
      <x:c r="Z212" s="119"/>
    </x:row>
    <x:row r="213">
      <x:c r="A213" s="119"/>
      <x:c r="B213" s="119"/>
      <x:c r="C213" s="119"/>
      <x:c r="D213" s="119"/>
      <x:c r="E213" s="119"/>
      <x:c r="F213" s="119"/>
      <x:c r="G213" s="119"/>
      <x:c r="H213" s="130" t="str">
        <x:f>IF(A213="","",IF(AND(COUNTA(M213:X213)&gt;=SETUP!$B$10,COUNTIF(M213:X213,MAX(M213:X213))=COUNTA(M213:X213)),"Yes","No"))</x:f>
      </x:c>
      <x:c r="I213" s="130" t="str">
        <x:f>IF(A213="","",IF('SURVEY DESIGN'!C213&lt;&gt;"",--(M213=""),0)+IF('SURVEY DESIGN'!C214&lt;&gt;"",--(N213=""),0)+IF('SURVEY DESIGN'!C215&lt;&gt;"",--(O213=""),0)+IF('SURVEY DESIGN'!C216&lt;&gt;"",--(P213=""),0)+IF('SURVEY DESIGN'!C217&lt;&gt;"",--(Q213=""),0)+IF('SURVEY DESIGN'!C218&lt;&gt;"",--(R213=""),0)+IF('SURVEY DESIGN'!C219&lt;&gt;"",--(S213=""),0)+IF('SURVEY DESIGN'!C220&lt;&gt;"",--(T213=""),0)+IF('SURVEY DESIGN'!C221&lt;&gt;"",--(U213=""),0)+IF('SURVEY DESIGN'!C222&lt;&gt;"",--(V213=""),0)+IF('SURVEY DESIGN'!C223&lt;&gt;"",--(W213=""),0)+IF('SURVEY DESIGN'!C224&lt;&gt;"",--(X213=""),0))</x:f>
      </x:c>
      <x:c r="J213" s="130" t="str">
        <x:f>IF(A213="","",IF(C213&lt;&gt;"Yes","NO CONSENT",IF(F213&lt;SETUP!$B$9,"SPEEDING",IF(G213&lt;&gt;"Yes","ATTENTION CHECK",IF(H213="Yes","STRAIGHTLINE REVIEW",IF(I213&gt;0,"MISSING ITEMS","OK"))))))</x:f>
      </x:c>
      <x:c r="K213" s="130" t="str">
        <x:f>IF(A213="","",IF(J213="OK","Yes","No"))</x:f>
      </x:c>
      <x:c r="L213" s="130" t="str">
        <x:f>IF(A213="","",IF(J213="OK","",IF(J213="NO CONSENT","Consent not affirmed",IF(J213="SPEEDING","Completion time below threshold",IF(J213="ATTENTION CHECK","Attention check failed",IF(J213="STRAIGHTLINE REVIEW","Straightlining review threshold met","Missing scored item(s)"))))))</x:f>
      </x:c>
      <x:c r="M213" s="119"/>
      <x:c r="N213" s="119"/>
      <x:c r="O213" s="119"/>
      <x:c r="P213" s="119"/>
      <x:c r="Q213" s="119"/>
      <x:c r="R213" s="119"/>
      <x:c r="S213" s="119"/>
      <x:c r="T213" s="119"/>
      <x:c r="U213" s="119"/>
      <x:c r="V213" s="119"/>
      <x:c r="W213" s="119"/>
      <x:c r="X213" s="119"/>
      <x:c r="Y213" s="133" t="str">
        <x:f>IF(K213&lt;&gt;"Yes","",IFERROR(AVERAGE(M213:X213),""))</x:f>
      </x:c>
      <x:c r="Z213" s="119"/>
    </x:row>
    <x:row r="214">
      <x:c r="A214" s="119"/>
      <x:c r="B214" s="119"/>
      <x:c r="C214" s="119"/>
      <x:c r="D214" s="119"/>
      <x:c r="E214" s="119"/>
      <x:c r="F214" s="119"/>
      <x:c r="G214" s="119"/>
      <x:c r="H214" s="130" t="str">
        <x:f>IF(A214="","",IF(AND(COUNTA(M214:X214)&gt;=SETUP!$B$10,COUNTIF(M214:X214,MAX(M214:X214))=COUNTA(M214:X214)),"Yes","No"))</x:f>
      </x:c>
      <x:c r="I214" s="130" t="str">
        <x:f>IF(A214="","",IF('SURVEY DESIGN'!C214&lt;&gt;"",--(M214=""),0)+IF('SURVEY DESIGN'!C215&lt;&gt;"",--(N214=""),0)+IF('SURVEY DESIGN'!C216&lt;&gt;"",--(O214=""),0)+IF('SURVEY DESIGN'!C217&lt;&gt;"",--(P214=""),0)+IF('SURVEY DESIGN'!C218&lt;&gt;"",--(Q214=""),0)+IF('SURVEY DESIGN'!C219&lt;&gt;"",--(R214=""),0)+IF('SURVEY DESIGN'!C220&lt;&gt;"",--(S214=""),0)+IF('SURVEY DESIGN'!C221&lt;&gt;"",--(T214=""),0)+IF('SURVEY DESIGN'!C222&lt;&gt;"",--(U214=""),0)+IF('SURVEY DESIGN'!C223&lt;&gt;"",--(V214=""),0)+IF('SURVEY DESIGN'!C224&lt;&gt;"",--(W214=""),0)+IF('SURVEY DESIGN'!C225&lt;&gt;"",--(X214=""),0))</x:f>
      </x:c>
      <x:c r="J214" s="130" t="str">
        <x:f>IF(A214="","",IF(C214&lt;&gt;"Yes","NO CONSENT",IF(F214&lt;SETUP!$B$9,"SPEEDING",IF(G214&lt;&gt;"Yes","ATTENTION CHECK",IF(H214="Yes","STRAIGHTLINE REVIEW",IF(I214&gt;0,"MISSING ITEMS","OK"))))))</x:f>
      </x:c>
      <x:c r="K214" s="130" t="str">
        <x:f>IF(A214="","",IF(J214="OK","Yes","No"))</x:f>
      </x:c>
      <x:c r="L214" s="130" t="str">
        <x:f>IF(A214="","",IF(J214="OK","",IF(J214="NO CONSENT","Consent not affirmed",IF(J214="SPEEDING","Completion time below threshold",IF(J214="ATTENTION CHECK","Attention check failed",IF(J214="STRAIGHTLINE REVIEW","Straightlining review threshold met","Missing scored item(s)"))))))</x:f>
      </x:c>
      <x:c r="M214" s="119"/>
      <x:c r="N214" s="119"/>
      <x:c r="O214" s="119"/>
      <x:c r="P214" s="119"/>
      <x:c r="Q214" s="119"/>
      <x:c r="R214" s="119"/>
      <x:c r="S214" s="119"/>
      <x:c r="T214" s="119"/>
      <x:c r="U214" s="119"/>
      <x:c r="V214" s="119"/>
      <x:c r="W214" s="119"/>
      <x:c r="X214" s="119"/>
      <x:c r="Y214" s="133" t="str">
        <x:f>IF(K214&lt;&gt;"Yes","",IFERROR(AVERAGE(M214:X214),""))</x:f>
      </x:c>
      <x:c r="Z214" s="119"/>
    </x:row>
    <x:row r="215">
      <x:c r="A215" s="119"/>
      <x:c r="B215" s="119"/>
      <x:c r="C215" s="119"/>
      <x:c r="D215" s="119"/>
      <x:c r="E215" s="119"/>
      <x:c r="F215" s="119"/>
      <x:c r="G215" s="119"/>
      <x:c r="H215" s="130" t="str">
        <x:f>IF(A215="","",IF(AND(COUNTA(M215:X215)&gt;=SETUP!$B$10,COUNTIF(M215:X215,MAX(M215:X215))=COUNTA(M215:X215)),"Yes","No"))</x:f>
      </x:c>
      <x:c r="I215" s="130" t="str">
        <x:f>IF(A215="","",IF('SURVEY DESIGN'!C215&lt;&gt;"",--(M215=""),0)+IF('SURVEY DESIGN'!C216&lt;&gt;"",--(N215=""),0)+IF('SURVEY DESIGN'!C217&lt;&gt;"",--(O215=""),0)+IF('SURVEY DESIGN'!C218&lt;&gt;"",--(P215=""),0)+IF('SURVEY DESIGN'!C219&lt;&gt;"",--(Q215=""),0)+IF('SURVEY DESIGN'!C220&lt;&gt;"",--(R215=""),0)+IF('SURVEY DESIGN'!C221&lt;&gt;"",--(S215=""),0)+IF('SURVEY DESIGN'!C222&lt;&gt;"",--(T215=""),0)+IF('SURVEY DESIGN'!C223&lt;&gt;"",--(U215=""),0)+IF('SURVEY DESIGN'!C224&lt;&gt;"",--(V215=""),0)+IF('SURVEY DESIGN'!C225&lt;&gt;"",--(W215=""),0)+IF('SURVEY DESIGN'!C226&lt;&gt;"",--(X215=""),0))</x:f>
      </x:c>
      <x:c r="J215" s="130" t="str">
        <x:f>IF(A215="","",IF(C215&lt;&gt;"Yes","NO CONSENT",IF(F215&lt;SETUP!$B$9,"SPEEDING",IF(G215&lt;&gt;"Yes","ATTENTION CHECK",IF(H215="Yes","STRAIGHTLINE REVIEW",IF(I215&gt;0,"MISSING ITEMS","OK"))))))</x:f>
      </x:c>
      <x:c r="K215" s="130" t="str">
        <x:f>IF(A215="","",IF(J215="OK","Yes","No"))</x:f>
      </x:c>
      <x:c r="L215" s="130" t="str">
        <x:f>IF(A215="","",IF(J215="OK","",IF(J215="NO CONSENT","Consent not affirmed",IF(J215="SPEEDING","Completion time below threshold",IF(J215="ATTENTION CHECK","Attention check failed",IF(J215="STRAIGHTLINE REVIEW","Straightlining review threshold met","Missing scored item(s)"))))))</x:f>
      </x:c>
      <x:c r="M215" s="119"/>
      <x:c r="N215" s="119"/>
      <x:c r="O215" s="119"/>
      <x:c r="P215" s="119"/>
      <x:c r="Q215" s="119"/>
      <x:c r="R215" s="119"/>
      <x:c r="S215" s="119"/>
      <x:c r="T215" s="119"/>
      <x:c r="U215" s="119"/>
      <x:c r="V215" s="119"/>
      <x:c r="W215" s="119"/>
      <x:c r="X215" s="119"/>
      <x:c r="Y215" s="133" t="str">
        <x:f>IF(K215&lt;&gt;"Yes","",IFERROR(AVERAGE(M215:X215),""))</x:f>
      </x:c>
      <x:c r="Z215" s="119"/>
    </x:row>
    <x:row r="216">
      <x:c r="A216" s="119"/>
      <x:c r="B216" s="119"/>
      <x:c r="C216" s="119"/>
      <x:c r="D216" s="119"/>
      <x:c r="E216" s="119"/>
      <x:c r="F216" s="119"/>
      <x:c r="G216" s="119"/>
      <x:c r="H216" s="130" t="str">
        <x:f>IF(A216="","",IF(AND(COUNTA(M216:X216)&gt;=SETUP!$B$10,COUNTIF(M216:X216,MAX(M216:X216))=COUNTA(M216:X216)),"Yes","No"))</x:f>
      </x:c>
      <x:c r="I216" s="130" t="str">
        <x:f>IF(A216="","",IF('SURVEY DESIGN'!C216&lt;&gt;"",--(M216=""),0)+IF('SURVEY DESIGN'!C217&lt;&gt;"",--(N216=""),0)+IF('SURVEY DESIGN'!C218&lt;&gt;"",--(O216=""),0)+IF('SURVEY DESIGN'!C219&lt;&gt;"",--(P216=""),0)+IF('SURVEY DESIGN'!C220&lt;&gt;"",--(Q216=""),0)+IF('SURVEY DESIGN'!C221&lt;&gt;"",--(R216=""),0)+IF('SURVEY DESIGN'!C222&lt;&gt;"",--(S216=""),0)+IF('SURVEY DESIGN'!C223&lt;&gt;"",--(T216=""),0)+IF('SURVEY DESIGN'!C224&lt;&gt;"",--(U216=""),0)+IF('SURVEY DESIGN'!C225&lt;&gt;"",--(V216=""),0)+IF('SURVEY DESIGN'!C226&lt;&gt;"",--(W216=""),0)+IF('SURVEY DESIGN'!C227&lt;&gt;"",--(X216=""),0))</x:f>
      </x:c>
      <x:c r="J216" s="130" t="str">
        <x:f>IF(A216="","",IF(C216&lt;&gt;"Yes","NO CONSENT",IF(F216&lt;SETUP!$B$9,"SPEEDING",IF(G216&lt;&gt;"Yes","ATTENTION CHECK",IF(H216="Yes","STRAIGHTLINE REVIEW",IF(I216&gt;0,"MISSING ITEMS","OK"))))))</x:f>
      </x:c>
      <x:c r="K216" s="130" t="str">
        <x:f>IF(A216="","",IF(J216="OK","Yes","No"))</x:f>
      </x:c>
      <x:c r="L216" s="130" t="str">
        <x:f>IF(A216="","",IF(J216="OK","",IF(J216="NO CONSENT","Consent not affirmed",IF(J216="SPEEDING","Completion time below threshold",IF(J216="ATTENTION CHECK","Attention check failed",IF(J216="STRAIGHTLINE REVIEW","Straightlining review threshold met","Missing scored item(s)"))))))</x:f>
      </x:c>
      <x:c r="M216" s="119"/>
      <x:c r="N216" s="119"/>
      <x:c r="O216" s="119"/>
      <x:c r="P216" s="119"/>
      <x:c r="Q216" s="119"/>
      <x:c r="R216" s="119"/>
      <x:c r="S216" s="119"/>
      <x:c r="T216" s="119"/>
      <x:c r="U216" s="119"/>
      <x:c r="V216" s="119"/>
      <x:c r="W216" s="119"/>
      <x:c r="X216" s="119"/>
      <x:c r="Y216" s="133" t="str">
        <x:f>IF(K216&lt;&gt;"Yes","",IFERROR(AVERAGE(M216:X216),""))</x:f>
      </x:c>
      <x:c r="Z216" s="119"/>
    </x:row>
    <x:row r="217">
      <x:c r="A217" s="119"/>
      <x:c r="B217" s="119"/>
      <x:c r="C217" s="119"/>
      <x:c r="D217" s="119"/>
      <x:c r="E217" s="119"/>
      <x:c r="F217" s="119"/>
      <x:c r="G217" s="119"/>
      <x:c r="H217" s="130" t="str">
        <x:f>IF(A217="","",IF(AND(COUNTA(M217:X217)&gt;=SETUP!$B$10,COUNTIF(M217:X217,MAX(M217:X217))=COUNTA(M217:X217)),"Yes","No"))</x:f>
      </x:c>
      <x:c r="I217" s="130" t="str">
        <x:f>IF(A217="","",IF('SURVEY DESIGN'!C217&lt;&gt;"",--(M217=""),0)+IF('SURVEY DESIGN'!C218&lt;&gt;"",--(N217=""),0)+IF('SURVEY DESIGN'!C219&lt;&gt;"",--(O217=""),0)+IF('SURVEY DESIGN'!C220&lt;&gt;"",--(P217=""),0)+IF('SURVEY DESIGN'!C221&lt;&gt;"",--(Q217=""),0)+IF('SURVEY DESIGN'!C222&lt;&gt;"",--(R217=""),0)+IF('SURVEY DESIGN'!C223&lt;&gt;"",--(S217=""),0)+IF('SURVEY DESIGN'!C224&lt;&gt;"",--(T217=""),0)+IF('SURVEY DESIGN'!C225&lt;&gt;"",--(U217=""),0)+IF('SURVEY DESIGN'!C226&lt;&gt;"",--(V217=""),0)+IF('SURVEY DESIGN'!C227&lt;&gt;"",--(W217=""),0)+IF('SURVEY DESIGN'!C228&lt;&gt;"",--(X217=""),0))</x:f>
      </x:c>
      <x:c r="J217" s="130" t="str">
        <x:f>IF(A217="","",IF(C217&lt;&gt;"Yes","NO CONSENT",IF(F217&lt;SETUP!$B$9,"SPEEDING",IF(G217&lt;&gt;"Yes","ATTENTION CHECK",IF(H217="Yes","STRAIGHTLINE REVIEW",IF(I217&gt;0,"MISSING ITEMS","OK"))))))</x:f>
      </x:c>
      <x:c r="K217" s="130" t="str">
        <x:f>IF(A217="","",IF(J217="OK","Yes","No"))</x:f>
      </x:c>
      <x:c r="L217" s="130" t="str">
        <x:f>IF(A217="","",IF(J217="OK","",IF(J217="NO CONSENT","Consent not affirmed",IF(J217="SPEEDING","Completion time below threshold",IF(J217="ATTENTION CHECK","Attention check failed",IF(J217="STRAIGHTLINE REVIEW","Straightlining review threshold met","Missing scored item(s)"))))))</x:f>
      </x:c>
      <x:c r="M217" s="119"/>
      <x:c r="N217" s="119"/>
      <x:c r="O217" s="119"/>
      <x:c r="P217" s="119"/>
      <x:c r="Q217" s="119"/>
      <x:c r="R217" s="119"/>
      <x:c r="S217" s="119"/>
      <x:c r="T217" s="119"/>
      <x:c r="U217" s="119"/>
      <x:c r="V217" s="119"/>
      <x:c r="W217" s="119"/>
      <x:c r="X217" s="119"/>
      <x:c r="Y217" s="133" t="str">
        <x:f>IF(K217&lt;&gt;"Yes","",IFERROR(AVERAGE(M217:X217),""))</x:f>
      </x:c>
      <x:c r="Z217" s="119"/>
    </x:row>
    <x:row r="218">
      <x:c r="A218" s="119"/>
      <x:c r="B218" s="119"/>
      <x:c r="C218" s="119"/>
      <x:c r="D218" s="119"/>
      <x:c r="E218" s="119"/>
      <x:c r="F218" s="119"/>
      <x:c r="G218" s="119"/>
      <x:c r="H218" s="130" t="str">
        <x:f>IF(A218="","",IF(AND(COUNTA(M218:X218)&gt;=SETUP!$B$10,COUNTIF(M218:X218,MAX(M218:X218))=COUNTA(M218:X218)),"Yes","No"))</x:f>
      </x:c>
      <x:c r="I218" s="130" t="str">
        <x:f>IF(A218="","",IF('SURVEY DESIGN'!C218&lt;&gt;"",--(M218=""),0)+IF('SURVEY DESIGN'!C219&lt;&gt;"",--(N218=""),0)+IF('SURVEY DESIGN'!C220&lt;&gt;"",--(O218=""),0)+IF('SURVEY DESIGN'!C221&lt;&gt;"",--(P218=""),0)+IF('SURVEY DESIGN'!C222&lt;&gt;"",--(Q218=""),0)+IF('SURVEY DESIGN'!C223&lt;&gt;"",--(R218=""),0)+IF('SURVEY DESIGN'!C224&lt;&gt;"",--(S218=""),0)+IF('SURVEY DESIGN'!C225&lt;&gt;"",--(T218=""),0)+IF('SURVEY DESIGN'!C226&lt;&gt;"",--(U218=""),0)+IF('SURVEY DESIGN'!C227&lt;&gt;"",--(V218=""),0)+IF('SURVEY DESIGN'!C228&lt;&gt;"",--(W218=""),0)+IF('SURVEY DESIGN'!C229&lt;&gt;"",--(X218=""),0))</x:f>
      </x:c>
      <x:c r="J218" s="130" t="str">
        <x:f>IF(A218="","",IF(C218&lt;&gt;"Yes","NO CONSENT",IF(F218&lt;SETUP!$B$9,"SPEEDING",IF(G218&lt;&gt;"Yes","ATTENTION CHECK",IF(H218="Yes","STRAIGHTLINE REVIEW",IF(I218&gt;0,"MISSING ITEMS","OK"))))))</x:f>
      </x:c>
      <x:c r="K218" s="130" t="str">
        <x:f>IF(A218="","",IF(J218="OK","Yes","No"))</x:f>
      </x:c>
      <x:c r="L218" s="130" t="str">
        <x:f>IF(A218="","",IF(J218="OK","",IF(J218="NO CONSENT","Consent not affirmed",IF(J218="SPEEDING","Completion time below threshold",IF(J218="ATTENTION CHECK","Attention check failed",IF(J218="STRAIGHTLINE REVIEW","Straightlining review threshold met","Missing scored item(s)"))))))</x:f>
      </x:c>
      <x:c r="M218" s="119"/>
      <x:c r="N218" s="119"/>
      <x:c r="O218" s="119"/>
      <x:c r="P218" s="119"/>
      <x:c r="Q218" s="119"/>
      <x:c r="R218" s="119"/>
      <x:c r="S218" s="119"/>
      <x:c r="T218" s="119"/>
      <x:c r="U218" s="119"/>
      <x:c r="V218" s="119"/>
      <x:c r="W218" s="119"/>
      <x:c r="X218" s="119"/>
      <x:c r="Y218" s="133" t="str">
        <x:f>IF(K218&lt;&gt;"Yes","",IFERROR(AVERAGE(M218:X218),""))</x:f>
      </x:c>
      <x:c r="Z218" s="119"/>
    </x:row>
    <x:row r="219">
      <x:c r="A219" s="119"/>
      <x:c r="B219" s="119"/>
      <x:c r="C219" s="119"/>
      <x:c r="D219" s="119"/>
      <x:c r="E219" s="119"/>
      <x:c r="F219" s="119"/>
      <x:c r="G219" s="119"/>
      <x:c r="H219" s="130" t="str">
        <x:f>IF(A219="","",IF(AND(COUNTA(M219:X219)&gt;=SETUP!$B$10,COUNTIF(M219:X219,MAX(M219:X219))=COUNTA(M219:X219)),"Yes","No"))</x:f>
      </x:c>
      <x:c r="I219" s="130" t="str">
        <x:f>IF(A219="","",IF('SURVEY DESIGN'!C219&lt;&gt;"",--(M219=""),0)+IF('SURVEY DESIGN'!C220&lt;&gt;"",--(N219=""),0)+IF('SURVEY DESIGN'!C221&lt;&gt;"",--(O219=""),0)+IF('SURVEY DESIGN'!C222&lt;&gt;"",--(P219=""),0)+IF('SURVEY DESIGN'!C223&lt;&gt;"",--(Q219=""),0)+IF('SURVEY DESIGN'!C224&lt;&gt;"",--(R219=""),0)+IF('SURVEY DESIGN'!C225&lt;&gt;"",--(S219=""),0)+IF('SURVEY DESIGN'!C226&lt;&gt;"",--(T219=""),0)+IF('SURVEY DESIGN'!C227&lt;&gt;"",--(U219=""),0)+IF('SURVEY DESIGN'!C228&lt;&gt;"",--(V219=""),0)+IF('SURVEY DESIGN'!C229&lt;&gt;"",--(W219=""),0)+IF('SURVEY DESIGN'!C230&lt;&gt;"",--(X219=""),0))</x:f>
      </x:c>
      <x:c r="J219" s="130" t="str">
        <x:f>IF(A219="","",IF(C219&lt;&gt;"Yes","NO CONSENT",IF(F219&lt;SETUP!$B$9,"SPEEDING",IF(G219&lt;&gt;"Yes","ATTENTION CHECK",IF(H219="Yes","STRAIGHTLINE REVIEW",IF(I219&gt;0,"MISSING ITEMS","OK"))))))</x:f>
      </x:c>
      <x:c r="K219" s="130" t="str">
        <x:f>IF(A219="","",IF(J219="OK","Yes","No"))</x:f>
      </x:c>
      <x:c r="L219" s="130" t="str">
        <x:f>IF(A219="","",IF(J219="OK","",IF(J219="NO CONSENT","Consent not affirmed",IF(J219="SPEEDING","Completion time below threshold",IF(J219="ATTENTION CHECK","Attention check failed",IF(J219="STRAIGHTLINE REVIEW","Straightlining review threshold met","Missing scored item(s)"))))))</x:f>
      </x:c>
      <x:c r="M219" s="119"/>
      <x:c r="N219" s="119"/>
      <x:c r="O219" s="119"/>
      <x:c r="P219" s="119"/>
      <x:c r="Q219" s="119"/>
      <x:c r="R219" s="119"/>
      <x:c r="S219" s="119"/>
      <x:c r="T219" s="119"/>
      <x:c r="U219" s="119"/>
      <x:c r="V219" s="119"/>
      <x:c r="W219" s="119"/>
      <x:c r="X219" s="119"/>
      <x:c r="Y219" s="133" t="str">
        <x:f>IF(K219&lt;&gt;"Yes","",IFERROR(AVERAGE(M219:X219),""))</x:f>
      </x:c>
      <x:c r="Z219" s="119"/>
    </x:row>
    <x:row r="220">
      <x:c r="A220" s="119"/>
      <x:c r="B220" s="119"/>
      <x:c r="C220" s="119"/>
      <x:c r="D220" s="119"/>
      <x:c r="E220" s="119"/>
      <x:c r="F220" s="119"/>
      <x:c r="G220" s="119"/>
      <x:c r="H220" s="130" t="str">
        <x:f>IF(A220="","",IF(AND(COUNTA(M220:X220)&gt;=SETUP!$B$10,COUNTIF(M220:X220,MAX(M220:X220))=COUNTA(M220:X220)),"Yes","No"))</x:f>
      </x:c>
      <x:c r="I220" s="130" t="str">
        <x:f>IF(A220="","",IF('SURVEY DESIGN'!C220&lt;&gt;"",--(M220=""),0)+IF('SURVEY DESIGN'!C221&lt;&gt;"",--(N220=""),0)+IF('SURVEY DESIGN'!C222&lt;&gt;"",--(O220=""),0)+IF('SURVEY DESIGN'!C223&lt;&gt;"",--(P220=""),0)+IF('SURVEY DESIGN'!C224&lt;&gt;"",--(Q220=""),0)+IF('SURVEY DESIGN'!C225&lt;&gt;"",--(R220=""),0)+IF('SURVEY DESIGN'!C226&lt;&gt;"",--(S220=""),0)+IF('SURVEY DESIGN'!C227&lt;&gt;"",--(T220=""),0)+IF('SURVEY DESIGN'!C228&lt;&gt;"",--(U220=""),0)+IF('SURVEY DESIGN'!C229&lt;&gt;"",--(V220=""),0)+IF('SURVEY DESIGN'!C230&lt;&gt;"",--(W220=""),0)+IF('SURVEY DESIGN'!C231&lt;&gt;"",--(X220=""),0))</x:f>
      </x:c>
      <x:c r="J220" s="130" t="str">
        <x:f>IF(A220="","",IF(C220&lt;&gt;"Yes","NO CONSENT",IF(F220&lt;SETUP!$B$9,"SPEEDING",IF(G220&lt;&gt;"Yes","ATTENTION CHECK",IF(H220="Yes","STRAIGHTLINE REVIEW",IF(I220&gt;0,"MISSING ITEMS","OK"))))))</x:f>
      </x:c>
      <x:c r="K220" s="130" t="str">
        <x:f>IF(A220="","",IF(J220="OK","Yes","No"))</x:f>
      </x:c>
      <x:c r="L220" s="130" t="str">
        <x:f>IF(A220="","",IF(J220="OK","",IF(J220="NO CONSENT","Consent not affirmed",IF(J220="SPEEDING","Completion time below threshold",IF(J220="ATTENTION CHECK","Attention check failed",IF(J220="STRAIGHTLINE REVIEW","Straightlining review threshold met","Missing scored item(s)"))))))</x:f>
      </x:c>
      <x:c r="M220" s="119"/>
      <x:c r="N220" s="119"/>
      <x:c r="O220" s="119"/>
      <x:c r="P220" s="119"/>
      <x:c r="Q220" s="119"/>
      <x:c r="R220" s="119"/>
      <x:c r="S220" s="119"/>
      <x:c r="T220" s="119"/>
      <x:c r="U220" s="119"/>
      <x:c r="V220" s="119"/>
      <x:c r="W220" s="119"/>
      <x:c r="X220" s="119"/>
      <x:c r="Y220" s="133" t="str">
        <x:f>IF(K220&lt;&gt;"Yes","",IFERROR(AVERAGE(M220:X220),""))</x:f>
      </x:c>
      <x:c r="Z220" s="119"/>
    </x:row>
    <x:row r="221">
      <x:c r="A221" s="119"/>
      <x:c r="B221" s="119"/>
      <x:c r="C221" s="119"/>
      <x:c r="D221" s="119"/>
      <x:c r="E221" s="119"/>
      <x:c r="F221" s="119"/>
      <x:c r="G221" s="119"/>
      <x:c r="H221" s="130" t="str">
        <x:f>IF(A221="","",IF(AND(COUNTA(M221:X221)&gt;=SETUP!$B$10,COUNTIF(M221:X221,MAX(M221:X221))=COUNTA(M221:X221)),"Yes","No"))</x:f>
      </x:c>
      <x:c r="I221" s="130" t="str">
        <x:f>IF(A221="","",IF('SURVEY DESIGN'!C221&lt;&gt;"",--(M221=""),0)+IF('SURVEY DESIGN'!C222&lt;&gt;"",--(N221=""),0)+IF('SURVEY DESIGN'!C223&lt;&gt;"",--(O221=""),0)+IF('SURVEY DESIGN'!C224&lt;&gt;"",--(P221=""),0)+IF('SURVEY DESIGN'!C225&lt;&gt;"",--(Q221=""),0)+IF('SURVEY DESIGN'!C226&lt;&gt;"",--(R221=""),0)+IF('SURVEY DESIGN'!C227&lt;&gt;"",--(S221=""),0)+IF('SURVEY DESIGN'!C228&lt;&gt;"",--(T221=""),0)+IF('SURVEY DESIGN'!C229&lt;&gt;"",--(U221=""),0)+IF('SURVEY DESIGN'!C230&lt;&gt;"",--(V221=""),0)+IF('SURVEY DESIGN'!C231&lt;&gt;"",--(W221=""),0)+IF('SURVEY DESIGN'!C232&lt;&gt;"",--(X221=""),0))</x:f>
      </x:c>
      <x:c r="J221" s="130" t="str">
        <x:f>IF(A221="","",IF(C221&lt;&gt;"Yes","NO CONSENT",IF(F221&lt;SETUP!$B$9,"SPEEDING",IF(G221&lt;&gt;"Yes","ATTENTION CHECK",IF(H221="Yes","STRAIGHTLINE REVIEW",IF(I221&gt;0,"MISSING ITEMS","OK"))))))</x:f>
      </x:c>
      <x:c r="K221" s="130" t="str">
        <x:f>IF(A221="","",IF(J221="OK","Yes","No"))</x:f>
      </x:c>
      <x:c r="L221" s="130" t="str">
        <x:f>IF(A221="","",IF(J221="OK","",IF(J221="NO CONSENT","Consent not affirmed",IF(J221="SPEEDING","Completion time below threshold",IF(J221="ATTENTION CHECK","Attention check failed",IF(J221="STRAIGHTLINE REVIEW","Straightlining review threshold met","Missing scored item(s)"))))))</x:f>
      </x:c>
      <x:c r="M221" s="119"/>
      <x:c r="N221" s="119"/>
      <x:c r="O221" s="119"/>
      <x:c r="P221" s="119"/>
      <x:c r="Q221" s="119"/>
      <x:c r="R221" s="119"/>
      <x:c r="S221" s="119"/>
      <x:c r="T221" s="119"/>
      <x:c r="U221" s="119"/>
      <x:c r="V221" s="119"/>
      <x:c r="W221" s="119"/>
      <x:c r="X221" s="119"/>
      <x:c r="Y221" s="133" t="str">
        <x:f>IF(K221&lt;&gt;"Yes","",IFERROR(AVERAGE(M221:X221),""))</x:f>
      </x:c>
      <x:c r="Z221" s="119"/>
    </x:row>
    <x:row r="222">
      <x:c r="A222" s="119"/>
      <x:c r="B222" s="119"/>
      <x:c r="C222" s="119"/>
      <x:c r="D222" s="119"/>
      <x:c r="E222" s="119"/>
      <x:c r="F222" s="119"/>
      <x:c r="G222" s="119"/>
      <x:c r="H222" s="130" t="str">
        <x:f>IF(A222="","",IF(AND(COUNTA(M222:X222)&gt;=SETUP!$B$10,COUNTIF(M222:X222,MAX(M222:X222))=COUNTA(M222:X222)),"Yes","No"))</x:f>
      </x:c>
      <x:c r="I222" s="130" t="str">
        <x:f>IF(A222="","",IF('SURVEY DESIGN'!C222&lt;&gt;"",--(M222=""),0)+IF('SURVEY DESIGN'!C223&lt;&gt;"",--(N222=""),0)+IF('SURVEY DESIGN'!C224&lt;&gt;"",--(O222=""),0)+IF('SURVEY DESIGN'!C225&lt;&gt;"",--(P222=""),0)+IF('SURVEY DESIGN'!C226&lt;&gt;"",--(Q222=""),0)+IF('SURVEY DESIGN'!C227&lt;&gt;"",--(R222=""),0)+IF('SURVEY DESIGN'!C228&lt;&gt;"",--(S222=""),0)+IF('SURVEY DESIGN'!C229&lt;&gt;"",--(T222=""),0)+IF('SURVEY DESIGN'!C230&lt;&gt;"",--(U222=""),0)+IF('SURVEY DESIGN'!C231&lt;&gt;"",--(V222=""),0)+IF('SURVEY DESIGN'!C232&lt;&gt;"",--(W222=""),0)+IF('SURVEY DESIGN'!C233&lt;&gt;"",--(X222=""),0))</x:f>
      </x:c>
      <x:c r="J222" s="130" t="str">
        <x:f>IF(A222="","",IF(C222&lt;&gt;"Yes","NO CONSENT",IF(F222&lt;SETUP!$B$9,"SPEEDING",IF(G222&lt;&gt;"Yes","ATTENTION CHECK",IF(H222="Yes","STRAIGHTLINE REVIEW",IF(I222&gt;0,"MISSING ITEMS","OK"))))))</x:f>
      </x:c>
      <x:c r="K222" s="130" t="str">
        <x:f>IF(A222="","",IF(J222="OK","Yes","No"))</x:f>
      </x:c>
      <x:c r="L222" s="130" t="str">
        <x:f>IF(A222="","",IF(J222="OK","",IF(J222="NO CONSENT","Consent not affirmed",IF(J222="SPEEDING","Completion time below threshold",IF(J222="ATTENTION CHECK","Attention check failed",IF(J222="STRAIGHTLINE REVIEW","Straightlining review threshold met","Missing scored item(s)"))))))</x:f>
      </x:c>
      <x:c r="M222" s="119"/>
      <x:c r="N222" s="119"/>
      <x:c r="O222" s="119"/>
      <x:c r="P222" s="119"/>
      <x:c r="Q222" s="119"/>
      <x:c r="R222" s="119"/>
      <x:c r="S222" s="119"/>
      <x:c r="T222" s="119"/>
      <x:c r="U222" s="119"/>
      <x:c r="V222" s="119"/>
      <x:c r="W222" s="119"/>
      <x:c r="X222" s="119"/>
      <x:c r="Y222" s="133" t="str">
        <x:f>IF(K222&lt;&gt;"Yes","",IFERROR(AVERAGE(M222:X222),""))</x:f>
      </x:c>
      <x:c r="Z222" s="119"/>
    </x:row>
    <x:row r="223">
      <x:c r="A223" s="119"/>
      <x:c r="B223" s="119"/>
      <x:c r="C223" s="119"/>
      <x:c r="D223" s="119"/>
      <x:c r="E223" s="119"/>
      <x:c r="F223" s="119"/>
      <x:c r="G223" s="119"/>
      <x:c r="H223" s="130" t="str">
        <x:f>IF(A223="","",IF(AND(COUNTA(M223:X223)&gt;=SETUP!$B$10,COUNTIF(M223:X223,MAX(M223:X223))=COUNTA(M223:X223)),"Yes","No"))</x:f>
      </x:c>
      <x:c r="I223" s="130" t="str">
        <x:f>IF(A223="","",IF('SURVEY DESIGN'!C223&lt;&gt;"",--(M223=""),0)+IF('SURVEY DESIGN'!C224&lt;&gt;"",--(N223=""),0)+IF('SURVEY DESIGN'!C225&lt;&gt;"",--(O223=""),0)+IF('SURVEY DESIGN'!C226&lt;&gt;"",--(P223=""),0)+IF('SURVEY DESIGN'!C227&lt;&gt;"",--(Q223=""),0)+IF('SURVEY DESIGN'!C228&lt;&gt;"",--(R223=""),0)+IF('SURVEY DESIGN'!C229&lt;&gt;"",--(S223=""),0)+IF('SURVEY DESIGN'!C230&lt;&gt;"",--(T223=""),0)+IF('SURVEY DESIGN'!C231&lt;&gt;"",--(U223=""),0)+IF('SURVEY DESIGN'!C232&lt;&gt;"",--(V223=""),0)+IF('SURVEY DESIGN'!C233&lt;&gt;"",--(W223=""),0)+IF('SURVEY DESIGN'!C234&lt;&gt;"",--(X223=""),0))</x:f>
      </x:c>
      <x:c r="J223" s="130" t="str">
        <x:f>IF(A223="","",IF(C223&lt;&gt;"Yes","NO CONSENT",IF(F223&lt;SETUP!$B$9,"SPEEDING",IF(G223&lt;&gt;"Yes","ATTENTION CHECK",IF(H223="Yes","STRAIGHTLINE REVIEW",IF(I223&gt;0,"MISSING ITEMS","OK"))))))</x:f>
      </x:c>
      <x:c r="K223" s="130" t="str">
        <x:f>IF(A223="","",IF(J223="OK","Yes","No"))</x:f>
      </x:c>
      <x:c r="L223" s="130" t="str">
        <x:f>IF(A223="","",IF(J223="OK","",IF(J223="NO CONSENT","Consent not affirmed",IF(J223="SPEEDING","Completion time below threshold",IF(J223="ATTENTION CHECK","Attention check failed",IF(J223="STRAIGHTLINE REVIEW","Straightlining review threshold met","Missing scored item(s)"))))))</x:f>
      </x:c>
      <x:c r="M223" s="119"/>
      <x:c r="N223" s="119"/>
      <x:c r="O223" s="119"/>
      <x:c r="P223" s="119"/>
      <x:c r="Q223" s="119"/>
      <x:c r="R223" s="119"/>
      <x:c r="S223" s="119"/>
      <x:c r="T223" s="119"/>
      <x:c r="U223" s="119"/>
      <x:c r="V223" s="119"/>
      <x:c r="W223" s="119"/>
      <x:c r="X223" s="119"/>
      <x:c r="Y223" s="133" t="str">
        <x:f>IF(K223&lt;&gt;"Yes","",IFERROR(AVERAGE(M223:X223),""))</x:f>
      </x:c>
      <x:c r="Z223" s="119"/>
    </x:row>
    <x:row r="224">
      <x:c r="A224" s="119"/>
      <x:c r="B224" s="119"/>
      <x:c r="C224" s="119"/>
      <x:c r="D224" s="119"/>
      <x:c r="E224" s="119"/>
      <x:c r="F224" s="119"/>
      <x:c r="G224" s="119"/>
      <x:c r="H224" s="130" t="str">
        <x:f>IF(A224="","",IF(AND(COUNTA(M224:X224)&gt;=SETUP!$B$10,COUNTIF(M224:X224,MAX(M224:X224))=COUNTA(M224:X224)),"Yes","No"))</x:f>
      </x:c>
      <x:c r="I224" s="130" t="str">
        <x:f>IF(A224="","",IF('SURVEY DESIGN'!C224&lt;&gt;"",--(M224=""),0)+IF('SURVEY DESIGN'!C225&lt;&gt;"",--(N224=""),0)+IF('SURVEY DESIGN'!C226&lt;&gt;"",--(O224=""),0)+IF('SURVEY DESIGN'!C227&lt;&gt;"",--(P224=""),0)+IF('SURVEY DESIGN'!C228&lt;&gt;"",--(Q224=""),0)+IF('SURVEY DESIGN'!C229&lt;&gt;"",--(R224=""),0)+IF('SURVEY DESIGN'!C230&lt;&gt;"",--(S224=""),0)+IF('SURVEY DESIGN'!C231&lt;&gt;"",--(T224=""),0)+IF('SURVEY DESIGN'!C232&lt;&gt;"",--(U224=""),0)+IF('SURVEY DESIGN'!C233&lt;&gt;"",--(V224=""),0)+IF('SURVEY DESIGN'!C234&lt;&gt;"",--(W224=""),0)+IF('SURVEY DESIGN'!C235&lt;&gt;"",--(X224=""),0))</x:f>
      </x:c>
      <x:c r="J224" s="130" t="str">
        <x:f>IF(A224="","",IF(C224&lt;&gt;"Yes","NO CONSENT",IF(F224&lt;SETUP!$B$9,"SPEEDING",IF(G224&lt;&gt;"Yes","ATTENTION CHECK",IF(H224="Yes","STRAIGHTLINE REVIEW",IF(I224&gt;0,"MISSING ITEMS","OK"))))))</x:f>
      </x:c>
      <x:c r="K224" s="130" t="str">
        <x:f>IF(A224="","",IF(J224="OK","Yes","No"))</x:f>
      </x:c>
      <x:c r="L224" s="130" t="str">
        <x:f>IF(A224="","",IF(J224="OK","",IF(J224="NO CONSENT","Consent not affirmed",IF(J224="SPEEDING","Completion time below threshold",IF(J224="ATTENTION CHECK","Attention check failed",IF(J224="STRAIGHTLINE REVIEW","Straightlining review threshold met","Missing scored item(s)"))))))</x:f>
      </x:c>
      <x:c r="M224" s="119"/>
      <x:c r="N224" s="119"/>
      <x:c r="O224" s="119"/>
      <x:c r="P224" s="119"/>
      <x:c r="Q224" s="119"/>
      <x:c r="R224" s="119"/>
      <x:c r="S224" s="119"/>
      <x:c r="T224" s="119"/>
      <x:c r="U224" s="119"/>
      <x:c r="V224" s="119"/>
      <x:c r="W224" s="119"/>
      <x:c r="X224" s="119"/>
      <x:c r="Y224" s="133" t="str">
        <x:f>IF(K224&lt;&gt;"Yes","",IFERROR(AVERAGE(M224:X224),""))</x:f>
      </x:c>
      <x:c r="Z224" s="119"/>
    </x:row>
    <x:row r="225">
      <x:c r="A225" s="119"/>
      <x:c r="B225" s="119"/>
      <x:c r="C225" s="119"/>
      <x:c r="D225" s="119"/>
      <x:c r="E225" s="119"/>
      <x:c r="F225" s="119"/>
      <x:c r="G225" s="119"/>
      <x:c r="H225" s="130" t="str">
        <x:f>IF(A225="","",IF(AND(COUNTA(M225:X225)&gt;=SETUP!$B$10,COUNTIF(M225:X225,MAX(M225:X225))=COUNTA(M225:X225)),"Yes","No"))</x:f>
      </x:c>
      <x:c r="I225" s="130" t="str">
        <x:f>IF(A225="","",IF('SURVEY DESIGN'!C225&lt;&gt;"",--(M225=""),0)+IF('SURVEY DESIGN'!C226&lt;&gt;"",--(N225=""),0)+IF('SURVEY DESIGN'!C227&lt;&gt;"",--(O225=""),0)+IF('SURVEY DESIGN'!C228&lt;&gt;"",--(P225=""),0)+IF('SURVEY DESIGN'!C229&lt;&gt;"",--(Q225=""),0)+IF('SURVEY DESIGN'!C230&lt;&gt;"",--(R225=""),0)+IF('SURVEY DESIGN'!C231&lt;&gt;"",--(S225=""),0)+IF('SURVEY DESIGN'!C232&lt;&gt;"",--(T225=""),0)+IF('SURVEY DESIGN'!C233&lt;&gt;"",--(U225=""),0)+IF('SURVEY DESIGN'!C234&lt;&gt;"",--(V225=""),0)+IF('SURVEY DESIGN'!C235&lt;&gt;"",--(W225=""),0)+IF('SURVEY DESIGN'!C236&lt;&gt;"",--(X225=""),0))</x:f>
      </x:c>
      <x:c r="J225" s="130" t="str">
        <x:f>IF(A225="","",IF(C225&lt;&gt;"Yes","NO CONSENT",IF(F225&lt;SETUP!$B$9,"SPEEDING",IF(G225&lt;&gt;"Yes","ATTENTION CHECK",IF(H225="Yes","STRAIGHTLINE REVIEW",IF(I225&gt;0,"MISSING ITEMS","OK"))))))</x:f>
      </x:c>
      <x:c r="K225" s="130" t="str">
        <x:f>IF(A225="","",IF(J225="OK","Yes","No"))</x:f>
      </x:c>
      <x:c r="L225" s="130" t="str">
        <x:f>IF(A225="","",IF(J225="OK","",IF(J225="NO CONSENT","Consent not affirmed",IF(J225="SPEEDING","Completion time below threshold",IF(J225="ATTENTION CHECK","Attention check failed",IF(J225="STRAIGHTLINE REVIEW","Straightlining review threshold met","Missing scored item(s)"))))))</x:f>
      </x:c>
      <x:c r="M225" s="119"/>
      <x:c r="N225" s="119"/>
      <x:c r="O225" s="119"/>
      <x:c r="P225" s="119"/>
      <x:c r="Q225" s="119"/>
      <x:c r="R225" s="119"/>
      <x:c r="S225" s="119"/>
      <x:c r="T225" s="119"/>
      <x:c r="U225" s="119"/>
      <x:c r="V225" s="119"/>
      <x:c r="W225" s="119"/>
      <x:c r="X225" s="119"/>
      <x:c r="Y225" s="133" t="str">
        <x:f>IF(K225&lt;&gt;"Yes","",IFERROR(AVERAGE(M225:X225),""))</x:f>
      </x:c>
      <x:c r="Z225" s="119"/>
    </x:row>
    <x:row r="226">
      <x:c r="A226" s="119"/>
      <x:c r="B226" s="119"/>
      <x:c r="C226" s="119"/>
      <x:c r="D226" s="119"/>
      <x:c r="E226" s="119"/>
      <x:c r="F226" s="119"/>
      <x:c r="G226" s="119"/>
      <x:c r="H226" s="130" t="str">
        <x:f>IF(A226="","",IF(AND(COUNTA(M226:X226)&gt;=SETUP!$B$10,COUNTIF(M226:X226,MAX(M226:X226))=COUNTA(M226:X226)),"Yes","No"))</x:f>
      </x:c>
      <x:c r="I226" s="130" t="str">
        <x:f>IF(A226="","",IF('SURVEY DESIGN'!C226&lt;&gt;"",--(M226=""),0)+IF('SURVEY DESIGN'!C227&lt;&gt;"",--(N226=""),0)+IF('SURVEY DESIGN'!C228&lt;&gt;"",--(O226=""),0)+IF('SURVEY DESIGN'!C229&lt;&gt;"",--(P226=""),0)+IF('SURVEY DESIGN'!C230&lt;&gt;"",--(Q226=""),0)+IF('SURVEY DESIGN'!C231&lt;&gt;"",--(R226=""),0)+IF('SURVEY DESIGN'!C232&lt;&gt;"",--(S226=""),0)+IF('SURVEY DESIGN'!C233&lt;&gt;"",--(T226=""),0)+IF('SURVEY DESIGN'!C234&lt;&gt;"",--(U226=""),0)+IF('SURVEY DESIGN'!C235&lt;&gt;"",--(V226=""),0)+IF('SURVEY DESIGN'!C236&lt;&gt;"",--(W226=""),0)+IF('SURVEY DESIGN'!C237&lt;&gt;"",--(X226=""),0))</x:f>
      </x:c>
      <x:c r="J226" s="130" t="str">
        <x:f>IF(A226="","",IF(C226&lt;&gt;"Yes","NO CONSENT",IF(F226&lt;SETUP!$B$9,"SPEEDING",IF(G226&lt;&gt;"Yes","ATTENTION CHECK",IF(H226="Yes","STRAIGHTLINE REVIEW",IF(I226&gt;0,"MISSING ITEMS","OK"))))))</x:f>
      </x:c>
      <x:c r="K226" s="130" t="str">
        <x:f>IF(A226="","",IF(J226="OK","Yes","No"))</x:f>
      </x:c>
      <x:c r="L226" s="130" t="str">
        <x:f>IF(A226="","",IF(J226="OK","",IF(J226="NO CONSENT","Consent not affirmed",IF(J226="SPEEDING","Completion time below threshold",IF(J226="ATTENTION CHECK","Attention check failed",IF(J226="STRAIGHTLINE REVIEW","Straightlining review threshold met","Missing scored item(s)"))))))</x:f>
      </x:c>
      <x:c r="M226" s="119"/>
      <x:c r="N226" s="119"/>
      <x:c r="O226" s="119"/>
      <x:c r="P226" s="119"/>
      <x:c r="Q226" s="119"/>
      <x:c r="R226" s="119"/>
      <x:c r="S226" s="119"/>
      <x:c r="T226" s="119"/>
      <x:c r="U226" s="119"/>
      <x:c r="V226" s="119"/>
      <x:c r="W226" s="119"/>
      <x:c r="X226" s="119"/>
      <x:c r="Y226" s="133" t="str">
        <x:f>IF(K226&lt;&gt;"Yes","",IFERROR(AVERAGE(M226:X226),""))</x:f>
      </x:c>
      <x:c r="Z226" s="119"/>
    </x:row>
    <x:row r="227">
      <x:c r="A227" s="119"/>
      <x:c r="B227" s="119"/>
      <x:c r="C227" s="119"/>
      <x:c r="D227" s="119"/>
      <x:c r="E227" s="119"/>
      <x:c r="F227" s="119"/>
      <x:c r="G227" s="119"/>
      <x:c r="H227" s="130" t="str">
        <x:f>IF(A227="","",IF(AND(COUNTA(M227:X227)&gt;=SETUP!$B$10,COUNTIF(M227:X227,MAX(M227:X227))=COUNTA(M227:X227)),"Yes","No"))</x:f>
      </x:c>
      <x:c r="I227" s="130" t="str">
        <x:f>IF(A227="","",IF('SURVEY DESIGN'!C227&lt;&gt;"",--(M227=""),0)+IF('SURVEY DESIGN'!C228&lt;&gt;"",--(N227=""),0)+IF('SURVEY DESIGN'!C229&lt;&gt;"",--(O227=""),0)+IF('SURVEY DESIGN'!C230&lt;&gt;"",--(P227=""),0)+IF('SURVEY DESIGN'!C231&lt;&gt;"",--(Q227=""),0)+IF('SURVEY DESIGN'!C232&lt;&gt;"",--(R227=""),0)+IF('SURVEY DESIGN'!C233&lt;&gt;"",--(S227=""),0)+IF('SURVEY DESIGN'!C234&lt;&gt;"",--(T227=""),0)+IF('SURVEY DESIGN'!C235&lt;&gt;"",--(U227=""),0)+IF('SURVEY DESIGN'!C236&lt;&gt;"",--(V227=""),0)+IF('SURVEY DESIGN'!C237&lt;&gt;"",--(W227=""),0)+IF('SURVEY DESIGN'!C238&lt;&gt;"",--(X227=""),0))</x:f>
      </x:c>
      <x:c r="J227" s="130" t="str">
        <x:f>IF(A227="","",IF(C227&lt;&gt;"Yes","NO CONSENT",IF(F227&lt;SETUP!$B$9,"SPEEDING",IF(G227&lt;&gt;"Yes","ATTENTION CHECK",IF(H227="Yes","STRAIGHTLINE REVIEW",IF(I227&gt;0,"MISSING ITEMS","OK"))))))</x:f>
      </x:c>
      <x:c r="K227" s="130" t="str">
        <x:f>IF(A227="","",IF(J227="OK","Yes","No"))</x:f>
      </x:c>
      <x:c r="L227" s="130" t="str">
        <x:f>IF(A227="","",IF(J227="OK","",IF(J227="NO CONSENT","Consent not affirmed",IF(J227="SPEEDING","Completion time below threshold",IF(J227="ATTENTION CHECK","Attention check failed",IF(J227="STRAIGHTLINE REVIEW","Straightlining review threshold met","Missing scored item(s)"))))))</x:f>
      </x:c>
      <x:c r="M227" s="119"/>
      <x:c r="N227" s="119"/>
      <x:c r="O227" s="119"/>
      <x:c r="P227" s="119"/>
      <x:c r="Q227" s="119"/>
      <x:c r="R227" s="119"/>
      <x:c r="S227" s="119"/>
      <x:c r="T227" s="119"/>
      <x:c r="U227" s="119"/>
      <x:c r="V227" s="119"/>
      <x:c r="W227" s="119"/>
      <x:c r="X227" s="119"/>
      <x:c r="Y227" s="133" t="str">
        <x:f>IF(K227&lt;&gt;"Yes","",IFERROR(AVERAGE(M227:X227),""))</x:f>
      </x:c>
      <x:c r="Z227" s="119"/>
    </x:row>
    <x:row r="228">
      <x:c r="A228" s="119"/>
      <x:c r="B228" s="119"/>
      <x:c r="C228" s="119"/>
      <x:c r="D228" s="119"/>
      <x:c r="E228" s="119"/>
      <x:c r="F228" s="119"/>
      <x:c r="G228" s="119"/>
      <x:c r="H228" s="130" t="str">
        <x:f>IF(A228="","",IF(AND(COUNTA(M228:X228)&gt;=SETUP!$B$10,COUNTIF(M228:X228,MAX(M228:X228))=COUNTA(M228:X228)),"Yes","No"))</x:f>
      </x:c>
      <x:c r="I228" s="130" t="str">
        <x:f>IF(A228="","",IF('SURVEY DESIGN'!C228&lt;&gt;"",--(M228=""),0)+IF('SURVEY DESIGN'!C229&lt;&gt;"",--(N228=""),0)+IF('SURVEY DESIGN'!C230&lt;&gt;"",--(O228=""),0)+IF('SURVEY DESIGN'!C231&lt;&gt;"",--(P228=""),0)+IF('SURVEY DESIGN'!C232&lt;&gt;"",--(Q228=""),0)+IF('SURVEY DESIGN'!C233&lt;&gt;"",--(R228=""),0)+IF('SURVEY DESIGN'!C234&lt;&gt;"",--(S228=""),0)+IF('SURVEY DESIGN'!C235&lt;&gt;"",--(T228=""),0)+IF('SURVEY DESIGN'!C236&lt;&gt;"",--(U228=""),0)+IF('SURVEY DESIGN'!C237&lt;&gt;"",--(V228=""),0)+IF('SURVEY DESIGN'!C238&lt;&gt;"",--(W228=""),0)+IF('SURVEY DESIGN'!C239&lt;&gt;"",--(X228=""),0))</x:f>
      </x:c>
      <x:c r="J228" s="130" t="str">
        <x:f>IF(A228="","",IF(C228&lt;&gt;"Yes","NO CONSENT",IF(F228&lt;SETUP!$B$9,"SPEEDING",IF(G228&lt;&gt;"Yes","ATTENTION CHECK",IF(H228="Yes","STRAIGHTLINE REVIEW",IF(I228&gt;0,"MISSING ITEMS","OK"))))))</x:f>
      </x:c>
      <x:c r="K228" s="130" t="str">
        <x:f>IF(A228="","",IF(J228="OK","Yes","No"))</x:f>
      </x:c>
      <x:c r="L228" s="130" t="str">
        <x:f>IF(A228="","",IF(J228="OK","",IF(J228="NO CONSENT","Consent not affirmed",IF(J228="SPEEDING","Completion time below threshold",IF(J228="ATTENTION CHECK","Attention check failed",IF(J228="STRAIGHTLINE REVIEW","Straightlining review threshold met","Missing scored item(s)"))))))</x:f>
      </x:c>
      <x:c r="M228" s="119"/>
      <x:c r="N228" s="119"/>
      <x:c r="O228" s="119"/>
      <x:c r="P228" s="119"/>
      <x:c r="Q228" s="119"/>
      <x:c r="R228" s="119"/>
      <x:c r="S228" s="119"/>
      <x:c r="T228" s="119"/>
      <x:c r="U228" s="119"/>
      <x:c r="V228" s="119"/>
      <x:c r="W228" s="119"/>
      <x:c r="X228" s="119"/>
      <x:c r="Y228" s="133" t="str">
        <x:f>IF(K228&lt;&gt;"Yes","",IFERROR(AVERAGE(M228:X228),""))</x:f>
      </x:c>
      <x:c r="Z228" s="119"/>
    </x:row>
    <x:row r="229">
      <x:c r="A229" s="119"/>
      <x:c r="B229" s="119"/>
      <x:c r="C229" s="119"/>
      <x:c r="D229" s="119"/>
      <x:c r="E229" s="119"/>
      <x:c r="F229" s="119"/>
      <x:c r="G229" s="119"/>
      <x:c r="H229" s="130" t="str">
        <x:f>IF(A229="","",IF(AND(COUNTA(M229:X229)&gt;=SETUP!$B$10,COUNTIF(M229:X229,MAX(M229:X229))=COUNTA(M229:X229)),"Yes","No"))</x:f>
      </x:c>
      <x:c r="I229" s="130" t="str">
        <x:f>IF(A229="","",IF('SURVEY DESIGN'!C229&lt;&gt;"",--(M229=""),0)+IF('SURVEY DESIGN'!C230&lt;&gt;"",--(N229=""),0)+IF('SURVEY DESIGN'!C231&lt;&gt;"",--(O229=""),0)+IF('SURVEY DESIGN'!C232&lt;&gt;"",--(P229=""),0)+IF('SURVEY DESIGN'!C233&lt;&gt;"",--(Q229=""),0)+IF('SURVEY DESIGN'!C234&lt;&gt;"",--(R229=""),0)+IF('SURVEY DESIGN'!C235&lt;&gt;"",--(S229=""),0)+IF('SURVEY DESIGN'!C236&lt;&gt;"",--(T229=""),0)+IF('SURVEY DESIGN'!C237&lt;&gt;"",--(U229=""),0)+IF('SURVEY DESIGN'!C238&lt;&gt;"",--(V229=""),0)+IF('SURVEY DESIGN'!C239&lt;&gt;"",--(W229=""),0)+IF('SURVEY DESIGN'!C240&lt;&gt;"",--(X229=""),0))</x:f>
      </x:c>
      <x:c r="J229" s="130" t="str">
        <x:f>IF(A229="","",IF(C229&lt;&gt;"Yes","NO CONSENT",IF(F229&lt;SETUP!$B$9,"SPEEDING",IF(G229&lt;&gt;"Yes","ATTENTION CHECK",IF(H229="Yes","STRAIGHTLINE REVIEW",IF(I229&gt;0,"MISSING ITEMS","OK"))))))</x:f>
      </x:c>
      <x:c r="K229" s="130" t="str">
        <x:f>IF(A229="","",IF(J229="OK","Yes","No"))</x:f>
      </x:c>
      <x:c r="L229" s="130" t="str">
        <x:f>IF(A229="","",IF(J229="OK","",IF(J229="NO CONSENT","Consent not affirmed",IF(J229="SPEEDING","Completion time below threshold",IF(J229="ATTENTION CHECK","Attention check failed",IF(J229="STRAIGHTLINE REVIEW","Straightlining review threshold met","Missing scored item(s)"))))))</x:f>
      </x:c>
      <x:c r="M229" s="119"/>
      <x:c r="N229" s="119"/>
      <x:c r="O229" s="119"/>
      <x:c r="P229" s="119"/>
      <x:c r="Q229" s="119"/>
      <x:c r="R229" s="119"/>
      <x:c r="S229" s="119"/>
      <x:c r="T229" s="119"/>
      <x:c r="U229" s="119"/>
      <x:c r="V229" s="119"/>
      <x:c r="W229" s="119"/>
      <x:c r="X229" s="119"/>
      <x:c r="Y229" s="133" t="str">
        <x:f>IF(K229&lt;&gt;"Yes","",IFERROR(AVERAGE(M229:X229),""))</x:f>
      </x:c>
      <x:c r="Z229" s="119"/>
    </x:row>
    <x:row r="230">
      <x:c r="A230" s="119"/>
      <x:c r="B230" s="119"/>
      <x:c r="C230" s="119"/>
      <x:c r="D230" s="119"/>
      <x:c r="E230" s="119"/>
      <x:c r="F230" s="119"/>
      <x:c r="G230" s="119"/>
      <x:c r="H230" s="130" t="str">
        <x:f>IF(A230="","",IF(AND(COUNTA(M230:X230)&gt;=SETUP!$B$10,COUNTIF(M230:X230,MAX(M230:X230))=COUNTA(M230:X230)),"Yes","No"))</x:f>
      </x:c>
      <x:c r="I230" s="130" t="str">
        <x:f>IF(A230="","",IF('SURVEY DESIGN'!C230&lt;&gt;"",--(M230=""),0)+IF('SURVEY DESIGN'!C231&lt;&gt;"",--(N230=""),0)+IF('SURVEY DESIGN'!C232&lt;&gt;"",--(O230=""),0)+IF('SURVEY DESIGN'!C233&lt;&gt;"",--(P230=""),0)+IF('SURVEY DESIGN'!C234&lt;&gt;"",--(Q230=""),0)+IF('SURVEY DESIGN'!C235&lt;&gt;"",--(R230=""),0)+IF('SURVEY DESIGN'!C236&lt;&gt;"",--(S230=""),0)+IF('SURVEY DESIGN'!C237&lt;&gt;"",--(T230=""),0)+IF('SURVEY DESIGN'!C238&lt;&gt;"",--(U230=""),0)+IF('SURVEY DESIGN'!C239&lt;&gt;"",--(V230=""),0)+IF('SURVEY DESIGN'!C240&lt;&gt;"",--(W230=""),0)+IF('SURVEY DESIGN'!C241&lt;&gt;"",--(X230=""),0))</x:f>
      </x:c>
      <x:c r="J230" s="130" t="str">
        <x:f>IF(A230="","",IF(C230&lt;&gt;"Yes","NO CONSENT",IF(F230&lt;SETUP!$B$9,"SPEEDING",IF(G230&lt;&gt;"Yes","ATTENTION CHECK",IF(H230="Yes","STRAIGHTLINE REVIEW",IF(I230&gt;0,"MISSING ITEMS","OK"))))))</x:f>
      </x:c>
      <x:c r="K230" s="130" t="str">
        <x:f>IF(A230="","",IF(J230="OK","Yes","No"))</x:f>
      </x:c>
      <x:c r="L230" s="130" t="str">
        <x:f>IF(A230="","",IF(J230="OK","",IF(J230="NO CONSENT","Consent not affirmed",IF(J230="SPEEDING","Completion time below threshold",IF(J230="ATTENTION CHECK","Attention check failed",IF(J230="STRAIGHTLINE REVIEW","Straightlining review threshold met","Missing scored item(s)"))))))</x:f>
      </x:c>
      <x:c r="M230" s="119"/>
      <x:c r="N230" s="119"/>
      <x:c r="O230" s="119"/>
      <x:c r="P230" s="119"/>
      <x:c r="Q230" s="119"/>
      <x:c r="R230" s="119"/>
      <x:c r="S230" s="119"/>
      <x:c r="T230" s="119"/>
      <x:c r="U230" s="119"/>
      <x:c r="V230" s="119"/>
      <x:c r="W230" s="119"/>
      <x:c r="X230" s="119"/>
      <x:c r="Y230" s="133" t="str">
        <x:f>IF(K230&lt;&gt;"Yes","",IFERROR(AVERAGE(M230:X230),""))</x:f>
      </x:c>
      <x:c r="Z230" s="119"/>
    </x:row>
    <x:row r="231">
      <x:c r="A231" s="119"/>
      <x:c r="B231" s="119"/>
      <x:c r="C231" s="119"/>
      <x:c r="D231" s="119"/>
      <x:c r="E231" s="119"/>
      <x:c r="F231" s="119"/>
      <x:c r="G231" s="119"/>
      <x:c r="H231" s="130" t="str">
        <x:f>IF(A231="","",IF(AND(COUNTA(M231:X231)&gt;=SETUP!$B$10,COUNTIF(M231:X231,MAX(M231:X231))=COUNTA(M231:X231)),"Yes","No"))</x:f>
      </x:c>
      <x:c r="I231" s="130" t="str">
        <x:f>IF(A231="","",IF('SURVEY DESIGN'!C231&lt;&gt;"",--(M231=""),0)+IF('SURVEY DESIGN'!C232&lt;&gt;"",--(N231=""),0)+IF('SURVEY DESIGN'!C233&lt;&gt;"",--(O231=""),0)+IF('SURVEY DESIGN'!C234&lt;&gt;"",--(P231=""),0)+IF('SURVEY DESIGN'!C235&lt;&gt;"",--(Q231=""),0)+IF('SURVEY DESIGN'!C236&lt;&gt;"",--(R231=""),0)+IF('SURVEY DESIGN'!C237&lt;&gt;"",--(S231=""),0)+IF('SURVEY DESIGN'!C238&lt;&gt;"",--(T231=""),0)+IF('SURVEY DESIGN'!C239&lt;&gt;"",--(U231=""),0)+IF('SURVEY DESIGN'!C240&lt;&gt;"",--(V231=""),0)+IF('SURVEY DESIGN'!C241&lt;&gt;"",--(W231=""),0)+IF('SURVEY DESIGN'!C242&lt;&gt;"",--(X231=""),0))</x:f>
      </x:c>
      <x:c r="J231" s="130" t="str">
        <x:f>IF(A231="","",IF(C231&lt;&gt;"Yes","NO CONSENT",IF(F231&lt;SETUP!$B$9,"SPEEDING",IF(G231&lt;&gt;"Yes","ATTENTION CHECK",IF(H231="Yes","STRAIGHTLINE REVIEW",IF(I231&gt;0,"MISSING ITEMS","OK"))))))</x:f>
      </x:c>
      <x:c r="K231" s="130" t="str">
        <x:f>IF(A231="","",IF(J231="OK","Yes","No"))</x:f>
      </x:c>
      <x:c r="L231" s="130" t="str">
        <x:f>IF(A231="","",IF(J231="OK","",IF(J231="NO CONSENT","Consent not affirmed",IF(J231="SPEEDING","Completion time below threshold",IF(J231="ATTENTION CHECK","Attention check failed",IF(J231="STRAIGHTLINE REVIEW","Straightlining review threshold met","Missing scored item(s)"))))))</x:f>
      </x:c>
      <x:c r="M231" s="119"/>
      <x:c r="N231" s="119"/>
      <x:c r="O231" s="119"/>
      <x:c r="P231" s="119"/>
      <x:c r="Q231" s="119"/>
      <x:c r="R231" s="119"/>
      <x:c r="S231" s="119"/>
      <x:c r="T231" s="119"/>
      <x:c r="U231" s="119"/>
      <x:c r="V231" s="119"/>
      <x:c r="W231" s="119"/>
      <x:c r="X231" s="119"/>
      <x:c r="Y231" s="133" t="str">
        <x:f>IF(K231&lt;&gt;"Yes","",IFERROR(AVERAGE(M231:X231),""))</x:f>
      </x:c>
      <x:c r="Z231" s="119"/>
    </x:row>
    <x:row r="232">
      <x:c r="A232" s="119"/>
      <x:c r="B232" s="119"/>
      <x:c r="C232" s="119"/>
      <x:c r="D232" s="119"/>
      <x:c r="E232" s="119"/>
      <x:c r="F232" s="119"/>
      <x:c r="G232" s="119"/>
      <x:c r="H232" s="130" t="str">
        <x:f>IF(A232="","",IF(AND(COUNTA(M232:X232)&gt;=SETUP!$B$10,COUNTIF(M232:X232,MAX(M232:X232))=COUNTA(M232:X232)),"Yes","No"))</x:f>
      </x:c>
      <x:c r="I232" s="130" t="str">
        <x:f>IF(A232="","",IF('SURVEY DESIGN'!C232&lt;&gt;"",--(M232=""),0)+IF('SURVEY DESIGN'!C233&lt;&gt;"",--(N232=""),0)+IF('SURVEY DESIGN'!C234&lt;&gt;"",--(O232=""),0)+IF('SURVEY DESIGN'!C235&lt;&gt;"",--(P232=""),0)+IF('SURVEY DESIGN'!C236&lt;&gt;"",--(Q232=""),0)+IF('SURVEY DESIGN'!C237&lt;&gt;"",--(R232=""),0)+IF('SURVEY DESIGN'!C238&lt;&gt;"",--(S232=""),0)+IF('SURVEY DESIGN'!C239&lt;&gt;"",--(T232=""),0)+IF('SURVEY DESIGN'!C240&lt;&gt;"",--(U232=""),0)+IF('SURVEY DESIGN'!C241&lt;&gt;"",--(V232=""),0)+IF('SURVEY DESIGN'!C242&lt;&gt;"",--(W232=""),0)+IF('SURVEY DESIGN'!C243&lt;&gt;"",--(X232=""),0))</x:f>
      </x:c>
      <x:c r="J232" s="130" t="str">
        <x:f>IF(A232="","",IF(C232&lt;&gt;"Yes","NO CONSENT",IF(F232&lt;SETUP!$B$9,"SPEEDING",IF(G232&lt;&gt;"Yes","ATTENTION CHECK",IF(H232="Yes","STRAIGHTLINE REVIEW",IF(I232&gt;0,"MISSING ITEMS","OK"))))))</x:f>
      </x:c>
      <x:c r="K232" s="130" t="str">
        <x:f>IF(A232="","",IF(J232="OK","Yes","No"))</x:f>
      </x:c>
      <x:c r="L232" s="130" t="str">
        <x:f>IF(A232="","",IF(J232="OK","",IF(J232="NO CONSENT","Consent not affirmed",IF(J232="SPEEDING","Completion time below threshold",IF(J232="ATTENTION CHECK","Attention check failed",IF(J232="STRAIGHTLINE REVIEW","Straightlining review threshold met","Missing scored item(s)"))))))</x:f>
      </x:c>
      <x:c r="M232" s="119"/>
      <x:c r="N232" s="119"/>
      <x:c r="O232" s="119"/>
      <x:c r="P232" s="119"/>
      <x:c r="Q232" s="119"/>
      <x:c r="R232" s="119"/>
      <x:c r="S232" s="119"/>
      <x:c r="T232" s="119"/>
      <x:c r="U232" s="119"/>
      <x:c r="V232" s="119"/>
      <x:c r="W232" s="119"/>
      <x:c r="X232" s="119"/>
      <x:c r="Y232" s="133" t="str">
        <x:f>IF(K232&lt;&gt;"Yes","",IFERROR(AVERAGE(M232:X232),""))</x:f>
      </x:c>
      <x:c r="Z232" s="119"/>
    </x:row>
    <x:row r="233">
      <x:c r="A233" s="119"/>
      <x:c r="B233" s="119"/>
      <x:c r="C233" s="119"/>
      <x:c r="D233" s="119"/>
      <x:c r="E233" s="119"/>
      <x:c r="F233" s="119"/>
      <x:c r="G233" s="119"/>
      <x:c r="H233" s="130" t="str">
        <x:f>IF(A233="","",IF(AND(COUNTA(M233:X233)&gt;=SETUP!$B$10,COUNTIF(M233:X233,MAX(M233:X233))=COUNTA(M233:X233)),"Yes","No"))</x:f>
      </x:c>
      <x:c r="I233" s="130" t="str">
        <x:f>IF(A233="","",IF('SURVEY DESIGN'!C233&lt;&gt;"",--(M233=""),0)+IF('SURVEY DESIGN'!C234&lt;&gt;"",--(N233=""),0)+IF('SURVEY DESIGN'!C235&lt;&gt;"",--(O233=""),0)+IF('SURVEY DESIGN'!C236&lt;&gt;"",--(P233=""),0)+IF('SURVEY DESIGN'!C237&lt;&gt;"",--(Q233=""),0)+IF('SURVEY DESIGN'!C238&lt;&gt;"",--(R233=""),0)+IF('SURVEY DESIGN'!C239&lt;&gt;"",--(S233=""),0)+IF('SURVEY DESIGN'!C240&lt;&gt;"",--(T233=""),0)+IF('SURVEY DESIGN'!C241&lt;&gt;"",--(U233=""),0)+IF('SURVEY DESIGN'!C242&lt;&gt;"",--(V233=""),0)+IF('SURVEY DESIGN'!C243&lt;&gt;"",--(W233=""),0)+IF('SURVEY DESIGN'!C244&lt;&gt;"",--(X233=""),0))</x:f>
      </x:c>
      <x:c r="J233" s="130" t="str">
        <x:f>IF(A233="","",IF(C233&lt;&gt;"Yes","NO CONSENT",IF(F233&lt;SETUP!$B$9,"SPEEDING",IF(G233&lt;&gt;"Yes","ATTENTION CHECK",IF(H233="Yes","STRAIGHTLINE REVIEW",IF(I233&gt;0,"MISSING ITEMS","OK"))))))</x:f>
      </x:c>
      <x:c r="K233" s="130" t="str">
        <x:f>IF(A233="","",IF(J233="OK","Yes","No"))</x:f>
      </x:c>
      <x:c r="L233" s="130" t="str">
        <x:f>IF(A233="","",IF(J233="OK","",IF(J233="NO CONSENT","Consent not affirmed",IF(J233="SPEEDING","Completion time below threshold",IF(J233="ATTENTION CHECK","Attention check failed",IF(J233="STRAIGHTLINE REVIEW","Straightlining review threshold met","Missing scored item(s)"))))))</x:f>
      </x:c>
      <x:c r="M233" s="119"/>
      <x:c r="N233" s="119"/>
      <x:c r="O233" s="119"/>
      <x:c r="P233" s="119"/>
      <x:c r="Q233" s="119"/>
      <x:c r="R233" s="119"/>
      <x:c r="S233" s="119"/>
      <x:c r="T233" s="119"/>
      <x:c r="U233" s="119"/>
      <x:c r="V233" s="119"/>
      <x:c r="W233" s="119"/>
      <x:c r="X233" s="119"/>
      <x:c r="Y233" s="133" t="str">
        <x:f>IF(K233&lt;&gt;"Yes","",IFERROR(AVERAGE(M233:X233),""))</x:f>
      </x:c>
      <x:c r="Z233" s="119"/>
    </x:row>
    <x:row r="234">
      <x:c r="A234" s="119"/>
      <x:c r="B234" s="119"/>
      <x:c r="C234" s="119"/>
      <x:c r="D234" s="119"/>
      <x:c r="E234" s="119"/>
      <x:c r="F234" s="119"/>
      <x:c r="G234" s="119"/>
      <x:c r="H234" s="130" t="str">
        <x:f>IF(A234="","",IF(AND(COUNTA(M234:X234)&gt;=SETUP!$B$10,COUNTIF(M234:X234,MAX(M234:X234))=COUNTA(M234:X234)),"Yes","No"))</x:f>
      </x:c>
      <x:c r="I234" s="130" t="str">
        <x:f>IF(A234="","",IF('SURVEY DESIGN'!C234&lt;&gt;"",--(M234=""),0)+IF('SURVEY DESIGN'!C235&lt;&gt;"",--(N234=""),0)+IF('SURVEY DESIGN'!C236&lt;&gt;"",--(O234=""),0)+IF('SURVEY DESIGN'!C237&lt;&gt;"",--(P234=""),0)+IF('SURVEY DESIGN'!C238&lt;&gt;"",--(Q234=""),0)+IF('SURVEY DESIGN'!C239&lt;&gt;"",--(R234=""),0)+IF('SURVEY DESIGN'!C240&lt;&gt;"",--(S234=""),0)+IF('SURVEY DESIGN'!C241&lt;&gt;"",--(T234=""),0)+IF('SURVEY DESIGN'!C242&lt;&gt;"",--(U234=""),0)+IF('SURVEY DESIGN'!C243&lt;&gt;"",--(V234=""),0)+IF('SURVEY DESIGN'!C244&lt;&gt;"",--(W234=""),0)+IF('SURVEY DESIGN'!C245&lt;&gt;"",--(X234=""),0))</x:f>
      </x:c>
      <x:c r="J234" s="130" t="str">
        <x:f>IF(A234="","",IF(C234&lt;&gt;"Yes","NO CONSENT",IF(F234&lt;SETUP!$B$9,"SPEEDING",IF(G234&lt;&gt;"Yes","ATTENTION CHECK",IF(H234="Yes","STRAIGHTLINE REVIEW",IF(I234&gt;0,"MISSING ITEMS","OK"))))))</x:f>
      </x:c>
      <x:c r="K234" s="130" t="str">
        <x:f>IF(A234="","",IF(J234="OK","Yes","No"))</x:f>
      </x:c>
      <x:c r="L234" s="130" t="str">
        <x:f>IF(A234="","",IF(J234="OK","",IF(J234="NO CONSENT","Consent not affirmed",IF(J234="SPEEDING","Completion time below threshold",IF(J234="ATTENTION CHECK","Attention check failed",IF(J234="STRAIGHTLINE REVIEW","Straightlining review threshold met","Missing scored item(s)"))))))</x:f>
      </x:c>
      <x:c r="M234" s="119"/>
      <x:c r="N234" s="119"/>
      <x:c r="O234" s="119"/>
      <x:c r="P234" s="119"/>
      <x:c r="Q234" s="119"/>
      <x:c r="R234" s="119"/>
      <x:c r="S234" s="119"/>
      <x:c r="T234" s="119"/>
      <x:c r="U234" s="119"/>
      <x:c r="V234" s="119"/>
      <x:c r="W234" s="119"/>
      <x:c r="X234" s="119"/>
      <x:c r="Y234" s="133" t="str">
        <x:f>IF(K234&lt;&gt;"Yes","",IFERROR(AVERAGE(M234:X234),""))</x:f>
      </x:c>
      <x:c r="Z234" s="119"/>
    </x:row>
    <x:row r="235">
      <x:c r="A235" s="119"/>
      <x:c r="B235" s="119"/>
      <x:c r="C235" s="119"/>
      <x:c r="D235" s="119"/>
      <x:c r="E235" s="119"/>
      <x:c r="F235" s="119"/>
      <x:c r="G235" s="119"/>
      <x:c r="H235" s="130" t="str">
        <x:f>IF(A235="","",IF(AND(COUNTA(M235:X235)&gt;=SETUP!$B$10,COUNTIF(M235:X235,MAX(M235:X235))=COUNTA(M235:X235)),"Yes","No"))</x:f>
      </x:c>
      <x:c r="I235" s="130" t="str">
        <x:f>IF(A235="","",IF('SURVEY DESIGN'!C235&lt;&gt;"",--(M235=""),0)+IF('SURVEY DESIGN'!C236&lt;&gt;"",--(N235=""),0)+IF('SURVEY DESIGN'!C237&lt;&gt;"",--(O235=""),0)+IF('SURVEY DESIGN'!C238&lt;&gt;"",--(P235=""),0)+IF('SURVEY DESIGN'!C239&lt;&gt;"",--(Q235=""),0)+IF('SURVEY DESIGN'!C240&lt;&gt;"",--(R235=""),0)+IF('SURVEY DESIGN'!C241&lt;&gt;"",--(S235=""),0)+IF('SURVEY DESIGN'!C242&lt;&gt;"",--(T235=""),0)+IF('SURVEY DESIGN'!C243&lt;&gt;"",--(U235=""),0)+IF('SURVEY DESIGN'!C244&lt;&gt;"",--(V235=""),0)+IF('SURVEY DESIGN'!C245&lt;&gt;"",--(W235=""),0)+IF('SURVEY DESIGN'!C246&lt;&gt;"",--(X235=""),0))</x:f>
      </x:c>
      <x:c r="J235" s="130" t="str">
        <x:f>IF(A235="","",IF(C235&lt;&gt;"Yes","NO CONSENT",IF(F235&lt;SETUP!$B$9,"SPEEDING",IF(G235&lt;&gt;"Yes","ATTENTION CHECK",IF(H235="Yes","STRAIGHTLINE REVIEW",IF(I235&gt;0,"MISSING ITEMS","OK"))))))</x:f>
      </x:c>
      <x:c r="K235" s="130" t="str">
        <x:f>IF(A235="","",IF(J235="OK","Yes","No"))</x:f>
      </x:c>
      <x:c r="L235" s="130" t="str">
        <x:f>IF(A235="","",IF(J235="OK","",IF(J235="NO CONSENT","Consent not affirmed",IF(J235="SPEEDING","Completion time below threshold",IF(J235="ATTENTION CHECK","Attention check failed",IF(J235="STRAIGHTLINE REVIEW","Straightlining review threshold met","Missing scored item(s)"))))))</x:f>
      </x:c>
      <x:c r="M235" s="119"/>
      <x:c r="N235" s="119"/>
      <x:c r="O235" s="119"/>
      <x:c r="P235" s="119"/>
      <x:c r="Q235" s="119"/>
      <x:c r="R235" s="119"/>
      <x:c r="S235" s="119"/>
      <x:c r="T235" s="119"/>
      <x:c r="U235" s="119"/>
      <x:c r="V235" s="119"/>
      <x:c r="W235" s="119"/>
      <x:c r="X235" s="119"/>
      <x:c r="Y235" s="133" t="str">
        <x:f>IF(K235&lt;&gt;"Yes","",IFERROR(AVERAGE(M235:X235),""))</x:f>
      </x:c>
      <x:c r="Z235" s="119"/>
    </x:row>
    <x:row r="236">
      <x:c r="A236" s="119"/>
      <x:c r="B236" s="119"/>
      <x:c r="C236" s="119"/>
      <x:c r="D236" s="119"/>
      <x:c r="E236" s="119"/>
      <x:c r="F236" s="119"/>
      <x:c r="G236" s="119"/>
      <x:c r="H236" s="130" t="str">
        <x:f>IF(A236="","",IF(AND(COUNTA(M236:X236)&gt;=SETUP!$B$10,COUNTIF(M236:X236,MAX(M236:X236))=COUNTA(M236:X236)),"Yes","No"))</x:f>
      </x:c>
      <x:c r="I236" s="130" t="str">
        <x:f>IF(A236="","",IF('SURVEY DESIGN'!C236&lt;&gt;"",--(M236=""),0)+IF('SURVEY DESIGN'!C237&lt;&gt;"",--(N236=""),0)+IF('SURVEY DESIGN'!C238&lt;&gt;"",--(O236=""),0)+IF('SURVEY DESIGN'!C239&lt;&gt;"",--(P236=""),0)+IF('SURVEY DESIGN'!C240&lt;&gt;"",--(Q236=""),0)+IF('SURVEY DESIGN'!C241&lt;&gt;"",--(R236=""),0)+IF('SURVEY DESIGN'!C242&lt;&gt;"",--(S236=""),0)+IF('SURVEY DESIGN'!C243&lt;&gt;"",--(T236=""),0)+IF('SURVEY DESIGN'!C244&lt;&gt;"",--(U236=""),0)+IF('SURVEY DESIGN'!C245&lt;&gt;"",--(V236=""),0)+IF('SURVEY DESIGN'!C246&lt;&gt;"",--(W236=""),0)+IF('SURVEY DESIGN'!C247&lt;&gt;"",--(X236=""),0))</x:f>
      </x:c>
      <x:c r="J236" s="130" t="str">
        <x:f>IF(A236="","",IF(C236&lt;&gt;"Yes","NO CONSENT",IF(F236&lt;SETUP!$B$9,"SPEEDING",IF(G236&lt;&gt;"Yes","ATTENTION CHECK",IF(H236="Yes","STRAIGHTLINE REVIEW",IF(I236&gt;0,"MISSING ITEMS","OK"))))))</x:f>
      </x:c>
      <x:c r="K236" s="130" t="str">
        <x:f>IF(A236="","",IF(J236="OK","Yes","No"))</x:f>
      </x:c>
      <x:c r="L236" s="130" t="str">
        <x:f>IF(A236="","",IF(J236="OK","",IF(J236="NO CONSENT","Consent not affirmed",IF(J236="SPEEDING","Completion time below threshold",IF(J236="ATTENTION CHECK","Attention check failed",IF(J236="STRAIGHTLINE REVIEW","Straightlining review threshold met","Missing scored item(s)"))))))</x:f>
      </x:c>
      <x:c r="M236" s="119"/>
      <x:c r="N236" s="119"/>
      <x:c r="O236" s="119"/>
      <x:c r="P236" s="119"/>
      <x:c r="Q236" s="119"/>
      <x:c r="R236" s="119"/>
      <x:c r="S236" s="119"/>
      <x:c r="T236" s="119"/>
      <x:c r="U236" s="119"/>
      <x:c r="V236" s="119"/>
      <x:c r="W236" s="119"/>
      <x:c r="X236" s="119"/>
      <x:c r="Y236" s="133" t="str">
        <x:f>IF(K236&lt;&gt;"Yes","",IFERROR(AVERAGE(M236:X236),""))</x:f>
      </x:c>
      <x:c r="Z236" s="119"/>
    </x:row>
    <x:row r="237">
      <x:c r="A237" s="119"/>
      <x:c r="B237" s="119"/>
      <x:c r="C237" s="119"/>
      <x:c r="D237" s="119"/>
      <x:c r="E237" s="119"/>
      <x:c r="F237" s="119"/>
      <x:c r="G237" s="119"/>
      <x:c r="H237" s="130" t="str">
        <x:f>IF(A237="","",IF(AND(COUNTA(M237:X237)&gt;=SETUP!$B$10,COUNTIF(M237:X237,MAX(M237:X237))=COUNTA(M237:X237)),"Yes","No"))</x:f>
      </x:c>
      <x:c r="I237" s="130" t="str">
        <x:f>IF(A237="","",IF('SURVEY DESIGN'!C237&lt;&gt;"",--(M237=""),0)+IF('SURVEY DESIGN'!C238&lt;&gt;"",--(N237=""),0)+IF('SURVEY DESIGN'!C239&lt;&gt;"",--(O237=""),0)+IF('SURVEY DESIGN'!C240&lt;&gt;"",--(P237=""),0)+IF('SURVEY DESIGN'!C241&lt;&gt;"",--(Q237=""),0)+IF('SURVEY DESIGN'!C242&lt;&gt;"",--(R237=""),0)+IF('SURVEY DESIGN'!C243&lt;&gt;"",--(S237=""),0)+IF('SURVEY DESIGN'!C244&lt;&gt;"",--(T237=""),0)+IF('SURVEY DESIGN'!C245&lt;&gt;"",--(U237=""),0)+IF('SURVEY DESIGN'!C246&lt;&gt;"",--(V237=""),0)+IF('SURVEY DESIGN'!C247&lt;&gt;"",--(W237=""),0)+IF('SURVEY DESIGN'!C248&lt;&gt;"",--(X237=""),0))</x:f>
      </x:c>
      <x:c r="J237" s="130" t="str">
        <x:f>IF(A237="","",IF(C237&lt;&gt;"Yes","NO CONSENT",IF(F237&lt;SETUP!$B$9,"SPEEDING",IF(G237&lt;&gt;"Yes","ATTENTION CHECK",IF(H237="Yes","STRAIGHTLINE REVIEW",IF(I237&gt;0,"MISSING ITEMS","OK"))))))</x:f>
      </x:c>
      <x:c r="K237" s="130" t="str">
        <x:f>IF(A237="","",IF(J237="OK","Yes","No"))</x:f>
      </x:c>
      <x:c r="L237" s="130" t="str">
        <x:f>IF(A237="","",IF(J237="OK","",IF(J237="NO CONSENT","Consent not affirmed",IF(J237="SPEEDING","Completion time below threshold",IF(J237="ATTENTION CHECK","Attention check failed",IF(J237="STRAIGHTLINE REVIEW","Straightlining review threshold met","Missing scored item(s)"))))))</x:f>
      </x:c>
      <x:c r="M237" s="119"/>
      <x:c r="N237" s="119"/>
      <x:c r="O237" s="119"/>
      <x:c r="P237" s="119"/>
      <x:c r="Q237" s="119"/>
      <x:c r="R237" s="119"/>
      <x:c r="S237" s="119"/>
      <x:c r="T237" s="119"/>
      <x:c r="U237" s="119"/>
      <x:c r="V237" s="119"/>
      <x:c r="W237" s="119"/>
      <x:c r="X237" s="119"/>
      <x:c r="Y237" s="133" t="str">
        <x:f>IF(K237&lt;&gt;"Yes","",IFERROR(AVERAGE(M237:X237),""))</x:f>
      </x:c>
      <x:c r="Z237" s="119"/>
    </x:row>
    <x:row r="238">
      <x:c r="A238" s="119"/>
      <x:c r="B238" s="119"/>
      <x:c r="C238" s="119"/>
      <x:c r="D238" s="119"/>
      <x:c r="E238" s="119"/>
      <x:c r="F238" s="119"/>
      <x:c r="G238" s="119"/>
      <x:c r="H238" s="130" t="str">
        <x:f>IF(A238="","",IF(AND(COUNTA(M238:X238)&gt;=SETUP!$B$10,COUNTIF(M238:X238,MAX(M238:X238))=COUNTA(M238:X238)),"Yes","No"))</x:f>
      </x:c>
      <x:c r="I238" s="130" t="str">
        <x:f>IF(A238="","",IF('SURVEY DESIGN'!C238&lt;&gt;"",--(M238=""),0)+IF('SURVEY DESIGN'!C239&lt;&gt;"",--(N238=""),0)+IF('SURVEY DESIGN'!C240&lt;&gt;"",--(O238=""),0)+IF('SURVEY DESIGN'!C241&lt;&gt;"",--(P238=""),0)+IF('SURVEY DESIGN'!C242&lt;&gt;"",--(Q238=""),0)+IF('SURVEY DESIGN'!C243&lt;&gt;"",--(R238=""),0)+IF('SURVEY DESIGN'!C244&lt;&gt;"",--(S238=""),0)+IF('SURVEY DESIGN'!C245&lt;&gt;"",--(T238=""),0)+IF('SURVEY DESIGN'!C246&lt;&gt;"",--(U238=""),0)+IF('SURVEY DESIGN'!C247&lt;&gt;"",--(V238=""),0)+IF('SURVEY DESIGN'!C248&lt;&gt;"",--(W238=""),0)+IF('SURVEY DESIGN'!C249&lt;&gt;"",--(X238=""),0))</x:f>
      </x:c>
      <x:c r="J238" s="130" t="str">
        <x:f>IF(A238="","",IF(C238&lt;&gt;"Yes","NO CONSENT",IF(F238&lt;SETUP!$B$9,"SPEEDING",IF(G238&lt;&gt;"Yes","ATTENTION CHECK",IF(H238="Yes","STRAIGHTLINE REVIEW",IF(I238&gt;0,"MISSING ITEMS","OK"))))))</x:f>
      </x:c>
      <x:c r="K238" s="130" t="str">
        <x:f>IF(A238="","",IF(J238="OK","Yes","No"))</x:f>
      </x:c>
      <x:c r="L238" s="130" t="str">
        <x:f>IF(A238="","",IF(J238="OK","",IF(J238="NO CONSENT","Consent not affirmed",IF(J238="SPEEDING","Completion time below threshold",IF(J238="ATTENTION CHECK","Attention check failed",IF(J238="STRAIGHTLINE REVIEW","Straightlining review threshold met","Missing scored item(s)"))))))</x:f>
      </x:c>
      <x:c r="M238" s="119"/>
      <x:c r="N238" s="119"/>
      <x:c r="O238" s="119"/>
      <x:c r="P238" s="119"/>
      <x:c r="Q238" s="119"/>
      <x:c r="R238" s="119"/>
      <x:c r="S238" s="119"/>
      <x:c r="T238" s="119"/>
      <x:c r="U238" s="119"/>
      <x:c r="V238" s="119"/>
      <x:c r="W238" s="119"/>
      <x:c r="X238" s="119"/>
      <x:c r="Y238" s="133" t="str">
        <x:f>IF(K238&lt;&gt;"Yes","",IFERROR(AVERAGE(M238:X238),""))</x:f>
      </x:c>
      <x:c r="Z238" s="119"/>
    </x:row>
    <x:row r="239">
      <x:c r="A239" s="119"/>
      <x:c r="B239" s="119"/>
      <x:c r="C239" s="119"/>
      <x:c r="D239" s="119"/>
      <x:c r="E239" s="119"/>
      <x:c r="F239" s="119"/>
      <x:c r="G239" s="119"/>
      <x:c r="H239" s="130" t="str">
        <x:f>IF(A239="","",IF(AND(COUNTA(M239:X239)&gt;=SETUP!$B$10,COUNTIF(M239:X239,MAX(M239:X239))=COUNTA(M239:X239)),"Yes","No"))</x:f>
      </x:c>
      <x:c r="I239" s="130" t="str">
        <x:f>IF(A239="","",IF('SURVEY DESIGN'!C239&lt;&gt;"",--(M239=""),0)+IF('SURVEY DESIGN'!C240&lt;&gt;"",--(N239=""),0)+IF('SURVEY DESIGN'!C241&lt;&gt;"",--(O239=""),0)+IF('SURVEY DESIGN'!C242&lt;&gt;"",--(P239=""),0)+IF('SURVEY DESIGN'!C243&lt;&gt;"",--(Q239=""),0)+IF('SURVEY DESIGN'!C244&lt;&gt;"",--(R239=""),0)+IF('SURVEY DESIGN'!C245&lt;&gt;"",--(S239=""),0)+IF('SURVEY DESIGN'!C246&lt;&gt;"",--(T239=""),0)+IF('SURVEY DESIGN'!C247&lt;&gt;"",--(U239=""),0)+IF('SURVEY DESIGN'!C248&lt;&gt;"",--(V239=""),0)+IF('SURVEY DESIGN'!C249&lt;&gt;"",--(W239=""),0)+IF('SURVEY DESIGN'!C250&lt;&gt;"",--(X239=""),0))</x:f>
      </x:c>
      <x:c r="J239" s="130" t="str">
        <x:f>IF(A239="","",IF(C239&lt;&gt;"Yes","NO CONSENT",IF(F239&lt;SETUP!$B$9,"SPEEDING",IF(G239&lt;&gt;"Yes","ATTENTION CHECK",IF(H239="Yes","STRAIGHTLINE REVIEW",IF(I239&gt;0,"MISSING ITEMS","OK"))))))</x:f>
      </x:c>
      <x:c r="K239" s="130" t="str">
        <x:f>IF(A239="","",IF(J239="OK","Yes","No"))</x:f>
      </x:c>
      <x:c r="L239" s="130" t="str">
        <x:f>IF(A239="","",IF(J239="OK","",IF(J239="NO CONSENT","Consent not affirmed",IF(J239="SPEEDING","Completion time below threshold",IF(J239="ATTENTION CHECK","Attention check failed",IF(J239="STRAIGHTLINE REVIEW","Straightlining review threshold met","Missing scored item(s)"))))))</x:f>
      </x:c>
      <x:c r="M239" s="119"/>
      <x:c r="N239" s="119"/>
      <x:c r="O239" s="119"/>
      <x:c r="P239" s="119"/>
      <x:c r="Q239" s="119"/>
      <x:c r="R239" s="119"/>
      <x:c r="S239" s="119"/>
      <x:c r="T239" s="119"/>
      <x:c r="U239" s="119"/>
      <x:c r="V239" s="119"/>
      <x:c r="W239" s="119"/>
      <x:c r="X239" s="119"/>
      <x:c r="Y239" s="133" t="str">
        <x:f>IF(K239&lt;&gt;"Yes","",IFERROR(AVERAGE(M239:X239),""))</x:f>
      </x:c>
      <x:c r="Z239" s="119"/>
    </x:row>
    <x:row r="240">
      <x:c r="A240" s="119"/>
      <x:c r="B240" s="119"/>
      <x:c r="C240" s="119"/>
      <x:c r="D240" s="119"/>
      <x:c r="E240" s="119"/>
      <x:c r="F240" s="119"/>
      <x:c r="G240" s="119"/>
      <x:c r="H240" s="130" t="str">
        <x:f>IF(A240="","",IF(AND(COUNTA(M240:X240)&gt;=SETUP!$B$10,COUNTIF(M240:X240,MAX(M240:X240))=COUNTA(M240:X240)),"Yes","No"))</x:f>
      </x:c>
      <x:c r="I240" s="130" t="str">
        <x:f>IF(A240="","",IF('SURVEY DESIGN'!C240&lt;&gt;"",--(M240=""),0)+IF('SURVEY DESIGN'!C241&lt;&gt;"",--(N240=""),0)+IF('SURVEY DESIGN'!C242&lt;&gt;"",--(O240=""),0)+IF('SURVEY DESIGN'!C243&lt;&gt;"",--(P240=""),0)+IF('SURVEY DESIGN'!C244&lt;&gt;"",--(Q240=""),0)+IF('SURVEY DESIGN'!C245&lt;&gt;"",--(R240=""),0)+IF('SURVEY DESIGN'!C246&lt;&gt;"",--(S240=""),0)+IF('SURVEY DESIGN'!C247&lt;&gt;"",--(T240=""),0)+IF('SURVEY DESIGN'!C248&lt;&gt;"",--(U240=""),0)+IF('SURVEY DESIGN'!C249&lt;&gt;"",--(V240=""),0)+IF('SURVEY DESIGN'!C250&lt;&gt;"",--(W240=""),0)+IF('SURVEY DESIGN'!C251&lt;&gt;"",--(X240=""),0))</x:f>
      </x:c>
      <x:c r="J240" s="130" t="str">
        <x:f>IF(A240="","",IF(C240&lt;&gt;"Yes","NO CONSENT",IF(F240&lt;SETUP!$B$9,"SPEEDING",IF(G240&lt;&gt;"Yes","ATTENTION CHECK",IF(H240="Yes","STRAIGHTLINE REVIEW",IF(I240&gt;0,"MISSING ITEMS","OK"))))))</x:f>
      </x:c>
      <x:c r="K240" s="130" t="str">
        <x:f>IF(A240="","",IF(J240="OK","Yes","No"))</x:f>
      </x:c>
      <x:c r="L240" s="130" t="str">
        <x:f>IF(A240="","",IF(J240="OK","",IF(J240="NO CONSENT","Consent not affirmed",IF(J240="SPEEDING","Completion time below threshold",IF(J240="ATTENTION CHECK","Attention check failed",IF(J240="STRAIGHTLINE REVIEW","Straightlining review threshold met","Missing scored item(s)"))))))</x:f>
      </x:c>
      <x:c r="M240" s="119"/>
      <x:c r="N240" s="119"/>
      <x:c r="O240" s="119"/>
      <x:c r="P240" s="119"/>
      <x:c r="Q240" s="119"/>
      <x:c r="R240" s="119"/>
      <x:c r="S240" s="119"/>
      <x:c r="T240" s="119"/>
      <x:c r="U240" s="119"/>
      <x:c r="V240" s="119"/>
      <x:c r="W240" s="119"/>
      <x:c r="X240" s="119"/>
      <x:c r="Y240" s="133" t="str">
        <x:f>IF(K240&lt;&gt;"Yes","",IFERROR(AVERAGE(M240:X240),""))</x:f>
      </x:c>
      <x:c r="Z240" s="119"/>
    </x:row>
    <x:row r="241">
      <x:c r="A241" s="119"/>
      <x:c r="B241" s="119"/>
      <x:c r="C241" s="119"/>
      <x:c r="D241" s="119"/>
      <x:c r="E241" s="119"/>
      <x:c r="F241" s="119"/>
      <x:c r="G241" s="119"/>
      <x:c r="H241" s="130" t="str">
        <x:f>IF(A241="","",IF(AND(COUNTA(M241:X241)&gt;=SETUP!$B$10,COUNTIF(M241:X241,MAX(M241:X241))=COUNTA(M241:X241)),"Yes","No"))</x:f>
      </x:c>
      <x:c r="I241" s="130" t="str">
        <x:f>IF(A241="","",IF('SURVEY DESIGN'!C241&lt;&gt;"",--(M241=""),0)+IF('SURVEY DESIGN'!C242&lt;&gt;"",--(N241=""),0)+IF('SURVEY DESIGN'!C243&lt;&gt;"",--(O241=""),0)+IF('SURVEY DESIGN'!C244&lt;&gt;"",--(P241=""),0)+IF('SURVEY DESIGN'!C245&lt;&gt;"",--(Q241=""),0)+IF('SURVEY DESIGN'!C246&lt;&gt;"",--(R241=""),0)+IF('SURVEY DESIGN'!C247&lt;&gt;"",--(S241=""),0)+IF('SURVEY DESIGN'!C248&lt;&gt;"",--(T241=""),0)+IF('SURVEY DESIGN'!C249&lt;&gt;"",--(U241=""),0)+IF('SURVEY DESIGN'!C250&lt;&gt;"",--(V241=""),0)+IF('SURVEY DESIGN'!C251&lt;&gt;"",--(W241=""),0)+IF('SURVEY DESIGN'!C252&lt;&gt;"",--(X241=""),0))</x:f>
      </x:c>
      <x:c r="J241" s="130" t="str">
        <x:f>IF(A241="","",IF(C241&lt;&gt;"Yes","NO CONSENT",IF(F241&lt;SETUP!$B$9,"SPEEDING",IF(G241&lt;&gt;"Yes","ATTENTION CHECK",IF(H241="Yes","STRAIGHTLINE REVIEW",IF(I241&gt;0,"MISSING ITEMS","OK"))))))</x:f>
      </x:c>
      <x:c r="K241" s="130" t="str">
        <x:f>IF(A241="","",IF(J241="OK","Yes","No"))</x:f>
      </x:c>
      <x:c r="L241" s="130" t="str">
        <x:f>IF(A241="","",IF(J241="OK","",IF(J241="NO CONSENT","Consent not affirmed",IF(J241="SPEEDING","Completion time below threshold",IF(J241="ATTENTION CHECK","Attention check failed",IF(J241="STRAIGHTLINE REVIEW","Straightlining review threshold met","Missing scored item(s)"))))))</x:f>
      </x:c>
      <x:c r="M241" s="119"/>
      <x:c r="N241" s="119"/>
      <x:c r="O241" s="119"/>
      <x:c r="P241" s="119"/>
      <x:c r="Q241" s="119"/>
      <x:c r="R241" s="119"/>
      <x:c r="S241" s="119"/>
      <x:c r="T241" s="119"/>
      <x:c r="U241" s="119"/>
      <x:c r="V241" s="119"/>
      <x:c r="W241" s="119"/>
      <x:c r="X241" s="119"/>
      <x:c r="Y241" s="133" t="str">
        <x:f>IF(K241&lt;&gt;"Yes","",IFERROR(AVERAGE(M241:X241),""))</x:f>
      </x:c>
      <x:c r="Z241" s="119"/>
    </x:row>
    <x:row r="242">
      <x:c r="A242" s="119"/>
      <x:c r="B242" s="119"/>
      <x:c r="C242" s="119"/>
      <x:c r="D242" s="119"/>
      <x:c r="E242" s="119"/>
      <x:c r="F242" s="119"/>
      <x:c r="G242" s="119"/>
      <x:c r="H242" s="130" t="str">
        <x:f>IF(A242="","",IF(AND(COUNTA(M242:X242)&gt;=SETUP!$B$10,COUNTIF(M242:X242,MAX(M242:X242))=COUNTA(M242:X242)),"Yes","No"))</x:f>
      </x:c>
      <x:c r="I242" s="130" t="str">
        <x:f>IF(A242="","",IF('SURVEY DESIGN'!C242&lt;&gt;"",--(M242=""),0)+IF('SURVEY DESIGN'!C243&lt;&gt;"",--(N242=""),0)+IF('SURVEY DESIGN'!C244&lt;&gt;"",--(O242=""),0)+IF('SURVEY DESIGN'!C245&lt;&gt;"",--(P242=""),0)+IF('SURVEY DESIGN'!C246&lt;&gt;"",--(Q242=""),0)+IF('SURVEY DESIGN'!C247&lt;&gt;"",--(R242=""),0)+IF('SURVEY DESIGN'!C248&lt;&gt;"",--(S242=""),0)+IF('SURVEY DESIGN'!C249&lt;&gt;"",--(T242=""),0)+IF('SURVEY DESIGN'!C250&lt;&gt;"",--(U242=""),0)+IF('SURVEY DESIGN'!C251&lt;&gt;"",--(V242=""),0)+IF('SURVEY DESIGN'!C252&lt;&gt;"",--(W242=""),0)+IF('SURVEY DESIGN'!C253&lt;&gt;"",--(X242=""),0))</x:f>
      </x:c>
      <x:c r="J242" s="130" t="str">
        <x:f>IF(A242="","",IF(C242&lt;&gt;"Yes","NO CONSENT",IF(F242&lt;SETUP!$B$9,"SPEEDING",IF(G242&lt;&gt;"Yes","ATTENTION CHECK",IF(H242="Yes","STRAIGHTLINE REVIEW",IF(I242&gt;0,"MISSING ITEMS","OK"))))))</x:f>
      </x:c>
      <x:c r="K242" s="130" t="str">
        <x:f>IF(A242="","",IF(J242="OK","Yes","No"))</x:f>
      </x:c>
      <x:c r="L242" s="130" t="str">
        <x:f>IF(A242="","",IF(J242="OK","",IF(J242="NO CONSENT","Consent not affirmed",IF(J242="SPEEDING","Completion time below threshold",IF(J242="ATTENTION CHECK","Attention check failed",IF(J242="STRAIGHTLINE REVIEW","Straightlining review threshold met","Missing scored item(s)"))))))</x:f>
      </x:c>
      <x:c r="M242" s="119"/>
      <x:c r="N242" s="119"/>
      <x:c r="O242" s="119"/>
      <x:c r="P242" s="119"/>
      <x:c r="Q242" s="119"/>
      <x:c r="R242" s="119"/>
      <x:c r="S242" s="119"/>
      <x:c r="T242" s="119"/>
      <x:c r="U242" s="119"/>
      <x:c r="V242" s="119"/>
      <x:c r="W242" s="119"/>
      <x:c r="X242" s="119"/>
      <x:c r="Y242" s="133" t="str">
        <x:f>IF(K242&lt;&gt;"Yes","",IFERROR(AVERAGE(M242:X242),""))</x:f>
      </x:c>
      <x:c r="Z242" s="119"/>
    </x:row>
    <x:row r="243">
      <x:c r="A243" s="119"/>
      <x:c r="B243" s="119"/>
      <x:c r="C243" s="119"/>
      <x:c r="D243" s="119"/>
      <x:c r="E243" s="119"/>
      <x:c r="F243" s="119"/>
      <x:c r="G243" s="119"/>
      <x:c r="H243" s="130" t="str">
        <x:f>IF(A243="","",IF(AND(COUNTA(M243:X243)&gt;=SETUP!$B$10,COUNTIF(M243:X243,MAX(M243:X243))=COUNTA(M243:X243)),"Yes","No"))</x:f>
      </x:c>
      <x:c r="I243" s="130" t="str">
        <x:f>IF(A243="","",IF('SURVEY DESIGN'!C243&lt;&gt;"",--(M243=""),0)+IF('SURVEY DESIGN'!C244&lt;&gt;"",--(N243=""),0)+IF('SURVEY DESIGN'!C245&lt;&gt;"",--(O243=""),0)+IF('SURVEY DESIGN'!C246&lt;&gt;"",--(P243=""),0)+IF('SURVEY DESIGN'!C247&lt;&gt;"",--(Q243=""),0)+IF('SURVEY DESIGN'!C248&lt;&gt;"",--(R243=""),0)+IF('SURVEY DESIGN'!C249&lt;&gt;"",--(S243=""),0)+IF('SURVEY DESIGN'!C250&lt;&gt;"",--(T243=""),0)+IF('SURVEY DESIGN'!C251&lt;&gt;"",--(U243=""),0)+IF('SURVEY DESIGN'!C252&lt;&gt;"",--(V243=""),0)+IF('SURVEY DESIGN'!C253&lt;&gt;"",--(W243=""),0)+IF('SURVEY DESIGN'!C254&lt;&gt;"",--(X243=""),0))</x:f>
      </x:c>
      <x:c r="J243" s="130" t="str">
        <x:f>IF(A243="","",IF(C243&lt;&gt;"Yes","NO CONSENT",IF(F243&lt;SETUP!$B$9,"SPEEDING",IF(G243&lt;&gt;"Yes","ATTENTION CHECK",IF(H243="Yes","STRAIGHTLINE REVIEW",IF(I243&gt;0,"MISSING ITEMS","OK"))))))</x:f>
      </x:c>
      <x:c r="K243" s="130" t="str">
        <x:f>IF(A243="","",IF(J243="OK","Yes","No"))</x:f>
      </x:c>
      <x:c r="L243" s="130" t="str">
        <x:f>IF(A243="","",IF(J243="OK","",IF(J243="NO CONSENT","Consent not affirmed",IF(J243="SPEEDING","Completion time below threshold",IF(J243="ATTENTION CHECK","Attention check failed",IF(J243="STRAIGHTLINE REVIEW","Straightlining review threshold met","Missing scored item(s)"))))))</x:f>
      </x:c>
      <x:c r="M243" s="119"/>
      <x:c r="N243" s="119"/>
      <x:c r="O243" s="119"/>
      <x:c r="P243" s="119"/>
      <x:c r="Q243" s="119"/>
      <x:c r="R243" s="119"/>
      <x:c r="S243" s="119"/>
      <x:c r="T243" s="119"/>
      <x:c r="U243" s="119"/>
      <x:c r="V243" s="119"/>
      <x:c r="W243" s="119"/>
      <x:c r="X243" s="119"/>
      <x:c r="Y243" s="133" t="str">
        <x:f>IF(K243&lt;&gt;"Yes","",IFERROR(AVERAGE(M243:X243),""))</x:f>
      </x:c>
      <x:c r="Z243" s="119"/>
    </x:row>
    <x:row r="244">
      <x:c r="A244" s="119"/>
      <x:c r="B244" s="119"/>
      <x:c r="C244" s="119"/>
      <x:c r="D244" s="119"/>
      <x:c r="E244" s="119"/>
      <x:c r="F244" s="119"/>
      <x:c r="G244" s="119"/>
      <x:c r="H244" s="130" t="str">
        <x:f>IF(A244="","",IF(AND(COUNTA(M244:X244)&gt;=SETUP!$B$10,COUNTIF(M244:X244,MAX(M244:X244))=COUNTA(M244:X244)),"Yes","No"))</x:f>
      </x:c>
      <x:c r="I244" s="130" t="str">
        <x:f>IF(A244="","",IF('SURVEY DESIGN'!C244&lt;&gt;"",--(M244=""),0)+IF('SURVEY DESIGN'!C245&lt;&gt;"",--(N244=""),0)+IF('SURVEY DESIGN'!C246&lt;&gt;"",--(O244=""),0)+IF('SURVEY DESIGN'!C247&lt;&gt;"",--(P244=""),0)+IF('SURVEY DESIGN'!C248&lt;&gt;"",--(Q244=""),0)+IF('SURVEY DESIGN'!C249&lt;&gt;"",--(R244=""),0)+IF('SURVEY DESIGN'!C250&lt;&gt;"",--(S244=""),0)+IF('SURVEY DESIGN'!C251&lt;&gt;"",--(T244=""),0)+IF('SURVEY DESIGN'!C252&lt;&gt;"",--(U244=""),0)+IF('SURVEY DESIGN'!C253&lt;&gt;"",--(V244=""),0)+IF('SURVEY DESIGN'!C254&lt;&gt;"",--(W244=""),0)+IF('SURVEY DESIGN'!C255&lt;&gt;"",--(X244=""),0))</x:f>
      </x:c>
      <x:c r="J244" s="130" t="str">
        <x:f>IF(A244="","",IF(C244&lt;&gt;"Yes","NO CONSENT",IF(F244&lt;SETUP!$B$9,"SPEEDING",IF(G244&lt;&gt;"Yes","ATTENTION CHECK",IF(H244="Yes","STRAIGHTLINE REVIEW",IF(I244&gt;0,"MISSING ITEMS","OK"))))))</x:f>
      </x:c>
      <x:c r="K244" s="130" t="str">
        <x:f>IF(A244="","",IF(J244="OK","Yes","No"))</x:f>
      </x:c>
      <x:c r="L244" s="130" t="str">
        <x:f>IF(A244="","",IF(J244="OK","",IF(J244="NO CONSENT","Consent not affirmed",IF(J244="SPEEDING","Completion time below threshold",IF(J244="ATTENTION CHECK","Attention check failed",IF(J244="STRAIGHTLINE REVIEW","Straightlining review threshold met","Missing scored item(s)"))))))</x:f>
      </x:c>
      <x:c r="M244" s="119"/>
      <x:c r="N244" s="119"/>
      <x:c r="O244" s="119"/>
      <x:c r="P244" s="119"/>
      <x:c r="Q244" s="119"/>
      <x:c r="R244" s="119"/>
      <x:c r="S244" s="119"/>
      <x:c r="T244" s="119"/>
      <x:c r="U244" s="119"/>
      <x:c r="V244" s="119"/>
      <x:c r="W244" s="119"/>
      <x:c r="X244" s="119"/>
      <x:c r="Y244" s="133" t="str">
        <x:f>IF(K244&lt;&gt;"Yes","",IFERROR(AVERAGE(M244:X244),""))</x:f>
      </x:c>
      <x:c r="Z244" s="119"/>
    </x:row>
    <x:row r="245">
      <x:c r="A245" s="119"/>
      <x:c r="B245" s="119"/>
      <x:c r="C245" s="119"/>
      <x:c r="D245" s="119"/>
      <x:c r="E245" s="119"/>
      <x:c r="F245" s="119"/>
      <x:c r="G245" s="119"/>
      <x:c r="H245" s="130" t="str">
        <x:f>IF(A245="","",IF(AND(COUNTA(M245:X245)&gt;=SETUP!$B$10,COUNTIF(M245:X245,MAX(M245:X245))=COUNTA(M245:X245)),"Yes","No"))</x:f>
      </x:c>
      <x:c r="I245" s="130" t="str">
        <x:f>IF(A245="","",IF('SURVEY DESIGN'!C245&lt;&gt;"",--(M245=""),0)+IF('SURVEY DESIGN'!C246&lt;&gt;"",--(N245=""),0)+IF('SURVEY DESIGN'!C247&lt;&gt;"",--(O245=""),0)+IF('SURVEY DESIGN'!C248&lt;&gt;"",--(P245=""),0)+IF('SURVEY DESIGN'!C249&lt;&gt;"",--(Q245=""),0)+IF('SURVEY DESIGN'!C250&lt;&gt;"",--(R245=""),0)+IF('SURVEY DESIGN'!C251&lt;&gt;"",--(S245=""),0)+IF('SURVEY DESIGN'!C252&lt;&gt;"",--(T245=""),0)+IF('SURVEY DESIGN'!C253&lt;&gt;"",--(U245=""),0)+IF('SURVEY DESIGN'!C254&lt;&gt;"",--(V245=""),0)+IF('SURVEY DESIGN'!C255&lt;&gt;"",--(W245=""),0)+IF('SURVEY DESIGN'!C256&lt;&gt;"",--(X245=""),0))</x:f>
      </x:c>
      <x:c r="J245" s="130" t="str">
        <x:f>IF(A245="","",IF(C245&lt;&gt;"Yes","NO CONSENT",IF(F245&lt;SETUP!$B$9,"SPEEDING",IF(G245&lt;&gt;"Yes","ATTENTION CHECK",IF(H245="Yes","STRAIGHTLINE REVIEW",IF(I245&gt;0,"MISSING ITEMS","OK"))))))</x:f>
      </x:c>
      <x:c r="K245" s="130" t="str">
        <x:f>IF(A245="","",IF(J245="OK","Yes","No"))</x:f>
      </x:c>
      <x:c r="L245" s="130" t="str">
        <x:f>IF(A245="","",IF(J245="OK","",IF(J245="NO CONSENT","Consent not affirmed",IF(J245="SPEEDING","Completion time below threshold",IF(J245="ATTENTION CHECK","Attention check failed",IF(J245="STRAIGHTLINE REVIEW","Straightlining review threshold met","Missing scored item(s)"))))))</x:f>
      </x:c>
      <x:c r="M245" s="119"/>
      <x:c r="N245" s="119"/>
      <x:c r="O245" s="119"/>
      <x:c r="P245" s="119"/>
      <x:c r="Q245" s="119"/>
      <x:c r="R245" s="119"/>
      <x:c r="S245" s="119"/>
      <x:c r="T245" s="119"/>
      <x:c r="U245" s="119"/>
      <x:c r="V245" s="119"/>
      <x:c r="W245" s="119"/>
      <x:c r="X245" s="119"/>
      <x:c r="Y245" s="133" t="str">
        <x:f>IF(K245&lt;&gt;"Yes","",IFERROR(AVERAGE(M245:X245),""))</x:f>
      </x:c>
      <x:c r="Z245" s="119"/>
    </x:row>
    <x:row r="246">
      <x:c r="A246" s="119"/>
      <x:c r="B246" s="119"/>
      <x:c r="C246" s="119"/>
      <x:c r="D246" s="119"/>
      <x:c r="E246" s="119"/>
      <x:c r="F246" s="119"/>
      <x:c r="G246" s="119"/>
      <x:c r="H246" s="130" t="str">
        <x:f>IF(A246="","",IF(AND(COUNTA(M246:X246)&gt;=SETUP!$B$10,COUNTIF(M246:X246,MAX(M246:X246))=COUNTA(M246:X246)),"Yes","No"))</x:f>
      </x:c>
      <x:c r="I246" s="130" t="str">
        <x:f>IF(A246="","",IF('SURVEY DESIGN'!C246&lt;&gt;"",--(M246=""),0)+IF('SURVEY DESIGN'!C247&lt;&gt;"",--(N246=""),0)+IF('SURVEY DESIGN'!C248&lt;&gt;"",--(O246=""),0)+IF('SURVEY DESIGN'!C249&lt;&gt;"",--(P246=""),0)+IF('SURVEY DESIGN'!C250&lt;&gt;"",--(Q246=""),0)+IF('SURVEY DESIGN'!C251&lt;&gt;"",--(R246=""),0)+IF('SURVEY DESIGN'!C252&lt;&gt;"",--(S246=""),0)+IF('SURVEY DESIGN'!C253&lt;&gt;"",--(T246=""),0)+IF('SURVEY DESIGN'!C254&lt;&gt;"",--(U246=""),0)+IF('SURVEY DESIGN'!C255&lt;&gt;"",--(V246=""),0)+IF('SURVEY DESIGN'!C256&lt;&gt;"",--(W246=""),0)+IF('SURVEY DESIGN'!C257&lt;&gt;"",--(X246=""),0))</x:f>
      </x:c>
      <x:c r="J246" s="130" t="str">
        <x:f>IF(A246="","",IF(C246&lt;&gt;"Yes","NO CONSENT",IF(F246&lt;SETUP!$B$9,"SPEEDING",IF(G246&lt;&gt;"Yes","ATTENTION CHECK",IF(H246="Yes","STRAIGHTLINE REVIEW",IF(I246&gt;0,"MISSING ITEMS","OK"))))))</x:f>
      </x:c>
      <x:c r="K246" s="130" t="str">
        <x:f>IF(A246="","",IF(J246="OK","Yes","No"))</x:f>
      </x:c>
      <x:c r="L246" s="130" t="str">
        <x:f>IF(A246="","",IF(J246="OK","",IF(J246="NO CONSENT","Consent not affirmed",IF(J246="SPEEDING","Completion time below threshold",IF(J246="ATTENTION CHECK","Attention check failed",IF(J246="STRAIGHTLINE REVIEW","Straightlining review threshold met","Missing scored item(s)"))))))</x:f>
      </x:c>
      <x:c r="M246" s="119"/>
      <x:c r="N246" s="119"/>
      <x:c r="O246" s="119"/>
      <x:c r="P246" s="119"/>
      <x:c r="Q246" s="119"/>
      <x:c r="R246" s="119"/>
      <x:c r="S246" s="119"/>
      <x:c r="T246" s="119"/>
      <x:c r="U246" s="119"/>
      <x:c r="V246" s="119"/>
      <x:c r="W246" s="119"/>
      <x:c r="X246" s="119"/>
      <x:c r="Y246" s="133" t="str">
        <x:f>IF(K246&lt;&gt;"Yes","",IFERROR(AVERAGE(M246:X246),""))</x:f>
      </x:c>
      <x:c r="Z246" s="119"/>
    </x:row>
    <x:row r="247">
      <x:c r="A247" s="119"/>
      <x:c r="B247" s="119"/>
      <x:c r="C247" s="119"/>
      <x:c r="D247" s="119"/>
      <x:c r="E247" s="119"/>
      <x:c r="F247" s="119"/>
      <x:c r="G247" s="119"/>
      <x:c r="H247" s="130" t="str">
        <x:f>IF(A247="","",IF(AND(COUNTA(M247:X247)&gt;=SETUP!$B$10,COUNTIF(M247:X247,MAX(M247:X247))=COUNTA(M247:X247)),"Yes","No"))</x:f>
      </x:c>
      <x:c r="I247" s="130" t="str">
        <x:f>IF(A247="","",IF('SURVEY DESIGN'!C247&lt;&gt;"",--(M247=""),0)+IF('SURVEY DESIGN'!C248&lt;&gt;"",--(N247=""),0)+IF('SURVEY DESIGN'!C249&lt;&gt;"",--(O247=""),0)+IF('SURVEY DESIGN'!C250&lt;&gt;"",--(P247=""),0)+IF('SURVEY DESIGN'!C251&lt;&gt;"",--(Q247=""),0)+IF('SURVEY DESIGN'!C252&lt;&gt;"",--(R247=""),0)+IF('SURVEY DESIGN'!C253&lt;&gt;"",--(S247=""),0)+IF('SURVEY DESIGN'!C254&lt;&gt;"",--(T247=""),0)+IF('SURVEY DESIGN'!C255&lt;&gt;"",--(U247=""),0)+IF('SURVEY DESIGN'!C256&lt;&gt;"",--(V247=""),0)+IF('SURVEY DESIGN'!C257&lt;&gt;"",--(W247=""),0)+IF('SURVEY DESIGN'!C258&lt;&gt;"",--(X247=""),0))</x:f>
      </x:c>
      <x:c r="J247" s="130" t="str">
        <x:f>IF(A247="","",IF(C247&lt;&gt;"Yes","NO CONSENT",IF(F247&lt;SETUP!$B$9,"SPEEDING",IF(G247&lt;&gt;"Yes","ATTENTION CHECK",IF(H247="Yes","STRAIGHTLINE REVIEW",IF(I247&gt;0,"MISSING ITEMS","OK"))))))</x:f>
      </x:c>
      <x:c r="K247" s="130" t="str">
        <x:f>IF(A247="","",IF(J247="OK","Yes","No"))</x:f>
      </x:c>
      <x:c r="L247" s="130" t="str">
        <x:f>IF(A247="","",IF(J247="OK","",IF(J247="NO CONSENT","Consent not affirmed",IF(J247="SPEEDING","Completion time below threshold",IF(J247="ATTENTION CHECK","Attention check failed",IF(J247="STRAIGHTLINE REVIEW","Straightlining review threshold met","Missing scored item(s)"))))))</x:f>
      </x:c>
      <x:c r="M247" s="119"/>
      <x:c r="N247" s="119"/>
      <x:c r="O247" s="119"/>
      <x:c r="P247" s="119"/>
      <x:c r="Q247" s="119"/>
      <x:c r="R247" s="119"/>
      <x:c r="S247" s="119"/>
      <x:c r="T247" s="119"/>
      <x:c r="U247" s="119"/>
      <x:c r="V247" s="119"/>
      <x:c r="W247" s="119"/>
      <x:c r="X247" s="119"/>
      <x:c r="Y247" s="133" t="str">
        <x:f>IF(K247&lt;&gt;"Yes","",IFERROR(AVERAGE(M247:X247),""))</x:f>
      </x:c>
      <x:c r="Z247" s="119"/>
    </x:row>
    <x:row r="248">
      <x:c r="A248" s="119"/>
      <x:c r="B248" s="119"/>
      <x:c r="C248" s="119"/>
      <x:c r="D248" s="119"/>
      <x:c r="E248" s="119"/>
      <x:c r="F248" s="119"/>
      <x:c r="G248" s="119"/>
      <x:c r="H248" s="130" t="str">
        <x:f>IF(A248="","",IF(AND(COUNTA(M248:X248)&gt;=SETUP!$B$10,COUNTIF(M248:X248,MAX(M248:X248))=COUNTA(M248:X248)),"Yes","No"))</x:f>
      </x:c>
      <x:c r="I248" s="130" t="str">
        <x:f>IF(A248="","",IF('SURVEY DESIGN'!C248&lt;&gt;"",--(M248=""),0)+IF('SURVEY DESIGN'!C249&lt;&gt;"",--(N248=""),0)+IF('SURVEY DESIGN'!C250&lt;&gt;"",--(O248=""),0)+IF('SURVEY DESIGN'!C251&lt;&gt;"",--(P248=""),0)+IF('SURVEY DESIGN'!C252&lt;&gt;"",--(Q248=""),0)+IF('SURVEY DESIGN'!C253&lt;&gt;"",--(R248=""),0)+IF('SURVEY DESIGN'!C254&lt;&gt;"",--(S248=""),0)+IF('SURVEY DESIGN'!C255&lt;&gt;"",--(T248=""),0)+IF('SURVEY DESIGN'!C256&lt;&gt;"",--(U248=""),0)+IF('SURVEY DESIGN'!C257&lt;&gt;"",--(V248=""),0)+IF('SURVEY DESIGN'!C258&lt;&gt;"",--(W248=""),0)+IF('SURVEY DESIGN'!C259&lt;&gt;"",--(X248=""),0))</x:f>
      </x:c>
      <x:c r="J248" s="130" t="str">
        <x:f>IF(A248="","",IF(C248&lt;&gt;"Yes","NO CONSENT",IF(F248&lt;SETUP!$B$9,"SPEEDING",IF(G248&lt;&gt;"Yes","ATTENTION CHECK",IF(H248="Yes","STRAIGHTLINE REVIEW",IF(I248&gt;0,"MISSING ITEMS","OK"))))))</x:f>
      </x:c>
      <x:c r="K248" s="130" t="str">
        <x:f>IF(A248="","",IF(J248="OK","Yes","No"))</x:f>
      </x:c>
      <x:c r="L248" s="130" t="str">
        <x:f>IF(A248="","",IF(J248="OK","",IF(J248="NO CONSENT","Consent not affirmed",IF(J248="SPEEDING","Completion time below threshold",IF(J248="ATTENTION CHECK","Attention check failed",IF(J248="STRAIGHTLINE REVIEW","Straightlining review threshold met","Missing scored item(s)"))))))</x:f>
      </x:c>
      <x:c r="M248" s="119"/>
      <x:c r="N248" s="119"/>
      <x:c r="O248" s="119"/>
      <x:c r="P248" s="119"/>
      <x:c r="Q248" s="119"/>
      <x:c r="R248" s="119"/>
      <x:c r="S248" s="119"/>
      <x:c r="T248" s="119"/>
      <x:c r="U248" s="119"/>
      <x:c r="V248" s="119"/>
      <x:c r="W248" s="119"/>
      <x:c r="X248" s="119"/>
      <x:c r="Y248" s="133" t="str">
        <x:f>IF(K248&lt;&gt;"Yes","",IFERROR(AVERAGE(M248:X248),""))</x:f>
      </x:c>
      <x:c r="Z248" s="119"/>
    </x:row>
    <x:row r="249">
      <x:c r="A249" s="119"/>
      <x:c r="B249" s="119"/>
      <x:c r="C249" s="119"/>
      <x:c r="D249" s="119"/>
      <x:c r="E249" s="119"/>
      <x:c r="F249" s="119"/>
      <x:c r="G249" s="119"/>
      <x:c r="H249" s="130" t="str">
        <x:f>IF(A249="","",IF(AND(COUNTA(M249:X249)&gt;=SETUP!$B$10,COUNTIF(M249:X249,MAX(M249:X249))=COUNTA(M249:X249)),"Yes","No"))</x:f>
      </x:c>
      <x:c r="I249" s="130" t="str">
        <x:f>IF(A249="","",IF('SURVEY DESIGN'!C249&lt;&gt;"",--(M249=""),0)+IF('SURVEY DESIGN'!C250&lt;&gt;"",--(N249=""),0)+IF('SURVEY DESIGN'!C251&lt;&gt;"",--(O249=""),0)+IF('SURVEY DESIGN'!C252&lt;&gt;"",--(P249=""),0)+IF('SURVEY DESIGN'!C253&lt;&gt;"",--(Q249=""),0)+IF('SURVEY DESIGN'!C254&lt;&gt;"",--(R249=""),0)+IF('SURVEY DESIGN'!C255&lt;&gt;"",--(S249=""),0)+IF('SURVEY DESIGN'!C256&lt;&gt;"",--(T249=""),0)+IF('SURVEY DESIGN'!C257&lt;&gt;"",--(U249=""),0)+IF('SURVEY DESIGN'!C258&lt;&gt;"",--(V249=""),0)+IF('SURVEY DESIGN'!C259&lt;&gt;"",--(W249=""),0)+IF('SURVEY DESIGN'!C260&lt;&gt;"",--(X249=""),0))</x:f>
      </x:c>
      <x:c r="J249" s="130" t="str">
        <x:f>IF(A249="","",IF(C249&lt;&gt;"Yes","NO CONSENT",IF(F249&lt;SETUP!$B$9,"SPEEDING",IF(G249&lt;&gt;"Yes","ATTENTION CHECK",IF(H249="Yes","STRAIGHTLINE REVIEW",IF(I249&gt;0,"MISSING ITEMS","OK"))))))</x:f>
      </x:c>
      <x:c r="K249" s="130" t="str">
        <x:f>IF(A249="","",IF(J249="OK","Yes","No"))</x:f>
      </x:c>
      <x:c r="L249" s="130" t="str">
        <x:f>IF(A249="","",IF(J249="OK","",IF(J249="NO CONSENT","Consent not affirmed",IF(J249="SPEEDING","Completion time below threshold",IF(J249="ATTENTION CHECK","Attention check failed",IF(J249="STRAIGHTLINE REVIEW","Straightlining review threshold met","Missing scored item(s)"))))))</x:f>
      </x:c>
      <x:c r="M249" s="119"/>
      <x:c r="N249" s="119"/>
      <x:c r="O249" s="119"/>
      <x:c r="P249" s="119"/>
      <x:c r="Q249" s="119"/>
      <x:c r="R249" s="119"/>
      <x:c r="S249" s="119"/>
      <x:c r="T249" s="119"/>
      <x:c r="U249" s="119"/>
      <x:c r="V249" s="119"/>
      <x:c r="W249" s="119"/>
      <x:c r="X249" s="119"/>
      <x:c r="Y249" s="133" t="str">
        <x:f>IF(K249&lt;&gt;"Yes","",IFERROR(AVERAGE(M249:X249),""))</x:f>
      </x:c>
      <x:c r="Z249" s="119"/>
    </x:row>
    <x:row r="250">
      <x:c r="A250" s="119"/>
      <x:c r="B250" s="119"/>
      <x:c r="C250" s="119"/>
      <x:c r="D250" s="119"/>
      <x:c r="E250" s="119"/>
      <x:c r="F250" s="119"/>
      <x:c r="G250" s="119"/>
      <x:c r="H250" s="130" t="str">
        <x:f>IF(A250="","",IF(AND(COUNTA(M250:X250)&gt;=SETUP!$B$10,COUNTIF(M250:X250,MAX(M250:X250))=COUNTA(M250:X250)),"Yes","No"))</x:f>
      </x:c>
      <x:c r="I250" s="130" t="str">
        <x:f>IF(A250="","",IF('SURVEY DESIGN'!C250&lt;&gt;"",--(M250=""),0)+IF('SURVEY DESIGN'!C251&lt;&gt;"",--(N250=""),0)+IF('SURVEY DESIGN'!C252&lt;&gt;"",--(O250=""),0)+IF('SURVEY DESIGN'!C253&lt;&gt;"",--(P250=""),0)+IF('SURVEY DESIGN'!C254&lt;&gt;"",--(Q250=""),0)+IF('SURVEY DESIGN'!C255&lt;&gt;"",--(R250=""),0)+IF('SURVEY DESIGN'!C256&lt;&gt;"",--(S250=""),0)+IF('SURVEY DESIGN'!C257&lt;&gt;"",--(T250=""),0)+IF('SURVEY DESIGN'!C258&lt;&gt;"",--(U250=""),0)+IF('SURVEY DESIGN'!C259&lt;&gt;"",--(V250=""),0)+IF('SURVEY DESIGN'!C260&lt;&gt;"",--(W250=""),0)+IF('SURVEY DESIGN'!C261&lt;&gt;"",--(X250=""),0))</x:f>
      </x:c>
      <x:c r="J250" s="130" t="str">
        <x:f>IF(A250="","",IF(C250&lt;&gt;"Yes","NO CONSENT",IF(F250&lt;SETUP!$B$9,"SPEEDING",IF(G250&lt;&gt;"Yes","ATTENTION CHECK",IF(H250="Yes","STRAIGHTLINE REVIEW",IF(I250&gt;0,"MISSING ITEMS","OK"))))))</x:f>
      </x:c>
      <x:c r="K250" s="130" t="str">
        <x:f>IF(A250="","",IF(J250="OK","Yes","No"))</x:f>
      </x:c>
      <x:c r="L250" s="130" t="str">
        <x:f>IF(A250="","",IF(J250="OK","",IF(J250="NO CONSENT","Consent not affirmed",IF(J250="SPEEDING","Completion time below threshold",IF(J250="ATTENTION CHECK","Attention check failed",IF(J250="STRAIGHTLINE REVIEW","Straightlining review threshold met","Missing scored item(s)"))))))</x:f>
      </x:c>
      <x:c r="M250" s="119"/>
      <x:c r="N250" s="119"/>
      <x:c r="O250" s="119"/>
      <x:c r="P250" s="119"/>
      <x:c r="Q250" s="119"/>
      <x:c r="R250" s="119"/>
      <x:c r="S250" s="119"/>
      <x:c r="T250" s="119"/>
      <x:c r="U250" s="119"/>
      <x:c r="V250" s="119"/>
      <x:c r="W250" s="119"/>
      <x:c r="X250" s="119"/>
      <x:c r="Y250" s="133" t="str">
        <x:f>IF(K250&lt;&gt;"Yes","",IFERROR(AVERAGE(M250:X250),""))</x:f>
      </x:c>
      <x:c r="Z250" s="119"/>
    </x:row>
    <x:row r="251">
      <x:c r="A251" s="119"/>
      <x:c r="B251" s="119"/>
      <x:c r="C251" s="119"/>
      <x:c r="D251" s="119"/>
      <x:c r="E251" s="119"/>
      <x:c r="F251" s="119"/>
      <x:c r="G251" s="119"/>
      <x:c r="H251" s="130" t="str">
        <x:f>IF(A251="","",IF(AND(COUNTA(M251:X251)&gt;=SETUP!$B$10,COUNTIF(M251:X251,MAX(M251:X251))=COUNTA(M251:X251)),"Yes","No"))</x:f>
      </x:c>
      <x:c r="I251" s="130" t="str">
        <x:f>IF(A251="","",IF('SURVEY DESIGN'!C251&lt;&gt;"",--(M251=""),0)+IF('SURVEY DESIGN'!C252&lt;&gt;"",--(N251=""),0)+IF('SURVEY DESIGN'!C253&lt;&gt;"",--(O251=""),0)+IF('SURVEY DESIGN'!C254&lt;&gt;"",--(P251=""),0)+IF('SURVEY DESIGN'!C255&lt;&gt;"",--(Q251=""),0)+IF('SURVEY DESIGN'!C256&lt;&gt;"",--(R251=""),0)+IF('SURVEY DESIGN'!C257&lt;&gt;"",--(S251=""),0)+IF('SURVEY DESIGN'!C258&lt;&gt;"",--(T251=""),0)+IF('SURVEY DESIGN'!C259&lt;&gt;"",--(U251=""),0)+IF('SURVEY DESIGN'!C260&lt;&gt;"",--(V251=""),0)+IF('SURVEY DESIGN'!C261&lt;&gt;"",--(W251=""),0)+IF('SURVEY DESIGN'!C262&lt;&gt;"",--(X251=""),0))</x:f>
      </x:c>
      <x:c r="J251" s="130" t="str">
        <x:f>IF(A251="","",IF(C251&lt;&gt;"Yes","NO CONSENT",IF(F251&lt;SETUP!$B$9,"SPEEDING",IF(G251&lt;&gt;"Yes","ATTENTION CHECK",IF(H251="Yes","STRAIGHTLINE REVIEW",IF(I251&gt;0,"MISSING ITEMS","OK"))))))</x:f>
      </x:c>
      <x:c r="K251" s="130" t="str">
        <x:f>IF(A251="","",IF(J251="OK","Yes","No"))</x:f>
      </x:c>
      <x:c r="L251" s="130" t="str">
        <x:f>IF(A251="","",IF(J251="OK","",IF(J251="NO CONSENT","Consent not affirmed",IF(J251="SPEEDING","Completion time below threshold",IF(J251="ATTENTION CHECK","Attention check failed",IF(J251="STRAIGHTLINE REVIEW","Straightlining review threshold met","Missing scored item(s)"))))))</x:f>
      </x:c>
      <x:c r="M251" s="119"/>
      <x:c r="N251" s="119"/>
      <x:c r="O251" s="119"/>
      <x:c r="P251" s="119"/>
      <x:c r="Q251" s="119"/>
      <x:c r="R251" s="119"/>
      <x:c r="S251" s="119"/>
      <x:c r="T251" s="119"/>
      <x:c r="U251" s="119"/>
      <x:c r="V251" s="119"/>
      <x:c r="W251" s="119"/>
      <x:c r="X251" s="119"/>
      <x:c r="Y251" s="133" t="str">
        <x:f>IF(K251&lt;&gt;"Yes","",IFERROR(AVERAGE(M251:X251),""))</x:f>
      </x:c>
      <x:c r="Z251" s="119"/>
    </x:row>
    <x:row r="252">
      <x:c r="A252" s="119"/>
      <x:c r="B252" s="119"/>
      <x:c r="C252" s="119"/>
      <x:c r="D252" s="119"/>
      <x:c r="E252" s="119"/>
      <x:c r="F252" s="119"/>
      <x:c r="G252" s="119"/>
      <x:c r="H252" s="130" t="str">
        <x:f>IF(A252="","",IF(AND(COUNTA(M252:X252)&gt;=SETUP!$B$10,COUNTIF(M252:X252,MAX(M252:X252))=COUNTA(M252:X252)),"Yes","No"))</x:f>
      </x:c>
      <x:c r="I252" s="130" t="str">
        <x:f>IF(A252="","",IF('SURVEY DESIGN'!C252&lt;&gt;"",--(M252=""),0)+IF('SURVEY DESIGN'!C253&lt;&gt;"",--(N252=""),0)+IF('SURVEY DESIGN'!C254&lt;&gt;"",--(O252=""),0)+IF('SURVEY DESIGN'!C255&lt;&gt;"",--(P252=""),0)+IF('SURVEY DESIGN'!C256&lt;&gt;"",--(Q252=""),0)+IF('SURVEY DESIGN'!C257&lt;&gt;"",--(R252=""),0)+IF('SURVEY DESIGN'!C258&lt;&gt;"",--(S252=""),0)+IF('SURVEY DESIGN'!C259&lt;&gt;"",--(T252=""),0)+IF('SURVEY DESIGN'!C260&lt;&gt;"",--(U252=""),0)+IF('SURVEY DESIGN'!C261&lt;&gt;"",--(V252=""),0)+IF('SURVEY DESIGN'!C262&lt;&gt;"",--(W252=""),0)+IF('SURVEY DESIGN'!C263&lt;&gt;"",--(X252=""),0))</x:f>
      </x:c>
      <x:c r="J252" s="130" t="str">
        <x:f>IF(A252="","",IF(C252&lt;&gt;"Yes","NO CONSENT",IF(F252&lt;SETUP!$B$9,"SPEEDING",IF(G252&lt;&gt;"Yes","ATTENTION CHECK",IF(H252="Yes","STRAIGHTLINE REVIEW",IF(I252&gt;0,"MISSING ITEMS","OK"))))))</x:f>
      </x:c>
      <x:c r="K252" s="130" t="str">
        <x:f>IF(A252="","",IF(J252="OK","Yes","No"))</x:f>
      </x:c>
      <x:c r="L252" s="130" t="str">
        <x:f>IF(A252="","",IF(J252="OK","",IF(J252="NO CONSENT","Consent not affirmed",IF(J252="SPEEDING","Completion time below threshold",IF(J252="ATTENTION CHECK","Attention check failed",IF(J252="STRAIGHTLINE REVIEW","Straightlining review threshold met","Missing scored item(s)"))))))</x:f>
      </x:c>
      <x:c r="M252" s="119"/>
      <x:c r="N252" s="119"/>
      <x:c r="O252" s="119"/>
      <x:c r="P252" s="119"/>
      <x:c r="Q252" s="119"/>
      <x:c r="R252" s="119"/>
      <x:c r="S252" s="119"/>
      <x:c r="T252" s="119"/>
      <x:c r="U252" s="119"/>
      <x:c r="V252" s="119"/>
      <x:c r="W252" s="119"/>
      <x:c r="X252" s="119"/>
      <x:c r="Y252" s="133" t="str">
        <x:f>IF(K252&lt;&gt;"Yes","",IFERROR(AVERAGE(M252:X252),""))</x:f>
      </x:c>
      <x:c r="Z252" s="119"/>
    </x:row>
    <x:row r="253">
      <x:c r="A253" s="119"/>
      <x:c r="B253" s="119"/>
      <x:c r="C253" s="119"/>
      <x:c r="D253" s="119"/>
      <x:c r="E253" s="119"/>
      <x:c r="F253" s="119"/>
      <x:c r="G253" s="119"/>
      <x:c r="H253" s="130" t="str">
        <x:f>IF(A253="","",IF(AND(COUNTA(M253:X253)&gt;=SETUP!$B$10,COUNTIF(M253:X253,MAX(M253:X253))=COUNTA(M253:X253)),"Yes","No"))</x:f>
      </x:c>
      <x:c r="I253" s="130" t="str">
        <x:f>IF(A253="","",IF('SURVEY DESIGN'!C253&lt;&gt;"",--(M253=""),0)+IF('SURVEY DESIGN'!C254&lt;&gt;"",--(N253=""),0)+IF('SURVEY DESIGN'!C255&lt;&gt;"",--(O253=""),0)+IF('SURVEY DESIGN'!C256&lt;&gt;"",--(P253=""),0)+IF('SURVEY DESIGN'!C257&lt;&gt;"",--(Q253=""),0)+IF('SURVEY DESIGN'!C258&lt;&gt;"",--(R253=""),0)+IF('SURVEY DESIGN'!C259&lt;&gt;"",--(S253=""),0)+IF('SURVEY DESIGN'!C260&lt;&gt;"",--(T253=""),0)+IF('SURVEY DESIGN'!C261&lt;&gt;"",--(U253=""),0)+IF('SURVEY DESIGN'!C262&lt;&gt;"",--(V253=""),0)+IF('SURVEY DESIGN'!C263&lt;&gt;"",--(W253=""),0)+IF('SURVEY DESIGN'!C264&lt;&gt;"",--(X253=""),0))</x:f>
      </x:c>
      <x:c r="J253" s="130" t="str">
        <x:f>IF(A253="","",IF(C253&lt;&gt;"Yes","NO CONSENT",IF(F253&lt;SETUP!$B$9,"SPEEDING",IF(G253&lt;&gt;"Yes","ATTENTION CHECK",IF(H253="Yes","STRAIGHTLINE REVIEW",IF(I253&gt;0,"MISSING ITEMS","OK"))))))</x:f>
      </x:c>
      <x:c r="K253" s="130" t="str">
        <x:f>IF(A253="","",IF(J253="OK","Yes","No"))</x:f>
      </x:c>
      <x:c r="L253" s="130" t="str">
        <x:f>IF(A253="","",IF(J253="OK","",IF(J253="NO CONSENT","Consent not affirmed",IF(J253="SPEEDING","Completion time below threshold",IF(J253="ATTENTION CHECK","Attention check failed",IF(J253="STRAIGHTLINE REVIEW","Straightlining review threshold met","Missing scored item(s)"))))))</x:f>
      </x:c>
      <x:c r="M253" s="119"/>
      <x:c r="N253" s="119"/>
      <x:c r="O253" s="119"/>
      <x:c r="P253" s="119"/>
      <x:c r="Q253" s="119"/>
      <x:c r="R253" s="119"/>
      <x:c r="S253" s="119"/>
      <x:c r="T253" s="119"/>
      <x:c r="U253" s="119"/>
      <x:c r="V253" s="119"/>
      <x:c r="W253" s="119"/>
      <x:c r="X253" s="119"/>
      <x:c r="Y253" s="133" t="str">
        <x:f>IF(K253&lt;&gt;"Yes","",IFERROR(AVERAGE(M253:X253),""))</x:f>
      </x:c>
      <x:c r="Z253" s="119"/>
    </x:row>
    <x:row r="254">
      <x:c r="A254" s="119"/>
      <x:c r="B254" s="119"/>
      <x:c r="C254" s="119"/>
      <x:c r="D254" s="119"/>
      <x:c r="E254" s="119"/>
      <x:c r="F254" s="119"/>
      <x:c r="G254" s="119"/>
      <x:c r="H254" s="130" t="str">
        <x:f>IF(A254="","",IF(AND(COUNTA(M254:X254)&gt;=SETUP!$B$10,COUNTIF(M254:X254,MAX(M254:X254))=COUNTA(M254:X254)),"Yes","No"))</x:f>
      </x:c>
      <x:c r="I254" s="130" t="str">
        <x:f>IF(A254="","",IF('SURVEY DESIGN'!C254&lt;&gt;"",--(M254=""),0)+IF('SURVEY DESIGN'!C255&lt;&gt;"",--(N254=""),0)+IF('SURVEY DESIGN'!C256&lt;&gt;"",--(O254=""),0)+IF('SURVEY DESIGN'!C257&lt;&gt;"",--(P254=""),0)+IF('SURVEY DESIGN'!C258&lt;&gt;"",--(Q254=""),0)+IF('SURVEY DESIGN'!C259&lt;&gt;"",--(R254=""),0)+IF('SURVEY DESIGN'!C260&lt;&gt;"",--(S254=""),0)+IF('SURVEY DESIGN'!C261&lt;&gt;"",--(T254=""),0)+IF('SURVEY DESIGN'!C262&lt;&gt;"",--(U254=""),0)+IF('SURVEY DESIGN'!C263&lt;&gt;"",--(V254=""),0)+IF('SURVEY DESIGN'!C264&lt;&gt;"",--(W254=""),0)+IF('SURVEY DESIGN'!C265&lt;&gt;"",--(X254=""),0))</x:f>
      </x:c>
      <x:c r="J254" s="130" t="str">
        <x:f>IF(A254="","",IF(C254&lt;&gt;"Yes","NO CONSENT",IF(F254&lt;SETUP!$B$9,"SPEEDING",IF(G254&lt;&gt;"Yes","ATTENTION CHECK",IF(H254="Yes","STRAIGHTLINE REVIEW",IF(I254&gt;0,"MISSING ITEMS","OK"))))))</x:f>
      </x:c>
      <x:c r="K254" s="130" t="str">
        <x:f>IF(A254="","",IF(J254="OK","Yes","No"))</x:f>
      </x:c>
      <x:c r="L254" s="130" t="str">
        <x:f>IF(A254="","",IF(J254="OK","",IF(J254="NO CONSENT","Consent not affirmed",IF(J254="SPEEDING","Completion time below threshold",IF(J254="ATTENTION CHECK","Attention check failed",IF(J254="STRAIGHTLINE REVIEW","Straightlining review threshold met","Missing scored item(s)"))))))</x:f>
      </x:c>
      <x:c r="M254" s="119"/>
      <x:c r="N254" s="119"/>
      <x:c r="O254" s="119"/>
      <x:c r="P254" s="119"/>
      <x:c r="Q254" s="119"/>
      <x:c r="R254" s="119"/>
      <x:c r="S254" s="119"/>
      <x:c r="T254" s="119"/>
      <x:c r="U254" s="119"/>
      <x:c r="V254" s="119"/>
      <x:c r="W254" s="119"/>
      <x:c r="X254" s="119"/>
      <x:c r="Y254" s="133" t="str">
        <x:f>IF(K254&lt;&gt;"Yes","",IFERROR(AVERAGE(M254:X254),""))</x:f>
      </x:c>
      <x:c r="Z254" s="119"/>
    </x:row>
    <x:row r="255">
      <x:c r="A255" s="119"/>
      <x:c r="B255" s="119"/>
      <x:c r="C255" s="119"/>
      <x:c r="D255" s="119"/>
      <x:c r="E255" s="119"/>
      <x:c r="F255" s="119"/>
      <x:c r="G255" s="119"/>
      <x:c r="H255" s="130" t="str">
        <x:f>IF(A255="","",IF(AND(COUNTA(M255:X255)&gt;=SETUP!$B$10,COUNTIF(M255:X255,MAX(M255:X255))=COUNTA(M255:X255)),"Yes","No"))</x:f>
      </x:c>
      <x:c r="I255" s="130" t="str">
        <x:f>IF(A255="","",IF('SURVEY DESIGN'!C255&lt;&gt;"",--(M255=""),0)+IF('SURVEY DESIGN'!C256&lt;&gt;"",--(N255=""),0)+IF('SURVEY DESIGN'!C257&lt;&gt;"",--(O255=""),0)+IF('SURVEY DESIGN'!C258&lt;&gt;"",--(P255=""),0)+IF('SURVEY DESIGN'!C259&lt;&gt;"",--(Q255=""),0)+IF('SURVEY DESIGN'!C260&lt;&gt;"",--(R255=""),0)+IF('SURVEY DESIGN'!C261&lt;&gt;"",--(S255=""),0)+IF('SURVEY DESIGN'!C262&lt;&gt;"",--(T255=""),0)+IF('SURVEY DESIGN'!C263&lt;&gt;"",--(U255=""),0)+IF('SURVEY DESIGN'!C264&lt;&gt;"",--(V255=""),0)+IF('SURVEY DESIGN'!C265&lt;&gt;"",--(W255=""),0)+IF('SURVEY DESIGN'!C266&lt;&gt;"",--(X255=""),0))</x:f>
      </x:c>
      <x:c r="J255" s="130" t="str">
        <x:f>IF(A255="","",IF(C255&lt;&gt;"Yes","NO CONSENT",IF(F255&lt;SETUP!$B$9,"SPEEDING",IF(G255&lt;&gt;"Yes","ATTENTION CHECK",IF(H255="Yes","STRAIGHTLINE REVIEW",IF(I255&gt;0,"MISSING ITEMS","OK"))))))</x:f>
      </x:c>
      <x:c r="K255" s="130" t="str">
        <x:f>IF(A255="","",IF(J255="OK","Yes","No"))</x:f>
      </x:c>
      <x:c r="L255" s="130" t="str">
        <x:f>IF(A255="","",IF(J255="OK","",IF(J255="NO CONSENT","Consent not affirmed",IF(J255="SPEEDING","Completion time below threshold",IF(J255="ATTENTION CHECK","Attention check failed",IF(J255="STRAIGHTLINE REVIEW","Straightlining review threshold met","Missing scored item(s)"))))))</x:f>
      </x:c>
      <x:c r="M255" s="119"/>
      <x:c r="N255" s="119"/>
      <x:c r="O255" s="119"/>
      <x:c r="P255" s="119"/>
      <x:c r="Q255" s="119"/>
      <x:c r="R255" s="119"/>
      <x:c r="S255" s="119"/>
      <x:c r="T255" s="119"/>
      <x:c r="U255" s="119"/>
      <x:c r="V255" s="119"/>
      <x:c r="W255" s="119"/>
      <x:c r="X255" s="119"/>
      <x:c r="Y255" s="133" t="str">
        <x:f>IF(K255&lt;&gt;"Yes","",IFERROR(AVERAGE(M255:X255),""))</x:f>
      </x:c>
      <x:c r="Z255" s="119"/>
    </x:row>
    <x:row r="256">
      <x:c r="A256" s="119"/>
      <x:c r="B256" s="119"/>
      <x:c r="C256" s="119"/>
      <x:c r="D256" s="119"/>
      <x:c r="E256" s="119"/>
      <x:c r="F256" s="119"/>
      <x:c r="G256" s="119"/>
      <x:c r="H256" s="130" t="str">
        <x:f>IF(A256="","",IF(AND(COUNTA(M256:X256)&gt;=SETUP!$B$10,COUNTIF(M256:X256,MAX(M256:X256))=COUNTA(M256:X256)),"Yes","No"))</x:f>
      </x:c>
      <x:c r="I256" s="130" t="str">
        <x:f>IF(A256="","",IF('SURVEY DESIGN'!C256&lt;&gt;"",--(M256=""),0)+IF('SURVEY DESIGN'!C257&lt;&gt;"",--(N256=""),0)+IF('SURVEY DESIGN'!C258&lt;&gt;"",--(O256=""),0)+IF('SURVEY DESIGN'!C259&lt;&gt;"",--(P256=""),0)+IF('SURVEY DESIGN'!C260&lt;&gt;"",--(Q256=""),0)+IF('SURVEY DESIGN'!C261&lt;&gt;"",--(R256=""),0)+IF('SURVEY DESIGN'!C262&lt;&gt;"",--(S256=""),0)+IF('SURVEY DESIGN'!C263&lt;&gt;"",--(T256=""),0)+IF('SURVEY DESIGN'!C264&lt;&gt;"",--(U256=""),0)+IF('SURVEY DESIGN'!C265&lt;&gt;"",--(V256=""),0)+IF('SURVEY DESIGN'!C266&lt;&gt;"",--(W256=""),0)+IF('SURVEY DESIGN'!C267&lt;&gt;"",--(X256=""),0))</x:f>
      </x:c>
      <x:c r="J256" s="130" t="str">
        <x:f>IF(A256="","",IF(C256&lt;&gt;"Yes","NO CONSENT",IF(F256&lt;SETUP!$B$9,"SPEEDING",IF(G256&lt;&gt;"Yes","ATTENTION CHECK",IF(H256="Yes","STRAIGHTLINE REVIEW",IF(I256&gt;0,"MISSING ITEMS","OK"))))))</x:f>
      </x:c>
      <x:c r="K256" s="130" t="str">
        <x:f>IF(A256="","",IF(J256="OK","Yes","No"))</x:f>
      </x:c>
      <x:c r="L256" s="130" t="str">
        <x:f>IF(A256="","",IF(J256="OK","",IF(J256="NO CONSENT","Consent not affirmed",IF(J256="SPEEDING","Completion time below threshold",IF(J256="ATTENTION CHECK","Attention check failed",IF(J256="STRAIGHTLINE REVIEW","Straightlining review threshold met","Missing scored item(s)"))))))</x:f>
      </x:c>
      <x:c r="M256" s="119"/>
      <x:c r="N256" s="119"/>
      <x:c r="O256" s="119"/>
      <x:c r="P256" s="119"/>
      <x:c r="Q256" s="119"/>
      <x:c r="R256" s="119"/>
      <x:c r="S256" s="119"/>
      <x:c r="T256" s="119"/>
      <x:c r="U256" s="119"/>
      <x:c r="V256" s="119"/>
      <x:c r="W256" s="119"/>
      <x:c r="X256" s="119"/>
      <x:c r="Y256" s="133" t="str">
        <x:f>IF(K256&lt;&gt;"Yes","",IFERROR(AVERAGE(M256:X256),""))</x:f>
      </x:c>
      <x:c r="Z256" s="119"/>
    </x:row>
    <x:row r="257">
      <x:c r="A257" s="119"/>
      <x:c r="B257" s="119"/>
      <x:c r="C257" s="119"/>
      <x:c r="D257" s="119"/>
      <x:c r="E257" s="119"/>
      <x:c r="F257" s="119"/>
      <x:c r="G257" s="119"/>
      <x:c r="H257" s="130" t="str">
        <x:f>IF(A257="","",IF(AND(COUNTA(M257:X257)&gt;=SETUP!$B$10,COUNTIF(M257:X257,MAX(M257:X257))=COUNTA(M257:X257)),"Yes","No"))</x:f>
      </x:c>
      <x:c r="I257" s="130" t="str">
        <x:f>IF(A257="","",IF('SURVEY DESIGN'!C257&lt;&gt;"",--(M257=""),0)+IF('SURVEY DESIGN'!C258&lt;&gt;"",--(N257=""),0)+IF('SURVEY DESIGN'!C259&lt;&gt;"",--(O257=""),0)+IF('SURVEY DESIGN'!C260&lt;&gt;"",--(P257=""),0)+IF('SURVEY DESIGN'!C261&lt;&gt;"",--(Q257=""),0)+IF('SURVEY DESIGN'!C262&lt;&gt;"",--(R257=""),0)+IF('SURVEY DESIGN'!C263&lt;&gt;"",--(S257=""),0)+IF('SURVEY DESIGN'!C264&lt;&gt;"",--(T257=""),0)+IF('SURVEY DESIGN'!C265&lt;&gt;"",--(U257=""),0)+IF('SURVEY DESIGN'!C266&lt;&gt;"",--(V257=""),0)+IF('SURVEY DESIGN'!C267&lt;&gt;"",--(W257=""),0)+IF('SURVEY DESIGN'!C268&lt;&gt;"",--(X257=""),0))</x:f>
      </x:c>
      <x:c r="J257" s="130" t="str">
        <x:f>IF(A257="","",IF(C257&lt;&gt;"Yes","NO CONSENT",IF(F257&lt;SETUP!$B$9,"SPEEDING",IF(G257&lt;&gt;"Yes","ATTENTION CHECK",IF(H257="Yes","STRAIGHTLINE REVIEW",IF(I257&gt;0,"MISSING ITEMS","OK"))))))</x:f>
      </x:c>
      <x:c r="K257" s="130" t="str">
        <x:f>IF(A257="","",IF(J257="OK","Yes","No"))</x:f>
      </x:c>
      <x:c r="L257" s="130" t="str">
        <x:f>IF(A257="","",IF(J257="OK","",IF(J257="NO CONSENT","Consent not affirmed",IF(J257="SPEEDING","Completion time below threshold",IF(J257="ATTENTION CHECK","Attention check failed",IF(J257="STRAIGHTLINE REVIEW","Straightlining review threshold met","Missing scored item(s)"))))))</x:f>
      </x:c>
      <x:c r="M257" s="119"/>
      <x:c r="N257" s="119"/>
      <x:c r="O257" s="119"/>
      <x:c r="P257" s="119"/>
      <x:c r="Q257" s="119"/>
      <x:c r="R257" s="119"/>
      <x:c r="S257" s="119"/>
      <x:c r="T257" s="119"/>
      <x:c r="U257" s="119"/>
      <x:c r="V257" s="119"/>
      <x:c r="W257" s="119"/>
      <x:c r="X257" s="119"/>
      <x:c r="Y257" s="133" t="str">
        <x:f>IF(K257&lt;&gt;"Yes","",IFERROR(AVERAGE(M257:X257),""))</x:f>
      </x:c>
      <x:c r="Z257" s="119"/>
    </x:row>
    <x:row r="258">
      <x:c r="A258" s="119"/>
      <x:c r="B258" s="119"/>
      <x:c r="C258" s="119"/>
      <x:c r="D258" s="119"/>
      <x:c r="E258" s="119"/>
      <x:c r="F258" s="119"/>
      <x:c r="G258" s="119"/>
      <x:c r="H258" s="130" t="str">
        <x:f>IF(A258="","",IF(AND(COUNTA(M258:X258)&gt;=SETUP!$B$10,COUNTIF(M258:X258,MAX(M258:X258))=COUNTA(M258:X258)),"Yes","No"))</x:f>
      </x:c>
      <x:c r="I258" s="130" t="str">
        <x:f>IF(A258="","",IF('SURVEY DESIGN'!C258&lt;&gt;"",--(M258=""),0)+IF('SURVEY DESIGN'!C259&lt;&gt;"",--(N258=""),0)+IF('SURVEY DESIGN'!C260&lt;&gt;"",--(O258=""),0)+IF('SURVEY DESIGN'!C261&lt;&gt;"",--(P258=""),0)+IF('SURVEY DESIGN'!C262&lt;&gt;"",--(Q258=""),0)+IF('SURVEY DESIGN'!C263&lt;&gt;"",--(R258=""),0)+IF('SURVEY DESIGN'!C264&lt;&gt;"",--(S258=""),0)+IF('SURVEY DESIGN'!C265&lt;&gt;"",--(T258=""),0)+IF('SURVEY DESIGN'!C266&lt;&gt;"",--(U258=""),0)+IF('SURVEY DESIGN'!C267&lt;&gt;"",--(V258=""),0)+IF('SURVEY DESIGN'!C268&lt;&gt;"",--(W258=""),0)+IF('SURVEY DESIGN'!C269&lt;&gt;"",--(X258=""),0))</x:f>
      </x:c>
      <x:c r="J258" s="130" t="str">
        <x:f>IF(A258="","",IF(C258&lt;&gt;"Yes","NO CONSENT",IF(F258&lt;SETUP!$B$9,"SPEEDING",IF(G258&lt;&gt;"Yes","ATTENTION CHECK",IF(H258="Yes","STRAIGHTLINE REVIEW",IF(I258&gt;0,"MISSING ITEMS","OK"))))))</x:f>
      </x:c>
      <x:c r="K258" s="130" t="str">
        <x:f>IF(A258="","",IF(J258="OK","Yes","No"))</x:f>
      </x:c>
      <x:c r="L258" s="130" t="str">
        <x:f>IF(A258="","",IF(J258="OK","",IF(J258="NO CONSENT","Consent not affirmed",IF(J258="SPEEDING","Completion time below threshold",IF(J258="ATTENTION CHECK","Attention check failed",IF(J258="STRAIGHTLINE REVIEW","Straightlining review threshold met","Missing scored item(s)"))))))</x:f>
      </x:c>
      <x:c r="M258" s="119"/>
      <x:c r="N258" s="119"/>
      <x:c r="O258" s="119"/>
      <x:c r="P258" s="119"/>
      <x:c r="Q258" s="119"/>
      <x:c r="R258" s="119"/>
      <x:c r="S258" s="119"/>
      <x:c r="T258" s="119"/>
      <x:c r="U258" s="119"/>
      <x:c r="V258" s="119"/>
      <x:c r="W258" s="119"/>
      <x:c r="X258" s="119"/>
      <x:c r="Y258" s="133" t="str">
        <x:f>IF(K258&lt;&gt;"Yes","",IFERROR(AVERAGE(M258:X258),""))</x:f>
      </x:c>
      <x:c r="Z258" s="119"/>
    </x:row>
    <x:row r="259">
      <x:c r="A259" s="119"/>
      <x:c r="B259" s="119"/>
      <x:c r="C259" s="119"/>
      <x:c r="D259" s="119"/>
      <x:c r="E259" s="119"/>
      <x:c r="F259" s="119"/>
      <x:c r="G259" s="119"/>
      <x:c r="H259" s="130" t="str">
        <x:f>IF(A259="","",IF(AND(COUNTA(M259:X259)&gt;=SETUP!$B$10,COUNTIF(M259:X259,MAX(M259:X259))=COUNTA(M259:X259)),"Yes","No"))</x:f>
      </x:c>
      <x:c r="I259" s="130" t="str">
        <x:f>IF(A259="","",IF('SURVEY DESIGN'!C259&lt;&gt;"",--(M259=""),0)+IF('SURVEY DESIGN'!C260&lt;&gt;"",--(N259=""),0)+IF('SURVEY DESIGN'!C261&lt;&gt;"",--(O259=""),0)+IF('SURVEY DESIGN'!C262&lt;&gt;"",--(P259=""),0)+IF('SURVEY DESIGN'!C263&lt;&gt;"",--(Q259=""),0)+IF('SURVEY DESIGN'!C264&lt;&gt;"",--(R259=""),0)+IF('SURVEY DESIGN'!C265&lt;&gt;"",--(S259=""),0)+IF('SURVEY DESIGN'!C266&lt;&gt;"",--(T259=""),0)+IF('SURVEY DESIGN'!C267&lt;&gt;"",--(U259=""),0)+IF('SURVEY DESIGN'!C268&lt;&gt;"",--(V259=""),0)+IF('SURVEY DESIGN'!C269&lt;&gt;"",--(W259=""),0)+IF('SURVEY DESIGN'!C270&lt;&gt;"",--(X259=""),0))</x:f>
      </x:c>
      <x:c r="J259" s="130" t="str">
        <x:f>IF(A259="","",IF(C259&lt;&gt;"Yes","NO CONSENT",IF(F259&lt;SETUP!$B$9,"SPEEDING",IF(G259&lt;&gt;"Yes","ATTENTION CHECK",IF(H259="Yes","STRAIGHTLINE REVIEW",IF(I259&gt;0,"MISSING ITEMS","OK"))))))</x:f>
      </x:c>
      <x:c r="K259" s="130" t="str">
        <x:f>IF(A259="","",IF(J259="OK","Yes","No"))</x:f>
      </x:c>
      <x:c r="L259" s="130" t="str">
        <x:f>IF(A259="","",IF(J259="OK","",IF(J259="NO CONSENT","Consent not affirmed",IF(J259="SPEEDING","Completion time below threshold",IF(J259="ATTENTION CHECK","Attention check failed",IF(J259="STRAIGHTLINE REVIEW","Straightlining review threshold met","Missing scored item(s)"))))))</x:f>
      </x:c>
      <x:c r="M259" s="119"/>
      <x:c r="N259" s="119"/>
      <x:c r="O259" s="119"/>
      <x:c r="P259" s="119"/>
      <x:c r="Q259" s="119"/>
      <x:c r="R259" s="119"/>
      <x:c r="S259" s="119"/>
      <x:c r="T259" s="119"/>
      <x:c r="U259" s="119"/>
      <x:c r="V259" s="119"/>
      <x:c r="W259" s="119"/>
      <x:c r="X259" s="119"/>
      <x:c r="Y259" s="133" t="str">
        <x:f>IF(K259&lt;&gt;"Yes","",IFERROR(AVERAGE(M259:X259),""))</x:f>
      </x:c>
      <x:c r="Z259" s="119"/>
    </x:row>
    <x:row r="260">
      <x:c r="A260" s="119"/>
      <x:c r="B260" s="119"/>
      <x:c r="C260" s="119"/>
      <x:c r="D260" s="119"/>
      <x:c r="E260" s="119"/>
      <x:c r="F260" s="119"/>
      <x:c r="G260" s="119"/>
      <x:c r="H260" s="130" t="str">
        <x:f>IF(A260="","",IF(AND(COUNTA(M260:X260)&gt;=SETUP!$B$10,COUNTIF(M260:X260,MAX(M260:X260))=COUNTA(M260:X260)),"Yes","No"))</x:f>
      </x:c>
      <x:c r="I260" s="130" t="str">
        <x:f>IF(A260="","",IF('SURVEY DESIGN'!C260&lt;&gt;"",--(M260=""),0)+IF('SURVEY DESIGN'!C261&lt;&gt;"",--(N260=""),0)+IF('SURVEY DESIGN'!C262&lt;&gt;"",--(O260=""),0)+IF('SURVEY DESIGN'!C263&lt;&gt;"",--(P260=""),0)+IF('SURVEY DESIGN'!C264&lt;&gt;"",--(Q260=""),0)+IF('SURVEY DESIGN'!C265&lt;&gt;"",--(R260=""),0)+IF('SURVEY DESIGN'!C266&lt;&gt;"",--(S260=""),0)+IF('SURVEY DESIGN'!C267&lt;&gt;"",--(T260=""),0)+IF('SURVEY DESIGN'!C268&lt;&gt;"",--(U260=""),0)+IF('SURVEY DESIGN'!C269&lt;&gt;"",--(V260=""),0)+IF('SURVEY DESIGN'!C270&lt;&gt;"",--(W260=""),0)+IF('SURVEY DESIGN'!C271&lt;&gt;"",--(X260=""),0))</x:f>
      </x:c>
      <x:c r="J260" s="130" t="str">
        <x:f>IF(A260="","",IF(C260&lt;&gt;"Yes","NO CONSENT",IF(F260&lt;SETUP!$B$9,"SPEEDING",IF(G260&lt;&gt;"Yes","ATTENTION CHECK",IF(H260="Yes","STRAIGHTLINE REVIEW",IF(I260&gt;0,"MISSING ITEMS","OK"))))))</x:f>
      </x:c>
      <x:c r="K260" s="130" t="str">
        <x:f>IF(A260="","",IF(J260="OK","Yes","No"))</x:f>
      </x:c>
      <x:c r="L260" s="130" t="str">
        <x:f>IF(A260="","",IF(J260="OK","",IF(J260="NO CONSENT","Consent not affirmed",IF(J260="SPEEDING","Completion time below threshold",IF(J260="ATTENTION CHECK","Attention check failed",IF(J260="STRAIGHTLINE REVIEW","Straightlining review threshold met","Missing scored item(s)"))))))</x:f>
      </x:c>
      <x:c r="M260" s="119"/>
      <x:c r="N260" s="119"/>
      <x:c r="O260" s="119"/>
      <x:c r="P260" s="119"/>
      <x:c r="Q260" s="119"/>
      <x:c r="R260" s="119"/>
      <x:c r="S260" s="119"/>
      <x:c r="T260" s="119"/>
      <x:c r="U260" s="119"/>
      <x:c r="V260" s="119"/>
      <x:c r="W260" s="119"/>
      <x:c r="X260" s="119"/>
      <x:c r="Y260" s="133" t="str">
        <x:f>IF(K260&lt;&gt;"Yes","",IFERROR(AVERAGE(M260:X260),""))</x:f>
      </x:c>
      <x:c r="Z260" s="119"/>
    </x:row>
    <x:row r="261">
      <x:c r="A261" s="119"/>
      <x:c r="B261" s="119"/>
      <x:c r="C261" s="119"/>
      <x:c r="D261" s="119"/>
      <x:c r="E261" s="119"/>
      <x:c r="F261" s="119"/>
      <x:c r="G261" s="119"/>
      <x:c r="H261" s="130" t="str">
        <x:f>IF(A261="","",IF(AND(COUNTA(M261:X261)&gt;=SETUP!$B$10,COUNTIF(M261:X261,MAX(M261:X261))=COUNTA(M261:X261)),"Yes","No"))</x:f>
      </x:c>
      <x:c r="I261" s="130" t="str">
        <x:f>IF(A261="","",IF('SURVEY DESIGN'!C261&lt;&gt;"",--(M261=""),0)+IF('SURVEY DESIGN'!C262&lt;&gt;"",--(N261=""),0)+IF('SURVEY DESIGN'!C263&lt;&gt;"",--(O261=""),0)+IF('SURVEY DESIGN'!C264&lt;&gt;"",--(P261=""),0)+IF('SURVEY DESIGN'!C265&lt;&gt;"",--(Q261=""),0)+IF('SURVEY DESIGN'!C266&lt;&gt;"",--(R261=""),0)+IF('SURVEY DESIGN'!C267&lt;&gt;"",--(S261=""),0)+IF('SURVEY DESIGN'!C268&lt;&gt;"",--(T261=""),0)+IF('SURVEY DESIGN'!C269&lt;&gt;"",--(U261=""),0)+IF('SURVEY DESIGN'!C270&lt;&gt;"",--(V261=""),0)+IF('SURVEY DESIGN'!C271&lt;&gt;"",--(W261=""),0)+IF('SURVEY DESIGN'!C272&lt;&gt;"",--(X261=""),0))</x:f>
      </x:c>
      <x:c r="J261" s="130" t="str">
        <x:f>IF(A261="","",IF(C261&lt;&gt;"Yes","NO CONSENT",IF(F261&lt;SETUP!$B$9,"SPEEDING",IF(G261&lt;&gt;"Yes","ATTENTION CHECK",IF(H261="Yes","STRAIGHTLINE REVIEW",IF(I261&gt;0,"MISSING ITEMS","OK"))))))</x:f>
      </x:c>
      <x:c r="K261" s="130" t="str">
        <x:f>IF(A261="","",IF(J261="OK","Yes","No"))</x:f>
      </x:c>
      <x:c r="L261" s="130" t="str">
        <x:f>IF(A261="","",IF(J261="OK","",IF(J261="NO CONSENT","Consent not affirmed",IF(J261="SPEEDING","Completion time below threshold",IF(J261="ATTENTION CHECK","Attention check failed",IF(J261="STRAIGHTLINE REVIEW","Straightlining review threshold met","Missing scored item(s)"))))))</x:f>
      </x:c>
      <x:c r="M261" s="119"/>
      <x:c r="N261" s="119"/>
      <x:c r="O261" s="119"/>
      <x:c r="P261" s="119"/>
      <x:c r="Q261" s="119"/>
      <x:c r="R261" s="119"/>
      <x:c r="S261" s="119"/>
      <x:c r="T261" s="119"/>
      <x:c r="U261" s="119"/>
      <x:c r="V261" s="119"/>
      <x:c r="W261" s="119"/>
      <x:c r="X261" s="119"/>
      <x:c r="Y261" s="133" t="str">
        <x:f>IF(K261&lt;&gt;"Yes","",IFERROR(AVERAGE(M261:X261),""))</x:f>
      </x:c>
      <x:c r="Z261" s="119"/>
    </x:row>
    <x:row r="262">
      <x:c r="A262" s="119"/>
      <x:c r="B262" s="119"/>
      <x:c r="C262" s="119"/>
      <x:c r="D262" s="119"/>
      <x:c r="E262" s="119"/>
      <x:c r="F262" s="119"/>
      <x:c r="G262" s="119"/>
      <x:c r="H262" s="130" t="str">
        <x:f>IF(A262="","",IF(AND(COUNTA(M262:X262)&gt;=SETUP!$B$10,COUNTIF(M262:X262,MAX(M262:X262))=COUNTA(M262:X262)),"Yes","No"))</x:f>
      </x:c>
      <x:c r="I262" s="130" t="str">
        <x:f>IF(A262="","",IF('SURVEY DESIGN'!C262&lt;&gt;"",--(M262=""),0)+IF('SURVEY DESIGN'!C263&lt;&gt;"",--(N262=""),0)+IF('SURVEY DESIGN'!C264&lt;&gt;"",--(O262=""),0)+IF('SURVEY DESIGN'!C265&lt;&gt;"",--(P262=""),0)+IF('SURVEY DESIGN'!C266&lt;&gt;"",--(Q262=""),0)+IF('SURVEY DESIGN'!C267&lt;&gt;"",--(R262=""),0)+IF('SURVEY DESIGN'!C268&lt;&gt;"",--(S262=""),0)+IF('SURVEY DESIGN'!C269&lt;&gt;"",--(T262=""),0)+IF('SURVEY DESIGN'!C270&lt;&gt;"",--(U262=""),0)+IF('SURVEY DESIGN'!C271&lt;&gt;"",--(V262=""),0)+IF('SURVEY DESIGN'!C272&lt;&gt;"",--(W262=""),0)+IF('SURVEY DESIGN'!C273&lt;&gt;"",--(X262=""),0))</x:f>
      </x:c>
      <x:c r="J262" s="130" t="str">
        <x:f>IF(A262="","",IF(C262&lt;&gt;"Yes","NO CONSENT",IF(F262&lt;SETUP!$B$9,"SPEEDING",IF(G262&lt;&gt;"Yes","ATTENTION CHECK",IF(H262="Yes","STRAIGHTLINE REVIEW",IF(I262&gt;0,"MISSING ITEMS","OK"))))))</x:f>
      </x:c>
      <x:c r="K262" s="130" t="str">
        <x:f>IF(A262="","",IF(J262="OK","Yes","No"))</x:f>
      </x:c>
      <x:c r="L262" s="130" t="str">
        <x:f>IF(A262="","",IF(J262="OK","",IF(J262="NO CONSENT","Consent not affirmed",IF(J262="SPEEDING","Completion time below threshold",IF(J262="ATTENTION CHECK","Attention check failed",IF(J262="STRAIGHTLINE REVIEW","Straightlining review threshold met","Missing scored item(s)"))))))</x:f>
      </x:c>
      <x:c r="M262" s="119"/>
      <x:c r="N262" s="119"/>
      <x:c r="O262" s="119"/>
      <x:c r="P262" s="119"/>
      <x:c r="Q262" s="119"/>
      <x:c r="R262" s="119"/>
      <x:c r="S262" s="119"/>
      <x:c r="T262" s="119"/>
      <x:c r="U262" s="119"/>
      <x:c r="V262" s="119"/>
      <x:c r="W262" s="119"/>
      <x:c r="X262" s="119"/>
      <x:c r="Y262" s="133" t="str">
        <x:f>IF(K262&lt;&gt;"Yes","",IFERROR(AVERAGE(M262:X262),""))</x:f>
      </x:c>
      <x:c r="Z262" s="119"/>
    </x:row>
    <x:row r="263">
      <x:c r="A263" s="119"/>
      <x:c r="B263" s="119"/>
      <x:c r="C263" s="119"/>
      <x:c r="D263" s="119"/>
      <x:c r="E263" s="119"/>
      <x:c r="F263" s="119"/>
      <x:c r="G263" s="119"/>
      <x:c r="H263" s="130" t="str">
        <x:f>IF(A263="","",IF(AND(COUNTA(M263:X263)&gt;=SETUP!$B$10,COUNTIF(M263:X263,MAX(M263:X263))=COUNTA(M263:X263)),"Yes","No"))</x:f>
      </x:c>
      <x:c r="I263" s="130" t="str">
        <x:f>IF(A263="","",IF('SURVEY DESIGN'!C263&lt;&gt;"",--(M263=""),0)+IF('SURVEY DESIGN'!C264&lt;&gt;"",--(N263=""),0)+IF('SURVEY DESIGN'!C265&lt;&gt;"",--(O263=""),0)+IF('SURVEY DESIGN'!C266&lt;&gt;"",--(P263=""),0)+IF('SURVEY DESIGN'!C267&lt;&gt;"",--(Q263=""),0)+IF('SURVEY DESIGN'!C268&lt;&gt;"",--(R263=""),0)+IF('SURVEY DESIGN'!C269&lt;&gt;"",--(S263=""),0)+IF('SURVEY DESIGN'!C270&lt;&gt;"",--(T263=""),0)+IF('SURVEY DESIGN'!C271&lt;&gt;"",--(U263=""),0)+IF('SURVEY DESIGN'!C272&lt;&gt;"",--(V263=""),0)+IF('SURVEY DESIGN'!C273&lt;&gt;"",--(W263=""),0)+IF('SURVEY DESIGN'!C274&lt;&gt;"",--(X263=""),0))</x:f>
      </x:c>
      <x:c r="J263" s="130" t="str">
        <x:f>IF(A263="","",IF(C263&lt;&gt;"Yes","NO CONSENT",IF(F263&lt;SETUP!$B$9,"SPEEDING",IF(G263&lt;&gt;"Yes","ATTENTION CHECK",IF(H263="Yes","STRAIGHTLINE REVIEW",IF(I263&gt;0,"MISSING ITEMS","OK"))))))</x:f>
      </x:c>
      <x:c r="K263" s="130" t="str">
        <x:f>IF(A263="","",IF(J263="OK","Yes","No"))</x:f>
      </x:c>
      <x:c r="L263" s="130" t="str">
        <x:f>IF(A263="","",IF(J263="OK","",IF(J263="NO CONSENT","Consent not affirmed",IF(J263="SPEEDING","Completion time below threshold",IF(J263="ATTENTION CHECK","Attention check failed",IF(J263="STRAIGHTLINE REVIEW","Straightlining review threshold met","Missing scored item(s)"))))))</x:f>
      </x:c>
      <x:c r="M263" s="119"/>
      <x:c r="N263" s="119"/>
      <x:c r="O263" s="119"/>
      <x:c r="P263" s="119"/>
      <x:c r="Q263" s="119"/>
      <x:c r="R263" s="119"/>
      <x:c r="S263" s="119"/>
      <x:c r="T263" s="119"/>
      <x:c r="U263" s="119"/>
      <x:c r="V263" s="119"/>
      <x:c r="W263" s="119"/>
      <x:c r="X263" s="119"/>
      <x:c r="Y263" s="133" t="str">
        <x:f>IF(K263&lt;&gt;"Yes","",IFERROR(AVERAGE(M263:X263),""))</x:f>
      </x:c>
      <x:c r="Z263" s="119"/>
    </x:row>
    <x:row r="264">
      <x:c r="A264" s="119"/>
      <x:c r="B264" s="119"/>
      <x:c r="C264" s="119"/>
      <x:c r="D264" s="119"/>
      <x:c r="E264" s="119"/>
      <x:c r="F264" s="119"/>
      <x:c r="G264" s="119"/>
      <x:c r="H264" s="130" t="str">
        <x:f>IF(A264="","",IF(AND(COUNTA(M264:X264)&gt;=SETUP!$B$10,COUNTIF(M264:X264,MAX(M264:X264))=COUNTA(M264:X264)),"Yes","No"))</x:f>
      </x:c>
      <x:c r="I264" s="130" t="str">
        <x:f>IF(A264="","",IF('SURVEY DESIGN'!C264&lt;&gt;"",--(M264=""),0)+IF('SURVEY DESIGN'!C265&lt;&gt;"",--(N264=""),0)+IF('SURVEY DESIGN'!C266&lt;&gt;"",--(O264=""),0)+IF('SURVEY DESIGN'!C267&lt;&gt;"",--(P264=""),0)+IF('SURVEY DESIGN'!C268&lt;&gt;"",--(Q264=""),0)+IF('SURVEY DESIGN'!C269&lt;&gt;"",--(R264=""),0)+IF('SURVEY DESIGN'!C270&lt;&gt;"",--(S264=""),0)+IF('SURVEY DESIGN'!C271&lt;&gt;"",--(T264=""),0)+IF('SURVEY DESIGN'!C272&lt;&gt;"",--(U264=""),0)+IF('SURVEY DESIGN'!C273&lt;&gt;"",--(V264=""),0)+IF('SURVEY DESIGN'!C274&lt;&gt;"",--(W264=""),0)+IF('SURVEY DESIGN'!C275&lt;&gt;"",--(X264=""),0))</x:f>
      </x:c>
      <x:c r="J264" s="130" t="str">
        <x:f>IF(A264="","",IF(C264&lt;&gt;"Yes","NO CONSENT",IF(F264&lt;SETUP!$B$9,"SPEEDING",IF(G264&lt;&gt;"Yes","ATTENTION CHECK",IF(H264="Yes","STRAIGHTLINE REVIEW",IF(I264&gt;0,"MISSING ITEMS","OK"))))))</x:f>
      </x:c>
      <x:c r="K264" s="130" t="str">
        <x:f>IF(A264="","",IF(J264="OK","Yes","No"))</x:f>
      </x:c>
      <x:c r="L264" s="130" t="str">
        <x:f>IF(A264="","",IF(J264="OK","",IF(J264="NO CONSENT","Consent not affirmed",IF(J264="SPEEDING","Completion time below threshold",IF(J264="ATTENTION CHECK","Attention check failed",IF(J264="STRAIGHTLINE REVIEW","Straightlining review threshold met","Missing scored item(s)"))))))</x:f>
      </x:c>
      <x:c r="M264" s="119"/>
      <x:c r="N264" s="119"/>
      <x:c r="O264" s="119"/>
      <x:c r="P264" s="119"/>
      <x:c r="Q264" s="119"/>
      <x:c r="R264" s="119"/>
      <x:c r="S264" s="119"/>
      <x:c r="T264" s="119"/>
      <x:c r="U264" s="119"/>
      <x:c r="V264" s="119"/>
      <x:c r="W264" s="119"/>
      <x:c r="X264" s="119"/>
      <x:c r="Y264" s="133" t="str">
        <x:f>IF(K264&lt;&gt;"Yes","",IFERROR(AVERAGE(M264:X264),""))</x:f>
      </x:c>
      <x:c r="Z264" s="119"/>
    </x:row>
    <x:row r="265">
      <x:c r="A265" s="119"/>
      <x:c r="B265" s="119"/>
      <x:c r="C265" s="119"/>
      <x:c r="D265" s="119"/>
      <x:c r="E265" s="119"/>
      <x:c r="F265" s="119"/>
      <x:c r="G265" s="119"/>
      <x:c r="H265" s="130" t="str">
        <x:f>IF(A265="","",IF(AND(COUNTA(M265:X265)&gt;=SETUP!$B$10,COUNTIF(M265:X265,MAX(M265:X265))=COUNTA(M265:X265)),"Yes","No"))</x:f>
      </x:c>
      <x:c r="I265" s="130" t="str">
        <x:f>IF(A265="","",IF('SURVEY DESIGN'!C265&lt;&gt;"",--(M265=""),0)+IF('SURVEY DESIGN'!C266&lt;&gt;"",--(N265=""),0)+IF('SURVEY DESIGN'!C267&lt;&gt;"",--(O265=""),0)+IF('SURVEY DESIGN'!C268&lt;&gt;"",--(P265=""),0)+IF('SURVEY DESIGN'!C269&lt;&gt;"",--(Q265=""),0)+IF('SURVEY DESIGN'!C270&lt;&gt;"",--(R265=""),0)+IF('SURVEY DESIGN'!C271&lt;&gt;"",--(S265=""),0)+IF('SURVEY DESIGN'!C272&lt;&gt;"",--(T265=""),0)+IF('SURVEY DESIGN'!C273&lt;&gt;"",--(U265=""),0)+IF('SURVEY DESIGN'!C274&lt;&gt;"",--(V265=""),0)+IF('SURVEY DESIGN'!C275&lt;&gt;"",--(W265=""),0)+IF('SURVEY DESIGN'!C276&lt;&gt;"",--(X265=""),0))</x:f>
      </x:c>
      <x:c r="J265" s="130" t="str">
        <x:f>IF(A265="","",IF(C265&lt;&gt;"Yes","NO CONSENT",IF(F265&lt;SETUP!$B$9,"SPEEDING",IF(G265&lt;&gt;"Yes","ATTENTION CHECK",IF(H265="Yes","STRAIGHTLINE REVIEW",IF(I265&gt;0,"MISSING ITEMS","OK"))))))</x:f>
      </x:c>
      <x:c r="K265" s="130" t="str">
        <x:f>IF(A265="","",IF(J265="OK","Yes","No"))</x:f>
      </x:c>
      <x:c r="L265" s="130" t="str">
        <x:f>IF(A265="","",IF(J265="OK","",IF(J265="NO CONSENT","Consent not affirmed",IF(J265="SPEEDING","Completion time below threshold",IF(J265="ATTENTION CHECK","Attention check failed",IF(J265="STRAIGHTLINE REVIEW","Straightlining review threshold met","Missing scored item(s)"))))))</x:f>
      </x:c>
      <x:c r="M265" s="119"/>
      <x:c r="N265" s="119"/>
      <x:c r="O265" s="119"/>
      <x:c r="P265" s="119"/>
      <x:c r="Q265" s="119"/>
      <x:c r="R265" s="119"/>
      <x:c r="S265" s="119"/>
      <x:c r="T265" s="119"/>
      <x:c r="U265" s="119"/>
      <x:c r="V265" s="119"/>
      <x:c r="W265" s="119"/>
      <x:c r="X265" s="119"/>
      <x:c r="Y265" s="133" t="str">
        <x:f>IF(K265&lt;&gt;"Yes","",IFERROR(AVERAGE(M265:X265),""))</x:f>
      </x:c>
      <x:c r="Z265" s="119"/>
    </x:row>
    <x:row r="266">
      <x:c r="A266" s="119"/>
      <x:c r="B266" s="119"/>
      <x:c r="C266" s="119"/>
      <x:c r="D266" s="119"/>
      <x:c r="E266" s="119"/>
      <x:c r="F266" s="119"/>
      <x:c r="G266" s="119"/>
      <x:c r="H266" s="130" t="str">
        <x:f>IF(A266="","",IF(AND(COUNTA(M266:X266)&gt;=SETUP!$B$10,COUNTIF(M266:X266,MAX(M266:X266))=COUNTA(M266:X266)),"Yes","No"))</x:f>
      </x:c>
      <x:c r="I266" s="130" t="str">
        <x:f>IF(A266="","",IF('SURVEY DESIGN'!C266&lt;&gt;"",--(M266=""),0)+IF('SURVEY DESIGN'!C267&lt;&gt;"",--(N266=""),0)+IF('SURVEY DESIGN'!C268&lt;&gt;"",--(O266=""),0)+IF('SURVEY DESIGN'!C269&lt;&gt;"",--(P266=""),0)+IF('SURVEY DESIGN'!C270&lt;&gt;"",--(Q266=""),0)+IF('SURVEY DESIGN'!C271&lt;&gt;"",--(R266=""),0)+IF('SURVEY DESIGN'!C272&lt;&gt;"",--(S266=""),0)+IF('SURVEY DESIGN'!C273&lt;&gt;"",--(T266=""),0)+IF('SURVEY DESIGN'!C274&lt;&gt;"",--(U266=""),0)+IF('SURVEY DESIGN'!C275&lt;&gt;"",--(V266=""),0)+IF('SURVEY DESIGN'!C276&lt;&gt;"",--(W266=""),0)+IF('SURVEY DESIGN'!C277&lt;&gt;"",--(X266=""),0))</x:f>
      </x:c>
      <x:c r="J266" s="130" t="str">
        <x:f>IF(A266="","",IF(C266&lt;&gt;"Yes","NO CONSENT",IF(F266&lt;SETUP!$B$9,"SPEEDING",IF(G266&lt;&gt;"Yes","ATTENTION CHECK",IF(H266="Yes","STRAIGHTLINE REVIEW",IF(I266&gt;0,"MISSING ITEMS","OK"))))))</x:f>
      </x:c>
      <x:c r="K266" s="130" t="str">
        <x:f>IF(A266="","",IF(J266="OK","Yes","No"))</x:f>
      </x:c>
      <x:c r="L266" s="130" t="str">
        <x:f>IF(A266="","",IF(J266="OK","",IF(J266="NO CONSENT","Consent not affirmed",IF(J266="SPEEDING","Completion time below threshold",IF(J266="ATTENTION CHECK","Attention check failed",IF(J266="STRAIGHTLINE REVIEW","Straightlining review threshold met","Missing scored item(s)"))))))</x:f>
      </x:c>
      <x:c r="M266" s="119"/>
      <x:c r="N266" s="119"/>
      <x:c r="O266" s="119"/>
      <x:c r="P266" s="119"/>
      <x:c r="Q266" s="119"/>
      <x:c r="R266" s="119"/>
      <x:c r="S266" s="119"/>
      <x:c r="T266" s="119"/>
      <x:c r="U266" s="119"/>
      <x:c r="V266" s="119"/>
      <x:c r="W266" s="119"/>
      <x:c r="X266" s="119"/>
      <x:c r="Y266" s="133" t="str">
        <x:f>IF(K266&lt;&gt;"Yes","",IFERROR(AVERAGE(M266:X266),""))</x:f>
      </x:c>
      <x:c r="Z266" s="119"/>
    </x:row>
    <x:row r="267">
      <x:c r="A267" s="119"/>
      <x:c r="B267" s="119"/>
      <x:c r="C267" s="119"/>
      <x:c r="D267" s="119"/>
      <x:c r="E267" s="119"/>
      <x:c r="F267" s="119"/>
      <x:c r="G267" s="119"/>
      <x:c r="H267" s="130" t="str">
        <x:f>IF(A267="","",IF(AND(COUNTA(M267:X267)&gt;=SETUP!$B$10,COUNTIF(M267:X267,MAX(M267:X267))=COUNTA(M267:X267)),"Yes","No"))</x:f>
      </x:c>
      <x:c r="I267" s="130" t="str">
        <x:f>IF(A267="","",IF('SURVEY DESIGN'!C267&lt;&gt;"",--(M267=""),0)+IF('SURVEY DESIGN'!C268&lt;&gt;"",--(N267=""),0)+IF('SURVEY DESIGN'!C269&lt;&gt;"",--(O267=""),0)+IF('SURVEY DESIGN'!C270&lt;&gt;"",--(P267=""),0)+IF('SURVEY DESIGN'!C271&lt;&gt;"",--(Q267=""),0)+IF('SURVEY DESIGN'!C272&lt;&gt;"",--(R267=""),0)+IF('SURVEY DESIGN'!C273&lt;&gt;"",--(S267=""),0)+IF('SURVEY DESIGN'!C274&lt;&gt;"",--(T267=""),0)+IF('SURVEY DESIGN'!C275&lt;&gt;"",--(U267=""),0)+IF('SURVEY DESIGN'!C276&lt;&gt;"",--(V267=""),0)+IF('SURVEY DESIGN'!C277&lt;&gt;"",--(W267=""),0)+IF('SURVEY DESIGN'!C278&lt;&gt;"",--(X267=""),0))</x:f>
      </x:c>
      <x:c r="J267" s="130" t="str">
        <x:f>IF(A267="","",IF(C267&lt;&gt;"Yes","NO CONSENT",IF(F267&lt;SETUP!$B$9,"SPEEDING",IF(G267&lt;&gt;"Yes","ATTENTION CHECK",IF(H267="Yes","STRAIGHTLINE REVIEW",IF(I267&gt;0,"MISSING ITEMS","OK"))))))</x:f>
      </x:c>
      <x:c r="K267" s="130" t="str">
        <x:f>IF(A267="","",IF(J267="OK","Yes","No"))</x:f>
      </x:c>
      <x:c r="L267" s="130" t="str">
        <x:f>IF(A267="","",IF(J267="OK","",IF(J267="NO CONSENT","Consent not affirmed",IF(J267="SPEEDING","Completion time below threshold",IF(J267="ATTENTION CHECK","Attention check failed",IF(J267="STRAIGHTLINE REVIEW","Straightlining review threshold met","Missing scored item(s)"))))))</x:f>
      </x:c>
      <x:c r="M267" s="119"/>
      <x:c r="N267" s="119"/>
      <x:c r="O267" s="119"/>
      <x:c r="P267" s="119"/>
      <x:c r="Q267" s="119"/>
      <x:c r="R267" s="119"/>
      <x:c r="S267" s="119"/>
      <x:c r="T267" s="119"/>
      <x:c r="U267" s="119"/>
      <x:c r="V267" s="119"/>
      <x:c r="W267" s="119"/>
      <x:c r="X267" s="119"/>
      <x:c r="Y267" s="133" t="str">
        <x:f>IF(K267&lt;&gt;"Yes","",IFERROR(AVERAGE(M267:X267),""))</x:f>
      </x:c>
      <x:c r="Z267" s="119"/>
    </x:row>
    <x:row r="268">
      <x:c r="A268" s="119"/>
      <x:c r="B268" s="119"/>
      <x:c r="C268" s="119"/>
      <x:c r="D268" s="119"/>
      <x:c r="E268" s="119"/>
      <x:c r="F268" s="119"/>
      <x:c r="G268" s="119"/>
      <x:c r="H268" s="130" t="str">
        <x:f>IF(A268="","",IF(AND(COUNTA(M268:X268)&gt;=SETUP!$B$10,COUNTIF(M268:X268,MAX(M268:X268))=COUNTA(M268:X268)),"Yes","No"))</x:f>
      </x:c>
      <x:c r="I268" s="130" t="str">
        <x:f>IF(A268="","",IF('SURVEY DESIGN'!C268&lt;&gt;"",--(M268=""),0)+IF('SURVEY DESIGN'!C269&lt;&gt;"",--(N268=""),0)+IF('SURVEY DESIGN'!C270&lt;&gt;"",--(O268=""),0)+IF('SURVEY DESIGN'!C271&lt;&gt;"",--(P268=""),0)+IF('SURVEY DESIGN'!C272&lt;&gt;"",--(Q268=""),0)+IF('SURVEY DESIGN'!C273&lt;&gt;"",--(R268=""),0)+IF('SURVEY DESIGN'!C274&lt;&gt;"",--(S268=""),0)+IF('SURVEY DESIGN'!C275&lt;&gt;"",--(T268=""),0)+IF('SURVEY DESIGN'!C276&lt;&gt;"",--(U268=""),0)+IF('SURVEY DESIGN'!C277&lt;&gt;"",--(V268=""),0)+IF('SURVEY DESIGN'!C278&lt;&gt;"",--(W268=""),0)+IF('SURVEY DESIGN'!C279&lt;&gt;"",--(X268=""),0))</x:f>
      </x:c>
      <x:c r="J268" s="130" t="str">
        <x:f>IF(A268="","",IF(C268&lt;&gt;"Yes","NO CONSENT",IF(F268&lt;SETUP!$B$9,"SPEEDING",IF(G268&lt;&gt;"Yes","ATTENTION CHECK",IF(H268="Yes","STRAIGHTLINE REVIEW",IF(I268&gt;0,"MISSING ITEMS","OK"))))))</x:f>
      </x:c>
      <x:c r="K268" s="130" t="str">
        <x:f>IF(A268="","",IF(J268="OK","Yes","No"))</x:f>
      </x:c>
      <x:c r="L268" s="130" t="str">
        <x:f>IF(A268="","",IF(J268="OK","",IF(J268="NO CONSENT","Consent not affirmed",IF(J268="SPEEDING","Completion time below threshold",IF(J268="ATTENTION CHECK","Attention check failed",IF(J268="STRAIGHTLINE REVIEW","Straightlining review threshold met","Missing scored item(s)"))))))</x:f>
      </x:c>
      <x:c r="M268" s="119"/>
      <x:c r="N268" s="119"/>
      <x:c r="O268" s="119"/>
      <x:c r="P268" s="119"/>
      <x:c r="Q268" s="119"/>
      <x:c r="R268" s="119"/>
      <x:c r="S268" s="119"/>
      <x:c r="T268" s="119"/>
      <x:c r="U268" s="119"/>
      <x:c r="V268" s="119"/>
      <x:c r="W268" s="119"/>
      <x:c r="X268" s="119"/>
      <x:c r="Y268" s="133" t="str">
        <x:f>IF(K268&lt;&gt;"Yes","",IFERROR(AVERAGE(M268:X268),""))</x:f>
      </x:c>
      <x:c r="Z268" s="119"/>
    </x:row>
    <x:row r="269">
      <x:c r="A269" s="119"/>
      <x:c r="B269" s="119"/>
      <x:c r="C269" s="119"/>
      <x:c r="D269" s="119"/>
      <x:c r="E269" s="119"/>
      <x:c r="F269" s="119"/>
      <x:c r="G269" s="119"/>
      <x:c r="H269" s="130" t="str">
        <x:f>IF(A269="","",IF(AND(COUNTA(M269:X269)&gt;=SETUP!$B$10,COUNTIF(M269:X269,MAX(M269:X269))=COUNTA(M269:X269)),"Yes","No"))</x:f>
      </x:c>
      <x:c r="I269" s="130" t="str">
        <x:f>IF(A269="","",IF('SURVEY DESIGN'!C269&lt;&gt;"",--(M269=""),0)+IF('SURVEY DESIGN'!C270&lt;&gt;"",--(N269=""),0)+IF('SURVEY DESIGN'!C271&lt;&gt;"",--(O269=""),0)+IF('SURVEY DESIGN'!C272&lt;&gt;"",--(P269=""),0)+IF('SURVEY DESIGN'!C273&lt;&gt;"",--(Q269=""),0)+IF('SURVEY DESIGN'!C274&lt;&gt;"",--(R269=""),0)+IF('SURVEY DESIGN'!C275&lt;&gt;"",--(S269=""),0)+IF('SURVEY DESIGN'!C276&lt;&gt;"",--(T269=""),0)+IF('SURVEY DESIGN'!C277&lt;&gt;"",--(U269=""),0)+IF('SURVEY DESIGN'!C278&lt;&gt;"",--(V269=""),0)+IF('SURVEY DESIGN'!C279&lt;&gt;"",--(W269=""),0)+IF('SURVEY DESIGN'!C280&lt;&gt;"",--(X269=""),0))</x:f>
      </x:c>
      <x:c r="J269" s="130" t="str">
        <x:f>IF(A269="","",IF(C269&lt;&gt;"Yes","NO CONSENT",IF(F269&lt;SETUP!$B$9,"SPEEDING",IF(G269&lt;&gt;"Yes","ATTENTION CHECK",IF(H269="Yes","STRAIGHTLINE REVIEW",IF(I269&gt;0,"MISSING ITEMS","OK"))))))</x:f>
      </x:c>
      <x:c r="K269" s="130" t="str">
        <x:f>IF(A269="","",IF(J269="OK","Yes","No"))</x:f>
      </x:c>
      <x:c r="L269" s="130" t="str">
        <x:f>IF(A269="","",IF(J269="OK","",IF(J269="NO CONSENT","Consent not affirmed",IF(J269="SPEEDING","Completion time below threshold",IF(J269="ATTENTION CHECK","Attention check failed",IF(J269="STRAIGHTLINE REVIEW","Straightlining review threshold met","Missing scored item(s)"))))))</x:f>
      </x:c>
      <x:c r="M269" s="119"/>
      <x:c r="N269" s="119"/>
      <x:c r="O269" s="119"/>
      <x:c r="P269" s="119"/>
      <x:c r="Q269" s="119"/>
      <x:c r="R269" s="119"/>
      <x:c r="S269" s="119"/>
      <x:c r="T269" s="119"/>
      <x:c r="U269" s="119"/>
      <x:c r="V269" s="119"/>
      <x:c r="W269" s="119"/>
      <x:c r="X269" s="119"/>
      <x:c r="Y269" s="133" t="str">
        <x:f>IF(K269&lt;&gt;"Yes","",IFERROR(AVERAGE(M269:X269),""))</x:f>
      </x:c>
      <x:c r="Z269" s="119"/>
    </x:row>
    <x:row r="270">
      <x:c r="A270" s="119"/>
      <x:c r="B270" s="119"/>
      <x:c r="C270" s="119"/>
      <x:c r="D270" s="119"/>
      <x:c r="E270" s="119"/>
      <x:c r="F270" s="119"/>
      <x:c r="G270" s="119"/>
      <x:c r="H270" s="130" t="str">
        <x:f>IF(A270="","",IF(AND(COUNTA(M270:X270)&gt;=SETUP!$B$10,COUNTIF(M270:X270,MAX(M270:X270))=COUNTA(M270:X270)),"Yes","No"))</x:f>
      </x:c>
      <x:c r="I270" s="130" t="str">
        <x:f>IF(A270="","",IF('SURVEY DESIGN'!C270&lt;&gt;"",--(M270=""),0)+IF('SURVEY DESIGN'!C271&lt;&gt;"",--(N270=""),0)+IF('SURVEY DESIGN'!C272&lt;&gt;"",--(O270=""),0)+IF('SURVEY DESIGN'!C273&lt;&gt;"",--(P270=""),0)+IF('SURVEY DESIGN'!C274&lt;&gt;"",--(Q270=""),0)+IF('SURVEY DESIGN'!C275&lt;&gt;"",--(R270=""),0)+IF('SURVEY DESIGN'!C276&lt;&gt;"",--(S270=""),0)+IF('SURVEY DESIGN'!C277&lt;&gt;"",--(T270=""),0)+IF('SURVEY DESIGN'!C278&lt;&gt;"",--(U270=""),0)+IF('SURVEY DESIGN'!C279&lt;&gt;"",--(V270=""),0)+IF('SURVEY DESIGN'!C280&lt;&gt;"",--(W270=""),0)+IF('SURVEY DESIGN'!C281&lt;&gt;"",--(X270=""),0))</x:f>
      </x:c>
      <x:c r="J270" s="130" t="str">
        <x:f>IF(A270="","",IF(C270&lt;&gt;"Yes","NO CONSENT",IF(F270&lt;SETUP!$B$9,"SPEEDING",IF(G270&lt;&gt;"Yes","ATTENTION CHECK",IF(H270="Yes","STRAIGHTLINE REVIEW",IF(I270&gt;0,"MISSING ITEMS","OK"))))))</x:f>
      </x:c>
      <x:c r="K270" s="130" t="str">
        <x:f>IF(A270="","",IF(J270="OK","Yes","No"))</x:f>
      </x:c>
      <x:c r="L270" s="130" t="str">
        <x:f>IF(A270="","",IF(J270="OK","",IF(J270="NO CONSENT","Consent not affirmed",IF(J270="SPEEDING","Completion time below threshold",IF(J270="ATTENTION CHECK","Attention check failed",IF(J270="STRAIGHTLINE REVIEW","Straightlining review threshold met","Missing scored item(s)"))))))</x:f>
      </x:c>
      <x:c r="M270" s="119"/>
      <x:c r="N270" s="119"/>
      <x:c r="O270" s="119"/>
      <x:c r="P270" s="119"/>
      <x:c r="Q270" s="119"/>
      <x:c r="R270" s="119"/>
      <x:c r="S270" s="119"/>
      <x:c r="T270" s="119"/>
      <x:c r="U270" s="119"/>
      <x:c r="V270" s="119"/>
      <x:c r="W270" s="119"/>
      <x:c r="X270" s="119"/>
      <x:c r="Y270" s="133" t="str">
        <x:f>IF(K270&lt;&gt;"Yes","",IFERROR(AVERAGE(M270:X270),""))</x:f>
      </x:c>
      <x:c r="Z270" s="119"/>
    </x:row>
    <x:row r="271">
      <x:c r="A271" s="119"/>
      <x:c r="B271" s="119"/>
      <x:c r="C271" s="119"/>
      <x:c r="D271" s="119"/>
      <x:c r="E271" s="119"/>
      <x:c r="F271" s="119"/>
      <x:c r="G271" s="119"/>
      <x:c r="H271" s="130" t="str">
        <x:f>IF(A271="","",IF(AND(COUNTA(M271:X271)&gt;=SETUP!$B$10,COUNTIF(M271:X271,MAX(M271:X271))=COUNTA(M271:X271)),"Yes","No"))</x:f>
      </x:c>
      <x:c r="I271" s="130" t="str">
        <x:f>IF(A271="","",IF('SURVEY DESIGN'!C271&lt;&gt;"",--(M271=""),0)+IF('SURVEY DESIGN'!C272&lt;&gt;"",--(N271=""),0)+IF('SURVEY DESIGN'!C273&lt;&gt;"",--(O271=""),0)+IF('SURVEY DESIGN'!C274&lt;&gt;"",--(P271=""),0)+IF('SURVEY DESIGN'!C275&lt;&gt;"",--(Q271=""),0)+IF('SURVEY DESIGN'!C276&lt;&gt;"",--(R271=""),0)+IF('SURVEY DESIGN'!C277&lt;&gt;"",--(S271=""),0)+IF('SURVEY DESIGN'!C278&lt;&gt;"",--(T271=""),0)+IF('SURVEY DESIGN'!C279&lt;&gt;"",--(U271=""),0)+IF('SURVEY DESIGN'!C280&lt;&gt;"",--(V271=""),0)+IF('SURVEY DESIGN'!C281&lt;&gt;"",--(W271=""),0)+IF('SURVEY DESIGN'!C282&lt;&gt;"",--(X271=""),0))</x:f>
      </x:c>
      <x:c r="J271" s="130" t="str">
        <x:f>IF(A271="","",IF(C271&lt;&gt;"Yes","NO CONSENT",IF(F271&lt;SETUP!$B$9,"SPEEDING",IF(G271&lt;&gt;"Yes","ATTENTION CHECK",IF(H271="Yes","STRAIGHTLINE REVIEW",IF(I271&gt;0,"MISSING ITEMS","OK"))))))</x:f>
      </x:c>
      <x:c r="K271" s="130" t="str">
        <x:f>IF(A271="","",IF(J271="OK","Yes","No"))</x:f>
      </x:c>
      <x:c r="L271" s="130" t="str">
        <x:f>IF(A271="","",IF(J271="OK","",IF(J271="NO CONSENT","Consent not affirmed",IF(J271="SPEEDING","Completion time below threshold",IF(J271="ATTENTION CHECK","Attention check failed",IF(J271="STRAIGHTLINE REVIEW","Straightlining review threshold met","Missing scored item(s)"))))))</x:f>
      </x:c>
      <x:c r="M271" s="119"/>
      <x:c r="N271" s="119"/>
      <x:c r="O271" s="119"/>
      <x:c r="P271" s="119"/>
      <x:c r="Q271" s="119"/>
      <x:c r="R271" s="119"/>
      <x:c r="S271" s="119"/>
      <x:c r="T271" s="119"/>
      <x:c r="U271" s="119"/>
      <x:c r="V271" s="119"/>
      <x:c r="W271" s="119"/>
      <x:c r="X271" s="119"/>
      <x:c r="Y271" s="133" t="str">
        <x:f>IF(K271&lt;&gt;"Yes","",IFERROR(AVERAGE(M271:X271),""))</x:f>
      </x:c>
      <x:c r="Z271" s="119"/>
    </x:row>
    <x:row r="272">
      <x:c r="A272" s="119"/>
      <x:c r="B272" s="119"/>
      <x:c r="C272" s="119"/>
      <x:c r="D272" s="119"/>
      <x:c r="E272" s="119"/>
      <x:c r="F272" s="119"/>
      <x:c r="G272" s="119"/>
      <x:c r="H272" s="130" t="str">
        <x:f>IF(A272="","",IF(AND(COUNTA(M272:X272)&gt;=SETUP!$B$10,COUNTIF(M272:X272,MAX(M272:X272))=COUNTA(M272:X272)),"Yes","No"))</x:f>
      </x:c>
      <x:c r="I272" s="130" t="str">
        <x:f>IF(A272="","",IF('SURVEY DESIGN'!C272&lt;&gt;"",--(M272=""),0)+IF('SURVEY DESIGN'!C273&lt;&gt;"",--(N272=""),0)+IF('SURVEY DESIGN'!C274&lt;&gt;"",--(O272=""),0)+IF('SURVEY DESIGN'!C275&lt;&gt;"",--(P272=""),0)+IF('SURVEY DESIGN'!C276&lt;&gt;"",--(Q272=""),0)+IF('SURVEY DESIGN'!C277&lt;&gt;"",--(R272=""),0)+IF('SURVEY DESIGN'!C278&lt;&gt;"",--(S272=""),0)+IF('SURVEY DESIGN'!C279&lt;&gt;"",--(T272=""),0)+IF('SURVEY DESIGN'!C280&lt;&gt;"",--(U272=""),0)+IF('SURVEY DESIGN'!C281&lt;&gt;"",--(V272=""),0)+IF('SURVEY DESIGN'!C282&lt;&gt;"",--(W272=""),0)+IF('SURVEY DESIGN'!C283&lt;&gt;"",--(X272=""),0))</x:f>
      </x:c>
      <x:c r="J272" s="130" t="str">
        <x:f>IF(A272="","",IF(C272&lt;&gt;"Yes","NO CONSENT",IF(F272&lt;SETUP!$B$9,"SPEEDING",IF(G272&lt;&gt;"Yes","ATTENTION CHECK",IF(H272="Yes","STRAIGHTLINE REVIEW",IF(I272&gt;0,"MISSING ITEMS","OK"))))))</x:f>
      </x:c>
      <x:c r="K272" s="130" t="str">
        <x:f>IF(A272="","",IF(J272="OK","Yes","No"))</x:f>
      </x:c>
      <x:c r="L272" s="130" t="str">
        <x:f>IF(A272="","",IF(J272="OK","",IF(J272="NO CONSENT","Consent not affirmed",IF(J272="SPEEDING","Completion time below threshold",IF(J272="ATTENTION CHECK","Attention check failed",IF(J272="STRAIGHTLINE REVIEW","Straightlining review threshold met","Missing scored item(s)"))))))</x:f>
      </x:c>
      <x:c r="M272" s="119"/>
      <x:c r="N272" s="119"/>
      <x:c r="O272" s="119"/>
      <x:c r="P272" s="119"/>
      <x:c r="Q272" s="119"/>
      <x:c r="R272" s="119"/>
      <x:c r="S272" s="119"/>
      <x:c r="T272" s="119"/>
      <x:c r="U272" s="119"/>
      <x:c r="V272" s="119"/>
      <x:c r="W272" s="119"/>
      <x:c r="X272" s="119"/>
      <x:c r="Y272" s="133" t="str">
        <x:f>IF(K272&lt;&gt;"Yes","",IFERROR(AVERAGE(M272:X272),""))</x:f>
      </x:c>
      <x:c r="Z272" s="119"/>
    </x:row>
    <x:row r="273">
      <x:c r="A273" s="119"/>
      <x:c r="B273" s="119"/>
      <x:c r="C273" s="119"/>
      <x:c r="D273" s="119"/>
      <x:c r="E273" s="119"/>
      <x:c r="F273" s="119"/>
      <x:c r="G273" s="119"/>
      <x:c r="H273" s="130" t="str">
        <x:f>IF(A273="","",IF(AND(COUNTA(M273:X273)&gt;=SETUP!$B$10,COUNTIF(M273:X273,MAX(M273:X273))=COUNTA(M273:X273)),"Yes","No"))</x:f>
      </x:c>
      <x:c r="I273" s="130" t="str">
        <x:f>IF(A273="","",IF('SURVEY DESIGN'!C273&lt;&gt;"",--(M273=""),0)+IF('SURVEY DESIGN'!C274&lt;&gt;"",--(N273=""),0)+IF('SURVEY DESIGN'!C275&lt;&gt;"",--(O273=""),0)+IF('SURVEY DESIGN'!C276&lt;&gt;"",--(P273=""),0)+IF('SURVEY DESIGN'!C277&lt;&gt;"",--(Q273=""),0)+IF('SURVEY DESIGN'!C278&lt;&gt;"",--(R273=""),0)+IF('SURVEY DESIGN'!C279&lt;&gt;"",--(S273=""),0)+IF('SURVEY DESIGN'!C280&lt;&gt;"",--(T273=""),0)+IF('SURVEY DESIGN'!C281&lt;&gt;"",--(U273=""),0)+IF('SURVEY DESIGN'!C282&lt;&gt;"",--(V273=""),0)+IF('SURVEY DESIGN'!C283&lt;&gt;"",--(W273=""),0)+IF('SURVEY DESIGN'!C284&lt;&gt;"",--(X273=""),0))</x:f>
      </x:c>
      <x:c r="J273" s="130" t="str">
        <x:f>IF(A273="","",IF(C273&lt;&gt;"Yes","NO CONSENT",IF(F273&lt;SETUP!$B$9,"SPEEDING",IF(G273&lt;&gt;"Yes","ATTENTION CHECK",IF(H273="Yes","STRAIGHTLINE REVIEW",IF(I273&gt;0,"MISSING ITEMS","OK"))))))</x:f>
      </x:c>
      <x:c r="K273" s="130" t="str">
        <x:f>IF(A273="","",IF(J273="OK","Yes","No"))</x:f>
      </x:c>
      <x:c r="L273" s="130" t="str">
        <x:f>IF(A273="","",IF(J273="OK","",IF(J273="NO CONSENT","Consent not affirmed",IF(J273="SPEEDING","Completion time below threshold",IF(J273="ATTENTION CHECK","Attention check failed",IF(J273="STRAIGHTLINE REVIEW","Straightlining review threshold met","Missing scored item(s)"))))))</x:f>
      </x:c>
      <x:c r="M273" s="119"/>
      <x:c r="N273" s="119"/>
      <x:c r="O273" s="119"/>
      <x:c r="P273" s="119"/>
      <x:c r="Q273" s="119"/>
      <x:c r="R273" s="119"/>
      <x:c r="S273" s="119"/>
      <x:c r="T273" s="119"/>
      <x:c r="U273" s="119"/>
      <x:c r="V273" s="119"/>
      <x:c r="W273" s="119"/>
      <x:c r="X273" s="119"/>
      <x:c r="Y273" s="133" t="str">
        <x:f>IF(K273&lt;&gt;"Yes","",IFERROR(AVERAGE(M273:X273),""))</x:f>
      </x:c>
      <x:c r="Z273" s="119"/>
    </x:row>
    <x:row r="274">
      <x:c r="A274" s="119"/>
      <x:c r="B274" s="119"/>
      <x:c r="C274" s="119"/>
      <x:c r="D274" s="119"/>
      <x:c r="E274" s="119"/>
      <x:c r="F274" s="119"/>
      <x:c r="G274" s="119"/>
      <x:c r="H274" s="130" t="str">
        <x:f>IF(A274="","",IF(AND(COUNTA(M274:X274)&gt;=SETUP!$B$10,COUNTIF(M274:X274,MAX(M274:X274))=COUNTA(M274:X274)),"Yes","No"))</x:f>
      </x:c>
      <x:c r="I274" s="130" t="str">
        <x:f>IF(A274="","",IF('SURVEY DESIGN'!C274&lt;&gt;"",--(M274=""),0)+IF('SURVEY DESIGN'!C275&lt;&gt;"",--(N274=""),0)+IF('SURVEY DESIGN'!C276&lt;&gt;"",--(O274=""),0)+IF('SURVEY DESIGN'!C277&lt;&gt;"",--(P274=""),0)+IF('SURVEY DESIGN'!C278&lt;&gt;"",--(Q274=""),0)+IF('SURVEY DESIGN'!C279&lt;&gt;"",--(R274=""),0)+IF('SURVEY DESIGN'!C280&lt;&gt;"",--(S274=""),0)+IF('SURVEY DESIGN'!C281&lt;&gt;"",--(T274=""),0)+IF('SURVEY DESIGN'!C282&lt;&gt;"",--(U274=""),0)+IF('SURVEY DESIGN'!C283&lt;&gt;"",--(V274=""),0)+IF('SURVEY DESIGN'!C284&lt;&gt;"",--(W274=""),0)+IF('SURVEY DESIGN'!C285&lt;&gt;"",--(X274=""),0))</x:f>
      </x:c>
      <x:c r="J274" s="130" t="str">
        <x:f>IF(A274="","",IF(C274&lt;&gt;"Yes","NO CONSENT",IF(F274&lt;SETUP!$B$9,"SPEEDING",IF(G274&lt;&gt;"Yes","ATTENTION CHECK",IF(H274="Yes","STRAIGHTLINE REVIEW",IF(I274&gt;0,"MISSING ITEMS","OK"))))))</x:f>
      </x:c>
      <x:c r="K274" s="130" t="str">
        <x:f>IF(A274="","",IF(J274="OK","Yes","No"))</x:f>
      </x:c>
      <x:c r="L274" s="130" t="str">
        <x:f>IF(A274="","",IF(J274="OK","",IF(J274="NO CONSENT","Consent not affirmed",IF(J274="SPEEDING","Completion time below threshold",IF(J274="ATTENTION CHECK","Attention check failed",IF(J274="STRAIGHTLINE REVIEW","Straightlining review threshold met","Missing scored item(s)"))))))</x:f>
      </x:c>
      <x:c r="M274" s="119"/>
      <x:c r="N274" s="119"/>
      <x:c r="O274" s="119"/>
      <x:c r="P274" s="119"/>
      <x:c r="Q274" s="119"/>
      <x:c r="R274" s="119"/>
      <x:c r="S274" s="119"/>
      <x:c r="T274" s="119"/>
      <x:c r="U274" s="119"/>
      <x:c r="V274" s="119"/>
      <x:c r="W274" s="119"/>
      <x:c r="X274" s="119"/>
      <x:c r="Y274" s="133" t="str">
        <x:f>IF(K274&lt;&gt;"Yes","",IFERROR(AVERAGE(M274:X274),""))</x:f>
      </x:c>
      <x:c r="Z274" s="119"/>
    </x:row>
    <x:row r="275">
      <x:c r="A275" s="119"/>
      <x:c r="B275" s="119"/>
      <x:c r="C275" s="119"/>
      <x:c r="D275" s="119"/>
      <x:c r="E275" s="119"/>
      <x:c r="F275" s="119"/>
      <x:c r="G275" s="119"/>
      <x:c r="H275" s="130" t="str">
        <x:f>IF(A275="","",IF(AND(COUNTA(M275:X275)&gt;=SETUP!$B$10,COUNTIF(M275:X275,MAX(M275:X275))=COUNTA(M275:X275)),"Yes","No"))</x:f>
      </x:c>
      <x:c r="I275" s="130" t="str">
        <x:f>IF(A275="","",IF('SURVEY DESIGN'!C275&lt;&gt;"",--(M275=""),0)+IF('SURVEY DESIGN'!C276&lt;&gt;"",--(N275=""),0)+IF('SURVEY DESIGN'!C277&lt;&gt;"",--(O275=""),0)+IF('SURVEY DESIGN'!C278&lt;&gt;"",--(P275=""),0)+IF('SURVEY DESIGN'!C279&lt;&gt;"",--(Q275=""),0)+IF('SURVEY DESIGN'!C280&lt;&gt;"",--(R275=""),0)+IF('SURVEY DESIGN'!C281&lt;&gt;"",--(S275=""),0)+IF('SURVEY DESIGN'!C282&lt;&gt;"",--(T275=""),0)+IF('SURVEY DESIGN'!C283&lt;&gt;"",--(U275=""),0)+IF('SURVEY DESIGN'!C284&lt;&gt;"",--(V275=""),0)+IF('SURVEY DESIGN'!C285&lt;&gt;"",--(W275=""),0)+IF('SURVEY DESIGN'!C286&lt;&gt;"",--(X275=""),0))</x:f>
      </x:c>
      <x:c r="J275" s="130" t="str">
        <x:f>IF(A275="","",IF(C275&lt;&gt;"Yes","NO CONSENT",IF(F275&lt;SETUP!$B$9,"SPEEDING",IF(G275&lt;&gt;"Yes","ATTENTION CHECK",IF(H275="Yes","STRAIGHTLINE REVIEW",IF(I275&gt;0,"MISSING ITEMS","OK"))))))</x:f>
      </x:c>
      <x:c r="K275" s="130" t="str">
        <x:f>IF(A275="","",IF(J275="OK","Yes","No"))</x:f>
      </x:c>
      <x:c r="L275" s="130" t="str">
        <x:f>IF(A275="","",IF(J275="OK","",IF(J275="NO CONSENT","Consent not affirmed",IF(J275="SPEEDING","Completion time below threshold",IF(J275="ATTENTION CHECK","Attention check failed",IF(J275="STRAIGHTLINE REVIEW","Straightlining review threshold met","Missing scored item(s)"))))))</x:f>
      </x:c>
      <x:c r="M275" s="119"/>
      <x:c r="N275" s="119"/>
      <x:c r="O275" s="119"/>
      <x:c r="P275" s="119"/>
      <x:c r="Q275" s="119"/>
      <x:c r="R275" s="119"/>
      <x:c r="S275" s="119"/>
      <x:c r="T275" s="119"/>
      <x:c r="U275" s="119"/>
      <x:c r="V275" s="119"/>
      <x:c r="W275" s="119"/>
      <x:c r="X275" s="119"/>
      <x:c r="Y275" s="133" t="str">
        <x:f>IF(K275&lt;&gt;"Yes","",IFERROR(AVERAGE(M275:X275),""))</x:f>
      </x:c>
      <x:c r="Z275" s="119"/>
    </x:row>
    <x:row r="276">
      <x:c r="A276" s="119"/>
      <x:c r="B276" s="119"/>
      <x:c r="C276" s="119"/>
      <x:c r="D276" s="119"/>
      <x:c r="E276" s="119"/>
      <x:c r="F276" s="119"/>
      <x:c r="G276" s="119"/>
      <x:c r="H276" s="130" t="str">
        <x:f>IF(A276="","",IF(AND(COUNTA(M276:X276)&gt;=SETUP!$B$10,COUNTIF(M276:X276,MAX(M276:X276))=COUNTA(M276:X276)),"Yes","No"))</x:f>
      </x:c>
      <x:c r="I276" s="130" t="str">
        <x:f>IF(A276="","",IF('SURVEY DESIGN'!C276&lt;&gt;"",--(M276=""),0)+IF('SURVEY DESIGN'!C277&lt;&gt;"",--(N276=""),0)+IF('SURVEY DESIGN'!C278&lt;&gt;"",--(O276=""),0)+IF('SURVEY DESIGN'!C279&lt;&gt;"",--(P276=""),0)+IF('SURVEY DESIGN'!C280&lt;&gt;"",--(Q276=""),0)+IF('SURVEY DESIGN'!C281&lt;&gt;"",--(R276=""),0)+IF('SURVEY DESIGN'!C282&lt;&gt;"",--(S276=""),0)+IF('SURVEY DESIGN'!C283&lt;&gt;"",--(T276=""),0)+IF('SURVEY DESIGN'!C284&lt;&gt;"",--(U276=""),0)+IF('SURVEY DESIGN'!C285&lt;&gt;"",--(V276=""),0)+IF('SURVEY DESIGN'!C286&lt;&gt;"",--(W276=""),0)+IF('SURVEY DESIGN'!C287&lt;&gt;"",--(X276=""),0))</x:f>
      </x:c>
      <x:c r="J276" s="130" t="str">
        <x:f>IF(A276="","",IF(C276&lt;&gt;"Yes","NO CONSENT",IF(F276&lt;SETUP!$B$9,"SPEEDING",IF(G276&lt;&gt;"Yes","ATTENTION CHECK",IF(H276="Yes","STRAIGHTLINE REVIEW",IF(I276&gt;0,"MISSING ITEMS","OK"))))))</x:f>
      </x:c>
      <x:c r="K276" s="130" t="str">
        <x:f>IF(A276="","",IF(J276="OK","Yes","No"))</x:f>
      </x:c>
      <x:c r="L276" s="130" t="str">
        <x:f>IF(A276="","",IF(J276="OK","",IF(J276="NO CONSENT","Consent not affirmed",IF(J276="SPEEDING","Completion time below threshold",IF(J276="ATTENTION CHECK","Attention check failed",IF(J276="STRAIGHTLINE REVIEW","Straightlining review threshold met","Missing scored item(s)"))))))</x:f>
      </x:c>
      <x:c r="M276" s="119"/>
      <x:c r="N276" s="119"/>
      <x:c r="O276" s="119"/>
      <x:c r="P276" s="119"/>
      <x:c r="Q276" s="119"/>
      <x:c r="R276" s="119"/>
      <x:c r="S276" s="119"/>
      <x:c r="T276" s="119"/>
      <x:c r="U276" s="119"/>
      <x:c r="V276" s="119"/>
      <x:c r="W276" s="119"/>
      <x:c r="X276" s="119"/>
      <x:c r="Y276" s="133" t="str">
        <x:f>IF(K276&lt;&gt;"Yes","",IFERROR(AVERAGE(M276:X276),""))</x:f>
      </x:c>
      <x:c r="Z276" s="119"/>
    </x:row>
    <x:row r="277">
      <x:c r="A277" s="119"/>
      <x:c r="B277" s="119"/>
      <x:c r="C277" s="119"/>
      <x:c r="D277" s="119"/>
      <x:c r="E277" s="119"/>
      <x:c r="F277" s="119"/>
      <x:c r="G277" s="119"/>
      <x:c r="H277" s="130" t="str">
        <x:f>IF(A277="","",IF(AND(COUNTA(M277:X277)&gt;=SETUP!$B$10,COUNTIF(M277:X277,MAX(M277:X277))=COUNTA(M277:X277)),"Yes","No"))</x:f>
      </x:c>
      <x:c r="I277" s="130" t="str">
        <x:f>IF(A277="","",IF('SURVEY DESIGN'!C277&lt;&gt;"",--(M277=""),0)+IF('SURVEY DESIGN'!C278&lt;&gt;"",--(N277=""),0)+IF('SURVEY DESIGN'!C279&lt;&gt;"",--(O277=""),0)+IF('SURVEY DESIGN'!C280&lt;&gt;"",--(P277=""),0)+IF('SURVEY DESIGN'!C281&lt;&gt;"",--(Q277=""),0)+IF('SURVEY DESIGN'!C282&lt;&gt;"",--(R277=""),0)+IF('SURVEY DESIGN'!C283&lt;&gt;"",--(S277=""),0)+IF('SURVEY DESIGN'!C284&lt;&gt;"",--(T277=""),0)+IF('SURVEY DESIGN'!C285&lt;&gt;"",--(U277=""),0)+IF('SURVEY DESIGN'!C286&lt;&gt;"",--(V277=""),0)+IF('SURVEY DESIGN'!C287&lt;&gt;"",--(W277=""),0)+IF('SURVEY DESIGN'!C288&lt;&gt;"",--(X277=""),0))</x:f>
      </x:c>
      <x:c r="J277" s="130" t="str">
        <x:f>IF(A277="","",IF(C277&lt;&gt;"Yes","NO CONSENT",IF(F277&lt;SETUP!$B$9,"SPEEDING",IF(G277&lt;&gt;"Yes","ATTENTION CHECK",IF(H277="Yes","STRAIGHTLINE REVIEW",IF(I277&gt;0,"MISSING ITEMS","OK"))))))</x:f>
      </x:c>
      <x:c r="K277" s="130" t="str">
        <x:f>IF(A277="","",IF(J277="OK","Yes","No"))</x:f>
      </x:c>
      <x:c r="L277" s="130" t="str">
        <x:f>IF(A277="","",IF(J277="OK","",IF(J277="NO CONSENT","Consent not affirmed",IF(J277="SPEEDING","Completion time below threshold",IF(J277="ATTENTION CHECK","Attention check failed",IF(J277="STRAIGHTLINE REVIEW","Straightlining review threshold met","Missing scored item(s)"))))))</x:f>
      </x:c>
      <x:c r="M277" s="119"/>
      <x:c r="N277" s="119"/>
      <x:c r="O277" s="119"/>
      <x:c r="P277" s="119"/>
      <x:c r="Q277" s="119"/>
      <x:c r="R277" s="119"/>
      <x:c r="S277" s="119"/>
      <x:c r="T277" s="119"/>
      <x:c r="U277" s="119"/>
      <x:c r="V277" s="119"/>
      <x:c r="W277" s="119"/>
      <x:c r="X277" s="119"/>
      <x:c r="Y277" s="133" t="str">
        <x:f>IF(K277&lt;&gt;"Yes","",IFERROR(AVERAGE(M277:X277),""))</x:f>
      </x:c>
      <x:c r="Z277" s="119"/>
    </x:row>
    <x:row r="278">
      <x:c r="A278" s="119"/>
      <x:c r="B278" s="119"/>
      <x:c r="C278" s="119"/>
      <x:c r="D278" s="119"/>
      <x:c r="E278" s="119"/>
      <x:c r="F278" s="119"/>
      <x:c r="G278" s="119"/>
      <x:c r="H278" s="130" t="str">
        <x:f>IF(A278="","",IF(AND(COUNTA(M278:X278)&gt;=SETUP!$B$10,COUNTIF(M278:X278,MAX(M278:X278))=COUNTA(M278:X278)),"Yes","No"))</x:f>
      </x:c>
      <x:c r="I278" s="130" t="str">
        <x:f>IF(A278="","",IF('SURVEY DESIGN'!C278&lt;&gt;"",--(M278=""),0)+IF('SURVEY DESIGN'!C279&lt;&gt;"",--(N278=""),0)+IF('SURVEY DESIGN'!C280&lt;&gt;"",--(O278=""),0)+IF('SURVEY DESIGN'!C281&lt;&gt;"",--(P278=""),0)+IF('SURVEY DESIGN'!C282&lt;&gt;"",--(Q278=""),0)+IF('SURVEY DESIGN'!C283&lt;&gt;"",--(R278=""),0)+IF('SURVEY DESIGN'!C284&lt;&gt;"",--(S278=""),0)+IF('SURVEY DESIGN'!C285&lt;&gt;"",--(T278=""),0)+IF('SURVEY DESIGN'!C286&lt;&gt;"",--(U278=""),0)+IF('SURVEY DESIGN'!C287&lt;&gt;"",--(V278=""),0)+IF('SURVEY DESIGN'!C288&lt;&gt;"",--(W278=""),0)+IF('SURVEY DESIGN'!C289&lt;&gt;"",--(X278=""),0))</x:f>
      </x:c>
      <x:c r="J278" s="130" t="str">
        <x:f>IF(A278="","",IF(C278&lt;&gt;"Yes","NO CONSENT",IF(F278&lt;SETUP!$B$9,"SPEEDING",IF(G278&lt;&gt;"Yes","ATTENTION CHECK",IF(H278="Yes","STRAIGHTLINE REVIEW",IF(I278&gt;0,"MISSING ITEMS","OK"))))))</x:f>
      </x:c>
      <x:c r="K278" s="130" t="str">
        <x:f>IF(A278="","",IF(J278="OK","Yes","No"))</x:f>
      </x:c>
      <x:c r="L278" s="130" t="str">
        <x:f>IF(A278="","",IF(J278="OK","",IF(J278="NO CONSENT","Consent not affirmed",IF(J278="SPEEDING","Completion time below threshold",IF(J278="ATTENTION CHECK","Attention check failed",IF(J278="STRAIGHTLINE REVIEW","Straightlining review threshold met","Missing scored item(s)"))))))</x:f>
      </x:c>
      <x:c r="M278" s="119"/>
      <x:c r="N278" s="119"/>
      <x:c r="O278" s="119"/>
      <x:c r="P278" s="119"/>
      <x:c r="Q278" s="119"/>
      <x:c r="R278" s="119"/>
      <x:c r="S278" s="119"/>
      <x:c r="T278" s="119"/>
      <x:c r="U278" s="119"/>
      <x:c r="V278" s="119"/>
      <x:c r="W278" s="119"/>
      <x:c r="X278" s="119"/>
      <x:c r="Y278" s="133" t="str">
        <x:f>IF(K278&lt;&gt;"Yes","",IFERROR(AVERAGE(M278:X278),""))</x:f>
      </x:c>
      <x:c r="Z278" s="119"/>
    </x:row>
    <x:row r="279">
      <x:c r="A279" s="119"/>
      <x:c r="B279" s="119"/>
      <x:c r="C279" s="119"/>
      <x:c r="D279" s="119"/>
      <x:c r="E279" s="119"/>
      <x:c r="F279" s="119"/>
      <x:c r="G279" s="119"/>
      <x:c r="H279" s="130" t="str">
        <x:f>IF(A279="","",IF(AND(COUNTA(M279:X279)&gt;=SETUP!$B$10,COUNTIF(M279:X279,MAX(M279:X279))=COUNTA(M279:X279)),"Yes","No"))</x:f>
      </x:c>
      <x:c r="I279" s="130" t="str">
        <x:f>IF(A279="","",IF('SURVEY DESIGN'!C279&lt;&gt;"",--(M279=""),0)+IF('SURVEY DESIGN'!C280&lt;&gt;"",--(N279=""),0)+IF('SURVEY DESIGN'!C281&lt;&gt;"",--(O279=""),0)+IF('SURVEY DESIGN'!C282&lt;&gt;"",--(P279=""),0)+IF('SURVEY DESIGN'!C283&lt;&gt;"",--(Q279=""),0)+IF('SURVEY DESIGN'!C284&lt;&gt;"",--(R279=""),0)+IF('SURVEY DESIGN'!C285&lt;&gt;"",--(S279=""),0)+IF('SURVEY DESIGN'!C286&lt;&gt;"",--(T279=""),0)+IF('SURVEY DESIGN'!C287&lt;&gt;"",--(U279=""),0)+IF('SURVEY DESIGN'!C288&lt;&gt;"",--(V279=""),0)+IF('SURVEY DESIGN'!C289&lt;&gt;"",--(W279=""),0)+IF('SURVEY DESIGN'!C290&lt;&gt;"",--(X279=""),0))</x:f>
      </x:c>
      <x:c r="J279" s="130" t="str">
        <x:f>IF(A279="","",IF(C279&lt;&gt;"Yes","NO CONSENT",IF(F279&lt;SETUP!$B$9,"SPEEDING",IF(G279&lt;&gt;"Yes","ATTENTION CHECK",IF(H279="Yes","STRAIGHTLINE REVIEW",IF(I279&gt;0,"MISSING ITEMS","OK"))))))</x:f>
      </x:c>
      <x:c r="K279" s="130" t="str">
        <x:f>IF(A279="","",IF(J279="OK","Yes","No"))</x:f>
      </x:c>
      <x:c r="L279" s="130" t="str">
        <x:f>IF(A279="","",IF(J279="OK","",IF(J279="NO CONSENT","Consent not affirmed",IF(J279="SPEEDING","Completion time below threshold",IF(J279="ATTENTION CHECK","Attention check failed",IF(J279="STRAIGHTLINE REVIEW","Straightlining review threshold met","Missing scored item(s)"))))))</x:f>
      </x:c>
      <x:c r="M279" s="119"/>
      <x:c r="N279" s="119"/>
      <x:c r="O279" s="119"/>
      <x:c r="P279" s="119"/>
      <x:c r="Q279" s="119"/>
      <x:c r="R279" s="119"/>
      <x:c r="S279" s="119"/>
      <x:c r="T279" s="119"/>
      <x:c r="U279" s="119"/>
      <x:c r="V279" s="119"/>
      <x:c r="W279" s="119"/>
      <x:c r="X279" s="119"/>
      <x:c r="Y279" s="133" t="str">
        <x:f>IF(K279&lt;&gt;"Yes","",IFERROR(AVERAGE(M279:X279),""))</x:f>
      </x:c>
      <x:c r="Z279" s="119"/>
    </x:row>
    <x:row r="280">
      <x:c r="A280" s="119"/>
      <x:c r="B280" s="119"/>
      <x:c r="C280" s="119"/>
      <x:c r="D280" s="119"/>
      <x:c r="E280" s="119"/>
      <x:c r="F280" s="119"/>
      <x:c r="G280" s="119"/>
      <x:c r="H280" s="130" t="str">
        <x:f>IF(A280="","",IF(AND(COUNTA(M280:X280)&gt;=SETUP!$B$10,COUNTIF(M280:X280,MAX(M280:X280))=COUNTA(M280:X280)),"Yes","No"))</x:f>
      </x:c>
      <x:c r="I280" s="130" t="str">
        <x:f>IF(A280="","",IF('SURVEY DESIGN'!C280&lt;&gt;"",--(M280=""),0)+IF('SURVEY DESIGN'!C281&lt;&gt;"",--(N280=""),0)+IF('SURVEY DESIGN'!C282&lt;&gt;"",--(O280=""),0)+IF('SURVEY DESIGN'!C283&lt;&gt;"",--(P280=""),0)+IF('SURVEY DESIGN'!C284&lt;&gt;"",--(Q280=""),0)+IF('SURVEY DESIGN'!C285&lt;&gt;"",--(R280=""),0)+IF('SURVEY DESIGN'!C286&lt;&gt;"",--(S280=""),0)+IF('SURVEY DESIGN'!C287&lt;&gt;"",--(T280=""),0)+IF('SURVEY DESIGN'!C288&lt;&gt;"",--(U280=""),0)+IF('SURVEY DESIGN'!C289&lt;&gt;"",--(V280=""),0)+IF('SURVEY DESIGN'!C290&lt;&gt;"",--(W280=""),0)+IF('SURVEY DESIGN'!C291&lt;&gt;"",--(X280=""),0))</x:f>
      </x:c>
      <x:c r="J280" s="130" t="str">
        <x:f>IF(A280="","",IF(C280&lt;&gt;"Yes","NO CONSENT",IF(F280&lt;SETUP!$B$9,"SPEEDING",IF(G280&lt;&gt;"Yes","ATTENTION CHECK",IF(H280="Yes","STRAIGHTLINE REVIEW",IF(I280&gt;0,"MISSING ITEMS","OK"))))))</x:f>
      </x:c>
      <x:c r="K280" s="130" t="str">
        <x:f>IF(A280="","",IF(J280="OK","Yes","No"))</x:f>
      </x:c>
      <x:c r="L280" s="130" t="str">
        <x:f>IF(A280="","",IF(J280="OK","",IF(J280="NO CONSENT","Consent not affirmed",IF(J280="SPEEDING","Completion time below threshold",IF(J280="ATTENTION CHECK","Attention check failed",IF(J280="STRAIGHTLINE REVIEW","Straightlining review threshold met","Missing scored item(s)"))))))</x:f>
      </x:c>
      <x:c r="M280" s="119"/>
      <x:c r="N280" s="119"/>
      <x:c r="O280" s="119"/>
      <x:c r="P280" s="119"/>
      <x:c r="Q280" s="119"/>
      <x:c r="R280" s="119"/>
      <x:c r="S280" s="119"/>
      <x:c r="T280" s="119"/>
      <x:c r="U280" s="119"/>
      <x:c r="V280" s="119"/>
      <x:c r="W280" s="119"/>
      <x:c r="X280" s="119"/>
      <x:c r="Y280" s="133" t="str">
        <x:f>IF(K280&lt;&gt;"Yes","",IFERROR(AVERAGE(M280:X280),""))</x:f>
      </x:c>
      <x:c r="Z280" s="119"/>
    </x:row>
    <x:row r="281">
      <x:c r="A281" s="119"/>
      <x:c r="B281" s="119"/>
      <x:c r="C281" s="119"/>
      <x:c r="D281" s="119"/>
      <x:c r="E281" s="119"/>
      <x:c r="F281" s="119"/>
      <x:c r="G281" s="119"/>
      <x:c r="H281" s="130" t="str">
        <x:f>IF(A281="","",IF(AND(COUNTA(M281:X281)&gt;=SETUP!$B$10,COUNTIF(M281:X281,MAX(M281:X281))=COUNTA(M281:X281)),"Yes","No"))</x:f>
      </x:c>
      <x:c r="I281" s="130" t="str">
        <x:f>IF(A281="","",IF('SURVEY DESIGN'!C281&lt;&gt;"",--(M281=""),0)+IF('SURVEY DESIGN'!C282&lt;&gt;"",--(N281=""),0)+IF('SURVEY DESIGN'!C283&lt;&gt;"",--(O281=""),0)+IF('SURVEY DESIGN'!C284&lt;&gt;"",--(P281=""),0)+IF('SURVEY DESIGN'!C285&lt;&gt;"",--(Q281=""),0)+IF('SURVEY DESIGN'!C286&lt;&gt;"",--(R281=""),0)+IF('SURVEY DESIGN'!C287&lt;&gt;"",--(S281=""),0)+IF('SURVEY DESIGN'!C288&lt;&gt;"",--(T281=""),0)+IF('SURVEY DESIGN'!C289&lt;&gt;"",--(U281=""),0)+IF('SURVEY DESIGN'!C290&lt;&gt;"",--(V281=""),0)+IF('SURVEY DESIGN'!C291&lt;&gt;"",--(W281=""),0)+IF('SURVEY DESIGN'!C292&lt;&gt;"",--(X281=""),0))</x:f>
      </x:c>
      <x:c r="J281" s="130" t="str">
        <x:f>IF(A281="","",IF(C281&lt;&gt;"Yes","NO CONSENT",IF(F281&lt;SETUP!$B$9,"SPEEDING",IF(G281&lt;&gt;"Yes","ATTENTION CHECK",IF(H281="Yes","STRAIGHTLINE REVIEW",IF(I281&gt;0,"MISSING ITEMS","OK"))))))</x:f>
      </x:c>
      <x:c r="K281" s="130" t="str">
        <x:f>IF(A281="","",IF(J281="OK","Yes","No"))</x:f>
      </x:c>
      <x:c r="L281" s="130" t="str">
        <x:f>IF(A281="","",IF(J281="OK","",IF(J281="NO CONSENT","Consent not affirmed",IF(J281="SPEEDING","Completion time below threshold",IF(J281="ATTENTION CHECK","Attention check failed",IF(J281="STRAIGHTLINE REVIEW","Straightlining review threshold met","Missing scored item(s)"))))))</x:f>
      </x:c>
      <x:c r="M281" s="119"/>
      <x:c r="N281" s="119"/>
      <x:c r="O281" s="119"/>
      <x:c r="P281" s="119"/>
      <x:c r="Q281" s="119"/>
      <x:c r="R281" s="119"/>
      <x:c r="S281" s="119"/>
      <x:c r="T281" s="119"/>
      <x:c r="U281" s="119"/>
      <x:c r="V281" s="119"/>
      <x:c r="W281" s="119"/>
      <x:c r="X281" s="119"/>
      <x:c r="Y281" s="133" t="str">
        <x:f>IF(K281&lt;&gt;"Yes","",IFERROR(AVERAGE(M281:X281),""))</x:f>
      </x:c>
      <x:c r="Z281" s="119"/>
    </x:row>
    <x:row r="282">
      <x:c r="A282" s="119"/>
      <x:c r="B282" s="119"/>
      <x:c r="C282" s="119"/>
      <x:c r="D282" s="119"/>
      <x:c r="E282" s="119"/>
      <x:c r="F282" s="119"/>
      <x:c r="G282" s="119"/>
      <x:c r="H282" s="130" t="str">
        <x:f>IF(A282="","",IF(AND(COUNTA(M282:X282)&gt;=SETUP!$B$10,COUNTIF(M282:X282,MAX(M282:X282))=COUNTA(M282:X282)),"Yes","No"))</x:f>
      </x:c>
      <x:c r="I282" s="130" t="str">
        <x:f>IF(A282="","",IF('SURVEY DESIGN'!C282&lt;&gt;"",--(M282=""),0)+IF('SURVEY DESIGN'!C283&lt;&gt;"",--(N282=""),0)+IF('SURVEY DESIGN'!C284&lt;&gt;"",--(O282=""),0)+IF('SURVEY DESIGN'!C285&lt;&gt;"",--(P282=""),0)+IF('SURVEY DESIGN'!C286&lt;&gt;"",--(Q282=""),0)+IF('SURVEY DESIGN'!C287&lt;&gt;"",--(R282=""),0)+IF('SURVEY DESIGN'!C288&lt;&gt;"",--(S282=""),0)+IF('SURVEY DESIGN'!C289&lt;&gt;"",--(T282=""),0)+IF('SURVEY DESIGN'!C290&lt;&gt;"",--(U282=""),0)+IF('SURVEY DESIGN'!C291&lt;&gt;"",--(V282=""),0)+IF('SURVEY DESIGN'!C292&lt;&gt;"",--(W282=""),0)+IF('SURVEY DESIGN'!C293&lt;&gt;"",--(X282=""),0))</x:f>
      </x:c>
      <x:c r="J282" s="130" t="str">
        <x:f>IF(A282="","",IF(C282&lt;&gt;"Yes","NO CONSENT",IF(F282&lt;SETUP!$B$9,"SPEEDING",IF(G282&lt;&gt;"Yes","ATTENTION CHECK",IF(H282="Yes","STRAIGHTLINE REVIEW",IF(I282&gt;0,"MISSING ITEMS","OK"))))))</x:f>
      </x:c>
      <x:c r="K282" s="130" t="str">
        <x:f>IF(A282="","",IF(J282="OK","Yes","No"))</x:f>
      </x:c>
      <x:c r="L282" s="130" t="str">
        <x:f>IF(A282="","",IF(J282="OK","",IF(J282="NO CONSENT","Consent not affirmed",IF(J282="SPEEDING","Completion time below threshold",IF(J282="ATTENTION CHECK","Attention check failed",IF(J282="STRAIGHTLINE REVIEW","Straightlining review threshold met","Missing scored item(s)"))))))</x:f>
      </x:c>
      <x:c r="M282" s="119"/>
      <x:c r="N282" s="119"/>
      <x:c r="O282" s="119"/>
      <x:c r="P282" s="119"/>
      <x:c r="Q282" s="119"/>
      <x:c r="R282" s="119"/>
      <x:c r="S282" s="119"/>
      <x:c r="T282" s="119"/>
      <x:c r="U282" s="119"/>
      <x:c r="V282" s="119"/>
      <x:c r="W282" s="119"/>
      <x:c r="X282" s="119"/>
      <x:c r="Y282" s="133" t="str">
        <x:f>IF(K282&lt;&gt;"Yes","",IFERROR(AVERAGE(M282:X282),""))</x:f>
      </x:c>
      <x:c r="Z282" s="119"/>
    </x:row>
    <x:row r="283">
      <x:c r="A283" s="119"/>
      <x:c r="B283" s="119"/>
      <x:c r="C283" s="119"/>
      <x:c r="D283" s="119"/>
      <x:c r="E283" s="119"/>
      <x:c r="F283" s="119"/>
      <x:c r="G283" s="119"/>
      <x:c r="H283" s="130" t="str">
        <x:f>IF(A283="","",IF(AND(COUNTA(M283:X283)&gt;=SETUP!$B$10,COUNTIF(M283:X283,MAX(M283:X283))=COUNTA(M283:X283)),"Yes","No"))</x:f>
      </x:c>
      <x:c r="I283" s="130" t="str">
        <x:f>IF(A283="","",IF('SURVEY DESIGN'!C283&lt;&gt;"",--(M283=""),0)+IF('SURVEY DESIGN'!C284&lt;&gt;"",--(N283=""),0)+IF('SURVEY DESIGN'!C285&lt;&gt;"",--(O283=""),0)+IF('SURVEY DESIGN'!C286&lt;&gt;"",--(P283=""),0)+IF('SURVEY DESIGN'!C287&lt;&gt;"",--(Q283=""),0)+IF('SURVEY DESIGN'!C288&lt;&gt;"",--(R283=""),0)+IF('SURVEY DESIGN'!C289&lt;&gt;"",--(S283=""),0)+IF('SURVEY DESIGN'!C290&lt;&gt;"",--(T283=""),0)+IF('SURVEY DESIGN'!C291&lt;&gt;"",--(U283=""),0)+IF('SURVEY DESIGN'!C292&lt;&gt;"",--(V283=""),0)+IF('SURVEY DESIGN'!C293&lt;&gt;"",--(W283=""),0)+IF('SURVEY DESIGN'!C294&lt;&gt;"",--(X283=""),0))</x:f>
      </x:c>
      <x:c r="J283" s="130" t="str">
        <x:f>IF(A283="","",IF(C283&lt;&gt;"Yes","NO CONSENT",IF(F283&lt;SETUP!$B$9,"SPEEDING",IF(G283&lt;&gt;"Yes","ATTENTION CHECK",IF(H283="Yes","STRAIGHTLINE REVIEW",IF(I283&gt;0,"MISSING ITEMS","OK"))))))</x:f>
      </x:c>
      <x:c r="K283" s="130" t="str">
        <x:f>IF(A283="","",IF(J283="OK","Yes","No"))</x:f>
      </x:c>
      <x:c r="L283" s="130" t="str">
        <x:f>IF(A283="","",IF(J283="OK","",IF(J283="NO CONSENT","Consent not affirmed",IF(J283="SPEEDING","Completion time below threshold",IF(J283="ATTENTION CHECK","Attention check failed",IF(J283="STRAIGHTLINE REVIEW","Straightlining review threshold met","Missing scored item(s)"))))))</x:f>
      </x:c>
      <x:c r="M283" s="119"/>
      <x:c r="N283" s="119"/>
      <x:c r="O283" s="119"/>
      <x:c r="P283" s="119"/>
      <x:c r="Q283" s="119"/>
      <x:c r="R283" s="119"/>
      <x:c r="S283" s="119"/>
      <x:c r="T283" s="119"/>
      <x:c r="U283" s="119"/>
      <x:c r="V283" s="119"/>
      <x:c r="W283" s="119"/>
      <x:c r="X283" s="119"/>
      <x:c r="Y283" s="133" t="str">
        <x:f>IF(K283&lt;&gt;"Yes","",IFERROR(AVERAGE(M283:X283),""))</x:f>
      </x:c>
      <x:c r="Z283" s="119"/>
    </x:row>
    <x:row r="284">
      <x:c r="A284" s="119"/>
      <x:c r="B284" s="119"/>
      <x:c r="C284" s="119"/>
      <x:c r="D284" s="119"/>
      <x:c r="E284" s="119"/>
      <x:c r="F284" s="119"/>
      <x:c r="G284" s="119"/>
      <x:c r="H284" s="130" t="str">
        <x:f>IF(A284="","",IF(AND(COUNTA(M284:X284)&gt;=SETUP!$B$10,COUNTIF(M284:X284,MAX(M284:X284))=COUNTA(M284:X284)),"Yes","No"))</x:f>
      </x:c>
      <x:c r="I284" s="130" t="str">
        <x:f>IF(A284="","",IF('SURVEY DESIGN'!C284&lt;&gt;"",--(M284=""),0)+IF('SURVEY DESIGN'!C285&lt;&gt;"",--(N284=""),0)+IF('SURVEY DESIGN'!C286&lt;&gt;"",--(O284=""),0)+IF('SURVEY DESIGN'!C287&lt;&gt;"",--(P284=""),0)+IF('SURVEY DESIGN'!C288&lt;&gt;"",--(Q284=""),0)+IF('SURVEY DESIGN'!C289&lt;&gt;"",--(R284=""),0)+IF('SURVEY DESIGN'!C290&lt;&gt;"",--(S284=""),0)+IF('SURVEY DESIGN'!C291&lt;&gt;"",--(T284=""),0)+IF('SURVEY DESIGN'!C292&lt;&gt;"",--(U284=""),0)+IF('SURVEY DESIGN'!C293&lt;&gt;"",--(V284=""),0)+IF('SURVEY DESIGN'!C294&lt;&gt;"",--(W284=""),0)+IF('SURVEY DESIGN'!C295&lt;&gt;"",--(X284=""),0))</x:f>
      </x:c>
      <x:c r="J284" s="130" t="str">
        <x:f>IF(A284="","",IF(C284&lt;&gt;"Yes","NO CONSENT",IF(F284&lt;SETUP!$B$9,"SPEEDING",IF(G284&lt;&gt;"Yes","ATTENTION CHECK",IF(H284="Yes","STRAIGHTLINE REVIEW",IF(I284&gt;0,"MISSING ITEMS","OK"))))))</x:f>
      </x:c>
      <x:c r="K284" s="130" t="str">
        <x:f>IF(A284="","",IF(J284="OK","Yes","No"))</x:f>
      </x:c>
      <x:c r="L284" s="130" t="str">
        <x:f>IF(A284="","",IF(J284="OK","",IF(J284="NO CONSENT","Consent not affirmed",IF(J284="SPEEDING","Completion time below threshold",IF(J284="ATTENTION CHECK","Attention check failed",IF(J284="STRAIGHTLINE REVIEW","Straightlining review threshold met","Missing scored item(s)"))))))</x:f>
      </x:c>
      <x:c r="M284" s="119"/>
      <x:c r="N284" s="119"/>
      <x:c r="O284" s="119"/>
      <x:c r="P284" s="119"/>
      <x:c r="Q284" s="119"/>
      <x:c r="R284" s="119"/>
      <x:c r="S284" s="119"/>
      <x:c r="T284" s="119"/>
      <x:c r="U284" s="119"/>
      <x:c r="V284" s="119"/>
      <x:c r="W284" s="119"/>
      <x:c r="X284" s="119"/>
      <x:c r="Y284" s="133" t="str">
        <x:f>IF(K284&lt;&gt;"Yes","",IFERROR(AVERAGE(M284:X284),""))</x:f>
      </x:c>
      <x:c r="Z284" s="119"/>
    </x:row>
    <x:row r="285">
      <x:c r="A285" s="119"/>
      <x:c r="B285" s="119"/>
      <x:c r="C285" s="119"/>
      <x:c r="D285" s="119"/>
      <x:c r="E285" s="119"/>
      <x:c r="F285" s="119"/>
      <x:c r="G285" s="119"/>
      <x:c r="H285" s="130" t="str">
        <x:f>IF(A285="","",IF(AND(COUNTA(M285:X285)&gt;=SETUP!$B$10,COUNTIF(M285:X285,MAX(M285:X285))=COUNTA(M285:X285)),"Yes","No"))</x:f>
      </x:c>
      <x:c r="I285" s="130" t="str">
        <x:f>IF(A285="","",IF('SURVEY DESIGN'!C285&lt;&gt;"",--(M285=""),0)+IF('SURVEY DESIGN'!C286&lt;&gt;"",--(N285=""),0)+IF('SURVEY DESIGN'!C287&lt;&gt;"",--(O285=""),0)+IF('SURVEY DESIGN'!C288&lt;&gt;"",--(P285=""),0)+IF('SURVEY DESIGN'!C289&lt;&gt;"",--(Q285=""),0)+IF('SURVEY DESIGN'!C290&lt;&gt;"",--(R285=""),0)+IF('SURVEY DESIGN'!C291&lt;&gt;"",--(S285=""),0)+IF('SURVEY DESIGN'!C292&lt;&gt;"",--(T285=""),0)+IF('SURVEY DESIGN'!C293&lt;&gt;"",--(U285=""),0)+IF('SURVEY DESIGN'!C294&lt;&gt;"",--(V285=""),0)+IF('SURVEY DESIGN'!C295&lt;&gt;"",--(W285=""),0)+IF('SURVEY DESIGN'!C296&lt;&gt;"",--(X285=""),0))</x:f>
      </x:c>
      <x:c r="J285" s="130" t="str">
        <x:f>IF(A285="","",IF(C285&lt;&gt;"Yes","NO CONSENT",IF(F285&lt;SETUP!$B$9,"SPEEDING",IF(G285&lt;&gt;"Yes","ATTENTION CHECK",IF(H285="Yes","STRAIGHTLINE REVIEW",IF(I285&gt;0,"MISSING ITEMS","OK"))))))</x:f>
      </x:c>
      <x:c r="K285" s="130" t="str">
        <x:f>IF(A285="","",IF(J285="OK","Yes","No"))</x:f>
      </x:c>
      <x:c r="L285" s="130" t="str">
        <x:f>IF(A285="","",IF(J285="OK","",IF(J285="NO CONSENT","Consent not affirmed",IF(J285="SPEEDING","Completion time below threshold",IF(J285="ATTENTION CHECK","Attention check failed",IF(J285="STRAIGHTLINE REVIEW","Straightlining review threshold met","Missing scored item(s)"))))))</x:f>
      </x:c>
      <x:c r="M285" s="119"/>
      <x:c r="N285" s="119"/>
      <x:c r="O285" s="119"/>
      <x:c r="P285" s="119"/>
      <x:c r="Q285" s="119"/>
      <x:c r="R285" s="119"/>
      <x:c r="S285" s="119"/>
      <x:c r="T285" s="119"/>
      <x:c r="U285" s="119"/>
      <x:c r="V285" s="119"/>
      <x:c r="W285" s="119"/>
      <x:c r="X285" s="119"/>
      <x:c r="Y285" s="133" t="str">
        <x:f>IF(K285&lt;&gt;"Yes","",IFERROR(AVERAGE(M285:X285),""))</x:f>
      </x:c>
      <x:c r="Z285" s="119"/>
    </x:row>
    <x:row r="286">
      <x:c r="A286" s="119"/>
      <x:c r="B286" s="119"/>
      <x:c r="C286" s="119"/>
      <x:c r="D286" s="119"/>
      <x:c r="E286" s="119"/>
      <x:c r="F286" s="119"/>
      <x:c r="G286" s="119"/>
      <x:c r="H286" s="130" t="str">
        <x:f>IF(A286="","",IF(AND(COUNTA(M286:X286)&gt;=SETUP!$B$10,COUNTIF(M286:X286,MAX(M286:X286))=COUNTA(M286:X286)),"Yes","No"))</x:f>
      </x:c>
      <x:c r="I286" s="130" t="str">
        <x:f>IF(A286="","",IF('SURVEY DESIGN'!C286&lt;&gt;"",--(M286=""),0)+IF('SURVEY DESIGN'!C287&lt;&gt;"",--(N286=""),0)+IF('SURVEY DESIGN'!C288&lt;&gt;"",--(O286=""),0)+IF('SURVEY DESIGN'!C289&lt;&gt;"",--(P286=""),0)+IF('SURVEY DESIGN'!C290&lt;&gt;"",--(Q286=""),0)+IF('SURVEY DESIGN'!C291&lt;&gt;"",--(R286=""),0)+IF('SURVEY DESIGN'!C292&lt;&gt;"",--(S286=""),0)+IF('SURVEY DESIGN'!C293&lt;&gt;"",--(T286=""),0)+IF('SURVEY DESIGN'!C294&lt;&gt;"",--(U286=""),0)+IF('SURVEY DESIGN'!C295&lt;&gt;"",--(V286=""),0)+IF('SURVEY DESIGN'!C296&lt;&gt;"",--(W286=""),0)+IF('SURVEY DESIGN'!C297&lt;&gt;"",--(X286=""),0))</x:f>
      </x:c>
      <x:c r="J286" s="130" t="str">
        <x:f>IF(A286="","",IF(C286&lt;&gt;"Yes","NO CONSENT",IF(F286&lt;SETUP!$B$9,"SPEEDING",IF(G286&lt;&gt;"Yes","ATTENTION CHECK",IF(H286="Yes","STRAIGHTLINE REVIEW",IF(I286&gt;0,"MISSING ITEMS","OK"))))))</x:f>
      </x:c>
      <x:c r="K286" s="130" t="str">
        <x:f>IF(A286="","",IF(J286="OK","Yes","No"))</x:f>
      </x:c>
      <x:c r="L286" s="130" t="str">
        <x:f>IF(A286="","",IF(J286="OK","",IF(J286="NO CONSENT","Consent not affirmed",IF(J286="SPEEDING","Completion time below threshold",IF(J286="ATTENTION CHECK","Attention check failed",IF(J286="STRAIGHTLINE REVIEW","Straightlining review threshold met","Missing scored item(s)"))))))</x:f>
      </x:c>
      <x:c r="M286" s="119"/>
      <x:c r="N286" s="119"/>
      <x:c r="O286" s="119"/>
      <x:c r="P286" s="119"/>
      <x:c r="Q286" s="119"/>
      <x:c r="R286" s="119"/>
      <x:c r="S286" s="119"/>
      <x:c r="T286" s="119"/>
      <x:c r="U286" s="119"/>
      <x:c r="V286" s="119"/>
      <x:c r="W286" s="119"/>
      <x:c r="X286" s="119"/>
      <x:c r="Y286" s="133" t="str">
        <x:f>IF(K286&lt;&gt;"Yes","",IFERROR(AVERAGE(M286:X286),""))</x:f>
      </x:c>
      <x:c r="Z286" s="119"/>
    </x:row>
    <x:row r="287">
      <x:c r="A287" s="119"/>
      <x:c r="B287" s="119"/>
      <x:c r="C287" s="119"/>
      <x:c r="D287" s="119"/>
      <x:c r="E287" s="119"/>
      <x:c r="F287" s="119"/>
      <x:c r="G287" s="119"/>
      <x:c r="H287" s="130" t="str">
        <x:f>IF(A287="","",IF(AND(COUNTA(M287:X287)&gt;=SETUP!$B$10,COUNTIF(M287:X287,MAX(M287:X287))=COUNTA(M287:X287)),"Yes","No"))</x:f>
      </x:c>
      <x:c r="I287" s="130" t="str">
        <x:f>IF(A287="","",IF('SURVEY DESIGN'!C287&lt;&gt;"",--(M287=""),0)+IF('SURVEY DESIGN'!C288&lt;&gt;"",--(N287=""),0)+IF('SURVEY DESIGN'!C289&lt;&gt;"",--(O287=""),0)+IF('SURVEY DESIGN'!C290&lt;&gt;"",--(P287=""),0)+IF('SURVEY DESIGN'!C291&lt;&gt;"",--(Q287=""),0)+IF('SURVEY DESIGN'!C292&lt;&gt;"",--(R287=""),0)+IF('SURVEY DESIGN'!C293&lt;&gt;"",--(S287=""),0)+IF('SURVEY DESIGN'!C294&lt;&gt;"",--(T287=""),0)+IF('SURVEY DESIGN'!C295&lt;&gt;"",--(U287=""),0)+IF('SURVEY DESIGN'!C296&lt;&gt;"",--(V287=""),0)+IF('SURVEY DESIGN'!C297&lt;&gt;"",--(W287=""),0)+IF('SURVEY DESIGN'!C298&lt;&gt;"",--(X287=""),0))</x:f>
      </x:c>
      <x:c r="J287" s="130" t="str">
        <x:f>IF(A287="","",IF(C287&lt;&gt;"Yes","NO CONSENT",IF(F287&lt;SETUP!$B$9,"SPEEDING",IF(G287&lt;&gt;"Yes","ATTENTION CHECK",IF(H287="Yes","STRAIGHTLINE REVIEW",IF(I287&gt;0,"MISSING ITEMS","OK"))))))</x:f>
      </x:c>
      <x:c r="K287" s="130" t="str">
        <x:f>IF(A287="","",IF(J287="OK","Yes","No"))</x:f>
      </x:c>
      <x:c r="L287" s="130" t="str">
        <x:f>IF(A287="","",IF(J287="OK","",IF(J287="NO CONSENT","Consent not affirmed",IF(J287="SPEEDING","Completion time below threshold",IF(J287="ATTENTION CHECK","Attention check failed",IF(J287="STRAIGHTLINE REVIEW","Straightlining review threshold met","Missing scored item(s)"))))))</x:f>
      </x:c>
      <x:c r="M287" s="119"/>
      <x:c r="N287" s="119"/>
      <x:c r="O287" s="119"/>
      <x:c r="P287" s="119"/>
      <x:c r="Q287" s="119"/>
      <x:c r="R287" s="119"/>
      <x:c r="S287" s="119"/>
      <x:c r="T287" s="119"/>
      <x:c r="U287" s="119"/>
      <x:c r="V287" s="119"/>
      <x:c r="W287" s="119"/>
      <x:c r="X287" s="119"/>
      <x:c r="Y287" s="133" t="str">
        <x:f>IF(K287&lt;&gt;"Yes","",IFERROR(AVERAGE(M287:X287),""))</x:f>
      </x:c>
      <x:c r="Z287" s="119"/>
    </x:row>
    <x:row r="288">
      <x:c r="A288" s="119"/>
      <x:c r="B288" s="119"/>
      <x:c r="C288" s="119"/>
      <x:c r="D288" s="119"/>
      <x:c r="E288" s="119"/>
      <x:c r="F288" s="119"/>
      <x:c r="G288" s="119"/>
      <x:c r="H288" s="130" t="str">
        <x:f>IF(A288="","",IF(AND(COUNTA(M288:X288)&gt;=SETUP!$B$10,COUNTIF(M288:X288,MAX(M288:X288))=COUNTA(M288:X288)),"Yes","No"))</x:f>
      </x:c>
      <x:c r="I288" s="130" t="str">
        <x:f>IF(A288="","",IF('SURVEY DESIGN'!C288&lt;&gt;"",--(M288=""),0)+IF('SURVEY DESIGN'!C289&lt;&gt;"",--(N288=""),0)+IF('SURVEY DESIGN'!C290&lt;&gt;"",--(O288=""),0)+IF('SURVEY DESIGN'!C291&lt;&gt;"",--(P288=""),0)+IF('SURVEY DESIGN'!C292&lt;&gt;"",--(Q288=""),0)+IF('SURVEY DESIGN'!C293&lt;&gt;"",--(R288=""),0)+IF('SURVEY DESIGN'!C294&lt;&gt;"",--(S288=""),0)+IF('SURVEY DESIGN'!C295&lt;&gt;"",--(T288=""),0)+IF('SURVEY DESIGN'!C296&lt;&gt;"",--(U288=""),0)+IF('SURVEY DESIGN'!C297&lt;&gt;"",--(V288=""),0)+IF('SURVEY DESIGN'!C298&lt;&gt;"",--(W288=""),0)+IF('SURVEY DESIGN'!C299&lt;&gt;"",--(X288=""),0))</x:f>
      </x:c>
      <x:c r="J288" s="130" t="str">
        <x:f>IF(A288="","",IF(C288&lt;&gt;"Yes","NO CONSENT",IF(F288&lt;SETUP!$B$9,"SPEEDING",IF(G288&lt;&gt;"Yes","ATTENTION CHECK",IF(H288="Yes","STRAIGHTLINE REVIEW",IF(I288&gt;0,"MISSING ITEMS","OK"))))))</x:f>
      </x:c>
      <x:c r="K288" s="130" t="str">
        <x:f>IF(A288="","",IF(J288="OK","Yes","No"))</x:f>
      </x:c>
      <x:c r="L288" s="130" t="str">
        <x:f>IF(A288="","",IF(J288="OK","",IF(J288="NO CONSENT","Consent not affirmed",IF(J288="SPEEDING","Completion time below threshold",IF(J288="ATTENTION CHECK","Attention check failed",IF(J288="STRAIGHTLINE REVIEW","Straightlining review threshold met","Missing scored item(s)"))))))</x:f>
      </x:c>
      <x:c r="M288" s="119"/>
      <x:c r="N288" s="119"/>
      <x:c r="O288" s="119"/>
      <x:c r="P288" s="119"/>
      <x:c r="Q288" s="119"/>
      <x:c r="R288" s="119"/>
      <x:c r="S288" s="119"/>
      <x:c r="T288" s="119"/>
      <x:c r="U288" s="119"/>
      <x:c r="V288" s="119"/>
      <x:c r="W288" s="119"/>
      <x:c r="X288" s="119"/>
      <x:c r="Y288" s="133" t="str">
        <x:f>IF(K288&lt;&gt;"Yes","",IFERROR(AVERAGE(M288:X288),""))</x:f>
      </x:c>
      <x:c r="Z288" s="119"/>
    </x:row>
    <x:row r="289">
      <x:c r="A289" s="119"/>
      <x:c r="B289" s="119"/>
      <x:c r="C289" s="119"/>
      <x:c r="D289" s="119"/>
      <x:c r="E289" s="119"/>
      <x:c r="F289" s="119"/>
      <x:c r="G289" s="119"/>
      <x:c r="H289" s="130" t="str">
        <x:f>IF(A289="","",IF(AND(COUNTA(M289:X289)&gt;=SETUP!$B$10,COUNTIF(M289:X289,MAX(M289:X289))=COUNTA(M289:X289)),"Yes","No"))</x:f>
      </x:c>
      <x:c r="I289" s="130" t="str">
        <x:f>IF(A289="","",IF('SURVEY DESIGN'!C289&lt;&gt;"",--(M289=""),0)+IF('SURVEY DESIGN'!C290&lt;&gt;"",--(N289=""),0)+IF('SURVEY DESIGN'!C291&lt;&gt;"",--(O289=""),0)+IF('SURVEY DESIGN'!C292&lt;&gt;"",--(P289=""),0)+IF('SURVEY DESIGN'!C293&lt;&gt;"",--(Q289=""),0)+IF('SURVEY DESIGN'!C294&lt;&gt;"",--(R289=""),0)+IF('SURVEY DESIGN'!C295&lt;&gt;"",--(S289=""),0)+IF('SURVEY DESIGN'!C296&lt;&gt;"",--(T289=""),0)+IF('SURVEY DESIGN'!C297&lt;&gt;"",--(U289=""),0)+IF('SURVEY DESIGN'!C298&lt;&gt;"",--(V289=""),0)+IF('SURVEY DESIGN'!C299&lt;&gt;"",--(W289=""),0)+IF('SURVEY DESIGN'!C300&lt;&gt;"",--(X289=""),0))</x:f>
      </x:c>
      <x:c r="J289" s="130" t="str">
        <x:f>IF(A289="","",IF(C289&lt;&gt;"Yes","NO CONSENT",IF(F289&lt;SETUP!$B$9,"SPEEDING",IF(G289&lt;&gt;"Yes","ATTENTION CHECK",IF(H289="Yes","STRAIGHTLINE REVIEW",IF(I289&gt;0,"MISSING ITEMS","OK"))))))</x:f>
      </x:c>
      <x:c r="K289" s="130" t="str">
        <x:f>IF(A289="","",IF(J289="OK","Yes","No"))</x:f>
      </x:c>
      <x:c r="L289" s="130" t="str">
        <x:f>IF(A289="","",IF(J289="OK","",IF(J289="NO CONSENT","Consent not affirmed",IF(J289="SPEEDING","Completion time below threshold",IF(J289="ATTENTION CHECK","Attention check failed",IF(J289="STRAIGHTLINE REVIEW","Straightlining review threshold met","Missing scored item(s)"))))))</x:f>
      </x:c>
      <x:c r="M289" s="119"/>
      <x:c r="N289" s="119"/>
      <x:c r="O289" s="119"/>
      <x:c r="P289" s="119"/>
      <x:c r="Q289" s="119"/>
      <x:c r="R289" s="119"/>
      <x:c r="S289" s="119"/>
      <x:c r="T289" s="119"/>
      <x:c r="U289" s="119"/>
      <x:c r="V289" s="119"/>
      <x:c r="W289" s="119"/>
      <x:c r="X289" s="119"/>
      <x:c r="Y289" s="133" t="str">
        <x:f>IF(K289&lt;&gt;"Yes","",IFERROR(AVERAGE(M289:X289),""))</x:f>
      </x:c>
      <x:c r="Z289" s="119"/>
    </x:row>
    <x:row r="290">
      <x:c r="A290" s="119"/>
      <x:c r="B290" s="119"/>
      <x:c r="C290" s="119"/>
      <x:c r="D290" s="119"/>
      <x:c r="E290" s="119"/>
      <x:c r="F290" s="119"/>
      <x:c r="G290" s="119"/>
      <x:c r="H290" s="130" t="str">
        <x:f>IF(A290="","",IF(AND(COUNTA(M290:X290)&gt;=SETUP!$B$10,COUNTIF(M290:X290,MAX(M290:X290))=COUNTA(M290:X290)),"Yes","No"))</x:f>
      </x:c>
      <x:c r="I290" s="130" t="str">
        <x:f>IF(A290="","",IF('SURVEY DESIGN'!C290&lt;&gt;"",--(M290=""),0)+IF('SURVEY DESIGN'!C291&lt;&gt;"",--(N290=""),0)+IF('SURVEY DESIGN'!C292&lt;&gt;"",--(O290=""),0)+IF('SURVEY DESIGN'!C293&lt;&gt;"",--(P290=""),0)+IF('SURVEY DESIGN'!C294&lt;&gt;"",--(Q290=""),0)+IF('SURVEY DESIGN'!C295&lt;&gt;"",--(R290=""),0)+IF('SURVEY DESIGN'!C296&lt;&gt;"",--(S290=""),0)+IF('SURVEY DESIGN'!C297&lt;&gt;"",--(T290=""),0)+IF('SURVEY DESIGN'!C298&lt;&gt;"",--(U290=""),0)+IF('SURVEY DESIGN'!C299&lt;&gt;"",--(V290=""),0)+IF('SURVEY DESIGN'!C300&lt;&gt;"",--(W290=""),0)+IF('SURVEY DESIGN'!C301&lt;&gt;"",--(X290=""),0))</x:f>
      </x:c>
      <x:c r="J290" s="130" t="str">
        <x:f>IF(A290="","",IF(C290&lt;&gt;"Yes","NO CONSENT",IF(F290&lt;SETUP!$B$9,"SPEEDING",IF(G290&lt;&gt;"Yes","ATTENTION CHECK",IF(H290="Yes","STRAIGHTLINE REVIEW",IF(I290&gt;0,"MISSING ITEMS","OK"))))))</x:f>
      </x:c>
      <x:c r="K290" s="130" t="str">
        <x:f>IF(A290="","",IF(J290="OK","Yes","No"))</x:f>
      </x:c>
      <x:c r="L290" s="130" t="str">
        <x:f>IF(A290="","",IF(J290="OK","",IF(J290="NO CONSENT","Consent not affirmed",IF(J290="SPEEDING","Completion time below threshold",IF(J290="ATTENTION CHECK","Attention check failed",IF(J290="STRAIGHTLINE REVIEW","Straightlining review threshold met","Missing scored item(s)"))))))</x:f>
      </x:c>
      <x:c r="M290" s="119"/>
      <x:c r="N290" s="119"/>
      <x:c r="O290" s="119"/>
      <x:c r="P290" s="119"/>
      <x:c r="Q290" s="119"/>
      <x:c r="R290" s="119"/>
      <x:c r="S290" s="119"/>
      <x:c r="T290" s="119"/>
      <x:c r="U290" s="119"/>
      <x:c r="V290" s="119"/>
      <x:c r="W290" s="119"/>
      <x:c r="X290" s="119"/>
      <x:c r="Y290" s="133" t="str">
        <x:f>IF(K290&lt;&gt;"Yes","",IFERROR(AVERAGE(M290:X290),""))</x:f>
      </x:c>
      <x:c r="Z290" s="119"/>
    </x:row>
    <x:row r="291">
      <x:c r="A291" s="119"/>
      <x:c r="B291" s="119"/>
      <x:c r="C291" s="119"/>
      <x:c r="D291" s="119"/>
      <x:c r="E291" s="119"/>
      <x:c r="F291" s="119"/>
      <x:c r="G291" s="119"/>
      <x:c r="H291" s="130" t="str">
        <x:f>IF(A291="","",IF(AND(COUNTA(M291:X291)&gt;=SETUP!$B$10,COUNTIF(M291:X291,MAX(M291:X291))=COUNTA(M291:X291)),"Yes","No"))</x:f>
      </x:c>
      <x:c r="I291" s="130" t="str">
        <x:f>IF(A291="","",IF('SURVEY DESIGN'!C291&lt;&gt;"",--(M291=""),0)+IF('SURVEY DESIGN'!C292&lt;&gt;"",--(N291=""),0)+IF('SURVEY DESIGN'!C293&lt;&gt;"",--(O291=""),0)+IF('SURVEY DESIGN'!C294&lt;&gt;"",--(P291=""),0)+IF('SURVEY DESIGN'!C295&lt;&gt;"",--(Q291=""),0)+IF('SURVEY DESIGN'!C296&lt;&gt;"",--(R291=""),0)+IF('SURVEY DESIGN'!C297&lt;&gt;"",--(S291=""),0)+IF('SURVEY DESIGN'!C298&lt;&gt;"",--(T291=""),0)+IF('SURVEY DESIGN'!C299&lt;&gt;"",--(U291=""),0)+IF('SURVEY DESIGN'!C300&lt;&gt;"",--(V291=""),0)+IF('SURVEY DESIGN'!C301&lt;&gt;"",--(W291=""),0)+IF('SURVEY DESIGN'!C302&lt;&gt;"",--(X291=""),0))</x:f>
      </x:c>
      <x:c r="J291" s="130" t="str">
        <x:f>IF(A291="","",IF(C291&lt;&gt;"Yes","NO CONSENT",IF(F291&lt;SETUP!$B$9,"SPEEDING",IF(G291&lt;&gt;"Yes","ATTENTION CHECK",IF(H291="Yes","STRAIGHTLINE REVIEW",IF(I291&gt;0,"MISSING ITEMS","OK"))))))</x:f>
      </x:c>
      <x:c r="K291" s="130" t="str">
        <x:f>IF(A291="","",IF(J291="OK","Yes","No"))</x:f>
      </x:c>
      <x:c r="L291" s="130" t="str">
        <x:f>IF(A291="","",IF(J291="OK","",IF(J291="NO CONSENT","Consent not affirmed",IF(J291="SPEEDING","Completion time below threshold",IF(J291="ATTENTION CHECK","Attention check failed",IF(J291="STRAIGHTLINE REVIEW","Straightlining review threshold met","Missing scored item(s)"))))))</x:f>
      </x:c>
      <x:c r="M291" s="119"/>
      <x:c r="N291" s="119"/>
      <x:c r="O291" s="119"/>
      <x:c r="P291" s="119"/>
      <x:c r="Q291" s="119"/>
      <x:c r="R291" s="119"/>
      <x:c r="S291" s="119"/>
      <x:c r="T291" s="119"/>
      <x:c r="U291" s="119"/>
      <x:c r="V291" s="119"/>
      <x:c r="W291" s="119"/>
      <x:c r="X291" s="119"/>
      <x:c r="Y291" s="133" t="str">
        <x:f>IF(K291&lt;&gt;"Yes","",IFERROR(AVERAGE(M291:X291),""))</x:f>
      </x:c>
      <x:c r="Z291" s="119"/>
    </x:row>
    <x:row r="292">
      <x:c r="A292" s="119"/>
      <x:c r="B292" s="119"/>
      <x:c r="C292" s="119"/>
      <x:c r="D292" s="119"/>
      <x:c r="E292" s="119"/>
      <x:c r="F292" s="119"/>
      <x:c r="G292" s="119"/>
      <x:c r="H292" s="130" t="str">
        <x:f>IF(A292="","",IF(AND(COUNTA(M292:X292)&gt;=SETUP!$B$10,COUNTIF(M292:X292,MAX(M292:X292))=COUNTA(M292:X292)),"Yes","No"))</x:f>
      </x:c>
      <x:c r="I292" s="130" t="str">
        <x:f>IF(A292="","",IF('SURVEY DESIGN'!C292&lt;&gt;"",--(M292=""),0)+IF('SURVEY DESIGN'!C293&lt;&gt;"",--(N292=""),0)+IF('SURVEY DESIGN'!C294&lt;&gt;"",--(O292=""),0)+IF('SURVEY DESIGN'!C295&lt;&gt;"",--(P292=""),0)+IF('SURVEY DESIGN'!C296&lt;&gt;"",--(Q292=""),0)+IF('SURVEY DESIGN'!C297&lt;&gt;"",--(R292=""),0)+IF('SURVEY DESIGN'!C298&lt;&gt;"",--(S292=""),0)+IF('SURVEY DESIGN'!C299&lt;&gt;"",--(T292=""),0)+IF('SURVEY DESIGN'!C300&lt;&gt;"",--(U292=""),0)+IF('SURVEY DESIGN'!C301&lt;&gt;"",--(V292=""),0)+IF('SURVEY DESIGN'!C302&lt;&gt;"",--(W292=""),0)+IF('SURVEY DESIGN'!C303&lt;&gt;"",--(X292=""),0))</x:f>
      </x:c>
      <x:c r="J292" s="130" t="str">
        <x:f>IF(A292="","",IF(C292&lt;&gt;"Yes","NO CONSENT",IF(F292&lt;SETUP!$B$9,"SPEEDING",IF(G292&lt;&gt;"Yes","ATTENTION CHECK",IF(H292="Yes","STRAIGHTLINE REVIEW",IF(I292&gt;0,"MISSING ITEMS","OK"))))))</x:f>
      </x:c>
      <x:c r="K292" s="130" t="str">
        <x:f>IF(A292="","",IF(J292="OK","Yes","No"))</x:f>
      </x:c>
      <x:c r="L292" s="130" t="str">
        <x:f>IF(A292="","",IF(J292="OK","",IF(J292="NO CONSENT","Consent not affirmed",IF(J292="SPEEDING","Completion time below threshold",IF(J292="ATTENTION CHECK","Attention check failed",IF(J292="STRAIGHTLINE REVIEW","Straightlining review threshold met","Missing scored item(s)"))))))</x:f>
      </x:c>
      <x:c r="M292" s="119"/>
      <x:c r="N292" s="119"/>
      <x:c r="O292" s="119"/>
      <x:c r="P292" s="119"/>
      <x:c r="Q292" s="119"/>
      <x:c r="R292" s="119"/>
      <x:c r="S292" s="119"/>
      <x:c r="T292" s="119"/>
      <x:c r="U292" s="119"/>
      <x:c r="V292" s="119"/>
      <x:c r="W292" s="119"/>
      <x:c r="X292" s="119"/>
      <x:c r="Y292" s="133" t="str">
        <x:f>IF(K292&lt;&gt;"Yes","",IFERROR(AVERAGE(M292:X292),""))</x:f>
      </x:c>
      <x:c r="Z292" s="119"/>
    </x:row>
    <x:row r="293">
      <x:c r="A293" s="119"/>
      <x:c r="B293" s="119"/>
      <x:c r="C293" s="119"/>
      <x:c r="D293" s="119"/>
      <x:c r="E293" s="119"/>
      <x:c r="F293" s="119"/>
      <x:c r="G293" s="119"/>
      <x:c r="H293" s="130" t="str">
        <x:f>IF(A293="","",IF(AND(COUNTA(M293:X293)&gt;=SETUP!$B$10,COUNTIF(M293:X293,MAX(M293:X293))=COUNTA(M293:X293)),"Yes","No"))</x:f>
      </x:c>
      <x:c r="I293" s="130" t="str">
        <x:f>IF(A293="","",IF('SURVEY DESIGN'!C293&lt;&gt;"",--(M293=""),0)+IF('SURVEY DESIGN'!C294&lt;&gt;"",--(N293=""),0)+IF('SURVEY DESIGN'!C295&lt;&gt;"",--(O293=""),0)+IF('SURVEY DESIGN'!C296&lt;&gt;"",--(P293=""),0)+IF('SURVEY DESIGN'!C297&lt;&gt;"",--(Q293=""),0)+IF('SURVEY DESIGN'!C298&lt;&gt;"",--(R293=""),0)+IF('SURVEY DESIGN'!C299&lt;&gt;"",--(S293=""),0)+IF('SURVEY DESIGN'!C300&lt;&gt;"",--(T293=""),0)+IF('SURVEY DESIGN'!C301&lt;&gt;"",--(U293=""),0)+IF('SURVEY DESIGN'!C302&lt;&gt;"",--(V293=""),0)+IF('SURVEY DESIGN'!C303&lt;&gt;"",--(W293=""),0)+IF('SURVEY DESIGN'!C304&lt;&gt;"",--(X293=""),0))</x:f>
      </x:c>
      <x:c r="J293" s="130" t="str">
        <x:f>IF(A293="","",IF(C293&lt;&gt;"Yes","NO CONSENT",IF(F293&lt;SETUP!$B$9,"SPEEDING",IF(G293&lt;&gt;"Yes","ATTENTION CHECK",IF(H293="Yes","STRAIGHTLINE REVIEW",IF(I293&gt;0,"MISSING ITEMS","OK"))))))</x:f>
      </x:c>
      <x:c r="K293" s="130" t="str">
        <x:f>IF(A293="","",IF(J293="OK","Yes","No"))</x:f>
      </x:c>
      <x:c r="L293" s="130" t="str">
        <x:f>IF(A293="","",IF(J293="OK","",IF(J293="NO CONSENT","Consent not affirmed",IF(J293="SPEEDING","Completion time below threshold",IF(J293="ATTENTION CHECK","Attention check failed",IF(J293="STRAIGHTLINE REVIEW","Straightlining review threshold met","Missing scored item(s)"))))))</x:f>
      </x:c>
      <x:c r="M293" s="119"/>
      <x:c r="N293" s="119"/>
      <x:c r="O293" s="119"/>
      <x:c r="P293" s="119"/>
      <x:c r="Q293" s="119"/>
      <x:c r="R293" s="119"/>
      <x:c r="S293" s="119"/>
      <x:c r="T293" s="119"/>
      <x:c r="U293" s="119"/>
      <x:c r="V293" s="119"/>
      <x:c r="W293" s="119"/>
      <x:c r="X293" s="119"/>
      <x:c r="Y293" s="133" t="str">
        <x:f>IF(K293&lt;&gt;"Yes","",IFERROR(AVERAGE(M293:X293),""))</x:f>
      </x:c>
      <x:c r="Z293" s="119"/>
    </x:row>
    <x:row r="294">
      <x:c r="A294" s="119"/>
      <x:c r="B294" s="119"/>
      <x:c r="C294" s="119"/>
      <x:c r="D294" s="119"/>
      <x:c r="E294" s="119"/>
      <x:c r="F294" s="119"/>
      <x:c r="G294" s="119"/>
      <x:c r="H294" s="130" t="str">
        <x:f>IF(A294="","",IF(AND(COUNTA(M294:X294)&gt;=SETUP!$B$10,COUNTIF(M294:X294,MAX(M294:X294))=COUNTA(M294:X294)),"Yes","No"))</x:f>
      </x:c>
      <x:c r="I294" s="130" t="str">
        <x:f>IF(A294="","",IF('SURVEY DESIGN'!C294&lt;&gt;"",--(M294=""),0)+IF('SURVEY DESIGN'!C295&lt;&gt;"",--(N294=""),0)+IF('SURVEY DESIGN'!C296&lt;&gt;"",--(O294=""),0)+IF('SURVEY DESIGN'!C297&lt;&gt;"",--(P294=""),0)+IF('SURVEY DESIGN'!C298&lt;&gt;"",--(Q294=""),0)+IF('SURVEY DESIGN'!C299&lt;&gt;"",--(R294=""),0)+IF('SURVEY DESIGN'!C300&lt;&gt;"",--(S294=""),0)+IF('SURVEY DESIGN'!C301&lt;&gt;"",--(T294=""),0)+IF('SURVEY DESIGN'!C302&lt;&gt;"",--(U294=""),0)+IF('SURVEY DESIGN'!C303&lt;&gt;"",--(V294=""),0)+IF('SURVEY DESIGN'!C304&lt;&gt;"",--(W294=""),0)+IF('SURVEY DESIGN'!C305&lt;&gt;"",--(X294=""),0))</x:f>
      </x:c>
      <x:c r="J294" s="130" t="str">
        <x:f>IF(A294="","",IF(C294&lt;&gt;"Yes","NO CONSENT",IF(F294&lt;SETUP!$B$9,"SPEEDING",IF(G294&lt;&gt;"Yes","ATTENTION CHECK",IF(H294="Yes","STRAIGHTLINE REVIEW",IF(I294&gt;0,"MISSING ITEMS","OK"))))))</x:f>
      </x:c>
      <x:c r="K294" s="130" t="str">
        <x:f>IF(A294="","",IF(J294="OK","Yes","No"))</x:f>
      </x:c>
      <x:c r="L294" s="130" t="str">
        <x:f>IF(A294="","",IF(J294="OK","",IF(J294="NO CONSENT","Consent not affirmed",IF(J294="SPEEDING","Completion time below threshold",IF(J294="ATTENTION CHECK","Attention check failed",IF(J294="STRAIGHTLINE REVIEW","Straightlining review threshold met","Missing scored item(s)"))))))</x:f>
      </x:c>
      <x:c r="M294" s="119"/>
      <x:c r="N294" s="119"/>
      <x:c r="O294" s="119"/>
      <x:c r="P294" s="119"/>
      <x:c r="Q294" s="119"/>
      <x:c r="R294" s="119"/>
      <x:c r="S294" s="119"/>
      <x:c r="T294" s="119"/>
      <x:c r="U294" s="119"/>
      <x:c r="V294" s="119"/>
      <x:c r="W294" s="119"/>
      <x:c r="X294" s="119"/>
      <x:c r="Y294" s="133" t="str">
        <x:f>IF(K294&lt;&gt;"Yes","",IFERROR(AVERAGE(M294:X294),""))</x:f>
      </x:c>
      <x:c r="Z294" s="119"/>
    </x:row>
    <x:row r="295">
      <x:c r="A295" s="119"/>
      <x:c r="B295" s="119"/>
      <x:c r="C295" s="119"/>
      <x:c r="D295" s="119"/>
      <x:c r="E295" s="119"/>
      <x:c r="F295" s="119"/>
      <x:c r="G295" s="119"/>
      <x:c r="H295" s="130" t="str">
        <x:f>IF(A295="","",IF(AND(COUNTA(M295:X295)&gt;=SETUP!$B$10,COUNTIF(M295:X295,MAX(M295:X295))=COUNTA(M295:X295)),"Yes","No"))</x:f>
      </x:c>
      <x:c r="I295" s="130" t="str">
        <x:f>IF(A295="","",IF('SURVEY DESIGN'!C295&lt;&gt;"",--(M295=""),0)+IF('SURVEY DESIGN'!C296&lt;&gt;"",--(N295=""),0)+IF('SURVEY DESIGN'!C297&lt;&gt;"",--(O295=""),0)+IF('SURVEY DESIGN'!C298&lt;&gt;"",--(P295=""),0)+IF('SURVEY DESIGN'!C299&lt;&gt;"",--(Q295=""),0)+IF('SURVEY DESIGN'!C300&lt;&gt;"",--(R295=""),0)+IF('SURVEY DESIGN'!C301&lt;&gt;"",--(S295=""),0)+IF('SURVEY DESIGN'!C302&lt;&gt;"",--(T295=""),0)+IF('SURVEY DESIGN'!C303&lt;&gt;"",--(U295=""),0)+IF('SURVEY DESIGN'!C304&lt;&gt;"",--(V295=""),0)+IF('SURVEY DESIGN'!C305&lt;&gt;"",--(W295=""),0)+IF('SURVEY DESIGN'!C306&lt;&gt;"",--(X295=""),0))</x:f>
      </x:c>
      <x:c r="J295" s="130" t="str">
        <x:f>IF(A295="","",IF(C295&lt;&gt;"Yes","NO CONSENT",IF(F295&lt;SETUP!$B$9,"SPEEDING",IF(G295&lt;&gt;"Yes","ATTENTION CHECK",IF(H295="Yes","STRAIGHTLINE REVIEW",IF(I295&gt;0,"MISSING ITEMS","OK"))))))</x:f>
      </x:c>
      <x:c r="K295" s="130" t="str">
        <x:f>IF(A295="","",IF(J295="OK","Yes","No"))</x:f>
      </x:c>
      <x:c r="L295" s="130" t="str">
        <x:f>IF(A295="","",IF(J295="OK","",IF(J295="NO CONSENT","Consent not affirmed",IF(J295="SPEEDING","Completion time below threshold",IF(J295="ATTENTION CHECK","Attention check failed",IF(J295="STRAIGHTLINE REVIEW","Straightlining review threshold met","Missing scored item(s)"))))))</x:f>
      </x:c>
      <x:c r="M295" s="119"/>
      <x:c r="N295" s="119"/>
      <x:c r="O295" s="119"/>
      <x:c r="P295" s="119"/>
      <x:c r="Q295" s="119"/>
      <x:c r="R295" s="119"/>
      <x:c r="S295" s="119"/>
      <x:c r="T295" s="119"/>
      <x:c r="U295" s="119"/>
      <x:c r="V295" s="119"/>
      <x:c r="W295" s="119"/>
      <x:c r="X295" s="119"/>
      <x:c r="Y295" s="133" t="str">
        <x:f>IF(K295&lt;&gt;"Yes","",IFERROR(AVERAGE(M295:X295),""))</x:f>
      </x:c>
      <x:c r="Z295" s="119"/>
    </x:row>
    <x:row r="296">
      <x:c r="A296" s="119"/>
      <x:c r="B296" s="119"/>
      <x:c r="C296" s="119"/>
      <x:c r="D296" s="119"/>
      <x:c r="E296" s="119"/>
      <x:c r="F296" s="119"/>
      <x:c r="G296" s="119"/>
      <x:c r="H296" s="130" t="str">
        <x:f>IF(A296="","",IF(AND(COUNTA(M296:X296)&gt;=SETUP!$B$10,COUNTIF(M296:X296,MAX(M296:X296))=COUNTA(M296:X296)),"Yes","No"))</x:f>
      </x:c>
      <x:c r="I296" s="130" t="str">
        <x:f>IF(A296="","",IF('SURVEY DESIGN'!C296&lt;&gt;"",--(M296=""),0)+IF('SURVEY DESIGN'!C297&lt;&gt;"",--(N296=""),0)+IF('SURVEY DESIGN'!C298&lt;&gt;"",--(O296=""),0)+IF('SURVEY DESIGN'!C299&lt;&gt;"",--(P296=""),0)+IF('SURVEY DESIGN'!C300&lt;&gt;"",--(Q296=""),0)+IF('SURVEY DESIGN'!C301&lt;&gt;"",--(R296=""),0)+IF('SURVEY DESIGN'!C302&lt;&gt;"",--(S296=""),0)+IF('SURVEY DESIGN'!C303&lt;&gt;"",--(T296=""),0)+IF('SURVEY DESIGN'!C304&lt;&gt;"",--(U296=""),0)+IF('SURVEY DESIGN'!C305&lt;&gt;"",--(V296=""),0)+IF('SURVEY DESIGN'!C306&lt;&gt;"",--(W296=""),0)+IF('SURVEY DESIGN'!C307&lt;&gt;"",--(X296=""),0))</x:f>
      </x:c>
      <x:c r="J296" s="130" t="str">
        <x:f>IF(A296="","",IF(C296&lt;&gt;"Yes","NO CONSENT",IF(F296&lt;SETUP!$B$9,"SPEEDING",IF(G296&lt;&gt;"Yes","ATTENTION CHECK",IF(H296="Yes","STRAIGHTLINE REVIEW",IF(I296&gt;0,"MISSING ITEMS","OK"))))))</x:f>
      </x:c>
      <x:c r="K296" s="130" t="str">
        <x:f>IF(A296="","",IF(J296="OK","Yes","No"))</x:f>
      </x:c>
      <x:c r="L296" s="130" t="str">
        <x:f>IF(A296="","",IF(J296="OK","",IF(J296="NO CONSENT","Consent not affirmed",IF(J296="SPEEDING","Completion time below threshold",IF(J296="ATTENTION CHECK","Attention check failed",IF(J296="STRAIGHTLINE REVIEW","Straightlining review threshold met","Missing scored item(s)"))))))</x:f>
      </x:c>
      <x:c r="M296" s="119"/>
      <x:c r="N296" s="119"/>
      <x:c r="O296" s="119"/>
      <x:c r="P296" s="119"/>
      <x:c r="Q296" s="119"/>
      <x:c r="R296" s="119"/>
      <x:c r="S296" s="119"/>
      <x:c r="T296" s="119"/>
      <x:c r="U296" s="119"/>
      <x:c r="V296" s="119"/>
      <x:c r="W296" s="119"/>
      <x:c r="X296" s="119"/>
      <x:c r="Y296" s="133" t="str">
        <x:f>IF(K296&lt;&gt;"Yes","",IFERROR(AVERAGE(M296:X296),""))</x:f>
      </x:c>
      <x:c r="Z296" s="119"/>
    </x:row>
    <x:row r="297">
      <x:c r="A297" s="119"/>
      <x:c r="B297" s="119"/>
      <x:c r="C297" s="119"/>
      <x:c r="D297" s="119"/>
      <x:c r="E297" s="119"/>
      <x:c r="F297" s="119"/>
      <x:c r="G297" s="119"/>
      <x:c r="H297" s="130" t="str">
        <x:f>IF(A297="","",IF(AND(COUNTA(M297:X297)&gt;=SETUP!$B$10,COUNTIF(M297:X297,MAX(M297:X297))=COUNTA(M297:X297)),"Yes","No"))</x:f>
      </x:c>
      <x:c r="I297" s="130" t="str">
        <x:f>IF(A297="","",IF('SURVEY DESIGN'!C297&lt;&gt;"",--(M297=""),0)+IF('SURVEY DESIGN'!C298&lt;&gt;"",--(N297=""),0)+IF('SURVEY DESIGN'!C299&lt;&gt;"",--(O297=""),0)+IF('SURVEY DESIGN'!C300&lt;&gt;"",--(P297=""),0)+IF('SURVEY DESIGN'!C301&lt;&gt;"",--(Q297=""),0)+IF('SURVEY DESIGN'!C302&lt;&gt;"",--(R297=""),0)+IF('SURVEY DESIGN'!C303&lt;&gt;"",--(S297=""),0)+IF('SURVEY DESIGN'!C304&lt;&gt;"",--(T297=""),0)+IF('SURVEY DESIGN'!C305&lt;&gt;"",--(U297=""),0)+IF('SURVEY DESIGN'!C306&lt;&gt;"",--(V297=""),0)+IF('SURVEY DESIGN'!C307&lt;&gt;"",--(W297=""),0)+IF('SURVEY DESIGN'!C308&lt;&gt;"",--(X297=""),0))</x:f>
      </x:c>
      <x:c r="J297" s="130" t="str">
        <x:f>IF(A297="","",IF(C297&lt;&gt;"Yes","NO CONSENT",IF(F297&lt;SETUP!$B$9,"SPEEDING",IF(G297&lt;&gt;"Yes","ATTENTION CHECK",IF(H297="Yes","STRAIGHTLINE REVIEW",IF(I297&gt;0,"MISSING ITEMS","OK"))))))</x:f>
      </x:c>
      <x:c r="K297" s="130" t="str">
        <x:f>IF(A297="","",IF(J297="OK","Yes","No"))</x:f>
      </x:c>
      <x:c r="L297" s="130" t="str">
        <x:f>IF(A297="","",IF(J297="OK","",IF(J297="NO CONSENT","Consent not affirmed",IF(J297="SPEEDING","Completion time below threshold",IF(J297="ATTENTION CHECK","Attention check failed",IF(J297="STRAIGHTLINE REVIEW","Straightlining review threshold met","Missing scored item(s)"))))))</x:f>
      </x:c>
      <x:c r="M297" s="119"/>
      <x:c r="N297" s="119"/>
      <x:c r="O297" s="119"/>
      <x:c r="P297" s="119"/>
      <x:c r="Q297" s="119"/>
      <x:c r="R297" s="119"/>
      <x:c r="S297" s="119"/>
      <x:c r="T297" s="119"/>
      <x:c r="U297" s="119"/>
      <x:c r="V297" s="119"/>
      <x:c r="W297" s="119"/>
      <x:c r="X297" s="119"/>
      <x:c r="Y297" s="133" t="str">
        <x:f>IF(K297&lt;&gt;"Yes","",IFERROR(AVERAGE(M297:X297),""))</x:f>
      </x:c>
      <x:c r="Z297" s="119"/>
    </x:row>
    <x:row r="298">
      <x:c r="A298" s="119"/>
      <x:c r="B298" s="119"/>
      <x:c r="C298" s="119"/>
      <x:c r="D298" s="119"/>
      <x:c r="E298" s="119"/>
      <x:c r="F298" s="119"/>
      <x:c r="G298" s="119"/>
      <x:c r="H298" s="130" t="str">
        <x:f>IF(A298="","",IF(AND(COUNTA(M298:X298)&gt;=SETUP!$B$10,COUNTIF(M298:X298,MAX(M298:X298))=COUNTA(M298:X298)),"Yes","No"))</x:f>
      </x:c>
      <x:c r="I298" s="130" t="str">
        <x:f>IF(A298="","",IF('SURVEY DESIGN'!C298&lt;&gt;"",--(M298=""),0)+IF('SURVEY DESIGN'!C299&lt;&gt;"",--(N298=""),0)+IF('SURVEY DESIGN'!C300&lt;&gt;"",--(O298=""),0)+IF('SURVEY DESIGN'!C301&lt;&gt;"",--(P298=""),0)+IF('SURVEY DESIGN'!C302&lt;&gt;"",--(Q298=""),0)+IF('SURVEY DESIGN'!C303&lt;&gt;"",--(R298=""),0)+IF('SURVEY DESIGN'!C304&lt;&gt;"",--(S298=""),0)+IF('SURVEY DESIGN'!C305&lt;&gt;"",--(T298=""),0)+IF('SURVEY DESIGN'!C306&lt;&gt;"",--(U298=""),0)+IF('SURVEY DESIGN'!C307&lt;&gt;"",--(V298=""),0)+IF('SURVEY DESIGN'!C308&lt;&gt;"",--(W298=""),0)+IF('SURVEY DESIGN'!C309&lt;&gt;"",--(X298=""),0))</x:f>
      </x:c>
      <x:c r="J298" s="130" t="str">
        <x:f>IF(A298="","",IF(C298&lt;&gt;"Yes","NO CONSENT",IF(F298&lt;SETUP!$B$9,"SPEEDING",IF(G298&lt;&gt;"Yes","ATTENTION CHECK",IF(H298="Yes","STRAIGHTLINE REVIEW",IF(I298&gt;0,"MISSING ITEMS","OK"))))))</x:f>
      </x:c>
      <x:c r="K298" s="130" t="str">
        <x:f>IF(A298="","",IF(J298="OK","Yes","No"))</x:f>
      </x:c>
      <x:c r="L298" s="130" t="str">
        <x:f>IF(A298="","",IF(J298="OK","",IF(J298="NO CONSENT","Consent not affirmed",IF(J298="SPEEDING","Completion time below threshold",IF(J298="ATTENTION CHECK","Attention check failed",IF(J298="STRAIGHTLINE REVIEW","Straightlining review threshold met","Missing scored item(s)"))))))</x:f>
      </x:c>
      <x:c r="M298" s="119"/>
      <x:c r="N298" s="119"/>
      <x:c r="O298" s="119"/>
      <x:c r="P298" s="119"/>
      <x:c r="Q298" s="119"/>
      <x:c r="R298" s="119"/>
      <x:c r="S298" s="119"/>
      <x:c r="T298" s="119"/>
      <x:c r="U298" s="119"/>
      <x:c r="V298" s="119"/>
      <x:c r="W298" s="119"/>
      <x:c r="X298" s="119"/>
      <x:c r="Y298" s="133" t="str">
        <x:f>IF(K298&lt;&gt;"Yes","",IFERROR(AVERAGE(M298:X298),""))</x:f>
      </x:c>
      <x:c r="Z298" s="119"/>
    </x:row>
    <x:row r="299">
      <x:c r="A299" s="119"/>
      <x:c r="B299" s="119"/>
      <x:c r="C299" s="119"/>
      <x:c r="D299" s="119"/>
      <x:c r="E299" s="119"/>
      <x:c r="F299" s="119"/>
      <x:c r="G299" s="119"/>
      <x:c r="H299" s="130" t="str">
        <x:f>IF(A299="","",IF(AND(COUNTA(M299:X299)&gt;=SETUP!$B$10,COUNTIF(M299:X299,MAX(M299:X299))=COUNTA(M299:X299)),"Yes","No"))</x:f>
      </x:c>
      <x:c r="I299" s="130" t="str">
        <x:f>IF(A299="","",IF('SURVEY DESIGN'!C299&lt;&gt;"",--(M299=""),0)+IF('SURVEY DESIGN'!C300&lt;&gt;"",--(N299=""),0)+IF('SURVEY DESIGN'!C301&lt;&gt;"",--(O299=""),0)+IF('SURVEY DESIGN'!C302&lt;&gt;"",--(P299=""),0)+IF('SURVEY DESIGN'!C303&lt;&gt;"",--(Q299=""),0)+IF('SURVEY DESIGN'!C304&lt;&gt;"",--(R299=""),0)+IF('SURVEY DESIGN'!C305&lt;&gt;"",--(S299=""),0)+IF('SURVEY DESIGN'!C306&lt;&gt;"",--(T299=""),0)+IF('SURVEY DESIGN'!C307&lt;&gt;"",--(U299=""),0)+IF('SURVEY DESIGN'!C308&lt;&gt;"",--(V299=""),0)+IF('SURVEY DESIGN'!C309&lt;&gt;"",--(W299=""),0)+IF('SURVEY DESIGN'!C310&lt;&gt;"",--(X299=""),0))</x:f>
      </x:c>
      <x:c r="J299" s="130" t="str">
        <x:f>IF(A299="","",IF(C299&lt;&gt;"Yes","NO CONSENT",IF(F299&lt;SETUP!$B$9,"SPEEDING",IF(G299&lt;&gt;"Yes","ATTENTION CHECK",IF(H299="Yes","STRAIGHTLINE REVIEW",IF(I299&gt;0,"MISSING ITEMS","OK"))))))</x:f>
      </x:c>
      <x:c r="K299" s="130" t="str">
        <x:f>IF(A299="","",IF(J299="OK","Yes","No"))</x:f>
      </x:c>
      <x:c r="L299" s="130" t="str">
        <x:f>IF(A299="","",IF(J299="OK","",IF(J299="NO CONSENT","Consent not affirmed",IF(J299="SPEEDING","Completion time below threshold",IF(J299="ATTENTION CHECK","Attention check failed",IF(J299="STRAIGHTLINE REVIEW","Straightlining review threshold met","Missing scored item(s)"))))))</x:f>
      </x:c>
      <x:c r="M299" s="119"/>
      <x:c r="N299" s="119"/>
      <x:c r="O299" s="119"/>
      <x:c r="P299" s="119"/>
      <x:c r="Q299" s="119"/>
      <x:c r="R299" s="119"/>
      <x:c r="S299" s="119"/>
      <x:c r="T299" s="119"/>
      <x:c r="U299" s="119"/>
      <x:c r="V299" s="119"/>
      <x:c r="W299" s="119"/>
      <x:c r="X299" s="119"/>
      <x:c r="Y299" s="133" t="str">
        <x:f>IF(K299&lt;&gt;"Yes","",IFERROR(AVERAGE(M299:X299),""))</x:f>
      </x:c>
      <x:c r="Z299" s="119"/>
    </x:row>
    <x:row r="300">
      <x:c r="A300" s="119"/>
      <x:c r="B300" s="119"/>
      <x:c r="C300" s="119"/>
      <x:c r="D300" s="119"/>
      <x:c r="E300" s="119"/>
      <x:c r="F300" s="119"/>
      <x:c r="G300" s="119"/>
      <x:c r="H300" s="130" t="str">
        <x:f>IF(A300="","",IF(AND(COUNTA(M300:X300)&gt;=SETUP!$B$10,COUNTIF(M300:X300,MAX(M300:X300))=COUNTA(M300:X300)),"Yes","No"))</x:f>
      </x:c>
      <x:c r="I300" s="130" t="str">
        <x:f>IF(A300="","",IF('SURVEY DESIGN'!C300&lt;&gt;"",--(M300=""),0)+IF('SURVEY DESIGN'!C301&lt;&gt;"",--(N300=""),0)+IF('SURVEY DESIGN'!C302&lt;&gt;"",--(O300=""),0)+IF('SURVEY DESIGN'!C303&lt;&gt;"",--(P300=""),0)+IF('SURVEY DESIGN'!C304&lt;&gt;"",--(Q300=""),0)+IF('SURVEY DESIGN'!C305&lt;&gt;"",--(R300=""),0)+IF('SURVEY DESIGN'!C306&lt;&gt;"",--(S300=""),0)+IF('SURVEY DESIGN'!C307&lt;&gt;"",--(T300=""),0)+IF('SURVEY DESIGN'!C308&lt;&gt;"",--(U300=""),0)+IF('SURVEY DESIGN'!C309&lt;&gt;"",--(V300=""),0)+IF('SURVEY DESIGN'!C310&lt;&gt;"",--(W300=""),0)+IF('SURVEY DESIGN'!C311&lt;&gt;"",--(X300=""),0))</x:f>
      </x:c>
      <x:c r="J300" s="130" t="str">
        <x:f>IF(A300="","",IF(C300&lt;&gt;"Yes","NO CONSENT",IF(F300&lt;SETUP!$B$9,"SPEEDING",IF(G300&lt;&gt;"Yes","ATTENTION CHECK",IF(H300="Yes","STRAIGHTLINE REVIEW",IF(I300&gt;0,"MISSING ITEMS","OK"))))))</x:f>
      </x:c>
      <x:c r="K300" s="130" t="str">
        <x:f>IF(A300="","",IF(J300="OK","Yes","No"))</x:f>
      </x:c>
      <x:c r="L300" s="130" t="str">
        <x:f>IF(A300="","",IF(J300="OK","",IF(J300="NO CONSENT","Consent not affirmed",IF(J300="SPEEDING","Completion time below threshold",IF(J300="ATTENTION CHECK","Attention check failed",IF(J300="STRAIGHTLINE REVIEW","Straightlining review threshold met","Missing scored item(s)"))))))</x:f>
      </x:c>
      <x:c r="M300" s="119"/>
      <x:c r="N300" s="119"/>
      <x:c r="O300" s="119"/>
      <x:c r="P300" s="119"/>
      <x:c r="Q300" s="119"/>
      <x:c r="R300" s="119"/>
      <x:c r="S300" s="119"/>
      <x:c r="T300" s="119"/>
      <x:c r="U300" s="119"/>
      <x:c r="V300" s="119"/>
      <x:c r="W300" s="119"/>
      <x:c r="X300" s="119"/>
      <x:c r="Y300" s="133" t="str">
        <x:f>IF(K300&lt;&gt;"Yes","",IFERROR(AVERAGE(M300:X300),""))</x:f>
      </x:c>
      <x:c r="Z300" s="119"/>
    </x:row>
    <x:row r="301">
      <x:c r="A301" s="119"/>
      <x:c r="B301" s="119"/>
      <x:c r="C301" s="119"/>
      <x:c r="D301" s="119"/>
      <x:c r="E301" s="119"/>
      <x:c r="F301" s="119"/>
      <x:c r="G301" s="119"/>
      <x:c r="H301" s="130" t="str">
        <x:f>IF(A301="","",IF(AND(COUNTA(M301:X301)&gt;=SETUP!$B$10,COUNTIF(M301:X301,MAX(M301:X301))=COUNTA(M301:X301)),"Yes","No"))</x:f>
      </x:c>
      <x:c r="I301" s="130" t="str">
        <x:f>IF(A301="","",IF('SURVEY DESIGN'!C301&lt;&gt;"",--(M301=""),0)+IF('SURVEY DESIGN'!C302&lt;&gt;"",--(N301=""),0)+IF('SURVEY DESIGN'!C303&lt;&gt;"",--(O301=""),0)+IF('SURVEY DESIGN'!C304&lt;&gt;"",--(P301=""),0)+IF('SURVEY DESIGN'!C305&lt;&gt;"",--(Q301=""),0)+IF('SURVEY DESIGN'!C306&lt;&gt;"",--(R301=""),0)+IF('SURVEY DESIGN'!C307&lt;&gt;"",--(S301=""),0)+IF('SURVEY DESIGN'!C308&lt;&gt;"",--(T301=""),0)+IF('SURVEY DESIGN'!C309&lt;&gt;"",--(U301=""),0)+IF('SURVEY DESIGN'!C310&lt;&gt;"",--(V301=""),0)+IF('SURVEY DESIGN'!C311&lt;&gt;"",--(W301=""),0)+IF('SURVEY DESIGN'!C312&lt;&gt;"",--(X301=""),0))</x:f>
      </x:c>
      <x:c r="J301" s="130" t="str">
        <x:f>IF(A301="","",IF(C301&lt;&gt;"Yes","NO CONSENT",IF(F301&lt;SETUP!$B$9,"SPEEDING",IF(G301&lt;&gt;"Yes","ATTENTION CHECK",IF(H301="Yes","STRAIGHTLINE REVIEW",IF(I301&gt;0,"MISSING ITEMS","OK"))))))</x:f>
      </x:c>
      <x:c r="K301" s="130" t="str">
        <x:f>IF(A301="","",IF(J301="OK","Yes","No"))</x:f>
      </x:c>
      <x:c r="L301" s="130" t="str">
        <x:f>IF(A301="","",IF(J301="OK","",IF(J301="NO CONSENT","Consent not affirmed",IF(J301="SPEEDING","Completion time below threshold",IF(J301="ATTENTION CHECK","Attention check failed",IF(J301="STRAIGHTLINE REVIEW","Straightlining review threshold met","Missing scored item(s)"))))))</x:f>
      </x:c>
      <x:c r="M301" s="119"/>
      <x:c r="N301" s="119"/>
      <x:c r="O301" s="119"/>
      <x:c r="P301" s="119"/>
      <x:c r="Q301" s="119"/>
      <x:c r="R301" s="119"/>
      <x:c r="S301" s="119"/>
      <x:c r="T301" s="119"/>
      <x:c r="U301" s="119"/>
      <x:c r="V301" s="119"/>
      <x:c r="W301" s="119"/>
      <x:c r="X301" s="119"/>
      <x:c r="Y301" s="133" t="str">
        <x:f>IF(K301&lt;&gt;"Yes","",IFERROR(AVERAGE(M301:X301),""))</x:f>
      </x:c>
      <x:c r="Z301" s="119"/>
    </x:row>
    <x:row r="302">
      <x:c r="A302" s="119"/>
      <x:c r="B302" s="119"/>
      <x:c r="C302" s="119"/>
      <x:c r="D302" s="119"/>
      <x:c r="E302" s="119"/>
      <x:c r="F302" s="119"/>
      <x:c r="G302" s="119"/>
      <x:c r="H302" s="130" t="str">
        <x:f>IF(A302="","",IF(AND(COUNTA(M302:X302)&gt;=SETUP!$B$10,COUNTIF(M302:X302,MAX(M302:X302))=COUNTA(M302:X302)),"Yes","No"))</x:f>
      </x:c>
      <x:c r="I302" s="130" t="str">
        <x:f>IF(A302="","",IF('SURVEY DESIGN'!C302&lt;&gt;"",--(M302=""),0)+IF('SURVEY DESIGN'!C303&lt;&gt;"",--(N302=""),0)+IF('SURVEY DESIGN'!C304&lt;&gt;"",--(O302=""),0)+IF('SURVEY DESIGN'!C305&lt;&gt;"",--(P302=""),0)+IF('SURVEY DESIGN'!C306&lt;&gt;"",--(Q302=""),0)+IF('SURVEY DESIGN'!C307&lt;&gt;"",--(R302=""),0)+IF('SURVEY DESIGN'!C308&lt;&gt;"",--(S302=""),0)+IF('SURVEY DESIGN'!C309&lt;&gt;"",--(T302=""),0)+IF('SURVEY DESIGN'!C310&lt;&gt;"",--(U302=""),0)+IF('SURVEY DESIGN'!C311&lt;&gt;"",--(V302=""),0)+IF('SURVEY DESIGN'!C312&lt;&gt;"",--(W302=""),0)+IF('SURVEY DESIGN'!C313&lt;&gt;"",--(X302=""),0))</x:f>
      </x:c>
      <x:c r="J302" s="130" t="str">
        <x:f>IF(A302="","",IF(C302&lt;&gt;"Yes","NO CONSENT",IF(F302&lt;SETUP!$B$9,"SPEEDING",IF(G302&lt;&gt;"Yes","ATTENTION CHECK",IF(H302="Yes","STRAIGHTLINE REVIEW",IF(I302&gt;0,"MISSING ITEMS","OK"))))))</x:f>
      </x:c>
      <x:c r="K302" s="130" t="str">
        <x:f>IF(A302="","",IF(J302="OK","Yes","No"))</x:f>
      </x:c>
      <x:c r="L302" s="130" t="str">
        <x:f>IF(A302="","",IF(J302="OK","",IF(J302="NO CONSENT","Consent not affirmed",IF(J302="SPEEDING","Completion time below threshold",IF(J302="ATTENTION CHECK","Attention check failed",IF(J302="STRAIGHTLINE REVIEW","Straightlining review threshold met","Missing scored item(s)"))))))</x:f>
      </x:c>
      <x:c r="M302" s="119"/>
      <x:c r="N302" s="119"/>
      <x:c r="O302" s="119"/>
      <x:c r="P302" s="119"/>
      <x:c r="Q302" s="119"/>
      <x:c r="R302" s="119"/>
      <x:c r="S302" s="119"/>
      <x:c r="T302" s="119"/>
      <x:c r="U302" s="119"/>
      <x:c r="V302" s="119"/>
      <x:c r="W302" s="119"/>
      <x:c r="X302" s="119"/>
      <x:c r="Y302" s="133" t="str">
        <x:f>IF(K302&lt;&gt;"Yes","",IFERROR(AVERAGE(M302:X302),""))</x:f>
      </x:c>
      <x:c r="Z302" s="119"/>
    </x:row>
    <x:row r="303">
      <x:c r="A303" s="119"/>
      <x:c r="B303" s="119"/>
      <x:c r="C303" s="119"/>
      <x:c r="D303" s="119"/>
      <x:c r="E303" s="119"/>
      <x:c r="F303" s="119"/>
      <x:c r="G303" s="119"/>
      <x:c r="H303" s="130" t="str">
        <x:f>IF(A303="","",IF(AND(COUNTA(M303:X303)&gt;=SETUP!$B$10,COUNTIF(M303:X303,MAX(M303:X303))=COUNTA(M303:X303)),"Yes","No"))</x:f>
      </x:c>
      <x:c r="I303" s="130" t="str">
        <x:f>IF(A303="","",IF('SURVEY DESIGN'!C303&lt;&gt;"",--(M303=""),0)+IF('SURVEY DESIGN'!C304&lt;&gt;"",--(N303=""),0)+IF('SURVEY DESIGN'!C305&lt;&gt;"",--(O303=""),0)+IF('SURVEY DESIGN'!C306&lt;&gt;"",--(P303=""),0)+IF('SURVEY DESIGN'!C307&lt;&gt;"",--(Q303=""),0)+IF('SURVEY DESIGN'!C308&lt;&gt;"",--(R303=""),0)+IF('SURVEY DESIGN'!C309&lt;&gt;"",--(S303=""),0)+IF('SURVEY DESIGN'!C310&lt;&gt;"",--(T303=""),0)+IF('SURVEY DESIGN'!C311&lt;&gt;"",--(U303=""),0)+IF('SURVEY DESIGN'!C312&lt;&gt;"",--(V303=""),0)+IF('SURVEY DESIGN'!C313&lt;&gt;"",--(W303=""),0)+IF('SURVEY DESIGN'!C314&lt;&gt;"",--(X303=""),0))</x:f>
      </x:c>
      <x:c r="J303" s="130" t="str">
        <x:f>IF(A303="","",IF(C303&lt;&gt;"Yes","NO CONSENT",IF(F303&lt;SETUP!$B$9,"SPEEDING",IF(G303&lt;&gt;"Yes","ATTENTION CHECK",IF(H303="Yes","STRAIGHTLINE REVIEW",IF(I303&gt;0,"MISSING ITEMS","OK"))))))</x:f>
      </x:c>
      <x:c r="K303" s="130" t="str">
        <x:f>IF(A303="","",IF(J303="OK","Yes","No"))</x:f>
      </x:c>
      <x:c r="L303" s="130" t="str">
        <x:f>IF(A303="","",IF(J303="OK","",IF(J303="NO CONSENT","Consent not affirmed",IF(J303="SPEEDING","Completion time below threshold",IF(J303="ATTENTION CHECK","Attention check failed",IF(J303="STRAIGHTLINE REVIEW","Straightlining review threshold met","Missing scored item(s)"))))))</x:f>
      </x:c>
      <x:c r="M303" s="119"/>
      <x:c r="N303" s="119"/>
      <x:c r="O303" s="119"/>
      <x:c r="P303" s="119"/>
      <x:c r="Q303" s="119"/>
      <x:c r="R303" s="119"/>
      <x:c r="S303" s="119"/>
      <x:c r="T303" s="119"/>
      <x:c r="U303" s="119"/>
      <x:c r="V303" s="119"/>
      <x:c r="W303" s="119"/>
      <x:c r="X303" s="119"/>
      <x:c r="Y303" s="133" t="str">
        <x:f>IF(K303&lt;&gt;"Yes","",IFERROR(AVERAGE(M303:X303),""))</x:f>
      </x:c>
      <x:c r="Z303" s="119"/>
    </x:row>
    <x:row r="304">
      <x:c r="A304" s="119"/>
      <x:c r="B304" s="119"/>
      <x:c r="C304" s="119"/>
      <x:c r="D304" s="119"/>
      <x:c r="E304" s="119"/>
      <x:c r="F304" s="119"/>
      <x:c r="G304" s="119"/>
      <x:c r="H304" s="130" t="str">
        <x:f>IF(A304="","",IF(AND(COUNTA(M304:X304)&gt;=SETUP!$B$10,COUNTIF(M304:X304,MAX(M304:X304))=COUNTA(M304:X304)),"Yes","No"))</x:f>
      </x:c>
      <x:c r="I304" s="130" t="str">
        <x:f>IF(A304="","",IF('SURVEY DESIGN'!C304&lt;&gt;"",--(M304=""),0)+IF('SURVEY DESIGN'!C305&lt;&gt;"",--(N304=""),0)+IF('SURVEY DESIGN'!C306&lt;&gt;"",--(O304=""),0)+IF('SURVEY DESIGN'!C307&lt;&gt;"",--(P304=""),0)+IF('SURVEY DESIGN'!C308&lt;&gt;"",--(Q304=""),0)+IF('SURVEY DESIGN'!C309&lt;&gt;"",--(R304=""),0)+IF('SURVEY DESIGN'!C310&lt;&gt;"",--(S304=""),0)+IF('SURVEY DESIGN'!C311&lt;&gt;"",--(T304=""),0)+IF('SURVEY DESIGN'!C312&lt;&gt;"",--(U304=""),0)+IF('SURVEY DESIGN'!C313&lt;&gt;"",--(V304=""),0)+IF('SURVEY DESIGN'!C314&lt;&gt;"",--(W304=""),0)+IF('SURVEY DESIGN'!C315&lt;&gt;"",--(X304=""),0))</x:f>
      </x:c>
      <x:c r="J304" s="130" t="str">
        <x:f>IF(A304="","",IF(C304&lt;&gt;"Yes","NO CONSENT",IF(F304&lt;SETUP!$B$9,"SPEEDING",IF(G304&lt;&gt;"Yes","ATTENTION CHECK",IF(H304="Yes","STRAIGHTLINE REVIEW",IF(I304&gt;0,"MISSING ITEMS","OK"))))))</x:f>
      </x:c>
      <x:c r="K304" s="130" t="str">
        <x:f>IF(A304="","",IF(J304="OK","Yes","No"))</x:f>
      </x:c>
      <x:c r="L304" s="130" t="str">
        <x:f>IF(A304="","",IF(J304="OK","",IF(J304="NO CONSENT","Consent not affirmed",IF(J304="SPEEDING","Completion time below threshold",IF(J304="ATTENTION CHECK","Attention check failed",IF(J304="STRAIGHTLINE REVIEW","Straightlining review threshold met","Missing scored item(s)"))))))</x:f>
      </x:c>
      <x:c r="M304" s="119"/>
      <x:c r="N304" s="119"/>
      <x:c r="O304" s="119"/>
      <x:c r="P304" s="119"/>
      <x:c r="Q304" s="119"/>
      <x:c r="R304" s="119"/>
      <x:c r="S304" s="119"/>
      <x:c r="T304" s="119"/>
      <x:c r="U304" s="119"/>
      <x:c r="V304" s="119"/>
      <x:c r="W304" s="119"/>
      <x:c r="X304" s="119"/>
      <x:c r="Y304" s="133" t="str">
        <x:f>IF(K304&lt;&gt;"Yes","",IFERROR(AVERAGE(M304:X304),""))</x:f>
      </x:c>
      <x:c r="Z304" s="119"/>
    </x:row>
    <x:row r="305">
      <x:c r="A305" s="119"/>
      <x:c r="B305" s="119"/>
      <x:c r="C305" s="119"/>
      <x:c r="D305" s="119"/>
      <x:c r="E305" s="119"/>
      <x:c r="F305" s="119"/>
      <x:c r="G305" s="119"/>
      <x:c r="H305" s="130" t="str">
        <x:f>IF(A305="","",IF(AND(COUNTA(M305:X305)&gt;=SETUP!$B$10,COUNTIF(M305:X305,MAX(M305:X305))=COUNTA(M305:X305)),"Yes","No"))</x:f>
      </x:c>
      <x:c r="I305" s="130" t="str">
        <x:f>IF(A305="","",IF('SURVEY DESIGN'!C305&lt;&gt;"",--(M305=""),0)+IF('SURVEY DESIGN'!C306&lt;&gt;"",--(N305=""),0)+IF('SURVEY DESIGN'!C307&lt;&gt;"",--(O305=""),0)+IF('SURVEY DESIGN'!C308&lt;&gt;"",--(P305=""),0)+IF('SURVEY DESIGN'!C309&lt;&gt;"",--(Q305=""),0)+IF('SURVEY DESIGN'!C310&lt;&gt;"",--(R305=""),0)+IF('SURVEY DESIGN'!C311&lt;&gt;"",--(S305=""),0)+IF('SURVEY DESIGN'!C312&lt;&gt;"",--(T305=""),0)+IF('SURVEY DESIGN'!C313&lt;&gt;"",--(U305=""),0)+IF('SURVEY DESIGN'!C314&lt;&gt;"",--(V305=""),0)+IF('SURVEY DESIGN'!C315&lt;&gt;"",--(W305=""),0)+IF('SURVEY DESIGN'!C316&lt;&gt;"",--(X305=""),0))</x:f>
      </x:c>
      <x:c r="J305" s="130" t="str">
        <x:f>IF(A305="","",IF(C305&lt;&gt;"Yes","NO CONSENT",IF(F305&lt;SETUP!$B$9,"SPEEDING",IF(G305&lt;&gt;"Yes","ATTENTION CHECK",IF(H305="Yes","STRAIGHTLINE REVIEW",IF(I305&gt;0,"MISSING ITEMS","OK"))))))</x:f>
      </x:c>
      <x:c r="K305" s="130" t="str">
        <x:f>IF(A305="","",IF(J305="OK","Yes","No"))</x:f>
      </x:c>
      <x:c r="L305" s="130" t="str">
        <x:f>IF(A305="","",IF(J305="OK","",IF(J305="NO CONSENT","Consent not affirmed",IF(J305="SPEEDING","Completion time below threshold",IF(J305="ATTENTION CHECK","Attention check failed",IF(J305="STRAIGHTLINE REVIEW","Straightlining review threshold met","Missing scored item(s)"))))))</x:f>
      </x:c>
      <x:c r="M305" s="119"/>
      <x:c r="N305" s="119"/>
      <x:c r="O305" s="119"/>
      <x:c r="P305" s="119"/>
      <x:c r="Q305" s="119"/>
      <x:c r="R305" s="119"/>
      <x:c r="S305" s="119"/>
      <x:c r="T305" s="119"/>
      <x:c r="U305" s="119"/>
      <x:c r="V305" s="119"/>
      <x:c r="W305" s="119"/>
      <x:c r="X305" s="119"/>
      <x:c r="Y305" s="133" t="str">
        <x:f>IF(K305&lt;&gt;"Yes","",IFERROR(AVERAGE(M305:X305),""))</x:f>
      </x:c>
      <x:c r="Z305" s="119"/>
    </x:row>
    <x:row r="306">
      <x:c r="A306" s="119"/>
      <x:c r="B306" s="119"/>
      <x:c r="C306" s="119"/>
      <x:c r="D306" s="119"/>
      <x:c r="E306" s="119"/>
      <x:c r="F306" s="119"/>
      <x:c r="G306" s="119"/>
      <x:c r="H306" s="130" t="str">
        <x:f>IF(A306="","",IF(AND(COUNTA(M306:X306)&gt;=SETUP!$B$10,COUNTIF(M306:X306,MAX(M306:X306))=COUNTA(M306:X306)),"Yes","No"))</x:f>
      </x:c>
      <x:c r="I306" s="130" t="str">
        <x:f>IF(A306="","",IF('SURVEY DESIGN'!C306&lt;&gt;"",--(M306=""),0)+IF('SURVEY DESIGN'!C307&lt;&gt;"",--(N306=""),0)+IF('SURVEY DESIGN'!C308&lt;&gt;"",--(O306=""),0)+IF('SURVEY DESIGN'!C309&lt;&gt;"",--(P306=""),0)+IF('SURVEY DESIGN'!C310&lt;&gt;"",--(Q306=""),0)+IF('SURVEY DESIGN'!C311&lt;&gt;"",--(R306=""),0)+IF('SURVEY DESIGN'!C312&lt;&gt;"",--(S306=""),0)+IF('SURVEY DESIGN'!C313&lt;&gt;"",--(T306=""),0)+IF('SURVEY DESIGN'!C314&lt;&gt;"",--(U306=""),0)+IF('SURVEY DESIGN'!C315&lt;&gt;"",--(V306=""),0)+IF('SURVEY DESIGN'!C316&lt;&gt;"",--(W306=""),0)+IF('SURVEY DESIGN'!C317&lt;&gt;"",--(X306=""),0))</x:f>
      </x:c>
      <x:c r="J306" s="130" t="str">
        <x:f>IF(A306="","",IF(C306&lt;&gt;"Yes","NO CONSENT",IF(F306&lt;SETUP!$B$9,"SPEEDING",IF(G306&lt;&gt;"Yes","ATTENTION CHECK",IF(H306="Yes","STRAIGHTLINE REVIEW",IF(I306&gt;0,"MISSING ITEMS","OK"))))))</x:f>
      </x:c>
      <x:c r="K306" s="130" t="str">
        <x:f>IF(A306="","",IF(J306="OK","Yes","No"))</x:f>
      </x:c>
      <x:c r="L306" s="130" t="str">
        <x:f>IF(A306="","",IF(J306="OK","",IF(J306="NO CONSENT","Consent not affirmed",IF(J306="SPEEDING","Completion time below threshold",IF(J306="ATTENTION CHECK","Attention check failed",IF(J306="STRAIGHTLINE REVIEW","Straightlining review threshold met","Missing scored item(s)"))))))</x:f>
      </x:c>
      <x:c r="M306" s="119"/>
      <x:c r="N306" s="119"/>
      <x:c r="O306" s="119"/>
      <x:c r="P306" s="119"/>
      <x:c r="Q306" s="119"/>
      <x:c r="R306" s="119"/>
      <x:c r="S306" s="119"/>
      <x:c r="T306" s="119"/>
      <x:c r="U306" s="119"/>
      <x:c r="V306" s="119"/>
      <x:c r="W306" s="119"/>
      <x:c r="X306" s="119"/>
      <x:c r="Y306" s="133" t="str">
        <x:f>IF(K306&lt;&gt;"Yes","",IFERROR(AVERAGE(M306:X306),""))</x:f>
      </x:c>
      <x:c r="Z306" s="119"/>
    </x:row>
    <x:row r="307">
      <x:c r="A307" s="119"/>
      <x:c r="B307" s="119"/>
      <x:c r="C307" s="119"/>
      <x:c r="D307" s="119"/>
      <x:c r="E307" s="119"/>
      <x:c r="F307" s="119"/>
      <x:c r="G307" s="119"/>
      <x:c r="H307" s="130" t="str">
        <x:f>IF(A307="","",IF(AND(COUNTA(M307:X307)&gt;=SETUP!$B$10,COUNTIF(M307:X307,MAX(M307:X307))=COUNTA(M307:X307)),"Yes","No"))</x:f>
      </x:c>
      <x:c r="I307" s="130" t="str">
        <x:f>IF(A307="","",IF('SURVEY DESIGN'!C307&lt;&gt;"",--(M307=""),0)+IF('SURVEY DESIGN'!C308&lt;&gt;"",--(N307=""),0)+IF('SURVEY DESIGN'!C309&lt;&gt;"",--(O307=""),0)+IF('SURVEY DESIGN'!C310&lt;&gt;"",--(P307=""),0)+IF('SURVEY DESIGN'!C311&lt;&gt;"",--(Q307=""),0)+IF('SURVEY DESIGN'!C312&lt;&gt;"",--(R307=""),0)+IF('SURVEY DESIGN'!C313&lt;&gt;"",--(S307=""),0)+IF('SURVEY DESIGN'!C314&lt;&gt;"",--(T307=""),0)+IF('SURVEY DESIGN'!C315&lt;&gt;"",--(U307=""),0)+IF('SURVEY DESIGN'!C316&lt;&gt;"",--(V307=""),0)+IF('SURVEY DESIGN'!C317&lt;&gt;"",--(W307=""),0)+IF('SURVEY DESIGN'!C318&lt;&gt;"",--(X307=""),0))</x:f>
      </x:c>
      <x:c r="J307" s="130" t="str">
        <x:f>IF(A307="","",IF(C307&lt;&gt;"Yes","NO CONSENT",IF(F307&lt;SETUP!$B$9,"SPEEDING",IF(G307&lt;&gt;"Yes","ATTENTION CHECK",IF(H307="Yes","STRAIGHTLINE REVIEW",IF(I307&gt;0,"MISSING ITEMS","OK"))))))</x:f>
      </x:c>
      <x:c r="K307" s="130" t="str">
        <x:f>IF(A307="","",IF(J307="OK","Yes","No"))</x:f>
      </x:c>
      <x:c r="L307" s="130" t="str">
        <x:f>IF(A307="","",IF(J307="OK","",IF(J307="NO CONSENT","Consent not affirmed",IF(J307="SPEEDING","Completion time below threshold",IF(J307="ATTENTION CHECK","Attention check failed",IF(J307="STRAIGHTLINE REVIEW","Straightlining review threshold met","Missing scored item(s)"))))))</x:f>
      </x:c>
      <x:c r="M307" s="119"/>
      <x:c r="N307" s="119"/>
      <x:c r="O307" s="119"/>
      <x:c r="P307" s="119"/>
      <x:c r="Q307" s="119"/>
      <x:c r="R307" s="119"/>
      <x:c r="S307" s="119"/>
      <x:c r="T307" s="119"/>
      <x:c r="U307" s="119"/>
      <x:c r="V307" s="119"/>
      <x:c r="W307" s="119"/>
      <x:c r="X307" s="119"/>
      <x:c r="Y307" s="133" t="str">
        <x:f>IF(K307&lt;&gt;"Yes","",IFERROR(AVERAGE(M307:X307),""))</x:f>
      </x:c>
      <x:c r="Z307" s="119"/>
    </x:row>
    <x:row r="308">
      <x:c r="A308" s="119"/>
      <x:c r="B308" s="119"/>
      <x:c r="C308" s="119"/>
      <x:c r="D308" s="119"/>
      <x:c r="E308" s="119"/>
      <x:c r="F308" s="119"/>
      <x:c r="G308" s="119"/>
      <x:c r="H308" s="130" t="str">
        <x:f>IF(A308="","",IF(AND(COUNTA(M308:X308)&gt;=SETUP!$B$10,COUNTIF(M308:X308,MAX(M308:X308))=COUNTA(M308:X308)),"Yes","No"))</x:f>
      </x:c>
      <x:c r="I308" s="130" t="str">
        <x:f>IF(A308="","",IF('SURVEY DESIGN'!C308&lt;&gt;"",--(M308=""),0)+IF('SURVEY DESIGN'!C309&lt;&gt;"",--(N308=""),0)+IF('SURVEY DESIGN'!C310&lt;&gt;"",--(O308=""),0)+IF('SURVEY DESIGN'!C311&lt;&gt;"",--(P308=""),0)+IF('SURVEY DESIGN'!C312&lt;&gt;"",--(Q308=""),0)+IF('SURVEY DESIGN'!C313&lt;&gt;"",--(R308=""),0)+IF('SURVEY DESIGN'!C314&lt;&gt;"",--(S308=""),0)+IF('SURVEY DESIGN'!C315&lt;&gt;"",--(T308=""),0)+IF('SURVEY DESIGN'!C316&lt;&gt;"",--(U308=""),0)+IF('SURVEY DESIGN'!C317&lt;&gt;"",--(V308=""),0)+IF('SURVEY DESIGN'!C318&lt;&gt;"",--(W308=""),0)+IF('SURVEY DESIGN'!C319&lt;&gt;"",--(X308=""),0))</x:f>
      </x:c>
      <x:c r="J308" s="130" t="str">
        <x:f>IF(A308="","",IF(C308&lt;&gt;"Yes","NO CONSENT",IF(F308&lt;SETUP!$B$9,"SPEEDING",IF(G308&lt;&gt;"Yes","ATTENTION CHECK",IF(H308="Yes","STRAIGHTLINE REVIEW",IF(I308&gt;0,"MISSING ITEMS","OK"))))))</x:f>
      </x:c>
      <x:c r="K308" s="130" t="str">
        <x:f>IF(A308="","",IF(J308="OK","Yes","No"))</x:f>
      </x:c>
      <x:c r="L308" s="130" t="str">
        <x:f>IF(A308="","",IF(J308="OK","",IF(J308="NO CONSENT","Consent not affirmed",IF(J308="SPEEDING","Completion time below threshold",IF(J308="ATTENTION CHECK","Attention check failed",IF(J308="STRAIGHTLINE REVIEW","Straightlining review threshold met","Missing scored item(s)"))))))</x:f>
      </x:c>
      <x:c r="M308" s="119"/>
      <x:c r="N308" s="119"/>
      <x:c r="O308" s="119"/>
      <x:c r="P308" s="119"/>
      <x:c r="Q308" s="119"/>
      <x:c r="R308" s="119"/>
      <x:c r="S308" s="119"/>
      <x:c r="T308" s="119"/>
      <x:c r="U308" s="119"/>
      <x:c r="V308" s="119"/>
      <x:c r="W308" s="119"/>
      <x:c r="X308" s="119"/>
      <x:c r="Y308" s="133" t="str">
        <x:f>IF(K308&lt;&gt;"Yes","",IFERROR(AVERAGE(M308:X308),""))</x:f>
      </x:c>
      <x:c r="Z308" s="119"/>
    </x:row>
    <x:row r="309">
      <x:c r="A309" s="119"/>
      <x:c r="B309" s="119"/>
      <x:c r="C309" s="119"/>
      <x:c r="D309" s="119"/>
      <x:c r="E309" s="119"/>
      <x:c r="F309" s="119"/>
      <x:c r="G309" s="119"/>
      <x:c r="H309" s="130" t="str">
        <x:f>IF(A309="","",IF(AND(COUNTA(M309:X309)&gt;=SETUP!$B$10,COUNTIF(M309:X309,MAX(M309:X309))=COUNTA(M309:X309)),"Yes","No"))</x:f>
      </x:c>
      <x:c r="I309" s="130" t="str">
        <x:f>IF(A309="","",IF('SURVEY DESIGN'!C309&lt;&gt;"",--(M309=""),0)+IF('SURVEY DESIGN'!C310&lt;&gt;"",--(N309=""),0)+IF('SURVEY DESIGN'!C311&lt;&gt;"",--(O309=""),0)+IF('SURVEY DESIGN'!C312&lt;&gt;"",--(P309=""),0)+IF('SURVEY DESIGN'!C313&lt;&gt;"",--(Q309=""),0)+IF('SURVEY DESIGN'!C314&lt;&gt;"",--(R309=""),0)+IF('SURVEY DESIGN'!C315&lt;&gt;"",--(S309=""),0)+IF('SURVEY DESIGN'!C316&lt;&gt;"",--(T309=""),0)+IF('SURVEY DESIGN'!C317&lt;&gt;"",--(U309=""),0)+IF('SURVEY DESIGN'!C318&lt;&gt;"",--(V309=""),0)+IF('SURVEY DESIGN'!C319&lt;&gt;"",--(W309=""),0)+IF('SURVEY DESIGN'!C320&lt;&gt;"",--(X309=""),0))</x:f>
      </x:c>
      <x:c r="J309" s="130" t="str">
        <x:f>IF(A309="","",IF(C309&lt;&gt;"Yes","NO CONSENT",IF(F309&lt;SETUP!$B$9,"SPEEDING",IF(G309&lt;&gt;"Yes","ATTENTION CHECK",IF(H309="Yes","STRAIGHTLINE REVIEW",IF(I309&gt;0,"MISSING ITEMS","OK"))))))</x:f>
      </x:c>
      <x:c r="K309" s="130" t="str">
        <x:f>IF(A309="","",IF(J309="OK","Yes","No"))</x:f>
      </x:c>
      <x:c r="L309" s="130" t="str">
        <x:f>IF(A309="","",IF(J309="OK","",IF(J309="NO CONSENT","Consent not affirmed",IF(J309="SPEEDING","Completion time below threshold",IF(J309="ATTENTION CHECK","Attention check failed",IF(J309="STRAIGHTLINE REVIEW","Straightlining review threshold met","Missing scored item(s)"))))))</x:f>
      </x:c>
      <x:c r="M309" s="119"/>
      <x:c r="N309" s="119"/>
      <x:c r="O309" s="119"/>
      <x:c r="P309" s="119"/>
      <x:c r="Q309" s="119"/>
      <x:c r="R309" s="119"/>
      <x:c r="S309" s="119"/>
      <x:c r="T309" s="119"/>
      <x:c r="U309" s="119"/>
      <x:c r="V309" s="119"/>
      <x:c r="W309" s="119"/>
      <x:c r="X309" s="119"/>
      <x:c r="Y309" s="133" t="str">
        <x:f>IF(K309&lt;&gt;"Yes","",IFERROR(AVERAGE(M309:X309),""))</x:f>
      </x:c>
      <x:c r="Z309" s="119"/>
    </x:row>
    <x:row r="310">
      <x:c r="A310" s="119"/>
      <x:c r="B310" s="119"/>
      <x:c r="C310" s="119"/>
      <x:c r="D310" s="119"/>
      <x:c r="E310" s="119"/>
      <x:c r="F310" s="119"/>
      <x:c r="G310" s="119"/>
      <x:c r="H310" s="130" t="str">
        <x:f>IF(A310="","",IF(AND(COUNTA(M310:X310)&gt;=SETUP!$B$10,COUNTIF(M310:X310,MAX(M310:X310))=COUNTA(M310:X310)),"Yes","No"))</x:f>
      </x:c>
      <x:c r="I310" s="130" t="str">
        <x:f>IF(A310="","",IF('SURVEY DESIGN'!C310&lt;&gt;"",--(M310=""),0)+IF('SURVEY DESIGN'!C311&lt;&gt;"",--(N310=""),0)+IF('SURVEY DESIGN'!C312&lt;&gt;"",--(O310=""),0)+IF('SURVEY DESIGN'!C313&lt;&gt;"",--(P310=""),0)+IF('SURVEY DESIGN'!C314&lt;&gt;"",--(Q310=""),0)+IF('SURVEY DESIGN'!C315&lt;&gt;"",--(R310=""),0)+IF('SURVEY DESIGN'!C316&lt;&gt;"",--(S310=""),0)+IF('SURVEY DESIGN'!C317&lt;&gt;"",--(T310=""),0)+IF('SURVEY DESIGN'!C318&lt;&gt;"",--(U310=""),0)+IF('SURVEY DESIGN'!C319&lt;&gt;"",--(V310=""),0)+IF('SURVEY DESIGN'!C320&lt;&gt;"",--(W310=""),0)+IF('SURVEY DESIGN'!C321&lt;&gt;"",--(X310=""),0))</x:f>
      </x:c>
      <x:c r="J310" s="130" t="str">
        <x:f>IF(A310="","",IF(C310&lt;&gt;"Yes","NO CONSENT",IF(F310&lt;SETUP!$B$9,"SPEEDING",IF(G310&lt;&gt;"Yes","ATTENTION CHECK",IF(H310="Yes","STRAIGHTLINE REVIEW",IF(I310&gt;0,"MISSING ITEMS","OK"))))))</x:f>
      </x:c>
      <x:c r="K310" s="130" t="str">
        <x:f>IF(A310="","",IF(J310="OK","Yes","No"))</x:f>
      </x:c>
      <x:c r="L310" s="130" t="str">
        <x:f>IF(A310="","",IF(J310="OK","",IF(J310="NO CONSENT","Consent not affirmed",IF(J310="SPEEDING","Completion time below threshold",IF(J310="ATTENTION CHECK","Attention check failed",IF(J310="STRAIGHTLINE REVIEW","Straightlining review threshold met","Missing scored item(s)"))))))</x:f>
      </x:c>
      <x:c r="M310" s="119"/>
      <x:c r="N310" s="119"/>
      <x:c r="O310" s="119"/>
      <x:c r="P310" s="119"/>
      <x:c r="Q310" s="119"/>
      <x:c r="R310" s="119"/>
      <x:c r="S310" s="119"/>
      <x:c r="T310" s="119"/>
      <x:c r="U310" s="119"/>
      <x:c r="V310" s="119"/>
      <x:c r="W310" s="119"/>
      <x:c r="X310" s="119"/>
      <x:c r="Y310" s="133" t="str">
        <x:f>IF(K310&lt;&gt;"Yes","",IFERROR(AVERAGE(M310:X310),""))</x:f>
      </x:c>
      <x:c r="Z310" s="119"/>
    </x:row>
    <x:row r="311">
      <x:c r="A311" s="119"/>
      <x:c r="B311" s="119"/>
      <x:c r="C311" s="119"/>
      <x:c r="D311" s="119"/>
      <x:c r="E311" s="119"/>
      <x:c r="F311" s="119"/>
      <x:c r="G311" s="119"/>
      <x:c r="H311" s="130" t="str">
        <x:f>IF(A311="","",IF(AND(COUNTA(M311:X311)&gt;=SETUP!$B$10,COUNTIF(M311:X311,MAX(M311:X311))=COUNTA(M311:X311)),"Yes","No"))</x:f>
      </x:c>
      <x:c r="I311" s="130" t="str">
        <x:f>IF(A311="","",IF('SURVEY DESIGN'!C311&lt;&gt;"",--(M311=""),0)+IF('SURVEY DESIGN'!C312&lt;&gt;"",--(N311=""),0)+IF('SURVEY DESIGN'!C313&lt;&gt;"",--(O311=""),0)+IF('SURVEY DESIGN'!C314&lt;&gt;"",--(P311=""),0)+IF('SURVEY DESIGN'!C315&lt;&gt;"",--(Q311=""),0)+IF('SURVEY DESIGN'!C316&lt;&gt;"",--(R311=""),0)+IF('SURVEY DESIGN'!C317&lt;&gt;"",--(S311=""),0)+IF('SURVEY DESIGN'!C318&lt;&gt;"",--(T311=""),0)+IF('SURVEY DESIGN'!C319&lt;&gt;"",--(U311=""),0)+IF('SURVEY DESIGN'!C320&lt;&gt;"",--(V311=""),0)+IF('SURVEY DESIGN'!C321&lt;&gt;"",--(W311=""),0)+IF('SURVEY DESIGN'!C322&lt;&gt;"",--(X311=""),0))</x:f>
      </x:c>
      <x:c r="J311" s="130" t="str">
        <x:f>IF(A311="","",IF(C311&lt;&gt;"Yes","NO CONSENT",IF(F311&lt;SETUP!$B$9,"SPEEDING",IF(G311&lt;&gt;"Yes","ATTENTION CHECK",IF(H311="Yes","STRAIGHTLINE REVIEW",IF(I311&gt;0,"MISSING ITEMS","OK"))))))</x:f>
      </x:c>
      <x:c r="K311" s="130" t="str">
        <x:f>IF(A311="","",IF(J311="OK","Yes","No"))</x:f>
      </x:c>
      <x:c r="L311" s="130" t="str">
        <x:f>IF(A311="","",IF(J311="OK","",IF(J311="NO CONSENT","Consent not affirmed",IF(J311="SPEEDING","Completion time below threshold",IF(J311="ATTENTION CHECK","Attention check failed",IF(J311="STRAIGHTLINE REVIEW","Straightlining review threshold met","Missing scored item(s)"))))))</x:f>
      </x:c>
      <x:c r="M311" s="119"/>
      <x:c r="N311" s="119"/>
      <x:c r="O311" s="119"/>
      <x:c r="P311" s="119"/>
      <x:c r="Q311" s="119"/>
      <x:c r="R311" s="119"/>
      <x:c r="S311" s="119"/>
      <x:c r="T311" s="119"/>
      <x:c r="U311" s="119"/>
      <x:c r="V311" s="119"/>
      <x:c r="W311" s="119"/>
      <x:c r="X311" s="119"/>
      <x:c r="Y311" s="133" t="str">
        <x:f>IF(K311&lt;&gt;"Yes","",IFERROR(AVERAGE(M311:X311),""))</x:f>
      </x:c>
      <x:c r="Z311" s="119"/>
    </x:row>
    <x:row r="312">
      <x:c r="A312" s="119"/>
      <x:c r="B312" s="119"/>
      <x:c r="C312" s="119"/>
      <x:c r="D312" s="119"/>
      <x:c r="E312" s="119"/>
      <x:c r="F312" s="119"/>
      <x:c r="G312" s="119"/>
      <x:c r="H312" s="130" t="str">
        <x:f>IF(A312="","",IF(AND(COUNTA(M312:X312)&gt;=SETUP!$B$10,COUNTIF(M312:X312,MAX(M312:X312))=COUNTA(M312:X312)),"Yes","No"))</x:f>
      </x:c>
      <x:c r="I312" s="130" t="str">
        <x:f>IF(A312="","",IF('SURVEY DESIGN'!C312&lt;&gt;"",--(M312=""),0)+IF('SURVEY DESIGN'!C313&lt;&gt;"",--(N312=""),0)+IF('SURVEY DESIGN'!C314&lt;&gt;"",--(O312=""),0)+IF('SURVEY DESIGN'!C315&lt;&gt;"",--(P312=""),0)+IF('SURVEY DESIGN'!C316&lt;&gt;"",--(Q312=""),0)+IF('SURVEY DESIGN'!C317&lt;&gt;"",--(R312=""),0)+IF('SURVEY DESIGN'!C318&lt;&gt;"",--(S312=""),0)+IF('SURVEY DESIGN'!C319&lt;&gt;"",--(T312=""),0)+IF('SURVEY DESIGN'!C320&lt;&gt;"",--(U312=""),0)+IF('SURVEY DESIGN'!C321&lt;&gt;"",--(V312=""),0)+IF('SURVEY DESIGN'!C322&lt;&gt;"",--(W312=""),0)+IF('SURVEY DESIGN'!C323&lt;&gt;"",--(X312=""),0))</x:f>
      </x:c>
      <x:c r="J312" s="130" t="str">
        <x:f>IF(A312="","",IF(C312&lt;&gt;"Yes","NO CONSENT",IF(F312&lt;SETUP!$B$9,"SPEEDING",IF(G312&lt;&gt;"Yes","ATTENTION CHECK",IF(H312="Yes","STRAIGHTLINE REVIEW",IF(I312&gt;0,"MISSING ITEMS","OK"))))))</x:f>
      </x:c>
      <x:c r="K312" s="130" t="str">
        <x:f>IF(A312="","",IF(J312="OK","Yes","No"))</x:f>
      </x:c>
      <x:c r="L312" s="130" t="str">
        <x:f>IF(A312="","",IF(J312="OK","",IF(J312="NO CONSENT","Consent not affirmed",IF(J312="SPEEDING","Completion time below threshold",IF(J312="ATTENTION CHECK","Attention check failed",IF(J312="STRAIGHTLINE REVIEW","Straightlining review threshold met","Missing scored item(s)"))))))</x:f>
      </x:c>
      <x:c r="M312" s="119"/>
      <x:c r="N312" s="119"/>
      <x:c r="O312" s="119"/>
      <x:c r="P312" s="119"/>
      <x:c r="Q312" s="119"/>
      <x:c r="R312" s="119"/>
      <x:c r="S312" s="119"/>
      <x:c r="T312" s="119"/>
      <x:c r="U312" s="119"/>
      <x:c r="V312" s="119"/>
      <x:c r="W312" s="119"/>
      <x:c r="X312" s="119"/>
      <x:c r="Y312" s="133" t="str">
        <x:f>IF(K312&lt;&gt;"Yes","",IFERROR(AVERAGE(M312:X312),""))</x:f>
      </x:c>
      <x:c r="Z312" s="119"/>
    </x:row>
    <x:row r="313">
      <x:c r="A313" s="119"/>
      <x:c r="B313" s="119"/>
      <x:c r="C313" s="119"/>
      <x:c r="D313" s="119"/>
      <x:c r="E313" s="119"/>
      <x:c r="F313" s="119"/>
      <x:c r="G313" s="119"/>
      <x:c r="H313" s="130" t="str">
        <x:f>IF(A313="","",IF(AND(COUNTA(M313:X313)&gt;=SETUP!$B$10,COUNTIF(M313:X313,MAX(M313:X313))=COUNTA(M313:X313)),"Yes","No"))</x:f>
      </x:c>
      <x:c r="I313" s="130" t="str">
        <x:f>IF(A313="","",IF('SURVEY DESIGN'!C313&lt;&gt;"",--(M313=""),0)+IF('SURVEY DESIGN'!C314&lt;&gt;"",--(N313=""),0)+IF('SURVEY DESIGN'!C315&lt;&gt;"",--(O313=""),0)+IF('SURVEY DESIGN'!C316&lt;&gt;"",--(P313=""),0)+IF('SURVEY DESIGN'!C317&lt;&gt;"",--(Q313=""),0)+IF('SURVEY DESIGN'!C318&lt;&gt;"",--(R313=""),0)+IF('SURVEY DESIGN'!C319&lt;&gt;"",--(S313=""),0)+IF('SURVEY DESIGN'!C320&lt;&gt;"",--(T313=""),0)+IF('SURVEY DESIGN'!C321&lt;&gt;"",--(U313=""),0)+IF('SURVEY DESIGN'!C322&lt;&gt;"",--(V313=""),0)+IF('SURVEY DESIGN'!C323&lt;&gt;"",--(W313=""),0)+IF('SURVEY DESIGN'!C324&lt;&gt;"",--(X313=""),0))</x:f>
      </x:c>
      <x:c r="J313" s="130" t="str">
        <x:f>IF(A313="","",IF(C313&lt;&gt;"Yes","NO CONSENT",IF(F313&lt;SETUP!$B$9,"SPEEDING",IF(G313&lt;&gt;"Yes","ATTENTION CHECK",IF(H313="Yes","STRAIGHTLINE REVIEW",IF(I313&gt;0,"MISSING ITEMS","OK"))))))</x:f>
      </x:c>
      <x:c r="K313" s="130" t="str">
        <x:f>IF(A313="","",IF(J313="OK","Yes","No"))</x:f>
      </x:c>
      <x:c r="L313" s="130" t="str">
        <x:f>IF(A313="","",IF(J313="OK","",IF(J313="NO CONSENT","Consent not affirmed",IF(J313="SPEEDING","Completion time below threshold",IF(J313="ATTENTION CHECK","Attention check failed",IF(J313="STRAIGHTLINE REVIEW","Straightlining review threshold met","Missing scored item(s)"))))))</x:f>
      </x:c>
      <x:c r="M313" s="119"/>
      <x:c r="N313" s="119"/>
      <x:c r="O313" s="119"/>
      <x:c r="P313" s="119"/>
      <x:c r="Q313" s="119"/>
      <x:c r="R313" s="119"/>
      <x:c r="S313" s="119"/>
      <x:c r="T313" s="119"/>
      <x:c r="U313" s="119"/>
      <x:c r="V313" s="119"/>
      <x:c r="W313" s="119"/>
      <x:c r="X313" s="119"/>
      <x:c r="Y313" s="133" t="str">
        <x:f>IF(K313&lt;&gt;"Yes","",IFERROR(AVERAGE(M313:X313),""))</x:f>
      </x:c>
      <x:c r="Z313" s="119"/>
    </x:row>
    <x:row r="314">
      <x:c r="A314" s="119"/>
      <x:c r="B314" s="119"/>
      <x:c r="C314" s="119"/>
      <x:c r="D314" s="119"/>
      <x:c r="E314" s="119"/>
      <x:c r="F314" s="119"/>
      <x:c r="G314" s="119"/>
      <x:c r="H314" s="130" t="str">
        <x:f>IF(A314="","",IF(AND(COUNTA(M314:X314)&gt;=SETUP!$B$10,COUNTIF(M314:X314,MAX(M314:X314))=COUNTA(M314:X314)),"Yes","No"))</x:f>
      </x:c>
      <x:c r="I314" s="130" t="str">
        <x:f>IF(A314="","",IF('SURVEY DESIGN'!C314&lt;&gt;"",--(M314=""),0)+IF('SURVEY DESIGN'!C315&lt;&gt;"",--(N314=""),0)+IF('SURVEY DESIGN'!C316&lt;&gt;"",--(O314=""),0)+IF('SURVEY DESIGN'!C317&lt;&gt;"",--(P314=""),0)+IF('SURVEY DESIGN'!C318&lt;&gt;"",--(Q314=""),0)+IF('SURVEY DESIGN'!C319&lt;&gt;"",--(R314=""),0)+IF('SURVEY DESIGN'!C320&lt;&gt;"",--(S314=""),0)+IF('SURVEY DESIGN'!C321&lt;&gt;"",--(T314=""),0)+IF('SURVEY DESIGN'!C322&lt;&gt;"",--(U314=""),0)+IF('SURVEY DESIGN'!C323&lt;&gt;"",--(V314=""),0)+IF('SURVEY DESIGN'!C324&lt;&gt;"",--(W314=""),0)+IF('SURVEY DESIGN'!C325&lt;&gt;"",--(X314=""),0))</x:f>
      </x:c>
      <x:c r="J314" s="130" t="str">
        <x:f>IF(A314="","",IF(C314&lt;&gt;"Yes","NO CONSENT",IF(F314&lt;SETUP!$B$9,"SPEEDING",IF(G314&lt;&gt;"Yes","ATTENTION CHECK",IF(H314="Yes","STRAIGHTLINE REVIEW",IF(I314&gt;0,"MISSING ITEMS","OK"))))))</x:f>
      </x:c>
      <x:c r="K314" s="130" t="str">
        <x:f>IF(A314="","",IF(J314="OK","Yes","No"))</x:f>
      </x:c>
      <x:c r="L314" s="130" t="str">
        <x:f>IF(A314="","",IF(J314="OK","",IF(J314="NO CONSENT","Consent not affirmed",IF(J314="SPEEDING","Completion time below threshold",IF(J314="ATTENTION CHECK","Attention check failed",IF(J314="STRAIGHTLINE REVIEW","Straightlining review threshold met","Missing scored item(s)"))))))</x:f>
      </x:c>
      <x:c r="M314" s="119"/>
      <x:c r="N314" s="119"/>
      <x:c r="O314" s="119"/>
      <x:c r="P314" s="119"/>
      <x:c r="Q314" s="119"/>
      <x:c r="R314" s="119"/>
      <x:c r="S314" s="119"/>
      <x:c r="T314" s="119"/>
      <x:c r="U314" s="119"/>
      <x:c r="V314" s="119"/>
      <x:c r="W314" s="119"/>
      <x:c r="X314" s="119"/>
      <x:c r="Y314" s="133" t="str">
        <x:f>IF(K314&lt;&gt;"Yes","",IFERROR(AVERAGE(M314:X314),""))</x:f>
      </x:c>
      <x:c r="Z314" s="119"/>
    </x:row>
    <x:row r="315">
      <x:c r="A315" s="119"/>
      <x:c r="B315" s="119"/>
      <x:c r="C315" s="119"/>
      <x:c r="D315" s="119"/>
      <x:c r="E315" s="119"/>
      <x:c r="F315" s="119"/>
      <x:c r="G315" s="119"/>
      <x:c r="H315" s="130" t="str">
        <x:f>IF(A315="","",IF(AND(COUNTA(M315:X315)&gt;=SETUP!$B$10,COUNTIF(M315:X315,MAX(M315:X315))=COUNTA(M315:X315)),"Yes","No"))</x:f>
      </x:c>
      <x:c r="I315" s="130" t="str">
        <x:f>IF(A315="","",IF('SURVEY DESIGN'!C315&lt;&gt;"",--(M315=""),0)+IF('SURVEY DESIGN'!C316&lt;&gt;"",--(N315=""),0)+IF('SURVEY DESIGN'!C317&lt;&gt;"",--(O315=""),0)+IF('SURVEY DESIGN'!C318&lt;&gt;"",--(P315=""),0)+IF('SURVEY DESIGN'!C319&lt;&gt;"",--(Q315=""),0)+IF('SURVEY DESIGN'!C320&lt;&gt;"",--(R315=""),0)+IF('SURVEY DESIGN'!C321&lt;&gt;"",--(S315=""),0)+IF('SURVEY DESIGN'!C322&lt;&gt;"",--(T315=""),0)+IF('SURVEY DESIGN'!C323&lt;&gt;"",--(U315=""),0)+IF('SURVEY DESIGN'!C324&lt;&gt;"",--(V315=""),0)+IF('SURVEY DESIGN'!C325&lt;&gt;"",--(W315=""),0)+IF('SURVEY DESIGN'!C326&lt;&gt;"",--(X315=""),0))</x:f>
      </x:c>
      <x:c r="J315" s="130" t="str">
        <x:f>IF(A315="","",IF(C315&lt;&gt;"Yes","NO CONSENT",IF(F315&lt;SETUP!$B$9,"SPEEDING",IF(G315&lt;&gt;"Yes","ATTENTION CHECK",IF(H315="Yes","STRAIGHTLINE REVIEW",IF(I315&gt;0,"MISSING ITEMS","OK"))))))</x:f>
      </x:c>
      <x:c r="K315" s="130" t="str">
        <x:f>IF(A315="","",IF(J315="OK","Yes","No"))</x:f>
      </x:c>
      <x:c r="L315" s="130" t="str">
        <x:f>IF(A315="","",IF(J315="OK","",IF(J315="NO CONSENT","Consent not affirmed",IF(J315="SPEEDING","Completion time below threshold",IF(J315="ATTENTION CHECK","Attention check failed",IF(J315="STRAIGHTLINE REVIEW","Straightlining review threshold met","Missing scored item(s)"))))))</x:f>
      </x:c>
      <x:c r="M315" s="119"/>
      <x:c r="N315" s="119"/>
      <x:c r="O315" s="119"/>
      <x:c r="P315" s="119"/>
      <x:c r="Q315" s="119"/>
      <x:c r="R315" s="119"/>
      <x:c r="S315" s="119"/>
      <x:c r="T315" s="119"/>
      <x:c r="U315" s="119"/>
      <x:c r="V315" s="119"/>
      <x:c r="W315" s="119"/>
      <x:c r="X315" s="119"/>
      <x:c r="Y315" s="133" t="str">
        <x:f>IF(K315&lt;&gt;"Yes","",IFERROR(AVERAGE(M315:X315),""))</x:f>
      </x:c>
      <x:c r="Z315" s="119"/>
    </x:row>
    <x:row r="316">
      <x:c r="A316" s="119"/>
      <x:c r="B316" s="119"/>
      <x:c r="C316" s="119"/>
      <x:c r="D316" s="119"/>
      <x:c r="E316" s="119"/>
      <x:c r="F316" s="119"/>
      <x:c r="G316" s="119"/>
      <x:c r="H316" s="130" t="str">
        <x:f>IF(A316="","",IF(AND(COUNTA(M316:X316)&gt;=SETUP!$B$10,COUNTIF(M316:X316,MAX(M316:X316))=COUNTA(M316:X316)),"Yes","No"))</x:f>
      </x:c>
      <x:c r="I316" s="130" t="str">
        <x:f>IF(A316="","",IF('SURVEY DESIGN'!C316&lt;&gt;"",--(M316=""),0)+IF('SURVEY DESIGN'!C317&lt;&gt;"",--(N316=""),0)+IF('SURVEY DESIGN'!C318&lt;&gt;"",--(O316=""),0)+IF('SURVEY DESIGN'!C319&lt;&gt;"",--(P316=""),0)+IF('SURVEY DESIGN'!C320&lt;&gt;"",--(Q316=""),0)+IF('SURVEY DESIGN'!C321&lt;&gt;"",--(R316=""),0)+IF('SURVEY DESIGN'!C322&lt;&gt;"",--(S316=""),0)+IF('SURVEY DESIGN'!C323&lt;&gt;"",--(T316=""),0)+IF('SURVEY DESIGN'!C324&lt;&gt;"",--(U316=""),0)+IF('SURVEY DESIGN'!C325&lt;&gt;"",--(V316=""),0)+IF('SURVEY DESIGN'!C326&lt;&gt;"",--(W316=""),0)+IF('SURVEY DESIGN'!C327&lt;&gt;"",--(X316=""),0))</x:f>
      </x:c>
      <x:c r="J316" s="130" t="str">
        <x:f>IF(A316="","",IF(C316&lt;&gt;"Yes","NO CONSENT",IF(F316&lt;SETUP!$B$9,"SPEEDING",IF(G316&lt;&gt;"Yes","ATTENTION CHECK",IF(H316="Yes","STRAIGHTLINE REVIEW",IF(I316&gt;0,"MISSING ITEMS","OK"))))))</x:f>
      </x:c>
      <x:c r="K316" s="130" t="str">
        <x:f>IF(A316="","",IF(J316="OK","Yes","No"))</x:f>
      </x:c>
      <x:c r="L316" s="130" t="str">
        <x:f>IF(A316="","",IF(J316="OK","",IF(J316="NO CONSENT","Consent not affirmed",IF(J316="SPEEDING","Completion time below threshold",IF(J316="ATTENTION CHECK","Attention check failed",IF(J316="STRAIGHTLINE REVIEW","Straightlining review threshold met","Missing scored item(s)"))))))</x:f>
      </x:c>
      <x:c r="M316" s="119"/>
      <x:c r="N316" s="119"/>
      <x:c r="O316" s="119"/>
      <x:c r="P316" s="119"/>
      <x:c r="Q316" s="119"/>
      <x:c r="R316" s="119"/>
      <x:c r="S316" s="119"/>
      <x:c r="T316" s="119"/>
      <x:c r="U316" s="119"/>
      <x:c r="V316" s="119"/>
      <x:c r="W316" s="119"/>
      <x:c r="X316" s="119"/>
      <x:c r="Y316" s="133" t="str">
        <x:f>IF(K316&lt;&gt;"Yes","",IFERROR(AVERAGE(M316:X316),""))</x:f>
      </x:c>
      <x:c r="Z316" s="119"/>
    </x:row>
    <x:row r="317">
      <x:c r="A317" s="119"/>
      <x:c r="B317" s="119"/>
      <x:c r="C317" s="119"/>
      <x:c r="D317" s="119"/>
      <x:c r="E317" s="119"/>
      <x:c r="F317" s="119"/>
      <x:c r="G317" s="119"/>
      <x:c r="H317" s="130" t="str">
        <x:f>IF(A317="","",IF(AND(COUNTA(M317:X317)&gt;=SETUP!$B$10,COUNTIF(M317:X317,MAX(M317:X317))=COUNTA(M317:X317)),"Yes","No"))</x:f>
      </x:c>
      <x:c r="I317" s="130" t="str">
        <x:f>IF(A317="","",IF('SURVEY DESIGN'!C317&lt;&gt;"",--(M317=""),0)+IF('SURVEY DESIGN'!C318&lt;&gt;"",--(N317=""),0)+IF('SURVEY DESIGN'!C319&lt;&gt;"",--(O317=""),0)+IF('SURVEY DESIGN'!C320&lt;&gt;"",--(P317=""),0)+IF('SURVEY DESIGN'!C321&lt;&gt;"",--(Q317=""),0)+IF('SURVEY DESIGN'!C322&lt;&gt;"",--(R317=""),0)+IF('SURVEY DESIGN'!C323&lt;&gt;"",--(S317=""),0)+IF('SURVEY DESIGN'!C324&lt;&gt;"",--(T317=""),0)+IF('SURVEY DESIGN'!C325&lt;&gt;"",--(U317=""),0)+IF('SURVEY DESIGN'!C326&lt;&gt;"",--(V317=""),0)+IF('SURVEY DESIGN'!C327&lt;&gt;"",--(W317=""),0)+IF('SURVEY DESIGN'!C328&lt;&gt;"",--(X317=""),0))</x:f>
      </x:c>
      <x:c r="J317" s="130" t="str">
        <x:f>IF(A317="","",IF(C317&lt;&gt;"Yes","NO CONSENT",IF(F317&lt;SETUP!$B$9,"SPEEDING",IF(G317&lt;&gt;"Yes","ATTENTION CHECK",IF(H317="Yes","STRAIGHTLINE REVIEW",IF(I317&gt;0,"MISSING ITEMS","OK"))))))</x:f>
      </x:c>
      <x:c r="K317" s="130" t="str">
        <x:f>IF(A317="","",IF(J317="OK","Yes","No"))</x:f>
      </x:c>
      <x:c r="L317" s="130" t="str">
        <x:f>IF(A317="","",IF(J317="OK","",IF(J317="NO CONSENT","Consent not affirmed",IF(J317="SPEEDING","Completion time below threshold",IF(J317="ATTENTION CHECK","Attention check failed",IF(J317="STRAIGHTLINE REVIEW","Straightlining review threshold met","Missing scored item(s)"))))))</x:f>
      </x:c>
      <x:c r="M317" s="119"/>
      <x:c r="N317" s="119"/>
      <x:c r="O317" s="119"/>
      <x:c r="P317" s="119"/>
      <x:c r="Q317" s="119"/>
      <x:c r="R317" s="119"/>
      <x:c r="S317" s="119"/>
      <x:c r="T317" s="119"/>
      <x:c r="U317" s="119"/>
      <x:c r="V317" s="119"/>
      <x:c r="W317" s="119"/>
      <x:c r="X317" s="119"/>
      <x:c r="Y317" s="133" t="str">
        <x:f>IF(K317&lt;&gt;"Yes","",IFERROR(AVERAGE(M317:X317),""))</x:f>
      </x:c>
      <x:c r="Z317" s="119"/>
    </x:row>
    <x:row r="318">
      <x:c r="A318" s="119"/>
      <x:c r="B318" s="119"/>
      <x:c r="C318" s="119"/>
      <x:c r="D318" s="119"/>
      <x:c r="E318" s="119"/>
      <x:c r="F318" s="119"/>
      <x:c r="G318" s="119"/>
      <x:c r="H318" s="130" t="str">
        <x:f>IF(A318="","",IF(AND(COUNTA(M318:X318)&gt;=SETUP!$B$10,COUNTIF(M318:X318,MAX(M318:X318))=COUNTA(M318:X318)),"Yes","No"))</x:f>
      </x:c>
      <x:c r="I318" s="130" t="str">
        <x:f>IF(A318="","",IF('SURVEY DESIGN'!C318&lt;&gt;"",--(M318=""),0)+IF('SURVEY DESIGN'!C319&lt;&gt;"",--(N318=""),0)+IF('SURVEY DESIGN'!C320&lt;&gt;"",--(O318=""),0)+IF('SURVEY DESIGN'!C321&lt;&gt;"",--(P318=""),0)+IF('SURVEY DESIGN'!C322&lt;&gt;"",--(Q318=""),0)+IF('SURVEY DESIGN'!C323&lt;&gt;"",--(R318=""),0)+IF('SURVEY DESIGN'!C324&lt;&gt;"",--(S318=""),0)+IF('SURVEY DESIGN'!C325&lt;&gt;"",--(T318=""),0)+IF('SURVEY DESIGN'!C326&lt;&gt;"",--(U318=""),0)+IF('SURVEY DESIGN'!C327&lt;&gt;"",--(V318=""),0)+IF('SURVEY DESIGN'!C328&lt;&gt;"",--(W318=""),0)+IF('SURVEY DESIGN'!C329&lt;&gt;"",--(X318=""),0))</x:f>
      </x:c>
      <x:c r="J318" s="130" t="str">
        <x:f>IF(A318="","",IF(C318&lt;&gt;"Yes","NO CONSENT",IF(F318&lt;SETUP!$B$9,"SPEEDING",IF(G318&lt;&gt;"Yes","ATTENTION CHECK",IF(H318="Yes","STRAIGHTLINE REVIEW",IF(I318&gt;0,"MISSING ITEMS","OK"))))))</x:f>
      </x:c>
      <x:c r="K318" s="130" t="str">
        <x:f>IF(A318="","",IF(J318="OK","Yes","No"))</x:f>
      </x:c>
      <x:c r="L318" s="130" t="str">
        <x:f>IF(A318="","",IF(J318="OK","",IF(J318="NO CONSENT","Consent not affirmed",IF(J318="SPEEDING","Completion time below threshold",IF(J318="ATTENTION CHECK","Attention check failed",IF(J318="STRAIGHTLINE REVIEW","Straightlining review threshold met","Missing scored item(s)"))))))</x:f>
      </x:c>
      <x:c r="M318" s="119"/>
      <x:c r="N318" s="119"/>
      <x:c r="O318" s="119"/>
      <x:c r="P318" s="119"/>
      <x:c r="Q318" s="119"/>
      <x:c r="R318" s="119"/>
      <x:c r="S318" s="119"/>
      <x:c r="T318" s="119"/>
      <x:c r="U318" s="119"/>
      <x:c r="V318" s="119"/>
      <x:c r="W318" s="119"/>
      <x:c r="X318" s="119"/>
      <x:c r="Y318" s="133" t="str">
        <x:f>IF(K318&lt;&gt;"Yes","",IFERROR(AVERAGE(M318:X318),""))</x:f>
      </x:c>
      <x:c r="Z318" s="119"/>
    </x:row>
    <x:row r="319">
      <x:c r="A319" s="119"/>
      <x:c r="B319" s="119"/>
      <x:c r="C319" s="119"/>
      <x:c r="D319" s="119"/>
      <x:c r="E319" s="119"/>
      <x:c r="F319" s="119"/>
      <x:c r="G319" s="119"/>
      <x:c r="H319" s="130" t="str">
        <x:f>IF(A319="","",IF(AND(COUNTA(M319:X319)&gt;=SETUP!$B$10,COUNTIF(M319:X319,MAX(M319:X319))=COUNTA(M319:X319)),"Yes","No"))</x:f>
      </x:c>
      <x:c r="I319" s="130" t="str">
        <x:f>IF(A319="","",IF('SURVEY DESIGN'!C319&lt;&gt;"",--(M319=""),0)+IF('SURVEY DESIGN'!C320&lt;&gt;"",--(N319=""),0)+IF('SURVEY DESIGN'!C321&lt;&gt;"",--(O319=""),0)+IF('SURVEY DESIGN'!C322&lt;&gt;"",--(P319=""),0)+IF('SURVEY DESIGN'!C323&lt;&gt;"",--(Q319=""),0)+IF('SURVEY DESIGN'!C324&lt;&gt;"",--(R319=""),0)+IF('SURVEY DESIGN'!C325&lt;&gt;"",--(S319=""),0)+IF('SURVEY DESIGN'!C326&lt;&gt;"",--(T319=""),0)+IF('SURVEY DESIGN'!C327&lt;&gt;"",--(U319=""),0)+IF('SURVEY DESIGN'!C328&lt;&gt;"",--(V319=""),0)+IF('SURVEY DESIGN'!C329&lt;&gt;"",--(W319=""),0)+IF('SURVEY DESIGN'!C330&lt;&gt;"",--(X319=""),0))</x:f>
      </x:c>
      <x:c r="J319" s="130" t="str">
        <x:f>IF(A319="","",IF(C319&lt;&gt;"Yes","NO CONSENT",IF(F319&lt;SETUP!$B$9,"SPEEDING",IF(G319&lt;&gt;"Yes","ATTENTION CHECK",IF(H319="Yes","STRAIGHTLINE REVIEW",IF(I319&gt;0,"MISSING ITEMS","OK"))))))</x:f>
      </x:c>
      <x:c r="K319" s="130" t="str">
        <x:f>IF(A319="","",IF(J319="OK","Yes","No"))</x:f>
      </x:c>
      <x:c r="L319" s="130" t="str">
        <x:f>IF(A319="","",IF(J319="OK","",IF(J319="NO CONSENT","Consent not affirmed",IF(J319="SPEEDING","Completion time below threshold",IF(J319="ATTENTION CHECK","Attention check failed",IF(J319="STRAIGHTLINE REVIEW","Straightlining review threshold met","Missing scored item(s)"))))))</x:f>
      </x:c>
      <x:c r="M319" s="119"/>
      <x:c r="N319" s="119"/>
      <x:c r="O319" s="119"/>
      <x:c r="P319" s="119"/>
      <x:c r="Q319" s="119"/>
      <x:c r="R319" s="119"/>
      <x:c r="S319" s="119"/>
      <x:c r="T319" s="119"/>
      <x:c r="U319" s="119"/>
      <x:c r="V319" s="119"/>
      <x:c r="W319" s="119"/>
      <x:c r="X319" s="119"/>
      <x:c r="Y319" s="133" t="str">
        <x:f>IF(K319&lt;&gt;"Yes","",IFERROR(AVERAGE(M319:X319),""))</x:f>
      </x:c>
      <x:c r="Z319" s="119"/>
    </x:row>
    <x:row r="320">
      <x:c r="A320" s="119"/>
      <x:c r="B320" s="119"/>
      <x:c r="C320" s="119"/>
      <x:c r="D320" s="119"/>
      <x:c r="E320" s="119"/>
      <x:c r="F320" s="119"/>
      <x:c r="G320" s="119"/>
      <x:c r="H320" s="130" t="str">
        <x:f>IF(A320="","",IF(AND(COUNTA(M320:X320)&gt;=SETUP!$B$10,COUNTIF(M320:X320,MAX(M320:X320))=COUNTA(M320:X320)),"Yes","No"))</x:f>
      </x:c>
      <x:c r="I320" s="130" t="str">
        <x:f>IF(A320="","",IF('SURVEY DESIGN'!C320&lt;&gt;"",--(M320=""),0)+IF('SURVEY DESIGN'!C321&lt;&gt;"",--(N320=""),0)+IF('SURVEY DESIGN'!C322&lt;&gt;"",--(O320=""),0)+IF('SURVEY DESIGN'!C323&lt;&gt;"",--(P320=""),0)+IF('SURVEY DESIGN'!C324&lt;&gt;"",--(Q320=""),0)+IF('SURVEY DESIGN'!C325&lt;&gt;"",--(R320=""),0)+IF('SURVEY DESIGN'!C326&lt;&gt;"",--(S320=""),0)+IF('SURVEY DESIGN'!C327&lt;&gt;"",--(T320=""),0)+IF('SURVEY DESIGN'!C328&lt;&gt;"",--(U320=""),0)+IF('SURVEY DESIGN'!C329&lt;&gt;"",--(V320=""),0)+IF('SURVEY DESIGN'!C330&lt;&gt;"",--(W320=""),0)+IF('SURVEY DESIGN'!C331&lt;&gt;"",--(X320=""),0))</x:f>
      </x:c>
      <x:c r="J320" s="130" t="str">
        <x:f>IF(A320="","",IF(C320&lt;&gt;"Yes","NO CONSENT",IF(F320&lt;SETUP!$B$9,"SPEEDING",IF(G320&lt;&gt;"Yes","ATTENTION CHECK",IF(H320="Yes","STRAIGHTLINE REVIEW",IF(I320&gt;0,"MISSING ITEMS","OK"))))))</x:f>
      </x:c>
      <x:c r="K320" s="130" t="str">
        <x:f>IF(A320="","",IF(J320="OK","Yes","No"))</x:f>
      </x:c>
      <x:c r="L320" s="130" t="str">
        <x:f>IF(A320="","",IF(J320="OK","",IF(J320="NO CONSENT","Consent not affirmed",IF(J320="SPEEDING","Completion time below threshold",IF(J320="ATTENTION CHECK","Attention check failed",IF(J320="STRAIGHTLINE REVIEW","Straightlining review threshold met","Missing scored item(s)"))))))</x:f>
      </x:c>
      <x:c r="M320" s="119"/>
      <x:c r="N320" s="119"/>
      <x:c r="O320" s="119"/>
      <x:c r="P320" s="119"/>
      <x:c r="Q320" s="119"/>
      <x:c r="R320" s="119"/>
      <x:c r="S320" s="119"/>
      <x:c r="T320" s="119"/>
      <x:c r="U320" s="119"/>
      <x:c r="V320" s="119"/>
      <x:c r="W320" s="119"/>
      <x:c r="X320" s="119"/>
      <x:c r="Y320" s="133" t="str">
        <x:f>IF(K320&lt;&gt;"Yes","",IFERROR(AVERAGE(M320:X320),""))</x:f>
      </x:c>
      <x:c r="Z320" s="119"/>
    </x:row>
    <x:row r="321">
      <x:c r="A321" s="119"/>
      <x:c r="B321" s="119"/>
      <x:c r="C321" s="119"/>
      <x:c r="D321" s="119"/>
      <x:c r="E321" s="119"/>
      <x:c r="F321" s="119"/>
      <x:c r="G321" s="119"/>
      <x:c r="H321" s="130" t="str">
        <x:f>IF(A321="","",IF(AND(COUNTA(M321:X321)&gt;=SETUP!$B$10,COUNTIF(M321:X321,MAX(M321:X321))=COUNTA(M321:X321)),"Yes","No"))</x:f>
      </x:c>
      <x:c r="I321" s="130" t="str">
        <x:f>IF(A321="","",IF('SURVEY DESIGN'!C321&lt;&gt;"",--(M321=""),0)+IF('SURVEY DESIGN'!C322&lt;&gt;"",--(N321=""),0)+IF('SURVEY DESIGN'!C323&lt;&gt;"",--(O321=""),0)+IF('SURVEY DESIGN'!C324&lt;&gt;"",--(P321=""),0)+IF('SURVEY DESIGN'!C325&lt;&gt;"",--(Q321=""),0)+IF('SURVEY DESIGN'!C326&lt;&gt;"",--(R321=""),0)+IF('SURVEY DESIGN'!C327&lt;&gt;"",--(S321=""),0)+IF('SURVEY DESIGN'!C328&lt;&gt;"",--(T321=""),0)+IF('SURVEY DESIGN'!C329&lt;&gt;"",--(U321=""),0)+IF('SURVEY DESIGN'!C330&lt;&gt;"",--(V321=""),0)+IF('SURVEY DESIGN'!C331&lt;&gt;"",--(W321=""),0)+IF('SURVEY DESIGN'!C332&lt;&gt;"",--(X321=""),0))</x:f>
      </x:c>
      <x:c r="J321" s="130" t="str">
        <x:f>IF(A321="","",IF(C321&lt;&gt;"Yes","NO CONSENT",IF(F321&lt;SETUP!$B$9,"SPEEDING",IF(G321&lt;&gt;"Yes","ATTENTION CHECK",IF(H321="Yes","STRAIGHTLINE REVIEW",IF(I321&gt;0,"MISSING ITEMS","OK"))))))</x:f>
      </x:c>
      <x:c r="K321" s="130" t="str">
        <x:f>IF(A321="","",IF(J321="OK","Yes","No"))</x:f>
      </x:c>
      <x:c r="L321" s="130" t="str">
        <x:f>IF(A321="","",IF(J321="OK","",IF(J321="NO CONSENT","Consent not affirmed",IF(J321="SPEEDING","Completion time below threshold",IF(J321="ATTENTION CHECK","Attention check failed",IF(J321="STRAIGHTLINE REVIEW","Straightlining review threshold met","Missing scored item(s)"))))))</x:f>
      </x:c>
      <x:c r="M321" s="119"/>
      <x:c r="N321" s="119"/>
      <x:c r="O321" s="119"/>
      <x:c r="P321" s="119"/>
      <x:c r="Q321" s="119"/>
      <x:c r="R321" s="119"/>
      <x:c r="S321" s="119"/>
      <x:c r="T321" s="119"/>
      <x:c r="U321" s="119"/>
      <x:c r="V321" s="119"/>
      <x:c r="W321" s="119"/>
      <x:c r="X321" s="119"/>
      <x:c r="Y321" s="133" t="str">
        <x:f>IF(K321&lt;&gt;"Yes","",IFERROR(AVERAGE(M321:X321),""))</x:f>
      </x:c>
      <x:c r="Z321" s="119"/>
    </x:row>
    <x:row r="322">
      <x:c r="A322" s="119"/>
      <x:c r="B322" s="119"/>
      <x:c r="C322" s="119"/>
      <x:c r="D322" s="119"/>
      <x:c r="E322" s="119"/>
      <x:c r="F322" s="119"/>
      <x:c r="G322" s="119"/>
      <x:c r="H322" s="130" t="str">
        <x:f>IF(A322="","",IF(AND(COUNTA(M322:X322)&gt;=SETUP!$B$10,COUNTIF(M322:X322,MAX(M322:X322))=COUNTA(M322:X322)),"Yes","No"))</x:f>
      </x:c>
      <x:c r="I322" s="130" t="str">
        <x:f>IF(A322="","",IF('SURVEY DESIGN'!C322&lt;&gt;"",--(M322=""),0)+IF('SURVEY DESIGN'!C323&lt;&gt;"",--(N322=""),0)+IF('SURVEY DESIGN'!C324&lt;&gt;"",--(O322=""),0)+IF('SURVEY DESIGN'!C325&lt;&gt;"",--(P322=""),0)+IF('SURVEY DESIGN'!C326&lt;&gt;"",--(Q322=""),0)+IF('SURVEY DESIGN'!C327&lt;&gt;"",--(R322=""),0)+IF('SURVEY DESIGN'!C328&lt;&gt;"",--(S322=""),0)+IF('SURVEY DESIGN'!C329&lt;&gt;"",--(T322=""),0)+IF('SURVEY DESIGN'!C330&lt;&gt;"",--(U322=""),0)+IF('SURVEY DESIGN'!C331&lt;&gt;"",--(V322=""),0)+IF('SURVEY DESIGN'!C332&lt;&gt;"",--(W322=""),0)+IF('SURVEY DESIGN'!C333&lt;&gt;"",--(X322=""),0))</x:f>
      </x:c>
      <x:c r="J322" s="130" t="str">
        <x:f>IF(A322="","",IF(C322&lt;&gt;"Yes","NO CONSENT",IF(F322&lt;SETUP!$B$9,"SPEEDING",IF(G322&lt;&gt;"Yes","ATTENTION CHECK",IF(H322="Yes","STRAIGHTLINE REVIEW",IF(I322&gt;0,"MISSING ITEMS","OK"))))))</x:f>
      </x:c>
      <x:c r="K322" s="130" t="str">
        <x:f>IF(A322="","",IF(J322="OK","Yes","No"))</x:f>
      </x:c>
      <x:c r="L322" s="130" t="str">
        <x:f>IF(A322="","",IF(J322="OK","",IF(J322="NO CONSENT","Consent not affirmed",IF(J322="SPEEDING","Completion time below threshold",IF(J322="ATTENTION CHECK","Attention check failed",IF(J322="STRAIGHTLINE REVIEW","Straightlining review threshold met","Missing scored item(s)"))))))</x:f>
      </x:c>
      <x:c r="M322" s="119"/>
      <x:c r="N322" s="119"/>
      <x:c r="O322" s="119"/>
      <x:c r="P322" s="119"/>
      <x:c r="Q322" s="119"/>
      <x:c r="R322" s="119"/>
      <x:c r="S322" s="119"/>
      <x:c r="T322" s="119"/>
      <x:c r="U322" s="119"/>
      <x:c r="V322" s="119"/>
      <x:c r="W322" s="119"/>
      <x:c r="X322" s="119"/>
      <x:c r="Y322" s="133" t="str">
        <x:f>IF(K322&lt;&gt;"Yes","",IFERROR(AVERAGE(M322:X322),""))</x:f>
      </x:c>
      <x:c r="Z322" s="119"/>
    </x:row>
    <x:row r="323">
      <x:c r="A323" s="119"/>
      <x:c r="B323" s="119"/>
      <x:c r="C323" s="119"/>
      <x:c r="D323" s="119"/>
      <x:c r="E323" s="119"/>
      <x:c r="F323" s="119"/>
      <x:c r="G323" s="119"/>
      <x:c r="H323" s="130" t="str">
        <x:f>IF(A323="","",IF(AND(COUNTA(M323:X323)&gt;=SETUP!$B$10,COUNTIF(M323:X323,MAX(M323:X323))=COUNTA(M323:X323)),"Yes","No"))</x:f>
      </x:c>
      <x:c r="I323" s="130" t="str">
        <x:f>IF(A323="","",IF('SURVEY DESIGN'!C323&lt;&gt;"",--(M323=""),0)+IF('SURVEY DESIGN'!C324&lt;&gt;"",--(N323=""),0)+IF('SURVEY DESIGN'!C325&lt;&gt;"",--(O323=""),0)+IF('SURVEY DESIGN'!C326&lt;&gt;"",--(P323=""),0)+IF('SURVEY DESIGN'!C327&lt;&gt;"",--(Q323=""),0)+IF('SURVEY DESIGN'!C328&lt;&gt;"",--(R323=""),0)+IF('SURVEY DESIGN'!C329&lt;&gt;"",--(S323=""),0)+IF('SURVEY DESIGN'!C330&lt;&gt;"",--(T323=""),0)+IF('SURVEY DESIGN'!C331&lt;&gt;"",--(U323=""),0)+IF('SURVEY DESIGN'!C332&lt;&gt;"",--(V323=""),0)+IF('SURVEY DESIGN'!C333&lt;&gt;"",--(W323=""),0)+IF('SURVEY DESIGN'!C334&lt;&gt;"",--(X323=""),0))</x:f>
      </x:c>
      <x:c r="J323" s="130" t="str">
        <x:f>IF(A323="","",IF(C323&lt;&gt;"Yes","NO CONSENT",IF(F323&lt;SETUP!$B$9,"SPEEDING",IF(G323&lt;&gt;"Yes","ATTENTION CHECK",IF(H323="Yes","STRAIGHTLINE REVIEW",IF(I323&gt;0,"MISSING ITEMS","OK"))))))</x:f>
      </x:c>
      <x:c r="K323" s="130" t="str">
        <x:f>IF(A323="","",IF(J323="OK","Yes","No"))</x:f>
      </x:c>
      <x:c r="L323" s="130" t="str">
        <x:f>IF(A323="","",IF(J323="OK","",IF(J323="NO CONSENT","Consent not affirmed",IF(J323="SPEEDING","Completion time below threshold",IF(J323="ATTENTION CHECK","Attention check failed",IF(J323="STRAIGHTLINE REVIEW","Straightlining review threshold met","Missing scored item(s)"))))))</x:f>
      </x:c>
      <x:c r="M323" s="119"/>
      <x:c r="N323" s="119"/>
      <x:c r="O323" s="119"/>
      <x:c r="P323" s="119"/>
      <x:c r="Q323" s="119"/>
      <x:c r="R323" s="119"/>
      <x:c r="S323" s="119"/>
      <x:c r="T323" s="119"/>
      <x:c r="U323" s="119"/>
      <x:c r="V323" s="119"/>
      <x:c r="W323" s="119"/>
      <x:c r="X323" s="119"/>
      <x:c r="Y323" s="133" t="str">
        <x:f>IF(K323&lt;&gt;"Yes","",IFERROR(AVERAGE(M323:X323),""))</x:f>
      </x:c>
      <x:c r="Z323" s="119"/>
    </x:row>
    <x:row r="324">
      <x:c r="A324" s="119"/>
      <x:c r="B324" s="119"/>
      <x:c r="C324" s="119"/>
      <x:c r="D324" s="119"/>
      <x:c r="E324" s="119"/>
      <x:c r="F324" s="119"/>
      <x:c r="G324" s="119"/>
      <x:c r="H324" s="130" t="str">
        <x:f>IF(A324="","",IF(AND(COUNTA(M324:X324)&gt;=SETUP!$B$10,COUNTIF(M324:X324,MAX(M324:X324))=COUNTA(M324:X324)),"Yes","No"))</x:f>
      </x:c>
      <x:c r="I324" s="130" t="str">
        <x:f>IF(A324="","",IF('SURVEY DESIGN'!C324&lt;&gt;"",--(M324=""),0)+IF('SURVEY DESIGN'!C325&lt;&gt;"",--(N324=""),0)+IF('SURVEY DESIGN'!C326&lt;&gt;"",--(O324=""),0)+IF('SURVEY DESIGN'!C327&lt;&gt;"",--(P324=""),0)+IF('SURVEY DESIGN'!C328&lt;&gt;"",--(Q324=""),0)+IF('SURVEY DESIGN'!C329&lt;&gt;"",--(R324=""),0)+IF('SURVEY DESIGN'!C330&lt;&gt;"",--(S324=""),0)+IF('SURVEY DESIGN'!C331&lt;&gt;"",--(T324=""),0)+IF('SURVEY DESIGN'!C332&lt;&gt;"",--(U324=""),0)+IF('SURVEY DESIGN'!C333&lt;&gt;"",--(V324=""),0)+IF('SURVEY DESIGN'!C334&lt;&gt;"",--(W324=""),0)+IF('SURVEY DESIGN'!C335&lt;&gt;"",--(X324=""),0))</x:f>
      </x:c>
      <x:c r="J324" s="130" t="str">
        <x:f>IF(A324="","",IF(C324&lt;&gt;"Yes","NO CONSENT",IF(F324&lt;SETUP!$B$9,"SPEEDING",IF(G324&lt;&gt;"Yes","ATTENTION CHECK",IF(H324="Yes","STRAIGHTLINE REVIEW",IF(I324&gt;0,"MISSING ITEMS","OK"))))))</x:f>
      </x:c>
      <x:c r="K324" s="130" t="str">
        <x:f>IF(A324="","",IF(J324="OK","Yes","No"))</x:f>
      </x:c>
      <x:c r="L324" s="130" t="str">
        <x:f>IF(A324="","",IF(J324="OK","",IF(J324="NO CONSENT","Consent not affirmed",IF(J324="SPEEDING","Completion time below threshold",IF(J324="ATTENTION CHECK","Attention check failed",IF(J324="STRAIGHTLINE REVIEW","Straightlining review threshold met","Missing scored item(s)"))))))</x:f>
      </x:c>
      <x:c r="M324" s="119"/>
      <x:c r="N324" s="119"/>
      <x:c r="O324" s="119"/>
      <x:c r="P324" s="119"/>
      <x:c r="Q324" s="119"/>
      <x:c r="R324" s="119"/>
      <x:c r="S324" s="119"/>
      <x:c r="T324" s="119"/>
      <x:c r="U324" s="119"/>
      <x:c r="V324" s="119"/>
      <x:c r="W324" s="119"/>
      <x:c r="X324" s="119"/>
      <x:c r="Y324" s="133" t="str">
        <x:f>IF(K324&lt;&gt;"Yes","",IFERROR(AVERAGE(M324:X324),""))</x:f>
      </x:c>
      <x:c r="Z324" s="119"/>
    </x:row>
    <x:row r="325">
      <x:c r="A325" s="119"/>
      <x:c r="B325" s="119"/>
      <x:c r="C325" s="119"/>
      <x:c r="D325" s="119"/>
      <x:c r="E325" s="119"/>
      <x:c r="F325" s="119"/>
      <x:c r="G325" s="119"/>
      <x:c r="H325" s="130" t="str">
        <x:f>IF(A325="","",IF(AND(COUNTA(M325:X325)&gt;=SETUP!$B$10,COUNTIF(M325:X325,MAX(M325:X325))=COUNTA(M325:X325)),"Yes","No"))</x:f>
      </x:c>
      <x:c r="I325" s="130" t="str">
        <x:f>IF(A325="","",IF('SURVEY DESIGN'!C325&lt;&gt;"",--(M325=""),0)+IF('SURVEY DESIGN'!C326&lt;&gt;"",--(N325=""),0)+IF('SURVEY DESIGN'!C327&lt;&gt;"",--(O325=""),0)+IF('SURVEY DESIGN'!C328&lt;&gt;"",--(P325=""),0)+IF('SURVEY DESIGN'!C329&lt;&gt;"",--(Q325=""),0)+IF('SURVEY DESIGN'!C330&lt;&gt;"",--(R325=""),0)+IF('SURVEY DESIGN'!C331&lt;&gt;"",--(S325=""),0)+IF('SURVEY DESIGN'!C332&lt;&gt;"",--(T325=""),0)+IF('SURVEY DESIGN'!C333&lt;&gt;"",--(U325=""),0)+IF('SURVEY DESIGN'!C334&lt;&gt;"",--(V325=""),0)+IF('SURVEY DESIGN'!C335&lt;&gt;"",--(W325=""),0)+IF('SURVEY DESIGN'!C336&lt;&gt;"",--(X325=""),0))</x:f>
      </x:c>
      <x:c r="J325" s="130" t="str">
        <x:f>IF(A325="","",IF(C325&lt;&gt;"Yes","NO CONSENT",IF(F325&lt;SETUP!$B$9,"SPEEDING",IF(G325&lt;&gt;"Yes","ATTENTION CHECK",IF(H325="Yes","STRAIGHTLINE REVIEW",IF(I325&gt;0,"MISSING ITEMS","OK"))))))</x:f>
      </x:c>
      <x:c r="K325" s="130" t="str">
        <x:f>IF(A325="","",IF(J325="OK","Yes","No"))</x:f>
      </x:c>
      <x:c r="L325" s="130" t="str">
        <x:f>IF(A325="","",IF(J325="OK","",IF(J325="NO CONSENT","Consent not affirmed",IF(J325="SPEEDING","Completion time below threshold",IF(J325="ATTENTION CHECK","Attention check failed",IF(J325="STRAIGHTLINE REVIEW","Straightlining review threshold met","Missing scored item(s)"))))))</x:f>
      </x:c>
      <x:c r="M325" s="119"/>
      <x:c r="N325" s="119"/>
      <x:c r="O325" s="119"/>
      <x:c r="P325" s="119"/>
      <x:c r="Q325" s="119"/>
      <x:c r="R325" s="119"/>
      <x:c r="S325" s="119"/>
      <x:c r="T325" s="119"/>
      <x:c r="U325" s="119"/>
      <x:c r="V325" s="119"/>
      <x:c r="W325" s="119"/>
      <x:c r="X325" s="119"/>
      <x:c r="Y325" s="133" t="str">
        <x:f>IF(K325&lt;&gt;"Yes","",IFERROR(AVERAGE(M325:X325),""))</x:f>
      </x:c>
      <x:c r="Z325" s="119"/>
    </x:row>
    <x:row r="326">
      <x:c r="A326" s="119"/>
      <x:c r="B326" s="119"/>
      <x:c r="C326" s="119"/>
      <x:c r="D326" s="119"/>
      <x:c r="E326" s="119"/>
      <x:c r="F326" s="119"/>
      <x:c r="G326" s="119"/>
      <x:c r="H326" s="130" t="str">
        <x:f>IF(A326="","",IF(AND(COUNTA(M326:X326)&gt;=SETUP!$B$10,COUNTIF(M326:X326,MAX(M326:X326))=COUNTA(M326:X326)),"Yes","No"))</x:f>
      </x:c>
      <x:c r="I326" s="130" t="str">
        <x:f>IF(A326="","",IF('SURVEY DESIGN'!C326&lt;&gt;"",--(M326=""),0)+IF('SURVEY DESIGN'!C327&lt;&gt;"",--(N326=""),0)+IF('SURVEY DESIGN'!C328&lt;&gt;"",--(O326=""),0)+IF('SURVEY DESIGN'!C329&lt;&gt;"",--(P326=""),0)+IF('SURVEY DESIGN'!C330&lt;&gt;"",--(Q326=""),0)+IF('SURVEY DESIGN'!C331&lt;&gt;"",--(R326=""),0)+IF('SURVEY DESIGN'!C332&lt;&gt;"",--(S326=""),0)+IF('SURVEY DESIGN'!C333&lt;&gt;"",--(T326=""),0)+IF('SURVEY DESIGN'!C334&lt;&gt;"",--(U326=""),0)+IF('SURVEY DESIGN'!C335&lt;&gt;"",--(V326=""),0)+IF('SURVEY DESIGN'!C336&lt;&gt;"",--(W326=""),0)+IF('SURVEY DESIGN'!C337&lt;&gt;"",--(X326=""),0))</x:f>
      </x:c>
      <x:c r="J326" s="130" t="str">
        <x:f>IF(A326="","",IF(C326&lt;&gt;"Yes","NO CONSENT",IF(F326&lt;SETUP!$B$9,"SPEEDING",IF(G326&lt;&gt;"Yes","ATTENTION CHECK",IF(H326="Yes","STRAIGHTLINE REVIEW",IF(I326&gt;0,"MISSING ITEMS","OK"))))))</x:f>
      </x:c>
      <x:c r="K326" s="130" t="str">
        <x:f>IF(A326="","",IF(J326="OK","Yes","No"))</x:f>
      </x:c>
      <x:c r="L326" s="130" t="str">
        <x:f>IF(A326="","",IF(J326="OK","",IF(J326="NO CONSENT","Consent not affirmed",IF(J326="SPEEDING","Completion time below threshold",IF(J326="ATTENTION CHECK","Attention check failed",IF(J326="STRAIGHTLINE REVIEW","Straightlining review threshold met","Missing scored item(s)"))))))</x:f>
      </x:c>
      <x:c r="M326" s="119"/>
      <x:c r="N326" s="119"/>
      <x:c r="O326" s="119"/>
      <x:c r="P326" s="119"/>
      <x:c r="Q326" s="119"/>
      <x:c r="R326" s="119"/>
      <x:c r="S326" s="119"/>
      <x:c r="T326" s="119"/>
      <x:c r="U326" s="119"/>
      <x:c r="V326" s="119"/>
      <x:c r="W326" s="119"/>
      <x:c r="X326" s="119"/>
      <x:c r="Y326" s="133" t="str">
        <x:f>IF(K326&lt;&gt;"Yes","",IFERROR(AVERAGE(M326:X326),""))</x:f>
      </x:c>
      <x:c r="Z326" s="119"/>
    </x:row>
    <x:row r="327">
      <x:c r="A327" s="119"/>
      <x:c r="B327" s="119"/>
      <x:c r="C327" s="119"/>
      <x:c r="D327" s="119"/>
      <x:c r="E327" s="119"/>
      <x:c r="F327" s="119"/>
      <x:c r="G327" s="119"/>
      <x:c r="H327" s="130" t="str">
        <x:f>IF(A327="","",IF(AND(COUNTA(M327:X327)&gt;=SETUP!$B$10,COUNTIF(M327:X327,MAX(M327:X327))=COUNTA(M327:X327)),"Yes","No"))</x:f>
      </x:c>
      <x:c r="I327" s="130" t="str">
        <x:f>IF(A327="","",IF('SURVEY DESIGN'!C327&lt;&gt;"",--(M327=""),0)+IF('SURVEY DESIGN'!C328&lt;&gt;"",--(N327=""),0)+IF('SURVEY DESIGN'!C329&lt;&gt;"",--(O327=""),0)+IF('SURVEY DESIGN'!C330&lt;&gt;"",--(P327=""),0)+IF('SURVEY DESIGN'!C331&lt;&gt;"",--(Q327=""),0)+IF('SURVEY DESIGN'!C332&lt;&gt;"",--(R327=""),0)+IF('SURVEY DESIGN'!C333&lt;&gt;"",--(S327=""),0)+IF('SURVEY DESIGN'!C334&lt;&gt;"",--(T327=""),0)+IF('SURVEY DESIGN'!C335&lt;&gt;"",--(U327=""),0)+IF('SURVEY DESIGN'!C336&lt;&gt;"",--(V327=""),0)+IF('SURVEY DESIGN'!C337&lt;&gt;"",--(W327=""),0)+IF('SURVEY DESIGN'!C338&lt;&gt;"",--(X327=""),0))</x:f>
      </x:c>
      <x:c r="J327" s="130" t="str">
        <x:f>IF(A327="","",IF(C327&lt;&gt;"Yes","NO CONSENT",IF(F327&lt;SETUP!$B$9,"SPEEDING",IF(G327&lt;&gt;"Yes","ATTENTION CHECK",IF(H327="Yes","STRAIGHTLINE REVIEW",IF(I327&gt;0,"MISSING ITEMS","OK"))))))</x:f>
      </x:c>
      <x:c r="K327" s="130" t="str">
        <x:f>IF(A327="","",IF(J327="OK","Yes","No"))</x:f>
      </x:c>
      <x:c r="L327" s="130" t="str">
        <x:f>IF(A327="","",IF(J327="OK","",IF(J327="NO CONSENT","Consent not affirmed",IF(J327="SPEEDING","Completion time below threshold",IF(J327="ATTENTION CHECK","Attention check failed",IF(J327="STRAIGHTLINE REVIEW","Straightlining review threshold met","Missing scored item(s)"))))))</x:f>
      </x:c>
      <x:c r="M327" s="119"/>
      <x:c r="N327" s="119"/>
      <x:c r="O327" s="119"/>
      <x:c r="P327" s="119"/>
      <x:c r="Q327" s="119"/>
      <x:c r="R327" s="119"/>
      <x:c r="S327" s="119"/>
      <x:c r="T327" s="119"/>
      <x:c r="U327" s="119"/>
      <x:c r="V327" s="119"/>
      <x:c r="W327" s="119"/>
      <x:c r="X327" s="119"/>
      <x:c r="Y327" s="133" t="str">
        <x:f>IF(K327&lt;&gt;"Yes","",IFERROR(AVERAGE(M327:X327),""))</x:f>
      </x:c>
      <x:c r="Z327" s="119"/>
    </x:row>
    <x:row r="328">
      <x:c r="A328" s="119"/>
      <x:c r="B328" s="119"/>
      <x:c r="C328" s="119"/>
      <x:c r="D328" s="119"/>
      <x:c r="E328" s="119"/>
      <x:c r="F328" s="119"/>
      <x:c r="G328" s="119"/>
      <x:c r="H328" s="130" t="str">
        <x:f>IF(A328="","",IF(AND(COUNTA(M328:X328)&gt;=SETUP!$B$10,COUNTIF(M328:X328,MAX(M328:X328))=COUNTA(M328:X328)),"Yes","No"))</x:f>
      </x:c>
      <x:c r="I328" s="130" t="str">
        <x:f>IF(A328="","",IF('SURVEY DESIGN'!C328&lt;&gt;"",--(M328=""),0)+IF('SURVEY DESIGN'!C329&lt;&gt;"",--(N328=""),0)+IF('SURVEY DESIGN'!C330&lt;&gt;"",--(O328=""),0)+IF('SURVEY DESIGN'!C331&lt;&gt;"",--(P328=""),0)+IF('SURVEY DESIGN'!C332&lt;&gt;"",--(Q328=""),0)+IF('SURVEY DESIGN'!C333&lt;&gt;"",--(R328=""),0)+IF('SURVEY DESIGN'!C334&lt;&gt;"",--(S328=""),0)+IF('SURVEY DESIGN'!C335&lt;&gt;"",--(T328=""),0)+IF('SURVEY DESIGN'!C336&lt;&gt;"",--(U328=""),0)+IF('SURVEY DESIGN'!C337&lt;&gt;"",--(V328=""),0)+IF('SURVEY DESIGN'!C338&lt;&gt;"",--(W328=""),0)+IF('SURVEY DESIGN'!C339&lt;&gt;"",--(X328=""),0))</x:f>
      </x:c>
      <x:c r="J328" s="130" t="str">
        <x:f>IF(A328="","",IF(C328&lt;&gt;"Yes","NO CONSENT",IF(F328&lt;SETUP!$B$9,"SPEEDING",IF(G328&lt;&gt;"Yes","ATTENTION CHECK",IF(H328="Yes","STRAIGHTLINE REVIEW",IF(I328&gt;0,"MISSING ITEMS","OK"))))))</x:f>
      </x:c>
      <x:c r="K328" s="130" t="str">
        <x:f>IF(A328="","",IF(J328="OK","Yes","No"))</x:f>
      </x:c>
      <x:c r="L328" s="130" t="str">
        <x:f>IF(A328="","",IF(J328="OK","",IF(J328="NO CONSENT","Consent not affirmed",IF(J328="SPEEDING","Completion time below threshold",IF(J328="ATTENTION CHECK","Attention check failed",IF(J328="STRAIGHTLINE REVIEW","Straightlining review threshold met","Missing scored item(s)"))))))</x:f>
      </x:c>
      <x:c r="M328" s="119"/>
      <x:c r="N328" s="119"/>
      <x:c r="O328" s="119"/>
      <x:c r="P328" s="119"/>
      <x:c r="Q328" s="119"/>
      <x:c r="R328" s="119"/>
      <x:c r="S328" s="119"/>
      <x:c r="T328" s="119"/>
      <x:c r="U328" s="119"/>
      <x:c r="V328" s="119"/>
      <x:c r="W328" s="119"/>
      <x:c r="X328" s="119"/>
      <x:c r="Y328" s="133" t="str">
        <x:f>IF(K328&lt;&gt;"Yes","",IFERROR(AVERAGE(M328:X328),""))</x:f>
      </x:c>
      <x:c r="Z328" s="119"/>
    </x:row>
    <x:row r="329">
      <x:c r="A329" s="119"/>
      <x:c r="B329" s="119"/>
      <x:c r="C329" s="119"/>
      <x:c r="D329" s="119"/>
      <x:c r="E329" s="119"/>
      <x:c r="F329" s="119"/>
      <x:c r="G329" s="119"/>
      <x:c r="H329" s="130" t="str">
        <x:f>IF(A329="","",IF(AND(COUNTA(M329:X329)&gt;=SETUP!$B$10,COUNTIF(M329:X329,MAX(M329:X329))=COUNTA(M329:X329)),"Yes","No"))</x:f>
      </x:c>
      <x:c r="I329" s="130" t="str">
        <x:f>IF(A329="","",IF('SURVEY DESIGN'!C329&lt;&gt;"",--(M329=""),0)+IF('SURVEY DESIGN'!C330&lt;&gt;"",--(N329=""),0)+IF('SURVEY DESIGN'!C331&lt;&gt;"",--(O329=""),0)+IF('SURVEY DESIGN'!C332&lt;&gt;"",--(P329=""),0)+IF('SURVEY DESIGN'!C333&lt;&gt;"",--(Q329=""),0)+IF('SURVEY DESIGN'!C334&lt;&gt;"",--(R329=""),0)+IF('SURVEY DESIGN'!C335&lt;&gt;"",--(S329=""),0)+IF('SURVEY DESIGN'!C336&lt;&gt;"",--(T329=""),0)+IF('SURVEY DESIGN'!C337&lt;&gt;"",--(U329=""),0)+IF('SURVEY DESIGN'!C338&lt;&gt;"",--(V329=""),0)+IF('SURVEY DESIGN'!C339&lt;&gt;"",--(W329=""),0)+IF('SURVEY DESIGN'!C340&lt;&gt;"",--(X329=""),0))</x:f>
      </x:c>
      <x:c r="J329" s="130" t="str">
        <x:f>IF(A329="","",IF(C329&lt;&gt;"Yes","NO CONSENT",IF(F329&lt;SETUP!$B$9,"SPEEDING",IF(G329&lt;&gt;"Yes","ATTENTION CHECK",IF(H329="Yes","STRAIGHTLINE REVIEW",IF(I329&gt;0,"MISSING ITEMS","OK"))))))</x:f>
      </x:c>
      <x:c r="K329" s="130" t="str">
        <x:f>IF(A329="","",IF(J329="OK","Yes","No"))</x:f>
      </x:c>
      <x:c r="L329" s="130" t="str">
        <x:f>IF(A329="","",IF(J329="OK","",IF(J329="NO CONSENT","Consent not affirmed",IF(J329="SPEEDING","Completion time below threshold",IF(J329="ATTENTION CHECK","Attention check failed",IF(J329="STRAIGHTLINE REVIEW","Straightlining review threshold met","Missing scored item(s)"))))))</x:f>
      </x:c>
      <x:c r="M329" s="119"/>
      <x:c r="N329" s="119"/>
      <x:c r="O329" s="119"/>
      <x:c r="P329" s="119"/>
      <x:c r="Q329" s="119"/>
      <x:c r="R329" s="119"/>
      <x:c r="S329" s="119"/>
      <x:c r="T329" s="119"/>
      <x:c r="U329" s="119"/>
      <x:c r="V329" s="119"/>
      <x:c r="W329" s="119"/>
      <x:c r="X329" s="119"/>
      <x:c r="Y329" s="133" t="str">
        <x:f>IF(K329&lt;&gt;"Yes","",IFERROR(AVERAGE(M329:X329),""))</x:f>
      </x:c>
      <x:c r="Z329" s="119"/>
    </x:row>
    <x:row r="330">
      <x:c r="A330" s="119"/>
      <x:c r="B330" s="119"/>
      <x:c r="C330" s="119"/>
      <x:c r="D330" s="119"/>
      <x:c r="E330" s="119"/>
      <x:c r="F330" s="119"/>
      <x:c r="G330" s="119"/>
      <x:c r="H330" s="130" t="str">
        <x:f>IF(A330="","",IF(AND(COUNTA(M330:X330)&gt;=SETUP!$B$10,COUNTIF(M330:X330,MAX(M330:X330))=COUNTA(M330:X330)),"Yes","No"))</x:f>
      </x:c>
      <x:c r="I330" s="130" t="str">
        <x:f>IF(A330="","",IF('SURVEY DESIGN'!C330&lt;&gt;"",--(M330=""),0)+IF('SURVEY DESIGN'!C331&lt;&gt;"",--(N330=""),0)+IF('SURVEY DESIGN'!C332&lt;&gt;"",--(O330=""),0)+IF('SURVEY DESIGN'!C333&lt;&gt;"",--(P330=""),0)+IF('SURVEY DESIGN'!C334&lt;&gt;"",--(Q330=""),0)+IF('SURVEY DESIGN'!C335&lt;&gt;"",--(R330=""),0)+IF('SURVEY DESIGN'!C336&lt;&gt;"",--(S330=""),0)+IF('SURVEY DESIGN'!C337&lt;&gt;"",--(T330=""),0)+IF('SURVEY DESIGN'!C338&lt;&gt;"",--(U330=""),0)+IF('SURVEY DESIGN'!C339&lt;&gt;"",--(V330=""),0)+IF('SURVEY DESIGN'!C340&lt;&gt;"",--(W330=""),0)+IF('SURVEY DESIGN'!C341&lt;&gt;"",--(X330=""),0))</x:f>
      </x:c>
      <x:c r="J330" s="130" t="str">
        <x:f>IF(A330="","",IF(C330&lt;&gt;"Yes","NO CONSENT",IF(F330&lt;SETUP!$B$9,"SPEEDING",IF(G330&lt;&gt;"Yes","ATTENTION CHECK",IF(H330="Yes","STRAIGHTLINE REVIEW",IF(I330&gt;0,"MISSING ITEMS","OK"))))))</x:f>
      </x:c>
      <x:c r="K330" s="130" t="str">
        <x:f>IF(A330="","",IF(J330="OK","Yes","No"))</x:f>
      </x:c>
      <x:c r="L330" s="130" t="str">
        <x:f>IF(A330="","",IF(J330="OK","",IF(J330="NO CONSENT","Consent not affirmed",IF(J330="SPEEDING","Completion time below threshold",IF(J330="ATTENTION CHECK","Attention check failed",IF(J330="STRAIGHTLINE REVIEW","Straightlining review threshold met","Missing scored item(s)"))))))</x:f>
      </x:c>
      <x:c r="M330" s="119"/>
      <x:c r="N330" s="119"/>
      <x:c r="O330" s="119"/>
      <x:c r="P330" s="119"/>
      <x:c r="Q330" s="119"/>
      <x:c r="R330" s="119"/>
      <x:c r="S330" s="119"/>
      <x:c r="T330" s="119"/>
      <x:c r="U330" s="119"/>
      <x:c r="V330" s="119"/>
      <x:c r="W330" s="119"/>
      <x:c r="X330" s="119"/>
      <x:c r="Y330" s="133" t="str">
        <x:f>IF(K330&lt;&gt;"Yes","",IFERROR(AVERAGE(M330:X330),""))</x:f>
      </x:c>
      <x:c r="Z330" s="119"/>
    </x:row>
    <x:row r="331">
      <x:c r="A331" s="119"/>
      <x:c r="B331" s="119"/>
      <x:c r="C331" s="119"/>
      <x:c r="D331" s="119"/>
      <x:c r="E331" s="119"/>
      <x:c r="F331" s="119"/>
      <x:c r="G331" s="119"/>
      <x:c r="H331" s="130" t="str">
        <x:f>IF(A331="","",IF(AND(COUNTA(M331:X331)&gt;=SETUP!$B$10,COUNTIF(M331:X331,MAX(M331:X331))=COUNTA(M331:X331)),"Yes","No"))</x:f>
      </x:c>
      <x:c r="I331" s="130" t="str">
        <x:f>IF(A331="","",IF('SURVEY DESIGN'!C331&lt;&gt;"",--(M331=""),0)+IF('SURVEY DESIGN'!C332&lt;&gt;"",--(N331=""),0)+IF('SURVEY DESIGN'!C333&lt;&gt;"",--(O331=""),0)+IF('SURVEY DESIGN'!C334&lt;&gt;"",--(P331=""),0)+IF('SURVEY DESIGN'!C335&lt;&gt;"",--(Q331=""),0)+IF('SURVEY DESIGN'!C336&lt;&gt;"",--(R331=""),0)+IF('SURVEY DESIGN'!C337&lt;&gt;"",--(S331=""),0)+IF('SURVEY DESIGN'!C338&lt;&gt;"",--(T331=""),0)+IF('SURVEY DESIGN'!C339&lt;&gt;"",--(U331=""),0)+IF('SURVEY DESIGN'!C340&lt;&gt;"",--(V331=""),0)+IF('SURVEY DESIGN'!C341&lt;&gt;"",--(W331=""),0)+IF('SURVEY DESIGN'!C342&lt;&gt;"",--(X331=""),0))</x:f>
      </x:c>
      <x:c r="J331" s="130" t="str">
        <x:f>IF(A331="","",IF(C331&lt;&gt;"Yes","NO CONSENT",IF(F331&lt;SETUP!$B$9,"SPEEDING",IF(G331&lt;&gt;"Yes","ATTENTION CHECK",IF(H331="Yes","STRAIGHTLINE REVIEW",IF(I331&gt;0,"MISSING ITEMS","OK"))))))</x:f>
      </x:c>
      <x:c r="K331" s="130" t="str">
        <x:f>IF(A331="","",IF(J331="OK","Yes","No"))</x:f>
      </x:c>
      <x:c r="L331" s="130" t="str">
        <x:f>IF(A331="","",IF(J331="OK","",IF(J331="NO CONSENT","Consent not affirmed",IF(J331="SPEEDING","Completion time below threshold",IF(J331="ATTENTION CHECK","Attention check failed",IF(J331="STRAIGHTLINE REVIEW","Straightlining review threshold met","Missing scored item(s)"))))))</x:f>
      </x:c>
      <x:c r="M331" s="119"/>
      <x:c r="N331" s="119"/>
      <x:c r="O331" s="119"/>
      <x:c r="P331" s="119"/>
      <x:c r="Q331" s="119"/>
      <x:c r="R331" s="119"/>
      <x:c r="S331" s="119"/>
      <x:c r="T331" s="119"/>
      <x:c r="U331" s="119"/>
      <x:c r="V331" s="119"/>
      <x:c r="W331" s="119"/>
      <x:c r="X331" s="119"/>
      <x:c r="Y331" s="133" t="str">
        <x:f>IF(K331&lt;&gt;"Yes","",IFERROR(AVERAGE(M331:X331),""))</x:f>
      </x:c>
      <x:c r="Z331" s="119"/>
    </x:row>
    <x:row r="332">
      <x:c r="A332" s="119"/>
      <x:c r="B332" s="119"/>
      <x:c r="C332" s="119"/>
      <x:c r="D332" s="119"/>
      <x:c r="E332" s="119"/>
      <x:c r="F332" s="119"/>
      <x:c r="G332" s="119"/>
      <x:c r="H332" s="130" t="str">
        <x:f>IF(A332="","",IF(AND(COUNTA(M332:X332)&gt;=SETUP!$B$10,COUNTIF(M332:X332,MAX(M332:X332))=COUNTA(M332:X332)),"Yes","No"))</x:f>
      </x:c>
      <x:c r="I332" s="130" t="str">
        <x:f>IF(A332="","",IF('SURVEY DESIGN'!C332&lt;&gt;"",--(M332=""),0)+IF('SURVEY DESIGN'!C333&lt;&gt;"",--(N332=""),0)+IF('SURVEY DESIGN'!C334&lt;&gt;"",--(O332=""),0)+IF('SURVEY DESIGN'!C335&lt;&gt;"",--(P332=""),0)+IF('SURVEY DESIGN'!C336&lt;&gt;"",--(Q332=""),0)+IF('SURVEY DESIGN'!C337&lt;&gt;"",--(R332=""),0)+IF('SURVEY DESIGN'!C338&lt;&gt;"",--(S332=""),0)+IF('SURVEY DESIGN'!C339&lt;&gt;"",--(T332=""),0)+IF('SURVEY DESIGN'!C340&lt;&gt;"",--(U332=""),0)+IF('SURVEY DESIGN'!C341&lt;&gt;"",--(V332=""),0)+IF('SURVEY DESIGN'!C342&lt;&gt;"",--(W332=""),0)+IF('SURVEY DESIGN'!C343&lt;&gt;"",--(X332=""),0))</x:f>
      </x:c>
      <x:c r="J332" s="130" t="str">
        <x:f>IF(A332="","",IF(C332&lt;&gt;"Yes","NO CONSENT",IF(F332&lt;SETUP!$B$9,"SPEEDING",IF(G332&lt;&gt;"Yes","ATTENTION CHECK",IF(H332="Yes","STRAIGHTLINE REVIEW",IF(I332&gt;0,"MISSING ITEMS","OK"))))))</x:f>
      </x:c>
      <x:c r="K332" s="130" t="str">
        <x:f>IF(A332="","",IF(J332="OK","Yes","No"))</x:f>
      </x:c>
      <x:c r="L332" s="130" t="str">
        <x:f>IF(A332="","",IF(J332="OK","",IF(J332="NO CONSENT","Consent not affirmed",IF(J332="SPEEDING","Completion time below threshold",IF(J332="ATTENTION CHECK","Attention check failed",IF(J332="STRAIGHTLINE REVIEW","Straightlining review threshold met","Missing scored item(s)"))))))</x:f>
      </x:c>
      <x:c r="M332" s="119"/>
      <x:c r="N332" s="119"/>
      <x:c r="O332" s="119"/>
      <x:c r="P332" s="119"/>
      <x:c r="Q332" s="119"/>
      <x:c r="R332" s="119"/>
      <x:c r="S332" s="119"/>
      <x:c r="T332" s="119"/>
      <x:c r="U332" s="119"/>
      <x:c r="V332" s="119"/>
      <x:c r="W332" s="119"/>
      <x:c r="X332" s="119"/>
      <x:c r="Y332" s="133" t="str">
        <x:f>IF(K332&lt;&gt;"Yes","",IFERROR(AVERAGE(M332:X332),""))</x:f>
      </x:c>
      <x:c r="Z332" s="119"/>
    </x:row>
    <x:row r="333">
      <x:c r="A333" s="119"/>
      <x:c r="B333" s="119"/>
      <x:c r="C333" s="119"/>
      <x:c r="D333" s="119"/>
      <x:c r="E333" s="119"/>
      <x:c r="F333" s="119"/>
      <x:c r="G333" s="119"/>
      <x:c r="H333" s="130" t="str">
        <x:f>IF(A333="","",IF(AND(COUNTA(M333:X333)&gt;=SETUP!$B$10,COUNTIF(M333:X333,MAX(M333:X333))=COUNTA(M333:X333)),"Yes","No"))</x:f>
      </x:c>
      <x:c r="I333" s="130" t="str">
        <x:f>IF(A333="","",IF('SURVEY DESIGN'!C333&lt;&gt;"",--(M333=""),0)+IF('SURVEY DESIGN'!C334&lt;&gt;"",--(N333=""),0)+IF('SURVEY DESIGN'!C335&lt;&gt;"",--(O333=""),0)+IF('SURVEY DESIGN'!C336&lt;&gt;"",--(P333=""),0)+IF('SURVEY DESIGN'!C337&lt;&gt;"",--(Q333=""),0)+IF('SURVEY DESIGN'!C338&lt;&gt;"",--(R333=""),0)+IF('SURVEY DESIGN'!C339&lt;&gt;"",--(S333=""),0)+IF('SURVEY DESIGN'!C340&lt;&gt;"",--(T333=""),0)+IF('SURVEY DESIGN'!C341&lt;&gt;"",--(U333=""),0)+IF('SURVEY DESIGN'!C342&lt;&gt;"",--(V333=""),0)+IF('SURVEY DESIGN'!C343&lt;&gt;"",--(W333=""),0)+IF('SURVEY DESIGN'!C344&lt;&gt;"",--(X333=""),0))</x:f>
      </x:c>
      <x:c r="J333" s="130" t="str">
        <x:f>IF(A333="","",IF(C333&lt;&gt;"Yes","NO CONSENT",IF(F333&lt;SETUP!$B$9,"SPEEDING",IF(G333&lt;&gt;"Yes","ATTENTION CHECK",IF(H333="Yes","STRAIGHTLINE REVIEW",IF(I333&gt;0,"MISSING ITEMS","OK"))))))</x:f>
      </x:c>
      <x:c r="K333" s="130" t="str">
        <x:f>IF(A333="","",IF(J333="OK","Yes","No"))</x:f>
      </x:c>
      <x:c r="L333" s="130" t="str">
        <x:f>IF(A333="","",IF(J333="OK","",IF(J333="NO CONSENT","Consent not affirmed",IF(J333="SPEEDING","Completion time below threshold",IF(J333="ATTENTION CHECK","Attention check failed",IF(J333="STRAIGHTLINE REVIEW","Straightlining review threshold met","Missing scored item(s)"))))))</x:f>
      </x:c>
      <x:c r="M333" s="119"/>
      <x:c r="N333" s="119"/>
      <x:c r="O333" s="119"/>
      <x:c r="P333" s="119"/>
      <x:c r="Q333" s="119"/>
      <x:c r="R333" s="119"/>
      <x:c r="S333" s="119"/>
      <x:c r="T333" s="119"/>
      <x:c r="U333" s="119"/>
      <x:c r="V333" s="119"/>
      <x:c r="W333" s="119"/>
      <x:c r="X333" s="119"/>
      <x:c r="Y333" s="133" t="str">
        <x:f>IF(K333&lt;&gt;"Yes","",IFERROR(AVERAGE(M333:X333),""))</x:f>
      </x:c>
      <x:c r="Z333" s="119"/>
    </x:row>
    <x:row r="334">
      <x:c r="A334" s="119"/>
      <x:c r="B334" s="119"/>
      <x:c r="C334" s="119"/>
      <x:c r="D334" s="119"/>
      <x:c r="E334" s="119"/>
      <x:c r="F334" s="119"/>
      <x:c r="G334" s="119"/>
      <x:c r="H334" s="130" t="str">
        <x:f>IF(A334="","",IF(AND(COUNTA(M334:X334)&gt;=SETUP!$B$10,COUNTIF(M334:X334,MAX(M334:X334))=COUNTA(M334:X334)),"Yes","No"))</x:f>
      </x:c>
      <x:c r="I334" s="130" t="str">
        <x:f>IF(A334="","",IF('SURVEY DESIGN'!C334&lt;&gt;"",--(M334=""),0)+IF('SURVEY DESIGN'!C335&lt;&gt;"",--(N334=""),0)+IF('SURVEY DESIGN'!C336&lt;&gt;"",--(O334=""),0)+IF('SURVEY DESIGN'!C337&lt;&gt;"",--(P334=""),0)+IF('SURVEY DESIGN'!C338&lt;&gt;"",--(Q334=""),0)+IF('SURVEY DESIGN'!C339&lt;&gt;"",--(R334=""),0)+IF('SURVEY DESIGN'!C340&lt;&gt;"",--(S334=""),0)+IF('SURVEY DESIGN'!C341&lt;&gt;"",--(T334=""),0)+IF('SURVEY DESIGN'!C342&lt;&gt;"",--(U334=""),0)+IF('SURVEY DESIGN'!C343&lt;&gt;"",--(V334=""),0)+IF('SURVEY DESIGN'!C344&lt;&gt;"",--(W334=""),0)+IF('SURVEY DESIGN'!C345&lt;&gt;"",--(X334=""),0))</x:f>
      </x:c>
      <x:c r="J334" s="130" t="str">
        <x:f>IF(A334="","",IF(C334&lt;&gt;"Yes","NO CONSENT",IF(F334&lt;SETUP!$B$9,"SPEEDING",IF(G334&lt;&gt;"Yes","ATTENTION CHECK",IF(H334="Yes","STRAIGHTLINE REVIEW",IF(I334&gt;0,"MISSING ITEMS","OK"))))))</x:f>
      </x:c>
      <x:c r="K334" s="130" t="str">
        <x:f>IF(A334="","",IF(J334="OK","Yes","No"))</x:f>
      </x:c>
      <x:c r="L334" s="130" t="str">
        <x:f>IF(A334="","",IF(J334="OK","",IF(J334="NO CONSENT","Consent not affirmed",IF(J334="SPEEDING","Completion time below threshold",IF(J334="ATTENTION CHECK","Attention check failed",IF(J334="STRAIGHTLINE REVIEW","Straightlining review threshold met","Missing scored item(s)"))))))</x:f>
      </x:c>
      <x:c r="M334" s="119"/>
      <x:c r="N334" s="119"/>
      <x:c r="O334" s="119"/>
      <x:c r="P334" s="119"/>
      <x:c r="Q334" s="119"/>
      <x:c r="R334" s="119"/>
      <x:c r="S334" s="119"/>
      <x:c r="T334" s="119"/>
      <x:c r="U334" s="119"/>
      <x:c r="V334" s="119"/>
      <x:c r="W334" s="119"/>
      <x:c r="X334" s="119"/>
      <x:c r="Y334" s="133" t="str">
        <x:f>IF(K334&lt;&gt;"Yes","",IFERROR(AVERAGE(M334:X334),""))</x:f>
      </x:c>
      <x:c r="Z334" s="119"/>
    </x:row>
    <x:row r="335">
      <x:c r="A335" s="119"/>
      <x:c r="B335" s="119"/>
      <x:c r="C335" s="119"/>
      <x:c r="D335" s="119"/>
      <x:c r="E335" s="119"/>
      <x:c r="F335" s="119"/>
      <x:c r="G335" s="119"/>
      <x:c r="H335" s="130" t="str">
        <x:f>IF(A335="","",IF(AND(COUNTA(M335:X335)&gt;=SETUP!$B$10,COUNTIF(M335:X335,MAX(M335:X335))=COUNTA(M335:X335)),"Yes","No"))</x:f>
      </x:c>
      <x:c r="I335" s="130" t="str">
        <x:f>IF(A335="","",IF('SURVEY DESIGN'!C335&lt;&gt;"",--(M335=""),0)+IF('SURVEY DESIGN'!C336&lt;&gt;"",--(N335=""),0)+IF('SURVEY DESIGN'!C337&lt;&gt;"",--(O335=""),0)+IF('SURVEY DESIGN'!C338&lt;&gt;"",--(P335=""),0)+IF('SURVEY DESIGN'!C339&lt;&gt;"",--(Q335=""),0)+IF('SURVEY DESIGN'!C340&lt;&gt;"",--(R335=""),0)+IF('SURVEY DESIGN'!C341&lt;&gt;"",--(S335=""),0)+IF('SURVEY DESIGN'!C342&lt;&gt;"",--(T335=""),0)+IF('SURVEY DESIGN'!C343&lt;&gt;"",--(U335=""),0)+IF('SURVEY DESIGN'!C344&lt;&gt;"",--(V335=""),0)+IF('SURVEY DESIGN'!C345&lt;&gt;"",--(W335=""),0)+IF('SURVEY DESIGN'!C346&lt;&gt;"",--(X335=""),0))</x:f>
      </x:c>
      <x:c r="J335" s="130" t="str">
        <x:f>IF(A335="","",IF(C335&lt;&gt;"Yes","NO CONSENT",IF(F335&lt;SETUP!$B$9,"SPEEDING",IF(G335&lt;&gt;"Yes","ATTENTION CHECK",IF(H335="Yes","STRAIGHTLINE REVIEW",IF(I335&gt;0,"MISSING ITEMS","OK"))))))</x:f>
      </x:c>
      <x:c r="K335" s="130" t="str">
        <x:f>IF(A335="","",IF(J335="OK","Yes","No"))</x:f>
      </x:c>
      <x:c r="L335" s="130" t="str">
        <x:f>IF(A335="","",IF(J335="OK","",IF(J335="NO CONSENT","Consent not affirmed",IF(J335="SPEEDING","Completion time below threshold",IF(J335="ATTENTION CHECK","Attention check failed",IF(J335="STRAIGHTLINE REVIEW","Straightlining review threshold met","Missing scored item(s)"))))))</x:f>
      </x:c>
      <x:c r="M335" s="119"/>
      <x:c r="N335" s="119"/>
      <x:c r="O335" s="119"/>
      <x:c r="P335" s="119"/>
      <x:c r="Q335" s="119"/>
      <x:c r="R335" s="119"/>
      <x:c r="S335" s="119"/>
      <x:c r="T335" s="119"/>
      <x:c r="U335" s="119"/>
      <x:c r="V335" s="119"/>
      <x:c r="W335" s="119"/>
      <x:c r="X335" s="119"/>
      <x:c r="Y335" s="133" t="str">
        <x:f>IF(K335&lt;&gt;"Yes","",IFERROR(AVERAGE(M335:X335),""))</x:f>
      </x:c>
      <x:c r="Z335" s="119"/>
    </x:row>
    <x:row r="336">
      <x:c r="A336" s="119"/>
      <x:c r="B336" s="119"/>
      <x:c r="C336" s="119"/>
      <x:c r="D336" s="119"/>
      <x:c r="E336" s="119"/>
      <x:c r="F336" s="119"/>
      <x:c r="G336" s="119"/>
      <x:c r="H336" s="130" t="str">
        <x:f>IF(A336="","",IF(AND(COUNTA(M336:X336)&gt;=SETUP!$B$10,COUNTIF(M336:X336,MAX(M336:X336))=COUNTA(M336:X336)),"Yes","No"))</x:f>
      </x:c>
      <x:c r="I336" s="130" t="str">
        <x:f>IF(A336="","",IF('SURVEY DESIGN'!C336&lt;&gt;"",--(M336=""),0)+IF('SURVEY DESIGN'!C337&lt;&gt;"",--(N336=""),0)+IF('SURVEY DESIGN'!C338&lt;&gt;"",--(O336=""),0)+IF('SURVEY DESIGN'!C339&lt;&gt;"",--(P336=""),0)+IF('SURVEY DESIGN'!C340&lt;&gt;"",--(Q336=""),0)+IF('SURVEY DESIGN'!C341&lt;&gt;"",--(R336=""),0)+IF('SURVEY DESIGN'!C342&lt;&gt;"",--(S336=""),0)+IF('SURVEY DESIGN'!C343&lt;&gt;"",--(T336=""),0)+IF('SURVEY DESIGN'!C344&lt;&gt;"",--(U336=""),0)+IF('SURVEY DESIGN'!C345&lt;&gt;"",--(V336=""),0)+IF('SURVEY DESIGN'!C346&lt;&gt;"",--(W336=""),0)+IF('SURVEY DESIGN'!C347&lt;&gt;"",--(X336=""),0))</x:f>
      </x:c>
      <x:c r="J336" s="130" t="str">
        <x:f>IF(A336="","",IF(C336&lt;&gt;"Yes","NO CONSENT",IF(F336&lt;SETUP!$B$9,"SPEEDING",IF(G336&lt;&gt;"Yes","ATTENTION CHECK",IF(H336="Yes","STRAIGHTLINE REVIEW",IF(I336&gt;0,"MISSING ITEMS","OK"))))))</x:f>
      </x:c>
      <x:c r="K336" s="130" t="str">
        <x:f>IF(A336="","",IF(J336="OK","Yes","No"))</x:f>
      </x:c>
      <x:c r="L336" s="130" t="str">
        <x:f>IF(A336="","",IF(J336="OK","",IF(J336="NO CONSENT","Consent not affirmed",IF(J336="SPEEDING","Completion time below threshold",IF(J336="ATTENTION CHECK","Attention check failed",IF(J336="STRAIGHTLINE REVIEW","Straightlining review threshold met","Missing scored item(s)"))))))</x:f>
      </x:c>
      <x:c r="M336" s="119"/>
      <x:c r="N336" s="119"/>
      <x:c r="O336" s="119"/>
      <x:c r="P336" s="119"/>
      <x:c r="Q336" s="119"/>
      <x:c r="R336" s="119"/>
      <x:c r="S336" s="119"/>
      <x:c r="T336" s="119"/>
      <x:c r="U336" s="119"/>
      <x:c r="V336" s="119"/>
      <x:c r="W336" s="119"/>
      <x:c r="X336" s="119"/>
      <x:c r="Y336" s="133" t="str">
        <x:f>IF(K336&lt;&gt;"Yes","",IFERROR(AVERAGE(M336:X336),""))</x:f>
      </x:c>
      <x:c r="Z336" s="119"/>
    </x:row>
    <x:row r="337">
      <x:c r="A337" s="119"/>
      <x:c r="B337" s="119"/>
      <x:c r="C337" s="119"/>
      <x:c r="D337" s="119"/>
      <x:c r="E337" s="119"/>
      <x:c r="F337" s="119"/>
      <x:c r="G337" s="119"/>
      <x:c r="H337" s="130" t="str">
        <x:f>IF(A337="","",IF(AND(COUNTA(M337:X337)&gt;=SETUP!$B$10,COUNTIF(M337:X337,MAX(M337:X337))=COUNTA(M337:X337)),"Yes","No"))</x:f>
      </x:c>
      <x:c r="I337" s="130" t="str">
        <x:f>IF(A337="","",IF('SURVEY DESIGN'!C337&lt;&gt;"",--(M337=""),0)+IF('SURVEY DESIGN'!C338&lt;&gt;"",--(N337=""),0)+IF('SURVEY DESIGN'!C339&lt;&gt;"",--(O337=""),0)+IF('SURVEY DESIGN'!C340&lt;&gt;"",--(P337=""),0)+IF('SURVEY DESIGN'!C341&lt;&gt;"",--(Q337=""),0)+IF('SURVEY DESIGN'!C342&lt;&gt;"",--(R337=""),0)+IF('SURVEY DESIGN'!C343&lt;&gt;"",--(S337=""),0)+IF('SURVEY DESIGN'!C344&lt;&gt;"",--(T337=""),0)+IF('SURVEY DESIGN'!C345&lt;&gt;"",--(U337=""),0)+IF('SURVEY DESIGN'!C346&lt;&gt;"",--(V337=""),0)+IF('SURVEY DESIGN'!C347&lt;&gt;"",--(W337=""),0)+IF('SURVEY DESIGN'!C348&lt;&gt;"",--(X337=""),0))</x:f>
      </x:c>
      <x:c r="J337" s="130" t="str">
        <x:f>IF(A337="","",IF(C337&lt;&gt;"Yes","NO CONSENT",IF(F337&lt;SETUP!$B$9,"SPEEDING",IF(G337&lt;&gt;"Yes","ATTENTION CHECK",IF(H337="Yes","STRAIGHTLINE REVIEW",IF(I337&gt;0,"MISSING ITEMS","OK"))))))</x:f>
      </x:c>
      <x:c r="K337" s="130" t="str">
        <x:f>IF(A337="","",IF(J337="OK","Yes","No"))</x:f>
      </x:c>
      <x:c r="L337" s="130" t="str">
        <x:f>IF(A337="","",IF(J337="OK","",IF(J337="NO CONSENT","Consent not affirmed",IF(J337="SPEEDING","Completion time below threshold",IF(J337="ATTENTION CHECK","Attention check failed",IF(J337="STRAIGHTLINE REVIEW","Straightlining review threshold met","Missing scored item(s)"))))))</x:f>
      </x:c>
      <x:c r="M337" s="119"/>
      <x:c r="N337" s="119"/>
      <x:c r="O337" s="119"/>
      <x:c r="P337" s="119"/>
      <x:c r="Q337" s="119"/>
      <x:c r="R337" s="119"/>
      <x:c r="S337" s="119"/>
      <x:c r="T337" s="119"/>
      <x:c r="U337" s="119"/>
      <x:c r="V337" s="119"/>
      <x:c r="W337" s="119"/>
      <x:c r="X337" s="119"/>
      <x:c r="Y337" s="133" t="str">
        <x:f>IF(K337&lt;&gt;"Yes","",IFERROR(AVERAGE(M337:X337),""))</x:f>
      </x:c>
      <x:c r="Z337" s="119"/>
    </x:row>
    <x:row r="338">
      <x:c r="A338" s="119"/>
      <x:c r="B338" s="119"/>
      <x:c r="C338" s="119"/>
      <x:c r="D338" s="119"/>
      <x:c r="E338" s="119"/>
      <x:c r="F338" s="119"/>
      <x:c r="G338" s="119"/>
      <x:c r="H338" s="130" t="str">
        <x:f>IF(A338="","",IF(AND(COUNTA(M338:X338)&gt;=SETUP!$B$10,COUNTIF(M338:X338,MAX(M338:X338))=COUNTA(M338:X338)),"Yes","No"))</x:f>
      </x:c>
      <x:c r="I338" s="130" t="str">
        <x:f>IF(A338="","",IF('SURVEY DESIGN'!C338&lt;&gt;"",--(M338=""),0)+IF('SURVEY DESIGN'!C339&lt;&gt;"",--(N338=""),0)+IF('SURVEY DESIGN'!C340&lt;&gt;"",--(O338=""),0)+IF('SURVEY DESIGN'!C341&lt;&gt;"",--(P338=""),0)+IF('SURVEY DESIGN'!C342&lt;&gt;"",--(Q338=""),0)+IF('SURVEY DESIGN'!C343&lt;&gt;"",--(R338=""),0)+IF('SURVEY DESIGN'!C344&lt;&gt;"",--(S338=""),0)+IF('SURVEY DESIGN'!C345&lt;&gt;"",--(T338=""),0)+IF('SURVEY DESIGN'!C346&lt;&gt;"",--(U338=""),0)+IF('SURVEY DESIGN'!C347&lt;&gt;"",--(V338=""),0)+IF('SURVEY DESIGN'!C348&lt;&gt;"",--(W338=""),0)+IF('SURVEY DESIGN'!C349&lt;&gt;"",--(X338=""),0))</x:f>
      </x:c>
      <x:c r="J338" s="130" t="str">
        <x:f>IF(A338="","",IF(C338&lt;&gt;"Yes","NO CONSENT",IF(F338&lt;SETUP!$B$9,"SPEEDING",IF(G338&lt;&gt;"Yes","ATTENTION CHECK",IF(H338="Yes","STRAIGHTLINE REVIEW",IF(I338&gt;0,"MISSING ITEMS","OK"))))))</x:f>
      </x:c>
      <x:c r="K338" s="130" t="str">
        <x:f>IF(A338="","",IF(J338="OK","Yes","No"))</x:f>
      </x:c>
      <x:c r="L338" s="130" t="str">
        <x:f>IF(A338="","",IF(J338="OK","",IF(J338="NO CONSENT","Consent not affirmed",IF(J338="SPEEDING","Completion time below threshold",IF(J338="ATTENTION CHECK","Attention check failed",IF(J338="STRAIGHTLINE REVIEW","Straightlining review threshold met","Missing scored item(s)"))))))</x:f>
      </x:c>
      <x:c r="M338" s="119"/>
      <x:c r="N338" s="119"/>
      <x:c r="O338" s="119"/>
      <x:c r="P338" s="119"/>
      <x:c r="Q338" s="119"/>
      <x:c r="R338" s="119"/>
      <x:c r="S338" s="119"/>
      <x:c r="T338" s="119"/>
      <x:c r="U338" s="119"/>
      <x:c r="V338" s="119"/>
      <x:c r="W338" s="119"/>
      <x:c r="X338" s="119"/>
      <x:c r="Y338" s="133" t="str">
        <x:f>IF(K338&lt;&gt;"Yes","",IFERROR(AVERAGE(M338:X338),""))</x:f>
      </x:c>
      <x:c r="Z338" s="119"/>
    </x:row>
    <x:row r="339">
      <x:c r="A339" s="119"/>
      <x:c r="B339" s="119"/>
      <x:c r="C339" s="119"/>
      <x:c r="D339" s="119"/>
      <x:c r="E339" s="119"/>
      <x:c r="F339" s="119"/>
      <x:c r="G339" s="119"/>
      <x:c r="H339" s="130" t="str">
        <x:f>IF(A339="","",IF(AND(COUNTA(M339:X339)&gt;=SETUP!$B$10,COUNTIF(M339:X339,MAX(M339:X339))=COUNTA(M339:X339)),"Yes","No"))</x:f>
      </x:c>
      <x:c r="I339" s="130" t="str">
        <x:f>IF(A339="","",IF('SURVEY DESIGN'!C339&lt;&gt;"",--(M339=""),0)+IF('SURVEY DESIGN'!C340&lt;&gt;"",--(N339=""),0)+IF('SURVEY DESIGN'!C341&lt;&gt;"",--(O339=""),0)+IF('SURVEY DESIGN'!C342&lt;&gt;"",--(P339=""),0)+IF('SURVEY DESIGN'!C343&lt;&gt;"",--(Q339=""),0)+IF('SURVEY DESIGN'!C344&lt;&gt;"",--(R339=""),0)+IF('SURVEY DESIGN'!C345&lt;&gt;"",--(S339=""),0)+IF('SURVEY DESIGN'!C346&lt;&gt;"",--(T339=""),0)+IF('SURVEY DESIGN'!C347&lt;&gt;"",--(U339=""),0)+IF('SURVEY DESIGN'!C348&lt;&gt;"",--(V339=""),0)+IF('SURVEY DESIGN'!C349&lt;&gt;"",--(W339=""),0)+IF('SURVEY DESIGN'!C350&lt;&gt;"",--(X339=""),0))</x:f>
      </x:c>
      <x:c r="J339" s="130" t="str">
        <x:f>IF(A339="","",IF(C339&lt;&gt;"Yes","NO CONSENT",IF(F339&lt;SETUP!$B$9,"SPEEDING",IF(G339&lt;&gt;"Yes","ATTENTION CHECK",IF(H339="Yes","STRAIGHTLINE REVIEW",IF(I339&gt;0,"MISSING ITEMS","OK"))))))</x:f>
      </x:c>
      <x:c r="K339" s="130" t="str">
        <x:f>IF(A339="","",IF(J339="OK","Yes","No"))</x:f>
      </x:c>
      <x:c r="L339" s="130" t="str">
        <x:f>IF(A339="","",IF(J339="OK","",IF(J339="NO CONSENT","Consent not affirmed",IF(J339="SPEEDING","Completion time below threshold",IF(J339="ATTENTION CHECK","Attention check failed",IF(J339="STRAIGHTLINE REVIEW","Straightlining review threshold met","Missing scored item(s)"))))))</x:f>
      </x:c>
      <x:c r="M339" s="119"/>
      <x:c r="N339" s="119"/>
      <x:c r="O339" s="119"/>
      <x:c r="P339" s="119"/>
      <x:c r="Q339" s="119"/>
      <x:c r="R339" s="119"/>
      <x:c r="S339" s="119"/>
      <x:c r="T339" s="119"/>
      <x:c r="U339" s="119"/>
      <x:c r="V339" s="119"/>
      <x:c r="W339" s="119"/>
      <x:c r="X339" s="119"/>
      <x:c r="Y339" s="133" t="str">
        <x:f>IF(K339&lt;&gt;"Yes","",IFERROR(AVERAGE(M339:X339),""))</x:f>
      </x:c>
      <x:c r="Z339" s="119"/>
    </x:row>
    <x:row r="340">
      <x:c r="A340" s="119"/>
      <x:c r="B340" s="119"/>
      <x:c r="C340" s="119"/>
      <x:c r="D340" s="119"/>
      <x:c r="E340" s="119"/>
      <x:c r="F340" s="119"/>
      <x:c r="G340" s="119"/>
      <x:c r="H340" s="130" t="str">
        <x:f>IF(A340="","",IF(AND(COUNTA(M340:X340)&gt;=SETUP!$B$10,COUNTIF(M340:X340,MAX(M340:X340))=COUNTA(M340:X340)),"Yes","No"))</x:f>
      </x:c>
      <x:c r="I340" s="130" t="str">
        <x:f>IF(A340="","",IF('SURVEY DESIGN'!C340&lt;&gt;"",--(M340=""),0)+IF('SURVEY DESIGN'!C341&lt;&gt;"",--(N340=""),0)+IF('SURVEY DESIGN'!C342&lt;&gt;"",--(O340=""),0)+IF('SURVEY DESIGN'!C343&lt;&gt;"",--(P340=""),0)+IF('SURVEY DESIGN'!C344&lt;&gt;"",--(Q340=""),0)+IF('SURVEY DESIGN'!C345&lt;&gt;"",--(R340=""),0)+IF('SURVEY DESIGN'!C346&lt;&gt;"",--(S340=""),0)+IF('SURVEY DESIGN'!C347&lt;&gt;"",--(T340=""),0)+IF('SURVEY DESIGN'!C348&lt;&gt;"",--(U340=""),0)+IF('SURVEY DESIGN'!C349&lt;&gt;"",--(V340=""),0)+IF('SURVEY DESIGN'!C350&lt;&gt;"",--(W340=""),0)+IF('SURVEY DESIGN'!C351&lt;&gt;"",--(X340=""),0))</x:f>
      </x:c>
      <x:c r="J340" s="130" t="str">
        <x:f>IF(A340="","",IF(C340&lt;&gt;"Yes","NO CONSENT",IF(F340&lt;SETUP!$B$9,"SPEEDING",IF(G340&lt;&gt;"Yes","ATTENTION CHECK",IF(H340="Yes","STRAIGHTLINE REVIEW",IF(I340&gt;0,"MISSING ITEMS","OK"))))))</x:f>
      </x:c>
      <x:c r="K340" s="130" t="str">
        <x:f>IF(A340="","",IF(J340="OK","Yes","No"))</x:f>
      </x:c>
      <x:c r="L340" s="130" t="str">
        <x:f>IF(A340="","",IF(J340="OK","",IF(J340="NO CONSENT","Consent not affirmed",IF(J340="SPEEDING","Completion time below threshold",IF(J340="ATTENTION CHECK","Attention check failed",IF(J340="STRAIGHTLINE REVIEW","Straightlining review threshold met","Missing scored item(s)"))))))</x:f>
      </x:c>
      <x:c r="M340" s="119"/>
      <x:c r="N340" s="119"/>
      <x:c r="O340" s="119"/>
      <x:c r="P340" s="119"/>
      <x:c r="Q340" s="119"/>
      <x:c r="R340" s="119"/>
      <x:c r="S340" s="119"/>
      <x:c r="T340" s="119"/>
      <x:c r="U340" s="119"/>
      <x:c r="V340" s="119"/>
      <x:c r="W340" s="119"/>
      <x:c r="X340" s="119"/>
      <x:c r="Y340" s="133" t="str">
        <x:f>IF(K340&lt;&gt;"Yes","",IFERROR(AVERAGE(M340:X340),""))</x:f>
      </x:c>
      <x:c r="Z340" s="119"/>
    </x:row>
    <x:row r="341">
      <x:c r="A341" s="119"/>
      <x:c r="B341" s="119"/>
      <x:c r="C341" s="119"/>
      <x:c r="D341" s="119"/>
      <x:c r="E341" s="119"/>
      <x:c r="F341" s="119"/>
      <x:c r="G341" s="119"/>
      <x:c r="H341" s="130" t="str">
        <x:f>IF(A341="","",IF(AND(COUNTA(M341:X341)&gt;=SETUP!$B$10,COUNTIF(M341:X341,MAX(M341:X341))=COUNTA(M341:X341)),"Yes","No"))</x:f>
      </x:c>
      <x:c r="I341" s="130" t="str">
        <x:f>IF(A341="","",IF('SURVEY DESIGN'!C341&lt;&gt;"",--(M341=""),0)+IF('SURVEY DESIGN'!C342&lt;&gt;"",--(N341=""),0)+IF('SURVEY DESIGN'!C343&lt;&gt;"",--(O341=""),0)+IF('SURVEY DESIGN'!C344&lt;&gt;"",--(P341=""),0)+IF('SURVEY DESIGN'!C345&lt;&gt;"",--(Q341=""),0)+IF('SURVEY DESIGN'!C346&lt;&gt;"",--(R341=""),0)+IF('SURVEY DESIGN'!C347&lt;&gt;"",--(S341=""),0)+IF('SURVEY DESIGN'!C348&lt;&gt;"",--(T341=""),0)+IF('SURVEY DESIGN'!C349&lt;&gt;"",--(U341=""),0)+IF('SURVEY DESIGN'!C350&lt;&gt;"",--(V341=""),0)+IF('SURVEY DESIGN'!C351&lt;&gt;"",--(W341=""),0)+IF('SURVEY DESIGN'!C352&lt;&gt;"",--(X341=""),0))</x:f>
      </x:c>
      <x:c r="J341" s="130" t="str">
        <x:f>IF(A341="","",IF(C341&lt;&gt;"Yes","NO CONSENT",IF(F341&lt;SETUP!$B$9,"SPEEDING",IF(G341&lt;&gt;"Yes","ATTENTION CHECK",IF(H341="Yes","STRAIGHTLINE REVIEW",IF(I341&gt;0,"MISSING ITEMS","OK"))))))</x:f>
      </x:c>
      <x:c r="K341" s="130" t="str">
        <x:f>IF(A341="","",IF(J341="OK","Yes","No"))</x:f>
      </x:c>
      <x:c r="L341" s="130" t="str">
        <x:f>IF(A341="","",IF(J341="OK","",IF(J341="NO CONSENT","Consent not affirmed",IF(J341="SPEEDING","Completion time below threshold",IF(J341="ATTENTION CHECK","Attention check failed",IF(J341="STRAIGHTLINE REVIEW","Straightlining review threshold met","Missing scored item(s)"))))))</x:f>
      </x:c>
      <x:c r="M341" s="119"/>
      <x:c r="N341" s="119"/>
      <x:c r="O341" s="119"/>
      <x:c r="P341" s="119"/>
      <x:c r="Q341" s="119"/>
      <x:c r="R341" s="119"/>
      <x:c r="S341" s="119"/>
      <x:c r="T341" s="119"/>
      <x:c r="U341" s="119"/>
      <x:c r="V341" s="119"/>
      <x:c r="W341" s="119"/>
      <x:c r="X341" s="119"/>
      <x:c r="Y341" s="133" t="str">
        <x:f>IF(K341&lt;&gt;"Yes","",IFERROR(AVERAGE(M341:X341),""))</x:f>
      </x:c>
      <x:c r="Z341" s="119"/>
    </x:row>
    <x:row r="342">
      <x:c r="A342" s="119"/>
      <x:c r="B342" s="119"/>
      <x:c r="C342" s="119"/>
      <x:c r="D342" s="119"/>
      <x:c r="E342" s="119"/>
      <x:c r="F342" s="119"/>
      <x:c r="G342" s="119"/>
      <x:c r="H342" s="130" t="str">
        <x:f>IF(A342="","",IF(AND(COUNTA(M342:X342)&gt;=SETUP!$B$10,COUNTIF(M342:X342,MAX(M342:X342))=COUNTA(M342:X342)),"Yes","No"))</x:f>
      </x:c>
      <x:c r="I342" s="130" t="str">
        <x:f>IF(A342="","",IF('SURVEY DESIGN'!C342&lt;&gt;"",--(M342=""),0)+IF('SURVEY DESIGN'!C343&lt;&gt;"",--(N342=""),0)+IF('SURVEY DESIGN'!C344&lt;&gt;"",--(O342=""),0)+IF('SURVEY DESIGN'!C345&lt;&gt;"",--(P342=""),0)+IF('SURVEY DESIGN'!C346&lt;&gt;"",--(Q342=""),0)+IF('SURVEY DESIGN'!C347&lt;&gt;"",--(R342=""),0)+IF('SURVEY DESIGN'!C348&lt;&gt;"",--(S342=""),0)+IF('SURVEY DESIGN'!C349&lt;&gt;"",--(T342=""),0)+IF('SURVEY DESIGN'!C350&lt;&gt;"",--(U342=""),0)+IF('SURVEY DESIGN'!C351&lt;&gt;"",--(V342=""),0)+IF('SURVEY DESIGN'!C352&lt;&gt;"",--(W342=""),0)+IF('SURVEY DESIGN'!C353&lt;&gt;"",--(X342=""),0))</x:f>
      </x:c>
      <x:c r="J342" s="130" t="str">
        <x:f>IF(A342="","",IF(C342&lt;&gt;"Yes","NO CONSENT",IF(F342&lt;SETUP!$B$9,"SPEEDING",IF(G342&lt;&gt;"Yes","ATTENTION CHECK",IF(H342="Yes","STRAIGHTLINE REVIEW",IF(I342&gt;0,"MISSING ITEMS","OK"))))))</x:f>
      </x:c>
      <x:c r="K342" s="130" t="str">
        <x:f>IF(A342="","",IF(J342="OK","Yes","No"))</x:f>
      </x:c>
      <x:c r="L342" s="130" t="str">
        <x:f>IF(A342="","",IF(J342="OK","",IF(J342="NO CONSENT","Consent not affirmed",IF(J342="SPEEDING","Completion time below threshold",IF(J342="ATTENTION CHECK","Attention check failed",IF(J342="STRAIGHTLINE REVIEW","Straightlining review threshold met","Missing scored item(s)"))))))</x:f>
      </x:c>
      <x:c r="M342" s="119"/>
      <x:c r="N342" s="119"/>
      <x:c r="O342" s="119"/>
      <x:c r="P342" s="119"/>
      <x:c r="Q342" s="119"/>
      <x:c r="R342" s="119"/>
      <x:c r="S342" s="119"/>
      <x:c r="T342" s="119"/>
      <x:c r="U342" s="119"/>
      <x:c r="V342" s="119"/>
      <x:c r="W342" s="119"/>
      <x:c r="X342" s="119"/>
      <x:c r="Y342" s="133" t="str">
        <x:f>IF(K342&lt;&gt;"Yes","",IFERROR(AVERAGE(M342:X342),""))</x:f>
      </x:c>
      <x:c r="Z342" s="119"/>
    </x:row>
    <x:row r="343">
      <x:c r="A343" s="119"/>
      <x:c r="B343" s="119"/>
      <x:c r="C343" s="119"/>
      <x:c r="D343" s="119"/>
      <x:c r="E343" s="119"/>
      <x:c r="F343" s="119"/>
      <x:c r="G343" s="119"/>
      <x:c r="H343" s="130" t="str">
        <x:f>IF(A343="","",IF(AND(COUNTA(M343:X343)&gt;=SETUP!$B$10,COUNTIF(M343:X343,MAX(M343:X343))=COUNTA(M343:X343)),"Yes","No"))</x:f>
      </x:c>
      <x:c r="I343" s="130" t="str">
        <x:f>IF(A343="","",IF('SURVEY DESIGN'!C343&lt;&gt;"",--(M343=""),0)+IF('SURVEY DESIGN'!C344&lt;&gt;"",--(N343=""),0)+IF('SURVEY DESIGN'!C345&lt;&gt;"",--(O343=""),0)+IF('SURVEY DESIGN'!C346&lt;&gt;"",--(P343=""),0)+IF('SURVEY DESIGN'!C347&lt;&gt;"",--(Q343=""),0)+IF('SURVEY DESIGN'!C348&lt;&gt;"",--(R343=""),0)+IF('SURVEY DESIGN'!C349&lt;&gt;"",--(S343=""),0)+IF('SURVEY DESIGN'!C350&lt;&gt;"",--(T343=""),0)+IF('SURVEY DESIGN'!C351&lt;&gt;"",--(U343=""),0)+IF('SURVEY DESIGN'!C352&lt;&gt;"",--(V343=""),0)+IF('SURVEY DESIGN'!C353&lt;&gt;"",--(W343=""),0)+IF('SURVEY DESIGN'!C354&lt;&gt;"",--(X343=""),0))</x:f>
      </x:c>
      <x:c r="J343" s="130" t="str">
        <x:f>IF(A343="","",IF(C343&lt;&gt;"Yes","NO CONSENT",IF(F343&lt;SETUP!$B$9,"SPEEDING",IF(G343&lt;&gt;"Yes","ATTENTION CHECK",IF(H343="Yes","STRAIGHTLINE REVIEW",IF(I343&gt;0,"MISSING ITEMS","OK"))))))</x:f>
      </x:c>
      <x:c r="K343" s="130" t="str">
        <x:f>IF(A343="","",IF(J343="OK","Yes","No"))</x:f>
      </x:c>
      <x:c r="L343" s="130" t="str">
        <x:f>IF(A343="","",IF(J343="OK","",IF(J343="NO CONSENT","Consent not affirmed",IF(J343="SPEEDING","Completion time below threshold",IF(J343="ATTENTION CHECK","Attention check failed",IF(J343="STRAIGHTLINE REVIEW","Straightlining review threshold met","Missing scored item(s)"))))))</x:f>
      </x:c>
      <x:c r="M343" s="119"/>
      <x:c r="N343" s="119"/>
      <x:c r="O343" s="119"/>
      <x:c r="P343" s="119"/>
      <x:c r="Q343" s="119"/>
      <x:c r="R343" s="119"/>
      <x:c r="S343" s="119"/>
      <x:c r="T343" s="119"/>
      <x:c r="U343" s="119"/>
      <x:c r="V343" s="119"/>
      <x:c r="W343" s="119"/>
      <x:c r="X343" s="119"/>
      <x:c r="Y343" s="133" t="str">
        <x:f>IF(K343&lt;&gt;"Yes","",IFERROR(AVERAGE(M343:X343),""))</x:f>
      </x:c>
      <x:c r="Z343" s="119"/>
    </x:row>
    <x:row r="344">
      <x:c r="A344" s="119"/>
      <x:c r="B344" s="119"/>
      <x:c r="C344" s="119"/>
      <x:c r="D344" s="119"/>
      <x:c r="E344" s="119"/>
      <x:c r="F344" s="119"/>
      <x:c r="G344" s="119"/>
      <x:c r="H344" s="130" t="str">
        <x:f>IF(A344="","",IF(AND(COUNTA(M344:X344)&gt;=SETUP!$B$10,COUNTIF(M344:X344,MAX(M344:X344))=COUNTA(M344:X344)),"Yes","No"))</x:f>
      </x:c>
      <x:c r="I344" s="130" t="str">
        <x:f>IF(A344="","",IF('SURVEY DESIGN'!C344&lt;&gt;"",--(M344=""),0)+IF('SURVEY DESIGN'!C345&lt;&gt;"",--(N344=""),0)+IF('SURVEY DESIGN'!C346&lt;&gt;"",--(O344=""),0)+IF('SURVEY DESIGN'!C347&lt;&gt;"",--(P344=""),0)+IF('SURVEY DESIGN'!C348&lt;&gt;"",--(Q344=""),0)+IF('SURVEY DESIGN'!C349&lt;&gt;"",--(R344=""),0)+IF('SURVEY DESIGN'!C350&lt;&gt;"",--(S344=""),0)+IF('SURVEY DESIGN'!C351&lt;&gt;"",--(T344=""),0)+IF('SURVEY DESIGN'!C352&lt;&gt;"",--(U344=""),0)+IF('SURVEY DESIGN'!C353&lt;&gt;"",--(V344=""),0)+IF('SURVEY DESIGN'!C354&lt;&gt;"",--(W344=""),0)+IF('SURVEY DESIGN'!C355&lt;&gt;"",--(X344=""),0))</x:f>
      </x:c>
      <x:c r="J344" s="130" t="str">
        <x:f>IF(A344="","",IF(C344&lt;&gt;"Yes","NO CONSENT",IF(F344&lt;SETUP!$B$9,"SPEEDING",IF(G344&lt;&gt;"Yes","ATTENTION CHECK",IF(H344="Yes","STRAIGHTLINE REVIEW",IF(I344&gt;0,"MISSING ITEMS","OK"))))))</x:f>
      </x:c>
      <x:c r="K344" s="130" t="str">
        <x:f>IF(A344="","",IF(J344="OK","Yes","No"))</x:f>
      </x:c>
      <x:c r="L344" s="130" t="str">
        <x:f>IF(A344="","",IF(J344="OK","",IF(J344="NO CONSENT","Consent not affirmed",IF(J344="SPEEDING","Completion time below threshold",IF(J344="ATTENTION CHECK","Attention check failed",IF(J344="STRAIGHTLINE REVIEW","Straightlining review threshold met","Missing scored item(s)"))))))</x:f>
      </x:c>
      <x:c r="M344" s="119"/>
      <x:c r="N344" s="119"/>
      <x:c r="O344" s="119"/>
      <x:c r="P344" s="119"/>
      <x:c r="Q344" s="119"/>
      <x:c r="R344" s="119"/>
      <x:c r="S344" s="119"/>
      <x:c r="T344" s="119"/>
      <x:c r="U344" s="119"/>
      <x:c r="V344" s="119"/>
      <x:c r="W344" s="119"/>
      <x:c r="X344" s="119"/>
      <x:c r="Y344" s="133" t="str">
        <x:f>IF(K344&lt;&gt;"Yes","",IFERROR(AVERAGE(M344:X344),""))</x:f>
      </x:c>
      <x:c r="Z344" s="119"/>
    </x:row>
    <x:row r="345">
      <x:c r="A345" s="119"/>
      <x:c r="B345" s="119"/>
      <x:c r="C345" s="119"/>
      <x:c r="D345" s="119"/>
      <x:c r="E345" s="119"/>
      <x:c r="F345" s="119"/>
      <x:c r="G345" s="119"/>
      <x:c r="H345" s="130" t="str">
        <x:f>IF(A345="","",IF(AND(COUNTA(M345:X345)&gt;=SETUP!$B$10,COUNTIF(M345:X345,MAX(M345:X345))=COUNTA(M345:X345)),"Yes","No"))</x:f>
      </x:c>
      <x:c r="I345" s="130" t="str">
        <x:f>IF(A345="","",IF('SURVEY DESIGN'!C345&lt;&gt;"",--(M345=""),0)+IF('SURVEY DESIGN'!C346&lt;&gt;"",--(N345=""),0)+IF('SURVEY DESIGN'!C347&lt;&gt;"",--(O345=""),0)+IF('SURVEY DESIGN'!C348&lt;&gt;"",--(P345=""),0)+IF('SURVEY DESIGN'!C349&lt;&gt;"",--(Q345=""),0)+IF('SURVEY DESIGN'!C350&lt;&gt;"",--(R345=""),0)+IF('SURVEY DESIGN'!C351&lt;&gt;"",--(S345=""),0)+IF('SURVEY DESIGN'!C352&lt;&gt;"",--(T345=""),0)+IF('SURVEY DESIGN'!C353&lt;&gt;"",--(U345=""),0)+IF('SURVEY DESIGN'!C354&lt;&gt;"",--(V345=""),0)+IF('SURVEY DESIGN'!C355&lt;&gt;"",--(W345=""),0)+IF('SURVEY DESIGN'!C356&lt;&gt;"",--(X345=""),0))</x:f>
      </x:c>
      <x:c r="J345" s="130" t="str">
        <x:f>IF(A345="","",IF(C345&lt;&gt;"Yes","NO CONSENT",IF(F345&lt;SETUP!$B$9,"SPEEDING",IF(G345&lt;&gt;"Yes","ATTENTION CHECK",IF(H345="Yes","STRAIGHTLINE REVIEW",IF(I345&gt;0,"MISSING ITEMS","OK"))))))</x:f>
      </x:c>
      <x:c r="K345" s="130" t="str">
        <x:f>IF(A345="","",IF(J345="OK","Yes","No"))</x:f>
      </x:c>
      <x:c r="L345" s="130" t="str">
        <x:f>IF(A345="","",IF(J345="OK","",IF(J345="NO CONSENT","Consent not affirmed",IF(J345="SPEEDING","Completion time below threshold",IF(J345="ATTENTION CHECK","Attention check failed",IF(J345="STRAIGHTLINE REVIEW","Straightlining review threshold met","Missing scored item(s)"))))))</x:f>
      </x:c>
      <x:c r="M345" s="119"/>
      <x:c r="N345" s="119"/>
      <x:c r="O345" s="119"/>
      <x:c r="P345" s="119"/>
      <x:c r="Q345" s="119"/>
      <x:c r="R345" s="119"/>
      <x:c r="S345" s="119"/>
      <x:c r="T345" s="119"/>
      <x:c r="U345" s="119"/>
      <x:c r="V345" s="119"/>
      <x:c r="W345" s="119"/>
      <x:c r="X345" s="119"/>
      <x:c r="Y345" s="133" t="str">
        <x:f>IF(K345&lt;&gt;"Yes","",IFERROR(AVERAGE(M345:X345),""))</x:f>
      </x:c>
      <x:c r="Z345" s="119"/>
    </x:row>
    <x:row r="346">
      <x:c r="A346" s="119"/>
      <x:c r="B346" s="119"/>
      <x:c r="C346" s="119"/>
      <x:c r="D346" s="119"/>
      <x:c r="E346" s="119"/>
      <x:c r="F346" s="119"/>
      <x:c r="G346" s="119"/>
      <x:c r="H346" s="130" t="str">
        <x:f>IF(A346="","",IF(AND(COUNTA(M346:X346)&gt;=SETUP!$B$10,COUNTIF(M346:X346,MAX(M346:X346))=COUNTA(M346:X346)),"Yes","No"))</x:f>
      </x:c>
      <x:c r="I346" s="130" t="str">
        <x:f>IF(A346="","",IF('SURVEY DESIGN'!C346&lt;&gt;"",--(M346=""),0)+IF('SURVEY DESIGN'!C347&lt;&gt;"",--(N346=""),0)+IF('SURVEY DESIGN'!C348&lt;&gt;"",--(O346=""),0)+IF('SURVEY DESIGN'!C349&lt;&gt;"",--(P346=""),0)+IF('SURVEY DESIGN'!C350&lt;&gt;"",--(Q346=""),0)+IF('SURVEY DESIGN'!C351&lt;&gt;"",--(R346=""),0)+IF('SURVEY DESIGN'!C352&lt;&gt;"",--(S346=""),0)+IF('SURVEY DESIGN'!C353&lt;&gt;"",--(T346=""),0)+IF('SURVEY DESIGN'!C354&lt;&gt;"",--(U346=""),0)+IF('SURVEY DESIGN'!C355&lt;&gt;"",--(V346=""),0)+IF('SURVEY DESIGN'!C356&lt;&gt;"",--(W346=""),0)+IF('SURVEY DESIGN'!C357&lt;&gt;"",--(X346=""),0))</x:f>
      </x:c>
      <x:c r="J346" s="130" t="str">
        <x:f>IF(A346="","",IF(C346&lt;&gt;"Yes","NO CONSENT",IF(F346&lt;SETUP!$B$9,"SPEEDING",IF(G346&lt;&gt;"Yes","ATTENTION CHECK",IF(H346="Yes","STRAIGHTLINE REVIEW",IF(I346&gt;0,"MISSING ITEMS","OK"))))))</x:f>
      </x:c>
      <x:c r="K346" s="130" t="str">
        <x:f>IF(A346="","",IF(J346="OK","Yes","No"))</x:f>
      </x:c>
      <x:c r="L346" s="130" t="str">
        <x:f>IF(A346="","",IF(J346="OK","",IF(J346="NO CONSENT","Consent not affirmed",IF(J346="SPEEDING","Completion time below threshold",IF(J346="ATTENTION CHECK","Attention check failed",IF(J346="STRAIGHTLINE REVIEW","Straightlining review threshold met","Missing scored item(s)"))))))</x:f>
      </x:c>
      <x:c r="M346" s="119"/>
      <x:c r="N346" s="119"/>
      <x:c r="O346" s="119"/>
      <x:c r="P346" s="119"/>
      <x:c r="Q346" s="119"/>
      <x:c r="R346" s="119"/>
      <x:c r="S346" s="119"/>
      <x:c r="T346" s="119"/>
      <x:c r="U346" s="119"/>
      <x:c r="V346" s="119"/>
      <x:c r="W346" s="119"/>
      <x:c r="X346" s="119"/>
      <x:c r="Y346" s="133" t="str">
        <x:f>IF(K346&lt;&gt;"Yes","",IFERROR(AVERAGE(M346:X346),""))</x:f>
      </x:c>
      <x:c r="Z346" s="119"/>
    </x:row>
    <x:row r="347">
      <x:c r="A347" s="119"/>
      <x:c r="B347" s="119"/>
      <x:c r="C347" s="119"/>
      <x:c r="D347" s="119"/>
      <x:c r="E347" s="119"/>
      <x:c r="F347" s="119"/>
      <x:c r="G347" s="119"/>
      <x:c r="H347" s="130" t="str">
        <x:f>IF(A347="","",IF(AND(COUNTA(M347:X347)&gt;=SETUP!$B$10,COUNTIF(M347:X347,MAX(M347:X347))=COUNTA(M347:X347)),"Yes","No"))</x:f>
      </x:c>
      <x:c r="I347" s="130" t="str">
        <x:f>IF(A347="","",IF('SURVEY DESIGN'!C347&lt;&gt;"",--(M347=""),0)+IF('SURVEY DESIGN'!C348&lt;&gt;"",--(N347=""),0)+IF('SURVEY DESIGN'!C349&lt;&gt;"",--(O347=""),0)+IF('SURVEY DESIGN'!C350&lt;&gt;"",--(P347=""),0)+IF('SURVEY DESIGN'!C351&lt;&gt;"",--(Q347=""),0)+IF('SURVEY DESIGN'!C352&lt;&gt;"",--(R347=""),0)+IF('SURVEY DESIGN'!C353&lt;&gt;"",--(S347=""),0)+IF('SURVEY DESIGN'!C354&lt;&gt;"",--(T347=""),0)+IF('SURVEY DESIGN'!C355&lt;&gt;"",--(U347=""),0)+IF('SURVEY DESIGN'!C356&lt;&gt;"",--(V347=""),0)+IF('SURVEY DESIGN'!C357&lt;&gt;"",--(W347=""),0)+IF('SURVEY DESIGN'!C358&lt;&gt;"",--(X347=""),0))</x:f>
      </x:c>
      <x:c r="J347" s="130" t="str">
        <x:f>IF(A347="","",IF(C347&lt;&gt;"Yes","NO CONSENT",IF(F347&lt;SETUP!$B$9,"SPEEDING",IF(G347&lt;&gt;"Yes","ATTENTION CHECK",IF(H347="Yes","STRAIGHTLINE REVIEW",IF(I347&gt;0,"MISSING ITEMS","OK"))))))</x:f>
      </x:c>
      <x:c r="K347" s="130" t="str">
        <x:f>IF(A347="","",IF(J347="OK","Yes","No"))</x:f>
      </x:c>
      <x:c r="L347" s="130" t="str">
        <x:f>IF(A347="","",IF(J347="OK","",IF(J347="NO CONSENT","Consent not affirmed",IF(J347="SPEEDING","Completion time below threshold",IF(J347="ATTENTION CHECK","Attention check failed",IF(J347="STRAIGHTLINE REVIEW","Straightlining review threshold met","Missing scored item(s)"))))))</x:f>
      </x:c>
      <x:c r="M347" s="119"/>
      <x:c r="N347" s="119"/>
      <x:c r="O347" s="119"/>
      <x:c r="P347" s="119"/>
      <x:c r="Q347" s="119"/>
      <x:c r="R347" s="119"/>
      <x:c r="S347" s="119"/>
      <x:c r="T347" s="119"/>
      <x:c r="U347" s="119"/>
      <x:c r="V347" s="119"/>
      <x:c r="W347" s="119"/>
      <x:c r="X347" s="119"/>
      <x:c r="Y347" s="133" t="str">
        <x:f>IF(K347&lt;&gt;"Yes","",IFERROR(AVERAGE(M347:X347),""))</x:f>
      </x:c>
      <x:c r="Z347" s="119"/>
    </x:row>
    <x:row r="348">
      <x:c r="A348" s="119"/>
      <x:c r="B348" s="119"/>
      <x:c r="C348" s="119"/>
      <x:c r="D348" s="119"/>
      <x:c r="E348" s="119"/>
      <x:c r="F348" s="119"/>
      <x:c r="G348" s="119"/>
      <x:c r="H348" s="130" t="str">
        <x:f>IF(A348="","",IF(AND(COUNTA(M348:X348)&gt;=SETUP!$B$10,COUNTIF(M348:X348,MAX(M348:X348))=COUNTA(M348:X348)),"Yes","No"))</x:f>
      </x:c>
      <x:c r="I348" s="130" t="str">
        <x:f>IF(A348="","",IF('SURVEY DESIGN'!C348&lt;&gt;"",--(M348=""),0)+IF('SURVEY DESIGN'!C349&lt;&gt;"",--(N348=""),0)+IF('SURVEY DESIGN'!C350&lt;&gt;"",--(O348=""),0)+IF('SURVEY DESIGN'!C351&lt;&gt;"",--(P348=""),0)+IF('SURVEY DESIGN'!C352&lt;&gt;"",--(Q348=""),0)+IF('SURVEY DESIGN'!C353&lt;&gt;"",--(R348=""),0)+IF('SURVEY DESIGN'!C354&lt;&gt;"",--(S348=""),0)+IF('SURVEY DESIGN'!C355&lt;&gt;"",--(T348=""),0)+IF('SURVEY DESIGN'!C356&lt;&gt;"",--(U348=""),0)+IF('SURVEY DESIGN'!C357&lt;&gt;"",--(V348=""),0)+IF('SURVEY DESIGN'!C358&lt;&gt;"",--(W348=""),0)+IF('SURVEY DESIGN'!C359&lt;&gt;"",--(X348=""),0))</x:f>
      </x:c>
      <x:c r="J348" s="130" t="str">
        <x:f>IF(A348="","",IF(C348&lt;&gt;"Yes","NO CONSENT",IF(F348&lt;SETUP!$B$9,"SPEEDING",IF(G348&lt;&gt;"Yes","ATTENTION CHECK",IF(H348="Yes","STRAIGHTLINE REVIEW",IF(I348&gt;0,"MISSING ITEMS","OK"))))))</x:f>
      </x:c>
      <x:c r="K348" s="130" t="str">
        <x:f>IF(A348="","",IF(J348="OK","Yes","No"))</x:f>
      </x:c>
      <x:c r="L348" s="130" t="str">
        <x:f>IF(A348="","",IF(J348="OK","",IF(J348="NO CONSENT","Consent not affirmed",IF(J348="SPEEDING","Completion time below threshold",IF(J348="ATTENTION CHECK","Attention check failed",IF(J348="STRAIGHTLINE REVIEW","Straightlining review threshold met","Missing scored item(s)"))))))</x:f>
      </x:c>
      <x:c r="M348" s="119"/>
      <x:c r="N348" s="119"/>
      <x:c r="O348" s="119"/>
      <x:c r="P348" s="119"/>
      <x:c r="Q348" s="119"/>
      <x:c r="R348" s="119"/>
      <x:c r="S348" s="119"/>
      <x:c r="T348" s="119"/>
      <x:c r="U348" s="119"/>
      <x:c r="V348" s="119"/>
      <x:c r="W348" s="119"/>
      <x:c r="X348" s="119"/>
      <x:c r="Y348" s="133" t="str">
        <x:f>IF(K348&lt;&gt;"Yes","",IFERROR(AVERAGE(M348:X348),""))</x:f>
      </x:c>
      <x:c r="Z348" s="119"/>
    </x:row>
    <x:row r="349">
      <x:c r="A349" s="119"/>
      <x:c r="B349" s="119"/>
      <x:c r="C349" s="119"/>
      <x:c r="D349" s="119"/>
      <x:c r="E349" s="119"/>
      <x:c r="F349" s="119"/>
      <x:c r="G349" s="119"/>
      <x:c r="H349" s="130" t="str">
        <x:f>IF(A349="","",IF(AND(COUNTA(M349:X349)&gt;=SETUP!$B$10,COUNTIF(M349:X349,MAX(M349:X349))=COUNTA(M349:X349)),"Yes","No"))</x:f>
      </x:c>
      <x:c r="I349" s="130" t="str">
        <x:f>IF(A349="","",IF('SURVEY DESIGN'!C349&lt;&gt;"",--(M349=""),0)+IF('SURVEY DESIGN'!C350&lt;&gt;"",--(N349=""),0)+IF('SURVEY DESIGN'!C351&lt;&gt;"",--(O349=""),0)+IF('SURVEY DESIGN'!C352&lt;&gt;"",--(P349=""),0)+IF('SURVEY DESIGN'!C353&lt;&gt;"",--(Q349=""),0)+IF('SURVEY DESIGN'!C354&lt;&gt;"",--(R349=""),0)+IF('SURVEY DESIGN'!C355&lt;&gt;"",--(S349=""),0)+IF('SURVEY DESIGN'!C356&lt;&gt;"",--(T349=""),0)+IF('SURVEY DESIGN'!C357&lt;&gt;"",--(U349=""),0)+IF('SURVEY DESIGN'!C358&lt;&gt;"",--(V349=""),0)+IF('SURVEY DESIGN'!C359&lt;&gt;"",--(W349=""),0)+IF('SURVEY DESIGN'!C360&lt;&gt;"",--(X349=""),0))</x:f>
      </x:c>
      <x:c r="J349" s="130" t="str">
        <x:f>IF(A349="","",IF(C349&lt;&gt;"Yes","NO CONSENT",IF(F349&lt;SETUP!$B$9,"SPEEDING",IF(G349&lt;&gt;"Yes","ATTENTION CHECK",IF(H349="Yes","STRAIGHTLINE REVIEW",IF(I349&gt;0,"MISSING ITEMS","OK"))))))</x:f>
      </x:c>
      <x:c r="K349" s="130" t="str">
        <x:f>IF(A349="","",IF(J349="OK","Yes","No"))</x:f>
      </x:c>
      <x:c r="L349" s="130" t="str">
        <x:f>IF(A349="","",IF(J349="OK","",IF(J349="NO CONSENT","Consent not affirmed",IF(J349="SPEEDING","Completion time below threshold",IF(J349="ATTENTION CHECK","Attention check failed",IF(J349="STRAIGHTLINE REVIEW","Straightlining review threshold met","Missing scored item(s)"))))))</x:f>
      </x:c>
      <x:c r="M349" s="119"/>
      <x:c r="N349" s="119"/>
      <x:c r="O349" s="119"/>
      <x:c r="P349" s="119"/>
      <x:c r="Q349" s="119"/>
      <x:c r="R349" s="119"/>
      <x:c r="S349" s="119"/>
      <x:c r="T349" s="119"/>
      <x:c r="U349" s="119"/>
      <x:c r="V349" s="119"/>
      <x:c r="W349" s="119"/>
      <x:c r="X349" s="119"/>
      <x:c r="Y349" s="133" t="str">
        <x:f>IF(K349&lt;&gt;"Yes","",IFERROR(AVERAGE(M349:X349),""))</x:f>
      </x:c>
      <x:c r="Z349" s="119"/>
    </x:row>
    <x:row r="350">
      <x:c r="A350" s="119"/>
      <x:c r="B350" s="119"/>
      <x:c r="C350" s="119"/>
      <x:c r="D350" s="119"/>
      <x:c r="E350" s="119"/>
      <x:c r="F350" s="119"/>
      <x:c r="G350" s="119"/>
      <x:c r="H350" s="130" t="str">
        <x:f>IF(A350="","",IF(AND(COUNTA(M350:X350)&gt;=SETUP!$B$10,COUNTIF(M350:X350,MAX(M350:X350))=COUNTA(M350:X350)),"Yes","No"))</x:f>
      </x:c>
      <x:c r="I350" s="130" t="str">
        <x:f>IF(A350="","",IF('SURVEY DESIGN'!C350&lt;&gt;"",--(M350=""),0)+IF('SURVEY DESIGN'!C351&lt;&gt;"",--(N350=""),0)+IF('SURVEY DESIGN'!C352&lt;&gt;"",--(O350=""),0)+IF('SURVEY DESIGN'!C353&lt;&gt;"",--(P350=""),0)+IF('SURVEY DESIGN'!C354&lt;&gt;"",--(Q350=""),0)+IF('SURVEY DESIGN'!C355&lt;&gt;"",--(R350=""),0)+IF('SURVEY DESIGN'!C356&lt;&gt;"",--(S350=""),0)+IF('SURVEY DESIGN'!C357&lt;&gt;"",--(T350=""),0)+IF('SURVEY DESIGN'!C358&lt;&gt;"",--(U350=""),0)+IF('SURVEY DESIGN'!C359&lt;&gt;"",--(V350=""),0)+IF('SURVEY DESIGN'!C360&lt;&gt;"",--(W350=""),0)+IF('SURVEY DESIGN'!C361&lt;&gt;"",--(X350=""),0))</x:f>
      </x:c>
      <x:c r="J350" s="130" t="str">
        <x:f>IF(A350="","",IF(C350&lt;&gt;"Yes","NO CONSENT",IF(F350&lt;SETUP!$B$9,"SPEEDING",IF(G350&lt;&gt;"Yes","ATTENTION CHECK",IF(H350="Yes","STRAIGHTLINE REVIEW",IF(I350&gt;0,"MISSING ITEMS","OK"))))))</x:f>
      </x:c>
      <x:c r="K350" s="130" t="str">
        <x:f>IF(A350="","",IF(J350="OK","Yes","No"))</x:f>
      </x:c>
      <x:c r="L350" s="130" t="str">
        <x:f>IF(A350="","",IF(J350="OK","",IF(J350="NO CONSENT","Consent not affirmed",IF(J350="SPEEDING","Completion time below threshold",IF(J350="ATTENTION CHECK","Attention check failed",IF(J350="STRAIGHTLINE REVIEW","Straightlining review threshold met","Missing scored item(s)"))))))</x:f>
      </x:c>
      <x:c r="M350" s="119"/>
      <x:c r="N350" s="119"/>
      <x:c r="O350" s="119"/>
      <x:c r="P350" s="119"/>
      <x:c r="Q350" s="119"/>
      <x:c r="R350" s="119"/>
      <x:c r="S350" s="119"/>
      <x:c r="T350" s="119"/>
      <x:c r="U350" s="119"/>
      <x:c r="V350" s="119"/>
      <x:c r="W350" s="119"/>
      <x:c r="X350" s="119"/>
      <x:c r="Y350" s="133" t="str">
        <x:f>IF(K350&lt;&gt;"Yes","",IFERROR(AVERAGE(M350:X350),""))</x:f>
      </x:c>
      <x:c r="Z350" s="119"/>
    </x:row>
    <x:row r="351">
      <x:c r="A351" s="119"/>
      <x:c r="B351" s="119"/>
      <x:c r="C351" s="119"/>
      <x:c r="D351" s="119"/>
      <x:c r="E351" s="119"/>
      <x:c r="F351" s="119"/>
      <x:c r="G351" s="119"/>
      <x:c r="H351" s="130" t="str">
        <x:f>IF(A351="","",IF(AND(COUNTA(M351:X351)&gt;=SETUP!$B$10,COUNTIF(M351:X351,MAX(M351:X351))=COUNTA(M351:X351)),"Yes","No"))</x:f>
      </x:c>
      <x:c r="I351" s="130" t="str">
        <x:f>IF(A351="","",IF('SURVEY DESIGN'!C351&lt;&gt;"",--(M351=""),0)+IF('SURVEY DESIGN'!C352&lt;&gt;"",--(N351=""),0)+IF('SURVEY DESIGN'!C353&lt;&gt;"",--(O351=""),0)+IF('SURVEY DESIGN'!C354&lt;&gt;"",--(P351=""),0)+IF('SURVEY DESIGN'!C355&lt;&gt;"",--(Q351=""),0)+IF('SURVEY DESIGN'!C356&lt;&gt;"",--(R351=""),0)+IF('SURVEY DESIGN'!C357&lt;&gt;"",--(S351=""),0)+IF('SURVEY DESIGN'!C358&lt;&gt;"",--(T351=""),0)+IF('SURVEY DESIGN'!C359&lt;&gt;"",--(U351=""),0)+IF('SURVEY DESIGN'!C360&lt;&gt;"",--(V351=""),0)+IF('SURVEY DESIGN'!C361&lt;&gt;"",--(W351=""),0)+IF('SURVEY DESIGN'!C362&lt;&gt;"",--(X351=""),0))</x:f>
      </x:c>
      <x:c r="J351" s="130" t="str">
        <x:f>IF(A351="","",IF(C351&lt;&gt;"Yes","NO CONSENT",IF(F351&lt;SETUP!$B$9,"SPEEDING",IF(G351&lt;&gt;"Yes","ATTENTION CHECK",IF(H351="Yes","STRAIGHTLINE REVIEW",IF(I351&gt;0,"MISSING ITEMS","OK"))))))</x:f>
      </x:c>
      <x:c r="K351" s="130" t="str">
        <x:f>IF(A351="","",IF(J351="OK","Yes","No"))</x:f>
      </x:c>
      <x:c r="L351" s="130" t="str">
        <x:f>IF(A351="","",IF(J351="OK","",IF(J351="NO CONSENT","Consent not affirmed",IF(J351="SPEEDING","Completion time below threshold",IF(J351="ATTENTION CHECK","Attention check failed",IF(J351="STRAIGHTLINE REVIEW","Straightlining review threshold met","Missing scored item(s)"))))))</x:f>
      </x:c>
      <x:c r="M351" s="119"/>
      <x:c r="N351" s="119"/>
      <x:c r="O351" s="119"/>
      <x:c r="P351" s="119"/>
      <x:c r="Q351" s="119"/>
      <x:c r="R351" s="119"/>
      <x:c r="S351" s="119"/>
      <x:c r="T351" s="119"/>
      <x:c r="U351" s="119"/>
      <x:c r="V351" s="119"/>
      <x:c r="W351" s="119"/>
      <x:c r="X351" s="119"/>
      <x:c r="Y351" s="133" t="str">
        <x:f>IF(K351&lt;&gt;"Yes","",IFERROR(AVERAGE(M351:X351),""))</x:f>
      </x:c>
      <x:c r="Z351" s="119"/>
    </x:row>
    <x:row r="352">
      <x:c r="A352" s="119"/>
      <x:c r="B352" s="119"/>
      <x:c r="C352" s="119"/>
      <x:c r="D352" s="119"/>
      <x:c r="E352" s="119"/>
      <x:c r="F352" s="119"/>
      <x:c r="G352" s="119"/>
      <x:c r="H352" s="130" t="str">
        <x:f>IF(A352="","",IF(AND(COUNTA(M352:X352)&gt;=SETUP!$B$10,COUNTIF(M352:X352,MAX(M352:X352))=COUNTA(M352:X352)),"Yes","No"))</x:f>
      </x:c>
      <x:c r="I352" s="130" t="str">
        <x:f>IF(A352="","",IF('SURVEY DESIGN'!C352&lt;&gt;"",--(M352=""),0)+IF('SURVEY DESIGN'!C353&lt;&gt;"",--(N352=""),0)+IF('SURVEY DESIGN'!C354&lt;&gt;"",--(O352=""),0)+IF('SURVEY DESIGN'!C355&lt;&gt;"",--(P352=""),0)+IF('SURVEY DESIGN'!C356&lt;&gt;"",--(Q352=""),0)+IF('SURVEY DESIGN'!C357&lt;&gt;"",--(R352=""),0)+IF('SURVEY DESIGN'!C358&lt;&gt;"",--(S352=""),0)+IF('SURVEY DESIGN'!C359&lt;&gt;"",--(T352=""),0)+IF('SURVEY DESIGN'!C360&lt;&gt;"",--(U352=""),0)+IF('SURVEY DESIGN'!C361&lt;&gt;"",--(V352=""),0)+IF('SURVEY DESIGN'!C362&lt;&gt;"",--(W352=""),0)+IF('SURVEY DESIGN'!C363&lt;&gt;"",--(X352=""),0))</x:f>
      </x:c>
      <x:c r="J352" s="130" t="str">
        <x:f>IF(A352="","",IF(C352&lt;&gt;"Yes","NO CONSENT",IF(F352&lt;SETUP!$B$9,"SPEEDING",IF(G352&lt;&gt;"Yes","ATTENTION CHECK",IF(H352="Yes","STRAIGHTLINE REVIEW",IF(I352&gt;0,"MISSING ITEMS","OK"))))))</x:f>
      </x:c>
      <x:c r="K352" s="130" t="str">
        <x:f>IF(A352="","",IF(J352="OK","Yes","No"))</x:f>
      </x:c>
      <x:c r="L352" s="130" t="str">
        <x:f>IF(A352="","",IF(J352="OK","",IF(J352="NO CONSENT","Consent not affirmed",IF(J352="SPEEDING","Completion time below threshold",IF(J352="ATTENTION CHECK","Attention check failed",IF(J352="STRAIGHTLINE REVIEW","Straightlining review threshold met","Missing scored item(s)"))))))</x:f>
      </x:c>
      <x:c r="M352" s="119"/>
      <x:c r="N352" s="119"/>
      <x:c r="O352" s="119"/>
      <x:c r="P352" s="119"/>
      <x:c r="Q352" s="119"/>
      <x:c r="R352" s="119"/>
      <x:c r="S352" s="119"/>
      <x:c r="T352" s="119"/>
      <x:c r="U352" s="119"/>
      <x:c r="V352" s="119"/>
      <x:c r="W352" s="119"/>
      <x:c r="X352" s="119"/>
      <x:c r="Y352" s="133" t="str">
        <x:f>IF(K352&lt;&gt;"Yes","",IFERROR(AVERAGE(M352:X352),""))</x:f>
      </x:c>
      <x:c r="Z352" s="119"/>
    </x:row>
    <x:row r="353">
      <x:c r="A353" s="119"/>
      <x:c r="B353" s="119"/>
      <x:c r="C353" s="119"/>
      <x:c r="D353" s="119"/>
      <x:c r="E353" s="119"/>
      <x:c r="F353" s="119"/>
      <x:c r="G353" s="119"/>
      <x:c r="H353" s="130" t="str">
        <x:f>IF(A353="","",IF(AND(COUNTA(M353:X353)&gt;=SETUP!$B$10,COUNTIF(M353:X353,MAX(M353:X353))=COUNTA(M353:X353)),"Yes","No"))</x:f>
      </x:c>
      <x:c r="I353" s="130" t="str">
        <x:f>IF(A353="","",IF('SURVEY DESIGN'!C353&lt;&gt;"",--(M353=""),0)+IF('SURVEY DESIGN'!C354&lt;&gt;"",--(N353=""),0)+IF('SURVEY DESIGN'!C355&lt;&gt;"",--(O353=""),0)+IF('SURVEY DESIGN'!C356&lt;&gt;"",--(P353=""),0)+IF('SURVEY DESIGN'!C357&lt;&gt;"",--(Q353=""),0)+IF('SURVEY DESIGN'!C358&lt;&gt;"",--(R353=""),0)+IF('SURVEY DESIGN'!C359&lt;&gt;"",--(S353=""),0)+IF('SURVEY DESIGN'!C360&lt;&gt;"",--(T353=""),0)+IF('SURVEY DESIGN'!C361&lt;&gt;"",--(U353=""),0)+IF('SURVEY DESIGN'!C362&lt;&gt;"",--(V353=""),0)+IF('SURVEY DESIGN'!C363&lt;&gt;"",--(W353=""),0)+IF('SURVEY DESIGN'!C364&lt;&gt;"",--(X353=""),0))</x:f>
      </x:c>
      <x:c r="J353" s="130" t="str">
        <x:f>IF(A353="","",IF(C353&lt;&gt;"Yes","NO CONSENT",IF(F353&lt;SETUP!$B$9,"SPEEDING",IF(G353&lt;&gt;"Yes","ATTENTION CHECK",IF(H353="Yes","STRAIGHTLINE REVIEW",IF(I353&gt;0,"MISSING ITEMS","OK"))))))</x:f>
      </x:c>
      <x:c r="K353" s="130" t="str">
        <x:f>IF(A353="","",IF(J353="OK","Yes","No"))</x:f>
      </x:c>
      <x:c r="L353" s="130" t="str">
        <x:f>IF(A353="","",IF(J353="OK","",IF(J353="NO CONSENT","Consent not affirmed",IF(J353="SPEEDING","Completion time below threshold",IF(J353="ATTENTION CHECK","Attention check failed",IF(J353="STRAIGHTLINE REVIEW","Straightlining review threshold met","Missing scored item(s)"))))))</x:f>
      </x:c>
      <x:c r="M353" s="119"/>
      <x:c r="N353" s="119"/>
      <x:c r="O353" s="119"/>
      <x:c r="P353" s="119"/>
      <x:c r="Q353" s="119"/>
      <x:c r="R353" s="119"/>
      <x:c r="S353" s="119"/>
      <x:c r="T353" s="119"/>
      <x:c r="U353" s="119"/>
      <x:c r="V353" s="119"/>
      <x:c r="W353" s="119"/>
      <x:c r="X353" s="119"/>
      <x:c r="Y353" s="133" t="str">
        <x:f>IF(K353&lt;&gt;"Yes","",IFERROR(AVERAGE(M353:X353),""))</x:f>
      </x:c>
      <x:c r="Z353" s="119"/>
    </x:row>
    <x:row r="354">
      <x:c r="A354" s="119"/>
      <x:c r="B354" s="119"/>
      <x:c r="C354" s="119"/>
      <x:c r="D354" s="119"/>
      <x:c r="E354" s="119"/>
      <x:c r="F354" s="119"/>
      <x:c r="G354" s="119"/>
      <x:c r="H354" s="130" t="str">
        <x:f>IF(A354="","",IF(AND(COUNTA(M354:X354)&gt;=SETUP!$B$10,COUNTIF(M354:X354,MAX(M354:X354))=COUNTA(M354:X354)),"Yes","No"))</x:f>
      </x:c>
      <x:c r="I354" s="130" t="str">
        <x:f>IF(A354="","",IF('SURVEY DESIGN'!C354&lt;&gt;"",--(M354=""),0)+IF('SURVEY DESIGN'!C355&lt;&gt;"",--(N354=""),0)+IF('SURVEY DESIGN'!C356&lt;&gt;"",--(O354=""),0)+IF('SURVEY DESIGN'!C357&lt;&gt;"",--(P354=""),0)+IF('SURVEY DESIGN'!C358&lt;&gt;"",--(Q354=""),0)+IF('SURVEY DESIGN'!C359&lt;&gt;"",--(R354=""),0)+IF('SURVEY DESIGN'!C360&lt;&gt;"",--(S354=""),0)+IF('SURVEY DESIGN'!C361&lt;&gt;"",--(T354=""),0)+IF('SURVEY DESIGN'!C362&lt;&gt;"",--(U354=""),0)+IF('SURVEY DESIGN'!C363&lt;&gt;"",--(V354=""),0)+IF('SURVEY DESIGN'!C364&lt;&gt;"",--(W354=""),0)+IF('SURVEY DESIGN'!C365&lt;&gt;"",--(X354=""),0))</x:f>
      </x:c>
      <x:c r="J354" s="130" t="str">
        <x:f>IF(A354="","",IF(C354&lt;&gt;"Yes","NO CONSENT",IF(F354&lt;SETUP!$B$9,"SPEEDING",IF(G354&lt;&gt;"Yes","ATTENTION CHECK",IF(H354="Yes","STRAIGHTLINE REVIEW",IF(I354&gt;0,"MISSING ITEMS","OK"))))))</x:f>
      </x:c>
      <x:c r="K354" s="130" t="str">
        <x:f>IF(A354="","",IF(J354="OK","Yes","No"))</x:f>
      </x:c>
      <x:c r="L354" s="130" t="str">
        <x:f>IF(A354="","",IF(J354="OK","",IF(J354="NO CONSENT","Consent not affirmed",IF(J354="SPEEDING","Completion time below threshold",IF(J354="ATTENTION CHECK","Attention check failed",IF(J354="STRAIGHTLINE REVIEW","Straightlining review threshold met","Missing scored item(s)"))))))</x:f>
      </x:c>
      <x:c r="M354" s="119"/>
      <x:c r="N354" s="119"/>
      <x:c r="O354" s="119"/>
      <x:c r="P354" s="119"/>
      <x:c r="Q354" s="119"/>
      <x:c r="R354" s="119"/>
      <x:c r="S354" s="119"/>
      <x:c r="T354" s="119"/>
      <x:c r="U354" s="119"/>
      <x:c r="V354" s="119"/>
      <x:c r="W354" s="119"/>
      <x:c r="X354" s="119"/>
      <x:c r="Y354" s="133" t="str">
        <x:f>IF(K354&lt;&gt;"Yes","",IFERROR(AVERAGE(M354:X354),""))</x:f>
      </x:c>
      <x:c r="Z354" s="119"/>
    </x:row>
    <x:row r="355">
      <x:c r="A355" s="119"/>
      <x:c r="B355" s="119"/>
      <x:c r="C355" s="119"/>
      <x:c r="D355" s="119"/>
      <x:c r="E355" s="119"/>
      <x:c r="F355" s="119"/>
      <x:c r="G355" s="119"/>
      <x:c r="H355" s="130" t="str">
        <x:f>IF(A355="","",IF(AND(COUNTA(M355:X355)&gt;=SETUP!$B$10,COUNTIF(M355:X355,MAX(M355:X355))=COUNTA(M355:X355)),"Yes","No"))</x:f>
      </x:c>
      <x:c r="I355" s="130" t="str">
        <x:f>IF(A355="","",IF('SURVEY DESIGN'!C355&lt;&gt;"",--(M355=""),0)+IF('SURVEY DESIGN'!C356&lt;&gt;"",--(N355=""),0)+IF('SURVEY DESIGN'!C357&lt;&gt;"",--(O355=""),0)+IF('SURVEY DESIGN'!C358&lt;&gt;"",--(P355=""),0)+IF('SURVEY DESIGN'!C359&lt;&gt;"",--(Q355=""),0)+IF('SURVEY DESIGN'!C360&lt;&gt;"",--(R355=""),0)+IF('SURVEY DESIGN'!C361&lt;&gt;"",--(S355=""),0)+IF('SURVEY DESIGN'!C362&lt;&gt;"",--(T355=""),0)+IF('SURVEY DESIGN'!C363&lt;&gt;"",--(U355=""),0)+IF('SURVEY DESIGN'!C364&lt;&gt;"",--(V355=""),0)+IF('SURVEY DESIGN'!C365&lt;&gt;"",--(W355=""),0)+IF('SURVEY DESIGN'!C366&lt;&gt;"",--(X355=""),0))</x:f>
      </x:c>
      <x:c r="J355" s="130" t="str">
        <x:f>IF(A355="","",IF(C355&lt;&gt;"Yes","NO CONSENT",IF(F355&lt;SETUP!$B$9,"SPEEDING",IF(G355&lt;&gt;"Yes","ATTENTION CHECK",IF(H355="Yes","STRAIGHTLINE REVIEW",IF(I355&gt;0,"MISSING ITEMS","OK"))))))</x:f>
      </x:c>
      <x:c r="K355" s="130" t="str">
        <x:f>IF(A355="","",IF(J355="OK","Yes","No"))</x:f>
      </x:c>
      <x:c r="L355" s="130" t="str">
        <x:f>IF(A355="","",IF(J355="OK","",IF(J355="NO CONSENT","Consent not affirmed",IF(J355="SPEEDING","Completion time below threshold",IF(J355="ATTENTION CHECK","Attention check failed",IF(J355="STRAIGHTLINE REVIEW","Straightlining review threshold met","Missing scored item(s)"))))))</x:f>
      </x:c>
      <x:c r="M355" s="119"/>
      <x:c r="N355" s="119"/>
      <x:c r="O355" s="119"/>
      <x:c r="P355" s="119"/>
      <x:c r="Q355" s="119"/>
      <x:c r="R355" s="119"/>
      <x:c r="S355" s="119"/>
      <x:c r="T355" s="119"/>
      <x:c r="U355" s="119"/>
      <x:c r="V355" s="119"/>
      <x:c r="W355" s="119"/>
      <x:c r="X355" s="119"/>
      <x:c r="Y355" s="133" t="str">
        <x:f>IF(K355&lt;&gt;"Yes","",IFERROR(AVERAGE(M355:X355),""))</x:f>
      </x:c>
      <x:c r="Z355" s="119"/>
    </x:row>
    <x:row r="356">
      <x:c r="A356" s="119"/>
      <x:c r="B356" s="119"/>
      <x:c r="C356" s="119"/>
      <x:c r="D356" s="119"/>
      <x:c r="E356" s="119"/>
      <x:c r="F356" s="119"/>
      <x:c r="G356" s="119"/>
      <x:c r="H356" s="130" t="str">
        <x:f>IF(A356="","",IF(AND(COUNTA(M356:X356)&gt;=SETUP!$B$10,COUNTIF(M356:X356,MAX(M356:X356))=COUNTA(M356:X356)),"Yes","No"))</x:f>
      </x:c>
      <x:c r="I356" s="130" t="str">
        <x:f>IF(A356="","",IF('SURVEY DESIGN'!C356&lt;&gt;"",--(M356=""),0)+IF('SURVEY DESIGN'!C357&lt;&gt;"",--(N356=""),0)+IF('SURVEY DESIGN'!C358&lt;&gt;"",--(O356=""),0)+IF('SURVEY DESIGN'!C359&lt;&gt;"",--(P356=""),0)+IF('SURVEY DESIGN'!C360&lt;&gt;"",--(Q356=""),0)+IF('SURVEY DESIGN'!C361&lt;&gt;"",--(R356=""),0)+IF('SURVEY DESIGN'!C362&lt;&gt;"",--(S356=""),0)+IF('SURVEY DESIGN'!C363&lt;&gt;"",--(T356=""),0)+IF('SURVEY DESIGN'!C364&lt;&gt;"",--(U356=""),0)+IF('SURVEY DESIGN'!C365&lt;&gt;"",--(V356=""),0)+IF('SURVEY DESIGN'!C366&lt;&gt;"",--(W356=""),0)+IF('SURVEY DESIGN'!C367&lt;&gt;"",--(X356=""),0))</x:f>
      </x:c>
      <x:c r="J356" s="130" t="str">
        <x:f>IF(A356="","",IF(C356&lt;&gt;"Yes","NO CONSENT",IF(F356&lt;SETUP!$B$9,"SPEEDING",IF(G356&lt;&gt;"Yes","ATTENTION CHECK",IF(H356="Yes","STRAIGHTLINE REVIEW",IF(I356&gt;0,"MISSING ITEMS","OK"))))))</x:f>
      </x:c>
      <x:c r="K356" s="130" t="str">
        <x:f>IF(A356="","",IF(J356="OK","Yes","No"))</x:f>
      </x:c>
      <x:c r="L356" s="130" t="str">
        <x:f>IF(A356="","",IF(J356="OK","",IF(J356="NO CONSENT","Consent not affirmed",IF(J356="SPEEDING","Completion time below threshold",IF(J356="ATTENTION CHECK","Attention check failed",IF(J356="STRAIGHTLINE REVIEW","Straightlining review threshold met","Missing scored item(s)"))))))</x:f>
      </x:c>
      <x:c r="M356" s="119"/>
      <x:c r="N356" s="119"/>
      <x:c r="O356" s="119"/>
      <x:c r="P356" s="119"/>
      <x:c r="Q356" s="119"/>
      <x:c r="R356" s="119"/>
      <x:c r="S356" s="119"/>
      <x:c r="T356" s="119"/>
      <x:c r="U356" s="119"/>
      <x:c r="V356" s="119"/>
      <x:c r="W356" s="119"/>
      <x:c r="X356" s="119"/>
      <x:c r="Y356" s="133" t="str">
        <x:f>IF(K356&lt;&gt;"Yes","",IFERROR(AVERAGE(M356:X356),""))</x:f>
      </x:c>
      <x:c r="Z356" s="119"/>
    </x:row>
    <x:row r="357">
      <x:c r="A357" s="119"/>
      <x:c r="B357" s="119"/>
      <x:c r="C357" s="119"/>
      <x:c r="D357" s="119"/>
      <x:c r="E357" s="119"/>
      <x:c r="F357" s="119"/>
      <x:c r="G357" s="119"/>
      <x:c r="H357" s="130" t="str">
        <x:f>IF(A357="","",IF(AND(COUNTA(M357:X357)&gt;=SETUP!$B$10,COUNTIF(M357:X357,MAX(M357:X357))=COUNTA(M357:X357)),"Yes","No"))</x:f>
      </x:c>
      <x:c r="I357" s="130" t="str">
        <x:f>IF(A357="","",IF('SURVEY DESIGN'!C357&lt;&gt;"",--(M357=""),0)+IF('SURVEY DESIGN'!C358&lt;&gt;"",--(N357=""),0)+IF('SURVEY DESIGN'!C359&lt;&gt;"",--(O357=""),0)+IF('SURVEY DESIGN'!C360&lt;&gt;"",--(P357=""),0)+IF('SURVEY DESIGN'!C361&lt;&gt;"",--(Q357=""),0)+IF('SURVEY DESIGN'!C362&lt;&gt;"",--(R357=""),0)+IF('SURVEY DESIGN'!C363&lt;&gt;"",--(S357=""),0)+IF('SURVEY DESIGN'!C364&lt;&gt;"",--(T357=""),0)+IF('SURVEY DESIGN'!C365&lt;&gt;"",--(U357=""),0)+IF('SURVEY DESIGN'!C366&lt;&gt;"",--(V357=""),0)+IF('SURVEY DESIGN'!C367&lt;&gt;"",--(W357=""),0)+IF('SURVEY DESIGN'!C368&lt;&gt;"",--(X357=""),0))</x:f>
      </x:c>
      <x:c r="J357" s="130" t="str">
        <x:f>IF(A357="","",IF(C357&lt;&gt;"Yes","NO CONSENT",IF(F357&lt;SETUP!$B$9,"SPEEDING",IF(G357&lt;&gt;"Yes","ATTENTION CHECK",IF(H357="Yes","STRAIGHTLINE REVIEW",IF(I357&gt;0,"MISSING ITEMS","OK"))))))</x:f>
      </x:c>
      <x:c r="K357" s="130" t="str">
        <x:f>IF(A357="","",IF(J357="OK","Yes","No"))</x:f>
      </x:c>
      <x:c r="L357" s="130" t="str">
        <x:f>IF(A357="","",IF(J357="OK","",IF(J357="NO CONSENT","Consent not affirmed",IF(J357="SPEEDING","Completion time below threshold",IF(J357="ATTENTION CHECK","Attention check failed",IF(J357="STRAIGHTLINE REVIEW","Straightlining review threshold met","Missing scored item(s)"))))))</x:f>
      </x:c>
      <x:c r="M357" s="119"/>
      <x:c r="N357" s="119"/>
      <x:c r="O357" s="119"/>
      <x:c r="P357" s="119"/>
      <x:c r="Q357" s="119"/>
      <x:c r="R357" s="119"/>
      <x:c r="S357" s="119"/>
      <x:c r="T357" s="119"/>
      <x:c r="U357" s="119"/>
      <x:c r="V357" s="119"/>
      <x:c r="W357" s="119"/>
      <x:c r="X357" s="119"/>
      <x:c r="Y357" s="133" t="str">
        <x:f>IF(K357&lt;&gt;"Yes","",IFERROR(AVERAGE(M357:X357),""))</x:f>
      </x:c>
      <x:c r="Z357" s="119"/>
    </x:row>
    <x:row r="358">
      <x:c r="A358" s="119"/>
      <x:c r="B358" s="119"/>
      <x:c r="C358" s="119"/>
      <x:c r="D358" s="119"/>
      <x:c r="E358" s="119"/>
      <x:c r="F358" s="119"/>
      <x:c r="G358" s="119"/>
      <x:c r="H358" s="130" t="str">
        <x:f>IF(A358="","",IF(AND(COUNTA(M358:X358)&gt;=SETUP!$B$10,COUNTIF(M358:X358,MAX(M358:X358))=COUNTA(M358:X358)),"Yes","No"))</x:f>
      </x:c>
      <x:c r="I358" s="130" t="str">
        <x:f>IF(A358="","",IF('SURVEY DESIGN'!C358&lt;&gt;"",--(M358=""),0)+IF('SURVEY DESIGN'!C359&lt;&gt;"",--(N358=""),0)+IF('SURVEY DESIGN'!C360&lt;&gt;"",--(O358=""),0)+IF('SURVEY DESIGN'!C361&lt;&gt;"",--(P358=""),0)+IF('SURVEY DESIGN'!C362&lt;&gt;"",--(Q358=""),0)+IF('SURVEY DESIGN'!C363&lt;&gt;"",--(R358=""),0)+IF('SURVEY DESIGN'!C364&lt;&gt;"",--(S358=""),0)+IF('SURVEY DESIGN'!C365&lt;&gt;"",--(T358=""),0)+IF('SURVEY DESIGN'!C366&lt;&gt;"",--(U358=""),0)+IF('SURVEY DESIGN'!C367&lt;&gt;"",--(V358=""),0)+IF('SURVEY DESIGN'!C368&lt;&gt;"",--(W358=""),0)+IF('SURVEY DESIGN'!C369&lt;&gt;"",--(X358=""),0))</x:f>
      </x:c>
      <x:c r="J358" s="130" t="str">
        <x:f>IF(A358="","",IF(C358&lt;&gt;"Yes","NO CONSENT",IF(F358&lt;SETUP!$B$9,"SPEEDING",IF(G358&lt;&gt;"Yes","ATTENTION CHECK",IF(H358="Yes","STRAIGHTLINE REVIEW",IF(I358&gt;0,"MISSING ITEMS","OK"))))))</x:f>
      </x:c>
      <x:c r="K358" s="130" t="str">
        <x:f>IF(A358="","",IF(J358="OK","Yes","No"))</x:f>
      </x:c>
      <x:c r="L358" s="130" t="str">
        <x:f>IF(A358="","",IF(J358="OK","",IF(J358="NO CONSENT","Consent not affirmed",IF(J358="SPEEDING","Completion time below threshold",IF(J358="ATTENTION CHECK","Attention check failed",IF(J358="STRAIGHTLINE REVIEW","Straightlining review threshold met","Missing scored item(s)"))))))</x:f>
      </x:c>
      <x:c r="M358" s="119"/>
      <x:c r="N358" s="119"/>
      <x:c r="O358" s="119"/>
      <x:c r="P358" s="119"/>
      <x:c r="Q358" s="119"/>
      <x:c r="R358" s="119"/>
      <x:c r="S358" s="119"/>
      <x:c r="T358" s="119"/>
      <x:c r="U358" s="119"/>
      <x:c r="V358" s="119"/>
      <x:c r="W358" s="119"/>
      <x:c r="X358" s="119"/>
      <x:c r="Y358" s="133" t="str">
        <x:f>IF(K358&lt;&gt;"Yes","",IFERROR(AVERAGE(M358:X358),""))</x:f>
      </x:c>
      <x:c r="Z358" s="119"/>
    </x:row>
    <x:row r="359">
      <x:c r="A359" s="119"/>
      <x:c r="B359" s="119"/>
      <x:c r="C359" s="119"/>
      <x:c r="D359" s="119"/>
      <x:c r="E359" s="119"/>
      <x:c r="F359" s="119"/>
      <x:c r="G359" s="119"/>
      <x:c r="H359" s="130" t="str">
        <x:f>IF(A359="","",IF(AND(COUNTA(M359:X359)&gt;=SETUP!$B$10,COUNTIF(M359:X359,MAX(M359:X359))=COUNTA(M359:X359)),"Yes","No"))</x:f>
      </x:c>
      <x:c r="I359" s="130" t="str">
        <x:f>IF(A359="","",IF('SURVEY DESIGN'!C359&lt;&gt;"",--(M359=""),0)+IF('SURVEY DESIGN'!C360&lt;&gt;"",--(N359=""),0)+IF('SURVEY DESIGN'!C361&lt;&gt;"",--(O359=""),0)+IF('SURVEY DESIGN'!C362&lt;&gt;"",--(P359=""),0)+IF('SURVEY DESIGN'!C363&lt;&gt;"",--(Q359=""),0)+IF('SURVEY DESIGN'!C364&lt;&gt;"",--(R359=""),0)+IF('SURVEY DESIGN'!C365&lt;&gt;"",--(S359=""),0)+IF('SURVEY DESIGN'!C366&lt;&gt;"",--(T359=""),0)+IF('SURVEY DESIGN'!C367&lt;&gt;"",--(U359=""),0)+IF('SURVEY DESIGN'!C368&lt;&gt;"",--(V359=""),0)+IF('SURVEY DESIGN'!C369&lt;&gt;"",--(W359=""),0)+IF('SURVEY DESIGN'!C370&lt;&gt;"",--(X359=""),0))</x:f>
      </x:c>
      <x:c r="J359" s="130" t="str">
        <x:f>IF(A359="","",IF(C359&lt;&gt;"Yes","NO CONSENT",IF(F359&lt;SETUP!$B$9,"SPEEDING",IF(G359&lt;&gt;"Yes","ATTENTION CHECK",IF(H359="Yes","STRAIGHTLINE REVIEW",IF(I359&gt;0,"MISSING ITEMS","OK"))))))</x:f>
      </x:c>
      <x:c r="K359" s="130" t="str">
        <x:f>IF(A359="","",IF(J359="OK","Yes","No"))</x:f>
      </x:c>
      <x:c r="L359" s="130" t="str">
        <x:f>IF(A359="","",IF(J359="OK","",IF(J359="NO CONSENT","Consent not affirmed",IF(J359="SPEEDING","Completion time below threshold",IF(J359="ATTENTION CHECK","Attention check failed",IF(J359="STRAIGHTLINE REVIEW","Straightlining review threshold met","Missing scored item(s)"))))))</x:f>
      </x:c>
      <x:c r="M359" s="119"/>
      <x:c r="N359" s="119"/>
      <x:c r="O359" s="119"/>
      <x:c r="P359" s="119"/>
      <x:c r="Q359" s="119"/>
      <x:c r="R359" s="119"/>
      <x:c r="S359" s="119"/>
      <x:c r="T359" s="119"/>
      <x:c r="U359" s="119"/>
      <x:c r="V359" s="119"/>
      <x:c r="W359" s="119"/>
      <x:c r="X359" s="119"/>
      <x:c r="Y359" s="133" t="str">
        <x:f>IF(K359&lt;&gt;"Yes","",IFERROR(AVERAGE(M359:X359),""))</x:f>
      </x:c>
      <x:c r="Z359" s="119"/>
    </x:row>
    <x:row r="360">
      <x:c r="A360" s="119"/>
      <x:c r="B360" s="119"/>
      <x:c r="C360" s="119"/>
      <x:c r="D360" s="119"/>
      <x:c r="E360" s="119"/>
      <x:c r="F360" s="119"/>
      <x:c r="G360" s="119"/>
      <x:c r="H360" s="130" t="str">
        <x:f>IF(A360="","",IF(AND(COUNTA(M360:X360)&gt;=SETUP!$B$10,COUNTIF(M360:X360,MAX(M360:X360))=COUNTA(M360:X360)),"Yes","No"))</x:f>
      </x:c>
      <x:c r="I360" s="130" t="str">
        <x:f>IF(A360="","",IF('SURVEY DESIGN'!C360&lt;&gt;"",--(M360=""),0)+IF('SURVEY DESIGN'!C361&lt;&gt;"",--(N360=""),0)+IF('SURVEY DESIGN'!C362&lt;&gt;"",--(O360=""),0)+IF('SURVEY DESIGN'!C363&lt;&gt;"",--(P360=""),0)+IF('SURVEY DESIGN'!C364&lt;&gt;"",--(Q360=""),0)+IF('SURVEY DESIGN'!C365&lt;&gt;"",--(R360=""),0)+IF('SURVEY DESIGN'!C366&lt;&gt;"",--(S360=""),0)+IF('SURVEY DESIGN'!C367&lt;&gt;"",--(T360=""),0)+IF('SURVEY DESIGN'!C368&lt;&gt;"",--(U360=""),0)+IF('SURVEY DESIGN'!C369&lt;&gt;"",--(V360=""),0)+IF('SURVEY DESIGN'!C370&lt;&gt;"",--(W360=""),0)+IF('SURVEY DESIGN'!C371&lt;&gt;"",--(X360=""),0))</x:f>
      </x:c>
      <x:c r="J360" s="130" t="str">
        <x:f>IF(A360="","",IF(C360&lt;&gt;"Yes","NO CONSENT",IF(F360&lt;SETUP!$B$9,"SPEEDING",IF(G360&lt;&gt;"Yes","ATTENTION CHECK",IF(H360="Yes","STRAIGHTLINE REVIEW",IF(I360&gt;0,"MISSING ITEMS","OK"))))))</x:f>
      </x:c>
      <x:c r="K360" s="130" t="str">
        <x:f>IF(A360="","",IF(J360="OK","Yes","No"))</x:f>
      </x:c>
      <x:c r="L360" s="130" t="str">
        <x:f>IF(A360="","",IF(J360="OK","",IF(J360="NO CONSENT","Consent not affirmed",IF(J360="SPEEDING","Completion time below threshold",IF(J360="ATTENTION CHECK","Attention check failed",IF(J360="STRAIGHTLINE REVIEW","Straightlining review threshold met","Missing scored item(s)"))))))</x:f>
      </x:c>
      <x:c r="M360" s="119"/>
      <x:c r="N360" s="119"/>
      <x:c r="O360" s="119"/>
      <x:c r="P360" s="119"/>
      <x:c r="Q360" s="119"/>
      <x:c r="R360" s="119"/>
      <x:c r="S360" s="119"/>
      <x:c r="T360" s="119"/>
      <x:c r="U360" s="119"/>
      <x:c r="V360" s="119"/>
      <x:c r="W360" s="119"/>
      <x:c r="X360" s="119"/>
      <x:c r="Y360" s="133" t="str">
        <x:f>IF(K360&lt;&gt;"Yes","",IFERROR(AVERAGE(M360:X360),""))</x:f>
      </x:c>
      <x:c r="Z360" s="119"/>
    </x:row>
    <x:row r="361">
      <x:c r="A361" s="119"/>
      <x:c r="B361" s="119"/>
      <x:c r="C361" s="119"/>
      <x:c r="D361" s="119"/>
      <x:c r="E361" s="119"/>
      <x:c r="F361" s="119"/>
      <x:c r="G361" s="119"/>
      <x:c r="H361" s="130" t="str">
        <x:f>IF(A361="","",IF(AND(COUNTA(M361:X361)&gt;=SETUP!$B$10,COUNTIF(M361:X361,MAX(M361:X361))=COUNTA(M361:X361)),"Yes","No"))</x:f>
      </x:c>
      <x:c r="I361" s="130" t="str">
        <x:f>IF(A361="","",IF('SURVEY DESIGN'!C361&lt;&gt;"",--(M361=""),0)+IF('SURVEY DESIGN'!C362&lt;&gt;"",--(N361=""),0)+IF('SURVEY DESIGN'!C363&lt;&gt;"",--(O361=""),0)+IF('SURVEY DESIGN'!C364&lt;&gt;"",--(P361=""),0)+IF('SURVEY DESIGN'!C365&lt;&gt;"",--(Q361=""),0)+IF('SURVEY DESIGN'!C366&lt;&gt;"",--(R361=""),0)+IF('SURVEY DESIGN'!C367&lt;&gt;"",--(S361=""),0)+IF('SURVEY DESIGN'!C368&lt;&gt;"",--(T361=""),0)+IF('SURVEY DESIGN'!C369&lt;&gt;"",--(U361=""),0)+IF('SURVEY DESIGN'!C370&lt;&gt;"",--(V361=""),0)+IF('SURVEY DESIGN'!C371&lt;&gt;"",--(W361=""),0)+IF('SURVEY DESIGN'!C372&lt;&gt;"",--(X361=""),0))</x:f>
      </x:c>
      <x:c r="J361" s="130" t="str">
        <x:f>IF(A361="","",IF(C361&lt;&gt;"Yes","NO CONSENT",IF(F361&lt;SETUP!$B$9,"SPEEDING",IF(G361&lt;&gt;"Yes","ATTENTION CHECK",IF(H361="Yes","STRAIGHTLINE REVIEW",IF(I361&gt;0,"MISSING ITEMS","OK"))))))</x:f>
      </x:c>
      <x:c r="K361" s="130" t="str">
        <x:f>IF(A361="","",IF(J361="OK","Yes","No"))</x:f>
      </x:c>
      <x:c r="L361" s="130" t="str">
        <x:f>IF(A361="","",IF(J361="OK","",IF(J361="NO CONSENT","Consent not affirmed",IF(J361="SPEEDING","Completion time below threshold",IF(J361="ATTENTION CHECK","Attention check failed",IF(J361="STRAIGHTLINE REVIEW","Straightlining review threshold met","Missing scored item(s)"))))))</x:f>
      </x:c>
      <x:c r="M361" s="119"/>
      <x:c r="N361" s="119"/>
      <x:c r="O361" s="119"/>
      <x:c r="P361" s="119"/>
      <x:c r="Q361" s="119"/>
      <x:c r="R361" s="119"/>
      <x:c r="S361" s="119"/>
      <x:c r="T361" s="119"/>
      <x:c r="U361" s="119"/>
      <x:c r="V361" s="119"/>
      <x:c r="W361" s="119"/>
      <x:c r="X361" s="119"/>
      <x:c r="Y361" s="133" t="str">
        <x:f>IF(K361&lt;&gt;"Yes","",IFERROR(AVERAGE(M361:X361),""))</x:f>
      </x:c>
      <x:c r="Z361" s="119"/>
    </x:row>
    <x:row r="362">
      <x:c r="A362" s="119"/>
      <x:c r="B362" s="119"/>
      <x:c r="C362" s="119"/>
      <x:c r="D362" s="119"/>
      <x:c r="E362" s="119"/>
      <x:c r="F362" s="119"/>
      <x:c r="G362" s="119"/>
      <x:c r="H362" s="130" t="str">
        <x:f>IF(A362="","",IF(AND(COUNTA(M362:X362)&gt;=SETUP!$B$10,COUNTIF(M362:X362,MAX(M362:X362))=COUNTA(M362:X362)),"Yes","No"))</x:f>
      </x:c>
      <x:c r="I362" s="130" t="str">
        <x:f>IF(A362="","",IF('SURVEY DESIGN'!C362&lt;&gt;"",--(M362=""),0)+IF('SURVEY DESIGN'!C363&lt;&gt;"",--(N362=""),0)+IF('SURVEY DESIGN'!C364&lt;&gt;"",--(O362=""),0)+IF('SURVEY DESIGN'!C365&lt;&gt;"",--(P362=""),0)+IF('SURVEY DESIGN'!C366&lt;&gt;"",--(Q362=""),0)+IF('SURVEY DESIGN'!C367&lt;&gt;"",--(R362=""),0)+IF('SURVEY DESIGN'!C368&lt;&gt;"",--(S362=""),0)+IF('SURVEY DESIGN'!C369&lt;&gt;"",--(T362=""),0)+IF('SURVEY DESIGN'!C370&lt;&gt;"",--(U362=""),0)+IF('SURVEY DESIGN'!C371&lt;&gt;"",--(V362=""),0)+IF('SURVEY DESIGN'!C372&lt;&gt;"",--(W362=""),0)+IF('SURVEY DESIGN'!C373&lt;&gt;"",--(X362=""),0))</x:f>
      </x:c>
      <x:c r="J362" s="130" t="str">
        <x:f>IF(A362="","",IF(C362&lt;&gt;"Yes","NO CONSENT",IF(F362&lt;SETUP!$B$9,"SPEEDING",IF(G362&lt;&gt;"Yes","ATTENTION CHECK",IF(H362="Yes","STRAIGHTLINE REVIEW",IF(I362&gt;0,"MISSING ITEMS","OK"))))))</x:f>
      </x:c>
      <x:c r="K362" s="130" t="str">
        <x:f>IF(A362="","",IF(J362="OK","Yes","No"))</x:f>
      </x:c>
      <x:c r="L362" s="130" t="str">
        <x:f>IF(A362="","",IF(J362="OK","",IF(J362="NO CONSENT","Consent not affirmed",IF(J362="SPEEDING","Completion time below threshold",IF(J362="ATTENTION CHECK","Attention check failed",IF(J362="STRAIGHTLINE REVIEW","Straightlining review threshold met","Missing scored item(s)"))))))</x:f>
      </x:c>
      <x:c r="M362" s="119"/>
      <x:c r="N362" s="119"/>
      <x:c r="O362" s="119"/>
      <x:c r="P362" s="119"/>
      <x:c r="Q362" s="119"/>
      <x:c r="R362" s="119"/>
      <x:c r="S362" s="119"/>
      <x:c r="T362" s="119"/>
      <x:c r="U362" s="119"/>
      <x:c r="V362" s="119"/>
      <x:c r="W362" s="119"/>
      <x:c r="X362" s="119"/>
      <x:c r="Y362" s="133" t="str">
        <x:f>IF(K362&lt;&gt;"Yes","",IFERROR(AVERAGE(M362:X362),""))</x:f>
      </x:c>
      <x:c r="Z362" s="119"/>
    </x:row>
    <x:row r="363">
      <x:c r="A363" s="119"/>
      <x:c r="B363" s="119"/>
      <x:c r="C363" s="119"/>
      <x:c r="D363" s="119"/>
      <x:c r="E363" s="119"/>
      <x:c r="F363" s="119"/>
      <x:c r="G363" s="119"/>
      <x:c r="H363" s="130" t="str">
        <x:f>IF(A363="","",IF(AND(COUNTA(M363:X363)&gt;=SETUP!$B$10,COUNTIF(M363:X363,MAX(M363:X363))=COUNTA(M363:X363)),"Yes","No"))</x:f>
      </x:c>
      <x:c r="I363" s="130" t="str">
        <x:f>IF(A363="","",IF('SURVEY DESIGN'!C363&lt;&gt;"",--(M363=""),0)+IF('SURVEY DESIGN'!C364&lt;&gt;"",--(N363=""),0)+IF('SURVEY DESIGN'!C365&lt;&gt;"",--(O363=""),0)+IF('SURVEY DESIGN'!C366&lt;&gt;"",--(P363=""),0)+IF('SURVEY DESIGN'!C367&lt;&gt;"",--(Q363=""),0)+IF('SURVEY DESIGN'!C368&lt;&gt;"",--(R363=""),0)+IF('SURVEY DESIGN'!C369&lt;&gt;"",--(S363=""),0)+IF('SURVEY DESIGN'!C370&lt;&gt;"",--(T363=""),0)+IF('SURVEY DESIGN'!C371&lt;&gt;"",--(U363=""),0)+IF('SURVEY DESIGN'!C372&lt;&gt;"",--(V363=""),0)+IF('SURVEY DESIGN'!C373&lt;&gt;"",--(W363=""),0)+IF('SURVEY DESIGN'!C374&lt;&gt;"",--(X363=""),0))</x:f>
      </x:c>
      <x:c r="J363" s="130" t="str">
        <x:f>IF(A363="","",IF(C363&lt;&gt;"Yes","NO CONSENT",IF(F363&lt;SETUP!$B$9,"SPEEDING",IF(G363&lt;&gt;"Yes","ATTENTION CHECK",IF(H363="Yes","STRAIGHTLINE REVIEW",IF(I363&gt;0,"MISSING ITEMS","OK"))))))</x:f>
      </x:c>
      <x:c r="K363" s="130" t="str">
        <x:f>IF(A363="","",IF(J363="OK","Yes","No"))</x:f>
      </x:c>
      <x:c r="L363" s="130" t="str">
        <x:f>IF(A363="","",IF(J363="OK","",IF(J363="NO CONSENT","Consent not affirmed",IF(J363="SPEEDING","Completion time below threshold",IF(J363="ATTENTION CHECK","Attention check failed",IF(J363="STRAIGHTLINE REVIEW","Straightlining review threshold met","Missing scored item(s)"))))))</x:f>
      </x:c>
      <x:c r="M363" s="119"/>
      <x:c r="N363" s="119"/>
      <x:c r="O363" s="119"/>
      <x:c r="P363" s="119"/>
      <x:c r="Q363" s="119"/>
      <x:c r="R363" s="119"/>
      <x:c r="S363" s="119"/>
      <x:c r="T363" s="119"/>
      <x:c r="U363" s="119"/>
      <x:c r="V363" s="119"/>
      <x:c r="W363" s="119"/>
      <x:c r="X363" s="119"/>
      <x:c r="Y363" s="133" t="str">
        <x:f>IF(K363&lt;&gt;"Yes","",IFERROR(AVERAGE(M363:X363),""))</x:f>
      </x:c>
      <x:c r="Z363" s="119"/>
    </x:row>
    <x:row r="364">
      <x:c r="A364" s="119"/>
      <x:c r="B364" s="119"/>
      <x:c r="C364" s="119"/>
      <x:c r="D364" s="119"/>
      <x:c r="E364" s="119"/>
      <x:c r="F364" s="119"/>
      <x:c r="G364" s="119"/>
      <x:c r="H364" s="130" t="str">
        <x:f>IF(A364="","",IF(AND(COUNTA(M364:X364)&gt;=SETUP!$B$10,COUNTIF(M364:X364,MAX(M364:X364))=COUNTA(M364:X364)),"Yes","No"))</x:f>
      </x:c>
      <x:c r="I364" s="130" t="str">
        <x:f>IF(A364="","",IF('SURVEY DESIGN'!C364&lt;&gt;"",--(M364=""),0)+IF('SURVEY DESIGN'!C365&lt;&gt;"",--(N364=""),0)+IF('SURVEY DESIGN'!C366&lt;&gt;"",--(O364=""),0)+IF('SURVEY DESIGN'!C367&lt;&gt;"",--(P364=""),0)+IF('SURVEY DESIGN'!C368&lt;&gt;"",--(Q364=""),0)+IF('SURVEY DESIGN'!C369&lt;&gt;"",--(R364=""),0)+IF('SURVEY DESIGN'!C370&lt;&gt;"",--(S364=""),0)+IF('SURVEY DESIGN'!C371&lt;&gt;"",--(T364=""),0)+IF('SURVEY DESIGN'!C372&lt;&gt;"",--(U364=""),0)+IF('SURVEY DESIGN'!C373&lt;&gt;"",--(V364=""),0)+IF('SURVEY DESIGN'!C374&lt;&gt;"",--(W364=""),0)+IF('SURVEY DESIGN'!C375&lt;&gt;"",--(X364=""),0))</x:f>
      </x:c>
      <x:c r="J364" s="130" t="str">
        <x:f>IF(A364="","",IF(C364&lt;&gt;"Yes","NO CONSENT",IF(F364&lt;SETUP!$B$9,"SPEEDING",IF(G364&lt;&gt;"Yes","ATTENTION CHECK",IF(H364="Yes","STRAIGHTLINE REVIEW",IF(I364&gt;0,"MISSING ITEMS","OK"))))))</x:f>
      </x:c>
      <x:c r="K364" s="130" t="str">
        <x:f>IF(A364="","",IF(J364="OK","Yes","No"))</x:f>
      </x:c>
      <x:c r="L364" s="130" t="str">
        <x:f>IF(A364="","",IF(J364="OK","",IF(J364="NO CONSENT","Consent not affirmed",IF(J364="SPEEDING","Completion time below threshold",IF(J364="ATTENTION CHECK","Attention check failed",IF(J364="STRAIGHTLINE REVIEW","Straightlining review threshold met","Missing scored item(s)"))))))</x:f>
      </x:c>
      <x:c r="M364" s="119"/>
      <x:c r="N364" s="119"/>
      <x:c r="O364" s="119"/>
      <x:c r="P364" s="119"/>
      <x:c r="Q364" s="119"/>
      <x:c r="R364" s="119"/>
      <x:c r="S364" s="119"/>
      <x:c r="T364" s="119"/>
      <x:c r="U364" s="119"/>
      <x:c r="V364" s="119"/>
      <x:c r="W364" s="119"/>
      <x:c r="X364" s="119"/>
      <x:c r="Y364" s="133" t="str">
        <x:f>IF(K364&lt;&gt;"Yes","",IFERROR(AVERAGE(M364:X364),""))</x:f>
      </x:c>
      <x:c r="Z364" s="119"/>
    </x:row>
    <x:row r="365">
      <x:c r="A365" s="119"/>
      <x:c r="B365" s="119"/>
      <x:c r="C365" s="119"/>
      <x:c r="D365" s="119"/>
      <x:c r="E365" s="119"/>
      <x:c r="F365" s="119"/>
      <x:c r="G365" s="119"/>
      <x:c r="H365" s="130" t="str">
        <x:f>IF(A365="","",IF(AND(COUNTA(M365:X365)&gt;=SETUP!$B$10,COUNTIF(M365:X365,MAX(M365:X365))=COUNTA(M365:X365)),"Yes","No"))</x:f>
      </x:c>
      <x:c r="I365" s="130" t="str">
        <x:f>IF(A365="","",IF('SURVEY DESIGN'!C365&lt;&gt;"",--(M365=""),0)+IF('SURVEY DESIGN'!C366&lt;&gt;"",--(N365=""),0)+IF('SURVEY DESIGN'!C367&lt;&gt;"",--(O365=""),0)+IF('SURVEY DESIGN'!C368&lt;&gt;"",--(P365=""),0)+IF('SURVEY DESIGN'!C369&lt;&gt;"",--(Q365=""),0)+IF('SURVEY DESIGN'!C370&lt;&gt;"",--(R365=""),0)+IF('SURVEY DESIGN'!C371&lt;&gt;"",--(S365=""),0)+IF('SURVEY DESIGN'!C372&lt;&gt;"",--(T365=""),0)+IF('SURVEY DESIGN'!C373&lt;&gt;"",--(U365=""),0)+IF('SURVEY DESIGN'!C374&lt;&gt;"",--(V365=""),0)+IF('SURVEY DESIGN'!C375&lt;&gt;"",--(W365=""),0)+IF('SURVEY DESIGN'!C376&lt;&gt;"",--(X365=""),0))</x:f>
      </x:c>
      <x:c r="J365" s="130" t="str">
        <x:f>IF(A365="","",IF(C365&lt;&gt;"Yes","NO CONSENT",IF(F365&lt;SETUP!$B$9,"SPEEDING",IF(G365&lt;&gt;"Yes","ATTENTION CHECK",IF(H365="Yes","STRAIGHTLINE REVIEW",IF(I365&gt;0,"MISSING ITEMS","OK"))))))</x:f>
      </x:c>
      <x:c r="K365" s="130" t="str">
        <x:f>IF(A365="","",IF(J365="OK","Yes","No"))</x:f>
      </x:c>
      <x:c r="L365" s="130" t="str">
        <x:f>IF(A365="","",IF(J365="OK","",IF(J365="NO CONSENT","Consent not affirmed",IF(J365="SPEEDING","Completion time below threshold",IF(J365="ATTENTION CHECK","Attention check failed",IF(J365="STRAIGHTLINE REVIEW","Straightlining review threshold met","Missing scored item(s)"))))))</x:f>
      </x:c>
      <x:c r="M365" s="119"/>
      <x:c r="N365" s="119"/>
      <x:c r="O365" s="119"/>
      <x:c r="P365" s="119"/>
      <x:c r="Q365" s="119"/>
      <x:c r="R365" s="119"/>
      <x:c r="S365" s="119"/>
      <x:c r="T365" s="119"/>
      <x:c r="U365" s="119"/>
      <x:c r="V365" s="119"/>
      <x:c r="W365" s="119"/>
      <x:c r="X365" s="119"/>
      <x:c r="Y365" s="133" t="str">
        <x:f>IF(K365&lt;&gt;"Yes","",IFERROR(AVERAGE(M365:X365),""))</x:f>
      </x:c>
      <x:c r="Z365" s="119"/>
    </x:row>
    <x:row r="366">
      <x:c r="A366" s="119"/>
      <x:c r="B366" s="119"/>
      <x:c r="C366" s="119"/>
      <x:c r="D366" s="119"/>
      <x:c r="E366" s="119"/>
      <x:c r="F366" s="119"/>
      <x:c r="G366" s="119"/>
      <x:c r="H366" s="130" t="str">
        <x:f>IF(A366="","",IF(AND(COUNTA(M366:X366)&gt;=SETUP!$B$10,COUNTIF(M366:X366,MAX(M366:X366))=COUNTA(M366:X366)),"Yes","No"))</x:f>
      </x:c>
      <x:c r="I366" s="130" t="str">
        <x:f>IF(A366="","",IF('SURVEY DESIGN'!C366&lt;&gt;"",--(M366=""),0)+IF('SURVEY DESIGN'!C367&lt;&gt;"",--(N366=""),0)+IF('SURVEY DESIGN'!C368&lt;&gt;"",--(O366=""),0)+IF('SURVEY DESIGN'!C369&lt;&gt;"",--(P366=""),0)+IF('SURVEY DESIGN'!C370&lt;&gt;"",--(Q366=""),0)+IF('SURVEY DESIGN'!C371&lt;&gt;"",--(R366=""),0)+IF('SURVEY DESIGN'!C372&lt;&gt;"",--(S366=""),0)+IF('SURVEY DESIGN'!C373&lt;&gt;"",--(T366=""),0)+IF('SURVEY DESIGN'!C374&lt;&gt;"",--(U366=""),0)+IF('SURVEY DESIGN'!C375&lt;&gt;"",--(V366=""),0)+IF('SURVEY DESIGN'!C376&lt;&gt;"",--(W366=""),0)+IF('SURVEY DESIGN'!C377&lt;&gt;"",--(X366=""),0))</x:f>
      </x:c>
      <x:c r="J366" s="130" t="str">
        <x:f>IF(A366="","",IF(C366&lt;&gt;"Yes","NO CONSENT",IF(F366&lt;SETUP!$B$9,"SPEEDING",IF(G366&lt;&gt;"Yes","ATTENTION CHECK",IF(H366="Yes","STRAIGHTLINE REVIEW",IF(I366&gt;0,"MISSING ITEMS","OK"))))))</x:f>
      </x:c>
      <x:c r="K366" s="130" t="str">
        <x:f>IF(A366="","",IF(J366="OK","Yes","No"))</x:f>
      </x:c>
      <x:c r="L366" s="130" t="str">
        <x:f>IF(A366="","",IF(J366="OK","",IF(J366="NO CONSENT","Consent not affirmed",IF(J366="SPEEDING","Completion time below threshold",IF(J366="ATTENTION CHECK","Attention check failed",IF(J366="STRAIGHTLINE REVIEW","Straightlining review threshold met","Missing scored item(s)"))))))</x:f>
      </x:c>
      <x:c r="M366" s="119"/>
      <x:c r="N366" s="119"/>
      <x:c r="O366" s="119"/>
      <x:c r="P366" s="119"/>
      <x:c r="Q366" s="119"/>
      <x:c r="R366" s="119"/>
      <x:c r="S366" s="119"/>
      <x:c r="T366" s="119"/>
      <x:c r="U366" s="119"/>
      <x:c r="V366" s="119"/>
      <x:c r="W366" s="119"/>
      <x:c r="X366" s="119"/>
      <x:c r="Y366" s="133" t="str">
        <x:f>IF(K366&lt;&gt;"Yes","",IFERROR(AVERAGE(M366:X366),""))</x:f>
      </x:c>
      <x:c r="Z366" s="119"/>
    </x:row>
    <x:row r="367">
      <x:c r="A367" s="119"/>
      <x:c r="B367" s="119"/>
      <x:c r="C367" s="119"/>
      <x:c r="D367" s="119"/>
      <x:c r="E367" s="119"/>
      <x:c r="F367" s="119"/>
      <x:c r="G367" s="119"/>
      <x:c r="H367" s="130" t="str">
        <x:f>IF(A367="","",IF(AND(COUNTA(M367:X367)&gt;=SETUP!$B$10,COUNTIF(M367:X367,MAX(M367:X367))=COUNTA(M367:X367)),"Yes","No"))</x:f>
      </x:c>
      <x:c r="I367" s="130" t="str">
        <x:f>IF(A367="","",IF('SURVEY DESIGN'!C367&lt;&gt;"",--(M367=""),0)+IF('SURVEY DESIGN'!C368&lt;&gt;"",--(N367=""),0)+IF('SURVEY DESIGN'!C369&lt;&gt;"",--(O367=""),0)+IF('SURVEY DESIGN'!C370&lt;&gt;"",--(P367=""),0)+IF('SURVEY DESIGN'!C371&lt;&gt;"",--(Q367=""),0)+IF('SURVEY DESIGN'!C372&lt;&gt;"",--(R367=""),0)+IF('SURVEY DESIGN'!C373&lt;&gt;"",--(S367=""),0)+IF('SURVEY DESIGN'!C374&lt;&gt;"",--(T367=""),0)+IF('SURVEY DESIGN'!C375&lt;&gt;"",--(U367=""),0)+IF('SURVEY DESIGN'!C376&lt;&gt;"",--(V367=""),0)+IF('SURVEY DESIGN'!C377&lt;&gt;"",--(W367=""),0)+IF('SURVEY DESIGN'!C378&lt;&gt;"",--(X367=""),0))</x:f>
      </x:c>
      <x:c r="J367" s="130" t="str">
        <x:f>IF(A367="","",IF(C367&lt;&gt;"Yes","NO CONSENT",IF(F367&lt;SETUP!$B$9,"SPEEDING",IF(G367&lt;&gt;"Yes","ATTENTION CHECK",IF(H367="Yes","STRAIGHTLINE REVIEW",IF(I367&gt;0,"MISSING ITEMS","OK"))))))</x:f>
      </x:c>
      <x:c r="K367" s="130" t="str">
        <x:f>IF(A367="","",IF(J367="OK","Yes","No"))</x:f>
      </x:c>
      <x:c r="L367" s="130" t="str">
        <x:f>IF(A367="","",IF(J367="OK","",IF(J367="NO CONSENT","Consent not affirmed",IF(J367="SPEEDING","Completion time below threshold",IF(J367="ATTENTION CHECK","Attention check failed",IF(J367="STRAIGHTLINE REVIEW","Straightlining review threshold met","Missing scored item(s)"))))))</x:f>
      </x:c>
      <x:c r="M367" s="119"/>
      <x:c r="N367" s="119"/>
      <x:c r="O367" s="119"/>
      <x:c r="P367" s="119"/>
      <x:c r="Q367" s="119"/>
      <x:c r="R367" s="119"/>
      <x:c r="S367" s="119"/>
      <x:c r="T367" s="119"/>
      <x:c r="U367" s="119"/>
      <x:c r="V367" s="119"/>
      <x:c r="W367" s="119"/>
      <x:c r="X367" s="119"/>
      <x:c r="Y367" s="133" t="str">
        <x:f>IF(K367&lt;&gt;"Yes","",IFERROR(AVERAGE(M367:X367),""))</x:f>
      </x:c>
      <x:c r="Z367" s="119"/>
    </x:row>
    <x:row r="368">
      <x:c r="A368" s="119"/>
      <x:c r="B368" s="119"/>
      <x:c r="C368" s="119"/>
      <x:c r="D368" s="119"/>
      <x:c r="E368" s="119"/>
      <x:c r="F368" s="119"/>
      <x:c r="G368" s="119"/>
      <x:c r="H368" s="130" t="str">
        <x:f>IF(A368="","",IF(AND(COUNTA(M368:X368)&gt;=SETUP!$B$10,COUNTIF(M368:X368,MAX(M368:X368))=COUNTA(M368:X368)),"Yes","No"))</x:f>
      </x:c>
      <x:c r="I368" s="130" t="str">
        <x:f>IF(A368="","",IF('SURVEY DESIGN'!C368&lt;&gt;"",--(M368=""),0)+IF('SURVEY DESIGN'!C369&lt;&gt;"",--(N368=""),0)+IF('SURVEY DESIGN'!C370&lt;&gt;"",--(O368=""),0)+IF('SURVEY DESIGN'!C371&lt;&gt;"",--(P368=""),0)+IF('SURVEY DESIGN'!C372&lt;&gt;"",--(Q368=""),0)+IF('SURVEY DESIGN'!C373&lt;&gt;"",--(R368=""),0)+IF('SURVEY DESIGN'!C374&lt;&gt;"",--(S368=""),0)+IF('SURVEY DESIGN'!C375&lt;&gt;"",--(T368=""),0)+IF('SURVEY DESIGN'!C376&lt;&gt;"",--(U368=""),0)+IF('SURVEY DESIGN'!C377&lt;&gt;"",--(V368=""),0)+IF('SURVEY DESIGN'!C378&lt;&gt;"",--(W368=""),0)+IF('SURVEY DESIGN'!C379&lt;&gt;"",--(X368=""),0))</x:f>
      </x:c>
      <x:c r="J368" s="130" t="str">
        <x:f>IF(A368="","",IF(C368&lt;&gt;"Yes","NO CONSENT",IF(F368&lt;SETUP!$B$9,"SPEEDING",IF(G368&lt;&gt;"Yes","ATTENTION CHECK",IF(H368="Yes","STRAIGHTLINE REVIEW",IF(I368&gt;0,"MISSING ITEMS","OK"))))))</x:f>
      </x:c>
      <x:c r="K368" s="130" t="str">
        <x:f>IF(A368="","",IF(J368="OK","Yes","No"))</x:f>
      </x:c>
      <x:c r="L368" s="130" t="str">
        <x:f>IF(A368="","",IF(J368="OK","",IF(J368="NO CONSENT","Consent not affirmed",IF(J368="SPEEDING","Completion time below threshold",IF(J368="ATTENTION CHECK","Attention check failed",IF(J368="STRAIGHTLINE REVIEW","Straightlining review threshold met","Missing scored item(s)"))))))</x:f>
      </x:c>
      <x:c r="M368" s="119"/>
      <x:c r="N368" s="119"/>
      <x:c r="O368" s="119"/>
      <x:c r="P368" s="119"/>
      <x:c r="Q368" s="119"/>
      <x:c r="R368" s="119"/>
      <x:c r="S368" s="119"/>
      <x:c r="T368" s="119"/>
      <x:c r="U368" s="119"/>
      <x:c r="V368" s="119"/>
      <x:c r="W368" s="119"/>
      <x:c r="X368" s="119"/>
      <x:c r="Y368" s="133" t="str">
        <x:f>IF(K368&lt;&gt;"Yes","",IFERROR(AVERAGE(M368:X368),""))</x:f>
      </x:c>
      <x:c r="Z368" s="119"/>
    </x:row>
    <x:row r="369">
      <x:c r="A369" s="119"/>
      <x:c r="B369" s="119"/>
      <x:c r="C369" s="119"/>
      <x:c r="D369" s="119"/>
      <x:c r="E369" s="119"/>
      <x:c r="F369" s="119"/>
      <x:c r="G369" s="119"/>
      <x:c r="H369" s="130" t="str">
        <x:f>IF(A369="","",IF(AND(COUNTA(M369:X369)&gt;=SETUP!$B$10,COUNTIF(M369:X369,MAX(M369:X369))=COUNTA(M369:X369)),"Yes","No"))</x:f>
      </x:c>
      <x:c r="I369" s="130" t="str">
        <x:f>IF(A369="","",IF('SURVEY DESIGN'!C369&lt;&gt;"",--(M369=""),0)+IF('SURVEY DESIGN'!C370&lt;&gt;"",--(N369=""),0)+IF('SURVEY DESIGN'!C371&lt;&gt;"",--(O369=""),0)+IF('SURVEY DESIGN'!C372&lt;&gt;"",--(P369=""),0)+IF('SURVEY DESIGN'!C373&lt;&gt;"",--(Q369=""),0)+IF('SURVEY DESIGN'!C374&lt;&gt;"",--(R369=""),0)+IF('SURVEY DESIGN'!C375&lt;&gt;"",--(S369=""),0)+IF('SURVEY DESIGN'!C376&lt;&gt;"",--(T369=""),0)+IF('SURVEY DESIGN'!C377&lt;&gt;"",--(U369=""),0)+IF('SURVEY DESIGN'!C378&lt;&gt;"",--(V369=""),0)+IF('SURVEY DESIGN'!C379&lt;&gt;"",--(W369=""),0)+IF('SURVEY DESIGN'!C380&lt;&gt;"",--(X369=""),0))</x:f>
      </x:c>
      <x:c r="J369" s="130" t="str">
        <x:f>IF(A369="","",IF(C369&lt;&gt;"Yes","NO CONSENT",IF(F369&lt;SETUP!$B$9,"SPEEDING",IF(G369&lt;&gt;"Yes","ATTENTION CHECK",IF(H369="Yes","STRAIGHTLINE REVIEW",IF(I369&gt;0,"MISSING ITEMS","OK"))))))</x:f>
      </x:c>
      <x:c r="K369" s="130" t="str">
        <x:f>IF(A369="","",IF(J369="OK","Yes","No"))</x:f>
      </x:c>
      <x:c r="L369" s="130" t="str">
        <x:f>IF(A369="","",IF(J369="OK","",IF(J369="NO CONSENT","Consent not affirmed",IF(J369="SPEEDING","Completion time below threshold",IF(J369="ATTENTION CHECK","Attention check failed",IF(J369="STRAIGHTLINE REVIEW","Straightlining review threshold met","Missing scored item(s)"))))))</x:f>
      </x:c>
      <x:c r="M369" s="119"/>
      <x:c r="N369" s="119"/>
      <x:c r="O369" s="119"/>
      <x:c r="P369" s="119"/>
      <x:c r="Q369" s="119"/>
      <x:c r="R369" s="119"/>
      <x:c r="S369" s="119"/>
      <x:c r="T369" s="119"/>
      <x:c r="U369" s="119"/>
      <x:c r="V369" s="119"/>
      <x:c r="W369" s="119"/>
      <x:c r="X369" s="119"/>
      <x:c r="Y369" s="133" t="str">
        <x:f>IF(K369&lt;&gt;"Yes","",IFERROR(AVERAGE(M369:X369),""))</x:f>
      </x:c>
      <x:c r="Z369" s="119"/>
    </x:row>
    <x:row r="370">
      <x:c r="A370" s="119"/>
      <x:c r="B370" s="119"/>
      <x:c r="C370" s="119"/>
      <x:c r="D370" s="119"/>
      <x:c r="E370" s="119"/>
      <x:c r="F370" s="119"/>
      <x:c r="G370" s="119"/>
      <x:c r="H370" s="130" t="str">
        <x:f>IF(A370="","",IF(AND(COUNTA(M370:X370)&gt;=SETUP!$B$10,COUNTIF(M370:X370,MAX(M370:X370))=COUNTA(M370:X370)),"Yes","No"))</x:f>
      </x:c>
      <x:c r="I370" s="130" t="str">
        <x:f>IF(A370="","",IF('SURVEY DESIGN'!C370&lt;&gt;"",--(M370=""),0)+IF('SURVEY DESIGN'!C371&lt;&gt;"",--(N370=""),0)+IF('SURVEY DESIGN'!C372&lt;&gt;"",--(O370=""),0)+IF('SURVEY DESIGN'!C373&lt;&gt;"",--(P370=""),0)+IF('SURVEY DESIGN'!C374&lt;&gt;"",--(Q370=""),0)+IF('SURVEY DESIGN'!C375&lt;&gt;"",--(R370=""),0)+IF('SURVEY DESIGN'!C376&lt;&gt;"",--(S370=""),0)+IF('SURVEY DESIGN'!C377&lt;&gt;"",--(T370=""),0)+IF('SURVEY DESIGN'!C378&lt;&gt;"",--(U370=""),0)+IF('SURVEY DESIGN'!C379&lt;&gt;"",--(V370=""),0)+IF('SURVEY DESIGN'!C380&lt;&gt;"",--(W370=""),0)+IF('SURVEY DESIGN'!C381&lt;&gt;"",--(X370=""),0))</x:f>
      </x:c>
      <x:c r="J370" s="130" t="str">
        <x:f>IF(A370="","",IF(C370&lt;&gt;"Yes","NO CONSENT",IF(F370&lt;SETUP!$B$9,"SPEEDING",IF(G370&lt;&gt;"Yes","ATTENTION CHECK",IF(H370="Yes","STRAIGHTLINE REVIEW",IF(I370&gt;0,"MISSING ITEMS","OK"))))))</x:f>
      </x:c>
      <x:c r="K370" s="130" t="str">
        <x:f>IF(A370="","",IF(J370="OK","Yes","No"))</x:f>
      </x:c>
      <x:c r="L370" s="130" t="str">
        <x:f>IF(A370="","",IF(J370="OK","",IF(J370="NO CONSENT","Consent not affirmed",IF(J370="SPEEDING","Completion time below threshold",IF(J370="ATTENTION CHECK","Attention check failed",IF(J370="STRAIGHTLINE REVIEW","Straightlining review threshold met","Missing scored item(s)"))))))</x:f>
      </x:c>
      <x:c r="M370" s="119"/>
      <x:c r="N370" s="119"/>
      <x:c r="O370" s="119"/>
      <x:c r="P370" s="119"/>
      <x:c r="Q370" s="119"/>
      <x:c r="R370" s="119"/>
      <x:c r="S370" s="119"/>
      <x:c r="T370" s="119"/>
      <x:c r="U370" s="119"/>
      <x:c r="V370" s="119"/>
      <x:c r="W370" s="119"/>
      <x:c r="X370" s="119"/>
      <x:c r="Y370" s="133" t="str">
        <x:f>IF(K370&lt;&gt;"Yes","",IFERROR(AVERAGE(M370:X370),""))</x:f>
      </x:c>
      <x:c r="Z370" s="119"/>
    </x:row>
    <x:row r="371">
      <x:c r="A371" s="119"/>
      <x:c r="B371" s="119"/>
      <x:c r="C371" s="119"/>
      <x:c r="D371" s="119"/>
      <x:c r="E371" s="119"/>
      <x:c r="F371" s="119"/>
      <x:c r="G371" s="119"/>
      <x:c r="H371" s="130" t="str">
        <x:f>IF(A371="","",IF(AND(COUNTA(M371:X371)&gt;=SETUP!$B$10,COUNTIF(M371:X371,MAX(M371:X371))=COUNTA(M371:X371)),"Yes","No"))</x:f>
      </x:c>
      <x:c r="I371" s="130" t="str">
        <x:f>IF(A371="","",IF('SURVEY DESIGN'!C371&lt;&gt;"",--(M371=""),0)+IF('SURVEY DESIGN'!C372&lt;&gt;"",--(N371=""),0)+IF('SURVEY DESIGN'!C373&lt;&gt;"",--(O371=""),0)+IF('SURVEY DESIGN'!C374&lt;&gt;"",--(P371=""),0)+IF('SURVEY DESIGN'!C375&lt;&gt;"",--(Q371=""),0)+IF('SURVEY DESIGN'!C376&lt;&gt;"",--(R371=""),0)+IF('SURVEY DESIGN'!C377&lt;&gt;"",--(S371=""),0)+IF('SURVEY DESIGN'!C378&lt;&gt;"",--(T371=""),0)+IF('SURVEY DESIGN'!C379&lt;&gt;"",--(U371=""),0)+IF('SURVEY DESIGN'!C380&lt;&gt;"",--(V371=""),0)+IF('SURVEY DESIGN'!C381&lt;&gt;"",--(W371=""),0)+IF('SURVEY DESIGN'!C382&lt;&gt;"",--(X371=""),0))</x:f>
      </x:c>
      <x:c r="J371" s="130" t="str">
        <x:f>IF(A371="","",IF(C371&lt;&gt;"Yes","NO CONSENT",IF(F371&lt;SETUP!$B$9,"SPEEDING",IF(G371&lt;&gt;"Yes","ATTENTION CHECK",IF(H371="Yes","STRAIGHTLINE REVIEW",IF(I371&gt;0,"MISSING ITEMS","OK"))))))</x:f>
      </x:c>
      <x:c r="K371" s="130" t="str">
        <x:f>IF(A371="","",IF(J371="OK","Yes","No"))</x:f>
      </x:c>
      <x:c r="L371" s="130" t="str">
        <x:f>IF(A371="","",IF(J371="OK","",IF(J371="NO CONSENT","Consent not affirmed",IF(J371="SPEEDING","Completion time below threshold",IF(J371="ATTENTION CHECK","Attention check failed",IF(J371="STRAIGHTLINE REVIEW","Straightlining review threshold met","Missing scored item(s)"))))))</x:f>
      </x:c>
      <x:c r="M371" s="119"/>
      <x:c r="N371" s="119"/>
      <x:c r="O371" s="119"/>
      <x:c r="P371" s="119"/>
      <x:c r="Q371" s="119"/>
      <x:c r="R371" s="119"/>
      <x:c r="S371" s="119"/>
      <x:c r="T371" s="119"/>
      <x:c r="U371" s="119"/>
      <x:c r="V371" s="119"/>
      <x:c r="W371" s="119"/>
      <x:c r="X371" s="119"/>
      <x:c r="Y371" s="133" t="str">
        <x:f>IF(K371&lt;&gt;"Yes","",IFERROR(AVERAGE(M371:X371),""))</x:f>
      </x:c>
      <x:c r="Z371" s="119"/>
    </x:row>
    <x:row r="372">
      <x:c r="A372" s="119"/>
      <x:c r="B372" s="119"/>
      <x:c r="C372" s="119"/>
      <x:c r="D372" s="119"/>
      <x:c r="E372" s="119"/>
      <x:c r="F372" s="119"/>
      <x:c r="G372" s="119"/>
      <x:c r="H372" s="130" t="str">
        <x:f>IF(A372="","",IF(AND(COUNTA(M372:X372)&gt;=SETUP!$B$10,COUNTIF(M372:X372,MAX(M372:X372))=COUNTA(M372:X372)),"Yes","No"))</x:f>
      </x:c>
      <x:c r="I372" s="130" t="str">
        <x:f>IF(A372="","",IF('SURVEY DESIGN'!C372&lt;&gt;"",--(M372=""),0)+IF('SURVEY DESIGN'!C373&lt;&gt;"",--(N372=""),0)+IF('SURVEY DESIGN'!C374&lt;&gt;"",--(O372=""),0)+IF('SURVEY DESIGN'!C375&lt;&gt;"",--(P372=""),0)+IF('SURVEY DESIGN'!C376&lt;&gt;"",--(Q372=""),0)+IF('SURVEY DESIGN'!C377&lt;&gt;"",--(R372=""),0)+IF('SURVEY DESIGN'!C378&lt;&gt;"",--(S372=""),0)+IF('SURVEY DESIGN'!C379&lt;&gt;"",--(T372=""),0)+IF('SURVEY DESIGN'!C380&lt;&gt;"",--(U372=""),0)+IF('SURVEY DESIGN'!C381&lt;&gt;"",--(V372=""),0)+IF('SURVEY DESIGN'!C382&lt;&gt;"",--(W372=""),0)+IF('SURVEY DESIGN'!C383&lt;&gt;"",--(X372=""),0))</x:f>
      </x:c>
      <x:c r="J372" s="130" t="str">
        <x:f>IF(A372="","",IF(C372&lt;&gt;"Yes","NO CONSENT",IF(F372&lt;SETUP!$B$9,"SPEEDING",IF(G372&lt;&gt;"Yes","ATTENTION CHECK",IF(H372="Yes","STRAIGHTLINE REVIEW",IF(I372&gt;0,"MISSING ITEMS","OK"))))))</x:f>
      </x:c>
      <x:c r="K372" s="130" t="str">
        <x:f>IF(A372="","",IF(J372="OK","Yes","No"))</x:f>
      </x:c>
      <x:c r="L372" s="130" t="str">
        <x:f>IF(A372="","",IF(J372="OK","",IF(J372="NO CONSENT","Consent not affirmed",IF(J372="SPEEDING","Completion time below threshold",IF(J372="ATTENTION CHECK","Attention check failed",IF(J372="STRAIGHTLINE REVIEW","Straightlining review threshold met","Missing scored item(s)"))))))</x:f>
      </x:c>
      <x:c r="M372" s="119"/>
      <x:c r="N372" s="119"/>
      <x:c r="O372" s="119"/>
      <x:c r="P372" s="119"/>
      <x:c r="Q372" s="119"/>
      <x:c r="R372" s="119"/>
      <x:c r="S372" s="119"/>
      <x:c r="T372" s="119"/>
      <x:c r="U372" s="119"/>
      <x:c r="V372" s="119"/>
      <x:c r="W372" s="119"/>
      <x:c r="X372" s="119"/>
      <x:c r="Y372" s="133" t="str">
        <x:f>IF(K372&lt;&gt;"Yes","",IFERROR(AVERAGE(M372:X372),""))</x:f>
      </x:c>
      <x:c r="Z372" s="119"/>
    </x:row>
    <x:row r="373">
      <x:c r="A373" s="119"/>
      <x:c r="B373" s="119"/>
      <x:c r="C373" s="119"/>
      <x:c r="D373" s="119"/>
      <x:c r="E373" s="119"/>
      <x:c r="F373" s="119"/>
      <x:c r="G373" s="119"/>
      <x:c r="H373" s="130" t="str">
        <x:f>IF(A373="","",IF(AND(COUNTA(M373:X373)&gt;=SETUP!$B$10,COUNTIF(M373:X373,MAX(M373:X373))=COUNTA(M373:X373)),"Yes","No"))</x:f>
      </x:c>
      <x:c r="I373" s="130" t="str">
        <x:f>IF(A373="","",IF('SURVEY DESIGN'!C373&lt;&gt;"",--(M373=""),0)+IF('SURVEY DESIGN'!C374&lt;&gt;"",--(N373=""),0)+IF('SURVEY DESIGN'!C375&lt;&gt;"",--(O373=""),0)+IF('SURVEY DESIGN'!C376&lt;&gt;"",--(P373=""),0)+IF('SURVEY DESIGN'!C377&lt;&gt;"",--(Q373=""),0)+IF('SURVEY DESIGN'!C378&lt;&gt;"",--(R373=""),0)+IF('SURVEY DESIGN'!C379&lt;&gt;"",--(S373=""),0)+IF('SURVEY DESIGN'!C380&lt;&gt;"",--(T373=""),0)+IF('SURVEY DESIGN'!C381&lt;&gt;"",--(U373=""),0)+IF('SURVEY DESIGN'!C382&lt;&gt;"",--(V373=""),0)+IF('SURVEY DESIGN'!C383&lt;&gt;"",--(W373=""),0)+IF('SURVEY DESIGN'!C384&lt;&gt;"",--(X373=""),0))</x:f>
      </x:c>
      <x:c r="J373" s="130" t="str">
        <x:f>IF(A373="","",IF(C373&lt;&gt;"Yes","NO CONSENT",IF(F373&lt;SETUP!$B$9,"SPEEDING",IF(G373&lt;&gt;"Yes","ATTENTION CHECK",IF(H373="Yes","STRAIGHTLINE REVIEW",IF(I373&gt;0,"MISSING ITEMS","OK"))))))</x:f>
      </x:c>
      <x:c r="K373" s="130" t="str">
        <x:f>IF(A373="","",IF(J373="OK","Yes","No"))</x:f>
      </x:c>
      <x:c r="L373" s="130" t="str">
        <x:f>IF(A373="","",IF(J373="OK","",IF(J373="NO CONSENT","Consent not affirmed",IF(J373="SPEEDING","Completion time below threshold",IF(J373="ATTENTION CHECK","Attention check failed",IF(J373="STRAIGHTLINE REVIEW","Straightlining review threshold met","Missing scored item(s)"))))))</x:f>
      </x:c>
      <x:c r="M373" s="119"/>
      <x:c r="N373" s="119"/>
      <x:c r="O373" s="119"/>
      <x:c r="P373" s="119"/>
      <x:c r="Q373" s="119"/>
      <x:c r="R373" s="119"/>
      <x:c r="S373" s="119"/>
      <x:c r="T373" s="119"/>
      <x:c r="U373" s="119"/>
      <x:c r="V373" s="119"/>
      <x:c r="W373" s="119"/>
      <x:c r="X373" s="119"/>
      <x:c r="Y373" s="133" t="str">
        <x:f>IF(K373&lt;&gt;"Yes","",IFERROR(AVERAGE(M373:X373),""))</x:f>
      </x:c>
      <x:c r="Z373" s="119"/>
    </x:row>
    <x:row r="374">
      <x:c r="A374" s="119"/>
      <x:c r="B374" s="119"/>
      <x:c r="C374" s="119"/>
      <x:c r="D374" s="119"/>
      <x:c r="E374" s="119"/>
      <x:c r="F374" s="119"/>
      <x:c r="G374" s="119"/>
      <x:c r="H374" s="130" t="str">
        <x:f>IF(A374="","",IF(AND(COUNTA(M374:X374)&gt;=SETUP!$B$10,COUNTIF(M374:X374,MAX(M374:X374))=COUNTA(M374:X374)),"Yes","No"))</x:f>
      </x:c>
      <x:c r="I374" s="130" t="str">
        <x:f>IF(A374="","",IF('SURVEY DESIGN'!C374&lt;&gt;"",--(M374=""),0)+IF('SURVEY DESIGN'!C375&lt;&gt;"",--(N374=""),0)+IF('SURVEY DESIGN'!C376&lt;&gt;"",--(O374=""),0)+IF('SURVEY DESIGN'!C377&lt;&gt;"",--(P374=""),0)+IF('SURVEY DESIGN'!C378&lt;&gt;"",--(Q374=""),0)+IF('SURVEY DESIGN'!C379&lt;&gt;"",--(R374=""),0)+IF('SURVEY DESIGN'!C380&lt;&gt;"",--(S374=""),0)+IF('SURVEY DESIGN'!C381&lt;&gt;"",--(T374=""),0)+IF('SURVEY DESIGN'!C382&lt;&gt;"",--(U374=""),0)+IF('SURVEY DESIGN'!C383&lt;&gt;"",--(V374=""),0)+IF('SURVEY DESIGN'!C384&lt;&gt;"",--(W374=""),0)+IF('SURVEY DESIGN'!C385&lt;&gt;"",--(X374=""),0))</x:f>
      </x:c>
      <x:c r="J374" s="130" t="str">
        <x:f>IF(A374="","",IF(C374&lt;&gt;"Yes","NO CONSENT",IF(F374&lt;SETUP!$B$9,"SPEEDING",IF(G374&lt;&gt;"Yes","ATTENTION CHECK",IF(H374="Yes","STRAIGHTLINE REVIEW",IF(I374&gt;0,"MISSING ITEMS","OK"))))))</x:f>
      </x:c>
      <x:c r="K374" s="130" t="str">
        <x:f>IF(A374="","",IF(J374="OK","Yes","No"))</x:f>
      </x:c>
      <x:c r="L374" s="130" t="str">
        <x:f>IF(A374="","",IF(J374="OK","",IF(J374="NO CONSENT","Consent not affirmed",IF(J374="SPEEDING","Completion time below threshold",IF(J374="ATTENTION CHECK","Attention check failed",IF(J374="STRAIGHTLINE REVIEW","Straightlining review threshold met","Missing scored item(s)"))))))</x:f>
      </x:c>
      <x:c r="M374" s="119"/>
      <x:c r="N374" s="119"/>
      <x:c r="O374" s="119"/>
      <x:c r="P374" s="119"/>
      <x:c r="Q374" s="119"/>
      <x:c r="R374" s="119"/>
      <x:c r="S374" s="119"/>
      <x:c r="T374" s="119"/>
      <x:c r="U374" s="119"/>
      <x:c r="V374" s="119"/>
      <x:c r="W374" s="119"/>
      <x:c r="X374" s="119"/>
      <x:c r="Y374" s="133" t="str">
        <x:f>IF(K374&lt;&gt;"Yes","",IFERROR(AVERAGE(M374:X374),""))</x:f>
      </x:c>
      <x:c r="Z374" s="119"/>
    </x:row>
    <x:row r="375">
      <x:c r="A375" s="119"/>
      <x:c r="B375" s="119"/>
      <x:c r="C375" s="119"/>
      <x:c r="D375" s="119"/>
      <x:c r="E375" s="119"/>
      <x:c r="F375" s="119"/>
      <x:c r="G375" s="119"/>
      <x:c r="H375" s="130" t="str">
        <x:f>IF(A375="","",IF(AND(COUNTA(M375:X375)&gt;=SETUP!$B$10,COUNTIF(M375:X375,MAX(M375:X375))=COUNTA(M375:X375)),"Yes","No"))</x:f>
      </x:c>
      <x:c r="I375" s="130" t="str">
        <x:f>IF(A375="","",IF('SURVEY DESIGN'!C375&lt;&gt;"",--(M375=""),0)+IF('SURVEY DESIGN'!C376&lt;&gt;"",--(N375=""),0)+IF('SURVEY DESIGN'!C377&lt;&gt;"",--(O375=""),0)+IF('SURVEY DESIGN'!C378&lt;&gt;"",--(P375=""),0)+IF('SURVEY DESIGN'!C379&lt;&gt;"",--(Q375=""),0)+IF('SURVEY DESIGN'!C380&lt;&gt;"",--(R375=""),0)+IF('SURVEY DESIGN'!C381&lt;&gt;"",--(S375=""),0)+IF('SURVEY DESIGN'!C382&lt;&gt;"",--(T375=""),0)+IF('SURVEY DESIGN'!C383&lt;&gt;"",--(U375=""),0)+IF('SURVEY DESIGN'!C384&lt;&gt;"",--(V375=""),0)+IF('SURVEY DESIGN'!C385&lt;&gt;"",--(W375=""),0)+IF('SURVEY DESIGN'!C386&lt;&gt;"",--(X375=""),0))</x:f>
      </x:c>
      <x:c r="J375" s="130" t="str">
        <x:f>IF(A375="","",IF(C375&lt;&gt;"Yes","NO CONSENT",IF(F375&lt;SETUP!$B$9,"SPEEDING",IF(G375&lt;&gt;"Yes","ATTENTION CHECK",IF(H375="Yes","STRAIGHTLINE REVIEW",IF(I375&gt;0,"MISSING ITEMS","OK"))))))</x:f>
      </x:c>
      <x:c r="K375" s="130" t="str">
        <x:f>IF(A375="","",IF(J375="OK","Yes","No"))</x:f>
      </x:c>
      <x:c r="L375" s="130" t="str">
        <x:f>IF(A375="","",IF(J375="OK","",IF(J375="NO CONSENT","Consent not affirmed",IF(J375="SPEEDING","Completion time below threshold",IF(J375="ATTENTION CHECK","Attention check failed",IF(J375="STRAIGHTLINE REVIEW","Straightlining review threshold met","Missing scored item(s)"))))))</x:f>
      </x:c>
      <x:c r="M375" s="119"/>
      <x:c r="N375" s="119"/>
      <x:c r="O375" s="119"/>
      <x:c r="P375" s="119"/>
      <x:c r="Q375" s="119"/>
      <x:c r="R375" s="119"/>
      <x:c r="S375" s="119"/>
      <x:c r="T375" s="119"/>
      <x:c r="U375" s="119"/>
      <x:c r="V375" s="119"/>
      <x:c r="W375" s="119"/>
      <x:c r="X375" s="119"/>
      <x:c r="Y375" s="133" t="str">
        <x:f>IF(K375&lt;&gt;"Yes","",IFERROR(AVERAGE(M375:X375),""))</x:f>
      </x:c>
      <x:c r="Z375" s="119"/>
    </x:row>
    <x:row r="376">
      <x:c r="A376" s="119"/>
      <x:c r="B376" s="119"/>
      <x:c r="C376" s="119"/>
      <x:c r="D376" s="119"/>
      <x:c r="E376" s="119"/>
      <x:c r="F376" s="119"/>
      <x:c r="G376" s="119"/>
      <x:c r="H376" s="130" t="str">
        <x:f>IF(A376="","",IF(AND(COUNTA(M376:X376)&gt;=SETUP!$B$10,COUNTIF(M376:X376,MAX(M376:X376))=COUNTA(M376:X376)),"Yes","No"))</x:f>
      </x:c>
      <x:c r="I376" s="130" t="str">
        <x:f>IF(A376="","",IF('SURVEY DESIGN'!C376&lt;&gt;"",--(M376=""),0)+IF('SURVEY DESIGN'!C377&lt;&gt;"",--(N376=""),0)+IF('SURVEY DESIGN'!C378&lt;&gt;"",--(O376=""),0)+IF('SURVEY DESIGN'!C379&lt;&gt;"",--(P376=""),0)+IF('SURVEY DESIGN'!C380&lt;&gt;"",--(Q376=""),0)+IF('SURVEY DESIGN'!C381&lt;&gt;"",--(R376=""),0)+IF('SURVEY DESIGN'!C382&lt;&gt;"",--(S376=""),0)+IF('SURVEY DESIGN'!C383&lt;&gt;"",--(T376=""),0)+IF('SURVEY DESIGN'!C384&lt;&gt;"",--(U376=""),0)+IF('SURVEY DESIGN'!C385&lt;&gt;"",--(V376=""),0)+IF('SURVEY DESIGN'!C386&lt;&gt;"",--(W376=""),0)+IF('SURVEY DESIGN'!C387&lt;&gt;"",--(X376=""),0))</x:f>
      </x:c>
      <x:c r="J376" s="130" t="str">
        <x:f>IF(A376="","",IF(C376&lt;&gt;"Yes","NO CONSENT",IF(F376&lt;SETUP!$B$9,"SPEEDING",IF(G376&lt;&gt;"Yes","ATTENTION CHECK",IF(H376="Yes","STRAIGHTLINE REVIEW",IF(I376&gt;0,"MISSING ITEMS","OK"))))))</x:f>
      </x:c>
      <x:c r="K376" s="130" t="str">
        <x:f>IF(A376="","",IF(J376="OK","Yes","No"))</x:f>
      </x:c>
      <x:c r="L376" s="130" t="str">
        <x:f>IF(A376="","",IF(J376="OK","",IF(J376="NO CONSENT","Consent not affirmed",IF(J376="SPEEDING","Completion time below threshold",IF(J376="ATTENTION CHECK","Attention check failed",IF(J376="STRAIGHTLINE REVIEW","Straightlining review threshold met","Missing scored item(s)"))))))</x:f>
      </x:c>
      <x:c r="M376" s="119"/>
      <x:c r="N376" s="119"/>
      <x:c r="O376" s="119"/>
      <x:c r="P376" s="119"/>
      <x:c r="Q376" s="119"/>
      <x:c r="R376" s="119"/>
      <x:c r="S376" s="119"/>
      <x:c r="T376" s="119"/>
      <x:c r="U376" s="119"/>
      <x:c r="V376" s="119"/>
      <x:c r="W376" s="119"/>
      <x:c r="X376" s="119"/>
      <x:c r="Y376" s="133" t="str">
        <x:f>IF(K376&lt;&gt;"Yes","",IFERROR(AVERAGE(M376:X376),""))</x:f>
      </x:c>
      <x:c r="Z376" s="119"/>
    </x:row>
    <x:row r="377">
      <x:c r="A377" s="119"/>
      <x:c r="B377" s="119"/>
      <x:c r="C377" s="119"/>
      <x:c r="D377" s="119"/>
      <x:c r="E377" s="119"/>
      <x:c r="F377" s="119"/>
      <x:c r="G377" s="119"/>
      <x:c r="H377" s="130" t="str">
        <x:f>IF(A377="","",IF(AND(COUNTA(M377:X377)&gt;=SETUP!$B$10,COUNTIF(M377:X377,MAX(M377:X377))=COUNTA(M377:X377)),"Yes","No"))</x:f>
      </x:c>
      <x:c r="I377" s="130" t="str">
        <x:f>IF(A377="","",IF('SURVEY DESIGN'!C377&lt;&gt;"",--(M377=""),0)+IF('SURVEY DESIGN'!C378&lt;&gt;"",--(N377=""),0)+IF('SURVEY DESIGN'!C379&lt;&gt;"",--(O377=""),0)+IF('SURVEY DESIGN'!C380&lt;&gt;"",--(P377=""),0)+IF('SURVEY DESIGN'!C381&lt;&gt;"",--(Q377=""),0)+IF('SURVEY DESIGN'!C382&lt;&gt;"",--(R377=""),0)+IF('SURVEY DESIGN'!C383&lt;&gt;"",--(S377=""),0)+IF('SURVEY DESIGN'!C384&lt;&gt;"",--(T377=""),0)+IF('SURVEY DESIGN'!C385&lt;&gt;"",--(U377=""),0)+IF('SURVEY DESIGN'!C386&lt;&gt;"",--(V377=""),0)+IF('SURVEY DESIGN'!C387&lt;&gt;"",--(W377=""),0)+IF('SURVEY DESIGN'!C388&lt;&gt;"",--(X377=""),0))</x:f>
      </x:c>
      <x:c r="J377" s="130" t="str">
        <x:f>IF(A377="","",IF(C377&lt;&gt;"Yes","NO CONSENT",IF(F377&lt;SETUP!$B$9,"SPEEDING",IF(G377&lt;&gt;"Yes","ATTENTION CHECK",IF(H377="Yes","STRAIGHTLINE REVIEW",IF(I377&gt;0,"MISSING ITEMS","OK"))))))</x:f>
      </x:c>
      <x:c r="K377" s="130" t="str">
        <x:f>IF(A377="","",IF(J377="OK","Yes","No"))</x:f>
      </x:c>
      <x:c r="L377" s="130" t="str">
        <x:f>IF(A377="","",IF(J377="OK","",IF(J377="NO CONSENT","Consent not affirmed",IF(J377="SPEEDING","Completion time below threshold",IF(J377="ATTENTION CHECK","Attention check failed",IF(J377="STRAIGHTLINE REVIEW","Straightlining review threshold met","Missing scored item(s)"))))))</x:f>
      </x:c>
      <x:c r="M377" s="119"/>
      <x:c r="N377" s="119"/>
      <x:c r="O377" s="119"/>
      <x:c r="P377" s="119"/>
      <x:c r="Q377" s="119"/>
      <x:c r="R377" s="119"/>
      <x:c r="S377" s="119"/>
      <x:c r="T377" s="119"/>
      <x:c r="U377" s="119"/>
      <x:c r="V377" s="119"/>
      <x:c r="W377" s="119"/>
      <x:c r="X377" s="119"/>
      <x:c r="Y377" s="133" t="str">
        <x:f>IF(K377&lt;&gt;"Yes","",IFERROR(AVERAGE(M377:X377),""))</x:f>
      </x:c>
      <x:c r="Z377" s="119"/>
    </x:row>
    <x:row r="378">
      <x:c r="A378" s="119"/>
      <x:c r="B378" s="119"/>
      <x:c r="C378" s="119"/>
      <x:c r="D378" s="119"/>
      <x:c r="E378" s="119"/>
      <x:c r="F378" s="119"/>
      <x:c r="G378" s="119"/>
      <x:c r="H378" s="130" t="str">
        <x:f>IF(A378="","",IF(AND(COUNTA(M378:X378)&gt;=SETUP!$B$10,COUNTIF(M378:X378,MAX(M378:X378))=COUNTA(M378:X378)),"Yes","No"))</x:f>
      </x:c>
      <x:c r="I378" s="130" t="str">
        <x:f>IF(A378="","",IF('SURVEY DESIGN'!C378&lt;&gt;"",--(M378=""),0)+IF('SURVEY DESIGN'!C379&lt;&gt;"",--(N378=""),0)+IF('SURVEY DESIGN'!C380&lt;&gt;"",--(O378=""),0)+IF('SURVEY DESIGN'!C381&lt;&gt;"",--(P378=""),0)+IF('SURVEY DESIGN'!C382&lt;&gt;"",--(Q378=""),0)+IF('SURVEY DESIGN'!C383&lt;&gt;"",--(R378=""),0)+IF('SURVEY DESIGN'!C384&lt;&gt;"",--(S378=""),0)+IF('SURVEY DESIGN'!C385&lt;&gt;"",--(T378=""),0)+IF('SURVEY DESIGN'!C386&lt;&gt;"",--(U378=""),0)+IF('SURVEY DESIGN'!C387&lt;&gt;"",--(V378=""),0)+IF('SURVEY DESIGN'!C388&lt;&gt;"",--(W378=""),0)+IF('SURVEY DESIGN'!C389&lt;&gt;"",--(X378=""),0))</x:f>
      </x:c>
      <x:c r="J378" s="130" t="str">
        <x:f>IF(A378="","",IF(C378&lt;&gt;"Yes","NO CONSENT",IF(F378&lt;SETUP!$B$9,"SPEEDING",IF(G378&lt;&gt;"Yes","ATTENTION CHECK",IF(H378="Yes","STRAIGHTLINE REVIEW",IF(I378&gt;0,"MISSING ITEMS","OK"))))))</x:f>
      </x:c>
      <x:c r="K378" s="130" t="str">
        <x:f>IF(A378="","",IF(J378="OK","Yes","No"))</x:f>
      </x:c>
      <x:c r="L378" s="130" t="str">
        <x:f>IF(A378="","",IF(J378="OK","",IF(J378="NO CONSENT","Consent not affirmed",IF(J378="SPEEDING","Completion time below threshold",IF(J378="ATTENTION CHECK","Attention check failed",IF(J378="STRAIGHTLINE REVIEW","Straightlining review threshold met","Missing scored item(s)"))))))</x:f>
      </x:c>
      <x:c r="M378" s="119"/>
      <x:c r="N378" s="119"/>
      <x:c r="O378" s="119"/>
      <x:c r="P378" s="119"/>
      <x:c r="Q378" s="119"/>
      <x:c r="R378" s="119"/>
      <x:c r="S378" s="119"/>
      <x:c r="T378" s="119"/>
      <x:c r="U378" s="119"/>
      <x:c r="V378" s="119"/>
      <x:c r="W378" s="119"/>
      <x:c r="X378" s="119"/>
      <x:c r="Y378" s="133" t="str">
        <x:f>IF(K378&lt;&gt;"Yes","",IFERROR(AVERAGE(M378:X378),""))</x:f>
      </x:c>
      <x:c r="Z378" s="119"/>
    </x:row>
    <x:row r="379">
      <x:c r="A379" s="119"/>
      <x:c r="B379" s="119"/>
      <x:c r="C379" s="119"/>
      <x:c r="D379" s="119"/>
      <x:c r="E379" s="119"/>
      <x:c r="F379" s="119"/>
      <x:c r="G379" s="119"/>
      <x:c r="H379" s="130" t="str">
        <x:f>IF(A379="","",IF(AND(COUNTA(M379:X379)&gt;=SETUP!$B$10,COUNTIF(M379:X379,MAX(M379:X379))=COUNTA(M379:X379)),"Yes","No"))</x:f>
      </x:c>
      <x:c r="I379" s="130" t="str">
        <x:f>IF(A379="","",IF('SURVEY DESIGN'!C379&lt;&gt;"",--(M379=""),0)+IF('SURVEY DESIGN'!C380&lt;&gt;"",--(N379=""),0)+IF('SURVEY DESIGN'!C381&lt;&gt;"",--(O379=""),0)+IF('SURVEY DESIGN'!C382&lt;&gt;"",--(P379=""),0)+IF('SURVEY DESIGN'!C383&lt;&gt;"",--(Q379=""),0)+IF('SURVEY DESIGN'!C384&lt;&gt;"",--(R379=""),0)+IF('SURVEY DESIGN'!C385&lt;&gt;"",--(S379=""),0)+IF('SURVEY DESIGN'!C386&lt;&gt;"",--(T379=""),0)+IF('SURVEY DESIGN'!C387&lt;&gt;"",--(U379=""),0)+IF('SURVEY DESIGN'!C388&lt;&gt;"",--(V379=""),0)+IF('SURVEY DESIGN'!C389&lt;&gt;"",--(W379=""),0)+IF('SURVEY DESIGN'!C390&lt;&gt;"",--(X379=""),0))</x:f>
      </x:c>
      <x:c r="J379" s="130" t="str">
        <x:f>IF(A379="","",IF(C379&lt;&gt;"Yes","NO CONSENT",IF(F379&lt;SETUP!$B$9,"SPEEDING",IF(G379&lt;&gt;"Yes","ATTENTION CHECK",IF(H379="Yes","STRAIGHTLINE REVIEW",IF(I379&gt;0,"MISSING ITEMS","OK"))))))</x:f>
      </x:c>
      <x:c r="K379" s="130" t="str">
        <x:f>IF(A379="","",IF(J379="OK","Yes","No"))</x:f>
      </x:c>
      <x:c r="L379" s="130" t="str">
        <x:f>IF(A379="","",IF(J379="OK","",IF(J379="NO CONSENT","Consent not affirmed",IF(J379="SPEEDING","Completion time below threshold",IF(J379="ATTENTION CHECK","Attention check failed",IF(J379="STRAIGHTLINE REVIEW","Straightlining review threshold met","Missing scored item(s)"))))))</x:f>
      </x:c>
      <x:c r="M379" s="119"/>
      <x:c r="N379" s="119"/>
      <x:c r="O379" s="119"/>
      <x:c r="P379" s="119"/>
      <x:c r="Q379" s="119"/>
      <x:c r="R379" s="119"/>
      <x:c r="S379" s="119"/>
      <x:c r="T379" s="119"/>
      <x:c r="U379" s="119"/>
      <x:c r="V379" s="119"/>
      <x:c r="W379" s="119"/>
      <x:c r="X379" s="119"/>
      <x:c r="Y379" s="133" t="str">
        <x:f>IF(K379&lt;&gt;"Yes","",IFERROR(AVERAGE(M379:X379),""))</x:f>
      </x:c>
      <x:c r="Z379" s="119"/>
    </x:row>
    <x:row r="380">
      <x:c r="A380" s="119"/>
      <x:c r="B380" s="119"/>
      <x:c r="C380" s="119"/>
      <x:c r="D380" s="119"/>
      <x:c r="E380" s="119"/>
      <x:c r="F380" s="119"/>
      <x:c r="G380" s="119"/>
      <x:c r="H380" s="130" t="str">
        <x:f>IF(A380="","",IF(AND(COUNTA(M380:X380)&gt;=SETUP!$B$10,COUNTIF(M380:X380,MAX(M380:X380))=COUNTA(M380:X380)),"Yes","No"))</x:f>
      </x:c>
      <x:c r="I380" s="130" t="str">
        <x:f>IF(A380="","",IF('SURVEY DESIGN'!C380&lt;&gt;"",--(M380=""),0)+IF('SURVEY DESIGN'!C381&lt;&gt;"",--(N380=""),0)+IF('SURVEY DESIGN'!C382&lt;&gt;"",--(O380=""),0)+IF('SURVEY DESIGN'!C383&lt;&gt;"",--(P380=""),0)+IF('SURVEY DESIGN'!C384&lt;&gt;"",--(Q380=""),0)+IF('SURVEY DESIGN'!C385&lt;&gt;"",--(R380=""),0)+IF('SURVEY DESIGN'!C386&lt;&gt;"",--(S380=""),0)+IF('SURVEY DESIGN'!C387&lt;&gt;"",--(T380=""),0)+IF('SURVEY DESIGN'!C388&lt;&gt;"",--(U380=""),0)+IF('SURVEY DESIGN'!C389&lt;&gt;"",--(V380=""),0)+IF('SURVEY DESIGN'!C390&lt;&gt;"",--(W380=""),0)+IF('SURVEY DESIGN'!C391&lt;&gt;"",--(X380=""),0))</x:f>
      </x:c>
      <x:c r="J380" s="130" t="str">
        <x:f>IF(A380="","",IF(C380&lt;&gt;"Yes","NO CONSENT",IF(F380&lt;SETUP!$B$9,"SPEEDING",IF(G380&lt;&gt;"Yes","ATTENTION CHECK",IF(H380="Yes","STRAIGHTLINE REVIEW",IF(I380&gt;0,"MISSING ITEMS","OK"))))))</x:f>
      </x:c>
      <x:c r="K380" s="130" t="str">
        <x:f>IF(A380="","",IF(J380="OK","Yes","No"))</x:f>
      </x:c>
      <x:c r="L380" s="130" t="str">
        <x:f>IF(A380="","",IF(J380="OK","",IF(J380="NO CONSENT","Consent not affirmed",IF(J380="SPEEDING","Completion time below threshold",IF(J380="ATTENTION CHECK","Attention check failed",IF(J380="STRAIGHTLINE REVIEW","Straightlining review threshold met","Missing scored item(s)"))))))</x:f>
      </x:c>
      <x:c r="M380" s="119"/>
      <x:c r="N380" s="119"/>
      <x:c r="O380" s="119"/>
      <x:c r="P380" s="119"/>
      <x:c r="Q380" s="119"/>
      <x:c r="R380" s="119"/>
      <x:c r="S380" s="119"/>
      <x:c r="T380" s="119"/>
      <x:c r="U380" s="119"/>
      <x:c r="V380" s="119"/>
      <x:c r="W380" s="119"/>
      <x:c r="X380" s="119"/>
      <x:c r="Y380" s="133" t="str">
        <x:f>IF(K380&lt;&gt;"Yes","",IFERROR(AVERAGE(M380:X380),""))</x:f>
      </x:c>
      <x:c r="Z380" s="119"/>
    </x:row>
    <x:row r="381">
      <x:c r="A381" s="119"/>
      <x:c r="B381" s="119"/>
      <x:c r="C381" s="119"/>
      <x:c r="D381" s="119"/>
      <x:c r="E381" s="119"/>
      <x:c r="F381" s="119"/>
      <x:c r="G381" s="119"/>
      <x:c r="H381" s="130" t="str">
        <x:f>IF(A381="","",IF(AND(COUNTA(M381:X381)&gt;=SETUP!$B$10,COUNTIF(M381:X381,MAX(M381:X381))=COUNTA(M381:X381)),"Yes","No"))</x:f>
      </x:c>
      <x:c r="I381" s="130" t="str">
        <x:f>IF(A381="","",IF('SURVEY DESIGN'!C381&lt;&gt;"",--(M381=""),0)+IF('SURVEY DESIGN'!C382&lt;&gt;"",--(N381=""),0)+IF('SURVEY DESIGN'!C383&lt;&gt;"",--(O381=""),0)+IF('SURVEY DESIGN'!C384&lt;&gt;"",--(P381=""),0)+IF('SURVEY DESIGN'!C385&lt;&gt;"",--(Q381=""),0)+IF('SURVEY DESIGN'!C386&lt;&gt;"",--(R381=""),0)+IF('SURVEY DESIGN'!C387&lt;&gt;"",--(S381=""),0)+IF('SURVEY DESIGN'!C388&lt;&gt;"",--(T381=""),0)+IF('SURVEY DESIGN'!C389&lt;&gt;"",--(U381=""),0)+IF('SURVEY DESIGN'!C390&lt;&gt;"",--(V381=""),0)+IF('SURVEY DESIGN'!C391&lt;&gt;"",--(W381=""),0)+IF('SURVEY DESIGN'!C392&lt;&gt;"",--(X381=""),0))</x:f>
      </x:c>
      <x:c r="J381" s="130" t="str">
        <x:f>IF(A381="","",IF(C381&lt;&gt;"Yes","NO CONSENT",IF(F381&lt;SETUP!$B$9,"SPEEDING",IF(G381&lt;&gt;"Yes","ATTENTION CHECK",IF(H381="Yes","STRAIGHTLINE REVIEW",IF(I381&gt;0,"MISSING ITEMS","OK"))))))</x:f>
      </x:c>
      <x:c r="K381" s="130" t="str">
        <x:f>IF(A381="","",IF(J381="OK","Yes","No"))</x:f>
      </x:c>
      <x:c r="L381" s="130" t="str">
        <x:f>IF(A381="","",IF(J381="OK","",IF(J381="NO CONSENT","Consent not affirmed",IF(J381="SPEEDING","Completion time below threshold",IF(J381="ATTENTION CHECK","Attention check failed",IF(J381="STRAIGHTLINE REVIEW","Straightlining review threshold met","Missing scored item(s)"))))))</x:f>
      </x:c>
      <x:c r="M381" s="119"/>
      <x:c r="N381" s="119"/>
      <x:c r="O381" s="119"/>
      <x:c r="P381" s="119"/>
      <x:c r="Q381" s="119"/>
      <x:c r="R381" s="119"/>
      <x:c r="S381" s="119"/>
      <x:c r="T381" s="119"/>
      <x:c r="U381" s="119"/>
      <x:c r="V381" s="119"/>
      <x:c r="W381" s="119"/>
      <x:c r="X381" s="119"/>
      <x:c r="Y381" s="133" t="str">
        <x:f>IF(K381&lt;&gt;"Yes","",IFERROR(AVERAGE(M381:X381),""))</x:f>
      </x:c>
      <x:c r="Z381" s="119"/>
    </x:row>
    <x:row r="382">
      <x:c r="A382" s="119"/>
      <x:c r="B382" s="119"/>
      <x:c r="C382" s="119"/>
      <x:c r="D382" s="119"/>
      <x:c r="E382" s="119"/>
      <x:c r="F382" s="119"/>
      <x:c r="G382" s="119"/>
      <x:c r="H382" s="130" t="str">
        <x:f>IF(A382="","",IF(AND(COUNTA(M382:X382)&gt;=SETUP!$B$10,COUNTIF(M382:X382,MAX(M382:X382))=COUNTA(M382:X382)),"Yes","No"))</x:f>
      </x:c>
      <x:c r="I382" s="130" t="str">
        <x:f>IF(A382="","",IF('SURVEY DESIGN'!C382&lt;&gt;"",--(M382=""),0)+IF('SURVEY DESIGN'!C383&lt;&gt;"",--(N382=""),0)+IF('SURVEY DESIGN'!C384&lt;&gt;"",--(O382=""),0)+IF('SURVEY DESIGN'!C385&lt;&gt;"",--(P382=""),0)+IF('SURVEY DESIGN'!C386&lt;&gt;"",--(Q382=""),0)+IF('SURVEY DESIGN'!C387&lt;&gt;"",--(R382=""),0)+IF('SURVEY DESIGN'!C388&lt;&gt;"",--(S382=""),0)+IF('SURVEY DESIGN'!C389&lt;&gt;"",--(T382=""),0)+IF('SURVEY DESIGN'!C390&lt;&gt;"",--(U382=""),0)+IF('SURVEY DESIGN'!C391&lt;&gt;"",--(V382=""),0)+IF('SURVEY DESIGN'!C392&lt;&gt;"",--(W382=""),0)+IF('SURVEY DESIGN'!C393&lt;&gt;"",--(X382=""),0))</x:f>
      </x:c>
      <x:c r="J382" s="130" t="str">
        <x:f>IF(A382="","",IF(C382&lt;&gt;"Yes","NO CONSENT",IF(F382&lt;SETUP!$B$9,"SPEEDING",IF(G382&lt;&gt;"Yes","ATTENTION CHECK",IF(H382="Yes","STRAIGHTLINE REVIEW",IF(I382&gt;0,"MISSING ITEMS","OK"))))))</x:f>
      </x:c>
      <x:c r="K382" s="130" t="str">
        <x:f>IF(A382="","",IF(J382="OK","Yes","No"))</x:f>
      </x:c>
      <x:c r="L382" s="130" t="str">
        <x:f>IF(A382="","",IF(J382="OK","",IF(J382="NO CONSENT","Consent not affirmed",IF(J382="SPEEDING","Completion time below threshold",IF(J382="ATTENTION CHECK","Attention check failed",IF(J382="STRAIGHTLINE REVIEW","Straightlining review threshold met","Missing scored item(s)"))))))</x:f>
      </x:c>
      <x:c r="M382" s="119"/>
      <x:c r="N382" s="119"/>
      <x:c r="O382" s="119"/>
      <x:c r="P382" s="119"/>
      <x:c r="Q382" s="119"/>
      <x:c r="R382" s="119"/>
      <x:c r="S382" s="119"/>
      <x:c r="T382" s="119"/>
      <x:c r="U382" s="119"/>
      <x:c r="V382" s="119"/>
      <x:c r="W382" s="119"/>
      <x:c r="X382" s="119"/>
      <x:c r="Y382" s="133" t="str">
        <x:f>IF(K382&lt;&gt;"Yes","",IFERROR(AVERAGE(M382:X382),""))</x:f>
      </x:c>
      <x:c r="Z382" s="119"/>
    </x:row>
    <x:row r="383">
      <x:c r="A383" s="119"/>
      <x:c r="B383" s="119"/>
      <x:c r="C383" s="119"/>
      <x:c r="D383" s="119"/>
      <x:c r="E383" s="119"/>
      <x:c r="F383" s="119"/>
      <x:c r="G383" s="119"/>
      <x:c r="H383" s="130" t="str">
        <x:f>IF(A383="","",IF(AND(COUNTA(M383:X383)&gt;=SETUP!$B$10,COUNTIF(M383:X383,MAX(M383:X383))=COUNTA(M383:X383)),"Yes","No"))</x:f>
      </x:c>
      <x:c r="I383" s="130" t="str">
        <x:f>IF(A383="","",IF('SURVEY DESIGN'!C383&lt;&gt;"",--(M383=""),0)+IF('SURVEY DESIGN'!C384&lt;&gt;"",--(N383=""),0)+IF('SURVEY DESIGN'!C385&lt;&gt;"",--(O383=""),0)+IF('SURVEY DESIGN'!C386&lt;&gt;"",--(P383=""),0)+IF('SURVEY DESIGN'!C387&lt;&gt;"",--(Q383=""),0)+IF('SURVEY DESIGN'!C388&lt;&gt;"",--(R383=""),0)+IF('SURVEY DESIGN'!C389&lt;&gt;"",--(S383=""),0)+IF('SURVEY DESIGN'!C390&lt;&gt;"",--(T383=""),0)+IF('SURVEY DESIGN'!C391&lt;&gt;"",--(U383=""),0)+IF('SURVEY DESIGN'!C392&lt;&gt;"",--(V383=""),0)+IF('SURVEY DESIGN'!C393&lt;&gt;"",--(W383=""),0)+IF('SURVEY DESIGN'!C394&lt;&gt;"",--(X383=""),0))</x:f>
      </x:c>
      <x:c r="J383" s="130" t="str">
        <x:f>IF(A383="","",IF(C383&lt;&gt;"Yes","NO CONSENT",IF(F383&lt;SETUP!$B$9,"SPEEDING",IF(G383&lt;&gt;"Yes","ATTENTION CHECK",IF(H383="Yes","STRAIGHTLINE REVIEW",IF(I383&gt;0,"MISSING ITEMS","OK"))))))</x:f>
      </x:c>
      <x:c r="K383" s="130" t="str">
        <x:f>IF(A383="","",IF(J383="OK","Yes","No"))</x:f>
      </x:c>
      <x:c r="L383" s="130" t="str">
        <x:f>IF(A383="","",IF(J383="OK","",IF(J383="NO CONSENT","Consent not affirmed",IF(J383="SPEEDING","Completion time below threshold",IF(J383="ATTENTION CHECK","Attention check failed",IF(J383="STRAIGHTLINE REVIEW","Straightlining review threshold met","Missing scored item(s)"))))))</x:f>
      </x:c>
      <x:c r="M383" s="119"/>
      <x:c r="N383" s="119"/>
      <x:c r="O383" s="119"/>
      <x:c r="P383" s="119"/>
      <x:c r="Q383" s="119"/>
      <x:c r="R383" s="119"/>
      <x:c r="S383" s="119"/>
      <x:c r="T383" s="119"/>
      <x:c r="U383" s="119"/>
      <x:c r="V383" s="119"/>
      <x:c r="W383" s="119"/>
      <x:c r="X383" s="119"/>
      <x:c r="Y383" s="133" t="str">
        <x:f>IF(K383&lt;&gt;"Yes","",IFERROR(AVERAGE(M383:X383),""))</x:f>
      </x:c>
      <x:c r="Z383" s="119"/>
    </x:row>
    <x:row r="384">
      <x:c r="A384" s="119"/>
      <x:c r="B384" s="119"/>
      <x:c r="C384" s="119"/>
      <x:c r="D384" s="119"/>
      <x:c r="E384" s="119"/>
      <x:c r="F384" s="119"/>
      <x:c r="G384" s="119"/>
      <x:c r="H384" s="130" t="str">
        <x:f>IF(A384="","",IF(AND(COUNTA(M384:X384)&gt;=SETUP!$B$10,COUNTIF(M384:X384,MAX(M384:X384))=COUNTA(M384:X384)),"Yes","No"))</x:f>
      </x:c>
      <x:c r="I384" s="130" t="str">
        <x:f>IF(A384="","",IF('SURVEY DESIGN'!C384&lt;&gt;"",--(M384=""),0)+IF('SURVEY DESIGN'!C385&lt;&gt;"",--(N384=""),0)+IF('SURVEY DESIGN'!C386&lt;&gt;"",--(O384=""),0)+IF('SURVEY DESIGN'!C387&lt;&gt;"",--(P384=""),0)+IF('SURVEY DESIGN'!C388&lt;&gt;"",--(Q384=""),0)+IF('SURVEY DESIGN'!C389&lt;&gt;"",--(R384=""),0)+IF('SURVEY DESIGN'!C390&lt;&gt;"",--(S384=""),0)+IF('SURVEY DESIGN'!C391&lt;&gt;"",--(T384=""),0)+IF('SURVEY DESIGN'!C392&lt;&gt;"",--(U384=""),0)+IF('SURVEY DESIGN'!C393&lt;&gt;"",--(V384=""),0)+IF('SURVEY DESIGN'!C394&lt;&gt;"",--(W384=""),0)+IF('SURVEY DESIGN'!C395&lt;&gt;"",--(X384=""),0))</x:f>
      </x:c>
      <x:c r="J384" s="130" t="str">
        <x:f>IF(A384="","",IF(C384&lt;&gt;"Yes","NO CONSENT",IF(F384&lt;SETUP!$B$9,"SPEEDING",IF(G384&lt;&gt;"Yes","ATTENTION CHECK",IF(H384="Yes","STRAIGHTLINE REVIEW",IF(I384&gt;0,"MISSING ITEMS","OK"))))))</x:f>
      </x:c>
      <x:c r="K384" s="130" t="str">
        <x:f>IF(A384="","",IF(J384="OK","Yes","No"))</x:f>
      </x:c>
      <x:c r="L384" s="130" t="str">
        <x:f>IF(A384="","",IF(J384="OK","",IF(J384="NO CONSENT","Consent not affirmed",IF(J384="SPEEDING","Completion time below threshold",IF(J384="ATTENTION CHECK","Attention check failed",IF(J384="STRAIGHTLINE REVIEW","Straightlining review threshold met","Missing scored item(s)"))))))</x:f>
      </x:c>
      <x:c r="M384" s="119"/>
      <x:c r="N384" s="119"/>
      <x:c r="O384" s="119"/>
      <x:c r="P384" s="119"/>
      <x:c r="Q384" s="119"/>
      <x:c r="R384" s="119"/>
      <x:c r="S384" s="119"/>
      <x:c r="T384" s="119"/>
      <x:c r="U384" s="119"/>
      <x:c r="V384" s="119"/>
      <x:c r="W384" s="119"/>
      <x:c r="X384" s="119"/>
      <x:c r="Y384" s="133" t="str">
        <x:f>IF(K384&lt;&gt;"Yes","",IFERROR(AVERAGE(M384:X384),""))</x:f>
      </x:c>
      <x:c r="Z384" s="119"/>
    </x:row>
    <x:row r="385">
      <x:c r="A385" s="119"/>
      <x:c r="B385" s="119"/>
      <x:c r="C385" s="119"/>
      <x:c r="D385" s="119"/>
      <x:c r="E385" s="119"/>
      <x:c r="F385" s="119"/>
      <x:c r="G385" s="119"/>
      <x:c r="H385" s="130" t="str">
        <x:f>IF(A385="","",IF(AND(COUNTA(M385:X385)&gt;=SETUP!$B$10,COUNTIF(M385:X385,MAX(M385:X385))=COUNTA(M385:X385)),"Yes","No"))</x:f>
      </x:c>
      <x:c r="I385" s="130" t="str">
        <x:f>IF(A385="","",IF('SURVEY DESIGN'!C385&lt;&gt;"",--(M385=""),0)+IF('SURVEY DESIGN'!C386&lt;&gt;"",--(N385=""),0)+IF('SURVEY DESIGN'!C387&lt;&gt;"",--(O385=""),0)+IF('SURVEY DESIGN'!C388&lt;&gt;"",--(P385=""),0)+IF('SURVEY DESIGN'!C389&lt;&gt;"",--(Q385=""),0)+IF('SURVEY DESIGN'!C390&lt;&gt;"",--(R385=""),0)+IF('SURVEY DESIGN'!C391&lt;&gt;"",--(S385=""),0)+IF('SURVEY DESIGN'!C392&lt;&gt;"",--(T385=""),0)+IF('SURVEY DESIGN'!C393&lt;&gt;"",--(U385=""),0)+IF('SURVEY DESIGN'!C394&lt;&gt;"",--(V385=""),0)+IF('SURVEY DESIGN'!C395&lt;&gt;"",--(W385=""),0)+IF('SURVEY DESIGN'!C396&lt;&gt;"",--(X385=""),0))</x:f>
      </x:c>
      <x:c r="J385" s="130" t="str">
        <x:f>IF(A385="","",IF(C385&lt;&gt;"Yes","NO CONSENT",IF(F385&lt;SETUP!$B$9,"SPEEDING",IF(G385&lt;&gt;"Yes","ATTENTION CHECK",IF(H385="Yes","STRAIGHTLINE REVIEW",IF(I385&gt;0,"MISSING ITEMS","OK"))))))</x:f>
      </x:c>
      <x:c r="K385" s="130" t="str">
        <x:f>IF(A385="","",IF(J385="OK","Yes","No"))</x:f>
      </x:c>
      <x:c r="L385" s="130" t="str">
        <x:f>IF(A385="","",IF(J385="OK","",IF(J385="NO CONSENT","Consent not affirmed",IF(J385="SPEEDING","Completion time below threshold",IF(J385="ATTENTION CHECK","Attention check failed",IF(J385="STRAIGHTLINE REVIEW","Straightlining review threshold met","Missing scored item(s)"))))))</x:f>
      </x:c>
      <x:c r="M385" s="119"/>
      <x:c r="N385" s="119"/>
      <x:c r="O385" s="119"/>
      <x:c r="P385" s="119"/>
      <x:c r="Q385" s="119"/>
      <x:c r="R385" s="119"/>
      <x:c r="S385" s="119"/>
      <x:c r="T385" s="119"/>
      <x:c r="U385" s="119"/>
      <x:c r="V385" s="119"/>
      <x:c r="W385" s="119"/>
      <x:c r="X385" s="119"/>
      <x:c r="Y385" s="133" t="str">
        <x:f>IF(K385&lt;&gt;"Yes","",IFERROR(AVERAGE(M385:X385),""))</x:f>
      </x:c>
      <x:c r="Z385" s="119"/>
    </x:row>
    <x:row r="386">
      <x:c r="A386" s="119"/>
      <x:c r="B386" s="119"/>
      <x:c r="C386" s="119"/>
      <x:c r="D386" s="119"/>
      <x:c r="E386" s="119"/>
      <x:c r="F386" s="119"/>
      <x:c r="G386" s="119"/>
      <x:c r="H386" s="130" t="str">
        <x:f>IF(A386="","",IF(AND(COUNTA(M386:X386)&gt;=SETUP!$B$10,COUNTIF(M386:X386,MAX(M386:X386))=COUNTA(M386:X386)),"Yes","No"))</x:f>
      </x:c>
      <x:c r="I386" s="130" t="str">
        <x:f>IF(A386="","",IF('SURVEY DESIGN'!C386&lt;&gt;"",--(M386=""),0)+IF('SURVEY DESIGN'!C387&lt;&gt;"",--(N386=""),0)+IF('SURVEY DESIGN'!C388&lt;&gt;"",--(O386=""),0)+IF('SURVEY DESIGN'!C389&lt;&gt;"",--(P386=""),0)+IF('SURVEY DESIGN'!C390&lt;&gt;"",--(Q386=""),0)+IF('SURVEY DESIGN'!C391&lt;&gt;"",--(R386=""),0)+IF('SURVEY DESIGN'!C392&lt;&gt;"",--(S386=""),0)+IF('SURVEY DESIGN'!C393&lt;&gt;"",--(T386=""),0)+IF('SURVEY DESIGN'!C394&lt;&gt;"",--(U386=""),0)+IF('SURVEY DESIGN'!C395&lt;&gt;"",--(V386=""),0)+IF('SURVEY DESIGN'!C396&lt;&gt;"",--(W386=""),0)+IF('SURVEY DESIGN'!C397&lt;&gt;"",--(X386=""),0))</x:f>
      </x:c>
      <x:c r="J386" s="130" t="str">
        <x:f>IF(A386="","",IF(C386&lt;&gt;"Yes","NO CONSENT",IF(F386&lt;SETUP!$B$9,"SPEEDING",IF(G386&lt;&gt;"Yes","ATTENTION CHECK",IF(H386="Yes","STRAIGHTLINE REVIEW",IF(I386&gt;0,"MISSING ITEMS","OK"))))))</x:f>
      </x:c>
      <x:c r="K386" s="130" t="str">
        <x:f>IF(A386="","",IF(J386="OK","Yes","No"))</x:f>
      </x:c>
      <x:c r="L386" s="130" t="str">
        <x:f>IF(A386="","",IF(J386="OK","",IF(J386="NO CONSENT","Consent not affirmed",IF(J386="SPEEDING","Completion time below threshold",IF(J386="ATTENTION CHECK","Attention check failed",IF(J386="STRAIGHTLINE REVIEW","Straightlining review threshold met","Missing scored item(s)"))))))</x:f>
      </x:c>
      <x:c r="M386" s="119"/>
      <x:c r="N386" s="119"/>
      <x:c r="O386" s="119"/>
      <x:c r="P386" s="119"/>
      <x:c r="Q386" s="119"/>
      <x:c r="R386" s="119"/>
      <x:c r="S386" s="119"/>
      <x:c r="T386" s="119"/>
      <x:c r="U386" s="119"/>
      <x:c r="V386" s="119"/>
      <x:c r="W386" s="119"/>
      <x:c r="X386" s="119"/>
      <x:c r="Y386" s="133" t="str">
        <x:f>IF(K386&lt;&gt;"Yes","",IFERROR(AVERAGE(M386:X386),""))</x:f>
      </x:c>
      <x:c r="Z386" s="119"/>
    </x:row>
    <x:row r="387">
      <x:c r="A387" s="119"/>
      <x:c r="B387" s="119"/>
      <x:c r="C387" s="119"/>
      <x:c r="D387" s="119"/>
      <x:c r="E387" s="119"/>
      <x:c r="F387" s="119"/>
      <x:c r="G387" s="119"/>
      <x:c r="H387" s="130" t="str">
        <x:f>IF(A387="","",IF(AND(COUNTA(M387:X387)&gt;=SETUP!$B$10,COUNTIF(M387:X387,MAX(M387:X387))=COUNTA(M387:X387)),"Yes","No"))</x:f>
      </x:c>
      <x:c r="I387" s="130" t="str">
        <x:f>IF(A387="","",IF('SURVEY DESIGN'!C387&lt;&gt;"",--(M387=""),0)+IF('SURVEY DESIGN'!C388&lt;&gt;"",--(N387=""),0)+IF('SURVEY DESIGN'!C389&lt;&gt;"",--(O387=""),0)+IF('SURVEY DESIGN'!C390&lt;&gt;"",--(P387=""),0)+IF('SURVEY DESIGN'!C391&lt;&gt;"",--(Q387=""),0)+IF('SURVEY DESIGN'!C392&lt;&gt;"",--(R387=""),0)+IF('SURVEY DESIGN'!C393&lt;&gt;"",--(S387=""),0)+IF('SURVEY DESIGN'!C394&lt;&gt;"",--(T387=""),0)+IF('SURVEY DESIGN'!C395&lt;&gt;"",--(U387=""),0)+IF('SURVEY DESIGN'!C396&lt;&gt;"",--(V387=""),0)+IF('SURVEY DESIGN'!C397&lt;&gt;"",--(W387=""),0)+IF('SURVEY DESIGN'!C398&lt;&gt;"",--(X387=""),0))</x:f>
      </x:c>
      <x:c r="J387" s="130" t="str">
        <x:f>IF(A387="","",IF(C387&lt;&gt;"Yes","NO CONSENT",IF(F387&lt;SETUP!$B$9,"SPEEDING",IF(G387&lt;&gt;"Yes","ATTENTION CHECK",IF(H387="Yes","STRAIGHTLINE REVIEW",IF(I387&gt;0,"MISSING ITEMS","OK"))))))</x:f>
      </x:c>
      <x:c r="K387" s="130" t="str">
        <x:f>IF(A387="","",IF(J387="OK","Yes","No"))</x:f>
      </x:c>
      <x:c r="L387" s="130" t="str">
        <x:f>IF(A387="","",IF(J387="OK","",IF(J387="NO CONSENT","Consent not affirmed",IF(J387="SPEEDING","Completion time below threshold",IF(J387="ATTENTION CHECK","Attention check failed",IF(J387="STRAIGHTLINE REVIEW","Straightlining review threshold met","Missing scored item(s)"))))))</x:f>
      </x:c>
      <x:c r="M387" s="119"/>
      <x:c r="N387" s="119"/>
      <x:c r="O387" s="119"/>
      <x:c r="P387" s="119"/>
      <x:c r="Q387" s="119"/>
      <x:c r="R387" s="119"/>
      <x:c r="S387" s="119"/>
      <x:c r="T387" s="119"/>
      <x:c r="U387" s="119"/>
      <x:c r="V387" s="119"/>
      <x:c r="W387" s="119"/>
      <x:c r="X387" s="119"/>
      <x:c r="Y387" s="133" t="str">
        <x:f>IF(K387&lt;&gt;"Yes","",IFERROR(AVERAGE(M387:X387),""))</x:f>
      </x:c>
      <x:c r="Z387" s="119"/>
    </x:row>
    <x:row r="388">
      <x:c r="A388" s="119"/>
      <x:c r="B388" s="119"/>
      <x:c r="C388" s="119"/>
      <x:c r="D388" s="119"/>
      <x:c r="E388" s="119"/>
      <x:c r="F388" s="119"/>
      <x:c r="G388" s="119"/>
      <x:c r="H388" s="130" t="str">
        <x:f>IF(A388="","",IF(AND(COUNTA(M388:X388)&gt;=SETUP!$B$10,COUNTIF(M388:X388,MAX(M388:X388))=COUNTA(M388:X388)),"Yes","No"))</x:f>
      </x:c>
      <x:c r="I388" s="130" t="str">
        <x:f>IF(A388="","",IF('SURVEY DESIGN'!C388&lt;&gt;"",--(M388=""),0)+IF('SURVEY DESIGN'!C389&lt;&gt;"",--(N388=""),0)+IF('SURVEY DESIGN'!C390&lt;&gt;"",--(O388=""),0)+IF('SURVEY DESIGN'!C391&lt;&gt;"",--(P388=""),0)+IF('SURVEY DESIGN'!C392&lt;&gt;"",--(Q388=""),0)+IF('SURVEY DESIGN'!C393&lt;&gt;"",--(R388=""),0)+IF('SURVEY DESIGN'!C394&lt;&gt;"",--(S388=""),0)+IF('SURVEY DESIGN'!C395&lt;&gt;"",--(T388=""),0)+IF('SURVEY DESIGN'!C396&lt;&gt;"",--(U388=""),0)+IF('SURVEY DESIGN'!C397&lt;&gt;"",--(V388=""),0)+IF('SURVEY DESIGN'!C398&lt;&gt;"",--(W388=""),0)+IF('SURVEY DESIGN'!C399&lt;&gt;"",--(X388=""),0))</x:f>
      </x:c>
      <x:c r="J388" s="130" t="str">
        <x:f>IF(A388="","",IF(C388&lt;&gt;"Yes","NO CONSENT",IF(F388&lt;SETUP!$B$9,"SPEEDING",IF(G388&lt;&gt;"Yes","ATTENTION CHECK",IF(H388="Yes","STRAIGHTLINE REVIEW",IF(I388&gt;0,"MISSING ITEMS","OK"))))))</x:f>
      </x:c>
      <x:c r="K388" s="130" t="str">
        <x:f>IF(A388="","",IF(J388="OK","Yes","No"))</x:f>
      </x:c>
      <x:c r="L388" s="130" t="str">
        <x:f>IF(A388="","",IF(J388="OK","",IF(J388="NO CONSENT","Consent not affirmed",IF(J388="SPEEDING","Completion time below threshold",IF(J388="ATTENTION CHECK","Attention check failed",IF(J388="STRAIGHTLINE REVIEW","Straightlining review threshold met","Missing scored item(s)"))))))</x:f>
      </x:c>
      <x:c r="M388" s="119"/>
      <x:c r="N388" s="119"/>
      <x:c r="O388" s="119"/>
      <x:c r="P388" s="119"/>
      <x:c r="Q388" s="119"/>
      <x:c r="R388" s="119"/>
      <x:c r="S388" s="119"/>
      <x:c r="T388" s="119"/>
      <x:c r="U388" s="119"/>
      <x:c r="V388" s="119"/>
      <x:c r="W388" s="119"/>
      <x:c r="X388" s="119"/>
      <x:c r="Y388" s="133" t="str">
        <x:f>IF(K388&lt;&gt;"Yes","",IFERROR(AVERAGE(M388:X388),""))</x:f>
      </x:c>
      <x:c r="Z388" s="119"/>
    </x:row>
    <x:row r="389">
      <x:c r="A389" s="119"/>
      <x:c r="B389" s="119"/>
      <x:c r="C389" s="119"/>
      <x:c r="D389" s="119"/>
      <x:c r="E389" s="119"/>
      <x:c r="F389" s="119"/>
      <x:c r="G389" s="119"/>
      <x:c r="H389" s="130" t="str">
        <x:f>IF(A389="","",IF(AND(COUNTA(M389:X389)&gt;=SETUP!$B$10,COUNTIF(M389:X389,MAX(M389:X389))=COUNTA(M389:X389)),"Yes","No"))</x:f>
      </x:c>
      <x:c r="I389" s="130" t="str">
        <x:f>IF(A389="","",IF('SURVEY DESIGN'!C389&lt;&gt;"",--(M389=""),0)+IF('SURVEY DESIGN'!C390&lt;&gt;"",--(N389=""),0)+IF('SURVEY DESIGN'!C391&lt;&gt;"",--(O389=""),0)+IF('SURVEY DESIGN'!C392&lt;&gt;"",--(P389=""),0)+IF('SURVEY DESIGN'!C393&lt;&gt;"",--(Q389=""),0)+IF('SURVEY DESIGN'!C394&lt;&gt;"",--(R389=""),0)+IF('SURVEY DESIGN'!C395&lt;&gt;"",--(S389=""),0)+IF('SURVEY DESIGN'!C396&lt;&gt;"",--(T389=""),0)+IF('SURVEY DESIGN'!C397&lt;&gt;"",--(U389=""),0)+IF('SURVEY DESIGN'!C398&lt;&gt;"",--(V389=""),0)+IF('SURVEY DESIGN'!C399&lt;&gt;"",--(W389=""),0)+IF('SURVEY DESIGN'!C400&lt;&gt;"",--(X389=""),0))</x:f>
      </x:c>
      <x:c r="J389" s="130" t="str">
        <x:f>IF(A389="","",IF(C389&lt;&gt;"Yes","NO CONSENT",IF(F389&lt;SETUP!$B$9,"SPEEDING",IF(G389&lt;&gt;"Yes","ATTENTION CHECK",IF(H389="Yes","STRAIGHTLINE REVIEW",IF(I389&gt;0,"MISSING ITEMS","OK"))))))</x:f>
      </x:c>
      <x:c r="K389" s="130" t="str">
        <x:f>IF(A389="","",IF(J389="OK","Yes","No"))</x:f>
      </x:c>
      <x:c r="L389" s="130" t="str">
        <x:f>IF(A389="","",IF(J389="OK","",IF(J389="NO CONSENT","Consent not affirmed",IF(J389="SPEEDING","Completion time below threshold",IF(J389="ATTENTION CHECK","Attention check failed",IF(J389="STRAIGHTLINE REVIEW","Straightlining review threshold met","Missing scored item(s)"))))))</x:f>
      </x:c>
      <x:c r="M389" s="119"/>
      <x:c r="N389" s="119"/>
      <x:c r="O389" s="119"/>
      <x:c r="P389" s="119"/>
      <x:c r="Q389" s="119"/>
      <x:c r="R389" s="119"/>
      <x:c r="S389" s="119"/>
      <x:c r="T389" s="119"/>
      <x:c r="U389" s="119"/>
      <x:c r="V389" s="119"/>
      <x:c r="W389" s="119"/>
      <x:c r="X389" s="119"/>
      <x:c r="Y389" s="133" t="str">
        <x:f>IF(K389&lt;&gt;"Yes","",IFERROR(AVERAGE(M389:X389),""))</x:f>
      </x:c>
      <x:c r="Z389" s="119"/>
    </x:row>
    <x:row r="390">
      <x:c r="A390" s="119"/>
      <x:c r="B390" s="119"/>
      <x:c r="C390" s="119"/>
      <x:c r="D390" s="119"/>
      <x:c r="E390" s="119"/>
      <x:c r="F390" s="119"/>
      <x:c r="G390" s="119"/>
      <x:c r="H390" s="130" t="str">
        <x:f>IF(A390="","",IF(AND(COUNTA(M390:X390)&gt;=SETUP!$B$10,COUNTIF(M390:X390,MAX(M390:X390))=COUNTA(M390:X390)),"Yes","No"))</x:f>
      </x:c>
      <x:c r="I390" s="130" t="str">
        <x:f>IF(A390="","",IF('SURVEY DESIGN'!C390&lt;&gt;"",--(M390=""),0)+IF('SURVEY DESIGN'!C391&lt;&gt;"",--(N390=""),0)+IF('SURVEY DESIGN'!C392&lt;&gt;"",--(O390=""),0)+IF('SURVEY DESIGN'!C393&lt;&gt;"",--(P390=""),0)+IF('SURVEY DESIGN'!C394&lt;&gt;"",--(Q390=""),0)+IF('SURVEY DESIGN'!C395&lt;&gt;"",--(R390=""),0)+IF('SURVEY DESIGN'!C396&lt;&gt;"",--(S390=""),0)+IF('SURVEY DESIGN'!C397&lt;&gt;"",--(T390=""),0)+IF('SURVEY DESIGN'!C398&lt;&gt;"",--(U390=""),0)+IF('SURVEY DESIGN'!C399&lt;&gt;"",--(V390=""),0)+IF('SURVEY DESIGN'!C400&lt;&gt;"",--(W390=""),0)+IF('SURVEY DESIGN'!C401&lt;&gt;"",--(X390=""),0))</x:f>
      </x:c>
      <x:c r="J390" s="130" t="str">
        <x:f>IF(A390="","",IF(C390&lt;&gt;"Yes","NO CONSENT",IF(F390&lt;SETUP!$B$9,"SPEEDING",IF(G390&lt;&gt;"Yes","ATTENTION CHECK",IF(H390="Yes","STRAIGHTLINE REVIEW",IF(I390&gt;0,"MISSING ITEMS","OK"))))))</x:f>
      </x:c>
      <x:c r="K390" s="130" t="str">
        <x:f>IF(A390="","",IF(J390="OK","Yes","No"))</x:f>
      </x:c>
      <x:c r="L390" s="130" t="str">
        <x:f>IF(A390="","",IF(J390="OK","",IF(J390="NO CONSENT","Consent not affirmed",IF(J390="SPEEDING","Completion time below threshold",IF(J390="ATTENTION CHECK","Attention check failed",IF(J390="STRAIGHTLINE REVIEW","Straightlining review threshold met","Missing scored item(s)"))))))</x:f>
      </x:c>
      <x:c r="M390" s="119"/>
      <x:c r="N390" s="119"/>
      <x:c r="O390" s="119"/>
      <x:c r="P390" s="119"/>
      <x:c r="Q390" s="119"/>
      <x:c r="R390" s="119"/>
      <x:c r="S390" s="119"/>
      <x:c r="T390" s="119"/>
      <x:c r="U390" s="119"/>
      <x:c r="V390" s="119"/>
      <x:c r="W390" s="119"/>
      <x:c r="X390" s="119"/>
      <x:c r="Y390" s="133" t="str">
        <x:f>IF(K390&lt;&gt;"Yes","",IFERROR(AVERAGE(M390:X390),""))</x:f>
      </x:c>
      <x:c r="Z390" s="119"/>
    </x:row>
    <x:row r="391">
      <x:c r="A391" s="119"/>
      <x:c r="B391" s="119"/>
      <x:c r="C391" s="119"/>
      <x:c r="D391" s="119"/>
      <x:c r="E391" s="119"/>
      <x:c r="F391" s="119"/>
      <x:c r="G391" s="119"/>
      <x:c r="H391" s="130" t="str">
        <x:f>IF(A391="","",IF(AND(COUNTA(M391:X391)&gt;=SETUP!$B$10,COUNTIF(M391:X391,MAX(M391:X391))=COUNTA(M391:X391)),"Yes","No"))</x:f>
      </x:c>
      <x:c r="I391" s="130" t="str">
        <x:f>IF(A391="","",IF('SURVEY DESIGN'!C391&lt;&gt;"",--(M391=""),0)+IF('SURVEY DESIGN'!C392&lt;&gt;"",--(N391=""),0)+IF('SURVEY DESIGN'!C393&lt;&gt;"",--(O391=""),0)+IF('SURVEY DESIGN'!C394&lt;&gt;"",--(P391=""),0)+IF('SURVEY DESIGN'!C395&lt;&gt;"",--(Q391=""),0)+IF('SURVEY DESIGN'!C396&lt;&gt;"",--(R391=""),0)+IF('SURVEY DESIGN'!C397&lt;&gt;"",--(S391=""),0)+IF('SURVEY DESIGN'!C398&lt;&gt;"",--(T391=""),0)+IF('SURVEY DESIGN'!C399&lt;&gt;"",--(U391=""),0)+IF('SURVEY DESIGN'!C400&lt;&gt;"",--(V391=""),0)+IF('SURVEY DESIGN'!C401&lt;&gt;"",--(W391=""),0)+IF('SURVEY DESIGN'!C402&lt;&gt;"",--(X391=""),0))</x:f>
      </x:c>
      <x:c r="J391" s="130" t="str">
        <x:f>IF(A391="","",IF(C391&lt;&gt;"Yes","NO CONSENT",IF(F391&lt;SETUP!$B$9,"SPEEDING",IF(G391&lt;&gt;"Yes","ATTENTION CHECK",IF(H391="Yes","STRAIGHTLINE REVIEW",IF(I391&gt;0,"MISSING ITEMS","OK"))))))</x:f>
      </x:c>
      <x:c r="K391" s="130" t="str">
        <x:f>IF(A391="","",IF(J391="OK","Yes","No"))</x:f>
      </x:c>
      <x:c r="L391" s="130" t="str">
        <x:f>IF(A391="","",IF(J391="OK","",IF(J391="NO CONSENT","Consent not affirmed",IF(J391="SPEEDING","Completion time below threshold",IF(J391="ATTENTION CHECK","Attention check failed",IF(J391="STRAIGHTLINE REVIEW","Straightlining review threshold met","Missing scored item(s)"))))))</x:f>
      </x:c>
      <x:c r="M391" s="119"/>
      <x:c r="N391" s="119"/>
      <x:c r="O391" s="119"/>
      <x:c r="P391" s="119"/>
      <x:c r="Q391" s="119"/>
      <x:c r="R391" s="119"/>
      <x:c r="S391" s="119"/>
      <x:c r="T391" s="119"/>
      <x:c r="U391" s="119"/>
      <x:c r="V391" s="119"/>
      <x:c r="W391" s="119"/>
      <x:c r="X391" s="119"/>
      <x:c r="Y391" s="133" t="str">
        <x:f>IF(K391&lt;&gt;"Yes","",IFERROR(AVERAGE(M391:X391),""))</x:f>
      </x:c>
      <x:c r="Z391" s="119"/>
    </x:row>
    <x:row r="392">
      <x:c r="A392" s="119"/>
      <x:c r="B392" s="119"/>
      <x:c r="C392" s="119"/>
      <x:c r="D392" s="119"/>
      <x:c r="E392" s="119"/>
      <x:c r="F392" s="119"/>
      <x:c r="G392" s="119"/>
      <x:c r="H392" s="130" t="str">
        <x:f>IF(A392="","",IF(AND(COUNTA(M392:X392)&gt;=SETUP!$B$10,COUNTIF(M392:X392,MAX(M392:X392))=COUNTA(M392:X392)),"Yes","No"))</x:f>
      </x:c>
      <x:c r="I392" s="130" t="str">
        <x:f>IF(A392="","",IF('SURVEY DESIGN'!C392&lt;&gt;"",--(M392=""),0)+IF('SURVEY DESIGN'!C393&lt;&gt;"",--(N392=""),0)+IF('SURVEY DESIGN'!C394&lt;&gt;"",--(O392=""),0)+IF('SURVEY DESIGN'!C395&lt;&gt;"",--(P392=""),0)+IF('SURVEY DESIGN'!C396&lt;&gt;"",--(Q392=""),0)+IF('SURVEY DESIGN'!C397&lt;&gt;"",--(R392=""),0)+IF('SURVEY DESIGN'!C398&lt;&gt;"",--(S392=""),0)+IF('SURVEY DESIGN'!C399&lt;&gt;"",--(T392=""),0)+IF('SURVEY DESIGN'!C400&lt;&gt;"",--(U392=""),0)+IF('SURVEY DESIGN'!C401&lt;&gt;"",--(V392=""),0)+IF('SURVEY DESIGN'!C402&lt;&gt;"",--(W392=""),0)+IF('SURVEY DESIGN'!C403&lt;&gt;"",--(X392=""),0))</x:f>
      </x:c>
      <x:c r="J392" s="130" t="str">
        <x:f>IF(A392="","",IF(C392&lt;&gt;"Yes","NO CONSENT",IF(F392&lt;SETUP!$B$9,"SPEEDING",IF(G392&lt;&gt;"Yes","ATTENTION CHECK",IF(H392="Yes","STRAIGHTLINE REVIEW",IF(I392&gt;0,"MISSING ITEMS","OK"))))))</x:f>
      </x:c>
      <x:c r="K392" s="130" t="str">
        <x:f>IF(A392="","",IF(J392="OK","Yes","No"))</x:f>
      </x:c>
      <x:c r="L392" s="130" t="str">
        <x:f>IF(A392="","",IF(J392="OK","",IF(J392="NO CONSENT","Consent not affirmed",IF(J392="SPEEDING","Completion time below threshold",IF(J392="ATTENTION CHECK","Attention check failed",IF(J392="STRAIGHTLINE REVIEW","Straightlining review threshold met","Missing scored item(s)"))))))</x:f>
      </x:c>
      <x:c r="M392" s="119"/>
      <x:c r="N392" s="119"/>
      <x:c r="O392" s="119"/>
      <x:c r="P392" s="119"/>
      <x:c r="Q392" s="119"/>
      <x:c r="R392" s="119"/>
      <x:c r="S392" s="119"/>
      <x:c r="T392" s="119"/>
      <x:c r="U392" s="119"/>
      <x:c r="V392" s="119"/>
      <x:c r="W392" s="119"/>
      <x:c r="X392" s="119"/>
      <x:c r="Y392" s="133" t="str">
        <x:f>IF(K392&lt;&gt;"Yes","",IFERROR(AVERAGE(M392:X392),""))</x:f>
      </x:c>
      <x:c r="Z392" s="119"/>
    </x:row>
    <x:row r="393">
      <x:c r="A393" s="119"/>
      <x:c r="B393" s="119"/>
      <x:c r="C393" s="119"/>
      <x:c r="D393" s="119"/>
      <x:c r="E393" s="119"/>
      <x:c r="F393" s="119"/>
      <x:c r="G393" s="119"/>
      <x:c r="H393" s="130" t="str">
        <x:f>IF(A393="","",IF(AND(COUNTA(M393:X393)&gt;=SETUP!$B$10,COUNTIF(M393:X393,MAX(M393:X393))=COUNTA(M393:X393)),"Yes","No"))</x:f>
      </x:c>
      <x:c r="I393" s="130" t="str">
        <x:f>IF(A393="","",IF('SURVEY DESIGN'!C393&lt;&gt;"",--(M393=""),0)+IF('SURVEY DESIGN'!C394&lt;&gt;"",--(N393=""),0)+IF('SURVEY DESIGN'!C395&lt;&gt;"",--(O393=""),0)+IF('SURVEY DESIGN'!C396&lt;&gt;"",--(P393=""),0)+IF('SURVEY DESIGN'!C397&lt;&gt;"",--(Q393=""),0)+IF('SURVEY DESIGN'!C398&lt;&gt;"",--(R393=""),0)+IF('SURVEY DESIGN'!C399&lt;&gt;"",--(S393=""),0)+IF('SURVEY DESIGN'!C400&lt;&gt;"",--(T393=""),0)+IF('SURVEY DESIGN'!C401&lt;&gt;"",--(U393=""),0)+IF('SURVEY DESIGN'!C402&lt;&gt;"",--(V393=""),0)+IF('SURVEY DESIGN'!C403&lt;&gt;"",--(W393=""),0)+IF('SURVEY DESIGN'!C404&lt;&gt;"",--(X393=""),0))</x:f>
      </x:c>
      <x:c r="J393" s="130" t="str">
        <x:f>IF(A393="","",IF(C393&lt;&gt;"Yes","NO CONSENT",IF(F393&lt;SETUP!$B$9,"SPEEDING",IF(G393&lt;&gt;"Yes","ATTENTION CHECK",IF(H393="Yes","STRAIGHTLINE REVIEW",IF(I393&gt;0,"MISSING ITEMS","OK"))))))</x:f>
      </x:c>
      <x:c r="K393" s="130" t="str">
        <x:f>IF(A393="","",IF(J393="OK","Yes","No"))</x:f>
      </x:c>
      <x:c r="L393" s="130" t="str">
        <x:f>IF(A393="","",IF(J393="OK","",IF(J393="NO CONSENT","Consent not affirmed",IF(J393="SPEEDING","Completion time below threshold",IF(J393="ATTENTION CHECK","Attention check failed",IF(J393="STRAIGHTLINE REVIEW","Straightlining review threshold met","Missing scored item(s)"))))))</x:f>
      </x:c>
      <x:c r="M393" s="119"/>
      <x:c r="N393" s="119"/>
      <x:c r="O393" s="119"/>
      <x:c r="P393" s="119"/>
      <x:c r="Q393" s="119"/>
      <x:c r="R393" s="119"/>
      <x:c r="S393" s="119"/>
      <x:c r="T393" s="119"/>
      <x:c r="U393" s="119"/>
      <x:c r="V393" s="119"/>
      <x:c r="W393" s="119"/>
      <x:c r="X393" s="119"/>
      <x:c r="Y393" s="133" t="str">
        <x:f>IF(K393&lt;&gt;"Yes","",IFERROR(AVERAGE(M393:X393),""))</x:f>
      </x:c>
      <x:c r="Z393" s="119"/>
    </x:row>
    <x:row r="394">
      <x:c r="A394" s="119"/>
      <x:c r="B394" s="119"/>
      <x:c r="C394" s="119"/>
      <x:c r="D394" s="119"/>
      <x:c r="E394" s="119"/>
      <x:c r="F394" s="119"/>
      <x:c r="G394" s="119"/>
      <x:c r="H394" s="130" t="str">
        <x:f>IF(A394="","",IF(AND(COUNTA(M394:X394)&gt;=SETUP!$B$10,COUNTIF(M394:X394,MAX(M394:X394))=COUNTA(M394:X394)),"Yes","No"))</x:f>
      </x:c>
      <x:c r="I394" s="130" t="str">
        <x:f>IF(A394="","",IF('SURVEY DESIGN'!C394&lt;&gt;"",--(M394=""),0)+IF('SURVEY DESIGN'!C395&lt;&gt;"",--(N394=""),0)+IF('SURVEY DESIGN'!C396&lt;&gt;"",--(O394=""),0)+IF('SURVEY DESIGN'!C397&lt;&gt;"",--(P394=""),0)+IF('SURVEY DESIGN'!C398&lt;&gt;"",--(Q394=""),0)+IF('SURVEY DESIGN'!C399&lt;&gt;"",--(R394=""),0)+IF('SURVEY DESIGN'!C400&lt;&gt;"",--(S394=""),0)+IF('SURVEY DESIGN'!C401&lt;&gt;"",--(T394=""),0)+IF('SURVEY DESIGN'!C402&lt;&gt;"",--(U394=""),0)+IF('SURVEY DESIGN'!C403&lt;&gt;"",--(V394=""),0)+IF('SURVEY DESIGN'!C404&lt;&gt;"",--(W394=""),0)+IF('SURVEY DESIGN'!C405&lt;&gt;"",--(X394=""),0))</x:f>
      </x:c>
      <x:c r="J394" s="130" t="str">
        <x:f>IF(A394="","",IF(C394&lt;&gt;"Yes","NO CONSENT",IF(F394&lt;SETUP!$B$9,"SPEEDING",IF(G394&lt;&gt;"Yes","ATTENTION CHECK",IF(H394="Yes","STRAIGHTLINE REVIEW",IF(I394&gt;0,"MISSING ITEMS","OK"))))))</x:f>
      </x:c>
      <x:c r="K394" s="130" t="str">
        <x:f>IF(A394="","",IF(J394="OK","Yes","No"))</x:f>
      </x:c>
      <x:c r="L394" s="130" t="str">
        <x:f>IF(A394="","",IF(J394="OK","",IF(J394="NO CONSENT","Consent not affirmed",IF(J394="SPEEDING","Completion time below threshold",IF(J394="ATTENTION CHECK","Attention check failed",IF(J394="STRAIGHTLINE REVIEW","Straightlining review threshold met","Missing scored item(s)"))))))</x:f>
      </x:c>
      <x:c r="M394" s="119"/>
      <x:c r="N394" s="119"/>
      <x:c r="O394" s="119"/>
      <x:c r="P394" s="119"/>
      <x:c r="Q394" s="119"/>
      <x:c r="R394" s="119"/>
      <x:c r="S394" s="119"/>
      <x:c r="T394" s="119"/>
      <x:c r="U394" s="119"/>
      <x:c r="V394" s="119"/>
      <x:c r="W394" s="119"/>
      <x:c r="X394" s="119"/>
      <x:c r="Y394" s="133" t="str">
        <x:f>IF(K394&lt;&gt;"Yes","",IFERROR(AVERAGE(M394:X394),""))</x:f>
      </x:c>
      <x:c r="Z394" s="119"/>
    </x:row>
    <x:row r="395">
      <x:c r="A395" s="119"/>
      <x:c r="B395" s="119"/>
      <x:c r="C395" s="119"/>
      <x:c r="D395" s="119"/>
      <x:c r="E395" s="119"/>
      <x:c r="F395" s="119"/>
      <x:c r="G395" s="119"/>
      <x:c r="H395" s="130" t="str">
        <x:f>IF(A395="","",IF(AND(COUNTA(M395:X395)&gt;=SETUP!$B$10,COUNTIF(M395:X395,MAX(M395:X395))=COUNTA(M395:X395)),"Yes","No"))</x:f>
      </x:c>
      <x:c r="I395" s="130" t="str">
        <x:f>IF(A395="","",IF('SURVEY DESIGN'!C395&lt;&gt;"",--(M395=""),0)+IF('SURVEY DESIGN'!C396&lt;&gt;"",--(N395=""),0)+IF('SURVEY DESIGN'!C397&lt;&gt;"",--(O395=""),0)+IF('SURVEY DESIGN'!C398&lt;&gt;"",--(P395=""),0)+IF('SURVEY DESIGN'!C399&lt;&gt;"",--(Q395=""),0)+IF('SURVEY DESIGN'!C400&lt;&gt;"",--(R395=""),0)+IF('SURVEY DESIGN'!C401&lt;&gt;"",--(S395=""),0)+IF('SURVEY DESIGN'!C402&lt;&gt;"",--(T395=""),0)+IF('SURVEY DESIGN'!C403&lt;&gt;"",--(U395=""),0)+IF('SURVEY DESIGN'!C404&lt;&gt;"",--(V395=""),0)+IF('SURVEY DESIGN'!C405&lt;&gt;"",--(W395=""),0)+IF('SURVEY DESIGN'!C406&lt;&gt;"",--(X395=""),0))</x:f>
      </x:c>
      <x:c r="J395" s="130" t="str">
        <x:f>IF(A395="","",IF(C395&lt;&gt;"Yes","NO CONSENT",IF(F395&lt;SETUP!$B$9,"SPEEDING",IF(G395&lt;&gt;"Yes","ATTENTION CHECK",IF(H395="Yes","STRAIGHTLINE REVIEW",IF(I395&gt;0,"MISSING ITEMS","OK"))))))</x:f>
      </x:c>
      <x:c r="K395" s="130" t="str">
        <x:f>IF(A395="","",IF(J395="OK","Yes","No"))</x:f>
      </x:c>
      <x:c r="L395" s="130" t="str">
        <x:f>IF(A395="","",IF(J395="OK","",IF(J395="NO CONSENT","Consent not affirmed",IF(J395="SPEEDING","Completion time below threshold",IF(J395="ATTENTION CHECK","Attention check failed",IF(J395="STRAIGHTLINE REVIEW","Straightlining review threshold met","Missing scored item(s)"))))))</x:f>
      </x:c>
      <x:c r="M395" s="119"/>
      <x:c r="N395" s="119"/>
      <x:c r="O395" s="119"/>
      <x:c r="P395" s="119"/>
      <x:c r="Q395" s="119"/>
      <x:c r="R395" s="119"/>
      <x:c r="S395" s="119"/>
      <x:c r="T395" s="119"/>
      <x:c r="U395" s="119"/>
      <x:c r="V395" s="119"/>
      <x:c r="W395" s="119"/>
      <x:c r="X395" s="119"/>
      <x:c r="Y395" s="133" t="str">
        <x:f>IF(K395&lt;&gt;"Yes","",IFERROR(AVERAGE(M395:X395),""))</x:f>
      </x:c>
      <x:c r="Z395" s="119"/>
    </x:row>
    <x:row r="396">
      <x:c r="A396" s="119"/>
      <x:c r="B396" s="119"/>
      <x:c r="C396" s="119"/>
      <x:c r="D396" s="119"/>
      <x:c r="E396" s="119"/>
      <x:c r="F396" s="119"/>
      <x:c r="G396" s="119"/>
      <x:c r="H396" s="130" t="str">
        <x:f>IF(A396="","",IF(AND(COUNTA(M396:X396)&gt;=SETUP!$B$10,COUNTIF(M396:X396,MAX(M396:X396))=COUNTA(M396:X396)),"Yes","No"))</x:f>
      </x:c>
      <x:c r="I396" s="130" t="str">
        <x:f>IF(A396="","",IF('SURVEY DESIGN'!C396&lt;&gt;"",--(M396=""),0)+IF('SURVEY DESIGN'!C397&lt;&gt;"",--(N396=""),0)+IF('SURVEY DESIGN'!C398&lt;&gt;"",--(O396=""),0)+IF('SURVEY DESIGN'!C399&lt;&gt;"",--(P396=""),0)+IF('SURVEY DESIGN'!C400&lt;&gt;"",--(Q396=""),0)+IF('SURVEY DESIGN'!C401&lt;&gt;"",--(R396=""),0)+IF('SURVEY DESIGN'!C402&lt;&gt;"",--(S396=""),0)+IF('SURVEY DESIGN'!C403&lt;&gt;"",--(T396=""),0)+IF('SURVEY DESIGN'!C404&lt;&gt;"",--(U396=""),0)+IF('SURVEY DESIGN'!C405&lt;&gt;"",--(V396=""),0)+IF('SURVEY DESIGN'!C406&lt;&gt;"",--(W396=""),0)+IF('SURVEY DESIGN'!C407&lt;&gt;"",--(X396=""),0))</x:f>
      </x:c>
      <x:c r="J396" s="130" t="str">
        <x:f>IF(A396="","",IF(C396&lt;&gt;"Yes","NO CONSENT",IF(F396&lt;SETUP!$B$9,"SPEEDING",IF(G396&lt;&gt;"Yes","ATTENTION CHECK",IF(H396="Yes","STRAIGHTLINE REVIEW",IF(I396&gt;0,"MISSING ITEMS","OK"))))))</x:f>
      </x:c>
      <x:c r="K396" s="130" t="str">
        <x:f>IF(A396="","",IF(J396="OK","Yes","No"))</x:f>
      </x:c>
      <x:c r="L396" s="130" t="str">
        <x:f>IF(A396="","",IF(J396="OK","",IF(J396="NO CONSENT","Consent not affirmed",IF(J396="SPEEDING","Completion time below threshold",IF(J396="ATTENTION CHECK","Attention check failed",IF(J396="STRAIGHTLINE REVIEW","Straightlining review threshold met","Missing scored item(s)"))))))</x:f>
      </x:c>
      <x:c r="M396" s="119"/>
      <x:c r="N396" s="119"/>
      <x:c r="O396" s="119"/>
      <x:c r="P396" s="119"/>
      <x:c r="Q396" s="119"/>
      <x:c r="R396" s="119"/>
      <x:c r="S396" s="119"/>
      <x:c r="T396" s="119"/>
      <x:c r="U396" s="119"/>
      <x:c r="V396" s="119"/>
      <x:c r="W396" s="119"/>
      <x:c r="X396" s="119"/>
      <x:c r="Y396" s="133" t="str">
        <x:f>IF(K396&lt;&gt;"Yes","",IFERROR(AVERAGE(M396:X396),""))</x:f>
      </x:c>
      <x:c r="Z396" s="119"/>
    </x:row>
    <x:row r="397">
      <x:c r="A397" s="119"/>
      <x:c r="B397" s="119"/>
      <x:c r="C397" s="119"/>
      <x:c r="D397" s="119"/>
      <x:c r="E397" s="119"/>
      <x:c r="F397" s="119"/>
      <x:c r="G397" s="119"/>
      <x:c r="H397" s="130" t="str">
        <x:f>IF(A397="","",IF(AND(COUNTA(M397:X397)&gt;=SETUP!$B$10,COUNTIF(M397:X397,MAX(M397:X397))=COUNTA(M397:X397)),"Yes","No"))</x:f>
      </x:c>
      <x:c r="I397" s="130" t="str">
        <x:f>IF(A397="","",IF('SURVEY DESIGN'!C397&lt;&gt;"",--(M397=""),0)+IF('SURVEY DESIGN'!C398&lt;&gt;"",--(N397=""),0)+IF('SURVEY DESIGN'!C399&lt;&gt;"",--(O397=""),0)+IF('SURVEY DESIGN'!C400&lt;&gt;"",--(P397=""),0)+IF('SURVEY DESIGN'!C401&lt;&gt;"",--(Q397=""),0)+IF('SURVEY DESIGN'!C402&lt;&gt;"",--(R397=""),0)+IF('SURVEY DESIGN'!C403&lt;&gt;"",--(S397=""),0)+IF('SURVEY DESIGN'!C404&lt;&gt;"",--(T397=""),0)+IF('SURVEY DESIGN'!C405&lt;&gt;"",--(U397=""),0)+IF('SURVEY DESIGN'!C406&lt;&gt;"",--(V397=""),0)+IF('SURVEY DESIGN'!C407&lt;&gt;"",--(W397=""),0)+IF('SURVEY DESIGN'!C408&lt;&gt;"",--(X397=""),0))</x:f>
      </x:c>
      <x:c r="J397" s="130" t="str">
        <x:f>IF(A397="","",IF(C397&lt;&gt;"Yes","NO CONSENT",IF(F397&lt;SETUP!$B$9,"SPEEDING",IF(G397&lt;&gt;"Yes","ATTENTION CHECK",IF(H397="Yes","STRAIGHTLINE REVIEW",IF(I397&gt;0,"MISSING ITEMS","OK"))))))</x:f>
      </x:c>
      <x:c r="K397" s="130" t="str">
        <x:f>IF(A397="","",IF(J397="OK","Yes","No"))</x:f>
      </x:c>
      <x:c r="L397" s="130" t="str">
        <x:f>IF(A397="","",IF(J397="OK","",IF(J397="NO CONSENT","Consent not affirmed",IF(J397="SPEEDING","Completion time below threshold",IF(J397="ATTENTION CHECK","Attention check failed",IF(J397="STRAIGHTLINE REVIEW","Straightlining review threshold met","Missing scored item(s)"))))))</x:f>
      </x:c>
      <x:c r="M397" s="119"/>
      <x:c r="N397" s="119"/>
      <x:c r="O397" s="119"/>
      <x:c r="P397" s="119"/>
      <x:c r="Q397" s="119"/>
      <x:c r="R397" s="119"/>
      <x:c r="S397" s="119"/>
      <x:c r="T397" s="119"/>
      <x:c r="U397" s="119"/>
      <x:c r="V397" s="119"/>
      <x:c r="W397" s="119"/>
      <x:c r="X397" s="119"/>
      <x:c r="Y397" s="133" t="str">
        <x:f>IF(K397&lt;&gt;"Yes","",IFERROR(AVERAGE(M397:X397),""))</x:f>
      </x:c>
      <x:c r="Z397" s="119"/>
    </x:row>
    <x:row r="398">
      <x:c r="A398" s="119"/>
      <x:c r="B398" s="119"/>
      <x:c r="C398" s="119"/>
      <x:c r="D398" s="119"/>
      <x:c r="E398" s="119"/>
      <x:c r="F398" s="119"/>
      <x:c r="G398" s="119"/>
      <x:c r="H398" s="130" t="str">
        <x:f>IF(A398="","",IF(AND(COUNTA(M398:X398)&gt;=SETUP!$B$10,COUNTIF(M398:X398,MAX(M398:X398))=COUNTA(M398:X398)),"Yes","No"))</x:f>
      </x:c>
      <x:c r="I398" s="130" t="str">
        <x:f>IF(A398="","",IF('SURVEY DESIGN'!C398&lt;&gt;"",--(M398=""),0)+IF('SURVEY DESIGN'!C399&lt;&gt;"",--(N398=""),0)+IF('SURVEY DESIGN'!C400&lt;&gt;"",--(O398=""),0)+IF('SURVEY DESIGN'!C401&lt;&gt;"",--(P398=""),0)+IF('SURVEY DESIGN'!C402&lt;&gt;"",--(Q398=""),0)+IF('SURVEY DESIGN'!C403&lt;&gt;"",--(R398=""),0)+IF('SURVEY DESIGN'!C404&lt;&gt;"",--(S398=""),0)+IF('SURVEY DESIGN'!C405&lt;&gt;"",--(T398=""),0)+IF('SURVEY DESIGN'!C406&lt;&gt;"",--(U398=""),0)+IF('SURVEY DESIGN'!C407&lt;&gt;"",--(V398=""),0)+IF('SURVEY DESIGN'!C408&lt;&gt;"",--(W398=""),0)+IF('SURVEY DESIGN'!C409&lt;&gt;"",--(X398=""),0))</x:f>
      </x:c>
      <x:c r="J398" s="130" t="str">
        <x:f>IF(A398="","",IF(C398&lt;&gt;"Yes","NO CONSENT",IF(F398&lt;SETUP!$B$9,"SPEEDING",IF(G398&lt;&gt;"Yes","ATTENTION CHECK",IF(H398="Yes","STRAIGHTLINE REVIEW",IF(I398&gt;0,"MISSING ITEMS","OK"))))))</x:f>
      </x:c>
      <x:c r="K398" s="130" t="str">
        <x:f>IF(A398="","",IF(J398="OK","Yes","No"))</x:f>
      </x:c>
      <x:c r="L398" s="130" t="str">
        <x:f>IF(A398="","",IF(J398="OK","",IF(J398="NO CONSENT","Consent not affirmed",IF(J398="SPEEDING","Completion time below threshold",IF(J398="ATTENTION CHECK","Attention check failed",IF(J398="STRAIGHTLINE REVIEW","Straightlining review threshold met","Missing scored item(s)"))))))</x:f>
      </x:c>
      <x:c r="M398" s="119"/>
      <x:c r="N398" s="119"/>
      <x:c r="O398" s="119"/>
      <x:c r="P398" s="119"/>
      <x:c r="Q398" s="119"/>
      <x:c r="R398" s="119"/>
      <x:c r="S398" s="119"/>
      <x:c r="T398" s="119"/>
      <x:c r="U398" s="119"/>
      <x:c r="V398" s="119"/>
      <x:c r="W398" s="119"/>
      <x:c r="X398" s="119"/>
      <x:c r="Y398" s="133" t="str">
        <x:f>IF(K398&lt;&gt;"Yes","",IFERROR(AVERAGE(M398:X398),""))</x:f>
      </x:c>
      <x:c r="Z398" s="119"/>
    </x:row>
    <x:row r="399">
      <x:c r="A399" s="119"/>
      <x:c r="B399" s="119"/>
      <x:c r="C399" s="119"/>
      <x:c r="D399" s="119"/>
      <x:c r="E399" s="119"/>
      <x:c r="F399" s="119"/>
      <x:c r="G399" s="119"/>
      <x:c r="H399" s="130" t="str">
        <x:f>IF(A399="","",IF(AND(COUNTA(M399:X399)&gt;=SETUP!$B$10,COUNTIF(M399:X399,MAX(M399:X399))=COUNTA(M399:X399)),"Yes","No"))</x:f>
      </x:c>
      <x:c r="I399" s="130" t="str">
        <x:f>IF(A399="","",IF('SURVEY DESIGN'!C399&lt;&gt;"",--(M399=""),0)+IF('SURVEY DESIGN'!C400&lt;&gt;"",--(N399=""),0)+IF('SURVEY DESIGN'!C401&lt;&gt;"",--(O399=""),0)+IF('SURVEY DESIGN'!C402&lt;&gt;"",--(P399=""),0)+IF('SURVEY DESIGN'!C403&lt;&gt;"",--(Q399=""),0)+IF('SURVEY DESIGN'!C404&lt;&gt;"",--(R399=""),0)+IF('SURVEY DESIGN'!C405&lt;&gt;"",--(S399=""),0)+IF('SURVEY DESIGN'!C406&lt;&gt;"",--(T399=""),0)+IF('SURVEY DESIGN'!C407&lt;&gt;"",--(U399=""),0)+IF('SURVEY DESIGN'!C408&lt;&gt;"",--(V399=""),0)+IF('SURVEY DESIGN'!C409&lt;&gt;"",--(W399=""),0)+IF('SURVEY DESIGN'!C410&lt;&gt;"",--(X399=""),0))</x:f>
      </x:c>
      <x:c r="J399" s="130" t="str">
        <x:f>IF(A399="","",IF(C399&lt;&gt;"Yes","NO CONSENT",IF(F399&lt;SETUP!$B$9,"SPEEDING",IF(G399&lt;&gt;"Yes","ATTENTION CHECK",IF(H399="Yes","STRAIGHTLINE REVIEW",IF(I399&gt;0,"MISSING ITEMS","OK"))))))</x:f>
      </x:c>
      <x:c r="K399" s="130" t="str">
        <x:f>IF(A399="","",IF(J399="OK","Yes","No"))</x:f>
      </x:c>
      <x:c r="L399" s="130" t="str">
        <x:f>IF(A399="","",IF(J399="OK","",IF(J399="NO CONSENT","Consent not affirmed",IF(J399="SPEEDING","Completion time below threshold",IF(J399="ATTENTION CHECK","Attention check failed",IF(J399="STRAIGHTLINE REVIEW","Straightlining review threshold met","Missing scored item(s)"))))))</x:f>
      </x:c>
      <x:c r="M399" s="119"/>
      <x:c r="N399" s="119"/>
      <x:c r="O399" s="119"/>
      <x:c r="P399" s="119"/>
      <x:c r="Q399" s="119"/>
      <x:c r="R399" s="119"/>
      <x:c r="S399" s="119"/>
      <x:c r="T399" s="119"/>
      <x:c r="U399" s="119"/>
      <x:c r="V399" s="119"/>
      <x:c r="W399" s="119"/>
      <x:c r="X399" s="119"/>
      <x:c r="Y399" s="133" t="str">
        <x:f>IF(K399&lt;&gt;"Yes","",IFERROR(AVERAGE(M399:X399),""))</x:f>
      </x:c>
      <x:c r="Z399" s="119"/>
    </x:row>
    <x:row r="400">
      <x:c r="A400" s="119"/>
      <x:c r="B400" s="119"/>
      <x:c r="C400" s="119"/>
      <x:c r="D400" s="119"/>
      <x:c r="E400" s="119"/>
      <x:c r="F400" s="119"/>
      <x:c r="G400" s="119"/>
      <x:c r="H400" s="130" t="str">
        <x:f>IF(A400="","",IF(AND(COUNTA(M400:X400)&gt;=SETUP!$B$10,COUNTIF(M400:X400,MAX(M400:X400))=COUNTA(M400:X400)),"Yes","No"))</x:f>
      </x:c>
      <x:c r="I400" s="130" t="str">
        <x:f>IF(A400="","",IF('SURVEY DESIGN'!C400&lt;&gt;"",--(M400=""),0)+IF('SURVEY DESIGN'!C401&lt;&gt;"",--(N400=""),0)+IF('SURVEY DESIGN'!C402&lt;&gt;"",--(O400=""),0)+IF('SURVEY DESIGN'!C403&lt;&gt;"",--(P400=""),0)+IF('SURVEY DESIGN'!C404&lt;&gt;"",--(Q400=""),0)+IF('SURVEY DESIGN'!C405&lt;&gt;"",--(R400=""),0)+IF('SURVEY DESIGN'!C406&lt;&gt;"",--(S400=""),0)+IF('SURVEY DESIGN'!C407&lt;&gt;"",--(T400=""),0)+IF('SURVEY DESIGN'!C408&lt;&gt;"",--(U400=""),0)+IF('SURVEY DESIGN'!C409&lt;&gt;"",--(V400=""),0)+IF('SURVEY DESIGN'!C410&lt;&gt;"",--(W400=""),0)+IF('SURVEY DESIGN'!C411&lt;&gt;"",--(X400=""),0))</x:f>
      </x:c>
      <x:c r="J400" s="130" t="str">
        <x:f>IF(A400="","",IF(C400&lt;&gt;"Yes","NO CONSENT",IF(F400&lt;SETUP!$B$9,"SPEEDING",IF(G400&lt;&gt;"Yes","ATTENTION CHECK",IF(H400="Yes","STRAIGHTLINE REVIEW",IF(I400&gt;0,"MISSING ITEMS","OK"))))))</x:f>
      </x:c>
      <x:c r="K400" s="130" t="str">
        <x:f>IF(A400="","",IF(J400="OK","Yes","No"))</x:f>
      </x:c>
      <x:c r="L400" s="130" t="str">
        <x:f>IF(A400="","",IF(J400="OK","",IF(J400="NO CONSENT","Consent not affirmed",IF(J400="SPEEDING","Completion time below threshold",IF(J400="ATTENTION CHECK","Attention check failed",IF(J400="STRAIGHTLINE REVIEW","Straightlining review threshold met","Missing scored item(s)"))))))</x:f>
      </x:c>
      <x:c r="M400" s="119"/>
      <x:c r="N400" s="119"/>
      <x:c r="O400" s="119"/>
      <x:c r="P400" s="119"/>
      <x:c r="Q400" s="119"/>
      <x:c r="R400" s="119"/>
      <x:c r="S400" s="119"/>
      <x:c r="T400" s="119"/>
      <x:c r="U400" s="119"/>
      <x:c r="V400" s="119"/>
      <x:c r="W400" s="119"/>
      <x:c r="X400" s="119"/>
      <x:c r="Y400" s="133" t="str">
        <x:f>IF(K400&lt;&gt;"Yes","",IFERROR(AVERAGE(M400:X400),""))</x:f>
      </x:c>
      <x:c r="Z400" s="119"/>
    </x:row>
    <x:row r="401">
      <x:c r="A401" s="119"/>
      <x:c r="B401" s="119"/>
      <x:c r="C401" s="119"/>
      <x:c r="D401" s="119"/>
      <x:c r="E401" s="119"/>
      <x:c r="F401" s="119"/>
      <x:c r="G401" s="119"/>
      <x:c r="H401" s="130" t="str">
        <x:f>IF(A401="","",IF(AND(COUNTA(M401:X401)&gt;=SETUP!$B$10,COUNTIF(M401:X401,MAX(M401:X401))=COUNTA(M401:X401)),"Yes","No"))</x:f>
      </x:c>
      <x:c r="I401" s="130" t="str">
        <x:f>IF(A401="","",IF('SURVEY DESIGN'!C401&lt;&gt;"",--(M401=""),0)+IF('SURVEY DESIGN'!C402&lt;&gt;"",--(N401=""),0)+IF('SURVEY DESIGN'!C403&lt;&gt;"",--(O401=""),0)+IF('SURVEY DESIGN'!C404&lt;&gt;"",--(P401=""),0)+IF('SURVEY DESIGN'!C405&lt;&gt;"",--(Q401=""),0)+IF('SURVEY DESIGN'!C406&lt;&gt;"",--(R401=""),0)+IF('SURVEY DESIGN'!C407&lt;&gt;"",--(S401=""),0)+IF('SURVEY DESIGN'!C408&lt;&gt;"",--(T401=""),0)+IF('SURVEY DESIGN'!C409&lt;&gt;"",--(U401=""),0)+IF('SURVEY DESIGN'!C410&lt;&gt;"",--(V401=""),0)+IF('SURVEY DESIGN'!C411&lt;&gt;"",--(W401=""),0)+IF('SURVEY DESIGN'!C412&lt;&gt;"",--(X401=""),0))</x:f>
      </x:c>
      <x:c r="J401" s="130" t="str">
        <x:f>IF(A401="","",IF(C401&lt;&gt;"Yes","NO CONSENT",IF(F401&lt;SETUP!$B$9,"SPEEDING",IF(G401&lt;&gt;"Yes","ATTENTION CHECK",IF(H401="Yes","STRAIGHTLINE REVIEW",IF(I401&gt;0,"MISSING ITEMS","OK"))))))</x:f>
      </x:c>
      <x:c r="K401" s="130" t="str">
        <x:f>IF(A401="","",IF(J401="OK","Yes","No"))</x:f>
      </x:c>
      <x:c r="L401" s="130" t="str">
        <x:f>IF(A401="","",IF(J401="OK","",IF(J401="NO CONSENT","Consent not affirmed",IF(J401="SPEEDING","Completion time below threshold",IF(J401="ATTENTION CHECK","Attention check failed",IF(J401="STRAIGHTLINE REVIEW","Straightlining review threshold met","Missing scored item(s)"))))))</x:f>
      </x:c>
      <x:c r="M401" s="119"/>
      <x:c r="N401" s="119"/>
      <x:c r="O401" s="119"/>
      <x:c r="P401" s="119"/>
      <x:c r="Q401" s="119"/>
      <x:c r="R401" s="119"/>
      <x:c r="S401" s="119"/>
      <x:c r="T401" s="119"/>
      <x:c r="U401" s="119"/>
      <x:c r="V401" s="119"/>
      <x:c r="W401" s="119"/>
      <x:c r="X401" s="119"/>
      <x:c r="Y401" s="133" t="str">
        <x:f>IF(K401&lt;&gt;"Yes","",IFERROR(AVERAGE(M401:X401),""))</x:f>
      </x:c>
      <x:c r="Z401" s="119"/>
    </x:row>
    <x:row r="402">
      <x:c r="A402" s="119"/>
      <x:c r="B402" s="119"/>
      <x:c r="C402" s="119"/>
      <x:c r="D402" s="119"/>
      <x:c r="E402" s="119"/>
      <x:c r="F402" s="119"/>
      <x:c r="G402" s="119"/>
      <x:c r="H402" s="130" t="str">
        <x:f>IF(A402="","",IF(AND(COUNTA(M402:X402)&gt;=SETUP!$B$10,COUNTIF(M402:X402,MAX(M402:X402))=COUNTA(M402:X402)),"Yes","No"))</x:f>
      </x:c>
      <x:c r="I402" s="130" t="str">
        <x:f>IF(A402="","",IF('SURVEY DESIGN'!C402&lt;&gt;"",--(M402=""),0)+IF('SURVEY DESIGN'!C403&lt;&gt;"",--(N402=""),0)+IF('SURVEY DESIGN'!C404&lt;&gt;"",--(O402=""),0)+IF('SURVEY DESIGN'!C405&lt;&gt;"",--(P402=""),0)+IF('SURVEY DESIGN'!C406&lt;&gt;"",--(Q402=""),0)+IF('SURVEY DESIGN'!C407&lt;&gt;"",--(R402=""),0)+IF('SURVEY DESIGN'!C408&lt;&gt;"",--(S402=""),0)+IF('SURVEY DESIGN'!C409&lt;&gt;"",--(T402=""),0)+IF('SURVEY DESIGN'!C410&lt;&gt;"",--(U402=""),0)+IF('SURVEY DESIGN'!C411&lt;&gt;"",--(V402=""),0)+IF('SURVEY DESIGN'!C412&lt;&gt;"",--(W402=""),0)+IF('SURVEY DESIGN'!C413&lt;&gt;"",--(X402=""),0))</x:f>
      </x:c>
      <x:c r="J402" s="130" t="str">
        <x:f>IF(A402="","",IF(C402&lt;&gt;"Yes","NO CONSENT",IF(F402&lt;SETUP!$B$9,"SPEEDING",IF(G402&lt;&gt;"Yes","ATTENTION CHECK",IF(H402="Yes","STRAIGHTLINE REVIEW",IF(I402&gt;0,"MISSING ITEMS","OK"))))))</x:f>
      </x:c>
      <x:c r="K402" s="130" t="str">
        <x:f>IF(A402="","",IF(J402="OK","Yes","No"))</x:f>
      </x:c>
      <x:c r="L402" s="130" t="str">
        <x:f>IF(A402="","",IF(J402="OK","",IF(J402="NO CONSENT","Consent not affirmed",IF(J402="SPEEDING","Completion time below threshold",IF(J402="ATTENTION CHECK","Attention check failed",IF(J402="STRAIGHTLINE REVIEW","Straightlining review threshold met","Missing scored item(s)"))))))</x:f>
      </x:c>
      <x:c r="M402" s="119"/>
      <x:c r="N402" s="119"/>
      <x:c r="O402" s="119"/>
      <x:c r="P402" s="119"/>
      <x:c r="Q402" s="119"/>
      <x:c r="R402" s="119"/>
      <x:c r="S402" s="119"/>
      <x:c r="T402" s="119"/>
      <x:c r="U402" s="119"/>
      <x:c r="V402" s="119"/>
      <x:c r="W402" s="119"/>
      <x:c r="X402" s="119"/>
      <x:c r="Y402" s="133" t="str">
        <x:f>IF(K402&lt;&gt;"Yes","",IFERROR(AVERAGE(M402:X402),""))</x:f>
      </x:c>
      <x:c r="Z402" s="119"/>
    </x:row>
    <x:row r="403">
      <x:c r="A403" s="119"/>
      <x:c r="B403" s="119"/>
      <x:c r="C403" s="119"/>
      <x:c r="D403" s="119"/>
      <x:c r="E403" s="119"/>
      <x:c r="F403" s="119"/>
      <x:c r="G403" s="119"/>
      <x:c r="H403" s="130" t="str">
        <x:f>IF(A403="","",IF(AND(COUNTA(M403:X403)&gt;=SETUP!$B$10,COUNTIF(M403:X403,MAX(M403:X403))=COUNTA(M403:X403)),"Yes","No"))</x:f>
      </x:c>
      <x:c r="I403" s="130" t="str">
        <x:f>IF(A403="","",IF('SURVEY DESIGN'!C403&lt;&gt;"",--(M403=""),0)+IF('SURVEY DESIGN'!C404&lt;&gt;"",--(N403=""),0)+IF('SURVEY DESIGN'!C405&lt;&gt;"",--(O403=""),0)+IF('SURVEY DESIGN'!C406&lt;&gt;"",--(P403=""),0)+IF('SURVEY DESIGN'!C407&lt;&gt;"",--(Q403=""),0)+IF('SURVEY DESIGN'!C408&lt;&gt;"",--(R403=""),0)+IF('SURVEY DESIGN'!C409&lt;&gt;"",--(S403=""),0)+IF('SURVEY DESIGN'!C410&lt;&gt;"",--(T403=""),0)+IF('SURVEY DESIGN'!C411&lt;&gt;"",--(U403=""),0)+IF('SURVEY DESIGN'!C412&lt;&gt;"",--(V403=""),0)+IF('SURVEY DESIGN'!C413&lt;&gt;"",--(W403=""),0)+IF('SURVEY DESIGN'!C414&lt;&gt;"",--(X403=""),0))</x:f>
      </x:c>
      <x:c r="J403" s="130" t="str">
        <x:f>IF(A403="","",IF(C403&lt;&gt;"Yes","NO CONSENT",IF(F403&lt;SETUP!$B$9,"SPEEDING",IF(G403&lt;&gt;"Yes","ATTENTION CHECK",IF(H403="Yes","STRAIGHTLINE REVIEW",IF(I403&gt;0,"MISSING ITEMS","OK"))))))</x:f>
      </x:c>
      <x:c r="K403" s="130" t="str">
        <x:f>IF(A403="","",IF(J403="OK","Yes","No"))</x:f>
      </x:c>
      <x:c r="L403" s="130" t="str">
        <x:f>IF(A403="","",IF(J403="OK","",IF(J403="NO CONSENT","Consent not affirmed",IF(J403="SPEEDING","Completion time below threshold",IF(J403="ATTENTION CHECK","Attention check failed",IF(J403="STRAIGHTLINE REVIEW","Straightlining review threshold met","Missing scored item(s)"))))))</x:f>
      </x:c>
      <x:c r="M403" s="119"/>
      <x:c r="N403" s="119"/>
      <x:c r="O403" s="119"/>
      <x:c r="P403" s="119"/>
      <x:c r="Q403" s="119"/>
      <x:c r="R403" s="119"/>
      <x:c r="S403" s="119"/>
      <x:c r="T403" s="119"/>
      <x:c r="U403" s="119"/>
      <x:c r="V403" s="119"/>
      <x:c r="W403" s="119"/>
      <x:c r="X403" s="119"/>
      <x:c r="Y403" s="133" t="str">
        <x:f>IF(K403&lt;&gt;"Yes","",IFERROR(AVERAGE(M403:X403),""))</x:f>
      </x:c>
      <x:c r="Z403" s="119"/>
    </x:row>
    <x:row r="404">
      <x:c r="A404" s="119"/>
      <x:c r="B404" s="119"/>
      <x:c r="C404" s="119"/>
      <x:c r="D404" s="119"/>
      <x:c r="E404" s="119"/>
      <x:c r="F404" s="119"/>
      <x:c r="G404" s="119"/>
      <x:c r="H404" s="130" t="str">
        <x:f>IF(A404="","",IF(AND(COUNTA(M404:X404)&gt;=SETUP!$B$10,COUNTIF(M404:X404,MAX(M404:X404))=COUNTA(M404:X404)),"Yes","No"))</x:f>
      </x:c>
      <x:c r="I404" s="130" t="str">
        <x:f>IF(A404="","",IF('SURVEY DESIGN'!C404&lt;&gt;"",--(M404=""),0)+IF('SURVEY DESIGN'!C405&lt;&gt;"",--(N404=""),0)+IF('SURVEY DESIGN'!C406&lt;&gt;"",--(O404=""),0)+IF('SURVEY DESIGN'!C407&lt;&gt;"",--(P404=""),0)+IF('SURVEY DESIGN'!C408&lt;&gt;"",--(Q404=""),0)+IF('SURVEY DESIGN'!C409&lt;&gt;"",--(R404=""),0)+IF('SURVEY DESIGN'!C410&lt;&gt;"",--(S404=""),0)+IF('SURVEY DESIGN'!C411&lt;&gt;"",--(T404=""),0)+IF('SURVEY DESIGN'!C412&lt;&gt;"",--(U404=""),0)+IF('SURVEY DESIGN'!C413&lt;&gt;"",--(V404=""),0)+IF('SURVEY DESIGN'!C414&lt;&gt;"",--(W404=""),0)+IF('SURVEY DESIGN'!C415&lt;&gt;"",--(X404=""),0))</x:f>
      </x:c>
      <x:c r="J404" s="130" t="str">
        <x:f>IF(A404="","",IF(C404&lt;&gt;"Yes","NO CONSENT",IF(F404&lt;SETUP!$B$9,"SPEEDING",IF(G404&lt;&gt;"Yes","ATTENTION CHECK",IF(H404="Yes","STRAIGHTLINE REVIEW",IF(I404&gt;0,"MISSING ITEMS","OK"))))))</x:f>
      </x:c>
      <x:c r="K404" s="130" t="str">
        <x:f>IF(A404="","",IF(J404="OK","Yes","No"))</x:f>
      </x:c>
      <x:c r="L404" s="130" t="str">
        <x:f>IF(A404="","",IF(J404="OK","",IF(J404="NO CONSENT","Consent not affirmed",IF(J404="SPEEDING","Completion time below threshold",IF(J404="ATTENTION CHECK","Attention check failed",IF(J404="STRAIGHTLINE REVIEW","Straightlining review threshold met","Missing scored item(s)"))))))</x:f>
      </x:c>
      <x:c r="M404" s="119"/>
      <x:c r="N404" s="119"/>
      <x:c r="O404" s="119"/>
      <x:c r="P404" s="119"/>
      <x:c r="Q404" s="119"/>
      <x:c r="R404" s="119"/>
      <x:c r="S404" s="119"/>
      <x:c r="T404" s="119"/>
      <x:c r="U404" s="119"/>
      <x:c r="V404" s="119"/>
      <x:c r="W404" s="119"/>
      <x:c r="X404" s="119"/>
      <x:c r="Y404" s="133" t="str">
        <x:f>IF(K404&lt;&gt;"Yes","",IFERROR(AVERAGE(M404:X404),""))</x:f>
      </x:c>
      <x:c r="Z404" s="119"/>
    </x:row>
    <x:row r="405">
      <x:c r="A405" s="119"/>
      <x:c r="B405" s="119"/>
      <x:c r="C405" s="119"/>
      <x:c r="D405" s="119"/>
      <x:c r="E405" s="119"/>
      <x:c r="F405" s="119"/>
      <x:c r="G405" s="119"/>
      <x:c r="H405" s="130" t="str">
        <x:f>IF(A405="","",IF(AND(COUNTA(M405:X405)&gt;=SETUP!$B$10,COUNTIF(M405:X405,MAX(M405:X405))=COUNTA(M405:X405)),"Yes","No"))</x:f>
      </x:c>
      <x:c r="I405" s="130" t="str">
        <x:f>IF(A405="","",IF('SURVEY DESIGN'!C405&lt;&gt;"",--(M405=""),0)+IF('SURVEY DESIGN'!C406&lt;&gt;"",--(N405=""),0)+IF('SURVEY DESIGN'!C407&lt;&gt;"",--(O405=""),0)+IF('SURVEY DESIGN'!C408&lt;&gt;"",--(P405=""),0)+IF('SURVEY DESIGN'!C409&lt;&gt;"",--(Q405=""),0)+IF('SURVEY DESIGN'!C410&lt;&gt;"",--(R405=""),0)+IF('SURVEY DESIGN'!C411&lt;&gt;"",--(S405=""),0)+IF('SURVEY DESIGN'!C412&lt;&gt;"",--(T405=""),0)+IF('SURVEY DESIGN'!C413&lt;&gt;"",--(U405=""),0)+IF('SURVEY DESIGN'!C414&lt;&gt;"",--(V405=""),0)+IF('SURVEY DESIGN'!C415&lt;&gt;"",--(W405=""),0)+IF('SURVEY DESIGN'!C416&lt;&gt;"",--(X405=""),0))</x:f>
      </x:c>
      <x:c r="J405" s="130" t="str">
        <x:f>IF(A405="","",IF(C405&lt;&gt;"Yes","NO CONSENT",IF(F405&lt;SETUP!$B$9,"SPEEDING",IF(G405&lt;&gt;"Yes","ATTENTION CHECK",IF(H405="Yes","STRAIGHTLINE REVIEW",IF(I405&gt;0,"MISSING ITEMS","OK"))))))</x:f>
      </x:c>
      <x:c r="K405" s="130" t="str">
        <x:f>IF(A405="","",IF(J405="OK","Yes","No"))</x:f>
      </x:c>
      <x:c r="L405" s="130" t="str">
        <x:f>IF(A405="","",IF(J405="OK","",IF(J405="NO CONSENT","Consent not affirmed",IF(J405="SPEEDING","Completion time below threshold",IF(J405="ATTENTION CHECK","Attention check failed",IF(J405="STRAIGHTLINE REVIEW","Straightlining review threshold met","Missing scored item(s)"))))))</x:f>
      </x:c>
      <x:c r="M405" s="119"/>
      <x:c r="N405" s="119"/>
      <x:c r="O405" s="119"/>
      <x:c r="P405" s="119"/>
      <x:c r="Q405" s="119"/>
      <x:c r="R405" s="119"/>
      <x:c r="S405" s="119"/>
      <x:c r="T405" s="119"/>
      <x:c r="U405" s="119"/>
      <x:c r="V405" s="119"/>
      <x:c r="W405" s="119"/>
      <x:c r="X405" s="119"/>
      <x:c r="Y405" s="133" t="str">
        <x:f>IF(K405&lt;&gt;"Yes","",IFERROR(AVERAGE(M405:X405),""))</x:f>
      </x:c>
      <x:c r="Z405" s="119"/>
    </x:row>
    <x:row r="406">
      <x:c r="A406" s="119"/>
      <x:c r="B406" s="119"/>
      <x:c r="C406" s="119"/>
      <x:c r="D406" s="119"/>
      <x:c r="E406" s="119"/>
      <x:c r="F406" s="119"/>
      <x:c r="G406" s="119"/>
      <x:c r="H406" s="130" t="str">
        <x:f>IF(A406="","",IF(AND(COUNTA(M406:X406)&gt;=SETUP!$B$10,COUNTIF(M406:X406,MAX(M406:X406))=COUNTA(M406:X406)),"Yes","No"))</x:f>
      </x:c>
      <x:c r="I406" s="130" t="str">
        <x:f>IF(A406="","",IF('SURVEY DESIGN'!C406&lt;&gt;"",--(M406=""),0)+IF('SURVEY DESIGN'!C407&lt;&gt;"",--(N406=""),0)+IF('SURVEY DESIGN'!C408&lt;&gt;"",--(O406=""),0)+IF('SURVEY DESIGN'!C409&lt;&gt;"",--(P406=""),0)+IF('SURVEY DESIGN'!C410&lt;&gt;"",--(Q406=""),0)+IF('SURVEY DESIGN'!C411&lt;&gt;"",--(R406=""),0)+IF('SURVEY DESIGN'!C412&lt;&gt;"",--(S406=""),0)+IF('SURVEY DESIGN'!C413&lt;&gt;"",--(T406=""),0)+IF('SURVEY DESIGN'!C414&lt;&gt;"",--(U406=""),0)+IF('SURVEY DESIGN'!C415&lt;&gt;"",--(V406=""),0)+IF('SURVEY DESIGN'!C416&lt;&gt;"",--(W406=""),0)+IF('SURVEY DESIGN'!C417&lt;&gt;"",--(X406=""),0))</x:f>
      </x:c>
      <x:c r="J406" s="130" t="str">
        <x:f>IF(A406="","",IF(C406&lt;&gt;"Yes","NO CONSENT",IF(F406&lt;SETUP!$B$9,"SPEEDING",IF(G406&lt;&gt;"Yes","ATTENTION CHECK",IF(H406="Yes","STRAIGHTLINE REVIEW",IF(I406&gt;0,"MISSING ITEMS","OK"))))))</x:f>
      </x:c>
      <x:c r="K406" s="130" t="str">
        <x:f>IF(A406="","",IF(J406="OK","Yes","No"))</x:f>
      </x:c>
      <x:c r="L406" s="130" t="str">
        <x:f>IF(A406="","",IF(J406="OK","",IF(J406="NO CONSENT","Consent not affirmed",IF(J406="SPEEDING","Completion time below threshold",IF(J406="ATTENTION CHECK","Attention check failed",IF(J406="STRAIGHTLINE REVIEW","Straightlining review threshold met","Missing scored item(s)"))))))</x:f>
      </x:c>
      <x:c r="M406" s="119"/>
      <x:c r="N406" s="119"/>
      <x:c r="O406" s="119"/>
      <x:c r="P406" s="119"/>
      <x:c r="Q406" s="119"/>
      <x:c r="R406" s="119"/>
      <x:c r="S406" s="119"/>
      <x:c r="T406" s="119"/>
      <x:c r="U406" s="119"/>
      <x:c r="V406" s="119"/>
      <x:c r="W406" s="119"/>
      <x:c r="X406" s="119"/>
      <x:c r="Y406" s="133" t="str">
        <x:f>IF(K406&lt;&gt;"Yes","",IFERROR(AVERAGE(M406:X406),""))</x:f>
      </x:c>
      <x:c r="Z406" s="119"/>
    </x:row>
    <x:row r="407">
      <x:c r="A407" s="119"/>
      <x:c r="B407" s="119"/>
      <x:c r="C407" s="119"/>
      <x:c r="D407" s="119"/>
      <x:c r="E407" s="119"/>
      <x:c r="F407" s="119"/>
      <x:c r="G407" s="119"/>
      <x:c r="H407" s="130" t="str">
        <x:f>IF(A407="","",IF(AND(COUNTA(M407:X407)&gt;=SETUP!$B$10,COUNTIF(M407:X407,MAX(M407:X407))=COUNTA(M407:X407)),"Yes","No"))</x:f>
      </x:c>
      <x:c r="I407" s="130" t="str">
        <x:f>IF(A407="","",IF('SURVEY DESIGN'!C407&lt;&gt;"",--(M407=""),0)+IF('SURVEY DESIGN'!C408&lt;&gt;"",--(N407=""),0)+IF('SURVEY DESIGN'!C409&lt;&gt;"",--(O407=""),0)+IF('SURVEY DESIGN'!C410&lt;&gt;"",--(P407=""),0)+IF('SURVEY DESIGN'!C411&lt;&gt;"",--(Q407=""),0)+IF('SURVEY DESIGN'!C412&lt;&gt;"",--(R407=""),0)+IF('SURVEY DESIGN'!C413&lt;&gt;"",--(S407=""),0)+IF('SURVEY DESIGN'!C414&lt;&gt;"",--(T407=""),0)+IF('SURVEY DESIGN'!C415&lt;&gt;"",--(U407=""),0)+IF('SURVEY DESIGN'!C416&lt;&gt;"",--(V407=""),0)+IF('SURVEY DESIGN'!C417&lt;&gt;"",--(W407=""),0)+IF('SURVEY DESIGN'!C418&lt;&gt;"",--(X407=""),0))</x:f>
      </x:c>
      <x:c r="J407" s="130" t="str">
        <x:f>IF(A407="","",IF(C407&lt;&gt;"Yes","NO CONSENT",IF(F407&lt;SETUP!$B$9,"SPEEDING",IF(G407&lt;&gt;"Yes","ATTENTION CHECK",IF(H407="Yes","STRAIGHTLINE REVIEW",IF(I407&gt;0,"MISSING ITEMS","OK"))))))</x:f>
      </x:c>
      <x:c r="K407" s="130" t="str">
        <x:f>IF(A407="","",IF(J407="OK","Yes","No"))</x:f>
      </x:c>
      <x:c r="L407" s="130" t="str">
        <x:f>IF(A407="","",IF(J407="OK","",IF(J407="NO CONSENT","Consent not affirmed",IF(J407="SPEEDING","Completion time below threshold",IF(J407="ATTENTION CHECK","Attention check failed",IF(J407="STRAIGHTLINE REVIEW","Straightlining review threshold met","Missing scored item(s)"))))))</x:f>
      </x:c>
      <x:c r="M407" s="119"/>
      <x:c r="N407" s="119"/>
      <x:c r="O407" s="119"/>
      <x:c r="P407" s="119"/>
      <x:c r="Q407" s="119"/>
      <x:c r="R407" s="119"/>
      <x:c r="S407" s="119"/>
      <x:c r="T407" s="119"/>
      <x:c r="U407" s="119"/>
      <x:c r="V407" s="119"/>
      <x:c r="W407" s="119"/>
      <x:c r="X407" s="119"/>
      <x:c r="Y407" s="133" t="str">
        <x:f>IF(K407&lt;&gt;"Yes","",IFERROR(AVERAGE(M407:X407),""))</x:f>
      </x:c>
      <x:c r="Z407" s="119"/>
    </x:row>
    <x:row r="408">
      <x:c r="A408" s="119"/>
      <x:c r="B408" s="119"/>
      <x:c r="C408" s="119"/>
      <x:c r="D408" s="119"/>
      <x:c r="E408" s="119"/>
      <x:c r="F408" s="119"/>
      <x:c r="G408" s="119"/>
      <x:c r="H408" s="130" t="str">
        <x:f>IF(A408="","",IF(AND(COUNTA(M408:X408)&gt;=SETUP!$B$10,COUNTIF(M408:X408,MAX(M408:X408))=COUNTA(M408:X408)),"Yes","No"))</x:f>
      </x:c>
      <x:c r="I408" s="130" t="str">
        <x:f>IF(A408="","",IF('SURVEY DESIGN'!C408&lt;&gt;"",--(M408=""),0)+IF('SURVEY DESIGN'!C409&lt;&gt;"",--(N408=""),0)+IF('SURVEY DESIGN'!C410&lt;&gt;"",--(O408=""),0)+IF('SURVEY DESIGN'!C411&lt;&gt;"",--(P408=""),0)+IF('SURVEY DESIGN'!C412&lt;&gt;"",--(Q408=""),0)+IF('SURVEY DESIGN'!C413&lt;&gt;"",--(R408=""),0)+IF('SURVEY DESIGN'!C414&lt;&gt;"",--(S408=""),0)+IF('SURVEY DESIGN'!C415&lt;&gt;"",--(T408=""),0)+IF('SURVEY DESIGN'!C416&lt;&gt;"",--(U408=""),0)+IF('SURVEY DESIGN'!C417&lt;&gt;"",--(V408=""),0)+IF('SURVEY DESIGN'!C418&lt;&gt;"",--(W408=""),0)+IF('SURVEY DESIGN'!C419&lt;&gt;"",--(X408=""),0))</x:f>
      </x:c>
      <x:c r="J408" s="130" t="str">
        <x:f>IF(A408="","",IF(C408&lt;&gt;"Yes","NO CONSENT",IF(F408&lt;SETUP!$B$9,"SPEEDING",IF(G408&lt;&gt;"Yes","ATTENTION CHECK",IF(H408="Yes","STRAIGHTLINE REVIEW",IF(I408&gt;0,"MISSING ITEMS","OK"))))))</x:f>
      </x:c>
      <x:c r="K408" s="130" t="str">
        <x:f>IF(A408="","",IF(J408="OK","Yes","No"))</x:f>
      </x:c>
      <x:c r="L408" s="130" t="str">
        <x:f>IF(A408="","",IF(J408="OK","",IF(J408="NO CONSENT","Consent not affirmed",IF(J408="SPEEDING","Completion time below threshold",IF(J408="ATTENTION CHECK","Attention check failed",IF(J408="STRAIGHTLINE REVIEW","Straightlining review threshold met","Missing scored item(s)"))))))</x:f>
      </x:c>
      <x:c r="M408" s="119"/>
      <x:c r="N408" s="119"/>
      <x:c r="O408" s="119"/>
      <x:c r="P408" s="119"/>
      <x:c r="Q408" s="119"/>
      <x:c r="R408" s="119"/>
      <x:c r="S408" s="119"/>
      <x:c r="T408" s="119"/>
      <x:c r="U408" s="119"/>
      <x:c r="V408" s="119"/>
      <x:c r="W408" s="119"/>
      <x:c r="X408" s="119"/>
      <x:c r="Y408" s="133" t="str">
        <x:f>IF(K408&lt;&gt;"Yes","",IFERROR(AVERAGE(M408:X408),""))</x:f>
      </x:c>
      <x:c r="Z408" s="119"/>
    </x:row>
    <x:row r="409">
      <x:c r="A409" s="119"/>
      <x:c r="B409" s="119"/>
      <x:c r="C409" s="119"/>
      <x:c r="D409" s="119"/>
      <x:c r="E409" s="119"/>
      <x:c r="F409" s="119"/>
      <x:c r="G409" s="119"/>
      <x:c r="H409" s="130" t="str">
        <x:f>IF(A409="","",IF(AND(COUNTA(M409:X409)&gt;=SETUP!$B$10,COUNTIF(M409:X409,MAX(M409:X409))=COUNTA(M409:X409)),"Yes","No"))</x:f>
      </x:c>
      <x:c r="I409" s="130" t="str">
        <x:f>IF(A409="","",IF('SURVEY DESIGN'!C409&lt;&gt;"",--(M409=""),0)+IF('SURVEY DESIGN'!C410&lt;&gt;"",--(N409=""),0)+IF('SURVEY DESIGN'!C411&lt;&gt;"",--(O409=""),0)+IF('SURVEY DESIGN'!C412&lt;&gt;"",--(P409=""),0)+IF('SURVEY DESIGN'!C413&lt;&gt;"",--(Q409=""),0)+IF('SURVEY DESIGN'!C414&lt;&gt;"",--(R409=""),0)+IF('SURVEY DESIGN'!C415&lt;&gt;"",--(S409=""),0)+IF('SURVEY DESIGN'!C416&lt;&gt;"",--(T409=""),0)+IF('SURVEY DESIGN'!C417&lt;&gt;"",--(U409=""),0)+IF('SURVEY DESIGN'!C418&lt;&gt;"",--(V409=""),0)+IF('SURVEY DESIGN'!C419&lt;&gt;"",--(W409=""),0)+IF('SURVEY DESIGN'!C420&lt;&gt;"",--(X409=""),0))</x:f>
      </x:c>
      <x:c r="J409" s="130" t="str">
        <x:f>IF(A409="","",IF(C409&lt;&gt;"Yes","NO CONSENT",IF(F409&lt;SETUP!$B$9,"SPEEDING",IF(G409&lt;&gt;"Yes","ATTENTION CHECK",IF(H409="Yes","STRAIGHTLINE REVIEW",IF(I409&gt;0,"MISSING ITEMS","OK"))))))</x:f>
      </x:c>
      <x:c r="K409" s="130" t="str">
        <x:f>IF(A409="","",IF(J409="OK","Yes","No"))</x:f>
      </x:c>
      <x:c r="L409" s="130" t="str">
        <x:f>IF(A409="","",IF(J409="OK","",IF(J409="NO CONSENT","Consent not affirmed",IF(J409="SPEEDING","Completion time below threshold",IF(J409="ATTENTION CHECK","Attention check failed",IF(J409="STRAIGHTLINE REVIEW","Straightlining review threshold met","Missing scored item(s)"))))))</x:f>
      </x:c>
      <x:c r="M409" s="119"/>
      <x:c r="N409" s="119"/>
      <x:c r="O409" s="119"/>
      <x:c r="P409" s="119"/>
      <x:c r="Q409" s="119"/>
      <x:c r="R409" s="119"/>
      <x:c r="S409" s="119"/>
      <x:c r="T409" s="119"/>
      <x:c r="U409" s="119"/>
      <x:c r="V409" s="119"/>
      <x:c r="W409" s="119"/>
      <x:c r="X409" s="119"/>
      <x:c r="Y409" s="133" t="str">
        <x:f>IF(K409&lt;&gt;"Yes","",IFERROR(AVERAGE(M409:X409),""))</x:f>
      </x:c>
      <x:c r="Z409" s="119"/>
    </x:row>
    <x:row r="410">
      <x:c r="A410" s="119"/>
      <x:c r="B410" s="119"/>
      <x:c r="C410" s="119"/>
      <x:c r="D410" s="119"/>
      <x:c r="E410" s="119"/>
      <x:c r="F410" s="119"/>
      <x:c r="G410" s="119"/>
      <x:c r="H410" s="130" t="str">
        <x:f>IF(A410="","",IF(AND(COUNTA(M410:X410)&gt;=SETUP!$B$10,COUNTIF(M410:X410,MAX(M410:X410))=COUNTA(M410:X410)),"Yes","No"))</x:f>
      </x:c>
      <x:c r="I410" s="130" t="str">
        <x:f>IF(A410="","",IF('SURVEY DESIGN'!C410&lt;&gt;"",--(M410=""),0)+IF('SURVEY DESIGN'!C411&lt;&gt;"",--(N410=""),0)+IF('SURVEY DESIGN'!C412&lt;&gt;"",--(O410=""),0)+IF('SURVEY DESIGN'!C413&lt;&gt;"",--(P410=""),0)+IF('SURVEY DESIGN'!C414&lt;&gt;"",--(Q410=""),0)+IF('SURVEY DESIGN'!C415&lt;&gt;"",--(R410=""),0)+IF('SURVEY DESIGN'!C416&lt;&gt;"",--(S410=""),0)+IF('SURVEY DESIGN'!C417&lt;&gt;"",--(T410=""),0)+IF('SURVEY DESIGN'!C418&lt;&gt;"",--(U410=""),0)+IF('SURVEY DESIGN'!C419&lt;&gt;"",--(V410=""),0)+IF('SURVEY DESIGN'!C420&lt;&gt;"",--(W410=""),0)+IF('SURVEY DESIGN'!C421&lt;&gt;"",--(X410=""),0))</x:f>
      </x:c>
      <x:c r="J410" s="130" t="str">
        <x:f>IF(A410="","",IF(C410&lt;&gt;"Yes","NO CONSENT",IF(F410&lt;SETUP!$B$9,"SPEEDING",IF(G410&lt;&gt;"Yes","ATTENTION CHECK",IF(H410="Yes","STRAIGHTLINE REVIEW",IF(I410&gt;0,"MISSING ITEMS","OK"))))))</x:f>
      </x:c>
      <x:c r="K410" s="130" t="str">
        <x:f>IF(A410="","",IF(J410="OK","Yes","No"))</x:f>
      </x:c>
      <x:c r="L410" s="130" t="str">
        <x:f>IF(A410="","",IF(J410="OK","",IF(J410="NO CONSENT","Consent not affirmed",IF(J410="SPEEDING","Completion time below threshold",IF(J410="ATTENTION CHECK","Attention check failed",IF(J410="STRAIGHTLINE REVIEW","Straightlining review threshold met","Missing scored item(s)"))))))</x:f>
      </x:c>
      <x:c r="M410" s="119"/>
      <x:c r="N410" s="119"/>
      <x:c r="O410" s="119"/>
      <x:c r="P410" s="119"/>
      <x:c r="Q410" s="119"/>
      <x:c r="R410" s="119"/>
      <x:c r="S410" s="119"/>
      <x:c r="T410" s="119"/>
      <x:c r="U410" s="119"/>
      <x:c r="V410" s="119"/>
      <x:c r="W410" s="119"/>
      <x:c r="X410" s="119"/>
      <x:c r="Y410" s="133" t="str">
        <x:f>IF(K410&lt;&gt;"Yes","",IFERROR(AVERAGE(M410:X410),""))</x:f>
      </x:c>
      <x:c r="Z410" s="119"/>
    </x:row>
    <x:row r="411">
      <x:c r="A411" s="119"/>
      <x:c r="B411" s="119"/>
      <x:c r="C411" s="119"/>
      <x:c r="D411" s="119"/>
      <x:c r="E411" s="119"/>
      <x:c r="F411" s="119"/>
      <x:c r="G411" s="119"/>
      <x:c r="H411" s="130" t="str">
        <x:f>IF(A411="","",IF(AND(COUNTA(M411:X411)&gt;=SETUP!$B$10,COUNTIF(M411:X411,MAX(M411:X411))=COUNTA(M411:X411)),"Yes","No"))</x:f>
      </x:c>
      <x:c r="I411" s="130" t="str">
        <x:f>IF(A411="","",IF('SURVEY DESIGN'!C411&lt;&gt;"",--(M411=""),0)+IF('SURVEY DESIGN'!C412&lt;&gt;"",--(N411=""),0)+IF('SURVEY DESIGN'!C413&lt;&gt;"",--(O411=""),0)+IF('SURVEY DESIGN'!C414&lt;&gt;"",--(P411=""),0)+IF('SURVEY DESIGN'!C415&lt;&gt;"",--(Q411=""),0)+IF('SURVEY DESIGN'!C416&lt;&gt;"",--(R411=""),0)+IF('SURVEY DESIGN'!C417&lt;&gt;"",--(S411=""),0)+IF('SURVEY DESIGN'!C418&lt;&gt;"",--(T411=""),0)+IF('SURVEY DESIGN'!C419&lt;&gt;"",--(U411=""),0)+IF('SURVEY DESIGN'!C420&lt;&gt;"",--(V411=""),0)+IF('SURVEY DESIGN'!C421&lt;&gt;"",--(W411=""),0)+IF('SURVEY DESIGN'!C422&lt;&gt;"",--(X411=""),0))</x:f>
      </x:c>
      <x:c r="J411" s="130" t="str">
        <x:f>IF(A411="","",IF(C411&lt;&gt;"Yes","NO CONSENT",IF(F411&lt;SETUP!$B$9,"SPEEDING",IF(G411&lt;&gt;"Yes","ATTENTION CHECK",IF(H411="Yes","STRAIGHTLINE REVIEW",IF(I411&gt;0,"MISSING ITEMS","OK"))))))</x:f>
      </x:c>
      <x:c r="K411" s="130" t="str">
        <x:f>IF(A411="","",IF(J411="OK","Yes","No"))</x:f>
      </x:c>
      <x:c r="L411" s="130" t="str">
        <x:f>IF(A411="","",IF(J411="OK","",IF(J411="NO CONSENT","Consent not affirmed",IF(J411="SPEEDING","Completion time below threshold",IF(J411="ATTENTION CHECK","Attention check failed",IF(J411="STRAIGHTLINE REVIEW","Straightlining review threshold met","Missing scored item(s)"))))))</x:f>
      </x:c>
      <x:c r="M411" s="119"/>
      <x:c r="N411" s="119"/>
      <x:c r="O411" s="119"/>
      <x:c r="P411" s="119"/>
      <x:c r="Q411" s="119"/>
      <x:c r="R411" s="119"/>
      <x:c r="S411" s="119"/>
      <x:c r="T411" s="119"/>
      <x:c r="U411" s="119"/>
      <x:c r="V411" s="119"/>
      <x:c r="W411" s="119"/>
      <x:c r="X411" s="119"/>
      <x:c r="Y411" s="133" t="str">
        <x:f>IF(K411&lt;&gt;"Yes","",IFERROR(AVERAGE(M411:X411),""))</x:f>
      </x:c>
      <x:c r="Z411" s="119"/>
    </x:row>
    <x:row r="412">
      <x:c r="A412" s="119"/>
      <x:c r="B412" s="119"/>
      <x:c r="C412" s="119"/>
      <x:c r="D412" s="119"/>
      <x:c r="E412" s="119"/>
      <x:c r="F412" s="119"/>
      <x:c r="G412" s="119"/>
      <x:c r="H412" s="130" t="str">
        <x:f>IF(A412="","",IF(AND(COUNTA(M412:X412)&gt;=SETUP!$B$10,COUNTIF(M412:X412,MAX(M412:X412))=COUNTA(M412:X412)),"Yes","No"))</x:f>
      </x:c>
      <x:c r="I412" s="130" t="str">
        <x:f>IF(A412="","",IF('SURVEY DESIGN'!C412&lt;&gt;"",--(M412=""),0)+IF('SURVEY DESIGN'!C413&lt;&gt;"",--(N412=""),0)+IF('SURVEY DESIGN'!C414&lt;&gt;"",--(O412=""),0)+IF('SURVEY DESIGN'!C415&lt;&gt;"",--(P412=""),0)+IF('SURVEY DESIGN'!C416&lt;&gt;"",--(Q412=""),0)+IF('SURVEY DESIGN'!C417&lt;&gt;"",--(R412=""),0)+IF('SURVEY DESIGN'!C418&lt;&gt;"",--(S412=""),0)+IF('SURVEY DESIGN'!C419&lt;&gt;"",--(T412=""),0)+IF('SURVEY DESIGN'!C420&lt;&gt;"",--(U412=""),0)+IF('SURVEY DESIGN'!C421&lt;&gt;"",--(V412=""),0)+IF('SURVEY DESIGN'!C422&lt;&gt;"",--(W412=""),0)+IF('SURVEY DESIGN'!C423&lt;&gt;"",--(X412=""),0))</x:f>
      </x:c>
      <x:c r="J412" s="130" t="str">
        <x:f>IF(A412="","",IF(C412&lt;&gt;"Yes","NO CONSENT",IF(F412&lt;SETUP!$B$9,"SPEEDING",IF(G412&lt;&gt;"Yes","ATTENTION CHECK",IF(H412="Yes","STRAIGHTLINE REVIEW",IF(I412&gt;0,"MISSING ITEMS","OK"))))))</x:f>
      </x:c>
      <x:c r="K412" s="130" t="str">
        <x:f>IF(A412="","",IF(J412="OK","Yes","No"))</x:f>
      </x:c>
      <x:c r="L412" s="130" t="str">
        <x:f>IF(A412="","",IF(J412="OK","",IF(J412="NO CONSENT","Consent not affirmed",IF(J412="SPEEDING","Completion time below threshold",IF(J412="ATTENTION CHECK","Attention check failed",IF(J412="STRAIGHTLINE REVIEW","Straightlining review threshold met","Missing scored item(s)"))))))</x:f>
      </x:c>
      <x:c r="M412" s="119"/>
      <x:c r="N412" s="119"/>
      <x:c r="O412" s="119"/>
      <x:c r="P412" s="119"/>
      <x:c r="Q412" s="119"/>
      <x:c r="R412" s="119"/>
      <x:c r="S412" s="119"/>
      <x:c r="T412" s="119"/>
      <x:c r="U412" s="119"/>
      <x:c r="V412" s="119"/>
      <x:c r="W412" s="119"/>
      <x:c r="X412" s="119"/>
      <x:c r="Y412" s="133" t="str">
        <x:f>IF(K412&lt;&gt;"Yes","",IFERROR(AVERAGE(M412:X412),""))</x:f>
      </x:c>
      <x:c r="Z412" s="119"/>
    </x:row>
    <x:row r="413">
      <x:c r="A413" s="119"/>
      <x:c r="B413" s="119"/>
      <x:c r="C413" s="119"/>
      <x:c r="D413" s="119"/>
      <x:c r="E413" s="119"/>
      <x:c r="F413" s="119"/>
      <x:c r="G413" s="119"/>
      <x:c r="H413" s="130" t="str">
        <x:f>IF(A413="","",IF(AND(COUNTA(M413:X413)&gt;=SETUP!$B$10,COUNTIF(M413:X413,MAX(M413:X413))=COUNTA(M413:X413)),"Yes","No"))</x:f>
      </x:c>
      <x:c r="I413" s="130" t="str">
        <x:f>IF(A413="","",IF('SURVEY DESIGN'!C413&lt;&gt;"",--(M413=""),0)+IF('SURVEY DESIGN'!C414&lt;&gt;"",--(N413=""),0)+IF('SURVEY DESIGN'!C415&lt;&gt;"",--(O413=""),0)+IF('SURVEY DESIGN'!C416&lt;&gt;"",--(P413=""),0)+IF('SURVEY DESIGN'!C417&lt;&gt;"",--(Q413=""),0)+IF('SURVEY DESIGN'!C418&lt;&gt;"",--(R413=""),0)+IF('SURVEY DESIGN'!C419&lt;&gt;"",--(S413=""),0)+IF('SURVEY DESIGN'!C420&lt;&gt;"",--(T413=""),0)+IF('SURVEY DESIGN'!C421&lt;&gt;"",--(U413=""),0)+IF('SURVEY DESIGN'!C422&lt;&gt;"",--(V413=""),0)+IF('SURVEY DESIGN'!C423&lt;&gt;"",--(W413=""),0)+IF('SURVEY DESIGN'!C424&lt;&gt;"",--(X413=""),0))</x:f>
      </x:c>
      <x:c r="J413" s="130" t="str">
        <x:f>IF(A413="","",IF(C413&lt;&gt;"Yes","NO CONSENT",IF(F413&lt;SETUP!$B$9,"SPEEDING",IF(G413&lt;&gt;"Yes","ATTENTION CHECK",IF(H413="Yes","STRAIGHTLINE REVIEW",IF(I413&gt;0,"MISSING ITEMS","OK"))))))</x:f>
      </x:c>
      <x:c r="K413" s="130" t="str">
        <x:f>IF(A413="","",IF(J413="OK","Yes","No"))</x:f>
      </x:c>
      <x:c r="L413" s="130" t="str">
        <x:f>IF(A413="","",IF(J413="OK","",IF(J413="NO CONSENT","Consent not affirmed",IF(J413="SPEEDING","Completion time below threshold",IF(J413="ATTENTION CHECK","Attention check failed",IF(J413="STRAIGHTLINE REVIEW","Straightlining review threshold met","Missing scored item(s)"))))))</x:f>
      </x:c>
      <x:c r="M413" s="119"/>
      <x:c r="N413" s="119"/>
      <x:c r="O413" s="119"/>
      <x:c r="P413" s="119"/>
      <x:c r="Q413" s="119"/>
      <x:c r="R413" s="119"/>
      <x:c r="S413" s="119"/>
      <x:c r="T413" s="119"/>
      <x:c r="U413" s="119"/>
      <x:c r="V413" s="119"/>
      <x:c r="W413" s="119"/>
      <x:c r="X413" s="119"/>
      <x:c r="Y413" s="133" t="str">
        <x:f>IF(K413&lt;&gt;"Yes","",IFERROR(AVERAGE(M413:X413),""))</x:f>
      </x:c>
      <x:c r="Z413" s="119"/>
    </x:row>
    <x:row r="414">
      <x:c r="A414" s="119"/>
      <x:c r="B414" s="119"/>
      <x:c r="C414" s="119"/>
      <x:c r="D414" s="119"/>
      <x:c r="E414" s="119"/>
      <x:c r="F414" s="119"/>
      <x:c r="G414" s="119"/>
      <x:c r="H414" s="130" t="str">
        <x:f>IF(A414="","",IF(AND(COUNTA(M414:X414)&gt;=SETUP!$B$10,COUNTIF(M414:X414,MAX(M414:X414))=COUNTA(M414:X414)),"Yes","No"))</x:f>
      </x:c>
      <x:c r="I414" s="130" t="str">
        <x:f>IF(A414="","",IF('SURVEY DESIGN'!C414&lt;&gt;"",--(M414=""),0)+IF('SURVEY DESIGN'!C415&lt;&gt;"",--(N414=""),0)+IF('SURVEY DESIGN'!C416&lt;&gt;"",--(O414=""),0)+IF('SURVEY DESIGN'!C417&lt;&gt;"",--(P414=""),0)+IF('SURVEY DESIGN'!C418&lt;&gt;"",--(Q414=""),0)+IF('SURVEY DESIGN'!C419&lt;&gt;"",--(R414=""),0)+IF('SURVEY DESIGN'!C420&lt;&gt;"",--(S414=""),0)+IF('SURVEY DESIGN'!C421&lt;&gt;"",--(T414=""),0)+IF('SURVEY DESIGN'!C422&lt;&gt;"",--(U414=""),0)+IF('SURVEY DESIGN'!C423&lt;&gt;"",--(V414=""),0)+IF('SURVEY DESIGN'!C424&lt;&gt;"",--(W414=""),0)+IF('SURVEY DESIGN'!C425&lt;&gt;"",--(X414=""),0))</x:f>
      </x:c>
      <x:c r="J414" s="130" t="str">
        <x:f>IF(A414="","",IF(C414&lt;&gt;"Yes","NO CONSENT",IF(F414&lt;SETUP!$B$9,"SPEEDING",IF(G414&lt;&gt;"Yes","ATTENTION CHECK",IF(H414="Yes","STRAIGHTLINE REVIEW",IF(I414&gt;0,"MISSING ITEMS","OK"))))))</x:f>
      </x:c>
      <x:c r="K414" s="130" t="str">
        <x:f>IF(A414="","",IF(J414="OK","Yes","No"))</x:f>
      </x:c>
      <x:c r="L414" s="130" t="str">
        <x:f>IF(A414="","",IF(J414="OK","",IF(J414="NO CONSENT","Consent not affirmed",IF(J414="SPEEDING","Completion time below threshold",IF(J414="ATTENTION CHECK","Attention check failed",IF(J414="STRAIGHTLINE REVIEW","Straightlining review threshold met","Missing scored item(s)"))))))</x:f>
      </x:c>
      <x:c r="M414" s="119"/>
      <x:c r="N414" s="119"/>
      <x:c r="O414" s="119"/>
      <x:c r="P414" s="119"/>
      <x:c r="Q414" s="119"/>
      <x:c r="R414" s="119"/>
      <x:c r="S414" s="119"/>
      <x:c r="T414" s="119"/>
      <x:c r="U414" s="119"/>
      <x:c r="V414" s="119"/>
      <x:c r="W414" s="119"/>
      <x:c r="X414" s="119"/>
      <x:c r="Y414" s="133" t="str">
        <x:f>IF(K414&lt;&gt;"Yes","",IFERROR(AVERAGE(M414:X414),""))</x:f>
      </x:c>
      <x:c r="Z414" s="119"/>
    </x:row>
    <x:row r="415">
      <x:c r="A415" s="119"/>
      <x:c r="B415" s="119"/>
      <x:c r="C415" s="119"/>
      <x:c r="D415" s="119"/>
      <x:c r="E415" s="119"/>
      <x:c r="F415" s="119"/>
      <x:c r="G415" s="119"/>
      <x:c r="H415" s="130" t="str">
        <x:f>IF(A415="","",IF(AND(COUNTA(M415:X415)&gt;=SETUP!$B$10,COUNTIF(M415:X415,MAX(M415:X415))=COUNTA(M415:X415)),"Yes","No"))</x:f>
      </x:c>
      <x:c r="I415" s="130" t="str">
        <x:f>IF(A415="","",IF('SURVEY DESIGN'!C415&lt;&gt;"",--(M415=""),0)+IF('SURVEY DESIGN'!C416&lt;&gt;"",--(N415=""),0)+IF('SURVEY DESIGN'!C417&lt;&gt;"",--(O415=""),0)+IF('SURVEY DESIGN'!C418&lt;&gt;"",--(P415=""),0)+IF('SURVEY DESIGN'!C419&lt;&gt;"",--(Q415=""),0)+IF('SURVEY DESIGN'!C420&lt;&gt;"",--(R415=""),0)+IF('SURVEY DESIGN'!C421&lt;&gt;"",--(S415=""),0)+IF('SURVEY DESIGN'!C422&lt;&gt;"",--(T415=""),0)+IF('SURVEY DESIGN'!C423&lt;&gt;"",--(U415=""),0)+IF('SURVEY DESIGN'!C424&lt;&gt;"",--(V415=""),0)+IF('SURVEY DESIGN'!C425&lt;&gt;"",--(W415=""),0)+IF('SURVEY DESIGN'!C426&lt;&gt;"",--(X415=""),0))</x:f>
      </x:c>
      <x:c r="J415" s="130" t="str">
        <x:f>IF(A415="","",IF(C415&lt;&gt;"Yes","NO CONSENT",IF(F415&lt;SETUP!$B$9,"SPEEDING",IF(G415&lt;&gt;"Yes","ATTENTION CHECK",IF(H415="Yes","STRAIGHTLINE REVIEW",IF(I415&gt;0,"MISSING ITEMS","OK"))))))</x:f>
      </x:c>
      <x:c r="K415" s="130" t="str">
        <x:f>IF(A415="","",IF(J415="OK","Yes","No"))</x:f>
      </x:c>
      <x:c r="L415" s="130" t="str">
        <x:f>IF(A415="","",IF(J415="OK","",IF(J415="NO CONSENT","Consent not affirmed",IF(J415="SPEEDING","Completion time below threshold",IF(J415="ATTENTION CHECK","Attention check failed",IF(J415="STRAIGHTLINE REVIEW","Straightlining review threshold met","Missing scored item(s)"))))))</x:f>
      </x:c>
      <x:c r="M415" s="119"/>
      <x:c r="N415" s="119"/>
      <x:c r="O415" s="119"/>
      <x:c r="P415" s="119"/>
      <x:c r="Q415" s="119"/>
      <x:c r="R415" s="119"/>
      <x:c r="S415" s="119"/>
      <x:c r="T415" s="119"/>
      <x:c r="U415" s="119"/>
      <x:c r="V415" s="119"/>
      <x:c r="W415" s="119"/>
      <x:c r="X415" s="119"/>
      <x:c r="Y415" s="133" t="str">
        <x:f>IF(K415&lt;&gt;"Yes","",IFERROR(AVERAGE(M415:X415),""))</x:f>
      </x:c>
      <x:c r="Z415" s="119"/>
    </x:row>
    <x:row r="416">
      <x:c r="A416" s="119"/>
      <x:c r="B416" s="119"/>
      <x:c r="C416" s="119"/>
      <x:c r="D416" s="119"/>
      <x:c r="E416" s="119"/>
      <x:c r="F416" s="119"/>
      <x:c r="G416" s="119"/>
      <x:c r="H416" s="130" t="str">
        <x:f>IF(A416="","",IF(AND(COUNTA(M416:X416)&gt;=SETUP!$B$10,COUNTIF(M416:X416,MAX(M416:X416))=COUNTA(M416:X416)),"Yes","No"))</x:f>
      </x:c>
      <x:c r="I416" s="130" t="str">
        <x:f>IF(A416="","",IF('SURVEY DESIGN'!C416&lt;&gt;"",--(M416=""),0)+IF('SURVEY DESIGN'!C417&lt;&gt;"",--(N416=""),0)+IF('SURVEY DESIGN'!C418&lt;&gt;"",--(O416=""),0)+IF('SURVEY DESIGN'!C419&lt;&gt;"",--(P416=""),0)+IF('SURVEY DESIGN'!C420&lt;&gt;"",--(Q416=""),0)+IF('SURVEY DESIGN'!C421&lt;&gt;"",--(R416=""),0)+IF('SURVEY DESIGN'!C422&lt;&gt;"",--(S416=""),0)+IF('SURVEY DESIGN'!C423&lt;&gt;"",--(T416=""),0)+IF('SURVEY DESIGN'!C424&lt;&gt;"",--(U416=""),0)+IF('SURVEY DESIGN'!C425&lt;&gt;"",--(V416=""),0)+IF('SURVEY DESIGN'!C426&lt;&gt;"",--(W416=""),0)+IF('SURVEY DESIGN'!C427&lt;&gt;"",--(X416=""),0))</x:f>
      </x:c>
      <x:c r="J416" s="130" t="str">
        <x:f>IF(A416="","",IF(C416&lt;&gt;"Yes","NO CONSENT",IF(F416&lt;SETUP!$B$9,"SPEEDING",IF(G416&lt;&gt;"Yes","ATTENTION CHECK",IF(H416="Yes","STRAIGHTLINE REVIEW",IF(I416&gt;0,"MISSING ITEMS","OK"))))))</x:f>
      </x:c>
      <x:c r="K416" s="130" t="str">
        <x:f>IF(A416="","",IF(J416="OK","Yes","No"))</x:f>
      </x:c>
      <x:c r="L416" s="130" t="str">
        <x:f>IF(A416="","",IF(J416="OK","",IF(J416="NO CONSENT","Consent not affirmed",IF(J416="SPEEDING","Completion time below threshold",IF(J416="ATTENTION CHECK","Attention check failed",IF(J416="STRAIGHTLINE REVIEW","Straightlining review threshold met","Missing scored item(s)"))))))</x:f>
      </x:c>
      <x:c r="M416" s="119"/>
      <x:c r="N416" s="119"/>
      <x:c r="O416" s="119"/>
      <x:c r="P416" s="119"/>
      <x:c r="Q416" s="119"/>
      <x:c r="R416" s="119"/>
      <x:c r="S416" s="119"/>
      <x:c r="T416" s="119"/>
      <x:c r="U416" s="119"/>
      <x:c r="V416" s="119"/>
      <x:c r="W416" s="119"/>
      <x:c r="X416" s="119"/>
      <x:c r="Y416" s="133" t="str">
        <x:f>IF(K416&lt;&gt;"Yes","",IFERROR(AVERAGE(M416:X416),""))</x:f>
      </x:c>
      <x:c r="Z416" s="119"/>
    </x:row>
    <x:row r="417">
      <x:c r="A417" s="119"/>
      <x:c r="B417" s="119"/>
      <x:c r="C417" s="119"/>
      <x:c r="D417" s="119"/>
      <x:c r="E417" s="119"/>
      <x:c r="F417" s="119"/>
      <x:c r="G417" s="119"/>
      <x:c r="H417" s="130" t="str">
        <x:f>IF(A417="","",IF(AND(COUNTA(M417:X417)&gt;=SETUP!$B$10,COUNTIF(M417:X417,MAX(M417:X417))=COUNTA(M417:X417)),"Yes","No"))</x:f>
      </x:c>
      <x:c r="I417" s="130" t="str">
        <x:f>IF(A417="","",IF('SURVEY DESIGN'!C417&lt;&gt;"",--(M417=""),0)+IF('SURVEY DESIGN'!C418&lt;&gt;"",--(N417=""),0)+IF('SURVEY DESIGN'!C419&lt;&gt;"",--(O417=""),0)+IF('SURVEY DESIGN'!C420&lt;&gt;"",--(P417=""),0)+IF('SURVEY DESIGN'!C421&lt;&gt;"",--(Q417=""),0)+IF('SURVEY DESIGN'!C422&lt;&gt;"",--(R417=""),0)+IF('SURVEY DESIGN'!C423&lt;&gt;"",--(S417=""),0)+IF('SURVEY DESIGN'!C424&lt;&gt;"",--(T417=""),0)+IF('SURVEY DESIGN'!C425&lt;&gt;"",--(U417=""),0)+IF('SURVEY DESIGN'!C426&lt;&gt;"",--(V417=""),0)+IF('SURVEY DESIGN'!C427&lt;&gt;"",--(W417=""),0)+IF('SURVEY DESIGN'!C428&lt;&gt;"",--(X417=""),0))</x:f>
      </x:c>
      <x:c r="J417" s="130" t="str">
        <x:f>IF(A417="","",IF(C417&lt;&gt;"Yes","NO CONSENT",IF(F417&lt;SETUP!$B$9,"SPEEDING",IF(G417&lt;&gt;"Yes","ATTENTION CHECK",IF(H417="Yes","STRAIGHTLINE REVIEW",IF(I417&gt;0,"MISSING ITEMS","OK"))))))</x:f>
      </x:c>
      <x:c r="K417" s="130" t="str">
        <x:f>IF(A417="","",IF(J417="OK","Yes","No"))</x:f>
      </x:c>
      <x:c r="L417" s="130" t="str">
        <x:f>IF(A417="","",IF(J417="OK","",IF(J417="NO CONSENT","Consent not affirmed",IF(J417="SPEEDING","Completion time below threshold",IF(J417="ATTENTION CHECK","Attention check failed",IF(J417="STRAIGHTLINE REVIEW","Straightlining review threshold met","Missing scored item(s)"))))))</x:f>
      </x:c>
      <x:c r="M417" s="119"/>
      <x:c r="N417" s="119"/>
      <x:c r="O417" s="119"/>
      <x:c r="P417" s="119"/>
      <x:c r="Q417" s="119"/>
      <x:c r="R417" s="119"/>
      <x:c r="S417" s="119"/>
      <x:c r="T417" s="119"/>
      <x:c r="U417" s="119"/>
      <x:c r="V417" s="119"/>
      <x:c r="W417" s="119"/>
      <x:c r="X417" s="119"/>
      <x:c r="Y417" s="133" t="str">
        <x:f>IF(K417&lt;&gt;"Yes","",IFERROR(AVERAGE(M417:X417),""))</x:f>
      </x:c>
      <x:c r="Z417" s="119"/>
    </x:row>
    <x:row r="418">
      <x:c r="A418" s="119"/>
      <x:c r="B418" s="119"/>
      <x:c r="C418" s="119"/>
      <x:c r="D418" s="119"/>
      <x:c r="E418" s="119"/>
      <x:c r="F418" s="119"/>
      <x:c r="G418" s="119"/>
      <x:c r="H418" s="130" t="str">
        <x:f>IF(A418="","",IF(AND(COUNTA(M418:X418)&gt;=SETUP!$B$10,COUNTIF(M418:X418,MAX(M418:X418))=COUNTA(M418:X418)),"Yes","No"))</x:f>
      </x:c>
      <x:c r="I418" s="130" t="str">
        <x:f>IF(A418="","",IF('SURVEY DESIGN'!C418&lt;&gt;"",--(M418=""),0)+IF('SURVEY DESIGN'!C419&lt;&gt;"",--(N418=""),0)+IF('SURVEY DESIGN'!C420&lt;&gt;"",--(O418=""),0)+IF('SURVEY DESIGN'!C421&lt;&gt;"",--(P418=""),0)+IF('SURVEY DESIGN'!C422&lt;&gt;"",--(Q418=""),0)+IF('SURVEY DESIGN'!C423&lt;&gt;"",--(R418=""),0)+IF('SURVEY DESIGN'!C424&lt;&gt;"",--(S418=""),0)+IF('SURVEY DESIGN'!C425&lt;&gt;"",--(T418=""),0)+IF('SURVEY DESIGN'!C426&lt;&gt;"",--(U418=""),0)+IF('SURVEY DESIGN'!C427&lt;&gt;"",--(V418=""),0)+IF('SURVEY DESIGN'!C428&lt;&gt;"",--(W418=""),0)+IF('SURVEY DESIGN'!C429&lt;&gt;"",--(X418=""),0))</x:f>
      </x:c>
      <x:c r="J418" s="130" t="str">
        <x:f>IF(A418="","",IF(C418&lt;&gt;"Yes","NO CONSENT",IF(F418&lt;SETUP!$B$9,"SPEEDING",IF(G418&lt;&gt;"Yes","ATTENTION CHECK",IF(H418="Yes","STRAIGHTLINE REVIEW",IF(I418&gt;0,"MISSING ITEMS","OK"))))))</x:f>
      </x:c>
      <x:c r="K418" s="130" t="str">
        <x:f>IF(A418="","",IF(J418="OK","Yes","No"))</x:f>
      </x:c>
      <x:c r="L418" s="130" t="str">
        <x:f>IF(A418="","",IF(J418="OK","",IF(J418="NO CONSENT","Consent not affirmed",IF(J418="SPEEDING","Completion time below threshold",IF(J418="ATTENTION CHECK","Attention check failed",IF(J418="STRAIGHTLINE REVIEW","Straightlining review threshold met","Missing scored item(s)"))))))</x:f>
      </x:c>
      <x:c r="M418" s="119"/>
      <x:c r="N418" s="119"/>
      <x:c r="O418" s="119"/>
      <x:c r="P418" s="119"/>
      <x:c r="Q418" s="119"/>
      <x:c r="R418" s="119"/>
      <x:c r="S418" s="119"/>
      <x:c r="T418" s="119"/>
      <x:c r="U418" s="119"/>
      <x:c r="V418" s="119"/>
      <x:c r="W418" s="119"/>
      <x:c r="X418" s="119"/>
      <x:c r="Y418" s="133" t="str">
        <x:f>IF(K418&lt;&gt;"Yes","",IFERROR(AVERAGE(M418:X418),""))</x:f>
      </x:c>
      <x:c r="Z418" s="119"/>
    </x:row>
    <x:row r="419">
      <x:c r="A419" s="119"/>
      <x:c r="B419" s="119"/>
      <x:c r="C419" s="119"/>
      <x:c r="D419" s="119"/>
      <x:c r="E419" s="119"/>
      <x:c r="F419" s="119"/>
      <x:c r="G419" s="119"/>
      <x:c r="H419" s="130" t="str">
        <x:f>IF(A419="","",IF(AND(COUNTA(M419:X419)&gt;=SETUP!$B$10,COUNTIF(M419:X419,MAX(M419:X419))=COUNTA(M419:X419)),"Yes","No"))</x:f>
      </x:c>
      <x:c r="I419" s="130" t="str">
        <x:f>IF(A419="","",IF('SURVEY DESIGN'!C419&lt;&gt;"",--(M419=""),0)+IF('SURVEY DESIGN'!C420&lt;&gt;"",--(N419=""),0)+IF('SURVEY DESIGN'!C421&lt;&gt;"",--(O419=""),0)+IF('SURVEY DESIGN'!C422&lt;&gt;"",--(P419=""),0)+IF('SURVEY DESIGN'!C423&lt;&gt;"",--(Q419=""),0)+IF('SURVEY DESIGN'!C424&lt;&gt;"",--(R419=""),0)+IF('SURVEY DESIGN'!C425&lt;&gt;"",--(S419=""),0)+IF('SURVEY DESIGN'!C426&lt;&gt;"",--(T419=""),0)+IF('SURVEY DESIGN'!C427&lt;&gt;"",--(U419=""),0)+IF('SURVEY DESIGN'!C428&lt;&gt;"",--(V419=""),0)+IF('SURVEY DESIGN'!C429&lt;&gt;"",--(W419=""),0)+IF('SURVEY DESIGN'!C430&lt;&gt;"",--(X419=""),0))</x:f>
      </x:c>
      <x:c r="J419" s="130" t="str">
        <x:f>IF(A419="","",IF(C419&lt;&gt;"Yes","NO CONSENT",IF(F419&lt;SETUP!$B$9,"SPEEDING",IF(G419&lt;&gt;"Yes","ATTENTION CHECK",IF(H419="Yes","STRAIGHTLINE REVIEW",IF(I419&gt;0,"MISSING ITEMS","OK"))))))</x:f>
      </x:c>
      <x:c r="K419" s="130" t="str">
        <x:f>IF(A419="","",IF(J419="OK","Yes","No"))</x:f>
      </x:c>
      <x:c r="L419" s="130" t="str">
        <x:f>IF(A419="","",IF(J419="OK","",IF(J419="NO CONSENT","Consent not affirmed",IF(J419="SPEEDING","Completion time below threshold",IF(J419="ATTENTION CHECK","Attention check failed",IF(J419="STRAIGHTLINE REVIEW","Straightlining review threshold met","Missing scored item(s)"))))))</x:f>
      </x:c>
      <x:c r="M419" s="119"/>
      <x:c r="N419" s="119"/>
      <x:c r="O419" s="119"/>
      <x:c r="P419" s="119"/>
      <x:c r="Q419" s="119"/>
      <x:c r="R419" s="119"/>
      <x:c r="S419" s="119"/>
      <x:c r="T419" s="119"/>
      <x:c r="U419" s="119"/>
      <x:c r="V419" s="119"/>
      <x:c r="W419" s="119"/>
      <x:c r="X419" s="119"/>
      <x:c r="Y419" s="133" t="str">
        <x:f>IF(K419&lt;&gt;"Yes","",IFERROR(AVERAGE(M419:X419),""))</x:f>
      </x:c>
      <x:c r="Z419" s="119"/>
    </x:row>
    <x:row r="420">
      <x:c r="A420" s="119"/>
      <x:c r="B420" s="119"/>
      <x:c r="C420" s="119"/>
      <x:c r="D420" s="119"/>
      <x:c r="E420" s="119"/>
      <x:c r="F420" s="119"/>
      <x:c r="G420" s="119"/>
      <x:c r="H420" s="130" t="str">
        <x:f>IF(A420="","",IF(AND(COUNTA(M420:X420)&gt;=SETUP!$B$10,COUNTIF(M420:X420,MAX(M420:X420))=COUNTA(M420:X420)),"Yes","No"))</x:f>
      </x:c>
      <x:c r="I420" s="130" t="str">
        <x:f>IF(A420="","",IF('SURVEY DESIGN'!C420&lt;&gt;"",--(M420=""),0)+IF('SURVEY DESIGN'!C421&lt;&gt;"",--(N420=""),0)+IF('SURVEY DESIGN'!C422&lt;&gt;"",--(O420=""),0)+IF('SURVEY DESIGN'!C423&lt;&gt;"",--(P420=""),0)+IF('SURVEY DESIGN'!C424&lt;&gt;"",--(Q420=""),0)+IF('SURVEY DESIGN'!C425&lt;&gt;"",--(R420=""),0)+IF('SURVEY DESIGN'!C426&lt;&gt;"",--(S420=""),0)+IF('SURVEY DESIGN'!C427&lt;&gt;"",--(T420=""),0)+IF('SURVEY DESIGN'!C428&lt;&gt;"",--(U420=""),0)+IF('SURVEY DESIGN'!C429&lt;&gt;"",--(V420=""),0)+IF('SURVEY DESIGN'!C430&lt;&gt;"",--(W420=""),0)+IF('SURVEY DESIGN'!C431&lt;&gt;"",--(X420=""),0))</x:f>
      </x:c>
      <x:c r="J420" s="130" t="str">
        <x:f>IF(A420="","",IF(C420&lt;&gt;"Yes","NO CONSENT",IF(F420&lt;SETUP!$B$9,"SPEEDING",IF(G420&lt;&gt;"Yes","ATTENTION CHECK",IF(H420="Yes","STRAIGHTLINE REVIEW",IF(I420&gt;0,"MISSING ITEMS","OK"))))))</x:f>
      </x:c>
      <x:c r="K420" s="130" t="str">
        <x:f>IF(A420="","",IF(J420="OK","Yes","No"))</x:f>
      </x:c>
      <x:c r="L420" s="130" t="str">
        <x:f>IF(A420="","",IF(J420="OK","",IF(J420="NO CONSENT","Consent not affirmed",IF(J420="SPEEDING","Completion time below threshold",IF(J420="ATTENTION CHECK","Attention check failed",IF(J420="STRAIGHTLINE REVIEW","Straightlining review threshold met","Missing scored item(s)"))))))</x:f>
      </x:c>
      <x:c r="M420" s="119"/>
      <x:c r="N420" s="119"/>
      <x:c r="O420" s="119"/>
      <x:c r="P420" s="119"/>
      <x:c r="Q420" s="119"/>
      <x:c r="R420" s="119"/>
      <x:c r="S420" s="119"/>
      <x:c r="T420" s="119"/>
      <x:c r="U420" s="119"/>
      <x:c r="V420" s="119"/>
      <x:c r="W420" s="119"/>
      <x:c r="X420" s="119"/>
      <x:c r="Y420" s="133" t="str">
        <x:f>IF(K420&lt;&gt;"Yes","",IFERROR(AVERAGE(M420:X420),""))</x:f>
      </x:c>
      <x:c r="Z420" s="119"/>
    </x:row>
    <x:row r="421">
      <x:c r="A421" s="119"/>
      <x:c r="B421" s="119"/>
      <x:c r="C421" s="119"/>
      <x:c r="D421" s="119"/>
      <x:c r="E421" s="119"/>
      <x:c r="F421" s="119"/>
      <x:c r="G421" s="119"/>
      <x:c r="H421" s="130" t="str">
        <x:f>IF(A421="","",IF(AND(COUNTA(M421:X421)&gt;=SETUP!$B$10,COUNTIF(M421:X421,MAX(M421:X421))=COUNTA(M421:X421)),"Yes","No"))</x:f>
      </x:c>
      <x:c r="I421" s="130" t="str">
        <x:f>IF(A421="","",IF('SURVEY DESIGN'!C421&lt;&gt;"",--(M421=""),0)+IF('SURVEY DESIGN'!C422&lt;&gt;"",--(N421=""),0)+IF('SURVEY DESIGN'!C423&lt;&gt;"",--(O421=""),0)+IF('SURVEY DESIGN'!C424&lt;&gt;"",--(P421=""),0)+IF('SURVEY DESIGN'!C425&lt;&gt;"",--(Q421=""),0)+IF('SURVEY DESIGN'!C426&lt;&gt;"",--(R421=""),0)+IF('SURVEY DESIGN'!C427&lt;&gt;"",--(S421=""),0)+IF('SURVEY DESIGN'!C428&lt;&gt;"",--(T421=""),0)+IF('SURVEY DESIGN'!C429&lt;&gt;"",--(U421=""),0)+IF('SURVEY DESIGN'!C430&lt;&gt;"",--(V421=""),0)+IF('SURVEY DESIGN'!C431&lt;&gt;"",--(W421=""),0)+IF('SURVEY DESIGN'!C432&lt;&gt;"",--(X421=""),0))</x:f>
      </x:c>
      <x:c r="J421" s="130" t="str">
        <x:f>IF(A421="","",IF(C421&lt;&gt;"Yes","NO CONSENT",IF(F421&lt;SETUP!$B$9,"SPEEDING",IF(G421&lt;&gt;"Yes","ATTENTION CHECK",IF(H421="Yes","STRAIGHTLINE REVIEW",IF(I421&gt;0,"MISSING ITEMS","OK"))))))</x:f>
      </x:c>
      <x:c r="K421" s="130" t="str">
        <x:f>IF(A421="","",IF(J421="OK","Yes","No"))</x:f>
      </x:c>
      <x:c r="L421" s="130" t="str">
        <x:f>IF(A421="","",IF(J421="OK","",IF(J421="NO CONSENT","Consent not affirmed",IF(J421="SPEEDING","Completion time below threshold",IF(J421="ATTENTION CHECK","Attention check failed",IF(J421="STRAIGHTLINE REVIEW","Straightlining review threshold met","Missing scored item(s)"))))))</x:f>
      </x:c>
      <x:c r="M421" s="119"/>
      <x:c r="N421" s="119"/>
      <x:c r="O421" s="119"/>
      <x:c r="P421" s="119"/>
      <x:c r="Q421" s="119"/>
      <x:c r="R421" s="119"/>
      <x:c r="S421" s="119"/>
      <x:c r="T421" s="119"/>
      <x:c r="U421" s="119"/>
      <x:c r="V421" s="119"/>
      <x:c r="W421" s="119"/>
      <x:c r="X421" s="119"/>
      <x:c r="Y421" s="133" t="str">
        <x:f>IF(K421&lt;&gt;"Yes","",IFERROR(AVERAGE(M421:X421),""))</x:f>
      </x:c>
      <x:c r="Z421" s="119"/>
    </x:row>
    <x:row r="422">
      <x:c r="A422" s="119"/>
      <x:c r="B422" s="119"/>
      <x:c r="C422" s="119"/>
      <x:c r="D422" s="119"/>
      <x:c r="E422" s="119"/>
      <x:c r="F422" s="119"/>
      <x:c r="G422" s="119"/>
      <x:c r="H422" s="130" t="str">
        <x:f>IF(A422="","",IF(AND(COUNTA(M422:X422)&gt;=SETUP!$B$10,COUNTIF(M422:X422,MAX(M422:X422))=COUNTA(M422:X422)),"Yes","No"))</x:f>
      </x:c>
      <x:c r="I422" s="130" t="str">
        <x:f>IF(A422="","",IF('SURVEY DESIGN'!C422&lt;&gt;"",--(M422=""),0)+IF('SURVEY DESIGN'!C423&lt;&gt;"",--(N422=""),0)+IF('SURVEY DESIGN'!C424&lt;&gt;"",--(O422=""),0)+IF('SURVEY DESIGN'!C425&lt;&gt;"",--(P422=""),0)+IF('SURVEY DESIGN'!C426&lt;&gt;"",--(Q422=""),0)+IF('SURVEY DESIGN'!C427&lt;&gt;"",--(R422=""),0)+IF('SURVEY DESIGN'!C428&lt;&gt;"",--(S422=""),0)+IF('SURVEY DESIGN'!C429&lt;&gt;"",--(T422=""),0)+IF('SURVEY DESIGN'!C430&lt;&gt;"",--(U422=""),0)+IF('SURVEY DESIGN'!C431&lt;&gt;"",--(V422=""),0)+IF('SURVEY DESIGN'!C432&lt;&gt;"",--(W422=""),0)+IF('SURVEY DESIGN'!C433&lt;&gt;"",--(X422=""),0))</x:f>
      </x:c>
      <x:c r="J422" s="130" t="str">
        <x:f>IF(A422="","",IF(C422&lt;&gt;"Yes","NO CONSENT",IF(F422&lt;SETUP!$B$9,"SPEEDING",IF(G422&lt;&gt;"Yes","ATTENTION CHECK",IF(H422="Yes","STRAIGHTLINE REVIEW",IF(I422&gt;0,"MISSING ITEMS","OK"))))))</x:f>
      </x:c>
      <x:c r="K422" s="130" t="str">
        <x:f>IF(A422="","",IF(J422="OK","Yes","No"))</x:f>
      </x:c>
      <x:c r="L422" s="130" t="str">
        <x:f>IF(A422="","",IF(J422="OK","",IF(J422="NO CONSENT","Consent not affirmed",IF(J422="SPEEDING","Completion time below threshold",IF(J422="ATTENTION CHECK","Attention check failed",IF(J422="STRAIGHTLINE REVIEW","Straightlining review threshold met","Missing scored item(s)"))))))</x:f>
      </x:c>
      <x:c r="M422" s="119"/>
      <x:c r="N422" s="119"/>
      <x:c r="O422" s="119"/>
      <x:c r="P422" s="119"/>
      <x:c r="Q422" s="119"/>
      <x:c r="R422" s="119"/>
      <x:c r="S422" s="119"/>
      <x:c r="T422" s="119"/>
      <x:c r="U422" s="119"/>
      <x:c r="V422" s="119"/>
      <x:c r="W422" s="119"/>
      <x:c r="X422" s="119"/>
      <x:c r="Y422" s="133" t="str">
        <x:f>IF(K422&lt;&gt;"Yes","",IFERROR(AVERAGE(M422:X422),""))</x:f>
      </x:c>
      <x:c r="Z422" s="119"/>
    </x:row>
    <x:row r="423">
      <x:c r="A423" s="119"/>
      <x:c r="B423" s="119"/>
      <x:c r="C423" s="119"/>
      <x:c r="D423" s="119"/>
      <x:c r="E423" s="119"/>
      <x:c r="F423" s="119"/>
      <x:c r="G423" s="119"/>
      <x:c r="H423" s="130" t="str">
        <x:f>IF(A423="","",IF(AND(COUNTA(M423:X423)&gt;=SETUP!$B$10,COUNTIF(M423:X423,MAX(M423:X423))=COUNTA(M423:X423)),"Yes","No"))</x:f>
      </x:c>
      <x:c r="I423" s="130" t="str">
        <x:f>IF(A423="","",IF('SURVEY DESIGN'!C423&lt;&gt;"",--(M423=""),0)+IF('SURVEY DESIGN'!C424&lt;&gt;"",--(N423=""),0)+IF('SURVEY DESIGN'!C425&lt;&gt;"",--(O423=""),0)+IF('SURVEY DESIGN'!C426&lt;&gt;"",--(P423=""),0)+IF('SURVEY DESIGN'!C427&lt;&gt;"",--(Q423=""),0)+IF('SURVEY DESIGN'!C428&lt;&gt;"",--(R423=""),0)+IF('SURVEY DESIGN'!C429&lt;&gt;"",--(S423=""),0)+IF('SURVEY DESIGN'!C430&lt;&gt;"",--(T423=""),0)+IF('SURVEY DESIGN'!C431&lt;&gt;"",--(U423=""),0)+IF('SURVEY DESIGN'!C432&lt;&gt;"",--(V423=""),0)+IF('SURVEY DESIGN'!C433&lt;&gt;"",--(W423=""),0)+IF('SURVEY DESIGN'!C434&lt;&gt;"",--(X423=""),0))</x:f>
      </x:c>
      <x:c r="J423" s="130" t="str">
        <x:f>IF(A423="","",IF(C423&lt;&gt;"Yes","NO CONSENT",IF(F423&lt;SETUP!$B$9,"SPEEDING",IF(G423&lt;&gt;"Yes","ATTENTION CHECK",IF(H423="Yes","STRAIGHTLINE REVIEW",IF(I423&gt;0,"MISSING ITEMS","OK"))))))</x:f>
      </x:c>
      <x:c r="K423" s="130" t="str">
        <x:f>IF(A423="","",IF(J423="OK","Yes","No"))</x:f>
      </x:c>
      <x:c r="L423" s="130" t="str">
        <x:f>IF(A423="","",IF(J423="OK","",IF(J423="NO CONSENT","Consent not affirmed",IF(J423="SPEEDING","Completion time below threshold",IF(J423="ATTENTION CHECK","Attention check failed",IF(J423="STRAIGHTLINE REVIEW","Straightlining review threshold met","Missing scored item(s)"))))))</x:f>
      </x:c>
      <x:c r="M423" s="119"/>
      <x:c r="N423" s="119"/>
      <x:c r="O423" s="119"/>
      <x:c r="P423" s="119"/>
      <x:c r="Q423" s="119"/>
      <x:c r="R423" s="119"/>
      <x:c r="S423" s="119"/>
      <x:c r="T423" s="119"/>
      <x:c r="U423" s="119"/>
      <x:c r="V423" s="119"/>
      <x:c r="W423" s="119"/>
      <x:c r="X423" s="119"/>
      <x:c r="Y423" s="133" t="str">
        <x:f>IF(K423&lt;&gt;"Yes","",IFERROR(AVERAGE(M423:X423),""))</x:f>
      </x:c>
      <x:c r="Z423" s="119"/>
    </x:row>
    <x:row r="424">
      <x:c r="A424" s="119"/>
      <x:c r="B424" s="119"/>
      <x:c r="C424" s="119"/>
      <x:c r="D424" s="119"/>
      <x:c r="E424" s="119"/>
      <x:c r="F424" s="119"/>
      <x:c r="G424" s="119"/>
      <x:c r="H424" s="130" t="str">
        <x:f>IF(A424="","",IF(AND(COUNTA(M424:X424)&gt;=SETUP!$B$10,COUNTIF(M424:X424,MAX(M424:X424))=COUNTA(M424:X424)),"Yes","No"))</x:f>
      </x:c>
      <x:c r="I424" s="130" t="str">
        <x:f>IF(A424="","",IF('SURVEY DESIGN'!C424&lt;&gt;"",--(M424=""),0)+IF('SURVEY DESIGN'!C425&lt;&gt;"",--(N424=""),0)+IF('SURVEY DESIGN'!C426&lt;&gt;"",--(O424=""),0)+IF('SURVEY DESIGN'!C427&lt;&gt;"",--(P424=""),0)+IF('SURVEY DESIGN'!C428&lt;&gt;"",--(Q424=""),0)+IF('SURVEY DESIGN'!C429&lt;&gt;"",--(R424=""),0)+IF('SURVEY DESIGN'!C430&lt;&gt;"",--(S424=""),0)+IF('SURVEY DESIGN'!C431&lt;&gt;"",--(T424=""),0)+IF('SURVEY DESIGN'!C432&lt;&gt;"",--(U424=""),0)+IF('SURVEY DESIGN'!C433&lt;&gt;"",--(V424=""),0)+IF('SURVEY DESIGN'!C434&lt;&gt;"",--(W424=""),0)+IF('SURVEY DESIGN'!C435&lt;&gt;"",--(X424=""),0))</x:f>
      </x:c>
      <x:c r="J424" s="130" t="str">
        <x:f>IF(A424="","",IF(C424&lt;&gt;"Yes","NO CONSENT",IF(F424&lt;SETUP!$B$9,"SPEEDING",IF(G424&lt;&gt;"Yes","ATTENTION CHECK",IF(H424="Yes","STRAIGHTLINE REVIEW",IF(I424&gt;0,"MISSING ITEMS","OK"))))))</x:f>
      </x:c>
      <x:c r="K424" s="130" t="str">
        <x:f>IF(A424="","",IF(J424="OK","Yes","No"))</x:f>
      </x:c>
      <x:c r="L424" s="130" t="str">
        <x:f>IF(A424="","",IF(J424="OK","",IF(J424="NO CONSENT","Consent not affirmed",IF(J424="SPEEDING","Completion time below threshold",IF(J424="ATTENTION CHECK","Attention check failed",IF(J424="STRAIGHTLINE REVIEW","Straightlining review threshold met","Missing scored item(s)"))))))</x:f>
      </x:c>
      <x:c r="M424" s="119"/>
      <x:c r="N424" s="119"/>
      <x:c r="O424" s="119"/>
      <x:c r="P424" s="119"/>
      <x:c r="Q424" s="119"/>
      <x:c r="R424" s="119"/>
      <x:c r="S424" s="119"/>
      <x:c r="T424" s="119"/>
      <x:c r="U424" s="119"/>
      <x:c r="V424" s="119"/>
      <x:c r="W424" s="119"/>
      <x:c r="X424" s="119"/>
      <x:c r="Y424" s="133" t="str">
        <x:f>IF(K424&lt;&gt;"Yes","",IFERROR(AVERAGE(M424:X424),""))</x:f>
      </x:c>
      <x:c r="Z424" s="119"/>
    </x:row>
    <x:row r="425">
      <x:c r="A425" s="119"/>
      <x:c r="B425" s="119"/>
      <x:c r="C425" s="119"/>
      <x:c r="D425" s="119"/>
      <x:c r="E425" s="119"/>
      <x:c r="F425" s="119"/>
      <x:c r="G425" s="119"/>
      <x:c r="H425" s="130" t="str">
        <x:f>IF(A425="","",IF(AND(COUNTA(M425:X425)&gt;=SETUP!$B$10,COUNTIF(M425:X425,MAX(M425:X425))=COUNTA(M425:X425)),"Yes","No"))</x:f>
      </x:c>
      <x:c r="I425" s="130" t="str">
        <x:f>IF(A425="","",IF('SURVEY DESIGN'!C425&lt;&gt;"",--(M425=""),0)+IF('SURVEY DESIGN'!C426&lt;&gt;"",--(N425=""),0)+IF('SURVEY DESIGN'!C427&lt;&gt;"",--(O425=""),0)+IF('SURVEY DESIGN'!C428&lt;&gt;"",--(P425=""),0)+IF('SURVEY DESIGN'!C429&lt;&gt;"",--(Q425=""),0)+IF('SURVEY DESIGN'!C430&lt;&gt;"",--(R425=""),0)+IF('SURVEY DESIGN'!C431&lt;&gt;"",--(S425=""),0)+IF('SURVEY DESIGN'!C432&lt;&gt;"",--(T425=""),0)+IF('SURVEY DESIGN'!C433&lt;&gt;"",--(U425=""),0)+IF('SURVEY DESIGN'!C434&lt;&gt;"",--(V425=""),0)+IF('SURVEY DESIGN'!C435&lt;&gt;"",--(W425=""),0)+IF('SURVEY DESIGN'!C436&lt;&gt;"",--(X425=""),0))</x:f>
      </x:c>
      <x:c r="J425" s="130" t="str">
        <x:f>IF(A425="","",IF(C425&lt;&gt;"Yes","NO CONSENT",IF(F425&lt;SETUP!$B$9,"SPEEDING",IF(G425&lt;&gt;"Yes","ATTENTION CHECK",IF(H425="Yes","STRAIGHTLINE REVIEW",IF(I425&gt;0,"MISSING ITEMS","OK"))))))</x:f>
      </x:c>
      <x:c r="K425" s="130" t="str">
        <x:f>IF(A425="","",IF(J425="OK","Yes","No"))</x:f>
      </x:c>
      <x:c r="L425" s="130" t="str">
        <x:f>IF(A425="","",IF(J425="OK","",IF(J425="NO CONSENT","Consent not affirmed",IF(J425="SPEEDING","Completion time below threshold",IF(J425="ATTENTION CHECK","Attention check failed",IF(J425="STRAIGHTLINE REVIEW","Straightlining review threshold met","Missing scored item(s)"))))))</x:f>
      </x:c>
      <x:c r="M425" s="119"/>
      <x:c r="N425" s="119"/>
      <x:c r="O425" s="119"/>
      <x:c r="P425" s="119"/>
      <x:c r="Q425" s="119"/>
      <x:c r="R425" s="119"/>
      <x:c r="S425" s="119"/>
      <x:c r="T425" s="119"/>
      <x:c r="U425" s="119"/>
      <x:c r="V425" s="119"/>
      <x:c r="W425" s="119"/>
      <x:c r="X425" s="119"/>
      <x:c r="Y425" s="133" t="str">
        <x:f>IF(K425&lt;&gt;"Yes","",IFERROR(AVERAGE(M425:X425),""))</x:f>
      </x:c>
      <x:c r="Z425" s="119"/>
    </x:row>
    <x:row r="426">
      <x:c r="A426" s="119"/>
      <x:c r="B426" s="119"/>
      <x:c r="C426" s="119"/>
      <x:c r="D426" s="119"/>
      <x:c r="E426" s="119"/>
      <x:c r="F426" s="119"/>
      <x:c r="G426" s="119"/>
      <x:c r="H426" s="130" t="str">
        <x:f>IF(A426="","",IF(AND(COUNTA(M426:X426)&gt;=SETUP!$B$10,COUNTIF(M426:X426,MAX(M426:X426))=COUNTA(M426:X426)),"Yes","No"))</x:f>
      </x:c>
      <x:c r="I426" s="130" t="str">
        <x:f>IF(A426="","",IF('SURVEY DESIGN'!C426&lt;&gt;"",--(M426=""),0)+IF('SURVEY DESIGN'!C427&lt;&gt;"",--(N426=""),0)+IF('SURVEY DESIGN'!C428&lt;&gt;"",--(O426=""),0)+IF('SURVEY DESIGN'!C429&lt;&gt;"",--(P426=""),0)+IF('SURVEY DESIGN'!C430&lt;&gt;"",--(Q426=""),0)+IF('SURVEY DESIGN'!C431&lt;&gt;"",--(R426=""),0)+IF('SURVEY DESIGN'!C432&lt;&gt;"",--(S426=""),0)+IF('SURVEY DESIGN'!C433&lt;&gt;"",--(T426=""),0)+IF('SURVEY DESIGN'!C434&lt;&gt;"",--(U426=""),0)+IF('SURVEY DESIGN'!C435&lt;&gt;"",--(V426=""),0)+IF('SURVEY DESIGN'!C436&lt;&gt;"",--(W426=""),0)+IF('SURVEY DESIGN'!C437&lt;&gt;"",--(X426=""),0))</x:f>
      </x:c>
      <x:c r="J426" s="130" t="str">
        <x:f>IF(A426="","",IF(C426&lt;&gt;"Yes","NO CONSENT",IF(F426&lt;SETUP!$B$9,"SPEEDING",IF(G426&lt;&gt;"Yes","ATTENTION CHECK",IF(H426="Yes","STRAIGHTLINE REVIEW",IF(I426&gt;0,"MISSING ITEMS","OK"))))))</x:f>
      </x:c>
      <x:c r="K426" s="130" t="str">
        <x:f>IF(A426="","",IF(J426="OK","Yes","No"))</x:f>
      </x:c>
      <x:c r="L426" s="130" t="str">
        <x:f>IF(A426="","",IF(J426="OK","",IF(J426="NO CONSENT","Consent not affirmed",IF(J426="SPEEDING","Completion time below threshold",IF(J426="ATTENTION CHECK","Attention check failed",IF(J426="STRAIGHTLINE REVIEW","Straightlining review threshold met","Missing scored item(s)"))))))</x:f>
      </x:c>
      <x:c r="M426" s="119"/>
      <x:c r="N426" s="119"/>
      <x:c r="O426" s="119"/>
      <x:c r="P426" s="119"/>
      <x:c r="Q426" s="119"/>
      <x:c r="R426" s="119"/>
      <x:c r="S426" s="119"/>
      <x:c r="T426" s="119"/>
      <x:c r="U426" s="119"/>
      <x:c r="V426" s="119"/>
      <x:c r="W426" s="119"/>
      <x:c r="X426" s="119"/>
      <x:c r="Y426" s="133" t="str">
        <x:f>IF(K426&lt;&gt;"Yes","",IFERROR(AVERAGE(M426:X426),""))</x:f>
      </x:c>
      <x:c r="Z426" s="119"/>
    </x:row>
    <x:row r="427">
      <x:c r="A427" s="119"/>
      <x:c r="B427" s="119"/>
      <x:c r="C427" s="119"/>
      <x:c r="D427" s="119"/>
      <x:c r="E427" s="119"/>
      <x:c r="F427" s="119"/>
      <x:c r="G427" s="119"/>
      <x:c r="H427" s="130" t="str">
        <x:f>IF(A427="","",IF(AND(COUNTA(M427:X427)&gt;=SETUP!$B$10,COUNTIF(M427:X427,MAX(M427:X427))=COUNTA(M427:X427)),"Yes","No"))</x:f>
      </x:c>
      <x:c r="I427" s="130" t="str">
        <x:f>IF(A427="","",IF('SURVEY DESIGN'!C427&lt;&gt;"",--(M427=""),0)+IF('SURVEY DESIGN'!C428&lt;&gt;"",--(N427=""),0)+IF('SURVEY DESIGN'!C429&lt;&gt;"",--(O427=""),0)+IF('SURVEY DESIGN'!C430&lt;&gt;"",--(P427=""),0)+IF('SURVEY DESIGN'!C431&lt;&gt;"",--(Q427=""),0)+IF('SURVEY DESIGN'!C432&lt;&gt;"",--(R427=""),0)+IF('SURVEY DESIGN'!C433&lt;&gt;"",--(S427=""),0)+IF('SURVEY DESIGN'!C434&lt;&gt;"",--(T427=""),0)+IF('SURVEY DESIGN'!C435&lt;&gt;"",--(U427=""),0)+IF('SURVEY DESIGN'!C436&lt;&gt;"",--(V427=""),0)+IF('SURVEY DESIGN'!C437&lt;&gt;"",--(W427=""),0)+IF('SURVEY DESIGN'!C438&lt;&gt;"",--(X427=""),0))</x:f>
      </x:c>
      <x:c r="J427" s="130" t="str">
        <x:f>IF(A427="","",IF(C427&lt;&gt;"Yes","NO CONSENT",IF(F427&lt;SETUP!$B$9,"SPEEDING",IF(G427&lt;&gt;"Yes","ATTENTION CHECK",IF(H427="Yes","STRAIGHTLINE REVIEW",IF(I427&gt;0,"MISSING ITEMS","OK"))))))</x:f>
      </x:c>
      <x:c r="K427" s="130" t="str">
        <x:f>IF(A427="","",IF(J427="OK","Yes","No"))</x:f>
      </x:c>
      <x:c r="L427" s="130" t="str">
        <x:f>IF(A427="","",IF(J427="OK","",IF(J427="NO CONSENT","Consent not affirmed",IF(J427="SPEEDING","Completion time below threshold",IF(J427="ATTENTION CHECK","Attention check failed",IF(J427="STRAIGHTLINE REVIEW","Straightlining review threshold met","Missing scored item(s)"))))))</x:f>
      </x:c>
      <x:c r="M427" s="119"/>
      <x:c r="N427" s="119"/>
      <x:c r="O427" s="119"/>
      <x:c r="P427" s="119"/>
      <x:c r="Q427" s="119"/>
      <x:c r="R427" s="119"/>
      <x:c r="S427" s="119"/>
      <x:c r="T427" s="119"/>
      <x:c r="U427" s="119"/>
      <x:c r="V427" s="119"/>
      <x:c r="W427" s="119"/>
      <x:c r="X427" s="119"/>
      <x:c r="Y427" s="133" t="str">
        <x:f>IF(K427&lt;&gt;"Yes","",IFERROR(AVERAGE(M427:X427),""))</x:f>
      </x:c>
      <x:c r="Z427" s="119"/>
    </x:row>
    <x:row r="428">
      <x:c r="A428" s="119"/>
      <x:c r="B428" s="119"/>
      <x:c r="C428" s="119"/>
      <x:c r="D428" s="119"/>
      <x:c r="E428" s="119"/>
      <x:c r="F428" s="119"/>
      <x:c r="G428" s="119"/>
      <x:c r="H428" s="130" t="str">
        <x:f>IF(A428="","",IF(AND(COUNTA(M428:X428)&gt;=SETUP!$B$10,COUNTIF(M428:X428,MAX(M428:X428))=COUNTA(M428:X428)),"Yes","No"))</x:f>
      </x:c>
      <x:c r="I428" s="130" t="str">
        <x:f>IF(A428="","",IF('SURVEY DESIGN'!C428&lt;&gt;"",--(M428=""),0)+IF('SURVEY DESIGN'!C429&lt;&gt;"",--(N428=""),0)+IF('SURVEY DESIGN'!C430&lt;&gt;"",--(O428=""),0)+IF('SURVEY DESIGN'!C431&lt;&gt;"",--(P428=""),0)+IF('SURVEY DESIGN'!C432&lt;&gt;"",--(Q428=""),0)+IF('SURVEY DESIGN'!C433&lt;&gt;"",--(R428=""),0)+IF('SURVEY DESIGN'!C434&lt;&gt;"",--(S428=""),0)+IF('SURVEY DESIGN'!C435&lt;&gt;"",--(T428=""),0)+IF('SURVEY DESIGN'!C436&lt;&gt;"",--(U428=""),0)+IF('SURVEY DESIGN'!C437&lt;&gt;"",--(V428=""),0)+IF('SURVEY DESIGN'!C438&lt;&gt;"",--(W428=""),0)+IF('SURVEY DESIGN'!C439&lt;&gt;"",--(X428=""),0))</x:f>
      </x:c>
      <x:c r="J428" s="130" t="str">
        <x:f>IF(A428="","",IF(C428&lt;&gt;"Yes","NO CONSENT",IF(F428&lt;SETUP!$B$9,"SPEEDING",IF(G428&lt;&gt;"Yes","ATTENTION CHECK",IF(H428="Yes","STRAIGHTLINE REVIEW",IF(I428&gt;0,"MISSING ITEMS","OK"))))))</x:f>
      </x:c>
      <x:c r="K428" s="130" t="str">
        <x:f>IF(A428="","",IF(J428="OK","Yes","No"))</x:f>
      </x:c>
      <x:c r="L428" s="130" t="str">
        <x:f>IF(A428="","",IF(J428="OK","",IF(J428="NO CONSENT","Consent not affirmed",IF(J428="SPEEDING","Completion time below threshold",IF(J428="ATTENTION CHECK","Attention check failed",IF(J428="STRAIGHTLINE REVIEW","Straightlining review threshold met","Missing scored item(s)"))))))</x:f>
      </x:c>
      <x:c r="M428" s="119"/>
      <x:c r="N428" s="119"/>
      <x:c r="O428" s="119"/>
      <x:c r="P428" s="119"/>
      <x:c r="Q428" s="119"/>
      <x:c r="R428" s="119"/>
      <x:c r="S428" s="119"/>
      <x:c r="T428" s="119"/>
      <x:c r="U428" s="119"/>
      <x:c r="V428" s="119"/>
      <x:c r="W428" s="119"/>
      <x:c r="X428" s="119"/>
      <x:c r="Y428" s="133" t="str">
        <x:f>IF(K428&lt;&gt;"Yes","",IFERROR(AVERAGE(M428:X428),""))</x:f>
      </x:c>
      <x:c r="Z428" s="119"/>
    </x:row>
    <x:row r="429">
      <x:c r="A429" s="119"/>
      <x:c r="B429" s="119"/>
      <x:c r="C429" s="119"/>
      <x:c r="D429" s="119"/>
      <x:c r="E429" s="119"/>
      <x:c r="F429" s="119"/>
      <x:c r="G429" s="119"/>
      <x:c r="H429" s="130" t="str">
        <x:f>IF(A429="","",IF(AND(COUNTA(M429:X429)&gt;=SETUP!$B$10,COUNTIF(M429:X429,MAX(M429:X429))=COUNTA(M429:X429)),"Yes","No"))</x:f>
      </x:c>
      <x:c r="I429" s="130" t="str">
        <x:f>IF(A429="","",IF('SURVEY DESIGN'!C429&lt;&gt;"",--(M429=""),0)+IF('SURVEY DESIGN'!C430&lt;&gt;"",--(N429=""),0)+IF('SURVEY DESIGN'!C431&lt;&gt;"",--(O429=""),0)+IF('SURVEY DESIGN'!C432&lt;&gt;"",--(P429=""),0)+IF('SURVEY DESIGN'!C433&lt;&gt;"",--(Q429=""),0)+IF('SURVEY DESIGN'!C434&lt;&gt;"",--(R429=""),0)+IF('SURVEY DESIGN'!C435&lt;&gt;"",--(S429=""),0)+IF('SURVEY DESIGN'!C436&lt;&gt;"",--(T429=""),0)+IF('SURVEY DESIGN'!C437&lt;&gt;"",--(U429=""),0)+IF('SURVEY DESIGN'!C438&lt;&gt;"",--(V429=""),0)+IF('SURVEY DESIGN'!C439&lt;&gt;"",--(W429=""),0)+IF('SURVEY DESIGN'!C440&lt;&gt;"",--(X429=""),0))</x:f>
      </x:c>
      <x:c r="J429" s="130" t="str">
        <x:f>IF(A429="","",IF(C429&lt;&gt;"Yes","NO CONSENT",IF(F429&lt;SETUP!$B$9,"SPEEDING",IF(G429&lt;&gt;"Yes","ATTENTION CHECK",IF(H429="Yes","STRAIGHTLINE REVIEW",IF(I429&gt;0,"MISSING ITEMS","OK"))))))</x:f>
      </x:c>
      <x:c r="K429" s="130" t="str">
        <x:f>IF(A429="","",IF(J429="OK","Yes","No"))</x:f>
      </x:c>
      <x:c r="L429" s="130" t="str">
        <x:f>IF(A429="","",IF(J429="OK","",IF(J429="NO CONSENT","Consent not affirmed",IF(J429="SPEEDING","Completion time below threshold",IF(J429="ATTENTION CHECK","Attention check failed",IF(J429="STRAIGHTLINE REVIEW","Straightlining review threshold met","Missing scored item(s)"))))))</x:f>
      </x:c>
      <x:c r="M429" s="119"/>
      <x:c r="N429" s="119"/>
      <x:c r="O429" s="119"/>
      <x:c r="P429" s="119"/>
      <x:c r="Q429" s="119"/>
      <x:c r="R429" s="119"/>
      <x:c r="S429" s="119"/>
      <x:c r="T429" s="119"/>
      <x:c r="U429" s="119"/>
      <x:c r="V429" s="119"/>
      <x:c r="W429" s="119"/>
      <x:c r="X429" s="119"/>
      <x:c r="Y429" s="133" t="str">
        <x:f>IF(K429&lt;&gt;"Yes","",IFERROR(AVERAGE(M429:X429),""))</x:f>
      </x:c>
      <x:c r="Z429" s="119"/>
    </x:row>
    <x:row r="430">
      <x:c r="A430" s="119"/>
      <x:c r="B430" s="119"/>
      <x:c r="C430" s="119"/>
      <x:c r="D430" s="119"/>
      <x:c r="E430" s="119"/>
      <x:c r="F430" s="119"/>
      <x:c r="G430" s="119"/>
      <x:c r="H430" s="130" t="str">
        <x:f>IF(A430="","",IF(AND(COUNTA(M430:X430)&gt;=SETUP!$B$10,COUNTIF(M430:X430,MAX(M430:X430))=COUNTA(M430:X430)),"Yes","No"))</x:f>
      </x:c>
      <x:c r="I430" s="130" t="str">
        <x:f>IF(A430="","",IF('SURVEY DESIGN'!C430&lt;&gt;"",--(M430=""),0)+IF('SURVEY DESIGN'!C431&lt;&gt;"",--(N430=""),0)+IF('SURVEY DESIGN'!C432&lt;&gt;"",--(O430=""),0)+IF('SURVEY DESIGN'!C433&lt;&gt;"",--(P430=""),0)+IF('SURVEY DESIGN'!C434&lt;&gt;"",--(Q430=""),0)+IF('SURVEY DESIGN'!C435&lt;&gt;"",--(R430=""),0)+IF('SURVEY DESIGN'!C436&lt;&gt;"",--(S430=""),0)+IF('SURVEY DESIGN'!C437&lt;&gt;"",--(T430=""),0)+IF('SURVEY DESIGN'!C438&lt;&gt;"",--(U430=""),0)+IF('SURVEY DESIGN'!C439&lt;&gt;"",--(V430=""),0)+IF('SURVEY DESIGN'!C440&lt;&gt;"",--(W430=""),0)+IF('SURVEY DESIGN'!C441&lt;&gt;"",--(X430=""),0))</x:f>
      </x:c>
      <x:c r="J430" s="130" t="str">
        <x:f>IF(A430="","",IF(C430&lt;&gt;"Yes","NO CONSENT",IF(F430&lt;SETUP!$B$9,"SPEEDING",IF(G430&lt;&gt;"Yes","ATTENTION CHECK",IF(H430="Yes","STRAIGHTLINE REVIEW",IF(I430&gt;0,"MISSING ITEMS","OK"))))))</x:f>
      </x:c>
      <x:c r="K430" s="130" t="str">
        <x:f>IF(A430="","",IF(J430="OK","Yes","No"))</x:f>
      </x:c>
      <x:c r="L430" s="130" t="str">
        <x:f>IF(A430="","",IF(J430="OK","",IF(J430="NO CONSENT","Consent not affirmed",IF(J430="SPEEDING","Completion time below threshold",IF(J430="ATTENTION CHECK","Attention check failed",IF(J430="STRAIGHTLINE REVIEW","Straightlining review threshold met","Missing scored item(s)"))))))</x:f>
      </x:c>
      <x:c r="M430" s="119"/>
      <x:c r="N430" s="119"/>
      <x:c r="O430" s="119"/>
      <x:c r="P430" s="119"/>
      <x:c r="Q430" s="119"/>
      <x:c r="R430" s="119"/>
      <x:c r="S430" s="119"/>
      <x:c r="T430" s="119"/>
      <x:c r="U430" s="119"/>
      <x:c r="V430" s="119"/>
      <x:c r="W430" s="119"/>
      <x:c r="X430" s="119"/>
      <x:c r="Y430" s="133" t="str">
        <x:f>IF(K430&lt;&gt;"Yes","",IFERROR(AVERAGE(M430:X430),""))</x:f>
      </x:c>
      <x:c r="Z430" s="119"/>
    </x:row>
    <x:row r="431">
      <x:c r="A431" s="119"/>
      <x:c r="B431" s="119"/>
      <x:c r="C431" s="119"/>
      <x:c r="D431" s="119"/>
      <x:c r="E431" s="119"/>
      <x:c r="F431" s="119"/>
      <x:c r="G431" s="119"/>
      <x:c r="H431" s="130" t="str">
        <x:f>IF(A431="","",IF(AND(COUNTA(M431:X431)&gt;=SETUP!$B$10,COUNTIF(M431:X431,MAX(M431:X431))=COUNTA(M431:X431)),"Yes","No"))</x:f>
      </x:c>
      <x:c r="I431" s="130" t="str">
        <x:f>IF(A431="","",IF('SURVEY DESIGN'!C431&lt;&gt;"",--(M431=""),0)+IF('SURVEY DESIGN'!C432&lt;&gt;"",--(N431=""),0)+IF('SURVEY DESIGN'!C433&lt;&gt;"",--(O431=""),0)+IF('SURVEY DESIGN'!C434&lt;&gt;"",--(P431=""),0)+IF('SURVEY DESIGN'!C435&lt;&gt;"",--(Q431=""),0)+IF('SURVEY DESIGN'!C436&lt;&gt;"",--(R431=""),0)+IF('SURVEY DESIGN'!C437&lt;&gt;"",--(S431=""),0)+IF('SURVEY DESIGN'!C438&lt;&gt;"",--(T431=""),0)+IF('SURVEY DESIGN'!C439&lt;&gt;"",--(U431=""),0)+IF('SURVEY DESIGN'!C440&lt;&gt;"",--(V431=""),0)+IF('SURVEY DESIGN'!C441&lt;&gt;"",--(W431=""),0)+IF('SURVEY DESIGN'!C442&lt;&gt;"",--(X431=""),0))</x:f>
      </x:c>
      <x:c r="J431" s="130" t="str">
        <x:f>IF(A431="","",IF(C431&lt;&gt;"Yes","NO CONSENT",IF(F431&lt;SETUP!$B$9,"SPEEDING",IF(G431&lt;&gt;"Yes","ATTENTION CHECK",IF(H431="Yes","STRAIGHTLINE REVIEW",IF(I431&gt;0,"MISSING ITEMS","OK"))))))</x:f>
      </x:c>
      <x:c r="K431" s="130" t="str">
        <x:f>IF(A431="","",IF(J431="OK","Yes","No"))</x:f>
      </x:c>
      <x:c r="L431" s="130" t="str">
        <x:f>IF(A431="","",IF(J431="OK","",IF(J431="NO CONSENT","Consent not affirmed",IF(J431="SPEEDING","Completion time below threshold",IF(J431="ATTENTION CHECK","Attention check failed",IF(J431="STRAIGHTLINE REVIEW","Straightlining review threshold met","Missing scored item(s)"))))))</x:f>
      </x:c>
      <x:c r="M431" s="119"/>
      <x:c r="N431" s="119"/>
      <x:c r="O431" s="119"/>
      <x:c r="P431" s="119"/>
      <x:c r="Q431" s="119"/>
      <x:c r="R431" s="119"/>
      <x:c r="S431" s="119"/>
      <x:c r="T431" s="119"/>
      <x:c r="U431" s="119"/>
      <x:c r="V431" s="119"/>
      <x:c r="W431" s="119"/>
      <x:c r="X431" s="119"/>
      <x:c r="Y431" s="133" t="str">
        <x:f>IF(K431&lt;&gt;"Yes","",IFERROR(AVERAGE(M431:X431),""))</x:f>
      </x:c>
      <x:c r="Z431" s="119"/>
    </x:row>
    <x:row r="432">
      <x:c r="A432" s="119"/>
      <x:c r="B432" s="119"/>
      <x:c r="C432" s="119"/>
      <x:c r="D432" s="119"/>
      <x:c r="E432" s="119"/>
      <x:c r="F432" s="119"/>
      <x:c r="G432" s="119"/>
      <x:c r="H432" s="130" t="str">
        <x:f>IF(A432="","",IF(AND(COUNTA(M432:X432)&gt;=SETUP!$B$10,COUNTIF(M432:X432,MAX(M432:X432))=COUNTA(M432:X432)),"Yes","No"))</x:f>
      </x:c>
      <x:c r="I432" s="130" t="str">
        <x:f>IF(A432="","",IF('SURVEY DESIGN'!C432&lt;&gt;"",--(M432=""),0)+IF('SURVEY DESIGN'!C433&lt;&gt;"",--(N432=""),0)+IF('SURVEY DESIGN'!C434&lt;&gt;"",--(O432=""),0)+IF('SURVEY DESIGN'!C435&lt;&gt;"",--(P432=""),0)+IF('SURVEY DESIGN'!C436&lt;&gt;"",--(Q432=""),0)+IF('SURVEY DESIGN'!C437&lt;&gt;"",--(R432=""),0)+IF('SURVEY DESIGN'!C438&lt;&gt;"",--(S432=""),0)+IF('SURVEY DESIGN'!C439&lt;&gt;"",--(T432=""),0)+IF('SURVEY DESIGN'!C440&lt;&gt;"",--(U432=""),0)+IF('SURVEY DESIGN'!C441&lt;&gt;"",--(V432=""),0)+IF('SURVEY DESIGN'!C442&lt;&gt;"",--(W432=""),0)+IF('SURVEY DESIGN'!C443&lt;&gt;"",--(X432=""),0))</x:f>
      </x:c>
      <x:c r="J432" s="130" t="str">
        <x:f>IF(A432="","",IF(C432&lt;&gt;"Yes","NO CONSENT",IF(F432&lt;SETUP!$B$9,"SPEEDING",IF(G432&lt;&gt;"Yes","ATTENTION CHECK",IF(H432="Yes","STRAIGHTLINE REVIEW",IF(I432&gt;0,"MISSING ITEMS","OK"))))))</x:f>
      </x:c>
      <x:c r="K432" s="130" t="str">
        <x:f>IF(A432="","",IF(J432="OK","Yes","No"))</x:f>
      </x:c>
      <x:c r="L432" s="130" t="str">
        <x:f>IF(A432="","",IF(J432="OK","",IF(J432="NO CONSENT","Consent not affirmed",IF(J432="SPEEDING","Completion time below threshold",IF(J432="ATTENTION CHECK","Attention check failed",IF(J432="STRAIGHTLINE REVIEW","Straightlining review threshold met","Missing scored item(s)"))))))</x:f>
      </x:c>
      <x:c r="M432" s="119"/>
      <x:c r="N432" s="119"/>
      <x:c r="O432" s="119"/>
      <x:c r="P432" s="119"/>
      <x:c r="Q432" s="119"/>
      <x:c r="R432" s="119"/>
      <x:c r="S432" s="119"/>
      <x:c r="T432" s="119"/>
      <x:c r="U432" s="119"/>
      <x:c r="V432" s="119"/>
      <x:c r="W432" s="119"/>
      <x:c r="X432" s="119"/>
      <x:c r="Y432" s="133" t="str">
        <x:f>IF(K432&lt;&gt;"Yes","",IFERROR(AVERAGE(M432:X432),""))</x:f>
      </x:c>
      <x:c r="Z432" s="119"/>
    </x:row>
    <x:row r="433">
      <x:c r="A433" s="119"/>
      <x:c r="B433" s="119"/>
      <x:c r="C433" s="119"/>
      <x:c r="D433" s="119"/>
      <x:c r="E433" s="119"/>
      <x:c r="F433" s="119"/>
      <x:c r="G433" s="119"/>
      <x:c r="H433" s="130" t="str">
        <x:f>IF(A433="","",IF(AND(COUNTA(M433:X433)&gt;=SETUP!$B$10,COUNTIF(M433:X433,MAX(M433:X433))=COUNTA(M433:X433)),"Yes","No"))</x:f>
      </x:c>
      <x:c r="I433" s="130" t="str">
        <x:f>IF(A433="","",IF('SURVEY DESIGN'!C433&lt;&gt;"",--(M433=""),0)+IF('SURVEY DESIGN'!C434&lt;&gt;"",--(N433=""),0)+IF('SURVEY DESIGN'!C435&lt;&gt;"",--(O433=""),0)+IF('SURVEY DESIGN'!C436&lt;&gt;"",--(P433=""),0)+IF('SURVEY DESIGN'!C437&lt;&gt;"",--(Q433=""),0)+IF('SURVEY DESIGN'!C438&lt;&gt;"",--(R433=""),0)+IF('SURVEY DESIGN'!C439&lt;&gt;"",--(S433=""),0)+IF('SURVEY DESIGN'!C440&lt;&gt;"",--(T433=""),0)+IF('SURVEY DESIGN'!C441&lt;&gt;"",--(U433=""),0)+IF('SURVEY DESIGN'!C442&lt;&gt;"",--(V433=""),0)+IF('SURVEY DESIGN'!C443&lt;&gt;"",--(W433=""),0)+IF('SURVEY DESIGN'!C444&lt;&gt;"",--(X433=""),0))</x:f>
      </x:c>
      <x:c r="J433" s="130" t="str">
        <x:f>IF(A433="","",IF(C433&lt;&gt;"Yes","NO CONSENT",IF(F433&lt;SETUP!$B$9,"SPEEDING",IF(G433&lt;&gt;"Yes","ATTENTION CHECK",IF(H433="Yes","STRAIGHTLINE REVIEW",IF(I433&gt;0,"MISSING ITEMS","OK"))))))</x:f>
      </x:c>
      <x:c r="K433" s="130" t="str">
        <x:f>IF(A433="","",IF(J433="OK","Yes","No"))</x:f>
      </x:c>
      <x:c r="L433" s="130" t="str">
        <x:f>IF(A433="","",IF(J433="OK","",IF(J433="NO CONSENT","Consent not affirmed",IF(J433="SPEEDING","Completion time below threshold",IF(J433="ATTENTION CHECK","Attention check failed",IF(J433="STRAIGHTLINE REVIEW","Straightlining review threshold met","Missing scored item(s)"))))))</x:f>
      </x:c>
      <x:c r="M433" s="119"/>
      <x:c r="N433" s="119"/>
      <x:c r="O433" s="119"/>
      <x:c r="P433" s="119"/>
      <x:c r="Q433" s="119"/>
      <x:c r="R433" s="119"/>
      <x:c r="S433" s="119"/>
      <x:c r="T433" s="119"/>
      <x:c r="U433" s="119"/>
      <x:c r="V433" s="119"/>
      <x:c r="W433" s="119"/>
      <x:c r="X433" s="119"/>
      <x:c r="Y433" s="133" t="str">
        <x:f>IF(K433&lt;&gt;"Yes","",IFERROR(AVERAGE(M433:X433),""))</x:f>
      </x:c>
      <x:c r="Z433" s="119"/>
    </x:row>
    <x:row r="434">
      <x:c r="A434" s="119"/>
      <x:c r="B434" s="119"/>
      <x:c r="C434" s="119"/>
      <x:c r="D434" s="119"/>
      <x:c r="E434" s="119"/>
      <x:c r="F434" s="119"/>
      <x:c r="G434" s="119"/>
      <x:c r="H434" s="130" t="str">
        <x:f>IF(A434="","",IF(AND(COUNTA(M434:X434)&gt;=SETUP!$B$10,COUNTIF(M434:X434,MAX(M434:X434))=COUNTA(M434:X434)),"Yes","No"))</x:f>
      </x:c>
      <x:c r="I434" s="130" t="str">
        <x:f>IF(A434="","",IF('SURVEY DESIGN'!C434&lt;&gt;"",--(M434=""),0)+IF('SURVEY DESIGN'!C435&lt;&gt;"",--(N434=""),0)+IF('SURVEY DESIGN'!C436&lt;&gt;"",--(O434=""),0)+IF('SURVEY DESIGN'!C437&lt;&gt;"",--(P434=""),0)+IF('SURVEY DESIGN'!C438&lt;&gt;"",--(Q434=""),0)+IF('SURVEY DESIGN'!C439&lt;&gt;"",--(R434=""),0)+IF('SURVEY DESIGN'!C440&lt;&gt;"",--(S434=""),0)+IF('SURVEY DESIGN'!C441&lt;&gt;"",--(T434=""),0)+IF('SURVEY DESIGN'!C442&lt;&gt;"",--(U434=""),0)+IF('SURVEY DESIGN'!C443&lt;&gt;"",--(V434=""),0)+IF('SURVEY DESIGN'!C444&lt;&gt;"",--(W434=""),0)+IF('SURVEY DESIGN'!C445&lt;&gt;"",--(X434=""),0))</x:f>
      </x:c>
      <x:c r="J434" s="130" t="str">
        <x:f>IF(A434="","",IF(C434&lt;&gt;"Yes","NO CONSENT",IF(F434&lt;SETUP!$B$9,"SPEEDING",IF(G434&lt;&gt;"Yes","ATTENTION CHECK",IF(H434="Yes","STRAIGHTLINE REVIEW",IF(I434&gt;0,"MISSING ITEMS","OK"))))))</x:f>
      </x:c>
      <x:c r="K434" s="130" t="str">
        <x:f>IF(A434="","",IF(J434="OK","Yes","No"))</x:f>
      </x:c>
      <x:c r="L434" s="130" t="str">
        <x:f>IF(A434="","",IF(J434="OK","",IF(J434="NO CONSENT","Consent not affirmed",IF(J434="SPEEDING","Completion time below threshold",IF(J434="ATTENTION CHECK","Attention check failed",IF(J434="STRAIGHTLINE REVIEW","Straightlining review threshold met","Missing scored item(s)"))))))</x:f>
      </x:c>
      <x:c r="M434" s="119"/>
      <x:c r="N434" s="119"/>
      <x:c r="O434" s="119"/>
      <x:c r="P434" s="119"/>
      <x:c r="Q434" s="119"/>
      <x:c r="R434" s="119"/>
      <x:c r="S434" s="119"/>
      <x:c r="T434" s="119"/>
      <x:c r="U434" s="119"/>
      <x:c r="V434" s="119"/>
      <x:c r="W434" s="119"/>
      <x:c r="X434" s="119"/>
      <x:c r="Y434" s="133" t="str">
        <x:f>IF(K434&lt;&gt;"Yes","",IFERROR(AVERAGE(M434:X434),""))</x:f>
      </x:c>
      <x:c r="Z434" s="119"/>
    </x:row>
    <x:row r="435">
      <x:c r="A435" s="119"/>
      <x:c r="B435" s="119"/>
      <x:c r="C435" s="119"/>
      <x:c r="D435" s="119"/>
      <x:c r="E435" s="119"/>
      <x:c r="F435" s="119"/>
      <x:c r="G435" s="119"/>
      <x:c r="H435" s="130" t="str">
        <x:f>IF(A435="","",IF(AND(COUNTA(M435:X435)&gt;=SETUP!$B$10,COUNTIF(M435:X435,MAX(M435:X435))=COUNTA(M435:X435)),"Yes","No"))</x:f>
      </x:c>
      <x:c r="I435" s="130" t="str">
        <x:f>IF(A435="","",IF('SURVEY DESIGN'!C435&lt;&gt;"",--(M435=""),0)+IF('SURVEY DESIGN'!C436&lt;&gt;"",--(N435=""),0)+IF('SURVEY DESIGN'!C437&lt;&gt;"",--(O435=""),0)+IF('SURVEY DESIGN'!C438&lt;&gt;"",--(P435=""),0)+IF('SURVEY DESIGN'!C439&lt;&gt;"",--(Q435=""),0)+IF('SURVEY DESIGN'!C440&lt;&gt;"",--(R435=""),0)+IF('SURVEY DESIGN'!C441&lt;&gt;"",--(S435=""),0)+IF('SURVEY DESIGN'!C442&lt;&gt;"",--(T435=""),0)+IF('SURVEY DESIGN'!C443&lt;&gt;"",--(U435=""),0)+IF('SURVEY DESIGN'!C444&lt;&gt;"",--(V435=""),0)+IF('SURVEY DESIGN'!C445&lt;&gt;"",--(W435=""),0)+IF('SURVEY DESIGN'!C446&lt;&gt;"",--(X435=""),0))</x:f>
      </x:c>
      <x:c r="J435" s="130" t="str">
        <x:f>IF(A435="","",IF(C435&lt;&gt;"Yes","NO CONSENT",IF(F435&lt;SETUP!$B$9,"SPEEDING",IF(G435&lt;&gt;"Yes","ATTENTION CHECK",IF(H435="Yes","STRAIGHTLINE REVIEW",IF(I435&gt;0,"MISSING ITEMS","OK"))))))</x:f>
      </x:c>
      <x:c r="K435" s="130" t="str">
        <x:f>IF(A435="","",IF(J435="OK","Yes","No"))</x:f>
      </x:c>
      <x:c r="L435" s="130" t="str">
        <x:f>IF(A435="","",IF(J435="OK","",IF(J435="NO CONSENT","Consent not affirmed",IF(J435="SPEEDING","Completion time below threshold",IF(J435="ATTENTION CHECK","Attention check failed",IF(J435="STRAIGHTLINE REVIEW","Straightlining review threshold met","Missing scored item(s)"))))))</x:f>
      </x:c>
      <x:c r="M435" s="119"/>
      <x:c r="N435" s="119"/>
      <x:c r="O435" s="119"/>
      <x:c r="P435" s="119"/>
      <x:c r="Q435" s="119"/>
      <x:c r="R435" s="119"/>
      <x:c r="S435" s="119"/>
      <x:c r="T435" s="119"/>
      <x:c r="U435" s="119"/>
      <x:c r="V435" s="119"/>
      <x:c r="W435" s="119"/>
      <x:c r="X435" s="119"/>
      <x:c r="Y435" s="133" t="str">
        <x:f>IF(K435&lt;&gt;"Yes","",IFERROR(AVERAGE(M435:X435),""))</x:f>
      </x:c>
      <x:c r="Z435" s="119"/>
    </x:row>
    <x:row r="436">
      <x:c r="A436" s="119"/>
      <x:c r="B436" s="119"/>
      <x:c r="C436" s="119"/>
      <x:c r="D436" s="119"/>
      <x:c r="E436" s="119"/>
      <x:c r="F436" s="119"/>
      <x:c r="G436" s="119"/>
      <x:c r="H436" s="130" t="str">
        <x:f>IF(A436="","",IF(AND(COUNTA(M436:X436)&gt;=SETUP!$B$10,COUNTIF(M436:X436,MAX(M436:X436))=COUNTA(M436:X436)),"Yes","No"))</x:f>
      </x:c>
      <x:c r="I436" s="130" t="str">
        <x:f>IF(A436="","",IF('SURVEY DESIGN'!C436&lt;&gt;"",--(M436=""),0)+IF('SURVEY DESIGN'!C437&lt;&gt;"",--(N436=""),0)+IF('SURVEY DESIGN'!C438&lt;&gt;"",--(O436=""),0)+IF('SURVEY DESIGN'!C439&lt;&gt;"",--(P436=""),0)+IF('SURVEY DESIGN'!C440&lt;&gt;"",--(Q436=""),0)+IF('SURVEY DESIGN'!C441&lt;&gt;"",--(R436=""),0)+IF('SURVEY DESIGN'!C442&lt;&gt;"",--(S436=""),0)+IF('SURVEY DESIGN'!C443&lt;&gt;"",--(T436=""),0)+IF('SURVEY DESIGN'!C444&lt;&gt;"",--(U436=""),0)+IF('SURVEY DESIGN'!C445&lt;&gt;"",--(V436=""),0)+IF('SURVEY DESIGN'!C446&lt;&gt;"",--(W436=""),0)+IF('SURVEY DESIGN'!C447&lt;&gt;"",--(X436=""),0))</x:f>
      </x:c>
      <x:c r="J436" s="130" t="str">
        <x:f>IF(A436="","",IF(C436&lt;&gt;"Yes","NO CONSENT",IF(F436&lt;SETUP!$B$9,"SPEEDING",IF(G436&lt;&gt;"Yes","ATTENTION CHECK",IF(H436="Yes","STRAIGHTLINE REVIEW",IF(I436&gt;0,"MISSING ITEMS","OK"))))))</x:f>
      </x:c>
      <x:c r="K436" s="130" t="str">
        <x:f>IF(A436="","",IF(J436="OK","Yes","No"))</x:f>
      </x:c>
      <x:c r="L436" s="130" t="str">
        <x:f>IF(A436="","",IF(J436="OK","",IF(J436="NO CONSENT","Consent not affirmed",IF(J436="SPEEDING","Completion time below threshold",IF(J436="ATTENTION CHECK","Attention check failed",IF(J436="STRAIGHTLINE REVIEW","Straightlining review threshold met","Missing scored item(s)"))))))</x:f>
      </x:c>
      <x:c r="M436" s="119"/>
      <x:c r="N436" s="119"/>
      <x:c r="O436" s="119"/>
      <x:c r="P436" s="119"/>
      <x:c r="Q436" s="119"/>
      <x:c r="R436" s="119"/>
      <x:c r="S436" s="119"/>
      <x:c r="T436" s="119"/>
      <x:c r="U436" s="119"/>
      <x:c r="V436" s="119"/>
      <x:c r="W436" s="119"/>
      <x:c r="X436" s="119"/>
      <x:c r="Y436" s="133" t="str">
        <x:f>IF(K436&lt;&gt;"Yes","",IFERROR(AVERAGE(M436:X436),""))</x:f>
      </x:c>
      <x:c r="Z436" s="119"/>
    </x:row>
    <x:row r="437">
      <x:c r="A437" s="119"/>
      <x:c r="B437" s="119"/>
      <x:c r="C437" s="119"/>
      <x:c r="D437" s="119"/>
      <x:c r="E437" s="119"/>
      <x:c r="F437" s="119"/>
      <x:c r="G437" s="119"/>
      <x:c r="H437" s="130" t="str">
        <x:f>IF(A437="","",IF(AND(COUNTA(M437:X437)&gt;=SETUP!$B$10,COUNTIF(M437:X437,MAX(M437:X437))=COUNTA(M437:X437)),"Yes","No"))</x:f>
      </x:c>
      <x:c r="I437" s="130" t="str">
        <x:f>IF(A437="","",IF('SURVEY DESIGN'!C437&lt;&gt;"",--(M437=""),0)+IF('SURVEY DESIGN'!C438&lt;&gt;"",--(N437=""),0)+IF('SURVEY DESIGN'!C439&lt;&gt;"",--(O437=""),0)+IF('SURVEY DESIGN'!C440&lt;&gt;"",--(P437=""),0)+IF('SURVEY DESIGN'!C441&lt;&gt;"",--(Q437=""),0)+IF('SURVEY DESIGN'!C442&lt;&gt;"",--(R437=""),0)+IF('SURVEY DESIGN'!C443&lt;&gt;"",--(S437=""),0)+IF('SURVEY DESIGN'!C444&lt;&gt;"",--(T437=""),0)+IF('SURVEY DESIGN'!C445&lt;&gt;"",--(U437=""),0)+IF('SURVEY DESIGN'!C446&lt;&gt;"",--(V437=""),0)+IF('SURVEY DESIGN'!C447&lt;&gt;"",--(W437=""),0)+IF('SURVEY DESIGN'!C448&lt;&gt;"",--(X437=""),0))</x:f>
      </x:c>
      <x:c r="J437" s="130" t="str">
        <x:f>IF(A437="","",IF(C437&lt;&gt;"Yes","NO CONSENT",IF(F437&lt;SETUP!$B$9,"SPEEDING",IF(G437&lt;&gt;"Yes","ATTENTION CHECK",IF(H437="Yes","STRAIGHTLINE REVIEW",IF(I437&gt;0,"MISSING ITEMS","OK"))))))</x:f>
      </x:c>
      <x:c r="K437" s="130" t="str">
        <x:f>IF(A437="","",IF(J437="OK","Yes","No"))</x:f>
      </x:c>
      <x:c r="L437" s="130" t="str">
        <x:f>IF(A437="","",IF(J437="OK","",IF(J437="NO CONSENT","Consent not affirmed",IF(J437="SPEEDING","Completion time below threshold",IF(J437="ATTENTION CHECK","Attention check failed",IF(J437="STRAIGHTLINE REVIEW","Straightlining review threshold met","Missing scored item(s)"))))))</x:f>
      </x:c>
      <x:c r="M437" s="119"/>
      <x:c r="N437" s="119"/>
      <x:c r="O437" s="119"/>
      <x:c r="P437" s="119"/>
      <x:c r="Q437" s="119"/>
      <x:c r="R437" s="119"/>
      <x:c r="S437" s="119"/>
      <x:c r="T437" s="119"/>
      <x:c r="U437" s="119"/>
      <x:c r="V437" s="119"/>
      <x:c r="W437" s="119"/>
      <x:c r="X437" s="119"/>
      <x:c r="Y437" s="133" t="str">
        <x:f>IF(K437&lt;&gt;"Yes","",IFERROR(AVERAGE(M437:X437),""))</x:f>
      </x:c>
      <x:c r="Z437" s="119"/>
    </x:row>
    <x:row r="438">
      <x:c r="A438" s="119"/>
      <x:c r="B438" s="119"/>
      <x:c r="C438" s="119"/>
      <x:c r="D438" s="119"/>
      <x:c r="E438" s="119"/>
      <x:c r="F438" s="119"/>
      <x:c r="G438" s="119"/>
      <x:c r="H438" s="130" t="str">
        <x:f>IF(A438="","",IF(AND(COUNTA(M438:X438)&gt;=SETUP!$B$10,COUNTIF(M438:X438,MAX(M438:X438))=COUNTA(M438:X438)),"Yes","No"))</x:f>
      </x:c>
      <x:c r="I438" s="130" t="str">
        <x:f>IF(A438="","",IF('SURVEY DESIGN'!C438&lt;&gt;"",--(M438=""),0)+IF('SURVEY DESIGN'!C439&lt;&gt;"",--(N438=""),0)+IF('SURVEY DESIGN'!C440&lt;&gt;"",--(O438=""),0)+IF('SURVEY DESIGN'!C441&lt;&gt;"",--(P438=""),0)+IF('SURVEY DESIGN'!C442&lt;&gt;"",--(Q438=""),0)+IF('SURVEY DESIGN'!C443&lt;&gt;"",--(R438=""),0)+IF('SURVEY DESIGN'!C444&lt;&gt;"",--(S438=""),0)+IF('SURVEY DESIGN'!C445&lt;&gt;"",--(T438=""),0)+IF('SURVEY DESIGN'!C446&lt;&gt;"",--(U438=""),0)+IF('SURVEY DESIGN'!C447&lt;&gt;"",--(V438=""),0)+IF('SURVEY DESIGN'!C448&lt;&gt;"",--(W438=""),0)+IF('SURVEY DESIGN'!C449&lt;&gt;"",--(X438=""),0))</x:f>
      </x:c>
      <x:c r="J438" s="130" t="str">
        <x:f>IF(A438="","",IF(C438&lt;&gt;"Yes","NO CONSENT",IF(F438&lt;SETUP!$B$9,"SPEEDING",IF(G438&lt;&gt;"Yes","ATTENTION CHECK",IF(H438="Yes","STRAIGHTLINE REVIEW",IF(I438&gt;0,"MISSING ITEMS","OK"))))))</x:f>
      </x:c>
      <x:c r="K438" s="130" t="str">
        <x:f>IF(A438="","",IF(J438="OK","Yes","No"))</x:f>
      </x:c>
      <x:c r="L438" s="130" t="str">
        <x:f>IF(A438="","",IF(J438="OK","",IF(J438="NO CONSENT","Consent not affirmed",IF(J438="SPEEDING","Completion time below threshold",IF(J438="ATTENTION CHECK","Attention check failed",IF(J438="STRAIGHTLINE REVIEW","Straightlining review threshold met","Missing scored item(s)"))))))</x:f>
      </x:c>
      <x:c r="M438" s="119"/>
      <x:c r="N438" s="119"/>
      <x:c r="O438" s="119"/>
      <x:c r="P438" s="119"/>
      <x:c r="Q438" s="119"/>
      <x:c r="R438" s="119"/>
      <x:c r="S438" s="119"/>
      <x:c r="T438" s="119"/>
      <x:c r="U438" s="119"/>
      <x:c r="V438" s="119"/>
      <x:c r="W438" s="119"/>
      <x:c r="X438" s="119"/>
      <x:c r="Y438" s="133" t="str">
        <x:f>IF(K438&lt;&gt;"Yes","",IFERROR(AVERAGE(M438:X438),""))</x:f>
      </x:c>
      <x:c r="Z438" s="119"/>
    </x:row>
    <x:row r="439">
      <x:c r="A439" s="119"/>
      <x:c r="B439" s="119"/>
      <x:c r="C439" s="119"/>
      <x:c r="D439" s="119"/>
      <x:c r="E439" s="119"/>
      <x:c r="F439" s="119"/>
      <x:c r="G439" s="119"/>
      <x:c r="H439" s="130" t="str">
        <x:f>IF(A439="","",IF(AND(COUNTA(M439:X439)&gt;=SETUP!$B$10,COUNTIF(M439:X439,MAX(M439:X439))=COUNTA(M439:X439)),"Yes","No"))</x:f>
      </x:c>
      <x:c r="I439" s="130" t="str">
        <x:f>IF(A439="","",IF('SURVEY DESIGN'!C439&lt;&gt;"",--(M439=""),0)+IF('SURVEY DESIGN'!C440&lt;&gt;"",--(N439=""),0)+IF('SURVEY DESIGN'!C441&lt;&gt;"",--(O439=""),0)+IF('SURVEY DESIGN'!C442&lt;&gt;"",--(P439=""),0)+IF('SURVEY DESIGN'!C443&lt;&gt;"",--(Q439=""),0)+IF('SURVEY DESIGN'!C444&lt;&gt;"",--(R439=""),0)+IF('SURVEY DESIGN'!C445&lt;&gt;"",--(S439=""),0)+IF('SURVEY DESIGN'!C446&lt;&gt;"",--(T439=""),0)+IF('SURVEY DESIGN'!C447&lt;&gt;"",--(U439=""),0)+IF('SURVEY DESIGN'!C448&lt;&gt;"",--(V439=""),0)+IF('SURVEY DESIGN'!C449&lt;&gt;"",--(W439=""),0)+IF('SURVEY DESIGN'!C450&lt;&gt;"",--(X439=""),0))</x:f>
      </x:c>
      <x:c r="J439" s="130" t="str">
        <x:f>IF(A439="","",IF(C439&lt;&gt;"Yes","NO CONSENT",IF(F439&lt;SETUP!$B$9,"SPEEDING",IF(G439&lt;&gt;"Yes","ATTENTION CHECK",IF(H439="Yes","STRAIGHTLINE REVIEW",IF(I439&gt;0,"MISSING ITEMS","OK"))))))</x:f>
      </x:c>
      <x:c r="K439" s="130" t="str">
        <x:f>IF(A439="","",IF(J439="OK","Yes","No"))</x:f>
      </x:c>
      <x:c r="L439" s="130" t="str">
        <x:f>IF(A439="","",IF(J439="OK","",IF(J439="NO CONSENT","Consent not affirmed",IF(J439="SPEEDING","Completion time below threshold",IF(J439="ATTENTION CHECK","Attention check failed",IF(J439="STRAIGHTLINE REVIEW","Straightlining review threshold met","Missing scored item(s)"))))))</x:f>
      </x:c>
      <x:c r="M439" s="119"/>
      <x:c r="N439" s="119"/>
      <x:c r="O439" s="119"/>
      <x:c r="P439" s="119"/>
      <x:c r="Q439" s="119"/>
      <x:c r="R439" s="119"/>
      <x:c r="S439" s="119"/>
      <x:c r="T439" s="119"/>
      <x:c r="U439" s="119"/>
      <x:c r="V439" s="119"/>
      <x:c r="W439" s="119"/>
      <x:c r="X439" s="119"/>
      <x:c r="Y439" s="133" t="str">
        <x:f>IF(K439&lt;&gt;"Yes","",IFERROR(AVERAGE(M439:X439),""))</x:f>
      </x:c>
      <x:c r="Z439" s="119"/>
    </x:row>
    <x:row r="440">
      <x:c r="A440" s="119"/>
      <x:c r="B440" s="119"/>
      <x:c r="C440" s="119"/>
      <x:c r="D440" s="119"/>
      <x:c r="E440" s="119"/>
      <x:c r="F440" s="119"/>
      <x:c r="G440" s="119"/>
      <x:c r="H440" s="130" t="str">
        <x:f>IF(A440="","",IF(AND(COUNTA(M440:X440)&gt;=SETUP!$B$10,COUNTIF(M440:X440,MAX(M440:X440))=COUNTA(M440:X440)),"Yes","No"))</x:f>
      </x:c>
      <x:c r="I440" s="130" t="str">
        <x:f>IF(A440="","",IF('SURVEY DESIGN'!C440&lt;&gt;"",--(M440=""),0)+IF('SURVEY DESIGN'!C441&lt;&gt;"",--(N440=""),0)+IF('SURVEY DESIGN'!C442&lt;&gt;"",--(O440=""),0)+IF('SURVEY DESIGN'!C443&lt;&gt;"",--(P440=""),0)+IF('SURVEY DESIGN'!C444&lt;&gt;"",--(Q440=""),0)+IF('SURVEY DESIGN'!C445&lt;&gt;"",--(R440=""),0)+IF('SURVEY DESIGN'!C446&lt;&gt;"",--(S440=""),0)+IF('SURVEY DESIGN'!C447&lt;&gt;"",--(T440=""),0)+IF('SURVEY DESIGN'!C448&lt;&gt;"",--(U440=""),0)+IF('SURVEY DESIGN'!C449&lt;&gt;"",--(V440=""),0)+IF('SURVEY DESIGN'!C450&lt;&gt;"",--(W440=""),0)+IF('SURVEY DESIGN'!C451&lt;&gt;"",--(X440=""),0))</x:f>
      </x:c>
      <x:c r="J440" s="130" t="str">
        <x:f>IF(A440="","",IF(C440&lt;&gt;"Yes","NO CONSENT",IF(F440&lt;SETUP!$B$9,"SPEEDING",IF(G440&lt;&gt;"Yes","ATTENTION CHECK",IF(H440="Yes","STRAIGHTLINE REVIEW",IF(I440&gt;0,"MISSING ITEMS","OK"))))))</x:f>
      </x:c>
      <x:c r="K440" s="130" t="str">
        <x:f>IF(A440="","",IF(J440="OK","Yes","No"))</x:f>
      </x:c>
      <x:c r="L440" s="130" t="str">
        <x:f>IF(A440="","",IF(J440="OK","",IF(J440="NO CONSENT","Consent not affirmed",IF(J440="SPEEDING","Completion time below threshold",IF(J440="ATTENTION CHECK","Attention check failed",IF(J440="STRAIGHTLINE REVIEW","Straightlining review threshold met","Missing scored item(s)"))))))</x:f>
      </x:c>
      <x:c r="M440" s="119"/>
      <x:c r="N440" s="119"/>
      <x:c r="O440" s="119"/>
      <x:c r="P440" s="119"/>
      <x:c r="Q440" s="119"/>
      <x:c r="R440" s="119"/>
      <x:c r="S440" s="119"/>
      <x:c r="T440" s="119"/>
      <x:c r="U440" s="119"/>
      <x:c r="V440" s="119"/>
      <x:c r="W440" s="119"/>
      <x:c r="X440" s="119"/>
      <x:c r="Y440" s="133" t="str">
        <x:f>IF(K440&lt;&gt;"Yes","",IFERROR(AVERAGE(M440:X440),""))</x:f>
      </x:c>
      <x:c r="Z440" s="119"/>
    </x:row>
    <x:row r="441">
      <x:c r="A441" s="119"/>
      <x:c r="B441" s="119"/>
      <x:c r="C441" s="119"/>
      <x:c r="D441" s="119"/>
      <x:c r="E441" s="119"/>
      <x:c r="F441" s="119"/>
      <x:c r="G441" s="119"/>
      <x:c r="H441" s="130" t="str">
        <x:f>IF(A441="","",IF(AND(COUNTA(M441:X441)&gt;=SETUP!$B$10,COUNTIF(M441:X441,MAX(M441:X441))=COUNTA(M441:X441)),"Yes","No"))</x:f>
      </x:c>
      <x:c r="I441" s="130" t="str">
        <x:f>IF(A441="","",IF('SURVEY DESIGN'!C441&lt;&gt;"",--(M441=""),0)+IF('SURVEY DESIGN'!C442&lt;&gt;"",--(N441=""),0)+IF('SURVEY DESIGN'!C443&lt;&gt;"",--(O441=""),0)+IF('SURVEY DESIGN'!C444&lt;&gt;"",--(P441=""),0)+IF('SURVEY DESIGN'!C445&lt;&gt;"",--(Q441=""),0)+IF('SURVEY DESIGN'!C446&lt;&gt;"",--(R441=""),0)+IF('SURVEY DESIGN'!C447&lt;&gt;"",--(S441=""),0)+IF('SURVEY DESIGN'!C448&lt;&gt;"",--(T441=""),0)+IF('SURVEY DESIGN'!C449&lt;&gt;"",--(U441=""),0)+IF('SURVEY DESIGN'!C450&lt;&gt;"",--(V441=""),0)+IF('SURVEY DESIGN'!C451&lt;&gt;"",--(W441=""),0)+IF('SURVEY DESIGN'!C452&lt;&gt;"",--(X441=""),0))</x:f>
      </x:c>
      <x:c r="J441" s="130" t="str">
        <x:f>IF(A441="","",IF(C441&lt;&gt;"Yes","NO CONSENT",IF(F441&lt;SETUP!$B$9,"SPEEDING",IF(G441&lt;&gt;"Yes","ATTENTION CHECK",IF(H441="Yes","STRAIGHTLINE REVIEW",IF(I441&gt;0,"MISSING ITEMS","OK"))))))</x:f>
      </x:c>
      <x:c r="K441" s="130" t="str">
        <x:f>IF(A441="","",IF(J441="OK","Yes","No"))</x:f>
      </x:c>
      <x:c r="L441" s="130" t="str">
        <x:f>IF(A441="","",IF(J441="OK","",IF(J441="NO CONSENT","Consent not affirmed",IF(J441="SPEEDING","Completion time below threshold",IF(J441="ATTENTION CHECK","Attention check failed",IF(J441="STRAIGHTLINE REVIEW","Straightlining review threshold met","Missing scored item(s)"))))))</x:f>
      </x:c>
      <x:c r="M441" s="119"/>
      <x:c r="N441" s="119"/>
      <x:c r="O441" s="119"/>
      <x:c r="P441" s="119"/>
      <x:c r="Q441" s="119"/>
      <x:c r="R441" s="119"/>
      <x:c r="S441" s="119"/>
      <x:c r="T441" s="119"/>
      <x:c r="U441" s="119"/>
      <x:c r="V441" s="119"/>
      <x:c r="W441" s="119"/>
      <x:c r="X441" s="119"/>
      <x:c r="Y441" s="133" t="str">
        <x:f>IF(K441&lt;&gt;"Yes","",IFERROR(AVERAGE(M441:X441),""))</x:f>
      </x:c>
      <x:c r="Z441" s="119"/>
    </x:row>
    <x:row r="442">
      <x:c r="A442" s="119"/>
      <x:c r="B442" s="119"/>
      <x:c r="C442" s="119"/>
      <x:c r="D442" s="119"/>
      <x:c r="E442" s="119"/>
      <x:c r="F442" s="119"/>
      <x:c r="G442" s="119"/>
      <x:c r="H442" s="130" t="str">
        <x:f>IF(A442="","",IF(AND(COUNTA(M442:X442)&gt;=SETUP!$B$10,COUNTIF(M442:X442,MAX(M442:X442))=COUNTA(M442:X442)),"Yes","No"))</x:f>
      </x:c>
      <x:c r="I442" s="130" t="str">
        <x:f>IF(A442="","",IF('SURVEY DESIGN'!C442&lt;&gt;"",--(M442=""),0)+IF('SURVEY DESIGN'!C443&lt;&gt;"",--(N442=""),0)+IF('SURVEY DESIGN'!C444&lt;&gt;"",--(O442=""),0)+IF('SURVEY DESIGN'!C445&lt;&gt;"",--(P442=""),0)+IF('SURVEY DESIGN'!C446&lt;&gt;"",--(Q442=""),0)+IF('SURVEY DESIGN'!C447&lt;&gt;"",--(R442=""),0)+IF('SURVEY DESIGN'!C448&lt;&gt;"",--(S442=""),0)+IF('SURVEY DESIGN'!C449&lt;&gt;"",--(T442=""),0)+IF('SURVEY DESIGN'!C450&lt;&gt;"",--(U442=""),0)+IF('SURVEY DESIGN'!C451&lt;&gt;"",--(V442=""),0)+IF('SURVEY DESIGN'!C452&lt;&gt;"",--(W442=""),0)+IF('SURVEY DESIGN'!C453&lt;&gt;"",--(X442=""),0))</x:f>
      </x:c>
      <x:c r="J442" s="130" t="str">
        <x:f>IF(A442="","",IF(C442&lt;&gt;"Yes","NO CONSENT",IF(F442&lt;SETUP!$B$9,"SPEEDING",IF(G442&lt;&gt;"Yes","ATTENTION CHECK",IF(H442="Yes","STRAIGHTLINE REVIEW",IF(I442&gt;0,"MISSING ITEMS","OK"))))))</x:f>
      </x:c>
      <x:c r="K442" s="130" t="str">
        <x:f>IF(A442="","",IF(J442="OK","Yes","No"))</x:f>
      </x:c>
      <x:c r="L442" s="130" t="str">
        <x:f>IF(A442="","",IF(J442="OK","",IF(J442="NO CONSENT","Consent not affirmed",IF(J442="SPEEDING","Completion time below threshold",IF(J442="ATTENTION CHECK","Attention check failed",IF(J442="STRAIGHTLINE REVIEW","Straightlining review threshold met","Missing scored item(s)"))))))</x:f>
      </x:c>
      <x:c r="M442" s="119"/>
      <x:c r="N442" s="119"/>
      <x:c r="O442" s="119"/>
      <x:c r="P442" s="119"/>
      <x:c r="Q442" s="119"/>
      <x:c r="R442" s="119"/>
      <x:c r="S442" s="119"/>
      <x:c r="T442" s="119"/>
      <x:c r="U442" s="119"/>
      <x:c r="V442" s="119"/>
      <x:c r="W442" s="119"/>
      <x:c r="X442" s="119"/>
      <x:c r="Y442" s="133" t="str">
        <x:f>IF(K442&lt;&gt;"Yes","",IFERROR(AVERAGE(M442:X442),""))</x:f>
      </x:c>
      <x:c r="Z442" s="119"/>
    </x:row>
    <x:row r="443">
      <x:c r="A443" s="119"/>
      <x:c r="B443" s="119"/>
      <x:c r="C443" s="119"/>
      <x:c r="D443" s="119"/>
      <x:c r="E443" s="119"/>
      <x:c r="F443" s="119"/>
      <x:c r="G443" s="119"/>
      <x:c r="H443" s="130" t="str">
        <x:f>IF(A443="","",IF(AND(COUNTA(M443:X443)&gt;=SETUP!$B$10,COUNTIF(M443:X443,MAX(M443:X443))=COUNTA(M443:X443)),"Yes","No"))</x:f>
      </x:c>
      <x:c r="I443" s="130" t="str">
        <x:f>IF(A443="","",IF('SURVEY DESIGN'!C443&lt;&gt;"",--(M443=""),0)+IF('SURVEY DESIGN'!C444&lt;&gt;"",--(N443=""),0)+IF('SURVEY DESIGN'!C445&lt;&gt;"",--(O443=""),0)+IF('SURVEY DESIGN'!C446&lt;&gt;"",--(P443=""),0)+IF('SURVEY DESIGN'!C447&lt;&gt;"",--(Q443=""),0)+IF('SURVEY DESIGN'!C448&lt;&gt;"",--(R443=""),0)+IF('SURVEY DESIGN'!C449&lt;&gt;"",--(S443=""),0)+IF('SURVEY DESIGN'!C450&lt;&gt;"",--(T443=""),0)+IF('SURVEY DESIGN'!C451&lt;&gt;"",--(U443=""),0)+IF('SURVEY DESIGN'!C452&lt;&gt;"",--(V443=""),0)+IF('SURVEY DESIGN'!C453&lt;&gt;"",--(W443=""),0)+IF('SURVEY DESIGN'!C454&lt;&gt;"",--(X443=""),0))</x:f>
      </x:c>
      <x:c r="J443" s="130" t="str">
        <x:f>IF(A443="","",IF(C443&lt;&gt;"Yes","NO CONSENT",IF(F443&lt;SETUP!$B$9,"SPEEDING",IF(G443&lt;&gt;"Yes","ATTENTION CHECK",IF(H443="Yes","STRAIGHTLINE REVIEW",IF(I443&gt;0,"MISSING ITEMS","OK"))))))</x:f>
      </x:c>
      <x:c r="K443" s="130" t="str">
        <x:f>IF(A443="","",IF(J443="OK","Yes","No"))</x:f>
      </x:c>
      <x:c r="L443" s="130" t="str">
        <x:f>IF(A443="","",IF(J443="OK","",IF(J443="NO CONSENT","Consent not affirmed",IF(J443="SPEEDING","Completion time below threshold",IF(J443="ATTENTION CHECK","Attention check failed",IF(J443="STRAIGHTLINE REVIEW","Straightlining review threshold met","Missing scored item(s)"))))))</x:f>
      </x:c>
      <x:c r="M443" s="119"/>
      <x:c r="N443" s="119"/>
      <x:c r="O443" s="119"/>
      <x:c r="P443" s="119"/>
      <x:c r="Q443" s="119"/>
      <x:c r="R443" s="119"/>
      <x:c r="S443" s="119"/>
      <x:c r="T443" s="119"/>
      <x:c r="U443" s="119"/>
      <x:c r="V443" s="119"/>
      <x:c r="W443" s="119"/>
      <x:c r="X443" s="119"/>
      <x:c r="Y443" s="133" t="str">
        <x:f>IF(K443&lt;&gt;"Yes","",IFERROR(AVERAGE(M443:X443),""))</x:f>
      </x:c>
      <x:c r="Z443" s="119"/>
    </x:row>
    <x:row r="444">
      <x:c r="A444" s="119"/>
      <x:c r="B444" s="119"/>
      <x:c r="C444" s="119"/>
      <x:c r="D444" s="119"/>
      <x:c r="E444" s="119"/>
      <x:c r="F444" s="119"/>
      <x:c r="G444" s="119"/>
      <x:c r="H444" s="130" t="str">
        <x:f>IF(A444="","",IF(AND(COUNTA(M444:X444)&gt;=SETUP!$B$10,COUNTIF(M444:X444,MAX(M444:X444))=COUNTA(M444:X444)),"Yes","No"))</x:f>
      </x:c>
      <x:c r="I444" s="130" t="str">
        <x:f>IF(A444="","",IF('SURVEY DESIGN'!C444&lt;&gt;"",--(M444=""),0)+IF('SURVEY DESIGN'!C445&lt;&gt;"",--(N444=""),0)+IF('SURVEY DESIGN'!C446&lt;&gt;"",--(O444=""),0)+IF('SURVEY DESIGN'!C447&lt;&gt;"",--(P444=""),0)+IF('SURVEY DESIGN'!C448&lt;&gt;"",--(Q444=""),0)+IF('SURVEY DESIGN'!C449&lt;&gt;"",--(R444=""),0)+IF('SURVEY DESIGN'!C450&lt;&gt;"",--(S444=""),0)+IF('SURVEY DESIGN'!C451&lt;&gt;"",--(T444=""),0)+IF('SURVEY DESIGN'!C452&lt;&gt;"",--(U444=""),0)+IF('SURVEY DESIGN'!C453&lt;&gt;"",--(V444=""),0)+IF('SURVEY DESIGN'!C454&lt;&gt;"",--(W444=""),0)+IF('SURVEY DESIGN'!C455&lt;&gt;"",--(X444=""),0))</x:f>
      </x:c>
      <x:c r="J444" s="130" t="str">
        <x:f>IF(A444="","",IF(C444&lt;&gt;"Yes","NO CONSENT",IF(F444&lt;SETUP!$B$9,"SPEEDING",IF(G444&lt;&gt;"Yes","ATTENTION CHECK",IF(H444="Yes","STRAIGHTLINE REVIEW",IF(I444&gt;0,"MISSING ITEMS","OK"))))))</x:f>
      </x:c>
      <x:c r="K444" s="130" t="str">
        <x:f>IF(A444="","",IF(J444="OK","Yes","No"))</x:f>
      </x:c>
      <x:c r="L444" s="130" t="str">
        <x:f>IF(A444="","",IF(J444="OK","",IF(J444="NO CONSENT","Consent not affirmed",IF(J444="SPEEDING","Completion time below threshold",IF(J444="ATTENTION CHECK","Attention check failed",IF(J444="STRAIGHTLINE REVIEW","Straightlining review threshold met","Missing scored item(s)"))))))</x:f>
      </x:c>
      <x:c r="M444" s="119"/>
      <x:c r="N444" s="119"/>
      <x:c r="O444" s="119"/>
      <x:c r="P444" s="119"/>
      <x:c r="Q444" s="119"/>
      <x:c r="R444" s="119"/>
      <x:c r="S444" s="119"/>
      <x:c r="T444" s="119"/>
      <x:c r="U444" s="119"/>
      <x:c r="V444" s="119"/>
      <x:c r="W444" s="119"/>
      <x:c r="X444" s="119"/>
      <x:c r="Y444" s="133" t="str">
        <x:f>IF(K444&lt;&gt;"Yes","",IFERROR(AVERAGE(M444:X444),""))</x:f>
      </x:c>
      <x:c r="Z444" s="119"/>
    </x:row>
    <x:row r="445">
      <x:c r="A445" s="119"/>
      <x:c r="B445" s="119"/>
      <x:c r="C445" s="119"/>
      <x:c r="D445" s="119"/>
      <x:c r="E445" s="119"/>
      <x:c r="F445" s="119"/>
      <x:c r="G445" s="119"/>
      <x:c r="H445" s="130" t="str">
        <x:f>IF(A445="","",IF(AND(COUNTA(M445:X445)&gt;=SETUP!$B$10,COUNTIF(M445:X445,MAX(M445:X445))=COUNTA(M445:X445)),"Yes","No"))</x:f>
      </x:c>
      <x:c r="I445" s="130" t="str">
        <x:f>IF(A445="","",IF('SURVEY DESIGN'!C445&lt;&gt;"",--(M445=""),0)+IF('SURVEY DESIGN'!C446&lt;&gt;"",--(N445=""),0)+IF('SURVEY DESIGN'!C447&lt;&gt;"",--(O445=""),0)+IF('SURVEY DESIGN'!C448&lt;&gt;"",--(P445=""),0)+IF('SURVEY DESIGN'!C449&lt;&gt;"",--(Q445=""),0)+IF('SURVEY DESIGN'!C450&lt;&gt;"",--(R445=""),0)+IF('SURVEY DESIGN'!C451&lt;&gt;"",--(S445=""),0)+IF('SURVEY DESIGN'!C452&lt;&gt;"",--(T445=""),0)+IF('SURVEY DESIGN'!C453&lt;&gt;"",--(U445=""),0)+IF('SURVEY DESIGN'!C454&lt;&gt;"",--(V445=""),0)+IF('SURVEY DESIGN'!C455&lt;&gt;"",--(W445=""),0)+IF('SURVEY DESIGN'!C456&lt;&gt;"",--(X445=""),0))</x:f>
      </x:c>
      <x:c r="J445" s="130" t="str">
        <x:f>IF(A445="","",IF(C445&lt;&gt;"Yes","NO CONSENT",IF(F445&lt;SETUP!$B$9,"SPEEDING",IF(G445&lt;&gt;"Yes","ATTENTION CHECK",IF(H445="Yes","STRAIGHTLINE REVIEW",IF(I445&gt;0,"MISSING ITEMS","OK"))))))</x:f>
      </x:c>
      <x:c r="K445" s="130" t="str">
        <x:f>IF(A445="","",IF(J445="OK","Yes","No"))</x:f>
      </x:c>
      <x:c r="L445" s="130" t="str">
        <x:f>IF(A445="","",IF(J445="OK","",IF(J445="NO CONSENT","Consent not affirmed",IF(J445="SPEEDING","Completion time below threshold",IF(J445="ATTENTION CHECK","Attention check failed",IF(J445="STRAIGHTLINE REVIEW","Straightlining review threshold met","Missing scored item(s)"))))))</x:f>
      </x:c>
      <x:c r="M445" s="119"/>
      <x:c r="N445" s="119"/>
      <x:c r="O445" s="119"/>
      <x:c r="P445" s="119"/>
      <x:c r="Q445" s="119"/>
      <x:c r="R445" s="119"/>
      <x:c r="S445" s="119"/>
      <x:c r="T445" s="119"/>
      <x:c r="U445" s="119"/>
      <x:c r="V445" s="119"/>
      <x:c r="W445" s="119"/>
      <x:c r="X445" s="119"/>
      <x:c r="Y445" s="133" t="str">
        <x:f>IF(K445&lt;&gt;"Yes","",IFERROR(AVERAGE(M445:X445),""))</x:f>
      </x:c>
      <x:c r="Z445" s="119"/>
    </x:row>
    <x:row r="446">
      <x:c r="A446" s="119"/>
      <x:c r="B446" s="119"/>
      <x:c r="C446" s="119"/>
      <x:c r="D446" s="119"/>
      <x:c r="E446" s="119"/>
      <x:c r="F446" s="119"/>
      <x:c r="G446" s="119"/>
      <x:c r="H446" s="130" t="str">
        <x:f>IF(A446="","",IF(AND(COUNTA(M446:X446)&gt;=SETUP!$B$10,COUNTIF(M446:X446,MAX(M446:X446))=COUNTA(M446:X446)),"Yes","No"))</x:f>
      </x:c>
      <x:c r="I446" s="130" t="str">
        <x:f>IF(A446="","",IF('SURVEY DESIGN'!C446&lt;&gt;"",--(M446=""),0)+IF('SURVEY DESIGN'!C447&lt;&gt;"",--(N446=""),0)+IF('SURVEY DESIGN'!C448&lt;&gt;"",--(O446=""),0)+IF('SURVEY DESIGN'!C449&lt;&gt;"",--(P446=""),0)+IF('SURVEY DESIGN'!C450&lt;&gt;"",--(Q446=""),0)+IF('SURVEY DESIGN'!C451&lt;&gt;"",--(R446=""),0)+IF('SURVEY DESIGN'!C452&lt;&gt;"",--(S446=""),0)+IF('SURVEY DESIGN'!C453&lt;&gt;"",--(T446=""),0)+IF('SURVEY DESIGN'!C454&lt;&gt;"",--(U446=""),0)+IF('SURVEY DESIGN'!C455&lt;&gt;"",--(V446=""),0)+IF('SURVEY DESIGN'!C456&lt;&gt;"",--(W446=""),0)+IF('SURVEY DESIGN'!C457&lt;&gt;"",--(X446=""),0))</x:f>
      </x:c>
      <x:c r="J446" s="130" t="str">
        <x:f>IF(A446="","",IF(C446&lt;&gt;"Yes","NO CONSENT",IF(F446&lt;SETUP!$B$9,"SPEEDING",IF(G446&lt;&gt;"Yes","ATTENTION CHECK",IF(H446="Yes","STRAIGHTLINE REVIEW",IF(I446&gt;0,"MISSING ITEMS","OK"))))))</x:f>
      </x:c>
      <x:c r="K446" s="130" t="str">
        <x:f>IF(A446="","",IF(J446="OK","Yes","No"))</x:f>
      </x:c>
      <x:c r="L446" s="130" t="str">
        <x:f>IF(A446="","",IF(J446="OK","",IF(J446="NO CONSENT","Consent not affirmed",IF(J446="SPEEDING","Completion time below threshold",IF(J446="ATTENTION CHECK","Attention check failed",IF(J446="STRAIGHTLINE REVIEW","Straightlining review threshold met","Missing scored item(s)"))))))</x:f>
      </x:c>
      <x:c r="M446" s="119"/>
      <x:c r="N446" s="119"/>
      <x:c r="O446" s="119"/>
      <x:c r="P446" s="119"/>
      <x:c r="Q446" s="119"/>
      <x:c r="R446" s="119"/>
      <x:c r="S446" s="119"/>
      <x:c r="T446" s="119"/>
      <x:c r="U446" s="119"/>
      <x:c r="V446" s="119"/>
      <x:c r="W446" s="119"/>
      <x:c r="X446" s="119"/>
      <x:c r="Y446" s="133" t="str">
        <x:f>IF(K446&lt;&gt;"Yes","",IFERROR(AVERAGE(M446:X446),""))</x:f>
      </x:c>
      <x:c r="Z446" s="119"/>
    </x:row>
    <x:row r="447">
      <x:c r="A447" s="119"/>
      <x:c r="B447" s="119"/>
      <x:c r="C447" s="119"/>
      <x:c r="D447" s="119"/>
      <x:c r="E447" s="119"/>
      <x:c r="F447" s="119"/>
      <x:c r="G447" s="119"/>
      <x:c r="H447" s="130" t="str">
        <x:f>IF(A447="","",IF(AND(COUNTA(M447:X447)&gt;=SETUP!$B$10,COUNTIF(M447:X447,MAX(M447:X447))=COUNTA(M447:X447)),"Yes","No"))</x:f>
      </x:c>
      <x:c r="I447" s="130" t="str">
        <x:f>IF(A447="","",IF('SURVEY DESIGN'!C447&lt;&gt;"",--(M447=""),0)+IF('SURVEY DESIGN'!C448&lt;&gt;"",--(N447=""),0)+IF('SURVEY DESIGN'!C449&lt;&gt;"",--(O447=""),0)+IF('SURVEY DESIGN'!C450&lt;&gt;"",--(P447=""),0)+IF('SURVEY DESIGN'!C451&lt;&gt;"",--(Q447=""),0)+IF('SURVEY DESIGN'!C452&lt;&gt;"",--(R447=""),0)+IF('SURVEY DESIGN'!C453&lt;&gt;"",--(S447=""),0)+IF('SURVEY DESIGN'!C454&lt;&gt;"",--(T447=""),0)+IF('SURVEY DESIGN'!C455&lt;&gt;"",--(U447=""),0)+IF('SURVEY DESIGN'!C456&lt;&gt;"",--(V447=""),0)+IF('SURVEY DESIGN'!C457&lt;&gt;"",--(W447=""),0)+IF('SURVEY DESIGN'!C458&lt;&gt;"",--(X447=""),0))</x:f>
      </x:c>
      <x:c r="J447" s="130" t="str">
        <x:f>IF(A447="","",IF(C447&lt;&gt;"Yes","NO CONSENT",IF(F447&lt;SETUP!$B$9,"SPEEDING",IF(G447&lt;&gt;"Yes","ATTENTION CHECK",IF(H447="Yes","STRAIGHTLINE REVIEW",IF(I447&gt;0,"MISSING ITEMS","OK"))))))</x:f>
      </x:c>
      <x:c r="K447" s="130" t="str">
        <x:f>IF(A447="","",IF(J447="OK","Yes","No"))</x:f>
      </x:c>
      <x:c r="L447" s="130" t="str">
        <x:f>IF(A447="","",IF(J447="OK","",IF(J447="NO CONSENT","Consent not affirmed",IF(J447="SPEEDING","Completion time below threshold",IF(J447="ATTENTION CHECK","Attention check failed",IF(J447="STRAIGHTLINE REVIEW","Straightlining review threshold met","Missing scored item(s)"))))))</x:f>
      </x:c>
      <x:c r="M447" s="119"/>
      <x:c r="N447" s="119"/>
      <x:c r="O447" s="119"/>
      <x:c r="P447" s="119"/>
      <x:c r="Q447" s="119"/>
      <x:c r="R447" s="119"/>
      <x:c r="S447" s="119"/>
      <x:c r="T447" s="119"/>
      <x:c r="U447" s="119"/>
      <x:c r="V447" s="119"/>
      <x:c r="W447" s="119"/>
      <x:c r="X447" s="119"/>
      <x:c r="Y447" s="133" t="str">
        <x:f>IF(K447&lt;&gt;"Yes","",IFERROR(AVERAGE(M447:X447),""))</x:f>
      </x:c>
      <x:c r="Z447" s="119"/>
    </x:row>
    <x:row r="448">
      <x:c r="A448" s="119"/>
      <x:c r="B448" s="119"/>
      <x:c r="C448" s="119"/>
      <x:c r="D448" s="119"/>
      <x:c r="E448" s="119"/>
      <x:c r="F448" s="119"/>
      <x:c r="G448" s="119"/>
      <x:c r="H448" s="130" t="str">
        <x:f>IF(A448="","",IF(AND(COUNTA(M448:X448)&gt;=SETUP!$B$10,COUNTIF(M448:X448,MAX(M448:X448))=COUNTA(M448:X448)),"Yes","No"))</x:f>
      </x:c>
      <x:c r="I448" s="130" t="str">
        <x:f>IF(A448="","",IF('SURVEY DESIGN'!C448&lt;&gt;"",--(M448=""),0)+IF('SURVEY DESIGN'!C449&lt;&gt;"",--(N448=""),0)+IF('SURVEY DESIGN'!C450&lt;&gt;"",--(O448=""),0)+IF('SURVEY DESIGN'!C451&lt;&gt;"",--(P448=""),0)+IF('SURVEY DESIGN'!C452&lt;&gt;"",--(Q448=""),0)+IF('SURVEY DESIGN'!C453&lt;&gt;"",--(R448=""),0)+IF('SURVEY DESIGN'!C454&lt;&gt;"",--(S448=""),0)+IF('SURVEY DESIGN'!C455&lt;&gt;"",--(T448=""),0)+IF('SURVEY DESIGN'!C456&lt;&gt;"",--(U448=""),0)+IF('SURVEY DESIGN'!C457&lt;&gt;"",--(V448=""),0)+IF('SURVEY DESIGN'!C458&lt;&gt;"",--(W448=""),0)+IF('SURVEY DESIGN'!C459&lt;&gt;"",--(X448=""),0))</x:f>
      </x:c>
      <x:c r="J448" s="130" t="str">
        <x:f>IF(A448="","",IF(C448&lt;&gt;"Yes","NO CONSENT",IF(F448&lt;SETUP!$B$9,"SPEEDING",IF(G448&lt;&gt;"Yes","ATTENTION CHECK",IF(H448="Yes","STRAIGHTLINE REVIEW",IF(I448&gt;0,"MISSING ITEMS","OK"))))))</x:f>
      </x:c>
      <x:c r="K448" s="130" t="str">
        <x:f>IF(A448="","",IF(J448="OK","Yes","No"))</x:f>
      </x:c>
      <x:c r="L448" s="130" t="str">
        <x:f>IF(A448="","",IF(J448="OK","",IF(J448="NO CONSENT","Consent not affirmed",IF(J448="SPEEDING","Completion time below threshold",IF(J448="ATTENTION CHECK","Attention check failed",IF(J448="STRAIGHTLINE REVIEW","Straightlining review threshold met","Missing scored item(s)"))))))</x:f>
      </x:c>
      <x:c r="M448" s="119"/>
      <x:c r="N448" s="119"/>
      <x:c r="O448" s="119"/>
      <x:c r="P448" s="119"/>
      <x:c r="Q448" s="119"/>
      <x:c r="R448" s="119"/>
      <x:c r="S448" s="119"/>
      <x:c r="T448" s="119"/>
      <x:c r="U448" s="119"/>
      <x:c r="V448" s="119"/>
      <x:c r="W448" s="119"/>
      <x:c r="X448" s="119"/>
      <x:c r="Y448" s="133" t="str">
        <x:f>IF(K448&lt;&gt;"Yes","",IFERROR(AVERAGE(M448:X448),""))</x:f>
      </x:c>
      <x:c r="Z448" s="119"/>
    </x:row>
    <x:row r="449">
      <x:c r="A449" s="119"/>
      <x:c r="B449" s="119"/>
      <x:c r="C449" s="119"/>
      <x:c r="D449" s="119"/>
      <x:c r="E449" s="119"/>
      <x:c r="F449" s="119"/>
      <x:c r="G449" s="119"/>
      <x:c r="H449" s="130" t="str">
        <x:f>IF(A449="","",IF(AND(COUNTA(M449:X449)&gt;=SETUP!$B$10,COUNTIF(M449:X449,MAX(M449:X449))=COUNTA(M449:X449)),"Yes","No"))</x:f>
      </x:c>
      <x:c r="I449" s="130" t="str">
        <x:f>IF(A449="","",IF('SURVEY DESIGN'!C449&lt;&gt;"",--(M449=""),0)+IF('SURVEY DESIGN'!C450&lt;&gt;"",--(N449=""),0)+IF('SURVEY DESIGN'!C451&lt;&gt;"",--(O449=""),0)+IF('SURVEY DESIGN'!C452&lt;&gt;"",--(P449=""),0)+IF('SURVEY DESIGN'!C453&lt;&gt;"",--(Q449=""),0)+IF('SURVEY DESIGN'!C454&lt;&gt;"",--(R449=""),0)+IF('SURVEY DESIGN'!C455&lt;&gt;"",--(S449=""),0)+IF('SURVEY DESIGN'!C456&lt;&gt;"",--(T449=""),0)+IF('SURVEY DESIGN'!C457&lt;&gt;"",--(U449=""),0)+IF('SURVEY DESIGN'!C458&lt;&gt;"",--(V449=""),0)+IF('SURVEY DESIGN'!C459&lt;&gt;"",--(W449=""),0)+IF('SURVEY DESIGN'!C460&lt;&gt;"",--(X449=""),0))</x:f>
      </x:c>
      <x:c r="J449" s="130" t="str">
        <x:f>IF(A449="","",IF(C449&lt;&gt;"Yes","NO CONSENT",IF(F449&lt;SETUP!$B$9,"SPEEDING",IF(G449&lt;&gt;"Yes","ATTENTION CHECK",IF(H449="Yes","STRAIGHTLINE REVIEW",IF(I449&gt;0,"MISSING ITEMS","OK"))))))</x:f>
      </x:c>
      <x:c r="K449" s="130" t="str">
        <x:f>IF(A449="","",IF(J449="OK","Yes","No"))</x:f>
      </x:c>
      <x:c r="L449" s="130" t="str">
        <x:f>IF(A449="","",IF(J449="OK","",IF(J449="NO CONSENT","Consent not affirmed",IF(J449="SPEEDING","Completion time below threshold",IF(J449="ATTENTION CHECK","Attention check failed",IF(J449="STRAIGHTLINE REVIEW","Straightlining review threshold met","Missing scored item(s)"))))))</x:f>
      </x:c>
      <x:c r="M449" s="119"/>
      <x:c r="N449" s="119"/>
      <x:c r="O449" s="119"/>
      <x:c r="P449" s="119"/>
      <x:c r="Q449" s="119"/>
      <x:c r="R449" s="119"/>
      <x:c r="S449" s="119"/>
      <x:c r="T449" s="119"/>
      <x:c r="U449" s="119"/>
      <x:c r="V449" s="119"/>
      <x:c r="W449" s="119"/>
      <x:c r="X449" s="119"/>
      <x:c r="Y449" s="133" t="str">
        <x:f>IF(K449&lt;&gt;"Yes","",IFERROR(AVERAGE(M449:X449),""))</x:f>
      </x:c>
      <x:c r="Z449" s="119"/>
    </x:row>
    <x:row r="450">
      <x:c r="A450" s="119"/>
      <x:c r="B450" s="119"/>
      <x:c r="C450" s="119"/>
      <x:c r="D450" s="119"/>
      <x:c r="E450" s="119"/>
      <x:c r="F450" s="119"/>
      <x:c r="G450" s="119"/>
      <x:c r="H450" s="130" t="str">
        <x:f>IF(A450="","",IF(AND(COUNTA(M450:X450)&gt;=SETUP!$B$10,COUNTIF(M450:X450,MAX(M450:X450))=COUNTA(M450:X450)),"Yes","No"))</x:f>
      </x:c>
      <x:c r="I450" s="130" t="str">
        <x:f>IF(A450="","",IF('SURVEY DESIGN'!C450&lt;&gt;"",--(M450=""),0)+IF('SURVEY DESIGN'!C451&lt;&gt;"",--(N450=""),0)+IF('SURVEY DESIGN'!C452&lt;&gt;"",--(O450=""),0)+IF('SURVEY DESIGN'!C453&lt;&gt;"",--(P450=""),0)+IF('SURVEY DESIGN'!C454&lt;&gt;"",--(Q450=""),0)+IF('SURVEY DESIGN'!C455&lt;&gt;"",--(R450=""),0)+IF('SURVEY DESIGN'!C456&lt;&gt;"",--(S450=""),0)+IF('SURVEY DESIGN'!C457&lt;&gt;"",--(T450=""),0)+IF('SURVEY DESIGN'!C458&lt;&gt;"",--(U450=""),0)+IF('SURVEY DESIGN'!C459&lt;&gt;"",--(V450=""),0)+IF('SURVEY DESIGN'!C460&lt;&gt;"",--(W450=""),0)+IF('SURVEY DESIGN'!C461&lt;&gt;"",--(X450=""),0))</x:f>
      </x:c>
      <x:c r="J450" s="130" t="str">
        <x:f>IF(A450="","",IF(C450&lt;&gt;"Yes","NO CONSENT",IF(F450&lt;SETUP!$B$9,"SPEEDING",IF(G450&lt;&gt;"Yes","ATTENTION CHECK",IF(H450="Yes","STRAIGHTLINE REVIEW",IF(I450&gt;0,"MISSING ITEMS","OK"))))))</x:f>
      </x:c>
      <x:c r="K450" s="130" t="str">
        <x:f>IF(A450="","",IF(J450="OK","Yes","No"))</x:f>
      </x:c>
      <x:c r="L450" s="130" t="str">
        <x:f>IF(A450="","",IF(J450="OK","",IF(J450="NO CONSENT","Consent not affirmed",IF(J450="SPEEDING","Completion time below threshold",IF(J450="ATTENTION CHECK","Attention check failed",IF(J450="STRAIGHTLINE REVIEW","Straightlining review threshold met","Missing scored item(s)"))))))</x:f>
      </x:c>
      <x:c r="M450" s="119"/>
      <x:c r="N450" s="119"/>
      <x:c r="O450" s="119"/>
      <x:c r="P450" s="119"/>
      <x:c r="Q450" s="119"/>
      <x:c r="R450" s="119"/>
      <x:c r="S450" s="119"/>
      <x:c r="T450" s="119"/>
      <x:c r="U450" s="119"/>
      <x:c r="V450" s="119"/>
      <x:c r="W450" s="119"/>
      <x:c r="X450" s="119"/>
      <x:c r="Y450" s="133" t="str">
        <x:f>IF(K450&lt;&gt;"Yes","",IFERROR(AVERAGE(M450:X450),""))</x:f>
      </x:c>
      <x:c r="Z450" s="119"/>
    </x:row>
    <x:row r="451">
      <x:c r="A451" s="119"/>
      <x:c r="B451" s="119"/>
      <x:c r="C451" s="119"/>
      <x:c r="D451" s="119"/>
      <x:c r="E451" s="119"/>
      <x:c r="F451" s="119"/>
      <x:c r="G451" s="119"/>
      <x:c r="H451" s="130" t="str">
        <x:f>IF(A451="","",IF(AND(COUNTA(M451:X451)&gt;=SETUP!$B$10,COUNTIF(M451:X451,MAX(M451:X451))=COUNTA(M451:X451)),"Yes","No"))</x:f>
      </x:c>
      <x:c r="I451" s="130" t="str">
        <x:f>IF(A451="","",IF('SURVEY DESIGN'!C451&lt;&gt;"",--(M451=""),0)+IF('SURVEY DESIGN'!C452&lt;&gt;"",--(N451=""),0)+IF('SURVEY DESIGN'!C453&lt;&gt;"",--(O451=""),0)+IF('SURVEY DESIGN'!C454&lt;&gt;"",--(P451=""),0)+IF('SURVEY DESIGN'!C455&lt;&gt;"",--(Q451=""),0)+IF('SURVEY DESIGN'!C456&lt;&gt;"",--(R451=""),0)+IF('SURVEY DESIGN'!C457&lt;&gt;"",--(S451=""),0)+IF('SURVEY DESIGN'!C458&lt;&gt;"",--(T451=""),0)+IF('SURVEY DESIGN'!C459&lt;&gt;"",--(U451=""),0)+IF('SURVEY DESIGN'!C460&lt;&gt;"",--(V451=""),0)+IF('SURVEY DESIGN'!C461&lt;&gt;"",--(W451=""),0)+IF('SURVEY DESIGN'!C462&lt;&gt;"",--(X451=""),0))</x:f>
      </x:c>
      <x:c r="J451" s="130" t="str">
        <x:f>IF(A451="","",IF(C451&lt;&gt;"Yes","NO CONSENT",IF(F451&lt;SETUP!$B$9,"SPEEDING",IF(G451&lt;&gt;"Yes","ATTENTION CHECK",IF(H451="Yes","STRAIGHTLINE REVIEW",IF(I451&gt;0,"MISSING ITEMS","OK"))))))</x:f>
      </x:c>
      <x:c r="K451" s="130" t="str">
        <x:f>IF(A451="","",IF(J451="OK","Yes","No"))</x:f>
      </x:c>
      <x:c r="L451" s="130" t="str">
        <x:f>IF(A451="","",IF(J451="OK","",IF(J451="NO CONSENT","Consent not affirmed",IF(J451="SPEEDING","Completion time below threshold",IF(J451="ATTENTION CHECK","Attention check failed",IF(J451="STRAIGHTLINE REVIEW","Straightlining review threshold met","Missing scored item(s)"))))))</x:f>
      </x:c>
      <x:c r="M451" s="119"/>
      <x:c r="N451" s="119"/>
      <x:c r="O451" s="119"/>
      <x:c r="P451" s="119"/>
      <x:c r="Q451" s="119"/>
      <x:c r="R451" s="119"/>
      <x:c r="S451" s="119"/>
      <x:c r="T451" s="119"/>
      <x:c r="U451" s="119"/>
      <x:c r="V451" s="119"/>
      <x:c r="W451" s="119"/>
      <x:c r="X451" s="119"/>
      <x:c r="Y451" s="133" t="str">
        <x:f>IF(K451&lt;&gt;"Yes","",IFERROR(AVERAGE(M451:X451),""))</x:f>
      </x:c>
      <x:c r="Z451" s="119"/>
    </x:row>
    <x:row r="452">
      <x:c r="A452" s="119"/>
      <x:c r="B452" s="119"/>
      <x:c r="C452" s="119"/>
      <x:c r="D452" s="119"/>
      <x:c r="E452" s="119"/>
      <x:c r="F452" s="119"/>
      <x:c r="G452" s="119"/>
      <x:c r="H452" s="130" t="str">
        <x:f>IF(A452="","",IF(AND(COUNTA(M452:X452)&gt;=SETUP!$B$10,COUNTIF(M452:X452,MAX(M452:X452))=COUNTA(M452:X452)),"Yes","No"))</x:f>
      </x:c>
      <x:c r="I452" s="130" t="str">
        <x:f>IF(A452="","",IF('SURVEY DESIGN'!C452&lt;&gt;"",--(M452=""),0)+IF('SURVEY DESIGN'!C453&lt;&gt;"",--(N452=""),0)+IF('SURVEY DESIGN'!C454&lt;&gt;"",--(O452=""),0)+IF('SURVEY DESIGN'!C455&lt;&gt;"",--(P452=""),0)+IF('SURVEY DESIGN'!C456&lt;&gt;"",--(Q452=""),0)+IF('SURVEY DESIGN'!C457&lt;&gt;"",--(R452=""),0)+IF('SURVEY DESIGN'!C458&lt;&gt;"",--(S452=""),0)+IF('SURVEY DESIGN'!C459&lt;&gt;"",--(T452=""),0)+IF('SURVEY DESIGN'!C460&lt;&gt;"",--(U452=""),0)+IF('SURVEY DESIGN'!C461&lt;&gt;"",--(V452=""),0)+IF('SURVEY DESIGN'!C462&lt;&gt;"",--(W452=""),0)+IF('SURVEY DESIGN'!C463&lt;&gt;"",--(X452=""),0))</x:f>
      </x:c>
      <x:c r="J452" s="130" t="str">
        <x:f>IF(A452="","",IF(C452&lt;&gt;"Yes","NO CONSENT",IF(F452&lt;SETUP!$B$9,"SPEEDING",IF(G452&lt;&gt;"Yes","ATTENTION CHECK",IF(H452="Yes","STRAIGHTLINE REVIEW",IF(I452&gt;0,"MISSING ITEMS","OK"))))))</x:f>
      </x:c>
      <x:c r="K452" s="130" t="str">
        <x:f>IF(A452="","",IF(J452="OK","Yes","No"))</x:f>
      </x:c>
      <x:c r="L452" s="130" t="str">
        <x:f>IF(A452="","",IF(J452="OK","",IF(J452="NO CONSENT","Consent not affirmed",IF(J452="SPEEDING","Completion time below threshold",IF(J452="ATTENTION CHECK","Attention check failed",IF(J452="STRAIGHTLINE REVIEW","Straightlining review threshold met","Missing scored item(s)"))))))</x:f>
      </x:c>
      <x:c r="M452" s="119"/>
      <x:c r="N452" s="119"/>
      <x:c r="O452" s="119"/>
      <x:c r="P452" s="119"/>
      <x:c r="Q452" s="119"/>
      <x:c r="R452" s="119"/>
      <x:c r="S452" s="119"/>
      <x:c r="T452" s="119"/>
      <x:c r="U452" s="119"/>
      <x:c r="V452" s="119"/>
      <x:c r="W452" s="119"/>
      <x:c r="X452" s="119"/>
      <x:c r="Y452" s="133" t="str">
        <x:f>IF(K452&lt;&gt;"Yes","",IFERROR(AVERAGE(M452:X452),""))</x:f>
      </x:c>
      <x:c r="Z452" s="119"/>
    </x:row>
    <x:row r="453">
      <x:c r="A453" s="119"/>
      <x:c r="B453" s="119"/>
      <x:c r="C453" s="119"/>
      <x:c r="D453" s="119"/>
      <x:c r="E453" s="119"/>
      <x:c r="F453" s="119"/>
      <x:c r="G453" s="119"/>
      <x:c r="H453" s="130" t="str">
        <x:f>IF(A453="","",IF(AND(COUNTA(M453:X453)&gt;=SETUP!$B$10,COUNTIF(M453:X453,MAX(M453:X453))=COUNTA(M453:X453)),"Yes","No"))</x:f>
      </x:c>
      <x:c r="I453" s="130" t="str">
        <x:f>IF(A453="","",IF('SURVEY DESIGN'!C453&lt;&gt;"",--(M453=""),0)+IF('SURVEY DESIGN'!C454&lt;&gt;"",--(N453=""),0)+IF('SURVEY DESIGN'!C455&lt;&gt;"",--(O453=""),0)+IF('SURVEY DESIGN'!C456&lt;&gt;"",--(P453=""),0)+IF('SURVEY DESIGN'!C457&lt;&gt;"",--(Q453=""),0)+IF('SURVEY DESIGN'!C458&lt;&gt;"",--(R453=""),0)+IF('SURVEY DESIGN'!C459&lt;&gt;"",--(S453=""),0)+IF('SURVEY DESIGN'!C460&lt;&gt;"",--(T453=""),0)+IF('SURVEY DESIGN'!C461&lt;&gt;"",--(U453=""),0)+IF('SURVEY DESIGN'!C462&lt;&gt;"",--(V453=""),0)+IF('SURVEY DESIGN'!C463&lt;&gt;"",--(W453=""),0)+IF('SURVEY DESIGN'!C464&lt;&gt;"",--(X453=""),0))</x:f>
      </x:c>
      <x:c r="J453" s="130" t="str">
        <x:f>IF(A453="","",IF(C453&lt;&gt;"Yes","NO CONSENT",IF(F453&lt;SETUP!$B$9,"SPEEDING",IF(G453&lt;&gt;"Yes","ATTENTION CHECK",IF(H453="Yes","STRAIGHTLINE REVIEW",IF(I453&gt;0,"MISSING ITEMS","OK"))))))</x:f>
      </x:c>
      <x:c r="K453" s="130" t="str">
        <x:f>IF(A453="","",IF(J453="OK","Yes","No"))</x:f>
      </x:c>
      <x:c r="L453" s="130" t="str">
        <x:f>IF(A453="","",IF(J453="OK","",IF(J453="NO CONSENT","Consent not affirmed",IF(J453="SPEEDING","Completion time below threshold",IF(J453="ATTENTION CHECK","Attention check failed",IF(J453="STRAIGHTLINE REVIEW","Straightlining review threshold met","Missing scored item(s)"))))))</x:f>
      </x:c>
      <x:c r="M453" s="119"/>
      <x:c r="N453" s="119"/>
      <x:c r="O453" s="119"/>
      <x:c r="P453" s="119"/>
      <x:c r="Q453" s="119"/>
      <x:c r="R453" s="119"/>
      <x:c r="S453" s="119"/>
      <x:c r="T453" s="119"/>
      <x:c r="U453" s="119"/>
      <x:c r="V453" s="119"/>
      <x:c r="W453" s="119"/>
      <x:c r="X453" s="119"/>
      <x:c r="Y453" s="133" t="str">
        <x:f>IF(K453&lt;&gt;"Yes","",IFERROR(AVERAGE(M453:X453),""))</x:f>
      </x:c>
      <x:c r="Z453" s="119"/>
    </x:row>
    <x:row r="454">
      <x:c r="A454" s="119"/>
      <x:c r="B454" s="119"/>
      <x:c r="C454" s="119"/>
      <x:c r="D454" s="119"/>
      <x:c r="E454" s="119"/>
      <x:c r="F454" s="119"/>
      <x:c r="G454" s="119"/>
      <x:c r="H454" s="130" t="str">
        <x:f>IF(A454="","",IF(AND(COUNTA(M454:X454)&gt;=SETUP!$B$10,COUNTIF(M454:X454,MAX(M454:X454))=COUNTA(M454:X454)),"Yes","No"))</x:f>
      </x:c>
      <x:c r="I454" s="130" t="str">
        <x:f>IF(A454="","",IF('SURVEY DESIGN'!C454&lt;&gt;"",--(M454=""),0)+IF('SURVEY DESIGN'!C455&lt;&gt;"",--(N454=""),0)+IF('SURVEY DESIGN'!C456&lt;&gt;"",--(O454=""),0)+IF('SURVEY DESIGN'!C457&lt;&gt;"",--(P454=""),0)+IF('SURVEY DESIGN'!C458&lt;&gt;"",--(Q454=""),0)+IF('SURVEY DESIGN'!C459&lt;&gt;"",--(R454=""),0)+IF('SURVEY DESIGN'!C460&lt;&gt;"",--(S454=""),0)+IF('SURVEY DESIGN'!C461&lt;&gt;"",--(T454=""),0)+IF('SURVEY DESIGN'!C462&lt;&gt;"",--(U454=""),0)+IF('SURVEY DESIGN'!C463&lt;&gt;"",--(V454=""),0)+IF('SURVEY DESIGN'!C464&lt;&gt;"",--(W454=""),0)+IF('SURVEY DESIGN'!C465&lt;&gt;"",--(X454=""),0))</x:f>
      </x:c>
      <x:c r="J454" s="130" t="str">
        <x:f>IF(A454="","",IF(C454&lt;&gt;"Yes","NO CONSENT",IF(F454&lt;SETUP!$B$9,"SPEEDING",IF(G454&lt;&gt;"Yes","ATTENTION CHECK",IF(H454="Yes","STRAIGHTLINE REVIEW",IF(I454&gt;0,"MISSING ITEMS","OK"))))))</x:f>
      </x:c>
      <x:c r="K454" s="130" t="str">
        <x:f>IF(A454="","",IF(J454="OK","Yes","No"))</x:f>
      </x:c>
      <x:c r="L454" s="130" t="str">
        <x:f>IF(A454="","",IF(J454="OK","",IF(J454="NO CONSENT","Consent not affirmed",IF(J454="SPEEDING","Completion time below threshold",IF(J454="ATTENTION CHECK","Attention check failed",IF(J454="STRAIGHTLINE REVIEW","Straightlining review threshold met","Missing scored item(s)"))))))</x:f>
      </x:c>
      <x:c r="M454" s="119"/>
      <x:c r="N454" s="119"/>
      <x:c r="O454" s="119"/>
      <x:c r="P454" s="119"/>
      <x:c r="Q454" s="119"/>
      <x:c r="R454" s="119"/>
      <x:c r="S454" s="119"/>
      <x:c r="T454" s="119"/>
      <x:c r="U454" s="119"/>
      <x:c r="V454" s="119"/>
      <x:c r="W454" s="119"/>
      <x:c r="X454" s="119"/>
      <x:c r="Y454" s="133" t="str">
        <x:f>IF(K454&lt;&gt;"Yes","",IFERROR(AVERAGE(M454:X454),""))</x:f>
      </x:c>
      <x:c r="Z454" s="119"/>
    </x:row>
    <x:row r="455">
      <x:c r="A455" s="119"/>
      <x:c r="B455" s="119"/>
      <x:c r="C455" s="119"/>
      <x:c r="D455" s="119"/>
      <x:c r="E455" s="119"/>
      <x:c r="F455" s="119"/>
      <x:c r="G455" s="119"/>
      <x:c r="H455" s="130" t="str">
        <x:f>IF(A455="","",IF(AND(COUNTA(M455:X455)&gt;=SETUP!$B$10,COUNTIF(M455:X455,MAX(M455:X455))=COUNTA(M455:X455)),"Yes","No"))</x:f>
      </x:c>
      <x:c r="I455" s="130" t="str">
        <x:f>IF(A455="","",IF('SURVEY DESIGN'!C455&lt;&gt;"",--(M455=""),0)+IF('SURVEY DESIGN'!C456&lt;&gt;"",--(N455=""),0)+IF('SURVEY DESIGN'!C457&lt;&gt;"",--(O455=""),0)+IF('SURVEY DESIGN'!C458&lt;&gt;"",--(P455=""),0)+IF('SURVEY DESIGN'!C459&lt;&gt;"",--(Q455=""),0)+IF('SURVEY DESIGN'!C460&lt;&gt;"",--(R455=""),0)+IF('SURVEY DESIGN'!C461&lt;&gt;"",--(S455=""),0)+IF('SURVEY DESIGN'!C462&lt;&gt;"",--(T455=""),0)+IF('SURVEY DESIGN'!C463&lt;&gt;"",--(U455=""),0)+IF('SURVEY DESIGN'!C464&lt;&gt;"",--(V455=""),0)+IF('SURVEY DESIGN'!C465&lt;&gt;"",--(W455=""),0)+IF('SURVEY DESIGN'!C466&lt;&gt;"",--(X455=""),0))</x:f>
      </x:c>
      <x:c r="J455" s="130" t="str">
        <x:f>IF(A455="","",IF(C455&lt;&gt;"Yes","NO CONSENT",IF(F455&lt;SETUP!$B$9,"SPEEDING",IF(G455&lt;&gt;"Yes","ATTENTION CHECK",IF(H455="Yes","STRAIGHTLINE REVIEW",IF(I455&gt;0,"MISSING ITEMS","OK"))))))</x:f>
      </x:c>
      <x:c r="K455" s="130" t="str">
        <x:f>IF(A455="","",IF(J455="OK","Yes","No"))</x:f>
      </x:c>
      <x:c r="L455" s="130" t="str">
        <x:f>IF(A455="","",IF(J455="OK","",IF(J455="NO CONSENT","Consent not affirmed",IF(J455="SPEEDING","Completion time below threshold",IF(J455="ATTENTION CHECK","Attention check failed",IF(J455="STRAIGHTLINE REVIEW","Straightlining review threshold met","Missing scored item(s)"))))))</x:f>
      </x:c>
      <x:c r="M455" s="119"/>
      <x:c r="N455" s="119"/>
      <x:c r="O455" s="119"/>
      <x:c r="P455" s="119"/>
      <x:c r="Q455" s="119"/>
      <x:c r="R455" s="119"/>
      <x:c r="S455" s="119"/>
      <x:c r="T455" s="119"/>
      <x:c r="U455" s="119"/>
      <x:c r="V455" s="119"/>
      <x:c r="W455" s="119"/>
      <x:c r="X455" s="119"/>
      <x:c r="Y455" s="133" t="str">
        <x:f>IF(K455&lt;&gt;"Yes","",IFERROR(AVERAGE(M455:X455),""))</x:f>
      </x:c>
      <x:c r="Z455" s="119"/>
    </x:row>
    <x:row r="456">
      <x:c r="A456" s="119"/>
      <x:c r="B456" s="119"/>
      <x:c r="C456" s="119"/>
      <x:c r="D456" s="119"/>
      <x:c r="E456" s="119"/>
      <x:c r="F456" s="119"/>
      <x:c r="G456" s="119"/>
      <x:c r="H456" s="130" t="str">
        <x:f>IF(A456="","",IF(AND(COUNTA(M456:X456)&gt;=SETUP!$B$10,COUNTIF(M456:X456,MAX(M456:X456))=COUNTA(M456:X456)),"Yes","No"))</x:f>
      </x:c>
      <x:c r="I456" s="130" t="str">
        <x:f>IF(A456="","",IF('SURVEY DESIGN'!C456&lt;&gt;"",--(M456=""),0)+IF('SURVEY DESIGN'!C457&lt;&gt;"",--(N456=""),0)+IF('SURVEY DESIGN'!C458&lt;&gt;"",--(O456=""),0)+IF('SURVEY DESIGN'!C459&lt;&gt;"",--(P456=""),0)+IF('SURVEY DESIGN'!C460&lt;&gt;"",--(Q456=""),0)+IF('SURVEY DESIGN'!C461&lt;&gt;"",--(R456=""),0)+IF('SURVEY DESIGN'!C462&lt;&gt;"",--(S456=""),0)+IF('SURVEY DESIGN'!C463&lt;&gt;"",--(T456=""),0)+IF('SURVEY DESIGN'!C464&lt;&gt;"",--(U456=""),0)+IF('SURVEY DESIGN'!C465&lt;&gt;"",--(V456=""),0)+IF('SURVEY DESIGN'!C466&lt;&gt;"",--(W456=""),0)+IF('SURVEY DESIGN'!C467&lt;&gt;"",--(X456=""),0))</x:f>
      </x:c>
      <x:c r="J456" s="130" t="str">
        <x:f>IF(A456="","",IF(C456&lt;&gt;"Yes","NO CONSENT",IF(F456&lt;SETUP!$B$9,"SPEEDING",IF(G456&lt;&gt;"Yes","ATTENTION CHECK",IF(H456="Yes","STRAIGHTLINE REVIEW",IF(I456&gt;0,"MISSING ITEMS","OK"))))))</x:f>
      </x:c>
      <x:c r="K456" s="130" t="str">
        <x:f>IF(A456="","",IF(J456="OK","Yes","No"))</x:f>
      </x:c>
      <x:c r="L456" s="130" t="str">
        <x:f>IF(A456="","",IF(J456="OK","",IF(J456="NO CONSENT","Consent not affirmed",IF(J456="SPEEDING","Completion time below threshold",IF(J456="ATTENTION CHECK","Attention check failed",IF(J456="STRAIGHTLINE REVIEW","Straightlining review threshold met","Missing scored item(s)"))))))</x:f>
      </x:c>
      <x:c r="M456" s="119"/>
      <x:c r="N456" s="119"/>
      <x:c r="O456" s="119"/>
      <x:c r="P456" s="119"/>
      <x:c r="Q456" s="119"/>
      <x:c r="R456" s="119"/>
      <x:c r="S456" s="119"/>
      <x:c r="T456" s="119"/>
      <x:c r="U456" s="119"/>
      <x:c r="V456" s="119"/>
      <x:c r="W456" s="119"/>
      <x:c r="X456" s="119"/>
      <x:c r="Y456" s="133" t="str">
        <x:f>IF(K456&lt;&gt;"Yes","",IFERROR(AVERAGE(M456:X456),""))</x:f>
      </x:c>
      <x:c r="Z456" s="119"/>
    </x:row>
    <x:row r="457">
      <x:c r="A457" s="119"/>
      <x:c r="B457" s="119"/>
      <x:c r="C457" s="119"/>
      <x:c r="D457" s="119"/>
      <x:c r="E457" s="119"/>
      <x:c r="F457" s="119"/>
      <x:c r="G457" s="119"/>
      <x:c r="H457" s="130" t="str">
        <x:f>IF(A457="","",IF(AND(COUNTA(M457:X457)&gt;=SETUP!$B$10,COUNTIF(M457:X457,MAX(M457:X457))=COUNTA(M457:X457)),"Yes","No"))</x:f>
      </x:c>
      <x:c r="I457" s="130" t="str">
        <x:f>IF(A457="","",IF('SURVEY DESIGN'!C457&lt;&gt;"",--(M457=""),0)+IF('SURVEY DESIGN'!C458&lt;&gt;"",--(N457=""),0)+IF('SURVEY DESIGN'!C459&lt;&gt;"",--(O457=""),0)+IF('SURVEY DESIGN'!C460&lt;&gt;"",--(P457=""),0)+IF('SURVEY DESIGN'!C461&lt;&gt;"",--(Q457=""),0)+IF('SURVEY DESIGN'!C462&lt;&gt;"",--(R457=""),0)+IF('SURVEY DESIGN'!C463&lt;&gt;"",--(S457=""),0)+IF('SURVEY DESIGN'!C464&lt;&gt;"",--(T457=""),0)+IF('SURVEY DESIGN'!C465&lt;&gt;"",--(U457=""),0)+IF('SURVEY DESIGN'!C466&lt;&gt;"",--(V457=""),0)+IF('SURVEY DESIGN'!C467&lt;&gt;"",--(W457=""),0)+IF('SURVEY DESIGN'!C468&lt;&gt;"",--(X457=""),0))</x:f>
      </x:c>
      <x:c r="J457" s="130" t="str">
        <x:f>IF(A457="","",IF(C457&lt;&gt;"Yes","NO CONSENT",IF(F457&lt;SETUP!$B$9,"SPEEDING",IF(G457&lt;&gt;"Yes","ATTENTION CHECK",IF(H457="Yes","STRAIGHTLINE REVIEW",IF(I457&gt;0,"MISSING ITEMS","OK"))))))</x:f>
      </x:c>
      <x:c r="K457" s="130" t="str">
        <x:f>IF(A457="","",IF(J457="OK","Yes","No"))</x:f>
      </x:c>
      <x:c r="L457" s="130" t="str">
        <x:f>IF(A457="","",IF(J457="OK","",IF(J457="NO CONSENT","Consent not affirmed",IF(J457="SPEEDING","Completion time below threshold",IF(J457="ATTENTION CHECK","Attention check failed",IF(J457="STRAIGHTLINE REVIEW","Straightlining review threshold met","Missing scored item(s)"))))))</x:f>
      </x:c>
      <x:c r="M457" s="119"/>
      <x:c r="N457" s="119"/>
      <x:c r="O457" s="119"/>
      <x:c r="P457" s="119"/>
      <x:c r="Q457" s="119"/>
      <x:c r="R457" s="119"/>
      <x:c r="S457" s="119"/>
      <x:c r="T457" s="119"/>
      <x:c r="U457" s="119"/>
      <x:c r="V457" s="119"/>
      <x:c r="W457" s="119"/>
      <x:c r="X457" s="119"/>
      <x:c r="Y457" s="133" t="str">
        <x:f>IF(K457&lt;&gt;"Yes","",IFERROR(AVERAGE(M457:X457),""))</x:f>
      </x:c>
      <x:c r="Z457" s="119"/>
    </x:row>
    <x:row r="458">
      <x:c r="A458" s="119"/>
      <x:c r="B458" s="119"/>
      <x:c r="C458" s="119"/>
      <x:c r="D458" s="119"/>
      <x:c r="E458" s="119"/>
      <x:c r="F458" s="119"/>
      <x:c r="G458" s="119"/>
      <x:c r="H458" s="130" t="str">
        <x:f>IF(A458="","",IF(AND(COUNTA(M458:X458)&gt;=SETUP!$B$10,COUNTIF(M458:X458,MAX(M458:X458))=COUNTA(M458:X458)),"Yes","No"))</x:f>
      </x:c>
      <x:c r="I458" s="130" t="str">
        <x:f>IF(A458="","",IF('SURVEY DESIGN'!C458&lt;&gt;"",--(M458=""),0)+IF('SURVEY DESIGN'!C459&lt;&gt;"",--(N458=""),0)+IF('SURVEY DESIGN'!C460&lt;&gt;"",--(O458=""),0)+IF('SURVEY DESIGN'!C461&lt;&gt;"",--(P458=""),0)+IF('SURVEY DESIGN'!C462&lt;&gt;"",--(Q458=""),0)+IF('SURVEY DESIGN'!C463&lt;&gt;"",--(R458=""),0)+IF('SURVEY DESIGN'!C464&lt;&gt;"",--(S458=""),0)+IF('SURVEY DESIGN'!C465&lt;&gt;"",--(T458=""),0)+IF('SURVEY DESIGN'!C466&lt;&gt;"",--(U458=""),0)+IF('SURVEY DESIGN'!C467&lt;&gt;"",--(V458=""),0)+IF('SURVEY DESIGN'!C468&lt;&gt;"",--(W458=""),0)+IF('SURVEY DESIGN'!C469&lt;&gt;"",--(X458=""),0))</x:f>
      </x:c>
      <x:c r="J458" s="130" t="str">
        <x:f>IF(A458="","",IF(C458&lt;&gt;"Yes","NO CONSENT",IF(F458&lt;SETUP!$B$9,"SPEEDING",IF(G458&lt;&gt;"Yes","ATTENTION CHECK",IF(H458="Yes","STRAIGHTLINE REVIEW",IF(I458&gt;0,"MISSING ITEMS","OK"))))))</x:f>
      </x:c>
      <x:c r="K458" s="130" t="str">
        <x:f>IF(A458="","",IF(J458="OK","Yes","No"))</x:f>
      </x:c>
      <x:c r="L458" s="130" t="str">
        <x:f>IF(A458="","",IF(J458="OK","",IF(J458="NO CONSENT","Consent not affirmed",IF(J458="SPEEDING","Completion time below threshold",IF(J458="ATTENTION CHECK","Attention check failed",IF(J458="STRAIGHTLINE REVIEW","Straightlining review threshold met","Missing scored item(s)"))))))</x:f>
      </x:c>
      <x:c r="M458" s="119"/>
      <x:c r="N458" s="119"/>
      <x:c r="O458" s="119"/>
      <x:c r="P458" s="119"/>
      <x:c r="Q458" s="119"/>
      <x:c r="R458" s="119"/>
      <x:c r="S458" s="119"/>
      <x:c r="T458" s="119"/>
      <x:c r="U458" s="119"/>
      <x:c r="V458" s="119"/>
      <x:c r="W458" s="119"/>
      <x:c r="X458" s="119"/>
      <x:c r="Y458" s="133" t="str">
        <x:f>IF(K458&lt;&gt;"Yes","",IFERROR(AVERAGE(M458:X458),""))</x:f>
      </x:c>
      <x:c r="Z458" s="119"/>
    </x:row>
    <x:row r="459">
      <x:c r="A459" s="119"/>
      <x:c r="B459" s="119"/>
      <x:c r="C459" s="119"/>
      <x:c r="D459" s="119"/>
      <x:c r="E459" s="119"/>
      <x:c r="F459" s="119"/>
      <x:c r="G459" s="119"/>
      <x:c r="H459" s="130" t="str">
        <x:f>IF(A459="","",IF(AND(COUNTA(M459:X459)&gt;=SETUP!$B$10,COUNTIF(M459:X459,MAX(M459:X459))=COUNTA(M459:X459)),"Yes","No"))</x:f>
      </x:c>
      <x:c r="I459" s="130" t="str">
        <x:f>IF(A459="","",IF('SURVEY DESIGN'!C459&lt;&gt;"",--(M459=""),0)+IF('SURVEY DESIGN'!C460&lt;&gt;"",--(N459=""),0)+IF('SURVEY DESIGN'!C461&lt;&gt;"",--(O459=""),0)+IF('SURVEY DESIGN'!C462&lt;&gt;"",--(P459=""),0)+IF('SURVEY DESIGN'!C463&lt;&gt;"",--(Q459=""),0)+IF('SURVEY DESIGN'!C464&lt;&gt;"",--(R459=""),0)+IF('SURVEY DESIGN'!C465&lt;&gt;"",--(S459=""),0)+IF('SURVEY DESIGN'!C466&lt;&gt;"",--(T459=""),0)+IF('SURVEY DESIGN'!C467&lt;&gt;"",--(U459=""),0)+IF('SURVEY DESIGN'!C468&lt;&gt;"",--(V459=""),0)+IF('SURVEY DESIGN'!C469&lt;&gt;"",--(W459=""),0)+IF('SURVEY DESIGN'!C470&lt;&gt;"",--(X459=""),0))</x:f>
      </x:c>
      <x:c r="J459" s="130" t="str">
        <x:f>IF(A459="","",IF(C459&lt;&gt;"Yes","NO CONSENT",IF(F459&lt;SETUP!$B$9,"SPEEDING",IF(G459&lt;&gt;"Yes","ATTENTION CHECK",IF(H459="Yes","STRAIGHTLINE REVIEW",IF(I459&gt;0,"MISSING ITEMS","OK"))))))</x:f>
      </x:c>
      <x:c r="K459" s="130" t="str">
        <x:f>IF(A459="","",IF(J459="OK","Yes","No"))</x:f>
      </x:c>
      <x:c r="L459" s="130" t="str">
        <x:f>IF(A459="","",IF(J459="OK","",IF(J459="NO CONSENT","Consent not affirmed",IF(J459="SPEEDING","Completion time below threshold",IF(J459="ATTENTION CHECK","Attention check failed",IF(J459="STRAIGHTLINE REVIEW","Straightlining review threshold met","Missing scored item(s)"))))))</x:f>
      </x:c>
      <x:c r="M459" s="119"/>
      <x:c r="N459" s="119"/>
      <x:c r="O459" s="119"/>
      <x:c r="P459" s="119"/>
      <x:c r="Q459" s="119"/>
      <x:c r="R459" s="119"/>
      <x:c r="S459" s="119"/>
      <x:c r="T459" s="119"/>
      <x:c r="U459" s="119"/>
      <x:c r="V459" s="119"/>
      <x:c r="W459" s="119"/>
      <x:c r="X459" s="119"/>
      <x:c r="Y459" s="133" t="str">
        <x:f>IF(K459&lt;&gt;"Yes","",IFERROR(AVERAGE(M459:X459),""))</x:f>
      </x:c>
      <x:c r="Z459" s="119"/>
    </x:row>
    <x:row r="460">
      <x:c r="A460" s="119"/>
      <x:c r="B460" s="119"/>
      <x:c r="C460" s="119"/>
      <x:c r="D460" s="119"/>
      <x:c r="E460" s="119"/>
      <x:c r="F460" s="119"/>
      <x:c r="G460" s="119"/>
      <x:c r="H460" s="130" t="str">
        <x:f>IF(A460="","",IF(AND(COUNTA(M460:X460)&gt;=SETUP!$B$10,COUNTIF(M460:X460,MAX(M460:X460))=COUNTA(M460:X460)),"Yes","No"))</x:f>
      </x:c>
      <x:c r="I460" s="130" t="str">
        <x:f>IF(A460="","",IF('SURVEY DESIGN'!C460&lt;&gt;"",--(M460=""),0)+IF('SURVEY DESIGN'!C461&lt;&gt;"",--(N460=""),0)+IF('SURVEY DESIGN'!C462&lt;&gt;"",--(O460=""),0)+IF('SURVEY DESIGN'!C463&lt;&gt;"",--(P460=""),0)+IF('SURVEY DESIGN'!C464&lt;&gt;"",--(Q460=""),0)+IF('SURVEY DESIGN'!C465&lt;&gt;"",--(R460=""),0)+IF('SURVEY DESIGN'!C466&lt;&gt;"",--(S460=""),0)+IF('SURVEY DESIGN'!C467&lt;&gt;"",--(T460=""),0)+IF('SURVEY DESIGN'!C468&lt;&gt;"",--(U460=""),0)+IF('SURVEY DESIGN'!C469&lt;&gt;"",--(V460=""),0)+IF('SURVEY DESIGN'!C470&lt;&gt;"",--(W460=""),0)+IF('SURVEY DESIGN'!C471&lt;&gt;"",--(X460=""),0))</x:f>
      </x:c>
      <x:c r="J460" s="130" t="str">
        <x:f>IF(A460="","",IF(C460&lt;&gt;"Yes","NO CONSENT",IF(F460&lt;SETUP!$B$9,"SPEEDING",IF(G460&lt;&gt;"Yes","ATTENTION CHECK",IF(H460="Yes","STRAIGHTLINE REVIEW",IF(I460&gt;0,"MISSING ITEMS","OK"))))))</x:f>
      </x:c>
      <x:c r="K460" s="130" t="str">
        <x:f>IF(A460="","",IF(J460="OK","Yes","No"))</x:f>
      </x:c>
      <x:c r="L460" s="130" t="str">
        <x:f>IF(A460="","",IF(J460="OK","",IF(J460="NO CONSENT","Consent not affirmed",IF(J460="SPEEDING","Completion time below threshold",IF(J460="ATTENTION CHECK","Attention check failed",IF(J460="STRAIGHTLINE REVIEW","Straightlining review threshold met","Missing scored item(s)"))))))</x:f>
      </x:c>
      <x:c r="M460" s="119"/>
      <x:c r="N460" s="119"/>
      <x:c r="O460" s="119"/>
      <x:c r="P460" s="119"/>
      <x:c r="Q460" s="119"/>
      <x:c r="R460" s="119"/>
      <x:c r="S460" s="119"/>
      <x:c r="T460" s="119"/>
      <x:c r="U460" s="119"/>
      <x:c r="V460" s="119"/>
      <x:c r="W460" s="119"/>
      <x:c r="X460" s="119"/>
      <x:c r="Y460" s="133" t="str">
        <x:f>IF(K460&lt;&gt;"Yes","",IFERROR(AVERAGE(M460:X460),""))</x:f>
      </x:c>
      <x:c r="Z460" s="119"/>
    </x:row>
    <x:row r="461">
      <x:c r="A461" s="119"/>
      <x:c r="B461" s="119"/>
      <x:c r="C461" s="119"/>
      <x:c r="D461" s="119"/>
      <x:c r="E461" s="119"/>
      <x:c r="F461" s="119"/>
      <x:c r="G461" s="119"/>
      <x:c r="H461" s="130" t="str">
        <x:f>IF(A461="","",IF(AND(COUNTA(M461:X461)&gt;=SETUP!$B$10,COUNTIF(M461:X461,MAX(M461:X461))=COUNTA(M461:X461)),"Yes","No"))</x:f>
      </x:c>
      <x:c r="I461" s="130" t="str">
        <x:f>IF(A461="","",IF('SURVEY DESIGN'!C461&lt;&gt;"",--(M461=""),0)+IF('SURVEY DESIGN'!C462&lt;&gt;"",--(N461=""),0)+IF('SURVEY DESIGN'!C463&lt;&gt;"",--(O461=""),0)+IF('SURVEY DESIGN'!C464&lt;&gt;"",--(P461=""),0)+IF('SURVEY DESIGN'!C465&lt;&gt;"",--(Q461=""),0)+IF('SURVEY DESIGN'!C466&lt;&gt;"",--(R461=""),0)+IF('SURVEY DESIGN'!C467&lt;&gt;"",--(S461=""),0)+IF('SURVEY DESIGN'!C468&lt;&gt;"",--(T461=""),0)+IF('SURVEY DESIGN'!C469&lt;&gt;"",--(U461=""),0)+IF('SURVEY DESIGN'!C470&lt;&gt;"",--(V461=""),0)+IF('SURVEY DESIGN'!C471&lt;&gt;"",--(W461=""),0)+IF('SURVEY DESIGN'!C472&lt;&gt;"",--(X461=""),0))</x:f>
      </x:c>
      <x:c r="J461" s="130" t="str">
        <x:f>IF(A461="","",IF(C461&lt;&gt;"Yes","NO CONSENT",IF(F461&lt;SETUP!$B$9,"SPEEDING",IF(G461&lt;&gt;"Yes","ATTENTION CHECK",IF(H461="Yes","STRAIGHTLINE REVIEW",IF(I461&gt;0,"MISSING ITEMS","OK"))))))</x:f>
      </x:c>
      <x:c r="K461" s="130" t="str">
        <x:f>IF(A461="","",IF(J461="OK","Yes","No"))</x:f>
      </x:c>
      <x:c r="L461" s="130" t="str">
        <x:f>IF(A461="","",IF(J461="OK","",IF(J461="NO CONSENT","Consent not affirmed",IF(J461="SPEEDING","Completion time below threshold",IF(J461="ATTENTION CHECK","Attention check failed",IF(J461="STRAIGHTLINE REVIEW","Straightlining review threshold met","Missing scored item(s)"))))))</x:f>
      </x:c>
      <x:c r="M461" s="119"/>
      <x:c r="N461" s="119"/>
      <x:c r="O461" s="119"/>
      <x:c r="P461" s="119"/>
      <x:c r="Q461" s="119"/>
      <x:c r="R461" s="119"/>
      <x:c r="S461" s="119"/>
      <x:c r="T461" s="119"/>
      <x:c r="U461" s="119"/>
      <x:c r="V461" s="119"/>
      <x:c r="W461" s="119"/>
      <x:c r="X461" s="119"/>
      <x:c r="Y461" s="133" t="str">
        <x:f>IF(K461&lt;&gt;"Yes","",IFERROR(AVERAGE(M461:X461),""))</x:f>
      </x:c>
      <x:c r="Z461" s="119"/>
    </x:row>
    <x:row r="462">
      <x:c r="A462" s="119"/>
      <x:c r="B462" s="119"/>
      <x:c r="C462" s="119"/>
      <x:c r="D462" s="119"/>
      <x:c r="E462" s="119"/>
      <x:c r="F462" s="119"/>
      <x:c r="G462" s="119"/>
      <x:c r="H462" s="130" t="str">
        <x:f>IF(A462="","",IF(AND(COUNTA(M462:X462)&gt;=SETUP!$B$10,COUNTIF(M462:X462,MAX(M462:X462))=COUNTA(M462:X462)),"Yes","No"))</x:f>
      </x:c>
      <x:c r="I462" s="130" t="str">
        <x:f>IF(A462="","",IF('SURVEY DESIGN'!C462&lt;&gt;"",--(M462=""),0)+IF('SURVEY DESIGN'!C463&lt;&gt;"",--(N462=""),0)+IF('SURVEY DESIGN'!C464&lt;&gt;"",--(O462=""),0)+IF('SURVEY DESIGN'!C465&lt;&gt;"",--(P462=""),0)+IF('SURVEY DESIGN'!C466&lt;&gt;"",--(Q462=""),0)+IF('SURVEY DESIGN'!C467&lt;&gt;"",--(R462=""),0)+IF('SURVEY DESIGN'!C468&lt;&gt;"",--(S462=""),0)+IF('SURVEY DESIGN'!C469&lt;&gt;"",--(T462=""),0)+IF('SURVEY DESIGN'!C470&lt;&gt;"",--(U462=""),0)+IF('SURVEY DESIGN'!C471&lt;&gt;"",--(V462=""),0)+IF('SURVEY DESIGN'!C472&lt;&gt;"",--(W462=""),0)+IF('SURVEY DESIGN'!C473&lt;&gt;"",--(X462=""),0))</x:f>
      </x:c>
      <x:c r="J462" s="130" t="str">
        <x:f>IF(A462="","",IF(C462&lt;&gt;"Yes","NO CONSENT",IF(F462&lt;SETUP!$B$9,"SPEEDING",IF(G462&lt;&gt;"Yes","ATTENTION CHECK",IF(H462="Yes","STRAIGHTLINE REVIEW",IF(I462&gt;0,"MISSING ITEMS","OK"))))))</x:f>
      </x:c>
      <x:c r="K462" s="130" t="str">
        <x:f>IF(A462="","",IF(J462="OK","Yes","No"))</x:f>
      </x:c>
      <x:c r="L462" s="130" t="str">
        <x:f>IF(A462="","",IF(J462="OK","",IF(J462="NO CONSENT","Consent not affirmed",IF(J462="SPEEDING","Completion time below threshold",IF(J462="ATTENTION CHECK","Attention check failed",IF(J462="STRAIGHTLINE REVIEW","Straightlining review threshold met","Missing scored item(s)"))))))</x:f>
      </x:c>
      <x:c r="M462" s="119"/>
      <x:c r="N462" s="119"/>
      <x:c r="O462" s="119"/>
      <x:c r="P462" s="119"/>
      <x:c r="Q462" s="119"/>
      <x:c r="R462" s="119"/>
      <x:c r="S462" s="119"/>
      <x:c r="T462" s="119"/>
      <x:c r="U462" s="119"/>
      <x:c r="V462" s="119"/>
      <x:c r="W462" s="119"/>
      <x:c r="X462" s="119"/>
      <x:c r="Y462" s="133" t="str">
        <x:f>IF(K462&lt;&gt;"Yes","",IFERROR(AVERAGE(M462:X462),""))</x:f>
      </x:c>
      <x:c r="Z462" s="119"/>
    </x:row>
    <x:row r="463">
      <x:c r="A463" s="119"/>
      <x:c r="B463" s="119"/>
      <x:c r="C463" s="119"/>
      <x:c r="D463" s="119"/>
      <x:c r="E463" s="119"/>
      <x:c r="F463" s="119"/>
      <x:c r="G463" s="119"/>
      <x:c r="H463" s="130" t="str">
        <x:f>IF(A463="","",IF(AND(COUNTA(M463:X463)&gt;=SETUP!$B$10,COUNTIF(M463:X463,MAX(M463:X463))=COUNTA(M463:X463)),"Yes","No"))</x:f>
      </x:c>
      <x:c r="I463" s="130" t="str">
        <x:f>IF(A463="","",IF('SURVEY DESIGN'!C463&lt;&gt;"",--(M463=""),0)+IF('SURVEY DESIGN'!C464&lt;&gt;"",--(N463=""),0)+IF('SURVEY DESIGN'!C465&lt;&gt;"",--(O463=""),0)+IF('SURVEY DESIGN'!C466&lt;&gt;"",--(P463=""),0)+IF('SURVEY DESIGN'!C467&lt;&gt;"",--(Q463=""),0)+IF('SURVEY DESIGN'!C468&lt;&gt;"",--(R463=""),0)+IF('SURVEY DESIGN'!C469&lt;&gt;"",--(S463=""),0)+IF('SURVEY DESIGN'!C470&lt;&gt;"",--(T463=""),0)+IF('SURVEY DESIGN'!C471&lt;&gt;"",--(U463=""),0)+IF('SURVEY DESIGN'!C472&lt;&gt;"",--(V463=""),0)+IF('SURVEY DESIGN'!C473&lt;&gt;"",--(W463=""),0)+IF('SURVEY DESIGN'!C474&lt;&gt;"",--(X463=""),0))</x:f>
      </x:c>
      <x:c r="J463" s="130" t="str">
        <x:f>IF(A463="","",IF(C463&lt;&gt;"Yes","NO CONSENT",IF(F463&lt;SETUP!$B$9,"SPEEDING",IF(G463&lt;&gt;"Yes","ATTENTION CHECK",IF(H463="Yes","STRAIGHTLINE REVIEW",IF(I463&gt;0,"MISSING ITEMS","OK"))))))</x:f>
      </x:c>
      <x:c r="K463" s="130" t="str">
        <x:f>IF(A463="","",IF(J463="OK","Yes","No"))</x:f>
      </x:c>
      <x:c r="L463" s="130" t="str">
        <x:f>IF(A463="","",IF(J463="OK","",IF(J463="NO CONSENT","Consent not affirmed",IF(J463="SPEEDING","Completion time below threshold",IF(J463="ATTENTION CHECK","Attention check failed",IF(J463="STRAIGHTLINE REVIEW","Straightlining review threshold met","Missing scored item(s)"))))))</x:f>
      </x:c>
      <x:c r="M463" s="119"/>
      <x:c r="N463" s="119"/>
      <x:c r="O463" s="119"/>
      <x:c r="P463" s="119"/>
      <x:c r="Q463" s="119"/>
      <x:c r="R463" s="119"/>
      <x:c r="S463" s="119"/>
      <x:c r="T463" s="119"/>
      <x:c r="U463" s="119"/>
      <x:c r="V463" s="119"/>
      <x:c r="W463" s="119"/>
      <x:c r="X463" s="119"/>
      <x:c r="Y463" s="133" t="str">
        <x:f>IF(K463&lt;&gt;"Yes","",IFERROR(AVERAGE(M463:X463),""))</x:f>
      </x:c>
      <x:c r="Z463" s="119"/>
    </x:row>
    <x:row r="464">
      <x:c r="A464" s="119"/>
      <x:c r="B464" s="119"/>
      <x:c r="C464" s="119"/>
      <x:c r="D464" s="119"/>
      <x:c r="E464" s="119"/>
      <x:c r="F464" s="119"/>
      <x:c r="G464" s="119"/>
      <x:c r="H464" s="130" t="str">
        <x:f>IF(A464="","",IF(AND(COUNTA(M464:X464)&gt;=SETUP!$B$10,COUNTIF(M464:X464,MAX(M464:X464))=COUNTA(M464:X464)),"Yes","No"))</x:f>
      </x:c>
      <x:c r="I464" s="130" t="str">
        <x:f>IF(A464="","",IF('SURVEY DESIGN'!C464&lt;&gt;"",--(M464=""),0)+IF('SURVEY DESIGN'!C465&lt;&gt;"",--(N464=""),0)+IF('SURVEY DESIGN'!C466&lt;&gt;"",--(O464=""),0)+IF('SURVEY DESIGN'!C467&lt;&gt;"",--(P464=""),0)+IF('SURVEY DESIGN'!C468&lt;&gt;"",--(Q464=""),0)+IF('SURVEY DESIGN'!C469&lt;&gt;"",--(R464=""),0)+IF('SURVEY DESIGN'!C470&lt;&gt;"",--(S464=""),0)+IF('SURVEY DESIGN'!C471&lt;&gt;"",--(T464=""),0)+IF('SURVEY DESIGN'!C472&lt;&gt;"",--(U464=""),0)+IF('SURVEY DESIGN'!C473&lt;&gt;"",--(V464=""),0)+IF('SURVEY DESIGN'!C474&lt;&gt;"",--(W464=""),0)+IF('SURVEY DESIGN'!C475&lt;&gt;"",--(X464=""),0))</x:f>
      </x:c>
      <x:c r="J464" s="130" t="str">
        <x:f>IF(A464="","",IF(C464&lt;&gt;"Yes","NO CONSENT",IF(F464&lt;SETUP!$B$9,"SPEEDING",IF(G464&lt;&gt;"Yes","ATTENTION CHECK",IF(H464="Yes","STRAIGHTLINE REVIEW",IF(I464&gt;0,"MISSING ITEMS","OK"))))))</x:f>
      </x:c>
      <x:c r="K464" s="130" t="str">
        <x:f>IF(A464="","",IF(J464="OK","Yes","No"))</x:f>
      </x:c>
      <x:c r="L464" s="130" t="str">
        <x:f>IF(A464="","",IF(J464="OK","",IF(J464="NO CONSENT","Consent not affirmed",IF(J464="SPEEDING","Completion time below threshold",IF(J464="ATTENTION CHECK","Attention check failed",IF(J464="STRAIGHTLINE REVIEW","Straightlining review threshold met","Missing scored item(s)"))))))</x:f>
      </x:c>
      <x:c r="M464" s="119"/>
      <x:c r="N464" s="119"/>
      <x:c r="O464" s="119"/>
      <x:c r="P464" s="119"/>
      <x:c r="Q464" s="119"/>
      <x:c r="R464" s="119"/>
      <x:c r="S464" s="119"/>
      <x:c r="T464" s="119"/>
      <x:c r="U464" s="119"/>
      <x:c r="V464" s="119"/>
      <x:c r="W464" s="119"/>
      <x:c r="X464" s="119"/>
      <x:c r="Y464" s="133" t="str">
        <x:f>IF(K464&lt;&gt;"Yes","",IFERROR(AVERAGE(M464:X464),""))</x:f>
      </x:c>
      <x:c r="Z464" s="119"/>
    </x:row>
    <x:row r="465">
      <x:c r="A465" s="119"/>
      <x:c r="B465" s="119"/>
      <x:c r="C465" s="119"/>
      <x:c r="D465" s="119"/>
      <x:c r="E465" s="119"/>
      <x:c r="F465" s="119"/>
      <x:c r="G465" s="119"/>
      <x:c r="H465" s="130" t="str">
        <x:f>IF(A465="","",IF(AND(COUNTA(M465:X465)&gt;=SETUP!$B$10,COUNTIF(M465:X465,MAX(M465:X465))=COUNTA(M465:X465)),"Yes","No"))</x:f>
      </x:c>
      <x:c r="I465" s="130" t="str">
        <x:f>IF(A465="","",IF('SURVEY DESIGN'!C465&lt;&gt;"",--(M465=""),0)+IF('SURVEY DESIGN'!C466&lt;&gt;"",--(N465=""),0)+IF('SURVEY DESIGN'!C467&lt;&gt;"",--(O465=""),0)+IF('SURVEY DESIGN'!C468&lt;&gt;"",--(P465=""),0)+IF('SURVEY DESIGN'!C469&lt;&gt;"",--(Q465=""),0)+IF('SURVEY DESIGN'!C470&lt;&gt;"",--(R465=""),0)+IF('SURVEY DESIGN'!C471&lt;&gt;"",--(S465=""),0)+IF('SURVEY DESIGN'!C472&lt;&gt;"",--(T465=""),0)+IF('SURVEY DESIGN'!C473&lt;&gt;"",--(U465=""),0)+IF('SURVEY DESIGN'!C474&lt;&gt;"",--(V465=""),0)+IF('SURVEY DESIGN'!C475&lt;&gt;"",--(W465=""),0)+IF('SURVEY DESIGN'!C476&lt;&gt;"",--(X465=""),0))</x:f>
      </x:c>
      <x:c r="J465" s="130" t="str">
        <x:f>IF(A465="","",IF(C465&lt;&gt;"Yes","NO CONSENT",IF(F465&lt;SETUP!$B$9,"SPEEDING",IF(G465&lt;&gt;"Yes","ATTENTION CHECK",IF(H465="Yes","STRAIGHTLINE REVIEW",IF(I465&gt;0,"MISSING ITEMS","OK"))))))</x:f>
      </x:c>
      <x:c r="K465" s="130" t="str">
        <x:f>IF(A465="","",IF(J465="OK","Yes","No"))</x:f>
      </x:c>
      <x:c r="L465" s="130" t="str">
        <x:f>IF(A465="","",IF(J465="OK","",IF(J465="NO CONSENT","Consent not affirmed",IF(J465="SPEEDING","Completion time below threshold",IF(J465="ATTENTION CHECK","Attention check failed",IF(J465="STRAIGHTLINE REVIEW","Straightlining review threshold met","Missing scored item(s)"))))))</x:f>
      </x:c>
      <x:c r="M465" s="119"/>
      <x:c r="N465" s="119"/>
      <x:c r="O465" s="119"/>
      <x:c r="P465" s="119"/>
      <x:c r="Q465" s="119"/>
      <x:c r="R465" s="119"/>
      <x:c r="S465" s="119"/>
      <x:c r="T465" s="119"/>
      <x:c r="U465" s="119"/>
      <x:c r="V465" s="119"/>
      <x:c r="W465" s="119"/>
      <x:c r="X465" s="119"/>
      <x:c r="Y465" s="133" t="str">
        <x:f>IF(K465&lt;&gt;"Yes","",IFERROR(AVERAGE(M465:X465),""))</x:f>
      </x:c>
      <x:c r="Z465" s="119"/>
    </x:row>
    <x:row r="466">
      <x:c r="A466" s="119"/>
      <x:c r="B466" s="119"/>
      <x:c r="C466" s="119"/>
      <x:c r="D466" s="119"/>
      <x:c r="E466" s="119"/>
      <x:c r="F466" s="119"/>
      <x:c r="G466" s="119"/>
      <x:c r="H466" s="130" t="str">
        <x:f>IF(A466="","",IF(AND(COUNTA(M466:X466)&gt;=SETUP!$B$10,COUNTIF(M466:X466,MAX(M466:X466))=COUNTA(M466:X466)),"Yes","No"))</x:f>
      </x:c>
      <x:c r="I466" s="130" t="str">
        <x:f>IF(A466="","",IF('SURVEY DESIGN'!C466&lt;&gt;"",--(M466=""),0)+IF('SURVEY DESIGN'!C467&lt;&gt;"",--(N466=""),0)+IF('SURVEY DESIGN'!C468&lt;&gt;"",--(O466=""),0)+IF('SURVEY DESIGN'!C469&lt;&gt;"",--(P466=""),0)+IF('SURVEY DESIGN'!C470&lt;&gt;"",--(Q466=""),0)+IF('SURVEY DESIGN'!C471&lt;&gt;"",--(R466=""),0)+IF('SURVEY DESIGN'!C472&lt;&gt;"",--(S466=""),0)+IF('SURVEY DESIGN'!C473&lt;&gt;"",--(T466=""),0)+IF('SURVEY DESIGN'!C474&lt;&gt;"",--(U466=""),0)+IF('SURVEY DESIGN'!C475&lt;&gt;"",--(V466=""),0)+IF('SURVEY DESIGN'!C476&lt;&gt;"",--(W466=""),0)+IF('SURVEY DESIGN'!C477&lt;&gt;"",--(X466=""),0))</x:f>
      </x:c>
      <x:c r="J466" s="130" t="str">
        <x:f>IF(A466="","",IF(C466&lt;&gt;"Yes","NO CONSENT",IF(F466&lt;SETUP!$B$9,"SPEEDING",IF(G466&lt;&gt;"Yes","ATTENTION CHECK",IF(H466="Yes","STRAIGHTLINE REVIEW",IF(I466&gt;0,"MISSING ITEMS","OK"))))))</x:f>
      </x:c>
      <x:c r="K466" s="130" t="str">
        <x:f>IF(A466="","",IF(J466="OK","Yes","No"))</x:f>
      </x:c>
      <x:c r="L466" s="130" t="str">
        <x:f>IF(A466="","",IF(J466="OK","",IF(J466="NO CONSENT","Consent not affirmed",IF(J466="SPEEDING","Completion time below threshold",IF(J466="ATTENTION CHECK","Attention check failed",IF(J466="STRAIGHTLINE REVIEW","Straightlining review threshold met","Missing scored item(s)"))))))</x:f>
      </x:c>
      <x:c r="M466" s="119"/>
      <x:c r="N466" s="119"/>
      <x:c r="O466" s="119"/>
      <x:c r="P466" s="119"/>
      <x:c r="Q466" s="119"/>
      <x:c r="R466" s="119"/>
      <x:c r="S466" s="119"/>
      <x:c r="T466" s="119"/>
      <x:c r="U466" s="119"/>
      <x:c r="V466" s="119"/>
      <x:c r="W466" s="119"/>
      <x:c r="X466" s="119"/>
      <x:c r="Y466" s="133" t="str">
        <x:f>IF(K466&lt;&gt;"Yes","",IFERROR(AVERAGE(M466:X466),""))</x:f>
      </x:c>
      <x:c r="Z466" s="119"/>
    </x:row>
    <x:row r="467">
      <x:c r="A467" s="119"/>
      <x:c r="B467" s="119"/>
      <x:c r="C467" s="119"/>
      <x:c r="D467" s="119"/>
      <x:c r="E467" s="119"/>
      <x:c r="F467" s="119"/>
      <x:c r="G467" s="119"/>
      <x:c r="H467" s="130" t="str">
        <x:f>IF(A467="","",IF(AND(COUNTA(M467:X467)&gt;=SETUP!$B$10,COUNTIF(M467:X467,MAX(M467:X467))=COUNTA(M467:X467)),"Yes","No"))</x:f>
      </x:c>
      <x:c r="I467" s="130" t="str">
        <x:f>IF(A467="","",IF('SURVEY DESIGN'!C467&lt;&gt;"",--(M467=""),0)+IF('SURVEY DESIGN'!C468&lt;&gt;"",--(N467=""),0)+IF('SURVEY DESIGN'!C469&lt;&gt;"",--(O467=""),0)+IF('SURVEY DESIGN'!C470&lt;&gt;"",--(P467=""),0)+IF('SURVEY DESIGN'!C471&lt;&gt;"",--(Q467=""),0)+IF('SURVEY DESIGN'!C472&lt;&gt;"",--(R467=""),0)+IF('SURVEY DESIGN'!C473&lt;&gt;"",--(S467=""),0)+IF('SURVEY DESIGN'!C474&lt;&gt;"",--(T467=""),0)+IF('SURVEY DESIGN'!C475&lt;&gt;"",--(U467=""),0)+IF('SURVEY DESIGN'!C476&lt;&gt;"",--(V467=""),0)+IF('SURVEY DESIGN'!C477&lt;&gt;"",--(W467=""),0)+IF('SURVEY DESIGN'!C478&lt;&gt;"",--(X467=""),0))</x:f>
      </x:c>
      <x:c r="J467" s="130" t="str">
        <x:f>IF(A467="","",IF(C467&lt;&gt;"Yes","NO CONSENT",IF(F467&lt;SETUP!$B$9,"SPEEDING",IF(G467&lt;&gt;"Yes","ATTENTION CHECK",IF(H467="Yes","STRAIGHTLINE REVIEW",IF(I467&gt;0,"MISSING ITEMS","OK"))))))</x:f>
      </x:c>
      <x:c r="K467" s="130" t="str">
        <x:f>IF(A467="","",IF(J467="OK","Yes","No"))</x:f>
      </x:c>
      <x:c r="L467" s="130" t="str">
        <x:f>IF(A467="","",IF(J467="OK","",IF(J467="NO CONSENT","Consent not affirmed",IF(J467="SPEEDING","Completion time below threshold",IF(J467="ATTENTION CHECK","Attention check failed",IF(J467="STRAIGHTLINE REVIEW","Straightlining review threshold met","Missing scored item(s)"))))))</x:f>
      </x:c>
      <x:c r="M467" s="119"/>
      <x:c r="N467" s="119"/>
      <x:c r="O467" s="119"/>
      <x:c r="P467" s="119"/>
      <x:c r="Q467" s="119"/>
      <x:c r="R467" s="119"/>
      <x:c r="S467" s="119"/>
      <x:c r="T467" s="119"/>
      <x:c r="U467" s="119"/>
      <x:c r="V467" s="119"/>
      <x:c r="W467" s="119"/>
      <x:c r="X467" s="119"/>
      <x:c r="Y467" s="133" t="str">
        <x:f>IF(K467&lt;&gt;"Yes","",IFERROR(AVERAGE(M467:X467),""))</x:f>
      </x:c>
      <x:c r="Z467" s="119"/>
    </x:row>
    <x:row r="468">
      <x:c r="A468" s="119"/>
      <x:c r="B468" s="119"/>
      <x:c r="C468" s="119"/>
      <x:c r="D468" s="119"/>
      <x:c r="E468" s="119"/>
      <x:c r="F468" s="119"/>
      <x:c r="G468" s="119"/>
      <x:c r="H468" s="130" t="str">
        <x:f>IF(A468="","",IF(AND(COUNTA(M468:X468)&gt;=SETUP!$B$10,COUNTIF(M468:X468,MAX(M468:X468))=COUNTA(M468:X468)),"Yes","No"))</x:f>
      </x:c>
      <x:c r="I468" s="130" t="str">
        <x:f>IF(A468="","",IF('SURVEY DESIGN'!C468&lt;&gt;"",--(M468=""),0)+IF('SURVEY DESIGN'!C469&lt;&gt;"",--(N468=""),0)+IF('SURVEY DESIGN'!C470&lt;&gt;"",--(O468=""),0)+IF('SURVEY DESIGN'!C471&lt;&gt;"",--(P468=""),0)+IF('SURVEY DESIGN'!C472&lt;&gt;"",--(Q468=""),0)+IF('SURVEY DESIGN'!C473&lt;&gt;"",--(R468=""),0)+IF('SURVEY DESIGN'!C474&lt;&gt;"",--(S468=""),0)+IF('SURVEY DESIGN'!C475&lt;&gt;"",--(T468=""),0)+IF('SURVEY DESIGN'!C476&lt;&gt;"",--(U468=""),0)+IF('SURVEY DESIGN'!C477&lt;&gt;"",--(V468=""),0)+IF('SURVEY DESIGN'!C478&lt;&gt;"",--(W468=""),0)+IF('SURVEY DESIGN'!C479&lt;&gt;"",--(X468=""),0))</x:f>
      </x:c>
      <x:c r="J468" s="130" t="str">
        <x:f>IF(A468="","",IF(C468&lt;&gt;"Yes","NO CONSENT",IF(F468&lt;SETUP!$B$9,"SPEEDING",IF(G468&lt;&gt;"Yes","ATTENTION CHECK",IF(H468="Yes","STRAIGHTLINE REVIEW",IF(I468&gt;0,"MISSING ITEMS","OK"))))))</x:f>
      </x:c>
      <x:c r="K468" s="130" t="str">
        <x:f>IF(A468="","",IF(J468="OK","Yes","No"))</x:f>
      </x:c>
      <x:c r="L468" s="130" t="str">
        <x:f>IF(A468="","",IF(J468="OK","",IF(J468="NO CONSENT","Consent not affirmed",IF(J468="SPEEDING","Completion time below threshold",IF(J468="ATTENTION CHECK","Attention check failed",IF(J468="STRAIGHTLINE REVIEW","Straightlining review threshold met","Missing scored item(s)"))))))</x:f>
      </x:c>
      <x:c r="M468" s="119"/>
      <x:c r="N468" s="119"/>
      <x:c r="O468" s="119"/>
      <x:c r="P468" s="119"/>
      <x:c r="Q468" s="119"/>
      <x:c r="R468" s="119"/>
      <x:c r="S468" s="119"/>
      <x:c r="T468" s="119"/>
      <x:c r="U468" s="119"/>
      <x:c r="V468" s="119"/>
      <x:c r="W468" s="119"/>
      <x:c r="X468" s="119"/>
      <x:c r="Y468" s="133" t="str">
        <x:f>IF(K468&lt;&gt;"Yes","",IFERROR(AVERAGE(M468:X468),""))</x:f>
      </x:c>
      <x:c r="Z468" s="119"/>
    </x:row>
    <x:row r="469">
      <x:c r="A469" s="119"/>
      <x:c r="B469" s="119"/>
      <x:c r="C469" s="119"/>
      <x:c r="D469" s="119"/>
      <x:c r="E469" s="119"/>
      <x:c r="F469" s="119"/>
      <x:c r="G469" s="119"/>
      <x:c r="H469" s="130" t="str">
        <x:f>IF(A469="","",IF(AND(COUNTA(M469:X469)&gt;=SETUP!$B$10,COUNTIF(M469:X469,MAX(M469:X469))=COUNTA(M469:X469)),"Yes","No"))</x:f>
      </x:c>
      <x:c r="I469" s="130" t="str">
        <x:f>IF(A469="","",IF('SURVEY DESIGN'!C469&lt;&gt;"",--(M469=""),0)+IF('SURVEY DESIGN'!C470&lt;&gt;"",--(N469=""),0)+IF('SURVEY DESIGN'!C471&lt;&gt;"",--(O469=""),0)+IF('SURVEY DESIGN'!C472&lt;&gt;"",--(P469=""),0)+IF('SURVEY DESIGN'!C473&lt;&gt;"",--(Q469=""),0)+IF('SURVEY DESIGN'!C474&lt;&gt;"",--(R469=""),0)+IF('SURVEY DESIGN'!C475&lt;&gt;"",--(S469=""),0)+IF('SURVEY DESIGN'!C476&lt;&gt;"",--(T469=""),0)+IF('SURVEY DESIGN'!C477&lt;&gt;"",--(U469=""),0)+IF('SURVEY DESIGN'!C478&lt;&gt;"",--(V469=""),0)+IF('SURVEY DESIGN'!C479&lt;&gt;"",--(W469=""),0)+IF('SURVEY DESIGN'!C480&lt;&gt;"",--(X469=""),0))</x:f>
      </x:c>
      <x:c r="J469" s="130" t="str">
        <x:f>IF(A469="","",IF(C469&lt;&gt;"Yes","NO CONSENT",IF(F469&lt;SETUP!$B$9,"SPEEDING",IF(G469&lt;&gt;"Yes","ATTENTION CHECK",IF(H469="Yes","STRAIGHTLINE REVIEW",IF(I469&gt;0,"MISSING ITEMS","OK"))))))</x:f>
      </x:c>
      <x:c r="K469" s="130" t="str">
        <x:f>IF(A469="","",IF(J469="OK","Yes","No"))</x:f>
      </x:c>
      <x:c r="L469" s="130" t="str">
        <x:f>IF(A469="","",IF(J469="OK","",IF(J469="NO CONSENT","Consent not affirmed",IF(J469="SPEEDING","Completion time below threshold",IF(J469="ATTENTION CHECK","Attention check failed",IF(J469="STRAIGHTLINE REVIEW","Straightlining review threshold met","Missing scored item(s)"))))))</x:f>
      </x:c>
      <x:c r="M469" s="119"/>
      <x:c r="N469" s="119"/>
      <x:c r="O469" s="119"/>
      <x:c r="P469" s="119"/>
      <x:c r="Q469" s="119"/>
      <x:c r="R469" s="119"/>
      <x:c r="S469" s="119"/>
      <x:c r="T469" s="119"/>
      <x:c r="U469" s="119"/>
      <x:c r="V469" s="119"/>
      <x:c r="W469" s="119"/>
      <x:c r="X469" s="119"/>
      <x:c r="Y469" s="133" t="str">
        <x:f>IF(K469&lt;&gt;"Yes","",IFERROR(AVERAGE(M469:X469),""))</x:f>
      </x:c>
      <x:c r="Z469" s="119"/>
    </x:row>
    <x:row r="470">
      <x:c r="A470" s="119"/>
      <x:c r="B470" s="119"/>
      <x:c r="C470" s="119"/>
      <x:c r="D470" s="119"/>
      <x:c r="E470" s="119"/>
      <x:c r="F470" s="119"/>
      <x:c r="G470" s="119"/>
      <x:c r="H470" s="130" t="str">
        <x:f>IF(A470="","",IF(AND(COUNTA(M470:X470)&gt;=SETUP!$B$10,COUNTIF(M470:X470,MAX(M470:X470))=COUNTA(M470:X470)),"Yes","No"))</x:f>
      </x:c>
      <x:c r="I470" s="130" t="str">
        <x:f>IF(A470="","",IF('SURVEY DESIGN'!C470&lt;&gt;"",--(M470=""),0)+IF('SURVEY DESIGN'!C471&lt;&gt;"",--(N470=""),0)+IF('SURVEY DESIGN'!C472&lt;&gt;"",--(O470=""),0)+IF('SURVEY DESIGN'!C473&lt;&gt;"",--(P470=""),0)+IF('SURVEY DESIGN'!C474&lt;&gt;"",--(Q470=""),0)+IF('SURVEY DESIGN'!C475&lt;&gt;"",--(R470=""),0)+IF('SURVEY DESIGN'!C476&lt;&gt;"",--(S470=""),0)+IF('SURVEY DESIGN'!C477&lt;&gt;"",--(T470=""),0)+IF('SURVEY DESIGN'!C478&lt;&gt;"",--(U470=""),0)+IF('SURVEY DESIGN'!C479&lt;&gt;"",--(V470=""),0)+IF('SURVEY DESIGN'!C480&lt;&gt;"",--(W470=""),0)+IF('SURVEY DESIGN'!C481&lt;&gt;"",--(X470=""),0))</x:f>
      </x:c>
      <x:c r="J470" s="130" t="str">
        <x:f>IF(A470="","",IF(C470&lt;&gt;"Yes","NO CONSENT",IF(F470&lt;SETUP!$B$9,"SPEEDING",IF(G470&lt;&gt;"Yes","ATTENTION CHECK",IF(H470="Yes","STRAIGHTLINE REVIEW",IF(I470&gt;0,"MISSING ITEMS","OK"))))))</x:f>
      </x:c>
      <x:c r="K470" s="130" t="str">
        <x:f>IF(A470="","",IF(J470="OK","Yes","No"))</x:f>
      </x:c>
      <x:c r="L470" s="130" t="str">
        <x:f>IF(A470="","",IF(J470="OK","",IF(J470="NO CONSENT","Consent not affirmed",IF(J470="SPEEDING","Completion time below threshold",IF(J470="ATTENTION CHECK","Attention check failed",IF(J470="STRAIGHTLINE REVIEW","Straightlining review threshold met","Missing scored item(s)"))))))</x:f>
      </x:c>
      <x:c r="M470" s="119"/>
      <x:c r="N470" s="119"/>
      <x:c r="O470" s="119"/>
      <x:c r="P470" s="119"/>
      <x:c r="Q470" s="119"/>
      <x:c r="R470" s="119"/>
      <x:c r="S470" s="119"/>
      <x:c r="T470" s="119"/>
      <x:c r="U470" s="119"/>
      <x:c r="V470" s="119"/>
      <x:c r="W470" s="119"/>
      <x:c r="X470" s="119"/>
      <x:c r="Y470" s="133" t="str">
        <x:f>IF(K470&lt;&gt;"Yes","",IFERROR(AVERAGE(M470:X470),""))</x:f>
      </x:c>
      <x:c r="Z470" s="119"/>
    </x:row>
    <x:row r="471">
      <x:c r="A471" s="119"/>
      <x:c r="B471" s="119"/>
      <x:c r="C471" s="119"/>
      <x:c r="D471" s="119"/>
      <x:c r="E471" s="119"/>
      <x:c r="F471" s="119"/>
      <x:c r="G471" s="119"/>
      <x:c r="H471" s="130" t="str">
        <x:f>IF(A471="","",IF(AND(COUNTA(M471:X471)&gt;=SETUP!$B$10,COUNTIF(M471:X471,MAX(M471:X471))=COUNTA(M471:X471)),"Yes","No"))</x:f>
      </x:c>
      <x:c r="I471" s="130" t="str">
        <x:f>IF(A471="","",IF('SURVEY DESIGN'!C471&lt;&gt;"",--(M471=""),0)+IF('SURVEY DESIGN'!C472&lt;&gt;"",--(N471=""),0)+IF('SURVEY DESIGN'!C473&lt;&gt;"",--(O471=""),0)+IF('SURVEY DESIGN'!C474&lt;&gt;"",--(P471=""),0)+IF('SURVEY DESIGN'!C475&lt;&gt;"",--(Q471=""),0)+IF('SURVEY DESIGN'!C476&lt;&gt;"",--(R471=""),0)+IF('SURVEY DESIGN'!C477&lt;&gt;"",--(S471=""),0)+IF('SURVEY DESIGN'!C478&lt;&gt;"",--(T471=""),0)+IF('SURVEY DESIGN'!C479&lt;&gt;"",--(U471=""),0)+IF('SURVEY DESIGN'!C480&lt;&gt;"",--(V471=""),0)+IF('SURVEY DESIGN'!C481&lt;&gt;"",--(W471=""),0)+IF('SURVEY DESIGN'!C482&lt;&gt;"",--(X471=""),0))</x:f>
      </x:c>
      <x:c r="J471" s="130" t="str">
        <x:f>IF(A471="","",IF(C471&lt;&gt;"Yes","NO CONSENT",IF(F471&lt;SETUP!$B$9,"SPEEDING",IF(G471&lt;&gt;"Yes","ATTENTION CHECK",IF(H471="Yes","STRAIGHTLINE REVIEW",IF(I471&gt;0,"MISSING ITEMS","OK"))))))</x:f>
      </x:c>
      <x:c r="K471" s="130" t="str">
        <x:f>IF(A471="","",IF(J471="OK","Yes","No"))</x:f>
      </x:c>
      <x:c r="L471" s="130" t="str">
        <x:f>IF(A471="","",IF(J471="OK","",IF(J471="NO CONSENT","Consent not affirmed",IF(J471="SPEEDING","Completion time below threshold",IF(J471="ATTENTION CHECK","Attention check failed",IF(J471="STRAIGHTLINE REVIEW","Straightlining review threshold met","Missing scored item(s)"))))))</x:f>
      </x:c>
      <x:c r="M471" s="119"/>
      <x:c r="N471" s="119"/>
      <x:c r="O471" s="119"/>
      <x:c r="P471" s="119"/>
      <x:c r="Q471" s="119"/>
      <x:c r="R471" s="119"/>
      <x:c r="S471" s="119"/>
      <x:c r="T471" s="119"/>
      <x:c r="U471" s="119"/>
      <x:c r="V471" s="119"/>
      <x:c r="W471" s="119"/>
      <x:c r="X471" s="119"/>
      <x:c r="Y471" s="133" t="str">
        <x:f>IF(K471&lt;&gt;"Yes","",IFERROR(AVERAGE(M471:X471),""))</x:f>
      </x:c>
      <x:c r="Z471" s="119"/>
    </x:row>
    <x:row r="472">
      <x:c r="A472" s="119"/>
      <x:c r="B472" s="119"/>
      <x:c r="C472" s="119"/>
      <x:c r="D472" s="119"/>
      <x:c r="E472" s="119"/>
      <x:c r="F472" s="119"/>
      <x:c r="G472" s="119"/>
      <x:c r="H472" s="130" t="str">
        <x:f>IF(A472="","",IF(AND(COUNTA(M472:X472)&gt;=SETUP!$B$10,COUNTIF(M472:X472,MAX(M472:X472))=COUNTA(M472:X472)),"Yes","No"))</x:f>
      </x:c>
      <x:c r="I472" s="130" t="str">
        <x:f>IF(A472="","",IF('SURVEY DESIGN'!C472&lt;&gt;"",--(M472=""),0)+IF('SURVEY DESIGN'!C473&lt;&gt;"",--(N472=""),0)+IF('SURVEY DESIGN'!C474&lt;&gt;"",--(O472=""),0)+IF('SURVEY DESIGN'!C475&lt;&gt;"",--(P472=""),0)+IF('SURVEY DESIGN'!C476&lt;&gt;"",--(Q472=""),0)+IF('SURVEY DESIGN'!C477&lt;&gt;"",--(R472=""),0)+IF('SURVEY DESIGN'!C478&lt;&gt;"",--(S472=""),0)+IF('SURVEY DESIGN'!C479&lt;&gt;"",--(T472=""),0)+IF('SURVEY DESIGN'!C480&lt;&gt;"",--(U472=""),0)+IF('SURVEY DESIGN'!C481&lt;&gt;"",--(V472=""),0)+IF('SURVEY DESIGN'!C482&lt;&gt;"",--(W472=""),0)+IF('SURVEY DESIGN'!C483&lt;&gt;"",--(X472=""),0))</x:f>
      </x:c>
      <x:c r="J472" s="130" t="str">
        <x:f>IF(A472="","",IF(C472&lt;&gt;"Yes","NO CONSENT",IF(F472&lt;SETUP!$B$9,"SPEEDING",IF(G472&lt;&gt;"Yes","ATTENTION CHECK",IF(H472="Yes","STRAIGHTLINE REVIEW",IF(I472&gt;0,"MISSING ITEMS","OK"))))))</x:f>
      </x:c>
      <x:c r="K472" s="130" t="str">
        <x:f>IF(A472="","",IF(J472="OK","Yes","No"))</x:f>
      </x:c>
      <x:c r="L472" s="130" t="str">
        <x:f>IF(A472="","",IF(J472="OK","",IF(J472="NO CONSENT","Consent not affirmed",IF(J472="SPEEDING","Completion time below threshold",IF(J472="ATTENTION CHECK","Attention check failed",IF(J472="STRAIGHTLINE REVIEW","Straightlining review threshold met","Missing scored item(s)"))))))</x:f>
      </x:c>
      <x:c r="M472" s="119"/>
      <x:c r="N472" s="119"/>
      <x:c r="O472" s="119"/>
      <x:c r="P472" s="119"/>
      <x:c r="Q472" s="119"/>
      <x:c r="R472" s="119"/>
      <x:c r="S472" s="119"/>
      <x:c r="T472" s="119"/>
      <x:c r="U472" s="119"/>
      <x:c r="V472" s="119"/>
      <x:c r="W472" s="119"/>
      <x:c r="X472" s="119"/>
      <x:c r="Y472" s="133" t="str">
        <x:f>IF(K472&lt;&gt;"Yes","",IFERROR(AVERAGE(M472:X472),""))</x:f>
      </x:c>
      <x:c r="Z472" s="119"/>
    </x:row>
    <x:row r="473">
      <x:c r="A473" s="119"/>
      <x:c r="B473" s="119"/>
      <x:c r="C473" s="119"/>
      <x:c r="D473" s="119"/>
      <x:c r="E473" s="119"/>
      <x:c r="F473" s="119"/>
      <x:c r="G473" s="119"/>
      <x:c r="H473" s="130" t="str">
        <x:f>IF(A473="","",IF(AND(COUNTA(M473:X473)&gt;=SETUP!$B$10,COUNTIF(M473:X473,MAX(M473:X473))=COUNTA(M473:X473)),"Yes","No"))</x:f>
      </x:c>
      <x:c r="I473" s="130" t="str">
        <x:f>IF(A473="","",IF('SURVEY DESIGN'!C473&lt;&gt;"",--(M473=""),0)+IF('SURVEY DESIGN'!C474&lt;&gt;"",--(N473=""),0)+IF('SURVEY DESIGN'!C475&lt;&gt;"",--(O473=""),0)+IF('SURVEY DESIGN'!C476&lt;&gt;"",--(P473=""),0)+IF('SURVEY DESIGN'!C477&lt;&gt;"",--(Q473=""),0)+IF('SURVEY DESIGN'!C478&lt;&gt;"",--(R473=""),0)+IF('SURVEY DESIGN'!C479&lt;&gt;"",--(S473=""),0)+IF('SURVEY DESIGN'!C480&lt;&gt;"",--(T473=""),0)+IF('SURVEY DESIGN'!C481&lt;&gt;"",--(U473=""),0)+IF('SURVEY DESIGN'!C482&lt;&gt;"",--(V473=""),0)+IF('SURVEY DESIGN'!C483&lt;&gt;"",--(W473=""),0)+IF('SURVEY DESIGN'!C484&lt;&gt;"",--(X473=""),0))</x:f>
      </x:c>
      <x:c r="J473" s="130" t="str">
        <x:f>IF(A473="","",IF(C473&lt;&gt;"Yes","NO CONSENT",IF(F473&lt;SETUP!$B$9,"SPEEDING",IF(G473&lt;&gt;"Yes","ATTENTION CHECK",IF(H473="Yes","STRAIGHTLINE REVIEW",IF(I473&gt;0,"MISSING ITEMS","OK"))))))</x:f>
      </x:c>
      <x:c r="K473" s="130" t="str">
        <x:f>IF(A473="","",IF(J473="OK","Yes","No"))</x:f>
      </x:c>
      <x:c r="L473" s="130" t="str">
        <x:f>IF(A473="","",IF(J473="OK","",IF(J473="NO CONSENT","Consent not affirmed",IF(J473="SPEEDING","Completion time below threshold",IF(J473="ATTENTION CHECK","Attention check failed",IF(J473="STRAIGHTLINE REVIEW","Straightlining review threshold met","Missing scored item(s)"))))))</x:f>
      </x:c>
      <x:c r="M473" s="119"/>
      <x:c r="N473" s="119"/>
      <x:c r="O473" s="119"/>
      <x:c r="P473" s="119"/>
      <x:c r="Q473" s="119"/>
      <x:c r="R473" s="119"/>
      <x:c r="S473" s="119"/>
      <x:c r="T473" s="119"/>
      <x:c r="U473" s="119"/>
      <x:c r="V473" s="119"/>
      <x:c r="W473" s="119"/>
      <x:c r="X473" s="119"/>
      <x:c r="Y473" s="133" t="str">
        <x:f>IF(K473&lt;&gt;"Yes","",IFERROR(AVERAGE(M473:X473),""))</x:f>
      </x:c>
      <x:c r="Z473" s="119"/>
    </x:row>
    <x:row r="474">
      <x:c r="A474" s="119"/>
      <x:c r="B474" s="119"/>
      <x:c r="C474" s="119"/>
      <x:c r="D474" s="119"/>
      <x:c r="E474" s="119"/>
      <x:c r="F474" s="119"/>
      <x:c r="G474" s="119"/>
      <x:c r="H474" s="130" t="str">
        <x:f>IF(A474="","",IF(AND(COUNTA(M474:X474)&gt;=SETUP!$B$10,COUNTIF(M474:X474,MAX(M474:X474))=COUNTA(M474:X474)),"Yes","No"))</x:f>
      </x:c>
      <x:c r="I474" s="130" t="str">
        <x:f>IF(A474="","",IF('SURVEY DESIGN'!C474&lt;&gt;"",--(M474=""),0)+IF('SURVEY DESIGN'!C475&lt;&gt;"",--(N474=""),0)+IF('SURVEY DESIGN'!C476&lt;&gt;"",--(O474=""),0)+IF('SURVEY DESIGN'!C477&lt;&gt;"",--(P474=""),0)+IF('SURVEY DESIGN'!C478&lt;&gt;"",--(Q474=""),0)+IF('SURVEY DESIGN'!C479&lt;&gt;"",--(R474=""),0)+IF('SURVEY DESIGN'!C480&lt;&gt;"",--(S474=""),0)+IF('SURVEY DESIGN'!C481&lt;&gt;"",--(T474=""),0)+IF('SURVEY DESIGN'!C482&lt;&gt;"",--(U474=""),0)+IF('SURVEY DESIGN'!C483&lt;&gt;"",--(V474=""),0)+IF('SURVEY DESIGN'!C484&lt;&gt;"",--(W474=""),0)+IF('SURVEY DESIGN'!C485&lt;&gt;"",--(X474=""),0))</x:f>
      </x:c>
      <x:c r="J474" s="130" t="str">
        <x:f>IF(A474="","",IF(C474&lt;&gt;"Yes","NO CONSENT",IF(F474&lt;SETUP!$B$9,"SPEEDING",IF(G474&lt;&gt;"Yes","ATTENTION CHECK",IF(H474="Yes","STRAIGHTLINE REVIEW",IF(I474&gt;0,"MISSING ITEMS","OK"))))))</x:f>
      </x:c>
      <x:c r="K474" s="130" t="str">
        <x:f>IF(A474="","",IF(J474="OK","Yes","No"))</x:f>
      </x:c>
      <x:c r="L474" s="130" t="str">
        <x:f>IF(A474="","",IF(J474="OK","",IF(J474="NO CONSENT","Consent not affirmed",IF(J474="SPEEDING","Completion time below threshold",IF(J474="ATTENTION CHECK","Attention check failed",IF(J474="STRAIGHTLINE REVIEW","Straightlining review threshold met","Missing scored item(s)"))))))</x:f>
      </x:c>
      <x:c r="M474" s="119"/>
      <x:c r="N474" s="119"/>
      <x:c r="O474" s="119"/>
      <x:c r="P474" s="119"/>
      <x:c r="Q474" s="119"/>
      <x:c r="R474" s="119"/>
      <x:c r="S474" s="119"/>
      <x:c r="T474" s="119"/>
      <x:c r="U474" s="119"/>
      <x:c r="V474" s="119"/>
      <x:c r="W474" s="119"/>
      <x:c r="X474" s="119"/>
      <x:c r="Y474" s="133" t="str">
        <x:f>IF(K474&lt;&gt;"Yes","",IFERROR(AVERAGE(M474:X474),""))</x:f>
      </x:c>
      <x:c r="Z474" s="119"/>
    </x:row>
    <x:row r="475">
      <x:c r="A475" s="119"/>
      <x:c r="B475" s="119"/>
      <x:c r="C475" s="119"/>
      <x:c r="D475" s="119"/>
      <x:c r="E475" s="119"/>
      <x:c r="F475" s="119"/>
      <x:c r="G475" s="119"/>
      <x:c r="H475" s="130" t="str">
        <x:f>IF(A475="","",IF(AND(COUNTA(M475:X475)&gt;=SETUP!$B$10,COUNTIF(M475:X475,MAX(M475:X475))=COUNTA(M475:X475)),"Yes","No"))</x:f>
      </x:c>
      <x:c r="I475" s="130" t="str">
        <x:f>IF(A475="","",IF('SURVEY DESIGN'!C475&lt;&gt;"",--(M475=""),0)+IF('SURVEY DESIGN'!C476&lt;&gt;"",--(N475=""),0)+IF('SURVEY DESIGN'!C477&lt;&gt;"",--(O475=""),0)+IF('SURVEY DESIGN'!C478&lt;&gt;"",--(P475=""),0)+IF('SURVEY DESIGN'!C479&lt;&gt;"",--(Q475=""),0)+IF('SURVEY DESIGN'!C480&lt;&gt;"",--(R475=""),0)+IF('SURVEY DESIGN'!C481&lt;&gt;"",--(S475=""),0)+IF('SURVEY DESIGN'!C482&lt;&gt;"",--(T475=""),0)+IF('SURVEY DESIGN'!C483&lt;&gt;"",--(U475=""),0)+IF('SURVEY DESIGN'!C484&lt;&gt;"",--(V475=""),0)+IF('SURVEY DESIGN'!C485&lt;&gt;"",--(W475=""),0)+IF('SURVEY DESIGN'!C486&lt;&gt;"",--(X475=""),0))</x:f>
      </x:c>
      <x:c r="J475" s="130" t="str">
        <x:f>IF(A475="","",IF(C475&lt;&gt;"Yes","NO CONSENT",IF(F475&lt;SETUP!$B$9,"SPEEDING",IF(G475&lt;&gt;"Yes","ATTENTION CHECK",IF(H475="Yes","STRAIGHTLINE REVIEW",IF(I475&gt;0,"MISSING ITEMS","OK"))))))</x:f>
      </x:c>
      <x:c r="K475" s="130" t="str">
        <x:f>IF(A475="","",IF(J475="OK","Yes","No"))</x:f>
      </x:c>
      <x:c r="L475" s="130" t="str">
        <x:f>IF(A475="","",IF(J475="OK","",IF(J475="NO CONSENT","Consent not affirmed",IF(J475="SPEEDING","Completion time below threshold",IF(J475="ATTENTION CHECK","Attention check failed",IF(J475="STRAIGHTLINE REVIEW","Straightlining review threshold met","Missing scored item(s)"))))))</x:f>
      </x:c>
      <x:c r="M475" s="119"/>
      <x:c r="N475" s="119"/>
      <x:c r="O475" s="119"/>
      <x:c r="P475" s="119"/>
      <x:c r="Q475" s="119"/>
      <x:c r="R475" s="119"/>
      <x:c r="S475" s="119"/>
      <x:c r="T475" s="119"/>
      <x:c r="U475" s="119"/>
      <x:c r="V475" s="119"/>
      <x:c r="W475" s="119"/>
      <x:c r="X475" s="119"/>
      <x:c r="Y475" s="133" t="str">
        <x:f>IF(K475&lt;&gt;"Yes","",IFERROR(AVERAGE(M475:X475),""))</x:f>
      </x:c>
      <x:c r="Z475" s="119"/>
    </x:row>
    <x:row r="476">
      <x:c r="A476" s="119"/>
      <x:c r="B476" s="119"/>
      <x:c r="C476" s="119"/>
      <x:c r="D476" s="119"/>
      <x:c r="E476" s="119"/>
      <x:c r="F476" s="119"/>
      <x:c r="G476" s="119"/>
      <x:c r="H476" s="130" t="str">
        <x:f>IF(A476="","",IF(AND(COUNTA(M476:X476)&gt;=SETUP!$B$10,COUNTIF(M476:X476,MAX(M476:X476))=COUNTA(M476:X476)),"Yes","No"))</x:f>
      </x:c>
      <x:c r="I476" s="130" t="str">
        <x:f>IF(A476="","",IF('SURVEY DESIGN'!C476&lt;&gt;"",--(M476=""),0)+IF('SURVEY DESIGN'!C477&lt;&gt;"",--(N476=""),0)+IF('SURVEY DESIGN'!C478&lt;&gt;"",--(O476=""),0)+IF('SURVEY DESIGN'!C479&lt;&gt;"",--(P476=""),0)+IF('SURVEY DESIGN'!C480&lt;&gt;"",--(Q476=""),0)+IF('SURVEY DESIGN'!C481&lt;&gt;"",--(R476=""),0)+IF('SURVEY DESIGN'!C482&lt;&gt;"",--(S476=""),0)+IF('SURVEY DESIGN'!C483&lt;&gt;"",--(T476=""),0)+IF('SURVEY DESIGN'!C484&lt;&gt;"",--(U476=""),0)+IF('SURVEY DESIGN'!C485&lt;&gt;"",--(V476=""),0)+IF('SURVEY DESIGN'!C486&lt;&gt;"",--(W476=""),0)+IF('SURVEY DESIGN'!C487&lt;&gt;"",--(X476=""),0))</x:f>
      </x:c>
      <x:c r="J476" s="130" t="str">
        <x:f>IF(A476="","",IF(C476&lt;&gt;"Yes","NO CONSENT",IF(F476&lt;SETUP!$B$9,"SPEEDING",IF(G476&lt;&gt;"Yes","ATTENTION CHECK",IF(H476="Yes","STRAIGHTLINE REVIEW",IF(I476&gt;0,"MISSING ITEMS","OK"))))))</x:f>
      </x:c>
      <x:c r="K476" s="130" t="str">
        <x:f>IF(A476="","",IF(J476="OK","Yes","No"))</x:f>
      </x:c>
      <x:c r="L476" s="130" t="str">
        <x:f>IF(A476="","",IF(J476="OK","",IF(J476="NO CONSENT","Consent not affirmed",IF(J476="SPEEDING","Completion time below threshold",IF(J476="ATTENTION CHECK","Attention check failed",IF(J476="STRAIGHTLINE REVIEW","Straightlining review threshold met","Missing scored item(s)"))))))</x:f>
      </x:c>
      <x:c r="M476" s="119"/>
      <x:c r="N476" s="119"/>
      <x:c r="O476" s="119"/>
      <x:c r="P476" s="119"/>
      <x:c r="Q476" s="119"/>
      <x:c r="R476" s="119"/>
      <x:c r="S476" s="119"/>
      <x:c r="T476" s="119"/>
      <x:c r="U476" s="119"/>
      <x:c r="V476" s="119"/>
      <x:c r="W476" s="119"/>
      <x:c r="X476" s="119"/>
      <x:c r="Y476" s="133" t="str">
        <x:f>IF(K476&lt;&gt;"Yes","",IFERROR(AVERAGE(M476:X476),""))</x:f>
      </x:c>
      <x:c r="Z476" s="119"/>
    </x:row>
    <x:row r="477">
      <x:c r="A477" s="119"/>
      <x:c r="B477" s="119"/>
      <x:c r="C477" s="119"/>
      <x:c r="D477" s="119"/>
      <x:c r="E477" s="119"/>
      <x:c r="F477" s="119"/>
      <x:c r="G477" s="119"/>
      <x:c r="H477" s="130" t="str">
        <x:f>IF(A477="","",IF(AND(COUNTA(M477:X477)&gt;=SETUP!$B$10,COUNTIF(M477:X477,MAX(M477:X477))=COUNTA(M477:X477)),"Yes","No"))</x:f>
      </x:c>
      <x:c r="I477" s="130" t="str">
        <x:f>IF(A477="","",IF('SURVEY DESIGN'!C477&lt;&gt;"",--(M477=""),0)+IF('SURVEY DESIGN'!C478&lt;&gt;"",--(N477=""),0)+IF('SURVEY DESIGN'!C479&lt;&gt;"",--(O477=""),0)+IF('SURVEY DESIGN'!C480&lt;&gt;"",--(P477=""),0)+IF('SURVEY DESIGN'!C481&lt;&gt;"",--(Q477=""),0)+IF('SURVEY DESIGN'!C482&lt;&gt;"",--(R477=""),0)+IF('SURVEY DESIGN'!C483&lt;&gt;"",--(S477=""),0)+IF('SURVEY DESIGN'!C484&lt;&gt;"",--(T477=""),0)+IF('SURVEY DESIGN'!C485&lt;&gt;"",--(U477=""),0)+IF('SURVEY DESIGN'!C486&lt;&gt;"",--(V477=""),0)+IF('SURVEY DESIGN'!C487&lt;&gt;"",--(W477=""),0)+IF('SURVEY DESIGN'!C488&lt;&gt;"",--(X477=""),0))</x:f>
      </x:c>
      <x:c r="J477" s="130" t="str">
        <x:f>IF(A477="","",IF(C477&lt;&gt;"Yes","NO CONSENT",IF(F477&lt;SETUP!$B$9,"SPEEDING",IF(G477&lt;&gt;"Yes","ATTENTION CHECK",IF(H477="Yes","STRAIGHTLINE REVIEW",IF(I477&gt;0,"MISSING ITEMS","OK"))))))</x:f>
      </x:c>
      <x:c r="K477" s="130" t="str">
        <x:f>IF(A477="","",IF(J477="OK","Yes","No"))</x:f>
      </x:c>
      <x:c r="L477" s="130" t="str">
        <x:f>IF(A477="","",IF(J477="OK","",IF(J477="NO CONSENT","Consent not affirmed",IF(J477="SPEEDING","Completion time below threshold",IF(J477="ATTENTION CHECK","Attention check failed",IF(J477="STRAIGHTLINE REVIEW","Straightlining review threshold met","Missing scored item(s)"))))))</x:f>
      </x:c>
      <x:c r="M477" s="119"/>
      <x:c r="N477" s="119"/>
      <x:c r="O477" s="119"/>
      <x:c r="P477" s="119"/>
      <x:c r="Q477" s="119"/>
      <x:c r="R477" s="119"/>
      <x:c r="S477" s="119"/>
      <x:c r="T477" s="119"/>
      <x:c r="U477" s="119"/>
      <x:c r="V477" s="119"/>
      <x:c r="W477" s="119"/>
      <x:c r="X477" s="119"/>
      <x:c r="Y477" s="133" t="str">
        <x:f>IF(K477&lt;&gt;"Yes","",IFERROR(AVERAGE(M477:X477),""))</x:f>
      </x:c>
      <x:c r="Z477" s="119"/>
    </x:row>
    <x:row r="478">
      <x:c r="A478" s="119"/>
      <x:c r="B478" s="119"/>
      <x:c r="C478" s="119"/>
      <x:c r="D478" s="119"/>
      <x:c r="E478" s="119"/>
      <x:c r="F478" s="119"/>
      <x:c r="G478" s="119"/>
      <x:c r="H478" s="130" t="str">
        <x:f>IF(A478="","",IF(AND(COUNTA(M478:X478)&gt;=SETUP!$B$10,COUNTIF(M478:X478,MAX(M478:X478))=COUNTA(M478:X478)),"Yes","No"))</x:f>
      </x:c>
      <x:c r="I478" s="130" t="str">
        <x:f>IF(A478="","",IF('SURVEY DESIGN'!C478&lt;&gt;"",--(M478=""),0)+IF('SURVEY DESIGN'!C479&lt;&gt;"",--(N478=""),0)+IF('SURVEY DESIGN'!C480&lt;&gt;"",--(O478=""),0)+IF('SURVEY DESIGN'!C481&lt;&gt;"",--(P478=""),0)+IF('SURVEY DESIGN'!C482&lt;&gt;"",--(Q478=""),0)+IF('SURVEY DESIGN'!C483&lt;&gt;"",--(R478=""),0)+IF('SURVEY DESIGN'!C484&lt;&gt;"",--(S478=""),0)+IF('SURVEY DESIGN'!C485&lt;&gt;"",--(T478=""),0)+IF('SURVEY DESIGN'!C486&lt;&gt;"",--(U478=""),0)+IF('SURVEY DESIGN'!C487&lt;&gt;"",--(V478=""),0)+IF('SURVEY DESIGN'!C488&lt;&gt;"",--(W478=""),0)+IF('SURVEY DESIGN'!C489&lt;&gt;"",--(X478=""),0))</x:f>
      </x:c>
      <x:c r="J478" s="130" t="str">
        <x:f>IF(A478="","",IF(C478&lt;&gt;"Yes","NO CONSENT",IF(F478&lt;SETUP!$B$9,"SPEEDING",IF(G478&lt;&gt;"Yes","ATTENTION CHECK",IF(H478="Yes","STRAIGHTLINE REVIEW",IF(I478&gt;0,"MISSING ITEMS","OK"))))))</x:f>
      </x:c>
      <x:c r="K478" s="130" t="str">
        <x:f>IF(A478="","",IF(J478="OK","Yes","No"))</x:f>
      </x:c>
      <x:c r="L478" s="130" t="str">
        <x:f>IF(A478="","",IF(J478="OK","",IF(J478="NO CONSENT","Consent not affirmed",IF(J478="SPEEDING","Completion time below threshold",IF(J478="ATTENTION CHECK","Attention check failed",IF(J478="STRAIGHTLINE REVIEW","Straightlining review threshold met","Missing scored item(s)"))))))</x:f>
      </x:c>
      <x:c r="M478" s="119"/>
      <x:c r="N478" s="119"/>
      <x:c r="O478" s="119"/>
      <x:c r="P478" s="119"/>
      <x:c r="Q478" s="119"/>
      <x:c r="R478" s="119"/>
      <x:c r="S478" s="119"/>
      <x:c r="T478" s="119"/>
      <x:c r="U478" s="119"/>
      <x:c r="V478" s="119"/>
      <x:c r="W478" s="119"/>
      <x:c r="X478" s="119"/>
      <x:c r="Y478" s="133" t="str">
        <x:f>IF(K478&lt;&gt;"Yes","",IFERROR(AVERAGE(M478:X478),""))</x:f>
      </x:c>
      <x:c r="Z478" s="119"/>
    </x:row>
    <x:row r="479">
      <x:c r="A479" s="119"/>
      <x:c r="B479" s="119"/>
      <x:c r="C479" s="119"/>
      <x:c r="D479" s="119"/>
      <x:c r="E479" s="119"/>
      <x:c r="F479" s="119"/>
      <x:c r="G479" s="119"/>
      <x:c r="H479" s="130" t="str">
        <x:f>IF(A479="","",IF(AND(COUNTA(M479:X479)&gt;=SETUP!$B$10,COUNTIF(M479:X479,MAX(M479:X479))=COUNTA(M479:X479)),"Yes","No"))</x:f>
      </x:c>
      <x:c r="I479" s="130" t="str">
        <x:f>IF(A479="","",IF('SURVEY DESIGN'!C479&lt;&gt;"",--(M479=""),0)+IF('SURVEY DESIGN'!C480&lt;&gt;"",--(N479=""),0)+IF('SURVEY DESIGN'!C481&lt;&gt;"",--(O479=""),0)+IF('SURVEY DESIGN'!C482&lt;&gt;"",--(P479=""),0)+IF('SURVEY DESIGN'!C483&lt;&gt;"",--(Q479=""),0)+IF('SURVEY DESIGN'!C484&lt;&gt;"",--(R479=""),0)+IF('SURVEY DESIGN'!C485&lt;&gt;"",--(S479=""),0)+IF('SURVEY DESIGN'!C486&lt;&gt;"",--(T479=""),0)+IF('SURVEY DESIGN'!C487&lt;&gt;"",--(U479=""),0)+IF('SURVEY DESIGN'!C488&lt;&gt;"",--(V479=""),0)+IF('SURVEY DESIGN'!C489&lt;&gt;"",--(W479=""),0)+IF('SURVEY DESIGN'!C490&lt;&gt;"",--(X479=""),0))</x:f>
      </x:c>
      <x:c r="J479" s="130" t="str">
        <x:f>IF(A479="","",IF(C479&lt;&gt;"Yes","NO CONSENT",IF(F479&lt;SETUP!$B$9,"SPEEDING",IF(G479&lt;&gt;"Yes","ATTENTION CHECK",IF(H479="Yes","STRAIGHTLINE REVIEW",IF(I479&gt;0,"MISSING ITEMS","OK"))))))</x:f>
      </x:c>
      <x:c r="K479" s="130" t="str">
        <x:f>IF(A479="","",IF(J479="OK","Yes","No"))</x:f>
      </x:c>
      <x:c r="L479" s="130" t="str">
        <x:f>IF(A479="","",IF(J479="OK","",IF(J479="NO CONSENT","Consent not affirmed",IF(J479="SPEEDING","Completion time below threshold",IF(J479="ATTENTION CHECK","Attention check failed",IF(J479="STRAIGHTLINE REVIEW","Straightlining review threshold met","Missing scored item(s)"))))))</x:f>
      </x:c>
      <x:c r="M479" s="119"/>
      <x:c r="N479" s="119"/>
      <x:c r="O479" s="119"/>
      <x:c r="P479" s="119"/>
      <x:c r="Q479" s="119"/>
      <x:c r="R479" s="119"/>
      <x:c r="S479" s="119"/>
      <x:c r="T479" s="119"/>
      <x:c r="U479" s="119"/>
      <x:c r="V479" s="119"/>
      <x:c r="W479" s="119"/>
      <x:c r="X479" s="119"/>
      <x:c r="Y479" s="133" t="str">
        <x:f>IF(K479&lt;&gt;"Yes","",IFERROR(AVERAGE(M479:X479),""))</x:f>
      </x:c>
      <x:c r="Z479" s="119"/>
    </x:row>
    <x:row r="480">
      <x:c r="A480" s="119"/>
      <x:c r="B480" s="119"/>
      <x:c r="C480" s="119"/>
      <x:c r="D480" s="119"/>
      <x:c r="E480" s="119"/>
      <x:c r="F480" s="119"/>
      <x:c r="G480" s="119"/>
      <x:c r="H480" s="130" t="str">
        <x:f>IF(A480="","",IF(AND(COUNTA(M480:X480)&gt;=SETUP!$B$10,COUNTIF(M480:X480,MAX(M480:X480))=COUNTA(M480:X480)),"Yes","No"))</x:f>
      </x:c>
      <x:c r="I480" s="130" t="str">
        <x:f>IF(A480="","",IF('SURVEY DESIGN'!C480&lt;&gt;"",--(M480=""),0)+IF('SURVEY DESIGN'!C481&lt;&gt;"",--(N480=""),0)+IF('SURVEY DESIGN'!C482&lt;&gt;"",--(O480=""),0)+IF('SURVEY DESIGN'!C483&lt;&gt;"",--(P480=""),0)+IF('SURVEY DESIGN'!C484&lt;&gt;"",--(Q480=""),0)+IF('SURVEY DESIGN'!C485&lt;&gt;"",--(R480=""),0)+IF('SURVEY DESIGN'!C486&lt;&gt;"",--(S480=""),0)+IF('SURVEY DESIGN'!C487&lt;&gt;"",--(T480=""),0)+IF('SURVEY DESIGN'!C488&lt;&gt;"",--(U480=""),0)+IF('SURVEY DESIGN'!C489&lt;&gt;"",--(V480=""),0)+IF('SURVEY DESIGN'!C490&lt;&gt;"",--(W480=""),0)+IF('SURVEY DESIGN'!C491&lt;&gt;"",--(X480=""),0))</x:f>
      </x:c>
      <x:c r="J480" s="130" t="str">
        <x:f>IF(A480="","",IF(C480&lt;&gt;"Yes","NO CONSENT",IF(F480&lt;SETUP!$B$9,"SPEEDING",IF(G480&lt;&gt;"Yes","ATTENTION CHECK",IF(H480="Yes","STRAIGHTLINE REVIEW",IF(I480&gt;0,"MISSING ITEMS","OK"))))))</x:f>
      </x:c>
      <x:c r="K480" s="130" t="str">
        <x:f>IF(A480="","",IF(J480="OK","Yes","No"))</x:f>
      </x:c>
      <x:c r="L480" s="130" t="str">
        <x:f>IF(A480="","",IF(J480="OK","",IF(J480="NO CONSENT","Consent not affirmed",IF(J480="SPEEDING","Completion time below threshold",IF(J480="ATTENTION CHECK","Attention check failed",IF(J480="STRAIGHTLINE REVIEW","Straightlining review threshold met","Missing scored item(s)"))))))</x:f>
      </x:c>
      <x:c r="M480" s="119"/>
      <x:c r="N480" s="119"/>
      <x:c r="O480" s="119"/>
      <x:c r="P480" s="119"/>
      <x:c r="Q480" s="119"/>
      <x:c r="R480" s="119"/>
      <x:c r="S480" s="119"/>
      <x:c r="T480" s="119"/>
      <x:c r="U480" s="119"/>
      <x:c r="V480" s="119"/>
      <x:c r="W480" s="119"/>
      <x:c r="X480" s="119"/>
      <x:c r="Y480" s="133" t="str">
        <x:f>IF(K480&lt;&gt;"Yes","",IFERROR(AVERAGE(M480:X480),""))</x:f>
      </x:c>
      <x:c r="Z480" s="119"/>
    </x:row>
    <x:row r="481">
      <x:c r="A481" s="119"/>
      <x:c r="B481" s="119"/>
      <x:c r="C481" s="119"/>
      <x:c r="D481" s="119"/>
      <x:c r="E481" s="119"/>
      <x:c r="F481" s="119"/>
      <x:c r="G481" s="119"/>
      <x:c r="H481" s="130" t="str">
        <x:f>IF(A481="","",IF(AND(COUNTA(M481:X481)&gt;=SETUP!$B$10,COUNTIF(M481:X481,MAX(M481:X481))=COUNTA(M481:X481)),"Yes","No"))</x:f>
      </x:c>
      <x:c r="I481" s="130" t="str">
        <x:f>IF(A481="","",IF('SURVEY DESIGN'!C481&lt;&gt;"",--(M481=""),0)+IF('SURVEY DESIGN'!C482&lt;&gt;"",--(N481=""),0)+IF('SURVEY DESIGN'!C483&lt;&gt;"",--(O481=""),0)+IF('SURVEY DESIGN'!C484&lt;&gt;"",--(P481=""),0)+IF('SURVEY DESIGN'!C485&lt;&gt;"",--(Q481=""),0)+IF('SURVEY DESIGN'!C486&lt;&gt;"",--(R481=""),0)+IF('SURVEY DESIGN'!C487&lt;&gt;"",--(S481=""),0)+IF('SURVEY DESIGN'!C488&lt;&gt;"",--(T481=""),0)+IF('SURVEY DESIGN'!C489&lt;&gt;"",--(U481=""),0)+IF('SURVEY DESIGN'!C490&lt;&gt;"",--(V481=""),0)+IF('SURVEY DESIGN'!C491&lt;&gt;"",--(W481=""),0)+IF('SURVEY DESIGN'!C492&lt;&gt;"",--(X481=""),0))</x:f>
      </x:c>
      <x:c r="J481" s="130" t="str">
        <x:f>IF(A481="","",IF(C481&lt;&gt;"Yes","NO CONSENT",IF(F481&lt;SETUP!$B$9,"SPEEDING",IF(G481&lt;&gt;"Yes","ATTENTION CHECK",IF(H481="Yes","STRAIGHTLINE REVIEW",IF(I481&gt;0,"MISSING ITEMS","OK"))))))</x:f>
      </x:c>
      <x:c r="K481" s="130" t="str">
        <x:f>IF(A481="","",IF(J481="OK","Yes","No"))</x:f>
      </x:c>
      <x:c r="L481" s="130" t="str">
        <x:f>IF(A481="","",IF(J481="OK","",IF(J481="NO CONSENT","Consent not affirmed",IF(J481="SPEEDING","Completion time below threshold",IF(J481="ATTENTION CHECK","Attention check failed",IF(J481="STRAIGHTLINE REVIEW","Straightlining review threshold met","Missing scored item(s)"))))))</x:f>
      </x:c>
      <x:c r="M481" s="119"/>
      <x:c r="N481" s="119"/>
      <x:c r="O481" s="119"/>
      <x:c r="P481" s="119"/>
      <x:c r="Q481" s="119"/>
      <x:c r="R481" s="119"/>
      <x:c r="S481" s="119"/>
      <x:c r="T481" s="119"/>
      <x:c r="U481" s="119"/>
      <x:c r="V481" s="119"/>
      <x:c r="W481" s="119"/>
      <x:c r="X481" s="119"/>
      <x:c r="Y481" s="133" t="str">
        <x:f>IF(K481&lt;&gt;"Yes","",IFERROR(AVERAGE(M481:X481),""))</x:f>
      </x:c>
      <x:c r="Z481" s="119"/>
    </x:row>
    <x:row r="482">
      <x:c r="A482" s="119"/>
      <x:c r="B482" s="119"/>
      <x:c r="C482" s="119"/>
      <x:c r="D482" s="119"/>
      <x:c r="E482" s="119"/>
      <x:c r="F482" s="119"/>
      <x:c r="G482" s="119"/>
      <x:c r="H482" s="130" t="str">
        <x:f>IF(A482="","",IF(AND(COUNTA(M482:X482)&gt;=SETUP!$B$10,COUNTIF(M482:X482,MAX(M482:X482))=COUNTA(M482:X482)),"Yes","No"))</x:f>
      </x:c>
      <x:c r="I482" s="130" t="str">
        <x:f>IF(A482="","",IF('SURVEY DESIGN'!C482&lt;&gt;"",--(M482=""),0)+IF('SURVEY DESIGN'!C483&lt;&gt;"",--(N482=""),0)+IF('SURVEY DESIGN'!C484&lt;&gt;"",--(O482=""),0)+IF('SURVEY DESIGN'!C485&lt;&gt;"",--(P482=""),0)+IF('SURVEY DESIGN'!C486&lt;&gt;"",--(Q482=""),0)+IF('SURVEY DESIGN'!C487&lt;&gt;"",--(R482=""),0)+IF('SURVEY DESIGN'!C488&lt;&gt;"",--(S482=""),0)+IF('SURVEY DESIGN'!C489&lt;&gt;"",--(T482=""),0)+IF('SURVEY DESIGN'!C490&lt;&gt;"",--(U482=""),0)+IF('SURVEY DESIGN'!C491&lt;&gt;"",--(V482=""),0)+IF('SURVEY DESIGN'!C492&lt;&gt;"",--(W482=""),0)+IF('SURVEY DESIGN'!C493&lt;&gt;"",--(X482=""),0))</x:f>
      </x:c>
      <x:c r="J482" s="130" t="str">
        <x:f>IF(A482="","",IF(C482&lt;&gt;"Yes","NO CONSENT",IF(F482&lt;SETUP!$B$9,"SPEEDING",IF(G482&lt;&gt;"Yes","ATTENTION CHECK",IF(H482="Yes","STRAIGHTLINE REVIEW",IF(I482&gt;0,"MISSING ITEMS","OK"))))))</x:f>
      </x:c>
      <x:c r="K482" s="130" t="str">
        <x:f>IF(A482="","",IF(J482="OK","Yes","No"))</x:f>
      </x:c>
      <x:c r="L482" s="130" t="str">
        <x:f>IF(A482="","",IF(J482="OK","",IF(J482="NO CONSENT","Consent not affirmed",IF(J482="SPEEDING","Completion time below threshold",IF(J482="ATTENTION CHECK","Attention check failed",IF(J482="STRAIGHTLINE REVIEW","Straightlining review threshold met","Missing scored item(s)"))))))</x:f>
      </x:c>
      <x:c r="M482" s="119"/>
      <x:c r="N482" s="119"/>
      <x:c r="O482" s="119"/>
      <x:c r="P482" s="119"/>
      <x:c r="Q482" s="119"/>
      <x:c r="R482" s="119"/>
      <x:c r="S482" s="119"/>
      <x:c r="T482" s="119"/>
      <x:c r="U482" s="119"/>
      <x:c r="V482" s="119"/>
      <x:c r="W482" s="119"/>
      <x:c r="X482" s="119"/>
      <x:c r="Y482" s="133" t="str">
        <x:f>IF(K482&lt;&gt;"Yes","",IFERROR(AVERAGE(M482:X482),""))</x:f>
      </x:c>
      <x:c r="Z482" s="119"/>
    </x:row>
    <x:row r="483">
      <x:c r="A483" s="119"/>
      <x:c r="B483" s="119"/>
      <x:c r="C483" s="119"/>
      <x:c r="D483" s="119"/>
      <x:c r="E483" s="119"/>
      <x:c r="F483" s="119"/>
      <x:c r="G483" s="119"/>
      <x:c r="H483" s="130" t="str">
        <x:f>IF(A483="","",IF(AND(COUNTA(M483:X483)&gt;=SETUP!$B$10,COUNTIF(M483:X483,MAX(M483:X483))=COUNTA(M483:X483)),"Yes","No"))</x:f>
      </x:c>
      <x:c r="I483" s="130" t="str">
        <x:f>IF(A483="","",IF('SURVEY DESIGN'!C483&lt;&gt;"",--(M483=""),0)+IF('SURVEY DESIGN'!C484&lt;&gt;"",--(N483=""),0)+IF('SURVEY DESIGN'!C485&lt;&gt;"",--(O483=""),0)+IF('SURVEY DESIGN'!C486&lt;&gt;"",--(P483=""),0)+IF('SURVEY DESIGN'!C487&lt;&gt;"",--(Q483=""),0)+IF('SURVEY DESIGN'!C488&lt;&gt;"",--(R483=""),0)+IF('SURVEY DESIGN'!C489&lt;&gt;"",--(S483=""),0)+IF('SURVEY DESIGN'!C490&lt;&gt;"",--(T483=""),0)+IF('SURVEY DESIGN'!C491&lt;&gt;"",--(U483=""),0)+IF('SURVEY DESIGN'!C492&lt;&gt;"",--(V483=""),0)+IF('SURVEY DESIGN'!C493&lt;&gt;"",--(W483=""),0)+IF('SURVEY DESIGN'!C494&lt;&gt;"",--(X483=""),0))</x:f>
      </x:c>
      <x:c r="J483" s="130" t="str">
        <x:f>IF(A483="","",IF(C483&lt;&gt;"Yes","NO CONSENT",IF(F483&lt;SETUP!$B$9,"SPEEDING",IF(G483&lt;&gt;"Yes","ATTENTION CHECK",IF(H483="Yes","STRAIGHTLINE REVIEW",IF(I483&gt;0,"MISSING ITEMS","OK"))))))</x:f>
      </x:c>
      <x:c r="K483" s="130" t="str">
        <x:f>IF(A483="","",IF(J483="OK","Yes","No"))</x:f>
      </x:c>
      <x:c r="L483" s="130" t="str">
        <x:f>IF(A483="","",IF(J483="OK","",IF(J483="NO CONSENT","Consent not affirmed",IF(J483="SPEEDING","Completion time below threshold",IF(J483="ATTENTION CHECK","Attention check failed",IF(J483="STRAIGHTLINE REVIEW","Straightlining review threshold met","Missing scored item(s)"))))))</x:f>
      </x:c>
      <x:c r="M483" s="119"/>
      <x:c r="N483" s="119"/>
      <x:c r="O483" s="119"/>
      <x:c r="P483" s="119"/>
      <x:c r="Q483" s="119"/>
      <x:c r="R483" s="119"/>
      <x:c r="S483" s="119"/>
      <x:c r="T483" s="119"/>
      <x:c r="U483" s="119"/>
      <x:c r="V483" s="119"/>
      <x:c r="W483" s="119"/>
      <x:c r="X483" s="119"/>
      <x:c r="Y483" s="133" t="str">
        <x:f>IF(K483&lt;&gt;"Yes","",IFERROR(AVERAGE(M483:X483),""))</x:f>
      </x:c>
      <x:c r="Z483" s="119"/>
    </x:row>
    <x:row r="484">
      <x:c r="A484" s="119"/>
      <x:c r="B484" s="119"/>
      <x:c r="C484" s="119"/>
      <x:c r="D484" s="119"/>
      <x:c r="E484" s="119"/>
      <x:c r="F484" s="119"/>
      <x:c r="G484" s="119"/>
      <x:c r="H484" s="130" t="str">
        <x:f>IF(A484="","",IF(AND(COUNTA(M484:X484)&gt;=SETUP!$B$10,COUNTIF(M484:X484,MAX(M484:X484))=COUNTA(M484:X484)),"Yes","No"))</x:f>
      </x:c>
      <x:c r="I484" s="130" t="str">
        <x:f>IF(A484="","",IF('SURVEY DESIGN'!C484&lt;&gt;"",--(M484=""),0)+IF('SURVEY DESIGN'!C485&lt;&gt;"",--(N484=""),0)+IF('SURVEY DESIGN'!C486&lt;&gt;"",--(O484=""),0)+IF('SURVEY DESIGN'!C487&lt;&gt;"",--(P484=""),0)+IF('SURVEY DESIGN'!C488&lt;&gt;"",--(Q484=""),0)+IF('SURVEY DESIGN'!C489&lt;&gt;"",--(R484=""),0)+IF('SURVEY DESIGN'!C490&lt;&gt;"",--(S484=""),0)+IF('SURVEY DESIGN'!C491&lt;&gt;"",--(T484=""),0)+IF('SURVEY DESIGN'!C492&lt;&gt;"",--(U484=""),0)+IF('SURVEY DESIGN'!C493&lt;&gt;"",--(V484=""),0)+IF('SURVEY DESIGN'!C494&lt;&gt;"",--(W484=""),0)+IF('SURVEY DESIGN'!C495&lt;&gt;"",--(X484=""),0))</x:f>
      </x:c>
      <x:c r="J484" s="130" t="str">
        <x:f>IF(A484="","",IF(C484&lt;&gt;"Yes","NO CONSENT",IF(F484&lt;SETUP!$B$9,"SPEEDING",IF(G484&lt;&gt;"Yes","ATTENTION CHECK",IF(H484="Yes","STRAIGHTLINE REVIEW",IF(I484&gt;0,"MISSING ITEMS","OK"))))))</x:f>
      </x:c>
      <x:c r="K484" s="130" t="str">
        <x:f>IF(A484="","",IF(J484="OK","Yes","No"))</x:f>
      </x:c>
      <x:c r="L484" s="130" t="str">
        <x:f>IF(A484="","",IF(J484="OK","",IF(J484="NO CONSENT","Consent not affirmed",IF(J484="SPEEDING","Completion time below threshold",IF(J484="ATTENTION CHECK","Attention check failed",IF(J484="STRAIGHTLINE REVIEW","Straightlining review threshold met","Missing scored item(s)"))))))</x:f>
      </x:c>
      <x:c r="M484" s="119"/>
      <x:c r="N484" s="119"/>
      <x:c r="O484" s="119"/>
      <x:c r="P484" s="119"/>
      <x:c r="Q484" s="119"/>
      <x:c r="R484" s="119"/>
      <x:c r="S484" s="119"/>
      <x:c r="T484" s="119"/>
      <x:c r="U484" s="119"/>
      <x:c r="V484" s="119"/>
      <x:c r="W484" s="119"/>
      <x:c r="X484" s="119"/>
      <x:c r="Y484" s="133" t="str">
        <x:f>IF(K484&lt;&gt;"Yes","",IFERROR(AVERAGE(M484:X484),""))</x:f>
      </x:c>
      <x:c r="Z484" s="119"/>
    </x:row>
    <x:row r="485">
      <x:c r="A485" s="119"/>
      <x:c r="B485" s="119"/>
      <x:c r="C485" s="119"/>
      <x:c r="D485" s="119"/>
      <x:c r="E485" s="119"/>
      <x:c r="F485" s="119"/>
      <x:c r="G485" s="119"/>
      <x:c r="H485" s="130" t="str">
        <x:f>IF(A485="","",IF(AND(COUNTA(M485:X485)&gt;=SETUP!$B$10,COUNTIF(M485:X485,MAX(M485:X485))=COUNTA(M485:X485)),"Yes","No"))</x:f>
      </x:c>
      <x:c r="I485" s="130" t="str">
        <x:f>IF(A485="","",IF('SURVEY DESIGN'!C485&lt;&gt;"",--(M485=""),0)+IF('SURVEY DESIGN'!C486&lt;&gt;"",--(N485=""),0)+IF('SURVEY DESIGN'!C487&lt;&gt;"",--(O485=""),0)+IF('SURVEY DESIGN'!C488&lt;&gt;"",--(P485=""),0)+IF('SURVEY DESIGN'!C489&lt;&gt;"",--(Q485=""),0)+IF('SURVEY DESIGN'!C490&lt;&gt;"",--(R485=""),0)+IF('SURVEY DESIGN'!C491&lt;&gt;"",--(S485=""),0)+IF('SURVEY DESIGN'!C492&lt;&gt;"",--(T485=""),0)+IF('SURVEY DESIGN'!C493&lt;&gt;"",--(U485=""),0)+IF('SURVEY DESIGN'!C494&lt;&gt;"",--(V485=""),0)+IF('SURVEY DESIGN'!C495&lt;&gt;"",--(W485=""),0)+IF('SURVEY DESIGN'!C496&lt;&gt;"",--(X485=""),0))</x:f>
      </x:c>
      <x:c r="J485" s="130" t="str">
        <x:f>IF(A485="","",IF(C485&lt;&gt;"Yes","NO CONSENT",IF(F485&lt;SETUP!$B$9,"SPEEDING",IF(G485&lt;&gt;"Yes","ATTENTION CHECK",IF(H485="Yes","STRAIGHTLINE REVIEW",IF(I485&gt;0,"MISSING ITEMS","OK"))))))</x:f>
      </x:c>
      <x:c r="K485" s="130" t="str">
        <x:f>IF(A485="","",IF(J485="OK","Yes","No"))</x:f>
      </x:c>
      <x:c r="L485" s="130" t="str">
        <x:f>IF(A485="","",IF(J485="OK","",IF(J485="NO CONSENT","Consent not affirmed",IF(J485="SPEEDING","Completion time below threshold",IF(J485="ATTENTION CHECK","Attention check failed",IF(J485="STRAIGHTLINE REVIEW","Straightlining review threshold met","Missing scored item(s)"))))))</x:f>
      </x:c>
      <x:c r="M485" s="119"/>
      <x:c r="N485" s="119"/>
      <x:c r="O485" s="119"/>
      <x:c r="P485" s="119"/>
      <x:c r="Q485" s="119"/>
      <x:c r="R485" s="119"/>
      <x:c r="S485" s="119"/>
      <x:c r="T485" s="119"/>
      <x:c r="U485" s="119"/>
      <x:c r="V485" s="119"/>
      <x:c r="W485" s="119"/>
      <x:c r="X485" s="119"/>
      <x:c r="Y485" s="133" t="str">
        <x:f>IF(K485&lt;&gt;"Yes","",IFERROR(AVERAGE(M485:X485),""))</x:f>
      </x:c>
      <x:c r="Z485" s="119"/>
    </x:row>
    <x:row r="486">
      <x:c r="A486" s="119"/>
      <x:c r="B486" s="119"/>
      <x:c r="C486" s="119"/>
      <x:c r="D486" s="119"/>
      <x:c r="E486" s="119"/>
      <x:c r="F486" s="119"/>
      <x:c r="G486" s="119"/>
      <x:c r="H486" s="130" t="str">
        <x:f>IF(A486="","",IF(AND(COUNTA(M486:X486)&gt;=SETUP!$B$10,COUNTIF(M486:X486,MAX(M486:X486))=COUNTA(M486:X486)),"Yes","No"))</x:f>
      </x:c>
      <x:c r="I486" s="130" t="str">
        <x:f>IF(A486="","",IF('SURVEY DESIGN'!C486&lt;&gt;"",--(M486=""),0)+IF('SURVEY DESIGN'!C487&lt;&gt;"",--(N486=""),0)+IF('SURVEY DESIGN'!C488&lt;&gt;"",--(O486=""),0)+IF('SURVEY DESIGN'!C489&lt;&gt;"",--(P486=""),0)+IF('SURVEY DESIGN'!C490&lt;&gt;"",--(Q486=""),0)+IF('SURVEY DESIGN'!C491&lt;&gt;"",--(R486=""),0)+IF('SURVEY DESIGN'!C492&lt;&gt;"",--(S486=""),0)+IF('SURVEY DESIGN'!C493&lt;&gt;"",--(T486=""),0)+IF('SURVEY DESIGN'!C494&lt;&gt;"",--(U486=""),0)+IF('SURVEY DESIGN'!C495&lt;&gt;"",--(V486=""),0)+IF('SURVEY DESIGN'!C496&lt;&gt;"",--(W486=""),0)+IF('SURVEY DESIGN'!C497&lt;&gt;"",--(X486=""),0))</x:f>
      </x:c>
      <x:c r="J486" s="130" t="str">
        <x:f>IF(A486="","",IF(C486&lt;&gt;"Yes","NO CONSENT",IF(F486&lt;SETUP!$B$9,"SPEEDING",IF(G486&lt;&gt;"Yes","ATTENTION CHECK",IF(H486="Yes","STRAIGHTLINE REVIEW",IF(I486&gt;0,"MISSING ITEMS","OK"))))))</x:f>
      </x:c>
      <x:c r="K486" s="130" t="str">
        <x:f>IF(A486="","",IF(J486="OK","Yes","No"))</x:f>
      </x:c>
      <x:c r="L486" s="130" t="str">
        <x:f>IF(A486="","",IF(J486="OK","",IF(J486="NO CONSENT","Consent not affirmed",IF(J486="SPEEDING","Completion time below threshold",IF(J486="ATTENTION CHECK","Attention check failed",IF(J486="STRAIGHTLINE REVIEW","Straightlining review threshold met","Missing scored item(s)"))))))</x:f>
      </x:c>
      <x:c r="M486" s="119"/>
      <x:c r="N486" s="119"/>
      <x:c r="O486" s="119"/>
      <x:c r="P486" s="119"/>
      <x:c r="Q486" s="119"/>
      <x:c r="R486" s="119"/>
      <x:c r="S486" s="119"/>
      <x:c r="T486" s="119"/>
      <x:c r="U486" s="119"/>
      <x:c r="V486" s="119"/>
      <x:c r="W486" s="119"/>
      <x:c r="X486" s="119"/>
      <x:c r="Y486" s="133" t="str">
        <x:f>IF(K486&lt;&gt;"Yes","",IFERROR(AVERAGE(M486:X486),""))</x:f>
      </x:c>
      <x:c r="Z486" s="119"/>
    </x:row>
    <x:row r="487">
      <x:c r="A487" s="119"/>
      <x:c r="B487" s="119"/>
      <x:c r="C487" s="119"/>
      <x:c r="D487" s="119"/>
      <x:c r="E487" s="119"/>
      <x:c r="F487" s="119"/>
      <x:c r="G487" s="119"/>
      <x:c r="H487" s="130" t="str">
        <x:f>IF(A487="","",IF(AND(COUNTA(M487:X487)&gt;=SETUP!$B$10,COUNTIF(M487:X487,MAX(M487:X487))=COUNTA(M487:X487)),"Yes","No"))</x:f>
      </x:c>
      <x:c r="I487" s="130" t="str">
        <x:f>IF(A487="","",IF('SURVEY DESIGN'!C487&lt;&gt;"",--(M487=""),0)+IF('SURVEY DESIGN'!C488&lt;&gt;"",--(N487=""),0)+IF('SURVEY DESIGN'!C489&lt;&gt;"",--(O487=""),0)+IF('SURVEY DESIGN'!C490&lt;&gt;"",--(P487=""),0)+IF('SURVEY DESIGN'!C491&lt;&gt;"",--(Q487=""),0)+IF('SURVEY DESIGN'!C492&lt;&gt;"",--(R487=""),0)+IF('SURVEY DESIGN'!C493&lt;&gt;"",--(S487=""),0)+IF('SURVEY DESIGN'!C494&lt;&gt;"",--(T487=""),0)+IF('SURVEY DESIGN'!C495&lt;&gt;"",--(U487=""),0)+IF('SURVEY DESIGN'!C496&lt;&gt;"",--(V487=""),0)+IF('SURVEY DESIGN'!C497&lt;&gt;"",--(W487=""),0)+IF('SURVEY DESIGN'!C498&lt;&gt;"",--(X487=""),0))</x:f>
      </x:c>
      <x:c r="J487" s="130" t="str">
        <x:f>IF(A487="","",IF(C487&lt;&gt;"Yes","NO CONSENT",IF(F487&lt;SETUP!$B$9,"SPEEDING",IF(G487&lt;&gt;"Yes","ATTENTION CHECK",IF(H487="Yes","STRAIGHTLINE REVIEW",IF(I487&gt;0,"MISSING ITEMS","OK"))))))</x:f>
      </x:c>
      <x:c r="K487" s="130" t="str">
        <x:f>IF(A487="","",IF(J487="OK","Yes","No"))</x:f>
      </x:c>
      <x:c r="L487" s="130" t="str">
        <x:f>IF(A487="","",IF(J487="OK","",IF(J487="NO CONSENT","Consent not affirmed",IF(J487="SPEEDING","Completion time below threshold",IF(J487="ATTENTION CHECK","Attention check failed",IF(J487="STRAIGHTLINE REVIEW","Straightlining review threshold met","Missing scored item(s)"))))))</x:f>
      </x:c>
      <x:c r="M487" s="119"/>
      <x:c r="N487" s="119"/>
      <x:c r="O487" s="119"/>
      <x:c r="P487" s="119"/>
      <x:c r="Q487" s="119"/>
      <x:c r="R487" s="119"/>
      <x:c r="S487" s="119"/>
      <x:c r="T487" s="119"/>
      <x:c r="U487" s="119"/>
      <x:c r="V487" s="119"/>
      <x:c r="W487" s="119"/>
      <x:c r="X487" s="119"/>
      <x:c r="Y487" s="133" t="str">
        <x:f>IF(K487&lt;&gt;"Yes","",IFERROR(AVERAGE(M487:X487),""))</x:f>
      </x:c>
      <x:c r="Z487" s="119"/>
    </x:row>
    <x:row r="488">
      <x:c r="A488" s="119"/>
      <x:c r="B488" s="119"/>
      <x:c r="C488" s="119"/>
      <x:c r="D488" s="119"/>
      <x:c r="E488" s="119"/>
      <x:c r="F488" s="119"/>
      <x:c r="G488" s="119"/>
      <x:c r="H488" s="130" t="str">
        <x:f>IF(A488="","",IF(AND(COUNTA(M488:X488)&gt;=SETUP!$B$10,COUNTIF(M488:X488,MAX(M488:X488))=COUNTA(M488:X488)),"Yes","No"))</x:f>
      </x:c>
      <x:c r="I488" s="130" t="str">
        <x:f>IF(A488="","",IF('SURVEY DESIGN'!C488&lt;&gt;"",--(M488=""),0)+IF('SURVEY DESIGN'!C489&lt;&gt;"",--(N488=""),0)+IF('SURVEY DESIGN'!C490&lt;&gt;"",--(O488=""),0)+IF('SURVEY DESIGN'!C491&lt;&gt;"",--(P488=""),0)+IF('SURVEY DESIGN'!C492&lt;&gt;"",--(Q488=""),0)+IF('SURVEY DESIGN'!C493&lt;&gt;"",--(R488=""),0)+IF('SURVEY DESIGN'!C494&lt;&gt;"",--(S488=""),0)+IF('SURVEY DESIGN'!C495&lt;&gt;"",--(T488=""),0)+IF('SURVEY DESIGN'!C496&lt;&gt;"",--(U488=""),0)+IF('SURVEY DESIGN'!C497&lt;&gt;"",--(V488=""),0)+IF('SURVEY DESIGN'!C498&lt;&gt;"",--(W488=""),0)+IF('SURVEY DESIGN'!C499&lt;&gt;"",--(X488=""),0))</x:f>
      </x:c>
      <x:c r="J488" s="130" t="str">
        <x:f>IF(A488="","",IF(C488&lt;&gt;"Yes","NO CONSENT",IF(F488&lt;SETUP!$B$9,"SPEEDING",IF(G488&lt;&gt;"Yes","ATTENTION CHECK",IF(H488="Yes","STRAIGHTLINE REVIEW",IF(I488&gt;0,"MISSING ITEMS","OK"))))))</x:f>
      </x:c>
      <x:c r="K488" s="130" t="str">
        <x:f>IF(A488="","",IF(J488="OK","Yes","No"))</x:f>
      </x:c>
      <x:c r="L488" s="130" t="str">
        <x:f>IF(A488="","",IF(J488="OK","",IF(J488="NO CONSENT","Consent not affirmed",IF(J488="SPEEDING","Completion time below threshold",IF(J488="ATTENTION CHECK","Attention check failed",IF(J488="STRAIGHTLINE REVIEW","Straightlining review threshold met","Missing scored item(s)"))))))</x:f>
      </x:c>
      <x:c r="M488" s="119"/>
      <x:c r="N488" s="119"/>
      <x:c r="O488" s="119"/>
      <x:c r="P488" s="119"/>
      <x:c r="Q488" s="119"/>
      <x:c r="R488" s="119"/>
      <x:c r="S488" s="119"/>
      <x:c r="T488" s="119"/>
      <x:c r="U488" s="119"/>
      <x:c r="V488" s="119"/>
      <x:c r="W488" s="119"/>
      <x:c r="X488" s="119"/>
      <x:c r="Y488" s="133" t="str">
        <x:f>IF(K488&lt;&gt;"Yes","",IFERROR(AVERAGE(M488:X488),""))</x:f>
      </x:c>
      <x:c r="Z488" s="119"/>
    </x:row>
    <x:row r="489">
      <x:c r="A489" s="119"/>
      <x:c r="B489" s="119"/>
      <x:c r="C489" s="119"/>
      <x:c r="D489" s="119"/>
      <x:c r="E489" s="119"/>
      <x:c r="F489" s="119"/>
      <x:c r="G489" s="119"/>
      <x:c r="H489" s="130" t="str">
        <x:f>IF(A489="","",IF(AND(COUNTA(M489:X489)&gt;=SETUP!$B$10,COUNTIF(M489:X489,MAX(M489:X489))=COUNTA(M489:X489)),"Yes","No"))</x:f>
      </x:c>
      <x:c r="I489" s="130" t="str">
        <x:f>IF(A489="","",IF('SURVEY DESIGN'!C489&lt;&gt;"",--(M489=""),0)+IF('SURVEY DESIGN'!C490&lt;&gt;"",--(N489=""),0)+IF('SURVEY DESIGN'!C491&lt;&gt;"",--(O489=""),0)+IF('SURVEY DESIGN'!C492&lt;&gt;"",--(P489=""),0)+IF('SURVEY DESIGN'!C493&lt;&gt;"",--(Q489=""),0)+IF('SURVEY DESIGN'!C494&lt;&gt;"",--(R489=""),0)+IF('SURVEY DESIGN'!C495&lt;&gt;"",--(S489=""),0)+IF('SURVEY DESIGN'!C496&lt;&gt;"",--(T489=""),0)+IF('SURVEY DESIGN'!C497&lt;&gt;"",--(U489=""),0)+IF('SURVEY DESIGN'!C498&lt;&gt;"",--(V489=""),0)+IF('SURVEY DESIGN'!C499&lt;&gt;"",--(W489=""),0)+IF('SURVEY DESIGN'!C500&lt;&gt;"",--(X489=""),0))</x:f>
      </x:c>
      <x:c r="J489" s="130" t="str">
        <x:f>IF(A489="","",IF(C489&lt;&gt;"Yes","NO CONSENT",IF(F489&lt;SETUP!$B$9,"SPEEDING",IF(G489&lt;&gt;"Yes","ATTENTION CHECK",IF(H489="Yes","STRAIGHTLINE REVIEW",IF(I489&gt;0,"MISSING ITEMS","OK"))))))</x:f>
      </x:c>
      <x:c r="K489" s="130" t="str">
        <x:f>IF(A489="","",IF(J489="OK","Yes","No"))</x:f>
      </x:c>
      <x:c r="L489" s="130" t="str">
        <x:f>IF(A489="","",IF(J489="OK","",IF(J489="NO CONSENT","Consent not affirmed",IF(J489="SPEEDING","Completion time below threshold",IF(J489="ATTENTION CHECK","Attention check failed",IF(J489="STRAIGHTLINE REVIEW","Straightlining review threshold met","Missing scored item(s)"))))))</x:f>
      </x:c>
      <x:c r="M489" s="119"/>
      <x:c r="N489" s="119"/>
      <x:c r="O489" s="119"/>
      <x:c r="P489" s="119"/>
      <x:c r="Q489" s="119"/>
      <x:c r="R489" s="119"/>
      <x:c r="S489" s="119"/>
      <x:c r="T489" s="119"/>
      <x:c r="U489" s="119"/>
      <x:c r="V489" s="119"/>
      <x:c r="W489" s="119"/>
      <x:c r="X489" s="119"/>
      <x:c r="Y489" s="133" t="str">
        <x:f>IF(K489&lt;&gt;"Yes","",IFERROR(AVERAGE(M489:X489),""))</x:f>
      </x:c>
      <x:c r="Z489" s="119"/>
    </x:row>
    <x:row r="490">
      <x:c r="A490" s="119"/>
      <x:c r="B490" s="119"/>
      <x:c r="C490" s="119"/>
      <x:c r="D490" s="119"/>
      <x:c r="E490" s="119"/>
      <x:c r="F490" s="119"/>
      <x:c r="G490" s="119"/>
      <x:c r="H490" s="130" t="str">
        <x:f>IF(A490="","",IF(AND(COUNTA(M490:X490)&gt;=SETUP!$B$10,COUNTIF(M490:X490,MAX(M490:X490))=COUNTA(M490:X490)),"Yes","No"))</x:f>
      </x:c>
      <x:c r="I490" s="130" t="str">
        <x:f>IF(A490="","",IF('SURVEY DESIGN'!C490&lt;&gt;"",--(M490=""),0)+IF('SURVEY DESIGN'!C491&lt;&gt;"",--(N490=""),0)+IF('SURVEY DESIGN'!C492&lt;&gt;"",--(O490=""),0)+IF('SURVEY DESIGN'!C493&lt;&gt;"",--(P490=""),0)+IF('SURVEY DESIGN'!C494&lt;&gt;"",--(Q490=""),0)+IF('SURVEY DESIGN'!C495&lt;&gt;"",--(R490=""),0)+IF('SURVEY DESIGN'!C496&lt;&gt;"",--(S490=""),0)+IF('SURVEY DESIGN'!C497&lt;&gt;"",--(T490=""),0)+IF('SURVEY DESIGN'!C498&lt;&gt;"",--(U490=""),0)+IF('SURVEY DESIGN'!C499&lt;&gt;"",--(V490=""),0)+IF('SURVEY DESIGN'!C500&lt;&gt;"",--(W490=""),0)+IF('SURVEY DESIGN'!C501&lt;&gt;"",--(X490=""),0))</x:f>
      </x:c>
      <x:c r="J490" s="130" t="str">
        <x:f>IF(A490="","",IF(C490&lt;&gt;"Yes","NO CONSENT",IF(F490&lt;SETUP!$B$9,"SPEEDING",IF(G490&lt;&gt;"Yes","ATTENTION CHECK",IF(H490="Yes","STRAIGHTLINE REVIEW",IF(I490&gt;0,"MISSING ITEMS","OK"))))))</x:f>
      </x:c>
      <x:c r="K490" s="130" t="str">
        <x:f>IF(A490="","",IF(J490="OK","Yes","No"))</x:f>
      </x:c>
      <x:c r="L490" s="130" t="str">
        <x:f>IF(A490="","",IF(J490="OK","",IF(J490="NO CONSENT","Consent not affirmed",IF(J490="SPEEDING","Completion time below threshold",IF(J490="ATTENTION CHECK","Attention check failed",IF(J490="STRAIGHTLINE REVIEW","Straightlining review threshold met","Missing scored item(s)"))))))</x:f>
      </x:c>
      <x:c r="M490" s="119"/>
      <x:c r="N490" s="119"/>
      <x:c r="O490" s="119"/>
      <x:c r="P490" s="119"/>
      <x:c r="Q490" s="119"/>
      <x:c r="R490" s="119"/>
      <x:c r="S490" s="119"/>
      <x:c r="T490" s="119"/>
      <x:c r="U490" s="119"/>
      <x:c r="V490" s="119"/>
      <x:c r="W490" s="119"/>
      <x:c r="X490" s="119"/>
      <x:c r="Y490" s="133" t="str">
        <x:f>IF(K490&lt;&gt;"Yes","",IFERROR(AVERAGE(M490:X490),""))</x:f>
      </x:c>
      <x:c r="Z490" s="119"/>
    </x:row>
    <x:row r="491">
      <x:c r="A491" s="119"/>
      <x:c r="B491" s="119"/>
      <x:c r="C491" s="119"/>
      <x:c r="D491" s="119"/>
      <x:c r="E491" s="119"/>
      <x:c r="F491" s="119"/>
      <x:c r="G491" s="119"/>
      <x:c r="H491" s="130" t="str">
        <x:f>IF(A491="","",IF(AND(COUNTA(M491:X491)&gt;=SETUP!$B$10,COUNTIF(M491:X491,MAX(M491:X491))=COUNTA(M491:X491)),"Yes","No"))</x:f>
      </x:c>
      <x:c r="I491" s="130" t="str">
        <x:f>IF(A491="","",IF('SURVEY DESIGN'!C491&lt;&gt;"",--(M491=""),0)+IF('SURVEY DESIGN'!C492&lt;&gt;"",--(N491=""),0)+IF('SURVEY DESIGN'!C493&lt;&gt;"",--(O491=""),0)+IF('SURVEY DESIGN'!C494&lt;&gt;"",--(P491=""),0)+IF('SURVEY DESIGN'!C495&lt;&gt;"",--(Q491=""),0)+IF('SURVEY DESIGN'!C496&lt;&gt;"",--(R491=""),0)+IF('SURVEY DESIGN'!C497&lt;&gt;"",--(S491=""),0)+IF('SURVEY DESIGN'!C498&lt;&gt;"",--(T491=""),0)+IF('SURVEY DESIGN'!C499&lt;&gt;"",--(U491=""),0)+IF('SURVEY DESIGN'!C500&lt;&gt;"",--(V491=""),0)+IF('SURVEY DESIGN'!C501&lt;&gt;"",--(W491=""),0)+IF('SURVEY DESIGN'!C502&lt;&gt;"",--(X491=""),0))</x:f>
      </x:c>
      <x:c r="J491" s="130" t="str">
        <x:f>IF(A491="","",IF(C491&lt;&gt;"Yes","NO CONSENT",IF(F491&lt;SETUP!$B$9,"SPEEDING",IF(G491&lt;&gt;"Yes","ATTENTION CHECK",IF(H491="Yes","STRAIGHTLINE REVIEW",IF(I491&gt;0,"MISSING ITEMS","OK"))))))</x:f>
      </x:c>
      <x:c r="K491" s="130" t="str">
        <x:f>IF(A491="","",IF(J491="OK","Yes","No"))</x:f>
      </x:c>
      <x:c r="L491" s="130" t="str">
        <x:f>IF(A491="","",IF(J491="OK","",IF(J491="NO CONSENT","Consent not affirmed",IF(J491="SPEEDING","Completion time below threshold",IF(J491="ATTENTION CHECK","Attention check failed",IF(J491="STRAIGHTLINE REVIEW","Straightlining review threshold met","Missing scored item(s)"))))))</x:f>
      </x:c>
      <x:c r="M491" s="119"/>
      <x:c r="N491" s="119"/>
      <x:c r="O491" s="119"/>
      <x:c r="P491" s="119"/>
      <x:c r="Q491" s="119"/>
      <x:c r="R491" s="119"/>
      <x:c r="S491" s="119"/>
      <x:c r="T491" s="119"/>
      <x:c r="U491" s="119"/>
      <x:c r="V491" s="119"/>
      <x:c r="W491" s="119"/>
      <x:c r="X491" s="119"/>
      <x:c r="Y491" s="133" t="str">
        <x:f>IF(K491&lt;&gt;"Yes","",IFERROR(AVERAGE(M491:X491),""))</x:f>
      </x:c>
      <x:c r="Z491" s="119"/>
    </x:row>
    <x:row r="492">
      <x:c r="A492" s="119"/>
      <x:c r="B492" s="119"/>
      <x:c r="C492" s="119"/>
      <x:c r="D492" s="119"/>
      <x:c r="E492" s="119"/>
      <x:c r="F492" s="119"/>
      <x:c r="G492" s="119"/>
      <x:c r="H492" s="130" t="str">
        <x:f>IF(A492="","",IF(AND(COUNTA(M492:X492)&gt;=SETUP!$B$10,COUNTIF(M492:X492,MAX(M492:X492))=COUNTA(M492:X492)),"Yes","No"))</x:f>
      </x:c>
      <x:c r="I492" s="130" t="str">
        <x:f>IF(A492="","",IF('SURVEY DESIGN'!C492&lt;&gt;"",--(M492=""),0)+IF('SURVEY DESIGN'!C493&lt;&gt;"",--(N492=""),0)+IF('SURVEY DESIGN'!C494&lt;&gt;"",--(O492=""),0)+IF('SURVEY DESIGN'!C495&lt;&gt;"",--(P492=""),0)+IF('SURVEY DESIGN'!C496&lt;&gt;"",--(Q492=""),0)+IF('SURVEY DESIGN'!C497&lt;&gt;"",--(R492=""),0)+IF('SURVEY DESIGN'!C498&lt;&gt;"",--(S492=""),0)+IF('SURVEY DESIGN'!C499&lt;&gt;"",--(T492=""),0)+IF('SURVEY DESIGN'!C500&lt;&gt;"",--(U492=""),0)+IF('SURVEY DESIGN'!C501&lt;&gt;"",--(V492=""),0)+IF('SURVEY DESIGN'!C502&lt;&gt;"",--(W492=""),0)+IF('SURVEY DESIGN'!C503&lt;&gt;"",--(X492=""),0))</x:f>
      </x:c>
      <x:c r="J492" s="130" t="str">
        <x:f>IF(A492="","",IF(C492&lt;&gt;"Yes","NO CONSENT",IF(F492&lt;SETUP!$B$9,"SPEEDING",IF(G492&lt;&gt;"Yes","ATTENTION CHECK",IF(H492="Yes","STRAIGHTLINE REVIEW",IF(I492&gt;0,"MISSING ITEMS","OK"))))))</x:f>
      </x:c>
      <x:c r="K492" s="130" t="str">
        <x:f>IF(A492="","",IF(J492="OK","Yes","No"))</x:f>
      </x:c>
      <x:c r="L492" s="130" t="str">
        <x:f>IF(A492="","",IF(J492="OK","",IF(J492="NO CONSENT","Consent not affirmed",IF(J492="SPEEDING","Completion time below threshold",IF(J492="ATTENTION CHECK","Attention check failed",IF(J492="STRAIGHTLINE REVIEW","Straightlining review threshold met","Missing scored item(s)"))))))</x:f>
      </x:c>
      <x:c r="M492" s="119"/>
      <x:c r="N492" s="119"/>
      <x:c r="O492" s="119"/>
      <x:c r="P492" s="119"/>
      <x:c r="Q492" s="119"/>
      <x:c r="R492" s="119"/>
      <x:c r="S492" s="119"/>
      <x:c r="T492" s="119"/>
      <x:c r="U492" s="119"/>
      <x:c r="V492" s="119"/>
      <x:c r="W492" s="119"/>
      <x:c r="X492" s="119"/>
      <x:c r="Y492" s="133" t="str">
        <x:f>IF(K492&lt;&gt;"Yes","",IFERROR(AVERAGE(M492:X492),""))</x:f>
      </x:c>
      <x:c r="Z492" s="119"/>
    </x:row>
    <x:row r="493">
      <x:c r="A493" s="119"/>
      <x:c r="B493" s="119"/>
      <x:c r="C493" s="119"/>
      <x:c r="D493" s="119"/>
      <x:c r="E493" s="119"/>
      <x:c r="F493" s="119"/>
      <x:c r="G493" s="119"/>
      <x:c r="H493" s="130" t="str">
        <x:f>IF(A493="","",IF(AND(COUNTA(M493:X493)&gt;=SETUP!$B$10,COUNTIF(M493:X493,MAX(M493:X493))=COUNTA(M493:X493)),"Yes","No"))</x:f>
      </x:c>
      <x:c r="I493" s="130" t="str">
        <x:f>IF(A493="","",IF('SURVEY DESIGN'!C493&lt;&gt;"",--(M493=""),0)+IF('SURVEY DESIGN'!C494&lt;&gt;"",--(N493=""),0)+IF('SURVEY DESIGN'!C495&lt;&gt;"",--(O493=""),0)+IF('SURVEY DESIGN'!C496&lt;&gt;"",--(P493=""),0)+IF('SURVEY DESIGN'!C497&lt;&gt;"",--(Q493=""),0)+IF('SURVEY DESIGN'!C498&lt;&gt;"",--(R493=""),0)+IF('SURVEY DESIGN'!C499&lt;&gt;"",--(S493=""),0)+IF('SURVEY DESIGN'!C500&lt;&gt;"",--(T493=""),0)+IF('SURVEY DESIGN'!C501&lt;&gt;"",--(U493=""),0)+IF('SURVEY DESIGN'!C502&lt;&gt;"",--(V493=""),0)+IF('SURVEY DESIGN'!C503&lt;&gt;"",--(W493=""),0)+IF('SURVEY DESIGN'!C504&lt;&gt;"",--(X493=""),0))</x:f>
      </x:c>
      <x:c r="J493" s="130" t="str">
        <x:f>IF(A493="","",IF(C493&lt;&gt;"Yes","NO CONSENT",IF(F493&lt;SETUP!$B$9,"SPEEDING",IF(G493&lt;&gt;"Yes","ATTENTION CHECK",IF(H493="Yes","STRAIGHTLINE REVIEW",IF(I493&gt;0,"MISSING ITEMS","OK"))))))</x:f>
      </x:c>
      <x:c r="K493" s="130" t="str">
        <x:f>IF(A493="","",IF(J493="OK","Yes","No"))</x:f>
      </x:c>
      <x:c r="L493" s="130" t="str">
        <x:f>IF(A493="","",IF(J493="OK","",IF(J493="NO CONSENT","Consent not affirmed",IF(J493="SPEEDING","Completion time below threshold",IF(J493="ATTENTION CHECK","Attention check failed",IF(J493="STRAIGHTLINE REVIEW","Straightlining review threshold met","Missing scored item(s)"))))))</x:f>
      </x:c>
      <x:c r="M493" s="119"/>
      <x:c r="N493" s="119"/>
      <x:c r="O493" s="119"/>
      <x:c r="P493" s="119"/>
      <x:c r="Q493" s="119"/>
      <x:c r="R493" s="119"/>
      <x:c r="S493" s="119"/>
      <x:c r="T493" s="119"/>
      <x:c r="U493" s="119"/>
      <x:c r="V493" s="119"/>
      <x:c r="W493" s="119"/>
      <x:c r="X493" s="119"/>
      <x:c r="Y493" s="133" t="str">
        <x:f>IF(K493&lt;&gt;"Yes","",IFERROR(AVERAGE(M493:X493),""))</x:f>
      </x:c>
      <x:c r="Z493" s="119"/>
    </x:row>
    <x:row r="494">
      <x:c r="A494" s="119"/>
      <x:c r="B494" s="119"/>
      <x:c r="C494" s="119"/>
      <x:c r="D494" s="119"/>
      <x:c r="E494" s="119"/>
      <x:c r="F494" s="119"/>
      <x:c r="G494" s="119"/>
      <x:c r="H494" s="130" t="str">
        <x:f>IF(A494="","",IF(AND(COUNTA(M494:X494)&gt;=SETUP!$B$10,COUNTIF(M494:X494,MAX(M494:X494))=COUNTA(M494:X494)),"Yes","No"))</x:f>
      </x:c>
      <x:c r="I494" s="130" t="str">
        <x:f>IF(A494="","",IF('SURVEY DESIGN'!C494&lt;&gt;"",--(M494=""),0)+IF('SURVEY DESIGN'!C495&lt;&gt;"",--(N494=""),0)+IF('SURVEY DESIGN'!C496&lt;&gt;"",--(O494=""),0)+IF('SURVEY DESIGN'!C497&lt;&gt;"",--(P494=""),0)+IF('SURVEY DESIGN'!C498&lt;&gt;"",--(Q494=""),0)+IF('SURVEY DESIGN'!C499&lt;&gt;"",--(R494=""),0)+IF('SURVEY DESIGN'!C500&lt;&gt;"",--(S494=""),0)+IF('SURVEY DESIGN'!C501&lt;&gt;"",--(T494=""),0)+IF('SURVEY DESIGN'!C502&lt;&gt;"",--(U494=""),0)+IF('SURVEY DESIGN'!C503&lt;&gt;"",--(V494=""),0)+IF('SURVEY DESIGN'!C504&lt;&gt;"",--(W494=""),0)+IF('SURVEY DESIGN'!C505&lt;&gt;"",--(X494=""),0))</x:f>
      </x:c>
      <x:c r="J494" s="130" t="str">
        <x:f>IF(A494="","",IF(C494&lt;&gt;"Yes","NO CONSENT",IF(F494&lt;SETUP!$B$9,"SPEEDING",IF(G494&lt;&gt;"Yes","ATTENTION CHECK",IF(H494="Yes","STRAIGHTLINE REVIEW",IF(I494&gt;0,"MISSING ITEMS","OK"))))))</x:f>
      </x:c>
      <x:c r="K494" s="130" t="str">
        <x:f>IF(A494="","",IF(J494="OK","Yes","No"))</x:f>
      </x:c>
      <x:c r="L494" s="130" t="str">
        <x:f>IF(A494="","",IF(J494="OK","",IF(J494="NO CONSENT","Consent not affirmed",IF(J494="SPEEDING","Completion time below threshold",IF(J494="ATTENTION CHECK","Attention check failed",IF(J494="STRAIGHTLINE REVIEW","Straightlining review threshold met","Missing scored item(s)"))))))</x:f>
      </x:c>
      <x:c r="M494" s="119"/>
      <x:c r="N494" s="119"/>
      <x:c r="O494" s="119"/>
      <x:c r="P494" s="119"/>
      <x:c r="Q494" s="119"/>
      <x:c r="R494" s="119"/>
      <x:c r="S494" s="119"/>
      <x:c r="T494" s="119"/>
      <x:c r="U494" s="119"/>
      <x:c r="V494" s="119"/>
      <x:c r="W494" s="119"/>
      <x:c r="X494" s="119"/>
      <x:c r="Y494" s="133" t="str">
        <x:f>IF(K494&lt;&gt;"Yes","",IFERROR(AVERAGE(M494:X494),""))</x:f>
      </x:c>
      <x:c r="Z494" s="119"/>
    </x:row>
    <x:row r="495">
      <x:c r="A495" s="119"/>
      <x:c r="B495" s="119"/>
      <x:c r="C495" s="119"/>
      <x:c r="D495" s="119"/>
      <x:c r="E495" s="119"/>
      <x:c r="F495" s="119"/>
      <x:c r="G495" s="119"/>
      <x:c r="H495" s="130" t="str">
        <x:f>IF(A495="","",IF(AND(COUNTA(M495:X495)&gt;=SETUP!$B$10,COUNTIF(M495:X495,MAX(M495:X495))=COUNTA(M495:X495)),"Yes","No"))</x:f>
      </x:c>
      <x:c r="I495" s="130" t="str">
        <x:f>IF(A495="","",IF('SURVEY DESIGN'!C495&lt;&gt;"",--(M495=""),0)+IF('SURVEY DESIGN'!C496&lt;&gt;"",--(N495=""),0)+IF('SURVEY DESIGN'!C497&lt;&gt;"",--(O495=""),0)+IF('SURVEY DESIGN'!C498&lt;&gt;"",--(P495=""),0)+IF('SURVEY DESIGN'!C499&lt;&gt;"",--(Q495=""),0)+IF('SURVEY DESIGN'!C500&lt;&gt;"",--(R495=""),0)+IF('SURVEY DESIGN'!C501&lt;&gt;"",--(S495=""),0)+IF('SURVEY DESIGN'!C502&lt;&gt;"",--(T495=""),0)+IF('SURVEY DESIGN'!C503&lt;&gt;"",--(U495=""),0)+IF('SURVEY DESIGN'!C504&lt;&gt;"",--(V495=""),0)+IF('SURVEY DESIGN'!C505&lt;&gt;"",--(W495=""),0)+IF('SURVEY DESIGN'!C506&lt;&gt;"",--(X495=""),0))</x:f>
      </x:c>
      <x:c r="J495" s="130" t="str">
        <x:f>IF(A495="","",IF(C495&lt;&gt;"Yes","NO CONSENT",IF(F495&lt;SETUP!$B$9,"SPEEDING",IF(G495&lt;&gt;"Yes","ATTENTION CHECK",IF(H495="Yes","STRAIGHTLINE REVIEW",IF(I495&gt;0,"MISSING ITEMS","OK"))))))</x:f>
      </x:c>
      <x:c r="K495" s="130" t="str">
        <x:f>IF(A495="","",IF(J495="OK","Yes","No"))</x:f>
      </x:c>
      <x:c r="L495" s="130" t="str">
        <x:f>IF(A495="","",IF(J495="OK","",IF(J495="NO CONSENT","Consent not affirmed",IF(J495="SPEEDING","Completion time below threshold",IF(J495="ATTENTION CHECK","Attention check failed",IF(J495="STRAIGHTLINE REVIEW","Straightlining review threshold met","Missing scored item(s)"))))))</x:f>
      </x:c>
      <x:c r="M495" s="119"/>
      <x:c r="N495" s="119"/>
      <x:c r="O495" s="119"/>
      <x:c r="P495" s="119"/>
      <x:c r="Q495" s="119"/>
      <x:c r="R495" s="119"/>
      <x:c r="S495" s="119"/>
      <x:c r="T495" s="119"/>
      <x:c r="U495" s="119"/>
      <x:c r="V495" s="119"/>
      <x:c r="W495" s="119"/>
      <x:c r="X495" s="119"/>
      <x:c r="Y495" s="133" t="str">
        <x:f>IF(K495&lt;&gt;"Yes","",IFERROR(AVERAGE(M495:X495),""))</x:f>
      </x:c>
      <x:c r="Z495" s="119"/>
    </x:row>
    <x:row r="496">
      <x:c r="A496" s="119"/>
      <x:c r="B496" s="119"/>
      <x:c r="C496" s="119"/>
      <x:c r="D496" s="119"/>
      <x:c r="E496" s="119"/>
      <x:c r="F496" s="119"/>
      <x:c r="G496" s="119"/>
      <x:c r="H496" s="130" t="str">
        <x:f>IF(A496="","",IF(AND(COUNTA(M496:X496)&gt;=SETUP!$B$10,COUNTIF(M496:X496,MAX(M496:X496))=COUNTA(M496:X496)),"Yes","No"))</x:f>
      </x:c>
      <x:c r="I496" s="130" t="str">
        <x:f>IF(A496="","",IF('SURVEY DESIGN'!C496&lt;&gt;"",--(M496=""),0)+IF('SURVEY DESIGN'!C497&lt;&gt;"",--(N496=""),0)+IF('SURVEY DESIGN'!C498&lt;&gt;"",--(O496=""),0)+IF('SURVEY DESIGN'!C499&lt;&gt;"",--(P496=""),0)+IF('SURVEY DESIGN'!C500&lt;&gt;"",--(Q496=""),0)+IF('SURVEY DESIGN'!C501&lt;&gt;"",--(R496=""),0)+IF('SURVEY DESIGN'!C502&lt;&gt;"",--(S496=""),0)+IF('SURVEY DESIGN'!C503&lt;&gt;"",--(T496=""),0)+IF('SURVEY DESIGN'!C504&lt;&gt;"",--(U496=""),0)+IF('SURVEY DESIGN'!C505&lt;&gt;"",--(V496=""),0)+IF('SURVEY DESIGN'!C506&lt;&gt;"",--(W496=""),0)+IF('SURVEY DESIGN'!C507&lt;&gt;"",--(X496=""),0))</x:f>
      </x:c>
      <x:c r="J496" s="130" t="str">
        <x:f>IF(A496="","",IF(C496&lt;&gt;"Yes","NO CONSENT",IF(F496&lt;SETUP!$B$9,"SPEEDING",IF(G496&lt;&gt;"Yes","ATTENTION CHECK",IF(H496="Yes","STRAIGHTLINE REVIEW",IF(I496&gt;0,"MISSING ITEMS","OK"))))))</x:f>
      </x:c>
      <x:c r="K496" s="130" t="str">
        <x:f>IF(A496="","",IF(J496="OK","Yes","No"))</x:f>
      </x:c>
      <x:c r="L496" s="130" t="str">
        <x:f>IF(A496="","",IF(J496="OK","",IF(J496="NO CONSENT","Consent not affirmed",IF(J496="SPEEDING","Completion time below threshold",IF(J496="ATTENTION CHECK","Attention check failed",IF(J496="STRAIGHTLINE REVIEW","Straightlining review threshold met","Missing scored item(s)"))))))</x:f>
      </x:c>
      <x:c r="M496" s="119"/>
      <x:c r="N496" s="119"/>
      <x:c r="O496" s="119"/>
      <x:c r="P496" s="119"/>
      <x:c r="Q496" s="119"/>
      <x:c r="R496" s="119"/>
      <x:c r="S496" s="119"/>
      <x:c r="T496" s="119"/>
      <x:c r="U496" s="119"/>
      <x:c r="V496" s="119"/>
      <x:c r="W496" s="119"/>
      <x:c r="X496" s="119"/>
      <x:c r="Y496" s="133" t="str">
        <x:f>IF(K496&lt;&gt;"Yes","",IFERROR(AVERAGE(M496:X496),""))</x:f>
      </x:c>
      <x:c r="Z496" s="119"/>
    </x:row>
    <x:row r="497">
      <x:c r="A497" s="119"/>
      <x:c r="B497" s="119"/>
      <x:c r="C497" s="119"/>
      <x:c r="D497" s="119"/>
      <x:c r="E497" s="119"/>
      <x:c r="F497" s="119"/>
      <x:c r="G497" s="119"/>
      <x:c r="H497" s="130" t="str">
        <x:f>IF(A497="","",IF(AND(COUNTA(M497:X497)&gt;=SETUP!$B$10,COUNTIF(M497:X497,MAX(M497:X497))=COUNTA(M497:X497)),"Yes","No"))</x:f>
      </x:c>
      <x:c r="I497" s="130" t="str">
        <x:f>IF(A497="","",IF('SURVEY DESIGN'!C497&lt;&gt;"",--(M497=""),0)+IF('SURVEY DESIGN'!C498&lt;&gt;"",--(N497=""),0)+IF('SURVEY DESIGN'!C499&lt;&gt;"",--(O497=""),0)+IF('SURVEY DESIGN'!C500&lt;&gt;"",--(P497=""),0)+IF('SURVEY DESIGN'!C501&lt;&gt;"",--(Q497=""),0)+IF('SURVEY DESIGN'!C502&lt;&gt;"",--(R497=""),0)+IF('SURVEY DESIGN'!C503&lt;&gt;"",--(S497=""),0)+IF('SURVEY DESIGN'!C504&lt;&gt;"",--(T497=""),0)+IF('SURVEY DESIGN'!C505&lt;&gt;"",--(U497=""),0)+IF('SURVEY DESIGN'!C506&lt;&gt;"",--(V497=""),0)+IF('SURVEY DESIGN'!C507&lt;&gt;"",--(W497=""),0)+IF('SURVEY DESIGN'!C508&lt;&gt;"",--(X497=""),0))</x:f>
      </x:c>
      <x:c r="J497" s="130" t="str">
        <x:f>IF(A497="","",IF(C497&lt;&gt;"Yes","NO CONSENT",IF(F497&lt;SETUP!$B$9,"SPEEDING",IF(G497&lt;&gt;"Yes","ATTENTION CHECK",IF(H497="Yes","STRAIGHTLINE REVIEW",IF(I497&gt;0,"MISSING ITEMS","OK"))))))</x:f>
      </x:c>
      <x:c r="K497" s="130" t="str">
        <x:f>IF(A497="","",IF(J497="OK","Yes","No"))</x:f>
      </x:c>
      <x:c r="L497" s="130" t="str">
        <x:f>IF(A497="","",IF(J497="OK","",IF(J497="NO CONSENT","Consent not affirmed",IF(J497="SPEEDING","Completion time below threshold",IF(J497="ATTENTION CHECK","Attention check failed",IF(J497="STRAIGHTLINE REVIEW","Straightlining review threshold met","Missing scored item(s)"))))))</x:f>
      </x:c>
      <x:c r="M497" s="119"/>
      <x:c r="N497" s="119"/>
      <x:c r="O497" s="119"/>
      <x:c r="P497" s="119"/>
      <x:c r="Q497" s="119"/>
      <x:c r="R497" s="119"/>
      <x:c r="S497" s="119"/>
      <x:c r="T497" s="119"/>
      <x:c r="U497" s="119"/>
      <x:c r="V497" s="119"/>
      <x:c r="W497" s="119"/>
      <x:c r="X497" s="119"/>
      <x:c r="Y497" s="133" t="str">
        <x:f>IF(K497&lt;&gt;"Yes","",IFERROR(AVERAGE(M497:X497),""))</x:f>
      </x:c>
      <x:c r="Z497" s="119"/>
    </x:row>
    <x:row r="498">
      <x:c r="A498" s="119"/>
      <x:c r="B498" s="119"/>
      <x:c r="C498" s="119"/>
      <x:c r="D498" s="119"/>
      <x:c r="E498" s="119"/>
      <x:c r="F498" s="119"/>
      <x:c r="G498" s="119"/>
      <x:c r="H498" s="130" t="str">
        <x:f>IF(A498="","",IF(AND(COUNTA(M498:X498)&gt;=SETUP!$B$10,COUNTIF(M498:X498,MAX(M498:X498))=COUNTA(M498:X498)),"Yes","No"))</x:f>
      </x:c>
      <x:c r="I498" s="130" t="str">
        <x:f>IF(A498="","",IF('SURVEY DESIGN'!C498&lt;&gt;"",--(M498=""),0)+IF('SURVEY DESIGN'!C499&lt;&gt;"",--(N498=""),0)+IF('SURVEY DESIGN'!C500&lt;&gt;"",--(O498=""),0)+IF('SURVEY DESIGN'!C501&lt;&gt;"",--(P498=""),0)+IF('SURVEY DESIGN'!C502&lt;&gt;"",--(Q498=""),0)+IF('SURVEY DESIGN'!C503&lt;&gt;"",--(R498=""),0)+IF('SURVEY DESIGN'!C504&lt;&gt;"",--(S498=""),0)+IF('SURVEY DESIGN'!C505&lt;&gt;"",--(T498=""),0)+IF('SURVEY DESIGN'!C506&lt;&gt;"",--(U498=""),0)+IF('SURVEY DESIGN'!C507&lt;&gt;"",--(V498=""),0)+IF('SURVEY DESIGN'!C508&lt;&gt;"",--(W498=""),0)+IF('SURVEY DESIGN'!C509&lt;&gt;"",--(X498=""),0))</x:f>
      </x:c>
      <x:c r="J498" s="130" t="str">
        <x:f>IF(A498="","",IF(C498&lt;&gt;"Yes","NO CONSENT",IF(F498&lt;SETUP!$B$9,"SPEEDING",IF(G498&lt;&gt;"Yes","ATTENTION CHECK",IF(H498="Yes","STRAIGHTLINE REVIEW",IF(I498&gt;0,"MISSING ITEMS","OK"))))))</x:f>
      </x:c>
      <x:c r="K498" s="130" t="str">
        <x:f>IF(A498="","",IF(J498="OK","Yes","No"))</x:f>
      </x:c>
      <x:c r="L498" s="130" t="str">
        <x:f>IF(A498="","",IF(J498="OK","",IF(J498="NO CONSENT","Consent not affirmed",IF(J498="SPEEDING","Completion time below threshold",IF(J498="ATTENTION CHECK","Attention check failed",IF(J498="STRAIGHTLINE REVIEW","Straightlining review threshold met","Missing scored item(s)"))))))</x:f>
      </x:c>
      <x:c r="M498" s="119"/>
      <x:c r="N498" s="119"/>
      <x:c r="O498" s="119"/>
      <x:c r="P498" s="119"/>
      <x:c r="Q498" s="119"/>
      <x:c r="R498" s="119"/>
      <x:c r="S498" s="119"/>
      <x:c r="T498" s="119"/>
      <x:c r="U498" s="119"/>
      <x:c r="V498" s="119"/>
      <x:c r="W498" s="119"/>
      <x:c r="X498" s="119"/>
      <x:c r="Y498" s="133" t="str">
        <x:f>IF(K498&lt;&gt;"Yes","",IFERROR(AVERAGE(M498:X498),""))</x:f>
      </x:c>
      <x:c r="Z498" s="119"/>
    </x:row>
    <x:row r="499">
      <x:c r="A499" s="119"/>
      <x:c r="B499" s="119"/>
      <x:c r="C499" s="119"/>
      <x:c r="D499" s="119"/>
      <x:c r="E499" s="119"/>
      <x:c r="F499" s="119"/>
      <x:c r="G499" s="119"/>
      <x:c r="H499" s="130" t="str">
        <x:f>IF(A499="","",IF(AND(COUNTA(M499:X499)&gt;=SETUP!$B$10,COUNTIF(M499:X499,MAX(M499:X499))=COUNTA(M499:X499)),"Yes","No"))</x:f>
      </x:c>
      <x:c r="I499" s="130" t="str">
        <x:f>IF(A499="","",IF('SURVEY DESIGN'!C499&lt;&gt;"",--(M499=""),0)+IF('SURVEY DESIGN'!C500&lt;&gt;"",--(N499=""),0)+IF('SURVEY DESIGN'!C501&lt;&gt;"",--(O499=""),0)+IF('SURVEY DESIGN'!C502&lt;&gt;"",--(P499=""),0)+IF('SURVEY DESIGN'!C503&lt;&gt;"",--(Q499=""),0)+IF('SURVEY DESIGN'!C504&lt;&gt;"",--(R499=""),0)+IF('SURVEY DESIGN'!C505&lt;&gt;"",--(S499=""),0)+IF('SURVEY DESIGN'!C506&lt;&gt;"",--(T499=""),0)+IF('SURVEY DESIGN'!C507&lt;&gt;"",--(U499=""),0)+IF('SURVEY DESIGN'!C508&lt;&gt;"",--(V499=""),0)+IF('SURVEY DESIGN'!C509&lt;&gt;"",--(W499=""),0)+IF('SURVEY DESIGN'!C510&lt;&gt;"",--(X499=""),0))</x:f>
      </x:c>
      <x:c r="J499" s="130" t="str">
        <x:f>IF(A499="","",IF(C499&lt;&gt;"Yes","NO CONSENT",IF(F499&lt;SETUP!$B$9,"SPEEDING",IF(G499&lt;&gt;"Yes","ATTENTION CHECK",IF(H499="Yes","STRAIGHTLINE REVIEW",IF(I499&gt;0,"MISSING ITEMS","OK"))))))</x:f>
      </x:c>
      <x:c r="K499" s="130" t="str">
        <x:f>IF(A499="","",IF(J499="OK","Yes","No"))</x:f>
      </x:c>
      <x:c r="L499" s="130" t="str">
        <x:f>IF(A499="","",IF(J499="OK","",IF(J499="NO CONSENT","Consent not affirmed",IF(J499="SPEEDING","Completion time below threshold",IF(J499="ATTENTION CHECK","Attention check failed",IF(J499="STRAIGHTLINE REVIEW","Straightlining review threshold met","Missing scored item(s)"))))))</x:f>
      </x:c>
      <x:c r="M499" s="119"/>
      <x:c r="N499" s="119"/>
      <x:c r="O499" s="119"/>
      <x:c r="P499" s="119"/>
      <x:c r="Q499" s="119"/>
      <x:c r="R499" s="119"/>
      <x:c r="S499" s="119"/>
      <x:c r="T499" s="119"/>
      <x:c r="U499" s="119"/>
      <x:c r="V499" s="119"/>
      <x:c r="W499" s="119"/>
      <x:c r="X499" s="119"/>
      <x:c r="Y499" s="133" t="str">
        <x:f>IF(K499&lt;&gt;"Yes","",IFERROR(AVERAGE(M499:X499),""))</x:f>
      </x:c>
      <x:c r="Z499" s="119"/>
    </x:row>
    <x:row r="500">
      <x:c r="A500" s="119"/>
      <x:c r="B500" s="119"/>
      <x:c r="C500" s="119"/>
      <x:c r="D500" s="119"/>
      <x:c r="E500" s="119"/>
      <x:c r="F500" s="119"/>
      <x:c r="G500" s="119"/>
      <x:c r="H500" s="130" t="str">
        <x:f>IF(A500="","",IF(AND(COUNTA(M500:X500)&gt;=SETUP!$B$10,COUNTIF(M500:X500,MAX(M500:X500))=COUNTA(M500:X500)),"Yes","No"))</x:f>
      </x:c>
      <x:c r="I500" s="130" t="str">
        <x:f>IF(A500="","",IF('SURVEY DESIGN'!C500&lt;&gt;"",--(M500=""),0)+IF('SURVEY DESIGN'!C501&lt;&gt;"",--(N500=""),0)+IF('SURVEY DESIGN'!C502&lt;&gt;"",--(O500=""),0)+IF('SURVEY DESIGN'!C503&lt;&gt;"",--(P500=""),0)+IF('SURVEY DESIGN'!C504&lt;&gt;"",--(Q500=""),0)+IF('SURVEY DESIGN'!C505&lt;&gt;"",--(R500=""),0)+IF('SURVEY DESIGN'!C506&lt;&gt;"",--(S500=""),0)+IF('SURVEY DESIGN'!C507&lt;&gt;"",--(T500=""),0)+IF('SURVEY DESIGN'!C508&lt;&gt;"",--(U500=""),0)+IF('SURVEY DESIGN'!C509&lt;&gt;"",--(V500=""),0)+IF('SURVEY DESIGN'!C510&lt;&gt;"",--(W500=""),0)+IF('SURVEY DESIGN'!C511&lt;&gt;"",--(X500=""),0))</x:f>
      </x:c>
      <x:c r="J500" s="130" t="str">
        <x:f>IF(A500="","",IF(C500&lt;&gt;"Yes","NO CONSENT",IF(F500&lt;SETUP!$B$9,"SPEEDING",IF(G500&lt;&gt;"Yes","ATTENTION CHECK",IF(H500="Yes","STRAIGHTLINE REVIEW",IF(I500&gt;0,"MISSING ITEMS","OK"))))))</x:f>
      </x:c>
      <x:c r="K500" s="130" t="str">
        <x:f>IF(A500="","",IF(J500="OK","Yes","No"))</x:f>
      </x:c>
      <x:c r="L500" s="130" t="str">
        <x:f>IF(A500="","",IF(J500="OK","",IF(J500="NO CONSENT","Consent not affirmed",IF(J500="SPEEDING","Completion time below threshold",IF(J500="ATTENTION CHECK","Attention check failed",IF(J500="STRAIGHTLINE REVIEW","Straightlining review threshold met","Missing scored item(s)"))))))</x:f>
      </x:c>
      <x:c r="M500" s="119"/>
      <x:c r="N500" s="119"/>
      <x:c r="O500" s="119"/>
      <x:c r="P500" s="119"/>
      <x:c r="Q500" s="119"/>
      <x:c r="R500" s="119"/>
      <x:c r="S500" s="119"/>
      <x:c r="T500" s="119"/>
      <x:c r="U500" s="119"/>
      <x:c r="V500" s="119"/>
      <x:c r="W500" s="119"/>
      <x:c r="X500" s="119"/>
      <x:c r="Y500" s="133" t="str">
        <x:f>IF(K500&lt;&gt;"Yes","",IFERROR(AVERAGE(M500:X500),""))</x:f>
      </x:c>
      <x:c r="Z500" s="119"/>
    </x:row>
    <x:row r="501">
      <x:c r="A501" s="119"/>
      <x:c r="B501" s="119"/>
      <x:c r="C501" s="119"/>
      <x:c r="D501" s="119"/>
      <x:c r="E501" s="119"/>
      <x:c r="F501" s="119"/>
      <x:c r="G501" s="119"/>
      <x:c r="H501" s="130" t="str">
        <x:f>IF(A501="","",IF(AND(COUNTA(M501:X501)&gt;=SETUP!$B$10,COUNTIF(M501:X501,MAX(M501:X501))=COUNTA(M501:X501)),"Yes","No"))</x:f>
      </x:c>
      <x:c r="I501" s="130" t="str">
        <x:f>IF(A501="","",IF('SURVEY DESIGN'!C501&lt;&gt;"",--(M501=""),0)+IF('SURVEY DESIGN'!C502&lt;&gt;"",--(N501=""),0)+IF('SURVEY DESIGN'!C503&lt;&gt;"",--(O501=""),0)+IF('SURVEY DESIGN'!C504&lt;&gt;"",--(P501=""),0)+IF('SURVEY DESIGN'!C505&lt;&gt;"",--(Q501=""),0)+IF('SURVEY DESIGN'!C506&lt;&gt;"",--(R501=""),0)+IF('SURVEY DESIGN'!C507&lt;&gt;"",--(S501=""),0)+IF('SURVEY DESIGN'!C508&lt;&gt;"",--(T501=""),0)+IF('SURVEY DESIGN'!C509&lt;&gt;"",--(U501=""),0)+IF('SURVEY DESIGN'!C510&lt;&gt;"",--(V501=""),0)+IF('SURVEY DESIGN'!C511&lt;&gt;"",--(W501=""),0)+IF('SURVEY DESIGN'!C512&lt;&gt;"",--(X501=""),0))</x:f>
      </x:c>
      <x:c r="J501" s="130" t="str">
        <x:f>IF(A501="","",IF(C501&lt;&gt;"Yes","NO CONSENT",IF(F501&lt;SETUP!$B$9,"SPEEDING",IF(G501&lt;&gt;"Yes","ATTENTION CHECK",IF(H501="Yes","STRAIGHTLINE REVIEW",IF(I501&gt;0,"MISSING ITEMS","OK"))))))</x:f>
      </x:c>
      <x:c r="K501" s="130" t="str">
        <x:f>IF(A501="","",IF(J501="OK","Yes","No"))</x:f>
      </x:c>
      <x:c r="L501" s="130" t="str">
        <x:f>IF(A501="","",IF(J501="OK","",IF(J501="NO CONSENT","Consent not affirmed",IF(J501="SPEEDING","Completion time below threshold",IF(J501="ATTENTION CHECK","Attention check failed",IF(J501="STRAIGHTLINE REVIEW","Straightlining review threshold met","Missing scored item(s)"))))))</x:f>
      </x:c>
      <x:c r="M501" s="119"/>
      <x:c r="N501" s="119"/>
      <x:c r="O501" s="119"/>
      <x:c r="P501" s="119"/>
      <x:c r="Q501" s="119"/>
      <x:c r="R501" s="119"/>
      <x:c r="S501" s="119"/>
      <x:c r="T501" s="119"/>
      <x:c r="U501" s="119"/>
      <x:c r="V501" s="119"/>
      <x:c r="W501" s="119"/>
      <x:c r="X501" s="119"/>
      <x:c r="Y501" s="133" t="str">
        <x:f>IF(K501&lt;&gt;"Yes","",IFERROR(AVERAGE(M501:X501),""))</x:f>
      </x:c>
      <x:c r="Z501" s="119"/>
    </x:row>
    <x:row r="502">
      <x:c r="A502" s="119"/>
      <x:c r="B502" s="119"/>
      <x:c r="C502" s="119"/>
      <x:c r="D502" s="119"/>
      <x:c r="E502" s="119"/>
      <x:c r="F502" s="119"/>
      <x:c r="G502" s="119"/>
      <x:c r="H502" s="130" t="str">
        <x:f>IF(A502="","",IF(AND(COUNTA(M502:X502)&gt;=SETUP!$B$10,COUNTIF(M502:X502,MAX(M502:X502))=COUNTA(M502:X502)),"Yes","No"))</x:f>
      </x:c>
      <x:c r="I502" s="130" t="str">
        <x:f>IF(A502="","",IF('SURVEY DESIGN'!C502&lt;&gt;"",--(M502=""),0)+IF('SURVEY DESIGN'!C503&lt;&gt;"",--(N502=""),0)+IF('SURVEY DESIGN'!C504&lt;&gt;"",--(O502=""),0)+IF('SURVEY DESIGN'!C505&lt;&gt;"",--(P502=""),0)+IF('SURVEY DESIGN'!C506&lt;&gt;"",--(Q502=""),0)+IF('SURVEY DESIGN'!C507&lt;&gt;"",--(R502=""),0)+IF('SURVEY DESIGN'!C508&lt;&gt;"",--(S502=""),0)+IF('SURVEY DESIGN'!C509&lt;&gt;"",--(T502=""),0)+IF('SURVEY DESIGN'!C510&lt;&gt;"",--(U502=""),0)+IF('SURVEY DESIGN'!C511&lt;&gt;"",--(V502=""),0)+IF('SURVEY DESIGN'!C512&lt;&gt;"",--(W502=""),0)+IF('SURVEY DESIGN'!C513&lt;&gt;"",--(X502=""),0))</x:f>
      </x:c>
      <x:c r="J502" s="130" t="str">
        <x:f>IF(A502="","",IF(C502&lt;&gt;"Yes","NO CONSENT",IF(F502&lt;SETUP!$B$9,"SPEEDING",IF(G502&lt;&gt;"Yes","ATTENTION CHECK",IF(H502="Yes","STRAIGHTLINE REVIEW",IF(I502&gt;0,"MISSING ITEMS","OK"))))))</x:f>
      </x:c>
      <x:c r="K502" s="130" t="str">
        <x:f>IF(A502="","",IF(J502="OK","Yes","No"))</x:f>
      </x:c>
      <x:c r="L502" s="130" t="str">
        <x:f>IF(A502="","",IF(J502="OK","",IF(J502="NO CONSENT","Consent not affirmed",IF(J502="SPEEDING","Completion time below threshold",IF(J502="ATTENTION CHECK","Attention check failed",IF(J502="STRAIGHTLINE REVIEW","Straightlining review threshold met","Missing scored item(s)"))))))</x:f>
      </x:c>
      <x:c r="M502" s="119"/>
      <x:c r="N502" s="119"/>
      <x:c r="O502" s="119"/>
      <x:c r="P502" s="119"/>
      <x:c r="Q502" s="119"/>
      <x:c r="R502" s="119"/>
      <x:c r="S502" s="119"/>
      <x:c r="T502" s="119"/>
      <x:c r="U502" s="119"/>
      <x:c r="V502" s="119"/>
      <x:c r="W502" s="119"/>
      <x:c r="X502" s="119"/>
      <x:c r="Y502" s="133" t="str">
        <x:f>IF(K502&lt;&gt;"Yes","",IFERROR(AVERAGE(M502:X502),""))</x:f>
      </x:c>
      <x:c r="Z502" s="119"/>
    </x:row>
    <x:row r="503">
      <x:c r="A503" s="119"/>
      <x:c r="B503" s="119"/>
      <x:c r="C503" s="119"/>
      <x:c r="D503" s="119"/>
      <x:c r="E503" s="119"/>
      <x:c r="F503" s="119"/>
      <x:c r="G503" s="119"/>
      <x:c r="H503" s="130" t="str">
        <x:f>IF(A503="","",IF(AND(COUNTA(M503:X503)&gt;=SETUP!$B$10,COUNTIF(M503:X503,MAX(M503:X503))=COUNTA(M503:X503)),"Yes","No"))</x:f>
      </x:c>
      <x:c r="I503" s="130" t="str">
        <x:f>IF(A503="","",IF('SURVEY DESIGN'!C503&lt;&gt;"",--(M503=""),0)+IF('SURVEY DESIGN'!C504&lt;&gt;"",--(N503=""),0)+IF('SURVEY DESIGN'!C505&lt;&gt;"",--(O503=""),0)+IF('SURVEY DESIGN'!C506&lt;&gt;"",--(P503=""),0)+IF('SURVEY DESIGN'!C507&lt;&gt;"",--(Q503=""),0)+IF('SURVEY DESIGN'!C508&lt;&gt;"",--(R503=""),0)+IF('SURVEY DESIGN'!C509&lt;&gt;"",--(S503=""),0)+IF('SURVEY DESIGN'!C510&lt;&gt;"",--(T503=""),0)+IF('SURVEY DESIGN'!C511&lt;&gt;"",--(U503=""),0)+IF('SURVEY DESIGN'!C512&lt;&gt;"",--(V503=""),0)+IF('SURVEY DESIGN'!C513&lt;&gt;"",--(W503=""),0)+IF('SURVEY DESIGN'!C514&lt;&gt;"",--(X503=""),0))</x:f>
      </x:c>
      <x:c r="J503" s="130" t="str">
        <x:f>IF(A503="","",IF(C503&lt;&gt;"Yes","NO CONSENT",IF(F503&lt;SETUP!$B$9,"SPEEDING",IF(G503&lt;&gt;"Yes","ATTENTION CHECK",IF(H503="Yes","STRAIGHTLINE REVIEW",IF(I503&gt;0,"MISSING ITEMS","OK"))))))</x:f>
      </x:c>
      <x:c r="K503" s="130" t="str">
        <x:f>IF(A503="","",IF(J503="OK","Yes","No"))</x:f>
      </x:c>
      <x:c r="L503" s="130" t="str">
        <x:f>IF(A503="","",IF(J503="OK","",IF(J503="NO CONSENT","Consent not affirmed",IF(J503="SPEEDING","Completion time below threshold",IF(J503="ATTENTION CHECK","Attention check failed",IF(J503="STRAIGHTLINE REVIEW","Straightlining review threshold met","Missing scored item(s)"))))))</x:f>
      </x:c>
      <x:c r="M503" s="119"/>
      <x:c r="N503" s="119"/>
      <x:c r="O503" s="119"/>
      <x:c r="P503" s="119"/>
      <x:c r="Q503" s="119"/>
      <x:c r="R503" s="119"/>
      <x:c r="S503" s="119"/>
      <x:c r="T503" s="119"/>
      <x:c r="U503" s="119"/>
      <x:c r="V503" s="119"/>
      <x:c r="W503" s="119"/>
      <x:c r="X503" s="119"/>
      <x:c r="Y503" s="133" t="str">
        <x:f>IF(K503&lt;&gt;"Yes","",IFERROR(AVERAGE(M503:X503),""))</x:f>
      </x:c>
      <x:c r="Z503" s="119"/>
    </x:row>
    <x:row r="504">
      <x:c r="A504" s="99"/>
      <x:c r="B504" s="99"/>
      <x:c r="C504" s="99"/>
      <x:c r="D504" s="99"/>
      <x:c r="E504" s="99"/>
      <x:c r="F504" s="99"/>
      <x:c r="G504" s="99"/>
      <x:c r="H504" s="99"/>
      <x:c r="I504" s="99"/>
      <x:c r="J504" s="99"/>
      <x:c r="K504" s="99"/>
      <x:c r="L504" s="99"/>
      <x:c r="M504" s="99"/>
      <x:c r="N504" s="99"/>
      <x:c r="O504" s="99"/>
      <x:c r="P504" s="99"/>
      <x:c r="Q504" s="99"/>
      <x:c r="R504" s="99"/>
      <x:c r="S504" s="99"/>
      <x:c r="T504" s="99"/>
      <x:c r="U504" s="99"/>
      <x:c r="V504" s="99"/>
      <x:c r="W504" s="99"/>
      <x:c r="X504" s="99"/>
      <x:c r="Y504" s="99"/>
      <x:c r="Z504" s="99"/>
    </x:row>
    <x:row r="505">
      <x:c r="A505" s="99"/>
      <x:c r="B505" s="99"/>
      <x:c r="C505" s="99"/>
      <x:c r="D505" s="99"/>
      <x:c r="E505" s="99"/>
      <x:c r="F505" s="99"/>
      <x:c r="G505" s="99"/>
      <x:c r="H505" s="99"/>
      <x:c r="I505" s="99"/>
      <x:c r="J505" s="99"/>
      <x:c r="K505" s="99"/>
      <x:c r="L505" s="99"/>
      <x:c r="M505" s="99"/>
      <x:c r="N505" s="99"/>
      <x:c r="O505" s="99"/>
      <x:c r="P505" s="99"/>
      <x:c r="Q505" s="99"/>
      <x:c r="R505" s="99"/>
      <x:c r="S505" s="99"/>
      <x:c r="T505" s="99"/>
      <x:c r="U505" s="99"/>
      <x:c r="V505" s="99"/>
      <x:c r="W505" s="99"/>
      <x:c r="X505" s="99"/>
      <x:c r="Y505" s="99"/>
      <x:c r="Z505" s="99"/>
    </x:row>
    <x:row r="506">
      <x:c r="A506" s="99"/>
      <x:c r="B506" s="99"/>
      <x:c r="C506" s="99"/>
      <x:c r="D506" s="99"/>
      <x:c r="E506" s="99"/>
      <x:c r="F506" s="99"/>
      <x:c r="G506" s="99"/>
      <x:c r="H506" s="99"/>
      <x:c r="I506" s="99"/>
      <x:c r="J506" s="99"/>
      <x:c r="K506" s="99"/>
      <x:c r="L506" s="99"/>
      <x:c r="M506" s="99"/>
      <x:c r="N506" s="99"/>
      <x:c r="O506" s="99"/>
      <x:c r="P506" s="99"/>
      <x:c r="Q506" s="99"/>
      <x:c r="R506" s="99"/>
      <x:c r="S506" s="99"/>
      <x:c r="T506" s="99"/>
      <x:c r="U506" s="99"/>
      <x:c r="V506" s="99"/>
      <x:c r="W506" s="99"/>
      <x:c r="X506" s="99"/>
      <x:c r="Y506" s="99"/>
      <x:c r="Z506" s="99"/>
    </x:row>
    <x:row r="507">
      <x:c r="A507" s="99"/>
      <x:c r="B507" s="99"/>
      <x:c r="C507" s="99"/>
      <x:c r="D507" s="99"/>
      <x:c r="E507" s="99"/>
      <x:c r="F507" s="99"/>
      <x:c r="G507" s="99"/>
      <x:c r="H507" s="99"/>
      <x:c r="I507" s="99"/>
      <x:c r="J507" s="99"/>
      <x:c r="K507" s="99"/>
      <x:c r="L507" s="99"/>
      <x:c r="M507" s="99"/>
      <x:c r="N507" s="99"/>
      <x:c r="O507" s="99"/>
      <x:c r="P507" s="99"/>
      <x:c r="Q507" s="99"/>
      <x:c r="R507" s="99"/>
      <x:c r="S507" s="99"/>
      <x:c r="T507" s="99"/>
      <x:c r="U507" s="99"/>
      <x:c r="V507" s="99"/>
      <x:c r="W507" s="99"/>
      <x:c r="X507" s="99"/>
      <x:c r="Y507" s="99"/>
      <x:c r="Z507" s="99"/>
    </x:row>
    <x:row r="508">
      <x:c r="A508" s="99"/>
      <x:c r="B508" s="99"/>
      <x:c r="C508" s="99"/>
      <x:c r="D508" s="99"/>
      <x:c r="E508" s="99"/>
      <x:c r="F508" s="99"/>
      <x:c r="G508" s="99"/>
      <x:c r="H508" s="99"/>
      <x:c r="I508" s="99"/>
      <x:c r="J508" s="99"/>
      <x:c r="K508" s="99"/>
      <x:c r="L508" s="99"/>
      <x:c r="M508" s="99"/>
      <x:c r="N508" s="99"/>
      <x:c r="O508" s="99"/>
      <x:c r="P508" s="99"/>
      <x:c r="Q508" s="99"/>
      <x:c r="R508" s="99"/>
      <x:c r="S508" s="99"/>
      <x:c r="T508" s="99"/>
      <x:c r="U508" s="99"/>
      <x:c r="V508" s="99"/>
      <x:c r="W508" s="99"/>
      <x:c r="X508" s="99"/>
      <x:c r="Y508" s="99"/>
      <x:c r="Z508" s="99"/>
    </x:row>
    <x:row r="509">
      <x:c r="A509" s="99"/>
      <x:c r="B509" s="99"/>
      <x:c r="C509" s="99"/>
      <x:c r="D509" s="99"/>
      <x:c r="E509" s="99"/>
      <x:c r="F509" s="99"/>
      <x:c r="G509" s="99"/>
      <x:c r="H509" s="99"/>
      <x:c r="I509" s="99"/>
      <x:c r="J509" s="99"/>
      <x:c r="K509" s="99"/>
      <x:c r="L509" s="99"/>
      <x:c r="M509" s="99"/>
      <x:c r="N509" s="99"/>
      <x:c r="O509" s="99"/>
      <x:c r="P509" s="99"/>
      <x:c r="Q509" s="99"/>
      <x:c r="R509" s="99"/>
      <x:c r="S509" s="99"/>
      <x:c r="T509" s="99"/>
      <x:c r="U509" s="99"/>
      <x:c r="V509" s="99"/>
      <x:c r="W509" s="99"/>
      <x:c r="X509" s="99"/>
      <x:c r="Y509" s="99"/>
      <x:c r="Z509" s="99"/>
    </x:row>
    <x:row r="510">
      <x:c r="A510" s="99"/>
      <x:c r="B510" s="99"/>
      <x:c r="C510" s="99"/>
      <x:c r="D510" s="99"/>
      <x:c r="E510" s="99"/>
      <x:c r="F510" s="99"/>
      <x:c r="G510" s="99"/>
      <x:c r="H510" s="99"/>
      <x:c r="I510" s="99"/>
      <x:c r="J510" s="99"/>
      <x:c r="K510" s="99"/>
      <x:c r="L510" s="99"/>
      <x:c r="M510" s="99"/>
      <x:c r="N510" s="99"/>
      <x:c r="O510" s="99"/>
      <x:c r="P510" s="99"/>
      <x:c r="Q510" s="99"/>
      <x:c r="R510" s="99"/>
      <x:c r="S510" s="99"/>
      <x:c r="T510" s="99"/>
      <x:c r="U510" s="99"/>
      <x:c r="V510" s="99"/>
      <x:c r="W510" s="99"/>
      <x:c r="X510" s="99"/>
      <x:c r="Y510" s="99"/>
      <x:c r="Z510" s="99"/>
    </x:row>
    <x:row r="511">
      <x:c r="A511" s="99"/>
      <x:c r="B511" s="99"/>
      <x:c r="C511" s="99"/>
      <x:c r="D511" s="99"/>
      <x:c r="E511" s="99"/>
      <x:c r="F511" s="99"/>
      <x:c r="G511" s="99"/>
      <x:c r="H511" s="99"/>
      <x:c r="I511" s="99"/>
      <x:c r="J511" s="99"/>
      <x:c r="K511" s="99"/>
      <x:c r="L511" s="99"/>
      <x:c r="M511" s="99"/>
      <x:c r="N511" s="99"/>
      <x:c r="O511" s="99"/>
      <x:c r="P511" s="99"/>
      <x:c r="Q511" s="99"/>
      <x:c r="R511" s="99"/>
      <x:c r="S511" s="99"/>
      <x:c r="T511" s="99"/>
      <x:c r="U511" s="99"/>
      <x:c r="V511" s="99"/>
      <x:c r="W511" s="99"/>
      <x:c r="X511" s="99"/>
      <x:c r="Y511" s="99"/>
      <x:c r="Z511" s="99"/>
    </x:row>
    <x:row r="512">
      <x:c r="A512" s="99"/>
      <x:c r="B512" s="99"/>
      <x:c r="C512" s="99"/>
      <x:c r="D512" s="99"/>
      <x:c r="E512" s="99"/>
      <x:c r="F512" s="99"/>
      <x:c r="G512" s="99"/>
      <x:c r="H512" s="99"/>
      <x:c r="I512" s="99"/>
      <x:c r="J512" s="99"/>
      <x:c r="K512" s="99"/>
      <x:c r="L512" s="99"/>
      <x:c r="M512" s="99"/>
      <x:c r="N512" s="99"/>
      <x:c r="O512" s="99"/>
      <x:c r="P512" s="99"/>
      <x:c r="Q512" s="99"/>
      <x:c r="R512" s="99"/>
      <x:c r="S512" s="99"/>
      <x:c r="T512" s="99"/>
      <x:c r="U512" s="99"/>
      <x:c r="V512" s="99"/>
      <x:c r="W512" s="99"/>
      <x:c r="X512" s="99"/>
      <x:c r="Y512" s="99"/>
      <x:c r="Z512" s="99"/>
    </x:row>
    <x:row r="513">
      <x:c r="A513" s="99"/>
      <x:c r="B513" s="99"/>
      <x:c r="C513" s="99"/>
      <x:c r="D513" s="99"/>
      <x:c r="E513" s="99"/>
      <x:c r="F513" s="99"/>
      <x:c r="G513" s="99"/>
      <x:c r="H513" s="99"/>
      <x:c r="I513" s="99"/>
      <x:c r="J513" s="99"/>
      <x:c r="K513" s="99"/>
      <x:c r="L513" s="99"/>
      <x:c r="M513" s="99"/>
      <x:c r="N513" s="99"/>
      <x:c r="O513" s="99"/>
      <x:c r="P513" s="99"/>
      <x:c r="Q513" s="99"/>
      <x:c r="R513" s="99"/>
      <x:c r="S513" s="99"/>
      <x:c r="T513" s="99"/>
      <x:c r="U513" s="99"/>
      <x:c r="V513" s="99"/>
      <x:c r="W513" s="99"/>
      <x:c r="X513" s="99"/>
      <x:c r="Y513" s="99"/>
      <x:c r="Z513" s="99"/>
    </x:row>
    <x:row r="514">
      <x:c r="A514" s="99"/>
      <x:c r="B514" s="99"/>
      <x:c r="C514" s="99"/>
      <x:c r="D514" s="99"/>
      <x:c r="E514" s="99"/>
      <x:c r="F514" s="99"/>
      <x:c r="G514" s="99"/>
      <x:c r="H514" s="99"/>
      <x:c r="I514" s="99"/>
      <x:c r="J514" s="99"/>
      <x:c r="K514" s="99"/>
      <x:c r="L514" s="99"/>
      <x:c r="M514" s="99"/>
      <x:c r="N514" s="99"/>
      <x:c r="O514" s="99"/>
      <x:c r="P514" s="99"/>
      <x:c r="Q514" s="99"/>
      <x:c r="R514" s="99"/>
      <x:c r="S514" s="99"/>
      <x:c r="T514" s="99"/>
      <x:c r="U514" s="99"/>
      <x:c r="V514" s="99"/>
      <x:c r="W514" s="99"/>
      <x:c r="X514" s="99"/>
      <x:c r="Y514" s="99"/>
      <x:c r="Z514" s="99"/>
    </x:row>
    <x:row r="515">
      <x:c r="A515" s="99"/>
      <x:c r="B515" s="99"/>
      <x:c r="C515" s="99"/>
      <x:c r="D515" s="99"/>
      <x:c r="E515" s="99"/>
      <x:c r="F515" s="99"/>
      <x:c r="G515" s="99"/>
      <x:c r="H515" s="99"/>
      <x:c r="I515" s="99"/>
      <x:c r="J515" s="99"/>
      <x:c r="K515" s="99"/>
      <x:c r="L515" s="99"/>
      <x:c r="M515" s="99"/>
      <x:c r="N515" s="99"/>
      <x:c r="O515" s="99"/>
      <x:c r="P515" s="99"/>
      <x:c r="Q515" s="99"/>
      <x:c r="R515" s="99"/>
      <x:c r="S515" s="99"/>
      <x:c r="T515" s="99"/>
      <x:c r="U515" s="99"/>
      <x:c r="V515" s="99"/>
      <x:c r="W515" s="99"/>
      <x:c r="X515" s="99"/>
      <x:c r="Y515" s="99"/>
      <x:c r="Z515" s="99"/>
    </x:row>
    <x:row r="516">
      <x:c r="A516" s="99"/>
      <x:c r="B516" s="99"/>
      <x:c r="C516" s="99"/>
      <x:c r="D516" s="99"/>
      <x:c r="E516" s="99"/>
      <x:c r="F516" s="99"/>
      <x:c r="G516" s="99"/>
      <x:c r="H516" s="99"/>
      <x:c r="I516" s="99"/>
      <x:c r="J516" s="99"/>
      <x:c r="K516" s="99"/>
      <x:c r="L516" s="99"/>
      <x:c r="M516" s="99"/>
      <x:c r="N516" s="99"/>
      <x:c r="O516" s="99"/>
      <x:c r="P516" s="99"/>
      <x:c r="Q516" s="99"/>
      <x:c r="R516" s="99"/>
      <x:c r="S516" s="99"/>
      <x:c r="T516" s="99"/>
      <x:c r="U516" s="99"/>
      <x:c r="V516" s="99"/>
      <x:c r="W516" s="99"/>
      <x:c r="X516" s="99"/>
      <x:c r="Y516" s="99"/>
      <x:c r="Z516" s="99"/>
    </x:row>
    <x:row r="517">
      <x:c r="A517" s="99"/>
      <x:c r="B517" s="99"/>
      <x:c r="C517" s="99"/>
      <x:c r="D517" s="99"/>
      <x:c r="E517" s="99"/>
      <x:c r="F517" s="99"/>
      <x:c r="G517" s="99"/>
      <x:c r="H517" s="99"/>
      <x:c r="I517" s="99"/>
      <x:c r="J517" s="99"/>
      <x:c r="K517" s="99"/>
      <x:c r="L517" s="99"/>
      <x:c r="M517" s="99"/>
      <x:c r="N517" s="99"/>
      <x:c r="O517" s="99"/>
      <x:c r="P517" s="99"/>
      <x:c r="Q517" s="99"/>
      <x:c r="R517" s="99"/>
      <x:c r="S517" s="99"/>
      <x:c r="T517" s="99"/>
      <x:c r="U517" s="99"/>
      <x:c r="V517" s="99"/>
      <x:c r="W517" s="99"/>
      <x:c r="X517" s="99"/>
      <x:c r="Y517" s="99"/>
      <x:c r="Z517" s="99"/>
    </x:row>
    <x:row r="518">
      <x:c r="A518" s="99"/>
      <x:c r="B518" s="99"/>
      <x:c r="C518" s="99"/>
      <x:c r="D518" s="99"/>
      <x:c r="E518" s="99"/>
      <x:c r="F518" s="99"/>
      <x:c r="G518" s="99"/>
      <x:c r="H518" s="99"/>
      <x:c r="I518" s="99"/>
      <x:c r="J518" s="99"/>
      <x:c r="K518" s="99"/>
      <x:c r="L518" s="99"/>
      <x:c r="M518" s="99"/>
      <x:c r="N518" s="99"/>
      <x:c r="O518" s="99"/>
      <x:c r="P518" s="99"/>
      <x:c r="Q518" s="99"/>
      <x:c r="R518" s="99"/>
      <x:c r="S518" s="99"/>
      <x:c r="T518" s="99"/>
      <x:c r="U518" s="99"/>
      <x:c r="V518" s="99"/>
      <x:c r="W518" s="99"/>
      <x:c r="X518" s="99"/>
      <x:c r="Y518" s="99"/>
      <x:c r="Z518" s="99"/>
    </x:row>
    <x:row r="519">
      <x:c r="A519" s="99"/>
      <x:c r="B519" s="99"/>
      <x:c r="C519" s="99"/>
      <x:c r="D519" s="99"/>
      <x:c r="E519" s="99"/>
      <x:c r="F519" s="99"/>
      <x:c r="G519" s="99"/>
      <x:c r="H519" s="99"/>
      <x:c r="I519" s="99"/>
      <x:c r="J519" s="99"/>
      <x:c r="K519" s="99"/>
      <x:c r="L519" s="99"/>
      <x:c r="M519" s="99"/>
      <x:c r="N519" s="99"/>
      <x:c r="O519" s="99"/>
      <x:c r="P519" s="99"/>
      <x:c r="Q519" s="99"/>
      <x:c r="R519" s="99"/>
      <x:c r="S519" s="99"/>
      <x:c r="T519" s="99"/>
      <x:c r="U519" s="99"/>
      <x:c r="V519" s="99"/>
      <x:c r="W519" s="99"/>
      <x:c r="X519" s="99"/>
      <x:c r="Y519" s="99"/>
      <x:c r="Z519" s="99"/>
    </x:row>
    <x:row r="520">
      <x:c r="A520" s="99"/>
      <x:c r="B520" s="99"/>
      <x:c r="C520" s="99"/>
      <x:c r="D520" s="99"/>
      <x:c r="E520" s="99"/>
      <x:c r="F520" s="99"/>
      <x:c r="G520" s="99"/>
      <x:c r="H520" s="99"/>
      <x:c r="I520" s="99"/>
      <x:c r="J520" s="99"/>
      <x:c r="K520" s="99"/>
      <x:c r="L520" s="99"/>
      <x:c r="M520" s="99"/>
      <x:c r="N520" s="99"/>
      <x:c r="O520" s="99"/>
      <x:c r="P520" s="99"/>
      <x:c r="Q520" s="99"/>
      <x:c r="R520" s="99"/>
      <x:c r="S520" s="99"/>
      <x:c r="T520" s="99"/>
      <x:c r="U520" s="99"/>
      <x:c r="V520" s="99"/>
      <x:c r="W520" s="99"/>
      <x:c r="X520" s="99"/>
      <x:c r="Y520" s="99"/>
      <x:c r="Z520" s="99"/>
    </x:row>
  </x:sheetData>
  <x:mergeCells>
    <x:mergeCell ref="A1:Z1"/>
  </x:mergeCells>
  <x:conditionalFormatting sqref="J4:J503">
    <x:cfRule type="expression" dxfId="1" priority="1">
      <x:formula>$J4&lt;&gt;"OK"</x:formula>
    </x:cfRule>
  </x:conditionalFormatting>
  <x:conditionalFormatting sqref="K4:K503">
    <x:cfRule type="expression" dxfId="2" priority="2">
      <x:formula>$K4="Yes"</x:formula>
    </x:cfRule>
    <x:cfRule type="expression" dxfId="3" priority="3">
      <x:formula>$K4="No"</x:formula>
    </x:cfRule>
  </x:conditionalFormatting>
  <x:dataValidations count="3">
    <x:dataValidation type="list" sqref="C4:C503">
      <x:formula1>"Yes,No"</x:formula1>
    </x:dataValidation>
    <x:dataValidation type="list" sqref="G4:G503">
      <x:formula1>"Yes,No"</x:formula1>
    </x:dataValidation>
    <x:dataValidation type="decimal" operator="between" sqref="M4:X503">
      <x:formula1>1</x:formula1>
      <x:formula2>5</x:formula2>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4" hidden="0" customWidth="1"/>
    <x:col min="3" max="3" width="14" hidden="0" customWidth="1"/>
  </x:cols>
  <x:sheetData>
    <x:row r="1">
      <x:c r="A1" s="165" t="str">
        <x:v>RESPONSE QA — transparent exclusion accounting</x:v>
      </x:c>
      <x:c r="B1" s="165"/>
      <x:c r="C1" s="165"/>
      <x:c r="D1" s="165"/>
      <x:c r="E1" s="165"/>
      <x:c r="F1" s="165"/>
      <x:c r="G1" s="165"/>
      <x:c r="H1" s="165"/>
      <x:c r="I1" s="99"/>
      <x:c r="J1" s="99"/>
      <x:c r="K1" s="99"/>
      <x:c r="L1" s="99"/>
      <x:c r="M1" s="99"/>
      <x:c r="N1" s="99"/>
      <x:c r="O1" s="99"/>
      <x:c r="P1" s="99"/>
      <x:c r="Q1" s="99"/>
      <x:c r="R1" s="99"/>
      <x:c r="S1" s="99"/>
      <x:c r="T1" s="99"/>
      <x:c r="U1" s="99"/>
      <x:c r="V1" s="99"/>
      <x:c r="W1" s="99"/>
      <x:c r="X1" s="99"/>
      <x:c r="Y1" s="99"/>
      <x:c r="Z1" s="99"/>
    </x:row>
    <x:row r="2">
      <x:c r="A2" s="99"/>
      <x:c r="B2" s="99"/>
      <x:c r="C2" s="99"/>
      <x:c r="D2" s="99"/>
      <x:c r="E2" s="99"/>
      <x:c r="F2" s="99"/>
      <x:c r="G2" s="99"/>
      <x:c r="H2" s="99"/>
      <x:c r="I2" s="99"/>
      <x:c r="J2" s="99"/>
      <x:c r="K2" s="99"/>
      <x:c r="L2" s="99"/>
      <x:c r="M2" s="99"/>
      <x:c r="N2" s="99"/>
      <x:c r="O2" s="99"/>
      <x:c r="P2" s="99"/>
      <x:c r="Q2" s="99"/>
      <x:c r="R2" s="99"/>
      <x:c r="S2" s="99"/>
      <x:c r="T2" s="99"/>
      <x:c r="U2" s="99"/>
      <x:c r="V2" s="99"/>
      <x:c r="W2" s="99"/>
      <x:c r="X2" s="99"/>
      <x:c r="Y2" s="99"/>
      <x:c r="Z2" s="99"/>
    </x:row>
    <x:row r="3">
      <x:c r="A3" s="101" t="str">
        <x:v>Measure</x:v>
      </x:c>
      <x:c r="B3" s="101" t="str">
        <x:v>Count</x:v>
      </x:c>
      <x:c r="C3" s="101" t="str">
        <x:v>Share</x:v>
      </x:c>
      <x:c r="D3" s="99"/>
      <x:c r="E3" s="106" t="str">
        <x:v>QA interpretation</x:v>
      </x:c>
      <x:c r="F3" s="106"/>
      <x:c r="G3" s="106"/>
      <x:c r="H3" s="106"/>
      <x:c r="I3" s="99"/>
      <x:c r="J3" s="99"/>
      <x:c r="K3" s="99"/>
      <x:c r="L3" s="99"/>
      <x:c r="M3" s="99"/>
      <x:c r="N3" s="99"/>
      <x:c r="O3" s="99"/>
      <x:c r="P3" s="99"/>
      <x:c r="Q3" s="99"/>
      <x:c r="R3" s="99"/>
      <x:c r="S3" s="99"/>
      <x:c r="T3" s="99"/>
      <x:c r="U3" s="99"/>
      <x:c r="V3" s="99"/>
      <x:c r="W3" s="99"/>
      <x:c r="X3" s="99"/>
      <x:c r="Y3" s="99"/>
      <x:c r="Z3" s="99"/>
    </x:row>
    <x:row r="4">
      <x:c r="A4" s="106" t="str">
        <x:v>Responses Pasted</x:v>
      </x:c>
      <x:c r="B4" s="103" t="n">
        <x:f>COUNTIF('RESPONSE DATA'!A4:A503,"&lt;&gt;")</x:f>
        <x:v>0</x:v>
      </x:c>
      <x:c r="C4" s="135" t="n">
        <x:f>IF($B$4=0,0,B4/$B$4)</x:f>
        <x:v>0</x:v>
      </x:c>
      <x:c r="D4" s="99"/>
      <x:c r="E4" s="107" t="str">
        <x:v>Define exclusions before looking for a preferred result. Review flagged rows when appropriate rather than automatically deleting them. Report how many responses were excluded for each reason and whether exclusions materially change the conclusions.</x:v>
      </x:c>
      <x:c r="F4" s="107"/>
      <x:c r="G4" s="107"/>
      <x:c r="H4" s="107"/>
      <x:c r="I4" s="99"/>
      <x:c r="J4" s="99"/>
      <x:c r="K4" s="99"/>
      <x:c r="L4" s="99"/>
      <x:c r="M4" s="99"/>
      <x:c r="N4" s="99"/>
      <x:c r="O4" s="99"/>
      <x:c r="P4" s="99"/>
      <x:c r="Q4" s="99"/>
      <x:c r="R4" s="99"/>
      <x:c r="S4" s="99"/>
      <x:c r="T4" s="99"/>
      <x:c r="U4" s="99"/>
      <x:c r="V4" s="99"/>
      <x:c r="W4" s="99"/>
      <x:c r="X4" s="99"/>
      <x:c r="Y4" s="99"/>
      <x:c r="Z4" s="99"/>
    </x:row>
    <x:row r="5">
      <x:c r="A5" s="106" t="str">
        <x:v>Included</x:v>
      </x:c>
      <x:c r="B5" s="103" t="n">
        <x:f>COUNTIF('RESPONSE DATA'!K4:K503,"Yes")</x:f>
        <x:v>0</x:v>
      </x:c>
      <x:c r="C5" s="135" t="n">
        <x:f>IF($B$4=0,0,B5/$B$4)</x:f>
        <x:v>0</x:v>
      </x:c>
      <x:c r="D5" s="99"/>
      <x:c r="E5" s="107"/>
      <x:c r="F5" s="107"/>
      <x:c r="G5" s="107"/>
      <x:c r="H5" s="107"/>
      <x:c r="I5" s="99"/>
      <x:c r="J5" s="99"/>
      <x:c r="K5" s="99"/>
      <x:c r="L5" s="99"/>
      <x:c r="M5" s="99"/>
      <x:c r="N5" s="99"/>
      <x:c r="O5" s="99"/>
      <x:c r="P5" s="99"/>
      <x:c r="Q5" s="99"/>
      <x:c r="R5" s="99"/>
      <x:c r="S5" s="99"/>
      <x:c r="T5" s="99"/>
      <x:c r="U5" s="99"/>
      <x:c r="V5" s="99"/>
      <x:c r="W5" s="99"/>
      <x:c r="X5" s="99"/>
      <x:c r="Y5" s="99"/>
      <x:c r="Z5" s="99"/>
    </x:row>
    <x:row r="6">
      <x:c r="A6" s="106" t="str">
        <x:v>Excluded</x:v>
      </x:c>
      <x:c r="B6" s="103" t="n">
        <x:f>COUNTIF('RESPONSE DATA'!K4:K503,"No")</x:f>
        <x:v>0</x:v>
      </x:c>
      <x:c r="C6" s="135" t="n">
        <x:f>IF($B$4=0,0,B6/$B$4)</x:f>
        <x:v>0</x:v>
      </x:c>
      <x:c r="D6" s="99"/>
      <x:c r="E6" s="107"/>
      <x:c r="F6" s="107"/>
      <x:c r="G6" s="107"/>
      <x:c r="H6" s="107"/>
      <x:c r="I6" s="99"/>
      <x:c r="J6" s="99"/>
      <x:c r="K6" s="99"/>
      <x:c r="L6" s="99"/>
      <x:c r="M6" s="99"/>
      <x:c r="N6" s="99"/>
      <x:c r="O6" s="99"/>
      <x:c r="P6" s="99"/>
      <x:c r="Q6" s="99"/>
      <x:c r="R6" s="99"/>
      <x:c r="S6" s="99"/>
      <x:c r="T6" s="99"/>
      <x:c r="U6" s="99"/>
      <x:c r="V6" s="99"/>
      <x:c r="W6" s="99"/>
      <x:c r="X6" s="99"/>
      <x:c r="Y6" s="99"/>
      <x:c r="Z6" s="99"/>
    </x:row>
    <x:row r="7">
      <x:c r="A7" s="106" t="str">
        <x:v>No Consent</x:v>
      </x:c>
      <x:c r="B7" s="103" t="n">
        <x:f>COUNTIF('RESPONSE DATA'!J4:J503,"NO CONSENT")</x:f>
        <x:v>0</x:v>
      </x:c>
      <x:c r="C7" s="135" t="n">
        <x:f>IF($B$4=0,0,B7/$B$4)</x:f>
        <x:v>0</x:v>
      </x:c>
      <x:c r="D7" s="99"/>
      <x:c r="E7" s="107"/>
      <x:c r="F7" s="107"/>
      <x:c r="G7" s="107"/>
      <x:c r="H7" s="107"/>
      <x:c r="I7" s="99"/>
      <x:c r="J7" s="99"/>
      <x:c r="K7" s="99"/>
      <x:c r="L7" s="99"/>
      <x:c r="M7" s="99"/>
      <x:c r="N7" s="99"/>
      <x:c r="O7" s="99"/>
      <x:c r="P7" s="99"/>
      <x:c r="Q7" s="99"/>
      <x:c r="R7" s="99"/>
      <x:c r="S7" s="99"/>
      <x:c r="T7" s="99"/>
      <x:c r="U7" s="99"/>
      <x:c r="V7" s="99"/>
      <x:c r="W7" s="99"/>
      <x:c r="X7" s="99"/>
      <x:c r="Y7" s="99"/>
      <x:c r="Z7" s="99"/>
    </x:row>
    <x:row r="8">
      <x:c r="A8" s="106" t="str">
        <x:v>Speeding</x:v>
      </x:c>
      <x:c r="B8" s="103" t="n">
        <x:f>COUNTIF('RESPONSE DATA'!J4:J503,"SPEEDING")</x:f>
        <x:v>0</x:v>
      </x:c>
      <x:c r="C8" s="135" t="n">
        <x:f>IF($B$4=0,0,B8/$B$4)</x:f>
        <x:v>0</x:v>
      </x:c>
      <x:c r="D8" s="99"/>
      <x:c r="E8" s="107"/>
      <x:c r="F8" s="107"/>
      <x:c r="G8" s="107"/>
      <x:c r="H8" s="107"/>
      <x:c r="I8" s="99"/>
      <x:c r="J8" s="99"/>
      <x:c r="K8" s="99"/>
      <x:c r="L8" s="99"/>
      <x:c r="M8" s="99"/>
      <x:c r="N8" s="99"/>
      <x:c r="O8" s="99"/>
      <x:c r="P8" s="99"/>
      <x:c r="Q8" s="99"/>
      <x:c r="R8" s="99"/>
      <x:c r="S8" s="99"/>
      <x:c r="T8" s="99"/>
      <x:c r="U8" s="99"/>
      <x:c r="V8" s="99"/>
      <x:c r="W8" s="99"/>
      <x:c r="X8" s="99"/>
      <x:c r="Y8" s="99"/>
      <x:c r="Z8" s="99"/>
    </x:row>
    <x:row r="9">
      <x:c r="A9" s="106" t="str">
        <x:v>Attention Check</x:v>
      </x:c>
      <x:c r="B9" s="103" t="n">
        <x:f>COUNTIF('RESPONSE DATA'!J4:J503,"ATTENTION CHECK")</x:f>
        <x:v>0</x:v>
      </x:c>
      <x:c r="C9" s="135" t="n">
        <x:f>IF($B$4=0,0,B9/$B$4)</x:f>
        <x:v>0</x:v>
      </x:c>
      <x:c r="D9" s="99"/>
      <x:c r="E9" s="107"/>
      <x:c r="F9" s="107"/>
      <x:c r="G9" s="107"/>
      <x:c r="H9" s="107"/>
      <x:c r="I9" s="99"/>
      <x:c r="J9" s="99"/>
      <x:c r="K9" s="99"/>
      <x:c r="L9" s="99"/>
      <x:c r="M9" s="99"/>
      <x:c r="N9" s="99"/>
      <x:c r="O9" s="99"/>
      <x:c r="P9" s="99"/>
      <x:c r="Q9" s="99"/>
      <x:c r="R9" s="99"/>
      <x:c r="S9" s="99"/>
      <x:c r="T9" s="99"/>
      <x:c r="U9" s="99"/>
      <x:c r="V9" s="99"/>
      <x:c r="W9" s="99"/>
      <x:c r="X9" s="99"/>
      <x:c r="Y9" s="99"/>
      <x:c r="Z9" s="99"/>
    </x:row>
    <x:row r="10">
      <x:c r="A10" s="106" t="str">
        <x:v>Straightline Review</x:v>
      </x:c>
      <x:c r="B10" s="103" t="n">
        <x:f>COUNTIF('RESPONSE DATA'!J4:J503,"STRAIGHTLINE REVIEW")</x:f>
        <x:v>0</x:v>
      </x:c>
      <x:c r="C10" s="135" t="n">
        <x:f>IF($B$4=0,0,B10/$B$4)</x:f>
        <x:v>0</x:v>
      </x:c>
      <x:c r="D10" s="99"/>
      <x:c r="E10" s="107"/>
      <x:c r="F10" s="107"/>
      <x:c r="G10" s="107"/>
      <x:c r="H10" s="107"/>
      <x:c r="I10" s="99"/>
      <x:c r="J10" s="99"/>
      <x:c r="K10" s="99"/>
      <x:c r="L10" s="99"/>
      <x:c r="M10" s="99"/>
      <x:c r="N10" s="99"/>
      <x:c r="O10" s="99"/>
      <x:c r="P10" s="99"/>
      <x:c r="Q10" s="99"/>
      <x:c r="R10" s="99"/>
      <x:c r="S10" s="99"/>
      <x:c r="T10" s="99"/>
      <x:c r="U10" s="99"/>
      <x:c r="V10" s="99"/>
      <x:c r="W10" s="99"/>
      <x:c r="X10" s="99"/>
      <x:c r="Y10" s="99"/>
      <x:c r="Z10" s="99"/>
    </x:row>
    <x:row r="11">
      <x:c r="A11" s="106" t="str">
        <x:v>Missing Items</x:v>
      </x:c>
      <x:c r="B11" s="103" t="n">
        <x:f>COUNTIF('RESPONSE DATA'!J4:J503,"MISSING ITEMS")</x:f>
        <x:v>0</x:v>
      </x:c>
      <x:c r="C11" s="135" t="n">
        <x:f>IF($B$4=0,0,B11/$B$4)</x:f>
        <x:v>0</x:v>
      </x:c>
      <x:c r="D11" s="99"/>
      <x:c r="E11" s="99"/>
      <x:c r="F11" s="99"/>
      <x:c r="G11" s="99"/>
      <x:c r="H11" s="99"/>
      <x:c r="I11" s="99"/>
      <x:c r="J11" s="99"/>
      <x:c r="K11" s="99"/>
      <x:c r="L11" s="99"/>
      <x:c r="M11" s="99"/>
      <x:c r="N11" s="99"/>
      <x:c r="O11" s="99"/>
      <x:c r="P11" s="99"/>
      <x:c r="Q11" s="99"/>
      <x:c r="R11" s="99"/>
      <x:c r="S11" s="99"/>
      <x:c r="T11" s="99"/>
      <x:c r="U11" s="99"/>
      <x:c r="V11" s="99"/>
      <x:c r="W11" s="99"/>
      <x:c r="X11" s="99"/>
      <x:c r="Y11" s="99"/>
      <x:c r="Z11" s="99"/>
    </x:row>
    <x:row r="12">
      <x:c r="A12" s="99"/>
      <x:c r="B12" s="99"/>
      <x:c r="C12" s="99"/>
      <x:c r="D12" s="99"/>
      <x:c r="E12" s="99"/>
      <x:c r="F12" s="99"/>
      <x:c r="G12" s="99"/>
      <x:c r="H12" s="99"/>
      <x:c r="I12" s="99"/>
      <x:c r="J12" s="99"/>
      <x:c r="K12" s="99"/>
      <x:c r="L12" s="99"/>
      <x:c r="M12" s="99"/>
      <x:c r="N12" s="99"/>
      <x:c r="O12" s="99"/>
      <x:c r="P12" s="99"/>
      <x:c r="Q12" s="99"/>
      <x:c r="R12" s="99"/>
      <x:c r="S12" s="99"/>
      <x:c r="T12" s="99"/>
      <x:c r="U12" s="99"/>
      <x:c r="V12" s="99"/>
      <x:c r="W12" s="99"/>
      <x:c r="X12" s="99"/>
      <x:c r="Y12" s="99"/>
      <x:c r="Z12" s="99"/>
    </x:row>
    <x:row r="13">
      <x:c r="A13" s="99"/>
      <x:c r="B13" s="99"/>
      <x:c r="C13" s="99"/>
      <x:c r="D13" s="99"/>
      <x:c r="E13" s="99"/>
      <x:c r="F13" s="99"/>
      <x:c r="G13" s="99"/>
      <x:c r="H13" s="99"/>
      <x:c r="I13" s="99"/>
      <x:c r="J13" s="99"/>
      <x:c r="K13" s="99"/>
      <x:c r="L13" s="99"/>
      <x:c r="M13" s="99"/>
      <x:c r="N13" s="99"/>
      <x:c r="O13" s="99"/>
      <x:c r="P13" s="99"/>
      <x:c r="Q13" s="99"/>
      <x:c r="R13" s="99"/>
      <x:c r="S13" s="99"/>
      <x:c r="T13" s="99"/>
      <x:c r="U13" s="99"/>
      <x:c r="V13" s="99"/>
      <x:c r="W13" s="99"/>
      <x:c r="X13" s="99"/>
      <x:c r="Y13" s="99"/>
      <x:c r="Z13" s="99"/>
    </x:row>
    <x:row r="14">
      <x:c r="A14" s="99"/>
      <x:c r="B14" s="99"/>
      <x:c r="C14" s="99"/>
      <x:c r="D14" s="99"/>
      <x:c r="E14" s="99"/>
      <x:c r="F14" s="99"/>
      <x:c r="G14" s="99"/>
      <x:c r="H14" s="99"/>
      <x:c r="I14" s="99"/>
      <x:c r="J14" s="99"/>
      <x:c r="K14" s="99"/>
      <x:c r="L14" s="99"/>
      <x:c r="M14" s="99"/>
      <x:c r="N14" s="99"/>
      <x:c r="O14" s="99"/>
      <x:c r="P14" s="99"/>
      <x:c r="Q14" s="99"/>
      <x:c r="R14" s="99"/>
      <x:c r="S14" s="99"/>
      <x:c r="T14" s="99"/>
      <x:c r="U14" s="99"/>
      <x:c r="V14" s="99"/>
      <x:c r="W14" s="99"/>
      <x:c r="X14" s="99"/>
      <x:c r="Y14" s="99"/>
      <x:c r="Z14" s="99"/>
    </x:row>
    <x:row r="15">
      <x:c r="A15" s="99"/>
      <x:c r="B15" s="99"/>
      <x:c r="C15" s="99"/>
      <x:c r="D15" s="99"/>
      <x:c r="E15" s="99"/>
      <x:c r="F15" s="99"/>
      <x:c r="G15" s="99"/>
      <x:c r="H15" s="99"/>
      <x:c r="I15" s="99"/>
      <x:c r="J15" s="99"/>
      <x:c r="K15" s="99"/>
      <x:c r="L15" s="99"/>
      <x:c r="M15" s="99"/>
      <x:c r="N15" s="99"/>
      <x:c r="O15" s="99"/>
      <x:c r="P15" s="99"/>
      <x:c r="Q15" s="99"/>
      <x:c r="R15" s="99"/>
      <x:c r="S15" s="99"/>
      <x:c r="T15" s="99"/>
      <x:c r="U15" s="99"/>
      <x:c r="V15" s="99"/>
      <x:c r="W15" s="99"/>
      <x:c r="X15" s="99"/>
      <x:c r="Y15" s="99"/>
      <x:c r="Z15" s="99"/>
    </x:row>
    <x:row r="16">
      <x:c r="A16" s="99"/>
      <x:c r="B16" s="99"/>
      <x:c r="C16" s="99"/>
      <x:c r="D16" s="99"/>
      <x:c r="E16" s="99"/>
      <x:c r="F16" s="99"/>
      <x:c r="G16" s="99"/>
      <x:c r="H16" s="99"/>
      <x:c r="I16" s="99"/>
      <x:c r="J16" s="99"/>
      <x:c r="K16" s="99"/>
      <x:c r="L16" s="99"/>
      <x:c r="M16" s="99"/>
      <x:c r="N16" s="99"/>
      <x:c r="O16" s="99"/>
      <x:c r="P16" s="99"/>
      <x:c r="Q16" s="99"/>
      <x:c r="R16" s="99"/>
      <x:c r="S16" s="99"/>
      <x:c r="T16" s="99"/>
      <x:c r="U16" s="99"/>
      <x:c r="V16" s="99"/>
      <x:c r="W16" s="99"/>
      <x:c r="X16" s="99"/>
      <x:c r="Y16" s="99"/>
      <x:c r="Z16" s="99"/>
    </x:row>
    <x:row r="17">
      <x:c r="A17" s="99"/>
      <x:c r="B17" s="99"/>
      <x:c r="C17" s="99"/>
      <x:c r="D17" s="99"/>
      <x:c r="E17" s="99"/>
      <x:c r="F17" s="99"/>
      <x:c r="G17" s="99"/>
      <x:c r="H17" s="99"/>
      <x:c r="I17" s="99"/>
      <x:c r="J17" s="99"/>
      <x:c r="K17" s="99"/>
      <x:c r="L17" s="99"/>
      <x:c r="M17" s="99"/>
      <x:c r="N17" s="99"/>
      <x:c r="O17" s="99"/>
      <x:c r="P17" s="99"/>
      <x:c r="Q17" s="99"/>
      <x:c r="R17" s="99"/>
      <x:c r="S17" s="99"/>
      <x:c r="T17" s="99"/>
      <x:c r="U17" s="99"/>
      <x:c r="V17" s="99"/>
      <x:c r="W17" s="99"/>
      <x:c r="X17" s="99"/>
      <x:c r="Y17" s="99"/>
      <x:c r="Z17" s="99"/>
    </x:row>
    <x:row r="18">
      <x:c r="A18" s="99"/>
      <x:c r="B18" s="99"/>
      <x:c r="C18" s="99"/>
      <x:c r="D18" s="99"/>
      <x:c r="E18" s="99"/>
      <x:c r="F18" s="99"/>
      <x:c r="G18" s="99"/>
      <x:c r="H18" s="99"/>
      <x:c r="I18" s="99"/>
      <x:c r="J18" s="99"/>
      <x:c r="K18" s="99"/>
      <x:c r="L18" s="99"/>
      <x:c r="M18" s="99"/>
      <x:c r="N18" s="99"/>
      <x:c r="O18" s="99"/>
      <x:c r="P18" s="99"/>
      <x:c r="Q18" s="99"/>
      <x:c r="R18" s="99"/>
      <x:c r="S18" s="99"/>
      <x:c r="T18" s="99"/>
      <x:c r="U18" s="99"/>
      <x:c r="V18" s="99"/>
      <x:c r="W18" s="99"/>
      <x:c r="X18" s="99"/>
      <x:c r="Y18" s="99"/>
      <x:c r="Z18" s="99"/>
    </x:row>
    <x:row r="19">
      <x:c r="A19" s="99"/>
      <x:c r="B19" s="99"/>
      <x:c r="C19" s="99"/>
      <x:c r="D19" s="99"/>
      <x:c r="E19" s="99"/>
      <x:c r="F19" s="99"/>
      <x:c r="G19" s="99"/>
      <x:c r="H19" s="99"/>
      <x:c r="I19" s="99"/>
      <x:c r="J19" s="99"/>
      <x:c r="K19" s="99"/>
      <x:c r="L19" s="99"/>
      <x:c r="M19" s="99"/>
      <x:c r="N19" s="99"/>
      <x:c r="O19" s="99"/>
      <x:c r="P19" s="99"/>
      <x:c r="Q19" s="99"/>
      <x:c r="R19" s="99"/>
      <x:c r="S19" s="99"/>
      <x:c r="T19" s="99"/>
      <x:c r="U19" s="99"/>
      <x:c r="V19" s="99"/>
      <x:c r="W19" s="99"/>
      <x:c r="X19" s="99"/>
      <x:c r="Y19" s="99"/>
      <x:c r="Z19" s="99"/>
    </x:row>
    <x:row r="20">
      <x:c r="A20" s="99"/>
      <x:c r="B20" s="99"/>
      <x:c r="C20" s="99"/>
      <x:c r="D20" s="99"/>
      <x:c r="E20" s="99"/>
      <x:c r="F20" s="99"/>
      <x:c r="G20" s="99"/>
      <x:c r="H20" s="99"/>
      <x:c r="I20" s="99"/>
      <x:c r="J20" s="99"/>
      <x:c r="K20" s="99"/>
      <x:c r="L20" s="99"/>
      <x:c r="M20" s="99"/>
      <x:c r="N20" s="99"/>
      <x:c r="O20" s="99"/>
      <x:c r="P20" s="99"/>
      <x:c r="Q20" s="99"/>
      <x:c r="R20" s="99"/>
      <x:c r="S20" s="99"/>
      <x:c r="T20" s="99"/>
      <x:c r="U20" s="99"/>
      <x:c r="V20" s="99"/>
      <x:c r="W20" s="99"/>
      <x:c r="X20" s="99"/>
      <x:c r="Y20" s="99"/>
      <x:c r="Z20" s="99"/>
    </x:row>
    <x:row r="21">
      <x:c r="A21" s="99"/>
      <x:c r="B21" s="99"/>
      <x:c r="C21" s="99"/>
      <x:c r="D21" s="99"/>
      <x:c r="E21" s="99"/>
      <x:c r="F21" s="99"/>
      <x:c r="G21" s="99"/>
      <x:c r="H21" s="99"/>
      <x:c r="I21" s="99"/>
      <x:c r="J21" s="99"/>
      <x:c r="K21" s="99"/>
      <x:c r="L21" s="99"/>
      <x:c r="M21" s="99"/>
      <x:c r="N21" s="99"/>
      <x:c r="O21" s="99"/>
      <x:c r="P21" s="99"/>
      <x:c r="Q21" s="99"/>
      <x:c r="R21" s="99"/>
      <x:c r="S21" s="99"/>
      <x:c r="T21" s="99"/>
      <x:c r="U21" s="99"/>
      <x:c r="V21" s="99"/>
      <x:c r="W21" s="99"/>
      <x:c r="X21" s="99"/>
      <x:c r="Y21" s="99"/>
      <x:c r="Z21" s="99"/>
    </x:row>
    <x:row r="22">
      <x:c r="A22" s="99"/>
      <x:c r="B22" s="99"/>
      <x:c r="C22" s="99"/>
      <x:c r="D22" s="99"/>
      <x:c r="E22" s="99"/>
      <x:c r="F22" s="99"/>
      <x:c r="G22" s="99"/>
      <x:c r="H22" s="99"/>
      <x:c r="I22" s="99"/>
      <x:c r="J22" s="99"/>
      <x:c r="K22" s="99"/>
      <x:c r="L22" s="99"/>
      <x:c r="M22" s="99"/>
      <x:c r="N22" s="99"/>
      <x:c r="O22" s="99"/>
      <x:c r="P22" s="99"/>
      <x:c r="Q22" s="99"/>
      <x:c r="R22" s="99"/>
      <x:c r="S22" s="99"/>
      <x:c r="T22" s="99"/>
      <x:c r="U22" s="99"/>
      <x:c r="V22" s="99"/>
      <x:c r="W22" s="99"/>
      <x:c r="X22" s="99"/>
      <x:c r="Y22" s="99"/>
      <x:c r="Z22" s="99"/>
    </x:row>
    <x:row r="23">
      <x:c r="A23" s="99"/>
      <x:c r="B23" s="99"/>
      <x:c r="C23" s="99"/>
      <x:c r="D23" s="99"/>
      <x:c r="E23" s="99"/>
      <x:c r="F23" s="99"/>
      <x:c r="G23" s="99"/>
      <x:c r="H23" s="99"/>
      <x:c r="I23" s="99"/>
      <x:c r="J23" s="99"/>
      <x:c r="K23" s="99"/>
      <x:c r="L23" s="99"/>
      <x:c r="M23" s="99"/>
      <x:c r="N23" s="99"/>
      <x:c r="O23" s="99"/>
      <x:c r="P23" s="99"/>
      <x:c r="Q23" s="99"/>
      <x:c r="R23" s="99"/>
      <x:c r="S23" s="99"/>
      <x:c r="T23" s="99"/>
      <x:c r="U23" s="99"/>
      <x:c r="V23" s="99"/>
      <x:c r="W23" s="99"/>
      <x:c r="X23" s="99"/>
      <x:c r="Y23" s="99"/>
      <x:c r="Z23" s="99"/>
    </x:row>
    <x:row r="24">
      <x:c r="A24" s="99"/>
      <x:c r="B24" s="99"/>
      <x:c r="C24" s="99"/>
      <x:c r="D24" s="99"/>
      <x:c r="E24" s="99"/>
      <x:c r="F24" s="99"/>
      <x:c r="G24" s="99"/>
      <x:c r="H24" s="99"/>
      <x:c r="I24" s="99"/>
      <x:c r="J24" s="99"/>
      <x:c r="K24" s="99"/>
      <x:c r="L24" s="99"/>
      <x:c r="M24" s="99"/>
      <x:c r="N24" s="99"/>
      <x:c r="O24" s="99"/>
      <x:c r="P24" s="99"/>
      <x:c r="Q24" s="99"/>
      <x:c r="R24" s="99"/>
      <x:c r="S24" s="99"/>
      <x:c r="T24" s="99"/>
      <x:c r="U24" s="99"/>
      <x:c r="V24" s="99"/>
      <x:c r="W24" s="99"/>
      <x:c r="X24" s="99"/>
      <x:c r="Y24" s="99"/>
      <x:c r="Z24" s="99"/>
    </x:row>
    <x:row r="25">
      <x:c r="A25" s="99"/>
      <x:c r="B25" s="99"/>
      <x:c r="C25" s="99"/>
      <x:c r="D25" s="99"/>
      <x:c r="E25" s="99"/>
      <x:c r="F25" s="99"/>
      <x:c r="G25" s="99"/>
      <x:c r="H25" s="99"/>
      <x:c r="I25" s="99"/>
      <x:c r="J25" s="99"/>
      <x:c r="K25" s="99"/>
      <x:c r="L25" s="99"/>
      <x:c r="M25" s="99"/>
      <x:c r="N25" s="99"/>
      <x:c r="O25" s="99"/>
      <x:c r="P25" s="99"/>
      <x:c r="Q25" s="99"/>
      <x:c r="R25" s="99"/>
      <x:c r="S25" s="99"/>
      <x:c r="T25" s="99"/>
      <x:c r="U25" s="99"/>
      <x:c r="V25" s="99"/>
      <x:c r="W25" s="99"/>
      <x:c r="X25" s="99"/>
      <x:c r="Y25" s="99"/>
      <x:c r="Z25" s="99"/>
    </x:row>
    <x:row r="26">
      <x:c r="A26" s="99"/>
      <x:c r="B26" s="99"/>
      <x:c r="C26" s="99"/>
      <x:c r="D26" s="99"/>
      <x:c r="E26" s="99"/>
      <x:c r="F26" s="99"/>
      <x:c r="G26" s="99"/>
      <x:c r="H26" s="99"/>
      <x:c r="I26" s="99"/>
      <x:c r="J26" s="99"/>
      <x:c r="K26" s="99"/>
      <x:c r="L26" s="99"/>
      <x:c r="M26" s="99"/>
      <x:c r="N26" s="99"/>
      <x:c r="O26" s="99"/>
      <x:c r="P26" s="99"/>
      <x:c r="Q26" s="99"/>
      <x:c r="R26" s="99"/>
      <x:c r="S26" s="99"/>
      <x:c r="T26" s="99"/>
      <x:c r="U26" s="99"/>
      <x:c r="V26" s="99"/>
      <x:c r="W26" s="99"/>
      <x:c r="X26" s="99"/>
      <x:c r="Y26" s="99"/>
      <x:c r="Z26" s="99"/>
    </x:row>
    <x:row r="27">
      <x:c r="A27" s="99"/>
      <x:c r="B27" s="99"/>
      <x:c r="C27" s="99"/>
      <x:c r="D27" s="99"/>
      <x:c r="E27" s="99"/>
      <x:c r="F27" s="99"/>
      <x:c r="G27" s="99"/>
      <x:c r="H27" s="99"/>
      <x:c r="I27" s="99"/>
      <x:c r="J27" s="99"/>
      <x:c r="K27" s="99"/>
      <x:c r="L27" s="99"/>
      <x:c r="M27" s="99"/>
      <x:c r="N27" s="99"/>
      <x:c r="O27" s="99"/>
      <x:c r="P27" s="99"/>
      <x:c r="Q27" s="99"/>
      <x:c r="R27" s="99"/>
      <x:c r="S27" s="99"/>
      <x:c r="T27" s="99"/>
      <x:c r="U27" s="99"/>
      <x:c r="V27" s="99"/>
      <x:c r="W27" s="99"/>
      <x:c r="X27" s="99"/>
      <x:c r="Y27" s="99"/>
      <x:c r="Z27" s="99"/>
    </x:row>
    <x:row r="28">
      <x:c r="A28" s="99"/>
      <x:c r="B28" s="99"/>
      <x:c r="C28" s="99"/>
      <x:c r="D28" s="99"/>
      <x:c r="E28" s="99"/>
      <x:c r="F28" s="99"/>
      <x:c r="G28" s="99"/>
      <x:c r="H28" s="99"/>
      <x:c r="I28" s="99"/>
      <x:c r="J28" s="99"/>
      <x:c r="K28" s="99"/>
      <x:c r="L28" s="99"/>
      <x:c r="M28" s="99"/>
      <x:c r="N28" s="99"/>
      <x:c r="O28" s="99"/>
      <x:c r="P28" s="99"/>
      <x:c r="Q28" s="99"/>
      <x:c r="R28" s="99"/>
      <x:c r="S28" s="99"/>
      <x:c r="T28" s="99"/>
      <x:c r="U28" s="99"/>
      <x:c r="V28" s="99"/>
      <x:c r="W28" s="99"/>
      <x:c r="X28" s="99"/>
      <x:c r="Y28" s="99"/>
      <x:c r="Z28" s="99"/>
    </x:row>
    <x:row r="29">
      <x:c r="A29" s="99"/>
      <x:c r="B29" s="99"/>
      <x:c r="C29" s="99"/>
      <x:c r="D29" s="99"/>
      <x:c r="E29" s="99"/>
      <x:c r="F29" s="99"/>
      <x:c r="G29" s="99"/>
      <x:c r="H29" s="99"/>
      <x:c r="I29" s="99"/>
      <x:c r="J29" s="99"/>
      <x:c r="K29" s="99"/>
      <x:c r="L29" s="99"/>
      <x:c r="M29" s="99"/>
      <x:c r="N29" s="99"/>
      <x:c r="O29" s="99"/>
      <x:c r="P29" s="99"/>
      <x:c r="Q29" s="99"/>
      <x:c r="R29" s="99"/>
      <x:c r="S29" s="99"/>
      <x:c r="T29" s="99"/>
      <x:c r="U29" s="99"/>
      <x:c r="V29" s="99"/>
      <x:c r="W29" s="99"/>
      <x:c r="X29" s="99"/>
      <x:c r="Y29" s="99"/>
      <x:c r="Z29" s="99"/>
    </x:row>
    <x:row r="30">
      <x:c r="A30" s="99"/>
      <x:c r="B30" s="99"/>
      <x:c r="C30" s="99"/>
      <x:c r="D30" s="99"/>
      <x:c r="E30" s="99"/>
      <x:c r="F30" s="99"/>
      <x:c r="G30" s="99"/>
      <x:c r="H30" s="99"/>
      <x:c r="I30" s="99"/>
      <x:c r="J30" s="99"/>
      <x:c r="K30" s="99"/>
      <x:c r="L30" s="99"/>
      <x:c r="M30" s="99"/>
      <x:c r="N30" s="99"/>
      <x:c r="O30" s="99"/>
      <x:c r="P30" s="99"/>
      <x:c r="Q30" s="99"/>
      <x:c r="R30" s="99"/>
      <x:c r="S30" s="99"/>
      <x:c r="T30" s="99"/>
      <x:c r="U30" s="99"/>
      <x:c r="V30" s="99"/>
      <x:c r="W30" s="99"/>
      <x:c r="X30" s="99"/>
      <x:c r="Y30" s="99"/>
      <x:c r="Z30" s="99"/>
    </x:row>
    <x:row r="31">
      <x:c r="A31" s="99"/>
      <x:c r="B31" s="99"/>
      <x:c r="C31" s="99"/>
      <x:c r="D31" s="99"/>
      <x:c r="E31" s="99"/>
      <x:c r="F31" s="99"/>
      <x:c r="G31" s="99"/>
      <x:c r="H31" s="99"/>
      <x:c r="I31" s="99"/>
      <x:c r="J31" s="99"/>
      <x:c r="K31" s="99"/>
      <x:c r="L31" s="99"/>
      <x:c r="M31" s="99"/>
      <x:c r="N31" s="99"/>
      <x:c r="O31" s="99"/>
      <x:c r="P31" s="99"/>
      <x:c r="Q31" s="99"/>
      <x:c r="R31" s="99"/>
      <x:c r="S31" s="99"/>
      <x:c r="T31" s="99"/>
      <x:c r="U31" s="99"/>
      <x:c r="V31" s="99"/>
      <x:c r="W31" s="99"/>
      <x:c r="X31" s="99"/>
      <x:c r="Y31" s="99"/>
      <x:c r="Z31" s="99"/>
    </x:row>
    <x:row r="32">
      <x:c r="A32" s="99"/>
      <x:c r="B32" s="99"/>
      <x:c r="C32" s="99"/>
      <x:c r="D32" s="99"/>
      <x:c r="E32" s="99"/>
      <x:c r="F32" s="99"/>
      <x:c r="G32" s="99"/>
      <x:c r="H32" s="99"/>
      <x:c r="I32" s="99"/>
      <x:c r="J32" s="99"/>
      <x:c r="K32" s="99"/>
      <x:c r="L32" s="99"/>
      <x:c r="M32" s="99"/>
      <x:c r="N32" s="99"/>
      <x:c r="O32" s="99"/>
      <x:c r="P32" s="99"/>
      <x:c r="Q32" s="99"/>
      <x:c r="R32" s="99"/>
      <x:c r="S32" s="99"/>
      <x:c r="T32" s="99"/>
      <x:c r="U32" s="99"/>
      <x:c r="V32" s="99"/>
      <x:c r="W32" s="99"/>
      <x:c r="X32" s="99"/>
      <x:c r="Y32" s="99"/>
      <x:c r="Z32" s="99"/>
    </x:row>
    <x:row r="33">
      <x:c r="A33" s="99"/>
      <x:c r="B33" s="99"/>
      <x:c r="C33" s="99"/>
      <x:c r="D33" s="99"/>
      <x:c r="E33" s="99"/>
      <x:c r="F33" s="99"/>
      <x:c r="G33" s="99"/>
      <x:c r="H33" s="99"/>
      <x:c r="I33" s="99"/>
      <x:c r="J33" s="99"/>
      <x:c r="K33" s="99"/>
      <x:c r="L33" s="99"/>
      <x:c r="M33" s="99"/>
      <x:c r="N33" s="99"/>
      <x:c r="O33" s="99"/>
      <x:c r="P33" s="99"/>
      <x:c r="Q33" s="99"/>
      <x:c r="R33" s="99"/>
      <x:c r="S33" s="99"/>
      <x:c r="T33" s="99"/>
      <x:c r="U33" s="99"/>
      <x:c r="V33" s="99"/>
      <x:c r="W33" s="99"/>
      <x:c r="X33" s="99"/>
      <x:c r="Y33" s="99"/>
      <x:c r="Z33" s="99"/>
    </x:row>
    <x:row r="34">
      <x:c r="A34" s="99"/>
      <x:c r="B34" s="99"/>
      <x:c r="C34" s="99"/>
      <x:c r="D34" s="99"/>
      <x:c r="E34" s="99"/>
      <x:c r="F34" s="99"/>
      <x:c r="G34" s="99"/>
      <x:c r="H34" s="99"/>
      <x:c r="I34" s="99"/>
      <x:c r="J34" s="99"/>
      <x:c r="K34" s="99"/>
      <x:c r="L34" s="99"/>
      <x:c r="M34" s="99"/>
      <x:c r="N34" s="99"/>
      <x:c r="O34" s="99"/>
      <x:c r="P34" s="99"/>
      <x:c r="Q34" s="99"/>
      <x:c r="R34" s="99"/>
      <x:c r="S34" s="99"/>
      <x:c r="T34" s="99"/>
      <x:c r="U34" s="99"/>
      <x:c r="V34" s="99"/>
      <x:c r="W34" s="99"/>
      <x:c r="X34" s="99"/>
      <x:c r="Y34" s="99"/>
      <x:c r="Z34" s="99"/>
    </x:row>
    <x:row r="35">
      <x:c r="A35" s="99"/>
      <x:c r="B35" s="99"/>
      <x:c r="C35" s="99"/>
      <x:c r="D35" s="99"/>
      <x:c r="E35" s="99"/>
      <x:c r="F35" s="99"/>
      <x:c r="G35" s="99"/>
      <x:c r="H35" s="99"/>
      <x:c r="I35" s="99"/>
      <x:c r="J35" s="99"/>
      <x:c r="K35" s="99"/>
      <x:c r="L35" s="99"/>
      <x:c r="M35" s="99"/>
      <x:c r="N35" s="99"/>
      <x:c r="O35" s="99"/>
      <x:c r="P35" s="99"/>
      <x:c r="Q35" s="99"/>
      <x:c r="R35" s="99"/>
      <x:c r="S35" s="99"/>
      <x:c r="T35" s="99"/>
      <x:c r="U35" s="99"/>
      <x:c r="V35" s="99"/>
      <x:c r="W35" s="99"/>
      <x:c r="X35" s="99"/>
      <x:c r="Y35" s="99"/>
      <x:c r="Z35" s="99"/>
    </x:row>
    <x:row r="36">
      <x:c r="A36" s="99"/>
      <x:c r="B36" s="99"/>
      <x:c r="C36" s="99"/>
      <x:c r="D36" s="99"/>
      <x:c r="E36" s="99"/>
      <x:c r="F36" s="99"/>
      <x:c r="G36" s="99"/>
      <x:c r="H36" s="99"/>
      <x:c r="I36" s="99"/>
      <x:c r="J36" s="99"/>
      <x:c r="K36" s="99"/>
      <x:c r="L36" s="99"/>
      <x:c r="M36" s="99"/>
      <x:c r="N36" s="99"/>
      <x:c r="O36" s="99"/>
      <x:c r="P36" s="99"/>
      <x:c r="Q36" s="99"/>
      <x:c r="R36" s="99"/>
      <x:c r="S36" s="99"/>
      <x:c r="T36" s="99"/>
      <x:c r="U36" s="99"/>
      <x:c r="V36" s="99"/>
      <x:c r="W36" s="99"/>
      <x:c r="X36" s="99"/>
      <x:c r="Y36" s="99"/>
      <x:c r="Z36" s="99"/>
    </x:row>
    <x:row r="37">
      <x:c r="A37" s="99"/>
      <x:c r="B37" s="99"/>
      <x:c r="C37" s="99"/>
      <x:c r="D37" s="99"/>
      <x:c r="E37" s="99"/>
      <x:c r="F37" s="99"/>
      <x:c r="G37" s="99"/>
      <x:c r="H37" s="99"/>
      <x:c r="I37" s="99"/>
      <x:c r="J37" s="99"/>
      <x:c r="K37" s="99"/>
      <x:c r="L37" s="99"/>
      <x:c r="M37" s="99"/>
      <x:c r="N37" s="99"/>
      <x:c r="O37" s="99"/>
      <x:c r="P37" s="99"/>
      <x:c r="Q37" s="99"/>
      <x:c r="R37" s="99"/>
      <x:c r="S37" s="99"/>
      <x:c r="T37" s="99"/>
      <x:c r="U37" s="99"/>
      <x:c r="V37" s="99"/>
      <x:c r="W37" s="99"/>
      <x:c r="X37" s="99"/>
      <x:c r="Y37" s="99"/>
      <x:c r="Z37" s="99"/>
    </x:row>
    <x:row r="38">
      <x:c r="A38" s="99"/>
      <x:c r="B38" s="99"/>
      <x:c r="C38" s="99"/>
      <x:c r="D38" s="99"/>
      <x:c r="E38" s="99"/>
      <x:c r="F38" s="99"/>
      <x:c r="G38" s="99"/>
      <x:c r="H38" s="99"/>
      <x:c r="I38" s="99"/>
      <x:c r="J38" s="99"/>
      <x:c r="K38" s="99"/>
      <x:c r="L38" s="99"/>
      <x:c r="M38" s="99"/>
      <x:c r="N38" s="99"/>
      <x:c r="O38" s="99"/>
      <x:c r="P38" s="99"/>
      <x:c r="Q38" s="99"/>
      <x:c r="R38" s="99"/>
      <x:c r="S38" s="99"/>
      <x:c r="T38" s="99"/>
      <x:c r="U38" s="99"/>
      <x:c r="V38" s="99"/>
      <x:c r="W38" s="99"/>
      <x:c r="X38" s="99"/>
      <x:c r="Y38" s="99"/>
      <x:c r="Z38" s="99"/>
    </x:row>
    <x:row r="39">
      <x:c r="A39" s="99"/>
      <x:c r="B39" s="99"/>
      <x:c r="C39" s="99"/>
      <x:c r="D39" s="99"/>
      <x:c r="E39" s="99"/>
      <x:c r="F39" s="99"/>
      <x:c r="G39" s="99"/>
      <x:c r="H39" s="99"/>
      <x:c r="I39" s="99"/>
      <x:c r="J39" s="99"/>
      <x:c r="K39" s="99"/>
      <x:c r="L39" s="99"/>
      <x:c r="M39" s="99"/>
      <x:c r="N39" s="99"/>
      <x:c r="O39" s="99"/>
      <x:c r="P39" s="99"/>
      <x:c r="Q39" s="99"/>
      <x:c r="R39" s="99"/>
      <x:c r="S39" s="99"/>
      <x:c r="T39" s="99"/>
      <x:c r="U39" s="99"/>
      <x:c r="V39" s="99"/>
      <x:c r="W39" s="99"/>
      <x:c r="X39" s="99"/>
      <x:c r="Y39" s="99"/>
      <x:c r="Z39" s="99"/>
    </x:row>
    <x:row r="40">
      <x:c r="A40" s="99"/>
      <x:c r="B40" s="99"/>
      <x:c r="C40" s="99"/>
      <x:c r="D40" s="99"/>
      <x:c r="E40" s="99"/>
      <x:c r="F40" s="99"/>
      <x:c r="G40" s="99"/>
      <x:c r="H40" s="99"/>
      <x:c r="I40" s="99"/>
      <x:c r="J40" s="99"/>
      <x:c r="K40" s="99"/>
      <x:c r="L40" s="99"/>
      <x:c r="M40" s="99"/>
      <x:c r="N40" s="99"/>
      <x:c r="O40" s="99"/>
      <x:c r="P40" s="99"/>
      <x:c r="Q40" s="99"/>
      <x:c r="R40" s="99"/>
      <x:c r="S40" s="99"/>
      <x:c r="T40" s="99"/>
      <x:c r="U40" s="99"/>
      <x:c r="V40" s="99"/>
      <x:c r="W40" s="99"/>
      <x:c r="X40" s="99"/>
      <x:c r="Y40" s="99"/>
      <x:c r="Z40" s="99"/>
    </x:row>
    <x:row r="41">
      <x:c r="A41" s="99"/>
      <x:c r="B41" s="99"/>
      <x:c r="C41" s="99"/>
      <x:c r="D41" s="99"/>
      <x:c r="E41" s="99"/>
      <x:c r="F41" s="99"/>
      <x:c r="G41" s="99"/>
      <x:c r="H41" s="99"/>
      <x:c r="I41" s="99"/>
      <x:c r="J41" s="99"/>
      <x:c r="K41" s="99"/>
      <x:c r="L41" s="99"/>
      <x:c r="M41" s="99"/>
      <x:c r="N41" s="99"/>
      <x:c r="O41" s="99"/>
      <x:c r="P41" s="99"/>
      <x:c r="Q41" s="99"/>
      <x:c r="R41" s="99"/>
      <x:c r="S41" s="99"/>
      <x:c r="T41" s="99"/>
      <x:c r="U41" s="99"/>
      <x:c r="V41" s="99"/>
      <x:c r="W41" s="99"/>
      <x:c r="X41" s="99"/>
      <x:c r="Y41" s="99"/>
      <x:c r="Z41" s="99"/>
    </x:row>
    <x:row r="42">
      <x:c r="A42" s="99"/>
      <x:c r="B42" s="99"/>
      <x:c r="C42" s="99"/>
      <x:c r="D42" s="99"/>
      <x:c r="E42" s="99"/>
      <x:c r="F42" s="99"/>
      <x:c r="G42" s="99"/>
      <x:c r="H42" s="99"/>
      <x:c r="I42" s="99"/>
      <x:c r="J42" s="99"/>
      <x:c r="K42" s="99"/>
      <x:c r="L42" s="99"/>
      <x:c r="M42" s="99"/>
      <x:c r="N42" s="99"/>
      <x:c r="O42" s="99"/>
      <x:c r="P42" s="99"/>
      <x:c r="Q42" s="99"/>
      <x:c r="R42" s="99"/>
      <x:c r="S42" s="99"/>
      <x:c r="T42" s="99"/>
      <x:c r="U42" s="99"/>
      <x:c r="V42" s="99"/>
      <x:c r="W42" s="99"/>
      <x:c r="X42" s="99"/>
      <x:c r="Y42" s="99"/>
      <x:c r="Z42" s="99"/>
    </x:row>
    <x:row r="43">
      <x:c r="A43" s="99"/>
      <x:c r="B43" s="99"/>
      <x:c r="C43" s="99"/>
      <x:c r="D43" s="99"/>
      <x:c r="E43" s="99"/>
      <x:c r="F43" s="99"/>
      <x:c r="G43" s="99"/>
      <x:c r="H43" s="99"/>
      <x:c r="I43" s="99"/>
      <x:c r="J43" s="99"/>
      <x:c r="K43" s="99"/>
      <x:c r="L43" s="99"/>
      <x:c r="M43" s="99"/>
      <x:c r="N43" s="99"/>
      <x:c r="O43" s="99"/>
      <x:c r="P43" s="99"/>
      <x:c r="Q43" s="99"/>
      <x:c r="R43" s="99"/>
      <x:c r="S43" s="99"/>
      <x:c r="T43" s="99"/>
      <x:c r="U43" s="99"/>
      <x:c r="V43" s="99"/>
      <x:c r="W43" s="99"/>
      <x:c r="X43" s="99"/>
      <x:c r="Y43" s="99"/>
      <x:c r="Z43" s="99"/>
    </x:row>
    <x:row r="44">
      <x:c r="A44" s="99"/>
      <x:c r="B44" s="99"/>
      <x:c r="C44" s="99"/>
      <x:c r="D44" s="99"/>
      <x:c r="E44" s="99"/>
      <x:c r="F44" s="99"/>
      <x:c r="G44" s="99"/>
      <x:c r="H44" s="99"/>
      <x:c r="I44" s="99"/>
      <x:c r="J44" s="99"/>
      <x:c r="K44" s="99"/>
      <x:c r="L44" s="99"/>
      <x:c r="M44" s="99"/>
      <x:c r="N44" s="99"/>
      <x:c r="O44" s="99"/>
      <x:c r="P44" s="99"/>
      <x:c r="Q44" s="99"/>
      <x:c r="R44" s="99"/>
      <x:c r="S44" s="99"/>
      <x:c r="T44" s="99"/>
      <x:c r="U44" s="99"/>
      <x:c r="V44" s="99"/>
      <x:c r="W44" s="99"/>
      <x:c r="X44" s="99"/>
      <x:c r="Y44" s="99"/>
      <x:c r="Z44" s="99"/>
    </x:row>
    <x:row r="45">
      <x:c r="A45" s="99"/>
      <x:c r="B45" s="99"/>
      <x:c r="C45" s="99"/>
      <x:c r="D45" s="99"/>
      <x:c r="E45" s="99"/>
      <x:c r="F45" s="99"/>
      <x:c r="G45" s="99"/>
      <x:c r="H45" s="99"/>
      <x:c r="I45" s="99"/>
      <x:c r="J45" s="99"/>
      <x:c r="K45" s="99"/>
      <x:c r="L45" s="99"/>
      <x:c r="M45" s="99"/>
      <x:c r="N45" s="99"/>
      <x:c r="O45" s="99"/>
      <x:c r="P45" s="99"/>
      <x:c r="Q45" s="99"/>
      <x:c r="R45" s="99"/>
      <x:c r="S45" s="99"/>
      <x:c r="T45" s="99"/>
      <x:c r="U45" s="99"/>
      <x:c r="V45" s="99"/>
      <x:c r="W45" s="99"/>
      <x:c r="X45" s="99"/>
      <x:c r="Y45" s="99"/>
      <x:c r="Z45" s="99"/>
    </x:row>
    <x:row r="46">
      <x:c r="A46" s="99"/>
      <x:c r="B46" s="99"/>
      <x:c r="C46" s="99"/>
      <x:c r="D46" s="99"/>
      <x:c r="E46" s="99"/>
      <x:c r="F46" s="99"/>
      <x:c r="G46" s="99"/>
      <x:c r="H46" s="99"/>
      <x:c r="I46" s="99"/>
      <x:c r="J46" s="99"/>
      <x:c r="K46" s="99"/>
      <x:c r="L46" s="99"/>
      <x:c r="M46" s="99"/>
      <x:c r="N46" s="99"/>
      <x:c r="O46" s="99"/>
      <x:c r="P46" s="99"/>
      <x:c r="Q46" s="99"/>
      <x:c r="R46" s="99"/>
      <x:c r="S46" s="99"/>
      <x:c r="T46" s="99"/>
      <x:c r="U46" s="99"/>
      <x:c r="V46" s="99"/>
      <x:c r="W46" s="99"/>
      <x:c r="X46" s="99"/>
      <x:c r="Y46" s="99"/>
      <x:c r="Z46" s="99"/>
    </x:row>
    <x:row r="47">
      <x:c r="A47" s="99"/>
      <x:c r="B47" s="99"/>
      <x:c r="C47" s="99"/>
      <x:c r="D47" s="99"/>
      <x:c r="E47" s="99"/>
      <x:c r="F47" s="99"/>
      <x:c r="G47" s="99"/>
      <x:c r="H47" s="99"/>
      <x:c r="I47" s="99"/>
      <x:c r="J47" s="99"/>
      <x:c r="K47" s="99"/>
      <x:c r="L47" s="99"/>
      <x:c r="M47" s="99"/>
      <x:c r="N47" s="99"/>
      <x:c r="O47" s="99"/>
      <x:c r="P47" s="99"/>
      <x:c r="Q47" s="99"/>
      <x:c r="R47" s="99"/>
      <x:c r="S47" s="99"/>
      <x:c r="T47" s="99"/>
      <x:c r="U47" s="99"/>
      <x:c r="V47" s="99"/>
      <x:c r="W47" s="99"/>
      <x:c r="X47" s="99"/>
      <x:c r="Y47" s="99"/>
      <x:c r="Z47" s="99"/>
    </x:row>
    <x:row r="48">
      <x:c r="A48" s="99"/>
      <x:c r="B48" s="99"/>
      <x:c r="C48" s="99"/>
      <x:c r="D48" s="99"/>
      <x:c r="E48" s="99"/>
      <x:c r="F48" s="99"/>
      <x:c r="G48" s="99"/>
      <x:c r="H48" s="99"/>
      <x:c r="I48" s="99"/>
      <x:c r="J48" s="99"/>
      <x:c r="K48" s="99"/>
      <x:c r="L48" s="99"/>
      <x:c r="M48" s="99"/>
      <x:c r="N48" s="99"/>
      <x:c r="O48" s="99"/>
      <x:c r="P48" s="99"/>
      <x:c r="Q48" s="99"/>
      <x:c r="R48" s="99"/>
      <x:c r="S48" s="99"/>
      <x:c r="T48" s="99"/>
      <x:c r="U48" s="99"/>
      <x:c r="V48" s="99"/>
      <x:c r="W48" s="99"/>
      <x:c r="X48" s="99"/>
      <x:c r="Y48" s="99"/>
      <x:c r="Z48" s="99"/>
    </x:row>
    <x:row r="49">
      <x:c r="A49" s="99"/>
      <x:c r="B49" s="99"/>
      <x:c r="C49" s="99"/>
      <x:c r="D49" s="99"/>
      <x:c r="E49" s="99"/>
      <x:c r="F49" s="99"/>
      <x:c r="G49" s="99"/>
      <x:c r="H49" s="99"/>
      <x:c r="I49" s="99"/>
      <x:c r="J49" s="99"/>
      <x:c r="K49" s="99"/>
      <x:c r="L49" s="99"/>
      <x:c r="M49" s="99"/>
      <x:c r="N49" s="99"/>
      <x:c r="O49" s="99"/>
      <x:c r="P49" s="99"/>
      <x:c r="Q49" s="99"/>
      <x:c r="R49" s="99"/>
      <x:c r="S49" s="99"/>
      <x:c r="T49" s="99"/>
      <x:c r="U49" s="99"/>
      <x:c r="V49" s="99"/>
      <x:c r="W49" s="99"/>
      <x:c r="X49" s="99"/>
      <x:c r="Y49" s="99"/>
      <x:c r="Z49" s="99"/>
    </x:row>
    <x:row r="50">
      <x:c r="A50" s="99"/>
      <x:c r="B50" s="99"/>
      <x:c r="C50" s="99"/>
      <x:c r="D50" s="99"/>
      <x:c r="E50" s="99"/>
      <x:c r="F50" s="99"/>
      <x:c r="G50" s="99"/>
      <x:c r="H50" s="99"/>
      <x:c r="I50" s="99"/>
      <x:c r="J50" s="99"/>
      <x:c r="K50" s="99"/>
      <x:c r="L50" s="99"/>
      <x:c r="M50" s="99"/>
      <x:c r="N50" s="99"/>
      <x:c r="O50" s="99"/>
      <x:c r="P50" s="99"/>
      <x:c r="Q50" s="99"/>
      <x:c r="R50" s="99"/>
      <x:c r="S50" s="99"/>
      <x:c r="T50" s="99"/>
      <x:c r="U50" s="99"/>
      <x:c r="V50" s="99"/>
      <x:c r="W50" s="99"/>
      <x:c r="X50" s="99"/>
      <x:c r="Y50" s="99"/>
      <x:c r="Z50" s="99"/>
    </x:row>
    <x:row r="51">
      <x:c r="A51" s="99"/>
      <x:c r="B51" s="99"/>
      <x:c r="C51" s="99"/>
      <x:c r="D51" s="99"/>
      <x:c r="E51" s="99"/>
      <x:c r="F51" s="99"/>
      <x:c r="G51" s="99"/>
      <x:c r="H51" s="99"/>
      <x:c r="I51" s="99"/>
      <x:c r="J51" s="99"/>
      <x:c r="K51" s="99"/>
      <x:c r="L51" s="99"/>
      <x:c r="M51" s="99"/>
      <x:c r="N51" s="99"/>
      <x:c r="O51" s="99"/>
      <x:c r="P51" s="99"/>
      <x:c r="Q51" s="99"/>
      <x:c r="R51" s="99"/>
      <x:c r="S51" s="99"/>
      <x:c r="T51" s="99"/>
      <x:c r="U51" s="99"/>
      <x:c r="V51" s="99"/>
      <x:c r="W51" s="99"/>
      <x:c r="X51" s="99"/>
      <x:c r="Y51" s="99"/>
      <x:c r="Z51" s="99"/>
    </x:row>
    <x:row r="52">
      <x:c r="A52" s="99"/>
      <x:c r="B52" s="99"/>
      <x:c r="C52" s="99"/>
      <x:c r="D52" s="99"/>
      <x:c r="E52" s="99"/>
      <x:c r="F52" s="99"/>
      <x:c r="G52" s="99"/>
      <x:c r="H52" s="99"/>
      <x:c r="I52" s="99"/>
      <x:c r="J52" s="99"/>
      <x:c r="K52" s="99"/>
      <x:c r="L52" s="99"/>
      <x:c r="M52" s="99"/>
      <x:c r="N52" s="99"/>
      <x:c r="O52" s="99"/>
      <x:c r="P52" s="99"/>
      <x:c r="Q52" s="99"/>
      <x:c r="R52" s="99"/>
      <x:c r="S52" s="99"/>
      <x:c r="T52" s="99"/>
      <x:c r="U52" s="99"/>
      <x:c r="V52" s="99"/>
      <x:c r="W52" s="99"/>
      <x:c r="X52" s="99"/>
      <x:c r="Y52" s="99"/>
      <x:c r="Z52" s="99"/>
    </x:row>
    <x:row r="53">
      <x:c r="A53" s="99"/>
      <x:c r="B53" s="99"/>
      <x:c r="C53" s="99"/>
      <x:c r="D53" s="99"/>
      <x:c r="E53" s="99"/>
      <x:c r="F53" s="99"/>
      <x:c r="G53" s="99"/>
      <x:c r="H53" s="99"/>
      <x:c r="I53" s="99"/>
      <x:c r="J53" s="99"/>
      <x:c r="K53" s="99"/>
      <x:c r="L53" s="99"/>
      <x:c r="M53" s="99"/>
      <x:c r="N53" s="99"/>
      <x:c r="O53" s="99"/>
      <x:c r="P53" s="99"/>
      <x:c r="Q53" s="99"/>
      <x:c r="R53" s="99"/>
      <x:c r="S53" s="99"/>
      <x:c r="T53" s="99"/>
      <x:c r="U53" s="99"/>
      <x:c r="V53" s="99"/>
      <x:c r="W53" s="99"/>
      <x:c r="X53" s="99"/>
      <x:c r="Y53" s="99"/>
      <x:c r="Z53" s="99"/>
    </x:row>
    <x:row r="54">
      <x:c r="A54" s="99"/>
      <x:c r="B54" s="99"/>
      <x:c r="C54" s="99"/>
      <x:c r="D54" s="99"/>
      <x:c r="E54" s="99"/>
      <x:c r="F54" s="99"/>
      <x:c r="G54" s="99"/>
      <x:c r="H54" s="99"/>
      <x:c r="I54" s="99"/>
      <x:c r="J54" s="99"/>
      <x:c r="K54" s="99"/>
      <x:c r="L54" s="99"/>
      <x:c r="M54" s="99"/>
      <x:c r="N54" s="99"/>
      <x:c r="O54" s="99"/>
      <x:c r="P54" s="99"/>
      <x:c r="Q54" s="99"/>
      <x:c r="R54" s="99"/>
      <x:c r="S54" s="99"/>
      <x:c r="T54" s="99"/>
      <x:c r="U54" s="99"/>
      <x:c r="V54" s="99"/>
      <x:c r="W54" s="99"/>
      <x:c r="X54" s="99"/>
      <x:c r="Y54" s="99"/>
      <x:c r="Z54" s="99"/>
    </x:row>
    <x:row r="55">
      <x:c r="A55" s="99"/>
      <x:c r="B55" s="99"/>
      <x:c r="C55" s="99"/>
      <x:c r="D55" s="99"/>
      <x:c r="E55" s="99"/>
      <x:c r="F55" s="99"/>
      <x:c r="G55" s="99"/>
      <x:c r="H55" s="99"/>
      <x:c r="I55" s="99"/>
      <x:c r="J55" s="99"/>
      <x:c r="K55" s="99"/>
      <x:c r="L55" s="99"/>
      <x:c r="M55" s="99"/>
      <x:c r="N55" s="99"/>
      <x:c r="O55" s="99"/>
      <x:c r="P55" s="99"/>
      <x:c r="Q55" s="99"/>
      <x:c r="R55" s="99"/>
      <x:c r="S55" s="99"/>
      <x:c r="T55" s="99"/>
      <x:c r="U55" s="99"/>
      <x:c r="V55" s="99"/>
      <x:c r="W55" s="99"/>
      <x:c r="X55" s="99"/>
      <x:c r="Y55" s="99"/>
      <x:c r="Z55" s="99"/>
    </x:row>
    <x:row r="56">
      <x:c r="A56" s="99"/>
      <x:c r="B56" s="99"/>
      <x:c r="C56" s="99"/>
      <x:c r="D56" s="99"/>
      <x:c r="E56" s="99"/>
      <x:c r="F56" s="99"/>
      <x:c r="G56" s="99"/>
      <x:c r="H56" s="99"/>
      <x:c r="I56" s="99"/>
      <x:c r="J56" s="99"/>
      <x:c r="K56" s="99"/>
      <x:c r="L56" s="99"/>
      <x:c r="M56" s="99"/>
      <x:c r="N56" s="99"/>
      <x:c r="O56" s="99"/>
      <x:c r="P56" s="99"/>
      <x:c r="Q56" s="99"/>
      <x:c r="R56" s="99"/>
      <x:c r="S56" s="99"/>
      <x:c r="T56" s="99"/>
      <x:c r="U56" s="99"/>
      <x:c r="V56" s="99"/>
      <x:c r="W56" s="99"/>
      <x:c r="X56" s="99"/>
      <x:c r="Y56" s="99"/>
      <x:c r="Z56" s="99"/>
    </x:row>
    <x:row r="57">
      <x:c r="A57" s="99"/>
      <x:c r="B57" s="99"/>
      <x:c r="C57" s="99"/>
      <x:c r="D57" s="99"/>
      <x:c r="E57" s="99"/>
      <x:c r="F57" s="99"/>
      <x:c r="G57" s="99"/>
      <x:c r="H57" s="99"/>
      <x:c r="I57" s="99"/>
      <x:c r="J57" s="99"/>
      <x:c r="K57" s="99"/>
      <x:c r="L57" s="99"/>
      <x:c r="M57" s="99"/>
      <x:c r="N57" s="99"/>
      <x:c r="O57" s="99"/>
      <x:c r="P57" s="99"/>
      <x:c r="Q57" s="99"/>
      <x:c r="R57" s="99"/>
      <x:c r="S57" s="99"/>
      <x:c r="T57" s="99"/>
      <x:c r="U57" s="99"/>
      <x:c r="V57" s="99"/>
      <x:c r="W57" s="99"/>
      <x:c r="X57" s="99"/>
      <x:c r="Y57" s="99"/>
      <x:c r="Z57" s="99"/>
    </x:row>
    <x:row r="58">
      <x:c r="A58" s="99"/>
      <x:c r="B58" s="99"/>
      <x:c r="C58" s="99"/>
      <x:c r="D58" s="99"/>
      <x:c r="E58" s="99"/>
      <x:c r="F58" s="99"/>
      <x:c r="G58" s="99"/>
      <x:c r="H58" s="99"/>
      <x:c r="I58" s="99"/>
      <x:c r="J58" s="99"/>
      <x:c r="K58" s="99"/>
      <x:c r="L58" s="99"/>
      <x:c r="M58" s="99"/>
      <x:c r="N58" s="99"/>
      <x:c r="O58" s="99"/>
      <x:c r="P58" s="99"/>
      <x:c r="Q58" s="99"/>
      <x:c r="R58" s="99"/>
      <x:c r="S58" s="99"/>
      <x:c r="T58" s="99"/>
      <x:c r="U58" s="99"/>
      <x:c r="V58" s="99"/>
      <x:c r="W58" s="99"/>
      <x:c r="X58" s="99"/>
      <x:c r="Y58" s="99"/>
      <x:c r="Z58" s="99"/>
    </x:row>
    <x:row r="59">
      <x:c r="A59" s="99"/>
      <x:c r="B59" s="99"/>
      <x:c r="C59" s="99"/>
      <x:c r="D59" s="99"/>
      <x:c r="E59" s="99"/>
      <x:c r="F59" s="99"/>
      <x:c r="G59" s="99"/>
      <x:c r="H59" s="99"/>
      <x:c r="I59" s="99"/>
      <x:c r="J59" s="99"/>
      <x:c r="K59" s="99"/>
      <x:c r="L59" s="99"/>
      <x:c r="M59" s="99"/>
      <x:c r="N59" s="99"/>
      <x:c r="O59" s="99"/>
      <x:c r="P59" s="99"/>
      <x:c r="Q59" s="99"/>
      <x:c r="R59" s="99"/>
      <x:c r="S59" s="99"/>
      <x:c r="T59" s="99"/>
      <x:c r="U59" s="99"/>
      <x:c r="V59" s="99"/>
      <x:c r="W59" s="99"/>
      <x:c r="X59" s="99"/>
      <x:c r="Y59" s="99"/>
      <x:c r="Z59" s="99"/>
    </x:row>
    <x:row r="60">
      <x:c r="A60" s="99"/>
      <x:c r="B60" s="99"/>
      <x:c r="C60" s="99"/>
      <x:c r="D60" s="99"/>
      <x:c r="E60" s="99"/>
      <x:c r="F60" s="99"/>
      <x:c r="G60" s="99"/>
      <x:c r="H60" s="99"/>
      <x:c r="I60" s="99"/>
      <x:c r="J60" s="99"/>
      <x:c r="K60" s="99"/>
      <x:c r="L60" s="99"/>
      <x:c r="M60" s="99"/>
      <x:c r="N60" s="99"/>
      <x:c r="O60" s="99"/>
      <x:c r="P60" s="99"/>
      <x:c r="Q60" s="99"/>
      <x:c r="R60" s="99"/>
      <x:c r="S60" s="99"/>
      <x:c r="T60" s="99"/>
      <x:c r="U60" s="99"/>
      <x:c r="V60" s="99"/>
      <x:c r="W60" s="99"/>
      <x:c r="X60" s="99"/>
      <x:c r="Y60" s="99"/>
      <x:c r="Z60" s="99"/>
    </x:row>
    <x:row r="61">
      <x:c r="A61" s="99"/>
      <x:c r="B61" s="99"/>
      <x:c r="C61" s="99"/>
      <x:c r="D61" s="99"/>
      <x:c r="E61" s="99"/>
      <x:c r="F61" s="99"/>
      <x:c r="G61" s="99"/>
      <x:c r="H61" s="99"/>
      <x:c r="I61" s="99"/>
      <x:c r="J61" s="99"/>
      <x:c r="K61" s="99"/>
      <x:c r="L61" s="99"/>
      <x:c r="M61" s="99"/>
      <x:c r="N61" s="99"/>
      <x:c r="O61" s="99"/>
      <x:c r="P61" s="99"/>
      <x:c r="Q61" s="99"/>
      <x:c r="R61" s="99"/>
      <x:c r="S61" s="99"/>
      <x:c r="T61" s="99"/>
      <x:c r="U61" s="99"/>
      <x:c r="V61" s="99"/>
      <x:c r="W61" s="99"/>
      <x:c r="X61" s="99"/>
      <x:c r="Y61" s="99"/>
      <x:c r="Z61" s="99"/>
    </x:row>
    <x:row r="62">
      <x:c r="A62" s="99"/>
      <x:c r="B62" s="99"/>
      <x:c r="C62" s="99"/>
      <x:c r="D62" s="99"/>
      <x:c r="E62" s="99"/>
      <x:c r="F62" s="99"/>
      <x:c r="G62" s="99"/>
      <x:c r="H62" s="99"/>
      <x:c r="I62" s="99"/>
      <x:c r="J62" s="99"/>
      <x:c r="K62" s="99"/>
      <x:c r="L62" s="99"/>
      <x:c r="M62" s="99"/>
      <x:c r="N62" s="99"/>
      <x:c r="O62" s="99"/>
      <x:c r="P62" s="99"/>
      <x:c r="Q62" s="99"/>
      <x:c r="R62" s="99"/>
      <x:c r="S62" s="99"/>
      <x:c r="T62" s="99"/>
      <x:c r="U62" s="99"/>
      <x:c r="V62" s="99"/>
      <x:c r="W62" s="99"/>
      <x:c r="X62" s="99"/>
      <x:c r="Y62" s="99"/>
      <x:c r="Z62" s="99"/>
    </x:row>
    <x:row r="63">
      <x:c r="A63" s="99"/>
      <x:c r="B63" s="99"/>
      <x:c r="C63" s="99"/>
      <x:c r="D63" s="99"/>
      <x:c r="E63" s="99"/>
      <x:c r="F63" s="99"/>
      <x:c r="G63" s="99"/>
      <x:c r="H63" s="99"/>
      <x:c r="I63" s="99"/>
      <x:c r="J63" s="99"/>
      <x:c r="K63" s="99"/>
      <x:c r="L63" s="99"/>
      <x:c r="M63" s="99"/>
      <x:c r="N63" s="99"/>
      <x:c r="O63" s="99"/>
      <x:c r="P63" s="99"/>
      <x:c r="Q63" s="99"/>
      <x:c r="R63" s="99"/>
      <x:c r="S63" s="99"/>
      <x:c r="T63" s="99"/>
      <x:c r="U63" s="99"/>
      <x:c r="V63" s="99"/>
      <x:c r="W63" s="99"/>
      <x:c r="X63" s="99"/>
      <x:c r="Y63" s="99"/>
      <x:c r="Z63" s="99"/>
    </x:row>
    <x:row r="64">
      <x:c r="A64" s="99"/>
      <x:c r="B64" s="99"/>
      <x:c r="C64" s="99"/>
      <x:c r="D64" s="99"/>
      <x:c r="E64" s="99"/>
      <x:c r="F64" s="99"/>
      <x:c r="G64" s="99"/>
      <x:c r="H64" s="99"/>
      <x:c r="I64" s="99"/>
      <x:c r="J64" s="99"/>
      <x:c r="K64" s="99"/>
      <x:c r="L64" s="99"/>
      <x:c r="M64" s="99"/>
      <x:c r="N64" s="99"/>
      <x:c r="O64" s="99"/>
      <x:c r="P64" s="99"/>
      <x:c r="Q64" s="99"/>
      <x:c r="R64" s="99"/>
      <x:c r="S64" s="99"/>
      <x:c r="T64" s="99"/>
      <x:c r="U64" s="99"/>
      <x:c r="V64" s="99"/>
      <x:c r="W64" s="99"/>
      <x:c r="X64" s="99"/>
      <x:c r="Y64" s="99"/>
      <x:c r="Z64" s="99"/>
    </x:row>
    <x:row r="65">
      <x:c r="A65" s="99"/>
      <x:c r="B65" s="99"/>
      <x:c r="C65" s="99"/>
      <x:c r="D65" s="99"/>
      <x:c r="E65" s="99"/>
      <x:c r="F65" s="99"/>
      <x:c r="G65" s="99"/>
      <x:c r="H65" s="99"/>
      <x:c r="I65" s="99"/>
      <x:c r="J65" s="99"/>
      <x:c r="K65" s="99"/>
      <x:c r="L65" s="99"/>
      <x:c r="M65" s="99"/>
      <x:c r="N65" s="99"/>
      <x:c r="O65" s="99"/>
      <x:c r="P65" s="99"/>
      <x:c r="Q65" s="99"/>
      <x:c r="R65" s="99"/>
      <x:c r="S65" s="99"/>
      <x:c r="T65" s="99"/>
      <x:c r="U65" s="99"/>
      <x:c r="V65" s="99"/>
      <x:c r="W65" s="99"/>
      <x:c r="X65" s="99"/>
      <x:c r="Y65" s="99"/>
      <x:c r="Z65" s="99"/>
    </x:row>
    <x:row r="66">
      <x:c r="A66" s="99"/>
      <x:c r="B66" s="99"/>
      <x:c r="C66" s="99"/>
      <x:c r="D66" s="99"/>
      <x:c r="E66" s="99"/>
      <x:c r="F66" s="99"/>
      <x:c r="G66" s="99"/>
      <x:c r="H66" s="99"/>
      <x:c r="I66" s="99"/>
      <x:c r="J66" s="99"/>
      <x:c r="K66" s="99"/>
      <x:c r="L66" s="99"/>
      <x:c r="M66" s="99"/>
      <x:c r="N66" s="99"/>
      <x:c r="O66" s="99"/>
      <x:c r="P66" s="99"/>
      <x:c r="Q66" s="99"/>
      <x:c r="R66" s="99"/>
      <x:c r="S66" s="99"/>
      <x:c r="T66" s="99"/>
      <x:c r="U66" s="99"/>
      <x:c r="V66" s="99"/>
      <x:c r="W66" s="99"/>
      <x:c r="X66" s="99"/>
      <x:c r="Y66" s="99"/>
      <x:c r="Z66" s="99"/>
    </x:row>
    <x:row r="67">
      <x:c r="A67" s="99"/>
      <x:c r="B67" s="99"/>
      <x:c r="C67" s="99"/>
      <x:c r="D67" s="99"/>
      <x:c r="E67" s="99"/>
      <x:c r="F67" s="99"/>
      <x:c r="G67" s="99"/>
      <x:c r="H67" s="99"/>
      <x:c r="I67" s="99"/>
      <x:c r="J67" s="99"/>
      <x:c r="K67" s="99"/>
      <x:c r="L67" s="99"/>
      <x:c r="M67" s="99"/>
      <x:c r="N67" s="99"/>
      <x:c r="O67" s="99"/>
      <x:c r="P67" s="99"/>
      <x:c r="Q67" s="99"/>
      <x:c r="R67" s="99"/>
      <x:c r="S67" s="99"/>
      <x:c r="T67" s="99"/>
      <x:c r="U67" s="99"/>
      <x:c r="V67" s="99"/>
      <x:c r="W67" s="99"/>
      <x:c r="X67" s="99"/>
      <x:c r="Y67" s="99"/>
      <x:c r="Z67" s="99"/>
    </x:row>
    <x:row r="68">
      <x:c r="A68" s="99"/>
      <x:c r="B68" s="99"/>
      <x:c r="C68" s="99"/>
      <x:c r="D68" s="99"/>
      <x:c r="E68" s="99"/>
      <x:c r="F68" s="99"/>
      <x:c r="G68" s="99"/>
      <x:c r="H68" s="99"/>
      <x:c r="I68" s="99"/>
      <x:c r="J68" s="99"/>
      <x:c r="K68" s="99"/>
      <x:c r="L68" s="99"/>
      <x:c r="M68" s="99"/>
      <x:c r="N68" s="99"/>
      <x:c r="O68" s="99"/>
      <x:c r="P68" s="99"/>
      <x:c r="Q68" s="99"/>
      <x:c r="R68" s="99"/>
      <x:c r="S68" s="99"/>
      <x:c r="T68" s="99"/>
      <x:c r="U68" s="99"/>
      <x:c r="V68" s="99"/>
      <x:c r="W68" s="99"/>
      <x:c r="X68" s="99"/>
      <x:c r="Y68" s="99"/>
      <x:c r="Z68" s="99"/>
    </x:row>
    <x:row r="69">
      <x:c r="A69" s="99"/>
      <x:c r="B69" s="99"/>
      <x:c r="C69" s="99"/>
      <x:c r="D69" s="99"/>
      <x:c r="E69" s="99"/>
      <x:c r="F69" s="99"/>
      <x:c r="G69" s="99"/>
      <x:c r="H69" s="99"/>
      <x:c r="I69" s="99"/>
      <x:c r="J69" s="99"/>
      <x:c r="K69" s="99"/>
      <x:c r="L69" s="99"/>
      <x:c r="M69" s="99"/>
      <x:c r="N69" s="99"/>
      <x:c r="O69" s="99"/>
      <x:c r="P69" s="99"/>
      <x:c r="Q69" s="99"/>
      <x:c r="R69" s="99"/>
      <x:c r="S69" s="99"/>
      <x:c r="T69" s="99"/>
      <x:c r="U69" s="99"/>
      <x:c r="V69" s="99"/>
      <x:c r="W69" s="99"/>
      <x:c r="X69" s="99"/>
      <x:c r="Y69" s="99"/>
      <x:c r="Z69" s="99"/>
    </x:row>
    <x:row r="70">
      <x:c r="A70" s="99"/>
      <x:c r="B70" s="99"/>
      <x:c r="C70" s="99"/>
      <x:c r="D70" s="99"/>
      <x:c r="E70" s="99"/>
      <x:c r="F70" s="99"/>
      <x:c r="G70" s="99"/>
      <x:c r="H70" s="99"/>
      <x:c r="I70" s="99"/>
      <x:c r="J70" s="99"/>
      <x:c r="K70" s="99"/>
      <x:c r="L70" s="99"/>
      <x:c r="M70" s="99"/>
      <x:c r="N70" s="99"/>
      <x:c r="O70" s="99"/>
      <x:c r="P70" s="99"/>
      <x:c r="Q70" s="99"/>
      <x:c r="R70" s="99"/>
      <x:c r="S70" s="99"/>
      <x:c r="T70" s="99"/>
      <x:c r="U70" s="99"/>
      <x:c r="V70" s="99"/>
      <x:c r="W70" s="99"/>
      <x:c r="X70" s="99"/>
      <x:c r="Y70" s="99"/>
      <x:c r="Z70" s="99"/>
    </x:row>
    <x:row r="71">
      <x:c r="A71" s="99"/>
      <x:c r="B71" s="99"/>
      <x:c r="C71" s="99"/>
      <x:c r="D71" s="99"/>
      <x:c r="E71" s="99"/>
      <x:c r="F71" s="99"/>
      <x:c r="G71" s="99"/>
      <x:c r="H71" s="99"/>
      <x:c r="I71" s="99"/>
      <x:c r="J71" s="99"/>
      <x:c r="K71" s="99"/>
      <x:c r="L71" s="99"/>
      <x:c r="M71" s="99"/>
      <x:c r="N71" s="99"/>
      <x:c r="O71" s="99"/>
      <x:c r="P71" s="99"/>
      <x:c r="Q71" s="99"/>
      <x:c r="R71" s="99"/>
      <x:c r="S71" s="99"/>
      <x:c r="T71" s="99"/>
      <x:c r="U71" s="99"/>
      <x:c r="V71" s="99"/>
      <x:c r="W71" s="99"/>
      <x:c r="X71" s="99"/>
      <x:c r="Y71" s="99"/>
      <x:c r="Z71" s="99"/>
    </x:row>
    <x:row r="72">
      <x:c r="A72" s="99"/>
      <x:c r="B72" s="99"/>
      <x:c r="C72" s="99"/>
      <x:c r="D72" s="99"/>
      <x:c r="E72" s="99"/>
      <x:c r="F72" s="99"/>
      <x:c r="G72" s="99"/>
      <x:c r="H72" s="99"/>
      <x:c r="I72" s="99"/>
      <x:c r="J72" s="99"/>
      <x:c r="K72" s="99"/>
      <x:c r="L72" s="99"/>
      <x:c r="M72" s="99"/>
      <x:c r="N72" s="99"/>
      <x:c r="O72" s="99"/>
      <x:c r="P72" s="99"/>
      <x:c r="Q72" s="99"/>
      <x:c r="R72" s="99"/>
      <x:c r="S72" s="99"/>
      <x:c r="T72" s="99"/>
      <x:c r="U72" s="99"/>
      <x:c r="V72" s="99"/>
      <x:c r="W72" s="99"/>
      <x:c r="X72" s="99"/>
      <x:c r="Y72" s="99"/>
      <x:c r="Z72" s="99"/>
    </x:row>
    <x:row r="73">
      <x:c r="A73" s="99"/>
      <x:c r="B73" s="99"/>
      <x:c r="C73" s="99"/>
      <x:c r="D73" s="99"/>
      <x:c r="E73" s="99"/>
      <x:c r="F73" s="99"/>
      <x:c r="G73" s="99"/>
      <x:c r="H73" s="99"/>
      <x:c r="I73" s="99"/>
      <x:c r="J73" s="99"/>
      <x:c r="K73" s="99"/>
      <x:c r="L73" s="99"/>
      <x:c r="M73" s="99"/>
      <x:c r="N73" s="99"/>
      <x:c r="O73" s="99"/>
      <x:c r="P73" s="99"/>
      <x:c r="Q73" s="99"/>
      <x:c r="R73" s="99"/>
      <x:c r="S73" s="99"/>
      <x:c r="T73" s="99"/>
      <x:c r="U73" s="99"/>
      <x:c r="V73" s="99"/>
      <x:c r="W73" s="99"/>
      <x:c r="X73" s="99"/>
      <x:c r="Y73" s="99"/>
      <x:c r="Z73" s="99"/>
    </x:row>
    <x:row r="74">
      <x:c r="A74" s="99"/>
      <x:c r="B74" s="99"/>
      <x:c r="C74" s="99"/>
      <x:c r="D74" s="99"/>
      <x:c r="E74" s="99"/>
      <x:c r="F74" s="99"/>
      <x:c r="G74" s="99"/>
      <x:c r="H74" s="99"/>
      <x:c r="I74" s="99"/>
      <x:c r="J74" s="99"/>
      <x:c r="K74" s="99"/>
      <x:c r="L74" s="99"/>
      <x:c r="M74" s="99"/>
      <x:c r="N74" s="99"/>
      <x:c r="O74" s="99"/>
      <x:c r="P74" s="99"/>
      <x:c r="Q74" s="99"/>
      <x:c r="R74" s="99"/>
      <x:c r="S74" s="99"/>
      <x:c r="T74" s="99"/>
      <x:c r="U74" s="99"/>
      <x:c r="V74" s="99"/>
      <x:c r="W74" s="99"/>
      <x:c r="X74" s="99"/>
      <x:c r="Y74" s="99"/>
      <x:c r="Z74" s="99"/>
    </x:row>
    <x:row r="75">
      <x:c r="A75" s="99"/>
      <x:c r="B75" s="99"/>
      <x:c r="C75" s="99"/>
      <x:c r="D75" s="99"/>
      <x:c r="E75" s="99"/>
      <x:c r="F75" s="99"/>
      <x:c r="G75" s="99"/>
      <x:c r="H75" s="99"/>
      <x:c r="I75" s="99"/>
      <x:c r="J75" s="99"/>
      <x:c r="K75" s="99"/>
      <x:c r="L75" s="99"/>
      <x:c r="M75" s="99"/>
      <x:c r="N75" s="99"/>
      <x:c r="O75" s="99"/>
      <x:c r="P75" s="99"/>
      <x:c r="Q75" s="99"/>
      <x:c r="R75" s="99"/>
      <x:c r="S75" s="99"/>
      <x:c r="T75" s="99"/>
      <x:c r="U75" s="99"/>
      <x:c r="V75" s="99"/>
      <x:c r="W75" s="99"/>
      <x:c r="X75" s="99"/>
      <x:c r="Y75" s="99"/>
      <x:c r="Z75" s="99"/>
    </x:row>
    <x:row r="76">
      <x:c r="A76" s="99"/>
      <x:c r="B76" s="99"/>
      <x:c r="C76" s="99"/>
      <x:c r="D76" s="99"/>
      <x:c r="E76" s="99"/>
      <x:c r="F76" s="99"/>
      <x:c r="G76" s="99"/>
      <x:c r="H76" s="99"/>
      <x:c r="I76" s="99"/>
      <x:c r="J76" s="99"/>
      <x:c r="K76" s="99"/>
      <x:c r="L76" s="99"/>
      <x:c r="M76" s="99"/>
      <x:c r="N76" s="99"/>
      <x:c r="O76" s="99"/>
      <x:c r="P76" s="99"/>
      <x:c r="Q76" s="99"/>
      <x:c r="R76" s="99"/>
      <x:c r="S76" s="99"/>
      <x:c r="T76" s="99"/>
      <x:c r="U76" s="99"/>
      <x:c r="V76" s="99"/>
      <x:c r="W76" s="99"/>
      <x:c r="X76" s="99"/>
      <x:c r="Y76" s="99"/>
      <x:c r="Z76" s="99"/>
    </x:row>
    <x:row r="77">
      <x:c r="A77" s="99"/>
      <x:c r="B77" s="99"/>
      <x:c r="C77" s="99"/>
      <x:c r="D77" s="99"/>
      <x:c r="E77" s="99"/>
      <x:c r="F77" s="99"/>
      <x:c r="G77" s="99"/>
      <x:c r="H77" s="99"/>
      <x:c r="I77" s="99"/>
      <x:c r="J77" s="99"/>
      <x:c r="K77" s="99"/>
      <x:c r="L77" s="99"/>
      <x:c r="M77" s="99"/>
      <x:c r="N77" s="99"/>
      <x:c r="O77" s="99"/>
      <x:c r="P77" s="99"/>
      <x:c r="Q77" s="99"/>
      <x:c r="R77" s="99"/>
      <x:c r="S77" s="99"/>
      <x:c r="T77" s="99"/>
      <x:c r="U77" s="99"/>
      <x:c r="V77" s="99"/>
      <x:c r="W77" s="99"/>
      <x:c r="X77" s="99"/>
      <x:c r="Y77" s="99"/>
      <x:c r="Z77" s="99"/>
    </x:row>
    <x:row r="78">
      <x:c r="A78" s="99"/>
      <x:c r="B78" s="99"/>
      <x:c r="C78" s="99"/>
      <x:c r="D78" s="99"/>
      <x:c r="E78" s="99"/>
      <x:c r="F78" s="99"/>
      <x:c r="G78" s="99"/>
      <x:c r="H78" s="99"/>
      <x:c r="I78" s="99"/>
      <x:c r="J78" s="99"/>
      <x:c r="K78" s="99"/>
      <x:c r="L78" s="99"/>
      <x:c r="M78" s="99"/>
      <x:c r="N78" s="99"/>
      <x:c r="O78" s="99"/>
      <x:c r="P78" s="99"/>
      <x:c r="Q78" s="99"/>
      <x:c r="R78" s="99"/>
      <x:c r="S78" s="99"/>
      <x:c r="T78" s="99"/>
      <x:c r="U78" s="99"/>
      <x:c r="V78" s="99"/>
      <x:c r="W78" s="99"/>
      <x:c r="X78" s="99"/>
      <x:c r="Y78" s="99"/>
      <x:c r="Z78" s="99"/>
    </x:row>
    <x:row r="79">
      <x:c r="A79" s="99"/>
      <x:c r="B79" s="99"/>
      <x:c r="C79" s="99"/>
      <x:c r="D79" s="99"/>
      <x:c r="E79" s="99"/>
      <x:c r="F79" s="99"/>
      <x:c r="G79" s="99"/>
      <x:c r="H79" s="99"/>
      <x:c r="I79" s="99"/>
      <x:c r="J79" s="99"/>
      <x:c r="K79" s="99"/>
      <x:c r="L79" s="99"/>
      <x:c r="M79" s="99"/>
      <x:c r="N79" s="99"/>
      <x:c r="O79" s="99"/>
      <x:c r="P79" s="99"/>
      <x:c r="Q79" s="99"/>
      <x:c r="R79" s="99"/>
      <x:c r="S79" s="99"/>
      <x:c r="T79" s="99"/>
      <x:c r="U79" s="99"/>
      <x:c r="V79" s="99"/>
      <x:c r="W79" s="99"/>
      <x:c r="X79" s="99"/>
      <x:c r="Y79" s="99"/>
      <x:c r="Z79" s="99"/>
    </x:row>
    <x:row r="80">
      <x:c r="A80" s="99"/>
      <x:c r="B80" s="99"/>
      <x:c r="C80" s="99"/>
      <x:c r="D80" s="99"/>
      <x:c r="E80" s="99"/>
      <x:c r="F80" s="99"/>
      <x:c r="G80" s="99"/>
      <x:c r="H80" s="99"/>
      <x:c r="I80" s="99"/>
      <x:c r="J80" s="99"/>
      <x:c r="K80" s="99"/>
      <x:c r="L80" s="99"/>
      <x:c r="M80" s="99"/>
      <x:c r="N80" s="99"/>
      <x:c r="O80" s="99"/>
      <x:c r="P80" s="99"/>
      <x:c r="Q80" s="99"/>
      <x:c r="R80" s="99"/>
      <x:c r="S80" s="99"/>
      <x:c r="T80" s="99"/>
      <x:c r="U80" s="99"/>
      <x:c r="V80" s="99"/>
      <x:c r="W80" s="99"/>
      <x:c r="X80" s="99"/>
      <x:c r="Y80" s="99"/>
      <x:c r="Z80" s="99"/>
    </x:row>
    <x:row r="81">
      <x:c r="A81" s="99"/>
      <x:c r="B81" s="99"/>
      <x:c r="C81" s="99"/>
      <x:c r="D81" s="99"/>
      <x:c r="E81" s="99"/>
      <x:c r="F81" s="99"/>
      <x:c r="G81" s="99"/>
      <x:c r="H81" s="99"/>
      <x:c r="I81" s="99"/>
      <x:c r="J81" s="99"/>
      <x:c r="K81" s="99"/>
      <x:c r="L81" s="99"/>
      <x:c r="M81" s="99"/>
      <x:c r="N81" s="99"/>
      <x:c r="O81" s="99"/>
      <x:c r="P81" s="99"/>
      <x:c r="Q81" s="99"/>
      <x:c r="R81" s="99"/>
      <x:c r="S81" s="99"/>
      <x:c r="T81" s="99"/>
      <x:c r="U81" s="99"/>
      <x:c r="V81" s="99"/>
      <x:c r="W81" s="99"/>
      <x:c r="X81" s="99"/>
      <x:c r="Y81" s="99"/>
      <x:c r="Z81" s="99"/>
    </x:row>
    <x:row r="82">
      <x:c r="A82" s="99"/>
      <x:c r="B82" s="99"/>
      <x:c r="C82" s="99"/>
      <x:c r="D82" s="99"/>
      <x:c r="E82" s="99"/>
      <x:c r="F82" s="99"/>
      <x:c r="G82" s="99"/>
      <x:c r="H82" s="99"/>
      <x:c r="I82" s="99"/>
      <x:c r="J82" s="99"/>
      <x:c r="K82" s="99"/>
      <x:c r="L82" s="99"/>
      <x:c r="M82" s="99"/>
      <x:c r="N82" s="99"/>
      <x:c r="O82" s="99"/>
      <x:c r="P82" s="99"/>
      <x:c r="Q82" s="99"/>
      <x:c r="R82" s="99"/>
      <x:c r="S82" s="99"/>
      <x:c r="T82" s="99"/>
      <x:c r="U82" s="99"/>
      <x:c r="V82" s="99"/>
      <x:c r="W82" s="99"/>
      <x:c r="X82" s="99"/>
      <x:c r="Y82" s="99"/>
      <x:c r="Z82" s="99"/>
    </x:row>
    <x:row r="83">
      <x:c r="A83" s="99"/>
      <x:c r="B83" s="99"/>
      <x:c r="C83" s="99"/>
      <x:c r="D83" s="99"/>
      <x:c r="E83" s="99"/>
      <x:c r="F83" s="99"/>
      <x:c r="G83" s="99"/>
      <x:c r="H83" s="99"/>
      <x:c r="I83" s="99"/>
      <x:c r="J83" s="99"/>
      <x:c r="K83" s="99"/>
      <x:c r="L83" s="99"/>
      <x:c r="M83" s="99"/>
      <x:c r="N83" s="99"/>
      <x:c r="O83" s="99"/>
      <x:c r="P83" s="99"/>
      <x:c r="Q83" s="99"/>
      <x:c r="R83" s="99"/>
      <x:c r="S83" s="99"/>
      <x:c r="T83" s="99"/>
      <x:c r="U83" s="99"/>
      <x:c r="V83" s="99"/>
      <x:c r="W83" s="99"/>
      <x:c r="X83" s="99"/>
      <x:c r="Y83" s="99"/>
      <x:c r="Z83" s="99"/>
    </x:row>
    <x:row r="84">
      <x:c r="A84" s="99"/>
      <x:c r="B84" s="99"/>
      <x:c r="C84" s="99"/>
      <x:c r="D84" s="99"/>
      <x:c r="E84" s="99"/>
      <x:c r="F84" s="99"/>
      <x:c r="G84" s="99"/>
      <x:c r="H84" s="99"/>
      <x:c r="I84" s="99"/>
      <x:c r="J84" s="99"/>
      <x:c r="K84" s="99"/>
      <x:c r="L84" s="99"/>
      <x:c r="M84" s="99"/>
      <x:c r="N84" s="99"/>
      <x:c r="O84" s="99"/>
      <x:c r="P84" s="99"/>
      <x:c r="Q84" s="99"/>
      <x:c r="R84" s="99"/>
      <x:c r="S84" s="99"/>
      <x:c r="T84" s="99"/>
      <x:c r="U84" s="99"/>
      <x:c r="V84" s="99"/>
      <x:c r="W84" s="99"/>
      <x:c r="X84" s="99"/>
      <x:c r="Y84" s="99"/>
      <x:c r="Z84" s="99"/>
    </x:row>
    <x:row r="85">
      <x:c r="A85" s="99"/>
      <x:c r="B85" s="99"/>
      <x:c r="C85" s="99"/>
      <x:c r="D85" s="99"/>
      <x:c r="E85" s="99"/>
      <x:c r="F85" s="99"/>
      <x:c r="G85" s="99"/>
      <x:c r="H85" s="99"/>
      <x:c r="I85" s="99"/>
      <x:c r="J85" s="99"/>
      <x:c r="K85" s="99"/>
      <x:c r="L85" s="99"/>
      <x:c r="M85" s="99"/>
      <x:c r="N85" s="99"/>
      <x:c r="O85" s="99"/>
      <x:c r="P85" s="99"/>
      <x:c r="Q85" s="99"/>
      <x:c r="R85" s="99"/>
      <x:c r="S85" s="99"/>
      <x:c r="T85" s="99"/>
      <x:c r="U85" s="99"/>
      <x:c r="V85" s="99"/>
      <x:c r="W85" s="99"/>
      <x:c r="X85" s="99"/>
      <x:c r="Y85" s="99"/>
      <x:c r="Z85" s="99"/>
    </x:row>
    <x:row r="86">
      <x:c r="A86" s="99"/>
      <x:c r="B86" s="99"/>
      <x:c r="C86" s="99"/>
      <x:c r="D86" s="99"/>
      <x:c r="E86" s="99"/>
      <x:c r="F86" s="99"/>
      <x:c r="G86" s="99"/>
      <x:c r="H86" s="99"/>
      <x:c r="I86" s="99"/>
      <x:c r="J86" s="99"/>
      <x:c r="K86" s="99"/>
      <x:c r="L86" s="99"/>
      <x:c r="M86" s="99"/>
      <x:c r="N86" s="99"/>
      <x:c r="O86" s="99"/>
      <x:c r="P86" s="99"/>
      <x:c r="Q86" s="99"/>
      <x:c r="R86" s="99"/>
      <x:c r="S86" s="99"/>
      <x:c r="T86" s="99"/>
      <x:c r="U86" s="99"/>
      <x:c r="V86" s="99"/>
      <x:c r="W86" s="99"/>
      <x:c r="X86" s="99"/>
      <x:c r="Y86" s="99"/>
      <x:c r="Z86" s="99"/>
    </x:row>
    <x:row r="87">
      <x:c r="A87" s="99"/>
      <x:c r="B87" s="99"/>
      <x:c r="C87" s="99"/>
      <x:c r="D87" s="99"/>
      <x:c r="E87" s="99"/>
      <x:c r="F87" s="99"/>
      <x:c r="G87" s="99"/>
      <x:c r="H87" s="99"/>
      <x:c r="I87" s="99"/>
      <x:c r="J87" s="99"/>
      <x:c r="K87" s="99"/>
      <x:c r="L87" s="99"/>
      <x:c r="M87" s="99"/>
      <x:c r="N87" s="99"/>
      <x:c r="O87" s="99"/>
      <x:c r="P87" s="99"/>
      <x:c r="Q87" s="99"/>
      <x:c r="R87" s="99"/>
      <x:c r="S87" s="99"/>
      <x:c r="T87" s="99"/>
      <x:c r="U87" s="99"/>
      <x:c r="V87" s="99"/>
      <x:c r="W87" s="99"/>
      <x:c r="X87" s="99"/>
      <x:c r="Y87" s="99"/>
      <x:c r="Z87" s="99"/>
    </x:row>
    <x:row r="88">
      <x:c r="A88" s="99"/>
      <x:c r="B88" s="99"/>
      <x:c r="C88" s="99"/>
      <x:c r="D88" s="99"/>
      <x:c r="E88" s="99"/>
      <x:c r="F88" s="99"/>
      <x:c r="G88" s="99"/>
      <x:c r="H88" s="99"/>
      <x:c r="I88" s="99"/>
      <x:c r="J88" s="99"/>
      <x:c r="K88" s="99"/>
      <x:c r="L88" s="99"/>
      <x:c r="M88" s="99"/>
      <x:c r="N88" s="99"/>
      <x:c r="O88" s="99"/>
      <x:c r="P88" s="99"/>
      <x:c r="Q88" s="99"/>
      <x:c r="R88" s="99"/>
      <x:c r="S88" s="99"/>
      <x:c r="T88" s="99"/>
      <x:c r="U88" s="99"/>
      <x:c r="V88" s="99"/>
      <x:c r="W88" s="99"/>
      <x:c r="X88" s="99"/>
      <x:c r="Y88" s="99"/>
      <x:c r="Z88" s="99"/>
    </x:row>
    <x:row r="89">
      <x:c r="A89" s="99"/>
      <x:c r="B89" s="99"/>
      <x:c r="C89" s="99"/>
      <x:c r="D89" s="99"/>
      <x:c r="E89" s="99"/>
      <x:c r="F89" s="99"/>
      <x:c r="G89" s="99"/>
      <x:c r="H89" s="99"/>
      <x:c r="I89" s="99"/>
      <x:c r="J89" s="99"/>
      <x:c r="K89" s="99"/>
      <x:c r="L89" s="99"/>
      <x:c r="M89" s="99"/>
      <x:c r="N89" s="99"/>
      <x:c r="O89" s="99"/>
      <x:c r="P89" s="99"/>
      <x:c r="Q89" s="99"/>
      <x:c r="R89" s="99"/>
      <x:c r="S89" s="99"/>
      <x:c r="T89" s="99"/>
      <x:c r="U89" s="99"/>
      <x:c r="V89" s="99"/>
      <x:c r="W89" s="99"/>
      <x:c r="X89" s="99"/>
      <x:c r="Y89" s="99"/>
      <x:c r="Z89" s="99"/>
    </x:row>
    <x:row r="90">
      <x:c r="A90" s="99"/>
      <x:c r="B90" s="99"/>
      <x:c r="C90" s="99"/>
      <x:c r="D90" s="99"/>
      <x:c r="E90" s="99"/>
      <x:c r="F90" s="99"/>
      <x:c r="G90" s="99"/>
      <x:c r="H90" s="99"/>
      <x:c r="I90" s="99"/>
      <x:c r="J90" s="99"/>
      <x:c r="K90" s="99"/>
      <x:c r="L90" s="99"/>
      <x:c r="M90" s="99"/>
      <x:c r="N90" s="99"/>
      <x:c r="O90" s="99"/>
      <x:c r="P90" s="99"/>
      <x:c r="Q90" s="99"/>
      <x:c r="R90" s="99"/>
      <x:c r="S90" s="99"/>
      <x:c r="T90" s="99"/>
      <x:c r="U90" s="99"/>
      <x:c r="V90" s="99"/>
      <x:c r="W90" s="99"/>
      <x:c r="X90" s="99"/>
      <x:c r="Y90" s="99"/>
      <x:c r="Z90" s="99"/>
    </x:row>
    <x:row r="91">
      <x:c r="A91" s="99"/>
      <x:c r="B91" s="99"/>
      <x:c r="C91" s="99"/>
      <x:c r="D91" s="99"/>
      <x:c r="E91" s="99"/>
      <x:c r="F91" s="99"/>
      <x:c r="G91" s="99"/>
      <x:c r="H91" s="99"/>
      <x:c r="I91" s="99"/>
      <x:c r="J91" s="99"/>
      <x:c r="K91" s="99"/>
      <x:c r="L91" s="99"/>
      <x:c r="M91" s="99"/>
      <x:c r="N91" s="99"/>
      <x:c r="O91" s="99"/>
      <x:c r="P91" s="99"/>
      <x:c r="Q91" s="99"/>
      <x:c r="R91" s="99"/>
      <x:c r="S91" s="99"/>
      <x:c r="T91" s="99"/>
      <x:c r="U91" s="99"/>
      <x:c r="V91" s="99"/>
      <x:c r="W91" s="99"/>
      <x:c r="X91" s="99"/>
      <x:c r="Y91" s="99"/>
      <x:c r="Z91" s="99"/>
    </x:row>
    <x:row r="92">
      <x:c r="A92" s="99"/>
      <x:c r="B92" s="99"/>
      <x:c r="C92" s="99"/>
      <x:c r="D92" s="99"/>
      <x:c r="E92" s="99"/>
      <x:c r="F92" s="99"/>
      <x:c r="G92" s="99"/>
      <x:c r="H92" s="99"/>
      <x:c r="I92" s="99"/>
      <x:c r="J92" s="99"/>
      <x:c r="K92" s="99"/>
      <x:c r="L92" s="99"/>
      <x:c r="M92" s="99"/>
      <x:c r="N92" s="99"/>
      <x:c r="O92" s="99"/>
      <x:c r="P92" s="99"/>
      <x:c r="Q92" s="99"/>
      <x:c r="R92" s="99"/>
      <x:c r="S92" s="99"/>
      <x:c r="T92" s="99"/>
      <x:c r="U92" s="99"/>
      <x:c r="V92" s="99"/>
      <x:c r="W92" s="99"/>
      <x:c r="X92" s="99"/>
      <x:c r="Y92" s="99"/>
      <x:c r="Z92" s="99"/>
    </x:row>
    <x:row r="93">
      <x:c r="A93" s="99"/>
      <x:c r="B93" s="99"/>
      <x:c r="C93" s="99"/>
      <x:c r="D93" s="99"/>
      <x:c r="E93" s="99"/>
      <x:c r="F93" s="99"/>
      <x:c r="G93" s="99"/>
      <x:c r="H93" s="99"/>
      <x:c r="I93" s="99"/>
      <x:c r="J93" s="99"/>
      <x:c r="K93" s="99"/>
      <x:c r="L93" s="99"/>
      <x:c r="M93" s="99"/>
      <x:c r="N93" s="99"/>
      <x:c r="O93" s="99"/>
      <x:c r="P93" s="99"/>
      <x:c r="Q93" s="99"/>
      <x:c r="R93" s="99"/>
      <x:c r="S93" s="99"/>
      <x:c r="T93" s="99"/>
      <x:c r="U93" s="99"/>
      <x:c r="V93" s="99"/>
      <x:c r="W93" s="99"/>
      <x:c r="X93" s="99"/>
      <x:c r="Y93" s="99"/>
      <x:c r="Z93" s="99"/>
    </x:row>
    <x:row r="94">
      <x:c r="A94" s="99"/>
      <x:c r="B94" s="99"/>
      <x:c r="C94" s="99"/>
      <x:c r="D94" s="99"/>
      <x:c r="E94" s="99"/>
      <x:c r="F94" s="99"/>
      <x:c r="G94" s="99"/>
      <x:c r="H94" s="99"/>
      <x:c r="I94" s="99"/>
      <x:c r="J94" s="99"/>
      <x:c r="K94" s="99"/>
      <x:c r="L94" s="99"/>
      <x:c r="M94" s="99"/>
      <x:c r="N94" s="99"/>
      <x:c r="O94" s="99"/>
      <x:c r="P94" s="99"/>
      <x:c r="Q94" s="99"/>
      <x:c r="R94" s="99"/>
      <x:c r="S94" s="99"/>
      <x:c r="T94" s="99"/>
      <x:c r="U94" s="99"/>
      <x:c r="V94" s="99"/>
      <x:c r="W94" s="99"/>
      <x:c r="X94" s="99"/>
      <x:c r="Y94" s="99"/>
      <x:c r="Z94" s="99"/>
    </x:row>
    <x:row r="95">
      <x:c r="A95" s="99"/>
      <x:c r="B95" s="99"/>
      <x:c r="C95" s="99"/>
      <x:c r="D95" s="99"/>
      <x:c r="E95" s="99"/>
      <x:c r="F95" s="99"/>
      <x:c r="G95" s="99"/>
      <x:c r="H95" s="99"/>
      <x:c r="I95" s="99"/>
      <x:c r="J95" s="99"/>
      <x:c r="K95" s="99"/>
      <x:c r="L95" s="99"/>
      <x:c r="M95" s="99"/>
      <x:c r="N95" s="99"/>
      <x:c r="O95" s="99"/>
      <x:c r="P95" s="99"/>
      <x:c r="Q95" s="99"/>
      <x:c r="R95" s="99"/>
      <x:c r="S95" s="99"/>
      <x:c r="T95" s="99"/>
      <x:c r="U95" s="99"/>
      <x:c r="V95" s="99"/>
      <x:c r="W95" s="99"/>
      <x:c r="X95" s="99"/>
      <x:c r="Y95" s="99"/>
      <x:c r="Z95" s="99"/>
    </x:row>
    <x:row r="96">
      <x:c r="A96" s="99"/>
      <x:c r="B96" s="99"/>
      <x:c r="C96" s="99"/>
      <x:c r="D96" s="99"/>
      <x:c r="E96" s="99"/>
      <x:c r="F96" s="99"/>
      <x:c r="G96" s="99"/>
      <x:c r="H96" s="99"/>
      <x:c r="I96" s="99"/>
      <x:c r="J96" s="99"/>
      <x:c r="K96" s="99"/>
      <x:c r="L96" s="99"/>
      <x:c r="M96" s="99"/>
      <x:c r="N96" s="99"/>
      <x:c r="O96" s="99"/>
      <x:c r="P96" s="99"/>
      <x:c r="Q96" s="99"/>
      <x:c r="R96" s="99"/>
      <x:c r="S96" s="99"/>
      <x:c r="T96" s="99"/>
      <x:c r="U96" s="99"/>
      <x:c r="V96" s="99"/>
      <x:c r="W96" s="99"/>
      <x:c r="X96" s="99"/>
      <x:c r="Y96" s="99"/>
      <x:c r="Z96" s="99"/>
    </x:row>
    <x:row r="97">
      <x:c r="A97" s="99"/>
      <x:c r="B97" s="99"/>
      <x:c r="C97" s="99"/>
      <x:c r="D97" s="99"/>
      <x:c r="E97" s="99"/>
      <x:c r="F97" s="99"/>
      <x:c r="G97" s="99"/>
      <x:c r="H97" s="99"/>
      <x:c r="I97" s="99"/>
      <x:c r="J97" s="99"/>
      <x:c r="K97" s="99"/>
      <x:c r="L97" s="99"/>
      <x:c r="M97" s="99"/>
      <x:c r="N97" s="99"/>
      <x:c r="O97" s="99"/>
      <x:c r="P97" s="99"/>
      <x:c r="Q97" s="99"/>
      <x:c r="R97" s="99"/>
      <x:c r="S97" s="99"/>
      <x:c r="T97" s="99"/>
      <x:c r="U97" s="99"/>
      <x:c r="V97" s="99"/>
      <x:c r="W97" s="99"/>
      <x:c r="X97" s="99"/>
      <x:c r="Y97" s="99"/>
      <x:c r="Z97" s="99"/>
    </x:row>
    <x:row r="98">
      <x:c r="A98" s="99"/>
      <x:c r="B98" s="99"/>
      <x:c r="C98" s="99"/>
      <x:c r="D98" s="99"/>
      <x:c r="E98" s="99"/>
      <x:c r="F98" s="99"/>
      <x:c r="G98" s="99"/>
      <x:c r="H98" s="99"/>
      <x:c r="I98" s="99"/>
      <x:c r="J98" s="99"/>
      <x:c r="K98" s="99"/>
      <x:c r="L98" s="99"/>
      <x:c r="M98" s="99"/>
      <x:c r="N98" s="99"/>
      <x:c r="O98" s="99"/>
      <x:c r="P98" s="99"/>
      <x:c r="Q98" s="99"/>
      <x:c r="R98" s="99"/>
      <x:c r="S98" s="99"/>
      <x:c r="T98" s="99"/>
      <x:c r="U98" s="99"/>
      <x:c r="V98" s="99"/>
      <x:c r="W98" s="99"/>
      <x:c r="X98" s="99"/>
      <x:c r="Y98" s="99"/>
      <x:c r="Z98" s="99"/>
    </x:row>
    <x:row r="99">
      <x:c r="A99" s="99"/>
      <x:c r="B99" s="99"/>
      <x:c r="C99" s="99"/>
      <x:c r="D99" s="99"/>
      <x:c r="E99" s="99"/>
      <x:c r="F99" s="99"/>
      <x:c r="G99" s="99"/>
      <x:c r="H99" s="99"/>
      <x:c r="I99" s="99"/>
      <x:c r="J99" s="99"/>
      <x:c r="K99" s="99"/>
      <x:c r="L99" s="99"/>
      <x:c r="M99" s="99"/>
      <x:c r="N99" s="99"/>
      <x:c r="O99" s="99"/>
      <x:c r="P99" s="99"/>
      <x:c r="Q99" s="99"/>
      <x:c r="R99" s="99"/>
      <x:c r="S99" s="99"/>
      <x:c r="T99" s="99"/>
      <x:c r="U99" s="99"/>
      <x:c r="V99" s="99"/>
      <x:c r="W99" s="99"/>
      <x:c r="X99" s="99"/>
      <x:c r="Y99" s="99"/>
      <x:c r="Z99" s="99"/>
    </x:row>
    <x:row r="100">
      <x:c r="A100" s="99"/>
      <x:c r="B100" s="99"/>
      <x:c r="C100" s="99"/>
      <x:c r="D100" s="99"/>
      <x:c r="E100" s="99"/>
      <x:c r="F100" s="99"/>
      <x:c r="G100" s="99"/>
      <x:c r="H100" s="99"/>
      <x:c r="I100" s="99"/>
      <x:c r="J100" s="99"/>
      <x:c r="K100" s="99"/>
      <x:c r="L100" s="99"/>
      <x:c r="M100" s="99"/>
      <x:c r="N100" s="99"/>
      <x:c r="O100" s="99"/>
      <x:c r="P100" s="99"/>
      <x:c r="Q100" s="99"/>
      <x:c r="R100" s="99"/>
      <x:c r="S100" s="99"/>
      <x:c r="T100" s="99"/>
      <x:c r="U100" s="99"/>
      <x:c r="V100" s="99"/>
      <x:c r="W100" s="99"/>
      <x:c r="X100" s="99"/>
      <x:c r="Y100" s="99"/>
      <x:c r="Z100" s="99"/>
    </x:row>
    <x:row r="101">
      <x:c r="A101" s="99"/>
      <x:c r="B101" s="99"/>
      <x:c r="C101" s="99"/>
      <x:c r="D101" s="99"/>
      <x:c r="E101" s="99"/>
      <x:c r="F101" s="99"/>
      <x:c r="G101" s="99"/>
      <x:c r="H101" s="99"/>
      <x:c r="I101" s="99"/>
      <x:c r="J101" s="99"/>
      <x:c r="K101" s="99"/>
      <x:c r="L101" s="99"/>
      <x:c r="M101" s="99"/>
      <x:c r="N101" s="99"/>
      <x:c r="O101" s="99"/>
      <x:c r="P101" s="99"/>
      <x:c r="Q101" s="99"/>
      <x:c r="R101" s="99"/>
      <x:c r="S101" s="99"/>
      <x:c r="T101" s="99"/>
      <x:c r="U101" s="99"/>
      <x:c r="V101" s="99"/>
      <x:c r="W101" s="99"/>
      <x:c r="X101" s="99"/>
      <x:c r="Y101" s="99"/>
      <x:c r="Z101" s="99"/>
    </x:row>
    <x:row r="102">
      <x:c r="A102" s="99"/>
      <x:c r="B102" s="99"/>
      <x:c r="C102" s="99"/>
      <x:c r="D102" s="99"/>
      <x:c r="E102" s="99"/>
      <x:c r="F102" s="99"/>
      <x:c r="G102" s="99"/>
      <x:c r="H102" s="99"/>
      <x:c r="I102" s="99"/>
      <x:c r="J102" s="99"/>
      <x:c r="K102" s="99"/>
      <x:c r="L102" s="99"/>
      <x:c r="M102" s="99"/>
      <x:c r="N102" s="99"/>
      <x:c r="O102" s="99"/>
      <x:c r="P102" s="99"/>
      <x:c r="Q102" s="99"/>
      <x:c r="R102" s="99"/>
      <x:c r="S102" s="99"/>
      <x:c r="T102" s="99"/>
      <x:c r="U102" s="99"/>
      <x:c r="V102" s="99"/>
      <x:c r="W102" s="99"/>
      <x:c r="X102" s="99"/>
      <x:c r="Y102" s="99"/>
      <x:c r="Z102" s="99"/>
    </x:row>
    <x:row r="103">
      <x:c r="A103" s="99"/>
      <x:c r="B103" s="99"/>
      <x:c r="C103" s="99"/>
      <x:c r="D103" s="99"/>
      <x:c r="E103" s="99"/>
      <x:c r="F103" s="99"/>
      <x:c r="G103" s="99"/>
      <x:c r="H103" s="99"/>
      <x:c r="I103" s="99"/>
      <x:c r="J103" s="99"/>
      <x:c r="K103" s="99"/>
      <x:c r="L103" s="99"/>
      <x:c r="M103" s="99"/>
      <x:c r="N103" s="99"/>
      <x:c r="O103" s="99"/>
      <x:c r="P103" s="99"/>
      <x:c r="Q103" s="99"/>
      <x:c r="R103" s="99"/>
      <x:c r="S103" s="99"/>
      <x:c r="T103" s="99"/>
      <x:c r="U103" s="99"/>
      <x:c r="V103" s="99"/>
      <x:c r="W103" s="99"/>
      <x:c r="X103" s="99"/>
      <x:c r="Y103" s="99"/>
      <x:c r="Z103" s="99"/>
    </x:row>
    <x:row r="104">
      <x:c r="A104" s="99"/>
      <x:c r="B104" s="99"/>
      <x:c r="C104" s="99"/>
      <x:c r="D104" s="99"/>
      <x:c r="E104" s="99"/>
      <x:c r="F104" s="99"/>
      <x:c r="G104" s="99"/>
      <x:c r="H104" s="99"/>
      <x:c r="I104" s="99"/>
      <x:c r="J104" s="99"/>
      <x:c r="K104" s="99"/>
      <x:c r="L104" s="99"/>
      <x:c r="M104" s="99"/>
      <x:c r="N104" s="99"/>
      <x:c r="O104" s="99"/>
      <x:c r="P104" s="99"/>
      <x:c r="Q104" s="99"/>
      <x:c r="R104" s="99"/>
      <x:c r="S104" s="99"/>
      <x:c r="T104" s="99"/>
      <x:c r="U104" s="99"/>
      <x:c r="V104" s="99"/>
      <x:c r="W104" s="99"/>
      <x:c r="X104" s="99"/>
      <x:c r="Y104" s="99"/>
      <x:c r="Z104" s="99"/>
    </x:row>
    <x:row r="105">
      <x:c r="A105" s="99"/>
      <x:c r="B105" s="99"/>
      <x:c r="C105" s="99"/>
      <x:c r="D105" s="99"/>
      <x:c r="E105" s="99"/>
      <x:c r="F105" s="99"/>
      <x:c r="G105" s="99"/>
      <x:c r="H105" s="99"/>
      <x:c r="I105" s="99"/>
      <x:c r="J105" s="99"/>
      <x:c r="K105" s="99"/>
      <x:c r="L105" s="99"/>
      <x:c r="M105" s="99"/>
      <x:c r="N105" s="99"/>
      <x:c r="O105" s="99"/>
      <x:c r="P105" s="99"/>
      <x:c r="Q105" s="99"/>
      <x:c r="R105" s="99"/>
      <x:c r="S105" s="99"/>
      <x:c r="T105" s="99"/>
      <x:c r="U105" s="99"/>
      <x:c r="V105" s="99"/>
      <x:c r="W105" s="99"/>
      <x:c r="X105" s="99"/>
      <x:c r="Y105" s="99"/>
      <x:c r="Z105" s="99"/>
    </x:row>
    <x:row r="106">
      <x:c r="A106" s="99"/>
      <x:c r="B106" s="99"/>
      <x:c r="C106" s="99"/>
      <x:c r="D106" s="99"/>
      <x:c r="E106" s="99"/>
      <x:c r="F106" s="99"/>
      <x:c r="G106" s="99"/>
      <x:c r="H106" s="99"/>
      <x:c r="I106" s="99"/>
      <x:c r="J106" s="99"/>
      <x:c r="K106" s="99"/>
      <x:c r="L106" s="99"/>
      <x:c r="M106" s="99"/>
      <x:c r="N106" s="99"/>
      <x:c r="O106" s="99"/>
      <x:c r="P106" s="99"/>
      <x:c r="Q106" s="99"/>
      <x:c r="R106" s="99"/>
      <x:c r="S106" s="99"/>
      <x:c r="T106" s="99"/>
      <x:c r="U106" s="99"/>
      <x:c r="V106" s="99"/>
      <x:c r="W106" s="99"/>
      <x:c r="X106" s="99"/>
      <x:c r="Y106" s="99"/>
      <x:c r="Z106" s="99"/>
    </x:row>
    <x:row r="107">
      <x:c r="A107" s="99"/>
      <x:c r="B107" s="99"/>
      <x:c r="C107" s="99"/>
      <x:c r="D107" s="99"/>
      <x:c r="E107" s="99"/>
      <x:c r="F107" s="99"/>
      <x:c r="G107" s="99"/>
      <x:c r="H107" s="99"/>
      <x:c r="I107" s="99"/>
      <x:c r="J107" s="99"/>
      <x:c r="K107" s="99"/>
      <x:c r="L107" s="99"/>
      <x:c r="M107" s="99"/>
      <x:c r="N107" s="99"/>
      <x:c r="O107" s="99"/>
      <x:c r="P107" s="99"/>
      <x:c r="Q107" s="99"/>
      <x:c r="R107" s="99"/>
      <x:c r="S107" s="99"/>
      <x:c r="T107" s="99"/>
      <x:c r="U107" s="99"/>
      <x:c r="V107" s="99"/>
      <x:c r="W107" s="99"/>
      <x:c r="X107" s="99"/>
      <x:c r="Y107" s="99"/>
      <x:c r="Z107" s="99"/>
    </x:row>
    <x:row r="108">
      <x:c r="A108" s="99"/>
      <x:c r="B108" s="99"/>
      <x:c r="C108" s="99"/>
      <x:c r="D108" s="99"/>
      <x:c r="E108" s="99"/>
      <x:c r="F108" s="99"/>
      <x:c r="G108" s="99"/>
      <x:c r="H108" s="99"/>
      <x:c r="I108" s="99"/>
      <x:c r="J108" s="99"/>
      <x:c r="K108" s="99"/>
      <x:c r="L108" s="99"/>
      <x:c r="M108" s="99"/>
      <x:c r="N108" s="99"/>
      <x:c r="O108" s="99"/>
      <x:c r="P108" s="99"/>
      <x:c r="Q108" s="99"/>
      <x:c r="R108" s="99"/>
      <x:c r="S108" s="99"/>
      <x:c r="T108" s="99"/>
      <x:c r="U108" s="99"/>
      <x:c r="V108" s="99"/>
      <x:c r="W108" s="99"/>
      <x:c r="X108" s="99"/>
      <x:c r="Y108" s="99"/>
      <x:c r="Z108" s="99"/>
    </x:row>
    <x:row r="109">
      <x:c r="A109" s="99"/>
      <x:c r="B109" s="99"/>
      <x:c r="C109" s="99"/>
      <x:c r="D109" s="99"/>
      <x:c r="E109" s="99"/>
      <x:c r="F109" s="99"/>
      <x:c r="G109" s="99"/>
      <x:c r="H109" s="99"/>
      <x:c r="I109" s="99"/>
      <x:c r="J109" s="99"/>
      <x:c r="K109" s="99"/>
      <x:c r="L109" s="99"/>
      <x:c r="M109" s="99"/>
      <x:c r="N109" s="99"/>
      <x:c r="O109" s="99"/>
      <x:c r="P109" s="99"/>
      <x:c r="Q109" s="99"/>
      <x:c r="R109" s="99"/>
      <x:c r="S109" s="99"/>
      <x:c r="T109" s="99"/>
      <x:c r="U109" s="99"/>
      <x:c r="V109" s="99"/>
      <x:c r="W109" s="99"/>
      <x:c r="X109" s="99"/>
      <x:c r="Y109" s="99"/>
      <x:c r="Z109" s="99"/>
    </x:row>
    <x:row r="110">
      <x:c r="A110" s="99"/>
      <x:c r="B110" s="99"/>
      <x:c r="C110" s="99"/>
      <x:c r="D110" s="99"/>
      <x:c r="E110" s="99"/>
      <x:c r="F110" s="99"/>
      <x:c r="G110" s="99"/>
      <x:c r="H110" s="99"/>
      <x:c r="I110" s="99"/>
      <x:c r="J110" s="99"/>
      <x:c r="K110" s="99"/>
      <x:c r="L110" s="99"/>
      <x:c r="M110" s="99"/>
      <x:c r="N110" s="99"/>
      <x:c r="O110" s="99"/>
      <x:c r="P110" s="99"/>
      <x:c r="Q110" s="99"/>
      <x:c r="R110" s="99"/>
      <x:c r="S110" s="99"/>
      <x:c r="T110" s="99"/>
      <x:c r="U110" s="99"/>
      <x:c r="V110" s="99"/>
      <x:c r="W110" s="99"/>
      <x:c r="X110" s="99"/>
      <x:c r="Y110" s="99"/>
      <x:c r="Z110" s="99"/>
    </x:row>
    <x:row r="111">
      <x:c r="A111" s="99"/>
      <x:c r="B111" s="99"/>
      <x:c r="C111" s="99"/>
      <x:c r="D111" s="99"/>
      <x:c r="E111" s="99"/>
      <x:c r="F111" s="99"/>
      <x:c r="G111" s="99"/>
      <x:c r="H111" s="99"/>
      <x:c r="I111" s="99"/>
      <x:c r="J111" s="99"/>
      <x:c r="K111" s="99"/>
      <x:c r="L111" s="99"/>
      <x:c r="M111" s="99"/>
      <x:c r="N111" s="99"/>
      <x:c r="O111" s="99"/>
      <x:c r="P111" s="99"/>
      <x:c r="Q111" s="99"/>
      <x:c r="R111" s="99"/>
      <x:c r="S111" s="99"/>
      <x:c r="T111" s="99"/>
      <x:c r="U111" s="99"/>
      <x:c r="V111" s="99"/>
      <x:c r="W111" s="99"/>
      <x:c r="X111" s="99"/>
      <x:c r="Y111" s="99"/>
      <x:c r="Z111" s="99"/>
    </x:row>
    <x:row r="112">
      <x:c r="A112" s="99"/>
      <x:c r="B112" s="99"/>
      <x:c r="C112" s="99"/>
      <x:c r="D112" s="99"/>
      <x:c r="E112" s="99"/>
      <x:c r="F112" s="99"/>
      <x:c r="G112" s="99"/>
      <x:c r="H112" s="99"/>
      <x:c r="I112" s="99"/>
      <x:c r="J112" s="99"/>
      <x:c r="K112" s="99"/>
      <x:c r="L112" s="99"/>
      <x:c r="M112" s="99"/>
      <x:c r="N112" s="99"/>
      <x:c r="O112" s="99"/>
      <x:c r="P112" s="99"/>
      <x:c r="Q112" s="99"/>
      <x:c r="R112" s="99"/>
      <x:c r="S112" s="99"/>
      <x:c r="T112" s="99"/>
      <x:c r="U112" s="99"/>
      <x:c r="V112" s="99"/>
      <x:c r="W112" s="99"/>
      <x:c r="X112" s="99"/>
      <x:c r="Y112" s="99"/>
      <x:c r="Z112" s="99"/>
    </x:row>
    <x:row r="113">
      <x:c r="A113" s="99"/>
      <x:c r="B113" s="99"/>
      <x:c r="C113" s="99"/>
      <x:c r="D113" s="99"/>
      <x:c r="E113" s="99"/>
      <x:c r="F113" s="99"/>
      <x:c r="G113" s="99"/>
      <x:c r="H113" s="99"/>
      <x:c r="I113" s="99"/>
      <x:c r="J113" s="99"/>
      <x:c r="K113" s="99"/>
      <x:c r="L113" s="99"/>
      <x:c r="M113" s="99"/>
      <x:c r="N113" s="99"/>
      <x:c r="O113" s="99"/>
      <x:c r="P113" s="99"/>
      <x:c r="Q113" s="99"/>
      <x:c r="R113" s="99"/>
      <x:c r="S113" s="99"/>
      <x:c r="T113" s="99"/>
      <x:c r="U113" s="99"/>
      <x:c r="V113" s="99"/>
      <x:c r="W113" s="99"/>
      <x:c r="X113" s="99"/>
      <x:c r="Y113" s="99"/>
      <x:c r="Z113" s="99"/>
    </x:row>
    <x:row r="114">
      <x:c r="A114" s="99"/>
      <x:c r="B114" s="99"/>
      <x:c r="C114" s="99"/>
      <x:c r="D114" s="99"/>
      <x:c r="E114" s="99"/>
      <x:c r="F114" s="99"/>
      <x:c r="G114" s="99"/>
      <x:c r="H114" s="99"/>
      <x:c r="I114" s="99"/>
      <x:c r="J114" s="99"/>
      <x:c r="K114" s="99"/>
      <x:c r="L114" s="99"/>
      <x:c r="M114" s="99"/>
      <x:c r="N114" s="99"/>
      <x:c r="O114" s="99"/>
      <x:c r="P114" s="99"/>
      <x:c r="Q114" s="99"/>
      <x:c r="R114" s="99"/>
      <x:c r="S114" s="99"/>
      <x:c r="T114" s="99"/>
      <x:c r="U114" s="99"/>
      <x:c r="V114" s="99"/>
      <x:c r="W114" s="99"/>
      <x:c r="X114" s="99"/>
      <x:c r="Y114" s="99"/>
      <x:c r="Z114" s="99"/>
    </x:row>
    <x:row r="115">
      <x:c r="A115" s="99"/>
      <x:c r="B115" s="99"/>
      <x:c r="C115" s="99"/>
      <x:c r="D115" s="99"/>
      <x:c r="E115" s="99"/>
      <x:c r="F115" s="99"/>
      <x:c r="G115" s="99"/>
      <x:c r="H115" s="99"/>
      <x:c r="I115" s="99"/>
      <x:c r="J115" s="99"/>
      <x:c r="K115" s="99"/>
      <x:c r="L115" s="99"/>
      <x:c r="M115" s="99"/>
      <x:c r="N115" s="99"/>
      <x:c r="O115" s="99"/>
      <x:c r="P115" s="99"/>
      <x:c r="Q115" s="99"/>
      <x:c r="R115" s="99"/>
      <x:c r="S115" s="99"/>
      <x:c r="T115" s="99"/>
      <x:c r="U115" s="99"/>
      <x:c r="V115" s="99"/>
      <x:c r="W115" s="99"/>
      <x:c r="X115" s="99"/>
      <x:c r="Y115" s="99"/>
      <x:c r="Z115" s="99"/>
    </x:row>
    <x:row r="116">
      <x:c r="A116" s="99"/>
      <x:c r="B116" s="99"/>
      <x:c r="C116" s="99"/>
      <x:c r="D116" s="99"/>
      <x:c r="E116" s="99"/>
      <x:c r="F116" s="99"/>
      <x:c r="G116" s="99"/>
      <x:c r="H116" s="99"/>
      <x:c r="I116" s="99"/>
      <x:c r="J116" s="99"/>
      <x:c r="K116" s="99"/>
      <x:c r="L116" s="99"/>
      <x:c r="M116" s="99"/>
      <x:c r="N116" s="99"/>
      <x:c r="O116" s="99"/>
      <x:c r="P116" s="99"/>
      <x:c r="Q116" s="99"/>
      <x:c r="R116" s="99"/>
      <x:c r="S116" s="99"/>
      <x:c r="T116" s="99"/>
      <x:c r="U116" s="99"/>
      <x:c r="V116" s="99"/>
      <x:c r="W116" s="99"/>
      <x:c r="X116" s="99"/>
      <x:c r="Y116" s="99"/>
      <x:c r="Z116" s="99"/>
    </x:row>
    <x:row r="117">
      <x:c r="A117" s="99"/>
      <x:c r="B117" s="99"/>
      <x:c r="C117" s="99"/>
      <x:c r="D117" s="99"/>
      <x:c r="E117" s="99"/>
      <x:c r="F117" s="99"/>
      <x:c r="G117" s="99"/>
      <x:c r="H117" s="99"/>
      <x:c r="I117" s="99"/>
      <x:c r="J117" s="99"/>
      <x:c r="K117" s="99"/>
      <x:c r="L117" s="99"/>
      <x:c r="M117" s="99"/>
      <x:c r="N117" s="99"/>
      <x:c r="O117" s="99"/>
      <x:c r="P117" s="99"/>
      <x:c r="Q117" s="99"/>
      <x:c r="R117" s="99"/>
      <x:c r="S117" s="99"/>
      <x:c r="T117" s="99"/>
      <x:c r="U117" s="99"/>
      <x:c r="V117" s="99"/>
      <x:c r="W117" s="99"/>
      <x:c r="X117" s="99"/>
      <x:c r="Y117" s="99"/>
      <x:c r="Z117" s="99"/>
    </x:row>
    <x:row r="118">
      <x:c r="A118" s="99"/>
      <x:c r="B118" s="99"/>
      <x:c r="C118" s="99"/>
      <x:c r="D118" s="99"/>
      <x:c r="E118" s="99"/>
      <x:c r="F118" s="99"/>
      <x:c r="G118" s="99"/>
      <x:c r="H118" s="99"/>
      <x:c r="I118" s="99"/>
      <x:c r="J118" s="99"/>
      <x:c r="K118" s="99"/>
      <x:c r="L118" s="99"/>
      <x:c r="M118" s="99"/>
      <x:c r="N118" s="99"/>
      <x:c r="O118" s="99"/>
      <x:c r="P118" s="99"/>
      <x:c r="Q118" s="99"/>
      <x:c r="R118" s="99"/>
      <x:c r="S118" s="99"/>
      <x:c r="T118" s="99"/>
      <x:c r="U118" s="99"/>
      <x:c r="V118" s="99"/>
      <x:c r="W118" s="99"/>
      <x:c r="X118" s="99"/>
      <x:c r="Y118" s="99"/>
      <x:c r="Z118" s="99"/>
    </x:row>
    <x:row r="119">
      <x:c r="A119" s="99"/>
      <x:c r="B119" s="99"/>
      <x:c r="C119" s="99"/>
      <x:c r="D119" s="99"/>
      <x:c r="E119" s="99"/>
      <x:c r="F119" s="99"/>
      <x:c r="G119" s="99"/>
      <x:c r="H119" s="99"/>
      <x:c r="I119" s="99"/>
      <x:c r="J119" s="99"/>
      <x:c r="K119" s="99"/>
      <x:c r="L119" s="99"/>
      <x:c r="M119" s="99"/>
      <x:c r="N119" s="99"/>
      <x:c r="O119" s="99"/>
      <x:c r="P119" s="99"/>
      <x:c r="Q119" s="99"/>
      <x:c r="R119" s="99"/>
      <x:c r="S119" s="99"/>
      <x:c r="T119" s="99"/>
      <x:c r="U119" s="99"/>
      <x:c r="V119" s="99"/>
      <x:c r="W119" s="99"/>
      <x:c r="X119" s="99"/>
      <x:c r="Y119" s="99"/>
      <x:c r="Z119" s="99"/>
    </x:row>
    <x:row r="120">
      <x:c r="A120" s="99"/>
      <x:c r="B120" s="99"/>
      <x:c r="C120" s="99"/>
      <x:c r="D120" s="99"/>
      <x:c r="E120" s="99"/>
      <x:c r="F120" s="99"/>
      <x:c r="G120" s="99"/>
      <x:c r="H120" s="99"/>
      <x:c r="I120" s="99"/>
      <x:c r="J120" s="99"/>
      <x:c r="K120" s="99"/>
      <x:c r="L120" s="99"/>
      <x:c r="M120" s="99"/>
      <x:c r="N120" s="99"/>
      <x:c r="O120" s="99"/>
      <x:c r="P120" s="99"/>
      <x:c r="Q120" s="99"/>
      <x:c r="R120" s="99"/>
      <x:c r="S120" s="99"/>
      <x:c r="T120" s="99"/>
      <x:c r="U120" s="99"/>
      <x:c r="V120" s="99"/>
      <x:c r="W120" s="99"/>
      <x:c r="X120" s="99"/>
      <x:c r="Y120" s="99"/>
      <x:c r="Z120" s="99"/>
    </x:row>
    <x:row r="121">
      <x:c r="A121" s="99"/>
      <x:c r="B121" s="99"/>
      <x:c r="C121" s="99"/>
      <x:c r="D121" s="99"/>
      <x:c r="E121" s="99"/>
      <x:c r="F121" s="99"/>
      <x:c r="G121" s="99"/>
      <x:c r="H121" s="99"/>
      <x:c r="I121" s="99"/>
      <x:c r="J121" s="99"/>
      <x:c r="K121" s="99"/>
      <x:c r="L121" s="99"/>
      <x:c r="M121" s="99"/>
      <x:c r="N121" s="99"/>
      <x:c r="O121" s="99"/>
      <x:c r="P121" s="99"/>
      <x:c r="Q121" s="99"/>
      <x:c r="R121" s="99"/>
      <x:c r="S121" s="99"/>
      <x:c r="T121" s="99"/>
      <x:c r="U121" s="99"/>
      <x:c r="V121" s="99"/>
      <x:c r="W121" s="99"/>
      <x:c r="X121" s="99"/>
      <x:c r="Y121" s="99"/>
      <x:c r="Z121" s="99"/>
    </x:row>
    <x:row r="122">
      <x:c r="A122" s="99"/>
      <x:c r="B122" s="99"/>
      <x:c r="C122" s="99"/>
      <x:c r="D122" s="99"/>
      <x:c r="E122" s="99"/>
      <x:c r="F122" s="99"/>
      <x:c r="G122" s="99"/>
      <x:c r="H122" s="99"/>
      <x:c r="I122" s="99"/>
      <x:c r="J122" s="99"/>
      <x:c r="K122" s="99"/>
      <x:c r="L122" s="99"/>
      <x:c r="M122" s="99"/>
      <x:c r="N122" s="99"/>
      <x:c r="O122" s="99"/>
      <x:c r="P122" s="99"/>
      <x:c r="Q122" s="99"/>
      <x:c r="R122" s="99"/>
      <x:c r="S122" s="99"/>
      <x:c r="T122" s="99"/>
      <x:c r="U122" s="99"/>
      <x:c r="V122" s="99"/>
      <x:c r="W122" s="99"/>
      <x:c r="X122" s="99"/>
      <x:c r="Y122" s="99"/>
      <x:c r="Z122" s="99"/>
    </x:row>
    <x:row r="123">
      <x:c r="A123" s="99"/>
      <x:c r="B123" s="99"/>
      <x:c r="C123" s="99"/>
      <x:c r="D123" s="99"/>
      <x:c r="E123" s="99"/>
      <x:c r="F123" s="99"/>
      <x:c r="G123" s="99"/>
      <x:c r="H123" s="99"/>
      <x:c r="I123" s="99"/>
      <x:c r="J123" s="99"/>
      <x:c r="K123" s="99"/>
      <x:c r="L123" s="99"/>
      <x:c r="M123" s="99"/>
      <x:c r="N123" s="99"/>
      <x:c r="O123" s="99"/>
      <x:c r="P123" s="99"/>
      <x:c r="Q123" s="99"/>
      <x:c r="R123" s="99"/>
      <x:c r="S123" s="99"/>
      <x:c r="T123" s="99"/>
      <x:c r="U123" s="99"/>
      <x:c r="V123" s="99"/>
      <x:c r="W123" s="99"/>
      <x:c r="X123" s="99"/>
      <x:c r="Y123" s="99"/>
      <x:c r="Z123" s="99"/>
    </x:row>
    <x:row r="124">
      <x:c r="A124" s="99"/>
      <x:c r="B124" s="99"/>
      <x:c r="C124" s="99"/>
      <x:c r="D124" s="99"/>
      <x:c r="E124" s="99"/>
      <x:c r="F124" s="99"/>
      <x:c r="G124" s="99"/>
      <x:c r="H124" s="99"/>
      <x:c r="I124" s="99"/>
      <x:c r="J124" s="99"/>
      <x:c r="K124" s="99"/>
      <x:c r="L124" s="99"/>
      <x:c r="M124" s="99"/>
      <x:c r="N124" s="99"/>
      <x:c r="O124" s="99"/>
      <x:c r="P124" s="99"/>
      <x:c r="Q124" s="99"/>
      <x:c r="R124" s="99"/>
      <x:c r="S124" s="99"/>
      <x:c r="T124" s="99"/>
      <x:c r="U124" s="99"/>
      <x:c r="V124" s="99"/>
      <x:c r="W124" s="99"/>
      <x:c r="X124" s="99"/>
      <x:c r="Y124" s="99"/>
      <x:c r="Z124" s="99"/>
    </x:row>
    <x:row r="125">
      <x:c r="A125" s="99"/>
      <x:c r="B125" s="99"/>
      <x:c r="C125" s="99"/>
      <x:c r="D125" s="99"/>
      <x:c r="E125" s="99"/>
      <x:c r="F125" s="99"/>
      <x:c r="G125" s="99"/>
      <x:c r="H125" s="99"/>
      <x:c r="I125" s="99"/>
      <x:c r="J125" s="99"/>
      <x:c r="K125" s="99"/>
      <x:c r="L125" s="99"/>
      <x:c r="M125" s="99"/>
      <x:c r="N125" s="99"/>
      <x:c r="O125" s="99"/>
      <x:c r="P125" s="99"/>
      <x:c r="Q125" s="99"/>
      <x:c r="R125" s="99"/>
      <x:c r="S125" s="99"/>
      <x:c r="T125" s="99"/>
      <x:c r="U125" s="99"/>
      <x:c r="V125" s="99"/>
      <x:c r="W125" s="99"/>
      <x:c r="X125" s="99"/>
      <x:c r="Y125" s="99"/>
      <x:c r="Z125" s="99"/>
    </x:row>
    <x:row r="126">
      <x:c r="A126" s="99"/>
      <x:c r="B126" s="99"/>
      <x:c r="C126" s="99"/>
      <x:c r="D126" s="99"/>
      <x:c r="E126" s="99"/>
      <x:c r="F126" s="99"/>
      <x:c r="G126" s="99"/>
      <x:c r="H126" s="99"/>
      <x:c r="I126" s="99"/>
      <x:c r="J126" s="99"/>
      <x:c r="K126" s="99"/>
      <x:c r="L126" s="99"/>
      <x:c r="M126" s="99"/>
      <x:c r="N126" s="99"/>
      <x:c r="O126" s="99"/>
      <x:c r="P126" s="99"/>
      <x:c r="Q126" s="99"/>
      <x:c r="R126" s="99"/>
      <x:c r="S126" s="99"/>
      <x:c r="T126" s="99"/>
      <x:c r="U126" s="99"/>
      <x:c r="V126" s="99"/>
      <x:c r="W126" s="99"/>
      <x:c r="X126" s="99"/>
      <x:c r="Y126" s="99"/>
      <x:c r="Z126" s="99"/>
    </x:row>
    <x:row r="127">
      <x:c r="A127" s="99"/>
      <x:c r="B127" s="99"/>
      <x:c r="C127" s="99"/>
      <x:c r="D127" s="99"/>
      <x:c r="E127" s="99"/>
      <x:c r="F127" s="99"/>
      <x:c r="G127" s="99"/>
      <x:c r="H127" s="99"/>
      <x:c r="I127" s="99"/>
      <x:c r="J127" s="99"/>
      <x:c r="K127" s="99"/>
      <x:c r="L127" s="99"/>
      <x:c r="M127" s="99"/>
      <x:c r="N127" s="99"/>
      <x:c r="O127" s="99"/>
      <x:c r="P127" s="99"/>
      <x:c r="Q127" s="99"/>
      <x:c r="R127" s="99"/>
      <x:c r="S127" s="99"/>
      <x:c r="T127" s="99"/>
      <x:c r="U127" s="99"/>
      <x:c r="V127" s="99"/>
      <x:c r="W127" s="99"/>
      <x:c r="X127" s="99"/>
      <x:c r="Y127" s="99"/>
      <x:c r="Z127" s="99"/>
    </x:row>
    <x:row r="128">
      <x:c r="A128" s="99"/>
      <x:c r="B128" s="99"/>
      <x:c r="C128" s="99"/>
      <x:c r="D128" s="99"/>
      <x:c r="E128" s="99"/>
      <x:c r="F128" s="99"/>
      <x:c r="G128" s="99"/>
      <x:c r="H128" s="99"/>
      <x:c r="I128" s="99"/>
      <x:c r="J128" s="99"/>
      <x:c r="K128" s="99"/>
      <x:c r="L128" s="99"/>
      <x:c r="M128" s="99"/>
      <x:c r="N128" s="99"/>
      <x:c r="O128" s="99"/>
      <x:c r="P128" s="99"/>
      <x:c r="Q128" s="99"/>
      <x:c r="R128" s="99"/>
      <x:c r="S128" s="99"/>
      <x:c r="T128" s="99"/>
      <x:c r="U128" s="99"/>
      <x:c r="V128" s="99"/>
      <x:c r="W128" s="99"/>
      <x:c r="X128" s="99"/>
      <x:c r="Y128" s="99"/>
      <x:c r="Z128" s="99"/>
    </x:row>
    <x:row r="129">
      <x:c r="A129" s="99"/>
      <x:c r="B129" s="99"/>
      <x:c r="C129" s="99"/>
      <x:c r="D129" s="99"/>
      <x:c r="E129" s="99"/>
      <x:c r="F129" s="99"/>
      <x:c r="G129" s="99"/>
      <x:c r="H129" s="99"/>
      <x:c r="I129" s="99"/>
      <x:c r="J129" s="99"/>
      <x:c r="K129" s="99"/>
      <x:c r="L129" s="99"/>
      <x:c r="M129" s="99"/>
      <x:c r="N129" s="99"/>
      <x:c r="O129" s="99"/>
      <x:c r="P129" s="99"/>
      <x:c r="Q129" s="99"/>
      <x:c r="R129" s="99"/>
      <x:c r="S129" s="99"/>
      <x:c r="T129" s="99"/>
      <x:c r="U129" s="99"/>
      <x:c r="V129" s="99"/>
      <x:c r="W129" s="99"/>
      <x:c r="X129" s="99"/>
      <x:c r="Y129" s="99"/>
      <x:c r="Z129" s="99"/>
    </x:row>
    <x:row r="130">
      <x:c r="A130" s="99"/>
      <x:c r="B130" s="99"/>
      <x:c r="C130" s="99"/>
      <x:c r="D130" s="99"/>
      <x:c r="E130" s="99"/>
      <x:c r="F130" s="99"/>
      <x:c r="G130" s="99"/>
      <x:c r="H130" s="99"/>
      <x:c r="I130" s="99"/>
      <x:c r="J130" s="99"/>
      <x:c r="K130" s="99"/>
      <x:c r="L130" s="99"/>
      <x:c r="M130" s="99"/>
      <x:c r="N130" s="99"/>
      <x:c r="O130" s="99"/>
      <x:c r="P130" s="99"/>
      <x:c r="Q130" s="99"/>
      <x:c r="R130" s="99"/>
      <x:c r="S130" s="99"/>
      <x:c r="T130" s="99"/>
      <x:c r="U130" s="99"/>
      <x:c r="V130" s="99"/>
      <x:c r="W130" s="99"/>
      <x:c r="X130" s="99"/>
      <x:c r="Y130" s="99"/>
      <x:c r="Z130" s="99"/>
    </x:row>
    <x:row r="131">
      <x:c r="A131" s="99"/>
      <x:c r="B131" s="99"/>
      <x:c r="C131" s="99"/>
      <x:c r="D131" s="99"/>
      <x:c r="E131" s="99"/>
      <x:c r="F131" s="99"/>
      <x:c r="G131" s="99"/>
      <x:c r="H131" s="99"/>
      <x:c r="I131" s="99"/>
      <x:c r="J131" s="99"/>
      <x:c r="K131" s="99"/>
      <x:c r="L131" s="99"/>
      <x:c r="M131" s="99"/>
      <x:c r="N131" s="99"/>
      <x:c r="O131" s="99"/>
      <x:c r="P131" s="99"/>
      <x:c r="Q131" s="99"/>
      <x:c r="R131" s="99"/>
      <x:c r="S131" s="99"/>
      <x:c r="T131" s="99"/>
      <x:c r="U131" s="99"/>
      <x:c r="V131" s="99"/>
      <x:c r="W131" s="99"/>
      <x:c r="X131" s="99"/>
      <x:c r="Y131" s="99"/>
      <x:c r="Z131" s="99"/>
    </x:row>
    <x:row r="132">
      <x:c r="A132" s="99"/>
      <x:c r="B132" s="99"/>
      <x:c r="C132" s="99"/>
      <x:c r="D132" s="99"/>
      <x:c r="E132" s="99"/>
      <x:c r="F132" s="99"/>
      <x:c r="G132" s="99"/>
      <x:c r="H132" s="99"/>
      <x:c r="I132" s="99"/>
      <x:c r="J132" s="99"/>
      <x:c r="K132" s="99"/>
      <x:c r="L132" s="99"/>
      <x:c r="M132" s="99"/>
      <x:c r="N132" s="99"/>
      <x:c r="O132" s="99"/>
      <x:c r="P132" s="99"/>
      <x:c r="Q132" s="99"/>
      <x:c r="R132" s="99"/>
      <x:c r="S132" s="99"/>
      <x:c r="T132" s="99"/>
      <x:c r="U132" s="99"/>
      <x:c r="V132" s="99"/>
      <x:c r="W132" s="99"/>
      <x:c r="X132" s="99"/>
      <x:c r="Y132" s="99"/>
      <x:c r="Z132" s="99"/>
    </x:row>
    <x:row r="133">
      <x:c r="A133" s="99"/>
      <x:c r="B133" s="99"/>
      <x:c r="C133" s="99"/>
      <x:c r="D133" s="99"/>
      <x:c r="E133" s="99"/>
      <x:c r="F133" s="99"/>
      <x:c r="G133" s="99"/>
      <x:c r="H133" s="99"/>
      <x:c r="I133" s="99"/>
      <x:c r="J133" s="99"/>
      <x:c r="K133" s="99"/>
      <x:c r="L133" s="99"/>
      <x:c r="M133" s="99"/>
      <x:c r="N133" s="99"/>
      <x:c r="O133" s="99"/>
      <x:c r="P133" s="99"/>
      <x:c r="Q133" s="99"/>
      <x:c r="R133" s="99"/>
      <x:c r="S133" s="99"/>
      <x:c r="T133" s="99"/>
      <x:c r="U133" s="99"/>
      <x:c r="V133" s="99"/>
      <x:c r="W133" s="99"/>
      <x:c r="X133" s="99"/>
      <x:c r="Y133" s="99"/>
      <x:c r="Z133" s="99"/>
    </x:row>
    <x:row r="134">
      <x:c r="A134" s="99"/>
      <x:c r="B134" s="99"/>
      <x:c r="C134" s="99"/>
      <x:c r="D134" s="99"/>
      <x:c r="E134" s="99"/>
      <x:c r="F134" s="99"/>
      <x:c r="G134" s="99"/>
      <x:c r="H134" s="99"/>
      <x:c r="I134" s="99"/>
      <x:c r="J134" s="99"/>
      <x:c r="K134" s="99"/>
      <x:c r="L134" s="99"/>
      <x:c r="M134" s="99"/>
      <x:c r="N134" s="99"/>
      <x:c r="O134" s="99"/>
      <x:c r="P134" s="99"/>
      <x:c r="Q134" s="99"/>
      <x:c r="R134" s="99"/>
      <x:c r="S134" s="99"/>
      <x:c r="T134" s="99"/>
      <x:c r="U134" s="99"/>
      <x:c r="V134" s="99"/>
      <x:c r="W134" s="99"/>
      <x:c r="X134" s="99"/>
      <x:c r="Y134" s="99"/>
      <x:c r="Z134" s="99"/>
    </x:row>
    <x:row r="135">
      <x:c r="A135" s="99"/>
      <x:c r="B135" s="99"/>
      <x:c r="C135" s="99"/>
      <x:c r="D135" s="99"/>
      <x:c r="E135" s="99"/>
      <x:c r="F135" s="99"/>
      <x:c r="G135" s="99"/>
      <x:c r="H135" s="99"/>
      <x:c r="I135" s="99"/>
      <x:c r="J135" s="99"/>
      <x:c r="K135" s="99"/>
      <x:c r="L135" s="99"/>
      <x:c r="M135" s="99"/>
      <x:c r="N135" s="99"/>
      <x:c r="O135" s="99"/>
      <x:c r="P135" s="99"/>
      <x:c r="Q135" s="99"/>
      <x:c r="R135" s="99"/>
      <x:c r="S135" s="99"/>
      <x:c r="T135" s="99"/>
      <x:c r="U135" s="99"/>
      <x:c r="V135" s="99"/>
      <x:c r="W135" s="99"/>
      <x:c r="X135" s="99"/>
      <x:c r="Y135" s="99"/>
      <x:c r="Z135" s="99"/>
    </x:row>
    <x:row r="136">
      <x:c r="A136" s="99"/>
      <x:c r="B136" s="99"/>
      <x:c r="C136" s="99"/>
      <x:c r="D136" s="99"/>
      <x:c r="E136" s="99"/>
      <x:c r="F136" s="99"/>
      <x:c r="G136" s="99"/>
      <x:c r="H136" s="99"/>
      <x:c r="I136" s="99"/>
      <x:c r="J136" s="99"/>
      <x:c r="K136" s="99"/>
      <x:c r="L136" s="99"/>
      <x:c r="M136" s="99"/>
      <x:c r="N136" s="99"/>
      <x:c r="O136" s="99"/>
      <x:c r="P136" s="99"/>
      <x:c r="Q136" s="99"/>
      <x:c r="R136" s="99"/>
      <x:c r="S136" s="99"/>
      <x:c r="T136" s="99"/>
      <x:c r="U136" s="99"/>
      <x:c r="V136" s="99"/>
      <x:c r="W136" s="99"/>
      <x:c r="X136" s="99"/>
      <x:c r="Y136" s="99"/>
      <x:c r="Z136" s="99"/>
    </x:row>
    <x:row r="137">
      <x:c r="A137" s="99"/>
      <x:c r="B137" s="99"/>
      <x:c r="C137" s="99"/>
      <x:c r="D137" s="99"/>
      <x:c r="E137" s="99"/>
      <x:c r="F137" s="99"/>
      <x:c r="G137" s="99"/>
      <x:c r="H137" s="99"/>
      <x:c r="I137" s="99"/>
      <x:c r="J137" s="99"/>
      <x:c r="K137" s="99"/>
      <x:c r="L137" s="99"/>
      <x:c r="M137" s="99"/>
      <x:c r="N137" s="99"/>
      <x:c r="O137" s="99"/>
      <x:c r="P137" s="99"/>
      <x:c r="Q137" s="99"/>
      <x:c r="R137" s="99"/>
      <x:c r="S137" s="99"/>
      <x:c r="T137" s="99"/>
      <x:c r="U137" s="99"/>
      <x:c r="V137" s="99"/>
      <x:c r="W137" s="99"/>
      <x:c r="X137" s="99"/>
      <x:c r="Y137" s="99"/>
      <x:c r="Z137" s="99"/>
    </x:row>
    <x:row r="138">
      <x:c r="A138" s="99"/>
      <x:c r="B138" s="99"/>
      <x:c r="C138" s="99"/>
      <x:c r="D138" s="99"/>
      <x:c r="E138" s="99"/>
      <x:c r="F138" s="99"/>
      <x:c r="G138" s="99"/>
      <x:c r="H138" s="99"/>
      <x:c r="I138" s="99"/>
      <x:c r="J138" s="99"/>
      <x:c r="K138" s="99"/>
      <x:c r="L138" s="99"/>
      <x:c r="M138" s="99"/>
      <x:c r="N138" s="99"/>
      <x:c r="O138" s="99"/>
      <x:c r="P138" s="99"/>
      <x:c r="Q138" s="99"/>
      <x:c r="R138" s="99"/>
      <x:c r="S138" s="99"/>
      <x:c r="T138" s="99"/>
      <x:c r="U138" s="99"/>
      <x:c r="V138" s="99"/>
      <x:c r="W138" s="99"/>
      <x:c r="X138" s="99"/>
      <x:c r="Y138" s="99"/>
      <x:c r="Z138" s="99"/>
    </x:row>
    <x:row r="139">
      <x:c r="A139" s="99"/>
      <x:c r="B139" s="99"/>
      <x:c r="C139" s="99"/>
      <x:c r="D139" s="99"/>
      <x:c r="E139" s="99"/>
      <x:c r="F139" s="99"/>
      <x:c r="G139" s="99"/>
      <x:c r="H139" s="99"/>
      <x:c r="I139" s="99"/>
      <x:c r="J139" s="99"/>
      <x:c r="K139" s="99"/>
      <x:c r="L139" s="99"/>
      <x:c r="M139" s="99"/>
      <x:c r="N139" s="99"/>
      <x:c r="O139" s="99"/>
      <x:c r="P139" s="99"/>
      <x:c r="Q139" s="99"/>
      <x:c r="R139" s="99"/>
      <x:c r="S139" s="99"/>
      <x:c r="T139" s="99"/>
      <x:c r="U139" s="99"/>
      <x:c r="V139" s="99"/>
      <x:c r="W139" s="99"/>
      <x:c r="X139" s="99"/>
      <x:c r="Y139" s="99"/>
      <x:c r="Z139" s="99"/>
    </x:row>
    <x:row r="140">
      <x:c r="A140" s="99"/>
      <x:c r="B140" s="99"/>
      <x:c r="C140" s="99"/>
      <x:c r="D140" s="99"/>
      <x:c r="E140" s="99"/>
      <x:c r="F140" s="99"/>
      <x:c r="G140" s="99"/>
      <x:c r="H140" s="99"/>
      <x:c r="I140" s="99"/>
      <x:c r="J140" s="99"/>
      <x:c r="K140" s="99"/>
      <x:c r="L140" s="99"/>
      <x:c r="M140" s="99"/>
      <x:c r="N140" s="99"/>
      <x:c r="O140" s="99"/>
      <x:c r="P140" s="99"/>
      <x:c r="Q140" s="99"/>
      <x:c r="R140" s="99"/>
      <x:c r="S140" s="99"/>
      <x:c r="T140" s="99"/>
      <x:c r="U140" s="99"/>
      <x:c r="V140" s="99"/>
      <x:c r="W140" s="99"/>
      <x:c r="X140" s="99"/>
      <x:c r="Y140" s="99"/>
      <x:c r="Z140" s="99"/>
    </x:row>
    <x:row r="141">
      <x:c r="A141" s="99"/>
      <x:c r="B141" s="99"/>
      <x:c r="C141" s="99"/>
      <x:c r="D141" s="99"/>
      <x:c r="E141" s="99"/>
      <x:c r="F141" s="99"/>
      <x:c r="G141" s="99"/>
      <x:c r="H141" s="99"/>
      <x:c r="I141" s="99"/>
      <x:c r="J141" s="99"/>
      <x:c r="K141" s="99"/>
      <x:c r="L141" s="99"/>
      <x:c r="M141" s="99"/>
      <x:c r="N141" s="99"/>
      <x:c r="O141" s="99"/>
      <x:c r="P141" s="99"/>
      <x:c r="Q141" s="99"/>
      <x:c r="R141" s="99"/>
      <x:c r="S141" s="99"/>
      <x:c r="T141" s="99"/>
      <x:c r="U141" s="99"/>
      <x:c r="V141" s="99"/>
      <x:c r="W141" s="99"/>
      <x:c r="X141" s="99"/>
      <x:c r="Y141" s="99"/>
      <x:c r="Z141" s="99"/>
    </x:row>
    <x:row r="142">
      <x:c r="A142" s="99"/>
      <x:c r="B142" s="99"/>
      <x:c r="C142" s="99"/>
      <x:c r="D142" s="99"/>
      <x:c r="E142" s="99"/>
      <x:c r="F142" s="99"/>
      <x:c r="G142" s="99"/>
      <x:c r="H142" s="99"/>
      <x:c r="I142" s="99"/>
      <x:c r="J142" s="99"/>
      <x:c r="K142" s="99"/>
      <x:c r="L142" s="99"/>
      <x:c r="M142" s="99"/>
      <x:c r="N142" s="99"/>
      <x:c r="O142" s="99"/>
      <x:c r="P142" s="99"/>
      <x:c r="Q142" s="99"/>
      <x:c r="R142" s="99"/>
      <x:c r="S142" s="99"/>
      <x:c r="T142" s="99"/>
      <x:c r="U142" s="99"/>
      <x:c r="V142" s="99"/>
      <x:c r="W142" s="99"/>
      <x:c r="X142" s="99"/>
      <x:c r="Y142" s="99"/>
      <x:c r="Z142" s="99"/>
    </x:row>
    <x:row r="143">
      <x:c r="A143" s="99"/>
      <x:c r="B143" s="99"/>
      <x:c r="C143" s="99"/>
      <x:c r="D143" s="99"/>
      <x:c r="E143" s="99"/>
      <x:c r="F143" s="99"/>
      <x:c r="G143" s="99"/>
      <x:c r="H143" s="99"/>
      <x:c r="I143" s="99"/>
      <x:c r="J143" s="99"/>
      <x:c r="K143" s="99"/>
      <x:c r="L143" s="99"/>
      <x:c r="M143" s="99"/>
      <x:c r="N143" s="99"/>
      <x:c r="O143" s="99"/>
      <x:c r="P143" s="99"/>
      <x:c r="Q143" s="99"/>
      <x:c r="R143" s="99"/>
      <x:c r="S143" s="99"/>
      <x:c r="T143" s="99"/>
      <x:c r="U143" s="99"/>
      <x:c r="V143" s="99"/>
      <x:c r="W143" s="99"/>
      <x:c r="X143" s="99"/>
      <x:c r="Y143" s="99"/>
      <x:c r="Z143" s="99"/>
    </x:row>
    <x:row r="144">
      <x:c r="A144" s="99"/>
      <x:c r="B144" s="99"/>
      <x:c r="C144" s="99"/>
      <x:c r="D144" s="99"/>
      <x:c r="E144" s="99"/>
      <x:c r="F144" s="99"/>
      <x:c r="G144" s="99"/>
      <x:c r="H144" s="99"/>
      <x:c r="I144" s="99"/>
      <x:c r="J144" s="99"/>
      <x:c r="K144" s="99"/>
      <x:c r="L144" s="99"/>
      <x:c r="M144" s="99"/>
      <x:c r="N144" s="99"/>
      <x:c r="O144" s="99"/>
      <x:c r="P144" s="99"/>
      <x:c r="Q144" s="99"/>
      <x:c r="R144" s="99"/>
      <x:c r="S144" s="99"/>
      <x:c r="T144" s="99"/>
      <x:c r="U144" s="99"/>
      <x:c r="V144" s="99"/>
      <x:c r="W144" s="99"/>
      <x:c r="X144" s="99"/>
      <x:c r="Y144" s="99"/>
      <x:c r="Z144" s="99"/>
    </x:row>
    <x:row r="145">
      <x:c r="A145" s="99"/>
      <x:c r="B145" s="99"/>
      <x:c r="C145" s="99"/>
      <x:c r="D145" s="99"/>
      <x:c r="E145" s="99"/>
      <x:c r="F145" s="99"/>
      <x:c r="G145" s="99"/>
      <x:c r="H145" s="99"/>
      <x:c r="I145" s="99"/>
      <x:c r="J145" s="99"/>
      <x:c r="K145" s="99"/>
      <x:c r="L145" s="99"/>
      <x:c r="M145" s="99"/>
      <x:c r="N145" s="99"/>
      <x:c r="O145" s="99"/>
      <x:c r="P145" s="99"/>
      <x:c r="Q145" s="99"/>
      <x:c r="R145" s="99"/>
      <x:c r="S145" s="99"/>
      <x:c r="T145" s="99"/>
      <x:c r="U145" s="99"/>
      <x:c r="V145" s="99"/>
      <x:c r="W145" s="99"/>
      <x:c r="X145" s="99"/>
      <x:c r="Y145" s="99"/>
      <x:c r="Z145" s="99"/>
    </x:row>
    <x:row r="146">
      <x:c r="A146" s="99"/>
      <x:c r="B146" s="99"/>
      <x:c r="C146" s="99"/>
      <x:c r="D146" s="99"/>
      <x:c r="E146" s="99"/>
      <x:c r="F146" s="99"/>
      <x:c r="G146" s="99"/>
      <x:c r="H146" s="99"/>
      <x:c r="I146" s="99"/>
      <x:c r="J146" s="99"/>
      <x:c r="K146" s="99"/>
      <x:c r="L146" s="99"/>
      <x:c r="M146" s="99"/>
      <x:c r="N146" s="99"/>
      <x:c r="O146" s="99"/>
      <x:c r="P146" s="99"/>
      <x:c r="Q146" s="99"/>
      <x:c r="R146" s="99"/>
      <x:c r="S146" s="99"/>
      <x:c r="T146" s="99"/>
      <x:c r="U146" s="99"/>
      <x:c r="V146" s="99"/>
      <x:c r="W146" s="99"/>
      <x:c r="X146" s="99"/>
      <x:c r="Y146" s="99"/>
      <x:c r="Z146" s="99"/>
    </x:row>
    <x:row r="147">
      <x:c r="A147" s="99"/>
      <x:c r="B147" s="99"/>
      <x:c r="C147" s="99"/>
      <x:c r="D147" s="99"/>
      <x:c r="E147" s="99"/>
      <x:c r="F147" s="99"/>
      <x:c r="G147" s="99"/>
      <x:c r="H147" s="99"/>
      <x:c r="I147" s="99"/>
      <x:c r="J147" s="99"/>
      <x:c r="K147" s="99"/>
      <x:c r="L147" s="99"/>
      <x:c r="M147" s="99"/>
      <x:c r="N147" s="99"/>
      <x:c r="O147" s="99"/>
      <x:c r="P147" s="99"/>
      <x:c r="Q147" s="99"/>
      <x:c r="R147" s="99"/>
      <x:c r="S147" s="99"/>
      <x:c r="T147" s="99"/>
      <x:c r="U147" s="99"/>
      <x:c r="V147" s="99"/>
      <x:c r="W147" s="99"/>
      <x:c r="X147" s="99"/>
      <x:c r="Y147" s="99"/>
      <x:c r="Z147" s="99"/>
    </x:row>
    <x:row r="148">
      <x:c r="A148" s="99"/>
      <x:c r="B148" s="99"/>
      <x:c r="C148" s="99"/>
      <x:c r="D148" s="99"/>
      <x:c r="E148" s="99"/>
      <x:c r="F148" s="99"/>
      <x:c r="G148" s="99"/>
      <x:c r="H148" s="99"/>
      <x:c r="I148" s="99"/>
      <x:c r="J148" s="99"/>
      <x:c r="K148" s="99"/>
      <x:c r="L148" s="99"/>
      <x:c r="M148" s="99"/>
      <x:c r="N148" s="99"/>
      <x:c r="O148" s="99"/>
      <x:c r="P148" s="99"/>
      <x:c r="Q148" s="99"/>
      <x:c r="R148" s="99"/>
      <x:c r="S148" s="99"/>
      <x:c r="T148" s="99"/>
      <x:c r="U148" s="99"/>
      <x:c r="V148" s="99"/>
      <x:c r="W148" s="99"/>
      <x:c r="X148" s="99"/>
      <x:c r="Y148" s="99"/>
      <x:c r="Z148" s="99"/>
    </x:row>
    <x:row r="149">
      <x:c r="A149" s="99"/>
      <x:c r="B149" s="99"/>
      <x:c r="C149" s="99"/>
      <x:c r="D149" s="99"/>
      <x:c r="E149" s="99"/>
      <x:c r="F149" s="99"/>
      <x:c r="G149" s="99"/>
      <x:c r="H149" s="99"/>
      <x:c r="I149" s="99"/>
      <x:c r="J149" s="99"/>
      <x:c r="K149" s="99"/>
      <x:c r="L149" s="99"/>
      <x:c r="M149" s="99"/>
      <x:c r="N149" s="99"/>
      <x:c r="O149" s="99"/>
      <x:c r="P149" s="99"/>
      <x:c r="Q149" s="99"/>
      <x:c r="R149" s="99"/>
      <x:c r="S149" s="99"/>
      <x:c r="T149" s="99"/>
      <x:c r="U149" s="99"/>
      <x:c r="V149" s="99"/>
      <x:c r="W149" s="99"/>
      <x:c r="X149" s="99"/>
      <x:c r="Y149" s="99"/>
      <x:c r="Z149" s="99"/>
    </x:row>
    <x:row r="150">
      <x:c r="A150" s="99"/>
      <x:c r="B150" s="99"/>
      <x:c r="C150" s="99"/>
      <x:c r="D150" s="99"/>
      <x:c r="E150" s="99"/>
      <x:c r="F150" s="99"/>
      <x:c r="G150" s="99"/>
      <x:c r="H150" s="99"/>
      <x:c r="I150" s="99"/>
      <x:c r="J150" s="99"/>
      <x:c r="K150" s="99"/>
      <x:c r="L150" s="99"/>
      <x:c r="M150" s="99"/>
      <x:c r="N150" s="99"/>
      <x:c r="O150" s="99"/>
      <x:c r="P150" s="99"/>
      <x:c r="Q150" s="99"/>
      <x:c r="R150" s="99"/>
      <x:c r="S150" s="99"/>
      <x:c r="T150" s="99"/>
      <x:c r="U150" s="99"/>
      <x:c r="V150" s="99"/>
      <x:c r="W150" s="99"/>
      <x:c r="X150" s="99"/>
      <x:c r="Y150" s="99"/>
      <x:c r="Z150" s="99"/>
    </x:row>
    <x:row r="151">
      <x:c r="A151" s="99"/>
      <x:c r="B151" s="99"/>
      <x:c r="C151" s="99"/>
      <x:c r="D151" s="99"/>
      <x:c r="E151" s="99"/>
      <x:c r="F151" s="99"/>
      <x:c r="G151" s="99"/>
      <x:c r="H151" s="99"/>
      <x:c r="I151" s="99"/>
      <x:c r="J151" s="99"/>
      <x:c r="K151" s="99"/>
      <x:c r="L151" s="99"/>
      <x:c r="M151" s="99"/>
      <x:c r="N151" s="99"/>
      <x:c r="O151" s="99"/>
      <x:c r="P151" s="99"/>
      <x:c r="Q151" s="99"/>
      <x:c r="R151" s="99"/>
      <x:c r="S151" s="99"/>
      <x:c r="T151" s="99"/>
      <x:c r="U151" s="99"/>
      <x:c r="V151" s="99"/>
      <x:c r="W151" s="99"/>
      <x:c r="X151" s="99"/>
      <x:c r="Y151" s="99"/>
      <x:c r="Z151" s="99"/>
    </x:row>
    <x:row r="152">
      <x:c r="A152" s="99"/>
      <x:c r="B152" s="99"/>
      <x:c r="C152" s="99"/>
      <x:c r="D152" s="99"/>
      <x:c r="E152" s="99"/>
      <x:c r="F152" s="99"/>
      <x:c r="G152" s="99"/>
      <x:c r="H152" s="99"/>
      <x:c r="I152" s="99"/>
      <x:c r="J152" s="99"/>
      <x:c r="K152" s="99"/>
      <x:c r="L152" s="99"/>
      <x:c r="M152" s="99"/>
      <x:c r="N152" s="99"/>
      <x:c r="O152" s="99"/>
      <x:c r="P152" s="99"/>
      <x:c r="Q152" s="99"/>
      <x:c r="R152" s="99"/>
      <x:c r="S152" s="99"/>
      <x:c r="T152" s="99"/>
      <x:c r="U152" s="99"/>
      <x:c r="V152" s="99"/>
      <x:c r="W152" s="99"/>
      <x:c r="X152" s="99"/>
      <x:c r="Y152" s="99"/>
      <x:c r="Z152" s="99"/>
    </x:row>
    <x:row r="153">
      <x:c r="A153" s="99"/>
      <x:c r="B153" s="99"/>
      <x:c r="C153" s="99"/>
      <x:c r="D153" s="99"/>
      <x:c r="E153" s="99"/>
      <x:c r="F153" s="99"/>
      <x:c r="G153" s="99"/>
      <x:c r="H153" s="99"/>
      <x:c r="I153" s="99"/>
      <x:c r="J153" s="99"/>
      <x:c r="K153" s="99"/>
      <x:c r="L153" s="99"/>
      <x:c r="M153" s="99"/>
      <x:c r="N153" s="99"/>
      <x:c r="O153" s="99"/>
      <x:c r="P153" s="99"/>
      <x:c r="Q153" s="99"/>
      <x:c r="R153" s="99"/>
      <x:c r="S153" s="99"/>
      <x:c r="T153" s="99"/>
      <x:c r="U153" s="99"/>
      <x:c r="V153" s="99"/>
      <x:c r="W153" s="99"/>
      <x:c r="X153" s="99"/>
      <x:c r="Y153" s="99"/>
      <x:c r="Z153" s="99"/>
    </x:row>
    <x:row r="154">
      <x:c r="A154" s="99"/>
      <x:c r="B154" s="99"/>
      <x:c r="C154" s="99"/>
      <x:c r="D154" s="99"/>
      <x:c r="E154" s="99"/>
      <x:c r="F154" s="99"/>
      <x:c r="G154" s="99"/>
      <x:c r="H154" s="99"/>
      <x:c r="I154" s="99"/>
      <x:c r="J154" s="99"/>
      <x:c r="K154" s="99"/>
      <x:c r="L154" s="99"/>
      <x:c r="M154" s="99"/>
      <x:c r="N154" s="99"/>
      <x:c r="O154" s="99"/>
      <x:c r="P154" s="99"/>
      <x:c r="Q154" s="99"/>
      <x:c r="R154" s="99"/>
      <x:c r="S154" s="99"/>
      <x:c r="T154" s="99"/>
      <x:c r="U154" s="99"/>
      <x:c r="V154" s="99"/>
      <x:c r="W154" s="99"/>
      <x:c r="X154" s="99"/>
      <x:c r="Y154" s="99"/>
      <x:c r="Z154" s="99"/>
    </x:row>
    <x:row r="155">
      <x:c r="A155" s="99"/>
      <x:c r="B155" s="99"/>
      <x:c r="C155" s="99"/>
      <x:c r="D155" s="99"/>
      <x:c r="E155" s="99"/>
      <x:c r="F155" s="99"/>
      <x:c r="G155" s="99"/>
      <x:c r="H155" s="99"/>
      <x:c r="I155" s="99"/>
      <x:c r="J155" s="99"/>
      <x:c r="K155" s="99"/>
      <x:c r="L155" s="99"/>
      <x:c r="M155" s="99"/>
      <x:c r="N155" s="99"/>
      <x:c r="O155" s="99"/>
      <x:c r="P155" s="99"/>
      <x:c r="Q155" s="99"/>
      <x:c r="R155" s="99"/>
      <x:c r="S155" s="99"/>
      <x:c r="T155" s="99"/>
      <x:c r="U155" s="99"/>
      <x:c r="V155" s="99"/>
      <x:c r="W155" s="99"/>
      <x:c r="X155" s="99"/>
      <x:c r="Y155" s="99"/>
      <x:c r="Z155" s="99"/>
    </x:row>
    <x:row r="156">
      <x:c r="A156" s="99"/>
      <x:c r="B156" s="99"/>
      <x:c r="C156" s="99"/>
      <x:c r="D156" s="99"/>
      <x:c r="E156" s="99"/>
      <x:c r="F156" s="99"/>
      <x:c r="G156" s="99"/>
      <x:c r="H156" s="99"/>
      <x:c r="I156" s="99"/>
      <x:c r="J156" s="99"/>
      <x:c r="K156" s="99"/>
      <x:c r="L156" s="99"/>
      <x:c r="M156" s="99"/>
      <x:c r="N156" s="99"/>
      <x:c r="O156" s="99"/>
      <x:c r="P156" s="99"/>
      <x:c r="Q156" s="99"/>
      <x:c r="R156" s="99"/>
      <x:c r="S156" s="99"/>
      <x:c r="T156" s="99"/>
      <x:c r="U156" s="99"/>
      <x:c r="V156" s="99"/>
      <x:c r="W156" s="99"/>
      <x:c r="X156" s="99"/>
      <x:c r="Y156" s="99"/>
      <x:c r="Z156" s="99"/>
    </x:row>
    <x:row r="157">
      <x:c r="A157" s="99"/>
      <x:c r="B157" s="99"/>
      <x:c r="C157" s="99"/>
      <x:c r="D157" s="99"/>
      <x:c r="E157" s="99"/>
      <x:c r="F157" s="99"/>
      <x:c r="G157" s="99"/>
      <x:c r="H157" s="99"/>
      <x:c r="I157" s="99"/>
      <x:c r="J157" s="99"/>
      <x:c r="K157" s="99"/>
      <x:c r="L157" s="99"/>
      <x:c r="M157" s="99"/>
      <x:c r="N157" s="99"/>
      <x:c r="O157" s="99"/>
      <x:c r="P157" s="99"/>
      <x:c r="Q157" s="99"/>
      <x:c r="R157" s="99"/>
      <x:c r="S157" s="99"/>
      <x:c r="T157" s="99"/>
      <x:c r="U157" s="99"/>
      <x:c r="V157" s="99"/>
      <x:c r="W157" s="99"/>
      <x:c r="X157" s="99"/>
      <x:c r="Y157" s="99"/>
      <x:c r="Z157" s="99"/>
    </x:row>
    <x:row r="158">
      <x:c r="A158" s="99"/>
      <x:c r="B158" s="99"/>
      <x:c r="C158" s="99"/>
      <x:c r="D158" s="99"/>
      <x:c r="E158" s="99"/>
      <x:c r="F158" s="99"/>
      <x:c r="G158" s="99"/>
      <x:c r="H158" s="99"/>
      <x:c r="I158" s="99"/>
      <x:c r="J158" s="99"/>
      <x:c r="K158" s="99"/>
      <x:c r="L158" s="99"/>
      <x:c r="M158" s="99"/>
      <x:c r="N158" s="99"/>
      <x:c r="O158" s="99"/>
      <x:c r="P158" s="99"/>
      <x:c r="Q158" s="99"/>
      <x:c r="R158" s="99"/>
      <x:c r="S158" s="99"/>
      <x:c r="T158" s="99"/>
      <x:c r="U158" s="99"/>
      <x:c r="V158" s="99"/>
      <x:c r="W158" s="99"/>
      <x:c r="X158" s="99"/>
      <x:c r="Y158" s="99"/>
      <x:c r="Z158" s="99"/>
    </x:row>
    <x:row r="159">
      <x:c r="A159" s="99"/>
      <x:c r="B159" s="99"/>
      <x:c r="C159" s="99"/>
      <x:c r="D159" s="99"/>
      <x:c r="E159" s="99"/>
      <x:c r="F159" s="99"/>
      <x:c r="G159" s="99"/>
      <x:c r="H159" s="99"/>
      <x:c r="I159" s="99"/>
      <x:c r="J159" s="99"/>
      <x:c r="K159" s="99"/>
      <x:c r="L159" s="99"/>
      <x:c r="M159" s="99"/>
      <x:c r="N159" s="99"/>
      <x:c r="O159" s="99"/>
      <x:c r="P159" s="99"/>
      <x:c r="Q159" s="99"/>
      <x:c r="R159" s="99"/>
      <x:c r="S159" s="99"/>
      <x:c r="T159" s="99"/>
      <x:c r="U159" s="99"/>
      <x:c r="V159" s="99"/>
      <x:c r="W159" s="99"/>
      <x:c r="X159" s="99"/>
      <x:c r="Y159" s="99"/>
      <x:c r="Z159" s="99"/>
    </x:row>
    <x:row r="160">
      <x:c r="A160" s="99"/>
      <x:c r="B160" s="99"/>
      <x:c r="C160" s="99"/>
      <x:c r="D160" s="99"/>
      <x:c r="E160" s="99"/>
      <x:c r="F160" s="99"/>
      <x:c r="G160" s="99"/>
      <x:c r="H160" s="99"/>
      <x:c r="I160" s="99"/>
      <x:c r="J160" s="99"/>
      <x:c r="K160" s="99"/>
      <x:c r="L160" s="99"/>
      <x:c r="M160" s="99"/>
      <x:c r="N160" s="99"/>
      <x:c r="O160" s="99"/>
      <x:c r="P160" s="99"/>
      <x:c r="Q160" s="99"/>
      <x:c r="R160" s="99"/>
      <x:c r="S160" s="99"/>
      <x:c r="T160" s="99"/>
      <x:c r="U160" s="99"/>
      <x:c r="V160" s="99"/>
      <x:c r="W160" s="99"/>
      <x:c r="X160" s="99"/>
      <x:c r="Y160" s="99"/>
      <x:c r="Z160" s="99"/>
    </x:row>
    <x:row r="161">
      <x:c r="A161" s="99"/>
      <x:c r="B161" s="99"/>
      <x:c r="C161" s="99"/>
      <x:c r="D161" s="99"/>
      <x:c r="E161" s="99"/>
      <x:c r="F161" s="99"/>
      <x:c r="G161" s="99"/>
      <x:c r="H161" s="99"/>
      <x:c r="I161" s="99"/>
      <x:c r="J161" s="99"/>
      <x:c r="K161" s="99"/>
      <x:c r="L161" s="99"/>
      <x:c r="M161" s="99"/>
      <x:c r="N161" s="99"/>
      <x:c r="O161" s="99"/>
      <x:c r="P161" s="99"/>
      <x:c r="Q161" s="99"/>
      <x:c r="R161" s="99"/>
      <x:c r="S161" s="99"/>
      <x:c r="T161" s="99"/>
      <x:c r="U161" s="99"/>
      <x:c r="V161" s="99"/>
      <x:c r="W161" s="99"/>
      <x:c r="X161" s="99"/>
      <x:c r="Y161" s="99"/>
      <x:c r="Z161" s="99"/>
    </x:row>
    <x:row r="162">
      <x:c r="A162" s="99"/>
      <x:c r="B162" s="99"/>
      <x:c r="C162" s="99"/>
      <x:c r="D162" s="99"/>
      <x:c r="E162" s="99"/>
      <x:c r="F162" s="99"/>
      <x:c r="G162" s="99"/>
      <x:c r="H162" s="99"/>
      <x:c r="I162" s="99"/>
      <x:c r="J162" s="99"/>
      <x:c r="K162" s="99"/>
      <x:c r="L162" s="99"/>
      <x:c r="M162" s="99"/>
      <x:c r="N162" s="99"/>
      <x:c r="O162" s="99"/>
      <x:c r="P162" s="99"/>
      <x:c r="Q162" s="99"/>
      <x:c r="R162" s="99"/>
      <x:c r="S162" s="99"/>
      <x:c r="T162" s="99"/>
      <x:c r="U162" s="99"/>
      <x:c r="V162" s="99"/>
      <x:c r="W162" s="99"/>
      <x:c r="X162" s="99"/>
      <x:c r="Y162" s="99"/>
      <x:c r="Z162" s="99"/>
    </x:row>
    <x:row r="163">
      <x:c r="A163" s="99"/>
      <x:c r="B163" s="99"/>
      <x:c r="C163" s="99"/>
      <x:c r="D163" s="99"/>
      <x:c r="E163" s="99"/>
      <x:c r="F163" s="99"/>
      <x:c r="G163" s="99"/>
      <x:c r="H163" s="99"/>
      <x:c r="I163" s="99"/>
      <x:c r="J163" s="99"/>
      <x:c r="K163" s="99"/>
      <x:c r="L163" s="99"/>
      <x:c r="M163" s="99"/>
      <x:c r="N163" s="99"/>
      <x:c r="O163" s="99"/>
      <x:c r="P163" s="99"/>
      <x:c r="Q163" s="99"/>
      <x:c r="R163" s="99"/>
      <x:c r="S163" s="99"/>
      <x:c r="T163" s="99"/>
      <x:c r="U163" s="99"/>
      <x:c r="V163" s="99"/>
      <x:c r="W163" s="99"/>
      <x:c r="X163" s="99"/>
      <x:c r="Y163" s="99"/>
      <x:c r="Z163" s="99"/>
    </x:row>
    <x:row r="164">
      <x:c r="A164" s="99"/>
      <x:c r="B164" s="99"/>
      <x:c r="C164" s="99"/>
      <x:c r="D164" s="99"/>
      <x:c r="E164" s="99"/>
      <x:c r="F164" s="99"/>
      <x:c r="G164" s="99"/>
      <x:c r="H164" s="99"/>
      <x:c r="I164" s="99"/>
      <x:c r="J164" s="99"/>
      <x:c r="K164" s="99"/>
      <x:c r="L164" s="99"/>
      <x:c r="M164" s="99"/>
      <x:c r="N164" s="99"/>
      <x:c r="O164" s="99"/>
      <x:c r="P164" s="99"/>
      <x:c r="Q164" s="99"/>
      <x:c r="R164" s="99"/>
      <x:c r="S164" s="99"/>
      <x:c r="T164" s="99"/>
      <x:c r="U164" s="99"/>
      <x:c r="V164" s="99"/>
      <x:c r="W164" s="99"/>
      <x:c r="X164" s="99"/>
      <x:c r="Y164" s="99"/>
      <x:c r="Z164" s="99"/>
    </x:row>
    <x:row r="165">
      <x:c r="A165" s="99"/>
      <x:c r="B165" s="99"/>
      <x:c r="C165" s="99"/>
      <x:c r="D165" s="99"/>
      <x:c r="E165" s="99"/>
      <x:c r="F165" s="99"/>
      <x:c r="G165" s="99"/>
      <x:c r="H165" s="99"/>
      <x:c r="I165" s="99"/>
      <x:c r="J165" s="99"/>
      <x:c r="K165" s="99"/>
      <x:c r="L165" s="99"/>
      <x:c r="M165" s="99"/>
      <x:c r="N165" s="99"/>
      <x:c r="O165" s="99"/>
      <x:c r="P165" s="99"/>
      <x:c r="Q165" s="99"/>
      <x:c r="R165" s="99"/>
      <x:c r="S165" s="99"/>
      <x:c r="T165" s="99"/>
      <x:c r="U165" s="99"/>
      <x:c r="V165" s="99"/>
      <x:c r="W165" s="99"/>
      <x:c r="X165" s="99"/>
      <x:c r="Y165" s="99"/>
      <x:c r="Z165" s="99"/>
    </x:row>
    <x:row r="166">
      <x:c r="A166" s="99"/>
      <x:c r="B166" s="99"/>
      <x:c r="C166" s="99"/>
      <x:c r="D166" s="99"/>
      <x:c r="E166" s="99"/>
      <x:c r="F166" s="99"/>
      <x:c r="G166" s="99"/>
      <x:c r="H166" s="99"/>
      <x:c r="I166" s="99"/>
      <x:c r="J166" s="99"/>
      <x:c r="K166" s="99"/>
      <x:c r="L166" s="99"/>
      <x:c r="M166" s="99"/>
      <x:c r="N166" s="99"/>
      <x:c r="O166" s="99"/>
      <x:c r="P166" s="99"/>
      <x:c r="Q166" s="99"/>
      <x:c r="R166" s="99"/>
      <x:c r="S166" s="99"/>
      <x:c r="T166" s="99"/>
      <x:c r="U166" s="99"/>
      <x:c r="V166" s="99"/>
      <x:c r="W166" s="99"/>
      <x:c r="X166" s="99"/>
      <x:c r="Y166" s="99"/>
      <x:c r="Z166" s="99"/>
    </x:row>
    <x:row r="167">
      <x:c r="A167" s="99"/>
      <x:c r="B167" s="99"/>
      <x:c r="C167" s="99"/>
      <x:c r="D167" s="99"/>
      <x:c r="E167" s="99"/>
      <x:c r="F167" s="99"/>
      <x:c r="G167" s="99"/>
      <x:c r="H167" s="99"/>
      <x:c r="I167" s="99"/>
      <x:c r="J167" s="99"/>
      <x:c r="K167" s="99"/>
      <x:c r="L167" s="99"/>
      <x:c r="M167" s="99"/>
      <x:c r="N167" s="99"/>
      <x:c r="O167" s="99"/>
      <x:c r="P167" s="99"/>
      <x:c r="Q167" s="99"/>
      <x:c r="R167" s="99"/>
      <x:c r="S167" s="99"/>
      <x:c r="T167" s="99"/>
      <x:c r="U167" s="99"/>
      <x:c r="V167" s="99"/>
      <x:c r="W167" s="99"/>
      <x:c r="X167" s="99"/>
      <x:c r="Y167" s="99"/>
      <x:c r="Z167" s="99"/>
    </x:row>
    <x:row r="168">
      <x:c r="A168" s="99"/>
      <x:c r="B168" s="99"/>
      <x:c r="C168" s="99"/>
      <x:c r="D168" s="99"/>
      <x:c r="E168" s="99"/>
      <x:c r="F168" s="99"/>
      <x:c r="G168" s="99"/>
      <x:c r="H168" s="99"/>
      <x:c r="I168" s="99"/>
      <x:c r="J168" s="99"/>
      <x:c r="K168" s="99"/>
      <x:c r="L168" s="99"/>
      <x:c r="M168" s="99"/>
      <x:c r="N168" s="99"/>
      <x:c r="O168" s="99"/>
      <x:c r="P168" s="99"/>
      <x:c r="Q168" s="99"/>
      <x:c r="R168" s="99"/>
      <x:c r="S168" s="99"/>
      <x:c r="T168" s="99"/>
      <x:c r="U168" s="99"/>
      <x:c r="V168" s="99"/>
      <x:c r="W168" s="99"/>
      <x:c r="X168" s="99"/>
      <x:c r="Y168" s="99"/>
      <x:c r="Z168" s="99"/>
    </x:row>
    <x:row r="169">
      <x:c r="A169" s="99"/>
      <x:c r="B169" s="99"/>
      <x:c r="C169" s="99"/>
      <x:c r="D169" s="99"/>
      <x:c r="E169" s="99"/>
      <x:c r="F169" s="99"/>
      <x:c r="G169" s="99"/>
      <x:c r="H169" s="99"/>
      <x:c r="I169" s="99"/>
      <x:c r="J169" s="99"/>
      <x:c r="K169" s="99"/>
      <x:c r="L169" s="99"/>
      <x:c r="M169" s="99"/>
      <x:c r="N169" s="99"/>
      <x:c r="O169" s="99"/>
      <x:c r="P169" s="99"/>
      <x:c r="Q169" s="99"/>
      <x:c r="R169" s="99"/>
      <x:c r="S169" s="99"/>
      <x:c r="T169" s="99"/>
      <x:c r="U169" s="99"/>
      <x:c r="V169" s="99"/>
      <x:c r="W169" s="99"/>
      <x:c r="X169" s="99"/>
      <x:c r="Y169" s="99"/>
      <x:c r="Z169" s="99"/>
    </x:row>
    <x:row r="170">
      <x:c r="A170" s="99"/>
      <x:c r="B170" s="99"/>
      <x:c r="C170" s="99"/>
      <x:c r="D170" s="99"/>
      <x:c r="E170" s="99"/>
      <x:c r="F170" s="99"/>
      <x:c r="G170" s="99"/>
      <x:c r="H170" s="99"/>
      <x:c r="I170" s="99"/>
      <x:c r="J170" s="99"/>
      <x:c r="K170" s="99"/>
      <x:c r="L170" s="99"/>
      <x:c r="M170" s="99"/>
      <x:c r="N170" s="99"/>
      <x:c r="O170" s="99"/>
      <x:c r="P170" s="99"/>
      <x:c r="Q170" s="99"/>
      <x:c r="R170" s="99"/>
      <x:c r="S170" s="99"/>
      <x:c r="T170" s="99"/>
      <x:c r="U170" s="99"/>
      <x:c r="V170" s="99"/>
      <x:c r="W170" s="99"/>
      <x:c r="X170" s="99"/>
      <x:c r="Y170" s="99"/>
      <x:c r="Z170" s="99"/>
    </x:row>
    <x:row r="171">
      <x:c r="A171" s="99"/>
      <x:c r="B171" s="99"/>
      <x:c r="C171" s="99"/>
      <x:c r="D171" s="99"/>
      <x:c r="E171" s="99"/>
      <x:c r="F171" s="99"/>
      <x:c r="G171" s="99"/>
      <x:c r="H171" s="99"/>
      <x:c r="I171" s="99"/>
      <x:c r="J171" s="99"/>
      <x:c r="K171" s="99"/>
      <x:c r="L171" s="99"/>
      <x:c r="M171" s="99"/>
      <x:c r="N171" s="99"/>
      <x:c r="O171" s="99"/>
      <x:c r="P171" s="99"/>
      <x:c r="Q171" s="99"/>
      <x:c r="R171" s="99"/>
      <x:c r="S171" s="99"/>
      <x:c r="T171" s="99"/>
      <x:c r="U171" s="99"/>
      <x:c r="V171" s="99"/>
      <x:c r="W171" s="99"/>
      <x:c r="X171" s="99"/>
      <x:c r="Y171" s="99"/>
      <x:c r="Z171" s="99"/>
    </x:row>
    <x:row r="172">
      <x:c r="A172" s="99"/>
      <x:c r="B172" s="99"/>
      <x:c r="C172" s="99"/>
      <x:c r="D172" s="99"/>
      <x:c r="E172" s="99"/>
      <x:c r="F172" s="99"/>
      <x:c r="G172" s="99"/>
      <x:c r="H172" s="99"/>
      <x:c r="I172" s="99"/>
      <x:c r="J172" s="99"/>
      <x:c r="K172" s="99"/>
      <x:c r="L172" s="99"/>
      <x:c r="M172" s="99"/>
      <x:c r="N172" s="99"/>
      <x:c r="O172" s="99"/>
      <x:c r="P172" s="99"/>
      <x:c r="Q172" s="99"/>
      <x:c r="R172" s="99"/>
      <x:c r="S172" s="99"/>
      <x:c r="T172" s="99"/>
      <x:c r="U172" s="99"/>
      <x:c r="V172" s="99"/>
      <x:c r="W172" s="99"/>
      <x:c r="X172" s="99"/>
      <x:c r="Y172" s="99"/>
      <x:c r="Z172" s="99"/>
    </x:row>
    <x:row r="173">
      <x:c r="A173" s="99"/>
      <x:c r="B173" s="99"/>
      <x:c r="C173" s="99"/>
      <x:c r="D173" s="99"/>
      <x:c r="E173" s="99"/>
      <x:c r="F173" s="99"/>
      <x:c r="G173" s="99"/>
      <x:c r="H173" s="99"/>
      <x:c r="I173" s="99"/>
      <x:c r="J173" s="99"/>
      <x:c r="K173" s="99"/>
      <x:c r="L173" s="99"/>
      <x:c r="M173" s="99"/>
      <x:c r="N173" s="99"/>
      <x:c r="O173" s="99"/>
      <x:c r="P173" s="99"/>
      <x:c r="Q173" s="99"/>
      <x:c r="R173" s="99"/>
      <x:c r="S173" s="99"/>
      <x:c r="T173" s="99"/>
      <x:c r="U173" s="99"/>
      <x:c r="V173" s="99"/>
      <x:c r="W173" s="99"/>
      <x:c r="X173" s="99"/>
      <x:c r="Y173" s="99"/>
      <x:c r="Z173" s="99"/>
    </x:row>
    <x:row r="174">
      <x:c r="A174" s="99"/>
      <x:c r="B174" s="99"/>
      <x:c r="C174" s="99"/>
      <x:c r="D174" s="99"/>
      <x:c r="E174" s="99"/>
      <x:c r="F174" s="99"/>
      <x:c r="G174" s="99"/>
      <x:c r="H174" s="99"/>
      <x:c r="I174" s="99"/>
      <x:c r="J174" s="99"/>
      <x:c r="K174" s="99"/>
      <x:c r="L174" s="99"/>
      <x:c r="M174" s="99"/>
      <x:c r="N174" s="99"/>
      <x:c r="O174" s="99"/>
      <x:c r="P174" s="99"/>
      <x:c r="Q174" s="99"/>
      <x:c r="R174" s="99"/>
      <x:c r="S174" s="99"/>
      <x:c r="T174" s="99"/>
      <x:c r="U174" s="99"/>
      <x:c r="V174" s="99"/>
      <x:c r="W174" s="99"/>
      <x:c r="X174" s="99"/>
      <x:c r="Y174" s="99"/>
      <x:c r="Z174" s="99"/>
    </x:row>
    <x:row r="175">
      <x:c r="A175" s="99"/>
      <x:c r="B175" s="99"/>
      <x:c r="C175" s="99"/>
      <x:c r="D175" s="99"/>
      <x:c r="E175" s="99"/>
      <x:c r="F175" s="99"/>
      <x:c r="G175" s="99"/>
      <x:c r="H175" s="99"/>
      <x:c r="I175" s="99"/>
      <x:c r="J175" s="99"/>
      <x:c r="K175" s="99"/>
      <x:c r="L175" s="99"/>
      <x:c r="M175" s="99"/>
      <x:c r="N175" s="99"/>
      <x:c r="O175" s="99"/>
      <x:c r="P175" s="99"/>
      <x:c r="Q175" s="99"/>
      <x:c r="R175" s="99"/>
      <x:c r="S175" s="99"/>
      <x:c r="T175" s="99"/>
      <x:c r="U175" s="99"/>
      <x:c r="V175" s="99"/>
      <x:c r="W175" s="99"/>
      <x:c r="X175" s="99"/>
      <x:c r="Y175" s="99"/>
      <x:c r="Z175" s="99"/>
    </x:row>
    <x:row r="176">
      <x:c r="A176" s="99"/>
      <x:c r="B176" s="99"/>
      <x:c r="C176" s="99"/>
      <x:c r="D176" s="99"/>
      <x:c r="E176" s="99"/>
      <x:c r="F176" s="99"/>
      <x:c r="G176" s="99"/>
      <x:c r="H176" s="99"/>
      <x:c r="I176" s="99"/>
      <x:c r="J176" s="99"/>
      <x:c r="K176" s="99"/>
      <x:c r="L176" s="99"/>
      <x:c r="M176" s="99"/>
      <x:c r="N176" s="99"/>
      <x:c r="O176" s="99"/>
      <x:c r="P176" s="99"/>
      <x:c r="Q176" s="99"/>
      <x:c r="R176" s="99"/>
      <x:c r="S176" s="99"/>
      <x:c r="T176" s="99"/>
      <x:c r="U176" s="99"/>
      <x:c r="V176" s="99"/>
      <x:c r="W176" s="99"/>
      <x:c r="X176" s="99"/>
      <x:c r="Y176" s="99"/>
      <x:c r="Z176" s="99"/>
    </x:row>
    <x:row r="177">
      <x:c r="A177" s="99"/>
      <x:c r="B177" s="99"/>
      <x:c r="C177" s="99"/>
      <x:c r="D177" s="99"/>
      <x:c r="E177" s="99"/>
      <x:c r="F177" s="99"/>
      <x:c r="G177" s="99"/>
      <x:c r="H177" s="99"/>
      <x:c r="I177" s="99"/>
      <x:c r="J177" s="99"/>
      <x:c r="K177" s="99"/>
      <x:c r="L177" s="99"/>
      <x:c r="M177" s="99"/>
      <x:c r="N177" s="99"/>
      <x:c r="O177" s="99"/>
      <x:c r="P177" s="99"/>
      <x:c r="Q177" s="99"/>
      <x:c r="R177" s="99"/>
      <x:c r="S177" s="99"/>
      <x:c r="T177" s="99"/>
      <x:c r="U177" s="99"/>
      <x:c r="V177" s="99"/>
      <x:c r="W177" s="99"/>
      <x:c r="X177" s="99"/>
      <x:c r="Y177" s="99"/>
      <x:c r="Z177" s="99"/>
    </x:row>
    <x:row r="178">
      <x:c r="A178" s="99"/>
      <x:c r="B178" s="99"/>
      <x:c r="C178" s="99"/>
      <x:c r="D178" s="99"/>
      <x:c r="E178" s="99"/>
      <x:c r="F178" s="99"/>
      <x:c r="G178" s="99"/>
      <x:c r="H178" s="99"/>
      <x:c r="I178" s="99"/>
      <x:c r="J178" s="99"/>
      <x:c r="K178" s="99"/>
      <x:c r="L178" s="99"/>
      <x:c r="M178" s="99"/>
      <x:c r="N178" s="99"/>
      <x:c r="O178" s="99"/>
      <x:c r="P178" s="99"/>
      <x:c r="Q178" s="99"/>
      <x:c r="R178" s="99"/>
      <x:c r="S178" s="99"/>
      <x:c r="T178" s="99"/>
      <x:c r="U178" s="99"/>
      <x:c r="V178" s="99"/>
      <x:c r="W178" s="99"/>
      <x:c r="X178" s="99"/>
      <x:c r="Y178" s="99"/>
      <x:c r="Z178" s="99"/>
    </x:row>
    <x:row r="179">
      <x:c r="A179" s="99"/>
      <x:c r="B179" s="99"/>
      <x:c r="C179" s="99"/>
      <x:c r="D179" s="99"/>
      <x:c r="E179" s="99"/>
      <x:c r="F179" s="99"/>
      <x:c r="G179" s="99"/>
      <x:c r="H179" s="99"/>
      <x:c r="I179" s="99"/>
      <x:c r="J179" s="99"/>
      <x:c r="K179" s="99"/>
      <x:c r="L179" s="99"/>
      <x:c r="M179" s="99"/>
      <x:c r="N179" s="99"/>
      <x:c r="O179" s="99"/>
      <x:c r="P179" s="99"/>
      <x:c r="Q179" s="99"/>
      <x:c r="R179" s="99"/>
      <x:c r="S179" s="99"/>
      <x:c r="T179" s="99"/>
      <x:c r="U179" s="99"/>
      <x:c r="V179" s="99"/>
      <x:c r="W179" s="99"/>
      <x:c r="X179" s="99"/>
      <x:c r="Y179" s="99"/>
      <x:c r="Z179" s="99"/>
    </x:row>
    <x:row r="180">
      <x:c r="A180" s="99"/>
      <x:c r="B180" s="99"/>
      <x:c r="C180" s="99"/>
      <x:c r="D180" s="99"/>
      <x:c r="E180" s="99"/>
      <x:c r="F180" s="99"/>
      <x:c r="G180" s="99"/>
      <x:c r="H180" s="99"/>
      <x:c r="I180" s="99"/>
      <x:c r="J180" s="99"/>
      <x:c r="K180" s="99"/>
      <x:c r="L180" s="99"/>
      <x:c r="M180" s="99"/>
      <x:c r="N180" s="99"/>
      <x:c r="O180" s="99"/>
      <x:c r="P180" s="99"/>
      <x:c r="Q180" s="99"/>
      <x:c r="R180" s="99"/>
      <x:c r="S180" s="99"/>
      <x:c r="T180" s="99"/>
      <x:c r="U180" s="99"/>
      <x:c r="V180" s="99"/>
      <x:c r="W180" s="99"/>
      <x:c r="X180" s="99"/>
      <x:c r="Y180" s="99"/>
      <x:c r="Z180" s="99"/>
    </x:row>
    <x:row r="181">
      <x:c r="A181" s="99"/>
      <x:c r="B181" s="99"/>
      <x:c r="C181" s="99"/>
      <x:c r="D181" s="99"/>
      <x:c r="E181" s="99"/>
      <x:c r="F181" s="99"/>
      <x:c r="G181" s="99"/>
      <x:c r="H181" s="99"/>
      <x:c r="I181" s="99"/>
      <x:c r="J181" s="99"/>
      <x:c r="K181" s="99"/>
      <x:c r="L181" s="99"/>
      <x:c r="M181" s="99"/>
      <x:c r="N181" s="99"/>
      <x:c r="O181" s="99"/>
      <x:c r="P181" s="99"/>
      <x:c r="Q181" s="99"/>
      <x:c r="R181" s="99"/>
      <x:c r="S181" s="99"/>
      <x:c r="T181" s="99"/>
      <x:c r="U181" s="99"/>
      <x:c r="V181" s="99"/>
      <x:c r="W181" s="99"/>
      <x:c r="X181" s="99"/>
      <x:c r="Y181" s="99"/>
      <x:c r="Z181" s="99"/>
    </x:row>
    <x:row r="182">
      <x:c r="A182" s="99"/>
      <x:c r="B182" s="99"/>
      <x:c r="C182" s="99"/>
      <x:c r="D182" s="99"/>
      <x:c r="E182" s="99"/>
      <x:c r="F182" s="99"/>
      <x:c r="G182" s="99"/>
      <x:c r="H182" s="99"/>
      <x:c r="I182" s="99"/>
      <x:c r="J182" s="99"/>
      <x:c r="K182" s="99"/>
      <x:c r="L182" s="99"/>
      <x:c r="M182" s="99"/>
      <x:c r="N182" s="99"/>
      <x:c r="O182" s="99"/>
      <x:c r="P182" s="99"/>
      <x:c r="Q182" s="99"/>
      <x:c r="R182" s="99"/>
      <x:c r="S182" s="99"/>
      <x:c r="T182" s="99"/>
      <x:c r="U182" s="99"/>
      <x:c r="V182" s="99"/>
      <x:c r="W182" s="99"/>
      <x:c r="X182" s="99"/>
      <x:c r="Y182" s="99"/>
      <x:c r="Z182" s="99"/>
    </x:row>
    <x:row r="183">
      <x:c r="A183" s="99"/>
      <x:c r="B183" s="99"/>
      <x:c r="C183" s="99"/>
      <x:c r="D183" s="99"/>
      <x:c r="E183" s="99"/>
      <x:c r="F183" s="99"/>
      <x:c r="G183" s="99"/>
      <x:c r="H183" s="99"/>
      <x:c r="I183" s="99"/>
      <x:c r="J183" s="99"/>
      <x:c r="K183" s="99"/>
      <x:c r="L183" s="99"/>
      <x:c r="M183" s="99"/>
      <x:c r="N183" s="99"/>
      <x:c r="O183" s="99"/>
      <x:c r="P183" s="99"/>
      <x:c r="Q183" s="99"/>
      <x:c r="R183" s="99"/>
      <x:c r="S183" s="99"/>
      <x:c r="T183" s="99"/>
      <x:c r="U183" s="99"/>
      <x:c r="V183" s="99"/>
      <x:c r="W183" s="99"/>
      <x:c r="X183" s="99"/>
      <x:c r="Y183" s="99"/>
      <x:c r="Z183" s="99"/>
    </x:row>
    <x:row r="184">
      <x:c r="A184" s="99"/>
      <x:c r="B184" s="99"/>
      <x:c r="C184" s="99"/>
      <x:c r="D184" s="99"/>
      <x:c r="E184" s="99"/>
      <x:c r="F184" s="99"/>
      <x:c r="G184" s="99"/>
      <x:c r="H184" s="99"/>
      <x:c r="I184" s="99"/>
      <x:c r="J184" s="99"/>
      <x:c r="K184" s="99"/>
      <x:c r="L184" s="99"/>
      <x:c r="M184" s="99"/>
      <x:c r="N184" s="99"/>
      <x:c r="O184" s="99"/>
      <x:c r="P184" s="99"/>
      <x:c r="Q184" s="99"/>
      <x:c r="R184" s="99"/>
      <x:c r="S184" s="99"/>
      <x:c r="T184" s="99"/>
      <x:c r="U184" s="99"/>
      <x:c r="V184" s="99"/>
      <x:c r="W184" s="99"/>
      <x:c r="X184" s="99"/>
      <x:c r="Y184" s="99"/>
      <x:c r="Z184" s="99"/>
    </x:row>
    <x:row r="185">
      <x:c r="A185" s="99"/>
      <x:c r="B185" s="99"/>
      <x:c r="C185" s="99"/>
      <x:c r="D185" s="99"/>
      <x:c r="E185" s="99"/>
      <x:c r="F185" s="99"/>
      <x:c r="G185" s="99"/>
      <x:c r="H185" s="99"/>
      <x:c r="I185" s="99"/>
      <x:c r="J185" s="99"/>
      <x:c r="K185" s="99"/>
      <x:c r="L185" s="99"/>
      <x:c r="M185" s="99"/>
      <x:c r="N185" s="99"/>
      <x:c r="O185" s="99"/>
      <x:c r="P185" s="99"/>
      <x:c r="Q185" s="99"/>
      <x:c r="R185" s="99"/>
      <x:c r="S185" s="99"/>
      <x:c r="T185" s="99"/>
      <x:c r="U185" s="99"/>
      <x:c r="V185" s="99"/>
      <x:c r="W185" s="99"/>
      <x:c r="X185" s="99"/>
      <x:c r="Y185" s="99"/>
      <x:c r="Z185" s="99"/>
    </x:row>
    <x:row r="186">
      <x:c r="A186" s="99"/>
      <x:c r="B186" s="99"/>
      <x:c r="C186" s="99"/>
      <x:c r="D186" s="99"/>
      <x:c r="E186" s="99"/>
      <x:c r="F186" s="99"/>
      <x:c r="G186" s="99"/>
      <x:c r="H186" s="99"/>
      <x:c r="I186" s="99"/>
      <x:c r="J186" s="99"/>
      <x:c r="K186" s="99"/>
      <x:c r="L186" s="99"/>
      <x:c r="M186" s="99"/>
      <x:c r="N186" s="99"/>
      <x:c r="O186" s="99"/>
      <x:c r="P186" s="99"/>
      <x:c r="Q186" s="99"/>
      <x:c r="R186" s="99"/>
      <x:c r="S186" s="99"/>
      <x:c r="T186" s="99"/>
      <x:c r="U186" s="99"/>
      <x:c r="V186" s="99"/>
      <x:c r="W186" s="99"/>
      <x:c r="X186" s="99"/>
      <x:c r="Y186" s="99"/>
      <x:c r="Z186" s="99"/>
    </x:row>
    <x:row r="187">
      <x:c r="A187" s="99"/>
      <x:c r="B187" s="99"/>
      <x:c r="C187" s="99"/>
      <x:c r="D187" s="99"/>
      <x:c r="E187" s="99"/>
      <x:c r="F187" s="99"/>
      <x:c r="G187" s="99"/>
      <x:c r="H187" s="99"/>
      <x:c r="I187" s="99"/>
      <x:c r="J187" s="99"/>
      <x:c r="K187" s="99"/>
      <x:c r="L187" s="99"/>
      <x:c r="M187" s="99"/>
      <x:c r="N187" s="99"/>
      <x:c r="O187" s="99"/>
      <x:c r="P187" s="99"/>
      <x:c r="Q187" s="99"/>
      <x:c r="R187" s="99"/>
      <x:c r="S187" s="99"/>
      <x:c r="T187" s="99"/>
      <x:c r="U187" s="99"/>
      <x:c r="V187" s="99"/>
      <x:c r="W187" s="99"/>
      <x:c r="X187" s="99"/>
      <x:c r="Y187" s="99"/>
      <x:c r="Z187" s="99"/>
    </x:row>
    <x:row r="188">
      <x:c r="A188" s="99"/>
      <x:c r="B188" s="99"/>
      <x:c r="C188" s="99"/>
      <x:c r="D188" s="99"/>
      <x:c r="E188" s="99"/>
      <x:c r="F188" s="99"/>
      <x:c r="G188" s="99"/>
      <x:c r="H188" s="99"/>
      <x:c r="I188" s="99"/>
      <x:c r="J188" s="99"/>
      <x:c r="K188" s="99"/>
      <x:c r="L188" s="99"/>
      <x:c r="M188" s="99"/>
      <x:c r="N188" s="99"/>
      <x:c r="O188" s="99"/>
      <x:c r="P188" s="99"/>
      <x:c r="Q188" s="99"/>
      <x:c r="R188" s="99"/>
      <x:c r="S188" s="99"/>
      <x:c r="T188" s="99"/>
      <x:c r="U188" s="99"/>
      <x:c r="V188" s="99"/>
      <x:c r="W188" s="99"/>
      <x:c r="X188" s="99"/>
      <x:c r="Y188" s="99"/>
      <x:c r="Z188" s="99"/>
    </x:row>
    <x:row r="189">
      <x:c r="A189" s="99"/>
      <x:c r="B189" s="99"/>
      <x:c r="C189" s="99"/>
      <x:c r="D189" s="99"/>
      <x:c r="E189" s="99"/>
      <x:c r="F189" s="99"/>
      <x:c r="G189" s="99"/>
      <x:c r="H189" s="99"/>
      <x:c r="I189" s="99"/>
      <x:c r="J189" s="99"/>
      <x:c r="K189" s="99"/>
      <x:c r="L189" s="99"/>
      <x:c r="M189" s="99"/>
      <x:c r="N189" s="99"/>
      <x:c r="O189" s="99"/>
      <x:c r="P189" s="99"/>
      <x:c r="Q189" s="99"/>
      <x:c r="R189" s="99"/>
      <x:c r="S189" s="99"/>
      <x:c r="T189" s="99"/>
      <x:c r="U189" s="99"/>
      <x:c r="V189" s="99"/>
      <x:c r="W189" s="99"/>
      <x:c r="X189" s="99"/>
      <x:c r="Y189" s="99"/>
      <x:c r="Z189" s="99"/>
    </x:row>
    <x:row r="190">
      <x:c r="A190" s="99"/>
      <x:c r="B190" s="99"/>
      <x:c r="C190" s="99"/>
      <x:c r="D190" s="99"/>
      <x:c r="E190" s="99"/>
      <x:c r="F190" s="99"/>
      <x:c r="G190" s="99"/>
      <x:c r="H190" s="99"/>
      <x:c r="I190" s="99"/>
      <x:c r="J190" s="99"/>
      <x:c r="K190" s="99"/>
      <x:c r="L190" s="99"/>
      <x:c r="M190" s="99"/>
      <x:c r="N190" s="99"/>
      <x:c r="O190" s="99"/>
      <x:c r="P190" s="99"/>
      <x:c r="Q190" s="99"/>
      <x:c r="R190" s="99"/>
      <x:c r="S190" s="99"/>
      <x:c r="T190" s="99"/>
      <x:c r="U190" s="99"/>
      <x:c r="V190" s="99"/>
      <x:c r="W190" s="99"/>
      <x:c r="X190" s="99"/>
      <x:c r="Y190" s="99"/>
      <x:c r="Z190" s="99"/>
    </x:row>
    <x:row r="191">
      <x:c r="A191" s="99"/>
      <x:c r="B191" s="99"/>
      <x:c r="C191" s="99"/>
      <x:c r="D191" s="99"/>
      <x:c r="E191" s="99"/>
      <x:c r="F191" s="99"/>
      <x:c r="G191" s="99"/>
      <x:c r="H191" s="99"/>
      <x:c r="I191" s="99"/>
      <x:c r="J191" s="99"/>
      <x:c r="K191" s="99"/>
      <x:c r="L191" s="99"/>
      <x:c r="M191" s="99"/>
      <x:c r="N191" s="99"/>
      <x:c r="O191" s="99"/>
      <x:c r="P191" s="99"/>
      <x:c r="Q191" s="99"/>
      <x:c r="R191" s="99"/>
      <x:c r="S191" s="99"/>
      <x:c r="T191" s="99"/>
      <x:c r="U191" s="99"/>
      <x:c r="V191" s="99"/>
      <x:c r="W191" s="99"/>
      <x:c r="X191" s="99"/>
      <x:c r="Y191" s="99"/>
      <x:c r="Z191" s="99"/>
    </x:row>
    <x:row r="192">
      <x:c r="A192" s="99"/>
      <x:c r="B192" s="99"/>
      <x:c r="C192" s="99"/>
      <x:c r="D192" s="99"/>
      <x:c r="E192" s="99"/>
      <x:c r="F192" s="99"/>
      <x:c r="G192" s="99"/>
      <x:c r="H192" s="99"/>
      <x:c r="I192" s="99"/>
      <x:c r="J192" s="99"/>
      <x:c r="K192" s="99"/>
      <x:c r="L192" s="99"/>
      <x:c r="M192" s="99"/>
      <x:c r="N192" s="99"/>
      <x:c r="O192" s="99"/>
      <x:c r="P192" s="99"/>
      <x:c r="Q192" s="99"/>
      <x:c r="R192" s="99"/>
      <x:c r="S192" s="99"/>
      <x:c r="T192" s="99"/>
      <x:c r="U192" s="99"/>
      <x:c r="V192" s="99"/>
      <x:c r="W192" s="99"/>
      <x:c r="X192" s="99"/>
      <x:c r="Y192" s="99"/>
      <x:c r="Z192" s="99"/>
    </x:row>
    <x:row r="193">
      <x:c r="A193" s="99"/>
      <x:c r="B193" s="99"/>
      <x:c r="C193" s="99"/>
      <x:c r="D193" s="99"/>
      <x:c r="E193" s="99"/>
      <x:c r="F193" s="99"/>
      <x:c r="G193" s="99"/>
      <x:c r="H193" s="99"/>
      <x:c r="I193" s="99"/>
      <x:c r="J193" s="99"/>
      <x:c r="K193" s="99"/>
      <x:c r="L193" s="99"/>
      <x:c r="M193" s="99"/>
      <x:c r="N193" s="99"/>
      <x:c r="O193" s="99"/>
      <x:c r="P193" s="99"/>
      <x:c r="Q193" s="99"/>
      <x:c r="R193" s="99"/>
      <x:c r="S193" s="99"/>
      <x:c r="T193" s="99"/>
      <x:c r="U193" s="99"/>
      <x:c r="V193" s="99"/>
      <x:c r="W193" s="99"/>
      <x:c r="X193" s="99"/>
      <x:c r="Y193" s="99"/>
      <x:c r="Z193" s="99"/>
    </x:row>
    <x:row r="194">
      <x:c r="A194" s="99"/>
      <x:c r="B194" s="99"/>
      <x:c r="C194" s="99"/>
      <x:c r="D194" s="99"/>
      <x:c r="E194" s="99"/>
      <x:c r="F194" s="99"/>
      <x:c r="G194" s="99"/>
      <x:c r="H194" s="99"/>
      <x:c r="I194" s="99"/>
      <x:c r="J194" s="99"/>
      <x:c r="K194" s="99"/>
      <x:c r="L194" s="99"/>
      <x:c r="M194" s="99"/>
      <x:c r="N194" s="99"/>
      <x:c r="O194" s="99"/>
      <x:c r="P194" s="99"/>
      <x:c r="Q194" s="99"/>
      <x:c r="R194" s="99"/>
      <x:c r="S194" s="99"/>
      <x:c r="T194" s="99"/>
      <x:c r="U194" s="99"/>
      <x:c r="V194" s="99"/>
      <x:c r="W194" s="99"/>
      <x:c r="X194" s="99"/>
      <x:c r="Y194" s="99"/>
      <x:c r="Z194" s="99"/>
    </x:row>
    <x:row r="195">
      <x:c r="A195" s="99"/>
      <x:c r="B195" s="99"/>
      <x:c r="C195" s="99"/>
      <x:c r="D195" s="99"/>
      <x:c r="E195" s="99"/>
      <x:c r="F195" s="99"/>
      <x:c r="G195" s="99"/>
      <x:c r="H195" s="99"/>
      <x:c r="I195" s="99"/>
      <x:c r="J195" s="99"/>
      <x:c r="K195" s="99"/>
      <x:c r="L195" s="99"/>
      <x:c r="M195" s="99"/>
      <x:c r="N195" s="99"/>
      <x:c r="O195" s="99"/>
      <x:c r="P195" s="99"/>
      <x:c r="Q195" s="99"/>
      <x:c r="R195" s="99"/>
      <x:c r="S195" s="99"/>
      <x:c r="T195" s="99"/>
      <x:c r="U195" s="99"/>
      <x:c r="V195" s="99"/>
      <x:c r="W195" s="99"/>
      <x:c r="X195" s="99"/>
      <x:c r="Y195" s="99"/>
      <x:c r="Z195" s="99"/>
    </x:row>
    <x:row r="196">
      <x:c r="A196" s="99"/>
      <x:c r="B196" s="99"/>
      <x:c r="C196" s="99"/>
      <x:c r="D196" s="99"/>
      <x:c r="E196" s="99"/>
      <x:c r="F196" s="99"/>
      <x:c r="G196" s="99"/>
      <x:c r="H196" s="99"/>
      <x:c r="I196" s="99"/>
      <x:c r="J196" s="99"/>
      <x:c r="K196" s="99"/>
      <x:c r="L196" s="99"/>
      <x:c r="M196" s="99"/>
      <x:c r="N196" s="99"/>
      <x:c r="O196" s="99"/>
      <x:c r="P196" s="99"/>
      <x:c r="Q196" s="99"/>
      <x:c r="R196" s="99"/>
      <x:c r="S196" s="99"/>
      <x:c r="T196" s="99"/>
      <x:c r="U196" s="99"/>
      <x:c r="V196" s="99"/>
      <x:c r="W196" s="99"/>
      <x:c r="X196" s="99"/>
      <x:c r="Y196" s="99"/>
      <x:c r="Z196" s="99"/>
    </x:row>
    <x:row r="197">
      <x:c r="A197" s="99"/>
      <x:c r="B197" s="99"/>
      <x:c r="C197" s="99"/>
      <x:c r="D197" s="99"/>
      <x:c r="E197" s="99"/>
      <x:c r="F197" s="99"/>
      <x:c r="G197" s="99"/>
      <x:c r="H197" s="99"/>
      <x:c r="I197" s="99"/>
      <x:c r="J197" s="99"/>
      <x:c r="K197" s="99"/>
      <x:c r="L197" s="99"/>
      <x:c r="M197" s="99"/>
      <x:c r="N197" s="99"/>
      <x:c r="O197" s="99"/>
      <x:c r="P197" s="99"/>
      <x:c r="Q197" s="99"/>
      <x:c r="R197" s="99"/>
      <x:c r="S197" s="99"/>
      <x:c r="T197" s="99"/>
      <x:c r="U197" s="99"/>
      <x:c r="V197" s="99"/>
      <x:c r="W197" s="99"/>
      <x:c r="X197" s="99"/>
      <x:c r="Y197" s="99"/>
      <x:c r="Z197" s="99"/>
    </x:row>
    <x:row r="198">
      <x:c r="A198" s="99"/>
      <x:c r="B198" s="99"/>
      <x:c r="C198" s="99"/>
      <x:c r="D198" s="99"/>
      <x:c r="E198" s="99"/>
      <x:c r="F198" s="99"/>
      <x:c r="G198" s="99"/>
      <x:c r="H198" s="99"/>
      <x:c r="I198" s="99"/>
      <x:c r="J198" s="99"/>
      <x:c r="K198" s="99"/>
      <x:c r="L198" s="99"/>
      <x:c r="M198" s="99"/>
      <x:c r="N198" s="99"/>
      <x:c r="O198" s="99"/>
      <x:c r="P198" s="99"/>
      <x:c r="Q198" s="99"/>
      <x:c r="R198" s="99"/>
      <x:c r="S198" s="99"/>
      <x:c r="T198" s="99"/>
      <x:c r="U198" s="99"/>
      <x:c r="V198" s="99"/>
      <x:c r="W198" s="99"/>
      <x:c r="X198" s="99"/>
      <x:c r="Y198" s="99"/>
      <x:c r="Z198" s="99"/>
    </x:row>
    <x:row r="199">
      <x:c r="A199" s="99"/>
      <x:c r="B199" s="99"/>
      <x:c r="C199" s="99"/>
      <x:c r="D199" s="99"/>
      <x:c r="E199" s="99"/>
      <x:c r="F199" s="99"/>
      <x:c r="G199" s="99"/>
      <x:c r="H199" s="99"/>
      <x:c r="I199" s="99"/>
      <x:c r="J199" s="99"/>
      <x:c r="K199" s="99"/>
      <x:c r="L199" s="99"/>
      <x:c r="M199" s="99"/>
      <x:c r="N199" s="99"/>
      <x:c r="O199" s="99"/>
      <x:c r="P199" s="99"/>
      <x:c r="Q199" s="99"/>
      <x:c r="R199" s="99"/>
      <x:c r="S199" s="99"/>
      <x:c r="T199" s="99"/>
      <x:c r="U199" s="99"/>
      <x:c r="V199" s="99"/>
      <x:c r="W199" s="99"/>
      <x:c r="X199" s="99"/>
      <x:c r="Y199" s="99"/>
      <x:c r="Z199" s="99"/>
    </x:row>
    <x:row r="200">
      <x:c r="A200" s="99"/>
      <x:c r="B200" s="99"/>
      <x:c r="C200" s="99"/>
      <x:c r="D200" s="99"/>
      <x:c r="E200" s="99"/>
      <x:c r="F200" s="99"/>
      <x:c r="G200" s="99"/>
      <x:c r="H200" s="99"/>
      <x:c r="I200" s="99"/>
      <x:c r="J200" s="99"/>
      <x:c r="K200" s="99"/>
      <x:c r="L200" s="99"/>
      <x:c r="M200" s="99"/>
      <x:c r="N200" s="99"/>
      <x:c r="O200" s="99"/>
      <x:c r="P200" s="99"/>
      <x:c r="Q200" s="99"/>
      <x:c r="R200" s="99"/>
      <x:c r="S200" s="99"/>
      <x:c r="T200" s="99"/>
      <x:c r="U200" s="99"/>
      <x:c r="V200" s="99"/>
      <x:c r="W200" s="99"/>
      <x:c r="X200" s="99"/>
      <x:c r="Y200" s="99"/>
      <x:c r="Z200" s="99"/>
    </x:row>
    <x:row r="201">
      <x:c r="A201" s="99"/>
      <x:c r="B201" s="99"/>
      <x:c r="C201" s="99"/>
      <x:c r="D201" s="99"/>
      <x:c r="E201" s="99"/>
      <x:c r="F201" s="99"/>
      <x:c r="G201" s="99"/>
      <x:c r="H201" s="99"/>
      <x:c r="I201" s="99"/>
      <x:c r="J201" s="99"/>
      <x:c r="K201" s="99"/>
      <x:c r="L201" s="99"/>
      <x:c r="M201" s="99"/>
      <x:c r="N201" s="99"/>
      <x:c r="O201" s="99"/>
      <x:c r="P201" s="99"/>
      <x:c r="Q201" s="99"/>
      <x:c r="R201" s="99"/>
      <x:c r="S201" s="99"/>
      <x:c r="T201" s="99"/>
      <x:c r="U201" s="99"/>
      <x:c r="V201" s="99"/>
      <x:c r="W201" s="99"/>
      <x:c r="X201" s="99"/>
      <x:c r="Y201" s="99"/>
      <x:c r="Z201" s="99"/>
    </x:row>
    <x:row r="202">
      <x:c r="A202" s="99"/>
      <x:c r="B202" s="99"/>
      <x:c r="C202" s="99"/>
      <x:c r="D202" s="99"/>
      <x:c r="E202" s="99"/>
      <x:c r="F202" s="99"/>
      <x:c r="G202" s="99"/>
      <x:c r="H202" s="99"/>
      <x:c r="I202" s="99"/>
      <x:c r="J202" s="99"/>
      <x:c r="K202" s="99"/>
      <x:c r="L202" s="99"/>
      <x:c r="M202" s="99"/>
      <x:c r="N202" s="99"/>
      <x:c r="O202" s="99"/>
      <x:c r="P202" s="99"/>
      <x:c r="Q202" s="99"/>
      <x:c r="R202" s="99"/>
      <x:c r="S202" s="99"/>
      <x:c r="T202" s="99"/>
      <x:c r="U202" s="99"/>
      <x:c r="V202" s="99"/>
      <x:c r="W202" s="99"/>
      <x:c r="X202" s="99"/>
      <x:c r="Y202" s="99"/>
      <x:c r="Z202" s="99"/>
    </x:row>
    <x:row r="203">
      <x:c r="A203" s="99"/>
      <x:c r="B203" s="99"/>
      <x:c r="C203" s="99"/>
      <x:c r="D203" s="99"/>
      <x:c r="E203" s="99"/>
      <x:c r="F203" s="99"/>
      <x:c r="G203" s="99"/>
      <x:c r="H203" s="99"/>
      <x:c r="I203" s="99"/>
      <x:c r="J203" s="99"/>
      <x:c r="K203" s="99"/>
      <x:c r="L203" s="99"/>
      <x:c r="M203" s="99"/>
      <x:c r="N203" s="99"/>
      <x:c r="O203" s="99"/>
      <x:c r="P203" s="99"/>
      <x:c r="Q203" s="99"/>
      <x:c r="R203" s="99"/>
      <x:c r="S203" s="99"/>
      <x:c r="T203" s="99"/>
      <x:c r="U203" s="99"/>
      <x:c r="V203" s="99"/>
      <x:c r="W203" s="99"/>
      <x:c r="X203" s="99"/>
      <x:c r="Y203" s="99"/>
      <x:c r="Z203" s="99"/>
    </x:row>
    <x:row r="204">
      <x:c r="A204" s="99"/>
      <x:c r="B204" s="99"/>
      <x:c r="C204" s="99"/>
      <x:c r="D204" s="99"/>
      <x:c r="E204" s="99"/>
      <x:c r="F204" s="99"/>
      <x:c r="G204" s="99"/>
      <x:c r="H204" s="99"/>
      <x:c r="I204" s="99"/>
      <x:c r="J204" s="99"/>
      <x:c r="K204" s="99"/>
      <x:c r="L204" s="99"/>
      <x:c r="M204" s="99"/>
      <x:c r="N204" s="99"/>
      <x:c r="O204" s="99"/>
      <x:c r="P204" s="99"/>
      <x:c r="Q204" s="99"/>
      <x:c r="R204" s="99"/>
      <x:c r="S204" s="99"/>
      <x:c r="T204" s="99"/>
      <x:c r="U204" s="99"/>
      <x:c r="V204" s="99"/>
      <x:c r="W204" s="99"/>
      <x:c r="X204" s="99"/>
      <x:c r="Y204" s="99"/>
      <x:c r="Z204" s="99"/>
    </x:row>
    <x:row r="205">
      <x:c r="A205" s="99"/>
      <x:c r="B205" s="99"/>
      <x:c r="C205" s="99"/>
      <x:c r="D205" s="99"/>
      <x:c r="E205" s="99"/>
      <x:c r="F205" s="99"/>
      <x:c r="G205" s="99"/>
      <x:c r="H205" s="99"/>
      <x:c r="I205" s="99"/>
      <x:c r="J205" s="99"/>
      <x:c r="K205" s="99"/>
      <x:c r="L205" s="99"/>
      <x:c r="M205" s="99"/>
      <x:c r="N205" s="99"/>
      <x:c r="O205" s="99"/>
      <x:c r="P205" s="99"/>
      <x:c r="Q205" s="99"/>
      <x:c r="R205" s="99"/>
      <x:c r="S205" s="99"/>
      <x:c r="T205" s="99"/>
      <x:c r="U205" s="99"/>
      <x:c r="V205" s="99"/>
      <x:c r="W205" s="99"/>
      <x:c r="X205" s="99"/>
      <x:c r="Y205" s="99"/>
      <x:c r="Z205" s="99"/>
    </x:row>
    <x:row r="206">
      <x:c r="A206" s="99"/>
      <x:c r="B206" s="99"/>
      <x:c r="C206" s="99"/>
      <x:c r="D206" s="99"/>
      <x:c r="E206" s="99"/>
      <x:c r="F206" s="99"/>
      <x:c r="G206" s="99"/>
      <x:c r="H206" s="99"/>
      <x:c r="I206" s="99"/>
      <x:c r="J206" s="99"/>
      <x:c r="K206" s="99"/>
      <x:c r="L206" s="99"/>
      <x:c r="M206" s="99"/>
      <x:c r="N206" s="99"/>
      <x:c r="O206" s="99"/>
      <x:c r="P206" s="99"/>
      <x:c r="Q206" s="99"/>
      <x:c r="R206" s="99"/>
      <x:c r="S206" s="99"/>
      <x:c r="T206" s="99"/>
      <x:c r="U206" s="99"/>
      <x:c r="V206" s="99"/>
      <x:c r="W206" s="99"/>
      <x:c r="X206" s="99"/>
      <x:c r="Y206" s="99"/>
      <x:c r="Z206" s="99"/>
    </x:row>
    <x:row r="207">
      <x:c r="A207" s="99"/>
      <x:c r="B207" s="99"/>
      <x:c r="C207" s="99"/>
      <x:c r="D207" s="99"/>
      <x:c r="E207" s="99"/>
      <x:c r="F207" s="99"/>
      <x:c r="G207" s="99"/>
      <x:c r="H207" s="99"/>
      <x:c r="I207" s="99"/>
      <x:c r="J207" s="99"/>
      <x:c r="K207" s="99"/>
      <x:c r="L207" s="99"/>
      <x:c r="M207" s="99"/>
      <x:c r="N207" s="99"/>
      <x:c r="O207" s="99"/>
      <x:c r="P207" s="99"/>
      <x:c r="Q207" s="99"/>
      <x:c r="R207" s="99"/>
      <x:c r="S207" s="99"/>
      <x:c r="T207" s="99"/>
      <x:c r="U207" s="99"/>
      <x:c r="V207" s="99"/>
      <x:c r="W207" s="99"/>
      <x:c r="X207" s="99"/>
      <x:c r="Y207" s="99"/>
      <x:c r="Z207" s="99"/>
    </x:row>
    <x:row r="208">
      <x:c r="A208" s="99"/>
      <x:c r="B208" s="99"/>
      <x:c r="C208" s="99"/>
      <x:c r="D208" s="99"/>
      <x:c r="E208" s="99"/>
      <x:c r="F208" s="99"/>
      <x:c r="G208" s="99"/>
      <x:c r="H208" s="99"/>
      <x:c r="I208" s="99"/>
      <x:c r="J208" s="99"/>
      <x:c r="K208" s="99"/>
      <x:c r="L208" s="99"/>
      <x:c r="M208" s="99"/>
      <x:c r="N208" s="99"/>
      <x:c r="O208" s="99"/>
      <x:c r="P208" s="99"/>
      <x:c r="Q208" s="99"/>
      <x:c r="R208" s="99"/>
      <x:c r="S208" s="99"/>
      <x:c r="T208" s="99"/>
      <x:c r="U208" s="99"/>
      <x:c r="V208" s="99"/>
      <x:c r="W208" s="99"/>
      <x:c r="X208" s="99"/>
      <x:c r="Y208" s="99"/>
      <x:c r="Z208" s="99"/>
    </x:row>
    <x:row r="209">
      <x:c r="A209" s="99"/>
      <x:c r="B209" s="99"/>
      <x:c r="C209" s="99"/>
      <x:c r="D209" s="99"/>
      <x:c r="E209" s="99"/>
      <x:c r="F209" s="99"/>
      <x:c r="G209" s="99"/>
      <x:c r="H209" s="99"/>
      <x:c r="I209" s="99"/>
      <x:c r="J209" s="99"/>
      <x:c r="K209" s="99"/>
      <x:c r="L209" s="99"/>
      <x:c r="M209" s="99"/>
      <x:c r="N209" s="99"/>
      <x:c r="O209" s="99"/>
      <x:c r="P209" s="99"/>
      <x:c r="Q209" s="99"/>
      <x:c r="R209" s="99"/>
      <x:c r="S209" s="99"/>
      <x:c r="T209" s="99"/>
      <x:c r="U209" s="99"/>
      <x:c r="V209" s="99"/>
      <x:c r="W209" s="99"/>
      <x:c r="X209" s="99"/>
      <x:c r="Y209" s="99"/>
      <x:c r="Z209" s="99"/>
    </x:row>
    <x:row r="210">
      <x:c r="A210" s="99"/>
      <x:c r="B210" s="99"/>
      <x:c r="C210" s="99"/>
      <x:c r="D210" s="99"/>
      <x:c r="E210" s="99"/>
      <x:c r="F210" s="99"/>
      <x:c r="G210" s="99"/>
      <x:c r="H210" s="99"/>
      <x:c r="I210" s="99"/>
      <x:c r="J210" s="99"/>
      <x:c r="K210" s="99"/>
      <x:c r="L210" s="99"/>
      <x:c r="M210" s="99"/>
      <x:c r="N210" s="99"/>
      <x:c r="O210" s="99"/>
      <x:c r="P210" s="99"/>
      <x:c r="Q210" s="99"/>
      <x:c r="R210" s="99"/>
      <x:c r="S210" s="99"/>
      <x:c r="T210" s="99"/>
      <x:c r="U210" s="99"/>
      <x:c r="V210" s="99"/>
      <x:c r="W210" s="99"/>
      <x:c r="X210" s="99"/>
      <x:c r="Y210" s="99"/>
      <x:c r="Z210" s="99"/>
    </x:row>
    <x:row r="211">
      <x:c r="A211" s="99"/>
      <x:c r="B211" s="99"/>
      <x:c r="C211" s="99"/>
      <x:c r="D211" s="99"/>
      <x:c r="E211" s="99"/>
      <x:c r="F211" s="99"/>
      <x:c r="G211" s="99"/>
      <x:c r="H211" s="99"/>
      <x:c r="I211" s="99"/>
      <x:c r="J211" s="99"/>
      <x:c r="K211" s="99"/>
      <x:c r="L211" s="99"/>
      <x:c r="M211" s="99"/>
      <x:c r="N211" s="99"/>
      <x:c r="O211" s="99"/>
      <x:c r="P211" s="99"/>
      <x:c r="Q211" s="99"/>
      <x:c r="R211" s="99"/>
      <x:c r="S211" s="99"/>
      <x:c r="T211" s="99"/>
      <x:c r="U211" s="99"/>
      <x:c r="V211" s="99"/>
      <x:c r="W211" s="99"/>
      <x:c r="X211" s="99"/>
      <x:c r="Y211" s="99"/>
      <x:c r="Z211" s="99"/>
    </x:row>
    <x:row r="212">
      <x:c r="A212" s="99"/>
      <x:c r="B212" s="99"/>
      <x:c r="C212" s="99"/>
      <x:c r="D212" s="99"/>
      <x:c r="E212" s="99"/>
      <x:c r="F212" s="99"/>
      <x:c r="G212" s="99"/>
      <x:c r="H212" s="99"/>
      <x:c r="I212" s="99"/>
      <x:c r="J212" s="99"/>
      <x:c r="K212" s="99"/>
      <x:c r="L212" s="99"/>
      <x:c r="M212" s="99"/>
      <x:c r="N212" s="99"/>
      <x:c r="O212" s="99"/>
      <x:c r="P212" s="99"/>
      <x:c r="Q212" s="99"/>
      <x:c r="R212" s="99"/>
      <x:c r="S212" s="99"/>
      <x:c r="T212" s="99"/>
      <x:c r="U212" s="99"/>
      <x:c r="V212" s="99"/>
      <x:c r="W212" s="99"/>
      <x:c r="X212" s="99"/>
      <x:c r="Y212" s="99"/>
      <x:c r="Z212" s="99"/>
    </x:row>
    <x:row r="213">
      <x:c r="A213" s="99"/>
      <x:c r="B213" s="99"/>
      <x:c r="C213" s="99"/>
      <x:c r="D213" s="99"/>
      <x:c r="E213" s="99"/>
      <x:c r="F213" s="99"/>
      <x:c r="G213" s="99"/>
      <x:c r="H213" s="99"/>
      <x:c r="I213" s="99"/>
      <x:c r="J213" s="99"/>
      <x:c r="K213" s="99"/>
      <x:c r="L213" s="99"/>
      <x:c r="M213" s="99"/>
      <x:c r="N213" s="99"/>
      <x:c r="O213" s="99"/>
      <x:c r="P213" s="99"/>
      <x:c r="Q213" s="99"/>
      <x:c r="R213" s="99"/>
      <x:c r="S213" s="99"/>
      <x:c r="T213" s="99"/>
      <x:c r="U213" s="99"/>
      <x:c r="V213" s="99"/>
      <x:c r="W213" s="99"/>
      <x:c r="X213" s="99"/>
      <x:c r="Y213" s="99"/>
      <x:c r="Z213" s="99"/>
    </x:row>
    <x:row r="214">
      <x:c r="A214" s="99"/>
      <x:c r="B214" s="99"/>
      <x:c r="C214" s="99"/>
      <x:c r="D214" s="99"/>
      <x:c r="E214" s="99"/>
      <x:c r="F214" s="99"/>
      <x:c r="G214" s="99"/>
      <x:c r="H214" s="99"/>
      <x:c r="I214" s="99"/>
      <x:c r="J214" s="99"/>
      <x:c r="K214" s="99"/>
      <x:c r="L214" s="99"/>
      <x:c r="M214" s="99"/>
      <x:c r="N214" s="99"/>
      <x:c r="O214" s="99"/>
      <x:c r="P214" s="99"/>
      <x:c r="Q214" s="99"/>
      <x:c r="R214" s="99"/>
      <x:c r="S214" s="99"/>
      <x:c r="T214" s="99"/>
      <x:c r="U214" s="99"/>
      <x:c r="V214" s="99"/>
      <x:c r="W214" s="99"/>
      <x:c r="X214" s="99"/>
      <x:c r="Y214" s="99"/>
      <x:c r="Z214" s="99"/>
    </x:row>
    <x:row r="215">
      <x:c r="A215" s="99"/>
      <x:c r="B215" s="99"/>
      <x:c r="C215" s="99"/>
      <x:c r="D215" s="99"/>
      <x:c r="E215" s="99"/>
      <x:c r="F215" s="99"/>
      <x:c r="G215" s="99"/>
      <x:c r="H215" s="99"/>
      <x:c r="I215" s="99"/>
      <x:c r="J215" s="99"/>
      <x:c r="K215" s="99"/>
      <x:c r="L215" s="99"/>
      <x:c r="M215" s="99"/>
      <x:c r="N215" s="99"/>
      <x:c r="O215" s="99"/>
      <x:c r="P215" s="99"/>
      <x:c r="Q215" s="99"/>
      <x:c r="R215" s="99"/>
      <x:c r="S215" s="99"/>
      <x:c r="T215" s="99"/>
      <x:c r="U215" s="99"/>
      <x:c r="V215" s="99"/>
      <x:c r="W215" s="99"/>
      <x:c r="X215" s="99"/>
      <x:c r="Y215" s="99"/>
      <x:c r="Z215" s="99"/>
    </x:row>
    <x:row r="216">
      <x:c r="A216" s="99"/>
      <x:c r="B216" s="99"/>
      <x:c r="C216" s="99"/>
      <x:c r="D216" s="99"/>
      <x:c r="E216" s="99"/>
      <x:c r="F216" s="99"/>
      <x:c r="G216" s="99"/>
      <x:c r="H216" s="99"/>
      <x:c r="I216" s="99"/>
      <x:c r="J216" s="99"/>
      <x:c r="K216" s="99"/>
      <x:c r="L216" s="99"/>
      <x:c r="M216" s="99"/>
      <x:c r="N216" s="99"/>
      <x:c r="O216" s="99"/>
      <x:c r="P216" s="99"/>
      <x:c r="Q216" s="99"/>
      <x:c r="R216" s="99"/>
      <x:c r="S216" s="99"/>
      <x:c r="T216" s="99"/>
      <x:c r="U216" s="99"/>
      <x:c r="V216" s="99"/>
      <x:c r="W216" s="99"/>
      <x:c r="X216" s="99"/>
      <x:c r="Y216" s="99"/>
      <x:c r="Z216" s="99"/>
    </x:row>
    <x:row r="217">
      <x:c r="A217" s="99"/>
      <x:c r="B217" s="99"/>
      <x:c r="C217" s="99"/>
      <x:c r="D217" s="99"/>
      <x:c r="E217" s="99"/>
      <x:c r="F217" s="99"/>
      <x:c r="G217" s="99"/>
      <x:c r="H217" s="99"/>
      <x:c r="I217" s="99"/>
      <x:c r="J217" s="99"/>
      <x:c r="K217" s="99"/>
      <x:c r="L217" s="99"/>
      <x:c r="M217" s="99"/>
      <x:c r="N217" s="99"/>
      <x:c r="O217" s="99"/>
      <x:c r="P217" s="99"/>
      <x:c r="Q217" s="99"/>
      <x:c r="R217" s="99"/>
      <x:c r="S217" s="99"/>
      <x:c r="T217" s="99"/>
      <x:c r="U217" s="99"/>
      <x:c r="V217" s="99"/>
      <x:c r="W217" s="99"/>
      <x:c r="X217" s="99"/>
      <x:c r="Y217" s="99"/>
      <x:c r="Z217" s="99"/>
    </x:row>
    <x:row r="218">
      <x:c r="A218" s="99"/>
      <x:c r="B218" s="99"/>
      <x:c r="C218" s="99"/>
      <x:c r="D218" s="99"/>
      <x:c r="E218" s="99"/>
      <x:c r="F218" s="99"/>
      <x:c r="G218" s="99"/>
      <x:c r="H218" s="99"/>
      <x:c r="I218" s="99"/>
      <x:c r="J218" s="99"/>
      <x:c r="K218" s="99"/>
      <x:c r="L218" s="99"/>
      <x:c r="M218" s="99"/>
      <x:c r="N218" s="99"/>
      <x:c r="O218" s="99"/>
      <x:c r="P218" s="99"/>
      <x:c r="Q218" s="99"/>
      <x:c r="R218" s="99"/>
      <x:c r="S218" s="99"/>
      <x:c r="T218" s="99"/>
      <x:c r="U218" s="99"/>
      <x:c r="V218" s="99"/>
      <x:c r="W218" s="99"/>
      <x:c r="X218" s="99"/>
      <x:c r="Y218" s="99"/>
      <x:c r="Z218" s="99"/>
    </x:row>
    <x:row r="219">
      <x:c r="A219" s="99"/>
      <x:c r="B219" s="99"/>
      <x:c r="C219" s="99"/>
      <x:c r="D219" s="99"/>
      <x:c r="E219" s="99"/>
      <x:c r="F219" s="99"/>
      <x:c r="G219" s="99"/>
      <x:c r="H219" s="99"/>
      <x:c r="I219" s="99"/>
      <x:c r="J219" s="99"/>
      <x:c r="K219" s="99"/>
      <x:c r="L219" s="99"/>
      <x:c r="M219" s="99"/>
      <x:c r="N219" s="99"/>
      <x:c r="O219" s="99"/>
      <x:c r="P219" s="99"/>
      <x:c r="Q219" s="99"/>
      <x:c r="R219" s="99"/>
      <x:c r="S219" s="99"/>
      <x:c r="T219" s="99"/>
      <x:c r="U219" s="99"/>
      <x:c r="V219" s="99"/>
      <x:c r="W219" s="99"/>
      <x:c r="X219" s="99"/>
      <x:c r="Y219" s="99"/>
      <x:c r="Z219" s="99"/>
    </x:row>
    <x:row r="220">
      <x:c r="A220" s="99"/>
      <x:c r="B220" s="99"/>
      <x:c r="C220" s="99"/>
      <x:c r="D220" s="99"/>
      <x:c r="E220" s="99"/>
      <x:c r="F220" s="99"/>
      <x:c r="G220" s="99"/>
      <x:c r="H220" s="99"/>
      <x:c r="I220" s="99"/>
      <x:c r="J220" s="99"/>
      <x:c r="K220" s="99"/>
      <x:c r="L220" s="99"/>
      <x:c r="M220" s="99"/>
      <x:c r="N220" s="99"/>
      <x:c r="O220" s="99"/>
      <x:c r="P220" s="99"/>
      <x:c r="Q220" s="99"/>
      <x:c r="R220" s="99"/>
      <x:c r="S220" s="99"/>
      <x:c r="T220" s="99"/>
      <x:c r="U220" s="99"/>
      <x:c r="V220" s="99"/>
      <x:c r="W220" s="99"/>
      <x:c r="X220" s="99"/>
      <x:c r="Y220" s="99"/>
      <x:c r="Z220" s="99"/>
    </x:row>
    <x:row r="221">
      <x:c r="A221" s="99"/>
      <x:c r="B221" s="99"/>
      <x:c r="C221" s="99"/>
      <x:c r="D221" s="99"/>
      <x:c r="E221" s="99"/>
      <x:c r="F221" s="99"/>
      <x:c r="G221" s="99"/>
      <x:c r="H221" s="99"/>
      <x:c r="I221" s="99"/>
      <x:c r="J221" s="99"/>
      <x:c r="K221" s="99"/>
      <x:c r="L221" s="99"/>
      <x:c r="M221" s="99"/>
      <x:c r="N221" s="99"/>
      <x:c r="O221" s="99"/>
      <x:c r="P221" s="99"/>
      <x:c r="Q221" s="99"/>
      <x:c r="R221" s="99"/>
      <x:c r="S221" s="99"/>
      <x:c r="T221" s="99"/>
      <x:c r="U221" s="99"/>
      <x:c r="V221" s="99"/>
      <x:c r="W221" s="99"/>
      <x:c r="X221" s="99"/>
      <x:c r="Y221" s="99"/>
      <x:c r="Z221" s="99"/>
    </x:row>
    <x:row r="222">
      <x:c r="A222" s="99"/>
      <x:c r="B222" s="99"/>
      <x:c r="C222" s="99"/>
      <x:c r="D222" s="99"/>
      <x:c r="E222" s="99"/>
      <x:c r="F222" s="99"/>
      <x:c r="G222" s="99"/>
      <x:c r="H222" s="99"/>
      <x:c r="I222" s="99"/>
      <x:c r="J222" s="99"/>
      <x:c r="K222" s="99"/>
      <x:c r="L222" s="99"/>
      <x:c r="M222" s="99"/>
      <x:c r="N222" s="99"/>
      <x:c r="O222" s="99"/>
      <x:c r="P222" s="99"/>
      <x:c r="Q222" s="99"/>
      <x:c r="R222" s="99"/>
      <x:c r="S222" s="99"/>
      <x:c r="T222" s="99"/>
      <x:c r="U222" s="99"/>
      <x:c r="V222" s="99"/>
      <x:c r="W222" s="99"/>
      <x:c r="X222" s="99"/>
      <x:c r="Y222" s="99"/>
      <x:c r="Z222" s="99"/>
    </x:row>
    <x:row r="223">
      <x:c r="A223" s="99"/>
      <x:c r="B223" s="99"/>
      <x:c r="C223" s="99"/>
      <x:c r="D223" s="99"/>
      <x:c r="E223" s="99"/>
      <x:c r="F223" s="99"/>
      <x:c r="G223" s="99"/>
      <x:c r="H223" s="99"/>
      <x:c r="I223" s="99"/>
      <x:c r="J223" s="99"/>
      <x:c r="K223" s="99"/>
      <x:c r="L223" s="99"/>
      <x:c r="M223" s="99"/>
      <x:c r="N223" s="99"/>
      <x:c r="O223" s="99"/>
      <x:c r="P223" s="99"/>
      <x:c r="Q223" s="99"/>
      <x:c r="R223" s="99"/>
      <x:c r="S223" s="99"/>
      <x:c r="T223" s="99"/>
      <x:c r="U223" s="99"/>
      <x:c r="V223" s="99"/>
      <x:c r="W223" s="99"/>
      <x:c r="X223" s="99"/>
      <x:c r="Y223" s="99"/>
      <x:c r="Z223" s="99"/>
    </x:row>
    <x:row r="224">
      <x:c r="A224" s="99"/>
      <x:c r="B224" s="99"/>
      <x:c r="C224" s="99"/>
      <x:c r="D224" s="99"/>
      <x:c r="E224" s="99"/>
      <x:c r="F224" s="99"/>
      <x:c r="G224" s="99"/>
      <x:c r="H224" s="99"/>
      <x:c r="I224" s="99"/>
      <x:c r="J224" s="99"/>
      <x:c r="K224" s="99"/>
      <x:c r="L224" s="99"/>
      <x:c r="M224" s="99"/>
      <x:c r="N224" s="99"/>
      <x:c r="O224" s="99"/>
      <x:c r="P224" s="99"/>
      <x:c r="Q224" s="99"/>
      <x:c r="R224" s="99"/>
      <x:c r="S224" s="99"/>
      <x:c r="T224" s="99"/>
      <x:c r="U224" s="99"/>
      <x:c r="V224" s="99"/>
      <x:c r="W224" s="99"/>
      <x:c r="X224" s="99"/>
      <x:c r="Y224" s="99"/>
      <x:c r="Z224" s="99"/>
    </x:row>
    <x:row r="225">
      <x:c r="A225" s="99"/>
      <x:c r="B225" s="99"/>
      <x:c r="C225" s="99"/>
      <x:c r="D225" s="99"/>
      <x:c r="E225" s="99"/>
      <x:c r="F225" s="99"/>
      <x:c r="G225" s="99"/>
      <x:c r="H225" s="99"/>
      <x:c r="I225" s="99"/>
      <x:c r="J225" s="99"/>
      <x:c r="K225" s="99"/>
      <x:c r="L225" s="99"/>
      <x:c r="M225" s="99"/>
      <x:c r="N225" s="99"/>
      <x:c r="O225" s="99"/>
      <x:c r="P225" s="99"/>
      <x:c r="Q225" s="99"/>
      <x:c r="R225" s="99"/>
      <x:c r="S225" s="99"/>
      <x:c r="T225" s="99"/>
      <x:c r="U225" s="99"/>
      <x:c r="V225" s="99"/>
      <x:c r="W225" s="99"/>
      <x:c r="X225" s="99"/>
      <x:c r="Y225" s="99"/>
      <x:c r="Z225" s="99"/>
    </x:row>
    <x:row r="226">
      <x:c r="A226" s="99"/>
      <x:c r="B226" s="99"/>
      <x:c r="C226" s="99"/>
      <x:c r="D226" s="99"/>
      <x:c r="E226" s="99"/>
      <x:c r="F226" s="99"/>
      <x:c r="G226" s="99"/>
      <x:c r="H226" s="99"/>
      <x:c r="I226" s="99"/>
      <x:c r="J226" s="99"/>
      <x:c r="K226" s="99"/>
      <x:c r="L226" s="99"/>
      <x:c r="M226" s="99"/>
      <x:c r="N226" s="99"/>
      <x:c r="O226" s="99"/>
      <x:c r="P226" s="99"/>
      <x:c r="Q226" s="99"/>
      <x:c r="R226" s="99"/>
      <x:c r="S226" s="99"/>
      <x:c r="T226" s="99"/>
      <x:c r="U226" s="99"/>
      <x:c r="V226" s="99"/>
      <x:c r="W226" s="99"/>
      <x:c r="X226" s="99"/>
      <x:c r="Y226" s="99"/>
      <x:c r="Z226" s="99"/>
    </x:row>
    <x:row r="227">
      <x:c r="A227" s="99"/>
      <x:c r="B227" s="99"/>
      <x:c r="C227" s="99"/>
      <x:c r="D227" s="99"/>
      <x:c r="E227" s="99"/>
      <x:c r="F227" s="99"/>
      <x:c r="G227" s="99"/>
      <x:c r="H227" s="99"/>
      <x:c r="I227" s="99"/>
      <x:c r="J227" s="99"/>
      <x:c r="K227" s="99"/>
      <x:c r="L227" s="99"/>
      <x:c r="M227" s="99"/>
      <x:c r="N227" s="99"/>
      <x:c r="O227" s="99"/>
      <x:c r="P227" s="99"/>
      <x:c r="Q227" s="99"/>
      <x:c r="R227" s="99"/>
      <x:c r="S227" s="99"/>
      <x:c r="T227" s="99"/>
      <x:c r="U227" s="99"/>
      <x:c r="V227" s="99"/>
      <x:c r="W227" s="99"/>
      <x:c r="X227" s="99"/>
      <x:c r="Y227" s="99"/>
      <x:c r="Z227" s="99"/>
    </x:row>
    <x:row r="228">
      <x:c r="A228" s="99"/>
      <x:c r="B228" s="99"/>
      <x:c r="C228" s="99"/>
      <x:c r="D228" s="99"/>
      <x:c r="E228" s="99"/>
      <x:c r="F228" s="99"/>
      <x:c r="G228" s="99"/>
      <x:c r="H228" s="99"/>
      <x:c r="I228" s="99"/>
      <x:c r="J228" s="99"/>
      <x:c r="K228" s="99"/>
      <x:c r="L228" s="99"/>
      <x:c r="M228" s="99"/>
      <x:c r="N228" s="99"/>
      <x:c r="O228" s="99"/>
      <x:c r="P228" s="99"/>
      <x:c r="Q228" s="99"/>
      <x:c r="R228" s="99"/>
      <x:c r="S228" s="99"/>
      <x:c r="T228" s="99"/>
      <x:c r="U228" s="99"/>
      <x:c r="V228" s="99"/>
      <x:c r="W228" s="99"/>
      <x:c r="X228" s="99"/>
      <x:c r="Y228" s="99"/>
      <x:c r="Z228" s="99"/>
    </x:row>
    <x:row r="229">
      <x:c r="A229" s="99"/>
      <x:c r="B229" s="99"/>
      <x:c r="C229" s="99"/>
      <x:c r="D229" s="99"/>
      <x:c r="E229" s="99"/>
      <x:c r="F229" s="99"/>
      <x:c r="G229" s="99"/>
      <x:c r="H229" s="99"/>
      <x:c r="I229" s="99"/>
      <x:c r="J229" s="99"/>
      <x:c r="K229" s="99"/>
      <x:c r="L229" s="99"/>
      <x:c r="M229" s="99"/>
      <x:c r="N229" s="99"/>
      <x:c r="O229" s="99"/>
      <x:c r="P229" s="99"/>
      <x:c r="Q229" s="99"/>
      <x:c r="R229" s="99"/>
      <x:c r="S229" s="99"/>
      <x:c r="T229" s="99"/>
      <x:c r="U229" s="99"/>
      <x:c r="V229" s="99"/>
      <x:c r="W229" s="99"/>
      <x:c r="X229" s="99"/>
      <x:c r="Y229" s="99"/>
      <x:c r="Z229" s="99"/>
    </x:row>
    <x:row r="230">
      <x:c r="A230" s="99"/>
      <x:c r="B230" s="99"/>
      <x:c r="C230" s="99"/>
      <x:c r="D230" s="99"/>
      <x:c r="E230" s="99"/>
      <x:c r="F230" s="99"/>
      <x:c r="G230" s="99"/>
      <x:c r="H230" s="99"/>
      <x:c r="I230" s="99"/>
      <x:c r="J230" s="99"/>
      <x:c r="K230" s="99"/>
      <x:c r="L230" s="99"/>
      <x:c r="M230" s="99"/>
      <x:c r="N230" s="99"/>
      <x:c r="O230" s="99"/>
      <x:c r="P230" s="99"/>
      <x:c r="Q230" s="99"/>
      <x:c r="R230" s="99"/>
      <x:c r="S230" s="99"/>
      <x:c r="T230" s="99"/>
      <x:c r="U230" s="99"/>
      <x:c r="V230" s="99"/>
      <x:c r="W230" s="99"/>
      <x:c r="X230" s="99"/>
      <x:c r="Y230" s="99"/>
      <x:c r="Z230" s="99"/>
    </x:row>
    <x:row r="231">
      <x:c r="A231" s="99"/>
      <x:c r="B231" s="99"/>
      <x:c r="C231" s="99"/>
      <x:c r="D231" s="99"/>
      <x:c r="E231" s="99"/>
      <x:c r="F231" s="99"/>
      <x:c r="G231" s="99"/>
      <x:c r="H231" s="99"/>
      <x:c r="I231" s="99"/>
      <x:c r="J231" s="99"/>
      <x:c r="K231" s="99"/>
      <x:c r="L231" s="99"/>
      <x:c r="M231" s="99"/>
      <x:c r="N231" s="99"/>
      <x:c r="O231" s="99"/>
      <x:c r="P231" s="99"/>
      <x:c r="Q231" s="99"/>
      <x:c r="R231" s="99"/>
      <x:c r="S231" s="99"/>
      <x:c r="T231" s="99"/>
      <x:c r="U231" s="99"/>
      <x:c r="V231" s="99"/>
      <x:c r="W231" s="99"/>
      <x:c r="X231" s="99"/>
      <x:c r="Y231" s="99"/>
      <x:c r="Z231" s="99"/>
    </x:row>
    <x:row r="232">
      <x:c r="A232" s="99"/>
      <x:c r="B232" s="99"/>
      <x:c r="C232" s="99"/>
      <x:c r="D232" s="99"/>
      <x:c r="E232" s="99"/>
      <x:c r="F232" s="99"/>
      <x:c r="G232" s="99"/>
      <x:c r="H232" s="99"/>
      <x:c r="I232" s="99"/>
      <x:c r="J232" s="99"/>
      <x:c r="K232" s="99"/>
      <x:c r="L232" s="99"/>
      <x:c r="M232" s="99"/>
      <x:c r="N232" s="99"/>
      <x:c r="O232" s="99"/>
      <x:c r="P232" s="99"/>
      <x:c r="Q232" s="99"/>
      <x:c r="R232" s="99"/>
      <x:c r="S232" s="99"/>
      <x:c r="T232" s="99"/>
      <x:c r="U232" s="99"/>
      <x:c r="V232" s="99"/>
      <x:c r="W232" s="99"/>
      <x:c r="X232" s="99"/>
      <x:c r="Y232" s="99"/>
      <x:c r="Z232" s="99"/>
    </x:row>
    <x:row r="233">
      <x:c r="A233" s="99"/>
      <x:c r="B233" s="99"/>
      <x:c r="C233" s="99"/>
      <x:c r="D233" s="99"/>
      <x:c r="E233" s="99"/>
      <x:c r="F233" s="99"/>
      <x:c r="G233" s="99"/>
      <x:c r="H233" s="99"/>
      <x:c r="I233" s="99"/>
      <x:c r="J233" s="99"/>
      <x:c r="K233" s="99"/>
      <x:c r="L233" s="99"/>
      <x:c r="M233" s="99"/>
      <x:c r="N233" s="99"/>
      <x:c r="O233" s="99"/>
      <x:c r="P233" s="99"/>
      <x:c r="Q233" s="99"/>
      <x:c r="R233" s="99"/>
      <x:c r="S233" s="99"/>
      <x:c r="T233" s="99"/>
      <x:c r="U233" s="99"/>
      <x:c r="V233" s="99"/>
      <x:c r="W233" s="99"/>
      <x:c r="X233" s="99"/>
      <x:c r="Y233" s="99"/>
      <x:c r="Z233" s="99"/>
    </x:row>
    <x:row r="234">
      <x:c r="A234" s="99"/>
      <x:c r="B234" s="99"/>
      <x:c r="C234" s="99"/>
      <x:c r="D234" s="99"/>
      <x:c r="E234" s="99"/>
      <x:c r="F234" s="99"/>
      <x:c r="G234" s="99"/>
      <x:c r="H234" s="99"/>
      <x:c r="I234" s="99"/>
      <x:c r="J234" s="99"/>
      <x:c r="K234" s="99"/>
      <x:c r="L234" s="99"/>
      <x:c r="M234" s="99"/>
      <x:c r="N234" s="99"/>
      <x:c r="O234" s="99"/>
      <x:c r="P234" s="99"/>
      <x:c r="Q234" s="99"/>
      <x:c r="R234" s="99"/>
      <x:c r="S234" s="99"/>
      <x:c r="T234" s="99"/>
      <x:c r="U234" s="99"/>
      <x:c r="V234" s="99"/>
      <x:c r="W234" s="99"/>
      <x:c r="X234" s="99"/>
      <x:c r="Y234" s="99"/>
      <x:c r="Z234" s="99"/>
    </x:row>
    <x:row r="235">
      <x:c r="A235" s="99"/>
      <x:c r="B235" s="99"/>
      <x:c r="C235" s="99"/>
      <x:c r="D235" s="99"/>
      <x:c r="E235" s="99"/>
      <x:c r="F235" s="99"/>
      <x:c r="G235" s="99"/>
      <x:c r="H235" s="99"/>
      <x:c r="I235" s="99"/>
      <x:c r="J235" s="99"/>
      <x:c r="K235" s="99"/>
      <x:c r="L235" s="99"/>
      <x:c r="M235" s="99"/>
      <x:c r="N235" s="99"/>
      <x:c r="O235" s="99"/>
      <x:c r="P235" s="99"/>
      <x:c r="Q235" s="99"/>
      <x:c r="R235" s="99"/>
      <x:c r="S235" s="99"/>
      <x:c r="T235" s="99"/>
      <x:c r="U235" s="99"/>
      <x:c r="V235" s="99"/>
      <x:c r="W235" s="99"/>
      <x:c r="X235" s="99"/>
      <x:c r="Y235" s="99"/>
      <x:c r="Z235" s="99"/>
    </x:row>
    <x:row r="236">
      <x:c r="A236" s="99"/>
      <x:c r="B236" s="99"/>
      <x:c r="C236" s="99"/>
      <x:c r="D236" s="99"/>
      <x:c r="E236" s="99"/>
      <x:c r="F236" s="99"/>
      <x:c r="G236" s="99"/>
      <x:c r="H236" s="99"/>
      <x:c r="I236" s="99"/>
      <x:c r="J236" s="99"/>
      <x:c r="K236" s="99"/>
      <x:c r="L236" s="99"/>
      <x:c r="M236" s="99"/>
      <x:c r="N236" s="99"/>
      <x:c r="O236" s="99"/>
      <x:c r="P236" s="99"/>
      <x:c r="Q236" s="99"/>
      <x:c r="R236" s="99"/>
      <x:c r="S236" s="99"/>
      <x:c r="T236" s="99"/>
      <x:c r="U236" s="99"/>
      <x:c r="V236" s="99"/>
      <x:c r="W236" s="99"/>
      <x:c r="X236" s="99"/>
      <x:c r="Y236" s="99"/>
      <x:c r="Z236" s="99"/>
    </x:row>
    <x:row r="237">
      <x:c r="A237" s="99"/>
      <x:c r="B237" s="99"/>
      <x:c r="C237" s="99"/>
      <x:c r="D237" s="99"/>
      <x:c r="E237" s="99"/>
      <x:c r="F237" s="99"/>
      <x:c r="G237" s="99"/>
      <x:c r="H237" s="99"/>
      <x:c r="I237" s="99"/>
      <x:c r="J237" s="99"/>
      <x:c r="K237" s="99"/>
      <x:c r="L237" s="99"/>
      <x:c r="M237" s="99"/>
      <x:c r="N237" s="99"/>
      <x:c r="O237" s="99"/>
      <x:c r="P237" s="99"/>
      <x:c r="Q237" s="99"/>
      <x:c r="R237" s="99"/>
      <x:c r="S237" s="99"/>
      <x:c r="T237" s="99"/>
      <x:c r="U237" s="99"/>
      <x:c r="V237" s="99"/>
      <x:c r="W237" s="99"/>
      <x:c r="X237" s="99"/>
      <x:c r="Y237" s="99"/>
      <x:c r="Z237" s="99"/>
    </x:row>
    <x:row r="238">
      <x:c r="A238" s="99"/>
      <x:c r="B238" s="99"/>
      <x:c r="C238" s="99"/>
      <x:c r="D238" s="99"/>
      <x:c r="E238" s="99"/>
      <x:c r="F238" s="99"/>
      <x:c r="G238" s="99"/>
      <x:c r="H238" s="99"/>
      <x:c r="I238" s="99"/>
      <x:c r="J238" s="99"/>
      <x:c r="K238" s="99"/>
      <x:c r="L238" s="99"/>
      <x:c r="M238" s="99"/>
      <x:c r="N238" s="99"/>
      <x:c r="O238" s="99"/>
      <x:c r="P238" s="99"/>
      <x:c r="Q238" s="99"/>
      <x:c r="R238" s="99"/>
      <x:c r="S238" s="99"/>
      <x:c r="T238" s="99"/>
      <x:c r="U238" s="99"/>
      <x:c r="V238" s="99"/>
      <x:c r="W238" s="99"/>
      <x:c r="X238" s="99"/>
      <x:c r="Y238" s="99"/>
      <x:c r="Z238" s="99"/>
    </x:row>
    <x:row r="239">
      <x:c r="A239" s="99"/>
      <x:c r="B239" s="99"/>
      <x:c r="C239" s="99"/>
      <x:c r="D239" s="99"/>
      <x:c r="E239" s="99"/>
      <x:c r="F239" s="99"/>
      <x:c r="G239" s="99"/>
      <x:c r="H239" s="99"/>
      <x:c r="I239" s="99"/>
      <x:c r="J239" s="99"/>
      <x:c r="K239" s="99"/>
      <x:c r="L239" s="99"/>
      <x:c r="M239" s="99"/>
      <x:c r="N239" s="99"/>
      <x:c r="O239" s="99"/>
      <x:c r="P239" s="99"/>
      <x:c r="Q239" s="99"/>
      <x:c r="R239" s="99"/>
      <x:c r="S239" s="99"/>
      <x:c r="T239" s="99"/>
      <x:c r="U239" s="99"/>
      <x:c r="V239" s="99"/>
      <x:c r="W239" s="99"/>
      <x:c r="X239" s="99"/>
      <x:c r="Y239" s="99"/>
      <x:c r="Z239" s="99"/>
    </x:row>
    <x:row r="240">
      <x:c r="A240" s="99"/>
      <x:c r="B240" s="99"/>
      <x:c r="C240" s="99"/>
      <x:c r="D240" s="99"/>
      <x:c r="E240" s="99"/>
      <x:c r="F240" s="99"/>
      <x:c r="G240" s="99"/>
      <x:c r="H240" s="99"/>
      <x:c r="I240" s="99"/>
      <x:c r="J240" s="99"/>
      <x:c r="K240" s="99"/>
      <x:c r="L240" s="99"/>
      <x:c r="M240" s="99"/>
      <x:c r="N240" s="99"/>
      <x:c r="O240" s="99"/>
      <x:c r="P240" s="99"/>
      <x:c r="Q240" s="99"/>
      <x:c r="R240" s="99"/>
      <x:c r="S240" s="99"/>
      <x:c r="T240" s="99"/>
      <x:c r="U240" s="99"/>
      <x:c r="V240" s="99"/>
      <x:c r="W240" s="99"/>
      <x:c r="X240" s="99"/>
      <x:c r="Y240" s="99"/>
      <x:c r="Z240" s="99"/>
    </x:row>
    <x:row r="241">
      <x:c r="A241" s="99"/>
      <x:c r="B241" s="99"/>
      <x:c r="C241" s="99"/>
      <x:c r="D241" s="99"/>
      <x:c r="E241" s="99"/>
      <x:c r="F241" s="99"/>
      <x:c r="G241" s="99"/>
      <x:c r="H241" s="99"/>
      <x:c r="I241" s="99"/>
      <x:c r="J241" s="99"/>
      <x:c r="K241" s="99"/>
      <x:c r="L241" s="99"/>
      <x:c r="M241" s="99"/>
      <x:c r="N241" s="99"/>
      <x:c r="O241" s="99"/>
      <x:c r="P241" s="99"/>
      <x:c r="Q241" s="99"/>
      <x:c r="R241" s="99"/>
      <x:c r="S241" s="99"/>
      <x:c r="T241" s="99"/>
      <x:c r="U241" s="99"/>
      <x:c r="V241" s="99"/>
      <x:c r="W241" s="99"/>
      <x:c r="X241" s="99"/>
      <x:c r="Y241" s="99"/>
      <x:c r="Z241" s="99"/>
    </x:row>
    <x:row r="242">
      <x:c r="A242" s="99"/>
      <x:c r="B242" s="99"/>
      <x:c r="C242" s="99"/>
      <x:c r="D242" s="99"/>
      <x:c r="E242" s="99"/>
      <x:c r="F242" s="99"/>
      <x:c r="G242" s="99"/>
      <x:c r="H242" s="99"/>
      <x:c r="I242" s="99"/>
      <x:c r="J242" s="99"/>
      <x:c r="K242" s="99"/>
      <x:c r="L242" s="99"/>
      <x:c r="M242" s="99"/>
      <x:c r="N242" s="99"/>
      <x:c r="O242" s="99"/>
      <x:c r="P242" s="99"/>
      <x:c r="Q242" s="99"/>
      <x:c r="R242" s="99"/>
      <x:c r="S242" s="99"/>
      <x:c r="T242" s="99"/>
      <x:c r="U242" s="99"/>
      <x:c r="V242" s="99"/>
      <x:c r="W242" s="99"/>
      <x:c r="X242" s="99"/>
      <x:c r="Y242" s="99"/>
      <x:c r="Z242" s="99"/>
    </x:row>
    <x:row r="243">
      <x:c r="A243" s="99"/>
      <x:c r="B243" s="99"/>
      <x:c r="C243" s="99"/>
      <x:c r="D243" s="99"/>
      <x:c r="E243" s="99"/>
      <x:c r="F243" s="99"/>
      <x:c r="G243" s="99"/>
      <x:c r="H243" s="99"/>
      <x:c r="I243" s="99"/>
      <x:c r="J243" s="99"/>
      <x:c r="K243" s="99"/>
      <x:c r="L243" s="99"/>
      <x:c r="M243" s="99"/>
      <x:c r="N243" s="99"/>
      <x:c r="O243" s="99"/>
      <x:c r="P243" s="99"/>
      <x:c r="Q243" s="99"/>
      <x:c r="R243" s="99"/>
      <x:c r="S243" s="99"/>
      <x:c r="T243" s="99"/>
      <x:c r="U243" s="99"/>
      <x:c r="V243" s="99"/>
      <x:c r="W243" s="99"/>
      <x:c r="X243" s="99"/>
      <x:c r="Y243" s="99"/>
      <x:c r="Z243" s="99"/>
    </x:row>
    <x:row r="244">
      <x:c r="A244" s="99"/>
      <x:c r="B244" s="99"/>
      <x:c r="C244" s="99"/>
      <x:c r="D244" s="99"/>
      <x:c r="E244" s="99"/>
      <x:c r="F244" s="99"/>
      <x:c r="G244" s="99"/>
      <x:c r="H244" s="99"/>
      <x:c r="I244" s="99"/>
      <x:c r="J244" s="99"/>
      <x:c r="K244" s="99"/>
      <x:c r="L244" s="99"/>
      <x:c r="M244" s="99"/>
      <x:c r="N244" s="99"/>
      <x:c r="O244" s="99"/>
      <x:c r="P244" s="99"/>
      <x:c r="Q244" s="99"/>
      <x:c r="R244" s="99"/>
      <x:c r="S244" s="99"/>
      <x:c r="T244" s="99"/>
      <x:c r="U244" s="99"/>
      <x:c r="V244" s="99"/>
      <x:c r="W244" s="99"/>
      <x:c r="X244" s="99"/>
      <x:c r="Y244" s="99"/>
      <x:c r="Z244" s="99"/>
    </x:row>
    <x:row r="245">
      <x:c r="A245" s="99"/>
      <x:c r="B245" s="99"/>
      <x:c r="C245" s="99"/>
      <x:c r="D245" s="99"/>
      <x:c r="E245" s="99"/>
      <x:c r="F245" s="99"/>
      <x:c r="G245" s="99"/>
      <x:c r="H245" s="99"/>
      <x:c r="I245" s="99"/>
      <x:c r="J245" s="99"/>
      <x:c r="K245" s="99"/>
      <x:c r="L245" s="99"/>
      <x:c r="M245" s="99"/>
      <x:c r="N245" s="99"/>
      <x:c r="O245" s="99"/>
      <x:c r="P245" s="99"/>
      <x:c r="Q245" s="99"/>
      <x:c r="R245" s="99"/>
      <x:c r="S245" s="99"/>
      <x:c r="T245" s="99"/>
      <x:c r="U245" s="99"/>
      <x:c r="V245" s="99"/>
      <x:c r="W245" s="99"/>
      <x:c r="X245" s="99"/>
      <x:c r="Y245" s="99"/>
      <x:c r="Z245" s="99"/>
    </x:row>
    <x:row r="246">
      <x:c r="A246" s="99"/>
      <x:c r="B246" s="99"/>
      <x:c r="C246" s="99"/>
      <x:c r="D246" s="99"/>
      <x:c r="E246" s="99"/>
      <x:c r="F246" s="99"/>
      <x:c r="G246" s="99"/>
      <x:c r="H246" s="99"/>
      <x:c r="I246" s="99"/>
      <x:c r="J246" s="99"/>
      <x:c r="K246" s="99"/>
      <x:c r="L246" s="99"/>
      <x:c r="M246" s="99"/>
      <x:c r="N246" s="99"/>
      <x:c r="O246" s="99"/>
      <x:c r="P246" s="99"/>
      <x:c r="Q246" s="99"/>
      <x:c r="R246" s="99"/>
      <x:c r="S246" s="99"/>
      <x:c r="T246" s="99"/>
      <x:c r="U246" s="99"/>
      <x:c r="V246" s="99"/>
      <x:c r="W246" s="99"/>
      <x:c r="X246" s="99"/>
      <x:c r="Y246" s="99"/>
      <x:c r="Z246" s="99"/>
    </x:row>
    <x:row r="247">
      <x:c r="A247" s="99"/>
      <x:c r="B247" s="99"/>
      <x:c r="C247" s="99"/>
      <x:c r="D247" s="99"/>
      <x:c r="E247" s="99"/>
      <x:c r="F247" s="99"/>
      <x:c r="G247" s="99"/>
      <x:c r="H247" s="99"/>
      <x:c r="I247" s="99"/>
      <x:c r="J247" s="99"/>
      <x:c r="K247" s="99"/>
      <x:c r="L247" s="99"/>
      <x:c r="M247" s="99"/>
      <x:c r="N247" s="99"/>
      <x:c r="O247" s="99"/>
      <x:c r="P247" s="99"/>
      <x:c r="Q247" s="99"/>
      <x:c r="R247" s="99"/>
      <x:c r="S247" s="99"/>
      <x:c r="T247" s="99"/>
      <x:c r="U247" s="99"/>
      <x:c r="V247" s="99"/>
      <x:c r="W247" s="99"/>
      <x:c r="X247" s="99"/>
      <x:c r="Y247" s="99"/>
      <x:c r="Z247" s="99"/>
    </x:row>
    <x:row r="248">
      <x:c r="A248" s="99"/>
      <x:c r="B248" s="99"/>
      <x:c r="C248" s="99"/>
      <x:c r="D248" s="99"/>
      <x:c r="E248" s="99"/>
      <x:c r="F248" s="99"/>
      <x:c r="G248" s="99"/>
      <x:c r="H248" s="99"/>
      <x:c r="I248" s="99"/>
      <x:c r="J248" s="99"/>
      <x:c r="K248" s="99"/>
      <x:c r="L248" s="99"/>
      <x:c r="M248" s="99"/>
      <x:c r="N248" s="99"/>
      <x:c r="O248" s="99"/>
      <x:c r="P248" s="99"/>
      <x:c r="Q248" s="99"/>
      <x:c r="R248" s="99"/>
      <x:c r="S248" s="99"/>
      <x:c r="T248" s="99"/>
      <x:c r="U248" s="99"/>
      <x:c r="V248" s="99"/>
      <x:c r="W248" s="99"/>
      <x:c r="X248" s="99"/>
      <x:c r="Y248" s="99"/>
      <x:c r="Z248" s="99"/>
    </x:row>
    <x:row r="249">
      <x:c r="A249" s="99"/>
      <x:c r="B249" s="99"/>
      <x:c r="C249" s="99"/>
      <x:c r="D249" s="99"/>
      <x:c r="E249" s="99"/>
      <x:c r="F249" s="99"/>
      <x:c r="G249" s="99"/>
      <x:c r="H249" s="99"/>
      <x:c r="I249" s="99"/>
      <x:c r="J249" s="99"/>
      <x:c r="K249" s="99"/>
      <x:c r="L249" s="99"/>
      <x:c r="M249" s="99"/>
      <x:c r="N249" s="99"/>
      <x:c r="O249" s="99"/>
      <x:c r="P249" s="99"/>
      <x:c r="Q249" s="99"/>
      <x:c r="R249" s="99"/>
      <x:c r="S249" s="99"/>
      <x:c r="T249" s="99"/>
      <x:c r="U249" s="99"/>
      <x:c r="V249" s="99"/>
      <x:c r="W249" s="99"/>
      <x:c r="X249" s="99"/>
      <x:c r="Y249" s="99"/>
      <x:c r="Z249" s="99"/>
    </x:row>
    <x:row r="250">
      <x:c r="A250" s="99"/>
      <x:c r="B250" s="99"/>
      <x:c r="C250" s="99"/>
      <x:c r="D250" s="99"/>
      <x:c r="E250" s="99"/>
      <x:c r="F250" s="99"/>
      <x:c r="G250" s="99"/>
      <x:c r="H250" s="99"/>
      <x:c r="I250" s="99"/>
      <x:c r="J250" s="99"/>
      <x:c r="K250" s="99"/>
      <x:c r="L250" s="99"/>
      <x:c r="M250" s="99"/>
      <x:c r="N250" s="99"/>
      <x:c r="O250" s="99"/>
      <x:c r="P250" s="99"/>
      <x:c r="Q250" s="99"/>
      <x:c r="R250" s="99"/>
      <x:c r="S250" s="99"/>
      <x:c r="T250" s="99"/>
      <x:c r="U250" s="99"/>
      <x:c r="V250" s="99"/>
      <x:c r="W250" s="99"/>
      <x:c r="X250" s="99"/>
      <x:c r="Y250" s="99"/>
      <x:c r="Z250" s="99"/>
    </x:row>
    <x:row r="251">
      <x:c r="A251" s="99"/>
      <x:c r="B251" s="99"/>
      <x:c r="C251" s="99"/>
      <x:c r="D251" s="99"/>
      <x:c r="E251" s="99"/>
      <x:c r="F251" s="99"/>
      <x:c r="G251" s="99"/>
      <x:c r="H251" s="99"/>
      <x:c r="I251" s="99"/>
      <x:c r="J251" s="99"/>
      <x:c r="K251" s="99"/>
      <x:c r="L251" s="99"/>
      <x:c r="M251" s="99"/>
      <x:c r="N251" s="99"/>
      <x:c r="O251" s="99"/>
      <x:c r="P251" s="99"/>
      <x:c r="Q251" s="99"/>
      <x:c r="R251" s="99"/>
      <x:c r="S251" s="99"/>
      <x:c r="T251" s="99"/>
      <x:c r="U251" s="99"/>
      <x:c r="V251" s="99"/>
      <x:c r="W251" s="99"/>
      <x:c r="X251" s="99"/>
      <x:c r="Y251" s="99"/>
      <x:c r="Z251" s="99"/>
    </x:row>
    <x:row r="252">
      <x:c r="A252" s="99"/>
      <x:c r="B252" s="99"/>
      <x:c r="C252" s="99"/>
      <x:c r="D252" s="99"/>
      <x:c r="E252" s="99"/>
      <x:c r="F252" s="99"/>
      <x:c r="G252" s="99"/>
      <x:c r="H252" s="99"/>
      <x:c r="I252" s="99"/>
      <x:c r="J252" s="99"/>
      <x:c r="K252" s="99"/>
      <x:c r="L252" s="99"/>
      <x:c r="M252" s="99"/>
      <x:c r="N252" s="99"/>
      <x:c r="O252" s="99"/>
      <x:c r="P252" s="99"/>
      <x:c r="Q252" s="99"/>
      <x:c r="R252" s="99"/>
      <x:c r="S252" s="99"/>
      <x:c r="T252" s="99"/>
      <x:c r="U252" s="99"/>
      <x:c r="V252" s="99"/>
      <x:c r="W252" s="99"/>
      <x:c r="X252" s="99"/>
      <x:c r="Y252" s="99"/>
      <x:c r="Z252" s="99"/>
    </x:row>
    <x:row r="253">
      <x:c r="A253" s="99"/>
      <x:c r="B253" s="99"/>
      <x:c r="C253" s="99"/>
      <x:c r="D253" s="99"/>
      <x:c r="E253" s="99"/>
      <x:c r="F253" s="99"/>
      <x:c r="G253" s="99"/>
      <x:c r="H253" s="99"/>
      <x:c r="I253" s="99"/>
      <x:c r="J253" s="99"/>
      <x:c r="K253" s="99"/>
      <x:c r="L253" s="99"/>
      <x:c r="M253" s="99"/>
      <x:c r="N253" s="99"/>
      <x:c r="O253" s="99"/>
      <x:c r="P253" s="99"/>
      <x:c r="Q253" s="99"/>
      <x:c r="R253" s="99"/>
      <x:c r="S253" s="99"/>
      <x:c r="T253" s="99"/>
      <x:c r="U253" s="99"/>
      <x:c r="V253" s="99"/>
      <x:c r="W253" s="99"/>
      <x:c r="X253" s="99"/>
      <x:c r="Y253" s="99"/>
      <x:c r="Z253" s="99"/>
    </x:row>
    <x:row r="254">
      <x:c r="A254" s="99"/>
      <x:c r="B254" s="99"/>
      <x:c r="C254" s="99"/>
      <x:c r="D254" s="99"/>
      <x:c r="E254" s="99"/>
      <x:c r="F254" s="99"/>
      <x:c r="G254" s="99"/>
      <x:c r="H254" s="99"/>
      <x:c r="I254" s="99"/>
      <x:c r="J254" s="99"/>
      <x:c r="K254" s="99"/>
      <x:c r="L254" s="99"/>
      <x:c r="M254" s="99"/>
      <x:c r="N254" s="99"/>
      <x:c r="O254" s="99"/>
      <x:c r="P254" s="99"/>
      <x:c r="Q254" s="99"/>
      <x:c r="R254" s="99"/>
      <x:c r="S254" s="99"/>
      <x:c r="T254" s="99"/>
      <x:c r="U254" s="99"/>
      <x:c r="V254" s="99"/>
      <x:c r="W254" s="99"/>
      <x:c r="X254" s="99"/>
      <x:c r="Y254" s="99"/>
      <x:c r="Z254" s="99"/>
    </x:row>
    <x:row r="255">
      <x:c r="A255" s="99"/>
      <x:c r="B255" s="99"/>
      <x:c r="C255" s="99"/>
      <x:c r="D255" s="99"/>
      <x:c r="E255" s="99"/>
      <x:c r="F255" s="99"/>
      <x:c r="G255" s="99"/>
      <x:c r="H255" s="99"/>
      <x:c r="I255" s="99"/>
      <x:c r="J255" s="99"/>
      <x:c r="K255" s="99"/>
      <x:c r="L255" s="99"/>
      <x:c r="M255" s="99"/>
      <x:c r="N255" s="99"/>
      <x:c r="O255" s="99"/>
      <x:c r="P255" s="99"/>
      <x:c r="Q255" s="99"/>
      <x:c r="R255" s="99"/>
      <x:c r="S255" s="99"/>
      <x:c r="T255" s="99"/>
      <x:c r="U255" s="99"/>
      <x:c r="V255" s="99"/>
      <x:c r="W255" s="99"/>
      <x:c r="X255" s="99"/>
      <x:c r="Y255" s="99"/>
      <x:c r="Z255" s="99"/>
    </x:row>
    <x:row r="256">
      <x:c r="A256" s="99"/>
      <x:c r="B256" s="99"/>
      <x:c r="C256" s="99"/>
      <x:c r="D256" s="99"/>
      <x:c r="E256" s="99"/>
      <x:c r="F256" s="99"/>
      <x:c r="G256" s="99"/>
      <x:c r="H256" s="99"/>
      <x:c r="I256" s="99"/>
      <x:c r="J256" s="99"/>
      <x:c r="K256" s="99"/>
      <x:c r="L256" s="99"/>
      <x:c r="M256" s="99"/>
      <x:c r="N256" s="99"/>
      <x:c r="O256" s="99"/>
      <x:c r="P256" s="99"/>
      <x:c r="Q256" s="99"/>
      <x:c r="R256" s="99"/>
      <x:c r="S256" s="99"/>
      <x:c r="T256" s="99"/>
      <x:c r="U256" s="99"/>
      <x:c r="V256" s="99"/>
      <x:c r="W256" s="99"/>
      <x:c r="X256" s="99"/>
      <x:c r="Y256" s="99"/>
      <x:c r="Z256" s="99"/>
    </x:row>
    <x:row r="257">
      <x:c r="A257" s="99"/>
      <x:c r="B257" s="99"/>
      <x:c r="C257" s="99"/>
      <x:c r="D257" s="99"/>
      <x:c r="E257" s="99"/>
      <x:c r="F257" s="99"/>
      <x:c r="G257" s="99"/>
      <x:c r="H257" s="99"/>
      <x:c r="I257" s="99"/>
      <x:c r="J257" s="99"/>
      <x:c r="K257" s="99"/>
      <x:c r="L257" s="99"/>
      <x:c r="M257" s="99"/>
      <x:c r="N257" s="99"/>
      <x:c r="O257" s="99"/>
      <x:c r="P257" s="99"/>
      <x:c r="Q257" s="99"/>
      <x:c r="R257" s="99"/>
      <x:c r="S257" s="99"/>
      <x:c r="T257" s="99"/>
      <x:c r="U257" s="99"/>
      <x:c r="V257" s="99"/>
      <x:c r="W257" s="99"/>
      <x:c r="X257" s="99"/>
      <x:c r="Y257" s="99"/>
      <x:c r="Z257" s="99"/>
    </x:row>
    <x:row r="258">
      <x:c r="A258" s="99"/>
      <x:c r="B258" s="99"/>
      <x:c r="C258" s="99"/>
      <x:c r="D258" s="99"/>
      <x:c r="E258" s="99"/>
      <x:c r="F258" s="99"/>
      <x:c r="G258" s="99"/>
      <x:c r="H258" s="99"/>
      <x:c r="I258" s="99"/>
      <x:c r="J258" s="99"/>
      <x:c r="K258" s="99"/>
      <x:c r="L258" s="99"/>
      <x:c r="M258" s="99"/>
      <x:c r="N258" s="99"/>
      <x:c r="O258" s="99"/>
      <x:c r="P258" s="99"/>
      <x:c r="Q258" s="99"/>
      <x:c r="R258" s="99"/>
      <x:c r="S258" s="99"/>
      <x:c r="T258" s="99"/>
      <x:c r="U258" s="99"/>
      <x:c r="V258" s="99"/>
      <x:c r="W258" s="99"/>
      <x:c r="X258" s="99"/>
      <x:c r="Y258" s="99"/>
      <x:c r="Z258" s="99"/>
    </x:row>
    <x:row r="259">
      <x:c r="A259" s="99"/>
      <x:c r="B259" s="99"/>
      <x:c r="C259" s="99"/>
      <x:c r="D259" s="99"/>
      <x:c r="E259" s="99"/>
      <x:c r="F259" s="99"/>
      <x:c r="G259" s="99"/>
      <x:c r="H259" s="99"/>
      <x:c r="I259" s="99"/>
      <x:c r="J259" s="99"/>
      <x:c r="K259" s="99"/>
      <x:c r="L259" s="99"/>
      <x:c r="M259" s="99"/>
      <x:c r="N259" s="99"/>
      <x:c r="O259" s="99"/>
      <x:c r="P259" s="99"/>
      <x:c r="Q259" s="99"/>
      <x:c r="R259" s="99"/>
      <x:c r="S259" s="99"/>
      <x:c r="T259" s="99"/>
      <x:c r="U259" s="99"/>
      <x:c r="V259" s="99"/>
      <x:c r="W259" s="99"/>
      <x:c r="X259" s="99"/>
      <x:c r="Y259" s="99"/>
      <x:c r="Z259" s="99"/>
    </x:row>
    <x:row r="260">
      <x:c r="A260" s="99"/>
      <x:c r="B260" s="99"/>
      <x:c r="C260" s="99"/>
      <x:c r="D260" s="99"/>
      <x:c r="E260" s="99"/>
      <x:c r="F260" s="99"/>
      <x:c r="G260" s="99"/>
      <x:c r="H260" s="99"/>
      <x:c r="I260" s="99"/>
      <x:c r="J260" s="99"/>
      <x:c r="K260" s="99"/>
      <x:c r="L260" s="99"/>
      <x:c r="M260" s="99"/>
      <x:c r="N260" s="99"/>
      <x:c r="O260" s="99"/>
      <x:c r="P260" s="99"/>
      <x:c r="Q260" s="99"/>
      <x:c r="R260" s="99"/>
      <x:c r="S260" s="99"/>
      <x:c r="T260" s="99"/>
      <x:c r="U260" s="99"/>
      <x:c r="V260" s="99"/>
      <x:c r="W260" s="99"/>
      <x:c r="X260" s="99"/>
      <x:c r="Y260" s="99"/>
      <x:c r="Z260" s="99"/>
    </x:row>
    <x:row r="261">
      <x:c r="A261" s="99"/>
      <x:c r="B261" s="99"/>
      <x:c r="C261" s="99"/>
      <x:c r="D261" s="99"/>
      <x:c r="E261" s="99"/>
      <x:c r="F261" s="99"/>
      <x:c r="G261" s="99"/>
      <x:c r="H261" s="99"/>
      <x:c r="I261" s="99"/>
      <x:c r="J261" s="99"/>
      <x:c r="K261" s="99"/>
      <x:c r="L261" s="99"/>
      <x:c r="M261" s="99"/>
      <x:c r="N261" s="99"/>
      <x:c r="O261" s="99"/>
      <x:c r="P261" s="99"/>
      <x:c r="Q261" s="99"/>
      <x:c r="R261" s="99"/>
      <x:c r="S261" s="99"/>
      <x:c r="T261" s="99"/>
      <x:c r="U261" s="99"/>
      <x:c r="V261" s="99"/>
      <x:c r="W261" s="99"/>
      <x:c r="X261" s="99"/>
      <x:c r="Y261" s="99"/>
      <x:c r="Z261" s="99"/>
    </x:row>
    <x:row r="262">
      <x:c r="A262" s="99"/>
      <x:c r="B262" s="99"/>
      <x:c r="C262" s="99"/>
      <x:c r="D262" s="99"/>
      <x:c r="E262" s="99"/>
      <x:c r="F262" s="99"/>
      <x:c r="G262" s="99"/>
      <x:c r="H262" s="99"/>
      <x:c r="I262" s="99"/>
      <x:c r="J262" s="99"/>
      <x:c r="K262" s="99"/>
      <x:c r="L262" s="99"/>
      <x:c r="M262" s="99"/>
      <x:c r="N262" s="99"/>
      <x:c r="O262" s="99"/>
      <x:c r="P262" s="99"/>
      <x:c r="Q262" s="99"/>
      <x:c r="R262" s="99"/>
      <x:c r="S262" s="99"/>
      <x:c r="T262" s="99"/>
      <x:c r="U262" s="99"/>
      <x:c r="V262" s="99"/>
      <x:c r="W262" s="99"/>
      <x:c r="X262" s="99"/>
      <x:c r="Y262" s="99"/>
      <x:c r="Z262" s="99"/>
    </x:row>
    <x:row r="263">
      <x:c r="A263" s="99"/>
      <x:c r="B263" s="99"/>
      <x:c r="C263" s="99"/>
      <x:c r="D263" s="99"/>
      <x:c r="E263" s="99"/>
      <x:c r="F263" s="99"/>
      <x:c r="G263" s="99"/>
      <x:c r="H263" s="99"/>
      <x:c r="I263" s="99"/>
      <x:c r="J263" s="99"/>
      <x:c r="K263" s="99"/>
      <x:c r="L263" s="99"/>
      <x:c r="M263" s="99"/>
      <x:c r="N263" s="99"/>
      <x:c r="O263" s="99"/>
      <x:c r="P263" s="99"/>
      <x:c r="Q263" s="99"/>
      <x:c r="R263" s="99"/>
      <x:c r="S263" s="99"/>
      <x:c r="T263" s="99"/>
      <x:c r="U263" s="99"/>
      <x:c r="V263" s="99"/>
      <x:c r="W263" s="99"/>
      <x:c r="X263" s="99"/>
      <x:c r="Y263" s="99"/>
      <x:c r="Z263" s="99"/>
    </x:row>
    <x:row r="264">
      <x:c r="A264" s="99"/>
      <x:c r="B264" s="99"/>
      <x:c r="C264" s="99"/>
      <x:c r="D264" s="99"/>
      <x:c r="E264" s="99"/>
      <x:c r="F264" s="99"/>
      <x:c r="G264" s="99"/>
      <x:c r="H264" s="99"/>
      <x:c r="I264" s="99"/>
      <x:c r="J264" s="99"/>
      <x:c r="K264" s="99"/>
      <x:c r="L264" s="99"/>
      <x:c r="M264" s="99"/>
      <x:c r="N264" s="99"/>
      <x:c r="O264" s="99"/>
      <x:c r="P264" s="99"/>
      <x:c r="Q264" s="99"/>
      <x:c r="R264" s="99"/>
      <x:c r="S264" s="99"/>
      <x:c r="T264" s="99"/>
      <x:c r="U264" s="99"/>
      <x:c r="V264" s="99"/>
      <x:c r="W264" s="99"/>
      <x:c r="X264" s="99"/>
      <x:c r="Y264" s="99"/>
      <x:c r="Z264" s="99"/>
    </x:row>
    <x:row r="265">
      <x:c r="A265" s="99"/>
      <x:c r="B265" s="99"/>
      <x:c r="C265" s="99"/>
      <x:c r="D265" s="99"/>
      <x:c r="E265" s="99"/>
      <x:c r="F265" s="99"/>
      <x:c r="G265" s="99"/>
      <x:c r="H265" s="99"/>
      <x:c r="I265" s="99"/>
      <x:c r="J265" s="99"/>
      <x:c r="K265" s="99"/>
      <x:c r="L265" s="99"/>
      <x:c r="M265" s="99"/>
      <x:c r="N265" s="99"/>
      <x:c r="O265" s="99"/>
      <x:c r="P265" s="99"/>
      <x:c r="Q265" s="99"/>
      <x:c r="R265" s="99"/>
      <x:c r="S265" s="99"/>
      <x:c r="T265" s="99"/>
      <x:c r="U265" s="99"/>
      <x:c r="V265" s="99"/>
      <x:c r="W265" s="99"/>
      <x:c r="X265" s="99"/>
      <x:c r="Y265" s="99"/>
      <x:c r="Z265" s="99"/>
    </x:row>
    <x:row r="266">
      <x:c r="A266" s="99"/>
      <x:c r="B266" s="99"/>
      <x:c r="C266" s="99"/>
      <x:c r="D266" s="99"/>
      <x:c r="E266" s="99"/>
      <x:c r="F266" s="99"/>
      <x:c r="G266" s="99"/>
      <x:c r="H266" s="99"/>
      <x:c r="I266" s="99"/>
      <x:c r="J266" s="99"/>
      <x:c r="K266" s="99"/>
      <x:c r="L266" s="99"/>
      <x:c r="M266" s="99"/>
      <x:c r="N266" s="99"/>
      <x:c r="O266" s="99"/>
      <x:c r="P266" s="99"/>
      <x:c r="Q266" s="99"/>
      <x:c r="R266" s="99"/>
      <x:c r="S266" s="99"/>
      <x:c r="T266" s="99"/>
      <x:c r="U266" s="99"/>
      <x:c r="V266" s="99"/>
      <x:c r="W266" s="99"/>
      <x:c r="X266" s="99"/>
      <x:c r="Y266" s="99"/>
      <x:c r="Z266" s="99"/>
    </x:row>
    <x:row r="267">
      <x:c r="A267" s="99"/>
      <x:c r="B267" s="99"/>
      <x:c r="C267" s="99"/>
      <x:c r="D267" s="99"/>
      <x:c r="E267" s="99"/>
      <x:c r="F267" s="99"/>
      <x:c r="G267" s="99"/>
      <x:c r="H267" s="99"/>
      <x:c r="I267" s="99"/>
      <x:c r="J267" s="99"/>
      <x:c r="K267" s="99"/>
      <x:c r="L267" s="99"/>
      <x:c r="M267" s="99"/>
      <x:c r="N267" s="99"/>
      <x:c r="O267" s="99"/>
      <x:c r="P267" s="99"/>
      <x:c r="Q267" s="99"/>
      <x:c r="R267" s="99"/>
      <x:c r="S267" s="99"/>
      <x:c r="T267" s="99"/>
      <x:c r="U267" s="99"/>
      <x:c r="V267" s="99"/>
      <x:c r="W267" s="99"/>
      <x:c r="X267" s="99"/>
      <x:c r="Y267" s="99"/>
      <x:c r="Z267" s="99"/>
    </x:row>
    <x:row r="268">
      <x:c r="A268" s="99"/>
      <x:c r="B268" s="99"/>
      <x:c r="C268" s="99"/>
      <x:c r="D268" s="99"/>
      <x:c r="E268" s="99"/>
      <x:c r="F268" s="99"/>
      <x:c r="G268" s="99"/>
      <x:c r="H268" s="99"/>
      <x:c r="I268" s="99"/>
      <x:c r="J268" s="99"/>
      <x:c r="K268" s="99"/>
      <x:c r="L268" s="99"/>
      <x:c r="M268" s="99"/>
      <x:c r="N268" s="99"/>
      <x:c r="O268" s="99"/>
      <x:c r="P268" s="99"/>
      <x:c r="Q268" s="99"/>
      <x:c r="R268" s="99"/>
      <x:c r="S268" s="99"/>
      <x:c r="T268" s="99"/>
      <x:c r="U268" s="99"/>
      <x:c r="V268" s="99"/>
      <x:c r="W268" s="99"/>
      <x:c r="X268" s="99"/>
      <x:c r="Y268" s="99"/>
      <x:c r="Z268" s="99"/>
    </x:row>
    <x:row r="269">
      <x:c r="A269" s="99"/>
      <x:c r="B269" s="99"/>
      <x:c r="C269" s="99"/>
      <x:c r="D269" s="99"/>
      <x:c r="E269" s="99"/>
      <x:c r="F269" s="99"/>
      <x:c r="G269" s="99"/>
      <x:c r="H269" s="99"/>
      <x:c r="I269" s="99"/>
      <x:c r="J269" s="99"/>
      <x:c r="K269" s="99"/>
      <x:c r="L269" s="99"/>
      <x:c r="M269" s="99"/>
      <x:c r="N269" s="99"/>
      <x:c r="O269" s="99"/>
      <x:c r="P269" s="99"/>
      <x:c r="Q269" s="99"/>
      <x:c r="R269" s="99"/>
      <x:c r="S269" s="99"/>
      <x:c r="T269" s="99"/>
      <x:c r="U269" s="99"/>
      <x:c r="V269" s="99"/>
      <x:c r="W269" s="99"/>
      <x:c r="X269" s="99"/>
      <x:c r="Y269" s="99"/>
      <x:c r="Z269" s="99"/>
    </x:row>
    <x:row r="270">
      <x:c r="A270" s="99"/>
      <x:c r="B270" s="99"/>
      <x:c r="C270" s="99"/>
      <x:c r="D270" s="99"/>
      <x:c r="E270" s="99"/>
      <x:c r="F270" s="99"/>
      <x:c r="G270" s="99"/>
      <x:c r="H270" s="99"/>
      <x:c r="I270" s="99"/>
      <x:c r="J270" s="99"/>
      <x:c r="K270" s="99"/>
      <x:c r="L270" s="99"/>
      <x:c r="M270" s="99"/>
      <x:c r="N270" s="99"/>
      <x:c r="O270" s="99"/>
      <x:c r="P270" s="99"/>
      <x:c r="Q270" s="99"/>
      <x:c r="R270" s="99"/>
      <x:c r="S270" s="99"/>
      <x:c r="T270" s="99"/>
      <x:c r="U270" s="99"/>
      <x:c r="V270" s="99"/>
      <x:c r="W270" s="99"/>
      <x:c r="X270" s="99"/>
      <x:c r="Y270" s="99"/>
      <x:c r="Z270" s="99"/>
    </x:row>
    <x:row r="271">
      <x:c r="A271" s="99"/>
      <x:c r="B271" s="99"/>
      <x:c r="C271" s="99"/>
      <x:c r="D271" s="99"/>
      <x:c r="E271" s="99"/>
      <x:c r="F271" s="99"/>
      <x:c r="G271" s="99"/>
      <x:c r="H271" s="99"/>
      <x:c r="I271" s="99"/>
      <x:c r="J271" s="99"/>
      <x:c r="K271" s="99"/>
      <x:c r="L271" s="99"/>
      <x:c r="M271" s="99"/>
      <x:c r="N271" s="99"/>
      <x:c r="O271" s="99"/>
      <x:c r="P271" s="99"/>
      <x:c r="Q271" s="99"/>
      <x:c r="R271" s="99"/>
      <x:c r="S271" s="99"/>
      <x:c r="T271" s="99"/>
      <x:c r="U271" s="99"/>
      <x:c r="V271" s="99"/>
      <x:c r="W271" s="99"/>
      <x:c r="X271" s="99"/>
      <x:c r="Y271" s="99"/>
      <x:c r="Z271" s="99"/>
    </x:row>
    <x:row r="272">
      <x:c r="A272" s="99"/>
      <x:c r="B272" s="99"/>
      <x:c r="C272" s="99"/>
      <x:c r="D272" s="99"/>
      <x:c r="E272" s="99"/>
      <x:c r="F272" s="99"/>
      <x:c r="G272" s="99"/>
      <x:c r="H272" s="99"/>
      <x:c r="I272" s="99"/>
      <x:c r="J272" s="99"/>
      <x:c r="K272" s="99"/>
      <x:c r="L272" s="99"/>
      <x:c r="M272" s="99"/>
      <x:c r="N272" s="99"/>
      <x:c r="O272" s="99"/>
      <x:c r="P272" s="99"/>
      <x:c r="Q272" s="99"/>
      <x:c r="R272" s="99"/>
      <x:c r="S272" s="99"/>
      <x:c r="T272" s="99"/>
      <x:c r="U272" s="99"/>
      <x:c r="V272" s="99"/>
      <x:c r="W272" s="99"/>
      <x:c r="X272" s="99"/>
      <x:c r="Y272" s="99"/>
      <x:c r="Z272" s="99"/>
    </x:row>
    <x:row r="273">
      <x:c r="A273" s="99"/>
      <x:c r="B273" s="99"/>
      <x:c r="C273" s="99"/>
      <x:c r="D273" s="99"/>
      <x:c r="E273" s="99"/>
      <x:c r="F273" s="99"/>
      <x:c r="G273" s="99"/>
      <x:c r="H273" s="99"/>
      <x:c r="I273" s="99"/>
      <x:c r="J273" s="99"/>
      <x:c r="K273" s="99"/>
      <x:c r="L273" s="99"/>
      <x:c r="M273" s="99"/>
      <x:c r="N273" s="99"/>
      <x:c r="O273" s="99"/>
      <x:c r="P273" s="99"/>
      <x:c r="Q273" s="99"/>
      <x:c r="R273" s="99"/>
      <x:c r="S273" s="99"/>
      <x:c r="T273" s="99"/>
      <x:c r="U273" s="99"/>
      <x:c r="V273" s="99"/>
      <x:c r="W273" s="99"/>
      <x:c r="X273" s="99"/>
      <x:c r="Y273" s="99"/>
      <x:c r="Z273" s="99"/>
    </x:row>
    <x:row r="274">
      <x:c r="A274" s="99"/>
      <x:c r="B274" s="99"/>
      <x:c r="C274" s="99"/>
      <x:c r="D274" s="99"/>
      <x:c r="E274" s="99"/>
      <x:c r="F274" s="99"/>
      <x:c r="G274" s="99"/>
      <x:c r="H274" s="99"/>
      <x:c r="I274" s="99"/>
      <x:c r="J274" s="99"/>
      <x:c r="K274" s="99"/>
      <x:c r="L274" s="99"/>
      <x:c r="M274" s="99"/>
      <x:c r="N274" s="99"/>
      <x:c r="O274" s="99"/>
      <x:c r="P274" s="99"/>
      <x:c r="Q274" s="99"/>
      <x:c r="R274" s="99"/>
      <x:c r="S274" s="99"/>
      <x:c r="T274" s="99"/>
      <x:c r="U274" s="99"/>
      <x:c r="V274" s="99"/>
      <x:c r="W274" s="99"/>
      <x:c r="X274" s="99"/>
      <x:c r="Y274" s="99"/>
      <x:c r="Z274" s="99"/>
    </x:row>
    <x:row r="275">
      <x:c r="A275" s="99"/>
      <x:c r="B275" s="99"/>
      <x:c r="C275" s="99"/>
      <x:c r="D275" s="99"/>
      <x:c r="E275" s="99"/>
      <x:c r="F275" s="99"/>
      <x:c r="G275" s="99"/>
      <x:c r="H275" s="99"/>
      <x:c r="I275" s="99"/>
      <x:c r="J275" s="99"/>
      <x:c r="K275" s="99"/>
      <x:c r="L275" s="99"/>
      <x:c r="M275" s="99"/>
      <x:c r="N275" s="99"/>
      <x:c r="O275" s="99"/>
      <x:c r="P275" s="99"/>
      <x:c r="Q275" s="99"/>
      <x:c r="R275" s="99"/>
      <x:c r="S275" s="99"/>
      <x:c r="T275" s="99"/>
      <x:c r="U275" s="99"/>
      <x:c r="V275" s="99"/>
      <x:c r="W275" s="99"/>
      <x:c r="X275" s="99"/>
      <x:c r="Y275" s="99"/>
      <x:c r="Z275" s="99"/>
    </x:row>
    <x:row r="276">
      <x:c r="A276" s="99"/>
      <x:c r="B276" s="99"/>
      <x:c r="C276" s="99"/>
      <x:c r="D276" s="99"/>
      <x:c r="E276" s="99"/>
      <x:c r="F276" s="99"/>
      <x:c r="G276" s="99"/>
      <x:c r="H276" s="99"/>
      <x:c r="I276" s="99"/>
      <x:c r="J276" s="99"/>
      <x:c r="K276" s="99"/>
      <x:c r="L276" s="99"/>
      <x:c r="M276" s="99"/>
      <x:c r="N276" s="99"/>
      <x:c r="O276" s="99"/>
      <x:c r="P276" s="99"/>
      <x:c r="Q276" s="99"/>
      <x:c r="R276" s="99"/>
      <x:c r="S276" s="99"/>
      <x:c r="T276" s="99"/>
      <x:c r="U276" s="99"/>
      <x:c r="V276" s="99"/>
      <x:c r="W276" s="99"/>
      <x:c r="X276" s="99"/>
      <x:c r="Y276" s="99"/>
      <x:c r="Z276" s="99"/>
    </x:row>
    <x:row r="277">
      <x:c r="A277" s="99"/>
      <x:c r="B277" s="99"/>
      <x:c r="C277" s="99"/>
      <x:c r="D277" s="99"/>
      <x:c r="E277" s="99"/>
      <x:c r="F277" s="99"/>
      <x:c r="G277" s="99"/>
      <x:c r="H277" s="99"/>
      <x:c r="I277" s="99"/>
      <x:c r="J277" s="99"/>
      <x:c r="K277" s="99"/>
      <x:c r="L277" s="99"/>
      <x:c r="M277" s="99"/>
      <x:c r="N277" s="99"/>
      <x:c r="O277" s="99"/>
      <x:c r="P277" s="99"/>
      <x:c r="Q277" s="99"/>
      <x:c r="R277" s="99"/>
      <x:c r="S277" s="99"/>
      <x:c r="T277" s="99"/>
      <x:c r="U277" s="99"/>
      <x:c r="V277" s="99"/>
      <x:c r="W277" s="99"/>
      <x:c r="X277" s="99"/>
      <x:c r="Y277" s="99"/>
      <x:c r="Z277" s="99"/>
    </x:row>
    <x:row r="278">
      <x:c r="A278" s="99"/>
      <x:c r="B278" s="99"/>
      <x:c r="C278" s="99"/>
      <x:c r="D278" s="99"/>
      <x:c r="E278" s="99"/>
      <x:c r="F278" s="99"/>
      <x:c r="G278" s="99"/>
      <x:c r="H278" s="99"/>
      <x:c r="I278" s="99"/>
      <x:c r="J278" s="99"/>
      <x:c r="K278" s="99"/>
      <x:c r="L278" s="99"/>
      <x:c r="M278" s="99"/>
      <x:c r="N278" s="99"/>
      <x:c r="O278" s="99"/>
      <x:c r="P278" s="99"/>
      <x:c r="Q278" s="99"/>
      <x:c r="R278" s="99"/>
      <x:c r="S278" s="99"/>
      <x:c r="T278" s="99"/>
      <x:c r="U278" s="99"/>
      <x:c r="V278" s="99"/>
      <x:c r="W278" s="99"/>
      <x:c r="X278" s="99"/>
      <x:c r="Y278" s="99"/>
      <x:c r="Z278" s="99"/>
    </x:row>
    <x:row r="279">
      <x:c r="A279" s="99"/>
      <x:c r="B279" s="99"/>
      <x:c r="C279" s="99"/>
      <x:c r="D279" s="99"/>
      <x:c r="E279" s="99"/>
      <x:c r="F279" s="99"/>
      <x:c r="G279" s="99"/>
      <x:c r="H279" s="99"/>
      <x:c r="I279" s="99"/>
      <x:c r="J279" s="99"/>
      <x:c r="K279" s="99"/>
      <x:c r="L279" s="99"/>
      <x:c r="M279" s="99"/>
      <x:c r="N279" s="99"/>
      <x:c r="O279" s="99"/>
      <x:c r="P279" s="99"/>
      <x:c r="Q279" s="99"/>
      <x:c r="R279" s="99"/>
      <x:c r="S279" s="99"/>
      <x:c r="T279" s="99"/>
      <x:c r="U279" s="99"/>
      <x:c r="V279" s="99"/>
      <x:c r="W279" s="99"/>
      <x:c r="X279" s="99"/>
      <x:c r="Y279" s="99"/>
      <x:c r="Z279" s="99"/>
    </x:row>
    <x:row r="280">
      <x:c r="A280" s="99"/>
      <x:c r="B280" s="99"/>
      <x:c r="C280" s="99"/>
      <x:c r="D280" s="99"/>
      <x:c r="E280" s="99"/>
      <x:c r="F280" s="99"/>
      <x:c r="G280" s="99"/>
      <x:c r="H280" s="99"/>
      <x:c r="I280" s="99"/>
      <x:c r="J280" s="99"/>
      <x:c r="K280" s="99"/>
      <x:c r="L280" s="99"/>
      <x:c r="M280" s="99"/>
      <x:c r="N280" s="99"/>
      <x:c r="O280" s="99"/>
      <x:c r="P280" s="99"/>
      <x:c r="Q280" s="99"/>
      <x:c r="R280" s="99"/>
      <x:c r="S280" s="99"/>
      <x:c r="T280" s="99"/>
      <x:c r="U280" s="99"/>
      <x:c r="V280" s="99"/>
      <x:c r="W280" s="99"/>
      <x:c r="X280" s="99"/>
      <x:c r="Y280" s="99"/>
      <x:c r="Z280" s="99"/>
    </x:row>
    <x:row r="281">
      <x:c r="A281" s="99"/>
      <x:c r="B281" s="99"/>
      <x:c r="C281" s="99"/>
      <x:c r="D281" s="99"/>
      <x:c r="E281" s="99"/>
      <x:c r="F281" s="99"/>
      <x:c r="G281" s="99"/>
      <x:c r="H281" s="99"/>
      <x:c r="I281" s="99"/>
      <x:c r="J281" s="99"/>
      <x:c r="K281" s="99"/>
      <x:c r="L281" s="99"/>
      <x:c r="M281" s="99"/>
      <x:c r="N281" s="99"/>
      <x:c r="O281" s="99"/>
      <x:c r="P281" s="99"/>
      <x:c r="Q281" s="99"/>
      <x:c r="R281" s="99"/>
      <x:c r="S281" s="99"/>
      <x:c r="T281" s="99"/>
      <x:c r="U281" s="99"/>
      <x:c r="V281" s="99"/>
      <x:c r="W281" s="99"/>
      <x:c r="X281" s="99"/>
      <x:c r="Y281" s="99"/>
      <x:c r="Z281" s="99"/>
    </x:row>
    <x:row r="282">
      <x:c r="A282" s="99"/>
      <x:c r="B282" s="99"/>
      <x:c r="C282" s="99"/>
      <x:c r="D282" s="99"/>
      <x:c r="E282" s="99"/>
      <x:c r="F282" s="99"/>
      <x:c r="G282" s="99"/>
      <x:c r="H282" s="99"/>
      <x:c r="I282" s="99"/>
      <x:c r="J282" s="99"/>
      <x:c r="K282" s="99"/>
      <x:c r="L282" s="99"/>
      <x:c r="M282" s="99"/>
      <x:c r="N282" s="99"/>
      <x:c r="O282" s="99"/>
      <x:c r="P282" s="99"/>
      <x:c r="Q282" s="99"/>
      <x:c r="R282" s="99"/>
      <x:c r="S282" s="99"/>
      <x:c r="T282" s="99"/>
      <x:c r="U282" s="99"/>
      <x:c r="V282" s="99"/>
      <x:c r="W282" s="99"/>
      <x:c r="X282" s="99"/>
      <x:c r="Y282" s="99"/>
      <x:c r="Z282" s="99"/>
    </x:row>
    <x:row r="283">
      <x:c r="A283" s="99"/>
      <x:c r="B283" s="99"/>
      <x:c r="C283" s="99"/>
      <x:c r="D283" s="99"/>
      <x:c r="E283" s="99"/>
      <x:c r="F283" s="99"/>
      <x:c r="G283" s="99"/>
      <x:c r="H283" s="99"/>
      <x:c r="I283" s="99"/>
      <x:c r="J283" s="99"/>
      <x:c r="K283" s="99"/>
      <x:c r="L283" s="99"/>
      <x:c r="M283" s="99"/>
      <x:c r="N283" s="99"/>
      <x:c r="O283" s="99"/>
      <x:c r="P283" s="99"/>
      <x:c r="Q283" s="99"/>
      <x:c r="R283" s="99"/>
      <x:c r="S283" s="99"/>
      <x:c r="T283" s="99"/>
      <x:c r="U283" s="99"/>
      <x:c r="V283" s="99"/>
      <x:c r="W283" s="99"/>
      <x:c r="X283" s="99"/>
      <x:c r="Y283" s="99"/>
      <x:c r="Z283" s="99"/>
    </x:row>
    <x:row r="284">
      <x:c r="A284" s="99"/>
      <x:c r="B284" s="99"/>
      <x:c r="C284" s="99"/>
      <x:c r="D284" s="99"/>
      <x:c r="E284" s="99"/>
      <x:c r="F284" s="99"/>
      <x:c r="G284" s="99"/>
      <x:c r="H284" s="99"/>
      <x:c r="I284" s="99"/>
      <x:c r="J284" s="99"/>
      <x:c r="K284" s="99"/>
      <x:c r="L284" s="99"/>
      <x:c r="M284" s="99"/>
      <x:c r="N284" s="99"/>
      <x:c r="O284" s="99"/>
      <x:c r="P284" s="99"/>
      <x:c r="Q284" s="99"/>
      <x:c r="R284" s="99"/>
      <x:c r="S284" s="99"/>
      <x:c r="T284" s="99"/>
      <x:c r="U284" s="99"/>
      <x:c r="V284" s="99"/>
      <x:c r="W284" s="99"/>
      <x:c r="X284" s="99"/>
      <x:c r="Y284" s="99"/>
      <x:c r="Z284" s="99"/>
    </x:row>
    <x:row r="285">
      <x:c r="A285" s="99"/>
      <x:c r="B285" s="99"/>
      <x:c r="C285" s="99"/>
      <x:c r="D285" s="99"/>
      <x:c r="E285" s="99"/>
      <x:c r="F285" s="99"/>
      <x:c r="G285" s="99"/>
      <x:c r="H285" s="99"/>
      <x:c r="I285" s="99"/>
      <x:c r="J285" s="99"/>
      <x:c r="K285" s="99"/>
      <x:c r="L285" s="99"/>
      <x:c r="M285" s="99"/>
      <x:c r="N285" s="99"/>
      <x:c r="O285" s="99"/>
      <x:c r="P285" s="99"/>
      <x:c r="Q285" s="99"/>
      <x:c r="R285" s="99"/>
      <x:c r="S285" s="99"/>
      <x:c r="T285" s="99"/>
      <x:c r="U285" s="99"/>
      <x:c r="V285" s="99"/>
      <x:c r="W285" s="99"/>
      <x:c r="X285" s="99"/>
      <x:c r="Y285" s="99"/>
      <x:c r="Z285" s="99"/>
    </x:row>
    <x:row r="286">
      <x:c r="A286" s="99"/>
      <x:c r="B286" s="99"/>
      <x:c r="C286" s="99"/>
      <x:c r="D286" s="99"/>
      <x:c r="E286" s="99"/>
      <x:c r="F286" s="99"/>
      <x:c r="G286" s="99"/>
      <x:c r="H286" s="99"/>
      <x:c r="I286" s="99"/>
      <x:c r="J286" s="99"/>
      <x:c r="K286" s="99"/>
      <x:c r="L286" s="99"/>
      <x:c r="M286" s="99"/>
      <x:c r="N286" s="99"/>
      <x:c r="O286" s="99"/>
      <x:c r="P286" s="99"/>
      <x:c r="Q286" s="99"/>
      <x:c r="R286" s="99"/>
      <x:c r="S286" s="99"/>
      <x:c r="T286" s="99"/>
      <x:c r="U286" s="99"/>
      <x:c r="V286" s="99"/>
      <x:c r="W286" s="99"/>
      <x:c r="X286" s="99"/>
      <x:c r="Y286" s="99"/>
      <x:c r="Z286" s="99"/>
    </x:row>
    <x:row r="287">
      <x:c r="A287" s="99"/>
      <x:c r="B287" s="99"/>
      <x:c r="C287" s="99"/>
      <x:c r="D287" s="99"/>
      <x:c r="E287" s="99"/>
      <x:c r="F287" s="99"/>
      <x:c r="G287" s="99"/>
      <x:c r="H287" s="99"/>
      <x:c r="I287" s="99"/>
      <x:c r="J287" s="99"/>
      <x:c r="K287" s="99"/>
      <x:c r="L287" s="99"/>
      <x:c r="M287" s="99"/>
      <x:c r="N287" s="99"/>
      <x:c r="O287" s="99"/>
      <x:c r="P287" s="99"/>
      <x:c r="Q287" s="99"/>
      <x:c r="R287" s="99"/>
      <x:c r="S287" s="99"/>
      <x:c r="T287" s="99"/>
      <x:c r="U287" s="99"/>
      <x:c r="V287" s="99"/>
      <x:c r="W287" s="99"/>
      <x:c r="X287" s="99"/>
      <x:c r="Y287" s="99"/>
      <x:c r="Z287" s="99"/>
    </x:row>
    <x:row r="288">
      <x:c r="A288" s="99"/>
      <x:c r="B288" s="99"/>
      <x:c r="C288" s="99"/>
      <x:c r="D288" s="99"/>
      <x:c r="E288" s="99"/>
      <x:c r="F288" s="99"/>
      <x:c r="G288" s="99"/>
      <x:c r="H288" s="99"/>
      <x:c r="I288" s="99"/>
      <x:c r="J288" s="99"/>
      <x:c r="K288" s="99"/>
      <x:c r="L288" s="99"/>
      <x:c r="M288" s="99"/>
      <x:c r="N288" s="99"/>
      <x:c r="O288" s="99"/>
      <x:c r="P288" s="99"/>
      <x:c r="Q288" s="99"/>
      <x:c r="R288" s="99"/>
      <x:c r="S288" s="99"/>
      <x:c r="T288" s="99"/>
      <x:c r="U288" s="99"/>
      <x:c r="V288" s="99"/>
      <x:c r="W288" s="99"/>
      <x:c r="X288" s="99"/>
      <x:c r="Y288" s="99"/>
      <x:c r="Z288" s="99"/>
    </x:row>
    <x:row r="289">
      <x:c r="A289" s="99"/>
      <x:c r="B289" s="99"/>
      <x:c r="C289" s="99"/>
      <x:c r="D289" s="99"/>
      <x:c r="E289" s="99"/>
      <x:c r="F289" s="99"/>
      <x:c r="G289" s="99"/>
      <x:c r="H289" s="99"/>
      <x:c r="I289" s="99"/>
      <x:c r="J289" s="99"/>
      <x:c r="K289" s="99"/>
      <x:c r="L289" s="99"/>
      <x:c r="M289" s="99"/>
      <x:c r="N289" s="99"/>
      <x:c r="O289" s="99"/>
      <x:c r="P289" s="99"/>
      <x:c r="Q289" s="99"/>
      <x:c r="R289" s="99"/>
      <x:c r="S289" s="99"/>
      <x:c r="T289" s="99"/>
      <x:c r="U289" s="99"/>
      <x:c r="V289" s="99"/>
      <x:c r="W289" s="99"/>
      <x:c r="X289" s="99"/>
      <x:c r="Y289" s="99"/>
      <x:c r="Z289" s="99"/>
    </x:row>
    <x:row r="290">
      <x:c r="A290" s="99"/>
      <x:c r="B290" s="99"/>
      <x:c r="C290" s="99"/>
      <x:c r="D290" s="99"/>
      <x:c r="E290" s="99"/>
      <x:c r="F290" s="99"/>
      <x:c r="G290" s="99"/>
      <x:c r="H290" s="99"/>
      <x:c r="I290" s="99"/>
      <x:c r="J290" s="99"/>
      <x:c r="K290" s="99"/>
      <x:c r="L290" s="99"/>
      <x:c r="M290" s="99"/>
      <x:c r="N290" s="99"/>
      <x:c r="O290" s="99"/>
      <x:c r="P290" s="99"/>
      <x:c r="Q290" s="99"/>
      <x:c r="R290" s="99"/>
      <x:c r="S290" s="99"/>
      <x:c r="T290" s="99"/>
      <x:c r="U290" s="99"/>
      <x:c r="V290" s="99"/>
      <x:c r="W290" s="99"/>
      <x:c r="X290" s="99"/>
      <x:c r="Y290" s="99"/>
      <x:c r="Z290" s="99"/>
    </x:row>
    <x:row r="291">
      <x:c r="A291" s="99"/>
      <x:c r="B291" s="99"/>
      <x:c r="C291" s="99"/>
      <x:c r="D291" s="99"/>
      <x:c r="E291" s="99"/>
      <x:c r="F291" s="99"/>
      <x:c r="G291" s="99"/>
      <x:c r="H291" s="99"/>
      <x:c r="I291" s="99"/>
      <x:c r="J291" s="99"/>
      <x:c r="K291" s="99"/>
      <x:c r="L291" s="99"/>
      <x:c r="M291" s="99"/>
      <x:c r="N291" s="99"/>
      <x:c r="O291" s="99"/>
      <x:c r="P291" s="99"/>
      <x:c r="Q291" s="99"/>
      <x:c r="R291" s="99"/>
      <x:c r="S291" s="99"/>
      <x:c r="T291" s="99"/>
      <x:c r="U291" s="99"/>
      <x:c r="V291" s="99"/>
      <x:c r="W291" s="99"/>
      <x:c r="X291" s="99"/>
      <x:c r="Y291" s="99"/>
      <x:c r="Z291" s="99"/>
    </x:row>
    <x:row r="292">
      <x:c r="A292" s="99"/>
      <x:c r="B292" s="99"/>
      <x:c r="C292" s="99"/>
      <x:c r="D292" s="99"/>
      <x:c r="E292" s="99"/>
      <x:c r="F292" s="99"/>
      <x:c r="G292" s="99"/>
      <x:c r="H292" s="99"/>
      <x:c r="I292" s="99"/>
      <x:c r="J292" s="99"/>
      <x:c r="K292" s="99"/>
      <x:c r="L292" s="99"/>
      <x:c r="M292" s="99"/>
      <x:c r="N292" s="99"/>
      <x:c r="O292" s="99"/>
      <x:c r="P292" s="99"/>
      <x:c r="Q292" s="99"/>
      <x:c r="R292" s="99"/>
      <x:c r="S292" s="99"/>
      <x:c r="T292" s="99"/>
      <x:c r="U292" s="99"/>
      <x:c r="V292" s="99"/>
      <x:c r="W292" s="99"/>
      <x:c r="X292" s="99"/>
      <x:c r="Y292" s="99"/>
      <x:c r="Z292" s="99"/>
    </x:row>
    <x:row r="293">
      <x:c r="A293" s="99"/>
      <x:c r="B293" s="99"/>
      <x:c r="C293" s="99"/>
      <x:c r="D293" s="99"/>
      <x:c r="E293" s="99"/>
      <x:c r="F293" s="99"/>
      <x:c r="G293" s="99"/>
      <x:c r="H293" s="99"/>
      <x:c r="I293" s="99"/>
      <x:c r="J293" s="99"/>
      <x:c r="K293" s="99"/>
      <x:c r="L293" s="99"/>
      <x:c r="M293" s="99"/>
      <x:c r="N293" s="99"/>
      <x:c r="O293" s="99"/>
      <x:c r="P293" s="99"/>
      <x:c r="Q293" s="99"/>
      <x:c r="R293" s="99"/>
      <x:c r="S293" s="99"/>
      <x:c r="T293" s="99"/>
      <x:c r="U293" s="99"/>
      <x:c r="V293" s="99"/>
      <x:c r="W293" s="99"/>
      <x:c r="X293" s="99"/>
      <x:c r="Y293" s="99"/>
      <x:c r="Z293" s="99"/>
    </x:row>
    <x:row r="294">
      <x:c r="A294" s="99"/>
      <x:c r="B294" s="99"/>
      <x:c r="C294" s="99"/>
      <x:c r="D294" s="99"/>
      <x:c r="E294" s="99"/>
      <x:c r="F294" s="99"/>
      <x:c r="G294" s="99"/>
      <x:c r="H294" s="99"/>
      <x:c r="I294" s="99"/>
      <x:c r="J294" s="99"/>
      <x:c r="K294" s="99"/>
      <x:c r="L294" s="99"/>
      <x:c r="M294" s="99"/>
      <x:c r="N294" s="99"/>
      <x:c r="O294" s="99"/>
      <x:c r="P294" s="99"/>
      <x:c r="Q294" s="99"/>
      <x:c r="R294" s="99"/>
      <x:c r="S294" s="99"/>
      <x:c r="T294" s="99"/>
      <x:c r="U294" s="99"/>
      <x:c r="V294" s="99"/>
      <x:c r="W294" s="99"/>
      <x:c r="X294" s="99"/>
      <x:c r="Y294" s="99"/>
      <x:c r="Z294" s="99"/>
    </x:row>
    <x:row r="295">
      <x:c r="A295" s="99"/>
      <x:c r="B295" s="99"/>
      <x:c r="C295" s="99"/>
      <x:c r="D295" s="99"/>
      <x:c r="E295" s="99"/>
      <x:c r="F295" s="99"/>
      <x:c r="G295" s="99"/>
      <x:c r="H295" s="99"/>
      <x:c r="I295" s="99"/>
      <x:c r="J295" s="99"/>
      <x:c r="K295" s="99"/>
      <x:c r="L295" s="99"/>
      <x:c r="M295" s="99"/>
      <x:c r="N295" s="99"/>
      <x:c r="O295" s="99"/>
      <x:c r="P295" s="99"/>
      <x:c r="Q295" s="99"/>
      <x:c r="R295" s="99"/>
      <x:c r="S295" s="99"/>
      <x:c r="T295" s="99"/>
      <x:c r="U295" s="99"/>
      <x:c r="V295" s="99"/>
      <x:c r="W295" s="99"/>
      <x:c r="X295" s="99"/>
      <x:c r="Y295" s="99"/>
      <x:c r="Z295" s="99"/>
    </x:row>
    <x:row r="296">
      <x:c r="A296" s="99"/>
      <x:c r="B296" s="99"/>
      <x:c r="C296" s="99"/>
      <x:c r="D296" s="99"/>
      <x:c r="E296" s="99"/>
      <x:c r="F296" s="99"/>
      <x:c r="G296" s="99"/>
      <x:c r="H296" s="99"/>
      <x:c r="I296" s="99"/>
      <x:c r="J296" s="99"/>
      <x:c r="K296" s="99"/>
      <x:c r="L296" s="99"/>
      <x:c r="M296" s="99"/>
      <x:c r="N296" s="99"/>
      <x:c r="O296" s="99"/>
      <x:c r="P296" s="99"/>
      <x:c r="Q296" s="99"/>
      <x:c r="R296" s="99"/>
      <x:c r="S296" s="99"/>
      <x:c r="T296" s="99"/>
      <x:c r="U296" s="99"/>
      <x:c r="V296" s="99"/>
      <x:c r="W296" s="99"/>
      <x:c r="X296" s="99"/>
      <x:c r="Y296" s="99"/>
      <x:c r="Z296" s="99"/>
    </x:row>
    <x:row r="297">
      <x:c r="A297" s="99"/>
      <x:c r="B297" s="99"/>
      <x:c r="C297" s="99"/>
      <x:c r="D297" s="99"/>
      <x:c r="E297" s="99"/>
      <x:c r="F297" s="99"/>
      <x:c r="G297" s="99"/>
      <x:c r="H297" s="99"/>
      <x:c r="I297" s="99"/>
      <x:c r="J297" s="99"/>
      <x:c r="K297" s="99"/>
      <x:c r="L297" s="99"/>
      <x:c r="M297" s="99"/>
      <x:c r="N297" s="99"/>
      <x:c r="O297" s="99"/>
      <x:c r="P297" s="99"/>
      <x:c r="Q297" s="99"/>
      <x:c r="R297" s="99"/>
      <x:c r="S297" s="99"/>
      <x:c r="T297" s="99"/>
      <x:c r="U297" s="99"/>
      <x:c r="V297" s="99"/>
      <x:c r="W297" s="99"/>
      <x:c r="X297" s="99"/>
      <x:c r="Y297" s="99"/>
      <x:c r="Z297" s="99"/>
    </x:row>
    <x:row r="298">
      <x:c r="A298" s="99"/>
      <x:c r="B298" s="99"/>
      <x:c r="C298" s="99"/>
      <x:c r="D298" s="99"/>
      <x:c r="E298" s="99"/>
      <x:c r="F298" s="99"/>
      <x:c r="G298" s="99"/>
      <x:c r="H298" s="99"/>
      <x:c r="I298" s="99"/>
      <x:c r="J298" s="99"/>
      <x:c r="K298" s="99"/>
      <x:c r="L298" s="99"/>
      <x:c r="M298" s="99"/>
      <x:c r="N298" s="99"/>
      <x:c r="O298" s="99"/>
      <x:c r="P298" s="99"/>
      <x:c r="Q298" s="99"/>
      <x:c r="R298" s="99"/>
      <x:c r="S298" s="99"/>
      <x:c r="T298" s="99"/>
      <x:c r="U298" s="99"/>
      <x:c r="V298" s="99"/>
      <x:c r="W298" s="99"/>
      <x:c r="X298" s="99"/>
      <x:c r="Y298" s="99"/>
      <x:c r="Z298" s="99"/>
    </x:row>
    <x:row r="299">
      <x:c r="A299" s="99"/>
      <x:c r="B299" s="99"/>
      <x:c r="C299" s="99"/>
      <x:c r="D299" s="99"/>
      <x:c r="E299" s="99"/>
      <x:c r="F299" s="99"/>
      <x:c r="G299" s="99"/>
      <x:c r="H299" s="99"/>
      <x:c r="I299" s="99"/>
      <x:c r="J299" s="99"/>
      <x:c r="K299" s="99"/>
      <x:c r="L299" s="99"/>
      <x:c r="M299" s="99"/>
      <x:c r="N299" s="99"/>
      <x:c r="O299" s="99"/>
      <x:c r="P299" s="99"/>
      <x:c r="Q299" s="99"/>
      <x:c r="R299" s="99"/>
      <x:c r="S299" s="99"/>
      <x:c r="T299" s="99"/>
      <x:c r="U299" s="99"/>
      <x:c r="V299" s="99"/>
      <x:c r="W299" s="99"/>
      <x:c r="X299" s="99"/>
      <x:c r="Y299" s="99"/>
      <x:c r="Z299" s="99"/>
    </x:row>
    <x:row r="300">
      <x:c r="A300" s="99"/>
      <x:c r="B300" s="99"/>
      <x:c r="C300" s="99"/>
      <x:c r="D300" s="99"/>
      <x:c r="E300" s="99"/>
      <x:c r="F300" s="99"/>
      <x:c r="G300" s="99"/>
      <x:c r="H300" s="99"/>
      <x:c r="I300" s="99"/>
      <x:c r="J300" s="99"/>
      <x:c r="K300" s="99"/>
      <x:c r="L300" s="99"/>
      <x:c r="M300" s="99"/>
      <x:c r="N300" s="99"/>
      <x:c r="O300" s="99"/>
      <x:c r="P300" s="99"/>
      <x:c r="Q300" s="99"/>
      <x:c r="R300" s="99"/>
      <x:c r="S300" s="99"/>
      <x:c r="T300" s="99"/>
      <x:c r="U300" s="99"/>
      <x:c r="V300" s="99"/>
      <x:c r="W300" s="99"/>
      <x:c r="X300" s="99"/>
      <x:c r="Y300" s="99"/>
      <x:c r="Z300" s="99"/>
    </x:row>
    <x:row r="301">
      <x:c r="A301" s="99"/>
      <x:c r="B301" s="99"/>
      <x:c r="C301" s="99"/>
      <x:c r="D301" s="99"/>
      <x:c r="E301" s="99"/>
      <x:c r="F301" s="99"/>
      <x:c r="G301" s="99"/>
      <x:c r="H301" s="99"/>
      <x:c r="I301" s="99"/>
      <x:c r="J301" s="99"/>
      <x:c r="K301" s="99"/>
      <x:c r="L301" s="99"/>
      <x:c r="M301" s="99"/>
      <x:c r="N301" s="99"/>
      <x:c r="O301" s="99"/>
      <x:c r="P301" s="99"/>
      <x:c r="Q301" s="99"/>
      <x:c r="R301" s="99"/>
      <x:c r="S301" s="99"/>
      <x:c r="T301" s="99"/>
      <x:c r="U301" s="99"/>
      <x:c r="V301" s="99"/>
      <x:c r="W301" s="99"/>
      <x:c r="X301" s="99"/>
      <x:c r="Y301" s="99"/>
      <x:c r="Z301" s="99"/>
    </x:row>
    <x:row r="302">
      <x:c r="A302" s="99"/>
      <x:c r="B302" s="99"/>
      <x:c r="C302" s="99"/>
      <x:c r="D302" s="99"/>
      <x:c r="E302" s="99"/>
      <x:c r="F302" s="99"/>
      <x:c r="G302" s="99"/>
      <x:c r="H302" s="99"/>
      <x:c r="I302" s="99"/>
      <x:c r="J302" s="99"/>
      <x:c r="K302" s="99"/>
      <x:c r="L302" s="99"/>
      <x:c r="M302" s="99"/>
      <x:c r="N302" s="99"/>
      <x:c r="O302" s="99"/>
      <x:c r="P302" s="99"/>
      <x:c r="Q302" s="99"/>
      <x:c r="R302" s="99"/>
      <x:c r="S302" s="99"/>
      <x:c r="T302" s="99"/>
      <x:c r="U302" s="99"/>
      <x:c r="V302" s="99"/>
      <x:c r="W302" s="99"/>
      <x:c r="X302" s="99"/>
      <x:c r="Y302" s="99"/>
      <x:c r="Z302" s="99"/>
    </x:row>
    <x:row r="303">
      <x:c r="A303" s="99"/>
      <x:c r="B303" s="99"/>
      <x:c r="C303" s="99"/>
      <x:c r="D303" s="99"/>
      <x:c r="E303" s="99"/>
      <x:c r="F303" s="99"/>
      <x:c r="G303" s="99"/>
      <x:c r="H303" s="99"/>
      <x:c r="I303" s="99"/>
      <x:c r="J303" s="99"/>
      <x:c r="K303" s="99"/>
      <x:c r="L303" s="99"/>
      <x:c r="M303" s="99"/>
      <x:c r="N303" s="99"/>
      <x:c r="O303" s="99"/>
      <x:c r="P303" s="99"/>
      <x:c r="Q303" s="99"/>
      <x:c r="R303" s="99"/>
      <x:c r="S303" s="99"/>
      <x:c r="T303" s="99"/>
      <x:c r="U303" s="99"/>
      <x:c r="V303" s="99"/>
      <x:c r="W303" s="99"/>
      <x:c r="X303" s="99"/>
      <x:c r="Y303" s="99"/>
      <x:c r="Z303" s="99"/>
    </x:row>
    <x:row r="304">
      <x:c r="A304" s="99"/>
      <x:c r="B304" s="99"/>
      <x:c r="C304" s="99"/>
      <x:c r="D304" s="99"/>
      <x:c r="E304" s="99"/>
      <x:c r="F304" s="99"/>
      <x:c r="G304" s="99"/>
      <x:c r="H304" s="99"/>
      <x:c r="I304" s="99"/>
      <x:c r="J304" s="99"/>
      <x:c r="K304" s="99"/>
      <x:c r="L304" s="99"/>
      <x:c r="M304" s="99"/>
      <x:c r="N304" s="99"/>
      <x:c r="O304" s="99"/>
      <x:c r="P304" s="99"/>
      <x:c r="Q304" s="99"/>
      <x:c r="R304" s="99"/>
      <x:c r="S304" s="99"/>
      <x:c r="T304" s="99"/>
      <x:c r="U304" s="99"/>
      <x:c r="V304" s="99"/>
      <x:c r="W304" s="99"/>
      <x:c r="X304" s="99"/>
      <x:c r="Y304" s="99"/>
      <x:c r="Z304" s="99"/>
    </x:row>
    <x:row r="305">
      <x:c r="A305" s="99"/>
      <x:c r="B305" s="99"/>
      <x:c r="C305" s="99"/>
      <x:c r="D305" s="99"/>
      <x:c r="E305" s="99"/>
      <x:c r="F305" s="99"/>
      <x:c r="G305" s="99"/>
      <x:c r="H305" s="99"/>
      <x:c r="I305" s="99"/>
      <x:c r="J305" s="99"/>
      <x:c r="K305" s="99"/>
      <x:c r="L305" s="99"/>
      <x:c r="M305" s="99"/>
      <x:c r="N305" s="99"/>
      <x:c r="O305" s="99"/>
      <x:c r="P305" s="99"/>
      <x:c r="Q305" s="99"/>
      <x:c r="R305" s="99"/>
      <x:c r="S305" s="99"/>
      <x:c r="T305" s="99"/>
      <x:c r="U305" s="99"/>
      <x:c r="V305" s="99"/>
      <x:c r="W305" s="99"/>
      <x:c r="X305" s="99"/>
      <x:c r="Y305" s="99"/>
      <x:c r="Z305" s="99"/>
    </x:row>
    <x:row r="306">
      <x:c r="A306" s="99"/>
      <x:c r="B306" s="99"/>
      <x:c r="C306" s="99"/>
      <x:c r="D306" s="99"/>
      <x:c r="E306" s="99"/>
      <x:c r="F306" s="99"/>
      <x:c r="G306" s="99"/>
      <x:c r="H306" s="99"/>
      <x:c r="I306" s="99"/>
      <x:c r="J306" s="99"/>
      <x:c r="K306" s="99"/>
      <x:c r="L306" s="99"/>
      <x:c r="M306" s="99"/>
      <x:c r="N306" s="99"/>
      <x:c r="O306" s="99"/>
      <x:c r="P306" s="99"/>
      <x:c r="Q306" s="99"/>
      <x:c r="R306" s="99"/>
      <x:c r="S306" s="99"/>
      <x:c r="T306" s="99"/>
      <x:c r="U306" s="99"/>
      <x:c r="V306" s="99"/>
      <x:c r="W306" s="99"/>
      <x:c r="X306" s="99"/>
      <x:c r="Y306" s="99"/>
      <x:c r="Z306" s="99"/>
    </x:row>
    <x:row r="307">
      <x:c r="A307" s="99"/>
      <x:c r="B307" s="99"/>
      <x:c r="C307" s="99"/>
      <x:c r="D307" s="99"/>
      <x:c r="E307" s="99"/>
      <x:c r="F307" s="99"/>
      <x:c r="G307" s="99"/>
      <x:c r="H307" s="99"/>
      <x:c r="I307" s="99"/>
      <x:c r="J307" s="99"/>
      <x:c r="K307" s="99"/>
      <x:c r="L307" s="99"/>
      <x:c r="M307" s="99"/>
      <x:c r="N307" s="99"/>
      <x:c r="O307" s="99"/>
      <x:c r="P307" s="99"/>
      <x:c r="Q307" s="99"/>
      <x:c r="R307" s="99"/>
      <x:c r="S307" s="99"/>
      <x:c r="T307" s="99"/>
      <x:c r="U307" s="99"/>
      <x:c r="V307" s="99"/>
      <x:c r="W307" s="99"/>
      <x:c r="X307" s="99"/>
      <x:c r="Y307" s="99"/>
      <x:c r="Z307" s="99"/>
    </x:row>
    <x:row r="308">
      <x:c r="A308" s="99"/>
      <x:c r="B308" s="99"/>
      <x:c r="C308" s="99"/>
      <x:c r="D308" s="99"/>
      <x:c r="E308" s="99"/>
      <x:c r="F308" s="99"/>
      <x:c r="G308" s="99"/>
      <x:c r="H308" s="99"/>
      <x:c r="I308" s="99"/>
      <x:c r="J308" s="99"/>
      <x:c r="K308" s="99"/>
      <x:c r="L308" s="99"/>
      <x:c r="M308" s="99"/>
      <x:c r="N308" s="99"/>
      <x:c r="O308" s="99"/>
      <x:c r="P308" s="99"/>
      <x:c r="Q308" s="99"/>
      <x:c r="R308" s="99"/>
      <x:c r="S308" s="99"/>
      <x:c r="T308" s="99"/>
      <x:c r="U308" s="99"/>
      <x:c r="V308" s="99"/>
      <x:c r="W308" s="99"/>
      <x:c r="X308" s="99"/>
      <x:c r="Y308" s="99"/>
      <x:c r="Z308" s="99"/>
    </x:row>
    <x:row r="309">
      <x:c r="A309" s="99"/>
      <x:c r="B309" s="99"/>
      <x:c r="C309" s="99"/>
      <x:c r="D309" s="99"/>
      <x:c r="E309" s="99"/>
      <x:c r="F309" s="99"/>
      <x:c r="G309" s="99"/>
      <x:c r="H309" s="99"/>
      <x:c r="I309" s="99"/>
      <x:c r="J309" s="99"/>
      <x:c r="K309" s="99"/>
      <x:c r="L309" s="99"/>
      <x:c r="M309" s="99"/>
      <x:c r="N309" s="99"/>
      <x:c r="O309" s="99"/>
      <x:c r="P309" s="99"/>
      <x:c r="Q309" s="99"/>
      <x:c r="R309" s="99"/>
      <x:c r="S309" s="99"/>
      <x:c r="T309" s="99"/>
      <x:c r="U309" s="99"/>
      <x:c r="V309" s="99"/>
      <x:c r="W309" s="99"/>
      <x:c r="X309" s="99"/>
      <x:c r="Y309" s="99"/>
      <x:c r="Z309" s="99"/>
    </x:row>
    <x:row r="310">
      <x:c r="A310" s="99"/>
      <x:c r="B310" s="99"/>
      <x:c r="C310" s="99"/>
      <x:c r="D310" s="99"/>
      <x:c r="E310" s="99"/>
      <x:c r="F310" s="99"/>
      <x:c r="G310" s="99"/>
      <x:c r="H310" s="99"/>
      <x:c r="I310" s="99"/>
      <x:c r="J310" s="99"/>
      <x:c r="K310" s="99"/>
      <x:c r="L310" s="99"/>
      <x:c r="M310" s="99"/>
      <x:c r="N310" s="99"/>
      <x:c r="O310" s="99"/>
      <x:c r="P310" s="99"/>
      <x:c r="Q310" s="99"/>
      <x:c r="R310" s="99"/>
      <x:c r="S310" s="99"/>
      <x:c r="T310" s="99"/>
      <x:c r="U310" s="99"/>
      <x:c r="V310" s="99"/>
      <x:c r="W310" s="99"/>
      <x:c r="X310" s="99"/>
      <x:c r="Y310" s="99"/>
      <x:c r="Z310" s="99"/>
    </x:row>
    <x:row r="311">
      <x:c r="A311" s="99"/>
      <x:c r="B311" s="99"/>
      <x:c r="C311" s="99"/>
      <x:c r="D311" s="99"/>
      <x:c r="E311" s="99"/>
      <x:c r="F311" s="99"/>
      <x:c r="G311" s="99"/>
      <x:c r="H311" s="99"/>
      <x:c r="I311" s="99"/>
      <x:c r="J311" s="99"/>
      <x:c r="K311" s="99"/>
      <x:c r="L311" s="99"/>
      <x:c r="M311" s="99"/>
      <x:c r="N311" s="99"/>
      <x:c r="O311" s="99"/>
      <x:c r="P311" s="99"/>
      <x:c r="Q311" s="99"/>
      <x:c r="R311" s="99"/>
      <x:c r="S311" s="99"/>
      <x:c r="T311" s="99"/>
      <x:c r="U311" s="99"/>
      <x:c r="V311" s="99"/>
      <x:c r="W311" s="99"/>
      <x:c r="X311" s="99"/>
      <x:c r="Y311" s="99"/>
      <x:c r="Z311" s="99"/>
    </x:row>
    <x:row r="312">
      <x:c r="A312" s="99"/>
      <x:c r="B312" s="99"/>
      <x:c r="C312" s="99"/>
      <x:c r="D312" s="99"/>
      <x:c r="E312" s="99"/>
      <x:c r="F312" s="99"/>
      <x:c r="G312" s="99"/>
      <x:c r="H312" s="99"/>
      <x:c r="I312" s="99"/>
      <x:c r="J312" s="99"/>
      <x:c r="K312" s="99"/>
      <x:c r="L312" s="99"/>
      <x:c r="M312" s="99"/>
      <x:c r="N312" s="99"/>
      <x:c r="O312" s="99"/>
      <x:c r="P312" s="99"/>
      <x:c r="Q312" s="99"/>
      <x:c r="R312" s="99"/>
      <x:c r="S312" s="99"/>
      <x:c r="T312" s="99"/>
      <x:c r="U312" s="99"/>
      <x:c r="V312" s="99"/>
      <x:c r="W312" s="99"/>
      <x:c r="X312" s="99"/>
      <x:c r="Y312" s="99"/>
      <x:c r="Z312" s="99"/>
    </x:row>
    <x:row r="313">
      <x:c r="A313" s="99"/>
      <x:c r="B313" s="99"/>
      <x:c r="C313" s="99"/>
      <x:c r="D313" s="99"/>
      <x:c r="E313" s="99"/>
      <x:c r="F313" s="99"/>
      <x:c r="G313" s="99"/>
      <x:c r="H313" s="99"/>
      <x:c r="I313" s="99"/>
      <x:c r="J313" s="99"/>
      <x:c r="K313" s="99"/>
      <x:c r="L313" s="99"/>
      <x:c r="M313" s="99"/>
      <x:c r="N313" s="99"/>
      <x:c r="O313" s="99"/>
      <x:c r="P313" s="99"/>
      <x:c r="Q313" s="99"/>
      <x:c r="R313" s="99"/>
      <x:c r="S313" s="99"/>
      <x:c r="T313" s="99"/>
      <x:c r="U313" s="99"/>
      <x:c r="V313" s="99"/>
      <x:c r="W313" s="99"/>
      <x:c r="X313" s="99"/>
      <x:c r="Y313" s="99"/>
      <x:c r="Z313" s="99"/>
    </x:row>
    <x:row r="314">
      <x:c r="A314" s="99"/>
      <x:c r="B314" s="99"/>
      <x:c r="C314" s="99"/>
      <x:c r="D314" s="99"/>
      <x:c r="E314" s="99"/>
      <x:c r="F314" s="99"/>
      <x:c r="G314" s="99"/>
      <x:c r="H314" s="99"/>
      <x:c r="I314" s="99"/>
      <x:c r="J314" s="99"/>
      <x:c r="K314" s="99"/>
      <x:c r="L314" s="99"/>
      <x:c r="M314" s="99"/>
      <x:c r="N314" s="99"/>
      <x:c r="O314" s="99"/>
      <x:c r="P314" s="99"/>
      <x:c r="Q314" s="99"/>
      <x:c r="R314" s="99"/>
      <x:c r="S314" s="99"/>
      <x:c r="T314" s="99"/>
      <x:c r="U314" s="99"/>
      <x:c r="V314" s="99"/>
      <x:c r="W314" s="99"/>
      <x:c r="X314" s="99"/>
      <x:c r="Y314" s="99"/>
      <x:c r="Z314" s="99"/>
    </x:row>
    <x:row r="315">
      <x:c r="A315" s="99"/>
      <x:c r="B315" s="99"/>
      <x:c r="C315" s="99"/>
      <x:c r="D315" s="99"/>
      <x:c r="E315" s="99"/>
      <x:c r="F315" s="99"/>
      <x:c r="G315" s="99"/>
      <x:c r="H315" s="99"/>
      <x:c r="I315" s="99"/>
      <x:c r="J315" s="99"/>
      <x:c r="K315" s="99"/>
      <x:c r="L315" s="99"/>
      <x:c r="M315" s="99"/>
      <x:c r="N315" s="99"/>
      <x:c r="O315" s="99"/>
      <x:c r="P315" s="99"/>
      <x:c r="Q315" s="99"/>
      <x:c r="R315" s="99"/>
      <x:c r="S315" s="99"/>
      <x:c r="T315" s="99"/>
      <x:c r="U315" s="99"/>
      <x:c r="V315" s="99"/>
      <x:c r="W315" s="99"/>
      <x:c r="X315" s="99"/>
      <x:c r="Y315" s="99"/>
      <x:c r="Z315" s="99"/>
    </x:row>
    <x:row r="316">
      <x:c r="A316" s="99"/>
      <x:c r="B316" s="99"/>
      <x:c r="C316" s="99"/>
      <x:c r="D316" s="99"/>
      <x:c r="E316" s="99"/>
      <x:c r="F316" s="99"/>
      <x:c r="G316" s="99"/>
      <x:c r="H316" s="99"/>
      <x:c r="I316" s="99"/>
      <x:c r="J316" s="99"/>
      <x:c r="K316" s="99"/>
      <x:c r="L316" s="99"/>
      <x:c r="M316" s="99"/>
      <x:c r="N316" s="99"/>
      <x:c r="O316" s="99"/>
      <x:c r="P316" s="99"/>
      <x:c r="Q316" s="99"/>
      <x:c r="R316" s="99"/>
      <x:c r="S316" s="99"/>
      <x:c r="T316" s="99"/>
      <x:c r="U316" s="99"/>
      <x:c r="V316" s="99"/>
      <x:c r="W316" s="99"/>
      <x:c r="X316" s="99"/>
      <x:c r="Y316" s="99"/>
      <x:c r="Z316" s="99"/>
    </x:row>
    <x:row r="317">
      <x:c r="A317" s="99"/>
      <x:c r="B317" s="99"/>
      <x:c r="C317" s="99"/>
      <x:c r="D317" s="99"/>
      <x:c r="E317" s="99"/>
      <x:c r="F317" s="99"/>
      <x:c r="G317" s="99"/>
      <x:c r="H317" s="99"/>
      <x:c r="I317" s="99"/>
      <x:c r="J317" s="99"/>
      <x:c r="K317" s="99"/>
      <x:c r="L317" s="99"/>
      <x:c r="M317" s="99"/>
      <x:c r="N317" s="99"/>
      <x:c r="O317" s="99"/>
      <x:c r="P317" s="99"/>
      <x:c r="Q317" s="99"/>
      <x:c r="R317" s="99"/>
      <x:c r="S317" s="99"/>
      <x:c r="T317" s="99"/>
      <x:c r="U317" s="99"/>
      <x:c r="V317" s="99"/>
      <x:c r="W317" s="99"/>
      <x:c r="X317" s="99"/>
      <x:c r="Y317" s="99"/>
      <x:c r="Z317" s="99"/>
    </x:row>
    <x:row r="318">
      <x:c r="A318" s="99"/>
      <x:c r="B318" s="99"/>
      <x:c r="C318" s="99"/>
      <x:c r="D318" s="99"/>
      <x:c r="E318" s="99"/>
      <x:c r="F318" s="99"/>
      <x:c r="G318" s="99"/>
      <x:c r="H318" s="99"/>
      <x:c r="I318" s="99"/>
      <x:c r="J318" s="99"/>
      <x:c r="K318" s="99"/>
      <x:c r="L318" s="99"/>
      <x:c r="M318" s="99"/>
      <x:c r="N318" s="99"/>
      <x:c r="O318" s="99"/>
      <x:c r="P318" s="99"/>
      <x:c r="Q318" s="99"/>
      <x:c r="R318" s="99"/>
      <x:c r="S318" s="99"/>
      <x:c r="T318" s="99"/>
      <x:c r="U318" s="99"/>
      <x:c r="V318" s="99"/>
      <x:c r="W318" s="99"/>
      <x:c r="X318" s="99"/>
      <x:c r="Y318" s="99"/>
      <x:c r="Z318" s="99"/>
    </x:row>
    <x:row r="319">
      <x:c r="A319" s="99"/>
      <x:c r="B319" s="99"/>
      <x:c r="C319" s="99"/>
      <x:c r="D319" s="99"/>
      <x:c r="E319" s="99"/>
      <x:c r="F319" s="99"/>
      <x:c r="G319" s="99"/>
      <x:c r="H319" s="99"/>
      <x:c r="I319" s="99"/>
      <x:c r="J319" s="99"/>
      <x:c r="K319" s="99"/>
      <x:c r="L319" s="99"/>
      <x:c r="M319" s="99"/>
      <x:c r="N319" s="99"/>
      <x:c r="O319" s="99"/>
      <x:c r="P319" s="99"/>
      <x:c r="Q319" s="99"/>
      <x:c r="R319" s="99"/>
      <x:c r="S319" s="99"/>
      <x:c r="T319" s="99"/>
      <x:c r="U319" s="99"/>
      <x:c r="V319" s="99"/>
      <x:c r="W319" s="99"/>
      <x:c r="X319" s="99"/>
      <x:c r="Y319" s="99"/>
      <x:c r="Z319" s="99"/>
    </x:row>
    <x:row r="320">
      <x:c r="A320" s="99"/>
      <x:c r="B320" s="99"/>
      <x:c r="C320" s="99"/>
      <x:c r="D320" s="99"/>
      <x:c r="E320" s="99"/>
      <x:c r="F320" s="99"/>
      <x:c r="G320" s="99"/>
      <x:c r="H320" s="99"/>
      <x:c r="I320" s="99"/>
      <x:c r="J320" s="99"/>
      <x:c r="K320" s="99"/>
      <x:c r="L320" s="99"/>
      <x:c r="M320" s="99"/>
      <x:c r="N320" s="99"/>
      <x:c r="O320" s="99"/>
      <x:c r="P320" s="99"/>
      <x:c r="Q320" s="99"/>
      <x:c r="R320" s="99"/>
      <x:c r="S320" s="99"/>
      <x:c r="T320" s="99"/>
      <x:c r="U320" s="99"/>
      <x:c r="V320" s="99"/>
      <x:c r="W320" s="99"/>
      <x:c r="X320" s="99"/>
      <x:c r="Y320" s="99"/>
      <x:c r="Z320" s="99"/>
    </x:row>
    <x:row r="321">
      <x:c r="A321" s="99"/>
      <x:c r="B321" s="99"/>
      <x:c r="C321" s="99"/>
      <x:c r="D321" s="99"/>
      <x:c r="E321" s="99"/>
      <x:c r="F321" s="99"/>
      <x:c r="G321" s="99"/>
      <x:c r="H321" s="99"/>
      <x:c r="I321" s="99"/>
      <x:c r="J321" s="99"/>
      <x:c r="K321" s="99"/>
      <x:c r="L321" s="99"/>
      <x:c r="M321" s="99"/>
      <x:c r="N321" s="99"/>
      <x:c r="O321" s="99"/>
      <x:c r="P321" s="99"/>
      <x:c r="Q321" s="99"/>
      <x:c r="R321" s="99"/>
      <x:c r="S321" s="99"/>
      <x:c r="T321" s="99"/>
      <x:c r="U321" s="99"/>
      <x:c r="V321" s="99"/>
      <x:c r="W321" s="99"/>
      <x:c r="X321" s="99"/>
      <x:c r="Y321" s="99"/>
      <x:c r="Z321" s="99"/>
    </x:row>
    <x:row r="322">
      <x:c r="A322" s="99"/>
      <x:c r="B322" s="99"/>
      <x:c r="C322" s="99"/>
      <x:c r="D322" s="99"/>
      <x:c r="E322" s="99"/>
      <x:c r="F322" s="99"/>
      <x:c r="G322" s="99"/>
      <x:c r="H322" s="99"/>
      <x:c r="I322" s="99"/>
      <x:c r="J322" s="99"/>
      <x:c r="K322" s="99"/>
      <x:c r="L322" s="99"/>
      <x:c r="M322" s="99"/>
      <x:c r="N322" s="99"/>
      <x:c r="O322" s="99"/>
      <x:c r="P322" s="99"/>
      <x:c r="Q322" s="99"/>
      <x:c r="R322" s="99"/>
      <x:c r="S322" s="99"/>
      <x:c r="T322" s="99"/>
      <x:c r="U322" s="99"/>
      <x:c r="V322" s="99"/>
      <x:c r="W322" s="99"/>
      <x:c r="X322" s="99"/>
      <x:c r="Y322" s="99"/>
      <x:c r="Z322" s="99"/>
    </x:row>
    <x:row r="323">
      <x:c r="A323" s="99"/>
      <x:c r="B323" s="99"/>
      <x:c r="C323" s="99"/>
      <x:c r="D323" s="99"/>
      <x:c r="E323" s="99"/>
      <x:c r="F323" s="99"/>
      <x:c r="G323" s="99"/>
      <x:c r="H323" s="99"/>
      <x:c r="I323" s="99"/>
      <x:c r="J323" s="99"/>
      <x:c r="K323" s="99"/>
      <x:c r="L323" s="99"/>
      <x:c r="M323" s="99"/>
      <x:c r="N323" s="99"/>
      <x:c r="O323" s="99"/>
      <x:c r="P323" s="99"/>
      <x:c r="Q323" s="99"/>
      <x:c r="R323" s="99"/>
      <x:c r="S323" s="99"/>
      <x:c r="T323" s="99"/>
      <x:c r="U323" s="99"/>
      <x:c r="V323" s="99"/>
      <x:c r="W323" s="99"/>
      <x:c r="X323" s="99"/>
      <x:c r="Y323" s="99"/>
      <x:c r="Z323" s="99"/>
    </x:row>
    <x:row r="324">
      <x:c r="A324" s="99"/>
      <x:c r="B324" s="99"/>
      <x:c r="C324" s="99"/>
      <x:c r="D324" s="99"/>
      <x:c r="E324" s="99"/>
      <x:c r="F324" s="99"/>
      <x:c r="G324" s="99"/>
      <x:c r="H324" s="99"/>
      <x:c r="I324" s="99"/>
      <x:c r="J324" s="99"/>
      <x:c r="K324" s="99"/>
      <x:c r="L324" s="99"/>
      <x:c r="M324" s="99"/>
      <x:c r="N324" s="99"/>
      <x:c r="O324" s="99"/>
      <x:c r="P324" s="99"/>
      <x:c r="Q324" s="99"/>
      <x:c r="R324" s="99"/>
      <x:c r="S324" s="99"/>
      <x:c r="T324" s="99"/>
      <x:c r="U324" s="99"/>
      <x:c r="V324" s="99"/>
      <x:c r="W324" s="99"/>
      <x:c r="X324" s="99"/>
      <x:c r="Y324" s="99"/>
      <x:c r="Z324" s="99"/>
    </x:row>
    <x:row r="325">
      <x:c r="A325" s="99"/>
      <x:c r="B325" s="99"/>
      <x:c r="C325" s="99"/>
      <x:c r="D325" s="99"/>
      <x:c r="E325" s="99"/>
      <x:c r="F325" s="99"/>
      <x:c r="G325" s="99"/>
      <x:c r="H325" s="99"/>
      <x:c r="I325" s="99"/>
      <x:c r="J325" s="99"/>
      <x:c r="K325" s="99"/>
      <x:c r="L325" s="99"/>
      <x:c r="M325" s="99"/>
      <x:c r="N325" s="99"/>
      <x:c r="O325" s="99"/>
      <x:c r="P325" s="99"/>
      <x:c r="Q325" s="99"/>
      <x:c r="R325" s="99"/>
      <x:c r="S325" s="99"/>
      <x:c r="T325" s="99"/>
      <x:c r="U325" s="99"/>
      <x:c r="V325" s="99"/>
      <x:c r="W325" s="99"/>
      <x:c r="X325" s="99"/>
      <x:c r="Y325" s="99"/>
      <x:c r="Z325" s="99"/>
    </x:row>
    <x:row r="326">
      <x:c r="A326" s="99"/>
      <x:c r="B326" s="99"/>
      <x:c r="C326" s="99"/>
      <x:c r="D326" s="99"/>
      <x:c r="E326" s="99"/>
      <x:c r="F326" s="99"/>
      <x:c r="G326" s="99"/>
      <x:c r="H326" s="99"/>
      <x:c r="I326" s="99"/>
      <x:c r="J326" s="99"/>
      <x:c r="K326" s="99"/>
      <x:c r="L326" s="99"/>
      <x:c r="M326" s="99"/>
      <x:c r="N326" s="99"/>
      <x:c r="O326" s="99"/>
      <x:c r="P326" s="99"/>
      <x:c r="Q326" s="99"/>
      <x:c r="R326" s="99"/>
      <x:c r="S326" s="99"/>
      <x:c r="T326" s="99"/>
      <x:c r="U326" s="99"/>
      <x:c r="V326" s="99"/>
      <x:c r="W326" s="99"/>
      <x:c r="X326" s="99"/>
      <x:c r="Y326" s="99"/>
      <x:c r="Z326" s="99"/>
    </x:row>
    <x:row r="327">
      <x:c r="A327" s="99"/>
      <x:c r="B327" s="99"/>
      <x:c r="C327" s="99"/>
      <x:c r="D327" s="99"/>
      <x:c r="E327" s="99"/>
      <x:c r="F327" s="99"/>
      <x:c r="G327" s="99"/>
      <x:c r="H327" s="99"/>
      <x:c r="I327" s="99"/>
      <x:c r="J327" s="99"/>
      <x:c r="K327" s="99"/>
      <x:c r="L327" s="99"/>
      <x:c r="M327" s="99"/>
      <x:c r="N327" s="99"/>
      <x:c r="O327" s="99"/>
      <x:c r="P327" s="99"/>
      <x:c r="Q327" s="99"/>
      <x:c r="R327" s="99"/>
      <x:c r="S327" s="99"/>
      <x:c r="T327" s="99"/>
      <x:c r="U327" s="99"/>
      <x:c r="V327" s="99"/>
      <x:c r="W327" s="99"/>
      <x:c r="X327" s="99"/>
      <x:c r="Y327" s="99"/>
      <x:c r="Z327" s="99"/>
    </x:row>
    <x:row r="328">
      <x:c r="A328" s="99"/>
      <x:c r="B328" s="99"/>
      <x:c r="C328" s="99"/>
      <x:c r="D328" s="99"/>
      <x:c r="E328" s="99"/>
      <x:c r="F328" s="99"/>
      <x:c r="G328" s="99"/>
      <x:c r="H328" s="99"/>
      <x:c r="I328" s="99"/>
      <x:c r="J328" s="99"/>
      <x:c r="K328" s="99"/>
      <x:c r="L328" s="99"/>
      <x:c r="M328" s="99"/>
      <x:c r="N328" s="99"/>
      <x:c r="O328" s="99"/>
      <x:c r="P328" s="99"/>
      <x:c r="Q328" s="99"/>
      <x:c r="R328" s="99"/>
      <x:c r="S328" s="99"/>
      <x:c r="T328" s="99"/>
      <x:c r="U328" s="99"/>
      <x:c r="V328" s="99"/>
      <x:c r="W328" s="99"/>
      <x:c r="X328" s="99"/>
      <x:c r="Y328" s="99"/>
      <x:c r="Z328" s="99"/>
    </x:row>
    <x:row r="329">
      <x:c r="A329" s="99"/>
      <x:c r="B329" s="99"/>
      <x:c r="C329" s="99"/>
      <x:c r="D329" s="99"/>
      <x:c r="E329" s="99"/>
      <x:c r="F329" s="99"/>
      <x:c r="G329" s="99"/>
      <x:c r="H329" s="99"/>
      <x:c r="I329" s="99"/>
      <x:c r="J329" s="99"/>
      <x:c r="K329" s="99"/>
      <x:c r="L329" s="99"/>
      <x:c r="M329" s="99"/>
      <x:c r="N329" s="99"/>
      <x:c r="O329" s="99"/>
      <x:c r="P329" s="99"/>
      <x:c r="Q329" s="99"/>
      <x:c r="R329" s="99"/>
      <x:c r="S329" s="99"/>
      <x:c r="T329" s="99"/>
      <x:c r="U329" s="99"/>
      <x:c r="V329" s="99"/>
      <x:c r="W329" s="99"/>
      <x:c r="X329" s="99"/>
      <x:c r="Y329" s="99"/>
      <x:c r="Z329" s="99"/>
    </x:row>
    <x:row r="330">
      <x:c r="A330" s="99"/>
      <x:c r="B330" s="99"/>
      <x:c r="C330" s="99"/>
      <x:c r="D330" s="99"/>
      <x:c r="E330" s="99"/>
      <x:c r="F330" s="99"/>
      <x:c r="G330" s="99"/>
      <x:c r="H330" s="99"/>
      <x:c r="I330" s="99"/>
      <x:c r="J330" s="99"/>
      <x:c r="K330" s="99"/>
      <x:c r="L330" s="99"/>
      <x:c r="M330" s="99"/>
      <x:c r="N330" s="99"/>
      <x:c r="O330" s="99"/>
      <x:c r="P330" s="99"/>
      <x:c r="Q330" s="99"/>
      <x:c r="R330" s="99"/>
      <x:c r="S330" s="99"/>
      <x:c r="T330" s="99"/>
      <x:c r="U330" s="99"/>
      <x:c r="V330" s="99"/>
      <x:c r="W330" s="99"/>
      <x:c r="X330" s="99"/>
      <x:c r="Y330" s="99"/>
      <x:c r="Z330" s="99"/>
    </x:row>
    <x:row r="331">
      <x:c r="A331" s="99"/>
      <x:c r="B331" s="99"/>
      <x:c r="C331" s="99"/>
      <x:c r="D331" s="99"/>
      <x:c r="E331" s="99"/>
      <x:c r="F331" s="99"/>
      <x:c r="G331" s="99"/>
      <x:c r="H331" s="99"/>
      <x:c r="I331" s="99"/>
      <x:c r="J331" s="99"/>
      <x:c r="K331" s="99"/>
      <x:c r="L331" s="99"/>
      <x:c r="M331" s="99"/>
      <x:c r="N331" s="99"/>
      <x:c r="O331" s="99"/>
      <x:c r="P331" s="99"/>
      <x:c r="Q331" s="99"/>
      <x:c r="R331" s="99"/>
      <x:c r="S331" s="99"/>
      <x:c r="T331" s="99"/>
      <x:c r="U331" s="99"/>
      <x:c r="V331" s="99"/>
      <x:c r="W331" s="99"/>
      <x:c r="X331" s="99"/>
      <x:c r="Y331" s="99"/>
      <x:c r="Z331" s="99"/>
    </x:row>
    <x:row r="332">
      <x:c r="A332" s="99"/>
      <x:c r="B332" s="99"/>
      <x:c r="C332" s="99"/>
      <x:c r="D332" s="99"/>
      <x:c r="E332" s="99"/>
      <x:c r="F332" s="99"/>
      <x:c r="G332" s="99"/>
      <x:c r="H332" s="99"/>
      <x:c r="I332" s="99"/>
      <x:c r="J332" s="99"/>
      <x:c r="K332" s="99"/>
      <x:c r="L332" s="99"/>
      <x:c r="M332" s="99"/>
      <x:c r="N332" s="99"/>
      <x:c r="O332" s="99"/>
      <x:c r="P332" s="99"/>
      <x:c r="Q332" s="99"/>
      <x:c r="R332" s="99"/>
      <x:c r="S332" s="99"/>
      <x:c r="T332" s="99"/>
      <x:c r="U332" s="99"/>
      <x:c r="V332" s="99"/>
      <x:c r="W332" s="99"/>
      <x:c r="X332" s="99"/>
      <x:c r="Y332" s="99"/>
      <x:c r="Z332" s="99"/>
    </x:row>
    <x:row r="333">
      <x:c r="A333" s="99"/>
      <x:c r="B333" s="99"/>
      <x:c r="C333" s="99"/>
      <x:c r="D333" s="99"/>
      <x:c r="E333" s="99"/>
      <x:c r="F333" s="99"/>
      <x:c r="G333" s="99"/>
      <x:c r="H333" s="99"/>
      <x:c r="I333" s="99"/>
      <x:c r="J333" s="99"/>
      <x:c r="K333" s="99"/>
      <x:c r="L333" s="99"/>
      <x:c r="M333" s="99"/>
      <x:c r="N333" s="99"/>
      <x:c r="O333" s="99"/>
      <x:c r="P333" s="99"/>
      <x:c r="Q333" s="99"/>
      <x:c r="R333" s="99"/>
      <x:c r="S333" s="99"/>
      <x:c r="T333" s="99"/>
      <x:c r="U333" s="99"/>
      <x:c r="V333" s="99"/>
      <x:c r="W333" s="99"/>
      <x:c r="X333" s="99"/>
      <x:c r="Y333" s="99"/>
      <x:c r="Z333" s="99"/>
    </x:row>
    <x:row r="334">
      <x:c r="A334" s="99"/>
      <x:c r="B334" s="99"/>
      <x:c r="C334" s="99"/>
      <x:c r="D334" s="99"/>
      <x:c r="E334" s="99"/>
      <x:c r="F334" s="99"/>
      <x:c r="G334" s="99"/>
      <x:c r="H334" s="99"/>
      <x:c r="I334" s="99"/>
      <x:c r="J334" s="99"/>
      <x:c r="K334" s="99"/>
      <x:c r="L334" s="99"/>
      <x:c r="M334" s="99"/>
      <x:c r="N334" s="99"/>
      <x:c r="O334" s="99"/>
      <x:c r="P334" s="99"/>
      <x:c r="Q334" s="99"/>
      <x:c r="R334" s="99"/>
      <x:c r="S334" s="99"/>
      <x:c r="T334" s="99"/>
      <x:c r="U334" s="99"/>
      <x:c r="V334" s="99"/>
      <x:c r="W334" s="99"/>
      <x:c r="X334" s="99"/>
      <x:c r="Y334" s="99"/>
      <x:c r="Z334" s="99"/>
    </x:row>
    <x:row r="335">
      <x:c r="A335" s="99"/>
      <x:c r="B335" s="99"/>
      <x:c r="C335" s="99"/>
      <x:c r="D335" s="99"/>
      <x:c r="E335" s="99"/>
      <x:c r="F335" s="99"/>
      <x:c r="G335" s="99"/>
      <x:c r="H335" s="99"/>
      <x:c r="I335" s="99"/>
      <x:c r="J335" s="99"/>
      <x:c r="K335" s="99"/>
      <x:c r="L335" s="99"/>
      <x:c r="M335" s="99"/>
      <x:c r="N335" s="99"/>
      <x:c r="O335" s="99"/>
      <x:c r="P335" s="99"/>
      <x:c r="Q335" s="99"/>
      <x:c r="R335" s="99"/>
      <x:c r="S335" s="99"/>
      <x:c r="T335" s="99"/>
      <x:c r="U335" s="99"/>
      <x:c r="V335" s="99"/>
      <x:c r="W335" s="99"/>
      <x:c r="X335" s="99"/>
      <x:c r="Y335" s="99"/>
      <x:c r="Z335" s="99"/>
    </x:row>
    <x:row r="336">
      <x:c r="A336" s="99"/>
      <x:c r="B336" s="99"/>
      <x:c r="C336" s="99"/>
      <x:c r="D336" s="99"/>
      <x:c r="E336" s="99"/>
      <x:c r="F336" s="99"/>
      <x:c r="G336" s="99"/>
      <x:c r="H336" s="99"/>
      <x:c r="I336" s="99"/>
      <x:c r="J336" s="99"/>
      <x:c r="K336" s="99"/>
      <x:c r="L336" s="99"/>
      <x:c r="M336" s="99"/>
      <x:c r="N336" s="99"/>
      <x:c r="O336" s="99"/>
      <x:c r="P336" s="99"/>
      <x:c r="Q336" s="99"/>
      <x:c r="R336" s="99"/>
      <x:c r="S336" s="99"/>
      <x:c r="T336" s="99"/>
      <x:c r="U336" s="99"/>
      <x:c r="V336" s="99"/>
      <x:c r="W336" s="99"/>
      <x:c r="X336" s="99"/>
      <x:c r="Y336" s="99"/>
      <x:c r="Z336" s="99"/>
    </x:row>
    <x:row r="337">
      <x:c r="A337" s="99"/>
      <x:c r="B337" s="99"/>
      <x:c r="C337" s="99"/>
      <x:c r="D337" s="99"/>
      <x:c r="E337" s="99"/>
      <x:c r="F337" s="99"/>
      <x:c r="G337" s="99"/>
      <x:c r="H337" s="99"/>
      <x:c r="I337" s="99"/>
      <x:c r="J337" s="99"/>
      <x:c r="K337" s="99"/>
      <x:c r="L337" s="99"/>
      <x:c r="M337" s="99"/>
      <x:c r="N337" s="99"/>
      <x:c r="O337" s="99"/>
      <x:c r="P337" s="99"/>
      <x:c r="Q337" s="99"/>
      <x:c r="R337" s="99"/>
      <x:c r="S337" s="99"/>
      <x:c r="T337" s="99"/>
      <x:c r="U337" s="99"/>
      <x:c r="V337" s="99"/>
      <x:c r="W337" s="99"/>
      <x:c r="X337" s="99"/>
      <x:c r="Y337" s="99"/>
      <x:c r="Z337" s="99"/>
    </x:row>
    <x:row r="338">
      <x:c r="A338" s="99"/>
      <x:c r="B338" s="99"/>
      <x:c r="C338" s="99"/>
      <x:c r="D338" s="99"/>
      <x:c r="E338" s="99"/>
      <x:c r="F338" s="99"/>
      <x:c r="G338" s="99"/>
      <x:c r="H338" s="99"/>
      <x:c r="I338" s="99"/>
      <x:c r="J338" s="99"/>
      <x:c r="K338" s="99"/>
      <x:c r="L338" s="99"/>
      <x:c r="M338" s="99"/>
      <x:c r="N338" s="99"/>
      <x:c r="O338" s="99"/>
      <x:c r="P338" s="99"/>
      <x:c r="Q338" s="99"/>
      <x:c r="R338" s="99"/>
      <x:c r="S338" s="99"/>
      <x:c r="T338" s="99"/>
      <x:c r="U338" s="99"/>
      <x:c r="V338" s="99"/>
      <x:c r="W338" s="99"/>
      <x:c r="X338" s="99"/>
      <x:c r="Y338" s="99"/>
      <x:c r="Z338" s="99"/>
    </x:row>
    <x:row r="339">
      <x:c r="A339" s="99"/>
      <x:c r="B339" s="99"/>
      <x:c r="C339" s="99"/>
      <x:c r="D339" s="99"/>
      <x:c r="E339" s="99"/>
      <x:c r="F339" s="99"/>
      <x:c r="G339" s="99"/>
      <x:c r="H339" s="99"/>
      <x:c r="I339" s="99"/>
      <x:c r="J339" s="99"/>
      <x:c r="K339" s="99"/>
      <x:c r="L339" s="99"/>
      <x:c r="M339" s="99"/>
      <x:c r="N339" s="99"/>
      <x:c r="O339" s="99"/>
      <x:c r="P339" s="99"/>
      <x:c r="Q339" s="99"/>
      <x:c r="R339" s="99"/>
      <x:c r="S339" s="99"/>
      <x:c r="T339" s="99"/>
      <x:c r="U339" s="99"/>
      <x:c r="V339" s="99"/>
      <x:c r="W339" s="99"/>
      <x:c r="X339" s="99"/>
      <x:c r="Y339" s="99"/>
      <x:c r="Z339" s="99"/>
    </x:row>
    <x:row r="340">
      <x:c r="A340" s="99"/>
      <x:c r="B340" s="99"/>
      <x:c r="C340" s="99"/>
      <x:c r="D340" s="99"/>
      <x:c r="E340" s="99"/>
      <x:c r="F340" s="99"/>
      <x:c r="G340" s="99"/>
      <x:c r="H340" s="99"/>
      <x:c r="I340" s="99"/>
      <x:c r="J340" s="99"/>
      <x:c r="K340" s="99"/>
      <x:c r="L340" s="99"/>
      <x:c r="M340" s="99"/>
      <x:c r="N340" s="99"/>
      <x:c r="O340" s="99"/>
      <x:c r="P340" s="99"/>
      <x:c r="Q340" s="99"/>
      <x:c r="R340" s="99"/>
      <x:c r="S340" s="99"/>
      <x:c r="T340" s="99"/>
      <x:c r="U340" s="99"/>
      <x:c r="V340" s="99"/>
      <x:c r="W340" s="99"/>
      <x:c r="X340" s="99"/>
      <x:c r="Y340" s="99"/>
      <x:c r="Z340" s="99"/>
    </x:row>
    <x:row r="341">
      <x:c r="A341" s="99"/>
      <x:c r="B341" s="99"/>
      <x:c r="C341" s="99"/>
      <x:c r="D341" s="99"/>
      <x:c r="E341" s="99"/>
      <x:c r="F341" s="99"/>
      <x:c r="G341" s="99"/>
      <x:c r="H341" s="99"/>
      <x:c r="I341" s="99"/>
      <x:c r="J341" s="99"/>
      <x:c r="K341" s="99"/>
      <x:c r="L341" s="99"/>
      <x:c r="M341" s="99"/>
      <x:c r="N341" s="99"/>
      <x:c r="O341" s="99"/>
      <x:c r="P341" s="99"/>
      <x:c r="Q341" s="99"/>
      <x:c r="R341" s="99"/>
      <x:c r="S341" s="99"/>
      <x:c r="T341" s="99"/>
      <x:c r="U341" s="99"/>
      <x:c r="V341" s="99"/>
      <x:c r="W341" s="99"/>
      <x:c r="X341" s="99"/>
      <x:c r="Y341" s="99"/>
      <x:c r="Z341" s="99"/>
    </x:row>
    <x:row r="342">
      <x:c r="A342" s="99"/>
      <x:c r="B342" s="99"/>
      <x:c r="C342" s="99"/>
      <x:c r="D342" s="99"/>
      <x:c r="E342" s="99"/>
      <x:c r="F342" s="99"/>
      <x:c r="G342" s="99"/>
      <x:c r="H342" s="99"/>
      <x:c r="I342" s="99"/>
      <x:c r="J342" s="99"/>
      <x:c r="K342" s="99"/>
      <x:c r="L342" s="99"/>
      <x:c r="M342" s="99"/>
      <x:c r="N342" s="99"/>
      <x:c r="O342" s="99"/>
      <x:c r="P342" s="99"/>
      <x:c r="Q342" s="99"/>
      <x:c r="R342" s="99"/>
      <x:c r="S342" s="99"/>
      <x:c r="T342" s="99"/>
      <x:c r="U342" s="99"/>
      <x:c r="V342" s="99"/>
      <x:c r="W342" s="99"/>
      <x:c r="X342" s="99"/>
      <x:c r="Y342" s="99"/>
      <x:c r="Z342" s="99"/>
    </x:row>
    <x:row r="343">
      <x:c r="A343" s="99"/>
      <x:c r="B343" s="99"/>
      <x:c r="C343" s="99"/>
      <x:c r="D343" s="99"/>
      <x:c r="E343" s="99"/>
      <x:c r="F343" s="99"/>
      <x:c r="G343" s="99"/>
      <x:c r="H343" s="99"/>
      <x:c r="I343" s="99"/>
      <x:c r="J343" s="99"/>
      <x:c r="K343" s="99"/>
      <x:c r="L343" s="99"/>
      <x:c r="M343" s="99"/>
      <x:c r="N343" s="99"/>
      <x:c r="O343" s="99"/>
      <x:c r="P343" s="99"/>
      <x:c r="Q343" s="99"/>
      <x:c r="R343" s="99"/>
      <x:c r="S343" s="99"/>
      <x:c r="T343" s="99"/>
      <x:c r="U343" s="99"/>
      <x:c r="V343" s="99"/>
      <x:c r="W343" s="99"/>
      <x:c r="X343" s="99"/>
      <x:c r="Y343" s="99"/>
      <x:c r="Z343" s="99"/>
    </x:row>
    <x:row r="344">
      <x:c r="A344" s="99"/>
      <x:c r="B344" s="99"/>
      <x:c r="C344" s="99"/>
      <x:c r="D344" s="99"/>
      <x:c r="E344" s="99"/>
      <x:c r="F344" s="99"/>
      <x:c r="G344" s="99"/>
      <x:c r="H344" s="99"/>
      <x:c r="I344" s="99"/>
      <x:c r="J344" s="99"/>
      <x:c r="K344" s="99"/>
      <x:c r="L344" s="99"/>
      <x:c r="M344" s="99"/>
      <x:c r="N344" s="99"/>
      <x:c r="O344" s="99"/>
      <x:c r="P344" s="99"/>
      <x:c r="Q344" s="99"/>
      <x:c r="R344" s="99"/>
      <x:c r="S344" s="99"/>
      <x:c r="T344" s="99"/>
      <x:c r="U344" s="99"/>
      <x:c r="V344" s="99"/>
      <x:c r="W344" s="99"/>
      <x:c r="X344" s="99"/>
      <x:c r="Y344" s="99"/>
      <x:c r="Z344" s="99"/>
    </x:row>
    <x:row r="345">
      <x:c r="A345" s="99"/>
      <x:c r="B345" s="99"/>
      <x:c r="C345" s="99"/>
      <x:c r="D345" s="99"/>
      <x:c r="E345" s="99"/>
      <x:c r="F345" s="99"/>
      <x:c r="G345" s="99"/>
      <x:c r="H345" s="99"/>
      <x:c r="I345" s="99"/>
      <x:c r="J345" s="99"/>
      <x:c r="K345" s="99"/>
      <x:c r="L345" s="99"/>
      <x:c r="M345" s="99"/>
      <x:c r="N345" s="99"/>
      <x:c r="O345" s="99"/>
      <x:c r="P345" s="99"/>
      <x:c r="Q345" s="99"/>
      <x:c r="R345" s="99"/>
      <x:c r="S345" s="99"/>
      <x:c r="T345" s="99"/>
      <x:c r="U345" s="99"/>
      <x:c r="V345" s="99"/>
      <x:c r="W345" s="99"/>
      <x:c r="X345" s="99"/>
      <x:c r="Y345" s="99"/>
      <x:c r="Z345" s="99"/>
    </x:row>
    <x:row r="346">
      <x:c r="A346" s="99"/>
      <x:c r="B346" s="99"/>
      <x:c r="C346" s="99"/>
      <x:c r="D346" s="99"/>
      <x:c r="E346" s="99"/>
      <x:c r="F346" s="99"/>
      <x:c r="G346" s="99"/>
      <x:c r="H346" s="99"/>
      <x:c r="I346" s="99"/>
      <x:c r="J346" s="99"/>
      <x:c r="K346" s="99"/>
      <x:c r="L346" s="99"/>
      <x:c r="M346" s="99"/>
      <x:c r="N346" s="99"/>
      <x:c r="O346" s="99"/>
      <x:c r="P346" s="99"/>
      <x:c r="Q346" s="99"/>
      <x:c r="R346" s="99"/>
      <x:c r="S346" s="99"/>
      <x:c r="T346" s="99"/>
      <x:c r="U346" s="99"/>
      <x:c r="V346" s="99"/>
      <x:c r="W346" s="99"/>
      <x:c r="X346" s="99"/>
      <x:c r="Y346" s="99"/>
      <x:c r="Z346" s="99"/>
    </x:row>
    <x:row r="347">
      <x:c r="A347" s="99"/>
      <x:c r="B347" s="99"/>
      <x:c r="C347" s="99"/>
      <x:c r="D347" s="99"/>
      <x:c r="E347" s="99"/>
      <x:c r="F347" s="99"/>
      <x:c r="G347" s="99"/>
      <x:c r="H347" s="99"/>
      <x:c r="I347" s="99"/>
      <x:c r="J347" s="99"/>
      <x:c r="K347" s="99"/>
      <x:c r="L347" s="99"/>
      <x:c r="M347" s="99"/>
      <x:c r="N347" s="99"/>
      <x:c r="O347" s="99"/>
      <x:c r="P347" s="99"/>
      <x:c r="Q347" s="99"/>
      <x:c r="R347" s="99"/>
      <x:c r="S347" s="99"/>
      <x:c r="T347" s="99"/>
      <x:c r="U347" s="99"/>
      <x:c r="V347" s="99"/>
      <x:c r="W347" s="99"/>
      <x:c r="X347" s="99"/>
      <x:c r="Y347" s="99"/>
      <x:c r="Z347" s="99"/>
    </x:row>
    <x:row r="348">
      <x:c r="A348" s="99"/>
      <x:c r="B348" s="99"/>
      <x:c r="C348" s="99"/>
      <x:c r="D348" s="99"/>
      <x:c r="E348" s="99"/>
      <x:c r="F348" s="99"/>
      <x:c r="G348" s="99"/>
      <x:c r="H348" s="99"/>
      <x:c r="I348" s="99"/>
      <x:c r="J348" s="99"/>
      <x:c r="K348" s="99"/>
      <x:c r="L348" s="99"/>
      <x:c r="M348" s="99"/>
      <x:c r="N348" s="99"/>
      <x:c r="O348" s="99"/>
      <x:c r="P348" s="99"/>
      <x:c r="Q348" s="99"/>
      <x:c r="R348" s="99"/>
      <x:c r="S348" s="99"/>
      <x:c r="T348" s="99"/>
      <x:c r="U348" s="99"/>
      <x:c r="V348" s="99"/>
      <x:c r="W348" s="99"/>
      <x:c r="X348" s="99"/>
      <x:c r="Y348" s="99"/>
      <x:c r="Z348" s="99"/>
    </x:row>
    <x:row r="349">
      <x:c r="A349" s="99"/>
      <x:c r="B349" s="99"/>
      <x:c r="C349" s="99"/>
      <x:c r="D349" s="99"/>
      <x:c r="E349" s="99"/>
      <x:c r="F349" s="99"/>
      <x:c r="G349" s="99"/>
      <x:c r="H349" s="99"/>
      <x:c r="I349" s="99"/>
      <x:c r="J349" s="99"/>
      <x:c r="K349" s="99"/>
      <x:c r="L349" s="99"/>
      <x:c r="M349" s="99"/>
      <x:c r="N349" s="99"/>
      <x:c r="O349" s="99"/>
      <x:c r="P349" s="99"/>
      <x:c r="Q349" s="99"/>
      <x:c r="R349" s="99"/>
      <x:c r="S349" s="99"/>
      <x:c r="T349" s="99"/>
      <x:c r="U349" s="99"/>
      <x:c r="V349" s="99"/>
      <x:c r="W349" s="99"/>
      <x:c r="X349" s="99"/>
      <x:c r="Y349" s="99"/>
      <x:c r="Z349" s="99"/>
    </x:row>
    <x:row r="350">
      <x:c r="A350" s="99"/>
      <x:c r="B350" s="99"/>
      <x:c r="C350" s="99"/>
      <x:c r="D350" s="99"/>
      <x:c r="E350" s="99"/>
      <x:c r="F350" s="99"/>
      <x:c r="G350" s="99"/>
      <x:c r="H350" s="99"/>
      <x:c r="I350" s="99"/>
      <x:c r="J350" s="99"/>
      <x:c r="K350" s="99"/>
      <x:c r="L350" s="99"/>
      <x:c r="M350" s="99"/>
      <x:c r="N350" s="99"/>
      <x:c r="O350" s="99"/>
      <x:c r="P350" s="99"/>
      <x:c r="Q350" s="99"/>
      <x:c r="R350" s="99"/>
      <x:c r="S350" s="99"/>
      <x:c r="T350" s="99"/>
      <x:c r="U350" s="99"/>
      <x:c r="V350" s="99"/>
      <x:c r="W350" s="99"/>
      <x:c r="X350" s="99"/>
      <x:c r="Y350" s="99"/>
      <x:c r="Z350" s="99"/>
    </x:row>
    <x:row r="351">
      <x:c r="A351" s="99"/>
      <x:c r="B351" s="99"/>
      <x:c r="C351" s="99"/>
      <x:c r="D351" s="99"/>
      <x:c r="E351" s="99"/>
      <x:c r="F351" s="99"/>
      <x:c r="G351" s="99"/>
      <x:c r="H351" s="99"/>
      <x:c r="I351" s="99"/>
      <x:c r="J351" s="99"/>
      <x:c r="K351" s="99"/>
      <x:c r="L351" s="99"/>
      <x:c r="M351" s="99"/>
      <x:c r="N351" s="99"/>
      <x:c r="O351" s="99"/>
      <x:c r="P351" s="99"/>
      <x:c r="Q351" s="99"/>
      <x:c r="R351" s="99"/>
      <x:c r="S351" s="99"/>
      <x:c r="T351" s="99"/>
      <x:c r="U351" s="99"/>
      <x:c r="V351" s="99"/>
      <x:c r="W351" s="99"/>
      <x:c r="X351" s="99"/>
      <x:c r="Y351" s="99"/>
      <x:c r="Z351" s="99"/>
    </x:row>
    <x:row r="352">
      <x:c r="A352" s="99"/>
      <x:c r="B352" s="99"/>
      <x:c r="C352" s="99"/>
      <x:c r="D352" s="99"/>
      <x:c r="E352" s="99"/>
      <x:c r="F352" s="99"/>
      <x:c r="G352" s="99"/>
      <x:c r="H352" s="99"/>
      <x:c r="I352" s="99"/>
      <x:c r="J352" s="99"/>
      <x:c r="K352" s="99"/>
      <x:c r="L352" s="99"/>
      <x:c r="M352" s="99"/>
      <x:c r="N352" s="99"/>
      <x:c r="O352" s="99"/>
      <x:c r="P352" s="99"/>
      <x:c r="Q352" s="99"/>
      <x:c r="R352" s="99"/>
      <x:c r="S352" s="99"/>
      <x:c r="T352" s="99"/>
      <x:c r="U352" s="99"/>
      <x:c r="V352" s="99"/>
      <x:c r="W352" s="99"/>
      <x:c r="X352" s="99"/>
      <x:c r="Y352" s="99"/>
      <x:c r="Z352" s="99"/>
    </x:row>
    <x:row r="353">
      <x:c r="A353" s="99"/>
      <x:c r="B353" s="99"/>
      <x:c r="C353" s="99"/>
      <x:c r="D353" s="99"/>
      <x:c r="E353" s="99"/>
      <x:c r="F353" s="99"/>
      <x:c r="G353" s="99"/>
      <x:c r="H353" s="99"/>
      <x:c r="I353" s="99"/>
      <x:c r="J353" s="99"/>
      <x:c r="K353" s="99"/>
      <x:c r="L353" s="99"/>
      <x:c r="M353" s="99"/>
      <x:c r="N353" s="99"/>
      <x:c r="O353" s="99"/>
      <x:c r="P353" s="99"/>
      <x:c r="Q353" s="99"/>
      <x:c r="R353" s="99"/>
      <x:c r="S353" s="99"/>
      <x:c r="T353" s="99"/>
      <x:c r="U353" s="99"/>
      <x:c r="V353" s="99"/>
      <x:c r="W353" s="99"/>
      <x:c r="X353" s="99"/>
      <x:c r="Y353" s="99"/>
      <x:c r="Z353" s="99"/>
    </x:row>
    <x:row r="354">
      <x:c r="A354" s="99"/>
      <x:c r="B354" s="99"/>
      <x:c r="C354" s="99"/>
      <x:c r="D354" s="99"/>
      <x:c r="E354" s="99"/>
      <x:c r="F354" s="99"/>
      <x:c r="G354" s="99"/>
      <x:c r="H354" s="99"/>
      <x:c r="I354" s="99"/>
      <x:c r="J354" s="99"/>
      <x:c r="K354" s="99"/>
      <x:c r="L354" s="99"/>
      <x:c r="M354" s="99"/>
      <x:c r="N354" s="99"/>
      <x:c r="O354" s="99"/>
      <x:c r="P354" s="99"/>
      <x:c r="Q354" s="99"/>
      <x:c r="R354" s="99"/>
      <x:c r="S354" s="99"/>
      <x:c r="T354" s="99"/>
      <x:c r="U354" s="99"/>
      <x:c r="V354" s="99"/>
      <x:c r="W354" s="99"/>
      <x:c r="X354" s="99"/>
      <x:c r="Y354" s="99"/>
      <x:c r="Z354" s="99"/>
    </x:row>
    <x:row r="355">
      <x:c r="A355" s="99"/>
      <x:c r="B355" s="99"/>
      <x:c r="C355" s="99"/>
      <x:c r="D355" s="99"/>
      <x:c r="E355" s="99"/>
      <x:c r="F355" s="99"/>
      <x:c r="G355" s="99"/>
      <x:c r="H355" s="99"/>
      <x:c r="I355" s="99"/>
      <x:c r="J355" s="99"/>
      <x:c r="K355" s="99"/>
      <x:c r="L355" s="99"/>
      <x:c r="M355" s="99"/>
      <x:c r="N355" s="99"/>
      <x:c r="O355" s="99"/>
      <x:c r="P355" s="99"/>
      <x:c r="Q355" s="99"/>
      <x:c r="R355" s="99"/>
      <x:c r="S355" s="99"/>
      <x:c r="T355" s="99"/>
      <x:c r="U355" s="99"/>
      <x:c r="V355" s="99"/>
      <x:c r="W355" s="99"/>
      <x:c r="X355" s="99"/>
      <x:c r="Y355" s="99"/>
      <x:c r="Z355" s="99"/>
    </x:row>
    <x:row r="356">
      <x:c r="A356" s="99"/>
      <x:c r="B356" s="99"/>
      <x:c r="C356" s="99"/>
      <x:c r="D356" s="99"/>
      <x:c r="E356" s="99"/>
      <x:c r="F356" s="99"/>
      <x:c r="G356" s="99"/>
      <x:c r="H356" s="99"/>
      <x:c r="I356" s="99"/>
      <x:c r="J356" s="99"/>
      <x:c r="K356" s="99"/>
      <x:c r="L356" s="99"/>
      <x:c r="M356" s="99"/>
      <x:c r="N356" s="99"/>
      <x:c r="O356" s="99"/>
      <x:c r="P356" s="99"/>
      <x:c r="Q356" s="99"/>
      <x:c r="R356" s="99"/>
      <x:c r="S356" s="99"/>
      <x:c r="T356" s="99"/>
      <x:c r="U356" s="99"/>
      <x:c r="V356" s="99"/>
      <x:c r="W356" s="99"/>
      <x:c r="X356" s="99"/>
      <x:c r="Y356" s="99"/>
      <x:c r="Z356" s="99"/>
    </x:row>
    <x:row r="357">
      <x:c r="A357" s="99"/>
      <x:c r="B357" s="99"/>
      <x:c r="C357" s="99"/>
      <x:c r="D357" s="99"/>
      <x:c r="E357" s="99"/>
      <x:c r="F357" s="99"/>
      <x:c r="G357" s="99"/>
      <x:c r="H357" s="99"/>
      <x:c r="I357" s="99"/>
      <x:c r="J357" s="99"/>
      <x:c r="K357" s="99"/>
      <x:c r="L357" s="99"/>
      <x:c r="M357" s="99"/>
      <x:c r="N357" s="99"/>
      <x:c r="O357" s="99"/>
      <x:c r="P357" s="99"/>
      <x:c r="Q357" s="99"/>
      <x:c r="R357" s="99"/>
      <x:c r="S357" s="99"/>
      <x:c r="T357" s="99"/>
      <x:c r="U357" s="99"/>
      <x:c r="V357" s="99"/>
      <x:c r="W357" s="99"/>
      <x:c r="X357" s="99"/>
      <x:c r="Y357" s="99"/>
      <x:c r="Z357" s="99"/>
    </x:row>
    <x:row r="358">
      <x:c r="A358" s="99"/>
      <x:c r="B358" s="99"/>
      <x:c r="C358" s="99"/>
      <x:c r="D358" s="99"/>
      <x:c r="E358" s="99"/>
      <x:c r="F358" s="99"/>
      <x:c r="G358" s="99"/>
      <x:c r="H358" s="99"/>
      <x:c r="I358" s="99"/>
      <x:c r="J358" s="99"/>
      <x:c r="K358" s="99"/>
      <x:c r="L358" s="99"/>
      <x:c r="M358" s="99"/>
      <x:c r="N358" s="99"/>
      <x:c r="O358" s="99"/>
      <x:c r="P358" s="99"/>
      <x:c r="Q358" s="99"/>
      <x:c r="R358" s="99"/>
      <x:c r="S358" s="99"/>
      <x:c r="T358" s="99"/>
      <x:c r="U358" s="99"/>
      <x:c r="V358" s="99"/>
      <x:c r="W358" s="99"/>
      <x:c r="X358" s="99"/>
      <x:c r="Y358" s="99"/>
      <x:c r="Z358" s="99"/>
    </x:row>
    <x:row r="359">
      <x:c r="A359" s="99"/>
      <x:c r="B359" s="99"/>
      <x:c r="C359" s="99"/>
      <x:c r="D359" s="99"/>
      <x:c r="E359" s="99"/>
      <x:c r="F359" s="99"/>
      <x:c r="G359" s="99"/>
      <x:c r="H359" s="99"/>
      <x:c r="I359" s="99"/>
      <x:c r="J359" s="99"/>
      <x:c r="K359" s="99"/>
      <x:c r="L359" s="99"/>
      <x:c r="M359" s="99"/>
      <x:c r="N359" s="99"/>
      <x:c r="O359" s="99"/>
      <x:c r="P359" s="99"/>
      <x:c r="Q359" s="99"/>
      <x:c r="R359" s="99"/>
      <x:c r="S359" s="99"/>
      <x:c r="T359" s="99"/>
      <x:c r="U359" s="99"/>
      <x:c r="V359" s="99"/>
      <x:c r="W359" s="99"/>
      <x:c r="X359" s="99"/>
      <x:c r="Y359" s="99"/>
      <x:c r="Z359" s="99"/>
    </x:row>
    <x:row r="360">
      <x:c r="A360" s="99"/>
      <x:c r="B360" s="99"/>
      <x:c r="C360" s="99"/>
      <x:c r="D360" s="99"/>
      <x:c r="E360" s="99"/>
      <x:c r="F360" s="99"/>
      <x:c r="G360" s="99"/>
      <x:c r="H360" s="99"/>
      <x:c r="I360" s="99"/>
      <x:c r="J360" s="99"/>
      <x:c r="K360" s="99"/>
      <x:c r="L360" s="99"/>
      <x:c r="M360" s="99"/>
      <x:c r="N360" s="99"/>
      <x:c r="O360" s="99"/>
      <x:c r="P360" s="99"/>
      <x:c r="Q360" s="99"/>
      <x:c r="R360" s="99"/>
      <x:c r="S360" s="99"/>
      <x:c r="T360" s="99"/>
      <x:c r="U360" s="99"/>
      <x:c r="V360" s="99"/>
      <x:c r="W360" s="99"/>
      <x:c r="X360" s="99"/>
      <x:c r="Y360" s="99"/>
      <x:c r="Z360" s="99"/>
    </x:row>
    <x:row r="361">
      <x:c r="A361" s="99"/>
      <x:c r="B361" s="99"/>
      <x:c r="C361" s="99"/>
      <x:c r="D361" s="99"/>
      <x:c r="E361" s="99"/>
      <x:c r="F361" s="99"/>
      <x:c r="G361" s="99"/>
      <x:c r="H361" s="99"/>
      <x:c r="I361" s="99"/>
      <x:c r="J361" s="99"/>
      <x:c r="K361" s="99"/>
      <x:c r="L361" s="99"/>
      <x:c r="M361" s="99"/>
      <x:c r="N361" s="99"/>
      <x:c r="O361" s="99"/>
      <x:c r="P361" s="99"/>
      <x:c r="Q361" s="99"/>
      <x:c r="R361" s="99"/>
      <x:c r="S361" s="99"/>
      <x:c r="T361" s="99"/>
      <x:c r="U361" s="99"/>
      <x:c r="V361" s="99"/>
      <x:c r="W361" s="99"/>
      <x:c r="X361" s="99"/>
      <x:c r="Y361" s="99"/>
      <x:c r="Z361" s="99"/>
    </x:row>
    <x:row r="362">
      <x:c r="A362" s="99"/>
      <x:c r="B362" s="99"/>
      <x:c r="C362" s="99"/>
      <x:c r="D362" s="99"/>
      <x:c r="E362" s="99"/>
      <x:c r="F362" s="99"/>
      <x:c r="G362" s="99"/>
      <x:c r="H362" s="99"/>
      <x:c r="I362" s="99"/>
      <x:c r="J362" s="99"/>
      <x:c r="K362" s="99"/>
      <x:c r="L362" s="99"/>
      <x:c r="M362" s="99"/>
      <x:c r="N362" s="99"/>
      <x:c r="O362" s="99"/>
      <x:c r="P362" s="99"/>
      <x:c r="Q362" s="99"/>
      <x:c r="R362" s="99"/>
      <x:c r="S362" s="99"/>
      <x:c r="T362" s="99"/>
      <x:c r="U362" s="99"/>
      <x:c r="V362" s="99"/>
      <x:c r="W362" s="99"/>
      <x:c r="X362" s="99"/>
      <x:c r="Y362" s="99"/>
      <x:c r="Z362" s="99"/>
    </x:row>
    <x:row r="363">
      <x:c r="A363" s="99"/>
      <x:c r="B363" s="99"/>
      <x:c r="C363" s="99"/>
      <x:c r="D363" s="99"/>
      <x:c r="E363" s="99"/>
      <x:c r="F363" s="99"/>
      <x:c r="G363" s="99"/>
      <x:c r="H363" s="99"/>
      <x:c r="I363" s="99"/>
      <x:c r="J363" s="99"/>
      <x:c r="K363" s="99"/>
      <x:c r="L363" s="99"/>
      <x:c r="M363" s="99"/>
      <x:c r="N363" s="99"/>
      <x:c r="O363" s="99"/>
      <x:c r="P363" s="99"/>
      <x:c r="Q363" s="99"/>
      <x:c r="R363" s="99"/>
      <x:c r="S363" s="99"/>
      <x:c r="T363" s="99"/>
      <x:c r="U363" s="99"/>
      <x:c r="V363" s="99"/>
      <x:c r="W363" s="99"/>
      <x:c r="X363" s="99"/>
      <x:c r="Y363" s="99"/>
      <x:c r="Z363" s="99"/>
    </x:row>
    <x:row r="364">
      <x:c r="A364" s="99"/>
      <x:c r="B364" s="99"/>
      <x:c r="C364" s="99"/>
      <x:c r="D364" s="99"/>
      <x:c r="E364" s="99"/>
      <x:c r="F364" s="99"/>
      <x:c r="G364" s="99"/>
      <x:c r="H364" s="99"/>
      <x:c r="I364" s="99"/>
      <x:c r="J364" s="99"/>
      <x:c r="K364" s="99"/>
      <x:c r="L364" s="99"/>
      <x:c r="M364" s="99"/>
      <x:c r="N364" s="99"/>
      <x:c r="O364" s="99"/>
      <x:c r="P364" s="99"/>
      <x:c r="Q364" s="99"/>
      <x:c r="R364" s="99"/>
      <x:c r="S364" s="99"/>
      <x:c r="T364" s="99"/>
      <x:c r="U364" s="99"/>
      <x:c r="V364" s="99"/>
      <x:c r="W364" s="99"/>
      <x:c r="X364" s="99"/>
      <x:c r="Y364" s="99"/>
      <x:c r="Z364" s="99"/>
    </x:row>
    <x:row r="365">
      <x:c r="A365" s="99"/>
      <x:c r="B365" s="99"/>
      <x:c r="C365" s="99"/>
      <x:c r="D365" s="99"/>
      <x:c r="E365" s="99"/>
      <x:c r="F365" s="99"/>
      <x:c r="G365" s="99"/>
      <x:c r="H365" s="99"/>
      <x:c r="I365" s="99"/>
      <x:c r="J365" s="99"/>
      <x:c r="K365" s="99"/>
      <x:c r="L365" s="99"/>
      <x:c r="M365" s="99"/>
      <x:c r="N365" s="99"/>
      <x:c r="O365" s="99"/>
      <x:c r="P365" s="99"/>
      <x:c r="Q365" s="99"/>
      <x:c r="R365" s="99"/>
      <x:c r="S365" s="99"/>
      <x:c r="T365" s="99"/>
      <x:c r="U365" s="99"/>
      <x:c r="V365" s="99"/>
      <x:c r="W365" s="99"/>
      <x:c r="X365" s="99"/>
      <x:c r="Y365" s="99"/>
      <x:c r="Z365" s="99"/>
    </x:row>
    <x:row r="366">
      <x:c r="A366" s="99"/>
      <x:c r="B366" s="99"/>
      <x:c r="C366" s="99"/>
      <x:c r="D366" s="99"/>
      <x:c r="E366" s="99"/>
      <x:c r="F366" s="99"/>
      <x:c r="G366" s="99"/>
      <x:c r="H366" s="99"/>
      <x:c r="I366" s="99"/>
      <x:c r="J366" s="99"/>
      <x:c r="K366" s="99"/>
      <x:c r="L366" s="99"/>
      <x:c r="M366" s="99"/>
      <x:c r="N366" s="99"/>
      <x:c r="O366" s="99"/>
      <x:c r="P366" s="99"/>
      <x:c r="Q366" s="99"/>
      <x:c r="R366" s="99"/>
      <x:c r="S366" s="99"/>
      <x:c r="T366" s="99"/>
      <x:c r="U366" s="99"/>
      <x:c r="V366" s="99"/>
      <x:c r="W366" s="99"/>
      <x:c r="X366" s="99"/>
      <x:c r="Y366" s="99"/>
      <x:c r="Z366" s="99"/>
    </x:row>
    <x:row r="367">
      <x:c r="A367" s="99"/>
      <x:c r="B367" s="99"/>
      <x:c r="C367" s="99"/>
      <x:c r="D367" s="99"/>
      <x:c r="E367" s="99"/>
      <x:c r="F367" s="99"/>
      <x:c r="G367" s="99"/>
      <x:c r="H367" s="99"/>
      <x:c r="I367" s="99"/>
      <x:c r="J367" s="99"/>
      <x:c r="K367" s="99"/>
      <x:c r="L367" s="99"/>
      <x:c r="M367" s="99"/>
      <x:c r="N367" s="99"/>
      <x:c r="O367" s="99"/>
      <x:c r="P367" s="99"/>
      <x:c r="Q367" s="99"/>
      <x:c r="R367" s="99"/>
      <x:c r="S367" s="99"/>
      <x:c r="T367" s="99"/>
      <x:c r="U367" s="99"/>
      <x:c r="V367" s="99"/>
      <x:c r="W367" s="99"/>
      <x:c r="X367" s="99"/>
      <x:c r="Y367" s="99"/>
      <x:c r="Z367" s="99"/>
    </x:row>
    <x:row r="368">
      <x:c r="A368" s="99"/>
      <x:c r="B368" s="99"/>
      <x:c r="C368" s="99"/>
      <x:c r="D368" s="99"/>
      <x:c r="E368" s="99"/>
      <x:c r="F368" s="99"/>
      <x:c r="G368" s="99"/>
      <x:c r="H368" s="99"/>
      <x:c r="I368" s="99"/>
      <x:c r="J368" s="99"/>
      <x:c r="K368" s="99"/>
      <x:c r="L368" s="99"/>
      <x:c r="M368" s="99"/>
      <x:c r="N368" s="99"/>
      <x:c r="O368" s="99"/>
      <x:c r="P368" s="99"/>
      <x:c r="Q368" s="99"/>
      <x:c r="R368" s="99"/>
      <x:c r="S368" s="99"/>
      <x:c r="T368" s="99"/>
      <x:c r="U368" s="99"/>
      <x:c r="V368" s="99"/>
      <x:c r="W368" s="99"/>
      <x:c r="X368" s="99"/>
      <x:c r="Y368" s="99"/>
      <x:c r="Z368" s="99"/>
    </x:row>
    <x:row r="369">
      <x:c r="A369" s="99"/>
      <x:c r="B369" s="99"/>
      <x:c r="C369" s="99"/>
      <x:c r="D369" s="99"/>
      <x:c r="E369" s="99"/>
      <x:c r="F369" s="99"/>
      <x:c r="G369" s="99"/>
      <x:c r="H369" s="99"/>
      <x:c r="I369" s="99"/>
      <x:c r="J369" s="99"/>
      <x:c r="K369" s="99"/>
      <x:c r="L369" s="99"/>
      <x:c r="M369" s="99"/>
      <x:c r="N369" s="99"/>
      <x:c r="O369" s="99"/>
      <x:c r="P369" s="99"/>
      <x:c r="Q369" s="99"/>
      <x:c r="R369" s="99"/>
      <x:c r="S369" s="99"/>
      <x:c r="T369" s="99"/>
      <x:c r="U369" s="99"/>
      <x:c r="V369" s="99"/>
      <x:c r="W369" s="99"/>
      <x:c r="X369" s="99"/>
      <x:c r="Y369" s="99"/>
      <x:c r="Z369" s="99"/>
    </x:row>
    <x:row r="370">
      <x:c r="A370" s="99"/>
      <x:c r="B370" s="99"/>
      <x:c r="C370" s="99"/>
      <x:c r="D370" s="99"/>
      <x:c r="E370" s="99"/>
      <x:c r="F370" s="99"/>
      <x:c r="G370" s="99"/>
      <x:c r="H370" s="99"/>
      <x:c r="I370" s="99"/>
      <x:c r="J370" s="99"/>
      <x:c r="K370" s="99"/>
      <x:c r="L370" s="99"/>
      <x:c r="M370" s="99"/>
      <x:c r="N370" s="99"/>
      <x:c r="O370" s="99"/>
      <x:c r="P370" s="99"/>
      <x:c r="Q370" s="99"/>
      <x:c r="R370" s="99"/>
      <x:c r="S370" s="99"/>
      <x:c r="T370" s="99"/>
      <x:c r="U370" s="99"/>
      <x:c r="V370" s="99"/>
      <x:c r="W370" s="99"/>
      <x:c r="X370" s="99"/>
      <x:c r="Y370" s="99"/>
      <x:c r="Z370" s="99"/>
    </x:row>
    <x:row r="371">
      <x:c r="A371" s="99"/>
      <x:c r="B371" s="99"/>
      <x:c r="C371" s="99"/>
      <x:c r="D371" s="99"/>
      <x:c r="E371" s="99"/>
      <x:c r="F371" s="99"/>
      <x:c r="G371" s="99"/>
      <x:c r="H371" s="99"/>
      <x:c r="I371" s="99"/>
      <x:c r="J371" s="99"/>
      <x:c r="K371" s="99"/>
      <x:c r="L371" s="99"/>
      <x:c r="M371" s="99"/>
      <x:c r="N371" s="99"/>
      <x:c r="O371" s="99"/>
      <x:c r="P371" s="99"/>
      <x:c r="Q371" s="99"/>
      <x:c r="R371" s="99"/>
      <x:c r="S371" s="99"/>
      <x:c r="T371" s="99"/>
      <x:c r="U371" s="99"/>
      <x:c r="V371" s="99"/>
      <x:c r="W371" s="99"/>
      <x:c r="X371" s="99"/>
      <x:c r="Y371" s="99"/>
      <x:c r="Z371" s="99"/>
    </x:row>
    <x:row r="372">
      <x:c r="A372" s="99"/>
      <x:c r="B372" s="99"/>
      <x:c r="C372" s="99"/>
      <x:c r="D372" s="99"/>
      <x:c r="E372" s="99"/>
      <x:c r="F372" s="99"/>
      <x:c r="G372" s="99"/>
      <x:c r="H372" s="99"/>
      <x:c r="I372" s="99"/>
      <x:c r="J372" s="99"/>
      <x:c r="K372" s="99"/>
      <x:c r="L372" s="99"/>
      <x:c r="M372" s="99"/>
      <x:c r="N372" s="99"/>
      <x:c r="O372" s="99"/>
      <x:c r="P372" s="99"/>
      <x:c r="Q372" s="99"/>
      <x:c r="R372" s="99"/>
      <x:c r="S372" s="99"/>
      <x:c r="T372" s="99"/>
      <x:c r="U372" s="99"/>
      <x:c r="V372" s="99"/>
      <x:c r="W372" s="99"/>
      <x:c r="X372" s="99"/>
      <x:c r="Y372" s="99"/>
      <x:c r="Z372" s="99"/>
    </x:row>
    <x:row r="373">
      <x:c r="A373" s="99"/>
      <x:c r="B373" s="99"/>
      <x:c r="C373" s="99"/>
      <x:c r="D373" s="99"/>
      <x:c r="E373" s="99"/>
      <x:c r="F373" s="99"/>
      <x:c r="G373" s="99"/>
      <x:c r="H373" s="99"/>
      <x:c r="I373" s="99"/>
      <x:c r="J373" s="99"/>
      <x:c r="K373" s="99"/>
      <x:c r="L373" s="99"/>
      <x:c r="M373" s="99"/>
      <x:c r="N373" s="99"/>
      <x:c r="O373" s="99"/>
      <x:c r="P373" s="99"/>
      <x:c r="Q373" s="99"/>
      <x:c r="R373" s="99"/>
      <x:c r="S373" s="99"/>
      <x:c r="T373" s="99"/>
      <x:c r="U373" s="99"/>
      <x:c r="V373" s="99"/>
      <x:c r="W373" s="99"/>
      <x:c r="X373" s="99"/>
      <x:c r="Y373" s="99"/>
      <x:c r="Z373" s="99"/>
    </x:row>
    <x:row r="374">
      <x:c r="A374" s="99"/>
      <x:c r="B374" s="99"/>
      <x:c r="C374" s="99"/>
      <x:c r="D374" s="99"/>
      <x:c r="E374" s="99"/>
      <x:c r="F374" s="99"/>
      <x:c r="G374" s="99"/>
      <x:c r="H374" s="99"/>
      <x:c r="I374" s="99"/>
      <x:c r="J374" s="99"/>
      <x:c r="K374" s="99"/>
      <x:c r="L374" s="99"/>
      <x:c r="M374" s="99"/>
      <x:c r="N374" s="99"/>
      <x:c r="O374" s="99"/>
      <x:c r="P374" s="99"/>
      <x:c r="Q374" s="99"/>
      <x:c r="R374" s="99"/>
      <x:c r="S374" s="99"/>
      <x:c r="T374" s="99"/>
      <x:c r="U374" s="99"/>
      <x:c r="V374" s="99"/>
      <x:c r="W374" s="99"/>
      <x:c r="X374" s="99"/>
      <x:c r="Y374" s="99"/>
      <x:c r="Z374" s="99"/>
    </x:row>
    <x:row r="375">
      <x:c r="A375" s="99"/>
      <x:c r="B375" s="99"/>
      <x:c r="C375" s="99"/>
      <x:c r="D375" s="99"/>
      <x:c r="E375" s="99"/>
      <x:c r="F375" s="99"/>
      <x:c r="G375" s="99"/>
      <x:c r="H375" s="99"/>
      <x:c r="I375" s="99"/>
      <x:c r="J375" s="99"/>
      <x:c r="K375" s="99"/>
      <x:c r="L375" s="99"/>
      <x:c r="M375" s="99"/>
      <x:c r="N375" s="99"/>
      <x:c r="O375" s="99"/>
      <x:c r="P375" s="99"/>
      <x:c r="Q375" s="99"/>
      <x:c r="R375" s="99"/>
      <x:c r="S375" s="99"/>
      <x:c r="T375" s="99"/>
      <x:c r="U375" s="99"/>
      <x:c r="V375" s="99"/>
      <x:c r="W375" s="99"/>
      <x:c r="X375" s="99"/>
      <x:c r="Y375" s="99"/>
      <x:c r="Z375" s="99"/>
    </x:row>
    <x:row r="376">
      <x:c r="A376" s="99"/>
      <x:c r="B376" s="99"/>
      <x:c r="C376" s="99"/>
      <x:c r="D376" s="99"/>
      <x:c r="E376" s="99"/>
      <x:c r="F376" s="99"/>
      <x:c r="G376" s="99"/>
      <x:c r="H376" s="99"/>
      <x:c r="I376" s="99"/>
      <x:c r="J376" s="99"/>
      <x:c r="K376" s="99"/>
      <x:c r="L376" s="99"/>
      <x:c r="M376" s="99"/>
      <x:c r="N376" s="99"/>
      <x:c r="O376" s="99"/>
      <x:c r="P376" s="99"/>
      <x:c r="Q376" s="99"/>
      <x:c r="R376" s="99"/>
      <x:c r="S376" s="99"/>
      <x:c r="T376" s="99"/>
      <x:c r="U376" s="99"/>
      <x:c r="V376" s="99"/>
      <x:c r="W376" s="99"/>
      <x:c r="X376" s="99"/>
      <x:c r="Y376" s="99"/>
      <x:c r="Z376" s="99"/>
    </x:row>
    <x:row r="377">
      <x:c r="A377" s="99"/>
      <x:c r="B377" s="99"/>
      <x:c r="C377" s="99"/>
      <x:c r="D377" s="99"/>
      <x:c r="E377" s="99"/>
      <x:c r="F377" s="99"/>
      <x:c r="G377" s="99"/>
      <x:c r="H377" s="99"/>
      <x:c r="I377" s="99"/>
      <x:c r="J377" s="99"/>
      <x:c r="K377" s="99"/>
      <x:c r="L377" s="99"/>
      <x:c r="M377" s="99"/>
      <x:c r="N377" s="99"/>
      <x:c r="O377" s="99"/>
      <x:c r="P377" s="99"/>
      <x:c r="Q377" s="99"/>
      <x:c r="R377" s="99"/>
      <x:c r="S377" s="99"/>
      <x:c r="T377" s="99"/>
      <x:c r="U377" s="99"/>
      <x:c r="V377" s="99"/>
      <x:c r="W377" s="99"/>
      <x:c r="X377" s="99"/>
      <x:c r="Y377" s="99"/>
      <x:c r="Z377" s="99"/>
    </x:row>
    <x:row r="378">
      <x:c r="A378" s="99"/>
      <x:c r="B378" s="99"/>
      <x:c r="C378" s="99"/>
      <x:c r="D378" s="99"/>
      <x:c r="E378" s="99"/>
      <x:c r="F378" s="99"/>
      <x:c r="G378" s="99"/>
      <x:c r="H378" s="99"/>
      <x:c r="I378" s="99"/>
      <x:c r="J378" s="99"/>
      <x:c r="K378" s="99"/>
      <x:c r="L378" s="99"/>
      <x:c r="M378" s="99"/>
      <x:c r="N378" s="99"/>
      <x:c r="O378" s="99"/>
      <x:c r="P378" s="99"/>
      <x:c r="Q378" s="99"/>
      <x:c r="R378" s="99"/>
      <x:c r="S378" s="99"/>
      <x:c r="T378" s="99"/>
      <x:c r="U378" s="99"/>
      <x:c r="V378" s="99"/>
      <x:c r="W378" s="99"/>
      <x:c r="X378" s="99"/>
      <x:c r="Y378" s="99"/>
      <x:c r="Z378" s="99"/>
    </x:row>
    <x:row r="379">
      <x:c r="A379" s="99"/>
      <x:c r="B379" s="99"/>
      <x:c r="C379" s="99"/>
      <x:c r="D379" s="99"/>
      <x:c r="E379" s="99"/>
      <x:c r="F379" s="99"/>
      <x:c r="G379" s="99"/>
      <x:c r="H379" s="99"/>
      <x:c r="I379" s="99"/>
      <x:c r="J379" s="99"/>
      <x:c r="K379" s="99"/>
      <x:c r="L379" s="99"/>
      <x:c r="M379" s="99"/>
      <x:c r="N379" s="99"/>
      <x:c r="O379" s="99"/>
      <x:c r="P379" s="99"/>
      <x:c r="Q379" s="99"/>
      <x:c r="R379" s="99"/>
      <x:c r="S379" s="99"/>
      <x:c r="T379" s="99"/>
      <x:c r="U379" s="99"/>
      <x:c r="V379" s="99"/>
      <x:c r="W379" s="99"/>
      <x:c r="X379" s="99"/>
      <x:c r="Y379" s="99"/>
      <x:c r="Z379" s="99"/>
    </x:row>
    <x:row r="380">
      <x:c r="A380" s="99"/>
      <x:c r="B380" s="99"/>
      <x:c r="C380" s="99"/>
      <x:c r="D380" s="99"/>
      <x:c r="E380" s="99"/>
      <x:c r="F380" s="99"/>
      <x:c r="G380" s="99"/>
      <x:c r="H380" s="99"/>
      <x:c r="I380" s="99"/>
      <x:c r="J380" s="99"/>
      <x:c r="K380" s="99"/>
      <x:c r="L380" s="99"/>
      <x:c r="M380" s="99"/>
      <x:c r="N380" s="99"/>
      <x:c r="O380" s="99"/>
      <x:c r="P380" s="99"/>
      <x:c r="Q380" s="99"/>
      <x:c r="R380" s="99"/>
      <x:c r="S380" s="99"/>
      <x:c r="T380" s="99"/>
      <x:c r="U380" s="99"/>
      <x:c r="V380" s="99"/>
      <x:c r="W380" s="99"/>
      <x:c r="X380" s="99"/>
      <x:c r="Y380" s="99"/>
      <x:c r="Z380" s="99"/>
    </x:row>
    <x:row r="381">
      <x:c r="A381" s="99"/>
      <x:c r="B381" s="99"/>
      <x:c r="C381" s="99"/>
      <x:c r="D381" s="99"/>
      <x:c r="E381" s="99"/>
      <x:c r="F381" s="99"/>
      <x:c r="G381" s="99"/>
      <x:c r="H381" s="99"/>
      <x:c r="I381" s="99"/>
      <x:c r="J381" s="99"/>
      <x:c r="K381" s="99"/>
      <x:c r="L381" s="99"/>
      <x:c r="M381" s="99"/>
      <x:c r="N381" s="99"/>
      <x:c r="O381" s="99"/>
      <x:c r="P381" s="99"/>
      <x:c r="Q381" s="99"/>
      <x:c r="R381" s="99"/>
      <x:c r="S381" s="99"/>
      <x:c r="T381" s="99"/>
      <x:c r="U381" s="99"/>
      <x:c r="V381" s="99"/>
      <x:c r="W381" s="99"/>
      <x:c r="X381" s="99"/>
      <x:c r="Y381" s="99"/>
      <x:c r="Z381" s="99"/>
    </x:row>
    <x:row r="382">
      <x:c r="A382" s="99"/>
      <x:c r="B382" s="99"/>
      <x:c r="C382" s="99"/>
      <x:c r="D382" s="99"/>
      <x:c r="E382" s="99"/>
      <x:c r="F382" s="99"/>
      <x:c r="G382" s="99"/>
      <x:c r="H382" s="99"/>
      <x:c r="I382" s="99"/>
      <x:c r="J382" s="99"/>
      <x:c r="K382" s="99"/>
      <x:c r="L382" s="99"/>
      <x:c r="M382" s="99"/>
      <x:c r="N382" s="99"/>
      <x:c r="O382" s="99"/>
      <x:c r="P382" s="99"/>
      <x:c r="Q382" s="99"/>
      <x:c r="R382" s="99"/>
      <x:c r="S382" s="99"/>
      <x:c r="T382" s="99"/>
      <x:c r="U382" s="99"/>
      <x:c r="V382" s="99"/>
      <x:c r="W382" s="99"/>
      <x:c r="X382" s="99"/>
      <x:c r="Y382" s="99"/>
      <x:c r="Z382" s="99"/>
    </x:row>
    <x:row r="383">
      <x:c r="A383" s="99"/>
      <x:c r="B383" s="99"/>
      <x:c r="C383" s="99"/>
      <x:c r="D383" s="99"/>
      <x:c r="E383" s="99"/>
      <x:c r="F383" s="99"/>
      <x:c r="G383" s="99"/>
      <x:c r="H383" s="99"/>
      <x:c r="I383" s="99"/>
      <x:c r="J383" s="99"/>
      <x:c r="K383" s="99"/>
      <x:c r="L383" s="99"/>
      <x:c r="M383" s="99"/>
      <x:c r="N383" s="99"/>
      <x:c r="O383" s="99"/>
      <x:c r="P383" s="99"/>
      <x:c r="Q383" s="99"/>
      <x:c r="R383" s="99"/>
      <x:c r="S383" s="99"/>
      <x:c r="T383" s="99"/>
      <x:c r="U383" s="99"/>
      <x:c r="V383" s="99"/>
      <x:c r="W383" s="99"/>
      <x:c r="X383" s="99"/>
      <x:c r="Y383" s="99"/>
      <x:c r="Z383" s="99"/>
    </x:row>
    <x:row r="384">
      <x:c r="A384" s="99"/>
      <x:c r="B384" s="99"/>
      <x:c r="C384" s="99"/>
      <x:c r="D384" s="99"/>
      <x:c r="E384" s="99"/>
      <x:c r="F384" s="99"/>
      <x:c r="G384" s="99"/>
      <x:c r="H384" s="99"/>
      <x:c r="I384" s="99"/>
      <x:c r="J384" s="99"/>
      <x:c r="K384" s="99"/>
      <x:c r="L384" s="99"/>
      <x:c r="M384" s="99"/>
      <x:c r="N384" s="99"/>
      <x:c r="O384" s="99"/>
      <x:c r="P384" s="99"/>
      <x:c r="Q384" s="99"/>
      <x:c r="R384" s="99"/>
      <x:c r="S384" s="99"/>
      <x:c r="T384" s="99"/>
      <x:c r="U384" s="99"/>
      <x:c r="V384" s="99"/>
      <x:c r="W384" s="99"/>
      <x:c r="X384" s="99"/>
      <x:c r="Y384" s="99"/>
      <x:c r="Z384" s="99"/>
    </x:row>
    <x:row r="385">
      <x:c r="A385" s="99"/>
      <x:c r="B385" s="99"/>
      <x:c r="C385" s="99"/>
      <x:c r="D385" s="99"/>
      <x:c r="E385" s="99"/>
      <x:c r="F385" s="99"/>
      <x:c r="G385" s="99"/>
      <x:c r="H385" s="99"/>
      <x:c r="I385" s="99"/>
      <x:c r="J385" s="99"/>
      <x:c r="K385" s="99"/>
      <x:c r="L385" s="99"/>
      <x:c r="M385" s="99"/>
      <x:c r="N385" s="99"/>
      <x:c r="O385" s="99"/>
      <x:c r="P385" s="99"/>
      <x:c r="Q385" s="99"/>
      <x:c r="R385" s="99"/>
      <x:c r="S385" s="99"/>
      <x:c r="T385" s="99"/>
      <x:c r="U385" s="99"/>
      <x:c r="V385" s="99"/>
      <x:c r="W385" s="99"/>
      <x:c r="X385" s="99"/>
      <x:c r="Y385" s="99"/>
      <x:c r="Z385" s="99"/>
    </x:row>
    <x:row r="386">
      <x:c r="A386" s="99"/>
      <x:c r="B386" s="99"/>
      <x:c r="C386" s="99"/>
      <x:c r="D386" s="99"/>
      <x:c r="E386" s="99"/>
      <x:c r="F386" s="99"/>
      <x:c r="G386" s="99"/>
      <x:c r="H386" s="99"/>
      <x:c r="I386" s="99"/>
      <x:c r="J386" s="99"/>
      <x:c r="K386" s="99"/>
      <x:c r="L386" s="99"/>
      <x:c r="M386" s="99"/>
      <x:c r="N386" s="99"/>
      <x:c r="O386" s="99"/>
      <x:c r="P386" s="99"/>
      <x:c r="Q386" s="99"/>
      <x:c r="R386" s="99"/>
      <x:c r="S386" s="99"/>
      <x:c r="T386" s="99"/>
      <x:c r="U386" s="99"/>
      <x:c r="V386" s="99"/>
      <x:c r="W386" s="99"/>
      <x:c r="X386" s="99"/>
      <x:c r="Y386" s="99"/>
      <x:c r="Z386" s="99"/>
    </x:row>
    <x:row r="387">
      <x:c r="A387" s="99"/>
      <x:c r="B387" s="99"/>
      <x:c r="C387" s="99"/>
      <x:c r="D387" s="99"/>
      <x:c r="E387" s="99"/>
      <x:c r="F387" s="99"/>
      <x:c r="G387" s="99"/>
      <x:c r="H387" s="99"/>
      <x:c r="I387" s="99"/>
      <x:c r="J387" s="99"/>
      <x:c r="K387" s="99"/>
      <x:c r="L387" s="99"/>
      <x:c r="M387" s="99"/>
      <x:c r="N387" s="99"/>
      <x:c r="O387" s="99"/>
      <x:c r="P387" s="99"/>
      <x:c r="Q387" s="99"/>
      <x:c r="R387" s="99"/>
      <x:c r="S387" s="99"/>
      <x:c r="T387" s="99"/>
      <x:c r="U387" s="99"/>
      <x:c r="V387" s="99"/>
      <x:c r="W387" s="99"/>
      <x:c r="X387" s="99"/>
      <x:c r="Y387" s="99"/>
      <x:c r="Z387" s="99"/>
    </x:row>
    <x:row r="388">
      <x:c r="A388" s="99"/>
      <x:c r="B388" s="99"/>
      <x:c r="C388" s="99"/>
      <x:c r="D388" s="99"/>
      <x:c r="E388" s="99"/>
      <x:c r="F388" s="99"/>
      <x:c r="G388" s="99"/>
      <x:c r="H388" s="99"/>
      <x:c r="I388" s="99"/>
      <x:c r="J388" s="99"/>
      <x:c r="K388" s="99"/>
      <x:c r="L388" s="99"/>
      <x:c r="M388" s="99"/>
      <x:c r="N388" s="99"/>
      <x:c r="O388" s="99"/>
      <x:c r="P388" s="99"/>
      <x:c r="Q388" s="99"/>
      <x:c r="R388" s="99"/>
      <x:c r="S388" s="99"/>
      <x:c r="T388" s="99"/>
      <x:c r="U388" s="99"/>
      <x:c r="V388" s="99"/>
      <x:c r="W388" s="99"/>
      <x:c r="X388" s="99"/>
      <x:c r="Y388" s="99"/>
      <x:c r="Z388" s="99"/>
    </x:row>
    <x:row r="389">
      <x:c r="A389" s="99"/>
      <x:c r="B389" s="99"/>
      <x:c r="C389" s="99"/>
      <x:c r="D389" s="99"/>
      <x:c r="E389" s="99"/>
      <x:c r="F389" s="99"/>
      <x:c r="G389" s="99"/>
      <x:c r="H389" s="99"/>
      <x:c r="I389" s="99"/>
      <x:c r="J389" s="99"/>
      <x:c r="K389" s="99"/>
      <x:c r="L389" s="99"/>
      <x:c r="M389" s="99"/>
      <x:c r="N389" s="99"/>
      <x:c r="O389" s="99"/>
      <x:c r="P389" s="99"/>
      <x:c r="Q389" s="99"/>
      <x:c r="R389" s="99"/>
      <x:c r="S389" s="99"/>
      <x:c r="T389" s="99"/>
      <x:c r="U389" s="99"/>
      <x:c r="V389" s="99"/>
      <x:c r="W389" s="99"/>
      <x:c r="X389" s="99"/>
      <x:c r="Y389" s="99"/>
      <x:c r="Z389" s="99"/>
    </x:row>
    <x:row r="390">
      <x:c r="A390" s="99"/>
      <x:c r="B390" s="99"/>
      <x:c r="C390" s="99"/>
      <x:c r="D390" s="99"/>
      <x:c r="E390" s="99"/>
      <x:c r="F390" s="99"/>
      <x:c r="G390" s="99"/>
      <x:c r="H390" s="99"/>
      <x:c r="I390" s="99"/>
      <x:c r="J390" s="99"/>
      <x:c r="K390" s="99"/>
      <x:c r="L390" s="99"/>
      <x:c r="M390" s="99"/>
      <x:c r="N390" s="99"/>
      <x:c r="O390" s="99"/>
      <x:c r="P390" s="99"/>
      <x:c r="Q390" s="99"/>
      <x:c r="R390" s="99"/>
      <x:c r="S390" s="99"/>
      <x:c r="T390" s="99"/>
      <x:c r="U390" s="99"/>
      <x:c r="V390" s="99"/>
      <x:c r="W390" s="99"/>
      <x:c r="X390" s="99"/>
      <x:c r="Y390" s="99"/>
      <x:c r="Z390" s="99"/>
    </x:row>
    <x:row r="391">
      <x:c r="A391" s="99"/>
      <x:c r="B391" s="99"/>
      <x:c r="C391" s="99"/>
      <x:c r="D391" s="99"/>
      <x:c r="E391" s="99"/>
      <x:c r="F391" s="99"/>
      <x:c r="G391" s="99"/>
      <x:c r="H391" s="99"/>
      <x:c r="I391" s="99"/>
      <x:c r="J391" s="99"/>
      <x:c r="K391" s="99"/>
      <x:c r="L391" s="99"/>
      <x:c r="M391" s="99"/>
      <x:c r="N391" s="99"/>
      <x:c r="O391" s="99"/>
      <x:c r="P391" s="99"/>
      <x:c r="Q391" s="99"/>
      <x:c r="R391" s="99"/>
      <x:c r="S391" s="99"/>
      <x:c r="T391" s="99"/>
      <x:c r="U391" s="99"/>
      <x:c r="V391" s="99"/>
      <x:c r="W391" s="99"/>
      <x:c r="X391" s="99"/>
      <x:c r="Y391" s="99"/>
      <x:c r="Z391" s="99"/>
    </x:row>
    <x:row r="392">
      <x:c r="A392" s="99"/>
      <x:c r="B392" s="99"/>
      <x:c r="C392" s="99"/>
      <x:c r="D392" s="99"/>
      <x:c r="E392" s="99"/>
      <x:c r="F392" s="99"/>
      <x:c r="G392" s="99"/>
      <x:c r="H392" s="99"/>
      <x:c r="I392" s="99"/>
      <x:c r="J392" s="99"/>
      <x:c r="K392" s="99"/>
      <x:c r="L392" s="99"/>
      <x:c r="M392" s="99"/>
      <x:c r="N392" s="99"/>
      <x:c r="O392" s="99"/>
      <x:c r="P392" s="99"/>
      <x:c r="Q392" s="99"/>
      <x:c r="R392" s="99"/>
      <x:c r="S392" s="99"/>
      <x:c r="T392" s="99"/>
      <x:c r="U392" s="99"/>
      <x:c r="V392" s="99"/>
      <x:c r="W392" s="99"/>
      <x:c r="X392" s="99"/>
      <x:c r="Y392" s="99"/>
      <x:c r="Z392" s="99"/>
    </x:row>
    <x:row r="393">
      <x:c r="A393" s="99"/>
      <x:c r="B393" s="99"/>
      <x:c r="C393" s="99"/>
      <x:c r="D393" s="99"/>
      <x:c r="E393" s="99"/>
      <x:c r="F393" s="99"/>
      <x:c r="G393" s="99"/>
      <x:c r="H393" s="99"/>
      <x:c r="I393" s="99"/>
      <x:c r="J393" s="99"/>
      <x:c r="K393" s="99"/>
      <x:c r="L393" s="99"/>
      <x:c r="M393" s="99"/>
      <x:c r="N393" s="99"/>
      <x:c r="O393" s="99"/>
      <x:c r="P393" s="99"/>
      <x:c r="Q393" s="99"/>
      <x:c r="R393" s="99"/>
      <x:c r="S393" s="99"/>
      <x:c r="T393" s="99"/>
      <x:c r="U393" s="99"/>
      <x:c r="V393" s="99"/>
      <x:c r="W393" s="99"/>
      <x:c r="X393" s="99"/>
      <x:c r="Y393" s="99"/>
      <x:c r="Z393" s="99"/>
    </x:row>
    <x:row r="394">
      <x:c r="A394" s="99"/>
      <x:c r="B394" s="99"/>
      <x:c r="C394" s="99"/>
      <x:c r="D394" s="99"/>
      <x:c r="E394" s="99"/>
      <x:c r="F394" s="99"/>
      <x:c r="G394" s="99"/>
      <x:c r="H394" s="99"/>
      <x:c r="I394" s="99"/>
      <x:c r="J394" s="99"/>
      <x:c r="K394" s="99"/>
      <x:c r="L394" s="99"/>
      <x:c r="M394" s="99"/>
      <x:c r="N394" s="99"/>
      <x:c r="O394" s="99"/>
      <x:c r="P394" s="99"/>
      <x:c r="Q394" s="99"/>
      <x:c r="R394" s="99"/>
      <x:c r="S394" s="99"/>
      <x:c r="T394" s="99"/>
      <x:c r="U394" s="99"/>
      <x:c r="V394" s="99"/>
      <x:c r="W394" s="99"/>
      <x:c r="X394" s="99"/>
      <x:c r="Y394" s="99"/>
      <x:c r="Z394" s="99"/>
    </x:row>
    <x:row r="395">
      <x:c r="A395" s="99"/>
      <x:c r="B395" s="99"/>
      <x:c r="C395" s="99"/>
      <x:c r="D395" s="99"/>
      <x:c r="E395" s="99"/>
      <x:c r="F395" s="99"/>
      <x:c r="G395" s="99"/>
      <x:c r="H395" s="99"/>
      <x:c r="I395" s="99"/>
      <x:c r="J395" s="99"/>
      <x:c r="K395" s="99"/>
      <x:c r="L395" s="99"/>
      <x:c r="M395" s="99"/>
      <x:c r="N395" s="99"/>
      <x:c r="O395" s="99"/>
      <x:c r="P395" s="99"/>
      <x:c r="Q395" s="99"/>
      <x:c r="R395" s="99"/>
      <x:c r="S395" s="99"/>
      <x:c r="T395" s="99"/>
      <x:c r="U395" s="99"/>
      <x:c r="V395" s="99"/>
      <x:c r="W395" s="99"/>
      <x:c r="X395" s="99"/>
      <x:c r="Y395" s="99"/>
      <x:c r="Z395" s="99"/>
    </x:row>
    <x:row r="396">
      <x:c r="A396" s="99"/>
      <x:c r="B396" s="99"/>
      <x:c r="C396" s="99"/>
      <x:c r="D396" s="99"/>
      <x:c r="E396" s="99"/>
      <x:c r="F396" s="99"/>
      <x:c r="G396" s="99"/>
      <x:c r="H396" s="99"/>
      <x:c r="I396" s="99"/>
      <x:c r="J396" s="99"/>
      <x:c r="K396" s="99"/>
      <x:c r="L396" s="99"/>
      <x:c r="M396" s="99"/>
      <x:c r="N396" s="99"/>
      <x:c r="O396" s="99"/>
      <x:c r="P396" s="99"/>
      <x:c r="Q396" s="99"/>
      <x:c r="R396" s="99"/>
      <x:c r="S396" s="99"/>
      <x:c r="T396" s="99"/>
      <x:c r="U396" s="99"/>
      <x:c r="V396" s="99"/>
      <x:c r="W396" s="99"/>
      <x:c r="X396" s="99"/>
      <x:c r="Y396" s="99"/>
      <x:c r="Z396" s="99"/>
    </x:row>
    <x:row r="397">
      <x:c r="A397" s="99"/>
      <x:c r="B397" s="99"/>
      <x:c r="C397" s="99"/>
      <x:c r="D397" s="99"/>
      <x:c r="E397" s="99"/>
      <x:c r="F397" s="99"/>
      <x:c r="G397" s="99"/>
      <x:c r="H397" s="99"/>
      <x:c r="I397" s="99"/>
      <x:c r="J397" s="99"/>
      <x:c r="K397" s="99"/>
      <x:c r="L397" s="99"/>
      <x:c r="M397" s="99"/>
      <x:c r="N397" s="99"/>
      <x:c r="O397" s="99"/>
      <x:c r="P397" s="99"/>
      <x:c r="Q397" s="99"/>
      <x:c r="R397" s="99"/>
      <x:c r="S397" s="99"/>
      <x:c r="T397" s="99"/>
      <x:c r="U397" s="99"/>
      <x:c r="V397" s="99"/>
      <x:c r="W397" s="99"/>
      <x:c r="X397" s="99"/>
      <x:c r="Y397" s="99"/>
      <x:c r="Z397" s="99"/>
    </x:row>
    <x:row r="398">
      <x:c r="A398" s="99"/>
      <x:c r="B398" s="99"/>
      <x:c r="C398" s="99"/>
      <x:c r="D398" s="99"/>
      <x:c r="E398" s="99"/>
      <x:c r="F398" s="99"/>
      <x:c r="G398" s="99"/>
      <x:c r="H398" s="99"/>
      <x:c r="I398" s="99"/>
      <x:c r="J398" s="99"/>
      <x:c r="K398" s="99"/>
      <x:c r="L398" s="99"/>
      <x:c r="M398" s="99"/>
      <x:c r="N398" s="99"/>
      <x:c r="O398" s="99"/>
      <x:c r="P398" s="99"/>
      <x:c r="Q398" s="99"/>
      <x:c r="R398" s="99"/>
      <x:c r="S398" s="99"/>
      <x:c r="T398" s="99"/>
      <x:c r="U398" s="99"/>
      <x:c r="V398" s="99"/>
      <x:c r="W398" s="99"/>
      <x:c r="X398" s="99"/>
      <x:c r="Y398" s="99"/>
      <x:c r="Z398" s="99"/>
    </x:row>
    <x:row r="399">
      <x:c r="A399" s="99"/>
      <x:c r="B399" s="99"/>
      <x:c r="C399" s="99"/>
      <x:c r="D399" s="99"/>
      <x:c r="E399" s="99"/>
      <x:c r="F399" s="99"/>
      <x:c r="G399" s="99"/>
      <x:c r="H399" s="99"/>
      <x:c r="I399" s="99"/>
      <x:c r="J399" s="99"/>
      <x:c r="K399" s="99"/>
      <x:c r="L399" s="99"/>
      <x:c r="M399" s="99"/>
      <x:c r="N399" s="99"/>
      <x:c r="O399" s="99"/>
      <x:c r="P399" s="99"/>
      <x:c r="Q399" s="99"/>
      <x:c r="R399" s="99"/>
      <x:c r="S399" s="99"/>
      <x:c r="T399" s="99"/>
      <x:c r="U399" s="99"/>
      <x:c r="V399" s="99"/>
      <x:c r="W399" s="99"/>
      <x:c r="X399" s="99"/>
      <x:c r="Y399" s="99"/>
      <x:c r="Z399" s="99"/>
    </x:row>
    <x:row r="400">
      <x:c r="A400" s="99"/>
      <x:c r="B400" s="99"/>
      <x:c r="C400" s="99"/>
      <x:c r="D400" s="99"/>
      <x:c r="E400" s="99"/>
      <x:c r="F400" s="99"/>
      <x:c r="G400" s="99"/>
      <x:c r="H400" s="99"/>
      <x:c r="I400" s="99"/>
      <x:c r="J400" s="99"/>
      <x:c r="K400" s="99"/>
      <x:c r="L400" s="99"/>
      <x:c r="M400" s="99"/>
      <x:c r="N400" s="99"/>
      <x:c r="O400" s="99"/>
      <x:c r="P400" s="99"/>
      <x:c r="Q400" s="99"/>
      <x:c r="R400" s="99"/>
      <x:c r="S400" s="99"/>
      <x:c r="T400" s="99"/>
      <x:c r="U400" s="99"/>
      <x:c r="V400" s="99"/>
      <x:c r="W400" s="99"/>
      <x:c r="X400" s="99"/>
      <x:c r="Y400" s="99"/>
      <x:c r="Z400" s="99"/>
    </x:row>
    <x:row r="401">
      <x:c r="A401" s="99"/>
      <x:c r="B401" s="99"/>
      <x:c r="C401" s="99"/>
      <x:c r="D401" s="99"/>
      <x:c r="E401" s="99"/>
      <x:c r="F401" s="99"/>
      <x:c r="G401" s="99"/>
      <x:c r="H401" s="99"/>
      <x:c r="I401" s="99"/>
      <x:c r="J401" s="99"/>
      <x:c r="K401" s="99"/>
      <x:c r="L401" s="99"/>
      <x:c r="M401" s="99"/>
      <x:c r="N401" s="99"/>
      <x:c r="O401" s="99"/>
      <x:c r="P401" s="99"/>
      <x:c r="Q401" s="99"/>
      <x:c r="R401" s="99"/>
      <x:c r="S401" s="99"/>
      <x:c r="T401" s="99"/>
      <x:c r="U401" s="99"/>
      <x:c r="V401" s="99"/>
      <x:c r="W401" s="99"/>
      <x:c r="X401" s="99"/>
      <x:c r="Y401" s="99"/>
      <x:c r="Z401" s="99"/>
    </x:row>
    <x:row r="402">
      <x:c r="A402" s="99"/>
      <x:c r="B402" s="99"/>
      <x:c r="C402" s="99"/>
      <x:c r="D402" s="99"/>
      <x:c r="E402" s="99"/>
      <x:c r="F402" s="99"/>
      <x:c r="G402" s="99"/>
      <x:c r="H402" s="99"/>
      <x:c r="I402" s="99"/>
      <x:c r="J402" s="99"/>
      <x:c r="K402" s="99"/>
      <x:c r="L402" s="99"/>
      <x:c r="M402" s="99"/>
      <x:c r="N402" s="99"/>
      <x:c r="O402" s="99"/>
      <x:c r="P402" s="99"/>
      <x:c r="Q402" s="99"/>
      <x:c r="R402" s="99"/>
      <x:c r="S402" s="99"/>
      <x:c r="T402" s="99"/>
      <x:c r="U402" s="99"/>
      <x:c r="V402" s="99"/>
      <x:c r="W402" s="99"/>
      <x:c r="X402" s="99"/>
      <x:c r="Y402" s="99"/>
      <x:c r="Z402" s="99"/>
    </x:row>
    <x:row r="403">
      <x:c r="A403" s="99"/>
      <x:c r="B403" s="99"/>
      <x:c r="C403" s="99"/>
      <x:c r="D403" s="99"/>
      <x:c r="E403" s="99"/>
      <x:c r="F403" s="99"/>
      <x:c r="G403" s="99"/>
      <x:c r="H403" s="99"/>
      <x:c r="I403" s="99"/>
      <x:c r="J403" s="99"/>
      <x:c r="K403" s="99"/>
      <x:c r="L403" s="99"/>
      <x:c r="M403" s="99"/>
      <x:c r="N403" s="99"/>
      <x:c r="O403" s="99"/>
      <x:c r="P403" s="99"/>
      <x:c r="Q403" s="99"/>
      <x:c r="R403" s="99"/>
      <x:c r="S403" s="99"/>
      <x:c r="T403" s="99"/>
      <x:c r="U403" s="99"/>
      <x:c r="V403" s="99"/>
      <x:c r="W403" s="99"/>
      <x:c r="X403" s="99"/>
      <x:c r="Y403" s="99"/>
      <x:c r="Z403" s="99"/>
    </x:row>
    <x:row r="404">
      <x:c r="A404" s="99"/>
      <x:c r="B404" s="99"/>
      <x:c r="C404" s="99"/>
      <x:c r="D404" s="99"/>
      <x:c r="E404" s="99"/>
      <x:c r="F404" s="99"/>
      <x:c r="G404" s="99"/>
      <x:c r="H404" s="99"/>
      <x:c r="I404" s="99"/>
      <x:c r="J404" s="99"/>
      <x:c r="K404" s="99"/>
      <x:c r="L404" s="99"/>
      <x:c r="M404" s="99"/>
      <x:c r="N404" s="99"/>
      <x:c r="O404" s="99"/>
      <x:c r="P404" s="99"/>
      <x:c r="Q404" s="99"/>
      <x:c r="R404" s="99"/>
      <x:c r="S404" s="99"/>
      <x:c r="T404" s="99"/>
      <x:c r="U404" s="99"/>
      <x:c r="V404" s="99"/>
      <x:c r="W404" s="99"/>
      <x:c r="X404" s="99"/>
      <x:c r="Y404" s="99"/>
      <x:c r="Z404" s="99"/>
    </x:row>
    <x:row r="405">
      <x:c r="A405" s="99"/>
      <x:c r="B405" s="99"/>
      <x:c r="C405" s="99"/>
      <x:c r="D405" s="99"/>
      <x:c r="E405" s="99"/>
      <x:c r="F405" s="99"/>
      <x:c r="G405" s="99"/>
      <x:c r="H405" s="99"/>
      <x:c r="I405" s="99"/>
      <x:c r="J405" s="99"/>
      <x:c r="K405" s="99"/>
      <x:c r="L405" s="99"/>
      <x:c r="M405" s="99"/>
      <x:c r="N405" s="99"/>
      <x:c r="O405" s="99"/>
      <x:c r="P405" s="99"/>
      <x:c r="Q405" s="99"/>
      <x:c r="R405" s="99"/>
      <x:c r="S405" s="99"/>
      <x:c r="T405" s="99"/>
      <x:c r="U405" s="99"/>
      <x:c r="V405" s="99"/>
      <x:c r="W405" s="99"/>
      <x:c r="X405" s="99"/>
      <x:c r="Y405" s="99"/>
      <x:c r="Z405" s="99"/>
    </x:row>
    <x:row r="406">
      <x:c r="A406" s="99"/>
      <x:c r="B406" s="99"/>
      <x:c r="C406" s="99"/>
      <x:c r="D406" s="99"/>
      <x:c r="E406" s="99"/>
      <x:c r="F406" s="99"/>
      <x:c r="G406" s="99"/>
      <x:c r="H406" s="99"/>
      <x:c r="I406" s="99"/>
      <x:c r="J406" s="99"/>
      <x:c r="K406" s="99"/>
      <x:c r="L406" s="99"/>
      <x:c r="M406" s="99"/>
      <x:c r="N406" s="99"/>
      <x:c r="O406" s="99"/>
      <x:c r="P406" s="99"/>
      <x:c r="Q406" s="99"/>
      <x:c r="R406" s="99"/>
      <x:c r="S406" s="99"/>
      <x:c r="T406" s="99"/>
      <x:c r="U406" s="99"/>
      <x:c r="V406" s="99"/>
      <x:c r="W406" s="99"/>
      <x:c r="X406" s="99"/>
      <x:c r="Y406" s="99"/>
      <x:c r="Z406" s="99"/>
    </x:row>
    <x:row r="407">
      <x:c r="A407" s="99"/>
      <x:c r="B407" s="99"/>
      <x:c r="C407" s="99"/>
      <x:c r="D407" s="99"/>
      <x:c r="E407" s="99"/>
      <x:c r="F407" s="99"/>
      <x:c r="G407" s="99"/>
      <x:c r="H407" s="99"/>
      <x:c r="I407" s="99"/>
      <x:c r="J407" s="99"/>
      <x:c r="K407" s="99"/>
      <x:c r="L407" s="99"/>
      <x:c r="M407" s="99"/>
      <x:c r="N407" s="99"/>
      <x:c r="O407" s="99"/>
      <x:c r="P407" s="99"/>
      <x:c r="Q407" s="99"/>
      <x:c r="R407" s="99"/>
      <x:c r="S407" s="99"/>
      <x:c r="T407" s="99"/>
      <x:c r="U407" s="99"/>
      <x:c r="V407" s="99"/>
      <x:c r="W407" s="99"/>
      <x:c r="X407" s="99"/>
      <x:c r="Y407" s="99"/>
      <x:c r="Z407" s="99"/>
    </x:row>
    <x:row r="408">
      <x:c r="A408" s="99"/>
      <x:c r="B408" s="99"/>
      <x:c r="C408" s="99"/>
      <x:c r="D408" s="99"/>
      <x:c r="E408" s="99"/>
      <x:c r="F408" s="99"/>
      <x:c r="G408" s="99"/>
      <x:c r="H408" s="99"/>
      <x:c r="I408" s="99"/>
      <x:c r="J408" s="99"/>
      <x:c r="K408" s="99"/>
      <x:c r="L408" s="99"/>
      <x:c r="M408" s="99"/>
      <x:c r="N408" s="99"/>
      <x:c r="O408" s="99"/>
      <x:c r="P408" s="99"/>
      <x:c r="Q408" s="99"/>
      <x:c r="R408" s="99"/>
      <x:c r="S408" s="99"/>
      <x:c r="T408" s="99"/>
      <x:c r="U408" s="99"/>
      <x:c r="V408" s="99"/>
      <x:c r="W408" s="99"/>
      <x:c r="X408" s="99"/>
      <x:c r="Y408" s="99"/>
      <x:c r="Z408" s="99"/>
    </x:row>
    <x:row r="409">
      <x:c r="A409" s="99"/>
      <x:c r="B409" s="99"/>
      <x:c r="C409" s="99"/>
      <x:c r="D409" s="99"/>
      <x:c r="E409" s="99"/>
      <x:c r="F409" s="99"/>
      <x:c r="G409" s="99"/>
      <x:c r="H409" s="99"/>
      <x:c r="I409" s="99"/>
      <x:c r="J409" s="99"/>
      <x:c r="K409" s="99"/>
      <x:c r="L409" s="99"/>
      <x:c r="M409" s="99"/>
      <x:c r="N409" s="99"/>
      <x:c r="O409" s="99"/>
      <x:c r="P409" s="99"/>
      <x:c r="Q409" s="99"/>
      <x:c r="R409" s="99"/>
      <x:c r="S409" s="99"/>
      <x:c r="T409" s="99"/>
      <x:c r="U409" s="99"/>
      <x:c r="V409" s="99"/>
      <x:c r="W409" s="99"/>
      <x:c r="X409" s="99"/>
      <x:c r="Y409" s="99"/>
      <x:c r="Z409" s="99"/>
    </x:row>
    <x:row r="410">
      <x:c r="A410" s="99"/>
      <x:c r="B410" s="99"/>
      <x:c r="C410" s="99"/>
      <x:c r="D410" s="99"/>
      <x:c r="E410" s="99"/>
      <x:c r="F410" s="99"/>
      <x:c r="G410" s="99"/>
      <x:c r="H410" s="99"/>
      <x:c r="I410" s="99"/>
      <x:c r="J410" s="99"/>
      <x:c r="K410" s="99"/>
      <x:c r="L410" s="99"/>
      <x:c r="M410" s="99"/>
      <x:c r="N410" s="99"/>
      <x:c r="O410" s="99"/>
      <x:c r="P410" s="99"/>
      <x:c r="Q410" s="99"/>
      <x:c r="R410" s="99"/>
      <x:c r="S410" s="99"/>
      <x:c r="T410" s="99"/>
      <x:c r="U410" s="99"/>
      <x:c r="V410" s="99"/>
      <x:c r="W410" s="99"/>
      <x:c r="X410" s="99"/>
      <x:c r="Y410" s="99"/>
      <x:c r="Z410" s="99"/>
    </x:row>
    <x:row r="411">
      <x:c r="A411" s="99"/>
      <x:c r="B411" s="99"/>
      <x:c r="C411" s="99"/>
      <x:c r="D411" s="99"/>
      <x:c r="E411" s="99"/>
      <x:c r="F411" s="99"/>
      <x:c r="G411" s="99"/>
      <x:c r="H411" s="99"/>
      <x:c r="I411" s="99"/>
      <x:c r="J411" s="99"/>
      <x:c r="K411" s="99"/>
      <x:c r="L411" s="99"/>
      <x:c r="M411" s="99"/>
      <x:c r="N411" s="99"/>
      <x:c r="O411" s="99"/>
      <x:c r="P411" s="99"/>
      <x:c r="Q411" s="99"/>
      <x:c r="R411" s="99"/>
      <x:c r="S411" s="99"/>
      <x:c r="T411" s="99"/>
      <x:c r="U411" s="99"/>
      <x:c r="V411" s="99"/>
      <x:c r="W411" s="99"/>
      <x:c r="X411" s="99"/>
      <x:c r="Y411" s="99"/>
      <x:c r="Z411" s="99"/>
    </x:row>
    <x:row r="412">
      <x:c r="A412" s="99"/>
      <x:c r="B412" s="99"/>
      <x:c r="C412" s="99"/>
      <x:c r="D412" s="99"/>
      <x:c r="E412" s="99"/>
      <x:c r="F412" s="99"/>
      <x:c r="G412" s="99"/>
      <x:c r="H412" s="99"/>
      <x:c r="I412" s="99"/>
      <x:c r="J412" s="99"/>
      <x:c r="K412" s="99"/>
      <x:c r="L412" s="99"/>
      <x:c r="M412" s="99"/>
      <x:c r="N412" s="99"/>
      <x:c r="O412" s="99"/>
      <x:c r="P412" s="99"/>
      <x:c r="Q412" s="99"/>
      <x:c r="R412" s="99"/>
      <x:c r="S412" s="99"/>
      <x:c r="T412" s="99"/>
      <x:c r="U412" s="99"/>
      <x:c r="V412" s="99"/>
      <x:c r="W412" s="99"/>
      <x:c r="X412" s="99"/>
      <x:c r="Y412" s="99"/>
      <x:c r="Z412" s="99"/>
    </x:row>
    <x:row r="413">
      <x:c r="A413" s="99"/>
      <x:c r="B413" s="99"/>
      <x:c r="C413" s="99"/>
      <x:c r="D413" s="99"/>
      <x:c r="E413" s="99"/>
      <x:c r="F413" s="99"/>
      <x:c r="G413" s="99"/>
      <x:c r="H413" s="99"/>
      <x:c r="I413" s="99"/>
      <x:c r="J413" s="99"/>
      <x:c r="K413" s="99"/>
      <x:c r="L413" s="99"/>
      <x:c r="M413" s="99"/>
      <x:c r="N413" s="99"/>
      <x:c r="O413" s="99"/>
      <x:c r="P413" s="99"/>
      <x:c r="Q413" s="99"/>
      <x:c r="R413" s="99"/>
      <x:c r="S413" s="99"/>
      <x:c r="T413" s="99"/>
      <x:c r="U413" s="99"/>
      <x:c r="V413" s="99"/>
      <x:c r="W413" s="99"/>
      <x:c r="X413" s="99"/>
      <x:c r="Y413" s="99"/>
      <x:c r="Z413" s="99"/>
    </x:row>
    <x:row r="414">
      <x:c r="A414" s="99"/>
      <x:c r="B414" s="99"/>
      <x:c r="C414" s="99"/>
      <x:c r="D414" s="99"/>
      <x:c r="E414" s="99"/>
      <x:c r="F414" s="99"/>
      <x:c r="G414" s="99"/>
      <x:c r="H414" s="99"/>
      <x:c r="I414" s="99"/>
      <x:c r="J414" s="99"/>
      <x:c r="K414" s="99"/>
      <x:c r="L414" s="99"/>
      <x:c r="M414" s="99"/>
      <x:c r="N414" s="99"/>
      <x:c r="O414" s="99"/>
      <x:c r="P414" s="99"/>
      <x:c r="Q414" s="99"/>
      <x:c r="R414" s="99"/>
      <x:c r="S414" s="99"/>
      <x:c r="T414" s="99"/>
      <x:c r="U414" s="99"/>
      <x:c r="V414" s="99"/>
      <x:c r="W414" s="99"/>
      <x:c r="X414" s="99"/>
      <x:c r="Y414" s="99"/>
      <x:c r="Z414" s="99"/>
    </x:row>
    <x:row r="415">
      <x:c r="A415" s="99"/>
      <x:c r="B415" s="99"/>
      <x:c r="C415" s="99"/>
      <x:c r="D415" s="99"/>
      <x:c r="E415" s="99"/>
      <x:c r="F415" s="99"/>
      <x:c r="G415" s="99"/>
      <x:c r="H415" s="99"/>
      <x:c r="I415" s="99"/>
      <x:c r="J415" s="99"/>
      <x:c r="K415" s="99"/>
      <x:c r="L415" s="99"/>
      <x:c r="M415" s="99"/>
      <x:c r="N415" s="99"/>
      <x:c r="O415" s="99"/>
      <x:c r="P415" s="99"/>
      <x:c r="Q415" s="99"/>
      <x:c r="R415" s="99"/>
      <x:c r="S415" s="99"/>
      <x:c r="T415" s="99"/>
      <x:c r="U415" s="99"/>
      <x:c r="V415" s="99"/>
      <x:c r="W415" s="99"/>
      <x:c r="X415" s="99"/>
      <x:c r="Y415" s="99"/>
      <x:c r="Z415" s="99"/>
    </x:row>
    <x:row r="416">
      <x:c r="A416" s="99"/>
      <x:c r="B416" s="99"/>
      <x:c r="C416" s="99"/>
      <x:c r="D416" s="99"/>
      <x:c r="E416" s="99"/>
      <x:c r="F416" s="99"/>
      <x:c r="G416" s="99"/>
      <x:c r="H416" s="99"/>
      <x:c r="I416" s="99"/>
      <x:c r="J416" s="99"/>
      <x:c r="K416" s="99"/>
      <x:c r="L416" s="99"/>
      <x:c r="M416" s="99"/>
      <x:c r="N416" s="99"/>
      <x:c r="O416" s="99"/>
      <x:c r="P416" s="99"/>
      <x:c r="Q416" s="99"/>
      <x:c r="R416" s="99"/>
      <x:c r="S416" s="99"/>
      <x:c r="T416" s="99"/>
      <x:c r="U416" s="99"/>
      <x:c r="V416" s="99"/>
      <x:c r="W416" s="99"/>
      <x:c r="X416" s="99"/>
      <x:c r="Y416" s="99"/>
      <x:c r="Z416" s="99"/>
    </x:row>
    <x:row r="417">
      <x:c r="A417" s="99"/>
      <x:c r="B417" s="99"/>
      <x:c r="C417" s="99"/>
      <x:c r="D417" s="99"/>
      <x:c r="E417" s="99"/>
      <x:c r="F417" s="99"/>
      <x:c r="G417" s="99"/>
      <x:c r="H417" s="99"/>
      <x:c r="I417" s="99"/>
      <x:c r="J417" s="99"/>
      <x:c r="K417" s="99"/>
      <x:c r="L417" s="99"/>
      <x:c r="M417" s="99"/>
      <x:c r="N417" s="99"/>
      <x:c r="O417" s="99"/>
      <x:c r="P417" s="99"/>
      <x:c r="Q417" s="99"/>
      <x:c r="R417" s="99"/>
      <x:c r="S417" s="99"/>
      <x:c r="T417" s="99"/>
      <x:c r="U417" s="99"/>
      <x:c r="V417" s="99"/>
      <x:c r="W417" s="99"/>
      <x:c r="X417" s="99"/>
      <x:c r="Y417" s="99"/>
      <x:c r="Z417" s="99"/>
    </x:row>
    <x:row r="418">
      <x:c r="A418" s="99"/>
      <x:c r="B418" s="99"/>
      <x:c r="C418" s="99"/>
      <x:c r="D418" s="99"/>
      <x:c r="E418" s="99"/>
      <x:c r="F418" s="99"/>
      <x:c r="G418" s="99"/>
      <x:c r="H418" s="99"/>
      <x:c r="I418" s="99"/>
      <x:c r="J418" s="99"/>
      <x:c r="K418" s="99"/>
      <x:c r="L418" s="99"/>
      <x:c r="M418" s="99"/>
      <x:c r="N418" s="99"/>
      <x:c r="O418" s="99"/>
      <x:c r="P418" s="99"/>
      <x:c r="Q418" s="99"/>
      <x:c r="R418" s="99"/>
      <x:c r="S418" s="99"/>
      <x:c r="T418" s="99"/>
      <x:c r="U418" s="99"/>
      <x:c r="V418" s="99"/>
      <x:c r="W418" s="99"/>
      <x:c r="X418" s="99"/>
      <x:c r="Y418" s="99"/>
      <x:c r="Z418" s="99"/>
    </x:row>
    <x:row r="419">
      <x:c r="A419" s="99"/>
      <x:c r="B419" s="99"/>
      <x:c r="C419" s="99"/>
      <x:c r="D419" s="99"/>
      <x:c r="E419" s="99"/>
      <x:c r="F419" s="99"/>
      <x:c r="G419" s="99"/>
      <x:c r="H419" s="99"/>
      <x:c r="I419" s="99"/>
      <x:c r="J419" s="99"/>
      <x:c r="K419" s="99"/>
      <x:c r="L419" s="99"/>
      <x:c r="M419" s="99"/>
      <x:c r="N419" s="99"/>
      <x:c r="O419" s="99"/>
      <x:c r="P419" s="99"/>
      <x:c r="Q419" s="99"/>
      <x:c r="R419" s="99"/>
      <x:c r="S419" s="99"/>
      <x:c r="T419" s="99"/>
      <x:c r="U419" s="99"/>
      <x:c r="V419" s="99"/>
      <x:c r="W419" s="99"/>
      <x:c r="X419" s="99"/>
      <x:c r="Y419" s="99"/>
      <x:c r="Z419" s="99"/>
    </x:row>
    <x:row r="420">
      <x:c r="A420" s="99"/>
      <x:c r="B420" s="99"/>
      <x:c r="C420" s="99"/>
      <x:c r="D420" s="99"/>
      <x:c r="E420" s="99"/>
      <x:c r="F420" s="99"/>
      <x:c r="G420" s="99"/>
      <x:c r="H420" s="99"/>
      <x:c r="I420" s="99"/>
      <x:c r="J420" s="99"/>
      <x:c r="K420" s="99"/>
      <x:c r="L420" s="99"/>
      <x:c r="M420" s="99"/>
      <x:c r="N420" s="99"/>
      <x:c r="O420" s="99"/>
      <x:c r="P420" s="99"/>
      <x:c r="Q420" s="99"/>
      <x:c r="R420" s="99"/>
      <x:c r="S420" s="99"/>
      <x:c r="T420" s="99"/>
      <x:c r="U420" s="99"/>
      <x:c r="V420" s="99"/>
      <x:c r="W420" s="99"/>
      <x:c r="X420" s="99"/>
      <x:c r="Y420" s="99"/>
      <x:c r="Z420" s="99"/>
    </x:row>
    <x:row r="421">
      <x:c r="A421" s="99"/>
      <x:c r="B421" s="99"/>
      <x:c r="C421" s="99"/>
      <x:c r="D421" s="99"/>
      <x:c r="E421" s="99"/>
      <x:c r="F421" s="99"/>
      <x:c r="G421" s="99"/>
      <x:c r="H421" s="99"/>
      <x:c r="I421" s="99"/>
      <x:c r="J421" s="99"/>
      <x:c r="K421" s="99"/>
      <x:c r="L421" s="99"/>
      <x:c r="M421" s="99"/>
      <x:c r="N421" s="99"/>
      <x:c r="O421" s="99"/>
      <x:c r="P421" s="99"/>
      <x:c r="Q421" s="99"/>
      <x:c r="R421" s="99"/>
      <x:c r="S421" s="99"/>
      <x:c r="T421" s="99"/>
      <x:c r="U421" s="99"/>
      <x:c r="V421" s="99"/>
      <x:c r="W421" s="99"/>
      <x:c r="X421" s="99"/>
      <x:c r="Y421" s="99"/>
      <x:c r="Z421" s="99"/>
    </x:row>
    <x:row r="422">
      <x:c r="A422" s="99"/>
      <x:c r="B422" s="99"/>
      <x:c r="C422" s="99"/>
      <x:c r="D422" s="99"/>
      <x:c r="E422" s="99"/>
      <x:c r="F422" s="99"/>
      <x:c r="G422" s="99"/>
      <x:c r="H422" s="99"/>
      <x:c r="I422" s="99"/>
      <x:c r="J422" s="99"/>
      <x:c r="K422" s="99"/>
      <x:c r="L422" s="99"/>
      <x:c r="M422" s="99"/>
      <x:c r="N422" s="99"/>
      <x:c r="O422" s="99"/>
      <x:c r="P422" s="99"/>
      <x:c r="Q422" s="99"/>
      <x:c r="R422" s="99"/>
      <x:c r="S422" s="99"/>
      <x:c r="T422" s="99"/>
      <x:c r="U422" s="99"/>
      <x:c r="V422" s="99"/>
      <x:c r="W422" s="99"/>
      <x:c r="X422" s="99"/>
      <x:c r="Y422" s="99"/>
      <x:c r="Z422" s="99"/>
    </x:row>
    <x:row r="423">
      <x:c r="A423" s="99"/>
      <x:c r="B423" s="99"/>
      <x:c r="C423" s="99"/>
      <x:c r="D423" s="99"/>
      <x:c r="E423" s="99"/>
      <x:c r="F423" s="99"/>
      <x:c r="G423" s="99"/>
      <x:c r="H423" s="99"/>
      <x:c r="I423" s="99"/>
      <x:c r="J423" s="99"/>
      <x:c r="K423" s="99"/>
      <x:c r="L423" s="99"/>
      <x:c r="M423" s="99"/>
      <x:c r="N423" s="99"/>
      <x:c r="O423" s="99"/>
      <x:c r="P423" s="99"/>
      <x:c r="Q423" s="99"/>
      <x:c r="R423" s="99"/>
      <x:c r="S423" s="99"/>
      <x:c r="T423" s="99"/>
      <x:c r="U423" s="99"/>
      <x:c r="V423" s="99"/>
      <x:c r="W423" s="99"/>
      <x:c r="X423" s="99"/>
      <x:c r="Y423" s="99"/>
      <x:c r="Z423" s="99"/>
    </x:row>
    <x:row r="424">
      <x:c r="A424" s="99"/>
      <x:c r="B424" s="99"/>
      <x:c r="C424" s="99"/>
      <x:c r="D424" s="99"/>
      <x:c r="E424" s="99"/>
      <x:c r="F424" s="99"/>
      <x:c r="G424" s="99"/>
      <x:c r="H424" s="99"/>
      <x:c r="I424" s="99"/>
      <x:c r="J424" s="99"/>
      <x:c r="K424" s="99"/>
      <x:c r="L424" s="99"/>
      <x:c r="M424" s="99"/>
      <x:c r="N424" s="99"/>
      <x:c r="O424" s="99"/>
      <x:c r="P424" s="99"/>
      <x:c r="Q424" s="99"/>
      <x:c r="R424" s="99"/>
      <x:c r="S424" s="99"/>
      <x:c r="T424" s="99"/>
      <x:c r="U424" s="99"/>
      <x:c r="V424" s="99"/>
      <x:c r="W424" s="99"/>
      <x:c r="X424" s="99"/>
      <x:c r="Y424" s="99"/>
      <x:c r="Z424" s="99"/>
    </x:row>
    <x:row r="425">
      <x:c r="A425" s="99"/>
      <x:c r="B425" s="99"/>
      <x:c r="C425" s="99"/>
      <x:c r="D425" s="99"/>
      <x:c r="E425" s="99"/>
      <x:c r="F425" s="99"/>
      <x:c r="G425" s="99"/>
      <x:c r="H425" s="99"/>
      <x:c r="I425" s="99"/>
      <x:c r="J425" s="99"/>
      <x:c r="K425" s="99"/>
      <x:c r="L425" s="99"/>
      <x:c r="M425" s="99"/>
      <x:c r="N425" s="99"/>
      <x:c r="O425" s="99"/>
      <x:c r="P425" s="99"/>
      <x:c r="Q425" s="99"/>
      <x:c r="R425" s="99"/>
      <x:c r="S425" s="99"/>
      <x:c r="T425" s="99"/>
      <x:c r="U425" s="99"/>
      <x:c r="V425" s="99"/>
      <x:c r="W425" s="99"/>
      <x:c r="X425" s="99"/>
      <x:c r="Y425" s="99"/>
      <x:c r="Z425" s="99"/>
    </x:row>
    <x:row r="426">
      <x:c r="A426" s="99"/>
      <x:c r="B426" s="99"/>
      <x:c r="C426" s="99"/>
      <x:c r="D426" s="99"/>
      <x:c r="E426" s="99"/>
      <x:c r="F426" s="99"/>
      <x:c r="G426" s="99"/>
      <x:c r="H426" s="99"/>
      <x:c r="I426" s="99"/>
      <x:c r="J426" s="99"/>
      <x:c r="K426" s="99"/>
      <x:c r="L426" s="99"/>
      <x:c r="M426" s="99"/>
      <x:c r="N426" s="99"/>
      <x:c r="O426" s="99"/>
      <x:c r="P426" s="99"/>
      <x:c r="Q426" s="99"/>
      <x:c r="R426" s="99"/>
      <x:c r="S426" s="99"/>
      <x:c r="T426" s="99"/>
      <x:c r="U426" s="99"/>
      <x:c r="V426" s="99"/>
      <x:c r="W426" s="99"/>
      <x:c r="X426" s="99"/>
      <x:c r="Y426" s="99"/>
      <x:c r="Z426" s="99"/>
    </x:row>
    <x:row r="427">
      <x:c r="A427" s="99"/>
      <x:c r="B427" s="99"/>
      <x:c r="C427" s="99"/>
      <x:c r="D427" s="99"/>
      <x:c r="E427" s="99"/>
      <x:c r="F427" s="99"/>
      <x:c r="G427" s="99"/>
      <x:c r="H427" s="99"/>
      <x:c r="I427" s="99"/>
      <x:c r="J427" s="99"/>
      <x:c r="K427" s="99"/>
      <x:c r="L427" s="99"/>
      <x:c r="M427" s="99"/>
      <x:c r="N427" s="99"/>
      <x:c r="O427" s="99"/>
      <x:c r="P427" s="99"/>
      <x:c r="Q427" s="99"/>
      <x:c r="R427" s="99"/>
      <x:c r="S427" s="99"/>
      <x:c r="T427" s="99"/>
      <x:c r="U427" s="99"/>
      <x:c r="V427" s="99"/>
      <x:c r="W427" s="99"/>
      <x:c r="X427" s="99"/>
      <x:c r="Y427" s="99"/>
      <x:c r="Z427" s="99"/>
    </x:row>
    <x:row r="428">
      <x:c r="A428" s="99"/>
      <x:c r="B428" s="99"/>
      <x:c r="C428" s="99"/>
      <x:c r="D428" s="99"/>
      <x:c r="E428" s="99"/>
      <x:c r="F428" s="99"/>
      <x:c r="G428" s="99"/>
      <x:c r="H428" s="99"/>
      <x:c r="I428" s="99"/>
      <x:c r="J428" s="99"/>
      <x:c r="K428" s="99"/>
      <x:c r="L428" s="99"/>
      <x:c r="M428" s="99"/>
      <x:c r="N428" s="99"/>
      <x:c r="O428" s="99"/>
      <x:c r="P428" s="99"/>
      <x:c r="Q428" s="99"/>
      <x:c r="R428" s="99"/>
      <x:c r="S428" s="99"/>
      <x:c r="T428" s="99"/>
      <x:c r="U428" s="99"/>
      <x:c r="V428" s="99"/>
      <x:c r="W428" s="99"/>
      <x:c r="X428" s="99"/>
      <x:c r="Y428" s="99"/>
      <x:c r="Z428" s="99"/>
    </x:row>
    <x:row r="429">
      <x:c r="A429" s="99"/>
      <x:c r="B429" s="99"/>
      <x:c r="C429" s="99"/>
      <x:c r="D429" s="99"/>
      <x:c r="E429" s="99"/>
      <x:c r="F429" s="99"/>
      <x:c r="G429" s="99"/>
      <x:c r="H429" s="99"/>
      <x:c r="I429" s="99"/>
      <x:c r="J429" s="99"/>
      <x:c r="K429" s="99"/>
      <x:c r="L429" s="99"/>
      <x:c r="M429" s="99"/>
      <x:c r="N429" s="99"/>
      <x:c r="O429" s="99"/>
      <x:c r="P429" s="99"/>
      <x:c r="Q429" s="99"/>
      <x:c r="R429" s="99"/>
      <x:c r="S429" s="99"/>
      <x:c r="T429" s="99"/>
      <x:c r="U429" s="99"/>
      <x:c r="V429" s="99"/>
      <x:c r="W429" s="99"/>
      <x:c r="X429" s="99"/>
      <x:c r="Y429" s="99"/>
      <x:c r="Z429" s="99"/>
    </x:row>
    <x:row r="430">
      <x:c r="A430" s="99"/>
      <x:c r="B430" s="99"/>
      <x:c r="C430" s="99"/>
      <x:c r="D430" s="99"/>
      <x:c r="E430" s="99"/>
      <x:c r="F430" s="99"/>
      <x:c r="G430" s="99"/>
      <x:c r="H430" s="99"/>
      <x:c r="I430" s="99"/>
      <x:c r="J430" s="99"/>
      <x:c r="K430" s="99"/>
      <x:c r="L430" s="99"/>
      <x:c r="M430" s="99"/>
      <x:c r="N430" s="99"/>
      <x:c r="O430" s="99"/>
      <x:c r="P430" s="99"/>
      <x:c r="Q430" s="99"/>
      <x:c r="R430" s="99"/>
      <x:c r="S430" s="99"/>
      <x:c r="T430" s="99"/>
      <x:c r="U430" s="99"/>
      <x:c r="V430" s="99"/>
      <x:c r="W430" s="99"/>
      <x:c r="X430" s="99"/>
      <x:c r="Y430" s="99"/>
      <x:c r="Z430" s="99"/>
    </x:row>
    <x:row r="431">
      <x:c r="A431" s="99"/>
      <x:c r="B431" s="99"/>
      <x:c r="C431" s="99"/>
      <x:c r="D431" s="99"/>
      <x:c r="E431" s="99"/>
      <x:c r="F431" s="99"/>
      <x:c r="G431" s="99"/>
      <x:c r="H431" s="99"/>
      <x:c r="I431" s="99"/>
      <x:c r="J431" s="99"/>
      <x:c r="K431" s="99"/>
      <x:c r="L431" s="99"/>
      <x:c r="M431" s="99"/>
      <x:c r="N431" s="99"/>
      <x:c r="O431" s="99"/>
      <x:c r="P431" s="99"/>
      <x:c r="Q431" s="99"/>
      <x:c r="R431" s="99"/>
      <x:c r="S431" s="99"/>
      <x:c r="T431" s="99"/>
      <x:c r="U431" s="99"/>
      <x:c r="V431" s="99"/>
      <x:c r="W431" s="99"/>
      <x:c r="X431" s="99"/>
      <x:c r="Y431" s="99"/>
      <x:c r="Z431" s="99"/>
    </x:row>
    <x:row r="432">
      <x:c r="A432" s="99"/>
      <x:c r="B432" s="99"/>
      <x:c r="C432" s="99"/>
      <x:c r="D432" s="99"/>
      <x:c r="E432" s="99"/>
      <x:c r="F432" s="99"/>
      <x:c r="G432" s="99"/>
      <x:c r="H432" s="99"/>
      <x:c r="I432" s="99"/>
      <x:c r="J432" s="99"/>
      <x:c r="K432" s="99"/>
      <x:c r="L432" s="99"/>
      <x:c r="M432" s="99"/>
      <x:c r="N432" s="99"/>
      <x:c r="O432" s="99"/>
      <x:c r="P432" s="99"/>
      <x:c r="Q432" s="99"/>
      <x:c r="R432" s="99"/>
      <x:c r="S432" s="99"/>
      <x:c r="T432" s="99"/>
      <x:c r="U432" s="99"/>
      <x:c r="V432" s="99"/>
      <x:c r="W432" s="99"/>
      <x:c r="X432" s="99"/>
      <x:c r="Y432" s="99"/>
      <x:c r="Z432" s="99"/>
    </x:row>
    <x:row r="433">
      <x:c r="A433" s="99"/>
      <x:c r="B433" s="99"/>
      <x:c r="C433" s="99"/>
      <x:c r="D433" s="99"/>
      <x:c r="E433" s="99"/>
      <x:c r="F433" s="99"/>
      <x:c r="G433" s="99"/>
      <x:c r="H433" s="99"/>
      <x:c r="I433" s="99"/>
      <x:c r="J433" s="99"/>
      <x:c r="K433" s="99"/>
      <x:c r="L433" s="99"/>
      <x:c r="M433" s="99"/>
      <x:c r="N433" s="99"/>
      <x:c r="O433" s="99"/>
      <x:c r="P433" s="99"/>
      <x:c r="Q433" s="99"/>
      <x:c r="R433" s="99"/>
      <x:c r="S433" s="99"/>
      <x:c r="T433" s="99"/>
      <x:c r="U433" s="99"/>
      <x:c r="V433" s="99"/>
      <x:c r="W433" s="99"/>
      <x:c r="X433" s="99"/>
      <x:c r="Y433" s="99"/>
      <x:c r="Z433" s="99"/>
    </x:row>
    <x:row r="434">
      <x:c r="A434" s="99"/>
      <x:c r="B434" s="99"/>
      <x:c r="C434" s="99"/>
      <x:c r="D434" s="99"/>
      <x:c r="E434" s="99"/>
      <x:c r="F434" s="99"/>
      <x:c r="G434" s="99"/>
      <x:c r="H434" s="99"/>
      <x:c r="I434" s="99"/>
      <x:c r="J434" s="99"/>
      <x:c r="K434" s="99"/>
      <x:c r="L434" s="99"/>
      <x:c r="M434" s="99"/>
      <x:c r="N434" s="99"/>
      <x:c r="O434" s="99"/>
      <x:c r="P434" s="99"/>
      <x:c r="Q434" s="99"/>
      <x:c r="R434" s="99"/>
      <x:c r="S434" s="99"/>
      <x:c r="T434" s="99"/>
      <x:c r="U434" s="99"/>
      <x:c r="V434" s="99"/>
      <x:c r="W434" s="99"/>
      <x:c r="X434" s="99"/>
      <x:c r="Y434" s="99"/>
      <x:c r="Z434" s="99"/>
    </x:row>
    <x:row r="435">
      <x:c r="A435" s="99"/>
      <x:c r="B435" s="99"/>
      <x:c r="C435" s="99"/>
      <x:c r="D435" s="99"/>
      <x:c r="E435" s="99"/>
      <x:c r="F435" s="99"/>
      <x:c r="G435" s="99"/>
      <x:c r="H435" s="99"/>
      <x:c r="I435" s="99"/>
      <x:c r="J435" s="99"/>
      <x:c r="K435" s="99"/>
      <x:c r="L435" s="99"/>
      <x:c r="M435" s="99"/>
      <x:c r="N435" s="99"/>
      <x:c r="O435" s="99"/>
      <x:c r="P435" s="99"/>
      <x:c r="Q435" s="99"/>
      <x:c r="R435" s="99"/>
      <x:c r="S435" s="99"/>
      <x:c r="T435" s="99"/>
      <x:c r="U435" s="99"/>
      <x:c r="V435" s="99"/>
      <x:c r="W435" s="99"/>
      <x:c r="X435" s="99"/>
      <x:c r="Y435" s="99"/>
      <x:c r="Z435" s="99"/>
    </x:row>
    <x:row r="436">
      <x:c r="A436" s="99"/>
      <x:c r="B436" s="99"/>
      <x:c r="C436" s="99"/>
      <x:c r="D436" s="99"/>
      <x:c r="E436" s="99"/>
      <x:c r="F436" s="99"/>
      <x:c r="G436" s="99"/>
      <x:c r="H436" s="99"/>
      <x:c r="I436" s="99"/>
      <x:c r="J436" s="99"/>
      <x:c r="K436" s="99"/>
      <x:c r="L436" s="99"/>
      <x:c r="M436" s="99"/>
      <x:c r="N436" s="99"/>
      <x:c r="O436" s="99"/>
      <x:c r="P436" s="99"/>
      <x:c r="Q436" s="99"/>
      <x:c r="R436" s="99"/>
      <x:c r="S436" s="99"/>
      <x:c r="T436" s="99"/>
      <x:c r="U436" s="99"/>
      <x:c r="V436" s="99"/>
      <x:c r="W436" s="99"/>
      <x:c r="X436" s="99"/>
      <x:c r="Y436" s="99"/>
      <x:c r="Z436" s="99"/>
    </x:row>
    <x:row r="437">
      <x:c r="A437" s="99"/>
      <x:c r="B437" s="99"/>
      <x:c r="C437" s="99"/>
      <x:c r="D437" s="99"/>
      <x:c r="E437" s="99"/>
      <x:c r="F437" s="99"/>
      <x:c r="G437" s="99"/>
      <x:c r="H437" s="99"/>
      <x:c r="I437" s="99"/>
      <x:c r="J437" s="99"/>
      <x:c r="K437" s="99"/>
      <x:c r="L437" s="99"/>
      <x:c r="M437" s="99"/>
      <x:c r="N437" s="99"/>
      <x:c r="O437" s="99"/>
      <x:c r="P437" s="99"/>
      <x:c r="Q437" s="99"/>
      <x:c r="R437" s="99"/>
      <x:c r="S437" s="99"/>
      <x:c r="T437" s="99"/>
      <x:c r="U437" s="99"/>
      <x:c r="V437" s="99"/>
      <x:c r="W437" s="99"/>
      <x:c r="X437" s="99"/>
      <x:c r="Y437" s="99"/>
      <x:c r="Z437" s="99"/>
    </x:row>
    <x:row r="438">
      <x:c r="A438" s="99"/>
      <x:c r="B438" s="99"/>
      <x:c r="C438" s="99"/>
      <x:c r="D438" s="99"/>
      <x:c r="E438" s="99"/>
      <x:c r="F438" s="99"/>
      <x:c r="G438" s="99"/>
      <x:c r="H438" s="99"/>
      <x:c r="I438" s="99"/>
      <x:c r="J438" s="99"/>
      <x:c r="K438" s="99"/>
      <x:c r="L438" s="99"/>
      <x:c r="M438" s="99"/>
      <x:c r="N438" s="99"/>
      <x:c r="O438" s="99"/>
      <x:c r="P438" s="99"/>
      <x:c r="Q438" s="99"/>
      <x:c r="R438" s="99"/>
      <x:c r="S438" s="99"/>
      <x:c r="T438" s="99"/>
      <x:c r="U438" s="99"/>
      <x:c r="V438" s="99"/>
      <x:c r="W438" s="99"/>
      <x:c r="X438" s="99"/>
      <x:c r="Y438" s="99"/>
      <x:c r="Z438" s="99"/>
    </x:row>
    <x:row r="439">
      <x:c r="A439" s="99"/>
      <x:c r="B439" s="99"/>
      <x:c r="C439" s="99"/>
      <x:c r="D439" s="99"/>
      <x:c r="E439" s="99"/>
      <x:c r="F439" s="99"/>
      <x:c r="G439" s="99"/>
      <x:c r="H439" s="99"/>
      <x:c r="I439" s="99"/>
      <x:c r="J439" s="99"/>
      <x:c r="K439" s="99"/>
      <x:c r="L439" s="99"/>
      <x:c r="M439" s="99"/>
      <x:c r="N439" s="99"/>
      <x:c r="O439" s="99"/>
      <x:c r="P439" s="99"/>
      <x:c r="Q439" s="99"/>
      <x:c r="R439" s="99"/>
      <x:c r="S439" s="99"/>
      <x:c r="T439" s="99"/>
      <x:c r="U439" s="99"/>
      <x:c r="V439" s="99"/>
      <x:c r="W439" s="99"/>
      <x:c r="X439" s="99"/>
      <x:c r="Y439" s="99"/>
      <x:c r="Z439" s="99"/>
    </x:row>
    <x:row r="440">
      <x:c r="A440" s="99"/>
      <x:c r="B440" s="99"/>
      <x:c r="C440" s="99"/>
      <x:c r="D440" s="99"/>
      <x:c r="E440" s="99"/>
      <x:c r="F440" s="99"/>
      <x:c r="G440" s="99"/>
      <x:c r="H440" s="99"/>
      <x:c r="I440" s="99"/>
      <x:c r="J440" s="99"/>
      <x:c r="K440" s="99"/>
      <x:c r="L440" s="99"/>
      <x:c r="M440" s="99"/>
      <x:c r="N440" s="99"/>
      <x:c r="O440" s="99"/>
      <x:c r="P440" s="99"/>
      <x:c r="Q440" s="99"/>
      <x:c r="R440" s="99"/>
      <x:c r="S440" s="99"/>
      <x:c r="T440" s="99"/>
      <x:c r="U440" s="99"/>
      <x:c r="V440" s="99"/>
      <x:c r="W440" s="99"/>
      <x:c r="X440" s="99"/>
      <x:c r="Y440" s="99"/>
      <x:c r="Z440" s="99"/>
    </x:row>
    <x:row r="441">
      <x:c r="A441" s="99"/>
      <x:c r="B441" s="99"/>
      <x:c r="C441" s="99"/>
      <x:c r="D441" s="99"/>
      <x:c r="E441" s="99"/>
      <x:c r="F441" s="99"/>
      <x:c r="G441" s="99"/>
      <x:c r="H441" s="99"/>
      <x:c r="I441" s="99"/>
      <x:c r="J441" s="99"/>
      <x:c r="K441" s="99"/>
      <x:c r="L441" s="99"/>
      <x:c r="M441" s="99"/>
      <x:c r="N441" s="99"/>
      <x:c r="O441" s="99"/>
      <x:c r="P441" s="99"/>
      <x:c r="Q441" s="99"/>
      <x:c r="R441" s="99"/>
      <x:c r="S441" s="99"/>
      <x:c r="T441" s="99"/>
      <x:c r="U441" s="99"/>
      <x:c r="V441" s="99"/>
      <x:c r="W441" s="99"/>
      <x:c r="X441" s="99"/>
      <x:c r="Y441" s="99"/>
      <x:c r="Z441" s="99"/>
    </x:row>
    <x:row r="442">
      <x:c r="A442" s="99"/>
      <x:c r="B442" s="99"/>
      <x:c r="C442" s="99"/>
      <x:c r="D442" s="99"/>
      <x:c r="E442" s="99"/>
      <x:c r="F442" s="99"/>
      <x:c r="G442" s="99"/>
      <x:c r="H442" s="99"/>
      <x:c r="I442" s="99"/>
      <x:c r="J442" s="99"/>
      <x:c r="K442" s="99"/>
      <x:c r="L442" s="99"/>
      <x:c r="M442" s="99"/>
      <x:c r="N442" s="99"/>
      <x:c r="O442" s="99"/>
      <x:c r="P442" s="99"/>
      <x:c r="Q442" s="99"/>
      <x:c r="R442" s="99"/>
      <x:c r="S442" s="99"/>
      <x:c r="T442" s="99"/>
      <x:c r="U442" s="99"/>
      <x:c r="V442" s="99"/>
      <x:c r="W442" s="99"/>
      <x:c r="X442" s="99"/>
      <x:c r="Y442" s="99"/>
      <x:c r="Z442" s="99"/>
    </x:row>
    <x:row r="443">
      <x:c r="A443" s="99"/>
      <x:c r="B443" s="99"/>
      <x:c r="C443" s="99"/>
      <x:c r="D443" s="99"/>
      <x:c r="E443" s="99"/>
      <x:c r="F443" s="99"/>
      <x:c r="G443" s="99"/>
      <x:c r="H443" s="99"/>
      <x:c r="I443" s="99"/>
      <x:c r="J443" s="99"/>
      <x:c r="K443" s="99"/>
      <x:c r="L443" s="99"/>
      <x:c r="M443" s="99"/>
      <x:c r="N443" s="99"/>
      <x:c r="O443" s="99"/>
      <x:c r="P443" s="99"/>
      <x:c r="Q443" s="99"/>
      <x:c r="R443" s="99"/>
      <x:c r="S443" s="99"/>
      <x:c r="T443" s="99"/>
      <x:c r="U443" s="99"/>
      <x:c r="V443" s="99"/>
      <x:c r="W443" s="99"/>
      <x:c r="X443" s="99"/>
      <x:c r="Y443" s="99"/>
      <x:c r="Z443" s="99"/>
    </x:row>
    <x:row r="444">
      <x:c r="A444" s="99"/>
      <x:c r="B444" s="99"/>
      <x:c r="C444" s="99"/>
      <x:c r="D444" s="99"/>
      <x:c r="E444" s="99"/>
      <x:c r="F444" s="99"/>
      <x:c r="G444" s="99"/>
      <x:c r="H444" s="99"/>
      <x:c r="I444" s="99"/>
      <x:c r="J444" s="99"/>
      <x:c r="K444" s="99"/>
      <x:c r="L444" s="99"/>
      <x:c r="M444" s="99"/>
      <x:c r="N444" s="99"/>
      <x:c r="O444" s="99"/>
      <x:c r="P444" s="99"/>
      <x:c r="Q444" s="99"/>
      <x:c r="R444" s="99"/>
      <x:c r="S444" s="99"/>
      <x:c r="T444" s="99"/>
      <x:c r="U444" s="99"/>
      <x:c r="V444" s="99"/>
      <x:c r="W444" s="99"/>
      <x:c r="X444" s="99"/>
      <x:c r="Y444" s="99"/>
      <x:c r="Z444" s="99"/>
    </x:row>
    <x:row r="445">
      <x:c r="A445" s="99"/>
      <x:c r="B445" s="99"/>
      <x:c r="C445" s="99"/>
      <x:c r="D445" s="99"/>
      <x:c r="E445" s="99"/>
      <x:c r="F445" s="99"/>
      <x:c r="G445" s="99"/>
      <x:c r="H445" s="99"/>
      <x:c r="I445" s="99"/>
      <x:c r="J445" s="99"/>
      <x:c r="K445" s="99"/>
      <x:c r="L445" s="99"/>
      <x:c r="M445" s="99"/>
      <x:c r="N445" s="99"/>
      <x:c r="O445" s="99"/>
      <x:c r="P445" s="99"/>
      <x:c r="Q445" s="99"/>
      <x:c r="R445" s="99"/>
      <x:c r="S445" s="99"/>
      <x:c r="T445" s="99"/>
      <x:c r="U445" s="99"/>
      <x:c r="V445" s="99"/>
      <x:c r="W445" s="99"/>
      <x:c r="X445" s="99"/>
      <x:c r="Y445" s="99"/>
      <x:c r="Z445" s="99"/>
    </x:row>
    <x:row r="446">
      <x:c r="A446" s="99"/>
      <x:c r="B446" s="99"/>
      <x:c r="C446" s="99"/>
      <x:c r="D446" s="99"/>
      <x:c r="E446" s="99"/>
      <x:c r="F446" s="99"/>
      <x:c r="G446" s="99"/>
      <x:c r="H446" s="99"/>
      <x:c r="I446" s="99"/>
      <x:c r="J446" s="99"/>
      <x:c r="K446" s="99"/>
      <x:c r="L446" s="99"/>
      <x:c r="M446" s="99"/>
      <x:c r="N446" s="99"/>
      <x:c r="O446" s="99"/>
      <x:c r="P446" s="99"/>
      <x:c r="Q446" s="99"/>
      <x:c r="R446" s="99"/>
      <x:c r="S446" s="99"/>
      <x:c r="T446" s="99"/>
      <x:c r="U446" s="99"/>
      <x:c r="V446" s="99"/>
      <x:c r="W446" s="99"/>
      <x:c r="X446" s="99"/>
      <x:c r="Y446" s="99"/>
      <x:c r="Z446" s="99"/>
    </x:row>
    <x:row r="447">
      <x:c r="A447" s="99"/>
      <x:c r="B447" s="99"/>
      <x:c r="C447" s="99"/>
      <x:c r="D447" s="99"/>
      <x:c r="E447" s="99"/>
      <x:c r="F447" s="99"/>
      <x:c r="G447" s="99"/>
      <x:c r="H447" s="99"/>
      <x:c r="I447" s="99"/>
      <x:c r="J447" s="99"/>
      <x:c r="K447" s="99"/>
      <x:c r="L447" s="99"/>
      <x:c r="M447" s="99"/>
      <x:c r="N447" s="99"/>
      <x:c r="O447" s="99"/>
      <x:c r="P447" s="99"/>
      <x:c r="Q447" s="99"/>
      <x:c r="R447" s="99"/>
      <x:c r="S447" s="99"/>
      <x:c r="T447" s="99"/>
      <x:c r="U447" s="99"/>
      <x:c r="V447" s="99"/>
      <x:c r="W447" s="99"/>
      <x:c r="X447" s="99"/>
      <x:c r="Y447" s="99"/>
      <x:c r="Z447" s="99"/>
    </x:row>
    <x:row r="448">
      <x:c r="A448" s="99"/>
      <x:c r="B448" s="99"/>
      <x:c r="C448" s="99"/>
      <x:c r="D448" s="99"/>
      <x:c r="E448" s="99"/>
      <x:c r="F448" s="99"/>
      <x:c r="G448" s="99"/>
      <x:c r="H448" s="99"/>
      <x:c r="I448" s="99"/>
      <x:c r="J448" s="99"/>
      <x:c r="K448" s="99"/>
      <x:c r="L448" s="99"/>
      <x:c r="M448" s="99"/>
      <x:c r="N448" s="99"/>
      <x:c r="O448" s="99"/>
      <x:c r="P448" s="99"/>
      <x:c r="Q448" s="99"/>
      <x:c r="R448" s="99"/>
      <x:c r="S448" s="99"/>
      <x:c r="T448" s="99"/>
      <x:c r="U448" s="99"/>
      <x:c r="V448" s="99"/>
      <x:c r="W448" s="99"/>
      <x:c r="X448" s="99"/>
      <x:c r="Y448" s="99"/>
      <x:c r="Z448" s="99"/>
    </x:row>
    <x:row r="449">
      <x:c r="A449" s="99"/>
      <x:c r="B449" s="99"/>
      <x:c r="C449" s="99"/>
      <x:c r="D449" s="99"/>
      <x:c r="E449" s="99"/>
      <x:c r="F449" s="99"/>
      <x:c r="G449" s="99"/>
      <x:c r="H449" s="99"/>
      <x:c r="I449" s="99"/>
      <x:c r="J449" s="99"/>
      <x:c r="K449" s="99"/>
      <x:c r="L449" s="99"/>
      <x:c r="M449" s="99"/>
      <x:c r="N449" s="99"/>
      <x:c r="O449" s="99"/>
      <x:c r="P449" s="99"/>
      <x:c r="Q449" s="99"/>
      <x:c r="R449" s="99"/>
      <x:c r="S449" s="99"/>
      <x:c r="T449" s="99"/>
      <x:c r="U449" s="99"/>
      <x:c r="V449" s="99"/>
      <x:c r="W449" s="99"/>
      <x:c r="X449" s="99"/>
      <x:c r="Y449" s="99"/>
      <x:c r="Z449" s="99"/>
    </x:row>
    <x:row r="450">
      <x:c r="A450" s="99"/>
      <x:c r="B450" s="99"/>
      <x:c r="C450" s="99"/>
      <x:c r="D450" s="99"/>
      <x:c r="E450" s="99"/>
      <x:c r="F450" s="99"/>
      <x:c r="G450" s="99"/>
      <x:c r="H450" s="99"/>
      <x:c r="I450" s="99"/>
      <x:c r="J450" s="99"/>
      <x:c r="K450" s="99"/>
      <x:c r="L450" s="99"/>
      <x:c r="M450" s="99"/>
      <x:c r="N450" s="99"/>
      <x:c r="O450" s="99"/>
      <x:c r="P450" s="99"/>
      <x:c r="Q450" s="99"/>
      <x:c r="R450" s="99"/>
      <x:c r="S450" s="99"/>
      <x:c r="T450" s="99"/>
      <x:c r="U450" s="99"/>
      <x:c r="V450" s="99"/>
      <x:c r="W450" s="99"/>
      <x:c r="X450" s="99"/>
      <x:c r="Y450" s="99"/>
      <x:c r="Z450" s="99"/>
    </x:row>
    <x:row r="451">
      <x:c r="A451" s="99"/>
      <x:c r="B451" s="99"/>
      <x:c r="C451" s="99"/>
      <x:c r="D451" s="99"/>
      <x:c r="E451" s="99"/>
      <x:c r="F451" s="99"/>
      <x:c r="G451" s="99"/>
      <x:c r="H451" s="99"/>
      <x:c r="I451" s="99"/>
      <x:c r="J451" s="99"/>
      <x:c r="K451" s="99"/>
      <x:c r="L451" s="99"/>
      <x:c r="M451" s="99"/>
      <x:c r="N451" s="99"/>
      <x:c r="O451" s="99"/>
      <x:c r="P451" s="99"/>
      <x:c r="Q451" s="99"/>
      <x:c r="R451" s="99"/>
      <x:c r="S451" s="99"/>
      <x:c r="T451" s="99"/>
      <x:c r="U451" s="99"/>
      <x:c r="V451" s="99"/>
      <x:c r="W451" s="99"/>
      <x:c r="X451" s="99"/>
      <x:c r="Y451" s="99"/>
      <x:c r="Z451" s="99"/>
    </x:row>
    <x:row r="452">
      <x:c r="A452" s="99"/>
      <x:c r="B452" s="99"/>
      <x:c r="C452" s="99"/>
      <x:c r="D452" s="99"/>
      <x:c r="E452" s="99"/>
      <x:c r="F452" s="99"/>
      <x:c r="G452" s="99"/>
      <x:c r="H452" s="99"/>
      <x:c r="I452" s="99"/>
      <x:c r="J452" s="99"/>
      <x:c r="K452" s="99"/>
      <x:c r="L452" s="99"/>
      <x:c r="M452" s="99"/>
      <x:c r="N452" s="99"/>
      <x:c r="O452" s="99"/>
      <x:c r="P452" s="99"/>
      <x:c r="Q452" s="99"/>
      <x:c r="R452" s="99"/>
      <x:c r="S452" s="99"/>
      <x:c r="T452" s="99"/>
      <x:c r="U452" s="99"/>
      <x:c r="V452" s="99"/>
      <x:c r="W452" s="99"/>
      <x:c r="X452" s="99"/>
      <x:c r="Y452" s="99"/>
      <x:c r="Z452" s="99"/>
    </x:row>
    <x:row r="453">
      <x:c r="A453" s="99"/>
      <x:c r="B453" s="99"/>
      <x:c r="C453" s="99"/>
      <x:c r="D453" s="99"/>
      <x:c r="E453" s="99"/>
      <x:c r="F453" s="99"/>
      <x:c r="G453" s="99"/>
      <x:c r="H453" s="99"/>
      <x:c r="I453" s="99"/>
      <x:c r="J453" s="99"/>
      <x:c r="K453" s="99"/>
      <x:c r="L453" s="99"/>
      <x:c r="M453" s="99"/>
      <x:c r="N453" s="99"/>
      <x:c r="O453" s="99"/>
      <x:c r="P453" s="99"/>
      <x:c r="Q453" s="99"/>
      <x:c r="R453" s="99"/>
      <x:c r="S453" s="99"/>
      <x:c r="T453" s="99"/>
      <x:c r="U453" s="99"/>
      <x:c r="V453" s="99"/>
      <x:c r="W453" s="99"/>
      <x:c r="X453" s="99"/>
      <x:c r="Y453" s="99"/>
      <x:c r="Z453" s="99"/>
    </x:row>
    <x:row r="454">
      <x:c r="A454" s="99"/>
      <x:c r="B454" s="99"/>
      <x:c r="C454" s="99"/>
      <x:c r="D454" s="99"/>
      <x:c r="E454" s="99"/>
      <x:c r="F454" s="99"/>
      <x:c r="G454" s="99"/>
      <x:c r="H454" s="99"/>
      <x:c r="I454" s="99"/>
      <x:c r="J454" s="99"/>
      <x:c r="K454" s="99"/>
      <x:c r="L454" s="99"/>
      <x:c r="M454" s="99"/>
      <x:c r="N454" s="99"/>
      <x:c r="O454" s="99"/>
      <x:c r="P454" s="99"/>
      <x:c r="Q454" s="99"/>
      <x:c r="R454" s="99"/>
      <x:c r="S454" s="99"/>
      <x:c r="T454" s="99"/>
      <x:c r="U454" s="99"/>
      <x:c r="V454" s="99"/>
      <x:c r="W454" s="99"/>
      <x:c r="X454" s="99"/>
      <x:c r="Y454" s="99"/>
      <x:c r="Z454" s="99"/>
    </x:row>
    <x:row r="455">
      <x:c r="A455" s="99"/>
      <x:c r="B455" s="99"/>
      <x:c r="C455" s="99"/>
      <x:c r="D455" s="99"/>
      <x:c r="E455" s="99"/>
      <x:c r="F455" s="99"/>
      <x:c r="G455" s="99"/>
      <x:c r="H455" s="99"/>
      <x:c r="I455" s="99"/>
      <x:c r="J455" s="99"/>
      <x:c r="K455" s="99"/>
      <x:c r="L455" s="99"/>
      <x:c r="M455" s="99"/>
      <x:c r="N455" s="99"/>
      <x:c r="O455" s="99"/>
      <x:c r="P455" s="99"/>
      <x:c r="Q455" s="99"/>
      <x:c r="R455" s="99"/>
      <x:c r="S455" s="99"/>
      <x:c r="T455" s="99"/>
      <x:c r="U455" s="99"/>
      <x:c r="V455" s="99"/>
      <x:c r="W455" s="99"/>
      <x:c r="X455" s="99"/>
      <x:c r="Y455" s="99"/>
      <x:c r="Z455" s="99"/>
    </x:row>
    <x:row r="456">
      <x:c r="A456" s="99"/>
      <x:c r="B456" s="99"/>
      <x:c r="C456" s="99"/>
      <x:c r="D456" s="99"/>
      <x:c r="E456" s="99"/>
      <x:c r="F456" s="99"/>
      <x:c r="G456" s="99"/>
      <x:c r="H456" s="99"/>
      <x:c r="I456" s="99"/>
      <x:c r="J456" s="99"/>
      <x:c r="K456" s="99"/>
      <x:c r="L456" s="99"/>
      <x:c r="M456" s="99"/>
      <x:c r="N456" s="99"/>
      <x:c r="O456" s="99"/>
      <x:c r="P456" s="99"/>
      <x:c r="Q456" s="99"/>
      <x:c r="R456" s="99"/>
      <x:c r="S456" s="99"/>
      <x:c r="T456" s="99"/>
      <x:c r="U456" s="99"/>
      <x:c r="V456" s="99"/>
      <x:c r="W456" s="99"/>
      <x:c r="X456" s="99"/>
      <x:c r="Y456" s="99"/>
      <x:c r="Z456" s="99"/>
    </x:row>
    <x:row r="457">
      <x:c r="A457" s="99"/>
      <x:c r="B457" s="99"/>
      <x:c r="C457" s="99"/>
      <x:c r="D457" s="99"/>
      <x:c r="E457" s="99"/>
      <x:c r="F457" s="99"/>
      <x:c r="G457" s="99"/>
      <x:c r="H457" s="99"/>
      <x:c r="I457" s="99"/>
      <x:c r="J457" s="99"/>
      <x:c r="K457" s="99"/>
      <x:c r="L457" s="99"/>
      <x:c r="M457" s="99"/>
      <x:c r="N457" s="99"/>
      <x:c r="O457" s="99"/>
      <x:c r="P457" s="99"/>
      <x:c r="Q457" s="99"/>
      <x:c r="R457" s="99"/>
      <x:c r="S457" s="99"/>
      <x:c r="T457" s="99"/>
      <x:c r="U457" s="99"/>
      <x:c r="V457" s="99"/>
      <x:c r="W457" s="99"/>
      <x:c r="X457" s="99"/>
      <x:c r="Y457" s="99"/>
      <x:c r="Z457" s="99"/>
    </x:row>
    <x:row r="458">
      <x:c r="A458" s="99"/>
      <x:c r="B458" s="99"/>
      <x:c r="C458" s="99"/>
      <x:c r="D458" s="99"/>
      <x:c r="E458" s="99"/>
      <x:c r="F458" s="99"/>
      <x:c r="G458" s="99"/>
      <x:c r="H458" s="99"/>
      <x:c r="I458" s="99"/>
      <x:c r="J458" s="99"/>
      <x:c r="K458" s="99"/>
      <x:c r="L458" s="99"/>
      <x:c r="M458" s="99"/>
      <x:c r="N458" s="99"/>
      <x:c r="O458" s="99"/>
      <x:c r="P458" s="99"/>
      <x:c r="Q458" s="99"/>
      <x:c r="R458" s="99"/>
      <x:c r="S458" s="99"/>
      <x:c r="T458" s="99"/>
      <x:c r="U458" s="99"/>
      <x:c r="V458" s="99"/>
      <x:c r="W458" s="99"/>
      <x:c r="X458" s="99"/>
      <x:c r="Y458" s="99"/>
      <x:c r="Z458" s="99"/>
    </x:row>
    <x:row r="459">
      <x:c r="A459" s="99"/>
      <x:c r="B459" s="99"/>
      <x:c r="C459" s="99"/>
      <x:c r="D459" s="99"/>
      <x:c r="E459" s="99"/>
      <x:c r="F459" s="99"/>
      <x:c r="G459" s="99"/>
      <x:c r="H459" s="99"/>
      <x:c r="I459" s="99"/>
      <x:c r="J459" s="99"/>
      <x:c r="K459" s="99"/>
      <x:c r="L459" s="99"/>
      <x:c r="M459" s="99"/>
      <x:c r="N459" s="99"/>
      <x:c r="O459" s="99"/>
      <x:c r="P459" s="99"/>
      <x:c r="Q459" s="99"/>
      <x:c r="R459" s="99"/>
      <x:c r="S459" s="99"/>
      <x:c r="T459" s="99"/>
      <x:c r="U459" s="99"/>
      <x:c r="V459" s="99"/>
      <x:c r="W459" s="99"/>
      <x:c r="X459" s="99"/>
      <x:c r="Y459" s="99"/>
      <x:c r="Z459" s="99"/>
    </x:row>
    <x:row r="460">
      <x:c r="A460" s="99"/>
      <x:c r="B460" s="99"/>
      <x:c r="C460" s="99"/>
      <x:c r="D460" s="99"/>
      <x:c r="E460" s="99"/>
      <x:c r="F460" s="99"/>
      <x:c r="G460" s="99"/>
      <x:c r="H460" s="99"/>
      <x:c r="I460" s="99"/>
      <x:c r="J460" s="99"/>
      <x:c r="K460" s="99"/>
      <x:c r="L460" s="99"/>
      <x:c r="M460" s="99"/>
      <x:c r="N460" s="99"/>
      <x:c r="O460" s="99"/>
      <x:c r="P460" s="99"/>
      <x:c r="Q460" s="99"/>
      <x:c r="R460" s="99"/>
      <x:c r="S460" s="99"/>
      <x:c r="T460" s="99"/>
      <x:c r="U460" s="99"/>
      <x:c r="V460" s="99"/>
      <x:c r="W460" s="99"/>
      <x:c r="X460" s="99"/>
      <x:c r="Y460" s="99"/>
      <x:c r="Z460" s="99"/>
    </x:row>
    <x:row r="461">
      <x:c r="A461" s="99"/>
      <x:c r="B461" s="99"/>
      <x:c r="C461" s="99"/>
      <x:c r="D461" s="99"/>
      <x:c r="E461" s="99"/>
      <x:c r="F461" s="99"/>
      <x:c r="G461" s="99"/>
      <x:c r="H461" s="99"/>
      <x:c r="I461" s="99"/>
      <x:c r="J461" s="99"/>
      <x:c r="K461" s="99"/>
      <x:c r="L461" s="99"/>
      <x:c r="M461" s="99"/>
      <x:c r="N461" s="99"/>
      <x:c r="O461" s="99"/>
      <x:c r="P461" s="99"/>
      <x:c r="Q461" s="99"/>
      <x:c r="R461" s="99"/>
      <x:c r="S461" s="99"/>
      <x:c r="T461" s="99"/>
      <x:c r="U461" s="99"/>
      <x:c r="V461" s="99"/>
      <x:c r="W461" s="99"/>
      <x:c r="X461" s="99"/>
      <x:c r="Y461" s="99"/>
      <x:c r="Z461" s="99"/>
    </x:row>
    <x:row r="462">
      <x:c r="A462" s="99"/>
      <x:c r="B462" s="99"/>
      <x:c r="C462" s="99"/>
      <x:c r="D462" s="99"/>
      <x:c r="E462" s="99"/>
      <x:c r="F462" s="99"/>
      <x:c r="G462" s="99"/>
      <x:c r="H462" s="99"/>
      <x:c r="I462" s="99"/>
      <x:c r="J462" s="99"/>
      <x:c r="K462" s="99"/>
      <x:c r="L462" s="99"/>
      <x:c r="M462" s="99"/>
      <x:c r="N462" s="99"/>
      <x:c r="O462" s="99"/>
      <x:c r="P462" s="99"/>
      <x:c r="Q462" s="99"/>
      <x:c r="R462" s="99"/>
      <x:c r="S462" s="99"/>
      <x:c r="T462" s="99"/>
      <x:c r="U462" s="99"/>
      <x:c r="V462" s="99"/>
      <x:c r="W462" s="99"/>
      <x:c r="X462" s="99"/>
      <x:c r="Y462" s="99"/>
      <x:c r="Z462" s="99"/>
    </x:row>
    <x:row r="463">
      <x:c r="A463" s="99"/>
      <x:c r="B463" s="99"/>
      <x:c r="C463" s="99"/>
      <x:c r="D463" s="99"/>
      <x:c r="E463" s="99"/>
      <x:c r="F463" s="99"/>
      <x:c r="G463" s="99"/>
      <x:c r="H463" s="99"/>
      <x:c r="I463" s="99"/>
      <x:c r="J463" s="99"/>
      <x:c r="K463" s="99"/>
      <x:c r="L463" s="99"/>
      <x:c r="M463" s="99"/>
      <x:c r="N463" s="99"/>
      <x:c r="O463" s="99"/>
      <x:c r="P463" s="99"/>
      <x:c r="Q463" s="99"/>
      <x:c r="R463" s="99"/>
      <x:c r="S463" s="99"/>
      <x:c r="T463" s="99"/>
      <x:c r="U463" s="99"/>
      <x:c r="V463" s="99"/>
      <x:c r="W463" s="99"/>
      <x:c r="X463" s="99"/>
      <x:c r="Y463" s="99"/>
      <x:c r="Z463" s="99"/>
    </x:row>
    <x:row r="464">
      <x:c r="A464" s="99"/>
      <x:c r="B464" s="99"/>
      <x:c r="C464" s="99"/>
      <x:c r="D464" s="99"/>
      <x:c r="E464" s="99"/>
      <x:c r="F464" s="99"/>
      <x:c r="G464" s="99"/>
      <x:c r="H464" s="99"/>
      <x:c r="I464" s="99"/>
      <x:c r="J464" s="99"/>
      <x:c r="K464" s="99"/>
      <x:c r="L464" s="99"/>
      <x:c r="M464" s="99"/>
      <x:c r="N464" s="99"/>
      <x:c r="O464" s="99"/>
      <x:c r="P464" s="99"/>
      <x:c r="Q464" s="99"/>
      <x:c r="R464" s="99"/>
      <x:c r="S464" s="99"/>
      <x:c r="T464" s="99"/>
      <x:c r="U464" s="99"/>
      <x:c r="V464" s="99"/>
      <x:c r="W464" s="99"/>
      <x:c r="X464" s="99"/>
      <x:c r="Y464" s="99"/>
      <x:c r="Z464" s="99"/>
    </x:row>
    <x:row r="465">
      <x:c r="A465" s="99"/>
      <x:c r="B465" s="99"/>
      <x:c r="C465" s="99"/>
      <x:c r="D465" s="99"/>
      <x:c r="E465" s="99"/>
      <x:c r="F465" s="99"/>
      <x:c r="G465" s="99"/>
      <x:c r="H465" s="99"/>
      <x:c r="I465" s="99"/>
      <x:c r="J465" s="99"/>
      <x:c r="K465" s="99"/>
      <x:c r="L465" s="99"/>
      <x:c r="M465" s="99"/>
      <x:c r="N465" s="99"/>
      <x:c r="O465" s="99"/>
      <x:c r="P465" s="99"/>
      <x:c r="Q465" s="99"/>
      <x:c r="R465" s="99"/>
      <x:c r="S465" s="99"/>
      <x:c r="T465" s="99"/>
      <x:c r="U465" s="99"/>
      <x:c r="V465" s="99"/>
      <x:c r="W465" s="99"/>
      <x:c r="X465" s="99"/>
      <x:c r="Y465" s="99"/>
      <x:c r="Z465" s="99"/>
    </x:row>
    <x:row r="466">
      <x:c r="A466" s="99"/>
      <x:c r="B466" s="99"/>
      <x:c r="C466" s="99"/>
      <x:c r="D466" s="99"/>
      <x:c r="E466" s="99"/>
      <x:c r="F466" s="99"/>
      <x:c r="G466" s="99"/>
      <x:c r="H466" s="99"/>
      <x:c r="I466" s="99"/>
      <x:c r="J466" s="99"/>
      <x:c r="K466" s="99"/>
      <x:c r="L466" s="99"/>
      <x:c r="M466" s="99"/>
      <x:c r="N466" s="99"/>
      <x:c r="O466" s="99"/>
      <x:c r="P466" s="99"/>
      <x:c r="Q466" s="99"/>
      <x:c r="R466" s="99"/>
      <x:c r="S466" s="99"/>
      <x:c r="T466" s="99"/>
      <x:c r="U466" s="99"/>
      <x:c r="V466" s="99"/>
      <x:c r="W466" s="99"/>
      <x:c r="X466" s="99"/>
      <x:c r="Y466" s="99"/>
      <x:c r="Z466" s="99"/>
    </x:row>
    <x:row r="467">
      <x:c r="A467" s="99"/>
      <x:c r="B467" s="99"/>
      <x:c r="C467" s="99"/>
      <x:c r="D467" s="99"/>
      <x:c r="E467" s="99"/>
      <x:c r="F467" s="99"/>
      <x:c r="G467" s="99"/>
      <x:c r="H467" s="99"/>
      <x:c r="I467" s="99"/>
      <x:c r="J467" s="99"/>
      <x:c r="K467" s="99"/>
      <x:c r="L467" s="99"/>
      <x:c r="M467" s="99"/>
      <x:c r="N467" s="99"/>
      <x:c r="O467" s="99"/>
      <x:c r="P467" s="99"/>
      <x:c r="Q467" s="99"/>
      <x:c r="R467" s="99"/>
      <x:c r="S467" s="99"/>
      <x:c r="T467" s="99"/>
      <x:c r="U467" s="99"/>
      <x:c r="V467" s="99"/>
      <x:c r="W467" s="99"/>
      <x:c r="X467" s="99"/>
      <x:c r="Y467" s="99"/>
      <x:c r="Z467" s="99"/>
    </x:row>
    <x:row r="468">
      <x:c r="A468" s="99"/>
      <x:c r="B468" s="99"/>
      <x:c r="C468" s="99"/>
      <x:c r="D468" s="99"/>
      <x:c r="E468" s="99"/>
      <x:c r="F468" s="99"/>
      <x:c r="G468" s="99"/>
      <x:c r="H468" s="99"/>
      <x:c r="I468" s="99"/>
      <x:c r="J468" s="99"/>
      <x:c r="K468" s="99"/>
      <x:c r="L468" s="99"/>
      <x:c r="M468" s="99"/>
      <x:c r="N468" s="99"/>
      <x:c r="O468" s="99"/>
      <x:c r="P468" s="99"/>
      <x:c r="Q468" s="99"/>
      <x:c r="R468" s="99"/>
      <x:c r="S468" s="99"/>
      <x:c r="T468" s="99"/>
      <x:c r="U468" s="99"/>
      <x:c r="V468" s="99"/>
      <x:c r="W468" s="99"/>
      <x:c r="X468" s="99"/>
      <x:c r="Y468" s="99"/>
      <x:c r="Z468" s="99"/>
    </x:row>
    <x:row r="469">
      <x:c r="A469" s="99"/>
      <x:c r="B469" s="99"/>
      <x:c r="C469" s="99"/>
      <x:c r="D469" s="99"/>
      <x:c r="E469" s="99"/>
      <x:c r="F469" s="99"/>
      <x:c r="G469" s="99"/>
      <x:c r="H469" s="99"/>
      <x:c r="I469" s="99"/>
      <x:c r="J469" s="99"/>
      <x:c r="K469" s="99"/>
      <x:c r="L469" s="99"/>
      <x:c r="M469" s="99"/>
      <x:c r="N469" s="99"/>
      <x:c r="O469" s="99"/>
      <x:c r="P469" s="99"/>
      <x:c r="Q469" s="99"/>
      <x:c r="R469" s="99"/>
      <x:c r="S469" s="99"/>
      <x:c r="T469" s="99"/>
      <x:c r="U469" s="99"/>
      <x:c r="V469" s="99"/>
      <x:c r="W469" s="99"/>
      <x:c r="X469" s="99"/>
      <x:c r="Y469" s="99"/>
      <x:c r="Z469" s="99"/>
    </x:row>
    <x:row r="470">
      <x:c r="A470" s="99"/>
      <x:c r="B470" s="99"/>
      <x:c r="C470" s="99"/>
      <x:c r="D470" s="99"/>
      <x:c r="E470" s="99"/>
      <x:c r="F470" s="99"/>
      <x:c r="G470" s="99"/>
      <x:c r="H470" s="99"/>
      <x:c r="I470" s="99"/>
      <x:c r="J470" s="99"/>
      <x:c r="K470" s="99"/>
      <x:c r="L470" s="99"/>
      <x:c r="M470" s="99"/>
      <x:c r="N470" s="99"/>
      <x:c r="O470" s="99"/>
      <x:c r="P470" s="99"/>
      <x:c r="Q470" s="99"/>
      <x:c r="R470" s="99"/>
      <x:c r="S470" s="99"/>
      <x:c r="T470" s="99"/>
      <x:c r="U470" s="99"/>
      <x:c r="V470" s="99"/>
      <x:c r="W470" s="99"/>
      <x:c r="X470" s="99"/>
      <x:c r="Y470" s="99"/>
      <x:c r="Z470" s="99"/>
    </x:row>
    <x:row r="471">
      <x:c r="A471" s="99"/>
      <x:c r="B471" s="99"/>
      <x:c r="C471" s="99"/>
      <x:c r="D471" s="99"/>
      <x:c r="E471" s="99"/>
      <x:c r="F471" s="99"/>
      <x:c r="G471" s="99"/>
      <x:c r="H471" s="99"/>
      <x:c r="I471" s="99"/>
      <x:c r="J471" s="99"/>
      <x:c r="K471" s="99"/>
      <x:c r="L471" s="99"/>
      <x:c r="M471" s="99"/>
      <x:c r="N471" s="99"/>
      <x:c r="O471" s="99"/>
      <x:c r="P471" s="99"/>
      <x:c r="Q471" s="99"/>
      <x:c r="R471" s="99"/>
      <x:c r="S471" s="99"/>
      <x:c r="T471" s="99"/>
      <x:c r="U471" s="99"/>
      <x:c r="V471" s="99"/>
      <x:c r="W471" s="99"/>
      <x:c r="X471" s="99"/>
      <x:c r="Y471" s="99"/>
      <x:c r="Z471" s="99"/>
    </x:row>
    <x:row r="472">
      <x:c r="A472" s="99"/>
      <x:c r="B472" s="99"/>
      <x:c r="C472" s="99"/>
      <x:c r="D472" s="99"/>
      <x:c r="E472" s="99"/>
      <x:c r="F472" s="99"/>
      <x:c r="G472" s="99"/>
      <x:c r="H472" s="99"/>
      <x:c r="I472" s="99"/>
      <x:c r="J472" s="99"/>
      <x:c r="K472" s="99"/>
      <x:c r="L472" s="99"/>
      <x:c r="M472" s="99"/>
      <x:c r="N472" s="99"/>
      <x:c r="O472" s="99"/>
      <x:c r="P472" s="99"/>
      <x:c r="Q472" s="99"/>
      <x:c r="R472" s="99"/>
      <x:c r="S472" s="99"/>
      <x:c r="T472" s="99"/>
      <x:c r="U472" s="99"/>
      <x:c r="V472" s="99"/>
      <x:c r="W472" s="99"/>
      <x:c r="X472" s="99"/>
      <x:c r="Y472" s="99"/>
      <x:c r="Z472" s="99"/>
    </x:row>
    <x:row r="473">
      <x:c r="A473" s="99"/>
      <x:c r="B473" s="99"/>
      <x:c r="C473" s="99"/>
      <x:c r="D473" s="99"/>
      <x:c r="E473" s="99"/>
      <x:c r="F473" s="99"/>
      <x:c r="G473" s="99"/>
      <x:c r="H473" s="99"/>
      <x:c r="I473" s="99"/>
      <x:c r="J473" s="99"/>
      <x:c r="K473" s="99"/>
      <x:c r="L473" s="99"/>
      <x:c r="M473" s="99"/>
      <x:c r="N473" s="99"/>
      <x:c r="O473" s="99"/>
      <x:c r="P473" s="99"/>
      <x:c r="Q473" s="99"/>
      <x:c r="R473" s="99"/>
      <x:c r="S473" s="99"/>
      <x:c r="T473" s="99"/>
      <x:c r="U473" s="99"/>
      <x:c r="V473" s="99"/>
      <x:c r="W473" s="99"/>
      <x:c r="X473" s="99"/>
      <x:c r="Y473" s="99"/>
      <x:c r="Z473" s="99"/>
    </x:row>
    <x:row r="474">
      <x:c r="A474" s="99"/>
      <x:c r="B474" s="99"/>
      <x:c r="C474" s="99"/>
      <x:c r="D474" s="99"/>
      <x:c r="E474" s="99"/>
      <x:c r="F474" s="99"/>
      <x:c r="G474" s="99"/>
      <x:c r="H474" s="99"/>
      <x:c r="I474" s="99"/>
      <x:c r="J474" s="99"/>
      <x:c r="K474" s="99"/>
      <x:c r="L474" s="99"/>
      <x:c r="M474" s="99"/>
      <x:c r="N474" s="99"/>
      <x:c r="O474" s="99"/>
      <x:c r="P474" s="99"/>
      <x:c r="Q474" s="99"/>
      <x:c r="R474" s="99"/>
      <x:c r="S474" s="99"/>
      <x:c r="T474" s="99"/>
      <x:c r="U474" s="99"/>
      <x:c r="V474" s="99"/>
      <x:c r="W474" s="99"/>
      <x:c r="X474" s="99"/>
      <x:c r="Y474" s="99"/>
      <x:c r="Z474" s="99"/>
    </x:row>
    <x:row r="475">
      <x:c r="A475" s="99"/>
      <x:c r="B475" s="99"/>
      <x:c r="C475" s="99"/>
      <x:c r="D475" s="99"/>
      <x:c r="E475" s="99"/>
      <x:c r="F475" s="99"/>
      <x:c r="G475" s="99"/>
      <x:c r="H475" s="99"/>
      <x:c r="I475" s="99"/>
      <x:c r="J475" s="99"/>
      <x:c r="K475" s="99"/>
      <x:c r="L475" s="99"/>
      <x:c r="M475" s="99"/>
      <x:c r="N475" s="99"/>
      <x:c r="O475" s="99"/>
      <x:c r="P475" s="99"/>
      <x:c r="Q475" s="99"/>
      <x:c r="R475" s="99"/>
      <x:c r="S475" s="99"/>
      <x:c r="T475" s="99"/>
      <x:c r="U475" s="99"/>
      <x:c r="V475" s="99"/>
      <x:c r="W475" s="99"/>
      <x:c r="X475" s="99"/>
      <x:c r="Y475" s="99"/>
      <x:c r="Z475" s="99"/>
    </x:row>
    <x:row r="476">
      <x:c r="A476" s="99"/>
      <x:c r="B476" s="99"/>
      <x:c r="C476" s="99"/>
      <x:c r="D476" s="99"/>
      <x:c r="E476" s="99"/>
      <x:c r="F476" s="99"/>
      <x:c r="G476" s="99"/>
      <x:c r="H476" s="99"/>
      <x:c r="I476" s="99"/>
      <x:c r="J476" s="99"/>
      <x:c r="K476" s="99"/>
      <x:c r="L476" s="99"/>
      <x:c r="M476" s="99"/>
      <x:c r="N476" s="99"/>
      <x:c r="O476" s="99"/>
      <x:c r="P476" s="99"/>
      <x:c r="Q476" s="99"/>
      <x:c r="R476" s="99"/>
      <x:c r="S476" s="99"/>
      <x:c r="T476" s="99"/>
      <x:c r="U476" s="99"/>
      <x:c r="V476" s="99"/>
      <x:c r="W476" s="99"/>
      <x:c r="X476" s="99"/>
      <x:c r="Y476" s="99"/>
      <x:c r="Z476" s="99"/>
    </x:row>
    <x:row r="477">
      <x:c r="A477" s="99"/>
      <x:c r="B477" s="99"/>
      <x:c r="C477" s="99"/>
      <x:c r="D477" s="99"/>
      <x:c r="E477" s="99"/>
      <x:c r="F477" s="99"/>
      <x:c r="G477" s="99"/>
      <x:c r="H477" s="99"/>
      <x:c r="I477" s="99"/>
      <x:c r="J477" s="99"/>
      <x:c r="K477" s="99"/>
      <x:c r="L477" s="99"/>
      <x:c r="M477" s="99"/>
      <x:c r="N477" s="99"/>
      <x:c r="O477" s="99"/>
      <x:c r="P477" s="99"/>
      <x:c r="Q477" s="99"/>
      <x:c r="R477" s="99"/>
      <x:c r="S477" s="99"/>
      <x:c r="T477" s="99"/>
      <x:c r="U477" s="99"/>
      <x:c r="V477" s="99"/>
      <x:c r="W477" s="99"/>
      <x:c r="X477" s="99"/>
      <x:c r="Y477" s="99"/>
      <x:c r="Z477" s="99"/>
    </x:row>
    <x:row r="478">
      <x:c r="A478" s="99"/>
      <x:c r="B478" s="99"/>
      <x:c r="C478" s="99"/>
      <x:c r="D478" s="99"/>
      <x:c r="E478" s="99"/>
      <x:c r="F478" s="99"/>
      <x:c r="G478" s="99"/>
      <x:c r="H478" s="99"/>
      <x:c r="I478" s="99"/>
      <x:c r="J478" s="99"/>
      <x:c r="K478" s="99"/>
      <x:c r="L478" s="99"/>
      <x:c r="M478" s="99"/>
      <x:c r="N478" s="99"/>
      <x:c r="O478" s="99"/>
      <x:c r="P478" s="99"/>
      <x:c r="Q478" s="99"/>
      <x:c r="R478" s="99"/>
      <x:c r="S478" s="99"/>
      <x:c r="T478" s="99"/>
      <x:c r="U478" s="99"/>
      <x:c r="V478" s="99"/>
      <x:c r="W478" s="99"/>
      <x:c r="X478" s="99"/>
      <x:c r="Y478" s="99"/>
      <x:c r="Z478" s="99"/>
    </x:row>
    <x:row r="479">
      <x:c r="A479" s="99"/>
      <x:c r="B479" s="99"/>
      <x:c r="C479" s="99"/>
      <x:c r="D479" s="99"/>
      <x:c r="E479" s="99"/>
      <x:c r="F479" s="99"/>
      <x:c r="G479" s="99"/>
      <x:c r="H479" s="99"/>
      <x:c r="I479" s="99"/>
      <x:c r="J479" s="99"/>
      <x:c r="K479" s="99"/>
      <x:c r="L479" s="99"/>
      <x:c r="M479" s="99"/>
      <x:c r="N479" s="99"/>
      <x:c r="O479" s="99"/>
      <x:c r="P479" s="99"/>
      <x:c r="Q479" s="99"/>
      <x:c r="R479" s="99"/>
      <x:c r="S479" s="99"/>
      <x:c r="T479" s="99"/>
      <x:c r="U479" s="99"/>
      <x:c r="V479" s="99"/>
      <x:c r="W479" s="99"/>
      <x:c r="X479" s="99"/>
      <x:c r="Y479" s="99"/>
      <x:c r="Z479" s="99"/>
    </x:row>
    <x:row r="480">
      <x:c r="A480" s="99"/>
      <x:c r="B480" s="99"/>
      <x:c r="C480" s="99"/>
      <x:c r="D480" s="99"/>
      <x:c r="E480" s="99"/>
      <x:c r="F480" s="99"/>
      <x:c r="G480" s="99"/>
      <x:c r="H480" s="99"/>
      <x:c r="I480" s="99"/>
      <x:c r="J480" s="99"/>
      <x:c r="K480" s="99"/>
      <x:c r="L480" s="99"/>
      <x:c r="M480" s="99"/>
      <x:c r="N480" s="99"/>
      <x:c r="O480" s="99"/>
      <x:c r="P480" s="99"/>
      <x:c r="Q480" s="99"/>
      <x:c r="R480" s="99"/>
      <x:c r="S480" s="99"/>
      <x:c r="T480" s="99"/>
      <x:c r="U480" s="99"/>
      <x:c r="V480" s="99"/>
      <x:c r="W480" s="99"/>
      <x:c r="X480" s="99"/>
      <x:c r="Y480" s="99"/>
      <x:c r="Z480" s="99"/>
    </x:row>
    <x:row r="481">
      <x:c r="A481" s="99"/>
      <x:c r="B481" s="99"/>
      <x:c r="C481" s="99"/>
      <x:c r="D481" s="99"/>
      <x:c r="E481" s="99"/>
      <x:c r="F481" s="99"/>
      <x:c r="G481" s="99"/>
      <x:c r="H481" s="99"/>
      <x:c r="I481" s="99"/>
      <x:c r="J481" s="99"/>
      <x:c r="K481" s="99"/>
      <x:c r="L481" s="99"/>
      <x:c r="M481" s="99"/>
      <x:c r="N481" s="99"/>
      <x:c r="O481" s="99"/>
      <x:c r="P481" s="99"/>
      <x:c r="Q481" s="99"/>
      <x:c r="R481" s="99"/>
      <x:c r="S481" s="99"/>
      <x:c r="T481" s="99"/>
      <x:c r="U481" s="99"/>
      <x:c r="V481" s="99"/>
      <x:c r="W481" s="99"/>
      <x:c r="X481" s="99"/>
      <x:c r="Y481" s="99"/>
      <x:c r="Z481" s="99"/>
    </x:row>
    <x:row r="482">
      <x:c r="A482" s="99"/>
      <x:c r="B482" s="99"/>
      <x:c r="C482" s="99"/>
      <x:c r="D482" s="99"/>
      <x:c r="E482" s="99"/>
      <x:c r="F482" s="99"/>
      <x:c r="G482" s="99"/>
      <x:c r="H482" s="99"/>
      <x:c r="I482" s="99"/>
      <x:c r="J482" s="99"/>
      <x:c r="K482" s="99"/>
      <x:c r="L482" s="99"/>
      <x:c r="M482" s="99"/>
      <x:c r="N482" s="99"/>
      <x:c r="O482" s="99"/>
      <x:c r="P482" s="99"/>
      <x:c r="Q482" s="99"/>
      <x:c r="R482" s="99"/>
      <x:c r="S482" s="99"/>
      <x:c r="T482" s="99"/>
      <x:c r="U482" s="99"/>
      <x:c r="V482" s="99"/>
      <x:c r="W482" s="99"/>
      <x:c r="X482" s="99"/>
      <x:c r="Y482" s="99"/>
      <x:c r="Z482" s="99"/>
    </x:row>
    <x:row r="483">
      <x:c r="A483" s="99"/>
      <x:c r="B483" s="99"/>
      <x:c r="C483" s="99"/>
      <x:c r="D483" s="99"/>
      <x:c r="E483" s="99"/>
      <x:c r="F483" s="99"/>
      <x:c r="G483" s="99"/>
      <x:c r="H483" s="99"/>
      <x:c r="I483" s="99"/>
      <x:c r="J483" s="99"/>
      <x:c r="K483" s="99"/>
      <x:c r="L483" s="99"/>
      <x:c r="M483" s="99"/>
      <x:c r="N483" s="99"/>
      <x:c r="O483" s="99"/>
      <x:c r="P483" s="99"/>
      <x:c r="Q483" s="99"/>
      <x:c r="R483" s="99"/>
      <x:c r="S483" s="99"/>
      <x:c r="T483" s="99"/>
      <x:c r="U483" s="99"/>
      <x:c r="V483" s="99"/>
      <x:c r="W483" s="99"/>
      <x:c r="X483" s="99"/>
      <x:c r="Y483" s="99"/>
      <x:c r="Z483" s="99"/>
    </x:row>
    <x:row r="484">
      <x:c r="A484" s="99"/>
      <x:c r="B484" s="99"/>
      <x:c r="C484" s="99"/>
      <x:c r="D484" s="99"/>
      <x:c r="E484" s="99"/>
      <x:c r="F484" s="99"/>
      <x:c r="G484" s="99"/>
      <x:c r="H484" s="99"/>
      <x:c r="I484" s="99"/>
      <x:c r="J484" s="99"/>
      <x:c r="K484" s="99"/>
      <x:c r="L484" s="99"/>
      <x:c r="M484" s="99"/>
      <x:c r="N484" s="99"/>
      <x:c r="O484" s="99"/>
      <x:c r="P484" s="99"/>
      <x:c r="Q484" s="99"/>
      <x:c r="R484" s="99"/>
      <x:c r="S484" s="99"/>
      <x:c r="T484" s="99"/>
      <x:c r="U484" s="99"/>
      <x:c r="V484" s="99"/>
      <x:c r="W484" s="99"/>
      <x:c r="X484" s="99"/>
      <x:c r="Y484" s="99"/>
      <x:c r="Z484" s="99"/>
    </x:row>
    <x:row r="485">
      <x:c r="A485" s="99"/>
      <x:c r="B485" s="99"/>
      <x:c r="C485" s="99"/>
      <x:c r="D485" s="99"/>
      <x:c r="E485" s="99"/>
      <x:c r="F485" s="99"/>
      <x:c r="G485" s="99"/>
      <x:c r="H485" s="99"/>
      <x:c r="I485" s="99"/>
      <x:c r="J485" s="99"/>
      <x:c r="K485" s="99"/>
      <x:c r="L485" s="99"/>
      <x:c r="M485" s="99"/>
      <x:c r="N485" s="99"/>
      <x:c r="O485" s="99"/>
      <x:c r="P485" s="99"/>
      <x:c r="Q485" s="99"/>
      <x:c r="R485" s="99"/>
      <x:c r="S485" s="99"/>
      <x:c r="T485" s="99"/>
      <x:c r="U485" s="99"/>
      <x:c r="V485" s="99"/>
      <x:c r="W485" s="99"/>
      <x:c r="X485" s="99"/>
      <x:c r="Y485" s="99"/>
      <x:c r="Z485" s="99"/>
    </x:row>
    <x:row r="486">
      <x:c r="A486" s="99"/>
      <x:c r="B486" s="99"/>
      <x:c r="C486" s="99"/>
      <x:c r="D486" s="99"/>
      <x:c r="E486" s="99"/>
      <x:c r="F486" s="99"/>
      <x:c r="G486" s="99"/>
      <x:c r="H486" s="99"/>
      <x:c r="I486" s="99"/>
      <x:c r="J486" s="99"/>
      <x:c r="K486" s="99"/>
      <x:c r="L486" s="99"/>
      <x:c r="M486" s="99"/>
      <x:c r="N486" s="99"/>
      <x:c r="O486" s="99"/>
      <x:c r="P486" s="99"/>
      <x:c r="Q486" s="99"/>
      <x:c r="R486" s="99"/>
      <x:c r="S486" s="99"/>
      <x:c r="T486" s="99"/>
      <x:c r="U486" s="99"/>
      <x:c r="V486" s="99"/>
      <x:c r="W486" s="99"/>
      <x:c r="X486" s="99"/>
      <x:c r="Y486" s="99"/>
      <x:c r="Z486" s="99"/>
    </x:row>
    <x:row r="487">
      <x:c r="A487" s="99"/>
      <x:c r="B487" s="99"/>
      <x:c r="C487" s="99"/>
      <x:c r="D487" s="99"/>
      <x:c r="E487" s="99"/>
      <x:c r="F487" s="99"/>
      <x:c r="G487" s="99"/>
      <x:c r="H487" s="99"/>
      <x:c r="I487" s="99"/>
      <x:c r="J487" s="99"/>
      <x:c r="K487" s="99"/>
      <x:c r="L487" s="99"/>
      <x:c r="M487" s="99"/>
      <x:c r="N487" s="99"/>
      <x:c r="O487" s="99"/>
      <x:c r="P487" s="99"/>
      <x:c r="Q487" s="99"/>
      <x:c r="R487" s="99"/>
      <x:c r="S487" s="99"/>
      <x:c r="T487" s="99"/>
      <x:c r="U487" s="99"/>
      <x:c r="V487" s="99"/>
      <x:c r="W487" s="99"/>
      <x:c r="X487" s="99"/>
      <x:c r="Y487" s="99"/>
      <x:c r="Z487" s="99"/>
    </x:row>
    <x:row r="488">
      <x:c r="A488" s="99"/>
      <x:c r="B488" s="99"/>
      <x:c r="C488" s="99"/>
      <x:c r="D488" s="99"/>
      <x:c r="E488" s="99"/>
      <x:c r="F488" s="99"/>
      <x:c r="G488" s="99"/>
      <x:c r="H488" s="99"/>
      <x:c r="I488" s="99"/>
      <x:c r="J488" s="99"/>
      <x:c r="K488" s="99"/>
      <x:c r="L488" s="99"/>
      <x:c r="M488" s="99"/>
      <x:c r="N488" s="99"/>
      <x:c r="O488" s="99"/>
      <x:c r="P488" s="99"/>
      <x:c r="Q488" s="99"/>
      <x:c r="R488" s="99"/>
      <x:c r="S488" s="99"/>
      <x:c r="T488" s="99"/>
      <x:c r="U488" s="99"/>
      <x:c r="V488" s="99"/>
      <x:c r="W488" s="99"/>
      <x:c r="X488" s="99"/>
      <x:c r="Y488" s="99"/>
      <x:c r="Z488" s="99"/>
    </x:row>
    <x:row r="489">
      <x:c r="A489" s="99"/>
      <x:c r="B489" s="99"/>
      <x:c r="C489" s="99"/>
      <x:c r="D489" s="99"/>
      <x:c r="E489" s="99"/>
      <x:c r="F489" s="99"/>
      <x:c r="G489" s="99"/>
      <x:c r="H489" s="99"/>
      <x:c r="I489" s="99"/>
      <x:c r="J489" s="99"/>
      <x:c r="K489" s="99"/>
      <x:c r="L489" s="99"/>
      <x:c r="M489" s="99"/>
      <x:c r="N489" s="99"/>
      <x:c r="O489" s="99"/>
      <x:c r="P489" s="99"/>
      <x:c r="Q489" s="99"/>
      <x:c r="R489" s="99"/>
      <x:c r="S489" s="99"/>
      <x:c r="T489" s="99"/>
      <x:c r="U489" s="99"/>
      <x:c r="V489" s="99"/>
      <x:c r="W489" s="99"/>
      <x:c r="X489" s="99"/>
      <x:c r="Y489" s="99"/>
      <x:c r="Z489" s="99"/>
    </x:row>
    <x:row r="490">
      <x:c r="A490" s="99"/>
      <x:c r="B490" s="99"/>
      <x:c r="C490" s="99"/>
      <x:c r="D490" s="99"/>
      <x:c r="E490" s="99"/>
      <x:c r="F490" s="99"/>
      <x:c r="G490" s="99"/>
      <x:c r="H490" s="99"/>
      <x:c r="I490" s="99"/>
      <x:c r="J490" s="99"/>
      <x:c r="K490" s="99"/>
      <x:c r="L490" s="99"/>
      <x:c r="M490" s="99"/>
      <x:c r="N490" s="99"/>
      <x:c r="O490" s="99"/>
      <x:c r="P490" s="99"/>
      <x:c r="Q490" s="99"/>
      <x:c r="R490" s="99"/>
      <x:c r="S490" s="99"/>
      <x:c r="T490" s="99"/>
      <x:c r="U490" s="99"/>
      <x:c r="V490" s="99"/>
      <x:c r="W490" s="99"/>
      <x:c r="X490" s="99"/>
      <x:c r="Y490" s="99"/>
      <x:c r="Z490" s="99"/>
    </x:row>
    <x:row r="491">
      <x:c r="A491" s="99"/>
      <x:c r="B491" s="99"/>
      <x:c r="C491" s="99"/>
      <x:c r="D491" s="99"/>
      <x:c r="E491" s="99"/>
      <x:c r="F491" s="99"/>
      <x:c r="G491" s="99"/>
      <x:c r="H491" s="99"/>
      <x:c r="I491" s="99"/>
      <x:c r="J491" s="99"/>
      <x:c r="K491" s="99"/>
      <x:c r="L491" s="99"/>
      <x:c r="M491" s="99"/>
      <x:c r="N491" s="99"/>
      <x:c r="O491" s="99"/>
      <x:c r="P491" s="99"/>
      <x:c r="Q491" s="99"/>
      <x:c r="R491" s="99"/>
      <x:c r="S491" s="99"/>
      <x:c r="T491" s="99"/>
      <x:c r="U491" s="99"/>
      <x:c r="V491" s="99"/>
      <x:c r="W491" s="99"/>
      <x:c r="X491" s="99"/>
      <x:c r="Y491" s="99"/>
      <x:c r="Z491" s="99"/>
    </x:row>
    <x:row r="492">
      <x:c r="A492" s="99"/>
      <x:c r="B492" s="99"/>
      <x:c r="C492" s="99"/>
      <x:c r="D492" s="99"/>
      <x:c r="E492" s="99"/>
      <x:c r="F492" s="99"/>
      <x:c r="G492" s="99"/>
      <x:c r="H492" s="99"/>
      <x:c r="I492" s="99"/>
      <x:c r="J492" s="99"/>
      <x:c r="K492" s="99"/>
      <x:c r="L492" s="99"/>
      <x:c r="M492" s="99"/>
      <x:c r="N492" s="99"/>
      <x:c r="O492" s="99"/>
      <x:c r="P492" s="99"/>
      <x:c r="Q492" s="99"/>
      <x:c r="R492" s="99"/>
      <x:c r="S492" s="99"/>
      <x:c r="T492" s="99"/>
      <x:c r="U492" s="99"/>
      <x:c r="V492" s="99"/>
      <x:c r="W492" s="99"/>
      <x:c r="X492" s="99"/>
      <x:c r="Y492" s="99"/>
      <x:c r="Z492" s="99"/>
    </x:row>
    <x:row r="493">
      <x:c r="A493" s="99"/>
      <x:c r="B493" s="99"/>
      <x:c r="C493" s="99"/>
      <x:c r="D493" s="99"/>
      <x:c r="E493" s="99"/>
      <x:c r="F493" s="99"/>
      <x:c r="G493" s="99"/>
      <x:c r="H493" s="99"/>
      <x:c r="I493" s="99"/>
      <x:c r="J493" s="99"/>
      <x:c r="K493" s="99"/>
      <x:c r="L493" s="99"/>
      <x:c r="M493" s="99"/>
      <x:c r="N493" s="99"/>
      <x:c r="O493" s="99"/>
      <x:c r="P493" s="99"/>
      <x:c r="Q493" s="99"/>
      <x:c r="R493" s="99"/>
      <x:c r="S493" s="99"/>
      <x:c r="T493" s="99"/>
      <x:c r="U493" s="99"/>
      <x:c r="V493" s="99"/>
      <x:c r="W493" s="99"/>
      <x:c r="X493" s="99"/>
      <x:c r="Y493" s="99"/>
      <x:c r="Z493" s="99"/>
    </x:row>
    <x:row r="494">
      <x:c r="A494" s="99"/>
      <x:c r="B494" s="99"/>
      <x:c r="C494" s="99"/>
      <x:c r="D494" s="99"/>
      <x:c r="E494" s="99"/>
      <x:c r="F494" s="99"/>
      <x:c r="G494" s="99"/>
      <x:c r="H494" s="99"/>
      <x:c r="I494" s="99"/>
      <x:c r="J494" s="99"/>
      <x:c r="K494" s="99"/>
      <x:c r="L494" s="99"/>
      <x:c r="M494" s="99"/>
      <x:c r="N494" s="99"/>
      <x:c r="O494" s="99"/>
      <x:c r="P494" s="99"/>
      <x:c r="Q494" s="99"/>
      <x:c r="R494" s="99"/>
      <x:c r="S494" s="99"/>
      <x:c r="T494" s="99"/>
      <x:c r="U494" s="99"/>
      <x:c r="V494" s="99"/>
      <x:c r="W494" s="99"/>
      <x:c r="X494" s="99"/>
      <x:c r="Y494" s="99"/>
      <x:c r="Z494" s="99"/>
    </x:row>
    <x:row r="495">
      <x:c r="A495" s="99"/>
      <x:c r="B495" s="99"/>
      <x:c r="C495" s="99"/>
      <x:c r="D495" s="99"/>
      <x:c r="E495" s="99"/>
      <x:c r="F495" s="99"/>
      <x:c r="G495" s="99"/>
      <x:c r="H495" s="99"/>
      <x:c r="I495" s="99"/>
      <x:c r="J495" s="99"/>
      <x:c r="K495" s="99"/>
      <x:c r="L495" s="99"/>
      <x:c r="M495" s="99"/>
      <x:c r="N495" s="99"/>
      <x:c r="O495" s="99"/>
      <x:c r="P495" s="99"/>
      <x:c r="Q495" s="99"/>
      <x:c r="R495" s="99"/>
      <x:c r="S495" s="99"/>
      <x:c r="T495" s="99"/>
      <x:c r="U495" s="99"/>
      <x:c r="V495" s="99"/>
      <x:c r="W495" s="99"/>
      <x:c r="X495" s="99"/>
      <x:c r="Y495" s="99"/>
      <x:c r="Z495" s="99"/>
    </x:row>
    <x:row r="496">
      <x:c r="A496" s="99"/>
      <x:c r="B496" s="99"/>
      <x:c r="C496" s="99"/>
      <x:c r="D496" s="99"/>
      <x:c r="E496" s="99"/>
      <x:c r="F496" s="99"/>
      <x:c r="G496" s="99"/>
      <x:c r="H496" s="99"/>
      <x:c r="I496" s="99"/>
      <x:c r="J496" s="99"/>
      <x:c r="K496" s="99"/>
      <x:c r="L496" s="99"/>
      <x:c r="M496" s="99"/>
      <x:c r="N496" s="99"/>
      <x:c r="O496" s="99"/>
      <x:c r="P496" s="99"/>
      <x:c r="Q496" s="99"/>
      <x:c r="R496" s="99"/>
      <x:c r="S496" s="99"/>
      <x:c r="T496" s="99"/>
      <x:c r="U496" s="99"/>
      <x:c r="V496" s="99"/>
      <x:c r="W496" s="99"/>
      <x:c r="X496" s="99"/>
      <x:c r="Y496" s="99"/>
      <x:c r="Z496" s="99"/>
    </x:row>
    <x:row r="497">
      <x:c r="A497" s="99"/>
      <x:c r="B497" s="99"/>
      <x:c r="C497" s="99"/>
      <x:c r="D497" s="99"/>
      <x:c r="E497" s="99"/>
      <x:c r="F497" s="99"/>
      <x:c r="G497" s="99"/>
      <x:c r="H497" s="99"/>
      <x:c r="I497" s="99"/>
      <x:c r="J497" s="99"/>
      <x:c r="K497" s="99"/>
      <x:c r="L497" s="99"/>
      <x:c r="M497" s="99"/>
      <x:c r="N497" s="99"/>
      <x:c r="O497" s="99"/>
      <x:c r="P497" s="99"/>
      <x:c r="Q497" s="99"/>
      <x:c r="R497" s="99"/>
      <x:c r="S497" s="99"/>
      <x:c r="T497" s="99"/>
      <x:c r="U497" s="99"/>
      <x:c r="V497" s="99"/>
      <x:c r="W497" s="99"/>
      <x:c r="X497" s="99"/>
      <x:c r="Y497" s="99"/>
      <x:c r="Z497" s="99"/>
    </x:row>
    <x:row r="498">
      <x:c r="A498" s="99"/>
      <x:c r="B498" s="99"/>
      <x:c r="C498" s="99"/>
      <x:c r="D498" s="99"/>
      <x:c r="E498" s="99"/>
      <x:c r="F498" s="99"/>
      <x:c r="G498" s="99"/>
      <x:c r="H498" s="99"/>
      <x:c r="I498" s="99"/>
      <x:c r="J498" s="99"/>
      <x:c r="K498" s="99"/>
      <x:c r="L498" s="99"/>
      <x:c r="M498" s="99"/>
      <x:c r="N498" s="99"/>
      <x:c r="O498" s="99"/>
      <x:c r="P498" s="99"/>
      <x:c r="Q498" s="99"/>
      <x:c r="R498" s="99"/>
      <x:c r="S498" s="99"/>
      <x:c r="T498" s="99"/>
      <x:c r="U498" s="99"/>
      <x:c r="V498" s="99"/>
      <x:c r="W498" s="99"/>
      <x:c r="X498" s="99"/>
      <x:c r="Y498" s="99"/>
      <x:c r="Z498" s="99"/>
    </x:row>
    <x:row r="499">
      <x:c r="A499" s="99"/>
      <x:c r="B499" s="99"/>
      <x:c r="C499" s="99"/>
      <x:c r="D499" s="99"/>
      <x:c r="E499" s="99"/>
      <x:c r="F499" s="99"/>
      <x:c r="G499" s="99"/>
      <x:c r="H499" s="99"/>
      <x:c r="I499" s="99"/>
      <x:c r="J499" s="99"/>
      <x:c r="K499" s="99"/>
      <x:c r="L499" s="99"/>
      <x:c r="M499" s="99"/>
      <x:c r="N499" s="99"/>
      <x:c r="O499" s="99"/>
      <x:c r="P499" s="99"/>
      <x:c r="Q499" s="99"/>
      <x:c r="R499" s="99"/>
      <x:c r="S499" s="99"/>
      <x:c r="T499" s="99"/>
      <x:c r="U499" s="99"/>
      <x:c r="V499" s="99"/>
      <x:c r="W499" s="99"/>
      <x:c r="X499" s="99"/>
      <x:c r="Y499" s="99"/>
      <x:c r="Z499" s="99"/>
    </x:row>
    <x:row r="500">
      <x:c r="A500" s="99"/>
      <x:c r="B500" s="99"/>
      <x:c r="C500" s="99"/>
      <x:c r="D500" s="99"/>
      <x:c r="E500" s="99"/>
      <x:c r="F500" s="99"/>
      <x:c r="G500" s="99"/>
      <x:c r="H500" s="99"/>
      <x:c r="I500" s="99"/>
      <x:c r="J500" s="99"/>
      <x:c r="K500" s="99"/>
      <x:c r="L500" s="99"/>
      <x:c r="M500" s="99"/>
      <x:c r="N500" s="99"/>
      <x:c r="O500" s="99"/>
      <x:c r="P500" s="99"/>
      <x:c r="Q500" s="99"/>
      <x:c r="R500" s="99"/>
      <x:c r="S500" s="99"/>
      <x:c r="T500" s="99"/>
      <x:c r="U500" s="99"/>
      <x:c r="V500" s="99"/>
      <x:c r="W500" s="99"/>
      <x:c r="X500" s="99"/>
      <x:c r="Y500" s="99"/>
      <x:c r="Z500" s="99"/>
    </x:row>
    <x:row r="501">
      <x:c r="A501" s="99"/>
      <x:c r="B501" s="99"/>
      <x:c r="C501" s="99"/>
      <x:c r="D501" s="99"/>
      <x:c r="E501" s="99"/>
      <x:c r="F501" s="99"/>
      <x:c r="G501" s="99"/>
      <x:c r="H501" s="99"/>
      <x:c r="I501" s="99"/>
      <x:c r="J501" s="99"/>
      <x:c r="K501" s="99"/>
      <x:c r="L501" s="99"/>
      <x:c r="M501" s="99"/>
      <x:c r="N501" s="99"/>
      <x:c r="O501" s="99"/>
      <x:c r="P501" s="99"/>
      <x:c r="Q501" s="99"/>
      <x:c r="R501" s="99"/>
      <x:c r="S501" s="99"/>
      <x:c r="T501" s="99"/>
      <x:c r="U501" s="99"/>
      <x:c r="V501" s="99"/>
      <x:c r="W501" s="99"/>
      <x:c r="X501" s="99"/>
      <x:c r="Y501" s="99"/>
      <x:c r="Z501" s="99"/>
    </x:row>
    <x:row r="502">
      <x:c r="A502" s="99"/>
      <x:c r="B502" s="99"/>
      <x:c r="C502" s="99"/>
      <x:c r="D502" s="99"/>
      <x:c r="E502" s="99"/>
      <x:c r="F502" s="99"/>
      <x:c r="G502" s="99"/>
      <x:c r="H502" s="99"/>
      <x:c r="I502" s="99"/>
      <x:c r="J502" s="99"/>
      <x:c r="K502" s="99"/>
      <x:c r="L502" s="99"/>
      <x:c r="M502" s="99"/>
      <x:c r="N502" s="99"/>
      <x:c r="O502" s="99"/>
      <x:c r="P502" s="99"/>
      <x:c r="Q502" s="99"/>
      <x:c r="R502" s="99"/>
      <x:c r="S502" s="99"/>
      <x:c r="T502" s="99"/>
      <x:c r="U502" s="99"/>
      <x:c r="V502" s="99"/>
      <x:c r="W502" s="99"/>
      <x:c r="X502" s="99"/>
      <x:c r="Y502" s="99"/>
      <x:c r="Z502" s="99"/>
    </x:row>
    <x:row r="503">
      <x:c r="A503" s="99"/>
      <x:c r="B503" s="99"/>
      <x:c r="C503" s="99"/>
      <x:c r="D503" s="99"/>
      <x:c r="E503" s="99"/>
      <x:c r="F503" s="99"/>
      <x:c r="G503" s="99"/>
      <x:c r="H503" s="99"/>
      <x:c r="I503" s="99"/>
      <x:c r="J503" s="99"/>
      <x:c r="K503" s="99"/>
      <x:c r="L503" s="99"/>
      <x:c r="M503" s="99"/>
      <x:c r="N503" s="99"/>
      <x:c r="O503" s="99"/>
      <x:c r="P503" s="99"/>
      <x:c r="Q503" s="99"/>
      <x:c r="R503" s="99"/>
      <x:c r="S503" s="99"/>
      <x:c r="T503" s="99"/>
      <x:c r="U503" s="99"/>
      <x:c r="V503" s="99"/>
      <x:c r="W503" s="99"/>
      <x:c r="X503" s="99"/>
      <x:c r="Y503" s="99"/>
      <x:c r="Z503" s="99"/>
    </x:row>
    <x:row r="504">
      <x:c r="A504" s="99"/>
      <x:c r="B504" s="99"/>
      <x:c r="C504" s="99"/>
      <x:c r="D504" s="99"/>
      <x:c r="E504" s="99"/>
      <x:c r="F504" s="99"/>
      <x:c r="G504" s="99"/>
      <x:c r="H504" s="99"/>
      <x:c r="I504" s="99"/>
      <x:c r="J504" s="99"/>
      <x:c r="K504" s="99"/>
      <x:c r="L504" s="99"/>
      <x:c r="M504" s="99"/>
      <x:c r="N504" s="99"/>
      <x:c r="O504" s="99"/>
      <x:c r="P504" s="99"/>
      <x:c r="Q504" s="99"/>
      <x:c r="R504" s="99"/>
      <x:c r="S504" s="99"/>
      <x:c r="T504" s="99"/>
      <x:c r="U504" s="99"/>
      <x:c r="V504" s="99"/>
      <x:c r="W504" s="99"/>
      <x:c r="X504" s="99"/>
      <x:c r="Y504" s="99"/>
      <x:c r="Z504" s="99"/>
    </x:row>
    <x:row r="505">
      <x:c r="A505" s="99"/>
      <x:c r="B505" s="99"/>
      <x:c r="C505" s="99"/>
      <x:c r="D505" s="99"/>
      <x:c r="E505" s="99"/>
      <x:c r="F505" s="99"/>
      <x:c r="G505" s="99"/>
      <x:c r="H505" s="99"/>
      <x:c r="I505" s="99"/>
      <x:c r="J505" s="99"/>
      <x:c r="K505" s="99"/>
      <x:c r="L505" s="99"/>
      <x:c r="M505" s="99"/>
      <x:c r="N505" s="99"/>
      <x:c r="O505" s="99"/>
      <x:c r="P505" s="99"/>
      <x:c r="Q505" s="99"/>
      <x:c r="R505" s="99"/>
      <x:c r="S505" s="99"/>
      <x:c r="T505" s="99"/>
      <x:c r="U505" s="99"/>
      <x:c r="V505" s="99"/>
      <x:c r="W505" s="99"/>
      <x:c r="X505" s="99"/>
      <x:c r="Y505" s="99"/>
      <x:c r="Z505" s="99"/>
    </x:row>
    <x:row r="506">
      <x:c r="A506" s="99"/>
      <x:c r="B506" s="99"/>
      <x:c r="C506" s="99"/>
      <x:c r="D506" s="99"/>
      <x:c r="E506" s="99"/>
      <x:c r="F506" s="99"/>
      <x:c r="G506" s="99"/>
      <x:c r="H506" s="99"/>
      <x:c r="I506" s="99"/>
      <x:c r="J506" s="99"/>
      <x:c r="K506" s="99"/>
      <x:c r="L506" s="99"/>
      <x:c r="M506" s="99"/>
      <x:c r="N506" s="99"/>
      <x:c r="O506" s="99"/>
      <x:c r="P506" s="99"/>
      <x:c r="Q506" s="99"/>
      <x:c r="R506" s="99"/>
      <x:c r="S506" s="99"/>
      <x:c r="T506" s="99"/>
      <x:c r="U506" s="99"/>
      <x:c r="V506" s="99"/>
      <x:c r="W506" s="99"/>
      <x:c r="X506" s="99"/>
      <x:c r="Y506" s="99"/>
      <x:c r="Z506" s="99"/>
    </x:row>
    <x:row r="507">
      <x:c r="A507" s="99"/>
      <x:c r="B507" s="99"/>
      <x:c r="C507" s="99"/>
      <x:c r="D507" s="99"/>
      <x:c r="E507" s="99"/>
      <x:c r="F507" s="99"/>
      <x:c r="G507" s="99"/>
      <x:c r="H507" s="99"/>
      <x:c r="I507" s="99"/>
      <x:c r="J507" s="99"/>
      <x:c r="K507" s="99"/>
      <x:c r="L507" s="99"/>
      <x:c r="M507" s="99"/>
      <x:c r="N507" s="99"/>
      <x:c r="O507" s="99"/>
      <x:c r="P507" s="99"/>
      <x:c r="Q507" s="99"/>
      <x:c r="R507" s="99"/>
      <x:c r="S507" s="99"/>
      <x:c r="T507" s="99"/>
      <x:c r="U507" s="99"/>
      <x:c r="V507" s="99"/>
      <x:c r="W507" s="99"/>
      <x:c r="X507" s="99"/>
      <x:c r="Y507" s="99"/>
      <x:c r="Z507" s="99"/>
    </x:row>
    <x:row r="508">
      <x:c r="A508" s="99"/>
      <x:c r="B508" s="99"/>
      <x:c r="C508" s="99"/>
      <x:c r="D508" s="99"/>
      <x:c r="E508" s="99"/>
      <x:c r="F508" s="99"/>
      <x:c r="G508" s="99"/>
      <x:c r="H508" s="99"/>
      <x:c r="I508" s="99"/>
      <x:c r="J508" s="99"/>
      <x:c r="K508" s="99"/>
      <x:c r="L508" s="99"/>
      <x:c r="M508" s="99"/>
      <x:c r="N508" s="99"/>
      <x:c r="O508" s="99"/>
      <x:c r="P508" s="99"/>
      <x:c r="Q508" s="99"/>
      <x:c r="R508" s="99"/>
      <x:c r="S508" s="99"/>
      <x:c r="T508" s="99"/>
      <x:c r="U508" s="99"/>
      <x:c r="V508" s="99"/>
      <x:c r="W508" s="99"/>
      <x:c r="X508" s="99"/>
      <x:c r="Y508" s="99"/>
      <x:c r="Z508" s="99"/>
    </x:row>
    <x:row r="509">
      <x:c r="A509" s="99"/>
      <x:c r="B509" s="99"/>
      <x:c r="C509" s="99"/>
      <x:c r="D509" s="99"/>
      <x:c r="E509" s="99"/>
      <x:c r="F509" s="99"/>
      <x:c r="G509" s="99"/>
      <x:c r="H509" s="99"/>
      <x:c r="I509" s="99"/>
      <x:c r="J509" s="99"/>
      <x:c r="K509" s="99"/>
      <x:c r="L509" s="99"/>
      <x:c r="M509" s="99"/>
      <x:c r="N509" s="99"/>
      <x:c r="O509" s="99"/>
      <x:c r="P509" s="99"/>
      <x:c r="Q509" s="99"/>
      <x:c r="R509" s="99"/>
      <x:c r="S509" s="99"/>
      <x:c r="T509" s="99"/>
      <x:c r="U509" s="99"/>
      <x:c r="V509" s="99"/>
      <x:c r="W509" s="99"/>
      <x:c r="X509" s="99"/>
      <x:c r="Y509" s="99"/>
      <x:c r="Z509" s="99"/>
    </x:row>
    <x:row r="510">
      <x:c r="A510" s="99"/>
      <x:c r="B510" s="99"/>
      <x:c r="C510" s="99"/>
      <x:c r="D510" s="99"/>
      <x:c r="E510" s="99"/>
      <x:c r="F510" s="99"/>
      <x:c r="G510" s="99"/>
      <x:c r="H510" s="99"/>
      <x:c r="I510" s="99"/>
      <x:c r="J510" s="99"/>
      <x:c r="K510" s="99"/>
      <x:c r="L510" s="99"/>
      <x:c r="M510" s="99"/>
      <x:c r="N510" s="99"/>
      <x:c r="O510" s="99"/>
      <x:c r="P510" s="99"/>
      <x:c r="Q510" s="99"/>
      <x:c r="R510" s="99"/>
      <x:c r="S510" s="99"/>
      <x:c r="T510" s="99"/>
      <x:c r="U510" s="99"/>
      <x:c r="V510" s="99"/>
      <x:c r="W510" s="99"/>
      <x:c r="X510" s="99"/>
      <x:c r="Y510" s="99"/>
      <x:c r="Z510" s="99"/>
    </x:row>
    <x:row r="511">
      <x:c r="A511" s="99"/>
      <x:c r="B511" s="99"/>
      <x:c r="C511" s="99"/>
      <x:c r="D511" s="99"/>
      <x:c r="E511" s="99"/>
      <x:c r="F511" s="99"/>
      <x:c r="G511" s="99"/>
      <x:c r="H511" s="99"/>
      <x:c r="I511" s="99"/>
      <x:c r="J511" s="99"/>
      <x:c r="K511" s="99"/>
      <x:c r="L511" s="99"/>
      <x:c r="M511" s="99"/>
      <x:c r="N511" s="99"/>
      <x:c r="O511" s="99"/>
      <x:c r="P511" s="99"/>
      <x:c r="Q511" s="99"/>
      <x:c r="R511" s="99"/>
      <x:c r="S511" s="99"/>
      <x:c r="T511" s="99"/>
      <x:c r="U511" s="99"/>
      <x:c r="V511" s="99"/>
      <x:c r="W511" s="99"/>
      <x:c r="X511" s="99"/>
      <x:c r="Y511" s="99"/>
      <x:c r="Z511" s="99"/>
    </x:row>
    <x:row r="512">
      <x:c r="A512" s="99"/>
      <x:c r="B512" s="99"/>
      <x:c r="C512" s="99"/>
      <x:c r="D512" s="99"/>
      <x:c r="E512" s="99"/>
      <x:c r="F512" s="99"/>
      <x:c r="G512" s="99"/>
      <x:c r="H512" s="99"/>
      <x:c r="I512" s="99"/>
      <x:c r="J512" s="99"/>
      <x:c r="K512" s="99"/>
      <x:c r="L512" s="99"/>
      <x:c r="M512" s="99"/>
      <x:c r="N512" s="99"/>
      <x:c r="O512" s="99"/>
      <x:c r="P512" s="99"/>
      <x:c r="Q512" s="99"/>
      <x:c r="R512" s="99"/>
      <x:c r="S512" s="99"/>
      <x:c r="T512" s="99"/>
      <x:c r="U512" s="99"/>
      <x:c r="V512" s="99"/>
      <x:c r="W512" s="99"/>
      <x:c r="X512" s="99"/>
      <x:c r="Y512" s="99"/>
      <x:c r="Z512" s="99"/>
    </x:row>
    <x:row r="513">
      <x:c r="A513" s="99"/>
      <x:c r="B513" s="99"/>
      <x:c r="C513" s="99"/>
      <x:c r="D513" s="99"/>
      <x:c r="E513" s="99"/>
      <x:c r="F513" s="99"/>
      <x:c r="G513" s="99"/>
      <x:c r="H513" s="99"/>
      <x:c r="I513" s="99"/>
      <x:c r="J513" s="99"/>
      <x:c r="K513" s="99"/>
      <x:c r="L513" s="99"/>
      <x:c r="M513" s="99"/>
      <x:c r="N513" s="99"/>
      <x:c r="O513" s="99"/>
      <x:c r="P513" s="99"/>
      <x:c r="Q513" s="99"/>
      <x:c r="R513" s="99"/>
      <x:c r="S513" s="99"/>
      <x:c r="T513" s="99"/>
      <x:c r="U513" s="99"/>
      <x:c r="V513" s="99"/>
      <x:c r="W513" s="99"/>
      <x:c r="X513" s="99"/>
      <x:c r="Y513" s="99"/>
      <x:c r="Z513" s="99"/>
    </x:row>
    <x:row r="514">
      <x:c r="A514" s="99"/>
      <x:c r="B514" s="99"/>
      <x:c r="C514" s="99"/>
      <x:c r="D514" s="99"/>
      <x:c r="E514" s="99"/>
      <x:c r="F514" s="99"/>
      <x:c r="G514" s="99"/>
      <x:c r="H514" s="99"/>
      <x:c r="I514" s="99"/>
      <x:c r="J514" s="99"/>
      <x:c r="K514" s="99"/>
      <x:c r="L514" s="99"/>
      <x:c r="M514" s="99"/>
      <x:c r="N514" s="99"/>
      <x:c r="O514" s="99"/>
      <x:c r="P514" s="99"/>
      <x:c r="Q514" s="99"/>
      <x:c r="R514" s="99"/>
      <x:c r="S514" s="99"/>
      <x:c r="T514" s="99"/>
      <x:c r="U514" s="99"/>
      <x:c r="V514" s="99"/>
      <x:c r="W514" s="99"/>
      <x:c r="X514" s="99"/>
      <x:c r="Y514" s="99"/>
      <x:c r="Z514" s="99"/>
    </x:row>
    <x:row r="515">
      <x:c r="A515" s="99"/>
      <x:c r="B515" s="99"/>
      <x:c r="C515" s="99"/>
      <x:c r="D515" s="99"/>
      <x:c r="E515" s="99"/>
      <x:c r="F515" s="99"/>
      <x:c r="G515" s="99"/>
      <x:c r="H515" s="99"/>
      <x:c r="I515" s="99"/>
      <x:c r="J515" s="99"/>
      <x:c r="K515" s="99"/>
      <x:c r="L515" s="99"/>
      <x:c r="M515" s="99"/>
      <x:c r="N515" s="99"/>
      <x:c r="O515" s="99"/>
      <x:c r="P515" s="99"/>
      <x:c r="Q515" s="99"/>
      <x:c r="R515" s="99"/>
      <x:c r="S515" s="99"/>
      <x:c r="T515" s="99"/>
      <x:c r="U515" s="99"/>
      <x:c r="V515" s="99"/>
      <x:c r="W515" s="99"/>
      <x:c r="X515" s="99"/>
      <x:c r="Y515" s="99"/>
      <x:c r="Z515" s="99"/>
    </x:row>
    <x:row r="516">
      <x:c r="A516" s="99"/>
      <x:c r="B516" s="99"/>
      <x:c r="C516" s="99"/>
      <x:c r="D516" s="99"/>
      <x:c r="E516" s="99"/>
      <x:c r="F516" s="99"/>
      <x:c r="G516" s="99"/>
      <x:c r="H516" s="99"/>
      <x:c r="I516" s="99"/>
      <x:c r="J516" s="99"/>
      <x:c r="K516" s="99"/>
      <x:c r="L516" s="99"/>
      <x:c r="M516" s="99"/>
      <x:c r="N516" s="99"/>
      <x:c r="O516" s="99"/>
      <x:c r="P516" s="99"/>
      <x:c r="Q516" s="99"/>
      <x:c r="R516" s="99"/>
      <x:c r="S516" s="99"/>
      <x:c r="T516" s="99"/>
      <x:c r="U516" s="99"/>
      <x:c r="V516" s="99"/>
      <x:c r="W516" s="99"/>
      <x:c r="X516" s="99"/>
      <x:c r="Y516" s="99"/>
      <x:c r="Z516" s="99"/>
    </x:row>
    <x:row r="517">
      <x:c r="A517" s="99"/>
      <x:c r="B517" s="99"/>
      <x:c r="C517" s="99"/>
      <x:c r="D517" s="99"/>
      <x:c r="E517" s="99"/>
      <x:c r="F517" s="99"/>
      <x:c r="G517" s="99"/>
      <x:c r="H517" s="99"/>
      <x:c r="I517" s="99"/>
      <x:c r="J517" s="99"/>
      <x:c r="K517" s="99"/>
      <x:c r="L517" s="99"/>
      <x:c r="M517" s="99"/>
      <x:c r="N517" s="99"/>
      <x:c r="O517" s="99"/>
      <x:c r="P517" s="99"/>
      <x:c r="Q517" s="99"/>
      <x:c r="R517" s="99"/>
      <x:c r="S517" s="99"/>
      <x:c r="T517" s="99"/>
      <x:c r="U517" s="99"/>
      <x:c r="V517" s="99"/>
      <x:c r="W517" s="99"/>
      <x:c r="X517" s="99"/>
      <x:c r="Y517" s="99"/>
      <x:c r="Z517" s="99"/>
    </x:row>
    <x:row r="518">
      <x:c r="A518" s="99"/>
      <x:c r="B518" s="99"/>
      <x:c r="C518" s="99"/>
      <x:c r="D518" s="99"/>
      <x:c r="E518" s="99"/>
      <x:c r="F518" s="99"/>
      <x:c r="G518" s="99"/>
      <x:c r="H518" s="99"/>
      <x:c r="I518" s="99"/>
      <x:c r="J518" s="99"/>
      <x:c r="K518" s="99"/>
      <x:c r="L518" s="99"/>
      <x:c r="M518" s="99"/>
      <x:c r="N518" s="99"/>
      <x:c r="O518" s="99"/>
      <x:c r="P518" s="99"/>
      <x:c r="Q518" s="99"/>
      <x:c r="R518" s="99"/>
      <x:c r="S518" s="99"/>
      <x:c r="T518" s="99"/>
      <x:c r="U518" s="99"/>
      <x:c r="V518" s="99"/>
      <x:c r="W518" s="99"/>
      <x:c r="X518" s="99"/>
      <x:c r="Y518" s="99"/>
      <x:c r="Z518" s="99"/>
    </x:row>
    <x:row r="519">
      <x:c r="A519" s="99"/>
      <x:c r="B519" s="99"/>
      <x:c r="C519" s="99"/>
      <x:c r="D519" s="99"/>
      <x:c r="E519" s="99"/>
      <x:c r="F519" s="99"/>
      <x:c r="G519" s="99"/>
      <x:c r="H519" s="99"/>
      <x:c r="I519" s="99"/>
      <x:c r="J519" s="99"/>
      <x:c r="K519" s="99"/>
      <x:c r="L519" s="99"/>
      <x:c r="M519" s="99"/>
      <x:c r="N519" s="99"/>
      <x:c r="O519" s="99"/>
      <x:c r="P519" s="99"/>
      <x:c r="Q519" s="99"/>
      <x:c r="R519" s="99"/>
      <x:c r="S519" s="99"/>
      <x:c r="T519" s="99"/>
      <x:c r="U519" s="99"/>
      <x:c r="V519" s="99"/>
      <x:c r="W519" s="99"/>
      <x:c r="X519" s="99"/>
      <x:c r="Y519" s="99"/>
      <x:c r="Z519" s="99"/>
    </x:row>
    <x:row r="520">
      <x:c r="A520" s="99"/>
      <x:c r="B520" s="99"/>
      <x:c r="C520" s="99"/>
      <x:c r="D520" s="99"/>
      <x:c r="E520" s="99"/>
      <x:c r="F520" s="99"/>
      <x:c r="G520" s="99"/>
      <x:c r="H520" s="99"/>
      <x:c r="I520" s="99"/>
      <x:c r="J520" s="99"/>
      <x:c r="K520" s="99"/>
      <x:c r="L520" s="99"/>
      <x:c r="M520" s="99"/>
      <x:c r="N520" s="99"/>
      <x:c r="O520" s="99"/>
      <x:c r="P520" s="99"/>
      <x:c r="Q520" s="99"/>
      <x:c r="R520" s="99"/>
      <x:c r="S520" s="99"/>
      <x:c r="T520" s="99"/>
      <x:c r="U520" s="99"/>
      <x:c r="V520" s="99"/>
      <x:c r="W520" s="99"/>
      <x:c r="X520" s="99"/>
      <x:c r="Y520" s="99"/>
      <x:c r="Z520" s="99"/>
    </x:row>
  </x:sheetData>
  <x:mergeCells>
    <x:mergeCell ref="A1:H1"/>
    <x:mergeCell ref="E3:H3"/>
    <x:mergeCell ref="E4:H10"/>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24" hidden="0" customWidth="1"/>
    <x:col min="3" max="3" width="48" hidden="0" customWidth="1"/>
    <x:col min="4" max="4" width="12" hidden="0" customWidth="1"/>
    <x:col min="5" max="5" width="12" hidden="0" customWidth="1"/>
    <x:col min="6" max="6" width="14" hidden="0" customWidth="1"/>
    <x:col min="7" max="7" width="12" hidden="0" customWidth="1"/>
    <x:col min="8" max="8" width="16" hidden="0" customWidth="1"/>
  </x:cols>
  <x:sheetData>
    <x:row r="1">
      <x:c r="A1" s="165" t="str">
        <x:v>ITEM SUMMARY — counts, means, favorable rates, missingness, and low-N flags</x:v>
      </x:c>
      <x:c r="B1" s="165"/>
      <x:c r="C1" s="165"/>
      <x:c r="D1" s="165"/>
      <x:c r="E1" s="165"/>
      <x:c r="F1" s="165"/>
      <x:c r="G1" s="165"/>
      <x:c r="H1" s="165"/>
      <x:c r="I1" s="99"/>
      <x:c r="J1" s="99"/>
      <x:c r="K1" s="99"/>
      <x:c r="L1" s="99"/>
      <x:c r="M1" s="99"/>
      <x:c r="N1" s="99"/>
      <x:c r="O1" s="99"/>
      <x:c r="P1" s="99"/>
      <x:c r="Q1" s="99"/>
      <x:c r="R1" s="99"/>
      <x:c r="S1" s="99"/>
      <x:c r="T1" s="99"/>
      <x:c r="U1" s="99"/>
      <x:c r="V1" s="99"/>
      <x:c r="W1" s="99"/>
      <x:c r="X1" s="99"/>
      <x:c r="Y1" s="99"/>
      <x:c r="Z1" s="99"/>
    </x:row>
    <x:row r="2">
      <x:c r="A2" s="99"/>
      <x:c r="B2" s="99"/>
      <x:c r="C2" s="99"/>
      <x:c r="D2" s="99"/>
      <x:c r="E2" s="99"/>
      <x:c r="F2" s="99"/>
      <x:c r="G2" s="99"/>
      <x:c r="H2" s="99"/>
      <x:c r="I2" s="99"/>
      <x:c r="J2" s="99"/>
      <x:c r="K2" s="99"/>
      <x:c r="L2" s="99"/>
      <x:c r="M2" s="99"/>
      <x:c r="N2" s="99"/>
      <x:c r="O2" s="99"/>
      <x:c r="P2" s="99"/>
      <x:c r="Q2" s="99"/>
      <x:c r="R2" s="99"/>
      <x:c r="S2" s="99"/>
      <x:c r="T2" s="99"/>
      <x:c r="U2" s="99"/>
      <x:c r="V2" s="99"/>
      <x:c r="W2" s="99"/>
      <x:c r="X2" s="99"/>
      <x:c r="Y2" s="99"/>
      <x:c r="Z2" s="99"/>
    </x:row>
    <x:row r="3">
      <x:c r="A3" s="129" t="str">
        <x:v>Item ID</x:v>
      </x:c>
      <x:c r="B3" s="129" t="str">
        <x:v>Construct / Topic</x:v>
      </x:c>
      <x:c r="C3" s="129" t="str">
        <x:v>Question / Prompt</x:v>
      </x:c>
      <x:c r="D3" s="129" t="str">
        <x:v>Included N</x:v>
      </x:c>
      <x:c r="E3" s="129" t="str">
        <x:v>Mean</x:v>
      </x:c>
      <x:c r="F3" s="129" t="str">
        <x:v>Favorable %</x:v>
      </x:c>
      <x:c r="G3" s="129" t="str">
        <x:v>Missing %</x:v>
      </x:c>
      <x:c r="H3" s="129" t="str">
        <x:v>Item QA</x:v>
      </x:c>
      <x:c r="I3" s="99"/>
      <x:c r="J3" s="99"/>
      <x:c r="K3" s="99"/>
      <x:c r="L3" s="99"/>
      <x:c r="M3" s="99"/>
      <x:c r="N3" s="99"/>
      <x:c r="O3" s="99"/>
      <x:c r="P3" s="99"/>
      <x:c r="Q3" s="99"/>
      <x:c r="R3" s="99"/>
      <x:c r="S3" s="99"/>
      <x:c r="T3" s="99"/>
      <x:c r="U3" s="99"/>
      <x:c r="V3" s="99"/>
      <x:c r="W3" s="99"/>
      <x:c r="X3" s="99"/>
      <x:c r="Y3" s="99"/>
      <x:c r="Z3" s="99"/>
    </x:row>
    <x:row r="4">
      <x:c r="A4" s="130" t="str">
        <x:f>IF('SURVEY DESIGN'!C4="","",'SURVEY DESIGN'!A4)</x:f>
      </x:c>
      <x:c r="B4" s="130" t="str">
        <x:f>IF(A4="","",'SURVEY DESIGN'!B4)</x:f>
      </x:c>
      <x:c r="C4" s="130" t="str">
        <x:f>IF(A4="","",'SURVEY DESIGN'!C4)</x:f>
      </x:c>
      <x:c r="D4" s="130" t="str">
        <x:f>IF(A4="","",COUNTIFS('RESPONSE DATA'!$K$4:$K$503,"Yes",'RESPONSE DATA'!$M$4:$M$503,"&gt;0"))</x:f>
      </x:c>
      <x:c r="E4" s="133" t="str">
        <x:f>IF(A4="","",IF(D4=0,0,SUMIFS('RESPONSE DATA'!$M$4:$M$503,'RESPONSE DATA'!$K$4:$K$503,"Yes")/D4))</x:f>
      </x:c>
      <x:c r="F4" s="137" t="str">
        <x:f>IF(A4="","",IF(D4=0,0,COUNTIFS('RESPONSE DATA'!$K$4:$K$503,"Yes",'RESPONSE DATA'!$M$4:$M$503,"&gt;="&amp;SETUP!$B$11)/D4))</x:f>
      </x:c>
      <x:c r="G4" s="137" t="str">
        <x:f>IF(A4="","",IF(COUNTIF('RESPONSE DATA'!$K$4:$K$503,"Yes")=0,0,COUNTIFS('RESPONSE DATA'!$K$4:$K$503,"Yes",'RESPONSE DATA'!$M$4:$M$503,"")/COUNTIF('RESPONSE DATA'!$K$4:$K$503,"Yes")))</x:f>
      </x:c>
      <x:c r="H4" s="130" t="str">
        <x:f>IF(A4="","",IF(D4&lt;SETUP!$B$12,"LOW N",IF(G4&gt;0.1,"MISSINGNESS","OK")))</x:f>
      </x:c>
      <x:c r="I4" s="99"/>
      <x:c r="J4" s="99"/>
      <x:c r="K4" s="99"/>
      <x:c r="L4" s="99"/>
      <x:c r="M4" s="99"/>
      <x:c r="N4" s="99"/>
      <x:c r="O4" s="99"/>
      <x:c r="P4" s="99"/>
      <x:c r="Q4" s="99"/>
      <x:c r="R4" s="99"/>
      <x:c r="S4" s="99"/>
      <x:c r="T4" s="99"/>
      <x:c r="U4" s="99"/>
      <x:c r="V4" s="99"/>
      <x:c r="W4" s="99"/>
      <x:c r="X4" s="99"/>
      <x:c r="Y4" s="99"/>
      <x:c r="Z4" s="99"/>
    </x:row>
    <x:row r="5">
      <x:c r="A5" s="130" t="str">
        <x:f>IF('SURVEY DESIGN'!C5="","",'SURVEY DESIGN'!A5)</x:f>
      </x:c>
      <x:c r="B5" s="130" t="str">
        <x:f>IF(A5="","",'SURVEY DESIGN'!B5)</x:f>
      </x:c>
      <x:c r="C5" s="130" t="str">
        <x:f>IF(A5="","",'SURVEY DESIGN'!C5)</x:f>
      </x:c>
      <x:c r="D5" s="130" t="str">
        <x:f>IF(A5="","",COUNTIFS('RESPONSE DATA'!$K$4:$K$503,"Yes",'RESPONSE DATA'!$N$4:$N$503,"&gt;0"))</x:f>
      </x:c>
      <x:c r="E5" s="133" t="str">
        <x:f>IF(A5="","",IF(D5=0,0,SUMIFS('RESPONSE DATA'!$N$4:$N$503,'RESPONSE DATA'!$K$4:$K$503,"Yes")/D5))</x:f>
      </x:c>
      <x:c r="F5" s="137" t="str">
        <x:f>IF(A5="","",IF(D5=0,0,COUNTIFS('RESPONSE DATA'!$K$4:$K$503,"Yes",'RESPONSE DATA'!$N$4:$N$503,"&gt;="&amp;SETUP!$B$11)/D5))</x:f>
      </x:c>
      <x:c r="G5" s="137" t="str">
        <x:f>IF(A5="","",IF(COUNTIF('RESPONSE DATA'!$K$4:$K$503,"Yes")=0,0,COUNTIFS('RESPONSE DATA'!$K$4:$K$503,"Yes",'RESPONSE DATA'!$N$4:$N$503,"")/COUNTIF('RESPONSE DATA'!$K$4:$K$503,"Yes")))</x:f>
      </x:c>
      <x:c r="H5" s="130" t="str">
        <x:f>IF(A5="","",IF(D5&lt;SETUP!$B$12,"LOW N",IF(G5&gt;0.1,"MISSINGNESS","OK")))</x:f>
      </x:c>
      <x:c r="I5" s="99"/>
      <x:c r="J5" s="99"/>
      <x:c r="K5" s="99"/>
      <x:c r="L5" s="99"/>
      <x:c r="M5" s="99"/>
      <x:c r="N5" s="99"/>
      <x:c r="O5" s="99"/>
      <x:c r="P5" s="99"/>
      <x:c r="Q5" s="99"/>
      <x:c r="R5" s="99"/>
      <x:c r="S5" s="99"/>
      <x:c r="T5" s="99"/>
      <x:c r="U5" s="99"/>
      <x:c r="V5" s="99"/>
      <x:c r="W5" s="99"/>
      <x:c r="X5" s="99"/>
      <x:c r="Y5" s="99"/>
      <x:c r="Z5" s="99"/>
    </x:row>
    <x:row r="6">
      <x:c r="A6" s="130" t="str">
        <x:f>IF('SURVEY DESIGN'!C6="","",'SURVEY DESIGN'!A6)</x:f>
      </x:c>
      <x:c r="B6" s="130" t="str">
        <x:f>IF(A6="","",'SURVEY DESIGN'!B6)</x:f>
      </x:c>
      <x:c r="C6" s="130" t="str">
        <x:f>IF(A6="","",'SURVEY DESIGN'!C6)</x:f>
      </x:c>
      <x:c r="D6" s="130" t="str">
        <x:f>IF(A6="","",COUNTIFS('RESPONSE DATA'!$K$4:$K$503,"Yes",'RESPONSE DATA'!$O$4:$O$503,"&gt;0"))</x:f>
      </x:c>
      <x:c r="E6" s="133" t="str">
        <x:f>IF(A6="","",IF(D6=0,0,SUMIFS('RESPONSE DATA'!$O$4:$O$503,'RESPONSE DATA'!$K$4:$K$503,"Yes")/D6))</x:f>
      </x:c>
      <x:c r="F6" s="137" t="str">
        <x:f>IF(A6="","",IF(D6=0,0,COUNTIFS('RESPONSE DATA'!$K$4:$K$503,"Yes",'RESPONSE DATA'!$O$4:$O$503,"&gt;="&amp;SETUP!$B$11)/D6))</x:f>
      </x:c>
      <x:c r="G6" s="137" t="str">
        <x:f>IF(A6="","",IF(COUNTIF('RESPONSE DATA'!$K$4:$K$503,"Yes")=0,0,COUNTIFS('RESPONSE DATA'!$K$4:$K$503,"Yes",'RESPONSE DATA'!$O$4:$O$503,"")/COUNTIF('RESPONSE DATA'!$K$4:$K$503,"Yes")))</x:f>
      </x:c>
      <x:c r="H6" s="130" t="str">
        <x:f>IF(A6="","",IF(D6&lt;SETUP!$B$12,"LOW N",IF(G6&gt;0.1,"MISSINGNESS","OK")))</x:f>
      </x:c>
      <x:c r="I6" s="99"/>
      <x:c r="J6" s="99"/>
      <x:c r="K6" s="99"/>
      <x:c r="L6" s="99"/>
      <x:c r="M6" s="99"/>
      <x:c r="N6" s="99"/>
      <x:c r="O6" s="99"/>
      <x:c r="P6" s="99"/>
      <x:c r="Q6" s="99"/>
      <x:c r="R6" s="99"/>
      <x:c r="S6" s="99"/>
      <x:c r="T6" s="99"/>
      <x:c r="U6" s="99"/>
      <x:c r="V6" s="99"/>
      <x:c r="W6" s="99"/>
      <x:c r="X6" s="99"/>
      <x:c r="Y6" s="99"/>
      <x:c r="Z6" s="99"/>
    </x:row>
    <x:row r="7">
      <x:c r="A7" s="130" t="str">
        <x:f>IF('SURVEY DESIGN'!C7="","",'SURVEY DESIGN'!A7)</x:f>
      </x:c>
      <x:c r="B7" s="130" t="str">
        <x:f>IF(A7="","",'SURVEY DESIGN'!B7)</x:f>
      </x:c>
      <x:c r="C7" s="130" t="str">
        <x:f>IF(A7="","",'SURVEY DESIGN'!C7)</x:f>
      </x:c>
      <x:c r="D7" s="130" t="str">
        <x:f>IF(A7="","",COUNTIFS('RESPONSE DATA'!$K$4:$K$503,"Yes",'RESPONSE DATA'!$P$4:$P$503,"&gt;0"))</x:f>
      </x:c>
      <x:c r="E7" s="133" t="str">
        <x:f>IF(A7="","",IF(D7=0,0,SUMIFS('RESPONSE DATA'!$P$4:$P$503,'RESPONSE DATA'!$K$4:$K$503,"Yes")/D7))</x:f>
      </x:c>
      <x:c r="F7" s="137" t="str">
        <x:f>IF(A7="","",IF(D7=0,0,COUNTIFS('RESPONSE DATA'!$K$4:$K$503,"Yes",'RESPONSE DATA'!$P$4:$P$503,"&gt;="&amp;SETUP!$B$11)/D7))</x:f>
      </x:c>
      <x:c r="G7" s="137" t="str">
        <x:f>IF(A7="","",IF(COUNTIF('RESPONSE DATA'!$K$4:$K$503,"Yes")=0,0,COUNTIFS('RESPONSE DATA'!$K$4:$K$503,"Yes",'RESPONSE DATA'!$P$4:$P$503,"")/COUNTIF('RESPONSE DATA'!$K$4:$K$503,"Yes")))</x:f>
      </x:c>
      <x:c r="H7" s="130" t="str">
        <x:f>IF(A7="","",IF(D7&lt;SETUP!$B$12,"LOW N",IF(G7&gt;0.1,"MISSINGNESS","OK")))</x:f>
      </x:c>
      <x:c r="I7" s="99"/>
      <x:c r="J7" s="99"/>
      <x:c r="K7" s="99"/>
      <x:c r="L7" s="99"/>
      <x:c r="M7" s="99"/>
      <x:c r="N7" s="99"/>
      <x:c r="O7" s="99"/>
      <x:c r="P7" s="99"/>
      <x:c r="Q7" s="99"/>
      <x:c r="R7" s="99"/>
      <x:c r="S7" s="99"/>
      <x:c r="T7" s="99"/>
      <x:c r="U7" s="99"/>
      <x:c r="V7" s="99"/>
      <x:c r="W7" s="99"/>
      <x:c r="X7" s="99"/>
      <x:c r="Y7" s="99"/>
      <x:c r="Z7" s="99"/>
    </x:row>
    <x:row r="8">
      <x:c r="A8" s="130" t="str">
        <x:f>IF('SURVEY DESIGN'!C8="","",'SURVEY DESIGN'!A8)</x:f>
      </x:c>
      <x:c r="B8" s="130" t="str">
        <x:f>IF(A8="","",'SURVEY DESIGN'!B8)</x:f>
      </x:c>
      <x:c r="C8" s="130" t="str">
        <x:f>IF(A8="","",'SURVEY DESIGN'!C8)</x:f>
      </x:c>
      <x:c r="D8" s="130" t="str">
        <x:f>IF(A8="","",COUNTIFS('RESPONSE DATA'!$K$4:$K$503,"Yes",'RESPONSE DATA'!$Q$4:$Q$503,"&gt;0"))</x:f>
      </x:c>
      <x:c r="E8" s="133" t="str">
        <x:f>IF(A8="","",IF(D8=0,0,SUMIFS('RESPONSE DATA'!$Q$4:$Q$503,'RESPONSE DATA'!$K$4:$K$503,"Yes")/D8))</x:f>
      </x:c>
      <x:c r="F8" s="137" t="str">
        <x:f>IF(A8="","",IF(D8=0,0,COUNTIFS('RESPONSE DATA'!$K$4:$K$503,"Yes",'RESPONSE DATA'!$Q$4:$Q$503,"&gt;="&amp;SETUP!$B$11)/D8))</x:f>
      </x:c>
      <x:c r="G8" s="137" t="str">
        <x:f>IF(A8="","",IF(COUNTIF('RESPONSE DATA'!$K$4:$K$503,"Yes")=0,0,COUNTIFS('RESPONSE DATA'!$K$4:$K$503,"Yes",'RESPONSE DATA'!$Q$4:$Q$503,"")/COUNTIF('RESPONSE DATA'!$K$4:$K$503,"Yes")))</x:f>
      </x:c>
      <x:c r="H8" s="130" t="str">
        <x:f>IF(A8="","",IF(D8&lt;SETUP!$B$12,"LOW N",IF(G8&gt;0.1,"MISSINGNESS","OK")))</x:f>
      </x:c>
      <x:c r="I8" s="99"/>
      <x:c r="J8" s="99"/>
      <x:c r="K8" s="99"/>
      <x:c r="L8" s="99"/>
      <x:c r="M8" s="99"/>
      <x:c r="N8" s="99"/>
      <x:c r="O8" s="99"/>
      <x:c r="P8" s="99"/>
      <x:c r="Q8" s="99"/>
      <x:c r="R8" s="99"/>
      <x:c r="S8" s="99"/>
      <x:c r="T8" s="99"/>
      <x:c r="U8" s="99"/>
      <x:c r="V8" s="99"/>
      <x:c r="W8" s="99"/>
      <x:c r="X8" s="99"/>
      <x:c r="Y8" s="99"/>
      <x:c r="Z8" s="99"/>
    </x:row>
    <x:row r="9">
      <x:c r="A9" s="130" t="str">
        <x:f>IF('SURVEY DESIGN'!C9="","",'SURVEY DESIGN'!A9)</x:f>
      </x:c>
      <x:c r="B9" s="130" t="str">
        <x:f>IF(A9="","",'SURVEY DESIGN'!B9)</x:f>
      </x:c>
      <x:c r="C9" s="130" t="str">
        <x:f>IF(A9="","",'SURVEY DESIGN'!C9)</x:f>
      </x:c>
      <x:c r="D9" s="130" t="str">
        <x:f>IF(A9="","",COUNTIFS('RESPONSE DATA'!$K$4:$K$503,"Yes",'RESPONSE DATA'!$R$4:$R$503,"&gt;0"))</x:f>
      </x:c>
      <x:c r="E9" s="133" t="str">
        <x:f>IF(A9="","",IF(D9=0,0,SUMIFS('RESPONSE DATA'!$R$4:$R$503,'RESPONSE DATA'!$K$4:$K$503,"Yes")/D9))</x:f>
      </x:c>
      <x:c r="F9" s="137" t="str">
        <x:f>IF(A9="","",IF(D9=0,0,COUNTIFS('RESPONSE DATA'!$K$4:$K$503,"Yes",'RESPONSE DATA'!$R$4:$R$503,"&gt;="&amp;SETUP!$B$11)/D9))</x:f>
      </x:c>
      <x:c r="G9" s="137" t="str">
        <x:f>IF(A9="","",IF(COUNTIF('RESPONSE DATA'!$K$4:$K$503,"Yes")=0,0,COUNTIFS('RESPONSE DATA'!$K$4:$K$503,"Yes",'RESPONSE DATA'!$R$4:$R$503,"")/COUNTIF('RESPONSE DATA'!$K$4:$K$503,"Yes")))</x:f>
      </x:c>
      <x:c r="H9" s="130" t="str">
        <x:f>IF(A9="","",IF(D9&lt;SETUP!$B$12,"LOW N",IF(G9&gt;0.1,"MISSINGNESS","OK")))</x:f>
      </x:c>
      <x:c r="I9" s="99"/>
      <x:c r="J9" s="99"/>
      <x:c r="K9" s="99"/>
      <x:c r="L9" s="99"/>
      <x:c r="M9" s="99"/>
      <x:c r="N9" s="99"/>
      <x:c r="O9" s="99"/>
      <x:c r="P9" s="99"/>
      <x:c r="Q9" s="99"/>
      <x:c r="R9" s="99"/>
      <x:c r="S9" s="99"/>
      <x:c r="T9" s="99"/>
      <x:c r="U9" s="99"/>
      <x:c r="V9" s="99"/>
      <x:c r="W9" s="99"/>
      <x:c r="X9" s="99"/>
      <x:c r="Y9" s="99"/>
      <x:c r="Z9" s="99"/>
    </x:row>
    <x:row r="10">
      <x:c r="A10" s="130" t="str">
        <x:f>IF('SURVEY DESIGN'!C10="","",'SURVEY DESIGN'!A10)</x:f>
      </x:c>
      <x:c r="B10" s="130" t="str">
        <x:f>IF(A10="","",'SURVEY DESIGN'!B10)</x:f>
      </x:c>
      <x:c r="C10" s="130" t="str">
        <x:f>IF(A10="","",'SURVEY DESIGN'!C10)</x:f>
      </x:c>
      <x:c r="D10" s="130" t="str">
        <x:f>IF(A10="","",COUNTIFS('RESPONSE DATA'!$K$4:$K$503,"Yes",'RESPONSE DATA'!$S$4:$S$503,"&gt;0"))</x:f>
      </x:c>
      <x:c r="E10" s="133" t="str">
        <x:f>IF(A10="","",IF(D10=0,0,SUMIFS('RESPONSE DATA'!$S$4:$S$503,'RESPONSE DATA'!$K$4:$K$503,"Yes")/D10))</x:f>
      </x:c>
      <x:c r="F10" s="137" t="str">
        <x:f>IF(A10="","",IF(D10=0,0,COUNTIFS('RESPONSE DATA'!$K$4:$K$503,"Yes",'RESPONSE DATA'!$S$4:$S$503,"&gt;="&amp;SETUP!$B$11)/D10))</x:f>
      </x:c>
      <x:c r="G10" s="137" t="str">
        <x:f>IF(A10="","",IF(COUNTIF('RESPONSE DATA'!$K$4:$K$503,"Yes")=0,0,COUNTIFS('RESPONSE DATA'!$K$4:$K$503,"Yes",'RESPONSE DATA'!$S$4:$S$503,"")/COUNTIF('RESPONSE DATA'!$K$4:$K$503,"Yes")))</x:f>
      </x:c>
      <x:c r="H10" s="130" t="str">
        <x:f>IF(A10="","",IF(D10&lt;SETUP!$B$12,"LOW N",IF(G10&gt;0.1,"MISSINGNESS","OK")))</x:f>
      </x:c>
      <x:c r="I10" s="99"/>
      <x:c r="J10" s="99"/>
      <x:c r="K10" s="99"/>
      <x:c r="L10" s="99"/>
      <x:c r="M10" s="99"/>
      <x:c r="N10" s="99"/>
      <x:c r="O10" s="99"/>
      <x:c r="P10" s="99"/>
      <x:c r="Q10" s="99"/>
      <x:c r="R10" s="99"/>
      <x:c r="S10" s="99"/>
      <x:c r="T10" s="99"/>
      <x:c r="U10" s="99"/>
      <x:c r="V10" s="99"/>
      <x:c r="W10" s="99"/>
      <x:c r="X10" s="99"/>
      <x:c r="Y10" s="99"/>
      <x:c r="Z10" s="99"/>
    </x:row>
    <x:row r="11">
      <x:c r="A11" s="130" t="str">
        <x:f>IF('SURVEY DESIGN'!C11="","",'SURVEY DESIGN'!A11)</x:f>
      </x:c>
      <x:c r="B11" s="130" t="str">
        <x:f>IF(A11="","",'SURVEY DESIGN'!B11)</x:f>
      </x:c>
      <x:c r="C11" s="130" t="str">
        <x:f>IF(A11="","",'SURVEY DESIGN'!C11)</x:f>
      </x:c>
      <x:c r="D11" s="130" t="str">
        <x:f>IF(A11="","",COUNTIFS('RESPONSE DATA'!$K$4:$K$503,"Yes",'RESPONSE DATA'!$T$4:$T$503,"&gt;0"))</x:f>
      </x:c>
      <x:c r="E11" s="133" t="str">
        <x:f>IF(A11="","",IF(D11=0,0,SUMIFS('RESPONSE DATA'!$T$4:$T$503,'RESPONSE DATA'!$K$4:$K$503,"Yes")/D11))</x:f>
      </x:c>
      <x:c r="F11" s="137" t="str">
        <x:f>IF(A11="","",IF(D11=0,0,COUNTIFS('RESPONSE DATA'!$K$4:$K$503,"Yes",'RESPONSE DATA'!$T$4:$T$503,"&gt;="&amp;SETUP!$B$11)/D11))</x:f>
      </x:c>
      <x:c r="G11" s="137" t="str">
        <x:f>IF(A11="","",IF(COUNTIF('RESPONSE DATA'!$K$4:$K$503,"Yes")=0,0,COUNTIFS('RESPONSE DATA'!$K$4:$K$503,"Yes",'RESPONSE DATA'!$T$4:$T$503,"")/COUNTIF('RESPONSE DATA'!$K$4:$K$503,"Yes")))</x:f>
      </x:c>
      <x:c r="H11" s="130" t="str">
        <x:f>IF(A11="","",IF(D11&lt;SETUP!$B$12,"LOW N",IF(G11&gt;0.1,"MISSINGNESS","OK")))</x:f>
      </x:c>
      <x:c r="I11" s="99"/>
      <x:c r="J11" s="99"/>
      <x:c r="K11" s="99"/>
      <x:c r="L11" s="99"/>
      <x:c r="M11" s="99"/>
      <x:c r="N11" s="99"/>
      <x:c r="O11" s="99"/>
      <x:c r="P11" s="99"/>
      <x:c r="Q11" s="99"/>
      <x:c r="R11" s="99"/>
      <x:c r="S11" s="99"/>
      <x:c r="T11" s="99"/>
      <x:c r="U11" s="99"/>
      <x:c r="V11" s="99"/>
      <x:c r="W11" s="99"/>
      <x:c r="X11" s="99"/>
      <x:c r="Y11" s="99"/>
      <x:c r="Z11" s="99"/>
    </x:row>
    <x:row r="12">
      <x:c r="A12" s="130" t="str">
        <x:f>IF('SURVEY DESIGN'!C12="","",'SURVEY DESIGN'!A12)</x:f>
      </x:c>
      <x:c r="B12" s="130" t="str">
        <x:f>IF(A12="","",'SURVEY DESIGN'!B12)</x:f>
      </x:c>
      <x:c r="C12" s="130" t="str">
        <x:f>IF(A12="","",'SURVEY DESIGN'!C12)</x:f>
      </x:c>
      <x:c r="D12" s="130" t="str">
        <x:f>IF(A12="","",COUNTIFS('RESPONSE DATA'!$K$4:$K$503,"Yes",'RESPONSE DATA'!$U$4:$U$503,"&gt;0"))</x:f>
      </x:c>
      <x:c r="E12" s="133" t="str">
        <x:f>IF(A12="","",IF(D12=0,0,SUMIFS('RESPONSE DATA'!$U$4:$U$503,'RESPONSE DATA'!$K$4:$K$503,"Yes")/D12))</x:f>
      </x:c>
      <x:c r="F12" s="137" t="str">
        <x:f>IF(A12="","",IF(D12=0,0,COUNTIFS('RESPONSE DATA'!$K$4:$K$503,"Yes",'RESPONSE DATA'!$U$4:$U$503,"&gt;="&amp;SETUP!$B$11)/D12))</x:f>
      </x:c>
      <x:c r="G12" s="137" t="str">
        <x:f>IF(A12="","",IF(COUNTIF('RESPONSE DATA'!$K$4:$K$503,"Yes")=0,0,COUNTIFS('RESPONSE DATA'!$K$4:$K$503,"Yes",'RESPONSE DATA'!$U$4:$U$503,"")/COUNTIF('RESPONSE DATA'!$K$4:$K$503,"Yes")))</x:f>
      </x:c>
      <x:c r="H12" s="130" t="str">
        <x:f>IF(A12="","",IF(D12&lt;SETUP!$B$12,"LOW N",IF(G12&gt;0.1,"MISSINGNESS","OK")))</x:f>
      </x:c>
      <x:c r="I12" s="99"/>
      <x:c r="J12" s="99"/>
      <x:c r="K12" s="99"/>
      <x:c r="L12" s="99"/>
      <x:c r="M12" s="99"/>
      <x:c r="N12" s="99"/>
      <x:c r="O12" s="99"/>
      <x:c r="P12" s="99"/>
      <x:c r="Q12" s="99"/>
      <x:c r="R12" s="99"/>
      <x:c r="S12" s="99"/>
      <x:c r="T12" s="99"/>
      <x:c r="U12" s="99"/>
      <x:c r="V12" s="99"/>
      <x:c r="W12" s="99"/>
      <x:c r="X12" s="99"/>
      <x:c r="Y12" s="99"/>
      <x:c r="Z12" s="99"/>
    </x:row>
    <x:row r="13">
      <x:c r="A13" s="130" t="str">
        <x:f>IF('SURVEY DESIGN'!C13="","",'SURVEY DESIGN'!A13)</x:f>
      </x:c>
      <x:c r="B13" s="130" t="str">
        <x:f>IF(A13="","",'SURVEY DESIGN'!B13)</x:f>
      </x:c>
      <x:c r="C13" s="130" t="str">
        <x:f>IF(A13="","",'SURVEY DESIGN'!C13)</x:f>
      </x:c>
      <x:c r="D13" s="130" t="str">
        <x:f>IF(A13="","",COUNTIFS('RESPONSE DATA'!$K$4:$K$503,"Yes",'RESPONSE DATA'!$V$4:$V$503,"&gt;0"))</x:f>
      </x:c>
      <x:c r="E13" s="133" t="str">
        <x:f>IF(A13="","",IF(D13=0,0,SUMIFS('RESPONSE DATA'!$V$4:$V$503,'RESPONSE DATA'!$K$4:$K$503,"Yes")/D13))</x:f>
      </x:c>
      <x:c r="F13" s="137" t="str">
        <x:f>IF(A13="","",IF(D13=0,0,COUNTIFS('RESPONSE DATA'!$K$4:$K$503,"Yes",'RESPONSE DATA'!$V$4:$V$503,"&gt;="&amp;SETUP!$B$11)/D13))</x:f>
      </x:c>
      <x:c r="G13" s="137" t="str">
        <x:f>IF(A13="","",IF(COUNTIF('RESPONSE DATA'!$K$4:$K$503,"Yes")=0,0,COUNTIFS('RESPONSE DATA'!$K$4:$K$503,"Yes",'RESPONSE DATA'!$V$4:$V$503,"")/COUNTIF('RESPONSE DATA'!$K$4:$K$503,"Yes")))</x:f>
      </x:c>
      <x:c r="H13" s="130" t="str">
        <x:f>IF(A13="","",IF(D13&lt;SETUP!$B$12,"LOW N",IF(G13&gt;0.1,"MISSINGNESS","OK")))</x:f>
      </x:c>
      <x:c r="I13" s="99"/>
      <x:c r="J13" s="99"/>
      <x:c r="K13" s="99"/>
      <x:c r="L13" s="99"/>
      <x:c r="M13" s="99"/>
      <x:c r="N13" s="99"/>
      <x:c r="O13" s="99"/>
      <x:c r="P13" s="99"/>
      <x:c r="Q13" s="99"/>
      <x:c r="R13" s="99"/>
      <x:c r="S13" s="99"/>
      <x:c r="T13" s="99"/>
      <x:c r="U13" s="99"/>
      <x:c r="V13" s="99"/>
      <x:c r="W13" s="99"/>
      <x:c r="X13" s="99"/>
      <x:c r="Y13" s="99"/>
      <x:c r="Z13" s="99"/>
    </x:row>
    <x:row r="14">
      <x:c r="A14" s="130" t="str">
        <x:f>IF('SURVEY DESIGN'!C14="","",'SURVEY DESIGN'!A14)</x:f>
      </x:c>
      <x:c r="B14" s="130" t="str">
        <x:f>IF(A14="","",'SURVEY DESIGN'!B14)</x:f>
      </x:c>
      <x:c r="C14" s="130" t="str">
        <x:f>IF(A14="","",'SURVEY DESIGN'!C14)</x:f>
      </x:c>
      <x:c r="D14" s="130" t="str">
        <x:f>IF(A14="","",COUNTIFS('RESPONSE DATA'!$K$4:$K$503,"Yes",'RESPONSE DATA'!$W$4:$W$503,"&gt;0"))</x:f>
      </x:c>
      <x:c r="E14" s="133" t="str">
        <x:f>IF(A14="","",IF(D14=0,0,SUMIFS('RESPONSE DATA'!$W$4:$W$503,'RESPONSE DATA'!$K$4:$K$503,"Yes")/D14))</x:f>
      </x:c>
      <x:c r="F14" s="137" t="str">
        <x:f>IF(A14="","",IF(D14=0,0,COUNTIFS('RESPONSE DATA'!$K$4:$K$503,"Yes",'RESPONSE DATA'!$W$4:$W$503,"&gt;="&amp;SETUP!$B$11)/D14))</x:f>
      </x:c>
      <x:c r="G14" s="137" t="str">
        <x:f>IF(A14="","",IF(COUNTIF('RESPONSE DATA'!$K$4:$K$503,"Yes")=0,0,COUNTIFS('RESPONSE DATA'!$K$4:$K$503,"Yes",'RESPONSE DATA'!$W$4:$W$503,"")/COUNTIF('RESPONSE DATA'!$K$4:$K$503,"Yes")))</x:f>
      </x:c>
      <x:c r="H14" s="130" t="str">
        <x:f>IF(A14="","",IF(D14&lt;SETUP!$B$12,"LOW N",IF(G14&gt;0.1,"MISSINGNESS","OK")))</x:f>
      </x:c>
      <x:c r="I14" s="99"/>
      <x:c r="J14" s="99"/>
      <x:c r="K14" s="99"/>
      <x:c r="L14" s="99"/>
      <x:c r="M14" s="99"/>
      <x:c r="N14" s="99"/>
      <x:c r="O14" s="99"/>
      <x:c r="P14" s="99"/>
      <x:c r="Q14" s="99"/>
      <x:c r="R14" s="99"/>
      <x:c r="S14" s="99"/>
      <x:c r="T14" s="99"/>
      <x:c r="U14" s="99"/>
      <x:c r="V14" s="99"/>
      <x:c r="W14" s="99"/>
      <x:c r="X14" s="99"/>
      <x:c r="Y14" s="99"/>
      <x:c r="Z14" s="99"/>
    </x:row>
    <x:row r="15">
      <x:c r="A15" s="130" t="str">
        <x:f>IF('SURVEY DESIGN'!C15="","",'SURVEY DESIGN'!A15)</x:f>
      </x:c>
      <x:c r="B15" s="130" t="str">
        <x:f>IF(A15="","",'SURVEY DESIGN'!B15)</x:f>
      </x:c>
      <x:c r="C15" s="130" t="str">
        <x:f>IF(A15="","",'SURVEY DESIGN'!C15)</x:f>
      </x:c>
      <x:c r="D15" s="130" t="str">
        <x:f>IF(A15="","",COUNTIFS('RESPONSE DATA'!$K$4:$K$503,"Yes",'RESPONSE DATA'!$X$4:$X$503,"&gt;0"))</x:f>
      </x:c>
      <x:c r="E15" s="133" t="str">
        <x:f>IF(A15="","",IF(D15=0,0,SUMIFS('RESPONSE DATA'!$X$4:$X$503,'RESPONSE DATA'!$K$4:$K$503,"Yes")/D15))</x:f>
      </x:c>
      <x:c r="F15" s="137" t="str">
        <x:f>IF(A15="","",IF(D15=0,0,COUNTIFS('RESPONSE DATA'!$K$4:$K$503,"Yes",'RESPONSE DATA'!$X$4:$X$503,"&gt;="&amp;SETUP!$B$11)/D15))</x:f>
      </x:c>
      <x:c r="G15" s="137" t="str">
        <x:f>IF(A15="","",IF(COUNTIF('RESPONSE DATA'!$K$4:$K$503,"Yes")=0,0,COUNTIFS('RESPONSE DATA'!$K$4:$K$503,"Yes",'RESPONSE DATA'!$X$4:$X$503,"")/COUNTIF('RESPONSE DATA'!$K$4:$K$503,"Yes")))</x:f>
      </x:c>
      <x:c r="H15" s="130" t="str">
        <x:f>IF(A15="","",IF(D15&lt;SETUP!$B$12,"LOW N",IF(G15&gt;0.1,"MISSINGNESS","OK")))</x:f>
      </x:c>
      <x:c r="I15" s="99"/>
      <x:c r="J15" s="99"/>
      <x:c r="K15" s="99"/>
      <x:c r="L15" s="99"/>
      <x:c r="M15" s="99"/>
      <x:c r="N15" s="99"/>
      <x:c r="O15" s="99"/>
      <x:c r="P15" s="99"/>
      <x:c r="Q15" s="99"/>
      <x:c r="R15" s="99"/>
      <x:c r="S15" s="99"/>
      <x:c r="T15" s="99"/>
      <x:c r="U15" s="99"/>
      <x:c r="V15" s="99"/>
      <x:c r="W15" s="99"/>
      <x:c r="X15" s="99"/>
      <x:c r="Y15" s="99"/>
      <x:c r="Z15" s="99"/>
    </x:row>
    <x:row r="16">
      <x:c r="A16" s="99"/>
      <x:c r="B16" s="99"/>
      <x:c r="C16" s="99"/>
      <x:c r="D16" s="99"/>
      <x:c r="E16" s="99"/>
      <x:c r="F16" s="99"/>
      <x:c r="G16" s="99"/>
      <x:c r="H16" s="99"/>
      <x:c r="I16" s="99"/>
      <x:c r="J16" s="99"/>
      <x:c r="K16" s="99"/>
      <x:c r="L16" s="99"/>
      <x:c r="M16" s="99"/>
      <x:c r="N16" s="99"/>
      <x:c r="O16" s="99"/>
      <x:c r="P16" s="99"/>
      <x:c r="Q16" s="99"/>
      <x:c r="R16" s="99"/>
      <x:c r="S16" s="99"/>
      <x:c r="T16" s="99"/>
      <x:c r="U16" s="99"/>
      <x:c r="V16" s="99"/>
      <x:c r="W16" s="99"/>
      <x:c r="X16" s="99"/>
      <x:c r="Y16" s="99"/>
      <x:c r="Z16" s="99"/>
    </x:row>
    <x:row r="17">
      <x:c r="A17" s="99"/>
      <x:c r="B17" s="99"/>
      <x:c r="C17" s="99"/>
      <x:c r="D17" s="99"/>
      <x:c r="E17" s="99"/>
      <x:c r="F17" s="99"/>
      <x:c r="G17" s="99"/>
      <x:c r="H17" s="99"/>
      <x:c r="I17" s="99"/>
      <x:c r="J17" s="99"/>
      <x:c r="K17" s="99"/>
      <x:c r="L17" s="99"/>
      <x:c r="M17" s="99"/>
      <x:c r="N17" s="99"/>
      <x:c r="O17" s="99"/>
      <x:c r="P17" s="99"/>
      <x:c r="Q17" s="99"/>
      <x:c r="R17" s="99"/>
      <x:c r="S17" s="99"/>
      <x:c r="T17" s="99"/>
      <x:c r="U17" s="99"/>
      <x:c r="V17" s="99"/>
      <x:c r="W17" s="99"/>
      <x:c r="X17" s="99"/>
      <x:c r="Y17" s="99"/>
      <x:c r="Z17" s="99"/>
    </x:row>
    <x:row r="18">
      <x:c r="A18" s="99"/>
      <x:c r="B18" s="99"/>
      <x:c r="C18" s="99"/>
      <x:c r="D18" s="99"/>
      <x:c r="E18" s="99"/>
      <x:c r="F18" s="99"/>
      <x:c r="G18" s="99"/>
      <x:c r="H18" s="99"/>
      <x:c r="I18" s="99"/>
      <x:c r="J18" s="99"/>
      <x:c r="K18" s="99"/>
      <x:c r="L18" s="99"/>
      <x:c r="M18" s="99"/>
      <x:c r="N18" s="99"/>
      <x:c r="O18" s="99"/>
      <x:c r="P18" s="99"/>
      <x:c r="Q18" s="99"/>
      <x:c r="R18" s="99"/>
      <x:c r="S18" s="99"/>
      <x:c r="T18" s="99"/>
      <x:c r="U18" s="99"/>
      <x:c r="V18" s="99"/>
      <x:c r="W18" s="99"/>
      <x:c r="X18" s="99"/>
      <x:c r="Y18" s="99"/>
      <x:c r="Z18" s="99"/>
    </x:row>
    <x:row r="19">
      <x:c r="A19" s="99"/>
      <x:c r="B19" s="99"/>
      <x:c r="C19" s="99"/>
      <x:c r="D19" s="99"/>
      <x:c r="E19" s="99"/>
      <x:c r="F19" s="99"/>
      <x:c r="G19" s="99"/>
      <x:c r="H19" s="99"/>
      <x:c r="I19" s="99"/>
      <x:c r="J19" s="99"/>
      <x:c r="K19" s="99"/>
      <x:c r="L19" s="99"/>
      <x:c r="M19" s="99"/>
      <x:c r="N19" s="99"/>
      <x:c r="O19" s="99"/>
      <x:c r="P19" s="99"/>
      <x:c r="Q19" s="99"/>
      <x:c r="R19" s="99"/>
      <x:c r="S19" s="99"/>
      <x:c r="T19" s="99"/>
      <x:c r="U19" s="99"/>
      <x:c r="V19" s="99"/>
      <x:c r="W19" s="99"/>
      <x:c r="X19" s="99"/>
      <x:c r="Y19" s="99"/>
      <x:c r="Z19" s="99"/>
    </x:row>
    <x:row r="20">
      <x:c r="A20" s="99"/>
      <x:c r="B20" s="99"/>
      <x:c r="C20" s="99"/>
      <x:c r="D20" s="99"/>
      <x:c r="E20" s="99"/>
      <x:c r="F20" s="99"/>
      <x:c r="G20" s="99"/>
      <x:c r="H20" s="99"/>
      <x:c r="I20" s="99"/>
      <x:c r="J20" s="99"/>
      <x:c r="K20" s="99"/>
      <x:c r="L20" s="99"/>
      <x:c r="M20" s="99"/>
      <x:c r="N20" s="99"/>
      <x:c r="O20" s="99"/>
      <x:c r="P20" s="99"/>
      <x:c r="Q20" s="99"/>
      <x:c r="R20" s="99"/>
      <x:c r="S20" s="99"/>
      <x:c r="T20" s="99"/>
      <x:c r="U20" s="99"/>
      <x:c r="V20" s="99"/>
      <x:c r="W20" s="99"/>
      <x:c r="X20" s="99"/>
      <x:c r="Y20" s="99"/>
      <x:c r="Z20" s="99"/>
    </x:row>
    <x:row r="21">
      <x:c r="A21" s="99"/>
      <x:c r="B21" s="99"/>
      <x:c r="C21" s="99"/>
      <x:c r="D21" s="99"/>
      <x:c r="E21" s="99"/>
      <x:c r="F21" s="99"/>
      <x:c r="G21" s="99"/>
      <x:c r="H21" s="99"/>
      <x:c r="I21" s="99"/>
      <x:c r="J21" s="99"/>
      <x:c r="K21" s="99"/>
      <x:c r="L21" s="99"/>
      <x:c r="M21" s="99"/>
      <x:c r="N21" s="99"/>
      <x:c r="O21" s="99"/>
      <x:c r="P21" s="99"/>
      <x:c r="Q21" s="99"/>
      <x:c r="R21" s="99"/>
      <x:c r="S21" s="99"/>
      <x:c r="T21" s="99"/>
      <x:c r="U21" s="99"/>
      <x:c r="V21" s="99"/>
      <x:c r="W21" s="99"/>
      <x:c r="X21" s="99"/>
      <x:c r="Y21" s="99"/>
      <x:c r="Z21" s="99"/>
    </x:row>
    <x:row r="22">
      <x:c r="A22" s="99"/>
      <x:c r="B22" s="99"/>
      <x:c r="C22" s="99"/>
      <x:c r="D22" s="99"/>
      <x:c r="E22" s="99"/>
      <x:c r="F22" s="99"/>
      <x:c r="G22" s="99"/>
      <x:c r="H22" s="99"/>
      <x:c r="I22" s="99"/>
      <x:c r="J22" s="99"/>
      <x:c r="K22" s="99"/>
      <x:c r="L22" s="99"/>
      <x:c r="M22" s="99"/>
      <x:c r="N22" s="99"/>
      <x:c r="O22" s="99"/>
      <x:c r="P22" s="99"/>
      <x:c r="Q22" s="99"/>
      <x:c r="R22" s="99"/>
      <x:c r="S22" s="99"/>
      <x:c r="T22" s="99"/>
      <x:c r="U22" s="99"/>
      <x:c r="V22" s="99"/>
      <x:c r="W22" s="99"/>
      <x:c r="X22" s="99"/>
      <x:c r="Y22" s="99"/>
      <x:c r="Z22" s="99"/>
    </x:row>
    <x:row r="23">
      <x:c r="A23" s="99"/>
      <x:c r="B23" s="99"/>
      <x:c r="C23" s="99"/>
      <x:c r="D23" s="99"/>
      <x:c r="E23" s="99"/>
      <x:c r="F23" s="99"/>
      <x:c r="G23" s="99"/>
      <x:c r="H23" s="99"/>
      <x:c r="I23" s="99"/>
      <x:c r="J23" s="99"/>
      <x:c r="K23" s="99"/>
      <x:c r="L23" s="99"/>
      <x:c r="M23" s="99"/>
      <x:c r="N23" s="99"/>
      <x:c r="O23" s="99"/>
      <x:c r="P23" s="99"/>
      <x:c r="Q23" s="99"/>
      <x:c r="R23" s="99"/>
      <x:c r="S23" s="99"/>
      <x:c r="T23" s="99"/>
      <x:c r="U23" s="99"/>
      <x:c r="V23" s="99"/>
      <x:c r="W23" s="99"/>
      <x:c r="X23" s="99"/>
      <x:c r="Y23" s="99"/>
      <x:c r="Z23" s="99"/>
    </x:row>
    <x:row r="24">
      <x:c r="A24" s="99"/>
      <x:c r="B24" s="99"/>
      <x:c r="C24" s="99"/>
      <x:c r="D24" s="99"/>
      <x:c r="E24" s="99"/>
      <x:c r="F24" s="99"/>
      <x:c r="G24" s="99"/>
      <x:c r="H24" s="99"/>
      <x:c r="I24" s="99"/>
      <x:c r="J24" s="99"/>
      <x:c r="K24" s="99"/>
      <x:c r="L24" s="99"/>
      <x:c r="M24" s="99"/>
      <x:c r="N24" s="99"/>
      <x:c r="O24" s="99"/>
      <x:c r="P24" s="99"/>
      <x:c r="Q24" s="99"/>
      <x:c r="R24" s="99"/>
      <x:c r="S24" s="99"/>
      <x:c r="T24" s="99"/>
      <x:c r="U24" s="99"/>
      <x:c r="V24" s="99"/>
      <x:c r="W24" s="99"/>
      <x:c r="X24" s="99"/>
      <x:c r="Y24" s="99"/>
      <x:c r="Z24" s="99"/>
    </x:row>
    <x:row r="25">
      <x:c r="A25" s="99"/>
      <x:c r="B25" s="99"/>
      <x:c r="C25" s="99"/>
      <x:c r="D25" s="99"/>
      <x:c r="E25" s="99"/>
      <x:c r="F25" s="99"/>
      <x:c r="G25" s="99"/>
      <x:c r="H25" s="99"/>
      <x:c r="I25" s="99"/>
      <x:c r="J25" s="99"/>
      <x:c r="K25" s="99"/>
      <x:c r="L25" s="99"/>
      <x:c r="M25" s="99"/>
      <x:c r="N25" s="99"/>
      <x:c r="O25" s="99"/>
      <x:c r="P25" s="99"/>
      <x:c r="Q25" s="99"/>
      <x:c r="R25" s="99"/>
      <x:c r="S25" s="99"/>
      <x:c r="T25" s="99"/>
      <x:c r="U25" s="99"/>
      <x:c r="V25" s="99"/>
      <x:c r="W25" s="99"/>
      <x:c r="X25" s="99"/>
      <x:c r="Y25" s="99"/>
      <x:c r="Z25" s="99"/>
    </x:row>
    <x:row r="26">
      <x:c r="A26" s="99"/>
      <x:c r="B26" s="99"/>
      <x:c r="C26" s="99"/>
      <x:c r="D26" s="99"/>
      <x:c r="E26" s="99"/>
      <x:c r="F26" s="99"/>
      <x:c r="G26" s="99"/>
      <x:c r="H26" s="99"/>
      <x:c r="I26" s="99"/>
      <x:c r="J26" s="99"/>
      <x:c r="K26" s="99"/>
      <x:c r="L26" s="99"/>
      <x:c r="M26" s="99"/>
      <x:c r="N26" s="99"/>
      <x:c r="O26" s="99"/>
      <x:c r="P26" s="99"/>
      <x:c r="Q26" s="99"/>
      <x:c r="R26" s="99"/>
      <x:c r="S26" s="99"/>
      <x:c r="T26" s="99"/>
      <x:c r="U26" s="99"/>
      <x:c r="V26" s="99"/>
      <x:c r="W26" s="99"/>
      <x:c r="X26" s="99"/>
      <x:c r="Y26" s="99"/>
      <x:c r="Z26" s="99"/>
    </x:row>
    <x:row r="27">
      <x:c r="A27" s="99"/>
      <x:c r="B27" s="99"/>
      <x:c r="C27" s="99"/>
      <x:c r="D27" s="99"/>
      <x:c r="E27" s="99"/>
      <x:c r="F27" s="99"/>
      <x:c r="G27" s="99"/>
      <x:c r="H27" s="99"/>
      <x:c r="I27" s="99"/>
      <x:c r="J27" s="99"/>
      <x:c r="K27" s="99"/>
      <x:c r="L27" s="99"/>
      <x:c r="M27" s="99"/>
      <x:c r="N27" s="99"/>
      <x:c r="O27" s="99"/>
      <x:c r="P27" s="99"/>
      <x:c r="Q27" s="99"/>
      <x:c r="R27" s="99"/>
      <x:c r="S27" s="99"/>
      <x:c r="T27" s="99"/>
      <x:c r="U27" s="99"/>
      <x:c r="V27" s="99"/>
      <x:c r="W27" s="99"/>
      <x:c r="X27" s="99"/>
      <x:c r="Y27" s="99"/>
      <x:c r="Z27" s="99"/>
    </x:row>
    <x:row r="28">
      <x:c r="A28" s="99"/>
      <x:c r="B28" s="99"/>
      <x:c r="C28" s="99"/>
      <x:c r="D28" s="99"/>
      <x:c r="E28" s="99"/>
      <x:c r="F28" s="99"/>
      <x:c r="G28" s="99"/>
      <x:c r="H28" s="99"/>
      <x:c r="I28" s="99"/>
      <x:c r="J28" s="99"/>
      <x:c r="K28" s="99"/>
      <x:c r="L28" s="99"/>
      <x:c r="M28" s="99"/>
      <x:c r="N28" s="99"/>
      <x:c r="O28" s="99"/>
      <x:c r="P28" s="99"/>
      <x:c r="Q28" s="99"/>
      <x:c r="R28" s="99"/>
      <x:c r="S28" s="99"/>
      <x:c r="T28" s="99"/>
      <x:c r="U28" s="99"/>
      <x:c r="V28" s="99"/>
      <x:c r="W28" s="99"/>
      <x:c r="X28" s="99"/>
      <x:c r="Y28" s="99"/>
      <x:c r="Z28" s="99"/>
    </x:row>
    <x:row r="29">
      <x:c r="A29" s="99"/>
      <x:c r="B29" s="99"/>
      <x:c r="C29" s="99"/>
      <x:c r="D29" s="99"/>
      <x:c r="E29" s="99"/>
      <x:c r="F29" s="99"/>
      <x:c r="G29" s="99"/>
      <x:c r="H29" s="99"/>
      <x:c r="I29" s="99"/>
      <x:c r="J29" s="99"/>
      <x:c r="K29" s="99"/>
      <x:c r="L29" s="99"/>
      <x:c r="M29" s="99"/>
      <x:c r="N29" s="99"/>
      <x:c r="O29" s="99"/>
      <x:c r="P29" s="99"/>
      <x:c r="Q29" s="99"/>
      <x:c r="R29" s="99"/>
      <x:c r="S29" s="99"/>
      <x:c r="T29" s="99"/>
      <x:c r="U29" s="99"/>
      <x:c r="V29" s="99"/>
      <x:c r="W29" s="99"/>
      <x:c r="X29" s="99"/>
      <x:c r="Y29" s="99"/>
      <x:c r="Z29" s="99"/>
    </x:row>
    <x:row r="30">
      <x:c r="A30" s="99"/>
      <x:c r="B30" s="99"/>
      <x:c r="C30" s="99"/>
      <x:c r="D30" s="99"/>
      <x:c r="E30" s="99"/>
      <x:c r="F30" s="99"/>
      <x:c r="G30" s="99"/>
      <x:c r="H30" s="99"/>
      <x:c r="I30" s="99"/>
      <x:c r="J30" s="99"/>
      <x:c r="K30" s="99"/>
      <x:c r="L30" s="99"/>
      <x:c r="M30" s="99"/>
      <x:c r="N30" s="99"/>
      <x:c r="O30" s="99"/>
      <x:c r="P30" s="99"/>
      <x:c r="Q30" s="99"/>
      <x:c r="R30" s="99"/>
      <x:c r="S30" s="99"/>
      <x:c r="T30" s="99"/>
      <x:c r="U30" s="99"/>
      <x:c r="V30" s="99"/>
      <x:c r="W30" s="99"/>
      <x:c r="X30" s="99"/>
      <x:c r="Y30" s="99"/>
      <x:c r="Z30" s="99"/>
    </x:row>
    <x:row r="31">
      <x:c r="A31" s="99"/>
      <x:c r="B31" s="99"/>
      <x:c r="C31" s="99"/>
      <x:c r="D31" s="99"/>
      <x:c r="E31" s="99"/>
      <x:c r="F31" s="99"/>
      <x:c r="G31" s="99"/>
      <x:c r="H31" s="99"/>
      <x:c r="I31" s="99"/>
      <x:c r="J31" s="99"/>
      <x:c r="K31" s="99"/>
      <x:c r="L31" s="99"/>
      <x:c r="M31" s="99"/>
      <x:c r="N31" s="99"/>
      <x:c r="O31" s="99"/>
      <x:c r="P31" s="99"/>
      <x:c r="Q31" s="99"/>
      <x:c r="R31" s="99"/>
      <x:c r="S31" s="99"/>
      <x:c r="T31" s="99"/>
      <x:c r="U31" s="99"/>
      <x:c r="V31" s="99"/>
      <x:c r="W31" s="99"/>
      <x:c r="X31" s="99"/>
      <x:c r="Y31" s="99"/>
      <x:c r="Z31" s="99"/>
    </x:row>
    <x:row r="32">
      <x:c r="A32" s="99"/>
      <x:c r="B32" s="99"/>
      <x:c r="C32" s="99"/>
      <x:c r="D32" s="99"/>
      <x:c r="E32" s="99"/>
      <x:c r="F32" s="99"/>
      <x:c r="G32" s="99"/>
      <x:c r="H32" s="99"/>
      <x:c r="I32" s="99"/>
      <x:c r="J32" s="99"/>
      <x:c r="K32" s="99"/>
      <x:c r="L32" s="99"/>
      <x:c r="M32" s="99"/>
      <x:c r="N32" s="99"/>
      <x:c r="O32" s="99"/>
      <x:c r="P32" s="99"/>
      <x:c r="Q32" s="99"/>
      <x:c r="R32" s="99"/>
      <x:c r="S32" s="99"/>
      <x:c r="T32" s="99"/>
      <x:c r="U32" s="99"/>
      <x:c r="V32" s="99"/>
      <x:c r="W32" s="99"/>
      <x:c r="X32" s="99"/>
      <x:c r="Y32" s="99"/>
      <x:c r="Z32" s="99"/>
    </x:row>
    <x:row r="33">
      <x:c r="A33" s="99"/>
      <x:c r="B33" s="99"/>
      <x:c r="C33" s="99"/>
      <x:c r="D33" s="99"/>
      <x:c r="E33" s="99"/>
      <x:c r="F33" s="99"/>
      <x:c r="G33" s="99"/>
      <x:c r="H33" s="99"/>
      <x:c r="I33" s="99"/>
      <x:c r="J33" s="99"/>
      <x:c r="K33" s="99"/>
      <x:c r="L33" s="99"/>
      <x:c r="M33" s="99"/>
      <x:c r="N33" s="99"/>
      <x:c r="O33" s="99"/>
      <x:c r="P33" s="99"/>
      <x:c r="Q33" s="99"/>
      <x:c r="R33" s="99"/>
      <x:c r="S33" s="99"/>
      <x:c r="T33" s="99"/>
      <x:c r="U33" s="99"/>
      <x:c r="V33" s="99"/>
      <x:c r="W33" s="99"/>
      <x:c r="X33" s="99"/>
      <x:c r="Y33" s="99"/>
      <x:c r="Z33" s="99"/>
    </x:row>
    <x:row r="34">
      <x:c r="A34" s="99"/>
      <x:c r="B34" s="99"/>
      <x:c r="C34" s="99"/>
      <x:c r="D34" s="99"/>
      <x:c r="E34" s="99"/>
      <x:c r="F34" s="99"/>
      <x:c r="G34" s="99"/>
      <x:c r="H34" s="99"/>
      <x:c r="I34" s="99"/>
      <x:c r="J34" s="99"/>
      <x:c r="K34" s="99"/>
      <x:c r="L34" s="99"/>
      <x:c r="M34" s="99"/>
      <x:c r="N34" s="99"/>
      <x:c r="O34" s="99"/>
      <x:c r="P34" s="99"/>
      <x:c r="Q34" s="99"/>
      <x:c r="R34" s="99"/>
      <x:c r="S34" s="99"/>
      <x:c r="T34" s="99"/>
      <x:c r="U34" s="99"/>
      <x:c r="V34" s="99"/>
      <x:c r="W34" s="99"/>
      <x:c r="X34" s="99"/>
      <x:c r="Y34" s="99"/>
      <x:c r="Z34" s="99"/>
    </x:row>
    <x:row r="35">
      <x:c r="A35" s="99"/>
      <x:c r="B35" s="99"/>
      <x:c r="C35" s="99"/>
      <x:c r="D35" s="99"/>
      <x:c r="E35" s="99"/>
      <x:c r="F35" s="99"/>
      <x:c r="G35" s="99"/>
      <x:c r="H35" s="99"/>
      <x:c r="I35" s="99"/>
      <x:c r="J35" s="99"/>
      <x:c r="K35" s="99"/>
      <x:c r="L35" s="99"/>
      <x:c r="M35" s="99"/>
      <x:c r="N35" s="99"/>
      <x:c r="O35" s="99"/>
      <x:c r="P35" s="99"/>
      <x:c r="Q35" s="99"/>
      <x:c r="R35" s="99"/>
      <x:c r="S35" s="99"/>
      <x:c r="T35" s="99"/>
      <x:c r="U35" s="99"/>
      <x:c r="V35" s="99"/>
      <x:c r="W35" s="99"/>
      <x:c r="X35" s="99"/>
      <x:c r="Y35" s="99"/>
      <x:c r="Z35" s="99"/>
    </x:row>
    <x:row r="36">
      <x:c r="A36" s="99"/>
      <x:c r="B36" s="99"/>
      <x:c r="C36" s="99"/>
      <x:c r="D36" s="99"/>
      <x:c r="E36" s="99"/>
      <x:c r="F36" s="99"/>
      <x:c r="G36" s="99"/>
      <x:c r="H36" s="99"/>
      <x:c r="I36" s="99"/>
      <x:c r="J36" s="99"/>
      <x:c r="K36" s="99"/>
      <x:c r="L36" s="99"/>
      <x:c r="M36" s="99"/>
      <x:c r="N36" s="99"/>
      <x:c r="O36" s="99"/>
      <x:c r="P36" s="99"/>
      <x:c r="Q36" s="99"/>
      <x:c r="R36" s="99"/>
      <x:c r="S36" s="99"/>
      <x:c r="T36" s="99"/>
      <x:c r="U36" s="99"/>
      <x:c r="V36" s="99"/>
      <x:c r="W36" s="99"/>
      <x:c r="X36" s="99"/>
      <x:c r="Y36" s="99"/>
      <x:c r="Z36" s="99"/>
    </x:row>
    <x:row r="37">
      <x:c r="A37" s="99"/>
      <x:c r="B37" s="99"/>
      <x:c r="C37" s="99"/>
      <x:c r="D37" s="99"/>
      <x:c r="E37" s="99"/>
      <x:c r="F37" s="99"/>
      <x:c r="G37" s="99"/>
      <x:c r="H37" s="99"/>
      <x:c r="I37" s="99"/>
      <x:c r="J37" s="99"/>
      <x:c r="K37" s="99"/>
      <x:c r="L37" s="99"/>
      <x:c r="M37" s="99"/>
      <x:c r="N37" s="99"/>
      <x:c r="O37" s="99"/>
      <x:c r="P37" s="99"/>
      <x:c r="Q37" s="99"/>
      <x:c r="R37" s="99"/>
      <x:c r="S37" s="99"/>
      <x:c r="T37" s="99"/>
      <x:c r="U37" s="99"/>
      <x:c r="V37" s="99"/>
      <x:c r="W37" s="99"/>
      <x:c r="X37" s="99"/>
      <x:c r="Y37" s="99"/>
      <x:c r="Z37" s="99"/>
    </x:row>
    <x:row r="38">
      <x:c r="A38" s="99"/>
      <x:c r="B38" s="99"/>
      <x:c r="C38" s="99"/>
      <x:c r="D38" s="99"/>
      <x:c r="E38" s="99"/>
      <x:c r="F38" s="99"/>
      <x:c r="G38" s="99"/>
      <x:c r="H38" s="99"/>
      <x:c r="I38" s="99"/>
      <x:c r="J38" s="99"/>
      <x:c r="K38" s="99"/>
      <x:c r="L38" s="99"/>
      <x:c r="M38" s="99"/>
      <x:c r="N38" s="99"/>
      <x:c r="O38" s="99"/>
      <x:c r="P38" s="99"/>
      <x:c r="Q38" s="99"/>
      <x:c r="R38" s="99"/>
      <x:c r="S38" s="99"/>
      <x:c r="T38" s="99"/>
      <x:c r="U38" s="99"/>
      <x:c r="V38" s="99"/>
      <x:c r="W38" s="99"/>
      <x:c r="X38" s="99"/>
      <x:c r="Y38" s="99"/>
      <x:c r="Z38" s="99"/>
    </x:row>
    <x:row r="39">
      <x:c r="A39" s="99"/>
      <x:c r="B39" s="99"/>
      <x:c r="C39" s="99"/>
      <x:c r="D39" s="99"/>
      <x:c r="E39" s="99"/>
      <x:c r="F39" s="99"/>
      <x:c r="G39" s="99"/>
      <x:c r="H39" s="99"/>
      <x:c r="I39" s="99"/>
      <x:c r="J39" s="99"/>
      <x:c r="K39" s="99"/>
      <x:c r="L39" s="99"/>
      <x:c r="M39" s="99"/>
      <x:c r="N39" s="99"/>
      <x:c r="O39" s="99"/>
      <x:c r="P39" s="99"/>
      <x:c r="Q39" s="99"/>
      <x:c r="R39" s="99"/>
      <x:c r="S39" s="99"/>
      <x:c r="T39" s="99"/>
      <x:c r="U39" s="99"/>
      <x:c r="V39" s="99"/>
      <x:c r="W39" s="99"/>
      <x:c r="X39" s="99"/>
      <x:c r="Y39" s="99"/>
      <x:c r="Z39" s="99"/>
    </x:row>
    <x:row r="40">
      <x:c r="A40" s="99"/>
      <x:c r="B40" s="99"/>
      <x:c r="C40" s="99"/>
      <x:c r="D40" s="99"/>
      <x:c r="E40" s="99"/>
      <x:c r="F40" s="99"/>
      <x:c r="G40" s="99"/>
      <x:c r="H40" s="99"/>
      <x:c r="I40" s="99"/>
      <x:c r="J40" s="99"/>
      <x:c r="K40" s="99"/>
      <x:c r="L40" s="99"/>
      <x:c r="M40" s="99"/>
      <x:c r="N40" s="99"/>
      <x:c r="O40" s="99"/>
      <x:c r="P40" s="99"/>
      <x:c r="Q40" s="99"/>
      <x:c r="R40" s="99"/>
      <x:c r="S40" s="99"/>
      <x:c r="T40" s="99"/>
      <x:c r="U40" s="99"/>
      <x:c r="V40" s="99"/>
      <x:c r="W40" s="99"/>
      <x:c r="X40" s="99"/>
      <x:c r="Y40" s="99"/>
      <x:c r="Z40" s="99"/>
    </x:row>
    <x:row r="41">
      <x:c r="A41" s="99"/>
      <x:c r="B41" s="99"/>
      <x:c r="C41" s="99"/>
      <x:c r="D41" s="99"/>
      <x:c r="E41" s="99"/>
      <x:c r="F41" s="99"/>
      <x:c r="G41" s="99"/>
      <x:c r="H41" s="99"/>
      <x:c r="I41" s="99"/>
      <x:c r="J41" s="99"/>
      <x:c r="K41" s="99"/>
      <x:c r="L41" s="99"/>
      <x:c r="M41" s="99"/>
      <x:c r="N41" s="99"/>
      <x:c r="O41" s="99"/>
      <x:c r="P41" s="99"/>
      <x:c r="Q41" s="99"/>
      <x:c r="R41" s="99"/>
      <x:c r="S41" s="99"/>
      <x:c r="T41" s="99"/>
      <x:c r="U41" s="99"/>
      <x:c r="V41" s="99"/>
      <x:c r="W41" s="99"/>
      <x:c r="X41" s="99"/>
      <x:c r="Y41" s="99"/>
      <x:c r="Z41" s="99"/>
    </x:row>
    <x:row r="42">
      <x:c r="A42" s="99"/>
      <x:c r="B42" s="99"/>
      <x:c r="C42" s="99"/>
      <x:c r="D42" s="99"/>
      <x:c r="E42" s="99"/>
      <x:c r="F42" s="99"/>
      <x:c r="G42" s="99"/>
      <x:c r="H42" s="99"/>
      <x:c r="I42" s="99"/>
      <x:c r="J42" s="99"/>
      <x:c r="K42" s="99"/>
      <x:c r="L42" s="99"/>
      <x:c r="M42" s="99"/>
      <x:c r="N42" s="99"/>
      <x:c r="O42" s="99"/>
      <x:c r="P42" s="99"/>
      <x:c r="Q42" s="99"/>
      <x:c r="R42" s="99"/>
      <x:c r="S42" s="99"/>
      <x:c r="T42" s="99"/>
      <x:c r="U42" s="99"/>
      <x:c r="V42" s="99"/>
      <x:c r="W42" s="99"/>
      <x:c r="X42" s="99"/>
      <x:c r="Y42" s="99"/>
      <x:c r="Z42" s="99"/>
    </x:row>
    <x:row r="43">
      <x:c r="A43" s="99"/>
      <x:c r="B43" s="99"/>
      <x:c r="C43" s="99"/>
      <x:c r="D43" s="99"/>
      <x:c r="E43" s="99"/>
      <x:c r="F43" s="99"/>
      <x:c r="G43" s="99"/>
      <x:c r="H43" s="99"/>
      <x:c r="I43" s="99"/>
      <x:c r="J43" s="99"/>
      <x:c r="K43" s="99"/>
      <x:c r="L43" s="99"/>
      <x:c r="M43" s="99"/>
      <x:c r="N43" s="99"/>
      <x:c r="O43" s="99"/>
      <x:c r="P43" s="99"/>
      <x:c r="Q43" s="99"/>
      <x:c r="R43" s="99"/>
      <x:c r="S43" s="99"/>
      <x:c r="T43" s="99"/>
      <x:c r="U43" s="99"/>
      <x:c r="V43" s="99"/>
      <x:c r="W43" s="99"/>
      <x:c r="X43" s="99"/>
      <x:c r="Y43" s="99"/>
      <x:c r="Z43" s="99"/>
    </x:row>
    <x:row r="44">
      <x:c r="A44" s="99"/>
      <x:c r="B44" s="99"/>
      <x:c r="C44" s="99"/>
      <x:c r="D44" s="99"/>
      <x:c r="E44" s="99"/>
      <x:c r="F44" s="99"/>
      <x:c r="G44" s="99"/>
      <x:c r="H44" s="99"/>
      <x:c r="I44" s="99"/>
      <x:c r="J44" s="99"/>
      <x:c r="K44" s="99"/>
      <x:c r="L44" s="99"/>
      <x:c r="M44" s="99"/>
      <x:c r="N44" s="99"/>
      <x:c r="O44" s="99"/>
      <x:c r="P44" s="99"/>
      <x:c r="Q44" s="99"/>
      <x:c r="R44" s="99"/>
      <x:c r="S44" s="99"/>
      <x:c r="T44" s="99"/>
      <x:c r="U44" s="99"/>
      <x:c r="V44" s="99"/>
      <x:c r="W44" s="99"/>
      <x:c r="X44" s="99"/>
      <x:c r="Y44" s="99"/>
      <x:c r="Z44" s="99"/>
    </x:row>
    <x:row r="45">
      <x:c r="A45" s="99"/>
      <x:c r="B45" s="99"/>
      <x:c r="C45" s="99"/>
      <x:c r="D45" s="99"/>
      <x:c r="E45" s="99"/>
      <x:c r="F45" s="99"/>
      <x:c r="G45" s="99"/>
      <x:c r="H45" s="99"/>
      <x:c r="I45" s="99"/>
      <x:c r="J45" s="99"/>
      <x:c r="K45" s="99"/>
      <x:c r="L45" s="99"/>
      <x:c r="M45" s="99"/>
      <x:c r="N45" s="99"/>
      <x:c r="O45" s="99"/>
      <x:c r="P45" s="99"/>
      <x:c r="Q45" s="99"/>
      <x:c r="R45" s="99"/>
      <x:c r="S45" s="99"/>
      <x:c r="T45" s="99"/>
      <x:c r="U45" s="99"/>
      <x:c r="V45" s="99"/>
      <x:c r="W45" s="99"/>
      <x:c r="X45" s="99"/>
      <x:c r="Y45" s="99"/>
      <x:c r="Z45" s="99"/>
    </x:row>
    <x:row r="46">
      <x:c r="A46" s="99"/>
      <x:c r="B46" s="99"/>
      <x:c r="C46" s="99"/>
      <x:c r="D46" s="99"/>
      <x:c r="E46" s="99"/>
      <x:c r="F46" s="99"/>
      <x:c r="G46" s="99"/>
      <x:c r="H46" s="99"/>
      <x:c r="I46" s="99"/>
      <x:c r="J46" s="99"/>
      <x:c r="K46" s="99"/>
      <x:c r="L46" s="99"/>
      <x:c r="M46" s="99"/>
      <x:c r="N46" s="99"/>
      <x:c r="O46" s="99"/>
      <x:c r="P46" s="99"/>
      <x:c r="Q46" s="99"/>
      <x:c r="R46" s="99"/>
      <x:c r="S46" s="99"/>
      <x:c r="T46" s="99"/>
      <x:c r="U46" s="99"/>
      <x:c r="V46" s="99"/>
      <x:c r="W46" s="99"/>
      <x:c r="X46" s="99"/>
      <x:c r="Y46" s="99"/>
      <x:c r="Z46" s="99"/>
    </x:row>
    <x:row r="47">
      <x:c r="A47" s="99"/>
      <x:c r="B47" s="99"/>
      <x:c r="C47" s="99"/>
      <x:c r="D47" s="99"/>
      <x:c r="E47" s="99"/>
      <x:c r="F47" s="99"/>
      <x:c r="G47" s="99"/>
      <x:c r="H47" s="99"/>
      <x:c r="I47" s="99"/>
      <x:c r="J47" s="99"/>
      <x:c r="K47" s="99"/>
      <x:c r="L47" s="99"/>
      <x:c r="M47" s="99"/>
      <x:c r="N47" s="99"/>
      <x:c r="O47" s="99"/>
      <x:c r="P47" s="99"/>
      <x:c r="Q47" s="99"/>
      <x:c r="R47" s="99"/>
      <x:c r="S47" s="99"/>
      <x:c r="T47" s="99"/>
      <x:c r="U47" s="99"/>
      <x:c r="V47" s="99"/>
      <x:c r="W47" s="99"/>
      <x:c r="X47" s="99"/>
      <x:c r="Y47" s="99"/>
      <x:c r="Z47" s="99"/>
    </x:row>
    <x:row r="48">
      <x:c r="A48" s="99"/>
      <x:c r="B48" s="99"/>
      <x:c r="C48" s="99"/>
      <x:c r="D48" s="99"/>
      <x:c r="E48" s="99"/>
      <x:c r="F48" s="99"/>
      <x:c r="G48" s="99"/>
      <x:c r="H48" s="99"/>
      <x:c r="I48" s="99"/>
      <x:c r="J48" s="99"/>
      <x:c r="K48" s="99"/>
      <x:c r="L48" s="99"/>
      <x:c r="M48" s="99"/>
      <x:c r="N48" s="99"/>
      <x:c r="O48" s="99"/>
      <x:c r="P48" s="99"/>
      <x:c r="Q48" s="99"/>
      <x:c r="R48" s="99"/>
      <x:c r="S48" s="99"/>
      <x:c r="T48" s="99"/>
      <x:c r="U48" s="99"/>
      <x:c r="V48" s="99"/>
      <x:c r="W48" s="99"/>
      <x:c r="X48" s="99"/>
      <x:c r="Y48" s="99"/>
      <x:c r="Z48" s="99"/>
    </x:row>
    <x:row r="49">
      <x:c r="A49" s="99"/>
      <x:c r="B49" s="99"/>
      <x:c r="C49" s="99"/>
      <x:c r="D49" s="99"/>
      <x:c r="E49" s="99"/>
      <x:c r="F49" s="99"/>
      <x:c r="G49" s="99"/>
      <x:c r="H49" s="99"/>
      <x:c r="I49" s="99"/>
      <x:c r="J49" s="99"/>
      <x:c r="K49" s="99"/>
      <x:c r="L49" s="99"/>
      <x:c r="M49" s="99"/>
      <x:c r="N49" s="99"/>
      <x:c r="O49" s="99"/>
      <x:c r="P49" s="99"/>
      <x:c r="Q49" s="99"/>
      <x:c r="R49" s="99"/>
      <x:c r="S49" s="99"/>
      <x:c r="T49" s="99"/>
      <x:c r="U49" s="99"/>
      <x:c r="V49" s="99"/>
      <x:c r="W49" s="99"/>
      <x:c r="X49" s="99"/>
      <x:c r="Y49" s="99"/>
      <x:c r="Z49" s="99"/>
    </x:row>
    <x:row r="50">
      <x:c r="A50" s="99"/>
      <x:c r="B50" s="99"/>
      <x:c r="C50" s="99"/>
      <x:c r="D50" s="99"/>
      <x:c r="E50" s="99"/>
      <x:c r="F50" s="99"/>
      <x:c r="G50" s="99"/>
      <x:c r="H50" s="99"/>
      <x:c r="I50" s="99"/>
      <x:c r="J50" s="99"/>
      <x:c r="K50" s="99"/>
      <x:c r="L50" s="99"/>
      <x:c r="M50" s="99"/>
      <x:c r="N50" s="99"/>
      <x:c r="O50" s="99"/>
      <x:c r="P50" s="99"/>
      <x:c r="Q50" s="99"/>
      <x:c r="R50" s="99"/>
      <x:c r="S50" s="99"/>
      <x:c r="T50" s="99"/>
      <x:c r="U50" s="99"/>
      <x:c r="V50" s="99"/>
      <x:c r="W50" s="99"/>
      <x:c r="X50" s="99"/>
      <x:c r="Y50" s="99"/>
      <x:c r="Z50" s="99"/>
    </x:row>
    <x:row r="51">
      <x:c r="A51" s="99"/>
      <x:c r="B51" s="99"/>
      <x:c r="C51" s="99"/>
      <x:c r="D51" s="99"/>
      <x:c r="E51" s="99"/>
      <x:c r="F51" s="99"/>
      <x:c r="G51" s="99"/>
      <x:c r="H51" s="99"/>
      <x:c r="I51" s="99"/>
      <x:c r="J51" s="99"/>
      <x:c r="K51" s="99"/>
      <x:c r="L51" s="99"/>
      <x:c r="M51" s="99"/>
      <x:c r="N51" s="99"/>
      <x:c r="O51" s="99"/>
      <x:c r="P51" s="99"/>
      <x:c r="Q51" s="99"/>
      <x:c r="R51" s="99"/>
      <x:c r="S51" s="99"/>
      <x:c r="T51" s="99"/>
      <x:c r="U51" s="99"/>
      <x:c r="V51" s="99"/>
      <x:c r="W51" s="99"/>
      <x:c r="X51" s="99"/>
      <x:c r="Y51" s="99"/>
      <x:c r="Z51" s="99"/>
    </x:row>
    <x:row r="52">
      <x:c r="A52" s="99"/>
      <x:c r="B52" s="99"/>
      <x:c r="C52" s="99"/>
      <x:c r="D52" s="99"/>
      <x:c r="E52" s="99"/>
      <x:c r="F52" s="99"/>
      <x:c r="G52" s="99"/>
      <x:c r="H52" s="99"/>
      <x:c r="I52" s="99"/>
      <x:c r="J52" s="99"/>
      <x:c r="K52" s="99"/>
      <x:c r="L52" s="99"/>
      <x:c r="M52" s="99"/>
      <x:c r="N52" s="99"/>
      <x:c r="O52" s="99"/>
      <x:c r="P52" s="99"/>
      <x:c r="Q52" s="99"/>
      <x:c r="R52" s="99"/>
      <x:c r="S52" s="99"/>
      <x:c r="T52" s="99"/>
      <x:c r="U52" s="99"/>
      <x:c r="V52" s="99"/>
      <x:c r="W52" s="99"/>
      <x:c r="X52" s="99"/>
      <x:c r="Y52" s="99"/>
      <x:c r="Z52" s="99"/>
    </x:row>
    <x:row r="53">
      <x:c r="A53" s="99"/>
      <x:c r="B53" s="99"/>
      <x:c r="C53" s="99"/>
      <x:c r="D53" s="99"/>
      <x:c r="E53" s="99"/>
      <x:c r="F53" s="99"/>
      <x:c r="G53" s="99"/>
      <x:c r="H53" s="99"/>
      <x:c r="I53" s="99"/>
      <x:c r="J53" s="99"/>
      <x:c r="K53" s="99"/>
      <x:c r="L53" s="99"/>
      <x:c r="M53" s="99"/>
      <x:c r="N53" s="99"/>
      <x:c r="O53" s="99"/>
      <x:c r="P53" s="99"/>
      <x:c r="Q53" s="99"/>
      <x:c r="R53" s="99"/>
      <x:c r="S53" s="99"/>
      <x:c r="T53" s="99"/>
      <x:c r="U53" s="99"/>
      <x:c r="V53" s="99"/>
      <x:c r="W53" s="99"/>
      <x:c r="X53" s="99"/>
      <x:c r="Y53" s="99"/>
      <x:c r="Z53" s="99"/>
    </x:row>
    <x:row r="54">
      <x:c r="A54" s="99"/>
      <x:c r="B54" s="99"/>
      <x:c r="C54" s="99"/>
      <x:c r="D54" s="99"/>
      <x:c r="E54" s="99"/>
      <x:c r="F54" s="99"/>
      <x:c r="G54" s="99"/>
      <x:c r="H54" s="99"/>
      <x:c r="I54" s="99"/>
      <x:c r="J54" s="99"/>
      <x:c r="K54" s="99"/>
      <x:c r="L54" s="99"/>
      <x:c r="M54" s="99"/>
      <x:c r="N54" s="99"/>
      <x:c r="O54" s="99"/>
      <x:c r="P54" s="99"/>
      <x:c r="Q54" s="99"/>
      <x:c r="R54" s="99"/>
      <x:c r="S54" s="99"/>
      <x:c r="T54" s="99"/>
      <x:c r="U54" s="99"/>
      <x:c r="V54" s="99"/>
      <x:c r="W54" s="99"/>
      <x:c r="X54" s="99"/>
      <x:c r="Y54" s="99"/>
      <x:c r="Z54" s="99"/>
    </x:row>
    <x:row r="55">
      <x:c r="A55" s="99"/>
      <x:c r="B55" s="99"/>
      <x:c r="C55" s="99"/>
      <x:c r="D55" s="99"/>
      <x:c r="E55" s="99"/>
      <x:c r="F55" s="99"/>
      <x:c r="G55" s="99"/>
      <x:c r="H55" s="99"/>
      <x:c r="I55" s="99"/>
      <x:c r="J55" s="99"/>
      <x:c r="K55" s="99"/>
      <x:c r="L55" s="99"/>
      <x:c r="M55" s="99"/>
      <x:c r="N55" s="99"/>
      <x:c r="O55" s="99"/>
      <x:c r="P55" s="99"/>
      <x:c r="Q55" s="99"/>
      <x:c r="R55" s="99"/>
      <x:c r="S55" s="99"/>
      <x:c r="T55" s="99"/>
      <x:c r="U55" s="99"/>
      <x:c r="V55" s="99"/>
      <x:c r="W55" s="99"/>
      <x:c r="X55" s="99"/>
      <x:c r="Y55" s="99"/>
      <x:c r="Z55" s="99"/>
    </x:row>
    <x:row r="56">
      <x:c r="A56" s="99"/>
      <x:c r="B56" s="99"/>
      <x:c r="C56" s="99"/>
      <x:c r="D56" s="99"/>
      <x:c r="E56" s="99"/>
      <x:c r="F56" s="99"/>
      <x:c r="G56" s="99"/>
      <x:c r="H56" s="99"/>
      <x:c r="I56" s="99"/>
      <x:c r="J56" s="99"/>
      <x:c r="K56" s="99"/>
      <x:c r="L56" s="99"/>
      <x:c r="M56" s="99"/>
      <x:c r="N56" s="99"/>
      <x:c r="O56" s="99"/>
      <x:c r="P56" s="99"/>
      <x:c r="Q56" s="99"/>
      <x:c r="R56" s="99"/>
      <x:c r="S56" s="99"/>
      <x:c r="T56" s="99"/>
      <x:c r="U56" s="99"/>
      <x:c r="V56" s="99"/>
      <x:c r="W56" s="99"/>
      <x:c r="X56" s="99"/>
      <x:c r="Y56" s="99"/>
      <x:c r="Z56" s="99"/>
    </x:row>
    <x:row r="57">
      <x:c r="A57" s="99"/>
      <x:c r="B57" s="99"/>
      <x:c r="C57" s="99"/>
      <x:c r="D57" s="99"/>
      <x:c r="E57" s="99"/>
      <x:c r="F57" s="99"/>
      <x:c r="G57" s="99"/>
      <x:c r="H57" s="99"/>
      <x:c r="I57" s="99"/>
      <x:c r="J57" s="99"/>
      <x:c r="K57" s="99"/>
      <x:c r="L57" s="99"/>
      <x:c r="M57" s="99"/>
      <x:c r="N57" s="99"/>
      <x:c r="O57" s="99"/>
      <x:c r="P57" s="99"/>
      <x:c r="Q57" s="99"/>
      <x:c r="R57" s="99"/>
      <x:c r="S57" s="99"/>
      <x:c r="T57" s="99"/>
      <x:c r="U57" s="99"/>
      <x:c r="V57" s="99"/>
      <x:c r="W57" s="99"/>
      <x:c r="X57" s="99"/>
      <x:c r="Y57" s="99"/>
      <x:c r="Z57" s="99"/>
    </x:row>
    <x:row r="58">
      <x:c r="A58" s="99"/>
      <x:c r="B58" s="99"/>
      <x:c r="C58" s="99"/>
      <x:c r="D58" s="99"/>
      <x:c r="E58" s="99"/>
      <x:c r="F58" s="99"/>
      <x:c r="G58" s="99"/>
      <x:c r="H58" s="99"/>
      <x:c r="I58" s="99"/>
      <x:c r="J58" s="99"/>
      <x:c r="K58" s="99"/>
      <x:c r="L58" s="99"/>
      <x:c r="M58" s="99"/>
      <x:c r="N58" s="99"/>
      <x:c r="O58" s="99"/>
      <x:c r="P58" s="99"/>
      <x:c r="Q58" s="99"/>
      <x:c r="R58" s="99"/>
      <x:c r="S58" s="99"/>
      <x:c r="T58" s="99"/>
      <x:c r="U58" s="99"/>
      <x:c r="V58" s="99"/>
      <x:c r="W58" s="99"/>
      <x:c r="X58" s="99"/>
      <x:c r="Y58" s="99"/>
      <x:c r="Z58" s="99"/>
    </x:row>
    <x:row r="59">
      <x:c r="A59" s="99"/>
      <x:c r="B59" s="99"/>
      <x:c r="C59" s="99"/>
      <x:c r="D59" s="99"/>
      <x:c r="E59" s="99"/>
      <x:c r="F59" s="99"/>
      <x:c r="G59" s="99"/>
      <x:c r="H59" s="99"/>
      <x:c r="I59" s="99"/>
      <x:c r="J59" s="99"/>
      <x:c r="K59" s="99"/>
      <x:c r="L59" s="99"/>
      <x:c r="M59" s="99"/>
      <x:c r="N59" s="99"/>
      <x:c r="O59" s="99"/>
      <x:c r="P59" s="99"/>
      <x:c r="Q59" s="99"/>
      <x:c r="R59" s="99"/>
      <x:c r="S59" s="99"/>
      <x:c r="T59" s="99"/>
      <x:c r="U59" s="99"/>
      <x:c r="V59" s="99"/>
      <x:c r="W59" s="99"/>
      <x:c r="X59" s="99"/>
      <x:c r="Y59" s="99"/>
      <x:c r="Z59" s="99"/>
    </x:row>
    <x:row r="60">
      <x:c r="A60" s="99"/>
      <x:c r="B60" s="99"/>
      <x:c r="C60" s="99"/>
      <x:c r="D60" s="99"/>
      <x:c r="E60" s="99"/>
      <x:c r="F60" s="99"/>
      <x:c r="G60" s="99"/>
      <x:c r="H60" s="99"/>
      <x:c r="I60" s="99"/>
      <x:c r="J60" s="99"/>
      <x:c r="K60" s="99"/>
      <x:c r="L60" s="99"/>
      <x:c r="M60" s="99"/>
      <x:c r="N60" s="99"/>
      <x:c r="O60" s="99"/>
      <x:c r="P60" s="99"/>
      <x:c r="Q60" s="99"/>
      <x:c r="R60" s="99"/>
      <x:c r="S60" s="99"/>
      <x:c r="T60" s="99"/>
      <x:c r="U60" s="99"/>
      <x:c r="V60" s="99"/>
      <x:c r="W60" s="99"/>
      <x:c r="X60" s="99"/>
      <x:c r="Y60" s="99"/>
      <x:c r="Z60" s="99"/>
    </x:row>
    <x:row r="61">
      <x:c r="A61" s="99"/>
      <x:c r="B61" s="99"/>
      <x:c r="C61" s="99"/>
      <x:c r="D61" s="99"/>
      <x:c r="E61" s="99"/>
      <x:c r="F61" s="99"/>
      <x:c r="G61" s="99"/>
      <x:c r="H61" s="99"/>
      <x:c r="I61" s="99"/>
      <x:c r="J61" s="99"/>
      <x:c r="K61" s="99"/>
      <x:c r="L61" s="99"/>
      <x:c r="M61" s="99"/>
      <x:c r="N61" s="99"/>
      <x:c r="O61" s="99"/>
      <x:c r="P61" s="99"/>
      <x:c r="Q61" s="99"/>
      <x:c r="R61" s="99"/>
      <x:c r="S61" s="99"/>
      <x:c r="T61" s="99"/>
      <x:c r="U61" s="99"/>
      <x:c r="V61" s="99"/>
      <x:c r="W61" s="99"/>
      <x:c r="X61" s="99"/>
      <x:c r="Y61" s="99"/>
      <x:c r="Z61" s="99"/>
    </x:row>
    <x:row r="62">
      <x:c r="A62" s="99"/>
      <x:c r="B62" s="99"/>
      <x:c r="C62" s="99"/>
      <x:c r="D62" s="99"/>
      <x:c r="E62" s="99"/>
      <x:c r="F62" s="99"/>
      <x:c r="G62" s="99"/>
      <x:c r="H62" s="99"/>
      <x:c r="I62" s="99"/>
      <x:c r="J62" s="99"/>
      <x:c r="K62" s="99"/>
      <x:c r="L62" s="99"/>
      <x:c r="M62" s="99"/>
      <x:c r="N62" s="99"/>
      <x:c r="O62" s="99"/>
      <x:c r="P62" s="99"/>
      <x:c r="Q62" s="99"/>
      <x:c r="R62" s="99"/>
      <x:c r="S62" s="99"/>
      <x:c r="T62" s="99"/>
      <x:c r="U62" s="99"/>
      <x:c r="V62" s="99"/>
      <x:c r="W62" s="99"/>
      <x:c r="X62" s="99"/>
      <x:c r="Y62" s="99"/>
      <x:c r="Z62" s="99"/>
    </x:row>
    <x:row r="63">
      <x:c r="A63" s="99"/>
      <x:c r="B63" s="99"/>
      <x:c r="C63" s="99"/>
      <x:c r="D63" s="99"/>
      <x:c r="E63" s="99"/>
      <x:c r="F63" s="99"/>
      <x:c r="G63" s="99"/>
      <x:c r="H63" s="99"/>
      <x:c r="I63" s="99"/>
      <x:c r="J63" s="99"/>
      <x:c r="K63" s="99"/>
      <x:c r="L63" s="99"/>
      <x:c r="M63" s="99"/>
      <x:c r="N63" s="99"/>
      <x:c r="O63" s="99"/>
      <x:c r="P63" s="99"/>
      <x:c r="Q63" s="99"/>
      <x:c r="R63" s="99"/>
      <x:c r="S63" s="99"/>
      <x:c r="T63" s="99"/>
      <x:c r="U63" s="99"/>
      <x:c r="V63" s="99"/>
      <x:c r="W63" s="99"/>
      <x:c r="X63" s="99"/>
      <x:c r="Y63" s="99"/>
      <x:c r="Z63" s="99"/>
    </x:row>
    <x:row r="64">
      <x:c r="A64" s="99"/>
      <x:c r="B64" s="99"/>
      <x:c r="C64" s="99"/>
      <x:c r="D64" s="99"/>
      <x:c r="E64" s="99"/>
      <x:c r="F64" s="99"/>
      <x:c r="G64" s="99"/>
      <x:c r="H64" s="99"/>
      <x:c r="I64" s="99"/>
      <x:c r="J64" s="99"/>
      <x:c r="K64" s="99"/>
      <x:c r="L64" s="99"/>
      <x:c r="M64" s="99"/>
      <x:c r="N64" s="99"/>
      <x:c r="O64" s="99"/>
      <x:c r="P64" s="99"/>
      <x:c r="Q64" s="99"/>
      <x:c r="R64" s="99"/>
      <x:c r="S64" s="99"/>
      <x:c r="T64" s="99"/>
      <x:c r="U64" s="99"/>
      <x:c r="V64" s="99"/>
      <x:c r="W64" s="99"/>
      <x:c r="X64" s="99"/>
      <x:c r="Y64" s="99"/>
      <x:c r="Z64" s="99"/>
    </x:row>
    <x:row r="65">
      <x:c r="A65" s="99"/>
      <x:c r="B65" s="99"/>
      <x:c r="C65" s="99"/>
      <x:c r="D65" s="99"/>
      <x:c r="E65" s="99"/>
      <x:c r="F65" s="99"/>
      <x:c r="G65" s="99"/>
      <x:c r="H65" s="99"/>
      <x:c r="I65" s="99"/>
      <x:c r="J65" s="99"/>
      <x:c r="K65" s="99"/>
      <x:c r="L65" s="99"/>
      <x:c r="M65" s="99"/>
      <x:c r="N65" s="99"/>
      <x:c r="O65" s="99"/>
      <x:c r="P65" s="99"/>
      <x:c r="Q65" s="99"/>
      <x:c r="R65" s="99"/>
      <x:c r="S65" s="99"/>
      <x:c r="T65" s="99"/>
      <x:c r="U65" s="99"/>
      <x:c r="V65" s="99"/>
      <x:c r="W65" s="99"/>
      <x:c r="X65" s="99"/>
      <x:c r="Y65" s="99"/>
      <x:c r="Z65" s="99"/>
    </x:row>
    <x:row r="66">
      <x:c r="A66" s="99"/>
      <x:c r="B66" s="99"/>
      <x:c r="C66" s="99"/>
      <x:c r="D66" s="99"/>
      <x:c r="E66" s="99"/>
      <x:c r="F66" s="99"/>
      <x:c r="G66" s="99"/>
      <x:c r="H66" s="99"/>
      <x:c r="I66" s="99"/>
      <x:c r="J66" s="99"/>
      <x:c r="K66" s="99"/>
      <x:c r="L66" s="99"/>
      <x:c r="M66" s="99"/>
      <x:c r="N66" s="99"/>
      <x:c r="O66" s="99"/>
      <x:c r="P66" s="99"/>
      <x:c r="Q66" s="99"/>
      <x:c r="R66" s="99"/>
      <x:c r="S66" s="99"/>
      <x:c r="T66" s="99"/>
      <x:c r="U66" s="99"/>
      <x:c r="V66" s="99"/>
      <x:c r="W66" s="99"/>
      <x:c r="X66" s="99"/>
      <x:c r="Y66" s="99"/>
      <x:c r="Z66" s="99"/>
    </x:row>
    <x:row r="67">
      <x:c r="A67" s="99"/>
      <x:c r="B67" s="99"/>
      <x:c r="C67" s="99"/>
      <x:c r="D67" s="99"/>
      <x:c r="E67" s="99"/>
      <x:c r="F67" s="99"/>
      <x:c r="G67" s="99"/>
      <x:c r="H67" s="99"/>
      <x:c r="I67" s="99"/>
      <x:c r="J67" s="99"/>
      <x:c r="K67" s="99"/>
      <x:c r="L67" s="99"/>
      <x:c r="M67" s="99"/>
      <x:c r="N67" s="99"/>
      <x:c r="O67" s="99"/>
      <x:c r="P67" s="99"/>
      <x:c r="Q67" s="99"/>
      <x:c r="R67" s="99"/>
      <x:c r="S67" s="99"/>
      <x:c r="T67" s="99"/>
      <x:c r="U67" s="99"/>
      <x:c r="V67" s="99"/>
      <x:c r="W67" s="99"/>
      <x:c r="X67" s="99"/>
      <x:c r="Y67" s="99"/>
      <x:c r="Z67" s="99"/>
    </x:row>
    <x:row r="68">
      <x:c r="A68" s="99"/>
      <x:c r="B68" s="99"/>
      <x:c r="C68" s="99"/>
      <x:c r="D68" s="99"/>
      <x:c r="E68" s="99"/>
      <x:c r="F68" s="99"/>
      <x:c r="G68" s="99"/>
      <x:c r="H68" s="99"/>
      <x:c r="I68" s="99"/>
      <x:c r="J68" s="99"/>
      <x:c r="K68" s="99"/>
      <x:c r="L68" s="99"/>
      <x:c r="M68" s="99"/>
      <x:c r="N68" s="99"/>
      <x:c r="O68" s="99"/>
      <x:c r="P68" s="99"/>
      <x:c r="Q68" s="99"/>
      <x:c r="R68" s="99"/>
      <x:c r="S68" s="99"/>
      <x:c r="T68" s="99"/>
      <x:c r="U68" s="99"/>
      <x:c r="V68" s="99"/>
      <x:c r="W68" s="99"/>
      <x:c r="X68" s="99"/>
      <x:c r="Y68" s="99"/>
      <x:c r="Z68" s="99"/>
    </x:row>
    <x:row r="69">
      <x:c r="A69" s="99"/>
      <x:c r="B69" s="99"/>
      <x:c r="C69" s="99"/>
      <x:c r="D69" s="99"/>
      <x:c r="E69" s="99"/>
      <x:c r="F69" s="99"/>
      <x:c r="G69" s="99"/>
      <x:c r="H69" s="99"/>
      <x:c r="I69" s="99"/>
      <x:c r="J69" s="99"/>
      <x:c r="K69" s="99"/>
      <x:c r="L69" s="99"/>
      <x:c r="M69" s="99"/>
      <x:c r="N69" s="99"/>
      <x:c r="O69" s="99"/>
      <x:c r="P69" s="99"/>
      <x:c r="Q69" s="99"/>
      <x:c r="R69" s="99"/>
      <x:c r="S69" s="99"/>
      <x:c r="T69" s="99"/>
      <x:c r="U69" s="99"/>
      <x:c r="V69" s="99"/>
      <x:c r="W69" s="99"/>
      <x:c r="X69" s="99"/>
      <x:c r="Y69" s="99"/>
      <x:c r="Z69" s="99"/>
    </x:row>
    <x:row r="70">
      <x:c r="A70" s="99"/>
      <x:c r="B70" s="99"/>
      <x:c r="C70" s="99"/>
      <x:c r="D70" s="99"/>
      <x:c r="E70" s="99"/>
      <x:c r="F70" s="99"/>
      <x:c r="G70" s="99"/>
      <x:c r="H70" s="99"/>
      <x:c r="I70" s="99"/>
      <x:c r="J70" s="99"/>
      <x:c r="K70" s="99"/>
      <x:c r="L70" s="99"/>
      <x:c r="M70" s="99"/>
      <x:c r="N70" s="99"/>
      <x:c r="O70" s="99"/>
      <x:c r="P70" s="99"/>
      <x:c r="Q70" s="99"/>
      <x:c r="R70" s="99"/>
      <x:c r="S70" s="99"/>
      <x:c r="T70" s="99"/>
      <x:c r="U70" s="99"/>
      <x:c r="V70" s="99"/>
      <x:c r="W70" s="99"/>
      <x:c r="X70" s="99"/>
      <x:c r="Y70" s="99"/>
      <x:c r="Z70" s="99"/>
    </x:row>
    <x:row r="71">
      <x:c r="A71" s="99"/>
      <x:c r="B71" s="99"/>
      <x:c r="C71" s="99"/>
      <x:c r="D71" s="99"/>
      <x:c r="E71" s="99"/>
      <x:c r="F71" s="99"/>
      <x:c r="G71" s="99"/>
      <x:c r="H71" s="99"/>
      <x:c r="I71" s="99"/>
      <x:c r="J71" s="99"/>
      <x:c r="K71" s="99"/>
      <x:c r="L71" s="99"/>
      <x:c r="M71" s="99"/>
      <x:c r="N71" s="99"/>
      <x:c r="O71" s="99"/>
      <x:c r="P71" s="99"/>
      <x:c r="Q71" s="99"/>
      <x:c r="R71" s="99"/>
      <x:c r="S71" s="99"/>
      <x:c r="T71" s="99"/>
      <x:c r="U71" s="99"/>
      <x:c r="V71" s="99"/>
      <x:c r="W71" s="99"/>
      <x:c r="X71" s="99"/>
      <x:c r="Y71" s="99"/>
      <x:c r="Z71" s="99"/>
    </x:row>
    <x:row r="72">
      <x:c r="A72" s="99"/>
      <x:c r="B72" s="99"/>
      <x:c r="C72" s="99"/>
      <x:c r="D72" s="99"/>
      <x:c r="E72" s="99"/>
      <x:c r="F72" s="99"/>
      <x:c r="G72" s="99"/>
      <x:c r="H72" s="99"/>
      <x:c r="I72" s="99"/>
      <x:c r="J72" s="99"/>
      <x:c r="K72" s="99"/>
      <x:c r="L72" s="99"/>
      <x:c r="M72" s="99"/>
      <x:c r="N72" s="99"/>
      <x:c r="O72" s="99"/>
      <x:c r="P72" s="99"/>
      <x:c r="Q72" s="99"/>
      <x:c r="R72" s="99"/>
      <x:c r="S72" s="99"/>
      <x:c r="T72" s="99"/>
      <x:c r="U72" s="99"/>
      <x:c r="V72" s="99"/>
      <x:c r="W72" s="99"/>
      <x:c r="X72" s="99"/>
      <x:c r="Y72" s="99"/>
      <x:c r="Z72" s="99"/>
    </x:row>
    <x:row r="73">
      <x:c r="A73" s="99"/>
      <x:c r="B73" s="99"/>
      <x:c r="C73" s="99"/>
      <x:c r="D73" s="99"/>
      <x:c r="E73" s="99"/>
      <x:c r="F73" s="99"/>
      <x:c r="G73" s="99"/>
      <x:c r="H73" s="99"/>
      <x:c r="I73" s="99"/>
      <x:c r="J73" s="99"/>
      <x:c r="K73" s="99"/>
      <x:c r="L73" s="99"/>
      <x:c r="M73" s="99"/>
      <x:c r="N73" s="99"/>
      <x:c r="O73" s="99"/>
      <x:c r="P73" s="99"/>
      <x:c r="Q73" s="99"/>
      <x:c r="R73" s="99"/>
      <x:c r="S73" s="99"/>
      <x:c r="T73" s="99"/>
      <x:c r="U73" s="99"/>
      <x:c r="V73" s="99"/>
      <x:c r="W73" s="99"/>
      <x:c r="X73" s="99"/>
      <x:c r="Y73" s="99"/>
      <x:c r="Z73" s="99"/>
    </x:row>
    <x:row r="74">
      <x:c r="A74" s="99"/>
      <x:c r="B74" s="99"/>
      <x:c r="C74" s="99"/>
      <x:c r="D74" s="99"/>
      <x:c r="E74" s="99"/>
      <x:c r="F74" s="99"/>
      <x:c r="G74" s="99"/>
      <x:c r="H74" s="99"/>
      <x:c r="I74" s="99"/>
      <x:c r="J74" s="99"/>
      <x:c r="K74" s="99"/>
      <x:c r="L74" s="99"/>
      <x:c r="M74" s="99"/>
      <x:c r="N74" s="99"/>
      <x:c r="O74" s="99"/>
      <x:c r="P74" s="99"/>
      <x:c r="Q74" s="99"/>
      <x:c r="R74" s="99"/>
      <x:c r="S74" s="99"/>
      <x:c r="T74" s="99"/>
      <x:c r="U74" s="99"/>
      <x:c r="V74" s="99"/>
      <x:c r="W74" s="99"/>
      <x:c r="X74" s="99"/>
      <x:c r="Y74" s="99"/>
      <x:c r="Z74" s="99"/>
    </x:row>
    <x:row r="75">
      <x:c r="A75" s="99"/>
      <x:c r="B75" s="99"/>
      <x:c r="C75" s="99"/>
      <x:c r="D75" s="99"/>
      <x:c r="E75" s="99"/>
      <x:c r="F75" s="99"/>
      <x:c r="G75" s="99"/>
      <x:c r="H75" s="99"/>
      <x:c r="I75" s="99"/>
      <x:c r="J75" s="99"/>
      <x:c r="K75" s="99"/>
      <x:c r="L75" s="99"/>
      <x:c r="M75" s="99"/>
      <x:c r="N75" s="99"/>
      <x:c r="O75" s="99"/>
      <x:c r="P75" s="99"/>
      <x:c r="Q75" s="99"/>
      <x:c r="R75" s="99"/>
      <x:c r="S75" s="99"/>
      <x:c r="T75" s="99"/>
      <x:c r="U75" s="99"/>
      <x:c r="V75" s="99"/>
      <x:c r="W75" s="99"/>
      <x:c r="X75" s="99"/>
      <x:c r="Y75" s="99"/>
      <x:c r="Z75" s="99"/>
    </x:row>
    <x:row r="76">
      <x:c r="A76" s="99"/>
      <x:c r="B76" s="99"/>
      <x:c r="C76" s="99"/>
      <x:c r="D76" s="99"/>
      <x:c r="E76" s="99"/>
      <x:c r="F76" s="99"/>
      <x:c r="G76" s="99"/>
      <x:c r="H76" s="99"/>
      <x:c r="I76" s="99"/>
      <x:c r="J76" s="99"/>
      <x:c r="K76" s="99"/>
      <x:c r="L76" s="99"/>
      <x:c r="M76" s="99"/>
      <x:c r="N76" s="99"/>
      <x:c r="O76" s="99"/>
      <x:c r="P76" s="99"/>
      <x:c r="Q76" s="99"/>
      <x:c r="R76" s="99"/>
      <x:c r="S76" s="99"/>
      <x:c r="T76" s="99"/>
      <x:c r="U76" s="99"/>
      <x:c r="V76" s="99"/>
      <x:c r="W76" s="99"/>
      <x:c r="X76" s="99"/>
      <x:c r="Y76" s="99"/>
      <x:c r="Z76" s="99"/>
    </x:row>
    <x:row r="77">
      <x:c r="A77" s="99"/>
      <x:c r="B77" s="99"/>
      <x:c r="C77" s="99"/>
      <x:c r="D77" s="99"/>
      <x:c r="E77" s="99"/>
      <x:c r="F77" s="99"/>
      <x:c r="G77" s="99"/>
      <x:c r="H77" s="99"/>
      <x:c r="I77" s="99"/>
      <x:c r="J77" s="99"/>
      <x:c r="K77" s="99"/>
      <x:c r="L77" s="99"/>
      <x:c r="M77" s="99"/>
      <x:c r="N77" s="99"/>
      <x:c r="O77" s="99"/>
      <x:c r="P77" s="99"/>
      <x:c r="Q77" s="99"/>
      <x:c r="R77" s="99"/>
      <x:c r="S77" s="99"/>
      <x:c r="T77" s="99"/>
      <x:c r="U77" s="99"/>
      <x:c r="V77" s="99"/>
      <x:c r="W77" s="99"/>
      <x:c r="X77" s="99"/>
      <x:c r="Y77" s="99"/>
      <x:c r="Z77" s="99"/>
    </x:row>
    <x:row r="78">
      <x:c r="A78" s="99"/>
      <x:c r="B78" s="99"/>
      <x:c r="C78" s="99"/>
      <x:c r="D78" s="99"/>
      <x:c r="E78" s="99"/>
      <x:c r="F78" s="99"/>
      <x:c r="G78" s="99"/>
      <x:c r="H78" s="99"/>
      <x:c r="I78" s="99"/>
      <x:c r="J78" s="99"/>
      <x:c r="K78" s="99"/>
      <x:c r="L78" s="99"/>
      <x:c r="M78" s="99"/>
      <x:c r="N78" s="99"/>
      <x:c r="O78" s="99"/>
      <x:c r="P78" s="99"/>
      <x:c r="Q78" s="99"/>
      <x:c r="R78" s="99"/>
      <x:c r="S78" s="99"/>
      <x:c r="T78" s="99"/>
      <x:c r="U78" s="99"/>
      <x:c r="V78" s="99"/>
      <x:c r="W78" s="99"/>
      <x:c r="X78" s="99"/>
      <x:c r="Y78" s="99"/>
      <x:c r="Z78" s="99"/>
    </x:row>
    <x:row r="79">
      <x:c r="A79" s="99"/>
      <x:c r="B79" s="99"/>
      <x:c r="C79" s="99"/>
      <x:c r="D79" s="99"/>
      <x:c r="E79" s="99"/>
      <x:c r="F79" s="99"/>
      <x:c r="G79" s="99"/>
      <x:c r="H79" s="99"/>
      <x:c r="I79" s="99"/>
      <x:c r="J79" s="99"/>
      <x:c r="K79" s="99"/>
      <x:c r="L79" s="99"/>
      <x:c r="M79" s="99"/>
      <x:c r="N79" s="99"/>
      <x:c r="O79" s="99"/>
      <x:c r="P79" s="99"/>
      <x:c r="Q79" s="99"/>
      <x:c r="R79" s="99"/>
      <x:c r="S79" s="99"/>
      <x:c r="T79" s="99"/>
      <x:c r="U79" s="99"/>
      <x:c r="V79" s="99"/>
      <x:c r="W79" s="99"/>
      <x:c r="X79" s="99"/>
      <x:c r="Y79" s="99"/>
      <x:c r="Z79" s="99"/>
    </x:row>
    <x:row r="80">
      <x:c r="A80" s="99"/>
      <x:c r="B80" s="99"/>
      <x:c r="C80" s="99"/>
      <x:c r="D80" s="99"/>
      <x:c r="E80" s="99"/>
      <x:c r="F80" s="99"/>
      <x:c r="G80" s="99"/>
      <x:c r="H80" s="99"/>
      <x:c r="I80" s="99"/>
      <x:c r="J80" s="99"/>
      <x:c r="K80" s="99"/>
      <x:c r="L80" s="99"/>
      <x:c r="M80" s="99"/>
      <x:c r="N80" s="99"/>
      <x:c r="O80" s="99"/>
      <x:c r="P80" s="99"/>
      <x:c r="Q80" s="99"/>
      <x:c r="R80" s="99"/>
      <x:c r="S80" s="99"/>
      <x:c r="T80" s="99"/>
      <x:c r="U80" s="99"/>
      <x:c r="V80" s="99"/>
      <x:c r="W80" s="99"/>
      <x:c r="X80" s="99"/>
      <x:c r="Y80" s="99"/>
      <x:c r="Z80" s="99"/>
    </x:row>
    <x:row r="81">
      <x:c r="A81" s="99"/>
      <x:c r="B81" s="99"/>
      <x:c r="C81" s="99"/>
      <x:c r="D81" s="99"/>
      <x:c r="E81" s="99"/>
      <x:c r="F81" s="99"/>
      <x:c r="G81" s="99"/>
      <x:c r="H81" s="99"/>
      <x:c r="I81" s="99"/>
      <x:c r="J81" s="99"/>
      <x:c r="K81" s="99"/>
      <x:c r="L81" s="99"/>
      <x:c r="M81" s="99"/>
      <x:c r="N81" s="99"/>
      <x:c r="O81" s="99"/>
      <x:c r="P81" s="99"/>
      <x:c r="Q81" s="99"/>
      <x:c r="R81" s="99"/>
      <x:c r="S81" s="99"/>
      <x:c r="T81" s="99"/>
      <x:c r="U81" s="99"/>
      <x:c r="V81" s="99"/>
      <x:c r="W81" s="99"/>
      <x:c r="X81" s="99"/>
      <x:c r="Y81" s="99"/>
      <x:c r="Z81" s="99"/>
    </x:row>
    <x:row r="82">
      <x:c r="A82" s="99"/>
      <x:c r="B82" s="99"/>
      <x:c r="C82" s="99"/>
      <x:c r="D82" s="99"/>
      <x:c r="E82" s="99"/>
      <x:c r="F82" s="99"/>
      <x:c r="G82" s="99"/>
      <x:c r="H82" s="99"/>
      <x:c r="I82" s="99"/>
      <x:c r="J82" s="99"/>
      <x:c r="K82" s="99"/>
      <x:c r="L82" s="99"/>
      <x:c r="M82" s="99"/>
      <x:c r="N82" s="99"/>
      <x:c r="O82" s="99"/>
      <x:c r="P82" s="99"/>
      <x:c r="Q82" s="99"/>
      <x:c r="R82" s="99"/>
      <x:c r="S82" s="99"/>
      <x:c r="T82" s="99"/>
      <x:c r="U82" s="99"/>
      <x:c r="V82" s="99"/>
      <x:c r="W82" s="99"/>
      <x:c r="X82" s="99"/>
      <x:c r="Y82" s="99"/>
      <x:c r="Z82" s="99"/>
    </x:row>
    <x:row r="83">
      <x:c r="A83" s="99"/>
      <x:c r="B83" s="99"/>
      <x:c r="C83" s="99"/>
      <x:c r="D83" s="99"/>
      <x:c r="E83" s="99"/>
      <x:c r="F83" s="99"/>
      <x:c r="G83" s="99"/>
      <x:c r="H83" s="99"/>
      <x:c r="I83" s="99"/>
      <x:c r="J83" s="99"/>
      <x:c r="K83" s="99"/>
      <x:c r="L83" s="99"/>
      <x:c r="M83" s="99"/>
      <x:c r="N83" s="99"/>
      <x:c r="O83" s="99"/>
      <x:c r="P83" s="99"/>
      <x:c r="Q83" s="99"/>
      <x:c r="R83" s="99"/>
      <x:c r="S83" s="99"/>
      <x:c r="T83" s="99"/>
      <x:c r="U83" s="99"/>
      <x:c r="V83" s="99"/>
      <x:c r="W83" s="99"/>
      <x:c r="X83" s="99"/>
      <x:c r="Y83" s="99"/>
      <x:c r="Z83" s="99"/>
    </x:row>
    <x:row r="84">
      <x:c r="A84" s="99"/>
      <x:c r="B84" s="99"/>
      <x:c r="C84" s="99"/>
      <x:c r="D84" s="99"/>
      <x:c r="E84" s="99"/>
      <x:c r="F84" s="99"/>
      <x:c r="G84" s="99"/>
      <x:c r="H84" s="99"/>
      <x:c r="I84" s="99"/>
      <x:c r="J84" s="99"/>
      <x:c r="K84" s="99"/>
      <x:c r="L84" s="99"/>
      <x:c r="M84" s="99"/>
      <x:c r="N84" s="99"/>
      <x:c r="O84" s="99"/>
      <x:c r="P84" s="99"/>
      <x:c r="Q84" s="99"/>
      <x:c r="R84" s="99"/>
      <x:c r="S84" s="99"/>
      <x:c r="T84" s="99"/>
      <x:c r="U84" s="99"/>
      <x:c r="V84" s="99"/>
      <x:c r="W84" s="99"/>
      <x:c r="X84" s="99"/>
      <x:c r="Y84" s="99"/>
      <x:c r="Z84" s="99"/>
    </x:row>
    <x:row r="85">
      <x:c r="A85" s="99"/>
      <x:c r="B85" s="99"/>
      <x:c r="C85" s="99"/>
      <x:c r="D85" s="99"/>
      <x:c r="E85" s="99"/>
      <x:c r="F85" s="99"/>
      <x:c r="G85" s="99"/>
      <x:c r="H85" s="99"/>
      <x:c r="I85" s="99"/>
      <x:c r="J85" s="99"/>
      <x:c r="K85" s="99"/>
      <x:c r="L85" s="99"/>
      <x:c r="M85" s="99"/>
      <x:c r="N85" s="99"/>
      <x:c r="O85" s="99"/>
      <x:c r="P85" s="99"/>
      <x:c r="Q85" s="99"/>
      <x:c r="R85" s="99"/>
      <x:c r="S85" s="99"/>
      <x:c r="T85" s="99"/>
      <x:c r="U85" s="99"/>
      <x:c r="V85" s="99"/>
      <x:c r="W85" s="99"/>
      <x:c r="X85" s="99"/>
      <x:c r="Y85" s="99"/>
      <x:c r="Z85" s="99"/>
    </x:row>
    <x:row r="86">
      <x:c r="A86" s="99"/>
      <x:c r="B86" s="99"/>
      <x:c r="C86" s="99"/>
      <x:c r="D86" s="99"/>
      <x:c r="E86" s="99"/>
      <x:c r="F86" s="99"/>
      <x:c r="G86" s="99"/>
      <x:c r="H86" s="99"/>
      <x:c r="I86" s="99"/>
      <x:c r="J86" s="99"/>
      <x:c r="K86" s="99"/>
      <x:c r="L86" s="99"/>
      <x:c r="M86" s="99"/>
      <x:c r="N86" s="99"/>
      <x:c r="O86" s="99"/>
      <x:c r="P86" s="99"/>
      <x:c r="Q86" s="99"/>
      <x:c r="R86" s="99"/>
      <x:c r="S86" s="99"/>
      <x:c r="T86" s="99"/>
      <x:c r="U86" s="99"/>
      <x:c r="V86" s="99"/>
      <x:c r="W86" s="99"/>
      <x:c r="X86" s="99"/>
      <x:c r="Y86" s="99"/>
      <x:c r="Z86" s="99"/>
    </x:row>
    <x:row r="87">
      <x:c r="A87" s="99"/>
      <x:c r="B87" s="99"/>
      <x:c r="C87" s="99"/>
      <x:c r="D87" s="99"/>
      <x:c r="E87" s="99"/>
      <x:c r="F87" s="99"/>
      <x:c r="G87" s="99"/>
      <x:c r="H87" s="99"/>
      <x:c r="I87" s="99"/>
      <x:c r="J87" s="99"/>
      <x:c r="K87" s="99"/>
      <x:c r="L87" s="99"/>
      <x:c r="M87" s="99"/>
      <x:c r="N87" s="99"/>
      <x:c r="O87" s="99"/>
      <x:c r="P87" s="99"/>
      <x:c r="Q87" s="99"/>
      <x:c r="R87" s="99"/>
      <x:c r="S87" s="99"/>
      <x:c r="T87" s="99"/>
      <x:c r="U87" s="99"/>
      <x:c r="V87" s="99"/>
      <x:c r="W87" s="99"/>
      <x:c r="X87" s="99"/>
      <x:c r="Y87" s="99"/>
      <x:c r="Z87" s="99"/>
    </x:row>
    <x:row r="88">
      <x:c r="A88" s="99"/>
      <x:c r="B88" s="99"/>
      <x:c r="C88" s="99"/>
      <x:c r="D88" s="99"/>
      <x:c r="E88" s="99"/>
      <x:c r="F88" s="99"/>
      <x:c r="G88" s="99"/>
      <x:c r="H88" s="99"/>
      <x:c r="I88" s="99"/>
      <x:c r="J88" s="99"/>
      <x:c r="K88" s="99"/>
      <x:c r="L88" s="99"/>
      <x:c r="M88" s="99"/>
      <x:c r="N88" s="99"/>
      <x:c r="O88" s="99"/>
      <x:c r="P88" s="99"/>
      <x:c r="Q88" s="99"/>
      <x:c r="R88" s="99"/>
      <x:c r="S88" s="99"/>
      <x:c r="T88" s="99"/>
      <x:c r="U88" s="99"/>
      <x:c r="V88" s="99"/>
      <x:c r="W88" s="99"/>
      <x:c r="X88" s="99"/>
      <x:c r="Y88" s="99"/>
      <x:c r="Z88" s="99"/>
    </x:row>
    <x:row r="89">
      <x:c r="A89" s="99"/>
      <x:c r="B89" s="99"/>
      <x:c r="C89" s="99"/>
      <x:c r="D89" s="99"/>
      <x:c r="E89" s="99"/>
      <x:c r="F89" s="99"/>
      <x:c r="G89" s="99"/>
      <x:c r="H89" s="99"/>
      <x:c r="I89" s="99"/>
      <x:c r="J89" s="99"/>
      <x:c r="K89" s="99"/>
      <x:c r="L89" s="99"/>
      <x:c r="M89" s="99"/>
      <x:c r="N89" s="99"/>
      <x:c r="O89" s="99"/>
      <x:c r="P89" s="99"/>
      <x:c r="Q89" s="99"/>
      <x:c r="R89" s="99"/>
      <x:c r="S89" s="99"/>
      <x:c r="T89" s="99"/>
      <x:c r="U89" s="99"/>
      <x:c r="V89" s="99"/>
      <x:c r="W89" s="99"/>
      <x:c r="X89" s="99"/>
      <x:c r="Y89" s="99"/>
      <x:c r="Z89" s="99"/>
    </x:row>
    <x:row r="90">
      <x:c r="A90" s="99"/>
      <x:c r="B90" s="99"/>
      <x:c r="C90" s="99"/>
      <x:c r="D90" s="99"/>
      <x:c r="E90" s="99"/>
      <x:c r="F90" s="99"/>
      <x:c r="G90" s="99"/>
      <x:c r="H90" s="99"/>
      <x:c r="I90" s="99"/>
      <x:c r="J90" s="99"/>
      <x:c r="K90" s="99"/>
      <x:c r="L90" s="99"/>
      <x:c r="M90" s="99"/>
      <x:c r="N90" s="99"/>
      <x:c r="O90" s="99"/>
      <x:c r="P90" s="99"/>
      <x:c r="Q90" s="99"/>
      <x:c r="R90" s="99"/>
      <x:c r="S90" s="99"/>
      <x:c r="T90" s="99"/>
      <x:c r="U90" s="99"/>
      <x:c r="V90" s="99"/>
      <x:c r="W90" s="99"/>
      <x:c r="X90" s="99"/>
      <x:c r="Y90" s="99"/>
      <x:c r="Z90" s="99"/>
    </x:row>
    <x:row r="91">
      <x:c r="A91" s="99"/>
      <x:c r="B91" s="99"/>
      <x:c r="C91" s="99"/>
      <x:c r="D91" s="99"/>
      <x:c r="E91" s="99"/>
      <x:c r="F91" s="99"/>
      <x:c r="G91" s="99"/>
      <x:c r="H91" s="99"/>
      <x:c r="I91" s="99"/>
      <x:c r="J91" s="99"/>
      <x:c r="K91" s="99"/>
      <x:c r="L91" s="99"/>
      <x:c r="M91" s="99"/>
      <x:c r="N91" s="99"/>
      <x:c r="O91" s="99"/>
      <x:c r="P91" s="99"/>
      <x:c r="Q91" s="99"/>
      <x:c r="R91" s="99"/>
      <x:c r="S91" s="99"/>
      <x:c r="T91" s="99"/>
      <x:c r="U91" s="99"/>
      <x:c r="V91" s="99"/>
      <x:c r="W91" s="99"/>
      <x:c r="X91" s="99"/>
      <x:c r="Y91" s="99"/>
      <x:c r="Z91" s="99"/>
    </x:row>
    <x:row r="92">
      <x:c r="A92" s="99"/>
      <x:c r="B92" s="99"/>
      <x:c r="C92" s="99"/>
      <x:c r="D92" s="99"/>
      <x:c r="E92" s="99"/>
      <x:c r="F92" s="99"/>
      <x:c r="G92" s="99"/>
      <x:c r="H92" s="99"/>
      <x:c r="I92" s="99"/>
      <x:c r="J92" s="99"/>
      <x:c r="K92" s="99"/>
      <x:c r="L92" s="99"/>
      <x:c r="M92" s="99"/>
      <x:c r="N92" s="99"/>
      <x:c r="O92" s="99"/>
      <x:c r="P92" s="99"/>
      <x:c r="Q92" s="99"/>
      <x:c r="R92" s="99"/>
      <x:c r="S92" s="99"/>
      <x:c r="T92" s="99"/>
      <x:c r="U92" s="99"/>
      <x:c r="V92" s="99"/>
      <x:c r="W92" s="99"/>
      <x:c r="X92" s="99"/>
      <x:c r="Y92" s="99"/>
      <x:c r="Z92" s="99"/>
    </x:row>
    <x:row r="93">
      <x:c r="A93" s="99"/>
      <x:c r="B93" s="99"/>
      <x:c r="C93" s="99"/>
      <x:c r="D93" s="99"/>
      <x:c r="E93" s="99"/>
      <x:c r="F93" s="99"/>
      <x:c r="G93" s="99"/>
      <x:c r="H93" s="99"/>
      <x:c r="I93" s="99"/>
      <x:c r="J93" s="99"/>
      <x:c r="K93" s="99"/>
      <x:c r="L93" s="99"/>
      <x:c r="M93" s="99"/>
      <x:c r="N93" s="99"/>
      <x:c r="O93" s="99"/>
      <x:c r="P93" s="99"/>
      <x:c r="Q93" s="99"/>
      <x:c r="R93" s="99"/>
      <x:c r="S93" s="99"/>
      <x:c r="T93" s="99"/>
      <x:c r="U93" s="99"/>
      <x:c r="V93" s="99"/>
      <x:c r="W93" s="99"/>
      <x:c r="X93" s="99"/>
      <x:c r="Y93" s="99"/>
      <x:c r="Z93" s="99"/>
    </x:row>
    <x:row r="94">
      <x:c r="A94" s="99"/>
      <x:c r="B94" s="99"/>
      <x:c r="C94" s="99"/>
      <x:c r="D94" s="99"/>
      <x:c r="E94" s="99"/>
      <x:c r="F94" s="99"/>
      <x:c r="G94" s="99"/>
      <x:c r="H94" s="99"/>
      <x:c r="I94" s="99"/>
      <x:c r="J94" s="99"/>
      <x:c r="K94" s="99"/>
      <x:c r="L94" s="99"/>
      <x:c r="M94" s="99"/>
      <x:c r="N94" s="99"/>
      <x:c r="O94" s="99"/>
      <x:c r="P94" s="99"/>
      <x:c r="Q94" s="99"/>
      <x:c r="R94" s="99"/>
      <x:c r="S94" s="99"/>
      <x:c r="T94" s="99"/>
      <x:c r="U94" s="99"/>
      <x:c r="V94" s="99"/>
      <x:c r="W94" s="99"/>
      <x:c r="X94" s="99"/>
      <x:c r="Y94" s="99"/>
      <x:c r="Z94" s="99"/>
    </x:row>
    <x:row r="95">
      <x:c r="A95" s="99"/>
      <x:c r="B95" s="99"/>
      <x:c r="C95" s="99"/>
      <x:c r="D95" s="99"/>
      <x:c r="E95" s="99"/>
      <x:c r="F95" s="99"/>
      <x:c r="G95" s="99"/>
      <x:c r="H95" s="99"/>
      <x:c r="I95" s="99"/>
      <x:c r="J95" s="99"/>
      <x:c r="K95" s="99"/>
      <x:c r="L95" s="99"/>
      <x:c r="M95" s="99"/>
      <x:c r="N95" s="99"/>
      <x:c r="O95" s="99"/>
      <x:c r="P95" s="99"/>
      <x:c r="Q95" s="99"/>
      <x:c r="R95" s="99"/>
      <x:c r="S95" s="99"/>
      <x:c r="T95" s="99"/>
      <x:c r="U95" s="99"/>
      <x:c r="V95" s="99"/>
      <x:c r="W95" s="99"/>
      <x:c r="X95" s="99"/>
      <x:c r="Y95" s="99"/>
      <x:c r="Z95" s="99"/>
    </x:row>
    <x:row r="96">
      <x:c r="A96" s="99"/>
      <x:c r="B96" s="99"/>
      <x:c r="C96" s="99"/>
      <x:c r="D96" s="99"/>
      <x:c r="E96" s="99"/>
      <x:c r="F96" s="99"/>
      <x:c r="G96" s="99"/>
      <x:c r="H96" s="99"/>
      <x:c r="I96" s="99"/>
      <x:c r="J96" s="99"/>
      <x:c r="K96" s="99"/>
      <x:c r="L96" s="99"/>
      <x:c r="M96" s="99"/>
      <x:c r="N96" s="99"/>
      <x:c r="O96" s="99"/>
      <x:c r="P96" s="99"/>
      <x:c r="Q96" s="99"/>
      <x:c r="R96" s="99"/>
      <x:c r="S96" s="99"/>
      <x:c r="T96" s="99"/>
      <x:c r="U96" s="99"/>
      <x:c r="V96" s="99"/>
      <x:c r="W96" s="99"/>
      <x:c r="X96" s="99"/>
      <x:c r="Y96" s="99"/>
      <x:c r="Z96" s="99"/>
    </x:row>
    <x:row r="97">
      <x:c r="A97" s="99"/>
      <x:c r="B97" s="99"/>
      <x:c r="C97" s="99"/>
      <x:c r="D97" s="99"/>
      <x:c r="E97" s="99"/>
      <x:c r="F97" s="99"/>
      <x:c r="G97" s="99"/>
      <x:c r="H97" s="99"/>
      <x:c r="I97" s="99"/>
      <x:c r="J97" s="99"/>
      <x:c r="K97" s="99"/>
      <x:c r="L97" s="99"/>
      <x:c r="M97" s="99"/>
      <x:c r="N97" s="99"/>
      <x:c r="O97" s="99"/>
      <x:c r="P97" s="99"/>
      <x:c r="Q97" s="99"/>
      <x:c r="R97" s="99"/>
      <x:c r="S97" s="99"/>
      <x:c r="T97" s="99"/>
      <x:c r="U97" s="99"/>
      <x:c r="V97" s="99"/>
      <x:c r="W97" s="99"/>
      <x:c r="X97" s="99"/>
      <x:c r="Y97" s="99"/>
      <x:c r="Z97" s="99"/>
    </x:row>
    <x:row r="98">
      <x:c r="A98" s="99"/>
      <x:c r="B98" s="99"/>
      <x:c r="C98" s="99"/>
      <x:c r="D98" s="99"/>
      <x:c r="E98" s="99"/>
      <x:c r="F98" s="99"/>
      <x:c r="G98" s="99"/>
      <x:c r="H98" s="99"/>
      <x:c r="I98" s="99"/>
      <x:c r="J98" s="99"/>
      <x:c r="K98" s="99"/>
      <x:c r="L98" s="99"/>
      <x:c r="M98" s="99"/>
      <x:c r="N98" s="99"/>
      <x:c r="O98" s="99"/>
      <x:c r="P98" s="99"/>
      <x:c r="Q98" s="99"/>
      <x:c r="R98" s="99"/>
      <x:c r="S98" s="99"/>
      <x:c r="T98" s="99"/>
      <x:c r="U98" s="99"/>
      <x:c r="V98" s="99"/>
      <x:c r="W98" s="99"/>
      <x:c r="X98" s="99"/>
      <x:c r="Y98" s="99"/>
      <x:c r="Z98" s="99"/>
    </x:row>
    <x:row r="99">
      <x:c r="A99" s="99"/>
      <x:c r="B99" s="99"/>
      <x:c r="C99" s="99"/>
      <x:c r="D99" s="99"/>
      <x:c r="E99" s="99"/>
      <x:c r="F99" s="99"/>
      <x:c r="G99" s="99"/>
      <x:c r="H99" s="99"/>
      <x:c r="I99" s="99"/>
      <x:c r="J99" s="99"/>
      <x:c r="K99" s="99"/>
      <x:c r="L99" s="99"/>
      <x:c r="M99" s="99"/>
      <x:c r="N99" s="99"/>
      <x:c r="O99" s="99"/>
      <x:c r="P99" s="99"/>
      <x:c r="Q99" s="99"/>
      <x:c r="R99" s="99"/>
      <x:c r="S99" s="99"/>
      <x:c r="T99" s="99"/>
      <x:c r="U99" s="99"/>
      <x:c r="V99" s="99"/>
      <x:c r="W99" s="99"/>
      <x:c r="X99" s="99"/>
      <x:c r="Y99" s="99"/>
      <x:c r="Z99" s="99"/>
    </x:row>
    <x:row r="100">
      <x:c r="A100" s="99"/>
      <x:c r="B100" s="99"/>
      <x:c r="C100" s="99"/>
      <x:c r="D100" s="99"/>
      <x:c r="E100" s="99"/>
      <x:c r="F100" s="99"/>
      <x:c r="G100" s="99"/>
      <x:c r="H100" s="99"/>
      <x:c r="I100" s="99"/>
      <x:c r="J100" s="99"/>
      <x:c r="K100" s="99"/>
      <x:c r="L100" s="99"/>
      <x:c r="M100" s="99"/>
      <x:c r="N100" s="99"/>
      <x:c r="O100" s="99"/>
      <x:c r="P100" s="99"/>
      <x:c r="Q100" s="99"/>
      <x:c r="R100" s="99"/>
      <x:c r="S100" s="99"/>
      <x:c r="T100" s="99"/>
      <x:c r="U100" s="99"/>
      <x:c r="V100" s="99"/>
      <x:c r="W100" s="99"/>
      <x:c r="X100" s="99"/>
      <x:c r="Y100" s="99"/>
      <x:c r="Z100" s="99"/>
    </x:row>
    <x:row r="101">
      <x:c r="A101" s="99"/>
      <x:c r="B101" s="99"/>
      <x:c r="C101" s="99"/>
      <x:c r="D101" s="99"/>
      <x:c r="E101" s="99"/>
      <x:c r="F101" s="99"/>
      <x:c r="G101" s="99"/>
      <x:c r="H101" s="99"/>
      <x:c r="I101" s="99"/>
      <x:c r="J101" s="99"/>
      <x:c r="K101" s="99"/>
      <x:c r="L101" s="99"/>
      <x:c r="M101" s="99"/>
      <x:c r="N101" s="99"/>
      <x:c r="O101" s="99"/>
      <x:c r="P101" s="99"/>
      <x:c r="Q101" s="99"/>
      <x:c r="R101" s="99"/>
      <x:c r="S101" s="99"/>
      <x:c r="T101" s="99"/>
      <x:c r="U101" s="99"/>
      <x:c r="V101" s="99"/>
      <x:c r="W101" s="99"/>
      <x:c r="X101" s="99"/>
      <x:c r="Y101" s="99"/>
      <x:c r="Z101" s="99"/>
    </x:row>
    <x:row r="102">
      <x:c r="A102" s="99"/>
      <x:c r="B102" s="99"/>
      <x:c r="C102" s="99"/>
      <x:c r="D102" s="99"/>
      <x:c r="E102" s="99"/>
      <x:c r="F102" s="99"/>
      <x:c r="G102" s="99"/>
      <x:c r="H102" s="99"/>
      <x:c r="I102" s="99"/>
      <x:c r="J102" s="99"/>
      <x:c r="K102" s="99"/>
      <x:c r="L102" s="99"/>
      <x:c r="M102" s="99"/>
      <x:c r="N102" s="99"/>
      <x:c r="O102" s="99"/>
      <x:c r="P102" s="99"/>
      <x:c r="Q102" s="99"/>
      <x:c r="R102" s="99"/>
      <x:c r="S102" s="99"/>
      <x:c r="T102" s="99"/>
      <x:c r="U102" s="99"/>
      <x:c r="V102" s="99"/>
      <x:c r="W102" s="99"/>
      <x:c r="X102" s="99"/>
      <x:c r="Y102" s="99"/>
      <x:c r="Z102" s="99"/>
    </x:row>
    <x:row r="103">
      <x:c r="A103" s="99"/>
      <x:c r="B103" s="99"/>
      <x:c r="C103" s="99"/>
      <x:c r="D103" s="99"/>
      <x:c r="E103" s="99"/>
      <x:c r="F103" s="99"/>
      <x:c r="G103" s="99"/>
      <x:c r="H103" s="99"/>
      <x:c r="I103" s="99"/>
      <x:c r="J103" s="99"/>
      <x:c r="K103" s="99"/>
      <x:c r="L103" s="99"/>
      <x:c r="M103" s="99"/>
      <x:c r="N103" s="99"/>
      <x:c r="O103" s="99"/>
      <x:c r="P103" s="99"/>
      <x:c r="Q103" s="99"/>
      <x:c r="R103" s="99"/>
      <x:c r="S103" s="99"/>
      <x:c r="T103" s="99"/>
      <x:c r="U103" s="99"/>
      <x:c r="V103" s="99"/>
      <x:c r="W103" s="99"/>
      <x:c r="X103" s="99"/>
      <x:c r="Y103" s="99"/>
      <x:c r="Z103" s="99"/>
    </x:row>
    <x:row r="104">
      <x:c r="A104" s="99"/>
      <x:c r="B104" s="99"/>
      <x:c r="C104" s="99"/>
      <x:c r="D104" s="99"/>
      <x:c r="E104" s="99"/>
      <x:c r="F104" s="99"/>
      <x:c r="G104" s="99"/>
      <x:c r="H104" s="99"/>
      <x:c r="I104" s="99"/>
      <x:c r="J104" s="99"/>
      <x:c r="K104" s="99"/>
      <x:c r="L104" s="99"/>
      <x:c r="M104" s="99"/>
      <x:c r="N104" s="99"/>
      <x:c r="O104" s="99"/>
      <x:c r="P104" s="99"/>
      <x:c r="Q104" s="99"/>
      <x:c r="R104" s="99"/>
      <x:c r="S104" s="99"/>
      <x:c r="T104" s="99"/>
      <x:c r="U104" s="99"/>
      <x:c r="V104" s="99"/>
      <x:c r="W104" s="99"/>
      <x:c r="X104" s="99"/>
      <x:c r="Y104" s="99"/>
      <x:c r="Z104" s="99"/>
    </x:row>
    <x:row r="105">
      <x:c r="A105" s="99"/>
      <x:c r="B105" s="99"/>
      <x:c r="C105" s="99"/>
      <x:c r="D105" s="99"/>
      <x:c r="E105" s="99"/>
      <x:c r="F105" s="99"/>
      <x:c r="G105" s="99"/>
      <x:c r="H105" s="99"/>
      <x:c r="I105" s="99"/>
      <x:c r="J105" s="99"/>
      <x:c r="K105" s="99"/>
      <x:c r="L105" s="99"/>
      <x:c r="M105" s="99"/>
      <x:c r="N105" s="99"/>
      <x:c r="O105" s="99"/>
      <x:c r="P105" s="99"/>
      <x:c r="Q105" s="99"/>
      <x:c r="R105" s="99"/>
      <x:c r="S105" s="99"/>
      <x:c r="T105" s="99"/>
      <x:c r="U105" s="99"/>
      <x:c r="V105" s="99"/>
      <x:c r="W105" s="99"/>
      <x:c r="X105" s="99"/>
      <x:c r="Y105" s="99"/>
      <x:c r="Z105" s="99"/>
    </x:row>
    <x:row r="106">
      <x:c r="A106" s="99"/>
      <x:c r="B106" s="99"/>
      <x:c r="C106" s="99"/>
      <x:c r="D106" s="99"/>
      <x:c r="E106" s="99"/>
      <x:c r="F106" s="99"/>
      <x:c r="G106" s="99"/>
      <x:c r="H106" s="99"/>
      <x:c r="I106" s="99"/>
      <x:c r="J106" s="99"/>
      <x:c r="K106" s="99"/>
      <x:c r="L106" s="99"/>
      <x:c r="M106" s="99"/>
      <x:c r="N106" s="99"/>
      <x:c r="O106" s="99"/>
      <x:c r="P106" s="99"/>
      <x:c r="Q106" s="99"/>
      <x:c r="R106" s="99"/>
      <x:c r="S106" s="99"/>
      <x:c r="T106" s="99"/>
      <x:c r="U106" s="99"/>
      <x:c r="V106" s="99"/>
      <x:c r="W106" s="99"/>
      <x:c r="X106" s="99"/>
      <x:c r="Y106" s="99"/>
      <x:c r="Z106" s="99"/>
    </x:row>
    <x:row r="107">
      <x:c r="A107" s="99"/>
      <x:c r="B107" s="99"/>
      <x:c r="C107" s="99"/>
      <x:c r="D107" s="99"/>
      <x:c r="E107" s="99"/>
      <x:c r="F107" s="99"/>
      <x:c r="G107" s="99"/>
      <x:c r="H107" s="99"/>
      <x:c r="I107" s="99"/>
      <x:c r="J107" s="99"/>
      <x:c r="K107" s="99"/>
      <x:c r="L107" s="99"/>
      <x:c r="M107" s="99"/>
      <x:c r="N107" s="99"/>
      <x:c r="O107" s="99"/>
      <x:c r="P107" s="99"/>
      <x:c r="Q107" s="99"/>
      <x:c r="R107" s="99"/>
      <x:c r="S107" s="99"/>
      <x:c r="T107" s="99"/>
      <x:c r="U107" s="99"/>
      <x:c r="V107" s="99"/>
      <x:c r="W107" s="99"/>
      <x:c r="X107" s="99"/>
      <x:c r="Y107" s="99"/>
      <x:c r="Z107" s="99"/>
    </x:row>
    <x:row r="108">
      <x:c r="A108" s="99"/>
      <x:c r="B108" s="99"/>
      <x:c r="C108" s="99"/>
      <x:c r="D108" s="99"/>
      <x:c r="E108" s="99"/>
      <x:c r="F108" s="99"/>
      <x:c r="G108" s="99"/>
      <x:c r="H108" s="99"/>
      <x:c r="I108" s="99"/>
      <x:c r="J108" s="99"/>
      <x:c r="K108" s="99"/>
      <x:c r="L108" s="99"/>
      <x:c r="M108" s="99"/>
      <x:c r="N108" s="99"/>
      <x:c r="O108" s="99"/>
      <x:c r="P108" s="99"/>
      <x:c r="Q108" s="99"/>
      <x:c r="R108" s="99"/>
      <x:c r="S108" s="99"/>
      <x:c r="T108" s="99"/>
      <x:c r="U108" s="99"/>
      <x:c r="V108" s="99"/>
      <x:c r="W108" s="99"/>
      <x:c r="X108" s="99"/>
      <x:c r="Y108" s="99"/>
      <x:c r="Z108" s="99"/>
    </x:row>
    <x:row r="109">
      <x:c r="A109" s="99"/>
      <x:c r="B109" s="99"/>
      <x:c r="C109" s="99"/>
      <x:c r="D109" s="99"/>
      <x:c r="E109" s="99"/>
      <x:c r="F109" s="99"/>
      <x:c r="G109" s="99"/>
      <x:c r="H109" s="99"/>
      <x:c r="I109" s="99"/>
      <x:c r="J109" s="99"/>
      <x:c r="K109" s="99"/>
      <x:c r="L109" s="99"/>
      <x:c r="M109" s="99"/>
      <x:c r="N109" s="99"/>
      <x:c r="O109" s="99"/>
      <x:c r="P109" s="99"/>
      <x:c r="Q109" s="99"/>
      <x:c r="R109" s="99"/>
      <x:c r="S109" s="99"/>
      <x:c r="T109" s="99"/>
      <x:c r="U109" s="99"/>
      <x:c r="V109" s="99"/>
      <x:c r="W109" s="99"/>
      <x:c r="X109" s="99"/>
      <x:c r="Y109" s="99"/>
      <x:c r="Z109" s="99"/>
    </x:row>
    <x:row r="110">
      <x:c r="A110" s="99"/>
      <x:c r="B110" s="99"/>
      <x:c r="C110" s="99"/>
      <x:c r="D110" s="99"/>
      <x:c r="E110" s="99"/>
      <x:c r="F110" s="99"/>
      <x:c r="G110" s="99"/>
      <x:c r="H110" s="99"/>
      <x:c r="I110" s="99"/>
      <x:c r="J110" s="99"/>
      <x:c r="K110" s="99"/>
      <x:c r="L110" s="99"/>
      <x:c r="M110" s="99"/>
      <x:c r="N110" s="99"/>
      <x:c r="O110" s="99"/>
      <x:c r="P110" s="99"/>
      <x:c r="Q110" s="99"/>
      <x:c r="R110" s="99"/>
      <x:c r="S110" s="99"/>
      <x:c r="T110" s="99"/>
      <x:c r="U110" s="99"/>
      <x:c r="V110" s="99"/>
      <x:c r="W110" s="99"/>
      <x:c r="X110" s="99"/>
      <x:c r="Y110" s="99"/>
      <x:c r="Z110" s="99"/>
    </x:row>
    <x:row r="111">
      <x:c r="A111" s="99"/>
      <x:c r="B111" s="99"/>
      <x:c r="C111" s="99"/>
      <x:c r="D111" s="99"/>
      <x:c r="E111" s="99"/>
      <x:c r="F111" s="99"/>
      <x:c r="G111" s="99"/>
      <x:c r="H111" s="99"/>
      <x:c r="I111" s="99"/>
      <x:c r="J111" s="99"/>
      <x:c r="K111" s="99"/>
      <x:c r="L111" s="99"/>
      <x:c r="M111" s="99"/>
      <x:c r="N111" s="99"/>
      <x:c r="O111" s="99"/>
      <x:c r="P111" s="99"/>
      <x:c r="Q111" s="99"/>
      <x:c r="R111" s="99"/>
      <x:c r="S111" s="99"/>
      <x:c r="T111" s="99"/>
      <x:c r="U111" s="99"/>
      <x:c r="V111" s="99"/>
      <x:c r="W111" s="99"/>
      <x:c r="X111" s="99"/>
      <x:c r="Y111" s="99"/>
      <x:c r="Z111" s="99"/>
    </x:row>
    <x:row r="112">
      <x:c r="A112" s="99"/>
      <x:c r="B112" s="99"/>
      <x:c r="C112" s="99"/>
      <x:c r="D112" s="99"/>
      <x:c r="E112" s="99"/>
      <x:c r="F112" s="99"/>
      <x:c r="G112" s="99"/>
      <x:c r="H112" s="99"/>
      <x:c r="I112" s="99"/>
      <x:c r="J112" s="99"/>
      <x:c r="K112" s="99"/>
      <x:c r="L112" s="99"/>
      <x:c r="M112" s="99"/>
      <x:c r="N112" s="99"/>
      <x:c r="O112" s="99"/>
      <x:c r="P112" s="99"/>
      <x:c r="Q112" s="99"/>
      <x:c r="R112" s="99"/>
      <x:c r="S112" s="99"/>
      <x:c r="T112" s="99"/>
      <x:c r="U112" s="99"/>
      <x:c r="V112" s="99"/>
      <x:c r="W112" s="99"/>
      <x:c r="X112" s="99"/>
      <x:c r="Y112" s="99"/>
      <x:c r="Z112" s="99"/>
    </x:row>
    <x:row r="113">
      <x:c r="A113" s="99"/>
      <x:c r="B113" s="99"/>
      <x:c r="C113" s="99"/>
      <x:c r="D113" s="99"/>
      <x:c r="E113" s="99"/>
      <x:c r="F113" s="99"/>
      <x:c r="G113" s="99"/>
      <x:c r="H113" s="99"/>
      <x:c r="I113" s="99"/>
      <x:c r="J113" s="99"/>
      <x:c r="K113" s="99"/>
      <x:c r="L113" s="99"/>
      <x:c r="M113" s="99"/>
      <x:c r="N113" s="99"/>
      <x:c r="O113" s="99"/>
      <x:c r="P113" s="99"/>
      <x:c r="Q113" s="99"/>
      <x:c r="R113" s="99"/>
      <x:c r="S113" s="99"/>
      <x:c r="T113" s="99"/>
      <x:c r="U113" s="99"/>
      <x:c r="V113" s="99"/>
      <x:c r="W113" s="99"/>
      <x:c r="X113" s="99"/>
      <x:c r="Y113" s="99"/>
      <x:c r="Z113" s="99"/>
    </x:row>
    <x:row r="114">
      <x:c r="A114" s="99"/>
      <x:c r="B114" s="99"/>
      <x:c r="C114" s="99"/>
      <x:c r="D114" s="99"/>
      <x:c r="E114" s="99"/>
      <x:c r="F114" s="99"/>
      <x:c r="G114" s="99"/>
      <x:c r="H114" s="99"/>
      <x:c r="I114" s="99"/>
      <x:c r="J114" s="99"/>
      <x:c r="K114" s="99"/>
      <x:c r="L114" s="99"/>
      <x:c r="M114" s="99"/>
      <x:c r="N114" s="99"/>
      <x:c r="O114" s="99"/>
      <x:c r="P114" s="99"/>
      <x:c r="Q114" s="99"/>
      <x:c r="R114" s="99"/>
      <x:c r="S114" s="99"/>
      <x:c r="T114" s="99"/>
      <x:c r="U114" s="99"/>
      <x:c r="V114" s="99"/>
      <x:c r="W114" s="99"/>
      <x:c r="X114" s="99"/>
      <x:c r="Y114" s="99"/>
      <x:c r="Z114" s="99"/>
    </x:row>
    <x:row r="115">
      <x:c r="A115" s="99"/>
      <x:c r="B115" s="99"/>
      <x:c r="C115" s="99"/>
      <x:c r="D115" s="99"/>
      <x:c r="E115" s="99"/>
      <x:c r="F115" s="99"/>
      <x:c r="G115" s="99"/>
      <x:c r="H115" s="99"/>
      <x:c r="I115" s="99"/>
      <x:c r="J115" s="99"/>
      <x:c r="K115" s="99"/>
      <x:c r="L115" s="99"/>
      <x:c r="M115" s="99"/>
      <x:c r="N115" s="99"/>
      <x:c r="O115" s="99"/>
      <x:c r="P115" s="99"/>
      <x:c r="Q115" s="99"/>
      <x:c r="R115" s="99"/>
      <x:c r="S115" s="99"/>
      <x:c r="T115" s="99"/>
      <x:c r="U115" s="99"/>
      <x:c r="V115" s="99"/>
      <x:c r="W115" s="99"/>
      <x:c r="X115" s="99"/>
      <x:c r="Y115" s="99"/>
      <x:c r="Z115" s="99"/>
    </x:row>
    <x:row r="116">
      <x:c r="A116" s="99"/>
      <x:c r="B116" s="99"/>
      <x:c r="C116" s="99"/>
      <x:c r="D116" s="99"/>
      <x:c r="E116" s="99"/>
      <x:c r="F116" s="99"/>
      <x:c r="G116" s="99"/>
      <x:c r="H116" s="99"/>
      <x:c r="I116" s="99"/>
      <x:c r="J116" s="99"/>
      <x:c r="K116" s="99"/>
      <x:c r="L116" s="99"/>
      <x:c r="M116" s="99"/>
      <x:c r="N116" s="99"/>
      <x:c r="O116" s="99"/>
      <x:c r="P116" s="99"/>
      <x:c r="Q116" s="99"/>
      <x:c r="R116" s="99"/>
      <x:c r="S116" s="99"/>
      <x:c r="T116" s="99"/>
      <x:c r="U116" s="99"/>
      <x:c r="V116" s="99"/>
      <x:c r="W116" s="99"/>
      <x:c r="X116" s="99"/>
      <x:c r="Y116" s="99"/>
      <x:c r="Z116" s="99"/>
    </x:row>
    <x:row r="117">
      <x:c r="A117" s="99"/>
      <x:c r="B117" s="99"/>
      <x:c r="C117" s="99"/>
      <x:c r="D117" s="99"/>
      <x:c r="E117" s="99"/>
      <x:c r="F117" s="99"/>
      <x:c r="G117" s="99"/>
      <x:c r="H117" s="99"/>
      <x:c r="I117" s="99"/>
      <x:c r="J117" s="99"/>
      <x:c r="K117" s="99"/>
      <x:c r="L117" s="99"/>
      <x:c r="M117" s="99"/>
      <x:c r="N117" s="99"/>
      <x:c r="O117" s="99"/>
      <x:c r="P117" s="99"/>
      <x:c r="Q117" s="99"/>
      <x:c r="R117" s="99"/>
      <x:c r="S117" s="99"/>
      <x:c r="T117" s="99"/>
      <x:c r="U117" s="99"/>
      <x:c r="V117" s="99"/>
      <x:c r="W117" s="99"/>
      <x:c r="X117" s="99"/>
      <x:c r="Y117" s="99"/>
      <x:c r="Z117" s="99"/>
    </x:row>
    <x:row r="118">
      <x:c r="A118" s="99"/>
      <x:c r="B118" s="99"/>
      <x:c r="C118" s="99"/>
      <x:c r="D118" s="99"/>
      <x:c r="E118" s="99"/>
      <x:c r="F118" s="99"/>
      <x:c r="G118" s="99"/>
      <x:c r="H118" s="99"/>
      <x:c r="I118" s="99"/>
      <x:c r="J118" s="99"/>
      <x:c r="K118" s="99"/>
      <x:c r="L118" s="99"/>
      <x:c r="M118" s="99"/>
      <x:c r="N118" s="99"/>
      <x:c r="O118" s="99"/>
      <x:c r="P118" s="99"/>
      <x:c r="Q118" s="99"/>
      <x:c r="R118" s="99"/>
      <x:c r="S118" s="99"/>
      <x:c r="T118" s="99"/>
      <x:c r="U118" s="99"/>
      <x:c r="V118" s="99"/>
      <x:c r="W118" s="99"/>
      <x:c r="X118" s="99"/>
      <x:c r="Y118" s="99"/>
      <x:c r="Z118" s="99"/>
    </x:row>
    <x:row r="119">
      <x:c r="A119" s="99"/>
      <x:c r="B119" s="99"/>
      <x:c r="C119" s="99"/>
      <x:c r="D119" s="99"/>
      <x:c r="E119" s="99"/>
      <x:c r="F119" s="99"/>
      <x:c r="G119" s="99"/>
      <x:c r="H119" s="99"/>
      <x:c r="I119" s="99"/>
      <x:c r="J119" s="99"/>
      <x:c r="K119" s="99"/>
      <x:c r="L119" s="99"/>
      <x:c r="M119" s="99"/>
      <x:c r="N119" s="99"/>
      <x:c r="O119" s="99"/>
      <x:c r="P119" s="99"/>
      <x:c r="Q119" s="99"/>
      <x:c r="R119" s="99"/>
      <x:c r="S119" s="99"/>
      <x:c r="T119" s="99"/>
      <x:c r="U119" s="99"/>
      <x:c r="V119" s="99"/>
      <x:c r="W119" s="99"/>
      <x:c r="X119" s="99"/>
      <x:c r="Y119" s="99"/>
      <x:c r="Z119" s="99"/>
    </x:row>
    <x:row r="120">
      <x:c r="A120" s="99"/>
      <x:c r="B120" s="99"/>
      <x:c r="C120" s="99"/>
      <x:c r="D120" s="99"/>
      <x:c r="E120" s="99"/>
      <x:c r="F120" s="99"/>
      <x:c r="G120" s="99"/>
      <x:c r="H120" s="99"/>
      <x:c r="I120" s="99"/>
      <x:c r="J120" s="99"/>
      <x:c r="K120" s="99"/>
      <x:c r="L120" s="99"/>
      <x:c r="M120" s="99"/>
      <x:c r="N120" s="99"/>
      <x:c r="O120" s="99"/>
      <x:c r="P120" s="99"/>
      <x:c r="Q120" s="99"/>
      <x:c r="R120" s="99"/>
      <x:c r="S120" s="99"/>
      <x:c r="T120" s="99"/>
      <x:c r="U120" s="99"/>
      <x:c r="V120" s="99"/>
      <x:c r="W120" s="99"/>
      <x:c r="X120" s="99"/>
      <x:c r="Y120" s="99"/>
      <x:c r="Z120" s="99"/>
    </x:row>
    <x:row r="121">
      <x:c r="A121" s="99"/>
      <x:c r="B121" s="99"/>
      <x:c r="C121" s="99"/>
      <x:c r="D121" s="99"/>
      <x:c r="E121" s="99"/>
      <x:c r="F121" s="99"/>
      <x:c r="G121" s="99"/>
      <x:c r="H121" s="99"/>
      <x:c r="I121" s="99"/>
      <x:c r="J121" s="99"/>
      <x:c r="K121" s="99"/>
      <x:c r="L121" s="99"/>
      <x:c r="M121" s="99"/>
      <x:c r="N121" s="99"/>
      <x:c r="O121" s="99"/>
      <x:c r="P121" s="99"/>
      <x:c r="Q121" s="99"/>
      <x:c r="R121" s="99"/>
      <x:c r="S121" s="99"/>
      <x:c r="T121" s="99"/>
      <x:c r="U121" s="99"/>
      <x:c r="V121" s="99"/>
      <x:c r="W121" s="99"/>
      <x:c r="X121" s="99"/>
      <x:c r="Y121" s="99"/>
      <x:c r="Z121" s="99"/>
    </x:row>
    <x:row r="122">
      <x:c r="A122" s="99"/>
      <x:c r="B122" s="99"/>
      <x:c r="C122" s="99"/>
      <x:c r="D122" s="99"/>
      <x:c r="E122" s="99"/>
      <x:c r="F122" s="99"/>
      <x:c r="G122" s="99"/>
      <x:c r="H122" s="99"/>
      <x:c r="I122" s="99"/>
      <x:c r="J122" s="99"/>
      <x:c r="K122" s="99"/>
      <x:c r="L122" s="99"/>
      <x:c r="M122" s="99"/>
      <x:c r="N122" s="99"/>
      <x:c r="O122" s="99"/>
      <x:c r="P122" s="99"/>
      <x:c r="Q122" s="99"/>
      <x:c r="R122" s="99"/>
      <x:c r="S122" s="99"/>
      <x:c r="T122" s="99"/>
      <x:c r="U122" s="99"/>
      <x:c r="V122" s="99"/>
      <x:c r="W122" s="99"/>
      <x:c r="X122" s="99"/>
      <x:c r="Y122" s="99"/>
      <x:c r="Z122" s="99"/>
    </x:row>
    <x:row r="123">
      <x:c r="A123" s="99"/>
      <x:c r="B123" s="99"/>
      <x:c r="C123" s="99"/>
      <x:c r="D123" s="99"/>
      <x:c r="E123" s="99"/>
      <x:c r="F123" s="99"/>
      <x:c r="G123" s="99"/>
      <x:c r="H123" s="99"/>
      <x:c r="I123" s="99"/>
      <x:c r="J123" s="99"/>
      <x:c r="K123" s="99"/>
      <x:c r="L123" s="99"/>
      <x:c r="M123" s="99"/>
      <x:c r="N123" s="99"/>
      <x:c r="O123" s="99"/>
      <x:c r="P123" s="99"/>
      <x:c r="Q123" s="99"/>
      <x:c r="R123" s="99"/>
      <x:c r="S123" s="99"/>
      <x:c r="T123" s="99"/>
      <x:c r="U123" s="99"/>
      <x:c r="V123" s="99"/>
      <x:c r="W123" s="99"/>
      <x:c r="X123" s="99"/>
      <x:c r="Y123" s="99"/>
      <x:c r="Z123" s="99"/>
    </x:row>
    <x:row r="124">
      <x:c r="A124" s="99"/>
      <x:c r="B124" s="99"/>
      <x:c r="C124" s="99"/>
      <x:c r="D124" s="99"/>
      <x:c r="E124" s="99"/>
      <x:c r="F124" s="99"/>
      <x:c r="G124" s="99"/>
      <x:c r="H124" s="99"/>
      <x:c r="I124" s="99"/>
      <x:c r="J124" s="99"/>
      <x:c r="K124" s="99"/>
      <x:c r="L124" s="99"/>
      <x:c r="M124" s="99"/>
      <x:c r="N124" s="99"/>
      <x:c r="O124" s="99"/>
      <x:c r="P124" s="99"/>
      <x:c r="Q124" s="99"/>
      <x:c r="R124" s="99"/>
      <x:c r="S124" s="99"/>
      <x:c r="T124" s="99"/>
      <x:c r="U124" s="99"/>
      <x:c r="V124" s="99"/>
      <x:c r="W124" s="99"/>
      <x:c r="X124" s="99"/>
      <x:c r="Y124" s="99"/>
      <x:c r="Z124" s="99"/>
    </x:row>
    <x:row r="125">
      <x:c r="A125" s="99"/>
      <x:c r="B125" s="99"/>
      <x:c r="C125" s="99"/>
      <x:c r="D125" s="99"/>
      <x:c r="E125" s="99"/>
      <x:c r="F125" s="99"/>
      <x:c r="G125" s="99"/>
      <x:c r="H125" s="99"/>
      <x:c r="I125" s="99"/>
      <x:c r="J125" s="99"/>
      <x:c r="K125" s="99"/>
      <x:c r="L125" s="99"/>
      <x:c r="M125" s="99"/>
      <x:c r="N125" s="99"/>
      <x:c r="O125" s="99"/>
      <x:c r="P125" s="99"/>
      <x:c r="Q125" s="99"/>
      <x:c r="R125" s="99"/>
      <x:c r="S125" s="99"/>
      <x:c r="T125" s="99"/>
      <x:c r="U125" s="99"/>
      <x:c r="V125" s="99"/>
      <x:c r="W125" s="99"/>
      <x:c r="X125" s="99"/>
      <x:c r="Y125" s="99"/>
      <x:c r="Z125" s="99"/>
    </x:row>
    <x:row r="126">
      <x:c r="A126" s="99"/>
      <x:c r="B126" s="99"/>
      <x:c r="C126" s="99"/>
      <x:c r="D126" s="99"/>
      <x:c r="E126" s="99"/>
      <x:c r="F126" s="99"/>
      <x:c r="G126" s="99"/>
      <x:c r="H126" s="99"/>
      <x:c r="I126" s="99"/>
      <x:c r="J126" s="99"/>
      <x:c r="K126" s="99"/>
      <x:c r="L126" s="99"/>
      <x:c r="M126" s="99"/>
      <x:c r="N126" s="99"/>
      <x:c r="O126" s="99"/>
      <x:c r="P126" s="99"/>
      <x:c r="Q126" s="99"/>
      <x:c r="R126" s="99"/>
      <x:c r="S126" s="99"/>
      <x:c r="T126" s="99"/>
      <x:c r="U126" s="99"/>
      <x:c r="V126" s="99"/>
      <x:c r="W126" s="99"/>
      <x:c r="X126" s="99"/>
      <x:c r="Y126" s="99"/>
      <x:c r="Z126" s="99"/>
    </x:row>
    <x:row r="127">
      <x:c r="A127" s="99"/>
      <x:c r="B127" s="99"/>
      <x:c r="C127" s="99"/>
      <x:c r="D127" s="99"/>
      <x:c r="E127" s="99"/>
      <x:c r="F127" s="99"/>
      <x:c r="G127" s="99"/>
      <x:c r="H127" s="99"/>
      <x:c r="I127" s="99"/>
      <x:c r="J127" s="99"/>
      <x:c r="K127" s="99"/>
      <x:c r="L127" s="99"/>
      <x:c r="M127" s="99"/>
      <x:c r="N127" s="99"/>
      <x:c r="O127" s="99"/>
      <x:c r="P127" s="99"/>
      <x:c r="Q127" s="99"/>
      <x:c r="R127" s="99"/>
      <x:c r="S127" s="99"/>
      <x:c r="T127" s="99"/>
      <x:c r="U127" s="99"/>
      <x:c r="V127" s="99"/>
      <x:c r="W127" s="99"/>
      <x:c r="X127" s="99"/>
      <x:c r="Y127" s="99"/>
      <x:c r="Z127" s="99"/>
    </x:row>
    <x:row r="128">
      <x:c r="A128" s="99"/>
      <x:c r="B128" s="99"/>
      <x:c r="C128" s="99"/>
      <x:c r="D128" s="99"/>
      <x:c r="E128" s="99"/>
      <x:c r="F128" s="99"/>
      <x:c r="G128" s="99"/>
      <x:c r="H128" s="99"/>
      <x:c r="I128" s="99"/>
      <x:c r="J128" s="99"/>
      <x:c r="K128" s="99"/>
      <x:c r="L128" s="99"/>
      <x:c r="M128" s="99"/>
      <x:c r="N128" s="99"/>
      <x:c r="O128" s="99"/>
      <x:c r="P128" s="99"/>
      <x:c r="Q128" s="99"/>
      <x:c r="R128" s="99"/>
      <x:c r="S128" s="99"/>
      <x:c r="T128" s="99"/>
      <x:c r="U128" s="99"/>
      <x:c r="V128" s="99"/>
      <x:c r="W128" s="99"/>
      <x:c r="X128" s="99"/>
      <x:c r="Y128" s="99"/>
      <x:c r="Z128" s="99"/>
    </x:row>
    <x:row r="129">
      <x:c r="A129" s="99"/>
      <x:c r="B129" s="99"/>
      <x:c r="C129" s="99"/>
      <x:c r="D129" s="99"/>
      <x:c r="E129" s="99"/>
      <x:c r="F129" s="99"/>
      <x:c r="G129" s="99"/>
      <x:c r="H129" s="99"/>
      <x:c r="I129" s="99"/>
      <x:c r="J129" s="99"/>
      <x:c r="K129" s="99"/>
      <x:c r="L129" s="99"/>
      <x:c r="M129" s="99"/>
      <x:c r="N129" s="99"/>
      <x:c r="O129" s="99"/>
      <x:c r="P129" s="99"/>
      <x:c r="Q129" s="99"/>
      <x:c r="R129" s="99"/>
      <x:c r="S129" s="99"/>
      <x:c r="T129" s="99"/>
      <x:c r="U129" s="99"/>
      <x:c r="V129" s="99"/>
      <x:c r="W129" s="99"/>
      <x:c r="X129" s="99"/>
      <x:c r="Y129" s="99"/>
      <x:c r="Z129" s="99"/>
    </x:row>
    <x:row r="130">
      <x:c r="A130" s="99"/>
      <x:c r="B130" s="99"/>
      <x:c r="C130" s="99"/>
      <x:c r="D130" s="99"/>
      <x:c r="E130" s="99"/>
      <x:c r="F130" s="99"/>
      <x:c r="G130" s="99"/>
      <x:c r="H130" s="99"/>
      <x:c r="I130" s="99"/>
      <x:c r="J130" s="99"/>
      <x:c r="K130" s="99"/>
      <x:c r="L130" s="99"/>
      <x:c r="M130" s="99"/>
      <x:c r="N130" s="99"/>
      <x:c r="O130" s="99"/>
      <x:c r="P130" s="99"/>
      <x:c r="Q130" s="99"/>
      <x:c r="R130" s="99"/>
      <x:c r="S130" s="99"/>
      <x:c r="T130" s="99"/>
      <x:c r="U130" s="99"/>
      <x:c r="V130" s="99"/>
      <x:c r="W130" s="99"/>
      <x:c r="X130" s="99"/>
      <x:c r="Y130" s="99"/>
      <x:c r="Z130" s="99"/>
    </x:row>
    <x:row r="131">
      <x:c r="A131" s="99"/>
      <x:c r="B131" s="99"/>
      <x:c r="C131" s="99"/>
      <x:c r="D131" s="99"/>
      <x:c r="E131" s="99"/>
      <x:c r="F131" s="99"/>
      <x:c r="G131" s="99"/>
      <x:c r="H131" s="99"/>
      <x:c r="I131" s="99"/>
      <x:c r="J131" s="99"/>
      <x:c r="K131" s="99"/>
      <x:c r="L131" s="99"/>
      <x:c r="M131" s="99"/>
      <x:c r="N131" s="99"/>
      <x:c r="O131" s="99"/>
      <x:c r="P131" s="99"/>
      <x:c r="Q131" s="99"/>
      <x:c r="R131" s="99"/>
      <x:c r="S131" s="99"/>
      <x:c r="T131" s="99"/>
      <x:c r="U131" s="99"/>
      <x:c r="V131" s="99"/>
      <x:c r="W131" s="99"/>
      <x:c r="X131" s="99"/>
      <x:c r="Y131" s="99"/>
      <x:c r="Z131" s="99"/>
    </x:row>
    <x:row r="132">
      <x:c r="A132" s="99"/>
      <x:c r="B132" s="99"/>
      <x:c r="C132" s="99"/>
      <x:c r="D132" s="99"/>
      <x:c r="E132" s="99"/>
      <x:c r="F132" s="99"/>
      <x:c r="G132" s="99"/>
      <x:c r="H132" s="99"/>
      <x:c r="I132" s="99"/>
      <x:c r="J132" s="99"/>
      <x:c r="K132" s="99"/>
      <x:c r="L132" s="99"/>
      <x:c r="M132" s="99"/>
      <x:c r="N132" s="99"/>
      <x:c r="O132" s="99"/>
      <x:c r="P132" s="99"/>
      <x:c r="Q132" s="99"/>
      <x:c r="R132" s="99"/>
      <x:c r="S132" s="99"/>
      <x:c r="T132" s="99"/>
      <x:c r="U132" s="99"/>
      <x:c r="V132" s="99"/>
      <x:c r="W132" s="99"/>
      <x:c r="X132" s="99"/>
      <x:c r="Y132" s="99"/>
      <x:c r="Z132" s="99"/>
    </x:row>
    <x:row r="133">
      <x:c r="A133" s="99"/>
      <x:c r="B133" s="99"/>
      <x:c r="C133" s="99"/>
      <x:c r="D133" s="99"/>
      <x:c r="E133" s="99"/>
      <x:c r="F133" s="99"/>
      <x:c r="G133" s="99"/>
      <x:c r="H133" s="99"/>
      <x:c r="I133" s="99"/>
      <x:c r="J133" s="99"/>
      <x:c r="K133" s="99"/>
      <x:c r="L133" s="99"/>
      <x:c r="M133" s="99"/>
      <x:c r="N133" s="99"/>
      <x:c r="O133" s="99"/>
      <x:c r="P133" s="99"/>
      <x:c r="Q133" s="99"/>
      <x:c r="R133" s="99"/>
      <x:c r="S133" s="99"/>
      <x:c r="T133" s="99"/>
      <x:c r="U133" s="99"/>
      <x:c r="V133" s="99"/>
      <x:c r="W133" s="99"/>
      <x:c r="X133" s="99"/>
      <x:c r="Y133" s="99"/>
      <x:c r="Z133" s="99"/>
    </x:row>
    <x:row r="134">
      <x:c r="A134" s="99"/>
      <x:c r="B134" s="99"/>
      <x:c r="C134" s="99"/>
      <x:c r="D134" s="99"/>
      <x:c r="E134" s="99"/>
      <x:c r="F134" s="99"/>
      <x:c r="G134" s="99"/>
      <x:c r="H134" s="99"/>
      <x:c r="I134" s="99"/>
      <x:c r="J134" s="99"/>
      <x:c r="K134" s="99"/>
      <x:c r="L134" s="99"/>
      <x:c r="M134" s="99"/>
      <x:c r="N134" s="99"/>
      <x:c r="O134" s="99"/>
      <x:c r="P134" s="99"/>
      <x:c r="Q134" s="99"/>
      <x:c r="R134" s="99"/>
      <x:c r="S134" s="99"/>
      <x:c r="T134" s="99"/>
      <x:c r="U134" s="99"/>
      <x:c r="V134" s="99"/>
      <x:c r="W134" s="99"/>
      <x:c r="X134" s="99"/>
      <x:c r="Y134" s="99"/>
      <x:c r="Z134" s="99"/>
    </x:row>
    <x:row r="135">
      <x:c r="A135" s="99"/>
      <x:c r="B135" s="99"/>
      <x:c r="C135" s="99"/>
      <x:c r="D135" s="99"/>
      <x:c r="E135" s="99"/>
      <x:c r="F135" s="99"/>
      <x:c r="G135" s="99"/>
      <x:c r="H135" s="99"/>
      <x:c r="I135" s="99"/>
      <x:c r="J135" s="99"/>
      <x:c r="K135" s="99"/>
      <x:c r="L135" s="99"/>
      <x:c r="M135" s="99"/>
      <x:c r="N135" s="99"/>
      <x:c r="O135" s="99"/>
      <x:c r="P135" s="99"/>
      <x:c r="Q135" s="99"/>
      <x:c r="R135" s="99"/>
      <x:c r="S135" s="99"/>
      <x:c r="T135" s="99"/>
      <x:c r="U135" s="99"/>
      <x:c r="V135" s="99"/>
      <x:c r="W135" s="99"/>
      <x:c r="X135" s="99"/>
      <x:c r="Y135" s="99"/>
      <x:c r="Z135" s="99"/>
    </x:row>
    <x:row r="136">
      <x:c r="A136" s="99"/>
      <x:c r="B136" s="99"/>
      <x:c r="C136" s="99"/>
      <x:c r="D136" s="99"/>
      <x:c r="E136" s="99"/>
      <x:c r="F136" s="99"/>
      <x:c r="G136" s="99"/>
      <x:c r="H136" s="99"/>
      <x:c r="I136" s="99"/>
      <x:c r="J136" s="99"/>
      <x:c r="K136" s="99"/>
      <x:c r="L136" s="99"/>
      <x:c r="M136" s="99"/>
      <x:c r="N136" s="99"/>
      <x:c r="O136" s="99"/>
      <x:c r="P136" s="99"/>
      <x:c r="Q136" s="99"/>
      <x:c r="R136" s="99"/>
      <x:c r="S136" s="99"/>
      <x:c r="T136" s="99"/>
      <x:c r="U136" s="99"/>
      <x:c r="V136" s="99"/>
      <x:c r="W136" s="99"/>
      <x:c r="X136" s="99"/>
      <x:c r="Y136" s="99"/>
      <x:c r="Z136" s="99"/>
    </x:row>
    <x:row r="137">
      <x:c r="A137" s="99"/>
      <x:c r="B137" s="99"/>
      <x:c r="C137" s="99"/>
      <x:c r="D137" s="99"/>
      <x:c r="E137" s="99"/>
      <x:c r="F137" s="99"/>
      <x:c r="G137" s="99"/>
      <x:c r="H137" s="99"/>
      <x:c r="I137" s="99"/>
      <x:c r="J137" s="99"/>
      <x:c r="K137" s="99"/>
      <x:c r="L137" s="99"/>
      <x:c r="M137" s="99"/>
      <x:c r="N137" s="99"/>
      <x:c r="O137" s="99"/>
      <x:c r="P137" s="99"/>
      <x:c r="Q137" s="99"/>
      <x:c r="R137" s="99"/>
      <x:c r="S137" s="99"/>
      <x:c r="T137" s="99"/>
      <x:c r="U137" s="99"/>
      <x:c r="V137" s="99"/>
      <x:c r="W137" s="99"/>
      <x:c r="X137" s="99"/>
      <x:c r="Y137" s="99"/>
      <x:c r="Z137" s="99"/>
    </x:row>
    <x:row r="138">
      <x:c r="A138" s="99"/>
      <x:c r="B138" s="99"/>
      <x:c r="C138" s="99"/>
      <x:c r="D138" s="99"/>
      <x:c r="E138" s="99"/>
      <x:c r="F138" s="99"/>
      <x:c r="G138" s="99"/>
      <x:c r="H138" s="99"/>
      <x:c r="I138" s="99"/>
      <x:c r="J138" s="99"/>
      <x:c r="K138" s="99"/>
      <x:c r="L138" s="99"/>
      <x:c r="M138" s="99"/>
      <x:c r="N138" s="99"/>
      <x:c r="O138" s="99"/>
      <x:c r="P138" s="99"/>
      <x:c r="Q138" s="99"/>
      <x:c r="R138" s="99"/>
      <x:c r="S138" s="99"/>
      <x:c r="T138" s="99"/>
      <x:c r="U138" s="99"/>
      <x:c r="V138" s="99"/>
      <x:c r="W138" s="99"/>
      <x:c r="X138" s="99"/>
      <x:c r="Y138" s="99"/>
      <x:c r="Z138" s="99"/>
    </x:row>
    <x:row r="139">
      <x:c r="A139" s="99"/>
      <x:c r="B139" s="99"/>
      <x:c r="C139" s="99"/>
      <x:c r="D139" s="99"/>
      <x:c r="E139" s="99"/>
      <x:c r="F139" s="99"/>
      <x:c r="G139" s="99"/>
      <x:c r="H139" s="99"/>
      <x:c r="I139" s="99"/>
      <x:c r="J139" s="99"/>
      <x:c r="K139" s="99"/>
      <x:c r="L139" s="99"/>
      <x:c r="M139" s="99"/>
      <x:c r="N139" s="99"/>
      <x:c r="O139" s="99"/>
      <x:c r="P139" s="99"/>
      <x:c r="Q139" s="99"/>
      <x:c r="R139" s="99"/>
      <x:c r="S139" s="99"/>
      <x:c r="T139" s="99"/>
      <x:c r="U139" s="99"/>
      <x:c r="V139" s="99"/>
      <x:c r="W139" s="99"/>
      <x:c r="X139" s="99"/>
      <x:c r="Y139" s="99"/>
      <x:c r="Z139" s="99"/>
    </x:row>
    <x:row r="140">
      <x:c r="A140" s="99"/>
      <x:c r="B140" s="99"/>
      <x:c r="C140" s="99"/>
      <x:c r="D140" s="99"/>
      <x:c r="E140" s="99"/>
      <x:c r="F140" s="99"/>
      <x:c r="G140" s="99"/>
      <x:c r="H140" s="99"/>
      <x:c r="I140" s="99"/>
      <x:c r="J140" s="99"/>
      <x:c r="K140" s="99"/>
      <x:c r="L140" s="99"/>
      <x:c r="M140" s="99"/>
      <x:c r="N140" s="99"/>
      <x:c r="O140" s="99"/>
      <x:c r="P140" s="99"/>
      <x:c r="Q140" s="99"/>
      <x:c r="R140" s="99"/>
      <x:c r="S140" s="99"/>
      <x:c r="T140" s="99"/>
      <x:c r="U140" s="99"/>
      <x:c r="V140" s="99"/>
      <x:c r="W140" s="99"/>
      <x:c r="X140" s="99"/>
      <x:c r="Y140" s="99"/>
      <x:c r="Z140" s="99"/>
    </x:row>
    <x:row r="141">
      <x:c r="A141" s="99"/>
      <x:c r="B141" s="99"/>
      <x:c r="C141" s="99"/>
      <x:c r="D141" s="99"/>
      <x:c r="E141" s="99"/>
      <x:c r="F141" s="99"/>
      <x:c r="G141" s="99"/>
      <x:c r="H141" s="99"/>
      <x:c r="I141" s="99"/>
      <x:c r="J141" s="99"/>
      <x:c r="K141" s="99"/>
      <x:c r="L141" s="99"/>
      <x:c r="M141" s="99"/>
      <x:c r="N141" s="99"/>
      <x:c r="O141" s="99"/>
      <x:c r="P141" s="99"/>
      <x:c r="Q141" s="99"/>
      <x:c r="R141" s="99"/>
      <x:c r="S141" s="99"/>
      <x:c r="T141" s="99"/>
      <x:c r="U141" s="99"/>
      <x:c r="V141" s="99"/>
      <x:c r="W141" s="99"/>
      <x:c r="X141" s="99"/>
      <x:c r="Y141" s="99"/>
      <x:c r="Z141" s="99"/>
    </x:row>
    <x:row r="142">
      <x:c r="A142" s="99"/>
      <x:c r="B142" s="99"/>
      <x:c r="C142" s="99"/>
      <x:c r="D142" s="99"/>
      <x:c r="E142" s="99"/>
      <x:c r="F142" s="99"/>
      <x:c r="G142" s="99"/>
      <x:c r="H142" s="99"/>
      <x:c r="I142" s="99"/>
      <x:c r="J142" s="99"/>
      <x:c r="K142" s="99"/>
      <x:c r="L142" s="99"/>
      <x:c r="M142" s="99"/>
      <x:c r="N142" s="99"/>
      <x:c r="O142" s="99"/>
      <x:c r="P142" s="99"/>
      <x:c r="Q142" s="99"/>
      <x:c r="R142" s="99"/>
      <x:c r="S142" s="99"/>
      <x:c r="T142" s="99"/>
      <x:c r="U142" s="99"/>
      <x:c r="V142" s="99"/>
      <x:c r="W142" s="99"/>
      <x:c r="X142" s="99"/>
      <x:c r="Y142" s="99"/>
      <x:c r="Z142" s="99"/>
    </x:row>
    <x:row r="143">
      <x:c r="A143" s="99"/>
      <x:c r="B143" s="99"/>
      <x:c r="C143" s="99"/>
      <x:c r="D143" s="99"/>
      <x:c r="E143" s="99"/>
      <x:c r="F143" s="99"/>
      <x:c r="G143" s="99"/>
      <x:c r="H143" s="99"/>
      <x:c r="I143" s="99"/>
      <x:c r="J143" s="99"/>
      <x:c r="K143" s="99"/>
      <x:c r="L143" s="99"/>
      <x:c r="M143" s="99"/>
      <x:c r="N143" s="99"/>
      <x:c r="O143" s="99"/>
      <x:c r="P143" s="99"/>
      <x:c r="Q143" s="99"/>
      <x:c r="R143" s="99"/>
      <x:c r="S143" s="99"/>
      <x:c r="T143" s="99"/>
      <x:c r="U143" s="99"/>
      <x:c r="V143" s="99"/>
      <x:c r="W143" s="99"/>
      <x:c r="X143" s="99"/>
      <x:c r="Y143" s="99"/>
      <x:c r="Z143" s="99"/>
    </x:row>
    <x:row r="144">
      <x:c r="A144" s="99"/>
      <x:c r="B144" s="99"/>
      <x:c r="C144" s="99"/>
      <x:c r="D144" s="99"/>
      <x:c r="E144" s="99"/>
      <x:c r="F144" s="99"/>
      <x:c r="G144" s="99"/>
      <x:c r="H144" s="99"/>
      <x:c r="I144" s="99"/>
      <x:c r="J144" s="99"/>
      <x:c r="K144" s="99"/>
      <x:c r="L144" s="99"/>
      <x:c r="M144" s="99"/>
      <x:c r="N144" s="99"/>
      <x:c r="O144" s="99"/>
      <x:c r="P144" s="99"/>
      <x:c r="Q144" s="99"/>
      <x:c r="R144" s="99"/>
      <x:c r="S144" s="99"/>
      <x:c r="T144" s="99"/>
      <x:c r="U144" s="99"/>
      <x:c r="V144" s="99"/>
      <x:c r="W144" s="99"/>
      <x:c r="X144" s="99"/>
      <x:c r="Y144" s="99"/>
      <x:c r="Z144" s="99"/>
    </x:row>
    <x:row r="145">
      <x:c r="A145" s="99"/>
      <x:c r="B145" s="99"/>
      <x:c r="C145" s="99"/>
      <x:c r="D145" s="99"/>
      <x:c r="E145" s="99"/>
      <x:c r="F145" s="99"/>
      <x:c r="G145" s="99"/>
      <x:c r="H145" s="99"/>
      <x:c r="I145" s="99"/>
      <x:c r="J145" s="99"/>
      <x:c r="K145" s="99"/>
      <x:c r="L145" s="99"/>
      <x:c r="M145" s="99"/>
      <x:c r="N145" s="99"/>
      <x:c r="O145" s="99"/>
      <x:c r="P145" s="99"/>
      <x:c r="Q145" s="99"/>
      <x:c r="R145" s="99"/>
      <x:c r="S145" s="99"/>
      <x:c r="T145" s="99"/>
      <x:c r="U145" s="99"/>
      <x:c r="V145" s="99"/>
      <x:c r="W145" s="99"/>
      <x:c r="X145" s="99"/>
      <x:c r="Y145" s="99"/>
      <x:c r="Z145" s="99"/>
    </x:row>
    <x:row r="146">
      <x:c r="A146" s="99"/>
      <x:c r="B146" s="99"/>
      <x:c r="C146" s="99"/>
      <x:c r="D146" s="99"/>
      <x:c r="E146" s="99"/>
      <x:c r="F146" s="99"/>
      <x:c r="G146" s="99"/>
      <x:c r="H146" s="99"/>
      <x:c r="I146" s="99"/>
      <x:c r="J146" s="99"/>
      <x:c r="K146" s="99"/>
      <x:c r="L146" s="99"/>
      <x:c r="M146" s="99"/>
      <x:c r="N146" s="99"/>
      <x:c r="O146" s="99"/>
      <x:c r="P146" s="99"/>
      <x:c r="Q146" s="99"/>
      <x:c r="R146" s="99"/>
      <x:c r="S146" s="99"/>
      <x:c r="T146" s="99"/>
      <x:c r="U146" s="99"/>
      <x:c r="V146" s="99"/>
      <x:c r="W146" s="99"/>
      <x:c r="X146" s="99"/>
      <x:c r="Y146" s="99"/>
      <x:c r="Z146" s="99"/>
    </x:row>
    <x:row r="147">
      <x:c r="A147" s="99"/>
      <x:c r="B147" s="99"/>
      <x:c r="C147" s="99"/>
      <x:c r="D147" s="99"/>
      <x:c r="E147" s="99"/>
      <x:c r="F147" s="99"/>
      <x:c r="G147" s="99"/>
      <x:c r="H147" s="99"/>
      <x:c r="I147" s="99"/>
      <x:c r="J147" s="99"/>
      <x:c r="K147" s="99"/>
      <x:c r="L147" s="99"/>
      <x:c r="M147" s="99"/>
      <x:c r="N147" s="99"/>
      <x:c r="O147" s="99"/>
      <x:c r="P147" s="99"/>
      <x:c r="Q147" s="99"/>
      <x:c r="R147" s="99"/>
      <x:c r="S147" s="99"/>
      <x:c r="T147" s="99"/>
      <x:c r="U147" s="99"/>
      <x:c r="V147" s="99"/>
      <x:c r="W147" s="99"/>
      <x:c r="X147" s="99"/>
      <x:c r="Y147" s="99"/>
      <x:c r="Z147" s="99"/>
    </x:row>
    <x:row r="148">
      <x:c r="A148" s="99"/>
      <x:c r="B148" s="99"/>
      <x:c r="C148" s="99"/>
      <x:c r="D148" s="99"/>
      <x:c r="E148" s="99"/>
      <x:c r="F148" s="99"/>
      <x:c r="G148" s="99"/>
      <x:c r="H148" s="99"/>
      <x:c r="I148" s="99"/>
      <x:c r="J148" s="99"/>
      <x:c r="K148" s="99"/>
      <x:c r="L148" s="99"/>
      <x:c r="M148" s="99"/>
      <x:c r="N148" s="99"/>
      <x:c r="O148" s="99"/>
      <x:c r="P148" s="99"/>
      <x:c r="Q148" s="99"/>
      <x:c r="R148" s="99"/>
      <x:c r="S148" s="99"/>
      <x:c r="T148" s="99"/>
      <x:c r="U148" s="99"/>
      <x:c r="V148" s="99"/>
      <x:c r="W148" s="99"/>
      <x:c r="X148" s="99"/>
      <x:c r="Y148" s="99"/>
      <x:c r="Z148" s="99"/>
    </x:row>
    <x:row r="149">
      <x:c r="A149" s="99"/>
      <x:c r="B149" s="99"/>
      <x:c r="C149" s="99"/>
      <x:c r="D149" s="99"/>
      <x:c r="E149" s="99"/>
      <x:c r="F149" s="99"/>
      <x:c r="G149" s="99"/>
      <x:c r="H149" s="99"/>
      <x:c r="I149" s="99"/>
      <x:c r="J149" s="99"/>
      <x:c r="K149" s="99"/>
      <x:c r="L149" s="99"/>
      <x:c r="M149" s="99"/>
      <x:c r="N149" s="99"/>
      <x:c r="O149" s="99"/>
      <x:c r="P149" s="99"/>
      <x:c r="Q149" s="99"/>
      <x:c r="R149" s="99"/>
      <x:c r="S149" s="99"/>
      <x:c r="T149" s="99"/>
      <x:c r="U149" s="99"/>
      <x:c r="V149" s="99"/>
      <x:c r="W149" s="99"/>
      <x:c r="X149" s="99"/>
      <x:c r="Y149" s="99"/>
      <x:c r="Z149" s="99"/>
    </x:row>
    <x:row r="150">
      <x:c r="A150" s="99"/>
      <x:c r="B150" s="99"/>
      <x:c r="C150" s="99"/>
      <x:c r="D150" s="99"/>
      <x:c r="E150" s="99"/>
      <x:c r="F150" s="99"/>
      <x:c r="G150" s="99"/>
      <x:c r="H150" s="99"/>
      <x:c r="I150" s="99"/>
      <x:c r="J150" s="99"/>
      <x:c r="K150" s="99"/>
      <x:c r="L150" s="99"/>
      <x:c r="M150" s="99"/>
      <x:c r="N150" s="99"/>
      <x:c r="O150" s="99"/>
      <x:c r="P150" s="99"/>
      <x:c r="Q150" s="99"/>
      <x:c r="R150" s="99"/>
      <x:c r="S150" s="99"/>
      <x:c r="T150" s="99"/>
      <x:c r="U150" s="99"/>
      <x:c r="V150" s="99"/>
      <x:c r="W150" s="99"/>
      <x:c r="X150" s="99"/>
      <x:c r="Y150" s="99"/>
      <x:c r="Z150" s="99"/>
    </x:row>
    <x:row r="151">
      <x:c r="A151" s="99"/>
      <x:c r="B151" s="99"/>
      <x:c r="C151" s="99"/>
      <x:c r="D151" s="99"/>
      <x:c r="E151" s="99"/>
      <x:c r="F151" s="99"/>
      <x:c r="G151" s="99"/>
      <x:c r="H151" s="99"/>
      <x:c r="I151" s="99"/>
      <x:c r="J151" s="99"/>
      <x:c r="K151" s="99"/>
      <x:c r="L151" s="99"/>
      <x:c r="M151" s="99"/>
      <x:c r="N151" s="99"/>
      <x:c r="O151" s="99"/>
      <x:c r="P151" s="99"/>
      <x:c r="Q151" s="99"/>
      <x:c r="R151" s="99"/>
      <x:c r="S151" s="99"/>
      <x:c r="T151" s="99"/>
      <x:c r="U151" s="99"/>
      <x:c r="V151" s="99"/>
      <x:c r="W151" s="99"/>
      <x:c r="X151" s="99"/>
      <x:c r="Y151" s="99"/>
      <x:c r="Z151" s="99"/>
    </x:row>
    <x:row r="152">
      <x:c r="A152" s="99"/>
      <x:c r="B152" s="99"/>
      <x:c r="C152" s="99"/>
      <x:c r="D152" s="99"/>
      <x:c r="E152" s="99"/>
      <x:c r="F152" s="99"/>
      <x:c r="G152" s="99"/>
      <x:c r="H152" s="99"/>
      <x:c r="I152" s="99"/>
      <x:c r="J152" s="99"/>
      <x:c r="K152" s="99"/>
      <x:c r="L152" s="99"/>
      <x:c r="M152" s="99"/>
      <x:c r="N152" s="99"/>
      <x:c r="O152" s="99"/>
      <x:c r="P152" s="99"/>
      <x:c r="Q152" s="99"/>
      <x:c r="R152" s="99"/>
      <x:c r="S152" s="99"/>
      <x:c r="T152" s="99"/>
      <x:c r="U152" s="99"/>
      <x:c r="V152" s="99"/>
      <x:c r="W152" s="99"/>
      <x:c r="X152" s="99"/>
      <x:c r="Y152" s="99"/>
      <x:c r="Z152" s="99"/>
    </x:row>
    <x:row r="153">
      <x:c r="A153" s="99"/>
      <x:c r="B153" s="99"/>
      <x:c r="C153" s="99"/>
      <x:c r="D153" s="99"/>
      <x:c r="E153" s="99"/>
      <x:c r="F153" s="99"/>
      <x:c r="G153" s="99"/>
      <x:c r="H153" s="99"/>
      <x:c r="I153" s="99"/>
      <x:c r="J153" s="99"/>
      <x:c r="K153" s="99"/>
      <x:c r="L153" s="99"/>
      <x:c r="M153" s="99"/>
      <x:c r="N153" s="99"/>
      <x:c r="O153" s="99"/>
      <x:c r="P153" s="99"/>
      <x:c r="Q153" s="99"/>
      <x:c r="R153" s="99"/>
      <x:c r="S153" s="99"/>
      <x:c r="T153" s="99"/>
      <x:c r="U153" s="99"/>
      <x:c r="V153" s="99"/>
      <x:c r="W153" s="99"/>
      <x:c r="X153" s="99"/>
      <x:c r="Y153" s="99"/>
      <x:c r="Z153" s="99"/>
    </x:row>
    <x:row r="154">
      <x:c r="A154" s="99"/>
      <x:c r="B154" s="99"/>
      <x:c r="C154" s="99"/>
      <x:c r="D154" s="99"/>
      <x:c r="E154" s="99"/>
      <x:c r="F154" s="99"/>
      <x:c r="G154" s="99"/>
      <x:c r="H154" s="99"/>
      <x:c r="I154" s="99"/>
      <x:c r="J154" s="99"/>
      <x:c r="K154" s="99"/>
      <x:c r="L154" s="99"/>
      <x:c r="M154" s="99"/>
      <x:c r="N154" s="99"/>
      <x:c r="O154" s="99"/>
      <x:c r="P154" s="99"/>
      <x:c r="Q154" s="99"/>
      <x:c r="R154" s="99"/>
      <x:c r="S154" s="99"/>
      <x:c r="T154" s="99"/>
      <x:c r="U154" s="99"/>
      <x:c r="V154" s="99"/>
      <x:c r="W154" s="99"/>
      <x:c r="X154" s="99"/>
      <x:c r="Y154" s="99"/>
      <x:c r="Z154" s="99"/>
    </x:row>
    <x:row r="155">
      <x:c r="A155" s="99"/>
      <x:c r="B155" s="99"/>
      <x:c r="C155" s="99"/>
      <x:c r="D155" s="99"/>
      <x:c r="E155" s="99"/>
      <x:c r="F155" s="99"/>
      <x:c r="G155" s="99"/>
      <x:c r="H155" s="99"/>
      <x:c r="I155" s="99"/>
      <x:c r="J155" s="99"/>
      <x:c r="K155" s="99"/>
      <x:c r="L155" s="99"/>
      <x:c r="M155" s="99"/>
      <x:c r="N155" s="99"/>
      <x:c r="O155" s="99"/>
      <x:c r="P155" s="99"/>
      <x:c r="Q155" s="99"/>
      <x:c r="R155" s="99"/>
      <x:c r="S155" s="99"/>
      <x:c r="T155" s="99"/>
      <x:c r="U155" s="99"/>
      <x:c r="V155" s="99"/>
      <x:c r="W155" s="99"/>
      <x:c r="X155" s="99"/>
      <x:c r="Y155" s="99"/>
      <x:c r="Z155" s="99"/>
    </x:row>
    <x:row r="156">
      <x:c r="A156" s="99"/>
      <x:c r="B156" s="99"/>
      <x:c r="C156" s="99"/>
      <x:c r="D156" s="99"/>
      <x:c r="E156" s="99"/>
      <x:c r="F156" s="99"/>
      <x:c r="G156" s="99"/>
      <x:c r="H156" s="99"/>
      <x:c r="I156" s="99"/>
      <x:c r="J156" s="99"/>
      <x:c r="K156" s="99"/>
      <x:c r="L156" s="99"/>
      <x:c r="M156" s="99"/>
      <x:c r="N156" s="99"/>
      <x:c r="O156" s="99"/>
      <x:c r="P156" s="99"/>
      <x:c r="Q156" s="99"/>
      <x:c r="R156" s="99"/>
      <x:c r="S156" s="99"/>
      <x:c r="T156" s="99"/>
      <x:c r="U156" s="99"/>
      <x:c r="V156" s="99"/>
      <x:c r="W156" s="99"/>
      <x:c r="X156" s="99"/>
      <x:c r="Y156" s="99"/>
      <x:c r="Z156" s="99"/>
    </x:row>
    <x:row r="157">
      <x:c r="A157" s="99"/>
      <x:c r="B157" s="99"/>
      <x:c r="C157" s="99"/>
      <x:c r="D157" s="99"/>
      <x:c r="E157" s="99"/>
      <x:c r="F157" s="99"/>
      <x:c r="G157" s="99"/>
      <x:c r="H157" s="99"/>
      <x:c r="I157" s="99"/>
      <x:c r="J157" s="99"/>
      <x:c r="K157" s="99"/>
      <x:c r="L157" s="99"/>
      <x:c r="M157" s="99"/>
      <x:c r="N157" s="99"/>
      <x:c r="O157" s="99"/>
      <x:c r="P157" s="99"/>
      <x:c r="Q157" s="99"/>
      <x:c r="R157" s="99"/>
      <x:c r="S157" s="99"/>
      <x:c r="T157" s="99"/>
      <x:c r="U157" s="99"/>
      <x:c r="V157" s="99"/>
      <x:c r="W157" s="99"/>
      <x:c r="X157" s="99"/>
      <x:c r="Y157" s="99"/>
      <x:c r="Z157" s="99"/>
    </x:row>
    <x:row r="158">
      <x:c r="A158" s="99"/>
      <x:c r="B158" s="99"/>
      <x:c r="C158" s="99"/>
      <x:c r="D158" s="99"/>
      <x:c r="E158" s="99"/>
      <x:c r="F158" s="99"/>
      <x:c r="G158" s="99"/>
      <x:c r="H158" s="99"/>
      <x:c r="I158" s="99"/>
      <x:c r="J158" s="99"/>
      <x:c r="K158" s="99"/>
      <x:c r="L158" s="99"/>
      <x:c r="M158" s="99"/>
      <x:c r="N158" s="99"/>
      <x:c r="O158" s="99"/>
      <x:c r="P158" s="99"/>
      <x:c r="Q158" s="99"/>
      <x:c r="R158" s="99"/>
      <x:c r="S158" s="99"/>
      <x:c r="T158" s="99"/>
      <x:c r="U158" s="99"/>
      <x:c r="V158" s="99"/>
      <x:c r="W158" s="99"/>
      <x:c r="X158" s="99"/>
      <x:c r="Y158" s="99"/>
      <x:c r="Z158" s="99"/>
    </x:row>
    <x:row r="159">
      <x:c r="A159" s="99"/>
      <x:c r="B159" s="99"/>
      <x:c r="C159" s="99"/>
      <x:c r="D159" s="99"/>
      <x:c r="E159" s="99"/>
      <x:c r="F159" s="99"/>
      <x:c r="G159" s="99"/>
      <x:c r="H159" s="99"/>
      <x:c r="I159" s="99"/>
      <x:c r="J159" s="99"/>
      <x:c r="K159" s="99"/>
      <x:c r="L159" s="99"/>
      <x:c r="M159" s="99"/>
      <x:c r="N159" s="99"/>
      <x:c r="O159" s="99"/>
      <x:c r="P159" s="99"/>
      <x:c r="Q159" s="99"/>
      <x:c r="R159" s="99"/>
      <x:c r="S159" s="99"/>
      <x:c r="T159" s="99"/>
      <x:c r="U159" s="99"/>
      <x:c r="V159" s="99"/>
      <x:c r="W159" s="99"/>
      <x:c r="X159" s="99"/>
      <x:c r="Y159" s="99"/>
      <x:c r="Z159" s="99"/>
    </x:row>
    <x:row r="160">
      <x:c r="A160" s="99"/>
      <x:c r="B160" s="99"/>
      <x:c r="C160" s="99"/>
      <x:c r="D160" s="99"/>
      <x:c r="E160" s="99"/>
      <x:c r="F160" s="99"/>
      <x:c r="G160" s="99"/>
      <x:c r="H160" s="99"/>
      <x:c r="I160" s="99"/>
      <x:c r="J160" s="99"/>
      <x:c r="K160" s="99"/>
      <x:c r="L160" s="99"/>
      <x:c r="M160" s="99"/>
      <x:c r="N160" s="99"/>
      <x:c r="O160" s="99"/>
      <x:c r="P160" s="99"/>
      <x:c r="Q160" s="99"/>
      <x:c r="R160" s="99"/>
      <x:c r="S160" s="99"/>
      <x:c r="T160" s="99"/>
      <x:c r="U160" s="99"/>
      <x:c r="V160" s="99"/>
      <x:c r="W160" s="99"/>
      <x:c r="X160" s="99"/>
      <x:c r="Y160" s="99"/>
      <x:c r="Z160" s="99"/>
    </x:row>
    <x:row r="161">
      <x:c r="A161" s="99"/>
      <x:c r="B161" s="99"/>
      <x:c r="C161" s="99"/>
      <x:c r="D161" s="99"/>
      <x:c r="E161" s="99"/>
      <x:c r="F161" s="99"/>
      <x:c r="G161" s="99"/>
      <x:c r="H161" s="99"/>
      <x:c r="I161" s="99"/>
      <x:c r="J161" s="99"/>
      <x:c r="K161" s="99"/>
      <x:c r="L161" s="99"/>
      <x:c r="M161" s="99"/>
      <x:c r="N161" s="99"/>
      <x:c r="O161" s="99"/>
      <x:c r="P161" s="99"/>
      <x:c r="Q161" s="99"/>
      <x:c r="R161" s="99"/>
      <x:c r="S161" s="99"/>
      <x:c r="T161" s="99"/>
      <x:c r="U161" s="99"/>
      <x:c r="V161" s="99"/>
      <x:c r="W161" s="99"/>
      <x:c r="X161" s="99"/>
      <x:c r="Y161" s="99"/>
      <x:c r="Z161" s="99"/>
    </x:row>
    <x:row r="162">
      <x:c r="A162" s="99"/>
      <x:c r="B162" s="99"/>
      <x:c r="C162" s="99"/>
      <x:c r="D162" s="99"/>
      <x:c r="E162" s="99"/>
      <x:c r="F162" s="99"/>
      <x:c r="G162" s="99"/>
      <x:c r="H162" s="99"/>
      <x:c r="I162" s="99"/>
      <x:c r="J162" s="99"/>
      <x:c r="K162" s="99"/>
      <x:c r="L162" s="99"/>
      <x:c r="M162" s="99"/>
      <x:c r="N162" s="99"/>
      <x:c r="O162" s="99"/>
      <x:c r="P162" s="99"/>
      <x:c r="Q162" s="99"/>
      <x:c r="R162" s="99"/>
      <x:c r="S162" s="99"/>
      <x:c r="T162" s="99"/>
      <x:c r="U162" s="99"/>
      <x:c r="V162" s="99"/>
      <x:c r="W162" s="99"/>
      <x:c r="X162" s="99"/>
      <x:c r="Y162" s="99"/>
      <x:c r="Z162" s="99"/>
    </x:row>
    <x:row r="163">
      <x:c r="A163" s="99"/>
      <x:c r="B163" s="99"/>
      <x:c r="C163" s="99"/>
      <x:c r="D163" s="99"/>
      <x:c r="E163" s="99"/>
      <x:c r="F163" s="99"/>
      <x:c r="G163" s="99"/>
      <x:c r="H163" s="99"/>
      <x:c r="I163" s="99"/>
      <x:c r="J163" s="99"/>
      <x:c r="K163" s="99"/>
      <x:c r="L163" s="99"/>
      <x:c r="M163" s="99"/>
      <x:c r="N163" s="99"/>
      <x:c r="O163" s="99"/>
      <x:c r="P163" s="99"/>
      <x:c r="Q163" s="99"/>
      <x:c r="R163" s="99"/>
      <x:c r="S163" s="99"/>
      <x:c r="T163" s="99"/>
      <x:c r="U163" s="99"/>
      <x:c r="V163" s="99"/>
      <x:c r="W163" s="99"/>
      <x:c r="X163" s="99"/>
      <x:c r="Y163" s="99"/>
      <x:c r="Z163" s="99"/>
    </x:row>
    <x:row r="164">
      <x:c r="A164" s="99"/>
      <x:c r="B164" s="99"/>
      <x:c r="C164" s="99"/>
      <x:c r="D164" s="99"/>
      <x:c r="E164" s="99"/>
      <x:c r="F164" s="99"/>
      <x:c r="G164" s="99"/>
      <x:c r="H164" s="99"/>
      <x:c r="I164" s="99"/>
      <x:c r="J164" s="99"/>
      <x:c r="K164" s="99"/>
      <x:c r="L164" s="99"/>
      <x:c r="M164" s="99"/>
      <x:c r="N164" s="99"/>
      <x:c r="O164" s="99"/>
      <x:c r="P164" s="99"/>
      <x:c r="Q164" s="99"/>
      <x:c r="R164" s="99"/>
      <x:c r="S164" s="99"/>
      <x:c r="T164" s="99"/>
      <x:c r="U164" s="99"/>
      <x:c r="V164" s="99"/>
      <x:c r="W164" s="99"/>
      <x:c r="X164" s="99"/>
      <x:c r="Y164" s="99"/>
      <x:c r="Z164" s="99"/>
    </x:row>
    <x:row r="165">
      <x:c r="A165" s="99"/>
      <x:c r="B165" s="99"/>
      <x:c r="C165" s="99"/>
      <x:c r="D165" s="99"/>
      <x:c r="E165" s="99"/>
      <x:c r="F165" s="99"/>
      <x:c r="G165" s="99"/>
      <x:c r="H165" s="99"/>
      <x:c r="I165" s="99"/>
      <x:c r="J165" s="99"/>
      <x:c r="K165" s="99"/>
      <x:c r="L165" s="99"/>
      <x:c r="M165" s="99"/>
      <x:c r="N165" s="99"/>
      <x:c r="O165" s="99"/>
      <x:c r="P165" s="99"/>
      <x:c r="Q165" s="99"/>
      <x:c r="R165" s="99"/>
      <x:c r="S165" s="99"/>
      <x:c r="T165" s="99"/>
      <x:c r="U165" s="99"/>
      <x:c r="V165" s="99"/>
      <x:c r="W165" s="99"/>
      <x:c r="X165" s="99"/>
      <x:c r="Y165" s="99"/>
      <x:c r="Z165" s="99"/>
    </x:row>
    <x:row r="166">
      <x:c r="A166" s="99"/>
      <x:c r="B166" s="99"/>
      <x:c r="C166" s="99"/>
      <x:c r="D166" s="99"/>
      <x:c r="E166" s="99"/>
      <x:c r="F166" s="99"/>
      <x:c r="G166" s="99"/>
      <x:c r="H166" s="99"/>
      <x:c r="I166" s="99"/>
      <x:c r="J166" s="99"/>
      <x:c r="K166" s="99"/>
      <x:c r="L166" s="99"/>
      <x:c r="M166" s="99"/>
      <x:c r="N166" s="99"/>
      <x:c r="O166" s="99"/>
      <x:c r="P166" s="99"/>
      <x:c r="Q166" s="99"/>
      <x:c r="R166" s="99"/>
      <x:c r="S166" s="99"/>
      <x:c r="T166" s="99"/>
      <x:c r="U166" s="99"/>
      <x:c r="V166" s="99"/>
      <x:c r="W166" s="99"/>
      <x:c r="X166" s="99"/>
      <x:c r="Y166" s="99"/>
      <x:c r="Z166" s="99"/>
    </x:row>
    <x:row r="167">
      <x:c r="A167" s="99"/>
      <x:c r="B167" s="99"/>
      <x:c r="C167" s="99"/>
      <x:c r="D167" s="99"/>
      <x:c r="E167" s="99"/>
      <x:c r="F167" s="99"/>
      <x:c r="G167" s="99"/>
      <x:c r="H167" s="99"/>
      <x:c r="I167" s="99"/>
      <x:c r="J167" s="99"/>
      <x:c r="K167" s="99"/>
      <x:c r="L167" s="99"/>
      <x:c r="M167" s="99"/>
      <x:c r="N167" s="99"/>
      <x:c r="O167" s="99"/>
      <x:c r="P167" s="99"/>
      <x:c r="Q167" s="99"/>
      <x:c r="R167" s="99"/>
      <x:c r="S167" s="99"/>
      <x:c r="T167" s="99"/>
      <x:c r="U167" s="99"/>
      <x:c r="V167" s="99"/>
      <x:c r="W167" s="99"/>
      <x:c r="X167" s="99"/>
      <x:c r="Y167" s="99"/>
      <x:c r="Z167" s="99"/>
    </x:row>
    <x:row r="168">
      <x:c r="A168" s="99"/>
      <x:c r="B168" s="99"/>
      <x:c r="C168" s="99"/>
      <x:c r="D168" s="99"/>
      <x:c r="E168" s="99"/>
      <x:c r="F168" s="99"/>
      <x:c r="G168" s="99"/>
      <x:c r="H168" s="99"/>
      <x:c r="I168" s="99"/>
      <x:c r="J168" s="99"/>
      <x:c r="K168" s="99"/>
      <x:c r="L168" s="99"/>
      <x:c r="M168" s="99"/>
      <x:c r="N168" s="99"/>
      <x:c r="O168" s="99"/>
      <x:c r="P168" s="99"/>
      <x:c r="Q168" s="99"/>
      <x:c r="R168" s="99"/>
      <x:c r="S168" s="99"/>
      <x:c r="T168" s="99"/>
      <x:c r="U168" s="99"/>
      <x:c r="V168" s="99"/>
      <x:c r="W168" s="99"/>
      <x:c r="X168" s="99"/>
      <x:c r="Y168" s="99"/>
      <x:c r="Z168" s="99"/>
    </x:row>
    <x:row r="169">
      <x:c r="A169" s="99"/>
      <x:c r="B169" s="99"/>
      <x:c r="C169" s="99"/>
      <x:c r="D169" s="99"/>
      <x:c r="E169" s="99"/>
      <x:c r="F169" s="99"/>
      <x:c r="G169" s="99"/>
      <x:c r="H169" s="99"/>
      <x:c r="I169" s="99"/>
      <x:c r="J169" s="99"/>
      <x:c r="K169" s="99"/>
      <x:c r="L169" s="99"/>
      <x:c r="M169" s="99"/>
      <x:c r="N169" s="99"/>
      <x:c r="O169" s="99"/>
      <x:c r="P169" s="99"/>
      <x:c r="Q169" s="99"/>
      <x:c r="R169" s="99"/>
      <x:c r="S169" s="99"/>
      <x:c r="T169" s="99"/>
      <x:c r="U169" s="99"/>
      <x:c r="V169" s="99"/>
      <x:c r="W169" s="99"/>
      <x:c r="X169" s="99"/>
      <x:c r="Y169" s="99"/>
      <x:c r="Z169" s="99"/>
    </x:row>
    <x:row r="170">
      <x:c r="A170" s="99"/>
      <x:c r="B170" s="99"/>
      <x:c r="C170" s="99"/>
      <x:c r="D170" s="99"/>
      <x:c r="E170" s="99"/>
      <x:c r="F170" s="99"/>
      <x:c r="G170" s="99"/>
      <x:c r="H170" s="99"/>
      <x:c r="I170" s="99"/>
      <x:c r="J170" s="99"/>
      <x:c r="K170" s="99"/>
      <x:c r="L170" s="99"/>
      <x:c r="M170" s="99"/>
      <x:c r="N170" s="99"/>
      <x:c r="O170" s="99"/>
      <x:c r="P170" s="99"/>
      <x:c r="Q170" s="99"/>
      <x:c r="R170" s="99"/>
      <x:c r="S170" s="99"/>
      <x:c r="T170" s="99"/>
      <x:c r="U170" s="99"/>
      <x:c r="V170" s="99"/>
      <x:c r="W170" s="99"/>
      <x:c r="X170" s="99"/>
      <x:c r="Y170" s="99"/>
      <x:c r="Z170" s="99"/>
    </x:row>
    <x:row r="171">
      <x:c r="A171" s="99"/>
      <x:c r="B171" s="99"/>
      <x:c r="C171" s="99"/>
      <x:c r="D171" s="99"/>
      <x:c r="E171" s="99"/>
      <x:c r="F171" s="99"/>
      <x:c r="G171" s="99"/>
      <x:c r="H171" s="99"/>
      <x:c r="I171" s="99"/>
      <x:c r="J171" s="99"/>
      <x:c r="K171" s="99"/>
      <x:c r="L171" s="99"/>
      <x:c r="M171" s="99"/>
      <x:c r="N171" s="99"/>
      <x:c r="O171" s="99"/>
      <x:c r="P171" s="99"/>
      <x:c r="Q171" s="99"/>
      <x:c r="R171" s="99"/>
      <x:c r="S171" s="99"/>
      <x:c r="T171" s="99"/>
      <x:c r="U171" s="99"/>
      <x:c r="V171" s="99"/>
      <x:c r="W171" s="99"/>
      <x:c r="X171" s="99"/>
      <x:c r="Y171" s="99"/>
      <x:c r="Z171" s="99"/>
    </x:row>
    <x:row r="172">
      <x:c r="A172" s="99"/>
      <x:c r="B172" s="99"/>
      <x:c r="C172" s="99"/>
      <x:c r="D172" s="99"/>
      <x:c r="E172" s="99"/>
      <x:c r="F172" s="99"/>
      <x:c r="G172" s="99"/>
      <x:c r="H172" s="99"/>
      <x:c r="I172" s="99"/>
      <x:c r="J172" s="99"/>
      <x:c r="K172" s="99"/>
      <x:c r="L172" s="99"/>
      <x:c r="M172" s="99"/>
      <x:c r="N172" s="99"/>
      <x:c r="O172" s="99"/>
      <x:c r="P172" s="99"/>
      <x:c r="Q172" s="99"/>
      <x:c r="R172" s="99"/>
      <x:c r="S172" s="99"/>
      <x:c r="T172" s="99"/>
      <x:c r="U172" s="99"/>
      <x:c r="V172" s="99"/>
      <x:c r="W172" s="99"/>
      <x:c r="X172" s="99"/>
      <x:c r="Y172" s="99"/>
      <x:c r="Z172" s="99"/>
    </x:row>
    <x:row r="173">
      <x:c r="A173" s="99"/>
      <x:c r="B173" s="99"/>
      <x:c r="C173" s="99"/>
      <x:c r="D173" s="99"/>
      <x:c r="E173" s="99"/>
      <x:c r="F173" s="99"/>
      <x:c r="G173" s="99"/>
      <x:c r="H173" s="99"/>
      <x:c r="I173" s="99"/>
      <x:c r="J173" s="99"/>
      <x:c r="K173" s="99"/>
      <x:c r="L173" s="99"/>
      <x:c r="M173" s="99"/>
      <x:c r="N173" s="99"/>
      <x:c r="O173" s="99"/>
      <x:c r="P173" s="99"/>
      <x:c r="Q173" s="99"/>
      <x:c r="R173" s="99"/>
      <x:c r="S173" s="99"/>
      <x:c r="T173" s="99"/>
      <x:c r="U173" s="99"/>
      <x:c r="V173" s="99"/>
      <x:c r="W173" s="99"/>
      <x:c r="X173" s="99"/>
      <x:c r="Y173" s="99"/>
      <x:c r="Z173" s="99"/>
    </x:row>
    <x:row r="174">
      <x:c r="A174" s="99"/>
      <x:c r="B174" s="99"/>
      <x:c r="C174" s="99"/>
      <x:c r="D174" s="99"/>
      <x:c r="E174" s="99"/>
      <x:c r="F174" s="99"/>
      <x:c r="G174" s="99"/>
      <x:c r="H174" s="99"/>
      <x:c r="I174" s="99"/>
      <x:c r="J174" s="99"/>
      <x:c r="K174" s="99"/>
      <x:c r="L174" s="99"/>
      <x:c r="M174" s="99"/>
      <x:c r="N174" s="99"/>
      <x:c r="O174" s="99"/>
      <x:c r="P174" s="99"/>
      <x:c r="Q174" s="99"/>
      <x:c r="R174" s="99"/>
      <x:c r="S174" s="99"/>
      <x:c r="T174" s="99"/>
      <x:c r="U174" s="99"/>
      <x:c r="V174" s="99"/>
      <x:c r="W174" s="99"/>
      <x:c r="X174" s="99"/>
      <x:c r="Y174" s="99"/>
      <x:c r="Z174" s="99"/>
    </x:row>
    <x:row r="175">
      <x:c r="A175" s="99"/>
      <x:c r="B175" s="99"/>
      <x:c r="C175" s="99"/>
      <x:c r="D175" s="99"/>
      <x:c r="E175" s="99"/>
      <x:c r="F175" s="99"/>
      <x:c r="G175" s="99"/>
      <x:c r="H175" s="99"/>
      <x:c r="I175" s="99"/>
      <x:c r="J175" s="99"/>
      <x:c r="K175" s="99"/>
      <x:c r="L175" s="99"/>
      <x:c r="M175" s="99"/>
      <x:c r="N175" s="99"/>
      <x:c r="O175" s="99"/>
      <x:c r="P175" s="99"/>
      <x:c r="Q175" s="99"/>
      <x:c r="R175" s="99"/>
      <x:c r="S175" s="99"/>
      <x:c r="T175" s="99"/>
      <x:c r="U175" s="99"/>
      <x:c r="V175" s="99"/>
      <x:c r="W175" s="99"/>
      <x:c r="X175" s="99"/>
      <x:c r="Y175" s="99"/>
      <x:c r="Z175" s="99"/>
    </x:row>
    <x:row r="176">
      <x:c r="A176" s="99"/>
      <x:c r="B176" s="99"/>
      <x:c r="C176" s="99"/>
      <x:c r="D176" s="99"/>
      <x:c r="E176" s="99"/>
      <x:c r="F176" s="99"/>
      <x:c r="G176" s="99"/>
      <x:c r="H176" s="99"/>
      <x:c r="I176" s="99"/>
      <x:c r="J176" s="99"/>
      <x:c r="K176" s="99"/>
      <x:c r="L176" s="99"/>
      <x:c r="M176" s="99"/>
      <x:c r="N176" s="99"/>
      <x:c r="O176" s="99"/>
      <x:c r="P176" s="99"/>
      <x:c r="Q176" s="99"/>
      <x:c r="R176" s="99"/>
      <x:c r="S176" s="99"/>
      <x:c r="T176" s="99"/>
      <x:c r="U176" s="99"/>
      <x:c r="V176" s="99"/>
      <x:c r="W176" s="99"/>
      <x:c r="X176" s="99"/>
      <x:c r="Y176" s="99"/>
      <x:c r="Z176" s="99"/>
    </x:row>
    <x:row r="177">
      <x:c r="A177" s="99"/>
      <x:c r="B177" s="99"/>
      <x:c r="C177" s="99"/>
      <x:c r="D177" s="99"/>
      <x:c r="E177" s="99"/>
      <x:c r="F177" s="99"/>
      <x:c r="G177" s="99"/>
      <x:c r="H177" s="99"/>
      <x:c r="I177" s="99"/>
      <x:c r="J177" s="99"/>
      <x:c r="K177" s="99"/>
      <x:c r="L177" s="99"/>
      <x:c r="M177" s="99"/>
      <x:c r="N177" s="99"/>
      <x:c r="O177" s="99"/>
      <x:c r="P177" s="99"/>
      <x:c r="Q177" s="99"/>
      <x:c r="R177" s="99"/>
      <x:c r="S177" s="99"/>
      <x:c r="T177" s="99"/>
      <x:c r="U177" s="99"/>
      <x:c r="V177" s="99"/>
      <x:c r="W177" s="99"/>
      <x:c r="X177" s="99"/>
      <x:c r="Y177" s="99"/>
      <x:c r="Z177" s="99"/>
    </x:row>
    <x:row r="178">
      <x:c r="A178" s="99"/>
      <x:c r="B178" s="99"/>
      <x:c r="C178" s="99"/>
      <x:c r="D178" s="99"/>
      <x:c r="E178" s="99"/>
      <x:c r="F178" s="99"/>
      <x:c r="G178" s="99"/>
      <x:c r="H178" s="99"/>
      <x:c r="I178" s="99"/>
      <x:c r="J178" s="99"/>
      <x:c r="K178" s="99"/>
      <x:c r="L178" s="99"/>
      <x:c r="M178" s="99"/>
      <x:c r="N178" s="99"/>
      <x:c r="O178" s="99"/>
      <x:c r="P178" s="99"/>
      <x:c r="Q178" s="99"/>
      <x:c r="R178" s="99"/>
      <x:c r="S178" s="99"/>
      <x:c r="T178" s="99"/>
      <x:c r="U178" s="99"/>
      <x:c r="V178" s="99"/>
      <x:c r="W178" s="99"/>
      <x:c r="X178" s="99"/>
      <x:c r="Y178" s="99"/>
      <x:c r="Z178" s="99"/>
    </x:row>
    <x:row r="179">
      <x:c r="A179" s="99"/>
      <x:c r="B179" s="99"/>
      <x:c r="C179" s="99"/>
      <x:c r="D179" s="99"/>
      <x:c r="E179" s="99"/>
      <x:c r="F179" s="99"/>
      <x:c r="G179" s="99"/>
      <x:c r="H179" s="99"/>
      <x:c r="I179" s="99"/>
      <x:c r="J179" s="99"/>
      <x:c r="K179" s="99"/>
      <x:c r="L179" s="99"/>
      <x:c r="M179" s="99"/>
      <x:c r="N179" s="99"/>
      <x:c r="O179" s="99"/>
      <x:c r="P179" s="99"/>
      <x:c r="Q179" s="99"/>
      <x:c r="R179" s="99"/>
      <x:c r="S179" s="99"/>
      <x:c r="T179" s="99"/>
      <x:c r="U179" s="99"/>
      <x:c r="V179" s="99"/>
      <x:c r="W179" s="99"/>
      <x:c r="X179" s="99"/>
      <x:c r="Y179" s="99"/>
      <x:c r="Z179" s="99"/>
    </x:row>
    <x:row r="180">
      <x:c r="A180" s="99"/>
      <x:c r="B180" s="99"/>
      <x:c r="C180" s="99"/>
      <x:c r="D180" s="99"/>
      <x:c r="E180" s="99"/>
      <x:c r="F180" s="99"/>
      <x:c r="G180" s="99"/>
      <x:c r="H180" s="99"/>
      <x:c r="I180" s="99"/>
      <x:c r="J180" s="99"/>
      <x:c r="K180" s="99"/>
      <x:c r="L180" s="99"/>
      <x:c r="M180" s="99"/>
      <x:c r="N180" s="99"/>
      <x:c r="O180" s="99"/>
      <x:c r="P180" s="99"/>
      <x:c r="Q180" s="99"/>
      <x:c r="R180" s="99"/>
      <x:c r="S180" s="99"/>
      <x:c r="T180" s="99"/>
      <x:c r="U180" s="99"/>
      <x:c r="V180" s="99"/>
      <x:c r="W180" s="99"/>
      <x:c r="X180" s="99"/>
      <x:c r="Y180" s="99"/>
      <x:c r="Z180" s="99"/>
    </x:row>
    <x:row r="181">
      <x:c r="A181" s="99"/>
      <x:c r="B181" s="99"/>
      <x:c r="C181" s="99"/>
      <x:c r="D181" s="99"/>
      <x:c r="E181" s="99"/>
      <x:c r="F181" s="99"/>
      <x:c r="G181" s="99"/>
      <x:c r="H181" s="99"/>
      <x:c r="I181" s="99"/>
      <x:c r="J181" s="99"/>
      <x:c r="K181" s="99"/>
      <x:c r="L181" s="99"/>
      <x:c r="M181" s="99"/>
      <x:c r="N181" s="99"/>
      <x:c r="O181" s="99"/>
      <x:c r="P181" s="99"/>
      <x:c r="Q181" s="99"/>
      <x:c r="R181" s="99"/>
      <x:c r="S181" s="99"/>
      <x:c r="T181" s="99"/>
      <x:c r="U181" s="99"/>
      <x:c r="V181" s="99"/>
      <x:c r="W181" s="99"/>
      <x:c r="X181" s="99"/>
      <x:c r="Y181" s="99"/>
      <x:c r="Z181" s="99"/>
    </x:row>
    <x:row r="182">
      <x:c r="A182" s="99"/>
      <x:c r="B182" s="99"/>
      <x:c r="C182" s="99"/>
      <x:c r="D182" s="99"/>
      <x:c r="E182" s="99"/>
      <x:c r="F182" s="99"/>
      <x:c r="G182" s="99"/>
      <x:c r="H182" s="99"/>
      <x:c r="I182" s="99"/>
      <x:c r="J182" s="99"/>
      <x:c r="K182" s="99"/>
      <x:c r="L182" s="99"/>
      <x:c r="M182" s="99"/>
      <x:c r="N182" s="99"/>
      <x:c r="O182" s="99"/>
      <x:c r="P182" s="99"/>
      <x:c r="Q182" s="99"/>
      <x:c r="R182" s="99"/>
      <x:c r="S182" s="99"/>
      <x:c r="T182" s="99"/>
      <x:c r="U182" s="99"/>
      <x:c r="V182" s="99"/>
      <x:c r="W182" s="99"/>
      <x:c r="X182" s="99"/>
      <x:c r="Y182" s="99"/>
      <x:c r="Z182" s="99"/>
    </x:row>
    <x:row r="183">
      <x:c r="A183" s="99"/>
      <x:c r="B183" s="99"/>
      <x:c r="C183" s="99"/>
      <x:c r="D183" s="99"/>
      <x:c r="E183" s="99"/>
      <x:c r="F183" s="99"/>
      <x:c r="G183" s="99"/>
      <x:c r="H183" s="99"/>
      <x:c r="I183" s="99"/>
      <x:c r="J183" s="99"/>
      <x:c r="K183" s="99"/>
      <x:c r="L183" s="99"/>
      <x:c r="M183" s="99"/>
      <x:c r="N183" s="99"/>
      <x:c r="O183" s="99"/>
      <x:c r="P183" s="99"/>
      <x:c r="Q183" s="99"/>
      <x:c r="R183" s="99"/>
      <x:c r="S183" s="99"/>
      <x:c r="T183" s="99"/>
      <x:c r="U183" s="99"/>
      <x:c r="V183" s="99"/>
      <x:c r="W183" s="99"/>
      <x:c r="X183" s="99"/>
      <x:c r="Y183" s="99"/>
      <x:c r="Z183" s="99"/>
    </x:row>
    <x:row r="184">
      <x:c r="A184" s="99"/>
      <x:c r="B184" s="99"/>
      <x:c r="C184" s="99"/>
      <x:c r="D184" s="99"/>
      <x:c r="E184" s="99"/>
      <x:c r="F184" s="99"/>
      <x:c r="G184" s="99"/>
      <x:c r="H184" s="99"/>
      <x:c r="I184" s="99"/>
      <x:c r="J184" s="99"/>
      <x:c r="K184" s="99"/>
      <x:c r="L184" s="99"/>
      <x:c r="M184" s="99"/>
      <x:c r="N184" s="99"/>
      <x:c r="O184" s="99"/>
      <x:c r="P184" s="99"/>
      <x:c r="Q184" s="99"/>
      <x:c r="R184" s="99"/>
      <x:c r="S184" s="99"/>
      <x:c r="T184" s="99"/>
      <x:c r="U184" s="99"/>
      <x:c r="V184" s="99"/>
      <x:c r="W184" s="99"/>
      <x:c r="X184" s="99"/>
      <x:c r="Y184" s="99"/>
      <x:c r="Z184" s="99"/>
    </x:row>
    <x:row r="185">
      <x:c r="A185" s="99"/>
      <x:c r="B185" s="99"/>
      <x:c r="C185" s="99"/>
      <x:c r="D185" s="99"/>
      <x:c r="E185" s="99"/>
      <x:c r="F185" s="99"/>
      <x:c r="G185" s="99"/>
      <x:c r="H185" s="99"/>
      <x:c r="I185" s="99"/>
      <x:c r="J185" s="99"/>
      <x:c r="K185" s="99"/>
      <x:c r="L185" s="99"/>
      <x:c r="M185" s="99"/>
      <x:c r="N185" s="99"/>
      <x:c r="O185" s="99"/>
      <x:c r="P185" s="99"/>
      <x:c r="Q185" s="99"/>
      <x:c r="R185" s="99"/>
      <x:c r="S185" s="99"/>
      <x:c r="T185" s="99"/>
      <x:c r="U185" s="99"/>
      <x:c r="V185" s="99"/>
      <x:c r="W185" s="99"/>
      <x:c r="X185" s="99"/>
      <x:c r="Y185" s="99"/>
      <x:c r="Z185" s="99"/>
    </x:row>
    <x:row r="186">
      <x:c r="A186" s="99"/>
      <x:c r="B186" s="99"/>
      <x:c r="C186" s="99"/>
      <x:c r="D186" s="99"/>
      <x:c r="E186" s="99"/>
      <x:c r="F186" s="99"/>
      <x:c r="G186" s="99"/>
      <x:c r="H186" s="99"/>
      <x:c r="I186" s="99"/>
      <x:c r="J186" s="99"/>
      <x:c r="K186" s="99"/>
      <x:c r="L186" s="99"/>
      <x:c r="M186" s="99"/>
      <x:c r="N186" s="99"/>
      <x:c r="O186" s="99"/>
      <x:c r="P186" s="99"/>
      <x:c r="Q186" s="99"/>
      <x:c r="R186" s="99"/>
      <x:c r="S186" s="99"/>
      <x:c r="T186" s="99"/>
      <x:c r="U186" s="99"/>
      <x:c r="V186" s="99"/>
      <x:c r="W186" s="99"/>
      <x:c r="X186" s="99"/>
      <x:c r="Y186" s="99"/>
      <x:c r="Z186" s="99"/>
    </x:row>
    <x:row r="187">
      <x:c r="A187" s="99"/>
      <x:c r="B187" s="99"/>
      <x:c r="C187" s="99"/>
      <x:c r="D187" s="99"/>
      <x:c r="E187" s="99"/>
      <x:c r="F187" s="99"/>
      <x:c r="G187" s="99"/>
      <x:c r="H187" s="99"/>
      <x:c r="I187" s="99"/>
      <x:c r="J187" s="99"/>
      <x:c r="K187" s="99"/>
      <x:c r="L187" s="99"/>
      <x:c r="M187" s="99"/>
      <x:c r="N187" s="99"/>
      <x:c r="O187" s="99"/>
      <x:c r="P187" s="99"/>
      <x:c r="Q187" s="99"/>
      <x:c r="R187" s="99"/>
      <x:c r="S187" s="99"/>
      <x:c r="T187" s="99"/>
      <x:c r="U187" s="99"/>
      <x:c r="V187" s="99"/>
      <x:c r="W187" s="99"/>
      <x:c r="X187" s="99"/>
      <x:c r="Y187" s="99"/>
      <x:c r="Z187" s="99"/>
    </x:row>
    <x:row r="188">
      <x:c r="A188" s="99"/>
      <x:c r="B188" s="99"/>
      <x:c r="C188" s="99"/>
      <x:c r="D188" s="99"/>
      <x:c r="E188" s="99"/>
      <x:c r="F188" s="99"/>
      <x:c r="G188" s="99"/>
      <x:c r="H188" s="99"/>
      <x:c r="I188" s="99"/>
      <x:c r="J188" s="99"/>
      <x:c r="K188" s="99"/>
      <x:c r="L188" s="99"/>
      <x:c r="M188" s="99"/>
      <x:c r="N188" s="99"/>
      <x:c r="O188" s="99"/>
      <x:c r="P188" s="99"/>
      <x:c r="Q188" s="99"/>
      <x:c r="R188" s="99"/>
      <x:c r="S188" s="99"/>
      <x:c r="T188" s="99"/>
      <x:c r="U188" s="99"/>
      <x:c r="V188" s="99"/>
      <x:c r="W188" s="99"/>
      <x:c r="X188" s="99"/>
      <x:c r="Y188" s="99"/>
      <x:c r="Z188" s="99"/>
    </x:row>
    <x:row r="189">
      <x:c r="A189" s="99"/>
      <x:c r="B189" s="99"/>
      <x:c r="C189" s="99"/>
      <x:c r="D189" s="99"/>
      <x:c r="E189" s="99"/>
      <x:c r="F189" s="99"/>
      <x:c r="G189" s="99"/>
      <x:c r="H189" s="99"/>
      <x:c r="I189" s="99"/>
      <x:c r="J189" s="99"/>
      <x:c r="K189" s="99"/>
      <x:c r="L189" s="99"/>
      <x:c r="M189" s="99"/>
      <x:c r="N189" s="99"/>
      <x:c r="O189" s="99"/>
      <x:c r="P189" s="99"/>
      <x:c r="Q189" s="99"/>
      <x:c r="R189" s="99"/>
      <x:c r="S189" s="99"/>
      <x:c r="T189" s="99"/>
      <x:c r="U189" s="99"/>
      <x:c r="V189" s="99"/>
      <x:c r="W189" s="99"/>
      <x:c r="X189" s="99"/>
      <x:c r="Y189" s="99"/>
      <x:c r="Z189" s="99"/>
    </x:row>
    <x:row r="190">
      <x:c r="A190" s="99"/>
      <x:c r="B190" s="99"/>
      <x:c r="C190" s="99"/>
      <x:c r="D190" s="99"/>
      <x:c r="E190" s="99"/>
      <x:c r="F190" s="99"/>
      <x:c r="G190" s="99"/>
      <x:c r="H190" s="99"/>
      <x:c r="I190" s="99"/>
      <x:c r="J190" s="99"/>
      <x:c r="K190" s="99"/>
      <x:c r="L190" s="99"/>
      <x:c r="M190" s="99"/>
      <x:c r="N190" s="99"/>
      <x:c r="O190" s="99"/>
      <x:c r="P190" s="99"/>
      <x:c r="Q190" s="99"/>
      <x:c r="R190" s="99"/>
      <x:c r="S190" s="99"/>
      <x:c r="T190" s="99"/>
      <x:c r="U190" s="99"/>
      <x:c r="V190" s="99"/>
      <x:c r="W190" s="99"/>
      <x:c r="X190" s="99"/>
      <x:c r="Y190" s="99"/>
      <x:c r="Z190" s="99"/>
    </x:row>
    <x:row r="191">
      <x:c r="A191" s="99"/>
      <x:c r="B191" s="99"/>
      <x:c r="C191" s="99"/>
      <x:c r="D191" s="99"/>
      <x:c r="E191" s="99"/>
      <x:c r="F191" s="99"/>
      <x:c r="G191" s="99"/>
      <x:c r="H191" s="99"/>
      <x:c r="I191" s="99"/>
      <x:c r="J191" s="99"/>
      <x:c r="K191" s="99"/>
      <x:c r="L191" s="99"/>
      <x:c r="M191" s="99"/>
      <x:c r="N191" s="99"/>
      <x:c r="O191" s="99"/>
      <x:c r="P191" s="99"/>
      <x:c r="Q191" s="99"/>
      <x:c r="R191" s="99"/>
      <x:c r="S191" s="99"/>
      <x:c r="T191" s="99"/>
      <x:c r="U191" s="99"/>
      <x:c r="V191" s="99"/>
      <x:c r="W191" s="99"/>
      <x:c r="X191" s="99"/>
      <x:c r="Y191" s="99"/>
      <x:c r="Z191" s="99"/>
    </x:row>
    <x:row r="192">
      <x:c r="A192" s="99"/>
      <x:c r="B192" s="99"/>
      <x:c r="C192" s="99"/>
      <x:c r="D192" s="99"/>
      <x:c r="E192" s="99"/>
      <x:c r="F192" s="99"/>
      <x:c r="G192" s="99"/>
      <x:c r="H192" s="99"/>
      <x:c r="I192" s="99"/>
      <x:c r="J192" s="99"/>
      <x:c r="K192" s="99"/>
      <x:c r="L192" s="99"/>
      <x:c r="M192" s="99"/>
      <x:c r="N192" s="99"/>
      <x:c r="O192" s="99"/>
      <x:c r="P192" s="99"/>
      <x:c r="Q192" s="99"/>
      <x:c r="R192" s="99"/>
      <x:c r="S192" s="99"/>
      <x:c r="T192" s="99"/>
      <x:c r="U192" s="99"/>
      <x:c r="V192" s="99"/>
      <x:c r="W192" s="99"/>
      <x:c r="X192" s="99"/>
      <x:c r="Y192" s="99"/>
      <x:c r="Z192" s="99"/>
    </x:row>
    <x:row r="193">
      <x:c r="A193" s="99"/>
      <x:c r="B193" s="99"/>
      <x:c r="C193" s="99"/>
      <x:c r="D193" s="99"/>
      <x:c r="E193" s="99"/>
      <x:c r="F193" s="99"/>
      <x:c r="G193" s="99"/>
      <x:c r="H193" s="99"/>
      <x:c r="I193" s="99"/>
      <x:c r="J193" s="99"/>
      <x:c r="K193" s="99"/>
      <x:c r="L193" s="99"/>
      <x:c r="M193" s="99"/>
      <x:c r="N193" s="99"/>
      <x:c r="O193" s="99"/>
      <x:c r="P193" s="99"/>
      <x:c r="Q193" s="99"/>
      <x:c r="R193" s="99"/>
      <x:c r="S193" s="99"/>
      <x:c r="T193" s="99"/>
      <x:c r="U193" s="99"/>
      <x:c r="V193" s="99"/>
      <x:c r="W193" s="99"/>
      <x:c r="X193" s="99"/>
      <x:c r="Y193" s="99"/>
      <x:c r="Z193" s="99"/>
    </x:row>
    <x:row r="194">
      <x:c r="A194" s="99"/>
      <x:c r="B194" s="99"/>
      <x:c r="C194" s="99"/>
      <x:c r="D194" s="99"/>
      <x:c r="E194" s="99"/>
      <x:c r="F194" s="99"/>
      <x:c r="G194" s="99"/>
      <x:c r="H194" s="99"/>
      <x:c r="I194" s="99"/>
      <x:c r="J194" s="99"/>
      <x:c r="K194" s="99"/>
      <x:c r="L194" s="99"/>
      <x:c r="M194" s="99"/>
      <x:c r="N194" s="99"/>
      <x:c r="O194" s="99"/>
      <x:c r="P194" s="99"/>
      <x:c r="Q194" s="99"/>
      <x:c r="R194" s="99"/>
      <x:c r="S194" s="99"/>
      <x:c r="T194" s="99"/>
      <x:c r="U194" s="99"/>
      <x:c r="V194" s="99"/>
      <x:c r="W194" s="99"/>
      <x:c r="X194" s="99"/>
      <x:c r="Y194" s="99"/>
      <x:c r="Z194" s="99"/>
    </x:row>
    <x:row r="195">
      <x:c r="A195" s="99"/>
      <x:c r="B195" s="99"/>
      <x:c r="C195" s="99"/>
      <x:c r="D195" s="99"/>
      <x:c r="E195" s="99"/>
      <x:c r="F195" s="99"/>
      <x:c r="G195" s="99"/>
      <x:c r="H195" s="99"/>
      <x:c r="I195" s="99"/>
      <x:c r="J195" s="99"/>
      <x:c r="K195" s="99"/>
      <x:c r="L195" s="99"/>
      <x:c r="M195" s="99"/>
      <x:c r="N195" s="99"/>
      <x:c r="O195" s="99"/>
      <x:c r="P195" s="99"/>
      <x:c r="Q195" s="99"/>
      <x:c r="R195" s="99"/>
      <x:c r="S195" s="99"/>
      <x:c r="T195" s="99"/>
      <x:c r="U195" s="99"/>
      <x:c r="V195" s="99"/>
      <x:c r="W195" s="99"/>
      <x:c r="X195" s="99"/>
      <x:c r="Y195" s="99"/>
      <x:c r="Z195" s="99"/>
    </x:row>
    <x:row r="196">
      <x:c r="A196" s="99"/>
      <x:c r="B196" s="99"/>
      <x:c r="C196" s="99"/>
      <x:c r="D196" s="99"/>
      <x:c r="E196" s="99"/>
      <x:c r="F196" s="99"/>
      <x:c r="G196" s="99"/>
      <x:c r="H196" s="99"/>
      <x:c r="I196" s="99"/>
      <x:c r="J196" s="99"/>
      <x:c r="K196" s="99"/>
      <x:c r="L196" s="99"/>
      <x:c r="M196" s="99"/>
      <x:c r="N196" s="99"/>
      <x:c r="O196" s="99"/>
      <x:c r="P196" s="99"/>
      <x:c r="Q196" s="99"/>
      <x:c r="R196" s="99"/>
      <x:c r="S196" s="99"/>
      <x:c r="T196" s="99"/>
      <x:c r="U196" s="99"/>
      <x:c r="V196" s="99"/>
      <x:c r="W196" s="99"/>
      <x:c r="X196" s="99"/>
      <x:c r="Y196" s="99"/>
      <x:c r="Z196" s="99"/>
    </x:row>
    <x:row r="197">
      <x:c r="A197" s="99"/>
      <x:c r="B197" s="99"/>
      <x:c r="C197" s="99"/>
      <x:c r="D197" s="99"/>
      <x:c r="E197" s="99"/>
      <x:c r="F197" s="99"/>
      <x:c r="G197" s="99"/>
      <x:c r="H197" s="99"/>
      <x:c r="I197" s="99"/>
      <x:c r="J197" s="99"/>
      <x:c r="K197" s="99"/>
      <x:c r="L197" s="99"/>
      <x:c r="M197" s="99"/>
      <x:c r="N197" s="99"/>
      <x:c r="O197" s="99"/>
      <x:c r="P197" s="99"/>
      <x:c r="Q197" s="99"/>
      <x:c r="R197" s="99"/>
      <x:c r="S197" s="99"/>
      <x:c r="T197" s="99"/>
      <x:c r="U197" s="99"/>
      <x:c r="V197" s="99"/>
      <x:c r="W197" s="99"/>
      <x:c r="X197" s="99"/>
      <x:c r="Y197" s="99"/>
      <x:c r="Z197" s="99"/>
    </x:row>
    <x:row r="198">
      <x:c r="A198" s="99"/>
      <x:c r="B198" s="99"/>
      <x:c r="C198" s="99"/>
      <x:c r="D198" s="99"/>
      <x:c r="E198" s="99"/>
      <x:c r="F198" s="99"/>
      <x:c r="G198" s="99"/>
      <x:c r="H198" s="99"/>
      <x:c r="I198" s="99"/>
      <x:c r="J198" s="99"/>
      <x:c r="K198" s="99"/>
      <x:c r="L198" s="99"/>
      <x:c r="M198" s="99"/>
      <x:c r="N198" s="99"/>
      <x:c r="O198" s="99"/>
      <x:c r="P198" s="99"/>
      <x:c r="Q198" s="99"/>
      <x:c r="R198" s="99"/>
      <x:c r="S198" s="99"/>
      <x:c r="T198" s="99"/>
      <x:c r="U198" s="99"/>
      <x:c r="V198" s="99"/>
      <x:c r="W198" s="99"/>
      <x:c r="X198" s="99"/>
      <x:c r="Y198" s="99"/>
      <x:c r="Z198" s="99"/>
    </x:row>
    <x:row r="199">
      <x:c r="A199" s="99"/>
      <x:c r="B199" s="99"/>
      <x:c r="C199" s="99"/>
      <x:c r="D199" s="99"/>
      <x:c r="E199" s="99"/>
      <x:c r="F199" s="99"/>
      <x:c r="G199" s="99"/>
      <x:c r="H199" s="99"/>
      <x:c r="I199" s="99"/>
      <x:c r="J199" s="99"/>
      <x:c r="K199" s="99"/>
      <x:c r="L199" s="99"/>
      <x:c r="M199" s="99"/>
      <x:c r="N199" s="99"/>
      <x:c r="O199" s="99"/>
      <x:c r="P199" s="99"/>
      <x:c r="Q199" s="99"/>
      <x:c r="R199" s="99"/>
      <x:c r="S199" s="99"/>
      <x:c r="T199" s="99"/>
      <x:c r="U199" s="99"/>
      <x:c r="V199" s="99"/>
      <x:c r="W199" s="99"/>
      <x:c r="X199" s="99"/>
      <x:c r="Y199" s="99"/>
      <x:c r="Z199" s="99"/>
    </x:row>
    <x:row r="200">
      <x:c r="A200" s="99"/>
      <x:c r="B200" s="99"/>
      <x:c r="C200" s="99"/>
      <x:c r="D200" s="99"/>
      <x:c r="E200" s="99"/>
      <x:c r="F200" s="99"/>
      <x:c r="G200" s="99"/>
      <x:c r="H200" s="99"/>
      <x:c r="I200" s="99"/>
      <x:c r="J200" s="99"/>
      <x:c r="K200" s="99"/>
      <x:c r="L200" s="99"/>
      <x:c r="M200" s="99"/>
      <x:c r="N200" s="99"/>
      <x:c r="O200" s="99"/>
      <x:c r="P200" s="99"/>
      <x:c r="Q200" s="99"/>
      <x:c r="R200" s="99"/>
      <x:c r="S200" s="99"/>
      <x:c r="T200" s="99"/>
      <x:c r="U200" s="99"/>
      <x:c r="V200" s="99"/>
      <x:c r="W200" s="99"/>
      <x:c r="X200" s="99"/>
      <x:c r="Y200" s="99"/>
      <x:c r="Z200" s="99"/>
    </x:row>
    <x:row r="201">
      <x:c r="A201" s="99"/>
      <x:c r="B201" s="99"/>
      <x:c r="C201" s="99"/>
      <x:c r="D201" s="99"/>
      <x:c r="E201" s="99"/>
      <x:c r="F201" s="99"/>
      <x:c r="G201" s="99"/>
      <x:c r="H201" s="99"/>
      <x:c r="I201" s="99"/>
      <x:c r="J201" s="99"/>
      <x:c r="K201" s="99"/>
      <x:c r="L201" s="99"/>
      <x:c r="M201" s="99"/>
      <x:c r="N201" s="99"/>
      <x:c r="O201" s="99"/>
      <x:c r="P201" s="99"/>
      <x:c r="Q201" s="99"/>
      <x:c r="R201" s="99"/>
      <x:c r="S201" s="99"/>
      <x:c r="T201" s="99"/>
      <x:c r="U201" s="99"/>
      <x:c r="V201" s="99"/>
      <x:c r="W201" s="99"/>
      <x:c r="X201" s="99"/>
      <x:c r="Y201" s="99"/>
      <x:c r="Z201" s="99"/>
    </x:row>
    <x:row r="202">
      <x:c r="A202" s="99"/>
      <x:c r="B202" s="99"/>
      <x:c r="C202" s="99"/>
      <x:c r="D202" s="99"/>
      <x:c r="E202" s="99"/>
      <x:c r="F202" s="99"/>
      <x:c r="G202" s="99"/>
      <x:c r="H202" s="99"/>
      <x:c r="I202" s="99"/>
      <x:c r="J202" s="99"/>
      <x:c r="K202" s="99"/>
      <x:c r="L202" s="99"/>
      <x:c r="M202" s="99"/>
      <x:c r="N202" s="99"/>
      <x:c r="O202" s="99"/>
      <x:c r="P202" s="99"/>
      <x:c r="Q202" s="99"/>
      <x:c r="R202" s="99"/>
      <x:c r="S202" s="99"/>
      <x:c r="T202" s="99"/>
      <x:c r="U202" s="99"/>
      <x:c r="V202" s="99"/>
      <x:c r="W202" s="99"/>
      <x:c r="X202" s="99"/>
      <x:c r="Y202" s="99"/>
      <x:c r="Z202" s="99"/>
    </x:row>
    <x:row r="203">
      <x:c r="A203" s="99"/>
      <x:c r="B203" s="99"/>
      <x:c r="C203" s="99"/>
      <x:c r="D203" s="99"/>
      <x:c r="E203" s="99"/>
      <x:c r="F203" s="99"/>
      <x:c r="G203" s="99"/>
      <x:c r="H203" s="99"/>
      <x:c r="I203" s="99"/>
      <x:c r="J203" s="99"/>
      <x:c r="K203" s="99"/>
      <x:c r="L203" s="99"/>
      <x:c r="M203" s="99"/>
      <x:c r="N203" s="99"/>
      <x:c r="O203" s="99"/>
      <x:c r="P203" s="99"/>
      <x:c r="Q203" s="99"/>
      <x:c r="R203" s="99"/>
      <x:c r="S203" s="99"/>
      <x:c r="T203" s="99"/>
      <x:c r="U203" s="99"/>
      <x:c r="V203" s="99"/>
      <x:c r="W203" s="99"/>
      <x:c r="X203" s="99"/>
      <x:c r="Y203" s="99"/>
      <x:c r="Z203" s="99"/>
    </x:row>
    <x:row r="204">
      <x:c r="A204" s="99"/>
      <x:c r="B204" s="99"/>
      <x:c r="C204" s="99"/>
      <x:c r="D204" s="99"/>
      <x:c r="E204" s="99"/>
      <x:c r="F204" s="99"/>
      <x:c r="G204" s="99"/>
      <x:c r="H204" s="99"/>
      <x:c r="I204" s="99"/>
      <x:c r="J204" s="99"/>
      <x:c r="K204" s="99"/>
      <x:c r="L204" s="99"/>
      <x:c r="M204" s="99"/>
      <x:c r="N204" s="99"/>
      <x:c r="O204" s="99"/>
      <x:c r="P204" s="99"/>
      <x:c r="Q204" s="99"/>
      <x:c r="R204" s="99"/>
      <x:c r="S204" s="99"/>
      <x:c r="T204" s="99"/>
      <x:c r="U204" s="99"/>
      <x:c r="V204" s="99"/>
      <x:c r="W204" s="99"/>
      <x:c r="X204" s="99"/>
      <x:c r="Y204" s="99"/>
      <x:c r="Z204" s="99"/>
    </x:row>
    <x:row r="205">
      <x:c r="A205" s="99"/>
      <x:c r="B205" s="99"/>
      <x:c r="C205" s="99"/>
      <x:c r="D205" s="99"/>
      <x:c r="E205" s="99"/>
      <x:c r="F205" s="99"/>
      <x:c r="G205" s="99"/>
      <x:c r="H205" s="99"/>
      <x:c r="I205" s="99"/>
      <x:c r="J205" s="99"/>
      <x:c r="K205" s="99"/>
      <x:c r="L205" s="99"/>
      <x:c r="M205" s="99"/>
      <x:c r="N205" s="99"/>
      <x:c r="O205" s="99"/>
      <x:c r="P205" s="99"/>
      <x:c r="Q205" s="99"/>
      <x:c r="R205" s="99"/>
      <x:c r="S205" s="99"/>
      <x:c r="T205" s="99"/>
      <x:c r="U205" s="99"/>
      <x:c r="V205" s="99"/>
      <x:c r="W205" s="99"/>
      <x:c r="X205" s="99"/>
      <x:c r="Y205" s="99"/>
      <x:c r="Z205" s="99"/>
    </x:row>
    <x:row r="206">
      <x:c r="A206" s="99"/>
      <x:c r="B206" s="99"/>
      <x:c r="C206" s="99"/>
      <x:c r="D206" s="99"/>
      <x:c r="E206" s="99"/>
      <x:c r="F206" s="99"/>
      <x:c r="G206" s="99"/>
      <x:c r="H206" s="99"/>
      <x:c r="I206" s="99"/>
      <x:c r="J206" s="99"/>
      <x:c r="K206" s="99"/>
      <x:c r="L206" s="99"/>
      <x:c r="M206" s="99"/>
      <x:c r="N206" s="99"/>
      <x:c r="O206" s="99"/>
      <x:c r="P206" s="99"/>
      <x:c r="Q206" s="99"/>
      <x:c r="R206" s="99"/>
      <x:c r="S206" s="99"/>
      <x:c r="T206" s="99"/>
      <x:c r="U206" s="99"/>
      <x:c r="V206" s="99"/>
      <x:c r="W206" s="99"/>
      <x:c r="X206" s="99"/>
      <x:c r="Y206" s="99"/>
      <x:c r="Z206" s="99"/>
    </x:row>
    <x:row r="207">
      <x:c r="A207" s="99"/>
      <x:c r="B207" s="99"/>
      <x:c r="C207" s="99"/>
      <x:c r="D207" s="99"/>
      <x:c r="E207" s="99"/>
      <x:c r="F207" s="99"/>
      <x:c r="G207" s="99"/>
      <x:c r="H207" s="99"/>
      <x:c r="I207" s="99"/>
      <x:c r="J207" s="99"/>
      <x:c r="K207" s="99"/>
      <x:c r="L207" s="99"/>
      <x:c r="M207" s="99"/>
      <x:c r="N207" s="99"/>
      <x:c r="O207" s="99"/>
      <x:c r="P207" s="99"/>
      <x:c r="Q207" s="99"/>
      <x:c r="R207" s="99"/>
      <x:c r="S207" s="99"/>
      <x:c r="T207" s="99"/>
      <x:c r="U207" s="99"/>
      <x:c r="V207" s="99"/>
      <x:c r="W207" s="99"/>
      <x:c r="X207" s="99"/>
      <x:c r="Y207" s="99"/>
      <x:c r="Z207" s="99"/>
    </x:row>
    <x:row r="208">
      <x:c r="A208" s="99"/>
      <x:c r="B208" s="99"/>
      <x:c r="C208" s="99"/>
      <x:c r="D208" s="99"/>
      <x:c r="E208" s="99"/>
      <x:c r="F208" s="99"/>
      <x:c r="G208" s="99"/>
      <x:c r="H208" s="99"/>
      <x:c r="I208" s="99"/>
      <x:c r="J208" s="99"/>
      <x:c r="K208" s="99"/>
      <x:c r="L208" s="99"/>
      <x:c r="M208" s="99"/>
      <x:c r="N208" s="99"/>
      <x:c r="O208" s="99"/>
      <x:c r="P208" s="99"/>
      <x:c r="Q208" s="99"/>
      <x:c r="R208" s="99"/>
      <x:c r="S208" s="99"/>
      <x:c r="T208" s="99"/>
      <x:c r="U208" s="99"/>
      <x:c r="V208" s="99"/>
      <x:c r="W208" s="99"/>
      <x:c r="X208" s="99"/>
      <x:c r="Y208" s="99"/>
      <x:c r="Z208" s="99"/>
    </x:row>
    <x:row r="209">
      <x:c r="A209" s="99"/>
      <x:c r="B209" s="99"/>
      <x:c r="C209" s="99"/>
      <x:c r="D209" s="99"/>
      <x:c r="E209" s="99"/>
      <x:c r="F209" s="99"/>
      <x:c r="G209" s="99"/>
      <x:c r="H209" s="99"/>
      <x:c r="I209" s="99"/>
      <x:c r="J209" s="99"/>
      <x:c r="K209" s="99"/>
      <x:c r="L209" s="99"/>
      <x:c r="M209" s="99"/>
      <x:c r="N209" s="99"/>
      <x:c r="O209" s="99"/>
      <x:c r="P209" s="99"/>
      <x:c r="Q209" s="99"/>
      <x:c r="R209" s="99"/>
      <x:c r="S209" s="99"/>
      <x:c r="T209" s="99"/>
      <x:c r="U209" s="99"/>
      <x:c r="V209" s="99"/>
      <x:c r="W209" s="99"/>
      <x:c r="X209" s="99"/>
      <x:c r="Y209" s="99"/>
      <x:c r="Z209" s="99"/>
    </x:row>
    <x:row r="210">
      <x:c r="A210" s="99"/>
      <x:c r="B210" s="99"/>
      <x:c r="C210" s="99"/>
      <x:c r="D210" s="99"/>
      <x:c r="E210" s="99"/>
      <x:c r="F210" s="99"/>
      <x:c r="G210" s="99"/>
      <x:c r="H210" s="99"/>
      <x:c r="I210" s="99"/>
      <x:c r="J210" s="99"/>
      <x:c r="K210" s="99"/>
      <x:c r="L210" s="99"/>
      <x:c r="M210" s="99"/>
      <x:c r="N210" s="99"/>
      <x:c r="O210" s="99"/>
      <x:c r="P210" s="99"/>
      <x:c r="Q210" s="99"/>
      <x:c r="R210" s="99"/>
      <x:c r="S210" s="99"/>
      <x:c r="T210" s="99"/>
      <x:c r="U210" s="99"/>
      <x:c r="V210" s="99"/>
      <x:c r="W210" s="99"/>
      <x:c r="X210" s="99"/>
      <x:c r="Y210" s="99"/>
      <x:c r="Z210" s="99"/>
    </x:row>
    <x:row r="211">
      <x:c r="A211" s="99"/>
      <x:c r="B211" s="99"/>
      <x:c r="C211" s="99"/>
      <x:c r="D211" s="99"/>
      <x:c r="E211" s="99"/>
      <x:c r="F211" s="99"/>
      <x:c r="G211" s="99"/>
      <x:c r="H211" s="99"/>
      <x:c r="I211" s="99"/>
      <x:c r="J211" s="99"/>
      <x:c r="K211" s="99"/>
      <x:c r="L211" s="99"/>
      <x:c r="M211" s="99"/>
      <x:c r="N211" s="99"/>
      <x:c r="O211" s="99"/>
      <x:c r="P211" s="99"/>
      <x:c r="Q211" s="99"/>
      <x:c r="R211" s="99"/>
      <x:c r="S211" s="99"/>
      <x:c r="T211" s="99"/>
      <x:c r="U211" s="99"/>
      <x:c r="V211" s="99"/>
      <x:c r="W211" s="99"/>
      <x:c r="X211" s="99"/>
      <x:c r="Y211" s="99"/>
      <x:c r="Z211" s="99"/>
    </x:row>
    <x:row r="212">
      <x:c r="A212" s="99"/>
      <x:c r="B212" s="99"/>
      <x:c r="C212" s="99"/>
      <x:c r="D212" s="99"/>
      <x:c r="E212" s="99"/>
      <x:c r="F212" s="99"/>
      <x:c r="G212" s="99"/>
      <x:c r="H212" s="99"/>
      <x:c r="I212" s="99"/>
      <x:c r="J212" s="99"/>
      <x:c r="K212" s="99"/>
      <x:c r="L212" s="99"/>
      <x:c r="M212" s="99"/>
      <x:c r="N212" s="99"/>
      <x:c r="O212" s="99"/>
      <x:c r="P212" s="99"/>
      <x:c r="Q212" s="99"/>
      <x:c r="R212" s="99"/>
      <x:c r="S212" s="99"/>
      <x:c r="T212" s="99"/>
      <x:c r="U212" s="99"/>
      <x:c r="V212" s="99"/>
      <x:c r="W212" s="99"/>
      <x:c r="X212" s="99"/>
      <x:c r="Y212" s="99"/>
      <x:c r="Z212" s="99"/>
    </x:row>
    <x:row r="213">
      <x:c r="A213" s="99"/>
      <x:c r="B213" s="99"/>
      <x:c r="C213" s="99"/>
      <x:c r="D213" s="99"/>
      <x:c r="E213" s="99"/>
      <x:c r="F213" s="99"/>
      <x:c r="G213" s="99"/>
      <x:c r="H213" s="99"/>
      <x:c r="I213" s="99"/>
      <x:c r="J213" s="99"/>
      <x:c r="K213" s="99"/>
      <x:c r="L213" s="99"/>
      <x:c r="M213" s="99"/>
      <x:c r="N213" s="99"/>
      <x:c r="O213" s="99"/>
      <x:c r="P213" s="99"/>
      <x:c r="Q213" s="99"/>
      <x:c r="R213" s="99"/>
      <x:c r="S213" s="99"/>
      <x:c r="T213" s="99"/>
      <x:c r="U213" s="99"/>
      <x:c r="V213" s="99"/>
      <x:c r="W213" s="99"/>
      <x:c r="X213" s="99"/>
      <x:c r="Y213" s="99"/>
      <x:c r="Z213" s="99"/>
    </x:row>
    <x:row r="214">
      <x:c r="A214" s="99"/>
      <x:c r="B214" s="99"/>
      <x:c r="C214" s="99"/>
      <x:c r="D214" s="99"/>
      <x:c r="E214" s="99"/>
      <x:c r="F214" s="99"/>
      <x:c r="G214" s="99"/>
      <x:c r="H214" s="99"/>
      <x:c r="I214" s="99"/>
      <x:c r="J214" s="99"/>
      <x:c r="K214" s="99"/>
      <x:c r="L214" s="99"/>
      <x:c r="M214" s="99"/>
      <x:c r="N214" s="99"/>
      <x:c r="O214" s="99"/>
      <x:c r="P214" s="99"/>
      <x:c r="Q214" s="99"/>
      <x:c r="R214" s="99"/>
      <x:c r="S214" s="99"/>
      <x:c r="T214" s="99"/>
      <x:c r="U214" s="99"/>
      <x:c r="V214" s="99"/>
      <x:c r="W214" s="99"/>
      <x:c r="X214" s="99"/>
      <x:c r="Y214" s="99"/>
      <x:c r="Z214" s="99"/>
    </x:row>
    <x:row r="215">
      <x:c r="A215" s="99"/>
      <x:c r="B215" s="99"/>
      <x:c r="C215" s="99"/>
      <x:c r="D215" s="99"/>
      <x:c r="E215" s="99"/>
      <x:c r="F215" s="99"/>
      <x:c r="G215" s="99"/>
      <x:c r="H215" s="99"/>
      <x:c r="I215" s="99"/>
      <x:c r="J215" s="99"/>
      <x:c r="K215" s="99"/>
      <x:c r="L215" s="99"/>
      <x:c r="M215" s="99"/>
      <x:c r="N215" s="99"/>
      <x:c r="O215" s="99"/>
      <x:c r="P215" s="99"/>
      <x:c r="Q215" s="99"/>
      <x:c r="R215" s="99"/>
      <x:c r="S215" s="99"/>
      <x:c r="T215" s="99"/>
      <x:c r="U215" s="99"/>
      <x:c r="V215" s="99"/>
      <x:c r="W215" s="99"/>
      <x:c r="X215" s="99"/>
      <x:c r="Y215" s="99"/>
      <x:c r="Z215" s="99"/>
    </x:row>
    <x:row r="216">
      <x:c r="A216" s="99"/>
      <x:c r="B216" s="99"/>
      <x:c r="C216" s="99"/>
      <x:c r="D216" s="99"/>
      <x:c r="E216" s="99"/>
      <x:c r="F216" s="99"/>
      <x:c r="G216" s="99"/>
      <x:c r="H216" s="99"/>
      <x:c r="I216" s="99"/>
      <x:c r="J216" s="99"/>
      <x:c r="K216" s="99"/>
      <x:c r="L216" s="99"/>
      <x:c r="M216" s="99"/>
      <x:c r="N216" s="99"/>
      <x:c r="O216" s="99"/>
      <x:c r="P216" s="99"/>
      <x:c r="Q216" s="99"/>
      <x:c r="R216" s="99"/>
      <x:c r="S216" s="99"/>
      <x:c r="T216" s="99"/>
      <x:c r="U216" s="99"/>
      <x:c r="V216" s="99"/>
      <x:c r="W216" s="99"/>
      <x:c r="X216" s="99"/>
      <x:c r="Y216" s="99"/>
      <x:c r="Z216" s="99"/>
    </x:row>
    <x:row r="217">
      <x:c r="A217" s="99"/>
      <x:c r="B217" s="99"/>
      <x:c r="C217" s="99"/>
      <x:c r="D217" s="99"/>
      <x:c r="E217" s="99"/>
      <x:c r="F217" s="99"/>
      <x:c r="G217" s="99"/>
      <x:c r="H217" s="99"/>
      <x:c r="I217" s="99"/>
      <x:c r="J217" s="99"/>
      <x:c r="K217" s="99"/>
      <x:c r="L217" s="99"/>
      <x:c r="M217" s="99"/>
      <x:c r="N217" s="99"/>
      <x:c r="O217" s="99"/>
      <x:c r="P217" s="99"/>
      <x:c r="Q217" s="99"/>
      <x:c r="R217" s="99"/>
      <x:c r="S217" s="99"/>
      <x:c r="T217" s="99"/>
      <x:c r="U217" s="99"/>
      <x:c r="V217" s="99"/>
      <x:c r="W217" s="99"/>
      <x:c r="X217" s="99"/>
      <x:c r="Y217" s="99"/>
      <x:c r="Z217" s="99"/>
    </x:row>
    <x:row r="218">
      <x:c r="A218" s="99"/>
      <x:c r="B218" s="99"/>
      <x:c r="C218" s="99"/>
      <x:c r="D218" s="99"/>
      <x:c r="E218" s="99"/>
      <x:c r="F218" s="99"/>
      <x:c r="G218" s="99"/>
      <x:c r="H218" s="99"/>
      <x:c r="I218" s="99"/>
      <x:c r="J218" s="99"/>
      <x:c r="K218" s="99"/>
      <x:c r="L218" s="99"/>
      <x:c r="M218" s="99"/>
      <x:c r="N218" s="99"/>
      <x:c r="O218" s="99"/>
      <x:c r="P218" s="99"/>
      <x:c r="Q218" s="99"/>
      <x:c r="R218" s="99"/>
      <x:c r="S218" s="99"/>
      <x:c r="T218" s="99"/>
      <x:c r="U218" s="99"/>
      <x:c r="V218" s="99"/>
      <x:c r="W218" s="99"/>
      <x:c r="X218" s="99"/>
      <x:c r="Y218" s="99"/>
      <x:c r="Z218" s="99"/>
    </x:row>
    <x:row r="219">
      <x:c r="A219" s="99"/>
      <x:c r="B219" s="99"/>
      <x:c r="C219" s="99"/>
      <x:c r="D219" s="99"/>
      <x:c r="E219" s="99"/>
      <x:c r="F219" s="99"/>
      <x:c r="G219" s="99"/>
      <x:c r="H219" s="99"/>
      <x:c r="I219" s="99"/>
      <x:c r="J219" s="99"/>
      <x:c r="K219" s="99"/>
      <x:c r="L219" s="99"/>
      <x:c r="M219" s="99"/>
      <x:c r="N219" s="99"/>
      <x:c r="O219" s="99"/>
      <x:c r="P219" s="99"/>
      <x:c r="Q219" s="99"/>
      <x:c r="R219" s="99"/>
      <x:c r="S219" s="99"/>
      <x:c r="T219" s="99"/>
      <x:c r="U219" s="99"/>
      <x:c r="V219" s="99"/>
      <x:c r="W219" s="99"/>
      <x:c r="X219" s="99"/>
      <x:c r="Y219" s="99"/>
      <x:c r="Z219" s="99"/>
    </x:row>
    <x:row r="220">
      <x:c r="A220" s="99"/>
      <x:c r="B220" s="99"/>
      <x:c r="C220" s="99"/>
      <x:c r="D220" s="99"/>
      <x:c r="E220" s="99"/>
      <x:c r="F220" s="99"/>
      <x:c r="G220" s="99"/>
      <x:c r="H220" s="99"/>
      <x:c r="I220" s="99"/>
      <x:c r="J220" s="99"/>
      <x:c r="K220" s="99"/>
      <x:c r="L220" s="99"/>
      <x:c r="M220" s="99"/>
      <x:c r="N220" s="99"/>
      <x:c r="O220" s="99"/>
      <x:c r="P220" s="99"/>
      <x:c r="Q220" s="99"/>
      <x:c r="R220" s="99"/>
      <x:c r="S220" s="99"/>
      <x:c r="T220" s="99"/>
      <x:c r="U220" s="99"/>
      <x:c r="V220" s="99"/>
      <x:c r="W220" s="99"/>
      <x:c r="X220" s="99"/>
      <x:c r="Y220" s="99"/>
      <x:c r="Z220" s="99"/>
    </x:row>
    <x:row r="221">
      <x:c r="A221" s="99"/>
      <x:c r="B221" s="99"/>
      <x:c r="C221" s="99"/>
      <x:c r="D221" s="99"/>
      <x:c r="E221" s="99"/>
      <x:c r="F221" s="99"/>
      <x:c r="G221" s="99"/>
      <x:c r="H221" s="99"/>
      <x:c r="I221" s="99"/>
      <x:c r="J221" s="99"/>
      <x:c r="K221" s="99"/>
      <x:c r="L221" s="99"/>
      <x:c r="M221" s="99"/>
      <x:c r="N221" s="99"/>
      <x:c r="O221" s="99"/>
      <x:c r="P221" s="99"/>
      <x:c r="Q221" s="99"/>
      <x:c r="R221" s="99"/>
      <x:c r="S221" s="99"/>
      <x:c r="T221" s="99"/>
      <x:c r="U221" s="99"/>
      <x:c r="V221" s="99"/>
      <x:c r="W221" s="99"/>
      <x:c r="X221" s="99"/>
      <x:c r="Y221" s="99"/>
      <x:c r="Z221" s="99"/>
    </x:row>
    <x:row r="222">
      <x:c r="A222" s="99"/>
      <x:c r="B222" s="99"/>
      <x:c r="C222" s="99"/>
      <x:c r="D222" s="99"/>
      <x:c r="E222" s="99"/>
      <x:c r="F222" s="99"/>
      <x:c r="G222" s="99"/>
      <x:c r="H222" s="99"/>
      <x:c r="I222" s="99"/>
      <x:c r="J222" s="99"/>
      <x:c r="K222" s="99"/>
      <x:c r="L222" s="99"/>
      <x:c r="M222" s="99"/>
      <x:c r="N222" s="99"/>
      <x:c r="O222" s="99"/>
      <x:c r="P222" s="99"/>
      <x:c r="Q222" s="99"/>
      <x:c r="R222" s="99"/>
      <x:c r="S222" s="99"/>
      <x:c r="T222" s="99"/>
      <x:c r="U222" s="99"/>
      <x:c r="V222" s="99"/>
      <x:c r="W222" s="99"/>
      <x:c r="X222" s="99"/>
      <x:c r="Y222" s="99"/>
      <x:c r="Z222" s="99"/>
    </x:row>
    <x:row r="223">
      <x:c r="A223" s="99"/>
      <x:c r="B223" s="99"/>
      <x:c r="C223" s="99"/>
      <x:c r="D223" s="99"/>
      <x:c r="E223" s="99"/>
      <x:c r="F223" s="99"/>
      <x:c r="G223" s="99"/>
      <x:c r="H223" s="99"/>
      <x:c r="I223" s="99"/>
      <x:c r="J223" s="99"/>
      <x:c r="K223" s="99"/>
      <x:c r="L223" s="99"/>
      <x:c r="M223" s="99"/>
      <x:c r="N223" s="99"/>
      <x:c r="O223" s="99"/>
      <x:c r="P223" s="99"/>
      <x:c r="Q223" s="99"/>
      <x:c r="R223" s="99"/>
      <x:c r="S223" s="99"/>
      <x:c r="T223" s="99"/>
      <x:c r="U223" s="99"/>
      <x:c r="V223" s="99"/>
      <x:c r="W223" s="99"/>
      <x:c r="X223" s="99"/>
      <x:c r="Y223" s="99"/>
      <x:c r="Z223" s="99"/>
    </x:row>
    <x:row r="224">
      <x:c r="A224" s="99"/>
      <x:c r="B224" s="99"/>
      <x:c r="C224" s="99"/>
      <x:c r="D224" s="99"/>
      <x:c r="E224" s="99"/>
      <x:c r="F224" s="99"/>
      <x:c r="G224" s="99"/>
      <x:c r="H224" s="99"/>
      <x:c r="I224" s="99"/>
      <x:c r="J224" s="99"/>
      <x:c r="K224" s="99"/>
      <x:c r="L224" s="99"/>
      <x:c r="M224" s="99"/>
      <x:c r="N224" s="99"/>
      <x:c r="O224" s="99"/>
      <x:c r="P224" s="99"/>
      <x:c r="Q224" s="99"/>
      <x:c r="R224" s="99"/>
      <x:c r="S224" s="99"/>
      <x:c r="T224" s="99"/>
      <x:c r="U224" s="99"/>
      <x:c r="V224" s="99"/>
      <x:c r="W224" s="99"/>
      <x:c r="X224" s="99"/>
      <x:c r="Y224" s="99"/>
      <x:c r="Z224" s="99"/>
    </x:row>
    <x:row r="225">
      <x:c r="A225" s="99"/>
      <x:c r="B225" s="99"/>
      <x:c r="C225" s="99"/>
      <x:c r="D225" s="99"/>
      <x:c r="E225" s="99"/>
      <x:c r="F225" s="99"/>
      <x:c r="G225" s="99"/>
      <x:c r="H225" s="99"/>
      <x:c r="I225" s="99"/>
      <x:c r="J225" s="99"/>
      <x:c r="K225" s="99"/>
      <x:c r="L225" s="99"/>
      <x:c r="M225" s="99"/>
      <x:c r="N225" s="99"/>
      <x:c r="O225" s="99"/>
      <x:c r="P225" s="99"/>
      <x:c r="Q225" s="99"/>
      <x:c r="R225" s="99"/>
      <x:c r="S225" s="99"/>
      <x:c r="T225" s="99"/>
      <x:c r="U225" s="99"/>
      <x:c r="V225" s="99"/>
      <x:c r="W225" s="99"/>
      <x:c r="X225" s="99"/>
      <x:c r="Y225" s="99"/>
      <x:c r="Z225" s="99"/>
    </x:row>
    <x:row r="226">
      <x:c r="A226" s="99"/>
      <x:c r="B226" s="99"/>
      <x:c r="C226" s="99"/>
      <x:c r="D226" s="99"/>
      <x:c r="E226" s="99"/>
      <x:c r="F226" s="99"/>
      <x:c r="G226" s="99"/>
      <x:c r="H226" s="99"/>
      <x:c r="I226" s="99"/>
      <x:c r="J226" s="99"/>
      <x:c r="K226" s="99"/>
      <x:c r="L226" s="99"/>
      <x:c r="M226" s="99"/>
      <x:c r="N226" s="99"/>
      <x:c r="O226" s="99"/>
      <x:c r="P226" s="99"/>
      <x:c r="Q226" s="99"/>
      <x:c r="R226" s="99"/>
      <x:c r="S226" s="99"/>
      <x:c r="T226" s="99"/>
      <x:c r="U226" s="99"/>
      <x:c r="V226" s="99"/>
      <x:c r="W226" s="99"/>
      <x:c r="X226" s="99"/>
      <x:c r="Y226" s="99"/>
      <x:c r="Z226" s="99"/>
    </x:row>
    <x:row r="227">
      <x:c r="A227" s="99"/>
      <x:c r="B227" s="99"/>
      <x:c r="C227" s="99"/>
      <x:c r="D227" s="99"/>
      <x:c r="E227" s="99"/>
      <x:c r="F227" s="99"/>
      <x:c r="G227" s="99"/>
      <x:c r="H227" s="99"/>
      <x:c r="I227" s="99"/>
      <x:c r="J227" s="99"/>
      <x:c r="K227" s="99"/>
      <x:c r="L227" s="99"/>
      <x:c r="M227" s="99"/>
      <x:c r="N227" s="99"/>
      <x:c r="O227" s="99"/>
      <x:c r="P227" s="99"/>
      <x:c r="Q227" s="99"/>
      <x:c r="R227" s="99"/>
      <x:c r="S227" s="99"/>
      <x:c r="T227" s="99"/>
      <x:c r="U227" s="99"/>
      <x:c r="V227" s="99"/>
      <x:c r="W227" s="99"/>
      <x:c r="X227" s="99"/>
      <x:c r="Y227" s="99"/>
      <x:c r="Z227" s="99"/>
    </x:row>
    <x:row r="228">
      <x:c r="A228" s="99"/>
      <x:c r="B228" s="99"/>
      <x:c r="C228" s="99"/>
      <x:c r="D228" s="99"/>
      <x:c r="E228" s="99"/>
      <x:c r="F228" s="99"/>
      <x:c r="G228" s="99"/>
      <x:c r="H228" s="99"/>
      <x:c r="I228" s="99"/>
      <x:c r="J228" s="99"/>
      <x:c r="K228" s="99"/>
      <x:c r="L228" s="99"/>
      <x:c r="M228" s="99"/>
      <x:c r="N228" s="99"/>
      <x:c r="O228" s="99"/>
      <x:c r="P228" s="99"/>
      <x:c r="Q228" s="99"/>
      <x:c r="R228" s="99"/>
      <x:c r="S228" s="99"/>
      <x:c r="T228" s="99"/>
      <x:c r="U228" s="99"/>
      <x:c r="V228" s="99"/>
      <x:c r="W228" s="99"/>
      <x:c r="X228" s="99"/>
      <x:c r="Y228" s="99"/>
      <x:c r="Z228" s="99"/>
    </x:row>
    <x:row r="229">
      <x:c r="A229" s="99"/>
      <x:c r="B229" s="99"/>
      <x:c r="C229" s="99"/>
      <x:c r="D229" s="99"/>
      <x:c r="E229" s="99"/>
      <x:c r="F229" s="99"/>
      <x:c r="G229" s="99"/>
      <x:c r="H229" s="99"/>
      <x:c r="I229" s="99"/>
      <x:c r="J229" s="99"/>
      <x:c r="K229" s="99"/>
      <x:c r="L229" s="99"/>
      <x:c r="M229" s="99"/>
      <x:c r="N229" s="99"/>
      <x:c r="O229" s="99"/>
      <x:c r="P229" s="99"/>
      <x:c r="Q229" s="99"/>
      <x:c r="R229" s="99"/>
      <x:c r="S229" s="99"/>
      <x:c r="T229" s="99"/>
      <x:c r="U229" s="99"/>
      <x:c r="V229" s="99"/>
      <x:c r="W229" s="99"/>
      <x:c r="X229" s="99"/>
      <x:c r="Y229" s="99"/>
      <x:c r="Z229" s="99"/>
    </x:row>
    <x:row r="230">
      <x:c r="A230" s="99"/>
      <x:c r="B230" s="99"/>
      <x:c r="C230" s="99"/>
      <x:c r="D230" s="99"/>
      <x:c r="E230" s="99"/>
      <x:c r="F230" s="99"/>
      <x:c r="G230" s="99"/>
      <x:c r="H230" s="99"/>
      <x:c r="I230" s="99"/>
      <x:c r="J230" s="99"/>
      <x:c r="K230" s="99"/>
      <x:c r="L230" s="99"/>
      <x:c r="M230" s="99"/>
      <x:c r="N230" s="99"/>
      <x:c r="O230" s="99"/>
      <x:c r="P230" s="99"/>
      <x:c r="Q230" s="99"/>
      <x:c r="R230" s="99"/>
      <x:c r="S230" s="99"/>
      <x:c r="T230" s="99"/>
      <x:c r="U230" s="99"/>
      <x:c r="V230" s="99"/>
      <x:c r="W230" s="99"/>
      <x:c r="X230" s="99"/>
      <x:c r="Y230" s="99"/>
      <x:c r="Z230" s="99"/>
    </x:row>
    <x:row r="231">
      <x:c r="A231" s="99"/>
      <x:c r="B231" s="99"/>
      <x:c r="C231" s="99"/>
      <x:c r="D231" s="99"/>
      <x:c r="E231" s="99"/>
      <x:c r="F231" s="99"/>
      <x:c r="G231" s="99"/>
      <x:c r="H231" s="99"/>
      <x:c r="I231" s="99"/>
      <x:c r="J231" s="99"/>
      <x:c r="K231" s="99"/>
      <x:c r="L231" s="99"/>
      <x:c r="M231" s="99"/>
      <x:c r="N231" s="99"/>
      <x:c r="O231" s="99"/>
      <x:c r="P231" s="99"/>
      <x:c r="Q231" s="99"/>
      <x:c r="R231" s="99"/>
      <x:c r="S231" s="99"/>
      <x:c r="T231" s="99"/>
      <x:c r="U231" s="99"/>
      <x:c r="V231" s="99"/>
      <x:c r="W231" s="99"/>
      <x:c r="X231" s="99"/>
      <x:c r="Y231" s="99"/>
      <x:c r="Z231" s="99"/>
    </x:row>
    <x:row r="232">
      <x:c r="A232" s="99"/>
      <x:c r="B232" s="99"/>
      <x:c r="C232" s="99"/>
      <x:c r="D232" s="99"/>
      <x:c r="E232" s="99"/>
      <x:c r="F232" s="99"/>
      <x:c r="G232" s="99"/>
      <x:c r="H232" s="99"/>
      <x:c r="I232" s="99"/>
      <x:c r="J232" s="99"/>
      <x:c r="K232" s="99"/>
      <x:c r="L232" s="99"/>
      <x:c r="M232" s="99"/>
      <x:c r="N232" s="99"/>
      <x:c r="O232" s="99"/>
      <x:c r="P232" s="99"/>
      <x:c r="Q232" s="99"/>
      <x:c r="R232" s="99"/>
      <x:c r="S232" s="99"/>
      <x:c r="T232" s="99"/>
      <x:c r="U232" s="99"/>
      <x:c r="V232" s="99"/>
      <x:c r="W232" s="99"/>
      <x:c r="X232" s="99"/>
      <x:c r="Y232" s="99"/>
      <x:c r="Z232" s="99"/>
    </x:row>
    <x:row r="233">
      <x:c r="A233" s="99"/>
      <x:c r="B233" s="99"/>
      <x:c r="C233" s="99"/>
      <x:c r="D233" s="99"/>
      <x:c r="E233" s="99"/>
      <x:c r="F233" s="99"/>
      <x:c r="G233" s="99"/>
      <x:c r="H233" s="99"/>
      <x:c r="I233" s="99"/>
      <x:c r="J233" s="99"/>
      <x:c r="K233" s="99"/>
      <x:c r="L233" s="99"/>
      <x:c r="M233" s="99"/>
      <x:c r="N233" s="99"/>
      <x:c r="O233" s="99"/>
      <x:c r="P233" s="99"/>
      <x:c r="Q233" s="99"/>
      <x:c r="R233" s="99"/>
      <x:c r="S233" s="99"/>
      <x:c r="T233" s="99"/>
      <x:c r="U233" s="99"/>
      <x:c r="V233" s="99"/>
      <x:c r="W233" s="99"/>
      <x:c r="X233" s="99"/>
      <x:c r="Y233" s="99"/>
      <x:c r="Z233" s="99"/>
    </x:row>
    <x:row r="234">
      <x:c r="A234" s="99"/>
      <x:c r="B234" s="99"/>
      <x:c r="C234" s="99"/>
      <x:c r="D234" s="99"/>
      <x:c r="E234" s="99"/>
      <x:c r="F234" s="99"/>
      <x:c r="G234" s="99"/>
      <x:c r="H234" s="99"/>
      <x:c r="I234" s="99"/>
      <x:c r="J234" s="99"/>
      <x:c r="K234" s="99"/>
      <x:c r="L234" s="99"/>
      <x:c r="M234" s="99"/>
      <x:c r="N234" s="99"/>
      <x:c r="O234" s="99"/>
      <x:c r="P234" s="99"/>
      <x:c r="Q234" s="99"/>
      <x:c r="R234" s="99"/>
      <x:c r="S234" s="99"/>
      <x:c r="T234" s="99"/>
      <x:c r="U234" s="99"/>
      <x:c r="V234" s="99"/>
      <x:c r="W234" s="99"/>
      <x:c r="X234" s="99"/>
      <x:c r="Y234" s="99"/>
      <x:c r="Z234" s="99"/>
    </x:row>
    <x:row r="235">
      <x:c r="A235" s="99"/>
      <x:c r="B235" s="99"/>
      <x:c r="C235" s="99"/>
      <x:c r="D235" s="99"/>
      <x:c r="E235" s="99"/>
      <x:c r="F235" s="99"/>
      <x:c r="G235" s="99"/>
      <x:c r="H235" s="99"/>
      <x:c r="I235" s="99"/>
      <x:c r="J235" s="99"/>
      <x:c r="K235" s="99"/>
      <x:c r="L235" s="99"/>
      <x:c r="M235" s="99"/>
      <x:c r="N235" s="99"/>
      <x:c r="O235" s="99"/>
      <x:c r="P235" s="99"/>
      <x:c r="Q235" s="99"/>
      <x:c r="R235" s="99"/>
      <x:c r="S235" s="99"/>
      <x:c r="T235" s="99"/>
      <x:c r="U235" s="99"/>
      <x:c r="V235" s="99"/>
      <x:c r="W235" s="99"/>
      <x:c r="X235" s="99"/>
      <x:c r="Y235" s="99"/>
      <x:c r="Z235" s="99"/>
    </x:row>
    <x:row r="236">
      <x:c r="A236" s="99"/>
      <x:c r="B236" s="99"/>
      <x:c r="C236" s="99"/>
      <x:c r="D236" s="99"/>
      <x:c r="E236" s="99"/>
      <x:c r="F236" s="99"/>
      <x:c r="G236" s="99"/>
      <x:c r="H236" s="99"/>
      <x:c r="I236" s="99"/>
      <x:c r="J236" s="99"/>
      <x:c r="K236" s="99"/>
      <x:c r="L236" s="99"/>
      <x:c r="M236" s="99"/>
      <x:c r="N236" s="99"/>
      <x:c r="O236" s="99"/>
      <x:c r="P236" s="99"/>
      <x:c r="Q236" s="99"/>
      <x:c r="R236" s="99"/>
      <x:c r="S236" s="99"/>
      <x:c r="T236" s="99"/>
      <x:c r="U236" s="99"/>
      <x:c r="V236" s="99"/>
      <x:c r="W236" s="99"/>
      <x:c r="X236" s="99"/>
      <x:c r="Y236" s="99"/>
      <x:c r="Z236" s="99"/>
    </x:row>
    <x:row r="237">
      <x:c r="A237" s="99"/>
      <x:c r="B237" s="99"/>
      <x:c r="C237" s="99"/>
      <x:c r="D237" s="99"/>
      <x:c r="E237" s="99"/>
      <x:c r="F237" s="99"/>
      <x:c r="G237" s="99"/>
      <x:c r="H237" s="99"/>
      <x:c r="I237" s="99"/>
      <x:c r="J237" s="99"/>
      <x:c r="K237" s="99"/>
      <x:c r="L237" s="99"/>
      <x:c r="M237" s="99"/>
      <x:c r="N237" s="99"/>
      <x:c r="O237" s="99"/>
      <x:c r="P237" s="99"/>
      <x:c r="Q237" s="99"/>
      <x:c r="R237" s="99"/>
      <x:c r="S237" s="99"/>
      <x:c r="T237" s="99"/>
      <x:c r="U237" s="99"/>
      <x:c r="V237" s="99"/>
      <x:c r="W237" s="99"/>
      <x:c r="X237" s="99"/>
      <x:c r="Y237" s="99"/>
      <x:c r="Z237" s="99"/>
    </x:row>
    <x:row r="238">
      <x:c r="A238" s="99"/>
      <x:c r="B238" s="99"/>
      <x:c r="C238" s="99"/>
      <x:c r="D238" s="99"/>
      <x:c r="E238" s="99"/>
      <x:c r="F238" s="99"/>
      <x:c r="G238" s="99"/>
      <x:c r="H238" s="99"/>
      <x:c r="I238" s="99"/>
      <x:c r="J238" s="99"/>
      <x:c r="K238" s="99"/>
      <x:c r="L238" s="99"/>
      <x:c r="M238" s="99"/>
      <x:c r="N238" s="99"/>
      <x:c r="O238" s="99"/>
      <x:c r="P238" s="99"/>
      <x:c r="Q238" s="99"/>
      <x:c r="R238" s="99"/>
      <x:c r="S238" s="99"/>
      <x:c r="T238" s="99"/>
      <x:c r="U238" s="99"/>
      <x:c r="V238" s="99"/>
      <x:c r="W238" s="99"/>
      <x:c r="X238" s="99"/>
      <x:c r="Y238" s="99"/>
      <x:c r="Z238" s="99"/>
    </x:row>
    <x:row r="239">
      <x:c r="A239" s="99"/>
      <x:c r="B239" s="99"/>
      <x:c r="C239" s="99"/>
      <x:c r="D239" s="99"/>
      <x:c r="E239" s="99"/>
      <x:c r="F239" s="99"/>
      <x:c r="G239" s="99"/>
      <x:c r="H239" s="99"/>
      <x:c r="I239" s="99"/>
      <x:c r="J239" s="99"/>
      <x:c r="K239" s="99"/>
      <x:c r="L239" s="99"/>
      <x:c r="M239" s="99"/>
      <x:c r="N239" s="99"/>
      <x:c r="O239" s="99"/>
      <x:c r="P239" s="99"/>
      <x:c r="Q239" s="99"/>
      <x:c r="R239" s="99"/>
      <x:c r="S239" s="99"/>
      <x:c r="T239" s="99"/>
      <x:c r="U239" s="99"/>
      <x:c r="V239" s="99"/>
      <x:c r="W239" s="99"/>
      <x:c r="X239" s="99"/>
      <x:c r="Y239" s="99"/>
      <x:c r="Z239" s="99"/>
    </x:row>
    <x:row r="240">
      <x:c r="A240" s="99"/>
      <x:c r="B240" s="99"/>
      <x:c r="C240" s="99"/>
      <x:c r="D240" s="99"/>
      <x:c r="E240" s="99"/>
      <x:c r="F240" s="99"/>
      <x:c r="G240" s="99"/>
      <x:c r="H240" s="99"/>
      <x:c r="I240" s="99"/>
      <x:c r="J240" s="99"/>
      <x:c r="K240" s="99"/>
      <x:c r="L240" s="99"/>
      <x:c r="M240" s="99"/>
      <x:c r="N240" s="99"/>
      <x:c r="O240" s="99"/>
      <x:c r="P240" s="99"/>
      <x:c r="Q240" s="99"/>
      <x:c r="R240" s="99"/>
      <x:c r="S240" s="99"/>
      <x:c r="T240" s="99"/>
      <x:c r="U240" s="99"/>
      <x:c r="V240" s="99"/>
      <x:c r="W240" s="99"/>
      <x:c r="X240" s="99"/>
      <x:c r="Y240" s="99"/>
      <x:c r="Z240" s="99"/>
    </x:row>
    <x:row r="241">
      <x:c r="A241" s="99"/>
      <x:c r="B241" s="99"/>
      <x:c r="C241" s="99"/>
      <x:c r="D241" s="99"/>
      <x:c r="E241" s="99"/>
      <x:c r="F241" s="99"/>
      <x:c r="G241" s="99"/>
      <x:c r="H241" s="99"/>
      <x:c r="I241" s="99"/>
      <x:c r="J241" s="99"/>
      <x:c r="K241" s="99"/>
      <x:c r="L241" s="99"/>
      <x:c r="M241" s="99"/>
      <x:c r="N241" s="99"/>
      <x:c r="O241" s="99"/>
      <x:c r="P241" s="99"/>
      <x:c r="Q241" s="99"/>
      <x:c r="R241" s="99"/>
      <x:c r="S241" s="99"/>
      <x:c r="T241" s="99"/>
      <x:c r="U241" s="99"/>
      <x:c r="V241" s="99"/>
      <x:c r="W241" s="99"/>
      <x:c r="X241" s="99"/>
      <x:c r="Y241" s="99"/>
      <x:c r="Z241" s="99"/>
    </x:row>
    <x:row r="242">
      <x:c r="A242" s="99"/>
      <x:c r="B242" s="99"/>
      <x:c r="C242" s="99"/>
      <x:c r="D242" s="99"/>
      <x:c r="E242" s="99"/>
      <x:c r="F242" s="99"/>
      <x:c r="G242" s="99"/>
      <x:c r="H242" s="99"/>
      <x:c r="I242" s="99"/>
      <x:c r="J242" s="99"/>
      <x:c r="K242" s="99"/>
      <x:c r="L242" s="99"/>
      <x:c r="M242" s="99"/>
      <x:c r="N242" s="99"/>
      <x:c r="O242" s="99"/>
      <x:c r="P242" s="99"/>
      <x:c r="Q242" s="99"/>
      <x:c r="R242" s="99"/>
      <x:c r="S242" s="99"/>
      <x:c r="T242" s="99"/>
      <x:c r="U242" s="99"/>
      <x:c r="V242" s="99"/>
      <x:c r="W242" s="99"/>
      <x:c r="X242" s="99"/>
      <x:c r="Y242" s="99"/>
      <x:c r="Z242" s="99"/>
    </x:row>
    <x:row r="243">
      <x:c r="A243" s="99"/>
      <x:c r="B243" s="99"/>
      <x:c r="C243" s="99"/>
      <x:c r="D243" s="99"/>
      <x:c r="E243" s="99"/>
      <x:c r="F243" s="99"/>
      <x:c r="G243" s="99"/>
      <x:c r="H243" s="99"/>
      <x:c r="I243" s="99"/>
      <x:c r="J243" s="99"/>
      <x:c r="K243" s="99"/>
      <x:c r="L243" s="99"/>
      <x:c r="M243" s="99"/>
      <x:c r="N243" s="99"/>
      <x:c r="O243" s="99"/>
      <x:c r="P243" s="99"/>
      <x:c r="Q243" s="99"/>
      <x:c r="R243" s="99"/>
      <x:c r="S243" s="99"/>
      <x:c r="T243" s="99"/>
      <x:c r="U243" s="99"/>
      <x:c r="V243" s="99"/>
      <x:c r="W243" s="99"/>
      <x:c r="X243" s="99"/>
      <x:c r="Y243" s="99"/>
      <x:c r="Z243" s="99"/>
    </x:row>
    <x:row r="244">
      <x:c r="A244" s="99"/>
      <x:c r="B244" s="99"/>
      <x:c r="C244" s="99"/>
      <x:c r="D244" s="99"/>
      <x:c r="E244" s="99"/>
      <x:c r="F244" s="99"/>
      <x:c r="G244" s="99"/>
      <x:c r="H244" s="99"/>
      <x:c r="I244" s="99"/>
      <x:c r="J244" s="99"/>
      <x:c r="K244" s="99"/>
      <x:c r="L244" s="99"/>
      <x:c r="M244" s="99"/>
      <x:c r="N244" s="99"/>
      <x:c r="O244" s="99"/>
      <x:c r="P244" s="99"/>
      <x:c r="Q244" s="99"/>
      <x:c r="R244" s="99"/>
      <x:c r="S244" s="99"/>
      <x:c r="T244" s="99"/>
      <x:c r="U244" s="99"/>
      <x:c r="V244" s="99"/>
      <x:c r="W244" s="99"/>
      <x:c r="X244" s="99"/>
      <x:c r="Y244" s="99"/>
      <x:c r="Z244" s="99"/>
    </x:row>
    <x:row r="245">
      <x:c r="A245" s="99"/>
      <x:c r="B245" s="99"/>
      <x:c r="C245" s="99"/>
      <x:c r="D245" s="99"/>
      <x:c r="E245" s="99"/>
      <x:c r="F245" s="99"/>
      <x:c r="G245" s="99"/>
      <x:c r="H245" s="99"/>
      <x:c r="I245" s="99"/>
      <x:c r="J245" s="99"/>
      <x:c r="K245" s="99"/>
      <x:c r="L245" s="99"/>
      <x:c r="M245" s="99"/>
      <x:c r="N245" s="99"/>
      <x:c r="O245" s="99"/>
      <x:c r="P245" s="99"/>
      <x:c r="Q245" s="99"/>
      <x:c r="R245" s="99"/>
      <x:c r="S245" s="99"/>
      <x:c r="T245" s="99"/>
      <x:c r="U245" s="99"/>
      <x:c r="V245" s="99"/>
      <x:c r="W245" s="99"/>
      <x:c r="X245" s="99"/>
      <x:c r="Y245" s="99"/>
      <x:c r="Z245" s="99"/>
    </x:row>
    <x:row r="246">
      <x:c r="A246" s="99"/>
      <x:c r="B246" s="99"/>
      <x:c r="C246" s="99"/>
      <x:c r="D246" s="99"/>
      <x:c r="E246" s="99"/>
      <x:c r="F246" s="99"/>
      <x:c r="G246" s="99"/>
      <x:c r="H246" s="99"/>
      <x:c r="I246" s="99"/>
      <x:c r="J246" s="99"/>
      <x:c r="K246" s="99"/>
      <x:c r="L246" s="99"/>
      <x:c r="M246" s="99"/>
      <x:c r="N246" s="99"/>
      <x:c r="O246" s="99"/>
      <x:c r="P246" s="99"/>
      <x:c r="Q246" s="99"/>
      <x:c r="R246" s="99"/>
      <x:c r="S246" s="99"/>
      <x:c r="T246" s="99"/>
      <x:c r="U246" s="99"/>
      <x:c r="V246" s="99"/>
      <x:c r="W246" s="99"/>
      <x:c r="X246" s="99"/>
      <x:c r="Y246" s="99"/>
      <x:c r="Z246" s="99"/>
    </x:row>
    <x:row r="247">
      <x:c r="A247" s="99"/>
      <x:c r="B247" s="99"/>
      <x:c r="C247" s="99"/>
      <x:c r="D247" s="99"/>
      <x:c r="E247" s="99"/>
      <x:c r="F247" s="99"/>
      <x:c r="G247" s="99"/>
      <x:c r="H247" s="99"/>
      <x:c r="I247" s="99"/>
      <x:c r="J247" s="99"/>
      <x:c r="K247" s="99"/>
      <x:c r="L247" s="99"/>
      <x:c r="M247" s="99"/>
      <x:c r="N247" s="99"/>
      <x:c r="O247" s="99"/>
      <x:c r="P247" s="99"/>
      <x:c r="Q247" s="99"/>
      <x:c r="R247" s="99"/>
      <x:c r="S247" s="99"/>
      <x:c r="T247" s="99"/>
      <x:c r="U247" s="99"/>
      <x:c r="V247" s="99"/>
      <x:c r="W247" s="99"/>
      <x:c r="X247" s="99"/>
      <x:c r="Y247" s="99"/>
      <x:c r="Z247" s="99"/>
    </x:row>
    <x:row r="248">
      <x:c r="A248" s="99"/>
      <x:c r="B248" s="99"/>
      <x:c r="C248" s="99"/>
      <x:c r="D248" s="99"/>
      <x:c r="E248" s="99"/>
      <x:c r="F248" s="99"/>
      <x:c r="G248" s="99"/>
      <x:c r="H248" s="99"/>
      <x:c r="I248" s="99"/>
      <x:c r="J248" s="99"/>
      <x:c r="K248" s="99"/>
      <x:c r="L248" s="99"/>
      <x:c r="M248" s="99"/>
      <x:c r="N248" s="99"/>
      <x:c r="O248" s="99"/>
      <x:c r="P248" s="99"/>
      <x:c r="Q248" s="99"/>
      <x:c r="R248" s="99"/>
      <x:c r="S248" s="99"/>
      <x:c r="T248" s="99"/>
      <x:c r="U248" s="99"/>
      <x:c r="V248" s="99"/>
      <x:c r="W248" s="99"/>
      <x:c r="X248" s="99"/>
      <x:c r="Y248" s="99"/>
      <x:c r="Z248" s="99"/>
    </x:row>
    <x:row r="249">
      <x:c r="A249" s="99"/>
      <x:c r="B249" s="99"/>
      <x:c r="C249" s="99"/>
      <x:c r="D249" s="99"/>
      <x:c r="E249" s="99"/>
      <x:c r="F249" s="99"/>
      <x:c r="G249" s="99"/>
      <x:c r="H249" s="99"/>
      <x:c r="I249" s="99"/>
      <x:c r="J249" s="99"/>
      <x:c r="K249" s="99"/>
      <x:c r="L249" s="99"/>
      <x:c r="M249" s="99"/>
      <x:c r="N249" s="99"/>
      <x:c r="O249" s="99"/>
      <x:c r="P249" s="99"/>
      <x:c r="Q249" s="99"/>
      <x:c r="R249" s="99"/>
      <x:c r="S249" s="99"/>
      <x:c r="T249" s="99"/>
      <x:c r="U249" s="99"/>
      <x:c r="V249" s="99"/>
      <x:c r="W249" s="99"/>
      <x:c r="X249" s="99"/>
      <x:c r="Y249" s="99"/>
      <x:c r="Z249" s="99"/>
    </x:row>
    <x:row r="250">
      <x:c r="A250" s="99"/>
      <x:c r="B250" s="99"/>
      <x:c r="C250" s="99"/>
      <x:c r="D250" s="99"/>
      <x:c r="E250" s="99"/>
      <x:c r="F250" s="99"/>
      <x:c r="G250" s="99"/>
      <x:c r="H250" s="99"/>
      <x:c r="I250" s="99"/>
      <x:c r="J250" s="99"/>
      <x:c r="K250" s="99"/>
      <x:c r="L250" s="99"/>
      <x:c r="M250" s="99"/>
      <x:c r="N250" s="99"/>
      <x:c r="O250" s="99"/>
      <x:c r="P250" s="99"/>
      <x:c r="Q250" s="99"/>
      <x:c r="R250" s="99"/>
      <x:c r="S250" s="99"/>
      <x:c r="T250" s="99"/>
      <x:c r="U250" s="99"/>
      <x:c r="V250" s="99"/>
      <x:c r="W250" s="99"/>
      <x:c r="X250" s="99"/>
      <x:c r="Y250" s="99"/>
      <x:c r="Z250" s="99"/>
    </x:row>
    <x:row r="251">
      <x:c r="A251" s="99"/>
      <x:c r="B251" s="99"/>
      <x:c r="C251" s="99"/>
      <x:c r="D251" s="99"/>
      <x:c r="E251" s="99"/>
      <x:c r="F251" s="99"/>
      <x:c r="G251" s="99"/>
      <x:c r="H251" s="99"/>
      <x:c r="I251" s="99"/>
      <x:c r="J251" s="99"/>
      <x:c r="K251" s="99"/>
      <x:c r="L251" s="99"/>
      <x:c r="M251" s="99"/>
      <x:c r="N251" s="99"/>
      <x:c r="O251" s="99"/>
      <x:c r="P251" s="99"/>
      <x:c r="Q251" s="99"/>
      <x:c r="R251" s="99"/>
      <x:c r="S251" s="99"/>
      <x:c r="T251" s="99"/>
      <x:c r="U251" s="99"/>
      <x:c r="V251" s="99"/>
      <x:c r="W251" s="99"/>
      <x:c r="X251" s="99"/>
      <x:c r="Y251" s="99"/>
      <x:c r="Z251" s="99"/>
    </x:row>
    <x:row r="252">
      <x:c r="A252" s="99"/>
      <x:c r="B252" s="99"/>
      <x:c r="C252" s="99"/>
      <x:c r="D252" s="99"/>
      <x:c r="E252" s="99"/>
      <x:c r="F252" s="99"/>
      <x:c r="G252" s="99"/>
      <x:c r="H252" s="99"/>
      <x:c r="I252" s="99"/>
      <x:c r="J252" s="99"/>
      <x:c r="K252" s="99"/>
      <x:c r="L252" s="99"/>
      <x:c r="M252" s="99"/>
      <x:c r="N252" s="99"/>
      <x:c r="O252" s="99"/>
      <x:c r="P252" s="99"/>
      <x:c r="Q252" s="99"/>
      <x:c r="R252" s="99"/>
      <x:c r="S252" s="99"/>
      <x:c r="T252" s="99"/>
      <x:c r="U252" s="99"/>
      <x:c r="V252" s="99"/>
      <x:c r="W252" s="99"/>
      <x:c r="X252" s="99"/>
      <x:c r="Y252" s="99"/>
      <x:c r="Z252" s="99"/>
    </x:row>
    <x:row r="253">
      <x:c r="A253" s="99"/>
      <x:c r="B253" s="99"/>
      <x:c r="C253" s="99"/>
      <x:c r="D253" s="99"/>
      <x:c r="E253" s="99"/>
      <x:c r="F253" s="99"/>
      <x:c r="G253" s="99"/>
      <x:c r="H253" s="99"/>
      <x:c r="I253" s="99"/>
      <x:c r="J253" s="99"/>
      <x:c r="K253" s="99"/>
      <x:c r="L253" s="99"/>
      <x:c r="M253" s="99"/>
      <x:c r="N253" s="99"/>
      <x:c r="O253" s="99"/>
      <x:c r="P253" s="99"/>
      <x:c r="Q253" s="99"/>
      <x:c r="R253" s="99"/>
      <x:c r="S253" s="99"/>
      <x:c r="T253" s="99"/>
      <x:c r="U253" s="99"/>
      <x:c r="V253" s="99"/>
      <x:c r="W253" s="99"/>
      <x:c r="X253" s="99"/>
      <x:c r="Y253" s="99"/>
      <x:c r="Z253" s="99"/>
    </x:row>
    <x:row r="254">
      <x:c r="A254" s="99"/>
      <x:c r="B254" s="99"/>
      <x:c r="C254" s="99"/>
      <x:c r="D254" s="99"/>
      <x:c r="E254" s="99"/>
      <x:c r="F254" s="99"/>
      <x:c r="G254" s="99"/>
      <x:c r="H254" s="99"/>
      <x:c r="I254" s="99"/>
      <x:c r="J254" s="99"/>
      <x:c r="K254" s="99"/>
      <x:c r="L254" s="99"/>
      <x:c r="M254" s="99"/>
      <x:c r="N254" s="99"/>
      <x:c r="O254" s="99"/>
      <x:c r="P254" s="99"/>
      <x:c r="Q254" s="99"/>
      <x:c r="R254" s="99"/>
      <x:c r="S254" s="99"/>
      <x:c r="T254" s="99"/>
      <x:c r="U254" s="99"/>
      <x:c r="V254" s="99"/>
      <x:c r="W254" s="99"/>
      <x:c r="X254" s="99"/>
      <x:c r="Y254" s="99"/>
      <x:c r="Z254" s="99"/>
    </x:row>
    <x:row r="255">
      <x:c r="A255" s="99"/>
      <x:c r="B255" s="99"/>
      <x:c r="C255" s="99"/>
      <x:c r="D255" s="99"/>
      <x:c r="E255" s="99"/>
      <x:c r="F255" s="99"/>
      <x:c r="G255" s="99"/>
      <x:c r="H255" s="99"/>
      <x:c r="I255" s="99"/>
      <x:c r="J255" s="99"/>
      <x:c r="K255" s="99"/>
      <x:c r="L255" s="99"/>
      <x:c r="M255" s="99"/>
      <x:c r="N255" s="99"/>
      <x:c r="O255" s="99"/>
      <x:c r="P255" s="99"/>
      <x:c r="Q255" s="99"/>
      <x:c r="R255" s="99"/>
      <x:c r="S255" s="99"/>
      <x:c r="T255" s="99"/>
      <x:c r="U255" s="99"/>
      <x:c r="V255" s="99"/>
      <x:c r="W255" s="99"/>
      <x:c r="X255" s="99"/>
      <x:c r="Y255" s="99"/>
      <x:c r="Z255" s="99"/>
    </x:row>
    <x:row r="256">
      <x:c r="A256" s="99"/>
      <x:c r="B256" s="99"/>
      <x:c r="C256" s="99"/>
      <x:c r="D256" s="99"/>
      <x:c r="E256" s="99"/>
      <x:c r="F256" s="99"/>
      <x:c r="G256" s="99"/>
      <x:c r="H256" s="99"/>
      <x:c r="I256" s="99"/>
      <x:c r="J256" s="99"/>
      <x:c r="K256" s="99"/>
      <x:c r="L256" s="99"/>
      <x:c r="M256" s="99"/>
      <x:c r="N256" s="99"/>
      <x:c r="O256" s="99"/>
      <x:c r="P256" s="99"/>
      <x:c r="Q256" s="99"/>
      <x:c r="R256" s="99"/>
      <x:c r="S256" s="99"/>
      <x:c r="T256" s="99"/>
      <x:c r="U256" s="99"/>
      <x:c r="V256" s="99"/>
      <x:c r="W256" s="99"/>
      <x:c r="X256" s="99"/>
      <x:c r="Y256" s="99"/>
      <x:c r="Z256" s="99"/>
    </x:row>
    <x:row r="257">
      <x:c r="A257" s="99"/>
      <x:c r="B257" s="99"/>
      <x:c r="C257" s="99"/>
      <x:c r="D257" s="99"/>
      <x:c r="E257" s="99"/>
      <x:c r="F257" s="99"/>
      <x:c r="G257" s="99"/>
      <x:c r="H257" s="99"/>
      <x:c r="I257" s="99"/>
      <x:c r="J257" s="99"/>
      <x:c r="K257" s="99"/>
      <x:c r="L257" s="99"/>
      <x:c r="M257" s="99"/>
      <x:c r="N257" s="99"/>
      <x:c r="O257" s="99"/>
      <x:c r="P257" s="99"/>
      <x:c r="Q257" s="99"/>
      <x:c r="R257" s="99"/>
      <x:c r="S257" s="99"/>
      <x:c r="T257" s="99"/>
      <x:c r="U257" s="99"/>
      <x:c r="V257" s="99"/>
      <x:c r="W257" s="99"/>
      <x:c r="X257" s="99"/>
      <x:c r="Y257" s="99"/>
      <x:c r="Z257" s="99"/>
    </x:row>
    <x:row r="258">
      <x:c r="A258" s="99"/>
      <x:c r="B258" s="99"/>
      <x:c r="C258" s="99"/>
      <x:c r="D258" s="99"/>
      <x:c r="E258" s="99"/>
      <x:c r="F258" s="99"/>
      <x:c r="G258" s="99"/>
      <x:c r="H258" s="99"/>
      <x:c r="I258" s="99"/>
      <x:c r="J258" s="99"/>
      <x:c r="K258" s="99"/>
      <x:c r="L258" s="99"/>
      <x:c r="M258" s="99"/>
      <x:c r="N258" s="99"/>
      <x:c r="O258" s="99"/>
      <x:c r="P258" s="99"/>
      <x:c r="Q258" s="99"/>
      <x:c r="R258" s="99"/>
      <x:c r="S258" s="99"/>
      <x:c r="T258" s="99"/>
      <x:c r="U258" s="99"/>
      <x:c r="V258" s="99"/>
      <x:c r="W258" s="99"/>
      <x:c r="X258" s="99"/>
      <x:c r="Y258" s="99"/>
      <x:c r="Z258" s="99"/>
    </x:row>
    <x:row r="259">
      <x:c r="A259" s="99"/>
      <x:c r="B259" s="99"/>
      <x:c r="C259" s="99"/>
      <x:c r="D259" s="99"/>
      <x:c r="E259" s="99"/>
      <x:c r="F259" s="99"/>
      <x:c r="G259" s="99"/>
      <x:c r="H259" s="99"/>
      <x:c r="I259" s="99"/>
      <x:c r="J259" s="99"/>
      <x:c r="K259" s="99"/>
      <x:c r="L259" s="99"/>
      <x:c r="M259" s="99"/>
      <x:c r="N259" s="99"/>
      <x:c r="O259" s="99"/>
      <x:c r="P259" s="99"/>
      <x:c r="Q259" s="99"/>
      <x:c r="R259" s="99"/>
      <x:c r="S259" s="99"/>
      <x:c r="T259" s="99"/>
      <x:c r="U259" s="99"/>
      <x:c r="V259" s="99"/>
      <x:c r="W259" s="99"/>
      <x:c r="X259" s="99"/>
      <x:c r="Y259" s="99"/>
      <x:c r="Z259" s="99"/>
    </x:row>
    <x:row r="260">
      <x:c r="A260" s="99"/>
      <x:c r="B260" s="99"/>
      <x:c r="C260" s="99"/>
      <x:c r="D260" s="99"/>
      <x:c r="E260" s="99"/>
      <x:c r="F260" s="99"/>
      <x:c r="G260" s="99"/>
      <x:c r="H260" s="99"/>
      <x:c r="I260" s="99"/>
      <x:c r="J260" s="99"/>
      <x:c r="K260" s="99"/>
      <x:c r="L260" s="99"/>
      <x:c r="M260" s="99"/>
      <x:c r="N260" s="99"/>
      <x:c r="O260" s="99"/>
      <x:c r="P260" s="99"/>
      <x:c r="Q260" s="99"/>
      <x:c r="R260" s="99"/>
      <x:c r="S260" s="99"/>
      <x:c r="T260" s="99"/>
      <x:c r="U260" s="99"/>
      <x:c r="V260" s="99"/>
      <x:c r="W260" s="99"/>
      <x:c r="X260" s="99"/>
      <x:c r="Y260" s="99"/>
      <x:c r="Z260" s="99"/>
    </x:row>
    <x:row r="261">
      <x:c r="A261" s="99"/>
      <x:c r="B261" s="99"/>
      <x:c r="C261" s="99"/>
      <x:c r="D261" s="99"/>
      <x:c r="E261" s="99"/>
      <x:c r="F261" s="99"/>
      <x:c r="G261" s="99"/>
      <x:c r="H261" s="99"/>
      <x:c r="I261" s="99"/>
      <x:c r="J261" s="99"/>
      <x:c r="K261" s="99"/>
      <x:c r="L261" s="99"/>
      <x:c r="M261" s="99"/>
      <x:c r="N261" s="99"/>
      <x:c r="O261" s="99"/>
      <x:c r="P261" s="99"/>
      <x:c r="Q261" s="99"/>
      <x:c r="R261" s="99"/>
      <x:c r="S261" s="99"/>
      <x:c r="T261" s="99"/>
      <x:c r="U261" s="99"/>
      <x:c r="V261" s="99"/>
      <x:c r="W261" s="99"/>
      <x:c r="X261" s="99"/>
      <x:c r="Y261" s="99"/>
      <x:c r="Z261" s="99"/>
    </x:row>
    <x:row r="262">
      <x:c r="A262" s="99"/>
      <x:c r="B262" s="99"/>
      <x:c r="C262" s="99"/>
      <x:c r="D262" s="99"/>
      <x:c r="E262" s="99"/>
      <x:c r="F262" s="99"/>
      <x:c r="G262" s="99"/>
      <x:c r="H262" s="99"/>
      <x:c r="I262" s="99"/>
      <x:c r="J262" s="99"/>
      <x:c r="K262" s="99"/>
      <x:c r="L262" s="99"/>
      <x:c r="M262" s="99"/>
      <x:c r="N262" s="99"/>
      <x:c r="O262" s="99"/>
      <x:c r="P262" s="99"/>
      <x:c r="Q262" s="99"/>
      <x:c r="R262" s="99"/>
      <x:c r="S262" s="99"/>
      <x:c r="T262" s="99"/>
      <x:c r="U262" s="99"/>
      <x:c r="V262" s="99"/>
      <x:c r="W262" s="99"/>
      <x:c r="X262" s="99"/>
      <x:c r="Y262" s="99"/>
      <x:c r="Z262" s="99"/>
    </x:row>
    <x:row r="263">
      <x:c r="A263" s="99"/>
      <x:c r="B263" s="99"/>
      <x:c r="C263" s="99"/>
      <x:c r="D263" s="99"/>
      <x:c r="E263" s="99"/>
      <x:c r="F263" s="99"/>
      <x:c r="G263" s="99"/>
      <x:c r="H263" s="99"/>
      <x:c r="I263" s="99"/>
      <x:c r="J263" s="99"/>
      <x:c r="K263" s="99"/>
      <x:c r="L263" s="99"/>
      <x:c r="M263" s="99"/>
      <x:c r="N263" s="99"/>
      <x:c r="O263" s="99"/>
      <x:c r="P263" s="99"/>
      <x:c r="Q263" s="99"/>
      <x:c r="R263" s="99"/>
      <x:c r="S263" s="99"/>
      <x:c r="T263" s="99"/>
      <x:c r="U263" s="99"/>
      <x:c r="V263" s="99"/>
      <x:c r="W263" s="99"/>
      <x:c r="X263" s="99"/>
      <x:c r="Y263" s="99"/>
      <x:c r="Z263" s="99"/>
    </x:row>
    <x:row r="264">
      <x:c r="A264" s="99"/>
      <x:c r="B264" s="99"/>
      <x:c r="C264" s="99"/>
      <x:c r="D264" s="99"/>
      <x:c r="E264" s="99"/>
      <x:c r="F264" s="99"/>
      <x:c r="G264" s="99"/>
      <x:c r="H264" s="99"/>
      <x:c r="I264" s="99"/>
      <x:c r="J264" s="99"/>
      <x:c r="K264" s="99"/>
      <x:c r="L264" s="99"/>
      <x:c r="M264" s="99"/>
      <x:c r="N264" s="99"/>
      <x:c r="O264" s="99"/>
      <x:c r="P264" s="99"/>
      <x:c r="Q264" s="99"/>
      <x:c r="R264" s="99"/>
      <x:c r="S264" s="99"/>
      <x:c r="T264" s="99"/>
      <x:c r="U264" s="99"/>
      <x:c r="V264" s="99"/>
      <x:c r="W264" s="99"/>
      <x:c r="X264" s="99"/>
      <x:c r="Y264" s="99"/>
      <x:c r="Z264" s="99"/>
    </x:row>
    <x:row r="265">
      <x:c r="A265" s="99"/>
      <x:c r="B265" s="99"/>
      <x:c r="C265" s="99"/>
      <x:c r="D265" s="99"/>
      <x:c r="E265" s="99"/>
      <x:c r="F265" s="99"/>
      <x:c r="G265" s="99"/>
      <x:c r="H265" s="99"/>
      <x:c r="I265" s="99"/>
      <x:c r="J265" s="99"/>
      <x:c r="K265" s="99"/>
      <x:c r="L265" s="99"/>
      <x:c r="M265" s="99"/>
      <x:c r="N265" s="99"/>
      <x:c r="O265" s="99"/>
      <x:c r="P265" s="99"/>
      <x:c r="Q265" s="99"/>
      <x:c r="R265" s="99"/>
      <x:c r="S265" s="99"/>
      <x:c r="T265" s="99"/>
      <x:c r="U265" s="99"/>
      <x:c r="V265" s="99"/>
      <x:c r="W265" s="99"/>
      <x:c r="X265" s="99"/>
      <x:c r="Y265" s="99"/>
      <x:c r="Z265" s="99"/>
    </x:row>
    <x:row r="266">
      <x:c r="A266" s="99"/>
      <x:c r="B266" s="99"/>
      <x:c r="C266" s="99"/>
      <x:c r="D266" s="99"/>
      <x:c r="E266" s="99"/>
      <x:c r="F266" s="99"/>
      <x:c r="G266" s="99"/>
      <x:c r="H266" s="99"/>
      <x:c r="I266" s="99"/>
      <x:c r="J266" s="99"/>
      <x:c r="K266" s="99"/>
      <x:c r="L266" s="99"/>
      <x:c r="M266" s="99"/>
      <x:c r="N266" s="99"/>
      <x:c r="O266" s="99"/>
      <x:c r="P266" s="99"/>
      <x:c r="Q266" s="99"/>
      <x:c r="R266" s="99"/>
      <x:c r="S266" s="99"/>
      <x:c r="T266" s="99"/>
      <x:c r="U266" s="99"/>
      <x:c r="V266" s="99"/>
      <x:c r="W266" s="99"/>
      <x:c r="X266" s="99"/>
      <x:c r="Y266" s="99"/>
      <x:c r="Z266" s="99"/>
    </x:row>
    <x:row r="267">
      <x:c r="A267" s="99"/>
      <x:c r="B267" s="99"/>
      <x:c r="C267" s="99"/>
      <x:c r="D267" s="99"/>
      <x:c r="E267" s="99"/>
      <x:c r="F267" s="99"/>
      <x:c r="G267" s="99"/>
      <x:c r="H267" s="99"/>
      <x:c r="I267" s="99"/>
      <x:c r="J267" s="99"/>
      <x:c r="K267" s="99"/>
      <x:c r="L267" s="99"/>
      <x:c r="M267" s="99"/>
      <x:c r="N267" s="99"/>
      <x:c r="O267" s="99"/>
      <x:c r="P267" s="99"/>
      <x:c r="Q267" s="99"/>
      <x:c r="R267" s="99"/>
      <x:c r="S267" s="99"/>
      <x:c r="T267" s="99"/>
      <x:c r="U267" s="99"/>
      <x:c r="V267" s="99"/>
      <x:c r="W267" s="99"/>
      <x:c r="X267" s="99"/>
      <x:c r="Y267" s="99"/>
      <x:c r="Z267" s="99"/>
    </x:row>
    <x:row r="268">
      <x:c r="A268" s="99"/>
      <x:c r="B268" s="99"/>
      <x:c r="C268" s="99"/>
      <x:c r="D268" s="99"/>
      <x:c r="E268" s="99"/>
      <x:c r="F268" s="99"/>
      <x:c r="G268" s="99"/>
      <x:c r="H268" s="99"/>
      <x:c r="I268" s="99"/>
      <x:c r="J268" s="99"/>
      <x:c r="K268" s="99"/>
      <x:c r="L268" s="99"/>
      <x:c r="M268" s="99"/>
      <x:c r="N268" s="99"/>
      <x:c r="O268" s="99"/>
      <x:c r="P268" s="99"/>
      <x:c r="Q268" s="99"/>
      <x:c r="R268" s="99"/>
      <x:c r="S268" s="99"/>
      <x:c r="T268" s="99"/>
      <x:c r="U268" s="99"/>
      <x:c r="V268" s="99"/>
      <x:c r="W268" s="99"/>
      <x:c r="X268" s="99"/>
      <x:c r="Y268" s="99"/>
      <x:c r="Z268" s="99"/>
    </x:row>
    <x:row r="269">
      <x:c r="A269" s="99"/>
      <x:c r="B269" s="99"/>
      <x:c r="C269" s="99"/>
      <x:c r="D269" s="99"/>
      <x:c r="E269" s="99"/>
      <x:c r="F269" s="99"/>
      <x:c r="G269" s="99"/>
      <x:c r="H269" s="99"/>
      <x:c r="I269" s="99"/>
      <x:c r="J269" s="99"/>
      <x:c r="K269" s="99"/>
      <x:c r="L269" s="99"/>
      <x:c r="M269" s="99"/>
      <x:c r="N269" s="99"/>
      <x:c r="O269" s="99"/>
      <x:c r="P269" s="99"/>
      <x:c r="Q269" s="99"/>
      <x:c r="R269" s="99"/>
      <x:c r="S269" s="99"/>
      <x:c r="T269" s="99"/>
      <x:c r="U269" s="99"/>
      <x:c r="V269" s="99"/>
      <x:c r="W269" s="99"/>
      <x:c r="X269" s="99"/>
      <x:c r="Y269" s="99"/>
      <x:c r="Z269" s="99"/>
    </x:row>
    <x:row r="270">
      <x:c r="A270" s="99"/>
      <x:c r="B270" s="99"/>
      <x:c r="C270" s="99"/>
      <x:c r="D270" s="99"/>
      <x:c r="E270" s="99"/>
      <x:c r="F270" s="99"/>
      <x:c r="G270" s="99"/>
      <x:c r="H270" s="99"/>
      <x:c r="I270" s="99"/>
      <x:c r="J270" s="99"/>
      <x:c r="K270" s="99"/>
      <x:c r="L270" s="99"/>
      <x:c r="M270" s="99"/>
      <x:c r="N270" s="99"/>
      <x:c r="O270" s="99"/>
      <x:c r="P270" s="99"/>
      <x:c r="Q270" s="99"/>
      <x:c r="R270" s="99"/>
      <x:c r="S270" s="99"/>
      <x:c r="T270" s="99"/>
      <x:c r="U270" s="99"/>
      <x:c r="V270" s="99"/>
      <x:c r="W270" s="99"/>
      <x:c r="X270" s="99"/>
      <x:c r="Y270" s="99"/>
      <x:c r="Z270" s="99"/>
    </x:row>
    <x:row r="271">
      <x:c r="A271" s="99"/>
      <x:c r="B271" s="99"/>
      <x:c r="C271" s="99"/>
      <x:c r="D271" s="99"/>
      <x:c r="E271" s="99"/>
      <x:c r="F271" s="99"/>
      <x:c r="G271" s="99"/>
      <x:c r="H271" s="99"/>
      <x:c r="I271" s="99"/>
      <x:c r="J271" s="99"/>
      <x:c r="K271" s="99"/>
      <x:c r="L271" s="99"/>
      <x:c r="M271" s="99"/>
      <x:c r="N271" s="99"/>
      <x:c r="O271" s="99"/>
      <x:c r="P271" s="99"/>
      <x:c r="Q271" s="99"/>
      <x:c r="R271" s="99"/>
      <x:c r="S271" s="99"/>
      <x:c r="T271" s="99"/>
      <x:c r="U271" s="99"/>
      <x:c r="V271" s="99"/>
      <x:c r="W271" s="99"/>
      <x:c r="X271" s="99"/>
      <x:c r="Y271" s="99"/>
      <x:c r="Z271" s="99"/>
    </x:row>
    <x:row r="272">
      <x:c r="A272" s="99"/>
      <x:c r="B272" s="99"/>
      <x:c r="C272" s="99"/>
      <x:c r="D272" s="99"/>
      <x:c r="E272" s="99"/>
      <x:c r="F272" s="99"/>
      <x:c r="G272" s="99"/>
      <x:c r="H272" s="99"/>
      <x:c r="I272" s="99"/>
      <x:c r="J272" s="99"/>
      <x:c r="K272" s="99"/>
      <x:c r="L272" s="99"/>
      <x:c r="M272" s="99"/>
      <x:c r="N272" s="99"/>
      <x:c r="O272" s="99"/>
      <x:c r="P272" s="99"/>
      <x:c r="Q272" s="99"/>
      <x:c r="R272" s="99"/>
      <x:c r="S272" s="99"/>
      <x:c r="T272" s="99"/>
      <x:c r="U272" s="99"/>
      <x:c r="V272" s="99"/>
      <x:c r="W272" s="99"/>
      <x:c r="X272" s="99"/>
      <x:c r="Y272" s="99"/>
      <x:c r="Z272" s="99"/>
    </x:row>
    <x:row r="273">
      <x:c r="A273" s="99"/>
      <x:c r="B273" s="99"/>
      <x:c r="C273" s="99"/>
      <x:c r="D273" s="99"/>
      <x:c r="E273" s="99"/>
      <x:c r="F273" s="99"/>
      <x:c r="G273" s="99"/>
      <x:c r="H273" s="99"/>
      <x:c r="I273" s="99"/>
      <x:c r="J273" s="99"/>
      <x:c r="K273" s="99"/>
      <x:c r="L273" s="99"/>
      <x:c r="M273" s="99"/>
      <x:c r="N273" s="99"/>
      <x:c r="O273" s="99"/>
      <x:c r="P273" s="99"/>
      <x:c r="Q273" s="99"/>
      <x:c r="R273" s="99"/>
      <x:c r="S273" s="99"/>
      <x:c r="T273" s="99"/>
      <x:c r="U273" s="99"/>
      <x:c r="V273" s="99"/>
      <x:c r="W273" s="99"/>
      <x:c r="X273" s="99"/>
      <x:c r="Y273" s="99"/>
      <x:c r="Z273" s="99"/>
    </x:row>
    <x:row r="274">
      <x:c r="A274" s="99"/>
      <x:c r="B274" s="99"/>
      <x:c r="C274" s="99"/>
      <x:c r="D274" s="99"/>
      <x:c r="E274" s="99"/>
      <x:c r="F274" s="99"/>
      <x:c r="G274" s="99"/>
      <x:c r="H274" s="99"/>
      <x:c r="I274" s="99"/>
      <x:c r="J274" s="99"/>
      <x:c r="K274" s="99"/>
      <x:c r="L274" s="99"/>
      <x:c r="M274" s="99"/>
      <x:c r="N274" s="99"/>
      <x:c r="O274" s="99"/>
      <x:c r="P274" s="99"/>
      <x:c r="Q274" s="99"/>
      <x:c r="R274" s="99"/>
      <x:c r="S274" s="99"/>
      <x:c r="T274" s="99"/>
      <x:c r="U274" s="99"/>
      <x:c r="V274" s="99"/>
      <x:c r="W274" s="99"/>
      <x:c r="X274" s="99"/>
      <x:c r="Y274" s="99"/>
      <x:c r="Z274" s="99"/>
    </x:row>
    <x:row r="275">
      <x:c r="A275" s="99"/>
      <x:c r="B275" s="99"/>
      <x:c r="C275" s="99"/>
      <x:c r="D275" s="99"/>
      <x:c r="E275" s="99"/>
      <x:c r="F275" s="99"/>
      <x:c r="G275" s="99"/>
      <x:c r="H275" s="99"/>
      <x:c r="I275" s="99"/>
      <x:c r="J275" s="99"/>
      <x:c r="K275" s="99"/>
      <x:c r="L275" s="99"/>
      <x:c r="M275" s="99"/>
      <x:c r="N275" s="99"/>
      <x:c r="O275" s="99"/>
      <x:c r="P275" s="99"/>
      <x:c r="Q275" s="99"/>
      <x:c r="R275" s="99"/>
      <x:c r="S275" s="99"/>
      <x:c r="T275" s="99"/>
      <x:c r="U275" s="99"/>
      <x:c r="V275" s="99"/>
      <x:c r="W275" s="99"/>
      <x:c r="X275" s="99"/>
      <x:c r="Y275" s="99"/>
      <x:c r="Z275" s="99"/>
    </x:row>
    <x:row r="276">
      <x:c r="A276" s="99"/>
      <x:c r="B276" s="99"/>
      <x:c r="C276" s="99"/>
      <x:c r="D276" s="99"/>
      <x:c r="E276" s="99"/>
      <x:c r="F276" s="99"/>
      <x:c r="G276" s="99"/>
      <x:c r="H276" s="99"/>
      <x:c r="I276" s="99"/>
      <x:c r="J276" s="99"/>
      <x:c r="K276" s="99"/>
      <x:c r="L276" s="99"/>
      <x:c r="M276" s="99"/>
      <x:c r="N276" s="99"/>
      <x:c r="O276" s="99"/>
      <x:c r="P276" s="99"/>
      <x:c r="Q276" s="99"/>
      <x:c r="R276" s="99"/>
      <x:c r="S276" s="99"/>
      <x:c r="T276" s="99"/>
      <x:c r="U276" s="99"/>
      <x:c r="V276" s="99"/>
      <x:c r="W276" s="99"/>
      <x:c r="X276" s="99"/>
      <x:c r="Y276" s="99"/>
      <x:c r="Z276" s="99"/>
    </x:row>
    <x:row r="277">
      <x:c r="A277" s="99"/>
      <x:c r="B277" s="99"/>
      <x:c r="C277" s="99"/>
      <x:c r="D277" s="99"/>
      <x:c r="E277" s="99"/>
      <x:c r="F277" s="99"/>
      <x:c r="G277" s="99"/>
      <x:c r="H277" s="99"/>
      <x:c r="I277" s="99"/>
      <x:c r="J277" s="99"/>
      <x:c r="K277" s="99"/>
      <x:c r="L277" s="99"/>
      <x:c r="M277" s="99"/>
      <x:c r="N277" s="99"/>
      <x:c r="O277" s="99"/>
      <x:c r="P277" s="99"/>
      <x:c r="Q277" s="99"/>
      <x:c r="R277" s="99"/>
      <x:c r="S277" s="99"/>
      <x:c r="T277" s="99"/>
      <x:c r="U277" s="99"/>
      <x:c r="V277" s="99"/>
      <x:c r="W277" s="99"/>
      <x:c r="X277" s="99"/>
      <x:c r="Y277" s="99"/>
      <x:c r="Z277" s="99"/>
    </x:row>
    <x:row r="278">
      <x:c r="A278" s="99"/>
      <x:c r="B278" s="99"/>
      <x:c r="C278" s="99"/>
      <x:c r="D278" s="99"/>
      <x:c r="E278" s="99"/>
      <x:c r="F278" s="99"/>
      <x:c r="G278" s="99"/>
      <x:c r="H278" s="99"/>
      <x:c r="I278" s="99"/>
      <x:c r="J278" s="99"/>
      <x:c r="K278" s="99"/>
      <x:c r="L278" s="99"/>
      <x:c r="M278" s="99"/>
      <x:c r="N278" s="99"/>
      <x:c r="O278" s="99"/>
      <x:c r="P278" s="99"/>
      <x:c r="Q278" s="99"/>
      <x:c r="R278" s="99"/>
      <x:c r="S278" s="99"/>
      <x:c r="T278" s="99"/>
      <x:c r="U278" s="99"/>
      <x:c r="V278" s="99"/>
      <x:c r="W278" s="99"/>
      <x:c r="X278" s="99"/>
      <x:c r="Y278" s="99"/>
      <x:c r="Z278" s="99"/>
    </x:row>
    <x:row r="279">
      <x:c r="A279" s="99"/>
      <x:c r="B279" s="99"/>
      <x:c r="C279" s="99"/>
      <x:c r="D279" s="99"/>
      <x:c r="E279" s="99"/>
      <x:c r="F279" s="99"/>
      <x:c r="G279" s="99"/>
      <x:c r="H279" s="99"/>
      <x:c r="I279" s="99"/>
      <x:c r="J279" s="99"/>
      <x:c r="K279" s="99"/>
      <x:c r="L279" s="99"/>
      <x:c r="M279" s="99"/>
      <x:c r="N279" s="99"/>
      <x:c r="O279" s="99"/>
      <x:c r="P279" s="99"/>
      <x:c r="Q279" s="99"/>
      <x:c r="R279" s="99"/>
      <x:c r="S279" s="99"/>
      <x:c r="T279" s="99"/>
      <x:c r="U279" s="99"/>
      <x:c r="V279" s="99"/>
      <x:c r="W279" s="99"/>
      <x:c r="X279" s="99"/>
      <x:c r="Y279" s="99"/>
      <x:c r="Z279" s="99"/>
    </x:row>
    <x:row r="280">
      <x:c r="A280" s="99"/>
      <x:c r="B280" s="99"/>
      <x:c r="C280" s="99"/>
      <x:c r="D280" s="99"/>
      <x:c r="E280" s="99"/>
      <x:c r="F280" s="99"/>
      <x:c r="G280" s="99"/>
      <x:c r="H280" s="99"/>
      <x:c r="I280" s="99"/>
      <x:c r="J280" s="99"/>
      <x:c r="K280" s="99"/>
      <x:c r="L280" s="99"/>
      <x:c r="M280" s="99"/>
      <x:c r="N280" s="99"/>
      <x:c r="O280" s="99"/>
      <x:c r="P280" s="99"/>
      <x:c r="Q280" s="99"/>
      <x:c r="R280" s="99"/>
      <x:c r="S280" s="99"/>
      <x:c r="T280" s="99"/>
      <x:c r="U280" s="99"/>
      <x:c r="V280" s="99"/>
      <x:c r="W280" s="99"/>
      <x:c r="X280" s="99"/>
      <x:c r="Y280" s="99"/>
      <x:c r="Z280" s="99"/>
    </x:row>
    <x:row r="281">
      <x:c r="A281" s="99"/>
      <x:c r="B281" s="99"/>
      <x:c r="C281" s="99"/>
      <x:c r="D281" s="99"/>
      <x:c r="E281" s="99"/>
      <x:c r="F281" s="99"/>
      <x:c r="G281" s="99"/>
      <x:c r="H281" s="99"/>
      <x:c r="I281" s="99"/>
      <x:c r="J281" s="99"/>
      <x:c r="K281" s="99"/>
      <x:c r="L281" s="99"/>
      <x:c r="M281" s="99"/>
      <x:c r="N281" s="99"/>
      <x:c r="O281" s="99"/>
      <x:c r="P281" s="99"/>
      <x:c r="Q281" s="99"/>
      <x:c r="R281" s="99"/>
      <x:c r="S281" s="99"/>
      <x:c r="T281" s="99"/>
      <x:c r="U281" s="99"/>
      <x:c r="V281" s="99"/>
      <x:c r="W281" s="99"/>
      <x:c r="X281" s="99"/>
      <x:c r="Y281" s="99"/>
      <x:c r="Z281" s="99"/>
    </x:row>
    <x:row r="282">
      <x:c r="A282" s="99"/>
      <x:c r="B282" s="99"/>
      <x:c r="C282" s="99"/>
      <x:c r="D282" s="99"/>
      <x:c r="E282" s="99"/>
      <x:c r="F282" s="99"/>
      <x:c r="G282" s="99"/>
      <x:c r="H282" s="99"/>
      <x:c r="I282" s="99"/>
      <x:c r="J282" s="99"/>
      <x:c r="K282" s="99"/>
      <x:c r="L282" s="99"/>
      <x:c r="M282" s="99"/>
      <x:c r="N282" s="99"/>
      <x:c r="O282" s="99"/>
      <x:c r="P282" s="99"/>
      <x:c r="Q282" s="99"/>
      <x:c r="R282" s="99"/>
      <x:c r="S282" s="99"/>
      <x:c r="T282" s="99"/>
      <x:c r="U282" s="99"/>
      <x:c r="V282" s="99"/>
      <x:c r="W282" s="99"/>
      <x:c r="X282" s="99"/>
      <x:c r="Y282" s="99"/>
      <x:c r="Z282" s="99"/>
    </x:row>
    <x:row r="283">
      <x:c r="A283" s="99"/>
      <x:c r="B283" s="99"/>
      <x:c r="C283" s="99"/>
      <x:c r="D283" s="99"/>
      <x:c r="E283" s="99"/>
      <x:c r="F283" s="99"/>
      <x:c r="G283" s="99"/>
      <x:c r="H283" s="99"/>
      <x:c r="I283" s="99"/>
      <x:c r="J283" s="99"/>
      <x:c r="K283" s="99"/>
      <x:c r="L283" s="99"/>
      <x:c r="M283" s="99"/>
      <x:c r="N283" s="99"/>
      <x:c r="O283" s="99"/>
      <x:c r="P283" s="99"/>
      <x:c r="Q283" s="99"/>
      <x:c r="R283" s="99"/>
      <x:c r="S283" s="99"/>
      <x:c r="T283" s="99"/>
      <x:c r="U283" s="99"/>
      <x:c r="V283" s="99"/>
      <x:c r="W283" s="99"/>
      <x:c r="X283" s="99"/>
      <x:c r="Y283" s="99"/>
      <x:c r="Z283" s="99"/>
    </x:row>
    <x:row r="284">
      <x:c r="A284" s="99"/>
      <x:c r="B284" s="99"/>
      <x:c r="C284" s="99"/>
      <x:c r="D284" s="99"/>
      <x:c r="E284" s="99"/>
      <x:c r="F284" s="99"/>
      <x:c r="G284" s="99"/>
      <x:c r="H284" s="99"/>
      <x:c r="I284" s="99"/>
      <x:c r="J284" s="99"/>
      <x:c r="K284" s="99"/>
      <x:c r="L284" s="99"/>
      <x:c r="M284" s="99"/>
      <x:c r="N284" s="99"/>
      <x:c r="O284" s="99"/>
      <x:c r="P284" s="99"/>
      <x:c r="Q284" s="99"/>
      <x:c r="R284" s="99"/>
      <x:c r="S284" s="99"/>
      <x:c r="T284" s="99"/>
      <x:c r="U284" s="99"/>
      <x:c r="V284" s="99"/>
      <x:c r="W284" s="99"/>
      <x:c r="X284" s="99"/>
      <x:c r="Y284" s="99"/>
      <x:c r="Z284" s="99"/>
    </x:row>
    <x:row r="285">
      <x:c r="A285" s="99"/>
      <x:c r="B285" s="99"/>
      <x:c r="C285" s="99"/>
      <x:c r="D285" s="99"/>
      <x:c r="E285" s="99"/>
      <x:c r="F285" s="99"/>
      <x:c r="G285" s="99"/>
      <x:c r="H285" s="99"/>
      <x:c r="I285" s="99"/>
      <x:c r="J285" s="99"/>
      <x:c r="K285" s="99"/>
      <x:c r="L285" s="99"/>
      <x:c r="M285" s="99"/>
      <x:c r="N285" s="99"/>
      <x:c r="O285" s="99"/>
      <x:c r="P285" s="99"/>
      <x:c r="Q285" s="99"/>
      <x:c r="R285" s="99"/>
      <x:c r="S285" s="99"/>
      <x:c r="T285" s="99"/>
      <x:c r="U285" s="99"/>
      <x:c r="V285" s="99"/>
      <x:c r="W285" s="99"/>
      <x:c r="X285" s="99"/>
      <x:c r="Y285" s="99"/>
      <x:c r="Z285" s="99"/>
    </x:row>
    <x:row r="286">
      <x:c r="A286" s="99"/>
      <x:c r="B286" s="99"/>
      <x:c r="C286" s="99"/>
      <x:c r="D286" s="99"/>
      <x:c r="E286" s="99"/>
      <x:c r="F286" s="99"/>
      <x:c r="G286" s="99"/>
      <x:c r="H286" s="99"/>
      <x:c r="I286" s="99"/>
      <x:c r="J286" s="99"/>
      <x:c r="K286" s="99"/>
      <x:c r="L286" s="99"/>
      <x:c r="M286" s="99"/>
      <x:c r="N286" s="99"/>
      <x:c r="O286" s="99"/>
      <x:c r="P286" s="99"/>
      <x:c r="Q286" s="99"/>
      <x:c r="R286" s="99"/>
      <x:c r="S286" s="99"/>
      <x:c r="T286" s="99"/>
      <x:c r="U286" s="99"/>
      <x:c r="V286" s="99"/>
      <x:c r="W286" s="99"/>
      <x:c r="X286" s="99"/>
      <x:c r="Y286" s="99"/>
      <x:c r="Z286" s="99"/>
    </x:row>
    <x:row r="287">
      <x:c r="A287" s="99"/>
      <x:c r="B287" s="99"/>
      <x:c r="C287" s="99"/>
      <x:c r="D287" s="99"/>
      <x:c r="E287" s="99"/>
      <x:c r="F287" s="99"/>
      <x:c r="G287" s="99"/>
      <x:c r="H287" s="99"/>
      <x:c r="I287" s="99"/>
      <x:c r="J287" s="99"/>
      <x:c r="K287" s="99"/>
      <x:c r="L287" s="99"/>
      <x:c r="M287" s="99"/>
      <x:c r="N287" s="99"/>
      <x:c r="O287" s="99"/>
      <x:c r="P287" s="99"/>
      <x:c r="Q287" s="99"/>
      <x:c r="R287" s="99"/>
      <x:c r="S287" s="99"/>
      <x:c r="T287" s="99"/>
      <x:c r="U287" s="99"/>
      <x:c r="V287" s="99"/>
      <x:c r="W287" s="99"/>
      <x:c r="X287" s="99"/>
      <x:c r="Y287" s="99"/>
      <x:c r="Z287" s="99"/>
    </x:row>
    <x:row r="288">
      <x:c r="A288" s="99"/>
      <x:c r="B288" s="99"/>
      <x:c r="C288" s="99"/>
      <x:c r="D288" s="99"/>
      <x:c r="E288" s="99"/>
      <x:c r="F288" s="99"/>
      <x:c r="G288" s="99"/>
      <x:c r="H288" s="99"/>
      <x:c r="I288" s="99"/>
      <x:c r="J288" s="99"/>
      <x:c r="K288" s="99"/>
      <x:c r="L288" s="99"/>
      <x:c r="M288" s="99"/>
      <x:c r="N288" s="99"/>
      <x:c r="O288" s="99"/>
      <x:c r="P288" s="99"/>
      <x:c r="Q288" s="99"/>
      <x:c r="R288" s="99"/>
      <x:c r="S288" s="99"/>
      <x:c r="T288" s="99"/>
      <x:c r="U288" s="99"/>
      <x:c r="V288" s="99"/>
      <x:c r="W288" s="99"/>
      <x:c r="X288" s="99"/>
      <x:c r="Y288" s="99"/>
      <x:c r="Z288" s="99"/>
    </x:row>
    <x:row r="289">
      <x:c r="A289" s="99"/>
      <x:c r="B289" s="99"/>
      <x:c r="C289" s="99"/>
      <x:c r="D289" s="99"/>
      <x:c r="E289" s="99"/>
      <x:c r="F289" s="99"/>
      <x:c r="G289" s="99"/>
      <x:c r="H289" s="99"/>
      <x:c r="I289" s="99"/>
      <x:c r="J289" s="99"/>
      <x:c r="K289" s="99"/>
      <x:c r="L289" s="99"/>
      <x:c r="M289" s="99"/>
      <x:c r="N289" s="99"/>
      <x:c r="O289" s="99"/>
      <x:c r="P289" s="99"/>
      <x:c r="Q289" s="99"/>
      <x:c r="R289" s="99"/>
      <x:c r="S289" s="99"/>
      <x:c r="T289" s="99"/>
      <x:c r="U289" s="99"/>
      <x:c r="V289" s="99"/>
      <x:c r="W289" s="99"/>
      <x:c r="X289" s="99"/>
      <x:c r="Y289" s="99"/>
      <x:c r="Z289" s="99"/>
    </x:row>
    <x:row r="290">
      <x:c r="A290" s="99"/>
      <x:c r="B290" s="99"/>
      <x:c r="C290" s="99"/>
      <x:c r="D290" s="99"/>
      <x:c r="E290" s="99"/>
      <x:c r="F290" s="99"/>
      <x:c r="G290" s="99"/>
      <x:c r="H290" s="99"/>
      <x:c r="I290" s="99"/>
      <x:c r="J290" s="99"/>
      <x:c r="K290" s="99"/>
      <x:c r="L290" s="99"/>
      <x:c r="M290" s="99"/>
      <x:c r="N290" s="99"/>
      <x:c r="O290" s="99"/>
      <x:c r="P290" s="99"/>
      <x:c r="Q290" s="99"/>
      <x:c r="R290" s="99"/>
      <x:c r="S290" s="99"/>
      <x:c r="T290" s="99"/>
      <x:c r="U290" s="99"/>
      <x:c r="V290" s="99"/>
      <x:c r="W290" s="99"/>
      <x:c r="X290" s="99"/>
      <x:c r="Y290" s="99"/>
      <x:c r="Z290" s="99"/>
    </x:row>
    <x:row r="291">
      <x:c r="A291" s="99"/>
      <x:c r="B291" s="99"/>
      <x:c r="C291" s="99"/>
      <x:c r="D291" s="99"/>
      <x:c r="E291" s="99"/>
      <x:c r="F291" s="99"/>
      <x:c r="G291" s="99"/>
      <x:c r="H291" s="99"/>
      <x:c r="I291" s="99"/>
      <x:c r="J291" s="99"/>
      <x:c r="K291" s="99"/>
      <x:c r="L291" s="99"/>
      <x:c r="M291" s="99"/>
      <x:c r="N291" s="99"/>
      <x:c r="O291" s="99"/>
      <x:c r="P291" s="99"/>
      <x:c r="Q291" s="99"/>
      <x:c r="R291" s="99"/>
      <x:c r="S291" s="99"/>
      <x:c r="T291" s="99"/>
      <x:c r="U291" s="99"/>
      <x:c r="V291" s="99"/>
      <x:c r="W291" s="99"/>
      <x:c r="X291" s="99"/>
      <x:c r="Y291" s="99"/>
      <x:c r="Z291" s="99"/>
    </x:row>
    <x:row r="292">
      <x:c r="A292" s="99"/>
      <x:c r="B292" s="99"/>
      <x:c r="C292" s="99"/>
      <x:c r="D292" s="99"/>
      <x:c r="E292" s="99"/>
      <x:c r="F292" s="99"/>
      <x:c r="G292" s="99"/>
      <x:c r="H292" s="99"/>
      <x:c r="I292" s="99"/>
      <x:c r="J292" s="99"/>
      <x:c r="K292" s="99"/>
      <x:c r="L292" s="99"/>
      <x:c r="M292" s="99"/>
      <x:c r="N292" s="99"/>
      <x:c r="O292" s="99"/>
      <x:c r="P292" s="99"/>
      <x:c r="Q292" s="99"/>
      <x:c r="R292" s="99"/>
      <x:c r="S292" s="99"/>
      <x:c r="T292" s="99"/>
      <x:c r="U292" s="99"/>
      <x:c r="V292" s="99"/>
      <x:c r="W292" s="99"/>
      <x:c r="X292" s="99"/>
      <x:c r="Y292" s="99"/>
      <x:c r="Z292" s="99"/>
    </x:row>
    <x:row r="293">
      <x:c r="A293" s="99"/>
      <x:c r="B293" s="99"/>
      <x:c r="C293" s="99"/>
      <x:c r="D293" s="99"/>
      <x:c r="E293" s="99"/>
      <x:c r="F293" s="99"/>
      <x:c r="G293" s="99"/>
      <x:c r="H293" s="99"/>
      <x:c r="I293" s="99"/>
      <x:c r="J293" s="99"/>
      <x:c r="K293" s="99"/>
      <x:c r="L293" s="99"/>
      <x:c r="M293" s="99"/>
      <x:c r="N293" s="99"/>
      <x:c r="O293" s="99"/>
      <x:c r="P293" s="99"/>
      <x:c r="Q293" s="99"/>
      <x:c r="R293" s="99"/>
      <x:c r="S293" s="99"/>
      <x:c r="T293" s="99"/>
      <x:c r="U293" s="99"/>
      <x:c r="V293" s="99"/>
      <x:c r="W293" s="99"/>
      <x:c r="X293" s="99"/>
      <x:c r="Y293" s="99"/>
      <x:c r="Z293" s="99"/>
    </x:row>
    <x:row r="294">
      <x:c r="A294" s="99"/>
      <x:c r="B294" s="99"/>
      <x:c r="C294" s="99"/>
      <x:c r="D294" s="99"/>
      <x:c r="E294" s="99"/>
      <x:c r="F294" s="99"/>
      <x:c r="G294" s="99"/>
      <x:c r="H294" s="99"/>
      <x:c r="I294" s="99"/>
      <x:c r="J294" s="99"/>
      <x:c r="K294" s="99"/>
      <x:c r="L294" s="99"/>
      <x:c r="M294" s="99"/>
      <x:c r="N294" s="99"/>
      <x:c r="O294" s="99"/>
      <x:c r="P294" s="99"/>
      <x:c r="Q294" s="99"/>
      <x:c r="R294" s="99"/>
      <x:c r="S294" s="99"/>
      <x:c r="T294" s="99"/>
      <x:c r="U294" s="99"/>
      <x:c r="V294" s="99"/>
      <x:c r="W294" s="99"/>
      <x:c r="X294" s="99"/>
      <x:c r="Y294" s="99"/>
      <x:c r="Z294" s="99"/>
    </x:row>
    <x:row r="295">
      <x:c r="A295" s="99"/>
      <x:c r="B295" s="99"/>
      <x:c r="C295" s="99"/>
      <x:c r="D295" s="99"/>
      <x:c r="E295" s="99"/>
      <x:c r="F295" s="99"/>
      <x:c r="G295" s="99"/>
      <x:c r="H295" s="99"/>
      <x:c r="I295" s="99"/>
      <x:c r="J295" s="99"/>
      <x:c r="K295" s="99"/>
      <x:c r="L295" s="99"/>
      <x:c r="M295" s="99"/>
      <x:c r="N295" s="99"/>
      <x:c r="O295" s="99"/>
      <x:c r="P295" s="99"/>
      <x:c r="Q295" s="99"/>
      <x:c r="R295" s="99"/>
      <x:c r="S295" s="99"/>
      <x:c r="T295" s="99"/>
      <x:c r="U295" s="99"/>
      <x:c r="V295" s="99"/>
      <x:c r="W295" s="99"/>
      <x:c r="X295" s="99"/>
      <x:c r="Y295" s="99"/>
      <x:c r="Z295" s="99"/>
    </x:row>
    <x:row r="296">
      <x:c r="A296" s="99"/>
      <x:c r="B296" s="99"/>
      <x:c r="C296" s="99"/>
      <x:c r="D296" s="99"/>
      <x:c r="E296" s="99"/>
      <x:c r="F296" s="99"/>
      <x:c r="G296" s="99"/>
      <x:c r="H296" s="99"/>
      <x:c r="I296" s="99"/>
      <x:c r="J296" s="99"/>
      <x:c r="K296" s="99"/>
      <x:c r="L296" s="99"/>
      <x:c r="M296" s="99"/>
      <x:c r="N296" s="99"/>
      <x:c r="O296" s="99"/>
      <x:c r="P296" s="99"/>
      <x:c r="Q296" s="99"/>
      <x:c r="R296" s="99"/>
      <x:c r="S296" s="99"/>
      <x:c r="T296" s="99"/>
      <x:c r="U296" s="99"/>
      <x:c r="V296" s="99"/>
      <x:c r="W296" s="99"/>
      <x:c r="X296" s="99"/>
      <x:c r="Y296" s="99"/>
      <x:c r="Z296" s="99"/>
    </x:row>
    <x:row r="297">
      <x:c r="A297" s="99"/>
      <x:c r="B297" s="99"/>
      <x:c r="C297" s="99"/>
      <x:c r="D297" s="99"/>
      <x:c r="E297" s="99"/>
      <x:c r="F297" s="99"/>
      <x:c r="G297" s="99"/>
      <x:c r="H297" s="99"/>
      <x:c r="I297" s="99"/>
      <x:c r="J297" s="99"/>
      <x:c r="K297" s="99"/>
      <x:c r="L297" s="99"/>
      <x:c r="M297" s="99"/>
      <x:c r="N297" s="99"/>
      <x:c r="O297" s="99"/>
      <x:c r="P297" s="99"/>
      <x:c r="Q297" s="99"/>
      <x:c r="R297" s="99"/>
      <x:c r="S297" s="99"/>
      <x:c r="T297" s="99"/>
      <x:c r="U297" s="99"/>
      <x:c r="V297" s="99"/>
      <x:c r="W297" s="99"/>
      <x:c r="X297" s="99"/>
      <x:c r="Y297" s="99"/>
      <x:c r="Z297" s="99"/>
    </x:row>
    <x:row r="298">
      <x:c r="A298" s="99"/>
      <x:c r="B298" s="99"/>
      <x:c r="C298" s="99"/>
      <x:c r="D298" s="99"/>
      <x:c r="E298" s="99"/>
      <x:c r="F298" s="99"/>
      <x:c r="G298" s="99"/>
      <x:c r="H298" s="99"/>
      <x:c r="I298" s="99"/>
      <x:c r="J298" s="99"/>
      <x:c r="K298" s="99"/>
      <x:c r="L298" s="99"/>
      <x:c r="M298" s="99"/>
      <x:c r="N298" s="99"/>
      <x:c r="O298" s="99"/>
      <x:c r="P298" s="99"/>
      <x:c r="Q298" s="99"/>
      <x:c r="R298" s="99"/>
      <x:c r="S298" s="99"/>
      <x:c r="T298" s="99"/>
      <x:c r="U298" s="99"/>
      <x:c r="V298" s="99"/>
      <x:c r="W298" s="99"/>
      <x:c r="X298" s="99"/>
      <x:c r="Y298" s="99"/>
      <x:c r="Z298" s="99"/>
    </x:row>
    <x:row r="299">
      <x:c r="A299" s="99"/>
      <x:c r="B299" s="99"/>
      <x:c r="C299" s="99"/>
      <x:c r="D299" s="99"/>
      <x:c r="E299" s="99"/>
      <x:c r="F299" s="99"/>
      <x:c r="G299" s="99"/>
      <x:c r="H299" s="99"/>
      <x:c r="I299" s="99"/>
      <x:c r="J299" s="99"/>
      <x:c r="K299" s="99"/>
      <x:c r="L299" s="99"/>
      <x:c r="M299" s="99"/>
      <x:c r="N299" s="99"/>
      <x:c r="O299" s="99"/>
      <x:c r="P299" s="99"/>
      <x:c r="Q299" s="99"/>
      <x:c r="R299" s="99"/>
      <x:c r="S299" s="99"/>
      <x:c r="T299" s="99"/>
      <x:c r="U299" s="99"/>
      <x:c r="V299" s="99"/>
      <x:c r="W299" s="99"/>
      <x:c r="X299" s="99"/>
      <x:c r="Y299" s="99"/>
      <x:c r="Z299" s="99"/>
    </x:row>
    <x:row r="300">
      <x:c r="A300" s="99"/>
      <x:c r="B300" s="99"/>
      <x:c r="C300" s="99"/>
      <x:c r="D300" s="99"/>
      <x:c r="E300" s="99"/>
      <x:c r="F300" s="99"/>
      <x:c r="G300" s="99"/>
      <x:c r="H300" s="99"/>
      <x:c r="I300" s="99"/>
      <x:c r="J300" s="99"/>
      <x:c r="K300" s="99"/>
      <x:c r="L300" s="99"/>
      <x:c r="M300" s="99"/>
      <x:c r="N300" s="99"/>
      <x:c r="O300" s="99"/>
      <x:c r="P300" s="99"/>
      <x:c r="Q300" s="99"/>
      <x:c r="R300" s="99"/>
      <x:c r="S300" s="99"/>
      <x:c r="T300" s="99"/>
      <x:c r="U300" s="99"/>
      <x:c r="V300" s="99"/>
      <x:c r="W300" s="99"/>
      <x:c r="X300" s="99"/>
      <x:c r="Y300" s="99"/>
      <x:c r="Z300" s="99"/>
    </x:row>
    <x:row r="301">
      <x:c r="A301" s="99"/>
      <x:c r="B301" s="99"/>
      <x:c r="C301" s="99"/>
      <x:c r="D301" s="99"/>
      <x:c r="E301" s="99"/>
      <x:c r="F301" s="99"/>
      <x:c r="G301" s="99"/>
      <x:c r="H301" s="99"/>
      <x:c r="I301" s="99"/>
      <x:c r="J301" s="99"/>
      <x:c r="K301" s="99"/>
      <x:c r="L301" s="99"/>
      <x:c r="M301" s="99"/>
      <x:c r="N301" s="99"/>
      <x:c r="O301" s="99"/>
      <x:c r="P301" s="99"/>
      <x:c r="Q301" s="99"/>
      <x:c r="R301" s="99"/>
      <x:c r="S301" s="99"/>
      <x:c r="T301" s="99"/>
      <x:c r="U301" s="99"/>
      <x:c r="V301" s="99"/>
      <x:c r="W301" s="99"/>
      <x:c r="X301" s="99"/>
      <x:c r="Y301" s="99"/>
      <x:c r="Z301" s="99"/>
    </x:row>
    <x:row r="302">
      <x:c r="A302" s="99"/>
      <x:c r="B302" s="99"/>
      <x:c r="C302" s="99"/>
      <x:c r="D302" s="99"/>
      <x:c r="E302" s="99"/>
      <x:c r="F302" s="99"/>
      <x:c r="G302" s="99"/>
      <x:c r="H302" s="99"/>
      <x:c r="I302" s="99"/>
      <x:c r="J302" s="99"/>
      <x:c r="K302" s="99"/>
      <x:c r="L302" s="99"/>
      <x:c r="M302" s="99"/>
      <x:c r="N302" s="99"/>
      <x:c r="O302" s="99"/>
      <x:c r="P302" s="99"/>
      <x:c r="Q302" s="99"/>
      <x:c r="R302" s="99"/>
      <x:c r="S302" s="99"/>
      <x:c r="T302" s="99"/>
      <x:c r="U302" s="99"/>
      <x:c r="V302" s="99"/>
      <x:c r="W302" s="99"/>
      <x:c r="X302" s="99"/>
      <x:c r="Y302" s="99"/>
      <x:c r="Z302" s="99"/>
    </x:row>
    <x:row r="303">
      <x:c r="A303" s="99"/>
      <x:c r="B303" s="99"/>
      <x:c r="C303" s="99"/>
      <x:c r="D303" s="99"/>
      <x:c r="E303" s="99"/>
      <x:c r="F303" s="99"/>
      <x:c r="G303" s="99"/>
      <x:c r="H303" s="99"/>
      <x:c r="I303" s="99"/>
      <x:c r="J303" s="99"/>
      <x:c r="K303" s="99"/>
      <x:c r="L303" s="99"/>
      <x:c r="M303" s="99"/>
      <x:c r="N303" s="99"/>
      <x:c r="O303" s="99"/>
      <x:c r="P303" s="99"/>
      <x:c r="Q303" s="99"/>
      <x:c r="R303" s="99"/>
      <x:c r="S303" s="99"/>
      <x:c r="T303" s="99"/>
      <x:c r="U303" s="99"/>
      <x:c r="V303" s="99"/>
      <x:c r="W303" s="99"/>
      <x:c r="X303" s="99"/>
      <x:c r="Y303" s="99"/>
      <x:c r="Z303" s="99"/>
    </x:row>
    <x:row r="304">
      <x:c r="A304" s="99"/>
      <x:c r="B304" s="99"/>
      <x:c r="C304" s="99"/>
      <x:c r="D304" s="99"/>
      <x:c r="E304" s="99"/>
      <x:c r="F304" s="99"/>
      <x:c r="G304" s="99"/>
      <x:c r="H304" s="99"/>
      <x:c r="I304" s="99"/>
      <x:c r="J304" s="99"/>
      <x:c r="K304" s="99"/>
      <x:c r="L304" s="99"/>
      <x:c r="M304" s="99"/>
      <x:c r="N304" s="99"/>
      <x:c r="O304" s="99"/>
      <x:c r="P304" s="99"/>
      <x:c r="Q304" s="99"/>
      <x:c r="R304" s="99"/>
      <x:c r="S304" s="99"/>
      <x:c r="T304" s="99"/>
      <x:c r="U304" s="99"/>
      <x:c r="V304" s="99"/>
      <x:c r="W304" s="99"/>
      <x:c r="X304" s="99"/>
      <x:c r="Y304" s="99"/>
      <x:c r="Z304" s="99"/>
    </x:row>
    <x:row r="305">
      <x:c r="A305" s="99"/>
      <x:c r="B305" s="99"/>
      <x:c r="C305" s="99"/>
      <x:c r="D305" s="99"/>
      <x:c r="E305" s="99"/>
      <x:c r="F305" s="99"/>
      <x:c r="G305" s="99"/>
      <x:c r="H305" s="99"/>
      <x:c r="I305" s="99"/>
      <x:c r="J305" s="99"/>
      <x:c r="K305" s="99"/>
      <x:c r="L305" s="99"/>
      <x:c r="M305" s="99"/>
      <x:c r="N305" s="99"/>
      <x:c r="O305" s="99"/>
      <x:c r="P305" s="99"/>
      <x:c r="Q305" s="99"/>
      <x:c r="R305" s="99"/>
      <x:c r="S305" s="99"/>
      <x:c r="T305" s="99"/>
      <x:c r="U305" s="99"/>
      <x:c r="V305" s="99"/>
      <x:c r="W305" s="99"/>
      <x:c r="X305" s="99"/>
      <x:c r="Y305" s="99"/>
      <x:c r="Z305" s="99"/>
    </x:row>
    <x:row r="306">
      <x:c r="A306" s="99"/>
      <x:c r="B306" s="99"/>
      <x:c r="C306" s="99"/>
      <x:c r="D306" s="99"/>
      <x:c r="E306" s="99"/>
      <x:c r="F306" s="99"/>
      <x:c r="G306" s="99"/>
      <x:c r="H306" s="99"/>
      <x:c r="I306" s="99"/>
      <x:c r="J306" s="99"/>
      <x:c r="K306" s="99"/>
      <x:c r="L306" s="99"/>
      <x:c r="M306" s="99"/>
      <x:c r="N306" s="99"/>
      <x:c r="O306" s="99"/>
      <x:c r="P306" s="99"/>
      <x:c r="Q306" s="99"/>
      <x:c r="R306" s="99"/>
      <x:c r="S306" s="99"/>
      <x:c r="T306" s="99"/>
      <x:c r="U306" s="99"/>
      <x:c r="V306" s="99"/>
      <x:c r="W306" s="99"/>
      <x:c r="X306" s="99"/>
      <x:c r="Y306" s="99"/>
      <x:c r="Z306" s="99"/>
    </x:row>
    <x:row r="307">
      <x:c r="A307" s="99"/>
      <x:c r="B307" s="99"/>
      <x:c r="C307" s="99"/>
      <x:c r="D307" s="99"/>
      <x:c r="E307" s="99"/>
      <x:c r="F307" s="99"/>
      <x:c r="G307" s="99"/>
      <x:c r="H307" s="99"/>
      <x:c r="I307" s="99"/>
      <x:c r="J307" s="99"/>
      <x:c r="K307" s="99"/>
      <x:c r="L307" s="99"/>
      <x:c r="M307" s="99"/>
      <x:c r="N307" s="99"/>
      <x:c r="O307" s="99"/>
      <x:c r="P307" s="99"/>
      <x:c r="Q307" s="99"/>
      <x:c r="R307" s="99"/>
      <x:c r="S307" s="99"/>
      <x:c r="T307" s="99"/>
      <x:c r="U307" s="99"/>
      <x:c r="V307" s="99"/>
      <x:c r="W307" s="99"/>
      <x:c r="X307" s="99"/>
      <x:c r="Y307" s="99"/>
      <x:c r="Z307" s="99"/>
    </x:row>
    <x:row r="308">
      <x:c r="A308" s="99"/>
      <x:c r="B308" s="99"/>
      <x:c r="C308" s="99"/>
      <x:c r="D308" s="99"/>
      <x:c r="E308" s="99"/>
      <x:c r="F308" s="99"/>
      <x:c r="G308" s="99"/>
      <x:c r="H308" s="99"/>
      <x:c r="I308" s="99"/>
      <x:c r="J308" s="99"/>
      <x:c r="K308" s="99"/>
      <x:c r="L308" s="99"/>
      <x:c r="M308" s="99"/>
      <x:c r="N308" s="99"/>
      <x:c r="O308" s="99"/>
      <x:c r="P308" s="99"/>
      <x:c r="Q308" s="99"/>
      <x:c r="R308" s="99"/>
      <x:c r="S308" s="99"/>
      <x:c r="T308" s="99"/>
      <x:c r="U308" s="99"/>
      <x:c r="V308" s="99"/>
      <x:c r="W308" s="99"/>
      <x:c r="X308" s="99"/>
      <x:c r="Y308" s="99"/>
      <x:c r="Z308" s="99"/>
    </x:row>
    <x:row r="309">
      <x:c r="A309" s="99"/>
      <x:c r="B309" s="99"/>
      <x:c r="C309" s="99"/>
      <x:c r="D309" s="99"/>
      <x:c r="E309" s="99"/>
      <x:c r="F309" s="99"/>
      <x:c r="G309" s="99"/>
      <x:c r="H309" s="99"/>
      <x:c r="I309" s="99"/>
      <x:c r="J309" s="99"/>
      <x:c r="K309" s="99"/>
      <x:c r="L309" s="99"/>
      <x:c r="M309" s="99"/>
      <x:c r="N309" s="99"/>
      <x:c r="O309" s="99"/>
      <x:c r="P309" s="99"/>
      <x:c r="Q309" s="99"/>
      <x:c r="R309" s="99"/>
      <x:c r="S309" s="99"/>
      <x:c r="T309" s="99"/>
      <x:c r="U309" s="99"/>
      <x:c r="V309" s="99"/>
      <x:c r="W309" s="99"/>
      <x:c r="X309" s="99"/>
      <x:c r="Y309" s="99"/>
      <x:c r="Z309" s="99"/>
    </x:row>
    <x:row r="310">
      <x:c r="A310" s="99"/>
      <x:c r="B310" s="99"/>
      <x:c r="C310" s="99"/>
      <x:c r="D310" s="99"/>
      <x:c r="E310" s="99"/>
      <x:c r="F310" s="99"/>
      <x:c r="G310" s="99"/>
      <x:c r="H310" s="99"/>
      <x:c r="I310" s="99"/>
      <x:c r="J310" s="99"/>
      <x:c r="K310" s="99"/>
      <x:c r="L310" s="99"/>
      <x:c r="M310" s="99"/>
      <x:c r="N310" s="99"/>
      <x:c r="O310" s="99"/>
      <x:c r="P310" s="99"/>
      <x:c r="Q310" s="99"/>
      <x:c r="R310" s="99"/>
      <x:c r="S310" s="99"/>
      <x:c r="T310" s="99"/>
      <x:c r="U310" s="99"/>
      <x:c r="V310" s="99"/>
      <x:c r="W310" s="99"/>
      <x:c r="X310" s="99"/>
      <x:c r="Y310" s="99"/>
      <x:c r="Z310" s="99"/>
    </x:row>
    <x:row r="311">
      <x:c r="A311" s="99"/>
      <x:c r="B311" s="99"/>
      <x:c r="C311" s="99"/>
      <x:c r="D311" s="99"/>
      <x:c r="E311" s="99"/>
      <x:c r="F311" s="99"/>
      <x:c r="G311" s="99"/>
      <x:c r="H311" s="99"/>
      <x:c r="I311" s="99"/>
      <x:c r="J311" s="99"/>
      <x:c r="K311" s="99"/>
      <x:c r="L311" s="99"/>
      <x:c r="M311" s="99"/>
      <x:c r="N311" s="99"/>
      <x:c r="O311" s="99"/>
      <x:c r="P311" s="99"/>
      <x:c r="Q311" s="99"/>
      <x:c r="R311" s="99"/>
      <x:c r="S311" s="99"/>
      <x:c r="T311" s="99"/>
      <x:c r="U311" s="99"/>
      <x:c r="V311" s="99"/>
      <x:c r="W311" s="99"/>
      <x:c r="X311" s="99"/>
      <x:c r="Y311" s="99"/>
      <x:c r="Z311" s="99"/>
    </x:row>
    <x:row r="312">
      <x:c r="A312" s="99"/>
      <x:c r="B312" s="99"/>
      <x:c r="C312" s="99"/>
      <x:c r="D312" s="99"/>
      <x:c r="E312" s="99"/>
      <x:c r="F312" s="99"/>
      <x:c r="G312" s="99"/>
      <x:c r="H312" s="99"/>
      <x:c r="I312" s="99"/>
      <x:c r="J312" s="99"/>
      <x:c r="K312" s="99"/>
      <x:c r="L312" s="99"/>
      <x:c r="M312" s="99"/>
      <x:c r="N312" s="99"/>
      <x:c r="O312" s="99"/>
      <x:c r="P312" s="99"/>
      <x:c r="Q312" s="99"/>
      <x:c r="R312" s="99"/>
      <x:c r="S312" s="99"/>
      <x:c r="T312" s="99"/>
      <x:c r="U312" s="99"/>
      <x:c r="V312" s="99"/>
      <x:c r="W312" s="99"/>
      <x:c r="X312" s="99"/>
      <x:c r="Y312" s="99"/>
      <x:c r="Z312" s="99"/>
    </x:row>
    <x:row r="313">
      <x:c r="A313" s="99"/>
      <x:c r="B313" s="99"/>
      <x:c r="C313" s="99"/>
      <x:c r="D313" s="99"/>
      <x:c r="E313" s="99"/>
      <x:c r="F313" s="99"/>
      <x:c r="G313" s="99"/>
      <x:c r="H313" s="99"/>
      <x:c r="I313" s="99"/>
      <x:c r="J313" s="99"/>
      <x:c r="K313" s="99"/>
      <x:c r="L313" s="99"/>
      <x:c r="M313" s="99"/>
      <x:c r="N313" s="99"/>
      <x:c r="O313" s="99"/>
      <x:c r="P313" s="99"/>
      <x:c r="Q313" s="99"/>
      <x:c r="R313" s="99"/>
      <x:c r="S313" s="99"/>
      <x:c r="T313" s="99"/>
      <x:c r="U313" s="99"/>
      <x:c r="V313" s="99"/>
      <x:c r="W313" s="99"/>
      <x:c r="X313" s="99"/>
      <x:c r="Y313" s="99"/>
      <x:c r="Z313" s="99"/>
    </x:row>
    <x:row r="314">
      <x:c r="A314" s="99"/>
      <x:c r="B314" s="99"/>
      <x:c r="C314" s="99"/>
      <x:c r="D314" s="99"/>
      <x:c r="E314" s="99"/>
      <x:c r="F314" s="99"/>
      <x:c r="G314" s="99"/>
      <x:c r="H314" s="99"/>
      <x:c r="I314" s="99"/>
      <x:c r="J314" s="99"/>
      <x:c r="K314" s="99"/>
      <x:c r="L314" s="99"/>
      <x:c r="M314" s="99"/>
      <x:c r="N314" s="99"/>
      <x:c r="O314" s="99"/>
      <x:c r="P314" s="99"/>
      <x:c r="Q314" s="99"/>
      <x:c r="R314" s="99"/>
      <x:c r="S314" s="99"/>
      <x:c r="T314" s="99"/>
      <x:c r="U314" s="99"/>
      <x:c r="V314" s="99"/>
      <x:c r="W314" s="99"/>
      <x:c r="X314" s="99"/>
      <x:c r="Y314" s="99"/>
      <x:c r="Z314" s="99"/>
    </x:row>
    <x:row r="315">
      <x:c r="A315" s="99"/>
      <x:c r="B315" s="99"/>
      <x:c r="C315" s="99"/>
      <x:c r="D315" s="99"/>
      <x:c r="E315" s="99"/>
      <x:c r="F315" s="99"/>
      <x:c r="G315" s="99"/>
      <x:c r="H315" s="99"/>
      <x:c r="I315" s="99"/>
      <x:c r="J315" s="99"/>
      <x:c r="K315" s="99"/>
      <x:c r="L315" s="99"/>
      <x:c r="M315" s="99"/>
      <x:c r="N315" s="99"/>
      <x:c r="O315" s="99"/>
      <x:c r="P315" s="99"/>
      <x:c r="Q315" s="99"/>
      <x:c r="R315" s="99"/>
      <x:c r="S315" s="99"/>
      <x:c r="T315" s="99"/>
      <x:c r="U315" s="99"/>
      <x:c r="V315" s="99"/>
      <x:c r="W315" s="99"/>
      <x:c r="X315" s="99"/>
      <x:c r="Y315" s="99"/>
      <x:c r="Z315" s="99"/>
    </x:row>
    <x:row r="316">
      <x:c r="A316" s="99"/>
      <x:c r="B316" s="99"/>
      <x:c r="C316" s="99"/>
      <x:c r="D316" s="99"/>
      <x:c r="E316" s="99"/>
      <x:c r="F316" s="99"/>
      <x:c r="G316" s="99"/>
      <x:c r="H316" s="99"/>
      <x:c r="I316" s="99"/>
      <x:c r="J316" s="99"/>
      <x:c r="K316" s="99"/>
      <x:c r="L316" s="99"/>
      <x:c r="M316" s="99"/>
      <x:c r="N316" s="99"/>
      <x:c r="O316" s="99"/>
      <x:c r="P316" s="99"/>
      <x:c r="Q316" s="99"/>
      <x:c r="R316" s="99"/>
      <x:c r="S316" s="99"/>
      <x:c r="T316" s="99"/>
      <x:c r="U316" s="99"/>
      <x:c r="V316" s="99"/>
      <x:c r="W316" s="99"/>
      <x:c r="X316" s="99"/>
      <x:c r="Y316" s="99"/>
      <x:c r="Z316" s="99"/>
    </x:row>
    <x:row r="317">
      <x:c r="A317" s="99"/>
      <x:c r="B317" s="99"/>
      <x:c r="C317" s="99"/>
      <x:c r="D317" s="99"/>
      <x:c r="E317" s="99"/>
      <x:c r="F317" s="99"/>
      <x:c r="G317" s="99"/>
      <x:c r="H317" s="99"/>
      <x:c r="I317" s="99"/>
      <x:c r="J317" s="99"/>
      <x:c r="K317" s="99"/>
      <x:c r="L317" s="99"/>
      <x:c r="M317" s="99"/>
      <x:c r="N317" s="99"/>
      <x:c r="O317" s="99"/>
      <x:c r="P317" s="99"/>
      <x:c r="Q317" s="99"/>
      <x:c r="R317" s="99"/>
      <x:c r="S317" s="99"/>
      <x:c r="T317" s="99"/>
      <x:c r="U317" s="99"/>
      <x:c r="V317" s="99"/>
      <x:c r="W317" s="99"/>
      <x:c r="X317" s="99"/>
      <x:c r="Y317" s="99"/>
      <x:c r="Z317" s="99"/>
    </x:row>
    <x:row r="318">
      <x:c r="A318" s="99"/>
      <x:c r="B318" s="99"/>
      <x:c r="C318" s="99"/>
      <x:c r="D318" s="99"/>
      <x:c r="E318" s="99"/>
      <x:c r="F318" s="99"/>
      <x:c r="G318" s="99"/>
      <x:c r="H318" s="99"/>
      <x:c r="I318" s="99"/>
      <x:c r="J318" s="99"/>
      <x:c r="K318" s="99"/>
      <x:c r="L318" s="99"/>
      <x:c r="M318" s="99"/>
      <x:c r="N318" s="99"/>
      <x:c r="O318" s="99"/>
      <x:c r="P318" s="99"/>
      <x:c r="Q318" s="99"/>
      <x:c r="R318" s="99"/>
      <x:c r="S318" s="99"/>
      <x:c r="T318" s="99"/>
      <x:c r="U318" s="99"/>
      <x:c r="V318" s="99"/>
      <x:c r="W318" s="99"/>
      <x:c r="X318" s="99"/>
      <x:c r="Y318" s="99"/>
      <x:c r="Z318" s="99"/>
    </x:row>
    <x:row r="319">
      <x:c r="A319" s="99"/>
      <x:c r="B319" s="99"/>
      <x:c r="C319" s="99"/>
      <x:c r="D319" s="99"/>
      <x:c r="E319" s="99"/>
      <x:c r="F319" s="99"/>
      <x:c r="G319" s="99"/>
      <x:c r="H319" s="99"/>
      <x:c r="I319" s="99"/>
      <x:c r="J319" s="99"/>
      <x:c r="K319" s="99"/>
      <x:c r="L319" s="99"/>
      <x:c r="M319" s="99"/>
      <x:c r="N319" s="99"/>
      <x:c r="O319" s="99"/>
      <x:c r="P319" s="99"/>
      <x:c r="Q319" s="99"/>
      <x:c r="R319" s="99"/>
      <x:c r="S319" s="99"/>
      <x:c r="T319" s="99"/>
      <x:c r="U319" s="99"/>
      <x:c r="V319" s="99"/>
      <x:c r="W319" s="99"/>
      <x:c r="X319" s="99"/>
      <x:c r="Y319" s="99"/>
      <x:c r="Z319" s="99"/>
    </x:row>
    <x:row r="320">
      <x:c r="A320" s="99"/>
      <x:c r="B320" s="99"/>
      <x:c r="C320" s="99"/>
      <x:c r="D320" s="99"/>
      <x:c r="E320" s="99"/>
      <x:c r="F320" s="99"/>
      <x:c r="G320" s="99"/>
      <x:c r="H320" s="99"/>
      <x:c r="I320" s="99"/>
      <x:c r="J320" s="99"/>
      <x:c r="K320" s="99"/>
      <x:c r="L320" s="99"/>
      <x:c r="M320" s="99"/>
      <x:c r="N320" s="99"/>
      <x:c r="O320" s="99"/>
      <x:c r="P320" s="99"/>
      <x:c r="Q320" s="99"/>
      <x:c r="R320" s="99"/>
      <x:c r="S320" s="99"/>
      <x:c r="T320" s="99"/>
      <x:c r="U320" s="99"/>
      <x:c r="V320" s="99"/>
      <x:c r="W320" s="99"/>
      <x:c r="X320" s="99"/>
      <x:c r="Y320" s="99"/>
      <x:c r="Z320" s="99"/>
    </x:row>
    <x:row r="321">
      <x:c r="A321" s="99"/>
      <x:c r="B321" s="99"/>
      <x:c r="C321" s="99"/>
      <x:c r="D321" s="99"/>
      <x:c r="E321" s="99"/>
      <x:c r="F321" s="99"/>
      <x:c r="G321" s="99"/>
      <x:c r="H321" s="99"/>
      <x:c r="I321" s="99"/>
      <x:c r="J321" s="99"/>
      <x:c r="K321" s="99"/>
      <x:c r="L321" s="99"/>
      <x:c r="M321" s="99"/>
      <x:c r="N321" s="99"/>
      <x:c r="O321" s="99"/>
      <x:c r="P321" s="99"/>
      <x:c r="Q321" s="99"/>
      <x:c r="R321" s="99"/>
      <x:c r="S321" s="99"/>
      <x:c r="T321" s="99"/>
      <x:c r="U321" s="99"/>
      <x:c r="V321" s="99"/>
      <x:c r="W321" s="99"/>
      <x:c r="X321" s="99"/>
      <x:c r="Y321" s="99"/>
      <x:c r="Z321" s="99"/>
    </x:row>
    <x:row r="322">
      <x:c r="A322" s="99"/>
      <x:c r="B322" s="99"/>
      <x:c r="C322" s="99"/>
      <x:c r="D322" s="99"/>
      <x:c r="E322" s="99"/>
      <x:c r="F322" s="99"/>
      <x:c r="G322" s="99"/>
      <x:c r="H322" s="99"/>
      <x:c r="I322" s="99"/>
      <x:c r="J322" s="99"/>
      <x:c r="K322" s="99"/>
      <x:c r="L322" s="99"/>
      <x:c r="M322" s="99"/>
      <x:c r="N322" s="99"/>
      <x:c r="O322" s="99"/>
      <x:c r="P322" s="99"/>
      <x:c r="Q322" s="99"/>
      <x:c r="R322" s="99"/>
      <x:c r="S322" s="99"/>
      <x:c r="T322" s="99"/>
      <x:c r="U322" s="99"/>
      <x:c r="V322" s="99"/>
      <x:c r="W322" s="99"/>
      <x:c r="X322" s="99"/>
      <x:c r="Y322" s="99"/>
      <x:c r="Z322" s="99"/>
    </x:row>
    <x:row r="323">
      <x:c r="A323" s="99"/>
      <x:c r="B323" s="99"/>
      <x:c r="C323" s="99"/>
      <x:c r="D323" s="99"/>
      <x:c r="E323" s="99"/>
      <x:c r="F323" s="99"/>
      <x:c r="G323" s="99"/>
      <x:c r="H323" s="99"/>
      <x:c r="I323" s="99"/>
      <x:c r="J323" s="99"/>
      <x:c r="K323" s="99"/>
      <x:c r="L323" s="99"/>
      <x:c r="M323" s="99"/>
      <x:c r="N323" s="99"/>
      <x:c r="O323" s="99"/>
      <x:c r="P323" s="99"/>
      <x:c r="Q323" s="99"/>
      <x:c r="R323" s="99"/>
      <x:c r="S323" s="99"/>
      <x:c r="T323" s="99"/>
      <x:c r="U323" s="99"/>
      <x:c r="V323" s="99"/>
      <x:c r="W323" s="99"/>
      <x:c r="X323" s="99"/>
      <x:c r="Y323" s="99"/>
      <x:c r="Z323" s="99"/>
    </x:row>
    <x:row r="324">
      <x:c r="A324" s="99"/>
      <x:c r="B324" s="99"/>
      <x:c r="C324" s="99"/>
      <x:c r="D324" s="99"/>
      <x:c r="E324" s="99"/>
      <x:c r="F324" s="99"/>
      <x:c r="G324" s="99"/>
      <x:c r="H324" s="99"/>
      <x:c r="I324" s="99"/>
      <x:c r="J324" s="99"/>
      <x:c r="K324" s="99"/>
      <x:c r="L324" s="99"/>
      <x:c r="M324" s="99"/>
      <x:c r="N324" s="99"/>
      <x:c r="O324" s="99"/>
      <x:c r="P324" s="99"/>
      <x:c r="Q324" s="99"/>
      <x:c r="R324" s="99"/>
      <x:c r="S324" s="99"/>
      <x:c r="T324" s="99"/>
      <x:c r="U324" s="99"/>
      <x:c r="V324" s="99"/>
      <x:c r="W324" s="99"/>
      <x:c r="X324" s="99"/>
      <x:c r="Y324" s="99"/>
      <x:c r="Z324" s="99"/>
    </x:row>
    <x:row r="325">
      <x:c r="A325" s="99"/>
      <x:c r="B325" s="99"/>
      <x:c r="C325" s="99"/>
      <x:c r="D325" s="99"/>
      <x:c r="E325" s="99"/>
      <x:c r="F325" s="99"/>
      <x:c r="G325" s="99"/>
      <x:c r="H325" s="99"/>
      <x:c r="I325" s="99"/>
      <x:c r="J325" s="99"/>
      <x:c r="K325" s="99"/>
      <x:c r="L325" s="99"/>
      <x:c r="M325" s="99"/>
      <x:c r="N325" s="99"/>
      <x:c r="O325" s="99"/>
      <x:c r="P325" s="99"/>
      <x:c r="Q325" s="99"/>
      <x:c r="R325" s="99"/>
      <x:c r="S325" s="99"/>
      <x:c r="T325" s="99"/>
      <x:c r="U325" s="99"/>
      <x:c r="V325" s="99"/>
      <x:c r="W325" s="99"/>
      <x:c r="X325" s="99"/>
      <x:c r="Y325" s="99"/>
      <x:c r="Z325" s="99"/>
    </x:row>
    <x:row r="326">
      <x:c r="A326" s="99"/>
      <x:c r="B326" s="99"/>
      <x:c r="C326" s="99"/>
      <x:c r="D326" s="99"/>
      <x:c r="E326" s="99"/>
      <x:c r="F326" s="99"/>
      <x:c r="G326" s="99"/>
      <x:c r="H326" s="99"/>
      <x:c r="I326" s="99"/>
      <x:c r="J326" s="99"/>
      <x:c r="K326" s="99"/>
      <x:c r="L326" s="99"/>
      <x:c r="M326" s="99"/>
      <x:c r="N326" s="99"/>
      <x:c r="O326" s="99"/>
      <x:c r="P326" s="99"/>
      <x:c r="Q326" s="99"/>
      <x:c r="R326" s="99"/>
      <x:c r="S326" s="99"/>
      <x:c r="T326" s="99"/>
      <x:c r="U326" s="99"/>
      <x:c r="V326" s="99"/>
      <x:c r="W326" s="99"/>
      <x:c r="X326" s="99"/>
      <x:c r="Y326" s="99"/>
      <x:c r="Z326" s="99"/>
    </x:row>
    <x:row r="327">
      <x:c r="A327" s="99"/>
      <x:c r="B327" s="99"/>
      <x:c r="C327" s="99"/>
      <x:c r="D327" s="99"/>
      <x:c r="E327" s="99"/>
      <x:c r="F327" s="99"/>
      <x:c r="G327" s="99"/>
      <x:c r="H327" s="99"/>
      <x:c r="I327" s="99"/>
      <x:c r="J327" s="99"/>
      <x:c r="K327" s="99"/>
      <x:c r="L327" s="99"/>
      <x:c r="M327" s="99"/>
      <x:c r="N327" s="99"/>
      <x:c r="O327" s="99"/>
      <x:c r="P327" s="99"/>
      <x:c r="Q327" s="99"/>
      <x:c r="R327" s="99"/>
      <x:c r="S327" s="99"/>
      <x:c r="T327" s="99"/>
      <x:c r="U327" s="99"/>
      <x:c r="V327" s="99"/>
      <x:c r="W327" s="99"/>
      <x:c r="X327" s="99"/>
      <x:c r="Y327" s="99"/>
      <x:c r="Z327" s="99"/>
    </x:row>
    <x:row r="328">
      <x:c r="A328" s="99"/>
      <x:c r="B328" s="99"/>
      <x:c r="C328" s="99"/>
      <x:c r="D328" s="99"/>
      <x:c r="E328" s="99"/>
      <x:c r="F328" s="99"/>
      <x:c r="G328" s="99"/>
      <x:c r="H328" s="99"/>
      <x:c r="I328" s="99"/>
      <x:c r="J328" s="99"/>
      <x:c r="K328" s="99"/>
      <x:c r="L328" s="99"/>
      <x:c r="M328" s="99"/>
      <x:c r="N328" s="99"/>
      <x:c r="O328" s="99"/>
      <x:c r="P328" s="99"/>
      <x:c r="Q328" s="99"/>
      <x:c r="R328" s="99"/>
      <x:c r="S328" s="99"/>
      <x:c r="T328" s="99"/>
      <x:c r="U328" s="99"/>
      <x:c r="V328" s="99"/>
      <x:c r="W328" s="99"/>
      <x:c r="X328" s="99"/>
      <x:c r="Y328" s="99"/>
      <x:c r="Z328" s="99"/>
    </x:row>
    <x:row r="329">
      <x:c r="A329" s="99"/>
      <x:c r="B329" s="99"/>
      <x:c r="C329" s="99"/>
      <x:c r="D329" s="99"/>
      <x:c r="E329" s="99"/>
      <x:c r="F329" s="99"/>
      <x:c r="G329" s="99"/>
      <x:c r="H329" s="99"/>
      <x:c r="I329" s="99"/>
      <x:c r="J329" s="99"/>
      <x:c r="K329" s="99"/>
      <x:c r="L329" s="99"/>
      <x:c r="M329" s="99"/>
      <x:c r="N329" s="99"/>
      <x:c r="O329" s="99"/>
      <x:c r="P329" s="99"/>
      <x:c r="Q329" s="99"/>
      <x:c r="R329" s="99"/>
      <x:c r="S329" s="99"/>
      <x:c r="T329" s="99"/>
      <x:c r="U329" s="99"/>
      <x:c r="V329" s="99"/>
      <x:c r="W329" s="99"/>
      <x:c r="X329" s="99"/>
      <x:c r="Y329" s="99"/>
      <x:c r="Z329" s="99"/>
    </x:row>
    <x:row r="330">
      <x:c r="A330" s="99"/>
      <x:c r="B330" s="99"/>
      <x:c r="C330" s="99"/>
      <x:c r="D330" s="99"/>
      <x:c r="E330" s="99"/>
      <x:c r="F330" s="99"/>
      <x:c r="G330" s="99"/>
      <x:c r="H330" s="99"/>
      <x:c r="I330" s="99"/>
      <x:c r="J330" s="99"/>
      <x:c r="K330" s="99"/>
      <x:c r="L330" s="99"/>
      <x:c r="M330" s="99"/>
      <x:c r="N330" s="99"/>
      <x:c r="O330" s="99"/>
      <x:c r="P330" s="99"/>
      <x:c r="Q330" s="99"/>
      <x:c r="R330" s="99"/>
      <x:c r="S330" s="99"/>
      <x:c r="T330" s="99"/>
      <x:c r="U330" s="99"/>
      <x:c r="V330" s="99"/>
      <x:c r="W330" s="99"/>
      <x:c r="X330" s="99"/>
      <x:c r="Y330" s="99"/>
      <x:c r="Z330" s="99"/>
    </x:row>
    <x:row r="331">
      <x:c r="A331" s="99"/>
      <x:c r="B331" s="99"/>
      <x:c r="C331" s="99"/>
      <x:c r="D331" s="99"/>
      <x:c r="E331" s="99"/>
      <x:c r="F331" s="99"/>
      <x:c r="G331" s="99"/>
      <x:c r="H331" s="99"/>
      <x:c r="I331" s="99"/>
      <x:c r="J331" s="99"/>
      <x:c r="K331" s="99"/>
      <x:c r="L331" s="99"/>
      <x:c r="M331" s="99"/>
      <x:c r="N331" s="99"/>
      <x:c r="O331" s="99"/>
      <x:c r="P331" s="99"/>
      <x:c r="Q331" s="99"/>
      <x:c r="R331" s="99"/>
      <x:c r="S331" s="99"/>
      <x:c r="T331" s="99"/>
      <x:c r="U331" s="99"/>
      <x:c r="V331" s="99"/>
      <x:c r="W331" s="99"/>
      <x:c r="X331" s="99"/>
      <x:c r="Y331" s="99"/>
      <x:c r="Z331" s="99"/>
    </x:row>
    <x:row r="332">
      <x:c r="A332" s="99"/>
      <x:c r="B332" s="99"/>
      <x:c r="C332" s="99"/>
      <x:c r="D332" s="99"/>
      <x:c r="E332" s="99"/>
      <x:c r="F332" s="99"/>
      <x:c r="G332" s="99"/>
      <x:c r="H332" s="99"/>
      <x:c r="I332" s="99"/>
      <x:c r="J332" s="99"/>
      <x:c r="K332" s="99"/>
      <x:c r="L332" s="99"/>
      <x:c r="M332" s="99"/>
      <x:c r="N332" s="99"/>
      <x:c r="O332" s="99"/>
      <x:c r="P332" s="99"/>
      <x:c r="Q332" s="99"/>
      <x:c r="R332" s="99"/>
      <x:c r="S332" s="99"/>
      <x:c r="T332" s="99"/>
      <x:c r="U332" s="99"/>
      <x:c r="V332" s="99"/>
      <x:c r="W332" s="99"/>
      <x:c r="X332" s="99"/>
      <x:c r="Y332" s="99"/>
      <x:c r="Z332" s="99"/>
    </x:row>
    <x:row r="333">
      <x:c r="A333" s="99"/>
      <x:c r="B333" s="99"/>
      <x:c r="C333" s="99"/>
      <x:c r="D333" s="99"/>
      <x:c r="E333" s="99"/>
      <x:c r="F333" s="99"/>
      <x:c r="G333" s="99"/>
      <x:c r="H333" s="99"/>
      <x:c r="I333" s="99"/>
      <x:c r="J333" s="99"/>
      <x:c r="K333" s="99"/>
      <x:c r="L333" s="99"/>
      <x:c r="M333" s="99"/>
      <x:c r="N333" s="99"/>
      <x:c r="O333" s="99"/>
      <x:c r="P333" s="99"/>
      <x:c r="Q333" s="99"/>
      <x:c r="R333" s="99"/>
      <x:c r="S333" s="99"/>
      <x:c r="T333" s="99"/>
      <x:c r="U333" s="99"/>
      <x:c r="V333" s="99"/>
      <x:c r="W333" s="99"/>
      <x:c r="X333" s="99"/>
      <x:c r="Y333" s="99"/>
      <x:c r="Z333" s="99"/>
    </x:row>
    <x:row r="334">
      <x:c r="A334" s="99"/>
      <x:c r="B334" s="99"/>
      <x:c r="C334" s="99"/>
      <x:c r="D334" s="99"/>
      <x:c r="E334" s="99"/>
      <x:c r="F334" s="99"/>
      <x:c r="G334" s="99"/>
      <x:c r="H334" s="99"/>
      <x:c r="I334" s="99"/>
      <x:c r="J334" s="99"/>
      <x:c r="K334" s="99"/>
      <x:c r="L334" s="99"/>
      <x:c r="M334" s="99"/>
      <x:c r="N334" s="99"/>
      <x:c r="O334" s="99"/>
      <x:c r="P334" s="99"/>
      <x:c r="Q334" s="99"/>
      <x:c r="R334" s="99"/>
      <x:c r="S334" s="99"/>
      <x:c r="T334" s="99"/>
      <x:c r="U334" s="99"/>
      <x:c r="V334" s="99"/>
      <x:c r="W334" s="99"/>
      <x:c r="X334" s="99"/>
      <x:c r="Y334" s="99"/>
      <x:c r="Z334" s="99"/>
    </x:row>
    <x:row r="335">
      <x:c r="A335" s="99"/>
      <x:c r="B335" s="99"/>
      <x:c r="C335" s="99"/>
      <x:c r="D335" s="99"/>
      <x:c r="E335" s="99"/>
      <x:c r="F335" s="99"/>
      <x:c r="G335" s="99"/>
      <x:c r="H335" s="99"/>
      <x:c r="I335" s="99"/>
      <x:c r="J335" s="99"/>
      <x:c r="K335" s="99"/>
      <x:c r="L335" s="99"/>
      <x:c r="M335" s="99"/>
      <x:c r="N335" s="99"/>
      <x:c r="O335" s="99"/>
      <x:c r="P335" s="99"/>
      <x:c r="Q335" s="99"/>
      <x:c r="R335" s="99"/>
      <x:c r="S335" s="99"/>
      <x:c r="T335" s="99"/>
      <x:c r="U335" s="99"/>
      <x:c r="V335" s="99"/>
      <x:c r="W335" s="99"/>
      <x:c r="X335" s="99"/>
      <x:c r="Y335" s="99"/>
      <x:c r="Z335" s="99"/>
    </x:row>
    <x:row r="336">
      <x:c r="A336" s="99"/>
      <x:c r="B336" s="99"/>
      <x:c r="C336" s="99"/>
      <x:c r="D336" s="99"/>
      <x:c r="E336" s="99"/>
      <x:c r="F336" s="99"/>
      <x:c r="G336" s="99"/>
      <x:c r="H336" s="99"/>
      <x:c r="I336" s="99"/>
      <x:c r="J336" s="99"/>
      <x:c r="K336" s="99"/>
      <x:c r="L336" s="99"/>
      <x:c r="M336" s="99"/>
      <x:c r="N336" s="99"/>
      <x:c r="O336" s="99"/>
      <x:c r="P336" s="99"/>
      <x:c r="Q336" s="99"/>
      <x:c r="R336" s="99"/>
      <x:c r="S336" s="99"/>
      <x:c r="T336" s="99"/>
      <x:c r="U336" s="99"/>
      <x:c r="V336" s="99"/>
      <x:c r="W336" s="99"/>
      <x:c r="X336" s="99"/>
      <x:c r="Y336" s="99"/>
      <x:c r="Z336" s="99"/>
    </x:row>
    <x:row r="337">
      <x:c r="A337" s="99"/>
      <x:c r="B337" s="99"/>
      <x:c r="C337" s="99"/>
      <x:c r="D337" s="99"/>
      <x:c r="E337" s="99"/>
      <x:c r="F337" s="99"/>
      <x:c r="G337" s="99"/>
      <x:c r="H337" s="99"/>
      <x:c r="I337" s="99"/>
      <x:c r="J337" s="99"/>
      <x:c r="K337" s="99"/>
      <x:c r="L337" s="99"/>
      <x:c r="M337" s="99"/>
      <x:c r="N337" s="99"/>
      <x:c r="O337" s="99"/>
      <x:c r="P337" s="99"/>
      <x:c r="Q337" s="99"/>
      <x:c r="R337" s="99"/>
      <x:c r="S337" s="99"/>
      <x:c r="T337" s="99"/>
      <x:c r="U337" s="99"/>
      <x:c r="V337" s="99"/>
      <x:c r="W337" s="99"/>
      <x:c r="X337" s="99"/>
      <x:c r="Y337" s="99"/>
      <x:c r="Z337" s="99"/>
    </x:row>
    <x:row r="338">
      <x:c r="A338" s="99"/>
      <x:c r="B338" s="99"/>
      <x:c r="C338" s="99"/>
      <x:c r="D338" s="99"/>
      <x:c r="E338" s="99"/>
      <x:c r="F338" s="99"/>
      <x:c r="G338" s="99"/>
      <x:c r="H338" s="99"/>
      <x:c r="I338" s="99"/>
      <x:c r="J338" s="99"/>
      <x:c r="K338" s="99"/>
      <x:c r="L338" s="99"/>
      <x:c r="M338" s="99"/>
      <x:c r="N338" s="99"/>
      <x:c r="O338" s="99"/>
      <x:c r="P338" s="99"/>
      <x:c r="Q338" s="99"/>
      <x:c r="R338" s="99"/>
      <x:c r="S338" s="99"/>
      <x:c r="T338" s="99"/>
      <x:c r="U338" s="99"/>
      <x:c r="V338" s="99"/>
      <x:c r="W338" s="99"/>
      <x:c r="X338" s="99"/>
      <x:c r="Y338" s="99"/>
      <x:c r="Z338" s="99"/>
    </x:row>
    <x:row r="339">
      <x:c r="A339" s="99"/>
      <x:c r="B339" s="99"/>
      <x:c r="C339" s="99"/>
      <x:c r="D339" s="99"/>
      <x:c r="E339" s="99"/>
      <x:c r="F339" s="99"/>
      <x:c r="G339" s="99"/>
      <x:c r="H339" s="99"/>
      <x:c r="I339" s="99"/>
      <x:c r="J339" s="99"/>
      <x:c r="K339" s="99"/>
      <x:c r="L339" s="99"/>
      <x:c r="M339" s="99"/>
      <x:c r="N339" s="99"/>
      <x:c r="O339" s="99"/>
      <x:c r="P339" s="99"/>
      <x:c r="Q339" s="99"/>
      <x:c r="R339" s="99"/>
      <x:c r="S339" s="99"/>
      <x:c r="T339" s="99"/>
      <x:c r="U339" s="99"/>
      <x:c r="V339" s="99"/>
      <x:c r="W339" s="99"/>
      <x:c r="X339" s="99"/>
      <x:c r="Y339" s="99"/>
      <x:c r="Z339" s="99"/>
    </x:row>
    <x:row r="340">
      <x:c r="A340" s="99"/>
      <x:c r="B340" s="99"/>
      <x:c r="C340" s="99"/>
      <x:c r="D340" s="99"/>
      <x:c r="E340" s="99"/>
      <x:c r="F340" s="99"/>
      <x:c r="G340" s="99"/>
      <x:c r="H340" s="99"/>
      <x:c r="I340" s="99"/>
      <x:c r="J340" s="99"/>
      <x:c r="K340" s="99"/>
      <x:c r="L340" s="99"/>
      <x:c r="M340" s="99"/>
      <x:c r="N340" s="99"/>
      <x:c r="O340" s="99"/>
      <x:c r="P340" s="99"/>
      <x:c r="Q340" s="99"/>
      <x:c r="R340" s="99"/>
      <x:c r="S340" s="99"/>
      <x:c r="T340" s="99"/>
      <x:c r="U340" s="99"/>
      <x:c r="V340" s="99"/>
      <x:c r="W340" s="99"/>
      <x:c r="X340" s="99"/>
      <x:c r="Y340" s="99"/>
      <x:c r="Z340" s="99"/>
    </x:row>
    <x:row r="341">
      <x:c r="A341" s="99"/>
      <x:c r="B341" s="99"/>
      <x:c r="C341" s="99"/>
      <x:c r="D341" s="99"/>
      <x:c r="E341" s="99"/>
      <x:c r="F341" s="99"/>
      <x:c r="G341" s="99"/>
      <x:c r="H341" s="99"/>
      <x:c r="I341" s="99"/>
      <x:c r="J341" s="99"/>
      <x:c r="K341" s="99"/>
      <x:c r="L341" s="99"/>
      <x:c r="M341" s="99"/>
      <x:c r="N341" s="99"/>
      <x:c r="O341" s="99"/>
      <x:c r="P341" s="99"/>
      <x:c r="Q341" s="99"/>
      <x:c r="R341" s="99"/>
      <x:c r="S341" s="99"/>
      <x:c r="T341" s="99"/>
      <x:c r="U341" s="99"/>
      <x:c r="V341" s="99"/>
      <x:c r="W341" s="99"/>
      <x:c r="X341" s="99"/>
      <x:c r="Y341" s="99"/>
      <x:c r="Z341" s="99"/>
    </x:row>
    <x:row r="342">
      <x:c r="A342" s="99"/>
      <x:c r="B342" s="99"/>
      <x:c r="C342" s="99"/>
      <x:c r="D342" s="99"/>
      <x:c r="E342" s="99"/>
      <x:c r="F342" s="99"/>
      <x:c r="G342" s="99"/>
      <x:c r="H342" s="99"/>
      <x:c r="I342" s="99"/>
      <x:c r="J342" s="99"/>
      <x:c r="K342" s="99"/>
      <x:c r="L342" s="99"/>
      <x:c r="M342" s="99"/>
      <x:c r="N342" s="99"/>
      <x:c r="O342" s="99"/>
      <x:c r="P342" s="99"/>
      <x:c r="Q342" s="99"/>
      <x:c r="R342" s="99"/>
      <x:c r="S342" s="99"/>
      <x:c r="T342" s="99"/>
      <x:c r="U342" s="99"/>
      <x:c r="V342" s="99"/>
      <x:c r="W342" s="99"/>
      <x:c r="X342" s="99"/>
      <x:c r="Y342" s="99"/>
      <x:c r="Z342" s="99"/>
    </x:row>
    <x:row r="343">
      <x:c r="A343" s="99"/>
      <x:c r="B343" s="99"/>
      <x:c r="C343" s="99"/>
      <x:c r="D343" s="99"/>
      <x:c r="E343" s="99"/>
      <x:c r="F343" s="99"/>
      <x:c r="G343" s="99"/>
      <x:c r="H343" s="99"/>
      <x:c r="I343" s="99"/>
      <x:c r="J343" s="99"/>
      <x:c r="K343" s="99"/>
      <x:c r="L343" s="99"/>
      <x:c r="M343" s="99"/>
      <x:c r="N343" s="99"/>
      <x:c r="O343" s="99"/>
      <x:c r="P343" s="99"/>
      <x:c r="Q343" s="99"/>
      <x:c r="R343" s="99"/>
      <x:c r="S343" s="99"/>
      <x:c r="T343" s="99"/>
      <x:c r="U343" s="99"/>
      <x:c r="V343" s="99"/>
      <x:c r="W343" s="99"/>
      <x:c r="X343" s="99"/>
      <x:c r="Y343" s="99"/>
      <x:c r="Z343" s="99"/>
    </x:row>
    <x:row r="344">
      <x:c r="A344" s="99"/>
      <x:c r="B344" s="99"/>
      <x:c r="C344" s="99"/>
      <x:c r="D344" s="99"/>
      <x:c r="E344" s="99"/>
      <x:c r="F344" s="99"/>
      <x:c r="G344" s="99"/>
      <x:c r="H344" s="99"/>
      <x:c r="I344" s="99"/>
      <x:c r="J344" s="99"/>
      <x:c r="K344" s="99"/>
      <x:c r="L344" s="99"/>
      <x:c r="M344" s="99"/>
      <x:c r="N344" s="99"/>
      <x:c r="O344" s="99"/>
      <x:c r="P344" s="99"/>
      <x:c r="Q344" s="99"/>
      <x:c r="R344" s="99"/>
      <x:c r="S344" s="99"/>
      <x:c r="T344" s="99"/>
      <x:c r="U344" s="99"/>
      <x:c r="V344" s="99"/>
      <x:c r="W344" s="99"/>
      <x:c r="X344" s="99"/>
      <x:c r="Y344" s="99"/>
      <x:c r="Z344" s="99"/>
    </x:row>
    <x:row r="345">
      <x:c r="A345" s="99"/>
      <x:c r="B345" s="99"/>
      <x:c r="C345" s="99"/>
      <x:c r="D345" s="99"/>
      <x:c r="E345" s="99"/>
      <x:c r="F345" s="99"/>
      <x:c r="G345" s="99"/>
      <x:c r="H345" s="99"/>
      <x:c r="I345" s="99"/>
      <x:c r="J345" s="99"/>
      <x:c r="K345" s="99"/>
      <x:c r="L345" s="99"/>
      <x:c r="M345" s="99"/>
      <x:c r="N345" s="99"/>
      <x:c r="O345" s="99"/>
      <x:c r="P345" s="99"/>
      <x:c r="Q345" s="99"/>
      <x:c r="R345" s="99"/>
      <x:c r="S345" s="99"/>
      <x:c r="T345" s="99"/>
      <x:c r="U345" s="99"/>
      <x:c r="V345" s="99"/>
      <x:c r="W345" s="99"/>
      <x:c r="X345" s="99"/>
      <x:c r="Y345" s="99"/>
      <x:c r="Z345" s="99"/>
    </x:row>
    <x:row r="346">
      <x:c r="A346" s="99"/>
      <x:c r="B346" s="99"/>
      <x:c r="C346" s="99"/>
      <x:c r="D346" s="99"/>
      <x:c r="E346" s="99"/>
      <x:c r="F346" s="99"/>
      <x:c r="G346" s="99"/>
      <x:c r="H346" s="99"/>
      <x:c r="I346" s="99"/>
      <x:c r="J346" s="99"/>
      <x:c r="K346" s="99"/>
      <x:c r="L346" s="99"/>
      <x:c r="M346" s="99"/>
      <x:c r="N346" s="99"/>
      <x:c r="O346" s="99"/>
      <x:c r="P346" s="99"/>
      <x:c r="Q346" s="99"/>
      <x:c r="R346" s="99"/>
      <x:c r="S346" s="99"/>
      <x:c r="T346" s="99"/>
      <x:c r="U346" s="99"/>
      <x:c r="V346" s="99"/>
      <x:c r="W346" s="99"/>
      <x:c r="X346" s="99"/>
      <x:c r="Y346" s="99"/>
      <x:c r="Z346" s="99"/>
    </x:row>
    <x:row r="347">
      <x:c r="A347" s="99"/>
      <x:c r="B347" s="99"/>
      <x:c r="C347" s="99"/>
      <x:c r="D347" s="99"/>
      <x:c r="E347" s="99"/>
      <x:c r="F347" s="99"/>
      <x:c r="G347" s="99"/>
      <x:c r="H347" s="99"/>
      <x:c r="I347" s="99"/>
      <x:c r="J347" s="99"/>
      <x:c r="K347" s="99"/>
      <x:c r="L347" s="99"/>
      <x:c r="M347" s="99"/>
      <x:c r="N347" s="99"/>
      <x:c r="O347" s="99"/>
      <x:c r="P347" s="99"/>
      <x:c r="Q347" s="99"/>
      <x:c r="R347" s="99"/>
      <x:c r="S347" s="99"/>
      <x:c r="T347" s="99"/>
      <x:c r="U347" s="99"/>
      <x:c r="V347" s="99"/>
      <x:c r="W347" s="99"/>
      <x:c r="X347" s="99"/>
      <x:c r="Y347" s="99"/>
      <x:c r="Z347" s="99"/>
    </x:row>
    <x:row r="348">
      <x:c r="A348" s="99"/>
      <x:c r="B348" s="99"/>
      <x:c r="C348" s="99"/>
      <x:c r="D348" s="99"/>
      <x:c r="E348" s="99"/>
      <x:c r="F348" s="99"/>
      <x:c r="G348" s="99"/>
      <x:c r="H348" s="99"/>
      <x:c r="I348" s="99"/>
      <x:c r="J348" s="99"/>
      <x:c r="K348" s="99"/>
      <x:c r="L348" s="99"/>
      <x:c r="M348" s="99"/>
      <x:c r="N348" s="99"/>
      <x:c r="O348" s="99"/>
      <x:c r="P348" s="99"/>
      <x:c r="Q348" s="99"/>
      <x:c r="R348" s="99"/>
      <x:c r="S348" s="99"/>
      <x:c r="T348" s="99"/>
      <x:c r="U348" s="99"/>
      <x:c r="V348" s="99"/>
      <x:c r="W348" s="99"/>
      <x:c r="X348" s="99"/>
      <x:c r="Y348" s="99"/>
      <x:c r="Z348" s="99"/>
    </x:row>
    <x:row r="349">
      <x:c r="A349" s="99"/>
      <x:c r="B349" s="99"/>
      <x:c r="C349" s="99"/>
      <x:c r="D349" s="99"/>
      <x:c r="E349" s="99"/>
      <x:c r="F349" s="99"/>
      <x:c r="G349" s="99"/>
      <x:c r="H349" s="99"/>
      <x:c r="I349" s="99"/>
      <x:c r="J349" s="99"/>
      <x:c r="K349" s="99"/>
      <x:c r="L349" s="99"/>
      <x:c r="M349" s="99"/>
      <x:c r="N349" s="99"/>
      <x:c r="O349" s="99"/>
      <x:c r="P349" s="99"/>
      <x:c r="Q349" s="99"/>
      <x:c r="R349" s="99"/>
      <x:c r="S349" s="99"/>
      <x:c r="T349" s="99"/>
      <x:c r="U349" s="99"/>
      <x:c r="V349" s="99"/>
      <x:c r="W349" s="99"/>
      <x:c r="X349" s="99"/>
      <x:c r="Y349" s="99"/>
      <x:c r="Z349" s="99"/>
    </x:row>
    <x:row r="350">
      <x:c r="A350" s="99"/>
      <x:c r="B350" s="99"/>
      <x:c r="C350" s="99"/>
      <x:c r="D350" s="99"/>
      <x:c r="E350" s="99"/>
      <x:c r="F350" s="99"/>
      <x:c r="G350" s="99"/>
      <x:c r="H350" s="99"/>
      <x:c r="I350" s="99"/>
      <x:c r="J350" s="99"/>
      <x:c r="K350" s="99"/>
      <x:c r="L350" s="99"/>
      <x:c r="M350" s="99"/>
      <x:c r="N350" s="99"/>
      <x:c r="O350" s="99"/>
      <x:c r="P350" s="99"/>
      <x:c r="Q350" s="99"/>
      <x:c r="R350" s="99"/>
      <x:c r="S350" s="99"/>
      <x:c r="T350" s="99"/>
      <x:c r="U350" s="99"/>
      <x:c r="V350" s="99"/>
      <x:c r="W350" s="99"/>
      <x:c r="X350" s="99"/>
      <x:c r="Y350" s="99"/>
      <x:c r="Z350" s="99"/>
    </x:row>
    <x:row r="351">
      <x:c r="A351" s="99"/>
      <x:c r="B351" s="99"/>
      <x:c r="C351" s="99"/>
      <x:c r="D351" s="99"/>
      <x:c r="E351" s="99"/>
      <x:c r="F351" s="99"/>
      <x:c r="G351" s="99"/>
      <x:c r="H351" s="99"/>
      <x:c r="I351" s="99"/>
      <x:c r="J351" s="99"/>
      <x:c r="K351" s="99"/>
      <x:c r="L351" s="99"/>
      <x:c r="M351" s="99"/>
      <x:c r="N351" s="99"/>
      <x:c r="O351" s="99"/>
      <x:c r="P351" s="99"/>
      <x:c r="Q351" s="99"/>
      <x:c r="R351" s="99"/>
      <x:c r="S351" s="99"/>
      <x:c r="T351" s="99"/>
      <x:c r="U351" s="99"/>
      <x:c r="V351" s="99"/>
      <x:c r="W351" s="99"/>
      <x:c r="X351" s="99"/>
      <x:c r="Y351" s="99"/>
      <x:c r="Z351" s="99"/>
    </x:row>
    <x:row r="352">
      <x:c r="A352" s="99"/>
      <x:c r="B352" s="99"/>
      <x:c r="C352" s="99"/>
      <x:c r="D352" s="99"/>
      <x:c r="E352" s="99"/>
      <x:c r="F352" s="99"/>
      <x:c r="G352" s="99"/>
      <x:c r="H352" s="99"/>
      <x:c r="I352" s="99"/>
      <x:c r="J352" s="99"/>
      <x:c r="K352" s="99"/>
      <x:c r="L352" s="99"/>
      <x:c r="M352" s="99"/>
      <x:c r="N352" s="99"/>
      <x:c r="O352" s="99"/>
      <x:c r="P352" s="99"/>
      <x:c r="Q352" s="99"/>
      <x:c r="R352" s="99"/>
      <x:c r="S352" s="99"/>
      <x:c r="T352" s="99"/>
      <x:c r="U352" s="99"/>
      <x:c r="V352" s="99"/>
      <x:c r="W352" s="99"/>
      <x:c r="X352" s="99"/>
      <x:c r="Y352" s="99"/>
      <x:c r="Z352" s="99"/>
    </x:row>
    <x:row r="353">
      <x:c r="A353" s="99"/>
      <x:c r="B353" s="99"/>
      <x:c r="C353" s="99"/>
      <x:c r="D353" s="99"/>
      <x:c r="E353" s="99"/>
      <x:c r="F353" s="99"/>
      <x:c r="G353" s="99"/>
      <x:c r="H353" s="99"/>
      <x:c r="I353" s="99"/>
      <x:c r="J353" s="99"/>
      <x:c r="K353" s="99"/>
      <x:c r="L353" s="99"/>
      <x:c r="M353" s="99"/>
      <x:c r="N353" s="99"/>
      <x:c r="O353" s="99"/>
      <x:c r="P353" s="99"/>
      <x:c r="Q353" s="99"/>
      <x:c r="R353" s="99"/>
      <x:c r="S353" s="99"/>
      <x:c r="T353" s="99"/>
      <x:c r="U353" s="99"/>
      <x:c r="V353" s="99"/>
      <x:c r="W353" s="99"/>
      <x:c r="X353" s="99"/>
      <x:c r="Y353" s="99"/>
      <x:c r="Z353" s="99"/>
    </x:row>
    <x:row r="354">
      <x:c r="A354" s="99"/>
      <x:c r="B354" s="99"/>
      <x:c r="C354" s="99"/>
      <x:c r="D354" s="99"/>
      <x:c r="E354" s="99"/>
      <x:c r="F354" s="99"/>
      <x:c r="G354" s="99"/>
      <x:c r="H354" s="99"/>
      <x:c r="I354" s="99"/>
      <x:c r="J354" s="99"/>
      <x:c r="K354" s="99"/>
      <x:c r="L354" s="99"/>
      <x:c r="M354" s="99"/>
      <x:c r="N354" s="99"/>
      <x:c r="O354" s="99"/>
      <x:c r="P354" s="99"/>
      <x:c r="Q354" s="99"/>
      <x:c r="R354" s="99"/>
      <x:c r="S354" s="99"/>
      <x:c r="T354" s="99"/>
      <x:c r="U354" s="99"/>
      <x:c r="V354" s="99"/>
      <x:c r="W354" s="99"/>
      <x:c r="X354" s="99"/>
      <x:c r="Y354" s="99"/>
      <x:c r="Z354" s="99"/>
    </x:row>
    <x:row r="355">
      <x:c r="A355" s="99"/>
      <x:c r="B355" s="99"/>
      <x:c r="C355" s="99"/>
      <x:c r="D355" s="99"/>
      <x:c r="E355" s="99"/>
      <x:c r="F355" s="99"/>
      <x:c r="G355" s="99"/>
      <x:c r="H355" s="99"/>
      <x:c r="I355" s="99"/>
      <x:c r="J355" s="99"/>
      <x:c r="K355" s="99"/>
      <x:c r="L355" s="99"/>
      <x:c r="M355" s="99"/>
      <x:c r="N355" s="99"/>
      <x:c r="O355" s="99"/>
      <x:c r="P355" s="99"/>
      <x:c r="Q355" s="99"/>
      <x:c r="R355" s="99"/>
      <x:c r="S355" s="99"/>
      <x:c r="T355" s="99"/>
      <x:c r="U355" s="99"/>
      <x:c r="V355" s="99"/>
      <x:c r="W355" s="99"/>
      <x:c r="X355" s="99"/>
      <x:c r="Y355" s="99"/>
      <x:c r="Z355" s="99"/>
    </x:row>
    <x:row r="356">
      <x:c r="A356" s="99"/>
      <x:c r="B356" s="99"/>
      <x:c r="C356" s="99"/>
      <x:c r="D356" s="99"/>
      <x:c r="E356" s="99"/>
      <x:c r="F356" s="99"/>
      <x:c r="G356" s="99"/>
      <x:c r="H356" s="99"/>
      <x:c r="I356" s="99"/>
      <x:c r="J356" s="99"/>
      <x:c r="K356" s="99"/>
      <x:c r="L356" s="99"/>
      <x:c r="M356" s="99"/>
      <x:c r="N356" s="99"/>
      <x:c r="O356" s="99"/>
      <x:c r="P356" s="99"/>
      <x:c r="Q356" s="99"/>
      <x:c r="R356" s="99"/>
      <x:c r="S356" s="99"/>
      <x:c r="T356" s="99"/>
      <x:c r="U356" s="99"/>
      <x:c r="V356" s="99"/>
      <x:c r="W356" s="99"/>
      <x:c r="X356" s="99"/>
      <x:c r="Y356" s="99"/>
      <x:c r="Z356" s="99"/>
    </x:row>
    <x:row r="357">
      <x:c r="A357" s="99"/>
      <x:c r="B357" s="99"/>
      <x:c r="C357" s="99"/>
      <x:c r="D357" s="99"/>
      <x:c r="E357" s="99"/>
      <x:c r="F357" s="99"/>
      <x:c r="G357" s="99"/>
      <x:c r="H357" s="99"/>
      <x:c r="I357" s="99"/>
      <x:c r="J357" s="99"/>
      <x:c r="K357" s="99"/>
      <x:c r="L357" s="99"/>
      <x:c r="M357" s="99"/>
      <x:c r="N357" s="99"/>
      <x:c r="O357" s="99"/>
      <x:c r="P357" s="99"/>
      <x:c r="Q357" s="99"/>
      <x:c r="R357" s="99"/>
      <x:c r="S357" s="99"/>
      <x:c r="T357" s="99"/>
      <x:c r="U357" s="99"/>
      <x:c r="V357" s="99"/>
      <x:c r="W357" s="99"/>
      <x:c r="X357" s="99"/>
      <x:c r="Y357" s="99"/>
      <x:c r="Z357" s="99"/>
    </x:row>
    <x:row r="358">
      <x:c r="A358" s="99"/>
      <x:c r="B358" s="99"/>
      <x:c r="C358" s="99"/>
      <x:c r="D358" s="99"/>
      <x:c r="E358" s="99"/>
      <x:c r="F358" s="99"/>
      <x:c r="G358" s="99"/>
      <x:c r="H358" s="99"/>
      <x:c r="I358" s="99"/>
      <x:c r="J358" s="99"/>
      <x:c r="K358" s="99"/>
      <x:c r="L358" s="99"/>
      <x:c r="M358" s="99"/>
      <x:c r="N358" s="99"/>
      <x:c r="O358" s="99"/>
      <x:c r="P358" s="99"/>
      <x:c r="Q358" s="99"/>
      <x:c r="R358" s="99"/>
      <x:c r="S358" s="99"/>
      <x:c r="T358" s="99"/>
      <x:c r="U358" s="99"/>
      <x:c r="V358" s="99"/>
      <x:c r="W358" s="99"/>
      <x:c r="X358" s="99"/>
      <x:c r="Y358" s="99"/>
      <x:c r="Z358" s="99"/>
    </x:row>
    <x:row r="359">
      <x:c r="A359" s="99"/>
      <x:c r="B359" s="99"/>
      <x:c r="C359" s="99"/>
      <x:c r="D359" s="99"/>
      <x:c r="E359" s="99"/>
      <x:c r="F359" s="99"/>
      <x:c r="G359" s="99"/>
      <x:c r="H359" s="99"/>
      <x:c r="I359" s="99"/>
      <x:c r="J359" s="99"/>
      <x:c r="K359" s="99"/>
      <x:c r="L359" s="99"/>
      <x:c r="M359" s="99"/>
      <x:c r="N359" s="99"/>
      <x:c r="O359" s="99"/>
      <x:c r="P359" s="99"/>
      <x:c r="Q359" s="99"/>
      <x:c r="R359" s="99"/>
      <x:c r="S359" s="99"/>
      <x:c r="T359" s="99"/>
      <x:c r="U359" s="99"/>
      <x:c r="V359" s="99"/>
      <x:c r="W359" s="99"/>
      <x:c r="X359" s="99"/>
      <x:c r="Y359" s="99"/>
      <x:c r="Z359" s="99"/>
    </x:row>
    <x:row r="360">
      <x:c r="A360" s="99"/>
      <x:c r="B360" s="99"/>
      <x:c r="C360" s="99"/>
      <x:c r="D360" s="99"/>
      <x:c r="E360" s="99"/>
      <x:c r="F360" s="99"/>
      <x:c r="G360" s="99"/>
      <x:c r="H360" s="99"/>
      <x:c r="I360" s="99"/>
      <x:c r="J360" s="99"/>
      <x:c r="K360" s="99"/>
      <x:c r="L360" s="99"/>
      <x:c r="M360" s="99"/>
      <x:c r="N360" s="99"/>
      <x:c r="O360" s="99"/>
      <x:c r="P360" s="99"/>
      <x:c r="Q360" s="99"/>
      <x:c r="R360" s="99"/>
      <x:c r="S360" s="99"/>
      <x:c r="T360" s="99"/>
      <x:c r="U360" s="99"/>
      <x:c r="V360" s="99"/>
      <x:c r="W360" s="99"/>
      <x:c r="X360" s="99"/>
      <x:c r="Y360" s="99"/>
      <x:c r="Z360" s="99"/>
    </x:row>
    <x:row r="361">
      <x:c r="A361" s="99"/>
      <x:c r="B361" s="99"/>
      <x:c r="C361" s="99"/>
      <x:c r="D361" s="99"/>
      <x:c r="E361" s="99"/>
      <x:c r="F361" s="99"/>
      <x:c r="G361" s="99"/>
      <x:c r="H361" s="99"/>
      <x:c r="I361" s="99"/>
      <x:c r="J361" s="99"/>
      <x:c r="K361" s="99"/>
      <x:c r="L361" s="99"/>
      <x:c r="M361" s="99"/>
      <x:c r="N361" s="99"/>
      <x:c r="O361" s="99"/>
      <x:c r="P361" s="99"/>
      <x:c r="Q361" s="99"/>
      <x:c r="R361" s="99"/>
      <x:c r="S361" s="99"/>
      <x:c r="T361" s="99"/>
      <x:c r="U361" s="99"/>
      <x:c r="V361" s="99"/>
      <x:c r="W361" s="99"/>
      <x:c r="X361" s="99"/>
      <x:c r="Y361" s="99"/>
      <x:c r="Z361" s="99"/>
    </x:row>
    <x:row r="362">
      <x:c r="A362" s="99"/>
      <x:c r="B362" s="99"/>
      <x:c r="C362" s="99"/>
      <x:c r="D362" s="99"/>
      <x:c r="E362" s="99"/>
      <x:c r="F362" s="99"/>
      <x:c r="G362" s="99"/>
      <x:c r="H362" s="99"/>
      <x:c r="I362" s="99"/>
      <x:c r="J362" s="99"/>
      <x:c r="K362" s="99"/>
      <x:c r="L362" s="99"/>
      <x:c r="M362" s="99"/>
      <x:c r="N362" s="99"/>
      <x:c r="O362" s="99"/>
      <x:c r="P362" s="99"/>
      <x:c r="Q362" s="99"/>
      <x:c r="R362" s="99"/>
      <x:c r="S362" s="99"/>
      <x:c r="T362" s="99"/>
      <x:c r="U362" s="99"/>
      <x:c r="V362" s="99"/>
      <x:c r="W362" s="99"/>
      <x:c r="X362" s="99"/>
      <x:c r="Y362" s="99"/>
      <x:c r="Z362" s="99"/>
    </x:row>
    <x:row r="363">
      <x:c r="A363" s="99"/>
      <x:c r="B363" s="99"/>
      <x:c r="C363" s="99"/>
      <x:c r="D363" s="99"/>
      <x:c r="E363" s="99"/>
      <x:c r="F363" s="99"/>
      <x:c r="G363" s="99"/>
      <x:c r="H363" s="99"/>
      <x:c r="I363" s="99"/>
      <x:c r="J363" s="99"/>
      <x:c r="K363" s="99"/>
      <x:c r="L363" s="99"/>
      <x:c r="M363" s="99"/>
      <x:c r="N363" s="99"/>
      <x:c r="O363" s="99"/>
      <x:c r="P363" s="99"/>
      <x:c r="Q363" s="99"/>
      <x:c r="R363" s="99"/>
      <x:c r="S363" s="99"/>
      <x:c r="T363" s="99"/>
      <x:c r="U363" s="99"/>
      <x:c r="V363" s="99"/>
      <x:c r="W363" s="99"/>
      <x:c r="X363" s="99"/>
      <x:c r="Y363" s="99"/>
      <x:c r="Z363" s="99"/>
    </x:row>
    <x:row r="364">
      <x:c r="A364" s="99"/>
      <x:c r="B364" s="99"/>
      <x:c r="C364" s="99"/>
      <x:c r="D364" s="99"/>
      <x:c r="E364" s="99"/>
      <x:c r="F364" s="99"/>
      <x:c r="G364" s="99"/>
      <x:c r="H364" s="99"/>
      <x:c r="I364" s="99"/>
      <x:c r="J364" s="99"/>
      <x:c r="K364" s="99"/>
      <x:c r="L364" s="99"/>
      <x:c r="M364" s="99"/>
      <x:c r="N364" s="99"/>
      <x:c r="O364" s="99"/>
      <x:c r="P364" s="99"/>
      <x:c r="Q364" s="99"/>
      <x:c r="R364" s="99"/>
      <x:c r="S364" s="99"/>
      <x:c r="T364" s="99"/>
      <x:c r="U364" s="99"/>
      <x:c r="V364" s="99"/>
      <x:c r="W364" s="99"/>
      <x:c r="X364" s="99"/>
      <x:c r="Y364" s="99"/>
      <x:c r="Z364" s="99"/>
    </x:row>
    <x:row r="365">
      <x:c r="A365" s="99"/>
      <x:c r="B365" s="99"/>
      <x:c r="C365" s="99"/>
      <x:c r="D365" s="99"/>
      <x:c r="E365" s="99"/>
      <x:c r="F365" s="99"/>
      <x:c r="G365" s="99"/>
      <x:c r="H365" s="99"/>
      <x:c r="I365" s="99"/>
      <x:c r="J365" s="99"/>
      <x:c r="K365" s="99"/>
      <x:c r="L365" s="99"/>
      <x:c r="M365" s="99"/>
      <x:c r="N365" s="99"/>
      <x:c r="O365" s="99"/>
      <x:c r="P365" s="99"/>
      <x:c r="Q365" s="99"/>
      <x:c r="R365" s="99"/>
      <x:c r="S365" s="99"/>
      <x:c r="T365" s="99"/>
      <x:c r="U365" s="99"/>
      <x:c r="V365" s="99"/>
      <x:c r="W365" s="99"/>
      <x:c r="X365" s="99"/>
      <x:c r="Y365" s="99"/>
      <x:c r="Z365" s="99"/>
    </x:row>
    <x:row r="366">
      <x:c r="A366" s="99"/>
      <x:c r="B366" s="99"/>
      <x:c r="C366" s="99"/>
      <x:c r="D366" s="99"/>
      <x:c r="E366" s="99"/>
      <x:c r="F366" s="99"/>
      <x:c r="G366" s="99"/>
      <x:c r="H366" s="99"/>
      <x:c r="I366" s="99"/>
      <x:c r="J366" s="99"/>
      <x:c r="K366" s="99"/>
      <x:c r="L366" s="99"/>
      <x:c r="M366" s="99"/>
      <x:c r="N366" s="99"/>
      <x:c r="O366" s="99"/>
      <x:c r="P366" s="99"/>
      <x:c r="Q366" s="99"/>
      <x:c r="R366" s="99"/>
      <x:c r="S366" s="99"/>
      <x:c r="T366" s="99"/>
      <x:c r="U366" s="99"/>
      <x:c r="V366" s="99"/>
      <x:c r="W366" s="99"/>
      <x:c r="X366" s="99"/>
      <x:c r="Y366" s="99"/>
      <x:c r="Z366" s="99"/>
    </x:row>
    <x:row r="367">
      <x:c r="A367" s="99"/>
      <x:c r="B367" s="99"/>
      <x:c r="C367" s="99"/>
      <x:c r="D367" s="99"/>
      <x:c r="E367" s="99"/>
      <x:c r="F367" s="99"/>
      <x:c r="G367" s="99"/>
      <x:c r="H367" s="99"/>
      <x:c r="I367" s="99"/>
      <x:c r="J367" s="99"/>
      <x:c r="K367" s="99"/>
      <x:c r="L367" s="99"/>
      <x:c r="M367" s="99"/>
      <x:c r="N367" s="99"/>
      <x:c r="O367" s="99"/>
      <x:c r="P367" s="99"/>
      <x:c r="Q367" s="99"/>
      <x:c r="R367" s="99"/>
      <x:c r="S367" s="99"/>
      <x:c r="T367" s="99"/>
      <x:c r="U367" s="99"/>
      <x:c r="V367" s="99"/>
      <x:c r="W367" s="99"/>
      <x:c r="X367" s="99"/>
      <x:c r="Y367" s="99"/>
      <x:c r="Z367" s="99"/>
    </x:row>
    <x:row r="368">
      <x:c r="A368" s="99"/>
      <x:c r="B368" s="99"/>
      <x:c r="C368" s="99"/>
      <x:c r="D368" s="99"/>
      <x:c r="E368" s="99"/>
      <x:c r="F368" s="99"/>
      <x:c r="G368" s="99"/>
      <x:c r="H368" s="99"/>
      <x:c r="I368" s="99"/>
      <x:c r="J368" s="99"/>
      <x:c r="K368" s="99"/>
      <x:c r="L368" s="99"/>
      <x:c r="M368" s="99"/>
      <x:c r="N368" s="99"/>
      <x:c r="O368" s="99"/>
      <x:c r="P368" s="99"/>
      <x:c r="Q368" s="99"/>
      <x:c r="R368" s="99"/>
      <x:c r="S368" s="99"/>
      <x:c r="T368" s="99"/>
      <x:c r="U368" s="99"/>
      <x:c r="V368" s="99"/>
      <x:c r="W368" s="99"/>
      <x:c r="X368" s="99"/>
      <x:c r="Y368" s="99"/>
      <x:c r="Z368" s="99"/>
    </x:row>
    <x:row r="369">
      <x:c r="A369" s="99"/>
      <x:c r="B369" s="99"/>
      <x:c r="C369" s="99"/>
      <x:c r="D369" s="99"/>
      <x:c r="E369" s="99"/>
      <x:c r="F369" s="99"/>
      <x:c r="G369" s="99"/>
      <x:c r="H369" s="99"/>
      <x:c r="I369" s="99"/>
      <x:c r="J369" s="99"/>
      <x:c r="K369" s="99"/>
      <x:c r="L369" s="99"/>
      <x:c r="M369" s="99"/>
      <x:c r="N369" s="99"/>
      <x:c r="O369" s="99"/>
      <x:c r="P369" s="99"/>
      <x:c r="Q369" s="99"/>
      <x:c r="R369" s="99"/>
      <x:c r="S369" s="99"/>
      <x:c r="T369" s="99"/>
      <x:c r="U369" s="99"/>
      <x:c r="V369" s="99"/>
      <x:c r="W369" s="99"/>
      <x:c r="X369" s="99"/>
      <x:c r="Y369" s="99"/>
      <x:c r="Z369" s="99"/>
    </x:row>
    <x:row r="370">
      <x:c r="A370" s="99"/>
      <x:c r="B370" s="99"/>
      <x:c r="C370" s="99"/>
      <x:c r="D370" s="99"/>
      <x:c r="E370" s="99"/>
      <x:c r="F370" s="99"/>
      <x:c r="G370" s="99"/>
      <x:c r="H370" s="99"/>
      <x:c r="I370" s="99"/>
      <x:c r="J370" s="99"/>
      <x:c r="K370" s="99"/>
      <x:c r="L370" s="99"/>
      <x:c r="M370" s="99"/>
      <x:c r="N370" s="99"/>
      <x:c r="O370" s="99"/>
      <x:c r="P370" s="99"/>
      <x:c r="Q370" s="99"/>
      <x:c r="R370" s="99"/>
      <x:c r="S370" s="99"/>
      <x:c r="T370" s="99"/>
      <x:c r="U370" s="99"/>
      <x:c r="V370" s="99"/>
      <x:c r="W370" s="99"/>
      <x:c r="X370" s="99"/>
      <x:c r="Y370" s="99"/>
      <x:c r="Z370" s="99"/>
    </x:row>
    <x:row r="371">
      <x:c r="A371" s="99"/>
      <x:c r="B371" s="99"/>
      <x:c r="C371" s="99"/>
      <x:c r="D371" s="99"/>
      <x:c r="E371" s="99"/>
      <x:c r="F371" s="99"/>
      <x:c r="G371" s="99"/>
      <x:c r="H371" s="99"/>
      <x:c r="I371" s="99"/>
      <x:c r="J371" s="99"/>
      <x:c r="K371" s="99"/>
      <x:c r="L371" s="99"/>
      <x:c r="M371" s="99"/>
      <x:c r="N371" s="99"/>
      <x:c r="O371" s="99"/>
      <x:c r="P371" s="99"/>
      <x:c r="Q371" s="99"/>
      <x:c r="R371" s="99"/>
      <x:c r="S371" s="99"/>
      <x:c r="T371" s="99"/>
      <x:c r="U371" s="99"/>
      <x:c r="V371" s="99"/>
      <x:c r="W371" s="99"/>
      <x:c r="X371" s="99"/>
      <x:c r="Y371" s="99"/>
      <x:c r="Z371" s="99"/>
    </x:row>
    <x:row r="372">
      <x:c r="A372" s="99"/>
      <x:c r="B372" s="99"/>
      <x:c r="C372" s="99"/>
      <x:c r="D372" s="99"/>
      <x:c r="E372" s="99"/>
      <x:c r="F372" s="99"/>
      <x:c r="G372" s="99"/>
      <x:c r="H372" s="99"/>
      <x:c r="I372" s="99"/>
      <x:c r="J372" s="99"/>
      <x:c r="K372" s="99"/>
      <x:c r="L372" s="99"/>
      <x:c r="M372" s="99"/>
      <x:c r="N372" s="99"/>
      <x:c r="O372" s="99"/>
      <x:c r="P372" s="99"/>
      <x:c r="Q372" s="99"/>
      <x:c r="R372" s="99"/>
      <x:c r="S372" s="99"/>
      <x:c r="T372" s="99"/>
      <x:c r="U372" s="99"/>
      <x:c r="V372" s="99"/>
      <x:c r="W372" s="99"/>
      <x:c r="X372" s="99"/>
      <x:c r="Y372" s="99"/>
      <x:c r="Z372" s="99"/>
    </x:row>
    <x:row r="373">
      <x:c r="A373" s="99"/>
      <x:c r="B373" s="99"/>
      <x:c r="C373" s="99"/>
      <x:c r="D373" s="99"/>
      <x:c r="E373" s="99"/>
      <x:c r="F373" s="99"/>
      <x:c r="G373" s="99"/>
      <x:c r="H373" s="99"/>
      <x:c r="I373" s="99"/>
      <x:c r="J373" s="99"/>
      <x:c r="K373" s="99"/>
      <x:c r="L373" s="99"/>
      <x:c r="M373" s="99"/>
      <x:c r="N373" s="99"/>
      <x:c r="O373" s="99"/>
      <x:c r="P373" s="99"/>
      <x:c r="Q373" s="99"/>
      <x:c r="R373" s="99"/>
      <x:c r="S373" s="99"/>
      <x:c r="T373" s="99"/>
      <x:c r="U373" s="99"/>
      <x:c r="V373" s="99"/>
      <x:c r="W373" s="99"/>
      <x:c r="X373" s="99"/>
      <x:c r="Y373" s="99"/>
      <x:c r="Z373" s="99"/>
    </x:row>
    <x:row r="374">
      <x:c r="A374" s="99"/>
      <x:c r="B374" s="99"/>
      <x:c r="C374" s="99"/>
      <x:c r="D374" s="99"/>
      <x:c r="E374" s="99"/>
      <x:c r="F374" s="99"/>
      <x:c r="G374" s="99"/>
      <x:c r="H374" s="99"/>
      <x:c r="I374" s="99"/>
      <x:c r="J374" s="99"/>
      <x:c r="K374" s="99"/>
      <x:c r="L374" s="99"/>
      <x:c r="M374" s="99"/>
      <x:c r="N374" s="99"/>
      <x:c r="O374" s="99"/>
      <x:c r="P374" s="99"/>
      <x:c r="Q374" s="99"/>
      <x:c r="R374" s="99"/>
      <x:c r="S374" s="99"/>
      <x:c r="T374" s="99"/>
      <x:c r="U374" s="99"/>
      <x:c r="V374" s="99"/>
      <x:c r="W374" s="99"/>
      <x:c r="X374" s="99"/>
      <x:c r="Y374" s="99"/>
      <x:c r="Z374" s="99"/>
    </x:row>
    <x:row r="375">
      <x:c r="A375" s="99"/>
      <x:c r="B375" s="99"/>
      <x:c r="C375" s="99"/>
      <x:c r="D375" s="99"/>
      <x:c r="E375" s="99"/>
      <x:c r="F375" s="99"/>
      <x:c r="G375" s="99"/>
      <x:c r="H375" s="99"/>
      <x:c r="I375" s="99"/>
      <x:c r="J375" s="99"/>
      <x:c r="K375" s="99"/>
      <x:c r="L375" s="99"/>
      <x:c r="M375" s="99"/>
      <x:c r="N375" s="99"/>
      <x:c r="O375" s="99"/>
      <x:c r="P375" s="99"/>
      <x:c r="Q375" s="99"/>
      <x:c r="R375" s="99"/>
      <x:c r="S375" s="99"/>
      <x:c r="T375" s="99"/>
      <x:c r="U375" s="99"/>
      <x:c r="V375" s="99"/>
      <x:c r="W375" s="99"/>
      <x:c r="X375" s="99"/>
      <x:c r="Y375" s="99"/>
      <x:c r="Z375" s="99"/>
    </x:row>
    <x:row r="376">
      <x:c r="A376" s="99"/>
      <x:c r="B376" s="99"/>
      <x:c r="C376" s="99"/>
      <x:c r="D376" s="99"/>
      <x:c r="E376" s="99"/>
      <x:c r="F376" s="99"/>
      <x:c r="G376" s="99"/>
      <x:c r="H376" s="99"/>
      <x:c r="I376" s="99"/>
      <x:c r="J376" s="99"/>
      <x:c r="K376" s="99"/>
      <x:c r="L376" s="99"/>
      <x:c r="M376" s="99"/>
      <x:c r="N376" s="99"/>
      <x:c r="O376" s="99"/>
      <x:c r="P376" s="99"/>
      <x:c r="Q376" s="99"/>
      <x:c r="R376" s="99"/>
      <x:c r="S376" s="99"/>
      <x:c r="T376" s="99"/>
      <x:c r="U376" s="99"/>
      <x:c r="V376" s="99"/>
      <x:c r="W376" s="99"/>
      <x:c r="X376" s="99"/>
      <x:c r="Y376" s="99"/>
      <x:c r="Z376" s="99"/>
    </x:row>
    <x:row r="377">
      <x:c r="A377" s="99"/>
      <x:c r="B377" s="99"/>
      <x:c r="C377" s="99"/>
      <x:c r="D377" s="99"/>
      <x:c r="E377" s="99"/>
      <x:c r="F377" s="99"/>
      <x:c r="G377" s="99"/>
      <x:c r="H377" s="99"/>
      <x:c r="I377" s="99"/>
      <x:c r="J377" s="99"/>
      <x:c r="K377" s="99"/>
      <x:c r="L377" s="99"/>
      <x:c r="M377" s="99"/>
      <x:c r="N377" s="99"/>
      <x:c r="O377" s="99"/>
      <x:c r="P377" s="99"/>
      <x:c r="Q377" s="99"/>
      <x:c r="R377" s="99"/>
      <x:c r="S377" s="99"/>
      <x:c r="T377" s="99"/>
      <x:c r="U377" s="99"/>
      <x:c r="V377" s="99"/>
      <x:c r="W377" s="99"/>
      <x:c r="X377" s="99"/>
      <x:c r="Y377" s="99"/>
      <x:c r="Z377" s="99"/>
    </x:row>
    <x:row r="378">
      <x:c r="A378" s="99"/>
      <x:c r="B378" s="99"/>
      <x:c r="C378" s="99"/>
      <x:c r="D378" s="99"/>
      <x:c r="E378" s="99"/>
      <x:c r="F378" s="99"/>
      <x:c r="G378" s="99"/>
      <x:c r="H378" s="99"/>
      <x:c r="I378" s="99"/>
      <x:c r="J378" s="99"/>
      <x:c r="K378" s="99"/>
      <x:c r="L378" s="99"/>
      <x:c r="M378" s="99"/>
      <x:c r="N378" s="99"/>
      <x:c r="O378" s="99"/>
      <x:c r="P378" s="99"/>
      <x:c r="Q378" s="99"/>
      <x:c r="R378" s="99"/>
      <x:c r="S378" s="99"/>
      <x:c r="T378" s="99"/>
      <x:c r="U378" s="99"/>
      <x:c r="V378" s="99"/>
      <x:c r="W378" s="99"/>
      <x:c r="X378" s="99"/>
      <x:c r="Y378" s="99"/>
      <x:c r="Z378" s="99"/>
    </x:row>
    <x:row r="379">
      <x:c r="A379" s="99"/>
      <x:c r="B379" s="99"/>
      <x:c r="C379" s="99"/>
      <x:c r="D379" s="99"/>
      <x:c r="E379" s="99"/>
      <x:c r="F379" s="99"/>
      <x:c r="G379" s="99"/>
      <x:c r="H379" s="99"/>
      <x:c r="I379" s="99"/>
      <x:c r="J379" s="99"/>
      <x:c r="K379" s="99"/>
      <x:c r="L379" s="99"/>
      <x:c r="M379" s="99"/>
      <x:c r="N379" s="99"/>
      <x:c r="O379" s="99"/>
      <x:c r="P379" s="99"/>
      <x:c r="Q379" s="99"/>
      <x:c r="R379" s="99"/>
      <x:c r="S379" s="99"/>
      <x:c r="T379" s="99"/>
      <x:c r="U379" s="99"/>
      <x:c r="V379" s="99"/>
      <x:c r="W379" s="99"/>
      <x:c r="X379" s="99"/>
      <x:c r="Y379" s="99"/>
      <x:c r="Z379" s="99"/>
    </x:row>
    <x:row r="380">
      <x:c r="A380" s="99"/>
      <x:c r="B380" s="99"/>
      <x:c r="C380" s="99"/>
      <x:c r="D380" s="99"/>
      <x:c r="E380" s="99"/>
      <x:c r="F380" s="99"/>
      <x:c r="G380" s="99"/>
      <x:c r="H380" s="99"/>
      <x:c r="I380" s="99"/>
      <x:c r="J380" s="99"/>
      <x:c r="K380" s="99"/>
      <x:c r="L380" s="99"/>
      <x:c r="M380" s="99"/>
      <x:c r="N380" s="99"/>
      <x:c r="O380" s="99"/>
      <x:c r="P380" s="99"/>
      <x:c r="Q380" s="99"/>
      <x:c r="R380" s="99"/>
      <x:c r="S380" s="99"/>
      <x:c r="T380" s="99"/>
      <x:c r="U380" s="99"/>
      <x:c r="V380" s="99"/>
      <x:c r="W380" s="99"/>
      <x:c r="X380" s="99"/>
      <x:c r="Y380" s="99"/>
      <x:c r="Z380" s="99"/>
    </x:row>
    <x:row r="381">
      <x:c r="A381" s="99"/>
      <x:c r="B381" s="99"/>
      <x:c r="C381" s="99"/>
      <x:c r="D381" s="99"/>
      <x:c r="E381" s="99"/>
      <x:c r="F381" s="99"/>
      <x:c r="G381" s="99"/>
      <x:c r="H381" s="99"/>
      <x:c r="I381" s="99"/>
      <x:c r="J381" s="99"/>
      <x:c r="K381" s="99"/>
      <x:c r="L381" s="99"/>
      <x:c r="M381" s="99"/>
      <x:c r="N381" s="99"/>
      <x:c r="O381" s="99"/>
      <x:c r="P381" s="99"/>
      <x:c r="Q381" s="99"/>
      <x:c r="R381" s="99"/>
      <x:c r="S381" s="99"/>
      <x:c r="T381" s="99"/>
      <x:c r="U381" s="99"/>
      <x:c r="V381" s="99"/>
      <x:c r="W381" s="99"/>
      <x:c r="X381" s="99"/>
      <x:c r="Y381" s="99"/>
      <x:c r="Z381" s="99"/>
    </x:row>
    <x:row r="382">
      <x:c r="A382" s="99"/>
      <x:c r="B382" s="99"/>
      <x:c r="C382" s="99"/>
      <x:c r="D382" s="99"/>
      <x:c r="E382" s="99"/>
      <x:c r="F382" s="99"/>
      <x:c r="G382" s="99"/>
      <x:c r="H382" s="99"/>
      <x:c r="I382" s="99"/>
      <x:c r="J382" s="99"/>
      <x:c r="K382" s="99"/>
      <x:c r="L382" s="99"/>
      <x:c r="M382" s="99"/>
      <x:c r="N382" s="99"/>
      <x:c r="O382" s="99"/>
      <x:c r="P382" s="99"/>
      <x:c r="Q382" s="99"/>
      <x:c r="R382" s="99"/>
      <x:c r="S382" s="99"/>
      <x:c r="T382" s="99"/>
      <x:c r="U382" s="99"/>
      <x:c r="V382" s="99"/>
      <x:c r="W382" s="99"/>
      <x:c r="X382" s="99"/>
      <x:c r="Y382" s="99"/>
      <x:c r="Z382" s="99"/>
    </x:row>
    <x:row r="383">
      <x:c r="A383" s="99"/>
      <x:c r="B383" s="99"/>
      <x:c r="C383" s="99"/>
      <x:c r="D383" s="99"/>
      <x:c r="E383" s="99"/>
      <x:c r="F383" s="99"/>
      <x:c r="G383" s="99"/>
      <x:c r="H383" s="99"/>
      <x:c r="I383" s="99"/>
      <x:c r="J383" s="99"/>
      <x:c r="K383" s="99"/>
      <x:c r="L383" s="99"/>
      <x:c r="M383" s="99"/>
      <x:c r="N383" s="99"/>
      <x:c r="O383" s="99"/>
      <x:c r="P383" s="99"/>
      <x:c r="Q383" s="99"/>
      <x:c r="R383" s="99"/>
      <x:c r="S383" s="99"/>
      <x:c r="T383" s="99"/>
      <x:c r="U383" s="99"/>
      <x:c r="V383" s="99"/>
      <x:c r="W383" s="99"/>
      <x:c r="X383" s="99"/>
      <x:c r="Y383" s="99"/>
      <x:c r="Z383" s="99"/>
    </x:row>
    <x:row r="384">
      <x:c r="A384" s="99"/>
      <x:c r="B384" s="99"/>
      <x:c r="C384" s="99"/>
      <x:c r="D384" s="99"/>
      <x:c r="E384" s="99"/>
      <x:c r="F384" s="99"/>
      <x:c r="G384" s="99"/>
      <x:c r="H384" s="99"/>
      <x:c r="I384" s="99"/>
      <x:c r="J384" s="99"/>
      <x:c r="K384" s="99"/>
      <x:c r="L384" s="99"/>
      <x:c r="M384" s="99"/>
      <x:c r="N384" s="99"/>
      <x:c r="O384" s="99"/>
      <x:c r="P384" s="99"/>
      <x:c r="Q384" s="99"/>
      <x:c r="R384" s="99"/>
      <x:c r="S384" s="99"/>
      <x:c r="T384" s="99"/>
      <x:c r="U384" s="99"/>
      <x:c r="V384" s="99"/>
      <x:c r="W384" s="99"/>
      <x:c r="X384" s="99"/>
      <x:c r="Y384" s="99"/>
      <x:c r="Z384" s="99"/>
    </x:row>
    <x:row r="385">
      <x:c r="A385" s="99"/>
      <x:c r="B385" s="99"/>
      <x:c r="C385" s="99"/>
      <x:c r="D385" s="99"/>
      <x:c r="E385" s="99"/>
      <x:c r="F385" s="99"/>
      <x:c r="G385" s="99"/>
      <x:c r="H385" s="99"/>
      <x:c r="I385" s="99"/>
      <x:c r="J385" s="99"/>
      <x:c r="K385" s="99"/>
      <x:c r="L385" s="99"/>
      <x:c r="M385" s="99"/>
      <x:c r="N385" s="99"/>
      <x:c r="O385" s="99"/>
      <x:c r="P385" s="99"/>
      <x:c r="Q385" s="99"/>
      <x:c r="R385" s="99"/>
      <x:c r="S385" s="99"/>
      <x:c r="T385" s="99"/>
      <x:c r="U385" s="99"/>
      <x:c r="V385" s="99"/>
      <x:c r="W385" s="99"/>
      <x:c r="X385" s="99"/>
      <x:c r="Y385" s="99"/>
      <x:c r="Z385" s="99"/>
    </x:row>
    <x:row r="386">
      <x:c r="A386" s="99"/>
      <x:c r="B386" s="99"/>
      <x:c r="C386" s="99"/>
      <x:c r="D386" s="99"/>
      <x:c r="E386" s="99"/>
      <x:c r="F386" s="99"/>
      <x:c r="G386" s="99"/>
      <x:c r="H386" s="99"/>
      <x:c r="I386" s="99"/>
      <x:c r="J386" s="99"/>
      <x:c r="K386" s="99"/>
      <x:c r="L386" s="99"/>
      <x:c r="M386" s="99"/>
      <x:c r="N386" s="99"/>
      <x:c r="O386" s="99"/>
      <x:c r="P386" s="99"/>
      <x:c r="Q386" s="99"/>
      <x:c r="R386" s="99"/>
      <x:c r="S386" s="99"/>
      <x:c r="T386" s="99"/>
      <x:c r="U386" s="99"/>
      <x:c r="V386" s="99"/>
      <x:c r="W386" s="99"/>
      <x:c r="X386" s="99"/>
      <x:c r="Y386" s="99"/>
      <x:c r="Z386" s="99"/>
    </x:row>
    <x:row r="387">
      <x:c r="A387" s="99"/>
      <x:c r="B387" s="99"/>
      <x:c r="C387" s="99"/>
      <x:c r="D387" s="99"/>
      <x:c r="E387" s="99"/>
      <x:c r="F387" s="99"/>
      <x:c r="G387" s="99"/>
      <x:c r="H387" s="99"/>
      <x:c r="I387" s="99"/>
      <x:c r="J387" s="99"/>
      <x:c r="K387" s="99"/>
      <x:c r="L387" s="99"/>
      <x:c r="M387" s="99"/>
      <x:c r="N387" s="99"/>
      <x:c r="O387" s="99"/>
      <x:c r="P387" s="99"/>
      <x:c r="Q387" s="99"/>
      <x:c r="R387" s="99"/>
      <x:c r="S387" s="99"/>
      <x:c r="T387" s="99"/>
      <x:c r="U387" s="99"/>
      <x:c r="V387" s="99"/>
      <x:c r="W387" s="99"/>
      <x:c r="X387" s="99"/>
      <x:c r="Y387" s="99"/>
      <x:c r="Z387" s="99"/>
    </x:row>
    <x:row r="388">
      <x:c r="A388" s="99"/>
      <x:c r="B388" s="99"/>
      <x:c r="C388" s="99"/>
      <x:c r="D388" s="99"/>
      <x:c r="E388" s="99"/>
      <x:c r="F388" s="99"/>
      <x:c r="G388" s="99"/>
      <x:c r="H388" s="99"/>
      <x:c r="I388" s="99"/>
      <x:c r="J388" s="99"/>
      <x:c r="K388" s="99"/>
      <x:c r="L388" s="99"/>
      <x:c r="M388" s="99"/>
      <x:c r="N388" s="99"/>
      <x:c r="O388" s="99"/>
      <x:c r="P388" s="99"/>
      <x:c r="Q388" s="99"/>
      <x:c r="R388" s="99"/>
      <x:c r="S388" s="99"/>
      <x:c r="T388" s="99"/>
      <x:c r="U388" s="99"/>
      <x:c r="V388" s="99"/>
      <x:c r="W388" s="99"/>
      <x:c r="X388" s="99"/>
      <x:c r="Y388" s="99"/>
      <x:c r="Z388" s="99"/>
    </x:row>
    <x:row r="389">
      <x:c r="A389" s="99"/>
      <x:c r="B389" s="99"/>
      <x:c r="C389" s="99"/>
      <x:c r="D389" s="99"/>
      <x:c r="E389" s="99"/>
      <x:c r="F389" s="99"/>
      <x:c r="G389" s="99"/>
      <x:c r="H389" s="99"/>
      <x:c r="I389" s="99"/>
      <x:c r="J389" s="99"/>
      <x:c r="K389" s="99"/>
      <x:c r="L389" s="99"/>
      <x:c r="M389" s="99"/>
      <x:c r="N389" s="99"/>
      <x:c r="O389" s="99"/>
      <x:c r="P389" s="99"/>
      <x:c r="Q389" s="99"/>
      <x:c r="R389" s="99"/>
      <x:c r="S389" s="99"/>
      <x:c r="T389" s="99"/>
      <x:c r="U389" s="99"/>
      <x:c r="V389" s="99"/>
      <x:c r="W389" s="99"/>
      <x:c r="X389" s="99"/>
      <x:c r="Y389" s="99"/>
      <x:c r="Z389" s="99"/>
    </x:row>
    <x:row r="390">
      <x:c r="A390" s="99"/>
      <x:c r="B390" s="99"/>
      <x:c r="C390" s="99"/>
      <x:c r="D390" s="99"/>
      <x:c r="E390" s="99"/>
      <x:c r="F390" s="99"/>
      <x:c r="G390" s="99"/>
      <x:c r="H390" s="99"/>
      <x:c r="I390" s="99"/>
      <x:c r="J390" s="99"/>
      <x:c r="K390" s="99"/>
      <x:c r="L390" s="99"/>
      <x:c r="M390" s="99"/>
      <x:c r="N390" s="99"/>
      <x:c r="O390" s="99"/>
      <x:c r="P390" s="99"/>
      <x:c r="Q390" s="99"/>
      <x:c r="R390" s="99"/>
      <x:c r="S390" s="99"/>
      <x:c r="T390" s="99"/>
      <x:c r="U390" s="99"/>
      <x:c r="V390" s="99"/>
      <x:c r="W390" s="99"/>
      <x:c r="X390" s="99"/>
      <x:c r="Y390" s="99"/>
      <x:c r="Z390" s="99"/>
    </x:row>
    <x:row r="391">
      <x:c r="A391" s="99"/>
      <x:c r="B391" s="99"/>
      <x:c r="C391" s="99"/>
      <x:c r="D391" s="99"/>
      <x:c r="E391" s="99"/>
      <x:c r="F391" s="99"/>
      <x:c r="G391" s="99"/>
      <x:c r="H391" s="99"/>
      <x:c r="I391" s="99"/>
      <x:c r="J391" s="99"/>
      <x:c r="K391" s="99"/>
      <x:c r="L391" s="99"/>
      <x:c r="M391" s="99"/>
      <x:c r="N391" s="99"/>
      <x:c r="O391" s="99"/>
      <x:c r="P391" s="99"/>
      <x:c r="Q391" s="99"/>
      <x:c r="R391" s="99"/>
      <x:c r="S391" s="99"/>
      <x:c r="T391" s="99"/>
      <x:c r="U391" s="99"/>
      <x:c r="V391" s="99"/>
      <x:c r="W391" s="99"/>
      <x:c r="X391" s="99"/>
      <x:c r="Y391" s="99"/>
      <x:c r="Z391" s="99"/>
    </x:row>
    <x:row r="392">
      <x:c r="A392" s="99"/>
      <x:c r="B392" s="99"/>
      <x:c r="C392" s="99"/>
      <x:c r="D392" s="99"/>
      <x:c r="E392" s="99"/>
      <x:c r="F392" s="99"/>
      <x:c r="G392" s="99"/>
      <x:c r="H392" s="99"/>
      <x:c r="I392" s="99"/>
      <x:c r="J392" s="99"/>
      <x:c r="K392" s="99"/>
      <x:c r="L392" s="99"/>
      <x:c r="M392" s="99"/>
      <x:c r="N392" s="99"/>
      <x:c r="O392" s="99"/>
      <x:c r="P392" s="99"/>
      <x:c r="Q392" s="99"/>
      <x:c r="R392" s="99"/>
      <x:c r="S392" s="99"/>
      <x:c r="T392" s="99"/>
      <x:c r="U392" s="99"/>
      <x:c r="V392" s="99"/>
      <x:c r="W392" s="99"/>
      <x:c r="X392" s="99"/>
      <x:c r="Y392" s="99"/>
      <x:c r="Z392" s="99"/>
    </x:row>
    <x:row r="393">
      <x:c r="A393" s="99"/>
      <x:c r="B393" s="99"/>
      <x:c r="C393" s="99"/>
      <x:c r="D393" s="99"/>
      <x:c r="E393" s="99"/>
      <x:c r="F393" s="99"/>
      <x:c r="G393" s="99"/>
      <x:c r="H393" s="99"/>
      <x:c r="I393" s="99"/>
      <x:c r="J393" s="99"/>
      <x:c r="K393" s="99"/>
      <x:c r="L393" s="99"/>
      <x:c r="M393" s="99"/>
      <x:c r="N393" s="99"/>
      <x:c r="O393" s="99"/>
      <x:c r="P393" s="99"/>
      <x:c r="Q393" s="99"/>
      <x:c r="R393" s="99"/>
      <x:c r="S393" s="99"/>
      <x:c r="T393" s="99"/>
      <x:c r="U393" s="99"/>
      <x:c r="V393" s="99"/>
      <x:c r="W393" s="99"/>
      <x:c r="X393" s="99"/>
      <x:c r="Y393" s="99"/>
      <x:c r="Z393" s="99"/>
    </x:row>
    <x:row r="394">
      <x:c r="A394" s="99"/>
      <x:c r="B394" s="99"/>
      <x:c r="C394" s="99"/>
      <x:c r="D394" s="99"/>
      <x:c r="E394" s="99"/>
      <x:c r="F394" s="99"/>
      <x:c r="G394" s="99"/>
      <x:c r="H394" s="99"/>
      <x:c r="I394" s="99"/>
      <x:c r="J394" s="99"/>
      <x:c r="K394" s="99"/>
      <x:c r="L394" s="99"/>
      <x:c r="M394" s="99"/>
      <x:c r="N394" s="99"/>
      <x:c r="O394" s="99"/>
      <x:c r="P394" s="99"/>
      <x:c r="Q394" s="99"/>
      <x:c r="R394" s="99"/>
      <x:c r="S394" s="99"/>
      <x:c r="T394" s="99"/>
      <x:c r="U394" s="99"/>
      <x:c r="V394" s="99"/>
      <x:c r="W394" s="99"/>
      <x:c r="X394" s="99"/>
      <x:c r="Y394" s="99"/>
      <x:c r="Z394" s="99"/>
    </x:row>
    <x:row r="395">
      <x:c r="A395" s="99"/>
      <x:c r="B395" s="99"/>
      <x:c r="C395" s="99"/>
      <x:c r="D395" s="99"/>
      <x:c r="E395" s="99"/>
      <x:c r="F395" s="99"/>
      <x:c r="G395" s="99"/>
      <x:c r="H395" s="99"/>
      <x:c r="I395" s="99"/>
      <x:c r="J395" s="99"/>
      <x:c r="K395" s="99"/>
      <x:c r="L395" s="99"/>
      <x:c r="M395" s="99"/>
      <x:c r="N395" s="99"/>
      <x:c r="O395" s="99"/>
      <x:c r="P395" s="99"/>
      <x:c r="Q395" s="99"/>
      <x:c r="R395" s="99"/>
      <x:c r="S395" s="99"/>
      <x:c r="T395" s="99"/>
      <x:c r="U395" s="99"/>
      <x:c r="V395" s="99"/>
      <x:c r="W395" s="99"/>
      <x:c r="X395" s="99"/>
      <x:c r="Y395" s="99"/>
      <x:c r="Z395" s="99"/>
    </x:row>
    <x:row r="396">
      <x:c r="A396" s="99"/>
      <x:c r="B396" s="99"/>
      <x:c r="C396" s="99"/>
      <x:c r="D396" s="99"/>
      <x:c r="E396" s="99"/>
      <x:c r="F396" s="99"/>
      <x:c r="G396" s="99"/>
      <x:c r="H396" s="99"/>
      <x:c r="I396" s="99"/>
      <x:c r="J396" s="99"/>
      <x:c r="K396" s="99"/>
      <x:c r="L396" s="99"/>
      <x:c r="M396" s="99"/>
      <x:c r="N396" s="99"/>
      <x:c r="O396" s="99"/>
      <x:c r="P396" s="99"/>
      <x:c r="Q396" s="99"/>
      <x:c r="R396" s="99"/>
      <x:c r="S396" s="99"/>
      <x:c r="T396" s="99"/>
      <x:c r="U396" s="99"/>
      <x:c r="V396" s="99"/>
      <x:c r="W396" s="99"/>
      <x:c r="X396" s="99"/>
      <x:c r="Y396" s="99"/>
      <x:c r="Z396" s="99"/>
    </x:row>
    <x:row r="397">
      <x:c r="A397" s="99"/>
      <x:c r="B397" s="99"/>
      <x:c r="C397" s="99"/>
      <x:c r="D397" s="99"/>
      <x:c r="E397" s="99"/>
      <x:c r="F397" s="99"/>
      <x:c r="G397" s="99"/>
      <x:c r="H397" s="99"/>
      <x:c r="I397" s="99"/>
      <x:c r="J397" s="99"/>
      <x:c r="K397" s="99"/>
      <x:c r="L397" s="99"/>
      <x:c r="M397" s="99"/>
      <x:c r="N397" s="99"/>
      <x:c r="O397" s="99"/>
      <x:c r="P397" s="99"/>
      <x:c r="Q397" s="99"/>
      <x:c r="R397" s="99"/>
      <x:c r="S397" s="99"/>
      <x:c r="T397" s="99"/>
      <x:c r="U397" s="99"/>
      <x:c r="V397" s="99"/>
      <x:c r="W397" s="99"/>
      <x:c r="X397" s="99"/>
      <x:c r="Y397" s="99"/>
      <x:c r="Z397" s="99"/>
    </x:row>
    <x:row r="398">
      <x:c r="A398" s="99"/>
      <x:c r="B398" s="99"/>
      <x:c r="C398" s="99"/>
      <x:c r="D398" s="99"/>
      <x:c r="E398" s="99"/>
      <x:c r="F398" s="99"/>
      <x:c r="G398" s="99"/>
      <x:c r="H398" s="99"/>
      <x:c r="I398" s="99"/>
      <x:c r="J398" s="99"/>
      <x:c r="K398" s="99"/>
      <x:c r="L398" s="99"/>
      <x:c r="M398" s="99"/>
      <x:c r="N398" s="99"/>
      <x:c r="O398" s="99"/>
      <x:c r="P398" s="99"/>
      <x:c r="Q398" s="99"/>
      <x:c r="R398" s="99"/>
      <x:c r="S398" s="99"/>
      <x:c r="T398" s="99"/>
      <x:c r="U398" s="99"/>
      <x:c r="V398" s="99"/>
      <x:c r="W398" s="99"/>
      <x:c r="X398" s="99"/>
      <x:c r="Y398" s="99"/>
      <x:c r="Z398" s="99"/>
    </x:row>
    <x:row r="399">
      <x:c r="A399" s="99"/>
      <x:c r="B399" s="99"/>
      <x:c r="C399" s="99"/>
      <x:c r="D399" s="99"/>
      <x:c r="E399" s="99"/>
      <x:c r="F399" s="99"/>
      <x:c r="G399" s="99"/>
      <x:c r="H399" s="99"/>
      <x:c r="I399" s="99"/>
      <x:c r="J399" s="99"/>
      <x:c r="K399" s="99"/>
      <x:c r="L399" s="99"/>
      <x:c r="M399" s="99"/>
      <x:c r="N399" s="99"/>
      <x:c r="O399" s="99"/>
      <x:c r="P399" s="99"/>
      <x:c r="Q399" s="99"/>
      <x:c r="R399" s="99"/>
      <x:c r="S399" s="99"/>
      <x:c r="T399" s="99"/>
      <x:c r="U399" s="99"/>
      <x:c r="V399" s="99"/>
      <x:c r="W399" s="99"/>
      <x:c r="X399" s="99"/>
      <x:c r="Y399" s="99"/>
      <x:c r="Z399" s="99"/>
    </x:row>
    <x:row r="400">
      <x:c r="A400" s="99"/>
      <x:c r="B400" s="99"/>
      <x:c r="C400" s="99"/>
      <x:c r="D400" s="99"/>
      <x:c r="E400" s="99"/>
      <x:c r="F400" s="99"/>
      <x:c r="G400" s="99"/>
      <x:c r="H400" s="99"/>
      <x:c r="I400" s="99"/>
      <x:c r="J400" s="99"/>
      <x:c r="K400" s="99"/>
      <x:c r="L400" s="99"/>
      <x:c r="M400" s="99"/>
      <x:c r="N400" s="99"/>
      <x:c r="O400" s="99"/>
      <x:c r="P400" s="99"/>
      <x:c r="Q400" s="99"/>
      <x:c r="R400" s="99"/>
      <x:c r="S400" s="99"/>
      <x:c r="T400" s="99"/>
      <x:c r="U400" s="99"/>
      <x:c r="V400" s="99"/>
      <x:c r="W400" s="99"/>
      <x:c r="X400" s="99"/>
      <x:c r="Y400" s="99"/>
      <x:c r="Z400" s="99"/>
    </x:row>
    <x:row r="401">
      <x:c r="A401" s="99"/>
      <x:c r="B401" s="99"/>
      <x:c r="C401" s="99"/>
      <x:c r="D401" s="99"/>
      <x:c r="E401" s="99"/>
      <x:c r="F401" s="99"/>
      <x:c r="G401" s="99"/>
      <x:c r="H401" s="99"/>
      <x:c r="I401" s="99"/>
      <x:c r="J401" s="99"/>
      <x:c r="K401" s="99"/>
      <x:c r="L401" s="99"/>
      <x:c r="M401" s="99"/>
      <x:c r="N401" s="99"/>
      <x:c r="O401" s="99"/>
      <x:c r="P401" s="99"/>
      <x:c r="Q401" s="99"/>
      <x:c r="R401" s="99"/>
      <x:c r="S401" s="99"/>
      <x:c r="T401" s="99"/>
      <x:c r="U401" s="99"/>
      <x:c r="V401" s="99"/>
      <x:c r="W401" s="99"/>
      <x:c r="X401" s="99"/>
      <x:c r="Y401" s="99"/>
      <x:c r="Z401" s="99"/>
    </x:row>
    <x:row r="402">
      <x:c r="A402" s="99"/>
      <x:c r="B402" s="99"/>
      <x:c r="C402" s="99"/>
      <x:c r="D402" s="99"/>
      <x:c r="E402" s="99"/>
      <x:c r="F402" s="99"/>
      <x:c r="G402" s="99"/>
      <x:c r="H402" s="99"/>
      <x:c r="I402" s="99"/>
      <x:c r="J402" s="99"/>
      <x:c r="K402" s="99"/>
      <x:c r="L402" s="99"/>
      <x:c r="M402" s="99"/>
      <x:c r="N402" s="99"/>
      <x:c r="O402" s="99"/>
      <x:c r="P402" s="99"/>
      <x:c r="Q402" s="99"/>
      <x:c r="R402" s="99"/>
      <x:c r="S402" s="99"/>
      <x:c r="T402" s="99"/>
      <x:c r="U402" s="99"/>
      <x:c r="V402" s="99"/>
      <x:c r="W402" s="99"/>
      <x:c r="X402" s="99"/>
      <x:c r="Y402" s="99"/>
      <x:c r="Z402" s="99"/>
    </x:row>
    <x:row r="403">
      <x:c r="A403" s="99"/>
      <x:c r="B403" s="99"/>
      <x:c r="C403" s="99"/>
      <x:c r="D403" s="99"/>
      <x:c r="E403" s="99"/>
      <x:c r="F403" s="99"/>
      <x:c r="G403" s="99"/>
      <x:c r="H403" s="99"/>
      <x:c r="I403" s="99"/>
      <x:c r="J403" s="99"/>
      <x:c r="K403" s="99"/>
      <x:c r="L403" s="99"/>
      <x:c r="M403" s="99"/>
      <x:c r="N403" s="99"/>
      <x:c r="O403" s="99"/>
      <x:c r="P403" s="99"/>
      <x:c r="Q403" s="99"/>
      <x:c r="R403" s="99"/>
      <x:c r="S403" s="99"/>
      <x:c r="T403" s="99"/>
      <x:c r="U403" s="99"/>
      <x:c r="V403" s="99"/>
      <x:c r="W403" s="99"/>
      <x:c r="X403" s="99"/>
      <x:c r="Y403" s="99"/>
      <x:c r="Z403" s="99"/>
    </x:row>
    <x:row r="404">
      <x:c r="A404" s="99"/>
      <x:c r="B404" s="99"/>
      <x:c r="C404" s="99"/>
      <x:c r="D404" s="99"/>
      <x:c r="E404" s="99"/>
      <x:c r="F404" s="99"/>
      <x:c r="G404" s="99"/>
      <x:c r="H404" s="99"/>
      <x:c r="I404" s="99"/>
      <x:c r="J404" s="99"/>
      <x:c r="K404" s="99"/>
      <x:c r="L404" s="99"/>
      <x:c r="M404" s="99"/>
      <x:c r="N404" s="99"/>
      <x:c r="O404" s="99"/>
      <x:c r="P404" s="99"/>
      <x:c r="Q404" s="99"/>
      <x:c r="R404" s="99"/>
      <x:c r="S404" s="99"/>
      <x:c r="T404" s="99"/>
      <x:c r="U404" s="99"/>
      <x:c r="V404" s="99"/>
      <x:c r="W404" s="99"/>
      <x:c r="X404" s="99"/>
      <x:c r="Y404" s="99"/>
      <x:c r="Z404" s="99"/>
    </x:row>
    <x:row r="405">
      <x:c r="A405" s="99"/>
      <x:c r="B405" s="99"/>
      <x:c r="C405" s="99"/>
      <x:c r="D405" s="99"/>
      <x:c r="E405" s="99"/>
      <x:c r="F405" s="99"/>
      <x:c r="G405" s="99"/>
      <x:c r="H405" s="99"/>
      <x:c r="I405" s="99"/>
      <x:c r="J405" s="99"/>
      <x:c r="K405" s="99"/>
      <x:c r="L405" s="99"/>
      <x:c r="M405" s="99"/>
      <x:c r="N405" s="99"/>
      <x:c r="O405" s="99"/>
      <x:c r="P405" s="99"/>
      <x:c r="Q405" s="99"/>
      <x:c r="R405" s="99"/>
      <x:c r="S405" s="99"/>
      <x:c r="T405" s="99"/>
      <x:c r="U405" s="99"/>
      <x:c r="V405" s="99"/>
      <x:c r="W405" s="99"/>
      <x:c r="X405" s="99"/>
      <x:c r="Y405" s="99"/>
      <x:c r="Z405" s="99"/>
    </x:row>
    <x:row r="406">
      <x:c r="A406" s="99"/>
      <x:c r="B406" s="99"/>
      <x:c r="C406" s="99"/>
      <x:c r="D406" s="99"/>
      <x:c r="E406" s="99"/>
      <x:c r="F406" s="99"/>
      <x:c r="G406" s="99"/>
      <x:c r="H406" s="99"/>
      <x:c r="I406" s="99"/>
      <x:c r="J406" s="99"/>
      <x:c r="K406" s="99"/>
      <x:c r="L406" s="99"/>
      <x:c r="M406" s="99"/>
      <x:c r="N406" s="99"/>
      <x:c r="O406" s="99"/>
      <x:c r="P406" s="99"/>
      <x:c r="Q406" s="99"/>
      <x:c r="R406" s="99"/>
      <x:c r="S406" s="99"/>
      <x:c r="T406" s="99"/>
      <x:c r="U406" s="99"/>
      <x:c r="V406" s="99"/>
      <x:c r="W406" s="99"/>
      <x:c r="X406" s="99"/>
      <x:c r="Y406" s="99"/>
      <x:c r="Z406" s="99"/>
    </x:row>
    <x:row r="407">
      <x:c r="A407" s="99"/>
      <x:c r="B407" s="99"/>
      <x:c r="C407" s="99"/>
      <x:c r="D407" s="99"/>
      <x:c r="E407" s="99"/>
      <x:c r="F407" s="99"/>
      <x:c r="G407" s="99"/>
      <x:c r="H407" s="99"/>
      <x:c r="I407" s="99"/>
      <x:c r="J407" s="99"/>
      <x:c r="K407" s="99"/>
      <x:c r="L407" s="99"/>
      <x:c r="M407" s="99"/>
      <x:c r="N407" s="99"/>
      <x:c r="O407" s="99"/>
      <x:c r="P407" s="99"/>
      <x:c r="Q407" s="99"/>
      <x:c r="R407" s="99"/>
      <x:c r="S407" s="99"/>
      <x:c r="T407" s="99"/>
      <x:c r="U407" s="99"/>
      <x:c r="V407" s="99"/>
      <x:c r="W407" s="99"/>
      <x:c r="X407" s="99"/>
      <x:c r="Y407" s="99"/>
      <x:c r="Z407" s="99"/>
    </x:row>
    <x:row r="408">
      <x:c r="A408" s="99"/>
      <x:c r="B408" s="99"/>
      <x:c r="C408" s="99"/>
      <x:c r="D408" s="99"/>
      <x:c r="E408" s="99"/>
      <x:c r="F408" s="99"/>
      <x:c r="G408" s="99"/>
      <x:c r="H408" s="99"/>
      <x:c r="I408" s="99"/>
      <x:c r="J408" s="99"/>
      <x:c r="K408" s="99"/>
      <x:c r="L408" s="99"/>
      <x:c r="M408" s="99"/>
      <x:c r="N408" s="99"/>
      <x:c r="O408" s="99"/>
      <x:c r="P408" s="99"/>
      <x:c r="Q408" s="99"/>
      <x:c r="R408" s="99"/>
      <x:c r="S408" s="99"/>
      <x:c r="T408" s="99"/>
      <x:c r="U408" s="99"/>
      <x:c r="V408" s="99"/>
      <x:c r="W408" s="99"/>
      <x:c r="X408" s="99"/>
      <x:c r="Y408" s="99"/>
      <x:c r="Z408" s="99"/>
    </x:row>
    <x:row r="409">
      <x:c r="A409" s="99"/>
      <x:c r="B409" s="99"/>
      <x:c r="C409" s="99"/>
      <x:c r="D409" s="99"/>
      <x:c r="E409" s="99"/>
      <x:c r="F409" s="99"/>
      <x:c r="G409" s="99"/>
      <x:c r="H409" s="99"/>
      <x:c r="I409" s="99"/>
      <x:c r="J409" s="99"/>
      <x:c r="K409" s="99"/>
      <x:c r="L409" s="99"/>
      <x:c r="M409" s="99"/>
      <x:c r="N409" s="99"/>
      <x:c r="O409" s="99"/>
      <x:c r="P409" s="99"/>
      <x:c r="Q409" s="99"/>
      <x:c r="R409" s="99"/>
      <x:c r="S409" s="99"/>
      <x:c r="T409" s="99"/>
      <x:c r="U409" s="99"/>
      <x:c r="V409" s="99"/>
      <x:c r="W409" s="99"/>
      <x:c r="X409" s="99"/>
      <x:c r="Y409" s="99"/>
      <x:c r="Z409" s="99"/>
    </x:row>
    <x:row r="410">
      <x:c r="A410" s="99"/>
      <x:c r="B410" s="99"/>
      <x:c r="C410" s="99"/>
      <x:c r="D410" s="99"/>
      <x:c r="E410" s="99"/>
      <x:c r="F410" s="99"/>
      <x:c r="G410" s="99"/>
      <x:c r="H410" s="99"/>
      <x:c r="I410" s="99"/>
      <x:c r="J410" s="99"/>
      <x:c r="K410" s="99"/>
      <x:c r="L410" s="99"/>
      <x:c r="M410" s="99"/>
      <x:c r="N410" s="99"/>
      <x:c r="O410" s="99"/>
      <x:c r="P410" s="99"/>
      <x:c r="Q410" s="99"/>
      <x:c r="R410" s="99"/>
      <x:c r="S410" s="99"/>
      <x:c r="T410" s="99"/>
      <x:c r="U410" s="99"/>
      <x:c r="V410" s="99"/>
      <x:c r="W410" s="99"/>
      <x:c r="X410" s="99"/>
      <x:c r="Y410" s="99"/>
      <x:c r="Z410" s="99"/>
    </x:row>
    <x:row r="411">
      <x:c r="A411" s="99"/>
      <x:c r="B411" s="99"/>
      <x:c r="C411" s="99"/>
      <x:c r="D411" s="99"/>
      <x:c r="E411" s="99"/>
      <x:c r="F411" s="99"/>
      <x:c r="G411" s="99"/>
      <x:c r="H411" s="99"/>
      <x:c r="I411" s="99"/>
      <x:c r="J411" s="99"/>
      <x:c r="K411" s="99"/>
      <x:c r="L411" s="99"/>
      <x:c r="M411" s="99"/>
      <x:c r="N411" s="99"/>
      <x:c r="O411" s="99"/>
      <x:c r="P411" s="99"/>
      <x:c r="Q411" s="99"/>
      <x:c r="R411" s="99"/>
      <x:c r="S411" s="99"/>
      <x:c r="T411" s="99"/>
      <x:c r="U411" s="99"/>
      <x:c r="V411" s="99"/>
      <x:c r="W411" s="99"/>
      <x:c r="X411" s="99"/>
      <x:c r="Y411" s="99"/>
      <x:c r="Z411" s="99"/>
    </x:row>
    <x:row r="412">
      <x:c r="A412" s="99"/>
      <x:c r="B412" s="99"/>
      <x:c r="C412" s="99"/>
      <x:c r="D412" s="99"/>
      <x:c r="E412" s="99"/>
      <x:c r="F412" s="99"/>
      <x:c r="G412" s="99"/>
      <x:c r="H412" s="99"/>
      <x:c r="I412" s="99"/>
      <x:c r="J412" s="99"/>
      <x:c r="K412" s="99"/>
      <x:c r="L412" s="99"/>
      <x:c r="M412" s="99"/>
      <x:c r="N412" s="99"/>
      <x:c r="O412" s="99"/>
      <x:c r="P412" s="99"/>
      <x:c r="Q412" s="99"/>
      <x:c r="R412" s="99"/>
      <x:c r="S412" s="99"/>
      <x:c r="T412" s="99"/>
      <x:c r="U412" s="99"/>
      <x:c r="V412" s="99"/>
      <x:c r="W412" s="99"/>
      <x:c r="X412" s="99"/>
      <x:c r="Y412" s="99"/>
      <x:c r="Z412" s="99"/>
    </x:row>
    <x:row r="413">
      <x:c r="A413" s="99"/>
      <x:c r="B413" s="99"/>
      <x:c r="C413" s="99"/>
      <x:c r="D413" s="99"/>
      <x:c r="E413" s="99"/>
      <x:c r="F413" s="99"/>
      <x:c r="G413" s="99"/>
      <x:c r="H413" s="99"/>
      <x:c r="I413" s="99"/>
      <x:c r="J413" s="99"/>
      <x:c r="K413" s="99"/>
      <x:c r="L413" s="99"/>
      <x:c r="M413" s="99"/>
      <x:c r="N413" s="99"/>
      <x:c r="O413" s="99"/>
      <x:c r="P413" s="99"/>
      <x:c r="Q413" s="99"/>
      <x:c r="R413" s="99"/>
      <x:c r="S413" s="99"/>
      <x:c r="T413" s="99"/>
      <x:c r="U413" s="99"/>
      <x:c r="V413" s="99"/>
      <x:c r="W413" s="99"/>
      <x:c r="X413" s="99"/>
      <x:c r="Y413" s="99"/>
      <x:c r="Z413" s="99"/>
    </x:row>
    <x:row r="414">
      <x:c r="A414" s="99"/>
      <x:c r="B414" s="99"/>
      <x:c r="C414" s="99"/>
      <x:c r="D414" s="99"/>
      <x:c r="E414" s="99"/>
      <x:c r="F414" s="99"/>
      <x:c r="G414" s="99"/>
      <x:c r="H414" s="99"/>
      <x:c r="I414" s="99"/>
      <x:c r="J414" s="99"/>
      <x:c r="K414" s="99"/>
      <x:c r="L414" s="99"/>
      <x:c r="M414" s="99"/>
      <x:c r="N414" s="99"/>
      <x:c r="O414" s="99"/>
      <x:c r="P414" s="99"/>
      <x:c r="Q414" s="99"/>
      <x:c r="R414" s="99"/>
      <x:c r="S414" s="99"/>
      <x:c r="T414" s="99"/>
      <x:c r="U414" s="99"/>
      <x:c r="V414" s="99"/>
      <x:c r="W414" s="99"/>
      <x:c r="X414" s="99"/>
      <x:c r="Y414" s="99"/>
      <x:c r="Z414" s="99"/>
    </x:row>
    <x:row r="415">
      <x:c r="A415" s="99"/>
      <x:c r="B415" s="99"/>
      <x:c r="C415" s="99"/>
      <x:c r="D415" s="99"/>
      <x:c r="E415" s="99"/>
      <x:c r="F415" s="99"/>
      <x:c r="G415" s="99"/>
      <x:c r="H415" s="99"/>
      <x:c r="I415" s="99"/>
      <x:c r="J415" s="99"/>
      <x:c r="K415" s="99"/>
      <x:c r="L415" s="99"/>
      <x:c r="M415" s="99"/>
      <x:c r="N415" s="99"/>
      <x:c r="O415" s="99"/>
      <x:c r="P415" s="99"/>
      <x:c r="Q415" s="99"/>
      <x:c r="R415" s="99"/>
      <x:c r="S415" s="99"/>
      <x:c r="T415" s="99"/>
      <x:c r="U415" s="99"/>
      <x:c r="V415" s="99"/>
      <x:c r="W415" s="99"/>
      <x:c r="X415" s="99"/>
      <x:c r="Y415" s="99"/>
      <x:c r="Z415" s="99"/>
    </x:row>
    <x:row r="416">
      <x:c r="A416" s="99"/>
      <x:c r="B416" s="99"/>
      <x:c r="C416" s="99"/>
      <x:c r="D416" s="99"/>
      <x:c r="E416" s="99"/>
      <x:c r="F416" s="99"/>
      <x:c r="G416" s="99"/>
      <x:c r="H416" s="99"/>
      <x:c r="I416" s="99"/>
      <x:c r="J416" s="99"/>
      <x:c r="K416" s="99"/>
      <x:c r="L416" s="99"/>
      <x:c r="M416" s="99"/>
      <x:c r="N416" s="99"/>
      <x:c r="O416" s="99"/>
      <x:c r="P416" s="99"/>
      <x:c r="Q416" s="99"/>
      <x:c r="R416" s="99"/>
      <x:c r="S416" s="99"/>
      <x:c r="T416" s="99"/>
      <x:c r="U416" s="99"/>
      <x:c r="V416" s="99"/>
      <x:c r="W416" s="99"/>
      <x:c r="X416" s="99"/>
      <x:c r="Y416" s="99"/>
      <x:c r="Z416" s="99"/>
    </x:row>
    <x:row r="417">
      <x:c r="A417" s="99"/>
      <x:c r="B417" s="99"/>
      <x:c r="C417" s="99"/>
      <x:c r="D417" s="99"/>
      <x:c r="E417" s="99"/>
      <x:c r="F417" s="99"/>
      <x:c r="G417" s="99"/>
      <x:c r="H417" s="99"/>
      <x:c r="I417" s="99"/>
      <x:c r="J417" s="99"/>
      <x:c r="K417" s="99"/>
      <x:c r="L417" s="99"/>
      <x:c r="M417" s="99"/>
      <x:c r="N417" s="99"/>
      <x:c r="O417" s="99"/>
      <x:c r="P417" s="99"/>
      <x:c r="Q417" s="99"/>
      <x:c r="R417" s="99"/>
      <x:c r="S417" s="99"/>
      <x:c r="T417" s="99"/>
      <x:c r="U417" s="99"/>
      <x:c r="V417" s="99"/>
      <x:c r="W417" s="99"/>
      <x:c r="X417" s="99"/>
      <x:c r="Y417" s="99"/>
      <x:c r="Z417" s="99"/>
    </x:row>
    <x:row r="418">
      <x:c r="A418" s="99"/>
      <x:c r="B418" s="99"/>
      <x:c r="C418" s="99"/>
      <x:c r="D418" s="99"/>
      <x:c r="E418" s="99"/>
      <x:c r="F418" s="99"/>
      <x:c r="G418" s="99"/>
      <x:c r="H418" s="99"/>
      <x:c r="I418" s="99"/>
      <x:c r="J418" s="99"/>
      <x:c r="K418" s="99"/>
      <x:c r="L418" s="99"/>
      <x:c r="M418" s="99"/>
      <x:c r="N418" s="99"/>
      <x:c r="O418" s="99"/>
      <x:c r="P418" s="99"/>
      <x:c r="Q418" s="99"/>
      <x:c r="R418" s="99"/>
      <x:c r="S418" s="99"/>
      <x:c r="T418" s="99"/>
      <x:c r="U418" s="99"/>
      <x:c r="V418" s="99"/>
      <x:c r="W418" s="99"/>
      <x:c r="X418" s="99"/>
      <x:c r="Y418" s="99"/>
      <x:c r="Z418" s="99"/>
    </x:row>
    <x:row r="419">
      <x:c r="A419" s="99"/>
      <x:c r="B419" s="99"/>
      <x:c r="C419" s="99"/>
      <x:c r="D419" s="99"/>
      <x:c r="E419" s="99"/>
      <x:c r="F419" s="99"/>
      <x:c r="G419" s="99"/>
      <x:c r="H419" s="99"/>
      <x:c r="I419" s="99"/>
      <x:c r="J419" s="99"/>
      <x:c r="K419" s="99"/>
      <x:c r="L419" s="99"/>
      <x:c r="M419" s="99"/>
      <x:c r="N419" s="99"/>
      <x:c r="O419" s="99"/>
      <x:c r="P419" s="99"/>
      <x:c r="Q419" s="99"/>
      <x:c r="R419" s="99"/>
      <x:c r="S419" s="99"/>
      <x:c r="T419" s="99"/>
      <x:c r="U419" s="99"/>
      <x:c r="V419" s="99"/>
      <x:c r="W419" s="99"/>
      <x:c r="X419" s="99"/>
      <x:c r="Y419" s="99"/>
      <x:c r="Z419" s="99"/>
    </x:row>
    <x:row r="420">
      <x:c r="A420" s="99"/>
      <x:c r="B420" s="99"/>
      <x:c r="C420" s="99"/>
      <x:c r="D420" s="99"/>
      <x:c r="E420" s="99"/>
      <x:c r="F420" s="99"/>
      <x:c r="G420" s="99"/>
      <x:c r="H420" s="99"/>
      <x:c r="I420" s="99"/>
      <x:c r="J420" s="99"/>
      <x:c r="K420" s="99"/>
      <x:c r="L420" s="99"/>
      <x:c r="M420" s="99"/>
      <x:c r="N420" s="99"/>
      <x:c r="O420" s="99"/>
      <x:c r="P420" s="99"/>
      <x:c r="Q420" s="99"/>
      <x:c r="R420" s="99"/>
      <x:c r="S420" s="99"/>
      <x:c r="T420" s="99"/>
      <x:c r="U420" s="99"/>
      <x:c r="V420" s="99"/>
      <x:c r="W420" s="99"/>
      <x:c r="X420" s="99"/>
      <x:c r="Y420" s="99"/>
      <x:c r="Z420" s="99"/>
    </x:row>
    <x:row r="421">
      <x:c r="A421" s="99"/>
      <x:c r="B421" s="99"/>
      <x:c r="C421" s="99"/>
      <x:c r="D421" s="99"/>
      <x:c r="E421" s="99"/>
      <x:c r="F421" s="99"/>
      <x:c r="G421" s="99"/>
      <x:c r="H421" s="99"/>
      <x:c r="I421" s="99"/>
      <x:c r="J421" s="99"/>
      <x:c r="K421" s="99"/>
      <x:c r="L421" s="99"/>
      <x:c r="M421" s="99"/>
      <x:c r="N421" s="99"/>
      <x:c r="O421" s="99"/>
      <x:c r="P421" s="99"/>
      <x:c r="Q421" s="99"/>
      <x:c r="R421" s="99"/>
      <x:c r="S421" s="99"/>
      <x:c r="T421" s="99"/>
      <x:c r="U421" s="99"/>
      <x:c r="V421" s="99"/>
      <x:c r="W421" s="99"/>
      <x:c r="X421" s="99"/>
      <x:c r="Y421" s="99"/>
      <x:c r="Z421" s="99"/>
    </x:row>
    <x:row r="422">
      <x:c r="A422" s="99"/>
      <x:c r="B422" s="99"/>
      <x:c r="C422" s="99"/>
      <x:c r="D422" s="99"/>
      <x:c r="E422" s="99"/>
      <x:c r="F422" s="99"/>
      <x:c r="G422" s="99"/>
      <x:c r="H422" s="99"/>
      <x:c r="I422" s="99"/>
      <x:c r="J422" s="99"/>
      <x:c r="K422" s="99"/>
      <x:c r="L422" s="99"/>
      <x:c r="M422" s="99"/>
      <x:c r="N422" s="99"/>
      <x:c r="O422" s="99"/>
      <x:c r="P422" s="99"/>
      <x:c r="Q422" s="99"/>
      <x:c r="R422" s="99"/>
      <x:c r="S422" s="99"/>
      <x:c r="T422" s="99"/>
      <x:c r="U422" s="99"/>
      <x:c r="V422" s="99"/>
      <x:c r="W422" s="99"/>
      <x:c r="X422" s="99"/>
      <x:c r="Y422" s="99"/>
      <x:c r="Z422" s="99"/>
    </x:row>
    <x:row r="423">
      <x:c r="A423" s="99"/>
      <x:c r="B423" s="99"/>
      <x:c r="C423" s="99"/>
      <x:c r="D423" s="99"/>
      <x:c r="E423" s="99"/>
      <x:c r="F423" s="99"/>
      <x:c r="G423" s="99"/>
      <x:c r="H423" s="99"/>
      <x:c r="I423" s="99"/>
      <x:c r="J423" s="99"/>
      <x:c r="K423" s="99"/>
      <x:c r="L423" s="99"/>
      <x:c r="M423" s="99"/>
      <x:c r="N423" s="99"/>
      <x:c r="O423" s="99"/>
      <x:c r="P423" s="99"/>
      <x:c r="Q423" s="99"/>
      <x:c r="R423" s="99"/>
      <x:c r="S423" s="99"/>
      <x:c r="T423" s="99"/>
      <x:c r="U423" s="99"/>
      <x:c r="V423" s="99"/>
      <x:c r="W423" s="99"/>
      <x:c r="X423" s="99"/>
      <x:c r="Y423" s="99"/>
      <x:c r="Z423" s="99"/>
    </x:row>
    <x:row r="424">
      <x:c r="A424" s="99"/>
      <x:c r="B424" s="99"/>
      <x:c r="C424" s="99"/>
      <x:c r="D424" s="99"/>
      <x:c r="E424" s="99"/>
      <x:c r="F424" s="99"/>
      <x:c r="G424" s="99"/>
      <x:c r="H424" s="99"/>
      <x:c r="I424" s="99"/>
      <x:c r="J424" s="99"/>
      <x:c r="K424" s="99"/>
      <x:c r="L424" s="99"/>
      <x:c r="M424" s="99"/>
      <x:c r="N424" s="99"/>
      <x:c r="O424" s="99"/>
      <x:c r="P424" s="99"/>
      <x:c r="Q424" s="99"/>
      <x:c r="R424" s="99"/>
      <x:c r="S424" s="99"/>
      <x:c r="T424" s="99"/>
      <x:c r="U424" s="99"/>
      <x:c r="V424" s="99"/>
      <x:c r="W424" s="99"/>
      <x:c r="X424" s="99"/>
      <x:c r="Y424" s="99"/>
      <x:c r="Z424" s="99"/>
    </x:row>
    <x:row r="425">
      <x:c r="A425" s="99"/>
      <x:c r="B425" s="99"/>
      <x:c r="C425" s="99"/>
      <x:c r="D425" s="99"/>
      <x:c r="E425" s="99"/>
      <x:c r="F425" s="99"/>
      <x:c r="G425" s="99"/>
      <x:c r="H425" s="99"/>
      <x:c r="I425" s="99"/>
      <x:c r="J425" s="99"/>
      <x:c r="K425" s="99"/>
      <x:c r="L425" s="99"/>
      <x:c r="M425" s="99"/>
      <x:c r="N425" s="99"/>
      <x:c r="O425" s="99"/>
      <x:c r="P425" s="99"/>
      <x:c r="Q425" s="99"/>
      <x:c r="R425" s="99"/>
      <x:c r="S425" s="99"/>
      <x:c r="T425" s="99"/>
      <x:c r="U425" s="99"/>
      <x:c r="V425" s="99"/>
      <x:c r="W425" s="99"/>
      <x:c r="X425" s="99"/>
      <x:c r="Y425" s="99"/>
      <x:c r="Z425" s="99"/>
    </x:row>
    <x:row r="426">
      <x:c r="A426" s="99"/>
      <x:c r="B426" s="99"/>
      <x:c r="C426" s="99"/>
      <x:c r="D426" s="99"/>
      <x:c r="E426" s="99"/>
      <x:c r="F426" s="99"/>
      <x:c r="G426" s="99"/>
      <x:c r="H426" s="99"/>
      <x:c r="I426" s="99"/>
      <x:c r="J426" s="99"/>
      <x:c r="K426" s="99"/>
      <x:c r="L426" s="99"/>
      <x:c r="M426" s="99"/>
      <x:c r="N426" s="99"/>
      <x:c r="O426" s="99"/>
      <x:c r="P426" s="99"/>
      <x:c r="Q426" s="99"/>
      <x:c r="R426" s="99"/>
      <x:c r="S426" s="99"/>
      <x:c r="T426" s="99"/>
      <x:c r="U426" s="99"/>
      <x:c r="V426" s="99"/>
      <x:c r="W426" s="99"/>
      <x:c r="X426" s="99"/>
      <x:c r="Y426" s="99"/>
      <x:c r="Z426" s="99"/>
    </x:row>
    <x:row r="427">
      <x:c r="A427" s="99"/>
      <x:c r="B427" s="99"/>
      <x:c r="C427" s="99"/>
      <x:c r="D427" s="99"/>
      <x:c r="E427" s="99"/>
      <x:c r="F427" s="99"/>
      <x:c r="G427" s="99"/>
      <x:c r="H427" s="99"/>
      <x:c r="I427" s="99"/>
      <x:c r="J427" s="99"/>
      <x:c r="K427" s="99"/>
      <x:c r="L427" s="99"/>
      <x:c r="M427" s="99"/>
      <x:c r="N427" s="99"/>
      <x:c r="O427" s="99"/>
      <x:c r="P427" s="99"/>
      <x:c r="Q427" s="99"/>
      <x:c r="R427" s="99"/>
      <x:c r="S427" s="99"/>
      <x:c r="T427" s="99"/>
      <x:c r="U427" s="99"/>
      <x:c r="V427" s="99"/>
      <x:c r="W427" s="99"/>
      <x:c r="X427" s="99"/>
      <x:c r="Y427" s="99"/>
      <x:c r="Z427" s="99"/>
    </x:row>
    <x:row r="428">
      <x:c r="A428" s="99"/>
      <x:c r="B428" s="99"/>
      <x:c r="C428" s="99"/>
      <x:c r="D428" s="99"/>
      <x:c r="E428" s="99"/>
      <x:c r="F428" s="99"/>
      <x:c r="G428" s="99"/>
      <x:c r="H428" s="99"/>
      <x:c r="I428" s="99"/>
      <x:c r="J428" s="99"/>
      <x:c r="K428" s="99"/>
      <x:c r="L428" s="99"/>
      <x:c r="M428" s="99"/>
      <x:c r="N428" s="99"/>
      <x:c r="O428" s="99"/>
      <x:c r="P428" s="99"/>
      <x:c r="Q428" s="99"/>
      <x:c r="R428" s="99"/>
      <x:c r="S428" s="99"/>
      <x:c r="T428" s="99"/>
      <x:c r="U428" s="99"/>
      <x:c r="V428" s="99"/>
      <x:c r="W428" s="99"/>
      <x:c r="X428" s="99"/>
      <x:c r="Y428" s="99"/>
      <x:c r="Z428" s="99"/>
    </x:row>
    <x:row r="429">
      <x:c r="A429" s="99"/>
      <x:c r="B429" s="99"/>
      <x:c r="C429" s="99"/>
      <x:c r="D429" s="99"/>
      <x:c r="E429" s="99"/>
      <x:c r="F429" s="99"/>
      <x:c r="G429" s="99"/>
      <x:c r="H429" s="99"/>
      <x:c r="I429" s="99"/>
      <x:c r="J429" s="99"/>
      <x:c r="K429" s="99"/>
      <x:c r="L429" s="99"/>
      <x:c r="M429" s="99"/>
      <x:c r="N429" s="99"/>
      <x:c r="O429" s="99"/>
      <x:c r="P429" s="99"/>
      <x:c r="Q429" s="99"/>
      <x:c r="R429" s="99"/>
      <x:c r="S429" s="99"/>
      <x:c r="T429" s="99"/>
      <x:c r="U429" s="99"/>
      <x:c r="V429" s="99"/>
      <x:c r="W429" s="99"/>
      <x:c r="X429" s="99"/>
      <x:c r="Y429" s="99"/>
      <x:c r="Z429" s="99"/>
    </x:row>
    <x:row r="430">
      <x:c r="A430" s="99"/>
      <x:c r="B430" s="99"/>
      <x:c r="C430" s="99"/>
      <x:c r="D430" s="99"/>
      <x:c r="E430" s="99"/>
      <x:c r="F430" s="99"/>
      <x:c r="G430" s="99"/>
      <x:c r="H430" s="99"/>
      <x:c r="I430" s="99"/>
      <x:c r="J430" s="99"/>
      <x:c r="K430" s="99"/>
      <x:c r="L430" s="99"/>
      <x:c r="M430" s="99"/>
      <x:c r="N430" s="99"/>
      <x:c r="O430" s="99"/>
      <x:c r="P430" s="99"/>
      <x:c r="Q430" s="99"/>
      <x:c r="R430" s="99"/>
      <x:c r="S430" s="99"/>
      <x:c r="T430" s="99"/>
      <x:c r="U430" s="99"/>
      <x:c r="V430" s="99"/>
      <x:c r="W430" s="99"/>
      <x:c r="X430" s="99"/>
      <x:c r="Y430" s="99"/>
      <x:c r="Z430" s="99"/>
    </x:row>
    <x:row r="431">
      <x:c r="A431" s="99"/>
      <x:c r="B431" s="99"/>
      <x:c r="C431" s="99"/>
      <x:c r="D431" s="99"/>
      <x:c r="E431" s="99"/>
      <x:c r="F431" s="99"/>
      <x:c r="G431" s="99"/>
      <x:c r="H431" s="99"/>
      <x:c r="I431" s="99"/>
      <x:c r="J431" s="99"/>
      <x:c r="K431" s="99"/>
      <x:c r="L431" s="99"/>
      <x:c r="M431" s="99"/>
      <x:c r="N431" s="99"/>
      <x:c r="O431" s="99"/>
      <x:c r="P431" s="99"/>
      <x:c r="Q431" s="99"/>
      <x:c r="R431" s="99"/>
      <x:c r="S431" s="99"/>
      <x:c r="T431" s="99"/>
      <x:c r="U431" s="99"/>
      <x:c r="V431" s="99"/>
      <x:c r="W431" s="99"/>
      <x:c r="X431" s="99"/>
      <x:c r="Y431" s="99"/>
      <x:c r="Z431" s="99"/>
    </x:row>
    <x:row r="432">
      <x:c r="A432" s="99"/>
      <x:c r="B432" s="99"/>
      <x:c r="C432" s="99"/>
      <x:c r="D432" s="99"/>
      <x:c r="E432" s="99"/>
      <x:c r="F432" s="99"/>
      <x:c r="G432" s="99"/>
      <x:c r="H432" s="99"/>
      <x:c r="I432" s="99"/>
      <x:c r="J432" s="99"/>
      <x:c r="K432" s="99"/>
      <x:c r="L432" s="99"/>
      <x:c r="M432" s="99"/>
      <x:c r="N432" s="99"/>
      <x:c r="O432" s="99"/>
      <x:c r="P432" s="99"/>
      <x:c r="Q432" s="99"/>
      <x:c r="R432" s="99"/>
      <x:c r="S432" s="99"/>
      <x:c r="T432" s="99"/>
      <x:c r="U432" s="99"/>
      <x:c r="V432" s="99"/>
      <x:c r="W432" s="99"/>
      <x:c r="X432" s="99"/>
      <x:c r="Y432" s="99"/>
      <x:c r="Z432" s="99"/>
    </x:row>
    <x:row r="433">
      <x:c r="A433" s="99"/>
      <x:c r="B433" s="99"/>
      <x:c r="C433" s="99"/>
      <x:c r="D433" s="99"/>
      <x:c r="E433" s="99"/>
      <x:c r="F433" s="99"/>
      <x:c r="G433" s="99"/>
      <x:c r="H433" s="99"/>
      <x:c r="I433" s="99"/>
      <x:c r="J433" s="99"/>
      <x:c r="K433" s="99"/>
      <x:c r="L433" s="99"/>
      <x:c r="M433" s="99"/>
      <x:c r="N433" s="99"/>
      <x:c r="O433" s="99"/>
      <x:c r="P433" s="99"/>
      <x:c r="Q433" s="99"/>
      <x:c r="R433" s="99"/>
      <x:c r="S433" s="99"/>
      <x:c r="T433" s="99"/>
      <x:c r="U433" s="99"/>
      <x:c r="V433" s="99"/>
      <x:c r="W433" s="99"/>
      <x:c r="X433" s="99"/>
      <x:c r="Y433" s="99"/>
      <x:c r="Z433" s="99"/>
    </x:row>
    <x:row r="434">
      <x:c r="A434" s="99"/>
      <x:c r="B434" s="99"/>
      <x:c r="C434" s="99"/>
      <x:c r="D434" s="99"/>
      <x:c r="E434" s="99"/>
      <x:c r="F434" s="99"/>
      <x:c r="G434" s="99"/>
      <x:c r="H434" s="99"/>
      <x:c r="I434" s="99"/>
      <x:c r="J434" s="99"/>
      <x:c r="K434" s="99"/>
      <x:c r="L434" s="99"/>
      <x:c r="M434" s="99"/>
      <x:c r="N434" s="99"/>
      <x:c r="O434" s="99"/>
      <x:c r="P434" s="99"/>
      <x:c r="Q434" s="99"/>
      <x:c r="R434" s="99"/>
      <x:c r="S434" s="99"/>
      <x:c r="T434" s="99"/>
      <x:c r="U434" s="99"/>
      <x:c r="V434" s="99"/>
      <x:c r="W434" s="99"/>
      <x:c r="X434" s="99"/>
      <x:c r="Y434" s="99"/>
      <x:c r="Z434" s="99"/>
    </x:row>
    <x:row r="435">
      <x:c r="A435" s="99"/>
      <x:c r="B435" s="99"/>
      <x:c r="C435" s="99"/>
      <x:c r="D435" s="99"/>
      <x:c r="E435" s="99"/>
      <x:c r="F435" s="99"/>
      <x:c r="G435" s="99"/>
      <x:c r="H435" s="99"/>
      <x:c r="I435" s="99"/>
      <x:c r="J435" s="99"/>
      <x:c r="K435" s="99"/>
      <x:c r="L435" s="99"/>
      <x:c r="M435" s="99"/>
      <x:c r="N435" s="99"/>
      <x:c r="O435" s="99"/>
      <x:c r="P435" s="99"/>
      <x:c r="Q435" s="99"/>
      <x:c r="R435" s="99"/>
      <x:c r="S435" s="99"/>
      <x:c r="T435" s="99"/>
      <x:c r="U435" s="99"/>
      <x:c r="V435" s="99"/>
      <x:c r="W435" s="99"/>
      <x:c r="X435" s="99"/>
      <x:c r="Y435" s="99"/>
      <x:c r="Z435" s="99"/>
    </x:row>
    <x:row r="436">
      <x:c r="A436" s="99"/>
      <x:c r="B436" s="99"/>
      <x:c r="C436" s="99"/>
      <x:c r="D436" s="99"/>
      <x:c r="E436" s="99"/>
      <x:c r="F436" s="99"/>
      <x:c r="G436" s="99"/>
      <x:c r="H436" s="99"/>
      <x:c r="I436" s="99"/>
      <x:c r="J436" s="99"/>
      <x:c r="K436" s="99"/>
      <x:c r="L436" s="99"/>
      <x:c r="M436" s="99"/>
      <x:c r="N436" s="99"/>
      <x:c r="O436" s="99"/>
      <x:c r="P436" s="99"/>
      <x:c r="Q436" s="99"/>
      <x:c r="R436" s="99"/>
      <x:c r="S436" s="99"/>
      <x:c r="T436" s="99"/>
      <x:c r="U436" s="99"/>
      <x:c r="V436" s="99"/>
      <x:c r="W436" s="99"/>
      <x:c r="X436" s="99"/>
      <x:c r="Y436" s="99"/>
      <x:c r="Z436" s="99"/>
    </x:row>
    <x:row r="437">
      <x:c r="A437" s="99"/>
      <x:c r="B437" s="99"/>
      <x:c r="C437" s="99"/>
      <x:c r="D437" s="99"/>
      <x:c r="E437" s="99"/>
      <x:c r="F437" s="99"/>
      <x:c r="G437" s="99"/>
      <x:c r="H437" s="99"/>
      <x:c r="I437" s="99"/>
      <x:c r="J437" s="99"/>
      <x:c r="K437" s="99"/>
      <x:c r="L437" s="99"/>
      <x:c r="M437" s="99"/>
      <x:c r="N437" s="99"/>
      <x:c r="O437" s="99"/>
      <x:c r="P437" s="99"/>
      <x:c r="Q437" s="99"/>
      <x:c r="R437" s="99"/>
      <x:c r="S437" s="99"/>
      <x:c r="T437" s="99"/>
      <x:c r="U437" s="99"/>
      <x:c r="V437" s="99"/>
      <x:c r="W437" s="99"/>
      <x:c r="X437" s="99"/>
      <x:c r="Y437" s="99"/>
      <x:c r="Z437" s="99"/>
    </x:row>
    <x:row r="438">
      <x:c r="A438" s="99"/>
      <x:c r="B438" s="99"/>
      <x:c r="C438" s="99"/>
      <x:c r="D438" s="99"/>
      <x:c r="E438" s="99"/>
      <x:c r="F438" s="99"/>
      <x:c r="G438" s="99"/>
      <x:c r="H438" s="99"/>
      <x:c r="I438" s="99"/>
      <x:c r="J438" s="99"/>
      <x:c r="K438" s="99"/>
      <x:c r="L438" s="99"/>
      <x:c r="M438" s="99"/>
      <x:c r="N438" s="99"/>
      <x:c r="O438" s="99"/>
      <x:c r="P438" s="99"/>
      <x:c r="Q438" s="99"/>
      <x:c r="R438" s="99"/>
      <x:c r="S438" s="99"/>
      <x:c r="T438" s="99"/>
      <x:c r="U438" s="99"/>
      <x:c r="V438" s="99"/>
      <x:c r="W438" s="99"/>
      <x:c r="X438" s="99"/>
      <x:c r="Y438" s="99"/>
      <x:c r="Z438" s="99"/>
    </x:row>
    <x:row r="439">
      <x:c r="A439" s="99"/>
      <x:c r="B439" s="99"/>
      <x:c r="C439" s="99"/>
      <x:c r="D439" s="99"/>
      <x:c r="E439" s="99"/>
      <x:c r="F439" s="99"/>
      <x:c r="G439" s="99"/>
      <x:c r="H439" s="99"/>
      <x:c r="I439" s="99"/>
      <x:c r="J439" s="99"/>
      <x:c r="K439" s="99"/>
      <x:c r="L439" s="99"/>
      <x:c r="M439" s="99"/>
      <x:c r="N439" s="99"/>
      <x:c r="O439" s="99"/>
      <x:c r="P439" s="99"/>
      <x:c r="Q439" s="99"/>
      <x:c r="R439" s="99"/>
      <x:c r="S439" s="99"/>
      <x:c r="T439" s="99"/>
      <x:c r="U439" s="99"/>
      <x:c r="V439" s="99"/>
      <x:c r="W439" s="99"/>
      <x:c r="X439" s="99"/>
      <x:c r="Y439" s="99"/>
      <x:c r="Z439" s="99"/>
    </x:row>
    <x:row r="440">
      <x:c r="A440" s="99"/>
      <x:c r="B440" s="99"/>
      <x:c r="C440" s="99"/>
      <x:c r="D440" s="99"/>
      <x:c r="E440" s="99"/>
      <x:c r="F440" s="99"/>
      <x:c r="G440" s="99"/>
      <x:c r="H440" s="99"/>
      <x:c r="I440" s="99"/>
      <x:c r="J440" s="99"/>
      <x:c r="K440" s="99"/>
      <x:c r="L440" s="99"/>
      <x:c r="M440" s="99"/>
      <x:c r="N440" s="99"/>
      <x:c r="O440" s="99"/>
      <x:c r="P440" s="99"/>
      <x:c r="Q440" s="99"/>
      <x:c r="R440" s="99"/>
      <x:c r="S440" s="99"/>
      <x:c r="T440" s="99"/>
      <x:c r="U440" s="99"/>
      <x:c r="V440" s="99"/>
      <x:c r="W440" s="99"/>
      <x:c r="X440" s="99"/>
      <x:c r="Y440" s="99"/>
      <x:c r="Z440" s="99"/>
    </x:row>
    <x:row r="441">
      <x:c r="A441" s="99"/>
      <x:c r="B441" s="99"/>
      <x:c r="C441" s="99"/>
      <x:c r="D441" s="99"/>
      <x:c r="E441" s="99"/>
      <x:c r="F441" s="99"/>
      <x:c r="G441" s="99"/>
      <x:c r="H441" s="99"/>
      <x:c r="I441" s="99"/>
      <x:c r="J441" s="99"/>
      <x:c r="K441" s="99"/>
      <x:c r="L441" s="99"/>
      <x:c r="M441" s="99"/>
      <x:c r="N441" s="99"/>
      <x:c r="O441" s="99"/>
      <x:c r="P441" s="99"/>
      <x:c r="Q441" s="99"/>
      <x:c r="R441" s="99"/>
      <x:c r="S441" s="99"/>
      <x:c r="T441" s="99"/>
      <x:c r="U441" s="99"/>
      <x:c r="V441" s="99"/>
      <x:c r="W441" s="99"/>
      <x:c r="X441" s="99"/>
      <x:c r="Y441" s="99"/>
      <x:c r="Z441" s="99"/>
    </x:row>
    <x:row r="442">
      <x:c r="A442" s="99"/>
      <x:c r="B442" s="99"/>
      <x:c r="C442" s="99"/>
      <x:c r="D442" s="99"/>
      <x:c r="E442" s="99"/>
      <x:c r="F442" s="99"/>
      <x:c r="G442" s="99"/>
      <x:c r="H442" s="99"/>
      <x:c r="I442" s="99"/>
      <x:c r="J442" s="99"/>
      <x:c r="K442" s="99"/>
      <x:c r="L442" s="99"/>
      <x:c r="M442" s="99"/>
      <x:c r="N442" s="99"/>
      <x:c r="O442" s="99"/>
      <x:c r="P442" s="99"/>
      <x:c r="Q442" s="99"/>
      <x:c r="R442" s="99"/>
      <x:c r="S442" s="99"/>
      <x:c r="T442" s="99"/>
      <x:c r="U442" s="99"/>
      <x:c r="V442" s="99"/>
      <x:c r="W442" s="99"/>
      <x:c r="X442" s="99"/>
      <x:c r="Y442" s="99"/>
      <x:c r="Z442" s="99"/>
    </x:row>
    <x:row r="443">
      <x:c r="A443" s="99"/>
      <x:c r="B443" s="99"/>
      <x:c r="C443" s="99"/>
      <x:c r="D443" s="99"/>
      <x:c r="E443" s="99"/>
      <x:c r="F443" s="99"/>
      <x:c r="G443" s="99"/>
      <x:c r="H443" s="99"/>
      <x:c r="I443" s="99"/>
      <x:c r="J443" s="99"/>
      <x:c r="K443" s="99"/>
      <x:c r="L443" s="99"/>
      <x:c r="M443" s="99"/>
      <x:c r="N443" s="99"/>
      <x:c r="O443" s="99"/>
      <x:c r="P443" s="99"/>
      <x:c r="Q443" s="99"/>
      <x:c r="R443" s="99"/>
      <x:c r="S443" s="99"/>
      <x:c r="T443" s="99"/>
      <x:c r="U443" s="99"/>
      <x:c r="V443" s="99"/>
      <x:c r="W443" s="99"/>
      <x:c r="X443" s="99"/>
      <x:c r="Y443" s="99"/>
      <x:c r="Z443" s="99"/>
    </x:row>
    <x:row r="444">
      <x:c r="A444" s="99"/>
      <x:c r="B444" s="99"/>
      <x:c r="C444" s="99"/>
      <x:c r="D444" s="99"/>
      <x:c r="E444" s="99"/>
      <x:c r="F444" s="99"/>
      <x:c r="G444" s="99"/>
      <x:c r="H444" s="99"/>
      <x:c r="I444" s="99"/>
      <x:c r="J444" s="99"/>
      <x:c r="K444" s="99"/>
      <x:c r="L444" s="99"/>
      <x:c r="M444" s="99"/>
      <x:c r="N444" s="99"/>
      <x:c r="O444" s="99"/>
      <x:c r="P444" s="99"/>
      <x:c r="Q444" s="99"/>
      <x:c r="R444" s="99"/>
      <x:c r="S444" s="99"/>
      <x:c r="T444" s="99"/>
      <x:c r="U444" s="99"/>
      <x:c r="V444" s="99"/>
      <x:c r="W444" s="99"/>
      <x:c r="X444" s="99"/>
      <x:c r="Y444" s="99"/>
      <x:c r="Z444" s="99"/>
    </x:row>
    <x:row r="445">
      <x:c r="A445" s="99"/>
      <x:c r="B445" s="99"/>
      <x:c r="C445" s="99"/>
      <x:c r="D445" s="99"/>
      <x:c r="E445" s="99"/>
      <x:c r="F445" s="99"/>
      <x:c r="G445" s="99"/>
      <x:c r="H445" s="99"/>
      <x:c r="I445" s="99"/>
      <x:c r="J445" s="99"/>
      <x:c r="K445" s="99"/>
      <x:c r="L445" s="99"/>
      <x:c r="M445" s="99"/>
      <x:c r="N445" s="99"/>
      <x:c r="O445" s="99"/>
      <x:c r="P445" s="99"/>
      <x:c r="Q445" s="99"/>
      <x:c r="R445" s="99"/>
      <x:c r="S445" s="99"/>
      <x:c r="T445" s="99"/>
      <x:c r="U445" s="99"/>
      <x:c r="V445" s="99"/>
      <x:c r="W445" s="99"/>
      <x:c r="X445" s="99"/>
      <x:c r="Y445" s="99"/>
      <x:c r="Z445" s="99"/>
    </x:row>
    <x:row r="446">
      <x:c r="A446" s="99"/>
      <x:c r="B446" s="99"/>
      <x:c r="C446" s="99"/>
      <x:c r="D446" s="99"/>
      <x:c r="E446" s="99"/>
      <x:c r="F446" s="99"/>
      <x:c r="G446" s="99"/>
      <x:c r="H446" s="99"/>
      <x:c r="I446" s="99"/>
      <x:c r="J446" s="99"/>
      <x:c r="K446" s="99"/>
      <x:c r="L446" s="99"/>
      <x:c r="M446" s="99"/>
      <x:c r="N446" s="99"/>
      <x:c r="O446" s="99"/>
      <x:c r="P446" s="99"/>
      <x:c r="Q446" s="99"/>
      <x:c r="R446" s="99"/>
      <x:c r="S446" s="99"/>
      <x:c r="T446" s="99"/>
      <x:c r="U446" s="99"/>
      <x:c r="V446" s="99"/>
      <x:c r="W446" s="99"/>
      <x:c r="X446" s="99"/>
      <x:c r="Y446" s="99"/>
      <x:c r="Z446" s="99"/>
    </x:row>
    <x:row r="447">
      <x:c r="A447" s="99"/>
      <x:c r="B447" s="99"/>
      <x:c r="C447" s="99"/>
      <x:c r="D447" s="99"/>
      <x:c r="E447" s="99"/>
      <x:c r="F447" s="99"/>
      <x:c r="G447" s="99"/>
      <x:c r="H447" s="99"/>
      <x:c r="I447" s="99"/>
      <x:c r="J447" s="99"/>
      <x:c r="K447" s="99"/>
      <x:c r="L447" s="99"/>
      <x:c r="M447" s="99"/>
      <x:c r="N447" s="99"/>
      <x:c r="O447" s="99"/>
      <x:c r="P447" s="99"/>
      <x:c r="Q447" s="99"/>
      <x:c r="R447" s="99"/>
      <x:c r="S447" s="99"/>
      <x:c r="T447" s="99"/>
      <x:c r="U447" s="99"/>
      <x:c r="V447" s="99"/>
      <x:c r="W447" s="99"/>
      <x:c r="X447" s="99"/>
      <x:c r="Y447" s="99"/>
      <x:c r="Z447" s="99"/>
    </x:row>
    <x:row r="448">
      <x:c r="A448" s="99"/>
      <x:c r="B448" s="99"/>
      <x:c r="C448" s="99"/>
      <x:c r="D448" s="99"/>
      <x:c r="E448" s="99"/>
      <x:c r="F448" s="99"/>
      <x:c r="G448" s="99"/>
      <x:c r="H448" s="99"/>
      <x:c r="I448" s="99"/>
      <x:c r="J448" s="99"/>
      <x:c r="K448" s="99"/>
      <x:c r="L448" s="99"/>
      <x:c r="M448" s="99"/>
      <x:c r="N448" s="99"/>
      <x:c r="O448" s="99"/>
      <x:c r="P448" s="99"/>
      <x:c r="Q448" s="99"/>
      <x:c r="R448" s="99"/>
      <x:c r="S448" s="99"/>
      <x:c r="T448" s="99"/>
      <x:c r="U448" s="99"/>
      <x:c r="V448" s="99"/>
      <x:c r="W448" s="99"/>
      <x:c r="X448" s="99"/>
      <x:c r="Y448" s="99"/>
      <x:c r="Z448" s="99"/>
    </x:row>
    <x:row r="449">
      <x:c r="A449" s="99"/>
      <x:c r="B449" s="99"/>
      <x:c r="C449" s="99"/>
      <x:c r="D449" s="99"/>
      <x:c r="E449" s="99"/>
      <x:c r="F449" s="99"/>
      <x:c r="G449" s="99"/>
      <x:c r="H449" s="99"/>
      <x:c r="I449" s="99"/>
      <x:c r="J449" s="99"/>
      <x:c r="K449" s="99"/>
      <x:c r="L449" s="99"/>
      <x:c r="M449" s="99"/>
      <x:c r="N449" s="99"/>
      <x:c r="O449" s="99"/>
      <x:c r="P449" s="99"/>
      <x:c r="Q449" s="99"/>
      <x:c r="R449" s="99"/>
      <x:c r="S449" s="99"/>
      <x:c r="T449" s="99"/>
      <x:c r="U449" s="99"/>
      <x:c r="V449" s="99"/>
      <x:c r="W449" s="99"/>
      <x:c r="X449" s="99"/>
      <x:c r="Y449" s="99"/>
      <x:c r="Z449" s="99"/>
    </x:row>
    <x:row r="450">
      <x:c r="A450" s="99"/>
      <x:c r="B450" s="99"/>
      <x:c r="C450" s="99"/>
      <x:c r="D450" s="99"/>
      <x:c r="E450" s="99"/>
      <x:c r="F450" s="99"/>
      <x:c r="G450" s="99"/>
      <x:c r="H450" s="99"/>
      <x:c r="I450" s="99"/>
      <x:c r="J450" s="99"/>
      <x:c r="K450" s="99"/>
      <x:c r="L450" s="99"/>
      <x:c r="M450" s="99"/>
      <x:c r="N450" s="99"/>
      <x:c r="O450" s="99"/>
      <x:c r="P450" s="99"/>
      <x:c r="Q450" s="99"/>
      <x:c r="R450" s="99"/>
      <x:c r="S450" s="99"/>
      <x:c r="T450" s="99"/>
      <x:c r="U450" s="99"/>
      <x:c r="V450" s="99"/>
      <x:c r="W450" s="99"/>
      <x:c r="X450" s="99"/>
      <x:c r="Y450" s="99"/>
      <x:c r="Z450" s="99"/>
    </x:row>
    <x:row r="451">
      <x:c r="A451" s="99"/>
      <x:c r="B451" s="99"/>
      <x:c r="C451" s="99"/>
      <x:c r="D451" s="99"/>
      <x:c r="E451" s="99"/>
      <x:c r="F451" s="99"/>
      <x:c r="G451" s="99"/>
      <x:c r="H451" s="99"/>
      <x:c r="I451" s="99"/>
      <x:c r="J451" s="99"/>
      <x:c r="K451" s="99"/>
      <x:c r="L451" s="99"/>
      <x:c r="M451" s="99"/>
      <x:c r="N451" s="99"/>
      <x:c r="O451" s="99"/>
      <x:c r="P451" s="99"/>
      <x:c r="Q451" s="99"/>
      <x:c r="R451" s="99"/>
      <x:c r="S451" s="99"/>
      <x:c r="T451" s="99"/>
      <x:c r="U451" s="99"/>
      <x:c r="V451" s="99"/>
      <x:c r="W451" s="99"/>
      <x:c r="X451" s="99"/>
      <x:c r="Y451" s="99"/>
      <x:c r="Z451" s="99"/>
    </x:row>
    <x:row r="452">
      <x:c r="A452" s="99"/>
      <x:c r="B452" s="99"/>
      <x:c r="C452" s="99"/>
      <x:c r="D452" s="99"/>
      <x:c r="E452" s="99"/>
      <x:c r="F452" s="99"/>
      <x:c r="G452" s="99"/>
      <x:c r="H452" s="99"/>
      <x:c r="I452" s="99"/>
      <x:c r="J452" s="99"/>
      <x:c r="K452" s="99"/>
      <x:c r="L452" s="99"/>
      <x:c r="M452" s="99"/>
      <x:c r="N452" s="99"/>
      <x:c r="O452" s="99"/>
      <x:c r="P452" s="99"/>
      <x:c r="Q452" s="99"/>
      <x:c r="R452" s="99"/>
      <x:c r="S452" s="99"/>
      <x:c r="T452" s="99"/>
      <x:c r="U452" s="99"/>
      <x:c r="V452" s="99"/>
      <x:c r="W452" s="99"/>
      <x:c r="X452" s="99"/>
      <x:c r="Y452" s="99"/>
      <x:c r="Z452" s="99"/>
    </x:row>
    <x:row r="453">
      <x:c r="A453" s="99"/>
      <x:c r="B453" s="99"/>
      <x:c r="C453" s="99"/>
      <x:c r="D453" s="99"/>
      <x:c r="E453" s="99"/>
      <x:c r="F453" s="99"/>
      <x:c r="G453" s="99"/>
      <x:c r="H453" s="99"/>
      <x:c r="I453" s="99"/>
      <x:c r="J453" s="99"/>
      <x:c r="K453" s="99"/>
      <x:c r="L453" s="99"/>
      <x:c r="M453" s="99"/>
      <x:c r="N453" s="99"/>
      <x:c r="O453" s="99"/>
      <x:c r="P453" s="99"/>
      <x:c r="Q453" s="99"/>
      <x:c r="R453" s="99"/>
      <x:c r="S453" s="99"/>
      <x:c r="T453" s="99"/>
      <x:c r="U453" s="99"/>
      <x:c r="V453" s="99"/>
      <x:c r="W453" s="99"/>
      <x:c r="X453" s="99"/>
      <x:c r="Y453" s="99"/>
      <x:c r="Z453" s="99"/>
    </x:row>
    <x:row r="454">
      <x:c r="A454" s="99"/>
      <x:c r="B454" s="99"/>
      <x:c r="C454" s="99"/>
      <x:c r="D454" s="99"/>
      <x:c r="E454" s="99"/>
      <x:c r="F454" s="99"/>
      <x:c r="G454" s="99"/>
      <x:c r="H454" s="99"/>
      <x:c r="I454" s="99"/>
      <x:c r="J454" s="99"/>
      <x:c r="K454" s="99"/>
      <x:c r="L454" s="99"/>
      <x:c r="M454" s="99"/>
      <x:c r="N454" s="99"/>
      <x:c r="O454" s="99"/>
      <x:c r="P454" s="99"/>
      <x:c r="Q454" s="99"/>
      <x:c r="R454" s="99"/>
      <x:c r="S454" s="99"/>
      <x:c r="T454" s="99"/>
      <x:c r="U454" s="99"/>
      <x:c r="V454" s="99"/>
      <x:c r="W454" s="99"/>
      <x:c r="X454" s="99"/>
      <x:c r="Y454" s="99"/>
      <x:c r="Z454" s="99"/>
    </x:row>
    <x:row r="455">
      <x:c r="A455" s="99"/>
      <x:c r="B455" s="99"/>
      <x:c r="C455" s="99"/>
      <x:c r="D455" s="99"/>
      <x:c r="E455" s="99"/>
      <x:c r="F455" s="99"/>
      <x:c r="G455" s="99"/>
      <x:c r="H455" s="99"/>
      <x:c r="I455" s="99"/>
      <x:c r="J455" s="99"/>
      <x:c r="K455" s="99"/>
      <x:c r="L455" s="99"/>
      <x:c r="M455" s="99"/>
      <x:c r="N455" s="99"/>
      <x:c r="O455" s="99"/>
      <x:c r="P455" s="99"/>
      <x:c r="Q455" s="99"/>
      <x:c r="R455" s="99"/>
      <x:c r="S455" s="99"/>
      <x:c r="T455" s="99"/>
      <x:c r="U455" s="99"/>
      <x:c r="V455" s="99"/>
      <x:c r="W455" s="99"/>
      <x:c r="X455" s="99"/>
      <x:c r="Y455" s="99"/>
      <x:c r="Z455" s="99"/>
    </x:row>
    <x:row r="456">
      <x:c r="A456" s="99"/>
      <x:c r="B456" s="99"/>
      <x:c r="C456" s="99"/>
      <x:c r="D456" s="99"/>
      <x:c r="E456" s="99"/>
      <x:c r="F456" s="99"/>
      <x:c r="G456" s="99"/>
      <x:c r="H456" s="99"/>
      <x:c r="I456" s="99"/>
      <x:c r="J456" s="99"/>
      <x:c r="K456" s="99"/>
      <x:c r="L456" s="99"/>
      <x:c r="M456" s="99"/>
      <x:c r="N456" s="99"/>
      <x:c r="O456" s="99"/>
      <x:c r="P456" s="99"/>
      <x:c r="Q456" s="99"/>
      <x:c r="R456" s="99"/>
      <x:c r="S456" s="99"/>
      <x:c r="T456" s="99"/>
      <x:c r="U456" s="99"/>
      <x:c r="V456" s="99"/>
      <x:c r="W456" s="99"/>
      <x:c r="X456" s="99"/>
      <x:c r="Y456" s="99"/>
      <x:c r="Z456" s="99"/>
    </x:row>
    <x:row r="457">
      <x:c r="A457" s="99"/>
      <x:c r="B457" s="99"/>
      <x:c r="C457" s="99"/>
      <x:c r="D457" s="99"/>
      <x:c r="E457" s="99"/>
      <x:c r="F457" s="99"/>
      <x:c r="G457" s="99"/>
      <x:c r="H457" s="99"/>
      <x:c r="I457" s="99"/>
      <x:c r="J457" s="99"/>
      <x:c r="K457" s="99"/>
      <x:c r="L457" s="99"/>
      <x:c r="M457" s="99"/>
      <x:c r="N457" s="99"/>
      <x:c r="O457" s="99"/>
      <x:c r="P457" s="99"/>
      <x:c r="Q457" s="99"/>
      <x:c r="R457" s="99"/>
      <x:c r="S457" s="99"/>
      <x:c r="T457" s="99"/>
      <x:c r="U457" s="99"/>
      <x:c r="V457" s="99"/>
      <x:c r="W457" s="99"/>
      <x:c r="X457" s="99"/>
      <x:c r="Y457" s="99"/>
      <x:c r="Z457" s="99"/>
    </x:row>
    <x:row r="458">
      <x:c r="A458" s="99"/>
      <x:c r="B458" s="99"/>
      <x:c r="C458" s="99"/>
      <x:c r="D458" s="99"/>
      <x:c r="E458" s="99"/>
      <x:c r="F458" s="99"/>
      <x:c r="G458" s="99"/>
      <x:c r="H458" s="99"/>
      <x:c r="I458" s="99"/>
      <x:c r="J458" s="99"/>
      <x:c r="K458" s="99"/>
      <x:c r="L458" s="99"/>
      <x:c r="M458" s="99"/>
      <x:c r="N458" s="99"/>
      <x:c r="O458" s="99"/>
      <x:c r="P458" s="99"/>
      <x:c r="Q458" s="99"/>
      <x:c r="R458" s="99"/>
      <x:c r="S458" s="99"/>
      <x:c r="T458" s="99"/>
      <x:c r="U458" s="99"/>
      <x:c r="V458" s="99"/>
      <x:c r="W458" s="99"/>
      <x:c r="X458" s="99"/>
      <x:c r="Y458" s="99"/>
      <x:c r="Z458" s="99"/>
    </x:row>
    <x:row r="459">
      <x:c r="A459" s="99"/>
      <x:c r="B459" s="99"/>
      <x:c r="C459" s="99"/>
      <x:c r="D459" s="99"/>
      <x:c r="E459" s="99"/>
      <x:c r="F459" s="99"/>
      <x:c r="G459" s="99"/>
      <x:c r="H459" s="99"/>
      <x:c r="I459" s="99"/>
      <x:c r="J459" s="99"/>
      <x:c r="K459" s="99"/>
      <x:c r="L459" s="99"/>
      <x:c r="M459" s="99"/>
      <x:c r="N459" s="99"/>
      <x:c r="O459" s="99"/>
      <x:c r="P459" s="99"/>
      <x:c r="Q459" s="99"/>
      <x:c r="R459" s="99"/>
      <x:c r="S459" s="99"/>
      <x:c r="T459" s="99"/>
      <x:c r="U459" s="99"/>
      <x:c r="V459" s="99"/>
      <x:c r="W459" s="99"/>
      <x:c r="X459" s="99"/>
      <x:c r="Y459" s="99"/>
      <x:c r="Z459" s="99"/>
    </x:row>
    <x:row r="460">
      <x:c r="A460" s="99"/>
      <x:c r="B460" s="99"/>
      <x:c r="C460" s="99"/>
      <x:c r="D460" s="99"/>
      <x:c r="E460" s="99"/>
      <x:c r="F460" s="99"/>
      <x:c r="G460" s="99"/>
      <x:c r="H460" s="99"/>
      <x:c r="I460" s="99"/>
      <x:c r="J460" s="99"/>
      <x:c r="K460" s="99"/>
      <x:c r="L460" s="99"/>
      <x:c r="M460" s="99"/>
      <x:c r="N460" s="99"/>
      <x:c r="O460" s="99"/>
      <x:c r="P460" s="99"/>
      <x:c r="Q460" s="99"/>
      <x:c r="R460" s="99"/>
      <x:c r="S460" s="99"/>
      <x:c r="T460" s="99"/>
      <x:c r="U460" s="99"/>
      <x:c r="V460" s="99"/>
      <x:c r="W460" s="99"/>
      <x:c r="X460" s="99"/>
      <x:c r="Y460" s="99"/>
      <x:c r="Z460" s="99"/>
    </x:row>
    <x:row r="461">
      <x:c r="A461" s="99"/>
      <x:c r="B461" s="99"/>
      <x:c r="C461" s="99"/>
      <x:c r="D461" s="99"/>
      <x:c r="E461" s="99"/>
      <x:c r="F461" s="99"/>
      <x:c r="G461" s="99"/>
      <x:c r="H461" s="99"/>
      <x:c r="I461" s="99"/>
      <x:c r="J461" s="99"/>
      <x:c r="K461" s="99"/>
      <x:c r="L461" s="99"/>
      <x:c r="M461" s="99"/>
      <x:c r="N461" s="99"/>
      <x:c r="O461" s="99"/>
      <x:c r="P461" s="99"/>
      <x:c r="Q461" s="99"/>
      <x:c r="R461" s="99"/>
      <x:c r="S461" s="99"/>
      <x:c r="T461" s="99"/>
      <x:c r="U461" s="99"/>
      <x:c r="V461" s="99"/>
      <x:c r="W461" s="99"/>
      <x:c r="X461" s="99"/>
      <x:c r="Y461" s="99"/>
      <x:c r="Z461" s="99"/>
    </x:row>
    <x:row r="462">
      <x:c r="A462" s="99"/>
      <x:c r="B462" s="99"/>
      <x:c r="C462" s="99"/>
      <x:c r="D462" s="99"/>
      <x:c r="E462" s="99"/>
      <x:c r="F462" s="99"/>
      <x:c r="G462" s="99"/>
      <x:c r="H462" s="99"/>
      <x:c r="I462" s="99"/>
      <x:c r="J462" s="99"/>
      <x:c r="K462" s="99"/>
      <x:c r="L462" s="99"/>
      <x:c r="M462" s="99"/>
      <x:c r="N462" s="99"/>
      <x:c r="O462" s="99"/>
      <x:c r="P462" s="99"/>
      <x:c r="Q462" s="99"/>
      <x:c r="R462" s="99"/>
      <x:c r="S462" s="99"/>
      <x:c r="T462" s="99"/>
      <x:c r="U462" s="99"/>
      <x:c r="V462" s="99"/>
      <x:c r="W462" s="99"/>
      <x:c r="X462" s="99"/>
      <x:c r="Y462" s="99"/>
      <x:c r="Z462" s="99"/>
    </x:row>
    <x:row r="463">
      <x:c r="A463" s="99"/>
      <x:c r="B463" s="99"/>
      <x:c r="C463" s="99"/>
      <x:c r="D463" s="99"/>
      <x:c r="E463" s="99"/>
      <x:c r="F463" s="99"/>
      <x:c r="G463" s="99"/>
      <x:c r="H463" s="99"/>
      <x:c r="I463" s="99"/>
      <x:c r="J463" s="99"/>
      <x:c r="K463" s="99"/>
      <x:c r="L463" s="99"/>
      <x:c r="M463" s="99"/>
      <x:c r="N463" s="99"/>
      <x:c r="O463" s="99"/>
      <x:c r="P463" s="99"/>
      <x:c r="Q463" s="99"/>
      <x:c r="R463" s="99"/>
      <x:c r="S463" s="99"/>
      <x:c r="T463" s="99"/>
      <x:c r="U463" s="99"/>
      <x:c r="V463" s="99"/>
      <x:c r="W463" s="99"/>
      <x:c r="X463" s="99"/>
      <x:c r="Y463" s="99"/>
      <x:c r="Z463" s="99"/>
    </x:row>
    <x:row r="464">
      <x:c r="A464" s="99"/>
      <x:c r="B464" s="99"/>
      <x:c r="C464" s="99"/>
      <x:c r="D464" s="99"/>
      <x:c r="E464" s="99"/>
      <x:c r="F464" s="99"/>
      <x:c r="G464" s="99"/>
      <x:c r="H464" s="99"/>
      <x:c r="I464" s="99"/>
      <x:c r="J464" s="99"/>
      <x:c r="K464" s="99"/>
      <x:c r="L464" s="99"/>
      <x:c r="M464" s="99"/>
      <x:c r="N464" s="99"/>
      <x:c r="O464" s="99"/>
      <x:c r="P464" s="99"/>
      <x:c r="Q464" s="99"/>
      <x:c r="R464" s="99"/>
      <x:c r="S464" s="99"/>
      <x:c r="T464" s="99"/>
      <x:c r="U464" s="99"/>
      <x:c r="V464" s="99"/>
      <x:c r="W464" s="99"/>
      <x:c r="X464" s="99"/>
      <x:c r="Y464" s="99"/>
      <x:c r="Z464" s="99"/>
    </x:row>
    <x:row r="465">
      <x:c r="A465" s="99"/>
      <x:c r="B465" s="99"/>
      <x:c r="C465" s="99"/>
      <x:c r="D465" s="99"/>
      <x:c r="E465" s="99"/>
      <x:c r="F465" s="99"/>
      <x:c r="G465" s="99"/>
      <x:c r="H465" s="99"/>
      <x:c r="I465" s="99"/>
      <x:c r="J465" s="99"/>
      <x:c r="K465" s="99"/>
      <x:c r="L465" s="99"/>
      <x:c r="M465" s="99"/>
      <x:c r="N465" s="99"/>
      <x:c r="O465" s="99"/>
      <x:c r="P465" s="99"/>
      <x:c r="Q465" s="99"/>
      <x:c r="R465" s="99"/>
      <x:c r="S465" s="99"/>
      <x:c r="T465" s="99"/>
      <x:c r="U465" s="99"/>
      <x:c r="V465" s="99"/>
      <x:c r="W465" s="99"/>
      <x:c r="X465" s="99"/>
      <x:c r="Y465" s="99"/>
      <x:c r="Z465" s="99"/>
    </x:row>
    <x:row r="466">
      <x:c r="A466" s="99"/>
      <x:c r="B466" s="99"/>
      <x:c r="C466" s="99"/>
      <x:c r="D466" s="99"/>
      <x:c r="E466" s="99"/>
      <x:c r="F466" s="99"/>
      <x:c r="G466" s="99"/>
      <x:c r="H466" s="99"/>
      <x:c r="I466" s="99"/>
      <x:c r="J466" s="99"/>
      <x:c r="K466" s="99"/>
      <x:c r="L466" s="99"/>
      <x:c r="M466" s="99"/>
      <x:c r="N466" s="99"/>
      <x:c r="O466" s="99"/>
      <x:c r="P466" s="99"/>
      <x:c r="Q466" s="99"/>
      <x:c r="R466" s="99"/>
      <x:c r="S466" s="99"/>
      <x:c r="T466" s="99"/>
      <x:c r="U466" s="99"/>
      <x:c r="V466" s="99"/>
      <x:c r="W466" s="99"/>
      <x:c r="X466" s="99"/>
      <x:c r="Y466" s="99"/>
      <x:c r="Z466" s="99"/>
    </x:row>
    <x:row r="467">
      <x:c r="A467" s="99"/>
      <x:c r="B467" s="99"/>
      <x:c r="C467" s="99"/>
      <x:c r="D467" s="99"/>
      <x:c r="E467" s="99"/>
      <x:c r="F467" s="99"/>
      <x:c r="G467" s="99"/>
      <x:c r="H467" s="99"/>
      <x:c r="I467" s="99"/>
      <x:c r="J467" s="99"/>
      <x:c r="K467" s="99"/>
      <x:c r="L467" s="99"/>
      <x:c r="M467" s="99"/>
      <x:c r="N467" s="99"/>
      <x:c r="O467" s="99"/>
      <x:c r="P467" s="99"/>
      <x:c r="Q467" s="99"/>
      <x:c r="R467" s="99"/>
      <x:c r="S467" s="99"/>
      <x:c r="T467" s="99"/>
      <x:c r="U467" s="99"/>
      <x:c r="V467" s="99"/>
      <x:c r="W467" s="99"/>
      <x:c r="X467" s="99"/>
      <x:c r="Y467" s="99"/>
      <x:c r="Z467" s="99"/>
    </x:row>
    <x:row r="468">
      <x:c r="A468" s="99"/>
      <x:c r="B468" s="99"/>
      <x:c r="C468" s="99"/>
      <x:c r="D468" s="99"/>
      <x:c r="E468" s="99"/>
      <x:c r="F468" s="99"/>
      <x:c r="G468" s="99"/>
      <x:c r="H468" s="99"/>
      <x:c r="I468" s="99"/>
      <x:c r="J468" s="99"/>
      <x:c r="K468" s="99"/>
      <x:c r="L468" s="99"/>
      <x:c r="M468" s="99"/>
      <x:c r="N468" s="99"/>
      <x:c r="O468" s="99"/>
      <x:c r="P468" s="99"/>
      <x:c r="Q468" s="99"/>
      <x:c r="R468" s="99"/>
      <x:c r="S468" s="99"/>
      <x:c r="T468" s="99"/>
      <x:c r="U468" s="99"/>
      <x:c r="V468" s="99"/>
      <x:c r="W468" s="99"/>
      <x:c r="X468" s="99"/>
      <x:c r="Y468" s="99"/>
      <x:c r="Z468" s="99"/>
    </x:row>
    <x:row r="469">
      <x:c r="A469" s="99"/>
      <x:c r="B469" s="99"/>
      <x:c r="C469" s="99"/>
      <x:c r="D469" s="99"/>
      <x:c r="E469" s="99"/>
      <x:c r="F469" s="99"/>
      <x:c r="G469" s="99"/>
      <x:c r="H469" s="99"/>
      <x:c r="I469" s="99"/>
      <x:c r="J469" s="99"/>
      <x:c r="K469" s="99"/>
      <x:c r="L469" s="99"/>
      <x:c r="M469" s="99"/>
      <x:c r="N469" s="99"/>
      <x:c r="O469" s="99"/>
      <x:c r="P469" s="99"/>
      <x:c r="Q469" s="99"/>
      <x:c r="R469" s="99"/>
      <x:c r="S469" s="99"/>
      <x:c r="T469" s="99"/>
      <x:c r="U469" s="99"/>
      <x:c r="V469" s="99"/>
      <x:c r="W469" s="99"/>
      <x:c r="X469" s="99"/>
      <x:c r="Y469" s="99"/>
      <x:c r="Z469" s="99"/>
    </x:row>
    <x:row r="470">
      <x:c r="A470" s="99"/>
      <x:c r="B470" s="99"/>
      <x:c r="C470" s="99"/>
      <x:c r="D470" s="99"/>
      <x:c r="E470" s="99"/>
      <x:c r="F470" s="99"/>
      <x:c r="G470" s="99"/>
      <x:c r="H470" s="99"/>
      <x:c r="I470" s="99"/>
      <x:c r="J470" s="99"/>
      <x:c r="K470" s="99"/>
      <x:c r="L470" s="99"/>
      <x:c r="M470" s="99"/>
      <x:c r="N470" s="99"/>
      <x:c r="O470" s="99"/>
      <x:c r="P470" s="99"/>
      <x:c r="Q470" s="99"/>
      <x:c r="R470" s="99"/>
      <x:c r="S470" s="99"/>
      <x:c r="T470" s="99"/>
      <x:c r="U470" s="99"/>
      <x:c r="V470" s="99"/>
      <x:c r="W470" s="99"/>
      <x:c r="X470" s="99"/>
      <x:c r="Y470" s="99"/>
      <x:c r="Z470" s="99"/>
    </x:row>
    <x:row r="471">
      <x:c r="A471" s="99"/>
      <x:c r="B471" s="99"/>
      <x:c r="C471" s="99"/>
      <x:c r="D471" s="99"/>
      <x:c r="E471" s="99"/>
      <x:c r="F471" s="99"/>
      <x:c r="G471" s="99"/>
      <x:c r="H471" s="99"/>
      <x:c r="I471" s="99"/>
      <x:c r="J471" s="99"/>
      <x:c r="K471" s="99"/>
      <x:c r="L471" s="99"/>
      <x:c r="M471" s="99"/>
      <x:c r="N471" s="99"/>
      <x:c r="O471" s="99"/>
      <x:c r="P471" s="99"/>
      <x:c r="Q471" s="99"/>
      <x:c r="R471" s="99"/>
      <x:c r="S471" s="99"/>
      <x:c r="T471" s="99"/>
      <x:c r="U471" s="99"/>
      <x:c r="V471" s="99"/>
      <x:c r="W471" s="99"/>
      <x:c r="X471" s="99"/>
      <x:c r="Y471" s="99"/>
      <x:c r="Z471" s="99"/>
    </x:row>
    <x:row r="472">
      <x:c r="A472" s="99"/>
      <x:c r="B472" s="99"/>
      <x:c r="C472" s="99"/>
      <x:c r="D472" s="99"/>
      <x:c r="E472" s="99"/>
      <x:c r="F472" s="99"/>
      <x:c r="G472" s="99"/>
      <x:c r="H472" s="99"/>
      <x:c r="I472" s="99"/>
      <x:c r="J472" s="99"/>
      <x:c r="K472" s="99"/>
      <x:c r="L472" s="99"/>
      <x:c r="M472" s="99"/>
      <x:c r="N472" s="99"/>
      <x:c r="O472" s="99"/>
      <x:c r="P472" s="99"/>
      <x:c r="Q472" s="99"/>
      <x:c r="R472" s="99"/>
      <x:c r="S472" s="99"/>
      <x:c r="T472" s="99"/>
      <x:c r="U472" s="99"/>
      <x:c r="V472" s="99"/>
      <x:c r="W472" s="99"/>
      <x:c r="X472" s="99"/>
      <x:c r="Y472" s="99"/>
      <x:c r="Z472" s="99"/>
    </x:row>
    <x:row r="473">
      <x:c r="A473" s="99"/>
      <x:c r="B473" s="99"/>
      <x:c r="C473" s="99"/>
      <x:c r="D473" s="99"/>
      <x:c r="E473" s="99"/>
      <x:c r="F473" s="99"/>
      <x:c r="G473" s="99"/>
      <x:c r="H473" s="99"/>
      <x:c r="I473" s="99"/>
      <x:c r="J473" s="99"/>
      <x:c r="K473" s="99"/>
      <x:c r="L473" s="99"/>
      <x:c r="M473" s="99"/>
      <x:c r="N473" s="99"/>
      <x:c r="O473" s="99"/>
      <x:c r="P473" s="99"/>
      <x:c r="Q473" s="99"/>
      <x:c r="R473" s="99"/>
      <x:c r="S473" s="99"/>
      <x:c r="T473" s="99"/>
      <x:c r="U473" s="99"/>
      <x:c r="V473" s="99"/>
      <x:c r="W473" s="99"/>
      <x:c r="X473" s="99"/>
      <x:c r="Y473" s="99"/>
      <x:c r="Z473" s="99"/>
    </x:row>
    <x:row r="474">
      <x:c r="A474" s="99"/>
      <x:c r="B474" s="99"/>
      <x:c r="C474" s="99"/>
      <x:c r="D474" s="99"/>
      <x:c r="E474" s="99"/>
      <x:c r="F474" s="99"/>
      <x:c r="G474" s="99"/>
      <x:c r="H474" s="99"/>
      <x:c r="I474" s="99"/>
      <x:c r="J474" s="99"/>
      <x:c r="K474" s="99"/>
      <x:c r="L474" s="99"/>
      <x:c r="M474" s="99"/>
      <x:c r="N474" s="99"/>
      <x:c r="O474" s="99"/>
      <x:c r="P474" s="99"/>
      <x:c r="Q474" s="99"/>
      <x:c r="R474" s="99"/>
      <x:c r="S474" s="99"/>
      <x:c r="T474" s="99"/>
      <x:c r="U474" s="99"/>
      <x:c r="V474" s="99"/>
      <x:c r="W474" s="99"/>
      <x:c r="X474" s="99"/>
      <x:c r="Y474" s="99"/>
      <x:c r="Z474" s="99"/>
    </x:row>
    <x:row r="475">
      <x:c r="A475" s="99"/>
      <x:c r="B475" s="99"/>
      <x:c r="C475" s="99"/>
      <x:c r="D475" s="99"/>
      <x:c r="E475" s="99"/>
      <x:c r="F475" s="99"/>
      <x:c r="G475" s="99"/>
      <x:c r="H475" s="99"/>
      <x:c r="I475" s="99"/>
      <x:c r="J475" s="99"/>
      <x:c r="K475" s="99"/>
      <x:c r="L475" s="99"/>
      <x:c r="M475" s="99"/>
      <x:c r="N475" s="99"/>
      <x:c r="O475" s="99"/>
      <x:c r="P475" s="99"/>
      <x:c r="Q475" s="99"/>
      <x:c r="R475" s="99"/>
      <x:c r="S475" s="99"/>
      <x:c r="T475" s="99"/>
      <x:c r="U475" s="99"/>
      <x:c r="V475" s="99"/>
      <x:c r="W475" s="99"/>
      <x:c r="X475" s="99"/>
      <x:c r="Y475" s="99"/>
      <x:c r="Z475" s="99"/>
    </x:row>
    <x:row r="476">
      <x:c r="A476" s="99"/>
      <x:c r="B476" s="99"/>
      <x:c r="C476" s="99"/>
      <x:c r="D476" s="99"/>
      <x:c r="E476" s="99"/>
      <x:c r="F476" s="99"/>
      <x:c r="G476" s="99"/>
      <x:c r="H476" s="99"/>
      <x:c r="I476" s="99"/>
      <x:c r="J476" s="99"/>
      <x:c r="K476" s="99"/>
      <x:c r="L476" s="99"/>
      <x:c r="M476" s="99"/>
      <x:c r="N476" s="99"/>
      <x:c r="O476" s="99"/>
      <x:c r="P476" s="99"/>
      <x:c r="Q476" s="99"/>
      <x:c r="R476" s="99"/>
      <x:c r="S476" s="99"/>
      <x:c r="T476" s="99"/>
      <x:c r="U476" s="99"/>
      <x:c r="V476" s="99"/>
      <x:c r="W476" s="99"/>
      <x:c r="X476" s="99"/>
      <x:c r="Y476" s="99"/>
      <x:c r="Z476" s="99"/>
    </x:row>
    <x:row r="477">
      <x:c r="A477" s="99"/>
      <x:c r="B477" s="99"/>
      <x:c r="C477" s="99"/>
      <x:c r="D477" s="99"/>
      <x:c r="E477" s="99"/>
      <x:c r="F477" s="99"/>
      <x:c r="G477" s="99"/>
      <x:c r="H477" s="99"/>
      <x:c r="I477" s="99"/>
      <x:c r="J477" s="99"/>
      <x:c r="K477" s="99"/>
      <x:c r="L477" s="99"/>
      <x:c r="M477" s="99"/>
      <x:c r="N477" s="99"/>
      <x:c r="O477" s="99"/>
      <x:c r="P477" s="99"/>
      <x:c r="Q477" s="99"/>
      <x:c r="R477" s="99"/>
      <x:c r="S477" s="99"/>
      <x:c r="T477" s="99"/>
      <x:c r="U477" s="99"/>
      <x:c r="V477" s="99"/>
      <x:c r="W477" s="99"/>
      <x:c r="X477" s="99"/>
      <x:c r="Y477" s="99"/>
      <x:c r="Z477" s="99"/>
    </x:row>
    <x:row r="478">
      <x:c r="A478" s="99"/>
      <x:c r="B478" s="99"/>
      <x:c r="C478" s="99"/>
      <x:c r="D478" s="99"/>
      <x:c r="E478" s="99"/>
      <x:c r="F478" s="99"/>
      <x:c r="G478" s="99"/>
      <x:c r="H478" s="99"/>
      <x:c r="I478" s="99"/>
      <x:c r="J478" s="99"/>
      <x:c r="K478" s="99"/>
      <x:c r="L478" s="99"/>
      <x:c r="M478" s="99"/>
      <x:c r="N478" s="99"/>
      <x:c r="O478" s="99"/>
      <x:c r="P478" s="99"/>
      <x:c r="Q478" s="99"/>
      <x:c r="R478" s="99"/>
      <x:c r="S478" s="99"/>
      <x:c r="T478" s="99"/>
      <x:c r="U478" s="99"/>
      <x:c r="V478" s="99"/>
      <x:c r="W478" s="99"/>
      <x:c r="X478" s="99"/>
      <x:c r="Y478" s="99"/>
      <x:c r="Z478" s="99"/>
    </x:row>
    <x:row r="479">
      <x:c r="A479" s="99"/>
      <x:c r="B479" s="99"/>
      <x:c r="C479" s="99"/>
      <x:c r="D479" s="99"/>
      <x:c r="E479" s="99"/>
      <x:c r="F479" s="99"/>
      <x:c r="G479" s="99"/>
      <x:c r="H479" s="99"/>
      <x:c r="I479" s="99"/>
      <x:c r="J479" s="99"/>
      <x:c r="K479" s="99"/>
      <x:c r="L479" s="99"/>
      <x:c r="M479" s="99"/>
      <x:c r="N479" s="99"/>
      <x:c r="O479" s="99"/>
      <x:c r="P479" s="99"/>
      <x:c r="Q479" s="99"/>
      <x:c r="R479" s="99"/>
      <x:c r="S479" s="99"/>
      <x:c r="T479" s="99"/>
      <x:c r="U479" s="99"/>
      <x:c r="V479" s="99"/>
      <x:c r="W479" s="99"/>
      <x:c r="X479" s="99"/>
      <x:c r="Y479" s="99"/>
      <x:c r="Z479" s="99"/>
    </x:row>
    <x:row r="480">
      <x:c r="A480" s="99"/>
      <x:c r="B480" s="99"/>
      <x:c r="C480" s="99"/>
      <x:c r="D480" s="99"/>
      <x:c r="E480" s="99"/>
      <x:c r="F480" s="99"/>
      <x:c r="G480" s="99"/>
      <x:c r="H480" s="99"/>
      <x:c r="I480" s="99"/>
      <x:c r="J480" s="99"/>
      <x:c r="K480" s="99"/>
      <x:c r="L480" s="99"/>
      <x:c r="M480" s="99"/>
      <x:c r="N480" s="99"/>
      <x:c r="O480" s="99"/>
      <x:c r="P480" s="99"/>
      <x:c r="Q480" s="99"/>
      <x:c r="R480" s="99"/>
      <x:c r="S480" s="99"/>
      <x:c r="T480" s="99"/>
      <x:c r="U480" s="99"/>
      <x:c r="V480" s="99"/>
      <x:c r="W480" s="99"/>
      <x:c r="X480" s="99"/>
      <x:c r="Y480" s="99"/>
      <x:c r="Z480" s="99"/>
    </x:row>
    <x:row r="481">
      <x:c r="A481" s="99"/>
      <x:c r="B481" s="99"/>
      <x:c r="C481" s="99"/>
      <x:c r="D481" s="99"/>
      <x:c r="E481" s="99"/>
      <x:c r="F481" s="99"/>
      <x:c r="G481" s="99"/>
      <x:c r="H481" s="99"/>
      <x:c r="I481" s="99"/>
      <x:c r="J481" s="99"/>
      <x:c r="K481" s="99"/>
      <x:c r="L481" s="99"/>
      <x:c r="M481" s="99"/>
      <x:c r="N481" s="99"/>
      <x:c r="O481" s="99"/>
      <x:c r="P481" s="99"/>
      <x:c r="Q481" s="99"/>
      <x:c r="R481" s="99"/>
      <x:c r="S481" s="99"/>
      <x:c r="T481" s="99"/>
      <x:c r="U481" s="99"/>
      <x:c r="V481" s="99"/>
      <x:c r="W481" s="99"/>
      <x:c r="X481" s="99"/>
      <x:c r="Y481" s="99"/>
      <x:c r="Z481" s="99"/>
    </x:row>
    <x:row r="482">
      <x:c r="A482" s="99"/>
      <x:c r="B482" s="99"/>
      <x:c r="C482" s="99"/>
      <x:c r="D482" s="99"/>
      <x:c r="E482" s="99"/>
      <x:c r="F482" s="99"/>
      <x:c r="G482" s="99"/>
      <x:c r="H482" s="99"/>
      <x:c r="I482" s="99"/>
      <x:c r="J482" s="99"/>
      <x:c r="K482" s="99"/>
      <x:c r="L482" s="99"/>
      <x:c r="M482" s="99"/>
      <x:c r="N482" s="99"/>
      <x:c r="O482" s="99"/>
      <x:c r="P482" s="99"/>
      <x:c r="Q482" s="99"/>
      <x:c r="R482" s="99"/>
      <x:c r="S482" s="99"/>
      <x:c r="T482" s="99"/>
      <x:c r="U482" s="99"/>
      <x:c r="V482" s="99"/>
      <x:c r="W482" s="99"/>
      <x:c r="X482" s="99"/>
      <x:c r="Y482" s="99"/>
      <x:c r="Z482" s="99"/>
    </x:row>
    <x:row r="483">
      <x:c r="A483" s="99"/>
      <x:c r="B483" s="99"/>
      <x:c r="C483" s="99"/>
      <x:c r="D483" s="99"/>
      <x:c r="E483" s="99"/>
      <x:c r="F483" s="99"/>
      <x:c r="G483" s="99"/>
      <x:c r="H483" s="99"/>
      <x:c r="I483" s="99"/>
      <x:c r="J483" s="99"/>
      <x:c r="K483" s="99"/>
      <x:c r="L483" s="99"/>
      <x:c r="M483" s="99"/>
      <x:c r="N483" s="99"/>
      <x:c r="O483" s="99"/>
      <x:c r="P483" s="99"/>
      <x:c r="Q483" s="99"/>
      <x:c r="R483" s="99"/>
      <x:c r="S483" s="99"/>
      <x:c r="T483" s="99"/>
      <x:c r="U483" s="99"/>
      <x:c r="V483" s="99"/>
      <x:c r="W483" s="99"/>
      <x:c r="X483" s="99"/>
      <x:c r="Y483" s="99"/>
      <x:c r="Z483" s="99"/>
    </x:row>
    <x:row r="484">
      <x:c r="A484" s="99"/>
      <x:c r="B484" s="99"/>
      <x:c r="C484" s="99"/>
      <x:c r="D484" s="99"/>
      <x:c r="E484" s="99"/>
      <x:c r="F484" s="99"/>
      <x:c r="G484" s="99"/>
      <x:c r="H484" s="99"/>
      <x:c r="I484" s="99"/>
      <x:c r="J484" s="99"/>
      <x:c r="K484" s="99"/>
      <x:c r="L484" s="99"/>
      <x:c r="M484" s="99"/>
      <x:c r="N484" s="99"/>
      <x:c r="O484" s="99"/>
      <x:c r="P484" s="99"/>
      <x:c r="Q484" s="99"/>
      <x:c r="R484" s="99"/>
      <x:c r="S484" s="99"/>
      <x:c r="T484" s="99"/>
      <x:c r="U484" s="99"/>
      <x:c r="V484" s="99"/>
      <x:c r="W484" s="99"/>
      <x:c r="X484" s="99"/>
      <x:c r="Y484" s="99"/>
      <x:c r="Z484" s="99"/>
    </x:row>
    <x:row r="485">
      <x:c r="A485" s="99"/>
      <x:c r="B485" s="99"/>
      <x:c r="C485" s="99"/>
      <x:c r="D485" s="99"/>
      <x:c r="E485" s="99"/>
      <x:c r="F485" s="99"/>
      <x:c r="G485" s="99"/>
      <x:c r="H485" s="99"/>
      <x:c r="I485" s="99"/>
      <x:c r="J485" s="99"/>
      <x:c r="K485" s="99"/>
      <x:c r="L485" s="99"/>
      <x:c r="M485" s="99"/>
      <x:c r="N485" s="99"/>
      <x:c r="O485" s="99"/>
      <x:c r="P485" s="99"/>
      <x:c r="Q485" s="99"/>
      <x:c r="R485" s="99"/>
      <x:c r="S485" s="99"/>
      <x:c r="T485" s="99"/>
      <x:c r="U485" s="99"/>
      <x:c r="V485" s="99"/>
      <x:c r="W485" s="99"/>
      <x:c r="X485" s="99"/>
      <x:c r="Y485" s="99"/>
      <x:c r="Z485" s="99"/>
    </x:row>
    <x:row r="486">
      <x:c r="A486" s="99"/>
      <x:c r="B486" s="99"/>
      <x:c r="C486" s="99"/>
      <x:c r="D486" s="99"/>
      <x:c r="E486" s="99"/>
      <x:c r="F486" s="99"/>
      <x:c r="G486" s="99"/>
      <x:c r="H486" s="99"/>
      <x:c r="I486" s="99"/>
      <x:c r="J486" s="99"/>
      <x:c r="K486" s="99"/>
      <x:c r="L486" s="99"/>
      <x:c r="M486" s="99"/>
      <x:c r="N486" s="99"/>
      <x:c r="O486" s="99"/>
      <x:c r="P486" s="99"/>
      <x:c r="Q486" s="99"/>
      <x:c r="R486" s="99"/>
      <x:c r="S486" s="99"/>
      <x:c r="T486" s="99"/>
      <x:c r="U486" s="99"/>
      <x:c r="V486" s="99"/>
      <x:c r="W486" s="99"/>
      <x:c r="X486" s="99"/>
      <x:c r="Y486" s="99"/>
      <x:c r="Z486" s="99"/>
    </x:row>
    <x:row r="487">
      <x:c r="A487" s="99"/>
      <x:c r="B487" s="99"/>
      <x:c r="C487" s="99"/>
      <x:c r="D487" s="99"/>
      <x:c r="E487" s="99"/>
      <x:c r="F487" s="99"/>
      <x:c r="G487" s="99"/>
      <x:c r="H487" s="99"/>
      <x:c r="I487" s="99"/>
      <x:c r="J487" s="99"/>
      <x:c r="K487" s="99"/>
      <x:c r="L487" s="99"/>
      <x:c r="M487" s="99"/>
      <x:c r="N487" s="99"/>
      <x:c r="O487" s="99"/>
      <x:c r="P487" s="99"/>
      <x:c r="Q487" s="99"/>
      <x:c r="R487" s="99"/>
      <x:c r="S487" s="99"/>
      <x:c r="T487" s="99"/>
      <x:c r="U487" s="99"/>
      <x:c r="V487" s="99"/>
      <x:c r="W487" s="99"/>
      <x:c r="X487" s="99"/>
      <x:c r="Y487" s="99"/>
      <x:c r="Z487" s="99"/>
    </x:row>
    <x:row r="488">
      <x:c r="A488" s="99"/>
      <x:c r="B488" s="99"/>
      <x:c r="C488" s="99"/>
      <x:c r="D488" s="99"/>
      <x:c r="E488" s="99"/>
      <x:c r="F488" s="99"/>
      <x:c r="G488" s="99"/>
      <x:c r="H488" s="99"/>
      <x:c r="I488" s="99"/>
      <x:c r="J488" s="99"/>
      <x:c r="K488" s="99"/>
      <x:c r="L488" s="99"/>
      <x:c r="M488" s="99"/>
      <x:c r="N488" s="99"/>
      <x:c r="O488" s="99"/>
      <x:c r="P488" s="99"/>
      <x:c r="Q488" s="99"/>
      <x:c r="R488" s="99"/>
      <x:c r="S488" s="99"/>
      <x:c r="T488" s="99"/>
      <x:c r="U488" s="99"/>
      <x:c r="V488" s="99"/>
      <x:c r="W488" s="99"/>
      <x:c r="X488" s="99"/>
      <x:c r="Y488" s="99"/>
      <x:c r="Z488" s="99"/>
    </x:row>
    <x:row r="489">
      <x:c r="A489" s="99"/>
      <x:c r="B489" s="99"/>
      <x:c r="C489" s="99"/>
      <x:c r="D489" s="99"/>
      <x:c r="E489" s="99"/>
      <x:c r="F489" s="99"/>
      <x:c r="G489" s="99"/>
      <x:c r="H489" s="99"/>
      <x:c r="I489" s="99"/>
      <x:c r="J489" s="99"/>
      <x:c r="K489" s="99"/>
      <x:c r="L489" s="99"/>
      <x:c r="M489" s="99"/>
      <x:c r="N489" s="99"/>
      <x:c r="O489" s="99"/>
      <x:c r="P489" s="99"/>
      <x:c r="Q489" s="99"/>
      <x:c r="R489" s="99"/>
      <x:c r="S489" s="99"/>
      <x:c r="T489" s="99"/>
      <x:c r="U489" s="99"/>
      <x:c r="V489" s="99"/>
      <x:c r="W489" s="99"/>
      <x:c r="X489" s="99"/>
      <x:c r="Y489" s="99"/>
      <x:c r="Z489" s="99"/>
    </x:row>
    <x:row r="490">
      <x:c r="A490" s="99"/>
      <x:c r="B490" s="99"/>
      <x:c r="C490" s="99"/>
      <x:c r="D490" s="99"/>
      <x:c r="E490" s="99"/>
      <x:c r="F490" s="99"/>
      <x:c r="G490" s="99"/>
      <x:c r="H490" s="99"/>
      <x:c r="I490" s="99"/>
      <x:c r="J490" s="99"/>
      <x:c r="K490" s="99"/>
      <x:c r="L490" s="99"/>
      <x:c r="M490" s="99"/>
      <x:c r="N490" s="99"/>
      <x:c r="O490" s="99"/>
      <x:c r="P490" s="99"/>
      <x:c r="Q490" s="99"/>
      <x:c r="R490" s="99"/>
      <x:c r="S490" s="99"/>
      <x:c r="T490" s="99"/>
      <x:c r="U490" s="99"/>
      <x:c r="V490" s="99"/>
      <x:c r="W490" s="99"/>
      <x:c r="X490" s="99"/>
      <x:c r="Y490" s="99"/>
      <x:c r="Z490" s="99"/>
    </x:row>
    <x:row r="491">
      <x:c r="A491" s="99"/>
      <x:c r="B491" s="99"/>
      <x:c r="C491" s="99"/>
      <x:c r="D491" s="99"/>
      <x:c r="E491" s="99"/>
      <x:c r="F491" s="99"/>
      <x:c r="G491" s="99"/>
      <x:c r="H491" s="99"/>
      <x:c r="I491" s="99"/>
      <x:c r="J491" s="99"/>
      <x:c r="K491" s="99"/>
      <x:c r="L491" s="99"/>
      <x:c r="M491" s="99"/>
      <x:c r="N491" s="99"/>
      <x:c r="O491" s="99"/>
      <x:c r="P491" s="99"/>
      <x:c r="Q491" s="99"/>
      <x:c r="R491" s="99"/>
      <x:c r="S491" s="99"/>
      <x:c r="T491" s="99"/>
      <x:c r="U491" s="99"/>
      <x:c r="V491" s="99"/>
      <x:c r="W491" s="99"/>
      <x:c r="X491" s="99"/>
      <x:c r="Y491" s="99"/>
      <x:c r="Z491" s="99"/>
    </x:row>
    <x:row r="492">
      <x:c r="A492" s="99"/>
      <x:c r="B492" s="99"/>
      <x:c r="C492" s="99"/>
      <x:c r="D492" s="99"/>
      <x:c r="E492" s="99"/>
      <x:c r="F492" s="99"/>
      <x:c r="G492" s="99"/>
      <x:c r="H492" s="99"/>
      <x:c r="I492" s="99"/>
      <x:c r="J492" s="99"/>
      <x:c r="K492" s="99"/>
      <x:c r="L492" s="99"/>
      <x:c r="M492" s="99"/>
      <x:c r="N492" s="99"/>
      <x:c r="O492" s="99"/>
      <x:c r="P492" s="99"/>
      <x:c r="Q492" s="99"/>
      <x:c r="R492" s="99"/>
      <x:c r="S492" s="99"/>
      <x:c r="T492" s="99"/>
      <x:c r="U492" s="99"/>
      <x:c r="V492" s="99"/>
      <x:c r="W492" s="99"/>
      <x:c r="X492" s="99"/>
      <x:c r="Y492" s="99"/>
      <x:c r="Z492" s="99"/>
    </x:row>
    <x:row r="493">
      <x:c r="A493" s="99"/>
      <x:c r="B493" s="99"/>
      <x:c r="C493" s="99"/>
      <x:c r="D493" s="99"/>
      <x:c r="E493" s="99"/>
      <x:c r="F493" s="99"/>
      <x:c r="G493" s="99"/>
      <x:c r="H493" s="99"/>
      <x:c r="I493" s="99"/>
      <x:c r="J493" s="99"/>
      <x:c r="K493" s="99"/>
      <x:c r="L493" s="99"/>
      <x:c r="M493" s="99"/>
      <x:c r="N493" s="99"/>
      <x:c r="O493" s="99"/>
      <x:c r="P493" s="99"/>
      <x:c r="Q493" s="99"/>
      <x:c r="R493" s="99"/>
      <x:c r="S493" s="99"/>
      <x:c r="T493" s="99"/>
      <x:c r="U493" s="99"/>
      <x:c r="V493" s="99"/>
      <x:c r="W493" s="99"/>
      <x:c r="X493" s="99"/>
      <x:c r="Y493" s="99"/>
      <x:c r="Z493" s="99"/>
    </x:row>
    <x:row r="494">
      <x:c r="A494" s="99"/>
      <x:c r="B494" s="99"/>
      <x:c r="C494" s="99"/>
      <x:c r="D494" s="99"/>
      <x:c r="E494" s="99"/>
      <x:c r="F494" s="99"/>
      <x:c r="G494" s="99"/>
      <x:c r="H494" s="99"/>
      <x:c r="I494" s="99"/>
      <x:c r="J494" s="99"/>
      <x:c r="K494" s="99"/>
      <x:c r="L494" s="99"/>
      <x:c r="M494" s="99"/>
      <x:c r="N494" s="99"/>
      <x:c r="O494" s="99"/>
      <x:c r="P494" s="99"/>
      <x:c r="Q494" s="99"/>
      <x:c r="R494" s="99"/>
      <x:c r="S494" s="99"/>
      <x:c r="T494" s="99"/>
      <x:c r="U494" s="99"/>
      <x:c r="V494" s="99"/>
      <x:c r="W494" s="99"/>
      <x:c r="X494" s="99"/>
      <x:c r="Y494" s="99"/>
      <x:c r="Z494" s="99"/>
    </x:row>
    <x:row r="495">
      <x:c r="A495" s="99"/>
      <x:c r="B495" s="99"/>
      <x:c r="C495" s="99"/>
      <x:c r="D495" s="99"/>
      <x:c r="E495" s="99"/>
      <x:c r="F495" s="99"/>
      <x:c r="G495" s="99"/>
      <x:c r="H495" s="99"/>
      <x:c r="I495" s="99"/>
      <x:c r="J495" s="99"/>
      <x:c r="K495" s="99"/>
      <x:c r="L495" s="99"/>
      <x:c r="M495" s="99"/>
      <x:c r="N495" s="99"/>
      <x:c r="O495" s="99"/>
      <x:c r="P495" s="99"/>
      <x:c r="Q495" s="99"/>
      <x:c r="R495" s="99"/>
      <x:c r="S495" s="99"/>
      <x:c r="T495" s="99"/>
      <x:c r="U495" s="99"/>
      <x:c r="V495" s="99"/>
      <x:c r="W495" s="99"/>
      <x:c r="X495" s="99"/>
      <x:c r="Y495" s="99"/>
      <x:c r="Z495" s="99"/>
    </x:row>
    <x:row r="496">
      <x:c r="A496" s="99"/>
      <x:c r="B496" s="99"/>
      <x:c r="C496" s="99"/>
      <x:c r="D496" s="99"/>
      <x:c r="E496" s="99"/>
      <x:c r="F496" s="99"/>
      <x:c r="G496" s="99"/>
      <x:c r="H496" s="99"/>
      <x:c r="I496" s="99"/>
      <x:c r="J496" s="99"/>
      <x:c r="K496" s="99"/>
      <x:c r="L496" s="99"/>
      <x:c r="M496" s="99"/>
      <x:c r="N496" s="99"/>
      <x:c r="O496" s="99"/>
      <x:c r="P496" s="99"/>
      <x:c r="Q496" s="99"/>
      <x:c r="R496" s="99"/>
      <x:c r="S496" s="99"/>
      <x:c r="T496" s="99"/>
      <x:c r="U496" s="99"/>
      <x:c r="V496" s="99"/>
      <x:c r="W496" s="99"/>
      <x:c r="X496" s="99"/>
      <x:c r="Y496" s="99"/>
      <x:c r="Z496" s="99"/>
    </x:row>
    <x:row r="497">
      <x:c r="A497" s="99"/>
      <x:c r="B497" s="99"/>
      <x:c r="C497" s="99"/>
      <x:c r="D497" s="99"/>
      <x:c r="E497" s="99"/>
      <x:c r="F497" s="99"/>
      <x:c r="G497" s="99"/>
      <x:c r="H497" s="99"/>
      <x:c r="I497" s="99"/>
      <x:c r="J497" s="99"/>
      <x:c r="K497" s="99"/>
      <x:c r="L497" s="99"/>
      <x:c r="M497" s="99"/>
      <x:c r="N497" s="99"/>
      <x:c r="O497" s="99"/>
      <x:c r="P497" s="99"/>
      <x:c r="Q497" s="99"/>
      <x:c r="R497" s="99"/>
      <x:c r="S497" s="99"/>
      <x:c r="T497" s="99"/>
      <x:c r="U497" s="99"/>
      <x:c r="V497" s="99"/>
      <x:c r="W497" s="99"/>
      <x:c r="X497" s="99"/>
      <x:c r="Y497" s="99"/>
      <x:c r="Z497" s="99"/>
    </x:row>
    <x:row r="498">
      <x:c r="A498" s="99"/>
      <x:c r="B498" s="99"/>
      <x:c r="C498" s="99"/>
      <x:c r="D498" s="99"/>
      <x:c r="E498" s="99"/>
      <x:c r="F498" s="99"/>
      <x:c r="G498" s="99"/>
      <x:c r="H498" s="99"/>
      <x:c r="I498" s="99"/>
      <x:c r="J498" s="99"/>
      <x:c r="K498" s="99"/>
      <x:c r="L498" s="99"/>
      <x:c r="M498" s="99"/>
      <x:c r="N498" s="99"/>
      <x:c r="O498" s="99"/>
      <x:c r="P498" s="99"/>
      <x:c r="Q498" s="99"/>
      <x:c r="R498" s="99"/>
      <x:c r="S498" s="99"/>
      <x:c r="T498" s="99"/>
      <x:c r="U498" s="99"/>
      <x:c r="V498" s="99"/>
      <x:c r="W498" s="99"/>
      <x:c r="X498" s="99"/>
      <x:c r="Y498" s="99"/>
      <x:c r="Z498" s="99"/>
    </x:row>
    <x:row r="499">
      <x:c r="A499" s="99"/>
      <x:c r="B499" s="99"/>
      <x:c r="C499" s="99"/>
      <x:c r="D499" s="99"/>
      <x:c r="E499" s="99"/>
      <x:c r="F499" s="99"/>
      <x:c r="G499" s="99"/>
      <x:c r="H499" s="99"/>
      <x:c r="I499" s="99"/>
      <x:c r="J499" s="99"/>
      <x:c r="K499" s="99"/>
      <x:c r="L499" s="99"/>
      <x:c r="M499" s="99"/>
      <x:c r="N499" s="99"/>
      <x:c r="O499" s="99"/>
      <x:c r="P499" s="99"/>
      <x:c r="Q499" s="99"/>
      <x:c r="R499" s="99"/>
      <x:c r="S499" s="99"/>
      <x:c r="T499" s="99"/>
      <x:c r="U499" s="99"/>
      <x:c r="V499" s="99"/>
      <x:c r="W499" s="99"/>
      <x:c r="X499" s="99"/>
      <x:c r="Y499" s="99"/>
      <x:c r="Z499" s="99"/>
    </x:row>
    <x:row r="500">
      <x:c r="A500" s="99"/>
      <x:c r="B500" s="99"/>
      <x:c r="C500" s="99"/>
      <x:c r="D500" s="99"/>
      <x:c r="E500" s="99"/>
      <x:c r="F500" s="99"/>
      <x:c r="G500" s="99"/>
      <x:c r="H500" s="99"/>
      <x:c r="I500" s="99"/>
      <x:c r="J500" s="99"/>
      <x:c r="K500" s="99"/>
      <x:c r="L500" s="99"/>
      <x:c r="M500" s="99"/>
      <x:c r="N500" s="99"/>
      <x:c r="O500" s="99"/>
      <x:c r="P500" s="99"/>
      <x:c r="Q500" s="99"/>
      <x:c r="R500" s="99"/>
      <x:c r="S500" s="99"/>
      <x:c r="T500" s="99"/>
      <x:c r="U500" s="99"/>
      <x:c r="V500" s="99"/>
      <x:c r="W500" s="99"/>
      <x:c r="X500" s="99"/>
      <x:c r="Y500" s="99"/>
      <x:c r="Z500" s="99"/>
    </x:row>
    <x:row r="501">
      <x:c r="A501" s="99"/>
      <x:c r="B501" s="99"/>
      <x:c r="C501" s="99"/>
      <x:c r="D501" s="99"/>
      <x:c r="E501" s="99"/>
      <x:c r="F501" s="99"/>
      <x:c r="G501" s="99"/>
      <x:c r="H501" s="99"/>
      <x:c r="I501" s="99"/>
      <x:c r="J501" s="99"/>
      <x:c r="K501" s="99"/>
      <x:c r="L501" s="99"/>
      <x:c r="M501" s="99"/>
      <x:c r="N501" s="99"/>
      <x:c r="O501" s="99"/>
      <x:c r="P501" s="99"/>
      <x:c r="Q501" s="99"/>
      <x:c r="R501" s="99"/>
      <x:c r="S501" s="99"/>
      <x:c r="T501" s="99"/>
      <x:c r="U501" s="99"/>
      <x:c r="V501" s="99"/>
      <x:c r="W501" s="99"/>
      <x:c r="X501" s="99"/>
      <x:c r="Y501" s="99"/>
      <x:c r="Z501" s="99"/>
    </x:row>
    <x:row r="502">
      <x:c r="A502" s="99"/>
      <x:c r="B502" s="99"/>
      <x:c r="C502" s="99"/>
      <x:c r="D502" s="99"/>
      <x:c r="E502" s="99"/>
      <x:c r="F502" s="99"/>
      <x:c r="G502" s="99"/>
      <x:c r="H502" s="99"/>
      <x:c r="I502" s="99"/>
      <x:c r="J502" s="99"/>
      <x:c r="K502" s="99"/>
      <x:c r="L502" s="99"/>
      <x:c r="M502" s="99"/>
      <x:c r="N502" s="99"/>
      <x:c r="O502" s="99"/>
      <x:c r="P502" s="99"/>
      <x:c r="Q502" s="99"/>
      <x:c r="R502" s="99"/>
      <x:c r="S502" s="99"/>
      <x:c r="T502" s="99"/>
      <x:c r="U502" s="99"/>
      <x:c r="V502" s="99"/>
      <x:c r="W502" s="99"/>
      <x:c r="X502" s="99"/>
      <x:c r="Y502" s="99"/>
      <x:c r="Z502" s="99"/>
    </x:row>
    <x:row r="503">
      <x:c r="A503" s="99"/>
      <x:c r="B503" s="99"/>
      <x:c r="C503" s="99"/>
      <x:c r="D503" s="99"/>
      <x:c r="E503" s="99"/>
      <x:c r="F503" s="99"/>
      <x:c r="G503" s="99"/>
      <x:c r="H503" s="99"/>
      <x:c r="I503" s="99"/>
      <x:c r="J503" s="99"/>
      <x:c r="K503" s="99"/>
      <x:c r="L503" s="99"/>
      <x:c r="M503" s="99"/>
      <x:c r="N503" s="99"/>
      <x:c r="O503" s="99"/>
      <x:c r="P503" s="99"/>
      <x:c r="Q503" s="99"/>
      <x:c r="R503" s="99"/>
      <x:c r="S503" s="99"/>
      <x:c r="T503" s="99"/>
      <x:c r="U503" s="99"/>
      <x:c r="V503" s="99"/>
      <x:c r="W503" s="99"/>
      <x:c r="X503" s="99"/>
      <x:c r="Y503" s="99"/>
      <x:c r="Z503" s="99"/>
    </x:row>
    <x:row r="504">
      <x:c r="A504" s="99"/>
      <x:c r="B504" s="99"/>
      <x:c r="C504" s="99"/>
      <x:c r="D504" s="99"/>
      <x:c r="E504" s="99"/>
      <x:c r="F504" s="99"/>
      <x:c r="G504" s="99"/>
      <x:c r="H504" s="99"/>
      <x:c r="I504" s="99"/>
      <x:c r="J504" s="99"/>
      <x:c r="K504" s="99"/>
      <x:c r="L504" s="99"/>
      <x:c r="M504" s="99"/>
      <x:c r="N504" s="99"/>
      <x:c r="O504" s="99"/>
      <x:c r="P504" s="99"/>
      <x:c r="Q504" s="99"/>
      <x:c r="R504" s="99"/>
      <x:c r="S504" s="99"/>
      <x:c r="T504" s="99"/>
      <x:c r="U504" s="99"/>
      <x:c r="V504" s="99"/>
      <x:c r="W504" s="99"/>
      <x:c r="X504" s="99"/>
      <x:c r="Y504" s="99"/>
      <x:c r="Z504" s="99"/>
    </x:row>
    <x:row r="505">
      <x:c r="A505" s="99"/>
      <x:c r="B505" s="99"/>
      <x:c r="C505" s="99"/>
      <x:c r="D505" s="99"/>
      <x:c r="E505" s="99"/>
      <x:c r="F505" s="99"/>
      <x:c r="G505" s="99"/>
      <x:c r="H505" s="99"/>
      <x:c r="I505" s="99"/>
      <x:c r="J505" s="99"/>
      <x:c r="K505" s="99"/>
      <x:c r="L505" s="99"/>
      <x:c r="M505" s="99"/>
      <x:c r="N505" s="99"/>
      <x:c r="O505" s="99"/>
      <x:c r="P505" s="99"/>
      <x:c r="Q505" s="99"/>
      <x:c r="R505" s="99"/>
      <x:c r="S505" s="99"/>
      <x:c r="T505" s="99"/>
      <x:c r="U505" s="99"/>
      <x:c r="V505" s="99"/>
      <x:c r="W505" s="99"/>
      <x:c r="X505" s="99"/>
      <x:c r="Y505" s="99"/>
      <x:c r="Z505" s="99"/>
    </x:row>
    <x:row r="506">
      <x:c r="A506" s="99"/>
      <x:c r="B506" s="99"/>
      <x:c r="C506" s="99"/>
      <x:c r="D506" s="99"/>
      <x:c r="E506" s="99"/>
      <x:c r="F506" s="99"/>
      <x:c r="G506" s="99"/>
      <x:c r="H506" s="99"/>
      <x:c r="I506" s="99"/>
      <x:c r="J506" s="99"/>
      <x:c r="K506" s="99"/>
      <x:c r="L506" s="99"/>
      <x:c r="M506" s="99"/>
      <x:c r="N506" s="99"/>
      <x:c r="O506" s="99"/>
      <x:c r="P506" s="99"/>
      <x:c r="Q506" s="99"/>
      <x:c r="R506" s="99"/>
      <x:c r="S506" s="99"/>
      <x:c r="T506" s="99"/>
      <x:c r="U506" s="99"/>
      <x:c r="V506" s="99"/>
      <x:c r="W506" s="99"/>
      <x:c r="X506" s="99"/>
      <x:c r="Y506" s="99"/>
      <x:c r="Z506" s="99"/>
    </x:row>
    <x:row r="507">
      <x:c r="A507" s="99"/>
      <x:c r="B507" s="99"/>
      <x:c r="C507" s="99"/>
      <x:c r="D507" s="99"/>
      <x:c r="E507" s="99"/>
      <x:c r="F507" s="99"/>
      <x:c r="G507" s="99"/>
      <x:c r="H507" s="99"/>
      <x:c r="I507" s="99"/>
      <x:c r="J507" s="99"/>
      <x:c r="K507" s="99"/>
      <x:c r="L507" s="99"/>
      <x:c r="M507" s="99"/>
      <x:c r="N507" s="99"/>
      <x:c r="O507" s="99"/>
      <x:c r="P507" s="99"/>
      <x:c r="Q507" s="99"/>
      <x:c r="R507" s="99"/>
      <x:c r="S507" s="99"/>
      <x:c r="T507" s="99"/>
      <x:c r="U507" s="99"/>
      <x:c r="V507" s="99"/>
      <x:c r="W507" s="99"/>
      <x:c r="X507" s="99"/>
      <x:c r="Y507" s="99"/>
      <x:c r="Z507" s="99"/>
    </x:row>
    <x:row r="508">
      <x:c r="A508" s="99"/>
      <x:c r="B508" s="99"/>
      <x:c r="C508" s="99"/>
      <x:c r="D508" s="99"/>
      <x:c r="E508" s="99"/>
      <x:c r="F508" s="99"/>
      <x:c r="G508" s="99"/>
      <x:c r="H508" s="99"/>
      <x:c r="I508" s="99"/>
      <x:c r="J508" s="99"/>
      <x:c r="K508" s="99"/>
      <x:c r="L508" s="99"/>
      <x:c r="M508" s="99"/>
      <x:c r="N508" s="99"/>
      <x:c r="O508" s="99"/>
      <x:c r="P508" s="99"/>
      <x:c r="Q508" s="99"/>
      <x:c r="R508" s="99"/>
      <x:c r="S508" s="99"/>
      <x:c r="T508" s="99"/>
      <x:c r="U508" s="99"/>
      <x:c r="V508" s="99"/>
      <x:c r="W508" s="99"/>
      <x:c r="X508" s="99"/>
      <x:c r="Y508" s="99"/>
      <x:c r="Z508" s="99"/>
    </x:row>
    <x:row r="509">
      <x:c r="A509" s="99"/>
      <x:c r="B509" s="99"/>
      <x:c r="C509" s="99"/>
      <x:c r="D509" s="99"/>
      <x:c r="E509" s="99"/>
      <x:c r="F509" s="99"/>
      <x:c r="G509" s="99"/>
      <x:c r="H509" s="99"/>
      <x:c r="I509" s="99"/>
      <x:c r="J509" s="99"/>
      <x:c r="K509" s="99"/>
      <x:c r="L509" s="99"/>
      <x:c r="M509" s="99"/>
      <x:c r="N509" s="99"/>
      <x:c r="O509" s="99"/>
      <x:c r="P509" s="99"/>
      <x:c r="Q509" s="99"/>
      <x:c r="R509" s="99"/>
      <x:c r="S509" s="99"/>
      <x:c r="T509" s="99"/>
      <x:c r="U509" s="99"/>
      <x:c r="V509" s="99"/>
      <x:c r="W509" s="99"/>
      <x:c r="X509" s="99"/>
      <x:c r="Y509" s="99"/>
      <x:c r="Z509" s="99"/>
    </x:row>
    <x:row r="510">
      <x:c r="A510" s="99"/>
      <x:c r="B510" s="99"/>
      <x:c r="C510" s="99"/>
      <x:c r="D510" s="99"/>
      <x:c r="E510" s="99"/>
      <x:c r="F510" s="99"/>
      <x:c r="G510" s="99"/>
      <x:c r="H510" s="99"/>
      <x:c r="I510" s="99"/>
      <x:c r="J510" s="99"/>
      <x:c r="K510" s="99"/>
      <x:c r="L510" s="99"/>
      <x:c r="M510" s="99"/>
      <x:c r="N510" s="99"/>
      <x:c r="O510" s="99"/>
      <x:c r="P510" s="99"/>
      <x:c r="Q510" s="99"/>
      <x:c r="R510" s="99"/>
      <x:c r="S510" s="99"/>
      <x:c r="T510" s="99"/>
      <x:c r="U510" s="99"/>
      <x:c r="V510" s="99"/>
      <x:c r="W510" s="99"/>
      <x:c r="X510" s="99"/>
      <x:c r="Y510" s="99"/>
      <x:c r="Z510" s="99"/>
    </x:row>
    <x:row r="511">
      <x:c r="A511" s="99"/>
      <x:c r="B511" s="99"/>
      <x:c r="C511" s="99"/>
      <x:c r="D511" s="99"/>
      <x:c r="E511" s="99"/>
      <x:c r="F511" s="99"/>
      <x:c r="G511" s="99"/>
      <x:c r="H511" s="99"/>
      <x:c r="I511" s="99"/>
      <x:c r="J511" s="99"/>
      <x:c r="K511" s="99"/>
      <x:c r="L511" s="99"/>
      <x:c r="M511" s="99"/>
      <x:c r="N511" s="99"/>
      <x:c r="O511" s="99"/>
      <x:c r="P511" s="99"/>
      <x:c r="Q511" s="99"/>
      <x:c r="R511" s="99"/>
      <x:c r="S511" s="99"/>
      <x:c r="T511" s="99"/>
      <x:c r="U511" s="99"/>
      <x:c r="V511" s="99"/>
      <x:c r="W511" s="99"/>
      <x:c r="X511" s="99"/>
      <x:c r="Y511" s="99"/>
      <x:c r="Z511" s="99"/>
    </x:row>
    <x:row r="512">
      <x:c r="A512" s="99"/>
      <x:c r="B512" s="99"/>
      <x:c r="C512" s="99"/>
      <x:c r="D512" s="99"/>
      <x:c r="E512" s="99"/>
      <x:c r="F512" s="99"/>
      <x:c r="G512" s="99"/>
      <x:c r="H512" s="99"/>
      <x:c r="I512" s="99"/>
      <x:c r="J512" s="99"/>
      <x:c r="K512" s="99"/>
      <x:c r="L512" s="99"/>
      <x:c r="M512" s="99"/>
      <x:c r="N512" s="99"/>
      <x:c r="O512" s="99"/>
      <x:c r="P512" s="99"/>
      <x:c r="Q512" s="99"/>
      <x:c r="R512" s="99"/>
      <x:c r="S512" s="99"/>
      <x:c r="T512" s="99"/>
      <x:c r="U512" s="99"/>
      <x:c r="V512" s="99"/>
      <x:c r="W512" s="99"/>
      <x:c r="X512" s="99"/>
      <x:c r="Y512" s="99"/>
      <x:c r="Z512" s="99"/>
    </x:row>
    <x:row r="513">
      <x:c r="A513" s="99"/>
      <x:c r="B513" s="99"/>
      <x:c r="C513" s="99"/>
      <x:c r="D513" s="99"/>
      <x:c r="E513" s="99"/>
      <x:c r="F513" s="99"/>
      <x:c r="G513" s="99"/>
      <x:c r="H513" s="99"/>
      <x:c r="I513" s="99"/>
      <x:c r="J513" s="99"/>
      <x:c r="K513" s="99"/>
      <x:c r="L513" s="99"/>
      <x:c r="M513" s="99"/>
      <x:c r="N513" s="99"/>
      <x:c r="O513" s="99"/>
      <x:c r="P513" s="99"/>
      <x:c r="Q513" s="99"/>
      <x:c r="R513" s="99"/>
      <x:c r="S513" s="99"/>
      <x:c r="T513" s="99"/>
      <x:c r="U513" s="99"/>
      <x:c r="V513" s="99"/>
      <x:c r="W513" s="99"/>
      <x:c r="X513" s="99"/>
      <x:c r="Y513" s="99"/>
      <x:c r="Z513" s="99"/>
    </x:row>
    <x:row r="514">
      <x:c r="A514" s="99"/>
      <x:c r="B514" s="99"/>
      <x:c r="C514" s="99"/>
      <x:c r="D514" s="99"/>
      <x:c r="E514" s="99"/>
      <x:c r="F514" s="99"/>
      <x:c r="G514" s="99"/>
      <x:c r="H514" s="99"/>
      <x:c r="I514" s="99"/>
      <x:c r="J514" s="99"/>
      <x:c r="K514" s="99"/>
      <x:c r="L514" s="99"/>
      <x:c r="M514" s="99"/>
      <x:c r="N514" s="99"/>
      <x:c r="O514" s="99"/>
      <x:c r="P514" s="99"/>
      <x:c r="Q514" s="99"/>
      <x:c r="R514" s="99"/>
      <x:c r="S514" s="99"/>
      <x:c r="T514" s="99"/>
      <x:c r="U514" s="99"/>
      <x:c r="V514" s="99"/>
      <x:c r="W514" s="99"/>
      <x:c r="X514" s="99"/>
      <x:c r="Y514" s="99"/>
      <x:c r="Z514" s="99"/>
    </x:row>
    <x:row r="515">
      <x:c r="A515" s="99"/>
      <x:c r="B515" s="99"/>
      <x:c r="C515" s="99"/>
      <x:c r="D515" s="99"/>
      <x:c r="E515" s="99"/>
      <x:c r="F515" s="99"/>
      <x:c r="G515" s="99"/>
      <x:c r="H515" s="99"/>
      <x:c r="I515" s="99"/>
      <x:c r="J515" s="99"/>
      <x:c r="K515" s="99"/>
      <x:c r="L515" s="99"/>
      <x:c r="M515" s="99"/>
      <x:c r="N515" s="99"/>
      <x:c r="O515" s="99"/>
      <x:c r="P515" s="99"/>
      <x:c r="Q515" s="99"/>
      <x:c r="R515" s="99"/>
      <x:c r="S515" s="99"/>
      <x:c r="T515" s="99"/>
      <x:c r="U515" s="99"/>
      <x:c r="V515" s="99"/>
      <x:c r="W515" s="99"/>
      <x:c r="X515" s="99"/>
      <x:c r="Y515" s="99"/>
      <x:c r="Z515" s="99"/>
    </x:row>
    <x:row r="516">
      <x:c r="A516" s="99"/>
      <x:c r="B516" s="99"/>
      <x:c r="C516" s="99"/>
      <x:c r="D516" s="99"/>
      <x:c r="E516" s="99"/>
      <x:c r="F516" s="99"/>
      <x:c r="G516" s="99"/>
      <x:c r="H516" s="99"/>
      <x:c r="I516" s="99"/>
      <x:c r="J516" s="99"/>
      <x:c r="K516" s="99"/>
      <x:c r="L516" s="99"/>
      <x:c r="M516" s="99"/>
      <x:c r="N516" s="99"/>
      <x:c r="O516" s="99"/>
      <x:c r="P516" s="99"/>
      <x:c r="Q516" s="99"/>
      <x:c r="R516" s="99"/>
      <x:c r="S516" s="99"/>
      <x:c r="T516" s="99"/>
      <x:c r="U516" s="99"/>
      <x:c r="V516" s="99"/>
      <x:c r="W516" s="99"/>
      <x:c r="X516" s="99"/>
      <x:c r="Y516" s="99"/>
      <x:c r="Z516" s="99"/>
    </x:row>
    <x:row r="517">
      <x:c r="A517" s="99"/>
      <x:c r="B517" s="99"/>
      <x:c r="C517" s="99"/>
      <x:c r="D517" s="99"/>
      <x:c r="E517" s="99"/>
      <x:c r="F517" s="99"/>
      <x:c r="G517" s="99"/>
      <x:c r="H517" s="99"/>
      <x:c r="I517" s="99"/>
      <x:c r="J517" s="99"/>
      <x:c r="K517" s="99"/>
      <x:c r="L517" s="99"/>
      <x:c r="M517" s="99"/>
      <x:c r="N517" s="99"/>
      <x:c r="O517" s="99"/>
      <x:c r="P517" s="99"/>
      <x:c r="Q517" s="99"/>
      <x:c r="R517" s="99"/>
      <x:c r="S517" s="99"/>
      <x:c r="T517" s="99"/>
      <x:c r="U517" s="99"/>
      <x:c r="V517" s="99"/>
      <x:c r="W517" s="99"/>
      <x:c r="X517" s="99"/>
      <x:c r="Y517" s="99"/>
      <x:c r="Z517" s="99"/>
    </x:row>
    <x:row r="518">
      <x:c r="A518" s="99"/>
      <x:c r="B518" s="99"/>
      <x:c r="C518" s="99"/>
      <x:c r="D518" s="99"/>
      <x:c r="E518" s="99"/>
      <x:c r="F518" s="99"/>
      <x:c r="G518" s="99"/>
      <x:c r="H518" s="99"/>
      <x:c r="I518" s="99"/>
      <x:c r="J518" s="99"/>
      <x:c r="K518" s="99"/>
      <x:c r="L518" s="99"/>
      <x:c r="M518" s="99"/>
      <x:c r="N518" s="99"/>
      <x:c r="O518" s="99"/>
      <x:c r="P518" s="99"/>
      <x:c r="Q518" s="99"/>
      <x:c r="R518" s="99"/>
      <x:c r="S518" s="99"/>
      <x:c r="T518" s="99"/>
      <x:c r="U518" s="99"/>
      <x:c r="V518" s="99"/>
      <x:c r="W518" s="99"/>
      <x:c r="X518" s="99"/>
      <x:c r="Y518" s="99"/>
      <x:c r="Z518" s="99"/>
    </x:row>
    <x:row r="519">
      <x:c r="A519" s="99"/>
      <x:c r="B519" s="99"/>
      <x:c r="C519" s="99"/>
      <x:c r="D519" s="99"/>
      <x:c r="E519" s="99"/>
      <x:c r="F519" s="99"/>
      <x:c r="G519" s="99"/>
      <x:c r="H519" s="99"/>
      <x:c r="I519" s="99"/>
      <x:c r="J519" s="99"/>
      <x:c r="K519" s="99"/>
      <x:c r="L519" s="99"/>
      <x:c r="M519" s="99"/>
      <x:c r="N519" s="99"/>
      <x:c r="O519" s="99"/>
      <x:c r="P519" s="99"/>
      <x:c r="Q519" s="99"/>
      <x:c r="R519" s="99"/>
      <x:c r="S519" s="99"/>
      <x:c r="T519" s="99"/>
      <x:c r="U519" s="99"/>
      <x:c r="V519" s="99"/>
      <x:c r="W519" s="99"/>
      <x:c r="X519" s="99"/>
      <x:c r="Y519" s="99"/>
      <x:c r="Z519" s="99"/>
    </x:row>
    <x:row r="520">
      <x:c r="A520" s="99"/>
      <x:c r="B520" s="99"/>
      <x:c r="C520" s="99"/>
      <x:c r="D520" s="99"/>
      <x:c r="E520" s="99"/>
      <x:c r="F520" s="99"/>
      <x:c r="G520" s="99"/>
      <x:c r="H520" s="99"/>
      <x:c r="I520" s="99"/>
      <x:c r="J520" s="99"/>
      <x:c r="K520" s="99"/>
      <x:c r="L520" s="99"/>
      <x:c r="M520" s="99"/>
      <x:c r="N520" s="99"/>
      <x:c r="O520" s="99"/>
      <x:c r="P520" s="99"/>
      <x:c r="Q520" s="99"/>
      <x:c r="R520" s="99"/>
      <x:c r="S520" s="99"/>
      <x:c r="T520" s="99"/>
      <x:c r="U520" s="99"/>
      <x:c r="V520" s="99"/>
      <x:c r="W520" s="99"/>
      <x:c r="X520" s="99"/>
      <x:c r="Y520" s="99"/>
      <x:c r="Z520" s="99"/>
    </x:row>
  </x:sheetData>
  <x:mergeCells>
    <x:mergeCell ref="A1:H1"/>
  </x:mergeCells>
  <x:conditionalFormatting sqref="H4:H15">
    <x:cfRule type="expression" dxfId="4" priority="1">
      <x:formula>$H4&lt;&gt;"OK"</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12" hidden="0" customWidth="1"/>
    <x:col min="3" max="3" width="18" hidden="0" customWidth="1"/>
    <x:col min="4" max="4" width="18" hidden="0" customWidth="1"/>
    <x:col min="5" max="5" width="14" hidden="0" customWidth="1"/>
    <x:col min="6" max="6" width="30" hidden="0" customWidth="1"/>
  </x:cols>
  <x:sheetData>
    <x:row r="1">
      <x:c r="A1" s="165" t="str">
        <x:v>SEGMENTATION — compare groups without rebuilding cross-tabs</x:v>
      </x:c>
      <x:c r="B1" s="165"/>
      <x:c r="C1" s="165"/>
      <x:c r="D1" s="165"/>
      <x:c r="E1" s="165"/>
      <x:c r="F1" s="165"/>
      <x:c r="G1" s="165"/>
      <x:c r="H1" s="165"/>
      <x:c r="I1" s="99"/>
      <x:c r="J1" s="99"/>
      <x:c r="K1" s="99"/>
      <x:c r="L1" s="99"/>
      <x:c r="M1" s="99"/>
      <x:c r="N1" s="99"/>
      <x:c r="O1" s="99"/>
      <x:c r="P1" s="99"/>
      <x:c r="Q1" s="99"/>
      <x:c r="R1" s="99"/>
      <x:c r="S1" s="99"/>
      <x:c r="T1" s="99"/>
      <x:c r="U1" s="99"/>
      <x:c r="V1" s="99"/>
      <x:c r="W1" s="99"/>
      <x:c r="X1" s="99"/>
      <x:c r="Y1" s="99"/>
      <x:c r="Z1" s="99"/>
    </x:row>
    <x:row r="2">
      <x:c r="A2" s="99"/>
      <x:c r="B2" s="99"/>
      <x:c r="C2" s="99"/>
      <x:c r="D2" s="99"/>
      <x:c r="E2" s="99"/>
      <x:c r="F2" s="99"/>
      <x:c r="G2" s="99"/>
      <x:c r="H2" s="99"/>
      <x:c r="I2" s="99"/>
      <x:c r="J2" s="99"/>
      <x:c r="K2" s="99"/>
      <x:c r="L2" s="99"/>
      <x:c r="M2" s="99"/>
      <x:c r="N2" s="99"/>
      <x:c r="O2" s="99"/>
      <x:c r="P2" s="99"/>
      <x:c r="Q2" s="99"/>
      <x:c r="R2" s="99"/>
      <x:c r="S2" s="99"/>
      <x:c r="T2" s="99"/>
      <x:c r="U2" s="99"/>
      <x:c r="V2" s="99"/>
      <x:c r="W2" s="99"/>
      <x:c r="X2" s="99"/>
      <x:c r="Y2" s="99"/>
      <x:c r="Z2" s="99"/>
    </x:row>
    <x:row r="3">
      <x:c r="A3" s="106" t="str">
        <x:v>Segment Field</x:v>
      </x:c>
      <x:c r="B3" s="102" t="str">
        <x:v>Segment A</x:v>
      </x:c>
      <x:c r="C3" s="99"/>
      <x:c r="D3" s="99"/>
      <x:c r="E3" s="99"/>
      <x:c r="F3" s="99"/>
      <x:c r="G3" s="99"/>
      <x:c r="H3" s="99"/>
      <x:c r="I3" s="99"/>
      <x:c r="J3" s="99"/>
      <x:c r="K3" s="99"/>
      <x:c r="L3" s="99"/>
      <x:c r="M3" s="99"/>
      <x:c r="N3" s="99"/>
      <x:c r="O3" s="99"/>
      <x:c r="P3" s="99"/>
      <x:c r="Q3" s="99"/>
      <x:c r="R3" s="99"/>
      <x:c r="S3" s="99"/>
      <x:c r="T3" s="99"/>
      <x:c r="U3" s="99"/>
      <x:c r="V3" s="99"/>
      <x:c r="W3" s="99"/>
      <x:c r="X3" s="99"/>
      <x:c r="Y3" s="99"/>
      <x:c r="Z3" s="99"/>
    </x:row>
    <x:row r="4">
      <x:c r="A4" s="106" t="str">
        <x:v>Interpretation</x:v>
      </x:c>
      <x:c r="B4" s="103" t="str">
        <x:v>Enter exact values from RESPONSE DATA Segment A or Segment B below.</x:v>
      </x:c>
      <x:c r="C4" s="99"/>
      <x:c r="D4" s="99"/>
      <x:c r="E4" s="99"/>
      <x:c r="F4" s="99"/>
      <x:c r="G4" s="99"/>
      <x:c r="H4" s="99"/>
      <x:c r="I4" s="99"/>
      <x:c r="J4" s="99"/>
      <x:c r="K4" s="99"/>
      <x:c r="L4" s="99"/>
      <x:c r="M4" s="99"/>
      <x:c r="N4" s="99"/>
      <x:c r="O4" s="99"/>
      <x:c r="P4" s="99"/>
      <x:c r="Q4" s="99"/>
      <x:c r="R4" s="99"/>
      <x:c r="S4" s="99"/>
      <x:c r="T4" s="99"/>
      <x:c r="U4" s="99"/>
      <x:c r="V4" s="99"/>
      <x:c r="W4" s="99"/>
      <x:c r="X4" s="99"/>
      <x:c r="Y4" s="99"/>
      <x:c r="Z4" s="99"/>
    </x:row>
    <x:row r="5">
      <x:c r="A5" s="106" t="str">
        <x:v>Minimum N</x:v>
      </x:c>
      <x:c r="B5" s="103" t="n">
        <x:f>SETUP!B12</x:f>
        <x:v>5</x:v>
      </x:c>
      <x:c r="C5" s="99"/>
      <x:c r="D5" s="99"/>
      <x:c r="E5" s="99"/>
      <x:c r="F5" s="99"/>
      <x:c r="G5" s="99"/>
      <x:c r="H5" s="99"/>
      <x:c r="I5" s="99"/>
      <x:c r="J5" s="99"/>
      <x:c r="K5" s="99"/>
      <x:c r="L5" s="99"/>
      <x:c r="M5" s="99"/>
      <x:c r="N5" s="99"/>
      <x:c r="O5" s="99"/>
      <x:c r="P5" s="99"/>
      <x:c r="Q5" s="99"/>
      <x:c r="R5" s="99"/>
      <x:c r="S5" s="99"/>
      <x:c r="T5" s="99"/>
      <x:c r="U5" s="99"/>
      <x:c r="V5" s="99"/>
      <x:c r="W5" s="99"/>
      <x:c r="X5" s="99"/>
      <x:c r="Y5" s="99"/>
      <x:c r="Z5" s="99"/>
    </x:row>
    <x:row r="6">
      <x:c r="A6" s="106" t="str">
        <x:v>Field QA</x:v>
      </x:c>
      <x:c r="B6" s="103" t="str">
        <x:f>IF(OR(B3="Segment A",B3="Segment B"),"OK","ACTION NEEDED")</x:f>
        <x:v>OK</x:v>
      </x:c>
      <x:c r="C6" s="99"/>
      <x:c r="D6" s="99"/>
      <x:c r="E6" s="99"/>
      <x:c r="F6" s="99"/>
      <x:c r="G6" s="99"/>
      <x:c r="H6" s="99"/>
      <x:c r="I6" s="99"/>
      <x:c r="J6" s="99"/>
      <x:c r="K6" s="99"/>
      <x:c r="L6" s="99"/>
      <x:c r="M6" s="99"/>
      <x:c r="N6" s="99"/>
      <x:c r="O6" s="99"/>
      <x:c r="P6" s="99"/>
      <x:c r="Q6" s="99"/>
      <x:c r="R6" s="99"/>
      <x:c r="S6" s="99"/>
      <x:c r="T6" s="99"/>
      <x:c r="U6" s="99"/>
      <x:c r="V6" s="99"/>
      <x:c r="W6" s="99"/>
      <x:c r="X6" s="99"/>
      <x:c r="Y6" s="99"/>
      <x:c r="Z6" s="99"/>
    </x:row>
    <x:row r="7">
      <x:c r="A7" s="99"/>
      <x:c r="B7" s="99"/>
      <x:c r="C7" s="99"/>
      <x:c r="D7" s="99"/>
      <x:c r="E7" s="99"/>
      <x:c r="F7" s="99"/>
      <x:c r="G7" s="99"/>
      <x:c r="H7" s="99"/>
      <x:c r="I7" s="99"/>
      <x:c r="J7" s="99"/>
      <x:c r="K7" s="99"/>
      <x:c r="L7" s="99"/>
      <x:c r="M7" s="99"/>
      <x:c r="N7" s="99"/>
      <x:c r="O7" s="99"/>
      <x:c r="P7" s="99"/>
      <x:c r="Q7" s="99"/>
      <x:c r="R7" s="99"/>
      <x:c r="S7" s="99"/>
      <x:c r="T7" s="99"/>
      <x:c r="U7" s="99"/>
      <x:c r="V7" s="99"/>
      <x:c r="W7" s="99"/>
      <x:c r="X7" s="99"/>
      <x:c r="Y7" s="99"/>
      <x:c r="Z7" s="99"/>
    </x:row>
    <x:row r="8">
      <x:c r="A8" s="99"/>
      <x:c r="B8" s="99"/>
      <x:c r="C8" s="99"/>
      <x:c r="D8" s="99"/>
      <x:c r="E8" s="99"/>
      <x:c r="F8" s="99"/>
      <x:c r="G8" s="99"/>
      <x:c r="H8" s="99"/>
      <x:c r="I8" s="99"/>
      <x:c r="J8" s="99"/>
      <x:c r="K8" s="99"/>
      <x:c r="L8" s="99"/>
      <x:c r="M8" s="99"/>
      <x:c r="N8" s="99"/>
      <x:c r="O8" s="99"/>
      <x:c r="P8" s="99"/>
      <x:c r="Q8" s="99"/>
      <x:c r="R8" s="99"/>
      <x:c r="S8" s="99"/>
      <x:c r="T8" s="99"/>
      <x:c r="U8" s="99"/>
      <x:c r="V8" s="99"/>
      <x:c r="W8" s="99"/>
      <x:c r="X8" s="99"/>
      <x:c r="Y8" s="99"/>
      <x:c r="Z8" s="99"/>
    </x:row>
    <x:row r="9">
      <x:c r="A9" s="101" t="str">
        <x:v>Segment Value</x:v>
      </x:c>
      <x:c r="B9" s="101" t="str">
        <x:v>Included N</x:v>
      </x:c>
      <x:c r="C9" s="101" t="str">
        <x:v>Mean Overall Score</x:v>
      </x:c>
      <x:c r="D9" s="101" t="str">
        <x:v>Difference vs Overall</x:v>
      </x:c>
      <x:c r="E9" s="101" t="str">
        <x:v>Segment QA</x:v>
      </x:c>
      <x:c r="F9" s="101" t="str">
        <x:v>Notes</x:v>
      </x:c>
      <x:c r="G9" s="99"/>
      <x:c r="H9" s="99"/>
      <x:c r="I9" s="99"/>
      <x:c r="J9" s="99"/>
      <x:c r="K9" s="99"/>
      <x:c r="L9" s="99"/>
      <x:c r="M9" s="99"/>
      <x:c r="N9" s="99"/>
      <x:c r="O9" s="99"/>
      <x:c r="P9" s="99"/>
      <x:c r="Q9" s="99"/>
      <x:c r="R9" s="99"/>
      <x:c r="S9" s="99"/>
      <x:c r="T9" s="99"/>
      <x:c r="U9" s="99"/>
      <x:c r="V9" s="99"/>
      <x:c r="W9" s="99"/>
      <x:c r="X9" s="99"/>
      <x:c r="Y9" s="99"/>
      <x:c r="Z9" s="99"/>
    </x:row>
    <x:row r="10">
      <x:c r="A10" s="102"/>
      <x:c r="B10" s="103" t="str">
        <x:f>IF(A10="","",IF($B$3="Segment A",COUNTIFS('RESPONSE DATA'!$K$4:$K$503,"Yes",'RESPONSE DATA'!$D$4:$D$503,A10),COUNTIFS('RESPONSE DATA'!$K$4:$K$503,"Yes",'RESPONSE DATA'!$E$4:$E$503,A10)))</x:f>
      </x:c>
      <x:c r="C10" s="139" t="str">
        <x:f>IF(A10="","",IF(B10=0,0,IF($B$3="Segment A",SUMIFS('RESPONSE DATA'!$Y$4:$Y$503,'RESPONSE DATA'!$K$4:$K$503,"Yes",'RESPONSE DATA'!$D$4:$D$503,A10)/B10,SUMIFS('RESPONSE DATA'!$Y$4:$Y$503,'RESPONSE DATA'!$K$4:$K$503,"Yes",'RESPONSE DATA'!$E$4:$E$503,A10)/B10)))</x:f>
      </x:c>
      <x:c r="D10" s="139" t="str">
        <x:f>IF(A10="","",C10-SETUP!$E$10)</x:f>
      </x:c>
      <x:c r="E10" s="103" t="str">
        <x:f>IF(A10="","",IF(B10&lt;SETUP!$B$12,"LOW N","OK"))</x:f>
      </x:c>
      <x:c r="F10" s="104"/>
      <x:c r="G10" s="99"/>
      <x:c r="H10" s="99"/>
      <x:c r="I10" s="99"/>
      <x:c r="J10" s="99"/>
      <x:c r="K10" s="99"/>
      <x:c r="L10" s="99"/>
      <x:c r="M10" s="99"/>
      <x:c r="N10" s="99"/>
      <x:c r="O10" s="99"/>
      <x:c r="P10" s="99"/>
      <x:c r="Q10" s="99"/>
      <x:c r="R10" s="99"/>
      <x:c r="S10" s="99"/>
      <x:c r="T10" s="99"/>
      <x:c r="U10" s="99"/>
      <x:c r="V10" s="99"/>
      <x:c r="W10" s="99"/>
      <x:c r="X10" s="99"/>
      <x:c r="Y10" s="99"/>
      <x:c r="Z10" s="99"/>
    </x:row>
    <x:row r="11">
      <x:c r="A11" s="102"/>
      <x:c r="B11" s="103" t="str">
        <x:f>IF(A11="","",IF($B$3="Segment A",COUNTIFS('RESPONSE DATA'!$K$4:$K$503,"Yes",'RESPONSE DATA'!$D$4:$D$503,A11),COUNTIFS('RESPONSE DATA'!$K$4:$K$503,"Yes",'RESPONSE DATA'!$E$4:$E$503,A11)))</x:f>
      </x:c>
      <x:c r="C11" s="139" t="str">
        <x:f>IF(A11="","",IF(B11=0,0,IF($B$3="Segment A",SUMIFS('RESPONSE DATA'!$Y$4:$Y$503,'RESPONSE DATA'!$K$4:$K$503,"Yes",'RESPONSE DATA'!$D$4:$D$503,A11)/B11,SUMIFS('RESPONSE DATA'!$Y$4:$Y$503,'RESPONSE DATA'!$K$4:$K$503,"Yes",'RESPONSE DATA'!$E$4:$E$503,A11)/B11)))</x:f>
      </x:c>
      <x:c r="D11" s="139" t="str">
        <x:f>IF(A11="","",C11-SETUP!$E$10)</x:f>
      </x:c>
      <x:c r="E11" s="103" t="str">
        <x:f>IF(A11="","",IF(B11&lt;SETUP!$B$12,"LOW N","OK"))</x:f>
      </x:c>
      <x:c r="F11" s="104"/>
      <x:c r="G11" s="99"/>
      <x:c r="H11" s="99"/>
      <x:c r="I11" s="99"/>
      <x:c r="J11" s="99"/>
      <x:c r="K11" s="99"/>
      <x:c r="L11" s="99"/>
      <x:c r="M11" s="99"/>
      <x:c r="N11" s="99"/>
      <x:c r="O11" s="99"/>
      <x:c r="P11" s="99"/>
      <x:c r="Q11" s="99"/>
      <x:c r="R11" s="99"/>
      <x:c r="S11" s="99"/>
      <x:c r="T11" s="99"/>
      <x:c r="U11" s="99"/>
      <x:c r="V11" s="99"/>
      <x:c r="W11" s="99"/>
      <x:c r="X11" s="99"/>
      <x:c r="Y11" s="99"/>
      <x:c r="Z11" s="99"/>
    </x:row>
    <x:row r="12">
      <x:c r="A12" s="102"/>
      <x:c r="B12" s="103" t="str">
        <x:f>IF(A12="","",IF($B$3="Segment A",COUNTIFS('RESPONSE DATA'!$K$4:$K$503,"Yes",'RESPONSE DATA'!$D$4:$D$503,A12),COUNTIFS('RESPONSE DATA'!$K$4:$K$503,"Yes",'RESPONSE DATA'!$E$4:$E$503,A12)))</x:f>
      </x:c>
      <x:c r="C12" s="139" t="str">
        <x:f>IF(A12="","",IF(B12=0,0,IF($B$3="Segment A",SUMIFS('RESPONSE DATA'!$Y$4:$Y$503,'RESPONSE DATA'!$K$4:$K$503,"Yes",'RESPONSE DATA'!$D$4:$D$503,A12)/B12,SUMIFS('RESPONSE DATA'!$Y$4:$Y$503,'RESPONSE DATA'!$K$4:$K$503,"Yes",'RESPONSE DATA'!$E$4:$E$503,A12)/B12)))</x:f>
      </x:c>
      <x:c r="D12" s="139" t="str">
        <x:f>IF(A12="","",C12-SETUP!$E$10)</x:f>
      </x:c>
      <x:c r="E12" s="103" t="str">
        <x:f>IF(A12="","",IF(B12&lt;SETUP!$B$12,"LOW N","OK"))</x:f>
      </x:c>
      <x:c r="F12" s="104"/>
      <x:c r="G12" s="99"/>
      <x:c r="H12" s="99"/>
      <x:c r="I12" s="99"/>
      <x:c r="J12" s="99"/>
      <x:c r="K12" s="99"/>
      <x:c r="L12" s="99"/>
      <x:c r="M12" s="99"/>
      <x:c r="N12" s="99"/>
      <x:c r="O12" s="99"/>
      <x:c r="P12" s="99"/>
      <x:c r="Q12" s="99"/>
      <x:c r="R12" s="99"/>
      <x:c r="S12" s="99"/>
      <x:c r="T12" s="99"/>
      <x:c r="U12" s="99"/>
      <x:c r="V12" s="99"/>
      <x:c r="W12" s="99"/>
      <x:c r="X12" s="99"/>
      <x:c r="Y12" s="99"/>
      <x:c r="Z12" s="99"/>
    </x:row>
    <x:row r="13">
      <x:c r="A13" s="102"/>
      <x:c r="B13" s="103" t="str">
        <x:f>IF(A13="","",IF($B$3="Segment A",COUNTIFS('RESPONSE DATA'!$K$4:$K$503,"Yes",'RESPONSE DATA'!$D$4:$D$503,A13),COUNTIFS('RESPONSE DATA'!$K$4:$K$503,"Yes",'RESPONSE DATA'!$E$4:$E$503,A13)))</x:f>
      </x:c>
      <x:c r="C13" s="139" t="str">
        <x:f>IF(A13="","",IF(B13=0,0,IF($B$3="Segment A",SUMIFS('RESPONSE DATA'!$Y$4:$Y$503,'RESPONSE DATA'!$K$4:$K$503,"Yes",'RESPONSE DATA'!$D$4:$D$503,A13)/B13,SUMIFS('RESPONSE DATA'!$Y$4:$Y$503,'RESPONSE DATA'!$K$4:$K$503,"Yes",'RESPONSE DATA'!$E$4:$E$503,A13)/B13)))</x:f>
      </x:c>
      <x:c r="D13" s="139" t="str">
        <x:f>IF(A13="","",C13-SETUP!$E$10)</x:f>
      </x:c>
      <x:c r="E13" s="103" t="str">
        <x:f>IF(A13="","",IF(B13&lt;SETUP!$B$12,"LOW N","OK"))</x:f>
      </x:c>
      <x:c r="F13" s="104"/>
      <x:c r="G13" s="99"/>
      <x:c r="H13" s="99"/>
      <x:c r="I13" s="99"/>
      <x:c r="J13" s="99"/>
      <x:c r="K13" s="99"/>
      <x:c r="L13" s="99"/>
      <x:c r="M13" s="99"/>
      <x:c r="N13" s="99"/>
      <x:c r="O13" s="99"/>
      <x:c r="P13" s="99"/>
      <x:c r="Q13" s="99"/>
      <x:c r="R13" s="99"/>
      <x:c r="S13" s="99"/>
      <x:c r="T13" s="99"/>
      <x:c r="U13" s="99"/>
      <x:c r="V13" s="99"/>
      <x:c r="W13" s="99"/>
      <x:c r="X13" s="99"/>
      <x:c r="Y13" s="99"/>
      <x:c r="Z13" s="99"/>
    </x:row>
    <x:row r="14">
      <x:c r="A14" s="102"/>
      <x:c r="B14" s="103" t="str">
        <x:f>IF(A14="","",IF($B$3="Segment A",COUNTIFS('RESPONSE DATA'!$K$4:$K$503,"Yes",'RESPONSE DATA'!$D$4:$D$503,A14),COUNTIFS('RESPONSE DATA'!$K$4:$K$503,"Yes",'RESPONSE DATA'!$E$4:$E$503,A14)))</x:f>
      </x:c>
      <x:c r="C14" s="139" t="str">
        <x:f>IF(A14="","",IF(B14=0,0,IF($B$3="Segment A",SUMIFS('RESPONSE DATA'!$Y$4:$Y$503,'RESPONSE DATA'!$K$4:$K$503,"Yes",'RESPONSE DATA'!$D$4:$D$503,A14)/B14,SUMIFS('RESPONSE DATA'!$Y$4:$Y$503,'RESPONSE DATA'!$K$4:$K$503,"Yes",'RESPONSE DATA'!$E$4:$E$503,A14)/B14)))</x:f>
      </x:c>
      <x:c r="D14" s="139" t="str">
        <x:f>IF(A14="","",C14-SETUP!$E$10)</x:f>
      </x:c>
      <x:c r="E14" s="103" t="str">
        <x:f>IF(A14="","",IF(B14&lt;SETUP!$B$12,"LOW N","OK"))</x:f>
      </x:c>
      <x:c r="F14" s="104"/>
      <x:c r="G14" s="99"/>
      <x:c r="H14" s="99"/>
      <x:c r="I14" s="99"/>
      <x:c r="J14" s="99"/>
      <x:c r="K14" s="99"/>
      <x:c r="L14" s="99"/>
      <x:c r="M14" s="99"/>
      <x:c r="N14" s="99"/>
      <x:c r="O14" s="99"/>
      <x:c r="P14" s="99"/>
      <x:c r="Q14" s="99"/>
      <x:c r="R14" s="99"/>
      <x:c r="S14" s="99"/>
      <x:c r="T14" s="99"/>
      <x:c r="U14" s="99"/>
      <x:c r="V14" s="99"/>
      <x:c r="W14" s="99"/>
      <x:c r="X14" s="99"/>
      <x:c r="Y14" s="99"/>
      <x:c r="Z14" s="99"/>
    </x:row>
    <x:row r="15">
      <x:c r="A15" s="102"/>
      <x:c r="B15" s="103" t="str">
        <x:f>IF(A15="","",IF($B$3="Segment A",COUNTIFS('RESPONSE DATA'!$K$4:$K$503,"Yes",'RESPONSE DATA'!$D$4:$D$503,A15),COUNTIFS('RESPONSE DATA'!$K$4:$K$503,"Yes",'RESPONSE DATA'!$E$4:$E$503,A15)))</x:f>
      </x:c>
      <x:c r="C15" s="139" t="str">
        <x:f>IF(A15="","",IF(B15=0,0,IF($B$3="Segment A",SUMIFS('RESPONSE DATA'!$Y$4:$Y$503,'RESPONSE DATA'!$K$4:$K$503,"Yes",'RESPONSE DATA'!$D$4:$D$503,A15)/B15,SUMIFS('RESPONSE DATA'!$Y$4:$Y$503,'RESPONSE DATA'!$K$4:$K$503,"Yes",'RESPONSE DATA'!$E$4:$E$503,A15)/B15)))</x:f>
      </x:c>
      <x:c r="D15" s="139" t="str">
        <x:f>IF(A15="","",C15-SETUP!$E$10)</x:f>
      </x:c>
      <x:c r="E15" s="103" t="str">
        <x:f>IF(A15="","",IF(B15&lt;SETUP!$B$12,"LOW N","OK"))</x:f>
      </x:c>
      <x:c r="F15" s="104"/>
      <x:c r="G15" s="99"/>
      <x:c r="H15" s="99"/>
      <x:c r="I15" s="99"/>
      <x:c r="J15" s="99"/>
      <x:c r="K15" s="99"/>
      <x:c r="L15" s="99"/>
      <x:c r="M15" s="99"/>
      <x:c r="N15" s="99"/>
      <x:c r="O15" s="99"/>
      <x:c r="P15" s="99"/>
      <x:c r="Q15" s="99"/>
      <x:c r="R15" s="99"/>
      <x:c r="S15" s="99"/>
      <x:c r="T15" s="99"/>
      <x:c r="U15" s="99"/>
      <x:c r="V15" s="99"/>
      <x:c r="W15" s="99"/>
      <x:c r="X15" s="99"/>
      <x:c r="Y15" s="99"/>
      <x:c r="Z15" s="99"/>
    </x:row>
    <x:row r="16">
      <x:c r="A16" s="102"/>
      <x:c r="B16" s="103" t="str">
        <x:f>IF(A16="","",IF($B$3="Segment A",COUNTIFS('RESPONSE DATA'!$K$4:$K$503,"Yes",'RESPONSE DATA'!$D$4:$D$503,A16),COUNTIFS('RESPONSE DATA'!$K$4:$K$503,"Yes",'RESPONSE DATA'!$E$4:$E$503,A16)))</x:f>
      </x:c>
      <x:c r="C16" s="139" t="str">
        <x:f>IF(A16="","",IF(B16=0,0,IF($B$3="Segment A",SUMIFS('RESPONSE DATA'!$Y$4:$Y$503,'RESPONSE DATA'!$K$4:$K$503,"Yes",'RESPONSE DATA'!$D$4:$D$503,A16)/B16,SUMIFS('RESPONSE DATA'!$Y$4:$Y$503,'RESPONSE DATA'!$K$4:$K$503,"Yes",'RESPONSE DATA'!$E$4:$E$503,A16)/B16)))</x:f>
      </x:c>
      <x:c r="D16" s="139" t="str">
        <x:f>IF(A16="","",C16-SETUP!$E$10)</x:f>
      </x:c>
      <x:c r="E16" s="103" t="str">
        <x:f>IF(A16="","",IF(B16&lt;SETUP!$B$12,"LOW N","OK"))</x:f>
      </x:c>
      <x:c r="F16" s="104"/>
      <x:c r="G16" s="99"/>
      <x:c r="H16" s="99"/>
      <x:c r="I16" s="99"/>
      <x:c r="J16" s="99"/>
      <x:c r="K16" s="99"/>
      <x:c r="L16" s="99"/>
      <x:c r="M16" s="99"/>
      <x:c r="N16" s="99"/>
      <x:c r="O16" s="99"/>
      <x:c r="P16" s="99"/>
      <x:c r="Q16" s="99"/>
      <x:c r="R16" s="99"/>
      <x:c r="S16" s="99"/>
      <x:c r="T16" s="99"/>
      <x:c r="U16" s="99"/>
      <x:c r="V16" s="99"/>
      <x:c r="W16" s="99"/>
      <x:c r="X16" s="99"/>
      <x:c r="Y16" s="99"/>
      <x:c r="Z16" s="99"/>
    </x:row>
    <x:row r="17">
      <x:c r="A17" s="102"/>
      <x:c r="B17" s="103" t="str">
        <x:f>IF(A17="","",IF($B$3="Segment A",COUNTIFS('RESPONSE DATA'!$K$4:$K$503,"Yes",'RESPONSE DATA'!$D$4:$D$503,A17),COUNTIFS('RESPONSE DATA'!$K$4:$K$503,"Yes",'RESPONSE DATA'!$E$4:$E$503,A17)))</x:f>
      </x:c>
      <x:c r="C17" s="139" t="str">
        <x:f>IF(A17="","",IF(B17=0,0,IF($B$3="Segment A",SUMIFS('RESPONSE DATA'!$Y$4:$Y$503,'RESPONSE DATA'!$K$4:$K$503,"Yes",'RESPONSE DATA'!$D$4:$D$503,A17)/B17,SUMIFS('RESPONSE DATA'!$Y$4:$Y$503,'RESPONSE DATA'!$K$4:$K$503,"Yes",'RESPONSE DATA'!$E$4:$E$503,A17)/B17)))</x:f>
      </x:c>
      <x:c r="D17" s="139" t="str">
        <x:f>IF(A17="","",C17-SETUP!$E$10)</x:f>
      </x:c>
      <x:c r="E17" s="103" t="str">
        <x:f>IF(A17="","",IF(B17&lt;SETUP!$B$12,"LOW N","OK"))</x:f>
      </x:c>
      <x:c r="F17" s="104"/>
      <x:c r="G17" s="99"/>
      <x:c r="H17" s="99"/>
      <x:c r="I17" s="99"/>
      <x:c r="J17" s="99"/>
      <x:c r="K17" s="99"/>
      <x:c r="L17" s="99"/>
      <x:c r="M17" s="99"/>
      <x:c r="N17" s="99"/>
      <x:c r="O17" s="99"/>
      <x:c r="P17" s="99"/>
      <x:c r="Q17" s="99"/>
      <x:c r="R17" s="99"/>
      <x:c r="S17" s="99"/>
      <x:c r="T17" s="99"/>
      <x:c r="U17" s="99"/>
      <x:c r="V17" s="99"/>
      <x:c r="W17" s="99"/>
      <x:c r="X17" s="99"/>
      <x:c r="Y17" s="99"/>
      <x:c r="Z17" s="99"/>
    </x:row>
    <x:row r="18">
      <x:c r="A18" s="102"/>
      <x:c r="B18" s="103" t="str">
        <x:f>IF(A18="","",IF($B$3="Segment A",COUNTIFS('RESPONSE DATA'!$K$4:$K$503,"Yes",'RESPONSE DATA'!$D$4:$D$503,A18),COUNTIFS('RESPONSE DATA'!$K$4:$K$503,"Yes",'RESPONSE DATA'!$E$4:$E$503,A18)))</x:f>
      </x:c>
      <x:c r="C18" s="139" t="str">
        <x:f>IF(A18="","",IF(B18=0,0,IF($B$3="Segment A",SUMIFS('RESPONSE DATA'!$Y$4:$Y$503,'RESPONSE DATA'!$K$4:$K$503,"Yes",'RESPONSE DATA'!$D$4:$D$503,A18)/B18,SUMIFS('RESPONSE DATA'!$Y$4:$Y$503,'RESPONSE DATA'!$K$4:$K$503,"Yes",'RESPONSE DATA'!$E$4:$E$503,A18)/B18)))</x:f>
      </x:c>
      <x:c r="D18" s="139" t="str">
        <x:f>IF(A18="","",C18-SETUP!$E$10)</x:f>
      </x:c>
      <x:c r="E18" s="103" t="str">
        <x:f>IF(A18="","",IF(B18&lt;SETUP!$B$12,"LOW N","OK"))</x:f>
      </x:c>
      <x:c r="F18" s="104"/>
      <x:c r="G18" s="99"/>
      <x:c r="H18" s="99"/>
      <x:c r="I18" s="99"/>
      <x:c r="J18" s="99"/>
      <x:c r="K18" s="99"/>
      <x:c r="L18" s="99"/>
      <x:c r="M18" s="99"/>
      <x:c r="N18" s="99"/>
      <x:c r="O18" s="99"/>
      <x:c r="P18" s="99"/>
      <x:c r="Q18" s="99"/>
      <x:c r="R18" s="99"/>
      <x:c r="S18" s="99"/>
      <x:c r="T18" s="99"/>
      <x:c r="U18" s="99"/>
      <x:c r="V18" s="99"/>
      <x:c r="W18" s="99"/>
      <x:c r="X18" s="99"/>
      <x:c r="Y18" s="99"/>
      <x:c r="Z18" s="99"/>
    </x:row>
    <x:row r="19">
      <x:c r="A19" s="102"/>
      <x:c r="B19" s="103" t="str">
        <x:f>IF(A19="","",IF($B$3="Segment A",COUNTIFS('RESPONSE DATA'!$K$4:$K$503,"Yes",'RESPONSE DATA'!$D$4:$D$503,A19),COUNTIFS('RESPONSE DATA'!$K$4:$K$503,"Yes",'RESPONSE DATA'!$E$4:$E$503,A19)))</x:f>
      </x:c>
      <x:c r="C19" s="139" t="str">
        <x:f>IF(A19="","",IF(B19=0,0,IF($B$3="Segment A",SUMIFS('RESPONSE DATA'!$Y$4:$Y$503,'RESPONSE DATA'!$K$4:$K$503,"Yes",'RESPONSE DATA'!$D$4:$D$503,A19)/B19,SUMIFS('RESPONSE DATA'!$Y$4:$Y$503,'RESPONSE DATA'!$K$4:$K$503,"Yes",'RESPONSE DATA'!$E$4:$E$503,A19)/B19)))</x:f>
      </x:c>
      <x:c r="D19" s="139" t="str">
        <x:f>IF(A19="","",C19-SETUP!$E$10)</x:f>
      </x:c>
      <x:c r="E19" s="103" t="str">
        <x:f>IF(A19="","",IF(B19&lt;SETUP!$B$12,"LOW N","OK"))</x:f>
      </x:c>
      <x:c r="F19" s="104"/>
      <x:c r="G19" s="99"/>
      <x:c r="H19" s="99"/>
      <x:c r="I19" s="99"/>
      <x:c r="J19" s="99"/>
      <x:c r="K19" s="99"/>
      <x:c r="L19" s="99"/>
      <x:c r="M19" s="99"/>
      <x:c r="N19" s="99"/>
      <x:c r="O19" s="99"/>
      <x:c r="P19" s="99"/>
      <x:c r="Q19" s="99"/>
      <x:c r="R19" s="99"/>
      <x:c r="S19" s="99"/>
      <x:c r="T19" s="99"/>
      <x:c r="U19" s="99"/>
      <x:c r="V19" s="99"/>
      <x:c r="W19" s="99"/>
      <x:c r="X19" s="99"/>
      <x:c r="Y19" s="99"/>
      <x:c r="Z19" s="99"/>
    </x:row>
    <x:row r="20">
      <x:c r="A20" s="99"/>
      <x:c r="B20" s="99"/>
      <x:c r="C20" s="99"/>
      <x:c r="D20" s="99"/>
      <x:c r="E20" s="99"/>
      <x:c r="F20" s="99"/>
      <x:c r="G20" s="99"/>
      <x:c r="H20" s="99"/>
      <x:c r="I20" s="99"/>
      <x:c r="J20" s="99"/>
      <x:c r="K20" s="99"/>
      <x:c r="L20" s="99"/>
      <x:c r="M20" s="99"/>
      <x:c r="N20" s="99"/>
      <x:c r="O20" s="99"/>
      <x:c r="P20" s="99"/>
      <x:c r="Q20" s="99"/>
      <x:c r="R20" s="99"/>
      <x:c r="S20" s="99"/>
      <x:c r="T20" s="99"/>
      <x:c r="U20" s="99"/>
      <x:c r="V20" s="99"/>
      <x:c r="W20" s="99"/>
      <x:c r="X20" s="99"/>
      <x:c r="Y20" s="99"/>
      <x:c r="Z20" s="99"/>
    </x:row>
    <x:row r="21">
      <x:c r="A21" s="99"/>
      <x:c r="B21" s="99"/>
      <x:c r="C21" s="99"/>
      <x:c r="D21" s="99"/>
      <x:c r="E21" s="99"/>
      <x:c r="F21" s="99"/>
      <x:c r="G21" s="99"/>
      <x:c r="H21" s="99"/>
      <x:c r="I21" s="99"/>
      <x:c r="J21" s="99"/>
      <x:c r="K21" s="99"/>
      <x:c r="L21" s="99"/>
      <x:c r="M21" s="99"/>
      <x:c r="N21" s="99"/>
      <x:c r="O21" s="99"/>
      <x:c r="P21" s="99"/>
      <x:c r="Q21" s="99"/>
      <x:c r="R21" s="99"/>
      <x:c r="S21" s="99"/>
      <x:c r="T21" s="99"/>
      <x:c r="U21" s="99"/>
      <x:c r="V21" s="99"/>
      <x:c r="W21" s="99"/>
      <x:c r="X21" s="99"/>
      <x:c r="Y21" s="99"/>
      <x:c r="Z21" s="99"/>
    </x:row>
    <x:row r="22">
      <x:c r="A22" s="99"/>
      <x:c r="B22" s="99"/>
      <x:c r="C22" s="99"/>
      <x:c r="D22" s="99"/>
      <x:c r="E22" s="99"/>
      <x:c r="F22" s="99"/>
      <x:c r="G22" s="99"/>
      <x:c r="H22" s="99"/>
      <x:c r="I22" s="99"/>
      <x:c r="J22" s="99"/>
      <x:c r="K22" s="99"/>
      <x:c r="L22" s="99"/>
      <x:c r="M22" s="99"/>
      <x:c r="N22" s="99"/>
      <x:c r="O22" s="99"/>
      <x:c r="P22" s="99"/>
      <x:c r="Q22" s="99"/>
      <x:c r="R22" s="99"/>
      <x:c r="S22" s="99"/>
      <x:c r="T22" s="99"/>
      <x:c r="U22" s="99"/>
      <x:c r="V22" s="99"/>
      <x:c r="W22" s="99"/>
      <x:c r="X22" s="99"/>
      <x:c r="Y22" s="99"/>
      <x:c r="Z22" s="99"/>
    </x:row>
    <x:row r="23">
      <x:c r="A23" s="99"/>
      <x:c r="B23" s="99"/>
      <x:c r="C23" s="99"/>
      <x:c r="D23" s="99"/>
      <x:c r="E23" s="99"/>
      <x:c r="F23" s="99"/>
      <x:c r="G23" s="99"/>
      <x:c r="H23" s="99"/>
      <x:c r="I23" s="99"/>
      <x:c r="J23" s="99"/>
      <x:c r="K23" s="99"/>
      <x:c r="L23" s="99"/>
      <x:c r="M23" s="99"/>
      <x:c r="N23" s="99"/>
      <x:c r="O23" s="99"/>
      <x:c r="P23" s="99"/>
      <x:c r="Q23" s="99"/>
      <x:c r="R23" s="99"/>
      <x:c r="S23" s="99"/>
      <x:c r="T23" s="99"/>
      <x:c r="U23" s="99"/>
      <x:c r="V23" s="99"/>
      <x:c r="W23" s="99"/>
      <x:c r="X23" s="99"/>
      <x:c r="Y23" s="99"/>
      <x:c r="Z23" s="99"/>
    </x:row>
    <x:row r="24">
      <x:c r="A24" s="99"/>
      <x:c r="B24" s="99"/>
      <x:c r="C24" s="99"/>
      <x:c r="D24" s="99"/>
      <x:c r="E24" s="99"/>
      <x:c r="F24" s="99"/>
      <x:c r="G24" s="99"/>
      <x:c r="H24" s="99"/>
      <x:c r="I24" s="99"/>
      <x:c r="J24" s="99"/>
      <x:c r="K24" s="99"/>
      <x:c r="L24" s="99"/>
      <x:c r="M24" s="99"/>
      <x:c r="N24" s="99"/>
      <x:c r="O24" s="99"/>
      <x:c r="P24" s="99"/>
      <x:c r="Q24" s="99"/>
      <x:c r="R24" s="99"/>
      <x:c r="S24" s="99"/>
      <x:c r="T24" s="99"/>
      <x:c r="U24" s="99"/>
      <x:c r="V24" s="99"/>
      <x:c r="W24" s="99"/>
      <x:c r="X24" s="99"/>
      <x:c r="Y24" s="99"/>
      <x:c r="Z24" s="99"/>
    </x:row>
    <x:row r="25">
      <x:c r="A25" s="99"/>
      <x:c r="B25" s="99"/>
      <x:c r="C25" s="99"/>
      <x:c r="D25" s="99"/>
      <x:c r="E25" s="99"/>
      <x:c r="F25" s="99"/>
      <x:c r="G25" s="99"/>
      <x:c r="H25" s="99"/>
      <x:c r="I25" s="99"/>
      <x:c r="J25" s="99"/>
      <x:c r="K25" s="99"/>
      <x:c r="L25" s="99"/>
      <x:c r="M25" s="99"/>
      <x:c r="N25" s="99"/>
      <x:c r="O25" s="99"/>
      <x:c r="P25" s="99"/>
      <x:c r="Q25" s="99"/>
      <x:c r="R25" s="99"/>
      <x:c r="S25" s="99"/>
      <x:c r="T25" s="99"/>
      <x:c r="U25" s="99"/>
      <x:c r="V25" s="99"/>
      <x:c r="W25" s="99"/>
      <x:c r="X25" s="99"/>
      <x:c r="Y25" s="99"/>
      <x:c r="Z25" s="99"/>
    </x:row>
    <x:row r="26">
      <x:c r="A26" s="99"/>
      <x:c r="B26" s="99"/>
      <x:c r="C26" s="99"/>
      <x:c r="D26" s="99"/>
      <x:c r="E26" s="99"/>
      <x:c r="F26" s="99"/>
      <x:c r="G26" s="99"/>
      <x:c r="H26" s="99"/>
      <x:c r="I26" s="99"/>
      <x:c r="J26" s="99"/>
      <x:c r="K26" s="99"/>
      <x:c r="L26" s="99"/>
      <x:c r="M26" s="99"/>
      <x:c r="N26" s="99"/>
      <x:c r="O26" s="99"/>
      <x:c r="P26" s="99"/>
      <x:c r="Q26" s="99"/>
      <x:c r="R26" s="99"/>
      <x:c r="S26" s="99"/>
      <x:c r="T26" s="99"/>
      <x:c r="U26" s="99"/>
      <x:c r="V26" s="99"/>
      <x:c r="W26" s="99"/>
      <x:c r="X26" s="99"/>
      <x:c r="Y26" s="99"/>
      <x:c r="Z26" s="99"/>
    </x:row>
    <x:row r="27">
      <x:c r="A27" s="99"/>
      <x:c r="B27" s="99"/>
      <x:c r="C27" s="99"/>
      <x:c r="D27" s="99"/>
      <x:c r="E27" s="99"/>
      <x:c r="F27" s="99"/>
      <x:c r="G27" s="99"/>
      <x:c r="H27" s="99"/>
      <x:c r="I27" s="99"/>
      <x:c r="J27" s="99"/>
      <x:c r="K27" s="99"/>
      <x:c r="L27" s="99"/>
      <x:c r="M27" s="99"/>
      <x:c r="N27" s="99"/>
      <x:c r="O27" s="99"/>
      <x:c r="P27" s="99"/>
      <x:c r="Q27" s="99"/>
      <x:c r="R27" s="99"/>
      <x:c r="S27" s="99"/>
      <x:c r="T27" s="99"/>
      <x:c r="U27" s="99"/>
      <x:c r="V27" s="99"/>
      <x:c r="W27" s="99"/>
      <x:c r="X27" s="99"/>
      <x:c r="Y27" s="99"/>
      <x:c r="Z27" s="99"/>
    </x:row>
    <x:row r="28">
      <x:c r="A28" s="99"/>
      <x:c r="B28" s="99"/>
      <x:c r="C28" s="99"/>
      <x:c r="D28" s="99"/>
      <x:c r="E28" s="99"/>
      <x:c r="F28" s="99"/>
      <x:c r="G28" s="99"/>
      <x:c r="H28" s="99"/>
      <x:c r="I28" s="99"/>
      <x:c r="J28" s="99"/>
      <x:c r="K28" s="99"/>
      <x:c r="L28" s="99"/>
      <x:c r="M28" s="99"/>
      <x:c r="N28" s="99"/>
      <x:c r="O28" s="99"/>
      <x:c r="P28" s="99"/>
      <x:c r="Q28" s="99"/>
      <x:c r="R28" s="99"/>
      <x:c r="S28" s="99"/>
      <x:c r="T28" s="99"/>
      <x:c r="U28" s="99"/>
      <x:c r="V28" s="99"/>
      <x:c r="W28" s="99"/>
      <x:c r="X28" s="99"/>
      <x:c r="Y28" s="99"/>
      <x:c r="Z28" s="99"/>
    </x:row>
    <x:row r="29">
      <x:c r="A29" s="99"/>
      <x:c r="B29" s="99"/>
      <x:c r="C29" s="99"/>
      <x:c r="D29" s="99"/>
      <x:c r="E29" s="99"/>
      <x:c r="F29" s="99"/>
      <x:c r="G29" s="99"/>
      <x:c r="H29" s="99"/>
      <x:c r="I29" s="99"/>
      <x:c r="J29" s="99"/>
      <x:c r="K29" s="99"/>
      <x:c r="L29" s="99"/>
      <x:c r="M29" s="99"/>
      <x:c r="N29" s="99"/>
      <x:c r="O29" s="99"/>
      <x:c r="P29" s="99"/>
      <x:c r="Q29" s="99"/>
      <x:c r="R29" s="99"/>
      <x:c r="S29" s="99"/>
      <x:c r="T29" s="99"/>
      <x:c r="U29" s="99"/>
      <x:c r="V29" s="99"/>
      <x:c r="W29" s="99"/>
      <x:c r="X29" s="99"/>
      <x:c r="Y29" s="99"/>
      <x:c r="Z29" s="99"/>
    </x:row>
    <x:row r="30">
      <x:c r="A30" s="99"/>
      <x:c r="B30" s="99"/>
      <x:c r="C30" s="99"/>
      <x:c r="D30" s="99"/>
      <x:c r="E30" s="99"/>
      <x:c r="F30" s="99"/>
      <x:c r="G30" s="99"/>
      <x:c r="H30" s="99"/>
      <x:c r="I30" s="99"/>
      <x:c r="J30" s="99"/>
      <x:c r="K30" s="99"/>
      <x:c r="L30" s="99"/>
      <x:c r="M30" s="99"/>
      <x:c r="N30" s="99"/>
      <x:c r="O30" s="99"/>
      <x:c r="P30" s="99"/>
      <x:c r="Q30" s="99"/>
      <x:c r="R30" s="99"/>
      <x:c r="S30" s="99"/>
      <x:c r="T30" s="99"/>
      <x:c r="U30" s="99"/>
      <x:c r="V30" s="99"/>
      <x:c r="W30" s="99"/>
      <x:c r="X30" s="99"/>
      <x:c r="Y30" s="99"/>
      <x:c r="Z30" s="99"/>
    </x:row>
    <x:row r="31">
      <x:c r="A31" s="99"/>
      <x:c r="B31" s="99"/>
      <x:c r="C31" s="99"/>
      <x:c r="D31" s="99"/>
      <x:c r="E31" s="99"/>
      <x:c r="F31" s="99"/>
      <x:c r="G31" s="99"/>
      <x:c r="H31" s="99"/>
      <x:c r="I31" s="99"/>
      <x:c r="J31" s="99"/>
      <x:c r="K31" s="99"/>
      <x:c r="L31" s="99"/>
      <x:c r="M31" s="99"/>
      <x:c r="N31" s="99"/>
      <x:c r="O31" s="99"/>
      <x:c r="P31" s="99"/>
      <x:c r="Q31" s="99"/>
      <x:c r="R31" s="99"/>
      <x:c r="S31" s="99"/>
      <x:c r="T31" s="99"/>
      <x:c r="U31" s="99"/>
      <x:c r="V31" s="99"/>
      <x:c r="W31" s="99"/>
      <x:c r="X31" s="99"/>
      <x:c r="Y31" s="99"/>
      <x:c r="Z31" s="99"/>
    </x:row>
    <x:row r="32">
      <x:c r="A32" s="99"/>
      <x:c r="B32" s="99"/>
      <x:c r="C32" s="99"/>
      <x:c r="D32" s="99"/>
      <x:c r="E32" s="99"/>
      <x:c r="F32" s="99"/>
      <x:c r="G32" s="99"/>
      <x:c r="H32" s="99"/>
      <x:c r="I32" s="99"/>
      <x:c r="J32" s="99"/>
      <x:c r="K32" s="99"/>
      <x:c r="L32" s="99"/>
      <x:c r="M32" s="99"/>
      <x:c r="N32" s="99"/>
      <x:c r="O32" s="99"/>
      <x:c r="P32" s="99"/>
      <x:c r="Q32" s="99"/>
      <x:c r="R32" s="99"/>
      <x:c r="S32" s="99"/>
      <x:c r="T32" s="99"/>
      <x:c r="U32" s="99"/>
      <x:c r="V32" s="99"/>
      <x:c r="W32" s="99"/>
      <x:c r="X32" s="99"/>
      <x:c r="Y32" s="99"/>
      <x:c r="Z32" s="99"/>
    </x:row>
    <x:row r="33">
      <x:c r="A33" s="99"/>
      <x:c r="B33" s="99"/>
      <x:c r="C33" s="99"/>
      <x:c r="D33" s="99"/>
      <x:c r="E33" s="99"/>
      <x:c r="F33" s="99"/>
      <x:c r="G33" s="99"/>
      <x:c r="H33" s="99"/>
      <x:c r="I33" s="99"/>
      <x:c r="J33" s="99"/>
      <x:c r="K33" s="99"/>
      <x:c r="L33" s="99"/>
      <x:c r="M33" s="99"/>
      <x:c r="N33" s="99"/>
      <x:c r="O33" s="99"/>
      <x:c r="P33" s="99"/>
      <x:c r="Q33" s="99"/>
      <x:c r="R33" s="99"/>
      <x:c r="S33" s="99"/>
      <x:c r="T33" s="99"/>
      <x:c r="U33" s="99"/>
      <x:c r="V33" s="99"/>
      <x:c r="W33" s="99"/>
      <x:c r="X33" s="99"/>
      <x:c r="Y33" s="99"/>
      <x:c r="Z33" s="99"/>
    </x:row>
    <x:row r="34">
      <x:c r="A34" s="99"/>
      <x:c r="B34" s="99"/>
      <x:c r="C34" s="99"/>
      <x:c r="D34" s="99"/>
      <x:c r="E34" s="99"/>
      <x:c r="F34" s="99"/>
      <x:c r="G34" s="99"/>
      <x:c r="H34" s="99"/>
      <x:c r="I34" s="99"/>
      <x:c r="J34" s="99"/>
      <x:c r="K34" s="99"/>
      <x:c r="L34" s="99"/>
      <x:c r="M34" s="99"/>
      <x:c r="N34" s="99"/>
      <x:c r="O34" s="99"/>
      <x:c r="P34" s="99"/>
      <x:c r="Q34" s="99"/>
      <x:c r="R34" s="99"/>
      <x:c r="S34" s="99"/>
      <x:c r="T34" s="99"/>
      <x:c r="U34" s="99"/>
      <x:c r="V34" s="99"/>
      <x:c r="W34" s="99"/>
      <x:c r="X34" s="99"/>
      <x:c r="Y34" s="99"/>
      <x:c r="Z34" s="99"/>
    </x:row>
    <x:row r="35">
      <x:c r="A35" s="99"/>
      <x:c r="B35" s="99"/>
      <x:c r="C35" s="99"/>
      <x:c r="D35" s="99"/>
      <x:c r="E35" s="99"/>
      <x:c r="F35" s="99"/>
      <x:c r="G35" s="99"/>
      <x:c r="H35" s="99"/>
      <x:c r="I35" s="99"/>
      <x:c r="J35" s="99"/>
      <x:c r="K35" s="99"/>
      <x:c r="L35" s="99"/>
      <x:c r="M35" s="99"/>
      <x:c r="N35" s="99"/>
      <x:c r="O35" s="99"/>
      <x:c r="P35" s="99"/>
      <x:c r="Q35" s="99"/>
      <x:c r="R35" s="99"/>
      <x:c r="S35" s="99"/>
      <x:c r="T35" s="99"/>
      <x:c r="U35" s="99"/>
      <x:c r="V35" s="99"/>
      <x:c r="W35" s="99"/>
      <x:c r="X35" s="99"/>
      <x:c r="Y35" s="99"/>
      <x:c r="Z35" s="99"/>
    </x:row>
    <x:row r="36">
      <x:c r="A36" s="99"/>
      <x:c r="B36" s="99"/>
      <x:c r="C36" s="99"/>
      <x:c r="D36" s="99"/>
      <x:c r="E36" s="99"/>
      <x:c r="F36" s="99"/>
      <x:c r="G36" s="99"/>
      <x:c r="H36" s="99"/>
      <x:c r="I36" s="99"/>
      <x:c r="J36" s="99"/>
      <x:c r="K36" s="99"/>
      <x:c r="L36" s="99"/>
      <x:c r="M36" s="99"/>
      <x:c r="N36" s="99"/>
      <x:c r="O36" s="99"/>
      <x:c r="P36" s="99"/>
      <x:c r="Q36" s="99"/>
      <x:c r="R36" s="99"/>
      <x:c r="S36" s="99"/>
      <x:c r="T36" s="99"/>
      <x:c r="U36" s="99"/>
      <x:c r="V36" s="99"/>
      <x:c r="W36" s="99"/>
      <x:c r="X36" s="99"/>
      <x:c r="Y36" s="99"/>
      <x:c r="Z36" s="99"/>
    </x:row>
    <x:row r="37">
      <x:c r="A37" s="99"/>
      <x:c r="B37" s="99"/>
      <x:c r="C37" s="99"/>
      <x:c r="D37" s="99"/>
      <x:c r="E37" s="99"/>
      <x:c r="F37" s="99"/>
      <x:c r="G37" s="99"/>
      <x:c r="H37" s="99"/>
      <x:c r="I37" s="99"/>
      <x:c r="J37" s="99"/>
      <x:c r="K37" s="99"/>
      <x:c r="L37" s="99"/>
      <x:c r="M37" s="99"/>
      <x:c r="N37" s="99"/>
      <x:c r="O37" s="99"/>
      <x:c r="P37" s="99"/>
      <x:c r="Q37" s="99"/>
      <x:c r="R37" s="99"/>
      <x:c r="S37" s="99"/>
      <x:c r="T37" s="99"/>
      <x:c r="U37" s="99"/>
      <x:c r="V37" s="99"/>
      <x:c r="W37" s="99"/>
      <x:c r="X37" s="99"/>
      <x:c r="Y37" s="99"/>
      <x:c r="Z37" s="99"/>
    </x:row>
    <x:row r="38">
      <x:c r="A38" s="99"/>
      <x:c r="B38" s="99"/>
      <x:c r="C38" s="99"/>
      <x:c r="D38" s="99"/>
      <x:c r="E38" s="99"/>
      <x:c r="F38" s="99"/>
      <x:c r="G38" s="99"/>
      <x:c r="H38" s="99"/>
      <x:c r="I38" s="99"/>
      <x:c r="J38" s="99"/>
      <x:c r="K38" s="99"/>
      <x:c r="L38" s="99"/>
      <x:c r="M38" s="99"/>
      <x:c r="N38" s="99"/>
      <x:c r="O38" s="99"/>
      <x:c r="P38" s="99"/>
      <x:c r="Q38" s="99"/>
      <x:c r="R38" s="99"/>
      <x:c r="S38" s="99"/>
      <x:c r="T38" s="99"/>
      <x:c r="U38" s="99"/>
      <x:c r="V38" s="99"/>
      <x:c r="W38" s="99"/>
      <x:c r="X38" s="99"/>
      <x:c r="Y38" s="99"/>
      <x:c r="Z38" s="99"/>
    </x:row>
    <x:row r="39">
      <x:c r="A39" s="99"/>
      <x:c r="B39" s="99"/>
      <x:c r="C39" s="99"/>
      <x:c r="D39" s="99"/>
      <x:c r="E39" s="99"/>
      <x:c r="F39" s="99"/>
      <x:c r="G39" s="99"/>
      <x:c r="H39" s="99"/>
      <x:c r="I39" s="99"/>
      <x:c r="J39" s="99"/>
      <x:c r="K39" s="99"/>
      <x:c r="L39" s="99"/>
      <x:c r="M39" s="99"/>
      <x:c r="N39" s="99"/>
      <x:c r="O39" s="99"/>
      <x:c r="P39" s="99"/>
      <x:c r="Q39" s="99"/>
      <x:c r="R39" s="99"/>
      <x:c r="S39" s="99"/>
      <x:c r="T39" s="99"/>
      <x:c r="U39" s="99"/>
      <x:c r="V39" s="99"/>
      <x:c r="W39" s="99"/>
      <x:c r="X39" s="99"/>
      <x:c r="Y39" s="99"/>
      <x:c r="Z39" s="99"/>
    </x:row>
    <x:row r="40">
      <x:c r="A40" s="99"/>
      <x:c r="B40" s="99"/>
      <x:c r="C40" s="99"/>
      <x:c r="D40" s="99"/>
      <x:c r="E40" s="99"/>
      <x:c r="F40" s="99"/>
      <x:c r="G40" s="99"/>
      <x:c r="H40" s="99"/>
      <x:c r="I40" s="99"/>
      <x:c r="J40" s="99"/>
      <x:c r="K40" s="99"/>
      <x:c r="L40" s="99"/>
      <x:c r="M40" s="99"/>
      <x:c r="N40" s="99"/>
      <x:c r="O40" s="99"/>
      <x:c r="P40" s="99"/>
      <x:c r="Q40" s="99"/>
      <x:c r="R40" s="99"/>
      <x:c r="S40" s="99"/>
      <x:c r="T40" s="99"/>
      <x:c r="U40" s="99"/>
      <x:c r="V40" s="99"/>
      <x:c r="W40" s="99"/>
      <x:c r="X40" s="99"/>
      <x:c r="Y40" s="99"/>
      <x:c r="Z40" s="99"/>
    </x:row>
    <x:row r="41">
      <x:c r="A41" s="99"/>
      <x:c r="B41" s="99"/>
      <x:c r="C41" s="99"/>
      <x:c r="D41" s="99"/>
      <x:c r="E41" s="99"/>
      <x:c r="F41" s="99"/>
      <x:c r="G41" s="99"/>
      <x:c r="H41" s="99"/>
      <x:c r="I41" s="99"/>
      <x:c r="J41" s="99"/>
      <x:c r="K41" s="99"/>
      <x:c r="L41" s="99"/>
      <x:c r="M41" s="99"/>
      <x:c r="N41" s="99"/>
      <x:c r="O41" s="99"/>
      <x:c r="P41" s="99"/>
      <x:c r="Q41" s="99"/>
      <x:c r="R41" s="99"/>
      <x:c r="S41" s="99"/>
      <x:c r="T41" s="99"/>
      <x:c r="U41" s="99"/>
      <x:c r="V41" s="99"/>
      <x:c r="W41" s="99"/>
      <x:c r="X41" s="99"/>
      <x:c r="Y41" s="99"/>
      <x:c r="Z41" s="99"/>
    </x:row>
    <x:row r="42">
      <x:c r="A42" s="99"/>
      <x:c r="B42" s="99"/>
      <x:c r="C42" s="99"/>
      <x:c r="D42" s="99"/>
      <x:c r="E42" s="99"/>
      <x:c r="F42" s="99"/>
      <x:c r="G42" s="99"/>
      <x:c r="H42" s="99"/>
      <x:c r="I42" s="99"/>
      <x:c r="J42" s="99"/>
      <x:c r="K42" s="99"/>
      <x:c r="L42" s="99"/>
      <x:c r="M42" s="99"/>
      <x:c r="N42" s="99"/>
      <x:c r="O42" s="99"/>
      <x:c r="P42" s="99"/>
      <x:c r="Q42" s="99"/>
      <x:c r="R42" s="99"/>
      <x:c r="S42" s="99"/>
      <x:c r="T42" s="99"/>
      <x:c r="U42" s="99"/>
      <x:c r="V42" s="99"/>
      <x:c r="W42" s="99"/>
      <x:c r="X42" s="99"/>
      <x:c r="Y42" s="99"/>
      <x:c r="Z42" s="99"/>
    </x:row>
    <x:row r="43">
      <x:c r="A43" s="99"/>
      <x:c r="B43" s="99"/>
      <x:c r="C43" s="99"/>
      <x:c r="D43" s="99"/>
      <x:c r="E43" s="99"/>
      <x:c r="F43" s="99"/>
      <x:c r="G43" s="99"/>
      <x:c r="H43" s="99"/>
      <x:c r="I43" s="99"/>
      <x:c r="J43" s="99"/>
      <x:c r="K43" s="99"/>
      <x:c r="L43" s="99"/>
      <x:c r="M43" s="99"/>
      <x:c r="N43" s="99"/>
      <x:c r="O43" s="99"/>
      <x:c r="P43" s="99"/>
      <x:c r="Q43" s="99"/>
      <x:c r="R43" s="99"/>
      <x:c r="S43" s="99"/>
      <x:c r="T43" s="99"/>
      <x:c r="U43" s="99"/>
      <x:c r="V43" s="99"/>
      <x:c r="W43" s="99"/>
      <x:c r="X43" s="99"/>
      <x:c r="Y43" s="99"/>
      <x:c r="Z43" s="99"/>
    </x:row>
    <x:row r="44">
      <x:c r="A44" s="99"/>
      <x:c r="B44" s="99"/>
      <x:c r="C44" s="99"/>
      <x:c r="D44" s="99"/>
      <x:c r="E44" s="99"/>
      <x:c r="F44" s="99"/>
      <x:c r="G44" s="99"/>
      <x:c r="H44" s="99"/>
      <x:c r="I44" s="99"/>
      <x:c r="J44" s="99"/>
      <x:c r="K44" s="99"/>
      <x:c r="L44" s="99"/>
      <x:c r="M44" s="99"/>
      <x:c r="N44" s="99"/>
      <x:c r="O44" s="99"/>
      <x:c r="P44" s="99"/>
      <x:c r="Q44" s="99"/>
      <x:c r="R44" s="99"/>
      <x:c r="S44" s="99"/>
      <x:c r="T44" s="99"/>
      <x:c r="U44" s="99"/>
      <x:c r="V44" s="99"/>
      <x:c r="W44" s="99"/>
      <x:c r="X44" s="99"/>
      <x:c r="Y44" s="99"/>
      <x:c r="Z44" s="99"/>
    </x:row>
    <x:row r="45">
      <x:c r="A45" s="99"/>
      <x:c r="B45" s="99"/>
      <x:c r="C45" s="99"/>
      <x:c r="D45" s="99"/>
      <x:c r="E45" s="99"/>
      <x:c r="F45" s="99"/>
      <x:c r="G45" s="99"/>
      <x:c r="H45" s="99"/>
      <x:c r="I45" s="99"/>
      <x:c r="J45" s="99"/>
      <x:c r="K45" s="99"/>
      <x:c r="L45" s="99"/>
      <x:c r="M45" s="99"/>
      <x:c r="N45" s="99"/>
      <x:c r="O45" s="99"/>
      <x:c r="P45" s="99"/>
      <x:c r="Q45" s="99"/>
      <x:c r="R45" s="99"/>
      <x:c r="S45" s="99"/>
      <x:c r="T45" s="99"/>
      <x:c r="U45" s="99"/>
      <x:c r="V45" s="99"/>
      <x:c r="W45" s="99"/>
      <x:c r="X45" s="99"/>
      <x:c r="Y45" s="99"/>
      <x:c r="Z45" s="99"/>
    </x:row>
    <x:row r="46">
      <x:c r="A46" s="99"/>
      <x:c r="B46" s="99"/>
      <x:c r="C46" s="99"/>
      <x:c r="D46" s="99"/>
      <x:c r="E46" s="99"/>
      <x:c r="F46" s="99"/>
      <x:c r="G46" s="99"/>
      <x:c r="H46" s="99"/>
      <x:c r="I46" s="99"/>
      <x:c r="J46" s="99"/>
      <x:c r="K46" s="99"/>
      <x:c r="L46" s="99"/>
      <x:c r="M46" s="99"/>
      <x:c r="N46" s="99"/>
      <x:c r="O46" s="99"/>
      <x:c r="P46" s="99"/>
      <x:c r="Q46" s="99"/>
      <x:c r="R46" s="99"/>
      <x:c r="S46" s="99"/>
      <x:c r="T46" s="99"/>
      <x:c r="U46" s="99"/>
      <x:c r="V46" s="99"/>
      <x:c r="W46" s="99"/>
      <x:c r="X46" s="99"/>
      <x:c r="Y46" s="99"/>
      <x:c r="Z46" s="99"/>
    </x:row>
    <x:row r="47">
      <x:c r="A47" s="99"/>
      <x:c r="B47" s="99"/>
      <x:c r="C47" s="99"/>
      <x:c r="D47" s="99"/>
      <x:c r="E47" s="99"/>
      <x:c r="F47" s="99"/>
      <x:c r="G47" s="99"/>
      <x:c r="H47" s="99"/>
      <x:c r="I47" s="99"/>
      <x:c r="J47" s="99"/>
      <x:c r="K47" s="99"/>
      <x:c r="L47" s="99"/>
      <x:c r="M47" s="99"/>
      <x:c r="N47" s="99"/>
      <x:c r="O47" s="99"/>
      <x:c r="P47" s="99"/>
      <x:c r="Q47" s="99"/>
      <x:c r="R47" s="99"/>
      <x:c r="S47" s="99"/>
      <x:c r="T47" s="99"/>
      <x:c r="U47" s="99"/>
      <x:c r="V47" s="99"/>
      <x:c r="W47" s="99"/>
      <x:c r="X47" s="99"/>
      <x:c r="Y47" s="99"/>
      <x:c r="Z47" s="99"/>
    </x:row>
    <x:row r="48">
      <x:c r="A48" s="99"/>
      <x:c r="B48" s="99"/>
      <x:c r="C48" s="99"/>
      <x:c r="D48" s="99"/>
      <x:c r="E48" s="99"/>
      <x:c r="F48" s="99"/>
      <x:c r="G48" s="99"/>
      <x:c r="H48" s="99"/>
      <x:c r="I48" s="99"/>
      <x:c r="J48" s="99"/>
      <x:c r="K48" s="99"/>
      <x:c r="L48" s="99"/>
      <x:c r="M48" s="99"/>
      <x:c r="N48" s="99"/>
      <x:c r="O48" s="99"/>
      <x:c r="P48" s="99"/>
      <x:c r="Q48" s="99"/>
      <x:c r="R48" s="99"/>
      <x:c r="S48" s="99"/>
      <x:c r="T48" s="99"/>
      <x:c r="U48" s="99"/>
      <x:c r="V48" s="99"/>
      <x:c r="W48" s="99"/>
      <x:c r="X48" s="99"/>
      <x:c r="Y48" s="99"/>
      <x:c r="Z48" s="99"/>
    </x:row>
    <x:row r="49">
      <x:c r="A49" s="99"/>
      <x:c r="B49" s="99"/>
      <x:c r="C49" s="99"/>
      <x:c r="D49" s="99"/>
      <x:c r="E49" s="99"/>
      <x:c r="F49" s="99"/>
      <x:c r="G49" s="99"/>
      <x:c r="H49" s="99"/>
      <x:c r="I49" s="99"/>
      <x:c r="J49" s="99"/>
      <x:c r="K49" s="99"/>
      <x:c r="L49" s="99"/>
      <x:c r="M49" s="99"/>
      <x:c r="N49" s="99"/>
      <x:c r="O49" s="99"/>
      <x:c r="P49" s="99"/>
      <x:c r="Q49" s="99"/>
      <x:c r="R49" s="99"/>
      <x:c r="S49" s="99"/>
      <x:c r="T49" s="99"/>
      <x:c r="U49" s="99"/>
      <x:c r="V49" s="99"/>
      <x:c r="W49" s="99"/>
      <x:c r="X49" s="99"/>
      <x:c r="Y49" s="99"/>
      <x:c r="Z49" s="99"/>
    </x:row>
    <x:row r="50">
      <x:c r="A50" s="99"/>
      <x:c r="B50" s="99"/>
      <x:c r="C50" s="99"/>
      <x:c r="D50" s="99"/>
      <x:c r="E50" s="99"/>
      <x:c r="F50" s="99"/>
      <x:c r="G50" s="99"/>
      <x:c r="H50" s="99"/>
      <x:c r="I50" s="99"/>
      <x:c r="J50" s="99"/>
      <x:c r="K50" s="99"/>
      <x:c r="L50" s="99"/>
      <x:c r="M50" s="99"/>
      <x:c r="N50" s="99"/>
      <x:c r="O50" s="99"/>
      <x:c r="P50" s="99"/>
      <x:c r="Q50" s="99"/>
      <x:c r="R50" s="99"/>
      <x:c r="S50" s="99"/>
      <x:c r="T50" s="99"/>
      <x:c r="U50" s="99"/>
      <x:c r="V50" s="99"/>
      <x:c r="W50" s="99"/>
      <x:c r="X50" s="99"/>
      <x:c r="Y50" s="99"/>
      <x:c r="Z50" s="99"/>
    </x:row>
    <x:row r="51">
      <x:c r="A51" s="99"/>
      <x:c r="B51" s="99"/>
      <x:c r="C51" s="99"/>
      <x:c r="D51" s="99"/>
      <x:c r="E51" s="99"/>
      <x:c r="F51" s="99"/>
      <x:c r="G51" s="99"/>
      <x:c r="H51" s="99"/>
      <x:c r="I51" s="99"/>
      <x:c r="J51" s="99"/>
      <x:c r="K51" s="99"/>
      <x:c r="L51" s="99"/>
      <x:c r="M51" s="99"/>
      <x:c r="N51" s="99"/>
      <x:c r="O51" s="99"/>
      <x:c r="P51" s="99"/>
      <x:c r="Q51" s="99"/>
      <x:c r="R51" s="99"/>
      <x:c r="S51" s="99"/>
      <x:c r="T51" s="99"/>
      <x:c r="U51" s="99"/>
      <x:c r="V51" s="99"/>
      <x:c r="W51" s="99"/>
      <x:c r="X51" s="99"/>
      <x:c r="Y51" s="99"/>
      <x:c r="Z51" s="99"/>
    </x:row>
    <x:row r="52">
      <x:c r="A52" s="99"/>
      <x:c r="B52" s="99"/>
      <x:c r="C52" s="99"/>
      <x:c r="D52" s="99"/>
      <x:c r="E52" s="99"/>
      <x:c r="F52" s="99"/>
      <x:c r="G52" s="99"/>
      <x:c r="H52" s="99"/>
      <x:c r="I52" s="99"/>
      <x:c r="J52" s="99"/>
      <x:c r="K52" s="99"/>
      <x:c r="L52" s="99"/>
      <x:c r="M52" s="99"/>
      <x:c r="N52" s="99"/>
      <x:c r="O52" s="99"/>
      <x:c r="P52" s="99"/>
      <x:c r="Q52" s="99"/>
      <x:c r="R52" s="99"/>
      <x:c r="S52" s="99"/>
      <x:c r="T52" s="99"/>
      <x:c r="U52" s="99"/>
      <x:c r="V52" s="99"/>
      <x:c r="W52" s="99"/>
      <x:c r="X52" s="99"/>
      <x:c r="Y52" s="99"/>
      <x:c r="Z52" s="99"/>
    </x:row>
    <x:row r="53">
      <x:c r="A53" s="99"/>
      <x:c r="B53" s="99"/>
      <x:c r="C53" s="99"/>
      <x:c r="D53" s="99"/>
      <x:c r="E53" s="99"/>
      <x:c r="F53" s="99"/>
      <x:c r="G53" s="99"/>
      <x:c r="H53" s="99"/>
      <x:c r="I53" s="99"/>
      <x:c r="J53" s="99"/>
      <x:c r="K53" s="99"/>
      <x:c r="L53" s="99"/>
      <x:c r="M53" s="99"/>
      <x:c r="N53" s="99"/>
      <x:c r="O53" s="99"/>
      <x:c r="P53" s="99"/>
      <x:c r="Q53" s="99"/>
      <x:c r="R53" s="99"/>
      <x:c r="S53" s="99"/>
      <x:c r="T53" s="99"/>
      <x:c r="U53" s="99"/>
      <x:c r="V53" s="99"/>
      <x:c r="W53" s="99"/>
      <x:c r="X53" s="99"/>
      <x:c r="Y53" s="99"/>
      <x:c r="Z53" s="99"/>
    </x:row>
    <x:row r="54">
      <x:c r="A54" s="99"/>
      <x:c r="B54" s="99"/>
      <x:c r="C54" s="99"/>
      <x:c r="D54" s="99"/>
      <x:c r="E54" s="99"/>
      <x:c r="F54" s="99"/>
      <x:c r="G54" s="99"/>
      <x:c r="H54" s="99"/>
      <x:c r="I54" s="99"/>
      <x:c r="J54" s="99"/>
      <x:c r="K54" s="99"/>
      <x:c r="L54" s="99"/>
      <x:c r="M54" s="99"/>
      <x:c r="N54" s="99"/>
      <x:c r="O54" s="99"/>
      <x:c r="P54" s="99"/>
      <x:c r="Q54" s="99"/>
      <x:c r="R54" s="99"/>
      <x:c r="S54" s="99"/>
      <x:c r="T54" s="99"/>
      <x:c r="U54" s="99"/>
      <x:c r="V54" s="99"/>
      <x:c r="W54" s="99"/>
      <x:c r="X54" s="99"/>
      <x:c r="Y54" s="99"/>
      <x:c r="Z54" s="99"/>
    </x:row>
    <x:row r="55">
      <x:c r="A55" s="99"/>
      <x:c r="B55" s="99"/>
      <x:c r="C55" s="99"/>
      <x:c r="D55" s="99"/>
      <x:c r="E55" s="99"/>
      <x:c r="F55" s="99"/>
      <x:c r="G55" s="99"/>
      <x:c r="H55" s="99"/>
      <x:c r="I55" s="99"/>
      <x:c r="J55" s="99"/>
      <x:c r="K55" s="99"/>
      <x:c r="L55" s="99"/>
      <x:c r="M55" s="99"/>
      <x:c r="N55" s="99"/>
      <x:c r="O55" s="99"/>
      <x:c r="P55" s="99"/>
      <x:c r="Q55" s="99"/>
      <x:c r="R55" s="99"/>
      <x:c r="S55" s="99"/>
      <x:c r="T55" s="99"/>
      <x:c r="U55" s="99"/>
      <x:c r="V55" s="99"/>
      <x:c r="W55" s="99"/>
      <x:c r="X55" s="99"/>
      <x:c r="Y55" s="99"/>
      <x:c r="Z55" s="99"/>
    </x:row>
    <x:row r="56">
      <x:c r="A56" s="99"/>
      <x:c r="B56" s="99"/>
      <x:c r="C56" s="99"/>
      <x:c r="D56" s="99"/>
      <x:c r="E56" s="99"/>
      <x:c r="F56" s="99"/>
      <x:c r="G56" s="99"/>
      <x:c r="H56" s="99"/>
      <x:c r="I56" s="99"/>
      <x:c r="J56" s="99"/>
      <x:c r="K56" s="99"/>
      <x:c r="L56" s="99"/>
      <x:c r="M56" s="99"/>
      <x:c r="N56" s="99"/>
      <x:c r="O56" s="99"/>
      <x:c r="P56" s="99"/>
      <x:c r="Q56" s="99"/>
      <x:c r="R56" s="99"/>
      <x:c r="S56" s="99"/>
      <x:c r="T56" s="99"/>
      <x:c r="U56" s="99"/>
      <x:c r="V56" s="99"/>
      <x:c r="W56" s="99"/>
      <x:c r="X56" s="99"/>
      <x:c r="Y56" s="99"/>
      <x:c r="Z56" s="99"/>
    </x:row>
    <x:row r="57">
      <x:c r="A57" s="99"/>
      <x:c r="B57" s="99"/>
      <x:c r="C57" s="99"/>
      <x:c r="D57" s="99"/>
      <x:c r="E57" s="99"/>
      <x:c r="F57" s="99"/>
      <x:c r="G57" s="99"/>
      <x:c r="H57" s="99"/>
      <x:c r="I57" s="99"/>
      <x:c r="J57" s="99"/>
      <x:c r="K57" s="99"/>
      <x:c r="L57" s="99"/>
      <x:c r="M57" s="99"/>
      <x:c r="N57" s="99"/>
      <x:c r="O57" s="99"/>
      <x:c r="P57" s="99"/>
      <x:c r="Q57" s="99"/>
      <x:c r="R57" s="99"/>
      <x:c r="S57" s="99"/>
      <x:c r="T57" s="99"/>
      <x:c r="U57" s="99"/>
      <x:c r="V57" s="99"/>
      <x:c r="W57" s="99"/>
      <x:c r="X57" s="99"/>
      <x:c r="Y57" s="99"/>
      <x:c r="Z57" s="99"/>
    </x:row>
    <x:row r="58">
      <x:c r="A58" s="99"/>
      <x:c r="B58" s="99"/>
      <x:c r="C58" s="99"/>
      <x:c r="D58" s="99"/>
      <x:c r="E58" s="99"/>
      <x:c r="F58" s="99"/>
      <x:c r="G58" s="99"/>
      <x:c r="H58" s="99"/>
      <x:c r="I58" s="99"/>
      <x:c r="J58" s="99"/>
      <x:c r="K58" s="99"/>
      <x:c r="L58" s="99"/>
      <x:c r="M58" s="99"/>
      <x:c r="N58" s="99"/>
      <x:c r="O58" s="99"/>
      <x:c r="P58" s="99"/>
      <x:c r="Q58" s="99"/>
      <x:c r="R58" s="99"/>
      <x:c r="S58" s="99"/>
      <x:c r="T58" s="99"/>
      <x:c r="U58" s="99"/>
      <x:c r="V58" s="99"/>
      <x:c r="W58" s="99"/>
      <x:c r="X58" s="99"/>
      <x:c r="Y58" s="99"/>
      <x:c r="Z58" s="99"/>
    </x:row>
    <x:row r="59">
      <x:c r="A59" s="99"/>
      <x:c r="B59" s="99"/>
      <x:c r="C59" s="99"/>
      <x:c r="D59" s="99"/>
      <x:c r="E59" s="99"/>
      <x:c r="F59" s="99"/>
      <x:c r="G59" s="99"/>
      <x:c r="H59" s="99"/>
      <x:c r="I59" s="99"/>
      <x:c r="J59" s="99"/>
      <x:c r="K59" s="99"/>
      <x:c r="L59" s="99"/>
      <x:c r="M59" s="99"/>
      <x:c r="N59" s="99"/>
      <x:c r="O59" s="99"/>
      <x:c r="P59" s="99"/>
      <x:c r="Q59" s="99"/>
      <x:c r="R59" s="99"/>
      <x:c r="S59" s="99"/>
      <x:c r="T59" s="99"/>
      <x:c r="U59" s="99"/>
      <x:c r="V59" s="99"/>
      <x:c r="W59" s="99"/>
      <x:c r="X59" s="99"/>
      <x:c r="Y59" s="99"/>
      <x:c r="Z59" s="99"/>
    </x:row>
    <x:row r="60">
      <x:c r="A60" s="99"/>
      <x:c r="B60" s="99"/>
      <x:c r="C60" s="99"/>
      <x:c r="D60" s="99"/>
      <x:c r="E60" s="99"/>
      <x:c r="F60" s="99"/>
      <x:c r="G60" s="99"/>
      <x:c r="H60" s="99"/>
      <x:c r="I60" s="99"/>
      <x:c r="J60" s="99"/>
      <x:c r="K60" s="99"/>
      <x:c r="L60" s="99"/>
      <x:c r="M60" s="99"/>
      <x:c r="N60" s="99"/>
      <x:c r="O60" s="99"/>
      <x:c r="P60" s="99"/>
      <x:c r="Q60" s="99"/>
      <x:c r="R60" s="99"/>
      <x:c r="S60" s="99"/>
      <x:c r="T60" s="99"/>
      <x:c r="U60" s="99"/>
      <x:c r="V60" s="99"/>
      <x:c r="W60" s="99"/>
      <x:c r="X60" s="99"/>
      <x:c r="Y60" s="99"/>
      <x:c r="Z60" s="99"/>
    </x:row>
    <x:row r="61">
      <x:c r="A61" s="99"/>
      <x:c r="B61" s="99"/>
      <x:c r="C61" s="99"/>
      <x:c r="D61" s="99"/>
      <x:c r="E61" s="99"/>
      <x:c r="F61" s="99"/>
      <x:c r="G61" s="99"/>
      <x:c r="H61" s="99"/>
      <x:c r="I61" s="99"/>
      <x:c r="J61" s="99"/>
      <x:c r="K61" s="99"/>
      <x:c r="L61" s="99"/>
      <x:c r="M61" s="99"/>
      <x:c r="N61" s="99"/>
      <x:c r="O61" s="99"/>
      <x:c r="P61" s="99"/>
      <x:c r="Q61" s="99"/>
      <x:c r="R61" s="99"/>
      <x:c r="S61" s="99"/>
      <x:c r="T61" s="99"/>
      <x:c r="U61" s="99"/>
      <x:c r="V61" s="99"/>
      <x:c r="W61" s="99"/>
      <x:c r="X61" s="99"/>
      <x:c r="Y61" s="99"/>
      <x:c r="Z61" s="99"/>
    </x:row>
    <x:row r="62">
      <x:c r="A62" s="99"/>
      <x:c r="B62" s="99"/>
      <x:c r="C62" s="99"/>
      <x:c r="D62" s="99"/>
      <x:c r="E62" s="99"/>
      <x:c r="F62" s="99"/>
      <x:c r="G62" s="99"/>
      <x:c r="H62" s="99"/>
      <x:c r="I62" s="99"/>
      <x:c r="J62" s="99"/>
      <x:c r="K62" s="99"/>
      <x:c r="L62" s="99"/>
      <x:c r="M62" s="99"/>
      <x:c r="N62" s="99"/>
      <x:c r="O62" s="99"/>
      <x:c r="P62" s="99"/>
      <x:c r="Q62" s="99"/>
      <x:c r="R62" s="99"/>
      <x:c r="S62" s="99"/>
      <x:c r="T62" s="99"/>
      <x:c r="U62" s="99"/>
      <x:c r="V62" s="99"/>
      <x:c r="W62" s="99"/>
      <x:c r="X62" s="99"/>
      <x:c r="Y62" s="99"/>
      <x:c r="Z62" s="99"/>
    </x:row>
    <x:row r="63">
      <x:c r="A63" s="99"/>
      <x:c r="B63" s="99"/>
      <x:c r="C63" s="99"/>
      <x:c r="D63" s="99"/>
      <x:c r="E63" s="99"/>
      <x:c r="F63" s="99"/>
      <x:c r="G63" s="99"/>
      <x:c r="H63" s="99"/>
      <x:c r="I63" s="99"/>
      <x:c r="J63" s="99"/>
      <x:c r="K63" s="99"/>
      <x:c r="L63" s="99"/>
      <x:c r="M63" s="99"/>
      <x:c r="N63" s="99"/>
      <x:c r="O63" s="99"/>
      <x:c r="P63" s="99"/>
      <x:c r="Q63" s="99"/>
      <x:c r="R63" s="99"/>
      <x:c r="S63" s="99"/>
      <x:c r="T63" s="99"/>
      <x:c r="U63" s="99"/>
      <x:c r="V63" s="99"/>
      <x:c r="W63" s="99"/>
      <x:c r="X63" s="99"/>
      <x:c r="Y63" s="99"/>
      <x:c r="Z63" s="99"/>
    </x:row>
    <x:row r="64">
      <x:c r="A64" s="99"/>
      <x:c r="B64" s="99"/>
      <x:c r="C64" s="99"/>
      <x:c r="D64" s="99"/>
      <x:c r="E64" s="99"/>
      <x:c r="F64" s="99"/>
      <x:c r="G64" s="99"/>
      <x:c r="H64" s="99"/>
      <x:c r="I64" s="99"/>
      <x:c r="J64" s="99"/>
      <x:c r="K64" s="99"/>
      <x:c r="L64" s="99"/>
      <x:c r="M64" s="99"/>
      <x:c r="N64" s="99"/>
      <x:c r="O64" s="99"/>
      <x:c r="P64" s="99"/>
      <x:c r="Q64" s="99"/>
      <x:c r="R64" s="99"/>
      <x:c r="S64" s="99"/>
      <x:c r="T64" s="99"/>
      <x:c r="U64" s="99"/>
      <x:c r="V64" s="99"/>
      <x:c r="W64" s="99"/>
      <x:c r="X64" s="99"/>
      <x:c r="Y64" s="99"/>
      <x:c r="Z64" s="99"/>
    </x:row>
    <x:row r="65">
      <x:c r="A65" s="99"/>
      <x:c r="B65" s="99"/>
      <x:c r="C65" s="99"/>
      <x:c r="D65" s="99"/>
      <x:c r="E65" s="99"/>
      <x:c r="F65" s="99"/>
      <x:c r="G65" s="99"/>
      <x:c r="H65" s="99"/>
      <x:c r="I65" s="99"/>
      <x:c r="J65" s="99"/>
      <x:c r="K65" s="99"/>
      <x:c r="L65" s="99"/>
      <x:c r="M65" s="99"/>
      <x:c r="N65" s="99"/>
      <x:c r="O65" s="99"/>
      <x:c r="P65" s="99"/>
      <x:c r="Q65" s="99"/>
      <x:c r="R65" s="99"/>
      <x:c r="S65" s="99"/>
      <x:c r="T65" s="99"/>
      <x:c r="U65" s="99"/>
      <x:c r="V65" s="99"/>
      <x:c r="W65" s="99"/>
      <x:c r="X65" s="99"/>
      <x:c r="Y65" s="99"/>
      <x:c r="Z65" s="99"/>
    </x:row>
    <x:row r="66">
      <x:c r="A66" s="99"/>
      <x:c r="B66" s="99"/>
      <x:c r="C66" s="99"/>
      <x:c r="D66" s="99"/>
      <x:c r="E66" s="99"/>
      <x:c r="F66" s="99"/>
      <x:c r="G66" s="99"/>
      <x:c r="H66" s="99"/>
      <x:c r="I66" s="99"/>
      <x:c r="J66" s="99"/>
      <x:c r="K66" s="99"/>
      <x:c r="L66" s="99"/>
      <x:c r="M66" s="99"/>
      <x:c r="N66" s="99"/>
      <x:c r="O66" s="99"/>
      <x:c r="P66" s="99"/>
      <x:c r="Q66" s="99"/>
      <x:c r="R66" s="99"/>
      <x:c r="S66" s="99"/>
      <x:c r="T66" s="99"/>
      <x:c r="U66" s="99"/>
      <x:c r="V66" s="99"/>
      <x:c r="W66" s="99"/>
      <x:c r="X66" s="99"/>
      <x:c r="Y66" s="99"/>
      <x:c r="Z66" s="99"/>
    </x:row>
    <x:row r="67">
      <x:c r="A67" s="99"/>
      <x:c r="B67" s="99"/>
      <x:c r="C67" s="99"/>
      <x:c r="D67" s="99"/>
      <x:c r="E67" s="99"/>
      <x:c r="F67" s="99"/>
      <x:c r="G67" s="99"/>
      <x:c r="H67" s="99"/>
      <x:c r="I67" s="99"/>
      <x:c r="J67" s="99"/>
      <x:c r="K67" s="99"/>
      <x:c r="L67" s="99"/>
      <x:c r="M67" s="99"/>
      <x:c r="N67" s="99"/>
      <x:c r="O67" s="99"/>
      <x:c r="P67" s="99"/>
      <x:c r="Q67" s="99"/>
      <x:c r="R67" s="99"/>
      <x:c r="S67" s="99"/>
      <x:c r="T67" s="99"/>
      <x:c r="U67" s="99"/>
      <x:c r="V67" s="99"/>
      <x:c r="W67" s="99"/>
      <x:c r="X67" s="99"/>
      <x:c r="Y67" s="99"/>
      <x:c r="Z67" s="99"/>
    </x:row>
    <x:row r="68">
      <x:c r="A68" s="99"/>
      <x:c r="B68" s="99"/>
      <x:c r="C68" s="99"/>
      <x:c r="D68" s="99"/>
      <x:c r="E68" s="99"/>
      <x:c r="F68" s="99"/>
      <x:c r="G68" s="99"/>
      <x:c r="H68" s="99"/>
      <x:c r="I68" s="99"/>
      <x:c r="J68" s="99"/>
      <x:c r="K68" s="99"/>
      <x:c r="L68" s="99"/>
      <x:c r="M68" s="99"/>
      <x:c r="N68" s="99"/>
      <x:c r="O68" s="99"/>
      <x:c r="P68" s="99"/>
      <x:c r="Q68" s="99"/>
      <x:c r="R68" s="99"/>
      <x:c r="S68" s="99"/>
      <x:c r="T68" s="99"/>
      <x:c r="U68" s="99"/>
      <x:c r="V68" s="99"/>
      <x:c r="W68" s="99"/>
      <x:c r="X68" s="99"/>
      <x:c r="Y68" s="99"/>
      <x:c r="Z68" s="99"/>
    </x:row>
    <x:row r="69">
      <x:c r="A69" s="99"/>
      <x:c r="B69" s="99"/>
      <x:c r="C69" s="99"/>
      <x:c r="D69" s="99"/>
      <x:c r="E69" s="99"/>
      <x:c r="F69" s="99"/>
      <x:c r="G69" s="99"/>
      <x:c r="H69" s="99"/>
      <x:c r="I69" s="99"/>
      <x:c r="J69" s="99"/>
      <x:c r="K69" s="99"/>
      <x:c r="L69" s="99"/>
      <x:c r="M69" s="99"/>
      <x:c r="N69" s="99"/>
      <x:c r="O69" s="99"/>
      <x:c r="P69" s="99"/>
      <x:c r="Q69" s="99"/>
      <x:c r="R69" s="99"/>
      <x:c r="S69" s="99"/>
      <x:c r="T69" s="99"/>
      <x:c r="U69" s="99"/>
      <x:c r="V69" s="99"/>
      <x:c r="W69" s="99"/>
      <x:c r="X69" s="99"/>
      <x:c r="Y69" s="99"/>
      <x:c r="Z69" s="99"/>
    </x:row>
    <x:row r="70">
      <x:c r="A70" s="99"/>
      <x:c r="B70" s="99"/>
      <x:c r="C70" s="99"/>
      <x:c r="D70" s="99"/>
      <x:c r="E70" s="99"/>
      <x:c r="F70" s="99"/>
      <x:c r="G70" s="99"/>
      <x:c r="H70" s="99"/>
      <x:c r="I70" s="99"/>
      <x:c r="J70" s="99"/>
      <x:c r="K70" s="99"/>
      <x:c r="L70" s="99"/>
      <x:c r="M70" s="99"/>
      <x:c r="N70" s="99"/>
      <x:c r="O70" s="99"/>
      <x:c r="P70" s="99"/>
      <x:c r="Q70" s="99"/>
      <x:c r="R70" s="99"/>
      <x:c r="S70" s="99"/>
      <x:c r="T70" s="99"/>
      <x:c r="U70" s="99"/>
      <x:c r="V70" s="99"/>
      <x:c r="W70" s="99"/>
      <x:c r="X70" s="99"/>
      <x:c r="Y70" s="99"/>
      <x:c r="Z70" s="99"/>
    </x:row>
    <x:row r="71">
      <x:c r="A71" s="99"/>
      <x:c r="B71" s="99"/>
      <x:c r="C71" s="99"/>
      <x:c r="D71" s="99"/>
      <x:c r="E71" s="99"/>
      <x:c r="F71" s="99"/>
      <x:c r="G71" s="99"/>
      <x:c r="H71" s="99"/>
      <x:c r="I71" s="99"/>
      <x:c r="J71" s="99"/>
      <x:c r="K71" s="99"/>
      <x:c r="L71" s="99"/>
      <x:c r="M71" s="99"/>
      <x:c r="N71" s="99"/>
      <x:c r="O71" s="99"/>
      <x:c r="P71" s="99"/>
      <x:c r="Q71" s="99"/>
      <x:c r="R71" s="99"/>
      <x:c r="S71" s="99"/>
      <x:c r="T71" s="99"/>
      <x:c r="U71" s="99"/>
      <x:c r="V71" s="99"/>
      <x:c r="W71" s="99"/>
      <x:c r="X71" s="99"/>
      <x:c r="Y71" s="99"/>
      <x:c r="Z71" s="99"/>
    </x:row>
    <x:row r="72">
      <x:c r="A72" s="99"/>
      <x:c r="B72" s="99"/>
      <x:c r="C72" s="99"/>
      <x:c r="D72" s="99"/>
      <x:c r="E72" s="99"/>
      <x:c r="F72" s="99"/>
      <x:c r="G72" s="99"/>
      <x:c r="H72" s="99"/>
      <x:c r="I72" s="99"/>
      <x:c r="J72" s="99"/>
      <x:c r="K72" s="99"/>
      <x:c r="L72" s="99"/>
      <x:c r="M72" s="99"/>
      <x:c r="N72" s="99"/>
      <x:c r="O72" s="99"/>
      <x:c r="P72" s="99"/>
      <x:c r="Q72" s="99"/>
      <x:c r="R72" s="99"/>
      <x:c r="S72" s="99"/>
      <x:c r="T72" s="99"/>
      <x:c r="U72" s="99"/>
      <x:c r="V72" s="99"/>
      <x:c r="W72" s="99"/>
      <x:c r="X72" s="99"/>
      <x:c r="Y72" s="99"/>
      <x:c r="Z72" s="99"/>
    </x:row>
    <x:row r="73">
      <x:c r="A73" s="99"/>
      <x:c r="B73" s="99"/>
      <x:c r="C73" s="99"/>
      <x:c r="D73" s="99"/>
      <x:c r="E73" s="99"/>
      <x:c r="F73" s="99"/>
      <x:c r="G73" s="99"/>
      <x:c r="H73" s="99"/>
      <x:c r="I73" s="99"/>
      <x:c r="J73" s="99"/>
      <x:c r="K73" s="99"/>
      <x:c r="L73" s="99"/>
      <x:c r="M73" s="99"/>
      <x:c r="N73" s="99"/>
      <x:c r="O73" s="99"/>
      <x:c r="P73" s="99"/>
      <x:c r="Q73" s="99"/>
      <x:c r="R73" s="99"/>
      <x:c r="S73" s="99"/>
      <x:c r="T73" s="99"/>
      <x:c r="U73" s="99"/>
      <x:c r="V73" s="99"/>
      <x:c r="W73" s="99"/>
      <x:c r="X73" s="99"/>
      <x:c r="Y73" s="99"/>
      <x:c r="Z73" s="99"/>
    </x:row>
    <x:row r="74">
      <x:c r="A74" s="99"/>
      <x:c r="B74" s="99"/>
      <x:c r="C74" s="99"/>
      <x:c r="D74" s="99"/>
      <x:c r="E74" s="99"/>
      <x:c r="F74" s="99"/>
      <x:c r="G74" s="99"/>
      <x:c r="H74" s="99"/>
      <x:c r="I74" s="99"/>
      <x:c r="J74" s="99"/>
      <x:c r="K74" s="99"/>
      <x:c r="L74" s="99"/>
      <x:c r="M74" s="99"/>
      <x:c r="N74" s="99"/>
      <x:c r="O74" s="99"/>
      <x:c r="P74" s="99"/>
      <x:c r="Q74" s="99"/>
      <x:c r="R74" s="99"/>
      <x:c r="S74" s="99"/>
      <x:c r="T74" s="99"/>
      <x:c r="U74" s="99"/>
      <x:c r="V74" s="99"/>
      <x:c r="W74" s="99"/>
      <x:c r="X74" s="99"/>
      <x:c r="Y74" s="99"/>
      <x:c r="Z74" s="99"/>
    </x:row>
    <x:row r="75">
      <x:c r="A75" s="99"/>
      <x:c r="B75" s="99"/>
      <x:c r="C75" s="99"/>
      <x:c r="D75" s="99"/>
      <x:c r="E75" s="99"/>
      <x:c r="F75" s="99"/>
      <x:c r="G75" s="99"/>
      <x:c r="H75" s="99"/>
      <x:c r="I75" s="99"/>
      <x:c r="J75" s="99"/>
      <x:c r="K75" s="99"/>
      <x:c r="L75" s="99"/>
      <x:c r="M75" s="99"/>
      <x:c r="N75" s="99"/>
      <x:c r="O75" s="99"/>
      <x:c r="P75" s="99"/>
      <x:c r="Q75" s="99"/>
      <x:c r="R75" s="99"/>
      <x:c r="S75" s="99"/>
      <x:c r="T75" s="99"/>
      <x:c r="U75" s="99"/>
      <x:c r="V75" s="99"/>
      <x:c r="W75" s="99"/>
      <x:c r="X75" s="99"/>
      <x:c r="Y75" s="99"/>
      <x:c r="Z75" s="99"/>
    </x:row>
    <x:row r="76">
      <x:c r="A76" s="99"/>
      <x:c r="B76" s="99"/>
      <x:c r="C76" s="99"/>
      <x:c r="D76" s="99"/>
      <x:c r="E76" s="99"/>
      <x:c r="F76" s="99"/>
      <x:c r="G76" s="99"/>
      <x:c r="H76" s="99"/>
      <x:c r="I76" s="99"/>
      <x:c r="J76" s="99"/>
      <x:c r="K76" s="99"/>
      <x:c r="L76" s="99"/>
      <x:c r="M76" s="99"/>
      <x:c r="N76" s="99"/>
      <x:c r="O76" s="99"/>
      <x:c r="P76" s="99"/>
      <x:c r="Q76" s="99"/>
      <x:c r="R76" s="99"/>
      <x:c r="S76" s="99"/>
      <x:c r="T76" s="99"/>
      <x:c r="U76" s="99"/>
      <x:c r="V76" s="99"/>
      <x:c r="W76" s="99"/>
      <x:c r="X76" s="99"/>
      <x:c r="Y76" s="99"/>
      <x:c r="Z76" s="99"/>
    </x:row>
    <x:row r="77">
      <x:c r="A77" s="99"/>
      <x:c r="B77" s="99"/>
      <x:c r="C77" s="99"/>
      <x:c r="D77" s="99"/>
      <x:c r="E77" s="99"/>
      <x:c r="F77" s="99"/>
      <x:c r="G77" s="99"/>
      <x:c r="H77" s="99"/>
      <x:c r="I77" s="99"/>
      <x:c r="J77" s="99"/>
      <x:c r="K77" s="99"/>
      <x:c r="L77" s="99"/>
      <x:c r="M77" s="99"/>
      <x:c r="N77" s="99"/>
      <x:c r="O77" s="99"/>
      <x:c r="P77" s="99"/>
      <x:c r="Q77" s="99"/>
      <x:c r="R77" s="99"/>
      <x:c r="S77" s="99"/>
      <x:c r="T77" s="99"/>
      <x:c r="U77" s="99"/>
      <x:c r="V77" s="99"/>
      <x:c r="W77" s="99"/>
      <x:c r="X77" s="99"/>
      <x:c r="Y77" s="99"/>
      <x:c r="Z77" s="99"/>
    </x:row>
    <x:row r="78">
      <x:c r="A78" s="99"/>
      <x:c r="B78" s="99"/>
      <x:c r="C78" s="99"/>
      <x:c r="D78" s="99"/>
      <x:c r="E78" s="99"/>
      <x:c r="F78" s="99"/>
      <x:c r="G78" s="99"/>
      <x:c r="H78" s="99"/>
      <x:c r="I78" s="99"/>
      <x:c r="J78" s="99"/>
      <x:c r="K78" s="99"/>
      <x:c r="L78" s="99"/>
      <x:c r="M78" s="99"/>
      <x:c r="N78" s="99"/>
      <x:c r="O78" s="99"/>
      <x:c r="P78" s="99"/>
      <x:c r="Q78" s="99"/>
      <x:c r="R78" s="99"/>
      <x:c r="S78" s="99"/>
      <x:c r="T78" s="99"/>
      <x:c r="U78" s="99"/>
      <x:c r="V78" s="99"/>
      <x:c r="W78" s="99"/>
      <x:c r="X78" s="99"/>
      <x:c r="Y78" s="99"/>
      <x:c r="Z78" s="99"/>
    </x:row>
    <x:row r="79">
      <x:c r="A79" s="99"/>
      <x:c r="B79" s="99"/>
      <x:c r="C79" s="99"/>
      <x:c r="D79" s="99"/>
      <x:c r="E79" s="99"/>
      <x:c r="F79" s="99"/>
      <x:c r="G79" s="99"/>
      <x:c r="H79" s="99"/>
      <x:c r="I79" s="99"/>
      <x:c r="J79" s="99"/>
      <x:c r="K79" s="99"/>
      <x:c r="L79" s="99"/>
      <x:c r="M79" s="99"/>
      <x:c r="N79" s="99"/>
      <x:c r="O79" s="99"/>
      <x:c r="P79" s="99"/>
      <x:c r="Q79" s="99"/>
      <x:c r="R79" s="99"/>
      <x:c r="S79" s="99"/>
      <x:c r="T79" s="99"/>
      <x:c r="U79" s="99"/>
      <x:c r="V79" s="99"/>
      <x:c r="W79" s="99"/>
      <x:c r="X79" s="99"/>
      <x:c r="Y79" s="99"/>
      <x:c r="Z79" s="99"/>
    </x:row>
    <x:row r="80">
      <x:c r="A80" s="99"/>
      <x:c r="B80" s="99"/>
      <x:c r="C80" s="99"/>
      <x:c r="D80" s="99"/>
      <x:c r="E80" s="99"/>
      <x:c r="F80" s="99"/>
      <x:c r="G80" s="99"/>
      <x:c r="H80" s="99"/>
      <x:c r="I80" s="99"/>
      <x:c r="J80" s="99"/>
      <x:c r="K80" s="99"/>
      <x:c r="L80" s="99"/>
      <x:c r="M80" s="99"/>
      <x:c r="N80" s="99"/>
      <x:c r="O80" s="99"/>
      <x:c r="P80" s="99"/>
      <x:c r="Q80" s="99"/>
      <x:c r="R80" s="99"/>
      <x:c r="S80" s="99"/>
      <x:c r="T80" s="99"/>
      <x:c r="U80" s="99"/>
      <x:c r="V80" s="99"/>
      <x:c r="W80" s="99"/>
      <x:c r="X80" s="99"/>
      <x:c r="Y80" s="99"/>
      <x:c r="Z80" s="99"/>
    </x:row>
    <x:row r="81">
      <x:c r="A81" s="99"/>
      <x:c r="B81" s="99"/>
      <x:c r="C81" s="99"/>
      <x:c r="D81" s="99"/>
      <x:c r="E81" s="99"/>
      <x:c r="F81" s="99"/>
      <x:c r="G81" s="99"/>
      <x:c r="H81" s="99"/>
      <x:c r="I81" s="99"/>
      <x:c r="J81" s="99"/>
      <x:c r="K81" s="99"/>
      <x:c r="L81" s="99"/>
      <x:c r="M81" s="99"/>
      <x:c r="N81" s="99"/>
      <x:c r="O81" s="99"/>
      <x:c r="P81" s="99"/>
      <x:c r="Q81" s="99"/>
      <x:c r="R81" s="99"/>
      <x:c r="S81" s="99"/>
      <x:c r="T81" s="99"/>
      <x:c r="U81" s="99"/>
      <x:c r="V81" s="99"/>
      <x:c r="W81" s="99"/>
      <x:c r="X81" s="99"/>
      <x:c r="Y81" s="99"/>
      <x:c r="Z81" s="99"/>
    </x:row>
    <x:row r="82">
      <x:c r="A82" s="99"/>
      <x:c r="B82" s="99"/>
      <x:c r="C82" s="99"/>
      <x:c r="D82" s="99"/>
      <x:c r="E82" s="99"/>
      <x:c r="F82" s="99"/>
      <x:c r="G82" s="99"/>
      <x:c r="H82" s="99"/>
      <x:c r="I82" s="99"/>
      <x:c r="J82" s="99"/>
      <x:c r="K82" s="99"/>
      <x:c r="L82" s="99"/>
      <x:c r="M82" s="99"/>
      <x:c r="N82" s="99"/>
      <x:c r="O82" s="99"/>
      <x:c r="P82" s="99"/>
      <x:c r="Q82" s="99"/>
      <x:c r="R82" s="99"/>
      <x:c r="S82" s="99"/>
      <x:c r="T82" s="99"/>
      <x:c r="U82" s="99"/>
      <x:c r="V82" s="99"/>
      <x:c r="W82" s="99"/>
      <x:c r="X82" s="99"/>
      <x:c r="Y82" s="99"/>
      <x:c r="Z82" s="99"/>
    </x:row>
    <x:row r="83">
      <x:c r="A83" s="99"/>
      <x:c r="B83" s="99"/>
      <x:c r="C83" s="99"/>
      <x:c r="D83" s="99"/>
      <x:c r="E83" s="99"/>
      <x:c r="F83" s="99"/>
      <x:c r="G83" s="99"/>
      <x:c r="H83" s="99"/>
      <x:c r="I83" s="99"/>
      <x:c r="J83" s="99"/>
      <x:c r="K83" s="99"/>
      <x:c r="L83" s="99"/>
      <x:c r="M83" s="99"/>
      <x:c r="N83" s="99"/>
      <x:c r="O83" s="99"/>
      <x:c r="P83" s="99"/>
      <x:c r="Q83" s="99"/>
      <x:c r="R83" s="99"/>
      <x:c r="S83" s="99"/>
      <x:c r="T83" s="99"/>
      <x:c r="U83" s="99"/>
      <x:c r="V83" s="99"/>
      <x:c r="W83" s="99"/>
      <x:c r="X83" s="99"/>
      <x:c r="Y83" s="99"/>
      <x:c r="Z83" s="99"/>
    </x:row>
    <x:row r="84">
      <x:c r="A84" s="99"/>
      <x:c r="B84" s="99"/>
      <x:c r="C84" s="99"/>
      <x:c r="D84" s="99"/>
      <x:c r="E84" s="99"/>
      <x:c r="F84" s="99"/>
      <x:c r="G84" s="99"/>
      <x:c r="H84" s="99"/>
      <x:c r="I84" s="99"/>
      <x:c r="J84" s="99"/>
      <x:c r="K84" s="99"/>
      <x:c r="L84" s="99"/>
      <x:c r="M84" s="99"/>
      <x:c r="N84" s="99"/>
      <x:c r="O84" s="99"/>
      <x:c r="P84" s="99"/>
      <x:c r="Q84" s="99"/>
      <x:c r="R84" s="99"/>
      <x:c r="S84" s="99"/>
      <x:c r="T84" s="99"/>
      <x:c r="U84" s="99"/>
      <x:c r="V84" s="99"/>
      <x:c r="W84" s="99"/>
      <x:c r="X84" s="99"/>
      <x:c r="Y84" s="99"/>
      <x:c r="Z84" s="99"/>
    </x:row>
    <x:row r="85">
      <x:c r="A85" s="99"/>
      <x:c r="B85" s="99"/>
      <x:c r="C85" s="99"/>
      <x:c r="D85" s="99"/>
      <x:c r="E85" s="99"/>
      <x:c r="F85" s="99"/>
      <x:c r="G85" s="99"/>
      <x:c r="H85" s="99"/>
      <x:c r="I85" s="99"/>
      <x:c r="J85" s="99"/>
      <x:c r="K85" s="99"/>
      <x:c r="L85" s="99"/>
      <x:c r="M85" s="99"/>
      <x:c r="N85" s="99"/>
      <x:c r="O85" s="99"/>
      <x:c r="P85" s="99"/>
      <x:c r="Q85" s="99"/>
      <x:c r="R85" s="99"/>
      <x:c r="S85" s="99"/>
      <x:c r="T85" s="99"/>
      <x:c r="U85" s="99"/>
      <x:c r="V85" s="99"/>
      <x:c r="W85" s="99"/>
      <x:c r="X85" s="99"/>
      <x:c r="Y85" s="99"/>
      <x:c r="Z85" s="99"/>
    </x:row>
    <x:row r="86">
      <x:c r="A86" s="99"/>
      <x:c r="B86" s="99"/>
      <x:c r="C86" s="99"/>
      <x:c r="D86" s="99"/>
      <x:c r="E86" s="99"/>
      <x:c r="F86" s="99"/>
      <x:c r="G86" s="99"/>
      <x:c r="H86" s="99"/>
      <x:c r="I86" s="99"/>
      <x:c r="J86" s="99"/>
      <x:c r="K86" s="99"/>
      <x:c r="L86" s="99"/>
      <x:c r="M86" s="99"/>
      <x:c r="N86" s="99"/>
      <x:c r="O86" s="99"/>
      <x:c r="P86" s="99"/>
      <x:c r="Q86" s="99"/>
      <x:c r="R86" s="99"/>
      <x:c r="S86" s="99"/>
      <x:c r="T86" s="99"/>
      <x:c r="U86" s="99"/>
      <x:c r="V86" s="99"/>
      <x:c r="W86" s="99"/>
      <x:c r="X86" s="99"/>
      <x:c r="Y86" s="99"/>
      <x:c r="Z86" s="99"/>
    </x:row>
    <x:row r="87">
      <x:c r="A87" s="99"/>
      <x:c r="B87" s="99"/>
      <x:c r="C87" s="99"/>
      <x:c r="D87" s="99"/>
      <x:c r="E87" s="99"/>
      <x:c r="F87" s="99"/>
      <x:c r="G87" s="99"/>
      <x:c r="H87" s="99"/>
      <x:c r="I87" s="99"/>
      <x:c r="J87" s="99"/>
      <x:c r="K87" s="99"/>
      <x:c r="L87" s="99"/>
      <x:c r="M87" s="99"/>
      <x:c r="N87" s="99"/>
      <x:c r="O87" s="99"/>
      <x:c r="P87" s="99"/>
      <x:c r="Q87" s="99"/>
      <x:c r="R87" s="99"/>
      <x:c r="S87" s="99"/>
      <x:c r="T87" s="99"/>
      <x:c r="U87" s="99"/>
      <x:c r="V87" s="99"/>
      <x:c r="W87" s="99"/>
      <x:c r="X87" s="99"/>
      <x:c r="Y87" s="99"/>
      <x:c r="Z87" s="99"/>
    </x:row>
    <x:row r="88">
      <x:c r="A88" s="99"/>
      <x:c r="B88" s="99"/>
      <x:c r="C88" s="99"/>
      <x:c r="D88" s="99"/>
      <x:c r="E88" s="99"/>
      <x:c r="F88" s="99"/>
      <x:c r="G88" s="99"/>
      <x:c r="H88" s="99"/>
      <x:c r="I88" s="99"/>
      <x:c r="J88" s="99"/>
      <x:c r="K88" s="99"/>
      <x:c r="L88" s="99"/>
      <x:c r="M88" s="99"/>
      <x:c r="N88" s="99"/>
      <x:c r="O88" s="99"/>
      <x:c r="P88" s="99"/>
      <x:c r="Q88" s="99"/>
      <x:c r="R88" s="99"/>
      <x:c r="S88" s="99"/>
      <x:c r="T88" s="99"/>
      <x:c r="U88" s="99"/>
      <x:c r="V88" s="99"/>
      <x:c r="W88" s="99"/>
      <x:c r="X88" s="99"/>
      <x:c r="Y88" s="99"/>
      <x:c r="Z88" s="99"/>
    </x:row>
    <x:row r="89">
      <x:c r="A89" s="99"/>
      <x:c r="B89" s="99"/>
      <x:c r="C89" s="99"/>
      <x:c r="D89" s="99"/>
      <x:c r="E89" s="99"/>
      <x:c r="F89" s="99"/>
      <x:c r="G89" s="99"/>
      <x:c r="H89" s="99"/>
      <x:c r="I89" s="99"/>
      <x:c r="J89" s="99"/>
      <x:c r="K89" s="99"/>
      <x:c r="L89" s="99"/>
      <x:c r="M89" s="99"/>
      <x:c r="N89" s="99"/>
      <x:c r="O89" s="99"/>
      <x:c r="P89" s="99"/>
      <x:c r="Q89" s="99"/>
      <x:c r="R89" s="99"/>
      <x:c r="S89" s="99"/>
      <x:c r="T89" s="99"/>
      <x:c r="U89" s="99"/>
      <x:c r="V89" s="99"/>
      <x:c r="W89" s="99"/>
      <x:c r="X89" s="99"/>
      <x:c r="Y89" s="99"/>
      <x:c r="Z89" s="99"/>
    </x:row>
    <x:row r="90">
      <x:c r="A90" s="99"/>
      <x:c r="B90" s="99"/>
      <x:c r="C90" s="99"/>
      <x:c r="D90" s="99"/>
      <x:c r="E90" s="99"/>
      <x:c r="F90" s="99"/>
      <x:c r="G90" s="99"/>
      <x:c r="H90" s="99"/>
      <x:c r="I90" s="99"/>
      <x:c r="J90" s="99"/>
      <x:c r="K90" s="99"/>
      <x:c r="L90" s="99"/>
      <x:c r="M90" s="99"/>
      <x:c r="N90" s="99"/>
      <x:c r="O90" s="99"/>
      <x:c r="P90" s="99"/>
      <x:c r="Q90" s="99"/>
      <x:c r="R90" s="99"/>
      <x:c r="S90" s="99"/>
      <x:c r="T90" s="99"/>
      <x:c r="U90" s="99"/>
      <x:c r="V90" s="99"/>
      <x:c r="W90" s="99"/>
      <x:c r="X90" s="99"/>
      <x:c r="Y90" s="99"/>
      <x:c r="Z90" s="99"/>
    </x:row>
    <x:row r="91">
      <x:c r="A91" s="99"/>
      <x:c r="B91" s="99"/>
      <x:c r="C91" s="99"/>
      <x:c r="D91" s="99"/>
      <x:c r="E91" s="99"/>
      <x:c r="F91" s="99"/>
      <x:c r="G91" s="99"/>
      <x:c r="H91" s="99"/>
      <x:c r="I91" s="99"/>
      <x:c r="J91" s="99"/>
      <x:c r="K91" s="99"/>
      <x:c r="L91" s="99"/>
      <x:c r="M91" s="99"/>
      <x:c r="N91" s="99"/>
      <x:c r="O91" s="99"/>
      <x:c r="P91" s="99"/>
      <x:c r="Q91" s="99"/>
      <x:c r="R91" s="99"/>
      <x:c r="S91" s="99"/>
      <x:c r="T91" s="99"/>
      <x:c r="U91" s="99"/>
      <x:c r="V91" s="99"/>
      <x:c r="W91" s="99"/>
      <x:c r="X91" s="99"/>
      <x:c r="Y91" s="99"/>
      <x:c r="Z91" s="99"/>
    </x:row>
    <x:row r="92">
      <x:c r="A92" s="99"/>
      <x:c r="B92" s="99"/>
      <x:c r="C92" s="99"/>
      <x:c r="D92" s="99"/>
      <x:c r="E92" s="99"/>
      <x:c r="F92" s="99"/>
      <x:c r="G92" s="99"/>
      <x:c r="H92" s="99"/>
      <x:c r="I92" s="99"/>
      <x:c r="J92" s="99"/>
      <x:c r="K92" s="99"/>
      <x:c r="L92" s="99"/>
      <x:c r="M92" s="99"/>
      <x:c r="N92" s="99"/>
      <x:c r="O92" s="99"/>
      <x:c r="P92" s="99"/>
      <x:c r="Q92" s="99"/>
      <x:c r="R92" s="99"/>
      <x:c r="S92" s="99"/>
      <x:c r="T92" s="99"/>
      <x:c r="U92" s="99"/>
      <x:c r="V92" s="99"/>
      <x:c r="W92" s="99"/>
      <x:c r="X92" s="99"/>
      <x:c r="Y92" s="99"/>
      <x:c r="Z92" s="99"/>
    </x:row>
    <x:row r="93">
      <x:c r="A93" s="99"/>
      <x:c r="B93" s="99"/>
      <x:c r="C93" s="99"/>
      <x:c r="D93" s="99"/>
      <x:c r="E93" s="99"/>
      <x:c r="F93" s="99"/>
      <x:c r="G93" s="99"/>
      <x:c r="H93" s="99"/>
      <x:c r="I93" s="99"/>
      <x:c r="J93" s="99"/>
      <x:c r="K93" s="99"/>
      <x:c r="L93" s="99"/>
      <x:c r="M93" s="99"/>
      <x:c r="N93" s="99"/>
      <x:c r="O93" s="99"/>
      <x:c r="P93" s="99"/>
      <x:c r="Q93" s="99"/>
      <x:c r="R93" s="99"/>
      <x:c r="S93" s="99"/>
      <x:c r="T93" s="99"/>
      <x:c r="U93" s="99"/>
      <x:c r="V93" s="99"/>
      <x:c r="W93" s="99"/>
      <x:c r="X93" s="99"/>
      <x:c r="Y93" s="99"/>
      <x:c r="Z93" s="99"/>
    </x:row>
    <x:row r="94">
      <x:c r="A94" s="99"/>
      <x:c r="B94" s="99"/>
      <x:c r="C94" s="99"/>
      <x:c r="D94" s="99"/>
      <x:c r="E94" s="99"/>
      <x:c r="F94" s="99"/>
      <x:c r="G94" s="99"/>
      <x:c r="H94" s="99"/>
      <x:c r="I94" s="99"/>
      <x:c r="J94" s="99"/>
      <x:c r="K94" s="99"/>
      <x:c r="L94" s="99"/>
      <x:c r="M94" s="99"/>
      <x:c r="N94" s="99"/>
      <x:c r="O94" s="99"/>
      <x:c r="P94" s="99"/>
      <x:c r="Q94" s="99"/>
      <x:c r="R94" s="99"/>
      <x:c r="S94" s="99"/>
      <x:c r="T94" s="99"/>
      <x:c r="U94" s="99"/>
      <x:c r="V94" s="99"/>
      <x:c r="W94" s="99"/>
      <x:c r="X94" s="99"/>
      <x:c r="Y94" s="99"/>
      <x:c r="Z94" s="99"/>
    </x:row>
    <x:row r="95">
      <x:c r="A95" s="99"/>
      <x:c r="B95" s="99"/>
      <x:c r="C95" s="99"/>
      <x:c r="D95" s="99"/>
      <x:c r="E95" s="99"/>
      <x:c r="F95" s="99"/>
      <x:c r="G95" s="99"/>
      <x:c r="H95" s="99"/>
      <x:c r="I95" s="99"/>
      <x:c r="J95" s="99"/>
      <x:c r="K95" s="99"/>
      <x:c r="L95" s="99"/>
      <x:c r="M95" s="99"/>
      <x:c r="N95" s="99"/>
      <x:c r="O95" s="99"/>
      <x:c r="P95" s="99"/>
      <x:c r="Q95" s="99"/>
      <x:c r="R95" s="99"/>
      <x:c r="S95" s="99"/>
      <x:c r="T95" s="99"/>
      <x:c r="U95" s="99"/>
      <x:c r="V95" s="99"/>
      <x:c r="W95" s="99"/>
      <x:c r="X95" s="99"/>
      <x:c r="Y95" s="99"/>
      <x:c r="Z95" s="99"/>
    </x:row>
    <x:row r="96">
      <x:c r="A96" s="99"/>
      <x:c r="B96" s="99"/>
      <x:c r="C96" s="99"/>
      <x:c r="D96" s="99"/>
      <x:c r="E96" s="99"/>
      <x:c r="F96" s="99"/>
      <x:c r="G96" s="99"/>
      <x:c r="H96" s="99"/>
      <x:c r="I96" s="99"/>
      <x:c r="J96" s="99"/>
      <x:c r="K96" s="99"/>
      <x:c r="L96" s="99"/>
      <x:c r="M96" s="99"/>
      <x:c r="N96" s="99"/>
      <x:c r="O96" s="99"/>
      <x:c r="P96" s="99"/>
      <x:c r="Q96" s="99"/>
      <x:c r="R96" s="99"/>
      <x:c r="S96" s="99"/>
      <x:c r="T96" s="99"/>
      <x:c r="U96" s="99"/>
      <x:c r="V96" s="99"/>
      <x:c r="W96" s="99"/>
      <x:c r="X96" s="99"/>
      <x:c r="Y96" s="99"/>
      <x:c r="Z96" s="99"/>
    </x:row>
    <x:row r="97">
      <x:c r="A97" s="99"/>
      <x:c r="B97" s="99"/>
      <x:c r="C97" s="99"/>
      <x:c r="D97" s="99"/>
      <x:c r="E97" s="99"/>
      <x:c r="F97" s="99"/>
      <x:c r="G97" s="99"/>
      <x:c r="H97" s="99"/>
      <x:c r="I97" s="99"/>
      <x:c r="J97" s="99"/>
      <x:c r="K97" s="99"/>
      <x:c r="L97" s="99"/>
      <x:c r="M97" s="99"/>
      <x:c r="N97" s="99"/>
      <x:c r="O97" s="99"/>
      <x:c r="P97" s="99"/>
      <x:c r="Q97" s="99"/>
      <x:c r="R97" s="99"/>
      <x:c r="S97" s="99"/>
      <x:c r="T97" s="99"/>
      <x:c r="U97" s="99"/>
      <x:c r="V97" s="99"/>
      <x:c r="W97" s="99"/>
      <x:c r="X97" s="99"/>
      <x:c r="Y97" s="99"/>
      <x:c r="Z97" s="99"/>
    </x:row>
    <x:row r="98">
      <x:c r="A98" s="99"/>
      <x:c r="B98" s="99"/>
      <x:c r="C98" s="99"/>
      <x:c r="D98" s="99"/>
      <x:c r="E98" s="99"/>
      <x:c r="F98" s="99"/>
      <x:c r="G98" s="99"/>
      <x:c r="H98" s="99"/>
      <x:c r="I98" s="99"/>
      <x:c r="J98" s="99"/>
      <x:c r="K98" s="99"/>
      <x:c r="L98" s="99"/>
      <x:c r="M98" s="99"/>
      <x:c r="N98" s="99"/>
      <x:c r="O98" s="99"/>
      <x:c r="P98" s="99"/>
      <x:c r="Q98" s="99"/>
      <x:c r="R98" s="99"/>
      <x:c r="S98" s="99"/>
      <x:c r="T98" s="99"/>
      <x:c r="U98" s="99"/>
      <x:c r="V98" s="99"/>
      <x:c r="W98" s="99"/>
      <x:c r="X98" s="99"/>
      <x:c r="Y98" s="99"/>
      <x:c r="Z98" s="99"/>
    </x:row>
    <x:row r="99">
      <x:c r="A99" s="99"/>
      <x:c r="B99" s="99"/>
      <x:c r="C99" s="99"/>
      <x:c r="D99" s="99"/>
      <x:c r="E99" s="99"/>
      <x:c r="F99" s="99"/>
      <x:c r="G99" s="99"/>
      <x:c r="H99" s="99"/>
      <x:c r="I99" s="99"/>
      <x:c r="J99" s="99"/>
      <x:c r="K99" s="99"/>
      <x:c r="L99" s="99"/>
      <x:c r="M99" s="99"/>
      <x:c r="N99" s="99"/>
      <x:c r="O99" s="99"/>
      <x:c r="P99" s="99"/>
      <x:c r="Q99" s="99"/>
      <x:c r="R99" s="99"/>
      <x:c r="S99" s="99"/>
      <x:c r="T99" s="99"/>
      <x:c r="U99" s="99"/>
      <x:c r="V99" s="99"/>
      <x:c r="W99" s="99"/>
      <x:c r="X99" s="99"/>
      <x:c r="Y99" s="99"/>
      <x:c r="Z99" s="99"/>
    </x:row>
    <x:row r="100">
      <x:c r="A100" s="99"/>
      <x:c r="B100" s="99"/>
      <x:c r="C100" s="99"/>
      <x:c r="D100" s="99"/>
      <x:c r="E100" s="99"/>
      <x:c r="F100" s="99"/>
      <x:c r="G100" s="99"/>
      <x:c r="H100" s="99"/>
      <x:c r="I100" s="99"/>
      <x:c r="J100" s="99"/>
      <x:c r="K100" s="99"/>
      <x:c r="L100" s="99"/>
      <x:c r="M100" s="99"/>
      <x:c r="N100" s="99"/>
      <x:c r="O100" s="99"/>
      <x:c r="P100" s="99"/>
      <x:c r="Q100" s="99"/>
      <x:c r="R100" s="99"/>
      <x:c r="S100" s="99"/>
      <x:c r="T100" s="99"/>
      <x:c r="U100" s="99"/>
      <x:c r="V100" s="99"/>
      <x:c r="W100" s="99"/>
      <x:c r="X100" s="99"/>
      <x:c r="Y100" s="99"/>
      <x:c r="Z100" s="99"/>
    </x:row>
    <x:row r="101">
      <x:c r="A101" s="99"/>
      <x:c r="B101" s="99"/>
      <x:c r="C101" s="99"/>
      <x:c r="D101" s="99"/>
      <x:c r="E101" s="99"/>
      <x:c r="F101" s="99"/>
      <x:c r="G101" s="99"/>
      <x:c r="H101" s="99"/>
      <x:c r="I101" s="99"/>
      <x:c r="J101" s="99"/>
      <x:c r="K101" s="99"/>
      <x:c r="L101" s="99"/>
      <x:c r="M101" s="99"/>
      <x:c r="N101" s="99"/>
      <x:c r="O101" s="99"/>
      <x:c r="P101" s="99"/>
      <x:c r="Q101" s="99"/>
      <x:c r="R101" s="99"/>
      <x:c r="S101" s="99"/>
      <x:c r="T101" s="99"/>
      <x:c r="U101" s="99"/>
      <x:c r="V101" s="99"/>
      <x:c r="W101" s="99"/>
      <x:c r="X101" s="99"/>
      <x:c r="Y101" s="99"/>
      <x:c r="Z101" s="99"/>
    </x:row>
    <x:row r="102">
      <x:c r="A102" s="99"/>
      <x:c r="B102" s="99"/>
      <x:c r="C102" s="99"/>
      <x:c r="D102" s="99"/>
      <x:c r="E102" s="99"/>
      <x:c r="F102" s="99"/>
      <x:c r="G102" s="99"/>
      <x:c r="H102" s="99"/>
      <x:c r="I102" s="99"/>
      <x:c r="J102" s="99"/>
      <x:c r="K102" s="99"/>
      <x:c r="L102" s="99"/>
      <x:c r="M102" s="99"/>
      <x:c r="N102" s="99"/>
      <x:c r="O102" s="99"/>
      <x:c r="P102" s="99"/>
      <x:c r="Q102" s="99"/>
      <x:c r="R102" s="99"/>
      <x:c r="S102" s="99"/>
      <x:c r="T102" s="99"/>
      <x:c r="U102" s="99"/>
      <x:c r="V102" s="99"/>
      <x:c r="W102" s="99"/>
      <x:c r="X102" s="99"/>
      <x:c r="Y102" s="99"/>
      <x:c r="Z102" s="99"/>
    </x:row>
    <x:row r="103">
      <x:c r="A103" s="99"/>
      <x:c r="B103" s="99"/>
      <x:c r="C103" s="99"/>
      <x:c r="D103" s="99"/>
      <x:c r="E103" s="99"/>
      <x:c r="F103" s="99"/>
      <x:c r="G103" s="99"/>
      <x:c r="H103" s="99"/>
      <x:c r="I103" s="99"/>
      <x:c r="J103" s="99"/>
      <x:c r="K103" s="99"/>
      <x:c r="L103" s="99"/>
      <x:c r="M103" s="99"/>
      <x:c r="N103" s="99"/>
      <x:c r="O103" s="99"/>
      <x:c r="P103" s="99"/>
      <x:c r="Q103" s="99"/>
      <x:c r="R103" s="99"/>
      <x:c r="S103" s="99"/>
      <x:c r="T103" s="99"/>
      <x:c r="U103" s="99"/>
      <x:c r="V103" s="99"/>
      <x:c r="W103" s="99"/>
      <x:c r="X103" s="99"/>
      <x:c r="Y103" s="99"/>
      <x:c r="Z103" s="99"/>
    </x:row>
    <x:row r="104">
      <x:c r="A104" s="99"/>
      <x:c r="B104" s="99"/>
      <x:c r="C104" s="99"/>
      <x:c r="D104" s="99"/>
      <x:c r="E104" s="99"/>
      <x:c r="F104" s="99"/>
      <x:c r="G104" s="99"/>
      <x:c r="H104" s="99"/>
      <x:c r="I104" s="99"/>
      <x:c r="J104" s="99"/>
      <x:c r="K104" s="99"/>
      <x:c r="L104" s="99"/>
      <x:c r="M104" s="99"/>
      <x:c r="N104" s="99"/>
      <x:c r="O104" s="99"/>
      <x:c r="P104" s="99"/>
      <x:c r="Q104" s="99"/>
      <x:c r="R104" s="99"/>
      <x:c r="S104" s="99"/>
      <x:c r="T104" s="99"/>
      <x:c r="U104" s="99"/>
      <x:c r="V104" s="99"/>
      <x:c r="W104" s="99"/>
      <x:c r="X104" s="99"/>
      <x:c r="Y104" s="99"/>
      <x:c r="Z104" s="99"/>
    </x:row>
    <x:row r="105">
      <x:c r="A105" s="99"/>
      <x:c r="B105" s="99"/>
      <x:c r="C105" s="99"/>
      <x:c r="D105" s="99"/>
      <x:c r="E105" s="99"/>
      <x:c r="F105" s="99"/>
      <x:c r="G105" s="99"/>
      <x:c r="H105" s="99"/>
      <x:c r="I105" s="99"/>
      <x:c r="J105" s="99"/>
      <x:c r="K105" s="99"/>
      <x:c r="L105" s="99"/>
      <x:c r="M105" s="99"/>
      <x:c r="N105" s="99"/>
      <x:c r="O105" s="99"/>
      <x:c r="P105" s="99"/>
      <x:c r="Q105" s="99"/>
      <x:c r="R105" s="99"/>
      <x:c r="S105" s="99"/>
      <x:c r="T105" s="99"/>
      <x:c r="U105" s="99"/>
      <x:c r="V105" s="99"/>
      <x:c r="W105" s="99"/>
      <x:c r="X105" s="99"/>
      <x:c r="Y105" s="99"/>
      <x:c r="Z105" s="99"/>
    </x:row>
    <x:row r="106">
      <x:c r="A106" s="99"/>
      <x:c r="B106" s="99"/>
      <x:c r="C106" s="99"/>
      <x:c r="D106" s="99"/>
      <x:c r="E106" s="99"/>
      <x:c r="F106" s="99"/>
      <x:c r="G106" s="99"/>
      <x:c r="H106" s="99"/>
      <x:c r="I106" s="99"/>
      <x:c r="J106" s="99"/>
      <x:c r="K106" s="99"/>
      <x:c r="L106" s="99"/>
      <x:c r="M106" s="99"/>
      <x:c r="N106" s="99"/>
      <x:c r="O106" s="99"/>
      <x:c r="P106" s="99"/>
      <x:c r="Q106" s="99"/>
      <x:c r="R106" s="99"/>
      <x:c r="S106" s="99"/>
      <x:c r="T106" s="99"/>
      <x:c r="U106" s="99"/>
      <x:c r="V106" s="99"/>
      <x:c r="W106" s="99"/>
      <x:c r="X106" s="99"/>
      <x:c r="Y106" s="99"/>
      <x:c r="Z106" s="99"/>
    </x:row>
    <x:row r="107">
      <x:c r="A107" s="99"/>
      <x:c r="B107" s="99"/>
      <x:c r="C107" s="99"/>
      <x:c r="D107" s="99"/>
      <x:c r="E107" s="99"/>
      <x:c r="F107" s="99"/>
      <x:c r="G107" s="99"/>
      <x:c r="H107" s="99"/>
      <x:c r="I107" s="99"/>
      <x:c r="J107" s="99"/>
      <x:c r="K107" s="99"/>
      <x:c r="L107" s="99"/>
      <x:c r="M107" s="99"/>
      <x:c r="N107" s="99"/>
      <x:c r="O107" s="99"/>
      <x:c r="P107" s="99"/>
      <x:c r="Q107" s="99"/>
      <x:c r="R107" s="99"/>
      <x:c r="S107" s="99"/>
      <x:c r="T107" s="99"/>
      <x:c r="U107" s="99"/>
      <x:c r="V107" s="99"/>
      <x:c r="W107" s="99"/>
      <x:c r="X107" s="99"/>
      <x:c r="Y107" s="99"/>
      <x:c r="Z107" s="99"/>
    </x:row>
    <x:row r="108">
      <x:c r="A108" s="99"/>
      <x:c r="B108" s="99"/>
      <x:c r="C108" s="99"/>
      <x:c r="D108" s="99"/>
      <x:c r="E108" s="99"/>
      <x:c r="F108" s="99"/>
      <x:c r="G108" s="99"/>
      <x:c r="H108" s="99"/>
      <x:c r="I108" s="99"/>
      <x:c r="J108" s="99"/>
      <x:c r="K108" s="99"/>
      <x:c r="L108" s="99"/>
      <x:c r="M108" s="99"/>
      <x:c r="N108" s="99"/>
      <x:c r="O108" s="99"/>
      <x:c r="P108" s="99"/>
      <x:c r="Q108" s="99"/>
      <x:c r="R108" s="99"/>
      <x:c r="S108" s="99"/>
      <x:c r="T108" s="99"/>
      <x:c r="U108" s="99"/>
      <x:c r="V108" s="99"/>
      <x:c r="W108" s="99"/>
      <x:c r="X108" s="99"/>
      <x:c r="Y108" s="99"/>
      <x:c r="Z108" s="99"/>
    </x:row>
    <x:row r="109">
      <x:c r="A109" s="99"/>
      <x:c r="B109" s="99"/>
      <x:c r="C109" s="99"/>
      <x:c r="D109" s="99"/>
      <x:c r="E109" s="99"/>
      <x:c r="F109" s="99"/>
      <x:c r="G109" s="99"/>
      <x:c r="H109" s="99"/>
      <x:c r="I109" s="99"/>
      <x:c r="J109" s="99"/>
      <x:c r="K109" s="99"/>
      <x:c r="L109" s="99"/>
      <x:c r="M109" s="99"/>
      <x:c r="N109" s="99"/>
      <x:c r="O109" s="99"/>
      <x:c r="P109" s="99"/>
      <x:c r="Q109" s="99"/>
      <x:c r="R109" s="99"/>
      <x:c r="S109" s="99"/>
      <x:c r="T109" s="99"/>
      <x:c r="U109" s="99"/>
      <x:c r="V109" s="99"/>
      <x:c r="W109" s="99"/>
      <x:c r="X109" s="99"/>
      <x:c r="Y109" s="99"/>
      <x:c r="Z109" s="99"/>
    </x:row>
    <x:row r="110">
      <x:c r="A110" s="99"/>
      <x:c r="B110" s="99"/>
      <x:c r="C110" s="99"/>
      <x:c r="D110" s="99"/>
      <x:c r="E110" s="99"/>
      <x:c r="F110" s="99"/>
      <x:c r="G110" s="99"/>
      <x:c r="H110" s="99"/>
      <x:c r="I110" s="99"/>
      <x:c r="J110" s="99"/>
      <x:c r="K110" s="99"/>
      <x:c r="L110" s="99"/>
      <x:c r="M110" s="99"/>
      <x:c r="N110" s="99"/>
      <x:c r="O110" s="99"/>
      <x:c r="P110" s="99"/>
      <x:c r="Q110" s="99"/>
      <x:c r="R110" s="99"/>
      <x:c r="S110" s="99"/>
      <x:c r="T110" s="99"/>
      <x:c r="U110" s="99"/>
      <x:c r="V110" s="99"/>
      <x:c r="W110" s="99"/>
      <x:c r="X110" s="99"/>
      <x:c r="Y110" s="99"/>
      <x:c r="Z110" s="99"/>
    </x:row>
    <x:row r="111">
      <x:c r="A111" s="99"/>
      <x:c r="B111" s="99"/>
      <x:c r="C111" s="99"/>
      <x:c r="D111" s="99"/>
      <x:c r="E111" s="99"/>
      <x:c r="F111" s="99"/>
      <x:c r="G111" s="99"/>
      <x:c r="H111" s="99"/>
      <x:c r="I111" s="99"/>
      <x:c r="J111" s="99"/>
      <x:c r="K111" s="99"/>
      <x:c r="L111" s="99"/>
      <x:c r="M111" s="99"/>
      <x:c r="N111" s="99"/>
      <x:c r="O111" s="99"/>
      <x:c r="P111" s="99"/>
      <x:c r="Q111" s="99"/>
      <x:c r="R111" s="99"/>
      <x:c r="S111" s="99"/>
      <x:c r="T111" s="99"/>
      <x:c r="U111" s="99"/>
      <x:c r="V111" s="99"/>
      <x:c r="W111" s="99"/>
      <x:c r="X111" s="99"/>
      <x:c r="Y111" s="99"/>
      <x:c r="Z111" s="99"/>
    </x:row>
    <x:row r="112">
      <x:c r="A112" s="99"/>
      <x:c r="B112" s="99"/>
      <x:c r="C112" s="99"/>
      <x:c r="D112" s="99"/>
      <x:c r="E112" s="99"/>
      <x:c r="F112" s="99"/>
      <x:c r="G112" s="99"/>
      <x:c r="H112" s="99"/>
      <x:c r="I112" s="99"/>
      <x:c r="J112" s="99"/>
      <x:c r="K112" s="99"/>
      <x:c r="L112" s="99"/>
      <x:c r="M112" s="99"/>
      <x:c r="N112" s="99"/>
      <x:c r="O112" s="99"/>
      <x:c r="P112" s="99"/>
      <x:c r="Q112" s="99"/>
      <x:c r="R112" s="99"/>
      <x:c r="S112" s="99"/>
      <x:c r="T112" s="99"/>
      <x:c r="U112" s="99"/>
      <x:c r="V112" s="99"/>
      <x:c r="W112" s="99"/>
      <x:c r="X112" s="99"/>
      <x:c r="Y112" s="99"/>
      <x:c r="Z112" s="99"/>
    </x:row>
    <x:row r="113">
      <x:c r="A113" s="99"/>
      <x:c r="B113" s="99"/>
      <x:c r="C113" s="99"/>
      <x:c r="D113" s="99"/>
      <x:c r="E113" s="99"/>
      <x:c r="F113" s="99"/>
      <x:c r="G113" s="99"/>
      <x:c r="H113" s="99"/>
      <x:c r="I113" s="99"/>
      <x:c r="J113" s="99"/>
      <x:c r="K113" s="99"/>
      <x:c r="L113" s="99"/>
      <x:c r="M113" s="99"/>
      <x:c r="N113" s="99"/>
      <x:c r="O113" s="99"/>
      <x:c r="P113" s="99"/>
      <x:c r="Q113" s="99"/>
      <x:c r="R113" s="99"/>
      <x:c r="S113" s="99"/>
      <x:c r="T113" s="99"/>
      <x:c r="U113" s="99"/>
      <x:c r="V113" s="99"/>
      <x:c r="W113" s="99"/>
      <x:c r="X113" s="99"/>
      <x:c r="Y113" s="99"/>
      <x:c r="Z113" s="99"/>
    </x:row>
    <x:row r="114">
      <x:c r="A114" s="99"/>
      <x:c r="B114" s="99"/>
      <x:c r="C114" s="99"/>
      <x:c r="D114" s="99"/>
      <x:c r="E114" s="99"/>
      <x:c r="F114" s="99"/>
      <x:c r="G114" s="99"/>
      <x:c r="H114" s="99"/>
      <x:c r="I114" s="99"/>
      <x:c r="J114" s="99"/>
      <x:c r="K114" s="99"/>
      <x:c r="L114" s="99"/>
      <x:c r="M114" s="99"/>
      <x:c r="N114" s="99"/>
      <x:c r="O114" s="99"/>
      <x:c r="P114" s="99"/>
      <x:c r="Q114" s="99"/>
      <x:c r="R114" s="99"/>
      <x:c r="S114" s="99"/>
      <x:c r="T114" s="99"/>
      <x:c r="U114" s="99"/>
      <x:c r="V114" s="99"/>
      <x:c r="W114" s="99"/>
      <x:c r="X114" s="99"/>
      <x:c r="Y114" s="99"/>
      <x:c r="Z114" s="99"/>
    </x:row>
    <x:row r="115">
      <x:c r="A115" s="99"/>
      <x:c r="B115" s="99"/>
      <x:c r="C115" s="99"/>
      <x:c r="D115" s="99"/>
      <x:c r="E115" s="99"/>
      <x:c r="F115" s="99"/>
      <x:c r="G115" s="99"/>
      <x:c r="H115" s="99"/>
      <x:c r="I115" s="99"/>
      <x:c r="J115" s="99"/>
      <x:c r="K115" s="99"/>
      <x:c r="L115" s="99"/>
      <x:c r="M115" s="99"/>
      <x:c r="N115" s="99"/>
      <x:c r="O115" s="99"/>
      <x:c r="P115" s="99"/>
      <x:c r="Q115" s="99"/>
      <x:c r="R115" s="99"/>
      <x:c r="S115" s="99"/>
      <x:c r="T115" s="99"/>
      <x:c r="U115" s="99"/>
      <x:c r="V115" s="99"/>
      <x:c r="W115" s="99"/>
      <x:c r="X115" s="99"/>
      <x:c r="Y115" s="99"/>
      <x:c r="Z115" s="99"/>
    </x:row>
    <x:row r="116">
      <x:c r="A116" s="99"/>
      <x:c r="B116" s="99"/>
      <x:c r="C116" s="99"/>
      <x:c r="D116" s="99"/>
      <x:c r="E116" s="99"/>
      <x:c r="F116" s="99"/>
      <x:c r="G116" s="99"/>
      <x:c r="H116" s="99"/>
      <x:c r="I116" s="99"/>
      <x:c r="J116" s="99"/>
      <x:c r="K116" s="99"/>
      <x:c r="L116" s="99"/>
      <x:c r="M116" s="99"/>
      <x:c r="N116" s="99"/>
      <x:c r="O116" s="99"/>
      <x:c r="P116" s="99"/>
      <x:c r="Q116" s="99"/>
      <x:c r="R116" s="99"/>
      <x:c r="S116" s="99"/>
      <x:c r="T116" s="99"/>
      <x:c r="U116" s="99"/>
      <x:c r="V116" s="99"/>
      <x:c r="W116" s="99"/>
      <x:c r="X116" s="99"/>
      <x:c r="Y116" s="99"/>
      <x:c r="Z116" s="99"/>
    </x:row>
    <x:row r="117">
      <x:c r="A117" s="99"/>
      <x:c r="B117" s="99"/>
      <x:c r="C117" s="99"/>
      <x:c r="D117" s="99"/>
      <x:c r="E117" s="99"/>
      <x:c r="F117" s="99"/>
      <x:c r="G117" s="99"/>
      <x:c r="H117" s="99"/>
      <x:c r="I117" s="99"/>
      <x:c r="J117" s="99"/>
      <x:c r="K117" s="99"/>
      <x:c r="L117" s="99"/>
      <x:c r="M117" s="99"/>
      <x:c r="N117" s="99"/>
      <x:c r="O117" s="99"/>
      <x:c r="P117" s="99"/>
      <x:c r="Q117" s="99"/>
      <x:c r="R117" s="99"/>
      <x:c r="S117" s="99"/>
      <x:c r="T117" s="99"/>
      <x:c r="U117" s="99"/>
      <x:c r="V117" s="99"/>
      <x:c r="W117" s="99"/>
      <x:c r="X117" s="99"/>
      <x:c r="Y117" s="99"/>
      <x:c r="Z117" s="99"/>
    </x:row>
    <x:row r="118">
      <x:c r="A118" s="99"/>
      <x:c r="B118" s="99"/>
      <x:c r="C118" s="99"/>
      <x:c r="D118" s="99"/>
      <x:c r="E118" s="99"/>
      <x:c r="F118" s="99"/>
      <x:c r="G118" s="99"/>
      <x:c r="H118" s="99"/>
      <x:c r="I118" s="99"/>
      <x:c r="J118" s="99"/>
      <x:c r="K118" s="99"/>
      <x:c r="L118" s="99"/>
      <x:c r="M118" s="99"/>
      <x:c r="N118" s="99"/>
      <x:c r="O118" s="99"/>
      <x:c r="P118" s="99"/>
      <x:c r="Q118" s="99"/>
      <x:c r="R118" s="99"/>
      <x:c r="S118" s="99"/>
      <x:c r="T118" s="99"/>
      <x:c r="U118" s="99"/>
      <x:c r="V118" s="99"/>
      <x:c r="W118" s="99"/>
      <x:c r="X118" s="99"/>
      <x:c r="Y118" s="99"/>
      <x:c r="Z118" s="99"/>
    </x:row>
    <x:row r="119">
      <x:c r="A119" s="99"/>
      <x:c r="B119" s="99"/>
      <x:c r="C119" s="99"/>
      <x:c r="D119" s="99"/>
      <x:c r="E119" s="99"/>
      <x:c r="F119" s="99"/>
      <x:c r="G119" s="99"/>
      <x:c r="H119" s="99"/>
      <x:c r="I119" s="99"/>
      <x:c r="J119" s="99"/>
      <x:c r="K119" s="99"/>
      <x:c r="L119" s="99"/>
      <x:c r="M119" s="99"/>
      <x:c r="N119" s="99"/>
      <x:c r="O119" s="99"/>
      <x:c r="P119" s="99"/>
      <x:c r="Q119" s="99"/>
      <x:c r="R119" s="99"/>
      <x:c r="S119" s="99"/>
      <x:c r="T119" s="99"/>
      <x:c r="U119" s="99"/>
      <x:c r="V119" s="99"/>
      <x:c r="W119" s="99"/>
      <x:c r="X119" s="99"/>
      <x:c r="Y119" s="99"/>
      <x:c r="Z119" s="99"/>
    </x:row>
    <x:row r="120">
      <x:c r="A120" s="99"/>
      <x:c r="B120" s="99"/>
      <x:c r="C120" s="99"/>
      <x:c r="D120" s="99"/>
      <x:c r="E120" s="99"/>
      <x:c r="F120" s="99"/>
      <x:c r="G120" s="99"/>
      <x:c r="H120" s="99"/>
      <x:c r="I120" s="99"/>
      <x:c r="J120" s="99"/>
      <x:c r="K120" s="99"/>
      <x:c r="L120" s="99"/>
      <x:c r="M120" s="99"/>
      <x:c r="N120" s="99"/>
      <x:c r="O120" s="99"/>
      <x:c r="P120" s="99"/>
      <x:c r="Q120" s="99"/>
      <x:c r="R120" s="99"/>
      <x:c r="S120" s="99"/>
      <x:c r="T120" s="99"/>
      <x:c r="U120" s="99"/>
      <x:c r="V120" s="99"/>
      <x:c r="W120" s="99"/>
      <x:c r="X120" s="99"/>
      <x:c r="Y120" s="99"/>
      <x:c r="Z120" s="99"/>
    </x:row>
    <x:row r="121">
      <x:c r="A121" s="99"/>
      <x:c r="B121" s="99"/>
      <x:c r="C121" s="99"/>
      <x:c r="D121" s="99"/>
      <x:c r="E121" s="99"/>
      <x:c r="F121" s="99"/>
      <x:c r="G121" s="99"/>
      <x:c r="H121" s="99"/>
      <x:c r="I121" s="99"/>
      <x:c r="J121" s="99"/>
      <x:c r="K121" s="99"/>
      <x:c r="L121" s="99"/>
      <x:c r="M121" s="99"/>
      <x:c r="N121" s="99"/>
      <x:c r="O121" s="99"/>
      <x:c r="P121" s="99"/>
      <x:c r="Q121" s="99"/>
      <x:c r="R121" s="99"/>
      <x:c r="S121" s="99"/>
      <x:c r="T121" s="99"/>
      <x:c r="U121" s="99"/>
      <x:c r="V121" s="99"/>
      <x:c r="W121" s="99"/>
      <x:c r="X121" s="99"/>
      <x:c r="Y121" s="99"/>
      <x:c r="Z121" s="99"/>
    </x:row>
    <x:row r="122">
      <x:c r="A122" s="99"/>
      <x:c r="B122" s="99"/>
      <x:c r="C122" s="99"/>
      <x:c r="D122" s="99"/>
      <x:c r="E122" s="99"/>
      <x:c r="F122" s="99"/>
      <x:c r="G122" s="99"/>
      <x:c r="H122" s="99"/>
      <x:c r="I122" s="99"/>
      <x:c r="J122" s="99"/>
      <x:c r="K122" s="99"/>
      <x:c r="L122" s="99"/>
      <x:c r="M122" s="99"/>
      <x:c r="N122" s="99"/>
      <x:c r="O122" s="99"/>
      <x:c r="P122" s="99"/>
      <x:c r="Q122" s="99"/>
      <x:c r="R122" s="99"/>
      <x:c r="S122" s="99"/>
      <x:c r="T122" s="99"/>
      <x:c r="U122" s="99"/>
      <x:c r="V122" s="99"/>
      <x:c r="W122" s="99"/>
      <x:c r="X122" s="99"/>
      <x:c r="Y122" s="99"/>
      <x:c r="Z122" s="99"/>
    </x:row>
    <x:row r="123">
      <x:c r="A123" s="99"/>
      <x:c r="B123" s="99"/>
      <x:c r="C123" s="99"/>
      <x:c r="D123" s="99"/>
      <x:c r="E123" s="99"/>
      <x:c r="F123" s="99"/>
      <x:c r="G123" s="99"/>
      <x:c r="H123" s="99"/>
      <x:c r="I123" s="99"/>
      <x:c r="J123" s="99"/>
      <x:c r="K123" s="99"/>
      <x:c r="L123" s="99"/>
      <x:c r="M123" s="99"/>
      <x:c r="N123" s="99"/>
      <x:c r="O123" s="99"/>
      <x:c r="P123" s="99"/>
      <x:c r="Q123" s="99"/>
      <x:c r="R123" s="99"/>
      <x:c r="S123" s="99"/>
      <x:c r="T123" s="99"/>
      <x:c r="U123" s="99"/>
      <x:c r="V123" s="99"/>
      <x:c r="W123" s="99"/>
      <x:c r="X123" s="99"/>
      <x:c r="Y123" s="99"/>
      <x:c r="Z123" s="99"/>
    </x:row>
    <x:row r="124">
      <x:c r="A124" s="99"/>
      <x:c r="B124" s="99"/>
      <x:c r="C124" s="99"/>
      <x:c r="D124" s="99"/>
      <x:c r="E124" s="99"/>
      <x:c r="F124" s="99"/>
      <x:c r="G124" s="99"/>
      <x:c r="H124" s="99"/>
      <x:c r="I124" s="99"/>
      <x:c r="J124" s="99"/>
      <x:c r="K124" s="99"/>
      <x:c r="L124" s="99"/>
      <x:c r="M124" s="99"/>
      <x:c r="N124" s="99"/>
      <x:c r="O124" s="99"/>
      <x:c r="P124" s="99"/>
      <x:c r="Q124" s="99"/>
      <x:c r="R124" s="99"/>
      <x:c r="S124" s="99"/>
      <x:c r="T124" s="99"/>
      <x:c r="U124" s="99"/>
      <x:c r="V124" s="99"/>
      <x:c r="W124" s="99"/>
      <x:c r="X124" s="99"/>
      <x:c r="Y124" s="99"/>
      <x:c r="Z124" s="99"/>
    </x:row>
    <x:row r="125">
      <x:c r="A125" s="99"/>
      <x:c r="B125" s="99"/>
      <x:c r="C125" s="99"/>
      <x:c r="D125" s="99"/>
      <x:c r="E125" s="99"/>
      <x:c r="F125" s="99"/>
      <x:c r="G125" s="99"/>
      <x:c r="H125" s="99"/>
      <x:c r="I125" s="99"/>
      <x:c r="J125" s="99"/>
      <x:c r="K125" s="99"/>
      <x:c r="L125" s="99"/>
      <x:c r="M125" s="99"/>
      <x:c r="N125" s="99"/>
      <x:c r="O125" s="99"/>
      <x:c r="P125" s="99"/>
      <x:c r="Q125" s="99"/>
      <x:c r="R125" s="99"/>
      <x:c r="S125" s="99"/>
      <x:c r="T125" s="99"/>
      <x:c r="U125" s="99"/>
      <x:c r="V125" s="99"/>
      <x:c r="W125" s="99"/>
      <x:c r="X125" s="99"/>
      <x:c r="Y125" s="99"/>
      <x:c r="Z125" s="99"/>
    </x:row>
    <x:row r="126">
      <x:c r="A126" s="99"/>
      <x:c r="B126" s="99"/>
      <x:c r="C126" s="99"/>
      <x:c r="D126" s="99"/>
      <x:c r="E126" s="99"/>
      <x:c r="F126" s="99"/>
      <x:c r="G126" s="99"/>
      <x:c r="H126" s="99"/>
      <x:c r="I126" s="99"/>
      <x:c r="J126" s="99"/>
      <x:c r="K126" s="99"/>
      <x:c r="L126" s="99"/>
      <x:c r="M126" s="99"/>
      <x:c r="N126" s="99"/>
      <x:c r="O126" s="99"/>
      <x:c r="P126" s="99"/>
      <x:c r="Q126" s="99"/>
      <x:c r="R126" s="99"/>
      <x:c r="S126" s="99"/>
      <x:c r="T126" s="99"/>
      <x:c r="U126" s="99"/>
      <x:c r="V126" s="99"/>
      <x:c r="W126" s="99"/>
      <x:c r="X126" s="99"/>
      <x:c r="Y126" s="99"/>
      <x:c r="Z126" s="99"/>
    </x:row>
    <x:row r="127">
      <x:c r="A127" s="99"/>
      <x:c r="B127" s="99"/>
      <x:c r="C127" s="99"/>
      <x:c r="D127" s="99"/>
      <x:c r="E127" s="99"/>
      <x:c r="F127" s="99"/>
      <x:c r="G127" s="99"/>
      <x:c r="H127" s="99"/>
      <x:c r="I127" s="99"/>
      <x:c r="J127" s="99"/>
      <x:c r="K127" s="99"/>
      <x:c r="L127" s="99"/>
      <x:c r="M127" s="99"/>
      <x:c r="N127" s="99"/>
      <x:c r="O127" s="99"/>
      <x:c r="P127" s="99"/>
      <x:c r="Q127" s="99"/>
      <x:c r="R127" s="99"/>
      <x:c r="S127" s="99"/>
      <x:c r="T127" s="99"/>
      <x:c r="U127" s="99"/>
      <x:c r="V127" s="99"/>
      <x:c r="W127" s="99"/>
      <x:c r="X127" s="99"/>
      <x:c r="Y127" s="99"/>
      <x:c r="Z127" s="99"/>
    </x:row>
    <x:row r="128">
      <x:c r="A128" s="99"/>
      <x:c r="B128" s="99"/>
      <x:c r="C128" s="99"/>
      <x:c r="D128" s="99"/>
      <x:c r="E128" s="99"/>
      <x:c r="F128" s="99"/>
      <x:c r="G128" s="99"/>
      <x:c r="H128" s="99"/>
      <x:c r="I128" s="99"/>
      <x:c r="J128" s="99"/>
      <x:c r="K128" s="99"/>
      <x:c r="L128" s="99"/>
      <x:c r="M128" s="99"/>
      <x:c r="N128" s="99"/>
      <x:c r="O128" s="99"/>
      <x:c r="P128" s="99"/>
      <x:c r="Q128" s="99"/>
      <x:c r="R128" s="99"/>
      <x:c r="S128" s="99"/>
      <x:c r="T128" s="99"/>
      <x:c r="U128" s="99"/>
      <x:c r="V128" s="99"/>
      <x:c r="W128" s="99"/>
      <x:c r="X128" s="99"/>
      <x:c r="Y128" s="99"/>
      <x:c r="Z128" s="99"/>
    </x:row>
    <x:row r="129">
      <x:c r="A129" s="99"/>
      <x:c r="B129" s="99"/>
      <x:c r="C129" s="99"/>
      <x:c r="D129" s="99"/>
      <x:c r="E129" s="99"/>
      <x:c r="F129" s="99"/>
      <x:c r="G129" s="99"/>
      <x:c r="H129" s="99"/>
      <x:c r="I129" s="99"/>
      <x:c r="J129" s="99"/>
      <x:c r="K129" s="99"/>
      <x:c r="L129" s="99"/>
      <x:c r="M129" s="99"/>
      <x:c r="N129" s="99"/>
      <x:c r="O129" s="99"/>
      <x:c r="P129" s="99"/>
      <x:c r="Q129" s="99"/>
      <x:c r="R129" s="99"/>
      <x:c r="S129" s="99"/>
      <x:c r="T129" s="99"/>
      <x:c r="U129" s="99"/>
      <x:c r="V129" s="99"/>
      <x:c r="W129" s="99"/>
      <x:c r="X129" s="99"/>
      <x:c r="Y129" s="99"/>
      <x:c r="Z129" s="99"/>
    </x:row>
    <x:row r="130">
      <x:c r="A130" s="99"/>
      <x:c r="B130" s="99"/>
      <x:c r="C130" s="99"/>
      <x:c r="D130" s="99"/>
      <x:c r="E130" s="99"/>
      <x:c r="F130" s="99"/>
      <x:c r="G130" s="99"/>
      <x:c r="H130" s="99"/>
      <x:c r="I130" s="99"/>
      <x:c r="J130" s="99"/>
      <x:c r="K130" s="99"/>
      <x:c r="L130" s="99"/>
      <x:c r="M130" s="99"/>
      <x:c r="N130" s="99"/>
      <x:c r="O130" s="99"/>
      <x:c r="P130" s="99"/>
      <x:c r="Q130" s="99"/>
      <x:c r="R130" s="99"/>
      <x:c r="S130" s="99"/>
      <x:c r="T130" s="99"/>
      <x:c r="U130" s="99"/>
      <x:c r="V130" s="99"/>
      <x:c r="W130" s="99"/>
      <x:c r="X130" s="99"/>
      <x:c r="Y130" s="99"/>
      <x:c r="Z130" s="99"/>
    </x:row>
    <x:row r="131">
      <x:c r="A131" s="99"/>
      <x:c r="B131" s="99"/>
      <x:c r="C131" s="99"/>
      <x:c r="D131" s="99"/>
      <x:c r="E131" s="99"/>
      <x:c r="F131" s="99"/>
      <x:c r="G131" s="99"/>
      <x:c r="H131" s="99"/>
      <x:c r="I131" s="99"/>
      <x:c r="J131" s="99"/>
      <x:c r="K131" s="99"/>
      <x:c r="L131" s="99"/>
      <x:c r="M131" s="99"/>
      <x:c r="N131" s="99"/>
      <x:c r="O131" s="99"/>
      <x:c r="P131" s="99"/>
      <x:c r="Q131" s="99"/>
      <x:c r="R131" s="99"/>
      <x:c r="S131" s="99"/>
      <x:c r="T131" s="99"/>
      <x:c r="U131" s="99"/>
      <x:c r="V131" s="99"/>
      <x:c r="W131" s="99"/>
      <x:c r="X131" s="99"/>
      <x:c r="Y131" s="99"/>
      <x:c r="Z131" s="99"/>
    </x:row>
    <x:row r="132">
      <x:c r="A132" s="99"/>
      <x:c r="B132" s="99"/>
      <x:c r="C132" s="99"/>
      <x:c r="D132" s="99"/>
      <x:c r="E132" s="99"/>
      <x:c r="F132" s="99"/>
      <x:c r="G132" s="99"/>
      <x:c r="H132" s="99"/>
      <x:c r="I132" s="99"/>
      <x:c r="J132" s="99"/>
      <x:c r="K132" s="99"/>
      <x:c r="L132" s="99"/>
      <x:c r="M132" s="99"/>
      <x:c r="N132" s="99"/>
      <x:c r="O132" s="99"/>
      <x:c r="P132" s="99"/>
      <x:c r="Q132" s="99"/>
      <x:c r="R132" s="99"/>
      <x:c r="S132" s="99"/>
      <x:c r="T132" s="99"/>
      <x:c r="U132" s="99"/>
      <x:c r="V132" s="99"/>
      <x:c r="W132" s="99"/>
      <x:c r="X132" s="99"/>
      <x:c r="Y132" s="99"/>
      <x:c r="Z132" s="99"/>
    </x:row>
    <x:row r="133">
      <x:c r="A133" s="99"/>
      <x:c r="B133" s="99"/>
      <x:c r="C133" s="99"/>
      <x:c r="D133" s="99"/>
      <x:c r="E133" s="99"/>
      <x:c r="F133" s="99"/>
      <x:c r="G133" s="99"/>
      <x:c r="H133" s="99"/>
      <x:c r="I133" s="99"/>
      <x:c r="J133" s="99"/>
      <x:c r="K133" s="99"/>
      <x:c r="L133" s="99"/>
      <x:c r="M133" s="99"/>
      <x:c r="N133" s="99"/>
      <x:c r="O133" s="99"/>
      <x:c r="P133" s="99"/>
      <x:c r="Q133" s="99"/>
      <x:c r="R133" s="99"/>
      <x:c r="S133" s="99"/>
      <x:c r="T133" s="99"/>
      <x:c r="U133" s="99"/>
      <x:c r="V133" s="99"/>
      <x:c r="W133" s="99"/>
      <x:c r="X133" s="99"/>
      <x:c r="Y133" s="99"/>
      <x:c r="Z133" s="99"/>
    </x:row>
    <x:row r="134">
      <x:c r="A134" s="99"/>
      <x:c r="B134" s="99"/>
      <x:c r="C134" s="99"/>
      <x:c r="D134" s="99"/>
      <x:c r="E134" s="99"/>
      <x:c r="F134" s="99"/>
      <x:c r="G134" s="99"/>
      <x:c r="H134" s="99"/>
      <x:c r="I134" s="99"/>
      <x:c r="J134" s="99"/>
      <x:c r="K134" s="99"/>
      <x:c r="L134" s="99"/>
      <x:c r="M134" s="99"/>
      <x:c r="N134" s="99"/>
      <x:c r="O134" s="99"/>
      <x:c r="P134" s="99"/>
      <x:c r="Q134" s="99"/>
      <x:c r="R134" s="99"/>
      <x:c r="S134" s="99"/>
      <x:c r="T134" s="99"/>
      <x:c r="U134" s="99"/>
      <x:c r="V134" s="99"/>
      <x:c r="W134" s="99"/>
      <x:c r="X134" s="99"/>
      <x:c r="Y134" s="99"/>
      <x:c r="Z134" s="99"/>
    </x:row>
    <x:row r="135">
      <x:c r="A135" s="99"/>
      <x:c r="B135" s="99"/>
      <x:c r="C135" s="99"/>
      <x:c r="D135" s="99"/>
      <x:c r="E135" s="99"/>
      <x:c r="F135" s="99"/>
      <x:c r="G135" s="99"/>
      <x:c r="H135" s="99"/>
      <x:c r="I135" s="99"/>
      <x:c r="J135" s="99"/>
      <x:c r="K135" s="99"/>
      <x:c r="L135" s="99"/>
      <x:c r="M135" s="99"/>
      <x:c r="N135" s="99"/>
      <x:c r="O135" s="99"/>
      <x:c r="P135" s="99"/>
      <x:c r="Q135" s="99"/>
      <x:c r="R135" s="99"/>
      <x:c r="S135" s="99"/>
      <x:c r="T135" s="99"/>
      <x:c r="U135" s="99"/>
      <x:c r="V135" s="99"/>
      <x:c r="W135" s="99"/>
      <x:c r="X135" s="99"/>
      <x:c r="Y135" s="99"/>
      <x:c r="Z135" s="99"/>
    </x:row>
    <x:row r="136">
      <x:c r="A136" s="99"/>
      <x:c r="B136" s="99"/>
      <x:c r="C136" s="99"/>
      <x:c r="D136" s="99"/>
      <x:c r="E136" s="99"/>
      <x:c r="F136" s="99"/>
      <x:c r="G136" s="99"/>
      <x:c r="H136" s="99"/>
      <x:c r="I136" s="99"/>
      <x:c r="J136" s="99"/>
      <x:c r="K136" s="99"/>
      <x:c r="L136" s="99"/>
      <x:c r="M136" s="99"/>
      <x:c r="N136" s="99"/>
      <x:c r="O136" s="99"/>
      <x:c r="P136" s="99"/>
      <x:c r="Q136" s="99"/>
      <x:c r="R136" s="99"/>
      <x:c r="S136" s="99"/>
      <x:c r="T136" s="99"/>
      <x:c r="U136" s="99"/>
      <x:c r="V136" s="99"/>
      <x:c r="W136" s="99"/>
      <x:c r="X136" s="99"/>
      <x:c r="Y136" s="99"/>
      <x:c r="Z136" s="99"/>
    </x:row>
    <x:row r="137">
      <x:c r="A137" s="99"/>
      <x:c r="B137" s="99"/>
      <x:c r="C137" s="99"/>
      <x:c r="D137" s="99"/>
      <x:c r="E137" s="99"/>
      <x:c r="F137" s="99"/>
      <x:c r="G137" s="99"/>
      <x:c r="H137" s="99"/>
      <x:c r="I137" s="99"/>
      <x:c r="J137" s="99"/>
      <x:c r="K137" s="99"/>
      <x:c r="L137" s="99"/>
      <x:c r="M137" s="99"/>
      <x:c r="N137" s="99"/>
      <x:c r="O137" s="99"/>
      <x:c r="P137" s="99"/>
      <x:c r="Q137" s="99"/>
      <x:c r="R137" s="99"/>
      <x:c r="S137" s="99"/>
      <x:c r="T137" s="99"/>
      <x:c r="U137" s="99"/>
      <x:c r="V137" s="99"/>
      <x:c r="W137" s="99"/>
      <x:c r="X137" s="99"/>
      <x:c r="Y137" s="99"/>
      <x:c r="Z137" s="99"/>
    </x:row>
    <x:row r="138">
      <x:c r="A138" s="99"/>
      <x:c r="B138" s="99"/>
      <x:c r="C138" s="99"/>
      <x:c r="D138" s="99"/>
      <x:c r="E138" s="99"/>
      <x:c r="F138" s="99"/>
      <x:c r="G138" s="99"/>
      <x:c r="H138" s="99"/>
      <x:c r="I138" s="99"/>
      <x:c r="J138" s="99"/>
      <x:c r="K138" s="99"/>
      <x:c r="L138" s="99"/>
      <x:c r="M138" s="99"/>
      <x:c r="N138" s="99"/>
      <x:c r="O138" s="99"/>
      <x:c r="P138" s="99"/>
      <x:c r="Q138" s="99"/>
      <x:c r="R138" s="99"/>
      <x:c r="S138" s="99"/>
      <x:c r="T138" s="99"/>
      <x:c r="U138" s="99"/>
      <x:c r="V138" s="99"/>
      <x:c r="W138" s="99"/>
      <x:c r="X138" s="99"/>
      <x:c r="Y138" s="99"/>
      <x:c r="Z138" s="99"/>
    </x:row>
    <x:row r="139">
      <x:c r="A139" s="99"/>
      <x:c r="B139" s="99"/>
      <x:c r="C139" s="99"/>
      <x:c r="D139" s="99"/>
      <x:c r="E139" s="99"/>
      <x:c r="F139" s="99"/>
      <x:c r="G139" s="99"/>
      <x:c r="H139" s="99"/>
      <x:c r="I139" s="99"/>
      <x:c r="J139" s="99"/>
      <x:c r="K139" s="99"/>
      <x:c r="L139" s="99"/>
      <x:c r="M139" s="99"/>
      <x:c r="N139" s="99"/>
      <x:c r="O139" s="99"/>
      <x:c r="P139" s="99"/>
      <x:c r="Q139" s="99"/>
      <x:c r="R139" s="99"/>
      <x:c r="S139" s="99"/>
      <x:c r="T139" s="99"/>
      <x:c r="U139" s="99"/>
      <x:c r="V139" s="99"/>
      <x:c r="W139" s="99"/>
      <x:c r="X139" s="99"/>
      <x:c r="Y139" s="99"/>
      <x:c r="Z139" s="99"/>
    </x:row>
    <x:row r="140">
      <x:c r="A140" s="99"/>
      <x:c r="B140" s="99"/>
      <x:c r="C140" s="99"/>
      <x:c r="D140" s="99"/>
      <x:c r="E140" s="99"/>
      <x:c r="F140" s="99"/>
      <x:c r="G140" s="99"/>
      <x:c r="H140" s="99"/>
      <x:c r="I140" s="99"/>
      <x:c r="J140" s="99"/>
      <x:c r="K140" s="99"/>
      <x:c r="L140" s="99"/>
      <x:c r="M140" s="99"/>
      <x:c r="N140" s="99"/>
      <x:c r="O140" s="99"/>
      <x:c r="P140" s="99"/>
      <x:c r="Q140" s="99"/>
      <x:c r="R140" s="99"/>
      <x:c r="S140" s="99"/>
      <x:c r="T140" s="99"/>
      <x:c r="U140" s="99"/>
      <x:c r="V140" s="99"/>
      <x:c r="W140" s="99"/>
      <x:c r="X140" s="99"/>
      <x:c r="Y140" s="99"/>
      <x:c r="Z140" s="99"/>
    </x:row>
    <x:row r="141">
      <x:c r="A141" s="99"/>
      <x:c r="B141" s="99"/>
      <x:c r="C141" s="99"/>
      <x:c r="D141" s="99"/>
      <x:c r="E141" s="99"/>
      <x:c r="F141" s="99"/>
      <x:c r="G141" s="99"/>
      <x:c r="H141" s="99"/>
      <x:c r="I141" s="99"/>
      <x:c r="J141" s="99"/>
      <x:c r="K141" s="99"/>
      <x:c r="L141" s="99"/>
      <x:c r="M141" s="99"/>
      <x:c r="N141" s="99"/>
      <x:c r="O141" s="99"/>
      <x:c r="P141" s="99"/>
      <x:c r="Q141" s="99"/>
      <x:c r="R141" s="99"/>
      <x:c r="S141" s="99"/>
      <x:c r="T141" s="99"/>
      <x:c r="U141" s="99"/>
      <x:c r="V141" s="99"/>
      <x:c r="W141" s="99"/>
      <x:c r="X141" s="99"/>
      <x:c r="Y141" s="99"/>
      <x:c r="Z141" s="99"/>
    </x:row>
    <x:row r="142">
      <x:c r="A142" s="99"/>
      <x:c r="B142" s="99"/>
      <x:c r="C142" s="99"/>
      <x:c r="D142" s="99"/>
      <x:c r="E142" s="99"/>
      <x:c r="F142" s="99"/>
      <x:c r="G142" s="99"/>
      <x:c r="H142" s="99"/>
      <x:c r="I142" s="99"/>
      <x:c r="J142" s="99"/>
      <x:c r="K142" s="99"/>
      <x:c r="L142" s="99"/>
      <x:c r="M142" s="99"/>
      <x:c r="N142" s="99"/>
      <x:c r="O142" s="99"/>
      <x:c r="P142" s="99"/>
      <x:c r="Q142" s="99"/>
      <x:c r="R142" s="99"/>
      <x:c r="S142" s="99"/>
      <x:c r="T142" s="99"/>
      <x:c r="U142" s="99"/>
      <x:c r="V142" s="99"/>
      <x:c r="W142" s="99"/>
      <x:c r="X142" s="99"/>
      <x:c r="Y142" s="99"/>
      <x:c r="Z142" s="99"/>
    </x:row>
    <x:row r="143">
      <x:c r="A143" s="99"/>
      <x:c r="B143" s="99"/>
      <x:c r="C143" s="99"/>
      <x:c r="D143" s="99"/>
      <x:c r="E143" s="99"/>
      <x:c r="F143" s="99"/>
      <x:c r="G143" s="99"/>
      <x:c r="H143" s="99"/>
      <x:c r="I143" s="99"/>
      <x:c r="J143" s="99"/>
      <x:c r="K143" s="99"/>
      <x:c r="L143" s="99"/>
      <x:c r="M143" s="99"/>
      <x:c r="N143" s="99"/>
      <x:c r="O143" s="99"/>
      <x:c r="P143" s="99"/>
      <x:c r="Q143" s="99"/>
      <x:c r="R143" s="99"/>
      <x:c r="S143" s="99"/>
      <x:c r="T143" s="99"/>
      <x:c r="U143" s="99"/>
      <x:c r="V143" s="99"/>
      <x:c r="W143" s="99"/>
      <x:c r="X143" s="99"/>
      <x:c r="Y143" s="99"/>
      <x:c r="Z143" s="99"/>
    </x:row>
    <x:row r="144">
      <x:c r="A144" s="99"/>
      <x:c r="B144" s="99"/>
      <x:c r="C144" s="99"/>
      <x:c r="D144" s="99"/>
      <x:c r="E144" s="99"/>
      <x:c r="F144" s="99"/>
      <x:c r="G144" s="99"/>
      <x:c r="H144" s="99"/>
      <x:c r="I144" s="99"/>
      <x:c r="J144" s="99"/>
      <x:c r="K144" s="99"/>
      <x:c r="L144" s="99"/>
      <x:c r="M144" s="99"/>
      <x:c r="N144" s="99"/>
      <x:c r="O144" s="99"/>
      <x:c r="P144" s="99"/>
      <x:c r="Q144" s="99"/>
      <x:c r="R144" s="99"/>
      <x:c r="S144" s="99"/>
      <x:c r="T144" s="99"/>
      <x:c r="U144" s="99"/>
      <x:c r="V144" s="99"/>
      <x:c r="W144" s="99"/>
      <x:c r="X144" s="99"/>
      <x:c r="Y144" s="99"/>
      <x:c r="Z144" s="99"/>
    </x:row>
    <x:row r="145">
      <x:c r="A145" s="99"/>
      <x:c r="B145" s="99"/>
      <x:c r="C145" s="99"/>
      <x:c r="D145" s="99"/>
      <x:c r="E145" s="99"/>
      <x:c r="F145" s="99"/>
      <x:c r="G145" s="99"/>
      <x:c r="H145" s="99"/>
      <x:c r="I145" s="99"/>
      <x:c r="J145" s="99"/>
      <x:c r="K145" s="99"/>
      <x:c r="L145" s="99"/>
      <x:c r="M145" s="99"/>
      <x:c r="N145" s="99"/>
      <x:c r="O145" s="99"/>
      <x:c r="P145" s="99"/>
      <x:c r="Q145" s="99"/>
      <x:c r="R145" s="99"/>
      <x:c r="S145" s="99"/>
      <x:c r="T145" s="99"/>
      <x:c r="U145" s="99"/>
      <x:c r="V145" s="99"/>
      <x:c r="W145" s="99"/>
      <x:c r="X145" s="99"/>
      <x:c r="Y145" s="99"/>
      <x:c r="Z145" s="99"/>
    </x:row>
    <x:row r="146">
      <x:c r="A146" s="99"/>
      <x:c r="B146" s="99"/>
      <x:c r="C146" s="99"/>
      <x:c r="D146" s="99"/>
      <x:c r="E146" s="99"/>
      <x:c r="F146" s="99"/>
      <x:c r="G146" s="99"/>
      <x:c r="H146" s="99"/>
      <x:c r="I146" s="99"/>
      <x:c r="J146" s="99"/>
      <x:c r="K146" s="99"/>
      <x:c r="L146" s="99"/>
      <x:c r="M146" s="99"/>
      <x:c r="N146" s="99"/>
      <x:c r="O146" s="99"/>
      <x:c r="P146" s="99"/>
      <x:c r="Q146" s="99"/>
      <x:c r="R146" s="99"/>
      <x:c r="S146" s="99"/>
      <x:c r="T146" s="99"/>
      <x:c r="U146" s="99"/>
      <x:c r="V146" s="99"/>
      <x:c r="W146" s="99"/>
      <x:c r="X146" s="99"/>
      <x:c r="Y146" s="99"/>
      <x:c r="Z146" s="99"/>
    </x:row>
    <x:row r="147">
      <x:c r="A147" s="99"/>
      <x:c r="B147" s="99"/>
      <x:c r="C147" s="99"/>
      <x:c r="D147" s="99"/>
      <x:c r="E147" s="99"/>
      <x:c r="F147" s="99"/>
      <x:c r="G147" s="99"/>
      <x:c r="H147" s="99"/>
      <x:c r="I147" s="99"/>
      <x:c r="J147" s="99"/>
      <x:c r="K147" s="99"/>
      <x:c r="L147" s="99"/>
      <x:c r="M147" s="99"/>
      <x:c r="N147" s="99"/>
      <x:c r="O147" s="99"/>
      <x:c r="P147" s="99"/>
      <x:c r="Q147" s="99"/>
      <x:c r="R147" s="99"/>
      <x:c r="S147" s="99"/>
      <x:c r="T147" s="99"/>
      <x:c r="U147" s="99"/>
      <x:c r="V147" s="99"/>
      <x:c r="W147" s="99"/>
      <x:c r="X147" s="99"/>
      <x:c r="Y147" s="99"/>
      <x:c r="Z147" s="99"/>
    </x:row>
    <x:row r="148">
      <x:c r="A148" s="99"/>
      <x:c r="B148" s="99"/>
      <x:c r="C148" s="99"/>
      <x:c r="D148" s="99"/>
      <x:c r="E148" s="99"/>
      <x:c r="F148" s="99"/>
      <x:c r="G148" s="99"/>
      <x:c r="H148" s="99"/>
      <x:c r="I148" s="99"/>
      <x:c r="J148" s="99"/>
      <x:c r="K148" s="99"/>
      <x:c r="L148" s="99"/>
      <x:c r="M148" s="99"/>
      <x:c r="N148" s="99"/>
      <x:c r="O148" s="99"/>
      <x:c r="P148" s="99"/>
      <x:c r="Q148" s="99"/>
      <x:c r="R148" s="99"/>
      <x:c r="S148" s="99"/>
      <x:c r="T148" s="99"/>
      <x:c r="U148" s="99"/>
      <x:c r="V148" s="99"/>
      <x:c r="W148" s="99"/>
      <x:c r="X148" s="99"/>
      <x:c r="Y148" s="99"/>
      <x:c r="Z148" s="99"/>
    </x:row>
    <x:row r="149">
      <x:c r="A149" s="99"/>
      <x:c r="B149" s="99"/>
      <x:c r="C149" s="99"/>
      <x:c r="D149" s="99"/>
      <x:c r="E149" s="99"/>
      <x:c r="F149" s="99"/>
      <x:c r="G149" s="99"/>
      <x:c r="H149" s="99"/>
      <x:c r="I149" s="99"/>
      <x:c r="J149" s="99"/>
      <x:c r="K149" s="99"/>
      <x:c r="L149" s="99"/>
      <x:c r="M149" s="99"/>
      <x:c r="N149" s="99"/>
      <x:c r="O149" s="99"/>
      <x:c r="P149" s="99"/>
      <x:c r="Q149" s="99"/>
      <x:c r="R149" s="99"/>
      <x:c r="S149" s="99"/>
      <x:c r="T149" s="99"/>
      <x:c r="U149" s="99"/>
      <x:c r="V149" s="99"/>
      <x:c r="W149" s="99"/>
      <x:c r="X149" s="99"/>
      <x:c r="Y149" s="99"/>
      <x:c r="Z149" s="99"/>
    </x:row>
    <x:row r="150">
      <x:c r="A150" s="99"/>
      <x:c r="B150" s="99"/>
      <x:c r="C150" s="99"/>
      <x:c r="D150" s="99"/>
      <x:c r="E150" s="99"/>
      <x:c r="F150" s="99"/>
      <x:c r="G150" s="99"/>
      <x:c r="H150" s="99"/>
      <x:c r="I150" s="99"/>
      <x:c r="J150" s="99"/>
      <x:c r="K150" s="99"/>
      <x:c r="L150" s="99"/>
      <x:c r="M150" s="99"/>
      <x:c r="N150" s="99"/>
      <x:c r="O150" s="99"/>
      <x:c r="P150" s="99"/>
      <x:c r="Q150" s="99"/>
      <x:c r="R150" s="99"/>
      <x:c r="S150" s="99"/>
      <x:c r="T150" s="99"/>
      <x:c r="U150" s="99"/>
      <x:c r="V150" s="99"/>
      <x:c r="W150" s="99"/>
      <x:c r="X150" s="99"/>
      <x:c r="Y150" s="99"/>
      <x:c r="Z150" s="99"/>
    </x:row>
    <x:row r="151">
      <x:c r="A151" s="99"/>
      <x:c r="B151" s="99"/>
      <x:c r="C151" s="99"/>
      <x:c r="D151" s="99"/>
      <x:c r="E151" s="99"/>
      <x:c r="F151" s="99"/>
      <x:c r="G151" s="99"/>
      <x:c r="H151" s="99"/>
      <x:c r="I151" s="99"/>
      <x:c r="J151" s="99"/>
      <x:c r="K151" s="99"/>
      <x:c r="L151" s="99"/>
      <x:c r="M151" s="99"/>
      <x:c r="N151" s="99"/>
      <x:c r="O151" s="99"/>
      <x:c r="P151" s="99"/>
      <x:c r="Q151" s="99"/>
      <x:c r="R151" s="99"/>
      <x:c r="S151" s="99"/>
      <x:c r="T151" s="99"/>
      <x:c r="U151" s="99"/>
      <x:c r="V151" s="99"/>
      <x:c r="W151" s="99"/>
      <x:c r="X151" s="99"/>
      <x:c r="Y151" s="99"/>
      <x:c r="Z151" s="99"/>
    </x:row>
    <x:row r="152">
      <x:c r="A152" s="99"/>
      <x:c r="B152" s="99"/>
      <x:c r="C152" s="99"/>
      <x:c r="D152" s="99"/>
      <x:c r="E152" s="99"/>
      <x:c r="F152" s="99"/>
      <x:c r="G152" s="99"/>
      <x:c r="H152" s="99"/>
      <x:c r="I152" s="99"/>
      <x:c r="J152" s="99"/>
      <x:c r="K152" s="99"/>
      <x:c r="L152" s="99"/>
      <x:c r="M152" s="99"/>
      <x:c r="N152" s="99"/>
      <x:c r="O152" s="99"/>
      <x:c r="P152" s="99"/>
      <x:c r="Q152" s="99"/>
      <x:c r="R152" s="99"/>
      <x:c r="S152" s="99"/>
      <x:c r="T152" s="99"/>
      <x:c r="U152" s="99"/>
      <x:c r="V152" s="99"/>
      <x:c r="W152" s="99"/>
      <x:c r="X152" s="99"/>
      <x:c r="Y152" s="99"/>
      <x:c r="Z152" s="99"/>
    </x:row>
    <x:row r="153">
      <x:c r="A153" s="99"/>
      <x:c r="B153" s="99"/>
      <x:c r="C153" s="99"/>
      <x:c r="D153" s="99"/>
      <x:c r="E153" s="99"/>
      <x:c r="F153" s="99"/>
      <x:c r="G153" s="99"/>
      <x:c r="H153" s="99"/>
      <x:c r="I153" s="99"/>
      <x:c r="J153" s="99"/>
      <x:c r="K153" s="99"/>
      <x:c r="L153" s="99"/>
      <x:c r="M153" s="99"/>
      <x:c r="N153" s="99"/>
      <x:c r="O153" s="99"/>
      <x:c r="P153" s="99"/>
      <x:c r="Q153" s="99"/>
      <x:c r="R153" s="99"/>
      <x:c r="S153" s="99"/>
      <x:c r="T153" s="99"/>
      <x:c r="U153" s="99"/>
      <x:c r="V153" s="99"/>
      <x:c r="W153" s="99"/>
      <x:c r="X153" s="99"/>
      <x:c r="Y153" s="99"/>
      <x:c r="Z153" s="99"/>
    </x:row>
    <x:row r="154">
      <x:c r="A154" s="99"/>
      <x:c r="B154" s="99"/>
      <x:c r="C154" s="99"/>
      <x:c r="D154" s="99"/>
      <x:c r="E154" s="99"/>
      <x:c r="F154" s="99"/>
      <x:c r="G154" s="99"/>
      <x:c r="H154" s="99"/>
      <x:c r="I154" s="99"/>
      <x:c r="J154" s="99"/>
      <x:c r="K154" s="99"/>
      <x:c r="L154" s="99"/>
      <x:c r="M154" s="99"/>
      <x:c r="N154" s="99"/>
      <x:c r="O154" s="99"/>
      <x:c r="P154" s="99"/>
      <x:c r="Q154" s="99"/>
      <x:c r="R154" s="99"/>
      <x:c r="S154" s="99"/>
      <x:c r="T154" s="99"/>
      <x:c r="U154" s="99"/>
      <x:c r="V154" s="99"/>
      <x:c r="W154" s="99"/>
      <x:c r="X154" s="99"/>
      <x:c r="Y154" s="99"/>
      <x:c r="Z154" s="99"/>
    </x:row>
    <x:row r="155">
      <x:c r="A155" s="99"/>
      <x:c r="B155" s="99"/>
      <x:c r="C155" s="99"/>
      <x:c r="D155" s="99"/>
      <x:c r="E155" s="99"/>
      <x:c r="F155" s="99"/>
      <x:c r="G155" s="99"/>
      <x:c r="H155" s="99"/>
      <x:c r="I155" s="99"/>
      <x:c r="J155" s="99"/>
      <x:c r="K155" s="99"/>
      <x:c r="L155" s="99"/>
      <x:c r="M155" s="99"/>
      <x:c r="N155" s="99"/>
      <x:c r="O155" s="99"/>
      <x:c r="P155" s="99"/>
      <x:c r="Q155" s="99"/>
      <x:c r="R155" s="99"/>
      <x:c r="S155" s="99"/>
      <x:c r="T155" s="99"/>
      <x:c r="U155" s="99"/>
      <x:c r="V155" s="99"/>
      <x:c r="W155" s="99"/>
      <x:c r="X155" s="99"/>
      <x:c r="Y155" s="99"/>
      <x:c r="Z155" s="99"/>
    </x:row>
    <x:row r="156">
      <x:c r="A156" s="99"/>
      <x:c r="B156" s="99"/>
      <x:c r="C156" s="99"/>
      <x:c r="D156" s="99"/>
      <x:c r="E156" s="99"/>
      <x:c r="F156" s="99"/>
      <x:c r="G156" s="99"/>
      <x:c r="H156" s="99"/>
      <x:c r="I156" s="99"/>
      <x:c r="J156" s="99"/>
      <x:c r="K156" s="99"/>
      <x:c r="L156" s="99"/>
      <x:c r="M156" s="99"/>
      <x:c r="N156" s="99"/>
      <x:c r="O156" s="99"/>
      <x:c r="P156" s="99"/>
      <x:c r="Q156" s="99"/>
      <x:c r="R156" s="99"/>
      <x:c r="S156" s="99"/>
      <x:c r="T156" s="99"/>
      <x:c r="U156" s="99"/>
      <x:c r="V156" s="99"/>
      <x:c r="W156" s="99"/>
      <x:c r="X156" s="99"/>
      <x:c r="Y156" s="99"/>
      <x:c r="Z156" s="99"/>
    </x:row>
    <x:row r="157">
      <x:c r="A157" s="99"/>
      <x:c r="B157" s="99"/>
      <x:c r="C157" s="99"/>
      <x:c r="D157" s="99"/>
      <x:c r="E157" s="99"/>
      <x:c r="F157" s="99"/>
      <x:c r="G157" s="99"/>
      <x:c r="H157" s="99"/>
      <x:c r="I157" s="99"/>
      <x:c r="J157" s="99"/>
      <x:c r="K157" s="99"/>
      <x:c r="L157" s="99"/>
      <x:c r="M157" s="99"/>
      <x:c r="N157" s="99"/>
      <x:c r="O157" s="99"/>
      <x:c r="P157" s="99"/>
      <x:c r="Q157" s="99"/>
      <x:c r="R157" s="99"/>
      <x:c r="S157" s="99"/>
      <x:c r="T157" s="99"/>
      <x:c r="U157" s="99"/>
      <x:c r="V157" s="99"/>
      <x:c r="W157" s="99"/>
      <x:c r="X157" s="99"/>
      <x:c r="Y157" s="99"/>
      <x:c r="Z157" s="99"/>
    </x:row>
    <x:row r="158">
      <x:c r="A158" s="99"/>
      <x:c r="B158" s="99"/>
      <x:c r="C158" s="99"/>
      <x:c r="D158" s="99"/>
      <x:c r="E158" s="99"/>
      <x:c r="F158" s="99"/>
      <x:c r="G158" s="99"/>
      <x:c r="H158" s="99"/>
      <x:c r="I158" s="99"/>
      <x:c r="J158" s="99"/>
      <x:c r="K158" s="99"/>
      <x:c r="L158" s="99"/>
      <x:c r="M158" s="99"/>
      <x:c r="N158" s="99"/>
      <x:c r="O158" s="99"/>
      <x:c r="P158" s="99"/>
      <x:c r="Q158" s="99"/>
      <x:c r="R158" s="99"/>
      <x:c r="S158" s="99"/>
      <x:c r="T158" s="99"/>
      <x:c r="U158" s="99"/>
      <x:c r="V158" s="99"/>
      <x:c r="W158" s="99"/>
      <x:c r="X158" s="99"/>
      <x:c r="Y158" s="99"/>
      <x:c r="Z158" s="99"/>
    </x:row>
    <x:row r="159">
      <x:c r="A159" s="99"/>
      <x:c r="B159" s="99"/>
      <x:c r="C159" s="99"/>
      <x:c r="D159" s="99"/>
      <x:c r="E159" s="99"/>
      <x:c r="F159" s="99"/>
      <x:c r="G159" s="99"/>
      <x:c r="H159" s="99"/>
      <x:c r="I159" s="99"/>
      <x:c r="J159" s="99"/>
      <x:c r="K159" s="99"/>
      <x:c r="L159" s="99"/>
      <x:c r="M159" s="99"/>
      <x:c r="N159" s="99"/>
      <x:c r="O159" s="99"/>
      <x:c r="P159" s="99"/>
      <x:c r="Q159" s="99"/>
      <x:c r="R159" s="99"/>
      <x:c r="S159" s="99"/>
      <x:c r="T159" s="99"/>
      <x:c r="U159" s="99"/>
      <x:c r="V159" s="99"/>
      <x:c r="W159" s="99"/>
      <x:c r="X159" s="99"/>
      <x:c r="Y159" s="99"/>
      <x:c r="Z159" s="99"/>
    </x:row>
    <x:row r="160">
      <x:c r="A160" s="99"/>
      <x:c r="B160" s="99"/>
      <x:c r="C160" s="99"/>
      <x:c r="D160" s="99"/>
      <x:c r="E160" s="99"/>
      <x:c r="F160" s="99"/>
      <x:c r="G160" s="99"/>
      <x:c r="H160" s="99"/>
      <x:c r="I160" s="99"/>
      <x:c r="J160" s="99"/>
      <x:c r="K160" s="99"/>
      <x:c r="L160" s="99"/>
      <x:c r="M160" s="99"/>
      <x:c r="N160" s="99"/>
      <x:c r="O160" s="99"/>
      <x:c r="P160" s="99"/>
      <x:c r="Q160" s="99"/>
      <x:c r="R160" s="99"/>
      <x:c r="S160" s="99"/>
      <x:c r="T160" s="99"/>
      <x:c r="U160" s="99"/>
      <x:c r="V160" s="99"/>
      <x:c r="W160" s="99"/>
      <x:c r="X160" s="99"/>
      <x:c r="Y160" s="99"/>
      <x:c r="Z160" s="99"/>
    </x:row>
    <x:row r="161">
      <x:c r="A161" s="99"/>
      <x:c r="B161" s="99"/>
      <x:c r="C161" s="99"/>
      <x:c r="D161" s="99"/>
      <x:c r="E161" s="99"/>
      <x:c r="F161" s="99"/>
      <x:c r="G161" s="99"/>
      <x:c r="H161" s="99"/>
      <x:c r="I161" s="99"/>
      <x:c r="J161" s="99"/>
      <x:c r="K161" s="99"/>
      <x:c r="L161" s="99"/>
      <x:c r="M161" s="99"/>
      <x:c r="N161" s="99"/>
      <x:c r="O161" s="99"/>
      <x:c r="P161" s="99"/>
      <x:c r="Q161" s="99"/>
      <x:c r="R161" s="99"/>
      <x:c r="S161" s="99"/>
      <x:c r="T161" s="99"/>
      <x:c r="U161" s="99"/>
      <x:c r="V161" s="99"/>
      <x:c r="W161" s="99"/>
      <x:c r="X161" s="99"/>
      <x:c r="Y161" s="99"/>
      <x:c r="Z161" s="99"/>
    </x:row>
    <x:row r="162">
      <x:c r="A162" s="99"/>
      <x:c r="B162" s="99"/>
      <x:c r="C162" s="99"/>
      <x:c r="D162" s="99"/>
      <x:c r="E162" s="99"/>
      <x:c r="F162" s="99"/>
      <x:c r="G162" s="99"/>
      <x:c r="H162" s="99"/>
      <x:c r="I162" s="99"/>
      <x:c r="J162" s="99"/>
      <x:c r="K162" s="99"/>
      <x:c r="L162" s="99"/>
      <x:c r="M162" s="99"/>
      <x:c r="N162" s="99"/>
      <x:c r="O162" s="99"/>
      <x:c r="P162" s="99"/>
      <x:c r="Q162" s="99"/>
      <x:c r="R162" s="99"/>
      <x:c r="S162" s="99"/>
      <x:c r="T162" s="99"/>
      <x:c r="U162" s="99"/>
      <x:c r="V162" s="99"/>
      <x:c r="W162" s="99"/>
      <x:c r="X162" s="99"/>
      <x:c r="Y162" s="99"/>
      <x:c r="Z162" s="99"/>
    </x:row>
    <x:row r="163">
      <x:c r="A163" s="99"/>
      <x:c r="B163" s="99"/>
      <x:c r="C163" s="99"/>
      <x:c r="D163" s="99"/>
      <x:c r="E163" s="99"/>
      <x:c r="F163" s="99"/>
      <x:c r="G163" s="99"/>
      <x:c r="H163" s="99"/>
      <x:c r="I163" s="99"/>
      <x:c r="J163" s="99"/>
      <x:c r="K163" s="99"/>
      <x:c r="L163" s="99"/>
      <x:c r="M163" s="99"/>
      <x:c r="N163" s="99"/>
      <x:c r="O163" s="99"/>
      <x:c r="P163" s="99"/>
      <x:c r="Q163" s="99"/>
      <x:c r="R163" s="99"/>
      <x:c r="S163" s="99"/>
      <x:c r="T163" s="99"/>
      <x:c r="U163" s="99"/>
      <x:c r="V163" s="99"/>
      <x:c r="W163" s="99"/>
      <x:c r="X163" s="99"/>
      <x:c r="Y163" s="99"/>
      <x:c r="Z163" s="99"/>
    </x:row>
    <x:row r="164">
      <x:c r="A164" s="99"/>
      <x:c r="B164" s="99"/>
      <x:c r="C164" s="99"/>
      <x:c r="D164" s="99"/>
      <x:c r="E164" s="99"/>
      <x:c r="F164" s="99"/>
      <x:c r="G164" s="99"/>
      <x:c r="H164" s="99"/>
      <x:c r="I164" s="99"/>
      <x:c r="J164" s="99"/>
      <x:c r="K164" s="99"/>
      <x:c r="L164" s="99"/>
      <x:c r="M164" s="99"/>
      <x:c r="N164" s="99"/>
      <x:c r="O164" s="99"/>
      <x:c r="P164" s="99"/>
      <x:c r="Q164" s="99"/>
      <x:c r="R164" s="99"/>
      <x:c r="S164" s="99"/>
      <x:c r="T164" s="99"/>
      <x:c r="U164" s="99"/>
      <x:c r="V164" s="99"/>
      <x:c r="W164" s="99"/>
      <x:c r="X164" s="99"/>
      <x:c r="Y164" s="99"/>
      <x:c r="Z164" s="99"/>
    </x:row>
    <x:row r="165">
      <x:c r="A165" s="99"/>
      <x:c r="B165" s="99"/>
      <x:c r="C165" s="99"/>
      <x:c r="D165" s="99"/>
      <x:c r="E165" s="99"/>
      <x:c r="F165" s="99"/>
      <x:c r="G165" s="99"/>
      <x:c r="H165" s="99"/>
      <x:c r="I165" s="99"/>
      <x:c r="J165" s="99"/>
      <x:c r="K165" s="99"/>
      <x:c r="L165" s="99"/>
      <x:c r="M165" s="99"/>
      <x:c r="N165" s="99"/>
      <x:c r="O165" s="99"/>
      <x:c r="P165" s="99"/>
      <x:c r="Q165" s="99"/>
      <x:c r="R165" s="99"/>
      <x:c r="S165" s="99"/>
      <x:c r="T165" s="99"/>
      <x:c r="U165" s="99"/>
      <x:c r="V165" s="99"/>
      <x:c r="W165" s="99"/>
      <x:c r="X165" s="99"/>
      <x:c r="Y165" s="99"/>
      <x:c r="Z165" s="99"/>
    </x:row>
    <x:row r="166">
      <x:c r="A166" s="99"/>
      <x:c r="B166" s="99"/>
      <x:c r="C166" s="99"/>
      <x:c r="D166" s="99"/>
      <x:c r="E166" s="99"/>
      <x:c r="F166" s="99"/>
      <x:c r="G166" s="99"/>
      <x:c r="H166" s="99"/>
      <x:c r="I166" s="99"/>
      <x:c r="J166" s="99"/>
      <x:c r="K166" s="99"/>
      <x:c r="L166" s="99"/>
      <x:c r="M166" s="99"/>
      <x:c r="N166" s="99"/>
      <x:c r="O166" s="99"/>
      <x:c r="P166" s="99"/>
      <x:c r="Q166" s="99"/>
      <x:c r="R166" s="99"/>
      <x:c r="S166" s="99"/>
      <x:c r="T166" s="99"/>
      <x:c r="U166" s="99"/>
      <x:c r="V166" s="99"/>
      <x:c r="W166" s="99"/>
      <x:c r="X166" s="99"/>
      <x:c r="Y166" s="99"/>
      <x:c r="Z166" s="99"/>
    </x:row>
    <x:row r="167">
      <x:c r="A167" s="99"/>
      <x:c r="B167" s="99"/>
      <x:c r="C167" s="99"/>
      <x:c r="D167" s="99"/>
      <x:c r="E167" s="99"/>
      <x:c r="F167" s="99"/>
      <x:c r="G167" s="99"/>
      <x:c r="H167" s="99"/>
      <x:c r="I167" s="99"/>
      <x:c r="J167" s="99"/>
      <x:c r="K167" s="99"/>
      <x:c r="L167" s="99"/>
      <x:c r="M167" s="99"/>
      <x:c r="N167" s="99"/>
      <x:c r="O167" s="99"/>
      <x:c r="P167" s="99"/>
      <x:c r="Q167" s="99"/>
      <x:c r="R167" s="99"/>
      <x:c r="S167" s="99"/>
      <x:c r="T167" s="99"/>
      <x:c r="U167" s="99"/>
      <x:c r="V167" s="99"/>
      <x:c r="W167" s="99"/>
      <x:c r="X167" s="99"/>
      <x:c r="Y167" s="99"/>
      <x:c r="Z167" s="99"/>
    </x:row>
    <x:row r="168">
      <x:c r="A168" s="99"/>
      <x:c r="B168" s="99"/>
      <x:c r="C168" s="99"/>
      <x:c r="D168" s="99"/>
      <x:c r="E168" s="99"/>
      <x:c r="F168" s="99"/>
      <x:c r="G168" s="99"/>
      <x:c r="H168" s="99"/>
      <x:c r="I168" s="99"/>
      <x:c r="J168" s="99"/>
      <x:c r="K168" s="99"/>
      <x:c r="L168" s="99"/>
      <x:c r="M168" s="99"/>
      <x:c r="N168" s="99"/>
      <x:c r="O168" s="99"/>
      <x:c r="P168" s="99"/>
      <x:c r="Q168" s="99"/>
      <x:c r="R168" s="99"/>
      <x:c r="S168" s="99"/>
      <x:c r="T168" s="99"/>
      <x:c r="U168" s="99"/>
      <x:c r="V168" s="99"/>
      <x:c r="W168" s="99"/>
      <x:c r="X168" s="99"/>
      <x:c r="Y168" s="99"/>
      <x:c r="Z168" s="99"/>
    </x:row>
    <x:row r="169">
      <x:c r="A169" s="99"/>
      <x:c r="B169" s="99"/>
      <x:c r="C169" s="99"/>
      <x:c r="D169" s="99"/>
      <x:c r="E169" s="99"/>
      <x:c r="F169" s="99"/>
      <x:c r="G169" s="99"/>
      <x:c r="H169" s="99"/>
      <x:c r="I169" s="99"/>
      <x:c r="J169" s="99"/>
      <x:c r="K169" s="99"/>
      <x:c r="L169" s="99"/>
      <x:c r="M169" s="99"/>
      <x:c r="N169" s="99"/>
      <x:c r="O169" s="99"/>
      <x:c r="P169" s="99"/>
      <x:c r="Q169" s="99"/>
      <x:c r="R169" s="99"/>
      <x:c r="S169" s="99"/>
      <x:c r="T169" s="99"/>
      <x:c r="U169" s="99"/>
      <x:c r="V169" s="99"/>
      <x:c r="W169" s="99"/>
      <x:c r="X169" s="99"/>
      <x:c r="Y169" s="99"/>
      <x:c r="Z169" s="99"/>
    </x:row>
    <x:row r="170">
      <x:c r="A170" s="99"/>
      <x:c r="B170" s="99"/>
      <x:c r="C170" s="99"/>
      <x:c r="D170" s="99"/>
      <x:c r="E170" s="99"/>
      <x:c r="F170" s="99"/>
      <x:c r="G170" s="99"/>
      <x:c r="H170" s="99"/>
      <x:c r="I170" s="99"/>
      <x:c r="J170" s="99"/>
      <x:c r="K170" s="99"/>
      <x:c r="L170" s="99"/>
      <x:c r="M170" s="99"/>
      <x:c r="N170" s="99"/>
      <x:c r="O170" s="99"/>
      <x:c r="P170" s="99"/>
      <x:c r="Q170" s="99"/>
      <x:c r="R170" s="99"/>
      <x:c r="S170" s="99"/>
      <x:c r="T170" s="99"/>
      <x:c r="U170" s="99"/>
      <x:c r="V170" s="99"/>
      <x:c r="W170" s="99"/>
      <x:c r="X170" s="99"/>
      <x:c r="Y170" s="99"/>
      <x:c r="Z170" s="99"/>
    </x:row>
    <x:row r="171">
      <x:c r="A171" s="99"/>
      <x:c r="B171" s="99"/>
      <x:c r="C171" s="99"/>
      <x:c r="D171" s="99"/>
      <x:c r="E171" s="99"/>
      <x:c r="F171" s="99"/>
      <x:c r="G171" s="99"/>
      <x:c r="H171" s="99"/>
      <x:c r="I171" s="99"/>
      <x:c r="J171" s="99"/>
      <x:c r="K171" s="99"/>
      <x:c r="L171" s="99"/>
      <x:c r="M171" s="99"/>
      <x:c r="N171" s="99"/>
      <x:c r="O171" s="99"/>
      <x:c r="P171" s="99"/>
      <x:c r="Q171" s="99"/>
      <x:c r="R171" s="99"/>
      <x:c r="S171" s="99"/>
      <x:c r="T171" s="99"/>
      <x:c r="U171" s="99"/>
      <x:c r="V171" s="99"/>
      <x:c r="W171" s="99"/>
      <x:c r="X171" s="99"/>
      <x:c r="Y171" s="99"/>
      <x:c r="Z171" s="99"/>
    </x:row>
    <x:row r="172">
      <x:c r="A172" s="99"/>
      <x:c r="B172" s="99"/>
      <x:c r="C172" s="99"/>
      <x:c r="D172" s="99"/>
      <x:c r="E172" s="99"/>
      <x:c r="F172" s="99"/>
      <x:c r="G172" s="99"/>
      <x:c r="H172" s="99"/>
      <x:c r="I172" s="99"/>
      <x:c r="J172" s="99"/>
      <x:c r="K172" s="99"/>
      <x:c r="L172" s="99"/>
      <x:c r="M172" s="99"/>
      <x:c r="N172" s="99"/>
      <x:c r="O172" s="99"/>
      <x:c r="P172" s="99"/>
      <x:c r="Q172" s="99"/>
      <x:c r="R172" s="99"/>
      <x:c r="S172" s="99"/>
      <x:c r="T172" s="99"/>
      <x:c r="U172" s="99"/>
      <x:c r="V172" s="99"/>
      <x:c r="W172" s="99"/>
      <x:c r="X172" s="99"/>
      <x:c r="Y172" s="99"/>
      <x:c r="Z172" s="99"/>
    </x:row>
    <x:row r="173">
      <x:c r="A173" s="99"/>
      <x:c r="B173" s="99"/>
      <x:c r="C173" s="99"/>
      <x:c r="D173" s="99"/>
      <x:c r="E173" s="99"/>
      <x:c r="F173" s="99"/>
      <x:c r="G173" s="99"/>
      <x:c r="H173" s="99"/>
      <x:c r="I173" s="99"/>
      <x:c r="J173" s="99"/>
      <x:c r="K173" s="99"/>
      <x:c r="L173" s="99"/>
      <x:c r="M173" s="99"/>
      <x:c r="N173" s="99"/>
      <x:c r="O173" s="99"/>
      <x:c r="P173" s="99"/>
      <x:c r="Q173" s="99"/>
      <x:c r="R173" s="99"/>
      <x:c r="S173" s="99"/>
      <x:c r="T173" s="99"/>
      <x:c r="U173" s="99"/>
      <x:c r="V173" s="99"/>
      <x:c r="W173" s="99"/>
      <x:c r="X173" s="99"/>
      <x:c r="Y173" s="99"/>
      <x:c r="Z173" s="99"/>
    </x:row>
    <x:row r="174">
      <x:c r="A174" s="99"/>
      <x:c r="B174" s="99"/>
      <x:c r="C174" s="99"/>
      <x:c r="D174" s="99"/>
      <x:c r="E174" s="99"/>
      <x:c r="F174" s="99"/>
      <x:c r="G174" s="99"/>
      <x:c r="H174" s="99"/>
      <x:c r="I174" s="99"/>
      <x:c r="J174" s="99"/>
      <x:c r="K174" s="99"/>
      <x:c r="L174" s="99"/>
      <x:c r="M174" s="99"/>
      <x:c r="N174" s="99"/>
      <x:c r="O174" s="99"/>
      <x:c r="P174" s="99"/>
      <x:c r="Q174" s="99"/>
      <x:c r="R174" s="99"/>
      <x:c r="S174" s="99"/>
      <x:c r="T174" s="99"/>
      <x:c r="U174" s="99"/>
      <x:c r="V174" s="99"/>
      <x:c r="W174" s="99"/>
      <x:c r="X174" s="99"/>
      <x:c r="Y174" s="99"/>
      <x:c r="Z174" s="99"/>
    </x:row>
    <x:row r="175">
      <x:c r="A175" s="99"/>
      <x:c r="B175" s="99"/>
      <x:c r="C175" s="99"/>
      <x:c r="D175" s="99"/>
      <x:c r="E175" s="99"/>
      <x:c r="F175" s="99"/>
      <x:c r="G175" s="99"/>
      <x:c r="H175" s="99"/>
      <x:c r="I175" s="99"/>
      <x:c r="J175" s="99"/>
      <x:c r="K175" s="99"/>
      <x:c r="L175" s="99"/>
      <x:c r="M175" s="99"/>
      <x:c r="N175" s="99"/>
      <x:c r="O175" s="99"/>
      <x:c r="P175" s="99"/>
      <x:c r="Q175" s="99"/>
      <x:c r="R175" s="99"/>
      <x:c r="S175" s="99"/>
      <x:c r="T175" s="99"/>
      <x:c r="U175" s="99"/>
      <x:c r="V175" s="99"/>
      <x:c r="W175" s="99"/>
      <x:c r="X175" s="99"/>
      <x:c r="Y175" s="99"/>
      <x:c r="Z175" s="99"/>
    </x:row>
    <x:row r="176">
      <x:c r="A176" s="99"/>
      <x:c r="B176" s="99"/>
      <x:c r="C176" s="99"/>
      <x:c r="D176" s="99"/>
      <x:c r="E176" s="99"/>
      <x:c r="F176" s="99"/>
      <x:c r="G176" s="99"/>
      <x:c r="H176" s="99"/>
      <x:c r="I176" s="99"/>
      <x:c r="J176" s="99"/>
      <x:c r="K176" s="99"/>
      <x:c r="L176" s="99"/>
      <x:c r="M176" s="99"/>
      <x:c r="N176" s="99"/>
      <x:c r="O176" s="99"/>
      <x:c r="P176" s="99"/>
      <x:c r="Q176" s="99"/>
      <x:c r="R176" s="99"/>
      <x:c r="S176" s="99"/>
      <x:c r="T176" s="99"/>
      <x:c r="U176" s="99"/>
      <x:c r="V176" s="99"/>
      <x:c r="W176" s="99"/>
      <x:c r="X176" s="99"/>
      <x:c r="Y176" s="99"/>
      <x:c r="Z176" s="99"/>
    </x:row>
    <x:row r="177">
      <x:c r="A177" s="99"/>
      <x:c r="B177" s="99"/>
      <x:c r="C177" s="99"/>
      <x:c r="D177" s="99"/>
      <x:c r="E177" s="99"/>
      <x:c r="F177" s="99"/>
      <x:c r="G177" s="99"/>
      <x:c r="H177" s="99"/>
      <x:c r="I177" s="99"/>
      <x:c r="J177" s="99"/>
      <x:c r="K177" s="99"/>
      <x:c r="L177" s="99"/>
      <x:c r="M177" s="99"/>
      <x:c r="N177" s="99"/>
      <x:c r="O177" s="99"/>
      <x:c r="P177" s="99"/>
      <x:c r="Q177" s="99"/>
      <x:c r="R177" s="99"/>
      <x:c r="S177" s="99"/>
      <x:c r="T177" s="99"/>
      <x:c r="U177" s="99"/>
      <x:c r="V177" s="99"/>
      <x:c r="W177" s="99"/>
      <x:c r="X177" s="99"/>
      <x:c r="Y177" s="99"/>
      <x:c r="Z177" s="99"/>
    </x:row>
    <x:row r="178">
      <x:c r="A178" s="99"/>
      <x:c r="B178" s="99"/>
      <x:c r="C178" s="99"/>
      <x:c r="D178" s="99"/>
      <x:c r="E178" s="99"/>
      <x:c r="F178" s="99"/>
      <x:c r="G178" s="99"/>
      <x:c r="H178" s="99"/>
      <x:c r="I178" s="99"/>
      <x:c r="J178" s="99"/>
      <x:c r="K178" s="99"/>
      <x:c r="L178" s="99"/>
      <x:c r="M178" s="99"/>
      <x:c r="N178" s="99"/>
      <x:c r="O178" s="99"/>
      <x:c r="P178" s="99"/>
      <x:c r="Q178" s="99"/>
      <x:c r="R178" s="99"/>
      <x:c r="S178" s="99"/>
      <x:c r="T178" s="99"/>
      <x:c r="U178" s="99"/>
      <x:c r="V178" s="99"/>
      <x:c r="W178" s="99"/>
      <x:c r="X178" s="99"/>
      <x:c r="Y178" s="99"/>
      <x:c r="Z178" s="99"/>
    </x:row>
    <x:row r="179">
      <x:c r="A179" s="99"/>
      <x:c r="B179" s="99"/>
      <x:c r="C179" s="99"/>
      <x:c r="D179" s="99"/>
      <x:c r="E179" s="99"/>
      <x:c r="F179" s="99"/>
      <x:c r="G179" s="99"/>
      <x:c r="H179" s="99"/>
      <x:c r="I179" s="99"/>
      <x:c r="J179" s="99"/>
      <x:c r="K179" s="99"/>
      <x:c r="L179" s="99"/>
      <x:c r="M179" s="99"/>
      <x:c r="N179" s="99"/>
      <x:c r="O179" s="99"/>
      <x:c r="P179" s="99"/>
      <x:c r="Q179" s="99"/>
      <x:c r="R179" s="99"/>
      <x:c r="S179" s="99"/>
      <x:c r="T179" s="99"/>
      <x:c r="U179" s="99"/>
      <x:c r="V179" s="99"/>
      <x:c r="W179" s="99"/>
      <x:c r="X179" s="99"/>
      <x:c r="Y179" s="99"/>
      <x:c r="Z179" s="99"/>
    </x:row>
    <x:row r="180">
      <x:c r="A180" s="99"/>
      <x:c r="B180" s="99"/>
      <x:c r="C180" s="99"/>
      <x:c r="D180" s="99"/>
      <x:c r="E180" s="99"/>
      <x:c r="F180" s="99"/>
      <x:c r="G180" s="99"/>
      <x:c r="H180" s="99"/>
      <x:c r="I180" s="99"/>
      <x:c r="J180" s="99"/>
      <x:c r="K180" s="99"/>
      <x:c r="L180" s="99"/>
      <x:c r="M180" s="99"/>
      <x:c r="N180" s="99"/>
      <x:c r="O180" s="99"/>
      <x:c r="P180" s="99"/>
      <x:c r="Q180" s="99"/>
      <x:c r="R180" s="99"/>
      <x:c r="S180" s="99"/>
      <x:c r="T180" s="99"/>
      <x:c r="U180" s="99"/>
      <x:c r="V180" s="99"/>
      <x:c r="W180" s="99"/>
      <x:c r="X180" s="99"/>
      <x:c r="Y180" s="99"/>
      <x:c r="Z180" s="99"/>
    </x:row>
    <x:row r="181">
      <x:c r="A181" s="99"/>
      <x:c r="B181" s="99"/>
      <x:c r="C181" s="99"/>
      <x:c r="D181" s="99"/>
      <x:c r="E181" s="99"/>
      <x:c r="F181" s="99"/>
      <x:c r="G181" s="99"/>
      <x:c r="H181" s="99"/>
      <x:c r="I181" s="99"/>
      <x:c r="J181" s="99"/>
      <x:c r="K181" s="99"/>
      <x:c r="L181" s="99"/>
      <x:c r="M181" s="99"/>
      <x:c r="N181" s="99"/>
      <x:c r="O181" s="99"/>
      <x:c r="P181" s="99"/>
      <x:c r="Q181" s="99"/>
      <x:c r="R181" s="99"/>
      <x:c r="S181" s="99"/>
      <x:c r="T181" s="99"/>
      <x:c r="U181" s="99"/>
      <x:c r="V181" s="99"/>
      <x:c r="W181" s="99"/>
      <x:c r="X181" s="99"/>
      <x:c r="Y181" s="99"/>
      <x:c r="Z181" s="99"/>
    </x:row>
    <x:row r="182">
      <x:c r="A182" s="99"/>
      <x:c r="B182" s="99"/>
      <x:c r="C182" s="99"/>
      <x:c r="D182" s="99"/>
      <x:c r="E182" s="99"/>
      <x:c r="F182" s="99"/>
      <x:c r="G182" s="99"/>
      <x:c r="H182" s="99"/>
      <x:c r="I182" s="99"/>
      <x:c r="J182" s="99"/>
      <x:c r="K182" s="99"/>
      <x:c r="L182" s="99"/>
      <x:c r="M182" s="99"/>
      <x:c r="N182" s="99"/>
      <x:c r="O182" s="99"/>
      <x:c r="P182" s="99"/>
      <x:c r="Q182" s="99"/>
      <x:c r="R182" s="99"/>
      <x:c r="S182" s="99"/>
      <x:c r="T182" s="99"/>
      <x:c r="U182" s="99"/>
      <x:c r="V182" s="99"/>
      <x:c r="W182" s="99"/>
      <x:c r="X182" s="99"/>
      <x:c r="Y182" s="99"/>
      <x:c r="Z182" s="99"/>
    </x:row>
    <x:row r="183">
      <x:c r="A183" s="99"/>
      <x:c r="B183" s="99"/>
      <x:c r="C183" s="99"/>
      <x:c r="D183" s="99"/>
      <x:c r="E183" s="99"/>
      <x:c r="F183" s="99"/>
      <x:c r="G183" s="99"/>
      <x:c r="H183" s="99"/>
      <x:c r="I183" s="99"/>
      <x:c r="J183" s="99"/>
      <x:c r="K183" s="99"/>
      <x:c r="L183" s="99"/>
      <x:c r="M183" s="99"/>
      <x:c r="N183" s="99"/>
      <x:c r="O183" s="99"/>
      <x:c r="P183" s="99"/>
      <x:c r="Q183" s="99"/>
      <x:c r="R183" s="99"/>
      <x:c r="S183" s="99"/>
      <x:c r="T183" s="99"/>
      <x:c r="U183" s="99"/>
      <x:c r="V183" s="99"/>
      <x:c r="W183" s="99"/>
      <x:c r="X183" s="99"/>
      <x:c r="Y183" s="99"/>
      <x:c r="Z183" s="99"/>
    </x:row>
    <x:row r="184">
      <x:c r="A184" s="99"/>
      <x:c r="B184" s="99"/>
      <x:c r="C184" s="99"/>
      <x:c r="D184" s="99"/>
      <x:c r="E184" s="99"/>
      <x:c r="F184" s="99"/>
      <x:c r="G184" s="99"/>
      <x:c r="H184" s="99"/>
      <x:c r="I184" s="99"/>
      <x:c r="J184" s="99"/>
      <x:c r="K184" s="99"/>
      <x:c r="L184" s="99"/>
      <x:c r="M184" s="99"/>
      <x:c r="N184" s="99"/>
      <x:c r="O184" s="99"/>
      <x:c r="P184" s="99"/>
      <x:c r="Q184" s="99"/>
      <x:c r="R184" s="99"/>
      <x:c r="S184" s="99"/>
      <x:c r="T184" s="99"/>
      <x:c r="U184" s="99"/>
      <x:c r="V184" s="99"/>
      <x:c r="W184" s="99"/>
      <x:c r="X184" s="99"/>
      <x:c r="Y184" s="99"/>
      <x:c r="Z184" s="99"/>
    </x:row>
    <x:row r="185">
      <x:c r="A185" s="99"/>
      <x:c r="B185" s="99"/>
      <x:c r="C185" s="99"/>
      <x:c r="D185" s="99"/>
      <x:c r="E185" s="99"/>
      <x:c r="F185" s="99"/>
      <x:c r="G185" s="99"/>
      <x:c r="H185" s="99"/>
      <x:c r="I185" s="99"/>
      <x:c r="J185" s="99"/>
      <x:c r="K185" s="99"/>
      <x:c r="L185" s="99"/>
      <x:c r="M185" s="99"/>
      <x:c r="N185" s="99"/>
      <x:c r="O185" s="99"/>
      <x:c r="P185" s="99"/>
      <x:c r="Q185" s="99"/>
      <x:c r="R185" s="99"/>
      <x:c r="S185" s="99"/>
      <x:c r="T185" s="99"/>
      <x:c r="U185" s="99"/>
      <x:c r="V185" s="99"/>
      <x:c r="W185" s="99"/>
      <x:c r="X185" s="99"/>
      <x:c r="Y185" s="99"/>
      <x:c r="Z185" s="99"/>
    </x:row>
    <x:row r="186">
      <x:c r="A186" s="99"/>
      <x:c r="B186" s="99"/>
      <x:c r="C186" s="99"/>
      <x:c r="D186" s="99"/>
      <x:c r="E186" s="99"/>
      <x:c r="F186" s="99"/>
      <x:c r="G186" s="99"/>
      <x:c r="H186" s="99"/>
      <x:c r="I186" s="99"/>
      <x:c r="J186" s="99"/>
      <x:c r="K186" s="99"/>
      <x:c r="L186" s="99"/>
      <x:c r="M186" s="99"/>
      <x:c r="N186" s="99"/>
      <x:c r="O186" s="99"/>
      <x:c r="P186" s="99"/>
      <x:c r="Q186" s="99"/>
      <x:c r="R186" s="99"/>
      <x:c r="S186" s="99"/>
      <x:c r="T186" s="99"/>
      <x:c r="U186" s="99"/>
      <x:c r="V186" s="99"/>
      <x:c r="W186" s="99"/>
      <x:c r="X186" s="99"/>
      <x:c r="Y186" s="99"/>
      <x:c r="Z186" s="99"/>
    </x:row>
    <x:row r="187">
      <x:c r="A187" s="99"/>
      <x:c r="B187" s="99"/>
      <x:c r="C187" s="99"/>
      <x:c r="D187" s="99"/>
      <x:c r="E187" s="99"/>
      <x:c r="F187" s="99"/>
      <x:c r="G187" s="99"/>
      <x:c r="H187" s="99"/>
      <x:c r="I187" s="99"/>
      <x:c r="J187" s="99"/>
      <x:c r="K187" s="99"/>
      <x:c r="L187" s="99"/>
      <x:c r="M187" s="99"/>
      <x:c r="N187" s="99"/>
      <x:c r="O187" s="99"/>
      <x:c r="P187" s="99"/>
      <x:c r="Q187" s="99"/>
      <x:c r="R187" s="99"/>
      <x:c r="S187" s="99"/>
      <x:c r="T187" s="99"/>
      <x:c r="U187" s="99"/>
      <x:c r="V187" s="99"/>
      <x:c r="W187" s="99"/>
      <x:c r="X187" s="99"/>
      <x:c r="Y187" s="99"/>
      <x:c r="Z187" s="99"/>
    </x:row>
    <x:row r="188">
      <x:c r="A188" s="99"/>
      <x:c r="B188" s="99"/>
      <x:c r="C188" s="99"/>
      <x:c r="D188" s="99"/>
      <x:c r="E188" s="99"/>
      <x:c r="F188" s="99"/>
      <x:c r="G188" s="99"/>
      <x:c r="H188" s="99"/>
      <x:c r="I188" s="99"/>
      <x:c r="J188" s="99"/>
      <x:c r="K188" s="99"/>
      <x:c r="L188" s="99"/>
      <x:c r="M188" s="99"/>
      <x:c r="N188" s="99"/>
      <x:c r="O188" s="99"/>
      <x:c r="P188" s="99"/>
      <x:c r="Q188" s="99"/>
      <x:c r="R188" s="99"/>
      <x:c r="S188" s="99"/>
      <x:c r="T188" s="99"/>
      <x:c r="U188" s="99"/>
      <x:c r="V188" s="99"/>
      <x:c r="W188" s="99"/>
      <x:c r="X188" s="99"/>
      <x:c r="Y188" s="99"/>
      <x:c r="Z188" s="99"/>
    </x:row>
    <x:row r="189">
      <x:c r="A189" s="99"/>
      <x:c r="B189" s="99"/>
      <x:c r="C189" s="99"/>
      <x:c r="D189" s="99"/>
      <x:c r="E189" s="99"/>
      <x:c r="F189" s="99"/>
      <x:c r="G189" s="99"/>
      <x:c r="H189" s="99"/>
      <x:c r="I189" s="99"/>
      <x:c r="J189" s="99"/>
      <x:c r="K189" s="99"/>
      <x:c r="L189" s="99"/>
      <x:c r="M189" s="99"/>
      <x:c r="N189" s="99"/>
      <x:c r="O189" s="99"/>
      <x:c r="P189" s="99"/>
      <x:c r="Q189" s="99"/>
      <x:c r="R189" s="99"/>
      <x:c r="S189" s="99"/>
      <x:c r="T189" s="99"/>
      <x:c r="U189" s="99"/>
      <x:c r="V189" s="99"/>
      <x:c r="W189" s="99"/>
      <x:c r="X189" s="99"/>
      <x:c r="Y189" s="99"/>
      <x:c r="Z189" s="99"/>
    </x:row>
    <x:row r="190">
      <x:c r="A190" s="99"/>
      <x:c r="B190" s="99"/>
      <x:c r="C190" s="99"/>
      <x:c r="D190" s="99"/>
      <x:c r="E190" s="99"/>
      <x:c r="F190" s="99"/>
      <x:c r="G190" s="99"/>
      <x:c r="H190" s="99"/>
      <x:c r="I190" s="99"/>
      <x:c r="J190" s="99"/>
      <x:c r="K190" s="99"/>
      <x:c r="L190" s="99"/>
      <x:c r="M190" s="99"/>
      <x:c r="N190" s="99"/>
      <x:c r="O190" s="99"/>
      <x:c r="P190" s="99"/>
      <x:c r="Q190" s="99"/>
      <x:c r="R190" s="99"/>
      <x:c r="S190" s="99"/>
      <x:c r="T190" s="99"/>
      <x:c r="U190" s="99"/>
      <x:c r="V190" s="99"/>
      <x:c r="W190" s="99"/>
      <x:c r="X190" s="99"/>
      <x:c r="Y190" s="99"/>
      <x:c r="Z190" s="99"/>
    </x:row>
    <x:row r="191">
      <x:c r="A191" s="99"/>
      <x:c r="B191" s="99"/>
      <x:c r="C191" s="99"/>
      <x:c r="D191" s="99"/>
      <x:c r="E191" s="99"/>
      <x:c r="F191" s="99"/>
      <x:c r="G191" s="99"/>
      <x:c r="H191" s="99"/>
      <x:c r="I191" s="99"/>
      <x:c r="J191" s="99"/>
      <x:c r="K191" s="99"/>
      <x:c r="L191" s="99"/>
      <x:c r="M191" s="99"/>
      <x:c r="N191" s="99"/>
      <x:c r="O191" s="99"/>
      <x:c r="P191" s="99"/>
      <x:c r="Q191" s="99"/>
      <x:c r="R191" s="99"/>
      <x:c r="S191" s="99"/>
      <x:c r="T191" s="99"/>
      <x:c r="U191" s="99"/>
      <x:c r="V191" s="99"/>
      <x:c r="W191" s="99"/>
      <x:c r="X191" s="99"/>
      <x:c r="Y191" s="99"/>
      <x:c r="Z191" s="99"/>
    </x:row>
    <x:row r="192">
      <x:c r="A192" s="99"/>
      <x:c r="B192" s="99"/>
      <x:c r="C192" s="99"/>
      <x:c r="D192" s="99"/>
      <x:c r="E192" s="99"/>
      <x:c r="F192" s="99"/>
      <x:c r="G192" s="99"/>
      <x:c r="H192" s="99"/>
      <x:c r="I192" s="99"/>
      <x:c r="J192" s="99"/>
      <x:c r="K192" s="99"/>
      <x:c r="L192" s="99"/>
      <x:c r="M192" s="99"/>
      <x:c r="N192" s="99"/>
      <x:c r="O192" s="99"/>
      <x:c r="P192" s="99"/>
      <x:c r="Q192" s="99"/>
      <x:c r="R192" s="99"/>
      <x:c r="S192" s="99"/>
      <x:c r="T192" s="99"/>
      <x:c r="U192" s="99"/>
      <x:c r="V192" s="99"/>
      <x:c r="W192" s="99"/>
      <x:c r="X192" s="99"/>
      <x:c r="Y192" s="99"/>
      <x:c r="Z192" s="99"/>
    </x:row>
    <x:row r="193">
      <x:c r="A193" s="99"/>
      <x:c r="B193" s="99"/>
      <x:c r="C193" s="99"/>
      <x:c r="D193" s="99"/>
      <x:c r="E193" s="99"/>
      <x:c r="F193" s="99"/>
      <x:c r="G193" s="99"/>
      <x:c r="H193" s="99"/>
      <x:c r="I193" s="99"/>
      <x:c r="J193" s="99"/>
      <x:c r="K193" s="99"/>
      <x:c r="L193" s="99"/>
      <x:c r="M193" s="99"/>
      <x:c r="N193" s="99"/>
      <x:c r="O193" s="99"/>
      <x:c r="P193" s="99"/>
      <x:c r="Q193" s="99"/>
      <x:c r="R193" s="99"/>
      <x:c r="S193" s="99"/>
      <x:c r="T193" s="99"/>
      <x:c r="U193" s="99"/>
      <x:c r="V193" s="99"/>
      <x:c r="W193" s="99"/>
      <x:c r="X193" s="99"/>
      <x:c r="Y193" s="99"/>
      <x:c r="Z193" s="99"/>
    </x:row>
    <x:row r="194">
      <x:c r="A194" s="99"/>
      <x:c r="B194" s="99"/>
      <x:c r="C194" s="99"/>
      <x:c r="D194" s="99"/>
      <x:c r="E194" s="99"/>
      <x:c r="F194" s="99"/>
      <x:c r="G194" s="99"/>
      <x:c r="H194" s="99"/>
      <x:c r="I194" s="99"/>
      <x:c r="J194" s="99"/>
      <x:c r="K194" s="99"/>
      <x:c r="L194" s="99"/>
      <x:c r="M194" s="99"/>
      <x:c r="N194" s="99"/>
      <x:c r="O194" s="99"/>
      <x:c r="P194" s="99"/>
      <x:c r="Q194" s="99"/>
      <x:c r="R194" s="99"/>
      <x:c r="S194" s="99"/>
      <x:c r="T194" s="99"/>
      <x:c r="U194" s="99"/>
      <x:c r="V194" s="99"/>
      <x:c r="W194" s="99"/>
      <x:c r="X194" s="99"/>
      <x:c r="Y194" s="99"/>
      <x:c r="Z194" s="99"/>
    </x:row>
    <x:row r="195">
      <x:c r="A195" s="99"/>
      <x:c r="B195" s="99"/>
      <x:c r="C195" s="99"/>
      <x:c r="D195" s="99"/>
      <x:c r="E195" s="99"/>
      <x:c r="F195" s="99"/>
      <x:c r="G195" s="99"/>
      <x:c r="H195" s="99"/>
      <x:c r="I195" s="99"/>
      <x:c r="J195" s="99"/>
      <x:c r="K195" s="99"/>
      <x:c r="L195" s="99"/>
      <x:c r="M195" s="99"/>
      <x:c r="N195" s="99"/>
      <x:c r="O195" s="99"/>
      <x:c r="P195" s="99"/>
      <x:c r="Q195" s="99"/>
      <x:c r="R195" s="99"/>
      <x:c r="S195" s="99"/>
      <x:c r="T195" s="99"/>
      <x:c r="U195" s="99"/>
      <x:c r="V195" s="99"/>
      <x:c r="W195" s="99"/>
      <x:c r="X195" s="99"/>
      <x:c r="Y195" s="99"/>
      <x:c r="Z195" s="99"/>
    </x:row>
    <x:row r="196">
      <x:c r="A196" s="99"/>
      <x:c r="B196" s="99"/>
      <x:c r="C196" s="99"/>
      <x:c r="D196" s="99"/>
      <x:c r="E196" s="99"/>
      <x:c r="F196" s="99"/>
      <x:c r="G196" s="99"/>
      <x:c r="H196" s="99"/>
      <x:c r="I196" s="99"/>
      <x:c r="J196" s="99"/>
      <x:c r="K196" s="99"/>
      <x:c r="L196" s="99"/>
      <x:c r="M196" s="99"/>
      <x:c r="N196" s="99"/>
      <x:c r="O196" s="99"/>
      <x:c r="P196" s="99"/>
      <x:c r="Q196" s="99"/>
      <x:c r="R196" s="99"/>
      <x:c r="S196" s="99"/>
      <x:c r="T196" s="99"/>
      <x:c r="U196" s="99"/>
      <x:c r="V196" s="99"/>
      <x:c r="W196" s="99"/>
      <x:c r="X196" s="99"/>
      <x:c r="Y196" s="99"/>
      <x:c r="Z196" s="99"/>
    </x:row>
    <x:row r="197">
      <x:c r="A197" s="99"/>
      <x:c r="B197" s="99"/>
      <x:c r="C197" s="99"/>
      <x:c r="D197" s="99"/>
      <x:c r="E197" s="99"/>
      <x:c r="F197" s="99"/>
      <x:c r="G197" s="99"/>
      <x:c r="H197" s="99"/>
      <x:c r="I197" s="99"/>
      <x:c r="J197" s="99"/>
      <x:c r="K197" s="99"/>
      <x:c r="L197" s="99"/>
      <x:c r="M197" s="99"/>
      <x:c r="N197" s="99"/>
      <x:c r="O197" s="99"/>
      <x:c r="P197" s="99"/>
      <x:c r="Q197" s="99"/>
      <x:c r="R197" s="99"/>
      <x:c r="S197" s="99"/>
      <x:c r="T197" s="99"/>
      <x:c r="U197" s="99"/>
      <x:c r="V197" s="99"/>
      <x:c r="W197" s="99"/>
      <x:c r="X197" s="99"/>
      <x:c r="Y197" s="99"/>
      <x:c r="Z197" s="99"/>
    </x:row>
    <x:row r="198">
      <x:c r="A198" s="99"/>
      <x:c r="B198" s="99"/>
      <x:c r="C198" s="99"/>
      <x:c r="D198" s="99"/>
      <x:c r="E198" s="99"/>
      <x:c r="F198" s="99"/>
      <x:c r="G198" s="99"/>
      <x:c r="H198" s="99"/>
      <x:c r="I198" s="99"/>
      <x:c r="J198" s="99"/>
      <x:c r="K198" s="99"/>
      <x:c r="L198" s="99"/>
      <x:c r="M198" s="99"/>
      <x:c r="N198" s="99"/>
      <x:c r="O198" s="99"/>
      <x:c r="P198" s="99"/>
      <x:c r="Q198" s="99"/>
      <x:c r="R198" s="99"/>
      <x:c r="S198" s="99"/>
      <x:c r="T198" s="99"/>
      <x:c r="U198" s="99"/>
      <x:c r="V198" s="99"/>
      <x:c r="W198" s="99"/>
      <x:c r="X198" s="99"/>
      <x:c r="Y198" s="99"/>
      <x:c r="Z198" s="99"/>
    </x:row>
    <x:row r="199">
      <x:c r="A199" s="99"/>
      <x:c r="B199" s="99"/>
      <x:c r="C199" s="99"/>
      <x:c r="D199" s="99"/>
      <x:c r="E199" s="99"/>
      <x:c r="F199" s="99"/>
      <x:c r="G199" s="99"/>
      <x:c r="H199" s="99"/>
      <x:c r="I199" s="99"/>
      <x:c r="J199" s="99"/>
      <x:c r="K199" s="99"/>
      <x:c r="L199" s="99"/>
      <x:c r="M199" s="99"/>
      <x:c r="N199" s="99"/>
      <x:c r="O199" s="99"/>
      <x:c r="P199" s="99"/>
      <x:c r="Q199" s="99"/>
      <x:c r="R199" s="99"/>
      <x:c r="S199" s="99"/>
      <x:c r="T199" s="99"/>
      <x:c r="U199" s="99"/>
      <x:c r="V199" s="99"/>
      <x:c r="W199" s="99"/>
      <x:c r="X199" s="99"/>
      <x:c r="Y199" s="99"/>
      <x:c r="Z199" s="99"/>
    </x:row>
    <x:row r="200">
      <x:c r="A200" s="99"/>
      <x:c r="B200" s="99"/>
      <x:c r="C200" s="99"/>
      <x:c r="D200" s="99"/>
      <x:c r="E200" s="99"/>
      <x:c r="F200" s="99"/>
      <x:c r="G200" s="99"/>
      <x:c r="H200" s="99"/>
      <x:c r="I200" s="99"/>
      <x:c r="J200" s="99"/>
      <x:c r="K200" s="99"/>
      <x:c r="L200" s="99"/>
      <x:c r="M200" s="99"/>
      <x:c r="N200" s="99"/>
      <x:c r="O200" s="99"/>
      <x:c r="P200" s="99"/>
      <x:c r="Q200" s="99"/>
      <x:c r="R200" s="99"/>
      <x:c r="S200" s="99"/>
      <x:c r="T200" s="99"/>
      <x:c r="U200" s="99"/>
      <x:c r="V200" s="99"/>
      <x:c r="W200" s="99"/>
      <x:c r="X200" s="99"/>
      <x:c r="Y200" s="99"/>
      <x:c r="Z200" s="99"/>
    </x:row>
    <x:row r="201">
      <x:c r="A201" s="99"/>
      <x:c r="B201" s="99"/>
      <x:c r="C201" s="99"/>
      <x:c r="D201" s="99"/>
      <x:c r="E201" s="99"/>
      <x:c r="F201" s="99"/>
      <x:c r="G201" s="99"/>
      <x:c r="H201" s="99"/>
      <x:c r="I201" s="99"/>
      <x:c r="J201" s="99"/>
      <x:c r="K201" s="99"/>
      <x:c r="L201" s="99"/>
      <x:c r="M201" s="99"/>
      <x:c r="N201" s="99"/>
      <x:c r="O201" s="99"/>
      <x:c r="P201" s="99"/>
      <x:c r="Q201" s="99"/>
      <x:c r="R201" s="99"/>
      <x:c r="S201" s="99"/>
      <x:c r="T201" s="99"/>
      <x:c r="U201" s="99"/>
      <x:c r="V201" s="99"/>
      <x:c r="W201" s="99"/>
      <x:c r="X201" s="99"/>
      <x:c r="Y201" s="99"/>
      <x:c r="Z201" s="99"/>
    </x:row>
    <x:row r="202">
      <x:c r="A202" s="99"/>
      <x:c r="B202" s="99"/>
      <x:c r="C202" s="99"/>
      <x:c r="D202" s="99"/>
      <x:c r="E202" s="99"/>
      <x:c r="F202" s="99"/>
      <x:c r="G202" s="99"/>
      <x:c r="H202" s="99"/>
      <x:c r="I202" s="99"/>
      <x:c r="J202" s="99"/>
      <x:c r="K202" s="99"/>
      <x:c r="L202" s="99"/>
      <x:c r="M202" s="99"/>
      <x:c r="N202" s="99"/>
      <x:c r="O202" s="99"/>
      <x:c r="P202" s="99"/>
      <x:c r="Q202" s="99"/>
      <x:c r="R202" s="99"/>
      <x:c r="S202" s="99"/>
      <x:c r="T202" s="99"/>
      <x:c r="U202" s="99"/>
      <x:c r="V202" s="99"/>
      <x:c r="W202" s="99"/>
      <x:c r="X202" s="99"/>
      <x:c r="Y202" s="99"/>
      <x:c r="Z202" s="99"/>
    </x:row>
    <x:row r="203">
      <x:c r="A203" s="99"/>
      <x:c r="B203" s="99"/>
      <x:c r="C203" s="99"/>
      <x:c r="D203" s="99"/>
      <x:c r="E203" s="99"/>
      <x:c r="F203" s="99"/>
      <x:c r="G203" s="99"/>
      <x:c r="H203" s="99"/>
      <x:c r="I203" s="99"/>
      <x:c r="J203" s="99"/>
      <x:c r="K203" s="99"/>
      <x:c r="L203" s="99"/>
      <x:c r="M203" s="99"/>
      <x:c r="N203" s="99"/>
      <x:c r="O203" s="99"/>
      <x:c r="P203" s="99"/>
      <x:c r="Q203" s="99"/>
      <x:c r="R203" s="99"/>
      <x:c r="S203" s="99"/>
      <x:c r="T203" s="99"/>
      <x:c r="U203" s="99"/>
      <x:c r="V203" s="99"/>
      <x:c r="W203" s="99"/>
      <x:c r="X203" s="99"/>
      <x:c r="Y203" s="99"/>
      <x:c r="Z203" s="99"/>
    </x:row>
    <x:row r="204">
      <x:c r="A204" s="99"/>
      <x:c r="B204" s="99"/>
      <x:c r="C204" s="99"/>
      <x:c r="D204" s="99"/>
      <x:c r="E204" s="99"/>
      <x:c r="F204" s="99"/>
      <x:c r="G204" s="99"/>
      <x:c r="H204" s="99"/>
      <x:c r="I204" s="99"/>
      <x:c r="J204" s="99"/>
      <x:c r="K204" s="99"/>
      <x:c r="L204" s="99"/>
      <x:c r="M204" s="99"/>
      <x:c r="N204" s="99"/>
      <x:c r="O204" s="99"/>
      <x:c r="P204" s="99"/>
      <x:c r="Q204" s="99"/>
      <x:c r="R204" s="99"/>
      <x:c r="S204" s="99"/>
      <x:c r="T204" s="99"/>
      <x:c r="U204" s="99"/>
      <x:c r="V204" s="99"/>
      <x:c r="W204" s="99"/>
      <x:c r="X204" s="99"/>
      <x:c r="Y204" s="99"/>
      <x:c r="Z204" s="99"/>
    </x:row>
    <x:row r="205">
      <x:c r="A205" s="99"/>
      <x:c r="B205" s="99"/>
      <x:c r="C205" s="99"/>
      <x:c r="D205" s="99"/>
      <x:c r="E205" s="99"/>
      <x:c r="F205" s="99"/>
      <x:c r="G205" s="99"/>
      <x:c r="H205" s="99"/>
      <x:c r="I205" s="99"/>
      <x:c r="J205" s="99"/>
      <x:c r="K205" s="99"/>
      <x:c r="L205" s="99"/>
      <x:c r="M205" s="99"/>
      <x:c r="N205" s="99"/>
      <x:c r="O205" s="99"/>
      <x:c r="P205" s="99"/>
      <x:c r="Q205" s="99"/>
      <x:c r="R205" s="99"/>
      <x:c r="S205" s="99"/>
      <x:c r="T205" s="99"/>
      <x:c r="U205" s="99"/>
      <x:c r="V205" s="99"/>
      <x:c r="W205" s="99"/>
      <x:c r="X205" s="99"/>
      <x:c r="Y205" s="99"/>
      <x:c r="Z205" s="99"/>
    </x:row>
    <x:row r="206">
      <x:c r="A206" s="99"/>
      <x:c r="B206" s="99"/>
      <x:c r="C206" s="99"/>
      <x:c r="D206" s="99"/>
      <x:c r="E206" s="99"/>
      <x:c r="F206" s="99"/>
      <x:c r="G206" s="99"/>
      <x:c r="H206" s="99"/>
      <x:c r="I206" s="99"/>
      <x:c r="J206" s="99"/>
      <x:c r="K206" s="99"/>
      <x:c r="L206" s="99"/>
      <x:c r="M206" s="99"/>
      <x:c r="N206" s="99"/>
      <x:c r="O206" s="99"/>
      <x:c r="P206" s="99"/>
      <x:c r="Q206" s="99"/>
      <x:c r="R206" s="99"/>
      <x:c r="S206" s="99"/>
      <x:c r="T206" s="99"/>
      <x:c r="U206" s="99"/>
      <x:c r="V206" s="99"/>
      <x:c r="W206" s="99"/>
      <x:c r="X206" s="99"/>
      <x:c r="Y206" s="99"/>
      <x:c r="Z206" s="99"/>
    </x:row>
    <x:row r="207">
      <x:c r="A207" s="99"/>
      <x:c r="B207" s="99"/>
      <x:c r="C207" s="99"/>
      <x:c r="D207" s="99"/>
      <x:c r="E207" s="99"/>
      <x:c r="F207" s="99"/>
      <x:c r="G207" s="99"/>
      <x:c r="H207" s="99"/>
      <x:c r="I207" s="99"/>
      <x:c r="J207" s="99"/>
      <x:c r="K207" s="99"/>
      <x:c r="L207" s="99"/>
      <x:c r="M207" s="99"/>
      <x:c r="N207" s="99"/>
      <x:c r="O207" s="99"/>
      <x:c r="P207" s="99"/>
      <x:c r="Q207" s="99"/>
      <x:c r="R207" s="99"/>
      <x:c r="S207" s="99"/>
      <x:c r="T207" s="99"/>
      <x:c r="U207" s="99"/>
      <x:c r="V207" s="99"/>
      <x:c r="W207" s="99"/>
      <x:c r="X207" s="99"/>
      <x:c r="Y207" s="99"/>
      <x:c r="Z207" s="99"/>
    </x:row>
    <x:row r="208">
      <x:c r="A208" s="99"/>
      <x:c r="B208" s="99"/>
      <x:c r="C208" s="99"/>
      <x:c r="D208" s="99"/>
      <x:c r="E208" s="99"/>
      <x:c r="F208" s="99"/>
      <x:c r="G208" s="99"/>
      <x:c r="H208" s="99"/>
      <x:c r="I208" s="99"/>
      <x:c r="J208" s="99"/>
      <x:c r="K208" s="99"/>
      <x:c r="L208" s="99"/>
      <x:c r="M208" s="99"/>
      <x:c r="N208" s="99"/>
      <x:c r="O208" s="99"/>
      <x:c r="P208" s="99"/>
      <x:c r="Q208" s="99"/>
      <x:c r="R208" s="99"/>
      <x:c r="S208" s="99"/>
      <x:c r="T208" s="99"/>
      <x:c r="U208" s="99"/>
      <x:c r="V208" s="99"/>
      <x:c r="W208" s="99"/>
      <x:c r="X208" s="99"/>
      <x:c r="Y208" s="99"/>
      <x:c r="Z208" s="99"/>
    </x:row>
    <x:row r="209">
      <x:c r="A209" s="99"/>
      <x:c r="B209" s="99"/>
      <x:c r="C209" s="99"/>
      <x:c r="D209" s="99"/>
      <x:c r="E209" s="99"/>
      <x:c r="F209" s="99"/>
      <x:c r="G209" s="99"/>
      <x:c r="H209" s="99"/>
      <x:c r="I209" s="99"/>
      <x:c r="J209" s="99"/>
      <x:c r="K209" s="99"/>
      <x:c r="L209" s="99"/>
      <x:c r="M209" s="99"/>
      <x:c r="N209" s="99"/>
      <x:c r="O209" s="99"/>
      <x:c r="P209" s="99"/>
      <x:c r="Q209" s="99"/>
      <x:c r="R209" s="99"/>
      <x:c r="S209" s="99"/>
      <x:c r="T209" s="99"/>
      <x:c r="U209" s="99"/>
      <x:c r="V209" s="99"/>
      <x:c r="W209" s="99"/>
      <x:c r="X209" s="99"/>
      <x:c r="Y209" s="99"/>
      <x:c r="Z209" s="99"/>
    </x:row>
    <x:row r="210">
      <x:c r="A210" s="99"/>
      <x:c r="B210" s="99"/>
      <x:c r="C210" s="99"/>
      <x:c r="D210" s="99"/>
      <x:c r="E210" s="99"/>
      <x:c r="F210" s="99"/>
      <x:c r="G210" s="99"/>
      <x:c r="H210" s="99"/>
      <x:c r="I210" s="99"/>
      <x:c r="J210" s="99"/>
      <x:c r="K210" s="99"/>
      <x:c r="L210" s="99"/>
      <x:c r="M210" s="99"/>
      <x:c r="N210" s="99"/>
      <x:c r="O210" s="99"/>
      <x:c r="P210" s="99"/>
      <x:c r="Q210" s="99"/>
      <x:c r="R210" s="99"/>
      <x:c r="S210" s="99"/>
      <x:c r="T210" s="99"/>
      <x:c r="U210" s="99"/>
      <x:c r="V210" s="99"/>
      <x:c r="W210" s="99"/>
      <x:c r="X210" s="99"/>
      <x:c r="Y210" s="99"/>
      <x:c r="Z210" s="99"/>
    </x:row>
    <x:row r="211">
      <x:c r="A211" s="99"/>
      <x:c r="B211" s="99"/>
      <x:c r="C211" s="99"/>
      <x:c r="D211" s="99"/>
      <x:c r="E211" s="99"/>
      <x:c r="F211" s="99"/>
      <x:c r="G211" s="99"/>
      <x:c r="H211" s="99"/>
      <x:c r="I211" s="99"/>
      <x:c r="J211" s="99"/>
      <x:c r="K211" s="99"/>
      <x:c r="L211" s="99"/>
      <x:c r="M211" s="99"/>
      <x:c r="N211" s="99"/>
      <x:c r="O211" s="99"/>
      <x:c r="P211" s="99"/>
      <x:c r="Q211" s="99"/>
      <x:c r="R211" s="99"/>
      <x:c r="S211" s="99"/>
      <x:c r="T211" s="99"/>
      <x:c r="U211" s="99"/>
      <x:c r="V211" s="99"/>
      <x:c r="W211" s="99"/>
      <x:c r="X211" s="99"/>
      <x:c r="Y211" s="99"/>
      <x:c r="Z211" s="99"/>
    </x:row>
    <x:row r="212">
      <x:c r="A212" s="99"/>
      <x:c r="B212" s="99"/>
      <x:c r="C212" s="99"/>
      <x:c r="D212" s="99"/>
      <x:c r="E212" s="99"/>
      <x:c r="F212" s="99"/>
      <x:c r="G212" s="99"/>
      <x:c r="H212" s="99"/>
      <x:c r="I212" s="99"/>
      <x:c r="J212" s="99"/>
      <x:c r="K212" s="99"/>
      <x:c r="L212" s="99"/>
      <x:c r="M212" s="99"/>
      <x:c r="N212" s="99"/>
      <x:c r="O212" s="99"/>
      <x:c r="P212" s="99"/>
      <x:c r="Q212" s="99"/>
      <x:c r="R212" s="99"/>
      <x:c r="S212" s="99"/>
      <x:c r="T212" s="99"/>
      <x:c r="U212" s="99"/>
      <x:c r="V212" s="99"/>
      <x:c r="W212" s="99"/>
      <x:c r="X212" s="99"/>
      <x:c r="Y212" s="99"/>
      <x:c r="Z212" s="99"/>
    </x:row>
    <x:row r="213">
      <x:c r="A213" s="99"/>
      <x:c r="B213" s="99"/>
      <x:c r="C213" s="99"/>
      <x:c r="D213" s="99"/>
      <x:c r="E213" s="99"/>
      <x:c r="F213" s="99"/>
      <x:c r="G213" s="99"/>
      <x:c r="H213" s="99"/>
      <x:c r="I213" s="99"/>
      <x:c r="J213" s="99"/>
      <x:c r="K213" s="99"/>
      <x:c r="L213" s="99"/>
      <x:c r="M213" s="99"/>
      <x:c r="N213" s="99"/>
      <x:c r="O213" s="99"/>
      <x:c r="P213" s="99"/>
      <x:c r="Q213" s="99"/>
      <x:c r="R213" s="99"/>
      <x:c r="S213" s="99"/>
      <x:c r="T213" s="99"/>
      <x:c r="U213" s="99"/>
      <x:c r="V213" s="99"/>
      <x:c r="W213" s="99"/>
      <x:c r="X213" s="99"/>
      <x:c r="Y213" s="99"/>
      <x:c r="Z213" s="99"/>
    </x:row>
    <x:row r="214">
      <x:c r="A214" s="99"/>
      <x:c r="B214" s="99"/>
      <x:c r="C214" s="99"/>
      <x:c r="D214" s="99"/>
      <x:c r="E214" s="99"/>
      <x:c r="F214" s="99"/>
      <x:c r="G214" s="99"/>
      <x:c r="H214" s="99"/>
      <x:c r="I214" s="99"/>
      <x:c r="J214" s="99"/>
      <x:c r="K214" s="99"/>
      <x:c r="L214" s="99"/>
      <x:c r="M214" s="99"/>
      <x:c r="N214" s="99"/>
      <x:c r="O214" s="99"/>
      <x:c r="P214" s="99"/>
      <x:c r="Q214" s="99"/>
      <x:c r="R214" s="99"/>
      <x:c r="S214" s="99"/>
      <x:c r="T214" s="99"/>
      <x:c r="U214" s="99"/>
      <x:c r="V214" s="99"/>
      <x:c r="W214" s="99"/>
      <x:c r="X214" s="99"/>
      <x:c r="Y214" s="99"/>
      <x:c r="Z214" s="99"/>
    </x:row>
    <x:row r="215">
      <x:c r="A215" s="99"/>
      <x:c r="B215" s="99"/>
      <x:c r="C215" s="99"/>
      <x:c r="D215" s="99"/>
      <x:c r="E215" s="99"/>
      <x:c r="F215" s="99"/>
      <x:c r="G215" s="99"/>
      <x:c r="H215" s="99"/>
      <x:c r="I215" s="99"/>
      <x:c r="J215" s="99"/>
      <x:c r="K215" s="99"/>
      <x:c r="L215" s="99"/>
      <x:c r="M215" s="99"/>
      <x:c r="N215" s="99"/>
      <x:c r="O215" s="99"/>
      <x:c r="P215" s="99"/>
      <x:c r="Q215" s="99"/>
      <x:c r="R215" s="99"/>
      <x:c r="S215" s="99"/>
      <x:c r="T215" s="99"/>
      <x:c r="U215" s="99"/>
      <x:c r="V215" s="99"/>
      <x:c r="W215" s="99"/>
      <x:c r="X215" s="99"/>
      <x:c r="Y215" s="99"/>
      <x:c r="Z215" s="99"/>
    </x:row>
    <x:row r="216">
      <x:c r="A216" s="99"/>
      <x:c r="B216" s="99"/>
      <x:c r="C216" s="99"/>
      <x:c r="D216" s="99"/>
      <x:c r="E216" s="99"/>
      <x:c r="F216" s="99"/>
      <x:c r="G216" s="99"/>
      <x:c r="H216" s="99"/>
      <x:c r="I216" s="99"/>
      <x:c r="J216" s="99"/>
      <x:c r="K216" s="99"/>
      <x:c r="L216" s="99"/>
      <x:c r="M216" s="99"/>
      <x:c r="N216" s="99"/>
      <x:c r="O216" s="99"/>
      <x:c r="P216" s="99"/>
      <x:c r="Q216" s="99"/>
      <x:c r="R216" s="99"/>
      <x:c r="S216" s="99"/>
      <x:c r="T216" s="99"/>
      <x:c r="U216" s="99"/>
      <x:c r="V216" s="99"/>
      <x:c r="W216" s="99"/>
      <x:c r="X216" s="99"/>
      <x:c r="Y216" s="99"/>
      <x:c r="Z216" s="99"/>
    </x:row>
    <x:row r="217">
      <x:c r="A217" s="99"/>
      <x:c r="B217" s="99"/>
      <x:c r="C217" s="99"/>
      <x:c r="D217" s="99"/>
      <x:c r="E217" s="99"/>
      <x:c r="F217" s="99"/>
      <x:c r="G217" s="99"/>
      <x:c r="H217" s="99"/>
      <x:c r="I217" s="99"/>
      <x:c r="J217" s="99"/>
      <x:c r="K217" s="99"/>
      <x:c r="L217" s="99"/>
      <x:c r="M217" s="99"/>
      <x:c r="N217" s="99"/>
      <x:c r="O217" s="99"/>
      <x:c r="P217" s="99"/>
      <x:c r="Q217" s="99"/>
      <x:c r="R217" s="99"/>
      <x:c r="S217" s="99"/>
      <x:c r="T217" s="99"/>
      <x:c r="U217" s="99"/>
      <x:c r="V217" s="99"/>
      <x:c r="W217" s="99"/>
      <x:c r="X217" s="99"/>
      <x:c r="Y217" s="99"/>
      <x:c r="Z217" s="99"/>
    </x:row>
    <x:row r="218">
      <x:c r="A218" s="99"/>
      <x:c r="B218" s="99"/>
      <x:c r="C218" s="99"/>
      <x:c r="D218" s="99"/>
      <x:c r="E218" s="99"/>
      <x:c r="F218" s="99"/>
      <x:c r="G218" s="99"/>
      <x:c r="H218" s="99"/>
      <x:c r="I218" s="99"/>
      <x:c r="J218" s="99"/>
      <x:c r="K218" s="99"/>
      <x:c r="L218" s="99"/>
      <x:c r="M218" s="99"/>
      <x:c r="N218" s="99"/>
      <x:c r="O218" s="99"/>
      <x:c r="P218" s="99"/>
      <x:c r="Q218" s="99"/>
      <x:c r="R218" s="99"/>
      <x:c r="S218" s="99"/>
      <x:c r="T218" s="99"/>
      <x:c r="U218" s="99"/>
      <x:c r="V218" s="99"/>
      <x:c r="W218" s="99"/>
      <x:c r="X218" s="99"/>
      <x:c r="Y218" s="99"/>
      <x:c r="Z218" s="99"/>
    </x:row>
    <x:row r="219">
      <x:c r="A219" s="99"/>
      <x:c r="B219" s="99"/>
      <x:c r="C219" s="99"/>
      <x:c r="D219" s="99"/>
      <x:c r="E219" s="99"/>
      <x:c r="F219" s="99"/>
      <x:c r="G219" s="99"/>
      <x:c r="H219" s="99"/>
      <x:c r="I219" s="99"/>
      <x:c r="J219" s="99"/>
      <x:c r="K219" s="99"/>
      <x:c r="L219" s="99"/>
      <x:c r="M219" s="99"/>
      <x:c r="N219" s="99"/>
      <x:c r="O219" s="99"/>
      <x:c r="P219" s="99"/>
      <x:c r="Q219" s="99"/>
      <x:c r="R219" s="99"/>
      <x:c r="S219" s="99"/>
      <x:c r="T219" s="99"/>
      <x:c r="U219" s="99"/>
      <x:c r="V219" s="99"/>
      <x:c r="W219" s="99"/>
      <x:c r="X219" s="99"/>
      <x:c r="Y219" s="99"/>
      <x:c r="Z219" s="99"/>
    </x:row>
    <x:row r="220">
      <x:c r="A220" s="99"/>
      <x:c r="B220" s="99"/>
      <x:c r="C220" s="99"/>
      <x:c r="D220" s="99"/>
      <x:c r="E220" s="99"/>
      <x:c r="F220" s="99"/>
      <x:c r="G220" s="99"/>
      <x:c r="H220" s="99"/>
      <x:c r="I220" s="99"/>
      <x:c r="J220" s="99"/>
      <x:c r="K220" s="99"/>
      <x:c r="L220" s="99"/>
      <x:c r="M220" s="99"/>
      <x:c r="N220" s="99"/>
      <x:c r="O220" s="99"/>
      <x:c r="P220" s="99"/>
      <x:c r="Q220" s="99"/>
      <x:c r="R220" s="99"/>
      <x:c r="S220" s="99"/>
      <x:c r="T220" s="99"/>
      <x:c r="U220" s="99"/>
      <x:c r="V220" s="99"/>
      <x:c r="W220" s="99"/>
      <x:c r="X220" s="99"/>
      <x:c r="Y220" s="99"/>
      <x:c r="Z220" s="99"/>
    </x:row>
    <x:row r="221">
      <x:c r="A221" s="99"/>
      <x:c r="B221" s="99"/>
      <x:c r="C221" s="99"/>
      <x:c r="D221" s="99"/>
      <x:c r="E221" s="99"/>
      <x:c r="F221" s="99"/>
      <x:c r="G221" s="99"/>
      <x:c r="H221" s="99"/>
      <x:c r="I221" s="99"/>
      <x:c r="J221" s="99"/>
      <x:c r="K221" s="99"/>
      <x:c r="L221" s="99"/>
      <x:c r="M221" s="99"/>
      <x:c r="N221" s="99"/>
      <x:c r="O221" s="99"/>
      <x:c r="P221" s="99"/>
      <x:c r="Q221" s="99"/>
      <x:c r="R221" s="99"/>
      <x:c r="S221" s="99"/>
      <x:c r="T221" s="99"/>
      <x:c r="U221" s="99"/>
      <x:c r="V221" s="99"/>
      <x:c r="W221" s="99"/>
      <x:c r="X221" s="99"/>
      <x:c r="Y221" s="99"/>
      <x:c r="Z221" s="99"/>
    </x:row>
    <x:row r="222">
      <x:c r="A222" s="99"/>
      <x:c r="B222" s="99"/>
      <x:c r="C222" s="99"/>
      <x:c r="D222" s="99"/>
      <x:c r="E222" s="99"/>
      <x:c r="F222" s="99"/>
      <x:c r="G222" s="99"/>
      <x:c r="H222" s="99"/>
      <x:c r="I222" s="99"/>
      <x:c r="J222" s="99"/>
      <x:c r="K222" s="99"/>
      <x:c r="L222" s="99"/>
      <x:c r="M222" s="99"/>
      <x:c r="N222" s="99"/>
      <x:c r="O222" s="99"/>
      <x:c r="P222" s="99"/>
      <x:c r="Q222" s="99"/>
      <x:c r="R222" s="99"/>
      <x:c r="S222" s="99"/>
      <x:c r="T222" s="99"/>
      <x:c r="U222" s="99"/>
      <x:c r="V222" s="99"/>
      <x:c r="W222" s="99"/>
      <x:c r="X222" s="99"/>
      <x:c r="Y222" s="99"/>
      <x:c r="Z222" s="99"/>
    </x:row>
    <x:row r="223">
      <x:c r="A223" s="99"/>
      <x:c r="B223" s="99"/>
      <x:c r="C223" s="99"/>
      <x:c r="D223" s="99"/>
      <x:c r="E223" s="99"/>
      <x:c r="F223" s="99"/>
      <x:c r="G223" s="99"/>
      <x:c r="H223" s="99"/>
      <x:c r="I223" s="99"/>
      <x:c r="J223" s="99"/>
      <x:c r="K223" s="99"/>
      <x:c r="L223" s="99"/>
      <x:c r="M223" s="99"/>
      <x:c r="N223" s="99"/>
      <x:c r="O223" s="99"/>
      <x:c r="P223" s="99"/>
      <x:c r="Q223" s="99"/>
      <x:c r="R223" s="99"/>
      <x:c r="S223" s="99"/>
      <x:c r="T223" s="99"/>
      <x:c r="U223" s="99"/>
      <x:c r="V223" s="99"/>
      <x:c r="W223" s="99"/>
      <x:c r="X223" s="99"/>
      <x:c r="Y223" s="99"/>
      <x:c r="Z223" s="99"/>
    </x:row>
    <x:row r="224">
      <x:c r="A224" s="99"/>
      <x:c r="B224" s="99"/>
      <x:c r="C224" s="99"/>
      <x:c r="D224" s="99"/>
      <x:c r="E224" s="99"/>
      <x:c r="F224" s="99"/>
      <x:c r="G224" s="99"/>
      <x:c r="H224" s="99"/>
      <x:c r="I224" s="99"/>
      <x:c r="J224" s="99"/>
      <x:c r="K224" s="99"/>
      <x:c r="L224" s="99"/>
      <x:c r="M224" s="99"/>
      <x:c r="N224" s="99"/>
      <x:c r="O224" s="99"/>
      <x:c r="P224" s="99"/>
      <x:c r="Q224" s="99"/>
      <x:c r="R224" s="99"/>
      <x:c r="S224" s="99"/>
      <x:c r="T224" s="99"/>
      <x:c r="U224" s="99"/>
      <x:c r="V224" s="99"/>
      <x:c r="W224" s="99"/>
      <x:c r="X224" s="99"/>
      <x:c r="Y224" s="99"/>
      <x:c r="Z224" s="99"/>
    </x:row>
    <x:row r="225">
      <x:c r="A225" s="99"/>
      <x:c r="B225" s="99"/>
      <x:c r="C225" s="99"/>
      <x:c r="D225" s="99"/>
      <x:c r="E225" s="99"/>
      <x:c r="F225" s="99"/>
      <x:c r="G225" s="99"/>
      <x:c r="H225" s="99"/>
      <x:c r="I225" s="99"/>
      <x:c r="J225" s="99"/>
      <x:c r="K225" s="99"/>
      <x:c r="L225" s="99"/>
      <x:c r="M225" s="99"/>
      <x:c r="N225" s="99"/>
      <x:c r="O225" s="99"/>
      <x:c r="P225" s="99"/>
      <x:c r="Q225" s="99"/>
      <x:c r="R225" s="99"/>
      <x:c r="S225" s="99"/>
      <x:c r="T225" s="99"/>
      <x:c r="U225" s="99"/>
      <x:c r="V225" s="99"/>
      <x:c r="W225" s="99"/>
      <x:c r="X225" s="99"/>
      <x:c r="Y225" s="99"/>
      <x:c r="Z225" s="99"/>
    </x:row>
    <x:row r="226">
      <x:c r="A226" s="99"/>
      <x:c r="B226" s="99"/>
      <x:c r="C226" s="99"/>
      <x:c r="D226" s="99"/>
      <x:c r="E226" s="99"/>
      <x:c r="F226" s="99"/>
      <x:c r="G226" s="99"/>
      <x:c r="H226" s="99"/>
      <x:c r="I226" s="99"/>
      <x:c r="J226" s="99"/>
      <x:c r="K226" s="99"/>
      <x:c r="L226" s="99"/>
      <x:c r="M226" s="99"/>
      <x:c r="N226" s="99"/>
      <x:c r="O226" s="99"/>
      <x:c r="P226" s="99"/>
      <x:c r="Q226" s="99"/>
      <x:c r="R226" s="99"/>
      <x:c r="S226" s="99"/>
      <x:c r="T226" s="99"/>
      <x:c r="U226" s="99"/>
      <x:c r="V226" s="99"/>
      <x:c r="W226" s="99"/>
      <x:c r="X226" s="99"/>
      <x:c r="Y226" s="99"/>
      <x:c r="Z226" s="99"/>
    </x:row>
    <x:row r="227">
      <x:c r="A227" s="99"/>
      <x:c r="B227" s="99"/>
      <x:c r="C227" s="99"/>
      <x:c r="D227" s="99"/>
      <x:c r="E227" s="99"/>
      <x:c r="F227" s="99"/>
      <x:c r="G227" s="99"/>
      <x:c r="H227" s="99"/>
      <x:c r="I227" s="99"/>
      <x:c r="J227" s="99"/>
      <x:c r="K227" s="99"/>
      <x:c r="L227" s="99"/>
      <x:c r="M227" s="99"/>
      <x:c r="N227" s="99"/>
      <x:c r="O227" s="99"/>
      <x:c r="P227" s="99"/>
      <x:c r="Q227" s="99"/>
      <x:c r="R227" s="99"/>
      <x:c r="S227" s="99"/>
      <x:c r="T227" s="99"/>
      <x:c r="U227" s="99"/>
      <x:c r="V227" s="99"/>
      <x:c r="W227" s="99"/>
      <x:c r="X227" s="99"/>
      <x:c r="Y227" s="99"/>
      <x:c r="Z227" s="99"/>
    </x:row>
    <x:row r="228">
      <x:c r="A228" s="99"/>
      <x:c r="B228" s="99"/>
      <x:c r="C228" s="99"/>
      <x:c r="D228" s="99"/>
      <x:c r="E228" s="99"/>
      <x:c r="F228" s="99"/>
      <x:c r="G228" s="99"/>
      <x:c r="H228" s="99"/>
      <x:c r="I228" s="99"/>
      <x:c r="J228" s="99"/>
      <x:c r="K228" s="99"/>
      <x:c r="L228" s="99"/>
      <x:c r="M228" s="99"/>
      <x:c r="N228" s="99"/>
      <x:c r="O228" s="99"/>
      <x:c r="P228" s="99"/>
      <x:c r="Q228" s="99"/>
      <x:c r="R228" s="99"/>
      <x:c r="S228" s="99"/>
      <x:c r="T228" s="99"/>
      <x:c r="U228" s="99"/>
      <x:c r="V228" s="99"/>
      <x:c r="W228" s="99"/>
      <x:c r="X228" s="99"/>
      <x:c r="Y228" s="99"/>
      <x:c r="Z228" s="99"/>
    </x:row>
    <x:row r="229">
      <x:c r="A229" s="99"/>
      <x:c r="B229" s="99"/>
      <x:c r="C229" s="99"/>
      <x:c r="D229" s="99"/>
      <x:c r="E229" s="99"/>
      <x:c r="F229" s="99"/>
      <x:c r="G229" s="99"/>
      <x:c r="H229" s="99"/>
      <x:c r="I229" s="99"/>
      <x:c r="J229" s="99"/>
      <x:c r="K229" s="99"/>
      <x:c r="L229" s="99"/>
      <x:c r="M229" s="99"/>
      <x:c r="N229" s="99"/>
      <x:c r="O229" s="99"/>
      <x:c r="P229" s="99"/>
      <x:c r="Q229" s="99"/>
      <x:c r="R229" s="99"/>
      <x:c r="S229" s="99"/>
      <x:c r="T229" s="99"/>
      <x:c r="U229" s="99"/>
      <x:c r="V229" s="99"/>
      <x:c r="W229" s="99"/>
      <x:c r="X229" s="99"/>
      <x:c r="Y229" s="99"/>
      <x:c r="Z229" s="99"/>
    </x:row>
    <x:row r="230">
      <x:c r="A230" s="99"/>
      <x:c r="B230" s="99"/>
      <x:c r="C230" s="99"/>
      <x:c r="D230" s="99"/>
      <x:c r="E230" s="99"/>
      <x:c r="F230" s="99"/>
      <x:c r="G230" s="99"/>
      <x:c r="H230" s="99"/>
      <x:c r="I230" s="99"/>
      <x:c r="J230" s="99"/>
      <x:c r="K230" s="99"/>
      <x:c r="L230" s="99"/>
      <x:c r="M230" s="99"/>
      <x:c r="N230" s="99"/>
      <x:c r="O230" s="99"/>
      <x:c r="P230" s="99"/>
      <x:c r="Q230" s="99"/>
      <x:c r="R230" s="99"/>
      <x:c r="S230" s="99"/>
      <x:c r="T230" s="99"/>
      <x:c r="U230" s="99"/>
      <x:c r="V230" s="99"/>
      <x:c r="W230" s="99"/>
      <x:c r="X230" s="99"/>
      <x:c r="Y230" s="99"/>
      <x:c r="Z230" s="99"/>
    </x:row>
    <x:row r="231">
      <x:c r="A231" s="99"/>
      <x:c r="B231" s="99"/>
      <x:c r="C231" s="99"/>
      <x:c r="D231" s="99"/>
      <x:c r="E231" s="99"/>
      <x:c r="F231" s="99"/>
      <x:c r="G231" s="99"/>
      <x:c r="H231" s="99"/>
      <x:c r="I231" s="99"/>
      <x:c r="J231" s="99"/>
      <x:c r="K231" s="99"/>
      <x:c r="L231" s="99"/>
      <x:c r="M231" s="99"/>
      <x:c r="N231" s="99"/>
      <x:c r="O231" s="99"/>
      <x:c r="P231" s="99"/>
      <x:c r="Q231" s="99"/>
      <x:c r="R231" s="99"/>
      <x:c r="S231" s="99"/>
      <x:c r="T231" s="99"/>
      <x:c r="U231" s="99"/>
      <x:c r="V231" s="99"/>
      <x:c r="W231" s="99"/>
      <x:c r="X231" s="99"/>
      <x:c r="Y231" s="99"/>
      <x:c r="Z231" s="99"/>
    </x:row>
    <x:row r="232">
      <x:c r="A232" s="99"/>
      <x:c r="B232" s="99"/>
      <x:c r="C232" s="99"/>
      <x:c r="D232" s="99"/>
      <x:c r="E232" s="99"/>
      <x:c r="F232" s="99"/>
      <x:c r="G232" s="99"/>
      <x:c r="H232" s="99"/>
      <x:c r="I232" s="99"/>
      <x:c r="J232" s="99"/>
      <x:c r="K232" s="99"/>
      <x:c r="L232" s="99"/>
      <x:c r="M232" s="99"/>
      <x:c r="N232" s="99"/>
      <x:c r="O232" s="99"/>
      <x:c r="P232" s="99"/>
      <x:c r="Q232" s="99"/>
      <x:c r="R232" s="99"/>
      <x:c r="S232" s="99"/>
      <x:c r="T232" s="99"/>
      <x:c r="U232" s="99"/>
      <x:c r="V232" s="99"/>
      <x:c r="W232" s="99"/>
      <x:c r="X232" s="99"/>
      <x:c r="Y232" s="99"/>
      <x:c r="Z232" s="99"/>
    </x:row>
    <x:row r="233">
      <x:c r="A233" s="99"/>
      <x:c r="B233" s="99"/>
      <x:c r="C233" s="99"/>
      <x:c r="D233" s="99"/>
      <x:c r="E233" s="99"/>
      <x:c r="F233" s="99"/>
      <x:c r="G233" s="99"/>
      <x:c r="H233" s="99"/>
      <x:c r="I233" s="99"/>
      <x:c r="J233" s="99"/>
      <x:c r="K233" s="99"/>
      <x:c r="L233" s="99"/>
      <x:c r="M233" s="99"/>
      <x:c r="N233" s="99"/>
      <x:c r="O233" s="99"/>
      <x:c r="P233" s="99"/>
      <x:c r="Q233" s="99"/>
      <x:c r="R233" s="99"/>
      <x:c r="S233" s="99"/>
      <x:c r="T233" s="99"/>
      <x:c r="U233" s="99"/>
      <x:c r="V233" s="99"/>
      <x:c r="W233" s="99"/>
      <x:c r="X233" s="99"/>
      <x:c r="Y233" s="99"/>
      <x:c r="Z233" s="99"/>
    </x:row>
    <x:row r="234">
      <x:c r="A234" s="99"/>
      <x:c r="B234" s="99"/>
      <x:c r="C234" s="99"/>
      <x:c r="D234" s="99"/>
      <x:c r="E234" s="99"/>
      <x:c r="F234" s="99"/>
      <x:c r="G234" s="99"/>
      <x:c r="H234" s="99"/>
      <x:c r="I234" s="99"/>
      <x:c r="J234" s="99"/>
      <x:c r="K234" s="99"/>
      <x:c r="L234" s="99"/>
      <x:c r="M234" s="99"/>
      <x:c r="N234" s="99"/>
      <x:c r="O234" s="99"/>
      <x:c r="P234" s="99"/>
      <x:c r="Q234" s="99"/>
      <x:c r="R234" s="99"/>
      <x:c r="S234" s="99"/>
      <x:c r="T234" s="99"/>
      <x:c r="U234" s="99"/>
      <x:c r="V234" s="99"/>
      <x:c r="W234" s="99"/>
      <x:c r="X234" s="99"/>
      <x:c r="Y234" s="99"/>
      <x:c r="Z234" s="99"/>
    </x:row>
    <x:row r="235">
      <x:c r="A235" s="99"/>
      <x:c r="B235" s="99"/>
      <x:c r="C235" s="99"/>
      <x:c r="D235" s="99"/>
      <x:c r="E235" s="99"/>
      <x:c r="F235" s="99"/>
      <x:c r="G235" s="99"/>
      <x:c r="H235" s="99"/>
      <x:c r="I235" s="99"/>
      <x:c r="J235" s="99"/>
      <x:c r="K235" s="99"/>
      <x:c r="L235" s="99"/>
      <x:c r="M235" s="99"/>
      <x:c r="N235" s="99"/>
      <x:c r="O235" s="99"/>
      <x:c r="P235" s="99"/>
      <x:c r="Q235" s="99"/>
      <x:c r="R235" s="99"/>
      <x:c r="S235" s="99"/>
      <x:c r="T235" s="99"/>
      <x:c r="U235" s="99"/>
      <x:c r="V235" s="99"/>
      <x:c r="W235" s="99"/>
      <x:c r="X235" s="99"/>
      <x:c r="Y235" s="99"/>
      <x:c r="Z235" s="99"/>
    </x:row>
    <x:row r="236">
      <x:c r="A236" s="99"/>
      <x:c r="B236" s="99"/>
      <x:c r="C236" s="99"/>
      <x:c r="D236" s="99"/>
      <x:c r="E236" s="99"/>
      <x:c r="F236" s="99"/>
      <x:c r="G236" s="99"/>
      <x:c r="H236" s="99"/>
      <x:c r="I236" s="99"/>
      <x:c r="J236" s="99"/>
      <x:c r="K236" s="99"/>
      <x:c r="L236" s="99"/>
      <x:c r="M236" s="99"/>
      <x:c r="N236" s="99"/>
      <x:c r="O236" s="99"/>
      <x:c r="P236" s="99"/>
      <x:c r="Q236" s="99"/>
      <x:c r="R236" s="99"/>
      <x:c r="S236" s="99"/>
      <x:c r="T236" s="99"/>
      <x:c r="U236" s="99"/>
      <x:c r="V236" s="99"/>
      <x:c r="W236" s="99"/>
      <x:c r="X236" s="99"/>
      <x:c r="Y236" s="99"/>
      <x:c r="Z236" s="99"/>
    </x:row>
    <x:row r="237">
      <x:c r="A237" s="99"/>
      <x:c r="B237" s="99"/>
      <x:c r="C237" s="99"/>
      <x:c r="D237" s="99"/>
      <x:c r="E237" s="99"/>
      <x:c r="F237" s="99"/>
      <x:c r="G237" s="99"/>
      <x:c r="H237" s="99"/>
      <x:c r="I237" s="99"/>
      <x:c r="J237" s="99"/>
      <x:c r="K237" s="99"/>
      <x:c r="L237" s="99"/>
      <x:c r="M237" s="99"/>
      <x:c r="N237" s="99"/>
      <x:c r="O237" s="99"/>
      <x:c r="P237" s="99"/>
      <x:c r="Q237" s="99"/>
      <x:c r="R237" s="99"/>
      <x:c r="S237" s="99"/>
      <x:c r="T237" s="99"/>
      <x:c r="U237" s="99"/>
      <x:c r="V237" s="99"/>
      <x:c r="W237" s="99"/>
      <x:c r="X237" s="99"/>
      <x:c r="Y237" s="99"/>
      <x:c r="Z237" s="99"/>
    </x:row>
    <x:row r="238">
      <x:c r="A238" s="99"/>
      <x:c r="B238" s="99"/>
      <x:c r="C238" s="99"/>
      <x:c r="D238" s="99"/>
      <x:c r="E238" s="99"/>
      <x:c r="F238" s="99"/>
      <x:c r="G238" s="99"/>
      <x:c r="H238" s="99"/>
      <x:c r="I238" s="99"/>
      <x:c r="J238" s="99"/>
      <x:c r="K238" s="99"/>
      <x:c r="L238" s="99"/>
      <x:c r="M238" s="99"/>
      <x:c r="N238" s="99"/>
      <x:c r="O238" s="99"/>
      <x:c r="P238" s="99"/>
      <x:c r="Q238" s="99"/>
      <x:c r="R238" s="99"/>
      <x:c r="S238" s="99"/>
      <x:c r="T238" s="99"/>
      <x:c r="U238" s="99"/>
      <x:c r="V238" s="99"/>
      <x:c r="W238" s="99"/>
      <x:c r="X238" s="99"/>
      <x:c r="Y238" s="99"/>
      <x:c r="Z238" s="99"/>
    </x:row>
    <x:row r="239">
      <x:c r="A239" s="99"/>
      <x:c r="B239" s="99"/>
      <x:c r="C239" s="99"/>
      <x:c r="D239" s="99"/>
      <x:c r="E239" s="99"/>
      <x:c r="F239" s="99"/>
      <x:c r="G239" s="99"/>
      <x:c r="H239" s="99"/>
      <x:c r="I239" s="99"/>
      <x:c r="J239" s="99"/>
      <x:c r="K239" s="99"/>
      <x:c r="L239" s="99"/>
      <x:c r="M239" s="99"/>
      <x:c r="N239" s="99"/>
      <x:c r="O239" s="99"/>
      <x:c r="P239" s="99"/>
      <x:c r="Q239" s="99"/>
      <x:c r="R239" s="99"/>
      <x:c r="S239" s="99"/>
      <x:c r="T239" s="99"/>
      <x:c r="U239" s="99"/>
      <x:c r="V239" s="99"/>
      <x:c r="W239" s="99"/>
      <x:c r="X239" s="99"/>
      <x:c r="Y239" s="99"/>
      <x:c r="Z239" s="99"/>
    </x:row>
    <x:row r="240">
      <x:c r="A240" s="99"/>
      <x:c r="B240" s="99"/>
      <x:c r="C240" s="99"/>
      <x:c r="D240" s="99"/>
      <x:c r="E240" s="99"/>
      <x:c r="F240" s="99"/>
      <x:c r="G240" s="99"/>
      <x:c r="H240" s="99"/>
      <x:c r="I240" s="99"/>
      <x:c r="J240" s="99"/>
      <x:c r="K240" s="99"/>
      <x:c r="L240" s="99"/>
      <x:c r="M240" s="99"/>
      <x:c r="N240" s="99"/>
      <x:c r="O240" s="99"/>
      <x:c r="P240" s="99"/>
      <x:c r="Q240" s="99"/>
      <x:c r="R240" s="99"/>
      <x:c r="S240" s="99"/>
      <x:c r="T240" s="99"/>
      <x:c r="U240" s="99"/>
      <x:c r="V240" s="99"/>
      <x:c r="W240" s="99"/>
      <x:c r="X240" s="99"/>
      <x:c r="Y240" s="99"/>
      <x:c r="Z240" s="99"/>
    </x:row>
    <x:row r="241">
      <x:c r="A241" s="99"/>
      <x:c r="B241" s="99"/>
      <x:c r="C241" s="99"/>
      <x:c r="D241" s="99"/>
      <x:c r="E241" s="99"/>
      <x:c r="F241" s="99"/>
      <x:c r="G241" s="99"/>
      <x:c r="H241" s="99"/>
      <x:c r="I241" s="99"/>
      <x:c r="J241" s="99"/>
      <x:c r="K241" s="99"/>
      <x:c r="L241" s="99"/>
      <x:c r="M241" s="99"/>
      <x:c r="N241" s="99"/>
      <x:c r="O241" s="99"/>
      <x:c r="P241" s="99"/>
      <x:c r="Q241" s="99"/>
      <x:c r="R241" s="99"/>
      <x:c r="S241" s="99"/>
      <x:c r="T241" s="99"/>
      <x:c r="U241" s="99"/>
      <x:c r="V241" s="99"/>
      <x:c r="W241" s="99"/>
      <x:c r="X241" s="99"/>
      <x:c r="Y241" s="99"/>
      <x:c r="Z241" s="99"/>
    </x:row>
    <x:row r="242">
      <x:c r="A242" s="99"/>
      <x:c r="B242" s="99"/>
      <x:c r="C242" s="99"/>
      <x:c r="D242" s="99"/>
      <x:c r="E242" s="99"/>
      <x:c r="F242" s="99"/>
      <x:c r="G242" s="99"/>
      <x:c r="H242" s="99"/>
      <x:c r="I242" s="99"/>
      <x:c r="J242" s="99"/>
      <x:c r="K242" s="99"/>
      <x:c r="L242" s="99"/>
      <x:c r="M242" s="99"/>
      <x:c r="N242" s="99"/>
      <x:c r="O242" s="99"/>
      <x:c r="P242" s="99"/>
      <x:c r="Q242" s="99"/>
      <x:c r="R242" s="99"/>
      <x:c r="S242" s="99"/>
      <x:c r="T242" s="99"/>
      <x:c r="U242" s="99"/>
      <x:c r="V242" s="99"/>
      <x:c r="W242" s="99"/>
      <x:c r="X242" s="99"/>
      <x:c r="Y242" s="99"/>
      <x:c r="Z242" s="99"/>
    </x:row>
    <x:row r="243">
      <x:c r="A243" s="99"/>
      <x:c r="B243" s="99"/>
      <x:c r="C243" s="99"/>
      <x:c r="D243" s="99"/>
      <x:c r="E243" s="99"/>
      <x:c r="F243" s="99"/>
      <x:c r="G243" s="99"/>
      <x:c r="H243" s="99"/>
      <x:c r="I243" s="99"/>
      <x:c r="J243" s="99"/>
      <x:c r="K243" s="99"/>
      <x:c r="L243" s="99"/>
      <x:c r="M243" s="99"/>
      <x:c r="N243" s="99"/>
      <x:c r="O243" s="99"/>
      <x:c r="P243" s="99"/>
      <x:c r="Q243" s="99"/>
      <x:c r="R243" s="99"/>
      <x:c r="S243" s="99"/>
      <x:c r="T243" s="99"/>
      <x:c r="U243" s="99"/>
      <x:c r="V243" s="99"/>
      <x:c r="W243" s="99"/>
      <x:c r="X243" s="99"/>
      <x:c r="Y243" s="99"/>
      <x:c r="Z243" s="99"/>
    </x:row>
    <x:row r="244">
      <x:c r="A244" s="99"/>
      <x:c r="B244" s="99"/>
      <x:c r="C244" s="99"/>
      <x:c r="D244" s="99"/>
      <x:c r="E244" s="99"/>
      <x:c r="F244" s="99"/>
      <x:c r="G244" s="99"/>
      <x:c r="H244" s="99"/>
      <x:c r="I244" s="99"/>
      <x:c r="J244" s="99"/>
      <x:c r="K244" s="99"/>
      <x:c r="L244" s="99"/>
      <x:c r="M244" s="99"/>
      <x:c r="N244" s="99"/>
      <x:c r="O244" s="99"/>
      <x:c r="P244" s="99"/>
      <x:c r="Q244" s="99"/>
      <x:c r="R244" s="99"/>
      <x:c r="S244" s="99"/>
      <x:c r="T244" s="99"/>
      <x:c r="U244" s="99"/>
      <x:c r="V244" s="99"/>
      <x:c r="W244" s="99"/>
      <x:c r="X244" s="99"/>
      <x:c r="Y244" s="99"/>
      <x:c r="Z244" s="99"/>
    </x:row>
    <x:row r="245">
      <x:c r="A245" s="99"/>
      <x:c r="B245" s="99"/>
      <x:c r="C245" s="99"/>
      <x:c r="D245" s="99"/>
      <x:c r="E245" s="99"/>
      <x:c r="F245" s="99"/>
      <x:c r="G245" s="99"/>
      <x:c r="H245" s="99"/>
      <x:c r="I245" s="99"/>
      <x:c r="J245" s="99"/>
      <x:c r="K245" s="99"/>
      <x:c r="L245" s="99"/>
      <x:c r="M245" s="99"/>
      <x:c r="N245" s="99"/>
      <x:c r="O245" s="99"/>
      <x:c r="P245" s="99"/>
      <x:c r="Q245" s="99"/>
      <x:c r="R245" s="99"/>
      <x:c r="S245" s="99"/>
      <x:c r="T245" s="99"/>
      <x:c r="U245" s="99"/>
      <x:c r="V245" s="99"/>
      <x:c r="W245" s="99"/>
      <x:c r="X245" s="99"/>
      <x:c r="Y245" s="99"/>
      <x:c r="Z245" s="99"/>
    </x:row>
    <x:row r="246">
      <x:c r="A246" s="99"/>
      <x:c r="B246" s="99"/>
      <x:c r="C246" s="99"/>
      <x:c r="D246" s="99"/>
      <x:c r="E246" s="99"/>
      <x:c r="F246" s="99"/>
      <x:c r="G246" s="99"/>
      <x:c r="H246" s="99"/>
      <x:c r="I246" s="99"/>
      <x:c r="J246" s="99"/>
      <x:c r="K246" s="99"/>
      <x:c r="L246" s="99"/>
      <x:c r="M246" s="99"/>
      <x:c r="N246" s="99"/>
      <x:c r="O246" s="99"/>
      <x:c r="P246" s="99"/>
      <x:c r="Q246" s="99"/>
      <x:c r="R246" s="99"/>
      <x:c r="S246" s="99"/>
      <x:c r="T246" s="99"/>
      <x:c r="U246" s="99"/>
      <x:c r="V246" s="99"/>
      <x:c r="W246" s="99"/>
      <x:c r="X246" s="99"/>
      <x:c r="Y246" s="99"/>
      <x:c r="Z246" s="99"/>
    </x:row>
    <x:row r="247">
      <x:c r="A247" s="99"/>
      <x:c r="B247" s="99"/>
      <x:c r="C247" s="99"/>
      <x:c r="D247" s="99"/>
      <x:c r="E247" s="99"/>
      <x:c r="F247" s="99"/>
      <x:c r="G247" s="99"/>
      <x:c r="H247" s="99"/>
      <x:c r="I247" s="99"/>
      <x:c r="J247" s="99"/>
      <x:c r="K247" s="99"/>
      <x:c r="L247" s="99"/>
      <x:c r="M247" s="99"/>
      <x:c r="N247" s="99"/>
      <x:c r="O247" s="99"/>
      <x:c r="P247" s="99"/>
      <x:c r="Q247" s="99"/>
      <x:c r="R247" s="99"/>
      <x:c r="S247" s="99"/>
      <x:c r="T247" s="99"/>
      <x:c r="U247" s="99"/>
      <x:c r="V247" s="99"/>
      <x:c r="W247" s="99"/>
      <x:c r="X247" s="99"/>
      <x:c r="Y247" s="99"/>
      <x:c r="Z247" s="99"/>
    </x:row>
    <x:row r="248">
      <x:c r="A248" s="99"/>
      <x:c r="B248" s="99"/>
      <x:c r="C248" s="99"/>
      <x:c r="D248" s="99"/>
      <x:c r="E248" s="99"/>
      <x:c r="F248" s="99"/>
      <x:c r="G248" s="99"/>
      <x:c r="H248" s="99"/>
      <x:c r="I248" s="99"/>
      <x:c r="J248" s="99"/>
      <x:c r="K248" s="99"/>
      <x:c r="L248" s="99"/>
      <x:c r="M248" s="99"/>
      <x:c r="N248" s="99"/>
      <x:c r="O248" s="99"/>
      <x:c r="P248" s="99"/>
      <x:c r="Q248" s="99"/>
      <x:c r="R248" s="99"/>
      <x:c r="S248" s="99"/>
      <x:c r="T248" s="99"/>
      <x:c r="U248" s="99"/>
      <x:c r="V248" s="99"/>
      <x:c r="W248" s="99"/>
      <x:c r="X248" s="99"/>
      <x:c r="Y248" s="99"/>
      <x:c r="Z248" s="99"/>
    </x:row>
    <x:row r="249">
      <x:c r="A249" s="99"/>
      <x:c r="B249" s="99"/>
      <x:c r="C249" s="99"/>
      <x:c r="D249" s="99"/>
      <x:c r="E249" s="99"/>
      <x:c r="F249" s="99"/>
      <x:c r="G249" s="99"/>
      <x:c r="H249" s="99"/>
      <x:c r="I249" s="99"/>
      <x:c r="J249" s="99"/>
      <x:c r="K249" s="99"/>
      <x:c r="L249" s="99"/>
      <x:c r="M249" s="99"/>
      <x:c r="N249" s="99"/>
      <x:c r="O249" s="99"/>
      <x:c r="P249" s="99"/>
      <x:c r="Q249" s="99"/>
      <x:c r="R249" s="99"/>
      <x:c r="S249" s="99"/>
      <x:c r="T249" s="99"/>
      <x:c r="U249" s="99"/>
      <x:c r="V249" s="99"/>
      <x:c r="W249" s="99"/>
      <x:c r="X249" s="99"/>
      <x:c r="Y249" s="99"/>
      <x:c r="Z249" s="99"/>
    </x:row>
    <x:row r="250">
      <x:c r="A250" s="99"/>
      <x:c r="B250" s="99"/>
      <x:c r="C250" s="99"/>
      <x:c r="D250" s="99"/>
      <x:c r="E250" s="99"/>
      <x:c r="F250" s="99"/>
      <x:c r="G250" s="99"/>
      <x:c r="H250" s="99"/>
      <x:c r="I250" s="99"/>
      <x:c r="J250" s="99"/>
      <x:c r="K250" s="99"/>
      <x:c r="L250" s="99"/>
      <x:c r="M250" s="99"/>
      <x:c r="N250" s="99"/>
      <x:c r="O250" s="99"/>
      <x:c r="P250" s="99"/>
      <x:c r="Q250" s="99"/>
      <x:c r="R250" s="99"/>
      <x:c r="S250" s="99"/>
      <x:c r="T250" s="99"/>
      <x:c r="U250" s="99"/>
      <x:c r="V250" s="99"/>
      <x:c r="W250" s="99"/>
      <x:c r="X250" s="99"/>
      <x:c r="Y250" s="99"/>
      <x:c r="Z250" s="99"/>
    </x:row>
    <x:row r="251">
      <x:c r="A251" s="99"/>
      <x:c r="B251" s="99"/>
      <x:c r="C251" s="99"/>
      <x:c r="D251" s="99"/>
      <x:c r="E251" s="99"/>
      <x:c r="F251" s="99"/>
      <x:c r="G251" s="99"/>
      <x:c r="H251" s="99"/>
      <x:c r="I251" s="99"/>
      <x:c r="J251" s="99"/>
      <x:c r="K251" s="99"/>
      <x:c r="L251" s="99"/>
      <x:c r="M251" s="99"/>
      <x:c r="N251" s="99"/>
      <x:c r="O251" s="99"/>
      <x:c r="P251" s="99"/>
      <x:c r="Q251" s="99"/>
      <x:c r="R251" s="99"/>
      <x:c r="S251" s="99"/>
      <x:c r="T251" s="99"/>
      <x:c r="U251" s="99"/>
      <x:c r="V251" s="99"/>
      <x:c r="W251" s="99"/>
      <x:c r="X251" s="99"/>
      <x:c r="Y251" s="99"/>
      <x:c r="Z251" s="99"/>
    </x:row>
    <x:row r="252">
      <x:c r="A252" s="99"/>
      <x:c r="B252" s="99"/>
      <x:c r="C252" s="99"/>
      <x:c r="D252" s="99"/>
      <x:c r="E252" s="99"/>
      <x:c r="F252" s="99"/>
      <x:c r="G252" s="99"/>
      <x:c r="H252" s="99"/>
      <x:c r="I252" s="99"/>
      <x:c r="J252" s="99"/>
      <x:c r="K252" s="99"/>
      <x:c r="L252" s="99"/>
      <x:c r="M252" s="99"/>
      <x:c r="N252" s="99"/>
      <x:c r="O252" s="99"/>
      <x:c r="P252" s="99"/>
      <x:c r="Q252" s="99"/>
      <x:c r="R252" s="99"/>
      <x:c r="S252" s="99"/>
      <x:c r="T252" s="99"/>
      <x:c r="U252" s="99"/>
      <x:c r="V252" s="99"/>
      <x:c r="W252" s="99"/>
      <x:c r="X252" s="99"/>
      <x:c r="Y252" s="99"/>
      <x:c r="Z252" s="99"/>
    </x:row>
    <x:row r="253">
      <x:c r="A253" s="99"/>
      <x:c r="B253" s="99"/>
      <x:c r="C253" s="99"/>
      <x:c r="D253" s="99"/>
      <x:c r="E253" s="99"/>
      <x:c r="F253" s="99"/>
      <x:c r="G253" s="99"/>
      <x:c r="H253" s="99"/>
      <x:c r="I253" s="99"/>
      <x:c r="J253" s="99"/>
      <x:c r="K253" s="99"/>
      <x:c r="L253" s="99"/>
      <x:c r="M253" s="99"/>
      <x:c r="N253" s="99"/>
      <x:c r="O253" s="99"/>
      <x:c r="P253" s="99"/>
      <x:c r="Q253" s="99"/>
      <x:c r="R253" s="99"/>
      <x:c r="S253" s="99"/>
      <x:c r="T253" s="99"/>
      <x:c r="U253" s="99"/>
      <x:c r="V253" s="99"/>
      <x:c r="W253" s="99"/>
      <x:c r="X253" s="99"/>
      <x:c r="Y253" s="99"/>
      <x:c r="Z253" s="99"/>
    </x:row>
    <x:row r="254">
      <x:c r="A254" s="99"/>
      <x:c r="B254" s="99"/>
      <x:c r="C254" s="99"/>
      <x:c r="D254" s="99"/>
      <x:c r="E254" s="99"/>
      <x:c r="F254" s="99"/>
      <x:c r="G254" s="99"/>
      <x:c r="H254" s="99"/>
      <x:c r="I254" s="99"/>
      <x:c r="J254" s="99"/>
      <x:c r="K254" s="99"/>
      <x:c r="L254" s="99"/>
      <x:c r="M254" s="99"/>
      <x:c r="N254" s="99"/>
      <x:c r="O254" s="99"/>
      <x:c r="P254" s="99"/>
      <x:c r="Q254" s="99"/>
      <x:c r="R254" s="99"/>
      <x:c r="S254" s="99"/>
      <x:c r="T254" s="99"/>
      <x:c r="U254" s="99"/>
      <x:c r="V254" s="99"/>
      <x:c r="W254" s="99"/>
      <x:c r="X254" s="99"/>
      <x:c r="Y254" s="99"/>
      <x:c r="Z254" s="99"/>
    </x:row>
    <x:row r="255">
      <x:c r="A255" s="99"/>
      <x:c r="B255" s="99"/>
      <x:c r="C255" s="99"/>
      <x:c r="D255" s="99"/>
      <x:c r="E255" s="99"/>
      <x:c r="F255" s="99"/>
      <x:c r="G255" s="99"/>
      <x:c r="H255" s="99"/>
      <x:c r="I255" s="99"/>
      <x:c r="J255" s="99"/>
      <x:c r="K255" s="99"/>
      <x:c r="L255" s="99"/>
      <x:c r="M255" s="99"/>
      <x:c r="N255" s="99"/>
      <x:c r="O255" s="99"/>
      <x:c r="P255" s="99"/>
      <x:c r="Q255" s="99"/>
      <x:c r="R255" s="99"/>
      <x:c r="S255" s="99"/>
      <x:c r="T255" s="99"/>
      <x:c r="U255" s="99"/>
      <x:c r="V255" s="99"/>
      <x:c r="W255" s="99"/>
      <x:c r="X255" s="99"/>
      <x:c r="Y255" s="99"/>
      <x:c r="Z255" s="99"/>
    </x:row>
    <x:row r="256">
      <x:c r="A256" s="99"/>
      <x:c r="B256" s="99"/>
      <x:c r="C256" s="99"/>
      <x:c r="D256" s="99"/>
      <x:c r="E256" s="99"/>
      <x:c r="F256" s="99"/>
      <x:c r="G256" s="99"/>
      <x:c r="H256" s="99"/>
      <x:c r="I256" s="99"/>
      <x:c r="J256" s="99"/>
      <x:c r="K256" s="99"/>
      <x:c r="L256" s="99"/>
      <x:c r="M256" s="99"/>
      <x:c r="N256" s="99"/>
      <x:c r="O256" s="99"/>
      <x:c r="P256" s="99"/>
      <x:c r="Q256" s="99"/>
      <x:c r="R256" s="99"/>
      <x:c r="S256" s="99"/>
      <x:c r="T256" s="99"/>
      <x:c r="U256" s="99"/>
      <x:c r="V256" s="99"/>
      <x:c r="W256" s="99"/>
      <x:c r="X256" s="99"/>
      <x:c r="Y256" s="99"/>
      <x:c r="Z256" s="99"/>
    </x:row>
    <x:row r="257">
      <x:c r="A257" s="99"/>
      <x:c r="B257" s="99"/>
      <x:c r="C257" s="99"/>
      <x:c r="D257" s="99"/>
      <x:c r="E257" s="99"/>
      <x:c r="F257" s="99"/>
      <x:c r="G257" s="99"/>
      <x:c r="H257" s="99"/>
      <x:c r="I257" s="99"/>
      <x:c r="J257" s="99"/>
      <x:c r="K257" s="99"/>
      <x:c r="L257" s="99"/>
      <x:c r="M257" s="99"/>
      <x:c r="N257" s="99"/>
      <x:c r="O257" s="99"/>
      <x:c r="P257" s="99"/>
      <x:c r="Q257" s="99"/>
      <x:c r="R257" s="99"/>
      <x:c r="S257" s="99"/>
      <x:c r="T257" s="99"/>
      <x:c r="U257" s="99"/>
      <x:c r="V257" s="99"/>
      <x:c r="W257" s="99"/>
      <x:c r="X257" s="99"/>
      <x:c r="Y257" s="99"/>
      <x:c r="Z257" s="99"/>
    </x:row>
    <x:row r="258">
      <x:c r="A258" s="99"/>
      <x:c r="B258" s="99"/>
      <x:c r="C258" s="99"/>
      <x:c r="D258" s="99"/>
      <x:c r="E258" s="99"/>
      <x:c r="F258" s="99"/>
      <x:c r="G258" s="99"/>
      <x:c r="H258" s="99"/>
      <x:c r="I258" s="99"/>
      <x:c r="J258" s="99"/>
      <x:c r="K258" s="99"/>
      <x:c r="L258" s="99"/>
      <x:c r="M258" s="99"/>
      <x:c r="N258" s="99"/>
      <x:c r="O258" s="99"/>
      <x:c r="P258" s="99"/>
      <x:c r="Q258" s="99"/>
      <x:c r="R258" s="99"/>
      <x:c r="S258" s="99"/>
      <x:c r="T258" s="99"/>
      <x:c r="U258" s="99"/>
      <x:c r="V258" s="99"/>
      <x:c r="W258" s="99"/>
      <x:c r="X258" s="99"/>
      <x:c r="Y258" s="99"/>
      <x:c r="Z258" s="99"/>
    </x:row>
    <x:row r="259">
      <x:c r="A259" s="99"/>
      <x:c r="B259" s="99"/>
      <x:c r="C259" s="99"/>
      <x:c r="D259" s="99"/>
      <x:c r="E259" s="99"/>
      <x:c r="F259" s="99"/>
      <x:c r="G259" s="99"/>
      <x:c r="H259" s="99"/>
      <x:c r="I259" s="99"/>
      <x:c r="J259" s="99"/>
      <x:c r="K259" s="99"/>
      <x:c r="L259" s="99"/>
      <x:c r="M259" s="99"/>
      <x:c r="N259" s="99"/>
      <x:c r="O259" s="99"/>
      <x:c r="P259" s="99"/>
      <x:c r="Q259" s="99"/>
      <x:c r="R259" s="99"/>
      <x:c r="S259" s="99"/>
      <x:c r="T259" s="99"/>
      <x:c r="U259" s="99"/>
      <x:c r="V259" s="99"/>
      <x:c r="W259" s="99"/>
      <x:c r="X259" s="99"/>
      <x:c r="Y259" s="99"/>
      <x:c r="Z259" s="99"/>
    </x:row>
    <x:row r="260">
      <x:c r="A260" s="99"/>
      <x:c r="B260" s="99"/>
      <x:c r="C260" s="99"/>
      <x:c r="D260" s="99"/>
      <x:c r="E260" s="99"/>
      <x:c r="F260" s="99"/>
      <x:c r="G260" s="99"/>
      <x:c r="H260" s="99"/>
      <x:c r="I260" s="99"/>
      <x:c r="J260" s="99"/>
      <x:c r="K260" s="99"/>
      <x:c r="L260" s="99"/>
      <x:c r="M260" s="99"/>
      <x:c r="N260" s="99"/>
      <x:c r="O260" s="99"/>
      <x:c r="P260" s="99"/>
      <x:c r="Q260" s="99"/>
      <x:c r="R260" s="99"/>
      <x:c r="S260" s="99"/>
      <x:c r="T260" s="99"/>
      <x:c r="U260" s="99"/>
      <x:c r="V260" s="99"/>
      <x:c r="W260" s="99"/>
      <x:c r="X260" s="99"/>
      <x:c r="Y260" s="99"/>
      <x:c r="Z260" s="99"/>
    </x:row>
    <x:row r="261">
      <x:c r="A261" s="99"/>
      <x:c r="B261" s="99"/>
      <x:c r="C261" s="99"/>
      <x:c r="D261" s="99"/>
      <x:c r="E261" s="99"/>
      <x:c r="F261" s="99"/>
      <x:c r="G261" s="99"/>
      <x:c r="H261" s="99"/>
      <x:c r="I261" s="99"/>
      <x:c r="J261" s="99"/>
      <x:c r="K261" s="99"/>
      <x:c r="L261" s="99"/>
      <x:c r="M261" s="99"/>
      <x:c r="N261" s="99"/>
      <x:c r="O261" s="99"/>
      <x:c r="P261" s="99"/>
      <x:c r="Q261" s="99"/>
      <x:c r="R261" s="99"/>
      <x:c r="S261" s="99"/>
      <x:c r="T261" s="99"/>
      <x:c r="U261" s="99"/>
      <x:c r="V261" s="99"/>
      <x:c r="W261" s="99"/>
      <x:c r="X261" s="99"/>
      <x:c r="Y261" s="99"/>
      <x:c r="Z261" s="99"/>
    </x:row>
    <x:row r="262">
      <x:c r="A262" s="99"/>
      <x:c r="B262" s="99"/>
      <x:c r="C262" s="99"/>
      <x:c r="D262" s="99"/>
      <x:c r="E262" s="99"/>
      <x:c r="F262" s="99"/>
      <x:c r="G262" s="99"/>
      <x:c r="H262" s="99"/>
      <x:c r="I262" s="99"/>
      <x:c r="J262" s="99"/>
      <x:c r="K262" s="99"/>
      <x:c r="L262" s="99"/>
      <x:c r="M262" s="99"/>
      <x:c r="N262" s="99"/>
      <x:c r="O262" s="99"/>
      <x:c r="P262" s="99"/>
      <x:c r="Q262" s="99"/>
      <x:c r="R262" s="99"/>
      <x:c r="S262" s="99"/>
      <x:c r="T262" s="99"/>
      <x:c r="U262" s="99"/>
      <x:c r="V262" s="99"/>
      <x:c r="W262" s="99"/>
      <x:c r="X262" s="99"/>
      <x:c r="Y262" s="99"/>
      <x:c r="Z262" s="99"/>
    </x:row>
    <x:row r="263">
      <x:c r="A263" s="99"/>
      <x:c r="B263" s="99"/>
      <x:c r="C263" s="99"/>
      <x:c r="D263" s="99"/>
      <x:c r="E263" s="99"/>
      <x:c r="F263" s="99"/>
      <x:c r="G263" s="99"/>
      <x:c r="H263" s="99"/>
      <x:c r="I263" s="99"/>
      <x:c r="J263" s="99"/>
      <x:c r="K263" s="99"/>
      <x:c r="L263" s="99"/>
      <x:c r="M263" s="99"/>
      <x:c r="N263" s="99"/>
      <x:c r="O263" s="99"/>
      <x:c r="P263" s="99"/>
      <x:c r="Q263" s="99"/>
      <x:c r="R263" s="99"/>
      <x:c r="S263" s="99"/>
      <x:c r="T263" s="99"/>
      <x:c r="U263" s="99"/>
      <x:c r="V263" s="99"/>
      <x:c r="W263" s="99"/>
      <x:c r="X263" s="99"/>
      <x:c r="Y263" s="99"/>
      <x:c r="Z263" s="99"/>
    </x:row>
    <x:row r="264">
      <x:c r="A264" s="99"/>
      <x:c r="B264" s="99"/>
      <x:c r="C264" s="99"/>
      <x:c r="D264" s="99"/>
      <x:c r="E264" s="99"/>
      <x:c r="F264" s="99"/>
      <x:c r="G264" s="99"/>
      <x:c r="H264" s="99"/>
      <x:c r="I264" s="99"/>
      <x:c r="J264" s="99"/>
      <x:c r="K264" s="99"/>
      <x:c r="L264" s="99"/>
      <x:c r="M264" s="99"/>
      <x:c r="N264" s="99"/>
      <x:c r="O264" s="99"/>
      <x:c r="P264" s="99"/>
      <x:c r="Q264" s="99"/>
      <x:c r="R264" s="99"/>
      <x:c r="S264" s="99"/>
      <x:c r="T264" s="99"/>
      <x:c r="U264" s="99"/>
      <x:c r="V264" s="99"/>
      <x:c r="W264" s="99"/>
      <x:c r="X264" s="99"/>
      <x:c r="Y264" s="99"/>
      <x:c r="Z264" s="99"/>
    </x:row>
    <x:row r="265">
      <x:c r="A265" s="99"/>
      <x:c r="B265" s="99"/>
      <x:c r="C265" s="99"/>
      <x:c r="D265" s="99"/>
      <x:c r="E265" s="99"/>
      <x:c r="F265" s="99"/>
      <x:c r="G265" s="99"/>
      <x:c r="H265" s="99"/>
      <x:c r="I265" s="99"/>
      <x:c r="J265" s="99"/>
      <x:c r="K265" s="99"/>
      <x:c r="L265" s="99"/>
      <x:c r="M265" s="99"/>
      <x:c r="N265" s="99"/>
      <x:c r="O265" s="99"/>
      <x:c r="P265" s="99"/>
      <x:c r="Q265" s="99"/>
      <x:c r="R265" s="99"/>
      <x:c r="S265" s="99"/>
      <x:c r="T265" s="99"/>
      <x:c r="U265" s="99"/>
      <x:c r="V265" s="99"/>
      <x:c r="W265" s="99"/>
      <x:c r="X265" s="99"/>
      <x:c r="Y265" s="99"/>
      <x:c r="Z265" s="99"/>
    </x:row>
    <x:row r="266">
      <x:c r="A266" s="99"/>
      <x:c r="B266" s="99"/>
      <x:c r="C266" s="99"/>
      <x:c r="D266" s="99"/>
      <x:c r="E266" s="99"/>
      <x:c r="F266" s="99"/>
      <x:c r="G266" s="99"/>
      <x:c r="H266" s="99"/>
      <x:c r="I266" s="99"/>
      <x:c r="J266" s="99"/>
      <x:c r="K266" s="99"/>
      <x:c r="L266" s="99"/>
      <x:c r="M266" s="99"/>
      <x:c r="N266" s="99"/>
      <x:c r="O266" s="99"/>
      <x:c r="P266" s="99"/>
      <x:c r="Q266" s="99"/>
      <x:c r="R266" s="99"/>
      <x:c r="S266" s="99"/>
      <x:c r="T266" s="99"/>
      <x:c r="U266" s="99"/>
      <x:c r="V266" s="99"/>
      <x:c r="W266" s="99"/>
      <x:c r="X266" s="99"/>
      <x:c r="Y266" s="99"/>
      <x:c r="Z266" s="99"/>
    </x:row>
    <x:row r="267">
      <x:c r="A267" s="99"/>
      <x:c r="B267" s="99"/>
      <x:c r="C267" s="99"/>
      <x:c r="D267" s="99"/>
      <x:c r="E267" s="99"/>
      <x:c r="F267" s="99"/>
      <x:c r="G267" s="99"/>
      <x:c r="H267" s="99"/>
      <x:c r="I267" s="99"/>
      <x:c r="J267" s="99"/>
      <x:c r="K267" s="99"/>
      <x:c r="L267" s="99"/>
      <x:c r="M267" s="99"/>
      <x:c r="N267" s="99"/>
      <x:c r="O267" s="99"/>
      <x:c r="P267" s="99"/>
      <x:c r="Q267" s="99"/>
      <x:c r="R267" s="99"/>
      <x:c r="S267" s="99"/>
      <x:c r="T267" s="99"/>
      <x:c r="U267" s="99"/>
      <x:c r="V267" s="99"/>
      <x:c r="W267" s="99"/>
      <x:c r="X267" s="99"/>
      <x:c r="Y267" s="99"/>
      <x:c r="Z267" s="99"/>
    </x:row>
    <x:row r="268">
      <x:c r="A268" s="99"/>
      <x:c r="B268" s="99"/>
      <x:c r="C268" s="99"/>
      <x:c r="D268" s="99"/>
      <x:c r="E268" s="99"/>
      <x:c r="F268" s="99"/>
      <x:c r="G268" s="99"/>
      <x:c r="H268" s="99"/>
      <x:c r="I268" s="99"/>
      <x:c r="J268" s="99"/>
      <x:c r="K268" s="99"/>
      <x:c r="L268" s="99"/>
      <x:c r="M268" s="99"/>
      <x:c r="N268" s="99"/>
      <x:c r="O268" s="99"/>
      <x:c r="P268" s="99"/>
      <x:c r="Q268" s="99"/>
      <x:c r="R268" s="99"/>
      <x:c r="S268" s="99"/>
      <x:c r="T268" s="99"/>
      <x:c r="U268" s="99"/>
      <x:c r="V268" s="99"/>
      <x:c r="W268" s="99"/>
      <x:c r="X268" s="99"/>
      <x:c r="Y268" s="99"/>
      <x:c r="Z268" s="99"/>
    </x:row>
    <x:row r="269">
      <x:c r="A269" s="99"/>
      <x:c r="B269" s="99"/>
      <x:c r="C269" s="99"/>
      <x:c r="D269" s="99"/>
      <x:c r="E269" s="99"/>
      <x:c r="F269" s="99"/>
      <x:c r="G269" s="99"/>
      <x:c r="H269" s="99"/>
      <x:c r="I269" s="99"/>
      <x:c r="J269" s="99"/>
      <x:c r="K269" s="99"/>
      <x:c r="L269" s="99"/>
      <x:c r="M269" s="99"/>
      <x:c r="N269" s="99"/>
      <x:c r="O269" s="99"/>
      <x:c r="P269" s="99"/>
      <x:c r="Q269" s="99"/>
      <x:c r="R269" s="99"/>
      <x:c r="S269" s="99"/>
      <x:c r="T269" s="99"/>
      <x:c r="U269" s="99"/>
      <x:c r="V269" s="99"/>
      <x:c r="W269" s="99"/>
      <x:c r="X269" s="99"/>
      <x:c r="Y269" s="99"/>
      <x:c r="Z269" s="99"/>
    </x:row>
    <x:row r="270">
      <x:c r="A270" s="99"/>
      <x:c r="B270" s="99"/>
      <x:c r="C270" s="99"/>
      <x:c r="D270" s="99"/>
      <x:c r="E270" s="99"/>
      <x:c r="F270" s="99"/>
      <x:c r="G270" s="99"/>
      <x:c r="H270" s="99"/>
      <x:c r="I270" s="99"/>
      <x:c r="J270" s="99"/>
      <x:c r="K270" s="99"/>
      <x:c r="L270" s="99"/>
      <x:c r="M270" s="99"/>
      <x:c r="N270" s="99"/>
      <x:c r="O270" s="99"/>
      <x:c r="P270" s="99"/>
      <x:c r="Q270" s="99"/>
      <x:c r="R270" s="99"/>
      <x:c r="S270" s="99"/>
      <x:c r="T270" s="99"/>
      <x:c r="U270" s="99"/>
      <x:c r="V270" s="99"/>
      <x:c r="W270" s="99"/>
      <x:c r="X270" s="99"/>
      <x:c r="Y270" s="99"/>
      <x:c r="Z270" s="99"/>
    </x:row>
    <x:row r="271">
      <x:c r="A271" s="99"/>
      <x:c r="B271" s="99"/>
      <x:c r="C271" s="99"/>
      <x:c r="D271" s="99"/>
      <x:c r="E271" s="99"/>
      <x:c r="F271" s="99"/>
      <x:c r="G271" s="99"/>
      <x:c r="H271" s="99"/>
      <x:c r="I271" s="99"/>
      <x:c r="J271" s="99"/>
      <x:c r="K271" s="99"/>
      <x:c r="L271" s="99"/>
      <x:c r="M271" s="99"/>
      <x:c r="N271" s="99"/>
      <x:c r="O271" s="99"/>
      <x:c r="P271" s="99"/>
      <x:c r="Q271" s="99"/>
      <x:c r="R271" s="99"/>
      <x:c r="S271" s="99"/>
      <x:c r="T271" s="99"/>
      <x:c r="U271" s="99"/>
      <x:c r="V271" s="99"/>
      <x:c r="W271" s="99"/>
      <x:c r="X271" s="99"/>
      <x:c r="Y271" s="99"/>
      <x:c r="Z271" s="99"/>
    </x:row>
    <x:row r="272">
      <x:c r="A272" s="99"/>
      <x:c r="B272" s="99"/>
      <x:c r="C272" s="99"/>
      <x:c r="D272" s="99"/>
      <x:c r="E272" s="99"/>
      <x:c r="F272" s="99"/>
      <x:c r="G272" s="99"/>
      <x:c r="H272" s="99"/>
      <x:c r="I272" s="99"/>
      <x:c r="J272" s="99"/>
      <x:c r="K272" s="99"/>
      <x:c r="L272" s="99"/>
      <x:c r="M272" s="99"/>
      <x:c r="N272" s="99"/>
      <x:c r="O272" s="99"/>
      <x:c r="P272" s="99"/>
      <x:c r="Q272" s="99"/>
      <x:c r="R272" s="99"/>
      <x:c r="S272" s="99"/>
      <x:c r="T272" s="99"/>
      <x:c r="U272" s="99"/>
      <x:c r="V272" s="99"/>
      <x:c r="W272" s="99"/>
      <x:c r="X272" s="99"/>
      <x:c r="Y272" s="99"/>
      <x:c r="Z272" s="99"/>
    </x:row>
    <x:row r="273">
      <x:c r="A273" s="99"/>
      <x:c r="B273" s="99"/>
      <x:c r="C273" s="99"/>
      <x:c r="D273" s="99"/>
      <x:c r="E273" s="99"/>
      <x:c r="F273" s="99"/>
      <x:c r="G273" s="99"/>
      <x:c r="H273" s="99"/>
      <x:c r="I273" s="99"/>
      <x:c r="J273" s="99"/>
      <x:c r="K273" s="99"/>
      <x:c r="L273" s="99"/>
      <x:c r="M273" s="99"/>
      <x:c r="N273" s="99"/>
      <x:c r="O273" s="99"/>
      <x:c r="P273" s="99"/>
      <x:c r="Q273" s="99"/>
      <x:c r="R273" s="99"/>
      <x:c r="S273" s="99"/>
      <x:c r="T273" s="99"/>
      <x:c r="U273" s="99"/>
      <x:c r="V273" s="99"/>
      <x:c r="W273" s="99"/>
      <x:c r="X273" s="99"/>
      <x:c r="Y273" s="99"/>
      <x:c r="Z273" s="99"/>
    </x:row>
    <x:row r="274">
      <x:c r="A274" s="99"/>
      <x:c r="B274" s="99"/>
      <x:c r="C274" s="99"/>
      <x:c r="D274" s="99"/>
      <x:c r="E274" s="99"/>
      <x:c r="F274" s="99"/>
      <x:c r="G274" s="99"/>
      <x:c r="H274" s="99"/>
      <x:c r="I274" s="99"/>
      <x:c r="J274" s="99"/>
      <x:c r="K274" s="99"/>
      <x:c r="L274" s="99"/>
      <x:c r="M274" s="99"/>
      <x:c r="N274" s="99"/>
      <x:c r="O274" s="99"/>
      <x:c r="P274" s="99"/>
      <x:c r="Q274" s="99"/>
      <x:c r="R274" s="99"/>
      <x:c r="S274" s="99"/>
      <x:c r="T274" s="99"/>
      <x:c r="U274" s="99"/>
      <x:c r="V274" s="99"/>
      <x:c r="W274" s="99"/>
      <x:c r="X274" s="99"/>
      <x:c r="Y274" s="99"/>
      <x:c r="Z274" s="99"/>
    </x:row>
    <x:row r="275">
      <x:c r="A275" s="99"/>
      <x:c r="B275" s="99"/>
      <x:c r="C275" s="99"/>
      <x:c r="D275" s="99"/>
      <x:c r="E275" s="99"/>
      <x:c r="F275" s="99"/>
      <x:c r="G275" s="99"/>
      <x:c r="H275" s="99"/>
      <x:c r="I275" s="99"/>
      <x:c r="J275" s="99"/>
      <x:c r="K275" s="99"/>
      <x:c r="L275" s="99"/>
      <x:c r="M275" s="99"/>
      <x:c r="N275" s="99"/>
      <x:c r="O275" s="99"/>
      <x:c r="P275" s="99"/>
      <x:c r="Q275" s="99"/>
      <x:c r="R275" s="99"/>
      <x:c r="S275" s="99"/>
      <x:c r="T275" s="99"/>
      <x:c r="U275" s="99"/>
      <x:c r="V275" s="99"/>
      <x:c r="W275" s="99"/>
      <x:c r="X275" s="99"/>
      <x:c r="Y275" s="99"/>
      <x:c r="Z275" s="99"/>
    </x:row>
    <x:row r="276">
      <x:c r="A276" s="99"/>
      <x:c r="B276" s="99"/>
      <x:c r="C276" s="99"/>
      <x:c r="D276" s="99"/>
      <x:c r="E276" s="99"/>
      <x:c r="F276" s="99"/>
      <x:c r="G276" s="99"/>
      <x:c r="H276" s="99"/>
      <x:c r="I276" s="99"/>
      <x:c r="J276" s="99"/>
      <x:c r="K276" s="99"/>
      <x:c r="L276" s="99"/>
      <x:c r="M276" s="99"/>
      <x:c r="N276" s="99"/>
      <x:c r="O276" s="99"/>
      <x:c r="P276" s="99"/>
      <x:c r="Q276" s="99"/>
      <x:c r="R276" s="99"/>
      <x:c r="S276" s="99"/>
      <x:c r="T276" s="99"/>
      <x:c r="U276" s="99"/>
      <x:c r="V276" s="99"/>
      <x:c r="W276" s="99"/>
      <x:c r="X276" s="99"/>
      <x:c r="Y276" s="99"/>
      <x:c r="Z276" s="99"/>
    </x:row>
    <x:row r="277">
      <x:c r="A277" s="99"/>
      <x:c r="B277" s="99"/>
      <x:c r="C277" s="99"/>
      <x:c r="D277" s="99"/>
      <x:c r="E277" s="99"/>
      <x:c r="F277" s="99"/>
      <x:c r="G277" s="99"/>
      <x:c r="H277" s="99"/>
      <x:c r="I277" s="99"/>
      <x:c r="J277" s="99"/>
      <x:c r="K277" s="99"/>
      <x:c r="L277" s="99"/>
      <x:c r="M277" s="99"/>
      <x:c r="N277" s="99"/>
      <x:c r="O277" s="99"/>
      <x:c r="P277" s="99"/>
      <x:c r="Q277" s="99"/>
      <x:c r="R277" s="99"/>
      <x:c r="S277" s="99"/>
      <x:c r="T277" s="99"/>
      <x:c r="U277" s="99"/>
      <x:c r="V277" s="99"/>
      <x:c r="W277" s="99"/>
      <x:c r="X277" s="99"/>
      <x:c r="Y277" s="99"/>
      <x:c r="Z277" s="99"/>
    </x:row>
    <x:row r="278">
      <x:c r="A278" s="99"/>
      <x:c r="B278" s="99"/>
      <x:c r="C278" s="99"/>
      <x:c r="D278" s="99"/>
      <x:c r="E278" s="99"/>
      <x:c r="F278" s="99"/>
      <x:c r="G278" s="99"/>
      <x:c r="H278" s="99"/>
      <x:c r="I278" s="99"/>
      <x:c r="J278" s="99"/>
      <x:c r="K278" s="99"/>
      <x:c r="L278" s="99"/>
      <x:c r="M278" s="99"/>
      <x:c r="N278" s="99"/>
      <x:c r="O278" s="99"/>
      <x:c r="P278" s="99"/>
      <x:c r="Q278" s="99"/>
      <x:c r="R278" s="99"/>
      <x:c r="S278" s="99"/>
      <x:c r="T278" s="99"/>
      <x:c r="U278" s="99"/>
      <x:c r="V278" s="99"/>
      <x:c r="W278" s="99"/>
      <x:c r="X278" s="99"/>
      <x:c r="Y278" s="99"/>
      <x:c r="Z278" s="99"/>
    </x:row>
    <x:row r="279">
      <x:c r="A279" s="99"/>
      <x:c r="B279" s="99"/>
      <x:c r="C279" s="99"/>
      <x:c r="D279" s="99"/>
      <x:c r="E279" s="99"/>
      <x:c r="F279" s="99"/>
      <x:c r="G279" s="99"/>
      <x:c r="H279" s="99"/>
      <x:c r="I279" s="99"/>
      <x:c r="J279" s="99"/>
      <x:c r="K279" s="99"/>
      <x:c r="L279" s="99"/>
      <x:c r="M279" s="99"/>
      <x:c r="N279" s="99"/>
      <x:c r="O279" s="99"/>
      <x:c r="P279" s="99"/>
      <x:c r="Q279" s="99"/>
      <x:c r="R279" s="99"/>
      <x:c r="S279" s="99"/>
      <x:c r="T279" s="99"/>
      <x:c r="U279" s="99"/>
      <x:c r="V279" s="99"/>
      <x:c r="W279" s="99"/>
      <x:c r="X279" s="99"/>
      <x:c r="Y279" s="99"/>
      <x:c r="Z279" s="99"/>
    </x:row>
    <x:row r="280">
      <x:c r="A280" s="99"/>
      <x:c r="B280" s="99"/>
      <x:c r="C280" s="99"/>
      <x:c r="D280" s="99"/>
      <x:c r="E280" s="99"/>
      <x:c r="F280" s="99"/>
      <x:c r="G280" s="99"/>
      <x:c r="H280" s="99"/>
      <x:c r="I280" s="99"/>
      <x:c r="J280" s="99"/>
      <x:c r="K280" s="99"/>
      <x:c r="L280" s="99"/>
      <x:c r="M280" s="99"/>
      <x:c r="N280" s="99"/>
      <x:c r="O280" s="99"/>
      <x:c r="P280" s="99"/>
      <x:c r="Q280" s="99"/>
      <x:c r="R280" s="99"/>
      <x:c r="S280" s="99"/>
      <x:c r="T280" s="99"/>
      <x:c r="U280" s="99"/>
      <x:c r="V280" s="99"/>
      <x:c r="W280" s="99"/>
      <x:c r="X280" s="99"/>
      <x:c r="Y280" s="99"/>
      <x:c r="Z280" s="99"/>
    </x:row>
    <x:row r="281">
      <x:c r="A281" s="99"/>
      <x:c r="B281" s="99"/>
      <x:c r="C281" s="99"/>
      <x:c r="D281" s="99"/>
      <x:c r="E281" s="99"/>
      <x:c r="F281" s="99"/>
      <x:c r="G281" s="99"/>
      <x:c r="H281" s="99"/>
      <x:c r="I281" s="99"/>
      <x:c r="J281" s="99"/>
      <x:c r="K281" s="99"/>
      <x:c r="L281" s="99"/>
      <x:c r="M281" s="99"/>
      <x:c r="N281" s="99"/>
      <x:c r="O281" s="99"/>
      <x:c r="P281" s="99"/>
      <x:c r="Q281" s="99"/>
      <x:c r="R281" s="99"/>
      <x:c r="S281" s="99"/>
      <x:c r="T281" s="99"/>
      <x:c r="U281" s="99"/>
      <x:c r="V281" s="99"/>
      <x:c r="W281" s="99"/>
      <x:c r="X281" s="99"/>
      <x:c r="Y281" s="99"/>
      <x:c r="Z281" s="99"/>
    </x:row>
    <x:row r="282">
      <x:c r="A282" s="99"/>
      <x:c r="B282" s="99"/>
      <x:c r="C282" s="99"/>
      <x:c r="D282" s="99"/>
      <x:c r="E282" s="99"/>
      <x:c r="F282" s="99"/>
      <x:c r="G282" s="99"/>
      <x:c r="H282" s="99"/>
      <x:c r="I282" s="99"/>
      <x:c r="J282" s="99"/>
      <x:c r="K282" s="99"/>
      <x:c r="L282" s="99"/>
      <x:c r="M282" s="99"/>
      <x:c r="N282" s="99"/>
      <x:c r="O282" s="99"/>
      <x:c r="P282" s="99"/>
      <x:c r="Q282" s="99"/>
      <x:c r="R282" s="99"/>
      <x:c r="S282" s="99"/>
      <x:c r="T282" s="99"/>
      <x:c r="U282" s="99"/>
      <x:c r="V282" s="99"/>
      <x:c r="W282" s="99"/>
      <x:c r="X282" s="99"/>
      <x:c r="Y282" s="99"/>
      <x:c r="Z282" s="99"/>
    </x:row>
    <x:row r="283">
      <x:c r="A283" s="99"/>
      <x:c r="B283" s="99"/>
      <x:c r="C283" s="99"/>
      <x:c r="D283" s="99"/>
      <x:c r="E283" s="99"/>
      <x:c r="F283" s="99"/>
      <x:c r="G283" s="99"/>
      <x:c r="H283" s="99"/>
      <x:c r="I283" s="99"/>
      <x:c r="J283" s="99"/>
      <x:c r="K283" s="99"/>
      <x:c r="L283" s="99"/>
      <x:c r="M283" s="99"/>
      <x:c r="N283" s="99"/>
      <x:c r="O283" s="99"/>
      <x:c r="P283" s="99"/>
      <x:c r="Q283" s="99"/>
      <x:c r="R283" s="99"/>
      <x:c r="S283" s="99"/>
      <x:c r="T283" s="99"/>
      <x:c r="U283" s="99"/>
      <x:c r="V283" s="99"/>
      <x:c r="W283" s="99"/>
      <x:c r="X283" s="99"/>
      <x:c r="Y283" s="99"/>
      <x:c r="Z283" s="99"/>
    </x:row>
    <x:row r="284">
      <x:c r="A284" s="99"/>
      <x:c r="B284" s="99"/>
      <x:c r="C284" s="99"/>
      <x:c r="D284" s="99"/>
      <x:c r="E284" s="99"/>
      <x:c r="F284" s="99"/>
      <x:c r="G284" s="99"/>
      <x:c r="H284" s="99"/>
      <x:c r="I284" s="99"/>
      <x:c r="J284" s="99"/>
      <x:c r="K284" s="99"/>
      <x:c r="L284" s="99"/>
      <x:c r="M284" s="99"/>
      <x:c r="N284" s="99"/>
      <x:c r="O284" s="99"/>
      <x:c r="P284" s="99"/>
      <x:c r="Q284" s="99"/>
      <x:c r="R284" s="99"/>
      <x:c r="S284" s="99"/>
      <x:c r="T284" s="99"/>
      <x:c r="U284" s="99"/>
      <x:c r="V284" s="99"/>
      <x:c r="W284" s="99"/>
      <x:c r="X284" s="99"/>
      <x:c r="Y284" s="99"/>
      <x:c r="Z284" s="99"/>
    </x:row>
    <x:row r="285">
      <x:c r="A285" s="99"/>
      <x:c r="B285" s="99"/>
      <x:c r="C285" s="99"/>
      <x:c r="D285" s="99"/>
      <x:c r="E285" s="99"/>
      <x:c r="F285" s="99"/>
      <x:c r="G285" s="99"/>
      <x:c r="H285" s="99"/>
      <x:c r="I285" s="99"/>
      <x:c r="J285" s="99"/>
      <x:c r="K285" s="99"/>
      <x:c r="L285" s="99"/>
      <x:c r="M285" s="99"/>
      <x:c r="N285" s="99"/>
      <x:c r="O285" s="99"/>
      <x:c r="P285" s="99"/>
      <x:c r="Q285" s="99"/>
      <x:c r="R285" s="99"/>
      <x:c r="S285" s="99"/>
      <x:c r="T285" s="99"/>
      <x:c r="U285" s="99"/>
      <x:c r="V285" s="99"/>
      <x:c r="W285" s="99"/>
      <x:c r="X285" s="99"/>
      <x:c r="Y285" s="99"/>
      <x:c r="Z285" s="99"/>
    </x:row>
    <x:row r="286">
      <x:c r="A286" s="99"/>
      <x:c r="B286" s="99"/>
      <x:c r="C286" s="99"/>
      <x:c r="D286" s="99"/>
      <x:c r="E286" s="99"/>
      <x:c r="F286" s="99"/>
      <x:c r="G286" s="99"/>
      <x:c r="H286" s="99"/>
      <x:c r="I286" s="99"/>
      <x:c r="J286" s="99"/>
      <x:c r="K286" s="99"/>
      <x:c r="L286" s="99"/>
      <x:c r="M286" s="99"/>
      <x:c r="N286" s="99"/>
      <x:c r="O286" s="99"/>
      <x:c r="P286" s="99"/>
      <x:c r="Q286" s="99"/>
      <x:c r="R286" s="99"/>
      <x:c r="S286" s="99"/>
      <x:c r="T286" s="99"/>
      <x:c r="U286" s="99"/>
      <x:c r="V286" s="99"/>
      <x:c r="W286" s="99"/>
      <x:c r="X286" s="99"/>
      <x:c r="Y286" s="99"/>
      <x:c r="Z286" s="99"/>
    </x:row>
    <x:row r="287">
      <x:c r="A287" s="99"/>
      <x:c r="B287" s="99"/>
      <x:c r="C287" s="99"/>
      <x:c r="D287" s="99"/>
      <x:c r="E287" s="99"/>
      <x:c r="F287" s="99"/>
      <x:c r="G287" s="99"/>
      <x:c r="H287" s="99"/>
      <x:c r="I287" s="99"/>
      <x:c r="J287" s="99"/>
      <x:c r="K287" s="99"/>
      <x:c r="L287" s="99"/>
      <x:c r="M287" s="99"/>
      <x:c r="N287" s="99"/>
      <x:c r="O287" s="99"/>
      <x:c r="P287" s="99"/>
      <x:c r="Q287" s="99"/>
      <x:c r="R287" s="99"/>
      <x:c r="S287" s="99"/>
      <x:c r="T287" s="99"/>
      <x:c r="U287" s="99"/>
      <x:c r="V287" s="99"/>
      <x:c r="W287" s="99"/>
      <x:c r="X287" s="99"/>
      <x:c r="Y287" s="99"/>
      <x:c r="Z287" s="99"/>
    </x:row>
    <x:row r="288">
      <x:c r="A288" s="99"/>
      <x:c r="B288" s="99"/>
      <x:c r="C288" s="99"/>
      <x:c r="D288" s="99"/>
      <x:c r="E288" s="99"/>
      <x:c r="F288" s="99"/>
      <x:c r="G288" s="99"/>
      <x:c r="H288" s="99"/>
      <x:c r="I288" s="99"/>
      <x:c r="J288" s="99"/>
      <x:c r="K288" s="99"/>
      <x:c r="L288" s="99"/>
      <x:c r="M288" s="99"/>
      <x:c r="N288" s="99"/>
      <x:c r="O288" s="99"/>
      <x:c r="P288" s="99"/>
      <x:c r="Q288" s="99"/>
      <x:c r="R288" s="99"/>
      <x:c r="S288" s="99"/>
      <x:c r="T288" s="99"/>
      <x:c r="U288" s="99"/>
      <x:c r="V288" s="99"/>
      <x:c r="W288" s="99"/>
      <x:c r="X288" s="99"/>
      <x:c r="Y288" s="99"/>
      <x:c r="Z288" s="99"/>
    </x:row>
    <x:row r="289">
      <x:c r="A289" s="99"/>
      <x:c r="B289" s="99"/>
      <x:c r="C289" s="99"/>
      <x:c r="D289" s="99"/>
      <x:c r="E289" s="99"/>
      <x:c r="F289" s="99"/>
      <x:c r="G289" s="99"/>
      <x:c r="H289" s="99"/>
      <x:c r="I289" s="99"/>
      <x:c r="J289" s="99"/>
      <x:c r="K289" s="99"/>
      <x:c r="L289" s="99"/>
      <x:c r="M289" s="99"/>
      <x:c r="N289" s="99"/>
      <x:c r="O289" s="99"/>
      <x:c r="P289" s="99"/>
      <x:c r="Q289" s="99"/>
      <x:c r="R289" s="99"/>
      <x:c r="S289" s="99"/>
      <x:c r="T289" s="99"/>
      <x:c r="U289" s="99"/>
      <x:c r="V289" s="99"/>
      <x:c r="W289" s="99"/>
      <x:c r="X289" s="99"/>
      <x:c r="Y289" s="99"/>
      <x:c r="Z289" s="99"/>
    </x:row>
    <x:row r="290">
      <x:c r="A290" s="99"/>
      <x:c r="B290" s="99"/>
      <x:c r="C290" s="99"/>
      <x:c r="D290" s="99"/>
      <x:c r="E290" s="99"/>
      <x:c r="F290" s="99"/>
      <x:c r="G290" s="99"/>
      <x:c r="H290" s="99"/>
      <x:c r="I290" s="99"/>
      <x:c r="J290" s="99"/>
      <x:c r="K290" s="99"/>
      <x:c r="L290" s="99"/>
      <x:c r="M290" s="99"/>
      <x:c r="N290" s="99"/>
      <x:c r="O290" s="99"/>
      <x:c r="P290" s="99"/>
      <x:c r="Q290" s="99"/>
      <x:c r="R290" s="99"/>
      <x:c r="S290" s="99"/>
      <x:c r="T290" s="99"/>
      <x:c r="U290" s="99"/>
      <x:c r="V290" s="99"/>
      <x:c r="W290" s="99"/>
      <x:c r="X290" s="99"/>
      <x:c r="Y290" s="99"/>
      <x:c r="Z290" s="99"/>
    </x:row>
    <x:row r="291">
      <x:c r="A291" s="99"/>
      <x:c r="B291" s="99"/>
      <x:c r="C291" s="99"/>
      <x:c r="D291" s="99"/>
      <x:c r="E291" s="99"/>
      <x:c r="F291" s="99"/>
      <x:c r="G291" s="99"/>
      <x:c r="H291" s="99"/>
      <x:c r="I291" s="99"/>
      <x:c r="J291" s="99"/>
      <x:c r="K291" s="99"/>
      <x:c r="L291" s="99"/>
      <x:c r="M291" s="99"/>
      <x:c r="N291" s="99"/>
      <x:c r="O291" s="99"/>
      <x:c r="P291" s="99"/>
      <x:c r="Q291" s="99"/>
      <x:c r="R291" s="99"/>
      <x:c r="S291" s="99"/>
      <x:c r="T291" s="99"/>
      <x:c r="U291" s="99"/>
      <x:c r="V291" s="99"/>
      <x:c r="W291" s="99"/>
      <x:c r="X291" s="99"/>
      <x:c r="Y291" s="99"/>
      <x:c r="Z291" s="99"/>
    </x:row>
    <x:row r="292">
      <x:c r="A292" s="99"/>
      <x:c r="B292" s="99"/>
      <x:c r="C292" s="99"/>
      <x:c r="D292" s="99"/>
      <x:c r="E292" s="99"/>
      <x:c r="F292" s="99"/>
      <x:c r="G292" s="99"/>
      <x:c r="H292" s="99"/>
      <x:c r="I292" s="99"/>
      <x:c r="J292" s="99"/>
      <x:c r="K292" s="99"/>
      <x:c r="L292" s="99"/>
      <x:c r="M292" s="99"/>
      <x:c r="N292" s="99"/>
      <x:c r="O292" s="99"/>
      <x:c r="P292" s="99"/>
      <x:c r="Q292" s="99"/>
      <x:c r="R292" s="99"/>
      <x:c r="S292" s="99"/>
      <x:c r="T292" s="99"/>
      <x:c r="U292" s="99"/>
      <x:c r="V292" s="99"/>
      <x:c r="W292" s="99"/>
      <x:c r="X292" s="99"/>
      <x:c r="Y292" s="99"/>
      <x:c r="Z292" s="99"/>
    </x:row>
    <x:row r="293">
      <x:c r="A293" s="99"/>
      <x:c r="B293" s="99"/>
      <x:c r="C293" s="99"/>
      <x:c r="D293" s="99"/>
      <x:c r="E293" s="99"/>
      <x:c r="F293" s="99"/>
      <x:c r="G293" s="99"/>
      <x:c r="H293" s="99"/>
      <x:c r="I293" s="99"/>
      <x:c r="J293" s="99"/>
      <x:c r="K293" s="99"/>
      <x:c r="L293" s="99"/>
      <x:c r="M293" s="99"/>
      <x:c r="N293" s="99"/>
      <x:c r="O293" s="99"/>
      <x:c r="P293" s="99"/>
      <x:c r="Q293" s="99"/>
      <x:c r="R293" s="99"/>
      <x:c r="S293" s="99"/>
      <x:c r="T293" s="99"/>
      <x:c r="U293" s="99"/>
      <x:c r="V293" s="99"/>
      <x:c r="W293" s="99"/>
      <x:c r="X293" s="99"/>
      <x:c r="Y293" s="99"/>
      <x:c r="Z293" s="99"/>
    </x:row>
    <x:row r="294">
      <x:c r="A294" s="99"/>
      <x:c r="B294" s="99"/>
      <x:c r="C294" s="99"/>
      <x:c r="D294" s="99"/>
      <x:c r="E294" s="99"/>
      <x:c r="F294" s="99"/>
      <x:c r="G294" s="99"/>
      <x:c r="H294" s="99"/>
      <x:c r="I294" s="99"/>
      <x:c r="J294" s="99"/>
      <x:c r="K294" s="99"/>
      <x:c r="L294" s="99"/>
      <x:c r="M294" s="99"/>
      <x:c r="N294" s="99"/>
      <x:c r="O294" s="99"/>
      <x:c r="P294" s="99"/>
      <x:c r="Q294" s="99"/>
      <x:c r="R294" s="99"/>
      <x:c r="S294" s="99"/>
      <x:c r="T294" s="99"/>
      <x:c r="U294" s="99"/>
      <x:c r="V294" s="99"/>
      <x:c r="W294" s="99"/>
      <x:c r="X294" s="99"/>
      <x:c r="Y294" s="99"/>
      <x:c r="Z294" s="99"/>
    </x:row>
    <x:row r="295">
      <x:c r="A295" s="99"/>
      <x:c r="B295" s="99"/>
      <x:c r="C295" s="99"/>
      <x:c r="D295" s="99"/>
      <x:c r="E295" s="99"/>
      <x:c r="F295" s="99"/>
      <x:c r="G295" s="99"/>
      <x:c r="H295" s="99"/>
      <x:c r="I295" s="99"/>
      <x:c r="J295" s="99"/>
      <x:c r="K295" s="99"/>
      <x:c r="L295" s="99"/>
      <x:c r="M295" s="99"/>
      <x:c r="N295" s="99"/>
      <x:c r="O295" s="99"/>
      <x:c r="P295" s="99"/>
      <x:c r="Q295" s="99"/>
      <x:c r="R295" s="99"/>
      <x:c r="S295" s="99"/>
      <x:c r="T295" s="99"/>
      <x:c r="U295" s="99"/>
      <x:c r="V295" s="99"/>
      <x:c r="W295" s="99"/>
      <x:c r="X295" s="99"/>
      <x:c r="Y295" s="99"/>
      <x:c r="Z295" s="99"/>
    </x:row>
    <x:row r="296">
      <x:c r="A296" s="99"/>
      <x:c r="B296" s="99"/>
      <x:c r="C296" s="99"/>
      <x:c r="D296" s="99"/>
      <x:c r="E296" s="99"/>
      <x:c r="F296" s="99"/>
      <x:c r="G296" s="99"/>
      <x:c r="H296" s="99"/>
      <x:c r="I296" s="99"/>
      <x:c r="J296" s="99"/>
      <x:c r="K296" s="99"/>
      <x:c r="L296" s="99"/>
      <x:c r="M296" s="99"/>
      <x:c r="N296" s="99"/>
      <x:c r="O296" s="99"/>
      <x:c r="P296" s="99"/>
      <x:c r="Q296" s="99"/>
      <x:c r="R296" s="99"/>
      <x:c r="S296" s="99"/>
      <x:c r="T296" s="99"/>
      <x:c r="U296" s="99"/>
      <x:c r="V296" s="99"/>
      <x:c r="W296" s="99"/>
      <x:c r="X296" s="99"/>
      <x:c r="Y296" s="99"/>
      <x:c r="Z296" s="99"/>
    </x:row>
    <x:row r="297">
      <x:c r="A297" s="99"/>
      <x:c r="B297" s="99"/>
      <x:c r="C297" s="99"/>
      <x:c r="D297" s="99"/>
      <x:c r="E297" s="99"/>
      <x:c r="F297" s="99"/>
      <x:c r="G297" s="99"/>
      <x:c r="H297" s="99"/>
      <x:c r="I297" s="99"/>
      <x:c r="J297" s="99"/>
      <x:c r="K297" s="99"/>
      <x:c r="L297" s="99"/>
      <x:c r="M297" s="99"/>
      <x:c r="N297" s="99"/>
      <x:c r="O297" s="99"/>
      <x:c r="P297" s="99"/>
      <x:c r="Q297" s="99"/>
      <x:c r="R297" s="99"/>
      <x:c r="S297" s="99"/>
      <x:c r="T297" s="99"/>
      <x:c r="U297" s="99"/>
      <x:c r="V297" s="99"/>
      <x:c r="W297" s="99"/>
      <x:c r="X297" s="99"/>
      <x:c r="Y297" s="99"/>
      <x:c r="Z297" s="99"/>
    </x:row>
    <x:row r="298">
      <x:c r="A298" s="99"/>
      <x:c r="B298" s="99"/>
      <x:c r="C298" s="99"/>
      <x:c r="D298" s="99"/>
      <x:c r="E298" s="99"/>
      <x:c r="F298" s="99"/>
      <x:c r="G298" s="99"/>
      <x:c r="H298" s="99"/>
      <x:c r="I298" s="99"/>
      <x:c r="J298" s="99"/>
      <x:c r="K298" s="99"/>
      <x:c r="L298" s="99"/>
      <x:c r="M298" s="99"/>
      <x:c r="N298" s="99"/>
      <x:c r="O298" s="99"/>
      <x:c r="P298" s="99"/>
      <x:c r="Q298" s="99"/>
      <x:c r="R298" s="99"/>
      <x:c r="S298" s="99"/>
      <x:c r="T298" s="99"/>
      <x:c r="U298" s="99"/>
      <x:c r="V298" s="99"/>
      <x:c r="W298" s="99"/>
      <x:c r="X298" s="99"/>
      <x:c r="Y298" s="99"/>
      <x:c r="Z298" s="99"/>
    </x:row>
    <x:row r="299">
      <x:c r="A299" s="99"/>
      <x:c r="B299" s="99"/>
      <x:c r="C299" s="99"/>
      <x:c r="D299" s="99"/>
      <x:c r="E299" s="99"/>
      <x:c r="F299" s="99"/>
      <x:c r="G299" s="99"/>
      <x:c r="H299" s="99"/>
      <x:c r="I299" s="99"/>
      <x:c r="J299" s="99"/>
      <x:c r="K299" s="99"/>
      <x:c r="L299" s="99"/>
      <x:c r="M299" s="99"/>
      <x:c r="N299" s="99"/>
      <x:c r="O299" s="99"/>
      <x:c r="P299" s="99"/>
      <x:c r="Q299" s="99"/>
      <x:c r="R299" s="99"/>
      <x:c r="S299" s="99"/>
      <x:c r="T299" s="99"/>
      <x:c r="U299" s="99"/>
      <x:c r="V299" s="99"/>
      <x:c r="W299" s="99"/>
      <x:c r="X299" s="99"/>
      <x:c r="Y299" s="99"/>
      <x:c r="Z299" s="99"/>
    </x:row>
    <x:row r="300">
      <x:c r="A300" s="99"/>
      <x:c r="B300" s="99"/>
      <x:c r="C300" s="99"/>
      <x:c r="D300" s="99"/>
      <x:c r="E300" s="99"/>
      <x:c r="F300" s="99"/>
      <x:c r="G300" s="99"/>
      <x:c r="H300" s="99"/>
      <x:c r="I300" s="99"/>
      <x:c r="J300" s="99"/>
      <x:c r="K300" s="99"/>
      <x:c r="L300" s="99"/>
      <x:c r="M300" s="99"/>
      <x:c r="N300" s="99"/>
      <x:c r="O300" s="99"/>
      <x:c r="P300" s="99"/>
      <x:c r="Q300" s="99"/>
      <x:c r="R300" s="99"/>
      <x:c r="S300" s="99"/>
      <x:c r="T300" s="99"/>
      <x:c r="U300" s="99"/>
      <x:c r="V300" s="99"/>
      <x:c r="W300" s="99"/>
      <x:c r="X300" s="99"/>
      <x:c r="Y300" s="99"/>
      <x:c r="Z300" s="99"/>
    </x:row>
    <x:row r="301">
      <x:c r="A301" s="99"/>
      <x:c r="B301" s="99"/>
      <x:c r="C301" s="99"/>
      <x:c r="D301" s="99"/>
      <x:c r="E301" s="99"/>
      <x:c r="F301" s="99"/>
      <x:c r="G301" s="99"/>
      <x:c r="H301" s="99"/>
      <x:c r="I301" s="99"/>
      <x:c r="J301" s="99"/>
      <x:c r="K301" s="99"/>
      <x:c r="L301" s="99"/>
      <x:c r="M301" s="99"/>
      <x:c r="N301" s="99"/>
      <x:c r="O301" s="99"/>
      <x:c r="P301" s="99"/>
      <x:c r="Q301" s="99"/>
      <x:c r="R301" s="99"/>
      <x:c r="S301" s="99"/>
      <x:c r="T301" s="99"/>
      <x:c r="U301" s="99"/>
      <x:c r="V301" s="99"/>
      <x:c r="W301" s="99"/>
      <x:c r="X301" s="99"/>
      <x:c r="Y301" s="99"/>
      <x:c r="Z301" s="99"/>
    </x:row>
    <x:row r="302">
      <x:c r="A302" s="99"/>
      <x:c r="B302" s="99"/>
      <x:c r="C302" s="99"/>
      <x:c r="D302" s="99"/>
      <x:c r="E302" s="99"/>
      <x:c r="F302" s="99"/>
      <x:c r="G302" s="99"/>
      <x:c r="H302" s="99"/>
      <x:c r="I302" s="99"/>
      <x:c r="J302" s="99"/>
      <x:c r="K302" s="99"/>
      <x:c r="L302" s="99"/>
      <x:c r="M302" s="99"/>
      <x:c r="N302" s="99"/>
      <x:c r="O302" s="99"/>
      <x:c r="P302" s="99"/>
      <x:c r="Q302" s="99"/>
      <x:c r="R302" s="99"/>
      <x:c r="S302" s="99"/>
      <x:c r="T302" s="99"/>
      <x:c r="U302" s="99"/>
      <x:c r="V302" s="99"/>
      <x:c r="W302" s="99"/>
      <x:c r="X302" s="99"/>
      <x:c r="Y302" s="99"/>
      <x:c r="Z302" s="99"/>
    </x:row>
    <x:row r="303">
      <x:c r="A303" s="99"/>
      <x:c r="B303" s="99"/>
      <x:c r="C303" s="99"/>
      <x:c r="D303" s="99"/>
      <x:c r="E303" s="99"/>
      <x:c r="F303" s="99"/>
      <x:c r="G303" s="99"/>
      <x:c r="H303" s="99"/>
      <x:c r="I303" s="99"/>
      <x:c r="J303" s="99"/>
      <x:c r="K303" s="99"/>
      <x:c r="L303" s="99"/>
      <x:c r="M303" s="99"/>
      <x:c r="N303" s="99"/>
      <x:c r="O303" s="99"/>
      <x:c r="P303" s="99"/>
      <x:c r="Q303" s="99"/>
      <x:c r="R303" s="99"/>
      <x:c r="S303" s="99"/>
      <x:c r="T303" s="99"/>
      <x:c r="U303" s="99"/>
      <x:c r="V303" s="99"/>
      <x:c r="W303" s="99"/>
      <x:c r="X303" s="99"/>
      <x:c r="Y303" s="99"/>
      <x:c r="Z303" s="99"/>
    </x:row>
    <x:row r="304">
      <x:c r="A304" s="99"/>
      <x:c r="B304" s="99"/>
      <x:c r="C304" s="99"/>
      <x:c r="D304" s="99"/>
      <x:c r="E304" s="99"/>
      <x:c r="F304" s="99"/>
      <x:c r="G304" s="99"/>
      <x:c r="H304" s="99"/>
      <x:c r="I304" s="99"/>
      <x:c r="J304" s="99"/>
      <x:c r="K304" s="99"/>
      <x:c r="L304" s="99"/>
      <x:c r="M304" s="99"/>
      <x:c r="N304" s="99"/>
      <x:c r="O304" s="99"/>
      <x:c r="P304" s="99"/>
      <x:c r="Q304" s="99"/>
      <x:c r="R304" s="99"/>
      <x:c r="S304" s="99"/>
      <x:c r="T304" s="99"/>
      <x:c r="U304" s="99"/>
      <x:c r="V304" s="99"/>
      <x:c r="W304" s="99"/>
      <x:c r="X304" s="99"/>
      <x:c r="Y304" s="99"/>
      <x:c r="Z304" s="99"/>
    </x:row>
    <x:row r="305">
      <x:c r="A305" s="99"/>
      <x:c r="B305" s="99"/>
      <x:c r="C305" s="99"/>
      <x:c r="D305" s="99"/>
      <x:c r="E305" s="99"/>
      <x:c r="F305" s="99"/>
      <x:c r="G305" s="99"/>
      <x:c r="H305" s="99"/>
      <x:c r="I305" s="99"/>
      <x:c r="J305" s="99"/>
      <x:c r="K305" s="99"/>
      <x:c r="L305" s="99"/>
      <x:c r="M305" s="99"/>
      <x:c r="N305" s="99"/>
      <x:c r="O305" s="99"/>
      <x:c r="P305" s="99"/>
      <x:c r="Q305" s="99"/>
      <x:c r="R305" s="99"/>
      <x:c r="S305" s="99"/>
      <x:c r="T305" s="99"/>
      <x:c r="U305" s="99"/>
      <x:c r="V305" s="99"/>
      <x:c r="W305" s="99"/>
      <x:c r="X305" s="99"/>
      <x:c r="Y305" s="99"/>
      <x:c r="Z305" s="99"/>
    </x:row>
    <x:row r="306">
      <x:c r="A306" s="99"/>
      <x:c r="B306" s="99"/>
      <x:c r="C306" s="99"/>
      <x:c r="D306" s="99"/>
      <x:c r="E306" s="99"/>
      <x:c r="F306" s="99"/>
      <x:c r="G306" s="99"/>
      <x:c r="H306" s="99"/>
      <x:c r="I306" s="99"/>
      <x:c r="J306" s="99"/>
      <x:c r="K306" s="99"/>
      <x:c r="L306" s="99"/>
      <x:c r="M306" s="99"/>
      <x:c r="N306" s="99"/>
      <x:c r="O306" s="99"/>
      <x:c r="P306" s="99"/>
      <x:c r="Q306" s="99"/>
      <x:c r="R306" s="99"/>
      <x:c r="S306" s="99"/>
      <x:c r="T306" s="99"/>
      <x:c r="U306" s="99"/>
      <x:c r="V306" s="99"/>
      <x:c r="W306" s="99"/>
      <x:c r="X306" s="99"/>
      <x:c r="Y306" s="99"/>
      <x:c r="Z306" s="99"/>
    </x:row>
    <x:row r="307">
      <x:c r="A307" s="99"/>
      <x:c r="B307" s="99"/>
      <x:c r="C307" s="99"/>
      <x:c r="D307" s="99"/>
      <x:c r="E307" s="99"/>
      <x:c r="F307" s="99"/>
      <x:c r="G307" s="99"/>
      <x:c r="H307" s="99"/>
      <x:c r="I307" s="99"/>
      <x:c r="J307" s="99"/>
      <x:c r="K307" s="99"/>
      <x:c r="L307" s="99"/>
      <x:c r="M307" s="99"/>
      <x:c r="N307" s="99"/>
      <x:c r="O307" s="99"/>
      <x:c r="P307" s="99"/>
      <x:c r="Q307" s="99"/>
      <x:c r="R307" s="99"/>
      <x:c r="S307" s="99"/>
      <x:c r="T307" s="99"/>
      <x:c r="U307" s="99"/>
      <x:c r="V307" s="99"/>
      <x:c r="W307" s="99"/>
      <x:c r="X307" s="99"/>
      <x:c r="Y307" s="99"/>
      <x:c r="Z307" s="99"/>
    </x:row>
    <x:row r="308">
      <x:c r="A308" s="99"/>
      <x:c r="B308" s="99"/>
      <x:c r="C308" s="99"/>
      <x:c r="D308" s="99"/>
      <x:c r="E308" s="99"/>
      <x:c r="F308" s="99"/>
      <x:c r="G308" s="99"/>
      <x:c r="H308" s="99"/>
      <x:c r="I308" s="99"/>
      <x:c r="J308" s="99"/>
      <x:c r="K308" s="99"/>
      <x:c r="L308" s="99"/>
      <x:c r="M308" s="99"/>
      <x:c r="N308" s="99"/>
      <x:c r="O308" s="99"/>
      <x:c r="P308" s="99"/>
      <x:c r="Q308" s="99"/>
      <x:c r="R308" s="99"/>
      <x:c r="S308" s="99"/>
      <x:c r="T308" s="99"/>
      <x:c r="U308" s="99"/>
      <x:c r="V308" s="99"/>
      <x:c r="W308" s="99"/>
      <x:c r="X308" s="99"/>
      <x:c r="Y308" s="99"/>
      <x:c r="Z308" s="99"/>
    </x:row>
    <x:row r="309">
      <x:c r="A309" s="99"/>
      <x:c r="B309" s="99"/>
      <x:c r="C309" s="99"/>
      <x:c r="D309" s="99"/>
      <x:c r="E309" s="99"/>
      <x:c r="F309" s="99"/>
      <x:c r="G309" s="99"/>
      <x:c r="H309" s="99"/>
      <x:c r="I309" s="99"/>
      <x:c r="J309" s="99"/>
      <x:c r="K309" s="99"/>
      <x:c r="L309" s="99"/>
      <x:c r="M309" s="99"/>
      <x:c r="N309" s="99"/>
      <x:c r="O309" s="99"/>
      <x:c r="P309" s="99"/>
      <x:c r="Q309" s="99"/>
      <x:c r="R309" s="99"/>
      <x:c r="S309" s="99"/>
      <x:c r="T309" s="99"/>
      <x:c r="U309" s="99"/>
      <x:c r="V309" s="99"/>
      <x:c r="W309" s="99"/>
      <x:c r="X309" s="99"/>
      <x:c r="Y309" s="99"/>
      <x:c r="Z309" s="99"/>
    </x:row>
    <x:row r="310">
      <x:c r="A310" s="99"/>
      <x:c r="B310" s="99"/>
      <x:c r="C310" s="99"/>
      <x:c r="D310" s="99"/>
      <x:c r="E310" s="99"/>
      <x:c r="F310" s="99"/>
      <x:c r="G310" s="99"/>
      <x:c r="H310" s="99"/>
      <x:c r="I310" s="99"/>
      <x:c r="J310" s="99"/>
      <x:c r="K310" s="99"/>
      <x:c r="L310" s="99"/>
      <x:c r="M310" s="99"/>
      <x:c r="N310" s="99"/>
      <x:c r="O310" s="99"/>
      <x:c r="P310" s="99"/>
      <x:c r="Q310" s="99"/>
      <x:c r="R310" s="99"/>
      <x:c r="S310" s="99"/>
      <x:c r="T310" s="99"/>
      <x:c r="U310" s="99"/>
      <x:c r="V310" s="99"/>
      <x:c r="W310" s="99"/>
      <x:c r="X310" s="99"/>
      <x:c r="Y310" s="99"/>
      <x:c r="Z310" s="99"/>
    </x:row>
    <x:row r="311">
      <x:c r="A311" s="99"/>
      <x:c r="B311" s="99"/>
      <x:c r="C311" s="99"/>
      <x:c r="D311" s="99"/>
      <x:c r="E311" s="99"/>
      <x:c r="F311" s="99"/>
      <x:c r="G311" s="99"/>
      <x:c r="H311" s="99"/>
      <x:c r="I311" s="99"/>
      <x:c r="J311" s="99"/>
      <x:c r="K311" s="99"/>
      <x:c r="L311" s="99"/>
      <x:c r="M311" s="99"/>
      <x:c r="N311" s="99"/>
      <x:c r="O311" s="99"/>
      <x:c r="P311" s="99"/>
      <x:c r="Q311" s="99"/>
      <x:c r="R311" s="99"/>
      <x:c r="S311" s="99"/>
      <x:c r="T311" s="99"/>
      <x:c r="U311" s="99"/>
      <x:c r="V311" s="99"/>
      <x:c r="W311" s="99"/>
      <x:c r="X311" s="99"/>
      <x:c r="Y311" s="99"/>
      <x:c r="Z311" s="99"/>
    </x:row>
    <x:row r="312">
      <x:c r="A312" s="99"/>
      <x:c r="B312" s="99"/>
      <x:c r="C312" s="99"/>
      <x:c r="D312" s="99"/>
      <x:c r="E312" s="99"/>
      <x:c r="F312" s="99"/>
      <x:c r="G312" s="99"/>
      <x:c r="H312" s="99"/>
      <x:c r="I312" s="99"/>
      <x:c r="J312" s="99"/>
      <x:c r="K312" s="99"/>
      <x:c r="L312" s="99"/>
      <x:c r="M312" s="99"/>
      <x:c r="N312" s="99"/>
      <x:c r="O312" s="99"/>
      <x:c r="P312" s="99"/>
      <x:c r="Q312" s="99"/>
      <x:c r="R312" s="99"/>
      <x:c r="S312" s="99"/>
      <x:c r="T312" s="99"/>
      <x:c r="U312" s="99"/>
      <x:c r="V312" s="99"/>
      <x:c r="W312" s="99"/>
      <x:c r="X312" s="99"/>
      <x:c r="Y312" s="99"/>
      <x:c r="Z312" s="99"/>
    </x:row>
    <x:row r="313">
      <x:c r="A313" s="99"/>
      <x:c r="B313" s="99"/>
      <x:c r="C313" s="99"/>
      <x:c r="D313" s="99"/>
      <x:c r="E313" s="99"/>
      <x:c r="F313" s="99"/>
      <x:c r="G313" s="99"/>
      <x:c r="H313" s="99"/>
      <x:c r="I313" s="99"/>
      <x:c r="J313" s="99"/>
      <x:c r="K313" s="99"/>
      <x:c r="L313" s="99"/>
      <x:c r="M313" s="99"/>
      <x:c r="N313" s="99"/>
      <x:c r="O313" s="99"/>
      <x:c r="P313" s="99"/>
      <x:c r="Q313" s="99"/>
      <x:c r="R313" s="99"/>
      <x:c r="S313" s="99"/>
      <x:c r="T313" s="99"/>
      <x:c r="U313" s="99"/>
      <x:c r="V313" s="99"/>
      <x:c r="W313" s="99"/>
      <x:c r="X313" s="99"/>
      <x:c r="Y313" s="99"/>
      <x:c r="Z313" s="99"/>
    </x:row>
    <x:row r="314">
      <x:c r="A314" s="99"/>
      <x:c r="B314" s="99"/>
      <x:c r="C314" s="99"/>
      <x:c r="D314" s="99"/>
      <x:c r="E314" s="99"/>
      <x:c r="F314" s="99"/>
      <x:c r="G314" s="99"/>
      <x:c r="H314" s="99"/>
      <x:c r="I314" s="99"/>
      <x:c r="J314" s="99"/>
      <x:c r="K314" s="99"/>
      <x:c r="L314" s="99"/>
      <x:c r="M314" s="99"/>
      <x:c r="N314" s="99"/>
      <x:c r="O314" s="99"/>
      <x:c r="P314" s="99"/>
      <x:c r="Q314" s="99"/>
      <x:c r="R314" s="99"/>
      <x:c r="S314" s="99"/>
      <x:c r="T314" s="99"/>
      <x:c r="U314" s="99"/>
      <x:c r="V314" s="99"/>
      <x:c r="W314" s="99"/>
      <x:c r="X314" s="99"/>
      <x:c r="Y314" s="99"/>
      <x:c r="Z314" s="99"/>
    </x:row>
    <x:row r="315">
      <x:c r="A315" s="99"/>
      <x:c r="B315" s="99"/>
      <x:c r="C315" s="99"/>
      <x:c r="D315" s="99"/>
      <x:c r="E315" s="99"/>
      <x:c r="F315" s="99"/>
      <x:c r="G315" s="99"/>
      <x:c r="H315" s="99"/>
      <x:c r="I315" s="99"/>
      <x:c r="J315" s="99"/>
      <x:c r="K315" s="99"/>
      <x:c r="L315" s="99"/>
      <x:c r="M315" s="99"/>
      <x:c r="N315" s="99"/>
      <x:c r="O315" s="99"/>
      <x:c r="P315" s="99"/>
      <x:c r="Q315" s="99"/>
      <x:c r="R315" s="99"/>
      <x:c r="S315" s="99"/>
      <x:c r="T315" s="99"/>
      <x:c r="U315" s="99"/>
      <x:c r="V315" s="99"/>
      <x:c r="W315" s="99"/>
      <x:c r="X315" s="99"/>
      <x:c r="Y315" s="99"/>
      <x:c r="Z315" s="99"/>
    </x:row>
    <x:row r="316">
      <x:c r="A316" s="99"/>
      <x:c r="B316" s="99"/>
      <x:c r="C316" s="99"/>
      <x:c r="D316" s="99"/>
      <x:c r="E316" s="99"/>
      <x:c r="F316" s="99"/>
      <x:c r="G316" s="99"/>
      <x:c r="H316" s="99"/>
      <x:c r="I316" s="99"/>
      <x:c r="J316" s="99"/>
      <x:c r="K316" s="99"/>
      <x:c r="L316" s="99"/>
      <x:c r="M316" s="99"/>
      <x:c r="N316" s="99"/>
      <x:c r="O316" s="99"/>
      <x:c r="P316" s="99"/>
      <x:c r="Q316" s="99"/>
      <x:c r="R316" s="99"/>
      <x:c r="S316" s="99"/>
      <x:c r="T316" s="99"/>
      <x:c r="U316" s="99"/>
      <x:c r="V316" s="99"/>
      <x:c r="W316" s="99"/>
      <x:c r="X316" s="99"/>
      <x:c r="Y316" s="99"/>
      <x:c r="Z316" s="99"/>
    </x:row>
    <x:row r="317">
      <x:c r="A317" s="99"/>
      <x:c r="B317" s="99"/>
      <x:c r="C317" s="99"/>
      <x:c r="D317" s="99"/>
      <x:c r="E317" s="99"/>
      <x:c r="F317" s="99"/>
      <x:c r="G317" s="99"/>
      <x:c r="H317" s="99"/>
      <x:c r="I317" s="99"/>
      <x:c r="J317" s="99"/>
      <x:c r="K317" s="99"/>
      <x:c r="L317" s="99"/>
      <x:c r="M317" s="99"/>
      <x:c r="N317" s="99"/>
      <x:c r="O317" s="99"/>
      <x:c r="P317" s="99"/>
      <x:c r="Q317" s="99"/>
      <x:c r="R317" s="99"/>
      <x:c r="S317" s="99"/>
      <x:c r="T317" s="99"/>
      <x:c r="U317" s="99"/>
      <x:c r="V317" s="99"/>
      <x:c r="W317" s="99"/>
      <x:c r="X317" s="99"/>
      <x:c r="Y317" s="99"/>
      <x:c r="Z317" s="99"/>
    </x:row>
    <x:row r="318">
      <x:c r="A318" s="99"/>
      <x:c r="B318" s="99"/>
      <x:c r="C318" s="99"/>
      <x:c r="D318" s="99"/>
      <x:c r="E318" s="99"/>
      <x:c r="F318" s="99"/>
      <x:c r="G318" s="99"/>
      <x:c r="H318" s="99"/>
      <x:c r="I318" s="99"/>
      <x:c r="J318" s="99"/>
      <x:c r="K318" s="99"/>
      <x:c r="L318" s="99"/>
      <x:c r="M318" s="99"/>
      <x:c r="N318" s="99"/>
      <x:c r="O318" s="99"/>
      <x:c r="P318" s="99"/>
      <x:c r="Q318" s="99"/>
      <x:c r="R318" s="99"/>
      <x:c r="S318" s="99"/>
      <x:c r="T318" s="99"/>
      <x:c r="U318" s="99"/>
      <x:c r="V318" s="99"/>
      <x:c r="W318" s="99"/>
      <x:c r="X318" s="99"/>
      <x:c r="Y318" s="99"/>
      <x:c r="Z318" s="99"/>
    </x:row>
    <x:row r="319">
      <x:c r="A319" s="99"/>
      <x:c r="B319" s="99"/>
      <x:c r="C319" s="99"/>
      <x:c r="D319" s="99"/>
      <x:c r="E319" s="99"/>
      <x:c r="F319" s="99"/>
      <x:c r="G319" s="99"/>
      <x:c r="H319" s="99"/>
      <x:c r="I319" s="99"/>
      <x:c r="J319" s="99"/>
      <x:c r="K319" s="99"/>
      <x:c r="L319" s="99"/>
      <x:c r="M319" s="99"/>
      <x:c r="N319" s="99"/>
      <x:c r="O319" s="99"/>
      <x:c r="P319" s="99"/>
      <x:c r="Q319" s="99"/>
      <x:c r="R319" s="99"/>
      <x:c r="S319" s="99"/>
      <x:c r="T319" s="99"/>
      <x:c r="U319" s="99"/>
      <x:c r="V319" s="99"/>
      <x:c r="W319" s="99"/>
      <x:c r="X319" s="99"/>
      <x:c r="Y319" s="99"/>
      <x:c r="Z319" s="99"/>
    </x:row>
    <x:row r="320">
      <x:c r="A320" s="99"/>
      <x:c r="B320" s="99"/>
      <x:c r="C320" s="99"/>
      <x:c r="D320" s="99"/>
      <x:c r="E320" s="99"/>
      <x:c r="F320" s="99"/>
      <x:c r="G320" s="99"/>
      <x:c r="H320" s="99"/>
      <x:c r="I320" s="99"/>
      <x:c r="J320" s="99"/>
      <x:c r="K320" s="99"/>
      <x:c r="L320" s="99"/>
      <x:c r="M320" s="99"/>
      <x:c r="N320" s="99"/>
      <x:c r="O320" s="99"/>
      <x:c r="P320" s="99"/>
      <x:c r="Q320" s="99"/>
      <x:c r="R320" s="99"/>
      <x:c r="S320" s="99"/>
      <x:c r="T320" s="99"/>
      <x:c r="U320" s="99"/>
      <x:c r="V320" s="99"/>
      <x:c r="W320" s="99"/>
      <x:c r="X320" s="99"/>
      <x:c r="Y320" s="99"/>
      <x:c r="Z320" s="99"/>
    </x:row>
    <x:row r="321">
      <x:c r="A321" s="99"/>
      <x:c r="B321" s="99"/>
      <x:c r="C321" s="99"/>
      <x:c r="D321" s="99"/>
      <x:c r="E321" s="99"/>
      <x:c r="F321" s="99"/>
      <x:c r="G321" s="99"/>
      <x:c r="H321" s="99"/>
      <x:c r="I321" s="99"/>
      <x:c r="J321" s="99"/>
      <x:c r="K321" s="99"/>
      <x:c r="L321" s="99"/>
      <x:c r="M321" s="99"/>
      <x:c r="N321" s="99"/>
      <x:c r="O321" s="99"/>
      <x:c r="P321" s="99"/>
      <x:c r="Q321" s="99"/>
      <x:c r="R321" s="99"/>
      <x:c r="S321" s="99"/>
      <x:c r="T321" s="99"/>
      <x:c r="U321" s="99"/>
      <x:c r="V321" s="99"/>
      <x:c r="W321" s="99"/>
      <x:c r="X321" s="99"/>
      <x:c r="Y321" s="99"/>
      <x:c r="Z321" s="99"/>
    </x:row>
    <x:row r="322">
      <x:c r="A322" s="99"/>
      <x:c r="B322" s="99"/>
      <x:c r="C322" s="99"/>
      <x:c r="D322" s="99"/>
      <x:c r="E322" s="99"/>
      <x:c r="F322" s="99"/>
      <x:c r="G322" s="99"/>
      <x:c r="H322" s="99"/>
      <x:c r="I322" s="99"/>
      <x:c r="J322" s="99"/>
      <x:c r="K322" s="99"/>
      <x:c r="L322" s="99"/>
      <x:c r="M322" s="99"/>
      <x:c r="N322" s="99"/>
      <x:c r="O322" s="99"/>
      <x:c r="P322" s="99"/>
      <x:c r="Q322" s="99"/>
      <x:c r="R322" s="99"/>
      <x:c r="S322" s="99"/>
      <x:c r="T322" s="99"/>
      <x:c r="U322" s="99"/>
      <x:c r="V322" s="99"/>
      <x:c r="W322" s="99"/>
      <x:c r="X322" s="99"/>
      <x:c r="Y322" s="99"/>
      <x:c r="Z322" s="99"/>
    </x:row>
    <x:row r="323">
      <x:c r="A323" s="99"/>
      <x:c r="B323" s="99"/>
      <x:c r="C323" s="99"/>
      <x:c r="D323" s="99"/>
      <x:c r="E323" s="99"/>
      <x:c r="F323" s="99"/>
      <x:c r="G323" s="99"/>
      <x:c r="H323" s="99"/>
      <x:c r="I323" s="99"/>
      <x:c r="J323" s="99"/>
      <x:c r="K323" s="99"/>
      <x:c r="L323" s="99"/>
      <x:c r="M323" s="99"/>
      <x:c r="N323" s="99"/>
      <x:c r="O323" s="99"/>
      <x:c r="P323" s="99"/>
      <x:c r="Q323" s="99"/>
      <x:c r="R323" s="99"/>
      <x:c r="S323" s="99"/>
      <x:c r="T323" s="99"/>
      <x:c r="U323" s="99"/>
      <x:c r="V323" s="99"/>
      <x:c r="W323" s="99"/>
      <x:c r="X323" s="99"/>
      <x:c r="Y323" s="99"/>
      <x:c r="Z323" s="99"/>
    </x:row>
    <x:row r="324">
      <x:c r="A324" s="99"/>
      <x:c r="B324" s="99"/>
      <x:c r="C324" s="99"/>
      <x:c r="D324" s="99"/>
      <x:c r="E324" s="99"/>
      <x:c r="F324" s="99"/>
      <x:c r="G324" s="99"/>
      <x:c r="H324" s="99"/>
      <x:c r="I324" s="99"/>
      <x:c r="J324" s="99"/>
      <x:c r="K324" s="99"/>
      <x:c r="L324" s="99"/>
      <x:c r="M324" s="99"/>
      <x:c r="N324" s="99"/>
      <x:c r="O324" s="99"/>
      <x:c r="P324" s="99"/>
      <x:c r="Q324" s="99"/>
      <x:c r="R324" s="99"/>
      <x:c r="S324" s="99"/>
      <x:c r="T324" s="99"/>
      <x:c r="U324" s="99"/>
      <x:c r="V324" s="99"/>
      <x:c r="W324" s="99"/>
      <x:c r="X324" s="99"/>
      <x:c r="Y324" s="99"/>
      <x:c r="Z324" s="99"/>
    </x:row>
    <x:row r="325">
      <x:c r="A325" s="99"/>
      <x:c r="B325" s="99"/>
      <x:c r="C325" s="99"/>
      <x:c r="D325" s="99"/>
      <x:c r="E325" s="99"/>
      <x:c r="F325" s="99"/>
      <x:c r="G325" s="99"/>
      <x:c r="H325" s="99"/>
      <x:c r="I325" s="99"/>
      <x:c r="J325" s="99"/>
      <x:c r="K325" s="99"/>
      <x:c r="L325" s="99"/>
      <x:c r="M325" s="99"/>
      <x:c r="N325" s="99"/>
      <x:c r="O325" s="99"/>
      <x:c r="P325" s="99"/>
      <x:c r="Q325" s="99"/>
      <x:c r="R325" s="99"/>
      <x:c r="S325" s="99"/>
      <x:c r="T325" s="99"/>
      <x:c r="U325" s="99"/>
      <x:c r="V325" s="99"/>
      <x:c r="W325" s="99"/>
      <x:c r="X325" s="99"/>
      <x:c r="Y325" s="99"/>
      <x:c r="Z325" s="99"/>
    </x:row>
    <x:row r="326">
      <x:c r="A326" s="99"/>
      <x:c r="B326" s="99"/>
      <x:c r="C326" s="99"/>
      <x:c r="D326" s="99"/>
      <x:c r="E326" s="99"/>
      <x:c r="F326" s="99"/>
      <x:c r="G326" s="99"/>
      <x:c r="H326" s="99"/>
      <x:c r="I326" s="99"/>
      <x:c r="J326" s="99"/>
      <x:c r="K326" s="99"/>
      <x:c r="L326" s="99"/>
      <x:c r="M326" s="99"/>
      <x:c r="N326" s="99"/>
      <x:c r="O326" s="99"/>
      <x:c r="P326" s="99"/>
      <x:c r="Q326" s="99"/>
      <x:c r="R326" s="99"/>
      <x:c r="S326" s="99"/>
      <x:c r="T326" s="99"/>
      <x:c r="U326" s="99"/>
      <x:c r="V326" s="99"/>
      <x:c r="W326" s="99"/>
      <x:c r="X326" s="99"/>
      <x:c r="Y326" s="99"/>
      <x:c r="Z326" s="99"/>
    </x:row>
    <x:row r="327">
      <x:c r="A327" s="99"/>
      <x:c r="B327" s="99"/>
      <x:c r="C327" s="99"/>
      <x:c r="D327" s="99"/>
      <x:c r="E327" s="99"/>
      <x:c r="F327" s="99"/>
      <x:c r="G327" s="99"/>
      <x:c r="H327" s="99"/>
      <x:c r="I327" s="99"/>
      <x:c r="J327" s="99"/>
      <x:c r="K327" s="99"/>
      <x:c r="L327" s="99"/>
      <x:c r="M327" s="99"/>
      <x:c r="N327" s="99"/>
      <x:c r="O327" s="99"/>
      <x:c r="P327" s="99"/>
      <x:c r="Q327" s="99"/>
      <x:c r="R327" s="99"/>
      <x:c r="S327" s="99"/>
      <x:c r="T327" s="99"/>
      <x:c r="U327" s="99"/>
      <x:c r="V327" s="99"/>
      <x:c r="W327" s="99"/>
      <x:c r="X327" s="99"/>
      <x:c r="Y327" s="99"/>
      <x:c r="Z327" s="99"/>
    </x:row>
    <x:row r="328">
      <x:c r="A328" s="99"/>
      <x:c r="B328" s="99"/>
      <x:c r="C328" s="99"/>
      <x:c r="D328" s="99"/>
      <x:c r="E328" s="99"/>
      <x:c r="F328" s="99"/>
      <x:c r="G328" s="99"/>
      <x:c r="H328" s="99"/>
      <x:c r="I328" s="99"/>
      <x:c r="J328" s="99"/>
      <x:c r="K328" s="99"/>
      <x:c r="L328" s="99"/>
      <x:c r="M328" s="99"/>
      <x:c r="N328" s="99"/>
      <x:c r="O328" s="99"/>
      <x:c r="P328" s="99"/>
      <x:c r="Q328" s="99"/>
      <x:c r="R328" s="99"/>
      <x:c r="S328" s="99"/>
      <x:c r="T328" s="99"/>
      <x:c r="U328" s="99"/>
      <x:c r="V328" s="99"/>
      <x:c r="W328" s="99"/>
      <x:c r="X328" s="99"/>
      <x:c r="Y328" s="99"/>
      <x:c r="Z328" s="99"/>
    </x:row>
    <x:row r="329">
      <x:c r="A329" s="99"/>
      <x:c r="B329" s="99"/>
      <x:c r="C329" s="99"/>
      <x:c r="D329" s="99"/>
      <x:c r="E329" s="99"/>
      <x:c r="F329" s="99"/>
      <x:c r="G329" s="99"/>
      <x:c r="H329" s="99"/>
      <x:c r="I329" s="99"/>
      <x:c r="J329" s="99"/>
      <x:c r="K329" s="99"/>
      <x:c r="L329" s="99"/>
      <x:c r="M329" s="99"/>
      <x:c r="N329" s="99"/>
      <x:c r="O329" s="99"/>
      <x:c r="P329" s="99"/>
      <x:c r="Q329" s="99"/>
      <x:c r="R329" s="99"/>
      <x:c r="S329" s="99"/>
      <x:c r="T329" s="99"/>
      <x:c r="U329" s="99"/>
      <x:c r="V329" s="99"/>
      <x:c r="W329" s="99"/>
      <x:c r="X329" s="99"/>
      <x:c r="Y329" s="99"/>
      <x:c r="Z329" s="99"/>
    </x:row>
    <x:row r="330">
      <x:c r="A330" s="99"/>
      <x:c r="B330" s="99"/>
      <x:c r="C330" s="99"/>
      <x:c r="D330" s="99"/>
      <x:c r="E330" s="99"/>
      <x:c r="F330" s="99"/>
      <x:c r="G330" s="99"/>
      <x:c r="H330" s="99"/>
      <x:c r="I330" s="99"/>
      <x:c r="J330" s="99"/>
      <x:c r="K330" s="99"/>
      <x:c r="L330" s="99"/>
      <x:c r="M330" s="99"/>
      <x:c r="N330" s="99"/>
      <x:c r="O330" s="99"/>
      <x:c r="P330" s="99"/>
      <x:c r="Q330" s="99"/>
      <x:c r="R330" s="99"/>
      <x:c r="S330" s="99"/>
      <x:c r="T330" s="99"/>
      <x:c r="U330" s="99"/>
      <x:c r="V330" s="99"/>
      <x:c r="W330" s="99"/>
      <x:c r="X330" s="99"/>
      <x:c r="Y330" s="99"/>
      <x:c r="Z330" s="99"/>
    </x:row>
    <x:row r="331">
      <x:c r="A331" s="99"/>
      <x:c r="B331" s="99"/>
      <x:c r="C331" s="99"/>
      <x:c r="D331" s="99"/>
      <x:c r="E331" s="99"/>
      <x:c r="F331" s="99"/>
      <x:c r="G331" s="99"/>
      <x:c r="H331" s="99"/>
      <x:c r="I331" s="99"/>
      <x:c r="J331" s="99"/>
      <x:c r="K331" s="99"/>
      <x:c r="L331" s="99"/>
      <x:c r="M331" s="99"/>
      <x:c r="N331" s="99"/>
      <x:c r="O331" s="99"/>
      <x:c r="P331" s="99"/>
      <x:c r="Q331" s="99"/>
      <x:c r="R331" s="99"/>
      <x:c r="S331" s="99"/>
      <x:c r="T331" s="99"/>
      <x:c r="U331" s="99"/>
      <x:c r="V331" s="99"/>
      <x:c r="W331" s="99"/>
      <x:c r="X331" s="99"/>
      <x:c r="Y331" s="99"/>
      <x:c r="Z331" s="99"/>
    </x:row>
    <x:row r="332">
      <x:c r="A332" s="99"/>
      <x:c r="B332" s="99"/>
      <x:c r="C332" s="99"/>
      <x:c r="D332" s="99"/>
      <x:c r="E332" s="99"/>
      <x:c r="F332" s="99"/>
      <x:c r="G332" s="99"/>
      <x:c r="H332" s="99"/>
      <x:c r="I332" s="99"/>
      <x:c r="J332" s="99"/>
      <x:c r="K332" s="99"/>
      <x:c r="L332" s="99"/>
      <x:c r="M332" s="99"/>
      <x:c r="N332" s="99"/>
      <x:c r="O332" s="99"/>
      <x:c r="P332" s="99"/>
      <x:c r="Q332" s="99"/>
      <x:c r="R332" s="99"/>
      <x:c r="S332" s="99"/>
      <x:c r="T332" s="99"/>
      <x:c r="U332" s="99"/>
      <x:c r="V332" s="99"/>
      <x:c r="W332" s="99"/>
      <x:c r="X332" s="99"/>
      <x:c r="Y332" s="99"/>
      <x:c r="Z332" s="99"/>
    </x:row>
    <x:row r="333">
      <x:c r="A333" s="99"/>
      <x:c r="B333" s="99"/>
      <x:c r="C333" s="99"/>
      <x:c r="D333" s="99"/>
      <x:c r="E333" s="99"/>
      <x:c r="F333" s="99"/>
      <x:c r="G333" s="99"/>
      <x:c r="H333" s="99"/>
      <x:c r="I333" s="99"/>
      <x:c r="J333" s="99"/>
      <x:c r="K333" s="99"/>
      <x:c r="L333" s="99"/>
      <x:c r="M333" s="99"/>
      <x:c r="N333" s="99"/>
      <x:c r="O333" s="99"/>
      <x:c r="P333" s="99"/>
      <x:c r="Q333" s="99"/>
      <x:c r="R333" s="99"/>
      <x:c r="S333" s="99"/>
      <x:c r="T333" s="99"/>
      <x:c r="U333" s="99"/>
      <x:c r="V333" s="99"/>
      <x:c r="W333" s="99"/>
      <x:c r="X333" s="99"/>
      <x:c r="Y333" s="99"/>
      <x:c r="Z333" s="99"/>
    </x:row>
    <x:row r="334">
      <x:c r="A334" s="99"/>
      <x:c r="B334" s="99"/>
      <x:c r="C334" s="99"/>
      <x:c r="D334" s="99"/>
      <x:c r="E334" s="99"/>
      <x:c r="F334" s="99"/>
      <x:c r="G334" s="99"/>
      <x:c r="H334" s="99"/>
      <x:c r="I334" s="99"/>
      <x:c r="J334" s="99"/>
      <x:c r="K334" s="99"/>
      <x:c r="L334" s="99"/>
      <x:c r="M334" s="99"/>
      <x:c r="N334" s="99"/>
      <x:c r="O334" s="99"/>
      <x:c r="P334" s="99"/>
      <x:c r="Q334" s="99"/>
      <x:c r="R334" s="99"/>
      <x:c r="S334" s="99"/>
      <x:c r="T334" s="99"/>
      <x:c r="U334" s="99"/>
      <x:c r="V334" s="99"/>
      <x:c r="W334" s="99"/>
      <x:c r="X334" s="99"/>
      <x:c r="Y334" s="99"/>
      <x:c r="Z334" s="99"/>
    </x:row>
    <x:row r="335">
      <x:c r="A335" s="99"/>
      <x:c r="B335" s="99"/>
      <x:c r="C335" s="99"/>
      <x:c r="D335" s="99"/>
      <x:c r="E335" s="99"/>
      <x:c r="F335" s="99"/>
      <x:c r="G335" s="99"/>
      <x:c r="H335" s="99"/>
      <x:c r="I335" s="99"/>
      <x:c r="J335" s="99"/>
      <x:c r="K335" s="99"/>
      <x:c r="L335" s="99"/>
      <x:c r="M335" s="99"/>
      <x:c r="N335" s="99"/>
      <x:c r="O335" s="99"/>
      <x:c r="P335" s="99"/>
      <x:c r="Q335" s="99"/>
      <x:c r="R335" s="99"/>
      <x:c r="S335" s="99"/>
      <x:c r="T335" s="99"/>
      <x:c r="U335" s="99"/>
      <x:c r="V335" s="99"/>
      <x:c r="W335" s="99"/>
      <x:c r="X335" s="99"/>
      <x:c r="Y335" s="99"/>
      <x:c r="Z335" s="99"/>
    </x:row>
    <x:row r="336">
      <x:c r="A336" s="99"/>
      <x:c r="B336" s="99"/>
      <x:c r="C336" s="99"/>
      <x:c r="D336" s="99"/>
      <x:c r="E336" s="99"/>
      <x:c r="F336" s="99"/>
      <x:c r="G336" s="99"/>
      <x:c r="H336" s="99"/>
      <x:c r="I336" s="99"/>
      <x:c r="J336" s="99"/>
      <x:c r="K336" s="99"/>
      <x:c r="L336" s="99"/>
      <x:c r="M336" s="99"/>
      <x:c r="N336" s="99"/>
      <x:c r="O336" s="99"/>
      <x:c r="P336" s="99"/>
      <x:c r="Q336" s="99"/>
      <x:c r="R336" s="99"/>
      <x:c r="S336" s="99"/>
      <x:c r="T336" s="99"/>
      <x:c r="U336" s="99"/>
      <x:c r="V336" s="99"/>
      <x:c r="W336" s="99"/>
      <x:c r="X336" s="99"/>
      <x:c r="Y336" s="99"/>
      <x:c r="Z336" s="99"/>
    </x:row>
    <x:row r="337">
      <x:c r="A337" s="99"/>
      <x:c r="B337" s="99"/>
      <x:c r="C337" s="99"/>
      <x:c r="D337" s="99"/>
      <x:c r="E337" s="99"/>
      <x:c r="F337" s="99"/>
      <x:c r="G337" s="99"/>
      <x:c r="H337" s="99"/>
      <x:c r="I337" s="99"/>
      <x:c r="J337" s="99"/>
      <x:c r="K337" s="99"/>
      <x:c r="L337" s="99"/>
      <x:c r="M337" s="99"/>
      <x:c r="N337" s="99"/>
      <x:c r="O337" s="99"/>
      <x:c r="P337" s="99"/>
      <x:c r="Q337" s="99"/>
      <x:c r="R337" s="99"/>
      <x:c r="S337" s="99"/>
      <x:c r="T337" s="99"/>
      <x:c r="U337" s="99"/>
      <x:c r="V337" s="99"/>
      <x:c r="W337" s="99"/>
      <x:c r="X337" s="99"/>
      <x:c r="Y337" s="99"/>
      <x:c r="Z337" s="99"/>
    </x:row>
    <x:row r="338">
      <x:c r="A338" s="99"/>
      <x:c r="B338" s="99"/>
      <x:c r="C338" s="99"/>
      <x:c r="D338" s="99"/>
      <x:c r="E338" s="99"/>
      <x:c r="F338" s="99"/>
      <x:c r="G338" s="99"/>
      <x:c r="H338" s="99"/>
      <x:c r="I338" s="99"/>
      <x:c r="J338" s="99"/>
      <x:c r="K338" s="99"/>
      <x:c r="L338" s="99"/>
      <x:c r="M338" s="99"/>
      <x:c r="N338" s="99"/>
      <x:c r="O338" s="99"/>
      <x:c r="P338" s="99"/>
      <x:c r="Q338" s="99"/>
      <x:c r="R338" s="99"/>
      <x:c r="S338" s="99"/>
      <x:c r="T338" s="99"/>
      <x:c r="U338" s="99"/>
      <x:c r="V338" s="99"/>
      <x:c r="W338" s="99"/>
      <x:c r="X338" s="99"/>
      <x:c r="Y338" s="99"/>
      <x:c r="Z338" s="99"/>
    </x:row>
    <x:row r="339">
      <x:c r="A339" s="99"/>
      <x:c r="B339" s="99"/>
      <x:c r="C339" s="99"/>
      <x:c r="D339" s="99"/>
      <x:c r="E339" s="99"/>
      <x:c r="F339" s="99"/>
      <x:c r="G339" s="99"/>
      <x:c r="H339" s="99"/>
      <x:c r="I339" s="99"/>
      <x:c r="J339" s="99"/>
      <x:c r="K339" s="99"/>
      <x:c r="L339" s="99"/>
      <x:c r="M339" s="99"/>
      <x:c r="N339" s="99"/>
      <x:c r="O339" s="99"/>
      <x:c r="P339" s="99"/>
      <x:c r="Q339" s="99"/>
      <x:c r="R339" s="99"/>
      <x:c r="S339" s="99"/>
      <x:c r="T339" s="99"/>
      <x:c r="U339" s="99"/>
      <x:c r="V339" s="99"/>
      <x:c r="W339" s="99"/>
      <x:c r="X339" s="99"/>
      <x:c r="Y339" s="99"/>
      <x:c r="Z339" s="99"/>
    </x:row>
    <x:row r="340">
      <x:c r="A340" s="99"/>
      <x:c r="B340" s="99"/>
      <x:c r="C340" s="99"/>
      <x:c r="D340" s="99"/>
      <x:c r="E340" s="99"/>
      <x:c r="F340" s="99"/>
      <x:c r="G340" s="99"/>
      <x:c r="H340" s="99"/>
      <x:c r="I340" s="99"/>
      <x:c r="J340" s="99"/>
      <x:c r="K340" s="99"/>
      <x:c r="L340" s="99"/>
      <x:c r="M340" s="99"/>
      <x:c r="N340" s="99"/>
      <x:c r="O340" s="99"/>
      <x:c r="P340" s="99"/>
      <x:c r="Q340" s="99"/>
      <x:c r="R340" s="99"/>
      <x:c r="S340" s="99"/>
      <x:c r="T340" s="99"/>
      <x:c r="U340" s="99"/>
      <x:c r="V340" s="99"/>
      <x:c r="W340" s="99"/>
      <x:c r="X340" s="99"/>
      <x:c r="Y340" s="99"/>
      <x:c r="Z340" s="99"/>
    </x:row>
    <x:row r="341">
      <x:c r="A341" s="99"/>
      <x:c r="B341" s="99"/>
      <x:c r="C341" s="99"/>
      <x:c r="D341" s="99"/>
      <x:c r="E341" s="99"/>
      <x:c r="F341" s="99"/>
      <x:c r="G341" s="99"/>
      <x:c r="H341" s="99"/>
      <x:c r="I341" s="99"/>
      <x:c r="J341" s="99"/>
      <x:c r="K341" s="99"/>
      <x:c r="L341" s="99"/>
      <x:c r="M341" s="99"/>
      <x:c r="N341" s="99"/>
      <x:c r="O341" s="99"/>
      <x:c r="P341" s="99"/>
      <x:c r="Q341" s="99"/>
      <x:c r="R341" s="99"/>
      <x:c r="S341" s="99"/>
      <x:c r="T341" s="99"/>
      <x:c r="U341" s="99"/>
      <x:c r="V341" s="99"/>
      <x:c r="W341" s="99"/>
      <x:c r="X341" s="99"/>
      <x:c r="Y341" s="99"/>
      <x:c r="Z341" s="99"/>
    </x:row>
    <x:row r="342">
      <x:c r="A342" s="99"/>
      <x:c r="B342" s="99"/>
      <x:c r="C342" s="99"/>
      <x:c r="D342" s="99"/>
      <x:c r="E342" s="99"/>
      <x:c r="F342" s="99"/>
      <x:c r="G342" s="99"/>
      <x:c r="H342" s="99"/>
      <x:c r="I342" s="99"/>
      <x:c r="J342" s="99"/>
      <x:c r="K342" s="99"/>
      <x:c r="L342" s="99"/>
      <x:c r="M342" s="99"/>
      <x:c r="N342" s="99"/>
      <x:c r="O342" s="99"/>
      <x:c r="P342" s="99"/>
      <x:c r="Q342" s="99"/>
      <x:c r="R342" s="99"/>
      <x:c r="S342" s="99"/>
      <x:c r="T342" s="99"/>
      <x:c r="U342" s="99"/>
      <x:c r="V342" s="99"/>
      <x:c r="W342" s="99"/>
      <x:c r="X342" s="99"/>
      <x:c r="Y342" s="99"/>
      <x:c r="Z342" s="99"/>
    </x:row>
    <x:row r="343">
      <x:c r="A343" s="99"/>
      <x:c r="B343" s="99"/>
      <x:c r="C343" s="99"/>
      <x:c r="D343" s="99"/>
      <x:c r="E343" s="99"/>
      <x:c r="F343" s="99"/>
      <x:c r="G343" s="99"/>
      <x:c r="H343" s="99"/>
      <x:c r="I343" s="99"/>
      <x:c r="J343" s="99"/>
      <x:c r="K343" s="99"/>
      <x:c r="L343" s="99"/>
      <x:c r="M343" s="99"/>
      <x:c r="N343" s="99"/>
      <x:c r="O343" s="99"/>
      <x:c r="P343" s="99"/>
      <x:c r="Q343" s="99"/>
      <x:c r="R343" s="99"/>
      <x:c r="S343" s="99"/>
      <x:c r="T343" s="99"/>
      <x:c r="U343" s="99"/>
      <x:c r="V343" s="99"/>
      <x:c r="W343" s="99"/>
      <x:c r="X343" s="99"/>
      <x:c r="Y343" s="99"/>
      <x:c r="Z343" s="99"/>
    </x:row>
    <x:row r="344">
      <x:c r="A344" s="99"/>
      <x:c r="B344" s="99"/>
      <x:c r="C344" s="99"/>
      <x:c r="D344" s="99"/>
      <x:c r="E344" s="99"/>
      <x:c r="F344" s="99"/>
      <x:c r="G344" s="99"/>
      <x:c r="H344" s="99"/>
      <x:c r="I344" s="99"/>
      <x:c r="J344" s="99"/>
      <x:c r="K344" s="99"/>
      <x:c r="L344" s="99"/>
      <x:c r="M344" s="99"/>
      <x:c r="N344" s="99"/>
      <x:c r="O344" s="99"/>
      <x:c r="P344" s="99"/>
      <x:c r="Q344" s="99"/>
      <x:c r="R344" s="99"/>
      <x:c r="S344" s="99"/>
      <x:c r="T344" s="99"/>
      <x:c r="U344" s="99"/>
      <x:c r="V344" s="99"/>
      <x:c r="W344" s="99"/>
      <x:c r="X344" s="99"/>
      <x:c r="Y344" s="99"/>
      <x:c r="Z344" s="99"/>
    </x:row>
    <x:row r="345">
      <x:c r="A345" s="99"/>
      <x:c r="B345" s="99"/>
      <x:c r="C345" s="99"/>
      <x:c r="D345" s="99"/>
      <x:c r="E345" s="99"/>
      <x:c r="F345" s="99"/>
      <x:c r="G345" s="99"/>
      <x:c r="H345" s="99"/>
      <x:c r="I345" s="99"/>
      <x:c r="J345" s="99"/>
      <x:c r="K345" s="99"/>
      <x:c r="L345" s="99"/>
      <x:c r="M345" s="99"/>
      <x:c r="N345" s="99"/>
      <x:c r="O345" s="99"/>
      <x:c r="P345" s="99"/>
      <x:c r="Q345" s="99"/>
      <x:c r="R345" s="99"/>
      <x:c r="S345" s="99"/>
      <x:c r="T345" s="99"/>
      <x:c r="U345" s="99"/>
      <x:c r="V345" s="99"/>
      <x:c r="W345" s="99"/>
      <x:c r="X345" s="99"/>
      <x:c r="Y345" s="99"/>
      <x:c r="Z345" s="99"/>
    </x:row>
    <x:row r="346">
      <x:c r="A346" s="99"/>
      <x:c r="B346" s="99"/>
      <x:c r="C346" s="99"/>
      <x:c r="D346" s="99"/>
      <x:c r="E346" s="99"/>
      <x:c r="F346" s="99"/>
      <x:c r="G346" s="99"/>
      <x:c r="H346" s="99"/>
      <x:c r="I346" s="99"/>
      <x:c r="J346" s="99"/>
      <x:c r="K346" s="99"/>
      <x:c r="L346" s="99"/>
      <x:c r="M346" s="99"/>
      <x:c r="N346" s="99"/>
      <x:c r="O346" s="99"/>
      <x:c r="P346" s="99"/>
      <x:c r="Q346" s="99"/>
      <x:c r="R346" s="99"/>
      <x:c r="S346" s="99"/>
      <x:c r="T346" s="99"/>
      <x:c r="U346" s="99"/>
      <x:c r="V346" s="99"/>
      <x:c r="W346" s="99"/>
      <x:c r="X346" s="99"/>
      <x:c r="Y346" s="99"/>
      <x:c r="Z346" s="99"/>
    </x:row>
    <x:row r="347">
      <x:c r="A347" s="99"/>
      <x:c r="B347" s="99"/>
      <x:c r="C347" s="99"/>
      <x:c r="D347" s="99"/>
      <x:c r="E347" s="99"/>
      <x:c r="F347" s="99"/>
      <x:c r="G347" s="99"/>
      <x:c r="H347" s="99"/>
      <x:c r="I347" s="99"/>
      <x:c r="J347" s="99"/>
      <x:c r="K347" s="99"/>
      <x:c r="L347" s="99"/>
      <x:c r="M347" s="99"/>
      <x:c r="N347" s="99"/>
      <x:c r="O347" s="99"/>
      <x:c r="P347" s="99"/>
      <x:c r="Q347" s="99"/>
      <x:c r="R347" s="99"/>
      <x:c r="S347" s="99"/>
      <x:c r="T347" s="99"/>
      <x:c r="U347" s="99"/>
      <x:c r="V347" s="99"/>
      <x:c r="W347" s="99"/>
      <x:c r="X347" s="99"/>
      <x:c r="Y347" s="99"/>
      <x:c r="Z347" s="99"/>
    </x:row>
    <x:row r="348">
      <x:c r="A348" s="99"/>
      <x:c r="B348" s="99"/>
      <x:c r="C348" s="99"/>
      <x:c r="D348" s="99"/>
      <x:c r="E348" s="99"/>
      <x:c r="F348" s="99"/>
      <x:c r="G348" s="99"/>
      <x:c r="H348" s="99"/>
      <x:c r="I348" s="99"/>
      <x:c r="J348" s="99"/>
      <x:c r="K348" s="99"/>
      <x:c r="L348" s="99"/>
      <x:c r="M348" s="99"/>
      <x:c r="N348" s="99"/>
      <x:c r="O348" s="99"/>
      <x:c r="P348" s="99"/>
      <x:c r="Q348" s="99"/>
      <x:c r="R348" s="99"/>
      <x:c r="S348" s="99"/>
      <x:c r="T348" s="99"/>
      <x:c r="U348" s="99"/>
      <x:c r="V348" s="99"/>
      <x:c r="W348" s="99"/>
      <x:c r="X348" s="99"/>
      <x:c r="Y348" s="99"/>
      <x:c r="Z348" s="99"/>
    </x:row>
    <x:row r="349">
      <x:c r="A349" s="99"/>
      <x:c r="B349" s="99"/>
      <x:c r="C349" s="99"/>
      <x:c r="D349" s="99"/>
      <x:c r="E349" s="99"/>
      <x:c r="F349" s="99"/>
      <x:c r="G349" s="99"/>
      <x:c r="H349" s="99"/>
      <x:c r="I349" s="99"/>
      <x:c r="J349" s="99"/>
      <x:c r="K349" s="99"/>
      <x:c r="L349" s="99"/>
      <x:c r="M349" s="99"/>
      <x:c r="N349" s="99"/>
      <x:c r="O349" s="99"/>
      <x:c r="P349" s="99"/>
      <x:c r="Q349" s="99"/>
      <x:c r="R349" s="99"/>
      <x:c r="S349" s="99"/>
      <x:c r="T349" s="99"/>
      <x:c r="U349" s="99"/>
      <x:c r="V349" s="99"/>
      <x:c r="W349" s="99"/>
      <x:c r="X349" s="99"/>
      <x:c r="Y349" s="99"/>
      <x:c r="Z349" s="99"/>
    </x:row>
    <x:row r="350">
      <x:c r="A350" s="99"/>
      <x:c r="B350" s="99"/>
      <x:c r="C350" s="99"/>
      <x:c r="D350" s="99"/>
      <x:c r="E350" s="99"/>
      <x:c r="F350" s="99"/>
      <x:c r="G350" s="99"/>
      <x:c r="H350" s="99"/>
      <x:c r="I350" s="99"/>
      <x:c r="J350" s="99"/>
      <x:c r="K350" s="99"/>
      <x:c r="L350" s="99"/>
      <x:c r="M350" s="99"/>
      <x:c r="N350" s="99"/>
      <x:c r="O350" s="99"/>
      <x:c r="P350" s="99"/>
      <x:c r="Q350" s="99"/>
      <x:c r="R350" s="99"/>
      <x:c r="S350" s="99"/>
      <x:c r="T350" s="99"/>
      <x:c r="U350" s="99"/>
      <x:c r="V350" s="99"/>
      <x:c r="W350" s="99"/>
      <x:c r="X350" s="99"/>
      <x:c r="Y350" s="99"/>
      <x:c r="Z350" s="99"/>
    </x:row>
    <x:row r="351">
      <x:c r="A351" s="99"/>
      <x:c r="B351" s="99"/>
      <x:c r="C351" s="99"/>
      <x:c r="D351" s="99"/>
      <x:c r="E351" s="99"/>
      <x:c r="F351" s="99"/>
      <x:c r="G351" s="99"/>
      <x:c r="H351" s="99"/>
      <x:c r="I351" s="99"/>
      <x:c r="J351" s="99"/>
      <x:c r="K351" s="99"/>
      <x:c r="L351" s="99"/>
      <x:c r="M351" s="99"/>
      <x:c r="N351" s="99"/>
      <x:c r="O351" s="99"/>
      <x:c r="P351" s="99"/>
      <x:c r="Q351" s="99"/>
      <x:c r="R351" s="99"/>
      <x:c r="S351" s="99"/>
      <x:c r="T351" s="99"/>
      <x:c r="U351" s="99"/>
      <x:c r="V351" s="99"/>
      <x:c r="W351" s="99"/>
      <x:c r="X351" s="99"/>
      <x:c r="Y351" s="99"/>
      <x:c r="Z351" s="99"/>
    </x:row>
    <x:row r="352">
      <x:c r="A352" s="99"/>
      <x:c r="B352" s="99"/>
      <x:c r="C352" s="99"/>
      <x:c r="D352" s="99"/>
      <x:c r="E352" s="99"/>
      <x:c r="F352" s="99"/>
      <x:c r="G352" s="99"/>
      <x:c r="H352" s="99"/>
      <x:c r="I352" s="99"/>
      <x:c r="J352" s="99"/>
      <x:c r="K352" s="99"/>
      <x:c r="L352" s="99"/>
      <x:c r="M352" s="99"/>
      <x:c r="N352" s="99"/>
      <x:c r="O352" s="99"/>
      <x:c r="P352" s="99"/>
      <x:c r="Q352" s="99"/>
      <x:c r="R352" s="99"/>
      <x:c r="S352" s="99"/>
      <x:c r="T352" s="99"/>
      <x:c r="U352" s="99"/>
      <x:c r="V352" s="99"/>
      <x:c r="W352" s="99"/>
      <x:c r="X352" s="99"/>
      <x:c r="Y352" s="99"/>
      <x:c r="Z352" s="99"/>
    </x:row>
    <x:row r="353">
      <x:c r="A353" s="99"/>
      <x:c r="B353" s="99"/>
      <x:c r="C353" s="99"/>
      <x:c r="D353" s="99"/>
      <x:c r="E353" s="99"/>
      <x:c r="F353" s="99"/>
      <x:c r="G353" s="99"/>
      <x:c r="H353" s="99"/>
      <x:c r="I353" s="99"/>
      <x:c r="J353" s="99"/>
      <x:c r="K353" s="99"/>
      <x:c r="L353" s="99"/>
      <x:c r="M353" s="99"/>
      <x:c r="N353" s="99"/>
      <x:c r="O353" s="99"/>
      <x:c r="P353" s="99"/>
      <x:c r="Q353" s="99"/>
      <x:c r="R353" s="99"/>
      <x:c r="S353" s="99"/>
      <x:c r="T353" s="99"/>
      <x:c r="U353" s="99"/>
      <x:c r="V353" s="99"/>
      <x:c r="W353" s="99"/>
      <x:c r="X353" s="99"/>
      <x:c r="Y353" s="99"/>
      <x:c r="Z353" s="99"/>
    </x:row>
    <x:row r="354">
      <x:c r="A354" s="99"/>
      <x:c r="B354" s="99"/>
      <x:c r="C354" s="99"/>
      <x:c r="D354" s="99"/>
      <x:c r="E354" s="99"/>
      <x:c r="F354" s="99"/>
      <x:c r="G354" s="99"/>
      <x:c r="H354" s="99"/>
      <x:c r="I354" s="99"/>
      <x:c r="J354" s="99"/>
      <x:c r="K354" s="99"/>
      <x:c r="L354" s="99"/>
      <x:c r="M354" s="99"/>
      <x:c r="N354" s="99"/>
      <x:c r="O354" s="99"/>
      <x:c r="P354" s="99"/>
      <x:c r="Q354" s="99"/>
      <x:c r="R354" s="99"/>
      <x:c r="S354" s="99"/>
      <x:c r="T354" s="99"/>
      <x:c r="U354" s="99"/>
      <x:c r="V354" s="99"/>
      <x:c r="W354" s="99"/>
      <x:c r="X354" s="99"/>
      <x:c r="Y354" s="99"/>
      <x:c r="Z354" s="99"/>
    </x:row>
    <x:row r="355">
      <x:c r="A355" s="99"/>
      <x:c r="B355" s="99"/>
      <x:c r="C355" s="99"/>
      <x:c r="D355" s="99"/>
      <x:c r="E355" s="99"/>
      <x:c r="F355" s="99"/>
      <x:c r="G355" s="99"/>
      <x:c r="H355" s="99"/>
      <x:c r="I355" s="99"/>
      <x:c r="J355" s="99"/>
      <x:c r="K355" s="99"/>
      <x:c r="L355" s="99"/>
      <x:c r="M355" s="99"/>
      <x:c r="N355" s="99"/>
      <x:c r="O355" s="99"/>
      <x:c r="P355" s="99"/>
      <x:c r="Q355" s="99"/>
      <x:c r="R355" s="99"/>
      <x:c r="S355" s="99"/>
      <x:c r="T355" s="99"/>
      <x:c r="U355" s="99"/>
      <x:c r="V355" s="99"/>
      <x:c r="W355" s="99"/>
      <x:c r="X355" s="99"/>
      <x:c r="Y355" s="99"/>
      <x:c r="Z355" s="99"/>
    </x:row>
    <x:row r="356">
      <x:c r="A356" s="99"/>
      <x:c r="B356" s="99"/>
      <x:c r="C356" s="99"/>
      <x:c r="D356" s="99"/>
      <x:c r="E356" s="99"/>
      <x:c r="F356" s="99"/>
      <x:c r="G356" s="99"/>
      <x:c r="H356" s="99"/>
      <x:c r="I356" s="99"/>
      <x:c r="J356" s="99"/>
      <x:c r="K356" s="99"/>
      <x:c r="L356" s="99"/>
      <x:c r="M356" s="99"/>
      <x:c r="N356" s="99"/>
      <x:c r="O356" s="99"/>
      <x:c r="P356" s="99"/>
      <x:c r="Q356" s="99"/>
      <x:c r="R356" s="99"/>
      <x:c r="S356" s="99"/>
      <x:c r="T356" s="99"/>
      <x:c r="U356" s="99"/>
      <x:c r="V356" s="99"/>
      <x:c r="W356" s="99"/>
      <x:c r="X356" s="99"/>
      <x:c r="Y356" s="99"/>
      <x:c r="Z356" s="99"/>
    </x:row>
    <x:row r="357">
      <x:c r="A357" s="99"/>
      <x:c r="B357" s="99"/>
      <x:c r="C357" s="99"/>
      <x:c r="D357" s="99"/>
      <x:c r="E357" s="99"/>
      <x:c r="F357" s="99"/>
      <x:c r="G357" s="99"/>
      <x:c r="H357" s="99"/>
      <x:c r="I357" s="99"/>
      <x:c r="J357" s="99"/>
      <x:c r="K357" s="99"/>
      <x:c r="L357" s="99"/>
      <x:c r="M357" s="99"/>
      <x:c r="N357" s="99"/>
      <x:c r="O357" s="99"/>
      <x:c r="P357" s="99"/>
      <x:c r="Q357" s="99"/>
      <x:c r="R357" s="99"/>
      <x:c r="S357" s="99"/>
      <x:c r="T357" s="99"/>
      <x:c r="U357" s="99"/>
      <x:c r="V357" s="99"/>
      <x:c r="W357" s="99"/>
      <x:c r="X357" s="99"/>
      <x:c r="Y357" s="99"/>
      <x:c r="Z357" s="99"/>
    </x:row>
    <x:row r="358">
      <x:c r="A358" s="99"/>
      <x:c r="B358" s="99"/>
      <x:c r="C358" s="99"/>
      <x:c r="D358" s="99"/>
      <x:c r="E358" s="99"/>
      <x:c r="F358" s="99"/>
      <x:c r="G358" s="99"/>
      <x:c r="H358" s="99"/>
      <x:c r="I358" s="99"/>
      <x:c r="J358" s="99"/>
      <x:c r="K358" s="99"/>
      <x:c r="L358" s="99"/>
      <x:c r="M358" s="99"/>
      <x:c r="N358" s="99"/>
      <x:c r="O358" s="99"/>
      <x:c r="P358" s="99"/>
      <x:c r="Q358" s="99"/>
      <x:c r="R358" s="99"/>
      <x:c r="S358" s="99"/>
      <x:c r="T358" s="99"/>
      <x:c r="U358" s="99"/>
      <x:c r="V358" s="99"/>
      <x:c r="W358" s="99"/>
      <x:c r="X358" s="99"/>
      <x:c r="Y358" s="99"/>
      <x:c r="Z358" s="99"/>
    </x:row>
    <x:row r="359">
      <x:c r="A359" s="99"/>
      <x:c r="B359" s="99"/>
      <x:c r="C359" s="99"/>
      <x:c r="D359" s="99"/>
      <x:c r="E359" s="99"/>
      <x:c r="F359" s="99"/>
      <x:c r="G359" s="99"/>
      <x:c r="H359" s="99"/>
      <x:c r="I359" s="99"/>
      <x:c r="J359" s="99"/>
      <x:c r="K359" s="99"/>
      <x:c r="L359" s="99"/>
      <x:c r="M359" s="99"/>
      <x:c r="N359" s="99"/>
      <x:c r="O359" s="99"/>
      <x:c r="P359" s="99"/>
      <x:c r="Q359" s="99"/>
      <x:c r="R359" s="99"/>
      <x:c r="S359" s="99"/>
      <x:c r="T359" s="99"/>
      <x:c r="U359" s="99"/>
      <x:c r="V359" s="99"/>
      <x:c r="W359" s="99"/>
      <x:c r="X359" s="99"/>
      <x:c r="Y359" s="99"/>
      <x:c r="Z359" s="99"/>
    </x:row>
    <x:row r="360">
      <x:c r="A360" s="99"/>
      <x:c r="B360" s="99"/>
      <x:c r="C360" s="99"/>
      <x:c r="D360" s="99"/>
      <x:c r="E360" s="99"/>
      <x:c r="F360" s="99"/>
      <x:c r="G360" s="99"/>
      <x:c r="H360" s="99"/>
      <x:c r="I360" s="99"/>
      <x:c r="J360" s="99"/>
      <x:c r="K360" s="99"/>
      <x:c r="L360" s="99"/>
      <x:c r="M360" s="99"/>
      <x:c r="N360" s="99"/>
      <x:c r="O360" s="99"/>
      <x:c r="P360" s="99"/>
      <x:c r="Q360" s="99"/>
      <x:c r="R360" s="99"/>
      <x:c r="S360" s="99"/>
      <x:c r="T360" s="99"/>
      <x:c r="U360" s="99"/>
      <x:c r="V360" s="99"/>
      <x:c r="W360" s="99"/>
      <x:c r="X360" s="99"/>
      <x:c r="Y360" s="99"/>
      <x:c r="Z360" s="99"/>
    </x:row>
    <x:row r="361">
      <x:c r="A361" s="99"/>
      <x:c r="B361" s="99"/>
      <x:c r="C361" s="99"/>
      <x:c r="D361" s="99"/>
      <x:c r="E361" s="99"/>
      <x:c r="F361" s="99"/>
      <x:c r="G361" s="99"/>
      <x:c r="H361" s="99"/>
      <x:c r="I361" s="99"/>
      <x:c r="J361" s="99"/>
      <x:c r="K361" s="99"/>
      <x:c r="L361" s="99"/>
      <x:c r="M361" s="99"/>
      <x:c r="N361" s="99"/>
      <x:c r="O361" s="99"/>
      <x:c r="P361" s="99"/>
      <x:c r="Q361" s="99"/>
      <x:c r="R361" s="99"/>
      <x:c r="S361" s="99"/>
      <x:c r="T361" s="99"/>
      <x:c r="U361" s="99"/>
      <x:c r="V361" s="99"/>
      <x:c r="W361" s="99"/>
      <x:c r="X361" s="99"/>
      <x:c r="Y361" s="99"/>
      <x:c r="Z361" s="99"/>
    </x:row>
    <x:row r="362">
      <x:c r="A362" s="99"/>
      <x:c r="B362" s="99"/>
      <x:c r="C362" s="99"/>
      <x:c r="D362" s="99"/>
      <x:c r="E362" s="99"/>
      <x:c r="F362" s="99"/>
      <x:c r="G362" s="99"/>
      <x:c r="H362" s="99"/>
      <x:c r="I362" s="99"/>
      <x:c r="J362" s="99"/>
      <x:c r="K362" s="99"/>
      <x:c r="L362" s="99"/>
      <x:c r="M362" s="99"/>
      <x:c r="N362" s="99"/>
      <x:c r="O362" s="99"/>
      <x:c r="P362" s="99"/>
      <x:c r="Q362" s="99"/>
      <x:c r="R362" s="99"/>
      <x:c r="S362" s="99"/>
      <x:c r="T362" s="99"/>
      <x:c r="U362" s="99"/>
      <x:c r="V362" s="99"/>
      <x:c r="W362" s="99"/>
      <x:c r="X362" s="99"/>
      <x:c r="Y362" s="99"/>
      <x:c r="Z362" s="99"/>
    </x:row>
    <x:row r="363">
      <x:c r="A363" s="99"/>
      <x:c r="B363" s="99"/>
      <x:c r="C363" s="99"/>
      <x:c r="D363" s="99"/>
      <x:c r="E363" s="99"/>
      <x:c r="F363" s="99"/>
      <x:c r="G363" s="99"/>
      <x:c r="H363" s="99"/>
      <x:c r="I363" s="99"/>
      <x:c r="J363" s="99"/>
      <x:c r="K363" s="99"/>
      <x:c r="L363" s="99"/>
      <x:c r="M363" s="99"/>
      <x:c r="N363" s="99"/>
      <x:c r="O363" s="99"/>
      <x:c r="P363" s="99"/>
      <x:c r="Q363" s="99"/>
      <x:c r="R363" s="99"/>
      <x:c r="S363" s="99"/>
      <x:c r="T363" s="99"/>
      <x:c r="U363" s="99"/>
      <x:c r="V363" s="99"/>
      <x:c r="W363" s="99"/>
      <x:c r="X363" s="99"/>
      <x:c r="Y363" s="99"/>
      <x:c r="Z363" s="99"/>
    </x:row>
    <x:row r="364">
      <x:c r="A364" s="99"/>
      <x:c r="B364" s="99"/>
      <x:c r="C364" s="99"/>
      <x:c r="D364" s="99"/>
      <x:c r="E364" s="99"/>
      <x:c r="F364" s="99"/>
      <x:c r="G364" s="99"/>
      <x:c r="H364" s="99"/>
      <x:c r="I364" s="99"/>
      <x:c r="J364" s="99"/>
      <x:c r="K364" s="99"/>
      <x:c r="L364" s="99"/>
      <x:c r="M364" s="99"/>
      <x:c r="N364" s="99"/>
      <x:c r="O364" s="99"/>
      <x:c r="P364" s="99"/>
      <x:c r="Q364" s="99"/>
      <x:c r="R364" s="99"/>
      <x:c r="S364" s="99"/>
      <x:c r="T364" s="99"/>
      <x:c r="U364" s="99"/>
      <x:c r="V364" s="99"/>
      <x:c r="W364" s="99"/>
      <x:c r="X364" s="99"/>
      <x:c r="Y364" s="99"/>
      <x:c r="Z364" s="99"/>
    </x:row>
    <x:row r="365">
      <x:c r="A365" s="99"/>
      <x:c r="B365" s="99"/>
      <x:c r="C365" s="99"/>
      <x:c r="D365" s="99"/>
      <x:c r="E365" s="99"/>
      <x:c r="F365" s="99"/>
      <x:c r="G365" s="99"/>
      <x:c r="H365" s="99"/>
      <x:c r="I365" s="99"/>
      <x:c r="J365" s="99"/>
      <x:c r="K365" s="99"/>
      <x:c r="L365" s="99"/>
      <x:c r="M365" s="99"/>
      <x:c r="N365" s="99"/>
      <x:c r="O365" s="99"/>
      <x:c r="P365" s="99"/>
      <x:c r="Q365" s="99"/>
      <x:c r="R365" s="99"/>
      <x:c r="S365" s="99"/>
      <x:c r="T365" s="99"/>
      <x:c r="U365" s="99"/>
      <x:c r="V365" s="99"/>
      <x:c r="W365" s="99"/>
      <x:c r="X365" s="99"/>
      <x:c r="Y365" s="99"/>
      <x:c r="Z365" s="99"/>
    </x:row>
    <x:row r="366">
      <x:c r="A366" s="99"/>
      <x:c r="B366" s="99"/>
      <x:c r="C366" s="99"/>
      <x:c r="D366" s="99"/>
      <x:c r="E366" s="99"/>
      <x:c r="F366" s="99"/>
      <x:c r="G366" s="99"/>
      <x:c r="H366" s="99"/>
      <x:c r="I366" s="99"/>
      <x:c r="J366" s="99"/>
      <x:c r="K366" s="99"/>
      <x:c r="L366" s="99"/>
      <x:c r="M366" s="99"/>
      <x:c r="N366" s="99"/>
      <x:c r="O366" s="99"/>
      <x:c r="P366" s="99"/>
      <x:c r="Q366" s="99"/>
      <x:c r="R366" s="99"/>
      <x:c r="S366" s="99"/>
      <x:c r="T366" s="99"/>
      <x:c r="U366" s="99"/>
      <x:c r="V366" s="99"/>
      <x:c r="W366" s="99"/>
      <x:c r="X366" s="99"/>
      <x:c r="Y366" s="99"/>
      <x:c r="Z366" s="99"/>
    </x:row>
    <x:row r="367">
      <x:c r="A367" s="99"/>
      <x:c r="B367" s="99"/>
      <x:c r="C367" s="99"/>
      <x:c r="D367" s="99"/>
      <x:c r="E367" s="99"/>
      <x:c r="F367" s="99"/>
      <x:c r="G367" s="99"/>
      <x:c r="H367" s="99"/>
      <x:c r="I367" s="99"/>
      <x:c r="J367" s="99"/>
      <x:c r="K367" s="99"/>
      <x:c r="L367" s="99"/>
      <x:c r="M367" s="99"/>
      <x:c r="N367" s="99"/>
      <x:c r="O367" s="99"/>
      <x:c r="P367" s="99"/>
      <x:c r="Q367" s="99"/>
      <x:c r="R367" s="99"/>
      <x:c r="S367" s="99"/>
      <x:c r="T367" s="99"/>
      <x:c r="U367" s="99"/>
      <x:c r="V367" s="99"/>
      <x:c r="W367" s="99"/>
      <x:c r="X367" s="99"/>
      <x:c r="Y367" s="99"/>
      <x:c r="Z367" s="99"/>
    </x:row>
    <x:row r="368">
      <x:c r="A368" s="99"/>
      <x:c r="B368" s="99"/>
      <x:c r="C368" s="99"/>
      <x:c r="D368" s="99"/>
      <x:c r="E368" s="99"/>
      <x:c r="F368" s="99"/>
      <x:c r="G368" s="99"/>
      <x:c r="H368" s="99"/>
      <x:c r="I368" s="99"/>
      <x:c r="J368" s="99"/>
      <x:c r="K368" s="99"/>
      <x:c r="L368" s="99"/>
      <x:c r="M368" s="99"/>
      <x:c r="N368" s="99"/>
      <x:c r="O368" s="99"/>
      <x:c r="P368" s="99"/>
      <x:c r="Q368" s="99"/>
      <x:c r="R368" s="99"/>
      <x:c r="S368" s="99"/>
      <x:c r="T368" s="99"/>
      <x:c r="U368" s="99"/>
      <x:c r="V368" s="99"/>
      <x:c r="W368" s="99"/>
      <x:c r="X368" s="99"/>
      <x:c r="Y368" s="99"/>
      <x:c r="Z368" s="99"/>
    </x:row>
    <x:row r="369">
      <x:c r="A369" s="99"/>
      <x:c r="B369" s="99"/>
      <x:c r="C369" s="99"/>
      <x:c r="D369" s="99"/>
      <x:c r="E369" s="99"/>
      <x:c r="F369" s="99"/>
      <x:c r="G369" s="99"/>
      <x:c r="H369" s="99"/>
      <x:c r="I369" s="99"/>
      <x:c r="J369" s="99"/>
      <x:c r="K369" s="99"/>
      <x:c r="L369" s="99"/>
      <x:c r="M369" s="99"/>
      <x:c r="N369" s="99"/>
      <x:c r="O369" s="99"/>
      <x:c r="P369" s="99"/>
      <x:c r="Q369" s="99"/>
      <x:c r="R369" s="99"/>
      <x:c r="S369" s="99"/>
      <x:c r="T369" s="99"/>
      <x:c r="U369" s="99"/>
      <x:c r="V369" s="99"/>
      <x:c r="W369" s="99"/>
      <x:c r="X369" s="99"/>
      <x:c r="Y369" s="99"/>
      <x:c r="Z369" s="99"/>
    </x:row>
    <x:row r="370">
      <x:c r="A370" s="99"/>
      <x:c r="B370" s="99"/>
      <x:c r="C370" s="99"/>
      <x:c r="D370" s="99"/>
      <x:c r="E370" s="99"/>
      <x:c r="F370" s="99"/>
      <x:c r="G370" s="99"/>
      <x:c r="H370" s="99"/>
      <x:c r="I370" s="99"/>
      <x:c r="J370" s="99"/>
      <x:c r="K370" s="99"/>
      <x:c r="L370" s="99"/>
      <x:c r="M370" s="99"/>
      <x:c r="N370" s="99"/>
      <x:c r="O370" s="99"/>
      <x:c r="P370" s="99"/>
      <x:c r="Q370" s="99"/>
      <x:c r="R370" s="99"/>
      <x:c r="S370" s="99"/>
      <x:c r="T370" s="99"/>
      <x:c r="U370" s="99"/>
      <x:c r="V370" s="99"/>
      <x:c r="W370" s="99"/>
      <x:c r="X370" s="99"/>
      <x:c r="Y370" s="99"/>
      <x:c r="Z370" s="99"/>
    </x:row>
    <x:row r="371">
      <x:c r="A371" s="99"/>
      <x:c r="B371" s="99"/>
      <x:c r="C371" s="99"/>
      <x:c r="D371" s="99"/>
      <x:c r="E371" s="99"/>
      <x:c r="F371" s="99"/>
      <x:c r="G371" s="99"/>
      <x:c r="H371" s="99"/>
      <x:c r="I371" s="99"/>
      <x:c r="J371" s="99"/>
      <x:c r="K371" s="99"/>
      <x:c r="L371" s="99"/>
      <x:c r="M371" s="99"/>
      <x:c r="N371" s="99"/>
      <x:c r="O371" s="99"/>
      <x:c r="P371" s="99"/>
      <x:c r="Q371" s="99"/>
      <x:c r="R371" s="99"/>
      <x:c r="S371" s="99"/>
      <x:c r="T371" s="99"/>
      <x:c r="U371" s="99"/>
      <x:c r="V371" s="99"/>
      <x:c r="W371" s="99"/>
      <x:c r="X371" s="99"/>
      <x:c r="Y371" s="99"/>
      <x:c r="Z371" s="99"/>
    </x:row>
    <x:row r="372">
      <x:c r="A372" s="99"/>
      <x:c r="B372" s="99"/>
      <x:c r="C372" s="99"/>
      <x:c r="D372" s="99"/>
      <x:c r="E372" s="99"/>
      <x:c r="F372" s="99"/>
      <x:c r="G372" s="99"/>
      <x:c r="H372" s="99"/>
      <x:c r="I372" s="99"/>
      <x:c r="J372" s="99"/>
      <x:c r="K372" s="99"/>
      <x:c r="L372" s="99"/>
      <x:c r="M372" s="99"/>
      <x:c r="N372" s="99"/>
      <x:c r="O372" s="99"/>
      <x:c r="P372" s="99"/>
      <x:c r="Q372" s="99"/>
      <x:c r="R372" s="99"/>
      <x:c r="S372" s="99"/>
      <x:c r="T372" s="99"/>
      <x:c r="U372" s="99"/>
      <x:c r="V372" s="99"/>
      <x:c r="W372" s="99"/>
      <x:c r="X372" s="99"/>
      <x:c r="Y372" s="99"/>
      <x:c r="Z372" s="99"/>
    </x:row>
    <x:row r="373">
      <x:c r="A373" s="99"/>
      <x:c r="B373" s="99"/>
      <x:c r="C373" s="99"/>
      <x:c r="D373" s="99"/>
      <x:c r="E373" s="99"/>
      <x:c r="F373" s="99"/>
      <x:c r="G373" s="99"/>
      <x:c r="H373" s="99"/>
      <x:c r="I373" s="99"/>
      <x:c r="J373" s="99"/>
      <x:c r="K373" s="99"/>
      <x:c r="L373" s="99"/>
      <x:c r="M373" s="99"/>
      <x:c r="N373" s="99"/>
      <x:c r="O373" s="99"/>
      <x:c r="P373" s="99"/>
      <x:c r="Q373" s="99"/>
      <x:c r="R373" s="99"/>
      <x:c r="S373" s="99"/>
      <x:c r="T373" s="99"/>
      <x:c r="U373" s="99"/>
      <x:c r="V373" s="99"/>
      <x:c r="W373" s="99"/>
      <x:c r="X373" s="99"/>
      <x:c r="Y373" s="99"/>
      <x:c r="Z373" s="99"/>
    </x:row>
    <x:row r="374">
      <x:c r="A374" s="99"/>
      <x:c r="B374" s="99"/>
      <x:c r="C374" s="99"/>
      <x:c r="D374" s="99"/>
      <x:c r="E374" s="99"/>
      <x:c r="F374" s="99"/>
      <x:c r="G374" s="99"/>
      <x:c r="H374" s="99"/>
      <x:c r="I374" s="99"/>
      <x:c r="J374" s="99"/>
      <x:c r="K374" s="99"/>
      <x:c r="L374" s="99"/>
      <x:c r="M374" s="99"/>
      <x:c r="N374" s="99"/>
      <x:c r="O374" s="99"/>
      <x:c r="P374" s="99"/>
      <x:c r="Q374" s="99"/>
      <x:c r="R374" s="99"/>
      <x:c r="S374" s="99"/>
      <x:c r="T374" s="99"/>
      <x:c r="U374" s="99"/>
      <x:c r="V374" s="99"/>
      <x:c r="W374" s="99"/>
      <x:c r="X374" s="99"/>
      <x:c r="Y374" s="99"/>
      <x:c r="Z374" s="99"/>
    </x:row>
    <x:row r="375">
      <x:c r="A375" s="99"/>
      <x:c r="B375" s="99"/>
      <x:c r="C375" s="99"/>
      <x:c r="D375" s="99"/>
      <x:c r="E375" s="99"/>
      <x:c r="F375" s="99"/>
      <x:c r="G375" s="99"/>
      <x:c r="H375" s="99"/>
      <x:c r="I375" s="99"/>
      <x:c r="J375" s="99"/>
      <x:c r="K375" s="99"/>
      <x:c r="L375" s="99"/>
      <x:c r="M375" s="99"/>
      <x:c r="N375" s="99"/>
      <x:c r="O375" s="99"/>
      <x:c r="P375" s="99"/>
      <x:c r="Q375" s="99"/>
      <x:c r="R375" s="99"/>
      <x:c r="S375" s="99"/>
      <x:c r="T375" s="99"/>
      <x:c r="U375" s="99"/>
      <x:c r="V375" s="99"/>
      <x:c r="W375" s="99"/>
      <x:c r="X375" s="99"/>
      <x:c r="Y375" s="99"/>
      <x:c r="Z375" s="99"/>
    </x:row>
    <x:row r="376">
      <x:c r="A376" s="99"/>
      <x:c r="B376" s="99"/>
      <x:c r="C376" s="99"/>
      <x:c r="D376" s="99"/>
      <x:c r="E376" s="99"/>
      <x:c r="F376" s="99"/>
      <x:c r="G376" s="99"/>
      <x:c r="H376" s="99"/>
      <x:c r="I376" s="99"/>
      <x:c r="J376" s="99"/>
      <x:c r="K376" s="99"/>
      <x:c r="L376" s="99"/>
      <x:c r="M376" s="99"/>
      <x:c r="N376" s="99"/>
      <x:c r="O376" s="99"/>
      <x:c r="P376" s="99"/>
      <x:c r="Q376" s="99"/>
      <x:c r="R376" s="99"/>
      <x:c r="S376" s="99"/>
      <x:c r="T376" s="99"/>
      <x:c r="U376" s="99"/>
      <x:c r="V376" s="99"/>
      <x:c r="W376" s="99"/>
      <x:c r="X376" s="99"/>
      <x:c r="Y376" s="99"/>
      <x:c r="Z376" s="99"/>
    </x:row>
    <x:row r="377">
      <x:c r="A377" s="99"/>
      <x:c r="B377" s="99"/>
      <x:c r="C377" s="99"/>
      <x:c r="D377" s="99"/>
      <x:c r="E377" s="99"/>
      <x:c r="F377" s="99"/>
      <x:c r="G377" s="99"/>
      <x:c r="H377" s="99"/>
      <x:c r="I377" s="99"/>
      <x:c r="J377" s="99"/>
      <x:c r="K377" s="99"/>
      <x:c r="L377" s="99"/>
      <x:c r="M377" s="99"/>
      <x:c r="N377" s="99"/>
      <x:c r="O377" s="99"/>
      <x:c r="P377" s="99"/>
      <x:c r="Q377" s="99"/>
      <x:c r="R377" s="99"/>
      <x:c r="S377" s="99"/>
      <x:c r="T377" s="99"/>
      <x:c r="U377" s="99"/>
      <x:c r="V377" s="99"/>
      <x:c r="W377" s="99"/>
      <x:c r="X377" s="99"/>
      <x:c r="Y377" s="99"/>
      <x:c r="Z377" s="99"/>
    </x:row>
    <x:row r="378">
      <x:c r="A378" s="99"/>
      <x:c r="B378" s="99"/>
      <x:c r="C378" s="99"/>
      <x:c r="D378" s="99"/>
      <x:c r="E378" s="99"/>
      <x:c r="F378" s="99"/>
      <x:c r="G378" s="99"/>
      <x:c r="H378" s="99"/>
      <x:c r="I378" s="99"/>
      <x:c r="J378" s="99"/>
      <x:c r="K378" s="99"/>
      <x:c r="L378" s="99"/>
      <x:c r="M378" s="99"/>
      <x:c r="N378" s="99"/>
      <x:c r="O378" s="99"/>
      <x:c r="P378" s="99"/>
      <x:c r="Q378" s="99"/>
      <x:c r="R378" s="99"/>
      <x:c r="S378" s="99"/>
      <x:c r="T378" s="99"/>
      <x:c r="U378" s="99"/>
      <x:c r="V378" s="99"/>
      <x:c r="W378" s="99"/>
      <x:c r="X378" s="99"/>
      <x:c r="Y378" s="99"/>
      <x:c r="Z378" s="99"/>
    </x:row>
    <x:row r="379">
      <x:c r="A379" s="99"/>
      <x:c r="B379" s="99"/>
      <x:c r="C379" s="99"/>
      <x:c r="D379" s="99"/>
      <x:c r="E379" s="99"/>
      <x:c r="F379" s="99"/>
      <x:c r="G379" s="99"/>
      <x:c r="H379" s="99"/>
      <x:c r="I379" s="99"/>
      <x:c r="J379" s="99"/>
      <x:c r="K379" s="99"/>
      <x:c r="L379" s="99"/>
      <x:c r="M379" s="99"/>
      <x:c r="N379" s="99"/>
      <x:c r="O379" s="99"/>
      <x:c r="P379" s="99"/>
      <x:c r="Q379" s="99"/>
      <x:c r="R379" s="99"/>
      <x:c r="S379" s="99"/>
      <x:c r="T379" s="99"/>
      <x:c r="U379" s="99"/>
      <x:c r="V379" s="99"/>
      <x:c r="W379" s="99"/>
      <x:c r="X379" s="99"/>
      <x:c r="Y379" s="99"/>
      <x:c r="Z379" s="99"/>
    </x:row>
    <x:row r="380">
      <x:c r="A380" s="99"/>
      <x:c r="B380" s="99"/>
      <x:c r="C380" s="99"/>
      <x:c r="D380" s="99"/>
      <x:c r="E380" s="99"/>
      <x:c r="F380" s="99"/>
      <x:c r="G380" s="99"/>
      <x:c r="H380" s="99"/>
      <x:c r="I380" s="99"/>
      <x:c r="J380" s="99"/>
      <x:c r="K380" s="99"/>
      <x:c r="L380" s="99"/>
      <x:c r="M380" s="99"/>
      <x:c r="N380" s="99"/>
      <x:c r="O380" s="99"/>
      <x:c r="P380" s="99"/>
      <x:c r="Q380" s="99"/>
      <x:c r="R380" s="99"/>
      <x:c r="S380" s="99"/>
      <x:c r="T380" s="99"/>
      <x:c r="U380" s="99"/>
      <x:c r="V380" s="99"/>
      <x:c r="W380" s="99"/>
      <x:c r="X380" s="99"/>
      <x:c r="Y380" s="99"/>
      <x:c r="Z380" s="99"/>
    </x:row>
    <x:row r="381">
      <x:c r="A381" s="99"/>
      <x:c r="B381" s="99"/>
      <x:c r="C381" s="99"/>
      <x:c r="D381" s="99"/>
      <x:c r="E381" s="99"/>
      <x:c r="F381" s="99"/>
      <x:c r="G381" s="99"/>
      <x:c r="H381" s="99"/>
      <x:c r="I381" s="99"/>
      <x:c r="J381" s="99"/>
      <x:c r="K381" s="99"/>
      <x:c r="L381" s="99"/>
      <x:c r="M381" s="99"/>
      <x:c r="N381" s="99"/>
      <x:c r="O381" s="99"/>
      <x:c r="P381" s="99"/>
      <x:c r="Q381" s="99"/>
      <x:c r="R381" s="99"/>
      <x:c r="S381" s="99"/>
      <x:c r="T381" s="99"/>
      <x:c r="U381" s="99"/>
      <x:c r="V381" s="99"/>
      <x:c r="W381" s="99"/>
      <x:c r="X381" s="99"/>
      <x:c r="Y381" s="99"/>
      <x:c r="Z381" s="99"/>
    </x:row>
    <x:row r="382">
      <x:c r="A382" s="99"/>
      <x:c r="B382" s="99"/>
      <x:c r="C382" s="99"/>
      <x:c r="D382" s="99"/>
      <x:c r="E382" s="99"/>
      <x:c r="F382" s="99"/>
      <x:c r="G382" s="99"/>
      <x:c r="H382" s="99"/>
      <x:c r="I382" s="99"/>
      <x:c r="J382" s="99"/>
      <x:c r="K382" s="99"/>
      <x:c r="L382" s="99"/>
      <x:c r="M382" s="99"/>
      <x:c r="N382" s="99"/>
      <x:c r="O382" s="99"/>
      <x:c r="P382" s="99"/>
      <x:c r="Q382" s="99"/>
      <x:c r="R382" s="99"/>
      <x:c r="S382" s="99"/>
      <x:c r="T382" s="99"/>
      <x:c r="U382" s="99"/>
      <x:c r="V382" s="99"/>
      <x:c r="W382" s="99"/>
      <x:c r="X382" s="99"/>
      <x:c r="Y382" s="99"/>
      <x:c r="Z382" s="99"/>
    </x:row>
    <x:row r="383">
      <x:c r="A383" s="99"/>
      <x:c r="B383" s="99"/>
      <x:c r="C383" s="99"/>
      <x:c r="D383" s="99"/>
      <x:c r="E383" s="99"/>
      <x:c r="F383" s="99"/>
      <x:c r="G383" s="99"/>
      <x:c r="H383" s="99"/>
      <x:c r="I383" s="99"/>
      <x:c r="J383" s="99"/>
      <x:c r="K383" s="99"/>
      <x:c r="L383" s="99"/>
      <x:c r="M383" s="99"/>
      <x:c r="N383" s="99"/>
      <x:c r="O383" s="99"/>
      <x:c r="P383" s="99"/>
      <x:c r="Q383" s="99"/>
      <x:c r="R383" s="99"/>
      <x:c r="S383" s="99"/>
      <x:c r="T383" s="99"/>
      <x:c r="U383" s="99"/>
      <x:c r="V383" s="99"/>
      <x:c r="W383" s="99"/>
      <x:c r="X383" s="99"/>
      <x:c r="Y383" s="99"/>
      <x:c r="Z383" s="99"/>
    </x:row>
    <x:row r="384">
      <x:c r="A384" s="99"/>
      <x:c r="B384" s="99"/>
      <x:c r="C384" s="99"/>
      <x:c r="D384" s="99"/>
      <x:c r="E384" s="99"/>
      <x:c r="F384" s="99"/>
      <x:c r="G384" s="99"/>
      <x:c r="H384" s="99"/>
      <x:c r="I384" s="99"/>
      <x:c r="J384" s="99"/>
      <x:c r="K384" s="99"/>
      <x:c r="L384" s="99"/>
      <x:c r="M384" s="99"/>
      <x:c r="N384" s="99"/>
      <x:c r="O384" s="99"/>
      <x:c r="P384" s="99"/>
      <x:c r="Q384" s="99"/>
      <x:c r="R384" s="99"/>
      <x:c r="S384" s="99"/>
      <x:c r="T384" s="99"/>
      <x:c r="U384" s="99"/>
      <x:c r="V384" s="99"/>
      <x:c r="W384" s="99"/>
      <x:c r="X384" s="99"/>
      <x:c r="Y384" s="99"/>
      <x:c r="Z384" s="99"/>
    </x:row>
    <x:row r="385">
      <x:c r="A385" s="99"/>
      <x:c r="B385" s="99"/>
      <x:c r="C385" s="99"/>
      <x:c r="D385" s="99"/>
      <x:c r="E385" s="99"/>
      <x:c r="F385" s="99"/>
      <x:c r="G385" s="99"/>
      <x:c r="H385" s="99"/>
      <x:c r="I385" s="99"/>
      <x:c r="J385" s="99"/>
      <x:c r="K385" s="99"/>
      <x:c r="L385" s="99"/>
      <x:c r="M385" s="99"/>
      <x:c r="N385" s="99"/>
      <x:c r="O385" s="99"/>
      <x:c r="P385" s="99"/>
      <x:c r="Q385" s="99"/>
      <x:c r="R385" s="99"/>
      <x:c r="S385" s="99"/>
      <x:c r="T385" s="99"/>
      <x:c r="U385" s="99"/>
      <x:c r="V385" s="99"/>
      <x:c r="W385" s="99"/>
      <x:c r="X385" s="99"/>
      <x:c r="Y385" s="99"/>
      <x:c r="Z385" s="99"/>
    </x:row>
    <x:row r="386">
      <x:c r="A386" s="99"/>
      <x:c r="B386" s="99"/>
      <x:c r="C386" s="99"/>
      <x:c r="D386" s="99"/>
      <x:c r="E386" s="99"/>
      <x:c r="F386" s="99"/>
      <x:c r="G386" s="99"/>
      <x:c r="H386" s="99"/>
      <x:c r="I386" s="99"/>
      <x:c r="J386" s="99"/>
      <x:c r="K386" s="99"/>
      <x:c r="L386" s="99"/>
      <x:c r="M386" s="99"/>
      <x:c r="N386" s="99"/>
      <x:c r="O386" s="99"/>
      <x:c r="P386" s="99"/>
      <x:c r="Q386" s="99"/>
      <x:c r="R386" s="99"/>
      <x:c r="S386" s="99"/>
      <x:c r="T386" s="99"/>
      <x:c r="U386" s="99"/>
      <x:c r="V386" s="99"/>
      <x:c r="W386" s="99"/>
      <x:c r="X386" s="99"/>
      <x:c r="Y386" s="99"/>
      <x:c r="Z386" s="99"/>
    </x:row>
    <x:row r="387">
      <x:c r="A387" s="99"/>
      <x:c r="B387" s="99"/>
      <x:c r="C387" s="99"/>
      <x:c r="D387" s="99"/>
      <x:c r="E387" s="99"/>
      <x:c r="F387" s="99"/>
      <x:c r="G387" s="99"/>
      <x:c r="H387" s="99"/>
      <x:c r="I387" s="99"/>
      <x:c r="J387" s="99"/>
      <x:c r="K387" s="99"/>
      <x:c r="L387" s="99"/>
      <x:c r="M387" s="99"/>
      <x:c r="N387" s="99"/>
      <x:c r="O387" s="99"/>
      <x:c r="P387" s="99"/>
      <x:c r="Q387" s="99"/>
      <x:c r="R387" s="99"/>
      <x:c r="S387" s="99"/>
      <x:c r="T387" s="99"/>
      <x:c r="U387" s="99"/>
      <x:c r="V387" s="99"/>
      <x:c r="W387" s="99"/>
      <x:c r="X387" s="99"/>
      <x:c r="Y387" s="99"/>
      <x:c r="Z387" s="99"/>
    </x:row>
    <x:row r="388">
      <x:c r="A388" s="99"/>
      <x:c r="B388" s="99"/>
      <x:c r="C388" s="99"/>
      <x:c r="D388" s="99"/>
      <x:c r="E388" s="99"/>
      <x:c r="F388" s="99"/>
      <x:c r="G388" s="99"/>
      <x:c r="H388" s="99"/>
      <x:c r="I388" s="99"/>
      <x:c r="J388" s="99"/>
      <x:c r="K388" s="99"/>
      <x:c r="L388" s="99"/>
      <x:c r="M388" s="99"/>
      <x:c r="N388" s="99"/>
      <x:c r="O388" s="99"/>
      <x:c r="P388" s="99"/>
      <x:c r="Q388" s="99"/>
      <x:c r="R388" s="99"/>
      <x:c r="S388" s="99"/>
      <x:c r="T388" s="99"/>
      <x:c r="U388" s="99"/>
      <x:c r="V388" s="99"/>
      <x:c r="W388" s="99"/>
      <x:c r="X388" s="99"/>
      <x:c r="Y388" s="99"/>
      <x:c r="Z388" s="99"/>
    </x:row>
    <x:row r="389">
      <x:c r="A389" s="99"/>
      <x:c r="B389" s="99"/>
      <x:c r="C389" s="99"/>
      <x:c r="D389" s="99"/>
      <x:c r="E389" s="99"/>
      <x:c r="F389" s="99"/>
      <x:c r="G389" s="99"/>
      <x:c r="H389" s="99"/>
      <x:c r="I389" s="99"/>
      <x:c r="J389" s="99"/>
      <x:c r="K389" s="99"/>
      <x:c r="L389" s="99"/>
      <x:c r="M389" s="99"/>
      <x:c r="N389" s="99"/>
      <x:c r="O389" s="99"/>
      <x:c r="P389" s="99"/>
      <x:c r="Q389" s="99"/>
      <x:c r="R389" s="99"/>
      <x:c r="S389" s="99"/>
      <x:c r="T389" s="99"/>
      <x:c r="U389" s="99"/>
      <x:c r="V389" s="99"/>
      <x:c r="W389" s="99"/>
      <x:c r="X389" s="99"/>
      <x:c r="Y389" s="99"/>
      <x:c r="Z389" s="99"/>
    </x:row>
    <x:row r="390">
      <x:c r="A390" s="99"/>
      <x:c r="B390" s="99"/>
      <x:c r="C390" s="99"/>
      <x:c r="D390" s="99"/>
      <x:c r="E390" s="99"/>
      <x:c r="F390" s="99"/>
      <x:c r="G390" s="99"/>
      <x:c r="H390" s="99"/>
      <x:c r="I390" s="99"/>
      <x:c r="J390" s="99"/>
      <x:c r="K390" s="99"/>
      <x:c r="L390" s="99"/>
      <x:c r="M390" s="99"/>
      <x:c r="N390" s="99"/>
      <x:c r="O390" s="99"/>
      <x:c r="P390" s="99"/>
      <x:c r="Q390" s="99"/>
      <x:c r="R390" s="99"/>
      <x:c r="S390" s="99"/>
      <x:c r="T390" s="99"/>
      <x:c r="U390" s="99"/>
      <x:c r="V390" s="99"/>
      <x:c r="W390" s="99"/>
      <x:c r="X390" s="99"/>
      <x:c r="Y390" s="99"/>
      <x:c r="Z390" s="99"/>
    </x:row>
    <x:row r="391">
      <x:c r="A391" s="99"/>
      <x:c r="B391" s="99"/>
      <x:c r="C391" s="99"/>
      <x:c r="D391" s="99"/>
      <x:c r="E391" s="99"/>
      <x:c r="F391" s="99"/>
      <x:c r="G391" s="99"/>
      <x:c r="H391" s="99"/>
      <x:c r="I391" s="99"/>
      <x:c r="J391" s="99"/>
      <x:c r="K391" s="99"/>
      <x:c r="L391" s="99"/>
      <x:c r="M391" s="99"/>
      <x:c r="N391" s="99"/>
      <x:c r="O391" s="99"/>
      <x:c r="P391" s="99"/>
      <x:c r="Q391" s="99"/>
      <x:c r="R391" s="99"/>
      <x:c r="S391" s="99"/>
      <x:c r="T391" s="99"/>
      <x:c r="U391" s="99"/>
      <x:c r="V391" s="99"/>
      <x:c r="W391" s="99"/>
      <x:c r="X391" s="99"/>
      <x:c r="Y391" s="99"/>
      <x:c r="Z391" s="99"/>
    </x:row>
    <x:row r="392">
      <x:c r="A392" s="99"/>
      <x:c r="B392" s="99"/>
      <x:c r="C392" s="99"/>
      <x:c r="D392" s="99"/>
      <x:c r="E392" s="99"/>
      <x:c r="F392" s="99"/>
      <x:c r="G392" s="99"/>
      <x:c r="H392" s="99"/>
      <x:c r="I392" s="99"/>
      <x:c r="J392" s="99"/>
      <x:c r="K392" s="99"/>
      <x:c r="L392" s="99"/>
      <x:c r="M392" s="99"/>
      <x:c r="N392" s="99"/>
      <x:c r="O392" s="99"/>
      <x:c r="P392" s="99"/>
      <x:c r="Q392" s="99"/>
      <x:c r="R392" s="99"/>
      <x:c r="S392" s="99"/>
      <x:c r="T392" s="99"/>
      <x:c r="U392" s="99"/>
      <x:c r="V392" s="99"/>
      <x:c r="W392" s="99"/>
      <x:c r="X392" s="99"/>
      <x:c r="Y392" s="99"/>
      <x:c r="Z392" s="99"/>
    </x:row>
    <x:row r="393">
      <x:c r="A393" s="99"/>
      <x:c r="B393" s="99"/>
      <x:c r="C393" s="99"/>
      <x:c r="D393" s="99"/>
      <x:c r="E393" s="99"/>
      <x:c r="F393" s="99"/>
      <x:c r="G393" s="99"/>
      <x:c r="H393" s="99"/>
      <x:c r="I393" s="99"/>
      <x:c r="J393" s="99"/>
      <x:c r="K393" s="99"/>
      <x:c r="L393" s="99"/>
      <x:c r="M393" s="99"/>
      <x:c r="N393" s="99"/>
      <x:c r="O393" s="99"/>
      <x:c r="P393" s="99"/>
      <x:c r="Q393" s="99"/>
      <x:c r="R393" s="99"/>
      <x:c r="S393" s="99"/>
      <x:c r="T393" s="99"/>
      <x:c r="U393" s="99"/>
      <x:c r="V393" s="99"/>
      <x:c r="W393" s="99"/>
      <x:c r="X393" s="99"/>
      <x:c r="Y393" s="99"/>
      <x:c r="Z393" s="99"/>
    </x:row>
    <x:row r="394">
      <x:c r="A394" s="99"/>
      <x:c r="B394" s="99"/>
      <x:c r="C394" s="99"/>
      <x:c r="D394" s="99"/>
      <x:c r="E394" s="99"/>
      <x:c r="F394" s="99"/>
      <x:c r="G394" s="99"/>
      <x:c r="H394" s="99"/>
      <x:c r="I394" s="99"/>
      <x:c r="J394" s="99"/>
      <x:c r="K394" s="99"/>
      <x:c r="L394" s="99"/>
      <x:c r="M394" s="99"/>
      <x:c r="N394" s="99"/>
      <x:c r="O394" s="99"/>
      <x:c r="P394" s="99"/>
      <x:c r="Q394" s="99"/>
      <x:c r="R394" s="99"/>
      <x:c r="S394" s="99"/>
      <x:c r="T394" s="99"/>
      <x:c r="U394" s="99"/>
      <x:c r="V394" s="99"/>
      <x:c r="W394" s="99"/>
      <x:c r="X394" s="99"/>
      <x:c r="Y394" s="99"/>
      <x:c r="Z394" s="99"/>
    </x:row>
    <x:row r="395">
      <x:c r="A395" s="99"/>
      <x:c r="B395" s="99"/>
      <x:c r="C395" s="99"/>
      <x:c r="D395" s="99"/>
      <x:c r="E395" s="99"/>
      <x:c r="F395" s="99"/>
      <x:c r="G395" s="99"/>
      <x:c r="H395" s="99"/>
      <x:c r="I395" s="99"/>
      <x:c r="J395" s="99"/>
      <x:c r="K395" s="99"/>
      <x:c r="L395" s="99"/>
      <x:c r="M395" s="99"/>
      <x:c r="N395" s="99"/>
      <x:c r="O395" s="99"/>
      <x:c r="P395" s="99"/>
      <x:c r="Q395" s="99"/>
      <x:c r="R395" s="99"/>
      <x:c r="S395" s="99"/>
      <x:c r="T395" s="99"/>
      <x:c r="U395" s="99"/>
      <x:c r="V395" s="99"/>
      <x:c r="W395" s="99"/>
      <x:c r="X395" s="99"/>
      <x:c r="Y395" s="99"/>
      <x:c r="Z395" s="99"/>
    </x:row>
    <x:row r="396">
      <x:c r="A396" s="99"/>
      <x:c r="B396" s="99"/>
      <x:c r="C396" s="99"/>
      <x:c r="D396" s="99"/>
      <x:c r="E396" s="99"/>
      <x:c r="F396" s="99"/>
      <x:c r="G396" s="99"/>
      <x:c r="H396" s="99"/>
      <x:c r="I396" s="99"/>
      <x:c r="J396" s="99"/>
      <x:c r="K396" s="99"/>
      <x:c r="L396" s="99"/>
      <x:c r="M396" s="99"/>
      <x:c r="N396" s="99"/>
      <x:c r="O396" s="99"/>
      <x:c r="P396" s="99"/>
      <x:c r="Q396" s="99"/>
      <x:c r="R396" s="99"/>
      <x:c r="S396" s="99"/>
      <x:c r="T396" s="99"/>
      <x:c r="U396" s="99"/>
      <x:c r="V396" s="99"/>
      <x:c r="W396" s="99"/>
      <x:c r="X396" s="99"/>
      <x:c r="Y396" s="99"/>
      <x:c r="Z396" s="99"/>
    </x:row>
    <x:row r="397">
      <x:c r="A397" s="99"/>
      <x:c r="B397" s="99"/>
      <x:c r="C397" s="99"/>
      <x:c r="D397" s="99"/>
      <x:c r="E397" s="99"/>
      <x:c r="F397" s="99"/>
      <x:c r="G397" s="99"/>
      <x:c r="H397" s="99"/>
      <x:c r="I397" s="99"/>
      <x:c r="J397" s="99"/>
      <x:c r="K397" s="99"/>
      <x:c r="L397" s="99"/>
      <x:c r="M397" s="99"/>
      <x:c r="N397" s="99"/>
      <x:c r="O397" s="99"/>
      <x:c r="P397" s="99"/>
      <x:c r="Q397" s="99"/>
      <x:c r="R397" s="99"/>
      <x:c r="S397" s="99"/>
      <x:c r="T397" s="99"/>
      <x:c r="U397" s="99"/>
      <x:c r="V397" s="99"/>
      <x:c r="W397" s="99"/>
      <x:c r="X397" s="99"/>
      <x:c r="Y397" s="99"/>
      <x:c r="Z397" s="99"/>
    </x:row>
    <x:row r="398">
      <x:c r="A398" s="99"/>
      <x:c r="B398" s="99"/>
      <x:c r="C398" s="99"/>
      <x:c r="D398" s="99"/>
      <x:c r="E398" s="99"/>
      <x:c r="F398" s="99"/>
      <x:c r="G398" s="99"/>
      <x:c r="H398" s="99"/>
      <x:c r="I398" s="99"/>
      <x:c r="J398" s="99"/>
      <x:c r="K398" s="99"/>
      <x:c r="L398" s="99"/>
      <x:c r="M398" s="99"/>
      <x:c r="N398" s="99"/>
      <x:c r="O398" s="99"/>
      <x:c r="P398" s="99"/>
      <x:c r="Q398" s="99"/>
      <x:c r="R398" s="99"/>
      <x:c r="S398" s="99"/>
      <x:c r="T398" s="99"/>
      <x:c r="U398" s="99"/>
      <x:c r="V398" s="99"/>
      <x:c r="W398" s="99"/>
      <x:c r="X398" s="99"/>
      <x:c r="Y398" s="99"/>
      <x:c r="Z398" s="99"/>
    </x:row>
    <x:row r="399">
      <x:c r="A399" s="99"/>
      <x:c r="B399" s="99"/>
      <x:c r="C399" s="99"/>
      <x:c r="D399" s="99"/>
      <x:c r="E399" s="99"/>
      <x:c r="F399" s="99"/>
      <x:c r="G399" s="99"/>
      <x:c r="H399" s="99"/>
      <x:c r="I399" s="99"/>
      <x:c r="J399" s="99"/>
      <x:c r="K399" s="99"/>
      <x:c r="L399" s="99"/>
      <x:c r="M399" s="99"/>
      <x:c r="N399" s="99"/>
      <x:c r="O399" s="99"/>
      <x:c r="P399" s="99"/>
      <x:c r="Q399" s="99"/>
      <x:c r="R399" s="99"/>
      <x:c r="S399" s="99"/>
      <x:c r="T399" s="99"/>
      <x:c r="U399" s="99"/>
      <x:c r="V399" s="99"/>
      <x:c r="W399" s="99"/>
      <x:c r="X399" s="99"/>
      <x:c r="Y399" s="99"/>
      <x:c r="Z399" s="99"/>
    </x:row>
    <x:row r="400">
      <x:c r="A400" s="99"/>
      <x:c r="B400" s="99"/>
      <x:c r="C400" s="99"/>
      <x:c r="D400" s="99"/>
      <x:c r="E400" s="99"/>
      <x:c r="F400" s="99"/>
      <x:c r="G400" s="99"/>
      <x:c r="H400" s="99"/>
      <x:c r="I400" s="99"/>
      <x:c r="J400" s="99"/>
      <x:c r="K400" s="99"/>
      <x:c r="L400" s="99"/>
      <x:c r="M400" s="99"/>
      <x:c r="N400" s="99"/>
      <x:c r="O400" s="99"/>
      <x:c r="P400" s="99"/>
      <x:c r="Q400" s="99"/>
      <x:c r="R400" s="99"/>
      <x:c r="S400" s="99"/>
      <x:c r="T400" s="99"/>
      <x:c r="U400" s="99"/>
      <x:c r="V400" s="99"/>
      <x:c r="W400" s="99"/>
      <x:c r="X400" s="99"/>
      <x:c r="Y400" s="99"/>
      <x:c r="Z400" s="99"/>
    </x:row>
    <x:row r="401">
      <x:c r="A401" s="99"/>
      <x:c r="B401" s="99"/>
      <x:c r="C401" s="99"/>
      <x:c r="D401" s="99"/>
      <x:c r="E401" s="99"/>
      <x:c r="F401" s="99"/>
      <x:c r="G401" s="99"/>
      <x:c r="H401" s="99"/>
      <x:c r="I401" s="99"/>
      <x:c r="J401" s="99"/>
      <x:c r="K401" s="99"/>
      <x:c r="L401" s="99"/>
      <x:c r="M401" s="99"/>
      <x:c r="N401" s="99"/>
      <x:c r="O401" s="99"/>
      <x:c r="P401" s="99"/>
      <x:c r="Q401" s="99"/>
      <x:c r="R401" s="99"/>
      <x:c r="S401" s="99"/>
      <x:c r="T401" s="99"/>
      <x:c r="U401" s="99"/>
      <x:c r="V401" s="99"/>
      <x:c r="W401" s="99"/>
      <x:c r="X401" s="99"/>
      <x:c r="Y401" s="99"/>
      <x:c r="Z401" s="99"/>
    </x:row>
    <x:row r="402">
      <x:c r="A402" s="99"/>
      <x:c r="B402" s="99"/>
      <x:c r="C402" s="99"/>
      <x:c r="D402" s="99"/>
      <x:c r="E402" s="99"/>
      <x:c r="F402" s="99"/>
      <x:c r="G402" s="99"/>
      <x:c r="H402" s="99"/>
      <x:c r="I402" s="99"/>
      <x:c r="J402" s="99"/>
      <x:c r="K402" s="99"/>
      <x:c r="L402" s="99"/>
      <x:c r="M402" s="99"/>
      <x:c r="N402" s="99"/>
      <x:c r="O402" s="99"/>
      <x:c r="P402" s="99"/>
      <x:c r="Q402" s="99"/>
      <x:c r="R402" s="99"/>
      <x:c r="S402" s="99"/>
      <x:c r="T402" s="99"/>
      <x:c r="U402" s="99"/>
      <x:c r="V402" s="99"/>
      <x:c r="W402" s="99"/>
      <x:c r="X402" s="99"/>
      <x:c r="Y402" s="99"/>
      <x:c r="Z402" s="99"/>
    </x:row>
    <x:row r="403">
      <x:c r="A403" s="99"/>
      <x:c r="B403" s="99"/>
      <x:c r="C403" s="99"/>
      <x:c r="D403" s="99"/>
      <x:c r="E403" s="99"/>
      <x:c r="F403" s="99"/>
      <x:c r="G403" s="99"/>
      <x:c r="H403" s="99"/>
      <x:c r="I403" s="99"/>
      <x:c r="J403" s="99"/>
      <x:c r="K403" s="99"/>
      <x:c r="L403" s="99"/>
      <x:c r="M403" s="99"/>
      <x:c r="N403" s="99"/>
      <x:c r="O403" s="99"/>
      <x:c r="P403" s="99"/>
      <x:c r="Q403" s="99"/>
      <x:c r="R403" s="99"/>
      <x:c r="S403" s="99"/>
      <x:c r="T403" s="99"/>
      <x:c r="U403" s="99"/>
      <x:c r="V403" s="99"/>
      <x:c r="W403" s="99"/>
      <x:c r="X403" s="99"/>
      <x:c r="Y403" s="99"/>
      <x:c r="Z403" s="99"/>
    </x:row>
    <x:row r="404">
      <x:c r="A404" s="99"/>
      <x:c r="B404" s="99"/>
      <x:c r="C404" s="99"/>
      <x:c r="D404" s="99"/>
      <x:c r="E404" s="99"/>
      <x:c r="F404" s="99"/>
      <x:c r="G404" s="99"/>
      <x:c r="H404" s="99"/>
      <x:c r="I404" s="99"/>
      <x:c r="J404" s="99"/>
      <x:c r="K404" s="99"/>
      <x:c r="L404" s="99"/>
      <x:c r="M404" s="99"/>
      <x:c r="N404" s="99"/>
      <x:c r="O404" s="99"/>
      <x:c r="P404" s="99"/>
      <x:c r="Q404" s="99"/>
      <x:c r="R404" s="99"/>
      <x:c r="S404" s="99"/>
      <x:c r="T404" s="99"/>
      <x:c r="U404" s="99"/>
      <x:c r="V404" s="99"/>
      <x:c r="W404" s="99"/>
      <x:c r="X404" s="99"/>
      <x:c r="Y404" s="99"/>
      <x:c r="Z404" s="99"/>
    </x:row>
    <x:row r="405">
      <x:c r="A405" s="99"/>
      <x:c r="B405" s="99"/>
      <x:c r="C405" s="99"/>
      <x:c r="D405" s="99"/>
      <x:c r="E405" s="99"/>
      <x:c r="F405" s="99"/>
      <x:c r="G405" s="99"/>
      <x:c r="H405" s="99"/>
      <x:c r="I405" s="99"/>
      <x:c r="J405" s="99"/>
      <x:c r="K405" s="99"/>
      <x:c r="L405" s="99"/>
      <x:c r="M405" s="99"/>
      <x:c r="N405" s="99"/>
      <x:c r="O405" s="99"/>
      <x:c r="P405" s="99"/>
      <x:c r="Q405" s="99"/>
      <x:c r="R405" s="99"/>
      <x:c r="S405" s="99"/>
      <x:c r="T405" s="99"/>
      <x:c r="U405" s="99"/>
      <x:c r="V405" s="99"/>
      <x:c r="W405" s="99"/>
      <x:c r="X405" s="99"/>
      <x:c r="Y405" s="99"/>
      <x:c r="Z405" s="99"/>
    </x:row>
    <x:row r="406">
      <x:c r="A406" s="99"/>
      <x:c r="B406" s="99"/>
      <x:c r="C406" s="99"/>
      <x:c r="D406" s="99"/>
      <x:c r="E406" s="99"/>
      <x:c r="F406" s="99"/>
      <x:c r="G406" s="99"/>
      <x:c r="H406" s="99"/>
      <x:c r="I406" s="99"/>
      <x:c r="J406" s="99"/>
      <x:c r="K406" s="99"/>
      <x:c r="L406" s="99"/>
      <x:c r="M406" s="99"/>
      <x:c r="N406" s="99"/>
      <x:c r="O406" s="99"/>
      <x:c r="P406" s="99"/>
      <x:c r="Q406" s="99"/>
      <x:c r="R406" s="99"/>
      <x:c r="S406" s="99"/>
      <x:c r="T406" s="99"/>
      <x:c r="U406" s="99"/>
      <x:c r="V406" s="99"/>
      <x:c r="W406" s="99"/>
      <x:c r="X406" s="99"/>
      <x:c r="Y406" s="99"/>
      <x:c r="Z406" s="99"/>
    </x:row>
    <x:row r="407">
      <x:c r="A407" s="99"/>
      <x:c r="B407" s="99"/>
      <x:c r="C407" s="99"/>
      <x:c r="D407" s="99"/>
      <x:c r="E407" s="99"/>
      <x:c r="F407" s="99"/>
      <x:c r="G407" s="99"/>
      <x:c r="H407" s="99"/>
      <x:c r="I407" s="99"/>
      <x:c r="J407" s="99"/>
      <x:c r="K407" s="99"/>
      <x:c r="L407" s="99"/>
      <x:c r="M407" s="99"/>
      <x:c r="N407" s="99"/>
      <x:c r="O407" s="99"/>
      <x:c r="P407" s="99"/>
      <x:c r="Q407" s="99"/>
      <x:c r="R407" s="99"/>
      <x:c r="S407" s="99"/>
      <x:c r="T407" s="99"/>
      <x:c r="U407" s="99"/>
      <x:c r="V407" s="99"/>
      <x:c r="W407" s="99"/>
      <x:c r="X407" s="99"/>
      <x:c r="Y407" s="99"/>
      <x:c r="Z407" s="99"/>
    </x:row>
    <x:row r="408">
      <x:c r="A408" s="99"/>
      <x:c r="B408" s="99"/>
      <x:c r="C408" s="99"/>
      <x:c r="D408" s="99"/>
      <x:c r="E408" s="99"/>
      <x:c r="F408" s="99"/>
      <x:c r="G408" s="99"/>
      <x:c r="H408" s="99"/>
      <x:c r="I408" s="99"/>
      <x:c r="J408" s="99"/>
      <x:c r="K408" s="99"/>
      <x:c r="L408" s="99"/>
      <x:c r="M408" s="99"/>
      <x:c r="N408" s="99"/>
      <x:c r="O408" s="99"/>
      <x:c r="P408" s="99"/>
      <x:c r="Q408" s="99"/>
      <x:c r="R408" s="99"/>
      <x:c r="S408" s="99"/>
      <x:c r="T408" s="99"/>
      <x:c r="U408" s="99"/>
      <x:c r="V408" s="99"/>
      <x:c r="W408" s="99"/>
      <x:c r="X408" s="99"/>
      <x:c r="Y408" s="99"/>
      <x:c r="Z408" s="99"/>
    </x:row>
    <x:row r="409">
      <x:c r="A409" s="99"/>
      <x:c r="B409" s="99"/>
      <x:c r="C409" s="99"/>
      <x:c r="D409" s="99"/>
      <x:c r="E409" s="99"/>
      <x:c r="F409" s="99"/>
      <x:c r="G409" s="99"/>
      <x:c r="H409" s="99"/>
      <x:c r="I409" s="99"/>
      <x:c r="J409" s="99"/>
      <x:c r="K409" s="99"/>
      <x:c r="L409" s="99"/>
      <x:c r="M409" s="99"/>
      <x:c r="N409" s="99"/>
      <x:c r="O409" s="99"/>
      <x:c r="P409" s="99"/>
      <x:c r="Q409" s="99"/>
      <x:c r="R409" s="99"/>
      <x:c r="S409" s="99"/>
      <x:c r="T409" s="99"/>
      <x:c r="U409" s="99"/>
      <x:c r="V409" s="99"/>
      <x:c r="W409" s="99"/>
      <x:c r="X409" s="99"/>
      <x:c r="Y409" s="99"/>
      <x:c r="Z409" s="99"/>
    </x:row>
    <x:row r="410">
      <x:c r="A410" s="99"/>
      <x:c r="B410" s="99"/>
      <x:c r="C410" s="99"/>
      <x:c r="D410" s="99"/>
      <x:c r="E410" s="99"/>
      <x:c r="F410" s="99"/>
      <x:c r="G410" s="99"/>
      <x:c r="H410" s="99"/>
      <x:c r="I410" s="99"/>
      <x:c r="J410" s="99"/>
      <x:c r="K410" s="99"/>
      <x:c r="L410" s="99"/>
      <x:c r="M410" s="99"/>
      <x:c r="N410" s="99"/>
      <x:c r="O410" s="99"/>
      <x:c r="P410" s="99"/>
      <x:c r="Q410" s="99"/>
      <x:c r="R410" s="99"/>
      <x:c r="S410" s="99"/>
      <x:c r="T410" s="99"/>
      <x:c r="U410" s="99"/>
      <x:c r="V410" s="99"/>
      <x:c r="W410" s="99"/>
      <x:c r="X410" s="99"/>
      <x:c r="Y410" s="99"/>
      <x:c r="Z410" s="99"/>
    </x:row>
    <x:row r="411">
      <x:c r="A411" s="99"/>
      <x:c r="B411" s="99"/>
      <x:c r="C411" s="99"/>
      <x:c r="D411" s="99"/>
      <x:c r="E411" s="99"/>
      <x:c r="F411" s="99"/>
      <x:c r="G411" s="99"/>
      <x:c r="H411" s="99"/>
      <x:c r="I411" s="99"/>
      <x:c r="J411" s="99"/>
      <x:c r="K411" s="99"/>
      <x:c r="L411" s="99"/>
      <x:c r="M411" s="99"/>
      <x:c r="N411" s="99"/>
      <x:c r="O411" s="99"/>
      <x:c r="P411" s="99"/>
      <x:c r="Q411" s="99"/>
      <x:c r="R411" s="99"/>
      <x:c r="S411" s="99"/>
      <x:c r="T411" s="99"/>
      <x:c r="U411" s="99"/>
      <x:c r="V411" s="99"/>
      <x:c r="W411" s="99"/>
      <x:c r="X411" s="99"/>
      <x:c r="Y411" s="99"/>
      <x:c r="Z411" s="99"/>
    </x:row>
    <x:row r="412">
      <x:c r="A412" s="99"/>
      <x:c r="B412" s="99"/>
      <x:c r="C412" s="99"/>
      <x:c r="D412" s="99"/>
      <x:c r="E412" s="99"/>
      <x:c r="F412" s="99"/>
      <x:c r="G412" s="99"/>
      <x:c r="H412" s="99"/>
      <x:c r="I412" s="99"/>
      <x:c r="J412" s="99"/>
      <x:c r="K412" s="99"/>
      <x:c r="L412" s="99"/>
      <x:c r="M412" s="99"/>
      <x:c r="N412" s="99"/>
      <x:c r="O412" s="99"/>
      <x:c r="P412" s="99"/>
      <x:c r="Q412" s="99"/>
      <x:c r="R412" s="99"/>
      <x:c r="S412" s="99"/>
      <x:c r="T412" s="99"/>
      <x:c r="U412" s="99"/>
      <x:c r="V412" s="99"/>
      <x:c r="W412" s="99"/>
      <x:c r="X412" s="99"/>
      <x:c r="Y412" s="99"/>
      <x:c r="Z412" s="99"/>
    </x:row>
    <x:row r="413">
      <x:c r="A413" s="99"/>
      <x:c r="B413" s="99"/>
      <x:c r="C413" s="99"/>
      <x:c r="D413" s="99"/>
      <x:c r="E413" s="99"/>
      <x:c r="F413" s="99"/>
      <x:c r="G413" s="99"/>
      <x:c r="H413" s="99"/>
      <x:c r="I413" s="99"/>
      <x:c r="J413" s="99"/>
      <x:c r="K413" s="99"/>
      <x:c r="L413" s="99"/>
      <x:c r="M413" s="99"/>
      <x:c r="N413" s="99"/>
      <x:c r="O413" s="99"/>
      <x:c r="P413" s="99"/>
      <x:c r="Q413" s="99"/>
      <x:c r="R413" s="99"/>
      <x:c r="S413" s="99"/>
      <x:c r="T413" s="99"/>
      <x:c r="U413" s="99"/>
      <x:c r="V413" s="99"/>
      <x:c r="W413" s="99"/>
      <x:c r="X413" s="99"/>
      <x:c r="Y413" s="99"/>
      <x:c r="Z413" s="99"/>
    </x:row>
    <x:row r="414">
      <x:c r="A414" s="99"/>
      <x:c r="B414" s="99"/>
      <x:c r="C414" s="99"/>
      <x:c r="D414" s="99"/>
      <x:c r="E414" s="99"/>
      <x:c r="F414" s="99"/>
      <x:c r="G414" s="99"/>
      <x:c r="H414" s="99"/>
      <x:c r="I414" s="99"/>
      <x:c r="J414" s="99"/>
      <x:c r="K414" s="99"/>
      <x:c r="L414" s="99"/>
      <x:c r="M414" s="99"/>
      <x:c r="N414" s="99"/>
      <x:c r="O414" s="99"/>
      <x:c r="P414" s="99"/>
      <x:c r="Q414" s="99"/>
      <x:c r="R414" s="99"/>
      <x:c r="S414" s="99"/>
      <x:c r="T414" s="99"/>
      <x:c r="U414" s="99"/>
      <x:c r="V414" s="99"/>
      <x:c r="W414" s="99"/>
      <x:c r="X414" s="99"/>
      <x:c r="Y414" s="99"/>
      <x:c r="Z414" s="99"/>
    </x:row>
    <x:row r="415">
      <x:c r="A415" s="99"/>
      <x:c r="B415" s="99"/>
      <x:c r="C415" s="99"/>
      <x:c r="D415" s="99"/>
      <x:c r="E415" s="99"/>
      <x:c r="F415" s="99"/>
      <x:c r="G415" s="99"/>
      <x:c r="H415" s="99"/>
      <x:c r="I415" s="99"/>
      <x:c r="J415" s="99"/>
      <x:c r="K415" s="99"/>
      <x:c r="L415" s="99"/>
      <x:c r="M415" s="99"/>
      <x:c r="N415" s="99"/>
      <x:c r="O415" s="99"/>
      <x:c r="P415" s="99"/>
      <x:c r="Q415" s="99"/>
      <x:c r="R415" s="99"/>
      <x:c r="S415" s="99"/>
      <x:c r="T415" s="99"/>
      <x:c r="U415" s="99"/>
      <x:c r="V415" s="99"/>
      <x:c r="W415" s="99"/>
      <x:c r="X415" s="99"/>
      <x:c r="Y415" s="99"/>
      <x:c r="Z415" s="99"/>
    </x:row>
    <x:row r="416">
      <x:c r="A416" s="99"/>
      <x:c r="B416" s="99"/>
      <x:c r="C416" s="99"/>
      <x:c r="D416" s="99"/>
      <x:c r="E416" s="99"/>
      <x:c r="F416" s="99"/>
      <x:c r="G416" s="99"/>
      <x:c r="H416" s="99"/>
      <x:c r="I416" s="99"/>
      <x:c r="J416" s="99"/>
      <x:c r="K416" s="99"/>
      <x:c r="L416" s="99"/>
      <x:c r="M416" s="99"/>
      <x:c r="N416" s="99"/>
      <x:c r="O416" s="99"/>
      <x:c r="P416" s="99"/>
      <x:c r="Q416" s="99"/>
      <x:c r="R416" s="99"/>
      <x:c r="S416" s="99"/>
      <x:c r="T416" s="99"/>
      <x:c r="U416" s="99"/>
      <x:c r="V416" s="99"/>
      <x:c r="W416" s="99"/>
      <x:c r="X416" s="99"/>
      <x:c r="Y416" s="99"/>
      <x:c r="Z416" s="99"/>
    </x:row>
    <x:row r="417">
      <x:c r="A417" s="99"/>
      <x:c r="B417" s="99"/>
      <x:c r="C417" s="99"/>
      <x:c r="D417" s="99"/>
      <x:c r="E417" s="99"/>
      <x:c r="F417" s="99"/>
      <x:c r="G417" s="99"/>
      <x:c r="H417" s="99"/>
      <x:c r="I417" s="99"/>
      <x:c r="J417" s="99"/>
      <x:c r="K417" s="99"/>
      <x:c r="L417" s="99"/>
      <x:c r="M417" s="99"/>
      <x:c r="N417" s="99"/>
      <x:c r="O417" s="99"/>
      <x:c r="P417" s="99"/>
      <x:c r="Q417" s="99"/>
      <x:c r="R417" s="99"/>
      <x:c r="S417" s="99"/>
      <x:c r="T417" s="99"/>
      <x:c r="U417" s="99"/>
      <x:c r="V417" s="99"/>
      <x:c r="W417" s="99"/>
      <x:c r="X417" s="99"/>
      <x:c r="Y417" s="99"/>
      <x:c r="Z417" s="99"/>
    </x:row>
    <x:row r="418">
      <x:c r="A418" s="99"/>
      <x:c r="B418" s="99"/>
      <x:c r="C418" s="99"/>
      <x:c r="D418" s="99"/>
      <x:c r="E418" s="99"/>
      <x:c r="F418" s="99"/>
      <x:c r="G418" s="99"/>
      <x:c r="H418" s="99"/>
      <x:c r="I418" s="99"/>
      <x:c r="J418" s="99"/>
      <x:c r="K418" s="99"/>
      <x:c r="L418" s="99"/>
      <x:c r="M418" s="99"/>
      <x:c r="N418" s="99"/>
      <x:c r="O418" s="99"/>
      <x:c r="P418" s="99"/>
      <x:c r="Q418" s="99"/>
      <x:c r="R418" s="99"/>
      <x:c r="S418" s="99"/>
      <x:c r="T418" s="99"/>
      <x:c r="U418" s="99"/>
      <x:c r="V418" s="99"/>
      <x:c r="W418" s="99"/>
      <x:c r="X418" s="99"/>
      <x:c r="Y418" s="99"/>
      <x:c r="Z418" s="99"/>
    </x:row>
    <x:row r="419">
      <x:c r="A419" s="99"/>
      <x:c r="B419" s="99"/>
      <x:c r="C419" s="99"/>
      <x:c r="D419" s="99"/>
      <x:c r="E419" s="99"/>
      <x:c r="F419" s="99"/>
      <x:c r="G419" s="99"/>
      <x:c r="H419" s="99"/>
      <x:c r="I419" s="99"/>
      <x:c r="J419" s="99"/>
      <x:c r="K419" s="99"/>
      <x:c r="L419" s="99"/>
      <x:c r="M419" s="99"/>
      <x:c r="N419" s="99"/>
      <x:c r="O419" s="99"/>
      <x:c r="P419" s="99"/>
      <x:c r="Q419" s="99"/>
      <x:c r="R419" s="99"/>
      <x:c r="S419" s="99"/>
      <x:c r="T419" s="99"/>
      <x:c r="U419" s="99"/>
      <x:c r="V419" s="99"/>
      <x:c r="W419" s="99"/>
      <x:c r="X419" s="99"/>
      <x:c r="Y419" s="99"/>
      <x:c r="Z419" s="99"/>
    </x:row>
    <x:row r="420">
      <x:c r="A420" s="99"/>
      <x:c r="B420" s="99"/>
      <x:c r="C420" s="99"/>
      <x:c r="D420" s="99"/>
      <x:c r="E420" s="99"/>
      <x:c r="F420" s="99"/>
      <x:c r="G420" s="99"/>
      <x:c r="H420" s="99"/>
      <x:c r="I420" s="99"/>
      <x:c r="J420" s="99"/>
      <x:c r="K420" s="99"/>
      <x:c r="L420" s="99"/>
      <x:c r="M420" s="99"/>
      <x:c r="N420" s="99"/>
      <x:c r="O420" s="99"/>
      <x:c r="P420" s="99"/>
      <x:c r="Q420" s="99"/>
      <x:c r="R420" s="99"/>
      <x:c r="S420" s="99"/>
      <x:c r="T420" s="99"/>
      <x:c r="U420" s="99"/>
      <x:c r="V420" s="99"/>
      <x:c r="W420" s="99"/>
      <x:c r="X420" s="99"/>
      <x:c r="Y420" s="99"/>
      <x:c r="Z420" s="99"/>
    </x:row>
    <x:row r="421">
      <x:c r="A421" s="99"/>
      <x:c r="B421" s="99"/>
      <x:c r="C421" s="99"/>
      <x:c r="D421" s="99"/>
      <x:c r="E421" s="99"/>
      <x:c r="F421" s="99"/>
      <x:c r="G421" s="99"/>
      <x:c r="H421" s="99"/>
      <x:c r="I421" s="99"/>
      <x:c r="J421" s="99"/>
      <x:c r="K421" s="99"/>
      <x:c r="L421" s="99"/>
      <x:c r="M421" s="99"/>
      <x:c r="N421" s="99"/>
      <x:c r="O421" s="99"/>
      <x:c r="P421" s="99"/>
      <x:c r="Q421" s="99"/>
      <x:c r="R421" s="99"/>
      <x:c r="S421" s="99"/>
      <x:c r="T421" s="99"/>
      <x:c r="U421" s="99"/>
      <x:c r="V421" s="99"/>
      <x:c r="W421" s="99"/>
      <x:c r="X421" s="99"/>
      <x:c r="Y421" s="99"/>
      <x:c r="Z421" s="99"/>
    </x:row>
    <x:row r="422">
      <x:c r="A422" s="99"/>
      <x:c r="B422" s="99"/>
      <x:c r="C422" s="99"/>
      <x:c r="D422" s="99"/>
      <x:c r="E422" s="99"/>
      <x:c r="F422" s="99"/>
      <x:c r="G422" s="99"/>
      <x:c r="H422" s="99"/>
      <x:c r="I422" s="99"/>
      <x:c r="J422" s="99"/>
      <x:c r="K422" s="99"/>
      <x:c r="L422" s="99"/>
      <x:c r="M422" s="99"/>
      <x:c r="N422" s="99"/>
      <x:c r="O422" s="99"/>
      <x:c r="P422" s="99"/>
      <x:c r="Q422" s="99"/>
      <x:c r="R422" s="99"/>
      <x:c r="S422" s="99"/>
      <x:c r="T422" s="99"/>
      <x:c r="U422" s="99"/>
      <x:c r="V422" s="99"/>
      <x:c r="W422" s="99"/>
      <x:c r="X422" s="99"/>
      <x:c r="Y422" s="99"/>
      <x:c r="Z422" s="99"/>
    </x:row>
    <x:row r="423">
      <x:c r="A423" s="99"/>
      <x:c r="B423" s="99"/>
      <x:c r="C423" s="99"/>
      <x:c r="D423" s="99"/>
      <x:c r="E423" s="99"/>
      <x:c r="F423" s="99"/>
      <x:c r="G423" s="99"/>
      <x:c r="H423" s="99"/>
      <x:c r="I423" s="99"/>
      <x:c r="J423" s="99"/>
      <x:c r="K423" s="99"/>
      <x:c r="L423" s="99"/>
      <x:c r="M423" s="99"/>
      <x:c r="N423" s="99"/>
      <x:c r="O423" s="99"/>
      <x:c r="P423" s="99"/>
      <x:c r="Q423" s="99"/>
      <x:c r="R423" s="99"/>
      <x:c r="S423" s="99"/>
      <x:c r="T423" s="99"/>
      <x:c r="U423" s="99"/>
      <x:c r="V423" s="99"/>
      <x:c r="W423" s="99"/>
      <x:c r="X423" s="99"/>
      <x:c r="Y423" s="99"/>
      <x:c r="Z423" s="99"/>
    </x:row>
    <x:row r="424">
      <x:c r="A424" s="99"/>
      <x:c r="B424" s="99"/>
      <x:c r="C424" s="99"/>
      <x:c r="D424" s="99"/>
      <x:c r="E424" s="99"/>
      <x:c r="F424" s="99"/>
      <x:c r="G424" s="99"/>
      <x:c r="H424" s="99"/>
      <x:c r="I424" s="99"/>
      <x:c r="J424" s="99"/>
      <x:c r="K424" s="99"/>
      <x:c r="L424" s="99"/>
      <x:c r="M424" s="99"/>
      <x:c r="N424" s="99"/>
      <x:c r="O424" s="99"/>
      <x:c r="P424" s="99"/>
      <x:c r="Q424" s="99"/>
      <x:c r="R424" s="99"/>
      <x:c r="S424" s="99"/>
      <x:c r="T424" s="99"/>
      <x:c r="U424" s="99"/>
      <x:c r="V424" s="99"/>
      <x:c r="W424" s="99"/>
      <x:c r="X424" s="99"/>
      <x:c r="Y424" s="99"/>
      <x:c r="Z424" s="99"/>
    </x:row>
    <x:row r="425">
      <x:c r="A425" s="99"/>
      <x:c r="B425" s="99"/>
      <x:c r="C425" s="99"/>
      <x:c r="D425" s="99"/>
      <x:c r="E425" s="99"/>
      <x:c r="F425" s="99"/>
      <x:c r="G425" s="99"/>
      <x:c r="H425" s="99"/>
      <x:c r="I425" s="99"/>
      <x:c r="J425" s="99"/>
      <x:c r="K425" s="99"/>
      <x:c r="L425" s="99"/>
      <x:c r="M425" s="99"/>
      <x:c r="N425" s="99"/>
      <x:c r="O425" s="99"/>
      <x:c r="P425" s="99"/>
      <x:c r="Q425" s="99"/>
      <x:c r="R425" s="99"/>
      <x:c r="S425" s="99"/>
      <x:c r="T425" s="99"/>
      <x:c r="U425" s="99"/>
      <x:c r="V425" s="99"/>
      <x:c r="W425" s="99"/>
      <x:c r="X425" s="99"/>
      <x:c r="Y425" s="99"/>
      <x:c r="Z425" s="99"/>
    </x:row>
    <x:row r="426">
      <x:c r="A426" s="99"/>
      <x:c r="B426" s="99"/>
      <x:c r="C426" s="99"/>
      <x:c r="D426" s="99"/>
      <x:c r="E426" s="99"/>
      <x:c r="F426" s="99"/>
      <x:c r="G426" s="99"/>
      <x:c r="H426" s="99"/>
      <x:c r="I426" s="99"/>
      <x:c r="J426" s="99"/>
      <x:c r="K426" s="99"/>
      <x:c r="L426" s="99"/>
      <x:c r="M426" s="99"/>
      <x:c r="N426" s="99"/>
      <x:c r="O426" s="99"/>
      <x:c r="P426" s="99"/>
      <x:c r="Q426" s="99"/>
      <x:c r="R426" s="99"/>
      <x:c r="S426" s="99"/>
      <x:c r="T426" s="99"/>
      <x:c r="U426" s="99"/>
      <x:c r="V426" s="99"/>
      <x:c r="W426" s="99"/>
      <x:c r="X426" s="99"/>
      <x:c r="Y426" s="99"/>
      <x:c r="Z426" s="99"/>
    </x:row>
    <x:row r="427">
      <x:c r="A427" s="99"/>
      <x:c r="B427" s="99"/>
      <x:c r="C427" s="99"/>
      <x:c r="D427" s="99"/>
      <x:c r="E427" s="99"/>
      <x:c r="F427" s="99"/>
      <x:c r="G427" s="99"/>
      <x:c r="H427" s="99"/>
      <x:c r="I427" s="99"/>
      <x:c r="J427" s="99"/>
      <x:c r="K427" s="99"/>
      <x:c r="L427" s="99"/>
      <x:c r="M427" s="99"/>
      <x:c r="N427" s="99"/>
      <x:c r="O427" s="99"/>
      <x:c r="P427" s="99"/>
      <x:c r="Q427" s="99"/>
      <x:c r="R427" s="99"/>
      <x:c r="S427" s="99"/>
      <x:c r="T427" s="99"/>
      <x:c r="U427" s="99"/>
      <x:c r="V427" s="99"/>
      <x:c r="W427" s="99"/>
      <x:c r="X427" s="99"/>
      <x:c r="Y427" s="99"/>
      <x:c r="Z427" s="99"/>
    </x:row>
    <x:row r="428">
      <x:c r="A428" s="99"/>
      <x:c r="B428" s="99"/>
      <x:c r="C428" s="99"/>
      <x:c r="D428" s="99"/>
      <x:c r="E428" s="99"/>
      <x:c r="F428" s="99"/>
      <x:c r="G428" s="99"/>
      <x:c r="H428" s="99"/>
      <x:c r="I428" s="99"/>
      <x:c r="J428" s="99"/>
      <x:c r="K428" s="99"/>
      <x:c r="L428" s="99"/>
      <x:c r="M428" s="99"/>
      <x:c r="N428" s="99"/>
      <x:c r="O428" s="99"/>
      <x:c r="P428" s="99"/>
      <x:c r="Q428" s="99"/>
      <x:c r="R428" s="99"/>
      <x:c r="S428" s="99"/>
      <x:c r="T428" s="99"/>
      <x:c r="U428" s="99"/>
      <x:c r="V428" s="99"/>
      <x:c r="W428" s="99"/>
      <x:c r="X428" s="99"/>
      <x:c r="Y428" s="99"/>
      <x:c r="Z428" s="99"/>
    </x:row>
    <x:row r="429">
      <x:c r="A429" s="99"/>
      <x:c r="B429" s="99"/>
      <x:c r="C429" s="99"/>
      <x:c r="D429" s="99"/>
      <x:c r="E429" s="99"/>
      <x:c r="F429" s="99"/>
      <x:c r="G429" s="99"/>
      <x:c r="H429" s="99"/>
      <x:c r="I429" s="99"/>
      <x:c r="J429" s="99"/>
      <x:c r="K429" s="99"/>
      <x:c r="L429" s="99"/>
      <x:c r="M429" s="99"/>
      <x:c r="N429" s="99"/>
      <x:c r="O429" s="99"/>
      <x:c r="P429" s="99"/>
      <x:c r="Q429" s="99"/>
      <x:c r="R429" s="99"/>
      <x:c r="S429" s="99"/>
      <x:c r="T429" s="99"/>
      <x:c r="U429" s="99"/>
      <x:c r="V429" s="99"/>
      <x:c r="W429" s="99"/>
      <x:c r="X429" s="99"/>
      <x:c r="Y429" s="99"/>
      <x:c r="Z429" s="99"/>
    </x:row>
    <x:row r="430">
      <x:c r="A430" s="99"/>
      <x:c r="B430" s="99"/>
      <x:c r="C430" s="99"/>
      <x:c r="D430" s="99"/>
      <x:c r="E430" s="99"/>
      <x:c r="F430" s="99"/>
      <x:c r="G430" s="99"/>
      <x:c r="H430" s="99"/>
      <x:c r="I430" s="99"/>
      <x:c r="J430" s="99"/>
      <x:c r="K430" s="99"/>
      <x:c r="L430" s="99"/>
      <x:c r="M430" s="99"/>
      <x:c r="N430" s="99"/>
      <x:c r="O430" s="99"/>
      <x:c r="P430" s="99"/>
      <x:c r="Q430" s="99"/>
      <x:c r="R430" s="99"/>
      <x:c r="S430" s="99"/>
      <x:c r="T430" s="99"/>
      <x:c r="U430" s="99"/>
      <x:c r="V430" s="99"/>
      <x:c r="W430" s="99"/>
      <x:c r="X430" s="99"/>
      <x:c r="Y430" s="99"/>
      <x:c r="Z430" s="99"/>
    </x:row>
    <x:row r="431">
      <x:c r="A431" s="99"/>
      <x:c r="B431" s="99"/>
      <x:c r="C431" s="99"/>
      <x:c r="D431" s="99"/>
      <x:c r="E431" s="99"/>
      <x:c r="F431" s="99"/>
      <x:c r="G431" s="99"/>
      <x:c r="H431" s="99"/>
      <x:c r="I431" s="99"/>
      <x:c r="J431" s="99"/>
      <x:c r="K431" s="99"/>
      <x:c r="L431" s="99"/>
      <x:c r="M431" s="99"/>
      <x:c r="N431" s="99"/>
      <x:c r="O431" s="99"/>
      <x:c r="P431" s="99"/>
      <x:c r="Q431" s="99"/>
      <x:c r="R431" s="99"/>
      <x:c r="S431" s="99"/>
      <x:c r="T431" s="99"/>
      <x:c r="U431" s="99"/>
      <x:c r="V431" s="99"/>
      <x:c r="W431" s="99"/>
      <x:c r="X431" s="99"/>
      <x:c r="Y431" s="99"/>
      <x:c r="Z431" s="99"/>
    </x:row>
    <x:row r="432">
      <x:c r="A432" s="99"/>
      <x:c r="B432" s="99"/>
      <x:c r="C432" s="99"/>
      <x:c r="D432" s="99"/>
      <x:c r="E432" s="99"/>
      <x:c r="F432" s="99"/>
      <x:c r="G432" s="99"/>
      <x:c r="H432" s="99"/>
      <x:c r="I432" s="99"/>
      <x:c r="J432" s="99"/>
      <x:c r="K432" s="99"/>
      <x:c r="L432" s="99"/>
      <x:c r="M432" s="99"/>
      <x:c r="N432" s="99"/>
      <x:c r="O432" s="99"/>
      <x:c r="P432" s="99"/>
      <x:c r="Q432" s="99"/>
      <x:c r="R432" s="99"/>
      <x:c r="S432" s="99"/>
      <x:c r="T432" s="99"/>
      <x:c r="U432" s="99"/>
      <x:c r="V432" s="99"/>
      <x:c r="W432" s="99"/>
      <x:c r="X432" s="99"/>
      <x:c r="Y432" s="99"/>
      <x:c r="Z432" s="99"/>
    </x:row>
    <x:row r="433">
      <x:c r="A433" s="99"/>
      <x:c r="B433" s="99"/>
      <x:c r="C433" s="99"/>
      <x:c r="D433" s="99"/>
      <x:c r="E433" s="99"/>
      <x:c r="F433" s="99"/>
      <x:c r="G433" s="99"/>
      <x:c r="H433" s="99"/>
      <x:c r="I433" s="99"/>
      <x:c r="J433" s="99"/>
      <x:c r="K433" s="99"/>
      <x:c r="L433" s="99"/>
      <x:c r="M433" s="99"/>
      <x:c r="N433" s="99"/>
      <x:c r="O433" s="99"/>
      <x:c r="P433" s="99"/>
      <x:c r="Q433" s="99"/>
      <x:c r="R433" s="99"/>
      <x:c r="S433" s="99"/>
      <x:c r="T433" s="99"/>
      <x:c r="U433" s="99"/>
      <x:c r="V433" s="99"/>
      <x:c r="W433" s="99"/>
      <x:c r="X433" s="99"/>
      <x:c r="Y433" s="99"/>
      <x:c r="Z433" s="99"/>
    </x:row>
    <x:row r="434">
      <x:c r="A434" s="99"/>
      <x:c r="B434" s="99"/>
      <x:c r="C434" s="99"/>
      <x:c r="D434" s="99"/>
      <x:c r="E434" s="99"/>
      <x:c r="F434" s="99"/>
      <x:c r="G434" s="99"/>
      <x:c r="H434" s="99"/>
      <x:c r="I434" s="99"/>
      <x:c r="J434" s="99"/>
      <x:c r="K434" s="99"/>
      <x:c r="L434" s="99"/>
      <x:c r="M434" s="99"/>
      <x:c r="N434" s="99"/>
      <x:c r="O434" s="99"/>
      <x:c r="P434" s="99"/>
      <x:c r="Q434" s="99"/>
      <x:c r="R434" s="99"/>
      <x:c r="S434" s="99"/>
      <x:c r="T434" s="99"/>
      <x:c r="U434" s="99"/>
      <x:c r="V434" s="99"/>
      <x:c r="W434" s="99"/>
      <x:c r="X434" s="99"/>
      <x:c r="Y434" s="99"/>
      <x:c r="Z434" s="99"/>
    </x:row>
    <x:row r="435">
      <x:c r="A435" s="99"/>
      <x:c r="B435" s="99"/>
      <x:c r="C435" s="99"/>
      <x:c r="D435" s="99"/>
      <x:c r="E435" s="99"/>
      <x:c r="F435" s="99"/>
      <x:c r="G435" s="99"/>
      <x:c r="H435" s="99"/>
      <x:c r="I435" s="99"/>
      <x:c r="J435" s="99"/>
      <x:c r="K435" s="99"/>
      <x:c r="L435" s="99"/>
      <x:c r="M435" s="99"/>
      <x:c r="N435" s="99"/>
      <x:c r="O435" s="99"/>
      <x:c r="P435" s="99"/>
      <x:c r="Q435" s="99"/>
      <x:c r="R435" s="99"/>
      <x:c r="S435" s="99"/>
      <x:c r="T435" s="99"/>
      <x:c r="U435" s="99"/>
      <x:c r="V435" s="99"/>
      <x:c r="W435" s="99"/>
      <x:c r="X435" s="99"/>
      <x:c r="Y435" s="99"/>
      <x:c r="Z435" s="99"/>
    </x:row>
    <x:row r="436">
      <x:c r="A436" s="99"/>
      <x:c r="B436" s="99"/>
      <x:c r="C436" s="99"/>
      <x:c r="D436" s="99"/>
      <x:c r="E436" s="99"/>
      <x:c r="F436" s="99"/>
      <x:c r="G436" s="99"/>
      <x:c r="H436" s="99"/>
      <x:c r="I436" s="99"/>
      <x:c r="J436" s="99"/>
      <x:c r="K436" s="99"/>
      <x:c r="L436" s="99"/>
      <x:c r="M436" s="99"/>
      <x:c r="N436" s="99"/>
      <x:c r="O436" s="99"/>
      <x:c r="P436" s="99"/>
      <x:c r="Q436" s="99"/>
      <x:c r="R436" s="99"/>
      <x:c r="S436" s="99"/>
      <x:c r="T436" s="99"/>
      <x:c r="U436" s="99"/>
      <x:c r="V436" s="99"/>
      <x:c r="W436" s="99"/>
      <x:c r="X436" s="99"/>
      <x:c r="Y436" s="99"/>
      <x:c r="Z436" s="99"/>
    </x:row>
    <x:row r="437">
      <x:c r="A437" s="99"/>
      <x:c r="B437" s="99"/>
      <x:c r="C437" s="99"/>
      <x:c r="D437" s="99"/>
      <x:c r="E437" s="99"/>
      <x:c r="F437" s="99"/>
      <x:c r="G437" s="99"/>
      <x:c r="H437" s="99"/>
      <x:c r="I437" s="99"/>
      <x:c r="J437" s="99"/>
      <x:c r="K437" s="99"/>
      <x:c r="L437" s="99"/>
      <x:c r="M437" s="99"/>
      <x:c r="N437" s="99"/>
      <x:c r="O437" s="99"/>
      <x:c r="P437" s="99"/>
      <x:c r="Q437" s="99"/>
      <x:c r="R437" s="99"/>
      <x:c r="S437" s="99"/>
      <x:c r="T437" s="99"/>
      <x:c r="U437" s="99"/>
      <x:c r="V437" s="99"/>
      <x:c r="W437" s="99"/>
      <x:c r="X437" s="99"/>
      <x:c r="Y437" s="99"/>
      <x:c r="Z437" s="99"/>
    </x:row>
    <x:row r="438">
      <x:c r="A438" s="99"/>
      <x:c r="B438" s="99"/>
      <x:c r="C438" s="99"/>
      <x:c r="D438" s="99"/>
      <x:c r="E438" s="99"/>
      <x:c r="F438" s="99"/>
      <x:c r="G438" s="99"/>
      <x:c r="H438" s="99"/>
      <x:c r="I438" s="99"/>
      <x:c r="J438" s="99"/>
      <x:c r="K438" s="99"/>
      <x:c r="L438" s="99"/>
      <x:c r="M438" s="99"/>
      <x:c r="N438" s="99"/>
      <x:c r="O438" s="99"/>
      <x:c r="P438" s="99"/>
      <x:c r="Q438" s="99"/>
      <x:c r="R438" s="99"/>
      <x:c r="S438" s="99"/>
      <x:c r="T438" s="99"/>
      <x:c r="U438" s="99"/>
      <x:c r="V438" s="99"/>
      <x:c r="W438" s="99"/>
      <x:c r="X438" s="99"/>
      <x:c r="Y438" s="99"/>
      <x:c r="Z438" s="99"/>
    </x:row>
    <x:row r="439">
      <x:c r="A439" s="99"/>
      <x:c r="B439" s="99"/>
      <x:c r="C439" s="99"/>
      <x:c r="D439" s="99"/>
      <x:c r="E439" s="99"/>
      <x:c r="F439" s="99"/>
      <x:c r="G439" s="99"/>
      <x:c r="H439" s="99"/>
      <x:c r="I439" s="99"/>
      <x:c r="J439" s="99"/>
      <x:c r="K439" s="99"/>
      <x:c r="L439" s="99"/>
      <x:c r="M439" s="99"/>
      <x:c r="N439" s="99"/>
      <x:c r="O439" s="99"/>
      <x:c r="P439" s="99"/>
      <x:c r="Q439" s="99"/>
      <x:c r="R439" s="99"/>
      <x:c r="S439" s="99"/>
      <x:c r="T439" s="99"/>
      <x:c r="U439" s="99"/>
      <x:c r="V439" s="99"/>
      <x:c r="W439" s="99"/>
      <x:c r="X439" s="99"/>
      <x:c r="Y439" s="99"/>
      <x:c r="Z439" s="99"/>
    </x:row>
    <x:row r="440">
      <x:c r="A440" s="99"/>
      <x:c r="B440" s="99"/>
      <x:c r="C440" s="99"/>
      <x:c r="D440" s="99"/>
      <x:c r="E440" s="99"/>
      <x:c r="F440" s="99"/>
      <x:c r="G440" s="99"/>
      <x:c r="H440" s="99"/>
      <x:c r="I440" s="99"/>
      <x:c r="J440" s="99"/>
      <x:c r="K440" s="99"/>
      <x:c r="L440" s="99"/>
      <x:c r="M440" s="99"/>
      <x:c r="N440" s="99"/>
      <x:c r="O440" s="99"/>
      <x:c r="P440" s="99"/>
      <x:c r="Q440" s="99"/>
      <x:c r="R440" s="99"/>
      <x:c r="S440" s="99"/>
      <x:c r="T440" s="99"/>
      <x:c r="U440" s="99"/>
      <x:c r="V440" s="99"/>
      <x:c r="W440" s="99"/>
      <x:c r="X440" s="99"/>
      <x:c r="Y440" s="99"/>
      <x:c r="Z440" s="99"/>
    </x:row>
    <x:row r="441">
      <x:c r="A441" s="99"/>
      <x:c r="B441" s="99"/>
      <x:c r="C441" s="99"/>
      <x:c r="D441" s="99"/>
      <x:c r="E441" s="99"/>
      <x:c r="F441" s="99"/>
      <x:c r="G441" s="99"/>
      <x:c r="H441" s="99"/>
      <x:c r="I441" s="99"/>
      <x:c r="J441" s="99"/>
      <x:c r="K441" s="99"/>
      <x:c r="L441" s="99"/>
      <x:c r="M441" s="99"/>
      <x:c r="N441" s="99"/>
      <x:c r="O441" s="99"/>
      <x:c r="P441" s="99"/>
      <x:c r="Q441" s="99"/>
      <x:c r="R441" s="99"/>
      <x:c r="S441" s="99"/>
      <x:c r="T441" s="99"/>
      <x:c r="U441" s="99"/>
      <x:c r="V441" s="99"/>
      <x:c r="W441" s="99"/>
      <x:c r="X441" s="99"/>
      <x:c r="Y441" s="99"/>
      <x:c r="Z441" s="99"/>
    </x:row>
    <x:row r="442">
      <x:c r="A442" s="99"/>
      <x:c r="B442" s="99"/>
      <x:c r="C442" s="99"/>
      <x:c r="D442" s="99"/>
      <x:c r="E442" s="99"/>
      <x:c r="F442" s="99"/>
      <x:c r="G442" s="99"/>
      <x:c r="H442" s="99"/>
      <x:c r="I442" s="99"/>
      <x:c r="J442" s="99"/>
      <x:c r="K442" s="99"/>
      <x:c r="L442" s="99"/>
      <x:c r="M442" s="99"/>
      <x:c r="N442" s="99"/>
      <x:c r="O442" s="99"/>
      <x:c r="P442" s="99"/>
      <x:c r="Q442" s="99"/>
      <x:c r="R442" s="99"/>
      <x:c r="S442" s="99"/>
      <x:c r="T442" s="99"/>
      <x:c r="U442" s="99"/>
      <x:c r="V442" s="99"/>
      <x:c r="W442" s="99"/>
      <x:c r="X442" s="99"/>
      <x:c r="Y442" s="99"/>
      <x:c r="Z442" s="99"/>
    </x:row>
    <x:row r="443">
      <x:c r="A443" s="99"/>
      <x:c r="B443" s="99"/>
      <x:c r="C443" s="99"/>
      <x:c r="D443" s="99"/>
      <x:c r="E443" s="99"/>
      <x:c r="F443" s="99"/>
      <x:c r="G443" s="99"/>
      <x:c r="H443" s="99"/>
      <x:c r="I443" s="99"/>
      <x:c r="J443" s="99"/>
      <x:c r="K443" s="99"/>
      <x:c r="L443" s="99"/>
      <x:c r="M443" s="99"/>
      <x:c r="N443" s="99"/>
      <x:c r="O443" s="99"/>
      <x:c r="P443" s="99"/>
      <x:c r="Q443" s="99"/>
      <x:c r="R443" s="99"/>
      <x:c r="S443" s="99"/>
      <x:c r="T443" s="99"/>
      <x:c r="U443" s="99"/>
      <x:c r="V443" s="99"/>
      <x:c r="W443" s="99"/>
      <x:c r="X443" s="99"/>
      <x:c r="Y443" s="99"/>
      <x:c r="Z443" s="99"/>
    </x:row>
    <x:row r="444">
      <x:c r="A444" s="99"/>
      <x:c r="B444" s="99"/>
      <x:c r="C444" s="99"/>
      <x:c r="D444" s="99"/>
      <x:c r="E444" s="99"/>
      <x:c r="F444" s="99"/>
      <x:c r="G444" s="99"/>
      <x:c r="H444" s="99"/>
      <x:c r="I444" s="99"/>
      <x:c r="J444" s="99"/>
      <x:c r="K444" s="99"/>
      <x:c r="L444" s="99"/>
      <x:c r="M444" s="99"/>
      <x:c r="N444" s="99"/>
      <x:c r="O444" s="99"/>
      <x:c r="P444" s="99"/>
      <x:c r="Q444" s="99"/>
      <x:c r="R444" s="99"/>
      <x:c r="S444" s="99"/>
      <x:c r="T444" s="99"/>
      <x:c r="U444" s="99"/>
      <x:c r="V444" s="99"/>
      <x:c r="W444" s="99"/>
      <x:c r="X444" s="99"/>
      <x:c r="Y444" s="99"/>
      <x:c r="Z444" s="99"/>
    </x:row>
    <x:row r="445">
      <x:c r="A445" s="99"/>
      <x:c r="B445" s="99"/>
      <x:c r="C445" s="99"/>
      <x:c r="D445" s="99"/>
      <x:c r="E445" s="99"/>
      <x:c r="F445" s="99"/>
      <x:c r="G445" s="99"/>
      <x:c r="H445" s="99"/>
      <x:c r="I445" s="99"/>
      <x:c r="J445" s="99"/>
      <x:c r="K445" s="99"/>
      <x:c r="L445" s="99"/>
      <x:c r="M445" s="99"/>
      <x:c r="N445" s="99"/>
      <x:c r="O445" s="99"/>
      <x:c r="P445" s="99"/>
      <x:c r="Q445" s="99"/>
      <x:c r="R445" s="99"/>
      <x:c r="S445" s="99"/>
      <x:c r="T445" s="99"/>
      <x:c r="U445" s="99"/>
      <x:c r="V445" s="99"/>
      <x:c r="W445" s="99"/>
      <x:c r="X445" s="99"/>
      <x:c r="Y445" s="99"/>
      <x:c r="Z445" s="99"/>
    </x:row>
    <x:row r="446">
      <x:c r="A446" s="99"/>
      <x:c r="B446" s="99"/>
      <x:c r="C446" s="99"/>
      <x:c r="D446" s="99"/>
      <x:c r="E446" s="99"/>
      <x:c r="F446" s="99"/>
      <x:c r="G446" s="99"/>
      <x:c r="H446" s="99"/>
      <x:c r="I446" s="99"/>
      <x:c r="J446" s="99"/>
      <x:c r="K446" s="99"/>
      <x:c r="L446" s="99"/>
      <x:c r="M446" s="99"/>
      <x:c r="N446" s="99"/>
      <x:c r="O446" s="99"/>
      <x:c r="P446" s="99"/>
      <x:c r="Q446" s="99"/>
      <x:c r="R446" s="99"/>
      <x:c r="S446" s="99"/>
      <x:c r="T446" s="99"/>
      <x:c r="U446" s="99"/>
      <x:c r="V446" s="99"/>
      <x:c r="W446" s="99"/>
      <x:c r="X446" s="99"/>
      <x:c r="Y446" s="99"/>
      <x:c r="Z446" s="99"/>
    </x:row>
    <x:row r="447">
      <x:c r="A447" s="99"/>
      <x:c r="B447" s="99"/>
      <x:c r="C447" s="99"/>
      <x:c r="D447" s="99"/>
      <x:c r="E447" s="99"/>
      <x:c r="F447" s="99"/>
      <x:c r="G447" s="99"/>
      <x:c r="H447" s="99"/>
      <x:c r="I447" s="99"/>
      <x:c r="J447" s="99"/>
      <x:c r="K447" s="99"/>
      <x:c r="L447" s="99"/>
      <x:c r="M447" s="99"/>
      <x:c r="N447" s="99"/>
      <x:c r="O447" s="99"/>
      <x:c r="P447" s="99"/>
      <x:c r="Q447" s="99"/>
      <x:c r="R447" s="99"/>
      <x:c r="S447" s="99"/>
      <x:c r="T447" s="99"/>
      <x:c r="U447" s="99"/>
      <x:c r="V447" s="99"/>
      <x:c r="W447" s="99"/>
      <x:c r="X447" s="99"/>
      <x:c r="Y447" s="99"/>
      <x:c r="Z447" s="99"/>
    </x:row>
    <x:row r="448">
      <x:c r="A448" s="99"/>
      <x:c r="B448" s="99"/>
      <x:c r="C448" s="99"/>
      <x:c r="D448" s="99"/>
      <x:c r="E448" s="99"/>
      <x:c r="F448" s="99"/>
      <x:c r="G448" s="99"/>
      <x:c r="H448" s="99"/>
      <x:c r="I448" s="99"/>
      <x:c r="J448" s="99"/>
      <x:c r="K448" s="99"/>
      <x:c r="L448" s="99"/>
      <x:c r="M448" s="99"/>
      <x:c r="N448" s="99"/>
      <x:c r="O448" s="99"/>
      <x:c r="P448" s="99"/>
      <x:c r="Q448" s="99"/>
      <x:c r="R448" s="99"/>
      <x:c r="S448" s="99"/>
      <x:c r="T448" s="99"/>
      <x:c r="U448" s="99"/>
      <x:c r="V448" s="99"/>
      <x:c r="W448" s="99"/>
      <x:c r="X448" s="99"/>
      <x:c r="Y448" s="99"/>
      <x:c r="Z448" s="99"/>
    </x:row>
    <x:row r="449">
      <x:c r="A449" s="99"/>
      <x:c r="B449" s="99"/>
      <x:c r="C449" s="99"/>
      <x:c r="D449" s="99"/>
      <x:c r="E449" s="99"/>
      <x:c r="F449" s="99"/>
      <x:c r="G449" s="99"/>
      <x:c r="H449" s="99"/>
      <x:c r="I449" s="99"/>
      <x:c r="J449" s="99"/>
      <x:c r="K449" s="99"/>
      <x:c r="L449" s="99"/>
      <x:c r="M449" s="99"/>
      <x:c r="N449" s="99"/>
      <x:c r="O449" s="99"/>
      <x:c r="P449" s="99"/>
      <x:c r="Q449" s="99"/>
      <x:c r="R449" s="99"/>
      <x:c r="S449" s="99"/>
      <x:c r="T449" s="99"/>
      <x:c r="U449" s="99"/>
      <x:c r="V449" s="99"/>
      <x:c r="W449" s="99"/>
      <x:c r="X449" s="99"/>
      <x:c r="Y449" s="99"/>
      <x:c r="Z449" s="99"/>
    </x:row>
    <x:row r="450">
      <x:c r="A450" s="99"/>
      <x:c r="B450" s="99"/>
      <x:c r="C450" s="99"/>
      <x:c r="D450" s="99"/>
      <x:c r="E450" s="99"/>
      <x:c r="F450" s="99"/>
      <x:c r="G450" s="99"/>
      <x:c r="H450" s="99"/>
      <x:c r="I450" s="99"/>
      <x:c r="J450" s="99"/>
      <x:c r="K450" s="99"/>
      <x:c r="L450" s="99"/>
      <x:c r="M450" s="99"/>
      <x:c r="N450" s="99"/>
      <x:c r="O450" s="99"/>
      <x:c r="P450" s="99"/>
      <x:c r="Q450" s="99"/>
      <x:c r="R450" s="99"/>
      <x:c r="S450" s="99"/>
      <x:c r="T450" s="99"/>
      <x:c r="U450" s="99"/>
      <x:c r="V450" s="99"/>
      <x:c r="W450" s="99"/>
      <x:c r="X450" s="99"/>
      <x:c r="Y450" s="99"/>
      <x:c r="Z450" s="99"/>
    </x:row>
    <x:row r="451">
      <x:c r="A451" s="99"/>
      <x:c r="B451" s="99"/>
      <x:c r="C451" s="99"/>
      <x:c r="D451" s="99"/>
      <x:c r="E451" s="99"/>
      <x:c r="F451" s="99"/>
      <x:c r="G451" s="99"/>
      <x:c r="H451" s="99"/>
      <x:c r="I451" s="99"/>
      <x:c r="J451" s="99"/>
      <x:c r="K451" s="99"/>
      <x:c r="L451" s="99"/>
      <x:c r="M451" s="99"/>
      <x:c r="N451" s="99"/>
      <x:c r="O451" s="99"/>
      <x:c r="P451" s="99"/>
      <x:c r="Q451" s="99"/>
      <x:c r="R451" s="99"/>
      <x:c r="S451" s="99"/>
      <x:c r="T451" s="99"/>
      <x:c r="U451" s="99"/>
      <x:c r="V451" s="99"/>
      <x:c r="W451" s="99"/>
      <x:c r="X451" s="99"/>
      <x:c r="Y451" s="99"/>
      <x:c r="Z451" s="99"/>
    </x:row>
    <x:row r="452">
      <x:c r="A452" s="99"/>
      <x:c r="B452" s="99"/>
      <x:c r="C452" s="99"/>
      <x:c r="D452" s="99"/>
      <x:c r="E452" s="99"/>
      <x:c r="F452" s="99"/>
      <x:c r="G452" s="99"/>
      <x:c r="H452" s="99"/>
      <x:c r="I452" s="99"/>
      <x:c r="J452" s="99"/>
      <x:c r="K452" s="99"/>
      <x:c r="L452" s="99"/>
      <x:c r="M452" s="99"/>
      <x:c r="N452" s="99"/>
      <x:c r="O452" s="99"/>
      <x:c r="P452" s="99"/>
      <x:c r="Q452" s="99"/>
      <x:c r="R452" s="99"/>
      <x:c r="S452" s="99"/>
      <x:c r="T452" s="99"/>
      <x:c r="U452" s="99"/>
      <x:c r="V452" s="99"/>
      <x:c r="W452" s="99"/>
      <x:c r="X452" s="99"/>
      <x:c r="Y452" s="99"/>
      <x:c r="Z452" s="99"/>
    </x:row>
    <x:row r="453">
      <x:c r="A453" s="99"/>
      <x:c r="B453" s="99"/>
      <x:c r="C453" s="99"/>
      <x:c r="D453" s="99"/>
      <x:c r="E453" s="99"/>
      <x:c r="F453" s="99"/>
      <x:c r="G453" s="99"/>
      <x:c r="H453" s="99"/>
      <x:c r="I453" s="99"/>
      <x:c r="J453" s="99"/>
      <x:c r="K453" s="99"/>
      <x:c r="L453" s="99"/>
      <x:c r="M453" s="99"/>
      <x:c r="N453" s="99"/>
      <x:c r="O453" s="99"/>
      <x:c r="P453" s="99"/>
      <x:c r="Q453" s="99"/>
      <x:c r="R453" s="99"/>
      <x:c r="S453" s="99"/>
      <x:c r="T453" s="99"/>
      <x:c r="U453" s="99"/>
      <x:c r="V453" s="99"/>
      <x:c r="W453" s="99"/>
      <x:c r="X453" s="99"/>
      <x:c r="Y453" s="99"/>
      <x:c r="Z453" s="99"/>
    </x:row>
    <x:row r="454">
      <x:c r="A454" s="99"/>
      <x:c r="B454" s="99"/>
      <x:c r="C454" s="99"/>
      <x:c r="D454" s="99"/>
      <x:c r="E454" s="99"/>
      <x:c r="F454" s="99"/>
      <x:c r="G454" s="99"/>
      <x:c r="H454" s="99"/>
      <x:c r="I454" s="99"/>
      <x:c r="J454" s="99"/>
      <x:c r="K454" s="99"/>
      <x:c r="L454" s="99"/>
      <x:c r="M454" s="99"/>
      <x:c r="N454" s="99"/>
      <x:c r="O454" s="99"/>
      <x:c r="P454" s="99"/>
      <x:c r="Q454" s="99"/>
      <x:c r="R454" s="99"/>
      <x:c r="S454" s="99"/>
      <x:c r="T454" s="99"/>
      <x:c r="U454" s="99"/>
      <x:c r="V454" s="99"/>
      <x:c r="W454" s="99"/>
      <x:c r="X454" s="99"/>
      <x:c r="Y454" s="99"/>
      <x:c r="Z454" s="99"/>
    </x:row>
    <x:row r="455">
      <x:c r="A455" s="99"/>
      <x:c r="B455" s="99"/>
      <x:c r="C455" s="99"/>
      <x:c r="D455" s="99"/>
      <x:c r="E455" s="99"/>
      <x:c r="F455" s="99"/>
      <x:c r="G455" s="99"/>
      <x:c r="H455" s="99"/>
      <x:c r="I455" s="99"/>
      <x:c r="J455" s="99"/>
      <x:c r="K455" s="99"/>
      <x:c r="L455" s="99"/>
      <x:c r="M455" s="99"/>
      <x:c r="N455" s="99"/>
      <x:c r="O455" s="99"/>
      <x:c r="P455" s="99"/>
      <x:c r="Q455" s="99"/>
      <x:c r="R455" s="99"/>
      <x:c r="S455" s="99"/>
      <x:c r="T455" s="99"/>
      <x:c r="U455" s="99"/>
      <x:c r="V455" s="99"/>
      <x:c r="W455" s="99"/>
      <x:c r="X455" s="99"/>
      <x:c r="Y455" s="99"/>
      <x:c r="Z455" s="99"/>
    </x:row>
    <x:row r="456">
      <x:c r="A456" s="99"/>
      <x:c r="B456" s="99"/>
      <x:c r="C456" s="99"/>
      <x:c r="D456" s="99"/>
      <x:c r="E456" s="99"/>
      <x:c r="F456" s="99"/>
      <x:c r="G456" s="99"/>
      <x:c r="H456" s="99"/>
      <x:c r="I456" s="99"/>
      <x:c r="J456" s="99"/>
      <x:c r="K456" s="99"/>
      <x:c r="L456" s="99"/>
      <x:c r="M456" s="99"/>
      <x:c r="N456" s="99"/>
      <x:c r="O456" s="99"/>
      <x:c r="P456" s="99"/>
      <x:c r="Q456" s="99"/>
      <x:c r="R456" s="99"/>
      <x:c r="S456" s="99"/>
      <x:c r="T456" s="99"/>
      <x:c r="U456" s="99"/>
      <x:c r="V456" s="99"/>
      <x:c r="W456" s="99"/>
      <x:c r="X456" s="99"/>
      <x:c r="Y456" s="99"/>
      <x:c r="Z456" s="99"/>
    </x:row>
    <x:row r="457">
      <x:c r="A457" s="99"/>
      <x:c r="B457" s="99"/>
      <x:c r="C457" s="99"/>
      <x:c r="D457" s="99"/>
      <x:c r="E457" s="99"/>
      <x:c r="F457" s="99"/>
      <x:c r="G457" s="99"/>
      <x:c r="H457" s="99"/>
      <x:c r="I457" s="99"/>
      <x:c r="J457" s="99"/>
      <x:c r="K457" s="99"/>
      <x:c r="L457" s="99"/>
      <x:c r="M457" s="99"/>
      <x:c r="N457" s="99"/>
      <x:c r="O457" s="99"/>
      <x:c r="P457" s="99"/>
      <x:c r="Q457" s="99"/>
      <x:c r="R457" s="99"/>
      <x:c r="S457" s="99"/>
      <x:c r="T457" s="99"/>
      <x:c r="U457" s="99"/>
      <x:c r="V457" s="99"/>
      <x:c r="W457" s="99"/>
      <x:c r="X457" s="99"/>
      <x:c r="Y457" s="99"/>
      <x:c r="Z457" s="99"/>
    </x:row>
    <x:row r="458">
      <x:c r="A458" s="99"/>
      <x:c r="B458" s="99"/>
      <x:c r="C458" s="99"/>
      <x:c r="D458" s="99"/>
      <x:c r="E458" s="99"/>
      <x:c r="F458" s="99"/>
      <x:c r="G458" s="99"/>
      <x:c r="H458" s="99"/>
      <x:c r="I458" s="99"/>
      <x:c r="J458" s="99"/>
      <x:c r="K458" s="99"/>
      <x:c r="L458" s="99"/>
      <x:c r="M458" s="99"/>
      <x:c r="N458" s="99"/>
      <x:c r="O458" s="99"/>
      <x:c r="P458" s="99"/>
      <x:c r="Q458" s="99"/>
      <x:c r="R458" s="99"/>
      <x:c r="S458" s="99"/>
      <x:c r="T458" s="99"/>
      <x:c r="U458" s="99"/>
      <x:c r="V458" s="99"/>
      <x:c r="W458" s="99"/>
      <x:c r="X458" s="99"/>
      <x:c r="Y458" s="99"/>
      <x:c r="Z458" s="99"/>
    </x:row>
    <x:row r="459">
      <x:c r="A459" s="99"/>
      <x:c r="B459" s="99"/>
      <x:c r="C459" s="99"/>
      <x:c r="D459" s="99"/>
      <x:c r="E459" s="99"/>
      <x:c r="F459" s="99"/>
      <x:c r="G459" s="99"/>
      <x:c r="H459" s="99"/>
      <x:c r="I459" s="99"/>
      <x:c r="J459" s="99"/>
      <x:c r="K459" s="99"/>
      <x:c r="L459" s="99"/>
      <x:c r="M459" s="99"/>
      <x:c r="N459" s="99"/>
      <x:c r="O459" s="99"/>
      <x:c r="P459" s="99"/>
      <x:c r="Q459" s="99"/>
      <x:c r="R459" s="99"/>
      <x:c r="S459" s="99"/>
      <x:c r="T459" s="99"/>
      <x:c r="U459" s="99"/>
      <x:c r="V459" s="99"/>
      <x:c r="W459" s="99"/>
      <x:c r="X459" s="99"/>
      <x:c r="Y459" s="99"/>
      <x:c r="Z459" s="99"/>
    </x:row>
    <x:row r="460">
      <x:c r="A460" s="99"/>
      <x:c r="B460" s="99"/>
      <x:c r="C460" s="99"/>
      <x:c r="D460" s="99"/>
      <x:c r="E460" s="99"/>
      <x:c r="F460" s="99"/>
      <x:c r="G460" s="99"/>
      <x:c r="H460" s="99"/>
      <x:c r="I460" s="99"/>
      <x:c r="J460" s="99"/>
      <x:c r="K460" s="99"/>
      <x:c r="L460" s="99"/>
      <x:c r="M460" s="99"/>
      <x:c r="N460" s="99"/>
      <x:c r="O460" s="99"/>
      <x:c r="P460" s="99"/>
      <x:c r="Q460" s="99"/>
      <x:c r="R460" s="99"/>
      <x:c r="S460" s="99"/>
      <x:c r="T460" s="99"/>
      <x:c r="U460" s="99"/>
      <x:c r="V460" s="99"/>
      <x:c r="W460" s="99"/>
      <x:c r="X460" s="99"/>
      <x:c r="Y460" s="99"/>
      <x:c r="Z460" s="99"/>
    </x:row>
    <x:row r="461">
      <x:c r="A461" s="99"/>
      <x:c r="B461" s="99"/>
      <x:c r="C461" s="99"/>
      <x:c r="D461" s="99"/>
      <x:c r="E461" s="99"/>
      <x:c r="F461" s="99"/>
      <x:c r="G461" s="99"/>
      <x:c r="H461" s="99"/>
      <x:c r="I461" s="99"/>
      <x:c r="J461" s="99"/>
      <x:c r="K461" s="99"/>
      <x:c r="L461" s="99"/>
      <x:c r="M461" s="99"/>
      <x:c r="N461" s="99"/>
      <x:c r="O461" s="99"/>
      <x:c r="P461" s="99"/>
      <x:c r="Q461" s="99"/>
      <x:c r="R461" s="99"/>
      <x:c r="S461" s="99"/>
      <x:c r="T461" s="99"/>
      <x:c r="U461" s="99"/>
      <x:c r="V461" s="99"/>
      <x:c r="W461" s="99"/>
      <x:c r="X461" s="99"/>
      <x:c r="Y461" s="99"/>
      <x:c r="Z461" s="99"/>
    </x:row>
    <x:row r="462">
      <x:c r="A462" s="99"/>
      <x:c r="B462" s="99"/>
      <x:c r="C462" s="99"/>
      <x:c r="D462" s="99"/>
      <x:c r="E462" s="99"/>
      <x:c r="F462" s="99"/>
      <x:c r="G462" s="99"/>
      <x:c r="H462" s="99"/>
      <x:c r="I462" s="99"/>
      <x:c r="J462" s="99"/>
      <x:c r="K462" s="99"/>
      <x:c r="L462" s="99"/>
      <x:c r="M462" s="99"/>
      <x:c r="N462" s="99"/>
      <x:c r="O462" s="99"/>
      <x:c r="P462" s="99"/>
      <x:c r="Q462" s="99"/>
      <x:c r="R462" s="99"/>
      <x:c r="S462" s="99"/>
      <x:c r="T462" s="99"/>
      <x:c r="U462" s="99"/>
      <x:c r="V462" s="99"/>
      <x:c r="W462" s="99"/>
      <x:c r="X462" s="99"/>
      <x:c r="Y462" s="99"/>
      <x:c r="Z462" s="99"/>
    </x:row>
    <x:row r="463">
      <x:c r="A463" s="99"/>
      <x:c r="B463" s="99"/>
      <x:c r="C463" s="99"/>
      <x:c r="D463" s="99"/>
      <x:c r="E463" s="99"/>
      <x:c r="F463" s="99"/>
      <x:c r="G463" s="99"/>
      <x:c r="H463" s="99"/>
      <x:c r="I463" s="99"/>
      <x:c r="J463" s="99"/>
      <x:c r="K463" s="99"/>
      <x:c r="L463" s="99"/>
      <x:c r="M463" s="99"/>
      <x:c r="N463" s="99"/>
      <x:c r="O463" s="99"/>
      <x:c r="P463" s="99"/>
      <x:c r="Q463" s="99"/>
      <x:c r="R463" s="99"/>
      <x:c r="S463" s="99"/>
      <x:c r="T463" s="99"/>
      <x:c r="U463" s="99"/>
      <x:c r="V463" s="99"/>
      <x:c r="W463" s="99"/>
      <x:c r="X463" s="99"/>
      <x:c r="Y463" s="99"/>
      <x:c r="Z463" s="99"/>
    </x:row>
    <x:row r="464">
      <x:c r="A464" s="99"/>
      <x:c r="B464" s="99"/>
      <x:c r="C464" s="99"/>
      <x:c r="D464" s="99"/>
      <x:c r="E464" s="99"/>
      <x:c r="F464" s="99"/>
      <x:c r="G464" s="99"/>
      <x:c r="H464" s="99"/>
      <x:c r="I464" s="99"/>
      <x:c r="J464" s="99"/>
      <x:c r="K464" s="99"/>
      <x:c r="L464" s="99"/>
      <x:c r="M464" s="99"/>
      <x:c r="N464" s="99"/>
      <x:c r="O464" s="99"/>
      <x:c r="P464" s="99"/>
      <x:c r="Q464" s="99"/>
      <x:c r="R464" s="99"/>
      <x:c r="S464" s="99"/>
      <x:c r="T464" s="99"/>
      <x:c r="U464" s="99"/>
      <x:c r="V464" s="99"/>
      <x:c r="W464" s="99"/>
      <x:c r="X464" s="99"/>
      <x:c r="Y464" s="99"/>
      <x:c r="Z464" s="99"/>
    </x:row>
    <x:row r="465">
      <x:c r="A465" s="99"/>
      <x:c r="B465" s="99"/>
      <x:c r="C465" s="99"/>
      <x:c r="D465" s="99"/>
      <x:c r="E465" s="99"/>
      <x:c r="F465" s="99"/>
      <x:c r="G465" s="99"/>
      <x:c r="H465" s="99"/>
      <x:c r="I465" s="99"/>
      <x:c r="J465" s="99"/>
      <x:c r="K465" s="99"/>
      <x:c r="L465" s="99"/>
      <x:c r="M465" s="99"/>
      <x:c r="N465" s="99"/>
      <x:c r="O465" s="99"/>
      <x:c r="P465" s="99"/>
      <x:c r="Q465" s="99"/>
      <x:c r="R465" s="99"/>
      <x:c r="S465" s="99"/>
      <x:c r="T465" s="99"/>
      <x:c r="U465" s="99"/>
      <x:c r="V465" s="99"/>
      <x:c r="W465" s="99"/>
      <x:c r="X465" s="99"/>
      <x:c r="Y465" s="99"/>
      <x:c r="Z465" s="99"/>
    </x:row>
    <x:row r="466">
      <x:c r="A466" s="99"/>
      <x:c r="B466" s="99"/>
      <x:c r="C466" s="99"/>
      <x:c r="D466" s="99"/>
      <x:c r="E466" s="99"/>
      <x:c r="F466" s="99"/>
      <x:c r="G466" s="99"/>
      <x:c r="H466" s="99"/>
      <x:c r="I466" s="99"/>
      <x:c r="J466" s="99"/>
      <x:c r="K466" s="99"/>
      <x:c r="L466" s="99"/>
      <x:c r="M466" s="99"/>
      <x:c r="N466" s="99"/>
      <x:c r="O466" s="99"/>
      <x:c r="P466" s="99"/>
      <x:c r="Q466" s="99"/>
      <x:c r="R466" s="99"/>
      <x:c r="S466" s="99"/>
      <x:c r="T466" s="99"/>
      <x:c r="U466" s="99"/>
      <x:c r="V466" s="99"/>
      <x:c r="W466" s="99"/>
      <x:c r="X466" s="99"/>
      <x:c r="Y466" s="99"/>
      <x:c r="Z466" s="99"/>
    </x:row>
    <x:row r="467">
      <x:c r="A467" s="99"/>
      <x:c r="B467" s="99"/>
      <x:c r="C467" s="99"/>
      <x:c r="D467" s="99"/>
      <x:c r="E467" s="99"/>
      <x:c r="F467" s="99"/>
      <x:c r="G467" s="99"/>
      <x:c r="H467" s="99"/>
      <x:c r="I467" s="99"/>
      <x:c r="J467" s="99"/>
      <x:c r="K467" s="99"/>
      <x:c r="L467" s="99"/>
      <x:c r="M467" s="99"/>
      <x:c r="N467" s="99"/>
      <x:c r="O467" s="99"/>
      <x:c r="P467" s="99"/>
      <x:c r="Q467" s="99"/>
      <x:c r="R467" s="99"/>
      <x:c r="S467" s="99"/>
      <x:c r="T467" s="99"/>
      <x:c r="U467" s="99"/>
      <x:c r="V467" s="99"/>
      <x:c r="W467" s="99"/>
      <x:c r="X467" s="99"/>
      <x:c r="Y467" s="99"/>
      <x:c r="Z467" s="99"/>
    </x:row>
    <x:row r="468">
      <x:c r="A468" s="99"/>
      <x:c r="B468" s="99"/>
      <x:c r="C468" s="99"/>
      <x:c r="D468" s="99"/>
      <x:c r="E468" s="99"/>
      <x:c r="F468" s="99"/>
      <x:c r="G468" s="99"/>
      <x:c r="H468" s="99"/>
      <x:c r="I468" s="99"/>
      <x:c r="J468" s="99"/>
      <x:c r="K468" s="99"/>
      <x:c r="L468" s="99"/>
      <x:c r="M468" s="99"/>
      <x:c r="N468" s="99"/>
      <x:c r="O468" s="99"/>
      <x:c r="P468" s="99"/>
      <x:c r="Q468" s="99"/>
      <x:c r="R468" s="99"/>
      <x:c r="S468" s="99"/>
      <x:c r="T468" s="99"/>
      <x:c r="U468" s="99"/>
      <x:c r="V468" s="99"/>
      <x:c r="W468" s="99"/>
      <x:c r="X468" s="99"/>
      <x:c r="Y468" s="99"/>
      <x:c r="Z468" s="99"/>
    </x:row>
    <x:row r="469">
      <x:c r="A469" s="99"/>
      <x:c r="B469" s="99"/>
      <x:c r="C469" s="99"/>
      <x:c r="D469" s="99"/>
      <x:c r="E469" s="99"/>
      <x:c r="F469" s="99"/>
      <x:c r="G469" s="99"/>
      <x:c r="H469" s="99"/>
      <x:c r="I469" s="99"/>
      <x:c r="J469" s="99"/>
      <x:c r="K469" s="99"/>
      <x:c r="L469" s="99"/>
      <x:c r="M469" s="99"/>
      <x:c r="N469" s="99"/>
      <x:c r="O469" s="99"/>
      <x:c r="P469" s="99"/>
      <x:c r="Q469" s="99"/>
      <x:c r="R469" s="99"/>
      <x:c r="S469" s="99"/>
      <x:c r="T469" s="99"/>
      <x:c r="U469" s="99"/>
      <x:c r="V469" s="99"/>
      <x:c r="W469" s="99"/>
      <x:c r="X469" s="99"/>
      <x:c r="Y469" s="99"/>
      <x:c r="Z469" s="99"/>
    </x:row>
    <x:row r="470">
      <x:c r="A470" s="99"/>
      <x:c r="B470" s="99"/>
      <x:c r="C470" s="99"/>
      <x:c r="D470" s="99"/>
      <x:c r="E470" s="99"/>
      <x:c r="F470" s="99"/>
      <x:c r="G470" s="99"/>
      <x:c r="H470" s="99"/>
      <x:c r="I470" s="99"/>
      <x:c r="J470" s="99"/>
      <x:c r="K470" s="99"/>
      <x:c r="L470" s="99"/>
      <x:c r="M470" s="99"/>
      <x:c r="N470" s="99"/>
      <x:c r="O470" s="99"/>
      <x:c r="P470" s="99"/>
      <x:c r="Q470" s="99"/>
      <x:c r="R470" s="99"/>
      <x:c r="S470" s="99"/>
      <x:c r="T470" s="99"/>
      <x:c r="U470" s="99"/>
      <x:c r="V470" s="99"/>
      <x:c r="W470" s="99"/>
      <x:c r="X470" s="99"/>
      <x:c r="Y470" s="99"/>
      <x:c r="Z470" s="99"/>
    </x:row>
    <x:row r="471">
      <x:c r="A471" s="99"/>
      <x:c r="B471" s="99"/>
      <x:c r="C471" s="99"/>
      <x:c r="D471" s="99"/>
      <x:c r="E471" s="99"/>
      <x:c r="F471" s="99"/>
      <x:c r="G471" s="99"/>
      <x:c r="H471" s="99"/>
      <x:c r="I471" s="99"/>
      <x:c r="J471" s="99"/>
      <x:c r="K471" s="99"/>
      <x:c r="L471" s="99"/>
      <x:c r="M471" s="99"/>
      <x:c r="N471" s="99"/>
      <x:c r="O471" s="99"/>
      <x:c r="P471" s="99"/>
      <x:c r="Q471" s="99"/>
      <x:c r="R471" s="99"/>
      <x:c r="S471" s="99"/>
      <x:c r="T471" s="99"/>
      <x:c r="U471" s="99"/>
      <x:c r="V471" s="99"/>
      <x:c r="W471" s="99"/>
      <x:c r="X471" s="99"/>
      <x:c r="Y471" s="99"/>
      <x:c r="Z471" s="99"/>
    </x:row>
    <x:row r="472">
      <x:c r="A472" s="99"/>
      <x:c r="B472" s="99"/>
      <x:c r="C472" s="99"/>
      <x:c r="D472" s="99"/>
      <x:c r="E472" s="99"/>
      <x:c r="F472" s="99"/>
      <x:c r="G472" s="99"/>
      <x:c r="H472" s="99"/>
      <x:c r="I472" s="99"/>
      <x:c r="J472" s="99"/>
      <x:c r="K472" s="99"/>
      <x:c r="L472" s="99"/>
      <x:c r="M472" s="99"/>
      <x:c r="N472" s="99"/>
      <x:c r="O472" s="99"/>
      <x:c r="P472" s="99"/>
      <x:c r="Q472" s="99"/>
      <x:c r="R472" s="99"/>
      <x:c r="S472" s="99"/>
      <x:c r="T472" s="99"/>
      <x:c r="U472" s="99"/>
      <x:c r="V472" s="99"/>
      <x:c r="W472" s="99"/>
      <x:c r="X472" s="99"/>
      <x:c r="Y472" s="99"/>
      <x:c r="Z472" s="99"/>
    </x:row>
    <x:row r="473">
      <x:c r="A473" s="99"/>
      <x:c r="B473" s="99"/>
      <x:c r="C473" s="99"/>
      <x:c r="D473" s="99"/>
      <x:c r="E473" s="99"/>
      <x:c r="F473" s="99"/>
      <x:c r="G473" s="99"/>
      <x:c r="H473" s="99"/>
      <x:c r="I473" s="99"/>
      <x:c r="J473" s="99"/>
      <x:c r="K473" s="99"/>
      <x:c r="L473" s="99"/>
      <x:c r="M473" s="99"/>
      <x:c r="N473" s="99"/>
      <x:c r="O473" s="99"/>
      <x:c r="P473" s="99"/>
      <x:c r="Q473" s="99"/>
      <x:c r="R473" s="99"/>
      <x:c r="S473" s="99"/>
      <x:c r="T473" s="99"/>
      <x:c r="U473" s="99"/>
      <x:c r="V473" s="99"/>
      <x:c r="W473" s="99"/>
      <x:c r="X473" s="99"/>
      <x:c r="Y473" s="99"/>
      <x:c r="Z473" s="99"/>
    </x:row>
    <x:row r="474">
      <x:c r="A474" s="99"/>
      <x:c r="B474" s="99"/>
      <x:c r="C474" s="99"/>
      <x:c r="D474" s="99"/>
      <x:c r="E474" s="99"/>
      <x:c r="F474" s="99"/>
      <x:c r="G474" s="99"/>
      <x:c r="H474" s="99"/>
      <x:c r="I474" s="99"/>
      <x:c r="J474" s="99"/>
      <x:c r="K474" s="99"/>
      <x:c r="L474" s="99"/>
      <x:c r="M474" s="99"/>
      <x:c r="N474" s="99"/>
      <x:c r="O474" s="99"/>
      <x:c r="P474" s="99"/>
      <x:c r="Q474" s="99"/>
      <x:c r="R474" s="99"/>
      <x:c r="S474" s="99"/>
      <x:c r="T474" s="99"/>
      <x:c r="U474" s="99"/>
      <x:c r="V474" s="99"/>
      <x:c r="W474" s="99"/>
      <x:c r="X474" s="99"/>
      <x:c r="Y474" s="99"/>
      <x:c r="Z474" s="99"/>
    </x:row>
    <x:row r="475">
      <x:c r="A475" s="99"/>
      <x:c r="B475" s="99"/>
      <x:c r="C475" s="99"/>
      <x:c r="D475" s="99"/>
      <x:c r="E475" s="99"/>
      <x:c r="F475" s="99"/>
      <x:c r="G475" s="99"/>
      <x:c r="H475" s="99"/>
      <x:c r="I475" s="99"/>
      <x:c r="J475" s="99"/>
      <x:c r="K475" s="99"/>
      <x:c r="L475" s="99"/>
      <x:c r="M475" s="99"/>
      <x:c r="N475" s="99"/>
      <x:c r="O475" s="99"/>
      <x:c r="P475" s="99"/>
      <x:c r="Q475" s="99"/>
      <x:c r="R475" s="99"/>
      <x:c r="S475" s="99"/>
      <x:c r="T475" s="99"/>
      <x:c r="U475" s="99"/>
      <x:c r="V475" s="99"/>
      <x:c r="W475" s="99"/>
      <x:c r="X475" s="99"/>
      <x:c r="Y475" s="99"/>
      <x:c r="Z475" s="99"/>
    </x:row>
    <x:row r="476">
      <x:c r="A476" s="99"/>
      <x:c r="B476" s="99"/>
      <x:c r="C476" s="99"/>
      <x:c r="D476" s="99"/>
      <x:c r="E476" s="99"/>
      <x:c r="F476" s="99"/>
      <x:c r="G476" s="99"/>
      <x:c r="H476" s="99"/>
      <x:c r="I476" s="99"/>
      <x:c r="J476" s="99"/>
      <x:c r="K476" s="99"/>
      <x:c r="L476" s="99"/>
      <x:c r="M476" s="99"/>
      <x:c r="N476" s="99"/>
      <x:c r="O476" s="99"/>
      <x:c r="P476" s="99"/>
      <x:c r="Q476" s="99"/>
      <x:c r="R476" s="99"/>
      <x:c r="S476" s="99"/>
      <x:c r="T476" s="99"/>
      <x:c r="U476" s="99"/>
      <x:c r="V476" s="99"/>
      <x:c r="W476" s="99"/>
      <x:c r="X476" s="99"/>
      <x:c r="Y476" s="99"/>
      <x:c r="Z476" s="99"/>
    </x:row>
    <x:row r="477">
      <x:c r="A477" s="99"/>
      <x:c r="B477" s="99"/>
      <x:c r="C477" s="99"/>
      <x:c r="D477" s="99"/>
      <x:c r="E477" s="99"/>
      <x:c r="F477" s="99"/>
      <x:c r="G477" s="99"/>
      <x:c r="H477" s="99"/>
      <x:c r="I477" s="99"/>
      <x:c r="J477" s="99"/>
      <x:c r="K477" s="99"/>
      <x:c r="L477" s="99"/>
      <x:c r="M477" s="99"/>
      <x:c r="N477" s="99"/>
      <x:c r="O477" s="99"/>
      <x:c r="P477" s="99"/>
      <x:c r="Q477" s="99"/>
      <x:c r="R477" s="99"/>
      <x:c r="S477" s="99"/>
      <x:c r="T477" s="99"/>
      <x:c r="U477" s="99"/>
      <x:c r="V477" s="99"/>
      <x:c r="W477" s="99"/>
      <x:c r="X477" s="99"/>
      <x:c r="Y477" s="99"/>
      <x:c r="Z477" s="99"/>
    </x:row>
    <x:row r="478">
      <x:c r="A478" s="99"/>
      <x:c r="B478" s="99"/>
      <x:c r="C478" s="99"/>
      <x:c r="D478" s="99"/>
      <x:c r="E478" s="99"/>
      <x:c r="F478" s="99"/>
      <x:c r="G478" s="99"/>
      <x:c r="H478" s="99"/>
      <x:c r="I478" s="99"/>
      <x:c r="J478" s="99"/>
      <x:c r="K478" s="99"/>
      <x:c r="L478" s="99"/>
      <x:c r="M478" s="99"/>
      <x:c r="N478" s="99"/>
      <x:c r="O478" s="99"/>
      <x:c r="P478" s="99"/>
      <x:c r="Q478" s="99"/>
      <x:c r="R478" s="99"/>
      <x:c r="S478" s="99"/>
      <x:c r="T478" s="99"/>
      <x:c r="U478" s="99"/>
      <x:c r="V478" s="99"/>
      <x:c r="W478" s="99"/>
      <x:c r="X478" s="99"/>
      <x:c r="Y478" s="99"/>
      <x:c r="Z478" s="99"/>
    </x:row>
    <x:row r="479">
      <x:c r="A479" s="99"/>
      <x:c r="B479" s="99"/>
      <x:c r="C479" s="99"/>
      <x:c r="D479" s="99"/>
      <x:c r="E479" s="99"/>
      <x:c r="F479" s="99"/>
      <x:c r="G479" s="99"/>
      <x:c r="H479" s="99"/>
      <x:c r="I479" s="99"/>
      <x:c r="J479" s="99"/>
      <x:c r="K479" s="99"/>
      <x:c r="L479" s="99"/>
      <x:c r="M479" s="99"/>
      <x:c r="N479" s="99"/>
      <x:c r="O479" s="99"/>
      <x:c r="P479" s="99"/>
      <x:c r="Q479" s="99"/>
      <x:c r="R479" s="99"/>
      <x:c r="S479" s="99"/>
      <x:c r="T479" s="99"/>
      <x:c r="U479" s="99"/>
      <x:c r="V479" s="99"/>
      <x:c r="W479" s="99"/>
      <x:c r="X479" s="99"/>
      <x:c r="Y479" s="99"/>
      <x:c r="Z479" s="99"/>
    </x:row>
    <x:row r="480">
      <x:c r="A480" s="99"/>
      <x:c r="B480" s="99"/>
      <x:c r="C480" s="99"/>
      <x:c r="D480" s="99"/>
      <x:c r="E480" s="99"/>
      <x:c r="F480" s="99"/>
      <x:c r="G480" s="99"/>
      <x:c r="H480" s="99"/>
      <x:c r="I480" s="99"/>
      <x:c r="J480" s="99"/>
      <x:c r="K480" s="99"/>
      <x:c r="L480" s="99"/>
      <x:c r="M480" s="99"/>
      <x:c r="N480" s="99"/>
      <x:c r="O480" s="99"/>
      <x:c r="P480" s="99"/>
      <x:c r="Q480" s="99"/>
      <x:c r="R480" s="99"/>
      <x:c r="S480" s="99"/>
      <x:c r="T480" s="99"/>
      <x:c r="U480" s="99"/>
      <x:c r="V480" s="99"/>
      <x:c r="W480" s="99"/>
      <x:c r="X480" s="99"/>
      <x:c r="Y480" s="99"/>
      <x:c r="Z480" s="99"/>
    </x:row>
    <x:row r="481">
      <x:c r="A481" s="99"/>
      <x:c r="B481" s="99"/>
      <x:c r="C481" s="99"/>
      <x:c r="D481" s="99"/>
      <x:c r="E481" s="99"/>
      <x:c r="F481" s="99"/>
      <x:c r="G481" s="99"/>
      <x:c r="H481" s="99"/>
      <x:c r="I481" s="99"/>
      <x:c r="J481" s="99"/>
      <x:c r="K481" s="99"/>
      <x:c r="L481" s="99"/>
      <x:c r="M481" s="99"/>
      <x:c r="N481" s="99"/>
      <x:c r="O481" s="99"/>
      <x:c r="P481" s="99"/>
      <x:c r="Q481" s="99"/>
      <x:c r="R481" s="99"/>
      <x:c r="S481" s="99"/>
      <x:c r="T481" s="99"/>
      <x:c r="U481" s="99"/>
      <x:c r="V481" s="99"/>
      <x:c r="W481" s="99"/>
      <x:c r="X481" s="99"/>
      <x:c r="Y481" s="99"/>
      <x:c r="Z481" s="99"/>
    </x:row>
    <x:row r="482">
      <x:c r="A482" s="99"/>
      <x:c r="B482" s="99"/>
      <x:c r="C482" s="99"/>
      <x:c r="D482" s="99"/>
      <x:c r="E482" s="99"/>
      <x:c r="F482" s="99"/>
      <x:c r="G482" s="99"/>
      <x:c r="H482" s="99"/>
      <x:c r="I482" s="99"/>
      <x:c r="J482" s="99"/>
      <x:c r="K482" s="99"/>
      <x:c r="L482" s="99"/>
      <x:c r="M482" s="99"/>
      <x:c r="N482" s="99"/>
      <x:c r="O482" s="99"/>
      <x:c r="P482" s="99"/>
      <x:c r="Q482" s="99"/>
      <x:c r="R482" s="99"/>
      <x:c r="S482" s="99"/>
      <x:c r="T482" s="99"/>
      <x:c r="U482" s="99"/>
      <x:c r="V482" s="99"/>
      <x:c r="W482" s="99"/>
      <x:c r="X482" s="99"/>
      <x:c r="Y482" s="99"/>
      <x:c r="Z482" s="99"/>
    </x:row>
    <x:row r="483">
      <x:c r="A483" s="99"/>
      <x:c r="B483" s="99"/>
      <x:c r="C483" s="99"/>
      <x:c r="D483" s="99"/>
      <x:c r="E483" s="99"/>
      <x:c r="F483" s="99"/>
      <x:c r="G483" s="99"/>
      <x:c r="H483" s="99"/>
      <x:c r="I483" s="99"/>
      <x:c r="J483" s="99"/>
      <x:c r="K483" s="99"/>
      <x:c r="L483" s="99"/>
      <x:c r="M483" s="99"/>
      <x:c r="N483" s="99"/>
      <x:c r="O483" s="99"/>
      <x:c r="P483" s="99"/>
      <x:c r="Q483" s="99"/>
      <x:c r="R483" s="99"/>
      <x:c r="S483" s="99"/>
      <x:c r="T483" s="99"/>
      <x:c r="U483" s="99"/>
      <x:c r="V483" s="99"/>
      <x:c r="W483" s="99"/>
      <x:c r="X483" s="99"/>
      <x:c r="Y483" s="99"/>
      <x:c r="Z483" s="99"/>
    </x:row>
    <x:row r="484">
      <x:c r="A484" s="99"/>
      <x:c r="B484" s="99"/>
      <x:c r="C484" s="99"/>
      <x:c r="D484" s="99"/>
      <x:c r="E484" s="99"/>
      <x:c r="F484" s="99"/>
      <x:c r="G484" s="99"/>
      <x:c r="H484" s="99"/>
      <x:c r="I484" s="99"/>
      <x:c r="J484" s="99"/>
      <x:c r="K484" s="99"/>
      <x:c r="L484" s="99"/>
      <x:c r="M484" s="99"/>
      <x:c r="N484" s="99"/>
      <x:c r="O484" s="99"/>
      <x:c r="P484" s="99"/>
      <x:c r="Q484" s="99"/>
      <x:c r="R484" s="99"/>
      <x:c r="S484" s="99"/>
      <x:c r="T484" s="99"/>
      <x:c r="U484" s="99"/>
      <x:c r="V484" s="99"/>
      <x:c r="W484" s="99"/>
      <x:c r="X484" s="99"/>
      <x:c r="Y484" s="99"/>
      <x:c r="Z484" s="99"/>
    </x:row>
    <x:row r="485">
      <x:c r="A485" s="99"/>
      <x:c r="B485" s="99"/>
      <x:c r="C485" s="99"/>
      <x:c r="D485" s="99"/>
      <x:c r="E485" s="99"/>
      <x:c r="F485" s="99"/>
      <x:c r="G485" s="99"/>
      <x:c r="H485" s="99"/>
      <x:c r="I485" s="99"/>
      <x:c r="J485" s="99"/>
      <x:c r="K485" s="99"/>
      <x:c r="L485" s="99"/>
      <x:c r="M485" s="99"/>
      <x:c r="N485" s="99"/>
      <x:c r="O485" s="99"/>
      <x:c r="P485" s="99"/>
      <x:c r="Q485" s="99"/>
      <x:c r="R485" s="99"/>
      <x:c r="S485" s="99"/>
      <x:c r="T485" s="99"/>
      <x:c r="U485" s="99"/>
      <x:c r="V485" s="99"/>
      <x:c r="W485" s="99"/>
      <x:c r="X485" s="99"/>
      <x:c r="Y485" s="99"/>
      <x:c r="Z485" s="99"/>
    </x:row>
    <x:row r="486">
      <x:c r="A486" s="99"/>
      <x:c r="B486" s="99"/>
      <x:c r="C486" s="99"/>
      <x:c r="D486" s="99"/>
      <x:c r="E486" s="99"/>
      <x:c r="F486" s="99"/>
      <x:c r="G486" s="99"/>
      <x:c r="H486" s="99"/>
      <x:c r="I486" s="99"/>
      <x:c r="J486" s="99"/>
      <x:c r="K486" s="99"/>
      <x:c r="L486" s="99"/>
      <x:c r="M486" s="99"/>
      <x:c r="N486" s="99"/>
      <x:c r="O486" s="99"/>
      <x:c r="P486" s="99"/>
      <x:c r="Q486" s="99"/>
      <x:c r="R486" s="99"/>
      <x:c r="S486" s="99"/>
      <x:c r="T486" s="99"/>
      <x:c r="U486" s="99"/>
      <x:c r="V486" s="99"/>
      <x:c r="W486" s="99"/>
      <x:c r="X486" s="99"/>
      <x:c r="Y486" s="99"/>
      <x:c r="Z486" s="99"/>
    </x:row>
    <x:row r="487">
      <x:c r="A487" s="99"/>
      <x:c r="B487" s="99"/>
      <x:c r="C487" s="99"/>
      <x:c r="D487" s="99"/>
      <x:c r="E487" s="99"/>
      <x:c r="F487" s="99"/>
      <x:c r="G487" s="99"/>
      <x:c r="H487" s="99"/>
      <x:c r="I487" s="99"/>
      <x:c r="J487" s="99"/>
      <x:c r="K487" s="99"/>
      <x:c r="L487" s="99"/>
      <x:c r="M487" s="99"/>
      <x:c r="N487" s="99"/>
      <x:c r="O487" s="99"/>
      <x:c r="P487" s="99"/>
      <x:c r="Q487" s="99"/>
      <x:c r="R487" s="99"/>
      <x:c r="S487" s="99"/>
      <x:c r="T487" s="99"/>
      <x:c r="U487" s="99"/>
      <x:c r="V487" s="99"/>
      <x:c r="W487" s="99"/>
      <x:c r="X487" s="99"/>
      <x:c r="Y487" s="99"/>
      <x:c r="Z487" s="99"/>
    </x:row>
    <x:row r="488">
      <x:c r="A488" s="99"/>
      <x:c r="B488" s="99"/>
      <x:c r="C488" s="99"/>
      <x:c r="D488" s="99"/>
      <x:c r="E488" s="99"/>
      <x:c r="F488" s="99"/>
      <x:c r="G488" s="99"/>
      <x:c r="H488" s="99"/>
      <x:c r="I488" s="99"/>
      <x:c r="J488" s="99"/>
      <x:c r="K488" s="99"/>
      <x:c r="L488" s="99"/>
      <x:c r="M488" s="99"/>
      <x:c r="N488" s="99"/>
      <x:c r="O488" s="99"/>
      <x:c r="P488" s="99"/>
      <x:c r="Q488" s="99"/>
      <x:c r="R488" s="99"/>
      <x:c r="S488" s="99"/>
      <x:c r="T488" s="99"/>
      <x:c r="U488" s="99"/>
      <x:c r="V488" s="99"/>
      <x:c r="W488" s="99"/>
      <x:c r="X488" s="99"/>
      <x:c r="Y488" s="99"/>
      <x:c r="Z488" s="99"/>
    </x:row>
    <x:row r="489">
      <x:c r="A489" s="99"/>
      <x:c r="B489" s="99"/>
      <x:c r="C489" s="99"/>
      <x:c r="D489" s="99"/>
      <x:c r="E489" s="99"/>
      <x:c r="F489" s="99"/>
      <x:c r="G489" s="99"/>
      <x:c r="H489" s="99"/>
      <x:c r="I489" s="99"/>
      <x:c r="J489" s="99"/>
      <x:c r="K489" s="99"/>
      <x:c r="L489" s="99"/>
      <x:c r="M489" s="99"/>
      <x:c r="N489" s="99"/>
      <x:c r="O489" s="99"/>
      <x:c r="P489" s="99"/>
      <x:c r="Q489" s="99"/>
      <x:c r="R489" s="99"/>
      <x:c r="S489" s="99"/>
      <x:c r="T489" s="99"/>
      <x:c r="U489" s="99"/>
      <x:c r="V489" s="99"/>
      <x:c r="W489" s="99"/>
      <x:c r="X489" s="99"/>
      <x:c r="Y489" s="99"/>
      <x:c r="Z489" s="99"/>
    </x:row>
    <x:row r="490">
      <x:c r="A490" s="99"/>
      <x:c r="B490" s="99"/>
      <x:c r="C490" s="99"/>
      <x:c r="D490" s="99"/>
      <x:c r="E490" s="99"/>
      <x:c r="F490" s="99"/>
      <x:c r="G490" s="99"/>
      <x:c r="H490" s="99"/>
      <x:c r="I490" s="99"/>
      <x:c r="J490" s="99"/>
      <x:c r="K490" s="99"/>
      <x:c r="L490" s="99"/>
      <x:c r="M490" s="99"/>
      <x:c r="N490" s="99"/>
      <x:c r="O490" s="99"/>
      <x:c r="P490" s="99"/>
      <x:c r="Q490" s="99"/>
      <x:c r="R490" s="99"/>
      <x:c r="S490" s="99"/>
      <x:c r="T490" s="99"/>
      <x:c r="U490" s="99"/>
      <x:c r="V490" s="99"/>
      <x:c r="W490" s="99"/>
      <x:c r="X490" s="99"/>
      <x:c r="Y490" s="99"/>
      <x:c r="Z490" s="99"/>
    </x:row>
    <x:row r="491">
      <x:c r="A491" s="99"/>
      <x:c r="B491" s="99"/>
      <x:c r="C491" s="99"/>
      <x:c r="D491" s="99"/>
      <x:c r="E491" s="99"/>
      <x:c r="F491" s="99"/>
      <x:c r="G491" s="99"/>
      <x:c r="H491" s="99"/>
      <x:c r="I491" s="99"/>
      <x:c r="J491" s="99"/>
      <x:c r="K491" s="99"/>
      <x:c r="L491" s="99"/>
      <x:c r="M491" s="99"/>
      <x:c r="N491" s="99"/>
      <x:c r="O491" s="99"/>
      <x:c r="P491" s="99"/>
      <x:c r="Q491" s="99"/>
      <x:c r="R491" s="99"/>
      <x:c r="S491" s="99"/>
      <x:c r="T491" s="99"/>
      <x:c r="U491" s="99"/>
      <x:c r="V491" s="99"/>
      <x:c r="W491" s="99"/>
      <x:c r="X491" s="99"/>
      <x:c r="Y491" s="99"/>
      <x:c r="Z491" s="99"/>
    </x:row>
    <x:row r="492">
      <x:c r="A492" s="99"/>
      <x:c r="B492" s="99"/>
      <x:c r="C492" s="99"/>
      <x:c r="D492" s="99"/>
      <x:c r="E492" s="99"/>
      <x:c r="F492" s="99"/>
      <x:c r="G492" s="99"/>
      <x:c r="H492" s="99"/>
      <x:c r="I492" s="99"/>
      <x:c r="J492" s="99"/>
      <x:c r="K492" s="99"/>
      <x:c r="L492" s="99"/>
      <x:c r="M492" s="99"/>
      <x:c r="N492" s="99"/>
      <x:c r="O492" s="99"/>
      <x:c r="P492" s="99"/>
      <x:c r="Q492" s="99"/>
      <x:c r="R492" s="99"/>
      <x:c r="S492" s="99"/>
      <x:c r="T492" s="99"/>
      <x:c r="U492" s="99"/>
      <x:c r="V492" s="99"/>
      <x:c r="W492" s="99"/>
      <x:c r="X492" s="99"/>
      <x:c r="Y492" s="99"/>
      <x:c r="Z492" s="99"/>
    </x:row>
    <x:row r="493">
      <x:c r="A493" s="99"/>
      <x:c r="B493" s="99"/>
      <x:c r="C493" s="99"/>
      <x:c r="D493" s="99"/>
      <x:c r="E493" s="99"/>
      <x:c r="F493" s="99"/>
      <x:c r="G493" s="99"/>
      <x:c r="H493" s="99"/>
      <x:c r="I493" s="99"/>
      <x:c r="J493" s="99"/>
      <x:c r="K493" s="99"/>
      <x:c r="L493" s="99"/>
      <x:c r="M493" s="99"/>
      <x:c r="N493" s="99"/>
      <x:c r="O493" s="99"/>
      <x:c r="P493" s="99"/>
      <x:c r="Q493" s="99"/>
      <x:c r="R493" s="99"/>
      <x:c r="S493" s="99"/>
      <x:c r="T493" s="99"/>
      <x:c r="U493" s="99"/>
      <x:c r="V493" s="99"/>
      <x:c r="W493" s="99"/>
      <x:c r="X493" s="99"/>
      <x:c r="Y493" s="99"/>
      <x:c r="Z493" s="99"/>
    </x:row>
    <x:row r="494">
      <x:c r="A494" s="99"/>
      <x:c r="B494" s="99"/>
      <x:c r="C494" s="99"/>
      <x:c r="D494" s="99"/>
      <x:c r="E494" s="99"/>
      <x:c r="F494" s="99"/>
      <x:c r="G494" s="99"/>
      <x:c r="H494" s="99"/>
      <x:c r="I494" s="99"/>
      <x:c r="J494" s="99"/>
      <x:c r="K494" s="99"/>
      <x:c r="L494" s="99"/>
      <x:c r="M494" s="99"/>
      <x:c r="N494" s="99"/>
      <x:c r="O494" s="99"/>
      <x:c r="P494" s="99"/>
      <x:c r="Q494" s="99"/>
      <x:c r="R494" s="99"/>
      <x:c r="S494" s="99"/>
      <x:c r="T494" s="99"/>
      <x:c r="U494" s="99"/>
      <x:c r="V494" s="99"/>
      <x:c r="W494" s="99"/>
      <x:c r="X494" s="99"/>
      <x:c r="Y494" s="99"/>
      <x:c r="Z494" s="99"/>
    </x:row>
    <x:row r="495">
      <x:c r="A495" s="99"/>
      <x:c r="B495" s="99"/>
      <x:c r="C495" s="99"/>
      <x:c r="D495" s="99"/>
      <x:c r="E495" s="99"/>
      <x:c r="F495" s="99"/>
      <x:c r="G495" s="99"/>
      <x:c r="H495" s="99"/>
      <x:c r="I495" s="99"/>
      <x:c r="J495" s="99"/>
      <x:c r="K495" s="99"/>
      <x:c r="L495" s="99"/>
      <x:c r="M495" s="99"/>
      <x:c r="N495" s="99"/>
      <x:c r="O495" s="99"/>
      <x:c r="P495" s="99"/>
      <x:c r="Q495" s="99"/>
      <x:c r="R495" s="99"/>
      <x:c r="S495" s="99"/>
      <x:c r="T495" s="99"/>
      <x:c r="U495" s="99"/>
      <x:c r="V495" s="99"/>
      <x:c r="W495" s="99"/>
      <x:c r="X495" s="99"/>
      <x:c r="Y495" s="99"/>
      <x:c r="Z495" s="99"/>
    </x:row>
    <x:row r="496">
      <x:c r="A496" s="99"/>
      <x:c r="B496" s="99"/>
      <x:c r="C496" s="99"/>
      <x:c r="D496" s="99"/>
      <x:c r="E496" s="99"/>
      <x:c r="F496" s="99"/>
      <x:c r="G496" s="99"/>
      <x:c r="H496" s="99"/>
      <x:c r="I496" s="99"/>
      <x:c r="J496" s="99"/>
      <x:c r="K496" s="99"/>
      <x:c r="L496" s="99"/>
      <x:c r="M496" s="99"/>
      <x:c r="N496" s="99"/>
      <x:c r="O496" s="99"/>
      <x:c r="P496" s="99"/>
      <x:c r="Q496" s="99"/>
      <x:c r="R496" s="99"/>
      <x:c r="S496" s="99"/>
      <x:c r="T496" s="99"/>
      <x:c r="U496" s="99"/>
      <x:c r="V496" s="99"/>
      <x:c r="W496" s="99"/>
      <x:c r="X496" s="99"/>
      <x:c r="Y496" s="99"/>
      <x:c r="Z496" s="99"/>
    </x:row>
    <x:row r="497">
      <x:c r="A497" s="99"/>
      <x:c r="B497" s="99"/>
      <x:c r="C497" s="99"/>
      <x:c r="D497" s="99"/>
      <x:c r="E497" s="99"/>
      <x:c r="F497" s="99"/>
      <x:c r="G497" s="99"/>
      <x:c r="H497" s="99"/>
      <x:c r="I497" s="99"/>
      <x:c r="J497" s="99"/>
      <x:c r="K497" s="99"/>
      <x:c r="L497" s="99"/>
      <x:c r="M497" s="99"/>
      <x:c r="N497" s="99"/>
      <x:c r="O497" s="99"/>
      <x:c r="P497" s="99"/>
      <x:c r="Q497" s="99"/>
      <x:c r="R497" s="99"/>
      <x:c r="S497" s="99"/>
      <x:c r="T497" s="99"/>
      <x:c r="U497" s="99"/>
      <x:c r="V497" s="99"/>
      <x:c r="W497" s="99"/>
      <x:c r="X497" s="99"/>
      <x:c r="Y497" s="99"/>
      <x:c r="Z497" s="99"/>
    </x:row>
    <x:row r="498">
      <x:c r="A498" s="99"/>
      <x:c r="B498" s="99"/>
      <x:c r="C498" s="99"/>
      <x:c r="D498" s="99"/>
      <x:c r="E498" s="99"/>
      <x:c r="F498" s="99"/>
      <x:c r="G498" s="99"/>
      <x:c r="H498" s="99"/>
      <x:c r="I498" s="99"/>
      <x:c r="J498" s="99"/>
      <x:c r="K498" s="99"/>
      <x:c r="L498" s="99"/>
      <x:c r="M498" s="99"/>
      <x:c r="N498" s="99"/>
      <x:c r="O498" s="99"/>
      <x:c r="P498" s="99"/>
      <x:c r="Q498" s="99"/>
      <x:c r="R498" s="99"/>
      <x:c r="S498" s="99"/>
      <x:c r="T498" s="99"/>
      <x:c r="U498" s="99"/>
      <x:c r="V498" s="99"/>
      <x:c r="W498" s="99"/>
      <x:c r="X498" s="99"/>
      <x:c r="Y498" s="99"/>
      <x:c r="Z498" s="99"/>
    </x:row>
    <x:row r="499">
      <x:c r="A499" s="99"/>
      <x:c r="B499" s="99"/>
      <x:c r="C499" s="99"/>
      <x:c r="D499" s="99"/>
      <x:c r="E499" s="99"/>
      <x:c r="F499" s="99"/>
      <x:c r="G499" s="99"/>
      <x:c r="H499" s="99"/>
      <x:c r="I499" s="99"/>
      <x:c r="J499" s="99"/>
      <x:c r="K499" s="99"/>
      <x:c r="L499" s="99"/>
      <x:c r="M499" s="99"/>
      <x:c r="N499" s="99"/>
      <x:c r="O499" s="99"/>
      <x:c r="P499" s="99"/>
      <x:c r="Q499" s="99"/>
      <x:c r="R499" s="99"/>
      <x:c r="S499" s="99"/>
      <x:c r="T499" s="99"/>
      <x:c r="U499" s="99"/>
      <x:c r="V499" s="99"/>
      <x:c r="W499" s="99"/>
      <x:c r="X499" s="99"/>
      <x:c r="Y499" s="99"/>
      <x:c r="Z499" s="99"/>
    </x:row>
    <x:row r="500">
      <x:c r="A500" s="99"/>
      <x:c r="B500" s="99"/>
      <x:c r="C500" s="99"/>
      <x:c r="D500" s="99"/>
      <x:c r="E500" s="99"/>
      <x:c r="F500" s="99"/>
      <x:c r="G500" s="99"/>
      <x:c r="H500" s="99"/>
      <x:c r="I500" s="99"/>
      <x:c r="J500" s="99"/>
      <x:c r="K500" s="99"/>
      <x:c r="L500" s="99"/>
      <x:c r="M500" s="99"/>
      <x:c r="N500" s="99"/>
      <x:c r="O500" s="99"/>
      <x:c r="P500" s="99"/>
      <x:c r="Q500" s="99"/>
      <x:c r="R500" s="99"/>
      <x:c r="S500" s="99"/>
      <x:c r="T500" s="99"/>
      <x:c r="U500" s="99"/>
      <x:c r="V500" s="99"/>
      <x:c r="W500" s="99"/>
      <x:c r="X500" s="99"/>
      <x:c r="Y500" s="99"/>
      <x:c r="Z500" s="99"/>
    </x:row>
    <x:row r="501">
      <x:c r="A501" s="99"/>
      <x:c r="B501" s="99"/>
      <x:c r="C501" s="99"/>
      <x:c r="D501" s="99"/>
      <x:c r="E501" s="99"/>
      <x:c r="F501" s="99"/>
      <x:c r="G501" s="99"/>
      <x:c r="H501" s="99"/>
      <x:c r="I501" s="99"/>
      <x:c r="J501" s="99"/>
      <x:c r="K501" s="99"/>
      <x:c r="L501" s="99"/>
      <x:c r="M501" s="99"/>
      <x:c r="N501" s="99"/>
      <x:c r="O501" s="99"/>
      <x:c r="P501" s="99"/>
      <x:c r="Q501" s="99"/>
      <x:c r="R501" s="99"/>
      <x:c r="S501" s="99"/>
      <x:c r="T501" s="99"/>
      <x:c r="U501" s="99"/>
      <x:c r="V501" s="99"/>
      <x:c r="W501" s="99"/>
      <x:c r="X501" s="99"/>
      <x:c r="Y501" s="99"/>
      <x:c r="Z501" s="99"/>
    </x:row>
    <x:row r="502">
      <x:c r="A502" s="99"/>
      <x:c r="B502" s="99"/>
      <x:c r="C502" s="99"/>
      <x:c r="D502" s="99"/>
      <x:c r="E502" s="99"/>
      <x:c r="F502" s="99"/>
      <x:c r="G502" s="99"/>
      <x:c r="H502" s="99"/>
      <x:c r="I502" s="99"/>
      <x:c r="J502" s="99"/>
      <x:c r="K502" s="99"/>
      <x:c r="L502" s="99"/>
      <x:c r="M502" s="99"/>
      <x:c r="N502" s="99"/>
      <x:c r="O502" s="99"/>
      <x:c r="P502" s="99"/>
      <x:c r="Q502" s="99"/>
      <x:c r="R502" s="99"/>
      <x:c r="S502" s="99"/>
      <x:c r="T502" s="99"/>
      <x:c r="U502" s="99"/>
      <x:c r="V502" s="99"/>
      <x:c r="W502" s="99"/>
      <x:c r="X502" s="99"/>
      <x:c r="Y502" s="99"/>
      <x:c r="Z502" s="99"/>
    </x:row>
    <x:row r="503">
      <x:c r="A503" s="99"/>
      <x:c r="B503" s="99"/>
      <x:c r="C503" s="99"/>
      <x:c r="D503" s="99"/>
      <x:c r="E503" s="99"/>
      <x:c r="F503" s="99"/>
      <x:c r="G503" s="99"/>
      <x:c r="H503" s="99"/>
      <x:c r="I503" s="99"/>
      <x:c r="J503" s="99"/>
      <x:c r="K503" s="99"/>
      <x:c r="L503" s="99"/>
      <x:c r="M503" s="99"/>
      <x:c r="N503" s="99"/>
      <x:c r="O503" s="99"/>
      <x:c r="P503" s="99"/>
      <x:c r="Q503" s="99"/>
      <x:c r="R503" s="99"/>
      <x:c r="S503" s="99"/>
      <x:c r="T503" s="99"/>
      <x:c r="U503" s="99"/>
      <x:c r="V503" s="99"/>
      <x:c r="W503" s="99"/>
      <x:c r="X503" s="99"/>
      <x:c r="Y503" s="99"/>
      <x:c r="Z503" s="99"/>
    </x:row>
    <x:row r="504">
      <x:c r="A504" s="99"/>
      <x:c r="B504" s="99"/>
      <x:c r="C504" s="99"/>
      <x:c r="D504" s="99"/>
      <x:c r="E504" s="99"/>
      <x:c r="F504" s="99"/>
      <x:c r="G504" s="99"/>
      <x:c r="H504" s="99"/>
      <x:c r="I504" s="99"/>
      <x:c r="J504" s="99"/>
      <x:c r="K504" s="99"/>
      <x:c r="L504" s="99"/>
      <x:c r="M504" s="99"/>
      <x:c r="N504" s="99"/>
      <x:c r="O504" s="99"/>
      <x:c r="P504" s="99"/>
      <x:c r="Q504" s="99"/>
      <x:c r="R504" s="99"/>
      <x:c r="S504" s="99"/>
      <x:c r="T504" s="99"/>
      <x:c r="U504" s="99"/>
      <x:c r="V504" s="99"/>
      <x:c r="W504" s="99"/>
      <x:c r="X504" s="99"/>
      <x:c r="Y504" s="99"/>
      <x:c r="Z504" s="99"/>
    </x:row>
    <x:row r="505">
      <x:c r="A505" s="99"/>
      <x:c r="B505" s="99"/>
      <x:c r="C505" s="99"/>
      <x:c r="D505" s="99"/>
      <x:c r="E505" s="99"/>
      <x:c r="F505" s="99"/>
      <x:c r="G505" s="99"/>
      <x:c r="H505" s="99"/>
      <x:c r="I505" s="99"/>
      <x:c r="J505" s="99"/>
      <x:c r="K505" s="99"/>
      <x:c r="L505" s="99"/>
      <x:c r="M505" s="99"/>
      <x:c r="N505" s="99"/>
      <x:c r="O505" s="99"/>
      <x:c r="P505" s="99"/>
      <x:c r="Q505" s="99"/>
      <x:c r="R505" s="99"/>
      <x:c r="S505" s="99"/>
      <x:c r="T505" s="99"/>
      <x:c r="U505" s="99"/>
      <x:c r="V505" s="99"/>
      <x:c r="W505" s="99"/>
      <x:c r="X505" s="99"/>
      <x:c r="Y505" s="99"/>
      <x:c r="Z505" s="99"/>
    </x:row>
    <x:row r="506">
      <x:c r="A506" s="99"/>
      <x:c r="B506" s="99"/>
      <x:c r="C506" s="99"/>
      <x:c r="D506" s="99"/>
      <x:c r="E506" s="99"/>
      <x:c r="F506" s="99"/>
      <x:c r="G506" s="99"/>
      <x:c r="H506" s="99"/>
      <x:c r="I506" s="99"/>
      <x:c r="J506" s="99"/>
      <x:c r="K506" s="99"/>
      <x:c r="L506" s="99"/>
      <x:c r="M506" s="99"/>
      <x:c r="N506" s="99"/>
      <x:c r="O506" s="99"/>
      <x:c r="P506" s="99"/>
      <x:c r="Q506" s="99"/>
      <x:c r="R506" s="99"/>
      <x:c r="S506" s="99"/>
      <x:c r="T506" s="99"/>
      <x:c r="U506" s="99"/>
      <x:c r="V506" s="99"/>
      <x:c r="W506" s="99"/>
      <x:c r="X506" s="99"/>
      <x:c r="Y506" s="99"/>
      <x:c r="Z506" s="99"/>
    </x:row>
    <x:row r="507">
      <x:c r="A507" s="99"/>
      <x:c r="B507" s="99"/>
      <x:c r="C507" s="99"/>
      <x:c r="D507" s="99"/>
      <x:c r="E507" s="99"/>
      <x:c r="F507" s="99"/>
      <x:c r="G507" s="99"/>
      <x:c r="H507" s="99"/>
      <x:c r="I507" s="99"/>
      <x:c r="J507" s="99"/>
      <x:c r="K507" s="99"/>
      <x:c r="L507" s="99"/>
      <x:c r="M507" s="99"/>
      <x:c r="N507" s="99"/>
      <x:c r="O507" s="99"/>
      <x:c r="P507" s="99"/>
      <x:c r="Q507" s="99"/>
      <x:c r="R507" s="99"/>
      <x:c r="S507" s="99"/>
      <x:c r="T507" s="99"/>
      <x:c r="U507" s="99"/>
      <x:c r="V507" s="99"/>
      <x:c r="W507" s="99"/>
      <x:c r="X507" s="99"/>
      <x:c r="Y507" s="99"/>
      <x:c r="Z507" s="99"/>
    </x:row>
    <x:row r="508">
      <x:c r="A508" s="99"/>
      <x:c r="B508" s="99"/>
      <x:c r="C508" s="99"/>
      <x:c r="D508" s="99"/>
      <x:c r="E508" s="99"/>
      <x:c r="F508" s="99"/>
      <x:c r="G508" s="99"/>
      <x:c r="H508" s="99"/>
      <x:c r="I508" s="99"/>
      <x:c r="J508" s="99"/>
      <x:c r="K508" s="99"/>
      <x:c r="L508" s="99"/>
      <x:c r="M508" s="99"/>
      <x:c r="N508" s="99"/>
      <x:c r="O508" s="99"/>
      <x:c r="P508" s="99"/>
      <x:c r="Q508" s="99"/>
      <x:c r="R508" s="99"/>
      <x:c r="S508" s="99"/>
      <x:c r="T508" s="99"/>
      <x:c r="U508" s="99"/>
      <x:c r="V508" s="99"/>
      <x:c r="W508" s="99"/>
      <x:c r="X508" s="99"/>
      <x:c r="Y508" s="99"/>
      <x:c r="Z508" s="99"/>
    </x:row>
    <x:row r="509">
      <x:c r="A509" s="99"/>
      <x:c r="B509" s="99"/>
      <x:c r="C509" s="99"/>
      <x:c r="D509" s="99"/>
      <x:c r="E509" s="99"/>
      <x:c r="F509" s="99"/>
      <x:c r="G509" s="99"/>
      <x:c r="H509" s="99"/>
      <x:c r="I509" s="99"/>
      <x:c r="J509" s="99"/>
      <x:c r="K509" s="99"/>
      <x:c r="L509" s="99"/>
      <x:c r="M509" s="99"/>
      <x:c r="N509" s="99"/>
      <x:c r="O509" s="99"/>
      <x:c r="P509" s="99"/>
      <x:c r="Q509" s="99"/>
      <x:c r="R509" s="99"/>
      <x:c r="S509" s="99"/>
      <x:c r="T509" s="99"/>
      <x:c r="U509" s="99"/>
      <x:c r="V509" s="99"/>
      <x:c r="W509" s="99"/>
      <x:c r="X509" s="99"/>
      <x:c r="Y509" s="99"/>
      <x:c r="Z509" s="99"/>
    </x:row>
    <x:row r="510">
      <x:c r="A510" s="99"/>
      <x:c r="B510" s="99"/>
      <x:c r="C510" s="99"/>
      <x:c r="D510" s="99"/>
      <x:c r="E510" s="99"/>
      <x:c r="F510" s="99"/>
      <x:c r="G510" s="99"/>
      <x:c r="H510" s="99"/>
      <x:c r="I510" s="99"/>
      <x:c r="J510" s="99"/>
      <x:c r="K510" s="99"/>
      <x:c r="L510" s="99"/>
      <x:c r="M510" s="99"/>
      <x:c r="N510" s="99"/>
      <x:c r="O510" s="99"/>
      <x:c r="P510" s="99"/>
      <x:c r="Q510" s="99"/>
      <x:c r="R510" s="99"/>
      <x:c r="S510" s="99"/>
      <x:c r="T510" s="99"/>
      <x:c r="U510" s="99"/>
      <x:c r="V510" s="99"/>
      <x:c r="W510" s="99"/>
      <x:c r="X510" s="99"/>
      <x:c r="Y510" s="99"/>
      <x:c r="Z510" s="99"/>
    </x:row>
    <x:row r="511">
      <x:c r="A511" s="99"/>
      <x:c r="B511" s="99"/>
      <x:c r="C511" s="99"/>
      <x:c r="D511" s="99"/>
      <x:c r="E511" s="99"/>
      <x:c r="F511" s="99"/>
      <x:c r="G511" s="99"/>
      <x:c r="H511" s="99"/>
      <x:c r="I511" s="99"/>
      <x:c r="J511" s="99"/>
      <x:c r="K511" s="99"/>
      <x:c r="L511" s="99"/>
      <x:c r="M511" s="99"/>
      <x:c r="N511" s="99"/>
      <x:c r="O511" s="99"/>
      <x:c r="P511" s="99"/>
      <x:c r="Q511" s="99"/>
      <x:c r="R511" s="99"/>
      <x:c r="S511" s="99"/>
      <x:c r="T511" s="99"/>
      <x:c r="U511" s="99"/>
      <x:c r="V511" s="99"/>
      <x:c r="W511" s="99"/>
      <x:c r="X511" s="99"/>
      <x:c r="Y511" s="99"/>
      <x:c r="Z511" s="99"/>
    </x:row>
    <x:row r="512">
      <x:c r="A512" s="99"/>
      <x:c r="B512" s="99"/>
      <x:c r="C512" s="99"/>
      <x:c r="D512" s="99"/>
      <x:c r="E512" s="99"/>
      <x:c r="F512" s="99"/>
      <x:c r="G512" s="99"/>
      <x:c r="H512" s="99"/>
      <x:c r="I512" s="99"/>
      <x:c r="J512" s="99"/>
      <x:c r="K512" s="99"/>
      <x:c r="L512" s="99"/>
      <x:c r="M512" s="99"/>
      <x:c r="N512" s="99"/>
      <x:c r="O512" s="99"/>
      <x:c r="P512" s="99"/>
      <x:c r="Q512" s="99"/>
      <x:c r="R512" s="99"/>
      <x:c r="S512" s="99"/>
      <x:c r="T512" s="99"/>
      <x:c r="U512" s="99"/>
      <x:c r="V512" s="99"/>
      <x:c r="W512" s="99"/>
      <x:c r="X512" s="99"/>
      <x:c r="Y512" s="99"/>
      <x:c r="Z512" s="99"/>
    </x:row>
    <x:row r="513">
      <x:c r="A513" s="99"/>
      <x:c r="B513" s="99"/>
      <x:c r="C513" s="99"/>
      <x:c r="D513" s="99"/>
      <x:c r="E513" s="99"/>
      <x:c r="F513" s="99"/>
      <x:c r="G513" s="99"/>
      <x:c r="H513" s="99"/>
      <x:c r="I513" s="99"/>
      <x:c r="J513" s="99"/>
      <x:c r="K513" s="99"/>
      <x:c r="L513" s="99"/>
      <x:c r="M513" s="99"/>
      <x:c r="N513" s="99"/>
      <x:c r="O513" s="99"/>
      <x:c r="P513" s="99"/>
      <x:c r="Q513" s="99"/>
      <x:c r="R513" s="99"/>
      <x:c r="S513" s="99"/>
      <x:c r="T513" s="99"/>
      <x:c r="U513" s="99"/>
      <x:c r="V513" s="99"/>
      <x:c r="W513" s="99"/>
      <x:c r="X513" s="99"/>
      <x:c r="Y513" s="99"/>
      <x:c r="Z513" s="99"/>
    </x:row>
    <x:row r="514">
      <x:c r="A514" s="99"/>
      <x:c r="B514" s="99"/>
      <x:c r="C514" s="99"/>
      <x:c r="D514" s="99"/>
      <x:c r="E514" s="99"/>
      <x:c r="F514" s="99"/>
      <x:c r="G514" s="99"/>
      <x:c r="H514" s="99"/>
      <x:c r="I514" s="99"/>
      <x:c r="J514" s="99"/>
      <x:c r="K514" s="99"/>
      <x:c r="L514" s="99"/>
      <x:c r="M514" s="99"/>
      <x:c r="N514" s="99"/>
      <x:c r="O514" s="99"/>
      <x:c r="P514" s="99"/>
      <x:c r="Q514" s="99"/>
      <x:c r="R514" s="99"/>
      <x:c r="S514" s="99"/>
      <x:c r="T514" s="99"/>
      <x:c r="U514" s="99"/>
      <x:c r="V514" s="99"/>
      <x:c r="W514" s="99"/>
      <x:c r="X514" s="99"/>
      <x:c r="Y514" s="99"/>
      <x:c r="Z514" s="99"/>
    </x:row>
    <x:row r="515">
      <x:c r="A515" s="99"/>
      <x:c r="B515" s="99"/>
      <x:c r="C515" s="99"/>
      <x:c r="D515" s="99"/>
      <x:c r="E515" s="99"/>
      <x:c r="F515" s="99"/>
      <x:c r="G515" s="99"/>
      <x:c r="H515" s="99"/>
      <x:c r="I515" s="99"/>
      <x:c r="J515" s="99"/>
      <x:c r="K515" s="99"/>
      <x:c r="L515" s="99"/>
      <x:c r="M515" s="99"/>
      <x:c r="N515" s="99"/>
      <x:c r="O515" s="99"/>
      <x:c r="P515" s="99"/>
      <x:c r="Q515" s="99"/>
      <x:c r="R515" s="99"/>
      <x:c r="S515" s="99"/>
      <x:c r="T515" s="99"/>
      <x:c r="U515" s="99"/>
      <x:c r="V515" s="99"/>
      <x:c r="W515" s="99"/>
      <x:c r="X515" s="99"/>
      <x:c r="Y515" s="99"/>
      <x:c r="Z515" s="99"/>
    </x:row>
    <x:row r="516">
      <x:c r="A516" s="99"/>
      <x:c r="B516" s="99"/>
      <x:c r="C516" s="99"/>
      <x:c r="D516" s="99"/>
      <x:c r="E516" s="99"/>
      <x:c r="F516" s="99"/>
      <x:c r="G516" s="99"/>
      <x:c r="H516" s="99"/>
      <x:c r="I516" s="99"/>
      <x:c r="J516" s="99"/>
      <x:c r="K516" s="99"/>
      <x:c r="L516" s="99"/>
      <x:c r="M516" s="99"/>
      <x:c r="N516" s="99"/>
      <x:c r="O516" s="99"/>
      <x:c r="P516" s="99"/>
      <x:c r="Q516" s="99"/>
      <x:c r="R516" s="99"/>
      <x:c r="S516" s="99"/>
      <x:c r="T516" s="99"/>
      <x:c r="U516" s="99"/>
      <x:c r="V516" s="99"/>
      <x:c r="W516" s="99"/>
      <x:c r="X516" s="99"/>
      <x:c r="Y516" s="99"/>
      <x:c r="Z516" s="99"/>
    </x:row>
    <x:row r="517">
      <x:c r="A517" s="99"/>
      <x:c r="B517" s="99"/>
      <x:c r="C517" s="99"/>
      <x:c r="D517" s="99"/>
      <x:c r="E517" s="99"/>
      <x:c r="F517" s="99"/>
      <x:c r="G517" s="99"/>
      <x:c r="H517" s="99"/>
      <x:c r="I517" s="99"/>
      <x:c r="J517" s="99"/>
      <x:c r="K517" s="99"/>
      <x:c r="L517" s="99"/>
      <x:c r="M517" s="99"/>
      <x:c r="N517" s="99"/>
      <x:c r="O517" s="99"/>
      <x:c r="P517" s="99"/>
      <x:c r="Q517" s="99"/>
      <x:c r="R517" s="99"/>
      <x:c r="S517" s="99"/>
      <x:c r="T517" s="99"/>
      <x:c r="U517" s="99"/>
      <x:c r="V517" s="99"/>
      <x:c r="W517" s="99"/>
      <x:c r="X517" s="99"/>
      <x:c r="Y517" s="99"/>
      <x:c r="Z517" s="99"/>
    </x:row>
    <x:row r="518">
      <x:c r="A518" s="99"/>
      <x:c r="B518" s="99"/>
      <x:c r="C518" s="99"/>
      <x:c r="D518" s="99"/>
      <x:c r="E518" s="99"/>
      <x:c r="F518" s="99"/>
      <x:c r="G518" s="99"/>
      <x:c r="H518" s="99"/>
      <x:c r="I518" s="99"/>
      <x:c r="J518" s="99"/>
      <x:c r="K518" s="99"/>
      <x:c r="L518" s="99"/>
      <x:c r="M518" s="99"/>
      <x:c r="N518" s="99"/>
      <x:c r="O518" s="99"/>
      <x:c r="P518" s="99"/>
      <x:c r="Q518" s="99"/>
      <x:c r="R518" s="99"/>
      <x:c r="S518" s="99"/>
      <x:c r="T518" s="99"/>
      <x:c r="U518" s="99"/>
      <x:c r="V518" s="99"/>
      <x:c r="W518" s="99"/>
      <x:c r="X518" s="99"/>
      <x:c r="Y518" s="99"/>
      <x:c r="Z518" s="99"/>
    </x:row>
    <x:row r="519">
      <x:c r="A519" s="99"/>
      <x:c r="B519" s="99"/>
      <x:c r="C519" s="99"/>
      <x:c r="D519" s="99"/>
      <x:c r="E519" s="99"/>
      <x:c r="F519" s="99"/>
      <x:c r="G519" s="99"/>
      <x:c r="H519" s="99"/>
      <x:c r="I519" s="99"/>
      <x:c r="J519" s="99"/>
      <x:c r="K519" s="99"/>
      <x:c r="L519" s="99"/>
      <x:c r="M519" s="99"/>
      <x:c r="N519" s="99"/>
      <x:c r="O519" s="99"/>
      <x:c r="P519" s="99"/>
      <x:c r="Q519" s="99"/>
      <x:c r="R519" s="99"/>
      <x:c r="S519" s="99"/>
      <x:c r="T519" s="99"/>
      <x:c r="U519" s="99"/>
      <x:c r="V519" s="99"/>
      <x:c r="W519" s="99"/>
      <x:c r="X519" s="99"/>
      <x:c r="Y519" s="99"/>
      <x:c r="Z519" s="99"/>
    </x:row>
    <x:row r="520">
      <x:c r="A520" s="99"/>
      <x:c r="B520" s="99"/>
      <x:c r="C520" s="99"/>
      <x:c r="D520" s="99"/>
      <x:c r="E520" s="99"/>
      <x:c r="F520" s="99"/>
      <x:c r="G520" s="99"/>
      <x:c r="H520" s="99"/>
      <x:c r="I520" s="99"/>
      <x:c r="J520" s="99"/>
      <x:c r="K520" s="99"/>
      <x:c r="L520" s="99"/>
      <x:c r="M520" s="99"/>
      <x:c r="N520" s="99"/>
      <x:c r="O520" s="99"/>
      <x:c r="P520" s="99"/>
      <x:c r="Q520" s="99"/>
      <x:c r="R520" s="99"/>
      <x:c r="S520" s="99"/>
      <x:c r="T520" s="99"/>
      <x:c r="U520" s="99"/>
      <x:c r="V520" s="99"/>
      <x:c r="W520" s="99"/>
      <x:c r="X520" s="99"/>
      <x:c r="Y520" s="99"/>
      <x:c r="Z520" s="99"/>
    </x:row>
  </x:sheetData>
  <x:mergeCells>
    <x:mergeCell ref="A1:H1"/>
  </x:mergeCells>
  <x:conditionalFormatting sqref="E10:E19">
    <x:cfRule type="expression" dxfId="5" priority="1">
      <x:formula>$E10="LOW N"</x:formula>
    </x:cfRule>
  </x:conditionalFormatting>
  <x:dataValidations count="1">
    <x:dataValidation type="list" sqref="B3">
      <x:formula1>"Segment A,Segment B"</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16" hidden="0" customWidth="1"/>
    <x:col min="3" max="3" width="18" hidden="0" customWidth="1"/>
    <x:col min="4" max="4" width="12" hidden="0" customWidth="1"/>
    <x:col min="5" max="5" width="16" hidden="0" customWidth="1"/>
    <x:col min="6" max="6" width="14" hidden="0" customWidth="1"/>
    <x:col min="7" max="7" width="36" hidden="0" customWidth="1"/>
    <x:col min="8" max="8" width="14" hidden="0" customWidth="1"/>
    <x:col min="9" max="9" width="30" hidden="0" customWidth="1"/>
  </x:cols>
  <x:sheetData>
    <x:row r="1">
      <x:c r="A1" s="165" t="str">
        <x:v>NEEDS PRIORITY — compare importance with current state / capability</x:v>
      </x:c>
      <x:c r="B1" s="165"/>
      <x:c r="C1" s="165"/>
      <x:c r="D1" s="165"/>
      <x:c r="E1" s="165"/>
      <x:c r="F1" s="165"/>
      <x:c r="G1" s="165"/>
      <x:c r="H1" s="165"/>
      <x:c r="I1" s="165"/>
      <x:c r="J1" s="99"/>
      <x:c r="K1" s="99"/>
      <x:c r="L1" s="99"/>
      <x:c r="M1" s="99"/>
      <x:c r="N1" s="99"/>
      <x:c r="O1" s="99"/>
      <x:c r="P1" s="99"/>
      <x:c r="Q1" s="99"/>
      <x:c r="R1" s="99"/>
      <x:c r="S1" s="99"/>
      <x:c r="T1" s="99"/>
      <x:c r="U1" s="99"/>
      <x:c r="V1" s="99"/>
      <x:c r="W1" s="99"/>
      <x:c r="X1" s="99"/>
      <x:c r="Y1" s="99"/>
      <x:c r="Z1" s="99"/>
    </x:row>
    <x:row r="2">
      <x:c r="A2" s="99"/>
      <x:c r="B2" s="99"/>
      <x:c r="C2" s="99"/>
      <x:c r="D2" s="99"/>
      <x:c r="E2" s="99"/>
      <x:c r="F2" s="99"/>
      <x:c r="G2" s="99"/>
      <x:c r="H2" s="99"/>
      <x:c r="I2" s="99"/>
      <x:c r="J2" s="99"/>
      <x:c r="K2" s="99"/>
      <x:c r="L2" s="99"/>
      <x:c r="M2" s="99"/>
      <x:c r="N2" s="99"/>
      <x:c r="O2" s="99"/>
      <x:c r="P2" s="99"/>
      <x:c r="Q2" s="99"/>
      <x:c r="R2" s="99"/>
      <x:c r="S2" s="99"/>
      <x:c r="T2" s="99"/>
      <x:c r="U2" s="99"/>
      <x:c r="V2" s="99"/>
      <x:c r="W2" s="99"/>
      <x:c r="X2" s="99"/>
      <x:c r="Y2" s="99"/>
      <x:c r="Z2" s="99"/>
    </x:row>
    <x:row r="3">
      <x:c r="A3" s="129" t="str">
        <x:v>Topic / Need</x:v>
      </x:c>
      <x:c r="B3" s="129" t="str">
        <x:v>Importance Mean</x:v>
      </x:c>
      <x:c r="C3" s="129" t="str">
        <x:v>Current-State Mean</x:v>
      </x:c>
      <x:c r="D3" s="129" t="str">
        <x:v>Gap</x:v>
      </x:c>
      <x:c r="E3" s="129" t="str">
        <x:v>Priority Score</x:v>
      </x:c>
      <x:c r="F3" s="129" t="str">
        <x:v>Priority Band</x:v>
      </x:c>
      <x:c r="G3" s="129" t="str">
        <x:v>Evidence / Source</x:v>
      </x:c>
      <x:c r="H3" s="129" t="str">
        <x:v>Confidence 1-5</x:v>
      </x:c>
      <x:c r="I3" s="129" t="str">
        <x:v>Notes</x:v>
      </x:c>
      <x:c r="J3" s="99"/>
      <x:c r="K3" s="99"/>
      <x:c r="L3" s="99"/>
      <x:c r="M3" s="99"/>
      <x:c r="N3" s="99"/>
      <x:c r="O3" s="99"/>
      <x:c r="P3" s="99"/>
      <x:c r="Q3" s="99"/>
      <x:c r="R3" s="99"/>
      <x:c r="S3" s="99"/>
      <x:c r="T3" s="99"/>
      <x:c r="U3" s="99"/>
      <x:c r="V3" s="99"/>
      <x:c r="W3" s="99"/>
      <x:c r="X3" s="99"/>
      <x:c r="Y3" s="99"/>
      <x:c r="Z3" s="99"/>
    </x:row>
    <x:row r="4">
      <x:c r="A4" s="119"/>
      <x:c r="B4" s="141"/>
      <x:c r="C4" s="141"/>
      <x:c r="D4" s="133" t="str">
        <x:f>IF(A4="","",B4-C4)</x:f>
      </x:c>
      <x:c r="E4" s="133" t="str">
        <x:f>IF(A4="","",MAX(0,D4)*B4)</x:f>
      </x:c>
      <x:c r="F4" s="130" t="str">
        <x:f>IF(A4="","",IF(E4&gt;=6,"HIGH",IF(E4&gt;=3,"MEDIUM",IF(E4&gt;0,"LOW","MONITOR"))))</x:f>
      </x:c>
      <x:c r="G4" s="119"/>
      <x:c r="H4" s="119"/>
      <x:c r="I4" s="119"/>
      <x:c r="J4" s="99"/>
      <x:c r="K4" s="99"/>
      <x:c r="L4" s="99"/>
      <x:c r="M4" s="99"/>
      <x:c r="N4" s="99"/>
      <x:c r="O4" s="99"/>
      <x:c r="P4" s="99"/>
      <x:c r="Q4" s="99"/>
      <x:c r="R4" s="99"/>
      <x:c r="S4" s="99"/>
      <x:c r="T4" s="99"/>
      <x:c r="U4" s="99"/>
      <x:c r="V4" s="99"/>
      <x:c r="W4" s="99"/>
      <x:c r="X4" s="99"/>
      <x:c r="Y4" s="99"/>
      <x:c r="Z4" s="99"/>
    </x:row>
    <x:row r="5">
      <x:c r="A5" s="119"/>
      <x:c r="B5" s="141"/>
      <x:c r="C5" s="141"/>
      <x:c r="D5" s="133" t="str">
        <x:f>IF(A5="","",B5-C5)</x:f>
      </x:c>
      <x:c r="E5" s="133" t="str">
        <x:f>IF(A5="","",MAX(0,D5)*B5)</x:f>
      </x:c>
      <x:c r="F5" s="130" t="str">
        <x:f>IF(A5="","",IF(E5&gt;=6,"HIGH",IF(E5&gt;=3,"MEDIUM",IF(E5&gt;0,"LOW","MONITOR"))))</x:f>
      </x:c>
      <x:c r="G5" s="119"/>
      <x:c r="H5" s="119"/>
      <x:c r="I5" s="119"/>
      <x:c r="J5" s="99"/>
      <x:c r="K5" s="99"/>
      <x:c r="L5" s="99"/>
      <x:c r="M5" s="99"/>
      <x:c r="N5" s="99"/>
      <x:c r="O5" s="99"/>
      <x:c r="P5" s="99"/>
      <x:c r="Q5" s="99"/>
      <x:c r="R5" s="99"/>
      <x:c r="S5" s="99"/>
      <x:c r="T5" s="99"/>
      <x:c r="U5" s="99"/>
      <x:c r="V5" s="99"/>
      <x:c r="W5" s="99"/>
      <x:c r="X5" s="99"/>
      <x:c r="Y5" s="99"/>
      <x:c r="Z5" s="99"/>
    </x:row>
    <x:row r="6">
      <x:c r="A6" s="119"/>
      <x:c r="B6" s="141"/>
      <x:c r="C6" s="141"/>
      <x:c r="D6" s="133" t="str">
        <x:f>IF(A6="","",B6-C6)</x:f>
      </x:c>
      <x:c r="E6" s="133" t="str">
        <x:f>IF(A6="","",MAX(0,D6)*B6)</x:f>
      </x:c>
      <x:c r="F6" s="130" t="str">
        <x:f>IF(A6="","",IF(E6&gt;=6,"HIGH",IF(E6&gt;=3,"MEDIUM",IF(E6&gt;0,"LOW","MONITOR"))))</x:f>
      </x:c>
      <x:c r="G6" s="119"/>
      <x:c r="H6" s="119"/>
      <x:c r="I6" s="119"/>
      <x:c r="J6" s="99"/>
      <x:c r="K6" s="99"/>
      <x:c r="L6" s="99"/>
      <x:c r="M6" s="99"/>
      <x:c r="N6" s="99"/>
      <x:c r="O6" s="99"/>
      <x:c r="P6" s="99"/>
      <x:c r="Q6" s="99"/>
      <x:c r="R6" s="99"/>
      <x:c r="S6" s="99"/>
      <x:c r="T6" s="99"/>
      <x:c r="U6" s="99"/>
      <x:c r="V6" s="99"/>
      <x:c r="W6" s="99"/>
      <x:c r="X6" s="99"/>
      <x:c r="Y6" s="99"/>
      <x:c r="Z6" s="99"/>
    </x:row>
    <x:row r="7">
      <x:c r="A7" s="119"/>
      <x:c r="B7" s="141"/>
      <x:c r="C7" s="141"/>
      <x:c r="D7" s="133" t="str">
        <x:f>IF(A7="","",B7-C7)</x:f>
      </x:c>
      <x:c r="E7" s="133" t="str">
        <x:f>IF(A7="","",MAX(0,D7)*B7)</x:f>
      </x:c>
      <x:c r="F7" s="130" t="str">
        <x:f>IF(A7="","",IF(E7&gt;=6,"HIGH",IF(E7&gt;=3,"MEDIUM",IF(E7&gt;0,"LOW","MONITOR"))))</x:f>
      </x:c>
      <x:c r="G7" s="119"/>
      <x:c r="H7" s="119"/>
      <x:c r="I7" s="119"/>
      <x:c r="J7" s="99"/>
      <x:c r="K7" s="99"/>
      <x:c r="L7" s="99"/>
      <x:c r="M7" s="99"/>
      <x:c r="N7" s="99"/>
      <x:c r="O7" s="99"/>
      <x:c r="P7" s="99"/>
      <x:c r="Q7" s="99"/>
      <x:c r="R7" s="99"/>
      <x:c r="S7" s="99"/>
      <x:c r="T7" s="99"/>
      <x:c r="U7" s="99"/>
      <x:c r="V7" s="99"/>
      <x:c r="W7" s="99"/>
      <x:c r="X7" s="99"/>
      <x:c r="Y7" s="99"/>
      <x:c r="Z7" s="99"/>
    </x:row>
    <x:row r="8">
      <x:c r="A8" s="119"/>
      <x:c r="B8" s="141"/>
      <x:c r="C8" s="141"/>
      <x:c r="D8" s="133" t="str">
        <x:f>IF(A8="","",B8-C8)</x:f>
      </x:c>
      <x:c r="E8" s="133" t="str">
        <x:f>IF(A8="","",MAX(0,D8)*B8)</x:f>
      </x:c>
      <x:c r="F8" s="130" t="str">
        <x:f>IF(A8="","",IF(E8&gt;=6,"HIGH",IF(E8&gt;=3,"MEDIUM",IF(E8&gt;0,"LOW","MONITOR"))))</x:f>
      </x:c>
      <x:c r="G8" s="119"/>
      <x:c r="H8" s="119"/>
      <x:c r="I8" s="119"/>
      <x:c r="J8" s="99"/>
      <x:c r="K8" s="99"/>
      <x:c r="L8" s="99"/>
      <x:c r="M8" s="99"/>
      <x:c r="N8" s="99"/>
      <x:c r="O8" s="99"/>
      <x:c r="P8" s="99"/>
      <x:c r="Q8" s="99"/>
      <x:c r="R8" s="99"/>
      <x:c r="S8" s="99"/>
      <x:c r="T8" s="99"/>
      <x:c r="U8" s="99"/>
      <x:c r="V8" s="99"/>
      <x:c r="W8" s="99"/>
      <x:c r="X8" s="99"/>
      <x:c r="Y8" s="99"/>
      <x:c r="Z8" s="99"/>
    </x:row>
    <x:row r="9">
      <x:c r="A9" s="119"/>
      <x:c r="B9" s="141"/>
      <x:c r="C9" s="141"/>
      <x:c r="D9" s="133" t="str">
        <x:f>IF(A9="","",B9-C9)</x:f>
      </x:c>
      <x:c r="E9" s="133" t="str">
        <x:f>IF(A9="","",MAX(0,D9)*B9)</x:f>
      </x:c>
      <x:c r="F9" s="130" t="str">
        <x:f>IF(A9="","",IF(E9&gt;=6,"HIGH",IF(E9&gt;=3,"MEDIUM",IF(E9&gt;0,"LOW","MONITOR"))))</x:f>
      </x:c>
      <x:c r="G9" s="119"/>
      <x:c r="H9" s="119"/>
      <x:c r="I9" s="119"/>
      <x:c r="J9" s="99"/>
      <x:c r="K9" s="99"/>
      <x:c r="L9" s="99"/>
      <x:c r="M9" s="99"/>
      <x:c r="N9" s="99"/>
      <x:c r="O9" s="99"/>
      <x:c r="P9" s="99"/>
      <x:c r="Q9" s="99"/>
      <x:c r="R9" s="99"/>
      <x:c r="S9" s="99"/>
      <x:c r="T9" s="99"/>
      <x:c r="U9" s="99"/>
      <x:c r="V9" s="99"/>
      <x:c r="W9" s="99"/>
      <x:c r="X9" s="99"/>
      <x:c r="Y9" s="99"/>
      <x:c r="Z9" s="99"/>
    </x:row>
    <x:row r="10">
      <x:c r="A10" s="119"/>
      <x:c r="B10" s="141"/>
      <x:c r="C10" s="141"/>
      <x:c r="D10" s="133" t="str">
        <x:f>IF(A10="","",B10-C10)</x:f>
      </x:c>
      <x:c r="E10" s="133" t="str">
        <x:f>IF(A10="","",MAX(0,D10)*B10)</x:f>
      </x:c>
      <x:c r="F10" s="130" t="str">
        <x:f>IF(A10="","",IF(E10&gt;=6,"HIGH",IF(E10&gt;=3,"MEDIUM",IF(E10&gt;0,"LOW","MONITOR"))))</x:f>
      </x:c>
      <x:c r="G10" s="119"/>
      <x:c r="H10" s="119"/>
      <x:c r="I10" s="119"/>
      <x:c r="J10" s="99"/>
      <x:c r="K10" s="99"/>
      <x:c r="L10" s="99"/>
      <x:c r="M10" s="99"/>
      <x:c r="N10" s="99"/>
      <x:c r="O10" s="99"/>
      <x:c r="P10" s="99"/>
      <x:c r="Q10" s="99"/>
      <x:c r="R10" s="99"/>
      <x:c r="S10" s="99"/>
      <x:c r="T10" s="99"/>
      <x:c r="U10" s="99"/>
      <x:c r="V10" s="99"/>
      <x:c r="W10" s="99"/>
      <x:c r="X10" s="99"/>
      <x:c r="Y10" s="99"/>
      <x:c r="Z10" s="99"/>
    </x:row>
    <x:row r="11">
      <x:c r="A11" s="119"/>
      <x:c r="B11" s="141"/>
      <x:c r="C11" s="141"/>
      <x:c r="D11" s="133" t="str">
        <x:f>IF(A11="","",B11-C11)</x:f>
      </x:c>
      <x:c r="E11" s="133" t="str">
        <x:f>IF(A11="","",MAX(0,D11)*B11)</x:f>
      </x:c>
      <x:c r="F11" s="130" t="str">
        <x:f>IF(A11="","",IF(E11&gt;=6,"HIGH",IF(E11&gt;=3,"MEDIUM",IF(E11&gt;0,"LOW","MONITOR"))))</x:f>
      </x:c>
      <x:c r="G11" s="119"/>
      <x:c r="H11" s="119"/>
      <x:c r="I11" s="119"/>
      <x:c r="J11" s="99"/>
      <x:c r="K11" s="99"/>
      <x:c r="L11" s="99"/>
      <x:c r="M11" s="99"/>
      <x:c r="N11" s="99"/>
      <x:c r="O11" s="99"/>
      <x:c r="P11" s="99"/>
      <x:c r="Q11" s="99"/>
      <x:c r="R11" s="99"/>
      <x:c r="S11" s="99"/>
      <x:c r="T11" s="99"/>
      <x:c r="U11" s="99"/>
      <x:c r="V11" s="99"/>
      <x:c r="W11" s="99"/>
      <x:c r="X11" s="99"/>
      <x:c r="Y11" s="99"/>
      <x:c r="Z11" s="99"/>
    </x:row>
    <x:row r="12">
      <x:c r="A12" s="119"/>
      <x:c r="B12" s="141"/>
      <x:c r="C12" s="141"/>
      <x:c r="D12" s="133" t="str">
        <x:f>IF(A12="","",B12-C12)</x:f>
      </x:c>
      <x:c r="E12" s="133" t="str">
        <x:f>IF(A12="","",MAX(0,D12)*B12)</x:f>
      </x:c>
      <x:c r="F12" s="130" t="str">
        <x:f>IF(A12="","",IF(E12&gt;=6,"HIGH",IF(E12&gt;=3,"MEDIUM",IF(E12&gt;0,"LOW","MONITOR"))))</x:f>
      </x:c>
      <x:c r="G12" s="119"/>
      <x:c r="H12" s="119"/>
      <x:c r="I12" s="119"/>
      <x:c r="J12" s="99"/>
      <x:c r="K12" s="99"/>
      <x:c r="L12" s="99"/>
      <x:c r="M12" s="99"/>
      <x:c r="N12" s="99"/>
      <x:c r="O12" s="99"/>
      <x:c r="P12" s="99"/>
      <x:c r="Q12" s="99"/>
      <x:c r="R12" s="99"/>
      <x:c r="S12" s="99"/>
      <x:c r="T12" s="99"/>
      <x:c r="U12" s="99"/>
      <x:c r="V12" s="99"/>
      <x:c r="W12" s="99"/>
      <x:c r="X12" s="99"/>
      <x:c r="Y12" s="99"/>
      <x:c r="Z12" s="99"/>
    </x:row>
    <x:row r="13">
      <x:c r="A13" s="119"/>
      <x:c r="B13" s="141"/>
      <x:c r="C13" s="141"/>
      <x:c r="D13" s="133" t="str">
        <x:f>IF(A13="","",B13-C13)</x:f>
      </x:c>
      <x:c r="E13" s="133" t="str">
        <x:f>IF(A13="","",MAX(0,D13)*B13)</x:f>
      </x:c>
      <x:c r="F13" s="130" t="str">
        <x:f>IF(A13="","",IF(E13&gt;=6,"HIGH",IF(E13&gt;=3,"MEDIUM",IF(E13&gt;0,"LOW","MONITOR"))))</x:f>
      </x:c>
      <x:c r="G13" s="119"/>
      <x:c r="H13" s="119"/>
      <x:c r="I13" s="119"/>
      <x:c r="J13" s="99"/>
      <x:c r="K13" s="99"/>
      <x:c r="L13" s="99"/>
      <x:c r="M13" s="99"/>
      <x:c r="N13" s="99"/>
      <x:c r="O13" s="99"/>
      <x:c r="P13" s="99"/>
      <x:c r="Q13" s="99"/>
      <x:c r="R13" s="99"/>
      <x:c r="S13" s="99"/>
      <x:c r="T13" s="99"/>
      <x:c r="U13" s="99"/>
      <x:c r="V13" s="99"/>
      <x:c r="W13" s="99"/>
      <x:c r="X13" s="99"/>
      <x:c r="Y13" s="99"/>
      <x:c r="Z13" s="99"/>
    </x:row>
    <x:row r="14">
      <x:c r="A14" s="119"/>
      <x:c r="B14" s="141"/>
      <x:c r="C14" s="141"/>
      <x:c r="D14" s="133" t="str">
        <x:f>IF(A14="","",B14-C14)</x:f>
      </x:c>
      <x:c r="E14" s="133" t="str">
        <x:f>IF(A14="","",MAX(0,D14)*B14)</x:f>
      </x:c>
      <x:c r="F14" s="130" t="str">
        <x:f>IF(A14="","",IF(E14&gt;=6,"HIGH",IF(E14&gt;=3,"MEDIUM",IF(E14&gt;0,"LOW","MONITOR"))))</x:f>
      </x:c>
      <x:c r="G14" s="119"/>
      <x:c r="H14" s="119"/>
      <x:c r="I14" s="119"/>
      <x:c r="J14" s="99"/>
      <x:c r="K14" s="99"/>
      <x:c r="L14" s="99"/>
      <x:c r="M14" s="99"/>
      <x:c r="N14" s="99"/>
      <x:c r="O14" s="99"/>
      <x:c r="P14" s="99"/>
      <x:c r="Q14" s="99"/>
      <x:c r="R14" s="99"/>
      <x:c r="S14" s="99"/>
      <x:c r="T14" s="99"/>
      <x:c r="U14" s="99"/>
      <x:c r="V14" s="99"/>
      <x:c r="W14" s="99"/>
      <x:c r="X14" s="99"/>
      <x:c r="Y14" s="99"/>
      <x:c r="Z14" s="99"/>
    </x:row>
    <x:row r="15">
      <x:c r="A15" s="119"/>
      <x:c r="B15" s="141"/>
      <x:c r="C15" s="141"/>
      <x:c r="D15" s="133" t="str">
        <x:f>IF(A15="","",B15-C15)</x:f>
      </x:c>
      <x:c r="E15" s="133" t="str">
        <x:f>IF(A15="","",MAX(0,D15)*B15)</x:f>
      </x:c>
      <x:c r="F15" s="130" t="str">
        <x:f>IF(A15="","",IF(E15&gt;=6,"HIGH",IF(E15&gt;=3,"MEDIUM",IF(E15&gt;0,"LOW","MONITOR"))))</x:f>
      </x:c>
      <x:c r="G15" s="119"/>
      <x:c r="H15" s="119"/>
      <x:c r="I15" s="119"/>
      <x:c r="J15" s="99"/>
      <x:c r="K15" s="99"/>
      <x:c r="L15" s="99"/>
      <x:c r="M15" s="99"/>
      <x:c r="N15" s="99"/>
      <x:c r="O15" s="99"/>
      <x:c r="P15" s="99"/>
      <x:c r="Q15" s="99"/>
      <x:c r="R15" s="99"/>
      <x:c r="S15" s="99"/>
      <x:c r="T15" s="99"/>
      <x:c r="U15" s="99"/>
      <x:c r="V15" s="99"/>
      <x:c r="W15" s="99"/>
      <x:c r="X15" s="99"/>
      <x:c r="Y15" s="99"/>
      <x:c r="Z15" s="99"/>
    </x:row>
    <x:row r="16">
      <x:c r="A16" s="119"/>
      <x:c r="B16" s="141"/>
      <x:c r="C16" s="141"/>
      <x:c r="D16" s="133" t="str">
        <x:f>IF(A16="","",B16-C16)</x:f>
      </x:c>
      <x:c r="E16" s="133" t="str">
        <x:f>IF(A16="","",MAX(0,D16)*B16)</x:f>
      </x:c>
      <x:c r="F16" s="130" t="str">
        <x:f>IF(A16="","",IF(E16&gt;=6,"HIGH",IF(E16&gt;=3,"MEDIUM",IF(E16&gt;0,"LOW","MONITOR"))))</x:f>
      </x:c>
      <x:c r="G16" s="119"/>
      <x:c r="H16" s="119"/>
      <x:c r="I16" s="119"/>
      <x:c r="J16" s="99"/>
      <x:c r="K16" s="99"/>
      <x:c r="L16" s="99"/>
      <x:c r="M16" s="99"/>
      <x:c r="N16" s="99"/>
      <x:c r="O16" s="99"/>
      <x:c r="P16" s="99"/>
      <x:c r="Q16" s="99"/>
      <x:c r="R16" s="99"/>
      <x:c r="S16" s="99"/>
      <x:c r="T16" s="99"/>
      <x:c r="U16" s="99"/>
      <x:c r="V16" s="99"/>
      <x:c r="W16" s="99"/>
      <x:c r="X16" s="99"/>
      <x:c r="Y16" s="99"/>
      <x:c r="Z16" s="99"/>
    </x:row>
    <x:row r="17">
      <x:c r="A17" s="119"/>
      <x:c r="B17" s="141"/>
      <x:c r="C17" s="141"/>
      <x:c r="D17" s="133" t="str">
        <x:f>IF(A17="","",B17-C17)</x:f>
      </x:c>
      <x:c r="E17" s="133" t="str">
        <x:f>IF(A17="","",MAX(0,D17)*B17)</x:f>
      </x:c>
      <x:c r="F17" s="130" t="str">
        <x:f>IF(A17="","",IF(E17&gt;=6,"HIGH",IF(E17&gt;=3,"MEDIUM",IF(E17&gt;0,"LOW","MONITOR"))))</x:f>
      </x:c>
      <x:c r="G17" s="119"/>
      <x:c r="H17" s="119"/>
      <x:c r="I17" s="119"/>
      <x:c r="J17" s="99"/>
      <x:c r="K17" s="99"/>
      <x:c r="L17" s="99"/>
      <x:c r="M17" s="99"/>
      <x:c r="N17" s="99"/>
      <x:c r="O17" s="99"/>
      <x:c r="P17" s="99"/>
      <x:c r="Q17" s="99"/>
      <x:c r="R17" s="99"/>
      <x:c r="S17" s="99"/>
      <x:c r="T17" s="99"/>
      <x:c r="U17" s="99"/>
      <x:c r="V17" s="99"/>
      <x:c r="W17" s="99"/>
      <x:c r="X17" s="99"/>
      <x:c r="Y17" s="99"/>
      <x:c r="Z17" s="99"/>
    </x:row>
    <x:row r="18">
      <x:c r="A18" s="119"/>
      <x:c r="B18" s="141"/>
      <x:c r="C18" s="141"/>
      <x:c r="D18" s="133" t="str">
        <x:f>IF(A18="","",B18-C18)</x:f>
      </x:c>
      <x:c r="E18" s="133" t="str">
        <x:f>IF(A18="","",MAX(0,D18)*B18)</x:f>
      </x:c>
      <x:c r="F18" s="130" t="str">
        <x:f>IF(A18="","",IF(E18&gt;=6,"HIGH",IF(E18&gt;=3,"MEDIUM",IF(E18&gt;0,"LOW","MONITOR"))))</x:f>
      </x:c>
      <x:c r="G18" s="119"/>
      <x:c r="H18" s="119"/>
      <x:c r="I18" s="119"/>
      <x:c r="J18" s="99"/>
      <x:c r="K18" s="99"/>
      <x:c r="L18" s="99"/>
      <x:c r="M18" s="99"/>
      <x:c r="N18" s="99"/>
      <x:c r="O18" s="99"/>
      <x:c r="P18" s="99"/>
      <x:c r="Q18" s="99"/>
      <x:c r="R18" s="99"/>
      <x:c r="S18" s="99"/>
      <x:c r="T18" s="99"/>
      <x:c r="U18" s="99"/>
      <x:c r="V18" s="99"/>
      <x:c r="W18" s="99"/>
      <x:c r="X18" s="99"/>
      <x:c r="Y18" s="99"/>
      <x:c r="Z18" s="99"/>
    </x:row>
    <x:row r="19">
      <x:c r="A19" s="119"/>
      <x:c r="B19" s="141"/>
      <x:c r="C19" s="141"/>
      <x:c r="D19" s="133" t="str">
        <x:f>IF(A19="","",B19-C19)</x:f>
      </x:c>
      <x:c r="E19" s="133" t="str">
        <x:f>IF(A19="","",MAX(0,D19)*B19)</x:f>
      </x:c>
      <x:c r="F19" s="130" t="str">
        <x:f>IF(A19="","",IF(E19&gt;=6,"HIGH",IF(E19&gt;=3,"MEDIUM",IF(E19&gt;0,"LOW","MONITOR"))))</x:f>
      </x:c>
      <x:c r="G19" s="119"/>
      <x:c r="H19" s="119"/>
      <x:c r="I19" s="119"/>
      <x:c r="J19" s="99"/>
      <x:c r="K19" s="99"/>
      <x:c r="L19" s="99"/>
      <x:c r="M19" s="99"/>
      <x:c r="N19" s="99"/>
      <x:c r="O19" s="99"/>
      <x:c r="P19" s="99"/>
      <x:c r="Q19" s="99"/>
      <x:c r="R19" s="99"/>
      <x:c r="S19" s="99"/>
      <x:c r="T19" s="99"/>
      <x:c r="U19" s="99"/>
      <x:c r="V19" s="99"/>
      <x:c r="W19" s="99"/>
      <x:c r="X19" s="99"/>
      <x:c r="Y19" s="99"/>
      <x:c r="Z19" s="99"/>
    </x:row>
    <x:row r="20">
      <x:c r="A20" s="119"/>
      <x:c r="B20" s="141"/>
      <x:c r="C20" s="141"/>
      <x:c r="D20" s="133" t="str">
        <x:f>IF(A20="","",B20-C20)</x:f>
      </x:c>
      <x:c r="E20" s="133" t="str">
        <x:f>IF(A20="","",MAX(0,D20)*B20)</x:f>
      </x:c>
      <x:c r="F20" s="130" t="str">
        <x:f>IF(A20="","",IF(E20&gt;=6,"HIGH",IF(E20&gt;=3,"MEDIUM",IF(E20&gt;0,"LOW","MONITOR"))))</x:f>
      </x:c>
      <x:c r="G20" s="119"/>
      <x:c r="H20" s="119"/>
      <x:c r="I20" s="119"/>
      <x:c r="J20" s="99"/>
      <x:c r="K20" s="99"/>
      <x:c r="L20" s="99"/>
      <x:c r="M20" s="99"/>
      <x:c r="N20" s="99"/>
      <x:c r="O20" s="99"/>
      <x:c r="P20" s="99"/>
      <x:c r="Q20" s="99"/>
      <x:c r="R20" s="99"/>
      <x:c r="S20" s="99"/>
      <x:c r="T20" s="99"/>
      <x:c r="U20" s="99"/>
      <x:c r="V20" s="99"/>
      <x:c r="W20" s="99"/>
      <x:c r="X20" s="99"/>
      <x:c r="Y20" s="99"/>
      <x:c r="Z20" s="99"/>
    </x:row>
    <x:row r="21">
      <x:c r="A21" s="119"/>
      <x:c r="B21" s="141"/>
      <x:c r="C21" s="141"/>
      <x:c r="D21" s="133" t="str">
        <x:f>IF(A21="","",B21-C21)</x:f>
      </x:c>
      <x:c r="E21" s="133" t="str">
        <x:f>IF(A21="","",MAX(0,D21)*B21)</x:f>
      </x:c>
      <x:c r="F21" s="130" t="str">
        <x:f>IF(A21="","",IF(E21&gt;=6,"HIGH",IF(E21&gt;=3,"MEDIUM",IF(E21&gt;0,"LOW","MONITOR"))))</x:f>
      </x:c>
      <x:c r="G21" s="119"/>
      <x:c r="H21" s="119"/>
      <x:c r="I21" s="119"/>
      <x:c r="J21" s="99"/>
      <x:c r="K21" s="99"/>
      <x:c r="L21" s="99"/>
      <x:c r="M21" s="99"/>
      <x:c r="N21" s="99"/>
      <x:c r="O21" s="99"/>
      <x:c r="P21" s="99"/>
      <x:c r="Q21" s="99"/>
      <x:c r="R21" s="99"/>
      <x:c r="S21" s="99"/>
      <x:c r="T21" s="99"/>
      <x:c r="U21" s="99"/>
      <x:c r="V21" s="99"/>
      <x:c r="W21" s="99"/>
      <x:c r="X21" s="99"/>
      <x:c r="Y21" s="99"/>
      <x:c r="Z21" s="99"/>
    </x:row>
    <x:row r="22">
      <x:c r="A22" s="119"/>
      <x:c r="B22" s="141"/>
      <x:c r="C22" s="141"/>
      <x:c r="D22" s="133" t="str">
        <x:f>IF(A22="","",B22-C22)</x:f>
      </x:c>
      <x:c r="E22" s="133" t="str">
        <x:f>IF(A22="","",MAX(0,D22)*B22)</x:f>
      </x:c>
      <x:c r="F22" s="130" t="str">
        <x:f>IF(A22="","",IF(E22&gt;=6,"HIGH",IF(E22&gt;=3,"MEDIUM",IF(E22&gt;0,"LOW","MONITOR"))))</x:f>
      </x:c>
      <x:c r="G22" s="119"/>
      <x:c r="H22" s="119"/>
      <x:c r="I22" s="119"/>
      <x:c r="J22" s="99"/>
      <x:c r="K22" s="99"/>
      <x:c r="L22" s="99"/>
      <x:c r="M22" s="99"/>
      <x:c r="N22" s="99"/>
      <x:c r="O22" s="99"/>
      <x:c r="P22" s="99"/>
      <x:c r="Q22" s="99"/>
      <x:c r="R22" s="99"/>
      <x:c r="S22" s="99"/>
      <x:c r="T22" s="99"/>
      <x:c r="U22" s="99"/>
      <x:c r="V22" s="99"/>
      <x:c r="W22" s="99"/>
      <x:c r="X22" s="99"/>
      <x:c r="Y22" s="99"/>
      <x:c r="Z22" s="99"/>
    </x:row>
    <x:row r="23">
      <x:c r="A23" s="119"/>
      <x:c r="B23" s="141"/>
      <x:c r="C23" s="141"/>
      <x:c r="D23" s="133" t="str">
        <x:f>IF(A23="","",B23-C23)</x:f>
      </x:c>
      <x:c r="E23" s="133" t="str">
        <x:f>IF(A23="","",MAX(0,D23)*B23)</x:f>
      </x:c>
      <x:c r="F23" s="130" t="str">
        <x:f>IF(A23="","",IF(E23&gt;=6,"HIGH",IF(E23&gt;=3,"MEDIUM",IF(E23&gt;0,"LOW","MONITOR"))))</x:f>
      </x:c>
      <x:c r="G23" s="119"/>
      <x:c r="H23" s="119"/>
      <x:c r="I23" s="119"/>
      <x:c r="J23" s="99"/>
      <x:c r="K23" s="99"/>
      <x:c r="L23" s="99"/>
      <x:c r="M23" s="99"/>
      <x:c r="N23" s="99"/>
      <x:c r="O23" s="99"/>
      <x:c r="P23" s="99"/>
      <x:c r="Q23" s="99"/>
      <x:c r="R23" s="99"/>
      <x:c r="S23" s="99"/>
      <x:c r="T23" s="99"/>
      <x:c r="U23" s="99"/>
      <x:c r="V23" s="99"/>
      <x:c r="W23" s="99"/>
      <x:c r="X23" s="99"/>
      <x:c r="Y23" s="99"/>
      <x:c r="Z23" s="99"/>
    </x:row>
    <x:row r="24">
      <x:c r="A24" s="99"/>
      <x:c r="B24" s="99"/>
      <x:c r="C24" s="99"/>
      <x:c r="D24" s="99"/>
      <x:c r="E24" s="99"/>
      <x:c r="F24" s="99"/>
      <x:c r="G24" s="99"/>
      <x:c r="H24" s="99"/>
      <x:c r="I24" s="99"/>
      <x:c r="J24" s="99"/>
      <x:c r="K24" s="99"/>
      <x:c r="L24" s="99"/>
      <x:c r="M24" s="99"/>
      <x:c r="N24" s="99"/>
      <x:c r="O24" s="99"/>
      <x:c r="P24" s="99"/>
      <x:c r="Q24" s="99"/>
      <x:c r="R24" s="99"/>
      <x:c r="S24" s="99"/>
      <x:c r="T24" s="99"/>
      <x:c r="U24" s="99"/>
      <x:c r="V24" s="99"/>
      <x:c r="W24" s="99"/>
      <x:c r="X24" s="99"/>
      <x:c r="Y24" s="99"/>
      <x:c r="Z24" s="99"/>
    </x:row>
    <x:row r="25">
      <x:c r="A25" s="99"/>
      <x:c r="B25" s="99"/>
      <x:c r="C25" s="99"/>
      <x:c r="D25" s="99"/>
      <x:c r="E25" s="99"/>
      <x:c r="F25" s="99"/>
      <x:c r="G25" s="99"/>
      <x:c r="H25" s="99"/>
      <x:c r="I25" s="99"/>
      <x:c r="J25" s="99"/>
      <x:c r="K25" s="99"/>
      <x:c r="L25" s="99"/>
      <x:c r="M25" s="99"/>
      <x:c r="N25" s="99"/>
      <x:c r="O25" s="99"/>
      <x:c r="P25" s="99"/>
      <x:c r="Q25" s="99"/>
      <x:c r="R25" s="99"/>
      <x:c r="S25" s="99"/>
      <x:c r="T25" s="99"/>
      <x:c r="U25" s="99"/>
      <x:c r="V25" s="99"/>
      <x:c r="W25" s="99"/>
      <x:c r="X25" s="99"/>
      <x:c r="Y25" s="99"/>
      <x:c r="Z25" s="99"/>
    </x:row>
    <x:row r="26">
      <x:c r="A26" s="99"/>
      <x:c r="B26" s="99"/>
      <x:c r="C26" s="99"/>
      <x:c r="D26" s="99"/>
      <x:c r="E26" s="99"/>
      <x:c r="F26" s="99"/>
      <x:c r="G26" s="99"/>
      <x:c r="H26" s="99"/>
      <x:c r="I26" s="99"/>
      <x:c r="J26" s="99"/>
      <x:c r="K26" s="99"/>
      <x:c r="L26" s="99"/>
      <x:c r="M26" s="99"/>
      <x:c r="N26" s="99"/>
      <x:c r="O26" s="99"/>
      <x:c r="P26" s="99"/>
      <x:c r="Q26" s="99"/>
      <x:c r="R26" s="99"/>
      <x:c r="S26" s="99"/>
      <x:c r="T26" s="99"/>
      <x:c r="U26" s="99"/>
      <x:c r="V26" s="99"/>
      <x:c r="W26" s="99"/>
      <x:c r="X26" s="99"/>
      <x:c r="Y26" s="99"/>
      <x:c r="Z26" s="99"/>
    </x:row>
    <x:row r="27">
      <x:c r="A27" s="99"/>
      <x:c r="B27" s="99"/>
      <x:c r="C27" s="99"/>
      <x:c r="D27" s="99"/>
      <x:c r="E27" s="99"/>
      <x:c r="F27" s="99"/>
      <x:c r="G27" s="99"/>
      <x:c r="H27" s="99"/>
      <x:c r="I27" s="99"/>
      <x:c r="J27" s="99"/>
      <x:c r="K27" s="99"/>
      <x:c r="L27" s="99"/>
      <x:c r="M27" s="99"/>
      <x:c r="N27" s="99"/>
      <x:c r="O27" s="99"/>
      <x:c r="P27" s="99"/>
      <x:c r="Q27" s="99"/>
      <x:c r="R27" s="99"/>
      <x:c r="S27" s="99"/>
      <x:c r="T27" s="99"/>
      <x:c r="U27" s="99"/>
      <x:c r="V27" s="99"/>
      <x:c r="W27" s="99"/>
      <x:c r="X27" s="99"/>
      <x:c r="Y27" s="99"/>
      <x:c r="Z27" s="99"/>
    </x:row>
    <x:row r="28">
      <x:c r="A28" s="99"/>
      <x:c r="B28" s="99"/>
      <x:c r="C28" s="99"/>
      <x:c r="D28" s="99"/>
      <x:c r="E28" s="99"/>
      <x:c r="F28" s="99"/>
      <x:c r="G28" s="99"/>
      <x:c r="H28" s="99"/>
      <x:c r="I28" s="99"/>
      <x:c r="J28" s="99"/>
      <x:c r="K28" s="99"/>
      <x:c r="L28" s="99"/>
      <x:c r="M28" s="99"/>
      <x:c r="N28" s="99"/>
      <x:c r="O28" s="99"/>
      <x:c r="P28" s="99"/>
      <x:c r="Q28" s="99"/>
      <x:c r="R28" s="99"/>
      <x:c r="S28" s="99"/>
      <x:c r="T28" s="99"/>
      <x:c r="U28" s="99"/>
      <x:c r="V28" s="99"/>
      <x:c r="W28" s="99"/>
      <x:c r="X28" s="99"/>
      <x:c r="Y28" s="99"/>
      <x:c r="Z28" s="99"/>
    </x:row>
    <x:row r="29">
      <x:c r="A29" s="99"/>
      <x:c r="B29" s="99"/>
      <x:c r="C29" s="99"/>
      <x:c r="D29" s="99"/>
      <x:c r="E29" s="99"/>
      <x:c r="F29" s="99"/>
      <x:c r="G29" s="99"/>
      <x:c r="H29" s="99"/>
      <x:c r="I29" s="99"/>
      <x:c r="J29" s="99"/>
      <x:c r="K29" s="99"/>
      <x:c r="L29" s="99"/>
      <x:c r="M29" s="99"/>
      <x:c r="N29" s="99"/>
      <x:c r="O29" s="99"/>
      <x:c r="P29" s="99"/>
      <x:c r="Q29" s="99"/>
      <x:c r="R29" s="99"/>
      <x:c r="S29" s="99"/>
      <x:c r="T29" s="99"/>
      <x:c r="U29" s="99"/>
      <x:c r="V29" s="99"/>
      <x:c r="W29" s="99"/>
      <x:c r="X29" s="99"/>
      <x:c r="Y29" s="99"/>
      <x:c r="Z29" s="99"/>
    </x:row>
    <x:row r="30">
      <x:c r="A30" s="99"/>
      <x:c r="B30" s="99"/>
      <x:c r="C30" s="99"/>
      <x:c r="D30" s="99"/>
      <x:c r="E30" s="99"/>
      <x:c r="F30" s="99"/>
      <x:c r="G30" s="99"/>
      <x:c r="H30" s="99"/>
      <x:c r="I30" s="99"/>
      <x:c r="J30" s="99"/>
      <x:c r="K30" s="99"/>
      <x:c r="L30" s="99"/>
      <x:c r="M30" s="99"/>
      <x:c r="N30" s="99"/>
      <x:c r="O30" s="99"/>
      <x:c r="P30" s="99"/>
      <x:c r="Q30" s="99"/>
      <x:c r="R30" s="99"/>
      <x:c r="S30" s="99"/>
      <x:c r="T30" s="99"/>
      <x:c r="U30" s="99"/>
      <x:c r="V30" s="99"/>
      <x:c r="W30" s="99"/>
      <x:c r="X30" s="99"/>
      <x:c r="Y30" s="99"/>
      <x:c r="Z30" s="99"/>
    </x:row>
    <x:row r="31">
      <x:c r="A31" s="99"/>
      <x:c r="B31" s="99"/>
      <x:c r="C31" s="99"/>
      <x:c r="D31" s="99"/>
      <x:c r="E31" s="99"/>
      <x:c r="F31" s="99"/>
      <x:c r="G31" s="99"/>
      <x:c r="H31" s="99"/>
      <x:c r="I31" s="99"/>
      <x:c r="J31" s="99"/>
      <x:c r="K31" s="99"/>
      <x:c r="L31" s="99"/>
      <x:c r="M31" s="99"/>
      <x:c r="N31" s="99"/>
      <x:c r="O31" s="99"/>
      <x:c r="P31" s="99"/>
      <x:c r="Q31" s="99"/>
      <x:c r="R31" s="99"/>
      <x:c r="S31" s="99"/>
      <x:c r="T31" s="99"/>
      <x:c r="U31" s="99"/>
      <x:c r="V31" s="99"/>
      <x:c r="W31" s="99"/>
      <x:c r="X31" s="99"/>
      <x:c r="Y31" s="99"/>
      <x:c r="Z31" s="99"/>
    </x:row>
    <x:row r="32">
      <x:c r="A32" s="99"/>
      <x:c r="B32" s="99"/>
      <x:c r="C32" s="99"/>
      <x:c r="D32" s="99"/>
      <x:c r="E32" s="99"/>
      <x:c r="F32" s="99"/>
      <x:c r="G32" s="99"/>
      <x:c r="H32" s="99"/>
      <x:c r="I32" s="99"/>
      <x:c r="J32" s="99"/>
      <x:c r="K32" s="99"/>
      <x:c r="L32" s="99"/>
      <x:c r="M32" s="99"/>
      <x:c r="N32" s="99"/>
      <x:c r="O32" s="99"/>
      <x:c r="P32" s="99"/>
      <x:c r="Q32" s="99"/>
      <x:c r="R32" s="99"/>
      <x:c r="S32" s="99"/>
      <x:c r="T32" s="99"/>
      <x:c r="U32" s="99"/>
      <x:c r="V32" s="99"/>
      <x:c r="W32" s="99"/>
      <x:c r="X32" s="99"/>
      <x:c r="Y32" s="99"/>
      <x:c r="Z32" s="99"/>
    </x:row>
    <x:row r="33">
      <x:c r="A33" s="99"/>
      <x:c r="B33" s="99"/>
      <x:c r="C33" s="99"/>
      <x:c r="D33" s="99"/>
      <x:c r="E33" s="99"/>
      <x:c r="F33" s="99"/>
      <x:c r="G33" s="99"/>
      <x:c r="H33" s="99"/>
      <x:c r="I33" s="99"/>
      <x:c r="J33" s="99"/>
      <x:c r="K33" s="99"/>
      <x:c r="L33" s="99"/>
      <x:c r="M33" s="99"/>
      <x:c r="N33" s="99"/>
      <x:c r="O33" s="99"/>
      <x:c r="P33" s="99"/>
      <x:c r="Q33" s="99"/>
      <x:c r="R33" s="99"/>
      <x:c r="S33" s="99"/>
      <x:c r="T33" s="99"/>
      <x:c r="U33" s="99"/>
      <x:c r="V33" s="99"/>
      <x:c r="W33" s="99"/>
      <x:c r="X33" s="99"/>
      <x:c r="Y33" s="99"/>
      <x:c r="Z33" s="99"/>
    </x:row>
    <x:row r="34">
      <x:c r="A34" s="99"/>
      <x:c r="B34" s="99"/>
      <x:c r="C34" s="99"/>
      <x:c r="D34" s="99"/>
      <x:c r="E34" s="99"/>
      <x:c r="F34" s="99"/>
      <x:c r="G34" s="99"/>
      <x:c r="H34" s="99"/>
      <x:c r="I34" s="99"/>
      <x:c r="J34" s="99"/>
      <x:c r="K34" s="99"/>
      <x:c r="L34" s="99"/>
      <x:c r="M34" s="99"/>
      <x:c r="N34" s="99"/>
      <x:c r="O34" s="99"/>
      <x:c r="P34" s="99"/>
      <x:c r="Q34" s="99"/>
      <x:c r="R34" s="99"/>
      <x:c r="S34" s="99"/>
      <x:c r="T34" s="99"/>
      <x:c r="U34" s="99"/>
      <x:c r="V34" s="99"/>
      <x:c r="W34" s="99"/>
      <x:c r="X34" s="99"/>
      <x:c r="Y34" s="99"/>
      <x:c r="Z34" s="99"/>
    </x:row>
    <x:row r="35">
      <x:c r="A35" s="99"/>
      <x:c r="B35" s="99"/>
      <x:c r="C35" s="99"/>
      <x:c r="D35" s="99"/>
      <x:c r="E35" s="99"/>
      <x:c r="F35" s="99"/>
      <x:c r="G35" s="99"/>
      <x:c r="H35" s="99"/>
      <x:c r="I35" s="99"/>
      <x:c r="J35" s="99"/>
      <x:c r="K35" s="99"/>
      <x:c r="L35" s="99"/>
      <x:c r="M35" s="99"/>
      <x:c r="N35" s="99"/>
      <x:c r="O35" s="99"/>
      <x:c r="P35" s="99"/>
      <x:c r="Q35" s="99"/>
      <x:c r="R35" s="99"/>
      <x:c r="S35" s="99"/>
      <x:c r="T35" s="99"/>
      <x:c r="U35" s="99"/>
      <x:c r="V35" s="99"/>
      <x:c r="W35" s="99"/>
      <x:c r="X35" s="99"/>
      <x:c r="Y35" s="99"/>
      <x:c r="Z35" s="99"/>
    </x:row>
    <x:row r="36">
      <x:c r="A36" s="99"/>
      <x:c r="B36" s="99"/>
      <x:c r="C36" s="99"/>
      <x:c r="D36" s="99"/>
      <x:c r="E36" s="99"/>
      <x:c r="F36" s="99"/>
      <x:c r="G36" s="99"/>
      <x:c r="H36" s="99"/>
      <x:c r="I36" s="99"/>
      <x:c r="J36" s="99"/>
      <x:c r="K36" s="99"/>
      <x:c r="L36" s="99"/>
      <x:c r="M36" s="99"/>
      <x:c r="N36" s="99"/>
      <x:c r="O36" s="99"/>
      <x:c r="P36" s="99"/>
      <x:c r="Q36" s="99"/>
      <x:c r="R36" s="99"/>
      <x:c r="S36" s="99"/>
      <x:c r="T36" s="99"/>
      <x:c r="U36" s="99"/>
      <x:c r="V36" s="99"/>
      <x:c r="W36" s="99"/>
      <x:c r="X36" s="99"/>
      <x:c r="Y36" s="99"/>
      <x:c r="Z36" s="99"/>
    </x:row>
    <x:row r="37">
      <x:c r="A37" s="99"/>
      <x:c r="B37" s="99"/>
      <x:c r="C37" s="99"/>
      <x:c r="D37" s="99"/>
      <x:c r="E37" s="99"/>
      <x:c r="F37" s="99"/>
      <x:c r="G37" s="99"/>
      <x:c r="H37" s="99"/>
      <x:c r="I37" s="99"/>
      <x:c r="J37" s="99"/>
      <x:c r="K37" s="99"/>
      <x:c r="L37" s="99"/>
      <x:c r="M37" s="99"/>
      <x:c r="N37" s="99"/>
      <x:c r="O37" s="99"/>
      <x:c r="P37" s="99"/>
      <x:c r="Q37" s="99"/>
      <x:c r="R37" s="99"/>
      <x:c r="S37" s="99"/>
      <x:c r="T37" s="99"/>
      <x:c r="U37" s="99"/>
      <x:c r="V37" s="99"/>
      <x:c r="W37" s="99"/>
      <x:c r="X37" s="99"/>
      <x:c r="Y37" s="99"/>
      <x:c r="Z37" s="99"/>
    </x:row>
    <x:row r="38">
      <x:c r="A38" s="99"/>
      <x:c r="B38" s="99"/>
      <x:c r="C38" s="99"/>
      <x:c r="D38" s="99"/>
      <x:c r="E38" s="99"/>
      <x:c r="F38" s="99"/>
      <x:c r="G38" s="99"/>
      <x:c r="H38" s="99"/>
      <x:c r="I38" s="99"/>
      <x:c r="J38" s="99"/>
      <x:c r="K38" s="99"/>
      <x:c r="L38" s="99"/>
      <x:c r="M38" s="99"/>
      <x:c r="N38" s="99"/>
      <x:c r="O38" s="99"/>
      <x:c r="P38" s="99"/>
      <x:c r="Q38" s="99"/>
      <x:c r="R38" s="99"/>
      <x:c r="S38" s="99"/>
      <x:c r="T38" s="99"/>
      <x:c r="U38" s="99"/>
      <x:c r="V38" s="99"/>
      <x:c r="W38" s="99"/>
      <x:c r="X38" s="99"/>
      <x:c r="Y38" s="99"/>
      <x:c r="Z38" s="99"/>
    </x:row>
    <x:row r="39">
      <x:c r="A39" s="99"/>
      <x:c r="B39" s="99"/>
      <x:c r="C39" s="99"/>
      <x:c r="D39" s="99"/>
      <x:c r="E39" s="99"/>
      <x:c r="F39" s="99"/>
      <x:c r="G39" s="99"/>
      <x:c r="H39" s="99"/>
      <x:c r="I39" s="99"/>
      <x:c r="J39" s="99"/>
      <x:c r="K39" s="99"/>
      <x:c r="L39" s="99"/>
      <x:c r="M39" s="99"/>
      <x:c r="N39" s="99"/>
      <x:c r="O39" s="99"/>
      <x:c r="P39" s="99"/>
      <x:c r="Q39" s="99"/>
      <x:c r="R39" s="99"/>
      <x:c r="S39" s="99"/>
      <x:c r="T39" s="99"/>
      <x:c r="U39" s="99"/>
      <x:c r="V39" s="99"/>
      <x:c r="W39" s="99"/>
      <x:c r="X39" s="99"/>
      <x:c r="Y39" s="99"/>
      <x:c r="Z39" s="99"/>
    </x:row>
    <x:row r="40">
      <x:c r="A40" s="99"/>
      <x:c r="B40" s="99"/>
      <x:c r="C40" s="99"/>
      <x:c r="D40" s="99"/>
      <x:c r="E40" s="99"/>
      <x:c r="F40" s="99"/>
      <x:c r="G40" s="99"/>
      <x:c r="H40" s="99"/>
      <x:c r="I40" s="99"/>
      <x:c r="J40" s="99"/>
      <x:c r="K40" s="99"/>
      <x:c r="L40" s="99"/>
      <x:c r="M40" s="99"/>
      <x:c r="N40" s="99"/>
      <x:c r="O40" s="99"/>
      <x:c r="P40" s="99"/>
      <x:c r="Q40" s="99"/>
      <x:c r="R40" s="99"/>
      <x:c r="S40" s="99"/>
      <x:c r="T40" s="99"/>
      <x:c r="U40" s="99"/>
      <x:c r="V40" s="99"/>
      <x:c r="W40" s="99"/>
      <x:c r="X40" s="99"/>
      <x:c r="Y40" s="99"/>
      <x:c r="Z40" s="99"/>
    </x:row>
    <x:row r="41">
      <x:c r="A41" s="99"/>
      <x:c r="B41" s="99"/>
      <x:c r="C41" s="99"/>
      <x:c r="D41" s="99"/>
      <x:c r="E41" s="99"/>
      <x:c r="F41" s="99"/>
      <x:c r="G41" s="99"/>
      <x:c r="H41" s="99"/>
      <x:c r="I41" s="99"/>
      <x:c r="J41" s="99"/>
      <x:c r="K41" s="99"/>
      <x:c r="L41" s="99"/>
      <x:c r="M41" s="99"/>
      <x:c r="N41" s="99"/>
      <x:c r="O41" s="99"/>
      <x:c r="P41" s="99"/>
      <x:c r="Q41" s="99"/>
      <x:c r="R41" s="99"/>
      <x:c r="S41" s="99"/>
      <x:c r="T41" s="99"/>
      <x:c r="U41" s="99"/>
      <x:c r="V41" s="99"/>
      <x:c r="W41" s="99"/>
      <x:c r="X41" s="99"/>
      <x:c r="Y41" s="99"/>
      <x:c r="Z41" s="99"/>
    </x:row>
    <x:row r="42">
      <x:c r="A42" s="99"/>
      <x:c r="B42" s="99"/>
      <x:c r="C42" s="99"/>
      <x:c r="D42" s="99"/>
      <x:c r="E42" s="99"/>
      <x:c r="F42" s="99"/>
      <x:c r="G42" s="99"/>
      <x:c r="H42" s="99"/>
      <x:c r="I42" s="99"/>
      <x:c r="J42" s="99"/>
      <x:c r="K42" s="99"/>
      <x:c r="L42" s="99"/>
      <x:c r="M42" s="99"/>
      <x:c r="N42" s="99"/>
      <x:c r="O42" s="99"/>
      <x:c r="P42" s="99"/>
      <x:c r="Q42" s="99"/>
      <x:c r="R42" s="99"/>
      <x:c r="S42" s="99"/>
      <x:c r="T42" s="99"/>
      <x:c r="U42" s="99"/>
      <x:c r="V42" s="99"/>
      <x:c r="W42" s="99"/>
      <x:c r="X42" s="99"/>
      <x:c r="Y42" s="99"/>
      <x:c r="Z42" s="99"/>
    </x:row>
    <x:row r="43">
      <x:c r="A43" s="99"/>
      <x:c r="B43" s="99"/>
      <x:c r="C43" s="99"/>
      <x:c r="D43" s="99"/>
      <x:c r="E43" s="99"/>
      <x:c r="F43" s="99"/>
      <x:c r="G43" s="99"/>
      <x:c r="H43" s="99"/>
      <x:c r="I43" s="99"/>
      <x:c r="J43" s="99"/>
      <x:c r="K43" s="99"/>
      <x:c r="L43" s="99"/>
      <x:c r="M43" s="99"/>
      <x:c r="N43" s="99"/>
      <x:c r="O43" s="99"/>
      <x:c r="P43" s="99"/>
      <x:c r="Q43" s="99"/>
      <x:c r="R43" s="99"/>
      <x:c r="S43" s="99"/>
      <x:c r="T43" s="99"/>
      <x:c r="U43" s="99"/>
      <x:c r="V43" s="99"/>
      <x:c r="W43" s="99"/>
      <x:c r="X43" s="99"/>
      <x:c r="Y43" s="99"/>
      <x:c r="Z43" s="99"/>
    </x:row>
    <x:row r="44">
      <x:c r="A44" s="99"/>
      <x:c r="B44" s="99"/>
      <x:c r="C44" s="99"/>
      <x:c r="D44" s="99"/>
      <x:c r="E44" s="99"/>
      <x:c r="F44" s="99"/>
      <x:c r="G44" s="99"/>
      <x:c r="H44" s="99"/>
      <x:c r="I44" s="99"/>
      <x:c r="J44" s="99"/>
      <x:c r="K44" s="99"/>
      <x:c r="L44" s="99"/>
      <x:c r="M44" s="99"/>
      <x:c r="N44" s="99"/>
      <x:c r="O44" s="99"/>
      <x:c r="P44" s="99"/>
      <x:c r="Q44" s="99"/>
      <x:c r="R44" s="99"/>
      <x:c r="S44" s="99"/>
      <x:c r="T44" s="99"/>
      <x:c r="U44" s="99"/>
      <x:c r="V44" s="99"/>
      <x:c r="W44" s="99"/>
      <x:c r="X44" s="99"/>
      <x:c r="Y44" s="99"/>
      <x:c r="Z44" s="99"/>
    </x:row>
    <x:row r="45">
      <x:c r="A45" s="99"/>
      <x:c r="B45" s="99"/>
      <x:c r="C45" s="99"/>
      <x:c r="D45" s="99"/>
      <x:c r="E45" s="99"/>
      <x:c r="F45" s="99"/>
      <x:c r="G45" s="99"/>
      <x:c r="H45" s="99"/>
      <x:c r="I45" s="99"/>
      <x:c r="J45" s="99"/>
      <x:c r="K45" s="99"/>
      <x:c r="L45" s="99"/>
      <x:c r="M45" s="99"/>
      <x:c r="N45" s="99"/>
      <x:c r="O45" s="99"/>
      <x:c r="P45" s="99"/>
      <x:c r="Q45" s="99"/>
      <x:c r="R45" s="99"/>
      <x:c r="S45" s="99"/>
      <x:c r="T45" s="99"/>
      <x:c r="U45" s="99"/>
      <x:c r="V45" s="99"/>
      <x:c r="W45" s="99"/>
      <x:c r="X45" s="99"/>
      <x:c r="Y45" s="99"/>
      <x:c r="Z45" s="99"/>
    </x:row>
    <x:row r="46">
      <x:c r="A46" s="99"/>
      <x:c r="B46" s="99"/>
      <x:c r="C46" s="99"/>
      <x:c r="D46" s="99"/>
      <x:c r="E46" s="99"/>
      <x:c r="F46" s="99"/>
      <x:c r="G46" s="99"/>
      <x:c r="H46" s="99"/>
      <x:c r="I46" s="99"/>
      <x:c r="J46" s="99"/>
      <x:c r="K46" s="99"/>
      <x:c r="L46" s="99"/>
      <x:c r="M46" s="99"/>
      <x:c r="N46" s="99"/>
      <x:c r="O46" s="99"/>
      <x:c r="P46" s="99"/>
      <x:c r="Q46" s="99"/>
      <x:c r="R46" s="99"/>
      <x:c r="S46" s="99"/>
      <x:c r="T46" s="99"/>
      <x:c r="U46" s="99"/>
      <x:c r="V46" s="99"/>
      <x:c r="W46" s="99"/>
      <x:c r="X46" s="99"/>
      <x:c r="Y46" s="99"/>
      <x:c r="Z46" s="99"/>
    </x:row>
    <x:row r="47">
      <x:c r="A47" s="99"/>
      <x:c r="B47" s="99"/>
      <x:c r="C47" s="99"/>
      <x:c r="D47" s="99"/>
      <x:c r="E47" s="99"/>
      <x:c r="F47" s="99"/>
      <x:c r="G47" s="99"/>
      <x:c r="H47" s="99"/>
      <x:c r="I47" s="99"/>
      <x:c r="J47" s="99"/>
      <x:c r="K47" s="99"/>
      <x:c r="L47" s="99"/>
      <x:c r="M47" s="99"/>
      <x:c r="N47" s="99"/>
      <x:c r="O47" s="99"/>
      <x:c r="P47" s="99"/>
      <x:c r="Q47" s="99"/>
      <x:c r="R47" s="99"/>
      <x:c r="S47" s="99"/>
      <x:c r="T47" s="99"/>
      <x:c r="U47" s="99"/>
      <x:c r="V47" s="99"/>
      <x:c r="W47" s="99"/>
      <x:c r="X47" s="99"/>
      <x:c r="Y47" s="99"/>
      <x:c r="Z47" s="99"/>
    </x:row>
    <x:row r="48">
      <x:c r="A48" s="99"/>
      <x:c r="B48" s="99"/>
      <x:c r="C48" s="99"/>
      <x:c r="D48" s="99"/>
      <x:c r="E48" s="99"/>
      <x:c r="F48" s="99"/>
      <x:c r="G48" s="99"/>
      <x:c r="H48" s="99"/>
      <x:c r="I48" s="99"/>
      <x:c r="J48" s="99"/>
      <x:c r="K48" s="99"/>
      <x:c r="L48" s="99"/>
      <x:c r="M48" s="99"/>
      <x:c r="N48" s="99"/>
      <x:c r="O48" s="99"/>
      <x:c r="P48" s="99"/>
      <x:c r="Q48" s="99"/>
      <x:c r="R48" s="99"/>
      <x:c r="S48" s="99"/>
      <x:c r="T48" s="99"/>
      <x:c r="U48" s="99"/>
      <x:c r="V48" s="99"/>
      <x:c r="W48" s="99"/>
      <x:c r="X48" s="99"/>
      <x:c r="Y48" s="99"/>
      <x:c r="Z48" s="99"/>
    </x:row>
    <x:row r="49">
      <x:c r="A49" s="99"/>
      <x:c r="B49" s="99"/>
      <x:c r="C49" s="99"/>
      <x:c r="D49" s="99"/>
      <x:c r="E49" s="99"/>
      <x:c r="F49" s="99"/>
      <x:c r="G49" s="99"/>
      <x:c r="H49" s="99"/>
      <x:c r="I49" s="99"/>
      <x:c r="J49" s="99"/>
      <x:c r="K49" s="99"/>
      <x:c r="L49" s="99"/>
      <x:c r="M49" s="99"/>
      <x:c r="N49" s="99"/>
      <x:c r="O49" s="99"/>
      <x:c r="P49" s="99"/>
      <x:c r="Q49" s="99"/>
      <x:c r="R49" s="99"/>
      <x:c r="S49" s="99"/>
      <x:c r="T49" s="99"/>
      <x:c r="U49" s="99"/>
      <x:c r="V49" s="99"/>
      <x:c r="W49" s="99"/>
      <x:c r="X49" s="99"/>
      <x:c r="Y49" s="99"/>
      <x:c r="Z49" s="99"/>
    </x:row>
    <x:row r="50">
      <x:c r="A50" s="99"/>
      <x:c r="B50" s="99"/>
      <x:c r="C50" s="99"/>
      <x:c r="D50" s="99"/>
      <x:c r="E50" s="99"/>
      <x:c r="F50" s="99"/>
      <x:c r="G50" s="99"/>
      <x:c r="H50" s="99"/>
      <x:c r="I50" s="99"/>
      <x:c r="J50" s="99"/>
      <x:c r="K50" s="99"/>
      <x:c r="L50" s="99"/>
      <x:c r="M50" s="99"/>
      <x:c r="N50" s="99"/>
      <x:c r="O50" s="99"/>
      <x:c r="P50" s="99"/>
      <x:c r="Q50" s="99"/>
      <x:c r="R50" s="99"/>
      <x:c r="S50" s="99"/>
      <x:c r="T50" s="99"/>
      <x:c r="U50" s="99"/>
      <x:c r="V50" s="99"/>
      <x:c r="W50" s="99"/>
      <x:c r="X50" s="99"/>
      <x:c r="Y50" s="99"/>
      <x:c r="Z50" s="99"/>
    </x:row>
    <x:row r="51">
      <x:c r="A51" s="99"/>
      <x:c r="B51" s="99"/>
      <x:c r="C51" s="99"/>
      <x:c r="D51" s="99"/>
      <x:c r="E51" s="99"/>
      <x:c r="F51" s="99"/>
      <x:c r="G51" s="99"/>
      <x:c r="H51" s="99"/>
      <x:c r="I51" s="99"/>
      <x:c r="J51" s="99"/>
      <x:c r="K51" s="99"/>
      <x:c r="L51" s="99"/>
      <x:c r="M51" s="99"/>
      <x:c r="N51" s="99"/>
      <x:c r="O51" s="99"/>
      <x:c r="P51" s="99"/>
      <x:c r="Q51" s="99"/>
      <x:c r="R51" s="99"/>
      <x:c r="S51" s="99"/>
      <x:c r="T51" s="99"/>
      <x:c r="U51" s="99"/>
      <x:c r="V51" s="99"/>
      <x:c r="W51" s="99"/>
      <x:c r="X51" s="99"/>
      <x:c r="Y51" s="99"/>
      <x:c r="Z51" s="99"/>
    </x:row>
    <x:row r="52">
      <x:c r="A52" s="99"/>
      <x:c r="B52" s="99"/>
      <x:c r="C52" s="99"/>
      <x:c r="D52" s="99"/>
      <x:c r="E52" s="99"/>
      <x:c r="F52" s="99"/>
      <x:c r="G52" s="99"/>
      <x:c r="H52" s="99"/>
      <x:c r="I52" s="99"/>
      <x:c r="J52" s="99"/>
      <x:c r="K52" s="99"/>
      <x:c r="L52" s="99"/>
      <x:c r="M52" s="99"/>
      <x:c r="N52" s="99"/>
      <x:c r="O52" s="99"/>
      <x:c r="P52" s="99"/>
      <x:c r="Q52" s="99"/>
      <x:c r="R52" s="99"/>
      <x:c r="S52" s="99"/>
      <x:c r="T52" s="99"/>
      <x:c r="U52" s="99"/>
      <x:c r="V52" s="99"/>
      <x:c r="W52" s="99"/>
      <x:c r="X52" s="99"/>
      <x:c r="Y52" s="99"/>
      <x:c r="Z52" s="99"/>
    </x:row>
    <x:row r="53">
      <x:c r="A53" s="99"/>
      <x:c r="B53" s="99"/>
      <x:c r="C53" s="99"/>
      <x:c r="D53" s="99"/>
      <x:c r="E53" s="99"/>
      <x:c r="F53" s="99"/>
      <x:c r="G53" s="99"/>
      <x:c r="H53" s="99"/>
      <x:c r="I53" s="99"/>
      <x:c r="J53" s="99"/>
      <x:c r="K53" s="99"/>
      <x:c r="L53" s="99"/>
      <x:c r="M53" s="99"/>
      <x:c r="N53" s="99"/>
      <x:c r="O53" s="99"/>
      <x:c r="P53" s="99"/>
      <x:c r="Q53" s="99"/>
      <x:c r="R53" s="99"/>
      <x:c r="S53" s="99"/>
      <x:c r="T53" s="99"/>
      <x:c r="U53" s="99"/>
      <x:c r="V53" s="99"/>
      <x:c r="W53" s="99"/>
      <x:c r="X53" s="99"/>
      <x:c r="Y53" s="99"/>
      <x:c r="Z53" s="99"/>
    </x:row>
    <x:row r="54">
      <x:c r="A54" s="99"/>
      <x:c r="B54" s="99"/>
      <x:c r="C54" s="99"/>
      <x:c r="D54" s="99"/>
      <x:c r="E54" s="99"/>
      <x:c r="F54" s="99"/>
      <x:c r="G54" s="99"/>
      <x:c r="H54" s="99"/>
      <x:c r="I54" s="99"/>
      <x:c r="J54" s="99"/>
      <x:c r="K54" s="99"/>
      <x:c r="L54" s="99"/>
      <x:c r="M54" s="99"/>
      <x:c r="N54" s="99"/>
      <x:c r="O54" s="99"/>
      <x:c r="P54" s="99"/>
      <x:c r="Q54" s="99"/>
      <x:c r="R54" s="99"/>
      <x:c r="S54" s="99"/>
      <x:c r="T54" s="99"/>
      <x:c r="U54" s="99"/>
      <x:c r="V54" s="99"/>
      <x:c r="W54" s="99"/>
      <x:c r="X54" s="99"/>
      <x:c r="Y54" s="99"/>
      <x:c r="Z54" s="99"/>
    </x:row>
    <x:row r="55">
      <x:c r="A55" s="99"/>
      <x:c r="B55" s="99"/>
      <x:c r="C55" s="99"/>
      <x:c r="D55" s="99"/>
      <x:c r="E55" s="99"/>
      <x:c r="F55" s="99"/>
      <x:c r="G55" s="99"/>
      <x:c r="H55" s="99"/>
      <x:c r="I55" s="99"/>
      <x:c r="J55" s="99"/>
      <x:c r="K55" s="99"/>
      <x:c r="L55" s="99"/>
      <x:c r="M55" s="99"/>
      <x:c r="N55" s="99"/>
      <x:c r="O55" s="99"/>
      <x:c r="P55" s="99"/>
      <x:c r="Q55" s="99"/>
      <x:c r="R55" s="99"/>
      <x:c r="S55" s="99"/>
      <x:c r="T55" s="99"/>
      <x:c r="U55" s="99"/>
      <x:c r="V55" s="99"/>
      <x:c r="W55" s="99"/>
      <x:c r="X55" s="99"/>
      <x:c r="Y55" s="99"/>
      <x:c r="Z55" s="99"/>
    </x:row>
    <x:row r="56">
      <x:c r="A56" s="99"/>
      <x:c r="B56" s="99"/>
      <x:c r="C56" s="99"/>
      <x:c r="D56" s="99"/>
      <x:c r="E56" s="99"/>
      <x:c r="F56" s="99"/>
      <x:c r="G56" s="99"/>
      <x:c r="H56" s="99"/>
      <x:c r="I56" s="99"/>
      <x:c r="J56" s="99"/>
      <x:c r="K56" s="99"/>
      <x:c r="L56" s="99"/>
      <x:c r="M56" s="99"/>
      <x:c r="N56" s="99"/>
      <x:c r="O56" s="99"/>
      <x:c r="P56" s="99"/>
      <x:c r="Q56" s="99"/>
      <x:c r="R56" s="99"/>
      <x:c r="S56" s="99"/>
      <x:c r="T56" s="99"/>
      <x:c r="U56" s="99"/>
      <x:c r="V56" s="99"/>
      <x:c r="W56" s="99"/>
      <x:c r="X56" s="99"/>
      <x:c r="Y56" s="99"/>
      <x:c r="Z56" s="99"/>
    </x:row>
    <x:row r="57">
      <x:c r="A57" s="99"/>
      <x:c r="B57" s="99"/>
      <x:c r="C57" s="99"/>
      <x:c r="D57" s="99"/>
      <x:c r="E57" s="99"/>
      <x:c r="F57" s="99"/>
      <x:c r="G57" s="99"/>
      <x:c r="H57" s="99"/>
      <x:c r="I57" s="99"/>
      <x:c r="J57" s="99"/>
      <x:c r="K57" s="99"/>
      <x:c r="L57" s="99"/>
      <x:c r="M57" s="99"/>
      <x:c r="N57" s="99"/>
      <x:c r="O57" s="99"/>
      <x:c r="P57" s="99"/>
      <x:c r="Q57" s="99"/>
      <x:c r="R57" s="99"/>
      <x:c r="S57" s="99"/>
      <x:c r="T57" s="99"/>
      <x:c r="U57" s="99"/>
      <x:c r="V57" s="99"/>
      <x:c r="W57" s="99"/>
      <x:c r="X57" s="99"/>
      <x:c r="Y57" s="99"/>
      <x:c r="Z57" s="99"/>
    </x:row>
    <x:row r="58">
      <x:c r="A58" s="99"/>
      <x:c r="B58" s="99"/>
      <x:c r="C58" s="99"/>
      <x:c r="D58" s="99"/>
      <x:c r="E58" s="99"/>
      <x:c r="F58" s="99"/>
      <x:c r="G58" s="99"/>
      <x:c r="H58" s="99"/>
      <x:c r="I58" s="99"/>
      <x:c r="J58" s="99"/>
      <x:c r="K58" s="99"/>
      <x:c r="L58" s="99"/>
      <x:c r="M58" s="99"/>
      <x:c r="N58" s="99"/>
      <x:c r="O58" s="99"/>
      <x:c r="P58" s="99"/>
      <x:c r="Q58" s="99"/>
      <x:c r="R58" s="99"/>
      <x:c r="S58" s="99"/>
      <x:c r="T58" s="99"/>
      <x:c r="U58" s="99"/>
      <x:c r="V58" s="99"/>
      <x:c r="W58" s="99"/>
      <x:c r="X58" s="99"/>
      <x:c r="Y58" s="99"/>
      <x:c r="Z58" s="99"/>
    </x:row>
    <x:row r="59">
      <x:c r="A59" s="99"/>
      <x:c r="B59" s="99"/>
      <x:c r="C59" s="99"/>
      <x:c r="D59" s="99"/>
      <x:c r="E59" s="99"/>
      <x:c r="F59" s="99"/>
      <x:c r="G59" s="99"/>
      <x:c r="H59" s="99"/>
      <x:c r="I59" s="99"/>
      <x:c r="J59" s="99"/>
      <x:c r="K59" s="99"/>
      <x:c r="L59" s="99"/>
      <x:c r="M59" s="99"/>
      <x:c r="N59" s="99"/>
      <x:c r="O59" s="99"/>
      <x:c r="P59" s="99"/>
      <x:c r="Q59" s="99"/>
      <x:c r="R59" s="99"/>
      <x:c r="S59" s="99"/>
      <x:c r="T59" s="99"/>
      <x:c r="U59" s="99"/>
      <x:c r="V59" s="99"/>
      <x:c r="W59" s="99"/>
      <x:c r="X59" s="99"/>
      <x:c r="Y59" s="99"/>
      <x:c r="Z59" s="99"/>
    </x:row>
    <x:row r="60">
      <x:c r="A60" s="99"/>
      <x:c r="B60" s="99"/>
      <x:c r="C60" s="99"/>
      <x:c r="D60" s="99"/>
      <x:c r="E60" s="99"/>
      <x:c r="F60" s="99"/>
      <x:c r="G60" s="99"/>
      <x:c r="H60" s="99"/>
      <x:c r="I60" s="99"/>
      <x:c r="J60" s="99"/>
      <x:c r="K60" s="99"/>
      <x:c r="L60" s="99"/>
      <x:c r="M60" s="99"/>
      <x:c r="N60" s="99"/>
      <x:c r="O60" s="99"/>
      <x:c r="P60" s="99"/>
      <x:c r="Q60" s="99"/>
      <x:c r="R60" s="99"/>
      <x:c r="S60" s="99"/>
      <x:c r="T60" s="99"/>
      <x:c r="U60" s="99"/>
      <x:c r="V60" s="99"/>
      <x:c r="W60" s="99"/>
      <x:c r="X60" s="99"/>
      <x:c r="Y60" s="99"/>
      <x:c r="Z60" s="99"/>
    </x:row>
    <x:row r="61">
      <x:c r="A61" s="99"/>
      <x:c r="B61" s="99"/>
      <x:c r="C61" s="99"/>
      <x:c r="D61" s="99"/>
      <x:c r="E61" s="99"/>
      <x:c r="F61" s="99"/>
      <x:c r="G61" s="99"/>
      <x:c r="H61" s="99"/>
      <x:c r="I61" s="99"/>
      <x:c r="J61" s="99"/>
      <x:c r="K61" s="99"/>
      <x:c r="L61" s="99"/>
      <x:c r="M61" s="99"/>
      <x:c r="N61" s="99"/>
      <x:c r="O61" s="99"/>
      <x:c r="P61" s="99"/>
      <x:c r="Q61" s="99"/>
      <x:c r="R61" s="99"/>
      <x:c r="S61" s="99"/>
      <x:c r="T61" s="99"/>
      <x:c r="U61" s="99"/>
      <x:c r="V61" s="99"/>
      <x:c r="W61" s="99"/>
      <x:c r="X61" s="99"/>
      <x:c r="Y61" s="99"/>
      <x:c r="Z61" s="99"/>
    </x:row>
    <x:row r="62">
      <x:c r="A62" s="99"/>
      <x:c r="B62" s="99"/>
      <x:c r="C62" s="99"/>
      <x:c r="D62" s="99"/>
      <x:c r="E62" s="99"/>
      <x:c r="F62" s="99"/>
      <x:c r="G62" s="99"/>
      <x:c r="H62" s="99"/>
      <x:c r="I62" s="99"/>
      <x:c r="J62" s="99"/>
      <x:c r="K62" s="99"/>
      <x:c r="L62" s="99"/>
      <x:c r="M62" s="99"/>
      <x:c r="N62" s="99"/>
      <x:c r="O62" s="99"/>
      <x:c r="P62" s="99"/>
      <x:c r="Q62" s="99"/>
      <x:c r="R62" s="99"/>
      <x:c r="S62" s="99"/>
      <x:c r="T62" s="99"/>
      <x:c r="U62" s="99"/>
      <x:c r="V62" s="99"/>
      <x:c r="W62" s="99"/>
      <x:c r="X62" s="99"/>
      <x:c r="Y62" s="99"/>
      <x:c r="Z62" s="99"/>
    </x:row>
    <x:row r="63">
      <x:c r="A63" s="99"/>
      <x:c r="B63" s="99"/>
      <x:c r="C63" s="99"/>
      <x:c r="D63" s="99"/>
      <x:c r="E63" s="99"/>
      <x:c r="F63" s="99"/>
      <x:c r="G63" s="99"/>
      <x:c r="H63" s="99"/>
      <x:c r="I63" s="99"/>
      <x:c r="J63" s="99"/>
      <x:c r="K63" s="99"/>
      <x:c r="L63" s="99"/>
      <x:c r="M63" s="99"/>
      <x:c r="N63" s="99"/>
      <x:c r="O63" s="99"/>
      <x:c r="P63" s="99"/>
      <x:c r="Q63" s="99"/>
      <x:c r="R63" s="99"/>
      <x:c r="S63" s="99"/>
      <x:c r="T63" s="99"/>
      <x:c r="U63" s="99"/>
      <x:c r="V63" s="99"/>
      <x:c r="W63" s="99"/>
      <x:c r="X63" s="99"/>
      <x:c r="Y63" s="99"/>
      <x:c r="Z63" s="99"/>
    </x:row>
    <x:row r="64">
      <x:c r="A64" s="99"/>
      <x:c r="B64" s="99"/>
      <x:c r="C64" s="99"/>
      <x:c r="D64" s="99"/>
      <x:c r="E64" s="99"/>
      <x:c r="F64" s="99"/>
      <x:c r="G64" s="99"/>
      <x:c r="H64" s="99"/>
      <x:c r="I64" s="99"/>
      <x:c r="J64" s="99"/>
      <x:c r="K64" s="99"/>
      <x:c r="L64" s="99"/>
      <x:c r="M64" s="99"/>
      <x:c r="N64" s="99"/>
      <x:c r="O64" s="99"/>
      <x:c r="P64" s="99"/>
      <x:c r="Q64" s="99"/>
      <x:c r="R64" s="99"/>
      <x:c r="S64" s="99"/>
      <x:c r="T64" s="99"/>
      <x:c r="U64" s="99"/>
      <x:c r="V64" s="99"/>
      <x:c r="W64" s="99"/>
      <x:c r="X64" s="99"/>
      <x:c r="Y64" s="99"/>
      <x:c r="Z64" s="99"/>
    </x:row>
    <x:row r="65">
      <x:c r="A65" s="99"/>
      <x:c r="B65" s="99"/>
      <x:c r="C65" s="99"/>
      <x:c r="D65" s="99"/>
      <x:c r="E65" s="99"/>
      <x:c r="F65" s="99"/>
      <x:c r="G65" s="99"/>
      <x:c r="H65" s="99"/>
      <x:c r="I65" s="99"/>
      <x:c r="J65" s="99"/>
      <x:c r="K65" s="99"/>
      <x:c r="L65" s="99"/>
      <x:c r="M65" s="99"/>
      <x:c r="N65" s="99"/>
      <x:c r="O65" s="99"/>
      <x:c r="P65" s="99"/>
      <x:c r="Q65" s="99"/>
      <x:c r="R65" s="99"/>
      <x:c r="S65" s="99"/>
      <x:c r="T65" s="99"/>
      <x:c r="U65" s="99"/>
      <x:c r="V65" s="99"/>
      <x:c r="W65" s="99"/>
      <x:c r="X65" s="99"/>
      <x:c r="Y65" s="99"/>
      <x:c r="Z65" s="99"/>
    </x:row>
    <x:row r="66">
      <x:c r="A66" s="99"/>
      <x:c r="B66" s="99"/>
      <x:c r="C66" s="99"/>
      <x:c r="D66" s="99"/>
      <x:c r="E66" s="99"/>
      <x:c r="F66" s="99"/>
      <x:c r="G66" s="99"/>
      <x:c r="H66" s="99"/>
      <x:c r="I66" s="99"/>
      <x:c r="J66" s="99"/>
      <x:c r="K66" s="99"/>
      <x:c r="L66" s="99"/>
      <x:c r="M66" s="99"/>
      <x:c r="N66" s="99"/>
      <x:c r="O66" s="99"/>
      <x:c r="P66" s="99"/>
      <x:c r="Q66" s="99"/>
      <x:c r="R66" s="99"/>
      <x:c r="S66" s="99"/>
      <x:c r="T66" s="99"/>
      <x:c r="U66" s="99"/>
      <x:c r="V66" s="99"/>
      <x:c r="W66" s="99"/>
      <x:c r="X66" s="99"/>
      <x:c r="Y66" s="99"/>
      <x:c r="Z66" s="99"/>
    </x:row>
    <x:row r="67">
      <x:c r="A67" s="99"/>
      <x:c r="B67" s="99"/>
      <x:c r="C67" s="99"/>
      <x:c r="D67" s="99"/>
      <x:c r="E67" s="99"/>
      <x:c r="F67" s="99"/>
      <x:c r="G67" s="99"/>
      <x:c r="H67" s="99"/>
      <x:c r="I67" s="99"/>
      <x:c r="J67" s="99"/>
      <x:c r="K67" s="99"/>
      <x:c r="L67" s="99"/>
      <x:c r="M67" s="99"/>
      <x:c r="N67" s="99"/>
      <x:c r="O67" s="99"/>
      <x:c r="P67" s="99"/>
      <x:c r="Q67" s="99"/>
      <x:c r="R67" s="99"/>
      <x:c r="S67" s="99"/>
      <x:c r="T67" s="99"/>
      <x:c r="U67" s="99"/>
      <x:c r="V67" s="99"/>
      <x:c r="W67" s="99"/>
      <x:c r="X67" s="99"/>
      <x:c r="Y67" s="99"/>
      <x:c r="Z67" s="99"/>
    </x:row>
    <x:row r="68">
      <x:c r="A68" s="99"/>
      <x:c r="B68" s="99"/>
      <x:c r="C68" s="99"/>
      <x:c r="D68" s="99"/>
      <x:c r="E68" s="99"/>
      <x:c r="F68" s="99"/>
      <x:c r="G68" s="99"/>
      <x:c r="H68" s="99"/>
      <x:c r="I68" s="99"/>
      <x:c r="J68" s="99"/>
      <x:c r="K68" s="99"/>
      <x:c r="L68" s="99"/>
      <x:c r="M68" s="99"/>
      <x:c r="N68" s="99"/>
      <x:c r="O68" s="99"/>
      <x:c r="P68" s="99"/>
      <x:c r="Q68" s="99"/>
      <x:c r="R68" s="99"/>
      <x:c r="S68" s="99"/>
      <x:c r="T68" s="99"/>
      <x:c r="U68" s="99"/>
      <x:c r="V68" s="99"/>
      <x:c r="W68" s="99"/>
      <x:c r="X68" s="99"/>
      <x:c r="Y68" s="99"/>
      <x:c r="Z68" s="99"/>
    </x:row>
    <x:row r="69">
      <x:c r="A69" s="99"/>
      <x:c r="B69" s="99"/>
      <x:c r="C69" s="99"/>
      <x:c r="D69" s="99"/>
      <x:c r="E69" s="99"/>
      <x:c r="F69" s="99"/>
      <x:c r="G69" s="99"/>
      <x:c r="H69" s="99"/>
      <x:c r="I69" s="99"/>
      <x:c r="J69" s="99"/>
      <x:c r="K69" s="99"/>
      <x:c r="L69" s="99"/>
      <x:c r="M69" s="99"/>
      <x:c r="N69" s="99"/>
      <x:c r="O69" s="99"/>
      <x:c r="P69" s="99"/>
      <x:c r="Q69" s="99"/>
      <x:c r="R69" s="99"/>
      <x:c r="S69" s="99"/>
      <x:c r="T69" s="99"/>
      <x:c r="U69" s="99"/>
      <x:c r="V69" s="99"/>
      <x:c r="W69" s="99"/>
      <x:c r="X69" s="99"/>
      <x:c r="Y69" s="99"/>
      <x:c r="Z69" s="99"/>
    </x:row>
    <x:row r="70">
      <x:c r="A70" s="99"/>
      <x:c r="B70" s="99"/>
      <x:c r="C70" s="99"/>
      <x:c r="D70" s="99"/>
      <x:c r="E70" s="99"/>
      <x:c r="F70" s="99"/>
      <x:c r="G70" s="99"/>
      <x:c r="H70" s="99"/>
      <x:c r="I70" s="99"/>
      <x:c r="J70" s="99"/>
      <x:c r="K70" s="99"/>
      <x:c r="L70" s="99"/>
      <x:c r="M70" s="99"/>
      <x:c r="N70" s="99"/>
      <x:c r="O70" s="99"/>
      <x:c r="P70" s="99"/>
      <x:c r="Q70" s="99"/>
      <x:c r="R70" s="99"/>
      <x:c r="S70" s="99"/>
      <x:c r="T70" s="99"/>
      <x:c r="U70" s="99"/>
      <x:c r="V70" s="99"/>
      <x:c r="W70" s="99"/>
      <x:c r="X70" s="99"/>
      <x:c r="Y70" s="99"/>
      <x:c r="Z70" s="99"/>
    </x:row>
    <x:row r="71">
      <x:c r="A71" s="99"/>
      <x:c r="B71" s="99"/>
      <x:c r="C71" s="99"/>
      <x:c r="D71" s="99"/>
      <x:c r="E71" s="99"/>
      <x:c r="F71" s="99"/>
      <x:c r="G71" s="99"/>
      <x:c r="H71" s="99"/>
      <x:c r="I71" s="99"/>
      <x:c r="J71" s="99"/>
      <x:c r="K71" s="99"/>
      <x:c r="L71" s="99"/>
      <x:c r="M71" s="99"/>
      <x:c r="N71" s="99"/>
      <x:c r="O71" s="99"/>
      <x:c r="P71" s="99"/>
      <x:c r="Q71" s="99"/>
      <x:c r="R71" s="99"/>
      <x:c r="S71" s="99"/>
      <x:c r="T71" s="99"/>
      <x:c r="U71" s="99"/>
      <x:c r="V71" s="99"/>
      <x:c r="W71" s="99"/>
      <x:c r="X71" s="99"/>
      <x:c r="Y71" s="99"/>
      <x:c r="Z71" s="99"/>
    </x:row>
    <x:row r="72">
      <x:c r="A72" s="99"/>
      <x:c r="B72" s="99"/>
      <x:c r="C72" s="99"/>
      <x:c r="D72" s="99"/>
      <x:c r="E72" s="99"/>
      <x:c r="F72" s="99"/>
      <x:c r="G72" s="99"/>
      <x:c r="H72" s="99"/>
      <x:c r="I72" s="99"/>
      <x:c r="J72" s="99"/>
      <x:c r="K72" s="99"/>
      <x:c r="L72" s="99"/>
      <x:c r="M72" s="99"/>
      <x:c r="N72" s="99"/>
      <x:c r="O72" s="99"/>
      <x:c r="P72" s="99"/>
      <x:c r="Q72" s="99"/>
      <x:c r="R72" s="99"/>
      <x:c r="S72" s="99"/>
      <x:c r="T72" s="99"/>
      <x:c r="U72" s="99"/>
      <x:c r="V72" s="99"/>
      <x:c r="W72" s="99"/>
      <x:c r="X72" s="99"/>
      <x:c r="Y72" s="99"/>
      <x:c r="Z72" s="99"/>
    </x:row>
    <x:row r="73">
      <x:c r="A73" s="99"/>
      <x:c r="B73" s="99"/>
      <x:c r="C73" s="99"/>
      <x:c r="D73" s="99"/>
      <x:c r="E73" s="99"/>
      <x:c r="F73" s="99"/>
      <x:c r="G73" s="99"/>
      <x:c r="H73" s="99"/>
      <x:c r="I73" s="99"/>
      <x:c r="J73" s="99"/>
      <x:c r="K73" s="99"/>
      <x:c r="L73" s="99"/>
      <x:c r="M73" s="99"/>
      <x:c r="N73" s="99"/>
      <x:c r="O73" s="99"/>
      <x:c r="P73" s="99"/>
      <x:c r="Q73" s="99"/>
      <x:c r="R73" s="99"/>
      <x:c r="S73" s="99"/>
      <x:c r="T73" s="99"/>
      <x:c r="U73" s="99"/>
      <x:c r="V73" s="99"/>
      <x:c r="W73" s="99"/>
      <x:c r="X73" s="99"/>
      <x:c r="Y73" s="99"/>
      <x:c r="Z73" s="99"/>
    </x:row>
    <x:row r="74">
      <x:c r="A74" s="99"/>
      <x:c r="B74" s="99"/>
      <x:c r="C74" s="99"/>
      <x:c r="D74" s="99"/>
      <x:c r="E74" s="99"/>
      <x:c r="F74" s="99"/>
      <x:c r="G74" s="99"/>
      <x:c r="H74" s="99"/>
      <x:c r="I74" s="99"/>
      <x:c r="J74" s="99"/>
      <x:c r="K74" s="99"/>
      <x:c r="L74" s="99"/>
      <x:c r="M74" s="99"/>
      <x:c r="N74" s="99"/>
      <x:c r="O74" s="99"/>
      <x:c r="P74" s="99"/>
      <x:c r="Q74" s="99"/>
      <x:c r="R74" s="99"/>
      <x:c r="S74" s="99"/>
      <x:c r="T74" s="99"/>
      <x:c r="U74" s="99"/>
      <x:c r="V74" s="99"/>
      <x:c r="W74" s="99"/>
      <x:c r="X74" s="99"/>
      <x:c r="Y74" s="99"/>
      <x:c r="Z74" s="99"/>
    </x:row>
    <x:row r="75">
      <x:c r="A75" s="99"/>
      <x:c r="B75" s="99"/>
      <x:c r="C75" s="99"/>
      <x:c r="D75" s="99"/>
      <x:c r="E75" s="99"/>
      <x:c r="F75" s="99"/>
      <x:c r="G75" s="99"/>
      <x:c r="H75" s="99"/>
      <x:c r="I75" s="99"/>
      <x:c r="J75" s="99"/>
      <x:c r="K75" s="99"/>
      <x:c r="L75" s="99"/>
      <x:c r="M75" s="99"/>
      <x:c r="N75" s="99"/>
      <x:c r="O75" s="99"/>
      <x:c r="P75" s="99"/>
      <x:c r="Q75" s="99"/>
      <x:c r="R75" s="99"/>
      <x:c r="S75" s="99"/>
      <x:c r="T75" s="99"/>
      <x:c r="U75" s="99"/>
      <x:c r="V75" s="99"/>
      <x:c r="W75" s="99"/>
      <x:c r="X75" s="99"/>
      <x:c r="Y75" s="99"/>
      <x:c r="Z75" s="99"/>
    </x:row>
    <x:row r="76">
      <x:c r="A76" s="99"/>
      <x:c r="B76" s="99"/>
      <x:c r="C76" s="99"/>
      <x:c r="D76" s="99"/>
      <x:c r="E76" s="99"/>
      <x:c r="F76" s="99"/>
      <x:c r="G76" s="99"/>
      <x:c r="H76" s="99"/>
      <x:c r="I76" s="99"/>
      <x:c r="J76" s="99"/>
      <x:c r="K76" s="99"/>
      <x:c r="L76" s="99"/>
      <x:c r="M76" s="99"/>
      <x:c r="N76" s="99"/>
      <x:c r="O76" s="99"/>
      <x:c r="P76" s="99"/>
      <x:c r="Q76" s="99"/>
      <x:c r="R76" s="99"/>
      <x:c r="S76" s="99"/>
      <x:c r="T76" s="99"/>
      <x:c r="U76" s="99"/>
      <x:c r="V76" s="99"/>
      <x:c r="W76" s="99"/>
      <x:c r="X76" s="99"/>
      <x:c r="Y76" s="99"/>
      <x:c r="Z76" s="99"/>
    </x:row>
    <x:row r="77">
      <x:c r="A77" s="99"/>
      <x:c r="B77" s="99"/>
      <x:c r="C77" s="99"/>
      <x:c r="D77" s="99"/>
      <x:c r="E77" s="99"/>
      <x:c r="F77" s="99"/>
      <x:c r="G77" s="99"/>
      <x:c r="H77" s="99"/>
      <x:c r="I77" s="99"/>
      <x:c r="J77" s="99"/>
      <x:c r="K77" s="99"/>
      <x:c r="L77" s="99"/>
      <x:c r="M77" s="99"/>
      <x:c r="N77" s="99"/>
      <x:c r="O77" s="99"/>
      <x:c r="P77" s="99"/>
      <x:c r="Q77" s="99"/>
      <x:c r="R77" s="99"/>
      <x:c r="S77" s="99"/>
      <x:c r="T77" s="99"/>
      <x:c r="U77" s="99"/>
      <x:c r="V77" s="99"/>
      <x:c r="W77" s="99"/>
      <x:c r="X77" s="99"/>
      <x:c r="Y77" s="99"/>
      <x:c r="Z77" s="99"/>
    </x:row>
    <x:row r="78">
      <x:c r="A78" s="99"/>
      <x:c r="B78" s="99"/>
      <x:c r="C78" s="99"/>
      <x:c r="D78" s="99"/>
      <x:c r="E78" s="99"/>
      <x:c r="F78" s="99"/>
      <x:c r="G78" s="99"/>
      <x:c r="H78" s="99"/>
      <x:c r="I78" s="99"/>
      <x:c r="J78" s="99"/>
      <x:c r="K78" s="99"/>
      <x:c r="L78" s="99"/>
      <x:c r="M78" s="99"/>
      <x:c r="N78" s="99"/>
      <x:c r="O78" s="99"/>
      <x:c r="P78" s="99"/>
      <x:c r="Q78" s="99"/>
      <x:c r="R78" s="99"/>
      <x:c r="S78" s="99"/>
      <x:c r="T78" s="99"/>
      <x:c r="U78" s="99"/>
      <x:c r="V78" s="99"/>
      <x:c r="W78" s="99"/>
      <x:c r="X78" s="99"/>
      <x:c r="Y78" s="99"/>
      <x:c r="Z78" s="99"/>
    </x:row>
    <x:row r="79">
      <x:c r="A79" s="99"/>
      <x:c r="B79" s="99"/>
      <x:c r="C79" s="99"/>
      <x:c r="D79" s="99"/>
      <x:c r="E79" s="99"/>
      <x:c r="F79" s="99"/>
      <x:c r="G79" s="99"/>
      <x:c r="H79" s="99"/>
      <x:c r="I79" s="99"/>
      <x:c r="J79" s="99"/>
      <x:c r="K79" s="99"/>
      <x:c r="L79" s="99"/>
      <x:c r="M79" s="99"/>
      <x:c r="N79" s="99"/>
      <x:c r="O79" s="99"/>
      <x:c r="P79" s="99"/>
      <x:c r="Q79" s="99"/>
      <x:c r="R79" s="99"/>
      <x:c r="S79" s="99"/>
      <x:c r="T79" s="99"/>
      <x:c r="U79" s="99"/>
      <x:c r="V79" s="99"/>
      <x:c r="W79" s="99"/>
      <x:c r="X79" s="99"/>
      <x:c r="Y79" s="99"/>
      <x:c r="Z79" s="99"/>
    </x:row>
    <x:row r="80">
      <x:c r="A80" s="99"/>
      <x:c r="B80" s="99"/>
      <x:c r="C80" s="99"/>
      <x:c r="D80" s="99"/>
      <x:c r="E80" s="99"/>
      <x:c r="F80" s="99"/>
      <x:c r="G80" s="99"/>
      <x:c r="H80" s="99"/>
      <x:c r="I80" s="99"/>
      <x:c r="J80" s="99"/>
      <x:c r="K80" s="99"/>
      <x:c r="L80" s="99"/>
      <x:c r="M80" s="99"/>
      <x:c r="N80" s="99"/>
      <x:c r="O80" s="99"/>
      <x:c r="P80" s="99"/>
      <x:c r="Q80" s="99"/>
      <x:c r="R80" s="99"/>
      <x:c r="S80" s="99"/>
      <x:c r="T80" s="99"/>
      <x:c r="U80" s="99"/>
      <x:c r="V80" s="99"/>
      <x:c r="W80" s="99"/>
      <x:c r="X80" s="99"/>
      <x:c r="Y80" s="99"/>
      <x:c r="Z80" s="99"/>
    </x:row>
    <x:row r="81">
      <x:c r="A81" s="99"/>
      <x:c r="B81" s="99"/>
      <x:c r="C81" s="99"/>
      <x:c r="D81" s="99"/>
      <x:c r="E81" s="99"/>
      <x:c r="F81" s="99"/>
      <x:c r="G81" s="99"/>
      <x:c r="H81" s="99"/>
      <x:c r="I81" s="99"/>
      <x:c r="J81" s="99"/>
      <x:c r="K81" s="99"/>
      <x:c r="L81" s="99"/>
      <x:c r="M81" s="99"/>
      <x:c r="N81" s="99"/>
      <x:c r="O81" s="99"/>
      <x:c r="P81" s="99"/>
      <x:c r="Q81" s="99"/>
      <x:c r="R81" s="99"/>
      <x:c r="S81" s="99"/>
      <x:c r="T81" s="99"/>
      <x:c r="U81" s="99"/>
      <x:c r="V81" s="99"/>
      <x:c r="W81" s="99"/>
      <x:c r="X81" s="99"/>
      <x:c r="Y81" s="99"/>
      <x:c r="Z81" s="99"/>
    </x:row>
    <x:row r="82">
      <x:c r="A82" s="99"/>
      <x:c r="B82" s="99"/>
      <x:c r="C82" s="99"/>
      <x:c r="D82" s="99"/>
      <x:c r="E82" s="99"/>
      <x:c r="F82" s="99"/>
      <x:c r="G82" s="99"/>
      <x:c r="H82" s="99"/>
      <x:c r="I82" s="99"/>
      <x:c r="J82" s="99"/>
      <x:c r="K82" s="99"/>
      <x:c r="L82" s="99"/>
      <x:c r="M82" s="99"/>
      <x:c r="N82" s="99"/>
      <x:c r="O82" s="99"/>
      <x:c r="P82" s="99"/>
      <x:c r="Q82" s="99"/>
      <x:c r="R82" s="99"/>
      <x:c r="S82" s="99"/>
      <x:c r="T82" s="99"/>
      <x:c r="U82" s="99"/>
      <x:c r="V82" s="99"/>
      <x:c r="W82" s="99"/>
      <x:c r="X82" s="99"/>
      <x:c r="Y82" s="99"/>
      <x:c r="Z82" s="99"/>
    </x:row>
    <x:row r="83">
      <x:c r="A83" s="99"/>
      <x:c r="B83" s="99"/>
      <x:c r="C83" s="99"/>
      <x:c r="D83" s="99"/>
      <x:c r="E83" s="99"/>
      <x:c r="F83" s="99"/>
      <x:c r="G83" s="99"/>
      <x:c r="H83" s="99"/>
      <x:c r="I83" s="99"/>
      <x:c r="J83" s="99"/>
      <x:c r="K83" s="99"/>
      <x:c r="L83" s="99"/>
      <x:c r="M83" s="99"/>
      <x:c r="N83" s="99"/>
      <x:c r="O83" s="99"/>
      <x:c r="P83" s="99"/>
      <x:c r="Q83" s="99"/>
      <x:c r="R83" s="99"/>
      <x:c r="S83" s="99"/>
      <x:c r="T83" s="99"/>
      <x:c r="U83" s="99"/>
      <x:c r="V83" s="99"/>
      <x:c r="W83" s="99"/>
      <x:c r="X83" s="99"/>
      <x:c r="Y83" s="99"/>
      <x:c r="Z83" s="99"/>
    </x:row>
    <x:row r="84">
      <x:c r="A84" s="99"/>
      <x:c r="B84" s="99"/>
      <x:c r="C84" s="99"/>
      <x:c r="D84" s="99"/>
      <x:c r="E84" s="99"/>
      <x:c r="F84" s="99"/>
      <x:c r="G84" s="99"/>
      <x:c r="H84" s="99"/>
      <x:c r="I84" s="99"/>
      <x:c r="J84" s="99"/>
      <x:c r="K84" s="99"/>
      <x:c r="L84" s="99"/>
      <x:c r="M84" s="99"/>
      <x:c r="N84" s="99"/>
      <x:c r="O84" s="99"/>
      <x:c r="P84" s="99"/>
      <x:c r="Q84" s="99"/>
      <x:c r="R84" s="99"/>
      <x:c r="S84" s="99"/>
      <x:c r="T84" s="99"/>
      <x:c r="U84" s="99"/>
      <x:c r="V84" s="99"/>
      <x:c r="W84" s="99"/>
      <x:c r="X84" s="99"/>
      <x:c r="Y84" s="99"/>
      <x:c r="Z84" s="99"/>
    </x:row>
    <x:row r="85">
      <x:c r="A85" s="99"/>
      <x:c r="B85" s="99"/>
      <x:c r="C85" s="99"/>
      <x:c r="D85" s="99"/>
      <x:c r="E85" s="99"/>
      <x:c r="F85" s="99"/>
      <x:c r="G85" s="99"/>
      <x:c r="H85" s="99"/>
      <x:c r="I85" s="99"/>
      <x:c r="J85" s="99"/>
      <x:c r="K85" s="99"/>
      <x:c r="L85" s="99"/>
      <x:c r="M85" s="99"/>
      <x:c r="N85" s="99"/>
      <x:c r="O85" s="99"/>
      <x:c r="P85" s="99"/>
      <x:c r="Q85" s="99"/>
      <x:c r="R85" s="99"/>
      <x:c r="S85" s="99"/>
      <x:c r="T85" s="99"/>
      <x:c r="U85" s="99"/>
      <x:c r="V85" s="99"/>
      <x:c r="W85" s="99"/>
      <x:c r="X85" s="99"/>
      <x:c r="Y85" s="99"/>
      <x:c r="Z85" s="99"/>
    </x:row>
    <x:row r="86">
      <x:c r="A86" s="99"/>
      <x:c r="B86" s="99"/>
      <x:c r="C86" s="99"/>
      <x:c r="D86" s="99"/>
      <x:c r="E86" s="99"/>
      <x:c r="F86" s="99"/>
      <x:c r="G86" s="99"/>
      <x:c r="H86" s="99"/>
      <x:c r="I86" s="99"/>
      <x:c r="J86" s="99"/>
      <x:c r="K86" s="99"/>
      <x:c r="L86" s="99"/>
      <x:c r="M86" s="99"/>
      <x:c r="N86" s="99"/>
      <x:c r="O86" s="99"/>
      <x:c r="P86" s="99"/>
      <x:c r="Q86" s="99"/>
      <x:c r="R86" s="99"/>
      <x:c r="S86" s="99"/>
      <x:c r="T86" s="99"/>
      <x:c r="U86" s="99"/>
      <x:c r="V86" s="99"/>
      <x:c r="W86" s="99"/>
      <x:c r="X86" s="99"/>
      <x:c r="Y86" s="99"/>
      <x:c r="Z86" s="99"/>
    </x:row>
    <x:row r="87">
      <x:c r="A87" s="99"/>
      <x:c r="B87" s="99"/>
      <x:c r="C87" s="99"/>
      <x:c r="D87" s="99"/>
      <x:c r="E87" s="99"/>
      <x:c r="F87" s="99"/>
      <x:c r="G87" s="99"/>
      <x:c r="H87" s="99"/>
      <x:c r="I87" s="99"/>
      <x:c r="J87" s="99"/>
      <x:c r="K87" s="99"/>
      <x:c r="L87" s="99"/>
      <x:c r="M87" s="99"/>
      <x:c r="N87" s="99"/>
      <x:c r="O87" s="99"/>
      <x:c r="P87" s="99"/>
      <x:c r="Q87" s="99"/>
      <x:c r="R87" s="99"/>
      <x:c r="S87" s="99"/>
      <x:c r="T87" s="99"/>
      <x:c r="U87" s="99"/>
      <x:c r="V87" s="99"/>
      <x:c r="W87" s="99"/>
      <x:c r="X87" s="99"/>
      <x:c r="Y87" s="99"/>
      <x:c r="Z87" s="99"/>
    </x:row>
    <x:row r="88">
      <x:c r="A88" s="99"/>
      <x:c r="B88" s="99"/>
      <x:c r="C88" s="99"/>
      <x:c r="D88" s="99"/>
      <x:c r="E88" s="99"/>
      <x:c r="F88" s="99"/>
      <x:c r="G88" s="99"/>
      <x:c r="H88" s="99"/>
      <x:c r="I88" s="99"/>
      <x:c r="J88" s="99"/>
      <x:c r="K88" s="99"/>
      <x:c r="L88" s="99"/>
      <x:c r="M88" s="99"/>
      <x:c r="N88" s="99"/>
      <x:c r="O88" s="99"/>
      <x:c r="P88" s="99"/>
      <x:c r="Q88" s="99"/>
      <x:c r="R88" s="99"/>
      <x:c r="S88" s="99"/>
      <x:c r="T88" s="99"/>
      <x:c r="U88" s="99"/>
      <x:c r="V88" s="99"/>
      <x:c r="W88" s="99"/>
      <x:c r="X88" s="99"/>
      <x:c r="Y88" s="99"/>
      <x:c r="Z88" s="99"/>
    </x:row>
    <x:row r="89">
      <x:c r="A89" s="99"/>
      <x:c r="B89" s="99"/>
      <x:c r="C89" s="99"/>
      <x:c r="D89" s="99"/>
      <x:c r="E89" s="99"/>
      <x:c r="F89" s="99"/>
      <x:c r="G89" s="99"/>
      <x:c r="H89" s="99"/>
      <x:c r="I89" s="99"/>
      <x:c r="J89" s="99"/>
      <x:c r="K89" s="99"/>
      <x:c r="L89" s="99"/>
      <x:c r="M89" s="99"/>
      <x:c r="N89" s="99"/>
      <x:c r="O89" s="99"/>
      <x:c r="P89" s="99"/>
      <x:c r="Q89" s="99"/>
      <x:c r="R89" s="99"/>
      <x:c r="S89" s="99"/>
      <x:c r="T89" s="99"/>
      <x:c r="U89" s="99"/>
      <x:c r="V89" s="99"/>
      <x:c r="W89" s="99"/>
      <x:c r="X89" s="99"/>
      <x:c r="Y89" s="99"/>
      <x:c r="Z89" s="99"/>
    </x:row>
    <x:row r="90">
      <x:c r="A90" s="99"/>
      <x:c r="B90" s="99"/>
      <x:c r="C90" s="99"/>
      <x:c r="D90" s="99"/>
      <x:c r="E90" s="99"/>
      <x:c r="F90" s="99"/>
      <x:c r="G90" s="99"/>
      <x:c r="H90" s="99"/>
      <x:c r="I90" s="99"/>
      <x:c r="J90" s="99"/>
      <x:c r="K90" s="99"/>
      <x:c r="L90" s="99"/>
      <x:c r="M90" s="99"/>
      <x:c r="N90" s="99"/>
      <x:c r="O90" s="99"/>
      <x:c r="P90" s="99"/>
      <x:c r="Q90" s="99"/>
      <x:c r="R90" s="99"/>
      <x:c r="S90" s="99"/>
      <x:c r="T90" s="99"/>
      <x:c r="U90" s="99"/>
      <x:c r="V90" s="99"/>
      <x:c r="W90" s="99"/>
      <x:c r="X90" s="99"/>
      <x:c r="Y90" s="99"/>
      <x:c r="Z90" s="99"/>
    </x:row>
    <x:row r="91">
      <x:c r="A91" s="99"/>
      <x:c r="B91" s="99"/>
      <x:c r="C91" s="99"/>
      <x:c r="D91" s="99"/>
      <x:c r="E91" s="99"/>
      <x:c r="F91" s="99"/>
      <x:c r="G91" s="99"/>
      <x:c r="H91" s="99"/>
      <x:c r="I91" s="99"/>
      <x:c r="J91" s="99"/>
      <x:c r="K91" s="99"/>
      <x:c r="L91" s="99"/>
      <x:c r="M91" s="99"/>
      <x:c r="N91" s="99"/>
      <x:c r="O91" s="99"/>
      <x:c r="P91" s="99"/>
      <x:c r="Q91" s="99"/>
      <x:c r="R91" s="99"/>
      <x:c r="S91" s="99"/>
      <x:c r="T91" s="99"/>
      <x:c r="U91" s="99"/>
      <x:c r="V91" s="99"/>
      <x:c r="W91" s="99"/>
      <x:c r="X91" s="99"/>
      <x:c r="Y91" s="99"/>
      <x:c r="Z91" s="99"/>
    </x:row>
    <x:row r="92">
      <x:c r="A92" s="99"/>
      <x:c r="B92" s="99"/>
      <x:c r="C92" s="99"/>
      <x:c r="D92" s="99"/>
      <x:c r="E92" s="99"/>
      <x:c r="F92" s="99"/>
      <x:c r="G92" s="99"/>
      <x:c r="H92" s="99"/>
      <x:c r="I92" s="99"/>
      <x:c r="J92" s="99"/>
      <x:c r="K92" s="99"/>
      <x:c r="L92" s="99"/>
      <x:c r="M92" s="99"/>
      <x:c r="N92" s="99"/>
      <x:c r="O92" s="99"/>
      <x:c r="P92" s="99"/>
      <x:c r="Q92" s="99"/>
      <x:c r="R92" s="99"/>
      <x:c r="S92" s="99"/>
      <x:c r="T92" s="99"/>
      <x:c r="U92" s="99"/>
      <x:c r="V92" s="99"/>
      <x:c r="W92" s="99"/>
      <x:c r="X92" s="99"/>
      <x:c r="Y92" s="99"/>
      <x:c r="Z92" s="99"/>
    </x:row>
    <x:row r="93">
      <x:c r="A93" s="99"/>
      <x:c r="B93" s="99"/>
      <x:c r="C93" s="99"/>
      <x:c r="D93" s="99"/>
      <x:c r="E93" s="99"/>
      <x:c r="F93" s="99"/>
      <x:c r="G93" s="99"/>
      <x:c r="H93" s="99"/>
      <x:c r="I93" s="99"/>
      <x:c r="J93" s="99"/>
      <x:c r="K93" s="99"/>
      <x:c r="L93" s="99"/>
      <x:c r="M93" s="99"/>
      <x:c r="N93" s="99"/>
      <x:c r="O93" s="99"/>
      <x:c r="P93" s="99"/>
      <x:c r="Q93" s="99"/>
      <x:c r="R93" s="99"/>
      <x:c r="S93" s="99"/>
      <x:c r="T93" s="99"/>
      <x:c r="U93" s="99"/>
      <x:c r="V93" s="99"/>
      <x:c r="W93" s="99"/>
      <x:c r="X93" s="99"/>
      <x:c r="Y93" s="99"/>
      <x:c r="Z93" s="99"/>
    </x:row>
    <x:row r="94">
      <x:c r="A94" s="99"/>
      <x:c r="B94" s="99"/>
      <x:c r="C94" s="99"/>
      <x:c r="D94" s="99"/>
      <x:c r="E94" s="99"/>
      <x:c r="F94" s="99"/>
      <x:c r="G94" s="99"/>
      <x:c r="H94" s="99"/>
      <x:c r="I94" s="99"/>
      <x:c r="J94" s="99"/>
      <x:c r="K94" s="99"/>
      <x:c r="L94" s="99"/>
      <x:c r="M94" s="99"/>
      <x:c r="N94" s="99"/>
      <x:c r="O94" s="99"/>
      <x:c r="P94" s="99"/>
      <x:c r="Q94" s="99"/>
      <x:c r="R94" s="99"/>
      <x:c r="S94" s="99"/>
      <x:c r="T94" s="99"/>
      <x:c r="U94" s="99"/>
      <x:c r="V94" s="99"/>
      <x:c r="W94" s="99"/>
      <x:c r="X94" s="99"/>
      <x:c r="Y94" s="99"/>
      <x:c r="Z94" s="99"/>
    </x:row>
    <x:row r="95">
      <x:c r="A95" s="99"/>
      <x:c r="B95" s="99"/>
      <x:c r="C95" s="99"/>
      <x:c r="D95" s="99"/>
      <x:c r="E95" s="99"/>
      <x:c r="F95" s="99"/>
      <x:c r="G95" s="99"/>
      <x:c r="H95" s="99"/>
      <x:c r="I95" s="99"/>
      <x:c r="J95" s="99"/>
      <x:c r="K95" s="99"/>
      <x:c r="L95" s="99"/>
      <x:c r="M95" s="99"/>
      <x:c r="N95" s="99"/>
      <x:c r="O95" s="99"/>
      <x:c r="P95" s="99"/>
      <x:c r="Q95" s="99"/>
      <x:c r="R95" s="99"/>
      <x:c r="S95" s="99"/>
      <x:c r="T95" s="99"/>
      <x:c r="U95" s="99"/>
      <x:c r="V95" s="99"/>
      <x:c r="W95" s="99"/>
      <x:c r="X95" s="99"/>
      <x:c r="Y95" s="99"/>
      <x:c r="Z95" s="99"/>
    </x:row>
    <x:row r="96">
      <x:c r="A96" s="99"/>
      <x:c r="B96" s="99"/>
      <x:c r="C96" s="99"/>
      <x:c r="D96" s="99"/>
      <x:c r="E96" s="99"/>
      <x:c r="F96" s="99"/>
      <x:c r="G96" s="99"/>
      <x:c r="H96" s="99"/>
      <x:c r="I96" s="99"/>
      <x:c r="J96" s="99"/>
      <x:c r="K96" s="99"/>
      <x:c r="L96" s="99"/>
      <x:c r="M96" s="99"/>
      <x:c r="N96" s="99"/>
      <x:c r="O96" s="99"/>
      <x:c r="P96" s="99"/>
      <x:c r="Q96" s="99"/>
      <x:c r="R96" s="99"/>
      <x:c r="S96" s="99"/>
      <x:c r="T96" s="99"/>
      <x:c r="U96" s="99"/>
      <x:c r="V96" s="99"/>
      <x:c r="W96" s="99"/>
      <x:c r="X96" s="99"/>
      <x:c r="Y96" s="99"/>
      <x:c r="Z96" s="99"/>
    </x:row>
    <x:row r="97">
      <x:c r="A97" s="99"/>
      <x:c r="B97" s="99"/>
      <x:c r="C97" s="99"/>
      <x:c r="D97" s="99"/>
      <x:c r="E97" s="99"/>
      <x:c r="F97" s="99"/>
      <x:c r="G97" s="99"/>
      <x:c r="H97" s="99"/>
      <x:c r="I97" s="99"/>
      <x:c r="J97" s="99"/>
      <x:c r="K97" s="99"/>
      <x:c r="L97" s="99"/>
      <x:c r="M97" s="99"/>
      <x:c r="N97" s="99"/>
      <x:c r="O97" s="99"/>
      <x:c r="P97" s="99"/>
      <x:c r="Q97" s="99"/>
      <x:c r="R97" s="99"/>
      <x:c r="S97" s="99"/>
      <x:c r="T97" s="99"/>
      <x:c r="U97" s="99"/>
      <x:c r="V97" s="99"/>
      <x:c r="W97" s="99"/>
      <x:c r="X97" s="99"/>
      <x:c r="Y97" s="99"/>
      <x:c r="Z97" s="99"/>
    </x:row>
    <x:row r="98">
      <x:c r="A98" s="99"/>
      <x:c r="B98" s="99"/>
      <x:c r="C98" s="99"/>
      <x:c r="D98" s="99"/>
      <x:c r="E98" s="99"/>
      <x:c r="F98" s="99"/>
      <x:c r="G98" s="99"/>
      <x:c r="H98" s="99"/>
      <x:c r="I98" s="99"/>
      <x:c r="J98" s="99"/>
      <x:c r="K98" s="99"/>
      <x:c r="L98" s="99"/>
      <x:c r="M98" s="99"/>
      <x:c r="N98" s="99"/>
      <x:c r="O98" s="99"/>
      <x:c r="P98" s="99"/>
      <x:c r="Q98" s="99"/>
      <x:c r="R98" s="99"/>
      <x:c r="S98" s="99"/>
      <x:c r="T98" s="99"/>
      <x:c r="U98" s="99"/>
      <x:c r="V98" s="99"/>
      <x:c r="W98" s="99"/>
      <x:c r="X98" s="99"/>
      <x:c r="Y98" s="99"/>
      <x:c r="Z98" s="99"/>
    </x:row>
    <x:row r="99">
      <x:c r="A99" s="99"/>
      <x:c r="B99" s="99"/>
      <x:c r="C99" s="99"/>
      <x:c r="D99" s="99"/>
      <x:c r="E99" s="99"/>
      <x:c r="F99" s="99"/>
      <x:c r="G99" s="99"/>
      <x:c r="H99" s="99"/>
      <x:c r="I99" s="99"/>
      <x:c r="J99" s="99"/>
      <x:c r="K99" s="99"/>
      <x:c r="L99" s="99"/>
      <x:c r="M99" s="99"/>
      <x:c r="N99" s="99"/>
      <x:c r="O99" s="99"/>
      <x:c r="P99" s="99"/>
      <x:c r="Q99" s="99"/>
      <x:c r="R99" s="99"/>
      <x:c r="S99" s="99"/>
      <x:c r="T99" s="99"/>
      <x:c r="U99" s="99"/>
      <x:c r="V99" s="99"/>
      <x:c r="W99" s="99"/>
      <x:c r="X99" s="99"/>
      <x:c r="Y99" s="99"/>
      <x:c r="Z99" s="99"/>
    </x:row>
    <x:row r="100">
      <x:c r="A100" s="99"/>
      <x:c r="B100" s="99"/>
      <x:c r="C100" s="99"/>
      <x:c r="D100" s="99"/>
      <x:c r="E100" s="99"/>
      <x:c r="F100" s="99"/>
      <x:c r="G100" s="99"/>
      <x:c r="H100" s="99"/>
      <x:c r="I100" s="99"/>
      <x:c r="J100" s="99"/>
      <x:c r="K100" s="99"/>
      <x:c r="L100" s="99"/>
      <x:c r="M100" s="99"/>
      <x:c r="N100" s="99"/>
      <x:c r="O100" s="99"/>
      <x:c r="P100" s="99"/>
      <x:c r="Q100" s="99"/>
      <x:c r="R100" s="99"/>
      <x:c r="S100" s="99"/>
      <x:c r="T100" s="99"/>
      <x:c r="U100" s="99"/>
      <x:c r="V100" s="99"/>
      <x:c r="W100" s="99"/>
      <x:c r="X100" s="99"/>
      <x:c r="Y100" s="99"/>
      <x:c r="Z100" s="99"/>
    </x:row>
    <x:row r="101">
      <x:c r="A101" s="99"/>
      <x:c r="B101" s="99"/>
      <x:c r="C101" s="99"/>
      <x:c r="D101" s="99"/>
      <x:c r="E101" s="99"/>
      <x:c r="F101" s="99"/>
      <x:c r="G101" s="99"/>
      <x:c r="H101" s="99"/>
      <x:c r="I101" s="99"/>
      <x:c r="J101" s="99"/>
      <x:c r="K101" s="99"/>
      <x:c r="L101" s="99"/>
      <x:c r="M101" s="99"/>
      <x:c r="N101" s="99"/>
      <x:c r="O101" s="99"/>
      <x:c r="P101" s="99"/>
      <x:c r="Q101" s="99"/>
      <x:c r="R101" s="99"/>
      <x:c r="S101" s="99"/>
      <x:c r="T101" s="99"/>
      <x:c r="U101" s="99"/>
      <x:c r="V101" s="99"/>
      <x:c r="W101" s="99"/>
      <x:c r="X101" s="99"/>
      <x:c r="Y101" s="99"/>
      <x:c r="Z101" s="99"/>
    </x:row>
    <x:row r="102">
      <x:c r="A102" s="99"/>
      <x:c r="B102" s="99"/>
      <x:c r="C102" s="99"/>
      <x:c r="D102" s="99"/>
      <x:c r="E102" s="99"/>
      <x:c r="F102" s="99"/>
      <x:c r="G102" s="99"/>
      <x:c r="H102" s="99"/>
      <x:c r="I102" s="99"/>
      <x:c r="J102" s="99"/>
      <x:c r="K102" s="99"/>
      <x:c r="L102" s="99"/>
      <x:c r="M102" s="99"/>
      <x:c r="N102" s="99"/>
      <x:c r="O102" s="99"/>
      <x:c r="P102" s="99"/>
      <x:c r="Q102" s="99"/>
      <x:c r="R102" s="99"/>
      <x:c r="S102" s="99"/>
      <x:c r="T102" s="99"/>
      <x:c r="U102" s="99"/>
      <x:c r="V102" s="99"/>
      <x:c r="W102" s="99"/>
      <x:c r="X102" s="99"/>
      <x:c r="Y102" s="99"/>
      <x:c r="Z102" s="99"/>
    </x:row>
    <x:row r="103">
      <x:c r="A103" s="99"/>
      <x:c r="B103" s="99"/>
      <x:c r="C103" s="99"/>
      <x:c r="D103" s="99"/>
      <x:c r="E103" s="99"/>
      <x:c r="F103" s="99"/>
      <x:c r="G103" s="99"/>
      <x:c r="H103" s="99"/>
      <x:c r="I103" s="99"/>
      <x:c r="J103" s="99"/>
      <x:c r="K103" s="99"/>
      <x:c r="L103" s="99"/>
      <x:c r="M103" s="99"/>
      <x:c r="N103" s="99"/>
      <x:c r="O103" s="99"/>
      <x:c r="P103" s="99"/>
      <x:c r="Q103" s="99"/>
      <x:c r="R103" s="99"/>
      <x:c r="S103" s="99"/>
      <x:c r="T103" s="99"/>
      <x:c r="U103" s="99"/>
      <x:c r="V103" s="99"/>
      <x:c r="W103" s="99"/>
      <x:c r="X103" s="99"/>
      <x:c r="Y103" s="99"/>
      <x:c r="Z103" s="99"/>
    </x:row>
    <x:row r="104">
      <x:c r="A104" s="99"/>
      <x:c r="B104" s="99"/>
      <x:c r="C104" s="99"/>
      <x:c r="D104" s="99"/>
      <x:c r="E104" s="99"/>
      <x:c r="F104" s="99"/>
      <x:c r="G104" s="99"/>
      <x:c r="H104" s="99"/>
      <x:c r="I104" s="99"/>
      <x:c r="J104" s="99"/>
      <x:c r="K104" s="99"/>
      <x:c r="L104" s="99"/>
      <x:c r="M104" s="99"/>
      <x:c r="N104" s="99"/>
      <x:c r="O104" s="99"/>
      <x:c r="P104" s="99"/>
      <x:c r="Q104" s="99"/>
      <x:c r="R104" s="99"/>
      <x:c r="S104" s="99"/>
      <x:c r="T104" s="99"/>
      <x:c r="U104" s="99"/>
      <x:c r="V104" s="99"/>
      <x:c r="W104" s="99"/>
      <x:c r="X104" s="99"/>
      <x:c r="Y104" s="99"/>
      <x:c r="Z104" s="99"/>
    </x:row>
    <x:row r="105">
      <x:c r="A105" s="99"/>
      <x:c r="B105" s="99"/>
      <x:c r="C105" s="99"/>
      <x:c r="D105" s="99"/>
      <x:c r="E105" s="99"/>
      <x:c r="F105" s="99"/>
      <x:c r="G105" s="99"/>
      <x:c r="H105" s="99"/>
      <x:c r="I105" s="99"/>
      <x:c r="J105" s="99"/>
      <x:c r="K105" s="99"/>
      <x:c r="L105" s="99"/>
      <x:c r="M105" s="99"/>
      <x:c r="N105" s="99"/>
      <x:c r="O105" s="99"/>
      <x:c r="P105" s="99"/>
      <x:c r="Q105" s="99"/>
      <x:c r="R105" s="99"/>
      <x:c r="S105" s="99"/>
      <x:c r="T105" s="99"/>
      <x:c r="U105" s="99"/>
      <x:c r="V105" s="99"/>
      <x:c r="W105" s="99"/>
      <x:c r="X105" s="99"/>
      <x:c r="Y105" s="99"/>
      <x:c r="Z105" s="99"/>
    </x:row>
    <x:row r="106">
      <x:c r="A106" s="99"/>
      <x:c r="B106" s="99"/>
      <x:c r="C106" s="99"/>
      <x:c r="D106" s="99"/>
      <x:c r="E106" s="99"/>
      <x:c r="F106" s="99"/>
      <x:c r="G106" s="99"/>
      <x:c r="H106" s="99"/>
      <x:c r="I106" s="99"/>
      <x:c r="J106" s="99"/>
      <x:c r="K106" s="99"/>
      <x:c r="L106" s="99"/>
      <x:c r="M106" s="99"/>
      <x:c r="N106" s="99"/>
      <x:c r="O106" s="99"/>
      <x:c r="P106" s="99"/>
      <x:c r="Q106" s="99"/>
      <x:c r="R106" s="99"/>
      <x:c r="S106" s="99"/>
      <x:c r="T106" s="99"/>
      <x:c r="U106" s="99"/>
      <x:c r="V106" s="99"/>
      <x:c r="W106" s="99"/>
      <x:c r="X106" s="99"/>
      <x:c r="Y106" s="99"/>
      <x:c r="Z106" s="99"/>
    </x:row>
    <x:row r="107">
      <x:c r="A107" s="99"/>
      <x:c r="B107" s="99"/>
      <x:c r="C107" s="99"/>
      <x:c r="D107" s="99"/>
      <x:c r="E107" s="99"/>
      <x:c r="F107" s="99"/>
      <x:c r="G107" s="99"/>
      <x:c r="H107" s="99"/>
      <x:c r="I107" s="99"/>
      <x:c r="J107" s="99"/>
      <x:c r="K107" s="99"/>
      <x:c r="L107" s="99"/>
      <x:c r="M107" s="99"/>
      <x:c r="N107" s="99"/>
      <x:c r="O107" s="99"/>
      <x:c r="P107" s="99"/>
      <x:c r="Q107" s="99"/>
      <x:c r="R107" s="99"/>
      <x:c r="S107" s="99"/>
      <x:c r="T107" s="99"/>
      <x:c r="U107" s="99"/>
      <x:c r="V107" s="99"/>
      <x:c r="W107" s="99"/>
      <x:c r="X107" s="99"/>
      <x:c r="Y107" s="99"/>
      <x:c r="Z107" s="99"/>
    </x:row>
    <x:row r="108">
      <x:c r="A108" s="99"/>
      <x:c r="B108" s="99"/>
      <x:c r="C108" s="99"/>
      <x:c r="D108" s="99"/>
      <x:c r="E108" s="99"/>
      <x:c r="F108" s="99"/>
      <x:c r="G108" s="99"/>
      <x:c r="H108" s="99"/>
      <x:c r="I108" s="99"/>
      <x:c r="J108" s="99"/>
      <x:c r="K108" s="99"/>
      <x:c r="L108" s="99"/>
      <x:c r="M108" s="99"/>
      <x:c r="N108" s="99"/>
      <x:c r="O108" s="99"/>
      <x:c r="P108" s="99"/>
      <x:c r="Q108" s="99"/>
      <x:c r="R108" s="99"/>
      <x:c r="S108" s="99"/>
      <x:c r="T108" s="99"/>
      <x:c r="U108" s="99"/>
      <x:c r="V108" s="99"/>
      <x:c r="W108" s="99"/>
      <x:c r="X108" s="99"/>
      <x:c r="Y108" s="99"/>
      <x:c r="Z108" s="99"/>
    </x:row>
    <x:row r="109">
      <x:c r="A109" s="99"/>
      <x:c r="B109" s="99"/>
      <x:c r="C109" s="99"/>
      <x:c r="D109" s="99"/>
      <x:c r="E109" s="99"/>
      <x:c r="F109" s="99"/>
      <x:c r="G109" s="99"/>
      <x:c r="H109" s="99"/>
      <x:c r="I109" s="99"/>
      <x:c r="J109" s="99"/>
      <x:c r="K109" s="99"/>
      <x:c r="L109" s="99"/>
      <x:c r="M109" s="99"/>
      <x:c r="N109" s="99"/>
      <x:c r="O109" s="99"/>
      <x:c r="P109" s="99"/>
      <x:c r="Q109" s="99"/>
      <x:c r="R109" s="99"/>
      <x:c r="S109" s="99"/>
      <x:c r="T109" s="99"/>
      <x:c r="U109" s="99"/>
      <x:c r="V109" s="99"/>
      <x:c r="W109" s="99"/>
      <x:c r="X109" s="99"/>
      <x:c r="Y109" s="99"/>
      <x:c r="Z109" s="99"/>
    </x:row>
    <x:row r="110">
      <x:c r="A110" s="99"/>
      <x:c r="B110" s="99"/>
      <x:c r="C110" s="99"/>
      <x:c r="D110" s="99"/>
      <x:c r="E110" s="99"/>
      <x:c r="F110" s="99"/>
      <x:c r="G110" s="99"/>
      <x:c r="H110" s="99"/>
      <x:c r="I110" s="99"/>
      <x:c r="J110" s="99"/>
      <x:c r="K110" s="99"/>
      <x:c r="L110" s="99"/>
      <x:c r="M110" s="99"/>
      <x:c r="N110" s="99"/>
      <x:c r="O110" s="99"/>
      <x:c r="P110" s="99"/>
      <x:c r="Q110" s="99"/>
      <x:c r="R110" s="99"/>
      <x:c r="S110" s="99"/>
      <x:c r="T110" s="99"/>
      <x:c r="U110" s="99"/>
      <x:c r="V110" s="99"/>
      <x:c r="W110" s="99"/>
      <x:c r="X110" s="99"/>
      <x:c r="Y110" s="99"/>
      <x:c r="Z110" s="99"/>
    </x:row>
    <x:row r="111">
      <x:c r="A111" s="99"/>
      <x:c r="B111" s="99"/>
      <x:c r="C111" s="99"/>
      <x:c r="D111" s="99"/>
      <x:c r="E111" s="99"/>
      <x:c r="F111" s="99"/>
      <x:c r="G111" s="99"/>
      <x:c r="H111" s="99"/>
      <x:c r="I111" s="99"/>
      <x:c r="J111" s="99"/>
      <x:c r="K111" s="99"/>
      <x:c r="L111" s="99"/>
      <x:c r="M111" s="99"/>
      <x:c r="N111" s="99"/>
      <x:c r="O111" s="99"/>
      <x:c r="P111" s="99"/>
      <x:c r="Q111" s="99"/>
      <x:c r="R111" s="99"/>
      <x:c r="S111" s="99"/>
      <x:c r="T111" s="99"/>
      <x:c r="U111" s="99"/>
      <x:c r="V111" s="99"/>
      <x:c r="W111" s="99"/>
      <x:c r="X111" s="99"/>
      <x:c r="Y111" s="99"/>
      <x:c r="Z111" s="99"/>
    </x:row>
    <x:row r="112">
      <x:c r="A112" s="99"/>
      <x:c r="B112" s="99"/>
      <x:c r="C112" s="99"/>
      <x:c r="D112" s="99"/>
      <x:c r="E112" s="99"/>
      <x:c r="F112" s="99"/>
      <x:c r="G112" s="99"/>
      <x:c r="H112" s="99"/>
      <x:c r="I112" s="99"/>
      <x:c r="J112" s="99"/>
      <x:c r="K112" s="99"/>
      <x:c r="L112" s="99"/>
      <x:c r="M112" s="99"/>
      <x:c r="N112" s="99"/>
      <x:c r="O112" s="99"/>
      <x:c r="P112" s="99"/>
      <x:c r="Q112" s="99"/>
      <x:c r="R112" s="99"/>
      <x:c r="S112" s="99"/>
      <x:c r="T112" s="99"/>
      <x:c r="U112" s="99"/>
      <x:c r="V112" s="99"/>
      <x:c r="W112" s="99"/>
      <x:c r="X112" s="99"/>
      <x:c r="Y112" s="99"/>
      <x:c r="Z112" s="99"/>
    </x:row>
    <x:row r="113">
      <x:c r="A113" s="99"/>
      <x:c r="B113" s="99"/>
      <x:c r="C113" s="99"/>
      <x:c r="D113" s="99"/>
      <x:c r="E113" s="99"/>
      <x:c r="F113" s="99"/>
      <x:c r="G113" s="99"/>
      <x:c r="H113" s="99"/>
      <x:c r="I113" s="99"/>
      <x:c r="J113" s="99"/>
      <x:c r="K113" s="99"/>
      <x:c r="L113" s="99"/>
      <x:c r="M113" s="99"/>
      <x:c r="N113" s="99"/>
      <x:c r="O113" s="99"/>
      <x:c r="P113" s="99"/>
      <x:c r="Q113" s="99"/>
      <x:c r="R113" s="99"/>
      <x:c r="S113" s="99"/>
      <x:c r="T113" s="99"/>
      <x:c r="U113" s="99"/>
      <x:c r="V113" s="99"/>
      <x:c r="W113" s="99"/>
      <x:c r="X113" s="99"/>
      <x:c r="Y113" s="99"/>
      <x:c r="Z113" s="99"/>
    </x:row>
    <x:row r="114">
      <x:c r="A114" s="99"/>
      <x:c r="B114" s="99"/>
      <x:c r="C114" s="99"/>
      <x:c r="D114" s="99"/>
      <x:c r="E114" s="99"/>
      <x:c r="F114" s="99"/>
      <x:c r="G114" s="99"/>
      <x:c r="H114" s="99"/>
      <x:c r="I114" s="99"/>
      <x:c r="J114" s="99"/>
      <x:c r="K114" s="99"/>
      <x:c r="L114" s="99"/>
      <x:c r="M114" s="99"/>
      <x:c r="N114" s="99"/>
      <x:c r="O114" s="99"/>
      <x:c r="P114" s="99"/>
      <x:c r="Q114" s="99"/>
      <x:c r="R114" s="99"/>
      <x:c r="S114" s="99"/>
      <x:c r="T114" s="99"/>
      <x:c r="U114" s="99"/>
      <x:c r="V114" s="99"/>
      <x:c r="W114" s="99"/>
      <x:c r="X114" s="99"/>
      <x:c r="Y114" s="99"/>
      <x:c r="Z114" s="99"/>
    </x:row>
    <x:row r="115">
      <x:c r="A115" s="99"/>
      <x:c r="B115" s="99"/>
      <x:c r="C115" s="99"/>
      <x:c r="D115" s="99"/>
      <x:c r="E115" s="99"/>
      <x:c r="F115" s="99"/>
      <x:c r="G115" s="99"/>
      <x:c r="H115" s="99"/>
      <x:c r="I115" s="99"/>
      <x:c r="J115" s="99"/>
      <x:c r="K115" s="99"/>
      <x:c r="L115" s="99"/>
      <x:c r="M115" s="99"/>
      <x:c r="N115" s="99"/>
      <x:c r="O115" s="99"/>
      <x:c r="P115" s="99"/>
      <x:c r="Q115" s="99"/>
      <x:c r="R115" s="99"/>
      <x:c r="S115" s="99"/>
      <x:c r="T115" s="99"/>
      <x:c r="U115" s="99"/>
      <x:c r="V115" s="99"/>
      <x:c r="W115" s="99"/>
      <x:c r="X115" s="99"/>
      <x:c r="Y115" s="99"/>
      <x:c r="Z115" s="99"/>
    </x:row>
    <x:row r="116">
      <x:c r="A116" s="99"/>
      <x:c r="B116" s="99"/>
      <x:c r="C116" s="99"/>
      <x:c r="D116" s="99"/>
      <x:c r="E116" s="99"/>
      <x:c r="F116" s="99"/>
      <x:c r="G116" s="99"/>
      <x:c r="H116" s="99"/>
      <x:c r="I116" s="99"/>
      <x:c r="J116" s="99"/>
      <x:c r="K116" s="99"/>
      <x:c r="L116" s="99"/>
      <x:c r="M116" s="99"/>
      <x:c r="N116" s="99"/>
      <x:c r="O116" s="99"/>
      <x:c r="P116" s="99"/>
      <x:c r="Q116" s="99"/>
      <x:c r="R116" s="99"/>
      <x:c r="S116" s="99"/>
      <x:c r="T116" s="99"/>
      <x:c r="U116" s="99"/>
      <x:c r="V116" s="99"/>
      <x:c r="W116" s="99"/>
      <x:c r="X116" s="99"/>
      <x:c r="Y116" s="99"/>
      <x:c r="Z116" s="99"/>
    </x:row>
    <x:row r="117">
      <x:c r="A117" s="99"/>
      <x:c r="B117" s="99"/>
      <x:c r="C117" s="99"/>
      <x:c r="D117" s="99"/>
      <x:c r="E117" s="99"/>
      <x:c r="F117" s="99"/>
      <x:c r="G117" s="99"/>
      <x:c r="H117" s="99"/>
      <x:c r="I117" s="99"/>
      <x:c r="J117" s="99"/>
      <x:c r="K117" s="99"/>
      <x:c r="L117" s="99"/>
      <x:c r="M117" s="99"/>
      <x:c r="N117" s="99"/>
      <x:c r="O117" s="99"/>
      <x:c r="P117" s="99"/>
      <x:c r="Q117" s="99"/>
      <x:c r="R117" s="99"/>
      <x:c r="S117" s="99"/>
      <x:c r="T117" s="99"/>
      <x:c r="U117" s="99"/>
      <x:c r="V117" s="99"/>
      <x:c r="W117" s="99"/>
      <x:c r="X117" s="99"/>
      <x:c r="Y117" s="99"/>
      <x:c r="Z117" s="99"/>
    </x:row>
    <x:row r="118">
      <x:c r="A118" s="99"/>
      <x:c r="B118" s="99"/>
      <x:c r="C118" s="99"/>
      <x:c r="D118" s="99"/>
      <x:c r="E118" s="99"/>
      <x:c r="F118" s="99"/>
      <x:c r="G118" s="99"/>
      <x:c r="H118" s="99"/>
      <x:c r="I118" s="99"/>
      <x:c r="J118" s="99"/>
      <x:c r="K118" s="99"/>
      <x:c r="L118" s="99"/>
      <x:c r="M118" s="99"/>
      <x:c r="N118" s="99"/>
      <x:c r="O118" s="99"/>
      <x:c r="P118" s="99"/>
      <x:c r="Q118" s="99"/>
      <x:c r="R118" s="99"/>
      <x:c r="S118" s="99"/>
      <x:c r="T118" s="99"/>
      <x:c r="U118" s="99"/>
      <x:c r="V118" s="99"/>
      <x:c r="W118" s="99"/>
      <x:c r="X118" s="99"/>
      <x:c r="Y118" s="99"/>
      <x:c r="Z118" s="99"/>
    </x:row>
    <x:row r="119">
      <x:c r="A119" s="99"/>
      <x:c r="B119" s="99"/>
      <x:c r="C119" s="99"/>
      <x:c r="D119" s="99"/>
      <x:c r="E119" s="99"/>
      <x:c r="F119" s="99"/>
      <x:c r="G119" s="99"/>
      <x:c r="H119" s="99"/>
      <x:c r="I119" s="99"/>
      <x:c r="J119" s="99"/>
      <x:c r="K119" s="99"/>
      <x:c r="L119" s="99"/>
      <x:c r="M119" s="99"/>
      <x:c r="N119" s="99"/>
      <x:c r="O119" s="99"/>
      <x:c r="P119" s="99"/>
      <x:c r="Q119" s="99"/>
      <x:c r="R119" s="99"/>
      <x:c r="S119" s="99"/>
      <x:c r="T119" s="99"/>
      <x:c r="U119" s="99"/>
      <x:c r="V119" s="99"/>
      <x:c r="W119" s="99"/>
      <x:c r="X119" s="99"/>
      <x:c r="Y119" s="99"/>
      <x:c r="Z119" s="99"/>
    </x:row>
    <x:row r="120">
      <x:c r="A120" s="99"/>
      <x:c r="B120" s="99"/>
      <x:c r="C120" s="99"/>
      <x:c r="D120" s="99"/>
      <x:c r="E120" s="99"/>
      <x:c r="F120" s="99"/>
      <x:c r="G120" s="99"/>
      <x:c r="H120" s="99"/>
      <x:c r="I120" s="99"/>
      <x:c r="J120" s="99"/>
      <x:c r="K120" s="99"/>
      <x:c r="L120" s="99"/>
      <x:c r="M120" s="99"/>
      <x:c r="N120" s="99"/>
      <x:c r="O120" s="99"/>
      <x:c r="P120" s="99"/>
      <x:c r="Q120" s="99"/>
      <x:c r="R120" s="99"/>
      <x:c r="S120" s="99"/>
      <x:c r="T120" s="99"/>
      <x:c r="U120" s="99"/>
      <x:c r="V120" s="99"/>
      <x:c r="W120" s="99"/>
      <x:c r="X120" s="99"/>
      <x:c r="Y120" s="99"/>
      <x:c r="Z120" s="99"/>
    </x:row>
    <x:row r="121">
      <x:c r="A121" s="99"/>
      <x:c r="B121" s="99"/>
      <x:c r="C121" s="99"/>
      <x:c r="D121" s="99"/>
      <x:c r="E121" s="99"/>
      <x:c r="F121" s="99"/>
      <x:c r="G121" s="99"/>
      <x:c r="H121" s="99"/>
      <x:c r="I121" s="99"/>
      <x:c r="J121" s="99"/>
      <x:c r="K121" s="99"/>
      <x:c r="L121" s="99"/>
      <x:c r="M121" s="99"/>
      <x:c r="N121" s="99"/>
      <x:c r="O121" s="99"/>
      <x:c r="P121" s="99"/>
      <x:c r="Q121" s="99"/>
      <x:c r="R121" s="99"/>
      <x:c r="S121" s="99"/>
      <x:c r="T121" s="99"/>
      <x:c r="U121" s="99"/>
      <x:c r="V121" s="99"/>
      <x:c r="W121" s="99"/>
      <x:c r="X121" s="99"/>
      <x:c r="Y121" s="99"/>
      <x:c r="Z121" s="99"/>
    </x:row>
    <x:row r="122">
      <x:c r="A122" s="99"/>
      <x:c r="B122" s="99"/>
      <x:c r="C122" s="99"/>
      <x:c r="D122" s="99"/>
      <x:c r="E122" s="99"/>
      <x:c r="F122" s="99"/>
      <x:c r="G122" s="99"/>
      <x:c r="H122" s="99"/>
      <x:c r="I122" s="99"/>
      <x:c r="J122" s="99"/>
      <x:c r="K122" s="99"/>
      <x:c r="L122" s="99"/>
      <x:c r="M122" s="99"/>
      <x:c r="N122" s="99"/>
      <x:c r="O122" s="99"/>
      <x:c r="P122" s="99"/>
      <x:c r="Q122" s="99"/>
      <x:c r="R122" s="99"/>
      <x:c r="S122" s="99"/>
      <x:c r="T122" s="99"/>
      <x:c r="U122" s="99"/>
      <x:c r="V122" s="99"/>
      <x:c r="W122" s="99"/>
      <x:c r="X122" s="99"/>
      <x:c r="Y122" s="99"/>
      <x:c r="Z122" s="99"/>
    </x:row>
    <x:row r="123">
      <x:c r="A123" s="99"/>
      <x:c r="B123" s="99"/>
      <x:c r="C123" s="99"/>
      <x:c r="D123" s="99"/>
      <x:c r="E123" s="99"/>
      <x:c r="F123" s="99"/>
      <x:c r="G123" s="99"/>
      <x:c r="H123" s="99"/>
      <x:c r="I123" s="99"/>
      <x:c r="J123" s="99"/>
      <x:c r="K123" s="99"/>
      <x:c r="L123" s="99"/>
      <x:c r="M123" s="99"/>
      <x:c r="N123" s="99"/>
      <x:c r="O123" s="99"/>
      <x:c r="P123" s="99"/>
      <x:c r="Q123" s="99"/>
      <x:c r="R123" s="99"/>
      <x:c r="S123" s="99"/>
      <x:c r="T123" s="99"/>
      <x:c r="U123" s="99"/>
      <x:c r="V123" s="99"/>
      <x:c r="W123" s="99"/>
      <x:c r="X123" s="99"/>
      <x:c r="Y123" s="99"/>
      <x:c r="Z123" s="99"/>
    </x:row>
    <x:row r="124">
      <x:c r="A124" s="99"/>
      <x:c r="B124" s="99"/>
      <x:c r="C124" s="99"/>
      <x:c r="D124" s="99"/>
      <x:c r="E124" s="99"/>
      <x:c r="F124" s="99"/>
      <x:c r="G124" s="99"/>
      <x:c r="H124" s="99"/>
      <x:c r="I124" s="99"/>
      <x:c r="J124" s="99"/>
      <x:c r="K124" s="99"/>
      <x:c r="L124" s="99"/>
      <x:c r="M124" s="99"/>
      <x:c r="N124" s="99"/>
      <x:c r="O124" s="99"/>
      <x:c r="P124" s="99"/>
      <x:c r="Q124" s="99"/>
      <x:c r="R124" s="99"/>
      <x:c r="S124" s="99"/>
      <x:c r="T124" s="99"/>
      <x:c r="U124" s="99"/>
      <x:c r="V124" s="99"/>
      <x:c r="W124" s="99"/>
      <x:c r="X124" s="99"/>
      <x:c r="Y124" s="99"/>
      <x:c r="Z124" s="99"/>
    </x:row>
    <x:row r="125">
      <x:c r="A125" s="99"/>
      <x:c r="B125" s="99"/>
      <x:c r="C125" s="99"/>
      <x:c r="D125" s="99"/>
      <x:c r="E125" s="99"/>
      <x:c r="F125" s="99"/>
      <x:c r="G125" s="99"/>
      <x:c r="H125" s="99"/>
      <x:c r="I125" s="99"/>
      <x:c r="J125" s="99"/>
      <x:c r="K125" s="99"/>
      <x:c r="L125" s="99"/>
      <x:c r="M125" s="99"/>
      <x:c r="N125" s="99"/>
      <x:c r="O125" s="99"/>
      <x:c r="P125" s="99"/>
      <x:c r="Q125" s="99"/>
      <x:c r="R125" s="99"/>
      <x:c r="S125" s="99"/>
      <x:c r="T125" s="99"/>
      <x:c r="U125" s="99"/>
      <x:c r="V125" s="99"/>
      <x:c r="W125" s="99"/>
      <x:c r="X125" s="99"/>
      <x:c r="Y125" s="99"/>
      <x:c r="Z125" s="99"/>
    </x:row>
    <x:row r="126">
      <x:c r="A126" s="99"/>
      <x:c r="B126" s="99"/>
      <x:c r="C126" s="99"/>
      <x:c r="D126" s="99"/>
      <x:c r="E126" s="99"/>
      <x:c r="F126" s="99"/>
      <x:c r="G126" s="99"/>
      <x:c r="H126" s="99"/>
      <x:c r="I126" s="99"/>
      <x:c r="J126" s="99"/>
      <x:c r="K126" s="99"/>
      <x:c r="L126" s="99"/>
      <x:c r="M126" s="99"/>
      <x:c r="N126" s="99"/>
      <x:c r="O126" s="99"/>
      <x:c r="P126" s="99"/>
      <x:c r="Q126" s="99"/>
      <x:c r="R126" s="99"/>
      <x:c r="S126" s="99"/>
      <x:c r="T126" s="99"/>
      <x:c r="U126" s="99"/>
      <x:c r="V126" s="99"/>
      <x:c r="W126" s="99"/>
      <x:c r="X126" s="99"/>
      <x:c r="Y126" s="99"/>
      <x:c r="Z126" s="99"/>
    </x:row>
    <x:row r="127">
      <x:c r="A127" s="99"/>
      <x:c r="B127" s="99"/>
      <x:c r="C127" s="99"/>
      <x:c r="D127" s="99"/>
      <x:c r="E127" s="99"/>
      <x:c r="F127" s="99"/>
      <x:c r="G127" s="99"/>
      <x:c r="H127" s="99"/>
      <x:c r="I127" s="99"/>
      <x:c r="J127" s="99"/>
      <x:c r="K127" s="99"/>
      <x:c r="L127" s="99"/>
      <x:c r="M127" s="99"/>
      <x:c r="N127" s="99"/>
      <x:c r="O127" s="99"/>
      <x:c r="P127" s="99"/>
      <x:c r="Q127" s="99"/>
      <x:c r="R127" s="99"/>
      <x:c r="S127" s="99"/>
      <x:c r="T127" s="99"/>
      <x:c r="U127" s="99"/>
      <x:c r="V127" s="99"/>
      <x:c r="W127" s="99"/>
      <x:c r="X127" s="99"/>
      <x:c r="Y127" s="99"/>
      <x:c r="Z127" s="99"/>
    </x:row>
    <x:row r="128">
      <x:c r="A128" s="99"/>
      <x:c r="B128" s="99"/>
      <x:c r="C128" s="99"/>
      <x:c r="D128" s="99"/>
      <x:c r="E128" s="99"/>
      <x:c r="F128" s="99"/>
      <x:c r="G128" s="99"/>
      <x:c r="H128" s="99"/>
      <x:c r="I128" s="99"/>
      <x:c r="J128" s="99"/>
      <x:c r="K128" s="99"/>
      <x:c r="L128" s="99"/>
      <x:c r="M128" s="99"/>
      <x:c r="N128" s="99"/>
      <x:c r="O128" s="99"/>
      <x:c r="P128" s="99"/>
      <x:c r="Q128" s="99"/>
      <x:c r="R128" s="99"/>
      <x:c r="S128" s="99"/>
      <x:c r="T128" s="99"/>
      <x:c r="U128" s="99"/>
      <x:c r="V128" s="99"/>
      <x:c r="W128" s="99"/>
      <x:c r="X128" s="99"/>
      <x:c r="Y128" s="99"/>
      <x:c r="Z128" s="99"/>
    </x:row>
    <x:row r="129">
      <x:c r="A129" s="99"/>
      <x:c r="B129" s="99"/>
      <x:c r="C129" s="99"/>
      <x:c r="D129" s="99"/>
      <x:c r="E129" s="99"/>
      <x:c r="F129" s="99"/>
      <x:c r="G129" s="99"/>
      <x:c r="H129" s="99"/>
      <x:c r="I129" s="99"/>
      <x:c r="J129" s="99"/>
      <x:c r="K129" s="99"/>
      <x:c r="L129" s="99"/>
      <x:c r="M129" s="99"/>
      <x:c r="N129" s="99"/>
      <x:c r="O129" s="99"/>
      <x:c r="P129" s="99"/>
      <x:c r="Q129" s="99"/>
      <x:c r="R129" s="99"/>
      <x:c r="S129" s="99"/>
      <x:c r="T129" s="99"/>
      <x:c r="U129" s="99"/>
      <x:c r="V129" s="99"/>
      <x:c r="W129" s="99"/>
      <x:c r="X129" s="99"/>
      <x:c r="Y129" s="99"/>
      <x:c r="Z129" s="99"/>
    </x:row>
    <x:row r="130">
      <x:c r="A130" s="99"/>
      <x:c r="B130" s="99"/>
      <x:c r="C130" s="99"/>
      <x:c r="D130" s="99"/>
      <x:c r="E130" s="99"/>
      <x:c r="F130" s="99"/>
      <x:c r="G130" s="99"/>
      <x:c r="H130" s="99"/>
      <x:c r="I130" s="99"/>
      <x:c r="J130" s="99"/>
      <x:c r="K130" s="99"/>
      <x:c r="L130" s="99"/>
      <x:c r="M130" s="99"/>
      <x:c r="N130" s="99"/>
      <x:c r="O130" s="99"/>
      <x:c r="P130" s="99"/>
      <x:c r="Q130" s="99"/>
      <x:c r="R130" s="99"/>
      <x:c r="S130" s="99"/>
      <x:c r="T130" s="99"/>
      <x:c r="U130" s="99"/>
      <x:c r="V130" s="99"/>
      <x:c r="W130" s="99"/>
      <x:c r="X130" s="99"/>
      <x:c r="Y130" s="99"/>
      <x:c r="Z130" s="99"/>
    </x:row>
    <x:row r="131">
      <x:c r="A131" s="99"/>
      <x:c r="B131" s="99"/>
      <x:c r="C131" s="99"/>
      <x:c r="D131" s="99"/>
      <x:c r="E131" s="99"/>
      <x:c r="F131" s="99"/>
      <x:c r="G131" s="99"/>
      <x:c r="H131" s="99"/>
      <x:c r="I131" s="99"/>
      <x:c r="J131" s="99"/>
      <x:c r="K131" s="99"/>
      <x:c r="L131" s="99"/>
      <x:c r="M131" s="99"/>
      <x:c r="N131" s="99"/>
      <x:c r="O131" s="99"/>
      <x:c r="P131" s="99"/>
      <x:c r="Q131" s="99"/>
      <x:c r="R131" s="99"/>
      <x:c r="S131" s="99"/>
      <x:c r="T131" s="99"/>
      <x:c r="U131" s="99"/>
      <x:c r="V131" s="99"/>
      <x:c r="W131" s="99"/>
      <x:c r="X131" s="99"/>
      <x:c r="Y131" s="99"/>
      <x:c r="Z131" s="99"/>
    </x:row>
    <x:row r="132">
      <x:c r="A132" s="99"/>
      <x:c r="B132" s="99"/>
      <x:c r="C132" s="99"/>
      <x:c r="D132" s="99"/>
      <x:c r="E132" s="99"/>
      <x:c r="F132" s="99"/>
      <x:c r="G132" s="99"/>
      <x:c r="H132" s="99"/>
      <x:c r="I132" s="99"/>
      <x:c r="J132" s="99"/>
      <x:c r="K132" s="99"/>
      <x:c r="L132" s="99"/>
      <x:c r="M132" s="99"/>
      <x:c r="N132" s="99"/>
      <x:c r="O132" s="99"/>
      <x:c r="P132" s="99"/>
      <x:c r="Q132" s="99"/>
      <x:c r="R132" s="99"/>
      <x:c r="S132" s="99"/>
      <x:c r="T132" s="99"/>
      <x:c r="U132" s="99"/>
      <x:c r="V132" s="99"/>
      <x:c r="W132" s="99"/>
      <x:c r="X132" s="99"/>
      <x:c r="Y132" s="99"/>
      <x:c r="Z132" s="99"/>
    </x:row>
    <x:row r="133">
      <x:c r="A133" s="99"/>
      <x:c r="B133" s="99"/>
      <x:c r="C133" s="99"/>
      <x:c r="D133" s="99"/>
      <x:c r="E133" s="99"/>
      <x:c r="F133" s="99"/>
      <x:c r="G133" s="99"/>
      <x:c r="H133" s="99"/>
      <x:c r="I133" s="99"/>
      <x:c r="J133" s="99"/>
      <x:c r="K133" s="99"/>
      <x:c r="L133" s="99"/>
      <x:c r="M133" s="99"/>
      <x:c r="N133" s="99"/>
      <x:c r="O133" s="99"/>
      <x:c r="P133" s="99"/>
      <x:c r="Q133" s="99"/>
      <x:c r="R133" s="99"/>
      <x:c r="S133" s="99"/>
      <x:c r="T133" s="99"/>
      <x:c r="U133" s="99"/>
      <x:c r="V133" s="99"/>
      <x:c r="W133" s="99"/>
      <x:c r="X133" s="99"/>
      <x:c r="Y133" s="99"/>
      <x:c r="Z133" s="99"/>
    </x:row>
    <x:row r="134">
      <x:c r="A134" s="99"/>
      <x:c r="B134" s="99"/>
      <x:c r="C134" s="99"/>
      <x:c r="D134" s="99"/>
      <x:c r="E134" s="99"/>
      <x:c r="F134" s="99"/>
      <x:c r="G134" s="99"/>
      <x:c r="H134" s="99"/>
      <x:c r="I134" s="99"/>
      <x:c r="J134" s="99"/>
      <x:c r="K134" s="99"/>
      <x:c r="L134" s="99"/>
      <x:c r="M134" s="99"/>
      <x:c r="N134" s="99"/>
      <x:c r="O134" s="99"/>
      <x:c r="P134" s="99"/>
      <x:c r="Q134" s="99"/>
      <x:c r="R134" s="99"/>
      <x:c r="S134" s="99"/>
      <x:c r="T134" s="99"/>
      <x:c r="U134" s="99"/>
      <x:c r="V134" s="99"/>
      <x:c r="W134" s="99"/>
      <x:c r="X134" s="99"/>
      <x:c r="Y134" s="99"/>
      <x:c r="Z134" s="99"/>
    </x:row>
    <x:row r="135">
      <x:c r="A135" s="99"/>
      <x:c r="B135" s="99"/>
      <x:c r="C135" s="99"/>
      <x:c r="D135" s="99"/>
      <x:c r="E135" s="99"/>
      <x:c r="F135" s="99"/>
      <x:c r="G135" s="99"/>
      <x:c r="H135" s="99"/>
      <x:c r="I135" s="99"/>
      <x:c r="J135" s="99"/>
      <x:c r="K135" s="99"/>
      <x:c r="L135" s="99"/>
      <x:c r="M135" s="99"/>
      <x:c r="N135" s="99"/>
      <x:c r="O135" s="99"/>
      <x:c r="P135" s="99"/>
      <x:c r="Q135" s="99"/>
      <x:c r="R135" s="99"/>
      <x:c r="S135" s="99"/>
      <x:c r="T135" s="99"/>
      <x:c r="U135" s="99"/>
      <x:c r="V135" s="99"/>
      <x:c r="W135" s="99"/>
      <x:c r="X135" s="99"/>
      <x:c r="Y135" s="99"/>
      <x:c r="Z135" s="99"/>
    </x:row>
    <x:row r="136">
      <x:c r="A136" s="99"/>
      <x:c r="B136" s="99"/>
      <x:c r="C136" s="99"/>
      <x:c r="D136" s="99"/>
      <x:c r="E136" s="99"/>
      <x:c r="F136" s="99"/>
      <x:c r="G136" s="99"/>
      <x:c r="H136" s="99"/>
      <x:c r="I136" s="99"/>
      <x:c r="J136" s="99"/>
      <x:c r="K136" s="99"/>
      <x:c r="L136" s="99"/>
      <x:c r="M136" s="99"/>
      <x:c r="N136" s="99"/>
      <x:c r="O136" s="99"/>
      <x:c r="P136" s="99"/>
      <x:c r="Q136" s="99"/>
      <x:c r="R136" s="99"/>
      <x:c r="S136" s="99"/>
      <x:c r="T136" s="99"/>
      <x:c r="U136" s="99"/>
      <x:c r="V136" s="99"/>
      <x:c r="W136" s="99"/>
      <x:c r="X136" s="99"/>
      <x:c r="Y136" s="99"/>
      <x:c r="Z136" s="99"/>
    </x:row>
    <x:row r="137">
      <x:c r="A137" s="99"/>
      <x:c r="B137" s="99"/>
      <x:c r="C137" s="99"/>
      <x:c r="D137" s="99"/>
      <x:c r="E137" s="99"/>
      <x:c r="F137" s="99"/>
      <x:c r="G137" s="99"/>
      <x:c r="H137" s="99"/>
      <x:c r="I137" s="99"/>
      <x:c r="J137" s="99"/>
      <x:c r="K137" s="99"/>
      <x:c r="L137" s="99"/>
      <x:c r="M137" s="99"/>
      <x:c r="N137" s="99"/>
      <x:c r="O137" s="99"/>
      <x:c r="P137" s="99"/>
      <x:c r="Q137" s="99"/>
      <x:c r="R137" s="99"/>
      <x:c r="S137" s="99"/>
      <x:c r="T137" s="99"/>
      <x:c r="U137" s="99"/>
      <x:c r="V137" s="99"/>
      <x:c r="W137" s="99"/>
      <x:c r="X137" s="99"/>
      <x:c r="Y137" s="99"/>
      <x:c r="Z137" s="99"/>
    </x:row>
    <x:row r="138">
      <x:c r="A138" s="99"/>
      <x:c r="B138" s="99"/>
      <x:c r="C138" s="99"/>
      <x:c r="D138" s="99"/>
      <x:c r="E138" s="99"/>
      <x:c r="F138" s="99"/>
      <x:c r="G138" s="99"/>
      <x:c r="H138" s="99"/>
      <x:c r="I138" s="99"/>
      <x:c r="J138" s="99"/>
      <x:c r="K138" s="99"/>
      <x:c r="L138" s="99"/>
      <x:c r="M138" s="99"/>
      <x:c r="N138" s="99"/>
      <x:c r="O138" s="99"/>
      <x:c r="P138" s="99"/>
      <x:c r="Q138" s="99"/>
      <x:c r="R138" s="99"/>
      <x:c r="S138" s="99"/>
      <x:c r="T138" s="99"/>
      <x:c r="U138" s="99"/>
      <x:c r="V138" s="99"/>
      <x:c r="W138" s="99"/>
      <x:c r="X138" s="99"/>
      <x:c r="Y138" s="99"/>
      <x:c r="Z138" s="99"/>
    </x:row>
    <x:row r="139">
      <x:c r="A139" s="99"/>
      <x:c r="B139" s="99"/>
      <x:c r="C139" s="99"/>
      <x:c r="D139" s="99"/>
      <x:c r="E139" s="99"/>
      <x:c r="F139" s="99"/>
      <x:c r="G139" s="99"/>
      <x:c r="H139" s="99"/>
      <x:c r="I139" s="99"/>
      <x:c r="J139" s="99"/>
      <x:c r="K139" s="99"/>
      <x:c r="L139" s="99"/>
      <x:c r="M139" s="99"/>
      <x:c r="N139" s="99"/>
      <x:c r="O139" s="99"/>
      <x:c r="P139" s="99"/>
      <x:c r="Q139" s="99"/>
      <x:c r="R139" s="99"/>
      <x:c r="S139" s="99"/>
      <x:c r="T139" s="99"/>
      <x:c r="U139" s="99"/>
      <x:c r="V139" s="99"/>
      <x:c r="W139" s="99"/>
      <x:c r="X139" s="99"/>
      <x:c r="Y139" s="99"/>
      <x:c r="Z139" s="99"/>
    </x:row>
    <x:row r="140">
      <x:c r="A140" s="99"/>
      <x:c r="B140" s="99"/>
      <x:c r="C140" s="99"/>
      <x:c r="D140" s="99"/>
      <x:c r="E140" s="99"/>
      <x:c r="F140" s="99"/>
      <x:c r="G140" s="99"/>
      <x:c r="H140" s="99"/>
      <x:c r="I140" s="99"/>
      <x:c r="J140" s="99"/>
      <x:c r="K140" s="99"/>
      <x:c r="L140" s="99"/>
      <x:c r="M140" s="99"/>
      <x:c r="N140" s="99"/>
      <x:c r="O140" s="99"/>
      <x:c r="P140" s="99"/>
      <x:c r="Q140" s="99"/>
      <x:c r="R140" s="99"/>
      <x:c r="S140" s="99"/>
      <x:c r="T140" s="99"/>
      <x:c r="U140" s="99"/>
      <x:c r="V140" s="99"/>
      <x:c r="W140" s="99"/>
      <x:c r="X140" s="99"/>
      <x:c r="Y140" s="99"/>
      <x:c r="Z140" s="99"/>
    </x:row>
    <x:row r="141">
      <x:c r="A141" s="99"/>
      <x:c r="B141" s="99"/>
      <x:c r="C141" s="99"/>
      <x:c r="D141" s="99"/>
      <x:c r="E141" s="99"/>
      <x:c r="F141" s="99"/>
      <x:c r="G141" s="99"/>
      <x:c r="H141" s="99"/>
      <x:c r="I141" s="99"/>
      <x:c r="J141" s="99"/>
      <x:c r="K141" s="99"/>
      <x:c r="L141" s="99"/>
      <x:c r="M141" s="99"/>
      <x:c r="N141" s="99"/>
      <x:c r="O141" s="99"/>
      <x:c r="P141" s="99"/>
      <x:c r="Q141" s="99"/>
      <x:c r="R141" s="99"/>
      <x:c r="S141" s="99"/>
      <x:c r="T141" s="99"/>
      <x:c r="U141" s="99"/>
      <x:c r="V141" s="99"/>
      <x:c r="W141" s="99"/>
      <x:c r="X141" s="99"/>
      <x:c r="Y141" s="99"/>
      <x:c r="Z141" s="99"/>
    </x:row>
    <x:row r="142">
      <x:c r="A142" s="99"/>
      <x:c r="B142" s="99"/>
      <x:c r="C142" s="99"/>
      <x:c r="D142" s="99"/>
      <x:c r="E142" s="99"/>
      <x:c r="F142" s="99"/>
      <x:c r="G142" s="99"/>
      <x:c r="H142" s="99"/>
      <x:c r="I142" s="99"/>
      <x:c r="J142" s="99"/>
      <x:c r="K142" s="99"/>
      <x:c r="L142" s="99"/>
      <x:c r="M142" s="99"/>
      <x:c r="N142" s="99"/>
      <x:c r="O142" s="99"/>
      <x:c r="P142" s="99"/>
      <x:c r="Q142" s="99"/>
      <x:c r="R142" s="99"/>
      <x:c r="S142" s="99"/>
      <x:c r="T142" s="99"/>
      <x:c r="U142" s="99"/>
      <x:c r="V142" s="99"/>
      <x:c r="W142" s="99"/>
      <x:c r="X142" s="99"/>
      <x:c r="Y142" s="99"/>
      <x:c r="Z142" s="99"/>
    </x:row>
    <x:row r="143">
      <x:c r="A143" s="99"/>
      <x:c r="B143" s="99"/>
      <x:c r="C143" s="99"/>
      <x:c r="D143" s="99"/>
      <x:c r="E143" s="99"/>
      <x:c r="F143" s="99"/>
      <x:c r="G143" s="99"/>
      <x:c r="H143" s="99"/>
      <x:c r="I143" s="99"/>
      <x:c r="J143" s="99"/>
      <x:c r="K143" s="99"/>
      <x:c r="L143" s="99"/>
      <x:c r="M143" s="99"/>
      <x:c r="N143" s="99"/>
      <x:c r="O143" s="99"/>
      <x:c r="P143" s="99"/>
      <x:c r="Q143" s="99"/>
      <x:c r="R143" s="99"/>
      <x:c r="S143" s="99"/>
      <x:c r="T143" s="99"/>
      <x:c r="U143" s="99"/>
      <x:c r="V143" s="99"/>
      <x:c r="W143" s="99"/>
      <x:c r="X143" s="99"/>
      <x:c r="Y143" s="99"/>
      <x:c r="Z143" s="99"/>
    </x:row>
    <x:row r="144">
      <x:c r="A144" s="99"/>
      <x:c r="B144" s="99"/>
      <x:c r="C144" s="99"/>
      <x:c r="D144" s="99"/>
      <x:c r="E144" s="99"/>
      <x:c r="F144" s="99"/>
      <x:c r="G144" s="99"/>
      <x:c r="H144" s="99"/>
      <x:c r="I144" s="99"/>
      <x:c r="J144" s="99"/>
      <x:c r="K144" s="99"/>
      <x:c r="L144" s="99"/>
      <x:c r="M144" s="99"/>
      <x:c r="N144" s="99"/>
      <x:c r="O144" s="99"/>
      <x:c r="P144" s="99"/>
      <x:c r="Q144" s="99"/>
      <x:c r="R144" s="99"/>
      <x:c r="S144" s="99"/>
      <x:c r="T144" s="99"/>
      <x:c r="U144" s="99"/>
      <x:c r="V144" s="99"/>
      <x:c r="W144" s="99"/>
      <x:c r="X144" s="99"/>
      <x:c r="Y144" s="99"/>
      <x:c r="Z144" s="99"/>
    </x:row>
    <x:row r="145">
      <x:c r="A145" s="99"/>
      <x:c r="B145" s="99"/>
      <x:c r="C145" s="99"/>
      <x:c r="D145" s="99"/>
      <x:c r="E145" s="99"/>
      <x:c r="F145" s="99"/>
      <x:c r="G145" s="99"/>
      <x:c r="H145" s="99"/>
      <x:c r="I145" s="99"/>
      <x:c r="J145" s="99"/>
      <x:c r="K145" s="99"/>
      <x:c r="L145" s="99"/>
      <x:c r="M145" s="99"/>
      <x:c r="N145" s="99"/>
      <x:c r="O145" s="99"/>
      <x:c r="P145" s="99"/>
      <x:c r="Q145" s="99"/>
      <x:c r="R145" s="99"/>
      <x:c r="S145" s="99"/>
      <x:c r="T145" s="99"/>
      <x:c r="U145" s="99"/>
      <x:c r="V145" s="99"/>
      <x:c r="W145" s="99"/>
      <x:c r="X145" s="99"/>
      <x:c r="Y145" s="99"/>
      <x:c r="Z145" s="99"/>
    </x:row>
    <x:row r="146">
      <x:c r="A146" s="99"/>
      <x:c r="B146" s="99"/>
      <x:c r="C146" s="99"/>
      <x:c r="D146" s="99"/>
      <x:c r="E146" s="99"/>
      <x:c r="F146" s="99"/>
      <x:c r="G146" s="99"/>
      <x:c r="H146" s="99"/>
      <x:c r="I146" s="99"/>
      <x:c r="J146" s="99"/>
      <x:c r="K146" s="99"/>
      <x:c r="L146" s="99"/>
      <x:c r="M146" s="99"/>
      <x:c r="N146" s="99"/>
      <x:c r="O146" s="99"/>
      <x:c r="P146" s="99"/>
      <x:c r="Q146" s="99"/>
      <x:c r="R146" s="99"/>
      <x:c r="S146" s="99"/>
      <x:c r="T146" s="99"/>
      <x:c r="U146" s="99"/>
      <x:c r="V146" s="99"/>
      <x:c r="W146" s="99"/>
      <x:c r="X146" s="99"/>
      <x:c r="Y146" s="99"/>
      <x:c r="Z146" s="99"/>
    </x:row>
    <x:row r="147">
      <x:c r="A147" s="99"/>
      <x:c r="B147" s="99"/>
      <x:c r="C147" s="99"/>
      <x:c r="D147" s="99"/>
      <x:c r="E147" s="99"/>
      <x:c r="F147" s="99"/>
      <x:c r="G147" s="99"/>
      <x:c r="H147" s="99"/>
      <x:c r="I147" s="99"/>
      <x:c r="J147" s="99"/>
      <x:c r="K147" s="99"/>
      <x:c r="L147" s="99"/>
      <x:c r="M147" s="99"/>
      <x:c r="N147" s="99"/>
      <x:c r="O147" s="99"/>
      <x:c r="P147" s="99"/>
      <x:c r="Q147" s="99"/>
      <x:c r="R147" s="99"/>
      <x:c r="S147" s="99"/>
      <x:c r="T147" s="99"/>
      <x:c r="U147" s="99"/>
      <x:c r="V147" s="99"/>
      <x:c r="W147" s="99"/>
      <x:c r="X147" s="99"/>
      <x:c r="Y147" s="99"/>
      <x:c r="Z147" s="99"/>
    </x:row>
    <x:row r="148">
      <x:c r="A148" s="99"/>
      <x:c r="B148" s="99"/>
      <x:c r="C148" s="99"/>
      <x:c r="D148" s="99"/>
      <x:c r="E148" s="99"/>
      <x:c r="F148" s="99"/>
      <x:c r="G148" s="99"/>
      <x:c r="H148" s="99"/>
      <x:c r="I148" s="99"/>
      <x:c r="J148" s="99"/>
      <x:c r="K148" s="99"/>
      <x:c r="L148" s="99"/>
      <x:c r="M148" s="99"/>
      <x:c r="N148" s="99"/>
      <x:c r="O148" s="99"/>
      <x:c r="P148" s="99"/>
      <x:c r="Q148" s="99"/>
      <x:c r="R148" s="99"/>
      <x:c r="S148" s="99"/>
      <x:c r="T148" s="99"/>
      <x:c r="U148" s="99"/>
      <x:c r="V148" s="99"/>
      <x:c r="W148" s="99"/>
      <x:c r="X148" s="99"/>
      <x:c r="Y148" s="99"/>
      <x:c r="Z148" s="99"/>
    </x:row>
    <x:row r="149">
      <x:c r="A149" s="99"/>
      <x:c r="B149" s="99"/>
      <x:c r="C149" s="99"/>
      <x:c r="D149" s="99"/>
      <x:c r="E149" s="99"/>
      <x:c r="F149" s="99"/>
      <x:c r="G149" s="99"/>
      <x:c r="H149" s="99"/>
      <x:c r="I149" s="99"/>
      <x:c r="J149" s="99"/>
      <x:c r="K149" s="99"/>
      <x:c r="L149" s="99"/>
      <x:c r="M149" s="99"/>
      <x:c r="N149" s="99"/>
      <x:c r="O149" s="99"/>
      <x:c r="P149" s="99"/>
      <x:c r="Q149" s="99"/>
      <x:c r="R149" s="99"/>
      <x:c r="S149" s="99"/>
      <x:c r="T149" s="99"/>
      <x:c r="U149" s="99"/>
      <x:c r="V149" s="99"/>
      <x:c r="W149" s="99"/>
      <x:c r="X149" s="99"/>
      <x:c r="Y149" s="99"/>
      <x:c r="Z149" s="99"/>
    </x:row>
    <x:row r="150">
      <x:c r="A150" s="99"/>
      <x:c r="B150" s="99"/>
      <x:c r="C150" s="99"/>
      <x:c r="D150" s="99"/>
      <x:c r="E150" s="99"/>
      <x:c r="F150" s="99"/>
      <x:c r="G150" s="99"/>
      <x:c r="H150" s="99"/>
      <x:c r="I150" s="99"/>
      <x:c r="J150" s="99"/>
      <x:c r="K150" s="99"/>
      <x:c r="L150" s="99"/>
      <x:c r="M150" s="99"/>
      <x:c r="N150" s="99"/>
      <x:c r="O150" s="99"/>
      <x:c r="P150" s="99"/>
      <x:c r="Q150" s="99"/>
      <x:c r="R150" s="99"/>
      <x:c r="S150" s="99"/>
      <x:c r="T150" s="99"/>
      <x:c r="U150" s="99"/>
      <x:c r="V150" s="99"/>
      <x:c r="W150" s="99"/>
      <x:c r="X150" s="99"/>
      <x:c r="Y150" s="99"/>
      <x:c r="Z150" s="99"/>
    </x:row>
    <x:row r="151">
      <x:c r="A151" s="99"/>
      <x:c r="B151" s="99"/>
      <x:c r="C151" s="99"/>
      <x:c r="D151" s="99"/>
      <x:c r="E151" s="99"/>
      <x:c r="F151" s="99"/>
      <x:c r="G151" s="99"/>
      <x:c r="H151" s="99"/>
      <x:c r="I151" s="99"/>
      <x:c r="J151" s="99"/>
      <x:c r="K151" s="99"/>
      <x:c r="L151" s="99"/>
      <x:c r="M151" s="99"/>
      <x:c r="N151" s="99"/>
      <x:c r="O151" s="99"/>
      <x:c r="P151" s="99"/>
      <x:c r="Q151" s="99"/>
      <x:c r="R151" s="99"/>
      <x:c r="S151" s="99"/>
      <x:c r="T151" s="99"/>
      <x:c r="U151" s="99"/>
      <x:c r="V151" s="99"/>
      <x:c r="W151" s="99"/>
      <x:c r="X151" s="99"/>
      <x:c r="Y151" s="99"/>
      <x:c r="Z151" s="99"/>
    </x:row>
    <x:row r="152">
      <x:c r="A152" s="99"/>
      <x:c r="B152" s="99"/>
      <x:c r="C152" s="99"/>
      <x:c r="D152" s="99"/>
      <x:c r="E152" s="99"/>
      <x:c r="F152" s="99"/>
      <x:c r="G152" s="99"/>
      <x:c r="H152" s="99"/>
      <x:c r="I152" s="99"/>
      <x:c r="J152" s="99"/>
      <x:c r="K152" s="99"/>
      <x:c r="L152" s="99"/>
      <x:c r="M152" s="99"/>
      <x:c r="N152" s="99"/>
      <x:c r="O152" s="99"/>
      <x:c r="P152" s="99"/>
      <x:c r="Q152" s="99"/>
      <x:c r="R152" s="99"/>
      <x:c r="S152" s="99"/>
      <x:c r="T152" s="99"/>
      <x:c r="U152" s="99"/>
      <x:c r="V152" s="99"/>
      <x:c r="W152" s="99"/>
      <x:c r="X152" s="99"/>
      <x:c r="Y152" s="99"/>
      <x:c r="Z152" s="99"/>
    </x:row>
    <x:row r="153">
      <x:c r="A153" s="99"/>
      <x:c r="B153" s="99"/>
      <x:c r="C153" s="99"/>
      <x:c r="D153" s="99"/>
      <x:c r="E153" s="99"/>
      <x:c r="F153" s="99"/>
      <x:c r="G153" s="99"/>
      <x:c r="H153" s="99"/>
      <x:c r="I153" s="99"/>
      <x:c r="J153" s="99"/>
      <x:c r="K153" s="99"/>
      <x:c r="L153" s="99"/>
      <x:c r="M153" s="99"/>
      <x:c r="N153" s="99"/>
      <x:c r="O153" s="99"/>
      <x:c r="P153" s="99"/>
      <x:c r="Q153" s="99"/>
      <x:c r="R153" s="99"/>
      <x:c r="S153" s="99"/>
      <x:c r="T153" s="99"/>
      <x:c r="U153" s="99"/>
      <x:c r="V153" s="99"/>
      <x:c r="W153" s="99"/>
      <x:c r="X153" s="99"/>
      <x:c r="Y153" s="99"/>
      <x:c r="Z153" s="99"/>
    </x:row>
    <x:row r="154">
      <x:c r="A154" s="99"/>
      <x:c r="B154" s="99"/>
      <x:c r="C154" s="99"/>
      <x:c r="D154" s="99"/>
      <x:c r="E154" s="99"/>
      <x:c r="F154" s="99"/>
      <x:c r="G154" s="99"/>
      <x:c r="H154" s="99"/>
      <x:c r="I154" s="99"/>
      <x:c r="J154" s="99"/>
      <x:c r="K154" s="99"/>
      <x:c r="L154" s="99"/>
      <x:c r="M154" s="99"/>
      <x:c r="N154" s="99"/>
      <x:c r="O154" s="99"/>
      <x:c r="P154" s="99"/>
      <x:c r="Q154" s="99"/>
      <x:c r="R154" s="99"/>
      <x:c r="S154" s="99"/>
      <x:c r="T154" s="99"/>
      <x:c r="U154" s="99"/>
      <x:c r="V154" s="99"/>
      <x:c r="W154" s="99"/>
      <x:c r="X154" s="99"/>
      <x:c r="Y154" s="99"/>
      <x:c r="Z154" s="99"/>
    </x:row>
    <x:row r="155">
      <x:c r="A155" s="99"/>
      <x:c r="B155" s="99"/>
      <x:c r="C155" s="99"/>
      <x:c r="D155" s="99"/>
      <x:c r="E155" s="99"/>
      <x:c r="F155" s="99"/>
      <x:c r="G155" s="99"/>
      <x:c r="H155" s="99"/>
      <x:c r="I155" s="99"/>
      <x:c r="J155" s="99"/>
      <x:c r="K155" s="99"/>
      <x:c r="L155" s="99"/>
      <x:c r="M155" s="99"/>
      <x:c r="N155" s="99"/>
      <x:c r="O155" s="99"/>
      <x:c r="P155" s="99"/>
      <x:c r="Q155" s="99"/>
      <x:c r="R155" s="99"/>
      <x:c r="S155" s="99"/>
      <x:c r="T155" s="99"/>
      <x:c r="U155" s="99"/>
      <x:c r="V155" s="99"/>
      <x:c r="W155" s="99"/>
      <x:c r="X155" s="99"/>
      <x:c r="Y155" s="99"/>
      <x:c r="Z155" s="99"/>
    </x:row>
    <x:row r="156">
      <x:c r="A156" s="99"/>
      <x:c r="B156" s="99"/>
      <x:c r="C156" s="99"/>
      <x:c r="D156" s="99"/>
      <x:c r="E156" s="99"/>
      <x:c r="F156" s="99"/>
      <x:c r="G156" s="99"/>
      <x:c r="H156" s="99"/>
      <x:c r="I156" s="99"/>
      <x:c r="J156" s="99"/>
      <x:c r="K156" s="99"/>
      <x:c r="L156" s="99"/>
      <x:c r="M156" s="99"/>
      <x:c r="N156" s="99"/>
      <x:c r="O156" s="99"/>
      <x:c r="P156" s="99"/>
      <x:c r="Q156" s="99"/>
      <x:c r="R156" s="99"/>
      <x:c r="S156" s="99"/>
      <x:c r="T156" s="99"/>
      <x:c r="U156" s="99"/>
      <x:c r="V156" s="99"/>
      <x:c r="W156" s="99"/>
      <x:c r="X156" s="99"/>
      <x:c r="Y156" s="99"/>
      <x:c r="Z156" s="99"/>
    </x:row>
    <x:row r="157">
      <x:c r="A157" s="99"/>
      <x:c r="B157" s="99"/>
      <x:c r="C157" s="99"/>
      <x:c r="D157" s="99"/>
      <x:c r="E157" s="99"/>
      <x:c r="F157" s="99"/>
      <x:c r="G157" s="99"/>
      <x:c r="H157" s="99"/>
      <x:c r="I157" s="99"/>
      <x:c r="J157" s="99"/>
      <x:c r="K157" s="99"/>
      <x:c r="L157" s="99"/>
      <x:c r="M157" s="99"/>
      <x:c r="N157" s="99"/>
      <x:c r="O157" s="99"/>
      <x:c r="P157" s="99"/>
      <x:c r="Q157" s="99"/>
      <x:c r="R157" s="99"/>
      <x:c r="S157" s="99"/>
      <x:c r="T157" s="99"/>
      <x:c r="U157" s="99"/>
      <x:c r="V157" s="99"/>
      <x:c r="W157" s="99"/>
      <x:c r="X157" s="99"/>
      <x:c r="Y157" s="99"/>
      <x:c r="Z157" s="99"/>
    </x:row>
    <x:row r="158">
      <x:c r="A158" s="99"/>
      <x:c r="B158" s="99"/>
      <x:c r="C158" s="99"/>
      <x:c r="D158" s="99"/>
      <x:c r="E158" s="99"/>
      <x:c r="F158" s="99"/>
      <x:c r="G158" s="99"/>
      <x:c r="H158" s="99"/>
      <x:c r="I158" s="99"/>
      <x:c r="J158" s="99"/>
      <x:c r="K158" s="99"/>
      <x:c r="L158" s="99"/>
      <x:c r="M158" s="99"/>
      <x:c r="N158" s="99"/>
      <x:c r="O158" s="99"/>
      <x:c r="P158" s="99"/>
      <x:c r="Q158" s="99"/>
      <x:c r="R158" s="99"/>
      <x:c r="S158" s="99"/>
      <x:c r="T158" s="99"/>
      <x:c r="U158" s="99"/>
      <x:c r="V158" s="99"/>
      <x:c r="W158" s="99"/>
      <x:c r="X158" s="99"/>
      <x:c r="Y158" s="99"/>
      <x:c r="Z158" s="99"/>
    </x:row>
    <x:row r="159">
      <x:c r="A159" s="99"/>
      <x:c r="B159" s="99"/>
      <x:c r="C159" s="99"/>
      <x:c r="D159" s="99"/>
      <x:c r="E159" s="99"/>
      <x:c r="F159" s="99"/>
      <x:c r="G159" s="99"/>
      <x:c r="H159" s="99"/>
      <x:c r="I159" s="99"/>
      <x:c r="J159" s="99"/>
      <x:c r="K159" s="99"/>
      <x:c r="L159" s="99"/>
      <x:c r="M159" s="99"/>
      <x:c r="N159" s="99"/>
      <x:c r="O159" s="99"/>
      <x:c r="P159" s="99"/>
      <x:c r="Q159" s="99"/>
      <x:c r="R159" s="99"/>
      <x:c r="S159" s="99"/>
      <x:c r="T159" s="99"/>
      <x:c r="U159" s="99"/>
      <x:c r="V159" s="99"/>
      <x:c r="W159" s="99"/>
      <x:c r="X159" s="99"/>
      <x:c r="Y159" s="99"/>
      <x:c r="Z159" s="99"/>
    </x:row>
    <x:row r="160">
      <x:c r="A160" s="99"/>
      <x:c r="B160" s="99"/>
      <x:c r="C160" s="99"/>
      <x:c r="D160" s="99"/>
      <x:c r="E160" s="99"/>
      <x:c r="F160" s="99"/>
      <x:c r="G160" s="99"/>
      <x:c r="H160" s="99"/>
      <x:c r="I160" s="99"/>
      <x:c r="J160" s="99"/>
      <x:c r="K160" s="99"/>
      <x:c r="L160" s="99"/>
      <x:c r="M160" s="99"/>
      <x:c r="N160" s="99"/>
      <x:c r="O160" s="99"/>
      <x:c r="P160" s="99"/>
      <x:c r="Q160" s="99"/>
      <x:c r="R160" s="99"/>
      <x:c r="S160" s="99"/>
      <x:c r="T160" s="99"/>
      <x:c r="U160" s="99"/>
      <x:c r="V160" s="99"/>
      <x:c r="W160" s="99"/>
      <x:c r="X160" s="99"/>
      <x:c r="Y160" s="99"/>
      <x:c r="Z160" s="99"/>
    </x:row>
    <x:row r="161">
      <x:c r="A161" s="99"/>
      <x:c r="B161" s="99"/>
      <x:c r="C161" s="99"/>
      <x:c r="D161" s="99"/>
      <x:c r="E161" s="99"/>
      <x:c r="F161" s="99"/>
      <x:c r="G161" s="99"/>
      <x:c r="H161" s="99"/>
      <x:c r="I161" s="99"/>
      <x:c r="J161" s="99"/>
      <x:c r="K161" s="99"/>
      <x:c r="L161" s="99"/>
      <x:c r="M161" s="99"/>
      <x:c r="N161" s="99"/>
      <x:c r="O161" s="99"/>
      <x:c r="P161" s="99"/>
      <x:c r="Q161" s="99"/>
      <x:c r="R161" s="99"/>
      <x:c r="S161" s="99"/>
      <x:c r="T161" s="99"/>
      <x:c r="U161" s="99"/>
      <x:c r="V161" s="99"/>
      <x:c r="W161" s="99"/>
      <x:c r="X161" s="99"/>
      <x:c r="Y161" s="99"/>
      <x:c r="Z161" s="99"/>
    </x:row>
    <x:row r="162">
      <x:c r="A162" s="99"/>
      <x:c r="B162" s="99"/>
      <x:c r="C162" s="99"/>
      <x:c r="D162" s="99"/>
      <x:c r="E162" s="99"/>
      <x:c r="F162" s="99"/>
      <x:c r="G162" s="99"/>
      <x:c r="H162" s="99"/>
      <x:c r="I162" s="99"/>
      <x:c r="J162" s="99"/>
      <x:c r="K162" s="99"/>
      <x:c r="L162" s="99"/>
      <x:c r="M162" s="99"/>
      <x:c r="N162" s="99"/>
      <x:c r="O162" s="99"/>
      <x:c r="P162" s="99"/>
      <x:c r="Q162" s="99"/>
      <x:c r="R162" s="99"/>
      <x:c r="S162" s="99"/>
      <x:c r="T162" s="99"/>
      <x:c r="U162" s="99"/>
      <x:c r="V162" s="99"/>
      <x:c r="W162" s="99"/>
      <x:c r="X162" s="99"/>
      <x:c r="Y162" s="99"/>
      <x:c r="Z162" s="99"/>
    </x:row>
    <x:row r="163">
      <x:c r="A163" s="99"/>
      <x:c r="B163" s="99"/>
      <x:c r="C163" s="99"/>
      <x:c r="D163" s="99"/>
      <x:c r="E163" s="99"/>
      <x:c r="F163" s="99"/>
      <x:c r="G163" s="99"/>
      <x:c r="H163" s="99"/>
      <x:c r="I163" s="99"/>
      <x:c r="J163" s="99"/>
      <x:c r="K163" s="99"/>
      <x:c r="L163" s="99"/>
      <x:c r="M163" s="99"/>
      <x:c r="N163" s="99"/>
      <x:c r="O163" s="99"/>
      <x:c r="P163" s="99"/>
      <x:c r="Q163" s="99"/>
      <x:c r="R163" s="99"/>
      <x:c r="S163" s="99"/>
      <x:c r="T163" s="99"/>
      <x:c r="U163" s="99"/>
      <x:c r="V163" s="99"/>
      <x:c r="W163" s="99"/>
      <x:c r="X163" s="99"/>
      <x:c r="Y163" s="99"/>
      <x:c r="Z163" s="99"/>
    </x:row>
    <x:row r="164">
      <x:c r="A164" s="99"/>
      <x:c r="B164" s="99"/>
      <x:c r="C164" s="99"/>
      <x:c r="D164" s="99"/>
      <x:c r="E164" s="99"/>
      <x:c r="F164" s="99"/>
      <x:c r="G164" s="99"/>
      <x:c r="H164" s="99"/>
      <x:c r="I164" s="99"/>
      <x:c r="J164" s="99"/>
      <x:c r="K164" s="99"/>
      <x:c r="L164" s="99"/>
      <x:c r="M164" s="99"/>
      <x:c r="N164" s="99"/>
      <x:c r="O164" s="99"/>
      <x:c r="P164" s="99"/>
      <x:c r="Q164" s="99"/>
      <x:c r="R164" s="99"/>
      <x:c r="S164" s="99"/>
      <x:c r="T164" s="99"/>
      <x:c r="U164" s="99"/>
      <x:c r="V164" s="99"/>
      <x:c r="W164" s="99"/>
      <x:c r="X164" s="99"/>
      <x:c r="Y164" s="99"/>
      <x:c r="Z164" s="99"/>
    </x:row>
    <x:row r="165">
      <x:c r="A165" s="99"/>
      <x:c r="B165" s="99"/>
      <x:c r="C165" s="99"/>
      <x:c r="D165" s="99"/>
      <x:c r="E165" s="99"/>
      <x:c r="F165" s="99"/>
      <x:c r="G165" s="99"/>
      <x:c r="H165" s="99"/>
      <x:c r="I165" s="99"/>
      <x:c r="J165" s="99"/>
      <x:c r="K165" s="99"/>
      <x:c r="L165" s="99"/>
      <x:c r="M165" s="99"/>
      <x:c r="N165" s="99"/>
      <x:c r="O165" s="99"/>
      <x:c r="P165" s="99"/>
      <x:c r="Q165" s="99"/>
      <x:c r="R165" s="99"/>
      <x:c r="S165" s="99"/>
      <x:c r="T165" s="99"/>
      <x:c r="U165" s="99"/>
      <x:c r="V165" s="99"/>
      <x:c r="W165" s="99"/>
      <x:c r="X165" s="99"/>
      <x:c r="Y165" s="99"/>
      <x:c r="Z165" s="99"/>
    </x:row>
    <x:row r="166">
      <x:c r="A166" s="99"/>
      <x:c r="B166" s="99"/>
      <x:c r="C166" s="99"/>
      <x:c r="D166" s="99"/>
      <x:c r="E166" s="99"/>
      <x:c r="F166" s="99"/>
      <x:c r="G166" s="99"/>
      <x:c r="H166" s="99"/>
      <x:c r="I166" s="99"/>
      <x:c r="J166" s="99"/>
      <x:c r="K166" s="99"/>
      <x:c r="L166" s="99"/>
      <x:c r="M166" s="99"/>
      <x:c r="N166" s="99"/>
      <x:c r="O166" s="99"/>
      <x:c r="P166" s="99"/>
      <x:c r="Q166" s="99"/>
      <x:c r="R166" s="99"/>
      <x:c r="S166" s="99"/>
      <x:c r="T166" s="99"/>
      <x:c r="U166" s="99"/>
      <x:c r="V166" s="99"/>
      <x:c r="W166" s="99"/>
      <x:c r="X166" s="99"/>
      <x:c r="Y166" s="99"/>
      <x:c r="Z166" s="99"/>
    </x:row>
    <x:row r="167">
      <x:c r="A167" s="99"/>
      <x:c r="B167" s="99"/>
      <x:c r="C167" s="99"/>
      <x:c r="D167" s="99"/>
      <x:c r="E167" s="99"/>
      <x:c r="F167" s="99"/>
      <x:c r="G167" s="99"/>
      <x:c r="H167" s="99"/>
      <x:c r="I167" s="99"/>
      <x:c r="J167" s="99"/>
      <x:c r="K167" s="99"/>
      <x:c r="L167" s="99"/>
      <x:c r="M167" s="99"/>
      <x:c r="N167" s="99"/>
      <x:c r="O167" s="99"/>
      <x:c r="P167" s="99"/>
      <x:c r="Q167" s="99"/>
      <x:c r="R167" s="99"/>
      <x:c r="S167" s="99"/>
      <x:c r="T167" s="99"/>
      <x:c r="U167" s="99"/>
      <x:c r="V167" s="99"/>
      <x:c r="W167" s="99"/>
      <x:c r="X167" s="99"/>
      <x:c r="Y167" s="99"/>
      <x:c r="Z167" s="99"/>
    </x:row>
    <x:row r="168">
      <x:c r="A168" s="99"/>
      <x:c r="B168" s="99"/>
      <x:c r="C168" s="99"/>
      <x:c r="D168" s="99"/>
      <x:c r="E168" s="99"/>
      <x:c r="F168" s="99"/>
      <x:c r="G168" s="99"/>
      <x:c r="H168" s="99"/>
      <x:c r="I168" s="99"/>
      <x:c r="J168" s="99"/>
      <x:c r="K168" s="99"/>
      <x:c r="L168" s="99"/>
      <x:c r="M168" s="99"/>
      <x:c r="N168" s="99"/>
      <x:c r="O168" s="99"/>
      <x:c r="P168" s="99"/>
      <x:c r="Q168" s="99"/>
      <x:c r="R168" s="99"/>
      <x:c r="S168" s="99"/>
      <x:c r="T168" s="99"/>
      <x:c r="U168" s="99"/>
      <x:c r="V168" s="99"/>
      <x:c r="W168" s="99"/>
      <x:c r="X168" s="99"/>
      <x:c r="Y168" s="99"/>
      <x:c r="Z168" s="99"/>
    </x:row>
    <x:row r="169">
      <x:c r="A169" s="99"/>
      <x:c r="B169" s="99"/>
      <x:c r="C169" s="99"/>
      <x:c r="D169" s="99"/>
      <x:c r="E169" s="99"/>
      <x:c r="F169" s="99"/>
      <x:c r="G169" s="99"/>
      <x:c r="H169" s="99"/>
      <x:c r="I169" s="99"/>
      <x:c r="J169" s="99"/>
      <x:c r="K169" s="99"/>
      <x:c r="L169" s="99"/>
      <x:c r="M169" s="99"/>
      <x:c r="N169" s="99"/>
      <x:c r="O169" s="99"/>
      <x:c r="P169" s="99"/>
      <x:c r="Q169" s="99"/>
      <x:c r="R169" s="99"/>
      <x:c r="S169" s="99"/>
      <x:c r="T169" s="99"/>
      <x:c r="U169" s="99"/>
      <x:c r="V169" s="99"/>
      <x:c r="W169" s="99"/>
      <x:c r="X169" s="99"/>
      <x:c r="Y169" s="99"/>
      <x:c r="Z169" s="99"/>
    </x:row>
    <x:row r="170">
      <x:c r="A170" s="99"/>
      <x:c r="B170" s="99"/>
      <x:c r="C170" s="99"/>
      <x:c r="D170" s="99"/>
      <x:c r="E170" s="99"/>
      <x:c r="F170" s="99"/>
      <x:c r="G170" s="99"/>
      <x:c r="H170" s="99"/>
      <x:c r="I170" s="99"/>
      <x:c r="J170" s="99"/>
      <x:c r="K170" s="99"/>
      <x:c r="L170" s="99"/>
      <x:c r="M170" s="99"/>
      <x:c r="N170" s="99"/>
      <x:c r="O170" s="99"/>
      <x:c r="P170" s="99"/>
      <x:c r="Q170" s="99"/>
      <x:c r="R170" s="99"/>
      <x:c r="S170" s="99"/>
      <x:c r="T170" s="99"/>
      <x:c r="U170" s="99"/>
      <x:c r="V170" s="99"/>
      <x:c r="W170" s="99"/>
      <x:c r="X170" s="99"/>
      <x:c r="Y170" s="99"/>
      <x:c r="Z170" s="99"/>
    </x:row>
    <x:row r="171">
      <x:c r="A171" s="99"/>
      <x:c r="B171" s="99"/>
      <x:c r="C171" s="99"/>
      <x:c r="D171" s="99"/>
      <x:c r="E171" s="99"/>
      <x:c r="F171" s="99"/>
      <x:c r="G171" s="99"/>
      <x:c r="H171" s="99"/>
      <x:c r="I171" s="99"/>
      <x:c r="J171" s="99"/>
      <x:c r="K171" s="99"/>
      <x:c r="L171" s="99"/>
      <x:c r="M171" s="99"/>
      <x:c r="N171" s="99"/>
      <x:c r="O171" s="99"/>
      <x:c r="P171" s="99"/>
      <x:c r="Q171" s="99"/>
      <x:c r="R171" s="99"/>
      <x:c r="S171" s="99"/>
      <x:c r="T171" s="99"/>
      <x:c r="U171" s="99"/>
      <x:c r="V171" s="99"/>
      <x:c r="W171" s="99"/>
      <x:c r="X171" s="99"/>
      <x:c r="Y171" s="99"/>
      <x:c r="Z171" s="99"/>
    </x:row>
    <x:row r="172">
      <x:c r="A172" s="99"/>
      <x:c r="B172" s="99"/>
      <x:c r="C172" s="99"/>
      <x:c r="D172" s="99"/>
      <x:c r="E172" s="99"/>
      <x:c r="F172" s="99"/>
      <x:c r="G172" s="99"/>
      <x:c r="H172" s="99"/>
      <x:c r="I172" s="99"/>
      <x:c r="J172" s="99"/>
      <x:c r="K172" s="99"/>
      <x:c r="L172" s="99"/>
      <x:c r="M172" s="99"/>
      <x:c r="N172" s="99"/>
      <x:c r="O172" s="99"/>
      <x:c r="P172" s="99"/>
      <x:c r="Q172" s="99"/>
      <x:c r="R172" s="99"/>
      <x:c r="S172" s="99"/>
      <x:c r="T172" s="99"/>
      <x:c r="U172" s="99"/>
      <x:c r="V172" s="99"/>
      <x:c r="W172" s="99"/>
      <x:c r="X172" s="99"/>
      <x:c r="Y172" s="99"/>
      <x:c r="Z172" s="99"/>
    </x:row>
    <x:row r="173">
      <x:c r="A173" s="99"/>
      <x:c r="B173" s="99"/>
      <x:c r="C173" s="99"/>
      <x:c r="D173" s="99"/>
      <x:c r="E173" s="99"/>
      <x:c r="F173" s="99"/>
      <x:c r="G173" s="99"/>
      <x:c r="H173" s="99"/>
      <x:c r="I173" s="99"/>
      <x:c r="J173" s="99"/>
      <x:c r="K173" s="99"/>
      <x:c r="L173" s="99"/>
      <x:c r="M173" s="99"/>
      <x:c r="N173" s="99"/>
      <x:c r="O173" s="99"/>
      <x:c r="P173" s="99"/>
      <x:c r="Q173" s="99"/>
      <x:c r="R173" s="99"/>
      <x:c r="S173" s="99"/>
      <x:c r="T173" s="99"/>
      <x:c r="U173" s="99"/>
      <x:c r="V173" s="99"/>
      <x:c r="W173" s="99"/>
      <x:c r="X173" s="99"/>
      <x:c r="Y173" s="99"/>
      <x:c r="Z173" s="99"/>
    </x:row>
    <x:row r="174">
      <x:c r="A174" s="99"/>
      <x:c r="B174" s="99"/>
      <x:c r="C174" s="99"/>
      <x:c r="D174" s="99"/>
      <x:c r="E174" s="99"/>
      <x:c r="F174" s="99"/>
      <x:c r="G174" s="99"/>
      <x:c r="H174" s="99"/>
      <x:c r="I174" s="99"/>
      <x:c r="J174" s="99"/>
      <x:c r="K174" s="99"/>
      <x:c r="L174" s="99"/>
      <x:c r="M174" s="99"/>
      <x:c r="N174" s="99"/>
      <x:c r="O174" s="99"/>
      <x:c r="P174" s="99"/>
      <x:c r="Q174" s="99"/>
      <x:c r="R174" s="99"/>
      <x:c r="S174" s="99"/>
      <x:c r="T174" s="99"/>
      <x:c r="U174" s="99"/>
      <x:c r="V174" s="99"/>
      <x:c r="W174" s="99"/>
      <x:c r="X174" s="99"/>
      <x:c r="Y174" s="99"/>
      <x:c r="Z174" s="99"/>
    </x:row>
    <x:row r="175">
      <x:c r="A175" s="99"/>
      <x:c r="B175" s="99"/>
      <x:c r="C175" s="99"/>
      <x:c r="D175" s="99"/>
      <x:c r="E175" s="99"/>
      <x:c r="F175" s="99"/>
      <x:c r="G175" s="99"/>
      <x:c r="H175" s="99"/>
      <x:c r="I175" s="99"/>
      <x:c r="J175" s="99"/>
      <x:c r="K175" s="99"/>
      <x:c r="L175" s="99"/>
      <x:c r="M175" s="99"/>
      <x:c r="N175" s="99"/>
      <x:c r="O175" s="99"/>
      <x:c r="P175" s="99"/>
      <x:c r="Q175" s="99"/>
      <x:c r="R175" s="99"/>
      <x:c r="S175" s="99"/>
      <x:c r="T175" s="99"/>
      <x:c r="U175" s="99"/>
      <x:c r="V175" s="99"/>
      <x:c r="W175" s="99"/>
      <x:c r="X175" s="99"/>
      <x:c r="Y175" s="99"/>
      <x:c r="Z175" s="99"/>
    </x:row>
    <x:row r="176">
      <x:c r="A176" s="99"/>
      <x:c r="B176" s="99"/>
      <x:c r="C176" s="99"/>
      <x:c r="D176" s="99"/>
      <x:c r="E176" s="99"/>
      <x:c r="F176" s="99"/>
      <x:c r="G176" s="99"/>
      <x:c r="H176" s="99"/>
      <x:c r="I176" s="99"/>
      <x:c r="J176" s="99"/>
      <x:c r="K176" s="99"/>
      <x:c r="L176" s="99"/>
      <x:c r="M176" s="99"/>
      <x:c r="N176" s="99"/>
      <x:c r="O176" s="99"/>
      <x:c r="P176" s="99"/>
      <x:c r="Q176" s="99"/>
      <x:c r="R176" s="99"/>
      <x:c r="S176" s="99"/>
      <x:c r="T176" s="99"/>
      <x:c r="U176" s="99"/>
      <x:c r="V176" s="99"/>
      <x:c r="W176" s="99"/>
      <x:c r="X176" s="99"/>
      <x:c r="Y176" s="99"/>
      <x:c r="Z176" s="99"/>
    </x:row>
    <x:row r="177">
      <x:c r="A177" s="99"/>
      <x:c r="B177" s="99"/>
      <x:c r="C177" s="99"/>
      <x:c r="D177" s="99"/>
      <x:c r="E177" s="99"/>
      <x:c r="F177" s="99"/>
      <x:c r="G177" s="99"/>
      <x:c r="H177" s="99"/>
      <x:c r="I177" s="99"/>
      <x:c r="J177" s="99"/>
      <x:c r="K177" s="99"/>
      <x:c r="L177" s="99"/>
      <x:c r="M177" s="99"/>
      <x:c r="N177" s="99"/>
      <x:c r="O177" s="99"/>
      <x:c r="P177" s="99"/>
      <x:c r="Q177" s="99"/>
      <x:c r="R177" s="99"/>
      <x:c r="S177" s="99"/>
      <x:c r="T177" s="99"/>
      <x:c r="U177" s="99"/>
      <x:c r="V177" s="99"/>
      <x:c r="W177" s="99"/>
      <x:c r="X177" s="99"/>
      <x:c r="Y177" s="99"/>
      <x:c r="Z177" s="99"/>
    </x:row>
    <x:row r="178">
      <x:c r="A178" s="99"/>
      <x:c r="B178" s="99"/>
      <x:c r="C178" s="99"/>
      <x:c r="D178" s="99"/>
      <x:c r="E178" s="99"/>
      <x:c r="F178" s="99"/>
      <x:c r="G178" s="99"/>
      <x:c r="H178" s="99"/>
      <x:c r="I178" s="99"/>
      <x:c r="J178" s="99"/>
      <x:c r="K178" s="99"/>
      <x:c r="L178" s="99"/>
      <x:c r="M178" s="99"/>
      <x:c r="N178" s="99"/>
      <x:c r="O178" s="99"/>
      <x:c r="P178" s="99"/>
      <x:c r="Q178" s="99"/>
      <x:c r="R178" s="99"/>
      <x:c r="S178" s="99"/>
      <x:c r="T178" s="99"/>
      <x:c r="U178" s="99"/>
      <x:c r="V178" s="99"/>
      <x:c r="W178" s="99"/>
      <x:c r="X178" s="99"/>
      <x:c r="Y178" s="99"/>
      <x:c r="Z178" s="99"/>
    </x:row>
    <x:row r="179">
      <x:c r="A179" s="99"/>
      <x:c r="B179" s="99"/>
      <x:c r="C179" s="99"/>
      <x:c r="D179" s="99"/>
      <x:c r="E179" s="99"/>
      <x:c r="F179" s="99"/>
      <x:c r="G179" s="99"/>
      <x:c r="H179" s="99"/>
      <x:c r="I179" s="99"/>
      <x:c r="J179" s="99"/>
      <x:c r="K179" s="99"/>
      <x:c r="L179" s="99"/>
      <x:c r="M179" s="99"/>
      <x:c r="N179" s="99"/>
      <x:c r="O179" s="99"/>
      <x:c r="P179" s="99"/>
      <x:c r="Q179" s="99"/>
      <x:c r="R179" s="99"/>
      <x:c r="S179" s="99"/>
      <x:c r="T179" s="99"/>
      <x:c r="U179" s="99"/>
      <x:c r="V179" s="99"/>
      <x:c r="W179" s="99"/>
      <x:c r="X179" s="99"/>
      <x:c r="Y179" s="99"/>
      <x:c r="Z179" s="99"/>
    </x:row>
    <x:row r="180">
      <x:c r="A180" s="99"/>
      <x:c r="B180" s="99"/>
      <x:c r="C180" s="99"/>
      <x:c r="D180" s="99"/>
      <x:c r="E180" s="99"/>
      <x:c r="F180" s="99"/>
      <x:c r="G180" s="99"/>
      <x:c r="H180" s="99"/>
      <x:c r="I180" s="99"/>
      <x:c r="J180" s="99"/>
      <x:c r="K180" s="99"/>
      <x:c r="L180" s="99"/>
      <x:c r="M180" s="99"/>
      <x:c r="N180" s="99"/>
      <x:c r="O180" s="99"/>
      <x:c r="P180" s="99"/>
      <x:c r="Q180" s="99"/>
      <x:c r="R180" s="99"/>
      <x:c r="S180" s="99"/>
      <x:c r="T180" s="99"/>
      <x:c r="U180" s="99"/>
      <x:c r="V180" s="99"/>
      <x:c r="W180" s="99"/>
      <x:c r="X180" s="99"/>
      <x:c r="Y180" s="99"/>
      <x:c r="Z180" s="99"/>
    </x:row>
    <x:row r="181">
      <x:c r="A181" s="99"/>
      <x:c r="B181" s="99"/>
      <x:c r="C181" s="99"/>
      <x:c r="D181" s="99"/>
      <x:c r="E181" s="99"/>
      <x:c r="F181" s="99"/>
      <x:c r="G181" s="99"/>
      <x:c r="H181" s="99"/>
      <x:c r="I181" s="99"/>
      <x:c r="J181" s="99"/>
      <x:c r="K181" s="99"/>
      <x:c r="L181" s="99"/>
      <x:c r="M181" s="99"/>
      <x:c r="N181" s="99"/>
      <x:c r="O181" s="99"/>
      <x:c r="P181" s="99"/>
      <x:c r="Q181" s="99"/>
      <x:c r="R181" s="99"/>
      <x:c r="S181" s="99"/>
      <x:c r="T181" s="99"/>
      <x:c r="U181" s="99"/>
      <x:c r="V181" s="99"/>
      <x:c r="W181" s="99"/>
      <x:c r="X181" s="99"/>
      <x:c r="Y181" s="99"/>
      <x:c r="Z181" s="99"/>
    </x:row>
    <x:row r="182">
      <x:c r="A182" s="99"/>
      <x:c r="B182" s="99"/>
      <x:c r="C182" s="99"/>
      <x:c r="D182" s="99"/>
      <x:c r="E182" s="99"/>
      <x:c r="F182" s="99"/>
      <x:c r="G182" s="99"/>
      <x:c r="H182" s="99"/>
      <x:c r="I182" s="99"/>
      <x:c r="J182" s="99"/>
      <x:c r="K182" s="99"/>
      <x:c r="L182" s="99"/>
      <x:c r="M182" s="99"/>
      <x:c r="N182" s="99"/>
      <x:c r="O182" s="99"/>
      <x:c r="P182" s="99"/>
      <x:c r="Q182" s="99"/>
      <x:c r="R182" s="99"/>
      <x:c r="S182" s="99"/>
      <x:c r="T182" s="99"/>
      <x:c r="U182" s="99"/>
      <x:c r="V182" s="99"/>
      <x:c r="W182" s="99"/>
      <x:c r="X182" s="99"/>
      <x:c r="Y182" s="99"/>
      <x:c r="Z182" s="99"/>
    </x:row>
    <x:row r="183">
      <x:c r="A183" s="99"/>
      <x:c r="B183" s="99"/>
      <x:c r="C183" s="99"/>
      <x:c r="D183" s="99"/>
      <x:c r="E183" s="99"/>
      <x:c r="F183" s="99"/>
      <x:c r="G183" s="99"/>
      <x:c r="H183" s="99"/>
      <x:c r="I183" s="99"/>
      <x:c r="J183" s="99"/>
      <x:c r="K183" s="99"/>
      <x:c r="L183" s="99"/>
      <x:c r="M183" s="99"/>
      <x:c r="N183" s="99"/>
      <x:c r="O183" s="99"/>
      <x:c r="P183" s="99"/>
      <x:c r="Q183" s="99"/>
      <x:c r="R183" s="99"/>
      <x:c r="S183" s="99"/>
      <x:c r="T183" s="99"/>
      <x:c r="U183" s="99"/>
      <x:c r="V183" s="99"/>
      <x:c r="W183" s="99"/>
      <x:c r="X183" s="99"/>
      <x:c r="Y183" s="99"/>
      <x:c r="Z183" s="99"/>
    </x:row>
    <x:row r="184">
      <x:c r="A184" s="99"/>
      <x:c r="B184" s="99"/>
      <x:c r="C184" s="99"/>
      <x:c r="D184" s="99"/>
      <x:c r="E184" s="99"/>
      <x:c r="F184" s="99"/>
      <x:c r="G184" s="99"/>
      <x:c r="H184" s="99"/>
      <x:c r="I184" s="99"/>
      <x:c r="J184" s="99"/>
      <x:c r="K184" s="99"/>
      <x:c r="L184" s="99"/>
      <x:c r="M184" s="99"/>
      <x:c r="N184" s="99"/>
      <x:c r="O184" s="99"/>
      <x:c r="P184" s="99"/>
      <x:c r="Q184" s="99"/>
      <x:c r="R184" s="99"/>
      <x:c r="S184" s="99"/>
      <x:c r="T184" s="99"/>
      <x:c r="U184" s="99"/>
      <x:c r="V184" s="99"/>
      <x:c r="W184" s="99"/>
      <x:c r="X184" s="99"/>
      <x:c r="Y184" s="99"/>
      <x:c r="Z184" s="99"/>
    </x:row>
    <x:row r="185">
      <x:c r="A185" s="99"/>
      <x:c r="B185" s="99"/>
      <x:c r="C185" s="99"/>
      <x:c r="D185" s="99"/>
      <x:c r="E185" s="99"/>
      <x:c r="F185" s="99"/>
      <x:c r="G185" s="99"/>
      <x:c r="H185" s="99"/>
      <x:c r="I185" s="99"/>
      <x:c r="J185" s="99"/>
      <x:c r="K185" s="99"/>
      <x:c r="L185" s="99"/>
      <x:c r="M185" s="99"/>
      <x:c r="N185" s="99"/>
      <x:c r="O185" s="99"/>
      <x:c r="P185" s="99"/>
      <x:c r="Q185" s="99"/>
      <x:c r="R185" s="99"/>
      <x:c r="S185" s="99"/>
      <x:c r="T185" s="99"/>
      <x:c r="U185" s="99"/>
      <x:c r="V185" s="99"/>
      <x:c r="W185" s="99"/>
      <x:c r="X185" s="99"/>
      <x:c r="Y185" s="99"/>
      <x:c r="Z185" s="99"/>
    </x:row>
    <x:row r="186">
      <x:c r="A186" s="99"/>
      <x:c r="B186" s="99"/>
      <x:c r="C186" s="99"/>
      <x:c r="D186" s="99"/>
      <x:c r="E186" s="99"/>
      <x:c r="F186" s="99"/>
      <x:c r="G186" s="99"/>
      <x:c r="H186" s="99"/>
      <x:c r="I186" s="99"/>
      <x:c r="J186" s="99"/>
      <x:c r="K186" s="99"/>
      <x:c r="L186" s="99"/>
      <x:c r="M186" s="99"/>
      <x:c r="N186" s="99"/>
      <x:c r="O186" s="99"/>
      <x:c r="P186" s="99"/>
      <x:c r="Q186" s="99"/>
      <x:c r="R186" s="99"/>
      <x:c r="S186" s="99"/>
      <x:c r="T186" s="99"/>
      <x:c r="U186" s="99"/>
      <x:c r="V186" s="99"/>
      <x:c r="W186" s="99"/>
      <x:c r="X186" s="99"/>
      <x:c r="Y186" s="99"/>
      <x:c r="Z186" s="99"/>
    </x:row>
    <x:row r="187">
      <x:c r="A187" s="99"/>
      <x:c r="B187" s="99"/>
      <x:c r="C187" s="99"/>
      <x:c r="D187" s="99"/>
      <x:c r="E187" s="99"/>
      <x:c r="F187" s="99"/>
      <x:c r="G187" s="99"/>
      <x:c r="H187" s="99"/>
      <x:c r="I187" s="99"/>
      <x:c r="J187" s="99"/>
      <x:c r="K187" s="99"/>
      <x:c r="L187" s="99"/>
      <x:c r="M187" s="99"/>
      <x:c r="N187" s="99"/>
      <x:c r="O187" s="99"/>
      <x:c r="P187" s="99"/>
      <x:c r="Q187" s="99"/>
      <x:c r="R187" s="99"/>
      <x:c r="S187" s="99"/>
      <x:c r="T187" s="99"/>
      <x:c r="U187" s="99"/>
      <x:c r="V187" s="99"/>
      <x:c r="W187" s="99"/>
      <x:c r="X187" s="99"/>
      <x:c r="Y187" s="99"/>
      <x:c r="Z187" s="99"/>
    </x:row>
    <x:row r="188">
      <x:c r="A188" s="99"/>
      <x:c r="B188" s="99"/>
      <x:c r="C188" s="99"/>
      <x:c r="D188" s="99"/>
      <x:c r="E188" s="99"/>
      <x:c r="F188" s="99"/>
      <x:c r="G188" s="99"/>
      <x:c r="H188" s="99"/>
      <x:c r="I188" s="99"/>
      <x:c r="J188" s="99"/>
      <x:c r="K188" s="99"/>
      <x:c r="L188" s="99"/>
      <x:c r="M188" s="99"/>
      <x:c r="N188" s="99"/>
      <x:c r="O188" s="99"/>
      <x:c r="P188" s="99"/>
      <x:c r="Q188" s="99"/>
      <x:c r="R188" s="99"/>
      <x:c r="S188" s="99"/>
      <x:c r="T188" s="99"/>
      <x:c r="U188" s="99"/>
      <x:c r="V188" s="99"/>
      <x:c r="W188" s="99"/>
      <x:c r="X188" s="99"/>
      <x:c r="Y188" s="99"/>
      <x:c r="Z188" s="99"/>
    </x:row>
    <x:row r="189">
      <x:c r="A189" s="99"/>
      <x:c r="B189" s="99"/>
      <x:c r="C189" s="99"/>
      <x:c r="D189" s="99"/>
      <x:c r="E189" s="99"/>
      <x:c r="F189" s="99"/>
      <x:c r="G189" s="99"/>
      <x:c r="H189" s="99"/>
      <x:c r="I189" s="99"/>
      <x:c r="J189" s="99"/>
      <x:c r="K189" s="99"/>
      <x:c r="L189" s="99"/>
      <x:c r="M189" s="99"/>
      <x:c r="N189" s="99"/>
      <x:c r="O189" s="99"/>
      <x:c r="P189" s="99"/>
      <x:c r="Q189" s="99"/>
      <x:c r="R189" s="99"/>
      <x:c r="S189" s="99"/>
      <x:c r="T189" s="99"/>
      <x:c r="U189" s="99"/>
      <x:c r="V189" s="99"/>
      <x:c r="W189" s="99"/>
      <x:c r="X189" s="99"/>
      <x:c r="Y189" s="99"/>
      <x:c r="Z189" s="99"/>
    </x:row>
    <x:row r="190">
      <x:c r="A190" s="99"/>
      <x:c r="B190" s="99"/>
      <x:c r="C190" s="99"/>
      <x:c r="D190" s="99"/>
      <x:c r="E190" s="99"/>
      <x:c r="F190" s="99"/>
      <x:c r="G190" s="99"/>
      <x:c r="H190" s="99"/>
      <x:c r="I190" s="99"/>
      <x:c r="J190" s="99"/>
      <x:c r="K190" s="99"/>
      <x:c r="L190" s="99"/>
      <x:c r="M190" s="99"/>
      <x:c r="N190" s="99"/>
      <x:c r="O190" s="99"/>
      <x:c r="P190" s="99"/>
      <x:c r="Q190" s="99"/>
      <x:c r="R190" s="99"/>
      <x:c r="S190" s="99"/>
      <x:c r="T190" s="99"/>
      <x:c r="U190" s="99"/>
      <x:c r="V190" s="99"/>
      <x:c r="W190" s="99"/>
      <x:c r="X190" s="99"/>
      <x:c r="Y190" s="99"/>
      <x:c r="Z190" s="99"/>
    </x:row>
    <x:row r="191">
      <x:c r="A191" s="99"/>
      <x:c r="B191" s="99"/>
      <x:c r="C191" s="99"/>
      <x:c r="D191" s="99"/>
      <x:c r="E191" s="99"/>
      <x:c r="F191" s="99"/>
      <x:c r="G191" s="99"/>
      <x:c r="H191" s="99"/>
      <x:c r="I191" s="99"/>
      <x:c r="J191" s="99"/>
      <x:c r="K191" s="99"/>
      <x:c r="L191" s="99"/>
      <x:c r="M191" s="99"/>
      <x:c r="N191" s="99"/>
      <x:c r="O191" s="99"/>
      <x:c r="P191" s="99"/>
      <x:c r="Q191" s="99"/>
      <x:c r="R191" s="99"/>
      <x:c r="S191" s="99"/>
      <x:c r="T191" s="99"/>
      <x:c r="U191" s="99"/>
      <x:c r="V191" s="99"/>
      <x:c r="W191" s="99"/>
      <x:c r="X191" s="99"/>
      <x:c r="Y191" s="99"/>
      <x:c r="Z191" s="99"/>
    </x:row>
    <x:row r="192">
      <x:c r="A192" s="99"/>
      <x:c r="B192" s="99"/>
      <x:c r="C192" s="99"/>
      <x:c r="D192" s="99"/>
      <x:c r="E192" s="99"/>
      <x:c r="F192" s="99"/>
      <x:c r="G192" s="99"/>
      <x:c r="H192" s="99"/>
      <x:c r="I192" s="99"/>
      <x:c r="J192" s="99"/>
      <x:c r="K192" s="99"/>
      <x:c r="L192" s="99"/>
      <x:c r="M192" s="99"/>
      <x:c r="N192" s="99"/>
      <x:c r="O192" s="99"/>
      <x:c r="P192" s="99"/>
      <x:c r="Q192" s="99"/>
      <x:c r="R192" s="99"/>
      <x:c r="S192" s="99"/>
      <x:c r="T192" s="99"/>
      <x:c r="U192" s="99"/>
      <x:c r="V192" s="99"/>
      <x:c r="W192" s="99"/>
      <x:c r="X192" s="99"/>
      <x:c r="Y192" s="99"/>
      <x:c r="Z192" s="99"/>
    </x:row>
    <x:row r="193">
      <x:c r="A193" s="99"/>
      <x:c r="B193" s="99"/>
      <x:c r="C193" s="99"/>
      <x:c r="D193" s="99"/>
      <x:c r="E193" s="99"/>
      <x:c r="F193" s="99"/>
      <x:c r="G193" s="99"/>
      <x:c r="H193" s="99"/>
      <x:c r="I193" s="99"/>
      <x:c r="J193" s="99"/>
      <x:c r="K193" s="99"/>
      <x:c r="L193" s="99"/>
      <x:c r="M193" s="99"/>
      <x:c r="N193" s="99"/>
      <x:c r="O193" s="99"/>
      <x:c r="P193" s="99"/>
      <x:c r="Q193" s="99"/>
      <x:c r="R193" s="99"/>
      <x:c r="S193" s="99"/>
      <x:c r="T193" s="99"/>
      <x:c r="U193" s="99"/>
      <x:c r="V193" s="99"/>
      <x:c r="W193" s="99"/>
      <x:c r="X193" s="99"/>
      <x:c r="Y193" s="99"/>
      <x:c r="Z193" s="99"/>
    </x:row>
    <x:row r="194">
      <x:c r="A194" s="99"/>
      <x:c r="B194" s="99"/>
      <x:c r="C194" s="99"/>
      <x:c r="D194" s="99"/>
      <x:c r="E194" s="99"/>
      <x:c r="F194" s="99"/>
      <x:c r="G194" s="99"/>
      <x:c r="H194" s="99"/>
      <x:c r="I194" s="99"/>
      <x:c r="J194" s="99"/>
      <x:c r="K194" s="99"/>
      <x:c r="L194" s="99"/>
      <x:c r="M194" s="99"/>
      <x:c r="N194" s="99"/>
      <x:c r="O194" s="99"/>
      <x:c r="P194" s="99"/>
      <x:c r="Q194" s="99"/>
      <x:c r="R194" s="99"/>
      <x:c r="S194" s="99"/>
      <x:c r="T194" s="99"/>
      <x:c r="U194" s="99"/>
      <x:c r="V194" s="99"/>
      <x:c r="W194" s="99"/>
      <x:c r="X194" s="99"/>
      <x:c r="Y194" s="99"/>
      <x:c r="Z194" s="99"/>
    </x:row>
    <x:row r="195">
      <x:c r="A195" s="99"/>
      <x:c r="B195" s="99"/>
      <x:c r="C195" s="99"/>
      <x:c r="D195" s="99"/>
      <x:c r="E195" s="99"/>
      <x:c r="F195" s="99"/>
      <x:c r="G195" s="99"/>
      <x:c r="H195" s="99"/>
      <x:c r="I195" s="99"/>
      <x:c r="J195" s="99"/>
      <x:c r="K195" s="99"/>
      <x:c r="L195" s="99"/>
      <x:c r="M195" s="99"/>
      <x:c r="N195" s="99"/>
      <x:c r="O195" s="99"/>
      <x:c r="P195" s="99"/>
      <x:c r="Q195" s="99"/>
      <x:c r="R195" s="99"/>
      <x:c r="S195" s="99"/>
      <x:c r="T195" s="99"/>
      <x:c r="U195" s="99"/>
      <x:c r="V195" s="99"/>
      <x:c r="W195" s="99"/>
      <x:c r="X195" s="99"/>
      <x:c r="Y195" s="99"/>
      <x:c r="Z195" s="99"/>
    </x:row>
    <x:row r="196">
      <x:c r="A196" s="99"/>
      <x:c r="B196" s="99"/>
      <x:c r="C196" s="99"/>
      <x:c r="D196" s="99"/>
      <x:c r="E196" s="99"/>
      <x:c r="F196" s="99"/>
      <x:c r="G196" s="99"/>
      <x:c r="H196" s="99"/>
      <x:c r="I196" s="99"/>
      <x:c r="J196" s="99"/>
      <x:c r="K196" s="99"/>
      <x:c r="L196" s="99"/>
      <x:c r="M196" s="99"/>
      <x:c r="N196" s="99"/>
      <x:c r="O196" s="99"/>
      <x:c r="P196" s="99"/>
      <x:c r="Q196" s="99"/>
      <x:c r="R196" s="99"/>
      <x:c r="S196" s="99"/>
      <x:c r="T196" s="99"/>
      <x:c r="U196" s="99"/>
      <x:c r="V196" s="99"/>
      <x:c r="W196" s="99"/>
      <x:c r="X196" s="99"/>
      <x:c r="Y196" s="99"/>
      <x:c r="Z196" s="99"/>
    </x:row>
    <x:row r="197">
      <x:c r="A197" s="99"/>
      <x:c r="B197" s="99"/>
      <x:c r="C197" s="99"/>
      <x:c r="D197" s="99"/>
      <x:c r="E197" s="99"/>
      <x:c r="F197" s="99"/>
      <x:c r="G197" s="99"/>
      <x:c r="H197" s="99"/>
      <x:c r="I197" s="99"/>
      <x:c r="J197" s="99"/>
      <x:c r="K197" s="99"/>
      <x:c r="L197" s="99"/>
      <x:c r="M197" s="99"/>
      <x:c r="N197" s="99"/>
      <x:c r="O197" s="99"/>
      <x:c r="P197" s="99"/>
      <x:c r="Q197" s="99"/>
      <x:c r="R197" s="99"/>
      <x:c r="S197" s="99"/>
      <x:c r="T197" s="99"/>
      <x:c r="U197" s="99"/>
      <x:c r="V197" s="99"/>
      <x:c r="W197" s="99"/>
      <x:c r="X197" s="99"/>
      <x:c r="Y197" s="99"/>
      <x:c r="Z197" s="99"/>
    </x:row>
    <x:row r="198">
      <x:c r="A198" s="99"/>
      <x:c r="B198" s="99"/>
      <x:c r="C198" s="99"/>
      <x:c r="D198" s="99"/>
      <x:c r="E198" s="99"/>
      <x:c r="F198" s="99"/>
      <x:c r="G198" s="99"/>
      <x:c r="H198" s="99"/>
      <x:c r="I198" s="99"/>
      <x:c r="J198" s="99"/>
      <x:c r="K198" s="99"/>
      <x:c r="L198" s="99"/>
      <x:c r="M198" s="99"/>
      <x:c r="N198" s="99"/>
      <x:c r="O198" s="99"/>
      <x:c r="P198" s="99"/>
      <x:c r="Q198" s="99"/>
      <x:c r="R198" s="99"/>
      <x:c r="S198" s="99"/>
      <x:c r="T198" s="99"/>
      <x:c r="U198" s="99"/>
      <x:c r="V198" s="99"/>
      <x:c r="W198" s="99"/>
      <x:c r="X198" s="99"/>
      <x:c r="Y198" s="99"/>
      <x:c r="Z198" s="99"/>
    </x:row>
    <x:row r="199">
      <x:c r="A199" s="99"/>
      <x:c r="B199" s="99"/>
      <x:c r="C199" s="99"/>
      <x:c r="D199" s="99"/>
      <x:c r="E199" s="99"/>
      <x:c r="F199" s="99"/>
      <x:c r="G199" s="99"/>
      <x:c r="H199" s="99"/>
      <x:c r="I199" s="99"/>
      <x:c r="J199" s="99"/>
      <x:c r="K199" s="99"/>
      <x:c r="L199" s="99"/>
      <x:c r="M199" s="99"/>
      <x:c r="N199" s="99"/>
      <x:c r="O199" s="99"/>
      <x:c r="P199" s="99"/>
      <x:c r="Q199" s="99"/>
      <x:c r="R199" s="99"/>
      <x:c r="S199" s="99"/>
      <x:c r="T199" s="99"/>
      <x:c r="U199" s="99"/>
      <x:c r="V199" s="99"/>
      <x:c r="W199" s="99"/>
      <x:c r="X199" s="99"/>
      <x:c r="Y199" s="99"/>
      <x:c r="Z199" s="99"/>
    </x:row>
    <x:row r="200">
      <x:c r="A200" s="99"/>
      <x:c r="B200" s="99"/>
      <x:c r="C200" s="99"/>
      <x:c r="D200" s="99"/>
      <x:c r="E200" s="99"/>
      <x:c r="F200" s="99"/>
      <x:c r="G200" s="99"/>
      <x:c r="H200" s="99"/>
      <x:c r="I200" s="99"/>
      <x:c r="J200" s="99"/>
      <x:c r="K200" s="99"/>
      <x:c r="L200" s="99"/>
      <x:c r="M200" s="99"/>
      <x:c r="N200" s="99"/>
      <x:c r="O200" s="99"/>
      <x:c r="P200" s="99"/>
      <x:c r="Q200" s="99"/>
      <x:c r="R200" s="99"/>
      <x:c r="S200" s="99"/>
      <x:c r="T200" s="99"/>
      <x:c r="U200" s="99"/>
      <x:c r="V200" s="99"/>
      <x:c r="W200" s="99"/>
      <x:c r="X200" s="99"/>
      <x:c r="Y200" s="99"/>
      <x:c r="Z200" s="99"/>
    </x:row>
    <x:row r="201">
      <x:c r="A201" s="99"/>
      <x:c r="B201" s="99"/>
      <x:c r="C201" s="99"/>
      <x:c r="D201" s="99"/>
      <x:c r="E201" s="99"/>
      <x:c r="F201" s="99"/>
      <x:c r="G201" s="99"/>
      <x:c r="H201" s="99"/>
      <x:c r="I201" s="99"/>
      <x:c r="J201" s="99"/>
      <x:c r="K201" s="99"/>
      <x:c r="L201" s="99"/>
      <x:c r="M201" s="99"/>
      <x:c r="N201" s="99"/>
      <x:c r="O201" s="99"/>
      <x:c r="P201" s="99"/>
      <x:c r="Q201" s="99"/>
      <x:c r="R201" s="99"/>
      <x:c r="S201" s="99"/>
      <x:c r="T201" s="99"/>
      <x:c r="U201" s="99"/>
      <x:c r="V201" s="99"/>
      <x:c r="W201" s="99"/>
      <x:c r="X201" s="99"/>
      <x:c r="Y201" s="99"/>
      <x:c r="Z201" s="99"/>
    </x:row>
    <x:row r="202">
      <x:c r="A202" s="99"/>
      <x:c r="B202" s="99"/>
      <x:c r="C202" s="99"/>
      <x:c r="D202" s="99"/>
      <x:c r="E202" s="99"/>
      <x:c r="F202" s="99"/>
      <x:c r="G202" s="99"/>
      <x:c r="H202" s="99"/>
      <x:c r="I202" s="99"/>
      <x:c r="J202" s="99"/>
      <x:c r="K202" s="99"/>
      <x:c r="L202" s="99"/>
      <x:c r="M202" s="99"/>
      <x:c r="N202" s="99"/>
      <x:c r="O202" s="99"/>
      <x:c r="P202" s="99"/>
      <x:c r="Q202" s="99"/>
      <x:c r="R202" s="99"/>
      <x:c r="S202" s="99"/>
      <x:c r="T202" s="99"/>
      <x:c r="U202" s="99"/>
      <x:c r="V202" s="99"/>
      <x:c r="W202" s="99"/>
      <x:c r="X202" s="99"/>
      <x:c r="Y202" s="99"/>
      <x:c r="Z202" s="99"/>
    </x:row>
    <x:row r="203">
      <x:c r="A203" s="99"/>
      <x:c r="B203" s="99"/>
      <x:c r="C203" s="99"/>
      <x:c r="D203" s="99"/>
      <x:c r="E203" s="99"/>
      <x:c r="F203" s="99"/>
      <x:c r="G203" s="99"/>
      <x:c r="H203" s="99"/>
      <x:c r="I203" s="99"/>
      <x:c r="J203" s="99"/>
      <x:c r="K203" s="99"/>
      <x:c r="L203" s="99"/>
      <x:c r="M203" s="99"/>
      <x:c r="N203" s="99"/>
      <x:c r="O203" s="99"/>
      <x:c r="P203" s="99"/>
      <x:c r="Q203" s="99"/>
      <x:c r="R203" s="99"/>
      <x:c r="S203" s="99"/>
      <x:c r="T203" s="99"/>
      <x:c r="U203" s="99"/>
      <x:c r="V203" s="99"/>
      <x:c r="W203" s="99"/>
      <x:c r="X203" s="99"/>
      <x:c r="Y203" s="99"/>
      <x:c r="Z203" s="99"/>
    </x:row>
    <x:row r="204">
      <x:c r="A204" s="99"/>
      <x:c r="B204" s="99"/>
      <x:c r="C204" s="99"/>
      <x:c r="D204" s="99"/>
      <x:c r="E204" s="99"/>
      <x:c r="F204" s="99"/>
      <x:c r="G204" s="99"/>
      <x:c r="H204" s="99"/>
      <x:c r="I204" s="99"/>
      <x:c r="J204" s="99"/>
      <x:c r="K204" s="99"/>
      <x:c r="L204" s="99"/>
      <x:c r="M204" s="99"/>
      <x:c r="N204" s="99"/>
      <x:c r="O204" s="99"/>
      <x:c r="P204" s="99"/>
      <x:c r="Q204" s="99"/>
      <x:c r="R204" s="99"/>
      <x:c r="S204" s="99"/>
      <x:c r="T204" s="99"/>
      <x:c r="U204" s="99"/>
      <x:c r="V204" s="99"/>
      <x:c r="W204" s="99"/>
      <x:c r="X204" s="99"/>
      <x:c r="Y204" s="99"/>
      <x:c r="Z204" s="99"/>
    </x:row>
    <x:row r="205">
      <x:c r="A205" s="99"/>
      <x:c r="B205" s="99"/>
      <x:c r="C205" s="99"/>
      <x:c r="D205" s="99"/>
      <x:c r="E205" s="99"/>
      <x:c r="F205" s="99"/>
      <x:c r="G205" s="99"/>
      <x:c r="H205" s="99"/>
      <x:c r="I205" s="99"/>
      <x:c r="J205" s="99"/>
      <x:c r="K205" s="99"/>
      <x:c r="L205" s="99"/>
      <x:c r="M205" s="99"/>
      <x:c r="N205" s="99"/>
      <x:c r="O205" s="99"/>
      <x:c r="P205" s="99"/>
      <x:c r="Q205" s="99"/>
      <x:c r="R205" s="99"/>
      <x:c r="S205" s="99"/>
      <x:c r="T205" s="99"/>
      <x:c r="U205" s="99"/>
      <x:c r="V205" s="99"/>
      <x:c r="W205" s="99"/>
      <x:c r="X205" s="99"/>
      <x:c r="Y205" s="99"/>
      <x:c r="Z205" s="99"/>
    </x:row>
    <x:row r="206">
      <x:c r="A206" s="99"/>
      <x:c r="B206" s="99"/>
      <x:c r="C206" s="99"/>
      <x:c r="D206" s="99"/>
      <x:c r="E206" s="99"/>
      <x:c r="F206" s="99"/>
      <x:c r="G206" s="99"/>
      <x:c r="H206" s="99"/>
      <x:c r="I206" s="99"/>
      <x:c r="J206" s="99"/>
      <x:c r="K206" s="99"/>
      <x:c r="L206" s="99"/>
      <x:c r="M206" s="99"/>
      <x:c r="N206" s="99"/>
      <x:c r="O206" s="99"/>
      <x:c r="P206" s="99"/>
      <x:c r="Q206" s="99"/>
      <x:c r="R206" s="99"/>
      <x:c r="S206" s="99"/>
      <x:c r="T206" s="99"/>
      <x:c r="U206" s="99"/>
      <x:c r="V206" s="99"/>
      <x:c r="W206" s="99"/>
      <x:c r="X206" s="99"/>
      <x:c r="Y206" s="99"/>
      <x:c r="Z206" s="99"/>
    </x:row>
    <x:row r="207">
      <x:c r="A207" s="99"/>
      <x:c r="B207" s="99"/>
      <x:c r="C207" s="99"/>
      <x:c r="D207" s="99"/>
      <x:c r="E207" s="99"/>
      <x:c r="F207" s="99"/>
      <x:c r="G207" s="99"/>
      <x:c r="H207" s="99"/>
      <x:c r="I207" s="99"/>
      <x:c r="J207" s="99"/>
      <x:c r="K207" s="99"/>
      <x:c r="L207" s="99"/>
      <x:c r="M207" s="99"/>
      <x:c r="N207" s="99"/>
      <x:c r="O207" s="99"/>
      <x:c r="P207" s="99"/>
      <x:c r="Q207" s="99"/>
      <x:c r="R207" s="99"/>
      <x:c r="S207" s="99"/>
      <x:c r="T207" s="99"/>
      <x:c r="U207" s="99"/>
      <x:c r="V207" s="99"/>
      <x:c r="W207" s="99"/>
      <x:c r="X207" s="99"/>
      <x:c r="Y207" s="99"/>
      <x:c r="Z207" s="99"/>
    </x:row>
    <x:row r="208">
      <x:c r="A208" s="99"/>
      <x:c r="B208" s="99"/>
      <x:c r="C208" s="99"/>
      <x:c r="D208" s="99"/>
      <x:c r="E208" s="99"/>
      <x:c r="F208" s="99"/>
      <x:c r="G208" s="99"/>
      <x:c r="H208" s="99"/>
      <x:c r="I208" s="99"/>
      <x:c r="J208" s="99"/>
      <x:c r="K208" s="99"/>
      <x:c r="L208" s="99"/>
      <x:c r="M208" s="99"/>
      <x:c r="N208" s="99"/>
      <x:c r="O208" s="99"/>
      <x:c r="P208" s="99"/>
      <x:c r="Q208" s="99"/>
      <x:c r="R208" s="99"/>
      <x:c r="S208" s="99"/>
      <x:c r="T208" s="99"/>
      <x:c r="U208" s="99"/>
      <x:c r="V208" s="99"/>
      <x:c r="W208" s="99"/>
      <x:c r="X208" s="99"/>
      <x:c r="Y208" s="99"/>
      <x:c r="Z208" s="99"/>
    </x:row>
    <x:row r="209">
      <x:c r="A209" s="99"/>
      <x:c r="B209" s="99"/>
      <x:c r="C209" s="99"/>
      <x:c r="D209" s="99"/>
      <x:c r="E209" s="99"/>
      <x:c r="F209" s="99"/>
      <x:c r="G209" s="99"/>
      <x:c r="H209" s="99"/>
      <x:c r="I209" s="99"/>
      <x:c r="J209" s="99"/>
      <x:c r="K209" s="99"/>
      <x:c r="L209" s="99"/>
      <x:c r="M209" s="99"/>
      <x:c r="N209" s="99"/>
      <x:c r="O209" s="99"/>
      <x:c r="P209" s="99"/>
      <x:c r="Q209" s="99"/>
      <x:c r="R209" s="99"/>
      <x:c r="S209" s="99"/>
      <x:c r="T209" s="99"/>
      <x:c r="U209" s="99"/>
      <x:c r="V209" s="99"/>
      <x:c r="W209" s="99"/>
      <x:c r="X209" s="99"/>
      <x:c r="Y209" s="99"/>
      <x:c r="Z209" s="99"/>
    </x:row>
    <x:row r="210">
      <x:c r="A210" s="99"/>
      <x:c r="B210" s="99"/>
      <x:c r="C210" s="99"/>
      <x:c r="D210" s="99"/>
      <x:c r="E210" s="99"/>
      <x:c r="F210" s="99"/>
      <x:c r="G210" s="99"/>
      <x:c r="H210" s="99"/>
      <x:c r="I210" s="99"/>
      <x:c r="J210" s="99"/>
      <x:c r="K210" s="99"/>
      <x:c r="L210" s="99"/>
      <x:c r="M210" s="99"/>
      <x:c r="N210" s="99"/>
      <x:c r="O210" s="99"/>
      <x:c r="P210" s="99"/>
      <x:c r="Q210" s="99"/>
      <x:c r="R210" s="99"/>
      <x:c r="S210" s="99"/>
      <x:c r="T210" s="99"/>
      <x:c r="U210" s="99"/>
      <x:c r="V210" s="99"/>
      <x:c r="W210" s="99"/>
      <x:c r="X210" s="99"/>
      <x:c r="Y210" s="99"/>
      <x:c r="Z210" s="99"/>
    </x:row>
    <x:row r="211">
      <x:c r="A211" s="99"/>
      <x:c r="B211" s="99"/>
      <x:c r="C211" s="99"/>
      <x:c r="D211" s="99"/>
      <x:c r="E211" s="99"/>
      <x:c r="F211" s="99"/>
      <x:c r="G211" s="99"/>
      <x:c r="H211" s="99"/>
      <x:c r="I211" s="99"/>
      <x:c r="J211" s="99"/>
      <x:c r="K211" s="99"/>
      <x:c r="L211" s="99"/>
      <x:c r="M211" s="99"/>
      <x:c r="N211" s="99"/>
      <x:c r="O211" s="99"/>
      <x:c r="P211" s="99"/>
      <x:c r="Q211" s="99"/>
      <x:c r="R211" s="99"/>
      <x:c r="S211" s="99"/>
      <x:c r="T211" s="99"/>
      <x:c r="U211" s="99"/>
      <x:c r="V211" s="99"/>
      <x:c r="W211" s="99"/>
      <x:c r="X211" s="99"/>
      <x:c r="Y211" s="99"/>
      <x:c r="Z211" s="99"/>
    </x:row>
    <x:row r="212">
      <x:c r="A212" s="99"/>
      <x:c r="B212" s="99"/>
      <x:c r="C212" s="99"/>
      <x:c r="D212" s="99"/>
      <x:c r="E212" s="99"/>
      <x:c r="F212" s="99"/>
      <x:c r="G212" s="99"/>
      <x:c r="H212" s="99"/>
      <x:c r="I212" s="99"/>
      <x:c r="J212" s="99"/>
      <x:c r="K212" s="99"/>
      <x:c r="L212" s="99"/>
      <x:c r="M212" s="99"/>
      <x:c r="N212" s="99"/>
      <x:c r="O212" s="99"/>
      <x:c r="P212" s="99"/>
      <x:c r="Q212" s="99"/>
      <x:c r="R212" s="99"/>
      <x:c r="S212" s="99"/>
      <x:c r="T212" s="99"/>
      <x:c r="U212" s="99"/>
      <x:c r="V212" s="99"/>
      <x:c r="W212" s="99"/>
      <x:c r="X212" s="99"/>
      <x:c r="Y212" s="99"/>
      <x:c r="Z212" s="99"/>
    </x:row>
    <x:row r="213">
      <x:c r="A213" s="99"/>
      <x:c r="B213" s="99"/>
      <x:c r="C213" s="99"/>
      <x:c r="D213" s="99"/>
      <x:c r="E213" s="99"/>
      <x:c r="F213" s="99"/>
      <x:c r="G213" s="99"/>
      <x:c r="H213" s="99"/>
      <x:c r="I213" s="99"/>
      <x:c r="J213" s="99"/>
      <x:c r="K213" s="99"/>
      <x:c r="L213" s="99"/>
      <x:c r="M213" s="99"/>
      <x:c r="N213" s="99"/>
      <x:c r="O213" s="99"/>
      <x:c r="P213" s="99"/>
      <x:c r="Q213" s="99"/>
      <x:c r="R213" s="99"/>
      <x:c r="S213" s="99"/>
      <x:c r="T213" s="99"/>
      <x:c r="U213" s="99"/>
      <x:c r="V213" s="99"/>
      <x:c r="W213" s="99"/>
      <x:c r="X213" s="99"/>
      <x:c r="Y213" s="99"/>
      <x:c r="Z213" s="99"/>
    </x:row>
    <x:row r="214">
      <x:c r="A214" s="99"/>
      <x:c r="B214" s="99"/>
      <x:c r="C214" s="99"/>
      <x:c r="D214" s="99"/>
      <x:c r="E214" s="99"/>
      <x:c r="F214" s="99"/>
      <x:c r="G214" s="99"/>
      <x:c r="H214" s="99"/>
      <x:c r="I214" s="99"/>
      <x:c r="J214" s="99"/>
      <x:c r="K214" s="99"/>
      <x:c r="L214" s="99"/>
      <x:c r="M214" s="99"/>
      <x:c r="N214" s="99"/>
      <x:c r="O214" s="99"/>
      <x:c r="P214" s="99"/>
      <x:c r="Q214" s="99"/>
      <x:c r="R214" s="99"/>
      <x:c r="S214" s="99"/>
      <x:c r="T214" s="99"/>
      <x:c r="U214" s="99"/>
      <x:c r="V214" s="99"/>
      <x:c r="W214" s="99"/>
      <x:c r="X214" s="99"/>
      <x:c r="Y214" s="99"/>
      <x:c r="Z214" s="99"/>
    </x:row>
    <x:row r="215">
      <x:c r="A215" s="99"/>
      <x:c r="B215" s="99"/>
      <x:c r="C215" s="99"/>
      <x:c r="D215" s="99"/>
      <x:c r="E215" s="99"/>
      <x:c r="F215" s="99"/>
      <x:c r="G215" s="99"/>
      <x:c r="H215" s="99"/>
      <x:c r="I215" s="99"/>
      <x:c r="J215" s="99"/>
      <x:c r="K215" s="99"/>
      <x:c r="L215" s="99"/>
      <x:c r="M215" s="99"/>
      <x:c r="N215" s="99"/>
      <x:c r="O215" s="99"/>
      <x:c r="P215" s="99"/>
      <x:c r="Q215" s="99"/>
      <x:c r="R215" s="99"/>
      <x:c r="S215" s="99"/>
      <x:c r="T215" s="99"/>
      <x:c r="U215" s="99"/>
      <x:c r="V215" s="99"/>
      <x:c r="W215" s="99"/>
      <x:c r="X215" s="99"/>
      <x:c r="Y215" s="99"/>
      <x:c r="Z215" s="99"/>
    </x:row>
    <x:row r="216">
      <x:c r="A216" s="99"/>
      <x:c r="B216" s="99"/>
      <x:c r="C216" s="99"/>
      <x:c r="D216" s="99"/>
      <x:c r="E216" s="99"/>
      <x:c r="F216" s="99"/>
      <x:c r="G216" s="99"/>
      <x:c r="H216" s="99"/>
      <x:c r="I216" s="99"/>
      <x:c r="J216" s="99"/>
      <x:c r="K216" s="99"/>
      <x:c r="L216" s="99"/>
      <x:c r="M216" s="99"/>
      <x:c r="N216" s="99"/>
      <x:c r="O216" s="99"/>
      <x:c r="P216" s="99"/>
      <x:c r="Q216" s="99"/>
      <x:c r="R216" s="99"/>
      <x:c r="S216" s="99"/>
      <x:c r="T216" s="99"/>
      <x:c r="U216" s="99"/>
      <x:c r="V216" s="99"/>
      <x:c r="W216" s="99"/>
      <x:c r="X216" s="99"/>
      <x:c r="Y216" s="99"/>
      <x:c r="Z216" s="99"/>
    </x:row>
    <x:row r="217">
      <x:c r="A217" s="99"/>
      <x:c r="B217" s="99"/>
      <x:c r="C217" s="99"/>
      <x:c r="D217" s="99"/>
      <x:c r="E217" s="99"/>
      <x:c r="F217" s="99"/>
      <x:c r="G217" s="99"/>
      <x:c r="H217" s="99"/>
      <x:c r="I217" s="99"/>
      <x:c r="J217" s="99"/>
      <x:c r="K217" s="99"/>
      <x:c r="L217" s="99"/>
      <x:c r="M217" s="99"/>
      <x:c r="N217" s="99"/>
      <x:c r="O217" s="99"/>
      <x:c r="P217" s="99"/>
      <x:c r="Q217" s="99"/>
      <x:c r="R217" s="99"/>
      <x:c r="S217" s="99"/>
      <x:c r="T217" s="99"/>
      <x:c r="U217" s="99"/>
      <x:c r="V217" s="99"/>
      <x:c r="W217" s="99"/>
      <x:c r="X217" s="99"/>
      <x:c r="Y217" s="99"/>
      <x:c r="Z217" s="99"/>
    </x:row>
    <x:row r="218">
      <x:c r="A218" s="99"/>
      <x:c r="B218" s="99"/>
      <x:c r="C218" s="99"/>
      <x:c r="D218" s="99"/>
      <x:c r="E218" s="99"/>
      <x:c r="F218" s="99"/>
      <x:c r="G218" s="99"/>
      <x:c r="H218" s="99"/>
      <x:c r="I218" s="99"/>
      <x:c r="J218" s="99"/>
      <x:c r="K218" s="99"/>
      <x:c r="L218" s="99"/>
      <x:c r="M218" s="99"/>
      <x:c r="N218" s="99"/>
      <x:c r="O218" s="99"/>
      <x:c r="P218" s="99"/>
      <x:c r="Q218" s="99"/>
      <x:c r="R218" s="99"/>
      <x:c r="S218" s="99"/>
      <x:c r="T218" s="99"/>
      <x:c r="U218" s="99"/>
      <x:c r="V218" s="99"/>
      <x:c r="W218" s="99"/>
      <x:c r="X218" s="99"/>
      <x:c r="Y218" s="99"/>
      <x:c r="Z218" s="99"/>
    </x:row>
    <x:row r="219">
      <x:c r="A219" s="99"/>
      <x:c r="B219" s="99"/>
      <x:c r="C219" s="99"/>
      <x:c r="D219" s="99"/>
      <x:c r="E219" s="99"/>
      <x:c r="F219" s="99"/>
      <x:c r="G219" s="99"/>
      <x:c r="H219" s="99"/>
      <x:c r="I219" s="99"/>
      <x:c r="J219" s="99"/>
      <x:c r="K219" s="99"/>
      <x:c r="L219" s="99"/>
      <x:c r="M219" s="99"/>
      <x:c r="N219" s="99"/>
      <x:c r="O219" s="99"/>
      <x:c r="P219" s="99"/>
      <x:c r="Q219" s="99"/>
      <x:c r="R219" s="99"/>
      <x:c r="S219" s="99"/>
      <x:c r="T219" s="99"/>
      <x:c r="U219" s="99"/>
      <x:c r="V219" s="99"/>
      <x:c r="W219" s="99"/>
      <x:c r="X219" s="99"/>
      <x:c r="Y219" s="99"/>
      <x:c r="Z219" s="99"/>
    </x:row>
    <x:row r="220">
      <x:c r="A220" s="99"/>
      <x:c r="B220" s="99"/>
      <x:c r="C220" s="99"/>
      <x:c r="D220" s="99"/>
      <x:c r="E220" s="99"/>
      <x:c r="F220" s="99"/>
      <x:c r="G220" s="99"/>
      <x:c r="H220" s="99"/>
      <x:c r="I220" s="99"/>
      <x:c r="J220" s="99"/>
      <x:c r="K220" s="99"/>
      <x:c r="L220" s="99"/>
      <x:c r="M220" s="99"/>
      <x:c r="N220" s="99"/>
      <x:c r="O220" s="99"/>
      <x:c r="P220" s="99"/>
      <x:c r="Q220" s="99"/>
      <x:c r="R220" s="99"/>
      <x:c r="S220" s="99"/>
      <x:c r="T220" s="99"/>
      <x:c r="U220" s="99"/>
      <x:c r="V220" s="99"/>
      <x:c r="W220" s="99"/>
      <x:c r="X220" s="99"/>
      <x:c r="Y220" s="99"/>
      <x:c r="Z220" s="99"/>
    </x:row>
    <x:row r="221">
      <x:c r="A221" s="99"/>
      <x:c r="B221" s="99"/>
      <x:c r="C221" s="99"/>
      <x:c r="D221" s="99"/>
      <x:c r="E221" s="99"/>
      <x:c r="F221" s="99"/>
      <x:c r="G221" s="99"/>
      <x:c r="H221" s="99"/>
      <x:c r="I221" s="99"/>
      <x:c r="J221" s="99"/>
      <x:c r="K221" s="99"/>
      <x:c r="L221" s="99"/>
      <x:c r="M221" s="99"/>
      <x:c r="N221" s="99"/>
      <x:c r="O221" s="99"/>
      <x:c r="P221" s="99"/>
      <x:c r="Q221" s="99"/>
      <x:c r="R221" s="99"/>
      <x:c r="S221" s="99"/>
      <x:c r="T221" s="99"/>
      <x:c r="U221" s="99"/>
      <x:c r="V221" s="99"/>
      <x:c r="W221" s="99"/>
      <x:c r="X221" s="99"/>
      <x:c r="Y221" s="99"/>
      <x:c r="Z221" s="99"/>
    </x:row>
    <x:row r="222">
      <x:c r="A222" s="99"/>
      <x:c r="B222" s="99"/>
      <x:c r="C222" s="99"/>
      <x:c r="D222" s="99"/>
      <x:c r="E222" s="99"/>
      <x:c r="F222" s="99"/>
      <x:c r="G222" s="99"/>
      <x:c r="H222" s="99"/>
      <x:c r="I222" s="99"/>
      <x:c r="J222" s="99"/>
      <x:c r="K222" s="99"/>
      <x:c r="L222" s="99"/>
      <x:c r="M222" s="99"/>
      <x:c r="N222" s="99"/>
      <x:c r="O222" s="99"/>
      <x:c r="P222" s="99"/>
      <x:c r="Q222" s="99"/>
      <x:c r="R222" s="99"/>
      <x:c r="S222" s="99"/>
      <x:c r="T222" s="99"/>
      <x:c r="U222" s="99"/>
      <x:c r="V222" s="99"/>
      <x:c r="W222" s="99"/>
      <x:c r="X222" s="99"/>
      <x:c r="Y222" s="99"/>
      <x:c r="Z222" s="99"/>
    </x:row>
    <x:row r="223">
      <x:c r="A223" s="99"/>
      <x:c r="B223" s="99"/>
      <x:c r="C223" s="99"/>
      <x:c r="D223" s="99"/>
      <x:c r="E223" s="99"/>
      <x:c r="F223" s="99"/>
      <x:c r="G223" s="99"/>
      <x:c r="H223" s="99"/>
      <x:c r="I223" s="99"/>
      <x:c r="J223" s="99"/>
      <x:c r="K223" s="99"/>
      <x:c r="L223" s="99"/>
      <x:c r="M223" s="99"/>
      <x:c r="N223" s="99"/>
      <x:c r="O223" s="99"/>
      <x:c r="P223" s="99"/>
      <x:c r="Q223" s="99"/>
      <x:c r="R223" s="99"/>
      <x:c r="S223" s="99"/>
      <x:c r="T223" s="99"/>
      <x:c r="U223" s="99"/>
      <x:c r="V223" s="99"/>
      <x:c r="W223" s="99"/>
      <x:c r="X223" s="99"/>
      <x:c r="Y223" s="99"/>
      <x:c r="Z223" s="99"/>
    </x:row>
    <x:row r="224">
      <x:c r="A224" s="99"/>
      <x:c r="B224" s="99"/>
      <x:c r="C224" s="99"/>
      <x:c r="D224" s="99"/>
      <x:c r="E224" s="99"/>
      <x:c r="F224" s="99"/>
      <x:c r="G224" s="99"/>
      <x:c r="H224" s="99"/>
      <x:c r="I224" s="99"/>
      <x:c r="J224" s="99"/>
      <x:c r="K224" s="99"/>
      <x:c r="L224" s="99"/>
      <x:c r="M224" s="99"/>
      <x:c r="N224" s="99"/>
      <x:c r="O224" s="99"/>
      <x:c r="P224" s="99"/>
      <x:c r="Q224" s="99"/>
      <x:c r="R224" s="99"/>
      <x:c r="S224" s="99"/>
      <x:c r="T224" s="99"/>
      <x:c r="U224" s="99"/>
      <x:c r="V224" s="99"/>
      <x:c r="W224" s="99"/>
      <x:c r="X224" s="99"/>
      <x:c r="Y224" s="99"/>
      <x:c r="Z224" s="99"/>
    </x:row>
    <x:row r="225">
      <x:c r="A225" s="99"/>
      <x:c r="B225" s="99"/>
      <x:c r="C225" s="99"/>
      <x:c r="D225" s="99"/>
      <x:c r="E225" s="99"/>
      <x:c r="F225" s="99"/>
      <x:c r="G225" s="99"/>
      <x:c r="H225" s="99"/>
      <x:c r="I225" s="99"/>
      <x:c r="J225" s="99"/>
      <x:c r="K225" s="99"/>
      <x:c r="L225" s="99"/>
      <x:c r="M225" s="99"/>
      <x:c r="N225" s="99"/>
      <x:c r="O225" s="99"/>
      <x:c r="P225" s="99"/>
      <x:c r="Q225" s="99"/>
      <x:c r="R225" s="99"/>
      <x:c r="S225" s="99"/>
      <x:c r="T225" s="99"/>
      <x:c r="U225" s="99"/>
      <x:c r="V225" s="99"/>
      <x:c r="W225" s="99"/>
      <x:c r="X225" s="99"/>
      <x:c r="Y225" s="99"/>
      <x:c r="Z225" s="99"/>
    </x:row>
    <x:row r="226">
      <x:c r="A226" s="99"/>
      <x:c r="B226" s="99"/>
      <x:c r="C226" s="99"/>
      <x:c r="D226" s="99"/>
      <x:c r="E226" s="99"/>
      <x:c r="F226" s="99"/>
      <x:c r="G226" s="99"/>
      <x:c r="H226" s="99"/>
      <x:c r="I226" s="99"/>
      <x:c r="J226" s="99"/>
      <x:c r="K226" s="99"/>
      <x:c r="L226" s="99"/>
      <x:c r="M226" s="99"/>
      <x:c r="N226" s="99"/>
      <x:c r="O226" s="99"/>
      <x:c r="P226" s="99"/>
      <x:c r="Q226" s="99"/>
      <x:c r="R226" s="99"/>
      <x:c r="S226" s="99"/>
      <x:c r="T226" s="99"/>
      <x:c r="U226" s="99"/>
      <x:c r="V226" s="99"/>
      <x:c r="W226" s="99"/>
      <x:c r="X226" s="99"/>
      <x:c r="Y226" s="99"/>
      <x:c r="Z226" s="99"/>
    </x:row>
    <x:row r="227">
      <x:c r="A227" s="99"/>
      <x:c r="B227" s="99"/>
      <x:c r="C227" s="99"/>
      <x:c r="D227" s="99"/>
      <x:c r="E227" s="99"/>
      <x:c r="F227" s="99"/>
      <x:c r="G227" s="99"/>
      <x:c r="H227" s="99"/>
      <x:c r="I227" s="99"/>
      <x:c r="J227" s="99"/>
      <x:c r="K227" s="99"/>
      <x:c r="L227" s="99"/>
      <x:c r="M227" s="99"/>
      <x:c r="N227" s="99"/>
      <x:c r="O227" s="99"/>
      <x:c r="P227" s="99"/>
      <x:c r="Q227" s="99"/>
      <x:c r="R227" s="99"/>
      <x:c r="S227" s="99"/>
      <x:c r="T227" s="99"/>
      <x:c r="U227" s="99"/>
      <x:c r="V227" s="99"/>
      <x:c r="W227" s="99"/>
      <x:c r="X227" s="99"/>
      <x:c r="Y227" s="99"/>
      <x:c r="Z227" s="99"/>
    </x:row>
    <x:row r="228">
      <x:c r="A228" s="99"/>
      <x:c r="B228" s="99"/>
      <x:c r="C228" s="99"/>
      <x:c r="D228" s="99"/>
      <x:c r="E228" s="99"/>
      <x:c r="F228" s="99"/>
      <x:c r="G228" s="99"/>
      <x:c r="H228" s="99"/>
      <x:c r="I228" s="99"/>
      <x:c r="J228" s="99"/>
      <x:c r="K228" s="99"/>
      <x:c r="L228" s="99"/>
      <x:c r="M228" s="99"/>
      <x:c r="N228" s="99"/>
      <x:c r="O228" s="99"/>
      <x:c r="P228" s="99"/>
      <x:c r="Q228" s="99"/>
      <x:c r="R228" s="99"/>
      <x:c r="S228" s="99"/>
      <x:c r="T228" s="99"/>
      <x:c r="U228" s="99"/>
      <x:c r="V228" s="99"/>
      <x:c r="W228" s="99"/>
      <x:c r="X228" s="99"/>
      <x:c r="Y228" s="99"/>
      <x:c r="Z228" s="99"/>
    </x:row>
    <x:row r="229">
      <x:c r="A229" s="99"/>
      <x:c r="B229" s="99"/>
      <x:c r="C229" s="99"/>
      <x:c r="D229" s="99"/>
      <x:c r="E229" s="99"/>
      <x:c r="F229" s="99"/>
      <x:c r="G229" s="99"/>
      <x:c r="H229" s="99"/>
      <x:c r="I229" s="99"/>
      <x:c r="J229" s="99"/>
      <x:c r="K229" s="99"/>
      <x:c r="L229" s="99"/>
      <x:c r="M229" s="99"/>
      <x:c r="N229" s="99"/>
      <x:c r="O229" s="99"/>
      <x:c r="P229" s="99"/>
      <x:c r="Q229" s="99"/>
      <x:c r="R229" s="99"/>
      <x:c r="S229" s="99"/>
      <x:c r="T229" s="99"/>
      <x:c r="U229" s="99"/>
      <x:c r="V229" s="99"/>
      <x:c r="W229" s="99"/>
      <x:c r="X229" s="99"/>
      <x:c r="Y229" s="99"/>
      <x:c r="Z229" s="99"/>
    </x:row>
    <x:row r="230">
      <x:c r="A230" s="99"/>
      <x:c r="B230" s="99"/>
      <x:c r="C230" s="99"/>
      <x:c r="D230" s="99"/>
      <x:c r="E230" s="99"/>
      <x:c r="F230" s="99"/>
      <x:c r="G230" s="99"/>
      <x:c r="H230" s="99"/>
      <x:c r="I230" s="99"/>
      <x:c r="J230" s="99"/>
      <x:c r="K230" s="99"/>
      <x:c r="L230" s="99"/>
      <x:c r="M230" s="99"/>
      <x:c r="N230" s="99"/>
      <x:c r="O230" s="99"/>
      <x:c r="P230" s="99"/>
      <x:c r="Q230" s="99"/>
      <x:c r="R230" s="99"/>
      <x:c r="S230" s="99"/>
      <x:c r="T230" s="99"/>
      <x:c r="U230" s="99"/>
      <x:c r="V230" s="99"/>
      <x:c r="W230" s="99"/>
      <x:c r="X230" s="99"/>
      <x:c r="Y230" s="99"/>
      <x:c r="Z230" s="99"/>
    </x:row>
    <x:row r="231">
      <x:c r="A231" s="99"/>
      <x:c r="B231" s="99"/>
      <x:c r="C231" s="99"/>
      <x:c r="D231" s="99"/>
      <x:c r="E231" s="99"/>
      <x:c r="F231" s="99"/>
      <x:c r="G231" s="99"/>
      <x:c r="H231" s="99"/>
      <x:c r="I231" s="99"/>
      <x:c r="J231" s="99"/>
      <x:c r="K231" s="99"/>
      <x:c r="L231" s="99"/>
      <x:c r="M231" s="99"/>
      <x:c r="N231" s="99"/>
      <x:c r="O231" s="99"/>
      <x:c r="P231" s="99"/>
      <x:c r="Q231" s="99"/>
      <x:c r="R231" s="99"/>
      <x:c r="S231" s="99"/>
      <x:c r="T231" s="99"/>
      <x:c r="U231" s="99"/>
      <x:c r="V231" s="99"/>
      <x:c r="W231" s="99"/>
      <x:c r="X231" s="99"/>
      <x:c r="Y231" s="99"/>
      <x:c r="Z231" s="99"/>
    </x:row>
    <x:row r="232">
      <x:c r="A232" s="99"/>
      <x:c r="B232" s="99"/>
      <x:c r="C232" s="99"/>
      <x:c r="D232" s="99"/>
      <x:c r="E232" s="99"/>
      <x:c r="F232" s="99"/>
      <x:c r="G232" s="99"/>
      <x:c r="H232" s="99"/>
      <x:c r="I232" s="99"/>
      <x:c r="J232" s="99"/>
      <x:c r="K232" s="99"/>
      <x:c r="L232" s="99"/>
      <x:c r="M232" s="99"/>
      <x:c r="N232" s="99"/>
      <x:c r="O232" s="99"/>
      <x:c r="P232" s="99"/>
      <x:c r="Q232" s="99"/>
      <x:c r="R232" s="99"/>
      <x:c r="S232" s="99"/>
      <x:c r="T232" s="99"/>
      <x:c r="U232" s="99"/>
      <x:c r="V232" s="99"/>
      <x:c r="W232" s="99"/>
      <x:c r="X232" s="99"/>
      <x:c r="Y232" s="99"/>
      <x:c r="Z232" s="99"/>
    </x:row>
    <x:row r="233">
      <x:c r="A233" s="99"/>
      <x:c r="B233" s="99"/>
      <x:c r="C233" s="99"/>
      <x:c r="D233" s="99"/>
      <x:c r="E233" s="99"/>
      <x:c r="F233" s="99"/>
      <x:c r="G233" s="99"/>
      <x:c r="H233" s="99"/>
      <x:c r="I233" s="99"/>
      <x:c r="J233" s="99"/>
      <x:c r="K233" s="99"/>
      <x:c r="L233" s="99"/>
      <x:c r="M233" s="99"/>
      <x:c r="N233" s="99"/>
      <x:c r="O233" s="99"/>
      <x:c r="P233" s="99"/>
      <x:c r="Q233" s="99"/>
      <x:c r="R233" s="99"/>
      <x:c r="S233" s="99"/>
      <x:c r="T233" s="99"/>
      <x:c r="U233" s="99"/>
      <x:c r="V233" s="99"/>
      <x:c r="W233" s="99"/>
      <x:c r="X233" s="99"/>
      <x:c r="Y233" s="99"/>
      <x:c r="Z233" s="99"/>
    </x:row>
    <x:row r="234">
      <x:c r="A234" s="99"/>
      <x:c r="B234" s="99"/>
      <x:c r="C234" s="99"/>
      <x:c r="D234" s="99"/>
      <x:c r="E234" s="99"/>
      <x:c r="F234" s="99"/>
      <x:c r="G234" s="99"/>
      <x:c r="H234" s="99"/>
      <x:c r="I234" s="99"/>
      <x:c r="J234" s="99"/>
      <x:c r="K234" s="99"/>
      <x:c r="L234" s="99"/>
      <x:c r="M234" s="99"/>
      <x:c r="N234" s="99"/>
      <x:c r="O234" s="99"/>
      <x:c r="P234" s="99"/>
      <x:c r="Q234" s="99"/>
      <x:c r="R234" s="99"/>
      <x:c r="S234" s="99"/>
      <x:c r="T234" s="99"/>
      <x:c r="U234" s="99"/>
      <x:c r="V234" s="99"/>
      <x:c r="W234" s="99"/>
      <x:c r="X234" s="99"/>
      <x:c r="Y234" s="99"/>
      <x:c r="Z234" s="99"/>
    </x:row>
    <x:row r="235">
      <x:c r="A235" s="99"/>
      <x:c r="B235" s="99"/>
      <x:c r="C235" s="99"/>
      <x:c r="D235" s="99"/>
      <x:c r="E235" s="99"/>
      <x:c r="F235" s="99"/>
      <x:c r="G235" s="99"/>
      <x:c r="H235" s="99"/>
      <x:c r="I235" s="99"/>
      <x:c r="J235" s="99"/>
      <x:c r="K235" s="99"/>
      <x:c r="L235" s="99"/>
      <x:c r="M235" s="99"/>
      <x:c r="N235" s="99"/>
      <x:c r="O235" s="99"/>
      <x:c r="P235" s="99"/>
      <x:c r="Q235" s="99"/>
      <x:c r="R235" s="99"/>
      <x:c r="S235" s="99"/>
      <x:c r="T235" s="99"/>
      <x:c r="U235" s="99"/>
      <x:c r="V235" s="99"/>
      <x:c r="W235" s="99"/>
      <x:c r="X235" s="99"/>
      <x:c r="Y235" s="99"/>
      <x:c r="Z235" s="99"/>
    </x:row>
    <x:row r="236">
      <x:c r="A236" s="99"/>
      <x:c r="B236" s="99"/>
      <x:c r="C236" s="99"/>
      <x:c r="D236" s="99"/>
      <x:c r="E236" s="99"/>
      <x:c r="F236" s="99"/>
      <x:c r="G236" s="99"/>
      <x:c r="H236" s="99"/>
      <x:c r="I236" s="99"/>
      <x:c r="J236" s="99"/>
      <x:c r="K236" s="99"/>
      <x:c r="L236" s="99"/>
      <x:c r="M236" s="99"/>
      <x:c r="N236" s="99"/>
      <x:c r="O236" s="99"/>
      <x:c r="P236" s="99"/>
      <x:c r="Q236" s="99"/>
      <x:c r="R236" s="99"/>
      <x:c r="S236" s="99"/>
      <x:c r="T236" s="99"/>
      <x:c r="U236" s="99"/>
      <x:c r="V236" s="99"/>
      <x:c r="W236" s="99"/>
      <x:c r="X236" s="99"/>
      <x:c r="Y236" s="99"/>
      <x:c r="Z236" s="99"/>
    </x:row>
    <x:row r="237">
      <x:c r="A237" s="99"/>
      <x:c r="B237" s="99"/>
      <x:c r="C237" s="99"/>
      <x:c r="D237" s="99"/>
      <x:c r="E237" s="99"/>
      <x:c r="F237" s="99"/>
      <x:c r="G237" s="99"/>
      <x:c r="H237" s="99"/>
      <x:c r="I237" s="99"/>
      <x:c r="J237" s="99"/>
      <x:c r="K237" s="99"/>
      <x:c r="L237" s="99"/>
      <x:c r="M237" s="99"/>
      <x:c r="N237" s="99"/>
      <x:c r="O237" s="99"/>
      <x:c r="P237" s="99"/>
      <x:c r="Q237" s="99"/>
      <x:c r="R237" s="99"/>
      <x:c r="S237" s="99"/>
      <x:c r="T237" s="99"/>
      <x:c r="U237" s="99"/>
      <x:c r="V237" s="99"/>
      <x:c r="W237" s="99"/>
      <x:c r="X237" s="99"/>
      <x:c r="Y237" s="99"/>
      <x:c r="Z237" s="99"/>
    </x:row>
    <x:row r="238">
      <x:c r="A238" s="99"/>
      <x:c r="B238" s="99"/>
      <x:c r="C238" s="99"/>
      <x:c r="D238" s="99"/>
      <x:c r="E238" s="99"/>
      <x:c r="F238" s="99"/>
      <x:c r="G238" s="99"/>
      <x:c r="H238" s="99"/>
      <x:c r="I238" s="99"/>
      <x:c r="J238" s="99"/>
      <x:c r="K238" s="99"/>
      <x:c r="L238" s="99"/>
      <x:c r="M238" s="99"/>
      <x:c r="N238" s="99"/>
      <x:c r="O238" s="99"/>
      <x:c r="P238" s="99"/>
      <x:c r="Q238" s="99"/>
      <x:c r="R238" s="99"/>
      <x:c r="S238" s="99"/>
      <x:c r="T238" s="99"/>
      <x:c r="U238" s="99"/>
      <x:c r="V238" s="99"/>
      <x:c r="W238" s="99"/>
      <x:c r="X238" s="99"/>
      <x:c r="Y238" s="99"/>
      <x:c r="Z238" s="99"/>
    </x:row>
    <x:row r="239">
      <x:c r="A239" s="99"/>
      <x:c r="B239" s="99"/>
      <x:c r="C239" s="99"/>
      <x:c r="D239" s="99"/>
      <x:c r="E239" s="99"/>
      <x:c r="F239" s="99"/>
      <x:c r="G239" s="99"/>
      <x:c r="H239" s="99"/>
      <x:c r="I239" s="99"/>
      <x:c r="J239" s="99"/>
      <x:c r="K239" s="99"/>
      <x:c r="L239" s="99"/>
      <x:c r="M239" s="99"/>
      <x:c r="N239" s="99"/>
      <x:c r="O239" s="99"/>
      <x:c r="P239" s="99"/>
      <x:c r="Q239" s="99"/>
      <x:c r="R239" s="99"/>
      <x:c r="S239" s="99"/>
      <x:c r="T239" s="99"/>
      <x:c r="U239" s="99"/>
      <x:c r="V239" s="99"/>
      <x:c r="W239" s="99"/>
      <x:c r="X239" s="99"/>
      <x:c r="Y239" s="99"/>
      <x:c r="Z239" s="99"/>
    </x:row>
    <x:row r="240">
      <x:c r="A240" s="99"/>
      <x:c r="B240" s="99"/>
      <x:c r="C240" s="99"/>
      <x:c r="D240" s="99"/>
      <x:c r="E240" s="99"/>
      <x:c r="F240" s="99"/>
      <x:c r="G240" s="99"/>
      <x:c r="H240" s="99"/>
      <x:c r="I240" s="99"/>
      <x:c r="J240" s="99"/>
      <x:c r="K240" s="99"/>
      <x:c r="L240" s="99"/>
      <x:c r="M240" s="99"/>
      <x:c r="N240" s="99"/>
      <x:c r="O240" s="99"/>
      <x:c r="P240" s="99"/>
      <x:c r="Q240" s="99"/>
      <x:c r="R240" s="99"/>
      <x:c r="S240" s="99"/>
      <x:c r="T240" s="99"/>
      <x:c r="U240" s="99"/>
      <x:c r="V240" s="99"/>
      <x:c r="W240" s="99"/>
      <x:c r="X240" s="99"/>
      <x:c r="Y240" s="99"/>
      <x:c r="Z240" s="99"/>
    </x:row>
    <x:row r="241">
      <x:c r="A241" s="99"/>
      <x:c r="B241" s="99"/>
      <x:c r="C241" s="99"/>
      <x:c r="D241" s="99"/>
      <x:c r="E241" s="99"/>
      <x:c r="F241" s="99"/>
      <x:c r="G241" s="99"/>
      <x:c r="H241" s="99"/>
      <x:c r="I241" s="99"/>
      <x:c r="J241" s="99"/>
      <x:c r="K241" s="99"/>
      <x:c r="L241" s="99"/>
      <x:c r="M241" s="99"/>
      <x:c r="N241" s="99"/>
      <x:c r="O241" s="99"/>
      <x:c r="P241" s="99"/>
      <x:c r="Q241" s="99"/>
      <x:c r="R241" s="99"/>
      <x:c r="S241" s="99"/>
      <x:c r="T241" s="99"/>
      <x:c r="U241" s="99"/>
      <x:c r="V241" s="99"/>
      <x:c r="W241" s="99"/>
      <x:c r="X241" s="99"/>
      <x:c r="Y241" s="99"/>
      <x:c r="Z241" s="99"/>
    </x:row>
    <x:row r="242">
      <x:c r="A242" s="99"/>
      <x:c r="B242" s="99"/>
      <x:c r="C242" s="99"/>
      <x:c r="D242" s="99"/>
      <x:c r="E242" s="99"/>
      <x:c r="F242" s="99"/>
      <x:c r="G242" s="99"/>
      <x:c r="H242" s="99"/>
      <x:c r="I242" s="99"/>
      <x:c r="J242" s="99"/>
      <x:c r="K242" s="99"/>
      <x:c r="L242" s="99"/>
      <x:c r="M242" s="99"/>
      <x:c r="N242" s="99"/>
      <x:c r="O242" s="99"/>
      <x:c r="P242" s="99"/>
      <x:c r="Q242" s="99"/>
      <x:c r="R242" s="99"/>
      <x:c r="S242" s="99"/>
      <x:c r="T242" s="99"/>
      <x:c r="U242" s="99"/>
      <x:c r="V242" s="99"/>
      <x:c r="W242" s="99"/>
      <x:c r="X242" s="99"/>
      <x:c r="Y242" s="99"/>
      <x:c r="Z242" s="99"/>
    </x:row>
    <x:row r="243">
      <x:c r="A243" s="99"/>
      <x:c r="B243" s="99"/>
      <x:c r="C243" s="99"/>
      <x:c r="D243" s="99"/>
      <x:c r="E243" s="99"/>
      <x:c r="F243" s="99"/>
      <x:c r="G243" s="99"/>
      <x:c r="H243" s="99"/>
      <x:c r="I243" s="99"/>
      <x:c r="J243" s="99"/>
      <x:c r="K243" s="99"/>
      <x:c r="L243" s="99"/>
      <x:c r="M243" s="99"/>
      <x:c r="N243" s="99"/>
      <x:c r="O243" s="99"/>
      <x:c r="P243" s="99"/>
      <x:c r="Q243" s="99"/>
      <x:c r="R243" s="99"/>
      <x:c r="S243" s="99"/>
      <x:c r="T243" s="99"/>
      <x:c r="U243" s="99"/>
      <x:c r="V243" s="99"/>
      <x:c r="W243" s="99"/>
      <x:c r="X243" s="99"/>
      <x:c r="Y243" s="99"/>
      <x:c r="Z243" s="99"/>
    </x:row>
    <x:row r="244">
      <x:c r="A244" s="99"/>
      <x:c r="B244" s="99"/>
      <x:c r="C244" s="99"/>
      <x:c r="D244" s="99"/>
      <x:c r="E244" s="99"/>
      <x:c r="F244" s="99"/>
      <x:c r="G244" s="99"/>
      <x:c r="H244" s="99"/>
      <x:c r="I244" s="99"/>
      <x:c r="J244" s="99"/>
      <x:c r="K244" s="99"/>
      <x:c r="L244" s="99"/>
      <x:c r="M244" s="99"/>
      <x:c r="N244" s="99"/>
      <x:c r="O244" s="99"/>
      <x:c r="P244" s="99"/>
      <x:c r="Q244" s="99"/>
      <x:c r="R244" s="99"/>
      <x:c r="S244" s="99"/>
      <x:c r="T244" s="99"/>
      <x:c r="U244" s="99"/>
      <x:c r="V244" s="99"/>
      <x:c r="W244" s="99"/>
      <x:c r="X244" s="99"/>
      <x:c r="Y244" s="99"/>
      <x:c r="Z244" s="99"/>
    </x:row>
    <x:row r="245">
      <x:c r="A245" s="99"/>
      <x:c r="B245" s="99"/>
      <x:c r="C245" s="99"/>
      <x:c r="D245" s="99"/>
      <x:c r="E245" s="99"/>
      <x:c r="F245" s="99"/>
      <x:c r="G245" s="99"/>
      <x:c r="H245" s="99"/>
      <x:c r="I245" s="99"/>
      <x:c r="J245" s="99"/>
      <x:c r="K245" s="99"/>
      <x:c r="L245" s="99"/>
      <x:c r="M245" s="99"/>
      <x:c r="N245" s="99"/>
      <x:c r="O245" s="99"/>
      <x:c r="P245" s="99"/>
      <x:c r="Q245" s="99"/>
      <x:c r="R245" s="99"/>
      <x:c r="S245" s="99"/>
      <x:c r="T245" s="99"/>
      <x:c r="U245" s="99"/>
      <x:c r="V245" s="99"/>
      <x:c r="W245" s="99"/>
      <x:c r="X245" s="99"/>
      <x:c r="Y245" s="99"/>
      <x:c r="Z245" s="99"/>
    </x:row>
    <x:row r="246">
      <x:c r="A246" s="99"/>
      <x:c r="B246" s="99"/>
      <x:c r="C246" s="99"/>
      <x:c r="D246" s="99"/>
      <x:c r="E246" s="99"/>
      <x:c r="F246" s="99"/>
      <x:c r="G246" s="99"/>
      <x:c r="H246" s="99"/>
      <x:c r="I246" s="99"/>
      <x:c r="J246" s="99"/>
      <x:c r="K246" s="99"/>
      <x:c r="L246" s="99"/>
      <x:c r="M246" s="99"/>
      <x:c r="N246" s="99"/>
      <x:c r="O246" s="99"/>
      <x:c r="P246" s="99"/>
      <x:c r="Q246" s="99"/>
      <x:c r="R246" s="99"/>
      <x:c r="S246" s="99"/>
      <x:c r="T246" s="99"/>
      <x:c r="U246" s="99"/>
      <x:c r="V246" s="99"/>
      <x:c r="W246" s="99"/>
      <x:c r="X246" s="99"/>
      <x:c r="Y246" s="99"/>
      <x:c r="Z246" s="99"/>
    </x:row>
    <x:row r="247">
      <x:c r="A247" s="99"/>
      <x:c r="B247" s="99"/>
      <x:c r="C247" s="99"/>
      <x:c r="D247" s="99"/>
      <x:c r="E247" s="99"/>
      <x:c r="F247" s="99"/>
      <x:c r="G247" s="99"/>
      <x:c r="H247" s="99"/>
      <x:c r="I247" s="99"/>
      <x:c r="J247" s="99"/>
      <x:c r="K247" s="99"/>
      <x:c r="L247" s="99"/>
      <x:c r="M247" s="99"/>
      <x:c r="N247" s="99"/>
      <x:c r="O247" s="99"/>
      <x:c r="P247" s="99"/>
      <x:c r="Q247" s="99"/>
      <x:c r="R247" s="99"/>
      <x:c r="S247" s="99"/>
      <x:c r="T247" s="99"/>
      <x:c r="U247" s="99"/>
      <x:c r="V247" s="99"/>
      <x:c r="W247" s="99"/>
      <x:c r="X247" s="99"/>
      <x:c r="Y247" s="99"/>
      <x:c r="Z247" s="99"/>
    </x:row>
    <x:row r="248">
      <x:c r="A248" s="99"/>
      <x:c r="B248" s="99"/>
      <x:c r="C248" s="99"/>
      <x:c r="D248" s="99"/>
      <x:c r="E248" s="99"/>
      <x:c r="F248" s="99"/>
      <x:c r="G248" s="99"/>
      <x:c r="H248" s="99"/>
      <x:c r="I248" s="99"/>
      <x:c r="J248" s="99"/>
      <x:c r="K248" s="99"/>
      <x:c r="L248" s="99"/>
      <x:c r="M248" s="99"/>
      <x:c r="N248" s="99"/>
      <x:c r="O248" s="99"/>
      <x:c r="P248" s="99"/>
      <x:c r="Q248" s="99"/>
      <x:c r="R248" s="99"/>
      <x:c r="S248" s="99"/>
      <x:c r="T248" s="99"/>
      <x:c r="U248" s="99"/>
      <x:c r="V248" s="99"/>
      <x:c r="W248" s="99"/>
      <x:c r="X248" s="99"/>
      <x:c r="Y248" s="99"/>
      <x:c r="Z248" s="99"/>
    </x:row>
    <x:row r="249">
      <x:c r="A249" s="99"/>
      <x:c r="B249" s="99"/>
      <x:c r="C249" s="99"/>
      <x:c r="D249" s="99"/>
      <x:c r="E249" s="99"/>
      <x:c r="F249" s="99"/>
      <x:c r="G249" s="99"/>
      <x:c r="H249" s="99"/>
      <x:c r="I249" s="99"/>
      <x:c r="J249" s="99"/>
      <x:c r="K249" s="99"/>
      <x:c r="L249" s="99"/>
      <x:c r="M249" s="99"/>
      <x:c r="N249" s="99"/>
      <x:c r="O249" s="99"/>
      <x:c r="P249" s="99"/>
      <x:c r="Q249" s="99"/>
      <x:c r="R249" s="99"/>
      <x:c r="S249" s="99"/>
      <x:c r="T249" s="99"/>
      <x:c r="U249" s="99"/>
      <x:c r="V249" s="99"/>
      <x:c r="W249" s="99"/>
      <x:c r="X249" s="99"/>
      <x:c r="Y249" s="99"/>
      <x:c r="Z249" s="99"/>
    </x:row>
    <x:row r="250">
      <x:c r="A250" s="99"/>
      <x:c r="B250" s="99"/>
      <x:c r="C250" s="99"/>
      <x:c r="D250" s="99"/>
      <x:c r="E250" s="99"/>
      <x:c r="F250" s="99"/>
      <x:c r="G250" s="99"/>
      <x:c r="H250" s="99"/>
      <x:c r="I250" s="99"/>
      <x:c r="J250" s="99"/>
      <x:c r="K250" s="99"/>
      <x:c r="L250" s="99"/>
      <x:c r="M250" s="99"/>
      <x:c r="N250" s="99"/>
      <x:c r="O250" s="99"/>
      <x:c r="P250" s="99"/>
      <x:c r="Q250" s="99"/>
      <x:c r="R250" s="99"/>
      <x:c r="S250" s="99"/>
      <x:c r="T250" s="99"/>
      <x:c r="U250" s="99"/>
      <x:c r="V250" s="99"/>
      <x:c r="W250" s="99"/>
      <x:c r="X250" s="99"/>
      <x:c r="Y250" s="99"/>
      <x:c r="Z250" s="99"/>
    </x:row>
    <x:row r="251">
      <x:c r="A251" s="99"/>
      <x:c r="B251" s="99"/>
      <x:c r="C251" s="99"/>
      <x:c r="D251" s="99"/>
      <x:c r="E251" s="99"/>
      <x:c r="F251" s="99"/>
      <x:c r="G251" s="99"/>
      <x:c r="H251" s="99"/>
      <x:c r="I251" s="99"/>
      <x:c r="J251" s="99"/>
      <x:c r="K251" s="99"/>
      <x:c r="L251" s="99"/>
      <x:c r="M251" s="99"/>
      <x:c r="N251" s="99"/>
      <x:c r="O251" s="99"/>
      <x:c r="P251" s="99"/>
      <x:c r="Q251" s="99"/>
      <x:c r="R251" s="99"/>
      <x:c r="S251" s="99"/>
      <x:c r="T251" s="99"/>
      <x:c r="U251" s="99"/>
      <x:c r="V251" s="99"/>
      <x:c r="W251" s="99"/>
      <x:c r="X251" s="99"/>
      <x:c r="Y251" s="99"/>
      <x:c r="Z251" s="99"/>
    </x:row>
    <x:row r="252">
      <x:c r="A252" s="99"/>
      <x:c r="B252" s="99"/>
      <x:c r="C252" s="99"/>
      <x:c r="D252" s="99"/>
      <x:c r="E252" s="99"/>
      <x:c r="F252" s="99"/>
      <x:c r="G252" s="99"/>
      <x:c r="H252" s="99"/>
      <x:c r="I252" s="99"/>
      <x:c r="J252" s="99"/>
      <x:c r="K252" s="99"/>
      <x:c r="L252" s="99"/>
      <x:c r="M252" s="99"/>
      <x:c r="N252" s="99"/>
      <x:c r="O252" s="99"/>
      <x:c r="P252" s="99"/>
      <x:c r="Q252" s="99"/>
      <x:c r="R252" s="99"/>
      <x:c r="S252" s="99"/>
      <x:c r="T252" s="99"/>
      <x:c r="U252" s="99"/>
      <x:c r="V252" s="99"/>
      <x:c r="W252" s="99"/>
      <x:c r="X252" s="99"/>
      <x:c r="Y252" s="99"/>
      <x:c r="Z252" s="99"/>
    </x:row>
    <x:row r="253">
      <x:c r="A253" s="99"/>
      <x:c r="B253" s="99"/>
      <x:c r="C253" s="99"/>
      <x:c r="D253" s="99"/>
      <x:c r="E253" s="99"/>
      <x:c r="F253" s="99"/>
      <x:c r="G253" s="99"/>
      <x:c r="H253" s="99"/>
      <x:c r="I253" s="99"/>
      <x:c r="J253" s="99"/>
      <x:c r="K253" s="99"/>
      <x:c r="L253" s="99"/>
      <x:c r="M253" s="99"/>
      <x:c r="N253" s="99"/>
      <x:c r="O253" s="99"/>
      <x:c r="P253" s="99"/>
      <x:c r="Q253" s="99"/>
      <x:c r="R253" s="99"/>
      <x:c r="S253" s="99"/>
      <x:c r="T253" s="99"/>
      <x:c r="U253" s="99"/>
      <x:c r="V253" s="99"/>
      <x:c r="W253" s="99"/>
      <x:c r="X253" s="99"/>
      <x:c r="Y253" s="99"/>
      <x:c r="Z253" s="99"/>
    </x:row>
    <x:row r="254">
      <x:c r="A254" s="99"/>
      <x:c r="B254" s="99"/>
      <x:c r="C254" s="99"/>
      <x:c r="D254" s="99"/>
      <x:c r="E254" s="99"/>
      <x:c r="F254" s="99"/>
      <x:c r="G254" s="99"/>
      <x:c r="H254" s="99"/>
      <x:c r="I254" s="99"/>
      <x:c r="J254" s="99"/>
      <x:c r="K254" s="99"/>
      <x:c r="L254" s="99"/>
      <x:c r="M254" s="99"/>
      <x:c r="N254" s="99"/>
      <x:c r="O254" s="99"/>
      <x:c r="P254" s="99"/>
      <x:c r="Q254" s="99"/>
      <x:c r="R254" s="99"/>
      <x:c r="S254" s="99"/>
      <x:c r="T254" s="99"/>
      <x:c r="U254" s="99"/>
      <x:c r="V254" s="99"/>
      <x:c r="W254" s="99"/>
      <x:c r="X254" s="99"/>
      <x:c r="Y254" s="99"/>
      <x:c r="Z254" s="99"/>
    </x:row>
    <x:row r="255">
      <x:c r="A255" s="99"/>
      <x:c r="B255" s="99"/>
      <x:c r="C255" s="99"/>
      <x:c r="D255" s="99"/>
      <x:c r="E255" s="99"/>
      <x:c r="F255" s="99"/>
      <x:c r="G255" s="99"/>
      <x:c r="H255" s="99"/>
      <x:c r="I255" s="99"/>
      <x:c r="J255" s="99"/>
      <x:c r="K255" s="99"/>
      <x:c r="L255" s="99"/>
      <x:c r="M255" s="99"/>
      <x:c r="N255" s="99"/>
      <x:c r="O255" s="99"/>
      <x:c r="P255" s="99"/>
      <x:c r="Q255" s="99"/>
      <x:c r="R255" s="99"/>
      <x:c r="S255" s="99"/>
      <x:c r="T255" s="99"/>
      <x:c r="U255" s="99"/>
      <x:c r="V255" s="99"/>
      <x:c r="W255" s="99"/>
      <x:c r="X255" s="99"/>
      <x:c r="Y255" s="99"/>
      <x:c r="Z255" s="99"/>
    </x:row>
    <x:row r="256">
      <x:c r="A256" s="99"/>
      <x:c r="B256" s="99"/>
      <x:c r="C256" s="99"/>
      <x:c r="D256" s="99"/>
      <x:c r="E256" s="99"/>
      <x:c r="F256" s="99"/>
      <x:c r="G256" s="99"/>
      <x:c r="H256" s="99"/>
      <x:c r="I256" s="99"/>
      <x:c r="J256" s="99"/>
      <x:c r="K256" s="99"/>
      <x:c r="L256" s="99"/>
      <x:c r="M256" s="99"/>
      <x:c r="N256" s="99"/>
      <x:c r="O256" s="99"/>
      <x:c r="P256" s="99"/>
      <x:c r="Q256" s="99"/>
      <x:c r="R256" s="99"/>
      <x:c r="S256" s="99"/>
      <x:c r="T256" s="99"/>
      <x:c r="U256" s="99"/>
      <x:c r="V256" s="99"/>
      <x:c r="W256" s="99"/>
      <x:c r="X256" s="99"/>
      <x:c r="Y256" s="99"/>
      <x:c r="Z256" s="99"/>
    </x:row>
    <x:row r="257">
      <x:c r="A257" s="99"/>
      <x:c r="B257" s="99"/>
      <x:c r="C257" s="99"/>
      <x:c r="D257" s="99"/>
      <x:c r="E257" s="99"/>
      <x:c r="F257" s="99"/>
      <x:c r="G257" s="99"/>
      <x:c r="H257" s="99"/>
      <x:c r="I257" s="99"/>
      <x:c r="J257" s="99"/>
      <x:c r="K257" s="99"/>
      <x:c r="L257" s="99"/>
      <x:c r="M257" s="99"/>
      <x:c r="N257" s="99"/>
      <x:c r="O257" s="99"/>
      <x:c r="P257" s="99"/>
      <x:c r="Q257" s="99"/>
      <x:c r="R257" s="99"/>
      <x:c r="S257" s="99"/>
      <x:c r="T257" s="99"/>
      <x:c r="U257" s="99"/>
      <x:c r="V257" s="99"/>
      <x:c r="W257" s="99"/>
      <x:c r="X257" s="99"/>
      <x:c r="Y257" s="99"/>
      <x:c r="Z257" s="99"/>
    </x:row>
    <x:row r="258">
      <x:c r="A258" s="99"/>
      <x:c r="B258" s="99"/>
      <x:c r="C258" s="99"/>
      <x:c r="D258" s="99"/>
      <x:c r="E258" s="99"/>
      <x:c r="F258" s="99"/>
      <x:c r="G258" s="99"/>
      <x:c r="H258" s="99"/>
      <x:c r="I258" s="99"/>
      <x:c r="J258" s="99"/>
      <x:c r="K258" s="99"/>
      <x:c r="L258" s="99"/>
      <x:c r="M258" s="99"/>
      <x:c r="N258" s="99"/>
      <x:c r="O258" s="99"/>
      <x:c r="P258" s="99"/>
      <x:c r="Q258" s="99"/>
      <x:c r="R258" s="99"/>
      <x:c r="S258" s="99"/>
      <x:c r="T258" s="99"/>
      <x:c r="U258" s="99"/>
      <x:c r="V258" s="99"/>
      <x:c r="W258" s="99"/>
      <x:c r="X258" s="99"/>
      <x:c r="Y258" s="99"/>
      <x:c r="Z258" s="99"/>
    </x:row>
    <x:row r="259">
      <x:c r="A259" s="99"/>
      <x:c r="B259" s="99"/>
      <x:c r="C259" s="99"/>
      <x:c r="D259" s="99"/>
      <x:c r="E259" s="99"/>
      <x:c r="F259" s="99"/>
      <x:c r="G259" s="99"/>
      <x:c r="H259" s="99"/>
      <x:c r="I259" s="99"/>
      <x:c r="J259" s="99"/>
      <x:c r="K259" s="99"/>
      <x:c r="L259" s="99"/>
      <x:c r="M259" s="99"/>
      <x:c r="N259" s="99"/>
      <x:c r="O259" s="99"/>
      <x:c r="P259" s="99"/>
      <x:c r="Q259" s="99"/>
      <x:c r="R259" s="99"/>
      <x:c r="S259" s="99"/>
      <x:c r="T259" s="99"/>
      <x:c r="U259" s="99"/>
      <x:c r="V259" s="99"/>
      <x:c r="W259" s="99"/>
      <x:c r="X259" s="99"/>
      <x:c r="Y259" s="99"/>
      <x:c r="Z259" s="99"/>
    </x:row>
    <x:row r="260">
      <x:c r="A260" s="99"/>
      <x:c r="B260" s="99"/>
      <x:c r="C260" s="99"/>
      <x:c r="D260" s="99"/>
      <x:c r="E260" s="99"/>
      <x:c r="F260" s="99"/>
      <x:c r="G260" s="99"/>
      <x:c r="H260" s="99"/>
      <x:c r="I260" s="99"/>
      <x:c r="J260" s="99"/>
      <x:c r="K260" s="99"/>
      <x:c r="L260" s="99"/>
      <x:c r="M260" s="99"/>
      <x:c r="N260" s="99"/>
      <x:c r="O260" s="99"/>
      <x:c r="P260" s="99"/>
      <x:c r="Q260" s="99"/>
      <x:c r="R260" s="99"/>
      <x:c r="S260" s="99"/>
      <x:c r="T260" s="99"/>
      <x:c r="U260" s="99"/>
      <x:c r="V260" s="99"/>
      <x:c r="W260" s="99"/>
      <x:c r="X260" s="99"/>
      <x:c r="Y260" s="99"/>
      <x:c r="Z260" s="99"/>
    </x:row>
    <x:row r="261">
      <x:c r="A261" s="99"/>
      <x:c r="B261" s="99"/>
      <x:c r="C261" s="99"/>
      <x:c r="D261" s="99"/>
      <x:c r="E261" s="99"/>
      <x:c r="F261" s="99"/>
      <x:c r="G261" s="99"/>
      <x:c r="H261" s="99"/>
      <x:c r="I261" s="99"/>
      <x:c r="J261" s="99"/>
      <x:c r="K261" s="99"/>
      <x:c r="L261" s="99"/>
      <x:c r="M261" s="99"/>
      <x:c r="N261" s="99"/>
      <x:c r="O261" s="99"/>
      <x:c r="P261" s="99"/>
      <x:c r="Q261" s="99"/>
      <x:c r="R261" s="99"/>
      <x:c r="S261" s="99"/>
      <x:c r="T261" s="99"/>
      <x:c r="U261" s="99"/>
      <x:c r="V261" s="99"/>
      <x:c r="W261" s="99"/>
      <x:c r="X261" s="99"/>
      <x:c r="Y261" s="99"/>
      <x:c r="Z261" s="99"/>
    </x:row>
    <x:row r="262">
      <x:c r="A262" s="99"/>
      <x:c r="B262" s="99"/>
      <x:c r="C262" s="99"/>
      <x:c r="D262" s="99"/>
      <x:c r="E262" s="99"/>
      <x:c r="F262" s="99"/>
      <x:c r="G262" s="99"/>
      <x:c r="H262" s="99"/>
      <x:c r="I262" s="99"/>
      <x:c r="J262" s="99"/>
      <x:c r="K262" s="99"/>
      <x:c r="L262" s="99"/>
      <x:c r="M262" s="99"/>
      <x:c r="N262" s="99"/>
      <x:c r="O262" s="99"/>
      <x:c r="P262" s="99"/>
      <x:c r="Q262" s="99"/>
      <x:c r="R262" s="99"/>
      <x:c r="S262" s="99"/>
      <x:c r="T262" s="99"/>
      <x:c r="U262" s="99"/>
      <x:c r="V262" s="99"/>
      <x:c r="W262" s="99"/>
      <x:c r="X262" s="99"/>
      <x:c r="Y262" s="99"/>
      <x:c r="Z262" s="99"/>
    </x:row>
    <x:row r="263">
      <x:c r="A263" s="99"/>
      <x:c r="B263" s="99"/>
      <x:c r="C263" s="99"/>
      <x:c r="D263" s="99"/>
      <x:c r="E263" s="99"/>
      <x:c r="F263" s="99"/>
      <x:c r="G263" s="99"/>
      <x:c r="H263" s="99"/>
      <x:c r="I263" s="99"/>
      <x:c r="J263" s="99"/>
      <x:c r="K263" s="99"/>
      <x:c r="L263" s="99"/>
      <x:c r="M263" s="99"/>
      <x:c r="N263" s="99"/>
      <x:c r="O263" s="99"/>
      <x:c r="P263" s="99"/>
      <x:c r="Q263" s="99"/>
      <x:c r="R263" s="99"/>
      <x:c r="S263" s="99"/>
      <x:c r="T263" s="99"/>
      <x:c r="U263" s="99"/>
      <x:c r="V263" s="99"/>
      <x:c r="W263" s="99"/>
      <x:c r="X263" s="99"/>
      <x:c r="Y263" s="99"/>
      <x:c r="Z263" s="99"/>
    </x:row>
    <x:row r="264">
      <x:c r="A264" s="99"/>
      <x:c r="B264" s="99"/>
      <x:c r="C264" s="99"/>
      <x:c r="D264" s="99"/>
      <x:c r="E264" s="99"/>
      <x:c r="F264" s="99"/>
      <x:c r="G264" s="99"/>
      <x:c r="H264" s="99"/>
      <x:c r="I264" s="99"/>
      <x:c r="J264" s="99"/>
      <x:c r="K264" s="99"/>
      <x:c r="L264" s="99"/>
      <x:c r="M264" s="99"/>
      <x:c r="N264" s="99"/>
      <x:c r="O264" s="99"/>
      <x:c r="P264" s="99"/>
      <x:c r="Q264" s="99"/>
      <x:c r="R264" s="99"/>
      <x:c r="S264" s="99"/>
      <x:c r="T264" s="99"/>
      <x:c r="U264" s="99"/>
      <x:c r="V264" s="99"/>
      <x:c r="W264" s="99"/>
      <x:c r="X264" s="99"/>
      <x:c r="Y264" s="99"/>
      <x:c r="Z264" s="99"/>
    </x:row>
    <x:row r="265">
      <x:c r="A265" s="99"/>
      <x:c r="B265" s="99"/>
      <x:c r="C265" s="99"/>
      <x:c r="D265" s="99"/>
      <x:c r="E265" s="99"/>
      <x:c r="F265" s="99"/>
      <x:c r="G265" s="99"/>
      <x:c r="H265" s="99"/>
      <x:c r="I265" s="99"/>
      <x:c r="J265" s="99"/>
      <x:c r="K265" s="99"/>
      <x:c r="L265" s="99"/>
      <x:c r="M265" s="99"/>
      <x:c r="N265" s="99"/>
      <x:c r="O265" s="99"/>
      <x:c r="P265" s="99"/>
      <x:c r="Q265" s="99"/>
      <x:c r="R265" s="99"/>
      <x:c r="S265" s="99"/>
      <x:c r="T265" s="99"/>
      <x:c r="U265" s="99"/>
      <x:c r="V265" s="99"/>
      <x:c r="W265" s="99"/>
      <x:c r="X265" s="99"/>
      <x:c r="Y265" s="99"/>
      <x:c r="Z265" s="99"/>
    </x:row>
    <x:row r="266">
      <x:c r="A266" s="99"/>
      <x:c r="B266" s="99"/>
      <x:c r="C266" s="99"/>
      <x:c r="D266" s="99"/>
      <x:c r="E266" s="99"/>
      <x:c r="F266" s="99"/>
      <x:c r="G266" s="99"/>
      <x:c r="H266" s="99"/>
      <x:c r="I266" s="99"/>
      <x:c r="J266" s="99"/>
      <x:c r="K266" s="99"/>
      <x:c r="L266" s="99"/>
      <x:c r="M266" s="99"/>
      <x:c r="N266" s="99"/>
      <x:c r="O266" s="99"/>
      <x:c r="P266" s="99"/>
      <x:c r="Q266" s="99"/>
      <x:c r="R266" s="99"/>
      <x:c r="S266" s="99"/>
      <x:c r="T266" s="99"/>
      <x:c r="U266" s="99"/>
      <x:c r="V266" s="99"/>
      <x:c r="W266" s="99"/>
      <x:c r="X266" s="99"/>
      <x:c r="Y266" s="99"/>
      <x:c r="Z266" s="99"/>
    </x:row>
    <x:row r="267">
      <x:c r="A267" s="99"/>
      <x:c r="B267" s="99"/>
      <x:c r="C267" s="99"/>
      <x:c r="D267" s="99"/>
      <x:c r="E267" s="99"/>
      <x:c r="F267" s="99"/>
      <x:c r="G267" s="99"/>
      <x:c r="H267" s="99"/>
      <x:c r="I267" s="99"/>
      <x:c r="J267" s="99"/>
      <x:c r="K267" s="99"/>
      <x:c r="L267" s="99"/>
      <x:c r="M267" s="99"/>
      <x:c r="N267" s="99"/>
      <x:c r="O267" s="99"/>
      <x:c r="P267" s="99"/>
      <x:c r="Q267" s="99"/>
      <x:c r="R267" s="99"/>
      <x:c r="S267" s="99"/>
      <x:c r="T267" s="99"/>
      <x:c r="U267" s="99"/>
      <x:c r="V267" s="99"/>
      <x:c r="W267" s="99"/>
      <x:c r="X267" s="99"/>
      <x:c r="Y267" s="99"/>
      <x:c r="Z267" s="99"/>
    </x:row>
    <x:row r="268">
      <x:c r="A268" s="99"/>
      <x:c r="B268" s="99"/>
      <x:c r="C268" s="99"/>
      <x:c r="D268" s="99"/>
      <x:c r="E268" s="99"/>
      <x:c r="F268" s="99"/>
      <x:c r="G268" s="99"/>
      <x:c r="H268" s="99"/>
      <x:c r="I268" s="99"/>
      <x:c r="J268" s="99"/>
      <x:c r="K268" s="99"/>
      <x:c r="L268" s="99"/>
      <x:c r="M268" s="99"/>
      <x:c r="N268" s="99"/>
      <x:c r="O268" s="99"/>
      <x:c r="P268" s="99"/>
      <x:c r="Q268" s="99"/>
      <x:c r="R268" s="99"/>
      <x:c r="S268" s="99"/>
      <x:c r="T268" s="99"/>
      <x:c r="U268" s="99"/>
      <x:c r="V268" s="99"/>
      <x:c r="W268" s="99"/>
      <x:c r="X268" s="99"/>
      <x:c r="Y268" s="99"/>
      <x:c r="Z268" s="99"/>
    </x:row>
    <x:row r="269">
      <x:c r="A269" s="99"/>
      <x:c r="B269" s="99"/>
      <x:c r="C269" s="99"/>
      <x:c r="D269" s="99"/>
      <x:c r="E269" s="99"/>
      <x:c r="F269" s="99"/>
      <x:c r="G269" s="99"/>
      <x:c r="H269" s="99"/>
      <x:c r="I269" s="99"/>
      <x:c r="J269" s="99"/>
      <x:c r="K269" s="99"/>
      <x:c r="L269" s="99"/>
      <x:c r="M269" s="99"/>
      <x:c r="N269" s="99"/>
      <x:c r="O269" s="99"/>
      <x:c r="P269" s="99"/>
      <x:c r="Q269" s="99"/>
      <x:c r="R269" s="99"/>
      <x:c r="S269" s="99"/>
      <x:c r="T269" s="99"/>
      <x:c r="U269" s="99"/>
      <x:c r="V269" s="99"/>
      <x:c r="W269" s="99"/>
      <x:c r="X269" s="99"/>
      <x:c r="Y269" s="99"/>
      <x:c r="Z269" s="99"/>
    </x:row>
    <x:row r="270">
      <x:c r="A270" s="99"/>
      <x:c r="B270" s="99"/>
      <x:c r="C270" s="99"/>
      <x:c r="D270" s="99"/>
      <x:c r="E270" s="99"/>
      <x:c r="F270" s="99"/>
      <x:c r="G270" s="99"/>
      <x:c r="H270" s="99"/>
      <x:c r="I270" s="99"/>
      <x:c r="J270" s="99"/>
      <x:c r="K270" s="99"/>
      <x:c r="L270" s="99"/>
      <x:c r="M270" s="99"/>
      <x:c r="N270" s="99"/>
      <x:c r="O270" s="99"/>
      <x:c r="P270" s="99"/>
      <x:c r="Q270" s="99"/>
      <x:c r="R270" s="99"/>
      <x:c r="S270" s="99"/>
      <x:c r="T270" s="99"/>
      <x:c r="U270" s="99"/>
      <x:c r="V270" s="99"/>
      <x:c r="W270" s="99"/>
      <x:c r="X270" s="99"/>
      <x:c r="Y270" s="99"/>
      <x:c r="Z270" s="99"/>
    </x:row>
    <x:row r="271">
      <x:c r="A271" s="99"/>
      <x:c r="B271" s="99"/>
      <x:c r="C271" s="99"/>
      <x:c r="D271" s="99"/>
      <x:c r="E271" s="99"/>
      <x:c r="F271" s="99"/>
      <x:c r="G271" s="99"/>
      <x:c r="H271" s="99"/>
      <x:c r="I271" s="99"/>
      <x:c r="J271" s="99"/>
      <x:c r="K271" s="99"/>
      <x:c r="L271" s="99"/>
      <x:c r="M271" s="99"/>
      <x:c r="N271" s="99"/>
      <x:c r="O271" s="99"/>
      <x:c r="P271" s="99"/>
      <x:c r="Q271" s="99"/>
      <x:c r="R271" s="99"/>
      <x:c r="S271" s="99"/>
      <x:c r="T271" s="99"/>
      <x:c r="U271" s="99"/>
      <x:c r="V271" s="99"/>
      <x:c r="W271" s="99"/>
      <x:c r="X271" s="99"/>
      <x:c r="Y271" s="99"/>
      <x:c r="Z271" s="99"/>
    </x:row>
    <x:row r="272">
      <x:c r="A272" s="99"/>
      <x:c r="B272" s="99"/>
      <x:c r="C272" s="99"/>
      <x:c r="D272" s="99"/>
      <x:c r="E272" s="99"/>
      <x:c r="F272" s="99"/>
      <x:c r="G272" s="99"/>
      <x:c r="H272" s="99"/>
      <x:c r="I272" s="99"/>
      <x:c r="J272" s="99"/>
      <x:c r="K272" s="99"/>
      <x:c r="L272" s="99"/>
      <x:c r="M272" s="99"/>
      <x:c r="N272" s="99"/>
      <x:c r="O272" s="99"/>
      <x:c r="P272" s="99"/>
      <x:c r="Q272" s="99"/>
      <x:c r="R272" s="99"/>
      <x:c r="S272" s="99"/>
      <x:c r="T272" s="99"/>
      <x:c r="U272" s="99"/>
      <x:c r="V272" s="99"/>
      <x:c r="W272" s="99"/>
      <x:c r="X272" s="99"/>
      <x:c r="Y272" s="99"/>
      <x:c r="Z272" s="99"/>
    </x:row>
    <x:row r="273">
      <x:c r="A273" s="99"/>
      <x:c r="B273" s="99"/>
      <x:c r="C273" s="99"/>
      <x:c r="D273" s="99"/>
      <x:c r="E273" s="99"/>
      <x:c r="F273" s="99"/>
      <x:c r="G273" s="99"/>
      <x:c r="H273" s="99"/>
      <x:c r="I273" s="99"/>
      <x:c r="J273" s="99"/>
      <x:c r="K273" s="99"/>
      <x:c r="L273" s="99"/>
      <x:c r="M273" s="99"/>
      <x:c r="N273" s="99"/>
      <x:c r="O273" s="99"/>
      <x:c r="P273" s="99"/>
      <x:c r="Q273" s="99"/>
      <x:c r="R273" s="99"/>
      <x:c r="S273" s="99"/>
      <x:c r="T273" s="99"/>
      <x:c r="U273" s="99"/>
      <x:c r="V273" s="99"/>
      <x:c r="W273" s="99"/>
      <x:c r="X273" s="99"/>
      <x:c r="Y273" s="99"/>
      <x:c r="Z273" s="99"/>
    </x:row>
    <x:row r="274">
      <x:c r="A274" s="99"/>
      <x:c r="B274" s="99"/>
      <x:c r="C274" s="99"/>
      <x:c r="D274" s="99"/>
      <x:c r="E274" s="99"/>
      <x:c r="F274" s="99"/>
      <x:c r="G274" s="99"/>
      <x:c r="H274" s="99"/>
      <x:c r="I274" s="99"/>
      <x:c r="J274" s="99"/>
      <x:c r="K274" s="99"/>
      <x:c r="L274" s="99"/>
      <x:c r="M274" s="99"/>
      <x:c r="N274" s="99"/>
      <x:c r="O274" s="99"/>
      <x:c r="P274" s="99"/>
      <x:c r="Q274" s="99"/>
      <x:c r="R274" s="99"/>
      <x:c r="S274" s="99"/>
      <x:c r="T274" s="99"/>
      <x:c r="U274" s="99"/>
      <x:c r="V274" s="99"/>
      <x:c r="W274" s="99"/>
      <x:c r="X274" s="99"/>
      <x:c r="Y274" s="99"/>
      <x:c r="Z274" s="99"/>
    </x:row>
    <x:row r="275">
      <x:c r="A275" s="99"/>
      <x:c r="B275" s="99"/>
      <x:c r="C275" s="99"/>
      <x:c r="D275" s="99"/>
      <x:c r="E275" s="99"/>
      <x:c r="F275" s="99"/>
      <x:c r="G275" s="99"/>
      <x:c r="H275" s="99"/>
      <x:c r="I275" s="99"/>
      <x:c r="J275" s="99"/>
      <x:c r="K275" s="99"/>
      <x:c r="L275" s="99"/>
      <x:c r="M275" s="99"/>
      <x:c r="N275" s="99"/>
      <x:c r="O275" s="99"/>
      <x:c r="P275" s="99"/>
      <x:c r="Q275" s="99"/>
      <x:c r="R275" s="99"/>
      <x:c r="S275" s="99"/>
      <x:c r="T275" s="99"/>
      <x:c r="U275" s="99"/>
      <x:c r="V275" s="99"/>
      <x:c r="W275" s="99"/>
      <x:c r="X275" s="99"/>
      <x:c r="Y275" s="99"/>
      <x:c r="Z275" s="99"/>
    </x:row>
    <x:row r="276">
      <x:c r="A276" s="99"/>
      <x:c r="B276" s="99"/>
      <x:c r="C276" s="99"/>
      <x:c r="D276" s="99"/>
      <x:c r="E276" s="99"/>
      <x:c r="F276" s="99"/>
      <x:c r="G276" s="99"/>
      <x:c r="H276" s="99"/>
      <x:c r="I276" s="99"/>
      <x:c r="J276" s="99"/>
      <x:c r="K276" s="99"/>
      <x:c r="L276" s="99"/>
      <x:c r="M276" s="99"/>
      <x:c r="N276" s="99"/>
      <x:c r="O276" s="99"/>
      <x:c r="P276" s="99"/>
      <x:c r="Q276" s="99"/>
      <x:c r="R276" s="99"/>
      <x:c r="S276" s="99"/>
      <x:c r="T276" s="99"/>
      <x:c r="U276" s="99"/>
      <x:c r="V276" s="99"/>
      <x:c r="W276" s="99"/>
      <x:c r="X276" s="99"/>
      <x:c r="Y276" s="99"/>
      <x:c r="Z276" s="99"/>
    </x:row>
    <x:row r="277">
      <x:c r="A277" s="99"/>
      <x:c r="B277" s="99"/>
      <x:c r="C277" s="99"/>
      <x:c r="D277" s="99"/>
      <x:c r="E277" s="99"/>
      <x:c r="F277" s="99"/>
      <x:c r="G277" s="99"/>
      <x:c r="H277" s="99"/>
      <x:c r="I277" s="99"/>
      <x:c r="J277" s="99"/>
      <x:c r="K277" s="99"/>
      <x:c r="L277" s="99"/>
      <x:c r="M277" s="99"/>
      <x:c r="N277" s="99"/>
      <x:c r="O277" s="99"/>
      <x:c r="P277" s="99"/>
      <x:c r="Q277" s="99"/>
      <x:c r="R277" s="99"/>
      <x:c r="S277" s="99"/>
      <x:c r="T277" s="99"/>
      <x:c r="U277" s="99"/>
      <x:c r="V277" s="99"/>
      <x:c r="W277" s="99"/>
      <x:c r="X277" s="99"/>
      <x:c r="Y277" s="99"/>
      <x:c r="Z277" s="99"/>
    </x:row>
    <x:row r="278">
      <x:c r="A278" s="99"/>
      <x:c r="B278" s="99"/>
      <x:c r="C278" s="99"/>
      <x:c r="D278" s="99"/>
      <x:c r="E278" s="99"/>
      <x:c r="F278" s="99"/>
      <x:c r="G278" s="99"/>
      <x:c r="H278" s="99"/>
      <x:c r="I278" s="99"/>
      <x:c r="J278" s="99"/>
      <x:c r="K278" s="99"/>
      <x:c r="L278" s="99"/>
      <x:c r="M278" s="99"/>
      <x:c r="N278" s="99"/>
      <x:c r="O278" s="99"/>
      <x:c r="P278" s="99"/>
      <x:c r="Q278" s="99"/>
      <x:c r="R278" s="99"/>
      <x:c r="S278" s="99"/>
      <x:c r="T278" s="99"/>
      <x:c r="U278" s="99"/>
      <x:c r="V278" s="99"/>
      <x:c r="W278" s="99"/>
      <x:c r="X278" s="99"/>
      <x:c r="Y278" s="99"/>
      <x:c r="Z278" s="99"/>
    </x:row>
    <x:row r="279">
      <x:c r="A279" s="99"/>
      <x:c r="B279" s="99"/>
      <x:c r="C279" s="99"/>
      <x:c r="D279" s="99"/>
      <x:c r="E279" s="99"/>
      <x:c r="F279" s="99"/>
      <x:c r="G279" s="99"/>
      <x:c r="H279" s="99"/>
      <x:c r="I279" s="99"/>
      <x:c r="J279" s="99"/>
      <x:c r="K279" s="99"/>
      <x:c r="L279" s="99"/>
      <x:c r="M279" s="99"/>
      <x:c r="N279" s="99"/>
      <x:c r="O279" s="99"/>
      <x:c r="P279" s="99"/>
      <x:c r="Q279" s="99"/>
      <x:c r="R279" s="99"/>
      <x:c r="S279" s="99"/>
      <x:c r="T279" s="99"/>
      <x:c r="U279" s="99"/>
      <x:c r="V279" s="99"/>
      <x:c r="W279" s="99"/>
      <x:c r="X279" s="99"/>
      <x:c r="Y279" s="99"/>
      <x:c r="Z279" s="99"/>
    </x:row>
    <x:row r="280">
      <x:c r="A280" s="99"/>
      <x:c r="B280" s="99"/>
      <x:c r="C280" s="99"/>
      <x:c r="D280" s="99"/>
      <x:c r="E280" s="99"/>
      <x:c r="F280" s="99"/>
      <x:c r="G280" s="99"/>
      <x:c r="H280" s="99"/>
      <x:c r="I280" s="99"/>
      <x:c r="J280" s="99"/>
      <x:c r="K280" s="99"/>
      <x:c r="L280" s="99"/>
      <x:c r="M280" s="99"/>
      <x:c r="N280" s="99"/>
      <x:c r="O280" s="99"/>
      <x:c r="P280" s="99"/>
      <x:c r="Q280" s="99"/>
      <x:c r="R280" s="99"/>
      <x:c r="S280" s="99"/>
      <x:c r="T280" s="99"/>
      <x:c r="U280" s="99"/>
      <x:c r="V280" s="99"/>
      <x:c r="W280" s="99"/>
      <x:c r="X280" s="99"/>
      <x:c r="Y280" s="99"/>
      <x:c r="Z280" s="99"/>
    </x:row>
    <x:row r="281">
      <x:c r="A281" s="99"/>
      <x:c r="B281" s="99"/>
      <x:c r="C281" s="99"/>
      <x:c r="D281" s="99"/>
      <x:c r="E281" s="99"/>
      <x:c r="F281" s="99"/>
      <x:c r="G281" s="99"/>
      <x:c r="H281" s="99"/>
      <x:c r="I281" s="99"/>
      <x:c r="J281" s="99"/>
      <x:c r="K281" s="99"/>
      <x:c r="L281" s="99"/>
      <x:c r="M281" s="99"/>
      <x:c r="N281" s="99"/>
      <x:c r="O281" s="99"/>
      <x:c r="P281" s="99"/>
      <x:c r="Q281" s="99"/>
      <x:c r="R281" s="99"/>
      <x:c r="S281" s="99"/>
      <x:c r="T281" s="99"/>
      <x:c r="U281" s="99"/>
      <x:c r="V281" s="99"/>
      <x:c r="W281" s="99"/>
      <x:c r="X281" s="99"/>
      <x:c r="Y281" s="99"/>
      <x:c r="Z281" s="99"/>
    </x:row>
    <x:row r="282">
      <x:c r="A282" s="99"/>
      <x:c r="B282" s="99"/>
      <x:c r="C282" s="99"/>
      <x:c r="D282" s="99"/>
      <x:c r="E282" s="99"/>
      <x:c r="F282" s="99"/>
      <x:c r="G282" s="99"/>
      <x:c r="H282" s="99"/>
      <x:c r="I282" s="99"/>
      <x:c r="J282" s="99"/>
      <x:c r="K282" s="99"/>
      <x:c r="L282" s="99"/>
      <x:c r="M282" s="99"/>
      <x:c r="N282" s="99"/>
      <x:c r="O282" s="99"/>
      <x:c r="P282" s="99"/>
      <x:c r="Q282" s="99"/>
      <x:c r="R282" s="99"/>
      <x:c r="S282" s="99"/>
      <x:c r="T282" s="99"/>
      <x:c r="U282" s="99"/>
      <x:c r="V282" s="99"/>
      <x:c r="W282" s="99"/>
      <x:c r="X282" s="99"/>
      <x:c r="Y282" s="99"/>
      <x:c r="Z282" s="99"/>
    </x:row>
    <x:row r="283">
      <x:c r="A283" s="99"/>
      <x:c r="B283" s="99"/>
      <x:c r="C283" s="99"/>
      <x:c r="D283" s="99"/>
      <x:c r="E283" s="99"/>
      <x:c r="F283" s="99"/>
      <x:c r="G283" s="99"/>
      <x:c r="H283" s="99"/>
      <x:c r="I283" s="99"/>
      <x:c r="J283" s="99"/>
      <x:c r="K283" s="99"/>
      <x:c r="L283" s="99"/>
      <x:c r="M283" s="99"/>
      <x:c r="N283" s="99"/>
      <x:c r="O283" s="99"/>
      <x:c r="P283" s="99"/>
      <x:c r="Q283" s="99"/>
      <x:c r="R283" s="99"/>
      <x:c r="S283" s="99"/>
      <x:c r="T283" s="99"/>
      <x:c r="U283" s="99"/>
      <x:c r="V283" s="99"/>
      <x:c r="W283" s="99"/>
      <x:c r="X283" s="99"/>
      <x:c r="Y283" s="99"/>
      <x:c r="Z283" s="99"/>
    </x:row>
    <x:row r="284">
      <x:c r="A284" s="99"/>
      <x:c r="B284" s="99"/>
      <x:c r="C284" s="99"/>
      <x:c r="D284" s="99"/>
      <x:c r="E284" s="99"/>
      <x:c r="F284" s="99"/>
      <x:c r="G284" s="99"/>
      <x:c r="H284" s="99"/>
      <x:c r="I284" s="99"/>
      <x:c r="J284" s="99"/>
      <x:c r="K284" s="99"/>
      <x:c r="L284" s="99"/>
      <x:c r="M284" s="99"/>
      <x:c r="N284" s="99"/>
      <x:c r="O284" s="99"/>
      <x:c r="P284" s="99"/>
      <x:c r="Q284" s="99"/>
      <x:c r="R284" s="99"/>
      <x:c r="S284" s="99"/>
      <x:c r="T284" s="99"/>
      <x:c r="U284" s="99"/>
      <x:c r="V284" s="99"/>
      <x:c r="W284" s="99"/>
      <x:c r="X284" s="99"/>
      <x:c r="Y284" s="99"/>
      <x:c r="Z284" s="99"/>
    </x:row>
    <x:row r="285">
      <x:c r="A285" s="99"/>
      <x:c r="B285" s="99"/>
      <x:c r="C285" s="99"/>
      <x:c r="D285" s="99"/>
      <x:c r="E285" s="99"/>
      <x:c r="F285" s="99"/>
      <x:c r="G285" s="99"/>
      <x:c r="H285" s="99"/>
      <x:c r="I285" s="99"/>
      <x:c r="J285" s="99"/>
      <x:c r="K285" s="99"/>
      <x:c r="L285" s="99"/>
      <x:c r="M285" s="99"/>
      <x:c r="N285" s="99"/>
      <x:c r="O285" s="99"/>
      <x:c r="P285" s="99"/>
      <x:c r="Q285" s="99"/>
      <x:c r="R285" s="99"/>
      <x:c r="S285" s="99"/>
      <x:c r="T285" s="99"/>
      <x:c r="U285" s="99"/>
      <x:c r="V285" s="99"/>
      <x:c r="W285" s="99"/>
      <x:c r="X285" s="99"/>
      <x:c r="Y285" s="99"/>
      <x:c r="Z285" s="99"/>
    </x:row>
    <x:row r="286">
      <x:c r="A286" s="99"/>
      <x:c r="B286" s="99"/>
      <x:c r="C286" s="99"/>
      <x:c r="D286" s="99"/>
      <x:c r="E286" s="99"/>
      <x:c r="F286" s="99"/>
      <x:c r="G286" s="99"/>
      <x:c r="H286" s="99"/>
      <x:c r="I286" s="99"/>
      <x:c r="J286" s="99"/>
      <x:c r="K286" s="99"/>
      <x:c r="L286" s="99"/>
      <x:c r="M286" s="99"/>
      <x:c r="N286" s="99"/>
      <x:c r="O286" s="99"/>
      <x:c r="P286" s="99"/>
      <x:c r="Q286" s="99"/>
      <x:c r="R286" s="99"/>
      <x:c r="S286" s="99"/>
      <x:c r="T286" s="99"/>
      <x:c r="U286" s="99"/>
      <x:c r="V286" s="99"/>
      <x:c r="W286" s="99"/>
      <x:c r="X286" s="99"/>
      <x:c r="Y286" s="99"/>
      <x:c r="Z286" s="99"/>
    </x:row>
    <x:row r="287">
      <x:c r="A287" s="99"/>
      <x:c r="B287" s="99"/>
      <x:c r="C287" s="99"/>
      <x:c r="D287" s="99"/>
      <x:c r="E287" s="99"/>
      <x:c r="F287" s="99"/>
      <x:c r="G287" s="99"/>
      <x:c r="H287" s="99"/>
      <x:c r="I287" s="99"/>
      <x:c r="J287" s="99"/>
      <x:c r="K287" s="99"/>
      <x:c r="L287" s="99"/>
      <x:c r="M287" s="99"/>
      <x:c r="N287" s="99"/>
      <x:c r="O287" s="99"/>
      <x:c r="P287" s="99"/>
      <x:c r="Q287" s="99"/>
      <x:c r="R287" s="99"/>
      <x:c r="S287" s="99"/>
      <x:c r="T287" s="99"/>
      <x:c r="U287" s="99"/>
      <x:c r="V287" s="99"/>
      <x:c r="W287" s="99"/>
      <x:c r="X287" s="99"/>
      <x:c r="Y287" s="99"/>
      <x:c r="Z287" s="99"/>
    </x:row>
    <x:row r="288">
      <x:c r="A288" s="99"/>
      <x:c r="B288" s="99"/>
      <x:c r="C288" s="99"/>
      <x:c r="D288" s="99"/>
      <x:c r="E288" s="99"/>
      <x:c r="F288" s="99"/>
      <x:c r="G288" s="99"/>
      <x:c r="H288" s="99"/>
      <x:c r="I288" s="99"/>
      <x:c r="J288" s="99"/>
      <x:c r="K288" s="99"/>
      <x:c r="L288" s="99"/>
      <x:c r="M288" s="99"/>
      <x:c r="N288" s="99"/>
      <x:c r="O288" s="99"/>
      <x:c r="P288" s="99"/>
      <x:c r="Q288" s="99"/>
      <x:c r="R288" s="99"/>
      <x:c r="S288" s="99"/>
      <x:c r="T288" s="99"/>
      <x:c r="U288" s="99"/>
      <x:c r="V288" s="99"/>
      <x:c r="W288" s="99"/>
      <x:c r="X288" s="99"/>
      <x:c r="Y288" s="99"/>
      <x:c r="Z288" s="99"/>
    </x:row>
    <x:row r="289">
      <x:c r="A289" s="99"/>
      <x:c r="B289" s="99"/>
      <x:c r="C289" s="99"/>
      <x:c r="D289" s="99"/>
      <x:c r="E289" s="99"/>
      <x:c r="F289" s="99"/>
      <x:c r="G289" s="99"/>
      <x:c r="H289" s="99"/>
      <x:c r="I289" s="99"/>
      <x:c r="J289" s="99"/>
      <x:c r="K289" s="99"/>
      <x:c r="L289" s="99"/>
      <x:c r="M289" s="99"/>
      <x:c r="N289" s="99"/>
      <x:c r="O289" s="99"/>
      <x:c r="P289" s="99"/>
      <x:c r="Q289" s="99"/>
      <x:c r="R289" s="99"/>
      <x:c r="S289" s="99"/>
      <x:c r="T289" s="99"/>
      <x:c r="U289" s="99"/>
      <x:c r="V289" s="99"/>
      <x:c r="W289" s="99"/>
      <x:c r="X289" s="99"/>
      <x:c r="Y289" s="99"/>
      <x:c r="Z289" s="99"/>
    </x:row>
    <x:row r="290">
      <x:c r="A290" s="99"/>
      <x:c r="B290" s="99"/>
      <x:c r="C290" s="99"/>
      <x:c r="D290" s="99"/>
      <x:c r="E290" s="99"/>
      <x:c r="F290" s="99"/>
      <x:c r="G290" s="99"/>
      <x:c r="H290" s="99"/>
      <x:c r="I290" s="99"/>
      <x:c r="J290" s="99"/>
      <x:c r="K290" s="99"/>
      <x:c r="L290" s="99"/>
      <x:c r="M290" s="99"/>
      <x:c r="N290" s="99"/>
      <x:c r="O290" s="99"/>
      <x:c r="P290" s="99"/>
      <x:c r="Q290" s="99"/>
      <x:c r="R290" s="99"/>
      <x:c r="S290" s="99"/>
      <x:c r="T290" s="99"/>
      <x:c r="U290" s="99"/>
      <x:c r="V290" s="99"/>
      <x:c r="W290" s="99"/>
      <x:c r="X290" s="99"/>
      <x:c r="Y290" s="99"/>
      <x:c r="Z290" s="99"/>
    </x:row>
    <x:row r="291">
      <x:c r="A291" s="99"/>
      <x:c r="B291" s="99"/>
      <x:c r="C291" s="99"/>
      <x:c r="D291" s="99"/>
      <x:c r="E291" s="99"/>
      <x:c r="F291" s="99"/>
      <x:c r="G291" s="99"/>
      <x:c r="H291" s="99"/>
      <x:c r="I291" s="99"/>
      <x:c r="J291" s="99"/>
      <x:c r="K291" s="99"/>
      <x:c r="L291" s="99"/>
      <x:c r="M291" s="99"/>
      <x:c r="N291" s="99"/>
      <x:c r="O291" s="99"/>
      <x:c r="P291" s="99"/>
      <x:c r="Q291" s="99"/>
      <x:c r="R291" s="99"/>
      <x:c r="S291" s="99"/>
      <x:c r="T291" s="99"/>
      <x:c r="U291" s="99"/>
      <x:c r="V291" s="99"/>
      <x:c r="W291" s="99"/>
      <x:c r="X291" s="99"/>
      <x:c r="Y291" s="99"/>
      <x:c r="Z291" s="99"/>
    </x:row>
    <x:row r="292">
      <x:c r="A292" s="99"/>
      <x:c r="B292" s="99"/>
      <x:c r="C292" s="99"/>
      <x:c r="D292" s="99"/>
      <x:c r="E292" s="99"/>
      <x:c r="F292" s="99"/>
      <x:c r="G292" s="99"/>
      <x:c r="H292" s="99"/>
      <x:c r="I292" s="99"/>
      <x:c r="J292" s="99"/>
      <x:c r="K292" s="99"/>
      <x:c r="L292" s="99"/>
      <x:c r="M292" s="99"/>
      <x:c r="N292" s="99"/>
      <x:c r="O292" s="99"/>
      <x:c r="P292" s="99"/>
      <x:c r="Q292" s="99"/>
      <x:c r="R292" s="99"/>
      <x:c r="S292" s="99"/>
      <x:c r="T292" s="99"/>
      <x:c r="U292" s="99"/>
      <x:c r="V292" s="99"/>
      <x:c r="W292" s="99"/>
      <x:c r="X292" s="99"/>
      <x:c r="Y292" s="99"/>
      <x:c r="Z292" s="99"/>
    </x:row>
    <x:row r="293">
      <x:c r="A293" s="99"/>
      <x:c r="B293" s="99"/>
      <x:c r="C293" s="99"/>
      <x:c r="D293" s="99"/>
      <x:c r="E293" s="99"/>
      <x:c r="F293" s="99"/>
      <x:c r="G293" s="99"/>
      <x:c r="H293" s="99"/>
      <x:c r="I293" s="99"/>
      <x:c r="J293" s="99"/>
      <x:c r="K293" s="99"/>
      <x:c r="L293" s="99"/>
      <x:c r="M293" s="99"/>
      <x:c r="N293" s="99"/>
      <x:c r="O293" s="99"/>
      <x:c r="P293" s="99"/>
      <x:c r="Q293" s="99"/>
      <x:c r="R293" s="99"/>
      <x:c r="S293" s="99"/>
      <x:c r="T293" s="99"/>
      <x:c r="U293" s="99"/>
      <x:c r="V293" s="99"/>
      <x:c r="W293" s="99"/>
      <x:c r="X293" s="99"/>
      <x:c r="Y293" s="99"/>
      <x:c r="Z293" s="99"/>
    </x:row>
    <x:row r="294">
      <x:c r="A294" s="99"/>
      <x:c r="B294" s="99"/>
      <x:c r="C294" s="99"/>
      <x:c r="D294" s="99"/>
      <x:c r="E294" s="99"/>
      <x:c r="F294" s="99"/>
      <x:c r="G294" s="99"/>
      <x:c r="H294" s="99"/>
      <x:c r="I294" s="99"/>
      <x:c r="J294" s="99"/>
      <x:c r="K294" s="99"/>
      <x:c r="L294" s="99"/>
      <x:c r="M294" s="99"/>
      <x:c r="N294" s="99"/>
      <x:c r="O294" s="99"/>
      <x:c r="P294" s="99"/>
      <x:c r="Q294" s="99"/>
      <x:c r="R294" s="99"/>
      <x:c r="S294" s="99"/>
      <x:c r="T294" s="99"/>
      <x:c r="U294" s="99"/>
      <x:c r="V294" s="99"/>
      <x:c r="W294" s="99"/>
      <x:c r="X294" s="99"/>
      <x:c r="Y294" s="99"/>
      <x:c r="Z294" s="99"/>
    </x:row>
    <x:row r="295">
      <x:c r="A295" s="99"/>
      <x:c r="B295" s="99"/>
      <x:c r="C295" s="99"/>
      <x:c r="D295" s="99"/>
      <x:c r="E295" s="99"/>
      <x:c r="F295" s="99"/>
      <x:c r="G295" s="99"/>
      <x:c r="H295" s="99"/>
      <x:c r="I295" s="99"/>
      <x:c r="J295" s="99"/>
      <x:c r="K295" s="99"/>
      <x:c r="L295" s="99"/>
      <x:c r="M295" s="99"/>
      <x:c r="N295" s="99"/>
      <x:c r="O295" s="99"/>
      <x:c r="P295" s="99"/>
      <x:c r="Q295" s="99"/>
      <x:c r="R295" s="99"/>
      <x:c r="S295" s="99"/>
      <x:c r="T295" s="99"/>
      <x:c r="U295" s="99"/>
      <x:c r="V295" s="99"/>
      <x:c r="W295" s="99"/>
      <x:c r="X295" s="99"/>
      <x:c r="Y295" s="99"/>
      <x:c r="Z295" s="99"/>
    </x:row>
    <x:row r="296">
      <x:c r="A296" s="99"/>
      <x:c r="B296" s="99"/>
      <x:c r="C296" s="99"/>
      <x:c r="D296" s="99"/>
      <x:c r="E296" s="99"/>
      <x:c r="F296" s="99"/>
      <x:c r="G296" s="99"/>
      <x:c r="H296" s="99"/>
      <x:c r="I296" s="99"/>
      <x:c r="J296" s="99"/>
      <x:c r="K296" s="99"/>
      <x:c r="L296" s="99"/>
      <x:c r="M296" s="99"/>
      <x:c r="N296" s="99"/>
      <x:c r="O296" s="99"/>
      <x:c r="P296" s="99"/>
      <x:c r="Q296" s="99"/>
      <x:c r="R296" s="99"/>
      <x:c r="S296" s="99"/>
      <x:c r="T296" s="99"/>
      <x:c r="U296" s="99"/>
      <x:c r="V296" s="99"/>
      <x:c r="W296" s="99"/>
      <x:c r="X296" s="99"/>
      <x:c r="Y296" s="99"/>
      <x:c r="Z296" s="99"/>
    </x:row>
    <x:row r="297">
      <x:c r="A297" s="99"/>
      <x:c r="B297" s="99"/>
      <x:c r="C297" s="99"/>
      <x:c r="D297" s="99"/>
      <x:c r="E297" s="99"/>
      <x:c r="F297" s="99"/>
      <x:c r="G297" s="99"/>
      <x:c r="H297" s="99"/>
      <x:c r="I297" s="99"/>
      <x:c r="J297" s="99"/>
      <x:c r="K297" s="99"/>
      <x:c r="L297" s="99"/>
      <x:c r="M297" s="99"/>
      <x:c r="N297" s="99"/>
      <x:c r="O297" s="99"/>
      <x:c r="P297" s="99"/>
      <x:c r="Q297" s="99"/>
      <x:c r="R297" s="99"/>
      <x:c r="S297" s="99"/>
      <x:c r="T297" s="99"/>
      <x:c r="U297" s="99"/>
      <x:c r="V297" s="99"/>
      <x:c r="W297" s="99"/>
      <x:c r="X297" s="99"/>
      <x:c r="Y297" s="99"/>
      <x:c r="Z297" s="99"/>
    </x:row>
    <x:row r="298">
      <x:c r="A298" s="99"/>
      <x:c r="B298" s="99"/>
      <x:c r="C298" s="99"/>
      <x:c r="D298" s="99"/>
      <x:c r="E298" s="99"/>
      <x:c r="F298" s="99"/>
      <x:c r="G298" s="99"/>
      <x:c r="H298" s="99"/>
      <x:c r="I298" s="99"/>
      <x:c r="J298" s="99"/>
      <x:c r="K298" s="99"/>
      <x:c r="L298" s="99"/>
      <x:c r="M298" s="99"/>
      <x:c r="N298" s="99"/>
      <x:c r="O298" s="99"/>
      <x:c r="P298" s="99"/>
      <x:c r="Q298" s="99"/>
      <x:c r="R298" s="99"/>
      <x:c r="S298" s="99"/>
      <x:c r="T298" s="99"/>
      <x:c r="U298" s="99"/>
      <x:c r="V298" s="99"/>
      <x:c r="W298" s="99"/>
      <x:c r="X298" s="99"/>
      <x:c r="Y298" s="99"/>
      <x:c r="Z298" s="99"/>
    </x:row>
    <x:row r="299">
      <x:c r="A299" s="99"/>
      <x:c r="B299" s="99"/>
      <x:c r="C299" s="99"/>
      <x:c r="D299" s="99"/>
      <x:c r="E299" s="99"/>
      <x:c r="F299" s="99"/>
      <x:c r="G299" s="99"/>
      <x:c r="H299" s="99"/>
      <x:c r="I299" s="99"/>
      <x:c r="J299" s="99"/>
      <x:c r="K299" s="99"/>
      <x:c r="L299" s="99"/>
      <x:c r="M299" s="99"/>
      <x:c r="N299" s="99"/>
      <x:c r="O299" s="99"/>
      <x:c r="P299" s="99"/>
      <x:c r="Q299" s="99"/>
      <x:c r="R299" s="99"/>
      <x:c r="S299" s="99"/>
      <x:c r="T299" s="99"/>
      <x:c r="U299" s="99"/>
      <x:c r="V299" s="99"/>
      <x:c r="W299" s="99"/>
      <x:c r="X299" s="99"/>
      <x:c r="Y299" s="99"/>
      <x:c r="Z299" s="99"/>
    </x:row>
    <x:row r="300">
      <x:c r="A300" s="99"/>
      <x:c r="B300" s="99"/>
      <x:c r="C300" s="99"/>
      <x:c r="D300" s="99"/>
      <x:c r="E300" s="99"/>
      <x:c r="F300" s="99"/>
      <x:c r="G300" s="99"/>
      <x:c r="H300" s="99"/>
      <x:c r="I300" s="99"/>
      <x:c r="J300" s="99"/>
      <x:c r="K300" s="99"/>
      <x:c r="L300" s="99"/>
      <x:c r="M300" s="99"/>
      <x:c r="N300" s="99"/>
      <x:c r="O300" s="99"/>
      <x:c r="P300" s="99"/>
      <x:c r="Q300" s="99"/>
      <x:c r="R300" s="99"/>
      <x:c r="S300" s="99"/>
      <x:c r="T300" s="99"/>
      <x:c r="U300" s="99"/>
      <x:c r="V300" s="99"/>
      <x:c r="W300" s="99"/>
      <x:c r="X300" s="99"/>
      <x:c r="Y300" s="99"/>
      <x:c r="Z300" s="99"/>
    </x:row>
    <x:row r="301">
      <x:c r="A301" s="99"/>
      <x:c r="B301" s="99"/>
      <x:c r="C301" s="99"/>
      <x:c r="D301" s="99"/>
      <x:c r="E301" s="99"/>
      <x:c r="F301" s="99"/>
      <x:c r="G301" s="99"/>
      <x:c r="H301" s="99"/>
      <x:c r="I301" s="99"/>
      <x:c r="J301" s="99"/>
      <x:c r="K301" s="99"/>
      <x:c r="L301" s="99"/>
      <x:c r="M301" s="99"/>
      <x:c r="N301" s="99"/>
      <x:c r="O301" s="99"/>
      <x:c r="P301" s="99"/>
      <x:c r="Q301" s="99"/>
      <x:c r="R301" s="99"/>
      <x:c r="S301" s="99"/>
      <x:c r="T301" s="99"/>
      <x:c r="U301" s="99"/>
      <x:c r="V301" s="99"/>
      <x:c r="W301" s="99"/>
      <x:c r="X301" s="99"/>
      <x:c r="Y301" s="99"/>
      <x:c r="Z301" s="99"/>
    </x:row>
    <x:row r="302">
      <x:c r="A302" s="99"/>
      <x:c r="B302" s="99"/>
      <x:c r="C302" s="99"/>
      <x:c r="D302" s="99"/>
      <x:c r="E302" s="99"/>
      <x:c r="F302" s="99"/>
      <x:c r="G302" s="99"/>
      <x:c r="H302" s="99"/>
      <x:c r="I302" s="99"/>
      <x:c r="J302" s="99"/>
      <x:c r="K302" s="99"/>
      <x:c r="L302" s="99"/>
      <x:c r="M302" s="99"/>
      <x:c r="N302" s="99"/>
      <x:c r="O302" s="99"/>
      <x:c r="P302" s="99"/>
      <x:c r="Q302" s="99"/>
      <x:c r="R302" s="99"/>
      <x:c r="S302" s="99"/>
      <x:c r="T302" s="99"/>
      <x:c r="U302" s="99"/>
      <x:c r="V302" s="99"/>
      <x:c r="W302" s="99"/>
      <x:c r="X302" s="99"/>
      <x:c r="Y302" s="99"/>
      <x:c r="Z302" s="99"/>
    </x:row>
    <x:row r="303">
      <x:c r="A303" s="99"/>
      <x:c r="B303" s="99"/>
      <x:c r="C303" s="99"/>
      <x:c r="D303" s="99"/>
      <x:c r="E303" s="99"/>
      <x:c r="F303" s="99"/>
      <x:c r="G303" s="99"/>
      <x:c r="H303" s="99"/>
      <x:c r="I303" s="99"/>
      <x:c r="J303" s="99"/>
      <x:c r="K303" s="99"/>
      <x:c r="L303" s="99"/>
      <x:c r="M303" s="99"/>
      <x:c r="N303" s="99"/>
      <x:c r="O303" s="99"/>
      <x:c r="P303" s="99"/>
      <x:c r="Q303" s="99"/>
      <x:c r="R303" s="99"/>
      <x:c r="S303" s="99"/>
      <x:c r="T303" s="99"/>
      <x:c r="U303" s="99"/>
      <x:c r="V303" s="99"/>
      <x:c r="W303" s="99"/>
      <x:c r="X303" s="99"/>
      <x:c r="Y303" s="99"/>
      <x:c r="Z303" s="99"/>
    </x:row>
    <x:row r="304">
      <x:c r="A304" s="99"/>
      <x:c r="B304" s="99"/>
      <x:c r="C304" s="99"/>
      <x:c r="D304" s="99"/>
      <x:c r="E304" s="99"/>
      <x:c r="F304" s="99"/>
      <x:c r="G304" s="99"/>
      <x:c r="H304" s="99"/>
      <x:c r="I304" s="99"/>
      <x:c r="J304" s="99"/>
      <x:c r="K304" s="99"/>
      <x:c r="L304" s="99"/>
      <x:c r="M304" s="99"/>
      <x:c r="N304" s="99"/>
      <x:c r="O304" s="99"/>
      <x:c r="P304" s="99"/>
      <x:c r="Q304" s="99"/>
      <x:c r="R304" s="99"/>
      <x:c r="S304" s="99"/>
      <x:c r="T304" s="99"/>
      <x:c r="U304" s="99"/>
      <x:c r="V304" s="99"/>
      <x:c r="W304" s="99"/>
      <x:c r="X304" s="99"/>
      <x:c r="Y304" s="99"/>
      <x:c r="Z304" s="99"/>
    </x:row>
    <x:row r="305">
      <x:c r="A305" s="99"/>
      <x:c r="B305" s="99"/>
      <x:c r="C305" s="99"/>
      <x:c r="D305" s="99"/>
      <x:c r="E305" s="99"/>
      <x:c r="F305" s="99"/>
      <x:c r="G305" s="99"/>
      <x:c r="H305" s="99"/>
      <x:c r="I305" s="99"/>
      <x:c r="J305" s="99"/>
      <x:c r="K305" s="99"/>
      <x:c r="L305" s="99"/>
      <x:c r="M305" s="99"/>
      <x:c r="N305" s="99"/>
      <x:c r="O305" s="99"/>
      <x:c r="P305" s="99"/>
      <x:c r="Q305" s="99"/>
      <x:c r="R305" s="99"/>
      <x:c r="S305" s="99"/>
      <x:c r="T305" s="99"/>
      <x:c r="U305" s="99"/>
      <x:c r="V305" s="99"/>
      <x:c r="W305" s="99"/>
      <x:c r="X305" s="99"/>
      <x:c r="Y305" s="99"/>
      <x:c r="Z305" s="99"/>
    </x:row>
    <x:row r="306">
      <x:c r="A306" s="99"/>
      <x:c r="B306" s="99"/>
      <x:c r="C306" s="99"/>
      <x:c r="D306" s="99"/>
      <x:c r="E306" s="99"/>
      <x:c r="F306" s="99"/>
      <x:c r="G306" s="99"/>
      <x:c r="H306" s="99"/>
      <x:c r="I306" s="99"/>
      <x:c r="J306" s="99"/>
      <x:c r="K306" s="99"/>
      <x:c r="L306" s="99"/>
      <x:c r="M306" s="99"/>
      <x:c r="N306" s="99"/>
      <x:c r="O306" s="99"/>
      <x:c r="P306" s="99"/>
      <x:c r="Q306" s="99"/>
      <x:c r="R306" s="99"/>
      <x:c r="S306" s="99"/>
      <x:c r="T306" s="99"/>
      <x:c r="U306" s="99"/>
      <x:c r="V306" s="99"/>
      <x:c r="W306" s="99"/>
      <x:c r="X306" s="99"/>
      <x:c r="Y306" s="99"/>
      <x:c r="Z306" s="99"/>
    </x:row>
    <x:row r="307">
      <x:c r="A307" s="99"/>
      <x:c r="B307" s="99"/>
      <x:c r="C307" s="99"/>
      <x:c r="D307" s="99"/>
      <x:c r="E307" s="99"/>
      <x:c r="F307" s="99"/>
      <x:c r="G307" s="99"/>
      <x:c r="H307" s="99"/>
      <x:c r="I307" s="99"/>
      <x:c r="J307" s="99"/>
      <x:c r="K307" s="99"/>
      <x:c r="L307" s="99"/>
      <x:c r="M307" s="99"/>
      <x:c r="N307" s="99"/>
      <x:c r="O307" s="99"/>
      <x:c r="P307" s="99"/>
      <x:c r="Q307" s="99"/>
      <x:c r="R307" s="99"/>
      <x:c r="S307" s="99"/>
      <x:c r="T307" s="99"/>
      <x:c r="U307" s="99"/>
      <x:c r="V307" s="99"/>
      <x:c r="W307" s="99"/>
      <x:c r="X307" s="99"/>
      <x:c r="Y307" s="99"/>
      <x:c r="Z307" s="99"/>
    </x:row>
    <x:row r="308">
      <x:c r="A308" s="99"/>
      <x:c r="B308" s="99"/>
      <x:c r="C308" s="99"/>
      <x:c r="D308" s="99"/>
      <x:c r="E308" s="99"/>
      <x:c r="F308" s="99"/>
      <x:c r="G308" s="99"/>
      <x:c r="H308" s="99"/>
      <x:c r="I308" s="99"/>
      <x:c r="J308" s="99"/>
      <x:c r="K308" s="99"/>
      <x:c r="L308" s="99"/>
      <x:c r="M308" s="99"/>
      <x:c r="N308" s="99"/>
      <x:c r="O308" s="99"/>
      <x:c r="P308" s="99"/>
      <x:c r="Q308" s="99"/>
      <x:c r="R308" s="99"/>
      <x:c r="S308" s="99"/>
      <x:c r="T308" s="99"/>
      <x:c r="U308" s="99"/>
      <x:c r="V308" s="99"/>
      <x:c r="W308" s="99"/>
      <x:c r="X308" s="99"/>
      <x:c r="Y308" s="99"/>
      <x:c r="Z308" s="99"/>
    </x:row>
    <x:row r="309">
      <x:c r="A309" s="99"/>
      <x:c r="B309" s="99"/>
      <x:c r="C309" s="99"/>
      <x:c r="D309" s="99"/>
      <x:c r="E309" s="99"/>
      <x:c r="F309" s="99"/>
      <x:c r="G309" s="99"/>
      <x:c r="H309" s="99"/>
      <x:c r="I309" s="99"/>
      <x:c r="J309" s="99"/>
      <x:c r="K309" s="99"/>
      <x:c r="L309" s="99"/>
      <x:c r="M309" s="99"/>
      <x:c r="N309" s="99"/>
      <x:c r="O309" s="99"/>
      <x:c r="P309" s="99"/>
      <x:c r="Q309" s="99"/>
      <x:c r="R309" s="99"/>
      <x:c r="S309" s="99"/>
      <x:c r="T309" s="99"/>
      <x:c r="U309" s="99"/>
      <x:c r="V309" s="99"/>
      <x:c r="W309" s="99"/>
      <x:c r="X309" s="99"/>
      <x:c r="Y309" s="99"/>
      <x:c r="Z309" s="99"/>
    </x:row>
    <x:row r="310">
      <x:c r="A310" s="99"/>
      <x:c r="B310" s="99"/>
      <x:c r="C310" s="99"/>
      <x:c r="D310" s="99"/>
      <x:c r="E310" s="99"/>
      <x:c r="F310" s="99"/>
      <x:c r="G310" s="99"/>
      <x:c r="H310" s="99"/>
      <x:c r="I310" s="99"/>
      <x:c r="J310" s="99"/>
      <x:c r="K310" s="99"/>
      <x:c r="L310" s="99"/>
      <x:c r="M310" s="99"/>
      <x:c r="N310" s="99"/>
      <x:c r="O310" s="99"/>
      <x:c r="P310" s="99"/>
      <x:c r="Q310" s="99"/>
      <x:c r="R310" s="99"/>
      <x:c r="S310" s="99"/>
      <x:c r="T310" s="99"/>
      <x:c r="U310" s="99"/>
      <x:c r="V310" s="99"/>
      <x:c r="W310" s="99"/>
      <x:c r="X310" s="99"/>
      <x:c r="Y310" s="99"/>
      <x:c r="Z310" s="99"/>
    </x:row>
    <x:row r="311">
      <x:c r="A311" s="99"/>
      <x:c r="B311" s="99"/>
      <x:c r="C311" s="99"/>
      <x:c r="D311" s="99"/>
      <x:c r="E311" s="99"/>
      <x:c r="F311" s="99"/>
      <x:c r="G311" s="99"/>
      <x:c r="H311" s="99"/>
      <x:c r="I311" s="99"/>
      <x:c r="J311" s="99"/>
      <x:c r="K311" s="99"/>
      <x:c r="L311" s="99"/>
      <x:c r="M311" s="99"/>
      <x:c r="N311" s="99"/>
      <x:c r="O311" s="99"/>
      <x:c r="P311" s="99"/>
      <x:c r="Q311" s="99"/>
      <x:c r="R311" s="99"/>
      <x:c r="S311" s="99"/>
      <x:c r="T311" s="99"/>
      <x:c r="U311" s="99"/>
      <x:c r="V311" s="99"/>
      <x:c r="W311" s="99"/>
      <x:c r="X311" s="99"/>
      <x:c r="Y311" s="99"/>
      <x:c r="Z311" s="99"/>
    </x:row>
    <x:row r="312">
      <x:c r="A312" s="99"/>
      <x:c r="B312" s="99"/>
      <x:c r="C312" s="99"/>
      <x:c r="D312" s="99"/>
      <x:c r="E312" s="99"/>
      <x:c r="F312" s="99"/>
      <x:c r="G312" s="99"/>
      <x:c r="H312" s="99"/>
      <x:c r="I312" s="99"/>
      <x:c r="J312" s="99"/>
      <x:c r="K312" s="99"/>
      <x:c r="L312" s="99"/>
      <x:c r="M312" s="99"/>
      <x:c r="N312" s="99"/>
      <x:c r="O312" s="99"/>
      <x:c r="P312" s="99"/>
      <x:c r="Q312" s="99"/>
      <x:c r="R312" s="99"/>
      <x:c r="S312" s="99"/>
      <x:c r="T312" s="99"/>
      <x:c r="U312" s="99"/>
      <x:c r="V312" s="99"/>
      <x:c r="W312" s="99"/>
      <x:c r="X312" s="99"/>
      <x:c r="Y312" s="99"/>
      <x:c r="Z312" s="99"/>
    </x:row>
    <x:row r="313">
      <x:c r="A313" s="99"/>
      <x:c r="B313" s="99"/>
      <x:c r="C313" s="99"/>
      <x:c r="D313" s="99"/>
      <x:c r="E313" s="99"/>
      <x:c r="F313" s="99"/>
      <x:c r="G313" s="99"/>
      <x:c r="H313" s="99"/>
      <x:c r="I313" s="99"/>
      <x:c r="J313" s="99"/>
      <x:c r="K313" s="99"/>
      <x:c r="L313" s="99"/>
      <x:c r="M313" s="99"/>
      <x:c r="N313" s="99"/>
      <x:c r="O313" s="99"/>
      <x:c r="P313" s="99"/>
      <x:c r="Q313" s="99"/>
      <x:c r="R313" s="99"/>
      <x:c r="S313" s="99"/>
      <x:c r="T313" s="99"/>
      <x:c r="U313" s="99"/>
      <x:c r="V313" s="99"/>
      <x:c r="W313" s="99"/>
      <x:c r="X313" s="99"/>
      <x:c r="Y313" s="99"/>
      <x:c r="Z313" s="99"/>
    </x:row>
    <x:row r="314">
      <x:c r="A314" s="99"/>
      <x:c r="B314" s="99"/>
      <x:c r="C314" s="99"/>
      <x:c r="D314" s="99"/>
      <x:c r="E314" s="99"/>
      <x:c r="F314" s="99"/>
      <x:c r="G314" s="99"/>
      <x:c r="H314" s="99"/>
      <x:c r="I314" s="99"/>
      <x:c r="J314" s="99"/>
      <x:c r="K314" s="99"/>
      <x:c r="L314" s="99"/>
      <x:c r="M314" s="99"/>
      <x:c r="N314" s="99"/>
      <x:c r="O314" s="99"/>
      <x:c r="P314" s="99"/>
      <x:c r="Q314" s="99"/>
      <x:c r="R314" s="99"/>
      <x:c r="S314" s="99"/>
      <x:c r="T314" s="99"/>
      <x:c r="U314" s="99"/>
      <x:c r="V314" s="99"/>
      <x:c r="W314" s="99"/>
      <x:c r="X314" s="99"/>
      <x:c r="Y314" s="99"/>
      <x:c r="Z314" s="99"/>
    </x:row>
    <x:row r="315">
      <x:c r="A315" s="99"/>
      <x:c r="B315" s="99"/>
      <x:c r="C315" s="99"/>
      <x:c r="D315" s="99"/>
      <x:c r="E315" s="99"/>
      <x:c r="F315" s="99"/>
      <x:c r="G315" s="99"/>
      <x:c r="H315" s="99"/>
      <x:c r="I315" s="99"/>
      <x:c r="J315" s="99"/>
      <x:c r="K315" s="99"/>
      <x:c r="L315" s="99"/>
      <x:c r="M315" s="99"/>
      <x:c r="N315" s="99"/>
      <x:c r="O315" s="99"/>
      <x:c r="P315" s="99"/>
      <x:c r="Q315" s="99"/>
      <x:c r="R315" s="99"/>
      <x:c r="S315" s="99"/>
      <x:c r="T315" s="99"/>
      <x:c r="U315" s="99"/>
      <x:c r="V315" s="99"/>
      <x:c r="W315" s="99"/>
      <x:c r="X315" s="99"/>
      <x:c r="Y315" s="99"/>
      <x:c r="Z315" s="99"/>
    </x:row>
    <x:row r="316">
      <x:c r="A316" s="99"/>
      <x:c r="B316" s="99"/>
      <x:c r="C316" s="99"/>
      <x:c r="D316" s="99"/>
      <x:c r="E316" s="99"/>
      <x:c r="F316" s="99"/>
      <x:c r="G316" s="99"/>
      <x:c r="H316" s="99"/>
      <x:c r="I316" s="99"/>
      <x:c r="J316" s="99"/>
      <x:c r="K316" s="99"/>
      <x:c r="L316" s="99"/>
      <x:c r="M316" s="99"/>
      <x:c r="N316" s="99"/>
      <x:c r="O316" s="99"/>
      <x:c r="P316" s="99"/>
      <x:c r="Q316" s="99"/>
      <x:c r="R316" s="99"/>
      <x:c r="S316" s="99"/>
      <x:c r="T316" s="99"/>
      <x:c r="U316" s="99"/>
      <x:c r="V316" s="99"/>
      <x:c r="W316" s="99"/>
      <x:c r="X316" s="99"/>
      <x:c r="Y316" s="99"/>
      <x:c r="Z316" s="99"/>
    </x:row>
    <x:row r="317">
      <x:c r="A317" s="99"/>
      <x:c r="B317" s="99"/>
      <x:c r="C317" s="99"/>
      <x:c r="D317" s="99"/>
      <x:c r="E317" s="99"/>
      <x:c r="F317" s="99"/>
      <x:c r="G317" s="99"/>
      <x:c r="H317" s="99"/>
      <x:c r="I317" s="99"/>
      <x:c r="J317" s="99"/>
      <x:c r="K317" s="99"/>
      <x:c r="L317" s="99"/>
      <x:c r="M317" s="99"/>
      <x:c r="N317" s="99"/>
      <x:c r="O317" s="99"/>
      <x:c r="P317" s="99"/>
      <x:c r="Q317" s="99"/>
      <x:c r="R317" s="99"/>
      <x:c r="S317" s="99"/>
      <x:c r="T317" s="99"/>
      <x:c r="U317" s="99"/>
      <x:c r="V317" s="99"/>
      <x:c r="W317" s="99"/>
      <x:c r="X317" s="99"/>
      <x:c r="Y317" s="99"/>
      <x:c r="Z317" s="99"/>
    </x:row>
    <x:row r="318">
      <x:c r="A318" s="99"/>
      <x:c r="B318" s="99"/>
      <x:c r="C318" s="99"/>
      <x:c r="D318" s="99"/>
      <x:c r="E318" s="99"/>
      <x:c r="F318" s="99"/>
      <x:c r="G318" s="99"/>
      <x:c r="H318" s="99"/>
      <x:c r="I318" s="99"/>
      <x:c r="J318" s="99"/>
      <x:c r="K318" s="99"/>
      <x:c r="L318" s="99"/>
      <x:c r="M318" s="99"/>
      <x:c r="N318" s="99"/>
      <x:c r="O318" s="99"/>
      <x:c r="P318" s="99"/>
      <x:c r="Q318" s="99"/>
      <x:c r="R318" s="99"/>
      <x:c r="S318" s="99"/>
      <x:c r="T318" s="99"/>
      <x:c r="U318" s="99"/>
      <x:c r="V318" s="99"/>
      <x:c r="W318" s="99"/>
      <x:c r="X318" s="99"/>
      <x:c r="Y318" s="99"/>
      <x:c r="Z318" s="99"/>
    </x:row>
    <x:row r="319">
      <x:c r="A319" s="99"/>
      <x:c r="B319" s="99"/>
      <x:c r="C319" s="99"/>
      <x:c r="D319" s="99"/>
      <x:c r="E319" s="99"/>
      <x:c r="F319" s="99"/>
      <x:c r="G319" s="99"/>
      <x:c r="H319" s="99"/>
      <x:c r="I319" s="99"/>
      <x:c r="J319" s="99"/>
      <x:c r="K319" s="99"/>
      <x:c r="L319" s="99"/>
      <x:c r="M319" s="99"/>
      <x:c r="N319" s="99"/>
      <x:c r="O319" s="99"/>
      <x:c r="P319" s="99"/>
      <x:c r="Q319" s="99"/>
      <x:c r="R319" s="99"/>
      <x:c r="S319" s="99"/>
      <x:c r="T319" s="99"/>
      <x:c r="U319" s="99"/>
      <x:c r="V319" s="99"/>
      <x:c r="W319" s="99"/>
      <x:c r="X319" s="99"/>
      <x:c r="Y319" s="99"/>
      <x:c r="Z319" s="99"/>
    </x:row>
    <x:row r="320">
      <x:c r="A320" s="99"/>
      <x:c r="B320" s="99"/>
      <x:c r="C320" s="99"/>
      <x:c r="D320" s="99"/>
      <x:c r="E320" s="99"/>
      <x:c r="F320" s="99"/>
      <x:c r="G320" s="99"/>
      <x:c r="H320" s="99"/>
      <x:c r="I320" s="99"/>
      <x:c r="J320" s="99"/>
      <x:c r="K320" s="99"/>
      <x:c r="L320" s="99"/>
      <x:c r="M320" s="99"/>
      <x:c r="N320" s="99"/>
      <x:c r="O320" s="99"/>
      <x:c r="P320" s="99"/>
      <x:c r="Q320" s="99"/>
      <x:c r="R320" s="99"/>
      <x:c r="S320" s="99"/>
      <x:c r="T320" s="99"/>
      <x:c r="U320" s="99"/>
      <x:c r="V320" s="99"/>
      <x:c r="W320" s="99"/>
      <x:c r="X320" s="99"/>
      <x:c r="Y320" s="99"/>
      <x:c r="Z320" s="99"/>
    </x:row>
    <x:row r="321">
      <x:c r="A321" s="99"/>
      <x:c r="B321" s="99"/>
      <x:c r="C321" s="99"/>
      <x:c r="D321" s="99"/>
      <x:c r="E321" s="99"/>
      <x:c r="F321" s="99"/>
      <x:c r="G321" s="99"/>
      <x:c r="H321" s="99"/>
      <x:c r="I321" s="99"/>
      <x:c r="J321" s="99"/>
      <x:c r="K321" s="99"/>
      <x:c r="L321" s="99"/>
      <x:c r="M321" s="99"/>
      <x:c r="N321" s="99"/>
      <x:c r="O321" s="99"/>
      <x:c r="P321" s="99"/>
      <x:c r="Q321" s="99"/>
      <x:c r="R321" s="99"/>
      <x:c r="S321" s="99"/>
      <x:c r="T321" s="99"/>
      <x:c r="U321" s="99"/>
      <x:c r="V321" s="99"/>
      <x:c r="W321" s="99"/>
      <x:c r="X321" s="99"/>
      <x:c r="Y321" s="99"/>
      <x:c r="Z321" s="99"/>
    </x:row>
    <x:row r="322">
      <x:c r="A322" s="99"/>
      <x:c r="B322" s="99"/>
      <x:c r="C322" s="99"/>
      <x:c r="D322" s="99"/>
      <x:c r="E322" s="99"/>
      <x:c r="F322" s="99"/>
      <x:c r="G322" s="99"/>
      <x:c r="H322" s="99"/>
      <x:c r="I322" s="99"/>
      <x:c r="J322" s="99"/>
      <x:c r="K322" s="99"/>
      <x:c r="L322" s="99"/>
      <x:c r="M322" s="99"/>
      <x:c r="N322" s="99"/>
      <x:c r="O322" s="99"/>
      <x:c r="P322" s="99"/>
      <x:c r="Q322" s="99"/>
      <x:c r="R322" s="99"/>
      <x:c r="S322" s="99"/>
      <x:c r="T322" s="99"/>
      <x:c r="U322" s="99"/>
      <x:c r="V322" s="99"/>
      <x:c r="W322" s="99"/>
      <x:c r="X322" s="99"/>
      <x:c r="Y322" s="99"/>
      <x:c r="Z322" s="99"/>
    </x:row>
    <x:row r="323">
      <x:c r="A323" s="99"/>
      <x:c r="B323" s="99"/>
      <x:c r="C323" s="99"/>
      <x:c r="D323" s="99"/>
      <x:c r="E323" s="99"/>
      <x:c r="F323" s="99"/>
      <x:c r="G323" s="99"/>
      <x:c r="H323" s="99"/>
      <x:c r="I323" s="99"/>
      <x:c r="J323" s="99"/>
      <x:c r="K323" s="99"/>
      <x:c r="L323" s="99"/>
      <x:c r="M323" s="99"/>
      <x:c r="N323" s="99"/>
      <x:c r="O323" s="99"/>
      <x:c r="P323" s="99"/>
      <x:c r="Q323" s="99"/>
      <x:c r="R323" s="99"/>
      <x:c r="S323" s="99"/>
      <x:c r="T323" s="99"/>
      <x:c r="U323" s="99"/>
      <x:c r="V323" s="99"/>
      <x:c r="W323" s="99"/>
      <x:c r="X323" s="99"/>
      <x:c r="Y323" s="99"/>
      <x:c r="Z323" s="99"/>
    </x:row>
    <x:row r="324">
      <x:c r="A324" s="99"/>
      <x:c r="B324" s="99"/>
      <x:c r="C324" s="99"/>
      <x:c r="D324" s="99"/>
      <x:c r="E324" s="99"/>
      <x:c r="F324" s="99"/>
      <x:c r="G324" s="99"/>
      <x:c r="H324" s="99"/>
      <x:c r="I324" s="99"/>
      <x:c r="J324" s="99"/>
      <x:c r="K324" s="99"/>
      <x:c r="L324" s="99"/>
      <x:c r="M324" s="99"/>
      <x:c r="N324" s="99"/>
      <x:c r="O324" s="99"/>
      <x:c r="P324" s="99"/>
      <x:c r="Q324" s="99"/>
      <x:c r="R324" s="99"/>
      <x:c r="S324" s="99"/>
      <x:c r="T324" s="99"/>
      <x:c r="U324" s="99"/>
      <x:c r="V324" s="99"/>
      <x:c r="W324" s="99"/>
      <x:c r="X324" s="99"/>
      <x:c r="Y324" s="99"/>
      <x:c r="Z324" s="99"/>
    </x:row>
    <x:row r="325">
      <x:c r="A325" s="99"/>
      <x:c r="B325" s="99"/>
      <x:c r="C325" s="99"/>
      <x:c r="D325" s="99"/>
      <x:c r="E325" s="99"/>
      <x:c r="F325" s="99"/>
      <x:c r="G325" s="99"/>
      <x:c r="H325" s="99"/>
      <x:c r="I325" s="99"/>
      <x:c r="J325" s="99"/>
      <x:c r="K325" s="99"/>
      <x:c r="L325" s="99"/>
      <x:c r="M325" s="99"/>
      <x:c r="N325" s="99"/>
      <x:c r="O325" s="99"/>
      <x:c r="P325" s="99"/>
      <x:c r="Q325" s="99"/>
      <x:c r="R325" s="99"/>
      <x:c r="S325" s="99"/>
      <x:c r="T325" s="99"/>
      <x:c r="U325" s="99"/>
      <x:c r="V325" s="99"/>
      <x:c r="W325" s="99"/>
      <x:c r="X325" s="99"/>
      <x:c r="Y325" s="99"/>
      <x:c r="Z325" s="99"/>
    </x:row>
    <x:row r="326">
      <x:c r="A326" s="99"/>
      <x:c r="B326" s="99"/>
      <x:c r="C326" s="99"/>
      <x:c r="D326" s="99"/>
      <x:c r="E326" s="99"/>
      <x:c r="F326" s="99"/>
      <x:c r="G326" s="99"/>
      <x:c r="H326" s="99"/>
      <x:c r="I326" s="99"/>
      <x:c r="J326" s="99"/>
      <x:c r="K326" s="99"/>
      <x:c r="L326" s="99"/>
      <x:c r="M326" s="99"/>
      <x:c r="N326" s="99"/>
      <x:c r="O326" s="99"/>
      <x:c r="P326" s="99"/>
      <x:c r="Q326" s="99"/>
      <x:c r="R326" s="99"/>
      <x:c r="S326" s="99"/>
      <x:c r="T326" s="99"/>
      <x:c r="U326" s="99"/>
      <x:c r="V326" s="99"/>
      <x:c r="W326" s="99"/>
      <x:c r="X326" s="99"/>
      <x:c r="Y326" s="99"/>
      <x:c r="Z326" s="99"/>
    </x:row>
    <x:row r="327">
      <x:c r="A327" s="99"/>
      <x:c r="B327" s="99"/>
      <x:c r="C327" s="99"/>
      <x:c r="D327" s="99"/>
      <x:c r="E327" s="99"/>
      <x:c r="F327" s="99"/>
      <x:c r="G327" s="99"/>
      <x:c r="H327" s="99"/>
      <x:c r="I327" s="99"/>
      <x:c r="J327" s="99"/>
      <x:c r="K327" s="99"/>
      <x:c r="L327" s="99"/>
      <x:c r="M327" s="99"/>
      <x:c r="N327" s="99"/>
      <x:c r="O327" s="99"/>
      <x:c r="P327" s="99"/>
      <x:c r="Q327" s="99"/>
      <x:c r="R327" s="99"/>
      <x:c r="S327" s="99"/>
      <x:c r="T327" s="99"/>
      <x:c r="U327" s="99"/>
      <x:c r="V327" s="99"/>
      <x:c r="W327" s="99"/>
      <x:c r="X327" s="99"/>
      <x:c r="Y327" s="99"/>
      <x:c r="Z327" s="99"/>
    </x:row>
    <x:row r="328">
      <x:c r="A328" s="99"/>
      <x:c r="B328" s="99"/>
      <x:c r="C328" s="99"/>
      <x:c r="D328" s="99"/>
      <x:c r="E328" s="99"/>
      <x:c r="F328" s="99"/>
      <x:c r="G328" s="99"/>
      <x:c r="H328" s="99"/>
      <x:c r="I328" s="99"/>
      <x:c r="J328" s="99"/>
      <x:c r="K328" s="99"/>
      <x:c r="L328" s="99"/>
      <x:c r="M328" s="99"/>
      <x:c r="N328" s="99"/>
      <x:c r="O328" s="99"/>
      <x:c r="P328" s="99"/>
      <x:c r="Q328" s="99"/>
      <x:c r="R328" s="99"/>
      <x:c r="S328" s="99"/>
      <x:c r="T328" s="99"/>
      <x:c r="U328" s="99"/>
      <x:c r="V328" s="99"/>
      <x:c r="W328" s="99"/>
      <x:c r="X328" s="99"/>
      <x:c r="Y328" s="99"/>
      <x:c r="Z328" s="99"/>
    </x:row>
    <x:row r="329">
      <x:c r="A329" s="99"/>
      <x:c r="B329" s="99"/>
      <x:c r="C329" s="99"/>
      <x:c r="D329" s="99"/>
      <x:c r="E329" s="99"/>
      <x:c r="F329" s="99"/>
      <x:c r="G329" s="99"/>
      <x:c r="H329" s="99"/>
      <x:c r="I329" s="99"/>
      <x:c r="J329" s="99"/>
      <x:c r="K329" s="99"/>
      <x:c r="L329" s="99"/>
      <x:c r="M329" s="99"/>
      <x:c r="N329" s="99"/>
      <x:c r="O329" s="99"/>
      <x:c r="P329" s="99"/>
      <x:c r="Q329" s="99"/>
      <x:c r="R329" s="99"/>
      <x:c r="S329" s="99"/>
      <x:c r="T329" s="99"/>
      <x:c r="U329" s="99"/>
      <x:c r="V329" s="99"/>
      <x:c r="W329" s="99"/>
      <x:c r="X329" s="99"/>
      <x:c r="Y329" s="99"/>
      <x:c r="Z329" s="99"/>
    </x:row>
    <x:row r="330">
      <x:c r="A330" s="99"/>
      <x:c r="B330" s="99"/>
      <x:c r="C330" s="99"/>
      <x:c r="D330" s="99"/>
      <x:c r="E330" s="99"/>
      <x:c r="F330" s="99"/>
      <x:c r="G330" s="99"/>
      <x:c r="H330" s="99"/>
      <x:c r="I330" s="99"/>
      <x:c r="J330" s="99"/>
      <x:c r="K330" s="99"/>
      <x:c r="L330" s="99"/>
      <x:c r="M330" s="99"/>
      <x:c r="N330" s="99"/>
      <x:c r="O330" s="99"/>
      <x:c r="P330" s="99"/>
      <x:c r="Q330" s="99"/>
      <x:c r="R330" s="99"/>
      <x:c r="S330" s="99"/>
      <x:c r="T330" s="99"/>
      <x:c r="U330" s="99"/>
      <x:c r="V330" s="99"/>
      <x:c r="W330" s="99"/>
      <x:c r="X330" s="99"/>
      <x:c r="Y330" s="99"/>
      <x:c r="Z330" s="99"/>
    </x:row>
    <x:row r="331">
      <x:c r="A331" s="99"/>
      <x:c r="B331" s="99"/>
      <x:c r="C331" s="99"/>
      <x:c r="D331" s="99"/>
      <x:c r="E331" s="99"/>
      <x:c r="F331" s="99"/>
      <x:c r="G331" s="99"/>
      <x:c r="H331" s="99"/>
      <x:c r="I331" s="99"/>
      <x:c r="J331" s="99"/>
      <x:c r="K331" s="99"/>
      <x:c r="L331" s="99"/>
      <x:c r="M331" s="99"/>
      <x:c r="N331" s="99"/>
      <x:c r="O331" s="99"/>
      <x:c r="P331" s="99"/>
      <x:c r="Q331" s="99"/>
      <x:c r="R331" s="99"/>
      <x:c r="S331" s="99"/>
      <x:c r="T331" s="99"/>
      <x:c r="U331" s="99"/>
      <x:c r="V331" s="99"/>
      <x:c r="W331" s="99"/>
      <x:c r="X331" s="99"/>
      <x:c r="Y331" s="99"/>
      <x:c r="Z331" s="99"/>
    </x:row>
    <x:row r="332">
      <x:c r="A332" s="99"/>
      <x:c r="B332" s="99"/>
      <x:c r="C332" s="99"/>
      <x:c r="D332" s="99"/>
      <x:c r="E332" s="99"/>
      <x:c r="F332" s="99"/>
      <x:c r="G332" s="99"/>
      <x:c r="H332" s="99"/>
      <x:c r="I332" s="99"/>
      <x:c r="J332" s="99"/>
      <x:c r="K332" s="99"/>
      <x:c r="L332" s="99"/>
      <x:c r="M332" s="99"/>
      <x:c r="N332" s="99"/>
      <x:c r="O332" s="99"/>
      <x:c r="P332" s="99"/>
      <x:c r="Q332" s="99"/>
      <x:c r="R332" s="99"/>
      <x:c r="S332" s="99"/>
      <x:c r="T332" s="99"/>
      <x:c r="U332" s="99"/>
      <x:c r="V332" s="99"/>
      <x:c r="W332" s="99"/>
      <x:c r="X332" s="99"/>
      <x:c r="Y332" s="99"/>
      <x:c r="Z332" s="99"/>
    </x:row>
    <x:row r="333">
      <x:c r="A333" s="99"/>
      <x:c r="B333" s="99"/>
      <x:c r="C333" s="99"/>
      <x:c r="D333" s="99"/>
      <x:c r="E333" s="99"/>
      <x:c r="F333" s="99"/>
      <x:c r="G333" s="99"/>
      <x:c r="H333" s="99"/>
      <x:c r="I333" s="99"/>
      <x:c r="J333" s="99"/>
      <x:c r="K333" s="99"/>
      <x:c r="L333" s="99"/>
      <x:c r="M333" s="99"/>
      <x:c r="N333" s="99"/>
      <x:c r="O333" s="99"/>
      <x:c r="P333" s="99"/>
      <x:c r="Q333" s="99"/>
      <x:c r="R333" s="99"/>
      <x:c r="S333" s="99"/>
      <x:c r="T333" s="99"/>
      <x:c r="U333" s="99"/>
      <x:c r="V333" s="99"/>
      <x:c r="W333" s="99"/>
      <x:c r="X333" s="99"/>
      <x:c r="Y333" s="99"/>
      <x:c r="Z333" s="99"/>
    </x:row>
    <x:row r="334">
      <x:c r="A334" s="99"/>
      <x:c r="B334" s="99"/>
      <x:c r="C334" s="99"/>
      <x:c r="D334" s="99"/>
      <x:c r="E334" s="99"/>
      <x:c r="F334" s="99"/>
      <x:c r="G334" s="99"/>
      <x:c r="H334" s="99"/>
      <x:c r="I334" s="99"/>
      <x:c r="J334" s="99"/>
      <x:c r="K334" s="99"/>
      <x:c r="L334" s="99"/>
      <x:c r="M334" s="99"/>
      <x:c r="N334" s="99"/>
      <x:c r="O334" s="99"/>
      <x:c r="P334" s="99"/>
      <x:c r="Q334" s="99"/>
      <x:c r="R334" s="99"/>
      <x:c r="S334" s="99"/>
      <x:c r="T334" s="99"/>
      <x:c r="U334" s="99"/>
      <x:c r="V334" s="99"/>
      <x:c r="W334" s="99"/>
      <x:c r="X334" s="99"/>
      <x:c r="Y334" s="99"/>
      <x:c r="Z334" s="99"/>
    </x:row>
    <x:row r="335">
      <x:c r="A335" s="99"/>
      <x:c r="B335" s="99"/>
      <x:c r="C335" s="99"/>
      <x:c r="D335" s="99"/>
      <x:c r="E335" s="99"/>
      <x:c r="F335" s="99"/>
      <x:c r="G335" s="99"/>
      <x:c r="H335" s="99"/>
      <x:c r="I335" s="99"/>
      <x:c r="J335" s="99"/>
      <x:c r="K335" s="99"/>
      <x:c r="L335" s="99"/>
      <x:c r="M335" s="99"/>
      <x:c r="N335" s="99"/>
      <x:c r="O335" s="99"/>
      <x:c r="P335" s="99"/>
      <x:c r="Q335" s="99"/>
      <x:c r="R335" s="99"/>
      <x:c r="S335" s="99"/>
      <x:c r="T335" s="99"/>
      <x:c r="U335" s="99"/>
      <x:c r="V335" s="99"/>
      <x:c r="W335" s="99"/>
      <x:c r="X335" s="99"/>
      <x:c r="Y335" s="99"/>
      <x:c r="Z335" s="99"/>
    </x:row>
    <x:row r="336">
      <x:c r="A336" s="99"/>
      <x:c r="B336" s="99"/>
      <x:c r="C336" s="99"/>
      <x:c r="D336" s="99"/>
      <x:c r="E336" s="99"/>
      <x:c r="F336" s="99"/>
      <x:c r="G336" s="99"/>
      <x:c r="H336" s="99"/>
      <x:c r="I336" s="99"/>
      <x:c r="J336" s="99"/>
      <x:c r="K336" s="99"/>
      <x:c r="L336" s="99"/>
      <x:c r="M336" s="99"/>
      <x:c r="N336" s="99"/>
      <x:c r="O336" s="99"/>
      <x:c r="P336" s="99"/>
      <x:c r="Q336" s="99"/>
      <x:c r="R336" s="99"/>
      <x:c r="S336" s="99"/>
      <x:c r="T336" s="99"/>
      <x:c r="U336" s="99"/>
      <x:c r="V336" s="99"/>
      <x:c r="W336" s="99"/>
      <x:c r="X336" s="99"/>
      <x:c r="Y336" s="99"/>
      <x:c r="Z336" s="99"/>
    </x:row>
    <x:row r="337">
      <x:c r="A337" s="99"/>
      <x:c r="B337" s="99"/>
      <x:c r="C337" s="99"/>
      <x:c r="D337" s="99"/>
      <x:c r="E337" s="99"/>
      <x:c r="F337" s="99"/>
      <x:c r="G337" s="99"/>
      <x:c r="H337" s="99"/>
      <x:c r="I337" s="99"/>
      <x:c r="J337" s="99"/>
      <x:c r="K337" s="99"/>
      <x:c r="L337" s="99"/>
      <x:c r="M337" s="99"/>
      <x:c r="N337" s="99"/>
      <x:c r="O337" s="99"/>
      <x:c r="P337" s="99"/>
      <x:c r="Q337" s="99"/>
      <x:c r="R337" s="99"/>
      <x:c r="S337" s="99"/>
      <x:c r="T337" s="99"/>
      <x:c r="U337" s="99"/>
      <x:c r="V337" s="99"/>
      <x:c r="W337" s="99"/>
      <x:c r="X337" s="99"/>
      <x:c r="Y337" s="99"/>
      <x:c r="Z337" s="99"/>
    </x:row>
    <x:row r="338">
      <x:c r="A338" s="99"/>
      <x:c r="B338" s="99"/>
      <x:c r="C338" s="99"/>
      <x:c r="D338" s="99"/>
      <x:c r="E338" s="99"/>
      <x:c r="F338" s="99"/>
      <x:c r="G338" s="99"/>
      <x:c r="H338" s="99"/>
      <x:c r="I338" s="99"/>
      <x:c r="J338" s="99"/>
      <x:c r="K338" s="99"/>
      <x:c r="L338" s="99"/>
      <x:c r="M338" s="99"/>
      <x:c r="N338" s="99"/>
      <x:c r="O338" s="99"/>
      <x:c r="P338" s="99"/>
      <x:c r="Q338" s="99"/>
      <x:c r="R338" s="99"/>
      <x:c r="S338" s="99"/>
      <x:c r="T338" s="99"/>
      <x:c r="U338" s="99"/>
      <x:c r="V338" s="99"/>
      <x:c r="W338" s="99"/>
      <x:c r="X338" s="99"/>
      <x:c r="Y338" s="99"/>
      <x:c r="Z338" s="99"/>
    </x:row>
    <x:row r="339">
      <x:c r="A339" s="99"/>
      <x:c r="B339" s="99"/>
      <x:c r="C339" s="99"/>
      <x:c r="D339" s="99"/>
      <x:c r="E339" s="99"/>
      <x:c r="F339" s="99"/>
      <x:c r="G339" s="99"/>
      <x:c r="H339" s="99"/>
      <x:c r="I339" s="99"/>
      <x:c r="J339" s="99"/>
      <x:c r="K339" s="99"/>
      <x:c r="L339" s="99"/>
      <x:c r="M339" s="99"/>
      <x:c r="N339" s="99"/>
      <x:c r="O339" s="99"/>
      <x:c r="P339" s="99"/>
      <x:c r="Q339" s="99"/>
      <x:c r="R339" s="99"/>
      <x:c r="S339" s="99"/>
      <x:c r="T339" s="99"/>
      <x:c r="U339" s="99"/>
      <x:c r="V339" s="99"/>
      <x:c r="W339" s="99"/>
      <x:c r="X339" s="99"/>
      <x:c r="Y339" s="99"/>
      <x:c r="Z339" s="99"/>
    </x:row>
    <x:row r="340">
      <x:c r="A340" s="99"/>
      <x:c r="B340" s="99"/>
      <x:c r="C340" s="99"/>
      <x:c r="D340" s="99"/>
      <x:c r="E340" s="99"/>
      <x:c r="F340" s="99"/>
      <x:c r="G340" s="99"/>
      <x:c r="H340" s="99"/>
      <x:c r="I340" s="99"/>
      <x:c r="J340" s="99"/>
      <x:c r="K340" s="99"/>
      <x:c r="L340" s="99"/>
      <x:c r="M340" s="99"/>
      <x:c r="N340" s="99"/>
      <x:c r="O340" s="99"/>
      <x:c r="P340" s="99"/>
      <x:c r="Q340" s="99"/>
      <x:c r="R340" s="99"/>
      <x:c r="S340" s="99"/>
      <x:c r="T340" s="99"/>
      <x:c r="U340" s="99"/>
      <x:c r="V340" s="99"/>
      <x:c r="W340" s="99"/>
      <x:c r="X340" s="99"/>
      <x:c r="Y340" s="99"/>
      <x:c r="Z340" s="99"/>
    </x:row>
    <x:row r="341">
      <x:c r="A341" s="99"/>
      <x:c r="B341" s="99"/>
      <x:c r="C341" s="99"/>
      <x:c r="D341" s="99"/>
      <x:c r="E341" s="99"/>
      <x:c r="F341" s="99"/>
      <x:c r="G341" s="99"/>
      <x:c r="H341" s="99"/>
      <x:c r="I341" s="99"/>
      <x:c r="J341" s="99"/>
      <x:c r="K341" s="99"/>
      <x:c r="L341" s="99"/>
      <x:c r="M341" s="99"/>
      <x:c r="N341" s="99"/>
      <x:c r="O341" s="99"/>
      <x:c r="P341" s="99"/>
      <x:c r="Q341" s="99"/>
      <x:c r="R341" s="99"/>
      <x:c r="S341" s="99"/>
      <x:c r="T341" s="99"/>
      <x:c r="U341" s="99"/>
      <x:c r="V341" s="99"/>
      <x:c r="W341" s="99"/>
      <x:c r="X341" s="99"/>
      <x:c r="Y341" s="99"/>
      <x:c r="Z341" s="99"/>
    </x:row>
    <x:row r="342">
      <x:c r="A342" s="99"/>
      <x:c r="B342" s="99"/>
      <x:c r="C342" s="99"/>
      <x:c r="D342" s="99"/>
      <x:c r="E342" s="99"/>
      <x:c r="F342" s="99"/>
      <x:c r="G342" s="99"/>
      <x:c r="H342" s="99"/>
      <x:c r="I342" s="99"/>
      <x:c r="J342" s="99"/>
      <x:c r="K342" s="99"/>
      <x:c r="L342" s="99"/>
      <x:c r="M342" s="99"/>
      <x:c r="N342" s="99"/>
      <x:c r="O342" s="99"/>
      <x:c r="P342" s="99"/>
      <x:c r="Q342" s="99"/>
      <x:c r="R342" s="99"/>
      <x:c r="S342" s="99"/>
      <x:c r="T342" s="99"/>
      <x:c r="U342" s="99"/>
      <x:c r="V342" s="99"/>
      <x:c r="W342" s="99"/>
      <x:c r="X342" s="99"/>
      <x:c r="Y342" s="99"/>
      <x:c r="Z342" s="99"/>
    </x:row>
    <x:row r="343">
      <x:c r="A343" s="99"/>
      <x:c r="B343" s="99"/>
      <x:c r="C343" s="99"/>
      <x:c r="D343" s="99"/>
      <x:c r="E343" s="99"/>
      <x:c r="F343" s="99"/>
      <x:c r="G343" s="99"/>
      <x:c r="H343" s="99"/>
      <x:c r="I343" s="99"/>
      <x:c r="J343" s="99"/>
      <x:c r="K343" s="99"/>
      <x:c r="L343" s="99"/>
      <x:c r="M343" s="99"/>
      <x:c r="N343" s="99"/>
      <x:c r="O343" s="99"/>
      <x:c r="P343" s="99"/>
      <x:c r="Q343" s="99"/>
      <x:c r="R343" s="99"/>
      <x:c r="S343" s="99"/>
      <x:c r="T343" s="99"/>
      <x:c r="U343" s="99"/>
      <x:c r="V343" s="99"/>
      <x:c r="W343" s="99"/>
      <x:c r="X343" s="99"/>
      <x:c r="Y343" s="99"/>
      <x:c r="Z343" s="99"/>
    </x:row>
    <x:row r="344">
      <x:c r="A344" s="99"/>
      <x:c r="B344" s="99"/>
      <x:c r="C344" s="99"/>
      <x:c r="D344" s="99"/>
      <x:c r="E344" s="99"/>
      <x:c r="F344" s="99"/>
      <x:c r="G344" s="99"/>
      <x:c r="H344" s="99"/>
      <x:c r="I344" s="99"/>
      <x:c r="J344" s="99"/>
      <x:c r="K344" s="99"/>
      <x:c r="L344" s="99"/>
      <x:c r="M344" s="99"/>
      <x:c r="N344" s="99"/>
      <x:c r="O344" s="99"/>
      <x:c r="P344" s="99"/>
      <x:c r="Q344" s="99"/>
      <x:c r="R344" s="99"/>
      <x:c r="S344" s="99"/>
      <x:c r="T344" s="99"/>
      <x:c r="U344" s="99"/>
      <x:c r="V344" s="99"/>
      <x:c r="W344" s="99"/>
      <x:c r="X344" s="99"/>
      <x:c r="Y344" s="99"/>
      <x:c r="Z344" s="99"/>
    </x:row>
    <x:row r="345">
      <x:c r="A345" s="99"/>
      <x:c r="B345" s="99"/>
      <x:c r="C345" s="99"/>
      <x:c r="D345" s="99"/>
      <x:c r="E345" s="99"/>
      <x:c r="F345" s="99"/>
      <x:c r="G345" s="99"/>
      <x:c r="H345" s="99"/>
      <x:c r="I345" s="99"/>
      <x:c r="J345" s="99"/>
      <x:c r="K345" s="99"/>
      <x:c r="L345" s="99"/>
      <x:c r="M345" s="99"/>
      <x:c r="N345" s="99"/>
      <x:c r="O345" s="99"/>
      <x:c r="P345" s="99"/>
      <x:c r="Q345" s="99"/>
      <x:c r="R345" s="99"/>
      <x:c r="S345" s="99"/>
      <x:c r="T345" s="99"/>
      <x:c r="U345" s="99"/>
      <x:c r="V345" s="99"/>
      <x:c r="W345" s="99"/>
      <x:c r="X345" s="99"/>
      <x:c r="Y345" s="99"/>
      <x:c r="Z345" s="99"/>
    </x:row>
    <x:row r="346">
      <x:c r="A346" s="99"/>
      <x:c r="B346" s="99"/>
      <x:c r="C346" s="99"/>
      <x:c r="D346" s="99"/>
      <x:c r="E346" s="99"/>
      <x:c r="F346" s="99"/>
      <x:c r="G346" s="99"/>
      <x:c r="H346" s="99"/>
      <x:c r="I346" s="99"/>
      <x:c r="J346" s="99"/>
      <x:c r="K346" s="99"/>
      <x:c r="L346" s="99"/>
      <x:c r="M346" s="99"/>
      <x:c r="N346" s="99"/>
      <x:c r="O346" s="99"/>
      <x:c r="P346" s="99"/>
      <x:c r="Q346" s="99"/>
      <x:c r="R346" s="99"/>
      <x:c r="S346" s="99"/>
      <x:c r="T346" s="99"/>
      <x:c r="U346" s="99"/>
      <x:c r="V346" s="99"/>
      <x:c r="W346" s="99"/>
      <x:c r="X346" s="99"/>
      <x:c r="Y346" s="99"/>
      <x:c r="Z346" s="99"/>
    </x:row>
    <x:row r="347">
      <x:c r="A347" s="99"/>
      <x:c r="B347" s="99"/>
      <x:c r="C347" s="99"/>
      <x:c r="D347" s="99"/>
      <x:c r="E347" s="99"/>
      <x:c r="F347" s="99"/>
      <x:c r="G347" s="99"/>
      <x:c r="H347" s="99"/>
      <x:c r="I347" s="99"/>
      <x:c r="J347" s="99"/>
      <x:c r="K347" s="99"/>
      <x:c r="L347" s="99"/>
      <x:c r="M347" s="99"/>
      <x:c r="N347" s="99"/>
      <x:c r="O347" s="99"/>
      <x:c r="P347" s="99"/>
      <x:c r="Q347" s="99"/>
      <x:c r="R347" s="99"/>
      <x:c r="S347" s="99"/>
      <x:c r="T347" s="99"/>
      <x:c r="U347" s="99"/>
      <x:c r="V347" s="99"/>
      <x:c r="W347" s="99"/>
      <x:c r="X347" s="99"/>
      <x:c r="Y347" s="99"/>
      <x:c r="Z347" s="99"/>
    </x:row>
    <x:row r="348">
      <x:c r="A348" s="99"/>
      <x:c r="B348" s="99"/>
      <x:c r="C348" s="99"/>
      <x:c r="D348" s="99"/>
      <x:c r="E348" s="99"/>
      <x:c r="F348" s="99"/>
      <x:c r="G348" s="99"/>
      <x:c r="H348" s="99"/>
      <x:c r="I348" s="99"/>
      <x:c r="J348" s="99"/>
      <x:c r="K348" s="99"/>
      <x:c r="L348" s="99"/>
      <x:c r="M348" s="99"/>
      <x:c r="N348" s="99"/>
      <x:c r="O348" s="99"/>
      <x:c r="P348" s="99"/>
      <x:c r="Q348" s="99"/>
      <x:c r="R348" s="99"/>
      <x:c r="S348" s="99"/>
      <x:c r="T348" s="99"/>
      <x:c r="U348" s="99"/>
      <x:c r="V348" s="99"/>
      <x:c r="W348" s="99"/>
      <x:c r="X348" s="99"/>
      <x:c r="Y348" s="99"/>
      <x:c r="Z348" s="99"/>
    </x:row>
    <x:row r="349">
      <x:c r="A349" s="99"/>
      <x:c r="B349" s="99"/>
      <x:c r="C349" s="99"/>
      <x:c r="D349" s="99"/>
      <x:c r="E349" s="99"/>
      <x:c r="F349" s="99"/>
      <x:c r="G349" s="99"/>
      <x:c r="H349" s="99"/>
      <x:c r="I349" s="99"/>
      <x:c r="J349" s="99"/>
      <x:c r="K349" s="99"/>
      <x:c r="L349" s="99"/>
      <x:c r="M349" s="99"/>
      <x:c r="N349" s="99"/>
      <x:c r="O349" s="99"/>
      <x:c r="P349" s="99"/>
      <x:c r="Q349" s="99"/>
      <x:c r="R349" s="99"/>
      <x:c r="S349" s="99"/>
      <x:c r="T349" s="99"/>
      <x:c r="U349" s="99"/>
      <x:c r="V349" s="99"/>
      <x:c r="W349" s="99"/>
      <x:c r="X349" s="99"/>
      <x:c r="Y349" s="99"/>
      <x:c r="Z349" s="99"/>
    </x:row>
    <x:row r="350">
      <x:c r="A350" s="99"/>
      <x:c r="B350" s="99"/>
      <x:c r="C350" s="99"/>
      <x:c r="D350" s="99"/>
      <x:c r="E350" s="99"/>
      <x:c r="F350" s="99"/>
      <x:c r="G350" s="99"/>
      <x:c r="H350" s="99"/>
      <x:c r="I350" s="99"/>
      <x:c r="J350" s="99"/>
      <x:c r="K350" s="99"/>
      <x:c r="L350" s="99"/>
      <x:c r="M350" s="99"/>
      <x:c r="N350" s="99"/>
      <x:c r="O350" s="99"/>
      <x:c r="P350" s="99"/>
      <x:c r="Q350" s="99"/>
      <x:c r="R350" s="99"/>
      <x:c r="S350" s="99"/>
      <x:c r="T350" s="99"/>
      <x:c r="U350" s="99"/>
      <x:c r="V350" s="99"/>
      <x:c r="W350" s="99"/>
      <x:c r="X350" s="99"/>
      <x:c r="Y350" s="99"/>
      <x:c r="Z350" s="99"/>
    </x:row>
    <x:row r="351">
      <x:c r="A351" s="99"/>
      <x:c r="B351" s="99"/>
      <x:c r="C351" s="99"/>
      <x:c r="D351" s="99"/>
      <x:c r="E351" s="99"/>
      <x:c r="F351" s="99"/>
      <x:c r="G351" s="99"/>
      <x:c r="H351" s="99"/>
      <x:c r="I351" s="99"/>
      <x:c r="J351" s="99"/>
      <x:c r="K351" s="99"/>
      <x:c r="L351" s="99"/>
      <x:c r="M351" s="99"/>
      <x:c r="N351" s="99"/>
      <x:c r="O351" s="99"/>
      <x:c r="P351" s="99"/>
      <x:c r="Q351" s="99"/>
      <x:c r="R351" s="99"/>
      <x:c r="S351" s="99"/>
      <x:c r="T351" s="99"/>
      <x:c r="U351" s="99"/>
      <x:c r="V351" s="99"/>
      <x:c r="W351" s="99"/>
      <x:c r="X351" s="99"/>
      <x:c r="Y351" s="99"/>
      <x:c r="Z351" s="99"/>
    </x:row>
    <x:row r="352">
      <x:c r="A352" s="99"/>
      <x:c r="B352" s="99"/>
      <x:c r="C352" s="99"/>
      <x:c r="D352" s="99"/>
      <x:c r="E352" s="99"/>
      <x:c r="F352" s="99"/>
      <x:c r="G352" s="99"/>
      <x:c r="H352" s="99"/>
      <x:c r="I352" s="99"/>
      <x:c r="J352" s="99"/>
      <x:c r="K352" s="99"/>
      <x:c r="L352" s="99"/>
      <x:c r="M352" s="99"/>
      <x:c r="N352" s="99"/>
      <x:c r="O352" s="99"/>
      <x:c r="P352" s="99"/>
      <x:c r="Q352" s="99"/>
      <x:c r="R352" s="99"/>
      <x:c r="S352" s="99"/>
      <x:c r="T352" s="99"/>
      <x:c r="U352" s="99"/>
      <x:c r="V352" s="99"/>
      <x:c r="W352" s="99"/>
      <x:c r="X352" s="99"/>
      <x:c r="Y352" s="99"/>
      <x:c r="Z352" s="99"/>
    </x:row>
    <x:row r="353">
      <x:c r="A353" s="99"/>
      <x:c r="B353" s="99"/>
      <x:c r="C353" s="99"/>
      <x:c r="D353" s="99"/>
      <x:c r="E353" s="99"/>
      <x:c r="F353" s="99"/>
      <x:c r="G353" s="99"/>
      <x:c r="H353" s="99"/>
      <x:c r="I353" s="99"/>
      <x:c r="J353" s="99"/>
      <x:c r="K353" s="99"/>
      <x:c r="L353" s="99"/>
      <x:c r="M353" s="99"/>
      <x:c r="N353" s="99"/>
      <x:c r="O353" s="99"/>
      <x:c r="P353" s="99"/>
      <x:c r="Q353" s="99"/>
      <x:c r="R353" s="99"/>
      <x:c r="S353" s="99"/>
      <x:c r="T353" s="99"/>
      <x:c r="U353" s="99"/>
      <x:c r="V353" s="99"/>
      <x:c r="W353" s="99"/>
      <x:c r="X353" s="99"/>
      <x:c r="Y353" s="99"/>
      <x:c r="Z353" s="99"/>
    </x:row>
    <x:row r="354">
      <x:c r="A354" s="99"/>
      <x:c r="B354" s="99"/>
      <x:c r="C354" s="99"/>
      <x:c r="D354" s="99"/>
      <x:c r="E354" s="99"/>
      <x:c r="F354" s="99"/>
      <x:c r="G354" s="99"/>
      <x:c r="H354" s="99"/>
      <x:c r="I354" s="99"/>
      <x:c r="J354" s="99"/>
      <x:c r="K354" s="99"/>
      <x:c r="L354" s="99"/>
      <x:c r="M354" s="99"/>
      <x:c r="N354" s="99"/>
      <x:c r="O354" s="99"/>
      <x:c r="P354" s="99"/>
      <x:c r="Q354" s="99"/>
      <x:c r="R354" s="99"/>
      <x:c r="S354" s="99"/>
      <x:c r="T354" s="99"/>
      <x:c r="U354" s="99"/>
      <x:c r="V354" s="99"/>
      <x:c r="W354" s="99"/>
      <x:c r="X354" s="99"/>
      <x:c r="Y354" s="99"/>
      <x:c r="Z354" s="99"/>
    </x:row>
    <x:row r="355">
      <x:c r="A355" s="99"/>
      <x:c r="B355" s="99"/>
      <x:c r="C355" s="99"/>
      <x:c r="D355" s="99"/>
      <x:c r="E355" s="99"/>
      <x:c r="F355" s="99"/>
      <x:c r="G355" s="99"/>
      <x:c r="H355" s="99"/>
      <x:c r="I355" s="99"/>
      <x:c r="J355" s="99"/>
      <x:c r="K355" s="99"/>
      <x:c r="L355" s="99"/>
      <x:c r="M355" s="99"/>
      <x:c r="N355" s="99"/>
      <x:c r="O355" s="99"/>
      <x:c r="P355" s="99"/>
      <x:c r="Q355" s="99"/>
      <x:c r="R355" s="99"/>
      <x:c r="S355" s="99"/>
      <x:c r="T355" s="99"/>
      <x:c r="U355" s="99"/>
      <x:c r="V355" s="99"/>
      <x:c r="W355" s="99"/>
      <x:c r="X355" s="99"/>
      <x:c r="Y355" s="99"/>
      <x:c r="Z355" s="99"/>
    </x:row>
    <x:row r="356">
      <x:c r="A356" s="99"/>
      <x:c r="B356" s="99"/>
      <x:c r="C356" s="99"/>
      <x:c r="D356" s="99"/>
      <x:c r="E356" s="99"/>
      <x:c r="F356" s="99"/>
      <x:c r="G356" s="99"/>
      <x:c r="H356" s="99"/>
      <x:c r="I356" s="99"/>
      <x:c r="J356" s="99"/>
      <x:c r="K356" s="99"/>
      <x:c r="L356" s="99"/>
      <x:c r="M356" s="99"/>
      <x:c r="N356" s="99"/>
      <x:c r="O356" s="99"/>
      <x:c r="P356" s="99"/>
      <x:c r="Q356" s="99"/>
      <x:c r="R356" s="99"/>
      <x:c r="S356" s="99"/>
      <x:c r="T356" s="99"/>
      <x:c r="U356" s="99"/>
      <x:c r="V356" s="99"/>
      <x:c r="W356" s="99"/>
      <x:c r="X356" s="99"/>
      <x:c r="Y356" s="99"/>
      <x:c r="Z356" s="99"/>
    </x:row>
    <x:row r="357">
      <x:c r="A357" s="99"/>
      <x:c r="B357" s="99"/>
      <x:c r="C357" s="99"/>
      <x:c r="D357" s="99"/>
      <x:c r="E357" s="99"/>
      <x:c r="F357" s="99"/>
      <x:c r="G357" s="99"/>
      <x:c r="H357" s="99"/>
      <x:c r="I357" s="99"/>
      <x:c r="J357" s="99"/>
      <x:c r="K357" s="99"/>
      <x:c r="L357" s="99"/>
      <x:c r="M357" s="99"/>
      <x:c r="N357" s="99"/>
      <x:c r="O357" s="99"/>
      <x:c r="P357" s="99"/>
      <x:c r="Q357" s="99"/>
      <x:c r="R357" s="99"/>
      <x:c r="S357" s="99"/>
      <x:c r="T357" s="99"/>
      <x:c r="U357" s="99"/>
      <x:c r="V357" s="99"/>
      <x:c r="W357" s="99"/>
      <x:c r="X357" s="99"/>
      <x:c r="Y357" s="99"/>
      <x:c r="Z357" s="99"/>
    </x:row>
    <x:row r="358">
      <x:c r="A358" s="99"/>
      <x:c r="B358" s="99"/>
      <x:c r="C358" s="99"/>
      <x:c r="D358" s="99"/>
      <x:c r="E358" s="99"/>
      <x:c r="F358" s="99"/>
      <x:c r="G358" s="99"/>
      <x:c r="H358" s="99"/>
      <x:c r="I358" s="99"/>
      <x:c r="J358" s="99"/>
      <x:c r="K358" s="99"/>
      <x:c r="L358" s="99"/>
      <x:c r="M358" s="99"/>
      <x:c r="N358" s="99"/>
      <x:c r="O358" s="99"/>
      <x:c r="P358" s="99"/>
      <x:c r="Q358" s="99"/>
      <x:c r="R358" s="99"/>
      <x:c r="S358" s="99"/>
      <x:c r="T358" s="99"/>
      <x:c r="U358" s="99"/>
      <x:c r="V358" s="99"/>
      <x:c r="W358" s="99"/>
      <x:c r="X358" s="99"/>
      <x:c r="Y358" s="99"/>
      <x:c r="Z358" s="99"/>
    </x:row>
    <x:row r="359">
      <x:c r="A359" s="99"/>
      <x:c r="B359" s="99"/>
      <x:c r="C359" s="99"/>
      <x:c r="D359" s="99"/>
      <x:c r="E359" s="99"/>
      <x:c r="F359" s="99"/>
      <x:c r="G359" s="99"/>
      <x:c r="H359" s="99"/>
      <x:c r="I359" s="99"/>
      <x:c r="J359" s="99"/>
      <x:c r="K359" s="99"/>
      <x:c r="L359" s="99"/>
      <x:c r="M359" s="99"/>
      <x:c r="N359" s="99"/>
      <x:c r="O359" s="99"/>
      <x:c r="P359" s="99"/>
      <x:c r="Q359" s="99"/>
      <x:c r="R359" s="99"/>
      <x:c r="S359" s="99"/>
      <x:c r="T359" s="99"/>
      <x:c r="U359" s="99"/>
      <x:c r="V359" s="99"/>
      <x:c r="W359" s="99"/>
      <x:c r="X359" s="99"/>
      <x:c r="Y359" s="99"/>
      <x:c r="Z359" s="99"/>
    </x:row>
    <x:row r="360">
      <x:c r="A360" s="99"/>
      <x:c r="B360" s="99"/>
      <x:c r="C360" s="99"/>
      <x:c r="D360" s="99"/>
      <x:c r="E360" s="99"/>
      <x:c r="F360" s="99"/>
      <x:c r="G360" s="99"/>
      <x:c r="H360" s="99"/>
      <x:c r="I360" s="99"/>
      <x:c r="J360" s="99"/>
      <x:c r="K360" s="99"/>
      <x:c r="L360" s="99"/>
      <x:c r="M360" s="99"/>
      <x:c r="N360" s="99"/>
      <x:c r="O360" s="99"/>
      <x:c r="P360" s="99"/>
      <x:c r="Q360" s="99"/>
      <x:c r="R360" s="99"/>
      <x:c r="S360" s="99"/>
      <x:c r="T360" s="99"/>
      <x:c r="U360" s="99"/>
      <x:c r="V360" s="99"/>
      <x:c r="W360" s="99"/>
      <x:c r="X360" s="99"/>
      <x:c r="Y360" s="99"/>
      <x:c r="Z360" s="99"/>
    </x:row>
    <x:row r="361">
      <x:c r="A361" s="99"/>
      <x:c r="B361" s="99"/>
      <x:c r="C361" s="99"/>
      <x:c r="D361" s="99"/>
      <x:c r="E361" s="99"/>
      <x:c r="F361" s="99"/>
      <x:c r="G361" s="99"/>
      <x:c r="H361" s="99"/>
      <x:c r="I361" s="99"/>
      <x:c r="J361" s="99"/>
      <x:c r="K361" s="99"/>
      <x:c r="L361" s="99"/>
      <x:c r="M361" s="99"/>
      <x:c r="N361" s="99"/>
      <x:c r="O361" s="99"/>
      <x:c r="P361" s="99"/>
      <x:c r="Q361" s="99"/>
      <x:c r="R361" s="99"/>
      <x:c r="S361" s="99"/>
      <x:c r="T361" s="99"/>
      <x:c r="U361" s="99"/>
      <x:c r="V361" s="99"/>
      <x:c r="W361" s="99"/>
      <x:c r="X361" s="99"/>
      <x:c r="Y361" s="99"/>
      <x:c r="Z361" s="99"/>
    </x:row>
    <x:row r="362">
      <x:c r="A362" s="99"/>
      <x:c r="B362" s="99"/>
      <x:c r="C362" s="99"/>
      <x:c r="D362" s="99"/>
      <x:c r="E362" s="99"/>
      <x:c r="F362" s="99"/>
      <x:c r="G362" s="99"/>
      <x:c r="H362" s="99"/>
      <x:c r="I362" s="99"/>
      <x:c r="J362" s="99"/>
      <x:c r="K362" s="99"/>
      <x:c r="L362" s="99"/>
      <x:c r="M362" s="99"/>
      <x:c r="N362" s="99"/>
      <x:c r="O362" s="99"/>
      <x:c r="P362" s="99"/>
      <x:c r="Q362" s="99"/>
      <x:c r="R362" s="99"/>
      <x:c r="S362" s="99"/>
      <x:c r="T362" s="99"/>
      <x:c r="U362" s="99"/>
      <x:c r="V362" s="99"/>
      <x:c r="W362" s="99"/>
      <x:c r="X362" s="99"/>
      <x:c r="Y362" s="99"/>
      <x:c r="Z362" s="99"/>
    </x:row>
    <x:row r="363">
      <x:c r="A363" s="99"/>
      <x:c r="B363" s="99"/>
      <x:c r="C363" s="99"/>
      <x:c r="D363" s="99"/>
      <x:c r="E363" s="99"/>
      <x:c r="F363" s="99"/>
      <x:c r="G363" s="99"/>
      <x:c r="H363" s="99"/>
      <x:c r="I363" s="99"/>
      <x:c r="J363" s="99"/>
      <x:c r="K363" s="99"/>
      <x:c r="L363" s="99"/>
      <x:c r="M363" s="99"/>
      <x:c r="N363" s="99"/>
      <x:c r="O363" s="99"/>
      <x:c r="P363" s="99"/>
      <x:c r="Q363" s="99"/>
      <x:c r="R363" s="99"/>
      <x:c r="S363" s="99"/>
      <x:c r="T363" s="99"/>
      <x:c r="U363" s="99"/>
      <x:c r="V363" s="99"/>
      <x:c r="W363" s="99"/>
      <x:c r="X363" s="99"/>
      <x:c r="Y363" s="99"/>
      <x:c r="Z363" s="99"/>
    </x:row>
    <x:row r="364">
      <x:c r="A364" s="99"/>
      <x:c r="B364" s="99"/>
      <x:c r="C364" s="99"/>
      <x:c r="D364" s="99"/>
      <x:c r="E364" s="99"/>
      <x:c r="F364" s="99"/>
      <x:c r="G364" s="99"/>
      <x:c r="H364" s="99"/>
      <x:c r="I364" s="99"/>
      <x:c r="J364" s="99"/>
      <x:c r="K364" s="99"/>
      <x:c r="L364" s="99"/>
      <x:c r="M364" s="99"/>
      <x:c r="N364" s="99"/>
      <x:c r="O364" s="99"/>
      <x:c r="P364" s="99"/>
      <x:c r="Q364" s="99"/>
      <x:c r="R364" s="99"/>
      <x:c r="S364" s="99"/>
      <x:c r="T364" s="99"/>
      <x:c r="U364" s="99"/>
      <x:c r="V364" s="99"/>
      <x:c r="W364" s="99"/>
      <x:c r="X364" s="99"/>
      <x:c r="Y364" s="99"/>
      <x:c r="Z364" s="99"/>
    </x:row>
    <x:row r="365">
      <x:c r="A365" s="99"/>
      <x:c r="B365" s="99"/>
      <x:c r="C365" s="99"/>
      <x:c r="D365" s="99"/>
      <x:c r="E365" s="99"/>
      <x:c r="F365" s="99"/>
      <x:c r="G365" s="99"/>
      <x:c r="H365" s="99"/>
      <x:c r="I365" s="99"/>
      <x:c r="J365" s="99"/>
      <x:c r="K365" s="99"/>
      <x:c r="L365" s="99"/>
      <x:c r="M365" s="99"/>
      <x:c r="N365" s="99"/>
      <x:c r="O365" s="99"/>
      <x:c r="P365" s="99"/>
      <x:c r="Q365" s="99"/>
      <x:c r="R365" s="99"/>
      <x:c r="S365" s="99"/>
      <x:c r="T365" s="99"/>
      <x:c r="U365" s="99"/>
      <x:c r="V365" s="99"/>
      <x:c r="W365" s="99"/>
      <x:c r="X365" s="99"/>
      <x:c r="Y365" s="99"/>
      <x:c r="Z365" s="99"/>
    </x:row>
    <x:row r="366">
      <x:c r="A366" s="99"/>
      <x:c r="B366" s="99"/>
      <x:c r="C366" s="99"/>
      <x:c r="D366" s="99"/>
      <x:c r="E366" s="99"/>
      <x:c r="F366" s="99"/>
      <x:c r="G366" s="99"/>
      <x:c r="H366" s="99"/>
      <x:c r="I366" s="99"/>
      <x:c r="J366" s="99"/>
      <x:c r="K366" s="99"/>
      <x:c r="L366" s="99"/>
      <x:c r="M366" s="99"/>
      <x:c r="N366" s="99"/>
      <x:c r="O366" s="99"/>
      <x:c r="P366" s="99"/>
      <x:c r="Q366" s="99"/>
      <x:c r="R366" s="99"/>
      <x:c r="S366" s="99"/>
      <x:c r="T366" s="99"/>
      <x:c r="U366" s="99"/>
      <x:c r="V366" s="99"/>
      <x:c r="W366" s="99"/>
      <x:c r="X366" s="99"/>
      <x:c r="Y366" s="99"/>
      <x:c r="Z366" s="99"/>
    </x:row>
    <x:row r="367">
      <x:c r="A367" s="99"/>
      <x:c r="B367" s="99"/>
      <x:c r="C367" s="99"/>
      <x:c r="D367" s="99"/>
      <x:c r="E367" s="99"/>
      <x:c r="F367" s="99"/>
      <x:c r="G367" s="99"/>
      <x:c r="H367" s="99"/>
      <x:c r="I367" s="99"/>
      <x:c r="J367" s="99"/>
      <x:c r="K367" s="99"/>
      <x:c r="L367" s="99"/>
      <x:c r="M367" s="99"/>
      <x:c r="N367" s="99"/>
      <x:c r="O367" s="99"/>
      <x:c r="P367" s="99"/>
      <x:c r="Q367" s="99"/>
      <x:c r="R367" s="99"/>
      <x:c r="S367" s="99"/>
      <x:c r="T367" s="99"/>
      <x:c r="U367" s="99"/>
      <x:c r="V367" s="99"/>
      <x:c r="W367" s="99"/>
      <x:c r="X367" s="99"/>
      <x:c r="Y367" s="99"/>
      <x:c r="Z367" s="99"/>
    </x:row>
    <x:row r="368">
      <x:c r="A368" s="99"/>
      <x:c r="B368" s="99"/>
      <x:c r="C368" s="99"/>
      <x:c r="D368" s="99"/>
      <x:c r="E368" s="99"/>
      <x:c r="F368" s="99"/>
      <x:c r="G368" s="99"/>
      <x:c r="H368" s="99"/>
      <x:c r="I368" s="99"/>
      <x:c r="J368" s="99"/>
      <x:c r="K368" s="99"/>
      <x:c r="L368" s="99"/>
      <x:c r="M368" s="99"/>
      <x:c r="N368" s="99"/>
      <x:c r="O368" s="99"/>
      <x:c r="P368" s="99"/>
      <x:c r="Q368" s="99"/>
      <x:c r="R368" s="99"/>
      <x:c r="S368" s="99"/>
      <x:c r="T368" s="99"/>
      <x:c r="U368" s="99"/>
      <x:c r="V368" s="99"/>
      <x:c r="W368" s="99"/>
      <x:c r="X368" s="99"/>
      <x:c r="Y368" s="99"/>
      <x:c r="Z368" s="99"/>
    </x:row>
    <x:row r="369">
      <x:c r="A369" s="99"/>
      <x:c r="B369" s="99"/>
      <x:c r="C369" s="99"/>
      <x:c r="D369" s="99"/>
      <x:c r="E369" s="99"/>
      <x:c r="F369" s="99"/>
      <x:c r="G369" s="99"/>
      <x:c r="H369" s="99"/>
      <x:c r="I369" s="99"/>
      <x:c r="J369" s="99"/>
      <x:c r="K369" s="99"/>
      <x:c r="L369" s="99"/>
      <x:c r="M369" s="99"/>
      <x:c r="N369" s="99"/>
      <x:c r="O369" s="99"/>
      <x:c r="P369" s="99"/>
      <x:c r="Q369" s="99"/>
      <x:c r="R369" s="99"/>
      <x:c r="S369" s="99"/>
      <x:c r="T369" s="99"/>
      <x:c r="U369" s="99"/>
      <x:c r="V369" s="99"/>
      <x:c r="W369" s="99"/>
      <x:c r="X369" s="99"/>
      <x:c r="Y369" s="99"/>
      <x:c r="Z369" s="99"/>
    </x:row>
    <x:row r="370">
      <x:c r="A370" s="99"/>
      <x:c r="B370" s="99"/>
      <x:c r="C370" s="99"/>
      <x:c r="D370" s="99"/>
      <x:c r="E370" s="99"/>
      <x:c r="F370" s="99"/>
      <x:c r="G370" s="99"/>
      <x:c r="H370" s="99"/>
      <x:c r="I370" s="99"/>
      <x:c r="J370" s="99"/>
      <x:c r="K370" s="99"/>
      <x:c r="L370" s="99"/>
      <x:c r="M370" s="99"/>
      <x:c r="N370" s="99"/>
      <x:c r="O370" s="99"/>
      <x:c r="P370" s="99"/>
      <x:c r="Q370" s="99"/>
      <x:c r="R370" s="99"/>
      <x:c r="S370" s="99"/>
      <x:c r="T370" s="99"/>
      <x:c r="U370" s="99"/>
      <x:c r="V370" s="99"/>
      <x:c r="W370" s="99"/>
      <x:c r="X370" s="99"/>
      <x:c r="Y370" s="99"/>
      <x:c r="Z370" s="99"/>
    </x:row>
    <x:row r="371">
      <x:c r="A371" s="99"/>
      <x:c r="B371" s="99"/>
      <x:c r="C371" s="99"/>
      <x:c r="D371" s="99"/>
      <x:c r="E371" s="99"/>
      <x:c r="F371" s="99"/>
      <x:c r="G371" s="99"/>
      <x:c r="H371" s="99"/>
      <x:c r="I371" s="99"/>
      <x:c r="J371" s="99"/>
      <x:c r="K371" s="99"/>
      <x:c r="L371" s="99"/>
      <x:c r="M371" s="99"/>
      <x:c r="N371" s="99"/>
      <x:c r="O371" s="99"/>
      <x:c r="P371" s="99"/>
      <x:c r="Q371" s="99"/>
      <x:c r="R371" s="99"/>
      <x:c r="S371" s="99"/>
      <x:c r="T371" s="99"/>
      <x:c r="U371" s="99"/>
      <x:c r="V371" s="99"/>
      <x:c r="W371" s="99"/>
      <x:c r="X371" s="99"/>
      <x:c r="Y371" s="99"/>
      <x:c r="Z371" s="99"/>
    </x:row>
    <x:row r="372">
      <x:c r="A372" s="99"/>
      <x:c r="B372" s="99"/>
      <x:c r="C372" s="99"/>
      <x:c r="D372" s="99"/>
      <x:c r="E372" s="99"/>
      <x:c r="F372" s="99"/>
      <x:c r="G372" s="99"/>
      <x:c r="H372" s="99"/>
      <x:c r="I372" s="99"/>
      <x:c r="J372" s="99"/>
      <x:c r="K372" s="99"/>
      <x:c r="L372" s="99"/>
      <x:c r="M372" s="99"/>
      <x:c r="N372" s="99"/>
      <x:c r="O372" s="99"/>
      <x:c r="P372" s="99"/>
      <x:c r="Q372" s="99"/>
      <x:c r="R372" s="99"/>
      <x:c r="S372" s="99"/>
      <x:c r="T372" s="99"/>
      <x:c r="U372" s="99"/>
      <x:c r="V372" s="99"/>
      <x:c r="W372" s="99"/>
      <x:c r="X372" s="99"/>
      <x:c r="Y372" s="99"/>
      <x:c r="Z372" s="99"/>
    </x:row>
    <x:row r="373">
      <x:c r="A373" s="99"/>
      <x:c r="B373" s="99"/>
      <x:c r="C373" s="99"/>
      <x:c r="D373" s="99"/>
      <x:c r="E373" s="99"/>
      <x:c r="F373" s="99"/>
      <x:c r="G373" s="99"/>
      <x:c r="H373" s="99"/>
      <x:c r="I373" s="99"/>
      <x:c r="J373" s="99"/>
      <x:c r="K373" s="99"/>
      <x:c r="L373" s="99"/>
      <x:c r="M373" s="99"/>
      <x:c r="N373" s="99"/>
      <x:c r="O373" s="99"/>
      <x:c r="P373" s="99"/>
      <x:c r="Q373" s="99"/>
      <x:c r="R373" s="99"/>
      <x:c r="S373" s="99"/>
      <x:c r="T373" s="99"/>
      <x:c r="U373" s="99"/>
      <x:c r="V373" s="99"/>
      <x:c r="W373" s="99"/>
      <x:c r="X373" s="99"/>
      <x:c r="Y373" s="99"/>
      <x:c r="Z373" s="99"/>
    </x:row>
    <x:row r="374">
      <x:c r="A374" s="99"/>
      <x:c r="B374" s="99"/>
      <x:c r="C374" s="99"/>
      <x:c r="D374" s="99"/>
      <x:c r="E374" s="99"/>
      <x:c r="F374" s="99"/>
      <x:c r="G374" s="99"/>
      <x:c r="H374" s="99"/>
      <x:c r="I374" s="99"/>
      <x:c r="J374" s="99"/>
      <x:c r="K374" s="99"/>
      <x:c r="L374" s="99"/>
      <x:c r="M374" s="99"/>
      <x:c r="N374" s="99"/>
      <x:c r="O374" s="99"/>
      <x:c r="P374" s="99"/>
      <x:c r="Q374" s="99"/>
      <x:c r="R374" s="99"/>
      <x:c r="S374" s="99"/>
      <x:c r="T374" s="99"/>
      <x:c r="U374" s="99"/>
      <x:c r="V374" s="99"/>
      <x:c r="W374" s="99"/>
      <x:c r="X374" s="99"/>
      <x:c r="Y374" s="99"/>
      <x:c r="Z374" s="99"/>
    </x:row>
    <x:row r="375">
      <x:c r="A375" s="99"/>
      <x:c r="B375" s="99"/>
      <x:c r="C375" s="99"/>
      <x:c r="D375" s="99"/>
      <x:c r="E375" s="99"/>
      <x:c r="F375" s="99"/>
      <x:c r="G375" s="99"/>
      <x:c r="H375" s="99"/>
      <x:c r="I375" s="99"/>
      <x:c r="J375" s="99"/>
      <x:c r="K375" s="99"/>
      <x:c r="L375" s="99"/>
      <x:c r="M375" s="99"/>
      <x:c r="N375" s="99"/>
      <x:c r="O375" s="99"/>
      <x:c r="P375" s="99"/>
      <x:c r="Q375" s="99"/>
      <x:c r="R375" s="99"/>
      <x:c r="S375" s="99"/>
      <x:c r="T375" s="99"/>
      <x:c r="U375" s="99"/>
      <x:c r="V375" s="99"/>
      <x:c r="W375" s="99"/>
      <x:c r="X375" s="99"/>
      <x:c r="Y375" s="99"/>
      <x:c r="Z375" s="99"/>
    </x:row>
    <x:row r="376">
      <x:c r="A376" s="99"/>
      <x:c r="B376" s="99"/>
      <x:c r="C376" s="99"/>
      <x:c r="D376" s="99"/>
      <x:c r="E376" s="99"/>
      <x:c r="F376" s="99"/>
      <x:c r="G376" s="99"/>
      <x:c r="H376" s="99"/>
      <x:c r="I376" s="99"/>
      <x:c r="J376" s="99"/>
      <x:c r="K376" s="99"/>
      <x:c r="L376" s="99"/>
      <x:c r="M376" s="99"/>
      <x:c r="N376" s="99"/>
      <x:c r="O376" s="99"/>
      <x:c r="P376" s="99"/>
      <x:c r="Q376" s="99"/>
      <x:c r="R376" s="99"/>
      <x:c r="S376" s="99"/>
      <x:c r="T376" s="99"/>
      <x:c r="U376" s="99"/>
      <x:c r="V376" s="99"/>
      <x:c r="W376" s="99"/>
      <x:c r="X376" s="99"/>
      <x:c r="Y376" s="99"/>
      <x:c r="Z376" s="99"/>
    </x:row>
    <x:row r="377">
      <x:c r="A377" s="99"/>
      <x:c r="B377" s="99"/>
      <x:c r="C377" s="99"/>
      <x:c r="D377" s="99"/>
      <x:c r="E377" s="99"/>
      <x:c r="F377" s="99"/>
      <x:c r="G377" s="99"/>
      <x:c r="H377" s="99"/>
      <x:c r="I377" s="99"/>
      <x:c r="J377" s="99"/>
      <x:c r="K377" s="99"/>
      <x:c r="L377" s="99"/>
      <x:c r="M377" s="99"/>
      <x:c r="N377" s="99"/>
      <x:c r="O377" s="99"/>
      <x:c r="P377" s="99"/>
      <x:c r="Q377" s="99"/>
      <x:c r="R377" s="99"/>
      <x:c r="S377" s="99"/>
      <x:c r="T377" s="99"/>
      <x:c r="U377" s="99"/>
      <x:c r="V377" s="99"/>
      <x:c r="W377" s="99"/>
      <x:c r="X377" s="99"/>
      <x:c r="Y377" s="99"/>
      <x:c r="Z377" s="99"/>
    </x:row>
    <x:row r="378">
      <x:c r="A378" s="99"/>
      <x:c r="B378" s="99"/>
      <x:c r="C378" s="99"/>
      <x:c r="D378" s="99"/>
      <x:c r="E378" s="99"/>
      <x:c r="F378" s="99"/>
      <x:c r="G378" s="99"/>
      <x:c r="H378" s="99"/>
      <x:c r="I378" s="99"/>
      <x:c r="J378" s="99"/>
      <x:c r="K378" s="99"/>
      <x:c r="L378" s="99"/>
      <x:c r="M378" s="99"/>
      <x:c r="N378" s="99"/>
      <x:c r="O378" s="99"/>
      <x:c r="P378" s="99"/>
      <x:c r="Q378" s="99"/>
      <x:c r="R378" s="99"/>
      <x:c r="S378" s="99"/>
      <x:c r="T378" s="99"/>
      <x:c r="U378" s="99"/>
      <x:c r="V378" s="99"/>
      <x:c r="W378" s="99"/>
      <x:c r="X378" s="99"/>
      <x:c r="Y378" s="99"/>
      <x:c r="Z378" s="99"/>
    </x:row>
    <x:row r="379">
      <x:c r="A379" s="99"/>
      <x:c r="B379" s="99"/>
      <x:c r="C379" s="99"/>
      <x:c r="D379" s="99"/>
      <x:c r="E379" s="99"/>
      <x:c r="F379" s="99"/>
      <x:c r="G379" s="99"/>
      <x:c r="H379" s="99"/>
      <x:c r="I379" s="99"/>
      <x:c r="J379" s="99"/>
      <x:c r="K379" s="99"/>
      <x:c r="L379" s="99"/>
      <x:c r="M379" s="99"/>
      <x:c r="N379" s="99"/>
      <x:c r="O379" s="99"/>
      <x:c r="P379" s="99"/>
      <x:c r="Q379" s="99"/>
      <x:c r="R379" s="99"/>
      <x:c r="S379" s="99"/>
      <x:c r="T379" s="99"/>
      <x:c r="U379" s="99"/>
      <x:c r="V379" s="99"/>
      <x:c r="W379" s="99"/>
      <x:c r="X379" s="99"/>
      <x:c r="Y379" s="99"/>
      <x:c r="Z379" s="99"/>
    </x:row>
    <x:row r="380">
      <x:c r="A380" s="99"/>
      <x:c r="B380" s="99"/>
      <x:c r="C380" s="99"/>
      <x:c r="D380" s="99"/>
      <x:c r="E380" s="99"/>
      <x:c r="F380" s="99"/>
      <x:c r="G380" s="99"/>
      <x:c r="H380" s="99"/>
      <x:c r="I380" s="99"/>
      <x:c r="J380" s="99"/>
      <x:c r="K380" s="99"/>
      <x:c r="L380" s="99"/>
      <x:c r="M380" s="99"/>
      <x:c r="N380" s="99"/>
      <x:c r="O380" s="99"/>
      <x:c r="P380" s="99"/>
      <x:c r="Q380" s="99"/>
      <x:c r="R380" s="99"/>
      <x:c r="S380" s="99"/>
      <x:c r="T380" s="99"/>
      <x:c r="U380" s="99"/>
      <x:c r="V380" s="99"/>
      <x:c r="W380" s="99"/>
      <x:c r="X380" s="99"/>
      <x:c r="Y380" s="99"/>
      <x:c r="Z380" s="99"/>
    </x:row>
    <x:row r="381">
      <x:c r="A381" s="99"/>
      <x:c r="B381" s="99"/>
      <x:c r="C381" s="99"/>
      <x:c r="D381" s="99"/>
      <x:c r="E381" s="99"/>
      <x:c r="F381" s="99"/>
      <x:c r="G381" s="99"/>
      <x:c r="H381" s="99"/>
      <x:c r="I381" s="99"/>
      <x:c r="J381" s="99"/>
      <x:c r="K381" s="99"/>
      <x:c r="L381" s="99"/>
      <x:c r="M381" s="99"/>
      <x:c r="N381" s="99"/>
      <x:c r="O381" s="99"/>
      <x:c r="P381" s="99"/>
      <x:c r="Q381" s="99"/>
      <x:c r="R381" s="99"/>
      <x:c r="S381" s="99"/>
      <x:c r="T381" s="99"/>
      <x:c r="U381" s="99"/>
      <x:c r="V381" s="99"/>
      <x:c r="W381" s="99"/>
      <x:c r="X381" s="99"/>
      <x:c r="Y381" s="99"/>
      <x:c r="Z381" s="99"/>
    </x:row>
    <x:row r="382">
      <x:c r="A382" s="99"/>
      <x:c r="B382" s="99"/>
      <x:c r="C382" s="99"/>
      <x:c r="D382" s="99"/>
      <x:c r="E382" s="99"/>
      <x:c r="F382" s="99"/>
      <x:c r="G382" s="99"/>
      <x:c r="H382" s="99"/>
      <x:c r="I382" s="99"/>
      <x:c r="J382" s="99"/>
      <x:c r="K382" s="99"/>
      <x:c r="L382" s="99"/>
      <x:c r="M382" s="99"/>
      <x:c r="N382" s="99"/>
      <x:c r="O382" s="99"/>
      <x:c r="P382" s="99"/>
      <x:c r="Q382" s="99"/>
      <x:c r="R382" s="99"/>
      <x:c r="S382" s="99"/>
      <x:c r="T382" s="99"/>
      <x:c r="U382" s="99"/>
      <x:c r="V382" s="99"/>
      <x:c r="W382" s="99"/>
      <x:c r="X382" s="99"/>
      <x:c r="Y382" s="99"/>
      <x:c r="Z382" s="99"/>
    </x:row>
    <x:row r="383">
      <x:c r="A383" s="99"/>
      <x:c r="B383" s="99"/>
      <x:c r="C383" s="99"/>
      <x:c r="D383" s="99"/>
      <x:c r="E383" s="99"/>
      <x:c r="F383" s="99"/>
      <x:c r="G383" s="99"/>
      <x:c r="H383" s="99"/>
      <x:c r="I383" s="99"/>
      <x:c r="J383" s="99"/>
      <x:c r="K383" s="99"/>
      <x:c r="L383" s="99"/>
      <x:c r="M383" s="99"/>
      <x:c r="N383" s="99"/>
      <x:c r="O383" s="99"/>
      <x:c r="P383" s="99"/>
      <x:c r="Q383" s="99"/>
      <x:c r="R383" s="99"/>
      <x:c r="S383" s="99"/>
      <x:c r="T383" s="99"/>
      <x:c r="U383" s="99"/>
      <x:c r="V383" s="99"/>
      <x:c r="W383" s="99"/>
      <x:c r="X383" s="99"/>
      <x:c r="Y383" s="99"/>
      <x:c r="Z383" s="99"/>
    </x:row>
    <x:row r="384">
      <x:c r="A384" s="99"/>
      <x:c r="B384" s="99"/>
      <x:c r="C384" s="99"/>
      <x:c r="D384" s="99"/>
      <x:c r="E384" s="99"/>
      <x:c r="F384" s="99"/>
      <x:c r="G384" s="99"/>
      <x:c r="H384" s="99"/>
      <x:c r="I384" s="99"/>
      <x:c r="J384" s="99"/>
      <x:c r="K384" s="99"/>
      <x:c r="L384" s="99"/>
      <x:c r="M384" s="99"/>
      <x:c r="N384" s="99"/>
      <x:c r="O384" s="99"/>
      <x:c r="P384" s="99"/>
      <x:c r="Q384" s="99"/>
      <x:c r="R384" s="99"/>
      <x:c r="S384" s="99"/>
      <x:c r="T384" s="99"/>
      <x:c r="U384" s="99"/>
      <x:c r="V384" s="99"/>
      <x:c r="W384" s="99"/>
      <x:c r="X384" s="99"/>
      <x:c r="Y384" s="99"/>
      <x:c r="Z384" s="99"/>
    </x:row>
    <x:row r="385">
      <x:c r="A385" s="99"/>
      <x:c r="B385" s="99"/>
      <x:c r="C385" s="99"/>
      <x:c r="D385" s="99"/>
      <x:c r="E385" s="99"/>
      <x:c r="F385" s="99"/>
      <x:c r="G385" s="99"/>
      <x:c r="H385" s="99"/>
      <x:c r="I385" s="99"/>
      <x:c r="J385" s="99"/>
      <x:c r="K385" s="99"/>
      <x:c r="L385" s="99"/>
      <x:c r="M385" s="99"/>
      <x:c r="N385" s="99"/>
      <x:c r="O385" s="99"/>
      <x:c r="P385" s="99"/>
      <x:c r="Q385" s="99"/>
      <x:c r="R385" s="99"/>
      <x:c r="S385" s="99"/>
      <x:c r="T385" s="99"/>
      <x:c r="U385" s="99"/>
      <x:c r="V385" s="99"/>
      <x:c r="W385" s="99"/>
      <x:c r="X385" s="99"/>
      <x:c r="Y385" s="99"/>
      <x:c r="Z385" s="99"/>
    </x:row>
    <x:row r="386">
      <x:c r="A386" s="99"/>
      <x:c r="B386" s="99"/>
      <x:c r="C386" s="99"/>
      <x:c r="D386" s="99"/>
      <x:c r="E386" s="99"/>
      <x:c r="F386" s="99"/>
      <x:c r="G386" s="99"/>
      <x:c r="H386" s="99"/>
      <x:c r="I386" s="99"/>
      <x:c r="J386" s="99"/>
      <x:c r="K386" s="99"/>
      <x:c r="L386" s="99"/>
      <x:c r="M386" s="99"/>
      <x:c r="N386" s="99"/>
      <x:c r="O386" s="99"/>
      <x:c r="P386" s="99"/>
      <x:c r="Q386" s="99"/>
      <x:c r="R386" s="99"/>
      <x:c r="S386" s="99"/>
      <x:c r="T386" s="99"/>
      <x:c r="U386" s="99"/>
      <x:c r="V386" s="99"/>
      <x:c r="W386" s="99"/>
      <x:c r="X386" s="99"/>
      <x:c r="Y386" s="99"/>
      <x:c r="Z386" s="99"/>
    </x:row>
    <x:row r="387">
      <x:c r="A387" s="99"/>
      <x:c r="B387" s="99"/>
      <x:c r="C387" s="99"/>
      <x:c r="D387" s="99"/>
      <x:c r="E387" s="99"/>
      <x:c r="F387" s="99"/>
      <x:c r="G387" s="99"/>
      <x:c r="H387" s="99"/>
      <x:c r="I387" s="99"/>
      <x:c r="J387" s="99"/>
      <x:c r="K387" s="99"/>
      <x:c r="L387" s="99"/>
      <x:c r="M387" s="99"/>
      <x:c r="N387" s="99"/>
      <x:c r="O387" s="99"/>
      <x:c r="P387" s="99"/>
      <x:c r="Q387" s="99"/>
      <x:c r="R387" s="99"/>
      <x:c r="S387" s="99"/>
      <x:c r="T387" s="99"/>
      <x:c r="U387" s="99"/>
      <x:c r="V387" s="99"/>
      <x:c r="W387" s="99"/>
      <x:c r="X387" s="99"/>
      <x:c r="Y387" s="99"/>
      <x:c r="Z387" s="99"/>
    </x:row>
    <x:row r="388">
      <x:c r="A388" s="99"/>
      <x:c r="B388" s="99"/>
      <x:c r="C388" s="99"/>
      <x:c r="D388" s="99"/>
      <x:c r="E388" s="99"/>
      <x:c r="F388" s="99"/>
      <x:c r="G388" s="99"/>
      <x:c r="H388" s="99"/>
      <x:c r="I388" s="99"/>
      <x:c r="J388" s="99"/>
      <x:c r="K388" s="99"/>
      <x:c r="L388" s="99"/>
      <x:c r="M388" s="99"/>
      <x:c r="N388" s="99"/>
      <x:c r="O388" s="99"/>
      <x:c r="P388" s="99"/>
      <x:c r="Q388" s="99"/>
      <x:c r="R388" s="99"/>
      <x:c r="S388" s="99"/>
      <x:c r="T388" s="99"/>
      <x:c r="U388" s="99"/>
      <x:c r="V388" s="99"/>
      <x:c r="W388" s="99"/>
      <x:c r="X388" s="99"/>
      <x:c r="Y388" s="99"/>
      <x:c r="Z388" s="99"/>
    </x:row>
    <x:row r="389">
      <x:c r="A389" s="99"/>
      <x:c r="B389" s="99"/>
      <x:c r="C389" s="99"/>
      <x:c r="D389" s="99"/>
      <x:c r="E389" s="99"/>
      <x:c r="F389" s="99"/>
      <x:c r="G389" s="99"/>
      <x:c r="H389" s="99"/>
      <x:c r="I389" s="99"/>
      <x:c r="J389" s="99"/>
      <x:c r="K389" s="99"/>
      <x:c r="L389" s="99"/>
      <x:c r="M389" s="99"/>
      <x:c r="N389" s="99"/>
      <x:c r="O389" s="99"/>
      <x:c r="P389" s="99"/>
      <x:c r="Q389" s="99"/>
      <x:c r="R389" s="99"/>
      <x:c r="S389" s="99"/>
      <x:c r="T389" s="99"/>
      <x:c r="U389" s="99"/>
      <x:c r="V389" s="99"/>
      <x:c r="W389" s="99"/>
      <x:c r="X389" s="99"/>
      <x:c r="Y389" s="99"/>
      <x:c r="Z389" s="99"/>
    </x:row>
    <x:row r="390">
      <x:c r="A390" s="99"/>
      <x:c r="B390" s="99"/>
      <x:c r="C390" s="99"/>
      <x:c r="D390" s="99"/>
      <x:c r="E390" s="99"/>
      <x:c r="F390" s="99"/>
      <x:c r="G390" s="99"/>
      <x:c r="H390" s="99"/>
      <x:c r="I390" s="99"/>
      <x:c r="J390" s="99"/>
      <x:c r="K390" s="99"/>
      <x:c r="L390" s="99"/>
      <x:c r="M390" s="99"/>
      <x:c r="N390" s="99"/>
      <x:c r="O390" s="99"/>
      <x:c r="P390" s="99"/>
      <x:c r="Q390" s="99"/>
      <x:c r="R390" s="99"/>
      <x:c r="S390" s="99"/>
      <x:c r="T390" s="99"/>
      <x:c r="U390" s="99"/>
      <x:c r="V390" s="99"/>
      <x:c r="W390" s="99"/>
      <x:c r="X390" s="99"/>
      <x:c r="Y390" s="99"/>
      <x:c r="Z390" s="99"/>
    </x:row>
    <x:row r="391">
      <x:c r="A391" s="99"/>
      <x:c r="B391" s="99"/>
      <x:c r="C391" s="99"/>
      <x:c r="D391" s="99"/>
      <x:c r="E391" s="99"/>
      <x:c r="F391" s="99"/>
      <x:c r="G391" s="99"/>
      <x:c r="H391" s="99"/>
      <x:c r="I391" s="99"/>
      <x:c r="J391" s="99"/>
      <x:c r="K391" s="99"/>
      <x:c r="L391" s="99"/>
      <x:c r="M391" s="99"/>
      <x:c r="N391" s="99"/>
      <x:c r="O391" s="99"/>
      <x:c r="P391" s="99"/>
      <x:c r="Q391" s="99"/>
      <x:c r="R391" s="99"/>
      <x:c r="S391" s="99"/>
      <x:c r="T391" s="99"/>
      <x:c r="U391" s="99"/>
      <x:c r="V391" s="99"/>
      <x:c r="W391" s="99"/>
      <x:c r="X391" s="99"/>
      <x:c r="Y391" s="99"/>
      <x:c r="Z391" s="99"/>
    </x:row>
    <x:row r="392">
      <x:c r="A392" s="99"/>
      <x:c r="B392" s="99"/>
      <x:c r="C392" s="99"/>
      <x:c r="D392" s="99"/>
      <x:c r="E392" s="99"/>
      <x:c r="F392" s="99"/>
      <x:c r="G392" s="99"/>
      <x:c r="H392" s="99"/>
      <x:c r="I392" s="99"/>
      <x:c r="J392" s="99"/>
      <x:c r="K392" s="99"/>
      <x:c r="L392" s="99"/>
      <x:c r="M392" s="99"/>
      <x:c r="N392" s="99"/>
      <x:c r="O392" s="99"/>
      <x:c r="P392" s="99"/>
      <x:c r="Q392" s="99"/>
      <x:c r="R392" s="99"/>
      <x:c r="S392" s="99"/>
      <x:c r="T392" s="99"/>
      <x:c r="U392" s="99"/>
      <x:c r="V392" s="99"/>
      <x:c r="W392" s="99"/>
      <x:c r="X392" s="99"/>
      <x:c r="Y392" s="99"/>
      <x:c r="Z392" s="99"/>
    </x:row>
    <x:row r="393">
      <x:c r="A393" s="99"/>
      <x:c r="B393" s="99"/>
      <x:c r="C393" s="99"/>
      <x:c r="D393" s="99"/>
      <x:c r="E393" s="99"/>
      <x:c r="F393" s="99"/>
      <x:c r="G393" s="99"/>
      <x:c r="H393" s="99"/>
      <x:c r="I393" s="99"/>
      <x:c r="J393" s="99"/>
      <x:c r="K393" s="99"/>
      <x:c r="L393" s="99"/>
      <x:c r="M393" s="99"/>
      <x:c r="N393" s="99"/>
      <x:c r="O393" s="99"/>
      <x:c r="P393" s="99"/>
      <x:c r="Q393" s="99"/>
      <x:c r="R393" s="99"/>
      <x:c r="S393" s="99"/>
      <x:c r="T393" s="99"/>
      <x:c r="U393" s="99"/>
      <x:c r="V393" s="99"/>
      <x:c r="W393" s="99"/>
      <x:c r="X393" s="99"/>
      <x:c r="Y393" s="99"/>
      <x:c r="Z393" s="99"/>
    </x:row>
    <x:row r="394">
      <x:c r="A394" s="99"/>
      <x:c r="B394" s="99"/>
      <x:c r="C394" s="99"/>
      <x:c r="D394" s="99"/>
      <x:c r="E394" s="99"/>
      <x:c r="F394" s="99"/>
      <x:c r="G394" s="99"/>
      <x:c r="H394" s="99"/>
      <x:c r="I394" s="99"/>
      <x:c r="J394" s="99"/>
      <x:c r="K394" s="99"/>
      <x:c r="L394" s="99"/>
      <x:c r="M394" s="99"/>
      <x:c r="N394" s="99"/>
      <x:c r="O394" s="99"/>
      <x:c r="P394" s="99"/>
      <x:c r="Q394" s="99"/>
      <x:c r="R394" s="99"/>
      <x:c r="S394" s="99"/>
      <x:c r="T394" s="99"/>
      <x:c r="U394" s="99"/>
      <x:c r="V394" s="99"/>
      <x:c r="W394" s="99"/>
      <x:c r="X394" s="99"/>
      <x:c r="Y394" s="99"/>
      <x:c r="Z394" s="99"/>
    </x:row>
    <x:row r="395">
      <x:c r="A395" s="99"/>
      <x:c r="B395" s="99"/>
      <x:c r="C395" s="99"/>
      <x:c r="D395" s="99"/>
      <x:c r="E395" s="99"/>
      <x:c r="F395" s="99"/>
      <x:c r="G395" s="99"/>
      <x:c r="H395" s="99"/>
      <x:c r="I395" s="99"/>
      <x:c r="J395" s="99"/>
      <x:c r="K395" s="99"/>
      <x:c r="L395" s="99"/>
      <x:c r="M395" s="99"/>
      <x:c r="N395" s="99"/>
      <x:c r="O395" s="99"/>
      <x:c r="P395" s="99"/>
      <x:c r="Q395" s="99"/>
      <x:c r="R395" s="99"/>
      <x:c r="S395" s="99"/>
      <x:c r="T395" s="99"/>
      <x:c r="U395" s="99"/>
      <x:c r="V395" s="99"/>
      <x:c r="W395" s="99"/>
      <x:c r="X395" s="99"/>
      <x:c r="Y395" s="99"/>
      <x:c r="Z395" s="99"/>
    </x:row>
    <x:row r="396">
      <x:c r="A396" s="99"/>
      <x:c r="B396" s="99"/>
      <x:c r="C396" s="99"/>
      <x:c r="D396" s="99"/>
      <x:c r="E396" s="99"/>
      <x:c r="F396" s="99"/>
      <x:c r="G396" s="99"/>
      <x:c r="H396" s="99"/>
      <x:c r="I396" s="99"/>
      <x:c r="J396" s="99"/>
      <x:c r="K396" s="99"/>
      <x:c r="L396" s="99"/>
      <x:c r="M396" s="99"/>
      <x:c r="N396" s="99"/>
      <x:c r="O396" s="99"/>
      <x:c r="P396" s="99"/>
      <x:c r="Q396" s="99"/>
      <x:c r="R396" s="99"/>
      <x:c r="S396" s="99"/>
      <x:c r="T396" s="99"/>
      <x:c r="U396" s="99"/>
      <x:c r="V396" s="99"/>
      <x:c r="W396" s="99"/>
      <x:c r="X396" s="99"/>
      <x:c r="Y396" s="99"/>
      <x:c r="Z396" s="99"/>
    </x:row>
    <x:row r="397">
      <x:c r="A397" s="99"/>
      <x:c r="B397" s="99"/>
      <x:c r="C397" s="99"/>
      <x:c r="D397" s="99"/>
      <x:c r="E397" s="99"/>
      <x:c r="F397" s="99"/>
      <x:c r="G397" s="99"/>
      <x:c r="H397" s="99"/>
      <x:c r="I397" s="99"/>
      <x:c r="J397" s="99"/>
      <x:c r="K397" s="99"/>
      <x:c r="L397" s="99"/>
      <x:c r="M397" s="99"/>
      <x:c r="N397" s="99"/>
      <x:c r="O397" s="99"/>
      <x:c r="P397" s="99"/>
      <x:c r="Q397" s="99"/>
      <x:c r="R397" s="99"/>
      <x:c r="S397" s="99"/>
      <x:c r="T397" s="99"/>
      <x:c r="U397" s="99"/>
      <x:c r="V397" s="99"/>
      <x:c r="W397" s="99"/>
      <x:c r="X397" s="99"/>
      <x:c r="Y397" s="99"/>
      <x:c r="Z397" s="99"/>
    </x:row>
    <x:row r="398">
      <x:c r="A398" s="99"/>
      <x:c r="B398" s="99"/>
      <x:c r="C398" s="99"/>
      <x:c r="D398" s="99"/>
      <x:c r="E398" s="99"/>
      <x:c r="F398" s="99"/>
      <x:c r="G398" s="99"/>
      <x:c r="H398" s="99"/>
      <x:c r="I398" s="99"/>
      <x:c r="J398" s="99"/>
      <x:c r="K398" s="99"/>
      <x:c r="L398" s="99"/>
      <x:c r="M398" s="99"/>
      <x:c r="N398" s="99"/>
      <x:c r="O398" s="99"/>
      <x:c r="P398" s="99"/>
      <x:c r="Q398" s="99"/>
      <x:c r="R398" s="99"/>
      <x:c r="S398" s="99"/>
      <x:c r="T398" s="99"/>
      <x:c r="U398" s="99"/>
      <x:c r="V398" s="99"/>
      <x:c r="W398" s="99"/>
      <x:c r="X398" s="99"/>
      <x:c r="Y398" s="99"/>
      <x:c r="Z398" s="99"/>
    </x:row>
    <x:row r="399">
      <x:c r="A399" s="99"/>
      <x:c r="B399" s="99"/>
      <x:c r="C399" s="99"/>
      <x:c r="D399" s="99"/>
      <x:c r="E399" s="99"/>
      <x:c r="F399" s="99"/>
      <x:c r="G399" s="99"/>
      <x:c r="H399" s="99"/>
      <x:c r="I399" s="99"/>
      <x:c r="J399" s="99"/>
      <x:c r="K399" s="99"/>
      <x:c r="L399" s="99"/>
      <x:c r="M399" s="99"/>
      <x:c r="N399" s="99"/>
      <x:c r="O399" s="99"/>
      <x:c r="P399" s="99"/>
      <x:c r="Q399" s="99"/>
      <x:c r="R399" s="99"/>
      <x:c r="S399" s="99"/>
      <x:c r="T399" s="99"/>
      <x:c r="U399" s="99"/>
      <x:c r="V399" s="99"/>
      <x:c r="W399" s="99"/>
      <x:c r="X399" s="99"/>
      <x:c r="Y399" s="99"/>
      <x:c r="Z399" s="99"/>
    </x:row>
    <x:row r="400">
      <x:c r="A400" s="99"/>
      <x:c r="B400" s="99"/>
      <x:c r="C400" s="99"/>
      <x:c r="D400" s="99"/>
      <x:c r="E400" s="99"/>
      <x:c r="F400" s="99"/>
      <x:c r="G400" s="99"/>
      <x:c r="H400" s="99"/>
      <x:c r="I400" s="99"/>
      <x:c r="J400" s="99"/>
      <x:c r="K400" s="99"/>
      <x:c r="L400" s="99"/>
      <x:c r="M400" s="99"/>
      <x:c r="N400" s="99"/>
      <x:c r="O400" s="99"/>
      <x:c r="P400" s="99"/>
      <x:c r="Q400" s="99"/>
      <x:c r="R400" s="99"/>
      <x:c r="S400" s="99"/>
      <x:c r="T400" s="99"/>
      <x:c r="U400" s="99"/>
      <x:c r="V400" s="99"/>
      <x:c r="W400" s="99"/>
      <x:c r="X400" s="99"/>
      <x:c r="Y400" s="99"/>
      <x:c r="Z400" s="99"/>
    </x:row>
    <x:row r="401">
      <x:c r="A401" s="99"/>
      <x:c r="B401" s="99"/>
      <x:c r="C401" s="99"/>
      <x:c r="D401" s="99"/>
      <x:c r="E401" s="99"/>
      <x:c r="F401" s="99"/>
      <x:c r="G401" s="99"/>
      <x:c r="H401" s="99"/>
      <x:c r="I401" s="99"/>
      <x:c r="J401" s="99"/>
      <x:c r="K401" s="99"/>
      <x:c r="L401" s="99"/>
      <x:c r="M401" s="99"/>
      <x:c r="N401" s="99"/>
      <x:c r="O401" s="99"/>
      <x:c r="P401" s="99"/>
      <x:c r="Q401" s="99"/>
      <x:c r="R401" s="99"/>
      <x:c r="S401" s="99"/>
      <x:c r="T401" s="99"/>
      <x:c r="U401" s="99"/>
      <x:c r="V401" s="99"/>
      <x:c r="W401" s="99"/>
      <x:c r="X401" s="99"/>
      <x:c r="Y401" s="99"/>
      <x:c r="Z401" s="99"/>
    </x:row>
    <x:row r="402">
      <x:c r="A402" s="99"/>
      <x:c r="B402" s="99"/>
      <x:c r="C402" s="99"/>
      <x:c r="D402" s="99"/>
      <x:c r="E402" s="99"/>
      <x:c r="F402" s="99"/>
      <x:c r="G402" s="99"/>
      <x:c r="H402" s="99"/>
      <x:c r="I402" s="99"/>
      <x:c r="J402" s="99"/>
      <x:c r="K402" s="99"/>
      <x:c r="L402" s="99"/>
      <x:c r="M402" s="99"/>
      <x:c r="N402" s="99"/>
      <x:c r="O402" s="99"/>
      <x:c r="P402" s="99"/>
      <x:c r="Q402" s="99"/>
      <x:c r="R402" s="99"/>
      <x:c r="S402" s="99"/>
      <x:c r="T402" s="99"/>
      <x:c r="U402" s="99"/>
      <x:c r="V402" s="99"/>
      <x:c r="W402" s="99"/>
      <x:c r="X402" s="99"/>
      <x:c r="Y402" s="99"/>
      <x:c r="Z402" s="99"/>
    </x:row>
    <x:row r="403">
      <x:c r="A403" s="99"/>
      <x:c r="B403" s="99"/>
      <x:c r="C403" s="99"/>
      <x:c r="D403" s="99"/>
      <x:c r="E403" s="99"/>
      <x:c r="F403" s="99"/>
      <x:c r="G403" s="99"/>
      <x:c r="H403" s="99"/>
      <x:c r="I403" s="99"/>
      <x:c r="J403" s="99"/>
      <x:c r="K403" s="99"/>
      <x:c r="L403" s="99"/>
      <x:c r="M403" s="99"/>
      <x:c r="N403" s="99"/>
      <x:c r="O403" s="99"/>
      <x:c r="P403" s="99"/>
      <x:c r="Q403" s="99"/>
      <x:c r="R403" s="99"/>
      <x:c r="S403" s="99"/>
      <x:c r="T403" s="99"/>
      <x:c r="U403" s="99"/>
      <x:c r="V403" s="99"/>
      <x:c r="W403" s="99"/>
      <x:c r="X403" s="99"/>
      <x:c r="Y403" s="99"/>
      <x:c r="Z403" s="99"/>
    </x:row>
    <x:row r="404">
      <x:c r="A404" s="99"/>
      <x:c r="B404" s="99"/>
      <x:c r="C404" s="99"/>
      <x:c r="D404" s="99"/>
      <x:c r="E404" s="99"/>
      <x:c r="F404" s="99"/>
      <x:c r="G404" s="99"/>
      <x:c r="H404" s="99"/>
      <x:c r="I404" s="99"/>
      <x:c r="J404" s="99"/>
      <x:c r="K404" s="99"/>
      <x:c r="L404" s="99"/>
      <x:c r="M404" s="99"/>
      <x:c r="N404" s="99"/>
      <x:c r="O404" s="99"/>
      <x:c r="P404" s="99"/>
      <x:c r="Q404" s="99"/>
      <x:c r="R404" s="99"/>
      <x:c r="S404" s="99"/>
      <x:c r="T404" s="99"/>
      <x:c r="U404" s="99"/>
      <x:c r="V404" s="99"/>
      <x:c r="W404" s="99"/>
      <x:c r="X404" s="99"/>
      <x:c r="Y404" s="99"/>
      <x:c r="Z404" s="99"/>
    </x:row>
    <x:row r="405">
      <x:c r="A405" s="99"/>
      <x:c r="B405" s="99"/>
      <x:c r="C405" s="99"/>
      <x:c r="D405" s="99"/>
      <x:c r="E405" s="99"/>
      <x:c r="F405" s="99"/>
      <x:c r="G405" s="99"/>
      <x:c r="H405" s="99"/>
      <x:c r="I405" s="99"/>
      <x:c r="J405" s="99"/>
      <x:c r="K405" s="99"/>
      <x:c r="L405" s="99"/>
      <x:c r="M405" s="99"/>
      <x:c r="N405" s="99"/>
      <x:c r="O405" s="99"/>
      <x:c r="P405" s="99"/>
      <x:c r="Q405" s="99"/>
      <x:c r="R405" s="99"/>
      <x:c r="S405" s="99"/>
      <x:c r="T405" s="99"/>
      <x:c r="U405" s="99"/>
      <x:c r="V405" s="99"/>
      <x:c r="W405" s="99"/>
      <x:c r="X405" s="99"/>
      <x:c r="Y405" s="99"/>
      <x:c r="Z405" s="99"/>
    </x:row>
    <x:row r="406">
      <x:c r="A406" s="99"/>
      <x:c r="B406" s="99"/>
      <x:c r="C406" s="99"/>
      <x:c r="D406" s="99"/>
      <x:c r="E406" s="99"/>
      <x:c r="F406" s="99"/>
      <x:c r="G406" s="99"/>
      <x:c r="H406" s="99"/>
      <x:c r="I406" s="99"/>
      <x:c r="J406" s="99"/>
      <x:c r="K406" s="99"/>
      <x:c r="L406" s="99"/>
      <x:c r="M406" s="99"/>
      <x:c r="N406" s="99"/>
      <x:c r="O406" s="99"/>
      <x:c r="P406" s="99"/>
      <x:c r="Q406" s="99"/>
      <x:c r="R406" s="99"/>
      <x:c r="S406" s="99"/>
      <x:c r="T406" s="99"/>
      <x:c r="U406" s="99"/>
      <x:c r="V406" s="99"/>
      <x:c r="W406" s="99"/>
      <x:c r="X406" s="99"/>
      <x:c r="Y406" s="99"/>
      <x:c r="Z406" s="99"/>
    </x:row>
    <x:row r="407">
      <x:c r="A407" s="99"/>
      <x:c r="B407" s="99"/>
      <x:c r="C407" s="99"/>
      <x:c r="D407" s="99"/>
      <x:c r="E407" s="99"/>
      <x:c r="F407" s="99"/>
      <x:c r="G407" s="99"/>
      <x:c r="H407" s="99"/>
      <x:c r="I407" s="99"/>
      <x:c r="J407" s="99"/>
      <x:c r="K407" s="99"/>
      <x:c r="L407" s="99"/>
      <x:c r="M407" s="99"/>
      <x:c r="N407" s="99"/>
      <x:c r="O407" s="99"/>
      <x:c r="P407" s="99"/>
      <x:c r="Q407" s="99"/>
      <x:c r="R407" s="99"/>
      <x:c r="S407" s="99"/>
      <x:c r="T407" s="99"/>
      <x:c r="U407" s="99"/>
      <x:c r="V407" s="99"/>
      <x:c r="W407" s="99"/>
      <x:c r="X407" s="99"/>
      <x:c r="Y407" s="99"/>
      <x:c r="Z407" s="99"/>
    </x:row>
    <x:row r="408">
      <x:c r="A408" s="99"/>
      <x:c r="B408" s="99"/>
      <x:c r="C408" s="99"/>
      <x:c r="D408" s="99"/>
      <x:c r="E408" s="99"/>
      <x:c r="F408" s="99"/>
      <x:c r="G408" s="99"/>
      <x:c r="H408" s="99"/>
      <x:c r="I408" s="99"/>
      <x:c r="J408" s="99"/>
      <x:c r="K408" s="99"/>
      <x:c r="L408" s="99"/>
      <x:c r="M408" s="99"/>
      <x:c r="N408" s="99"/>
      <x:c r="O408" s="99"/>
      <x:c r="P408" s="99"/>
      <x:c r="Q408" s="99"/>
      <x:c r="R408" s="99"/>
      <x:c r="S408" s="99"/>
      <x:c r="T408" s="99"/>
      <x:c r="U408" s="99"/>
      <x:c r="V408" s="99"/>
      <x:c r="W408" s="99"/>
      <x:c r="X408" s="99"/>
      <x:c r="Y408" s="99"/>
      <x:c r="Z408" s="99"/>
    </x:row>
    <x:row r="409">
      <x:c r="A409" s="99"/>
      <x:c r="B409" s="99"/>
      <x:c r="C409" s="99"/>
      <x:c r="D409" s="99"/>
      <x:c r="E409" s="99"/>
      <x:c r="F409" s="99"/>
      <x:c r="G409" s="99"/>
      <x:c r="H409" s="99"/>
      <x:c r="I409" s="99"/>
      <x:c r="J409" s="99"/>
      <x:c r="K409" s="99"/>
      <x:c r="L409" s="99"/>
      <x:c r="M409" s="99"/>
      <x:c r="N409" s="99"/>
      <x:c r="O409" s="99"/>
      <x:c r="P409" s="99"/>
      <x:c r="Q409" s="99"/>
      <x:c r="R409" s="99"/>
      <x:c r="S409" s="99"/>
      <x:c r="T409" s="99"/>
      <x:c r="U409" s="99"/>
      <x:c r="V409" s="99"/>
      <x:c r="W409" s="99"/>
      <x:c r="X409" s="99"/>
      <x:c r="Y409" s="99"/>
      <x:c r="Z409" s="99"/>
    </x:row>
    <x:row r="410">
      <x:c r="A410" s="99"/>
      <x:c r="B410" s="99"/>
      <x:c r="C410" s="99"/>
      <x:c r="D410" s="99"/>
      <x:c r="E410" s="99"/>
      <x:c r="F410" s="99"/>
      <x:c r="G410" s="99"/>
      <x:c r="H410" s="99"/>
      <x:c r="I410" s="99"/>
      <x:c r="J410" s="99"/>
      <x:c r="K410" s="99"/>
      <x:c r="L410" s="99"/>
      <x:c r="M410" s="99"/>
      <x:c r="N410" s="99"/>
      <x:c r="O410" s="99"/>
      <x:c r="P410" s="99"/>
      <x:c r="Q410" s="99"/>
      <x:c r="R410" s="99"/>
      <x:c r="S410" s="99"/>
      <x:c r="T410" s="99"/>
      <x:c r="U410" s="99"/>
      <x:c r="V410" s="99"/>
      <x:c r="W410" s="99"/>
      <x:c r="X410" s="99"/>
      <x:c r="Y410" s="99"/>
      <x:c r="Z410" s="99"/>
    </x:row>
    <x:row r="411">
      <x:c r="A411" s="99"/>
      <x:c r="B411" s="99"/>
      <x:c r="C411" s="99"/>
      <x:c r="D411" s="99"/>
      <x:c r="E411" s="99"/>
      <x:c r="F411" s="99"/>
      <x:c r="G411" s="99"/>
      <x:c r="H411" s="99"/>
      <x:c r="I411" s="99"/>
      <x:c r="J411" s="99"/>
      <x:c r="K411" s="99"/>
      <x:c r="L411" s="99"/>
      <x:c r="M411" s="99"/>
      <x:c r="N411" s="99"/>
      <x:c r="O411" s="99"/>
      <x:c r="P411" s="99"/>
      <x:c r="Q411" s="99"/>
      <x:c r="R411" s="99"/>
      <x:c r="S411" s="99"/>
      <x:c r="T411" s="99"/>
      <x:c r="U411" s="99"/>
      <x:c r="V411" s="99"/>
      <x:c r="W411" s="99"/>
      <x:c r="X411" s="99"/>
      <x:c r="Y411" s="99"/>
      <x:c r="Z411" s="99"/>
    </x:row>
    <x:row r="412">
      <x:c r="A412" s="99"/>
      <x:c r="B412" s="99"/>
      <x:c r="C412" s="99"/>
      <x:c r="D412" s="99"/>
      <x:c r="E412" s="99"/>
      <x:c r="F412" s="99"/>
      <x:c r="G412" s="99"/>
      <x:c r="H412" s="99"/>
      <x:c r="I412" s="99"/>
      <x:c r="J412" s="99"/>
      <x:c r="K412" s="99"/>
      <x:c r="L412" s="99"/>
      <x:c r="M412" s="99"/>
      <x:c r="N412" s="99"/>
      <x:c r="O412" s="99"/>
      <x:c r="P412" s="99"/>
      <x:c r="Q412" s="99"/>
      <x:c r="R412" s="99"/>
      <x:c r="S412" s="99"/>
      <x:c r="T412" s="99"/>
      <x:c r="U412" s="99"/>
      <x:c r="V412" s="99"/>
      <x:c r="W412" s="99"/>
      <x:c r="X412" s="99"/>
      <x:c r="Y412" s="99"/>
      <x:c r="Z412" s="99"/>
    </x:row>
    <x:row r="413">
      <x:c r="A413" s="99"/>
      <x:c r="B413" s="99"/>
      <x:c r="C413" s="99"/>
      <x:c r="D413" s="99"/>
      <x:c r="E413" s="99"/>
      <x:c r="F413" s="99"/>
      <x:c r="G413" s="99"/>
      <x:c r="H413" s="99"/>
      <x:c r="I413" s="99"/>
      <x:c r="J413" s="99"/>
      <x:c r="K413" s="99"/>
      <x:c r="L413" s="99"/>
      <x:c r="M413" s="99"/>
      <x:c r="N413" s="99"/>
      <x:c r="O413" s="99"/>
      <x:c r="P413" s="99"/>
      <x:c r="Q413" s="99"/>
      <x:c r="R413" s="99"/>
      <x:c r="S413" s="99"/>
      <x:c r="T413" s="99"/>
      <x:c r="U413" s="99"/>
      <x:c r="V413" s="99"/>
      <x:c r="W413" s="99"/>
      <x:c r="X413" s="99"/>
      <x:c r="Y413" s="99"/>
      <x:c r="Z413" s="99"/>
    </x:row>
    <x:row r="414">
      <x:c r="A414" s="99"/>
      <x:c r="B414" s="99"/>
      <x:c r="C414" s="99"/>
      <x:c r="D414" s="99"/>
      <x:c r="E414" s="99"/>
      <x:c r="F414" s="99"/>
      <x:c r="G414" s="99"/>
      <x:c r="H414" s="99"/>
      <x:c r="I414" s="99"/>
      <x:c r="J414" s="99"/>
      <x:c r="K414" s="99"/>
      <x:c r="L414" s="99"/>
      <x:c r="M414" s="99"/>
      <x:c r="N414" s="99"/>
      <x:c r="O414" s="99"/>
      <x:c r="P414" s="99"/>
      <x:c r="Q414" s="99"/>
      <x:c r="R414" s="99"/>
      <x:c r="S414" s="99"/>
      <x:c r="T414" s="99"/>
      <x:c r="U414" s="99"/>
      <x:c r="V414" s="99"/>
      <x:c r="W414" s="99"/>
      <x:c r="X414" s="99"/>
      <x:c r="Y414" s="99"/>
      <x:c r="Z414" s="99"/>
    </x:row>
    <x:row r="415">
      <x:c r="A415" s="99"/>
      <x:c r="B415" s="99"/>
      <x:c r="C415" s="99"/>
      <x:c r="D415" s="99"/>
      <x:c r="E415" s="99"/>
      <x:c r="F415" s="99"/>
      <x:c r="G415" s="99"/>
      <x:c r="H415" s="99"/>
      <x:c r="I415" s="99"/>
      <x:c r="J415" s="99"/>
      <x:c r="K415" s="99"/>
      <x:c r="L415" s="99"/>
      <x:c r="M415" s="99"/>
      <x:c r="N415" s="99"/>
      <x:c r="O415" s="99"/>
      <x:c r="P415" s="99"/>
      <x:c r="Q415" s="99"/>
      <x:c r="R415" s="99"/>
      <x:c r="S415" s="99"/>
      <x:c r="T415" s="99"/>
      <x:c r="U415" s="99"/>
      <x:c r="V415" s="99"/>
      <x:c r="W415" s="99"/>
      <x:c r="X415" s="99"/>
      <x:c r="Y415" s="99"/>
      <x:c r="Z415" s="99"/>
    </x:row>
    <x:row r="416">
      <x:c r="A416" s="99"/>
      <x:c r="B416" s="99"/>
      <x:c r="C416" s="99"/>
      <x:c r="D416" s="99"/>
      <x:c r="E416" s="99"/>
      <x:c r="F416" s="99"/>
      <x:c r="G416" s="99"/>
      <x:c r="H416" s="99"/>
      <x:c r="I416" s="99"/>
      <x:c r="J416" s="99"/>
      <x:c r="K416" s="99"/>
      <x:c r="L416" s="99"/>
      <x:c r="M416" s="99"/>
      <x:c r="N416" s="99"/>
      <x:c r="O416" s="99"/>
      <x:c r="P416" s="99"/>
      <x:c r="Q416" s="99"/>
      <x:c r="R416" s="99"/>
      <x:c r="S416" s="99"/>
      <x:c r="T416" s="99"/>
      <x:c r="U416" s="99"/>
      <x:c r="V416" s="99"/>
      <x:c r="W416" s="99"/>
      <x:c r="X416" s="99"/>
      <x:c r="Y416" s="99"/>
      <x:c r="Z416" s="99"/>
    </x:row>
    <x:row r="417">
      <x:c r="A417" s="99"/>
      <x:c r="B417" s="99"/>
      <x:c r="C417" s="99"/>
      <x:c r="D417" s="99"/>
      <x:c r="E417" s="99"/>
      <x:c r="F417" s="99"/>
      <x:c r="G417" s="99"/>
      <x:c r="H417" s="99"/>
      <x:c r="I417" s="99"/>
      <x:c r="J417" s="99"/>
      <x:c r="K417" s="99"/>
      <x:c r="L417" s="99"/>
      <x:c r="M417" s="99"/>
      <x:c r="N417" s="99"/>
      <x:c r="O417" s="99"/>
      <x:c r="P417" s="99"/>
      <x:c r="Q417" s="99"/>
      <x:c r="R417" s="99"/>
      <x:c r="S417" s="99"/>
      <x:c r="T417" s="99"/>
      <x:c r="U417" s="99"/>
      <x:c r="V417" s="99"/>
      <x:c r="W417" s="99"/>
      <x:c r="X417" s="99"/>
      <x:c r="Y417" s="99"/>
      <x:c r="Z417" s="99"/>
    </x:row>
    <x:row r="418">
      <x:c r="A418" s="99"/>
      <x:c r="B418" s="99"/>
      <x:c r="C418" s="99"/>
      <x:c r="D418" s="99"/>
      <x:c r="E418" s="99"/>
      <x:c r="F418" s="99"/>
      <x:c r="G418" s="99"/>
      <x:c r="H418" s="99"/>
      <x:c r="I418" s="99"/>
      <x:c r="J418" s="99"/>
      <x:c r="K418" s="99"/>
      <x:c r="L418" s="99"/>
      <x:c r="M418" s="99"/>
      <x:c r="N418" s="99"/>
      <x:c r="O418" s="99"/>
      <x:c r="P418" s="99"/>
      <x:c r="Q418" s="99"/>
      <x:c r="R418" s="99"/>
      <x:c r="S418" s="99"/>
      <x:c r="T418" s="99"/>
      <x:c r="U418" s="99"/>
      <x:c r="V418" s="99"/>
      <x:c r="W418" s="99"/>
      <x:c r="X418" s="99"/>
      <x:c r="Y418" s="99"/>
      <x:c r="Z418" s="99"/>
    </x:row>
    <x:row r="419">
      <x:c r="A419" s="99"/>
      <x:c r="B419" s="99"/>
      <x:c r="C419" s="99"/>
      <x:c r="D419" s="99"/>
      <x:c r="E419" s="99"/>
      <x:c r="F419" s="99"/>
      <x:c r="G419" s="99"/>
      <x:c r="H419" s="99"/>
      <x:c r="I419" s="99"/>
      <x:c r="J419" s="99"/>
      <x:c r="K419" s="99"/>
      <x:c r="L419" s="99"/>
      <x:c r="M419" s="99"/>
      <x:c r="N419" s="99"/>
      <x:c r="O419" s="99"/>
      <x:c r="P419" s="99"/>
      <x:c r="Q419" s="99"/>
      <x:c r="R419" s="99"/>
      <x:c r="S419" s="99"/>
      <x:c r="T419" s="99"/>
      <x:c r="U419" s="99"/>
      <x:c r="V419" s="99"/>
      <x:c r="W419" s="99"/>
      <x:c r="X419" s="99"/>
      <x:c r="Y419" s="99"/>
      <x:c r="Z419" s="99"/>
    </x:row>
    <x:row r="420">
      <x:c r="A420" s="99"/>
      <x:c r="B420" s="99"/>
      <x:c r="C420" s="99"/>
      <x:c r="D420" s="99"/>
      <x:c r="E420" s="99"/>
      <x:c r="F420" s="99"/>
      <x:c r="G420" s="99"/>
      <x:c r="H420" s="99"/>
      <x:c r="I420" s="99"/>
      <x:c r="J420" s="99"/>
      <x:c r="K420" s="99"/>
      <x:c r="L420" s="99"/>
      <x:c r="M420" s="99"/>
      <x:c r="N420" s="99"/>
      <x:c r="O420" s="99"/>
      <x:c r="P420" s="99"/>
      <x:c r="Q420" s="99"/>
      <x:c r="R420" s="99"/>
      <x:c r="S420" s="99"/>
      <x:c r="T420" s="99"/>
      <x:c r="U420" s="99"/>
      <x:c r="V420" s="99"/>
      <x:c r="W420" s="99"/>
      <x:c r="X420" s="99"/>
      <x:c r="Y420" s="99"/>
      <x:c r="Z420" s="99"/>
    </x:row>
    <x:row r="421">
      <x:c r="A421" s="99"/>
      <x:c r="B421" s="99"/>
      <x:c r="C421" s="99"/>
      <x:c r="D421" s="99"/>
      <x:c r="E421" s="99"/>
      <x:c r="F421" s="99"/>
      <x:c r="G421" s="99"/>
      <x:c r="H421" s="99"/>
      <x:c r="I421" s="99"/>
      <x:c r="J421" s="99"/>
      <x:c r="K421" s="99"/>
      <x:c r="L421" s="99"/>
      <x:c r="M421" s="99"/>
      <x:c r="N421" s="99"/>
      <x:c r="O421" s="99"/>
      <x:c r="P421" s="99"/>
      <x:c r="Q421" s="99"/>
      <x:c r="R421" s="99"/>
      <x:c r="S421" s="99"/>
      <x:c r="T421" s="99"/>
      <x:c r="U421" s="99"/>
      <x:c r="V421" s="99"/>
      <x:c r="W421" s="99"/>
      <x:c r="X421" s="99"/>
      <x:c r="Y421" s="99"/>
      <x:c r="Z421" s="99"/>
    </x:row>
    <x:row r="422">
      <x:c r="A422" s="99"/>
      <x:c r="B422" s="99"/>
      <x:c r="C422" s="99"/>
      <x:c r="D422" s="99"/>
      <x:c r="E422" s="99"/>
      <x:c r="F422" s="99"/>
      <x:c r="G422" s="99"/>
      <x:c r="H422" s="99"/>
      <x:c r="I422" s="99"/>
      <x:c r="J422" s="99"/>
      <x:c r="K422" s="99"/>
      <x:c r="L422" s="99"/>
      <x:c r="M422" s="99"/>
      <x:c r="N422" s="99"/>
      <x:c r="O422" s="99"/>
      <x:c r="P422" s="99"/>
      <x:c r="Q422" s="99"/>
      <x:c r="R422" s="99"/>
      <x:c r="S422" s="99"/>
      <x:c r="T422" s="99"/>
      <x:c r="U422" s="99"/>
      <x:c r="V422" s="99"/>
      <x:c r="W422" s="99"/>
      <x:c r="X422" s="99"/>
      <x:c r="Y422" s="99"/>
      <x:c r="Z422" s="99"/>
    </x:row>
    <x:row r="423">
      <x:c r="A423" s="99"/>
      <x:c r="B423" s="99"/>
      <x:c r="C423" s="99"/>
      <x:c r="D423" s="99"/>
      <x:c r="E423" s="99"/>
      <x:c r="F423" s="99"/>
      <x:c r="G423" s="99"/>
      <x:c r="H423" s="99"/>
      <x:c r="I423" s="99"/>
      <x:c r="J423" s="99"/>
      <x:c r="K423" s="99"/>
      <x:c r="L423" s="99"/>
      <x:c r="M423" s="99"/>
      <x:c r="N423" s="99"/>
      <x:c r="O423" s="99"/>
      <x:c r="P423" s="99"/>
      <x:c r="Q423" s="99"/>
      <x:c r="R423" s="99"/>
      <x:c r="S423" s="99"/>
      <x:c r="T423" s="99"/>
      <x:c r="U423" s="99"/>
      <x:c r="V423" s="99"/>
      <x:c r="W423" s="99"/>
      <x:c r="X423" s="99"/>
      <x:c r="Y423" s="99"/>
      <x:c r="Z423" s="99"/>
    </x:row>
    <x:row r="424">
      <x:c r="A424" s="99"/>
      <x:c r="B424" s="99"/>
      <x:c r="C424" s="99"/>
      <x:c r="D424" s="99"/>
      <x:c r="E424" s="99"/>
      <x:c r="F424" s="99"/>
      <x:c r="G424" s="99"/>
      <x:c r="H424" s="99"/>
      <x:c r="I424" s="99"/>
      <x:c r="J424" s="99"/>
      <x:c r="K424" s="99"/>
      <x:c r="L424" s="99"/>
      <x:c r="M424" s="99"/>
      <x:c r="N424" s="99"/>
      <x:c r="O424" s="99"/>
      <x:c r="P424" s="99"/>
      <x:c r="Q424" s="99"/>
      <x:c r="R424" s="99"/>
      <x:c r="S424" s="99"/>
      <x:c r="T424" s="99"/>
      <x:c r="U424" s="99"/>
      <x:c r="V424" s="99"/>
      <x:c r="W424" s="99"/>
      <x:c r="X424" s="99"/>
      <x:c r="Y424" s="99"/>
      <x:c r="Z424" s="99"/>
    </x:row>
    <x:row r="425">
      <x:c r="A425" s="99"/>
      <x:c r="B425" s="99"/>
      <x:c r="C425" s="99"/>
      <x:c r="D425" s="99"/>
      <x:c r="E425" s="99"/>
      <x:c r="F425" s="99"/>
      <x:c r="G425" s="99"/>
      <x:c r="H425" s="99"/>
      <x:c r="I425" s="99"/>
      <x:c r="J425" s="99"/>
      <x:c r="K425" s="99"/>
      <x:c r="L425" s="99"/>
      <x:c r="M425" s="99"/>
      <x:c r="N425" s="99"/>
      <x:c r="O425" s="99"/>
      <x:c r="P425" s="99"/>
      <x:c r="Q425" s="99"/>
      <x:c r="R425" s="99"/>
      <x:c r="S425" s="99"/>
      <x:c r="T425" s="99"/>
      <x:c r="U425" s="99"/>
      <x:c r="V425" s="99"/>
      <x:c r="W425" s="99"/>
      <x:c r="X425" s="99"/>
      <x:c r="Y425" s="99"/>
      <x:c r="Z425" s="99"/>
    </x:row>
    <x:row r="426">
      <x:c r="A426" s="99"/>
      <x:c r="B426" s="99"/>
      <x:c r="C426" s="99"/>
      <x:c r="D426" s="99"/>
      <x:c r="E426" s="99"/>
      <x:c r="F426" s="99"/>
      <x:c r="G426" s="99"/>
      <x:c r="H426" s="99"/>
      <x:c r="I426" s="99"/>
      <x:c r="J426" s="99"/>
      <x:c r="K426" s="99"/>
      <x:c r="L426" s="99"/>
      <x:c r="M426" s="99"/>
      <x:c r="N426" s="99"/>
      <x:c r="O426" s="99"/>
      <x:c r="P426" s="99"/>
      <x:c r="Q426" s="99"/>
      <x:c r="R426" s="99"/>
      <x:c r="S426" s="99"/>
      <x:c r="T426" s="99"/>
      <x:c r="U426" s="99"/>
      <x:c r="V426" s="99"/>
      <x:c r="W426" s="99"/>
      <x:c r="X426" s="99"/>
      <x:c r="Y426" s="99"/>
      <x:c r="Z426" s="99"/>
    </x:row>
    <x:row r="427">
      <x:c r="A427" s="99"/>
      <x:c r="B427" s="99"/>
      <x:c r="C427" s="99"/>
      <x:c r="D427" s="99"/>
      <x:c r="E427" s="99"/>
      <x:c r="F427" s="99"/>
      <x:c r="G427" s="99"/>
      <x:c r="H427" s="99"/>
      <x:c r="I427" s="99"/>
      <x:c r="J427" s="99"/>
      <x:c r="K427" s="99"/>
      <x:c r="L427" s="99"/>
      <x:c r="M427" s="99"/>
      <x:c r="N427" s="99"/>
      <x:c r="O427" s="99"/>
      <x:c r="P427" s="99"/>
      <x:c r="Q427" s="99"/>
      <x:c r="R427" s="99"/>
      <x:c r="S427" s="99"/>
      <x:c r="T427" s="99"/>
      <x:c r="U427" s="99"/>
      <x:c r="V427" s="99"/>
      <x:c r="W427" s="99"/>
      <x:c r="X427" s="99"/>
      <x:c r="Y427" s="99"/>
      <x:c r="Z427" s="99"/>
    </x:row>
    <x:row r="428">
      <x:c r="A428" s="99"/>
      <x:c r="B428" s="99"/>
      <x:c r="C428" s="99"/>
      <x:c r="D428" s="99"/>
      <x:c r="E428" s="99"/>
      <x:c r="F428" s="99"/>
      <x:c r="G428" s="99"/>
      <x:c r="H428" s="99"/>
      <x:c r="I428" s="99"/>
      <x:c r="J428" s="99"/>
      <x:c r="K428" s="99"/>
      <x:c r="L428" s="99"/>
      <x:c r="M428" s="99"/>
      <x:c r="N428" s="99"/>
      <x:c r="O428" s="99"/>
      <x:c r="P428" s="99"/>
      <x:c r="Q428" s="99"/>
      <x:c r="R428" s="99"/>
      <x:c r="S428" s="99"/>
      <x:c r="T428" s="99"/>
      <x:c r="U428" s="99"/>
      <x:c r="V428" s="99"/>
      <x:c r="W428" s="99"/>
      <x:c r="X428" s="99"/>
      <x:c r="Y428" s="99"/>
      <x:c r="Z428" s="99"/>
    </x:row>
    <x:row r="429">
      <x:c r="A429" s="99"/>
      <x:c r="B429" s="99"/>
      <x:c r="C429" s="99"/>
      <x:c r="D429" s="99"/>
      <x:c r="E429" s="99"/>
      <x:c r="F429" s="99"/>
      <x:c r="G429" s="99"/>
      <x:c r="H429" s="99"/>
      <x:c r="I429" s="99"/>
      <x:c r="J429" s="99"/>
      <x:c r="K429" s="99"/>
      <x:c r="L429" s="99"/>
      <x:c r="M429" s="99"/>
      <x:c r="N429" s="99"/>
      <x:c r="O429" s="99"/>
      <x:c r="P429" s="99"/>
      <x:c r="Q429" s="99"/>
      <x:c r="R429" s="99"/>
      <x:c r="S429" s="99"/>
      <x:c r="T429" s="99"/>
      <x:c r="U429" s="99"/>
      <x:c r="V429" s="99"/>
      <x:c r="W429" s="99"/>
      <x:c r="X429" s="99"/>
      <x:c r="Y429" s="99"/>
      <x:c r="Z429" s="99"/>
    </x:row>
    <x:row r="430">
      <x:c r="A430" s="99"/>
      <x:c r="B430" s="99"/>
      <x:c r="C430" s="99"/>
      <x:c r="D430" s="99"/>
      <x:c r="E430" s="99"/>
      <x:c r="F430" s="99"/>
      <x:c r="G430" s="99"/>
      <x:c r="H430" s="99"/>
      <x:c r="I430" s="99"/>
      <x:c r="J430" s="99"/>
      <x:c r="K430" s="99"/>
      <x:c r="L430" s="99"/>
      <x:c r="M430" s="99"/>
      <x:c r="N430" s="99"/>
      <x:c r="O430" s="99"/>
      <x:c r="P430" s="99"/>
      <x:c r="Q430" s="99"/>
      <x:c r="R430" s="99"/>
      <x:c r="S430" s="99"/>
      <x:c r="T430" s="99"/>
      <x:c r="U430" s="99"/>
      <x:c r="V430" s="99"/>
      <x:c r="W430" s="99"/>
      <x:c r="X430" s="99"/>
      <x:c r="Y430" s="99"/>
      <x:c r="Z430" s="99"/>
    </x:row>
    <x:row r="431">
      <x:c r="A431" s="99"/>
      <x:c r="B431" s="99"/>
      <x:c r="C431" s="99"/>
      <x:c r="D431" s="99"/>
      <x:c r="E431" s="99"/>
      <x:c r="F431" s="99"/>
      <x:c r="G431" s="99"/>
      <x:c r="H431" s="99"/>
      <x:c r="I431" s="99"/>
      <x:c r="J431" s="99"/>
      <x:c r="K431" s="99"/>
      <x:c r="L431" s="99"/>
      <x:c r="M431" s="99"/>
      <x:c r="N431" s="99"/>
      <x:c r="O431" s="99"/>
      <x:c r="P431" s="99"/>
      <x:c r="Q431" s="99"/>
      <x:c r="R431" s="99"/>
      <x:c r="S431" s="99"/>
      <x:c r="T431" s="99"/>
      <x:c r="U431" s="99"/>
      <x:c r="V431" s="99"/>
      <x:c r="W431" s="99"/>
      <x:c r="X431" s="99"/>
      <x:c r="Y431" s="99"/>
      <x:c r="Z431" s="99"/>
    </x:row>
    <x:row r="432">
      <x:c r="A432" s="99"/>
      <x:c r="B432" s="99"/>
      <x:c r="C432" s="99"/>
      <x:c r="D432" s="99"/>
      <x:c r="E432" s="99"/>
      <x:c r="F432" s="99"/>
      <x:c r="G432" s="99"/>
      <x:c r="H432" s="99"/>
      <x:c r="I432" s="99"/>
      <x:c r="J432" s="99"/>
      <x:c r="K432" s="99"/>
      <x:c r="L432" s="99"/>
      <x:c r="M432" s="99"/>
      <x:c r="N432" s="99"/>
      <x:c r="O432" s="99"/>
      <x:c r="P432" s="99"/>
      <x:c r="Q432" s="99"/>
      <x:c r="R432" s="99"/>
      <x:c r="S432" s="99"/>
      <x:c r="T432" s="99"/>
      <x:c r="U432" s="99"/>
      <x:c r="V432" s="99"/>
      <x:c r="W432" s="99"/>
      <x:c r="X432" s="99"/>
      <x:c r="Y432" s="99"/>
      <x:c r="Z432" s="99"/>
    </x:row>
    <x:row r="433">
      <x:c r="A433" s="99"/>
      <x:c r="B433" s="99"/>
      <x:c r="C433" s="99"/>
      <x:c r="D433" s="99"/>
      <x:c r="E433" s="99"/>
      <x:c r="F433" s="99"/>
      <x:c r="G433" s="99"/>
      <x:c r="H433" s="99"/>
      <x:c r="I433" s="99"/>
      <x:c r="J433" s="99"/>
      <x:c r="K433" s="99"/>
      <x:c r="L433" s="99"/>
      <x:c r="M433" s="99"/>
      <x:c r="N433" s="99"/>
      <x:c r="O433" s="99"/>
      <x:c r="P433" s="99"/>
      <x:c r="Q433" s="99"/>
      <x:c r="R433" s="99"/>
      <x:c r="S433" s="99"/>
      <x:c r="T433" s="99"/>
      <x:c r="U433" s="99"/>
      <x:c r="V433" s="99"/>
      <x:c r="W433" s="99"/>
      <x:c r="X433" s="99"/>
      <x:c r="Y433" s="99"/>
      <x:c r="Z433" s="99"/>
    </x:row>
    <x:row r="434">
      <x:c r="A434" s="99"/>
      <x:c r="B434" s="99"/>
      <x:c r="C434" s="99"/>
      <x:c r="D434" s="99"/>
      <x:c r="E434" s="99"/>
      <x:c r="F434" s="99"/>
      <x:c r="G434" s="99"/>
      <x:c r="H434" s="99"/>
      <x:c r="I434" s="99"/>
      <x:c r="J434" s="99"/>
      <x:c r="K434" s="99"/>
      <x:c r="L434" s="99"/>
      <x:c r="M434" s="99"/>
      <x:c r="N434" s="99"/>
      <x:c r="O434" s="99"/>
      <x:c r="P434" s="99"/>
      <x:c r="Q434" s="99"/>
      <x:c r="R434" s="99"/>
      <x:c r="S434" s="99"/>
      <x:c r="T434" s="99"/>
      <x:c r="U434" s="99"/>
      <x:c r="V434" s="99"/>
      <x:c r="W434" s="99"/>
      <x:c r="X434" s="99"/>
      <x:c r="Y434" s="99"/>
      <x:c r="Z434" s="99"/>
    </x:row>
    <x:row r="435">
      <x:c r="A435" s="99"/>
      <x:c r="B435" s="99"/>
      <x:c r="C435" s="99"/>
      <x:c r="D435" s="99"/>
      <x:c r="E435" s="99"/>
      <x:c r="F435" s="99"/>
      <x:c r="G435" s="99"/>
      <x:c r="H435" s="99"/>
      <x:c r="I435" s="99"/>
      <x:c r="J435" s="99"/>
      <x:c r="K435" s="99"/>
      <x:c r="L435" s="99"/>
      <x:c r="M435" s="99"/>
      <x:c r="N435" s="99"/>
      <x:c r="O435" s="99"/>
      <x:c r="P435" s="99"/>
      <x:c r="Q435" s="99"/>
      <x:c r="R435" s="99"/>
      <x:c r="S435" s="99"/>
      <x:c r="T435" s="99"/>
      <x:c r="U435" s="99"/>
      <x:c r="V435" s="99"/>
      <x:c r="W435" s="99"/>
      <x:c r="X435" s="99"/>
      <x:c r="Y435" s="99"/>
      <x:c r="Z435" s="99"/>
    </x:row>
    <x:row r="436">
      <x:c r="A436" s="99"/>
      <x:c r="B436" s="99"/>
      <x:c r="C436" s="99"/>
      <x:c r="D436" s="99"/>
      <x:c r="E436" s="99"/>
      <x:c r="F436" s="99"/>
      <x:c r="G436" s="99"/>
      <x:c r="H436" s="99"/>
      <x:c r="I436" s="99"/>
      <x:c r="J436" s="99"/>
      <x:c r="K436" s="99"/>
      <x:c r="L436" s="99"/>
      <x:c r="M436" s="99"/>
      <x:c r="N436" s="99"/>
      <x:c r="O436" s="99"/>
      <x:c r="P436" s="99"/>
      <x:c r="Q436" s="99"/>
      <x:c r="R436" s="99"/>
      <x:c r="S436" s="99"/>
      <x:c r="T436" s="99"/>
      <x:c r="U436" s="99"/>
      <x:c r="V436" s="99"/>
      <x:c r="W436" s="99"/>
      <x:c r="X436" s="99"/>
      <x:c r="Y436" s="99"/>
      <x:c r="Z436" s="99"/>
    </x:row>
    <x:row r="437">
      <x:c r="A437" s="99"/>
      <x:c r="B437" s="99"/>
      <x:c r="C437" s="99"/>
      <x:c r="D437" s="99"/>
      <x:c r="E437" s="99"/>
      <x:c r="F437" s="99"/>
      <x:c r="G437" s="99"/>
      <x:c r="H437" s="99"/>
      <x:c r="I437" s="99"/>
      <x:c r="J437" s="99"/>
      <x:c r="K437" s="99"/>
      <x:c r="L437" s="99"/>
      <x:c r="M437" s="99"/>
      <x:c r="N437" s="99"/>
      <x:c r="O437" s="99"/>
      <x:c r="P437" s="99"/>
      <x:c r="Q437" s="99"/>
      <x:c r="R437" s="99"/>
      <x:c r="S437" s="99"/>
      <x:c r="T437" s="99"/>
      <x:c r="U437" s="99"/>
      <x:c r="V437" s="99"/>
      <x:c r="W437" s="99"/>
      <x:c r="X437" s="99"/>
      <x:c r="Y437" s="99"/>
      <x:c r="Z437" s="99"/>
    </x:row>
    <x:row r="438">
      <x:c r="A438" s="99"/>
      <x:c r="B438" s="99"/>
      <x:c r="C438" s="99"/>
      <x:c r="D438" s="99"/>
      <x:c r="E438" s="99"/>
      <x:c r="F438" s="99"/>
      <x:c r="G438" s="99"/>
      <x:c r="H438" s="99"/>
      <x:c r="I438" s="99"/>
      <x:c r="J438" s="99"/>
      <x:c r="K438" s="99"/>
      <x:c r="L438" s="99"/>
      <x:c r="M438" s="99"/>
      <x:c r="N438" s="99"/>
      <x:c r="O438" s="99"/>
      <x:c r="P438" s="99"/>
      <x:c r="Q438" s="99"/>
      <x:c r="R438" s="99"/>
      <x:c r="S438" s="99"/>
      <x:c r="T438" s="99"/>
      <x:c r="U438" s="99"/>
      <x:c r="V438" s="99"/>
      <x:c r="W438" s="99"/>
      <x:c r="X438" s="99"/>
      <x:c r="Y438" s="99"/>
      <x:c r="Z438" s="99"/>
    </x:row>
    <x:row r="439">
      <x:c r="A439" s="99"/>
      <x:c r="B439" s="99"/>
      <x:c r="C439" s="99"/>
      <x:c r="D439" s="99"/>
      <x:c r="E439" s="99"/>
      <x:c r="F439" s="99"/>
      <x:c r="G439" s="99"/>
      <x:c r="H439" s="99"/>
      <x:c r="I439" s="99"/>
      <x:c r="J439" s="99"/>
      <x:c r="K439" s="99"/>
      <x:c r="L439" s="99"/>
      <x:c r="M439" s="99"/>
      <x:c r="N439" s="99"/>
      <x:c r="O439" s="99"/>
      <x:c r="P439" s="99"/>
      <x:c r="Q439" s="99"/>
      <x:c r="R439" s="99"/>
      <x:c r="S439" s="99"/>
      <x:c r="T439" s="99"/>
      <x:c r="U439" s="99"/>
      <x:c r="V439" s="99"/>
      <x:c r="W439" s="99"/>
      <x:c r="X439" s="99"/>
      <x:c r="Y439" s="99"/>
      <x:c r="Z439" s="99"/>
    </x:row>
    <x:row r="440">
      <x:c r="A440" s="99"/>
      <x:c r="B440" s="99"/>
      <x:c r="C440" s="99"/>
      <x:c r="D440" s="99"/>
      <x:c r="E440" s="99"/>
      <x:c r="F440" s="99"/>
      <x:c r="G440" s="99"/>
      <x:c r="H440" s="99"/>
      <x:c r="I440" s="99"/>
      <x:c r="J440" s="99"/>
      <x:c r="K440" s="99"/>
      <x:c r="L440" s="99"/>
      <x:c r="M440" s="99"/>
      <x:c r="N440" s="99"/>
      <x:c r="O440" s="99"/>
      <x:c r="P440" s="99"/>
      <x:c r="Q440" s="99"/>
      <x:c r="R440" s="99"/>
      <x:c r="S440" s="99"/>
      <x:c r="T440" s="99"/>
      <x:c r="U440" s="99"/>
      <x:c r="V440" s="99"/>
      <x:c r="W440" s="99"/>
      <x:c r="X440" s="99"/>
      <x:c r="Y440" s="99"/>
      <x:c r="Z440" s="99"/>
    </x:row>
    <x:row r="441">
      <x:c r="A441" s="99"/>
      <x:c r="B441" s="99"/>
      <x:c r="C441" s="99"/>
      <x:c r="D441" s="99"/>
      <x:c r="E441" s="99"/>
      <x:c r="F441" s="99"/>
      <x:c r="G441" s="99"/>
      <x:c r="H441" s="99"/>
      <x:c r="I441" s="99"/>
      <x:c r="J441" s="99"/>
      <x:c r="K441" s="99"/>
      <x:c r="L441" s="99"/>
      <x:c r="M441" s="99"/>
      <x:c r="N441" s="99"/>
      <x:c r="O441" s="99"/>
      <x:c r="P441" s="99"/>
      <x:c r="Q441" s="99"/>
      <x:c r="R441" s="99"/>
      <x:c r="S441" s="99"/>
      <x:c r="T441" s="99"/>
      <x:c r="U441" s="99"/>
      <x:c r="V441" s="99"/>
      <x:c r="W441" s="99"/>
      <x:c r="X441" s="99"/>
      <x:c r="Y441" s="99"/>
      <x:c r="Z441" s="99"/>
    </x:row>
    <x:row r="442">
      <x:c r="A442" s="99"/>
      <x:c r="B442" s="99"/>
      <x:c r="C442" s="99"/>
      <x:c r="D442" s="99"/>
      <x:c r="E442" s="99"/>
      <x:c r="F442" s="99"/>
      <x:c r="G442" s="99"/>
      <x:c r="H442" s="99"/>
      <x:c r="I442" s="99"/>
      <x:c r="J442" s="99"/>
      <x:c r="K442" s="99"/>
      <x:c r="L442" s="99"/>
      <x:c r="M442" s="99"/>
      <x:c r="N442" s="99"/>
      <x:c r="O442" s="99"/>
      <x:c r="P442" s="99"/>
      <x:c r="Q442" s="99"/>
      <x:c r="R442" s="99"/>
      <x:c r="S442" s="99"/>
      <x:c r="T442" s="99"/>
      <x:c r="U442" s="99"/>
      <x:c r="V442" s="99"/>
      <x:c r="W442" s="99"/>
      <x:c r="X442" s="99"/>
      <x:c r="Y442" s="99"/>
      <x:c r="Z442" s="99"/>
    </x:row>
    <x:row r="443">
      <x:c r="A443" s="99"/>
      <x:c r="B443" s="99"/>
      <x:c r="C443" s="99"/>
      <x:c r="D443" s="99"/>
      <x:c r="E443" s="99"/>
      <x:c r="F443" s="99"/>
      <x:c r="G443" s="99"/>
      <x:c r="H443" s="99"/>
      <x:c r="I443" s="99"/>
      <x:c r="J443" s="99"/>
      <x:c r="K443" s="99"/>
      <x:c r="L443" s="99"/>
      <x:c r="M443" s="99"/>
      <x:c r="N443" s="99"/>
      <x:c r="O443" s="99"/>
      <x:c r="P443" s="99"/>
      <x:c r="Q443" s="99"/>
      <x:c r="R443" s="99"/>
      <x:c r="S443" s="99"/>
      <x:c r="T443" s="99"/>
      <x:c r="U443" s="99"/>
      <x:c r="V443" s="99"/>
      <x:c r="W443" s="99"/>
      <x:c r="X443" s="99"/>
      <x:c r="Y443" s="99"/>
      <x:c r="Z443" s="99"/>
    </x:row>
    <x:row r="444">
      <x:c r="A444" s="99"/>
      <x:c r="B444" s="99"/>
      <x:c r="C444" s="99"/>
      <x:c r="D444" s="99"/>
      <x:c r="E444" s="99"/>
      <x:c r="F444" s="99"/>
      <x:c r="G444" s="99"/>
      <x:c r="H444" s="99"/>
      <x:c r="I444" s="99"/>
      <x:c r="J444" s="99"/>
      <x:c r="K444" s="99"/>
      <x:c r="L444" s="99"/>
      <x:c r="M444" s="99"/>
      <x:c r="N444" s="99"/>
      <x:c r="O444" s="99"/>
      <x:c r="P444" s="99"/>
      <x:c r="Q444" s="99"/>
      <x:c r="R444" s="99"/>
      <x:c r="S444" s="99"/>
      <x:c r="T444" s="99"/>
      <x:c r="U444" s="99"/>
      <x:c r="V444" s="99"/>
      <x:c r="W444" s="99"/>
      <x:c r="X444" s="99"/>
      <x:c r="Y444" s="99"/>
      <x:c r="Z444" s="99"/>
    </x:row>
    <x:row r="445">
      <x:c r="A445" s="99"/>
      <x:c r="B445" s="99"/>
      <x:c r="C445" s="99"/>
      <x:c r="D445" s="99"/>
      <x:c r="E445" s="99"/>
      <x:c r="F445" s="99"/>
      <x:c r="G445" s="99"/>
      <x:c r="H445" s="99"/>
      <x:c r="I445" s="99"/>
      <x:c r="J445" s="99"/>
      <x:c r="K445" s="99"/>
      <x:c r="L445" s="99"/>
      <x:c r="M445" s="99"/>
      <x:c r="N445" s="99"/>
      <x:c r="O445" s="99"/>
      <x:c r="P445" s="99"/>
      <x:c r="Q445" s="99"/>
      <x:c r="R445" s="99"/>
      <x:c r="S445" s="99"/>
      <x:c r="T445" s="99"/>
      <x:c r="U445" s="99"/>
      <x:c r="V445" s="99"/>
      <x:c r="W445" s="99"/>
      <x:c r="X445" s="99"/>
      <x:c r="Y445" s="99"/>
      <x:c r="Z445" s="99"/>
    </x:row>
    <x:row r="446">
      <x:c r="A446" s="99"/>
      <x:c r="B446" s="99"/>
      <x:c r="C446" s="99"/>
      <x:c r="D446" s="99"/>
      <x:c r="E446" s="99"/>
      <x:c r="F446" s="99"/>
      <x:c r="G446" s="99"/>
      <x:c r="H446" s="99"/>
      <x:c r="I446" s="99"/>
      <x:c r="J446" s="99"/>
      <x:c r="K446" s="99"/>
      <x:c r="L446" s="99"/>
      <x:c r="M446" s="99"/>
      <x:c r="N446" s="99"/>
      <x:c r="O446" s="99"/>
      <x:c r="P446" s="99"/>
      <x:c r="Q446" s="99"/>
      <x:c r="R446" s="99"/>
      <x:c r="S446" s="99"/>
      <x:c r="T446" s="99"/>
      <x:c r="U446" s="99"/>
      <x:c r="V446" s="99"/>
      <x:c r="W446" s="99"/>
      <x:c r="X446" s="99"/>
      <x:c r="Y446" s="99"/>
      <x:c r="Z446" s="99"/>
    </x:row>
    <x:row r="447">
      <x:c r="A447" s="99"/>
      <x:c r="B447" s="99"/>
      <x:c r="C447" s="99"/>
      <x:c r="D447" s="99"/>
      <x:c r="E447" s="99"/>
      <x:c r="F447" s="99"/>
      <x:c r="G447" s="99"/>
      <x:c r="H447" s="99"/>
      <x:c r="I447" s="99"/>
      <x:c r="J447" s="99"/>
      <x:c r="K447" s="99"/>
      <x:c r="L447" s="99"/>
      <x:c r="M447" s="99"/>
      <x:c r="N447" s="99"/>
      <x:c r="O447" s="99"/>
      <x:c r="P447" s="99"/>
      <x:c r="Q447" s="99"/>
      <x:c r="R447" s="99"/>
      <x:c r="S447" s="99"/>
      <x:c r="T447" s="99"/>
      <x:c r="U447" s="99"/>
      <x:c r="V447" s="99"/>
      <x:c r="W447" s="99"/>
      <x:c r="X447" s="99"/>
      <x:c r="Y447" s="99"/>
      <x:c r="Z447" s="99"/>
    </x:row>
    <x:row r="448">
      <x:c r="A448" s="99"/>
      <x:c r="B448" s="99"/>
      <x:c r="C448" s="99"/>
      <x:c r="D448" s="99"/>
      <x:c r="E448" s="99"/>
      <x:c r="F448" s="99"/>
      <x:c r="G448" s="99"/>
      <x:c r="H448" s="99"/>
      <x:c r="I448" s="99"/>
      <x:c r="J448" s="99"/>
      <x:c r="K448" s="99"/>
      <x:c r="L448" s="99"/>
      <x:c r="M448" s="99"/>
      <x:c r="N448" s="99"/>
      <x:c r="O448" s="99"/>
      <x:c r="P448" s="99"/>
      <x:c r="Q448" s="99"/>
      <x:c r="R448" s="99"/>
      <x:c r="S448" s="99"/>
      <x:c r="T448" s="99"/>
      <x:c r="U448" s="99"/>
      <x:c r="V448" s="99"/>
      <x:c r="W448" s="99"/>
      <x:c r="X448" s="99"/>
      <x:c r="Y448" s="99"/>
      <x:c r="Z448" s="99"/>
    </x:row>
    <x:row r="449">
      <x:c r="A449" s="99"/>
      <x:c r="B449" s="99"/>
      <x:c r="C449" s="99"/>
      <x:c r="D449" s="99"/>
      <x:c r="E449" s="99"/>
      <x:c r="F449" s="99"/>
      <x:c r="G449" s="99"/>
      <x:c r="H449" s="99"/>
      <x:c r="I449" s="99"/>
      <x:c r="J449" s="99"/>
      <x:c r="K449" s="99"/>
      <x:c r="L449" s="99"/>
      <x:c r="M449" s="99"/>
      <x:c r="N449" s="99"/>
      <x:c r="O449" s="99"/>
      <x:c r="P449" s="99"/>
      <x:c r="Q449" s="99"/>
      <x:c r="R449" s="99"/>
      <x:c r="S449" s="99"/>
      <x:c r="T449" s="99"/>
      <x:c r="U449" s="99"/>
      <x:c r="V449" s="99"/>
      <x:c r="W449" s="99"/>
      <x:c r="X449" s="99"/>
      <x:c r="Y449" s="99"/>
      <x:c r="Z449" s="99"/>
    </x:row>
    <x:row r="450">
      <x:c r="A450" s="99"/>
      <x:c r="B450" s="99"/>
      <x:c r="C450" s="99"/>
      <x:c r="D450" s="99"/>
      <x:c r="E450" s="99"/>
      <x:c r="F450" s="99"/>
      <x:c r="G450" s="99"/>
      <x:c r="H450" s="99"/>
      <x:c r="I450" s="99"/>
      <x:c r="J450" s="99"/>
      <x:c r="K450" s="99"/>
      <x:c r="L450" s="99"/>
      <x:c r="M450" s="99"/>
      <x:c r="N450" s="99"/>
      <x:c r="O450" s="99"/>
      <x:c r="P450" s="99"/>
      <x:c r="Q450" s="99"/>
      <x:c r="R450" s="99"/>
      <x:c r="S450" s="99"/>
      <x:c r="T450" s="99"/>
      <x:c r="U450" s="99"/>
      <x:c r="V450" s="99"/>
      <x:c r="W450" s="99"/>
      <x:c r="X450" s="99"/>
      <x:c r="Y450" s="99"/>
      <x:c r="Z450" s="99"/>
    </x:row>
    <x:row r="451">
      <x:c r="A451" s="99"/>
      <x:c r="B451" s="99"/>
      <x:c r="C451" s="99"/>
      <x:c r="D451" s="99"/>
      <x:c r="E451" s="99"/>
      <x:c r="F451" s="99"/>
      <x:c r="G451" s="99"/>
      <x:c r="H451" s="99"/>
      <x:c r="I451" s="99"/>
      <x:c r="J451" s="99"/>
      <x:c r="K451" s="99"/>
      <x:c r="L451" s="99"/>
      <x:c r="M451" s="99"/>
      <x:c r="N451" s="99"/>
      <x:c r="O451" s="99"/>
      <x:c r="P451" s="99"/>
      <x:c r="Q451" s="99"/>
      <x:c r="R451" s="99"/>
      <x:c r="S451" s="99"/>
      <x:c r="T451" s="99"/>
      <x:c r="U451" s="99"/>
      <x:c r="V451" s="99"/>
      <x:c r="W451" s="99"/>
      <x:c r="X451" s="99"/>
      <x:c r="Y451" s="99"/>
      <x:c r="Z451" s="99"/>
    </x:row>
    <x:row r="452">
      <x:c r="A452" s="99"/>
      <x:c r="B452" s="99"/>
      <x:c r="C452" s="99"/>
      <x:c r="D452" s="99"/>
      <x:c r="E452" s="99"/>
      <x:c r="F452" s="99"/>
      <x:c r="G452" s="99"/>
      <x:c r="H452" s="99"/>
      <x:c r="I452" s="99"/>
      <x:c r="J452" s="99"/>
      <x:c r="K452" s="99"/>
      <x:c r="L452" s="99"/>
      <x:c r="M452" s="99"/>
      <x:c r="N452" s="99"/>
      <x:c r="O452" s="99"/>
      <x:c r="P452" s="99"/>
      <x:c r="Q452" s="99"/>
      <x:c r="R452" s="99"/>
      <x:c r="S452" s="99"/>
      <x:c r="T452" s="99"/>
      <x:c r="U452" s="99"/>
      <x:c r="V452" s="99"/>
      <x:c r="W452" s="99"/>
      <x:c r="X452" s="99"/>
      <x:c r="Y452" s="99"/>
      <x:c r="Z452" s="99"/>
    </x:row>
    <x:row r="453">
      <x:c r="A453" s="99"/>
      <x:c r="B453" s="99"/>
      <x:c r="C453" s="99"/>
      <x:c r="D453" s="99"/>
      <x:c r="E453" s="99"/>
      <x:c r="F453" s="99"/>
      <x:c r="G453" s="99"/>
      <x:c r="H453" s="99"/>
      <x:c r="I453" s="99"/>
      <x:c r="J453" s="99"/>
      <x:c r="K453" s="99"/>
      <x:c r="L453" s="99"/>
      <x:c r="M453" s="99"/>
      <x:c r="N453" s="99"/>
      <x:c r="O453" s="99"/>
      <x:c r="P453" s="99"/>
      <x:c r="Q453" s="99"/>
      <x:c r="R453" s="99"/>
      <x:c r="S453" s="99"/>
      <x:c r="T453" s="99"/>
      <x:c r="U453" s="99"/>
      <x:c r="V453" s="99"/>
      <x:c r="W453" s="99"/>
      <x:c r="X453" s="99"/>
      <x:c r="Y453" s="99"/>
      <x:c r="Z453" s="99"/>
    </x:row>
    <x:row r="454">
      <x:c r="A454" s="99"/>
      <x:c r="B454" s="99"/>
      <x:c r="C454" s="99"/>
      <x:c r="D454" s="99"/>
      <x:c r="E454" s="99"/>
      <x:c r="F454" s="99"/>
      <x:c r="G454" s="99"/>
      <x:c r="H454" s="99"/>
      <x:c r="I454" s="99"/>
      <x:c r="J454" s="99"/>
      <x:c r="K454" s="99"/>
      <x:c r="L454" s="99"/>
      <x:c r="M454" s="99"/>
      <x:c r="N454" s="99"/>
      <x:c r="O454" s="99"/>
      <x:c r="P454" s="99"/>
      <x:c r="Q454" s="99"/>
      <x:c r="R454" s="99"/>
      <x:c r="S454" s="99"/>
      <x:c r="T454" s="99"/>
      <x:c r="U454" s="99"/>
      <x:c r="V454" s="99"/>
      <x:c r="W454" s="99"/>
      <x:c r="X454" s="99"/>
      <x:c r="Y454" s="99"/>
      <x:c r="Z454" s="99"/>
    </x:row>
    <x:row r="455">
      <x:c r="A455" s="99"/>
      <x:c r="B455" s="99"/>
      <x:c r="C455" s="99"/>
      <x:c r="D455" s="99"/>
      <x:c r="E455" s="99"/>
      <x:c r="F455" s="99"/>
      <x:c r="G455" s="99"/>
      <x:c r="H455" s="99"/>
      <x:c r="I455" s="99"/>
      <x:c r="J455" s="99"/>
      <x:c r="K455" s="99"/>
      <x:c r="L455" s="99"/>
      <x:c r="M455" s="99"/>
      <x:c r="N455" s="99"/>
      <x:c r="O455" s="99"/>
      <x:c r="P455" s="99"/>
      <x:c r="Q455" s="99"/>
      <x:c r="R455" s="99"/>
      <x:c r="S455" s="99"/>
      <x:c r="T455" s="99"/>
      <x:c r="U455" s="99"/>
      <x:c r="V455" s="99"/>
      <x:c r="W455" s="99"/>
      <x:c r="X455" s="99"/>
      <x:c r="Y455" s="99"/>
      <x:c r="Z455" s="99"/>
    </x:row>
    <x:row r="456">
      <x:c r="A456" s="99"/>
      <x:c r="B456" s="99"/>
      <x:c r="C456" s="99"/>
      <x:c r="D456" s="99"/>
      <x:c r="E456" s="99"/>
      <x:c r="F456" s="99"/>
      <x:c r="G456" s="99"/>
      <x:c r="H456" s="99"/>
      <x:c r="I456" s="99"/>
      <x:c r="J456" s="99"/>
      <x:c r="K456" s="99"/>
      <x:c r="L456" s="99"/>
      <x:c r="M456" s="99"/>
      <x:c r="N456" s="99"/>
      <x:c r="O456" s="99"/>
      <x:c r="P456" s="99"/>
      <x:c r="Q456" s="99"/>
      <x:c r="R456" s="99"/>
      <x:c r="S456" s="99"/>
      <x:c r="T456" s="99"/>
      <x:c r="U456" s="99"/>
      <x:c r="V456" s="99"/>
      <x:c r="W456" s="99"/>
      <x:c r="X456" s="99"/>
      <x:c r="Y456" s="99"/>
      <x:c r="Z456" s="99"/>
    </x:row>
    <x:row r="457">
      <x:c r="A457" s="99"/>
      <x:c r="B457" s="99"/>
      <x:c r="C457" s="99"/>
      <x:c r="D457" s="99"/>
      <x:c r="E457" s="99"/>
      <x:c r="F457" s="99"/>
      <x:c r="G457" s="99"/>
      <x:c r="H457" s="99"/>
      <x:c r="I457" s="99"/>
      <x:c r="J457" s="99"/>
      <x:c r="K457" s="99"/>
      <x:c r="L457" s="99"/>
      <x:c r="M457" s="99"/>
      <x:c r="N457" s="99"/>
      <x:c r="O457" s="99"/>
      <x:c r="P457" s="99"/>
      <x:c r="Q457" s="99"/>
      <x:c r="R457" s="99"/>
      <x:c r="S457" s="99"/>
      <x:c r="T457" s="99"/>
      <x:c r="U457" s="99"/>
      <x:c r="V457" s="99"/>
      <x:c r="W457" s="99"/>
      <x:c r="X457" s="99"/>
      <x:c r="Y457" s="99"/>
      <x:c r="Z457" s="99"/>
    </x:row>
    <x:row r="458">
      <x:c r="A458" s="99"/>
      <x:c r="B458" s="99"/>
      <x:c r="C458" s="99"/>
      <x:c r="D458" s="99"/>
      <x:c r="E458" s="99"/>
      <x:c r="F458" s="99"/>
      <x:c r="G458" s="99"/>
      <x:c r="H458" s="99"/>
      <x:c r="I458" s="99"/>
      <x:c r="J458" s="99"/>
      <x:c r="K458" s="99"/>
      <x:c r="L458" s="99"/>
      <x:c r="M458" s="99"/>
      <x:c r="N458" s="99"/>
      <x:c r="O458" s="99"/>
      <x:c r="P458" s="99"/>
      <x:c r="Q458" s="99"/>
      <x:c r="R458" s="99"/>
      <x:c r="S458" s="99"/>
      <x:c r="T458" s="99"/>
      <x:c r="U458" s="99"/>
      <x:c r="V458" s="99"/>
      <x:c r="W458" s="99"/>
      <x:c r="X458" s="99"/>
      <x:c r="Y458" s="99"/>
      <x:c r="Z458" s="99"/>
    </x:row>
    <x:row r="459">
      <x:c r="A459" s="99"/>
      <x:c r="B459" s="99"/>
      <x:c r="C459" s="99"/>
      <x:c r="D459" s="99"/>
      <x:c r="E459" s="99"/>
      <x:c r="F459" s="99"/>
      <x:c r="G459" s="99"/>
      <x:c r="H459" s="99"/>
      <x:c r="I459" s="99"/>
      <x:c r="J459" s="99"/>
      <x:c r="K459" s="99"/>
      <x:c r="L459" s="99"/>
      <x:c r="M459" s="99"/>
      <x:c r="N459" s="99"/>
      <x:c r="O459" s="99"/>
      <x:c r="P459" s="99"/>
      <x:c r="Q459" s="99"/>
      <x:c r="R459" s="99"/>
      <x:c r="S459" s="99"/>
      <x:c r="T459" s="99"/>
      <x:c r="U459" s="99"/>
      <x:c r="V459" s="99"/>
      <x:c r="W459" s="99"/>
      <x:c r="X459" s="99"/>
      <x:c r="Y459" s="99"/>
      <x:c r="Z459" s="99"/>
    </x:row>
    <x:row r="460">
      <x:c r="A460" s="99"/>
      <x:c r="B460" s="99"/>
      <x:c r="C460" s="99"/>
      <x:c r="D460" s="99"/>
      <x:c r="E460" s="99"/>
      <x:c r="F460" s="99"/>
      <x:c r="G460" s="99"/>
      <x:c r="H460" s="99"/>
      <x:c r="I460" s="99"/>
      <x:c r="J460" s="99"/>
      <x:c r="K460" s="99"/>
      <x:c r="L460" s="99"/>
      <x:c r="M460" s="99"/>
      <x:c r="N460" s="99"/>
      <x:c r="O460" s="99"/>
      <x:c r="P460" s="99"/>
      <x:c r="Q460" s="99"/>
      <x:c r="R460" s="99"/>
      <x:c r="S460" s="99"/>
      <x:c r="T460" s="99"/>
      <x:c r="U460" s="99"/>
      <x:c r="V460" s="99"/>
      <x:c r="W460" s="99"/>
      <x:c r="X460" s="99"/>
      <x:c r="Y460" s="99"/>
      <x:c r="Z460" s="99"/>
    </x:row>
    <x:row r="461">
      <x:c r="A461" s="99"/>
      <x:c r="B461" s="99"/>
      <x:c r="C461" s="99"/>
      <x:c r="D461" s="99"/>
      <x:c r="E461" s="99"/>
      <x:c r="F461" s="99"/>
      <x:c r="G461" s="99"/>
      <x:c r="H461" s="99"/>
      <x:c r="I461" s="99"/>
      <x:c r="J461" s="99"/>
      <x:c r="K461" s="99"/>
      <x:c r="L461" s="99"/>
      <x:c r="M461" s="99"/>
      <x:c r="N461" s="99"/>
      <x:c r="O461" s="99"/>
      <x:c r="P461" s="99"/>
      <x:c r="Q461" s="99"/>
      <x:c r="R461" s="99"/>
      <x:c r="S461" s="99"/>
      <x:c r="T461" s="99"/>
      <x:c r="U461" s="99"/>
      <x:c r="V461" s="99"/>
      <x:c r="W461" s="99"/>
      <x:c r="X461" s="99"/>
      <x:c r="Y461" s="99"/>
      <x:c r="Z461" s="99"/>
    </x:row>
    <x:row r="462">
      <x:c r="A462" s="99"/>
      <x:c r="B462" s="99"/>
      <x:c r="C462" s="99"/>
      <x:c r="D462" s="99"/>
      <x:c r="E462" s="99"/>
      <x:c r="F462" s="99"/>
      <x:c r="G462" s="99"/>
      <x:c r="H462" s="99"/>
      <x:c r="I462" s="99"/>
      <x:c r="J462" s="99"/>
      <x:c r="K462" s="99"/>
      <x:c r="L462" s="99"/>
      <x:c r="M462" s="99"/>
      <x:c r="N462" s="99"/>
      <x:c r="O462" s="99"/>
      <x:c r="P462" s="99"/>
      <x:c r="Q462" s="99"/>
      <x:c r="R462" s="99"/>
      <x:c r="S462" s="99"/>
      <x:c r="T462" s="99"/>
      <x:c r="U462" s="99"/>
      <x:c r="V462" s="99"/>
      <x:c r="W462" s="99"/>
      <x:c r="X462" s="99"/>
      <x:c r="Y462" s="99"/>
      <x:c r="Z462" s="99"/>
    </x:row>
    <x:row r="463">
      <x:c r="A463" s="99"/>
      <x:c r="B463" s="99"/>
      <x:c r="C463" s="99"/>
      <x:c r="D463" s="99"/>
      <x:c r="E463" s="99"/>
      <x:c r="F463" s="99"/>
      <x:c r="G463" s="99"/>
      <x:c r="H463" s="99"/>
      <x:c r="I463" s="99"/>
      <x:c r="J463" s="99"/>
      <x:c r="K463" s="99"/>
      <x:c r="L463" s="99"/>
      <x:c r="M463" s="99"/>
      <x:c r="N463" s="99"/>
      <x:c r="O463" s="99"/>
      <x:c r="P463" s="99"/>
      <x:c r="Q463" s="99"/>
      <x:c r="R463" s="99"/>
      <x:c r="S463" s="99"/>
      <x:c r="T463" s="99"/>
      <x:c r="U463" s="99"/>
      <x:c r="V463" s="99"/>
      <x:c r="W463" s="99"/>
      <x:c r="X463" s="99"/>
      <x:c r="Y463" s="99"/>
      <x:c r="Z463" s="99"/>
    </x:row>
    <x:row r="464">
      <x:c r="A464" s="99"/>
      <x:c r="B464" s="99"/>
      <x:c r="C464" s="99"/>
      <x:c r="D464" s="99"/>
      <x:c r="E464" s="99"/>
      <x:c r="F464" s="99"/>
      <x:c r="G464" s="99"/>
      <x:c r="H464" s="99"/>
      <x:c r="I464" s="99"/>
      <x:c r="J464" s="99"/>
      <x:c r="K464" s="99"/>
      <x:c r="L464" s="99"/>
      <x:c r="M464" s="99"/>
      <x:c r="N464" s="99"/>
      <x:c r="O464" s="99"/>
      <x:c r="P464" s="99"/>
      <x:c r="Q464" s="99"/>
      <x:c r="R464" s="99"/>
      <x:c r="S464" s="99"/>
      <x:c r="T464" s="99"/>
      <x:c r="U464" s="99"/>
      <x:c r="V464" s="99"/>
      <x:c r="W464" s="99"/>
      <x:c r="X464" s="99"/>
      <x:c r="Y464" s="99"/>
      <x:c r="Z464" s="99"/>
    </x:row>
    <x:row r="465">
      <x:c r="A465" s="99"/>
      <x:c r="B465" s="99"/>
      <x:c r="C465" s="99"/>
      <x:c r="D465" s="99"/>
      <x:c r="E465" s="99"/>
      <x:c r="F465" s="99"/>
      <x:c r="G465" s="99"/>
      <x:c r="H465" s="99"/>
      <x:c r="I465" s="99"/>
      <x:c r="J465" s="99"/>
      <x:c r="K465" s="99"/>
      <x:c r="L465" s="99"/>
      <x:c r="M465" s="99"/>
      <x:c r="N465" s="99"/>
      <x:c r="O465" s="99"/>
      <x:c r="P465" s="99"/>
      <x:c r="Q465" s="99"/>
      <x:c r="R465" s="99"/>
      <x:c r="S465" s="99"/>
      <x:c r="T465" s="99"/>
      <x:c r="U465" s="99"/>
      <x:c r="V465" s="99"/>
      <x:c r="W465" s="99"/>
      <x:c r="X465" s="99"/>
      <x:c r="Y465" s="99"/>
      <x:c r="Z465" s="99"/>
    </x:row>
    <x:row r="466">
      <x:c r="A466" s="99"/>
      <x:c r="B466" s="99"/>
      <x:c r="C466" s="99"/>
      <x:c r="D466" s="99"/>
      <x:c r="E466" s="99"/>
      <x:c r="F466" s="99"/>
      <x:c r="G466" s="99"/>
      <x:c r="H466" s="99"/>
      <x:c r="I466" s="99"/>
      <x:c r="J466" s="99"/>
      <x:c r="K466" s="99"/>
      <x:c r="L466" s="99"/>
      <x:c r="M466" s="99"/>
      <x:c r="N466" s="99"/>
      <x:c r="O466" s="99"/>
      <x:c r="P466" s="99"/>
      <x:c r="Q466" s="99"/>
      <x:c r="R466" s="99"/>
      <x:c r="S466" s="99"/>
      <x:c r="T466" s="99"/>
      <x:c r="U466" s="99"/>
      <x:c r="V466" s="99"/>
      <x:c r="W466" s="99"/>
      <x:c r="X466" s="99"/>
      <x:c r="Y466" s="99"/>
      <x:c r="Z466" s="99"/>
    </x:row>
    <x:row r="467">
      <x:c r="A467" s="99"/>
      <x:c r="B467" s="99"/>
      <x:c r="C467" s="99"/>
      <x:c r="D467" s="99"/>
      <x:c r="E467" s="99"/>
      <x:c r="F467" s="99"/>
      <x:c r="G467" s="99"/>
      <x:c r="H467" s="99"/>
      <x:c r="I467" s="99"/>
      <x:c r="J467" s="99"/>
      <x:c r="K467" s="99"/>
      <x:c r="L467" s="99"/>
      <x:c r="M467" s="99"/>
      <x:c r="N467" s="99"/>
      <x:c r="O467" s="99"/>
      <x:c r="P467" s="99"/>
      <x:c r="Q467" s="99"/>
      <x:c r="R467" s="99"/>
      <x:c r="S467" s="99"/>
      <x:c r="T467" s="99"/>
      <x:c r="U467" s="99"/>
      <x:c r="V467" s="99"/>
      <x:c r="W467" s="99"/>
      <x:c r="X467" s="99"/>
      <x:c r="Y467" s="99"/>
      <x:c r="Z467" s="99"/>
    </x:row>
    <x:row r="468">
      <x:c r="A468" s="99"/>
      <x:c r="B468" s="99"/>
      <x:c r="C468" s="99"/>
      <x:c r="D468" s="99"/>
      <x:c r="E468" s="99"/>
      <x:c r="F468" s="99"/>
      <x:c r="G468" s="99"/>
      <x:c r="H468" s="99"/>
      <x:c r="I468" s="99"/>
      <x:c r="J468" s="99"/>
      <x:c r="K468" s="99"/>
      <x:c r="L468" s="99"/>
      <x:c r="M468" s="99"/>
      <x:c r="N468" s="99"/>
      <x:c r="O468" s="99"/>
      <x:c r="P468" s="99"/>
      <x:c r="Q468" s="99"/>
      <x:c r="R468" s="99"/>
      <x:c r="S468" s="99"/>
      <x:c r="T468" s="99"/>
      <x:c r="U468" s="99"/>
      <x:c r="V468" s="99"/>
      <x:c r="W468" s="99"/>
      <x:c r="X468" s="99"/>
      <x:c r="Y468" s="99"/>
      <x:c r="Z468" s="99"/>
    </x:row>
    <x:row r="469">
      <x:c r="A469" s="99"/>
      <x:c r="B469" s="99"/>
      <x:c r="C469" s="99"/>
      <x:c r="D469" s="99"/>
      <x:c r="E469" s="99"/>
      <x:c r="F469" s="99"/>
      <x:c r="G469" s="99"/>
      <x:c r="H469" s="99"/>
      <x:c r="I469" s="99"/>
      <x:c r="J469" s="99"/>
      <x:c r="K469" s="99"/>
      <x:c r="L469" s="99"/>
      <x:c r="M469" s="99"/>
      <x:c r="N469" s="99"/>
      <x:c r="O469" s="99"/>
      <x:c r="P469" s="99"/>
      <x:c r="Q469" s="99"/>
      <x:c r="R469" s="99"/>
      <x:c r="S469" s="99"/>
      <x:c r="T469" s="99"/>
      <x:c r="U469" s="99"/>
      <x:c r="V469" s="99"/>
      <x:c r="W469" s="99"/>
      <x:c r="X469" s="99"/>
      <x:c r="Y469" s="99"/>
      <x:c r="Z469" s="99"/>
    </x:row>
    <x:row r="470">
      <x:c r="A470" s="99"/>
      <x:c r="B470" s="99"/>
      <x:c r="C470" s="99"/>
      <x:c r="D470" s="99"/>
      <x:c r="E470" s="99"/>
      <x:c r="F470" s="99"/>
      <x:c r="G470" s="99"/>
      <x:c r="H470" s="99"/>
      <x:c r="I470" s="99"/>
      <x:c r="J470" s="99"/>
      <x:c r="K470" s="99"/>
      <x:c r="L470" s="99"/>
      <x:c r="M470" s="99"/>
      <x:c r="N470" s="99"/>
      <x:c r="O470" s="99"/>
      <x:c r="P470" s="99"/>
      <x:c r="Q470" s="99"/>
      <x:c r="R470" s="99"/>
      <x:c r="S470" s="99"/>
      <x:c r="T470" s="99"/>
      <x:c r="U470" s="99"/>
      <x:c r="V470" s="99"/>
      <x:c r="W470" s="99"/>
      <x:c r="X470" s="99"/>
      <x:c r="Y470" s="99"/>
      <x:c r="Z470" s="99"/>
    </x:row>
    <x:row r="471">
      <x:c r="A471" s="99"/>
      <x:c r="B471" s="99"/>
      <x:c r="C471" s="99"/>
      <x:c r="D471" s="99"/>
      <x:c r="E471" s="99"/>
      <x:c r="F471" s="99"/>
      <x:c r="G471" s="99"/>
      <x:c r="H471" s="99"/>
      <x:c r="I471" s="99"/>
      <x:c r="J471" s="99"/>
      <x:c r="K471" s="99"/>
      <x:c r="L471" s="99"/>
      <x:c r="M471" s="99"/>
      <x:c r="N471" s="99"/>
      <x:c r="O471" s="99"/>
      <x:c r="P471" s="99"/>
      <x:c r="Q471" s="99"/>
      <x:c r="R471" s="99"/>
      <x:c r="S471" s="99"/>
      <x:c r="T471" s="99"/>
      <x:c r="U471" s="99"/>
      <x:c r="V471" s="99"/>
      <x:c r="W471" s="99"/>
      <x:c r="X471" s="99"/>
      <x:c r="Y471" s="99"/>
      <x:c r="Z471" s="99"/>
    </x:row>
    <x:row r="472">
      <x:c r="A472" s="99"/>
      <x:c r="B472" s="99"/>
      <x:c r="C472" s="99"/>
      <x:c r="D472" s="99"/>
      <x:c r="E472" s="99"/>
      <x:c r="F472" s="99"/>
      <x:c r="G472" s="99"/>
      <x:c r="H472" s="99"/>
      <x:c r="I472" s="99"/>
      <x:c r="J472" s="99"/>
      <x:c r="K472" s="99"/>
      <x:c r="L472" s="99"/>
      <x:c r="M472" s="99"/>
      <x:c r="N472" s="99"/>
      <x:c r="O472" s="99"/>
      <x:c r="P472" s="99"/>
      <x:c r="Q472" s="99"/>
      <x:c r="R472" s="99"/>
      <x:c r="S472" s="99"/>
      <x:c r="T472" s="99"/>
      <x:c r="U472" s="99"/>
      <x:c r="V472" s="99"/>
      <x:c r="W472" s="99"/>
      <x:c r="X472" s="99"/>
      <x:c r="Y472" s="99"/>
      <x:c r="Z472" s="99"/>
    </x:row>
    <x:row r="473">
      <x:c r="A473" s="99"/>
      <x:c r="B473" s="99"/>
      <x:c r="C473" s="99"/>
      <x:c r="D473" s="99"/>
      <x:c r="E473" s="99"/>
      <x:c r="F473" s="99"/>
      <x:c r="G473" s="99"/>
      <x:c r="H473" s="99"/>
      <x:c r="I473" s="99"/>
      <x:c r="J473" s="99"/>
      <x:c r="K473" s="99"/>
      <x:c r="L473" s="99"/>
      <x:c r="M473" s="99"/>
      <x:c r="N473" s="99"/>
      <x:c r="O473" s="99"/>
      <x:c r="P473" s="99"/>
      <x:c r="Q473" s="99"/>
      <x:c r="R473" s="99"/>
      <x:c r="S473" s="99"/>
      <x:c r="T473" s="99"/>
      <x:c r="U473" s="99"/>
      <x:c r="V473" s="99"/>
      <x:c r="W473" s="99"/>
      <x:c r="X473" s="99"/>
      <x:c r="Y473" s="99"/>
      <x:c r="Z473" s="99"/>
    </x:row>
    <x:row r="474">
      <x:c r="A474" s="99"/>
      <x:c r="B474" s="99"/>
      <x:c r="C474" s="99"/>
      <x:c r="D474" s="99"/>
      <x:c r="E474" s="99"/>
      <x:c r="F474" s="99"/>
      <x:c r="G474" s="99"/>
      <x:c r="H474" s="99"/>
      <x:c r="I474" s="99"/>
      <x:c r="J474" s="99"/>
      <x:c r="K474" s="99"/>
      <x:c r="L474" s="99"/>
      <x:c r="M474" s="99"/>
      <x:c r="N474" s="99"/>
      <x:c r="O474" s="99"/>
      <x:c r="P474" s="99"/>
      <x:c r="Q474" s="99"/>
      <x:c r="R474" s="99"/>
      <x:c r="S474" s="99"/>
      <x:c r="T474" s="99"/>
      <x:c r="U474" s="99"/>
      <x:c r="V474" s="99"/>
      <x:c r="W474" s="99"/>
      <x:c r="X474" s="99"/>
      <x:c r="Y474" s="99"/>
      <x:c r="Z474" s="99"/>
    </x:row>
    <x:row r="475">
      <x:c r="A475" s="99"/>
      <x:c r="B475" s="99"/>
      <x:c r="C475" s="99"/>
      <x:c r="D475" s="99"/>
      <x:c r="E475" s="99"/>
      <x:c r="F475" s="99"/>
      <x:c r="G475" s="99"/>
      <x:c r="H475" s="99"/>
      <x:c r="I475" s="99"/>
      <x:c r="J475" s="99"/>
      <x:c r="K475" s="99"/>
      <x:c r="L475" s="99"/>
      <x:c r="M475" s="99"/>
      <x:c r="N475" s="99"/>
      <x:c r="O475" s="99"/>
      <x:c r="P475" s="99"/>
      <x:c r="Q475" s="99"/>
      <x:c r="R475" s="99"/>
      <x:c r="S475" s="99"/>
      <x:c r="T475" s="99"/>
      <x:c r="U475" s="99"/>
      <x:c r="V475" s="99"/>
      <x:c r="W475" s="99"/>
      <x:c r="X475" s="99"/>
      <x:c r="Y475" s="99"/>
      <x:c r="Z475" s="99"/>
    </x:row>
    <x:row r="476">
      <x:c r="A476" s="99"/>
      <x:c r="B476" s="99"/>
      <x:c r="C476" s="99"/>
      <x:c r="D476" s="99"/>
      <x:c r="E476" s="99"/>
      <x:c r="F476" s="99"/>
      <x:c r="G476" s="99"/>
      <x:c r="H476" s="99"/>
      <x:c r="I476" s="99"/>
      <x:c r="J476" s="99"/>
      <x:c r="K476" s="99"/>
      <x:c r="L476" s="99"/>
      <x:c r="M476" s="99"/>
      <x:c r="N476" s="99"/>
      <x:c r="O476" s="99"/>
      <x:c r="P476" s="99"/>
      <x:c r="Q476" s="99"/>
      <x:c r="R476" s="99"/>
      <x:c r="S476" s="99"/>
      <x:c r="T476" s="99"/>
      <x:c r="U476" s="99"/>
      <x:c r="V476" s="99"/>
      <x:c r="W476" s="99"/>
      <x:c r="X476" s="99"/>
      <x:c r="Y476" s="99"/>
      <x:c r="Z476" s="99"/>
    </x:row>
    <x:row r="477">
      <x:c r="A477" s="99"/>
      <x:c r="B477" s="99"/>
      <x:c r="C477" s="99"/>
      <x:c r="D477" s="99"/>
      <x:c r="E477" s="99"/>
      <x:c r="F477" s="99"/>
      <x:c r="G477" s="99"/>
      <x:c r="H477" s="99"/>
      <x:c r="I477" s="99"/>
      <x:c r="J477" s="99"/>
      <x:c r="K477" s="99"/>
      <x:c r="L477" s="99"/>
      <x:c r="M477" s="99"/>
      <x:c r="N477" s="99"/>
      <x:c r="O477" s="99"/>
      <x:c r="P477" s="99"/>
      <x:c r="Q477" s="99"/>
      <x:c r="R477" s="99"/>
      <x:c r="S477" s="99"/>
      <x:c r="T477" s="99"/>
      <x:c r="U477" s="99"/>
      <x:c r="V477" s="99"/>
      <x:c r="W477" s="99"/>
      <x:c r="X477" s="99"/>
      <x:c r="Y477" s="99"/>
      <x:c r="Z477" s="99"/>
    </x:row>
    <x:row r="478">
      <x:c r="A478" s="99"/>
      <x:c r="B478" s="99"/>
      <x:c r="C478" s="99"/>
      <x:c r="D478" s="99"/>
      <x:c r="E478" s="99"/>
      <x:c r="F478" s="99"/>
      <x:c r="G478" s="99"/>
      <x:c r="H478" s="99"/>
      <x:c r="I478" s="99"/>
      <x:c r="J478" s="99"/>
      <x:c r="K478" s="99"/>
      <x:c r="L478" s="99"/>
      <x:c r="M478" s="99"/>
      <x:c r="N478" s="99"/>
      <x:c r="O478" s="99"/>
      <x:c r="P478" s="99"/>
      <x:c r="Q478" s="99"/>
      <x:c r="R478" s="99"/>
      <x:c r="S478" s="99"/>
      <x:c r="T478" s="99"/>
      <x:c r="U478" s="99"/>
      <x:c r="V478" s="99"/>
      <x:c r="W478" s="99"/>
      <x:c r="X478" s="99"/>
      <x:c r="Y478" s="99"/>
      <x:c r="Z478" s="99"/>
    </x:row>
    <x:row r="479">
      <x:c r="A479" s="99"/>
      <x:c r="B479" s="99"/>
      <x:c r="C479" s="99"/>
      <x:c r="D479" s="99"/>
      <x:c r="E479" s="99"/>
      <x:c r="F479" s="99"/>
      <x:c r="G479" s="99"/>
      <x:c r="H479" s="99"/>
      <x:c r="I479" s="99"/>
      <x:c r="J479" s="99"/>
      <x:c r="K479" s="99"/>
      <x:c r="L479" s="99"/>
      <x:c r="M479" s="99"/>
      <x:c r="N479" s="99"/>
      <x:c r="O479" s="99"/>
      <x:c r="P479" s="99"/>
      <x:c r="Q479" s="99"/>
      <x:c r="R479" s="99"/>
      <x:c r="S479" s="99"/>
      <x:c r="T479" s="99"/>
      <x:c r="U479" s="99"/>
      <x:c r="V479" s="99"/>
      <x:c r="W479" s="99"/>
      <x:c r="X479" s="99"/>
      <x:c r="Y479" s="99"/>
      <x:c r="Z479" s="99"/>
    </x:row>
    <x:row r="480">
      <x:c r="A480" s="99"/>
      <x:c r="B480" s="99"/>
      <x:c r="C480" s="99"/>
      <x:c r="D480" s="99"/>
      <x:c r="E480" s="99"/>
      <x:c r="F480" s="99"/>
      <x:c r="G480" s="99"/>
      <x:c r="H480" s="99"/>
      <x:c r="I480" s="99"/>
      <x:c r="J480" s="99"/>
      <x:c r="K480" s="99"/>
      <x:c r="L480" s="99"/>
      <x:c r="M480" s="99"/>
      <x:c r="N480" s="99"/>
      <x:c r="O480" s="99"/>
      <x:c r="P480" s="99"/>
      <x:c r="Q480" s="99"/>
      <x:c r="R480" s="99"/>
      <x:c r="S480" s="99"/>
      <x:c r="T480" s="99"/>
      <x:c r="U480" s="99"/>
      <x:c r="V480" s="99"/>
      <x:c r="W480" s="99"/>
      <x:c r="X480" s="99"/>
      <x:c r="Y480" s="99"/>
      <x:c r="Z480" s="99"/>
    </x:row>
    <x:row r="481">
      <x:c r="A481" s="99"/>
      <x:c r="B481" s="99"/>
      <x:c r="C481" s="99"/>
      <x:c r="D481" s="99"/>
      <x:c r="E481" s="99"/>
      <x:c r="F481" s="99"/>
      <x:c r="G481" s="99"/>
      <x:c r="H481" s="99"/>
      <x:c r="I481" s="99"/>
      <x:c r="J481" s="99"/>
      <x:c r="K481" s="99"/>
      <x:c r="L481" s="99"/>
      <x:c r="M481" s="99"/>
      <x:c r="N481" s="99"/>
      <x:c r="O481" s="99"/>
      <x:c r="P481" s="99"/>
      <x:c r="Q481" s="99"/>
      <x:c r="R481" s="99"/>
      <x:c r="S481" s="99"/>
      <x:c r="T481" s="99"/>
      <x:c r="U481" s="99"/>
      <x:c r="V481" s="99"/>
      <x:c r="W481" s="99"/>
      <x:c r="X481" s="99"/>
      <x:c r="Y481" s="99"/>
      <x:c r="Z481" s="99"/>
    </x:row>
    <x:row r="482">
      <x:c r="A482" s="99"/>
      <x:c r="B482" s="99"/>
      <x:c r="C482" s="99"/>
      <x:c r="D482" s="99"/>
      <x:c r="E482" s="99"/>
      <x:c r="F482" s="99"/>
      <x:c r="G482" s="99"/>
      <x:c r="H482" s="99"/>
      <x:c r="I482" s="99"/>
      <x:c r="J482" s="99"/>
      <x:c r="K482" s="99"/>
      <x:c r="L482" s="99"/>
      <x:c r="M482" s="99"/>
      <x:c r="N482" s="99"/>
      <x:c r="O482" s="99"/>
      <x:c r="P482" s="99"/>
      <x:c r="Q482" s="99"/>
      <x:c r="R482" s="99"/>
      <x:c r="S482" s="99"/>
      <x:c r="T482" s="99"/>
      <x:c r="U482" s="99"/>
      <x:c r="V482" s="99"/>
      <x:c r="W482" s="99"/>
      <x:c r="X482" s="99"/>
      <x:c r="Y482" s="99"/>
      <x:c r="Z482" s="99"/>
    </x:row>
    <x:row r="483">
      <x:c r="A483" s="99"/>
      <x:c r="B483" s="99"/>
      <x:c r="C483" s="99"/>
      <x:c r="D483" s="99"/>
      <x:c r="E483" s="99"/>
      <x:c r="F483" s="99"/>
      <x:c r="G483" s="99"/>
      <x:c r="H483" s="99"/>
      <x:c r="I483" s="99"/>
      <x:c r="J483" s="99"/>
      <x:c r="K483" s="99"/>
      <x:c r="L483" s="99"/>
      <x:c r="M483" s="99"/>
      <x:c r="N483" s="99"/>
      <x:c r="O483" s="99"/>
      <x:c r="P483" s="99"/>
      <x:c r="Q483" s="99"/>
      <x:c r="R483" s="99"/>
      <x:c r="S483" s="99"/>
      <x:c r="T483" s="99"/>
      <x:c r="U483" s="99"/>
      <x:c r="V483" s="99"/>
      <x:c r="W483" s="99"/>
      <x:c r="X483" s="99"/>
      <x:c r="Y483" s="99"/>
      <x:c r="Z483" s="99"/>
    </x:row>
    <x:row r="484">
      <x:c r="A484" s="99"/>
      <x:c r="B484" s="99"/>
      <x:c r="C484" s="99"/>
      <x:c r="D484" s="99"/>
      <x:c r="E484" s="99"/>
      <x:c r="F484" s="99"/>
      <x:c r="G484" s="99"/>
      <x:c r="H484" s="99"/>
      <x:c r="I484" s="99"/>
      <x:c r="J484" s="99"/>
      <x:c r="K484" s="99"/>
      <x:c r="L484" s="99"/>
      <x:c r="M484" s="99"/>
      <x:c r="N484" s="99"/>
      <x:c r="O484" s="99"/>
      <x:c r="P484" s="99"/>
      <x:c r="Q484" s="99"/>
      <x:c r="R484" s="99"/>
      <x:c r="S484" s="99"/>
      <x:c r="T484" s="99"/>
      <x:c r="U484" s="99"/>
      <x:c r="V484" s="99"/>
      <x:c r="W484" s="99"/>
      <x:c r="X484" s="99"/>
      <x:c r="Y484" s="99"/>
      <x:c r="Z484" s="99"/>
    </x:row>
    <x:row r="485">
      <x:c r="A485" s="99"/>
      <x:c r="B485" s="99"/>
      <x:c r="C485" s="99"/>
      <x:c r="D485" s="99"/>
      <x:c r="E485" s="99"/>
      <x:c r="F485" s="99"/>
      <x:c r="G485" s="99"/>
      <x:c r="H485" s="99"/>
      <x:c r="I485" s="99"/>
      <x:c r="J485" s="99"/>
      <x:c r="K485" s="99"/>
      <x:c r="L485" s="99"/>
      <x:c r="M485" s="99"/>
      <x:c r="N485" s="99"/>
      <x:c r="O485" s="99"/>
      <x:c r="P485" s="99"/>
      <x:c r="Q485" s="99"/>
      <x:c r="R485" s="99"/>
      <x:c r="S485" s="99"/>
      <x:c r="T485" s="99"/>
      <x:c r="U485" s="99"/>
      <x:c r="V485" s="99"/>
      <x:c r="W485" s="99"/>
      <x:c r="X485" s="99"/>
      <x:c r="Y485" s="99"/>
      <x:c r="Z485" s="99"/>
    </x:row>
    <x:row r="486">
      <x:c r="A486" s="99"/>
      <x:c r="B486" s="99"/>
      <x:c r="C486" s="99"/>
      <x:c r="D486" s="99"/>
      <x:c r="E486" s="99"/>
      <x:c r="F486" s="99"/>
      <x:c r="G486" s="99"/>
      <x:c r="H486" s="99"/>
      <x:c r="I486" s="99"/>
      <x:c r="J486" s="99"/>
      <x:c r="K486" s="99"/>
      <x:c r="L486" s="99"/>
      <x:c r="M486" s="99"/>
      <x:c r="N486" s="99"/>
      <x:c r="O486" s="99"/>
      <x:c r="P486" s="99"/>
      <x:c r="Q486" s="99"/>
      <x:c r="R486" s="99"/>
      <x:c r="S486" s="99"/>
      <x:c r="T486" s="99"/>
      <x:c r="U486" s="99"/>
      <x:c r="V486" s="99"/>
      <x:c r="W486" s="99"/>
      <x:c r="X486" s="99"/>
      <x:c r="Y486" s="99"/>
      <x:c r="Z486" s="99"/>
    </x:row>
    <x:row r="487">
      <x:c r="A487" s="99"/>
      <x:c r="B487" s="99"/>
      <x:c r="C487" s="99"/>
      <x:c r="D487" s="99"/>
      <x:c r="E487" s="99"/>
      <x:c r="F487" s="99"/>
      <x:c r="G487" s="99"/>
      <x:c r="H487" s="99"/>
      <x:c r="I487" s="99"/>
      <x:c r="J487" s="99"/>
      <x:c r="K487" s="99"/>
      <x:c r="L487" s="99"/>
      <x:c r="M487" s="99"/>
      <x:c r="N487" s="99"/>
      <x:c r="O487" s="99"/>
      <x:c r="P487" s="99"/>
      <x:c r="Q487" s="99"/>
      <x:c r="R487" s="99"/>
      <x:c r="S487" s="99"/>
      <x:c r="T487" s="99"/>
      <x:c r="U487" s="99"/>
      <x:c r="V487" s="99"/>
      <x:c r="W487" s="99"/>
      <x:c r="X487" s="99"/>
      <x:c r="Y487" s="99"/>
      <x:c r="Z487" s="99"/>
    </x:row>
    <x:row r="488">
      <x:c r="A488" s="99"/>
      <x:c r="B488" s="99"/>
      <x:c r="C488" s="99"/>
      <x:c r="D488" s="99"/>
      <x:c r="E488" s="99"/>
      <x:c r="F488" s="99"/>
      <x:c r="G488" s="99"/>
      <x:c r="H488" s="99"/>
      <x:c r="I488" s="99"/>
      <x:c r="J488" s="99"/>
      <x:c r="K488" s="99"/>
      <x:c r="L488" s="99"/>
      <x:c r="M488" s="99"/>
      <x:c r="N488" s="99"/>
      <x:c r="O488" s="99"/>
      <x:c r="P488" s="99"/>
      <x:c r="Q488" s="99"/>
      <x:c r="R488" s="99"/>
      <x:c r="S488" s="99"/>
      <x:c r="T488" s="99"/>
      <x:c r="U488" s="99"/>
      <x:c r="V488" s="99"/>
      <x:c r="W488" s="99"/>
      <x:c r="X488" s="99"/>
      <x:c r="Y488" s="99"/>
      <x:c r="Z488" s="99"/>
    </x:row>
    <x:row r="489">
      <x:c r="A489" s="99"/>
      <x:c r="B489" s="99"/>
      <x:c r="C489" s="99"/>
      <x:c r="D489" s="99"/>
      <x:c r="E489" s="99"/>
      <x:c r="F489" s="99"/>
      <x:c r="G489" s="99"/>
      <x:c r="H489" s="99"/>
      <x:c r="I489" s="99"/>
      <x:c r="J489" s="99"/>
      <x:c r="K489" s="99"/>
      <x:c r="L489" s="99"/>
      <x:c r="M489" s="99"/>
      <x:c r="N489" s="99"/>
      <x:c r="O489" s="99"/>
      <x:c r="P489" s="99"/>
      <x:c r="Q489" s="99"/>
      <x:c r="R489" s="99"/>
      <x:c r="S489" s="99"/>
      <x:c r="T489" s="99"/>
      <x:c r="U489" s="99"/>
      <x:c r="V489" s="99"/>
      <x:c r="W489" s="99"/>
      <x:c r="X489" s="99"/>
      <x:c r="Y489" s="99"/>
      <x:c r="Z489" s="99"/>
    </x:row>
    <x:row r="490">
      <x:c r="A490" s="99"/>
      <x:c r="B490" s="99"/>
      <x:c r="C490" s="99"/>
      <x:c r="D490" s="99"/>
      <x:c r="E490" s="99"/>
      <x:c r="F490" s="99"/>
      <x:c r="G490" s="99"/>
      <x:c r="H490" s="99"/>
      <x:c r="I490" s="99"/>
      <x:c r="J490" s="99"/>
      <x:c r="K490" s="99"/>
      <x:c r="L490" s="99"/>
      <x:c r="M490" s="99"/>
      <x:c r="N490" s="99"/>
      <x:c r="O490" s="99"/>
      <x:c r="P490" s="99"/>
      <x:c r="Q490" s="99"/>
      <x:c r="R490" s="99"/>
      <x:c r="S490" s="99"/>
      <x:c r="T490" s="99"/>
      <x:c r="U490" s="99"/>
      <x:c r="V490" s="99"/>
      <x:c r="W490" s="99"/>
      <x:c r="X490" s="99"/>
      <x:c r="Y490" s="99"/>
      <x:c r="Z490" s="99"/>
    </x:row>
    <x:row r="491">
      <x:c r="A491" s="99"/>
      <x:c r="B491" s="99"/>
      <x:c r="C491" s="99"/>
      <x:c r="D491" s="99"/>
      <x:c r="E491" s="99"/>
      <x:c r="F491" s="99"/>
      <x:c r="G491" s="99"/>
      <x:c r="H491" s="99"/>
      <x:c r="I491" s="99"/>
      <x:c r="J491" s="99"/>
      <x:c r="K491" s="99"/>
      <x:c r="L491" s="99"/>
      <x:c r="M491" s="99"/>
      <x:c r="N491" s="99"/>
      <x:c r="O491" s="99"/>
      <x:c r="P491" s="99"/>
      <x:c r="Q491" s="99"/>
      <x:c r="R491" s="99"/>
      <x:c r="S491" s="99"/>
      <x:c r="T491" s="99"/>
      <x:c r="U491" s="99"/>
      <x:c r="V491" s="99"/>
      <x:c r="W491" s="99"/>
      <x:c r="X491" s="99"/>
      <x:c r="Y491" s="99"/>
      <x:c r="Z491" s="99"/>
    </x:row>
    <x:row r="492">
      <x:c r="A492" s="99"/>
      <x:c r="B492" s="99"/>
      <x:c r="C492" s="99"/>
      <x:c r="D492" s="99"/>
      <x:c r="E492" s="99"/>
      <x:c r="F492" s="99"/>
      <x:c r="G492" s="99"/>
      <x:c r="H492" s="99"/>
      <x:c r="I492" s="99"/>
      <x:c r="J492" s="99"/>
      <x:c r="K492" s="99"/>
      <x:c r="L492" s="99"/>
      <x:c r="M492" s="99"/>
      <x:c r="N492" s="99"/>
      <x:c r="O492" s="99"/>
      <x:c r="P492" s="99"/>
      <x:c r="Q492" s="99"/>
      <x:c r="R492" s="99"/>
      <x:c r="S492" s="99"/>
      <x:c r="T492" s="99"/>
      <x:c r="U492" s="99"/>
      <x:c r="V492" s="99"/>
      <x:c r="W492" s="99"/>
      <x:c r="X492" s="99"/>
      <x:c r="Y492" s="99"/>
      <x:c r="Z492" s="99"/>
    </x:row>
    <x:row r="493">
      <x:c r="A493" s="99"/>
      <x:c r="B493" s="99"/>
      <x:c r="C493" s="99"/>
      <x:c r="D493" s="99"/>
      <x:c r="E493" s="99"/>
      <x:c r="F493" s="99"/>
      <x:c r="G493" s="99"/>
      <x:c r="H493" s="99"/>
      <x:c r="I493" s="99"/>
      <x:c r="J493" s="99"/>
      <x:c r="K493" s="99"/>
      <x:c r="L493" s="99"/>
      <x:c r="M493" s="99"/>
      <x:c r="N493" s="99"/>
      <x:c r="O493" s="99"/>
      <x:c r="P493" s="99"/>
      <x:c r="Q493" s="99"/>
      <x:c r="R493" s="99"/>
      <x:c r="S493" s="99"/>
      <x:c r="T493" s="99"/>
      <x:c r="U493" s="99"/>
      <x:c r="V493" s="99"/>
      <x:c r="W493" s="99"/>
      <x:c r="X493" s="99"/>
      <x:c r="Y493" s="99"/>
      <x:c r="Z493" s="99"/>
    </x:row>
    <x:row r="494">
      <x:c r="A494" s="99"/>
      <x:c r="B494" s="99"/>
      <x:c r="C494" s="99"/>
      <x:c r="D494" s="99"/>
      <x:c r="E494" s="99"/>
      <x:c r="F494" s="99"/>
      <x:c r="G494" s="99"/>
      <x:c r="H494" s="99"/>
      <x:c r="I494" s="99"/>
      <x:c r="J494" s="99"/>
      <x:c r="K494" s="99"/>
      <x:c r="L494" s="99"/>
      <x:c r="M494" s="99"/>
      <x:c r="N494" s="99"/>
      <x:c r="O494" s="99"/>
      <x:c r="P494" s="99"/>
      <x:c r="Q494" s="99"/>
      <x:c r="R494" s="99"/>
      <x:c r="S494" s="99"/>
      <x:c r="T494" s="99"/>
      <x:c r="U494" s="99"/>
      <x:c r="V494" s="99"/>
      <x:c r="W494" s="99"/>
      <x:c r="X494" s="99"/>
      <x:c r="Y494" s="99"/>
      <x:c r="Z494" s="99"/>
    </x:row>
    <x:row r="495">
      <x:c r="A495" s="99"/>
      <x:c r="B495" s="99"/>
      <x:c r="C495" s="99"/>
      <x:c r="D495" s="99"/>
      <x:c r="E495" s="99"/>
      <x:c r="F495" s="99"/>
      <x:c r="G495" s="99"/>
      <x:c r="H495" s="99"/>
      <x:c r="I495" s="99"/>
      <x:c r="J495" s="99"/>
      <x:c r="K495" s="99"/>
      <x:c r="L495" s="99"/>
      <x:c r="M495" s="99"/>
      <x:c r="N495" s="99"/>
      <x:c r="O495" s="99"/>
      <x:c r="P495" s="99"/>
      <x:c r="Q495" s="99"/>
      <x:c r="R495" s="99"/>
      <x:c r="S495" s="99"/>
      <x:c r="T495" s="99"/>
      <x:c r="U495" s="99"/>
      <x:c r="V495" s="99"/>
      <x:c r="W495" s="99"/>
      <x:c r="X495" s="99"/>
      <x:c r="Y495" s="99"/>
      <x:c r="Z495" s="99"/>
    </x:row>
    <x:row r="496">
      <x:c r="A496" s="99"/>
      <x:c r="B496" s="99"/>
      <x:c r="C496" s="99"/>
      <x:c r="D496" s="99"/>
      <x:c r="E496" s="99"/>
      <x:c r="F496" s="99"/>
      <x:c r="G496" s="99"/>
      <x:c r="H496" s="99"/>
      <x:c r="I496" s="99"/>
      <x:c r="J496" s="99"/>
      <x:c r="K496" s="99"/>
      <x:c r="L496" s="99"/>
      <x:c r="M496" s="99"/>
      <x:c r="N496" s="99"/>
      <x:c r="O496" s="99"/>
      <x:c r="P496" s="99"/>
      <x:c r="Q496" s="99"/>
      <x:c r="R496" s="99"/>
      <x:c r="S496" s="99"/>
      <x:c r="T496" s="99"/>
      <x:c r="U496" s="99"/>
      <x:c r="V496" s="99"/>
      <x:c r="W496" s="99"/>
      <x:c r="X496" s="99"/>
      <x:c r="Y496" s="99"/>
      <x:c r="Z496" s="99"/>
    </x:row>
    <x:row r="497">
      <x:c r="A497" s="99"/>
      <x:c r="B497" s="99"/>
      <x:c r="C497" s="99"/>
      <x:c r="D497" s="99"/>
      <x:c r="E497" s="99"/>
      <x:c r="F497" s="99"/>
      <x:c r="G497" s="99"/>
      <x:c r="H497" s="99"/>
      <x:c r="I497" s="99"/>
      <x:c r="J497" s="99"/>
      <x:c r="K497" s="99"/>
      <x:c r="L497" s="99"/>
      <x:c r="M497" s="99"/>
      <x:c r="N497" s="99"/>
      <x:c r="O497" s="99"/>
      <x:c r="P497" s="99"/>
      <x:c r="Q497" s="99"/>
      <x:c r="R497" s="99"/>
      <x:c r="S497" s="99"/>
      <x:c r="T497" s="99"/>
      <x:c r="U497" s="99"/>
      <x:c r="V497" s="99"/>
      <x:c r="W497" s="99"/>
      <x:c r="X497" s="99"/>
      <x:c r="Y497" s="99"/>
      <x:c r="Z497" s="99"/>
    </x:row>
    <x:row r="498">
      <x:c r="A498" s="99"/>
      <x:c r="B498" s="99"/>
      <x:c r="C498" s="99"/>
      <x:c r="D498" s="99"/>
      <x:c r="E498" s="99"/>
      <x:c r="F498" s="99"/>
      <x:c r="G498" s="99"/>
      <x:c r="H498" s="99"/>
      <x:c r="I498" s="99"/>
      <x:c r="J498" s="99"/>
      <x:c r="K498" s="99"/>
      <x:c r="L498" s="99"/>
      <x:c r="M498" s="99"/>
      <x:c r="N498" s="99"/>
      <x:c r="O498" s="99"/>
      <x:c r="P498" s="99"/>
      <x:c r="Q498" s="99"/>
      <x:c r="R498" s="99"/>
      <x:c r="S498" s="99"/>
      <x:c r="T498" s="99"/>
      <x:c r="U498" s="99"/>
      <x:c r="V498" s="99"/>
      <x:c r="W498" s="99"/>
      <x:c r="X498" s="99"/>
      <x:c r="Y498" s="99"/>
      <x:c r="Z498" s="99"/>
    </x:row>
    <x:row r="499">
      <x:c r="A499" s="99"/>
      <x:c r="B499" s="99"/>
      <x:c r="C499" s="99"/>
      <x:c r="D499" s="99"/>
      <x:c r="E499" s="99"/>
      <x:c r="F499" s="99"/>
      <x:c r="G499" s="99"/>
      <x:c r="H499" s="99"/>
      <x:c r="I499" s="99"/>
      <x:c r="J499" s="99"/>
      <x:c r="K499" s="99"/>
      <x:c r="L499" s="99"/>
      <x:c r="M499" s="99"/>
      <x:c r="N499" s="99"/>
      <x:c r="O499" s="99"/>
      <x:c r="P499" s="99"/>
      <x:c r="Q499" s="99"/>
      <x:c r="R499" s="99"/>
      <x:c r="S499" s="99"/>
      <x:c r="T499" s="99"/>
      <x:c r="U499" s="99"/>
      <x:c r="V499" s="99"/>
      <x:c r="W499" s="99"/>
      <x:c r="X499" s="99"/>
      <x:c r="Y499" s="99"/>
      <x:c r="Z499" s="99"/>
    </x:row>
    <x:row r="500">
      <x:c r="A500" s="99"/>
      <x:c r="B500" s="99"/>
      <x:c r="C500" s="99"/>
      <x:c r="D500" s="99"/>
      <x:c r="E500" s="99"/>
      <x:c r="F500" s="99"/>
      <x:c r="G500" s="99"/>
      <x:c r="H500" s="99"/>
      <x:c r="I500" s="99"/>
      <x:c r="J500" s="99"/>
      <x:c r="K500" s="99"/>
      <x:c r="L500" s="99"/>
      <x:c r="M500" s="99"/>
      <x:c r="N500" s="99"/>
      <x:c r="O500" s="99"/>
      <x:c r="P500" s="99"/>
      <x:c r="Q500" s="99"/>
      <x:c r="R500" s="99"/>
      <x:c r="S500" s="99"/>
      <x:c r="T500" s="99"/>
      <x:c r="U500" s="99"/>
      <x:c r="V500" s="99"/>
      <x:c r="W500" s="99"/>
      <x:c r="X500" s="99"/>
      <x:c r="Y500" s="99"/>
      <x:c r="Z500" s="99"/>
    </x:row>
    <x:row r="501">
      <x:c r="A501" s="99"/>
      <x:c r="B501" s="99"/>
      <x:c r="C501" s="99"/>
      <x:c r="D501" s="99"/>
      <x:c r="E501" s="99"/>
      <x:c r="F501" s="99"/>
      <x:c r="G501" s="99"/>
      <x:c r="H501" s="99"/>
      <x:c r="I501" s="99"/>
      <x:c r="J501" s="99"/>
      <x:c r="K501" s="99"/>
      <x:c r="L501" s="99"/>
      <x:c r="M501" s="99"/>
      <x:c r="N501" s="99"/>
      <x:c r="O501" s="99"/>
      <x:c r="P501" s="99"/>
      <x:c r="Q501" s="99"/>
      <x:c r="R501" s="99"/>
      <x:c r="S501" s="99"/>
      <x:c r="T501" s="99"/>
      <x:c r="U501" s="99"/>
      <x:c r="V501" s="99"/>
      <x:c r="W501" s="99"/>
      <x:c r="X501" s="99"/>
      <x:c r="Y501" s="99"/>
      <x:c r="Z501" s="99"/>
    </x:row>
    <x:row r="502">
      <x:c r="A502" s="99"/>
      <x:c r="B502" s="99"/>
      <x:c r="C502" s="99"/>
      <x:c r="D502" s="99"/>
      <x:c r="E502" s="99"/>
      <x:c r="F502" s="99"/>
      <x:c r="G502" s="99"/>
      <x:c r="H502" s="99"/>
      <x:c r="I502" s="99"/>
      <x:c r="J502" s="99"/>
      <x:c r="K502" s="99"/>
      <x:c r="L502" s="99"/>
      <x:c r="M502" s="99"/>
      <x:c r="N502" s="99"/>
      <x:c r="O502" s="99"/>
      <x:c r="P502" s="99"/>
      <x:c r="Q502" s="99"/>
      <x:c r="R502" s="99"/>
      <x:c r="S502" s="99"/>
      <x:c r="T502" s="99"/>
      <x:c r="U502" s="99"/>
      <x:c r="V502" s="99"/>
      <x:c r="W502" s="99"/>
      <x:c r="X502" s="99"/>
      <x:c r="Y502" s="99"/>
      <x:c r="Z502" s="99"/>
    </x:row>
    <x:row r="503">
      <x:c r="A503" s="99"/>
      <x:c r="B503" s="99"/>
      <x:c r="C503" s="99"/>
      <x:c r="D503" s="99"/>
      <x:c r="E503" s="99"/>
      <x:c r="F503" s="99"/>
      <x:c r="G503" s="99"/>
      <x:c r="H503" s="99"/>
      <x:c r="I503" s="99"/>
      <x:c r="J503" s="99"/>
      <x:c r="K503" s="99"/>
      <x:c r="L503" s="99"/>
      <x:c r="M503" s="99"/>
      <x:c r="N503" s="99"/>
      <x:c r="O503" s="99"/>
      <x:c r="P503" s="99"/>
      <x:c r="Q503" s="99"/>
      <x:c r="R503" s="99"/>
      <x:c r="S503" s="99"/>
      <x:c r="T503" s="99"/>
      <x:c r="U503" s="99"/>
      <x:c r="V503" s="99"/>
      <x:c r="W503" s="99"/>
      <x:c r="X503" s="99"/>
      <x:c r="Y503" s="99"/>
      <x:c r="Z503" s="99"/>
    </x:row>
    <x:row r="504">
      <x:c r="A504" s="99"/>
      <x:c r="B504" s="99"/>
      <x:c r="C504" s="99"/>
      <x:c r="D504" s="99"/>
      <x:c r="E504" s="99"/>
      <x:c r="F504" s="99"/>
      <x:c r="G504" s="99"/>
      <x:c r="H504" s="99"/>
      <x:c r="I504" s="99"/>
      <x:c r="J504" s="99"/>
      <x:c r="K504" s="99"/>
      <x:c r="L504" s="99"/>
      <x:c r="M504" s="99"/>
      <x:c r="N504" s="99"/>
      <x:c r="O504" s="99"/>
      <x:c r="P504" s="99"/>
      <x:c r="Q504" s="99"/>
      <x:c r="R504" s="99"/>
      <x:c r="S504" s="99"/>
      <x:c r="T504" s="99"/>
      <x:c r="U504" s="99"/>
      <x:c r="V504" s="99"/>
      <x:c r="W504" s="99"/>
      <x:c r="X504" s="99"/>
      <x:c r="Y504" s="99"/>
      <x:c r="Z504" s="99"/>
    </x:row>
    <x:row r="505">
      <x:c r="A505" s="99"/>
      <x:c r="B505" s="99"/>
      <x:c r="C505" s="99"/>
      <x:c r="D505" s="99"/>
      <x:c r="E505" s="99"/>
      <x:c r="F505" s="99"/>
      <x:c r="G505" s="99"/>
      <x:c r="H505" s="99"/>
      <x:c r="I505" s="99"/>
      <x:c r="J505" s="99"/>
      <x:c r="K505" s="99"/>
      <x:c r="L505" s="99"/>
      <x:c r="M505" s="99"/>
      <x:c r="N505" s="99"/>
      <x:c r="O505" s="99"/>
      <x:c r="P505" s="99"/>
      <x:c r="Q505" s="99"/>
      <x:c r="R505" s="99"/>
      <x:c r="S505" s="99"/>
      <x:c r="T505" s="99"/>
      <x:c r="U505" s="99"/>
      <x:c r="V505" s="99"/>
      <x:c r="W505" s="99"/>
      <x:c r="X505" s="99"/>
      <x:c r="Y505" s="99"/>
      <x:c r="Z505" s="99"/>
    </x:row>
    <x:row r="506">
      <x:c r="A506" s="99"/>
      <x:c r="B506" s="99"/>
      <x:c r="C506" s="99"/>
      <x:c r="D506" s="99"/>
      <x:c r="E506" s="99"/>
      <x:c r="F506" s="99"/>
      <x:c r="G506" s="99"/>
      <x:c r="H506" s="99"/>
      <x:c r="I506" s="99"/>
      <x:c r="J506" s="99"/>
      <x:c r="K506" s="99"/>
      <x:c r="L506" s="99"/>
      <x:c r="M506" s="99"/>
      <x:c r="N506" s="99"/>
      <x:c r="O506" s="99"/>
      <x:c r="P506" s="99"/>
      <x:c r="Q506" s="99"/>
      <x:c r="R506" s="99"/>
      <x:c r="S506" s="99"/>
      <x:c r="T506" s="99"/>
      <x:c r="U506" s="99"/>
      <x:c r="V506" s="99"/>
      <x:c r="W506" s="99"/>
      <x:c r="X506" s="99"/>
      <x:c r="Y506" s="99"/>
      <x:c r="Z506" s="99"/>
    </x:row>
    <x:row r="507">
      <x:c r="A507" s="99"/>
      <x:c r="B507" s="99"/>
      <x:c r="C507" s="99"/>
      <x:c r="D507" s="99"/>
      <x:c r="E507" s="99"/>
      <x:c r="F507" s="99"/>
      <x:c r="G507" s="99"/>
      <x:c r="H507" s="99"/>
      <x:c r="I507" s="99"/>
      <x:c r="J507" s="99"/>
      <x:c r="K507" s="99"/>
      <x:c r="L507" s="99"/>
      <x:c r="M507" s="99"/>
      <x:c r="N507" s="99"/>
      <x:c r="O507" s="99"/>
      <x:c r="P507" s="99"/>
      <x:c r="Q507" s="99"/>
      <x:c r="R507" s="99"/>
      <x:c r="S507" s="99"/>
      <x:c r="T507" s="99"/>
      <x:c r="U507" s="99"/>
      <x:c r="V507" s="99"/>
      <x:c r="W507" s="99"/>
      <x:c r="X507" s="99"/>
      <x:c r="Y507" s="99"/>
      <x:c r="Z507" s="99"/>
    </x:row>
    <x:row r="508">
      <x:c r="A508" s="99"/>
      <x:c r="B508" s="99"/>
      <x:c r="C508" s="99"/>
      <x:c r="D508" s="99"/>
      <x:c r="E508" s="99"/>
      <x:c r="F508" s="99"/>
      <x:c r="G508" s="99"/>
      <x:c r="H508" s="99"/>
      <x:c r="I508" s="99"/>
      <x:c r="J508" s="99"/>
      <x:c r="K508" s="99"/>
      <x:c r="L508" s="99"/>
      <x:c r="M508" s="99"/>
      <x:c r="N508" s="99"/>
      <x:c r="O508" s="99"/>
      <x:c r="P508" s="99"/>
      <x:c r="Q508" s="99"/>
      <x:c r="R508" s="99"/>
      <x:c r="S508" s="99"/>
      <x:c r="T508" s="99"/>
      <x:c r="U508" s="99"/>
      <x:c r="V508" s="99"/>
      <x:c r="W508" s="99"/>
      <x:c r="X508" s="99"/>
      <x:c r="Y508" s="99"/>
      <x:c r="Z508" s="99"/>
    </x:row>
    <x:row r="509">
      <x:c r="A509" s="99"/>
      <x:c r="B509" s="99"/>
      <x:c r="C509" s="99"/>
      <x:c r="D509" s="99"/>
      <x:c r="E509" s="99"/>
      <x:c r="F509" s="99"/>
      <x:c r="G509" s="99"/>
      <x:c r="H509" s="99"/>
      <x:c r="I509" s="99"/>
      <x:c r="J509" s="99"/>
      <x:c r="K509" s="99"/>
      <x:c r="L509" s="99"/>
      <x:c r="M509" s="99"/>
      <x:c r="N509" s="99"/>
      <x:c r="O509" s="99"/>
      <x:c r="P509" s="99"/>
      <x:c r="Q509" s="99"/>
      <x:c r="R509" s="99"/>
      <x:c r="S509" s="99"/>
      <x:c r="T509" s="99"/>
      <x:c r="U509" s="99"/>
      <x:c r="V509" s="99"/>
      <x:c r="W509" s="99"/>
      <x:c r="X509" s="99"/>
      <x:c r="Y509" s="99"/>
      <x:c r="Z509" s="99"/>
    </x:row>
    <x:row r="510">
      <x:c r="A510" s="99"/>
      <x:c r="B510" s="99"/>
      <x:c r="C510" s="99"/>
      <x:c r="D510" s="99"/>
      <x:c r="E510" s="99"/>
      <x:c r="F510" s="99"/>
      <x:c r="G510" s="99"/>
      <x:c r="H510" s="99"/>
      <x:c r="I510" s="99"/>
      <x:c r="J510" s="99"/>
      <x:c r="K510" s="99"/>
      <x:c r="L510" s="99"/>
      <x:c r="M510" s="99"/>
      <x:c r="N510" s="99"/>
      <x:c r="O510" s="99"/>
      <x:c r="P510" s="99"/>
      <x:c r="Q510" s="99"/>
      <x:c r="R510" s="99"/>
      <x:c r="S510" s="99"/>
      <x:c r="T510" s="99"/>
      <x:c r="U510" s="99"/>
      <x:c r="V510" s="99"/>
      <x:c r="W510" s="99"/>
      <x:c r="X510" s="99"/>
      <x:c r="Y510" s="99"/>
      <x:c r="Z510" s="99"/>
    </x:row>
    <x:row r="511">
      <x:c r="A511" s="99"/>
      <x:c r="B511" s="99"/>
      <x:c r="C511" s="99"/>
      <x:c r="D511" s="99"/>
      <x:c r="E511" s="99"/>
      <x:c r="F511" s="99"/>
      <x:c r="G511" s="99"/>
      <x:c r="H511" s="99"/>
      <x:c r="I511" s="99"/>
      <x:c r="J511" s="99"/>
      <x:c r="K511" s="99"/>
      <x:c r="L511" s="99"/>
      <x:c r="M511" s="99"/>
      <x:c r="N511" s="99"/>
      <x:c r="O511" s="99"/>
      <x:c r="P511" s="99"/>
      <x:c r="Q511" s="99"/>
      <x:c r="R511" s="99"/>
      <x:c r="S511" s="99"/>
      <x:c r="T511" s="99"/>
      <x:c r="U511" s="99"/>
      <x:c r="V511" s="99"/>
      <x:c r="W511" s="99"/>
      <x:c r="X511" s="99"/>
      <x:c r="Y511" s="99"/>
      <x:c r="Z511" s="99"/>
    </x:row>
    <x:row r="512">
      <x:c r="A512" s="99"/>
      <x:c r="B512" s="99"/>
      <x:c r="C512" s="99"/>
      <x:c r="D512" s="99"/>
      <x:c r="E512" s="99"/>
      <x:c r="F512" s="99"/>
      <x:c r="G512" s="99"/>
      <x:c r="H512" s="99"/>
      <x:c r="I512" s="99"/>
      <x:c r="J512" s="99"/>
      <x:c r="K512" s="99"/>
      <x:c r="L512" s="99"/>
      <x:c r="M512" s="99"/>
      <x:c r="N512" s="99"/>
      <x:c r="O512" s="99"/>
      <x:c r="P512" s="99"/>
      <x:c r="Q512" s="99"/>
      <x:c r="R512" s="99"/>
      <x:c r="S512" s="99"/>
      <x:c r="T512" s="99"/>
      <x:c r="U512" s="99"/>
      <x:c r="V512" s="99"/>
      <x:c r="W512" s="99"/>
      <x:c r="X512" s="99"/>
      <x:c r="Y512" s="99"/>
      <x:c r="Z512" s="99"/>
    </x:row>
    <x:row r="513">
      <x:c r="A513" s="99"/>
      <x:c r="B513" s="99"/>
      <x:c r="C513" s="99"/>
      <x:c r="D513" s="99"/>
      <x:c r="E513" s="99"/>
      <x:c r="F513" s="99"/>
      <x:c r="G513" s="99"/>
      <x:c r="H513" s="99"/>
      <x:c r="I513" s="99"/>
      <x:c r="J513" s="99"/>
      <x:c r="K513" s="99"/>
      <x:c r="L513" s="99"/>
      <x:c r="M513" s="99"/>
      <x:c r="N513" s="99"/>
      <x:c r="O513" s="99"/>
      <x:c r="P513" s="99"/>
      <x:c r="Q513" s="99"/>
      <x:c r="R513" s="99"/>
      <x:c r="S513" s="99"/>
      <x:c r="T513" s="99"/>
      <x:c r="U513" s="99"/>
      <x:c r="V513" s="99"/>
      <x:c r="W513" s="99"/>
      <x:c r="X513" s="99"/>
      <x:c r="Y513" s="99"/>
      <x:c r="Z513" s="99"/>
    </x:row>
    <x:row r="514">
      <x:c r="A514" s="99"/>
      <x:c r="B514" s="99"/>
      <x:c r="C514" s="99"/>
      <x:c r="D514" s="99"/>
      <x:c r="E514" s="99"/>
      <x:c r="F514" s="99"/>
      <x:c r="G514" s="99"/>
      <x:c r="H514" s="99"/>
      <x:c r="I514" s="99"/>
      <x:c r="J514" s="99"/>
      <x:c r="K514" s="99"/>
      <x:c r="L514" s="99"/>
      <x:c r="M514" s="99"/>
      <x:c r="N514" s="99"/>
      <x:c r="O514" s="99"/>
      <x:c r="P514" s="99"/>
      <x:c r="Q514" s="99"/>
      <x:c r="R514" s="99"/>
      <x:c r="S514" s="99"/>
      <x:c r="T514" s="99"/>
      <x:c r="U514" s="99"/>
      <x:c r="V514" s="99"/>
      <x:c r="W514" s="99"/>
      <x:c r="X514" s="99"/>
      <x:c r="Y514" s="99"/>
      <x:c r="Z514" s="99"/>
    </x:row>
    <x:row r="515">
      <x:c r="A515" s="99"/>
      <x:c r="B515" s="99"/>
      <x:c r="C515" s="99"/>
      <x:c r="D515" s="99"/>
      <x:c r="E515" s="99"/>
      <x:c r="F515" s="99"/>
      <x:c r="G515" s="99"/>
      <x:c r="H515" s="99"/>
      <x:c r="I515" s="99"/>
      <x:c r="J515" s="99"/>
      <x:c r="K515" s="99"/>
      <x:c r="L515" s="99"/>
      <x:c r="M515" s="99"/>
      <x:c r="N515" s="99"/>
      <x:c r="O515" s="99"/>
      <x:c r="P515" s="99"/>
      <x:c r="Q515" s="99"/>
      <x:c r="R515" s="99"/>
      <x:c r="S515" s="99"/>
      <x:c r="T515" s="99"/>
      <x:c r="U515" s="99"/>
      <x:c r="V515" s="99"/>
      <x:c r="W515" s="99"/>
      <x:c r="X515" s="99"/>
      <x:c r="Y515" s="99"/>
      <x:c r="Z515" s="99"/>
    </x:row>
    <x:row r="516">
      <x:c r="A516" s="99"/>
      <x:c r="B516" s="99"/>
      <x:c r="C516" s="99"/>
      <x:c r="D516" s="99"/>
      <x:c r="E516" s="99"/>
      <x:c r="F516" s="99"/>
      <x:c r="G516" s="99"/>
      <x:c r="H516" s="99"/>
      <x:c r="I516" s="99"/>
      <x:c r="J516" s="99"/>
      <x:c r="K516" s="99"/>
      <x:c r="L516" s="99"/>
      <x:c r="M516" s="99"/>
      <x:c r="N516" s="99"/>
      <x:c r="O516" s="99"/>
      <x:c r="P516" s="99"/>
      <x:c r="Q516" s="99"/>
      <x:c r="R516" s="99"/>
      <x:c r="S516" s="99"/>
      <x:c r="T516" s="99"/>
      <x:c r="U516" s="99"/>
      <x:c r="V516" s="99"/>
      <x:c r="W516" s="99"/>
      <x:c r="X516" s="99"/>
      <x:c r="Y516" s="99"/>
      <x:c r="Z516" s="99"/>
    </x:row>
    <x:row r="517">
      <x:c r="A517" s="99"/>
      <x:c r="B517" s="99"/>
      <x:c r="C517" s="99"/>
      <x:c r="D517" s="99"/>
      <x:c r="E517" s="99"/>
      <x:c r="F517" s="99"/>
      <x:c r="G517" s="99"/>
      <x:c r="H517" s="99"/>
      <x:c r="I517" s="99"/>
      <x:c r="J517" s="99"/>
      <x:c r="K517" s="99"/>
      <x:c r="L517" s="99"/>
      <x:c r="M517" s="99"/>
      <x:c r="N517" s="99"/>
      <x:c r="O517" s="99"/>
      <x:c r="P517" s="99"/>
      <x:c r="Q517" s="99"/>
      <x:c r="R517" s="99"/>
      <x:c r="S517" s="99"/>
      <x:c r="T517" s="99"/>
      <x:c r="U517" s="99"/>
      <x:c r="V517" s="99"/>
      <x:c r="W517" s="99"/>
      <x:c r="X517" s="99"/>
      <x:c r="Y517" s="99"/>
      <x:c r="Z517" s="99"/>
    </x:row>
    <x:row r="518">
      <x:c r="A518" s="99"/>
      <x:c r="B518" s="99"/>
      <x:c r="C518" s="99"/>
      <x:c r="D518" s="99"/>
      <x:c r="E518" s="99"/>
      <x:c r="F518" s="99"/>
      <x:c r="G518" s="99"/>
      <x:c r="H518" s="99"/>
      <x:c r="I518" s="99"/>
      <x:c r="J518" s="99"/>
      <x:c r="K518" s="99"/>
      <x:c r="L518" s="99"/>
      <x:c r="M518" s="99"/>
      <x:c r="N518" s="99"/>
      <x:c r="O518" s="99"/>
      <x:c r="P518" s="99"/>
      <x:c r="Q518" s="99"/>
      <x:c r="R518" s="99"/>
      <x:c r="S518" s="99"/>
      <x:c r="T518" s="99"/>
      <x:c r="U518" s="99"/>
      <x:c r="V518" s="99"/>
      <x:c r="W518" s="99"/>
      <x:c r="X518" s="99"/>
      <x:c r="Y518" s="99"/>
      <x:c r="Z518" s="99"/>
    </x:row>
    <x:row r="519">
      <x:c r="A519" s="99"/>
      <x:c r="B519" s="99"/>
      <x:c r="C519" s="99"/>
      <x:c r="D519" s="99"/>
      <x:c r="E519" s="99"/>
      <x:c r="F519" s="99"/>
      <x:c r="G519" s="99"/>
      <x:c r="H519" s="99"/>
      <x:c r="I519" s="99"/>
      <x:c r="J519" s="99"/>
      <x:c r="K519" s="99"/>
      <x:c r="L519" s="99"/>
      <x:c r="M519" s="99"/>
      <x:c r="N519" s="99"/>
      <x:c r="O519" s="99"/>
      <x:c r="P519" s="99"/>
      <x:c r="Q519" s="99"/>
      <x:c r="R519" s="99"/>
      <x:c r="S519" s="99"/>
      <x:c r="T519" s="99"/>
      <x:c r="U519" s="99"/>
      <x:c r="V519" s="99"/>
      <x:c r="W519" s="99"/>
      <x:c r="X519" s="99"/>
      <x:c r="Y519" s="99"/>
      <x:c r="Z519" s="99"/>
    </x:row>
    <x:row r="520">
      <x:c r="A520" s="99"/>
      <x:c r="B520" s="99"/>
      <x:c r="C520" s="99"/>
      <x:c r="D520" s="99"/>
      <x:c r="E520" s="99"/>
      <x:c r="F520" s="99"/>
      <x:c r="G520" s="99"/>
      <x:c r="H520" s="99"/>
      <x:c r="I520" s="99"/>
      <x:c r="J520" s="99"/>
      <x:c r="K520" s="99"/>
      <x:c r="L520" s="99"/>
      <x:c r="M520" s="99"/>
      <x:c r="N520" s="99"/>
      <x:c r="O520" s="99"/>
      <x:c r="P520" s="99"/>
      <x:c r="Q520" s="99"/>
      <x:c r="R520" s="99"/>
      <x:c r="S520" s="99"/>
      <x:c r="T520" s="99"/>
      <x:c r="U520" s="99"/>
      <x:c r="V520" s="99"/>
      <x:c r="W520" s="99"/>
      <x:c r="X520" s="99"/>
      <x:c r="Y520" s="99"/>
      <x:c r="Z520" s="99"/>
    </x:row>
  </x:sheetData>
  <x:mergeCells>
    <x:mergeCell ref="A1:I1"/>
  </x:mergeCells>
  <x:conditionalFormatting sqref="F4:F23">
    <x:cfRule type="expression" dxfId="6" priority="1">
      <x:formula>$F4="HIGH"</x:formula>
    </x:cfRule>
    <x:cfRule type="expression" dxfId="7" priority="2">
      <x:formula>$F4="MEDIUM"</x:formula>
    </x:cfRule>
    <x:cfRule type="expression" dxfId="8" priority="3">
      <x:formula>$F4="LOW"</x:formula>
    </x:cfRule>
  </x:conditionalFormatting>
  <x:dataValidations count="2">
    <x:dataValidation type="decimal" operator="between" sqref="B4:C23">
      <x:formula1>1</x:formula1>
      <x:formula2>5</x:formula2>
    </x:dataValidation>
    <x:dataValidation type="list" sqref="H4:H23">
      <x:formula1>_LISTS!$E$2:$E$6</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52" hidden="0" customWidth="1"/>
    <x:col min="3" max="3" width="22" hidden="0" customWidth="1"/>
    <x:col min="4" max="4" width="22" hidden="0" customWidth="1"/>
    <x:col min="5" max="5" width="14" hidden="0" customWidth="1"/>
    <x:col min="6" max="6" width="24" hidden="0" customWidth="1"/>
    <x:col min="7" max="7" width="30" hidden="0" customWidth="1"/>
    <x:col min="8" max="8" width="18" hidden="0" customWidth="1"/>
    <x:col min="9" max="9" width="36" hidden="0" customWidth="1"/>
    <x:col min="10" max="10" width="14" hidden="0" customWidth="1"/>
  </x:cols>
  <x:sheetData>
    <x:row r="1">
      <x:c r="A1" s="165" t="str">
        <x:v>OPEN TEXT CODING — keep qualitative coding visible and revisable</x:v>
      </x:c>
      <x:c r="B1" s="165"/>
      <x:c r="C1" s="165"/>
      <x:c r="D1" s="165"/>
      <x:c r="E1" s="165"/>
      <x:c r="F1" s="165"/>
      <x:c r="G1" s="165"/>
      <x:c r="H1" s="165"/>
      <x:c r="I1" s="165"/>
      <x:c r="J1" s="165"/>
      <x:c r="K1" s="99"/>
      <x:c r="L1" s="99"/>
      <x:c r="M1" s="99"/>
      <x:c r="N1" s="99"/>
      <x:c r="O1" s="99"/>
      <x:c r="P1" s="99"/>
      <x:c r="Q1" s="99"/>
      <x:c r="R1" s="99"/>
      <x:c r="S1" s="99"/>
      <x:c r="T1" s="99"/>
      <x:c r="U1" s="99"/>
      <x:c r="V1" s="99"/>
      <x:c r="W1" s="99"/>
      <x:c r="X1" s="99"/>
      <x:c r="Y1" s="99"/>
      <x:c r="Z1" s="99"/>
    </x:row>
    <x:row r="2">
      <x:c r="A2" s="99"/>
      <x:c r="B2" s="99"/>
      <x:c r="C2" s="99"/>
      <x:c r="D2" s="99"/>
      <x:c r="E2" s="99"/>
      <x:c r="F2" s="99"/>
      <x:c r="G2" s="99"/>
      <x:c r="H2" s="99"/>
      <x:c r="I2" s="99"/>
      <x:c r="J2" s="99"/>
      <x:c r="K2" s="99"/>
      <x:c r="L2" s="99"/>
      <x:c r="M2" s="99"/>
      <x:c r="N2" s="99"/>
      <x:c r="O2" s="99"/>
      <x:c r="P2" s="99"/>
      <x:c r="Q2" s="99"/>
      <x:c r="R2" s="99"/>
      <x:c r="S2" s="99"/>
      <x:c r="T2" s="99"/>
      <x:c r="U2" s="99"/>
      <x:c r="V2" s="99"/>
      <x:c r="W2" s="99"/>
      <x:c r="X2" s="99"/>
      <x:c r="Y2" s="99"/>
      <x:c r="Z2" s="99"/>
    </x:row>
    <x:row r="3">
      <x:c r="A3" s="129" t="str">
        <x:v>Response ID</x:v>
      </x:c>
      <x:c r="B3" s="129" t="str">
        <x:v>Open Text</x:v>
      </x:c>
      <x:c r="C3" s="129" t="str">
        <x:v>Primary Code</x:v>
      </x:c>
      <x:c r="D3" s="129" t="str">
        <x:v>Secondary Code</x:v>
      </x:c>
      <x:c r="E3" s="129" t="str">
        <x:v>Sentiment</x:v>
      </x:c>
      <x:c r="F3" s="129" t="str">
        <x:v>Theme / Construct</x:v>
      </x:c>
      <x:c r="G3" s="129" t="str">
        <x:v>Supports / Complicates / Contradicts</x:v>
      </x:c>
      <x:c r="H3" s="129" t="str">
        <x:v>Representative Quote?</x:v>
      </x:c>
      <x:c r="I3" s="129" t="str">
        <x:v>Coder Note</x:v>
      </x:c>
      <x:c r="J3" s="129" t="str">
        <x:v>Coding QA</x:v>
      </x:c>
      <x:c r="K3" s="99"/>
      <x:c r="L3" s="99"/>
      <x:c r="M3" s="99"/>
      <x:c r="N3" s="99"/>
      <x:c r="O3" s="99"/>
      <x:c r="P3" s="99"/>
      <x:c r="Q3" s="99"/>
      <x:c r="R3" s="99"/>
      <x:c r="S3" s="99"/>
      <x:c r="T3" s="99"/>
      <x:c r="U3" s="99"/>
      <x:c r="V3" s="99"/>
      <x:c r="W3" s="99"/>
      <x:c r="X3" s="99"/>
      <x:c r="Y3" s="99"/>
      <x:c r="Z3" s="99"/>
    </x:row>
    <x:row r="4">
      <x:c r="A4" s="130" t="str">
        <x:f>IF('RESPONSE DATA'!Z4="","",'RESPONSE DATA'!A4)</x:f>
      </x:c>
      <x:c r="B4" s="130" t="str">
        <x:f>IF('RESPONSE DATA'!Z4="","",'RESPONSE DATA'!Z4)</x:f>
      </x:c>
      <x:c r="C4" s="119"/>
      <x:c r="D4" s="119"/>
      <x:c r="E4" s="119"/>
      <x:c r="F4" s="119"/>
      <x:c r="G4" s="119"/>
      <x:c r="H4" s="119"/>
      <x:c r="I4" s="119"/>
      <x:c r="J4" s="130" t="str">
        <x:f>IF(B4="","",IF(C4="","ADD CODE","OK"))</x:f>
      </x:c>
      <x:c r="K4" s="99"/>
      <x:c r="L4" s="99"/>
      <x:c r="M4" s="99"/>
      <x:c r="N4" s="99"/>
      <x:c r="O4" s="99"/>
      <x:c r="P4" s="99"/>
      <x:c r="Q4" s="99"/>
      <x:c r="R4" s="99"/>
      <x:c r="S4" s="99"/>
      <x:c r="T4" s="99"/>
      <x:c r="U4" s="99"/>
      <x:c r="V4" s="99"/>
      <x:c r="W4" s="99"/>
      <x:c r="X4" s="99"/>
      <x:c r="Y4" s="99"/>
      <x:c r="Z4" s="99"/>
    </x:row>
    <x:row r="5">
      <x:c r="A5" s="130" t="str">
        <x:f>IF('RESPONSE DATA'!Z5="","",'RESPONSE DATA'!A5)</x:f>
      </x:c>
      <x:c r="B5" s="130" t="str">
        <x:f>IF('RESPONSE DATA'!Z5="","",'RESPONSE DATA'!Z5)</x:f>
      </x:c>
      <x:c r="C5" s="119"/>
      <x:c r="D5" s="119"/>
      <x:c r="E5" s="119"/>
      <x:c r="F5" s="119"/>
      <x:c r="G5" s="119"/>
      <x:c r="H5" s="119"/>
      <x:c r="I5" s="119"/>
      <x:c r="J5" s="130" t="str">
        <x:f>IF(B5="","",IF(C5="","ADD CODE","OK"))</x:f>
      </x:c>
      <x:c r="K5" s="99"/>
      <x:c r="L5" s="99"/>
      <x:c r="M5" s="99"/>
      <x:c r="N5" s="99"/>
      <x:c r="O5" s="99"/>
      <x:c r="P5" s="99"/>
      <x:c r="Q5" s="99"/>
      <x:c r="R5" s="99"/>
      <x:c r="S5" s="99"/>
      <x:c r="T5" s="99"/>
      <x:c r="U5" s="99"/>
      <x:c r="V5" s="99"/>
      <x:c r="W5" s="99"/>
      <x:c r="X5" s="99"/>
      <x:c r="Y5" s="99"/>
      <x:c r="Z5" s="99"/>
    </x:row>
    <x:row r="6">
      <x:c r="A6" s="130" t="str">
        <x:f>IF('RESPONSE DATA'!Z6="","",'RESPONSE DATA'!A6)</x:f>
      </x:c>
      <x:c r="B6" s="130" t="str">
        <x:f>IF('RESPONSE DATA'!Z6="","",'RESPONSE DATA'!Z6)</x:f>
      </x:c>
      <x:c r="C6" s="119"/>
      <x:c r="D6" s="119"/>
      <x:c r="E6" s="119"/>
      <x:c r="F6" s="119"/>
      <x:c r="G6" s="119"/>
      <x:c r="H6" s="119"/>
      <x:c r="I6" s="119"/>
      <x:c r="J6" s="130" t="str">
        <x:f>IF(B6="","",IF(C6="","ADD CODE","OK"))</x:f>
      </x:c>
      <x:c r="K6" s="99"/>
      <x:c r="L6" s="99"/>
      <x:c r="M6" s="99"/>
      <x:c r="N6" s="99"/>
      <x:c r="O6" s="99"/>
      <x:c r="P6" s="99"/>
      <x:c r="Q6" s="99"/>
      <x:c r="R6" s="99"/>
      <x:c r="S6" s="99"/>
      <x:c r="T6" s="99"/>
      <x:c r="U6" s="99"/>
      <x:c r="V6" s="99"/>
      <x:c r="W6" s="99"/>
      <x:c r="X6" s="99"/>
      <x:c r="Y6" s="99"/>
      <x:c r="Z6" s="99"/>
    </x:row>
    <x:row r="7">
      <x:c r="A7" s="130" t="str">
        <x:f>IF('RESPONSE DATA'!Z7="","",'RESPONSE DATA'!A7)</x:f>
      </x:c>
      <x:c r="B7" s="130" t="str">
        <x:f>IF('RESPONSE DATA'!Z7="","",'RESPONSE DATA'!Z7)</x:f>
      </x:c>
      <x:c r="C7" s="119"/>
      <x:c r="D7" s="119"/>
      <x:c r="E7" s="119"/>
      <x:c r="F7" s="119"/>
      <x:c r="G7" s="119"/>
      <x:c r="H7" s="119"/>
      <x:c r="I7" s="119"/>
      <x:c r="J7" s="130" t="str">
        <x:f>IF(B7="","",IF(C7="","ADD CODE","OK"))</x:f>
      </x:c>
      <x:c r="K7" s="99"/>
      <x:c r="L7" s="99"/>
      <x:c r="M7" s="99"/>
      <x:c r="N7" s="99"/>
      <x:c r="O7" s="99"/>
      <x:c r="P7" s="99"/>
      <x:c r="Q7" s="99"/>
      <x:c r="R7" s="99"/>
      <x:c r="S7" s="99"/>
      <x:c r="T7" s="99"/>
      <x:c r="U7" s="99"/>
      <x:c r="V7" s="99"/>
      <x:c r="W7" s="99"/>
      <x:c r="X7" s="99"/>
      <x:c r="Y7" s="99"/>
      <x:c r="Z7" s="99"/>
    </x:row>
    <x:row r="8">
      <x:c r="A8" s="130" t="str">
        <x:f>IF('RESPONSE DATA'!Z8="","",'RESPONSE DATA'!A8)</x:f>
      </x:c>
      <x:c r="B8" s="130" t="str">
        <x:f>IF('RESPONSE DATA'!Z8="","",'RESPONSE DATA'!Z8)</x:f>
      </x:c>
      <x:c r="C8" s="119"/>
      <x:c r="D8" s="119"/>
      <x:c r="E8" s="119"/>
      <x:c r="F8" s="119"/>
      <x:c r="G8" s="119"/>
      <x:c r="H8" s="119"/>
      <x:c r="I8" s="119"/>
      <x:c r="J8" s="130" t="str">
        <x:f>IF(B8="","",IF(C8="","ADD CODE","OK"))</x:f>
      </x:c>
      <x:c r="K8" s="99"/>
      <x:c r="L8" s="99"/>
      <x:c r="M8" s="99"/>
      <x:c r="N8" s="99"/>
      <x:c r="O8" s="99"/>
      <x:c r="P8" s="99"/>
      <x:c r="Q8" s="99"/>
      <x:c r="R8" s="99"/>
      <x:c r="S8" s="99"/>
      <x:c r="T8" s="99"/>
      <x:c r="U8" s="99"/>
      <x:c r="V8" s="99"/>
      <x:c r="W8" s="99"/>
      <x:c r="X8" s="99"/>
      <x:c r="Y8" s="99"/>
      <x:c r="Z8" s="99"/>
    </x:row>
    <x:row r="9">
      <x:c r="A9" s="130" t="str">
        <x:f>IF('RESPONSE DATA'!Z9="","",'RESPONSE DATA'!A9)</x:f>
      </x:c>
      <x:c r="B9" s="130" t="str">
        <x:f>IF('RESPONSE DATA'!Z9="","",'RESPONSE DATA'!Z9)</x:f>
      </x:c>
      <x:c r="C9" s="119"/>
      <x:c r="D9" s="119"/>
      <x:c r="E9" s="119"/>
      <x:c r="F9" s="119"/>
      <x:c r="G9" s="119"/>
      <x:c r="H9" s="119"/>
      <x:c r="I9" s="119"/>
      <x:c r="J9" s="130" t="str">
        <x:f>IF(B9="","",IF(C9="","ADD CODE","OK"))</x:f>
      </x:c>
      <x:c r="K9" s="99"/>
      <x:c r="L9" s="99"/>
      <x:c r="M9" s="99"/>
      <x:c r="N9" s="99"/>
      <x:c r="O9" s="99"/>
      <x:c r="P9" s="99"/>
      <x:c r="Q9" s="99"/>
      <x:c r="R9" s="99"/>
      <x:c r="S9" s="99"/>
      <x:c r="T9" s="99"/>
      <x:c r="U9" s="99"/>
      <x:c r="V9" s="99"/>
      <x:c r="W9" s="99"/>
      <x:c r="X9" s="99"/>
      <x:c r="Y9" s="99"/>
      <x:c r="Z9" s="99"/>
    </x:row>
    <x:row r="10">
      <x:c r="A10" s="130" t="str">
        <x:f>IF('RESPONSE DATA'!Z10="","",'RESPONSE DATA'!A10)</x:f>
      </x:c>
      <x:c r="B10" s="130" t="str">
        <x:f>IF('RESPONSE DATA'!Z10="","",'RESPONSE DATA'!Z10)</x:f>
      </x:c>
      <x:c r="C10" s="119"/>
      <x:c r="D10" s="119"/>
      <x:c r="E10" s="119"/>
      <x:c r="F10" s="119"/>
      <x:c r="G10" s="119"/>
      <x:c r="H10" s="119"/>
      <x:c r="I10" s="119"/>
      <x:c r="J10" s="130" t="str">
        <x:f>IF(B10="","",IF(C10="","ADD CODE","OK"))</x:f>
      </x:c>
      <x:c r="K10" s="99"/>
      <x:c r="L10" s="99"/>
      <x:c r="M10" s="99"/>
      <x:c r="N10" s="99"/>
      <x:c r="O10" s="99"/>
      <x:c r="P10" s="99"/>
      <x:c r="Q10" s="99"/>
      <x:c r="R10" s="99"/>
      <x:c r="S10" s="99"/>
      <x:c r="T10" s="99"/>
      <x:c r="U10" s="99"/>
      <x:c r="V10" s="99"/>
      <x:c r="W10" s="99"/>
      <x:c r="X10" s="99"/>
      <x:c r="Y10" s="99"/>
      <x:c r="Z10" s="99"/>
    </x:row>
    <x:row r="11">
      <x:c r="A11" s="130" t="str">
        <x:f>IF('RESPONSE DATA'!Z11="","",'RESPONSE DATA'!A11)</x:f>
      </x:c>
      <x:c r="B11" s="130" t="str">
        <x:f>IF('RESPONSE DATA'!Z11="","",'RESPONSE DATA'!Z11)</x:f>
      </x:c>
      <x:c r="C11" s="119"/>
      <x:c r="D11" s="119"/>
      <x:c r="E11" s="119"/>
      <x:c r="F11" s="119"/>
      <x:c r="G11" s="119"/>
      <x:c r="H11" s="119"/>
      <x:c r="I11" s="119"/>
      <x:c r="J11" s="130" t="str">
        <x:f>IF(B11="","",IF(C11="","ADD CODE","OK"))</x:f>
      </x:c>
      <x:c r="K11" s="99"/>
      <x:c r="L11" s="99"/>
      <x:c r="M11" s="99"/>
      <x:c r="N11" s="99"/>
      <x:c r="O11" s="99"/>
      <x:c r="P11" s="99"/>
      <x:c r="Q11" s="99"/>
      <x:c r="R11" s="99"/>
      <x:c r="S11" s="99"/>
      <x:c r="T11" s="99"/>
      <x:c r="U11" s="99"/>
      <x:c r="V11" s="99"/>
      <x:c r="W11" s="99"/>
      <x:c r="X11" s="99"/>
      <x:c r="Y11" s="99"/>
      <x:c r="Z11" s="99"/>
    </x:row>
    <x:row r="12">
      <x:c r="A12" s="130" t="str">
        <x:f>IF('RESPONSE DATA'!Z12="","",'RESPONSE DATA'!A12)</x:f>
      </x:c>
      <x:c r="B12" s="130" t="str">
        <x:f>IF('RESPONSE DATA'!Z12="","",'RESPONSE DATA'!Z12)</x:f>
      </x:c>
      <x:c r="C12" s="119"/>
      <x:c r="D12" s="119"/>
      <x:c r="E12" s="119"/>
      <x:c r="F12" s="119"/>
      <x:c r="G12" s="119"/>
      <x:c r="H12" s="119"/>
      <x:c r="I12" s="119"/>
      <x:c r="J12" s="130" t="str">
        <x:f>IF(B12="","",IF(C12="","ADD CODE","OK"))</x:f>
      </x:c>
      <x:c r="K12" s="99"/>
      <x:c r="L12" s="99"/>
      <x:c r="M12" s="99"/>
      <x:c r="N12" s="99"/>
      <x:c r="O12" s="99"/>
      <x:c r="P12" s="99"/>
      <x:c r="Q12" s="99"/>
      <x:c r="R12" s="99"/>
      <x:c r="S12" s="99"/>
      <x:c r="T12" s="99"/>
      <x:c r="U12" s="99"/>
      <x:c r="V12" s="99"/>
      <x:c r="W12" s="99"/>
      <x:c r="X12" s="99"/>
      <x:c r="Y12" s="99"/>
      <x:c r="Z12" s="99"/>
    </x:row>
    <x:row r="13">
      <x:c r="A13" s="130" t="str">
        <x:f>IF('RESPONSE DATA'!Z13="","",'RESPONSE DATA'!A13)</x:f>
      </x:c>
      <x:c r="B13" s="130" t="str">
        <x:f>IF('RESPONSE DATA'!Z13="","",'RESPONSE DATA'!Z13)</x:f>
      </x:c>
      <x:c r="C13" s="119"/>
      <x:c r="D13" s="119"/>
      <x:c r="E13" s="119"/>
      <x:c r="F13" s="119"/>
      <x:c r="G13" s="119"/>
      <x:c r="H13" s="119"/>
      <x:c r="I13" s="119"/>
      <x:c r="J13" s="130" t="str">
        <x:f>IF(B13="","",IF(C13="","ADD CODE","OK"))</x:f>
      </x:c>
      <x:c r="K13" s="99"/>
      <x:c r="L13" s="99"/>
      <x:c r="M13" s="99"/>
      <x:c r="N13" s="99"/>
      <x:c r="O13" s="99"/>
      <x:c r="P13" s="99"/>
      <x:c r="Q13" s="99"/>
      <x:c r="R13" s="99"/>
      <x:c r="S13" s="99"/>
      <x:c r="T13" s="99"/>
      <x:c r="U13" s="99"/>
      <x:c r="V13" s="99"/>
      <x:c r="W13" s="99"/>
      <x:c r="X13" s="99"/>
      <x:c r="Y13" s="99"/>
      <x:c r="Z13" s="99"/>
    </x:row>
    <x:row r="14">
      <x:c r="A14" s="130" t="str">
        <x:f>IF('RESPONSE DATA'!Z14="","",'RESPONSE DATA'!A14)</x:f>
      </x:c>
      <x:c r="B14" s="130" t="str">
        <x:f>IF('RESPONSE DATA'!Z14="","",'RESPONSE DATA'!Z14)</x:f>
      </x:c>
      <x:c r="C14" s="119"/>
      <x:c r="D14" s="119"/>
      <x:c r="E14" s="119"/>
      <x:c r="F14" s="119"/>
      <x:c r="G14" s="119"/>
      <x:c r="H14" s="119"/>
      <x:c r="I14" s="119"/>
      <x:c r="J14" s="130" t="str">
        <x:f>IF(B14="","",IF(C14="","ADD CODE","OK"))</x:f>
      </x:c>
      <x:c r="K14" s="99"/>
      <x:c r="L14" s="99"/>
      <x:c r="M14" s="99"/>
      <x:c r="N14" s="99"/>
      <x:c r="O14" s="99"/>
      <x:c r="P14" s="99"/>
      <x:c r="Q14" s="99"/>
      <x:c r="R14" s="99"/>
      <x:c r="S14" s="99"/>
      <x:c r="T14" s="99"/>
      <x:c r="U14" s="99"/>
      <x:c r="V14" s="99"/>
      <x:c r="W14" s="99"/>
      <x:c r="X14" s="99"/>
      <x:c r="Y14" s="99"/>
      <x:c r="Z14" s="99"/>
    </x:row>
    <x:row r="15">
      <x:c r="A15" s="130" t="str">
        <x:f>IF('RESPONSE DATA'!Z15="","",'RESPONSE DATA'!A15)</x:f>
      </x:c>
      <x:c r="B15" s="130" t="str">
        <x:f>IF('RESPONSE DATA'!Z15="","",'RESPONSE DATA'!Z15)</x:f>
      </x:c>
      <x:c r="C15" s="119"/>
      <x:c r="D15" s="119"/>
      <x:c r="E15" s="119"/>
      <x:c r="F15" s="119"/>
      <x:c r="G15" s="119"/>
      <x:c r="H15" s="119"/>
      <x:c r="I15" s="119"/>
      <x:c r="J15" s="130" t="str">
        <x:f>IF(B15="","",IF(C15="","ADD CODE","OK"))</x:f>
      </x:c>
      <x:c r="K15" s="99"/>
      <x:c r="L15" s="99"/>
      <x:c r="M15" s="99"/>
      <x:c r="N15" s="99"/>
      <x:c r="O15" s="99"/>
      <x:c r="P15" s="99"/>
      <x:c r="Q15" s="99"/>
      <x:c r="R15" s="99"/>
      <x:c r="S15" s="99"/>
      <x:c r="T15" s="99"/>
      <x:c r="U15" s="99"/>
      <x:c r="V15" s="99"/>
      <x:c r="W15" s="99"/>
      <x:c r="X15" s="99"/>
      <x:c r="Y15" s="99"/>
      <x:c r="Z15" s="99"/>
    </x:row>
    <x:row r="16">
      <x:c r="A16" s="130" t="str">
        <x:f>IF('RESPONSE DATA'!Z16="","",'RESPONSE DATA'!A16)</x:f>
      </x:c>
      <x:c r="B16" s="130" t="str">
        <x:f>IF('RESPONSE DATA'!Z16="","",'RESPONSE DATA'!Z16)</x:f>
      </x:c>
      <x:c r="C16" s="119"/>
      <x:c r="D16" s="119"/>
      <x:c r="E16" s="119"/>
      <x:c r="F16" s="119"/>
      <x:c r="G16" s="119"/>
      <x:c r="H16" s="119"/>
      <x:c r="I16" s="119"/>
      <x:c r="J16" s="130" t="str">
        <x:f>IF(B16="","",IF(C16="","ADD CODE","OK"))</x:f>
      </x:c>
      <x:c r="K16" s="99"/>
      <x:c r="L16" s="99"/>
      <x:c r="M16" s="99"/>
      <x:c r="N16" s="99"/>
      <x:c r="O16" s="99"/>
      <x:c r="P16" s="99"/>
      <x:c r="Q16" s="99"/>
      <x:c r="R16" s="99"/>
      <x:c r="S16" s="99"/>
      <x:c r="T16" s="99"/>
      <x:c r="U16" s="99"/>
      <x:c r="V16" s="99"/>
      <x:c r="W16" s="99"/>
      <x:c r="X16" s="99"/>
      <x:c r="Y16" s="99"/>
      <x:c r="Z16" s="99"/>
    </x:row>
    <x:row r="17">
      <x:c r="A17" s="130" t="str">
        <x:f>IF('RESPONSE DATA'!Z17="","",'RESPONSE DATA'!A17)</x:f>
      </x:c>
      <x:c r="B17" s="130" t="str">
        <x:f>IF('RESPONSE DATA'!Z17="","",'RESPONSE DATA'!Z17)</x:f>
      </x:c>
      <x:c r="C17" s="119"/>
      <x:c r="D17" s="119"/>
      <x:c r="E17" s="119"/>
      <x:c r="F17" s="119"/>
      <x:c r="G17" s="119"/>
      <x:c r="H17" s="119"/>
      <x:c r="I17" s="119"/>
      <x:c r="J17" s="130" t="str">
        <x:f>IF(B17="","",IF(C17="","ADD CODE","OK"))</x:f>
      </x:c>
      <x:c r="K17" s="99"/>
      <x:c r="L17" s="99"/>
      <x:c r="M17" s="99"/>
      <x:c r="N17" s="99"/>
      <x:c r="O17" s="99"/>
      <x:c r="P17" s="99"/>
      <x:c r="Q17" s="99"/>
      <x:c r="R17" s="99"/>
      <x:c r="S17" s="99"/>
      <x:c r="T17" s="99"/>
      <x:c r="U17" s="99"/>
      <x:c r="V17" s="99"/>
      <x:c r="W17" s="99"/>
      <x:c r="X17" s="99"/>
      <x:c r="Y17" s="99"/>
      <x:c r="Z17" s="99"/>
    </x:row>
    <x:row r="18">
      <x:c r="A18" s="130" t="str">
        <x:f>IF('RESPONSE DATA'!Z18="","",'RESPONSE DATA'!A18)</x:f>
      </x:c>
      <x:c r="B18" s="130" t="str">
        <x:f>IF('RESPONSE DATA'!Z18="","",'RESPONSE DATA'!Z18)</x:f>
      </x:c>
      <x:c r="C18" s="119"/>
      <x:c r="D18" s="119"/>
      <x:c r="E18" s="119"/>
      <x:c r="F18" s="119"/>
      <x:c r="G18" s="119"/>
      <x:c r="H18" s="119"/>
      <x:c r="I18" s="119"/>
      <x:c r="J18" s="130" t="str">
        <x:f>IF(B18="","",IF(C18="","ADD CODE","OK"))</x:f>
      </x:c>
      <x:c r="K18" s="99"/>
      <x:c r="L18" s="99"/>
      <x:c r="M18" s="99"/>
      <x:c r="N18" s="99"/>
      <x:c r="O18" s="99"/>
      <x:c r="P18" s="99"/>
      <x:c r="Q18" s="99"/>
      <x:c r="R18" s="99"/>
      <x:c r="S18" s="99"/>
      <x:c r="T18" s="99"/>
      <x:c r="U18" s="99"/>
      <x:c r="V18" s="99"/>
      <x:c r="W18" s="99"/>
      <x:c r="X18" s="99"/>
      <x:c r="Y18" s="99"/>
      <x:c r="Z18" s="99"/>
    </x:row>
    <x:row r="19">
      <x:c r="A19" s="130" t="str">
        <x:f>IF('RESPONSE DATA'!Z19="","",'RESPONSE DATA'!A19)</x:f>
      </x:c>
      <x:c r="B19" s="130" t="str">
        <x:f>IF('RESPONSE DATA'!Z19="","",'RESPONSE DATA'!Z19)</x:f>
      </x:c>
      <x:c r="C19" s="119"/>
      <x:c r="D19" s="119"/>
      <x:c r="E19" s="119"/>
      <x:c r="F19" s="119"/>
      <x:c r="G19" s="119"/>
      <x:c r="H19" s="119"/>
      <x:c r="I19" s="119"/>
      <x:c r="J19" s="130" t="str">
        <x:f>IF(B19="","",IF(C19="","ADD CODE","OK"))</x:f>
      </x:c>
      <x:c r="K19" s="99"/>
      <x:c r="L19" s="99"/>
      <x:c r="M19" s="99"/>
      <x:c r="N19" s="99"/>
      <x:c r="O19" s="99"/>
      <x:c r="P19" s="99"/>
      <x:c r="Q19" s="99"/>
      <x:c r="R19" s="99"/>
      <x:c r="S19" s="99"/>
      <x:c r="T19" s="99"/>
      <x:c r="U19" s="99"/>
      <x:c r="V19" s="99"/>
      <x:c r="W19" s="99"/>
      <x:c r="X19" s="99"/>
      <x:c r="Y19" s="99"/>
      <x:c r="Z19" s="99"/>
    </x:row>
    <x:row r="20">
      <x:c r="A20" s="130" t="str">
        <x:f>IF('RESPONSE DATA'!Z20="","",'RESPONSE DATA'!A20)</x:f>
      </x:c>
      <x:c r="B20" s="130" t="str">
        <x:f>IF('RESPONSE DATA'!Z20="","",'RESPONSE DATA'!Z20)</x:f>
      </x:c>
      <x:c r="C20" s="119"/>
      <x:c r="D20" s="119"/>
      <x:c r="E20" s="119"/>
      <x:c r="F20" s="119"/>
      <x:c r="G20" s="119"/>
      <x:c r="H20" s="119"/>
      <x:c r="I20" s="119"/>
      <x:c r="J20" s="130" t="str">
        <x:f>IF(B20="","",IF(C20="","ADD CODE","OK"))</x:f>
      </x:c>
      <x:c r="K20" s="99"/>
      <x:c r="L20" s="99"/>
      <x:c r="M20" s="99"/>
      <x:c r="N20" s="99"/>
      <x:c r="O20" s="99"/>
      <x:c r="P20" s="99"/>
      <x:c r="Q20" s="99"/>
      <x:c r="R20" s="99"/>
      <x:c r="S20" s="99"/>
      <x:c r="T20" s="99"/>
      <x:c r="U20" s="99"/>
      <x:c r="V20" s="99"/>
      <x:c r="W20" s="99"/>
      <x:c r="X20" s="99"/>
      <x:c r="Y20" s="99"/>
      <x:c r="Z20" s="99"/>
    </x:row>
    <x:row r="21">
      <x:c r="A21" s="130" t="str">
        <x:f>IF('RESPONSE DATA'!Z21="","",'RESPONSE DATA'!A21)</x:f>
      </x:c>
      <x:c r="B21" s="130" t="str">
        <x:f>IF('RESPONSE DATA'!Z21="","",'RESPONSE DATA'!Z21)</x:f>
      </x:c>
      <x:c r="C21" s="119"/>
      <x:c r="D21" s="119"/>
      <x:c r="E21" s="119"/>
      <x:c r="F21" s="119"/>
      <x:c r="G21" s="119"/>
      <x:c r="H21" s="119"/>
      <x:c r="I21" s="119"/>
      <x:c r="J21" s="130" t="str">
        <x:f>IF(B21="","",IF(C21="","ADD CODE","OK"))</x:f>
      </x:c>
      <x:c r="K21" s="99"/>
      <x:c r="L21" s="99"/>
      <x:c r="M21" s="99"/>
      <x:c r="N21" s="99"/>
      <x:c r="O21" s="99"/>
      <x:c r="P21" s="99"/>
      <x:c r="Q21" s="99"/>
      <x:c r="R21" s="99"/>
      <x:c r="S21" s="99"/>
      <x:c r="T21" s="99"/>
      <x:c r="U21" s="99"/>
      <x:c r="V21" s="99"/>
      <x:c r="W21" s="99"/>
      <x:c r="X21" s="99"/>
      <x:c r="Y21" s="99"/>
      <x:c r="Z21" s="99"/>
    </x:row>
    <x:row r="22">
      <x:c r="A22" s="130" t="str">
        <x:f>IF('RESPONSE DATA'!Z22="","",'RESPONSE DATA'!A22)</x:f>
      </x:c>
      <x:c r="B22" s="130" t="str">
        <x:f>IF('RESPONSE DATA'!Z22="","",'RESPONSE DATA'!Z22)</x:f>
      </x:c>
      <x:c r="C22" s="119"/>
      <x:c r="D22" s="119"/>
      <x:c r="E22" s="119"/>
      <x:c r="F22" s="119"/>
      <x:c r="G22" s="119"/>
      <x:c r="H22" s="119"/>
      <x:c r="I22" s="119"/>
      <x:c r="J22" s="130" t="str">
        <x:f>IF(B22="","",IF(C22="","ADD CODE","OK"))</x:f>
      </x:c>
      <x:c r="K22" s="99"/>
      <x:c r="L22" s="99"/>
      <x:c r="M22" s="99"/>
      <x:c r="N22" s="99"/>
      <x:c r="O22" s="99"/>
      <x:c r="P22" s="99"/>
      <x:c r="Q22" s="99"/>
      <x:c r="R22" s="99"/>
      <x:c r="S22" s="99"/>
      <x:c r="T22" s="99"/>
      <x:c r="U22" s="99"/>
      <x:c r="V22" s="99"/>
      <x:c r="W22" s="99"/>
      <x:c r="X22" s="99"/>
      <x:c r="Y22" s="99"/>
      <x:c r="Z22" s="99"/>
    </x:row>
    <x:row r="23">
      <x:c r="A23" s="130" t="str">
        <x:f>IF('RESPONSE DATA'!Z23="","",'RESPONSE DATA'!A23)</x:f>
      </x:c>
      <x:c r="B23" s="130" t="str">
        <x:f>IF('RESPONSE DATA'!Z23="","",'RESPONSE DATA'!Z23)</x:f>
      </x:c>
      <x:c r="C23" s="119"/>
      <x:c r="D23" s="119"/>
      <x:c r="E23" s="119"/>
      <x:c r="F23" s="119"/>
      <x:c r="G23" s="119"/>
      <x:c r="H23" s="119"/>
      <x:c r="I23" s="119"/>
      <x:c r="J23" s="130" t="str">
        <x:f>IF(B23="","",IF(C23="","ADD CODE","OK"))</x:f>
      </x:c>
      <x:c r="K23" s="99"/>
      <x:c r="L23" s="99"/>
      <x:c r="M23" s="99"/>
      <x:c r="N23" s="99"/>
      <x:c r="O23" s="99"/>
      <x:c r="P23" s="99"/>
      <x:c r="Q23" s="99"/>
      <x:c r="R23" s="99"/>
      <x:c r="S23" s="99"/>
      <x:c r="T23" s="99"/>
      <x:c r="U23" s="99"/>
      <x:c r="V23" s="99"/>
      <x:c r="W23" s="99"/>
      <x:c r="X23" s="99"/>
      <x:c r="Y23" s="99"/>
      <x:c r="Z23" s="99"/>
    </x:row>
    <x:row r="24">
      <x:c r="A24" s="130" t="str">
        <x:f>IF('RESPONSE DATA'!Z24="","",'RESPONSE DATA'!A24)</x:f>
      </x:c>
      <x:c r="B24" s="130" t="str">
        <x:f>IF('RESPONSE DATA'!Z24="","",'RESPONSE DATA'!Z24)</x:f>
      </x:c>
      <x:c r="C24" s="119"/>
      <x:c r="D24" s="119"/>
      <x:c r="E24" s="119"/>
      <x:c r="F24" s="119"/>
      <x:c r="G24" s="119"/>
      <x:c r="H24" s="119"/>
      <x:c r="I24" s="119"/>
      <x:c r="J24" s="130" t="str">
        <x:f>IF(B24="","",IF(C24="","ADD CODE","OK"))</x:f>
      </x:c>
      <x:c r="K24" s="99"/>
      <x:c r="L24" s="99"/>
      <x:c r="M24" s="99"/>
      <x:c r="N24" s="99"/>
      <x:c r="O24" s="99"/>
      <x:c r="P24" s="99"/>
      <x:c r="Q24" s="99"/>
      <x:c r="R24" s="99"/>
      <x:c r="S24" s="99"/>
      <x:c r="T24" s="99"/>
      <x:c r="U24" s="99"/>
      <x:c r="V24" s="99"/>
      <x:c r="W24" s="99"/>
      <x:c r="X24" s="99"/>
      <x:c r="Y24" s="99"/>
      <x:c r="Z24" s="99"/>
    </x:row>
    <x:row r="25">
      <x:c r="A25" s="130" t="str">
        <x:f>IF('RESPONSE DATA'!Z25="","",'RESPONSE DATA'!A25)</x:f>
      </x:c>
      <x:c r="B25" s="130" t="str">
        <x:f>IF('RESPONSE DATA'!Z25="","",'RESPONSE DATA'!Z25)</x:f>
      </x:c>
      <x:c r="C25" s="119"/>
      <x:c r="D25" s="119"/>
      <x:c r="E25" s="119"/>
      <x:c r="F25" s="119"/>
      <x:c r="G25" s="119"/>
      <x:c r="H25" s="119"/>
      <x:c r="I25" s="119"/>
      <x:c r="J25" s="130" t="str">
        <x:f>IF(B25="","",IF(C25="","ADD CODE","OK"))</x:f>
      </x:c>
      <x:c r="K25" s="99"/>
      <x:c r="L25" s="99"/>
      <x:c r="M25" s="99"/>
      <x:c r="N25" s="99"/>
      <x:c r="O25" s="99"/>
      <x:c r="P25" s="99"/>
      <x:c r="Q25" s="99"/>
      <x:c r="R25" s="99"/>
      <x:c r="S25" s="99"/>
      <x:c r="T25" s="99"/>
      <x:c r="U25" s="99"/>
      <x:c r="V25" s="99"/>
      <x:c r="W25" s="99"/>
      <x:c r="X25" s="99"/>
      <x:c r="Y25" s="99"/>
      <x:c r="Z25" s="99"/>
    </x:row>
    <x:row r="26">
      <x:c r="A26" s="130" t="str">
        <x:f>IF('RESPONSE DATA'!Z26="","",'RESPONSE DATA'!A26)</x:f>
      </x:c>
      <x:c r="B26" s="130" t="str">
        <x:f>IF('RESPONSE DATA'!Z26="","",'RESPONSE DATA'!Z26)</x:f>
      </x:c>
      <x:c r="C26" s="119"/>
      <x:c r="D26" s="119"/>
      <x:c r="E26" s="119"/>
      <x:c r="F26" s="119"/>
      <x:c r="G26" s="119"/>
      <x:c r="H26" s="119"/>
      <x:c r="I26" s="119"/>
      <x:c r="J26" s="130" t="str">
        <x:f>IF(B26="","",IF(C26="","ADD CODE","OK"))</x:f>
      </x:c>
      <x:c r="K26" s="99"/>
      <x:c r="L26" s="99"/>
      <x:c r="M26" s="99"/>
      <x:c r="N26" s="99"/>
      <x:c r="O26" s="99"/>
      <x:c r="P26" s="99"/>
      <x:c r="Q26" s="99"/>
      <x:c r="R26" s="99"/>
      <x:c r="S26" s="99"/>
      <x:c r="T26" s="99"/>
      <x:c r="U26" s="99"/>
      <x:c r="V26" s="99"/>
      <x:c r="W26" s="99"/>
      <x:c r="X26" s="99"/>
      <x:c r="Y26" s="99"/>
      <x:c r="Z26" s="99"/>
    </x:row>
    <x:row r="27">
      <x:c r="A27" s="130" t="str">
        <x:f>IF('RESPONSE DATA'!Z27="","",'RESPONSE DATA'!A27)</x:f>
      </x:c>
      <x:c r="B27" s="130" t="str">
        <x:f>IF('RESPONSE DATA'!Z27="","",'RESPONSE DATA'!Z27)</x:f>
      </x:c>
      <x:c r="C27" s="119"/>
      <x:c r="D27" s="119"/>
      <x:c r="E27" s="119"/>
      <x:c r="F27" s="119"/>
      <x:c r="G27" s="119"/>
      <x:c r="H27" s="119"/>
      <x:c r="I27" s="119"/>
      <x:c r="J27" s="130" t="str">
        <x:f>IF(B27="","",IF(C27="","ADD CODE","OK"))</x:f>
      </x:c>
      <x:c r="K27" s="99"/>
      <x:c r="L27" s="99"/>
      <x:c r="M27" s="99"/>
      <x:c r="N27" s="99"/>
      <x:c r="O27" s="99"/>
      <x:c r="P27" s="99"/>
      <x:c r="Q27" s="99"/>
      <x:c r="R27" s="99"/>
      <x:c r="S27" s="99"/>
      <x:c r="T27" s="99"/>
      <x:c r="U27" s="99"/>
      <x:c r="V27" s="99"/>
      <x:c r="W27" s="99"/>
      <x:c r="X27" s="99"/>
      <x:c r="Y27" s="99"/>
      <x:c r="Z27" s="99"/>
    </x:row>
    <x:row r="28">
      <x:c r="A28" s="130" t="str">
        <x:f>IF('RESPONSE DATA'!Z28="","",'RESPONSE DATA'!A28)</x:f>
      </x:c>
      <x:c r="B28" s="130" t="str">
        <x:f>IF('RESPONSE DATA'!Z28="","",'RESPONSE DATA'!Z28)</x:f>
      </x:c>
      <x:c r="C28" s="119"/>
      <x:c r="D28" s="119"/>
      <x:c r="E28" s="119"/>
      <x:c r="F28" s="119"/>
      <x:c r="G28" s="119"/>
      <x:c r="H28" s="119"/>
      <x:c r="I28" s="119"/>
      <x:c r="J28" s="130" t="str">
        <x:f>IF(B28="","",IF(C28="","ADD CODE","OK"))</x:f>
      </x:c>
      <x:c r="K28" s="99"/>
      <x:c r="L28" s="99"/>
      <x:c r="M28" s="99"/>
      <x:c r="N28" s="99"/>
      <x:c r="O28" s="99"/>
      <x:c r="P28" s="99"/>
      <x:c r="Q28" s="99"/>
      <x:c r="R28" s="99"/>
      <x:c r="S28" s="99"/>
      <x:c r="T28" s="99"/>
      <x:c r="U28" s="99"/>
      <x:c r="V28" s="99"/>
      <x:c r="W28" s="99"/>
      <x:c r="X28" s="99"/>
      <x:c r="Y28" s="99"/>
      <x:c r="Z28" s="99"/>
    </x:row>
    <x:row r="29">
      <x:c r="A29" s="130" t="str">
        <x:f>IF('RESPONSE DATA'!Z29="","",'RESPONSE DATA'!A29)</x:f>
      </x:c>
      <x:c r="B29" s="130" t="str">
        <x:f>IF('RESPONSE DATA'!Z29="","",'RESPONSE DATA'!Z29)</x:f>
      </x:c>
      <x:c r="C29" s="119"/>
      <x:c r="D29" s="119"/>
      <x:c r="E29" s="119"/>
      <x:c r="F29" s="119"/>
      <x:c r="G29" s="119"/>
      <x:c r="H29" s="119"/>
      <x:c r="I29" s="119"/>
      <x:c r="J29" s="130" t="str">
        <x:f>IF(B29="","",IF(C29="","ADD CODE","OK"))</x:f>
      </x:c>
      <x:c r="K29" s="99"/>
      <x:c r="L29" s="99"/>
      <x:c r="M29" s="99"/>
      <x:c r="N29" s="99"/>
      <x:c r="O29" s="99"/>
      <x:c r="P29" s="99"/>
      <x:c r="Q29" s="99"/>
      <x:c r="R29" s="99"/>
      <x:c r="S29" s="99"/>
      <x:c r="T29" s="99"/>
      <x:c r="U29" s="99"/>
      <x:c r="V29" s="99"/>
      <x:c r="W29" s="99"/>
      <x:c r="X29" s="99"/>
      <x:c r="Y29" s="99"/>
      <x:c r="Z29" s="99"/>
    </x:row>
    <x:row r="30">
      <x:c r="A30" s="130" t="str">
        <x:f>IF('RESPONSE DATA'!Z30="","",'RESPONSE DATA'!A30)</x:f>
      </x:c>
      <x:c r="B30" s="130" t="str">
        <x:f>IF('RESPONSE DATA'!Z30="","",'RESPONSE DATA'!Z30)</x:f>
      </x:c>
      <x:c r="C30" s="119"/>
      <x:c r="D30" s="119"/>
      <x:c r="E30" s="119"/>
      <x:c r="F30" s="119"/>
      <x:c r="G30" s="119"/>
      <x:c r="H30" s="119"/>
      <x:c r="I30" s="119"/>
      <x:c r="J30" s="130" t="str">
        <x:f>IF(B30="","",IF(C30="","ADD CODE","OK"))</x:f>
      </x:c>
      <x:c r="K30" s="99"/>
      <x:c r="L30" s="99"/>
      <x:c r="M30" s="99"/>
      <x:c r="N30" s="99"/>
      <x:c r="O30" s="99"/>
      <x:c r="P30" s="99"/>
      <x:c r="Q30" s="99"/>
      <x:c r="R30" s="99"/>
      <x:c r="S30" s="99"/>
      <x:c r="T30" s="99"/>
      <x:c r="U30" s="99"/>
      <x:c r="V30" s="99"/>
      <x:c r="W30" s="99"/>
      <x:c r="X30" s="99"/>
      <x:c r="Y30" s="99"/>
      <x:c r="Z30" s="99"/>
    </x:row>
    <x:row r="31">
      <x:c r="A31" s="130" t="str">
        <x:f>IF('RESPONSE DATA'!Z31="","",'RESPONSE DATA'!A31)</x:f>
      </x:c>
      <x:c r="B31" s="130" t="str">
        <x:f>IF('RESPONSE DATA'!Z31="","",'RESPONSE DATA'!Z31)</x:f>
      </x:c>
      <x:c r="C31" s="119"/>
      <x:c r="D31" s="119"/>
      <x:c r="E31" s="119"/>
      <x:c r="F31" s="119"/>
      <x:c r="G31" s="119"/>
      <x:c r="H31" s="119"/>
      <x:c r="I31" s="119"/>
      <x:c r="J31" s="130" t="str">
        <x:f>IF(B31="","",IF(C31="","ADD CODE","OK"))</x:f>
      </x:c>
      <x:c r="K31" s="99"/>
      <x:c r="L31" s="99"/>
      <x:c r="M31" s="99"/>
      <x:c r="N31" s="99"/>
      <x:c r="O31" s="99"/>
      <x:c r="P31" s="99"/>
      <x:c r="Q31" s="99"/>
      <x:c r="R31" s="99"/>
      <x:c r="S31" s="99"/>
      <x:c r="T31" s="99"/>
      <x:c r="U31" s="99"/>
      <x:c r="V31" s="99"/>
      <x:c r="W31" s="99"/>
      <x:c r="X31" s="99"/>
      <x:c r="Y31" s="99"/>
      <x:c r="Z31" s="99"/>
    </x:row>
    <x:row r="32">
      <x:c r="A32" s="130" t="str">
        <x:f>IF('RESPONSE DATA'!Z32="","",'RESPONSE DATA'!A32)</x:f>
      </x:c>
      <x:c r="B32" s="130" t="str">
        <x:f>IF('RESPONSE DATA'!Z32="","",'RESPONSE DATA'!Z32)</x:f>
      </x:c>
      <x:c r="C32" s="119"/>
      <x:c r="D32" s="119"/>
      <x:c r="E32" s="119"/>
      <x:c r="F32" s="119"/>
      <x:c r="G32" s="119"/>
      <x:c r="H32" s="119"/>
      <x:c r="I32" s="119"/>
      <x:c r="J32" s="130" t="str">
        <x:f>IF(B32="","",IF(C32="","ADD CODE","OK"))</x:f>
      </x:c>
      <x:c r="K32" s="99"/>
      <x:c r="L32" s="99"/>
      <x:c r="M32" s="99"/>
      <x:c r="N32" s="99"/>
      <x:c r="O32" s="99"/>
      <x:c r="P32" s="99"/>
      <x:c r="Q32" s="99"/>
      <x:c r="R32" s="99"/>
      <x:c r="S32" s="99"/>
      <x:c r="T32" s="99"/>
      <x:c r="U32" s="99"/>
      <x:c r="V32" s="99"/>
      <x:c r="W32" s="99"/>
      <x:c r="X32" s="99"/>
      <x:c r="Y32" s="99"/>
      <x:c r="Z32" s="99"/>
    </x:row>
    <x:row r="33">
      <x:c r="A33" s="130" t="str">
        <x:f>IF('RESPONSE DATA'!Z33="","",'RESPONSE DATA'!A33)</x:f>
      </x:c>
      <x:c r="B33" s="130" t="str">
        <x:f>IF('RESPONSE DATA'!Z33="","",'RESPONSE DATA'!Z33)</x:f>
      </x:c>
      <x:c r="C33" s="119"/>
      <x:c r="D33" s="119"/>
      <x:c r="E33" s="119"/>
      <x:c r="F33" s="119"/>
      <x:c r="G33" s="119"/>
      <x:c r="H33" s="119"/>
      <x:c r="I33" s="119"/>
      <x:c r="J33" s="130" t="str">
        <x:f>IF(B33="","",IF(C33="","ADD CODE","OK"))</x:f>
      </x:c>
      <x:c r="K33" s="99"/>
      <x:c r="L33" s="99"/>
      <x:c r="M33" s="99"/>
      <x:c r="N33" s="99"/>
      <x:c r="O33" s="99"/>
      <x:c r="P33" s="99"/>
      <x:c r="Q33" s="99"/>
      <x:c r="R33" s="99"/>
      <x:c r="S33" s="99"/>
      <x:c r="T33" s="99"/>
      <x:c r="U33" s="99"/>
      <x:c r="V33" s="99"/>
      <x:c r="W33" s="99"/>
      <x:c r="X33" s="99"/>
      <x:c r="Y33" s="99"/>
      <x:c r="Z33" s="99"/>
    </x:row>
    <x:row r="34">
      <x:c r="A34" s="130" t="str">
        <x:f>IF('RESPONSE DATA'!Z34="","",'RESPONSE DATA'!A34)</x:f>
      </x:c>
      <x:c r="B34" s="130" t="str">
        <x:f>IF('RESPONSE DATA'!Z34="","",'RESPONSE DATA'!Z34)</x:f>
      </x:c>
      <x:c r="C34" s="119"/>
      <x:c r="D34" s="119"/>
      <x:c r="E34" s="119"/>
      <x:c r="F34" s="119"/>
      <x:c r="G34" s="119"/>
      <x:c r="H34" s="119"/>
      <x:c r="I34" s="119"/>
      <x:c r="J34" s="130" t="str">
        <x:f>IF(B34="","",IF(C34="","ADD CODE","OK"))</x:f>
      </x:c>
      <x:c r="K34" s="99"/>
      <x:c r="L34" s="99"/>
      <x:c r="M34" s="99"/>
      <x:c r="N34" s="99"/>
      <x:c r="O34" s="99"/>
      <x:c r="P34" s="99"/>
      <x:c r="Q34" s="99"/>
      <x:c r="R34" s="99"/>
      <x:c r="S34" s="99"/>
      <x:c r="T34" s="99"/>
      <x:c r="U34" s="99"/>
      <x:c r="V34" s="99"/>
      <x:c r="W34" s="99"/>
      <x:c r="X34" s="99"/>
      <x:c r="Y34" s="99"/>
      <x:c r="Z34" s="99"/>
    </x:row>
    <x:row r="35">
      <x:c r="A35" s="130" t="str">
        <x:f>IF('RESPONSE DATA'!Z35="","",'RESPONSE DATA'!A35)</x:f>
      </x:c>
      <x:c r="B35" s="130" t="str">
        <x:f>IF('RESPONSE DATA'!Z35="","",'RESPONSE DATA'!Z35)</x:f>
      </x:c>
      <x:c r="C35" s="119"/>
      <x:c r="D35" s="119"/>
      <x:c r="E35" s="119"/>
      <x:c r="F35" s="119"/>
      <x:c r="G35" s="119"/>
      <x:c r="H35" s="119"/>
      <x:c r="I35" s="119"/>
      <x:c r="J35" s="130" t="str">
        <x:f>IF(B35="","",IF(C35="","ADD CODE","OK"))</x:f>
      </x:c>
      <x:c r="K35" s="99"/>
      <x:c r="L35" s="99"/>
      <x:c r="M35" s="99"/>
      <x:c r="N35" s="99"/>
      <x:c r="O35" s="99"/>
      <x:c r="P35" s="99"/>
      <x:c r="Q35" s="99"/>
      <x:c r="R35" s="99"/>
      <x:c r="S35" s="99"/>
      <x:c r="T35" s="99"/>
      <x:c r="U35" s="99"/>
      <x:c r="V35" s="99"/>
      <x:c r="W35" s="99"/>
      <x:c r="X35" s="99"/>
      <x:c r="Y35" s="99"/>
      <x:c r="Z35" s="99"/>
    </x:row>
    <x:row r="36">
      <x:c r="A36" s="130" t="str">
        <x:f>IF('RESPONSE DATA'!Z36="","",'RESPONSE DATA'!A36)</x:f>
      </x:c>
      <x:c r="B36" s="130" t="str">
        <x:f>IF('RESPONSE DATA'!Z36="","",'RESPONSE DATA'!Z36)</x:f>
      </x:c>
      <x:c r="C36" s="119"/>
      <x:c r="D36" s="119"/>
      <x:c r="E36" s="119"/>
      <x:c r="F36" s="119"/>
      <x:c r="G36" s="119"/>
      <x:c r="H36" s="119"/>
      <x:c r="I36" s="119"/>
      <x:c r="J36" s="130" t="str">
        <x:f>IF(B36="","",IF(C36="","ADD CODE","OK"))</x:f>
      </x:c>
      <x:c r="K36" s="99"/>
      <x:c r="L36" s="99"/>
      <x:c r="M36" s="99"/>
      <x:c r="N36" s="99"/>
      <x:c r="O36" s="99"/>
      <x:c r="P36" s="99"/>
      <x:c r="Q36" s="99"/>
      <x:c r="R36" s="99"/>
      <x:c r="S36" s="99"/>
      <x:c r="T36" s="99"/>
      <x:c r="U36" s="99"/>
      <x:c r="V36" s="99"/>
      <x:c r="W36" s="99"/>
      <x:c r="X36" s="99"/>
      <x:c r="Y36" s="99"/>
      <x:c r="Z36" s="99"/>
    </x:row>
    <x:row r="37">
      <x:c r="A37" s="130" t="str">
        <x:f>IF('RESPONSE DATA'!Z37="","",'RESPONSE DATA'!A37)</x:f>
      </x:c>
      <x:c r="B37" s="130" t="str">
        <x:f>IF('RESPONSE DATA'!Z37="","",'RESPONSE DATA'!Z37)</x:f>
      </x:c>
      <x:c r="C37" s="119"/>
      <x:c r="D37" s="119"/>
      <x:c r="E37" s="119"/>
      <x:c r="F37" s="119"/>
      <x:c r="G37" s="119"/>
      <x:c r="H37" s="119"/>
      <x:c r="I37" s="119"/>
      <x:c r="J37" s="130" t="str">
        <x:f>IF(B37="","",IF(C37="","ADD CODE","OK"))</x:f>
      </x:c>
      <x:c r="K37" s="99"/>
      <x:c r="L37" s="99"/>
      <x:c r="M37" s="99"/>
      <x:c r="N37" s="99"/>
      <x:c r="O37" s="99"/>
      <x:c r="P37" s="99"/>
      <x:c r="Q37" s="99"/>
      <x:c r="R37" s="99"/>
      <x:c r="S37" s="99"/>
      <x:c r="T37" s="99"/>
      <x:c r="U37" s="99"/>
      <x:c r="V37" s="99"/>
      <x:c r="W37" s="99"/>
      <x:c r="X37" s="99"/>
      <x:c r="Y37" s="99"/>
      <x:c r="Z37" s="99"/>
    </x:row>
    <x:row r="38">
      <x:c r="A38" s="130" t="str">
        <x:f>IF('RESPONSE DATA'!Z38="","",'RESPONSE DATA'!A38)</x:f>
      </x:c>
      <x:c r="B38" s="130" t="str">
        <x:f>IF('RESPONSE DATA'!Z38="","",'RESPONSE DATA'!Z38)</x:f>
      </x:c>
      <x:c r="C38" s="119"/>
      <x:c r="D38" s="119"/>
      <x:c r="E38" s="119"/>
      <x:c r="F38" s="119"/>
      <x:c r="G38" s="119"/>
      <x:c r="H38" s="119"/>
      <x:c r="I38" s="119"/>
      <x:c r="J38" s="130" t="str">
        <x:f>IF(B38="","",IF(C38="","ADD CODE","OK"))</x:f>
      </x:c>
      <x:c r="K38" s="99"/>
      <x:c r="L38" s="99"/>
      <x:c r="M38" s="99"/>
      <x:c r="N38" s="99"/>
      <x:c r="O38" s="99"/>
      <x:c r="P38" s="99"/>
      <x:c r="Q38" s="99"/>
      <x:c r="R38" s="99"/>
      <x:c r="S38" s="99"/>
      <x:c r="T38" s="99"/>
      <x:c r="U38" s="99"/>
      <x:c r="V38" s="99"/>
      <x:c r="W38" s="99"/>
      <x:c r="X38" s="99"/>
      <x:c r="Y38" s="99"/>
      <x:c r="Z38" s="99"/>
    </x:row>
    <x:row r="39">
      <x:c r="A39" s="130" t="str">
        <x:f>IF('RESPONSE DATA'!Z39="","",'RESPONSE DATA'!A39)</x:f>
      </x:c>
      <x:c r="B39" s="130" t="str">
        <x:f>IF('RESPONSE DATA'!Z39="","",'RESPONSE DATA'!Z39)</x:f>
      </x:c>
      <x:c r="C39" s="119"/>
      <x:c r="D39" s="119"/>
      <x:c r="E39" s="119"/>
      <x:c r="F39" s="119"/>
      <x:c r="G39" s="119"/>
      <x:c r="H39" s="119"/>
      <x:c r="I39" s="119"/>
      <x:c r="J39" s="130" t="str">
        <x:f>IF(B39="","",IF(C39="","ADD CODE","OK"))</x:f>
      </x:c>
      <x:c r="K39" s="99"/>
      <x:c r="L39" s="99"/>
      <x:c r="M39" s="99"/>
      <x:c r="N39" s="99"/>
      <x:c r="O39" s="99"/>
      <x:c r="P39" s="99"/>
      <x:c r="Q39" s="99"/>
      <x:c r="R39" s="99"/>
      <x:c r="S39" s="99"/>
      <x:c r="T39" s="99"/>
      <x:c r="U39" s="99"/>
      <x:c r="V39" s="99"/>
      <x:c r="W39" s="99"/>
      <x:c r="X39" s="99"/>
      <x:c r="Y39" s="99"/>
      <x:c r="Z39" s="99"/>
    </x:row>
    <x:row r="40">
      <x:c r="A40" s="130" t="str">
        <x:f>IF('RESPONSE DATA'!Z40="","",'RESPONSE DATA'!A40)</x:f>
      </x:c>
      <x:c r="B40" s="130" t="str">
        <x:f>IF('RESPONSE DATA'!Z40="","",'RESPONSE DATA'!Z40)</x:f>
      </x:c>
      <x:c r="C40" s="119"/>
      <x:c r="D40" s="119"/>
      <x:c r="E40" s="119"/>
      <x:c r="F40" s="119"/>
      <x:c r="G40" s="119"/>
      <x:c r="H40" s="119"/>
      <x:c r="I40" s="119"/>
      <x:c r="J40" s="130" t="str">
        <x:f>IF(B40="","",IF(C40="","ADD CODE","OK"))</x:f>
      </x:c>
      <x:c r="K40" s="99"/>
      <x:c r="L40" s="99"/>
      <x:c r="M40" s="99"/>
      <x:c r="N40" s="99"/>
      <x:c r="O40" s="99"/>
      <x:c r="P40" s="99"/>
      <x:c r="Q40" s="99"/>
      <x:c r="R40" s="99"/>
      <x:c r="S40" s="99"/>
      <x:c r="T40" s="99"/>
      <x:c r="U40" s="99"/>
      <x:c r="V40" s="99"/>
      <x:c r="W40" s="99"/>
      <x:c r="X40" s="99"/>
      <x:c r="Y40" s="99"/>
      <x:c r="Z40" s="99"/>
    </x:row>
    <x:row r="41">
      <x:c r="A41" s="130" t="str">
        <x:f>IF('RESPONSE DATA'!Z41="","",'RESPONSE DATA'!A41)</x:f>
      </x:c>
      <x:c r="B41" s="130" t="str">
        <x:f>IF('RESPONSE DATA'!Z41="","",'RESPONSE DATA'!Z41)</x:f>
      </x:c>
      <x:c r="C41" s="119"/>
      <x:c r="D41" s="119"/>
      <x:c r="E41" s="119"/>
      <x:c r="F41" s="119"/>
      <x:c r="G41" s="119"/>
      <x:c r="H41" s="119"/>
      <x:c r="I41" s="119"/>
      <x:c r="J41" s="130" t="str">
        <x:f>IF(B41="","",IF(C41="","ADD CODE","OK"))</x:f>
      </x:c>
      <x:c r="K41" s="99"/>
      <x:c r="L41" s="99"/>
      <x:c r="M41" s="99"/>
      <x:c r="N41" s="99"/>
      <x:c r="O41" s="99"/>
      <x:c r="P41" s="99"/>
      <x:c r="Q41" s="99"/>
      <x:c r="R41" s="99"/>
      <x:c r="S41" s="99"/>
      <x:c r="T41" s="99"/>
      <x:c r="U41" s="99"/>
      <x:c r="V41" s="99"/>
      <x:c r="W41" s="99"/>
      <x:c r="X41" s="99"/>
      <x:c r="Y41" s="99"/>
      <x:c r="Z41" s="99"/>
    </x:row>
    <x:row r="42">
      <x:c r="A42" s="130" t="str">
        <x:f>IF('RESPONSE DATA'!Z42="","",'RESPONSE DATA'!A42)</x:f>
      </x:c>
      <x:c r="B42" s="130" t="str">
        <x:f>IF('RESPONSE DATA'!Z42="","",'RESPONSE DATA'!Z42)</x:f>
      </x:c>
      <x:c r="C42" s="119"/>
      <x:c r="D42" s="119"/>
      <x:c r="E42" s="119"/>
      <x:c r="F42" s="119"/>
      <x:c r="G42" s="119"/>
      <x:c r="H42" s="119"/>
      <x:c r="I42" s="119"/>
      <x:c r="J42" s="130" t="str">
        <x:f>IF(B42="","",IF(C42="","ADD CODE","OK"))</x:f>
      </x:c>
      <x:c r="K42" s="99"/>
      <x:c r="L42" s="99"/>
      <x:c r="M42" s="99"/>
      <x:c r="N42" s="99"/>
      <x:c r="O42" s="99"/>
      <x:c r="P42" s="99"/>
      <x:c r="Q42" s="99"/>
      <x:c r="R42" s="99"/>
      <x:c r="S42" s="99"/>
      <x:c r="T42" s="99"/>
      <x:c r="U42" s="99"/>
      <x:c r="V42" s="99"/>
      <x:c r="W42" s="99"/>
      <x:c r="X42" s="99"/>
      <x:c r="Y42" s="99"/>
      <x:c r="Z42" s="99"/>
    </x:row>
    <x:row r="43">
      <x:c r="A43" s="130" t="str">
        <x:f>IF('RESPONSE DATA'!Z43="","",'RESPONSE DATA'!A43)</x:f>
      </x:c>
      <x:c r="B43" s="130" t="str">
        <x:f>IF('RESPONSE DATA'!Z43="","",'RESPONSE DATA'!Z43)</x:f>
      </x:c>
      <x:c r="C43" s="119"/>
      <x:c r="D43" s="119"/>
      <x:c r="E43" s="119"/>
      <x:c r="F43" s="119"/>
      <x:c r="G43" s="119"/>
      <x:c r="H43" s="119"/>
      <x:c r="I43" s="119"/>
      <x:c r="J43" s="130" t="str">
        <x:f>IF(B43="","",IF(C43="","ADD CODE","OK"))</x:f>
      </x:c>
      <x:c r="K43" s="99"/>
      <x:c r="L43" s="99"/>
      <x:c r="M43" s="99"/>
      <x:c r="N43" s="99"/>
      <x:c r="O43" s="99"/>
      <x:c r="P43" s="99"/>
      <x:c r="Q43" s="99"/>
      <x:c r="R43" s="99"/>
      <x:c r="S43" s="99"/>
      <x:c r="T43" s="99"/>
      <x:c r="U43" s="99"/>
      <x:c r="V43" s="99"/>
      <x:c r="W43" s="99"/>
      <x:c r="X43" s="99"/>
      <x:c r="Y43" s="99"/>
      <x:c r="Z43" s="99"/>
    </x:row>
    <x:row r="44">
      <x:c r="A44" s="130" t="str">
        <x:f>IF('RESPONSE DATA'!Z44="","",'RESPONSE DATA'!A44)</x:f>
      </x:c>
      <x:c r="B44" s="130" t="str">
        <x:f>IF('RESPONSE DATA'!Z44="","",'RESPONSE DATA'!Z44)</x:f>
      </x:c>
      <x:c r="C44" s="119"/>
      <x:c r="D44" s="119"/>
      <x:c r="E44" s="119"/>
      <x:c r="F44" s="119"/>
      <x:c r="G44" s="119"/>
      <x:c r="H44" s="119"/>
      <x:c r="I44" s="119"/>
      <x:c r="J44" s="130" t="str">
        <x:f>IF(B44="","",IF(C44="","ADD CODE","OK"))</x:f>
      </x:c>
      <x:c r="K44" s="99"/>
      <x:c r="L44" s="99"/>
      <x:c r="M44" s="99"/>
      <x:c r="N44" s="99"/>
      <x:c r="O44" s="99"/>
      <x:c r="P44" s="99"/>
      <x:c r="Q44" s="99"/>
      <x:c r="R44" s="99"/>
      <x:c r="S44" s="99"/>
      <x:c r="T44" s="99"/>
      <x:c r="U44" s="99"/>
      <x:c r="V44" s="99"/>
      <x:c r="W44" s="99"/>
      <x:c r="X44" s="99"/>
      <x:c r="Y44" s="99"/>
      <x:c r="Z44" s="99"/>
    </x:row>
    <x:row r="45">
      <x:c r="A45" s="130" t="str">
        <x:f>IF('RESPONSE DATA'!Z45="","",'RESPONSE DATA'!A45)</x:f>
      </x:c>
      <x:c r="B45" s="130" t="str">
        <x:f>IF('RESPONSE DATA'!Z45="","",'RESPONSE DATA'!Z45)</x:f>
      </x:c>
      <x:c r="C45" s="119"/>
      <x:c r="D45" s="119"/>
      <x:c r="E45" s="119"/>
      <x:c r="F45" s="119"/>
      <x:c r="G45" s="119"/>
      <x:c r="H45" s="119"/>
      <x:c r="I45" s="119"/>
      <x:c r="J45" s="130" t="str">
        <x:f>IF(B45="","",IF(C45="","ADD CODE","OK"))</x:f>
      </x:c>
      <x:c r="K45" s="99"/>
      <x:c r="L45" s="99"/>
      <x:c r="M45" s="99"/>
      <x:c r="N45" s="99"/>
      <x:c r="O45" s="99"/>
      <x:c r="P45" s="99"/>
      <x:c r="Q45" s="99"/>
      <x:c r="R45" s="99"/>
      <x:c r="S45" s="99"/>
      <x:c r="T45" s="99"/>
      <x:c r="U45" s="99"/>
      <x:c r="V45" s="99"/>
      <x:c r="W45" s="99"/>
      <x:c r="X45" s="99"/>
      <x:c r="Y45" s="99"/>
      <x:c r="Z45" s="99"/>
    </x:row>
    <x:row r="46">
      <x:c r="A46" s="130" t="str">
        <x:f>IF('RESPONSE DATA'!Z46="","",'RESPONSE DATA'!A46)</x:f>
      </x:c>
      <x:c r="B46" s="130" t="str">
        <x:f>IF('RESPONSE DATA'!Z46="","",'RESPONSE DATA'!Z46)</x:f>
      </x:c>
      <x:c r="C46" s="119"/>
      <x:c r="D46" s="119"/>
      <x:c r="E46" s="119"/>
      <x:c r="F46" s="119"/>
      <x:c r="G46" s="119"/>
      <x:c r="H46" s="119"/>
      <x:c r="I46" s="119"/>
      <x:c r="J46" s="130" t="str">
        <x:f>IF(B46="","",IF(C46="","ADD CODE","OK"))</x:f>
      </x:c>
      <x:c r="K46" s="99"/>
      <x:c r="L46" s="99"/>
      <x:c r="M46" s="99"/>
      <x:c r="N46" s="99"/>
      <x:c r="O46" s="99"/>
      <x:c r="P46" s="99"/>
      <x:c r="Q46" s="99"/>
      <x:c r="R46" s="99"/>
      <x:c r="S46" s="99"/>
      <x:c r="T46" s="99"/>
      <x:c r="U46" s="99"/>
      <x:c r="V46" s="99"/>
      <x:c r="W46" s="99"/>
      <x:c r="X46" s="99"/>
      <x:c r="Y46" s="99"/>
      <x:c r="Z46" s="99"/>
    </x:row>
    <x:row r="47">
      <x:c r="A47" s="130" t="str">
        <x:f>IF('RESPONSE DATA'!Z47="","",'RESPONSE DATA'!A47)</x:f>
      </x:c>
      <x:c r="B47" s="130" t="str">
        <x:f>IF('RESPONSE DATA'!Z47="","",'RESPONSE DATA'!Z47)</x:f>
      </x:c>
      <x:c r="C47" s="119"/>
      <x:c r="D47" s="119"/>
      <x:c r="E47" s="119"/>
      <x:c r="F47" s="119"/>
      <x:c r="G47" s="119"/>
      <x:c r="H47" s="119"/>
      <x:c r="I47" s="119"/>
      <x:c r="J47" s="130" t="str">
        <x:f>IF(B47="","",IF(C47="","ADD CODE","OK"))</x:f>
      </x:c>
      <x:c r="K47" s="99"/>
      <x:c r="L47" s="99"/>
      <x:c r="M47" s="99"/>
      <x:c r="N47" s="99"/>
      <x:c r="O47" s="99"/>
      <x:c r="P47" s="99"/>
      <x:c r="Q47" s="99"/>
      <x:c r="R47" s="99"/>
      <x:c r="S47" s="99"/>
      <x:c r="T47" s="99"/>
      <x:c r="U47" s="99"/>
      <x:c r="V47" s="99"/>
      <x:c r="W47" s="99"/>
      <x:c r="X47" s="99"/>
      <x:c r="Y47" s="99"/>
      <x:c r="Z47" s="99"/>
    </x:row>
    <x:row r="48">
      <x:c r="A48" s="130" t="str">
        <x:f>IF('RESPONSE DATA'!Z48="","",'RESPONSE DATA'!A48)</x:f>
      </x:c>
      <x:c r="B48" s="130" t="str">
        <x:f>IF('RESPONSE DATA'!Z48="","",'RESPONSE DATA'!Z48)</x:f>
      </x:c>
      <x:c r="C48" s="119"/>
      <x:c r="D48" s="119"/>
      <x:c r="E48" s="119"/>
      <x:c r="F48" s="119"/>
      <x:c r="G48" s="119"/>
      <x:c r="H48" s="119"/>
      <x:c r="I48" s="119"/>
      <x:c r="J48" s="130" t="str">
        <x:f>IF(B48="","",IF(C48="","ADD CODE","OK"))</x:f>
      </x:c>
      <x:c r="K48" s="99"/>
      <x:c r="L48" s="99"/>
      <x:c r="M48" s="99"/>
      <x:c r="N48" s="99"/>
      <x:c r="O48" s="99"/>
      <x:c r="P48" s="99"/>
      <x:c r="Q48" s="99"/>
      <x:c r="R48" s="99"/>
      <x:c r="S48" s="99"/>
      <x:c r="T48" s="99"/>
      <x:c r="U48" s="99"/>
      <x:c r="V48" s="99"/>
      <x:c r="W48" s="99"/>
      <x:c r="X48" s="99"/>
      <x:c r="Y48" s="99"/>
      <x:c r="Z48" s="99"/>
    </x:row>
    <x:row r="49">
      <x:c r="A49" s="130" t="str">
        <x:f>IF('RESPONSE DATA'!Z49="","",'RESPONSE DATA'!A49)</x:f>
      </x:c>
      <x:c r="B49" s="130" t="str">
        <x:f>IF('RESPONSE DATA'!Z49="","",'RESPONSE DATA'!Z49)</x:f>
      </x:c>
      <x:c r="C49" s="119"/>
      <x:c r="D49" s="119"/>
      <x:c r="E49" s="119"/>
      <x:c r="F49" s="119"/>
      <x:c r="G49" s="119"/>
      <x:c r="H49" s="119"/>
      <x:c r="I49" s="119"/>
      <x:c r="J49" s="130" t="str">
        <x:f>IF(B49="","",IF(C49="","ADD CODE","OK"))</x:f>
      </x:c>
      <x:c r="K49" s="99"/>
      <x:c r="L49" s="99"/>
      <x:c r="M49" s="99"/>
      <x:c r="N49" s="99"/>
      <x:c r="O49" s="99"/>
      <x:c r="P49" s="99"/>
      <x:c r="Q49" s="99"/>
      <x:c r="R49" s="99"/>
      <x:c r="S49" s="99"/>
      <x:c r="T49" s="99"/>
      <x:c r="U49" s="99"/>
      <x:c r="V49" s="99"/>
      <x:c r="W49" s="99"/>
      <x:c r="X49" s="99"/>
      <x:c r="Y49" s="99"/>
      <x:c r="Z49" s="99"/>
    </x:row>
    <x:row r="50">
      <x:c r="A50" s="130" t="str">
        <x:f>IF('RESPONSE DATA'!Z50="","",'RESPONSE DATA'!A50)</x:f>
      </x:c>
      <x:c r="B50" s="130" t="str">
        <x:f>IF('RESPONSE DATA'!Z50="","",'RESPONSE DATA'!Z50)</x:f>
      </x:c>
      <x:c r="C50" s="119"/>
      <x:c r="D50" s="119"/>
      <x:c r="E50" s="119"/>
      <x:c r="F50" s="119"/>
      <x:c r="G50" s="119"/>
      <x:c r="H50" s="119"/>
      <x:c r="I50" s="119"/>
      <x:c r="J50" s="130" t="str">
        <x:f>IF(B50="","",IF(C50="","ADD CODE","OK"))</x:f>
      </x:c>
      <x:c r="K50" s="99"/>
      <x:c r="L50" s="99"/>
      <x:c r="M50" s="99"/>
      <x:c r="N50" s="99"/>
      <x:c r="O50" s="99"/>
      <x:c r="P50" s="99"/>
      <x:c r="Q50" s="99"/>
      <x:c r="R50" s="99"/>
      <x:c r="S50" s="99"/>
      <x:c r="T50" s="99"/>
      <x:c r="U50" s="99"/>
      <x:c r="V50" s="99"/>
      <x:c r="W50" s="99"/>
      <x:c r="X50" s="99"/>
      <x:c r="Y50" s="99"/>
      <x:c r="Z50" s="99"/>
    </x:row>
    <x:row r="51">
      <x:c r="A51" s="130" t="str">
        <x:f>IF('RESPONSE DATA'!Z51="","",'RESPONSE DATA'!A51)</x:f>
      </x:c>
      <x:c r="B51" s="130" t="str">
        <x:f>IF('RESPONSE DATA'!Z51="","",'RESPONSE DATA'!Z51)</x:f>
      </x:c>
      <x:c r="C51" s="119"/>
      <x:c r="D51" s="119"/>
      <x:c r="E51" s="119"/>
      <x:c r="F51" s="119"/>
      <x:c r="G51" s="119"/>
      <x:c r="H51" s="119"/>
      <x:c r="I51" s="119"/>
      <x:c r="J51" s="130" t="str">
        <x:f>IF(B51="","",IF(C51="","ADD CODE","OK"))</x:f>
      </x:c>
      <x:c r="K51" s="99"/>
      <x:c r="L51" s="99"/>
      <x:c r="M51" s="99"/>
      <x:c r="N51" s="99"/>
      <x:c r="O51" s="99"/>
      <x:c r="P51" s="99"/>
      <x:c r="Q51" s="99"/>
      <x:c r="R51" s="99"/>
      <x:c r="S51" s="99"/>
      <x:c r="T51" s="99"/>
      <x:c r="U51" s="99"/>
      <x:c r="V51" s="99"/>
      <x:c r="W51" s="99"/>
      <x:c r="X51" s="99"/>
      <x:c r="Y51" s="99"/>
      <x:c r="Z51" s="99"/>
    </x:row>
    <x:row r="52">
      <x:c r="A52" s="130" t="str">
        <x:f>IF('RESPONSE DATA'!Z52="","",'RESPONSE DATA'!A52)</x:f>
      </x:c>
      <x:c r="B52" s="130" t="str">
        <x:f>IF('RESPONSE DATA'!Z52="","",'RESPONSE DATA'!Z52)</x:f>
      </x:c>
      <x:c r="C52" s="119"/>
      <x:c r="D52" s="119"/>
      <x:c r="E52" s="119"/>
      <x:c r="F52" s="119"/>
      <x:c r="G52" s="119"/>
      <x:c r="H52" s="119"/>
      <x:c r="I52" s="119"/>
      <x:c r="J52" s="130" t="str">
        <x:f>IF(B52="","",IF(C52="","ADD CODE","OK"))</x:f>
      </x:c>
      <x:c r="K52" s="99"/>
      <x:c r="L52" s="99"/>
      <x:c r="M52" s="99"/>
      <x:c r="N52" s="99"/>
      <x:c r="O52" s="99"/>
      <x:c r="P52" s="99"/>
      <x:c r="Q52" s="99"/>
      <x:c r="R52" s="99"/>
      <x:c r="S52" s="99"/>
      <x:c r="T52" s="99"/>
      <x:c r="U52" s="99"/>
      <x:c r="V52" s="99"/>
      <x:c r="W52" s="99"/>
      <x:c r="X52" s="99"/>
      <x:c r="Y52" s="99"/>
      <x:c r="Z52" s="99"/>
    </x:row>
    <x:row r="53">
      <x:c r="A53" s="130" t="str">
        <x:f>IF('RESPONSE DATA'!Z53="","",'RESPONSE DATA'!A53)</x:f>
      </x:c>
      <x:c r="B53" s="130" t="str">
        <x:f>IF('RESPONSE DATA'!Z53="","",'RESPONSE DATA'!Z53)</x:f>
      </x:c>
      <x:c r="C53" s="119"/>
      <x:c r="D53" s="119"/>
      <x:c r="E53" s="119"/>
      <x:c r="F53" s="119"/>
      <x:c r="G53" s="119"/>
      <x:c r="H53" s="119"/>
      <x:c r="I53" s="119"/>
      <x:c r="J53" s="130" t="str">
        <x:f>IF(B53="","",IF(C53="","ADD CODE","OK"))</x:f>
      </x:c>
      <x:c r="K53" s="99"/>
      <x:c r="L53" s="99"/>
      <x:c r="M53" s="99"/>
      <x:c r="N53" s="99"/>
      <x:c r="O53" s="99"/>
      <x:c r="P53" s="99"/>
      <x:c r="Q53" s="99"/>
      <x:c r="R53" s="99"/>
      <x:c r="S53" s="99"/>
      <x:c r="T53" s="99"/>
      <x:c r="U53" s="99"/>
      <x:c r="V53" s="99"/>
      <x:c r="W53" s="99"/>
      <x:c r="X53" s="99"/>
      <x:c r="Y53" s="99"/>
      <x:c r="Z53" s="99"/>
    </x:row>
    <x:row r="54">
      <x:c r="A54" s="130" t="str">
        <x:f>IF('RESPONSE DATA'!Z54="","",'RESPONSE DATA'!A54)</x:f>
      </x:c>
      <x:c r="B54" s="130" t="str">
        <x:f>IF('RESPONSE DATA'!Z54="","",'RESPONSE DATA'!Z54)</x:f>
      </x:c>
      <x:c r="C54" s="119"/>
      <x:c r="D54" s="119"/>
      <x:c r="E54" s="119"/>
      <x:c r="F54" s="119"/>
      <x:c r="G54" s="119"/>
      <x:c r="H54" s="119"/>
      <x:c r="I54" s="119"/>
      <x:c r="J54" s="130" t="str">
        <x:f>IF(B54="","",IF(C54="","ADD CODE","OK"))</x:f>
      </x:c>
      <x:c r="K54" s="99"/>
      <x:c r="L54" s="99"/>
      <x:c r="M54" s="99"/>
      <x:c r="N54" s="99"/>
      <x:c r="O54" s="99"/>
      <x:c r="P54" s="99"/>
      <x:c r="Q54" s="99"/>
      <x:c r="R54" s="99"/>
      <x:c r="S54" s="99"/>
      <x:c r="T54" s="99"/>
      <x:c r="U54" s="99"/>
      <x:c r="V54" s="99"/>
      <x:c r="W54" s="99"/>
      <x:c r="X54" s="99"/>
      <x:c r="Y54" s="99"/>
      <x:c r="Z54" s="99"/>
    </x:row>
    <x:row r="55">
      <x:c r="A55" s="130" t="str">
        <x:f>IF('RESPONSE DATA'!Z55="","",'RESPONSE DATA'!A55)</x:f>
      </x:c>
      <x:c r="B55" s="130" t="str">
        <x:f>IF('RESPONSE DATA'!Z55="","",'RESPONSE DATA'!Z55)</x:f>
      </x:c>
      <x:c r="C55" s="119"/>
      <x:c r="D55" s="119"/>
      <x:c r="E55" s="119"/>
      <x:c r="F55" s="119"/>
      <x:c r="G55" s="119"/>
      <x:c r="H55" s="119"/>
      <x:c r="I55" s="119"/>
      <x:c r="J55" s="130" t="str">
        <x:f>IF(B55="","",IF(C55="","ADD CODE","OK"))</x:f>
      </x:c>
      <x:c r="K55" s="99"/>
      <x:c r="L55" s="99"/>
      <x:c r="M55" s="99"/>
      <x:c r="N55" s="99"/>
      <x:c r="O55" s="99"/>
      <x:c r="P55" s="99"/>
      <x:c r="Q55" s="99"/>
      <x:c r="R55" s="99"/>
      <x:c r="S55" s="99"/>
      <x:c r="T55" s="99"/>
      <x:c r="U55" s="99"/>
      <x:c r="V55" s="99"/>
      <x:c r="W55" s="99"/>
      <x:c r="X55" s="99"/>
      <x:c r="Y55" s="99"/>
      <x:c r="Z55" s="99"/>
    </x:row>
    <x:row r="56">
      <x:c r="A56" s="130" t="str">
        <x:f>IF('RESPONSE DATA'!Z56="","",'RESPONSE DATA'!A56)</x:f>
      </x:c>
      <x:c r="B56" s="130" t="str">
        <x:f>IF('RESPONSE DATA'!Z56="","",'RESPONSE DATA'!Z56)</x:f>
      </x:c>
      <x:c r="C56" s="119"/>
      <x:c r="D56" s="119"/>
      <x:c r="E56" s="119"/>
      <x:c r="F56" s="119"/>
      <x:c r="G56" s="119"/>
      <x:c r="H56" s="119"/>
      <x:c r="I56" s="119"/>
      <x:c r="J56" s="130" t="str">
        <x:f>IF(B56="","",IF(C56="","ADD CODE","OK"))</x:f>
      </x:c>
      <x:c r="K56" s="99"/>
      <x:c r="L56" s="99"/>
      <x:c r="M56" s="99"/>
      <x:c r="N56" s="99"/>
      <x:c r="O56" s="99"/>
      <x:c r="P56" s="99"/>
      <x:c r="Q56" s="99"/>
      <x:c r="R56" s="99"/>
      <x:c r="S56" s="99"/>
      <x:c r="T56" s="99"/>
      <x:c r="U56" s="99"/>
      <x:c r="V56" s="99"/>
      <x:c r="W56" s="99"/>
      <x:c r="X56" s="99"/>
      <x:c r="Y56" s="99"/>
      <x:c r="Z56" s="99"/>
    </x:row>
    <x:row r="57">
      <x:c r="A57" s="130" t="str">
        <x:f>IF('RESPONSE DATA'!Z57="","",'RESPONSE DATA'!A57)</x:f>
      </x:c>
      <x:c r="B57" s="130" t="str">
        <x:f>IF('RESPONSE DATA'!Z57="","",'RESPONSE DATA'!Z57)</x:f>
      </x:c>
      <x:c r="C57" s="119"/>
      <x:c r="D57" s="119"/>
      <x:c r="E57" s="119"/>
      <x:c r="F57" s="119"/>
      <x:c r="G57" s="119"/>
      <x:c r="H57" s="119"/>
      <x:c r="I57" s="119"/>
      <x:c r="J57" s="130" t="str">
        <x:f>IF(B57="","",IF(C57="","ADD CODE","OK"))</x:f>
      </x:c>
      <x:c r="K57" s="99"/>
      <x:c r="L57" s="99"/>
      <x:c r="M57" s="99"/>
      <x:c r="N57" s="99"/>
      <x:c r="O57" s="99"/>
      <x:c r="P57" s="99"/>
      <x:c r="Q57" s="99"/>
      <x:c r="R57" s="99"/>
      <x:c r="S57" s="99"/>
      <x:c r="T57" s="99"/>
      <x:c r="U57" s="99"/>
      <x:c r="V57" s="99"/>
      <x:c r="W57" s="99"/>
      <x:c r="X57" s="99"/>
      <x:c r="Y57" s="99"/>
      <x:c r="Z57" s="99"/>
    </x:row>
    <x:row r="58">
      <x:c r="A58" s="130" t="str">
        <x:f>IF('RESPONSE DATA'!Z58="","",'RESPONSE DATA'!A58)</x:f>
      </x:c>
      <x:c r="B58" s="130" t="str">
        <x:f>IF('RESPONSE DATA'!Z58="","",'RESPONSE DATA'!Z58)</x:f>
      </x:c>
      <x:c r="C58" s="119"/>
      <x:c r="D58" s="119"/>
      <x:c r="E58" s="119"/>
      <x:c r="F58" s="119"/>
      <x:c r="G58" s="119"/>
      <x:c r="H58" s="119"/>
      <x:c r="I58" s="119"/>
      <x:c r="J58" s="130" t="str">
        <x:f>IF(B58="","",IF(C58="","ADD CODE","OK"))</x:f>
      </x:c>
      <x:c r="K58" s="99"/>
      <x:c r="L58" s="99"/>
      <x:c r="M58" s="99"/>
      <x:c r="N58" s="99"/>
      <x:c r="O58" s="99"/>
      <x:c r="P58" s="99"/>
      <x:c r="Q58" s="99"/>
      <x:c r="R58" s="99"/>
      <x:c r="S58" s="99"/>
      <x:c r="T58" s="99"/>
      <x:c r="U58" s="99"/>
      <x:c r="V58" s="99"/>
      <x:c r="W58" s="99"/>
      <x:c r="X58" s="99"/>
      <x:c r="Y58" s="99"/>
      <x:c r="Z58" s="99"/>
    </x:row>
    <x:row r="59">
      <x:c r="A59" s="130" t="str">
        <x:f>IF('RESPONSE DATA'!Z59="","",'RESPONSE DATA'!A59)</x:f>
      </x:c>
      <x:c r="B59" s="130" t="str">
        <x:f>IF('RESPONSE DATA'!Z59="","",'RESPONSE DATA'!Z59)</x:f>
      </x:c>
      <x:c r="C59" s="119"/>
      <x:c r="D59" s="119"/>
      <x:c r="E59" s="119"/>
      <x:c r="F59" s="119"/>
      <x:c r="G59" s="119"/>
      <x:c r="H59" s="119"/>
      <x:c r="I59" s="119"/>
      <x:c r="J59" s="130" t="str">
        <x:f>IF(B59="","",IF(C59="","ADD CODE","OK"))</x:f>
      </x:c>
      <x:c r="K59" s="99"/>
      <x:c r="L59" s="99"/>
      <x:c r="M59" s="99"/>
      <x:c r="N59" s="99"/>
      <x:c r="O59" s="99"/>
      <x:c r="P59" s="99"/>
      <x:c r="Q59" s="99"/>
      <x:c r="R59" s="99"/>
      <x:c r="S59" s="99"/>
      <x:c r="T59" s="99"/>
      <x:c r="U59" s="99"/>
      <x:c r="V59" s="99"/>
      <x:c r="W59" s="99"/>
      <x:c r="X59" s="99"/>
      <x:c r="Y59" s="99"/>
      <x:c r="Z59" s="99"/>
    </x:row>
    <x:row r="60">
      <x:c r="A60" s="130" t="str">
        <x:f>IF('RESPONSE DATA'!Z60="","",'RESPONSE DATA'!A60)</x:f>
      </x:c>
      <x:c r="B60" s="130" t="str">
        <x:f>IF('RESPONSE DATA'!Z60="","",'RESPONSE DATA'!Z60)</x:f>
      </x:c>
      <x:c r="C60" s="119"/>
      <x:c r="D60" s="119"/>
      <x:c r="E60" s="119"/>
      <x:c r="F60" s="119"/>
      <x:c r="G60" s="119"/>
      <x:c r="H60" s="119"/>
      <x:c r="I60" s="119"/>
      <x:c r="J60" s="130" t="str">
        <x:f>IF(B60="","",IF(C60="","ADD CODE","OK"))</x:f>
      </x:c>
      <x:c r="K60" s="99"/>
      <x:c r="L60" s="99"/>
      <x:c r="M60" s="99"/>
      <x:c r="N60" s="99"/>
      <x:c r="O60" s="99"/>
      <x:c r="P60" s="99"/>
      <x:c r="Q60" s="99"/>
      <x:c r="R60" s="99"/>
      <x:c r="S60" s="99"/>
      <x:c r="T60" s="99"/>
      <x:c r="U60" s="99"/>
      <x:c r="V60" s="99"/>
      <x:c r="W60" s="99"/>
      <x:c r="X60" s="99"/>
      <x:c r="Y60" s="99"/>
      <x:c r="Z60" s="99"/>
    </x:row>
    <x:row r="61">
      <x:c r="A61" s="130" t="str">
        <x:f>IF('RESPONSE DATA'!Z61="","",'RESPONSE DATA'!A61)</x:f>
      </x:c>
      <x:c r="B61" s="130" t="str">
        <x:f>IF('RESPONSE DATA'!Z61="","",'RESPONSE DATA'!Z61)</x:f>
      </x:c>
      <x:c r="C61" s="119"/>
      <x:c r="D61" s="119"/>
      <x:c r="E61" s="119"/>
      <x:c r="F61" s="119"/>
      <x:c r="G61" s="119"/>
      <x:c r="H61" s="119"/>
      <x:c r="I61" s="119"/>
      <x:c r="J61" s="130" t="str">
        <x:f>IF(B61="","",IF(C61="","ADD CODE","OK"))</x:f>
      </x:c>
      <x:c r="K61" s="99"/>
      <x:c r="L61" s="99"/>
      <x:c r="M61" s="99"/>
      <x:c r="N61" s="99"/>
      <x:c r="O61" s="99"/>
      <x:c r="P61" s="99"/>
      <x:c r="Q61" s="99"/>
      <x:c r="R61" s="99"/>
      <x:c r="S61" s="99"/>
      <x:c r="T61" s="99"/>
      <x:c r="U61" s="99"/>
      <x:c r="V61" s="99"/>
      <x:c r="W61" s="99"/>
      <x:c r="X61" s="99"/>
      <x:c r="Y61" s="99"/>
      <x:c r="Z61" s="99"/>
    </x:row>
    <x:row r="62">
      <x:c r="A62" s="130" t="str">
        <x:f>IF('RESPONSE DATA'!Z62="","",'RESPONSE DATA'!A62)</x:f>
      </x:c>
      <x:c r="B62" s="130" t="str">
        <x:f>IF('RESPONSE DATA'!Z62="","",'RESPONSE DATA'!Z62)</x:f>
      </x:c>
      <x:c r="C62" s="119"/>
      <x:c r="D62" s="119"/>
      <x:c r="E62" s="119"/>
      <x:c r="F62" s="119"/>
      <x:c r="G62" s="119"/>
      <x:c r="H62" s="119"/>
      <x:c r="I62" s="119"/>
      <x:c r="J62" s="130" t="str">
        <x:f>IF(B62="","",IF(C62="","ADD CODE","OK"))</x:f>
      </x:c>
      <x:c r="K62" s="99"/>
      <x:c r="L62" s="99"/>
      <x:c r="M62" s="99"/>
      <x:c r="N62" s="99"/>
      <x:c r="O62" s="99"/>
      <x:c r="P62" s="99"/>
      <x:c r="Q62" s="99"/>
      <x:c r="R62" s="99"/>
      <x:c r="S62" s="99"/>
      <x:c r="T62" s="99"/>
      <x:c r="U62" s="99"/>
      <x:c r="V62" s="99"/>
      <x:c r="W62" s="99"/>
      <x:c r="X62" s="99"/>
      <x:c r="Y62" s="99"/>
      <x:c r="Z62" s="99"/>
    </x:row>
    <x:row r="63">
      <x:c r="A63" s="130" t="str">
        <x:f>IF('RESPONSE DATA'!Z63="","",'RESPONSE DATA'!A63)</x:f>
      </x:c>
      <x:c r="B63" s="130" t="str">
        <x:f>IF('RESPONSE DATA'!Z63="","",'RESPONSE DATA'!Z63)</x:f>
      </x:c>
      <x:c r="C63" s="119"/>
      <x:c r="D63" s="119"/>
      <x:c r="E63" s="119"/>
      <x:c r="F63" s="119"/>
      <x:c r="G63" s="119"/>
      <x:c r="H63" s="119"/>
      <x:c r="I63" s="119"/>
      <x:c r="J63" s="130" t="str">
        <x:f>IF(B63="","",IF(C63="","ADD CODE","OK"))</x:f>
      </x:c>
      <x:c r="K63" s="99"/>
      <x:c r="L63" s="99"/>
      <x:c r="M63" s="99"/>
      <x:c r="N63" s="99"/>
      <x:c r="O63" s="99"/>
      <x:c r="P63" s="99"/>
      <x:c r="Q63" s="99"/>
      <x:c r="R63" s="99"/>
      <x:c r="S63" s="99"/>
      <x:c r="T63" s="99"/>
      <x:c r="U63" s="99"/>
      <x:c r="V63" s="99"/>
      <x:c r="W63" s="99"/>
      <x:c r="X63" s="99"/>
      <x:c r="Y63" s="99"/>
      <x:c r="Z63" s="99"/>
    </x:row>
    <x:row r="64">
      <x:c r="A64" s="130" t="str">
        <x:f>IF('RESPONSE DATA'!Z64="","",'RESPONSE DATA'!A64)</x:f>
      </x:c>
      <x:c r="B64" s="130" t="str">
        <x:f>IF('RESPONSE DATA'!Z64="","",'RESPONSE DATA'!Z64)</x:f>
      </x:c>
      <x:c r="C64" s="119"/>
      <x:c r="D64" s="119"/>
      <x:c r="E64" s="119"/>
      <x:c r="F64" s="119"/>
      <x:c r="G64" s="119"/>
      <x:c r="H64" s="119"/>
      <x:c r="I64" s="119"/>
      <x:c r="J64" s="130" t="str">
        <x:f>IF(B64="","",IF(C64="","ADD CODE","OK"))</x:f>
      </x:c>
      <x:c r="K64" s="99"/>
      <x:c r="L64" s="99"/>
      <x:c r="M64" s="99"/>
      <x:c r="N64" s="99"/>
      <x:c r="O64" s="99"/>
      <x:c r="P64" s="99"/>
      <x:c r="Q64" s="99"/>
      <x:c r="R64" s="99"/>
      <x:c r="S64" s="99"/>
      <x:c r="T64" s="99"/>
      <x:c r="U64" s="99"/>
      <x:c r="V64" s="99"/>
      <x:c r="W64" s="99"/>
      <x:c r="X64" s="99"/>
      <x:c r="Y64" s="99"/>
      <x:c r="Z64" s="99"/>
    </x:row>
    <x:row r="65">
      <x:c r="A65" s="130" t="str">
        <x:f>IF('RESPONSE DATA'!Z65="","",'RESPONSE DATA'!A65)</x:f>
      </x:c>
      <x:c r="B65" s="130" t="str">
        <x:f>IF('RESPONSE DATA'!Z65="","",'RESPONSE DATA'!Z65)</x:f>
      </x:c>
      <x:c r="C65" s="119"/>
      <x:c r="D65" s="119"/>
      <x:c r="E65" s="119"/>
      <x:c r="F65" s="119"/>
      <x:c r="G65" s="119"/>
      <x:c r="H65" s="119"/>
      <x:c r="I65" s="119"/>
      <x:c r="J65" s="130" t="str">
        <x:f>IF(B65="","",IF(C65="","ADD CODE","OK"))</x:f>
      </x:c>
      <x:c r="K65" s="99"/>
      <x:c r="L65" s="99"/>
      <x:c r="M65" s="99"/>
      <x:c r="N65" s="99"/>
      <x:c r="O65" s="99"/>
      <x:c r="P65" s="99"/>
      <x:c r="Q65" s="99"/>
      <x:c r="R65" s="99"/>
      <x:c r="S65" s="99"/>
      <x:c r="T65" s="99"/>
      <x:c r="U65" s="99"/>
      <x:c r="V65" s="99"/>
      <x:c r="W65" s="99"/>
      <x:c r="X65" s="99"/>
      <x:c r="Y65" s="99"/>
      <x:c r="Z65" s="99"/>
    </x:row>
    <x:row r="66">
      <x:c r="A66" s="130" t="str">
        <x:f>IF('RESPONSE DATA'!Z66="","",'RESPONSE DATA'!A66)</x:f>
      </x:c>
      <x:c r="B66" s="130" t="str">
        <x:f>IF('RESPONSE DATA'!Z66="","",'RESPONSE DATA'!Z66)</x:f>
      </x:c>
      <x:c r="C66" s="119"/>
      <x:c r="D66" s="119"/>
      <x:c r="E66" s="119"/>
      <x:c r="F66" s="119"/>
      <x:c r="G66" s="119"/>
      <x:c r="H66" s="119"/>
      <x:c r="I66" s="119"/>
      <x:c r="J66" s="130" t="str">
        <x:f>IF(B66="","",IF(C66="","ADD CODE","OK"))</x:f>
      </x:c>
      <x:c r="K66" s="99"/>
      <x:c r="L66" s="99"/>
      <x:c r="M66" s="99"/>
      <x:c r="N66" s="99"/>
      <x:c r="O66" s="99"/>
      <x:c r="P66" s="99"/>
      <x:c r="Q66" s="99"/>
      <x:c r="R66" s="99"/>
      <x:c r="S66" s="99"/>
      <x:c r="T66" s="99"/>
      <x:c r="U66" s="99"/>
      <x:c r="V66" s="99"/>
      <x:c r="W66" s="99"/>
      <x:c r="X66" s="99"/>
      <x:c r="Y66" s="99"/>
      <x:c r="Z66" s="99"/>
    </x:row>
    <x:row r="67">
      <x:c r="A67" s="130" t="str">
        <x:f>IF('RESPONSE DATA'!Z67="","",'RESPONSE DATA'!A67)</x:f>
      </x:c>
      <x:c r="B67" s="130" t="str">
        <x:f>IF('RESPONSE DATA'!Z67="","",'RESPONSE DATA'!Z67)</x:f>
      </x:c>
      <x:c r="C67" s="119"/>
      <x:c r="D67" s="119"/>
      <x:c r="E67" s="119"/>
      <x:c r="F67" s="119"/>
      <x:c r="G67" s="119"/>
      <x:c r="H67" s="119"/>
      <x:c r="I67" s="119"/>
      <x:c r="J67" s="130" t="str">
        <x:f>IF(B67="","",IF(C67="","ADD CODE","OK"))</x:f>
      </x:c>
      <x:c r="K67" s="99"/>
      <x:c r="L67" s="99"/>
      <x:c r="M67" s="99"/>
      <x:c r="N67" s="99"/>
      <x:c r="O67" s="99"/>
      <x:c r="P67" s="99"/>
      <x:c r="Q67" s="99"/>
      <x:c r="R67" s="99"/>
      <x:c r="S67" s="99"/>
      <x:c r="T67" s="99"/>
      <x:c r="U67" s="99"/>
      <x:c r="V67" s="99"/>
      <x:c r="W67" s="99"/>
      <x:c r="X67" s="99"/>
      <x:c r="Y67" s="99"/>
      <x:c r="Z67" s="99"/>
    </x:row>
    <x:row r="68">
      <x:c r="A68" s="130" t="str">
        <x:f>IF('RESPONSE DATA'!Z68="","",'RESPONSE DATA'!A68)</x:f>
      </x:c>
      <x:c r="B68" s="130" t="str">
        <x:f>IF('RESPONSE DATA'!Z68="","",'RESPONSE DATA'!Z68)</x:f>
      </x:c>
      <x:c r="C68" s="119"/>
      <x:c r="D68" s="119"/>
      <x:c r="E68" s="119"/>
      <x:c r="F68" s="119"/>
      <x:c r="G68" s="119"/>
      <x:c r="H68" s="119"/>
      <x:c r="I68" s="119"/>
      <x:c r="J68" s="130" t="str">
        <x:f>IF(B68="","",IF(C68="","ADD CODE","OK"))</x:f>
      </x:c>
      <x:c r="K68" s="99"/>
      <x:c r="L68" s="99"/>
      <x:c r="M68" s="99"/>
      <x:c r="N68" s="99"/>
      <x:c r="O68" s="99"/>
      <x:c r="P68" s="99"/>
      <x:c r="Q68" s="99"/>
      <x:c r="R68" s="99"/>
      <x:c r="S68" s="99"/>
      <x:c r="T68" s="99"/>
      <x:c r="U68" s="99"/>
      <x:c r="V68" s="99"/>
      <x:c r="W68" s="99"/>
      <x:c r="X68" s="99"/>
      <x:c r="Y68" s="99"/>
      <x:c r="Z68" s="99"/>
    </x:row>
    <x:row r="69">
      <x:c r="A69" s="130" t="str">
        <x:f>IF('RESPONSE DATA'!Z69="","",'RESPONSE DATA'!A69)</x:f>
      </x:c>
      <x:c r="B69" s="130" t="str">
        <x:f>IF('RESPONSE DATA'!Z69="","",'RESPONSE DATA'!Z69)</x:f>
      </x:c>
      <x:c r="C69" s="119"/>
      <x:c r="D69" s="119"/>
      <x:c r="E69" s="119"/>
      <x:c r="F69" s="119"/>
      <x:c r="G69" s="119"/>
      <x:c r="H69" s="119"/>
      <x:c r="I69" s="119"/>
      <x:c r="J69" s="130" t="str">
        <x:f>IF(B69="","",IF(C69="","ADD CODE","OK"))</x:f>
      </x:c>
      <x:c r="K69" s="99"/>
      <x:c r="L69" s="99"/>
      <x:c r="M69" s="99"/>
      <x:c r="N69" s="99"/>
      <x:c r="O69" s="99"/>
      <x:c r="P69" s="99"/>
      <x:c r="Q69" s="99"/>
      <x:c r="R69" s="99"/>
      <x:c r="S69" s="99"/>
      <x:c r="T69" s="99"/>
      <x:c r="U69" s="99"/>
      <x:c r="V69" s="99"/>
      <x:c r="W69" s="99"/>
      <x:c r="X69" s="99"/>
      <x:c r="Y69" s="99"/>
      <x:c r="Z69" s="99"/>
    </x:row>
    <x:row r="70">
      <x:c r="A70" s="130" t="str">
        <x:f>IF('RESPONSE DATA'!Z70="","",'RESPONSE DATA'!A70)</x:f>
      </x:c>
      <x:c r="B70" s="130" t="str">
        <x:f>IF('RESPONSE DATA'!Z70="","",'RESPONSE DATA'!Z70)</x:f>
      </x:c>
      <x:c r="C70" s="119"/>
      <x:c r="D70" s="119"/>
      <x:c r="E70" s="119"/>
      <x:c r="F70" s="119"/>
      <x:c r="G70" s="119"/>
      <x:c r="H70" s="119"/>
      <x:c r="I70" s="119"/>
      <x:c r="J70" s="130" t="str">
        <x:f>IF(B70="","",IF(C70="","ADD CODE","OK"))</x:f>
      </x:c>
      <x:c r="K70" s="99"/>
      <x:c r="L70" s="99"/>
      <x:c r="M70" s="99"/>
      <x:c r="N70" s="99"/>
      <x:c r="O70" s="99"/>
      <x:c r="P70" s="99"/>
      <x:c r="Q70" s="99"/>
      <x:c r="R70" s="99"/>
      <x:c r="S70" s="99"/>
      <x:c r="T70" s="99"/>
      <x:c r="U70" s="99"/>
      <x:c r="V70" s="99"/>
      <x:c r="W70" s="99"/>
      <x:c r="X70" s="99"/>
      <x:c r="Y70" s="99"/>
      <x:c r="Z70" s="99"/>
    </x:row>
    <x:row r="71">
      <x:c r="A71" s="130" t="str">
        <x:f>IF('RESPONSE DATA'!Z71="","",'RESPONSE DATA'!A71)</x:f>
      </x:c>
      <x:c r="B71" s="130" t="str">
        <x:f>IF('RESPONSE DATA'!Z71="","",'RESPONSE DATA'!Z71)</x:f>
      </x:c>
      <x:c r="C71" s="119"/>
      <x:c r="D71" s="119"/>
      <x:c r="E71" s="119"/>
      <x:c r="F71" s="119"/>
      <x:c r="G71" s="119"/>
      <x:c r="H71" s="119"/>
      <x:c r="I71" s="119"/>
      <x:c r="J71" s="130" t="str">
        <x:f>IF(B71="","",IF(C71="","ADD CODE","OK"))</x:f>
      </x:c>
      <x:c r="K71" s="99"/>
      <x:c r="L71" s="99"/>
      <x:c r="M71" s="99"/>
      <x:c r="N71" s="99"/>
      <x:c r="O71" s="99"/>
      <x:c r="P71" s="99"/>
      <x:c r="Q71" s="99"/>
      <x:c r="R71" s="99"/>
      <x:c r="S71" s="99"/>
      <x:c r="T71" s="99"/>
      <x:c r="U71" s="99"/>
      <x:c r="V71" s="99"/>
      <x:c r="W71" s="99"/>
      <x:c r="X71" s="99"/>
      <x:c r="Y71" s="99"/>
      <x:c r="Z71" s="99"/>
    </x:row>
    <x:row r="72">
      <x:c r="A72" s="130" t="str">
        <x:f>IF('RESPONSE DATA'!Z72="","",'RESPONSE DATA'!A72)</x:f>
      </x:c>
      <x:c r="B72" s="130" t="str">
        <x:f>IF('RESPONSE DATA'!Z72="","",'RESPONSE DATA'!Z72)</x:f>
      </x:c>
      <x:c r="C72" s="119"/>
      <x:c r="D72" s="119"/>
      <x:c r="E72" s="119"/>
      <x:c r="F72" s="119"/>
      <x:c r="G72" s="119"/>
      <x:c r="H72" s="119"/>
      <x:c r="I72" s="119"/>
      <x:c r="J72" s="130" t="str">
        <x:f>IF(B72="","",IF(C72="","ADD CODE","OK"))</x:f>
      </x:c>
      <x:c r="K72" s="99"/>
      <x:c r="L72" s="99"/>
      <x:c r="M72" s="99"/>
      <x:c r="N72" s="99"/>
      <x:c r="O72" s="99"/>
      <x:c r="P72" s="99"/>
      <x:c r="Q72" s="99"/>
      <x:c r="R72" s="99"/>
      <x:c r="S72" s="99"/>
      <x:c r="T72" s="99"/>
      <x:c r="U72" s="99"/>
      <x:c r="V72" s="99"/>
      <x:c r="W72" s="99"/>
      <x:c r="X72" s="99"/>
      <x:c r="Y72" s="99"/>
      <x:c r="Z72" s="99"/>
    </x:row>
    <x:row r="73">
      <x:c r="A73" s="130" t="str">
        <x:f>IF('RESPONSE DATA'!Z73="","",'RESPONSE DATA'!A73)</x:f>
      </x:c>
      <x:c r="B73" s="130" t="str">
        <x:f>IF('RESPONSE DATA'!Z73="","",'RESPONSE DATA'!Z73)</x:f>
      </x:c>
      <x:c r="C73" s="119"/>
      <x:c r="D73" s="119"/>
      <x:c r="E73" s="119"/>
      <x:c r="F73" s="119"/>
      <x:c r="G73" s="119"/>
      <x:c r="H73" s="119"/>
      <x:c r="I73" s="119"/>
      <x:c r="J73" s="130" t="str">
        <x:f>IF(B73="","",IF(C73="","ADD CODE","OK"))</x:f>
      </x:c>
      <x:c r="K73" s="99"/>
      <x:c r="L73" s="99"/>
      <x:c r="M73" s="99"/>
      <x:c r="N73" s="99"/>
      <x:c r="O73" s="99"/>
      <x:c r="P73" s="99"/>
      <x:c r="Q73" s="99"/>
      <x:c r="R73" s="99"/>
      <x:c r="S73" s="99"/>
      <x:c r="T73" s="99"/>
      <x:c r="U73" s="99"/>
      <x:c r="V73" s="99"/>
      <x:c r="W73" s="99"/>
      <x:c r="X73" s="99"/>
      <x:c r="Y73" s="99"/>
      <x:c r="Z73" s="99"/>
    </x:row>
    <x:row r="74">
      <x:c r="A74" s="130" t="str">
        <x:f>IF('RESPONSE DATA'!Z74="","",'RESPONSE DATA'!A74)</x:f>
      </x:c>
      <x:c r="B74" s="130" t="str">
        <x:f>IF('RESPONSE DATA'!Z74="","",'RESPONSE DATA'!Z74)</x:f>
      </x:c>
      <x:c r="C74" s="119"/>
      <x:c r="D74" s="119"/>
      <x:c r="E74" s="119"/>
      <x:c r="F74" s="119"/>
      <x:c r="G74" s="119"/>
      <x:c r="H74" s="119"/>
      <x:c r="I74" s="119"/>
      <x:c r="J74" s="130" t="str">
        <x:f>IF(B74="","",IF(C74="","ADD CODE","OK"))</x:f>
      </x:c>
      <x:c r="K74" s="99"/>
      <x:c r="L74" s="99"/>
      <x:c r="M74" s="99"/>
      <x:c r="N74" s="99"/>
      <x:c r="O74" s="99"/>
      <x:c r="P74" s="99"/>
      <x:c r="Q74" s="99"/>
      <x:c r="R74" s="99"/>
      <x:c r="S74" s="99"/>
      <x:c r="T74" s="99"/>
      <x:c r="U74" s="99"/>
      <x:c r="V74" s="99"/>
      <x:c r="W74" s="99"/>
      <x:c r="X74" s="99"/>
      <x:c r="Y74" s="99"/>
      <x:c r="Z74" s="99"/>
    </x:row>
    <x:row r="75">
      <x:c r="A75" s="130" t="str">
        <x:f>IF('RESPONSE DATA'!Z75="","",'RESPONSE DATA'!A75)</x:f>
      </x:c>
      <x:c r="B75" s="130" t="str">
        <x:f>IF('RESPONSE DATA'!Z75="","",'RESPONSE DATA'!Z75)</x:f>
      </x:c>
      <x:c r="C75" s="119"/>
      <x:c r="D75" s="119"/>
      <x:c r="E75" s="119"/>
      <x:c r="F75" s="119"/>
      <x:c r="G75" s="119"/>
      <x:c r="H75" s="119"/>
      <x:c r="I75" s="119"/>
      <x:c r="J75" s="130" t="str">
        <x:f>IF(B75="","",IF(C75="","ADD CODE","OK"))</x:f>
      </x:c>
      <x:c r="K75" s="99"/>
      <x:c r="L75" s="99"/>
      <x:c r="M75" s="99"/>
      <x:c r="N75" s="99"/>
      <x:c r="O75" s="99"/>
      <x:c r="P75" s="99"/>
      <x:c r="Q75" s="99"/>
      <x:c r="R75" s="99"/>
      <x:c r="S75" s="99"/>
      <x:c r="T75" s="99"/>
      <x:c r="U75" s="99"/>
      <x:c r="V75" s="99"/>
      <x:c r="W75" s="99"/>
      <x:c r="X75" s="99"/>
      <x:c r="Y75" s="99"/>
      <x:c r="Z75" s="99"/>
    </x:row>
    <x:row r="76">
      <x:c r="A76" s="130" t="str">
        <x:f>IF('RESPONSE DATA'!Z76="","",'RESPONSE DATA'!A76)</x:f>
      </x:c>
      <x:c r="B76" s="130" t="str">
        <x:f>IF('RESPONSE DATA'!Z76="","",'RESPONSE DATA'!Z76)</x:f>
      </x:c>
      <x:c r="C76" s="119"/>
      <x:c r="D76" s="119"/>
      <x:c r="E76" s="119"/>
      <x:c r="F76" s="119"/>
      <x:c r="G76" s="119"/>
      <x:c r="H76" s="119"/>
      <x:c r="I76" s="119"/>
      <x:c r="J76" s="130" t="str">
        <x:f>IF(B76="","",IF(C76="","ADD CODE","OK"))</x:f>
      </x:c>
      <x:c r="K76" s="99"/>
      <x:c r="L76" s="99"/>
      <x:c r="M76" s="99"/>
      <x:c r="N76" s="99"/>
      <x:c r="O76" s="99"/>
      <x:c r="P76" s="99"/>
      <x:c r="Q76" s="99"/>
      <x:c r="R76" s="99"/>
      <x:c r="S76" s="99"/>
      <x:c r="T76" s="99"/>
      <x:c r="U76" s="99"/>
      <x:c r="V76" s="99"/>
      <x:c r="W76" s="99"/>
      <x:c r="X76" s="99"/>
      <x:c r="Y76" s="99"/>
      <x:c r="Z76" s="99"/>
    </x:row>
    <x:row r="77">
      <x:c r="A77" s="130" t="str">
        <x:f>IF('RESPONSE DATA'!Z77="","",'RESPONSE DATA'!A77)</x:f>
      </x:c>
      <x:c r="B77" s="130" t="str">
        <x:f>IF('RESPONSE DATA'!Z77="","",'RESPONSE DATA'!Z77)</x:f>
      </x:c>
      <x:c r="C77" s="119"/>
      <x:c r="D77" s="119"/>
      <x:c r="E77" s="119"/>
      <x:c r="F77" s="119"/>
      <x:c r="G77" s="119"/>
      <x:c r="H77" s="119"/>
      <x:c r="I77" s="119"/>
      <x:c r="J77" s="130" t="str">
        <x:f>IF(B77="","",IF(C77="","ADD CODE","OK"))</x:f>
      </x:c>
      <x:c r="K77" s="99"/>
      <x:c r="L77" s="99"/>
      <x:c r="M77" s="99"/>
      <x:c r="N77" s="99"/>
      <x:c r="O77" s="99"/>
      <x:c r="P77" s="99"/>
      <x:c r="Q77" s="99"/>
      <x:c r="R77" s="99"/>
      <x:c r="S77" s="99"/>
      <x:c r="T77" s="99"/>
      <x:c r="U77" s="99"/>
      <x:c r="V77" s="99"/>
      <x:c r="W77" s="99"/>
      <x:c r="X77" s="99"/>
      <x:c r="Y77" s="99"/>
      <x:c r="Z77" s="99"/>
    </x:row>
    <x:row r="78">
      <x:c r="A78" s="130" t="str">
        <x:f>IF('RESPONSE DATA'!Z78="","",'RESPONSE DATA'!A78)</x:f>
      </x:c>
      <x:c r="B78" s="130" t="str">
        <x:f>IF('RESPONSE DATA'!Z78="","",'RESPONSE DATA'!Z78)</x:f>
      </x:c>
      <x:c r="C78" s="119"/>
      <x:c r="D78" s="119"/>
      <x:c r="E78" s="119"/>
      <x:c r="F78" s="119"/>
      <x:c r="G78" s="119"/>
      <x:c r="H78" s="119"/>
      <x:c r="I78" s="119"/>
      <x:c r="J78" s="130" t="str">
        <x:f>IF(B78="","",IF(C78="","ADD CODE","OK"))</x:f>
      </x:c>
      <x:c r="K78" s="99"/>
      <x:c r="L78" s="99"/>
      <x:c r="M78" s="99"/>
      <x:c r="N78" s="99"/>
      <x:c r="O78" s="99"/>
      <x:c r="P78" s="99"/>
      <x:c r="Q78" s="99"/>
      <x:c r="R78" s="99"/>
      <x:c r="S78" s="99"/>
      <x:c r="T78" s="99"/>
      <x:c r="U78" s="99"/>
      <x:c r="V78" s="99"/>
      <x:c r="W78" s="99"/>
      <x:c r="X78" s="99"/>
      <x:c r="Y78" s="99"/>
      <x:c r="Z78" s="99"/>
    </x:row>
    <x:row r="79">
      <x:c r="A79" s="130" t="str">
        <x:f>IF('RESPONSE DATA'!Z79="","",'RESPONSE DATA'!A79)</x:f>
      </x:c>
      <x:c r="B79" s="130" t="str">
        <x:f>IF('RESPONSE DATA'!Z79="","",'RESPONSE DATA'!Z79)</x:f>
      </x:c>
      <x:c r="C79" s="119"/>
      <x:c r="D79" s="119"/>
      <x:c r="E79" s="119"/>
      <x:c r="F79" s="119"/>
      <x:c r="G79" s="119"/>
      <x:c r="H79" s="119"/>
      <x:c r="I79" s="119"/>
      <x:c r="J79" s="130" t="str">
        <x:f>IF(B79="","",IF(C79="","ADD CODE","OK"))</x:f>
      </x:c>
      <x:c r="K79" s="99"/>
      <x:c r="L79" s="99"/>
      <x:c r="M79" s="99"/>
      <x:c r="N79" s="99"/>
      <x:c r="O79" s="99"/>
      <x:c r="P79" s="99"/>
      <x:c r="Q79" s="99"/>
      <x:c r="R79" s="99"/>
      <x:c r="S79" s="99"/>
      <x:c r="T79" s="99"/>
      <x:c r="U79" s="99"/>
      <x:c r="V79" s="99"/>
      <x:c r="W79" s="99"/>
      <x:c r="X79" s="99"/>
      <x:c r="Y79" s="99"/>
      <x:c r="Z79" s="99"/>
    </x:row>
    <x:row r="80">
      <x:c r="A80" s="130" t="str">
        <x:f>IF('RESPONSE DATA'!Z80="","",'RESPONSE DATA'!A80)</x:f>
      </x:c>
      <x:c r="B80" s="130" t="str">
        <x:f>IF('RESPONSE DATA'!Z80="","",'RESPONSE DATA'!Z80)</x:f>
      </x:c>
      <x:c r="C80" s="119"/>
      <x:c r="D80" s="119"/>
      <x:c r="E80" s="119"/>
      <x:c r="F80" s="119"/>
      <x:c r="G80" s="119"/>
      <x:c r="H80" s="119"/>
      <x:c r="I80" s="119"/>
      <x:c r="J80" s="130" t="str">
        <x:f>IF(B80="","",IF(C80="","ADD CODE","OK"))</x:f>
      </x:c>
      <x:c r="K80" s="99"/>
      <x:c r="L80" s="99"/>
      <x:c r="M80" s="99"/>
      <x:c r="N80" s="99"/>
      <x:c r="O80" s="99"/>
      <x:c r="P80" s="99"/>
      <x:c r="Q80" s="99"/>
      <x:c r="R80" s="99"/>
      <x:c r="S80" s="99"/>
      <x:c r="T80" s="99"/>
      <x:c r="U80" s="99"/>
      <x:c r="V80" s="99"/>
      <x:c r="W80" s="99"/>
      <x:c r="X80" s="99"/>
      <x:c r="Y80" s="99"/>
      <x:c r="Z80" s="99"/>
    </x:row>
    <x:row r="81">
      <x:c r="A81" s="130" t="str">
        <x:f>IF('RESPONSE DATA'!Z81="","",'RESPONSE DATA'!A81)</x:f>
      </x:c>
      <x:c r="B81" s="130" t="str">
        <x:f>IF('RESPONSE DATA'!Z81="","",'RESPONSE DATA'!Z81)</x:f>
      </x:c>
      <x:c r="C81" s="119"/>
      <x:c r="D81" s="119"/>
      <x:c r="E81" s="119"/>
      <x:c r="F81" s="119"/>
      <x:c r="G81" s="119"/>
      <x:c r="H81" s="119"/>
      <x:c r="I81" s="119"/>
      <x:c r="J81" s="130" t="str">
        <x:f>IF(B81="","",IF(C81="","ADD CODE","OK"))</x:f>
      </x:c>
      <x:c r="K81" s="99"/>
      <x:c r="L81" s="99"/>
      <x:c r="M81" s="99"/>
      <x:c r="N81" s="99"/>
      <x:c r="O81" s="99"/>
      <x:c r="P81" s="99"/>
      <x:c r="Q81" s="99"/>
      <x:c r="R81" s="99"/>
      <x:c r="S81" s="99"/>
      <x:c r="T81" s="99"/>
      <x:c r="U81" s="99"/>
      <x:c r="V81" s="99"/>
      <x:c r="W81" s="99"/>
      <x:c r="X81" s="99"/>
      <x:c r="Y81" s="99"/>
      <x:c r="Z81" s="99"/>
    </x:row>
    <x:row r="82">
      <x:c r="A82" s="130" t="str">
        <x:f>IF('RESPONSE DATA'!Z82="","",'RESPONSE DATA'!A82)</x:f>
      </x:c>
      <x:c r="B82" s="130" t="str">
        <x:f>IF('RESPONSE DATA'!Z82="","",'RESPONSE DATA'!Z82)</x:f>
      </x:c>
      <x:c r="C82" s="119"/>
      <x:c r="D82" s="119"/>
      <x:c r="E82" s="119"/>
      <x:c r="F82" s="119"/>
      <x:c r="G82" s="119"/>
      <x:c r="H82" s="119"/>
      <x:c r="I82" s="119"/>
      <x:c r="J82" s="130" t="str">
        <x:f>IF(B82="","",IF(C82="","ADD CODE","OK"))</x:f>
      </x:c>
      <x:c r="K82" s="99"/>
      <x:c r="L82" s="99"/>
      <x:c r="M82" s="99"/>
      <x:c r="N82" s="99"/>
      <x:c r="O82" s="99"/>
      <x:c r="P82" s="99"/>
      <x:c r="Q82" s="99"/>
      <x:c r="R82" s="99"/>
      <x:c r="S82" s="99"/>
      <x:c r="T82" s="99"/>
      <x:c r="U82" s="99"/>
      <x:c r="V82" s="99"/>
      <x:c r="W82" s="99"/>
      <x:c r="X82" s="99"/>
      <x:c r="Y82" s="99"/>
      <x:c r="Z82" s="99"/>
    </x:row>
    <x:row r="83">
      <x:c r="A83" s="130" t="str">
        <x:f>IF('RESPONSE DATA'!Z83="","",'RESPONSE DATA'!A83)</x:f>
      </x:c>
      <x:c r="B83" s="130" t="str">
        <x:f>IF('RESPONSE DATA'!Z83="","",'RESPONSE DATA'!Z83)</x:f>
      </x:c>
      <x:c r="C83" s="119"/>
      <x:c r="D83" s="119"/>
      <x:c r="E83" s="119"/>
      <x:c r="F83" s="119"/>
      <x:c r="G83" s="119"/>
      <x:c r="H83" s="119"/>
      <x:c r="I83" s="119"/>
      <x:c r="J83" s="130" t="str">
        <x:f>IF(B83="","",IF(C83="","ADD CODE","OK"))</x:f>
      </x:c>
      <x:c r="K83" s="99"/>
      <x:c r="L83" s="99"/>
      <x:c r="M83" s="99"/>
      <x:c r="N83" s="99"/>
      <x:c r="O83" s="99"/>
      <x:c r="P83" s="99"/>
      <x:c r="Q83" s="99"/>
      <x:c r="R83" s="99"/>
      <x:c r="S83" s="99"/>
      <x:c r="T83" s="99"/>
      <x:c r="U83" s="99"/>
      <x:c r="V83" s="99"/>
      <x:c r="W83" s="99"/>
      <x:c r="X83" s="99"/>
      <x:c r="Y83" s="99"/>
      <x:c r="Z83" s="99"/>
    </x:row>
    <x:row r="84">
      <x:c r="A84" s="130" t="str">
        <x:f>IF('RESPONSE DATA'!Z84="","",'RESPONSE DATA'!A84)</x:f>
      </x:c>
      <x:c r="B84" s="130" t="str">
        <x:f>IF('RESPONSE DATA'!Z84="","",'RESPONSE DATA'!Z84)</x:f>
      </x:c>
      <x:c r="C84" s="119"/>
      <x:c r="D84" s="119"/>
      <x:c r="E84" s="119"/>
      <x:c r="F84" s="119"/>
      <x:c r="G84" s="119"/>
      <x:c r="H84" s="119"/>
      <x:c r="I84" s="119"/>
      <x:c r="J84" s="130" t="str">
        <x:f>IF(B84="","",IF(C84="","ADD CODE","OK"))</x:f>
      </x:c>
      <x:c r="K84" s="99"/>
      <x:c r="L84" s="99"/>
      <x:c r="M84" s="99"/>
      <x:c r="N84" s="99"/>
      <x:c r="O84" s="99"/>
      <x:c r="P84" s="99"/>
      <x:c r="Q84" s="99"/>
      <x:c r="R84" s="99"/>
      <x:c r="S84" s="99"/>
      <x:c r="T84" s="99"/>
      <x:c r="U84" s="99"/>
      <x:c r="V84" s="99"/>
      <x:c r="W84" s="99"/>
      <x:c r="X84" s="99"/>
      <x:c r="Y84" s="99"/>
      <x:c r="Z84" s="99"/>
    </x:row>
    <x:row r="85">
      <x:c r="A85" s="130" t="str">
        <x:f>IF('RESPONSE DATA'!Z85="","",'RESPONSE DATA'!A85)</x:f>
      </x:c>
      <x:c r="B85" s="130" t="str">
        <x:f>IF('RESPONSE DATA'!Z85="","",'RESPONSE DATA'!Z85)</x:f>
      </x:c>
      <x:c r="C85" s="119"/>
      <x:c r="D85" s="119"/>
      <x:c r="E85" s="119"/>
      <x:c r="F85" s="119"/>
      <x:c r="G85" s="119"/>
      <x:c r="H85" s="119"/>
      <x:c r="I85" s="119"/>
      <x:c r="J85" s="130" t="str">
        <x:f>IF(B85="","",IF(C85="","ADD CODE","OK"))</x:f>
      </x:c>
      <x:c r="K85" s="99"/>
      <x:c r="L85" s="99"/>
      <x:c r="M85" s="99"/>
      <x:c r="N85" s="99"/>
      <x:c r="O85" s="99"/>
      <x:c r="P85" s="99"/>
      <x:c r="Q85" s="99"/>
      <x:c r="R85" s="99"/>
      <x:c r="S85" s="99"/>
      <x:c r="T85" s="99"/>
      <x:c r="U85" s="99"/>
      <x:c r="V85" s="99"/>
      <x:c r="W85" s="99"/>
      <x:c r="X85" s="99"/>
      <x:c r="Y85" s="99"/>
      <x:c r="Z85" s="99"/>
    </x:row>
    <x:row r="86">
      <x:c r="A86" s="130" t="str">
        <x:f>IF('RESPONSE DATA'!Z86="","",'RESPONSE DATA'!A86)</x:f>
      </x:c>
      <x:c r="B86" s="130" t="str">
        <x:f>IF('RESPONSE DATA'!Z86="","",'RESPONSE DATA'!Z86)</x:f>
      </x:c>
      <x:c r="C86" s="119"/>
      <x:c r="D86" s="119"/>
      <x:c r="E86" s="119"/>
      <x:c r="F86" s="119"/>
      <x:c r="G86" s="119"/>
      <x:c r="H86" s="119"/>
      <x:c r="I86" s="119"/>
      <x:c r="J86" s="130" t="str">
        <x:f>IF(B86="","",IF(C86="","ADD CODE","OK"))</x:f>
      </x:c>
      <x:c r="K86" s="99"/>
      <x:c r="L86" s="99"/>
      <x:c r="M86" s="99"/>
      <x:c r="N86" s="99"/>
      <x:c r="O86" s="99"/>
      <x:c r="P86" s="99"/>
      <x:c r="Q86" s="99"/>
      <x:c r="R86" s="99"/>
      <x:c r="S86" s="99"/>
      <x:c r="T86" s="99"/>
      <x:c r="U86" s="99"/>
      <x:c r="V86" s="99"/>
      <x:c r="W86" s="99"/>
      <x:c r="X86" s="99"/>
      <x:c r="Y86" s="99"/>
      <x:c r="Z86" s="99"/>
    </x:row>
    <x:row r="87">
      <x:c r="A87" s="130" t="str">
        <x:f>IF('RESPONSE DATA'!Z87="","",'RESPONSE DATA'!A87)</x:f>
      </x:c>
      <x:c r="B87" s="130" t="str">
        <x:f>IF('RESPONSE DATA'!Z87="","",'RESPONSE DATA'!Z87)</x:f>
      </x:c>
      <x:c r="C87" s="119"/>
      <x:c r="D87" s="119"/>
      <x:c r="E87" s="119"/>
      <x:c r="F87" s="119"/>
      <x:c r="G87" s="119"/>
      <x:c r="H87" s="119"/>
      <x:c r="I87" s="119"/>
      <x:c r="J87" s="130" t="str">
        <x:f>IF(B87="","",IF(C87="","ADD CODE","OK"))</x:f>
      </x:c>
      <x:c r="K87" s="99"/>
      <x:c r="L87" s="99"/>
      <x:c r="M87" s="99"/>
      <x:c r="N87" s="99"/>
      <x:c r="O87" s="99"/>
      <x:c r="P87" s="99"/>
      <x:c r="Q87" s="99"/>
      <x:c r="R87" s="99"/>
      <x:c r="S87" s="99"/>
      <x:c r="T87" s="99"/>
      <x:c r="U87" s="99"/>
      <x:c r="V87" s="99"/>
      <x:c r="W87" s="99"/>
      <x:c r="X87" s="99"/>
      <x:c r="Y87" s="99"/>
      <x:c r="Z87" s="99"/>
    </x:row>
    <x:row r="88">
      <x:c r="A88" s="130" t="str">
        <x:f>IF('RESPONSE DATA'!Z88="","",'RESPONSE DATA'!A88)</x:f>
      </x:c>
      <x:c r="B88" s="130" t="str">
        <x:f>IF('RESPONSE DATA'!Z88="","",'RESPONSE DATA'!Z88)</x:f>
      </x:c>
      <x:c r="C88" s="119"/>
      <x:c r="D88" s="119"/>
      <x:c r="E88" s="119"/>
      <x:c r="F88" s="119"/>
      <x:c r="G88" s="119"/>
      <x:c r="H88" s="119"/>
      <x:c r="I88" s="119"/>
      <x:c r="J88" s="130" t="str">
        <x:f>IF(B88="","",IF(C88="","ADD CODE","OK"))</x:f>
      </x:c>
      <x:c r="K88" s="99"/>
      <x:c r="L88" s="99"/>
      <x:c r="M88" s="99"/>
      <x:c r="N88" s="99"/>
      <x:c r="O88" s="99"/>
      <x:c r="P88" s="99"/>
      <x:c r="Q88" s="99"/>
      <x:c r="R88" s="99"/>
      <x:c r="S88" s="99"/>
      <x:c r="T88" s="99"/>
      <x:c r="U88" s="99"/>
      <x:c r="V88" s="99"/>
      <x:c r="W88" s="99"/>
      <x:c r="X88" s="99"/>
      <x:c r="Y88" s="99"/>
      <x:c r="Z88" s="99"/>
    </x:row>
    <x:row r="89">
      <x:c r="A89" s="130" t="str">
        <x:f>IF('RESPONSE DATA'!Z89="","",'RESPONSE DATA'!A89)</x:f>
      </x:c>
      <x:c r="B89" s="130" t="str">
        <x:f>IF('RESPONSE DATA'!Z89="","",'RESPONSE DATA'!Z89)</x:f>
      </x:c>
      <x:c r="C89" s="119"/>
      <x:c r="D89" s="119"/>
      <x:c r="E89" s="119"/>
      <x:c r="F89" s="119"/>
      <x:c r="G89" s="119"/>
      <x:c r="H89" s="119"/>
      <x:c r="I89" s="119"/>
      <x:c r="J89" s="130" t="str">
        <x:f>IF(B89="","",IF(C89="","ADD CODE","OK"))</x:f>
      </x:c>
      <x:c r="K89" s="99"/>
      <x:c r="L89" s="99"/>
      <x:c r="M89" s="99"/>
      <x:c r="N89" s="99"/>
      <x:c r="O89" s="99"/>
      <x:c r="P89" s="99"/>
      <x:c r="Q89" s="99"/>
      <x:c r="R89" s="99"/>
      <x:c r="S89" s="99"/>
      <x:c r="T89" s="99"/>
      <x:c r="U89" s="99"/>
      <x:c r="V89" s="99"/>
      <x:c r="W89" s="99"/>
      <x:c r="X89" s="99"/>
      <x:c r="Y89" s="99"/>
      <x:c r="Z89" s="99"/>
    </x:row>
    <x:row r="90">
      <x:c r="A90" s="130" t="str">
        <x:f>IF('RESPONSE DATA'!Z90="","",'RESPONSE DATA'!A90)</x:f>
      </x:c>
      <x:c r="B90" s="130" t="str">
        <x:f>IF('RESPONSE DATA'!Z90="","",'RESPONSE DATA'!Z90)</x:f>
      </x:c>
      <x:c r="C90" s="119"/>
      <x:c r="D90" s="119"/>
      <x:c r="E90" s="119"/>
      <x:c r="F90" s="119"/>
      <x:c r="G90" s="119"/>
      <x:c r="H90" s="119"/>
      <x:c r="I90" s="119"/>
      <x:c r="J90" s="130" t="str">
        <x:f>IF(B90="","",IF(C90="","ADD CODE","OK"))</x:f>
      </x:c>
      <x:c r="K90" s="99"/>
      <x:c r="L90" s="99"/>
      <x:c r="M90" s="99"/>
      <x:c r="N90" s="99"/>
      <x:c r="O90" s="99"/>
      <x:c r="P90" s="99"/>
      <x:c r="Q90" s="99"/>
      <x:c r="R90" s="99"/>
      <x:c r="S90" s="99"/>
      <x:c r="T90" s="99"/>
      <x:c r="U90" s="99"/>
      <x:c r="V90" s="99"/>
      <x:c r="W90" s="99"/>
      <x:c r="X90" s="99"/>
      <x:c r="Y90" s="99"/>
      <x:c r="Z90" s="99"/>
    </x:row>
    <x:row r="91">
      <x:c r="A91" s="130" t="str">
        <x:f>IF('RESPONSE DATA'!Z91="","",'RESPONSE DATA'!A91)</x:f>
      </x:c>
      <x:c r="B91" s="130" t="str">
        <x:f>IF('RESPONSE DATA'!Z91="","",'RESPONSE DATA'!Z91)</x:f>
      </x:c>
      <x:c r="C91" s="119"/>
      <x:c r="D91" s="119"/>
      <x:c r="E91" s="119"/>
      <x:c r="F91" s="119"/>
      <x:c r="G91" s="119"/>
      <x:c r="H91" s="119"/>
      <x:c r="I91" s="119"/>
      <x:c r="J91" s="130" t="str">
        <x:f>IF(B91="","",IF(C91="","ADD CODE","OK"))</x:f>
      </x:c>
      <x:c r="K91" s="99"/>
      <x:c r="L91" s="99"/>
      <x:c r="M91" s="99"/>
      <x:c r="N91" s="99"/>
      <x:c r="O91" s="99"/>
      <x:c r="P91" s="99"/>
      <x:c r="Q91" s="99"/>
      <x:c r="R91" s="99"/>
      <x:c r="S91" s="99"/>
      <x:c r="T91" s="99"/>
      <x:c r="U91" s="99"/>
      <x:c r="V91" s="99"/>
      <x:c r="W91" s="99"/>
      <x:c r="X91" s="99"/>
      <x:c r="Y91" s="99"/>
      <x:c r="Z91" s="99"/>
    </x:row>
    <x:row r="92">
      <x:c r="A92" s="130" t="str">
        <x:f>IF('RESPONSE DATA'!Z92="","",'RESPONSE DATA'!A92)</x:f>
      </x:c>
      <x:c r="B92" s="130" t="str">
        <x:f>IF('RESPONSE DATA'!Z92="","",'RESPONSE DATA'!Z92)</x:f>
      </x:c>
      <x:c r="C92" s="119"/>
      <x:c r="D92" s="119"/>
      <x:c r="E92" s="119"/>
      <x:c r="F92" s="119"/>
      <x:c r="G92" s="119"/>
      <x:c r="H92" s="119"/>
      <x:c r="I92" s="119"/>
      <x:c r="J92" s="130" t="str">
        <x:f>IF(B92="","",IF(C92="","ADD CODE","OK"))</x:f>
      </x:c>
      <x:c r="K92" s="99"/>
      <x:c r="L92" s="99"/>
      <x:c r="M92" s="99"/>
      <x:c r="N92" s="99"/>
      <x:c r="O92" s="99"/>
      <x:c r="P92" s="99"/>
      <x:c r="Q92" s="99"/>
      <x:c r="R92" s="99"/>
      <x:c r="S92" s="99"/>
      <x:c r="T92" s="99"/>
      <x:c r="U92" s="99"/>
      <x:c r="V92" s="99"/>
      <x:c r="W92" s="99"/>
      <x:c r="X92" s="99"/>
      <x:c r="Y92" s="99"/>
      <x:c r="Z92" s="99"/>
    </x:row>
    <x:row r="93">
      <x:c r="A93" s="130" t="str">
        <x:f>IF('RESPONSE DATA'!Z93="","",'RESPONSE DATA'!A93)</x:f>
      </x:c>
      <x:c r="B93" s="130" t="str">
        <x:f>IF('RESPONSE DATA'!Z93="","",'RESPONSE DATA'!Z93)</x:f>
      </x:c>
      <x:c r="C93" s="119"/>
      <x:c r="D93" s="119"/>
      <x:c r="E93" s="119"/>
      <x:c r="F93" s="119"/>
      <x:c r="G93" s="119"/>
      <x:c r="H93" s="119"/>
      <x:c r="I93" s="119"/>
      <x:c r="J93" s="130" t="str">
        <x:f>IF(B93="","",IF(C93="","ADD CODE","OK"))</x:f>
      </x:c>
      <x:c r="K93" s="99"/>
      <x:c r="L93" s="99"/>
      <x:c r="M93" s="99"/>
      <x:c r="N93" s="99"/>
      <x:c r="O93" s="99"/>
      <x:c r="P93" s="99"/>
      <x:c r="Q93" s="99"/>
      <x:c r="R93" s="99"/>
      <x:c r="S93" s="99"/>
      <x:c r="T93" s="99"/>
      <x:c r="U93" s="99"/>
      <x:c r="V93" s="99"/>
      <x:c r="W93" s="99"/>
      <x:c r="X93" s="99"/>
      <x:c r="Y93" s="99"/>
      <x:c r="Z93" s="99"/>
    </x:row>
    <x:row r="94">
      <x:c r="A94" s="130" t="str">
        <x:f>IF('RESPONSE DATA'!Z94="","",'RESPONSE DATA'!A94)</x:f>
      </x:c>
      <x:c r="B94" s="130" t="str">
        <x:f>IF('RESPONSE DATA'!Z94="","",'RESPONSE DATA'!Z94)</x:f>
      </x:c>
      <x:c r="C94" s="119"/>
      <x:c r="D94" s="119"/>
      <x:c r="E94" s="119"/>
      <x:c r="F94" s="119"/>
      <x:c r="G94" s="119"/>
      <x:c r="H94" s="119"/>
      <x:c r="I94" s="119"/>
      <x:c r="J94" s="130" t="str">
        <x:f>IF(B94="","",IF(C94="","ADD CODE","OK"))</x:f>
      </x:c>
      <x:c r="K94" s="99"/>
      <x:c r="L94" s="99"/>
      <x:c r="M94" s="99"/>
      <x:c r="N94" s="99"/>
      <x:c r="O94" s="99"/>
      <x:c r="P94" s="99"/>
      <x:c r="Q94" s="99"/>
      <x:c r="R94" s="99"/>
      <x:c r="S94" s="99"/>
      <x:c r="T94" s="99"/>
      <x:c r="U94" s="99"/>
      <x:c r="V94" s="99"/>
      <x:c r="W94" s="99"/>
      <x:c r="X94" s="99"/>
      <x:c r="Y94" s="99"/>
      <x:c r="Z94" s="99"/>
    </x:row>
    <x:row r="95">
      <x:c r="A95" s="130" t="str">
        <x:f>IF('RESPONSE DATA'!Z95="","",'RESPONSE DATA'!A95)</x:f>
      </x:c>
      <x:c r="B95" s="130" t="str">
        <x:f>IF('RESPONSE DATA'!Z95="","",'RESPONSE DATA'!Z95)</x:f>
      </x:c>
      <x:c r="C95" s="119"/>
      <x:c r="D95" s="119"/>
      <x:c r="E95" s="119"/>
      <x:c r="F95" s="119"/>
      <x:c r="G95" s="119"/>
      <x:c r="H95" s="119"/>
      <x:c r="I95" s="119"/>
      <x:c r="J95" s="130" t="str">
        <x:f>IF(B95="","",IF(C95="","ADD CODE","OK"))</x:f>
      </x:c>
      <x:c r="K95" s="99"/>
      <x:c r="L95" s="99"/>
      <x:c r="M95" s="99"/>
      <x:c r="N95" s="99"/>
      <x:c r="O95" s="99"/>
      <x:c r="P95" s="99"/>
      <x:c r="Q95" s="99"/>
      <x:c r="R95" s="99"/>
      <x:c r="S95" s="99"/>
      <x:c r="T95" s="99"/>
      <x:c r="U95" s="99"/>
      <x:c r="V95" s="99"/>
      <x:c r="W95" s="99"/>
      <x:c r="X95" s="99"/>
      <x:c r="Y95" s="99"/>
      <x:c r="Z95" s="99"/>
    </x:row>
    <x:row r="96">
      <x:c r="A96" s="130" t="str">
        <x:f>IF('RESPONSE DATA'!Z96="","",'RESPONSE DATA'!A96)</x:f>
      </x:c>
      <x:c r="B96" s="130" t="str">
        <x:f>IF('RESPONSE DATA'!Z96="","",'RESPONSE DATA'!Z96)</x:f>
      </x:c>
      <x:c r="C96" s="119"/>
      <x:c r="D96" s="119"/>
      <x:c r="E96" s="119"/>
      <x:c r="F96" s="119"/>
      <x:c r="G96" s="119"/>
      <x:c r="H96" s="119"/>
      <x:c r="I96" s="119"/>
      <x:c r="J96" s="130" t="str">
        <x:f>IF(B96="","",IF(C96="","ADD CODE","OK"))</x:f>
      </x:c>
      <x:c r="K96" s="99"/>
      <x:c r="L96" s="99"/>
      <x:c r="M96" s="99"/>
      <x:c r="N96" s="99"/>
      <x:c r="O96" s="99"/>
      <x:c r="P96" s="99"/>
      <x:c r="Q96" s="99"/>
      <x:c r="R96" s="99"/>
      <x:c r="S96" s="99"/>
      <x:c r="T96" s="99"/>
      <x:c r="U96" s="99"/>
      <x:c r="V96" s="99"/>
      <x:c r="W96" s="99"/>
      <x:c r="X96" s="99"/>
      <x:c r="Y96" s="99"/>
      <x:c r="Z96" s="99"/>
    </x:row>
    <x:row r="97">
      <x:c r="A97" s="130" t="str">
        <x:f>IF('RESPONSE DATA'!Z97="","",'RESPONSE DATA'!A97)</x:f>
      </x:c>
      <x:c r="B97" s="130" t="str">
        <x:f>IF('RESPONSE DATA'!Z97="","",'RESPONSE DATA'!Z97)</x:f>
      </x:c>
      <x:c r="C97" s="119"/>
      <x:c r="D97" s="119"/>
      <x:c r="E97" s="119"/>
      <x:c r="F97" s="119"/>
      <x:c r="G97" s="119"/>
      <x:c r="H97" s="119"/>
      <x:c r="I97" s="119"/>
      <x:c r="J97" s="130" t="str">
        <x:f>IF(B97="","",IF(C97="","ADD CODE","OK"))</x:f>
      </x:c>
      <x:c r="K97" s="99"/>
      <x:c r="L97" s="99"/>
      <x:c r="M97" s="99"/>
      <x:c r="N97" s="99"/>
      <x:c r="O97" s="99"/>
      <x:c r="P97" s="99"/>
      <x:c r="Q97" s="99"/>
      <x:c r="R97" s="99"/>
      <x:c r="S97" s="99"/>
      <x:c r="T97" s="99"/>
      <x:c r="U97" s="99"/>
      <x:c r="V97" s="99"/>
      <x:c r="W97" s="99"/>
      <x:c r="X97" s="99"/>
      <x:c r="Y97" s="99"/>
      <x:c r="Z97" s="99"/>
    </x:row>
    <x:row r="98">
      <x:c r="A98" s="130" t="str">
        <x:f>IF('RESPONSE DATA'!Z98="","",'RESPONSE DATA'!A98)</x:f>
      </x:c>
      <x:c r="B98" s="130" t="str">
        <x:f>IF('RESPONSE DATA'!Z98="","",'RESPONSE DATA'!Z98)</x:f>
      </x:c>
      <x:c r="C98" s="119"/>
      <x:c r="D98" s="119"/>
      <x:c r="E98" s="119"/>
      <x:c r="F98" s="119"/>
      <x:c r="G98" s="119"/>
      <x:c r="H98" s="119"/>
      <x:c r="I98" s="119"/>
      <x:c r="J98" s="130" t="str">
        <x:f>IF(B98="","",IF(C98="","ADD CODE","OK"))</x:f>
      </x:c>
      <x:c r="K98" s="99"/>
      <x:c r="L98" s="99"/>
      <x:c r="M98" s="99"/>
      <x:c r="N98" s="99"/>
      <x:c r="O98" s="99"/>
      <x:c r="P98" s="99"/>
      <x:c r="Q98" s="99"/>
      <x:c r="R98" s="99"/>
      <x:c r="S98" s="99"/>
      <x:c r="T98" s="99"/>
      <x:c r="U98" s="99"/>
      <x:c r="V98" s="99"/>
      <x:c r="W98" s="99"/>
      <x:c r="X98" s="99"/>
      <x:c r="Y98" s="99"/>
      <x:c r="Z98" s="99"/>
    </x:row>
    <x:row r="99">
      <x:c r="A99" s="130" t="str">
        <x:f>IF('RESPONSE DATA'!Z99="","",'RESPONSE DATA'!A99)</x:f>
      </x:c>
      <x:c r="B99" s="130" t="str">
        <x:f>IF('RESPONSE DATA'!Z99="","",'RESPONSE DATA'!Z99)</x:f>
      </x:c>
      <x:c r="C99" s="119"/>
      <x:c r="D99" s="119"/>
      <x:c r="E99" s="119"/>
      <x:c r="F99" s="119"/>
      <x:c r="G99" s="119"/>
      <x:c r="H99" s="119"/>
      <x:c r="I99" s="119"/>
      <x:c r="J99" s="130" t="str">
        <x:f>IF(B99="","",IF(C99="","ADD CODE","OK"))</x:f>
      </x:c>
      <x:c r="K99" s="99"/>
      <x:c r="L99" s="99"/>
      <x:c r="M99" s="99"/>
      <x:c r="N99" s="99"/>
      <x:c r="O99" s="99"/>
      <x:c r="P99" s="99"/>
      <x:c r="Q99" s="99"/>
      <x:c r="R99" s="99"/>
      <x:c r="S99" s="99"/>
      <x:c r="T99" s="99"/>
      <x:c r="U99" s="99"/>
      <x:c r="V99" s="99"/>
      <x:c r="W99" s="99"/>
      <x:c r="X99" s="99"/>
      <x:c r="Y99" s="99"/>
      <x:c r="Z99" s="99"/>
    </x:row>
    <x:row r="100">
      <x:c r="A100" s="130" t="str">
        <x:f>IF('RESPONSE DATA'!Z100="","",'RESPONSE DATA'!A100)</x:f>
      </x:c>
      <x:c r="B100" s="130" t="str">
        <x:f>IF('RESPONSE DATA'!Z100="","",'RESPONSE DATA'!Z100)</x:f>
      </x:c>
      <x:c r="C100" s="119"/>
      <x:c r="D100" s="119"/>
      <x:c r="E100" s="119"/>
      <x:c r="F100" s="119"/>
      <x:c r="G100" s="119"/>
      <x:c r="H100" s="119"/>
      <x:c r="I100" s="119"/>
      <x:c r="J100" s="130" t="str">
        <x:f>IF(B100="","",IF(C100="","ADD CODE","OK"))</x:f>
      </x:c>
      <x:c r="K100" s="99"/>
      <x:c r="L100" s="99"/>
      <x:c r="M100" s="99"/>
      <x:c r="N100" s="99"/>
      <x:c r="O100" s="99"/>
      <x:c r="P100" s="99"/>
      <x:c r="Q100" s="99"/>
      <x:c r="R100" s="99"/>
      <x:c r="S100" s="99"/>
      <x:c r="T100" s="99"/>
      <x:c r="U100" s="99"/>
      <x:c r="V100" s="99"/>
      <x:c r="W100" s="99"/>
      <x:c r="X100" s="99"/>
      <x:c r="Y100" s="99"/>
      <x:c r="Z100" s="99"/>
    </x:row>
    <x:row r="101">
      <x:c r="A101" s="130" t="str">
        <x:f>IF('RESPONSE DATA'!Z101="","",'RESPONSE DATA'!A101)</x:f>
      </x:c>
      <x:c r="B101" s="130" t="str">
        <x:f>IF('RESPONSE DATA'!Z101="","",'RESPONSE DATA'!Z101)</x:f>
      </x:c>
      <x:c r="C101" s="119"/>
      <x:c r="D101" s="119"/>
      <x:c r="E101" s="119"/>
      <x:c r="F101" s="119"/>
      <x:c r="G101" s="119"/>
      <x:c r="H101" s="119"/>
      <x:c r="I101" s="119"/>
      <x:c r="J101" s="130" t="str">
        <x:f>IF(B101="","",IF(C101="","ADD CODE","OK"))</x:f>
      </x:c>
      <x:c r="K101" s="99"/>
      <x:c r="L101" s="99"/>
      <x:c r="M101" s="99"/>
      <x:c r="N101" s="99"/>
      <x:c r="O101" s="99"/>
      <x:c r="P101" s="99"/>
      <x:c r="Q101" s="99"/>
      <x:c r="R101" s="99"/>
      <x:c r="S101" s="99"/>
      <x:c r="T101" s="99"/>
      <x:c r="U101" s="99"/>
      <x:c r="V101" s="99"/>
      <x:c r="W101" s="99"/>
      <x:c r="X101" s="99"/>
      <x:c r="Y101" s="99"/>
      <x:c r="Z101" s="99"/>
    </x:row>
    <x:row r="102">
      <x:c r="A102" s="130" t="str">
        <x:f>IF('RESPONSE DATA'!Z102="","",'RESPONSE DATA'!A102)</x:f>
      </x:c>
      <x:c r="B102" s="130" t="str">
        <x:f>IF('RESPONSE DATA'!Z102="","",'RESPONSE DATA'!Z102)</x:f>
      </x:c>
      <x:c r="C102" s="119"/>
      <x:c r="D102" s="119"/>
      <x:c r="E102" s="119"/>
      <x:c r="F102" s="119"/>
      <x:c r="G102" s="119"/>
      <x:c r="H102" s="119"/>
      <x:c r="I102" s="119"/>
      <x:c r="J102" s="130" t="str">
        <x:f>IF(B102="","",IF(C102="","ADD CODE","OK"))</x:f>
      </x:c>
      <x:c r="K102" s="99"/>
      <x:c r="L102" s="99"/>
      <x:c r="M102" s="99"/>
      <x:c r="N102" s="99"/>
      <x:c r="O102" s="99"/>
      <x:c r="P102" s="99"/>
      <x:c r="Q102" s="99"/>
      <x:c r="R102" s="99"/>
      <x:c r="S102" s="99"/>
      <x:c r="T102" s="99"/>
      <x:c r="U102" s="99"/>
      <x:c r="V102" s="99"/>
      <x:c r="W102" s="99"/>
      <x:c r="X102" s="99"/>
      <x:c r="Y102" s="99"/>
      <x:c r="Z102" s="99"/>
    </x:row>
    <x:row r="103">
      <x:c r="A103" s="130" t="str">
        <x:f>IF('RESPONSE DATA'!Z103="","",'RESPONSE DATA'!A103)</x:f>
      </x:c>
      <x:c r="B103" s="130" t="str">
        <x:f>IF('RESPONSE DATA'!Z103="","",'RESPONSE DATA'!Z103)</x:f>
      </x:c>
      <x:c r="C103" s="119"/>
      <x:c r="D103" s="119"/>
      <x:c r="E103" s="119"/>
      <x:c r="F103" s="119"/>
      <x:c r="G103" s="119"/>
      <x:c r="H103" s="119"/>
      <x:c r="I103" s="119"/>
      <x:c r="J103" s="130" t="str">
        <x:f>IF(B103="","",IF(C103="","ADD CODE","OK"))</x:f>
      </x:c>
      <x:c r="K103" s="99"/>
      <x:c r="L103" s="99"/>
      <x:c r="M103" s="99"/>
      <x:c r="N103" s="99"/>
      <x:c r="O103" s="99"/>
      <x:c r="P103" s="99"/>
      <x:c r="Q103" s="99"/>
      <x:c r="R103" s="99"/>
      <x:c r="S103" s="99"/>
      <x:c r="T103" s="99"/>
      <x:c r="U103" s="99"/>
      <x:c r="V103" s="99"/>
      <x:c r="W103" s="99"/>
      <x:c r="X103" s="99"/>
      <x:c r="Y103" s="99"/>
      <x:c r="Z103" s="99"/>
    </x:row>
    <x:row r="104">
      <x:c r="A104" s="99"/>
      <x:c r="B104" s="99"/>
      <x:c r="C104" s="99"/>
      <x:c r="D104" s="99"/>
      <x:c r="E104" s="99"/>
      <x:c r="F104" s="99"/>
      <x:c r="G104" s="99"/>
      <x:c r="H104" s="99"/>
      <x:c r="I104" s="99"/>
      <x:c r="J104" s="99"/>
      <x:c r="K104" s="99"/>
      <x:c r="L104" s="99"/>
      <x:c r="M104" s="99"/>
      <x:c r="N104" s="99"/>
      <x:c r="O104" s="99"/>
      <x:c r="P104" s="99"/>
      <x:c r="Q104" s="99"/>
      <x:c r="R104" s="99"/>
      <x:c r="S104" s="99"/>
      <x:c r="T104" s="99"/>
      <x:c r="U104" s="99"/>
      <x:c r="V104" s="99"/>
      <x:c r="W104" s="99"/>
      <x:c r="X104" s="99"/>
      <x:c r="Y104" s="99"/>
      <x:c r="Z104" s="99"/>
    </x:row>
    <x:row r="105">
      <x:c r="A105" s="99"/>
      <x:c r="B105" s="99"/>
      <x:c r="C105" s="99"/>
      <x:c r="D105" s="99"/>
      <x:c r="E105" s="99"/>
      <x:c r="F105" s="99"/>
      <x:c r="G105" s="99"/>
      <x:c r="H105" s="99"/>
      <x:c r="I105" s="99"/>
      <x:c r="J105" s="99"/>
      <x:c r="K105" s="99"/>
      <x:c r="L105" s="99"/>
      <x:c r="M105" s="99"/>
      <x:c r="N105" s="99"/>
      <x:c r="O105" s="99"/>
      <x:c r="P105" s="99"/>
      <x:c r="Q105" s="99"/>
      <x:c r="R105" s="99"/>
      <x:c r="S105" s="99"/>
      <x:c r="T105" s="99"/>
      <x:c r="U105" s="99"/>
      <x:c r="V105" s="99"/>
      <x:c r="W105" s="99"/>
      <x:c r="X105" s="99"/>
      <x:c r="Y105" s="99"/>
      <x:c r="Z105" s="99"/>
    </x:row>
    <x:row r="106">
      <x:c r="A106" s="99"/>
      <x:c r="B106" s="99"/>
      <x:c r="C106" s="99"/>
      <x:c r="D106" s="99"/>
      <x:c r="E106" s="99"/>
      <x:c r="F106" s="99"/>
      <x:c r="G106" s="99"/>
      <x:c r="H106" s="99"/>
      <x:c r="I106" s="99"/>
      <x:c r="J106" s="99"/>
      <x:c r="K106" s="99"/>
      <x:c r="L106" s="99"/>
      <x:c r="M106" s="99"/>
      <x:c r="N106" s="99"/>
      <x:c r="O106" s="99"/>
      <x:c r="P106" s="99"/>
      <x:c r="Q106" s="99"/>
      <x:c r="R106" s="99"/>
      <x:c r="S106" s="99"/>
      <x:c r="T106" s="99"/>
      <x:c r="U106" s="99"/>
      <x:c r="V106" s="99"/>
      <x:c r="W106" s="99"/>
      <x:c r="X106" s="99"/>
      <x:c r="Y106" s="99"/>
      <x:c r="Z106" s="99"/>
    </x:row>
    <x:row r="107">
      <x:c r="A107" s="99"/>
      <x:c r="B107" s="99"/>
      <x:c r="C107" s="99"/>
      <x:c r="D107" s="99"/>
      <x:c r="E107" s="99"/>
      <x:c r="F107" s="99"/>
      <x:c r="G107" s="99"/>
      <x:c r="H107" s="99"/>
      <x:c r="I107" s="99"/>
      <x:c r="J107" s="99"/>
      <x:c r="K107" s="99"/>
      <x:c r="L107" s="99"/>
      <x:c r="M107" s="99"/>
      <x:c r="N107" s="99"/>
      <x:c r="O107" s="99"/>
      <x:c r="P107" s="99"/>
      <x:c r="Q107" s="99"/>
      <x:c r="R107" s="99"/>
      <x:c r="S107" s="99"/>
      <x:c r="T107" s="99"/>
      <x:c r="U107" s="99"/>
      <x:c r="V107" s="99"/>
      <x:c r="W107" s="99"/>
      <x:c r="X107" s="99"/>
      <x:c r="Y107" s="99"/>
      <x:c r="Z107" s="99"/>
    </x:row>
    <x:row r="108">
      <x:c r="A108" s="99"/>
      <x:c r="B108" s="99"/>
      <x:c r="C108" s="99"/>
      <x:c r="D108" s="99"/>
      <x:c r="E108" s="99"/>
      <x:c r="F108" s="99"/>
      <x:c r="G108" s="99"/>
      <x:c r="H108" s="99"/>
      <x:c r="I108" s="99"/>
      <x:c r="J108" s="99"/>
      <x:c r="K108" s="99"/>
      <x:c r="L108" s="99"/>
      <x:c r="M108" s="99"/>
      <x:c r="N108" s="99"/>
      <x:c r="O108" s="99"/>
      <x:c r="P108" s="99"/>
      <x:c r="Q108" s="99"/>
      <x:c r="R108" s="99"/>
      <x:c r="S108" s="99"/>
      <x:c r="T108" s="99"/>
      <x:c r="U108" s="99"/>
      <x:c r="V108" s="99"/>
      <x:c r="W108" s="99"/>
      <x:c r="X108" s="99"/>
      <x:c r="Y108" s="99"/>
      <x:c r="Z108" s="99"/>
    </x:row>
    <x:row r="109">
      <x:c r="A109" s="99"/>
      <x:c r="B109" s="99"/>
      <x:c r="C109" s="99"/>
      <x:c r="D109" s="99"/>
      <x:c r="E109" s="99"/>
      <x:c r="F109" s="99"/>
      <x:c r="G109" s="99"/>
      <x:c r="H109" s="99"/>
      <x:c r="I109" s="99"/>
      <x:c r="J109" s="99"/>
      <x:c r="K109" s="99"/>
      <x:c r="L109" s="99"/>
      <x:c r="M109" s="99"/>
      <x:c r="N109" s="99"/>
      <x:c r="O109" s="99"/>
      <x:c r="P109" s="99"/>
      <x:c r="Q109" s="99"/>
      <x:c r="R109" s="99"/>
      <x:c r="S109" s="99"/>
      <x:c r="T109" s="99"/>
      <x:c r="U109" s="99"/>
      <x:c r="V109" s="99"/>
      <x:c r="W109" s="99"/>
      <x:c r="X109" s="99"/>
      <x:c r="Y109" s="99"/>
      <x:c r="Z109" s="99"/>
    </x:row>
    <x:row r="110">
      <x:c r="A110" s="99"/>
      <x:c r="B110" s="99"/>
      <x:c r="C110" s="99"/>
      <x:c r="D110" s="99"/>
      <x:c r="E110" s="99"/>
      <x:c r="F110" s="99"/>
      <x:c r="G110" s="99"/>
      <x:c r="H110" s="99"/>
      <x:c r="I110" s="99"/>
      <x:c r="J110" s="99"/>
      <x:c r="K110" s="99"/>
      <x:c r="L110" s="99"/>
      <x:c r="M110" s="99"/>
      <x:c r="N110" s="99"/>
      <x:c r="O110" s="99"/>
      <x:c r="P110" s="99"/>
      <x:c r="Q110" s="99"/>
      <x:c r="R110" s="99"/>
      <x:c r="S110" s="99"/>
      <x:c r="T110" s="99"/>
      <x:c r="U110" s="99"/>
      <x:c r="V110" s="99"/>
      <x:c r="W110" s="99"/>
      <x:c r="X110" s="99"/>
      <x:c r="Y110" s="99"/>
      <x:c r="Z110" s="99"/>
    </x:row>
    <x:row r="111">
      <x:c r="A111" s="99"/>
      <x:c r="B111" s="99"/>
      <x:c r="C111" s="99"/>
      <x:c r="D111" s="99"/>
      <x:c r="E111" s="99"/>
      <x:c r="F111" s="99"/>
      <x:c r="G111" s="99"/>
      <x:c r="H111" s="99"/>
      <x:c r="I111" s="99"/>
      <x:c r="J111" s="99"/>
      <x:c r="K111" s="99"/>
      <x:c r="L111" s="99"/>
      <x:c r="M111" s="99"/>
      <x:c r="N111" s="99"/>
      <x:c r="O111" s="99"/>
      <x:c r="P111" s="99"/>
      <x:c r="Q111" s="99"/>
      <x:c r="R111" s="99"/>
      <x:c r="S111" s="99"/>
      <x:c r="T111" s="99"/>
      <x:c r="U111" s="99"/>
      <x:c r="V111" s="99"/>
      <x:c r="W111" s="99"/>
      <x:c r="X111" s="99"/>
      <x:c r="Y111" s="99"/>
      <x:c r="Z111" s="99"/>
    </x:row>
    <x:row r="112">
      <x:c r="A112" s="99"/>
      <x:c r="B112" s="99"/>
      <x:c r="C112" s="99"/>
      <x:c r="D112" s="99"/>
      <x:c r="E112" s="99"/>
      <x:c r="F112" s="99"/>
      <x:c r="G112" s="99"/>
      <x:c r="H112" s="99"/>
      <x:c r="I112" s="99"/>
      <x:c r="J112" s="99"/>
      <x:c r="K112" s="99"/>
      <x:c r="L112" s="99"/>
      <x:c r="M112" s="99"/>
      <x:c r="N112" s="99"/>
      <x:c r="O112" s="99"/>
      <x:c r="P112" s="99"/>
      <x:c r="Q112" s="99"/>
      <x:c r="R112" s="99"/>
      <x:c r="S112" s="99"/>
      <x:c r="T112" s="99"/>
      <x:c r="U112" s="99"/>
      <x:c r="V112" s="99"/>
      <x:c r="W112" s="99"/>
      <x:c r="X112" s="99"/>
      <x:c r="Y112" s="99"/>
      <x:c r="Z112" s="99"/>
    </x:row>
    <x:row r="113">
      <x:c r="A113" s="99"/>
      <x:c r="B113" s="99"/>
      <x:c r="C113" s="99"/>
      <x:c r="D113" s="99"/>
      <x:c r="E113" s="99"/>
      <x:c r="F113" s="99"/>
      <x:c r="G113" s="99"/>
      <x:c r="H113" s="99"/>
      <x:c r="I113" s="99"/>
      <x:c r="J113" s="99"/>
      <x:c r="K113" s="99"/>
      <x:c r="L113" s="99"/>
      <x:c r="M113" s="99"/>
      <x:c r="N113" s="99"/>
      <x:c r="O113" s="99"/>
      <x:c r="P113" s="99"/>
      <x:c r="Q113" s="99"/>
      <x:c r="R113" s="99"/>
      <x:c r="S113" s="99"/>
      <x:c r="T113" s="99"/>
      <x:c r="U113" s="99"/>
      <x:c r="V113" s="99"/>
      <x:c r="W113" s="99"/>
      <x:c r="X113" s="99"/>
      <x:c r="Y113" s="99"/>
      <x:c r="Z113" s="99"/>
    </x:row>
    <x:row r="114">
      <x:c r="A114" s="99"/>
      <x:c r="B114" s="99"/>
      <x:c r="C114" s="99"/>
      <x:c r="D114" s="99"/>
      <x:c r="E114" s="99"/>
      <x:c r="F114" s="99"/>
      <x:c r="G114" s="99"/>
      <x:c r="H114" s="99"/>
      <x:c r="I114" s="99"/>
      <x:c r="J114" s="99"/>
      <x:c r="K114" s="99"/>
      <x:c r="L114" s="99"/>
      <x:c r="M114" s="99"/>
      <x:c r="N114" s="99"/>
      <x:c r="O114" s="99"/>
      <x:c r="P114" s="99"/>
      <x:c r="Q114" s="99"/>
      <x:c r="R114" s="99"/>
      <x:c r="S114" s="99"/>
      <x:c r="T114" s="99"/>
      <x:c r="U114" s="99"/>
      <x:c r="V114" s="99"/>
      <x:c r="W114" s="99"/>
      <x:c r="X114" s="99"/>
      <x:c r="Y114" s="99"/>
      <x:c r="Z114" s="99"/>
    </x:row>
    <x:row r="115">
      <x:c r="A115" s="99"/>
      <x:c r="B115" s="99"/>
      <x:c r="C115" s="99"/>
      <x:c r="D115" s="99"/>
      <x:c r="E115" s="99"/>
      <x:c r="F115" s="99"/>
      <x:c r="G115" s="99"/>
      <x:c r="H115" s="99"/>
      <x:c r="I115" s="99"/>
      <x:c r="J115" s="99"/>
      <x:c r="K115" s="99"/>
      <x:c r="L115" s="99"/>
      <x:c r="M115" s="99"/>
      <x:c r="N115" s="99"/>
      <x:c r="O115" s="99"/>
      <x:c r="P115" s="99"/>
      <x:c r="Q115" s="99"/>
      <x:c r="R115" s="99"/>
      <x:c r="S115" s="99"/>
      <x:c r="T115" s="99"/>
      <x:c r="U115" s="99"/>
      <x:c r="V115" s="99"/>
      <x:c r="W115" s="99"/>
      <x:c r="X115" s="99"/>
      <x:c r="Y115" s="99"/>
      <x:c r="Z115" s="99"/>
    </x:row>
    <x:row r="116">
      <x:c r="A116" s="99"/>
      <x:c r="B116" s="99"/>
      <x:c r="C116" s="99"/>
      <x:c r="D116" s="99"/>
      <x:c r="E116" s="99"/>
      <x:c r="F116" s="99"/>
      <x:c r="G116" s="99"/>
      <x:c r="H116" s="99"/>
      <x:c r="I116" s="99"/>
      <x:c r="J116" s="99"/>
      <x:c r="K116" s="99"/>
      <x:c r="L116" s="99"/>
      <x:c r="M116" s="99"/>
      <x:c r="N116" s="99"/>
      <x:c r="O116" s="99"/>
      <x:c r="P116" s="99"/>
      <x:c r="Q116" s="99"/>
      <x:c r="R116" s="99"/>
      <x:c r="S116" s="99"/>
      <x:c r="T116" s="99"/>
      <x:c r="U116" s="99"/>
      <x:c r="V116" s="99"/>
      <x:c r="W116" s="99"/>
      <x:c r="X116" s="99"/>
      <x:c r="Y116" s="99"/>
      <x:c r="Z116" s="99"/>
    </x:row>
    <x:row r="117">
      <x:c r="A117" s="99"/>
      <x:c r="B117" s="99"/>
      <x:c r="C117" s="99"/>
      <x:c r="D117" s="99"/>
      <x:c r="E117" s="99"/>
      <x:c r="F117" s="99"/>
      <x:c r="G117" s="99"/>
      <x:c r="H117" s="99"/>
      <x:c r="I117" s="99"/>
      <x:c r="J117" s="99"/>
      <x:c r="K117" s="99"/>
      <x:c r="L117" s="99"/>
      <x:c r="M117" s="99"/>
      <x:c r="N117" s="99"/>
      <x:c r="O117" s="99"/>
      <x:c r="P117" s="99"/>
      <x:c r="Q117" s="99"/>
      <x:c r="R117" s="99"/>
      <x:c r="S117" s="99"/>
      <x:c r="T117" s="99"/>
      <x:c r="U117" s="99"/>
      <x:c r="V117" s="99"/>
      <x:c r="W117" s="99"/>
      <x:c r="X117" s="99"/>
      <x:c r="Y117" s="99"/>
      <x:c r="Z117" s="99"/>
    </x:row>
    <x:row r="118">
      <x:c r="A118" s="99"/>
      <x:c r="B118" s="99"/>
      <x:c r="C118" s="99"/>
      <x:c r="D118" s="99"/>
      <x:c r="E118" s="99"/>
      <x:c r="F118" s="99"/>
      <x:c r="G118" s="99"/>
      <x:c r="H118" s="99"/>
      <x:c r="I118" s="99"/>
      <x:c r="J118" s="99"/>
      <x:c r="K118" s="99"/>
      <x:c r="L118" s="99"/>
      <x:c r="M118" s="99"/>
      <x:c r="N118" s="99"/>
      <x:c r="O118" s="99"/>
      <x:c r="P118" s="99"/>
      <x:c r="Q118" s="99"/>
      <x:c r="R118" s="99"/>
      <x:c r="S118" s="99"/>
      <x:c r="T118" s="99"/>
      <x:c r="U118" s="99"/>
      <x:c r="V118" s="99"/>
      <x:c r="W118" s="99"/>
      <x:c r="X118" s="99"/>
      <x:c r="Y118" s="99"/>
      <x:c r="Z118" s="99"/>
    </x:row>
    <x:row r="119">
      <x:c r="A119" s="99"/>
      <x:c r="B119" s="99"/>
      <x:c r="C119" s="99"/>
      <x:c r="D119" s="99"/>
      <x:c r="E119" s="99"/>
      <x:c r="F119" s="99"/>
      <x:c r="G119" s="99"/>
      <x:c r="H119" s="99"/>
      <x:c r="I119" s="99"/>
      <x:c r="J119" s="99"/>
      <x:c r="K119" s="99"/>
      <x:c r="L119" s="99"/>
      <x:c r="M119" s="99"/>
      <x:c r="N119" s="99"/>
      <x:c r="O119" s="99"/>
      <x:c r="P119" s="99"/>
      <x:c r="Q119" s="99"/>
      <x:c r="R119" s="99"/>
      <x:c r="S119" s="99"/>
      <x:c r="T119" s="99"/>
      <x:c r="U119" s="99"/>
      <x:c r="V119" s="99"/>
      <x:c r="W119" s="99"/>
      <x:c r="X119" s="99"/>
      <x:c r="Y119" s="99"/>
      <x:c r="Z119" s="99"/>
    </x:row>
    <x:row r="120">
      <x:c r="A120" s="99"/>
      <x:c r="B120" s="99"/>
      <x:c r="C120" s="99"/>
      <x:c r="D120" s="99"/>
      <x:c r="E120" s="99"/>
      <x:c r="F120" s="99"/>
      <x:c r="G120" s="99"/>
      <x:c r="H120" s="99"/>
      <x:c r="I120" s="99"/>
      <x:c r="J120" s="99"/>
      <x:c r="K120" s="99"/>
      <x:c r="L120" s="99"/>
      <x:c r="M120" s="99"/>
      <x:c r="N120" s="99"/>
      <x:c r="O120" s="99"/>
      <x:c r="P120" s="99"/>
      <x:c r="Q120" s="99"/>
      <x:c r="R120" s="99"/>
      <x:c r="S120" s="99"/>
      <x:c r="T120" s="99"/>
      <x:c r="U120" s="99"/>
      <x:c r="V120" s="99"/>
      <x:c r="W120" s="99"/>
      <x:c r="X120" s="99"/>
      <x:c r="Y120" s="99"/>
      <x:c r="Z120" s="99"/>
    </x:row>
    <x:row r="121">
      <x:c r="A121" s="99"/>
      <x:c r="B121" s="99"/>
      <x:c r="C121" s="99"/>
      <x:c r="D121" s="99"/>
      <x:c r="E121" s="99"/>
      <x:c r="F121" s="99"/>
      <x:c r="G121" s="99"/>
      <x:c r="H121" s="99"/>
      <x:c r="I121" s="99"/>
      <x:c r="J121" s="99"/>
      <x:c r="K121" s="99"/>
      <x:c r="L121" s="99"/>
      <x:c r="M121" s="99"/>
      <x:c r="N121" s="99"/>
      <x:c r="O121" s="99"/>
      <x:c r="P121" s="99"/>
      <x:c r="Q121" s="99"/>
      <x:c r="R121" s="99"/>
      <x:c r="S121" s="99"/>
      <x:c r="T121" s="99"/>
      <x:c r="U121" s="99"/>
      <x:c r="V121" s="99"/>
      <x:c r="W121" s="99"/>
      <x:c r="X121" s="99"/>
      <x:c r="Y121" s="99"/>
      <x:c r="Z121" s="99"/>
    </x:row>
    <x:row r="122">
      <x:c r="A122" s="99"/>
      <x:c r="B122" s="99"/>
      <x:c r="C122" s="99"/>
      <x:c r="D122" s="99"/>
      <x:c r="E122" s="99"/>
      <x:c r="F122" s="99"/>
      <x:c r="G122" s="99"/>
      <x:c r="H122" s="99"/>
      <x:c r="I122" s="99"/>
      <x:c r="J122" s="99"/>
      <x:c r="K122" s="99"/>
      <x:c r="L122" s="99"/>
      <x:c r="M122" s="99"/>
      <x:c r="N122" s="99"/>
      <x:c r="O122" s="99"/>
      <x:c r="P122" s="99"/>
      <x:c r="Q122" s="99"/>
      <x:c r="R122" s="99"/>
      <x:c r="S122" s="99"/>
      <x:c r="T122" s="99"/>
      <x:c r="U122" s="99"/>
      <x:c r="V122" s="99"/>
      <x:c r="W122" s="99"/>
      <x:c r="X122" s="99"/>
      <x:c r="Y122" s="99"/>
      <x:c r="Z122" s="99"/>
    </x:row>
    <x:row r="123">
      <x:c r="A123" s="99"/>
      <x:c r="B123" s="99"/>
      <x:c r="C123" s="99"/>
      <x:c r="D123" s="99"/>
      <x:c r="E123" s="99"/>
      <x:c r="F123" s="99"/>
      <x:c r="G123" s="99"/>
      <x:c r="H123" s="99"/>
      <x:c r="I123" s="99"/>
      <x:c r="J123" s="99"/>
      <x:c r="K123" s="99"/>
      <x:c r="L123" s="99"/>
      <x:c r="M123" s="99"/>
      <x:c r="N123" s="99"/>
      <x:c r="O123" s="99"/>
      <x:c r="P123" s="99"/>
      <x:c r="Q123" s="99"/>
      <x:c r="R123" s="99"/>
      <x:c r="S123" s="99"/>
      <x:c r="T123" s="99"/>
      <x:c r="U123" s="99"/>
      <x:c r="V123" s="99"/>
      <x:c r="W123" s="99"/>
      <x:c r="X123" s="99"/>
      <x:c r="Y123" s="99"/>
      <x:c r="Z123" s="99"/>
    </x:row>
    <x:row r="124">
      <x:c r="A124" s="99"/>
      <x:c r="B124" s="99"/>
      <x:c r="C124" s="99"/>
      <x:c r="D124" s="99"/>
      <x:c r="E124" s="99"/>
      <x:c r="F124" s="99"/>
      <x:c r="G124" s="99"/>
      <x:c r="H124" s="99"/>
      <x:c r="I124" s="99"/>
      <x:c r="J124" s="99"/>
      <x:c r="K124" s="99"/>
      <x:c r="L124" s="99"/>
      <x:c r="M124" s="99"/>
      <x:c r="N124" s="99"/>
      <x:c r="O124" s="99"/>
      <x:c r="P124" s="99"/>
      <x:c r="Q124" s="99"/>
      <x:c r="R124" s="99"/>
      <x:c r="S124" s="99"/>
      <x:c r="T124" s="99"/>
      <x:c r="U124" s="99"/>
      <x:c r="V124" s="99"/>
      <x:c r="W124" s="99"/>
      <x:c r="X124" s="99"/>
      <x:c r="Y124" s="99"/>
      <x:c r="Z124" s="99"/>
    </x:row>
    <x:row r="125">
      <x:c r="A125" s="99"/>
      <x:c r="B125" s="99"/>
      <x:c r="C125" s="99"/>
      <x:c r="D125" s="99"/>
      <x:c r="E125" s="99"/>
      <x:c r="F125" s="99"/>
      <x:c r="G125" s="99"/>
      <x:c r="H125" s="99"/>
      <x:c r="I125" s="99"/>
      <x:c r="J125" s="99"/>
      <x:c r="K125" s="99"/>
      <x:c r="L125" s="99"/>
      <x:c r="M125" s="99"/>
      <x:c r="N125" s="99"/>
      <x:c r="O125" s="99"/>
      <x:c r="P125" s="99"/>
      <x:c r="Q125" s="99"/>
      <x:c r="R125" s="99"/>
      <x:c r="S125" s="99"/>
      <x:c r="T125" s="99"/>
      <x:c r="U125" s="99"/>
      <x:c r="V125" s="99"/>
      <x:c r="W125" s="99"/>
      <x:c r="X125" s="99"/>
      <x:c r="Y125" s="99"/>
      <x:c r="Z125" s="99"/>
    </x:row>
    <x:row r="126">
      <x:c r="A126" s="99"/>
      <x:c r="B126" s="99"/>
      <x:c r="C126" s="99"/>
      <x:c r="D126" s="99"/>
      <x:c r="E126" s="99"/>
      <x:c r="F126" s="99"/>
      <x:c r="G126" s="99"/>
      <x:c r="H126" s="99"/>
      <x:c r="I126" s="99"/>
      <x:c r="J126" s="99"/>
      <x:c r="K126" s="99"/>
      <x:c r="L126" s="99"/>
      <x:c r="M126" s="99"/>
      <x:c r="N126" s="99"/>
      <x:c r="O126" s="99"/>
      <x:c r="P126" s="99"/>
      <x:c r="Q126" s="99"/>
      <x:c r="R126" s="99"/>
      <x:c r="S126" s="99"/>
      <x:c r="T126" s="99"/>
      <x:c r="U126" s="99"/>
      <x:c r="V126" s="99"/>
      <x:c r="W126" s="99"/>
      <x:c r="X126" s="99"/>
      <x:c r="Y126" s="99"/>
      <x:c r="Z126" s="99"/>
    </x:row>
    <x:row r="127">
      <x:c r="A127" s="99"/>
      <x:c r="B127" s="99"/>
      <x:c r="C127" s="99"/>
      <x:c r="D127" s="99"/>
      <x:c r="E127" s="99"/>
      <x:c r="F127" s="99"/>
      <x:c r="G127" s="99"/>
      <x:c r="H127" s="99"/>
      <x:c r="I127" s="99"/>
      <x:c r="J127" s="99"/>
      <x:c r="K127" s="99"/>
      <x:c r="L127" s="99"/>
      <x:c r="M127" s="99"/>
      <x:c r="N127" s="99"/>
      <x:c r="O127" s="99"/>
      <x:c r="P127" s="99"/>
      <x:c r="Q127" s="99"/>
      <x:c r="R127" s="99"/>
      <x:c r="S127" s="99"/>
      <x:c r="T127" s="99"/>
      <x:c r="U127" s="99"/>
      <x:c r="V127" s="99"/>
      <x:c r="W127" s="99"/>
      <x:c r="X127" s="99"/>
      <x:c r="Y127" s="99"/>
      <x:c r="Z127" s="99"/>
    </x:row>
    <x:row r="128">
      <x:c r="A128" s="99"/>
      <x:c r="B128" s="99"/>
      <x:c r="C128" s="99"/>
      <x:c r="D128" s="99"/>
      <x:c r="E128" s="99"/>
      <x:c r="F128" s="99"/>
      <x:c r="G128" s="99"/>
      <x:c r="H128" s="99"/>
      <x:c r="I128" s="99"/>
      <x:c r="J128" s="99"/>
      <x:c r="K128" s="99"/>
      <x:c r="L128" s="99"/>
      <x:c r="M128" s="99"/>
      <x:c r="N128" s="99"/>
      <x:c r="O128" s="99"/>
      <x:c r="P128" s="99"/>
      <x:c r="Q128" s="99"/>
      <x:c r="R128" s="99"/>
      <x:c r="S128" s="99"/>
      <x:c r="T128" s="99"/>
      <x:c r="U128" s="99"/>
      <x:c r="V128" s="99"/>
      <x:c r="W128" s="99"/>
      <x:c r="X128" s="99"/>
      <x:c r="Y128" s="99"/>
      <x:c r="Z128" s="99"/>
    </x:row>
    <x:row r="129">
      <x:c r="A129" s="99"/>
      <x:c r="B129" s="99"/>
      <x:c r="C129" s="99"/>
      <x:c r="D129" s="99"/>
      <x:c r="E129" s="99"/>
      <x:c r="F129" s="99"/>
      <x:c r="G129" s="99"/>
      <x:c r="H129" s="99"/>
      <x:c r="I129" s="99"/>
      <x:c r="J129" s="99"/>
      <x:c r="K129" s="99"/>
      <x:c r="L129" s="99"/>
      <x:c r="M129" s="99"/>
      <x:c r="N129" s="99"/>
      <x:c r="O129" s="99"/>
      <x:c r="P129" s="99"/>
      <x:c r="Q129" s="99"/>
      <x:c r="R129" s="99"/>
      <x:c r="S129" s="99"/>
      <x:c r="T129" s="99"/>
      <x:c r="U129" s="99"/>
      <x:c r="V129" s="99"/>
      <x:c r="W129" s="99"/>
      <x:c r="X129" s="99"/>
      <x:c r="Y129" s="99"/>
      <x:c r="Z129" s="99"/>
    </x:row>
    <x:row r="130">
      <x:c r="A130" s="99"/>
      <x:c r="B130" s="99"/>
      <x:c r="C130" s="99"/>
      <x:c r="D130" s="99"/>
      <x:c r="E130" s="99"/>
      <x:c r="F130" s="99"/>
      <x:c r="G130" s="99"/>
      <x:c r="H130" s="99"/>
      <x:c r="I130" s="99"/>
      <x:c r="J130" s="99"/>
      <x:c r="K130" s="99"/>
      <x:c r="L130" s="99"/>
      <x:c r="M130" s="99"/>
      <x:c r="N130" s="99"/>
      <x:c r="O130" s="99"/>
      <x:c r="P130" s="99"/>
      <x:c r="Q130" s="99"/>
      <x:c r="R130" s="99"/>
      <x:c r="S130" s="99"/>
      <x:c r="T130" s="99"/>
      <x:c r="U130" s="99"/>
      <x:c r="V130" s="99"/>
      <x:c r="W130" s="99"/>
      <x:c r="X130" s="99"/>
      <x:c r="Y130" s="99"/>
      <x:c r="Z130" s="99"/>
    </x:row>
    <x:row r="131">
      <x:c r="A131" s="99"/>
      <x:c r="B131" s="99"/>
      <x:c r="C131" s="99"/>
      <x:c r="D131" s="99"/>
      <x:c r="E131" s="99"/>
      <x:c r="F131" s="99"/>
      <x:c r="G131" s="99"/>
      <x:c r="H131" s="99"/>
      <x:c r="I131" s="99"/>
      <x:c r="J131" s="99"/>
      <x:c r="K131" s="99"/>
      <x:c r="L131" s="99"/>
      <x:c r="M131" s="99"/>
      <x:c r="N131" s="99"/>
      <x:c r="O131" s="99"/>
      <x:c r="P131" s="99"/>
      <x:c r="Q131" s="99"/>
      <x:c r="R131" s="99"/>
      <x:c r="S131" s="99"/>
      <x:c r="T131" s="99"/>
      <x:c r="U131" s="99"/>
      <x:c r="V131" s="99"/>
      <x:c r="W131" s="99"/>
      <x:c r="X131" s="99"/>
      <x:c r="Y131" s="99"/>
      <x:c r="Z131" s="99"/>
    </x:row>
    <x:row r="132">
      <x:c r="A132" s="99"/>
      <x:c r="B132" s="99"/>
      <x:c r="C132" s="99"/>
      <x:c r="D132" s="99"/>
      <x:c r="E132" s="99"/>
      <x:c r="F132" s="99"/>
      <x:c r="G132" s="99"/>
      <x:c r="H132" s="99"/>
      <x:c r="I132" s="99"/>
      <x:c r="J132" s="99"/>
      <x:c r="K132" s="99"/>
      <x:c r="L132" s="99"/>
      <x:c r="M132" s="99"/>
      <x:c r="N132" s="99"/>
      <x:c r="O132" s="99"/>
      <x:c r="P132" s="99"/>
      <x:c r="Q132" s="99"/>
      <x:c r="R132" s="99"/>
      <x:c r="S132" s="99"/>
      <x:c r="T132" s="99"/>
      <x:c r="U132" s="99"/>
      <x:c r="V132" s="99"/>
      <x:c r="W132" s="99"/>
      <x:c r="X132" s="99"/>
      <x:c r="Y132" s="99"/>
      <x:c r="Z132" s="99"/>
    </x:row>
    <x:row r="133">
      <x:c r="A133" s="99"/>
      <x:c r="B133" s="99"/>
      <x:c r="C133" s="99"/>
      <x:c r="D133" s="99"/>
      <x:c r="E133" s="99"/>
      <x:c r="F133" s="99"/>
      <x:c r="G133" s="99"/>
      <x:c r="H133" s="99"/>
      <x:c r="I133" s="99"/>
      <x:c r="J133" s="99"/>
      <x:c r="K133" s="99"/>
      <x:c r="L133" s="99"/>
      <x:c r="M133" s="99"/>
      <x:c r="N133" s="99"/>
      <x:c r="O133" s="99"/>
      <x:c r="P133" s="99"/>
      <x:c r="Q133" s="99"/>
      <x:c r="R133" s="99"/>
      <x:c r="S133" s="99"/>
      <x:c r="T133" s="99"/>
      <x:c r="U133" s="99"/>
      <x:c r="V133" s="99"/>
      <x:c r="W133" s="99"/>
      <x:c r="X133" s="99"/>
      <x:c r="Y133" s="99"/>
      <x:c r="Z133" s="99"/>
    </x:row>
    <x:row r="134">
      <x:c r="A134" s="99"/>
      <x:c r="B134" s="99"/>
      <x:c r="C134" s="99"/>
      <x:c r="D134" s="99"/>
      <x:c r="E134" s="99"/>
      <x:c r="F134" s="99"/>
      <x:c r="G134" s="99"/>
      <x:c r="H134" s="99"/>
      <x:c r="I134" s="99"/>
      <x:c r="J134" s="99"/>
      <x:c r="K134" s="99"/>
      <x:c r="L134" s="99"/>
      <x:c r="M134" s="99"/>
      <x:c r="N134" s="99"/>
      <x:c r="O134" s="99"/>
      <x:c r="P134" s="99"/>
      <x:c r="Q134" s="99"/>
      <x:c r="R134" s="99"/>
      <x:c r="S134" s="99"/>
      <x:c r="T134" s="99"/>
      <x:c r="U134" s="99"/>
      <x:c r="V134" s="99"/>
      <x:c r="W134" s="99"/>
      <x:c r="X134" s="99"/>
      <x:c r="Y134" s="99"/>
      <x:c r="Z134" s="99"/>
    </x:row>
    <x:row r="135">
      <x:c r="A135" s="99"/>
      <x:c r="B135" s="99"/>
      <x:c r="C135" s="99"/>
      <x:c r="D135" s="99"/>
      <x:c r="E135" s="99"/>
      <x:c r="F135" s="99"/>
      <x:c r="G135" s="99"/>
      <x:c r="H135" s="99"/>
      <x:c r="I135" s="99"/>
      <x:c r="J135" s="99"/>
      <x:c r="K135" s="99"/>
      <x:c r="L135" s="99"/>
      <x:c r="M135" s="99"/>
      <x:c r="N135" s="99"/>
      <x:c r="O135" s="99"/>
      <x:c r="P135" s="99"/>
      <x:c r="Q135" s="99"/>
      <x:c r="R135" s="99"/>
      <x:c r="S135" s="99"/>
      <x:c r="T135" s="99"/>
      <x:c r="U135" s="99"/>
      <x:c r="V135" s="99"/>
      <x:c r="W135" s="99"/>
      <x:c r="X135" s="99"/>
      <x:c r="Y135" s="99"/>
      <x:c r="Z135" s="99"/>
    </x:row>
    <x:row r="136">
      <x:c r="A136" s="99"/>
      <x:c r="B136" s="99"/>
      <x:c r="C136" s="99"/>
      <x:c r="D136" s="99"/>
      <x:c r="E136" s="99"/>
      <x:c r="F136" s="99"/>
      <x:c r="G136" s="99"/>
      <x:c r="H136" s="99"/>
      <x:c r="I136" s="99"/>
      <x:c r="J136" s="99"/>
      <x:c r="K136" s="99"/>
      <x:c r="L136" s="99"/>
      <x:c r="M136" s="99"/>
      <x:c r="N136" s="99"/>
      <x:c r="O136" s="99"/>
      <x:c r="P136" s="99"/>
      <x:c r="Q136" s="99"/>
      <x:c r="R136" s="99"/>
      <x:c r="S136" s="99"/>
      <x:c r="T136" s="99"/>
      <x:c r="U136" s="99"/>
      <x:c r="V136" s="99"/>
      <x:c r="W136" s="99"/>
      <x:c r="X136" s="99"/>
      <x:c r="Y136" s="99"/>
      <x:c r="Z136" s="99"/>
    </x:row>
    <x:row r="137">
      <x:c r="A137" s="99"/>
      <x:c r="B137" s="99"/>
      <x:c r="C137" s="99"/>
      <x:c r="D137" s="99"/>
      <x:c r="E137" s="99"/>
      <x:c r="F137" s="99"/>
      <x:c r="G137" s="99"/>
      <x:c r="H137" s="99"/>
      <x:c r="I137" s="99"/>
      <x:c r="J137" s="99"/>
      <x:c r="K137" s="99"/>
      <x:c r="L137" s="99"/>
      <x:c r="M137" s="99"/>
      <x:c r="N137" s="99"/>
      <x:c r="O137" s="99"/>
      <x:c r="P137" s="99"/>
      <x:c r="Q137" s="99"/>
      <x:c r="R137" s="99"/>
      <x:c r="S137" s="99"/>
      <x:c r="T137" s="99"/>
      <x:c r="U137" s="99"/>
      <x:c r="V137" s="99"/>
      <x:c r="W137" s="99"/>
      <x:c r="X137" s="99"/>
      <x:c r="Y137" s="99"/>
      <x:c r="Z137" s="99"/>
    </x:row>
    <x:row r="138">
      <x:c r="A138" s="99"/>
      <x:c r="B138" s="99"/>
      <x:c r="C138" s="99"/>
      <x:c r="D138" s="99"/>
      <x:c r="E138" s="99"/>
      <x:c r="F138" s="99"/>
      <x:c r="G138" s="99"/>
      <x:c r="H138" s="99"/>
      <x:c r="I138" s="99"/>
      <x:c r="J138" s="99"/>
      <x:c r="K138" s="99"/>
      <x:c r="L138" s="99"/>
      <x:c r="M138" s="99"/>
      <x:c r="N138" s="99"/>
      <x:c r="O138" s="99"/>
      <x:c r="P138" s="99"/>
      <x:c r="Q138" s="99"/>
      <x:c r="R138" s="99"/>
      <x:c r="S138" s="99"/>
      <x:c r="T138" s="99"/>
      <x:c r="U138" s="99"/>
      <x:c r="V138" s="99"/>
      <x:c r="W138" s="99"/>
      <x:c r="X138" s="99"/>
      <x:c r="Y138" s="99"/>
      <x:c r="Z138" s="99"/>
    </x:row>
    <x:row r="139">
      <x:c r="A139" s="99"/>
      <x:c r="B139" s="99"/>
      <x:c r="C139" s="99"/>
      <x:c r="D139" s="99"/>
      <x:c r="E139" s="99"/>
      <x:c r="F139" s="99"/>
      <x:c r="G139" s="99"/>
      <x:c r="H139" s="99"/>
      <x:c r="I139" s="99"/>
      <x:c r="J139" s="99"/>
      <x:c r="K139" s="99"/>
      <x:c r="L139" s="99"/>
      <x:c r="M139" s="99"/>
      <x:c r="N139" s="99"/>
      <x:c r="O139" s="99"/>
      <x:c r="P139" s="99"/>
      <x:c r="Q139" s="99"/>
      <x:c r="R139" s="99"/>
      <x:c r="S139" s="99"/>
      <x:c r="T139" s="99"/>
      <x:c r="U139" s="99"/>
      <x:c r="V139" s="99"/>
      <x:c r="W139" s="99"/>
      <x:c r="X139" s="99"/>
      <x:c r="Y139" s="99"/>
      <x:c r="Z139" s="99"/>
    </x:row>
    <x:row r="140">
      <x:c r="A140" s="99"/>
      <x:c r="B140" s="99"/>
      <x:c r="C140" s="99"/>
      <x:c r="D140" s="99"/>
      <x:c r="E140" s="99"/>
      <x:c r="F140" s="99"/>
      <x:c r="G140" s="99"/>
      <x:c r="H140" s="99"/>
      <x:c r="I140" s="99"/>
      <x:c r="J140" s="99"/>
      <x:c r="K140" s="99"/>
      <x:c r="L140" s="99"/>
      <x:c r="M140" s="99"/>
      <x:c r="N140" s="99"/>
      <x:c r="O140" s="99"/>
      <x:c r="P140" s="99"/>
      <x:c r="Q140" s="99"/>
      <x:c r="R140" s="99"/>
      <x:c r="S140" s="99"/>
      <x:c r="T140" s="99"/>
      <x:c r="U140" s="99"/>
      <x:c r="V140" s="99"/>
      <x:c r="W140" s="99"/>
      <x:c r="X140" s="99"/>
      <x:c r="Y140" s="99"/>
      <x:c r="Z140" s="99"/>
    </x:row>
    <x:row r="141">
      <x:c r="A141" s="99"/>
      <x:c r="B141" s="99"/>
      <x:c r="C141" s="99"/>
      <x:c r="D141" s="99"/>
      <x:c r="E141" s="99"/>
      <x:c r="F141" s="99"/>
      <x:c r="G141" s="99"/>
      <x:c r="H141" s="99"/>
      <x:c r="I141" s="99"/>
      <x:c r="J141" s="99"/>
      <x:c r="K141" s="99"/>
      <x:c r="L141" s="99"/>
      <x:c r="M141" s="99"/>
      <x:c r="N141" s="99"/>
      <x:c r="O141" s="99"/>
      <x:c r="P141" s="99"/>
      <x:c r="Q141" s="99"/>
      <x:c r="R141" s="99"/>
      <x:c r="S141" s="99"/>
      <x:c r="T141" s="99"/>
      <x:c r="U141" s="99"/>
      <x:c r="V141" s="99"/>
      <x:c r="W141" s="99"/>
      <x:c r="X141" s="99"/>
      <x:c r="Y141" s="99"/>
      <x:c r="Z141" s="99"/>
    </x:row>
    <x:row r="142">
      <x:c r="A142" s="99"/>
      <x:c r="B142" s="99"/>
      <x:c r="C142" s="99"/>
      <x:c r="D142" s="99"/>
      <x:c r="E142" s="99"/>
      <x:c r="F142" s="99"/>
      <x:c r="G142" s="99"/>
      <x:c r="H142" s="99"/>
      <x:c r="I142" s="99"/>
      <x:c r="J142" s="99"/>
      <x:c r="K142" s="99"/>
      <x:c r="L142" s="99"/>
      <x:c r="M142" s="99"/>
      <x:c r="N142" s="99"/>
      <x:c r="O142" s="99"/>
      <x:c r="P142" s="99"/>
      <x:c r="Q142" s="99"/>
      <x:c r="R142" s="99"/>
      <x:c r="S142" s="99"/>
      <x:c r="T142" s="99"/>
      <x:c r="U142" s="99"/>
      <x:c r="V142" s="99"/>
      <x:c r="W142" s="99"/>
      <x:c r="X142" s="99"/>
      <x:c r="Y142" s="99"/>
      <x:c r="Z142" s="99"/>
    </x:row>
    <x:row r="143">
      <x:c r="A143" s="99"/>
      <x:c r="B143" s="99"/>
      <x:c r="C143" s="99"/>
      <x:c r="D143" s="99"/>
      <x:c r="E143" s="99"/>
      <x:c r="F143" s="99"/>
      <x:c r="G143" s="99"/>
      <x:c r="H143" s="99"/>
      <x:c r="I143" s="99"/>
      <x:c r="J143" s="99"/>
      <x:c r="K143" s="99"/>
      <x:c r="L143" s="99"/>
      <x:c r="M143" s="99"/>
      <x:c r="N143" s="99"/>
      <x:c r="O143" s="99"/>
      <x:c r="P143" s="99"/>
      <x:c r="Q143" s="99"/>
      <x:c r="R143" s="99"/>
      <x:c r="S143" s="99"/>
      <x:c r="T143" s="99"/>
      <x:c r="U143" s="99"/>
      <x:c r="V143" s="99"/>
      <x:c r="W143" s="99"/>
      <x:c r="X143" s="99"/>
      <x:c r="Y143" s="99"/>
      <x:c r="Z143" s="99"/>
    </x:row>
    <x:row r="144">
      <x:c r="A144" s="99"/>
      <x:c r="B144" s="99"/>
      <x:c r="C144" s="99"/>
      <x:c r="D144" s="99"/>
      <x:c r="E144" s="99"/>
      <x:c r="F144" s="99"/>
      <x:c r="G144" s="99"/>
      <x:c r="H144" s="99"/>
      <x:c r="I144" s="99"/>
      <x:c r="J144" s="99"/>
      <x:c r="K144" s="99"/>
      <x:c r="L144" s="99"/>
      <x:c r="M144" s="99"/>
      <x:c r="N144" s="99"/>
      <x:c r="O144" s="99"/>
      <x:c r="P144" s="99"/>
      <x:c r="Q144" s="99"/>
      <x:c r="R144" s="99"/>
      <x:c r="S144" s="99"/>
      <x:c r="T144" s="99"/>
      <x:c r="U144" s="99"/>
      <x:c r="V144" s="99"/>
      <x:c r="W144" s="99"/>
      <x:c r="X144" s="99"/>
      <x:c r="Y144" s="99"/>
      <x:c r="Z144" s="99"/>
    </x:row>
    <x:row r="145">
      <x:c r="A145" s="99"/>
      <x:c r="B145" s="99"/>
      <x:c r="C145" s="99"/>
      <x:c r="D145" s="99"/>
      <x:c r="E145" s="99"/>
      <x:c r="F145" s="99"/>
      <x:c r="G145" s="99"/>
      <x:c r="H145" s="99"/>
      <x:c r="I145" s="99"/>
      <x:c r="J145" s="99"/>
      <x:c r="K145" s="99"/>
      <x:c r="L145" s="99"/>
      <x:c r="M145" s="99"/>
      <x:c r="N145" s="99"/>
      <x:c r="O145" s="99"/>
      <x:c r="P145" s="99"/>
      <x:c r="Q145" s="99"/>
      <x:c r="R145" s="99"/>
      <x:c r="S145" s="99"/>
      <x:c r="T145" s="99"/>
      <x:c r="U145" s="99"/>
      <x:c r="V145" s="99"/>
      <x:c r="W145" s="99"/>
      <x:c r="X145" s="99"/>
      <x:c r="Y145" s="99"/>
      <x:c r="Z145" s="99"/>
    </x:row>
    <x:row r="146">
      <x:c r="A146" s="99"/>
      <x:c r="B146" s="99"/>
      <x:c r="C146" s="99"/>
      <x:c r="D146" s="99"/>
      <x:c r="E146" s="99"/>
      <x:c r="F146" s="99"/>
      <x:c r="G146" s="99"/>
      <x:c r="H146" s="99"/>
      <x:c r="I146" s="99"/>
      <x:c r="J146" s="99"/>
      <x:c r="K146" s="99"/>
      <x:c r="L146" s="99"/>
      <x:c r="M146" s="99"/>
      <x:c r="N146" s="99"/>
      <x:c r="O146" s="99"/>
      <x:c r="P146" s="99"/>
      <x:c r="Q146" s="99"/>
      <x:c r="R146" s="99"/>
      <x:c r="S146" s="99"/>
      <x:c r="T146" s="99"/>
      <x:c r="U146" s="99"/>
      <x:c r="V146" s="99"/>
      <x:c r="W146" s="99"/>
      <x:c r="X146" s="99"/>
      <x:c r="Y146" s="99"/>
      <x:c r="Z146" s="99"/>
    </x:row>
    <x:row r="147">
      <x:c r="A147" s="99"/>
      <x:c r="B147" s="99"/>
      <x:c r="C147" s="99"/>
      <x:c r="D147" s="99"/>
      <x:c r="E147" s="99"/>
      <x:c r="F147" s="99"/>
      <x:c r="G147" s="99"/>
      <x:c r="H147" s="99"/>
      <x:c r="I147" s="99"/>
      <x:c r="J147" s="99"/>
      <x:c r="K147" s="99"/>
      <x:c r="L147" s="99"/>
      <x:c r="M147" s="99"/>
      <x:c r="N147" s="99"/>
      <x:c r="O147" s="99"/>
      <x:c r="P147" s="99"/>
      <x:c r="Q147" s="99"/>
      <x:c r="R147" s="99"/>
      <x:c r="S147" s="99"/>
      <x:c r="T147" s="99"/>
      <x:c r="U147" s="99"/>
      <x:c r="V147" s="99"/>
      <x:c r="W147" s="99"/>
      <x:c r="X147" s="99"/>
      <x:c r="Y147" s="99"/>
      <x:c r="Z147" s="99"/>
    </x:row>
    <x:row r="148">
      <x:c r="A148" s="99"/>
      <x:c r="B148" s="99"/>
      <x:c r="C148" s="99"/>
      <x:c r="D148" s="99"/>
      <x:c r="E148" s="99"/>
      <x:c r="F148" s="99"/>
      <x:c r="G148" s="99"/>
      <x:c r="H148" s="99"/>
      <x:c r="I148" s="99"/>
      <x:c r="J148" s="99"/>
      <x:c r="K148" s="99"/>
      <x:c r="L148" s="99"/>
      <x:c r="M148" s="99"/>
      <x:c r="N148" s="99"/>
      <x:c r="O148" s="99"/>
      <x:c r="P148" s="99"/>
      <x:c r="Q148" s="99"/>
      <x:c r="R148" s="99"/>
      <x:c r="S148" s="99"/>
      <x:c r="T148" s="99"/>
      <x:c r="U148" s="99"/>
      <x:c r="V148" s="99"/>
      <x:c r="W148" s="99"/>
      <x:c r="X148" s="99"/>
      <x:c r="Y148" s="99"/>
      <x:c r="Z148" s="99"/>
    </x:row>
    <x:row r="149">
      <x:c r="A149" s="99"/>
      <x:c r="B149" s="99"/>
      <x:c r="C149" s="99"/>
      <x:c r="D149" s="99"/>
      <x:c r="E149" s="99"/>
      <x:c r="F149" s="99"/>
      <x:c r="G149" s="99"/>
      <x:c r="H149" s="99"/>
      <x:c r="I149" s="99"/>
      <x:c r="J149" s="99"/>
      <x:c r="K149" s="99"/>
      <x:c r="L149" s="99"/>
      <x:c r="M149" s="99"/>
      <x:c r="N149" s="99"/>
      <x:c r="O149" s="99"/>
      <x:c r="P149" s="99"/>
      <x:c r="Q149" s="99"/>
      <x:c r="R149" s="99"/>
      <x:c r="S149" s="99"/>
      <x:c r="T149" s="99"/>
      <x:c r="U149" s="99"/>
      <x:c r="V149" s="99"/>
      <x:c r="W149" s="99"/>
      <x:c r="X149" s="99"/>
      <x:c r="Y149" s="99"/>
      <x:c r="Z149" s="99"/>
    </x:row>
    <x:row r="150">
      <x:c r="A150" s="99"/>
      <x:c r="B150" s="99"/>
      <x:c r="C150" s="99"/>
      <x:c r="D150" s="99"/>
      <x:c r="E150" s="99"/>
      <x:c r="F150" s="99"/>
      <x:c r="G150" s="99"/>
      <x:c r="H150" s="99"/>
      <x:c r="I150" s="99"/>
      <x:c r="J150" s="99"/>
      <x:c r="K150" s="99"/>
      <x:c r="L150" s="99"/>
      <x:c r="M150" s="99"/>
      <x:c r="N150" s="99"/>
      <x:c r="O150" s="99"/>
      <x:c r="P150" s="99"/>
      <x:c r="Q150" s="99"/>
      <x:c r="R150" s="99"/>
      <x:c r="S150" s="99"/>
      <x:c r="T150" s="99"/>
      <x:c r="U150" s="99"/>
      <x:c r="V150" s="99"/>
      <x:c r="W150" s="99"/>
      <x:c r="X150" s="99"/>
      <x:c r="Y150" s="99"/>
      <x:c r="Z150" s="99"/>
    </x:row>
    <x:row r="151">
      <x:c r="A151" s="99"/>
      <x:c r="B151" s="99"/>
      <x:c r="C151" s="99"/>
      <x:c r="D151" s="99"/>
      <x:c r="E151" s="99"/>
      <x:c r="F151" s="99"/>
      <x:c r="G151" s="99"/>
      <x:c r="H151" s="99"/>
      <x:c r="I151" s="99"/>
      <x:c r="J151" s="99"/>
      <x:c r="K151" s="99"/>
      <x:c r="L151" s="99"/>
      <x:c r="M151" s="99"/>
      <x:c r="N151" s="99"/>
      <x:c r="O151" s="99"/>
      <x:c r="P151" s="99"/>
      <x:c r="Q151" s="99"/>
      <x:c r="R151" s="99"/>
      <x:c r="S151" s="99"/>
      <x:c r="T151" s="99"/>
      <x:c r="U151" s="99"/>
      <x:c r="V151" s="99"/>
      <x:c r="W151" s="99"/>
      <x:c r="X151" s="99"/>
      <x:c r="Y151" s="99"/>
      <x:c r="Z151" s="99"/>
    </x:row>
    <x:row r="152">
      <x:c r="A152" s="99"/>
      <x:c r="B152" s="99"/>
      <x:c r="C152" s="99"/>
      <x:c r="D152" s="99"/>
      <x:c r="E152" s="99"/>
      <x:c r="F152" s="99"/>
      <x:c r="G152" s="99"/>
      <x:c r="H152" s="99"/>
      <x:c r="I152" s="99"/>
      <x:c r="J152" s="99"/>
      <x:c r="K152" s="99"/>
      <x:c r="L152" s="99"/>
      <x:c r="M152" s="99"/>
      <x:c r="N152" s="99"/>
      <x:c r="O152" s="99"/>
      <x:c r="P152" s="99"/>
      <x:c r="Q152" s="99"/>
      <x:c r="R152" s="99"/>
      <x:c r="S152" s="99"/>
      <x:c r="T152" s="99"/>
      <x:c r="U152" s="99"/>
      <x:c r="V152" s="99"/>
      <x:c r="W152" s="99"/>
      <x:c r="X152" s="99"/>
      <x:c r="Y152" s="99"/>
      <x:c r="Z152" s="99"/>
    </x:row>
    <x:row r="153">
      <x:c r="A153" s="99"/>
      <x:c r="B153" s="99"/>
      <x:c r="C153" s="99"/>
      <x:c r="D153" s="99"/>
      <x:c r="E153" s="99"/>
      <x:c r="F153" s="99"/>
      <x:c r="G153" s="99"/>
      <x:c r="H153" s="99"/>
      <x:c r="I153" s="99"/>
      <x:c r="J153" s="99"/>
      <x:c r="K153" s="99"/>
      <x:c r="L153" s="99"/>
      <x:c r="M153" s="99"/>
      <x:c r="N153" s="99"/>
      <x:c r="O153" s="99"/>
      <x:c r="P153" s="99"/>
      <x:c r="Q153" s="99"/>
      <x:c r="R153" s="99"/>
      <x:c r="S153" s="99"/>
      <x:c r="T153" s="99"/>
      <x:c r="U153" s="99"/>
      <x:c r="V153" s="99"/>
      <x:c r="W153" s="99"/>
      <x:c r="X153" s="99"/>
      <x:c r="Y153" s="99"/>
      <x:c r="Z153" s="99"/>
    </x:row>
    <x:row r="154">
      <x:c r="A154" s="99"/>
      <x:c r="B154" s="99"/>
      <x:c r="C154" s="99"/>
      <x:c r="D154" s="99"/>
      <x:c r="E154" s="99"/>
      <x:c r="F154" s="99"/>
      <x:c r="G154" s="99"/>
      <x:c r="H154" s="99"/>
      <x:c r="I154" s="99"/>
      <x:c r="J154" s="99"/>
      <x:c r="K154" s="99"/>
      <x:c r="L154" s="99"/>
      <x:c r="M154" s="99"/>
      <x:c r="N154" s="99"/>
      <x:c r="O154" s="99"/>
      <x:c r="P154" s="99"/>
      <x:c r="Q154" s="99"/>
      <x:c r="R154" s="99"/>
      <x:c r="S154" s="99"/>
      <x:c r="T154" s="99"/>
      <x:c r="U154" s="99"/>
      <x:c r="V154" s="99"/>
      <x:c r="W154" s="99"/>
      <x:c r="X154" s="99"/>
      <x:c r="Y154" s="99"/>
      <x:c r="Z154" s="99"/>
    </x:row>
    <x:row r="155">
      <x:c r="A155" s="99"/>
      <x:c r="B155" s="99"/>
      <x:c r="C155" s="99"/>
      <x:c r="D155" s="99"/>
      <x:c r="E155" s="99"/>
      <x:c r="F155" s="99"/>
      <x:c r="G155" s="99"/>
      <x:c r="H155" s="99"/>
      <x:c r="I155" s="99"/>
      <x:c r="J155" s="99"/>
      <x:c r="K155" s="99"/>
      <x:c r="L155" s="99"/>
      <x:c r="M155" s="99"/>
      <x:c r="N155" s="99"/>
      <x:c r="O155" s="99"/>
      <x:c r="P155" s="99"/>
      <x:c r="Q155" s="99"/>
      <x:c r="R155" s="99"/>
      <x:c r="S155" s="99"/>
      <x:c r="T155" s="99"/>
      <x:c r="U155" s="99"/>
      <x:c r="V155" s="99"/>
      <x:c r="W155" s="99"/>
      <x:c r="X155" s="99"/>
      <x:c r="Y155" s="99"/>
      <x:c r="Z155" s="99"/>
    </x:row>
    <x:row r="156">
      <x:c r="A156" s="99"/>
      <x:c r="B156" s="99"/>
      <x:c r="C156" s="99"/>
      <x:c r="D156" s="99"/>
      <x:c r="E156" s="99"/>
      <x:c r="F156" s="99"/>
      <x:c r="G156" s="99"/>
      <x:c r="H156" s="99"/>
      <x:c r="I156" s="99"/>
      <x:c r="J156" s="99"/>
      <x:c r="K156" s="99"/>
      <x:c r="L156" s="99"/>
      <x:c r="M156" s="99"/>
      <x:c r="N156" s="99"/>
      <x:c r="O156" s="99"/>
      <x:c r="P156" s="99"/>
      <x:c r="Q156" s="99"/>
      <x:c r="R156" s="99"/>
      <x:c r="S156" s="99"/>
      <x:c r="T156" s="99"/>
      <x:c r="U156" s="99"/>
      <x:c r="V156" s="99"/>
      <x:c r="W156" s="99"/>
      <x:c r="X156" s="99"/>
      <x:c r="Y156" s="99"/>
      <x:c r="Z156" s="99"/>
    </x:row>
    <x:row r="157">
      <x:c r="A157" s="99"/>
      <x:c r="B157" s="99"/>
      <x:c r="C157" s="99"/>
      <x:c r="D157" s="99"/>
      <x:c r="E157" s="99"/>
      <x:c r="F157" s="99"/>
      <x:c r="G157" s="99"/>
      <x:c r="H157" s="99"/>
      <x:c r="I157" s="99"/>
      <x:c r="J157" s="99"/>
      <x:c r="K157" s="99"/>
      <x:c r="L157" s="99"/>
      <x:c r="M157" s="99"/>
      <x:c r="N157" s="99"/>
      <x:c r="O157" s="99"/>
      <x:c r="P157" s="99"/>
      <x:c r="Q157" s="99"/>
      <x:c r="R157" s="99"/>
      <x:c r="S157" s="99"/>
      <x:c r="T157" s="99"/>
      <x:c r="U157" s="99"/>
      <x:c r="V157" s="99"/>
      <x:c r="W157" s="99"/>
      <x:c r="X157" s="99"/>
      <x:c r="Y157" s="99"/>
      <x:c r="Z157" s="99"/>
    </x:row>
    <x:row r="158">
      <x:c r="A158" s="99"/>
      <x:c r="B158" s="99"/>
      <x:c r="C158" s="99"/>
      <x:c r="D158" s="99"/>
      <x:c r="E158" s="99"/>
      <x:c r="F158" s="99"/>
      <x:c r="G158" s="99"/>
      <x:c r="H158" s="99"/>
      <x:c r="I158" s="99"/>
      <x:c r="J158" s="99"/>
      <x:c r="K158" s="99"/>
      <x:c r="L158" s="99"/>
      <x:c r="M158" s="99"/>
      <x:c r="N158" s="99"/>
      <x:c r="O158" s="99"/>
      <x:c r="P158" s="99"/>
      <x:c r="Q158" s="99"/>
      <x:c r="R158" s="99"/>
      <x:c r="S158" s="99"/>
      <x:c r="T158" s="99"/>
      <x:c r="U158" s="99"/>
      <x:c r="V158" s="99"/>
      <x:c r="W158" s="99"/>
      <x:c r="X158" s="99"/>
      <x:c r="Y158" s="99"/>
      <x:c r="Z158" s="99"/>
    </x:row>
    <x:row r="159">
      <x:c r="A159" s="99"/>
      <x:c r="B159" s="99"/>
      <x:c r="C159" s="99"/>
      <x:c r="D159" s="99"/>
      <x:c r="E159" s="99"/>
      <x:c r="F159" s="99"/>
      <x:c r="G159" s="99"/>
      <x:c r="H159" s="99"/>
      <x:c r="I159" s="99"/>
      <x:c r="J159" s="99"/>
      <x:c r="K159" s="99"/>
      <x:c r="L159" s="99"/>
      <x:c r="M159" s="99"/>
      <x:c r="N159" s="99"/>
      <x:c r="O159" s="99"/>
      <x:c r="P159" s="99"/>
      <x:c r="Q159" s="99"/>
      <x:c r="R159" s="99"/>
      <x:c r="S159" s="99"/>
      <x:c r="T159" s="99"/>
      <x:c r="U159" s="99"/>
      <x:c r="V159" s="99"/>
      <x:c r="W159" s="99"/>
      <x:c r="X159" s="99"/>
      <x:c r="Y159" s="99"/>
      <x:c r="Z159" s="99"/>
    </x:row>
    <x:row r="160">
      <x:c r="A160" s="99"/>
      <x:c r="B160" s="99"/>
      <x:c r="C160" s="99"/>
      <x:c r="D160" s="99"/>
      <x:c r="E160" s="99"/>
      <x:c r="F160" s="99"/>
      <x:c r="G160" s="99"/>
      <x:c r="H160" s="99"/>
      <x:c r="I160" s="99"/>
      <x:c r="J160" s="99"/>
      <x:c r="K160" s="99"/>
      <x:c r="L160" s="99"/>
      <x:c r="M160" s="99"/>
      <x:c r="N160" s="99"/>
      <x:c r="O160" s="99"/>
      <x:c r="P160" s="99"/>
      <x:c r="Q160" s="99"/>
      <x:c r="R160" s="99"/>
      <x:c r="S160" s="99"/>
      <x:c r="T160" s="99"/>
      <x:c r="U160" s="99"/>
      <x:c r="V160" s="99"/>
      <x:c r="W160" s="99"/>
      <x:c r="X160" s="99"/>
      <x:c r="Y160" s="99"/>
      <x:c r="Z160" s="99"/>
    </x:row>
    <x:row r="161">
      <x:c r="A161" s="99"/>
      <x:c r="B161" s="99"/>
      <x:c r="C161" s="99"/>
      <x:c r="D161" s="99"/>
      <x:c r="E161" s="99"/>
      <x:c r="F161" s="99"/>
      <x:c r="G161" s="99"/>
      <x:c r="H161" s="99"/>
      <x:c r="I161" s="99"/>
      <x:c r="J161" s="99"/>
      <x:c r="K161" s="99"/>
      <x:c r="L161" s="99"/>
      <x:c r="M161" s="99"/>
      <x:c r="N161" s="99"/>
      <x:c r="O161" s="99"/>
      <x:c r="P161" s="99"/>
      <x:c r="Q161" s="99"/>
      <x:c r="R161" s="99"/>
      <x:c r="S161" s="99"/>
      <x:c r="T161" s="99"/>
      <x:c r="U161" s="99"/>
      <x:c r="V161" s="99"/>
      <x:c r="W161" s="99"/>
      <x:c r="X161" s="99"/>
      <x:c r="Y161" s="99"/>
      <x:c r="Z161" s="99"/>
    </x:row>
    <x:row r="162">
      <x:c r="A162" s="99"/>
      <x:c r="B162" s="99"/>
      <x:c r="C162" s="99"/>
      <x:c r="D162" s="99"/>
      <x:c r="E162" s="99"/>
      <x:c r="F162" s="99"/>
      <x:c r="G162" s="99"/>
      <x:c r="H162" s="99"/>
      <x:c r="I162" s="99"/>
      <x:c r="J162" s="99"/>
      <x:c r="K162" s="99"/>
      <x:c r="L162" s="99"/>
      <x:c r="M162" s="99"/>
      <x:c r="N162" s="99"/>
      <x:c r="O162" s="99"/>
      <x:c r="P162" s="99"/>
      <x:c r="Q162" s="99"/>
      <x:c r="R162" s="99"/>
      <x:c r="S162" s="99"/>
      <x:c r="T162" s="99"/>
      <x:c r="U162" s="99"/>
      <x:c r="V162" s="99"/>
      <x:c r="W162" s="99"/>
      <x:c r="X162" s="99"/>
      <x:c r="Y162" s="99"/>
      <x:c r="Z162" s="99"/>
    </x:row>
    <x:row r="163">
      <x:c r="A163" s="99"/>
      <x:c r="B163" s="99"/>
      <x:c r="C163" s="99"/>
      <x:c r="D163" s="99"/>
      <x:c r="E163" s="99"/>
      <x:c r="F163" s="99"/>
      <x:c r="G163" s="99"/>
      <x:c r="H163" s="99"/>
      <x:c r="I163" s="99"/>
      <x:c r="J163" s="99"/>
      <x:c r="K163" s="99"/>
      <x:c r="L163" s="99"/>
      <x:c r="M163" s="99"/>
      <x:c r="N163" s="99"/>
      <x:c r="O163" s="99"/>
      <x:c r="P163" s="99"/>
      <x:c r="Q163" s="99"/>
      <x:c r="R163" s="99"/>
      <x:c r="S163" s="99"/>
      <x:c r="T163" s="99"/>
      <x:c r="U163" s="99"/>
      <x:c r="V163" s="99"/>
      <x:c r="W163" s="99"/>
      <x:c r="X163" s="99"/>
      <x:c r="Y163" s="99"/>
      <x:c r="Z163" s="99"/>
    </x:row>
    <x:row r="164">
      <x:c r="A164" s="99"/>
      <x:c r="B164" s="99"/>
      <x:c r="C164" s="99"/>
      <x:c r="D164" s="99"/>
      <x:c r="E164" s="99"/>
      <x:c r="F164" s="99"/>
      <x:c r="G164" s="99"/>
      <x:c r="H164" s="99"/>
      <x:c r="I164" s="99"/>
      <x:c r="J164" s="99"/>
      <x:c r="K164" s="99"/>
      <x:c r="L164" s="99"/>
      <x:c r="M164" s="99"/>
      <x:c r="N164" s="99"/>
      <x:c r="O164" s="99"/>
      <x:c r="P164" s="99"/>
      <x:c r="Q164" s="99"/>
      <x:c r="R164" s="99"/>
      <x:c r="S164" s="99"/>
      <x:c r="T164" s="99"/>
      <x:c r="U164" s="99"/>
      <x:c r="V164" s="99"/>
      <x:c r="W164" s="99"/>
      <x:c r="X164" s="99"/>
      <x:c r="Y164" s="99"/>
      <x:c r="Z164" s="99"/>
    </x:row>
    <x:row r="165">
      <x:c r="A165" s="99"/>
      <x:c r="B165" s="99"/>
      <x:c r="C165" s="99"/>
      <x:c r="D165" s="99"/>
      <x:c r="E165" s="99"/>
      <x:c r="F165" s="99"/>
      <x:c r="G165" s="99"/>
      <x:c r="H165" s="99"/>
      <x:c r="I165" s="99"/>
      <x:c r="J165" s="99"/>
      <x:c r="K165" s="99"/>
      <x:c r="L165" s="99"/>
      <x:c r="M165" s="99"/>
      <x:c r="N165" s="99"/>
      <x:c r="O165" s="99"/>
      <x:c r="P165" s="99"/>
      <x:c r="Q165" s="99"/>
      <x:c r="R165" s="99"/>
      <x:c r="S165" s="99"/>
      <x:c r="T165" s="99"/>
      <x:c r="U165" s="99"/>
      <x:c r="V165" s="99"/>
      <x:c r="W165" s="99"/>
      <x:c r="X165" s="99"/>
      <x:c r="Y165" s="99"/>
      <x:c r="Z165" s="99"/>
    </x:row>
    <x:row r="166">
      <x:c r="A166" s="99"/>
      <x:c r="B166" s="99"/>
      <x:c r="C166" s="99"/>
      <x:c r="D166" s="99"/>
      <x:c r="E166" s="99"/>
      <x:c r="F166" s="99"/>
      <x:c r="G166" s="99"/>
      <x:c r="H166" s="99"/>
      <x:c r="I166" s="99"/>
      <x:c r="J166" s="99"/>
      <x:c r="K166" s="99"/>
      <x:c r="L166" s="99"/>
      <x:c r="M166" s="99"/>
      <x:c r="N166" s="99"/>
      <x:c r="O166" s="99"/>
      <x:c r="P166" s="99"/>
      <x:c r="Q166" s="99"/>
      <x:c r="R166" s="99"/>
      <x:c r="S166" s="99"/>
      <x:c r="T166" s="99"/>
      <x:c r="U166" s="99"/>
      <x:c r="V166" s="99"/>
      <x:c r="W166" s="99"/>
      <x:c r="X166" s="99"/>
      <x:c r="Y166" s="99"/>
      <x:c r="Z166" s="99"/>
    </x:row>
    <x:row r="167">
      <x:c r="A167" s="99"/>
      <x:c r="B167" s="99"/>
      <x:c r="C167" s="99"/>
      <x:c r="D167" s="99"/>
      <x:c r="E167" s="99"/>
      <x:c r="F167" s="99"/>
      <x:c r="G167" s="99"/>
      <x:c r="H167" s="99"/>
      <x:c r="I167" s="99"/>
      <x:c r="J167" s="99"/>
      <x:c r="K167" s="99"/>
      <x:c r="L167" s="99"/>
      <x:c r="M167" s="99"/>
      <x:c r="N167" s="99"/>
      <x:c r="O167" s="99"/>
      <x:c r="P167" s="99"/>
      <x:c r="Q167" s="99"/>
      <x:c r="R167" s="99"/>
      <x:c r="S167" s="99"/>
      <x:c r="T167" s="99"/>
      <x:c r="U167" s="99"/>
      <x:c r="V167" s="99"/>
      <x:c r="W167" s="99"/>
      <x:c r="X167" s="99"/>
      <x:c r="Y167" s="99"/>
      <x:c r="Z167" s="99"/>
    </x:row>
    <x:row r="168">
      <x:c r="A168" s="99"/>
      <x:c r="B168" s="99"/>
      <x:c r="C168" s="99"/>
      <x:c r="D168" s="99"/>
      <x:c r="E168" s="99"/>
      <x:c r="F168" s="99"/>
      <x:c r="G168" s="99"/>
      <x:c r="H168" s="99"/>
      <x:c r="I168" s="99"/>
      <x:c r="J168" s="99"/>
      <x:c r="K168" s="99"/>
      <x:c r="L168" s="99"/>
      <x:c r="M168" s="99"/>
      <x:c r="N168" s="99"/>
      <x:c r="O168" s="99"/>
      <x:c r="P168" s="99"/>
      <x:c r="Q168" s="99"/>
      <x:c r="R168" s="99"/>
      <x:c r="S168" s="99"/>
      <x:c r="T168" s="99"/>
      <x:c r="U168" s="99"/>
      <x:c r="V168" s="99"/>
      <x:c r="W168" s="99"/>
      <x:c r="X168" s="99"/>
      <x:c r="Y168" s="99"/>
      <x:c r="Z168" s="99"/>
    </x:row>
    <x:row r="169">
      <x:c r="A169" s="99"/>
      <x:c r="B169" s="99"/>
      <x:c r="C169" s="99"/>
      <x:c r="D169" s="99"/>
      <x:c r="E169" s="99"/>
      <x:c r="F169" s="99"/>
      <x:c r="G169" s="99"/>
      <x:c r="H169" s="99"/>
      <x:c r="I169" s="99"/>
      <x:c r="J169" s="99"/>
      <x:c r="K169" s="99"/>
      <x:c r="L169" s="99"/>
      <x:c r="M169" s="99"/>
      <x:c r="N169" s="99"/>
      <x:c r="O169" s="99"/>
      <x:c r="P169" s="99"/>
      <x:c r="Q169" s="99"/>
      <x:c r="R169" s="99"/>
      <x:c r="S169" s="99"/>
      <x:c r="T169" s="99"/>
      <x:c r="U169" s="99"/>
      <x:c r="V169" s="99"/>
      <x:c r="W169" s="99"/>
      <x:c r="X169" s="99"/>
      <x:c r="Y169" s="99"/>
      <x:c r="Z169" s="99"/>
    </x:row>
    <x:row r="170">
      <x:c r="A170" s="99"/>
      <x:c r="B170" s="99"/>
      <x:c r="C170" s="99"/>
      <x:c r="D170" s="99"/>
      <x:c r="E170" s="99"/>
      <x:c r="F170" s="99"/>
      <x:c r="G170" s="99"/>
      <x:c r="H170" s="99"/>
      <x:c r="I170" s="99"/>
      <x:c r="J170" s="99"/>
      <x:c r="K170" s="99"/>
      <x:c r="L170" s="99"/>
      <x:c r="M170" s="99"/>
      <x:c r="N170" s="99"/>
      <x:c r="O170" s="99"/>
      <x:c r="P170" s="99"/>
      <x:c r="Q170" s="99"/>
      <x:c r="R170" s="99"/>
      <x:c r="S170" s="99"/>
      <x:c r="T170" s="99"/>
      <x:c r="U170" s="99"/>
      <x:c r="V170" s="99"/>
      <x:c r="W170" s="99"/>
      <x:c r="X170" s="99"/>
      <x:c r="Y170" s="99"/>
      <x:c r="Z170" s="99"/>
    </x:row>
    <x:row r="171">
      <x:c r="A171" s="99"/>
      <x:c r="B171" s="99"/>
      <x:c r="C171" s="99"/>
      <x:c r="D171" s="99"/>
      <x:c r="E171" s="99"/>
      <x:c r="F171" s="99"/>
      <x:c r="G171" s="99"/>
      <x:c r="H171" s="99"/>
      <x:c r="I171" s="99"/>
      <x:c r="J171" s="99"/>
      <x:c r="K171" s="99"/>
      <x:c r="L171" s="99"/>
      <x:c r="M171" s="99"/>
      <x:c r="N171" s="99"/>
      <x:c r="O171" s="99"/>
      <x:c r="P171" s="99"/>
      <x:c r="Q171" s="99"/>
      <x:c r="R171" s="99"/>
      <x:c r="S171" s="99"/>
      <x:c r="T171" s="99"/>
      <x:c r="U171" s="99"/>
      <x:c r="V171" s="99"/>
      <x:c r="W171" s="99"/>
      <x:c r="X171" s="99"/>
      <x:c r="Y171" s="99"/>
      <x:c r="Z171" s="99"/>
    </x:row>
    <x:row r="172">
      <x:c r="A172" s="99"/>
      <x:c r="B172" s="99"/>
      <x:c r="C172" s="99"/>
      <x:c r="D172" s="99"/>
      <x:c r="E172" s="99"/>
      <x:c r="F172" s="99"/>
      <x:c r="G172" s="99"/>
      <x:c r="H172" s="99"/>
      <x:c r="I172" s="99"/>
      <x:c r="J172" s="99"/>
      <x:c r="K172" s="99"/>
      <x:c r="L172" s="99"/>
      <x:c r="M172" s="99"/>
      <x:c r="N172" s="99"/>
      <x:c r="O172" s="99"/>
      <x:c r="P172" s="99"/>
      <x:c r="Q172" s="99"/>
      <x:c r="R172" s="99"/>
      <x:c r="S172" s="99"/>
      <x:c r="T172" s="99"/>
      <x:c r="U172" s="99"/>
      <x:c r="V172" s="99"/>
      <x:c r="W172" s="99"/>
      <x:c r="X172" s="99"/>
      <x:c r="Y172" s="99"/>
      <x:c r="Z172" s="99"/>
    </x:row>
    <x:row r="173">
      <x:c r="A173" s="99"/>
      <x:c r="B173" s="99"/>
      <x:c r="C173" s="99"/>
      <x:c r="D173" s="99"/>
      <x:c r="E173" s="99"/>
      <x:c r="F173" s="99"/>
      <x:c r="G173" s="99"/>
      <x:c r="H173" s="99"/>
      <x:c r="I173" s="99"/>
      <x:c r="J173" s="99"/>
      <x:c r="K173" s="99"/>
      <x:c r="L173" s="99"/>
      <x:c r="M173" s="99"/>
      <x:c r="N173" s="99"/>
      <x:c r="O173" s="99"/>
      <x:c r="P173" s="99"/>
      <x:c r="Q173" s="99"/>
      <x:c r="R173" s="99"/>
      <x:c r="S173" s="99"/>
      <x:c r="T173" s="99"/>
      <x:c r="U173" s="99"/>
      <x:c r="V173" s="99"/>
      <x:c r="W173" s="99"/>
      <x:c r="X173" s="99"/>
      <x:c r="Y173" s="99"/>
      <x:c r="Z173" s="99"/>
    </x:row>
    <x:row r="174">
      <x:c r="A174" s="99"/>
      <x:c r="B174" s="99"/>
      <x:c r="C174" s="99"/>
      <x:c r="D174" s="99"/>
      <x:c r="E174" s="99"/>
      <x:c r="F174" s="99"/>
      <x:c r="G174" s="99"/>
      <x:c r="H174" s="99"/>
      <x:c r="I174" s="99"/>
      <x:c r="J174" s="99"/>
      <x:c r="K174" s="99"/>
      <x:c r="L174" s="99"/>
      <x:c r="M174" s="99"/>
      <x:c r="N174" s="99"/>
      <x:c r="O174" s="99"/>
      <x:c r="P174" s="99"/>
      <x:c r="Q174" s="99"/>
      <x:c r="R174" s="99"/>
      <x:c r="S174" s="99"/>
      <x:c r="T174" s="99"/>
      <x:c r="U174" s="99"/>
      <x:c r="V174" s="99"/>
      <x:c r="W174" s="99"/>
      <x:c r="X174" s="99"/>
      <x:c r="Y174" s="99"/>
      <x:c r="Z174" s="99"/>
    </x:row>
    <x:row r="175">
      <x:c r="A175" s="99"/>
      <x:c r="B175" s="99"/>
      <x:c r="C175" s="99"/>
      <x:c r="D175" s="99"/>
      <x:c r="E175" s="99"/>
      <x:c r="F175" s="99"/>
      <x:c r="G175" s="99"/>
      <x:c r="H175" s="99"/>
      <x:c r="I175" s="99"/>
      <x:c r="J175" s="99"/>
      <x:c r="K175" s="99"/>
      <x:c r="L175" s="99"/>
      <x:c r="M175" s="99"/>
      <x:c r="N175" s="99"/>
      <x:c r="O175" s="99"/>
      <x:c r="P175" s="99"/>
      <x:c r="Q175" s="99"/>
      <x:c r="R175" s="99"/>
      <x:c r="S175" s="99"/>
      <x:c r="T175" s="99"/>
      <x:c r="U175" s="99"/>
      <x:c r="V175" s="99"/>
      <x:c r="W175" s="99"/>
      <x:c r="X175" s="99"/>
      <x:c r="Y175" s="99"/>
      <x:c r="Z175" s="99"/>
    </x:row>
    <x:row r="176">
      <x:c r="A176" s="99"/>
      <x:c r="B176" s="99"/>
      <x:c r="C176" s="99"/>
      <x:c r="D176" s="99"/>
      <x:c r="E176" s="99"/>
      <x:c r="F176" s="99"/>
      <x:c r="G176" s="99"/>
      <x:c r="H176" s="99"/>
      <x:c r="I176" s="99"/>
      <x:c r="J176" s="99"/>
      <x:c r="K176" s="99"/>
      <x:c r="L176" s="99"/>
      <x:c r="M176" s="99"/>
      <x:c r="N176" s="99"/>
      <x:c r="O176" s="99"/>
      <x:c r="P176" s="99"/>
      <x:c r="Q176" s="99"/>
      <x:c r="R176" s="99"/>
      <x:c r="S176" s="99"/>
      <x:c r="T176" s="99"/>
      <x:c r="U176" s="99"/>
      <x:c r="V176" s="99"/>
      <x:c r="W176" s="99"/>
      <x:c r="X176" s="99"/>
      <x:c r="Y176" s="99"/>
      <x:c r="Z176" s="99"/>
    </x:row>
    <x:row r="177">
      <x:c r="A177" s="99"/>
      <x:c r="B177" s="99"/>
      <x:c r="C177" s="99"/>
      <x:c r="D177" s="99"/>
      <x:c r="E177" s="99"/>
      <x:c r="F177" s="99"/>
      <x:c r="G177" s="99"/>
      <x:c r="H177" s="99"/>
      <x:c r="I177" s="99"/>
      <x:c r="J177" s="99"/>
      <x:c r="K177" s="99"/>
      <x:c r="L177" s="99"/>
      <x:c r="M177" s="99"/>
      <x:c r="N177" s="99"/>
      <x:c r="O177" s="99"/>
      <x:c r="P177" s="99"/>
      <x:c r="Q177" s="99"/>
      <x:c r="R177" s="99"/>
      <x:c r="S177" s="99"/>
      <x:c r="T177" s="99"/>
      <x:c r="U177" s="99"/>
      <x:c r="V177" s="99"/>
      <x:c r="W177" s="99"/>
      <x:c r="X177" s="99"/>
      <x:c r="Y177" s="99"/>
      <x:c r="Z177" s="99"/>
    </x:row>
    <x:row r="178">
      <x:c r="A178" s="99"/>
      <x:c r="B178" s="99"/>
      <x:c r="C178" s="99"/>
      <x:c r="D178" s="99"/>
      <x:c r="E178" s="99"/>
      <x:c r="F178" s="99"/>
      <x:c r="G178" s="99"/>
      <x:c r="H178" s="99"/>
      <x:c r="I178" s="99"/>
      <x:c r="J178" s="99"/>
      <x:c r="K178" s="99"/>
      <x:c r="L178" s="99"/>
      <x:c r="M178" s="99"/>
      <x:c r="N178" s="99"/>
      <x:c r="O178" s="99"/>
      <x:c r="P178" s="99"/>
      <x:c r="Q178" s="99"/>
      <x:c r="R178" s="99"/>
      <x:c r="S178" s="99"/>
      <x:c r="T178" s="99"/>
      <x:c r="U178" s="99"/>
      <x:c r="V178" s="99"/>
      <x:c r="W178" s="99"/>
      <x:c r="X178" s="99"/>
      <x:c r="Y178" s="99"/>
      <x:c r="Z178" s="99"/>
    </x:row>
    <x:row r="179">
      <x:c r="A179" s="99"/>
      <x:c r="B179" s="99"/>
      <x:c r="C179" s="99"/>
      <x:c r="D179" s="99"/>
      <x:c r="E179" s="99"/>
      <x:c r="F179" s="99"/>
      <x:c r="G179" s="99"/>
      <x:c r="H179" s="99"/>
      <x:c r="I179" s="99"/>
      <x:c r="J179" s="99"/>
      <x:c r="K179" s="99"/>
      <x:c r="L179" s="99"/>
      <x:c r="M179" s="99"/>
      <x:c r="N179" s="99"/>
      <x:c r="O179" s="99"/>
      <x:c r="P179" s="99"/>
      <x:c r="Q179" s="99"/>
      <x:c r="R179" s="99"/>
      <x:c r="S179" s="99"/>
      <x:c r="T179" s="99"/>
      <x:c r="U179" s="99"/>
      <x:c r="V179" s="99"/>
      <x:c r="W179" s="99"/>
      <x:c r="X179" s="99"/>
      <x:c r="Y179" s="99"/>
      <x:c r="Z179" s="99"/>
    </x:row>
    <x:row r="180">
      <x:c r="A180" s="99"/>
      <x:c r="B180" s="99"/>
      <x:c r="C180" s="99"/>
      <x:c r="D180" s="99"/>
      <x:c r="E180" s="99"/>
      <x:c r="F180" s="99"/>
      <x:c r="G180" s="99"/>
      <x:c r="H180" s="99"/>
      <x:c r="I180" s="99"/>
      <x:c r="J180" s="99"/>
      <x:c r="K180" s="99"/>
      <x:c r="L180" s="99"/>
      <x:c r="M180" s="99"/>
      <x:c r="N180" s="99"/>
      <x:c r="O180" s="99"/>
      <x:c r="P180" s="99"/>
      <x:c r="Q180" s="99"/>
      <x:c r="R180" s="99"/>
      <x:c r="S180" s="99"/>
      <x:c r="T180" s="99"/>
      <x:c r="U180" s="99"/>
      <x:c r="V180" s="99"/>
      <x:c r="W180" s="99"/>
      <x:c r="X180" s="99"/>
      <x:c r="Y180" s="99"/>
      <x:c r="Z180" s="99"/>
    </x:row>
    <x:row r="181">
      <x:c r="A181" s="99"/>
      <x:c r="B181" s="99"/>
      <x:c r="C181" s="99"/>
      <x:c r="D181" s="99"/>
      <x:c r="E181" s="99"/>
      <x:c r="F181" s="99"/>
      <x:c r="G181" s="99"/>
      <x:c r="H181" s="99"/>
      <x:c r="I181" s="99"/>
      <x:c r="J181" s="99"/>
      <x:c r="K181" s="99"/>
      <x:c r="L181" s="99"/>
      <x:c r="M181" s="99"/>
      <x:c r="N181" s="99"/>
      <x:c r="O181" s="99"/>
      <x:c r="P181" s="99"/>
      <x:c r="Q181" s="99"/>
      <x:c r="R181" s="99"/>
      <x:c r="S181" s="99"/>
      <x:c r="T181" s="99"/>
      <x:c r="U181" s="99"/>
      <x:c r="V181" s="99"/>
      <x:c r="W181" s="99"/>
      <x:c r="X181" s="99"/>
      <x:c r="Y181" s="99"/>
      <x:c r="Z181" s="99"/>
    </x:row>
    <x:row r="182">
      <x:c r="A182" s="99"/>
      <x:c r="B182" s="99"/>
      <x:c r="C182" s="99"/>
      <x:c r="D182" s="99"/>
      <x:c r="E182" s="99"/>
      <x:c r="F182" s="99"/>
      <x:c r="G182" s="99"/>
      <x:c r="H182" s="99"/>
      <x:c r="I182" s="99"/>
      <x:c r="J182" s="99"/>
      <x:c r="K182" s="99"/>
      <x:c r="L182" s="99"/>
      <x:c r="M182" s="99"/>
      <x:c r="N182" s="99"/>
      <x:c r="O182" s="99"/>
      <x:c r="P182" s="99"/>
      <x:c r="Q182" s="99"/>
      <x:c r="R182" s="99"/>
      <x:c r="S182" s="99"/>
      <x:c r="T182" s="99"/>
      <x:c r="U182" s="99"/>
      <x:c r="V182" s="99"/>
      <x:c r="W182" s="99"/>
      <x:c r="X182" s="99"/>
      <x:c r="Y182" s="99"/>
      <x:c r="Z182" s="99"/>
    </x:row>
    <x:row r="183">
      <x:c r="A183" s="99"/>
      <x:c r="B183" s="99"/>
      <x:c r="C183" s="99"/>
      <x:c r="D183" s="99"/>
      <x:c r="E183" s="99"/>
      <x:c r="F183" s="99"/>
      <x:c r="G183" s="99"/>
      <x:c r="H183" s="99"/>
      <x:c r="I183" s="99"/>
      <x:c r="J183" s="99"/>
      <x:c r="K183" s="99"/>
      <x:c r="L183" s="99"/>
      <x:c r="M183" s="99"/>
      <x:c r="N183" s="99"/>
      <x:c r="O183" s="99"/>
      <x:c r="P183" s="99"/>
      <x:c r="Q183" s="99"/>
      <x:c r="R183" s="99"/>
      <x:c r="S183" s="99"/>
      <x:c r="T183" s="99"/>
      <x:c r="U183" s="99"/>
      <x:c r="V183" s="99"/>
      <x:c r="W183" s="99"/>
      <x:c r="X183" s="99"/>
      <x:c r="Y183" s="99"/>
      <x:c r="Z183" s="99"/>
    </x:row>
    <x:row r="184">
      <x:c r="A184" s="99"/>
      <x:c r="B184" s="99"/>
      <x:c r="C184" s="99"/>
      <x:c r="D184" s="99"/>
      <x:c r="E184" s="99"/>
      <x:c r="F184" s="99"/>
      <x:c r="G184" s="99"/>
      <x:c r="H184" s="99"/>
      <x:c r="I184" s="99"/>
      <x:c r="J184" s="99"/>
      <x:c r="K184" s="99"/>
      <x:c r="L184" s="99"/>
      <x:c r="M184" s="99"/>
      <x:c r="N184" s="99"/>
      <x:c r="O184" s="99"/>
      <x:c r="P184" s="99"/>
      <x:c r="Q184" s="99"/>
      <x:c r="R184" s="99"/>
      <x:c r="S184" s="99"/>
      <x:c r="T184" s="99"/>
      <x:c r="U184" s="99"/>
      <x:c r="V184" s="99"/>
      <x:c r="W184" s="99"/>
      <x:c r="X184" s="99"/>
      <x:c r="Y184" s="99"/>
      <x:c r="Z184" s="99"/>
    </x:row>
    <x:row r="185">
      <x:c r="A185" s="99"/>
      <x:c r="B185" s="99"/>
      <x:c r="C185" s="99"/>
      <x:c r="D185" s="99"/>
      <x:c r="E185" s="99"/>
      <x:c r="F185" s="99"/>
      <x:c r="G185" s="99"/>
      <x:c r="H185" s="99"/>
      <x:c r="I185" s="99"/>
      <x:c r="J185" s="99"/>
      <x:c r="K185" s="99"/>
      <x:c r="L185" s="99"/>
      <x:c r="M185" s="99"/>
      <x:c r="N185" s="99"/>
      <x:c r="O185" s="99"/>
      <x:c r="P185" s="99"/>
      <x:c r="Q185" s="99"/>
      <x:c r="R185" s="99"/>
      <x:c r="S185" s="99"/>
      <x:c r="T185" s="99"/>
      <x:c r="U185" s="99"/>
      <x:c r="V185" s="99"/>
      <x:c r="W185" s="99"/>
      <x:c r="X185" s="99"/>
      <x:c r="Y185" s="99"/>
      <x:c r="Z185" s="99"/>
    </x:row>
    <x:row r="186">
      <x:c r="A186" s="99"/>
      <x:c r="B186" s="99"/>
      <x:c r="C186" s="99"/>
      <x:c r="D186" s="99"/>
      <x:c r="E186" s="99"/>
      <x:c r="F186" s="99"/>
      <x:c r="G186" s="99"/>
      <x:c r="H186" s="99"/>
      <x:c r="I186" s="99"/>
      <x:c r="J186" s="99"/>
      <x:c r="K186" s="99"/>
      <x:c r="L186" s="99"/>
      <x:c r="M186" s="99"/>
      <x:c r="N186" s="99"/>
      <x:c r="O186" s="99"/>
      <x:c r="P186" s="99"/>
      <x:c r="Q186" s="99"/>
      <x:c r="R186" s="99"/>
      <x:c r="S186" s="99"/>
      <x:c r="T186" s="99"/>
      <x:c r="U186" s="99"/>
      <x:c r="V186" s="99"/>
      <x:c r="W186" s="99"/>
      <x:c r="X186" s="99"/>
      <x:c r="Y186" s="99"/>
      <x:c r="Z186" s="99"/>
    </x:row>
    <x:row r="187">
      <x:c r="A187" s="99"/>
      <x:c r="B187" s="99"/>
      <x:c r="C187" s="99"/>
      <x:c r="D187" s="99"/>
      <x:c r="E187" s="99"/>
      <x:c r="F187" s="99"/>
      <x:c r="G187" s="99"/>
      <x:c r="H187" s="99"/>
      <x:c r="I187" s="99"/>
      <x:c r="J187" s="99"/>
      <x:c r="K187" s="99"/>
      <x:c r="L187" s="99"/>
      <x:c r="M187" s="99"/>
      <x:c r="N187" s="99"/>
      <x:c r="O187" s="99"/>
      <x:c r="P187" s="99"/>
      <x:c r="Q187" s="99"/>
      <x:c r="R187" s="99"/>
      <x:c r="S187" s="99"/>
      <x:c r="T187" s="99"/>
      <x:c r="U187" s="99"/>
      <x:c r="V187" s="99"/>
      <x:c r="W187" s="99"/>
      <x:c r="X187" s="99"/>
      <x:c r="Y187" s="99"/>
      <x:c r="Z187" s="99"/>
    </x:row>
    <x:row r="188">
      <x:c r="A188" s="99"/>
      <x:c r="B188" s="99"/>
      <x:c r="C188" s="99"/>
      <x:c r="D188" s="99"/>
      <x:c r="E188" s="99"/>
      <x:c r="F188" s="99"/>
      <x:c r="G188" s="99"/>
      <x:c r="H188" s="99"/>
      <x:c r="I188" s="99"/>
      <x:c r="J188" s="99"/>
      <x:c r="K188" s="99"/>
      <x:c r="L188" s="99"/>
      <x:c r="M188" s="99"/>
      <x:c r="N188" s="99"/>
      <x:c r="O188" s="99"/>
      <x:c r="P188" s="99"/>
      <x:c r="Q188" s="99"/>
      <x:c r="R188" s="99"/>
      <x:c r="S188" s="99"/>
      <x:c r="T188" s="99"/>
      <x:c r="U188" s="99"/>
      <x:c r="V188" s="99"/>
      <x:c r="W188" s="99"/>
      <x:c r="X188" s="99"/>
      <x:c r="Y188" s="99"/>
      <x:c r="Z188" s="99"/>
    </x:row>
    <x:row r="189">
      <x:c r="A189" s="99"/>
      <x:c r="B189" s="99"/>
      <x:c r="C189" s="99"/>
      <x:c r="D189" s="99"/>
      <x:c r="E189" s="99"/>
      <x:c r="F189" s="99"/>
      <x:c r="G189" s="99"/>
      <x:c r="H189" s="99"/>
      <x:c r="I189" s="99"/>
      <x:c r="J189" s="99"/>
      <x:c r="K189" s="99"/>
      <x:c r="L189" s="99"/>
      <x:c r="M189" s="99"/>
      <x:c r="N189" s="99"/>
      <x:c r="O189" s="99"/>
      <x:c r="P189" s="99"/>
      <x:c r="Q189" s="99"/>
      <x:c r="R189" s="99"/>
      <x:c r="S189" s="99"/>
      <x:c r="T189" s="99"/>
      <x:c r="U189" s="99"/>
      <x:c r="V189" s="99"/>
      <x:c r="W189" s="99"/>
      <x:c r="X189" s="99"/>
      <x:c r="Y189" s="99"/>
      <x:c r="Z189" s="99"/>
    </x:row>
    <x:row r="190">
      <x:c r="A190" s="99"/>
      <x:c r="B190" s="99"/>
      <x:c r="C190" s="99"/>
      <x:c r="D190" s="99"/>
      <x:c r="E190" s="99"/>
      <x:c r="F190" s="99"/>
      <x:c r="G190" s="99"/>
      <x:c r="H190" s="99"/>
      <x:c r="I190" s="99"/>
      <x:c r="J190" s="99"/>
      <x:c r="K190" s="99"/>
      <x:c r="L190" s="99"/>
      <x:c r="M190" s="99"/>
      <x:c r="N190" s="99"/>
      <x:c r="O190" s="99"/>
      <x:c r="P190" s="99"/>
      <x:c r="Q190" s="99"/>
      <x:c r="R190" s="99"/>
      <x:c r="S190" s="99"/>
      <x:c r="T190" s="99"/>
      <x:c r="U190" s="99"/>
      <x:c r="V190" s="99"/>
      <x:c r="W190" s="99"/>
      <x:c r="X190" s="99"/>
      <x:c r="Y190" s="99"/>
      <x:c r="Z190" s="99"/>
    </x:row>
    <x:row r="191">
      <x:c r="A191" s="99"/>
      <x:c r="B191" s="99"/>
      <x:c r="C191" s="99"/>
      <x:c r="D191" s="99"/>
      <x:c r="E191" s="99"/>
      <x:c r="F191" s="99"/>
      <x:c r="G191" s="99"/>
      <x:c r="H191" s="99"/>
      <x:c r="I191" s="99"/>
      <x:c r="J191" s="99"/>
      <x:c r="K191" s="99"/>
      <x:c r="L191" s="99"/>
      <x:c r="M191" s="99"/>
      <x:c r="N191" s="99"/>
      <x:c r="O191" s="99"/>
      <x:c r="P191" s="99"/>
      <x:c r="Q191" s="99"/>
      <x:c r="R191" s="99"/>
      <x:c r="S191" s="99"/>
      <x:c r="T191" s="99"/>
      <x:c r="U191" s="99"/>
      <x:c r="V191" s="99"/>
      <x:c r="W191" s="99"/>
      <x:c r="X191" s="99"/>
      <x:c r="Y191" s="99"/>
      <x:c r="Z191" s="99"/>
    </x:row>
    <x:row r="192">
      <x:c r="A192" s="99"/>
      <x:c r="B192" s="99"/>
      <x:c r="C192" s="99"/>
      <x:c r="D192" s="99"/>
      <x:c r="E192" s="99"/>
      <x:c r="F192" s="99"/>
      <x:c r="G192" s="99"/>
      <x:c r="H192" s="99"/>
      <x:c r="I192" s="99"/>
      <x:c r="J192" s="99"/>
      <x:c r="K192" s="99"/>
      <x:c r="L192" s="99"/>
      <x:c r="M192" s="99"/>
      <x:c r="N192" s="99"/>
      <x:c r="O192" s="99"/>
      <x:c r="P192" s="99"/>
      <x:c r="Q192" s="99"/>
      <x:c r="R192" s="99"/>
      <x:c r="S192" s="99"/>
      <x:c r="T192" s="99"/>
      <x:c r="U192" s="99"/>
      <x:c r="V192" s="99"/>
      <x:c r="W192" s="99"/>
      <x:c r="X192" s="99"/>
      <x:c r="Y192" s="99"/>
      <x:c r="Z192" s="99"/>
    </x:row>
    <x:row r="193">
      <x:c r="A193" s="99"/>
      <x:c r="B193" s="99"/>
      <x:c r="C193" s="99"/>
      <x:c r="D193" s="99"/>
      <x:c r="E193" s="99"/>
      <x:c r="F193" s="99"/>
      <x:c r="G193" s="99"/>
      <x:c r="H193" s="99"/>
      <x:c r="I193" s="99"/>
      <x:c r="J193" s="99"/>
      <x:c r="K193" s="99"/>
      <x:c r="L193" s="99"/>
      <x:c r="M193" s="99"/>
      <x:c r="N193" s="99"/>
      <x:c r="O193" s="99"/>
      <x:c r="P193" s="99"/>
      <x:c r="Q193" s="99"/>
      <x:c r="R193" s="99"/>
      <x:c r="S193" s="99"/>
      <x:c r="T193" s="99"/>
      <x:c r="U193" s="99"/>
      <x:c r="V193" s="99"/>
      <x:c r="W193" s="99"/>
      <x:c r="X193" s="99"/>
      <x:c r="Y193" s="99"/>
      <x:c r="Z193" s="99"/>
    </x:row>
    <x:row r="194">
      <x:c r="A194" s="99"/>
      <x:c r="B194" s="99"/>
      <x:c r="C194" s="99"/>
      <x:c r="D194" s="99"/>
      <x:c r="E194" s="99"/>
      <x:c r="F194" s="99"/>
      <x:c r="G194" s="99"/>
      <x:c r="H194" s="99"/>
      <x:c r="I194" s="99"/>
      <x:c r="J194" s="99"/>
      <x:c r="K194" s="99"/>
      <x:c r="L194" s="99"/>
      <x:c r="M194" s="99"/>
      <x:c r="N194" s="99"/>
      <x:c r="O194" s="99"/>
      <x:c r="P194" s="99"/>
      <x:c r="Q194" s="99"/>
      <x:c r="R194" s="99"/>
      <x:c r="S194" s="99"/>
      <x:c r="T194" s="99"/>
      <x:c r="U194" s="99"/>
      <x:c r="V194" s="99"/>
      <x:c r="W194" s="99"/>
      <x:c r="X194" s="99"/>
      <x:c r="Y194" s="99"/>
      <x:c r="Z194" s="99"/>
    </x:row>
    <x:row r="195">
      <x:c r="A195" s="99"/>
      <x:c r="B195" s="99"/>
      <x:c r="C195" s="99"/>
      <x:c r="D195" s="99"/>
      <x:c r="E195" s="99"/>
      <x:c r="F195" s="99"/>
      <x:c r="G195" s="99"/>
      <x:c r="H195" s="99"/>
      <x:c r="I195" s="99"/>
      <x:c r="J195" s="99"/>
      <x:c r="K195" s="99"/>
      <x:c r="L195" s="99"/>
      <x:c r="M195" s="99"/>
      <x:c r="N195" s="99"/>
      <x:c r="O195" s="99"/>
      <x:c r="P195" s="99"/>
      <x:c r="Q195" s="99"/>
      <x:c r="R195" s="99"/>
      <x:c r="S195" s="99"/>
      <x:c r="T195" s="99"/>
      <x:c r="U195" s="99"/>
      <x:c r="V195" s="99"/>
      <x:c r="W195" s="99"/>
      <x:c r="X195" s="99"/>
      <x:c r="Y195" s="99"/>
      <x:c r="Z195" s="99"/>
    </x:row>
    <x:row r="196">
      <x:c r="A196" s="99"/>
      <x:c r="B196" s="99"/>
      <x:c r="C196" s="99"/>
      <x:c r="D196" s="99"/>
      <x:c r="E196" s="99"/>
      <x:c r="F196" s="99"/>
      <x:c r="G196" s="99"/>
      <x:c r="H196" s="99"/>
      <x:c r="I196" s="99"/>
      <x:c r="J196" s="99"/>
      <x:c r="K196" s="99"/>
      <x:c r="L196" s="99"/>
      <x:c r="M196" s="99"/>
      <x:c r="N196" s="99"/>
      <x:c r="O196" s="99"/>
      <x:c r="P196" s="99"/>
      <x:c r="Q196" s="99"/>
      <x:c r="R196" s="99"/>
      <x:c r="S196" s="99"/>
      <x:c r="T196" s="99"/>
      <x:c r="U196" s="99"/>
      <x:c r="V196" s="99"/>
      <x:c r="W196" s="99"/>
      <x:c r="X196" s="99"/>
      <x:c r="Y196" s="99"/>
      <x:c r="Z196" s="99"/>
    </x:row>
    <x:row r="197">
      <x:c r="A197" s="99"/>
      <x:c r="B197" s="99"/>
      <x:c r="C197" s="99"/>
      <x:c r="D197" s="99"/>
      <x:c r="E197" s="99"/>
      <x:c r="F197" s="99"/>
      <x:c r="G197" s="99"/>
      <x:c r="H197" s="99"/>
      <x:c r="I197" s="99"/>
      <x:c r="J197" s="99"/>
      <x:c r="K197" s="99"/>
      <x:c r="L197" s="99"/>
      <x:c r="M197" s="99"/>
      <x:c r="N197" s="99"/>
      <x:c r="O197" s="99"/>
      <x:c r="P197" s="99"/>
      <x:c r="Q197" s="99"/>
      <x:c r="R197" s="99"/>
      <x:c r="S197" s="99"/>
      <x:c r="T197" s="99"/>
      <x:c r="U197" s="99"/>
      <x:c r="V197" s="99"/>
      <x:c r="W197" s="99"/>
      <x:c r="X197" s="99"/>
      <x:c r="Y197" s="99"/>
      <x:c r="Z197" s="99"/>
    </x:row>
    <x:row r="198">
      <x:c r="A198" s="99"/>
      <x:c r="B198" s="99"/>
      <x:c r="C198" s="99"/>
      <x:c r="D198" s="99"/>
      <x:c r="E198" s="99"/>
      <x:c r="F198" s="99"/>
      <x:c r="G198" s="99"/>
      <x:c r="H198" s="99"/>
      <x:c r="I198" s="99"/>
      <x:c r="J198" s="99"/>
      <x:c r="K198" s="99"/>
      <x:c r="L198" s="99"/>
      <x:c r="M198" s="99"/>
      <x:c r="N198" s="99"/>
      <x:c r="O198" s="99"/>
      <x:c r="P198" s="99"/>
      <x:c r="Q198" s="99"/>
      <x:c r="R198" s="99"/>
      <x:c r="S198" s="99"/>
      <x:c r="T198" s="99"/>
      <x:c r="U198" s="99"/>
      <x:c r="V198" s="99"/>
      <x:c r="W198" s="99"/>
      <x:c r="X198" s="99"/>
      <x:c r="Y198" s="99"/>
      <x:c r="Z198" s="99"/>
    </x:row>
    <x:row r="199">
      <x:c r="A199" s="99"/>
      <x:c r="B199" s="99"/>
      <x:c r="C199" s="99"/>
      <x:c r="D199" s="99"/>
      <x:c r="E199" s="99"/>
      <x:c r="F199" s="99"/>
      <x:c r="G199" s="99"/>
      <x:c r="H199" s="99"/>
      <x:c r="I199" s="99"/>
      <x:c r="J199" s="99"/>
      <x:c r="K199" s="99"/>
      <x:c r="L199" s="99"/>
      <x:c r="M199" s="99"/>
      <x:c r="N199" s="99"/>
      <x:c r="O199" s="99"/>
      <x:c r="P199" s="99"/>
      <x:c r="Q199" s="99"/>
      <x:c r="R199" s="99"/>
      <x:c r="S199" s="99"/>
      <x:c r="T199" s="99"/>
      <x:c r="U199" s="99"/>
      <x:c r="V199" s="99"/>
      <x:c r="W199" s="99"/>
      <x:c r="X199" s="99"/>
      <x:c r="Y199" s="99"/>
      <x:c r="Z199" s="99"/>
    </x:row>
    <x:row r="200">
      <x:c r="A200" s="99"/>
      <x:c r="B200" s="99"/>
      <x:c r="C200" s="99"/>
      <x:c r="D200" s="99"/>
      <x:c r="E200" s="99"/>
      <x:c r="F200" s="99"/>
      <x:c r="G200" s="99"/>
      <x:c r="H200" s="99"/>
      <x:c r="I200" s="99"/>
      <x:c r="J200" s="99"/>
      <x:c r="K200" s="99"/>
      <x:c r="L200" s="99"/>
      <x:c r="M200" s="99"/>
      <x:c r="N200" s="99"/>
      <x:c r="O200" s="99"/>
      <x:c r="P200" s="99"/>
      <x:c r="Q200" s="99"/>
      <x:c r="R200" s="99"/>
      <x:c r="S200" s="99"/>
      <x:c r="T200" s="99"/>
      <x:c r="U200" s="99"/>
      <x:c r="V200" s="99"/>
      <x:c r="W200" s="99"/>
      <x:c r="X200" s="99"/>
      <x:c r="Y200" s="99"/>
      <x:c r="Z200" s="99"/>
    </x:row>
    <x:row r="201">
      <x:c r="A201" s="99"/>
      <x:c r="B201" s="99"/>
      <x:c r="C201" s="99"/>
      <x:c r="D201" s="99"/>
      <x:c r="E201" s="99"/>
      <x:c r="F201" s="99"/>
      <x:c r="G201" s="99"/>
      <x:c r="H201" s="99"/>
      <x:c r="I201" s="99"/>
      <x:c r="J201" s="99"/>
      <x:c r="K201" s="99"/>
      <x:c r="L201" s="99"/>
      <x:c r="M201" s="99"/>
      <x:c r="N201" s="99"/>
      <x:c r="O201" s="99"/>
      <x:c r="P201" s="99"/>
      <x:c r="Q201" s="99"/>
      <x:c r="R201" s="99"/>
      <x:c r="S201" s="99"/>
      <x:c r="T201" s="99"/>
      <x:c r="U201" s="99"/>
      <x:c r="V201" s="99"/>
      <x:c r="W201" s="99"/>
      <x:c r="X201" s="99"/>
      <x:c r="Y201" s="99"/>
      <x:c r="Z201" s="99"/>
    </x:row>
    <x:row r="202">
      <x:c r="A202" s="99"/>
      <x:c r="B202" s="99"/>
      <x:c r="C202" s="99"/>
      <x:c r="D202" s="99"/>
      <x:c r="E202" s="99"/>
      <x:c r="F202" s="99"/>
      <x:c r="G202" s="99"/>
      <x:c r="H202" s="99"/>
      <x:c r="I202" s="99"/>
      <x:c r="J202" s="99"/>
      <x:c r="K202" s="99"/>
      <x:c r="L202" s="99"/>
      <x:c r="M202" s="99"/>
      <x:c r="N202" s="99"/>
      <x:c r="O202" s="99"/>
      <x:c r="P202" s="99"/>
      <x:c r="Q202" s="99"/>
      <x:c r="R202" s="99"/>
      <x:c r="S202" s="99"/>
      <x:c r="T202" s="99"/>
      <x:c r="U202" s="99"/>
      <x:c r="V202" s="99"/>
      <x:c r="W202" s="99"/>
      <x:c r="X202" s="99"/>
      <x:c r="Y202" s="99"/>
      <x:c r="Z202" s="99"/>
    </x:row>
    <x:row r="203">
      <x:c r="A203" s="99"/>
      <x:c r="B203" s="99"/>
      <x:c r="C203" s="99"/>
      <x:c r="D203" s="99"/>
      <x:c r="E203" s="99"/>
      <x:c r="F203" s="99"/>
      <x:c r="G203" s="99"/>
      <x:c r="H203" s="99"/>
      <x:c r="I203" s="99"/>
      <x:c r="J203" s="99"/>
      <x:c r="K203" s="99"/>
      <x:c r="L203" s="99"/>
      <x:c r="M203" s="99"/>
      <x:c r="N203" s="99"/>
      <x:c r="O203" s="99"/>
      <x:c r="P203" s="99"/>
      <x:c r="Q203" s="99"/>
      <x:c r="R203" s="99"/>
      <x:c r="S203" s="99"/>
      <x:c r="T203" s="99"/>
      <x:c r="U203" s="99"/>
      <x:c r="V203" s="99"/>
      <x:c r="W203" s="99"/>
      <x:c r="X203" s="99"/>
      <x:c r="Y203" s="99"/>
      <x:c r="Z203" s="99"/>
    </x:row>
    <x:row r="204">
      <x:c r="A204" s="99"/>
      <x:c r="B204" s="99"/>
      <x:c r="C204" s="99"/>
      <x:c r="D204" s="99"/>
      <x:c r="E204" s="99"/>
      <x:c r="F204" s="99"/>
      <x:c r="G204" s="99"/>
      <x:c r="H204" s="99"/>
      <x:c r="I204" s="99"/>
      <x:c r="J204" s="99"/>
      <x:c r="K204" s="99"/>
      <x:c r="L204" s="99"/>
      <x:c r="M204" s="99"/>
      <x:c r="N204" s="99"/>
      <x:c r="O204" s="99"/>
      <x:c r="P204" s="99"/>
      <x:c r="Q204" s="99"/>
      <x:c r="R204" s="99"/>
      <x:c r="S204" s="99"/>
      <x:c r="T204" s="99"/>
      <x:c r="U204" s="99"/>
      <x:c r="V204" s="99"/>
      <x:c r="W204" s="99"/>
      <x:c r="X204" s="99"/>
      <x:c r="Y204" s="99"/>
      <x:c r="Z204" s="99"/>
    </x:row>
    <x:row r="205">
      <x:c r="A205" s="99"/>
      <x:c r="B205" s="99"/>
      <x:c r="C205" s="99"/>
      <x:c r="D205" s="99"/>
      <x:c r="E205" s="99"/>
      <x:c r="F205" s="99"/>
      <x:c r="G205" s="99"/>
      <x:c r="H205" s="99"/>
      <x:c r="I205" s="99"/>
      <x:c r="J205" s="99"/>
      <x:c r="K205" s="99"/>
      <x:c r="L205" s="99"/>
      <x:c r="M205" s="99"/>
      <x:c r="N205" s="99"/>
      <x:c r="O205" s="99"/>
      <x:c r="P205" s="99"/>
      <x:c r="Q205" s="99"/>
      <x:c r="R205" s="99"/>
      <x:c r="S205" s="99"/>
      <x:c r="T205" s="99"/>
      <x:c r="U205" s="99"/>
      <x:c r="V205" s="99"/>
      <x:c r="W205" s="99"/>
      <x:c r="X205" s="99"/>
      <x:c r="Y205" s="99"/>
      <x:c r="Z205" s="99"/>
    </x:row>
    <x:row r="206">
      <x:c r="A206" s="99"/>
      <x:c r="B206" s="99"/>
      <x:c r="C206" s="99"/>
      <x:c r="D206" s="99"/>
      <x:c r="E206" s="99"/>
      <x:c r="F206" s="99"/>
      <x:c r="G206" s="99"/>
      <x:c r="H206" s="99"/>
      <x:c r="I206" s="99"/>
      <x:c r="J206" s="99"/>
      <x:c r="K206" s="99"/>
      <x:c r="L206" s="99"/>
      <x:c r="M206" s="99"/>
      <x:c r="N206" s="99"/>
      <x:c r="O206" s="99"/>
      <x:c r="P206" s="99"/>
      <x:c r="Q206" s="99"/>
      <x:c r="R206" s="99"/>
      <x:c r="S206" s="99"/>
      <x:c r="T206" s="99"/>
      <x:c r="U206" s="99"/>
      <x:c r="V206" s="99"/>
      <x:c r="W206" s="99"/>
      <x:c r="X206" s="99"/>
      <x:c r="Y206" s="99"/>
      <x:c r="Z206" s="99"/>
    </x:row>
    <x:row r="207">
      <x:c r="A207" s="99"/>
      <x:c r="B207" s="99"/>
      <x:c r="C207" s="99"/>
      <x:c r="D207" s="99"/>
      <x:c r="E207" s="99"/>
      <x:c r="F207" s="99"/>
      <x:c r="G207" s="99"/>
      <x:c r="H207" s="99"/>
      <x:c r="I207" s="99"/>
      <x:c r="J207" s="99"/>
      <x:c r="K207" s="99"/>
      <x:c r="L207" s="99"/>
      <x:c r="M207" s="99"/>
      <x:c r="N207" s="99"/>
      <x:c r="O207" s="99"/>
      <x:c r="P207" s="99"/>
      <x:c r="Q207" s="99"/>
      <x:c r="R207" s="99"/>
      <x:c r="S207" s="99"/>
      <x:c r="T207" s="99"/>
      <x:c r="U207" s="99"/>
      <x:c r="V207" s="99"/>
      <x:c r="W207" s="99"/>
      <x:c r="X207" s="99"/>
      <x:c r="Y207" s="99"/>
      <x:c r="Z207" s="99"/>
    </x:row>
    <x:row r="208">
      <x:c r="A208" s="99"/>
      <x:c r="B208" s="99"/>
      <x:c r="C208" s="99"/>
      <x:c r="D208" s="99"/>
      <x:c r="E208" s="99"/>
      <x:c r="F208" s="99"/>
      <x:c r="G208" s="99"/>
      <x:c r="H208" s="99"/>
      <x:c r="I208" s="99"/>
      <x:c r="J208" s="99"/>
      <x:c r="K208" s="99"/>
      <x:c r="L208" s="99"/>
      <x:c r="M208" s="99"/>
      <x:c r="N208" s="99"/>
      <x:c r="O208" s="99"/>
      <x:c r="P208" s="99"/>
      <x:c r="Q208" s="99"/>
      <x:c r="R208" s="99"/>
      <x:c r="S208" s="99"/>
      <x:c r="T208" s="99"/>
      <x:c r="U208" s="99"/>
      <x:c r="V208" s="99"/>
      <x:c r="W208" s="99"/>
      <x:c r="X208" s="99"/>
      <x:c r="Y208" s="99"/>
      <x:c r="Z208" s="99"/>
    </x:row>
    <x:row r="209">
      <x:c r="A209" s="99"/>
      <x:c r="B209" s="99"/>
      <x:c r="C209" s="99"/>
      <x:c r="D209" s="99"/>
      <x:c r="E209" s="99"/>
      <x:c r="F209" s="99"/>
      <x:c r="G209" s="99"/>
      <x:c r="H209" s="99"/>
      <x:c r="I209" s="99"/>
      <x:c r="J209" s="99"/>
      <x:c r="K209" s="99"/>
      <x:c r="L209" s="99"/>
      <x:c r="M209" s="99"/>
      <x:c r="N209" s="99"/>
      <x:c r="O209" s="99"/>
      <x:c r="P209" s="99"/>
      <x:c r="Q209" s="99"/>
      <x:c r="R209" s="99"/>
      <x:c r="S209" s="99"/>
      <x:c r="T209" s="99"/>
      <x:c r="U209" s="99"/>
      <x:c r="V209" s="99"/>
      <x:c r="W209" s="99"/>
      <x:c r="X209" s="99"/>
      <x:c r="Y209" s="99"/>
      <x:c r="Z209" s="99"/>
    </x:row>
    <x:row r="210">
      <x:c r="A210" s="99"/>
      <x:c r="B210" s="99"/>
      <x:c r="C210" s="99"/>
      <x:c r="D210" s="99"/>
      <x:c r="E210" s="99"/>
      <x:c r="F210" s="99"/>
      <x:c r="G210" s="99"/>
      <x:c r="H210" s="99"/>
      <x:c r="I210" s="99"/>
      <x:c r="J210" s="99"/>
      <x:c r="K210" s="99"/>
      <x:c r="L210" s="99"/>
      <x:c r="M210" s="99"/>
      <x:c r="N210" s="99"/>
      <x:c r="O210" s="99"/>
      <x:c r="P210" s="99"/>
      <x:c r="Q210" s="99"/>
      <x:c r="R210" s="99"/>
      <x:c r="S210" s="99"/>
      <x:c r="T210" s="99"/>
      <x:c r="U210" s="99"/>
      <x:c r="V210" s="99"/>
      <x:c r="W210" s="99"/>
      <x:c r="X210" s="99"/>
      <x:c r="Y210" s="99"/>
      <x:c r="Z210" s="99"/>
    </x:row>
    <x:row r="211">
      <x:c r="A211" s="99"/>
      <x:c r="B211" s="99"/>
      <x:c r="C211" s="99"/>
      <x:c r="D211" s="99"/>
      <x:c r="E211" s="99"/>
      <x:c r="F211" s="99"/>
      <x:c r="G211" s="99"/>
      <x:c r="H211" s="99"/>
      <x:c r="I211" s="99"/>
      <x:c r="J211" s="99"/>
      <x:c r="K211" s="99"/>
      <x:c r="L211" s="99"/>
      <x:c r="M211" s="99"/>
      <x:c r="N211" s="99"/>
      <x:c r="O211" s="99"/>
      <x:c r="P211" s="99"/>
      <x:c r="Q211" s="99"/>
      <x:c r="R211" s="99"/>
      <x:c r="S211" s="99"/>
      <x:c r="T211" s="99"/>
      <x:c r="U211" s="99"/>
      <x:c r="V211" s="99"/>
      <x:c r="W211" s="99"/>
      <x:c r="X211" s="99"/>
      <x:c r="Y211" s="99"/>
      <x:c r="Z211" s="99"/>
    </x:row>
    <x:row r="212">
      <x:c r="A212" s="99"/>
      <x:c r="B212" s="99"/>
      <x:c r="C212" s="99"/>
      <x:c r="D212" s="99"/>
      <x:c r="E212" s="99"/>
      <x:c r="F212" s="99"/>
      <x:c r="G212" s="99"/>
      <x:c r="H212" s="99"/>
      <x:c r="I212" s="99"/>
      <x:c r="J212" s="99"/>
      <x:c r="K212" s="99"/>
      <x:c r="L212" s="99"/>
      <x:c r="M212" s="99"/>
      <x:c r="N212" s="99"/>
      <x:c r="O212" s="99"/>
      <x:c r="P212" s="99"/>
      <x:c r="Q212" s="99"/>
      <x:c r="R212" s="99"/>
      <x:c r="S212" s="99"/>
      <x:c r="T212" s="99"/>
      <x:c r="U212" s="99"/>
      <x:c r="V212" s="99"/>
      <x:c r="W212" s="99"/>
      <x:c r="X212" s="99"/>
      <x:c r="Y212" s="99"/>
      <x:c r="Z212" s="99"/>
    </x:row>
    <x:row r="213">
      <x:c r="A213" s="99"/>
      <x:c r="B213" s="99"/>
      <x:c r="C213" s="99"/>
      <x:c r="D213" s="99"/>
      <x:c r="E213" s="99"/>
      <x:c r="F213" s="99"/>
      <x:c r="G213" s="99"/>
      <x:c r="H213" s="99"/>
      <x:c r="I213" s="99"/>
      <x:c r="J213" s="99"/>
      <x:c r="K213" s="99"/>
      <x:c r="L213" s="99"/>
      <x:c r="M213" s="99"/>
      <x:c r="N213" s="99"/>
      <x:c r="O213" s="99"/>
      <x:c r="P213" s="99"/>
      <x:c r="Q213" s="99"/>
      <x:c r="R213" s="99"/>
      <x:c r="S213" s="99"/>
      <x:c r="T213" s="99"/>
      <x:c r="U213" s="99"/>
      <x:c r="V213" s="99"/>
      <x:c r="W213" s="99"/>
      <x:c r="X213" s="99"/>
      <x:c r="Y213" s="99"/>
      <x:c r="Z213" s="99"/>
    </x:row>
    <x:row r="214">
      <x:c r="A214" s="99"/>
      <x:c r="B214" s="99"/>
      <x:c r="C214" s="99"/>
      <x:c r="D214" s="99"/>
      <x:c r="E214" s="99"/>
      <x:c r="F214" s="99"/>
      <x:c r="G214" s="99"/>
      <x:c r="H214" s="99"/>
      <x:c r="I214" s="99"/>
      <x:c r="J214" s="99"/>
      <x:c r="K214" s="99"/>
      <x:c r="L214" s="99"/>
      <x:c r="M214" s="99"/>
      <x:c r="N214" s="99"/>
      <x:c r="O214" s="99"/>
      <x:c r="P214" s="99"/>
      <x:c r="Q214" s="99"/>
      <x:c r="R214" s="99"/>
      <x:c r="S214" s="99"/>
      <x:c r="T214" s="99"/>
      <x:c r="U214" s="99"/>
      <x:c r="V214" s="99"/>
      <x:c r="W214" s="99"/>
      <x:c r="X214" s="99"/>
      <x:c r="Y214" s="99"/>
      <x:c r="Z214" s="99"/>
    </x:row>
    <x:row r="215">
      <x:c r="A215" s="99"/>
      <x:c r="B215" s="99"/>
      <x:c r="C215" s="99"/>
      <x:c r="D215" s="99"/>
      <x:c r="E215" s="99"/>
      <x:c r="F215" s="99"/>
      <x:c r="G215" s="99"/>
      <x:c r="H215" s="99"/>
      <x:c r="I215" s="99"/>
      <x:c r="J215" s="99"/>
      <x:c r="K215" s="99"/>
      <x:c r="L215" s="99"/>
      <x:c r="M215" s="99"/>
      <x:c r="N215" s="99"/>
      <x:c r="O215" s="99"/>
      <x:c r="P215" s="99"/>
      <x:c r="Q215" s="99"/>
      <x:c r="R215" s="99"/>
      <x:c r="S215" s="99"/>
      <x:c r="T215" s="99"/>
      <x:c r="U215" s="99"/>
      <x:c r="V215" s="99"/>
      <x:c r="W215" s="99"/>
      <x:c r="X215" s="99"/>
      <x:c r="Y215" s="99"/>
      <x:c r="Z215" s="99"/>
    </x:row>
    <x:row r="216">
      <x:c r="A216" s="99"/>
      <x:c r="B216" s="99"/>
      <x:c r="C216" s="99"/>
      <x:c r="D216" s="99"/>
      <x:c r="E216" s="99"/>
      <x:c r="F216" s="99"/>
      <x:c r="G216" s="99"/>
      <x:c r="H216" s="99"/>
      <x:c r="I216" s="99"/>
      <x:c r="J216" s="99"/>
      <x:c r="K216" s="99"/>
      <x:c r="L216" s="99"/>
      <x:c r="M216" s="99"/>
      <x:c r="N216" s="99"/>
      <x:c r="O216" s="99"/>
      <x:c r="P216" s="99"/>
      <x:c r="Q216" s="99"/>
      <x:c r="R216" s="99"/>
      <x:c r="S216" s="99"/>
      <x:c r="T216" s="99"/>
      <x:c r="U216" s="99"/>
      <x:c r="V216" s="99"/>
      <x:c r="W216" s="99"/>
      <x:c r="X216" s="99"/>
      <x:c r="Y216" s="99"/>
      <x:c r="Z216" s="99"/>
    </x:row>
    <x:row r="217">
      <x:c r="A217" s="99"/>
      <x:c r="B217" s="99"/>
      <x:c r="C217" s="99"/>
      <x:c r="D217" s="99"/>
      <x:c r="E217" s="99"/>
      <x:c r="F217" s="99"/>
      <x:c r="G217" s="99"/>
      <x:c r="H217" s="99"/>
      <x:c r="I217" s="99"/>
      <x:c r="J217" s="99"/>
      <x:c r="K217" s="99"/>
      <x:c r="L217" s="99"/>
      <x:c r="M217" s="99"/>
      <x:c r="N217" s="99"/>
      <x:c r="O217" s="99"/>
      <x:c r="P217" s="99"/>
      <x:c r="Q217" s="99"/>
      <x:c r="R217" s="99"/>
      <x:c r="S217" s="99"/>
      <x:c r="T217" s="99"/>
      <x:c r="U217" s="99"/>
      <x:c r="V217" s="99"/>
      <x:c r="W217" s="99"/>
      <x:c r="X217" s="99"/>
      <x:c r="Y217" s="99"/>
      <x:c r="Z217" s="99"/>
    </x:row>
    <x:row r="218">
      <x:c r="A218" s="99"/>
      <x:c r="B218" s="99"/>
      <x:c r="C218" s="99"/>
      <x:c r="D218" s="99"/>
      <x:c r="E218" s="99"/>
      <x:c r="F218" s="99"/>
      <x:c r="G218" s="99"/>
      <x:c r="H218" s="99"/>
      <x:c r="I218" s="99"/>
      <x:c r="J218" s="99"/>
      <x:c r="K218" s="99"/>
      <x:c r="L218" s="99"/>
      <x:c r="M218" s="99"/>
      <x:c r="N218" s="99"/>
      <x:c r="O218" s="99"/>
      <x:c r="P218" s="99"/>
      <x:c r="Q218" s="99"/>
      <x:c r="R218" s="99"/>
      <x:c r="S218" s="99"/>
      <x:c r="T218" s="99"/>
      <x:c r="U218" s="99"/>
      <x:c r="V218" s="99"/>
      <x:c r="W218" s="99"/>
      <x:c r="X218" s="99"/>
      <x:c r="Y218" s="99"/>
      <x:c r="Z218" s="99"/>
    </x:row>
    <x:row r="219">
      <x:c r="A219" s="99"/>
      <x:c r="B219" s="99"/>
      <x:c r="C219" s="99"/>
      <x:c r="D219" s="99"/>
      <x:c r="E219" s="99"/>
      <x:c r="F219" s="99"/>
      <x:c r="G219" s="99"/>
      <x:c r="H219" s="99"/>
      <x:c r="I219" s="99"/>
      <x:c r="J219" s="99"/>
      <x:c r="K219" s="99"/>
      <x:c r="L219" s="99"/>
      <x:c r="M219" s="99"/>
      <x:c r="N219" s="99"/>
      <x:c r="O219" s="99"/>
      <x:c r="P219" s="99"/>
      <x:c r="Q219" s="99"/>
      <x:c r="R219" s="99"/>
      <x:c r="S219" s="99"/>
      <x:c r="T219" s="99"/>
      <x:c r="U219" s="99"/>
      <x:c r="V219" s="99"/>
      <x:c r="W219" s="99"/>
      <x:c r="X219" s="99"/>
      <x:c r="Y219" s="99"/>
      <x:c r="Z219" s="99"/>
    </x:row>
    <x:row r="220">
      <x:c r="A220" s="99"/>
      <x:c r="B220" s="99"/>
      <x:c r="C220" s="99"/>
      <x:c r="D220" s="99"/>
      <x:c r="E220" s="99"/>
      <x:c r="F220" s="99"/>
      <x:c r="G220" s="99"/>
      <x:c r="H220" s="99"/>
      <x:c r="I220" s="99"/>
      <x:c r="J220" s="99"/>
      <x:c r="K220" s="99"/>
      <x:c r="L220" s="99"/>
      <x:c r="M220" s="99"/>
      <x:c r="N220" s="99"/>
      <x:c r="O220" s="99"/>
      <x:c r="P220" s="99"/>
      <x:c r="Q220" s="99"/>
      <x:c r="R220" s="99"/>
      <x:c r="S220" s="99"/>
      <x:c r="T220" s="99"/>
      <x:c r="U220" s="99"/>
      <x:c r="V220" s="99"/>
      <x:c r="W220" s="99"/>
      <x:c r="X220" s="99"/>
      <x:c r="Y220" s="99"/>
      <x:c r="Z220" s="99"/>
    </x:row>
    <x:row r="221">
      <x:c r="A221" s="99"/>
      <x:c r="B221" s="99"/>
      <x:c r="C221" s="99"/>
      <x:c r="D221" s="99"/>
      <x:c r="E221" s="99"/>
      <x:c r="F221" s="99"/>
      <x:c r="G221" s="99"/>
      <x:c r="H221" s="99"/>
      <x:c r="I221" s="99"/>
      <x:c r="J221" s="99"/>
      <x:c r="K221" s="99"/>
      <x:c r="L221" s="99"/>
      <x:c r="M221" s="99"/>
      <x:c r="N221" s="99"/>
      <x:c r="O221" s="99"/>
      <x:c r="P221" s="99"/>
      <x:c r="Q221" s="99"/>
      <x:c r="R221" s="99"/>
      <x:c r="S221" s="99"/>
      <x:c r="T221" s="99"/>
      <x:c r="U221" s="99"/>
      <x:c r="V221" s="99"/>
      <x:c r="W221" s="99"/>
      <x:c r="X221" s="99"/>
      <x:c r="Y221" s="99"/>
      <x:c r="Z221" s="99"/>
    </x:row>
    <x:row r="222">
      <x:c r="A222" s="99"/>
      <x:c r="B222" s="99"/>
      <x:c r="C222" s="99"/>
      <x:c r="D222" s="99"/>
      <x:c r="E222" s="99"/>
      <x:c r="F222" s="99"/>
      <x:c r="G222" s="99"/>
      <x:c r="H222" s="99"/>
      <x:c r="I222" s="99"/>
      <x:c r="J222" s="99"/>
      <x:c r="K222" s="99"/>
      <x:c r="L222" s="99"/>
      <x:c r="M222" s="99"/>
      <x:c r="N222" s="99"/>
      <x:c r="O222" s="99"/>
      <x:c r="P222" s="99"/>
      <x:c r="Q222" s="99"/>
      <x:c r="R222" s="99"/>
      <x:c r="S222" s="99"/>
      <x:c r="T222" s="99"/>
      <x:c r="U222" s="99"/>
      <x:c r="V222" s="99"/>
      <x:c r="W222" s="99"/>
      <x:c r="X222" s="99"/>
      <x:c r="Y222" s="99"/>
      <x:c r="Z222" s="99"/>
    </x:row>
    <x:row r="223">
      <x:c r="A223" s="99"/>
      <x:c r="B223" s="99"/>
      <x:c r="C223" s="99"/>
      <x:c r="D223" s="99"/>
      <x:c r="E223" s="99"/>
      <x:c r="F223" s="99"/>
      <x:c r="G223" s="99"/>
      <x:c r="H223" s="99"/>
      <x:c r="I223" s="99"/>
      <x:c r="J223" s="99"/>
      <x:c r="K223" s="99"/>
      <x:c r="L223" s="99"/>
      <x:c r="M223" s="99"/>
      <x:c r="N223" s="99"/>
      <x:c r="O223" s="99"/>
      <x:c r="P223" s="99"/>
      <x:c r="Q223" s="99"/>
      <x:c r="R223" s="99"/>
      <x:c r="S223" s="99"/>
      <x:c r="T223" s="99"/>
      <x:c r="U223" s="99"/>
      <x:c r="V223" s="99"/>
      <x:c r="W223" s="99"/>
      <x:c r="X223" s="99"/>
      <x:c r="Y223" s="99"/>
      <x:c r="Z223" s="99"/>
    </x:row>
    <x:row r="224">
      <x:c r="A224" s="99"/>
      <x:c r="B224" s="99"/>
      <x:c r="C224" s="99"/>
      <x:c r="D224" s="99"/>
      <x:c r="E224" s="99"/>
      <x:c r="F224" s="99"/>
      <x:c r="G224" s="99"/>
      <x:c r="H224" s="99"/>
      <x:c r="I224" s="99"/>
      <x:c r="J224" s="99"/>
      <x:c r="K224" s="99"/>
      <x:c r="L224" s="99"/>
      <x:c r="M224" s="99"/>
      <x:c r="N224" s="99"/>
      <x:c r="O224" s="99"/>
      <x:c r="P224" s="99"/>
      <x:c r="Q224" s="99"/>
      <x:c r="R224" s="99"/>
      <x:c r="S224" s="99"/>
      <x:c r="T224" s="99"/>
      <x:c r="U224" s="99"/>
      <x:c r="V224" s="99"/>
      <x:c r="W224" s="99"/>
      <x:c r="X224" s="99"/>
      <x:c r="Y224" s="99"/>
      <x:c r="Z224" s="99"/>
    </x:row>
    <x:row r="225">
      <x:c r="A225" s="99"/>
      <x:c r="B225" s="99"/>
      <x:c r="C225" s="99"/>
      <x:c r="D225" s="99"/>
      <x:c r="E225" s="99"/>
      <x:c r="F225" s="99"/>
      <x:c r="G225" s="99"/>
      <x:c r="H225" s="99"/>
      <x:c r="I225" s="99"/>
      <x:c r="J225" s="99"/>
      <x:c r="K225" s="99"/>
      <x:c r="L225" s="99"/>
      <x:c r="M225" s="99"/>
      <x:c r="N225" s="99"/>
      <x:c r="O225" s="99"/>
      <x:c r="P225" s="99"/>
      <x:c r="Q225" s="99"/>
      <x:c r="R225" s="99"/>
      <x:c r="S225" s="99"/>
      <x:c r="T225" s="99"/>
      <x:c r="U225" s="99"/>
      <x:c r="V225" s="99"/>
      <x:c r="W225" s="99"/>
      <x:c r="X225" s="99"/>
      <x:c r="Y225" s="99"/>
      <x:c r="Z225" s="99"/>
    </x:row>
    <x:row r="226">
      <x:c r="A226" s="99"/>
      <x:c r="B226" s="99"/>
      <x:c r="C226" s="99"/>
      <x:c r="D226" s="99"/>
      <x:c r="E226" s="99"/>
      <x:c r="F226" s="99"/>
      <x:c r="G226" s="99"/>
      <x:c r="H226" s="99"/>
      <x:c r="I226" s="99"/>
      <x:c r="J226" s="99"/>
      <x:c r="K226" s="99"/>
      <x:c r="L226" s="99"/>
      <x:c r="M226" s="99"/>
      <x:c r="N226" s="99"/>
      <x:c r="O226" s="99"/>
      <x:c r="P226" s="99"/>
      <x:c r="Q226" s="99"/>
      <x:c r="R226" s="99"/>
      <x:c r="S226" s="99"/>
      <x:c r="T226" s="99"/>
      <x:c r="U226" s="99"/>
      <x:c r="V226" s="99"/>
      <x:c r="W226" s="99"/>
      <x:c r="X226" s="99"/>
      <x:c r="Y226" s="99"/>
      <x:c r="Z226" s="99"/>
    </x:row>
    <x:row r="227">
      <x:c r="A227" s="99"/>
      <x:c r="B227" s="99"/>
      <x:c r="C227" s="99"/>
      <x:c r="D227" s="99"/>
      <x:c r="E227" s="99"/>
      <x:c r="F227" s="99"/>
      <x:c r="G227" s="99"/>
      <x:c r="H227" s="99"/>
      <x:c r="I227" s="99"/>
      <x:c r="J227" s="99"/>
      <x:c r="K227" s="99"/>
      <x:c r="L227" s="99"/>
      <x:c r="M227" s="99"/>
      <x:c r="N227" s="99"/>
      <x:c r="O227" s="99"/>
      <x:c r="P227" s="99"/>
      <x:c r="Q227" s="99"/>
      <x:c r="R227" s="99"/>
      <x:c r="S227" s="99"/>
      <x:c r="T227" s="99"/>
      <x:c r="U227" s="99"/>
      <x:c r="V227" s="99"/>
      <x:c r="W227" s="99"/>
      <x:c r="X227" s="99"/>
      <x:c r="Y227" s="99"/>
      <x:c r="Z227" s="99"/>
    </x:row>
    <x:row r="228">
      <x:c r="A228" s="99"/>
      <x:c r="B228" s="99"/>
      <x:c r="C228" s="99"/>
      <x:c r="D228" s="99"/>
      <x:c r="E228" s="99"/>
      <x:c r="F228" s="99"/>
      <x:c r="G228" s="99"/>
      <x:c r="H228" s="99"/>
      <x:c r="I228" s="99"/>
      <x:c r="J228" s="99"/>
      <x:c r="K228" s="99"/>
      <x:c r="L228" s="99"/>
      <x:c r="M228" s="99"/>
      <x:c r="N228" s="99"/>
      <x:c r="O228" s="99"/>
      <x:c r="P228" s="99"/>
      <x:c r="Q228" s="99"/>
      <x:c r="R228" s="99"/>
      <x:c r="S228" s="99"/>
      <x:c r="T228" s="99"/>
      <x:c r="U228" s="99"/>
      <x:c r="V228" s="99"/>
      <x:c r="W228" s="99"/>
      <x:c r="X228" s="99"/>
      <x:c r="Y228" s="99"/>
      <x:c r="Z228" s="99"/>
    </x:row>
    <x:row r="229">
      <x:c r="A229" s="99"/>
      <x:c r="B229" s="99"/>
      <x:c r="C229" s="99"/>
      <x:c r="D229" s="99"/>
      <x:c r="E229" s="99"/>
      <x:c r="F229" s="99"/>
      <x:c r="G229" s="99"/>
      <x:c r="H229" s="99"/>
      <x:c r="I229" s="99"/>
      <x:c r="J229" s="99"/>
      <x:c r="K229" s="99"/>
      <x:c r="L229" s="99"/>
      <x:c r="M229" s="99"/>
      <x:c r="N229" s="99"/>
      <x:c r="O229" s="99"/>
      <x:c r="P229" s="99"/>
      <x:c r="Q229" s="99"/>
      <x:c r="R229" s="99"/>
      <x:c r="S229" s="99"/>
      <x:c r="T229" s="99"/>
      <x:c r="U229" s="99"/>
      <x:c r="V229" s="99"/>
      <x:c r="W229" s="99"/>
      <x:c r="X229" s="99"/>
      <x:c r="Y229" s="99"/>
      <x:c r="Z229" s="99"/>
    </x:row>
    <x:row r="230">
      <x:c r="A230" s="99"/>
      <x:c r="B230" s="99"/>
      <x:c r="C230" s="99"/>
      <x:c r="D230" s="99"/>
      <x:c r="E230" s="99"/>
      <x:c r="F230" s="99"/>
      <x:c r="G230" s="99"/>
      <x:c r="H230" s="99"/>
      <x:c r="I230" s="99"/>
      <x:c r="J230" s="99"/>
      <x:c r="K230" s="99"/>
      <x:c r="L230" s="99"/>
      <x:c r="M230" s="99"/>
      <x:c r="N230" s="99"/>
      <x:c r="O230" s="99"/>
      <x:c r="P230" s="99"/>
      <x:c r="Q230" s="99"/>
      <x:c r="R230" s="99"/>
      <x:c r="S230" s="99"/>
      <x:c r="T230" s="99"/>
      <x:c r="U230" s="99"/>
      <x:c r="V230" s="99"/>
      <x:c r="W230" s="99"/>
      <x:c r="X230" s="99"/>
      <x:c r="Y230" s="99"/>
      <x:c r="Z230" s="99"/>
    </x:row>
    <x:row r="231">
      <x:c r="A231" s="99"/>
      <x:c r="B231" s="99"/>
      <x:c r="C231" s="99"/>
      <x:c r="D231" s="99"/>
      <x:c r="E231" s="99"/>
      <x:c r="F231" s="99"/>
      <x:c r="G231" s="99"/>
      <x:c r="H231" s="99"/>
      <x:c r="I231" s="99"/>
      <x:c r="J231" s="99"/>
      <x:c r="K231" s="99"/>
      <x:c r="L231" s="99"/>
      <x:c r="M231" s="99"/>
      <x:c r="N231" s="99"/>
      <x:c r="O231" s="99"/>
      <x:c r="P231" s="99"/>
      <x:c r="Q231" s="99"/>
      <x:c r="R231" s="99"/>
      <x:c r="S231" s="99"/>
      <x:c r="T231" s="99"/>
      <x:c r="U231" s="99"/>
      <x:c r="V231" s="99"/>
      <x:c r="W231" s="99"/>
      <x:c r="X231" s="99"/>
      <x:c r="Y231" s="99"/>
      <x:c r="Z231" s="99"/>
    </x:row>
    <x:row r="232">
      <x:c r="A232" s="99"/>
      <x:c r="B232" s="99"/>
      <x:c r="C232" s="99"/>
      <x:c r="D232" s="99"/>
      <x:c r="E232" s="99"/>
      <x:c r="F232" s="99"/>
      <x:c r="G232" s="99"/>
      <x:c r="H232" s="99"/>
      <x:c r="I232" s="99"/>
      <x:c r="J232" s="99"/>
      <x:c r="K232" s="99"/>
      <x:c r="L232" s="99"/>
      <x:c r="M232" s="99"/>
      <x:c r="N232" s="99"/>
      <x:c r="O232" s="99"/>
      <x:c r="P232" s="99"/>
      <x:c r="Q232" s="99"/>
      <x:c r="R232" s="99"/>
      <x:c r="S232" s="99"/>
      <x:c r="T232" s="99"/>
      <x:c r="U232" s="99"/>
      <x:c r="V232" s="99"/>
      <x:c r="W232" s="99"/>
      <x:c r="X232" s="99"/>
      <x:c r="Y232" s="99"/>
      <x:c r="Z232" s="99"/>
    </x:row>
    <x:row r="233">
      <x:c r="A233" s="99"/>
      <x:c r="B233" s="99"/>
      <x:c r="C233" s="99"/>
      <x:c r="D233" s="99"/>
      <x:c r="E233" s="99"/>
      <x:c r="F233" s="99"/>
      <x:c r="G233" s="99"/>
      <x:c r="H233" s="99"/>
      <x:c r="I233" s="99"/>
      <x:c r="J233" s="99"/>
      <x:c r="K233" s="99"/>
      <x:c r="L233" s="99"/>
      <x:c r="M233" s="99"/>
      <x:c r="N233" s="99"/>
      <x:c r="O233" s="99"/>
      <x:c r="P233" s="99"/>
      <x:c r="Q233" s="99"/>
      <x:c r="R233" s="99"/>
      <x:c r="S233" s="99"/>
      <x:c r="T233" s="99"/>
      <x:c r="U233" s="99"/>
      <x:c r="V233" s="99"/>
      <x:c r="W233" s="99"/>
      <x:c r="X233" s="99"/>
      <x:c r="Y233" s="99"/>
      <x:c r="Z233" s="99"/>
    </x:row>
    <x:row r="234">
      <x:c r="A234" s="99"/>
      <x:c r="B234" s="99"/>
      <x:c r="C234" s="99"/>
      <x:c r="D234" s="99"/>
      <x:c r="E234" s="99"/>
      <x:c r="F234" s="99"/>
      <x:c r="G234" s="99"/>
      <x:c r="H234" s="99"/>
      <x:c r="I234" s="99"/>
      <x:c r="J234" s="99"/>
      <x:c r="K234" s="99"/>
      <x:c r="L234" s="99"/>
      <x:c r="M234" s="99"/>
      <x:c r="N234" s="99"/>
      <x:c r="O234" s="99"/>
      <x:c r="P234" s="99"/>
      <x:c r="Q234" s="99"/>
      <x:c r="R234" s="99"/>
      <x:c r="S234" s="99"/>
      <x:c r="T234" s="99"/>
      <x:c r="U234" s="99"/>
      <x:c r="V234" s="99"/>
      <x:c r="W234" s="99"/>
      <x:c r="X234" s="99"/>
      <x:c r="Y234" s="99"/>
      <x:c r="Z234" s="99"/>
    </x:row>
    <x:row r="235">
      <x:c r="A235" s="99"/>
      <x:c r="B235" s="99"/>
      <x:c r="C235" s="99"/>
      <x:c r="D235" s="99"/>
      <x:c r="E235" s="99"/>
      <x:c r="F235" s="99"/>
      <x:c r="G235" s="99"/>
      <x:c r="H235" s="99"/>
      <x:c r="I235" s="99"/>
      <x:c r="J235" s="99"/>
      <x:c r="K235" s="99"/>
      <x:c r="L235" s="99"/>
      <x:c r="M235" s="99"/>
      <x:c r="N235" s="99"/>
      <x:c r="O235" s="99"/>
      <x:c r="P235" s="99"/>
      <x:c r="Q235" s="99"/>
      <x:c r="R235" s="99"/>
      <x:c r="S235" s="99"/>
      <x:c r="T235" s="99"/>
      <x:c r="U235" s="99"/>
      <x:c r="V235" s="99"/>
      <x:c r="W235" s="99"/>
      <x:c r="X235" s="99"/>
      <x:c r="Y235" s="99"/>
      <x:c r="Z235" s="99"/>
    </x:row>
    <x:row r="236">
      <x:c r="A236" s="99"/>
      <x:c r="B236" s="99"/>
      <x:c r="C236" s="99"/>
      <x:c r="D236" s="99"/>
      <x:c r="E236" s="99"/>
      <x:c r="F236" s="99"/>
      <x:c r="G236" s="99"/>
      <x:c r="H236" s="99"/>
      <x:c r="I236" s="99"/>
      <x:c r="J236" s="99"/>
      <x:c r="K236" s="99"/>
      <x:c r="L236" s="99"/>
      <x:c r="M236" s="99"/>
      <x:c r="N236" s="99"/>
      <x:c r="O236" s="99"/>
      <x:c r="P236" s="99"/>
      <x:c r="Q236" s="99"/>
      <x:c r="R236" s="99"/>
      <x:c r="S236" s="99"/>
      <x:c r="T236" s="99"/>
      <x:c r="U236" s="99"/>
      <x:c r="V236" s="99"/>
      <x:c r="W236" s="99"/>
      <x:c r="X236" s="99"/>
      <x:c r="Y236" s="99"/>
      <x:c r="Z236" s="99"/>
    </x:row>
    <x:row r="237">
      <x:c r="A237" s="99"/>
      <x:c r="B237" s="99"/>
      <x:c r="C237" s="99"/>
      <x:c r="D237" s="99"/>
      <x:c r="E237" s="99"/>
      <x:c r="F237" s="99"/>
      <x:c r="G237" s="99"/>
      <x:c r="H237" s="99"/>
      <x:c r="I237" s="99"/>
      <x:c r="J237" s="99"/>
      <x:c r="K237" s="99"/>
      <x:c r="L237" s="99"/>
      <x:c r="M237" s="99"/>
      <x:c r="N237" s="99"/>
      <x:c r="O237" s="99"/>
      <x:c r="P237" s="99"/>
      <x:c r="Q237" s="99"/>
      <x:c r="R237" s="99"/>
      <x:c r="S237" s="99"/>
      <x:c r="T237" s="99"/>
      <x:c r="U237" s="99"/>
      <x:c r="V237" s="99"/>
      <x:c r="W237" s="99"/>
      <x:c r="X237" s="99"/>
      <x:c r="Y237" s="99"/>
      <x:c r="Z237" s="99"/>
    </x:row>
    <x:row r="238">
      <x:c r="A238" s="99"/>
      <x:c r="B238" s="99"/>
      <x:c r="C238" s="99"/>
      <x:c r="D238" s="99"/>
      <x:c r="E238" s="99"/>
      <x:c r="F238" s="99"/>
      <x:c r="G238" s="99"/>
      <x:c r="H238" s="99"/>
      <x:c r="I238" s="99"/>
      <x:c r="J238" s="99"/>
      <x:c r="K238" s="99"/>
      <x:c r="L238" s="99"/>
      <x:c r="M238" s="99"/>
      <x:c r="N238" s="99"/>
      <x:c r="O238" s="99"/>
      <x:c r="P238" s="99"/>
      <x:c r="Q238" s="99"/>
      <x:c r="R238" s="99"/>
      <x:c r="S238" s="99"/>
      <x:c r="T238" s="99"/>
      <x:c r="U238" s="99"/>
      <x:c r="V238" s="99"/>
      <x:c r="W238" s="99"/>
      <x:c r="X238" s="99"/>
      <x:c r="Y238" s="99"/>
      <x:c r="Z238" s="99"/>
    </x:row>
    <x:row r="239">
      <x:c r="A239" s="99"/>
      <x:c r="B239" s="99"/>
      <x:c r="C239" s="99"/>
      <x:c r="D239" s="99"/>
      <x:c r="E239" s="99"/>
      <x:c r="F239" s="99"/>
      <x:c r="G239" s="99"/>
      <x:c r="H239" s="99"/>
      <x:c r="I239" s="99"/>
      <x:c r="J239" s="99"/>
      <x:c r="K239" s="99"/>
      <x:c r="L239" s="99"/>
      <x:c r="M239" s="99"/>
      <x:c r="N239" s="99"/>
      <x:c r="O239" s="99"/>
      <x:c r="P239" s="99"/>
      <x:c r="Q239" s="99"/>
      <x:c r="R239" s="99"/>
      <x:c r="S239" s="99"/>
      <x:c r="T239" s="99"/>
      <x:c r="U239" s="99"/>
      <x:c r="V239" s="99"/>
      <x:c r="W239" s="99"/>
      <x:c r="X239" s="99"/>
      <x:c r="Y239" s="99"/>
      <x:c r="Z239" s="99"/>
    </x:row>
    <x:row r="240">
      <x:c r="A240" s="99"/>
      <x:c r="B240" s="99"/>
      <x:c r="C240" s="99"/>
      <x:c r="D240" s="99"/>
      <x:c r="E240" s="99"/>
      <x:c r="F240" s="99"/>
      <x:c r="G240" s="99"/>
      <x:c r="H240" s="99"/>
      <x:c r="I240" s="99"/>
      <x:c r="J240" s="99"/>
      <x:c r="K240" s="99"/>
      <x:c r="L240" s="99"/>
      <x:c r="M240" s="99"/>
      <x:c r="N240" s="99"/>
      <x:c r="O240" s="99"/>
      <x:c r="P240" s="99"/>
      <x:c r="Q240" s="99"/>
      <x:c r="R240" s="99"/>
      <x:c r="S240" s="99"/>
      <x:c r="T240" s="99"/>
      <x:c r="U240" s="99"/>
      <x:c r="V240" s="99"/>
      <x:c r="W240" s="99"/>
      <x:c r="X240" s="99"/>
      <x:c r="Y240" s="99"/>
      <x:c r="Z240" s="99"/>
    </x:row>
    <x:row r="241">
      <x:c r="A241" s="99"/>
      <x:c r="B241" s="99"/>
      <x:c r="C241" s="99"/>
      <x:c r="D241" s="99"/>
      <x:c r="E241" s="99"/>
      <x:c r="F241" s="99"/>
      <x:c r="G241" s="99"/>
      <x:c r="H241" s="99"/>
      <x:c r="I241" s="99"/>
      <x:c r="J241" s="99"/>
      <x:c r="K241" s="99"/>
      <x:c r="L241" s="99"/>
      <x:c r="M241" s="99"/>
      <x:c r="N241" s="99"/>
      <x:c r="O241" s="99"/>
      <x:c r="P241" s="99"/>
      <x:c r="Q241" s="99"/>
      <x:c r="R241" s="99"/>
      <x:c r="S241" s="99"/>
      <x:c r="T241" s="99"/>
      <x:c r="U241" s="99"/>
      <x:c r="V241" s="99"/>
      <x:c r="W241" s="99"/>
      <x:c r="X241" s="99"/>
      <x:c r="Y241" s="99"/>
      <x:c r="Z241" s="99"/>
    </x:row>
    <x:row r="242">
      <x:c r="A242" s="99"/>
      <x:c r="B242" s="99"/>
      <x:c r="C242" s="99"/>
      <x:c r="D242" s="99"/>
      <x:c r="E242" s="99"/>
      <x:c r="F242" s="99"/>
      <x:c r="G242" s="99"/>
      <x:c r="H242" s="99"/>
      <x:c r="I242" s="99"/>
      <x:c r="J242" s="99"/>
      <x:c r="K242" s="99"/>
      <x:c r="L242" s="99"/>
      <x:c r="M242" s="99"/>
      <x:c r="N242" s="99"/>
      <x:c r="O242" s="99"/>
      <x:c r="P242" s="99"/>
      <x:c r="Q242" s="99"/>
      <x:c r="R242" s="99"/>
      <x:c r="S242" s="99"/>
      <x:c r="T242" s="99"/>
      <x:c r="U242" s="99"/>
      <x:c r="V242" s="99"/>
      <x:c r="W242" s="99"/>
      <x:c r="X242" s="99"/>
      <x:c r="Y242" s="99"/>
      <x:c r="Z242" s="99"/>
    </x:row>
    <x:row r="243">
      <x:c r="A243" s="99"/>
      <x:c r="B243" s="99"/>
      <x:c r="C243" s="99"/>
      <x:c r="D243" s="99"/>
      <x:c r="E243" s="99"/>
      <x:c r="F243" s="99"/>
      <x:c r="G243" s="99"/>
      <x:c r="H243" s="99"/>
      <x:c r="I243" s="99"/>
      <x:c r="J243" s="99"/>
      <x:c r="K243" s="99"/>
      <x:c r="L243" s="99"/>
      <x:c r="M243" s="99"/>
      <x:c r="N243" s="99"/>
      <x:c r="O243" s="99"/>
      <x:c r="P243" s="99"/>
      <x:c r="Q243" s="99"/>
      <x:c r="R243" s="99"/>
      <x:c r="S243" s="99"/>
      <x:c r="T243" s="99"/>
      <x:c r="U243" s="99"/>
      <x:c r="V243" s="99"/>
      <x:c r="W243" s="99"/>
      <x:c r="X243" s="99"/>
      <x:c r="Y243" s="99"/>
      <x:c r="Z243" s="99"/>
    </x:row>
    <x:row r="244">
      <x:c r="A244" s="99"/>
      <x:c r="B244" s="99"/>
      <x:c r="C244" s="99"/>
      <x:c r="D244" s="99"/>
      <x:c r="E244" s="99"/>
      <x:c r="F244" s="99"/>
      <x:c r="G244" s="99"/>
      <x:c r="H244" s="99"/>
      <x:c r="I244" s="99"/>
      <x:c r="J244" s="99"/>
      <x:c r="K244" s="99"/>
      <x:c r="L244" s="99"/>
      <x:c r="M244" s="99"/>
      <x:c r="N244" s="99"/>
      <x:c r="O244" s="99"/>
      <x:c r="P244" s="99"/>
      <x:c r="Q244" s="99"/>
      <x:c r="R244" s="99"/>
      <x:c r="S244" s="99"/>
      <x:c r="T244" s="99"/>
      <x:c r="U244" s="99"/>
      <x:c r="V244" s="99"/>
      <x:c r="W244" s="99"/>
      <x:c r="X244" s="99"/>
      <x:c r="Y244" s="99"/>
      <x:c r="Z244" s="99"/>
    </x:row>
    <x:row r="245">
      <x:c r="A245" s="99"/>
      <x:c r="B245" s="99"/>
      <x:c r="C245" s="99"/>
      <x:c r="D245" s="99"/>
      <x:c r="E245" s="99"/>
      <x:c r="F245" s="99"/>
      <x:c r="G245" s="99"/>
      <x:c r="H245" s="99"/>
      <x:c r="I245" s="99"/>
      <x:c r="J245" s="99"/>
      <x:c r="K245" s="99"/>
      <x:c r="L245" s="99"/>
      <x:c r="M245" s="99"/>
      <x:c r="N245" s="99"/>
      <x:c r="O245" s="99"/>
      <x:c r="P245" s="99"/>
      <x:c r="Q245" s="99"/>
      <x:c r="R245" s="99"/>
      <x:c r="S245" s="99"/>
      <x:c r="T245" s="99"/>
      <x:c r="U245" s="99"/>
      <x:c r="V245" s="99"/>
      <x:c r="W245" s="99"/>
      <x:c r="X245" s="99"/>
      <x:c r="Y245" s="99"/>
      <x:c r="Z245" s="99"/>
    </x:row>
    <x:row r="246">
      <x:c r="A246" s="99"/>
      <x:c r="B246" s="99"/>
      <x:c r="C246" s="99"/>
      <x:c r="D246" s="99"/>
      <x:c r="E246" s="99"/>
      <x:c r="F246" s="99"/>
      <x:c r="G246" s="99"/>
      <x:c r="H246" s="99"/>
      <x:c r="I246" s="99"/>
      <x:c r="J246" s="99"/>
      <x:c r="K246" s="99"/>
      <x:c r="L246" s="99"/>
      <x:c r="M246" s="99"/>
      <x:c r="N246" s="99"/>
      <x:c r="O246" s="99"/>
      <x:c r="P246" s="99"/>
      <x:c r="Q246" s="99"/>
      <x:c r="R246" s="99"/>
      <x:c r="S246" s="99"/>
      <x:c r="T246" s="99"/>
      <x:c r="U246" s="99"/>
      <x:c r="V246" s="99"/>
      <x:c r="W246" s="99"/>
      <x:c r="X246" s="99"/>
      <x:c r="Y246" s="99"/>
      <x:c r="Z246" s="99"/>
    </x:row>
    <x:row r="247">
      <x:c r="A247" s="99"/>
      <x:c r="B247" s="99"/>
      <x:c r="C247" s="99"/>
      <x:c r="D247" s="99"/>
      <x:c r="E247" s="99"/>
      <x:c r="F247" s="99"/>
      <x:c r="G247" s="99"/>
      <x:c r="H247" s="99"/>
      <x:c r="I247" s="99"/>
      <x:c r="J247" s="99"/>
      <x:c r="K247" s="99"/>
      <x:c r="L247" s="99"/>
      <x:c r="M247" s="99"/>
      <x:c r="N247" s="99"/>
      <x:c r="O247" s="99"/>
      <x:c r="P247" s="99"/>
      <x:c r="Q247" s="99"/>
      <x:c r="R247" s="99"/>
      <x:c r="S247" s="99"/>
      <x:c r="T247" s="99"/>
      <x:c r="U247" s="99"/>
      <x:c r="V247" s="99"/>
      <x:c r="W247" s="99"/>
      <x:c r="X247" s="99"/>
      <x:c r="Y247" s="99"/>
      <x:c r="Z247" s="99"/>
    </x:row>
    <x:row r="248">
      <x:c r="A248" s="99"/>
      <x:c r="B248" s="99"/>
      <x:c r="C248" s="99"/>
      <x:c r="D248" s="99"/>
      <x:c r="E248" s="99"/>
      <x:c r="F248" s="99"/>
      <x:c r="G248" s="99"/>
      <x:c r="H248" s="99"/>
      <x:c r="I248" s="99"/>
      <x:c r="J248" s="99"/>
      <x:c r="K248" s="99"/>
      <x:c r="L248" s="99"/>
      <x:c r="M248" s="99"/>
      <x:c r="N248" s="99"/>
      <x:c r="O248" s="99"/>
      <x:c r="P248" s="99"/>
      <x:c r="Q248" s="99"/>
      <x:c r="R248" s="99"/>
      <x:c r="S248" s="99"/>
      <x:c r="T248" s="99"/>
      <x:c r="U248" s="99"/>
      <x:c r="V248" s="99"/>
      <x:c r="W248" s="99"/>
      <x:c r="X248" s="99"/>
      <x:c r="Y248" s="99"/>
      <x:c r="Z248" s="99"/>
    </x:row>
    <x:row r="249">
      <x:c r="A249" s="99"/>
      <x:c r="B249" s="99"/>
      <x:c r="C249" s="99"/>
      <x:c r="D249" s="99"/>
      <x:c r="E249" s="99"/>
      <x:c r="F249" s="99"/>
      <x:c r="G249" s="99"/>
      <x:c r="H249" s="99"/>
      <x:c r="I249" s="99"/>
      <x:c r="J249" s="99"/>
      <x:c r="K249" s="99"/>
      <x:c r="L249" s="99"/>
      <x:c r="M249" s="99"/>
      <x:c r="N249" s="99"/>
      <x:c r="O249" s="99"/>
      <x:c r="P249" s="99"/>
      <x:c r="Q249" s="99"/>
      <x:c r="R249" s="99"/>
      <x:c r="S249" s="99"/>
      <x:c r="T249" s="99"/>
      <x:c r="U249" s="99"/>
      <x:c r="V249" s="99"/>
      <x:c r="W249" s="99"/>
      <x:c r="X249" s="99"/>
      <x:c r="Y249" s="99"/>
      <x:c r="Z249" s="99"/>
    </x:row>
    <x:row r="250">
      <x:c r="A250" s="99"/>
      <x:c r="B250" s="99"/>
      <x:c r="C250" s="99"/>
      <x:c r="D250" s="99"/>
      <x:c r="E250" s="99"/>
      <x:c r="F250" s="99"/>
      <x:c r="G250" s="99"/>
      <x:c r="H250" s="99"/>
      <x:c r="I250" s="99"/>
      <x:c r="J250" s="99"/>
      <x:c r="K250" s="99"/>
      <x:c r="L250" s="99"/>
      <x:c r="M250" s="99"/>
      <x:c r="N250" s="99"/>
      <x:c r="O250" s="99"/>
      <x:c r="P250" s="99"/>
      <x:c r="Q250" s="99"/>
      <x:c r="R250" s="99"/>
      <x:c r="S250" s="99"/>
      <x:c r="T250" s="99"/>
      <x:c r="U250" s="99"/>
      <x:c r="V250" s="99"/>
      <x:c r="W250" s="99"/>
      <x:c r="X250" s="99"/>
      <x:c r="Y250" s="99"/>
      <x:c r="Z250" s="99"/>
    </x:row>
    <x:row r="251">
      <x:c r="A251" s="99"/>
      <x:c r="B251" s="99"/>
      <x:c r="C251" s="99"/>
      <x:c r="D251" s="99"/>
      <x:c r="E251" s="99"/>
      <x:c r="F251" s="99"/>
      <x:c r="G251" s="99"/>
      <x:c r="H251" s="99"/>
      <x:c r="I251" s="99"/>
      <x:c r="J251" s="99"/>
      <x:c r="K251" s="99"/>
      <x:c r="L251" s="99"/>
      <x:c r="M251" s="99"/>
      <x:c r="N251" s="99"/>
      <x:c r="O251" s="99"/>
      <x:c r="P251" s="99"/>
      <x:c r="Q251" s="99"/>
      <x:c r="R251" s="99"/>
      <x:c r="S251" s="99"/>
      <x:c r="T251" s="99"/>
      <x:c r="U251" s="99"/>
      <x:c r="V251" s="99"/>
      <x:c r="W251" s="99"/>
      <x:c r="X251" s="99"/>
      <x:c r="Y251" s="99"/>
      <x:c r="Z251" s="99"/>
    </x:row>
    <x:row r="252">
      <x:c r="A252" s="99"/>
      <x:c r="B252" s="99"/>
      <x:c r="C252" s="99"/>
      <x:c r="D252" s="99"/>
      <x:c r="E252" s="99"/>
      <x:c r="F252" s="99"/>
      <x:c r="G252" s="99"/>
      <x:c r="H252" s="99"/>
      <x:c r="I252" s="99"/>
      <x:c r="J252" s="99"/>
      <x:c r="K252" s="99"/>
      <x:c r="L252" s="99"/>
      <x:c r="M252" s="99"/>
      <x:c r="N252" s="99"/>
      <x:c r="O252" s="99"/>
      <x:c r="P252" s="99"/>
      <x:c r="Q252" s="99"/>
      <x:c r="R252" s="99"/>
      <x:c r="S252" s="99"/>
      <x:c r="T252" s="99"/>
      <x:c r="U252" s="99"/>
      <x:c r="V252" s="99"/>
      <x:c r="W252" s="99"/>
      <x:c r="X252" s="99"/>
      <x:c r="Y252" s="99"/>
      <x:c r="Z252" s="99"/>
    </x:row>
    <x:row r="253">
      <x:c r="A253" s="99"/>
      <x:c r="B253" s="99"/>
      <x:c r="C253" s="99"/>
      <x:c r="D253" s="99"/>
      <x:c r="E253" s="99"/>
      <x:c r="F253" s="99"/>
      <x:c r="G253" s="99"/>
      <x:c r="H253" s="99"/>
      <x:c r="I253" s="99"/>
      <x:c r="J253" s="99"/>
      <x:c r="K253" s="99"/>
      <x:c r="L253" s="99"/>
      <x:c r="M253" s="99"/>
      <x:c r="N253" s="99"/>
      <x:c r="O253" s="99"/>
      <x:c r="P253" s="99"/>
      <x:c r="Q253" s="99"/>
      <x:c r="R253" s="99"/>
      <x:c r="S253" s="99"/>
      <x:c r="T253" s="99"/>
      <x:c r="U253" s="99"/>
      <x:c r="V253" s="99"/>
      <x:c r="W253" s="99"/>
      <x:c r="X253" s="99"/>
      <x:c r="Y253" s="99"/>
      <x:c r="Z253" s="99"/>
    </x:row>
    <x:row r="254">
      <x:c r="A254" s="99"/>
      <x:c r="B254" s="99"/>
      <x:c r="C254" s="99"/>
      <x:c r="D254" s="99"/>
      <x:c r="E254" s="99"/>
      <x:c r="F254" s="99"/>
      <x:c r="G254" s="99"/>
      <x:c r="H254" s="99"/>
      <x:c r="I254" s="99"/>
      <x:c r="J254" s="99"/>
      <x:c r="K254" s="99"/>
      <x:c r="L254" s="99"/>
      <x:c r="M254" s="99"/>
      <x:c r="N254" s="99"/>
      <x:c r="O254" s="99"/>
      <x:c r="P254" s="99"/>
      <x:c r="Q254" s="99"/>
      <x:c r="R254" s="99"/>
      <x:c r="S254" s="99"/>
      <x:c r="T254" s="99"/>
      <x:c r="U254" s="99"/>
      <x:c r="V254" s="99"/>
      <x:c r="W254" s="99"/>
      <x:c r="X254" s="99"/>
      <x:c r="Y254" s="99"/>
      <x:c r="Z254" s="99"/>
    </x:row>
    <x:row r="255">
      <x:c r="A255" s="99"/>
      <x:c r="B255" s="99"/>
      <x:c r="C255" s="99"/>
      <x:c r="D255" s="99"/>
      <x:c r="E255" s="99"/>
      <x:c r="F255" s="99"/>
      <x:c r="G255" s="99"/>
      <x:c r="H255" s="99"/>
      <x:c r="I255" s="99"/>
      <x:c r="J255" s="99"/>
      <x:c r="K255" s="99"/>
      <x:c r="L255" s="99"/>
      <x:c r="M255" s="99"/>
      <x:c r="N255" s="99"/>
      <x:c r="O255" s="99"/>
      <x:c r="P255" s="99"/>
      <x:c r="Q255" s="99"/>
      <x:c r="R255" s="99"/>
      <x:c r="S255" s="99"/>
      <x:c r="T255" s="99"/>
      <x:c r="U255" s="99"/>
      <x:c r="V255" s="99"/>
      <x:c r="W255" s="99"/>
      <x:c r="X255" s="99"/>
      <x:c r="Y255" s="99"/>
      <x:c r="Z255" s="99"/>
    </x:row>
    <x:row r="256">
      <x:c r="A256" s="99"/>
      <x:c r="B256" s="99"/>
      <x:c r="C256" s="99"/>
      <x:c r="D256" s="99"/>
      <x:c r="E256" s="99"/>
      <x:c r="F256" s="99"/>
      <x:c r="G256" s="99"/>
      <x:c r="H256" s="99"/>
      <x:c r="I256" s="99"/>
      <x:c r="J256" s="99"/>
      <x:c r="K256" s="99"/>
      <x:c r="L256" s="99"/>
      <x:c r="M256" s="99"/>
      <x:c r="N256" s="99"/>
      <x:c r="O256" s="99"/>
      <x:c r="P256" s="99"/>
      <x:c r="Q256" s="99"/>
      <x:c r="R256" s="99"/>
      <x:c r="S256" s="99"/>
      <x:c r="T256" s="99"/>
      <x:c r="U256" s="99"/>
      <x:c r="V256" s="99"/>
      <x:c r="W256" s="99"/>
      <x:c r="X256" s="99"/>
      <x:c r="Y256" s="99"/>
      <x:c r="Z256" s="99"/>
    </x:row>
    <x:row r="257">
      <x:c r="A257" s="99"/>
      <x:c r="B257" s="99"/>
      <x:c r="C257" s="99"/>
      <x:c r="D257" s="99"/>
      <x:c r="E257" s="99"/>
      <x:c r="F257" s="99"/>
      <x:c r="G257" s="99"/>
      <x:c r="H257" s="99"/>
      <x:c r="I257" s="99"/>
      <x:c r="J257" s="99"/>
      <x:c r="K257" s="99"/>
      <x:c r="L257" s="99"/>
      <x:c r="M257" s="99"/>
      <x:c r="N257" s="99"/>
      <x:c r="O257" s="99"/>
      <x:c r="P257" s="99"/>
      <x:c r="Q257" s="99"/>
      <x:c r="R257" s="99"/>
      <x:c r="S257" s="99"/>
      <x:c r="T257" s="99"/>
      <x:c r="U257" s="99"/>
      <x:c r="V257" s="99"/>
      <x:c r="W257" s="99"/>
      <x:c r="X257" s="99"/>
      <x:c r="Y257" s="99"/>
      <x:c r="Z257" s="99"/>
    </x:row>
    <x:row r="258">
      <x:c r="A258" s="99"/>
      <x:c r="B258" s="99"/>
      <x:c r="C258" s="99"/>
      <x:c r="D258" s="99"/>
      <x:c r="E258" s="99"/>
      <x:c r="F258" s="99"/>
      <x:c r="G258" s="99"/>
      <x:c r="H258" s="99"/>
      <x:c r="I258" s="99"/>
      <x:c r="J258" s="99"/>
      <x:c r="K258" s="99"/>
      <x:c r="L258" s="99"/>
      <x:c r="M258" s="99"/>
      <x:c r="N258" s="99"/>
      <x:c r="O258" s="99"/>
      <x:c r="P258" s="99"/>
      <x:c r="Q258" s="99"/>
      <x:c r="R258" s="99"/>
      <x:c r="S258" s="99"/>
      <x:c r="T258" s="99"/>
      <x:c r="U258" s="99"/>
      <x:c r="V258" s="99"/>
      <x:c r="W258" s="99"/>
      <x:c r="X258" s="99"/>
      <x:c r="Y258" s="99"/>
      <x:c r="Z258" s="99"/>
    </x:row>
    <x:row r="259">
      <x:c r="A259" s="99"/>
      <x:c r="B259" s="99"/>
      <x:c r="C259" s="99"/>
      <x:c r="D259" s="99"/>
      <x:c r="E259" s="99"/>
      <x:c r="F259" s="99"/>
      <x:c r="G259" s="99"/>
      <x:c r="H259" s="99"/>
      <x:c r="I259" s="99"/>
      <x:c r="J259" s="99"/>
      <x:c r="K259" s="99"/>
      <x:c r="L259" s="99"/>
      <x:c r="M259" s="99"/>
      <x:c r="N259" s="99"/>
      <x:c r="O259" s="99"/>
      <x:c r="P259" s="99"/>
      <x:c r="Q259" s="99"/>
      <x:c r="R259" s="99"/>
      <x:c r="S259" s="99"/>
      <x:c r="T259" s="99"/>
      <x:c r="U259" s="99"/>
      <x:c r="V259" s="99"/>
      <x:c r="W259" s="99"/>
      <x:c r="X259" s="99"/>
      <x:c r="Y259" s="99"/>
      <x:c r="Z259" s="99"/>
    </x:row>
    <x:row r="260">
      <x:c r="A260" s="99"/>
      <x:c r="B260" s="99"/>
      <x:c r="C260" s="99"/>
      <x:c r="D260" s="99"/>
      <x:c r="E260" s="99"/>
      <x:c r="F260" s="99"/>
      <x:c r="G260" s="99"/>
      <x:c r="H260" s="99"/>
      <x:c r="I260" s="99"/>
      <x:c r="J260" s="99"/>
      <x:c r="K260" s="99"/>
      <x:c r="L260" s="99"/>
      <x:c r="M260" s="99"/>
      <x:c r="N260" s="99"/>
      <x:c r="O260" s="99"/>
      <x:c r="P260" s="99"/>
      <x:c r="Q260" s="99"/>
      <x:c r="R260" s="99"/>
      <x:c r="S260" s="99"/>
      <x:c r="T260" s="99"/>
      <x:c r="U260" s="99"/>
      <x:c r="V260" s="99"/>
      <x:c r="W260" s="99"/>
      <x:c r="X260" s="99"/>
      <x:c r="Y260" s="99"/>
      <x:c r="Z260" s="99"/>
    </x:row>
    <x:row r="261">
      <x:c r="A261" s="99"/>
      <x:c r="B261" s="99"/>
      <x:c r="C261" s="99"/>
      <x:c r="D261" s="99"/>
      <x:c r="E261" s="99"/>
      <x:c r="F261" s="99"/>
      <x:c r="G261" s="99"/>
      <x:c r="H261" s="99"/>
      <x:c r="I261" s="99"/>
      <x:c r="J261" s="99"/>
      <x:c r="K261" s="99"/>
      <x:c r="L261" s="99"/>
      <x:c r="M261" s="99"/>
      <x:c r="N261" s="99"/>
      <x:c r="O261" s="99"/>
      <x:c r="P261" s="99"/>
      <x:c r="Q261" s="99"/>
      <x:c r="R261" s="99"/>
      <x:c r="S261" s="99"/>
      <x:c r="T261" s="99"/>
      <x:c r="U261" s="99"/>
      <x:c r="V261" s="99"/>
      <x:c r="W261" s="99"/>
      <x:c r="X261" s="99"/>
      <x:c r="Y261" s="99"/>
      <x:c r="Z261" s="99"/>
    </x:row>
    <x:row r="262">
      <x:c r="A262" s="99"/>
      <x:c r="B262" s="99"/>
      <x:c r="C262" s="99"/>
      <x:c r="D262" s="99"/>
      <x:c r="E262" s="99"/>
      <x:c r="F262" s="99"/>
      <x:c r="G262" s="99"/>
      <x:c r="H262" s="99"/>
      <x:c r="I262" s="99"/>
      <x:c r="J262" s="99"/>
      <x:c r="K262" s="99"/>
      <x:c r="L262" s="99"/>
      <x:c r="M262" s="99"/>
      <x:c r="N262" s="99"/>
      <x:c r="O262" s="99"/>
      <x:c r="P262" s="99"/>
      <x:c r="Q262" s="99"/>
      <x:c r="R262" s="99"/>
      <x:c r="S262" s="99"/>
      <x:c r="T262" s="99"/>
      <x:c r="U262" s="99"/>
      <x:c r="V262" s="99"/>
      <x:c r="W262" s="99"/>
      <x:c r="X262" s="99"/>
      <x:c r="Y262" s="99"/>
      <x:c r="Z262" s="99"/>
    </x:row>
    <x:row r="263">
      <x:c r="A263" s="99"/>
      <x:c r="B263" s="99"/>
      <x:c r="C263" s="99"/>
      <x:c r="D263" s="99"/>
      <x:c r="E263" s="99"/>
      <x:c r="F263" s="99"/>
      <x:c r="G263" s="99"/>
      <x:c r="H263" s="99"/>
      <x:c r="I263" s="99"/>
      <x:c r="J263" s="99"/>
      <x:c r="K263" s="99"/>
      <x:c r="L263" s="99"/>
      <x:c r="M263" s="99"/>
      <x:c r="N263" s="99"/>
      <x:c r="O263" s="99"/>
      <x:c r="P263" s="99"/>
      <x:c r="Q263" s="99"/>
      <x:c r="R263" s="99"/>
      <x:c r="S263" s="99"/>
      <x:c r="T263" s="99"/>
      <x:c r="U263" s="99"/>
      <x:c r="V263" s="99"/>
      <x:c r="W263" s="99"/>
      <x:c r="X263" s="99"/>
      <x:c r="Y263" s="99"/>
      <x:c r="Z263" s="99"/>
    </x:row>
    <x:row r="264">
      <x:c r="A264" s="99"/>
      <x:c r="B264" s="99"/>
      <x:c r="C264" s="99"/>
      <x:c r="D264" s="99"/>
      <x:c r="E264" s="99"/>
      <x:c r="F264" s="99"/>
      <x:c r="G264" s="99"/>
      <x:c r="H264" s="99"/>
      <x:c r="I264" s="99"/>
      <x:c r="J264" s="99"/>
      <x:c r="K264" s="99"/>
      <x:c r="L264" s="99"/>
      <x:c r="M264" s="99"/>
      <x:c r="N264" s="99"/>
      <x:c r="O264" s="99"/>
      <x:c r="P264" s="99"/>
      <x:c r="Q264" s="99"/>
      <x:c r="R264" s="99"/>
      <x:c r="S264" s="99"/>
      <x:c r="T264" s="99"/>
      <x:c r="U264" s="99"/>
      <x:c r="V264" s="99"/>
      <x:c r="W264" s="99"/>
      <x:c r="X264" s="99"/>
      <x:c r="Y264" s="99"/>
      <x:c r="Z264" s="99"/>
    </x:row>
    <x:row r="265">
      <x:c r="A265" s="99"/>
      <x:c r="B265" s="99"/>
      <x:c r="C265" s="99"/>
      <x:c r="D265" s="99"/>
      <x:c r="E265" s="99"/>
      <x:c r="F265" s="99"/>
      <x:c r="G265" s="99"/>
      <x:c r="H265" s="99"/>
      <x:c r="I265" s="99"/>
      <x:c r="J265" s="99"/>
      <x:c r="K265" s="99"/>
      <x:c r="L265" s="99"/>
      <x:c r="M265" s="99"/>
      <x:c r="N265" s="99"/>
      <x:c r="O265" s="99"/>
      <x:c r="P265" s="99"/>
      <x:c r="Q265" s="99"/>
      <x:c r="R265" s="99"/>
      <x:c r="S265" s="99"/>
      <x:c r="T265" s="99"/>
      <x:c r="U265" s="99"/>
      <x:c r="V265" s="99"/>
      <x:c r="W265" s="99"/>
      <x:c r="X265" s="99"/>
      <x:c r="Y265" s="99"/>
      <x:c r="Z265" s="99"/>
    </x:row>
    <x:row r="266">
      <x:c r="A266" s="99"/>
      <x:c r="B266" s="99"/>
      <x:c r="C266" s="99"/>
      <x:c r="D266" s="99"/>
      <x:c r="E266" s="99"/>
      <x:c r="F266" s="99"/>
      <x:c r="G266" s="99"/>
      <x:c r="H266" s="99"/>
      <x:c r="I266" s="99"/>
      <x:c r="J266" s="99"/>
      <x:c r="K266" s="99"/>
      <x:c r="L266" s="99"/>
      <x:c r="M266" s="99"/>
      <x:c r="N266" s="99"/>
      <x:c r="O266" s="99"/>
      <x:c r="P266" s="99"/>
      <x:c r="Q266" s="99"/>
      <x:c r="R266" s="99"/>
      <x:c r="S266" s="99"/>
      <x:c r="T266" s="99"/>
      <x:c r="U266" s="99"/>
      <x:c r="V266" s="99"/>
      <x:c r="W266" s="99"/>
      <x:c r="X266" s="99"/>
      <x:c r="Y266" s="99"/>
      <x:c r="Z266" s="99"/>
    </x:row>
    <x:row r="267">
      <x:c r="A267" s="99"/>
      <x:c r="B267" s="99"/>
      <x:c r="C267" s="99"/>
      <x:c r="D267" s="99"/>
      <x:c r="E267" s="99"/>
      <x:c r="F267" s="99"/>
      <x:c r="G267" s="99"/>
      <x:c r="H267" s="99"/>
      <x:c r="I267" s="99"/>
      <x:c r="J267" s="99"/>
      <x:c r="K267" s="99"/>
      <x:c r="L267" s="99"/>
      <x:c r="M267" s="99"/>
      <x:c r="N267" s="99"/>
      <x:c r="O267" s="99"/>
      <x:c r="P267" s="99"/>
      <x:c r="Q267" s="99"/>
      <x:c r="R267" s="99"/>
      <x:c r="S267" s="99"/>
      <x:c r="T267" s="99"/>
      <x:c r="U267" s="99"/>
      <x:c r="V267" s="99"/>
      <x:c r="W267" s="99"/>
      <x:c r="X267" s="99"/>
      <x:c r="Y267" s="99"/>
      <x:c r="Z267" s="99"/>
    </x:row>
    <x:row r="268">
      <x:c r="A268" s="99"/>
      <x:c r="B268" s="99"/>
      <x:c r="C268" s="99"/>
      <x:c r="D268" s="99"/>
      <x:c r="E268" s="99"/>
      <x:c r="F268" s="99"/>
      <x:c r="G268" s="99"/>
      <x:c r="H268" s="99"/>
      <x:c r="I268" s="99"/>
      <x:c r="J268" s="99"/>
      <x:c r="K268" s="99"/>
      <x:c r="L268" s="99"/>
      <x:c r="M268" s="99"/>
      <x:c r="N268" s="99"/>
      <x:c r="O268" s="99"/>
      <x:c r="P268" s="99"/>
      <x:c r="Q268" s="99"/>
      <x:c r="R268" s="99"/>
      <x:c r="S268" s="99"/>
      <x:c r="T268" s="99"/>
      <x:c r="U268" s="99"/>
      <x:c r="V268" s="99"/>
      <x:c r="W268" s="99"/>
      <x:c r="X268" s="99"/>
      <x:c r="Y268" s="99"/>
      <x:c r="Z268" s="99"/>
    </x:row>
    <x:row r="269">
      <x:c r="A269" s="99"/>
      <x:c r="B269" s="99"/>
      <x:c r="C269" s="99"/>
      <x:c r="D269" s="99"/>
      <x:c r="E269" s="99"/>
      <x:c r="F269" s="99"/>
      <x:c r="G269" s="99"/>
      <x:c r="H269" s="99"/>
      <x:c r="I269" s="99"/>
      <x:c r="J269" s="99"/>
      <x:c r="K269" s="99"/>
      <x:c r="L269" s="99"/>
      <x:c r="M269" s="99"/>
      <x:c r="N269" s="99"/>
      <x:c r="O269" s="99"/>
      <x:c r="P269" s="99"/>
      <x:c r="Q269" s="99"/>
      <x:c r="R269" s="99"/>
      <x:c r="S269" s="99"/>
      <x:c r="T269" s="99"/>
      <x:c r="U269" s="99"/>
      <x:c r="V269" s="99"/>
      <x:c r="W269" s="99"/>
      <x:c r="X269" s="99"/>
      <x:c r="Y269" s="99"/>
      <x:c r="Z269" s="99"/>
    </x:row>
    <x:row r="270">
      <x:c r="A270" s="99"/>
      <x:c r="B270" s="99"/>
      <x:c r="C270" s="99"/>
      <x:c r="D270" s="99"/>
      <x:c r="E270" s="99"/>
      <x:c r="F270" s="99"/>
      <x:c r="G270" s="99"/>
      <x:c r="H270" s="99"/>
      <x:c r="I270" s="99"/>
      <x:c r="J270" s="99"/>
      <x:c r="K270" s="99"/>
      <x:c r="L270" s="99"/>
      <x:c r="M270" s="99"/>
      <x:c r="N270" s="99"/>
      <x:c r="O270" s="99"/>
      <x:c r="P270" s="99"/>
      <x:c r="Q270" s="99"/>
      <x:c r="R270" s="99"/>
      <x:c r="S270" s="99"/>
      <x:c r="T270" s="99"/>
      <x:c r="U270" s="99"/>
      <x:c r="V270" s="99"/>
      <x:c r="W270" s="99"/>
      <x:c r="X270" s="99"/>
      <x:c r="Y270" s="99"/>
      <x:c r="Z270" s="99"/>
    </x:row>
    <x:row r="271">
      <x:c r="A271" s="99"/>
      <x:c r="B271" s="99"/>
      <x:c r="C271" s="99"/>
      <x:c r="D271" s="99"/>
      <x:c r="E271" s="99"/>
      <x:c r="F271" s="99"/>
      <x:c r="G271" s="99"/>
      <x:c r="H271" s="99"/>
      <x:c r="I271" s="99"/>
      <x:c r="J271" s="99"/>
      <x:c r="K271" s="99"/>
      <x:c r="L271" s="99"/>
      <x:c r="M271" s="99"/>
      <x:c r="N271" s="99"/>
      <x:c r="O271" s="99"/>
      <x:c r="P271" s="99"/>
      <x:c r="Q271" s="99"/>
      <x:c r="R271" s="99"/>
      <x:c r="S271" s="99"/>
      <x:c r="T271" s="99"/>
      <x:c r="U271" s="99"/>
      <x:c r="V271" s="99"/>
      <x:c r="W271" s="99"/>
      <x:c r="X271" s="99"/>
      <x:c r="Y271" s="99"/>
      <x:c r="Z271" s="99"/>
    </x:row>
    <x:row r="272">
      <x:c r="A272" s="99"/>
      <x:c r="B272" s="99"/>
      <x:c r="C272" s="99"/>
      <x:c r="D272" s="99"/>
      <x:c r="E272" s="99"/>
      <x:c r="F272" s="99"/>
      <x:c r="G272" s="99"/>
      <x:c r="H272" s="99"/>
      <x:c r="I272" s="99"/>
      <x:c r="J272" s="99"/>
      <x:c r="K272" s="99"/>
      <x:c r="L272" s="99"/>
      <x:c r="M272" s="99"/>
      <x:c r="N272" s="99"/>
      <x:c r="O272" s="99"/>
      <x:c r="P272" s="99"/>
      <x:c r="Q272" s="99"/>
      <x:c r="R272" s="99"/>
      <x:c r="S272" s="99"/>
      <x:c r="T272" s="99"/>
      <x:c r="U272" s="99"/>
      <x:c r="V272" s="99"/>
      <x:c r="W272" s="99"/>
      <x:c r="X272" s="99"/>
      <x:c r="Y272" s="99"/>
      <x:c r="Z272" s="99"/>
    </x:row>
    <x:row r="273">
      <x:c r="A273" s="99"/>
      <x:c r="B273" s="99"/>
      <x:c r="C273" s="99"/>
      <x:c r="D273" s="99"/>
      <x:c r="E273" s="99"/>
      <x:c r="F273" s="99"/>
      <x:c r="G273" s="99"/>
      <x:c r="H273" s="99"/>
      <x:c r="I273" s="99"/>
      <x:c r="J273" s="99"/>
      <x:c r="K273" s="99"/>
      <x:c r="L273" s="99"/>
      <x:c r="M273" s="99"/>
      <x:c r="N273" s="99"/>
      <x:c r="O273" s="99"/>
      <x:c r="P273" s="99"/>
      <x:c r="Q273" s="99"/>
      <x:c r="R273" s="99"/>
      <x:c r="S273" s="99"/>
      <x:c r="T273" s="99"/>
      <x:c r="U273" s="99"/>
      <x:c r="V273" s="99"/>
      <x:c r="W273" s="99"/>
      <x:c r="X273" s="99"/>
      <x:c r="Y273" s="99"/>
      <x:c r="Z273" s="99"/>
    </x:row>
    <x:row r="274">
      <x:c r="A274" s="99"/>
      <x:c r="B274" s="99"/>
      <x:c r="C274" s="99"/>
      <x:c r="D274" s="99"/>
      <x:c r="E274" s="99"/>
      <x:c r="F274" s="99"/>
      <x:c r="G274" s="99"/>
      <x:c r="H274" s="99"/>
      <x:c r="I274" s="99"/>
      <x:c r="J274" s="99"/>
      <x:c r="K274" s="99"/>
      <x:c r="L274" s="99"/>
      <x:c r="M274" s="99"/>
      <x:c r="N274" s="99"/>
      <x:c r="O274" s="99"/>
      <x:c r="P274" s="99"/>
      <x:c r="Q274" s="99"/>
      <x:c r="R274" s="99"/>
      <x:c r="S274" s="99"/>
      <x:c r="T274" s="99"/>
      <x:c r="U274" s="99"/>
      <x:c r="V274" s="99"/>
      <x:c r="W274" s="99"/>
      <x:c r="X274" s="99"/>
      <x:c r="Y274" s="99"/>
      <x:c r="Z274" s="99"/>
    </x:row>
    <x:row r="275">
      <x:c r="A275" s="99"/>
      <x:c r="B275" s="99"/>
      <x:c r="C275" s="99"/>
      <x:c r="D275" s="99"/>
      <x:c r="E275" s="99"/>
      <x:c r="F275" s="99"/>
      <x:c r="G275" s="99"/>
      <x:c r="H275" s="99"/>
      <x:c r="I275" s="99"/>
      <x:c r="J275" s="99"/>
      <x:c r="K275" s="99"/>
      <x:c r="L275" s="99"/>
      <x:c r="M275" s="99"/>
      <x:c r="N275" s="99"/>
      <x:c r="O275" s="99"/>
      <x:c r="P275" s="99"/>
      <x:c r="Q275" s="99"/>
      <x:c r="R275" s="99"/>
      <x:c r="S275" s="99"/>
      <x:c r="T275" s="99"/>
      <x:c r="U275" s="99"/>
      <x:c r="V275" s="99"/>
      <x:c r="W275" s="99"/>
      <x:c r="X275" s="99"/>
      <x:c r="Y275" s="99"/>
      <x:c r="Z275" s="99"/>
    </x:row>
    <x:row r="276">
      <x:c r="A276" s="99"/>
      <x:c r="B276" s="99"/>
      <x:c r="C276" s="99"/>
      <x:c r="D276" s="99"/>
      <x:c r="E276" s="99"/>
      <x:c r="F276" s="99"/>
      <x:c r="G276" s="99"/>
      <x:c r="H276" s="99"/>
      <x:c r="I276" s="99"/>
      <x:c r="J276" s="99"/>
      <x:c r="K276" s="99"/>
      <x:c r="L276" s="99"/>
      <x:c r="M276" s="99"/>
      <x:c r="N276" s="99"/>
      <x:c r="O276" s="99"/>
      <x:c r="P276" s="99"/>
      <x:c r="Q276" s="99"/>
      <x:c r="R276" s="99"/>
      <x:c r="S276" s="99"/>
      <x:c r="T276" s="99"/>
      <x:c r="U276" s="99"/>
      <x:c r="V276" s="99"/>
      <x:c r="W276" s="99"/>
      <x:c r="X276" s="99"/>
      <x:c r="Y276" s="99"/>
      <x:c r="Z276" s="99"/>
    </x:row>
    <x:row r="277">
      <x:c r="A277" s="99"/>
      <x:c r="B277" s="99"/>
      <x:c r="C277" s="99"/>
      <x:c r="D277" s="99"/>
      <x:c r="E277" s="99"/>
      <x:c r="F277" s="99"/>
      <x:c r="G277" s="99"/>
      <x:c r="H277" s="99"/>
      <x:c r="I277" s="99"/>
      <x:c r="J277" s="99"/>
      <x:c r="K277" s="99"/>
      <x:c r="L277" s="99"/>
      <x:c r="M277" s="99"/>
      <x:c r="N277" s="99"/>
      <x:c r="O277" s="99"/>
      <x:c r="P277" s="99"/>
      <x:c r="Q277" s="99"/>
      <x:c r="R277" s="99"/>
      <x:c r="S277" s="99"/>
      <x:c r="T277" s="99"/>
      <x:c r="U277" s="99"/>
      <x:c r="V277" s="99"/>
      <x:c r="W277" s="99"/>
      <x:c r="X277" s="99"/>
      <x:c r="Y277" s="99"/>
      <x:c r="Z277" s="99"/>
    </x:row>
    <x:row r="278">
      <x:c r="A278" s="99"/>
      <x:c r="B278" s="99"/>
      <x:c r="C278" s="99"/>
      <x:c r="D278" s="99"/>
      <x:c r="E278" s="99"/>
      <x:c r="F278" s="99"/>
      <x:c r="G278" s="99"/>
      <x:c r="H278" s="99"/>
      <x:c r="I278" s="99"/>
      <x:c r="J278" s="99"/>
      <x:c r="K278" s="99"/>
      <x:c r="L278" s="99"/>
      <x:c r="M278" s="99"/>
      <x:c r="N278" s="99"/>
      <x:c r="O278" s="99"/>
      <x:c r="P278" s="99"/>
      <x:c r="Q278" s="99"/>
      <x:c r="R278" s="99"/>
      <x:c r="S278" s="99"/>
      <x:c r="T278" s="99"/>
      <x:c r="U278" s="99"/>
      <x:c r="V278" s="99"/>
      <x:c r="W278" s="99"/>
      <x:c r="X278" s="99"/>
      <x:c r="Y278" s="99"/>
      <x:c r="Z278" s="99"/>
    </x:row>
    <x:row r="279">
      <x:c r="A279" s="99"/>
      <x:c r="B279" s="99"/>
      <x:c r="C279" s="99"/>
      <x:c r="D279" s="99"/>
      <x:c r="E279" s="99"/>
      <x:c r="F279" s="99"/>
      <x:c r="G279" s="99"/>
      <x:c r="H279" s="99"/>
      <x:c r="I279" s="99"/>
      <x:c r="J279" s="99"/>
      <x:c r="K279" s="99"/>
      <x:c r="L279" s="99"/>
      <x:c r="M279" s="99"/>
      <x:c r="N279" s="99"/>
      <x:c r="O279" s="99"/>
      <x:c r="P279" s="99"/>
      <x:c r="Q279" s="99"/>
      <x:c r="R279" s="99"/>
      <x:c r="S279" s="99"/>
      <x:c r="T279" s="99"/>
      <x:c r="U279" s="99"/>
      <x:c r="V279" s="99"/>
      <x:c r="W279" s="99"/>
      <x:c r="X279" s="99"/>
      <x:c r="Y279" s="99"/>
      <x:c r="Z279" s="99"/>
    </x:row>
    <x:row r="280">
      <x:c r="A280" s="99"/>
      <x:c r="B280" s="99"/>
      <x:c r="C280" s="99"/>
      <x:c r="D280" s="99"/>
      <x:c r="E280" s="99"/>
      <x:c r="F280" s="99"/>
      <x:c r="G280" s="99"/>
      <x:c r="H280" s="99"/>
      <x:c r="I280" s="99"/>
      <x:c r="J280" s="99"/>
      <x:c r="K280" s="99"/>
      <x:c r="L280" s="99"/>
      <x:c r="M280" s="99"/>
      <x:c r="N280" s="99"/>
      <x:c r="O280" s="99"/>
      <x:c r="P280" s="99"/>
      <x:c r="Q280" s="99"/>
      <x:c r="R280" s="99"/>
      <x:c r="S280" s="99"/>
      <x:c r="T280" s="99"/>
      <x:c r="U280" s="99"/>
      <x:c r="V280" s="99"/>
      <x:c r="W280" s="99"/>
      <x:c r="X280" s="99"/>
      <x:c r="Y280" s="99"/>
      <x:c r="Z280" s="99"/>
    </x:row>
    <x:row r="281">
      <x:c r="A281" s="99"/>
      <x:c r="B281" s="99"/>
      <x:c r="C281" s="99"/>
      <x:c r="D281" s="99"/>
      <x:c r="E281" s="99"/>
      <x:c r="F281" s="99"/>
      <x:c r="G281" s="99"/>
      <x:c r="H281" s="99"/>
      <x:c r="I281" s="99"/>
      <x:c r="J281" s="99"/>
      <x:c r="K281" s="99"/>
      <x:c r="L281" s="99"/>
      <x:c r="M281" s="99"/>
      <x:c r="N281" s="99"/>
      <x:c r="O281" s="99"/>
      <x:c r="P281" s="99"/>
      <x:c r="Q281" s="99"/>
      <x:c r="R281" s="99"/>
      <x:c r="S281" s="99"/>
      <x:c r="T281" s="99"/>
      <x:c r="U281" s="99"/>
      <x:c r="V281" s="99"/>
      <x:c r="W281" s="99"/>
      <x:c r="X281" s="99"/>
      <x:c r="Y281" s="99"/>
      <x:c r="Z281" s="99"/>
    </x:row>
    <x:row r="282">
      <x:c r="A282" s="99"/>
      <x:c r="B282" s="99"/>
      <x:c r="C282" s="99"/>
      <x:c r="D282" s="99"/>
      <x:c r="E282" s="99"/>
      <x:c r="F282" s="99"/>
      <x:c r="G282" s="99"/>
      <x:c r="H282" s="99"/>
      <x:c r="I282" s="99"/>
      <x:c r="J282" s="99"/>
      <x:c r="K282" s="99"/>
      <x:c r="L282" s="99"/>
      <x:c r="M282" s="99"/>
      <x:c r="N282" s="99"/>
      <x:c r="O282" s="99"/>
      <x:c r="P282" s="99"/>
      <x:c r="Q282" s="99"/>
      <x:c r="R282" s="99"/>
      <x:c r="S282" s="99"/>
      <x:c r="T282" s="99"/>
      <x:c r="U282" s="99"/>
      <x:c r="V282" s="99"/>
      <x:c r="W282" s="99"/>
      <x:c r="X282" s="99"/>
      <x:c r="Y282" s="99"/>
      <x:c r="Z282" s="99"/>
    </x:row>
    <x:row r="283">
      <x:c r="A283" s="99"/>
      <x:c r="B283" s="99"/>
      <x:c r="C283" s="99"/>
      <x:c r="D283" s="99"/>
      <x:c r="E283" s="99"/>
      <x:c r="F283" s="99"/>
      <x:c r="G283" s="99"/>
      <x:c r="H283" s="99"/>
      <x:c r="I283" s="99"/>
      <x:c r="J283" s="99"/>
      <x:c r="K283" s="99"/>
      <x:c r="L283" s="99"/>
      <x:c r="M283" s="99"/>
      <x:c r="N283" s="99"/>
      <x:c r="O283" s="99"/>
      <x:c r="P283" s="99"/>
      <x:c r="Q283" s="99"/>
      <x:c r="R283" s="99"/>
      <x:c r="S283" s="99"/>
      <x:c r="T283" s="99"/>
      <x:c r="U283" s="99"/>
      <x:c r="V283" s="99"/>
      <x:c r="W283" s="99"/>
      <x:c r="X283" s="99"/>
      <x:c r="Y283" s="99"/>
      <x:c r="Z283" s="99"/>
    </x:row>
    <x:row r="284">
      <x:c r="A284" s="99"/>
      <x:c r="B284" s="99"/>
      <x:c r="C284" s="99"/>
      <x:c r="D284" s="99"/>
      <x:c r="E284" s="99"/>
      <x:c r="F284" s="99"/>
      <x:c r="G284" s="99"/>
      <x:c r="H284" s="99"/>
      <x:c r="I284" s="99"/>
      <x:c r="J284" s="99"/>
      <x:c r="K284" s="99"/>
      <x:c r="L284" s="99"/>
      <x:c r="M284" s="99"/>
      <x:c r="N284" s="99"/>
      <x:c r="O284" s="99"/>
      <x:c r="P284" s="99"/>
      <x:c r="Q284" s="99"/>
      <x:c r="R284" s="99"/>
      <x:c r="S284" s="99"/>
      <x:c r="T284" s="99"/>
      <x:c r="U284" s="99"/>
      <x:c r="V284" s="99"/>
      <x:c r="W284" s="99"/>
      <x:c r="X284" s="99"/>
      <x:c r="Y284" s="99"/>
      <x:c r="Z284" s="99"/>
    </x:row>
    <x:row r="285">
      <x:c r="A285" s="99"/>
      <x:c r="B285" s="99"/>
      <x:c r="C285" s="99"/>
      <x:c r="D285" s="99"/>
      <x:c r="E285" s="99"/>
      <x:c r="F285" s="99"/>
      <x:c r="G285" s="99"/>
      <x:c r="H285" s="99"/>
      <x:c r="I285" s="99"/>
      <x:c r="J285" s="99"/>
      <x:c r="K285" s="99"/>
      <x:c r="L285" s="99"/>
      <x:c r="M285" s="99"/>
      <x:c r="N285" s="99"/>
      <x:c r="O285" s="99"/>
      <x:c r="P285" s="99"/>
      <x:c r="Q285" s="99"/>
      <x:c r="R285" s="99"/>
      <x:c r="S285" s="99"/>
      <x:c r="T285" s="99"/>
      <x:c r="U285" s="99"/>
      <x:c r="V285" s="99"/>
      <x:c r="W285" s="99"/>
      <x:c r="X285" s="99"/>
      <x:c r="Y285" s="99"/>
      <x:c r="Z285" s="99"/>
    </x:row>
    <x:row r="286">
      <x:c r="A286" s="99"/>
      <x:c r="B286" s="99"/>
      <x:c r="C286" s="99"/>
      <x:c r="D286" s="99"/>
      <x:c r="E286" s="99"/>
      <x:c r="F286" s="99"/>
      <x:c r="G286" s="99"/>
      <x:c r="H286" s="99"/>
      <x:c r="I286" s="99"/>
      <x:c r="J286" s="99"/>
      <x:c r="K286" s="99"/>
      <x:c r="L286" s="99"/>
      <x:c r="M286" s="99"/>
      <x:c r="N286" s="99"/>
      <x:c r="O286" s="99"/>
      <x:c r="P286" s="99"/>
      <x:c r="Q286" s="99"/>
      <x:c r="R286" s="99"/>
      <x:c r="S286" s="99"/>
      <x:c r="T286" s="99"/>
      <x:c r="U286" s="99"/>
      <x:c r="V286" s="99"/>
      <x:c r="W286" s="99"/>
      <x:c r="X286" s="99"/>
      <x:c r="Y286" s="99"/>
      <x:c r="Z286" s="99"/>
    </x:row>
    <x:row r="287">
      <x:c r="A287" s="99"/>
      <x:c r="B287" s="99"/>
      <x:c r="C287" s="99"/>
      <x:c r="D287" s="99"/>
      <x:c r="E287" s="99"/>
      <x:c r="F287" s="99"/>
      <x:c r="G287" s="99"/>
      <x:c r="H287" s="99"/>
      <x:c r="I287" s="99"/>
      <x:c r="J287" s="99"/>
      <x:c r="K287" s="99"/>
      <x:c r="L287" s="99"/>
      <x:c r="M287" s="99"/>
      <x:c r="N287" s="99"/>
      <x:c r="O287" s="99"/>
      <x:c r="P287" s="99"/>
      <x:c r="Q287" s="99"/>
      <x:c r="R287" s="99"/>
      <x:c r="S287" s="99"/>
      <x:c r="T287" s="99"/>
      <x:c r="U287" s="99"/>
      <x:c r="V287" s="99"/>
      <x:c r="W287" s="99"/>
      <x:c r="X287" s="99"/>
      <x:c r="Y287" s="99"/>
      <x:c r="Z287" s="99"/>
    </x:row>
    <x:row r="288">
      <x:c r="A288" s="99"/>
      <x:c r="B288" s="99"/>
      <x:c r="C288" s="99"/>
      <x:c r="D288" s="99"/>
      <x:c r="E288" s="99"/>
      <x:c r="F288" s="99"/>
      <x:c r="G288" s="99"/>
      <x:c r="H288" s="99"/>
      <x:c r="I288" s="99"/>
      <x:c r="J288" s="99"/>
      <x:c r="K288" s="99"/>
      <x:c r="L288" s="99"/>
      <x:c r="M288" s="99"/>
      <x:c r="N288" s="99"/>
      <x:c r="O288" s="99"/>
      <x:c r="P288" s="99"/>
      <x:c r="Q288" s="99"/>
      <x:c r="R288" s="99"/>
      <x:c r="S288" s="99"/>
      <x:c r="T288" s="99"/>
      <x:c r="U288" s="99"/>
      <x:c r="V288" s="99"/>
      <x:c r="W288" s="99"/>
      <x:c r="X288" s="99"/>
      <x:c r="Y288" s="99"/>
      <x:c r="Z288" s="99"/>
    </x:row>
    <x:row r="289">
      <x:c r="A289" s="99"/>
      <x:c r="B289" s="99"/>
      <x:c r="C289" s="99"/>
      <x:c r="D289" s="99"/>
      <x:c r="E289" s="99"/>
      <x:c r="F289" s="99"/>
      <x:c r="G289" s="99"/>
      <x:c r="H289" s="99"/>
      <x:c r="I289" s="99"/>
      <x:c r="J289" s="99"/>
      <x:c r="K289" s="99"/>
      <x:c r="L289" s="99"/>
      <x:c r="M289" s="99"/>
      <x:c r="N289" s="99"/>
      <x:c r="O289" s="99"/>
      <x:c r="P289" s="99"/>
      <x:c r="Q289" s="99"/>
      <x:c r="R289" s="99"/>
      <x:c r="S289" s="99"/>
      <x:c r="T289" s="99"/>
      <x:c r="U289" s="99"/>
      <x:c r="V289" s="99"/>
      <x:c r="W289" s="99"/>
      <x:c r="X289" s="99"/>
      <x:c r="Y289" s="99"/>
      <x:c r="Z289" s="99"/>
    </x:row>
    <x:row r="290">
      <x:c r="A290" s="99"/>
      <x:c r="B290" s="99"/>
      <x:c r="C290" s="99"/>
      <x:c r="D290" s="99"/>
      <x:c r="E290" s="99"/>
      <x:c r="F290" s="99"/>
      <x:c r="G290" s="99"/>
      <x:c r="H290" s="99"/>
      <x:c r="I290" s="99"/>
      <x:c r="J290" s="99"/>
      <x:c r="K290" s="99"/>
      <x:c r="L290" s="99"/>
      <x:c r="M290" s="99"/>
      <x:c r="N290" s="99"/>
      <x:c r="O290" s="99"/>
      <x:c r="P290" s="99"/>
      <x:c r="Q290" s="99"/>
      <x:c r="R290" s="99"/>
      <x:c r="S290" s="99"/>
      <x:c r="T290" s="99"/>
      <x:c r="U290" s="99"/>
      <x:c r="V290" s="99"/>
      <x:c r="W290" s="99"/>
      <x:c r="X290" s="99"/>
      <x:c r="Y290" s="99"/>
      <x:c r="Z290" s="99"/>
    </x:row>
    <x:row r="291">
      <x:c r="A291" s="99"/>
      <x:c r="B291" s="99"/>
      <x:c r="C291" s="99"/>
      <x:c r="D291" s="99"/>
      <x:c r="E291" s="99"/>
      <x:c r="F291" s="99"/>
      <x:c r="G291" s="99"/>
      <x:c r="H291" s="99"/>
      <x:c r="I291" s="99"/>
      <x:c r="J291" s="99"/>
      <x:c r="K291" s="99"/>
      <x:c r="L291" s="99"/>
      <x:c r="M291" s="99"/>
      <x:c r="N291" s="99"/>
      <x:c r="O291" s="99"/>
      <x:c r="P291" s="99"/>
      <x:c r="Q291" s="99"/>
      <x:c r="R291" s="99"/>
      <x:c r="S291" s="99"/>
      <x:c r="T291" s="99"/>
      <x:c r="U291" s="99"/>
      <x:c r="V291" s="99"/>
      <x:c r="W291" s="99"/>
      <x:c r="X291" s="99"/>
      <x:c r="Y291" s="99"/>
      <x:c r="Z291" s="99"/>
    </x:row>
    <x:row r="292">
      <x:c r="A292" s="99"/>
      <x:c r="B292" s="99"/>
      <x:c r="C292" s="99"/>
      <x:c r="D292" s="99"/>
      <x:c r="E292" s="99"/>
      <x:c r="F292" s="99"/>
      <x:c r="G292" s="99"/>
      <x:c r="H292" s="99"/>
      <x:c r="I292" s="99"/>
      <x:c r="J292" s="99"/>
      <x:c r="K292" s="99"/>
      <x:c r="L292" s="99"/>
      <x:c r="M292" s="99"/>
      <x:c r="N292" s="99"/>
      <x:c r="O292" s="99"/>
      <x:c r="P292" s="99"/>
      <x:c r="Q292" s="99"/>
      <x:c r="R292" s="99"/>
      <x:c r="S292" s="99"/>
      <x:c r="T292" s="99"/>
      <x:c r="U292" s="99"/>
      <x:c r="V292" s="99"/>
      <x:c r="W292" s="99"/>
      <x:c r="X292" s="99"/>
      <x:c r="Y292" s="99"/>
      <x:c r="Z292" s="99"/>
    </x:row>
    <x:row r="293">
      <x:c r="A293" s="99"/>
      <x:c r="B293" s="99"/>
      <x:c r="C293" s="99"/>
      <x:c r="D293" s="99"/>
      <x:c r="E293" s="99"/>
      <x:c r="F293" s="99"/>
      <x:c r="G293" s="99"/>
      <x:c r="H293" s="99"/>
      <x:c r="I293" s="99"/>
      <x:c r="J293" s="99"/>
      <x:c r="K293" s="99"/>
      <x:c r="L293" s="99"/>
      <x:c r="M293" s="99"/>
      <x:c r="N293" s="99"/>
      <x:c r="O293" s="99"/>
      <x:c r="P293" s="99"/>
      <x:c r="Q293" s="99"/>
      <x:c r="R293" s="99"/>
      <x:c r="S293" s="99"/>
      <x:c r="T293" s="99"/>
      <x:c r="U293" s="99"/>
      <x:c r="V293" s="99"/>
      <x:c r="W293" s="99"/>
      <x:c r="X293" s="99"/>
      <x:c r="Y293" s="99"/>
      <x:c r="Z293" s="99"/>
    </x:row>
    <x:row r="294">
      <x:c r="A294" s="99"/>
      <x:c r="B294" s="99"/>
      <x:c r="C294" s="99"/>
      <x:c r="D294" s="99"/>
      <x:c r="E294" s="99"/>
      <x:c r="F294" s="99"/>
      <x:c r="G294" s="99"/>
      <x:c r="H294" s="99"/>
      <x:c r="I294" s="99"/>
      <x:c r="J294" s="99"/>
      <x:c r="K294" s="99"/>
      <x:c r="L294" s="99"/>
      <x:c r="M294" s="99"/>
      <x:c r="N294" s="99"/>
      <x:c r="O294" s="99"/>
      <x:c r="P294" s="99"/>
      <x:c r="Q294" s="99"/>
      <x:c r="R294" s="99"/>
      <x:c r="S294" s="99"/>
      <x:c r="T294" s="99"/>
      <x:c r="U294" s="99"/>
      <x:c r="V294" s="99"/>
      <x:c r="W294" s="99"/>
      <x:c r="X294" s="99"/>
      <x:c r="Y294" s="99"/>
      <x:c r="Z294" s="99"/>
    </x:row>
    <x:row r="295">
      <x:c r="A295" s="99"/>
      <x:c r="B295" s="99"/>
      <x:c r="C295" s="99"/>
      <x:c r="D295" s="99"/>
      <x:c r="E295" s="99"/>
      <x:c r="F295" s="99"/>
      <x:c r="G295" s="99"/>
      <x:c r="H295" s="99"/>
      <x:c r="I295" s="99"/>
      <x:c r="J295" s="99"/>
      <x:c r="K295" s="99"/>
      <x:c r="L295" s="99"/>
      <x:c r="M295" s="99"/>
      <x:c r="N295" s="99"/>
      <x:c r="O295" s="99"/>
      <x:c r="P295" s="99"/>
      <x:c r="Q295" s="99"/>
      <x:c r="R295" s="99"/>
      <x:c r="S295" s="99"/>
      <x:c r="T295" s="99"/>
      <x:c r="U295" s="99"/>
      <x:c r="V295" s="99"/>
      <x:c r="W295" s="99"/>
      <x:c r="X295" s="99"/>
      <x:c r="Y295" s="99"/>
      <x:c r="Z295" s="99"/>
    </x:row>
    <x:row r="296">
      <x:c r="A296" s="99"/>
      <x:c r="B296" s="99"/>
      <x:c r="C296" s="99"/>
      <x:c r="D296" s="99"/>
      <x:c r="E296" s="99"/>
      <x:c r="F296" s="99"/>
      <x:c r="G296" s="99"/>
      <x:c r="H296" s="99"/>
      <x:c r="I296" s="99"/>
      <x:c r="J296" s="99"/>
      <x:c r="K296" s="99"/>
      <x:c r="L296" s="99"/>
      <x:c r="M296" s="99"/>
      <x:c r="N296" s="99"/>
      <x:c r="O296" s="99"/>
      <x:c r="P296" s="99"/>
      <x:c r="Q296" s="99"/>
      <x:c r="R296" s="99"/>
      <x:c r="S296" s="99"/>
      <x:c r="T296" s="99"/>
      <x:c r="U296" s="99"/>
      <x:c r="V296" s="99"/>
      <x:c r="W296" s="99"/>
      <x:c r="X296" s="99"/>
      <x:c r="Y296" s="99"/>
      <x:c r="Z296" s="99"/>
    </x:row>
    <x:row r="297">
      <x:c r="A297" s="99"/>
      <x:c r="B297" s="99"/>
      <x:c r="C297" s="99"/>
      <x:c r="D297" s="99"/>
      <x:c r="E297" s="99"/>
      <x:c r="F297" s="99"/>
      <x:c r="G297" s="99"/>
      <x:c r="H297" s="99"/>
      <x:c r="I297" s="99"/>
      <x:c r="J297" s="99"/>
      <x:c r="K297" s="99"/>
      <x:c r="L297" s="99"/>
      <x:c r="M297" s="99"/>
      <x:c r="N297" s="99"/>
      <x:c r="O297" s="99"/>
      <x:c r="P297" s="99"/>
      <x:c r="Q297" s="99"/>
      <x:c r="R297" s="99"/>
      <x:c r="S297" s="99"/>
      <x:c r="T297" s="99"/>
      <x:c r="U297" s="99"/>
      <x:c r="V297" s="99"/>
      <x:c r="W297" s="99"/>
      <x:c r="X297" s="99"/>
      <x:c r="Y297" s="99"/>
      <x:c r="Z297" s="99"/>
    </x:row>
    <x:row r="298">
      <x:c r="A298" s="99"/>
      <x:c r="B298" s="99"/>
      <x:c r="C298" s="99"/>
      <x:c r="D298" s="99"/>
      <x:c r="E298" s="99"/>
      <x:c r="F298" s="99"/>
      <x:c r="G298" s="99"/>
      <x:c r="H298" s="99"/>
      <x:c r="I298" s="99"/>
      <x:c r="J298" s="99"/>
      <x:c r="K298" s="99"/>
      <x:c r="L298" s="99"/>
      <x:c r="M298" s="99"/>
      <x:c r="N298" s="99"/>
      <x:c r="O298" s="99"/>
      <x:c r="P298" s="99"/>
      <x:c r="Q298" s="99"/>
      <x:c r="R298" s="99"/>
      <x:c r="S298" s="99"/>
      <x:c r="T298" s="99"/>
      <x:c r="U298" s="99"/>
      <x:c r="V298" s="99"/>
      <x:c r="W298" s="99"/>
      <x:c r="X298" s="99"/>
      <x:c r="Y298" s="99"/>
      <x:c r="Z298" s="99"/>
    </x:row>
    <x:row r="299">
      <x:c r="A299" s="99"/>
      <x:c r="B299" s="99"/>
      <x:c r="C299" s="99"/>
      <x:c r="D299" s="99"/>
      <x:c r="E299" s="99"/>
      <x:c r="F299" s="99"/>
      <x:c r="G299" s="99"/>
      <x:c r="H299" s="99"/>
      <x:c r="I299" s="99"/>
      <x:c r="J299" s="99"/>
      <x:c r="K299" s="99"/>
      <x:c r="L299" s="99"/>
      <x:c r="M299" s="99"/>
      <x:c r="N299" s="99"/>
      <x:c r="O299" s="99"/>
      <x:c r="P299" s="99"/>
      <x:c r="Q299" s="99"/>
      <x:c r="R299" s="99"/>
      <x:c r="S299" s="99"/>
      <x:c r="T299" s="99"/>
      <x:c r="U299" s="99"/>
      <x:c r="V299" s="99"/>
      <x:c r="W299" s="99"/>
      <x:c r="X299" s="99"/>
      <x:c r="Y299" s="99"/>
      <x:c r="Z299" s="99"/>
    </x:row>
    <x:row r="300">
      <x:c r="A300" s="99"/>
      <x:c r="B300" s="99"/>
      <x:c r="C300" s="99"/>
      <x:c r="D300" s="99"/>
      <x:c r="E300" s="99"/>
      <x:c r="F300" s="99"/>
      <x:c r="G300" s="99"/>
      <x:c r="H300" s="99"/>
      <x:c r="I300" s="99"/>
      <x:c r="J300" s="99"/>
      <x:c r="K300" s="99"/>
      <x:c r="L300" s="99"/>
      <x:c r="M300" s="99"/>
      <x:c r="N300" s="99"/>
      <x:c r="O300" s="99"/>
      <x:c r="P300" s="99"/>
      <x:c r="Q300" s="99"/>
      <x:c r="R300" s="99"/>
      <x:c r="S300" s="99"/>
      <x:c r="T300" s="99"/>
      <x:c r="U300" s="99"/>
      <x:c r="V300" s="99"/>
      <x:c r="W300" s="99"/>
      <x:c r="X300" s="99"/>
      <x:c r="Y300" s="99"/>
      <x:c r="Z300" s="99"/>
    </x:row>
    <x:row r="301">
      <x:c r="A301" s="99"/>
      <x:c r="B301" s="99"/>
      <x:c r="C301" s="99"/>
      <x:c r="D301" s="99"/>
      <x:c r="E301" s="99"/>
      <x:c r="F301" s="99"/>
      <x:c r="G301" s="99"/>
      <x:c r="H301" s="99"/>
      <x:c r="I301" s="99"/>
      <x:c r="J301" s="99"/>
      <x:c r="K301" s="99"/>
      <x:c r="L301" s="99"/>
      <x:c r="M301" s="99"/>
      <x:c r="N301" s="99"/>
      <x:c r="O301" s="99"/>
      <x:c r="P301" s="99"/>
      <x:c r="Q301" s="99"/>
      <x:c r="R301" s="99"/>
      <x:c r="S301" s="99"/>
      <x:c r="T301" s="99"/>
      <x:c r="U301" s="99"/>
      <x:c r="V301" s="99"/>
      <x:c r="W301" s="99"/>
      <x:c r="X301" s="99"/>
      <x:c r="Y301" s="99"/>
      <x:c r="Z301" s="99"/>
    </x:row>
    <x:row r="302">
      <x:c r="A302" s="99"/>
      <x:c r="B302" s="99"/>
      <x:c r="C302" s="99"/>
      <x:c r="D302" s="99"/>
      <x:c r="E302" s="99"/>
      <x:c r="F302" s="99"/>
      <x:c r="G302" s="99"/>
      <x:c r="H302" s="99"/>
      <x:c r="I302" s="99"/>
      <x:c r="J302" s="99"/>
      <x:c r="K302" s="99"/>
      <x:c r="L302" s="99"/>
      <x:c r="M302" s="99"/>
      <x:c r="N302" s="99"/>
      <x:c r="O302" s="99"/>
      <x:c r="P302" s="99"/>
      <x:c r="Q302" s="99"/>
      <x:c r="R302" s="99"/>
      <x:c r="S302" s="99"/>
      <x:c r="T302" s="99"/>
      <x:c r="U302" s="99"/>
      <x:c r="V302" s="99"/>
      <x:c r="W302" s="99"/>
      <x:c r="X302" s="99"/>
      <x:c r="Y302" s="99"/>
      <x:c r="Z302" s="99"/>
    </x:row>
    <x:row r="303">
      <x:c r="A303" s="99"/>
      <x:c r="B303" s="99"/>
      <x:c r="C303" s="99"/>
      <x:c r="D303" s="99"/>
      <x:c r="E303" s="99"/>
      <x:c r="F303" s="99"/>
      <x:c r="G303" s="99"/>
      <x:c r="H303" s="99"/>
      <x:c r="I303" s="99"/>
      <x:c r="J303" s="99"/>
      <x:c r="K303" s="99"/>
      <x:c r="L303" s="99"/>
      <x:c r="M303" s="99"/>
      <x:c r="N303" s="99"/>
      <x:c r="O303" s="99"/>
      <x:c r="P303" s="99"/>
      <x:c r="Q303" s="99"/>
      <x:c r="R303" s="99"/>
      <x:c r="S303" s="99"/>
      <x:c r="T303" s="99"/>
      <x:c r="U303" s="99"/>
      <x:c r="V303" s="99"/>
      <x:c r="W303" s="99"/>
      <x:c r="X303" s="99"/>
      <x:c r="Y303" s="99"/>
      <x:c r="Z303" s="99"/>
    </x:row>
    <x:row r="304">
      <x:c r="A304" s="99"/>
      <x:c r="B304" s="99"/>
      <x:c r="C304" s="99"/>
      <x:c r="D304" s="99"/>
      <x:c r="E304" s="99"/>
      <x:c r="F304" s="99"/>
      <x:c r="G304" s="99"/>
      <x:c r="H304" s="99"/>
      <x:c r="I304" s="99"/>
      <x:c r="J304" s="99"/>
      <x:c r="K304" s="99"/>
      <x:c r="L304" s="99"/>
      <x:c r="M304" s="99"/>
      <x:c r="N304" s="99"/>
      <x:c r="O304" s="99"/>
      <x:c r="P304" s="99"/>
      <x:c r="Q304" s="99"/>
      <x:c r="R304" s="99"/>
      <x:c r="S304" s="99"/>
      <x:c r="T304" s="99"/>
      <x:c r="U304" s="99"/>
      <x:c r="V304" s="99"/>
      <x:c r="W304" s="99"/>
      <x:c r="X304" s="99"/>
      <x:c r="Y304" s="99"/>
      <x:c r="Z304" s="99"/>
    </x:row>
    <x:row r="305">
      <x:c r="A305" s="99"/>
      <x:c r="B305" s="99"/>
      <x:c r="C305" s="99"/>
      <x:c r="D305" s="99"/>
      <x:c r="E305" s="99"/>
      <x:c r="F305" s="99"/>
      <x:c r="G305" s="99"/>
      <x:c r="H305" s="99"/>
      <x:c r="I305" s="99"/>
      <x:c r="J305" s="99"/>
      <x:c r="K305" s="99"/>
      <x:c r="L305" s="99"/>
      <x:c r="M305" s="99"/>
      <x:c r="N305" s="99"/>
      <x:c r="O305" s="99"/>
      <x:c r="P305" s="99"/>
      <x:c r="Q305" s="99"/>
      <x:c r="R305" s="99"/>
      <x:c r="S305" s="99"/>
      <x:c r="T305" s="99"/>
      <x:c r="U305" s="99"/>
      <x:c r="V305" s="99"/>
      <x:c r="W305" s="99"/>
      <x:c r="X305" s="99"/>
      <x:c r="Y305" s="99"/>
      <x:c r="Z305" s="99"/>
    </x:row>
    <x:row r="306">
      <x:c r="A306" s="99"/>
      <x:c r="B306" s="99"/>
      <x:c r="C306" s="99"/>
      <x:c r="D306" s="99"/>
      <x:c r="E306" s="99"/>
      <x:c r="F306" s="99"/>
      <x:c r="G306" s="99"/>
      <x:c r="H306" s="99"/>
      <x:c r="I306" s="99"/>
      <x:c r="J306" s="99"/>
      <x:c r="K306" s="99"/>
      <x:c r="L306" s="99"/>
      <x:c r="M306" s="99"/>
      <x:c r="N306" s="99"/>
      <x:c r="O306" s="99"/>
      <x:c r="P306" s="99"/>
      <x:c r="Q306" s="99"/>
      <x:c r="R306" s="99"/>
      <x:c r="S306" s="99"/>
      <x:c r="T306" s="99"/>
      <x:c r="U306" s="99"/>
      <x:c r="V306" s="99"/>
      <x:c r="W306" s="99"/>
      <x:c r="X306" s="99"/>
      <x:c r="Y306" s="99"/>
      <x:c r="Z306" s="99"/>
    </x:row>
    <x:row r="307">
      <x:c r="A307" s="99"/>
      <x:c r="B307" s="99"/>
      <x:c r="C307" s="99"/>
      <x:c r="D307" s="99"/>
      <x:c r="E307" s="99"/>
      <x:c r="F307" s="99"/>
      <x:c r="G307" s="99"/>
      <x:c r="H307" s="99"/>
      <x:c r="I307" s="99"/>
      <x:c r="J307" s="99"/>
      <x:c r="K307" s="99"/>
      <x:c r="L307" s="99"/>
      <x:c r="M307" s="99"/>
      <x:c r="N307" s="99"/>
      <x:c r="O307" s="99"/>
      <x:c r="P307" s="99"/>
      <x:c r="Q307" s="99"/>
      <x:c r="R307" s="99"/>
      <x:c r="S307" s="99"/>
      <x:c r="T307" s="99"/>
      <x:c r="U307" s="99"/>
      <x:c r="V307" s="99"/>
      <x:c r="W307" s="99"/>
      <x:c r="X307" s="99"/>
      <x:c r="Y307" s="99"/>
      <x:c r="Z307" s="99"/>
    </x:row>
    <x:row r="308">
      <x:c r="A308" s="99"/>
      <x:c r="B308" s="99"/>
      <x:c r="C308" s="99"/>
      <x:c r="D308" s="99"/>
      <x:c r="E308" s="99"/>
      <x:c r="F308" s="99"/>
      <x:c r="G308" s="99"/>
      <x:c r="H308" s="99"/>
      <x:c r="I308" s="99"/>
      <x:c r="J308" s="99"/>
      <x:c r="K308" s="99"/>
      <x:c r="L308" s="99"/>
      <x:c r="M308" s="99"/>
      <x:c r="N308" s="99"/>
      <x:c r="O308" s="99"/>
      <x:c r="P308" s="99"/>
      <x:c r="Q308" s="99"/>
      <x:c r="R308" s="99"/>
      <x:c r="S308" s="99"/>
      <x:c r="T308" s="99"/>
      <x:c r="U308" s="99"/>
      <x:c r="V308" s="99"/>
      <x:c r="W308" s="99"/>
      <x:c r="X308" s="99"/>
      <x:c r="Y308" s="99"/>
      <x:c r="Z308" s="99"/>
    </x:row>
    <x:row r="309">
      <x:c r="A309" s="99"/>
      <x:c r="B309" s="99"/>
      <x:c r="C309" s="99"/>
      <x:c r="D309" s="99"/>
      <x:c r="E309" s="99"/>
      <x:c r="F309" s="99"/>
      <x:c r="G309" s="99"/>
      <x:c r="H309" s="99"/>
      <x:c r="I309" s="99"/>
      <x:c r="J309" s="99"/>
      <x:c r="K309" s="99"/>
      <x:c r="L309" s="99"/>
      <x:c r="M309" s="99"/>
      <x:c r="N309" s="99"/>
      <x:c r="O309" s="99"/>
      <x:c r="P309" s="99"/>
      <x:c r="Q309" s="99"/>
      <x:c r="R309" s="99"/>
      <x:c r="S309" s="99"/>
      <x:c r="T309" s="99"/>
      <x:c r="U309" s="99"/>
      <x:c r="V309" s="99"/>
      <x:c r="W309" s="99"/>
      <x:c r="X309" s="99"/>
      <x:c r="Y309" s="99"/>
      <x:c r="Z309" s="99"/>
    </x:row>
    <x:row r="310">
      <x:c r="A310" s="99"/>
      <x:c r="B310" s="99"/>
      <x:c r="C310" s="99"/>
      <x:c r="D310" s="99"/>
      <x:c r="E310" s="99"/>
      <x:c r="F310" s="99"/>
      <x:c r="G310" s="99"/>
      <x:c r="H310" s="99"/>
      <x:c r="I310" s="99"/>
      <x:c r="J310" s="99"/>
      <x:c r="K310" s="99"/>
      <x:c r="L310" s="99"/>
      <x:c r="M310" s="99"/>
      <x:c r="N310" s="99"/>
      <x:c r="O310" s="99"/>
      <x:c r="P310" s="99"/>
      <x:c r="Q310" s="99"/>
      <x:c r="R310" s="99"/>
      <x:c r="S310" s="99"/>
      <x:c r="T310" s="99"/>
      <x:c r="U310" s="99"/>
      <x:c r="V310" s="99"/>
      <x:c r="W310" s="99"/>
      <x:c r="X310" s="99"/>
      <x:c r="Y310" s="99"/>
      <x:c r="Z310" s="99"/>
    </x:row>
    <x:row r="311">
      <x:c r="A311" s="99"/>
      <x:c r="B311" s="99"/>
      <x:c r="C311" s="99"/>
      <x:c r="D311" s="99"/>
      <x:c r="E311" s="99"/>
      <x:c r="F311" s="99"/>
      <x:c r="G311" s="99"/>
      <x:c r="H311" s="99"/>
      <x:c r="I311" s="99"/>
      <x:c r="J311" s="99"/>
      <x:c r="K311" s="99"/>
      <x:c r="L311" s="99"/>
      <x:c r="M311" s="99"/>
      <x:c r="N311" s="99"/>
      <x:c r="O311" s="99"/>
      <x:c r="P311" s="99"/>
      <x:c r="Q311" s="99"/>
      <x:c r="R311" s="99"/>
      <x:c r="S311" s="99"/>
      <x:c r="T311" s="99"/>
      <x:c r="U311" s="99"/>
      <x:c r="V311" s="99"/>
      <x:c r="W311" s="99"/>
      <x:c r="X311" s="99"/>
      <x:c r="Y311" s="99"/>
      <x:c r="Z311" s="99"/>
    </x:row>
    <x:row r="312">
      <x:c r="A312" s="99"/>
      <x:c r="B312" s="99"/>
      <x:c r="C312" s="99"/>
      <x:c r="D312" s="99"/>
      <x:c r="E312" s="99"/>
      <x:c r="F312" s="99"/>
      <x:c r="G312" s="99"/>
      <x:c r="H312" s="99"/>
      <x:c r="I312" s="99"/>
      <x:c r="J312" s="99"/>
      <x:c r="K312" s="99"/>
      <x:c r="L312" s="99"/>
      <x:c r="M312" s="99"/>
      <x:c r="N312" s="99"/>
      <x:c r="O312" s="99"/>
      <x:c r="P312" s="99"/>
      <x:c r="Q312" s="99"/>
      <x:c r="R312" s="99"/>
      <x:c r="S312" s="99"/>
      <x:c r="T312" s="99"/>
      <x:c r="U312" s="99"/>
      <x:c r="V312" s="99"/>
      <x:c r="W312" s="99"/>
      <x:c r="X312" s="99"/>
      <x:c r="Y312" s="99"/>
      <x:c r="Z312" s="99"/>
    </x:row>
    <x:row r="313">
      <x:c r="A313" s="99"/>
      <x:c r="B313" s="99"/>
      <x:c r="C313" s="99"/>
      <x:c r="D313" s="99"/>
      <x:c r="E313" s="99"/>
      <x:c r="F313" s="99"/>
      <x:c r="G313" s="99"/>
      <x:c r="H313" s="99"/>
      <x:c r="I313" s="99"/>
      <x:c r="J313" s="99"/>
      <x:c r="K313" s="99"/>
      <x:c r="L313" s="99"/>
      <x:c r="M313" s="99"/>
      <x:c r="N313" s="99"/>
      <x:c r="O313" s="99"/>
      <x:c r="P313" s="99"/>
      <x:c r="Q313" s="99"/>
      <x:c r="R313" s="99"/>
      <x:c r="S313" s="99"/>
      <x:c r="T313" s="99"/>
      <x:c r="U313" s="99"/>
      <x:c r="V313" s="99"/>
      <x:c r="W313" s="99"/>
      <x:c r="X313" s="99"/>
      <x:c r="Y313" s="99"/>
      <x:c r="Z313" s="99"/>
    </x:row>
    <x:row r="314">
      <x:c r="A314" s="99"/>
      <x:c r="B314" s="99"/>
      <x:c r="C314" s="99"/>
      <x:c r="D314" s="99"/>
      <x:c r="E314" s="99"/>
      <x:c r="F314" s="99"/>
      <x:c r="G314" s="99"/>
      <x:c r="H314" s="99"/>
      <x:c r="I314" s="99"/>
      <x:c r="J314" s="99"/>
      <x:c r="K314" s="99"/>
      <x:c r="L314" s="99"/>
      <x:c r="M314" s="99"/>
      <x:c r="N314" s="99"/>
      <x:c r="O314" s="99"/>
      <x:c r="P314" s="99"/>
      <x:c r="Q314" s="99"/>
      <x:c r="R314" s="99"/>
      <x:c r="S314" s="99"/>
      <x:c r="T314" s="99"/>
      <x:c r="U314" s="99"/>
      <x:c r="V314" s="99"/>
      <x:c r="W314" s="99"/>
      <x:c r="X314" s="99"/>
      <x:c r="Y314" s="99"/>
      <x:c r="Z314" s="99"/>
    </x:row>
    <x:row r="315">
      <x:c r="A315" s="99"/>
      <x:c r="B315" s="99"/>
      <x:c r="C315" s="99"/>
      <x:c r="D315" s="99"/>
      <x:c r="E315" s="99"/>
      <x:c r="F315" s="99"/>
      <x:c r="G315" s="99"/>
      <x:c r="H315" s="99"/>
      <x:c r="I315" s="99"/>
      <x:c r="J315" s="99"/>
      <x:c r="K315" s="99"/>
      <x:c r="L315" s="99"/>
      <x:c r="M315" s="99"/>
      <x:c r="N315" s="99"/>
      <x:c r="O315" s="99"/>
      <x:c r="P315" s="99"/>
      <x:c r="Q315" s="99"/>
      <x:c r="R315" s="99"/>
      <x:c r="S315" s="99"/>
      <x:c r="T315" s="99"/>
      <x:c r="U315" s="99"/>
      <x:c r="V315" s="99"/>
      <x:c r="W315" s="99"/>
      <x:c r="X315" s="99"/>
      <x:c r="Y315" s="99"/>
      <x:c r="Z315" s="99"/>
    </x:row>
    <x:row r="316">
      <x:c r="A316" s="99"/>
      <x:c r="B316" s="99"/>
      <x:c r="C316" s="99"/>
      <x:c r="D316" s="99"/>
      <x:c r="E316" s="99"/>
      <x:c r="F316" s="99"/>
      <x:c r="G316" s="99"/>
      <x:c r="H316" s="99"/>
      <x:c r="I316" s="99"/>
      <x:c r="J316" s="99"/>
      <x:c r="K316" s="99"/>
      <x:c r="L316" s="99"/>
      <x:c r="M316" s="99"/>
      <x:c r="N316" s="99"/>
      <x:c r="O316" s="99"/>
      <x:c r="P316" s="99"/>
      <x:c r="Q316" s="99"/>
      <x:c r="R316" s="99"/>
      <x:c r="S316" s="99"/>
      <x:c r="T316" s="99"/>
      <x:c r="U316" s="99"/>
      <x:c r="V316" s="99"/>
      <x:c r="W316" s="99"/>
      <x:c r="X316" s="99"/>
      <x:c r="Y316" s="99"/>
      <x:c r="Z316" s="99"/>
    </x:row>
    <x:row r="317">
      <x:c r="A317" s="99"/>
      <x:c r="B317" s="99"/>
      <x:c r="C317" s="99"/>
      <x:c r="D317" s="99"/>
      <x:c r="E317" s="99"/>
      <x:c r="F317" s="99"/>
      <x:c r="G317" s="99"/>
      <x:c r="H317" s="99"/>
      <x:c r="I317" s="99"/>
      <x:c r="J317" s="99"/>
      <x:c r="K317" s="99"/>
      <x:c r="L317" s="99"/>
      <x:c r="M317" s="99"/>
      <x:c r="N317" s="99"/>
      <x:c r="O317" s="99"/>
      <x:c r="P317" s="99"/>
      <x:c r="Q317" s="99"/>
      <x:c r="R317" s="99"/>
      <x:c r="S317" s="99"/>
      <x:c r="T317" s="99"/>
      <x:c r="U317" s="99"/>
      <x:c r="V317" s="99"/>
      <x:c r="W317" s="99"/>
      <x:c r="X317" s="99"/>
      <x:c r="Y317" s="99"/>
      <x:c r="Z317" s="99"/>
    </x:row>
    <x:row r="318">
      <x:c r="A318" s="99"/>
      <x:c r="B318" s="99"/>
      <x:c r="C318" s="99"/>
      <x:c r="D318" s="99"/>
      <x:c r="E318" s="99"/>
      <x:c r="F318" s="99"/>
      <x:c r="G318" s="99"/>
      <x:c r="H318" s="99"/>
      <x:c r="I318" s="99"/>
      <x:c r="J318" s="99"/>
      <x:c r="K318" s="99"/>
      <x:c r="L318" s="99"/>
      <x:c r="M318" s="99"/>
      <x:c r="N318" s="99"/>
      <x:c r="O318" s="99"/>
      <x:c r="P318" s="99"/>
      <x:c r="Q318" s="99"/>
      <x:c r="R318" s="99"/>
      <x:c r="S318" s="99"/>
      <x:c r="T318" s="99"/>
      <x:c r="U318" s="99"/>
      <x:c r="V318" s="99"/>
      <x:c r="W318" s="99"/>
      <x:c r="X318" s="99"/>
      <x:c r="Y318" s="99"/>
      <x:c r="Z318" s="99"/>
    </x:row>
    <x:row r="319">
      <x:c r="A319" s="99"/>
      <x:c r="B319" s="99"/>
      <x:c r="C319" s="99"/>
      <x:c r="D319" s="99"/>
      <x:c r="E319" s="99"/>
      <x:c r="F319" s="99"/>
      <x:c r="G319" s="99"/>
      <x:c r="H319" s="99"/>
      <x:c r="I319" s="99"/>
      <x:c r="J319" s="99"/>
      <x:c r="K319" s="99"/>
      <x:c r="L319" s="99"/>
      <x:c r="M319" s="99"/>
      <x:c r="N319" s="99"/>
      <x:c r="O319" s="99"/>
      <x:c r="P319" s="99"/>
      <x:c r="Q319" s="99"/>
      <x:c r="R319" s="99"/>
      <x:c r="S319" s="99"/>
      <x:c r="T319" s="99"/>
      <x:c r="U319" s="99"/>
      <x:c r="V319" s="99"/>
      <x:c r="W319" s="99"/>
      <x:c r="X319" s="99"/>
      <x:c r="Y319" s="99"/>
      <x:c r="Z319" s="99"/>
    </x:row>
    <x:row r="320">
      <x:c r="A320" s="99"/>
      <x:c r="B320" s="99"/>
      <x:c r="C320" s="99"/>
      <x:c r="D320" s="99"/>
      <x:c r="E320" s="99"/>
      <x:c r="F320" s="99"/>
      <x:c r="G320" s="99"/>
      <x:c r="H320" s="99"/>
      <x:c r="I320" s="99"/>
      <x:c r="J320" s="99"/>
      <x:c r="K320" s="99"/>
      <x:c r="L320" s="99"/>
      <x:c r="M320" s="99"/>
      <x:c r="N320" s="99"/>
      <x:c r="O320" s="99"/>
      <x:c r="P320" s="99"/>
      <x:c r="Q320" s="99"/>
      <x:c r="R320" s="99"/>
      <x:c r="S320" s="99"/>
      <x:c r="T320" s="99"/>
      <x:c r="U320" s="99"/>
      <x:c r="V320" s="99"/>
      <x:c r="W320" s="99"/>
      <x:c r="X320" s="99"/>
      <x:c r="Y320" s="99"/>
      <x:c r="Z320" s="99"/>
    </x:row>
    <x:row r="321">
      <x:c r="A321" s="99"/>
      <x:c r="B321" s="99"/>
      <x:c r="C321" s="99"/>
      <x:c r="D321" s="99"/>
      <x:c r="E321" s="99"/>
      <x:c r="F321" s="99"/>
      <x:c r="G321" s="99"/>
      <x:c r="H321" s="99"/>
      <x:c r="I321" s="99"/>
      <x:c r="J321" s="99"/>
      <x:c r="K321" s="99"/>
      <x:c r="L321" s="99"/>
      <x:c r="M321" s="99"/>
      <x:c r="N321" s="99"/>
      <x:c r="O321" s="99"/>
      <x:c r="P321" s="99"/>
      <x:c r="Q321" s="99"/>
      <x:c r="R321" s="99"/>
      <x:c r="S321" s="99"/>
      <x:c r="T321" s="99"/>
      <x:c r="U321" s="99"/>
      <x:c r="V321" s="99"/>
      <x:c r="W321" s="99"/>
      <x:c r="X321" s="99"/>
      <x:c r="Y321" s="99"/>
      <x:c r="Z321" s="99"/>
    </x:row>
    <x:row r="322">
      <x:c r="A322" s="99"/>
      <x:c r="B322" s="99"/>
      <x:c r="C322" s="99"/>
      <x:c r="D322" s="99"/>
      <x:c r="E322" s="99"/>
      <x:c r="F322" s="99"/>
      <x:c r="G322" s="99"/>
      <x:c r="H322" s="99"/>
      <x:c r="I322" s="99"/>
      <x:c r="J322" s="99"/>
      <x:c r="K322" s="99"/>
      <x:c r="L322" s="99"/>
      <x:c r="M322" s="99"/>
      <x:c r="N322" s="99"/>
      <x:c r="O322" s="99"/>
      <x:c r="P322" s="99"/>
      <x:c r="Q322" s="99"/>
      <x:c r="R322" s="99"/>
      <x:c r="S322" s="99"/>
      <x:c r="T322" s="99"/>
      <x:c r="U322" s="99"/>
      <x:c r="V322" s="99"/>
      <x:c r="W322" s="99"/>
      <x:c r="X322" s="99"/>
      <x:c r="Y322" s="99"/>
      <x:c r="Z322" s="99"/>
    </x:row>
    <x:row r="323">
      <x:c r="A323" s="99"/>
      <x:c r="B323" s="99"/>
      <x:c r="C323" s="99"/>
      <x:c r="D323" s="99"/>
      <x:c r="E323" s="99"/>
      <x:c r="F323" s="99"/>
      <x:c r="G323" s="99"/>
      <x:c r="H323" s="99"/>
      <x:c r="I323" s="99"/>
      <x:c r="J323" s="99"/>
      <x:c r="K323" s="99"/>
      <x:c r="L323" s="99"/>
      <x:c r="M323" s="99"/>
      <x:c r="N323" s="99"/>
      <x:c r="O323" s="99"/>
      <x:c r="P323" s="99"/>
      <x:c r="Q323" s="99"/>
      <x:c r="R323" s="99"/>
      <x:c r="S323" s="99"/>
      <x:c r="T323" s="99"/>
      <x:c r="U323" s="99"/>
      <x:c r="V323" s="99"/>
      <x:c r="W323" s="99"/>
      <x:c r="X323" s="99"/>
      <x:c r="Y323" s="99"/>
      <x:c r="Z323" s="99"/>
    </x:row>
    <x:row r="324">
      <x:c r="A324" s="99"/>
      <x:c r="B324" s="99"/>
      <x:c r="C324" s="99"/>
      <x:c r="D324" s="99"/>
      <x:c r="E324" s="99"/>
      <x:c r="F324" s="99"/>
      <x:c r="G324" s="99"/>
      <x:c r="H324" s="99"/>
      <x:c r="I324" s="99"/>
      <x:c r="J324" s="99"/>
      <x:c r="K324" s="99"/>
      <x:c r="L324" s="99"/>
      <x:c r="M324" s="99"/>
      <x:c r="N324" s="99"/>
      <x:c r="O324" s="99"/>
      <x:c r="P324" s="99"/>
      <x:c r="Q324" s="99"/>
      <x:c r="R324" s="99"/>
      <x:c r="S324" s="99"/>
      <x:c r="T324" s="99"/>
      <x:c r="U324" s="99"/>
      <x:c r="V324" s="99"/>
      <x:c r="W324" s="99"/>
      <x:c r="X324" s="99"/>
      <x:c r="Y324" s="99"/>
      <x:c r="Z324" s="99"/>
    </x:row>
    <x:row r="325">
      <x:c r="A325" s="99"/>
      <x:c r="B325" s="99"/>
      <x:c r="C325" s="99"/>
      <x:c r="D325" s="99"/>
      <x:c r="E325" s="99"/>
      <x:c r="F325" s="99"/>
      <x:c r="G325" s="99"/>
      <x:c r="H325" s="99"/>
      <x:c r="I325" s="99"/>
      <x:c r="J325" s="99"/>
      <x:c r="K325" s="99"/>
      <x:c r="L325" s="99"/>
      <x:c r="M325" s="99"/>
      <x:c r="N325" s="99"/>
      <x:c r="O325" s="99"/>
      <x:c r="P325" s="99"/>
      <x:c r="Q325" s="99"/>
      <x:c r="R325" s="99"/>
      <x:c r="S325" s="99"/>
      <x:c r="T325" s="99"/>
      <x:c r="U325" s="99"/>
      <x:c r="V325" s="99"/>
      <x:c r="W325" s="99"/>
      <x:c r="X325" s="99"/>
      <x:c r="Y325" s="99"/>
      <x:c r="Z325" s="99"/>
    </x:row>
    <x:row r="326">
      <x:c r="A326" s="99"/>
      <x:c r="B326" s="99"/>
      <x:c r="C326" s="99"/>
      <x:c r="D326" s="99"/>
      <x:c r="E326" s="99"/>
      <x:c r="F326" s="99"/>
      <x:c r="G326" s="99"/>
      <x:c r="H326" s="99"/>
      <x:c r="I326" s="99"/>
      <x:c r="J326" s="99"/>
      <x:c r="K326" s="99"/>
      <x:c r="L326" s="99"/>
      <x:c r="M326" s="99"/>
      <x:c r="N326" s="99"/>
      <x:c r="O326" s="99"/>
      <x:c r="P326" s="99"/>
      <x:c r="Q326" s="99"/>
      <x:c r="R326" s="99"/>
      <x:c r="S326" s="99"/>
      <x:c r="T326" s="99"/>
      <x:c r="U326" s="99"/>
      <x:c r="V326" s="99"/>
      <x:c r="W326" s="99"/>
      <x:c r="X326" s="99"/>
      <x:c r="Y326" s="99"/>
      <x:c r="Z326" s="99"/>
    </x:row>
    <x:row r="327">
      <x:c r="A327" s="99"/>
      <x:c r="B327" s="99"/>
      <x:c r="C327" s="99"/>
      <x:c r="D327" s="99"/>
      <x:c r="E327" s="99"/>
      <x:c r="F327" s="99"/>
      <x:c r="G327" s="99"/>
      <x:c r="H327" s="99"/>
      <x:c r="I327" s="99"/>
      <x:c r="J327" s="99"/>
      <x:c r="K327" s="99"/>
      <x:c r="L327" s="99"/>
      <x:c r="M327" s="99"/>
      <x:c r="N327" s="99"/>
      <x:c r="O327" s="99"/>
      <x:c r="P327" s="99"/>
      <x:c r="Q327" s="99"/>
      <x:c r="R327" s="99"/>
      <x:c r="S327" s="99"/>
      <x:c r="T327" s="99"/>
      <x:c r="U327" s="99"/>
      <x:c r="V327" s="99"/>
      <x:c r="W327" s="99"/>
      <x:c r="X327" s="99"/>
      <x:c r="Y327" s="99"/>
      <x:c r="Z327" s="99"/>
    </x:row>
    <x:row r="328">
      <x:c r="A328" s="99"/>
      <x:c r="B328" s="99"/>
      <x:c r="C328" s="99"/>
      <x:c r="D328" s="99"/>
      <x:c r="E328" s="99"/>
      <x:c r="F328" s="99"/>
      <x:c r="G328" s="99"/>
      <x:c r="H328" s="99"/>
      <x:c r="I328" s="99"/>
      <x:c r="J328" s="99"/>
      <x:c r="K328" s="99"/>
      <x:c r="L328" s="99"/>
      <x:c r="M328" s="99"/>
      <x:c r="N328" s="99"/>
      <x:c r="O328" s="99"/>
      <x:c r="P328" s="99"/>
      <x:c r="Q328" s="99"/>
      <x:c r="R328" s="99"/>
      <x:c r="S328" s="99"/>
      <x:c r="T328" s="99"/>
      <x:c r="U328" s="99"/>
      <x:c r="V328" s="99"/>
      <x:c r="W328" s="99"/>
      <x:c r="X328" s="99"/>
      <x:c r="Y328" s="99"/>
      <x:c r="Z328" s="99"/>
    </x:row>
    <x:row r="329">
      <x:c r="A329" s="99"/>
      <x:c r="B329" s="99"/>
      <x:c r="C329" s="99"/>
      <x:c r="D329" s="99"/>
      <x:c r="E329" s="99"/>
      <x:c r="F329" s="99"/>
      <x:c r="G329" s="99"/>
      <x:c r="H329" s="99"/>
      <x:c r="I329" s="99"/>
      <x:c r="J329" s="99"/>
      <x:c r="K329" s="99"/>
      <x:c r="L329" s="99"/>
      <x:c r="M329" s="99"/>
      <x:c r="N329" s="99"/>
      <x:c r="O329" s="99"/>
      <x:c r="P329" s="99"/>
      <x:c r="Q329" s="99"/>
      <x:c r="R329" s="99"/>
      <x:c r="S329" s="99"/>
      <x:c r="T329" s="99"/>
      <x:c r="U329" s="99"/>
      <x:c r="V329" s="99"/>
      <x:c r="W329" s="99"/>
      <x:c r="X329" s="99"/>
      <x:c r="Y329" s="99"/>
      <x:c r="Z329" s="99"/>
    </x:row>
    <x:row r="330">
      <x:c r="A330" s="99"/>
      <x:c r="B330" s="99"/>
      <x:c r="C330" s="99"/>
      <x:c r="D330" s="99"/>
      <x:c r="E330" s="99"/>
      <x:c r="F330" s="99"/>
      <x:c r="G330" s="99"/>
      <x:c r="H330" s="99"/>
      <x:c r="I330" s="99"/>
      <x:c r="J330" s="99"/>
      <x:c r="K330" s="99"/>
      <x:c r="L330" s="99"/>
      <x:c r="M330" s="99"/>
      <x:c r="N330" s="99"/>
      <x:c r="O330" s="99"/>
      <x:c r="P330" s="99"/>
      <x:c r="Q330" s="99"/>
      <x:c r="R330" s="99"/>
      <x:c r="S330" s="99"/>
      <x:c r="T330" s="99"/>
      <x:c r="U330" s="99"/>
      <x:c r="V330" s="99"/>
      <x:c r="W330" s="99"/>
      <x:c r="X330" s="99"/>
      <x:c r="Y330" s="99"/>
      <x:c r="Z330" s="99"/>
    </x:row>
    <x:row r="331">
      <x:c r="A331" s="99"/>
      <x:c r="B331" s="99"/>
      <x:c r="C331" s="99"/>
      <x:c r="D331" s="99"/>
      <x:c r="E331" s="99"/>
      <x:c r="F331" s="99"/>
      <x:c r="G331" s="99"/>
      <x:c r="H331" s="99"/>
      <x:c r="I331" s="99"/>
      <x:c r="J331" s="99"/>
      <x:c r="K331" s="99"/>
      <x:c r="L331" s="99"/>
      <x:c r="M331" s="99"/>
      <x:c r="N331" s="99"/>
      <x:c r="O331" s="99"/>
      <x:c r="P331" s="99"/>
      <x:c r="Q331" s="99"/>
      <x:c r="R331" s="99"/>
      <x:c r="S331" s="99"/>
      <x:c r="T331" s="99"/>
      <x:c r="U331" s="99"/>
      <x:c r="V331" s="99"/>
      <x:c r="W331" s="99"/>
      <x:c r="X331" s="99"/>
      <x:c r="Y331" s="99"/>
      <x:c r="Z331" s="99"/>
    </x:row>
    <x:row r="332">
      <x:c r="A332" s="99"/>
      <x:c r="B332" s="99"/>
      <x:c r="C332" s="99"/>
      <x:c r="D332" s="99"/>
      <x:c r="E332" s="99"/>
      <x:c r="F332" s="99"/>
      <x:c r="G332" s="99"/>
      <x:c r="H332" s="99"/>
      <x:c r="I332" s="99"/>
      <x:c r="J332" s="99"/>
      <x:c r="K332" s="99"/>
      <x:c r="L332" s="99"/>
      <x:c r="M332" s="99"/>
      <x:c r="N332" s="99"/>
      <x:c r="O332" s="99"/>
      <x:c r="P332" s="99"/>
      <x:c r="Q332" s="99"/>
      <x:c r="R332" s="99"/>
      <x:c r="S332" s="99"/>
      <x:c r="T332" s="99"/>
      <x:c r="U332" s="99"/>
      <x:c r="V332" s="99"/>
      <x:c r="W332" s="99"/>
      <x:c r="X332" s="99"/>
      <x:c r="Y332" s="99"/>
      <x:c r="Z332" s="99"/>
    </x:row>
    <x:row r="333">
      <x:c r="A333" s="99"/>
      <x:c r="B333" s="99"/>
      <x:c r="C333" s="99"/>
      <x:c r="D333" s="99"/>
      <x:c r="E333" s="99"/>
      <x:c r="F333" s="99"/>
      <x:c r="G333" s="99"/>
      <x:c r="H333" s="99"/>
      <x:c r="I333" s="99"/>
      <x:c r="J333" s="99"/>
      <x:c r="K333" s="99"/>
      <x:c r="L333" s="99"/>
      <x:c r="M333" s="99"/>
      <x:c r="N333" s="99"/>
      <x:c r="O333" s="99"/>
      <x:c r="P333" s="99"/>
      <x:c r="Q333" s="99"/>
      <x:c r="R333" s="99"/>
      <x:c r="S333" s="99"/>
      <x:c r="T333" s="99"/>
      <x:c r="U333" s="99"/>
      <x:c r="V333" s="99"/>
      <x:c r="W333" s="99"/>
      <x:c r="X333" s="99"/>
      <x:c r="Y333" s="99"/>
      <x:c r="Z333" s="99"/>
    </x:row>
    <x:row r="334">
      <x:c r="A334" s="99"/>
      <x:c r="B334" s="99"/>
      <x:c r="C334" s="99"/>
      <x:c r="D334" s="99"/>
      <x:c r="E334" s="99"/>
      <x:c r="F334" s="99"/>
      <x:c r="G334" s="99"/>
      <x:c r="H334" s="99"/>
      <x:c r="I334" s="99"/>
      <x:c r="J334" s="99"/>
      <x:c r="K334" s="99"/>
      <x:c r="L334" s="99"/>
      <x:c r="M334" s="99"/>
      <x:c r="N334" s="99"/>
      <x:c r="O334" s="99"/>
      <x:c r="P334" s="99"/>
      <x:c r="Q334" s="99"/>
      <x:c r="R334" s="99"/>
      <x:c r="S334" s="99"/>
      <x:c r="T334" s="99"/>
      <x:c r="U334" s="99"/>
      <x:c r="V334" s="99"/>
      <x:c r="W334" s="99"/>
      <x:c r="X334" s="99"/>
      <x:c r="Y334" s="99"/>
      <x:c r="Z334" s="99"/>
    </x:row>
    <x:row r="335">
      <x:c r="A335" s="99"/>
      <x:c r="B335" s="99"/>
      <x:c r="C335" s="99"/>
      <x:c r="D335" s="99"/>
      <x:c r="E335" s="99"/>
      <x:c r="F335" s="99"/>
      <x:c r="G335" s="99"/>
      <x:c r="H335" s="99"/>
      <x:c r="I335" s="99"/>
      <x:c r="J335" s="99"/>
      <x:c r="K335" s="99"/>
      <x:c r="L335" s="99"/>
      <x:c r="M335" s="99"/>
      <x:c r="N335" s="99"/>
      <x:c r="O335" s="99"/>
      <x:c r="P335" s="99"/>
      <x:c r="Q335" s="99"/>
      <x:c r="R335" s="99"/>
      <x:c r="S335" s="99"/>
      <x:c r="T335" s="99"/>
      <x:c r="U335" s="99"/>
      <x:c r="V335" s="99"/>
      <x:c r="W335" s="99"/>
      <x:c r="X335" s="99"/>
      <x:c r="Y335" s="99"/>
      <x:c r="Z335" s="99"/>
    </x:row>
    <x:row r="336">
      <x:c r="A336" s="99"/>
      <x:c r="B336" s="99"/>
      <x:c r="C336" s="99"/>
      <x:c r="D336" s="99"/>
      <x:c r="E336" s="99"/>
      <x:c r="F336" s="99"/>
      <x:c r="G336" s="99"/>
      <x:c r="H336" s="99"/>
      <x:c r="I336" s="99"/>
      <x:c r="J336" s="99"/>
      <x:c r="K336" s="99"/>
      <x:c r="L336" s="99"/>
      <x:c r="M336" s="99"/>
      <x:c r="N336" s="99"/>
      <x:c r="O336" s="99"/>
      <x:c r="P336" s="99"/>
      <x:c r="Q336" s="99"/>
      <x:c r="R336" s="99"/>
      <x:c r="S336" s="99"/>
      <x:c r="T336" s="99"/>
      <x:c r="U336" s="99"/>
      <x:c r="V336" s="99"/>
      <x:c r="W336" s="99"/>
      <x:c r="X336" s="99"/>
      <x:c r="Y336" s="99"/>
      <x:c r="Z336" s="99"/>
    </x:row>
    <x:row r="337">
      <x:c r="A337" s="99"/>
      <x:c r="B337" s="99"/>
      <x:c r="C337" s="99"/>
      <x:c r="D337" s="99"/>
      <x:c r="E337" s="99"/>
      <x:c r="F337" s="99"/>
      <x:c r="G337" s="99"/>
      <x:c r="H337" s="99"/>
      <x:c r="I337" s="99"/>
      <x:c r="J337" s="99"/>
      <x:c r="K337" s="99"/>
      <x:c r="L337" s="99"/>
      <x:c r="M337" s="99"/>
      <x:c r="N337" s="99"/>
      <x:c r="O337" s="99"/>
      <x:c r="P337" s="99"/>
      <x:c r="Q337" s="99"/>
      <x:c r="R337" s="99"/>
      <x:c r="S337" s="99"/>
      <x:c r="T337" s="99"/>
      <x:c r="U337" s="99"/>
      <x:c r="V337" s="99"/>
      <x:c r="W337" s="99"/>
      <x:c r="X337" s="99"/>
      <x:c r="Y337" s="99"/>
      <x:c r="Z337" s="99"/>
    </x:row>
    <x:row r="338">
      <x:c r="A338" s="99"/>
      <x:c r="B338" s="99"/>
      <x:c r="C338" s="99"/>
      <x:c r="D338" s="99"/>
      <x:c r="E338" s="99"/>
      <x:c r="F338" s="99"/>
      <x:c r="G338" s="99"/>
      <x:c r="H338" s="99"/>
      <x:c r="I338" s="99"/>
      <x:c r="J338" s="99"/>
      <x:c r="K338" s="99"/>
      <x:c r="L338" s="99"/>
      <x:c r="M338" s="99"/>
      <x:c r="N338" s="99"/>
      <x:c r="O338" s="99"/>
      <x:c r="P338" s="99"/>
      <x:c r="Q338" s="99"/>
      <x:c r="R338" s="99"/>
      <x:c r="S338" s="99"/>
      <x:c r="T338" s="99"/>
      <x:c r="U338" s="99"/>
      <x:c r="V338" s="99"/>
      <x:c r="W338" s="99"/>
      <x:c r="X338" s="99"/>
      <x:c r="Y338" s="99"/>
      <x:c r="Z338" s="99"/>
    </x:row>
    <x:row r="339">
      <x:c r="A339" s="99"/>
      <x:c r="B339" s="99"/>
      <x:c r="C339" s="99"/>
      <x:c r="D339" s="99"/>
      <x:c r="E339" s="99"/>
      <x:c r="F339" s="99"/>
      <x:c r="G339" s="99"/>
      <x:c r="H339" s="99"/>
      <x:c r="I339" s="99"/>
      <x:c r="J339" s="99"/>
      <x:c r="K339" s="99"/>
      <x:c r="L339" s="99"/>
      <x:c r="M339" s="99"/>
      <x:c r="N339" s="99"/>
      <x:c r="O339" s="99"/>
      <x:c r="P339" s="99"/>
      <x:c r="Q339" s="99"/>
      <x:c r="R339" s="99"/>
      <x:c r="S339" s="99"/>
      <x:c r="T339" s="99"/>
      <x:c r="U339" s="99"/>
      <x:c r="V339" s="99"/>
      <x:c r="W339" s="99"/>
      <x:c r="X339" s="99"/>
      <x:c r="Y339" s="99"/>
      <x:c r="Z339" s="99"/>
    </x:row>
    <x:row r="340">
      <x:c r="A340" s="99"/>
      <x:c r="B340" s="99"/>
      <x:c r="C340" s="99"/>
      <x:c r="D340" s="99"/>
      <x:c r="E340" s="99"/>
      <x:c r="F340" s="99"/>
      <x:c r="G340" s="99"/>
      <x:c r="H340" s="99"/>
      <x:c r="I340" s="99"/>
      <x:c r="J340" s="99"/>
      <x:c r="K340" s="99"/>
      <x:c r="L340" s="99"/>
      <x:c r="M340" s="99"/>
      <x:c r="N340" s="99"/>
      <x:c r="O340" s="99"/>
      <x:c r="P340" s="99"/>
      <x:c r="Q340" s="99"/>
      <x:c r="R340" s="99"/>
      <x:c r="S340" s="99"/>
      <x:c r="T340" s="99"/>
      <x:c r="U340" s="99"/>
      <x:c r="V340" s="99"/>
      <x:c r="W340" s="99"/>
      <x:c r="X340" s="99"/>
      <x:c r="Y340" s="99"/>
      <x:c r="Z340" s="99"/>
    </x:row>
    <x:row r="341">
      <x:c r="A341" s="99"/>
      <x:c r="B341" s="99"/>
      <x:c r="C341" s="99"/>
      <x:c r="D341" s="99"/>
      <x:c r="E341" s="99"/>
      <x:c r="F341" s="99"/>
      <x:c r="G341" s="99"/>
      <x:c r="H341" s="99"/>
      <x:c r="I341" s="99"/>
      <x:c r="J341" s="99"/>
      <x:c r="K341" s="99"/>
      <x:c r="L341" s="99"/>
      <x:c r="M341" s="99"/>
      <x:c r="N341" s="99"/>
      <x:c r="O341" s="99"/>
      <x:c r="P341" s="99"/>
      <x:c r="Q341" s="99"/>
      <x:c r="R341" s="99"/>
      <x:c r="S341" s="99"/>
      <x:c r="T341" s="99"/>
      <x:c r="U341" s="99"/>
      <x:c r="V341" s="99"/>
      <x:c r="W341" s="99"/>
      <x:c r="X341" s="99"/>
      <x:c r="Y341" s="99"/>
      <x:c r="Z341" s="99"/>
    </x:row>
    <x:row r="342">
      <x:c r="A342" s="99"/>
      <x:c r="B342" s="99"/>
      <x:c r="C342" s="99"/>
      <x:c r="D342" s="99"/>
      <x:c r="E342" s="99"/>
      <x:c r="F342" s="99"/>
      <x:c r="G342" s="99"/>
      <x:c r="H342" s="99"/>
      <x:c r="I342" s="99"/>
      <x:c r="J342" s="99"/>
      <x:c r="K342" s="99"/>
      <x:c r="L342" s="99"/>
      <x:c r="M342" s="99"/>
      <x:c r="N342" s="99"/>
      <x:c r="O342" s="99"/>
      <x:c r="P342" s="99"/>
      <x:c r="Q342" s="99"/>
      <x:c r="R342" s="99"/>
      <x:c r="S342" s="99"/>
      <x:c r="T342" s="99"/>
      <x:c r="U342" s="99"/>
      <x:c r="V342" s="99"/>
      <x:c r="W342" s="99"/>
      <x:c r="X342" s="99"/>
      <x:c r="Y342" s="99"/>
      <x:c r="Z342" s="99"/>
    </x:row>
    <x:row r="343">
      <x:c r="A343" s="99"/>
      <x:c r="B343" s="99"/>
      <x:c r="C343" s="99"/>
      <x:c r="D343" s="99"/>
      <x:c r="E343" s="99"/>
      <x:c r="F343" s="99"/>
      <x:c r="G343" s="99"/>
      <x:c r="H343" s="99"/>
      <x:c r="I343" s="99"/>
      <x:c r="J343" s="99"/>
      <x:c r="K343" s="99"/>
      <x:c r="L343" s="99"/>
      <x:c r="M343" s="99"/>
      <x:c r="N343" s="99"/>
      <x:c r="O343" s="99"/>
      <x:c r="P343" s="99"/>
      <x:c r="Q343" s="99"/>
      <x:c r="R343" s="99"/>
      <x:c r="S343" s="99"/>
      <x:c r="T343" s="99"/>
      <x:c r="U343" s="99"/>
      <x:c r="V343" s="99"/>
      <x:c r="W343" s="99"/>
      <x:c r="X343" s="99"/>
      <x:c r="Y343" s="99"/>
      <x:c r="Z343" s="99"/>
    </x:row>
    <x:row r="344">
      <x:c r="A344" s="99"/>
      <x:c r="B344" s="99"/>
      <x:c r="C344" s="99"/>
      <x:c r="D344" s="99"/>
      <x:c r="E344" s="99"/>
      <x:c r="F344" s="99"/>
      <x:c r="G344" s="99"/>
      <x:c r="H344" s="99"/>
      <x:c r="I344" s="99"/>
      <x:c r="J344" s="99"/>
      <x:c r="K344" s="99"/>
      <x:c r="L344" s="99"/>
      <x:c r="M344" s="99"/>
      <x:c r="N344" s="99"/>
      <x:c r="O344" s="99"/>
      <x:c r="P344" s="99"/>
      <x:c r="Q344" s="99"/>
      <x:c r="R344" s="99"/>
      <x:c r="S344" s="99"/>
      <x:c r="T344" s="99"/>
      <x:c r="U344" s="99"/>
      <x:c r="V344" s="99"/>
      <x:c r="W344" s="99"/>
      <x:c r="X344" s="99"/>
      <x:c r="Y344" s="99"/>
      <x:c r="Z344" s="99"/>
    </x:row>
    <x:row r="345">
      <x:c r="A345" s="99"/>
      <x:c r="B345" s="99"/>
      <x:c r="C345" s="99"/>
      <x:c r="D345" s="99"/>
      <x:c r="E345" s="99"/>
      <x:c r="F345" s="99"/>
      <x:c r="G345" s="99"/>
      <x:c r="H345" s="99"/>
      <x:c r="I345" s="99"/>
      <x:c r="J345" s="99"/>
      <x:c r="K345" s="99"/>
      <x:c r="L345" s="99"/>
      <x:c r="M345" s="99"/>
      <x:c r="N345" s="99"/>
      <x:c r="O345" s="99"/>
      <x:c r="P345" s="99"/>
      <x:c r="Q345" s="99"/>
      <x:c r="R345" s="99"/>
      <x:c r="S345" s="99"/>
      <x:c r="T345" s="99"/>
      <x:c r="U345" s="99"/>
      <x:c r="V345" s="99"/>
      <x:c r="W345" s="99"/>
      <x:c r="X345" s="99"/>
      <x:c r="Y345" s="99"/>
      <x:c r="Z345" s="99"/>
    </x:row>
    <x:row r="346">
      <x:c r="A346" s="99"/>
      <x:c r="B346" s="99"/>
      <x:c r="C346" s="99"/>
      <x:c r="D346" s="99"/>
      <x:c r="E346" s="99"/>
      <x:c r="F346" s="99"/>
      <x:c r="G346" s="99"/>
      <x:c r="H346" s="99"/>
      <x:c r="I346" s="99"/>
      <x:c r="J346" s="99"/>
      <x:c r="K346" s="99"/>
      <x:c r="L346" s="99"/>
      <x:c r="M346" s="99"/>
      <x:c r="N346" s="99"/>
      <x:c r="O346" s="99"/>
      <x:c r="P346" s="99"/>
      <x:c r="Q346" s="99"/>
      <x:c r="R346" s="99"/>
      <x:c r="S346" s="99"/>
      <x:c r="T346" s="99"/>
      <x:c r="U346" s="99"/>
      <x:c r="V346" s="99"/>
      <x:c r="W346" s="99"/>
      <x:c r="X346" s="99"/>
      <x:c r="Y346" s="99"/>
      <x:c r="Z346" s="99"/>
    </x:row>
    <x:row r="347">
      <x:c r="A347" s="99"/>
      <x:c r="B347" s="99"/>
      <x:c r="C347" s="99"/>
      <x:c r="D347" s="99"/>
      <x:c r="E347" s="99"/>
      <x:c r="F347" s="99"/>
      <x:c r="G347" s="99"/>
      <x:c r="H347" s="99"/>
      <x:c r="I347" s="99"/>
      <x:c r="J347" s="99"/>
      <x:c r="K347" s="99"/>
      <x:c r="L347" s="99"/>
      <x:c r="M347" s="99"/>
      <x:c r="N347" s="99"/>
      <x:c r="O347" s="99"/>
      <x:c r="P347" s="99"/>
      <x:c r="Q347" s="99"/>
      <x:c r="R347" s="99"/>
      <x:c r="S347" s="99"/>
      <x:c r="T347" s="99"/>
      <x:c r="U347" s="99"/>
      <x:c r="V347" s="99"/>
      <x:c r="W347" s="99"/>
      <x:c r="X347" s="99"/>
      <x:c r="Y347" s="99"/>
      <x:c r="Z347" s="99"/>
    </x:row>
    <x:row r="348">
      <x:c r="A348" s="99"/>
      <x:c r="B348" s="99"/>
      <x:c r="C348" s="99"/>
      <x:c r="D348" s="99"/>
      <x:c r="E348" s="99"/>
      <x:c r="F348" s="99"/>
      <x:c r="G348" s="99"/>
      <x:c r="H348" s="99"/>
      <x:c r="I348" s="99"/>
      <x:c r="J348" s="99"/>
      <x:c r="K348" s="99"/>
      <x:c r="L348" s="99"/>
      <x:c r="M348" s="99"/>
      <x:c r="N348" s="99"/>
      <x:c r="O348" s="99"/>
      <x:c r="P348" s="99"/>
      <x:c r="Q348" s="99"/>
      <x:c r="R348" s="99"/>
      <x:c r="S348" s="99"/>
      <x:c r="T348" s="99"/>
      <x:c r="U348" s="99"/>
      <x:c r="V348" s="99"/>
      <x:c r="W348" s="99"/>
      <x:c r="X348" s="99"/>
      <x:c r="Y348" s="99"/>
      <x:c r="Z348" s="99"/>
    </x:row>
    <x:row r="349">
      <x:c r="A349" s="99"/>
      <x:c r="B349" s="99"/>
      <x:c r="C349" s="99"/>
      <x:c r="D349" s="99"/>
      <x:c r="E349" s="99"/>
      <x:c r="F349" s="99"/>
      <x:c r="G349" s="99"/>
      <x:c r="H349" s="99"/>
      <x:c r="I349" s="99"/>
      <x:c r="J349" s="99"/>
      <x:c r="K349" s="99"/>
      <x:c r="L349" s="99"/>
      <x:c r="M349" s="99"/>
      <x:c r="N349" s="99"/>
      <x:c r="O349" s="99"/>
      <x:c r="P349" s="99"/>
      <x:c r="Q349" s="99"/>
      <x:c r="R349" s="99"/>
      <x:c r="S349" s="99"/>
      <x:c r="T349" s="99"/>
      <x:c r="U349" s="99"/>
      <x:c r="V349" s="99"/>
      <x:c r="W349" s="99"/>
      <x:c r="X349" s="99"/>
      <x:c r="Y349" s="99"/>
      <x:c r="Z349" s="99"/>
    </x:row>
    <x:row r="350">
      <x:c r="A350" s="99"/>
      <x:c r="B350" s="99"/>
      <x:c r="C350" s="99"/>
      <x:c r="D350" s="99"/>
      <x:c r="E350" s="99"/>
      <x:c r="F350" s="99"/>
      <x:c r="G350" s="99"/>
      <x:c r="H350" s="99"/>
      <x:c r="I350" s="99"/>
      <x:c r="J350" s="99"/>
      <x:c r="K350" s="99"/>
      <x:c r="L350" s="99"/>
      <x:c r="M350" s="99"/>
      <x:c r="N350" s="99"/>
      <x:c r="O350" s="99"/>
      <x:c r="P350" s="99"/>
      <x:c r="Q350" s="99"/>
      <x:c r="R350" s="99"/>
      <x:c r="S350" s="99"/>
      <x:c r="T350" s="99"/>
      <x:c r="U350" s="99"/>
      <x:c r="V350" s="99"/>
      <x:c r="W350" s="99"/>
      <x:c r="X350" s="99"/>
      <x:c r="Y350" s="99"/>
      <x:c r="Z350" s="99"/>
    </x:row>
    <x:row r="351">
      <x:c r="A351" s="99"/>
      <x:c r="B351" s="99"/>
      <x:c r="C351" s="99"/>
      <x:c r="D351" s="99"/>
      <x:c r="E351" s="99"/>
      <x:c r="F351" s="99"/>
      <x:c r="G351" s="99"/>
      <x:c r="H351" s="99"/>
      <x:c r="I351" s="99"/>
      <x:c r="J351" s="99"/>
      <x:c r="K351" s="99"/>
      <x:c r="L351" s="99"/>
      <x:c r="M351" s="99"/>
      <x:c r="N351" s="99"/>
      <x:c r="O351" s="99"/>
      <x:c r="P351" s="99"/>
      <x:c r="Q351" s="99"/>
      <x:c r="R351" s="99"/>
      <x:c r="S351" s="99"/>
      <x:c r="T351" s="99"/>
      <x:c r="U351" s="99"/>
      <x:c r="V351" s="99"/>
      <x:c r="W351" s="99"/>
      <x:c r="X351" s="99"/>
      <x:c r="Y351" s="99"/>
      <x:c r="Z351" s="99"/>
    </x:row>
    <x:row r="352">
      <x:c r="A352" s="99"/>
      <x:c r="B352" s="99"/>
      <x:c r="C352" s="99"/>
      <x:c r="D352" s="99"/>
      <x:c r="E352" s="99"/>
      <x:c r="F352" s="99"/>
      <x:c r="G352" s="99"/>
      <x:c r="H352" s="99"/>
      <x:c r="I352" s="99"/>
      <x:c r="J352" s="99"/>
      <x:c r="K352" s="99"/>
      <x:c r="L352" s="99"/>
      <x:c r="M352" s="99"/>
      <x:c r="N352" s="99"/>
      <x:c r="O352" s="99"/>
      <x:c r="P352" s="99"/>
      <x:c r="Q352" s="99"/>
      <x:c r="R352" s="99"/>
      <x:c r="S352" s="99"/>
      <x:c r="T352" s="99"/>
      <x:c r="U352" s="99"/>
      <x:c r="V352" s="99"/>
      <x:c r="W352" s="99"/>
      <x:c r="X352" s="99"/>
      <x:c r="Y352" s="99"/>
      <x:c r="Z352" s="99"/>
    </x:row>
    <x:row r="353">
      <x:c r="A353" s="99"/>
      <x:c r="B353" s="99"/>
      <x:c r="C353" s="99"/>
      <x:c r="D353" s="99"/>
      <x:c r="E353" s="99"/>
      <x:c r="F353" s="99"/>
      <x:c r="G353" s="99"/>
      <x:c r="H353" s="99"/>
      <x:c r="I353" s="99"/>
      <x:c r="J353" s="99"/>
      <x:c r="K353" s="99"/>
      <x:c r="L353" s="99"/>
      <x:c r="M353" s="99"/>
      <x:c r="N353" s="99"/>
      <x:c r="O353" s="99"/>
      <x:c r="P353" s="99"/>
      <x:c r="Q353" s="99"/>
      <x:c r="R353" s="99"/>
      <x:c r="S353" s="99"/>
      <x:c r="T353" s="99"/>
      <x:c r="U353" s="99"/>
      <x:c r="V353" s="99"/>
      <x:c r="W353" s="99"/>
      <x:c r="X353" s="99"/>
      <x:c r="Y353" s="99"/>
      <x:c r="Z353" s="99"/>
    </x:row>
    <x:row r="354">
      <x:c r="A354" s="99"/>
      <x:c r="B354" s="99"/>
      <x:c r="C354" s="99"/>
      <x:c r="D354" s="99"/>
      <x:c r="E354" s="99"/>
      <x:c r="F354" s="99"/>
      <x:c r="G354" s="99"/>
      <x:c r="H354" s="99"/>
      <x:c r="I354" s="99"/>
      <x:c r="J354" s="99"/>
      <x:c r="K354" s="99"/>
      <x:c r="L354" s="99"/>
      <x:c r="M354" s="99"/>
      <x:c r="N354" s="99"/>
      <x:c r="O354" s="99"/>
      <x:c r="P354" s="99"/>
      <x:c r="Q354" s="99"/>
      <x:c r="R354" s="99"/>
      <x:c r="S354" s="99"/>
      <x:c r="T354" s="99"/>
      <x:c r="U354" s="99"/>
      <x:c r="V354" s="99"/>
      <x:c r="W354" s="99"/>
      <x:c r="X354" s="99"/>
      <x:c r="Y354" s="99"/>
      <x:c r="Z354" s="99"/>
    </x:row>
    <x:row r="355">
      <x:c r="A355" s="99"/>
      <x:c r="B355" s="99"/>
      <x:c r="C355" s="99"/>
      <x:c r="D355" s="99"/>
      <x:c r="E355" s="99"/>
      <x:c r="F355" s="99"/>
      <x:c r="G355" s="99"/>
      <x:c r="H355" s="99"/>
      <x:c r="I355" s="99"/>
      <x:c r="J355" s="99"/>
      <x:c r="K355" s="99"/>
      <x:c r="L355" s="99"/>
      <x:c r="M355" s="99"/>
      <x:c r="N355" s="99"/>
      <x:c r="O355" s="99"/>
      <x:c r="P355" s="99"/>
      <x:c r="Q355" s="99"/>
      <x:c r="R355" s="99"/>
      <x:c r="S355" s="99"/>
      <x:c r="T355" s="99"/>
      <x:c r="U355" s="99"/>
      <x:c r="V355" s="99"/>
      <x:c r="W355" s="99"/>
      <x:c r="X355" s="99"/>
      <x:c r="Y355" s="99"/>
      <x:c r="Z355" s="99"/>
    </x:row>
    <x:row r="356">
      <x:c r="A356" s="99"/>
      <x:c r="B356" s="99"/>
      <x:c r="C356" s="99"/>
      <x:c r="D356" s="99"/>
      <x:c r="E356" s="99"/>
      <x:c r="F356" s="99"/>
      <x:c r="G356" s="99"/>
      <x:c r="H356" s="99"/>
      <x:c r="I356" s="99"/>
      <x:c r="J356" s="99"/>
      <x:c r="K356" s="99"/>
      <x:c r="L356" s="99"/>
      <x:c r="M356" s="99"/>
      <x:c r="N356" s="99"/>
      <x:c r="O356" s="99"/>
      <x:c r="P356" s="99"/>
      <x:c r="Q356" s="99"/>
      <x:c r="R356" s="99"/>
      <x:c r="S356" s="99"/>
      <x:c r="T356" s="99"/>
      <x:c r="U356" s="99"/>
      <x:c r="V356" s="99"/>
      <x:c r="W356" s="99"/>
      <x:c r="X356" s="99"/>
      <x:c r="Y356" s="99"/>
      <x:c r="Z356" s="99"/>
    </x:row>
    <x:row r="357">
      <x:c r="A357" s="99"/>
      <x:c r="B357" s="99"/>
      <x:c r="C357" s="99"/>
      <x:c r="D357" s="99"/>
      <x:c r="E357" s="99"/>
      <x:c r="F357" s="99"/>
      <x:c r="G357" s="99"/>
      <x:c r="H357" s="99"/>
      <x:c r="I357" s="99"/>
      <x:c r="J357" s="99"/>
      <x:c r="K357" s="99"/>
      <x:c r="L357" s="99"/>
      <x:c r="M357" s="99"/>
      <x:c r="N357" s="99"/>
      <x:c r="O357" s="99"/>
      <x:c r="P357" s="99"/>
      <x:c r="Q357" s="99"/>
      <x:c r="R357" s="99"/>
      <x:c r="S357" s="99"/>
      <x:c r="T357" s="99"/>
      <x:c r="U357" s="99"/>
      <x:c r="V357" s="99"/>
      <x:c r="W357" s="99"/>
      <x:c r="X357" s="99"/>
      <x:c r="Y357" s="99"/>
      <x:c r="Z357" s="99"/>
    </x:row>
    <x:row r="358">
      <x:c r="A358" s="99"/>
      <x:c r="B358" s="99"/>
      <x:c r="C358" s="99"/>
      <x:c r="D358" s="99"/>
      <x:c r="E358" s="99"/>
      <x:c r="F358" s="99"/>
      <x:c r="G358" s="99"/>
      <x:c r="H358" s="99"/>
      <x:c r="I358" s="99"/>
      <x:c r="J358" s="99"/>
      <x:c r="K358" s="99"/>
      <x:c r="L358" s="99"/>
      <x:c r="M358" s="99"/>
      <x:c r="N358" s="99"/>
      <x:c r="O358" s="99"/>
      <x:c r="P358" s="99"/>
      <x:c r="Q358" s="99"/>
      <x:c r="R358" s="99"/>
      <x:c r="S358" s="99"/>
      <x:c r="T358" s="99"/>
      <x:c r="U358" s="99"/>
      <x:c r="V358" s="99"/>
      <x:c r="W358" s="99"/>
      <x:c r="X358" s="99"/>
      <x:c r="Y358" s="99"/>
      <x:c r="Z358" s="99"/>
    </x:row>
    <x:row r="359">
      <x:c r="A359" s="99"/>
      <x:c r="B359" s="99"/>
      <x:c r="C359" s="99"/>
      <x:c r="D359" s="99"/>
      <x:c r="E359" s="99"/>
      <x:c r="F359" s="99"/>
      <x:c r="G359" s="99"/>
      <x:c r="H359" s="99"/>
      <x:c r="I359" s="99"/>
      <x:c r="J359" s="99"/>
      <x:c r="K359" s="99"/>
      <x:c r="L359" s="99"/>
      <x:c r="M359" s="99"/>
      <x:c r="N359" s="99"/>
      <x:c r="O359" s="99"/>
      <x:c r="P359" s="99"/>
      <x:c r="Q359" s="99"/>
      <x:c r="R359" s="99"/>
      <x:c r="S359" s="99"/>
      <x:c r="T359" s="99"/>
      <x:c r="U359" s="99"/>
      <x:c r="V359" s="99"/>
      <x:c r="W359" s="99"/>
      <x:c r="X359" s="99"/>
      <x:c r="Y359" s="99"/>
      <x:c r="Z359" s="99"/>
    </x:row>
    <x:row r="360">
      <x:c r="A360" s="99"/>
      <x:c r="B360" s="99"/>
      <x:c r="C360" s="99"/>
      <x:c r="D360" s="99"/>
      <x:c r="E360" s="99"/>
      <x:c r="F360" s="99"/>
      <x:c r="G360" s="99"/>
      <x:c r="H360" s="99"/>
      <x:c r="I360" s="99"/>
      <x:c r="J360" s="99"/>
      <x:c r="K360" s="99"/>
      <x:c r="L360" s="99"/>
      <x:c r="M360" s="99"/>
      <x:c r="N360" s="99"/>
      <x:c r="O360" s="99"/>
      <x:c r="P360" s="99"/>
      <x:c r="Q360" s="99"/>
      <x:c r="R360" s="99"/>
      <x:c r="S360" s="99"/>
      <x:c r="T360" s="99"/>
      <x:c r="U360" s="99"/>
      <x:c r="V360" s="99"/>
      <x:c r="W360" s="99"/>
      <x:c r="X360" s="99"/>
      <x:c r="Y360" s="99"/>
      <x:c r="Z360" s="99"/>
    </x:row>
    <x:row r="361">
      <x:c r="A361" s="99"/>
      <x:c r="B361" s="99"/>
      <x:c r="C361" s="99"/>
      <x:c r="D361" s="99"/>
      <x:c r="E361" s="99"/>
      <x:c r="F361" s="99"/>
      <x:c r="G361" s="99"/>
      <x:c r="H361" s="99"/>
      <x:c r="I361" s="99"/>
      <x:c r="J361" s="99"/>
      <x:c r="K361" s="99"/>
      <x:c r="L361" s="99"/>
      <x:c r="M361" s="99"/>
      <x:c r="N361" s="99"/>
      <x:c r="O361" s="99"/>
      <x:c r="P361" s="99"/>
      <x:c r="Q361" s="99"/>
      <x:c r="R361" s="99"/>
      <x:c r="S361" s="99"/>
      <x:c r="T361" s="99"/>
      <x:c r="U361" s="99"/>
      <x:c r="V361" s="99"/>
      <x:c r="W361" s="99"/>
      <x:c r="X361" s="99"/>
      <x:c r="Y361" s="99"/>
      <x:c r="Z361" s="99"/>
    </x:row>
    <x:row r="362">
      <x:c r="A362" s="99"/>
      <x:c r="B362" s="99"/>
      <x:c r="C362" s="99"/>
      <x:c r="D362" s="99"/>
      <x:c r="E362" s="99"/>
      <x:c r="F362" s="99"/>
      <x:c r="G362" s="99"/>
      <x:c r="H362" s="99"/>
      <x:c r="I362" s="99"/>
      <x:c r="J362" s="99"/>
      <x:c r="K362" s="99"/>
      <x:c r="L362" s="99"/>
      <x:c r="M362" s="99"/>
      <x:c r="N362" s="99"/>
      <x:c r="O362" s="99"/>
      <x:c r="P362" s="99"/>
      <x:c r="Q362" s="99"/>
      <x:c r="R362" s="99"/>
      <x:c r="S362" s="99"/>
      <x:c r="T362" s="99"/>
      <x:c r="U362" s="99"/>
      <x:c r="V362" s="99"/>
      <x:c r="W362" s="99"/>
      <x:c r="X362" s="99"/>
      <x:c r="Y362" s="99"/>
      <x:c r="Z362" s="99"/>
    </x:row>
    <x:row r="363">
      <x:c r="A363" s="99"/>
      <x:c r="B363" s="99"/>
      <x:c r="C363" s="99"/>
      <x:c r="D363" s="99"/>
      <x:c r="E363" s="99"/>
      <x:c r="F363" s="99"/>
      <x:c r="G363" s="99"/>
      <x:c r="H363" s="99"/>
      <x:c r="I363" s="99"/>
      <x:c r="J363" s="99"/>
      <x:c r="K363" s="99"/>
      <x:c r="L363" s="99"/>
      <x:c r="M363" s="99"/>
      <x:c r="N363" s="99"/>
      <x:c r="O363" s="99"/>
      <x:c r="P363" s="99"/>
      <x:c r="Q363" s="99"/>
      <x:c r="R363" s="99"/>
      <x:c r="S363" s="99"/>
      <x:c r="T363" s="99"/>
      <x:c r="U363" s="99"/>
      <x:c r="V363" s="99"/>
      <x:c r="W363" s="99"/>
      <x:c r="X363" s="99"/>
      <x:c r="Y363" s="99"/>
      <x:c r="Z363" s="99"/>
    </x:row>
    <x:row r="364">
      <x:c r="A364" s="99"/>
      <x:c r="B364" s="99"/>
      <x:c r="C364" s="99"/>
      <x:c r="D364" s="99"/>
      <x:c r="E364" s="99"/>
      <x:c r="F364" s="99"/>
      <x:c r="G364" s="99"/>
      <x:c r="H364" s="99"/>
      <x:c r="I364" s="99"/>
      <x:c r="J364" s="99"/>
      <x:c r="K364" s="99"/>
      <x:c r="L364" s="99"/>
      <x:c r="M364" s="99"/>
      <x:c r="N364" s="99"/>
      <x:c r="O364" s="99"/>
      <x:c r="P364" s="99"/>
      <x:c r="Q364" s="99"/>
      <x:c r="R364" s="99"/>
      <x:c r="S364" s="99"/>
      <x:c r="T364" s="99"/>
      <x:c r="U364" s="99"/>
      <x:c r="V364" s="99"/>
      <x:c r="W364" s="99"/>
      <x:c r="X364" s="99"/>
      <x:c r="Y364" s="99"/>
      <x:c r="Z364" s="99"/>
    </x:row>
    <x:row r="365">
      <x:c r="A365" s="99"/>
      <x:c r="B365" s="99"/>
      <x:c r="C365" s="99"/>
      <x:c r="D365" s="99"/>
      <x:c r="E365" s="99"/>
      <x:c r="F365" s="99"/>
      <x:c r="G365" s="99"/>
      <x:c r="H365" s="99"/>
      <x:c r="I365" s="99"/>
      <x:c r="J365" s="99"/>
      <x:c r="K365" s="99"/>
      <x:c r="L365" s="99"/>
      <x:c r="M365" s="99"/>
      <x:c r="N365" s="99"/>
      <x:c r="O365" s="99"/>
      <x:c r="P365" s="99"/>
      <x:c r="Q365" s="99"/>
      <x:c r="R365" s="99"/>
      <x:c r="S365" s="99"/>
      <x:c r="T365" s="99"/>
      <x:c r="U365" s="99"/>
      <x:c r="V365" s="99"/>
      <x:c r="W365" s="99"/>
      <x:c r="X365" s="99"/>
      <x:c r="Y365" s="99"/>
      <x:c r="Z365" s="99"/>
    </x:row>
    <x:row r="366">
      <x:c r="A366" s="99"/>
      <x:c r="B366" s="99"/>
      <x:c r="C366" s="99"/>
      <x:c r="D366" s="99"/>
      <x:c r="E366" s="99"/>
      <x:c r="F366" s="99"/>
      <x:c r="G366" s="99"/>
      <x:c r="H366" s="99"/>
      <x:c r="I366" s="99"/>
      <x:c r="J366" s="99"/>
      <x:c r="K366" s="99"/>
      <x:c r="L366" s="99"/>
      <x:c r="M366" s="99"/>
      <x:c r="N366" s="99"/>
      <x:c r="O366" s="99"/>
      <x:c r="P366" s="99"/>
      <x:c r="Q366" s="99"/>
      <x:c r="R366" s="99"/>
      <x:c r="S366" s="99"/>
      <x:c r="T366" s="99"/>
      <x:c r="U366" s="99"/>
      <x:c r="V366" s="99"/>
      <x:c r="W366" s="99"/>
      <x:c r="X366" s="99"/>
      <x:c r="Y366" s="99"/>
      <x:c r="Z366" s="99"/>
    </x:row>
    <x:row r="367">
      <x:c r="A367" s="99"/>
      <x:c r="B367" s="99"/>
      <x:c r="C367" s="99"/>
      <x:c r="D367" s="99"/>
      <x:c r="E367" s="99"/>
      <x:c r="F367" s="99"/>
      <x:c r="G367" s="99"/>
      <x:c r="H367" s="99"/>
      <x:c r="I367" s="99"/>
      <x:c r="J367" s="99"/>
      <x:c r="K367" s="99"/>
      <x:c r="L367" s="99"/>
      <x:c r="M367" s="99"/>
      <x:c r="N367" s="99"/>
      <x:c r="O367" s="99"/>
      <x:c r="P367" s="99"/>
      <x:c r="Q367" s="99"/>
      <x:c r="R367" s="99"/>
      <x:c r="S367" s="99"/>
      <x:c r="T367" s="99"/>
      <x:c r="U367" s="99"/>
      <x:c r="V367" s="99"/>
      <x:c r="W367" s="99"/>
      <x:c r="X367" s="99"/>
      <x:c r="Y367" s="99"/>
      <x:c r="Z367" s="99"/>
    </x:row>
    <x:row r="368">
      <x:c r="A368" s="99"/>
      <x:c r="B368" s="99"/>
      <x:c r="C368" s="99"/>
      <x:c r="D368" s="99"/>
      <x:c r="E368" s="99"/>
      <x:c r="F368" s="99"/>
      <x:c r="G368" s="99"/>
      <x:c r="H368" s="99"/>
      <x:c r="I368" s="99"/>
      <x:c r="J368" s="99"/>
      <x:c r="K368" s="99"/>
      <x:c r="L368" s="99"/>
      <x:c r="M368" s="99"/>
      <x:c r="N368" s="99"/>
      <x:c r="O368" s="99"/>
      <x:c r="P368" s="99"/>
      <x:c r="Q368" s="99"/>
      <x:c r="R368" s="99"/>
      <x:c r="S368" s="99"/>
      <x:c r="T368" s="99"/>
      <x:c r="U368" s="99"/>
      <x:c r="V368" s="99"/>
      <x:c r="W368" s="99"/>
      <x:c r="X368" s="99"/>
      <x:c r="Y368" s="99"/>
      <x:c r="Z368" s="99"/>
    </x:row>
    <x:row r="369">
      <x:c r="A369" s="99"/>
      <x:c r="B369" s="99"/>
      <x:c r="C369" s="99"/>
      <x:c r="D369" s="99"/>
      <x:c r="E369" s="99"/>
      <x:c r="F369" s="99"/>
      <x:c r="G369" s="99"/>
      <x:c r="H369" s="99"/>
      <x:c r="I369" s="99"/>
      <x:c r="J369" s="99"/>
      <x:c r="K369" s="99"/>
      <x:c r="L369" s="99"/>
      <x:c r="M369" s="99"/>
      <x:c r="N369" s="99"/>
      <x:c r="O369" s="99"/>
      <x:c r="P369" s="99"/>
      <x:c r="Q369" s="99"/>
      <x:c r="R369" s="99"/>
      <x:c r="S369" s="99"/>
      <x:c r="T369" s="99"/>
      <x:c r="U369" s="99"/>
      <x:c r="V369" s="99"/>
      <x:c r="W369" s="99"/>
      <x:c r="X369" s="99"/>
      <x:c r="Y369" s="99"/>
      <x:c r="Z369" s="99"/>
    </x:row>
    <x:row r="370">
      <x:c r="A370" s="99"/>
      <x:c r="B370" s="99"/>
      <x:c r="C370" s="99"/>
      <x:c r="D370" s="99"/>
      <x:c r="E370" s="99"/>
      <x:c r="F370" s="99"/>
      <x:c r="G370" s="99"/>
      <x:c r="H370" s="99"/>
      <x:c r="I370" s="99"/>
      <x:c r="J370" s="99"/>
      <x:c r="K370" s="99"/>
      <x:c r="L370" s="99"/>
      <x:c r="M370" s="99"/>
      <x:c r="N370" s="99"/>
      <x:c r="O370" s="99"/>
      <x:c r="P370" s="99"/>
      <x:c r="Q370" s="99"/>
      <x:c r="R370" s="99"/>
      <x:c r="S370" s="99"/>
      <x:c r="T370" s="99"/>
      <x:c r="U370" s="99"/>
      <x:c r="V370" s="99"/>
      <x:c r="W370" s="99"/>
      <x:c r="X370" s="99"/>
      <x:c r="Y370" s="99"/>
      <x:c r="Z370" s="99"/>
    </x:row>
    <x:row r="371">
      <x:c r="A371" s="99"/>
      <x:c r="B371" s="99"/>
      <x:c r="C371" s="99"/>
      <x:c r="D371" s="99"/>
      <x:c r="E371" s="99"/>
      <x:c r="F371" s="99"/>
      <x:c r="G371" s="99"/>
      <x:c r="H371" s="99"/>
      <x:c r="I371" s="99"/>
      <x:c r="J371" s="99"/>
      <x:c r="K371" s="99"/>
      <x:c r="L371" s="99"/>
      <x:c r="M371" s="99"/>
      <x:c r="N371" s="99"/>
      <x:c r="O371" s="99"/>
      <x:c r="P371" s="99"/>
      <x:c r="Q371" s="99"/>
      <x:c r="R371" s="99"/>
      <x:c r="S371" s="99"/>
      <x:c r="T371" s="99"/>
      <x:c r="U371" s="99"/>
      <x:c r="V371" s="99"/>
      <x:c r="W371" s="99"/>
      <x:c r="X371" s="99"/>
      <x:c r="Y371" s="99"/>
      <x:c r="Z371" s="99"/>
    </x:row>
    <x:row r="372">
      <x:c r="A372" s="99"/>
      <x:c r="B372" s="99"/>
      <x:c r="C372" s="99"/>
      <x:c r="D372" s="99"/>
      <x:c r="E372" s="99"/>
      <x:c r="F372" s="99"/>
      <x:c r="G372" s="99"/>
      <x:c r="H372" s="99"/>
      <x:c r="I372" s="99"/>
      <x:c r="J372" s="99"/>
      <x:c r="K372" s="99"/>
      <x:c r="L372" s="99"/>
      <x:c r="M372" s="99"/>
      <x:c r="N372" s="99"/>
      <x:c r="O372" s="99"/>
      <x:c r="P372" s="99"/>
      <x:c r="Q372" s="99"/>
      <x:c r="R372" s="99"/>
      <x:c r="S372" s="99"/>
      <x:c r="T372" s="99"/>
      <x:c r="U372" s="99"/>
      <x:c r="V372" s="99"/>
      <x:c r="W372" s="99"/>
      <x:c r="X372" s="99"/>
      <x:c r="Y372" s="99"/>
      <x:c r="Z372" s="99"/>
    </x:row>
    <x:row r="373">
      <x:c r="A373" s="99"/>
      <x:c r="B373" s="99"/>
      <x:c r="C373" s="99"/>
      <x:c r="D373" s="99"/>
      <x:c r="E373" s="99"/>
      <x:c r="F373" s="99"/>
      <x:c r="G373" s="99"/>
      <x:c r="H373" s="99"/>
      <x:c r="I373" s="99"/>
      <x:c r="J373" s="99"/>
      <x:c r="K373" s="99"/>
      <x:c r="L373" s="99"/>
      <x:c r="M373" s="99"/>
      <x:c r="N373" s="99"/>
      <x:c r="O373" s="99"/>
      <x:c r="P373" s="99"/>
      <x:c r="Q373" s="99"/>
      <x:c r="R373" s="99"/>
      <x:c r="S373" s="99"/>
      <x:c r="T373" s="99"/>
      <x:c r="U373" s="99"/>
      <x:c r="V373" s="99"/>
      <x:c r="W373" s="99"/>
      <x:c r="X373" s="99"/>
      <x:c r="Y373" s="99"/>
      <x:c r="Z373" s="99"/>
    </x:row>
    <x:row r="374">
      <x:c r="A374" s="99"/>
      <x:c r="B374" s="99"/>
      <x:c r="C374" s="99"/>
      <x:c r="D374" s="99"/>
      <x:c r="E374" s="99"/>
      <x:c r="F374" s="99"/>
      <x:c r="G374" s="99"/>
      <x:c r="H374" s="99"/>
      <x:c r="I374" s="99"/>
      <x:c r="J374" s="99"/>
      <x:c r="K374" s="99"/>
      <x:c r="L374" s="99"/>
      <x:c r="M374" s="99"/>
      <x:c r="N374" s="99"/>
      <x:c r="O374" s="99"/>
      <x:c r="P374" s="99"/>
      <x:c r="Q374" s="99"/>
      <x:c r="R374" s="99"/>
      <x:c r="S374" s="99"/>
      <x:c r="T374" s="99"/>
      <x:c r="U374" s="99"/>
      <x:c r="V374" s="99"/>
      <x:c r="W374" s="99"/>
      <x:c r="X374" s="99"/>
      <x:c r="Y374" s="99"/>
      <x:c r="Z374" s="99"/>
    </x:row>
    <x:row r="375">
      <x:c r="A375" s="99"/>
      <x:c r="B375" s="99"/>
      <x:c r="C375" s="99"/>
      <x:c r="D375" s="99"/>
      <x:c r="E375" s="99"/>
      <x:c r="F375" s="99"/>
      <x:c r="G375" s="99"/>
      <x:c r="H375" s="99"/>
      <x:c r="I375" s="99"/>
      <x:c r="J375" s="99"/>
      <x:c r="K375" s="99"/>
      <x:c r="L375" s="99"/>
      <x:c r="M375" s="99"/>
      <x:c r="N375" s="99"/>
      <x:c r="O375" s="99"/>
      <x:c r="P375" s="99"/>
      <x:c r="Q375" s="99"/>
      <x:c r="R375" s="99"/>
      <x:c r="S375" s="99"/>
      <x:c r="T375" s="99"/>
      <x:c r="U375" s="99"/>
      <x:c r="V375" s="99"/>
      <x:c r="W375" s="99"/>
      <x:c r="X375" s="99"/>
      <x:c r="Y375" s="99"/>
      <x:c r="Z375" s="99"/>
    </x:row>
    <x:row r="376">
      <x:c r="A376" s="99"/>
      <x:c r="B376" s="99"/>
      <x:c r="C376" s="99"/>
      <x:c r="D376" s="99"/>
      <x:c r="E376" s="99"/>
      <x:c r="F376" s="99"/>
      <x:c r="G376" s="99"/>
      <x:c r="H376" s="99"/>
      <x:c r="I376" s="99"/>
      <x:c r="J376" s="99"/>
      <x:c r="K376" s="99"/>
      <x:c r="L376" s="99"/>
      <x:c r="M376" s="99"/>
      <x:c r="N376" s="99"/>
      <x:c r="O376" s="99"/>
      <x:c r="P376" s="99"/>
      <x:c r="Q376" s="99"/>
      <x:c r="R376" s="99"/>
      <x:c r="S376" s="99"/>
      <x:c r="T376" s="99"/>
      <x:c r="U376" s="99"/>
      <x:c r="V376" s="99"/>
      <x:c r="W376" s="99"/>
      <x:c r="X376" s="99"/>
      <x:c r="Y376" s="99"/>
      <x:c r="Z376" s="99"/>
    </x:row>
    <x:row r="377">
      <x:c r="A377" s="99"/>
      <x:c r="B377" s="99"/>
      <x:c r="C377" s="99"/>
      <x:c r="D377" s="99"/>
      <x:c r="E377" s="99"/>
      <x:c r="F377" s="99"/>
      <x:c r="G377" s="99"/>
      <x:c r="H377" s="99"/>
      <x:c r="I377" s="99"/>
      <x:c r="J377" s="99"/>
      <x:c r="K377" s="99"/>
      <x:c r="L377" s="99"/>
      <x:c r="M377" s="99"/>
      <x:c r="N377" s="99"/>
      <x:c r="O377" s="99"/>
      <x:c r="P377" s="99"/>
      <x:c r="Q377" s="99"/>
      <x:c r="R377" s="99"/>
      <x:c r="S377" s="99"/>
      <x:c r="T377" s="99"/>
      <x:c r="U377" s="99"/>
      <x:c r="V377" s="99"/>
      <x:c r="W377" s="99"/>
      <x:c r="X377" s="99"/>
      <x:c r="Y377" s="99"/>
      <x:c r="Z377" s="99"/>
    </x:row>
    <x:row r="378">
      <x:c r="A378" s="99"/>
      <x:c r="B378" s="99"/>
      <x:c r="C378" s="99"/>
      <x:c r="D378" s="99"/>
      <x:c r="E378" s="99"/>
      <x:c r="F378" s="99"/>
      <x:c r="G378" s="99"/>
      <x:c r="H378" s="99"/>
      <x:c r="I378" s="99"/>
      <x:c r="J378" s="99"/>
      <x:c r="K378" s="99"/>
      <x:c r="L378" s="99"/>
      <x:c r="M378" s="99"/>
      <x:c r="N378" s="99"/>
      <x:c r="O378" s="99"/>
      <x:c r="P378" s="99"/>
      <x:c r="Q378" s="99"/>
      <x:c r="R378" s="99"/>
      <x:c r="S378" s="99"/>
      <x:c r="T378" s="99"/>
      <x:c r="U378" s="99"/>
      <x:c r="V378" s="99"/>
      <x:c r="W378" s="99"/>
      <x:c r="X378" s="99"/>
      <x:c r="Y378" s="99"/>
      <x:c r="Z378" s="99"/>
    </x:row>
    <x:row r="379">
      <x:c r="A379" s="99"/>
      <x:c r="B379" s="99"/>
      <x:c r="C379" s="99"/>
      <x:c r="D379" s="99"/>
      <x:c r="E379" s="99"/>
      <x:c r="F379" s="99"/>
      <x:c r="G379" s="99"/>
      <x:c r="H379" s="99"/>
      <x:c r="I379" s="99"/>
      <x:c r="J379" s="99"/>
      <x:c r="K379" s="99"/>
      <x:c r="L379" s="99"/>
      <x:c r="M379" s="99"/>
      <x:c r="N379" s="99"/>
      <x:c r="O379" s="99"/>
      <x:c r="P379" s="99"/>
      <x:c r="Q379" s="99"/>
      <x:c r="R379" s="99"/>
      <x:c r="S379" s="99"/>
      <x:c r="T379" s="99"/>
      <x:c r="U379" s="99"/>
      <x:c r="V379" s="99"/>
      <x:c r="W379" s="99"/>
      <x:c r="X379" s="99"/>
      <x:c r="Y379" s="99"/>
      <x:c r="Z379" s="99"/>
    </x:row>
    <x:row r="380">
      <x:c r="A380" s="99"/>
      <x:c r="B380" s="99"/>
      <x:c r="C380" s="99"/>
      <x:c r="D380" s="99"/>
      <x:c r="E380" s="99"/>
      <x:c r="F380" s="99"/>
      <x:c r="G380" s="99"/>
      <x:c r="H380" s="99"/>
      <x:c r="I380" s="99"/>
      <x:c r="J380" s="99"/>
      <x:c r="K380" s="99"/>
      <x:c r="L380" s="99"/>
      <x:c r="M380" s="99"/>
      <x:c r="N380" s="99"/>
      <x:c r="O380" s="99"/>
      <x:c r="P380" s="99"/>
      <x:c r="Q380" s="99"/>
      <x:c r="R380" s="99"/>
      <x:c r="S380" s="99"/>
      <x:c r="T380" s="99"/>
      <x:c r="U380" s="99"/>
      <x:c r="V380" s="99"/>
      <x:c r="W380" s="99"/>
      <x:c r="X380" s="99"/>
      <x:c r="Y380" s="99"/>
      <x:c r="Z380" s="99"/>
    </x:row>
    <x:row r="381">
      <x:c r="A381" s="99"/>
      <x:c r="B381" s="99"/>
      <x:c r="C381" s="99"/>
      <x:c r="D381" s="99"/>
      <x:c r="E381" s="99"/>
      <x:c r="F381" s="99"/>
      <x:c r="G381" s="99"/>
      <x:c r="H381" s="99"/>
      <x:c r="I381" s="99"/>
      <x:c r="J381" s="99"/>
      <x:c r="K381" s="99"/>
      <x:c r="L381" s="99"/>
      <x:c r="M381" s="99"/>
      <x:c r="N381" s="99"/>
      <x:c r="O381" s="99"/>
      <x:c r="P381" s="99"/>
      <x:c r="Q381" s="99"/>
      <x:c r="R381" s="99"/>
      <x:c r="S381" s="99"/>
      <x:c r="T381" s="99"/>
      <x:c r="U381" s="99"/>
      <x:c r="V381" s="99"/>
      <x:c r="W381" s="99"/>
      <x:c r="X381" s="99"/>
      <x:c r="Y381" s="99"/>
      <x:c r="Z381" s="99"/>
    </x:row>
    <x:row r="382">
      <x:c r="A382" s="99"/>
      <x:c r="B382" s="99"/>
      <x:c r="C382" s="99"/>
      <x:c r="D382" s="99"/>
      <x:c r="E382" s="99"/>
      <x:c r="F382" s="99"/>
      <x:c r="G382" s="99"/>
      <x:c r="H382" s="99"/>
      <x:c r="I382" s="99"/>
      <x:c r="J382" s="99"/>
      <x:c r="K382" s="99"/>
      <x:c r="L382" s="99"/>
      <x:c r="M382" s="99"/>
      <x:c r="N382" s="99"/>
      <x:c r="O382" s="99"/>
      <x:c r="P382" s="99"/>
      <x:c r="Q382" s="99"/>
      <x:c r="R382" s="99"/>
      <x:c r="S382" s="99"/>
      <x:c r="T382" s="99"/>
      <x:c r="U382" s="99"/>
      <x:c r="V382" s="99"/>
      <x:c r="W382" s="99"/>
      <x:c r="X382" s="99"/>
      <x:c r="Y382" s="99"/>
      <x:c r="Z382" s="99"/>
    </x:row>
    <x:row r="383">
      <x:c r="A383" s="99"/>
      <x:c r="B383" s="99"/>
      <x:c r="C383" s="99"/>
      <x:c r="D383" s="99"/>
      <x:c r="E383" s="99"/>
      <x:c r="F383" s="99"/>
      <x:c r="G383" s="99"/>
      <x:c r="H383" s="99"/>
      <x:c r="I383" s="99"/>
      <x:c r="J383" s="99"/>
      <x:c r="K383" s="99"/>
      <x:c r="L383" s="99"/>
      <x:c r="M383" s="99"/>
      <x:c r="N383" s="99"/>
      <x:c r="O383" s="99"/>
      <x:c r="P383" s="99"/>
      <x:c r="Q383" s="99"/>
      <x:c r="R383" s="99"/>
      <x:c r="S383" s="99"/>
      <x:c r="T383" s="99"/>
      <x:c r="U383" s="99"/>
      <x:c r="V383" s="99"/>
      <x:c r="W383" s="99"/>
      <x:c r="X383" s="99"/>
      <x:c r="Y383" s="99"/>
      <x:c r="Z383" s="99"/>
    </x:row>
    <x:row r="384">
      <x:c r="A384" s="99"/>
      <x:c r="B384" s="99"/>
      <x:c r="C384" s="99"/>
      <x:c r="D384" s="99"/>
      <x:c r="E384" s="99"/>
      <x:c r="F384" s="99"/>
      <x:c r="G384" s="99"/>
      <x:c r="H384" s="99"/>
      <x:c r="I384" s="99"/>
      <x:c r="J384" s="99"/>
      <x:c r="K384" s="99"/>
      <x:c r="L384" s="99"/>
      <x:c r="M384" s="99"/>
      <x:c r="N384" s="99"/>
      <x:c r="O384" s="99"/>
      <x:c r="P384" s="99"/>
      <x:c r="Q384" s="99"/>
      <x:c r="R384" s="99"/>
      <x:c r="S384" s="99"/>
      <x:c r="T384" s="99"/>
      <x:c r="U384" s="99"/>
      <x:c r="V384" s="99"/>
      <x:c r="W384" s="99"/>
      <x:c r="X384" s="99"/>
      <x:c r="Y384" s="99"/>
      <x:c r="Z384" s="99"/>
    </x:row>
    <x:row r="385">
      <x:c r="A385" s="99"/>
      <x:c r="B385" s="99"/>
      <x:c r="C385" s="99"/>
      <x:c r="D385" s="99"/>
      <x:c r="E385" s="99"/>
      <x:c r="F385" s="99"/>
      <x:c r="G385" s="99"/>
      <x:c r="H385" s="99"/>
      <x:c r="I385" s="99"/>
      <x:c r="J385" s="99"/>
      <x:c r="K385" s="99"/>
      <x:c r="L385" s="99"/>
      <x:c r="M385" s="99"/>
      <x:c r="N385" s="99"/>
      <x:c r="O385" s="99"/>
      <x:c r="P385" s="99"/>
      <x:c r="Q385" s="99"/>
      <x:c r="R385" s="99"/>
      <x:c r="S385" s="99"/>
      <x:c r="T385" s="99"/>
      <x:c r="U385" s="99"/>
      <x:c r="V385" s="99"/>
      <x:c r="W385" s="99"/>
      <x:c r="X385" s="99"/>
      <x:c r="Y385" s="99"/>
      <x:c r="Z385" s="99"/>
    </x:row>
    <x:row r="386">
      <x:c r="A386" s="99"/>
      <x:c r="B386" s="99"/>
      <x:c r="C386" s="99"/>
      <x:c r="D386" s="99"/>
      <x:c r="E386" s="99"/>
      <x:c r="F386" s="99"/>
      <x:c r="G386" s="99"/>
      <x:c r="H386" s="99"/>
      <x:c r="I386" s="99"/>
      <x:c r="J386" s="99"/>
      <x:c r="K386" s="99"/>
      <x:c r="L386" s="99"/>
      <x:c r="M386" s="99"/>
      <x:c r="N386" s="99"/>
      <x:c r="O386" s="99"/>
      <x:c r="P386" s="99"/>
      <x:c r="Q386" s="99"/>
      <x:c r="R386" s="99"/>
      <x:c r="S386" s="99"/>
      <x:c r="T386" s="99"/>
      <x:c r="U386" s="99"/>
      <x:c r="V386" s="99"/>
      <x:c r="W386" s="99"/>
      <x:c r="X386" s="99"/>
      <x:c r="Y386" s="99"/>
      <x:c r="Z386" s="99"/>
    </x:row>
    <x:row r="387">
      <x:c r="A387" s="99"/>
      <x:c r="B387" s="99"/>
      <x:c r="C387" s="99"/>
      <x:c r="D387" s="99"/>
      <x:c r="E387" s="99"/>
      <x:c r="F387" s="99"/>
      <x:c r="G387" s="99"/>
      <x:c r="H387" s="99"/>
      <x:c r="I387" s="99"/>
      <x:c r="J387" s="99"/>
      <x:c r="K387" s="99"/>
      <x:c r="L387" s="99"/>
      <x:c r="M387" s="99"/>
      <x:c r="N387" s="99"/>
      <x:c r="O387" s="99"/>
      <x:c r="P387" s="99"/>
      <x:c r="Q387" s="99"/>
      <x:c r="R387" s="99"/>
      <x:c r="S387" s="99"/>
      <x:c r="T387" s="99"/>
      <x:c r="U387" s="99"/>
      <x:c r="V387" s="99"/>
      <x:c r="W387" s="99"/>
      <x:c r="X387" s="99"/>
      <x:c r="Y387" s="99"/>
      <x:c r="Z387" s="99"/>
    </x:row>
    <x:row r="388">
      <x:c r="A388" s="99"/>
      <x:c r="B388" s="99"/>
      <x:c r="C388" s="99"/>
      <x:c r="D388" s="99"/>
      <x:c r="E388" s="99"/>
      <x:c r="F388" s="99"/>
      <x:c r="G388" s="99"/>
      <x:c r="H388" s="99"/>
      <x:c r="I388" s="99"/>
      <x:c r="J388" s="99"/>
      <x:c r="K388" s="99"/>
      <x:c r="L388" s="99"/>
      <x:c r="M388" s="99"/>
      <x:c r="N388" s="99"/>
      <x:c r="O388" s="99"/>
      <x:c r="P388" s="99"/>
      <x:c r="Q388" s="99"/>
      <x:c r="R388" s="99"/>
      <x:c r="S388" s="99"/>
      <x:c r="T388" s="99"/>
      <x:c r="U388" s="99"/>
      <x:c r="V388" s="99"/>
      <x:c r="W388" s="99"/>
      <x:c r="X388" s="99"/>
      <x:c r="Y388" s="99"/>
      <x:c r="Z388" s="99"/>
    </x:row>
    <x:row r="389">
      <x:c r="A389" s="99"/>
      <x:c r="B389" s="99"/>
      <x:c r="C389" s="99"/>
      <x:c r="D389" s="99"/>
      <x:c r="E389" s="99"/>
      <x:c r="F389" s="99"/>
      <x:c r="G389" s="99"/>
      <x:c r="H389" s="99"/>
      <x:c r="I389" s="99"/>
      <x:c r="J389" s="99"/>
      <x:c r="K389" s="99"/>
      <x:c r="L389" s="99"/>
      <x:c r="M389" s="99"/>
      <x:c r="N389" s="99"/>
      <x:c r="O389" s="99"/>
      <x:c r="P389" s="99"/>
      <x:c r="Q389" s="99"/>
      <x:c r="R389" s="99"/>
      <x:c r="S389" s="99"/>
      <x:c r="T389" s="99"/>
      <x:c r="U389" s="99"/>
      <x:c r="V389" s="99"/>
      <x:c r="W389" s="99"/>
      <x:c r="X389" s="99"/>
      <x:c r="Y389" s="99"/>
      <x:c r="Z389" s="99"/>
    </x:row>
    <x:row r="390">
      <x:c r="A390" s="99"/>
      <x:c r="B390" s="99"/>
      <x:c r="C390" s="99"/>
      <x:c r="D390" s="99"/>
      <x:c r="E390" s="99"/>
      <x:c r="F390" s="99"/>
      <x:c r="G390" s="99"/>
      <x:c r="H390" s="99"/>
      <x:c r="I390" s="99"/>
      <x:c r="J390" s="99"/>
      <x:c r="K390" s="99"/>
      <x:c r="L390" s="99"/>
      <x:c r="M390" s="99"/>
      <x:c r="N390" s="99"/>
      <x:c r="O390" s="99"/>
      <x:c r="P390" s="99"/>
      <x:c r="Q390" s="99"/>
      <x:c r="R390" s="99"/>
      <x:c r="S390" s="99"/>
      <x:c r="T390" s="99"/>
      <x:c r="U390" s="99"/>
      <x:c r="V390" s="99"/>
      <x:c r="W390" s="99"/>
      <x:c r="X390" s="99"/>
      <x:c r="Y390" s="99"/>
      <x:c r="Z390" s="99"/>
    </x:row>
    <x:row r="391">
      <x:c r="A391" s="99"/>
      <x:c r="B391" s="99"/>
      <x:c r="C391" s="99"/>
      <x:c r="D391" s="99"/>
      <x:c r="E391" s="99"/>
      <x:c r="F391" s="99"/>
      <x:c r="G391" s="99"/>
      <x:c r="H391" s="99"/>
      <x:c r="I391" s="99"/>
      <x:c r="J391" s="99"/>
      <x:c r="K391" s="99"/>
      <x:c r="L391" s="99"/>
      <x:c r="M391" s="99"/>
      <x:c r="N391" s="99"/>
      <x:c r="O391" s="99"/>
      <x:c r="P391" s="99"/>
      <x:c r="Q391" s="99"/>
      <x:c r="R391" s="99"/>
      <x:c r="S391" s="99"/>
      <x:c r="T391" s="99"/>
      <x:c r="U391" s="99"/>
      <x:c r="V391" s="99"/>
      <x:c r="W391" s="99"/>
      <x:c r="X391" s="99"/>
      <x:c r="Y391" s="99"/>
      <x:c r="Z391" s="99"/>
    </x:row>
    <x:row r="392">
      <x:c r="A392" s="99"/>
      <x:c r="B392" s="99"/>
      <x:c r="C392" s="99"/>
      <x:c r="D392" s="99"/>
      <x:c r="E392" s="99"/>
      <x:c r="F392" s="99"/>
      <x:c r="G392" s="99"/>
      <x:c r="H392" s="99"/>
      <x:c r="I392" s="99"/>
      <x:c r="J392" s="99"/>
      <x:c r="K392" s="99"/>
      <x:c r="L392" s="99"/>
      <x:c r="M392" s="99"/>
      <x:c r="N392" s="99"/>
      <x:c r="O392" s="99"/>
      <x:c r="P392" s="99"/>
      <x:c r="Q392" s="99"/>
      <x:c r="R392" s="99"/>
      <x:c r="S392" s="99"/>
      <x:c r="T392" s="99"/>
      <x:c r="U392" s="99"/>
      <x:c r="V392" s="99"/>
      <x:c r="W392" s="99"/>
      <x:c r="X392" s="99"/>
      <x:c r="Y392" s="99"/>
      <x:c r="Z392" s="99"/>
    </x:row>
    <x:row r="393">
      <x:c r="A393" s="99"/>
      <x:c r="B393" s="99"/>
      <x:c r="C393" s="99"/>
      <x:c r="D393" s="99"/>
      <x:c r="E393" s="99"/>
      <x:c r="F393" s="99"/>
      <x:c r="G393" s="99"/>
      <x:c r="H393" s="99"/>
      <x:c r="I393" s="99"/>
      <x:c r="J393" s="99"/>
      <x:c r="K393" s="99"/>
      <x:c r="L393" s="99"/>
      <x:c r="M393" s="99"/>
      <x:c r="N393" s="99"/>
      <x:c r="O393" s="99"/>
      <x:c r="P393" s="99"/>
      <x:c r="Q393" s="99"/>
      <x:c r="R393" s="99"/>
      <x:c r="S393" s="99"/>
      <x:c r="T393" s="99"/>
      <x:c r="U393" s="99"/>
      <x:c r="V393" s="99"/>
      <x:c r="W393" s="99"/>
      <x:c r="X393" s="99"/>
      <x:c r="Y393" s="99"/>
      <x:c r="Z393" s="99"/>
    </x:row>
    <x:row r="394">
      <x:c r="A394" s="99"/>
      <x:c r="B394" s="99"/>
      <x:c r="C394" s="99"/>
      <x:c r="D394" s="99"/>
      <x:c r="E394" s="99"/>
      <x:c r="F394" s="99"/>
      <x:c r="G394" s="99"/>
      <x:c r="H394" s="99"/>
      <x:c r="I394" s="99"/>
      <x:c r="J394" s="99"/>
      <x:c r="K394" s="99"/>
      <x:c r="L394" s="99"/>
      <x:c r="M394" s="99"/>
      <x:c r="N394" s="99"/>
      <x:c r="O394" s="99"/>
      <x:c r="P394" s="99"/>
      <x:c r="Q394" s="99"/>
      <x:c r="R394" s="99"/>
      <x:c r="S394" s="99"/>
      <x:c r="T394" s="99"/>
      <x:c r="U394" s="99"/>
      <x:c r="V394" s="99"/>
      <x:c r="W394" s="99"/>
      <x:c r="X394" s="99"/>
      <x:c r="Y394" s="99"/>
      <x:c r="Z394" s="99"/>
    </x:row>
    <x:row r="395">
      <x:c r="A395" s="99"/>
      <x:c r="B395" s="99"/>
      <x:c r="C395" s="99"/>
      <x:c r="D395" s="99"/>
      <x:c r="E395" s="99"/>
      <x:c r="F395" s="99"/>
      <x:c r="G395" s="99"/>
      <x:c r="H395" s="99"/>
      <x:c r="I395" s="99"/>
      <x:c r="J395" s="99"/>
      <x:c r="K395" s="99"/>
      <x:c r="L395" s="99"/>
      <x:c r="M395" s="99"/>
      <x:c r="N395" s="99"/>
      <x:c r="O395" s="99"/>
      <x:c r="P395" s="99"/>
      <x:c r="Q395" s="99"/>
      <x:c r="R395" s="99"/>
      <x:c r="S395" s="99"/>
      <x:c r="T395" s="99"/>
      <x:c r="U395" s="99"/>
      <x:c r="V395" s="99"/>
      <x:c r="W395" s="99"/>
      <x:c r="X395" s="99"/>
      <x:c r="Y395" s="99"/>
      <x:c r="Z395" s="99"/>
    </x:row>
    <x:row r="396">
      <x:c r="A396" s="99"/>
      <x:c r="B396" s="99"/>
      <x:c r="C396" s="99"/>
      <x:c r="D396" s="99"/>
      <x:c r="E396" s="99"/>
      <x:c r="F396" s="99"/>
      <x:c r="G396" s="99"/>
      <x:c r="H396" s="99"/>
      <x:c r="I396" s="99"/>
      <x:c r="J396" s="99"/>
      <x:c r="K396" s="99"/>
      <x:c r="L396" s="99"/>
      <x:c r="M396" s="99"/>
      <x:c r="N396" s="99"/>
      <x:c r="O396" s="99"/>
      <x:c r="P396" s="99"/>
      <x:c r="Q396" s="99"/>
      <x:c r="R396" s="99"/>
      <x:c r="S396" s="99"/>
      <x:c r="T396" s="99"/>
      <x:c r="U396" s="99"/>
      <x:c r="V396" s="99"/>
      <x:c r="W396" s="99"/>
      <x:c r="X396" s="99"/>
      <x:c r="Y396" s="99"/>
      <x:c r="Z396" s="99"/>
    </x:row>
    <x:row r="397">
      <x:c r="A397" s="99"/>
      <x:c r="B397" s="99"/>
      <x:c r="C397" s="99"/>
      <x:c r="D397" s="99"/>
      <x:c r="E397" s="99"/>
      <x:c r="F397" s="99"/>
      <x:c r="G397" s="99"/>
      <x:c r="H397" s="99"/>
      <x:c r="I397" s="99"/>
      <x:c r="J397" s="99"/>
      <x:c r="K397" s="99"/>
      <x:c r="L397" s="99"/>
      <x:c r="M397" s="99"/>
      <x:c r="N397" s="99"/>
      <x:c r="O397" s="99"/>
      <x:c r="P397" s="99"/>
      <x:c r="Q397" s="99"/>
      <x:c r="R397" s="99"/>
      <x:c r="S397" s="99"/>
      <x:c r="T397" s="99"/>
      <x:c r="U397" s="99"/>
      <x:c r="V397" s="99"/>
      <x:c r="W397" s="99"/>
      <x:c r="X397" s="99"/>
      <x:c r="Y397" s="99"/>
      <x:c r="Z397" s="99"/>
    </x:row>
    <x:row r="398">
      <x:c r="A398" s="99"/>
      <x:c r="B398" s="99"/>
      <x:c r="C398" s="99"/>
      <x:c r="D398" s="99"/>
      <x:c r="E398" s="99"/>
      <x:c r="F398" s="99"/>
      <x:c r="G398" s="99"/>
      <x:c r="H398" s="99"/>
      <x:c r="I398" s="99"/>
      <x:c r="J398" s="99"/>
      <x:c r="K398" s="99"/>
      <x:c r="L398" s="99"/>
      <x:c r="M398" s="99"/>
      <x:c r="N398" s="99"/>
      <x:c r="O398" s="99"/>
      <x:c r="P398" s="99"/>
      <x:c r="Q398" s="99"/>
      <x:c r="R398" s="99"/>
      <x:c r="S398" s="99"/>
      <x:c r="T398" s="99"/>
      <x:c r="U398" s="99"/>
      <x:c r="V398" s="99"/>
      <x:c r="W398" s="99"/>
      <x:c r="X398" s="99"/>
      <x:c r="Y398" s="99"/>
      <x:c r="Z398" s="99"/>
    </x:row>
    <x:row r="399">
      <x:c r="A399" s="99"/>
      <x:c r="B399" s="99"/>
      <x:c r="C399" s="99"/>
      <x:c r="D399" s="99"/>
      <x:c r="E399" s="99"/>
      <x:c r="F399" s="99"/>
      <x:c r="G399" s="99"/>
      <x:c r="H399" s="99"/>
      <x:c r="I399" s="99"/>
      <x:c r="J399" s="99"/>
      <x:c r="K399" s="99"/>
      <x:c r="L399" s="99"/>
      <x:c r="M399" s="99"/>
      <x:c r="N399" s="99"/>
      <x:c r="O399" s="99"/>
      <x:c r="P399" s="99"/>
      <x:c r="Q399" s="99"/>
      <x:c r="R399" s="99"/>
      <x:c r="S399" s="99"/>
      <x:c r="T399" s="99"/>
      <x:c r="U399" s="99"/>
      <x:c r="V399" s="99"/>
      <x:c r="W399" s="99"/>
      <x:c r="X399" s="99"/>
      <x:c r="Y399" s="99"/>
      <x:c r="Z399" s="99"/>
    </x:row>
    <x:row r="400">
      <x:c r="A400" s="99"/>
      <x:c r="B400" s="99"/>
      <x:c r="C400" s="99"/>
      <x:c r="D400" s="99"/>
      <x:c r="E400" s="99"/>
      <x:c r="F400" s="99"/>
      <x:c r="G400" s="99"/>
      <x:c r="H400" s="99"/>
      <x:c r="I400" s="99"/>
      <x:c r="J400" s="99"/>
      <x:c r="K400" s="99"/>
      <x:c r="L400" s="99"/>
      <x:c r="M400" s="99"/>
      <x:c r="N400" s="99"/>
      <x:c r="O400" s="99"/>
      <x:c r="P400" s="99"/>
      <x:c r="Q400" s="99"/>
      <x:c r="R400" s="99"/>
      <x:c r="S400" s="99"/>
      <x:c r="T400" s="99"/>
      <x:c r="U400" s="99"/>
      <x:c r="V400" s="99"/>
      <x:c r="W400" s="99"/>
      <x:c r="X400" s="99"/>
      <x:c r="Y400" s="99"/>
      <x:c r="Z400" s="99"/>
    </x:row>
    <x:row r="401">
      <x:c r="A401" s="99"/>
      <x:c r="B401" s="99"/>
      <x:c r="C401" s="99"/>
      <x:c r="D401" s="99"/>
      <x:c r="E401" s="99"/>
      <x:c r="F401" s="99"/>
      <x:c r="G401" s="99"/>
      <x:c r="H401" s="99"/>
      <x:c r="I401" s="99"/>
      <x:c r="J401" s="99"/>
      <x:c r="K401" s="99"/>
      <x:c r="L401" s="99"/>
      <x:c r="M401" s="99"/>
      <x:c r="N401" s="99"/>
      <x:c r="O401" s="99"/>
      <x:c r="P401" s="99"/>
      <x:c r="Q401" s="99"/>
      <x:c r="R401" s="99"/>
      <x:c r="S401" s="99"/>
      <x:c r="T401" s="99"/>
      <x:c r="U401" s="99"/>
      <x:c r="V401" s="99"/>
      <x:c r="W401" s="99"/>
      <x:c r="X401" s="99"/>
      <x:c r="Y401" s="99"/>
      <x:c r="Z401" s="99"/>
    </x:row>
    <x:row r="402">
      <x:c r="A402" s="99"/>
      <x:c r="B402" s="99"/>
      <x:c r="C402" s="99"/>
      <x:c r="D402" s="99"/>
      <x:c r="E402" s="99"/>
      <x:c r="F402" s="99"/>
      <x:c r="G402" s="99"/>
      <x:c r="H402" s="99"/>
      <x:c r="I402" s="99"/>
      <x:c r="J402" s="99"/>
      <x:c r="K402" s="99"/>
      <x:c r="L402" s="99"/>
      <x:c r="M402" s="99"/>
      <x:c r="N402" s="99"/>
      <x:c r="O402" s="99"/>
      <x:c r="P402" s="99"/>
      <x:c r="Q402" s="99"/>
      <x:c r="R402" s="99"/>
      <x:c r="S402" s="99"/>
      <x:c r="T402" s="99"/>
      <x:c r="U402" s="99"/>
      <x:c r="V402" s="99"/>
      <x:c r="W402" s="99"/>
      <x:c r="X402" s="99"/>
      <x:c r="Y402" s="99"/>
      <x:c r="Z402" s="99"/>
    </x:row>
    <x:row r="403">
      <x:c r="A403" s="99"/>
      <x:c r="B403" s="99"/>
      <x:c r="C403" s="99"/>
      <x:c r="D403" s="99"/>
      <x:c r="E403" s="99"/>
      <x:c r="F403" s="99"/>
      <x:c r="G403" s="99"/>
      <x:c r="H403" s="99"/>
      <x:c r="I403" s="99"/>
      <x:c r="J403" s="99"/>
      <x:c r="K403" s="99"/>
      <x:c r="L403" s="99"/>
      <x:c r="M403" s="99"/>
      <x:c r="N403" s="99"/>
      <x:c r="O403" s="99"/>
      <x:c r="P403" s="99"/>
      <x:c r="Q403" s="99"/>
      <x:c r="R403" s="99"/>
      <x:c r="S403" s="99"/>
      <x:c r="T403" s="99"/>
      <x:c r="U403" s="99"/>
      <x:c r="V403" s="99"/>
      <x:c r="W403" s="99"/>
      <x:c r="X403" s="99"/>
      <x:c r="Y403" s="99"/>
      <x:c r="Z403" s="99"/>
    </x:row>
    <x:row r="404">
      <x:c r="A404" s="99"/>
      <x:c r="B404" s="99"/>
      <x:c r="C404" s="99"/>
      <x:c r="D404" s="99"/>
      <x:c r="E404" s="99"/>
      <x:c r="F404" s="99"/>
      <x:c r="G404" s="99"/>
      <x:c r="H404" s="99"/>
      <x:c r="I404" s="99"/>
      <x:c r="J404" s="99"/>
      <x:c r="K404" s="99"/>
      <x:c r="L404" s="99"/>
      <x:c r="M404" s="99"/>
      <x:c r="N404" s="99"/>
      <x:c r="O404" s="99"/>
      <x:c r="P404" s="99"/>
      <x:c r="Q404" s="99"/>
      <x:c r="R404" s="99"/>
      <x:c r="S404" s="99"/>
      <x:c r="T404" s="99"/>
      <x:c r="U404" s="99"/>
      <x:c r="V404" s="99"/>
      <x:c r="W404" s="99"/>
      <x:c r="X404" s="99"/>
      <x:c r="Y404" s="99"/>
      <x:c r="Z404" s="99"/>
    </x:row>
    <x:row r="405">
      <x:c r="A405" s="99"/>
      <x:c r="B405" s="99"/>
      <x:c r="C405" s="99"/>
      <x:c r="D405" s="99"/>
      <x:c r="E405" s="99"/>
      <x:c r="F405" s="99"/>
      <x:c r="G405" s="99"/>
      <x:c r="H405" s="99"/>
      <x:c r="I405" s="99"/>
      <x:c r="J405" s="99"/>
      <x:c r="K405" s="99"/>
      <x:c r="L405" s="99"/>
      <x:c r="M405" s="99"/>
      <x:c r="N405" s="99"/>
      <x:c r="O405" s="99"/>
      <x:c r="P405" s="99"/>
      <x:c r="Q405" s="99"/>
      <x:c r="R405" s="99"/>
      <x:c r="S405" s="99"/>
      <x:c r="T405" s="99"/>
      <x:c r="U405" s="99"/>
      <x:c r="V405" s="99"/>
      <x:c r="W405" s="99"/>
      <x:c r="X405" s="99"/>
      <x:c r="Y405" s="99"/>
      <x:c r="Z405" s="99"/>
    </x:row>
    <x:row r="406">
      <x:c r="A406" s="99"/>
      <x:c r="B406" s="99"/>
      <x:c r="C406" s="99"/>
      <x:c r="D406" s="99"/>
      <x:c r="E406" s="99"/>
      <x:c r="F406" s="99"/>
      <x:c r="G406" s="99"/>
      <x:c r="H406" s="99"/>
      <x:c r="I406" s="99"/>
      <x:c r="J406" s="99"/>
      <x:c r="K406" s="99"/>
      <x:c r="L406" s="99"/>
      <x:c r="M406" s="99"/>
      <x:c r="N406" s="99"/>
      <x:c r="O406" s="99"/>
      <x:c r="P406" s="99"/>
      <x:c r="Q406" s="99"/>
      <x:c r="R406" s="99"/>
      <x:c r="S406" s="99"/>
      <x:c r="T406" s="99"/>
      <x:c r="U406" s="99"/>
      <x:c r="V406" s="99"/>
      <x:c r="W406" s="99"/>
      <x:c r="X406" s="99"/>
      <x:c r="Y406" s="99"/>
      <x:c r="Z406" s="99"/>
    </x:row>
    <x:row r="407">
      <x:c r="A407" s="99"/>
      <x:c r="B407" s="99"/>
      <x:c r="C407" s="99"/>
      <x:c r="D407" s="99"/>
      <x:c r="E407" s="99"/>
      <x:c r="F407" s="99"/>
      <x:c r="G407" s="99"/>
      <x:c r="H407" s="99"/>
      <x:c r="I407" s="99"/>
      <x:c r="J407" s="99"/>
      <x:c r="K407" s="99"/>
      <x:c r="L407" s="99"/>
      <x:c r="M407" s="99"/>
      <x:c r="N407" s="99"/>
      <x:c r="O407" s="99"/>
      <x:c r="P407" s="99"/>
      <x:c r="Q407" s="99"/>
      <x:c r="R407" s="99"/>
      <x:c r="S407" s="99"/>
      <x:c r="T407" s="99"/>
      <x:c r="U407" s="99"/>
      <x:c r="V407" s="99"/>
      <x:c r="W407" s="99"/>
      <x:c r="X407" s="99"/>
      <x:c r="Y407" s="99"/>
      <x:c r="Z407" s="99"/>
    </x:row>
    <x:row r="408">
      <x:c r="A408" s="99"/>
      <x:c r="B408" s="99"/>
      <x:c r="C408" s="99"/>
      <x:c r="D408" s="99"/>
      <x:c r="E408" s="99"/>
      <x:c r="F408" s="99"/>
      <x:c r="G408" s="99"/>
      <x:c r="H408" s="99"/>
      <x:c r="I408" s="99"/>
      <x:c r="J408" s="99"/>
      <x:c r="K408" s="99"/>
      <x:c r="L408" s="99"/>
      <x:c r="M408" s="99"/>
      <x:c r="N408" s="99"/>
      <x:c r="O408" s="99"/>
      <x:c r="P408" s="99"/>
      <x:c r="Q408" s="99"/>
      <x:c r="R408" s="99"/>
      <x:c r="S408" s="99"/>
      <x:c r="T408" s="99"/>
      <x:c r="U408" s="99"/>
      <x:c r="V408" s="99"/>
      <x:c r="W408" s="99"/>
      <x:c r="X408" s="99"/>
      <x:c r="Y408" s="99"/>
      <x:c r="Z408" s="99"/>
    </x:row>
    <x:row r="409">
      <x:c r="A409" s="99"/>
      <x:c r="B409" s="99"/>
      <x:c r="C409" s="99"/>
      <x:c r="D409" s="99"/>
      <x:c r="E409" s="99"/>
      <x:c r="F409" s="99"/>
      <x:c r="G409" s="99"/>
      <x:c r="H409" s="99"/>
      <x:c r="I409" s="99"/>
      <x:c r="J409" s="99"/>
      <x:c r="K409" s="99"/>
      <x:c r="L409" s="99"/>
      <x:c r="M409" s="99"/>
      <x:c r="N409" s="99"/>
      <x:c r="O409" s="99"/>
      <x:c r="P409" s="99"/>
      <x:c r="Q409" s="99"/>
      <x:c r="R409" s="99"/>
      <x:c r="S409" s="99"/>
      <x:c r="T409" s="99"/>
      <x:c r="U409" s="99"/>
      <x:c r="V409" s="99"/>
      <x:c r="W409" s="99"/>
      <x:c r="X409" s="99"/>
      <x:c r="Y409" s="99"/>
      <x:c r="Z409" s="99"/>
    </x:row>
    <x:row r="410">
      <x:c r="A410" s="99"/>
      <x:c r="B410" s="99"/>
      <x:c r="C410" s="99"/>
      <x:c r="D410" s="99"/>
      <x:c r="E410" s="99"/>
      <x:c r="F410" s="99"/>
      <x:c r="G410" s="99"/>
      <x:c r="H410" s="99"/>
      <x:c r="I410" s="99"/>
      <x:c r="J410" s="99"/>
      <x:c r="K410" s="99"/>
      <x:c r="L410" s="99"/>
      <x:c r="M410" s="99"/>
      <x:c r="N410" s="99"/>
      <x:c r="O410" s="99"/>
      <x:c r="P410" s="99"/>
      <x:c r="Q410" s="99"/>
      <x:c r="R410" s="99"/>
      <x:c r="S410" s="99"/>
      <x:c r="T410" s="99"/>
      <x:c r="U410" s="99"/>
      <x:c r="V410" s="99"/>
      <x:c r="W410" s="99"/>
      <x:c r="X410" s="99"/>
      <x:c r="Y410" s="99"/>
      <x:c r="Z410" s="99"/>
    </x:row>
    <x:row r="411">
      <x:c r="A411" s="99"/>
      <x:c r="B411" s="99"/>
      <x:c r="C411" s="99"/>
      <x:c r="D411" s="99"/>
      <x:c r="E411" s="99"/>
      <x:c r="F411" s="99"/>
      <x:c r="G411" s="99"/>
      <x:c r="H411" s="99"/>
      <x:c r="I411" s="99"/>
      <x:c r="J411" s="99"/>
      <x:c r="K411" s="99"/>
      <x:c r="L411" s="99"/>
      <x:c r="M411" s="99"/>
      <x:c r="N411" s="99"/>
      <x:c r="O411" s="99"/>
      <x:c r="P411" s="99"/>
      <x:c r="Q411" s="99"/>
      <x:c r="R411" s="99"/>
      <x:c r="S411" s="99"/>
      <x:c r="T411" s="99"/>
      <x:c r="U411" s="99"/>
      <x:c r="V411" s="99"/>
      <x:c r="W411" s="99"/>
      <x:c r="X411" s="99"/>
      <x:c r="Y411" s="99"/>
      <x:c r="Z411" s="99"/>
    </x:row>
    <x:row r="412">
      <x:c r="A412" s="99"/>
      <x:c r="B412" s="99"/>
      <x:c r="C412" s="99"/>
      <x:c r="D412" s="99"/>
      <x:c r="E412" s="99"/>
      <x:c r="F412" s="99"/>
      <x:c r="G412" s="99"/>
      <x:c r="H412" s="99"/>
      <x:c r="I412" s="99"/>
      <x:c r="J412" s="99"/>
      <x:c r="K412" s="99"/>
      <x:c r="L412" s="99"/>
      <x:c r="M412" s="99"/>
      <x:c r="N412" s="99"/>
      <x:c r="O412" s="99"/>
      <x:c r="P412" s="99"/>
      <x:c r="Q412" s="99"/>
      <x:c r="R412" s="99"/>
      <x:c r="S412" s="99"/>
      <x:c r="T412" s="99"/>
      <x:c r="U412" s="99"/>
      <x:c r="V412" s="99"/>
      <x:c r="W412" s="99"/>
      <x:c r="X412" s="99"/>
      <x:c r="Y412" s="99"/>
      <x:c r="Z412" s="99"/>
    </x:row>
    <x:row r="413">
      <x:c r="A413" s="99"/>
      <x:c r="B413" s="99"/>
      <x:c r="C413" s="99"/>
      <x:c r="D413" s="99"/>
      <x:c r="E413" s="99"/>
      <x:c r="F413" s="99"/>
      <x:c r="G413" s="99"/>
      <x:c r="H413" s="99"/>
      <x:c r="I413" s="99"/>
      <x:c r="J413" s="99"/>
      <x:c r="K413" s="99"/>
      <x:c r="L413" s="99"/>
      <x:c r="M413" s="99"/>
      <x:c r="N413" s="99"/>
      <x:c r="O413" s="99"/>
      <x:c r="P413" s="99"/>
      <x:c r="Q413" s="99"/>
      <x:c r="R413" s="99"/>
      <x:c r="S413" s="99"/>
      <x:c r="T413" s="99"/>
      <x:c r="U413" s="99"/>
      <x:c r="V413" s="99"/>
      <x:c r="W413" s="99"/>
      <x:c r="X413" s="99"/>
      <x:c r="Y413" s="99"/>
      <x:c r="Z413" s="99"/>
    </x:row>
    <x:row r="414">
      <x:c r="A414" s="99"/>
      <x:c r="B414" s="99"/>
      <x:c r="C414" s="99"/>
      <x:c r="D414" s="99"/>
      <x:c r="E414" s="99"/>
      <x:c r="F414" s="99"/>
      <x:c r="G414" s="99"/>
      <x:c r="H414" s="99"/>
      <x:c r="I414" s="99"/>
      <x:c r="J414" s="99"/>
      <x:c r="K414" s="99"/>
      <x:c r="L414" s="99"/>
      <x:c r="M414" s="99"/>
      <x:c r="N414" s="99"/>
      <x:c r="O414" s="99"/>
      <x:c r="P414" s="99"/>
      <x:c r="Q414" s="99"/>
      <x:c r="R414" s="99"/>
      <x:c r="S414" s="99"/>
      <x:c r="T414" s="99"/>
      <x:c r="U414" s="99"/>
      <x:c r="V414" s="99"/>
      <x:c r="W414" s="99"/>
      <x:c r="X414" s="99"/>
      <x:c r="Y414" s="99"/>
      <x:c r="Z414" s="99"/>
    </x:row>
    <x:row r="415">
      <x:c r="A415" s="99"/>
      <x:c r="B415" s="99"/>
      <x:c r="C415" s="99"/>
      <x:c r="D415" s="99"/>
      <x:c r="E415" s="99"/>
      <x:c r="F415" s="99"/>
      <x:c r="G415" s="99"/>
      <x:c r="H415" s="99"/>
      <x:c r="I415" s="99"/>
      <x:c r="J415" s="99"/>
      <x:c r="K415" s="99"/>
      <x:c r="L415" s="99"/>
      <x:c r="M415" s="99"/>
      <x:c r="N415" s="99"/>
      <x:c r="O415" s="99"/>
      <x:c r="P415" s="99"/>
      <x:c r="Q415" s="99"/>
      <x:c r="R415" s="99"/>
      <x:c r="S415" s="99"/>
      <x:c r="T415" s="99"/>
      <x:c r="U415" s="99"/>
      <x:c r="V415" s="99"/>
      <x:c r="W415" s="99"/>
      <x:c r="X415" s="99"/>
      <x:c r="Y415" s="99"/>
      <x:c r="Z415" s="99"/>
    </x:row>
    <x:row r="416">
      <x:c r="A416" s="99"/>
      <x:c r="B416" s="99"/>
      <x:c r="C416" s="99"/>
      <x:c r="D416" s="99"/>
      <x:c r="E416" s="99"/>
      <x:c r="F416" s="99"/>
      <x:c r="G416" s="99"/>
      <x:c r="H416" s="99"/>
      <x:c r="I416" s="99"/>
      <x:c r="J416" s="99"/>
      <x:c r="K416" s="99"/>
      <x:c r="L416" s="99"/>
      <x:c r="M416" s="99"/>
      <x:c r="N416" s="99"/>
      <x:c r="O416" s="99"/>
      <x:c r="P416" s="99"/>
      <x:c r="Q416" s="99"/>
      <x:c r="R416" s="99"/>
      <x:c r="S416" s="99"/>
      <x:c r="T416" s="99"/>
      <x:c r="U416" s="99"/>
      <x:c r="V416" s="99"/>
      <x:c r="W416" s="99"/>
      <x:c r="X416" s="99"/>
      <x:c r="Y416" s="99"/>
      <x:c r="Z416" s="99"/>
    </x:row>
    <x:row r="417">
      <x:c r="A417" s="99"/>
      <x:c r="B417" s="99"/>
      <x:c r="C417" s="99"/>
      <x:c r="D417" s="99"/>
      <x:c r="E417" s="99"/>
      <x:c r="F417" s="99"/>
      <x:c r="G417" s="99"/>
      <x:c r="H417" s="99"/>
      <x:c r="I417" s="99"/>
      <x:c r="J417" s="99"/>
      <x:c r="K417" s="99"/>
      <x:c r="L417" s="99"/>
      <x:c r="M417" s="99"/>
      <x:c r="N417" s="99"/>
      <x:c r="O417" s="99"/>
      <x:c r="P417" s="99"/>
      <x:c r="Q417" s="99"/>
      <x:c r="R417" s="99"/>
      <x:c r="S417" s="99"/>
      <x:c r="T417" s="99"/>
      <x:c r="U417" s="99"/>
      <x:c r="V417" s="99"/>
      <x:c r="W417" s="99"/>
      <x:c r="X417" s="99"/>
      <x:c r="Y417" s="99"/>
      <x:c r="Z417" s="99"/>
    </x:row>
    <x:row r="418">
      <x:c r="A418" s="99"/>
      <x:c r="B418" s="99"/>
      <x:c r="C418" s="99"/>
      <x:c r="D418" s="99"/>
      <x:c r="E418" s="99"/>
      <x:c r="F418" s="99"/>
      <x:c r="G418" s="99"/>
      <x:c r="H418" s="99"/>
      <x:c r="I418" s="99"/>
      <x:c r="J418" s="99"/>
      <x:c r="K418" s="99"/>
      <x:c r="L418" s="99"/>
      <x:c r="M418" s="99"/>
      <x:c r="N418" s="99"/>
      <x:c r="O418" s="99"/>
      <x:c r="P418" s="99"/>
      <x:c r="Q418" s="99"/>
      <x:c r="R418" s="99"/>
      <x:c r="S418" s="99"/>
      <x:c r="T418" s="99"/>
      <x:c r="U418" s="99"/>
      <x:c r="V418" s="99"/>
      <x:c r="W418" s="99"/>
      <x:c r="X418" s="99"/>
      <x:c r="Y418" s="99"/>
      <x:c r="Z418" s="99"/>
    </x:row>
    <x:row r="419">
      <x:c r="A419" s="99"/>
      <x:c r="B419" s="99"/>
      <x:c r="C419" s="99"/>
      <x:c r="D419" s="99"/>
      <x:c r="E419" s="99"/>
      <x:c r="F419" s="99"/>
      <x:c r="G419" s="99"/>
      <x:c r="H419" s="99"/>
      <x:c r="I419" s="99"/>
      <x:c r="J419" s="99"/>
      <x:c r="K419" s="99"/>
      <x:c r="L419" s="99"/>
      <x:c r="M419" s="99"/>
      <x:c r="N419" s="99"/>
      <x:c r="O419" s="99"/>
      <x:c r="P419" s="99"/>
      <x:c r="Q419" s="99"/>
      <x:c r="R419" s="99"/>
      <x:c r="S419" s="99"/>
      <x:c r="T419" s="99"/>
      <x:c r="U419" s="99"/>
      <x:c r="V419" s="99"/>
      <x:c r="W419" s="99"/>
      <x:c r="X419" s="99"/>
      <x:c r="Y419" s="99"/>
      <x:c r="Z419" s="99"/>
    </x:row>
    <x:row r="420">
      <x:c r="A420" s="99"/>
      <x:c r="B420" s="99"/>
      <x:c r="C420" s="99"/>
      <x:c r="D420" s="99"/>
      <x:c r="E420" s="99"/>
      <x:c r="F420" s="99"/>
      <x:c r="G420" s="99"/>
      <x:c r="H420" s="99"/>
      <x:c r="I420" s="99"/>
      <x:c r="J420" s="99"/>
      <x:c r="K420" s="99"/>
      <x:c r="L420" s="99"/>
      <x:c r="M420" s="99"/>
      <x:c r="N420" s="99"/>
      <x:c r="O420" s="99"/>
      <x:c r="P420" s="99"/>
      <x:c r="Q420" s="99"/>
      <x:c r="R420" s="99"/>
      <x:c r="S420" s="99"/>
      <x:c r="T420" s="99"/>
      <x:c r="U420" s="99"/>
      <x:c r="V420" s="99"/>
      <x:c r="W420" s="99"/>
      <x:c r="X420" s="99"/>
      <x:c r="Y420" s="99"/>
      <x:c r="Z420" s="99"/>
    </x:row>
    <x:row r="421">
      <x:c r="A421" s="99"/>
      <x:c r="B421" s="99"/>
      <x:c r="C421" s="99"/>
      <x:c r="D421" s="99"/>
      <x:c r="E421" s="99"/>
      <x:c r="F421" s="99"/>
      <x:c r="G421" s="99"/>
      <x:c r="H421" s="99"/>
      <x:c r="I421" s="99"/>
      <x:c r="J421" s="99"/>
      <x:c r="K421" s="99"/>
      <x:c r="L421" s="99"/>
      <x:c r="M421" s="99"/>
      <x:c r="N421" s="99"/>
      <x:c r="O421" s="99"/>
      <x:c r="P421" s="99"/>
      <x:c r="Q421" s="99"/>
      <x:c r="R421" s="99"/>
      <x:c r="S421" s="99"/>
      <x:c r="T421" s="99"/>
      <x:c r="U421" s="99"/>
      <x:c r="V421" s="99"/>
      <x:c r="W421" s="99"/>
      <x:c r="X421" s="99"/>
      <x:c r="Y421" s="99"/>
      <x:c r="Z421" s="99"/>
    </x:row>
    <x:row r="422">
      <x:c r="A422" s="99"/>
      <x:c r="B422" s="99"/>
      <x:c r="C422" s="99"/>
      <x:c r="D422" s="99"/>
      <x:c r="E422" s="99"/>
      <x:c r="F422" s="99"/>
      <x:c r="G422" s="99"/>
      <x:c r="H422" s="99"/>
      <x:c r="I422" s="99"/>
      <x:c r="J422" s="99"/>
      <x:c r="K422" s="99"/>
      <x:c r="L422" s="99"/>
      <x:c r="M422" s="99"/>
      <x:c r="N422" s="99"/>
      <x:c r="O422" s="99"/>
      <x:c r="P422" s="99"/>
      <x:c r="Q422" s="99"/>
      <x:c r="R422" s="99"/>
      <x:c r="S422" s="99"/>
      <x:c r="T422" s="99"/>
      <x:c r="U422" s="99"/>
      <x:c r="V422" s="99"/>
      <x:c r="W422" s="99"/>
      <x:c r="X422" s="99"/>
      <x:c r="Y422" s="99"/>
      <x:c r="Z422" s="99"/>
    </x:row>
    <x:row r="423">
      <x:c r="A423" s="99"/>
      <x:c r="B423" s="99"/>
      <x:c r="C423" s="99"/>
      <x:c r="D423" s="99"/>
      <x:c r="E423" s="99"/>
      <x:c r="F423" s="99"/>
      <x:c r="G423" s="99"/>
      <x:c r="H423" s="99"/>
      <x:c r="I423" s="99"/>
      <x:c r="J423" s="99"/>
      <x:c r="K423" s="99"/>
      <x:c r="L423" s="99"/>
      <x:c r="M423" s="99"/>
      <x:c r="N423" s="99"/>
      <x:c r="O423" s="99"/>
      <x:c r="P423" s="99"/>
      <x:c r="Q423" s="99"/>
      <x:c r="R423" s="99"/>
      <x:c r="S423" s="99"/>
      <x:c r="T423" s="99"/>
      <x:c r="U423" s="99"/>
      <x:c r="V423" s="99"/>
      <x:c r="W423" s="99"/>
      <x:c r="X423" s="99"/>
      <x:c r="Y423" s="99"/>
      <x:c r="Z423" s="99"/>
    </x:row>
    <x:row r="424">
      <x:c r="A424" s="99"/>
      <x:c r="B424" s="99"/>
      <x:c r="C424" s="99"/>
      <x:c r="D424" s="99"/>
      <x:c r="E424" s="99"/>
      <x:c r="F424" s="99"/>
      <x:c r="G424" s="99"/>
      <x:c r="H424" s="99"/>
      <x:c r="I424" s="99"/>
      <x:c r="J424" s="99"/>
      <x:c r="K424" s="99"/>
      <x:c r="L424" s="99"/>
      <x:c r="M424" s="99"/>
      <x:c r="N424" s="99"/>
      <x:c r="O424" s="99"/>
      <x:c r="P424" s="99"/>
      <x:c r="Q424" s="99"/>
      <x:c r="R424" s="99"/>
      <x:c r="S424" s="99"/>
      <x:c r="T424" s="99"/>
      <x:c r="U424" s="99"/>
      <x:c r="V424" s="99"/>
      <x:c r="W424" s="99"/>
      <x:c r="X424" s="99"/>
      <x:c r="Y424" s="99"/>
      <x:c r="Z424" s="99"/>
    </x:row>
    <x:row r="425">
      <x:c r="A425" s="99"/>
      <x:c r="B425" s="99"/>
      <x:c r="C425" s="99"/>
      <x:c r="D425" s="99"/>
      <x:c r="E425" s="99"/>
      <x:c r="F425" s="99"/>
      <x:c r="G425" s="99"/>
      <x:c r="H425" s="99"/>
      <x:c r="I425" s="99"/>
      <x:c r="J425" s="99"/>
      <x:c r="K425" s="99"/>
      <x:c r="L425" s="99"/>
      <x:c r="M425" s="99"/>
      <x:c r="N425" s="99"/>
      <x:c r="O425" s="99"/>
      <x:c r="P425" s="99"/>
      <x:c r="Q425" s="99"/>
      <x:c r="R425" s="99"/>
      <x:c r="S425" s="99"/>
      <x:c r="T425" s="99"/>
      <x:c r="U425" s="99"/>
      <x:c r="V425" s="99"/>
      <x:c r="W425" s="99"/>
      <x:c r="X425" s="99"/>
      <x:c r="Y425" s="99"/>
      <x:c r="Z425" s="99"/>
    </x:row>
    <x:row r="426">
      <x:c r="A426" s="99"/>
      <x:c r="B426" s="99"/>
      <x:c r="C426" s="99"/>
      <x:c r="D426" s="99"/>
      <x:c r="E426" s="99"/>
      <x:c r="F426" s="99"/>
      <x:c r="G426" s="99"/>
      <x:c r="H426" s="99"/>
      <x:c r="I426" s="99"/>
      <x:c r="J426" s="99"/>
      <x:c r="K426" s="99"/>
      <x:c r="L426" s="99"/>
      <x:c r="M426" s="99"/>
      <x:c r="N426" s="99"/>
      <x:c r="O426" s="99"/>
      <x:c r="P426" s="99"/>
      <x:c r="Q426" s="99"/>
      <x:c r="R426" s="99"/>
      <x:c r="S426" s="99"/>
      <x:c r="T426" s="99"/>
      <x:c r="U426" s="99"/>
      <x:c r="V426" s="99"/>
      <x:c r="W426" s="99"/>
      <x:c r="X426" s="99"/>
      <x:c r="Y426" s="99"/>
      <x:c r="Z426" s="99"/>
    </x:row>
    <x:row r="427">
      <x:c r="A427" s="99"/>
      <x:c r="B427" s="99"/>
      <x:c r="C427" s="99"/>
      <x:c r="D427" s="99"/>
      <x:c r="E427" s="99"/>
      <x:c r="F427" s="99"/>
      <x:c r="G427" s="99"/>
      <x:c r="H427" s="99"/>
      <x:c r="I427" s="99"/>
      <x:c r="J427" s="99"/>
      <x:c r="K427" s="99"/>
      <x:c r="L427" s="99"/>
      <x:c r="M427" s="99"/>
      <x:c r="N427" s="99"/>
      <x:c r="O427" s="99"/>
      <x:c r="P427" s="99"/>
      <x:c r="Q427" s="99"/>
      <x:c r="R427" s="99"/>
      <x:c r="S427" s="99"/>
      <x:c r="T427" s="99"/>
      <x:c r="U427" s="99"/>
      <x:c r="V427" s="99"/>
      <x:c r="W427" s="99"/>
      <x:c r="X427" s="99"/>
      <x:c r="Y427" s="99"/>
      <x:c r="Z427" s="99"/>
    </x:row>
    <x:row r="428">
      <x:c r="A428" s="99"/>
      <x:c r="B428" s="99"/>
      <x:c r="C428" s="99"/>
      <x:c r="D428" s="99"/>
      <x:c r="E428" s="99"/>
      <x:c r="F428" s="99"/>
      <x:c r="G428" s="99"/>
      <x:c r="H428" s="99"/>
      <x:c r="I428" s="99"/>
      <x:c r="J428" s="99"/>
      <x:c r="K428" s="99"/>
      <x:c r="L428" s="99"/>
      <x:c r="M428" s="99"/>
      <x:c r="N428" s="99"/>
      <x:c r="O428" s="99"/>
      <x:c r="P428" s="99"/>
      <x:c r="Q428" s="99"/>
      <x:c r="R428" s="99"/>
      <x:c r="S428" s="99"/>
      <x:c r="T428" s="99"/>
      <x:c r="U428" s="99"/>
      <x:c r="V428" s="99"/>
      <x:c r="W428" s="99"/>
      <x:c r="X428" s="99"/>
      <x:c r="Y428" s="99"/>
      <x:c r="Z428" s="99"/>
    </x:row>
    <x:row r="429">
      <x:c r="A429" s="99"/>
      <x:c r="B429" s="99"/>
      <x:c r="C429" s="99"/>
      <x:c r="D429" s="99"/>
      <x:c r="E429" s="99"/>
      <x:c r="F429" s="99"/>
      <x:c r="G429" s="99"/>
      <x:c r="H429" s="99"/>
      <x:c r="I429" s="99"/>
      <x:c r="J429" s="99"/>
      <x:c r="K429" s="99"/>
      <x:c r="L429" s="99"/>
      <x:c r="M429" s="99"/>
      <x:c r="N429" s="99"/>
      <x:c r="O429" s="99"/>
      <x:c r="P429" s="99"/>
      <x:c r="Q429" s="99"/>
      <x:c r="R429" s="99"/>
      <x:c r="S429" s="99"/>
      <x:c r="T429" s="99"/>
      <x:c r="U429" s="99"/>
      <x:c r="V429" s="99"/>
      <x:c r="W429" s="99"/>
      <x:c r="X429" s="99"/>
      <x:c r="Y429" s="99"/>
      <x:c r="Z429" s="99"/>
    </x:row>
    <x:row r="430">
      <x:c r="A430" s="99"/>
      <x:c r="B430" s="99"/>
      <x:c r="C430" s="99"/>
      <x:c r="D430" s="99"/>
      <x:c r="E430" s="99"/>
      <x:c r="F430" s="99"/>
      <x:c r="G430" s="99"/>
      <x:c r="H430" s="99"/>
      <x:c r="I430" s="99"/>
      <x:c r="J430" s="99"/>
      <x:c r="K430" s="99"/>
      <x:c r="L430" s="99"/>
      <x:c r="M430" s="99"/>
      <x:c r="N430" s="99"/>
      <x:c r="O430" s="99"/>
      <x:c r="P430" s="99"/>
      <x:c r="Q430" s="99"/>
      <x:c r="R430" s="99"/>
      <x:c r="S430" s="99"/>
      <x:c r="T430" s="99"/>
      <x:c r="U430" s="99"/>
      <x:c r="V430" s="99"/>
      <x:c r="W430" s="99"/>
      <x:c r="X430" s="99"/>
      <x:c r="Y430" s="99"/>
      <x:c r="Z430" s="99"/>
    </x:row>
    <x:row r="431">
      <x:c r="A431" s="99"/>
      <x:c r="B431" s="99"/>
      <x:c r="C431" s="99"/>
      <x:c r="D431" s="99"/>
      <x:c r="E431" s="99"/>
      <x:c r="F431" s="99"/>
      <x:c r="G431" s="99"/>
      <x:c r="H431" s="99"/>
      <x:c r="I431" s="99"/>
      <x:c r="J431" s="99"/>
      <x:c r="K431" s="99"/>
      <x:c r="L431" s="99"/>
      <x:c r="M431" s="99"/>
      <x:c r="N431" s="99"/>
      <x:c r="O431" s="99"/>
      <x:c r="P431" s="99"/>
      <x:c r="Q431" s="99"/>
      <x:c r="R431" s="99"/>
      <x:c r="S431" s="99"/>
      <x:c r="T431" s="99"/>
      <x:c r="U431" s="99"/>
      <x:c r="V431" s="99"/>
      <x:c r="W431" s="99"/>
      <x:c r="X431" s="99"/>
      <x:c r="Y431" s="99"/>
      <x:c r="Z431" s="99"/>
    </x:row>
    <x:row r="432">
      <x:c r="A432" s="99"/>
      <x:c r="B432" s="99"/>
      <x:c r="C432" s="99"/>
      <x:c r="D432" s="99"/>
      <x:c r="E432" s="99"/>
      <x:c r="F432" s="99"/>
      <x:c r="G432" s="99"/>
      <x:c r="H432" s="99"/>
      <x:c r="I432" s="99"/>
      <x:c r="J432" s="99"/>
      <x:c r="K432" s="99"/>
      <x:c r="L432" s="99"/>
      <x:c r="M432" s="99"/>
      <x:c r="N432" s="99"/>
      <x:c r="O432" s="99"/>
      <x:c r="P432" s="99"/>
      <x:c r="Q432" s="99"/>
      <x:c r="R432" s="99"/>
      <x:c r="S432" s="99"/>
      <x:c r="T432" s="99"/>
      <x:c r="U432" s="99"/>
      <x:c r="V432" s="99"/>
      <x:c r="W432" s="99"/>
      <x:c r="X432" s="99"/>
      <x:c r="Y432" s="99"/>
      <x:c r="Z432" s="99"/>
    </x:row>
    <x:row r="433">
      <x:c r="A433" s="99"/>
      <x:c r="B433" s="99"/>
      <x:c r="C433" s="99"/>
      <x:c r="D433" s="99"/>
      <x:c r="E433" s="99"/>
      <x:c r="F433" s="99"/>
      <x:c r="G433" s="99"/>
      <x:c r="H433" s="99"/>
      <x:c r="I433" s="99"/>
      <x:c r="J433" s="99"/>
      <x:c r="K433" s="99"/>
      <x:c r="L433" s="99"/>
      <x:c r="M433" s="99"/>
      <x:c r="N433" s="99"/>
      <x:c r="O433" s="99"/>
      <x:c r="P433" s="99"/>
      <x:c r="Q433" s="99"/>
      <x:c r="R433" s="99"/>
      <x:c r="S433" s="99"/>
      <x:c r="T433" s="99"/>
      <x:c r="U433" s="99"/>
      <x:c r="V433" s="99"/>
      <x:c r="W433" s="99"/>
      <x:c r="X433" s="99"/>
      <x:c r="Y433" s="99"/>
      <x:c r="Z433" s="99"/>
    </x:row>
    <x:row r="434">
      <x:c r="A434" s="99"/>
      <x:c r="B434" s="99"/>
      <x:c r="C434" s="99"/>
      <x:c r="D434" s="99"/>
      <x:c r="E434" s="99"/>
      <x:c r="F434" s="99"/>
      <x:c r="G434" s="99"/>
      <x:c r="H434" s="99"/>
      <x:c r="I434" s="99"/>
      <x:c r="J434" s="99"/>
      <x:c r="K434" s="99"/>
      <x:c r="L434" s="99"/>
      <x:c r="M434" s="99"/>
      <x:c r="N434" s="99"/>
      <x:c r="O434" s="99"/>
      <x:c r="P434" s="99"/>
      <x:c r="Q434" s="99"/>
      <x:c r="R434" s="99"/>
      <x:c r="S434" s="99"/>
      <x:c r="T434" s="99"/>
      <x:c r="U434" s="99"/>
      <x:c r="V434" s="99"/>
      <x:c r="W434" s="99"/>
      <x:c r="X434" s="99"/>
      <x:c r="Y434" s="99"/>
      <x:c r="Z434" s="99"/>
    </x:row>
    <x:row r="435">
      <x:c r="A435" s="99"/>
      <x:c r="B435" s="99"/>
      <x:c r="C435" s="99"/>
      <x:c r="D435" s="99"/>
      <x:c r="E435" s="99"/>
      <x:c r="F435" s="99"/>
      <x:c r="G435" s="99"/>
      <x:c r="H435" s="99"/>
      <x:c r="I435" s="99"/>
      <x:c r="J435" s="99"/>
      <x:c r="K435" s="99"/>
      <x:c r="L435" s="99"/>
      <x:c r="M435" s="99"/>
      <x:c r="N435" s="99"/>
      <x:c r="O435" s="99"/>
      <x:c r="P435" s="99"/>
      <x:c r="Q435" s="99"/>
      <x:c r="R435" s="99"/>
      <x:c r="S435" s="99"/>
      <x:c r="T435" s="99"/>
      <x:c r="U435" s="99"/>
      <x:c r="V435" s="99"/>
      <x:c r="W435" s="99"/>
      <x:c r="X435" s="99"/>
      <x:c r="Y435" s="99"/>
      <x:c r="Z435" s="99"/>
    </x:row>
    <x:row r="436">
      <x:c r="A436" s="99"/>
      <x:c r="B436" s="99"/>
      <x:c r="C436" s="99"/>
      <x:c r="D436" s="99"/>
      <x:c r="E436" s="99"/>
      <x:c r="F436" s="99"/>
      <x:c r="G436" s="99"/>
      <x:c r="H436" s="99"/>
      <x:c r="I436" s="99"/>
      <x:c r="J436" s="99"/>
      <x:c r="K436" s="99"/>
      <x:c r="L436" s="99"/>
      <x:c r="M436" s="99"/>
      <x:c r="N436" s="99"/>
      <x:c r="O436" s="99"/>
      <x:c r="P436" s="99"/>
      <x:c r="Q436" s="99"/>
      <x:c r="R436" s="99"/>
      <x:c r="S436" s="99"/>
      <x:c r="T436" s="99"/>
      <x:c r="U436" s="99"/>
      <x:c r="V436" s="99"/>
      <x:c r="W436" s="99"/>
      <x:c r="X436" s="99"/>
      <x:c r="Y436" s="99"/>
      <x:c r="Z436" s="99"/>
    </x:row>
    <x:row r="437">
      <x:c r="A437" s="99"/>
      <x:c r="B437" s="99"/>
      <x:c r="C437" s="99"/>
      <x:c r="D437" s="99"/>
      <x:c r="E437" s="99"/>
      <x:c r="F437" s="99"/>
      <x:c r="G437" s="99"/>
      <x:c r="H437" s="99"/>
      <x:c r="I437" s="99"/>
      <x:c r="J437" s="99"/>
      <x:c r="K437" s="99"/>
      <x:c r="L437" s="99"/>
      <x:c r="M437" s="99"/>
      <x:c r="N437" s="99"/>
      <x:c r="O437" s="99"/>
      <x:c r="P437" s="99"/>
      <x:c r="Q437" s="99"/>
      <x:c r="R437" s="99"/>
      <x:c r="S437" s="99"/>
      <x:c r="T437" s="99"/>
      <x:c r="U437" s="99"/>
      <x:c r="V437" s="99"/>
      <x:c r="W437" s="99"/>
      <x:c r="X437" s="99"/>
      <x:c r="Y437" s="99"/>
      <x:c r="Z437" s="99"/>
    </x:row>
    <x:row r="438">
      <x:c r="A438" s="99"/>
      <x:c r="B438" s="99"/>
      <x:c r="C438" s="99"/>
      <x:c r="D438" s="99"/>
      <x:c r="E438" s="99"/>
      <x:c r="F438" s="99"/>
      <x:c r="G438" s="99"/>
      <x:c r="H438" s="99"/>
      <x:c r="I438" s="99"/>
      <x:c r="J438" s="99"/>
      <x:c r="K438" s="99"/>
      <x:c r="L438" s="99"/>
      <x:c r="M438" s="99"/>
      <x:c r="N438" s="99"/>
      <x:c r="O438" s="99"/>
      <x:c r="P438" s="99"/>
      <x:c r="Q438" s="99"/>
      <x:c r="R438" s="99"/>
      <x:c r="S438" s="99"/>
      <x:c r="T438" s="99"/>
      <x:c r="U438" s="99"/>
      <x:c r="V438" s="99"/>
      <x:c r="W438" s="99"/>
      <x:c r="X438" s="99"/>
      <x:c r="Y438" s="99"/>
      <x:c r="Z438" s="99"/>
    </x:row>
    <x:row r="439">
      <x:c r="A439" s="99"/>
      <x:c r="B439" s="99"/>
      <x:c r="C439" s="99"/>
      <x:c r="D439" s="99"/>
      <x:c r="E439" s="99"/>
      <x:c r="F439" s="99"/>
      <x:c r="G439" s="99"/>
      <x:c r="H439" s="99"/>
      <x:c r="I439" s="99"/>
      <x:c r="J439" s="99"/>
      <x:c r="K439" s="99"/>
      <x:c r="L439" s="99"/>
      <x:c r="M439" s="99"/>
      <x:c r="N439" s="99"/>
      <x:c r="O439" s="99"/>
      <x:c r="P439" s="99"/>
      <x:c r="Q439" s="99"/>
      <x:c r="R439" s="99"/>
      <x:c r="S439" s="99"/>
      <x:c r="T439" s="99"/>
      <x:c r="U439" s="99"/>
      <x:c r="V439" s="99"/>
      <x:c r="W439" s="99"/>
      <x:c r="X439" s="99"/>
      <x:c r="Y439" s="99"/>
      <x:c r="Z439" s="99"/>
    </x:row>
    <x:row r="440">
      <x:c r="A440" s="99"/>
      <x:c r="B440" s="99"/>
      <x:c r="C440" s="99"/>
      <x:c r="D440" s="99"/>
      <x:c r="E440" s="99"/>
      <x:c r="F440" s="99"/>
      <x:c r="G440" s="99"/>
      <x:c r="H440" s="99"/>
      <x:c r="I440" s="99"/>
      <x:c r="J440" s="99"/>
      <x:c r="K440" s="99"/>
      <x:c r="L440" s="99"/>
      <x:c r="M440" s="99"/>
      <x:c r="N440" s="99"/>
      <x:c r="O440" s="99"/>
      <x:c r="P440" s="99"/>
      <x:c r="Q440" s="99"/>
      <x:c r="R440" s="99"/>
      <x:c r="S440" s="99"/>
      <x:c r="T440" s="99"/>
      <x:c r="U440" s="99"/>
      <x:c r="V440" s="99"/>
      <x:c r="W440" s="99"/>
      <x:c r="X440" s="99"/>
      <x:c r="Y440" s="99"/>
      <x:c r="Z440" s="99"/>
    </x:row>
    <x:row r="441">
      <x:c r="A441" s="99"/>
      <x:c r="B441" s="99"/>
      <x:c r="C441" s="99"/>
      <x:c r="D441" s="99"/>
      <x:c r="E441" s="99"/>
      <x:c r="F441" s="99"/>
      <x:c r="G441" s="99"/>
      <x:c r="H441" s="99"/>
      <x:c r="I441" s="99"/>
      <x:c r="J441" s="99"/>
      <x:c r="K441" s="99"/>
      <x:c r="L441" s="99"/>
      <x:c r="M441" s="99"/>
      <x:c r="N441" s="99"/>
      <x:c r="O441" s="99"/>
      <x:c r="P441" s="99"/>
      <x:c r="Q441" s="99"/>
      <x:c r="R441" s="99"/>
      <x:c r="S441" s="99"/>
      <x:c r="T441" s="99"/>
      <x:c r="U441" s="99"/>
      <x:c r="V441" s="99"/>
      <x:c r="W441" s="99"/>
      <x:c r="X441" s="99"/>
      <x:c r="Y441" s="99"/>
      <x:c r="Z441" s="99"/>
    </x:row>
    <x:row r="442">
      <x:c r="A442" s="99"/>
      <x:c r="B442" s="99"/>
      <x:c r="C442" s="99"/>
      <x:c r="D442" s="99"/>
      <x:c r="E442" s="99"/>
      <x:c r="F442" s="99"/>
      <x:c r="G442" s="99"/>
      <x:c r="H442" s="99"/>
      <x:c r="I442" s="99"/>
      <x:c r="J442" s="99"/>
      <x:c r="K442" s="99"/>
      <x:c r="L442" s="99"/>
      <x:c r="M442" s="99"/>
      <x:c r="N442" s="99"/>
      <x:c r="O442" s="99"/>
      <x:c r="P442" s="99"/>
      <x:c r="Q442" s="99"/>
      <x:c r="R442" s="99"/>
      <x:c r="S442" s="99"/>
      <x:c r="T442" s="99"/>
      <x:c r="U442" s="99"/>
      <x:c r="V442" s="99"/>
      <x:c r="W442" s="99"/>
      <x:c r="X442" s="99"/>
      <x:c r="Y442" s="99"/>
      <x:c r="Z442" s="99"/>
    </x:row>
    <x:row r="443">
      <x:c r="A443" s="99"/>
      <x:c r="B443" s="99"/>
      <x:c r="C443" s="99"/>
      <x:c r="D443" s="99"/>
      <x:c r="E443" s="99"/>
      <x:c r="F443" s="99"/>
      <x:c r="G443" s="99"/>
      <x:c r="H443" s="99"/>
      <x:c r="I443" s="99"/>
      <x:c r="J443" s="99"/>
      <x:c r="K443" s="99"/>
      <x:c r="L443" s="99"/>
      <x:c r="M443" s="99"/>
      <x:c r="N443" s="99"/>
      <x:c r="O443" s="99"/>
      <x:c r="P443" s="99"/>
      <x:c r="Q443" s="99"/>
      <x:c r="R443" s="99"/>
      <x:c r="S443" s="99"/>
      <x:c r="T443" s="99"/>
      <x:c r="U443" s="99"/>
      <x:c r="V443" s="99"/>
      <x:c r="W443" s="99"/>
      <x:c r="X443" s="99"/>
      <x:c r="Y443" s="99"/>
      <x:c r="Z443" s="99"/>
    </x:row>
    <x:row r="444">
      <x:c r="A444" s="99"/>
      <x:c r="B444" s="99"/>
      <x:c r="C444" s="99"/>
      <x:c r="D444" s="99"/>
      <x:c r="E444" s="99"/>
      <x:c r="F444" s="99"/>
      <x:c r="G444" s="99"/>
      <x:c r="H444" s="99"/>
      <x:c r="I444" s="99"/>
      <x:c r="J444" s="99"/>
      <x:c r="K444" s="99"/>
      <x:c r="L444" s="99"/>
      <x:c r="M444" s="99"/>
      <x:c r="N444" s="99"/>
      <x:c r="O444" s="99"/>
      <x:c r="P444" s="99"/>
      <x:c r="Q444" s="99"/>
      <x:c r="R444" s="99"/>
      <x:c r="S444" s="99"/>
      <x:c r="T444" s="99"/>
      <x:c r="U444" s="99"/>
      <x:c r="V444" s="99"/>
      <x:c r="W444" s="99"/>
      <x:c r="X444" s="99"/>
      <x:c r="Y444" s="99"/>
      <x:c r="Z444" s="99"/>
    </x:row>
    <x:row r="445">
      <x:c r="A445" s="99"/>
      <x:c r="B445" s="99"/>
      <x:c r="C445" s="99"/>
      <x:c r="D445" s="99"/>
      <x:c r="E445" s="99"/>
      <x:c r="F445" s="99"/>
      <x:c r="G445" s="99"/>
      <x:c r="H445" s="99"/>
      <x:c r="I445" s="99"/>
      <x:c r="J445" s="99"/>
      <x:c r="K445" s="99"/>
      <x:c r="L445" s="99"/>
      <x:c r="M445" s="99"/>
      <x:c r="N445" s="99"/>
      <x:c r="O445" s="99"/>
      <x:c r="P445" s="99"/>
      <x:c r="Q445" s="99"/>
      <x:c r="R445" s="99"/>
      <x:c r="S445" s="99"/>
      <x:c r="T445" s="99"/>
      <x:c r="U445" s="99"/>
      <x:c r="V445" s="99"/>
      <x:c r="W445" s="99"/>
      <x:c r="X445" s="99"/>
      <x:c r="Y445" s="99"/>
      <x:c r="Z445" s="99"/>
    </x:row>
    <x:row r="446">
      <x:c r="A446" s="99"/>
      <x:c r="B446" s="99"/>
      <x:c r="C446" s="99"/>
      <x:c r="D446" s="99"/>
      <x:c r="E446" s="99"/>
      <x:c r="F446" s="99"/>
      <x:c r="G446" s="99"/>
      <x:c r="H446" s="99"/>
      <x:c r="I446" s="99"/>
      <x:c r="J446" s="99"/>
      <x:c r="K446" s="99"/>
      <x:c r="L446" s="99"/>
      <x:c r="M446" s="99"/>
      <x:c r="N446" s="99"/>
      <x:c r="O446" s="99"/>
      <x:c r="P446" s="99"/>
      <x:c r="Q446" s="99"/>
      <x:c r="R446" s="99"/>
      <x:c r="S446" s="99"/>
      <x:c r="T446" s="99"/>
      <x:c r="U446" s="99"/>
      <x:c r="V446" s="99"/>
      <x:c r="W446" s="99"/>
      <x:c r="X446" s="99"/>
      <x:c r="Y446" s="99"/>
      <x:c r="Z446" s="99"/>
    </x:row>
    <x:row r="447">
      <x:c r="A447" s="99"/>
      <x:c r="B447" s="99"/>
      <x:c r="C447" s="99"/>
      <x:c r="D447" s="99"/>
      <x:c r="E447" s="99"/>
      <x:c r="F447" s="99"/>
      <x:c r="G447" s="99"/>
      <x:c r="H447" s="99"/>
      <x:c r="I447" s="99"/>
      <x:c r="J447" s="99"/>
      <x:c r="K447" s="99"/>
      <x:c r="L447" s="99"/>
      <x:c r="M447" s="99"/>
      <x:c r="N447" s="99"/>
      <x:c r="O447" s="99"/>
      <x:c r="P447" s="99"/>
      <x:c r="Q447" s="99"/>
      <x:c r="R447" s="99"/>
      <x:c r="S447" s="99"/>
      <x:c r="T447" s="99"/>
      <x:c r="U447" s="99"/>
      <x:c r="V447" s="99"/>
      <x:c r="W447" s="99"/>
      <x:c r="X447" s="99"/>
      <x:c r="Y447" s="99"/>
      <x:c r="Z447" s="99"/>
    </x:row>
    <x:row r="448">
      <x:c r="A448" s="99"/>
      <x:c r="B448" s="99"/>
      <x:c r="C448" s="99"/>
      <x:c r="D448" s="99"/>
      <x:c r="E448" s="99"/>
      <x:c r="F448" s="99"/>
      <x:c r="G448" s="99"/>
      <x:c r="H448" s="99"/>
      <x:c r="I448" s="99"/>
      <x:c r="J448" s="99"/>
      <x:c r="K448" s="99"/>
      <x:c r="L448" s="99"/>
      <x:c r="M448" s="99"/>
      <x:c r="N448" s="99"/>
      <x:c r="O448" s="99"/>
      <x:c r="P448" s="99"/>
      <x:c r="Q448" s="99"/>
      <x:c r="R448" s="99"/>
      <x:c r="S448" s="99"/>
      <x:c r="T448" s="99"/>
      <x:c r="U448" s="99"/>
      <x:c r="V448" s="99"/>
      <x:c r="W448" s="99"/>
      <x:c r="X448" s="99"/>
      <x:c r="Y448" s="99"/>
      <x:c r="Z448" s="99"/>
    </x:row>
    <x:row r="449">
      <x:c r="A449" s="99"/>
      <x:c r="B449" s="99"/>
      <x:c r="C449" s="99"/>
      <x:c r="D449" s="99"/>
      <x:c r="E449" s="99"/>
      <x:c r="F449" s="99"/>
      <x:c r="G449" s="99"/>
      <x:c r="H449" s="99"/>
      <x:c r="I449" s="99"/>
      <x:c r="J449" s="99"/>
      <x:c r="K449" s="99"/>
      <x:c r="L449" s="99"/>
      <x:c r="M449" s="99"/>
      <x:c r="N449" s="99"/>
      <x:c r="O449" s="99"/>
      <x:c r="P449" s="99"/>
      <x:c r="Q449" s="99"/>
      <x:c r="R449" s="99"/>
      <x:c r="S449" s="99"/>
      <x:c r="T449" s="99"/>
      <x:c r="U449" s="99"/>
      <x:c r="V449" s="99"/>
      <x:c r="W449" s="99"/>
      <x:c r="X449" s="99"/>
      <x:c r="Y449" s="99"/>
      <x:c r="Z449" s="99"/>
    </x:row>
    <x:row r="450">
      <x:c r="A450" s="99"/>
      <x:c r="B450" s="99"/>
      <x:c r="C450" s="99"/>
      <x:c r="D450" s="99"/>
      <x:c r="E450" s="99"/>
      <x:c r="F450" s="99"/>
      <x:c r="G450" s="99"/>
      <x:c r="H450" s="99"/>
      <x:c r="I450" s="99"/>
      <x:c r="J450" s="99"/>
      <x:c r="K450" s="99"/>
      <x:c r="L450" s="99"/>
      <x:c r="M450" s="99"/>
      <x:c r="N450" s="99"/>
      <x:c r="O450" s="99"/>
      <x:c r="P450" s="99"/>
      <x:c r="Q450" s="99"/>
      <x:c r="R450" s="99"/>
      <x:c r="S450" s="99"/>
      <x:c r="T450" s="99"/>
      <x:c r="U450" s="99"/>
      <x:c r="V450" s="99"/>
      <x:c r="W450" s="99"/>
      <x:c r="X450" s="99"/>
      <x:c r="Y450" s="99"/>
      <x:c r="Z450" s="99"/>
    </x:row>
    <x:row r="451">
      <x:c r="A451" s="99"/>
      <x:c r="B451" s="99"/>
      <x:c r="C451" s="99"/>
      <x:c r="D451" s="99"/>
      <x:c r="E451" s="99"/>
      <x:c r="F451" s="99"/>
      <x:c r="G451" s="99"/>
      <x:c r="H451" s="99"/>
      <x:c r="I451" s="99"/>
      <x:c r="J451" s="99"/>
      <x:c r="K451" s="99"/>
      <x:c r="L451" s="99"/>
      <x:c r="M451" s="99"/>
      <x:c r="N451" s="99"/>
      <x:c r="O451" s="99"/>
      <x:c r="P451" s="99"/>
      <x:c r="Q451" s="99"/>
      <x:c r="R451" s="99"/>
      <x:c r="S451" s="99"/>
      <x:c r="T451" s="99"/>
      <x:c r="U451" s="99"/>
      <x:c r="V451" s="99"/>
      <x:c r="W451" s="99"/>
      <x:c r="X451" s="99"/>
      <x:c r="Y451" s="99"/>
      <x:c r="Z451" s="99"/>
    </x:row>
    <x:row r="452">
      <x:c r="A452" s="99"/>
      <x:c r="B452" s="99"/>
      <x:c r="C452" s="99"/>
      <x:c r="D452" s="99"/>
      <x:c r="E452" s="99"/>
      <x:c r="F452" s="99"/>
      <x:c r="G452" s="99"/>
      <x:c r="H452" s="99"/>
      <x:c r="I452" s="99"/>
      <x:c r="J452" s="99"/>
      <x:c r="K452" s="99"/>
      <x:c r="L452" s="99"/>
      <x:c r="M452" s="99"/>
      <x:c r="N452" s="99"/>
      <x:c r="O452" s="99"/>
      <x:c r="P452" s="99"/>
      <x:c r="Q452" s="99"/>
      <x:c r="R452" s="99"/>
      <x:c r="S452" s="99"/>
      <x:c r="T452" s="99"/>
      <x:c r="U452" s="99"/>
      <x:c r="V452" s="99"/>
      <x:c r="W452" s="99"/>
      <x:c r="X452" s="99"/>
      <x:c r="Y452" s="99"/>
      <x:c r="Z452" s="99"/>
    </x:row>
    <x:row r="453">
      <x:c r="A453" s="99"/>
      <x:c r="B453" s="99"/>
      <x:c r="C453" s="99"/>
      <x:c r="D453" s="99"/>
      <x:c r="E453" s="99"/>
      <x:c r="F453" s="99"/>
      <x:c r="G453" s="99"/>
      <x:c r="H453" s="99"/>
      <x:c r="I453" s="99"/>
      <x:c r="J453" s="99"/>
      <x:c r="K453" s="99"/>
      <x:c r="L453" s="99"/>
      <x:c r="M453" s="99"/>
      <x:c r="N453" s="99"/>
      <x:c r="O453" s="99"/>
      <x:c r="P453" s="99"/>
      <x:c r="Q453" s="99"/>
      <x:c r="R453" s="99"/>
      <x:c r="S453" s="99"/>
      <x:c r="T453" s="99"/>
      <x:c r="U453" s="99"/>
      <x:c r="V453" s="99"/>
      <x:c r="W453" s="99"/>
      <x:c r="X453" s="99"/>
      <x:c r="Y453" s="99"/>
      <x:c r="Z453" s="99"/>
    </x:row>
    <x:row r="454">
      <x:c r="A454" s="99"/>
      <x:c r="B454" s="99"/>
      <x:c r="C454" s="99"/>
      <x:c r="D454" s="99"/>
      <x:c r="E454" s="99"/>
      <x:c r="F454" s="99"/>
      <x:c r="G454" s="99"/>
      <x:c r="H454" s="99"/>
      <x:c r="I454" s="99"/>
      <x:c r="J454" s="99"/>
      <x:c r="K454" s="99"/>
      <x:c r="L454" s="99"/>
      <x:c r="M454" s="99"/>
      <x:c r="N454" s="99"/>
      <x:c r="O454" s="99"/>
      <x:c r="P454" s="99"/>
      <x:c r="Q454" s="99"/>
      <x:c r="R454" s="99"/>
      <x:c r="S454" s="99"/>
      <x:c r="T454" s="99"/>
      <x:c r="U454" s="99"/>
      <x:c r="V454" s="99"/>
      <x:c r="W454" s="99"/>
      <x:c r="X454" s="99"/>
      <x:c r="Y454" s="99"/>
      <x:c r="Z454" s="99"/>
    </x:row>
    <x:row r="455">
      <x:c r="A455" s="99"/>
      <x:c r="B455" s="99"/>
      <x:c r="C455" s="99"/>
      <x:c r="D455" s="99"/>
      <x:c r="E455" s="99"/>
      <x:c r="F455" s="99"/>
      <x:c r="G455" s="99"/>
      <x:c r="H455" s="99"/>
      <x:c r="I455" s="99"/>
      <x:c r="J455" s="99"/>
      <x:c r="K455" s="99"/>
      <x:c r="L455" s="99"/>
      <x:c r="M455" s="99"/>
      <x:c r="N455" s="99"/>
      <x:c r="O455" s="99"/>
      <x:c r="P455" s="99"/>
      <x:c r="Q455" s="99"/>
      <x:c r="R455" s="99"/>
      <x:c r="S455" s="99"/>
      <x:c r="T455" s="99"/>
      <x:c r="U455" s="99"/>
      <x:c r="V455" s="99"/>
      <x:c r="W455" s="99"/>
      <x:c r="X455" s="99"/>
      <x:c r="Y455" s="99"/>
      <x:c r="Z455" s="99"/>
    </x:row>
    <x:row r="456">
      <x:c r="A456" s="99"/>
      <x:c r="B456" s="99"/>
      <x:c r="C456" s="99"/>
      <x:c r="D456" s="99"/>
      <x:c r="E456" s="99"/>
      <x:c r="F456" s="99"/>
      <x:c r="G456" s="99"/>
      <x:c r="H456" s="99"/>
      <x:c r="I456" s="99"/>
      <x:c r="J456" s="99"/>
      <x:c r="K456" s="99"/>
      <x:c r="L456" s="99"/>
      <x:c r="M456" s="99"/>
      <x:c r="N456" s="99"/>
      <x:c r="O456" s="99"/>
      <x:c r="P456" s="99"/>
      <x:c r="Q456" s="99"/>
      <x:c r="R456" s="99"/>
      <x:c r="S456" s="99"/>
      <x:c r="T456" s="99"/>
      <x:c r="U456" s="99"/>
      <x:c r="V456" s="99"/>
      <x:c r="W456" s="99"/>
      <x:c r="X456" s="99"/>
      <x:c r="Y456" s="99"/>
      <x:c r="Z456" s="99"/>
    </x:row>
    <x:row r="457">
      <x:c r="A457" s="99"/>
      <x:c r="B457" s="99"/>
      <x:c r="C457" s="99"/>
      <x:c r="D457" s="99"/>
      <x:c r="E457" s="99"/>
      <x:c r="F457" s="99"/>
      <x:c r="G457" s="99"/>
      <x:c r="H457" s="99"/>
      <x:c r="I457" s="99"/>
      <x:c r="J457" s="99"/>
      <x:c r="K457" s="99"/>
      <x:c r="L457" s="99"/>
      <x:c r="M457" s="99"/>
      <x:c r="N457" s="99"/>
      <x:c r="O457" s="99"/>
      <x:c r="P457" s="99"/>
      <x:c r="Q457" s="99"/>
      <x:c r="R457" s="99"/>
      <x:c r="S457" s="99"/>
      <x:c r="T457" s="99"/>
      <x:c r="U457" s="99"/>
      <x:c r="V457" s="99"/>
      <x:c r="W457" s="99"/>
      <x:c r="X457" s="99"/>
      <x:c r="Y457" s="99"/>
      <x:c r="Z457" s="99"/>
    </x:row>
    <x:row r="458">
      <x:c r="A458" s="99"/>
      <x:c r="B458" s="99"/>
      <x:c r="C458" s="99"/>
      <x:c r="D458" s="99"/>
      <x:c r="E458" s="99"/>
      <x:c r="F458" s="99"/>
      <x:c r="G458" s="99"/>
      <x:c r="H458" s="99"/>
      <x:c r="I458" s="99"/>
      <x:c r="J458" s="99"/>
      <x:c r="K458" s="99"/>
      <x:c r="L458" s="99"/>
      <x:c r="M458" s="99"/>
      <x:c r="N458" s="99"/>
      <x:c r="O458" s="99"/>
      <x:c r="P458" s="99"/>
      <x:c r="Q458" s="99"/>
      <x:c r="R458" s="99"/>
      <x:c r="S458" s="99"/>
      <x:c r="T458" s="99"/>
      <x:c r="U458" s="99"/>
      <x:c r="V458" s="99"/>
      <x:c r="W458" s="99"/>
      <x:c r="X458" s="99"/>
      <x:c r="Y458" s="99"/>
      <x:c r="Z458" s="99"/>
    </x:row>
    <x:row r="459">
      <x:c r="A459" s="99"/>
      <x:c r="B459" s="99"/>
      <x:c r="C459" s="99"/>
      <x:c r="D459" s="99"/>
      <x:c r="E459" s="99"/>
      <x:c r="F459" s="99"/>
      <x:c r="G459" s="99"/>
      <x:c r="H459" s="99"/>
      <x:c r="I459" s="99"/>
      <x:c r="J459" s="99"/>
      <x:c r="K459" s="99"/>
      <x:c r="L459" s="99"/>
      <x:c r="M459" s="99"/>
      <x:c r="N459" s="99"/>
      <x:c r="O459" s="99"/>
      <x:c r="P459" s="99"/>
      <x:c r="Q459" s="99"/>
      <x:c r="R459" s="99"/>
      <x:c r="S459" s="99"/>
      <x:c r="T459" s="99"/>
      <x:c r="U459" s="99"/>
      <x:c r="V459" s="99"/>
      <x:c r="W459" s="99"/>
      <x:c r="X459" s="99"/>
      <x:c r="Y459" s="99"/>
      <x:c r="Z459" s="99"/>
    </x:row>
    <x:row r="460">
      <x:c r="A460" s="99"/>
      <x:c r="B460" s="99"/>
      <x:c r="C460" s="99"/>
      <x:c r="D460" s="99"/>
      <x:c r="E460" s="99"/>
      <x:c r="F460" s="99"/>
      <x:c r="G460" s="99"/>
      <x:c r="H460" s="99"/>
      <x:c r="I460" s="99"/>
      <x:c r="J460" s="99"/>
      <x:c r="K460" s="99"/>
      <x:c r="L460" s="99"/>
      <x:c r="M460" s="99"/>
      <x:c r="N460" s="99"/>
      <x:c r="O460" s="99"/>
      <x:c r="P460" s="99"/>
      <x:c r="Q460" s="99"/>
      <x:c r="R460" s="99"/>
      <x:c r="S460" s="99"/>
      <x:c r="T460" s="99"/>
      <x:c r="U460" s="99"/>
      <x:c r="V460" s="99"/>
      <x:c r="W460" s="99"/>
      <x:c r="X460" s="99"/>
      <x:c r="Y460" s="99"/>
      <x:c r="Z460" s="99"/>
    </x:row>
    <x:row r="461">
      <x:c r="A461" s="99"/>
      <x:c r="B461" s="99"/>
      <x:c r="C461" s="99"/>
      <x:c r="D461" s="99"/>
      <x:c r="E461" s="99"/>
      <x:c r="F461" s="99"/>
      <x:c r="G461" s="99"/>
      <x:c r="H461" s="99"/>
      <x:c r="I461" s="99"/>
      <x:c r="J461" s="99"/>
      <x:c r="K461" s="99"/>
      <x:c r="L461" s="99"/>
      <x:c r="M461" s="99"/>
      <x:c r="N461" s="99"/>
      <x:c r="O461" s="99"/>
      <x:c r="P461" s="99"/>
      <x:c r="Q461" s="99"/>
      <x:c r="R461" s="99"/>
      <x:c r="S461" s="99"/>
      <x:c r="T461" s="99"/>
      <x:c r="U461" s="99"/>
      <x:c r="V461" s="99"/>
      <x:c r="W461" s="99"/>
      <x:c r="X461" s="99"/>
      <x:c r="Y461" s="99"/>
      <x:c r="Z461" s="99"/>
    </x:row>
    <x:row r="462">
      <x:c r="A462" s="99"/>
      <x:c r="B462" s="99"/>
      <x:c r="C462" s="99"/>
      <x:c r="D462" s="99"/>
      <x:c r="E462" s="99"/>
      <x:c r="F462" s="99"/>
      <x:c r="G462" s="99"/>
      <x:c r="H462" s="99"/>
      <x:c r="I462" s="99"/>
      <x:c r="J462" s="99"/>
      <x:c r="K462" s="99"/>
      <x:c r="L462" s="99"/>
      <x:c r="M462" s="99"/>
      <x:c r="N462" s="99"/>
      <x:c r="O462" s="99"/>
      <x:c r="P462" s="99"/>
      <x:c r="Q462" s="99"/>
      <x:c r="R462" s="99"/>
      <x:c r="S462" s="99"/>
      <x:c r="T462" s="99"/>
      <x:c r="U462" s="99"/>
      <x:c r="V462" s="99"/>
      <x:c r="W462" s="99"/>
      <x:c r="X462" s="99"/>
      <x:c r="Y462" s="99"/>
      <x:c r="Z462" s="99"/>
    </x:row>
    <x:row r="463">
      <x:c r="A463" s="99"/>
      <x:c r="B463" s="99"/>
      <x:c r="C463" s="99"/>
      <x:c r="D463" s="99"/>
      <x:c r="E463" s="99"/>
      <x:c r="F463" s="99"/>
      <x:c r="G463" s="99"/>
      <x:c r="H463" s="99"/>
      <x:c r="I463" s="99"/>
      <x:c r="J463" s="99"/>
      <x:c r="K463" s="99"/>
      <x:c r="L463" s="99"/>
      <x:c r="M463" s="99"/>
      <x:c r="N463" s="99"/>
      <x:c r="O463" s="99"/>
      <x:c r="P463" s="99"/>
      <x:c r="Q463" s="99"/>
      <x:c r="R463" s="99"/>
      <x:c r="S463" s="99"/>
      <x:c r="T463" s="99"/>
      <x:c r="U463" s="99"/>
      <x:c r="V463" s="99"/>
      <x:c r="W463" s="99"/>
      <x:c r="X463" s="99"/>
      <x:c r="Y463" s="99"/>
      <x:c r="Z463" s="99"/>
    </x:row>
    <x:row r="464">
      <x:c r="A464" s="99"/>
      <x:c r="B464" s="99"/>
      <x:c r="C464" s="99"/>
      <x:c r="D464" s="99"/>
      <x:c r="E464" s="99"/>
      <x:c r="F464" s="99"/>
      <x:c r="G464" s="99"/>
      <x:c r="H464" s="99"/>
      <x:c r="I464" s="99"/>
      <x:c r="J464" s="99"/>
      <x:c r="K464" s="99"/>
      <x:c r="L464" s="99"/>
      <x:c r="M464" s="99"/>
      <x:c r="N464" s="99"/>
      <x:c r="O464" s="99"/>
      <x:c r="P464" s="99"/>
      <x:c r="Q464" s="99"/>
      <x:c r="R464" s="99"/>
      <x:c r="S464" s="99"/>
      <x:c r="T464" s="99"/>
      <x:c r="U464" s="99"/>
      <x:c r="V464" s="99"/>
      <x:c r="W464" s="99"/>
      <x:c r="X464" s="99"/>
      <x:c r="Y464" s="99"/>
      <x:c r="Z464" s="99"/>
    </x:row>
    <x:row r="465">
      <x:c r="A465" s="99"/>
      <x:c r="B465" s="99"/>
      <x:c r="C465" s="99"/>
      <x:c r="D465" s="99"/>
      <x:c r="E465" s="99"/>
      <x:c r="F465" s="99"/>
      <x:c r="G465" s="99"/>
      <x:c r="H465" s="99"/>
      <x:c r="I465" s="99"/>
      <x:c r="J465" s="99"/>
      <x:c r="K465" s="99"/>
      <x:c r="L465" s="99"/>
      <x:c r="M465" s="99"/>
      <x:c r="N465" s="99"/>
      <x:c r="O465" s="99"/>
      <x:c r="P465" s="99"/>
      <x:c r="Q465" s="99"/>
      <x:c r="R465" s="99"/>
      <x:c r="S465" s="99"/>
      <x:c r="T465" s="99"/>
      <x:c r="U465" s="99"/>
      <x:c r="V465" s="99"/>
      <x:c r="W465" s="99"/>
      <x:c r="X465" s="99"/>
      <x:c r="Y465" s="99"/>
      <x:c r="Z465" s="99"/>
    </x:row>
    <x:row r="466">
      <x:c r="A466" s="99"/>
      <x:c r="B466" s="99"/>
      <x:c r="C466" s="99"/>
      <x:c r="D466" s="99"/>
      <x:c r="E466" s="99"/>
      <x:c r="F466" s="99"/>
      <x:c r="G466" s="99"/>
      <x:c r="H466" s="99"/>
      <x:c r="I466" s="99"/>
      <x:c r="J466" s="99"/>
      <x:c r="K466" s="99"/>
      <x:c r="L466" s="99"/>
      <x:c r="M466" s="99"/>
      <x:c r="N466" s="99"/>
      <x:c r="O466" s="99"/>
      <x:c r="P466" s="99"/>
      <x:c r="Q466" s="99"/>
      <x:c r="R466" s="99"/>
      <x:c r="S466" s="99"/>
      <x:c r="T466" s="99"/>
      <x:c r="U466" s="99"/>
      <x:c r="V466" s="99"/>
      <x:c r="W466" s="99"/>
      <x:c r="X466" s="99"/>
      <x:c r="Y466" s="99"/>
      <x:c r="Z466" s="99"/>
    </x:row>
    <x:row r="467">
      <x:c r="A467" s="99"/>
      <x:c r="B467" s="99"/>
      <x:c r="C467" s="99"/>
      <x:c r="D467" s="99"/>
      <x:c r="E467" s="99"/>
      <x:c r="F467" s="99"/>
      <x:c r="G467" s="99"/>
      <x:c r="H467" s="99"/>
      <x:c r="I467" s="99"/>
      <x:c r="J467" s="99"/>
      <x:c r="K467" s="99"/>
      <x:c r="L467" s="99"/>
      <x:c r="M467" s="99"/>
      <x:c r="N467" s="99"/>
      <x:c r="O467" s="99"/>
      <x:c r="P467" s="99"/>
      <x:c r="Q467" s="99"/>
      <x:c r="R467" s="99"/>
      <x:c r="S467" s="99"/>
      <x:c r="T467" s="99"/>
      <x:c r="U467" s="99"/>
      <x:c r="V467" s="99"/>
      <x:c r="W467" s="99"/>
      <x:c r="X467" s="99"/>
      <x:c r="Y467" s="99"/>
      <x:c r="Z467" s="99"/>
    </x:row>
    <x:row r="468">
      <x:c r="A468" s="99"/>
      <x:c r="B468" s="99"/>
      <x:c r="C468" s="99"/>
      <x:c r="D468" s="99"/>
      <x:c r="E468" s="99"/>
      <x:c r="F468" s="99"/>
      <x:c r="G468" s="99"/>
      <x:c r="H468" s="99"/>
      <x:c r="I468" s="99"/>
      <x:c r="J468" s="99"/>
      <x:c r="K468" s="99"/>
      <x:c r="L468" s="99"/>
      <x:c r="M468" s="99"/>
      <x:c r="N468" s="99"/>
      <x:c r="O468" s="99"/>
      <x:c r="P468" s="99"/>
      <x:c r="Q468" s="99"/>
      <x:c r="R468" s="99"/>
      <x:c r="S468" s="99"/>
      <x:c r="T468" s="99"/>
      <x:c r="U468" s="99"/>
      <x:c r="V468" s="99"/>
      <x:c r="W468" s="99"/>
      <x:c r="X468" s="99"/>
      <x:c r="Y468" s="99"/>
      <x:c r="Z468" s="99"/>
    </x:row>
    <x:row r="469">
      <x:c r="A469" s="99"/>
      <x:c r="B469" s="99"/>
      <x:c r="C469" s="99"/>
      <x:c r="D469" s="99"/>
      <x:c r="E469" s="99"/>
      <x:c r="F469" s="99"/>
      <x:c r="G469" s="99"/>
      <x:c r="H469" s="99"/>
      <x:c r="I469" s="99"/>
      <x:c r="J469" s="99"/>
      <x:c r="K469" s="99"/>
      <x:c r="L469" s="99"/>
      <x:c r="M469" s="99"/>
      <x:c r="N469" s="99"/>
      <x:c r="O469" s="99"/>
      <x:c r="P469" s="99"/>
      <x:c r="Q469" s="99"/>
      <x:c r="R469" s="99"/>
      <x:c r="S469" s="99"/>
      <x:c r="T469" s="99"/>
      <x:c r="U469" s="99"/>
      <x:c r="V469" s="99"/>
      <x:c r="W469" s="99"/>
      <x:c r="X469" s="99"/>
      <x:c r="Y469" s="99"/>
      <x:c r="Z469" s="99"/>
    </x:row>
    <x:row r="470">
      <x:c r="A470" s="99"/>
      <x:c r="B470" s="99"/>
      <x:c r="C470" s="99"/>
      <x:c r="D470" s="99"/>
      <x:c r="E470" s="99"/>
      <x:c r="F470" s="99"/>
      <x:c r="G470" s="99"/>
      <x:c r="H470" s="99"/>
      <x:c r="I470" s="99"/>
      <x:c r="J470" s="99"/>
      <x:c r="K470" s="99"/>
      <x:c r="L470" s="99"/>
      <x:c r="M470" s="99"/>
      <x:c r="N470" s="99"/>
      <x:c r="O470" s="99"/>
      <x:c r="P470" s="99"/>
      <x:c r="Q470" s="99"/>
      <x:c r="R470" s="99"/>
      <x:c r="S470" s="99"/>
      <x:c r="T470" s="99"/>
      <x:c r="U470" s="99"/>
      <x:c r="V470" s="99"/>
      <x:c r="W470" s="99"/>
      <x:c r="X470" s="99"/>
      <x:c r="Y470" s="99"/>
      <x:c r="Z470" s="99"/>
    </x:row>
    <x:row r="471">
      <x:c r="A471" s="99"/>
      <x:c r="B471" s="99"/>
      <x:c r="C471" s="99"/>
      <x:c r="D471" s="99"/>
      <x:c r="E471" s="99"/>
      <x:c r="F471" s="99"/>
      <x:c r="G471" s="99"/>
      <x:c r="H471" s="99"/>
      <x:c r="I471" s="99"/>
      <x:c r="J471" s="99"/>
      <x:c r="K471" s="99"/>
      <x:c r="L471" s="99"/>
      <x:c r="M471" s="99"/>
      <x:c r="N471" s="99"/>
      <x:c r="O471" s="99"/>
      <x:c r="P471" s="99"/>
      <x:c r="Q471" s="99"/>
      <x:c r="R471" s="99"/>
      <x:c r="S471" s="99"/>
      <x:c r="T471" s="99"/>
      <x:c r="U471" s="99"/>
      <x:c r="V471" s="99"/>
      <x:c r="W471" s="99"/>
      <x:c r="X471" s="99"/>
      <x:c r="Y471" s="99"/>
      <x:c r="Z471" s="99"/>
    </x:row>
    <x:row r="472">
      <x:c r="A472" s="99"/>
      <x:c r="B472" s="99"/>
      <x:c r="C472" s="99"/>
      <x:c r="D472" s="99"/>
      <x:c r="E472" s="99"/>
      <x:c r="F472" s="99"/>
      <x:c r="G472" s="99"/>
      <x:c r="H472" s="99"/>
      <x:c r="I472" s="99"/>
      <x:c r="J472" s="99"/>
      <x:c r="K472" s="99"/>
      <x:c r="L472" s="99"/>
      <x:c r="M472" s="99"/>
      <x:c r="N472" s="99"/>
      <x:c r="O472" s="99"/>
      <x:c r="P472" s="99"/>
      <x:c r="Q472" s="99"/>
      <x:c r="R472" s="99"/>
      <x:c r="S472" s="99"/>
      <x:c r="T472" s="99"/>
      <x:c r="U472" s="99"/>
      <x:c r="V472" s="99"/>
      <x:c r="W472" s="99"/>
      <x:c r="X472" s="99"/>
      <x:c r="Y472" s="99"/>
      <x:c r="Z472" s="99"/>
    </x:row>
    <x:row r="473">
      <x:c r="A473" s="99"/>
      <x:c r="B473" s="99"/>
      <x:c r="C473" s="99"/>
      <x:c r="D473" s="99"/>
      <x:c r="E473" s="99"/>
      <x:c r="F473" s="99"/>
      <x:c r="G473" s="99"/>
      <x:c r="H473" s="99"/>
      <x:c r="I473" s="99"/>
      <x:c r="J473" s="99"/>
      <x:c r="K473" s="99"/>
      <x:c r="L473" s="99"/>
      <x:c r="M473" s="99"/>
      <x:c r="N473" s="99"/>
      <x:c r="O473" s="99"/>
      <x:c r="P473" s="99"/>
      <x:c r="Q473" s="99"/>
      <x:c r="R473" s="99"/>
      <x:c r="S473" s="99"/>
      <x:c r="T473" s="99"/>
      <x:c r="U473" s="99"/>
      <x:c r="V473" s="99"/>
      <x:c r="W473" s="99"/>
      <x:c r="X473" s="99"/>
      <x:c r="Y473" s="99"/>
      <x:c r="Z473" s="99"/>
    </x:row>
    <x:row r="474">
      <x:c r="A474" s="99"/>
      <x:c r="B474" s="99"/>
      <x:c r="C474" s="99"/>
      <x:c r="D474" s="99"/>
      <x:c r="E474" s="99"/>
      <x:c r="F474" s="99"/>
      <x:c r="G474" s="99"/>
      <x:c r="H474" s="99"/>
      <x:c r="I474" s="99"/>
      <x:c r="J474" s="99"/>
      <x:c r="K474" s="99"/>
      <x:c r="L474" s="99"/>
      <x:c r="M474" s="99"/>
      <x:c r="N474" s="99"/>
      <x:c r="O474" s="99"/>
      <x:c r="P474" s="99"/>
      <x:c r="Q474" s="99"/>
      <x:c r="R474" s="99"/>
      <x:c r="S474" s="99"/>
      <x:c r="T474" s="99"/>
      <x:c r="U474" s="99"/>
      <x:c r="V474" s="99"/>
      <x:c r="W474" s="99"/>
      <x:c r="X474" s="99"/>
      <x:c r="Y474" s="99"/>
      <x:c r="Z474" s="99"/>
    </x:row>
    <x:row r="475">
      <x:c r="A475" s="99"/>
      <x:c r="B475" s="99"/>
      <x:c r="C475" s="99"/>
      <x:c r="D475" s="99"/>
      <x:c r="E475" s="99"/>
      <x:c r="F475" s="99"/>
      <x:c r="G475" s="99"/>
      <x:c r="H475" s="99"/>
      <x:c r="I475" s="99"/>
      <x:c r="J475" s="99"/>
      <x:c r="K475" s="99"/>
      <x:c r="L475" s="99"/>
      <x:c r="M475" s="99"/>
      <x:c r="N475" s="99"/>
      <x:c r="O475" s="99"/>
      <x:c r="P475" s="99"/>
      <x:c r="Q475" s="99"/>
      <x:c r="R475" s="99"/>
      <x:c r="S475" s="99"/>
      <x:c r="T475" s="99"/>
      <x:c r="U475" s="99"/>
      <x:c r="V475" s="99"/>
      <x:c r="W475" s="99"/>
      <x:c r="X475" s="99"/>
      <x:c r="Y475" s="99"/>
      <x:c r="Z475" s="99"/>
    </x:row>
    <x:row r="476">
      <x:c r="A476" s="99"/>
      <x:c r="B476" s="99"/>
      <x:c r="C476" s="99"/>
      <x:c r="D476" s="99"/>
      <x:c r="E476" s="99"/>
      <x:c r="F476" s="99"/>
      <x:c r="G476" s="99"/>
      <x:c r="H476" s="99"/>
      <x:c r="I476" s="99"/>
      <x:c r="J476" s="99"/>
      <x:c r="K476" s="99"/>
      <x:c r="L476" s="99"/>
      <x:c r="M476" s="99"/>
      <x:c r="N476" s="99"/>
      <x:c r="O476" s="99"/>
      <x:c r="P476" s="99"/>
      <x:c r="Q476" s="99"/>
      <x:c r="R476" s="99"/>
      <x:c r="S476" s="99"/>
      <x:c r="T476" s="99"/>
      <x:c r="U476" s="99"/>
      <x:c r="V476" s="99"/>
      <x:c r="W476" s="99"/>
      <x:c r="X476" s="99"/>
      <x:c r="Y476" s="99"/>
      <x:c r="Z476" s="99"/>
    </x:row>
    <x:row r="477">
      <x:c r="A477" s="99"/>
      <x:c r="B477" s="99"/>
      <x:c r="C477" s="99"/>
      <x:c r="D477" s="99"/>
      <x:c r="E477" s="99"/>
      <x:c r="F477" s="99"/>
      <x:c r="G477" s="99"/>
      <x:c r="H477" s="99"/>
      <x:c r="I477" s="99"/>
      <x:c r="J477" s="99"/>
      <x:c r="K477" s="99"/>
      <x:c r="L477" s="99"/>
      <x:c r="M477" s="99"/>
      <x:c r="N477" s="99"/>
      <x:c r="O477" s="99"/>
      <x:c r="P477" s="99"/>
      <x:c r="Q477" s="99"/>
      <x:c r="R477" s="99"/>
      <x:c r="S477" s="99"/>
      <x:c r="T477" s="99"/>
      <x:c r="U477" s="99"/>
      <x:c r="V477" s="99"/>
      <x:c r="W477" s="99"/>
      <x:c r="X477" s="99"/>
      <x:c r="Y477" s="99"/>
      <x:c r="Z477" s="99"/>
    </x:row>
    <x:row r="478">
      <x:c r="A478" s="99"/>
      <x:c r="B478" s="99"/>
      <x:c r="C478" s="99"/>
      <x:c r="D478" s="99"/>
      <x:c r="E478" s="99"/>
      <x:c r="F478" s="99"/>
      <x:c r="G478" s="99"/>
      <x:c r="H478" s="99"/>
      <x:c r="I478" s="99"/>
      <x:c r="J478" s="99"/>
      <x:c r="K478" s="99"/>
      <x:c r="L478" s="99"/>
      <x:c r="M478" s="99"/>
      <x:c r="N478" s="99"/>
      <x:c r="O478" s="99"/>
      <x:c r="P478" s="99"/>
      <x:c r="Q478" s="99"/>
      <x:c r="R478" s="99"/>
      <x:c r="S478" s="99"/>
      <x:c r="T478" s="99"/>
      <x:c r="U478" s="99"/>
      <x:c r="V478" s="99"/>
      <x:c r="W478" s="99"/>
      <x:c r="X478" s="99"/>
      <x:c r="Y478" s="99"/>
      <x:c r="Z478" s="99"/>
    </x:row>
    <x:row r="479">
      <x:c r="A479" s="99"/>
      <x:c r="B479" s="99"/>
      <x:c r="C479" s="99"/>
      <x:c r="D479" s="99"/>
      <x:c r="E479" s="99"/>
      <x:c r="F479" s="99"/>
      <x:c r="G479" s="99"/>
      <x:c r="H479" s="99"/>
      <x:c r="I479" s="99"/>
      <x:c r="J479" s="99"/>
      <x:c r="K479" s="99"/>
      <x:c r="L479" s="99"/>
      <x:c r="M479" s="99"/>
      <x:c r="N479" s="99"/>
      <x:c r="O479" s="99"/>
      <x:c r="P479" s="99"/>
      <x:c r="Q479" s="99"/>
      <x:c r="R479" s="99"/>
      <x:c r="S479" s="99"/>
      <x:c r="T479" s="99"/>
      <x:c r="U479" s="99"/>
      <x:c r="V479" s="99"/>
      <x:c r="W479" s="99"/>
      <x:c r="X479" s="99"/>
      <x:c r="Y479" s="99"/>
      <x:c r="Z479" s="99"/>
    </x:row>
    <x:row r="480">
      <x:c r="A480" s="99"/>
      <x:c r="B480" s="99"/>
      <x:c r="C480" s="99"/>
      <x:c r="D480" s="99"/>
      <x:c r="E480" s="99"/>
      <x:c r="F480" s="99"/>
      <x:c r="G480" s="99"/>
      <x:c r="H480" s="99"/>
      <x:c r="I480" s="99"/>
      <x:c r="J480" s="99"/>
      <x:c r="K480" s="99"/>
      <x:c r="L480" s="99"/>
      <x:c r="M480" s="99"/>
      <x:c r="N480" s="99"/>
      <x:c r="O480" s="99"/>
      <x:c r="P480" s="99"/>
      <x:c r="Q480" s="99"/>
      <x:c r="R480" s="99"/>
      <x:c r="S480" s="99"/>
      <x:c r="T480" s="99"/>
      <x:c r="U480" s="99"/>
      <x:c r="V480" s="99"/>
      <x:c r="W480" s="99"/>
      <x:c r="X480" s="99"/>
      <x:c r="Y480" s="99"/>
      <x:c r="Z480" s="99"/>
    </x:row>
    <x:row r="481">
      <x:c r="A481" s="99"/>
      <x:c r="B481" s="99"/>
      <x:c r="C481" s="99"/>
      <x:c r="D481" s="99"/>
      <x:c r="E481" s="99"/>
      <x:c r="F481" s="99"/>
      <x:c r="G481" s="99"/>
      <x:c r="H481" s="99"/>
      <x:c r="I481" s="99"/>
      <x:c r="J481" s="99"/>
      <x:c r="K481" s="99"/>
      <x:c r="L481" s="99"/>
      <x:c r="M481" s="99"/>
      <x:c r="N481" s="99"/>
      <x:c r="O481" s="99"/>
      <x:c r="P481" s="99"/>
      <x:c r="Q481" s="99"/>
      <x:c r="R481" s="99"/>
      <x:c r="S481" s="99"/>
      <x:c r="T481" s="99"/>
      <x:c r="U481" s="99"/>
      <x:c r="V481" s="99"/>
      <x:c r="W481" s="99"/>
      <x:c r="X481" s="99"/>
      <x:c r="Y481" s="99"/>
      <x:c r="Z481" s="99"/>
    </x:row>
    <x:row r="482">
      <x:c r="A482" s="99"/>
      <x:c r="B482" s="99"/>
      <x:c r="C482" s="99"/>
      <x:c r="D482" s="99"/>
      <x:c r="E482" s="99"/>
      <x:c r="F482" s="99"/>
      <x:c r="G482" s="99"/>
      <x:c r="H482" s="99"/>
      <x:c r="I482" s="99"/>
      <x:c r="J482" s="99"/>
      <x:c r="K482" s="99"/>
      <x:c r="L482" s="99"/>
      <x:c r="M482" s="99"/>
      <x:c r="N482" s="99"/>
      <x:c r="O482" s="99"/>
      <x:c r="P482" s="99"/>
      <x:c r="Q482" s="99"/>
      <x:c r="R482" s="99"/>
      <x:c r="S482" s="99"/>
      <x:c r="T482" s="99"/>
      <x:c r="U482" s="99"/>
      <x:c r="V482" s="99"/>
      <x:c r="W482" s="99"/>
      <x:c r="X482" s="99"/>
      <x:c r="Y482" s="99"/>
      <x:c r="Z482" s="99"/>
    </x:row>
    <x:row r="483">
      <x:c r="A483" s="99"/>
      <x:c r="B483" s="99"/>
      <x:c r="C483" s="99"/>
      <x:c r="D483" s="99"/>
      <x:c r="E483" s="99"/>
      <x:c r="F483" s="99"/>
      <x:c r="G483" s="99"/>
      <x:c r="H483" s="99"/>
      <x:c r="I483" s="99"/>
      <x:c r="J483" s="99"/>
      <x:c r="K483" s="99"/>
      <x:c r="L483" s="99"/>
      <x:c r="M483" s="99"/>
      <x:c r="N483" s="99"/>
      <x:c r="O483" s="99"/>
      <x:c r="P483" s="99"/>
      <x:c r="Q483" s="99"/>
      <x:c r="R483" s="99"/>
      <x:c r="S483" s="99"/>
      <x:c r="T483" s="99"/>
      <x:c r="U483" s="99"/>
      <x:c r="V483" s="99"/>
      <x:c r="W483" s="99"/>
      <x:c r="X483" s="99"/>
      <x:c r="Y483" s="99"/>
      <x:c r="Z483" s="99"/>
    </x:row>
    <x:row r="484">
      <x:c r="A484" s="99"/>
      <x:c r="B484" s="99"/>
      <x:c r="C484" s="99"/>
      <x:c r="D484" s="99"/>
      <x:c r="E484" s="99"/>
      <x:c r="F484" s="99"/>
      <x:c r="G484" s="99"/>
      <x:c r="H484" s="99"/>
      <x:c r="I484" s="99"/>
      <x:c r="J484" s="99"/>
      <x:c r="K484" s="99"/>
      <x:c r="L484" s="99"/>
      <x:c r="M484" s="99"/>
      <x:c r="N484" s="99"/>
      <x:c r="O484" s="99"/>
      <x:c r="P484" s="99"/>
      <x:c r="Q484" s="99"/>
      <x:c r="R484" s="99"/>
      <x:c r="S484" s="99"/>
      <x:c r="T484" s="99"/>
      <x:c r="U484" s="99"/>
      <x:c r="V484" s="99"/>
      <x:c r="W484" s="99"/>
      <x:c r="X484" s="99"/>
      <x:c r="Y484" s="99"/>
      <x:c r="Z484" s="99"/>
    </x:row>
    <x:row r="485">
      <x:c r="A485" s="99"/>
      <x:c r="B485" s="99"/>
      <x:c r="C485" s="99"/>
      <x:c r="D485" s="99"/>
      <x:c r="E485" s="99"/>
      <x:c r="F485" s="99"/>
      <x:c r="G485" s="99"/>
      <x:c r="H485" s="99"/>
      <x:c r="I485" s="99"/>
      <x:c r="J485" s="99"/>
      <x:c r="K485" s="99"/>
      <x:c r="L485" s="99"/>
      <x:c r="M485" s="99"/>
      <x:c r="N485" s="99"/>
      <x:c r="O485" s="99"/>
      <x:c r="P485" s="99"/>
      <x:c r="Q485" s="99"/>
      <x:c r="R485" s="99"/>
      <x:c r="S485" s="99"/>
      <x:c r="T485" s="99"/>
      <x:c r="U485" s="99"/>
      <x:c r="V485" s="99"/>
      <x:c r="W485" s="99"/>
      <x:c r="X485" s="99"/>
      <x:c r="Y485" s="99"/>
      <x:c r="Z485" s="99"/>
    </x:row>
    <x:row r="486">
      <x:c r="A486" s="99"/>
      <x:c r="B486" s="99"/>
      <x:c r="C486" s="99"/>
      <x:c r="D486" s="99"/>
      <x:c r="E486" s="99"/>
      <x:c r="F486" s="99"/>
      <x:c r="G486" s="99"/>
      <x:c r="H486" s="99"/>
      <x:c r="I486" s="99"/>
      <x:c r="J486" s="99"/>
      <x:c r="K486" s="99"/>
      <x:c r="L486" s="99"/>
      <x:c r="M486" s="99"/>
      <x:c r="N486" s="99"/>
      <x:c r="O486" s="99"/>
      <x:c r="P486" s="99"/>
      <x:c r="Q486" s="99"/>
      <x:c r="R486" s="99"/>
      <x:c r="S486" s="99"/>
      <x:c r="T486" s="99"/>
      <x:c r="U486" s="99"/>
      <x:c r="V486" s="99"/>
      <x:c r="W486" s="99"/>
      <x:c r="X486" s="99"/>
      <x:c r="Y486" s="99"/>
      <x:c r="Z486" s="99"/>
    </x:row>
    <x:row r="487">
      <x:c r="A487" s="99"/>
      <x:c r="B487" s="99"/>
      <x:c r="C487" s="99"/>
      <x:c r="D487" s="99"/>
      <x:c r="E487" s="99"/>
      <x:c r="F487" s="99"/>
      <x:c r="G487" s="99"/>
      <x:c r="H487" s="99"/>
      <x:c r="I487" s="99"/>
      <x:c r="J487" s="99"/>
      <x:c r="K487" s="99"/>
      <x:c r="L487" s="99"/>
      <x:c r="M487" s="99"/>
      <x:c r="N487" s="99"/>
      <x:c r="O487" s="99"/>
      <x:c r="P487" s="99"/>
      <x:c r="Q487" s="99"/>
      <x:c r="R487" s="99"/>
      <x:c r="S487" s="99"/>
      <x:c r="T487" s="99"/>
      <x:c r="U487" s="99"/>
      <x:c r="V487" s="99"/>
      <x:c r="W487" s="99"/>
      <x:c r="X487" s="99"/>
      <x:c r="Y487" s="99"/>
      <x:c r="Z487" s="99"/>
    </x:row>
    <x:row r="488">
      <x:c r="A488" s="99"/>
      <x:c r="B488" s="99"/>
      <x:c r="C488" s="99"/>
      <x:c r="D488" s="99"/>
      <x:c r="E488" s="99"/>
      <x:c r="F488" s="99"/>
      <x:c r="G488" s="99"/>
      <x:c r="H488" s="99"/>
      <x:c r="I488" s="99"/>
      <x:c r="J488" s="99"/>
      <x:c r="K488" s="99"/>
      <x:c r="L488" s="99"/>
      <x:c r="M488" s="99"/>
      <x:c r="N488" s="99"/>
      <x:c r="O488" s="99"/>
      <x:c r="P488" s="99"/>
      <x:c r="Q488" s="99"/>
      <x:c r="R488" s="99"/>
      <x:c r="S488" s="99"/>
      <x:c r="T488" s="99"/>
      <x:c r="U488" s="99"/>
      <x:c r="V488" s="99"/>
      <x:c r="W488" s="99"/>
      <x:c r="X488" s="99"/>
      <x:c r="Y488" s="99"/>
      <x:c r="Z488" s="99"/>
    </x:row>
    <x:row r="489">
      <x:c r="A489" s="99"/>
      <x:c r="B489" s="99"/>
      <x:c r="C489" s="99"/>
      <x:c r="D489" s="99"/>
      <x:c r="E489" s="99"/>
      <x:c r="F489" s="99"/>
      <x:c r="G489" s="99"/>
      <x:c r="H489" s="99"/>
      <x:c r="I489" s="99"/>
      <x:c r="J489" s="99"/>
      <x:c r="K489" s="99"/>
      <x:c r="L489" s="99"/>
      <x:c r="M489" s="99"/>
      <x:c r="N489" s="99"/>
      <x:c r="O489" s="99"/>
      <x:c r="P489" s="99"/>
      <x:c r="Q489" s="99"/>
      <x:c r="R489" s="99"/>
      <x:c r="S489" s="99"/>
      <x:c r="T489" s="99"/>
      <x:c r="U489" s="99"/>
      <x:c r="V489" s="99"/>
      <x:c r="W489" s="99"/>
      <x:c r="X489" s="99"/>
      <x:c r="Y489" s="99"/>
      <x:c r="Z489" s="99"/>
    </x:row>
    <x:row r="490">
      <x:c r="A490" s="99"/>
      <x:c r="B490" s="99"/>
      <x:c r="C490" s="99"/>
      <x:c r="D490" s="99"/>
      <x:c r="E490" s="99"/>
      <x:c r="F490" s="99"/>
      <x:c r="G490" s="99"/>
      <x:c r="H490" s="99"/>
      <x:c r="I490" s="99"/>
      <x:c r="J490" s="99"/>
      <x:c r="K490" s="99"/>
      <x:c r="L490" s="99"/>
      <x:c r="M490" s="99"/>
      <x:c r="N490" s="99"/>
      <x:c r="O490" s="99"/>
      <x:c r="P490" s="99"/>
      <x:c r="Q490" s="99"/>
      <x:c r="R490" s="99"/>
      <x:c r="S490" s="99"/>
      <x:c r="T490" s="99"/>
      <x:c r="U490" s="99"/>
      <x:c r="V490" s="99"/>
      <x:c r="W490" s="99"/>
      <x:c r="X490" s="99"/>
      <x:c r="Y490" s="99"/>
      <x:c r="Z490" s="99"/>
    </x:row>
    <x:row r="491">
      <x:c r="A491" s="99"/>
      <x:c r="B491" s="99"/>
      <x:c r="C491" s="99"/>
      <x:c r="D491" s="99"/>
      <x:c r="E491" s="99"/>
      <x:c r="F491" s="99"/>
      <x:c r="G491" s="99"/>
      <x:c r="H491" s="99"/>
      <x:c r="I491" s="99"/>
      <x:c r="J491" s="99"/>
      <x:c r="K491" s="99"/>
      <x:c r="L491" s="99"/>
      <x:c r="M491" s="99"/>
      <x:c r="N491" s="99"/>
      <x:c r="O491" s="99"/>
      <x:c r="P491" s="99"/>
      <x:c r="Q491" s="99"/>
      <x:c r="R491" s="99"/>
      <x:c r="S491" s="99"/>
      <x:c r="T491" s="99"/>
      <x:c r="U491" s="99"/>
      <x:c r="V491" s="99"/>
      <x:c r="W491" s="99"/>
      <x:c r="X491" s="99"/>
      <x:c r="Y491" s="99"/>
      <x:c r="Z491" s="99"/>
    </x:row>
    <x:row r="492">
      <x:c r="A492" s="99"/>
      <x:c r="B492" s="99"/>
      <x:c r="C492" s="99"/>
      <x:c r="D492" s="99"/>
      <x:c r="E492" s="99"/>
      <x:c r="F492" s="99"/>
      <x:c r="G492" s="99"/>
      <x:c r="H492" s="99"/>
      <x:c r="I492" s="99"/>
      <x:c r="J492" s="99"/>
      <x:c r="K492" s="99"/>
      <x:c r="L492" s="99"/>
      <x:c r="M492" s="99"/>
      <x:c r="N492" s="99"/>
      <x:c r="O492" s="99"/>
      <x:c r="P492" s="99"/>
      <x:c r="Q492" s="99"/>
      <x:c r="R492" s="99"/>
      <x:c r="S492" s="99"/>
      <x:c r="T492" s="99"/>
      <x:c r="U492" s="99"/>
      <x:c r="V492" s="99"/>
      <x:c r="W492" s="99"/>
      <x:c r="X492" s="99"/>
      <x:c r="Y492" s="99"/>
      <x:c r="Z492" s="99"/>
    </x:row>
    <x:row r="493">
      <x:c r="A493" s="99"/>
      <x:c r="B493" s="99"/>
      <x:c r="C493" s="99"/>
      <x:c r="D493" s="99"/>
      <x:c r="E493" s="99"/>
      <x:c r="F493" s="99"/>
      <x:c r="G493" s="99"/>
      <x:c r="H493" s="99"/>
      <x:c r="I493" s="99"/>
      <x:c r="J493" s="99"/>
      <x:c r="K493" s="99"/>
      <x:c r="L493" s="99"/>
      <x:c r="M493" s="99"/>
      <x:c r="N493" s="99"/>
      <x:c r="O493" s="99"/>
      <x:c r="P493" s="99"/>
      <x:c r="Q493" s="99"/>
      <x:c r="R493" s="99"/>
      <x:c r="S493" s="99"/>
      <x:c r="T493" s="99"/>
      <x:c r="U493" s="99"/>
      <x:c r="V493" s="99"/>
      <x:c r="W493" s="99"/>
      <x:c r="X493" s="99"/>
      <x:c r="Y493" s="99"/>
      <x:c r="Z493" s="99"/>
    </x:row>
    <x:row r="494">
      <x:c r="A494" s="99"/>
      <x:c r="B494" s="99"/>
      <x:c r="C494" s="99"/>
      <x:c r="D494" s="99"/>
      <x:c r="E494" s="99"/>
      <x:c r="F494" s="99"/>
      <x:c r="G494" s="99"/>
      <x:c r="H494" s="99"/>
      <x:c r="I494" s="99"/>
      <x:c r="J494" s="99"/>
      <x:c r="K494" s="99"/>
      <x:c r="L494" s="99"/>
      <x:c r="M494" s="99"/>
      <x:c r="N494" s="99"/>
      <x:c r="O494" s="99"/>
      <x:c r="P494" s="99"/>
      <x:c r="Q494" s="99"/>
      <x:c r="R494" s="99"/>
      <x:c r="S494" s="99"/>
      <x:c r="T494" s="99"/>
      <x:c r="U494" s="99"/>
      <x:c r="V494" s="99"/>
      <x:c r="W494" s="99"/>
      <x:c r="X494" s="99"/>
      <x:c r="Y494" s="99"/>
      <x:c r="Z494" s="99"/>
    </x:row>
    <x:row r="495">
      <x:c r="A495" s="99"/>
      <x:c r="B495" s="99"/>
      <x:c r="C495" s="99"/>
      <x:c r="D495" s="99"/>
      <x:c r="E495" s="99"/>
      <x:c r="F495" s="99"/>
      <x:c r="G495" s="99"/>
      <x:c r="H495" s="99"/>
      <x:c r="I495" s="99"/>
      <x:c r="J495" s="99"/>
      <x:c r="K495" s="99"/>
      <x:c r="L495" s="99"/>
      <x:c r="M495" s="99"/>
      <x:c r="N495" s="99"/>
      <x:c r="O495" s="99"/>
      <x:c r="P495" s="99"/>
      <x:c r="Q495" s="99"/>
      <x:c r="R495" s="99"/>
      <x:c r="S495" s="99"/>
      <x:c r="T495" s="99"/>
      <x:c r="U495" s="99"/>
      <x:c r="V495" s="99"/>
      <x:c r="W495" s="99"/>
      <x:c r="X495" s="99"/>
      <x:c r="Y495" s="99"/>
      <x:c r="Z495" s="99"/>
    </x:row>
    <x:row r="496">
      <x:c r="A496" s="99"/>
      <x:c r="B496" s="99"/>
      <x:c r="C496" s="99"/>
      <x:c r="D496" s="99"/>
      <x:c r="E496" s="99"/>
      <x:c r="F496" s="99"/>
      <x:c r="G496" s="99"/>
      <x:c r="H496" s="99"/>
      <x:c r="I496" s="99"/>
      <x:c r="J496" s="99"/>
      <x:c r="K496" s="99"/>
      <x:c r="L496" s="99"/>
      <x:c r="M496" s="99"/>
      <x:c r="N496" s="99"/>
      <x:c r="O496" s="99"/>
      <x:c r="P496" s="99"/>
      <x:c r="Q496" s="99"/>
      <x:c r="R496" s="99"/>
      <x:c r="S496" s="99"/>
      <x:c r="T496" s="99"/>
      <x:c r="U496" s="99"/>
      <x:c r="V496" s="99"/>
      <x:c r="W496" s="99"/>
      <x:c r="X496" s="99"/>
      <x:c r="Y496" s="99"/>
      <x:c r="Z496" s="99"/>
    </x:row>
    <x:row r="497">
      <x:c r="A497" s="99"/>
      <x:c r="B497" s="99"/>
      <x:c r="C497" s="99"/>
      <x:c r="D497" s="99"/>
      <x:c r="E497" s="99"/>
      <x:c r="F497" s="99"/>
      <x:c r="G497" s="99"/>
      <x:c r="H497" s="99"/>
      <x:c r="I497" s="99"/>
      <x:c r="J497" s="99"/>
      <x:c r="K497" s="99"/>
      <x:c r="L497" s="99"/>
      <x:c r="M497" s="99"/>
      <x:c r="N497" s="99"/>
      <x:c r="O497" s="99"/>
      <x:c r="P497" s="99"/>
      <x:c r="Q497" s="99"/>
      <x:c r="R497" s="99"/>
      <x:c r="S497" s="99"/>
      <x:c r="T497" s="99"/>
      <x:c r="U497" s="99"/>
      <x:c r="V497" s="99"/>
      <x:c r="W497" s="99"/>
      <x:c r="X497" s="99"/>
      <x:c r="Y497" s="99"/>
      <x:c r="Z497" s="99"/>
    </x:row>
    <x:row r="498">
      <x:c r="A498" s="99"/>
      <x:c r="B498" s="99"/>
      <x:c r="C498" s="99"/>
      <x:c r="D498" s="99"/>
      <x:c r="E498" s="99"/>
      <x:c r="F498" s="99"/>
      <x:c r="G498" s="99"/>
      <x:c r="H498" s="99"/>
      <x:c r="I498" s="99"/>
      <x:c r="J498" s="99"/>
      <x:c r="K498" s="99"/>
      <x:c r="L498" s="99"/>
      <x:c r="M498" s="99"/>
      <x:c r="N498" s="99"/>
      <x:c r="O498" s="99"/>
      <x:c r="P498" s="99"/>
      <x:c r="Q498" s="99"/>
      <x:c r="R498" s="99"/>
      <x:c r="S498" s="99"/>
      <x:c r="T498" s="99"/>
      <x:c r="U498" s="99"/>
      <x:c r="V498" s="99"/>
      <x:c r="W498" s="99"/>
      <x:c r="X498" s="99"/>
      <x:c r="Y498" s="99"/>
      <x:c r="Z498" s="99"/>
    </x:row>
    <x:row r="499">
      <x:c r="A499" s="99"/>
      <x:c r="B499" s="99"/>
      <x:c r="C499" s="99"/>
      <x:c r="D499" s="99"/>
      <x:c r="E499" s="99"/>
      <x:c r="F499" s="99"/>
      <x:c r="G499" s="99"/>
      <x:c r="H499" s="99"/>
      <x:c r="I499" s="99"/>
      <x:c r="J499" s="99"/>
      <x:c r="K499" s="99"/>
      <x:c r="L499" s="99"/>
      <x:c r="M499" s="99"/>
      <x:c r="N499" s="99"/>
      <x:c r="O499" s="99"/>
      <x:c r="P499" s="99"/>
      <x:c r="Q499" s="99"/>
      <x:c r="R499" s="99"/>
      <x:c r="S499" s="99"/>
      <x:c r="T499" s="99"/>
      <x:c r="U499" s="99"/>
      <x:c r="V499" s="99"/>
      <x:c r="W499" s="99"/>
      <x:c r="X499" s="99"/>
      <x:c r="Y499" s="99"/>
      <x:c r="Z499" s="99"/>
    </x:row>
    <x:row r="500">
      <x:c r="A500" s="99"/>
      <x:c r="B500" s="99"/>
      <x:c r="C500" s="99"/>
      <x:c r="D500" s="99"/>
      <x:c r="E500" s="99"/>
      <x:c r="F500" s="99"/>
      <x:c r="G500" s="99"/>
      <x:c r="H500" s="99"/>
      <x:c r="I500" s="99"/>
      <x:c r="J500" s="99"/>
      <x:c r="K500" s="99"/>
      <x:c r="L500" s="99"/>
      <x:c r="M500" s="99"/>
      <x:c r="N500" s="99"/>
      <x:c r="O500" s="99"/>
      <x:c r="P500" s="99"/>
      <x:c r="Q500" s="99"/>
      <x:c r="R500" s="99"/>
      <x:c r="S500" s="99"/>
      <x:c r="T500" s="99"/>
      <x:c r="U500" s="99"/>
      <x:c r="V500" s="99"/>
      <x:c r="W500" s="99"/>
      <x:c r="X500" s="99"/>
      <x:c r="Y500" s="99"/>
      <x:c r="Z500" s="99"/>
    </x:row>
    <x:row r="501">
      <x:c r="A501" s="99"/>
      <x:c r="B501" s="99"/>
      <x:c r="C501" s="99"/>
      <x:c r="D501" s="99"/>
      <x:c r="E501" s="99"/>
      <x:c r="F501" s="99"/>
      <x:c r="G501" s="99"/>
      <x:c r="H501" s="99"/>
      <x:c r="I501" s="99"/>
      <x:c r="J501" s="99"/>
      <x:c r="K501" s="99"/>
      <x:c r="L501" s="99"/>
      <x:c r="M501" s="99"/>
      <x:c r="N501" s="99"/>
      <x:c r="O501" s="99"/>
      <x:c r="P501" s="99"/>
      <x:c r="Q501" s="99"/>
      <x:c r="R501" s="99"/>
      <x:c r="S501" s="99"/>
      <x:c r="T501" s="99"/>
      <x:c r="U501" s="99"/>
      <x:c r="V501" s="99"/>
      <x:c r="W501" s="99"/>
      <x:c r="X501" s="99"/>
      <x:c r="Y501" s="99"/>
      <x:c r="Z501" s="99"/>
    </x:row>
    <x:row r="502">
      <x:c r="A502" s="99"/>
      <x:c r="B502" s="99"/>
      <x:c r="C502" s="99"/>
      <x:c r="D502" s="99"/>
      <x:c r="E502" s="99"/>
      <x:c r="F502" s="99"/>
      <x:c r="G502" s="99"/>
      <x:c r="H502" s="99"/>
      <x:c r="I502" s="99"/>
      <x:c r="J502" s="99"/>
      <x:c r="K502" s="99"/>
      <x:c r="L502" s="99"/>
      <x:c r="M502" s="99"/>
      <x:c r="N502" s="99"/>
      <x:c r="O502" s="99"/>
      <x:c r="P502" s="99"/>
      <x:c r="Q502" s="99"/>
      <x:c r="R502" s="99"/>
      <x:c r="S502" s="99"/>
      <x:c r="T502" s="99"/>
      <x:c r="U502" s="99"/>
      <x:c r="V502" s="99"/>
      <x:c r="W502" s="99"/>
      <x:c r="X502" s="99"/>
      <x:c r="Y502" s="99"/>
      <x:c r="Z502" s="99"/>
    </x:row>
    <x:row r="503">
      <x:c r="A503" s="99"/>
      <x:c r="B503" s="99"/>
      <x:c r="C503" s="99"/>
      <x:c r="D503" s="99"/>
      <x:c r="E503" s="99"/>
      <x:c r="F503" s="99"/>
      <x:c r="G503" s="99"/>
      <x:c r="H503" s="99"/>
      <x:c r="I503" s="99"/>
      <x:c r="J503" s="99"/>
      <x:c r="K503" s="99"/>
      <x:c r="L503" s="99"/>
      <x:c r="M503" s="99"/>
      <x:c r="N503" s="99"/>
      <x:c r="O503" s="99"/>
      <x:c r="P503" s="99"/>
      <x:c r="Q503" s="99"/>
      <x:c r="R503" s="99"/>
      <x:c r="S503" s="99"/>
      <x:c r="T503" s="99"/>
      <x:c r="U503" s="99"/>
      <x:c r="V503" s="99"/>
      <x:c r="W503" s="99"/>
      <x:c r="X503" s="99"/>
      <x:c r="Y503" s="99"/>
      <x:c r="Z503" s="99"/>
    </x:row>
    <x:row r="504">
      <x:c r="A504" s="99"/>
      <x:c r="B504" s="99"/>
      <x:c r="C504" s="99"/>
      <x:c r="D504" s="99"/>
      <x:c r="E504" s="99"/>
      <x:c r="F504" s="99"/>
      <x:c r="G504" s="99"/>
      <x:c r="H504" s="99"/>
      <x:c r="I504" s="99"/>
      <x:c r="J504" s="99"/>
      <x:c r="K504" s="99"/>
      <x:c r="L504" s="99"/>
      <x:c r="M504" s="99"/>
      <x:c r="N504" s="99"/>
      <x:c r="O504" s="99"/>
      <x:c r="P504" s="99"/>
      <x:c r="Q504" s="99"/>
      <x:c r="R504" s="99"/>
      <x:c r="S504" s="99"/>
      <x:c r="T504" s="99"/>
      <x:c r="U504" s="99"/>
      <x:c r="V504" s="99"/>
      <x:c r="W504" s="99"/>
      <x:c r="X504" s="99"/>
      <x:c r="Y504" s="99"/>
      <x:c r="Z504" s="99"/>
    </x:row>
    <x:row r="505">
      <x:c r="A505" s="99"/>
      <x:c r="B505" s="99"/>
      <x:c r="C505" s="99"/>
      <x:c r="D505" s="99"/>
      <x:c r="E505" s="99"/>
      <x:c r="F505" s="99"/>
      <x:c r="G505" s="99"/>
      <x:c r="H505" s="99"/>
      <x:c r="I505" s="99"/>
      <x:c r="J505" s="99"/>
      <x:c r="K505" s="99"/>
      <x:c r="L505" s="99"/>
      <x:c r="M505" s="99"/>
      <x:c r="N505" s="99"/>
      <x:c r="O505" s="99"/>
      <x:c r="P505" s="99"/>
      <x:c r="Q505" s="99"/>
      <x:c r="R505" s="99"/>
      <x:c r="S505" s="99"/>
      <x:c r="T505" s="99"/>
      <x:c r="U505" s="99"/>
      <x:c r="V505" s="99"/>
      <x:c r="W505" s="99"/>
      <x:c r="X505" s="99"/>
      <x:c r="Y505" s="99"/>
      <x:c r="Z505" s="99"/>
    </x:row>
    <x:row r="506">
      <x:c r="A506" s="99"/>
      <x:c r="B506" s="99"/>
      <x:c r="C506" s="99"/>
      <x:c r="D506" s="99"/>
      <x:c r="E506" s="99"/>
      <x:c r="F506" s="99"/>
      <x:c r="G506" s="99"/>
      <x:c r="H506" s="99"/>
      <x:c r="I506" s="99"/>
      <x:c r="J506" s="99"/>
      <x:c r="K506" s="99"/>
      <x:c r="L506" s="99"/>
      <x:c r="M506" s="99"/>
      <x:c r="N506" s="99"/>
      <x:c r="O506" s="99"/>
      <x:c r="P506" s="99"/>
      <x:c r="Q506" s="99"/>
      <x:c r="R506" s="99"/>
      <x:c r="S506" s="99"/>
      <x:c r="T506" s="99"/>
      <x:c r="U506" s="99"/>
      <x:c r="V506" s="99"/>
      <x:c r="W506" s="99"/>
      <x:c r="X506" s="99"/>
      <x:c r="Y506" s="99"/>
      <x:c r="Z506" s="99"/>
    </x:row>
    <x:row r="507">
      <x:c r="A507" s="99"/>
      <x:c r="B507" s="99"/>
      <x:c r="C507" s="99"/>
      <x:c r="D507" s="99"/>
      <x:c r="E507" s="99"/>
      <x:c r="F507" s="99"/>
      <x:c r="G507" s="99"/>
      <x:c r="H507" s="99"/>
      <x:c r="I507" s="99"/>
      <x:c r="J507" s="99"/>
      <x:c r="K507" s="99"/>
      <x:c r="L507" s="99"/>
      <x:c r="M507" s="99"/>
      <x:c r="N507" s="99"/>
      <x:c r="O507" s="99"/>
      <x:c r="P507" s="99"/>
      <x:c r="Q507" s="99"/>
      <x:c r="R507" s="99"/>
      <x:c r="S507" s="99"/>
      <x:c r="T507" s="99"/>
      <x:c r="U507" s="99"/>
      <x:c r="V507" s="99"/>
      <x:c r="W507" s="99"/>
      <x:c r="X507" s="99"/>
      <x:c r="Y507" s="99"/>
      <x:c r="Z507" s="99"/>
    </x:row>
    <x:row r="508">
      <x:c r="A508" s="99"/>
      <x:c r="B508" s="99"/>
      <x:c r="C508" s="99"/>
      <x:c r="D508" s="99"/>
      <x:c r="E508" s="99"/>
      <x:c r="F508" s="99"/>
      <x:c r="G508" s="99"/>
      <x:c r="H508" s="99"/>
      <x:c r="I508" s="99"/>
      <x:c r="J508" s="99"/>
      <x:c r="K508" s="99"/>
      <x:c r="L508" s="99"/>
      <x:c r="M508" s="99"/>
      <x:c r="N508" s="99"/>
      <x:c r="O508" s="99"/>
      <x:c r="P508" s="99"/>
      <x:c r="Q508" s="99"/>
      <x:c r="R508" s="99"/>
      <x:c r="S508" s="99"/>
      <x:c r="T508" s="99"/>
      <x:c r="U508" s="99"/>
      <x:c r="V508" s="99"/>
      <x:c r="W508" s="99"/>
      <x:c r="X508" s="99"/>
      <x:c r="Y508" s="99"/>
      <x:c r="Z508" s="99"/>
    </x:row>
    <x:row r="509">
      <x:c r="A509" s="99"/>
      <x:c r="B509" s="99"/>
      <x:c r="C509" s="99"/>
      <x:c r="D509" s="99"/>
      <x:c r="E509" s="99"/>
      <x:c r="F509" s="99"/>
      <x:c r="G509" s="99"/>
      <x:c r="H509" s="99"/>
      <x:c r="I509" s="99"/>
      <x:c r="J509" s="99"/>
      <x:c r="K509" s="99"/>
      <x:c r="L509" s="99"/>
      <x:c r="M509" s="99"/>
      <x:c r="N509" s="99"/>
      <x:c r="O509" s="99"/>
      <x:c r="P509" s="99"/>
      <x:c r="Q509" s="99"/>
      <x:c r="R509" s="99"/>
      <x:c r="S509" s="99"/>
      <x:c r="T509" s="99"/>
      <x:c r="U509" s="99"/>
      <x:c r="V509" s="99"/>
      <x:c r="W509" s="99"/>
      <x:c r="X509" s="99"/>
      <x:c r="Y509" s="99"/>
      <x:c r="Z509" s="99"/>
    </x:row>
    <x:row r="510">
      <x:c r="A510" s="99"/>
      <x:c r="B510" s="99"/>
      <x:c r="C510" s="99"/>
      <x:c r="D510" s="99"/>
      <x:c r="E510" s="99"/>
      <x:c r="F510" s="99"/>
      <x:c r="G510" s="99"/>
      <x:c r="H510" s="99"/>
      <x:c r="I510" s="99"/>
      <x:c r="J510" s="99"/>
      <x:c r="K510" s="99"/>
      <x:c r="L510" s="99"/>
      <x:c r="M510" s="99"/>
      <x:c r="N510" s="99"/>
      <x:c r="O510" s="99"/>
      <x:c r="P510" s="99"/>
      <x:c r="Q510" s="99"/>
      <x:c r="R510" s="99"/>
      <x:c r="S510" s="99"/>
      <x:c r="T510" s="99"/>
      <x:c r="U510" s="99"/>
      <x:c r="V510" s="99"/>
      <x:c r="W510" s="99"/>
      <x:c r="X510" s="99"/>
      <x:c r="Y510" s="99"/>
      <x:c r="Z510" s="99"/>
    </x:row>
    <x:row r="511">
      <x:c r="A511" s="99"/>
      <x:c r="B511" s="99"/>
      <x:c r="C511" s="99"/>
      <x:c r="D511" s="99"/>
      <x:c r="E511" s="99"/>
      <x:c r="F511" s="99"/>
      <x:c r="G511" s="99"/>
      <x:c r="H511" s="99"/>
      <x:c r="I511" s="99"/>
      <x:c r="J511" s="99"/>
      <x:c r="K511" s="99"/>
      <x:c r="L511" s="99"/>
      <x:c r="M511" s="99"/>
      <x:c r="N511" s="99"/>
      <x:c r="O511" s="99"/>
      <x:c r="P511" s="99"/>
      <x:c r="Q511" s="99"/>
      <x:c r="R511" s="99"/>
      <x:c r="S511" s="99"/>
      <x:c r="T511" s="99"/>
      <x:c r="U511" s="99"/>
      <x:c r="V511" s="99"/>
      <x:c r="W511" s="99"/>
      <x:c r="X511" s="99"/>
      <x:c r="Y511" s="99"/>
      <x:c r="Z511" s="99"/>
    </x:row>
    <x:row r="512">
      <x:c r="A512" s="99"/>
      <x:c r="B512" s="99"/>
      <x:c r="C512" s="99"/>
      <x:c r="D512" s="99"/>
      <x:c r="E512" s="99"/>
      <x:c r="F512" s="99"/>
      <x:c r="G512" s="99"/>
      <x:c r="H512" s="99"/>
      <x:c r="I512" s="99"/>
      <x:c r="J512" s="99"/>
      <x:c r="K512" s="99"/>
      <x:c r="L512" s="99"/>
      <x:c r="M512" s="99"/>
      <x:c r="N512" s="99"/>
      <x:c r="O512" s="99"/>
      <x:c r="P512" s="99"/>
      <x:c r="Q512" s="99"/>
      <x:c r="R512" s="99"/>
      <x:c r="S512" s="99"/>
      <x:c r="T512" s="99"/>
      <x:c r="U512" s="99"/>
      <x:c r="V512" s="99"/>
      <x:c r="W512" s="99"/>
      <x:c r="X512" s="99"/>
      <x:c r="Y512" s="99"/>
      <x:c r="Z512" s="99"/>
    </x:row>
    <x:row r="513">
      <x:c r="A513" s="99"/>
      <x:c r="B513" s="99"/>
      <x:c r="C513" s="99"/>
      <x:c r="D513" s="99"/>
      <x:c r="E513" s="99"/>
      <x:c r="F513" s="99"/>
      <x:c r="G513" s="99"/>
      <x:c r="H513" s="99"/>
      <x:c r="I513" s="99"/>
      <x:c r="J513" s="99"/>
      <x:c r="K513" s="99"/>
      <x:c r="L513" s="99"/>
      <x:c r="M513" s="99"/>
      <x:c r="N513" s="99"/>
      <x:c r="O513" s="99"/>
      <x:c r="P513" s="99"/>
      <x:c r="Q513" s="99"/>
      <x:c r="R513" s="99"/>
      <x:c r="S513" s="99"/>
      <x:c r="T513" s="99"/>
      <x:c r="U513" s="99"/>
      <x:c r="V513" s="99"/>
      <x:c r="W513" s="99"/>
      <x:c r="X513" s="99"/>
      <x:c r="Y513" s="99"/>
      <x:c r="Z513" s="99"/>
    </x:row>
    <x:row r="514">
      <x:c r="A514" s="99"/>
      <x:c r="B514" s="99"/>
      <x:c r="C514" s="99"/>
      <x:c r="D514" s="99"/>
      <x:c r="E514" s="99"/>
      <x:c r="F514" s="99"/>
      <x:c r="G514" s="99"/>
      <x:c r="H514" s="99"/>
      <x:c r="I514" s="99"/>
      <x:c r="J514" s="99"/>
      <x:c r="K514" s="99"/>
      <x:c r="L514" s="99"/>
      <x:c r="M514" s="99"/>
      <x:c r="N514" s="99"/>
      <x:c r="O514" s="99"/>
      <x:c r="P514" s="99"/>
      <x:c r="Q514" s="99"/>
      <x:c r="R514" s="99"/>
      <x:c r="S514" s="99"/>
      <x:c r="T514" s="99"/>
      <x:c r="U514" s="99"/>
      <x:c r="V514" s="99"/>
      <x:c r="W514" s="99"/>
      <x:c r="X514" s="99"/>
      <x:c r="Y514" s="99"/>
      <x:c r="Z514" s="99"/>
    </x:row>
    <x:row r="515">
      <x:c r="A515" s="99"/>
      <x:c r="B515" s="99"/>
      <x:c r="C515" s="99"/>
      <x:c r="D515" s="99"/>
      <x:c r="E515" s="99"/>
      <x:c r="F515" s="99"/>
      <x:c r="G515" s="99"/>
      <x:c r="H515" s="99"/>
      <x:c r="I515" s="99"/>
      <x:c r="J515" s="99"/>
      <x:c r="K515" s="99"/>
      <x:c r="L515" s="99"/>
      <x:c r="M515" s="99"/>
      <x:c r="N515" s="99"/>
      <x:c r="O515" s="99"/>
      <x:c r="P515" s="99"/>
      <x:c r="Q515" s="99"/>
      <x:c r="R515" s="99"/>
      <x:c r="S515" s="99"/>
      <x:c r="T515" s="99"/>
      <x:c r="U515" s="99"/>
      <x:c r="V515" s="99"/>
      <x:c r="W515" s="99"/>
      <x:c r="X515" s="99"/>
      <x:c r="Y515" s="99"/>
      <x:c r="Z515" s="99"/>
    </x:row>
    <x:row r="516">
      <x:c r="A516" s="99"/>
      <x:c r="B516" s="99"/>
      <x:c r="C516" s="99"/>
      <x:c r="D516" s="99"/>
      <x:c r="E516" s="99"/>
      <x:c r="F516" s="99"/>
      <x:c r="G516" s="99"/>
      <x:c r="H516" s="99"/>
      <x:c r="I516" s="99"/>
      <x:c r="J516" s="99"/>
      <x:c r="K516" s="99"/>
      <x:c r="L516" s="99"/>
      <x:c r="M516" s="99"/>
      <x:c r="N516" s="99"/>
      <x:c r="O516" s="99"/>
      <x:c r="P516" s="99"/>
      <x:c r="Q516" s="99"/>
      <x:c r="R516" s="99"/>
      <x:c r="S516" s="99"/>
      <x:c r="T516" s="99"/>
      <x:c r="U516" s="99"/>
      <x:c r="V516" s="99"/>
      <x:c r="W516" s="99"/>
      <x:c r="X516" s="99"/>
      <x:c r="Y516" s="99"/>
      <x:c r="Z516" s="99"/>
    </x:row>
    <x:row r="517">
      <x:c r="A517" s="99"/>
      <x:c r="B517" s="99"/>
      <x:c r="C517" s="99"/>
      <x:c r="D517" s="99"/>
      <x:c r="E517" s="99"/>
      <x:c r="F517" s="99"/>
      <x:c r="G517" s="99"/>
      <x:c r="H517" s="99"/>
      <x:c r="I517" s="99"/>
      <x:c r="J517" s="99"/>
      <x:c r="K517" s="99"/>
      <x:c r="L517" s="99"/>
      <x:c r="M517" s="99"/>
      <x:c r="N517" s="99"/>
      <x:c r="O517" s="99"/>
      <x:c r="P517" s="99"/>
      <x:c r="Q517" s="99"/>
      <x:c r="R517" s="99"/>
      <x:c r="S517" s="99"/>
      <x:c r="T517" s="99"/>
      <x:c r="U517" s="99"/>
      <x:c r="V517" s="99"/>
      <x:c r="W517" s="99"/>
      <x:c r="X517" s="99"/>
      <x:c r="Y517" s="99"/>
      <x:c r="Z517" s="99"/>
    </x:row>
    <x:row r="518">
      <x:c r="A518" s="99"/>
      <x:c r="B518" s="99"/>
      <x:c r="C518" s="99"/>
      <x:c r="D518" s="99"/>
      <x:c r="E518" s="99"/>
      <x:c r="F518" s="99"/>
      <x:c r="G518" s="99"/>
      <x:c r="H518" s="99"/>
      <x:c r="I518" s="99"/>
      <x:c r="J518" s="99"/>
      <x:c r="K518" s="99"/>
      <x:c r="L518" s="99"/>
      <x:c r="M518" s="99"/>
      <x:c r="N518" s="99"/>
      <x:c r="O518" s="99"/>
      <x:c r="P518" s="99"/>
      <x:c r="Q518" s="99"/>
      <x:c r="R518" s="99"/>
      <x:c r="S518" s="99"/>
      <x:c r="T518" s="99"/>
      <x:c r="U518" s="99"/>
      <x:c r="V518" s="99"/>
      <x:c r="W518" s="99"/>
      <x:c r="X518" s="99"/>
      <x:c r="Y518" s="99"/>
      <x:c r="Z518" s="99"/>
    </x:row>
    <x:row r="519">
      <x:c r="A519" s="99"/>
      <x:c r="B519" s="99"/>
      <x:c r="C519" s="99"/>
      <x:c r="D519" s="99"/>
      <x:c r="E519" s="99"/>
      <x:c r="F519" s="99"/>
      <x:c r="G519" s="99"/>
      <x:c r="H519" s="99"/>
      <x:c r="I519" s="99"/>
      <x:c r="J519" s="99"/>
      <x:c r="K519" s="99"/>
      <x:c r="L519" s="99"/>
      <x:c r="M519" s="99"/>
      <x:c r="N519" s="99"/>
      <x:c r="O519" s="99"/>
      <x:c r="P519" s="99"/>
      <x:c r="Q519" s="99"/>
      <x:c r="R519" s="99"/>
      <x:c r="S519" s="99"/>
      <x:c r="T519" s="99"/>
      <x:c r="U519" s="99"/>
      <x:c r="V519" s="99"/>
      <x:c r="W519" s="99"/>
      <x:c r="X519" s="99"/>
      <x:c r="Y519" s="99"/>
      <x:c r="Z519" s="99"/>
    </x:row>
    <x:row r="520">
      <x:c r="A520" s="99"/>
      <x:c r="B520" s="99"/>
      <x:c r="C520" s="99"/>
      <x:c r="D520" s="99"/>
      <x:c r="E520" s="99"/>
      <x:c r="F520" s="99"/>
      <x:c r="G520" s="99"/>
      <x:c r="H520" s="99"/>
      <x:c r="I520" s="99"/>
      <x:c r="J520" s="99"/>
      <x:c r="K520" s="99"/>
      <x:c r="L520" s="99"/>
      <x:c r="M520" s="99"/>
      <x:c r="N520" s="99"/>
      <x:c r="O520" s="99"/>
      <x:c r="P520" s="99"/>
      <x:c r="Q520" s="99"/>
      <x:c r="R520" s="99"/>
      <x:c r="S520" s="99"/>
      <x:c r="T520" s="99"/>
      <x:c r="U520" s="99"/>
      <x:c r="V520" s="99"/>
      <x:c r="W520" s="99"/>
      <x:c r="X520" s="99"/>
      <x:c r="Y520" s="99"/>
      <x:c r="Z520" s="99"/>
    </x:row>
  </x:sheetData>
  <x:mergeCells>
    <x:mergeCell ref="A1:J1"/>
  </x:mergeCells>
  <x:conditionalFormatting sqref="J4:J103">
    <x:cfRule type="expression" dxfId="9" priority="1">
      <x:formula>$J4="ADD CODE"</x:formula>
    </x:cfRule>
  </x:conditionalFormatting>
  <x:dataValidations count="2">
    <x:dataValidation type="list" sqref="E4:E103">
      <x:formula1>_LISTS!$F$2:$F$6</x:formula1>
    </x:dataValidation>
    <x:dataValidation type="list" sqref="H4:H103">
      <x:formula1>"Yes,No"</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52" hidden="0" customWidth="1"/>
    <x:col min="4" max="4" width="28" hidden="0" customWidth="1"/>
    <x:col min="5" max="5" width="20" hidden="0" customWidth="1"/>
    <x:col min="6" max="6" width="20" hidden="0" customWidth="1"/>
    <x:col min="7" max="7" width="20" hidden="0" customWidth="1"/>
    <x:col min="8" max="8" width="20" hidden="0" customWidth="1"/>
  </x:cols>
  <x:sheetData>
    <x:row r="1">
      <x:c r="A1" s="165" t="str">
        <x:v>FINDINGS — auto-populated evidence + researcher judgment</x:v>
      </x:c>
      <x:c r="B1" s="165"/>
      <x:c r="C1" s="165"/>
      <x:c r="D1" s="165"/>
      <x:c r="E1" s="165"/>
      <x:c r="F1" s="165"/>
      <x:c r="G1" s="165"/>
      <x:c r="H1" s="165"/>
      <x:c r="I1" s="99"/>
      <x:c r="J1" s="99"/>
      <x:c r="K1" s="99"/>
      <x:c r="L1" s="99"/>
      <x:c r="M1" s="99"/>
      <x:c r="N1" s="99"/>
      <x:c r="O1" s="99"/>
      <x:c r="P1" s="99"/>
      <x:c r="Q1" s="99"/>
      <x:c r="R1" s="99"/>
      <x:c r="S1" s="99"/>
      <x:c r="T1" s="99"/>
      <x:c r="U1" s="99"/>
      <x:c r="V1" s="99"/>
      <x:c r="W1" s="99"/>
      <x:c r="X1" s="99"/>
      <x:c r="Y1" s="99"/>
      <x:c r="Z1" s="99"/>
    </x:row>
    <x:row r="2">
      <x:c r="A2" s="99"/>
      <x:c r="B2" s="99"/>
      <x:c r="C2" s="99"/>
      <x:c r="D2" s="99"/>
      <x:c r="E2" s="99"/>
      <x:c r="F2" s="99"/>
      <x:c r="G2" s="99"/>
      <x:c r="H2" s="99"/>
      <x:c r="I2" s="99"/>
      <x:c r="J2" s="99"/>
      <x:c r="K2" s="99"/>
      <x:c r="L2" s="99"/>
      <x:c r="M2" s="99"/>
      <x:c r="N2" s="99"/>
      <x:c r="O2" s="99"/>
      <x:c r="P2" s="99"/>
      <x:c r="Q2" s="99"/>
      <x:c r="R2" s="99"/>
      <x:c r="S2" s="99"/>
      <x:c r="T2" s="99"/>
      <x:c r="U2" s="99"/>
      <x:c r="V2" s="99"/>
      <x:c r="W2" s="99"/>
      <x:c r="X2" s="99"/>
      <x:c r="Y2" s="99"/>
      <x:c r="Z2" s="99"/>
    </x:row>
    <x:row r="3">
      <x:c r="A3" s="101" t="str">
        <x:v>Evidence Signal</x:v>
      </x:c>
      <x:c r="B3" s="101" t="str">
        <x:v>Auto Result</x:v>
      </x:c>
      <x:c r="C3" s="99"/>
      <x:c r="D3" s="101" t="str">
        <x:v>Researcher synthesis</x:v>
      </x:c>
      <x:c r="E3" s="101"/>
      <x:c r="F3" s="101"/>
      <x:c r="G3" s="101"/>
      <x:c r="H3" s="101"/>
      <x:c r="I3" s="99"/>
      <x:c r="J3" s="99"/>
      <x:c r="K3" s="99"/>
      <x:c r="L3" s="99"/>
      <x:c r="M3" s="99"/>
      <x:c r="N3" s="99"/>
      <x:c r="O3" s="99"/>
      <x:c r="P3" s="99"/>
      <x:c r="Q3" s="99"/>
      <x:c r="R3" s="99"/>
      <x:c r="S3" s="99"/>
      <x:c r="T3" s="99"/>
      <x:c r="U3" s="99"/>
      <x:c r="V3" s="99"/>
      <x:c r="W3" s="99"/>
      <x:c r="X3" s="99"/>
      <x:c r="Y3" s="99"/>
      <x:c r="Z3" s="99"/>
    </x:row>
    <x:row r="4">
      <x:c r="A4" s="106" t="str">
        <x:v>Response Rate</x:v>
      </x:c>
      <x:c r="B4" s="135" t="n">
        <x:f>SETUP!E7</x:f>
        <x:v>0</x:v>
      </x:c>
      <x:c r="C4" s="99"/>
      <x:c r="D4" s="106" t="str">
        <x:v>Primary Finding</x:v>
      </x:c>
      <x:c r="E4" s="119" t="str"/>
      <x:c r="F4" s="119"/>
      <x:c r="G4" s="119"/>
      <x:c r="H4" s="119"/>
      <x:c r="I4" s="99"/>
      <x:c r="J4" s="99"/>
      <x:c r="K4" s="99"/>
      <x:c r="L4" s="99"/>
      <x:c r="M4" s="99"/>
      <x:c r="N4" s="99"/>
      <x:c r="O4" s="99"/>
      <x:c r="P4" s="99"/>
      <x:c r="Q4" s="99"/>
      <x:c r="R4" s="99"/>
      <x:c r="S4" s="99"/>
      <x:c r="T4" s="99"/>
      <x:c r="U4" s="99"/>
      <x:c r="V4" s="99"/>
      <x:c r="W4" s="99"/>
      <x:c r="X4" s="99"/>
      <x:c r="Y4" s="99"/>
      <x:c r="Z4" s="99"/>
    </x:row>
    <x:row r="5">
      <x:c r="A5" s="106" t="str">
        <x:v>Analysis Retention</x:v>
      </x:c>
      <x:c r="B5" s="135" t="n">
        <x:f>SETUP!E8</x:f>
        <x:v>0</x:v>
      </x:c>
      <x:c r="C5" s="99"/>
      <x:c r="D5" s="106" t="str">
        <x:v>Most Important Qualification</x:v>
      </x:c>
      <x:c r="E5" s="119" t="str"/>
      <x:c r="F5" s="119"/>
      <x:c r="G5" s="119"/>
      <x:c r="H5" s="119"/>
      <x:c r="I5" s="99"/>
      <x:c r="J5" s="99"/>
      <x:c r="K5" s="99"/>
      <x:c r="L5" s="99"/>
      <x:c r="M5" s="99"/>
      <x:c r="N5" s="99"/>
      <x:c r="O5" s="99"/>
      <x:c r="P5" s="99"/>
      <x:c r="Q5" s="99"/>
      <x:c r="R5" s="99"/>
      <x:c r="S5" s="99"/>
      <x:c r="T5" s="99"/>
      <x:c r="U5" s="99"/>
      <x:c r="V5" s="99"/>
      <x:c r="W5" s="99"/>
      <x:c r="X5" s="99"/>
      <x:c r="Y5" s="99"/>
      <x:c r="Z5" s="99"/>
    </x:row>
    <x:row r="6">
      <x:c r="A6" s="106" t="str">
        <x:v>Overall Mean</x:v>
      </x:c>
      <x:c r="B6" s="139" t="n">
        <x:f>SETUP!E10</x:f>
        <x:v>0</x:v>
      </x:c>
      <x:c r="C6" s="99"/>
      <x:c r="D6" s="106" t="str">
        <x:v>Meaningful Segment Difference</x:v>
      </x:c>
      <x:c r="E6" s="119" t="str"/>
      <x:c r="F6" s="119"/>
      <x:c r="G6" s="119"/>
      <x:c r="H6" s="119"/>
      <x:c r="I6" s="99"/>
      <x:c r="J6" s="99"/>
      <x:c r="K6" s="99"/>
      <x:c r="L6" s="99"/>
      <x:c r="M6" s="99"/>
      <x:c r="N6" s="99"/>
      <x:c r="O6" s="99"/>
      <x:c r="P6" s="99"/>
      <x:c r="Q6" s="99"/>
      <x:c r="R6" s="99"/>
      <x:c r="S6" s="99"/>
      <x:c r="T6" s="99"/>
      <x:c r="U6" s="99"/>
      <x:c r="V6" s="99"/>
      <x:c r="W6" s="99"/>
      <x:c r="X6" s="99"/>
      <x:c r="Y6" s="99"/>
      <x:c r="Z6" s="99"/>
    </x:row>
    <x:row r="7">
      <x:c r="A7" s="106" t="str">
        <x:v>Highest Item</x:v>
      </x:c>
      <x:c r="B7" s="103" t="str">
        <x:f>IF(COUNT('ITEM SUMMARY'!E4:E15)=0,"",INDEX('ITEM SUMMARY'!C4:C15,MATCH(MAX('ITEM SUMMARY'!E4:E15),'ITEM SUMMARY'!E4:E15,0)))</x:f>
      </x:c>
      <x:c r="C7" s="99"/>
      <x:c r="D7" s="106" t="str">
        <x:v>Open-Text Pattern / Counterexample</x:v>
      </x:c>
      <x:c r="E7" s="119" t="str"/>
      <x:c r="F7" s="119"/>
      <x:c r="G7" s="119"/>
      <x:c r="H7" s="119"/>
      <x:c r="I7" s="99"/>
      <x:c r="J7" s="99"/>
      <x:c r="K7" s="99"/>
      <x:c r="L7" s="99"/>
      <x:c r="M7" s="99"/>
      <x:c r="N7" s="99"/>
      <x:c r="O7" s="99"/>
      <x:c r="P7" s="99"/>
      <x:c r="Q7" s="99"/>
      <x:c r="R7" s="99"/>
      <x:c r="S7" s="99"/>
      <x:c r="T7" s="99"/>
      <x:c r="U7" s="99"/>
      <x:c r="V7" s="99"/>
      <x:c r="W7" s="99"/>
      <x:c r="X7" s="99"/>
      <x:c r="Y7" s="99"/>
      <x:c r="Z7" s="99"/>
    </x:row>
    <x:row r="8">
      <x:c r="A8" s="106" t="str">
        <x:v>Highest Item Mean</x:v>
      </x:c>
      <x:c r="B8" s="139" t="str">
        <x:f>IF(COUNT('ITEM SUMMARY'!E4:E15)=0,"",MAX('ITEM SUMMARY'!E4:E15))</x:f>
      </x:c>
      <x:c r="C8" s="99"/>
      <x:c r="D8" s="106" t="str">
        <x:v>Priority Need / Gap</x:v>
      </x:c>
      <x:c r="E8" s="119" t="str"/>
      <x:c r="F8" s="119"/>
      <x:c r="G8" s="119"/>
      <x:c r="H8" s="119"/>
      <x:c r="I8" s="99"/>
      <x:c r="J8" s="99"/>
      <x:c r="K8" s="99"/>
      <x:c r="L8" s="99"/>
      <x:c r="M8" s="99"/>
      <x:c r="N8" s="99"/>
      <x:c r="O8" s="99"/>
      <x:c r="P8" s="99"/>
      <x:c r="Q8" s="99"/>
      <x:c r="R8" s="99"/>
      <x:c r="S8" s="99"/>
      <x:c r="T8" s="99"/>
      <x:c r="U8" s="99"/>
      <x:c r="V8" s="99"/>
      <x:c r="W8" s="99"/>
      <x:c r="X8" s="99"/>
      <x:c r="Y8" s="99"/>
      <x:c r="Z8" s="99"/>
    </x:row>
    <x:row r="9">
      <x:c r="A9" s="106" t="str">
        <x:v>Lowest Item</x:v>
      </x:c>
      <x:c r="B9" s="139" t="str">
        <x:f>IF(COUNT('ITEM SUMMARY'!E4:E15)=0,"",INDEX('ITEM SUMMARY'!C4:C15,MATCH(MIN('ITEM SUMMARY'!E4:E15),'ITEM SUMMARY'!E4:E15,0)))</x:f>
      </x:c>
      <x:c r="C9" s="99"/>
      <x:c r="D9" s="106" t="str">
        <x:v>Decision / Recommendation Supported</x:v>
      </x:c>
      <x:c r="E9" s="119" t="str"/>
      <x:c r="F9" s="119"/>
      <x:c r="G9" s="119"/>
      <x:c r="H9" s="119"/>
      <x:c r="I9" s="99"/>
      <x:c r="J9" s="99"/>
      <x:c r="K9" s="99"/>
      <x:c r="L9" s="99"/>
      <x:c r="M9" s="99"/>
      <x:c r="N9" s="99"/>
      <x:c r="O9" s="99"/>
      <x:c r="P9" s="99"/>
      <x:c r="Q9" s="99"/>
      <x:c r="R9" s="99"/>
      <x:c r="S9" s="99"/>
      <x:c r="T9" s="99"/>
      <x:c r="U9" s="99"/>
      <x:c r="V9" s="99"/>
      <x:c r="W9" s="99"/>
      <x:c r="X9" s="99"/>
      <x:c r="Y9" s="99"/>
      <x:c r="Z9" s="99"/>
    </x:row>
    <x:row r="10">
      <x:c r="A10" s="106" t="str">
        <x:v>Lowest Item Mean</x:v>
      </x:c>
      <x:c r="B10" s="139" t="str">
        <x:f>IF(COUNT('ITEM SUMMARY'!E4:E15)=0,"",MIN('ITEM SUMMARY'!E4:E15))</x:f>
      </x:c>
      <x:c r="C10" s="99"/>
      <x:c r="D10" s="106" t="str">
        <x:v>What the Data Does NOT Establish</x:v>
      </x:c>
      <x:c r="E10" s="119" t="str"/>
      <x:c r="F10" s="119"/>
      <x:c r="G10" s="119"/>
      <x:c r="H10" s="119"/>
      <x:c r="I10" s="99"/>
      <x:c r="J10" s="99"/>
      <x:c r="K10" s="99"/>
      <x:c r="L10" s="99"/>
      <x:c r="M10" s="99"/>
      <x:c r="N10" s="99"/>
      <x:c r="O10" s="99"/>
      <x:c r="P10" s="99"/>
      <x:c r="Q10" s="99"/>
      <x:c r="R10" s="99"/>
      <x:c r="S10" s="99"/>
      <x:c r="T10" s="99"/>
      <x:c r="U10" s="99"/>
      <x:c r="V10" s="99"/>
      <x:c r="W10" s="99"/>
      <x:c r="X10" s="99"/>
      <x:c r="Y10" s="99"/>
      <x:c r="Z10" s="99"/>
    </x:row>
    <x:row r="11">
      <x:c r="A11" s="106" t="str">
        <x:v>High-Priority Needs</x:v>
      </x:c>
      <x:c r="B11" s="103" t="n">
        <x:f>COUNTIF('NEEDS PRIORITY'!F4:F23,"HIGH")</x:f>
        <x:v>0</x:v>
      </x:c>
      <x:c r="C11" s="99"/>
      <x:c r="D11" s="106" t="str">
        <x:v>Next Research / Validation Step</x:v>
      </x:c>
      <x:c r="E11" s="119" t="str"/>
      <x:c r="F11" s="119"/>
      <x:c r="G11" s="119"/>
      <x:c r="H11" s="119"/>
      <x:c r="I11" s="99"/>
      <x:c r="J11" s="99"/>
      <x:c r="K11" s="99"/>
      <x:c r="L11" s="99"/>
      <x:c r="M11" s="99"/>
      <x:c r="N11" s="99"/>
      <x:c r="O11" s="99"/>
      <x:c r="P11" s="99"/>
      <x:c r="Q11" s="99"/>
      <x:c r="R11" s="99"/>
      <x:c r="S11" s="99"/>
      <x:c r="T11" s="99"/>
      <x:c r="U11" s="99"/>
      <x:c r="V11" s="99"/>
      <x:c r="W11" s="99"/>
      <x:c r="X11" s="99"/>
      <x:c r="Y11" s="99"/>
      <x:c r="Z11" s="99"/>
    </x:row>
    <x:row r="12">
      <x:c r="A12" s="99"/>
      <x:c r="B12" s="99"/>
      <x:c r="C12" s="99"/>
      <x:c r="D12" s="99"/>
      <x:c r="E12" s="99"/>
      <x:c r="F12" s="99"/>
      <x:c r="G12" s="99"/>
      <x:c r="H12" s="99"/>
      <x:c r="I12" s="99"/>
      <x:c r="J12" s="99"/>
      <x:c r="K12" s="99"/>
      <x:c r="L12" s="99"/>
      <x:c r="M12" s="99"/>
      <x:c r="N12" s="99"/>
      <x:c r="O12" s="99"/>
      <x:c r="P12" s="99"/>
      <x:c r="Q12" s="99"/>
      <x:c r="R12" s="99"/>
      <x:c r="S12" s="99"/>
      <x:c r="T12" s="99"/>
      <x:c r="U12" s="99"/>
      <x:c r="V12" s="99"/>
      <x:c r="W12" s="99"/>
      <x:c r="X12" s="99"/>
      <x:c r="Y12" s="99"/>
      <x:c r="Z12" s="99"/>
    </x:row>
    <x:row r="13">
      <x:c r="A13" s="99"/>
      <x:c r="B13" s="99"/>
      <x:c r="C13" s="99"/>
      <x:c r="D13" s="99"/>
      <x:c r="E13" s="99"/>
      <x:c r="F13" s="99"/>
      <x:c r="G13" s="99"/>
      <x:c r="H13" s="99"/>
      <x:c r="I13" s="99"/>
      <x:c r="J13" s="99"/>
      <x:c r="K13" s="99"/>
      <x:c r="L13" s="99"/>
      <x:c r="M13" s="99"/>
      <x:c r="N13" s="99"/>
      <x:c r="O13" s="99"/>
      <x:c r="P13" s="99"/>
      <x:c r="Q13" s="99"/>
      <x:c r="R13" s="99"/>
      <x:c r="S13" s="99"/>
      <x:c r="T13" s="99"/>
      <x:c r="U13" s="99"/>
      <x:c r="V13" s="99"/>
      <x:c r="W13" s="99"/>
      <x:c r="X13" s="99"/>
      <x:c r="Y13" s="99"/>
      <x:c r="Z13" s="99"/>
    </x:row>
    <x:row r="14">
      <x:c r="A14" s="99"/>
      <x:c r="B14" s="99"/>
      <x:c r="C14" s="99"/>
      <x:c r="D14" s="99"/>
      <x:c r="E14" s="99"/>
      <x:c r="F14" s="99"/>
      <x:c r="G14" s="99"/>
      <x:c r="H14" s="99"/>
      <x:c r="I14" s="99"/>
      <x:c r="J14" s="99"/>
      <x:c r="K14" s="99"/>
      <x:c r="L14" s="99"/>
      <x:c r="M14" s="99"/>
      <x:c r="N14" s="99"/>
      <x:c r="O14" s="99"/>
      <x:c r="P14" s="99"/>
      <x:c r="Q14" s="99"/>
      <x:c r="R14" s="99"/>
      <x:c r="S14" s="99"/>
      <x:c r="T14" s="99"/>
      <x:c r="U14" s="99"/>
      <x:c r="V14" s="99"/>
      <x:c r="W14" s="99"/>
      <x:c r="X14" s="99"/>
      <x:c r="Y14" s="99"/>
      <x:c r="Z14" s="99"/>
    </x:row>
    <x:row r="15">
      <x:c r="A15" s="99"/>
      <x:c r="B15" s="99"/>
      <x:c r="C15" s="99"/>
      <x:c r="D15" s="99"/>
      <x:c r="E15" s="99"/>
      <x:c r="F15" s="99"/>
      <x:c r="G15" s="99"/>
      <x:c r="H15" s="99"/>
      <x:c r="I15" s="99"/>
      <x:c r="J15" s="99"/>
      <x:c r="K15" s="99"/>
      <x:c r="L15" s="99"/>
      <x:c r="M15" s="99"/>
      <x:c r="N15" s="99"/>
      <x:c r="O15" s="99"/>
      <x:c r="P15" s="99"/>
      <x:c r="Q15" s="99"/>
      <x:c r="R15" s="99"/>
      <x:c r="S15" s="99"/>
      <x:c r="T15" s="99"/>
      <x:c r="U15" s="99"/>
      <x:c r="V15" s="99"/>
      <x:c r="W15" s="99"/>
      <x:c r="X15" s="99"/>
      <x:c r="Y15" s="99"/>
      <x:c r="Z15" s="99"/>
    </x:row>
    <x:row r="16">
      <x:c r="A16" s="99"/>
      <x:c r="B16" s="99"/>
      <x:c r="C16" s="99"/>
      <x:c r="D16" s="99"/>
      <x:c r="E16" s="99"/>
      <x:c r="F16" s="99"/>
      <x:c r="G16" s="99"/>
      <x:c r="H16" s="99"/>
      <x:c r="I16" s="99"/>
      <x:c r="J16" s="99"/>
      <x:c r="K16" s="99"/>
      <x:c r="L16" s="99"/>
      <x:c r="M16" s="99"/>
      <x:c r="N16" s="99"/>
      <x:c r="O16" s="99"/>
      <x:c r="P16" s="99"/>
      <x:c r="Q16" s="99"/>
      <x:c r="R16" s="99"/>
      <x:c r="S16" s="99"/>
      <x:c r="T16" s="99"/>
      <x:c r="U16" s="99"/>
      <x:c r="V16" s="99"/>
      <x:c r="W16" s="99"/>
      <x:c r="X16" s="99"/>
      <x:c r="Y16" s="99"/>
      <x:c r="Z16" s="99"/>
    </x:row>
    <x:row r="17">
      <x:c r="A17" s="99"/>
      <x:c r="B17" s="99"/>
      <x:c r="C17" s="99"/>
      <x:c r="D17" s="99"/>
      <x:c r="E17" s="99"/>
      <x:c r="F17" s="99"/>
      <x:c r="G17" s="99"/>
      <x:c r="H17" s="99"/>
      <x:c r="I17" s="99"/>
      <x:c r="J17" s="99"/>
      <x:c r="K17" s="99"/>
      <x:c r="L17" s="99"/>
      <x:c r="M17" s="99"/>
      <x:c r="N17" s="99"/>
      <x:c r="O17" s="99"/>
      <x:c r="P17" s="99"/>
      <x:c r="Q17" s="99"/>
      <x:c r="R17" s="99"/>
      <x:c r="S17" s="99"/>
      <x:c r="T17" s="99"/>
      <x:c r="U17" s="99"/>
      <x:c r="V17" s="99"/>
      <x:c r="W17" s="99"/>
      <x:c r="X17" s="99"/>
      <x:c r="Y17" s="99"/>
      <x:c r="Z17" s="99"/>
    </x:row>
    <x:row r="18">
      <x:c r="A18" s="99"/>
      <x:c r="B18" s="99"/>
      <x:c r="C18" s="99"/>
      <x:c r="D18" s="99"/>
      <x:c r="E18" s="99"/>
      <x:c r="F18" s="99"/>
      <x:c r="G18" s="99"/>
      <x:c r="H18" s="99"/>
      <x:c r="I18" s="99"/>
      <x:c r="J18" s="99"/>
      <x:c r="K18" s="99"/>
      <x:c r="L18" s="99"/>
      <x:c r="M18" s="99"/>
      <x:c r="N18" s="99"/>
      <x:c r="O18" s="99"/>
      <x:c r="P18" s="99"/>
      <x:c r="Q18" s="99"/>
      <x:c r="R18" s="99"/>
      <x:c r="S18" s="99"/>
      <x:c r="T18" s="99"/>
      <x:c r="U18" s="99"/>
      <x:c r="V18" s="99"/>
      <x:c r="W18" s="99"/>
      <x:c r="X18" s="99"/>
      <x:c r="Y18" s="99"/>
      <x:c r="Z18" s="99"/>
    </x:row>
    <x:row r="19">
      <x:c r="A19" s="99"/>
      <x:c r="B19" s="99"/>
      <x:c r="C19" s="99"/>
      <x:c r="D19" s="99"/>
      <x:c r="E19" s="99"/>
      <x:c r="F19" s="99"/>
      <x:c r="G19" s="99"/>
      <x:c r="H19" s="99"/>
      <x:c r="I19" s="99"/>
      <x:c r="J19" s="99"/>
      <x:c r="K19" s="99"/>
      <x:c r="L19" s="99"/>
      <x:c r="M19" s="99"/>
      <x:c r="N19" s="99"/>
      <x:c r="O19" s="99"/>
      <x:c r="P19" s="99"/>
      <x:c r="Q19" s="99"/>
      <x:c r="R19" s="99"/>
      <x:c r="S19" s="99"/>
      <x:c r="T19" s="99"/>
      <x:c r="U19" s="99"/>
      <x:c r="V19" s="99"/>
      <x:c r="W19" s="99"/>
      <x:c r="X19" s="99"/>
      <x:c r="Y19" s="99"/>
      <x:c r="Z19" s="99"/>
    </x:row>
    <x:row r="20">
      <x:c r="A20" s="99"/>
      <x:c r="B20" s="99"/>
      <x:c r="C20" s="99"/>
      <x:c r="D20" s="99"/>
      <x:c r="E20" s="99"/>
      <x:c r="F20" s="99"/>
      <x:c r="G20" s="99"/>
      <x:c r="H20" s="99"/>
      <x:c r="I20" s="99"/>
      <x:c r="J20" s="99"/>
      <x:c r="K20" s="99"/>
      <x:c r="L20" s="99"/>
      <x:c r="M20" s="99"/>
      <x:c r="N20" s="99"/>
      <x:c r="O20" s="99"/>
      <x:c r="P20" s="99"/>
      <x:c r="Q20" s="99"/>
      <x:c r="R20" s="99"/>
      <x:c r="S20" s="99"/>
      <x:c r="T20" s="99"/>
      <x:c r="U20" s="99"/>
      <x:c r="V20" s="99"/>
      <x:c r="W20" s="99"/>
      <x:c r="X20" s="99"/>
      <x:c r="Y20" s="99"/>
      <x:c r="Z20" s="99"/>
    </x:row>
    <x:row r="21">
      <x:c r="A21" s="99"/>
      <x:c r="B21" s="99"/>
      <x:c r="C21" s="99"/>
      <x:c r="D21" s="99"/>
      <x:c r="E21" s="99"/>
      <x:c r="F21" s="99"/>
      <x:c r="G21" s="99"/>
      <x:c r="H21" s="99"/>
      <x:c r="I21" s="99"/>
      <x:c r="J21" s="99"/>
      <x:c r="K21" s="99"/>
      <x:c r="L21" s="99"/>
      <x:c r="M21" s="99"/>
      <x:c r="N21" s="99"/>
      <x:c r="O21" s="99"/>
      <x:c r="P21" s="99"/>
      <x:c r="Q21" s="99"/>
      <x:c r="R21" s="99"/>
      <x:c r="S21" s="99"/>
      <x:c r="T21" s="99"/>
      <x:c r="U21" s="99"/>
      <x:c r="V21" s="99"/>
      <x:c r="W21" s="99"/>
      <x:c r="X21" s="99"/>
      <x:c r="Y21" s="99"/>
      <x:c r="Z21" s="99"/>
    </x:row>
    <x:row r="22">
      <x:c r="A22" s="99"/>
      <x:c r="B22" s="99"/>
      <x:c r="C22" s="99"/>
      <x:c r="D22" s="99"/>
      <x:c r="E22" s="99"/>
      <x:c r="F22" s="99"/>
      <x:c r="G22" s="99"/>
      <x:c r="H22" s="99"/>
      <x:c r="I22" s="99"/>
      <x:c r="J22" s="99"/>
      <x:c r="K22" s="99"/>
      <x:c r="L22" s="99"/>
      <x:c r="M22" s="99"/>
      <x:c r="N22" s="99"/>
      <x:c r="O22" s="99"/>
      <x:c r="P22" s="99"/>
      <x:c r="Q22" s="99"/>
      <x:c r="R22" s="99"/>
      <x:c r="S22" s="99"/>
      <x:c r="T22" s="99"/>
      <x:c r="U22" s="99"/>
      <x:c r="V22" s="99"/>
      <x:c r="W22" s="99"/>
      <x:c r="X22" s="99"/>
      <x:c r="Y22" s="99"/>
      <x:c r="Z22" s="99"/>
    </x:row>
    <x:row r="23">
      <x:c r="A23" s="99"/>
      <x:c r="B23" s="99"/>
      <x:c r="C23" s="99"/>
      <x:c r="D23" s="99"/>
      <x:c r="E23" s="99"/>
      <x:c r="F23" s="99"/>
      <x:c r="G23" s="99"/>
      <x:c r="H23" s="99"/>
      <x:c r="I23" s="99"/>
      <x:c r="J23" s="99"/>
      <x:c r="K23" s="99"/>
      <x:c r="L23" s="99"/>
      <x:c r="M23" s="99"/>
      <x:c r="N23" s="99"/>
      <x:c r="O23" s="99"/>
      <x:c r="P23" s="99"/>
      <x:c r="Q23" s="99"/>
      <x:c r="R23" s="99"/>
      <x:c r="S23" s="99"/>
      <x:c r="T23" s="99"/>
      <x:c r="U23" s="99"/>
      <x:c r="V23" s="99"/>
      <x:c r="W23" s="99"/>
      <x:c r="X23" s="99"/>
      <x:c r="Y23" s="99"/>
      <x:c r="Z23" s="99"/>
    </x:row>
    <x:row r="24">
      <x:c r="A24" s="99"/>
      <x:c r="B24" s="99"/>
      <x:c r="C24" s="99"/>
      <x:c r="D24" s="99"/>
      <x:c r="E24" s="99"/>
      <x:c r="F24" s="99"/>
      <x:c r="G24" s="99"/>
      <x:c r="H24" s="99"/>
      <x:c r="I24" s="99"/>
      <x:c r="J24" s="99"/>
      <x:c r="K24" s="99"/>
      <x:c r="L24" s="99"/>
      <x:c r="M24" s="99"/>
      <x:c r="N24" s="99"/>
      <x:c r="O24" s="99"/>
      <x:c r="P24" s="99"/>
      <x:c r="Q24" s="99"/>
      <x:c r="R24" s="99"/>
      <x:c r="S24" s="99"/>
      <x:c r="T24" s="99"/>
      <x:c r="U24" s="99"/>
      <x:c r="V24" s="99"/>
      <x:c r="W24" s="99"/>
      <x:c r="X24" s="99"/>
      <x:c r="Y24" s="99"/>
      <x:c r="Z24" s="99"/>
    </x:row>
    <x:row r="25">
      <x:c r="A25" s="99"/>
      <x:c r="B25" s="99"/>
      <x:c r="C25" s="99"/>
      <x:c r="D25" s="99"/>
      <x:c r="E25" s="99"/>
      <x:c r="F25" s="99"/>
      <x:c r="G25" s="99"/>
      <x:c r="H25" s="99"/>
      <x:c r="I25" s="99"/>
      <x:c r="J25" s="99"/>
      <x:c r="K25" s="99"/>
      <x:c r="L25" s="99"/>
      <x:c r="M25" s="99"/>
      <x:c r="N25" s="99"/>
      <x:c r="O25" s="99"/>
      <x:c r="P25" s="99"/>
      <x:c r="Q25" s="99"/>
      <x:c r="R25" s="99"/>
      <x:c r="S25" s="99"/>
      <x:c r="T25" s="99"/>
      <x:c r="U25" s="99"/>
      <x:c r="V25" s="99"/>
      <x:c r="W25" s="99"/>
      <x:c r="X25" s="99"/>
      <x:c r="Y25" s="99"/>
      <x:c r="Z25" s="99"/>
    </x:row>
    <x:row r="26">
      <x:c r="A26" s="99"/>
      <x:c r="B26" s="99"/>
      <x:c r="C26" s="99"/>
      <x:c r="D26" s="99"/>
      <x:c r="E26" s="99"/>
      <x:c r="F26" s="99"/>
      <x:c r="G26" s="99"/>
      <x:c r="H26" s="99"/>
      <x:c r="I26" s="99"/>
      <x:c r="J26" s="99"/>
      <x:c r="K26" s="99"/>
      <x:c r="L26" s="99"/>
      <x:c r="M26" s="99"/>
      <x:c r="N26" s="99"/>
      <x:c r="O26" s="99"/>
      <x:c r="P26" s="99"/>
      <x:c r="Q26" s="99"/>
      <x:c r="R26" s="99"/>
      <x:c r="S26" s="99"/>
      <x:c r="T26" s="99"/>
      <x:c r="U26" s="99"/>
      <x:c r="V26" s="99"/>
      <x:c r="W26" s="99"/>
      <x:c r="X26" s="99"/>
      <x:c r="Y26" s="99"/>
      <x:c r="Z26" s="99"/>
    </x:row>
    <x:row r="27">
      <x:c r="A27" s="99"/>
      <x:c r="B27" s="99"/>
      <x:c r="C27" s="99"/>
      <x:c r="D27" s="99"/>
      <x:c r="E27" s="99"/>
      <x:c r="F27" s="99"/>
      <x:c r="G27" s="99"/>
      <x:c r="H27" s="99"/>
      <x:c r="I27" s="99"/>
      <x:c r="J27" s="99"/>
      <x:c r="K27" s="99"/>
      <x:c r="L27" s="99"/>
      <x:c r="M27" s="99"/>
      <x:c r="N27" s="99"/>
      <x:c r="O27" s="99"/>
      <x:c r="P27" s="99"/>
      <x:c r="Q27" s="99"/>
      <x:c r="R27" s="99"/>
      <x:c r="S27" s="99"/>
      <x:c r="T27" s="99"/>
      <x:c r="U27" s="99"/>
      <x:c r="V27" s="99"/>
      <x:c r="W27" s="99"/>
      <x:c r="X27" s="99"/>
      <x:c r="Y27" s="99"/>
      <x:c r="Z27" s="99"/>
    </x:row>
    <x:row r="28">
      <x:c r="A28" s="99"/>
      <x:c r="B28" s="99"/>
      <x:c r="C28" s="99"/>
      <x:c r="D28" s="99"/>
      <x:c r="E28" s="99"/>
      <x:c r="F28" s="99"/>
      <x:c r="G28" s="99"/>
      <x:c r="H28" s="99"/>
      <x:c r="I28" s="99"/>
      <x:c r="J28" s="99"/>
      <x:c r="K28" s="99"/>
      <x:c r="L28" s="99"/>
      <x:c r="M28" s="99"/>
      <x:c r="N28" s="99"/>
      <x:c r="O28" s="99"/>
      <x:c r="P28" s="99"/>
      <x:c r="Q28" s="99"/>
      <x:c r="R28" s="99"/>
      <x:c r="S28" s="99"/>
      <x:c r="T28" s="99"/>
      <x:c r="U28" s="99"/>
      <x:c r="V28" s="99"/>
      <x:c r="W28" s="99"/>
      <x:c r="X28" s="99"/>
      <x:c r="Y28" s="99"/>
      <x:c r="Z28" s="99"/>
    </x:row>
    <x:row r="29">
      <x:c r="A29" s="99"/>
      <x:c r="B29" s="99"/>
      <x:c r="C29" s="99"/>
      <x:c r="D29" s="99"/>
      <x:c r="E29" s="99"/>
      <x:c r="F29" s="99"/>
      <x:c r="G29" s="99"/>
      <x:c r="H29" s="99"/>
      <x:c r="I29" s="99"/>
      <x:c r="J29" s="99"/>
      <x:c r="K29" s="99"/>
      <x:c r="L29" s="99"/>
      <x:c r="M29" s="99"/>
      <x:c r="N29" s="99"/>
      <x:c r="O29" s="99"/>
      <x:c r="P29" s="99"/>
      <x:c r="Q29" s="99"/>
      <x:c r="R29" s="99"/>
      <x:c r="S29" s="99"/>
      <x:c r="T29" s="99"/>
      <x:c r="U29" s="99"/>
      <x:c r="V29" s="99"/>
      <x:c r="W29" s="99"/>
      <x:c r="X29" s="99"/>
      <x:c r="Y29" s="99"/>
      <x:c r="Z29" s="99"/>
    </x:row>
    <x:row r="30">
      <x:c r="A30" s="99"/>
      <x:c r="B30" s="99"/>
      <x:c r="C30" s="99"/>
      <x:c r="D30" s="99"/>
      <x:c r="E30" s="99"/>
      <x:c r="F30" s="99"/>
      <x:c r="G30" s="99"/>
      <x:c r="H30" s="99"/>
      <x:c r="I30" s="99"/>
      <x:c r="J30" s="99"/>
      <x:c r="K30" s="99"/>
      <x:c r="L30" s="99"/>
      <x:c r="M30" s="99"/>
      <x:c r="N30" s="99"/>
      <x:c r="O30" s="99"/>
      <x:c r="P30" s="99"/>
      <x:c r="Q30" s="99"/>
      <x:c r="R30" s="99"/>
      <x:c r="S30" s="99"/>
      <x:c r="T30" s="99"/>
      <x:c r="U30" s="99"/>
      <x:c r="V30" s="99"/>
      <x:c r="W30" s="99"/>
      <x:c r="X30" s="99"/>
      <x:c r="Y30" s="99"/>
      <x:c r="Z30" s="99"/>
    </x:row>
    <x:row r="31">
      <x:c r="A31" s="99"/>
      <x:c r="B31" s="99"/>
      <x:c r="C31" s="99"/>
      <x:c r="D31" s="99"/>
      <x:c r="E31" s="99"/>
      <x:c r="F31" s="99"/>
      <x:c r="G31" s="99"/>
      <x:c r="H31" s="99"/>
      <x:c r="I31" s="99"/>
      <x:c r="J31" s="99"/>
      <x:c r="K31" s="99"/>
      <x:c r="L31" s="99"/>
      <x:c r="M31" s="99"/>
      <x:c r="N31" s="99"/>
      <x:c r="O31" s="99"/>
      <x:c r="P31" s="99"/>
      <x:c r="Q31" s="99"/>
      <x:c r="R31" s="99"/>
      <x:c r="S31" s="99"/>
      <x:c r="T31" s="99"/>
      <x:c r="U31" s="99"/>
      <x:c r="V31" s="99"/>
      <x:c r="W31" s="99"/>
      <x:c r="X31" s="99"/>
      <x:c r="Y31" s="99"/>
      <x:c r="Z31" s="99"/>
    </x:row>
    <x:row r="32">
      <x:c r="A32" s="99"/>
      <x:c r="B32" s="99"/>
      <x:c r="C32" s="99"/>
      <x:c r="D32" s="99"/>
      <x:c r="E32" s="99"/>
      <x:c r="F32" s="99"/>
      <x:c r="G32" s="99"/>
      <x:c r="H32" s="99"/>
      <x:c r="I32" s="99"/>
      <x:c r="J32" s="99"/>
      <x:c r="K32" s="99"/>
      <x:c r="L32" s="99"/>
      <x:c r="M32" s="99"/>
      <x:c r="N32" s="99"/>
      <x:c r="O32" s="99"/>
      <x:c r="P32" s="99"/>
      <x:c r="Q32" s="99"/>
      <x:c r="R32" s="99"/>
      <x:c r="S32" s="99"/>
      <x:c r="T32" s="99"/>
      <x:c r="U32" s="99"/>
      <x:c r="V32" s="99"/>
      <x:c r="W32" s="99"/>
      <x:c r="X32" s="99"/>
      <x:c r="Y32" s="99"/>
      <x:c r="Z32" s="99"/>
    </x:row>
    <x:row r="33">
      <x:c r="A33" s="99"/>
      <x:c r="B33" s="99"/>
      <x:c r="C33" s="99"/>
      <x:c r="D33" s="99"/>
      <x:c r="E33" s="99"/>
      <x:c r="F33" s="99"/>
      <x:c r="G33" s="99"/>
      <x:c r="H33" s="99"/>
      <x:c r="I33" s="99"/>
      <x:c r="J33" s="99"/>
      <x:c r="K33" s="99"/>
      <x:c r="L33" s="99"/>
      <x:c r="M33" s="99"/>
      <x:c r="N33" s="99"/>
      <x:c r="O33" s="99"/>
      <x:c r="P33" s="99"/>
      <x:c r="Q33" s="99"/>
      <x:c r="R33" s="99"/>
      <x:c r="S33" s="99"/>
      <x:c r="T33" s="99"/>
      <x:c r="U33" s="99"/>
      <x:c r="V33" s="99"/>
      <x:c r="W33" s="99"/>
      <x:c r="X33" s="99"/>
      <x:c r="Y33" s="99"/>
      <x:c r="Z33" s="99"/>
    </x:row>
    <x:row r="34">
      <x:c r="A34" s="99"/>
      <x:c r="B34" s="99"/>
      <x:c r="C34" s="99"/>
      <x:c r="D34" s="99"/>
      <x:c r="E34" s="99"/>
      <x:c r="F34" s="99"/>
      <x:c r="G34" s="99"/>
      <x:c r="H34" s="99"/>
      <x:c r="I34" s="99"/>
      <x:c r="J34" s="99"/>
      <x:c r="K34" s="99"/>
      <x:c r="L34" s="99"/>
      <x:c r="M34" s="99"/>
      <x:c r="N34" s="99"/>
      <x:c r="O34" s="99"/>
      <x:c r="P34" s="99"/>
      <x:c r="Q34" s="99"/>
      <x:c r="R34" s="99"/>
      <x:c r="S34" s="99"/>
      <x:c r="T34" s="99"/>
      <x:c r="U34" s="99"/>
      <x:c r="V34" s="99"/>
      <x:c r="W34" s="99"/>
      <x:c r="X34" s="99"/>
      <x:c r="Y34" s="99"/>
      <x:c r="Z34" s="99"/>
    </x:row>
    <x:row r="35">
      <x:c r="A35" s="99"/>
      <x:c r="B35" s="99"/>
      <x:c r="C35" s="99"/>
      <x:c r="D35" s="99"/>
      <x:c r="E35" s="99"/>
      <x:c r="F35" s="99"/>
      <x:c r="G35" s="99"/>
      <x:c r="H35" s="99"/>
      <x:c r="I35" s="99"/>
      <x:c r="J35" s="99"/>
      <x:c r="K35" s="99"/>
      <x:c r="L35" s="99"/>
      <x:c r="M35" s="99"/>
      <x:c r="N35" s="99"/>
      <x:c r="O35" s="99"/>
      <x:c r="P35" s="99"/>
      <x:c r="Q35" s="99"/>
      <x:c r="R35" s="99"/>
      <x:c r="S35" s="99"/>
      <x:c r="T35" s="99"/>
      <x:c r="U35" s="99"/>
      <x:c r="V35" s="99"/>
      <x:c r="W35" s="99"/>
      <x:c r="X35" s="99"/>
      <x:c r="Y35" s="99"/>
      <x:c r="Z35" s="99"/>
    </x:row>
    <x:row r="36">
      <x:c r="A36" s="99"/>
      <x:c r="B36" s="99"/>
      <x:c r="C36" s="99"/>
      <x:c r="D36" s="99"/>
      <x:c r="E36" s="99"/>
      <x:c r="F36" s="99"/>
      <x:c r="G36" s="99"/>
      <x:c r="H36" s="99"/>
      <x:c r="I36" s="99"/>
      <x:c r="J36" s="99"/>
      <x:c r="K36" s="99"/>
      <x:c r="L36" s="99"/>
      <x:c r="M36" s="99"/>
      <x:c r="N36" s="99"/>
      <x:c r="O36" s="99"/>
      <x:c r="P36" s="99"/>
      <x:c r="Q36" s="99"/>
      <x:c r="R36" s="99"/>
      <x:c r="S36" s="99"/>
      <x:c r="T36" s="99"/>
      <x:c r="U36" s="99"/>
      <x:c r="V36" s="99"/>
      <x:c r="W36" s="99"/>
      <x:c r="X36" s="99"/>
      <x:c r="Y36" s="99"/>
      <x:c r="Z36" s="99"/>
    </x:row>
    <x:row r="37">
      <x:c r="A37" s="99"/>
      <x:c r="B37" s="99"/>
      <x:c r="C37" s="99"/>
      <x:c r="D37" s="99"/>
      <x:c r="E37" s="99"/>
      <x:c r="F37" s="99"/>
      <x:c r="G37" s="99"/>
      <x:c r="H37" s="99"/>
      <x:c r="I37" s="99"/>
      <x:c r="J37" s="99"/>
      <x:c r="K37" s="99"/>
      <x:c r="L37" s="99"/>
      <x:c r="M37" s="99"/>
      <x:c r="N37" s="99"/>
      <x:c r="O37" s="99"/>
      <x:c r="P37" s="99"/>
      <x:c r="Q37" s="99"/>
      <x:c r="R37" s="99"/>
      <x:c r="S37" s="99"/>
      <x:c r="T37" s="99"/>
      <x:c r="U37" s="99"/>
      <x:c r="V37" s="99"/>
      <x:c r="W37" s="99"/>
      <x:c r="X37" s="99"/>
      <x:c r="Y37" s="99"/>
      <x:c r="Z37" s="99"/>
    </x:row>
    <x:row r="38">
      <x:c r="A38" s="99"/>
      <x:c r="B38" s="99"/>
      <x:c r="C38" s="99"/>
      <x:c r="D38" s="99"/>
      <x:c r="E38" s="99"/>
      <x:c r="F38" s="99"/>
      <x:c r="G38" s="99"/>
      <x:c r="H38" s="99"/>
      <x:c r="I38" s="99"/>
      <x:c r="J38" s="99"/>
      <x:c r="K38" s="99"/>
      <x:c r="L38" s="99"/>
      <x:c r="M38" s="99"/>
      <x:c r="N38" s="99"/>
      <x:c r="O38" s="99"/>
      <x:c r="P38" s="99"/>
      <x:c r="Q38" s="99"/>
      <x:c r="R38" s="99"/>
      <x:c r="S38" s="99"/>
      <x:c r="T38" s="99"/>
      <x:c r="U38" s="99"/>
      <x:c r="V38" s="99"/>
      <x:c r="W38" s="99"/>
      <x:c r="X38" s="99"/>
      <x:c r="Y38" s="99"/>
      <x:c r="Z38" s="99"/>
    </x:row>
    <x:row r="39">
      <x:c r="A39" s="99"/>
      <x:c r="B39" s="99"/>
      <x:c r="C39" s="99"/>
      <x:c r="D39" s="99"/>
      <x:c r="E39" s="99"/>
      <x:c r="F39" s="99"/>
      <x:c r="G39" s="99"/>
      <x:c r="H39" s="99"/>
      <x:c r="I39" s="99"/>
      <x:c r="J39" s="99"/>
      <x:c r="K39" s="99"/>
      <x:c r="L39" s="99"/>
      <x:c r="M39" s="99"/>
      <x:c r="N39" s="99"/>
      <x:c r="O39" s="99"/>
      <x:c r="P39" s="99"/>
      <x:c r="Q39" s="99"/>
      <x:c r="R39" s="99"/>
      <x:c r="S39" s="99"/>
      <x:c r="T39" s="99"/>
      <x:c r="U39" s="99"/>
      <x:c r="V39" s="99"/>
      <x:c r="W39" s="99"/>
      <x:c r="X39" s="99"/>
      <x:c r="Y39" s="99"/>
      <x:c r="Z39" s="99"/>
    </x:row>
    <x:row r="40">
      <x:c r="A40" s="99"/>
      <x:c r="B40" s="99"/>
      <x:c r="C40" s="99"/>
      <x:c r="D40" s="99"/>
      <x:c r="E40" s="99"/>
      <x:c r="F40" s="99"/>
      <x:c r="G40" s="99"/>
      <x:c r="H40" s="99"/>
      <x:c r="I40" s="99"/>
      <x:c r="J40" s="99"/>
      <x:c r="K40" s="99"/>
      <x:c r="L40" s="99"/>
      <x:c r="M40" s="99"/>
      <x:c r="N40" s="99"/>
      <x:c r="O40" s="99"/>
      <x:c r="P40" s="99"/>
      <x:c r="Q40" s="99"/>
      <x:c r="R40" s="99"/>
      <x:c r="S40" s="99"/>
      <x:c r="T40" s="99"/>
      <x:c r="U40" s="99"/>
      <x:c r="V40" s="99"/>
      <x:c r="W40" s="99"/>
      <x:c r="X40" s="99"/>
      <x:c r="Y40" s="99"/>
      <x:c r="Z40" s="99"/>
    </x:row>
    <x:row r="41">
      <x:c r="A41" s="99"/>
      <x:c r="B41" s="99"/>
      <x:c r="C41" s="99"/>
      <x:c r="D41" s="99"/>
      <x:c r="E41" s="99"/>
      <x:c r="F41" s="99"/>
      <x:c r="G41" s="99"/>
      <x:c r="H41" s="99"/>
      <x:c r="I41" s="99"/>
      <x:c r="J41" s="99"/>
      <x:c r="K41" s="99"/>
      <x:c r="L41" s="99"/>
      <x:c r="M41" s="99"/>
      <x:c r="N41" s="99"/>
      <x:c r="O41" s="99"/>
      <x:c r="P41" s="99"/>
      <x:c r="Q41" s="99"/>
      <x:c r="R41" s="99"/>
      <x:c r="S41" s="99"/>
      <x:c r="T41" s="99"/>
      <x:c r="U41" s="99"/>
      <x:c r="V41" s="99"/>
      <x:c r="W41" s="99"/>
      <x:c r="X41" s="99"/>
      <x:c r="Y41" s="99"/>
      <x:c r="Z41" s="99"/>
    </x:row>
    <x:row r="42">
      <x:c r="A42" s="99"/>
      <x:c r="B42" s="99"/>
      <x:c r="C42" s="99"/>
      <x:c r="D42" s="99"/>
      <x:c r="E42" s="99"/>
      <x:c r="F42" s="99"/>
      <x:c r="G42" s="99"/>
      <x:c r="H42" s="99"/>
      <x:c r="I42" s="99"/>
      <x:c r="J42" s="99"/>
      <x:c r="K42" s="99"/>
      <x:c r="L42" s="99"/>
      <x:c r="M42" s="99"/>
      <x:c r="N42" s="99"/>
      <x:c r="O42" s="99"/>
      <x:c r="P42" s="99"/>
      <x:c r="Q42" s="99"/>
      <x:c r="R42" s="99"/>
      <x:c r="S42" s="99"/>
      <x:c r="T42" s="99"/>
      <x:c r="U42" s="99"/>
      <x:c r="V42" s="99"/>
      <x:c r="W42" s="99"/>
      <x:c r="X42" s="99"/>
      <x:c r="Y42" s="99"/>
      <x:c r="Z42" s="99"/>
    </x:row>
    <x:row r="43">
      <x:c r="A43" s="99"/>
      <x:c r="B43" s="99"/>
      <x:c r="C43" s="99"/>
      <x:c r="D43" s="99"/>
      <x:c r="E43" s="99"/>
      <x:c r="F43" s="99"/>
      <x:c r="G43" s="99"/>
      <x:c r="H43" s="99"/>
      <x:c r="I43" s="99"/>
      <x:c r="J43" s="99"/>
      <x:c r="K43" s="99"/>
      <x:c r="L43" s="99"/>
      <x:c r="M43" s="99"/>
      <x:c r="N43" s="99"/>
      <x:c r="O43" s="99"/>
      <x:c r="P43" s="99"/>
      <x:c r="Q43" s="99"/>
      <x:c r="R43" s="99"/>
      <x:c r="S43" s="99"/>
      <x:c r="T43" s="99"/>
      <x:c r="U43" s="99"/>
      <x:c r="V43" s="99"/>
      <x:c r="W43" s="99"/>
      <x:c r="X43" s="99"/>
      <x:c r="Y43" s="99"/>
      <x:c r="Z43" s="99"/>
    </x:row>
    <x:row r="44">
      <x:c r="A44" s="99"/>
      <x:c r="B44" s="99"/>
      <x:c r="C44" s="99"/>
      <x:c r="D44" s="99"/>
      <x:c r="E44" s="99"/>
      <x:c r="F44" s="99"/>
      <x:c r="G44" s="99"/>
      <x:c r="H44" s="99"/>
      <x:c r="I44" s="99"/>
      <x:c r="J44" s="99"/>
      <x:c r="K44" s="99"/>
      <x:c r="L44" s="99"/>
      <x:c r="M44" s="99"/>
      <x:c r="N44" s="99"/>
      <x:c r="O44" s="99"/>
      <x:c r="P44" s="99"/>
      <x:c r="Q44" s="99"/>
      <x:c r="R44" s="99"/>
      <x:c r="S44" s="99"/>
      <x:c r="T44" s="99"/>
      <x:c r="U44" s="99"/>
      <x:c r="V44" s="99"/>
      <x:c r="W44" s="99"/>
      <x:c r="X44" s="99"/>
      <x:c r="Y44" s="99"/>
      <x:c r="Z44" s="99"/>
    </x:row>
    <x:row r="45">
      <x:c r="A45" s="99"/>
      <x:c r="B45" s="99"/>
      <x:c r="C45" s="99"/>
      <x:c r="D45" s="99"/>
      <x:c r="E45" s="99"/>
      <x:c r="F45" s="99"/>
      <x:c r="G45" s="99"/>
      <x:c r="H45" s="99"/>
      <x:c r="I45" s="99"/>
      <x:c r="J45" s="99"/>
      <x:c r="K45" s="99"/>
      <x:c r="L45" s="99"/>
      <x:c r="M45" s="99"/>
      <x:c r="N45" s="99"/>
      <x:c r="O45" s="99"/>
      <x:c r="P45" s="99"/>
      <x:c r="Q45" s="99"/>
      <x:c r="R45" s="99"/>
      <x:c r="S45" s="99"/>
      <x:c r="T45" s="99"/>
      <x:c r="U45" s="99"/>
      <x:c r="V45" s="99"/>
      <x:c r="W45" s="99"/>
      <x:c r="X45" s="99"/>
      <x:c r="Y45" s="99"/>
      <x:c r="Z45" s="99"/>
    </x:row>
    <x:row r="46">
      <x:c r="A46" s="99"/>
      <x:c r="B46" s="99"/>
      <x:c r="C46" s="99"/>
      <x:c r="D46" s="99"/>
      <x:c r="E46" s="99"/>
      <x:c r="F46" s="99"/>
      <x:c r="G46" s="99"/>
      <x:c r="H46" s="99"/>
      <x:c r="I46" s="99"/>
      <x:c r="J46" s="99"/>
      <x:c r="K46" s="99"/>
      <x:c r="L46" s="99"/>
      <x:c r="M46" s="99"/>
      <x:c r="N46" s="99"/>
      <x:c r="O46" s="99"/>
      <x:c r="P46" s="99"/>
      <x:c r="Q46" s="99"/>
      <x:c r="R46" s="99"/>
      <x:c r="S46" s="99"/>
      <x:c r="T46" s="99"/>
      <x:c r="U46" s="99"/>
      <x:c r="V46" s="99"/>
      <x:c r="W46" s="99"/>
      <x:c r="X46" s="99"/>
      <x:c r="Y46" s="99"/>
      <x:c r="Z46" s="99"/>
    </x:row>
    <x:row r="47">
      <x:c r="A47" s="99"/>
      <x:c r="B47" s="99"/>
      <x:c r="C47" s="99"/>
      <x:c r="D47" s="99"/>
      <x:c r="E47" s="99"/>
      <x:c r="F47" s="99"/>
      <x:c r="G47" s="99"/>
      <x:c r="H47" s="99"/>
      <x:c r="I47" s="99"/>
      <x:c r="J47" s="99"/>
      <x:c r="K47" s="99"/>
      <x:c r="L47" s="99"/>
      <x:c r="M47" s="99"/>
      <x:c r="N47" s="99"/>
      <x:c r="O47" s="99"/>
      <x:c r="P47" s="99"/>
      <x:c r="Q47" s="99"/>
      <x:c r="R47" s="99"/>
      <x:c r="S47" s="99"/>
      <x:c r="T47" s="99"/>
      <x:c r="U47" s="99"/>
      <x:c r="V47" s="99"/>
      <x:c r="W47" s="99"/>
      <x:c r="X47" s="99"/>
      <x:c r="Y47" s="99"/>
      <x:c r="Z47" s="99"/>
    </x:row>
    <x:row r="48">
      <x:c r="A48" s="99"/>
      <x:c r="B48" s="99"/>
      <x:c r="C48" s="99"/>
      <x:c r="D48" s="99"/>
      <x:c r="E48" s="99"/>
      <x:c r="F48" s="99"/>
      <x:c r="G48" s="99"/>
      <x:c r="H48" s="99"/>
      <x:c r="I48" s="99"/>
      <x:c r="J48" s="99"/>
      <x:c r="K48" s="99"/>
      <x:c r="L48" s="99"/>
      <x:c r="M48" s="99"/>
      <x:c r="N48" s="99"/>
      <x:c r="O48" s="99"/>
      <x:c r="P48" s="99"/>
      <x:c r="Q48" s="99"/>
      <x:c r="R48" s="99"/>
      <x:c r="S48" s="99"/>
      <x:c r="T48" s="99"/>
      <x:c r="U48" s="99"/>
      <x:c r="V48" s="99"/>
      <x:c r="W48" s="99"/>
      <x:c r="X48" s="99"/>
      <x:c r="Y48" s="99"/>
      <x:c r="Z48" s="99"/>
    </x:row>
    <x:row r="49">
      <x:c r="A49" s="99"/>
      <x:c r="B49" s="99"/>
      <x:c r="C49" s="99"/>
      <x:c r="D49" s="99"/>
      <x:c r="E49" s="99"/>
      <x:c r="F49" s="99"/>
      <x:c r="G49" s="99"/>
      <x:c r="H49" s="99"/>
      <x:c r="I49" s="99"/>
      <x:c r="J49" s="99"/>
      <x:c r="K49" s="99"/>
      <x:c r="L49" s="99"/>
      <x:c r="M49" s="99"/>
      <x:c r="N49" s="99"/>
      <x:c r="O49" s="99"/>
      <x:c r="P49" s="99"/>
      <x:c r="Q49" s="99"/>
      <x:c r="R49" s="99"/>
      <x:c r="S49" s="99"/>
      <x:c r="T49" s="99"/>
      <x:c r="U49" s="99"/>
      <x:c r="V49" s="99"/>
      <x:c r="W49" s="99"/>
      <x:c r="X49" s="99"/>
      <x:c r="Y49" s="99"/>
      <x:c r="Z49" s="99"/>
    </x:row>
    <x:row r="50">
      <x:c r="A50" s="99"/>
      <x:c r="B50" s="99"/>
      <x:c r="C50" s="99"/>
      <x:c r="D50" s="99"/>
      <x:c r="E50" s="99"/>
      <x:c r="F50" s="99"/>
      <x:c r="G50" s="99"/>
      <x:c r="H50" s="99"/>
      <x:c r="I50" s="99"/>
      <x:c r="J50" s="99"/>
      <x:c r="K50" s="99"/>
      <x:c r="L50" s="99"/>
      <x:c r="M50" s="99"/>
      <x:c r="N50" s="99"/>
      <x:c r="O50" s="99"/>
      <x:c r="P50" s="99"/>
      <x:c r="Q50" s="99"/>
      <x:c r="R50" s="99"/>
      <x:c r="S50" s="99"/>
      <x:c r="T50" s="99"/>
      <x:c r="U50" s="99"/>
      <x:c r="V50" s="99"/>
      <x:c r="W50" s="99"/>
      <x:c r="X50" s="99"/>
      <x:c r="Y50" s="99"/>
      <x:c r="Z50" s="99"/>
    </x:row>
    <x:row r="51">
      <x:c r="A51" s="99"/>
      <x:c r="B51" s="99"/>
      <x:c r="C51" s="99"/>
      <x:c r="D51" s="99"/>
      <x:c r="E51" s="99"/>
      <x:c r="F51" s="99"/>
      <x:c r="G51" s="99"/>
      <x:c r="H51" s="99"/>
      <x:c r="I51" s="99"/>
      <x:c r="J51" s="99"/>
      <x:c r="K51" s="99"/>
      <x:c r="L51" s="99"/>
      <x:c r="M51" s="99"/>
      <x:c r="N51" s="99"/>
      <x:c r="O51" s="99"/>
      <x:c r="P51" s="99"/>
      <x:c r="Q51" s="99"/>
      <x:c r="R51" s="99"/>
      <x:c r="S51" s="99"/>
      <x:c r="T51" s="99"/>
      <x:c r="U51" s="99"/>
      <x:c r="V51" s="99"/>
      <x:c r="W51" s="99"/>
      <x:c r="X51" s="99"/>
      <x:c r="Y51" s="99"/>
      <x:c r="Z51" s="99"/>
    </x:row>
    <x:row r="52">
      <x:c r="A52" s="99"/>
      <x:c r="B52" s="99"/>
      <x:c r="C52" s="99"/>
      <x:c r="D52" s="99"/>
      <x:c r="E52" s="99"/>
      <x:c r="F52" s="99"/>
      <x:c r="G52" s="99"/>
      <x:c r="H52" s="99"/>
      <x:c r="I52" s="99"/>
      <x:c r="J52" s="99"/>
      <x:c r="K52" s="99"/>
      <x:c r="L52" s="99"/>
      <x:c r="M52" s="99"/>
      <x:c r="N52" s="99"/>
      <x:c r="O52" s="99"/>
      <x:c r="P52" s="99"/>
      <x:c r="Q52" s="99"/>
      <x:c r="R52" s="99"/>
      <x:c r="S52" s="99"/>
      <x:c r="T52" s="99"/>
      <x:c r="U52" s="99"/>
      <x:c r="V52" s="99"/>
      <x:c r="W52" s="99"/>
      <x:c r="X52" s="99"/>
      <x:c r="Y52" s="99"/>
      <x:c r="Z52" s="99"/>
    </x:row>
    <x:row r="53">
      <x:c r="A53" s="99"/>
      <x:c r="B53" s="99"/>
      <x:c r="C53" s="99"/>
      <x:c r="D53" s="99"/>
      <x:c r="E53" s="99"/>
      <x:c r="F53" s="99"/>
      <x:c r="G53" s="99"/>
      <x:c r="H53" s="99"/>
      <x:c r="I53" s="99"/>
      <x:c r="J53" s="99"/>
      <x:c r="K53" s="99"/>
      <x:c r="L53" s="99"/>
      <x:c r="M53" s="99"/>
      <x:c r="N53" s="99"/>
      <x:c r="O53" s="99"/>
      <x:c r="P53" s="99"/>
      <x:c r="Q53" s="99"/>
      <x:c r="R53" s="99"/>
      <x:c r="S53" s="99"/>
      <x:c r="T53" s="99"/>
      <x:c r="U53" s="99"/>
      <x:c r="V53" s="99"/>
      <x:c r="W53" s="99"/>
      <x:c r="X53" s="99"/>
      <x:c r="Y53" s="99"/>
      <x:c r="Z53" s="99"/>
    </x:row>
    <x:row r="54">
      <x:c r="A54" s="99"/>
      <x:c r="B54" s="99"/>
      <x:c r="C54" s="99"/>
      <x:c r="D54" s="99"/>
      <x:c r="E54" s="99"/>
      <x:c r="F54" s="99"/>
      <x:c r="G54" s="99"/>
      <x:c r="H54" s="99"/>
      <x:c r="I54" s="99"/>
      <x:c r="J54" s="99"/>
      <x:c r="K54" s="99"/>
      <x:c r="L54" s="99"/>
      <x:c r="M54" s="99"/>
      <x:c r="N54" s="99"/>
      <x:c r="O54" s="99"/>
      <x:c r="P54" s="99"/>
      <x:c r="Q54" s="99"/>
      <x:c r="R54" s="99"/>
      <x:c r="S54" s="99"/>
      <x:c r="T54" s="99"/>
      <x:c r="U54" s="99"/>
      <x:c r="V54" s="99"/>
      <x:c r="W54" s="99"/>
      <x:c r="X54" s="99"/>
      <x:c r="Y54" s="99"/>
      <x:c r="Z54" s="99"/>
    </x:row>
    <x:row r="55">
      <x:c r="A55" s="99"/>
      <x:c r="B55" s="99"/>
      <x:c r="C55" s="99"/>
      <x:c r="D55" s="99"/>
      <x:c r="E55" s="99"/>
      <x:c r="F55" s="99"/>
      <x:c r="G55" s="99"/>
      <x:c r="H55" s="99"/>
      <x:c r="I55" s="99"/>
      <x:c r="J55" s="99"/>
      <x:c r="K55" s="99"/>
      <x:c r="L55" s="99"/>
      <x:c r="M55" s="99"/>
      <x:c r="N55" s="99"/>
      <x:c r="O55" s="99"/>
      <x:c r="P55" s="99"/>
      <x:c r="Q55" s="99"/>
      <x:c r="R55" s="99"/>
      <x:c r="S55" s="99"/>
      <x:c r="T55" s="99"/>
      <x:c r="U55" s="99"/>
      <x:c r="V55" s="99"/>
      <x:c r="W55" s="99"/>
      <x:c r="X55" s="99"/>
      <x:c r="Y55" s="99"/>
      <x:c r="Z55" s="99"/>
    </x:row>
    <x:row r="56">
      <x:c r="A56" s="99"/>
      <x:c r="B56" s="99"/>
      <x:c r="C56" s="99"/>
      <x:c r="D56" s="99"/>
      <x:c r="E56" s="99"/>
      <x:c r="F56" s="99"/>
      <x:c r="G56" s="99"/>
      <x:c r="H56" s="99"/>
      <x:c r="I56" s="99"/>
      <x:c r="J56" s="99"/>
      <x:c r="K56" s="99"/>
      <x:c r="L56" s="99"/>
      <x:c r="M56" s="99"/>
      <x:c r="N56" s="99"/>
      <x:c r="O56" s="99"/>
      <x:c r="P56" s="99"/>
      <x:c r="Q56" s="99"/>
      <x:c r="R56" s="99"/>
      <x:c r="S56" s="99"/>
      <x:c r="T56" s="99"/>
      <x:c r="U56" s="99"/>
      <x:c r="V56" s="99"/>
      <x:c r="W56" s="99"/>
      <x:c r="X56" s="99"/>
      <x:c r="Y56" s="99"/>
      <x:c r="Z56" s="99"/>
    </x:row>
    <x:row r="57">
      <x:c r="A57" s="99"/>
      <x:c r="B57" s="99"/>
      <x:c r="C57" s="99"/>
      <x:c r="D57" s="99"/>
      <x:c r="E57" s="99"/>
      <x:c r="F57" s="99"/>
      <x:c r="G57" s="99"/>
      <x:c r="H57" s="99"/>
      <x:c r="I57" s="99"/>
      <x:c r="J57" s="99"/>
      <x:c r="K57" s="99"/>
      <x:c r="L57" s="99"/>
      <x:c r="M57" s="99"/>
      <x:c r="N57" s="99"/>
      <x:c r="O57" s="99"/>
      <x:c r="P57" s="99"/>
      <x:c r="Q57" s="99"/>
      <x:c r="R57" s="99"/>
      <x:c r="S57" s="99"/>
      <x:c r="T57" s="99"/>
      <x:c r="U57" s="99"/>
      <x:c r="V57" s="99"/>
      <x:c r="W57" s="99"/>
      <x:c r="X57" s="99"/>
      <x:c r="Y57" s="99"/>
      <x:c r="Z57" s="99"/>
    </x:row>
    <x:row r="58">
      <x:c r="A58" s="99"/>
      <x:c r="B58" s="99"/>
      <x:c r="C58" s="99"/>
      <x:c r="D58" s="99"/>
      <x:c r="E58" s="99"/>
      <x:c r="F58" s="99"/>
      <x:c r="G58" s="99"/>
      <x:c r="H58" s="99"/>
      <x:c r="I58" s="99"/>
      <x:c r="J58" s="99"/>
      <x:c r="K58" s="99"/>
      <x:c r="L58" s="99"/>
      <x:c r="M58" s="99"/>
      <x:c r="N58" s="99"/>
      <x:c r="O58" s="99"/>
      <x:c r="P58" s="99"/>
      <x:c r="Q58" s="99"/>
      <x:c r="R58" s="99"/>
      <x:c r="S58" s="99"/>
      <x:c r="T58" s="99"/>
      <x:c r="U58" s="99"/>
      <x:c r="V58" s="99"/>
      <x:c r="W58" s="99"/>
      <x:c r="X58" s="99"/>
      <x:c r="Y58" s="99"/>
      <x:c r="Z58" s="99"/>
    </x:row>
    <x:row r="59">
      <x:c r="A59" s="99"/>
      <x:c r="B59" s="99"/>
      <x:c r="C59" s="99"/>
      <x:c r="D59" s="99"/>
      <x:c r="E59" s="99"/>
      <x:c r="F59" s="99"/>
      <x:c r="G59" s="99"/>
      <x:c r="H59" s="99"/>
      <x:c r="I59" s="99"/>
      <x:c r="J59" s="99"/>
      <x:c r="K59" s="99"/>
      <x:c r="L59" s="99"/>
      <x:c r="M59" s="99"/>
      <x:c r="N59" s="99"/>
      <x:c r="O59" s="99"/>
      <x:c r="P59" s="99"/>
      <x:c r="Q59" s="99"/>
      <x:c r="R59" s="99"/>
      <x:c r="S59" s="99"/>
      <x:c r="T59" s="99"/>
      <x:c r="U59" s="99"/>
      <x:c r="V59" s="99"/>
      <x:c r="W59" s="99"/>
      <x:c r="X59" s="99"/>
      <x:c r="Y59" s="99"/>
      <x:c r="Z59" s="99"/>
    </x:row>
    <x:row r="60">
      <x:c r="A60" s="99"/>
      <x:c r="B60" s="99"/>
      <x:c r="C60" s="99"/>
      <x:c r="D60" s="99"/>
      <x:c r="E60" s="99"/>
      <x:c r="F60" s="99"/>
      <x:c r="G60" s="99"/>
      <x:c r="H60" s="99"/>
      <x:c r="I60" s="99"/>
      <x:c r="J60" s="99"/>
      <x:c r="K60" s="99"/>
      <x:c r="L60" s="99"/>
      <x:c r="M60" s="99"/>
      <x:c r="N60" s="99"/>
      <x:c r="O60" s="99"/>
      <x:c r="P60" s="99"/>
      <x:c r="Q60" s="99"/>
      <x:c r="R60" s="99"/>
      <x:c r="S60" s="99"/>
      <x:c r="T60" s="99"/>
      <x:c r="U60" s="99"/>
      <x:c r="V60" s="99"/>
      <x:c r="W60" s="99"/>
      <x:c r="X60" s="99"/>
      <x:c r="Y60" s="99"/>
      <x:c r="Z60" s="99"/>
    </x:row>
    <x:row r="61">
      <x:c r="A61" s="99"/>
      <x:c r="B61" s="99"/>
      <x:c r="C61" s="99"/>
      <x:c r="D61" s="99"/>
      <x:c r="E61" s="99"/>
      <x:c r="F61" s="99"/>
      <x:c r="G61" s="99"/>
      <x:c r="H61" s="99"/>
      <x:c r="I61" s="99"/>
      <x:c r="J61" s="99"/>
      <x:c r="K61" s="99"/>
      <x:c r="L61" s="99"/>
      <x:c r="M61" s="99"/>
      <x:c r="N61" s="99"/>
      <x:c r="O61" s="99"/>
      <x:c r="P61" s="99"/>
      <x:c r="Q61" s="99"/>
      <x:c r="R61" s="99"/>
      <x:c r="S61" s="99"/>
      <x:c r="T61" s="99"/>
      <x:c r="U61" s="99"/>
      <x:c r="V61" s="99"/>
      <x:c r="W61" s="99"/>
      <x:c r="X61" s="99"/>
      <x:c r="Y61" s="99"/>
      <x:c r="Z61" s="99"/>
    </x:row>
    <x:row r="62">
      <x:c r="A62" s="99"/>
      <x:c r="B62" s="99"/>
      <x:c r="C62" s="99"/>
      <x:c r="D62" s="99"/>
      <x:c r="E62" s="99"/>
      <x:c r="F62" s="99"/>
      <x:c r="G62" s="99"/>
      <x:c r="H62" s="99"/>
      <x:c r="I62" s="99"/>
      <x:c r="J62" s="99"/>
      <x:c r="K62" s="99"/>
      <x:c r="L62" s="99"/>
      <x:c r="M62" s="99"/>
      <x:c r="N62" s="99"/>
      <x:c r="O62" s="99"/>
      <x:c r="P62" s="99"/>
      <x:c r="Q62" s="99"/>
      <x:c r="R62" s="99"/>
      <x:c r="S62" s="99"/>
      <x:c r="T62" s="99"/>
      <x:c r="U62" s="99"/>
      <x:c r="V62" s="99"/>
      <x:c r="W62" s="99"/>
      <x:c r="X62" s="99"/>
      <x:c r="Y62" s="99"/>
      <x:c r="Z62" s="99"/>
    </x:row>
    <x:row r="63">
      <x:c r="A63" s="99"/>
      <x:c r="B63" s="99"/>
      <x:c r="C63" s="99"/>
      <x:c r="D63" s="99"/>
      <x:c r="E63" s="99"/>
      <x:c r="F63" s="99"/>
      <x:c r="G63" s="99"/>
      <x:c r="H63" s="99"/>
      <x:c r="I63" s="99"/>
      <x:c r="J63" s="99"/>
      <x:c r="K63" s="99"/>
      <x:c r="L63" s="99"/>
      <x:c r="M63" s="99"/>
      <x:c r="N63" s="99"/>
      <x:c r="O63" s="99"/>
      <x:c r="P63" s="99"/>
      <x:c r="Q63" s="99"/>
      <x:c r="R63" s="99"/>
      <x:c r="S63" s="99"/>
      <x:c r="T63" s="99"/>
      <x:c r="U63" s="99"/>
      <x:c r="V63" s="99"/>
      <x:c r="W63" s="99"/>
      <x:c r="X63" s="99"/>
      <x:c r="Y63" s="99"/>
      <x:c r="Z63" s="99"/>
    </x:row>
    <x:row r="64">
      <x:c r="A64" s="99"/>
      <x:c r="B64" s="99"/>
      <x:c r="C64" s="99"/>
      <x:c r="D64" s="99"/>
      <x:c r="E64" s="99"/>
      <x:c r="F64" s="99"/>
      <x:c r="G64" s="99"/>
      <x:c r="H64" s="99"/>
      <x:c r="I64" s="99"/>
      <x:c r="J64" s="99"/>
      <x:c r="K64" s="99"/>
      <x:c r="L64" s="99"/>
      <x:c r="M64" s="99"/>
      <x:c r="N64" s="99"/>
      <x:c r="O64" s="99"/>
      <x:c r="P64" s="99"/>
      <x:c r="Q64" s="99"/>
      <x:c r="R64" s="99"/>
      <x:c r="S64" s="99"/>
      <x:c r="T64" s="99"/>
      <x:c r="U64" s="99"/>
      <x:c r="V64" s="99"/>
      <x:c r="W64" s="99"/>
      <x:c r="X64" s="99"/>
      <x:c r="Y64" s="99"/>
      <x:c r="Z64" s="99"/>
    </x:row>
    <x:row r="65">
      <x:c r="A65" s="99"/>
      <x:c r="B65" s="99"/>
      <x:c r="C65" s="99"/>
      <x:c r="D65" s="99"/>
      <x:c r="E65" s="99"/>
      <x:c r="F65" s="99"/>
      <x:c r="G65" s="99"/>
      <x:c r="H65" s="99"/>
      <x:c r="I65" s="99"/>
      <x:c r="J65" s="99"/>
      <x:c r="K65" s="99"/>
      <x:c r="L65" s="99"/>
      <x:c r="M65" s="99"/>
      <x:c r="N65" s="99"/>
      <x:c r="O65" s="99"/>
      <x:c r="P65" s="99"/>
      <x:c r="Q65" s="99"/>
      <x:c r="R65" s="99"/>
      <x:c r="S65" s="99"/>
      <x:c r="T65" s="99"/>
      <x:c r="U65" s="99"/>
      <x:c r="V65" s="99"/>
      <x:c r="W65" s="99"/>
      <x:c r="X65" s="99"/>
      <x:c r="Y65" s="99"/>
      <x:c r="Z65" s="99"/>
    </x:row>
    <x:row r="66">
      <x:c r="A66" s="99"/>
      <x:c r="B66" s="99"/>
      <x:c r="C66" s="99"/>
      <x:c r="D66" s="99"/>
      <x:c r="E66" s="99"/>
      <x:c r="F66" s="99"/>
      <x:c r="G66" s="99"/>
      <x:c r="H66" s="99"/>
      <x:c r="I66" s="99"/>
      <x:c r="J66" s="99"/>
      <x:c r="K66" s="99"/>
      <x:c r="L66" s="99"/>
      <x:c r="M66" s="99"/>
      <x:c r="N66" s="99"/>
      <x:c r="O66" s="99"/>
      <x:c r="P66" s="99"/>
      <x:c r="Q66" s="99"/>
      <x:c r="R66" s="99"/>
      <x:c r="S66" s="99"/>
      <x:c r="T66" s="99"/>
      <x:c r="U66" s="99"/>
      <x:c r="V66" s="99"/>
      <x:c r="W66" s="99"/>
      <x:c r="X66" s="99"/>
      <x:c r="Y66" s="99"/>
      <x:c r="Z66" s="99"/>
    </x:row>
    <x:row r="67">
      <x:c r="A67" s="99"/>
      <x:c r="B67" s="99"/>
      <x:c r="C67" s="99"/>
      <x:c r="D67" s="99"/>
      <x:c r="E67" s="99"/>
      <x:c r="F67" s="99"/>
      <x:c r="G67" s="99"/>
      <x:c r="H67" s="99"/>
      <x:c r="I67" s="99"/>
      <x:c r="J67" s="99"/>
      <x:c r="K67" s="99"/>
      <x:c r="L67" s="99"/>
      <x:c r="M67" s="99"/>
      <x:c r="N67" s="99"/>
      <x:c r="O67" s="99"/>
      <x:c r="P67" s="99"/>
      <x:c r="Q67" s="99"/>
      <x:c r="R67" s="99"/>
      <x:c r="S67" s="99"/>
      <x:c r="T67" s="99"/>
      <x:c r="U67" s="99"/>
      <x:c r="V67" s="99"/>
      <x:c r="W67" s="99"/>
      <x:c r="X67" s="99"/>
      <x:c r="Y67" s="99"/>
      <x:c r="Z67" s="99"/>
    </x:row>
    <x:row r="68">
      <x:c r="A68" s="99"/>
      <x:c r="B68" s="99"/>
      <x:c r="C68" s="99"/>
      <x:c r="D68" s="99"/>
      <x:c r="E68" s="99"/>
      <x:c r="F68" s="99"/>
      <x:c r="G68" s="99"/>
      <x:c r="H68" s="99"/>
      <x:c r="I68" s="99"/>
      <x:c r="J68" s="99"/>
      <x:c r="K68" s="99"/>
      <x:c r="L68" s="99"/>
      <x:c r="M68" s="99"/>
      <x:c r="N68" s="99"/>
      <x:c r="O68" s="99"/>
      <x:c r="P68" s="99"/>
      <x:c r="Q68" s="99"/>
      <x:c r="R68" s="99"/>
      <x:c r="S68" s="99"/>
      <x:c r="T68" s="99"/>
      <x:c r="U68" s="99"/>
      <x:c r="V68" s="99"/>
      <x:c r="W68" s="99"/>
      <x:c r="X68" s="99"/>
      <x:c r="Y68" s="99"/>
      <x:c r="Z68" s="99"/>
    </x:row>
    <x:row r="69">
      <x:c r="A69" s="99"/>
      <x:c r="B69" s="99"/>
      <x:c r="C69" s="99"/>
      <x:c r="D69" s="99"/>
      <x:c r="E69" s="99"/>
      <x:c r="F69" s="99"/>
      <x:c r="G69" s="99"/>
      <x:c r="H69" s="99"/>
      <x:c r="I69" s="99"/>
      <x:c r="J69" s="99"/>
      <x:c r="K69" s="99"/>
      <x:c r="L69" s="99"/>
      <x:c r="M69" s="99"/>
      <x:c r="N69" s="99"/>
      <x:c r="O69" s="99"/>
      <x:c r="P69" s="99"/>
      <x:c r="Q69" s="99"/>
      <x:c r="R69" s="99"/>
      <x:c r="S69" s="99"/>
      <x:c r="T69" s="99"/>
      <x:c r="U69" s="99"/>
      <x:c r="V69" s="99"/>
      <x:c r="W69" s="99"/>
      <x:c r="X69" s="99"/>
      <x:c r="Y69" s="99"/>
      <x:c r="Z69" s="99"/>
    </x:row>
    <x:row r="70">
      <x:c r="A70" s="99"/>
      <x:c r="B70" s="99"/>
      <x:c r="C70" s="99"/>
      <x:c r="D70" s="99"/>
      <x:c r="E70" s="99"/>
      <x:c r="F70" s="99"/>
      <x:c r="G70" s="99"/>
      <x:c r="H70" s="99"/>
      <x:c r="I70" s="99"/>
      <x:c r="J70" s="99"/>
      <x:c r="K70" s="99"/>
      <x:c r="L70" s="99"/>
      <x:c r="M70" s="99"/>
      <x:c r="N70" s="99"/>
      <x:c r="O70" s="99"/>
      <x:c r="P70" s="99"/>
      <x:c r="Q70" s="99"/>
      <x:c r="R70" s="99"/>
      <x:c r="S70" s="99"/>
      <x:c r="T70" s="99"/>
      <x:c r="U70" s="99"/>
      <x:c r="V70" s="99"/>
      <x:c r="W70" s="99"/>
      <x:c r="X70" s="99"/>
      <x:c r="Y70" s="99"/>
      <x:c r="Z70" s="99"/>
    </x:row>
    <x:row r="71">
      <x:c r="A71" s="99"/>
      <x:c r="B71" s="99"/>
      <x:c r="C71" s="99"/>
      <x:c r="D71" s="99"/>
      <x:c r="E71" s="99"/>
      <x:c r="F71" s="99"/>
      <x:c r="G71" s="99"/>
      <x:c r="H71" s="99"/>
      <x:c r="I71" s="99"/>
      <x:c r="J71" s="99"/>
      <x:c r="K71" s="99"/>
      <x:c r="L71" s="99"/>
      <x:c r="M71" s="99"/>
      <x:c r="N71" s="99"/>
      <x:c r="O71" s="99"/>
      <x:c r="P71" s="99"/>
      <x:c r="Q71" s="99"/>
      <x:c r="R71" s="99"/>
      <x:c r="S71" s="99"/>
      <x:c r="T71" s="99"/>
      <x:c r="U71" s="99"/>
      <x:c r="V71" s="99"/>
      <x:c r="W71" s="99"/>
      <x:c r="X71" s="99"/>
      <x:c r="Y71" s="99"/>
      <x:c r="Z71" s="99"/>
    </x:row>
    <x:row r="72">
      <x:c r="A72" s="99"/>
      <x:c r="B72" s="99"/>
      <x:c r="C72" s="99"/>
      <x:c r="D72" s="99"/>
      <x:c r="E72" s="99"/>
      <x:c r="F72" s="99"/>
      <x:c r="G72" s="99"/>
      <x:c r="H72" s="99"/>
      <x:c r="I72" s="99"/>
      <x:c r="J72" s="99"/>
      <x:c r="K72" s="99"/>
      <x:c r="L72" s="99"/>
      <x:c r="M72" s="99"/>
      <x:c r="N72" s="99"/>
      <x:c r="O72" s="99"/>
      <x:c r="P72" s="99"/>
      <x:c r="Q72" s="99"/>
      <x:c r="R72" s="99"/>
      <x:c r="S72" s="99"/>
      <x:c r="T72" s="99"/>
      <x:c r="U72" s="99"/>
      <x:c r="V72" s="99"/>
      <x:c r="W72" s="99"/>
      <x:c r="X72" s="99"/>
      <x:c r="Y72" s="99"/>
      <x:c r="Z72" s="99"/>
    </x:row>
    <x:row r="73">
      <x:c r="A73" s="99"/>
      <x:c r="B73" s="99"/>
      <x:c r="C73" s="99"/>
      <x:c r="D73" s="99"/>
      <x:c r="E73" s="99"/>
      <x:c r="F73" s="99"/>
      <x:c r="G73" s="99"/>
      <x:c r="H73" s="99"/>
      <x:c r="I73" s="99"/>
      <x:c r="J73" s="99"/>
      <x:c r="K73" s="99"/>
      <x:c r="L73" s="99"/>
      <x:c r="M73" s="99"/>
      <x:c r="N73" s="99"/>
      <x:c r="O73" s="99"/>
      <x:c r="P73" s="99"/>
      <x:c r="Q73" s="99"/>
      <x:c r="R73" s="99"/>
      <x:c r="S73" s="99"/>
      <x:c r="T73" s="99"/>
      <x:c r="U73" s="99"/>
      <x:c r="V73" s="99"/>
      <x:c r="W73" s="99"/>
      <x:c r="X73" s="99"/>
      <x:c r="Y73" s="99"/>
      <x:c r="Z73" s="99"/>
    </x:row>
    <x:row r="74">
      <x:c r="A74" s="99"/>
      <x:c r="B74" s="99"/>
      <x:c r="C74" s="99"/>
      <x:c r="D74" s="99"/>
      <x:c r="E74" s="99"/>
      <x:c r="F74" s="99"/>
      <x:c r="G74" s="99"/>
      <x:c r="H74" s="99"/>
      <x:c r="I74" s="99"/>
      <x:c r="J74" s="99"/>
      <x:c r="K74" s="99"/>
      <x:c r="L74" s="99"/>
      <x:c r="M74" s="99"/>
      <x:c r="N74" s="99"/>
      <x:c r="O74" s="99"/>
      <x:c r="P74" s="99"/>
      <x:c r="Q74" s="99"/>
      <x:c r="R74" s="99"/>
      <x:c r="S74" s="99"/>
      <x:c r="T74" s="99"/>
      <x:c r="U74" s="99"/>
      <x:c r="V74" s="99"/>
      <x:c r="W74" s="99"/>
      <x:c r="X74" s="99"/>
      <x:c r="Y74" s="99"/>
      <x:c r="Z74" s="99"/>
    </x:row>
    <x:row r="75">
      <x:c r="A75" s="99"/>
      <x:c r="B75" s="99"/>
      <x:c r="C75" s="99"/>
      <x:c r="D75" s="99"/>
      <x:c r="E75" s="99"/>
      <x:c r="F75" s="99"/>
      <x:c r="G75" s="99"/>
      <x:c r="H75" s="99"/>
      <x:c r="I75" s="99"/>
      <x:c r="J75" s="99"/>
      <x:c r="K75" s="99"/>
      <x:c r="L75" s="99"/>
      <x:c r="M75" s="99"/>
      <x:c r="N75" s="99"/>
      <x:c r="O75" s="99"/>
      <x:c r="P75" s="99"/>
      <x:c r="Q75" s="99"/>
      <x:c r="R75" s="99"/>
      <x:c r="S75" s="99"/>
      <x:c r="T75" s="99"/>
      <x:c r="U75" s="99"/>
      <x:c r="V75" s="99"/>
      <x:c r="W75" s="99"/>
      <x:c r="X75" s="99"/>
      <x:c r="Y75" s="99"/>
      <x:c r="Z75" s="99"/>
    </x:row>
    <x:row r="76">
      <x:c r="A76" s="99"/>
      <x:c r="B76" s="99"/>
      <x:c r="C76" s="99"/>
      <x:c r="D76" s="99"/>
      <x:c r="E76" s="99"/>
      <x:c r="F76" s="99"/>
      <x:c r="G76" s="99"/>
      <x:c r="H76" s="99"/>
      <x:c r="I76" s="99"/>
      <x:c r="J76" s="99"/>
      <x:c r="K76" s="99"/>
      <x:c r="L76" s="99"/>
      <x:c r="M76" s="99"/>
      <x:c r="N76" s="99"/>
      <x:c r="O76" s="99"/>
      <x:c r="P76" s="99"/>
      <x:c r="Q76" s="99"/>
      <x:c r="R76" s="99"/>
      <x:c r="S76" s="99"/>
      <x:c r="T76" s="99"/>
      <x:c r="U76" s="99"/>
      <x:c r="V76" s="99"/>
      <x:c r="W76" s="99"/>
      <x:c r="X76" s="99"/>
      <x:c r="Y76" s="99"/>
      <x:c r="Z76" s="99"/>
    </x:row>
    <x:row r="77">
      <x:c r="A77" s="99"/>
      <x:c r="B77" s="99"/>
      <x:c r="C77" s="99"/>
      <x:c r="D77" s="99"/>
      <x:c r="E77" s="99"/>
      <x:c r="F77" s="99"/>
      <x:c r="G77" s="99"/>
      <x:c r="H77" s="99"/>
      <x:c r="I77" s="99"/>
      <x:c r="J77" s="99"/>
      <x:c r="K77" s="99"/>
      <x:c r="L77" s="99"/>
      <x:c r="M77" s="99"/>
      <x:c r="N77" s="99"/>
      <x:c r="O77" s="99"/>
      <x:c r="P77" s="99"/>
      <x:c r="Q77" s="99"/>
      <x:c r="R77" s="99"/>
      <x:c r="S77" s="99"/>
      <x:c r="T77" s="99"/>
      <x:c r="U77" s="99"/>
      <x:c r="V77" s="99"/>
      <x:c r="W77" s="99"/>
      <x:c r="X77" s="99"/>
      <x:c r="Y77" s="99"/>
      <x:c r="Z77" s="99"/>
    </x:row>
    <x:row r="78">
      <x:c r="A78" s="99"/>
      <x:c r="B78" s="99"/>
      <x:c r="C78" s="99"/>
      <x:c r="D78" s="99"/>
      <x:c r="E78" s="99"/>
      <x:c r="F78" s="99"/>
      <x:c r="G78" s="99"/>
      <x:c r="H78" s="99"/>
      <x:c r="I78" s="99"/>
      <x:c r="J78" s="99"/>
      <x:c r="K78" s="99"/>
      <x:c r="L78" s="99"/>
      <x:c r="M78" s="99"/>
      <x:c r="N78" s="99"/>
      <x:c r="O78" s="99"/>
      <x:c r="P78" s="99"/>
      <x:c r="Q78" s="99"/>
      <x:c r="R78" s="99"/>
      <x:c r="S78" s="99"/>
      <x:c r="T78" s="99"/>
      <x:c r="U78" s="99"/>
      <x:c r="V78" s="99"/>
      <x:c r="W78" s="99"/>
      <x:c r="X78" s="99"/>
      <x:c r="Y78" s="99"/>
      <x:c r="Z78" s="99"/>
    </x:row>
    <x:row r="79">
      <x:c r="A79" s="99"/>
      <x:c r="B79" s="99"/>
      <x:c r="C79" s="99"/>
      <x:c r="D79" s="99"/>
      <x:c r="E79" s="99"/>
      <x:c r="F79" s="99"/>
      <x:c r="G79" s="99"/>
      <x:c r="H79" s="99"/>
      <x:c r="I79" s="99"/>
      <x:c r="J79" s="99"/>
      <x:c r="K79" s="99"/>
      <x:c r="L79" s="99"/>
      <x:c r="M79" s="99"/>
      <x:c r="N79" s="99"/>
      <x:c r="O79" s="99"/>
      <x:c r="P79" s="99"/>
      <x:c r="Q79" s="99"/>
      <x:c r="R79" s="99"/>
      <x:c r="S79" s="99"/>
      <x:c r="T79" s="99"/>
      <x:c r="U79" s="99"/>
      <x:c r="V79" s="99"/>
      <x:c r="W79" s="99"/>
      <x:c r="X79" s="99"/>
      <x:c r="Y79" s="99"/>
      <x:c r="Z79" s="99"/>
    </x:row>
    <x:row r="80">
      <x:c r="A80" s="99"/>
      <x:c r="B80" s="99"/>
      <x:c r="C80" s="99"/>
      <x:c r="D80" s="99"/>
      <x:c r="E80" s="99"/>
      <x:c r="F80" s="99"/>
      <x:c r="G80" s="99"/>
      <x:c r="H80" s="99"/>
      <x:c r="I80" s="99"/>
      <x:c r="J80" s="99"/>
      <x:c r="K80" s="99"/>
      <x:c r="L80" s="99"/>
      <x:c r="M80" s="99"/>
      <x:c r="N80" s="99"/>
      <x:c r="O80" s="99"/>
      <x:c r="P80" s="99"/>
      <x:c r="Q80" s="99"/>
      <x:c r="R80" s="99"/>
      <x:c r="S80" s="99"/>
      <x:c r="T80" s="99"/>
      <x:c r="U80" s="99"/>
      <x:c r="V80" s="99"/>
      <x:c r="W80" s="99"/>
      <x:c r="X80" s="99"/>
      <x:c r="Y80" s="99"/>
      <x:c r="Z80" s="99"/>
    </x:row>
    <x:row r="81">
      <x:c r="A81" s="99"/>
      <x:c r="B81" s="99"/>
      <x:c r="C81" s="99"/>
      <x:c r="D81" s="99"/>
      <x:c r="E81" s="99"/>
      <x:c r="F81" s="99"/>
      <x:c r="G81" s="99"/>
      <x:c r="H81" s="99"/>
      <x:c r="I81" s="99"/>
      <x:c r="J81" s="99"/>
      <x:c r="K81" s="99"/>
      <x:c r="L81" s="99"/>
      <x:c r="M81" s="99"/>
      <x:c r="N81" s="99"/>
      <x:c r="O81" s="99"/>
      <x:c r="P81" s="99"/>
      <x:c r="Q81" s="99"/>
      <x:c r="R81" s="99"/>
      <x:c r="S81" s="99"/>
      <x:c r="T81" s="99"/>
      <x:c r="U81" s="99"/>
      <x:c r="V81" s="99"/>
      <x:c r="W81" s="99"/>
      <x:c r="X81" s="99"/>
      <x:c r="Y81" s="99"/>
      <x:c r="Z81" s="99"/>
    </x:row>
    <x:row r="82">
      <x:c r="A82" s="99"/>
      <x:c r="B82" s="99"/>
      <x:c r="C82" s="99"/>
      <x:c r="D82" s="99"/>
      <x:c r="E82" s="99"/>
      <x:c r="F82" s="99"/>
      <x:c r="G82" s="99"/>
      <x:c r="H82" s="99"/>
      <x:c r="I82" s="99"/>
      <x:c r="J82" s="99"/>
      <x:c r="K82" s="99"/>
      <x:c r="L82" s="99"/>
      <x:c r="M82" s="99"/>
      <x:c r="N82" s="99"/>
      <x:c r="O82" s="99"/>
      <x:c r="P82" s="99"/>
      <x:c r="Q82" s="99"/>
      <x:c r="R82" s="99"/>
      <x:c r="S82" s="99"/>
      <x:c r="T82" s="99"/>
      <x:c r="U82" s="99"/>
      <x:c r="V82" s="99"/>
      <x:c r="W82" s="99"/>
      <x:c r="X82" s="99"/>
      <x:c r="Y82" s="99"/>
      <x:c r="Z82" s="99"/>
    </x:row>
    <x:row r="83">
      <x:c r="A83" s="99"/>
      <x:c r="B83" s="99"/>
      <x:c r="C83" s="99"/>
      <x:c r="D83" s="99"/>
      <x:c r="E83" s="99"/>
      <x:c r="F83" s="99"/>
      <x:c r="G83" s="99"/>
      <x:c r="H83" s="99"/>
      <x:c r="I83" s="99"/>
      <x:c r="J83" s="99"/>
      <x:c r="K83" s="99"/>
      <x:c r="L83" s="99"/>
      <x:c r="M83" s="99"/>
      <x:c r="N83" s="99"/>
      <x:c r="O83" s="99"/>
      <x:c r="P83" s="99"/>
      <x:c r="Q83" s="99"/>
      <x:c r="R83" s="99"/>
      <x:c r="S83" s="99"/>
      <x:c r="T83" s="99"/>
      <x:c r="U83" s="99"/>
      <x:c r="V83" s="99"/>
      <x:c r="W83" s="99"/>
      <x:c r="X83" s="99"/>
      <x:c r="Y83" s="99"/>
      <x:c r="Z83" s="99"/>
    </x:row>
    <x:row r="84">
      <x:c r="A84" s="99"/>
      <x:c r="B84" s="99"/>
      <x:c r="C84" s="99"/>
      <x:c r="D84" s="99"/>
      <x:c r="E84" s="99"/>
      <x:c r="F84" s="99"/>
      <x:c r="G84" s="99"/>
      <x:c r="H84" s="99"/>
      <x:c r="I84" s="99"/>
      <x:c r="J84" s="99"/>
      <x:c r="K84" s="99"/>
      <x:c r="L84" s="99"/>
      <x:c r="M84" s="99"/>
      <x:c r="N84" s="99"/>
      <x:c r="O84" s="99"/>
      <x:c r="P84" s="99"/>
      <x:c r="Q84" s="99"/>
      <x:c r="R84" s="99"/>
      <x:c r="S84" s="99"/>
      <x:c r="T84" s="99"/>
      <x:c r="U84" s="99"/>
      <x:c r="V84" s="99"/>
      <x:c r="W84" s="99"/>
      <x:c r="X84" s="99"/>
      <x:c r="Y84" s="99"/>
      <x:c r="Z84" s="99"/>
    </x:row>
    <x:row r="85">
      <x:c r="A85" s="99"/>
      <x:c r="B85" s="99"/>
      <x:c r="C85" s="99"/>
      <x:c r="D85" s="99"/>
      <x:c r="E85" s="99"/>
      <x:c r="F85" s="99"/>
      <x:c r="G85" s="99"/>
      <x:c r="H85" s="99"/>
      <x:c r="I85" s="99"/>
      <x:c r="J85" s="99"/>
      <x:c r="K85" s="99"/>
      <x:c r="L85" s="99"/>
      <x:c r="M85" s="99"/>
      <x:c r="N85" s="99"/>
      <x:c r="O85" s="99"/>
      <x:c r="P85" s="99"/>
      <x:c r="Q85" s="99"/>
      <x:c r="R85" s="99"/>
      <x:c r="S85" s="99"/>
      <x:c r="T85" s="99"/>
      <x:c r="U85" s="99"/>
      <x:c r="V85" s="99"/>
      <x:c r="W85" s="99"/>
      <x:c r="X85" s="99"/>
      <x:c r="Y85" s="99"/>
      <x:c r="Z85" s="99"/>
    </x:row>
    <x:row r="86">
      <x:c r="A86" s="99"/>
      <x:c r="B86" s="99"/>
      <x:c r="C86" s="99"/>
      <x:c r="D86" s="99"/>
      <x:c r="E86" s="99"/>
      <x:c r="F86" s="99"/>
      <x:c r="G86" s="99"/>
      <x:c r="H86" s="99"/>
      <x:c r="I86" s="99"/>
      <x:c r="J86" s="99"/>
      <x:c r="K86" s="99"/>
      <x:c r="L86" s="99"/>
      <x:c r="M86" s="99"/>
      <x:c r="N86" s="99"/>
      <x:c r="O86" s="99"/>
      <x:c r="P86" s="99"/>
      <x:c r="Q86" s="99"/>
      <x:c r="R86" s="99"/>
      <x:c r="S86" s="99"/>
      <x:c r="T86" s="99"/>
      <x:c r="U86" s="99"/>
      <x:c r="V86" s="99"/>
      <x:c r="W86" s="99"/>
      <x:c r="X86" s="99"/>
      <x:c r="Y86" s="99"/>
      <x:c r="Z86" s="99"/>
    </x:row>
    <x:row r="87">
      <x:c r="A87" s="99"/>
      <x:c r="B87" s="99"/>
      <x:c r="C87" s="99"/>
      <x:c r="D87" s="99"/>
      <x:c r="E87" s="99"/>
      <x:c r="F87" s="99"/>
      <x:c r="G87" s="99"/>
      <x:c r="H87" s="99"/>
      <x:c r="I87" s="99"/>
      <x:c r="J87" s="99"/>
      <x:c r="K87" s="99"/>
      <x:c r="L87" s="99"/>
      <x:c r="M87" s="99"/>
      <x:c r="N87" s="99"/>
      <x:c r="O87" s="99"/>
      <x:c r="P87" s="99"/>
      <x:c r="Q87" s="99"/>
      <x:c r="R87" s="99"/>
      <x:c r="S87" s="99"/>
      <x:c r="T87" s="99"/>
      <x:c r="U87" s="99"/>
      <x:c r="V87" s="99"/>
      <x:c r="W87" s="99"/>
      <x:c r="X87" s="99"/>
      <x:c r="Y87" s="99"/>
      <x:c r="Z87" s="99"/>
    </x:row>
    <x:row r="88">
      <x:c r="A88" s="99"/>
      <x:c r="B88" s="99"/>
      <x:c r="C88" s="99"/>
      <x:c r="D88" s="99"/>
      <x:c r="E88" s="99"/>
      <x:c r="F88" s="99"/>
      <x:c r="G88" s="99"/>
      <x:c r="H88" s="99"/>
      <x:c r="I88" s="99"/>
      <x:c r="J88" s="99"/>
      <x:c r="K88" s="99"/>
      <x:c r="L88" s="99"/>
      <x:c r="M88" s="99"/>
      <x:c r="N88" s="99"/>
      <x:c r="O88" s="99"/>
      <x:c r="P88" s="99"/>
      <x:c r="Q88" s="99"/>
      <x:c r="R88" s="99"/>
      <x:c r="S88" s="99"/>
      <x:c r="T88" s="99"/>
      <x:c r="U88" s="99"/>
      <x:c r="V88" s="99"/>
      <x:c r="W88" s="99"/>
      <x:c r="X88" s="99"/>
      <x:c r="Y88" s="99"/>
      <x:c r="Z88" s="99"/>
    </x:row>
    <x:row r="89">
      <x:c r="A89" s="99"/>
      <x:c r="B89" s="99"/>
      <x:c r="C89" s="99"/>
      <x:c r="D89" s="99"/>
      <x:c r="E89" s="99"/>
      <x:c r="F89" s="99"/>
      <x:c r="G89" s="99"/>
      <x:c r="H89" s="99"/>
      <x:c r="I89" s="99"/>
      <x:c r="J89" s="99"/>
      <x:c r="K89" s="99"/>
      <x:c r="L89" s="99"/>
      <x:c r="M89" s="99"/>
      <x:c r="N89" s="99"/>
      <x:c r="O89" s="99"/>
      <x:c r="P89" s="99"/>
      <x:c r="Q89" s="99"/>
      <x:c r="R89" s="99"/>
      <x:c r="S89" s="99"/>
      <x:c r="T89" s="99"/>
      <x:c r="U89" s="99"/>
      <x:c r="V89" s="99"/>
      <x:c r="W89" s="99"/>
      <x:c r="X89" s="99"/>
      <x:c r="Y89" s="99"/>
      <x:c r="Z89" s="99"/>
    </x:row>
    <x:row r="90">
      <x:c r="A90" s="99"/>
      <x:c r="B90" s="99"/>
      <x:c r="C90" s="99"/>
      <x:c r="D90" s="99"/>
      <x:c r="E90" s="99"/>
      <x:c r="F90" s="99"/>
      <x:c r="G90" s="99"/>
      <x:c r="H90" s="99"/>
      <x:c r="I90" s="99"/>
      <x:c r="J90" s="99"/>
      <x:c r="K90" s="99"/>
      <x:c r="L90" s="99"/>
      <x:c r="M90" s="99"/>
      <x:c r="N90" s="99"/>
      <x:c r="O90" s="99"/>
      <x:c r="P90" s="99"/>
      <x:c r="Q90" s="99"/>
      <x:c r="R90" s="99"/>
      <x:c r="S90" s="99"/>
      <x:c r="T90" s="99"/>
      <x:c r="U90" s="99"/>
      <x:c r="V90" s="99"/>
      <x:c r="W90" s="99"/>
      <x:c r="X90" s="99"/>
      <x:c r="Y90" s="99"/>
      <x:c r="Z90" s="99"/>
    </x:row>
    <x:row r="91">
      <x:c r="A91" s="99"/>
      <x:c r="B91" s="99"/>
      <x:c r="C91" s="99"/>
      <x:c r="D91" s="99"/>
      <x:c r="E91" s="99"/>
      <x:c r="F91" s="99"/>
      <x:c r="G91" s="99"/>
      <x:c r="H91" s="99"/>
      <x:c r="I91" s="99"/>
      <x:c r="J91" s="99"/>
      <x:c r="K91" s="99"/>
      <x:c r="L91" s="99"/>
      <x:c r="M91" s="99"/>
      <x:c r="N91" s="99"/>
      <x:c r="O91" s="99"/>
      <x:c r="P91" s="99"/>
      <x:c r="Q91" s="99"/>
      <x:c r="R91" s="99"/>
      <x:c r="S91" s="99"/>
      <x:c r="T91" s="99"/>
      <x:c r="U91" s="99"/>
      <x:c r="V91" s="99"/>
      <x:c r="W91" s="99"/>
      <x:c r="X91" s="99"/>
      <x:c r="Y91" s="99"/>
      <x:c r="Z91" s="99"/>
    </x:row>
    <x:row r="92">
      <x:c r="A92" s="99"/>
      <x:c r="B92" s="99"/>
      <x:c r="C92" s="99"/>
      <x:c r="D92" s="99"/>
      <x:c r="E92" s="99"/>
      <x:c r="F92" s="99"/>
      <x:c r="G92" s="99"/>
      <x:c r="H92" s="99"/>
      <x:c r="I92" s="99"/>
      <x:c r="J92" s="99"/>
      <x:c r="K92" s="99"/>
      <x:c r="L92" s="99"/>
      <x:c r="M92" s="99"/>
      <x:c r="N92" s="99"/>
      <x:c r="O92" s="99"/>
      <x:c r="P92" s="99"/>
      <x:c r="Q92" s="99"/>
      <x:c r="R92" s="99"/>
      <x:c r="S92" s="99"/>
      <x:c r="T92" s="99"/>
      <x:c r="U92" s="99"/>
      <x:c r="V92" s="99"/>
      <x:c r="W92" s="99"/>
      <x:c r="X92" s="99"/>
      <x:c r="Y92" s="99"/>
      <x:c r="Z92" s="99"/>
    </x:row>
    <x:row r="93">
      <x:c r="A93" s="99"/>
      <x:c r="B93" s="99"/>
      <x:c r="C93" s="99"/>
      <x:c r="D93" s="99"/>
      <x:c r="E93" s="99"/>
      <x:c r="F93" s="99"/>
      <x:c r="G93" s="99"/>
      <x:c r="H93" s="99"/>
      <x:c r="I93" s="99"/>
      <x:c r="J93" s="99"/>
      <x:c r="K93" s="99"/>
      <x:c r="L93" s="99"/>
      <x:c r="M93" s="99"/>
      <x:c r="N93" s="99"/>
      <x:c r="O93" s="99"/>
      <x:c r="P93" s="99"/>
      <x:c r="Q93" s="99"/>
      <x:c r="R93" s="99"/>
      <x:c r="S93" s="99"/>
      <x:c r="T93" s="99"/>
      <x:c r="U93" s="99"/>
      <x:c r="V93" s="99"/>
      <x:c r="W93" s="99"/>
      <x:c r="X93" s="99"/>
      <x:c r="Y93" s="99"/>
      <x:c r="Z93" s="99"/>
    </x:row>
    <x:row r="94">
      <x:c r="A94" s="99"/>
      <x:c r="B94" s="99"/>
      <x:c r="C94" s="99"/>
      <x:c r="D94" s="99"/>
      <x:c r="E94" s="99"/>
      <x:c r="F94" s="99"/>
      <x:c r="G94" s="99"/>
      <x:c r="H94" s="99"/>
      <x:c r="I94" s="99"/>
      <x:c r="J94" s="99"/>
      <x:c r="K94" s="99"/>
      <x:c r="L94" s="99"/>
      <x:c r="M94" s="99"/>
      <x:c r="N94" s="99"/>
      <x:c r="O94" s="99"/>
      <x:c r="P94" s="99"/>
      <x:c r="Q94" s="99"/>
      <x:c r="R94" s="99"/>
      <x:c r="S94" s="99"/>
      <x:c r="T94" s="99"/>
      <x:c r="U94" s="99"/>
      <x:c r="V94" s="99"/>
      <x:c r="W94" s="99"/>
      <x:c r="X94" s="99"/>
      <x:c r="Y94" s="99"/>
      <x:c r="Z94" s="99"/>
    </x:row>
    <x:row r="95">
      <x:c r="A95" s="99"/>
      <x:c r="B95" s="99"/>
      <x:c r="C95" s="99"/>
      <x:c r="D95" s="99"/>
      <x:c r="E95" s="99"/>
      <x:c r="F95" s="99"/>
      <x:c r="G95" s="99"/>
      <x:c r="H95" s="99"/>
      <x:c r="I95" s="99"/>
      <x:c r="J95" s="99"/>
      <x:c r="K95" s="99"/>
      <x:c r="L95" s="99"/>
      <x:c r="M95" s="99"/>
      <x:c r="N95" s="99"/>
      <x:c r="O95" s="99"/>
      <x:c r="P95" s="99"/>
      <x:c r="Q95" s="99"/>
      <x:c r="R95" s="99"/>
      <x:c r="S95" s="99"/>
      <x:c r="T95" s="99"/>
      <x:c r="U95" s="99"/>
      <x:c r="V95" s="99"/>
      <x:c r="W95" s="99"/>
      <x:c r="X95" s="99"/>
      <x:c r="Y95" s="99"/>
      <x:c r="Z95" s="99"/>
    </x:row>
    <x:row r="96">
      <x:c r="A96" s="99"/>
      <x:c r="B96" s="99"/>
      <x:c r="C96" s="99"/>
      <x:c r="D96" s="99"/>
      <x:c r="E96" s="99"/>
      <x:c r="F96" s="99"/>
      <x:c r="G96" s="99"/>
      <x:c r="H96" s="99"/>
      <x:c r="I96" s="99"/>
      <x:c r="J96" s="99"/>
      <x:c r="K96" s="99"/>
      <x:c r="L96" s="99"/>
      <x:c r="M96" s="99"/>
      <x:c r="N96" s="99"/>
      <x:c r="O96" s="99"/>
      <x:c r="P96" s="99"/>
      <x:c r="Q96" s="99"/>
      <x:c r="R96" s="99"/>
      <x:c r="S96" s="99"/>
      <x:c r="T96" s="99"/>
      <x:c r="U96" s="99"/>
      <x:c r="V96" s="99"/>
      <x:c r="W96" s="99"/>
      <x:c r="X96" s="99"/>
      <x:c r="Y96" s="99"/>
      <x:c r="Z96" s="99"/>
    </x:row>
    <x:row r="97">
      <x:c r="A97" s="99"/>
      <x:c r="B97" s="99"/>
      <x:c r="C97" s="99"/>
      <x:c r="D97" s="99"/>
      <x:c r="E97" s="99"/>
      <x:c r="F97" s="99"/>
      <x:c r="G97" s="99"/>
      <x:c r="H97" s="99"/>
      <x:c r="I97" s="99"/>
      <x:c r="J97" s="99"/>
      <x:c r="K97" s="99"/>
      <x:c r="L97" s="99"/>
      <x:c r="M97" s="99"/>
      <x:c r="N97" s="99"/>
      <x:c r="O97" s="99"/>
      <x:c r="P97" s="99"/>
      <x:c r="Q97" s="99"/>
      <x:c r="R97" s="99"/>
      <x:c r="S97" s="99"/>
      <x:c r="T97" s="99"/>
      <x:c r="U97" s="99"/>
      <x:c r="V97" s="99"/>
      <x:c r="W97" s="99"/>
      <x:c r="X97" s="99"/>
      <x:c r="Y97" s="99"/>
      <x:c r="Z97" s="99"/>
    </x:row>
    <x:row r="98">
      <x:c r="A98" s="99"/>
      <x:c r="B98" s="99"/>
      <x:c r="C98" s="99"/>
      <x:c r="D98" s="99"/>
      <x:c r="E98" s="99"/>
      <x:c r="F98" s="99"/>
      <x:c r="G98" s="99"/>
      <x:c r="H98" s="99"/>
      <x:c r="I98" s="99"/>
      <x:c r="J98" s="99"/>
      <x:c r="K98" s="99"/>
      <x:c r="L98" s="99"/>
      <x:c r="M98" s="99"/>
      <x:c r="N98" s="99"/>
      <x:c r="O98" s="99"/>
      <x:c r="P98" s="99"/>
      <x:c r="Q98" s="99"/>
      <x:c r="R98" s="99"/>
      <x:c r="S98" s="99"/>
      <x:c r="T98" s="99"/>
      <x:c r="U98" s="99"/>
      <x:c r="V98" s="99"/>
      <x:c r="W98" s="99"/>
      <x:c r="X98" s="99"/>
      <x:c r="Y98" s="99"/>
      <x:c r="Z98" s="99"/>
    </x:row>
    <x:row r="99">
      <x:c r="A99" s="99"/>
      <x:c r="B99" s="99"/>
      <x:c r="C99" s="99"/>
      <x:c r="D99" s="99"/>
      <x:c r="E99" s="99"/>
      <x:c r="F99" s="99"/>
      <x:c r="G99" s="99"/>
      <x:c r="H99" s="99"/>
      <x:c r="I99" s="99"/>
      <x:c r="J99" s="99"/>
      <x:c r="K99" s="99"/>
      <x:c r="L99" s="99"/>
      <x:c r="M99" s="99"/>
      <x:c r="N99" s="99"/>
      <x:c r="O99" s="99"/>
      <x:c r="P99" s="99"/>
      <x:c r="Q99" s="99"/>
      <x:c r="R99" s="99"/>
      <x:c r="S99" s="99"/>
      <x:c r="T99" s="99"/>
      <x:c r="U99" s="99"/>
      <x:c r="V99" s="99"/>
      <x:c r="W99" s="99"/>
      <x:c r="X99" s="99"/>
      <x:c r="Y99" s="99"/>
      <x:c r="Z99" s="99"/>
    </x:row>
    <x:row r="100">
      <x:c r="A100" s="99"/>
      <x:c r="B100" s="99"/>
      <x:c r="C100" s="99"/>
      <x:c r="D100" s="99"/>
      <x:c r="E100" s="99"/>
      <x:c r="F100" s="99"/>
      <x:c r="G100" s="99"/>
      <x:c r="H100" s="99"/>
      <x:c r="I100" s="99"/>
      <x:c r="J100" s="99"/>
      <x:c r="K100" s="99"/>
      <x:c r="L100" s="99"/>
      <x:c r="M100" s="99"/>
      <x:c r="N100" s="99"/>
      <x:c r="O100" s="99"/>
      <x:c r="P100" s="99"/>
      <x:c r="Q100" s="99"/>
      <x:c r="R100" s="99"/>
      <x:c r="S100" s="99"/>
      <x:c r="T100" s="99"/>
      <x:c r="U100" s="99"/>
      <x:c r="V100" s="99"/>
      <x:c r="W100" s="99"/>
      <x:c r="X100" s="99"/>
      <x:c r="Y100" s="99"/>
      <x:c r="Z100" s="99"/>
    </x:row>
    <x:row r="101">
      <x:c r="A101" s="99"/>
      <x:c r="B101" s="99"/>
      <x:c r="C101" s="99"/>
      <x:c r="D101" s="99"/>
      <x:c r="E101" s="99"/>
      <x:c r="F101" s="99"/>
      <x:c r="G101" s="99"/>
      <x:c r="H101" s="99"/>
      <x:c r="I101" s="99"/>
      <x:c r="J101" s="99"/>
      <x:c r="K101" s="99"/>
      <x:c r="L101" s="99"/>
      <x:c r="M101" s="99"/>
      <x:c r="N101" s="99"/>
      <x:c r="O101" s="99"/>
      <x:c r="P101" s="99"/>
      <x:c r="Q101" s="99"/>
      <x:c r="R101" s="99"/>
      <x:c r="S101" s="99"/>
      <x:c r="T101" s="99"/>
      <x:c r="U101" s="99"/>
      <x:c r="V101" s="99"/>
      <x:c r="W101" s="99"/>
      <x:c r="X101" s="99"/>
      <x:c r="Y101" s="99"/>
      <x:c r="Z101" s="99"/>
    </x:row>
    <x:row r="102">
      <x:c r="A102" s="99"/>
      <x:c r="B102" s="99"/>
      <x:c r="C102" s="99"/>
      <x:c r="D102" s="99"/>
      <x:c r="E102" s="99"/>
      <x:c r="F102" s="99"/>
      <x:c r="G102" s="99"/>
      <x:c r="H102" s="99"/>
      <x:c r="I102" s="99"/>
      <x:c r="J102" s="99"/>
      <x:c r="K102" s="99"/>
      <x:c r="L102" s="99"/>
      <x:c r="M102" s="99"/>
      <x:c r="N102" s="99"/>
      <x:c r="O102" s="99"/>
      <x:c r="P102" s="99"/>
      <x:c r="Q102" s="99"/>
      <x:c r="R102" s="99"/>
      <x:c r="S102" s="99"/>
      <x:c r="T102" s="99"/>
      <x:c r="U102" s="99"/>
      <x:c r="V102" s="99"/>
      <x:c r="W102" s="99"/>
      <x:c r="X102" s="99"/>
      <x:c r="Y102" s="99"/>
      <x:c r="Z102" s="99"/>
    </x:row>
    <x:row r="103">
      <x:c r="A103" s="99"/>
      <x:c r="B103" s="99"/>
      <x:c r="C103" s="99"/>
      <x:c r="D103" s="99"/>
      <x:c r="E103" s="99"/>
      <x:c r="F103" s="99"/>
      <x:c r="G103" s="99"/>
      <x:c r="H103" s="99"/>
      <x:c r="I103" s="99"/>
      <x:c r="J103" s="99"/>
      <x:c r="K103" s="99"/>
      <x:c r="L103" s="99"/>
      <x:c r="M103" s="99"/>
      <x:c r="N103" s="99"/>
      <x:c r="O103" s="99"/>
      <x:c r="P103" s="99"/>
      <x:c r="Q103" s="99"/>
      <x:c r="R103" s="99"/>
      <x:c r="S103" s="99"/>
      <x:c r="T103" s="99"/>
      <x:c r="U103" s="99"/>
      <x:c r="V103" s="99"/>
      <x:c r="W103" s="99"/>
      <x:c r="X103" s="99"/>
      <x:c r="Y103" s="99"/>
      <x:c r="Z103" s="99"/>
    </x:row>
    <x:row r="104">
      <x:c r="A104" s="99"/>
      <x:c r="B104" s="99"/>
      <x:c r="C104" s="99"/>
      <x:c r="D104" s="99"/>
      <x:c r="E104" s="99"/>
      <x:c r="F104" s="99"/>
      <x:c r="G104" s="99"/>
      <x:c r="H104" s="99"/>
      <x:c r="I104" s="99"/>
      <x:c r="J104" s="99"/>
      <x:c r="K104" s="99"/>
      <x:c r="L104" s="99"/>
      <x:c r="M104" s="99"/>
      <x:c r="N104" s="99"/>
      <x:c r="O104" s="99"/>
      <x:c r="P104" s="99"/>
      <x:c r="Q104" s="99"/>
      <x:c r="R104" s="99"/>
      <x:c r="S104" s="99"/>
      <x:c r="T104" s="99"/>
      <x:c r="U104" s="99"/>
      <x:c r="V104" s="99"/>
      <x:c r="W104" s="99"/>
      <x:c r="X104" s="99"/>
      <x:c r="Y104" s="99"/>
      <x:c r="Z104" s="99"/>
    </x:row>
    <x:row r="105">
      <x:c r="A105" s="99"/>
      <x:c r="B105" s="99"/>
      <x:c r="C105" s="99"/>
      <x:c r="D105" s="99"/>
      <x:c r="E105" s="99"/>
      <x:c r="F105" s="99"/>
      <x:c r="G105" s="99"/>
      <x:c r="H105" s="99"/>
      <x:c r="I105" s="99"/>
      <x:c r="J105" s="99"/>
      <x:c r="K105" s="99"/>
      <x:c r="L105" s="99"/>
      <x:c r="M105" s="99"/>
      <x:c r="N105" s="99"/>
      <x:c r="O105" s="99"/>
      <x:c r="P105" s="99"/>
      <x:c r="Q105" s="99"/>
      <x:c r="R105" s="99"/>
      <x:c r="S105" s="99"/>
      <x:c r="T105" s="99"/>
      <x:c r="U105" s="99"/>
      <x:c r="V105" s="99"/>
      <x:c r="W105" s="99"/>
      <x:c r="X105" s="99"/>
      <x:c r="Y105" s="99"/>
      <x:c r="Z105" s="99"/>
    </x:row>
    <x:row r="106">
      <x:c r="A106" s="99"/>
      <x:c r="B106" s="99"/>
      <x:c r="C106" s="99"/>
      <x:c r="D106" s="99"/>
      <x:c r="E106" s="99"/>
      <x:c r="F106" s="99"/>
      <x:c r="G106" s="99"/>
      <x:c r="H106" s="99"/>
      <x:c r="I106" s="99"/>
      <x:c r="J106" s="99"/>
      <x:c r="K106" s="99"/>
      <x:c r="L106" s="99"/>
      <x:c r="M106" s="99"/>
      <x:c r="N106" s="99"/>
      <x:c r="O106" s="99"/>
      <x:c r="P106" s="99"/>
      <x:c r="Q106" s="99"/>
      <x:c r="R106" s="99"/>
      <x:c r="S106" s="99"/>
      <x:c r="T106" s="99"/>
      <x:c r="U106" s="99"/>
      <x:c r="V106" s="99"/>
      <x:c r="W106" s="99"/>
      <x:c r="X106" s="99"/>
      <x:c r="Y106" s="99"/>
      <x:c r="Z106" s="99"/>
    </x:row>
    <x:row r="107">
      <x:c r="A107" s="99"/>
      <x:c r="B107" s="99"/>
      <x:c r="C107" s="99"/>
      <x:c r="D107" s="99"/>
      <x:c r="E107" s="99"/>
      <x:c r="F107" s="99"/>
      <x:c r="G107" s="99"/>
      <x:c r="H107" s="99"/>
      <x:c r="I107" s="99"/>
      <x:c r="J107" s="99"/>
      <x:c r="K107" s="99"/>
      <x:c r="L107" s="99"/>
      <x:c r="M107" s="99"/>
      <x:c r="N107" s="99"/>
      <x:c r="O107" s="99"/>
      <x:c r="P107" s="99"/>
      <x:c r="Q107" s="99"/>
      <x:c r="R107" s="99"/>
      <x:c r="S107" s="99"/>
      <x:c r="T107" s="99"/>
      <x:c r="U107" s="99"/>
      <x:c r="V107" s="99"/>
      <x:c r="W107" s="99"/>
      <x:c r="X107" s="99"/>
      <x:c r="Y107" s="99"/>
      <x:c r="Z107" s="99"/>
    </x:row>
    <x:row r="108">
      <x:c r="A108" s="99"/>
      <x:c r="B108" s="99"/>
      <x:c r="C108" s="99"/>
      <x:c r="D108" s="99"/>
      <x:c r="E108" s="99"/>
      <x:c r="F108" s="99"/>
      <x:c r="G108" s="99"/>
      <x:c r="H108" s="99"/>
      <x:c r="I108" s="99"/>
      <x:c r="J108" s="99"/>
      <x:c r="K108" s="99"/>
      <x:c r="L108" s="99"/>
      <x:c r="M108" s="99"/>
      <x:c r="N108" s="99"/>
      <x:c r="O108" s="99"/>
      <x:c r="P108" s="99"/>
      <x:c r="Q108" s="99"/>
      <x:c r="R108" s="99"/>
      <x:c r="S108" s="99"/>
      <x:c r="T108" s="99"/>
      <x:c r="U108" s="99"/>
      <x:c r="V108" s="99"/>
      <x:c r="W108" s="99"/>
      <x:c r="X108" s="99"/>
      <x:c r="Y108" s="99"/>
      <x:c r="Z108" s="99"/>
    </x:row>
    <x:row r="109">
      <x:c r="A109" s="99"/>
      <x:c r="B109" s="99"/>
      <x:c r="C109" s="99"/>
      <x:c r="D109" s="99"/>
      <x:c r="E109" s="99"/>
      <x:c r="F109" s="99"/>
      <x:c r="G109" s="99"/>
      <x:c r="H109" s="99"/>
      <x:c r="I109" s="99"/>
      <x:c r="J109" s="99"/>
      <x:c r="K109" s="99"/>
      <x:c r="L109" s="99"/>
      <x:c r="M109" s="99"/>
      <x:c r="N109" s="99"/>
      <x:c r="O109" s="99"/>
      <x:c r="P109" s="99"/>
      <x:c r="Q109" s="99"/>
      <x:c r="R109" s="99"/>
      <x:c r="S109" s="99"/>
      <x:c r="T109" s="99"/>
      <x:c r="U109" s="99"/>
      <x:c r="V109" s="99"/>
      <x:c r="W109" s="99"/>
      <x:c r="X109" s="99"/>
      <x:c r="Y109" s="99"/>
      <x:c r="Z109" s="99"/>
    </x:row>
    <x:row r="110">
      <x:c r="A110" s="99"/>
      <x:c r="B110" s="99"/>
      <x:c r="C110" s="99"/>
      <x:c r="D110" s="99"/>
      <x:c r="E110" s="99"/>
      <x:c r="F110" s="99"/>
      <x:c r="G110" s="99"/>
      <x:c r="H110" s="99"/>
      <x:c r="I110" s="99"/>
      <x:c r="J110" s="99"/>
      <x:c r="K110" s="99"/>
      <x:c r="L110" s="99"/>
      <x:c r="M110" s="99"/>
      <x:c r="N110" s="99"/>
      <x:c r="O110" s="99"/>
      <x:c r="P110" s="99"/>
      <x:c r="Q110" s="99"/>
      <x:c r="R110" s="99"/>
      <x:c r="S110" s="99"/>
      <x:c r="T110" s="99"/>
      <x:c r="U110" s="99"/>
      <x:c r="V110" s="99"/>
      <x:c r="W110" s="99"/>
      <x:c r="X110" s="99"/>
      <x:c r="Y110" s="99"/>
      <x:c r="Z110" s="99"/>
    </x:row>
    <x:row r="111">
      <x:c r="A111" s="99"/>
      <x:c r="B111" s="99"/>
      <x:c r="C111" s="99"/>
      <x:c r="D111" s="99"/>
      <x:c r="E111" s="99"/>
      <x:c r="F111" s="99"/>
      <x:c r="G111" s="99"/>
      <x:c r="H111" s="99"/>
      <x:c r="I111" s="99"/>
      <x:c r="J111" s="99"/>
      <x:c r="K111" s="99"/>
      <x:c r="L111" s="99"/>
      <x:c r="M111" s="99"/>
      <x:c r="N111" s="99"/>
      <x:c r="O111" s="99"/>
      <x:c r="P111" s="99"/>
      <x:c r="Q111" s="99"/>
      <x:c r="R111" s="99"/>
      <x:c r="S111" s="99"/>
      <x:c r="T111" s="99"/>
      <x:c r="U111" s="99"/>
      <x:c r="V111" s="99"/>
      <x:c r="W111" s="99"/>
      <x:c r="X111" s="99"/>
      <x:c r="Y111" s="99"/>
      <x:c r="Z111" s="99"/>
    </x:row>
    <x:row r="112">
      <x:c r="A112" s="99"/>
      <x:c r="B112" s="99"/>
      <x:c r="C112" s="99"/>
      <x:c r="D112" s="99"/>
      <x:c r="E112" s="99"/>
      <x:c r="F112" s="99"/>
      <x:c r="G112" s="99"/>
      <x:c r="H112" s="99"/>
      <x:c r="I112" s="99"/>
      <x:c r="J112" s="99"/>
      <x:c r="K112" s="99"/>
      <x:c r="L112" s="99"/>
      <x:c r="M112" s="99"/>
      <x:c r="N112" s="99"/>
      <x:c r="O112" s="99"/>
      <x:c r="P112" s="99"/>
      <x:c r="Q112" s="99"/>
      <x:c r="R112" s="99"/>
      <x:c r="S112" s="99"/>
      <x:c r="T112" s="99"/>
      <x:c r="U112" s="99"/>
      <x:c r="V112" s="99"/>
      <x:c r="W112" s="99"/>
      <x:c r="X112" s="99"/>
      <x:c r="Y112" s="99"/>
      <x:c r="Z112" s="99"/>
    </x:row>
    <x:row r="113">
      <x:c r="A113" s="99"/>
      <x:c r="B113" s="99"/>
      <x:c r="C113" s="99"/>
      <x:c r="D113" s="99"/>
      <x:c r="E113" s="99"/>
      <x:c r="F113" s="99"/>
      <x:c r="G113" s="99"/>
      <x:c r="H113" s="99"/>
      <x:c r="I113" s="99"/>
      <x:c r="J113" s="99"/>
      <x:c r="K113" s="99"/>
      <x:c r="L113" s="99"/>
      <x:c r="M113" s="99"/>
      <x:c r="N113" s="99"/>
      <x:c r="O113" s="99"/>
      <x:c r="P113" s="99"/>
      <x:c r="Q113" s="99"/>
      <x:c r="R113" s="99"/>
      <x:c r="S113" s="99"/>
      <x:c r="T113" s="99"/>
      <x:c r="U113" s="99"/>
      <x:c r="V113" s="99"/>
      <x:c r="W113" s="99"/>
      <x:c r="X113" s="99"/>
      <x:c r="Y113" s="99"/>
      <x:c r="Z113" s="99"/>
    </x:row>
    <x:row r="114">
      <x:c r="A114" s="99"/>
      <x:c r="B114" s="99"/>
      <x:c r="C114" s="99"/>
      <x:c r="D114" s="99"/>
      <x:c r="E114" s="99"/>
      <x:c r="F114" s="99"/>
      <x:c r="G114" s="99"/>
      <x:c r="H114" s="99"/>
      <x:c r="I114" s="99"/>
      <x:c r="J114" s="99"/>
      <x:c r="K114" s="99"/>
      <x:c r="L114" s="99"/>
      <x:c r="M114" s="99"/>
      <x:c r="N114" s="99"/>
      <x:c r="O114" s="99"/>
      <x:c r="P114" s="99"/>
      <x:c r="Q114" s="99"/>
      <x:c r="R114" s="99"/>
      <x:c r="S114" s="99"/>
      <x:c r="T114" s="99"/>
      <x:c r="U114" s="99"/>
      <x:c r="V114" s="99"/>
      <x:c r="W114" s="99"/>
      <x:c r="X114" s="99"/>
      <x:c r="Y114" s="99"/>
      <x:c r="Z114" s="99"/>
    </x:row>
    <x:row r="115">
      <x:c r="A115" s="99"/>
      <x:c r="B115" s="99"/>
      <x:c r="C115" s="99"/>
      <x:c r="D115" s="99"/>
      <x:c r="E115" s="99"/>
      <x:c r="F115" s="99"/>
      <x:c r="G115" s="99"/>
      <x:c r="H115" s="99"/>
      <x:c r="I115" s="99"/>
      <x:c r="J115" s="99"/>
      <x:c r="K115" s="99"/>
      <x:c r="L115" s="99"/>
      <x:c r="M115" s="99"/>
      <x:c r="N115" s="99"/>
      <x:c r="O115" s="99"/>
      <x:c r="P115" s="99"/>
      <x:c r="Q115" s="99"/>
      <x:c r="R115" s="99"/>
      <x:c r="S115" s="99"/>
      <x:c r="T115" s="99"/>
      <x:c r="U115" s="99"/>
      <x:c r="V115" s="99"/>
      <x:c r="W115" s="99"/>
      <x:c r="X115" s="99"/>
      <x:c r="Y115" s="99"/>
      <x:c r="Z115" s="99"/>
    </x:row>
    <x:row r="116">
      <x:c r="A116" s="99"/>
      <x:c r="B116" s="99"/>
      <x:c r="C116" s="99"/>
      <x:c r="D116" s="99"/>
      <x:c r="E116" s="99"/>
      <x:c r="F116" s="99"/>
      <x:c r="G116" s="99"/>
      <x:c r="H116" s="99"/>
      <x:c r="I116" s="99"/>
      <x:c r="J116" s="99"/>
      <x:c r="K116" s="99"/>
      <x:c r="L116" s="99"/>
      <x:c r="M116" s="99"/>
      <x:c r="N116" s="99"/>
      <x:c r="O116" s="99"/>
      <x:c r="P116" s="99"/>
      <x:c r="Q116" s="99"/>
      <x:c r="R116" s="99"/>
      <x:c r="S116" s="99"/>
      <x:c r="T116" s="99"/>
      <x:c r="U116" s="99"/>
      <x:c r="V116" s="99"/>
      <x:c r="W116" s="99"/>
      <x:c r="X116" s="99"/>
      <x:c r="Y116" s="99"/>
      <x:c r="Z116" s="99"/>
    </x:row>
    <x:row r="117">
      <x:c r="A117" s="99"/>
      <x:c r="B117" s="99"/>
      <x:c r="C117" s="99"/>
      <x:c r="D117" s="99"/>
      <x:c r="E117" s="99"/>
      <x:c r="F117" s="99"/>
      <x:c r="G117" s="99"/>
      <x:c r="H117" s="99"/>
      <x:c r="I117" s="99"/>
      <x:c r="J117" s="99"/>
      <x:c r="K117" s="99"/>
      <x:c r="L117" s="99"/>
      <x:c r="M117" s="99"/>
      <x:c r="N117" s="99"/>
      <x:c r="O117" s="99"/>
      <x:c r="P117" s="99"/>
      <x:c r="Q117" s="99"/>
      <x:c r="R117" s="99"/>
      <x:c r="S117" s="99"/>
      <x:c r="T117" s="99"/>
      <x:c r="U117" s="99"/>
      <x:c r="V117" s="99"/>
      <x:c r="W117" s="99"/>
      <x:c r="X117" s="99"/>
      <x:c r="Y117" s="99"/>
      <x:c r="Z117" s="99"/>
    </x:row>
    <x:row r="118">
      <x:c r="A118" s="99"/>
      <x:c r="B118" s="99"/>
      <x:c r="C118" s="99"/>
      <x:c r="D118" s="99"/>
      <x:c r="E118" s="99"/>
      <x:c r="F118" s="99"/>
      <x:c r="G118" s="99"/>
      <x:c r="H118" s="99"/>
      <x:c r="I118" s="99"/>
      <x:c r="J118" s="99"/>
      <x:c r="K118" s="99"/>
      <x:c r="L118" s="99"/>
      <x:c r="M118" s="99"/>
      <x:c r="N118" s="99"/>
      <x:c r="O118" s="99"/>
      <x:c r="P118" s="99"/>
      <x:c r="Q118" s="99"/>
      <x:c r="R118" s="99"/>
      <x:c r="S118" s="99"/>
      <x:c r="T118" s="99"/>
      <x:c r="U118" s="99"/>
      <x:c r="V118" s="99"/>
      <x:c r="W118" s="99"/>
      <x:c r="X118" s="99"/>
      <x:c r="Y118" s="99"/>
      <x:c r="Z118" s="99"/>
    </x:row>
    <x:row r="119">
      <x:c r="A119" s="99"/>
      <x:c r="B119" s="99"/>
      <x:c r="C119" s="99"/>
      <x:c r="D119" s="99"/>
      <x:c r="E119" s="99"/>
      <x:c r="F119" s="99"/>
      <x:c r="G119" s="99"/>
      <x:c r="H119" s="99"/>
      <x:c r="I119" s="99"/>
      <x:c r="J119" s="99"/>
      <x:c r="K119" s="99"/>
      <x:c r="L119" s="99"/>
      <x:c r="M119" s="99"/>
      <x:c r="N119" s="99"/>
      <x:c r="O119" s="99"/>
      <x:c r="P119" s="99"/>
      <x:c r="Q119" s="99"/>
      <x:c r="R119" s="99"/>
      <x:c r="S119" s="99"/>
      <x:c r="T119" s="99"/>
      <x:c r="U119" s="99"/>
      <x:c r="V119" s="99"/>
      <x:c r="W119" s="99"/>
      <x:c r="X119" s="99"/>
      <x:c r="Y119" s="99"/>
      <x:c r="Z119" s="99"/>
    </x:row>
    <x:row r="120">
      <x:c r="A120" s="99"/>
      <x:c r="B120" s="99"/>
      <x:c r="C120" s="99"/>
      <x:c r="D120" s="99"/>
      <x:c r="E120" s="99"/>
      <x:c r="F120" s="99"/>
      <x:c r="G120" s="99"/>
      <x:c r="H120" s="99"/>
      <x:c r="I120" s="99"/>
      <x:c r="J120" s="99"/>
      <x:c r="K120" s="99"/>
      <x:c r="L120" s="99"/>
      <x:c r="M120" s="99"/>
      <x:c r="N120" s="99"/>
      <x:c r="O120" s="99"/>
      <x:c r="P120" s="99"/>
      <x:c r="Q120" s="99"/>
      <x:c r="R120" s="99"/>
      <x:c r="S120" s="99"/>
      <x:c r="T120" s="99"/>
      <x:c r="U120" s="99"/>
      <x:c r="V120" s="99"/>
      <x:c r="W120" s="99"/>
      <x:c r="X120" s="99"/>
      <x:c r="Y120" s="99"/>
      <x:c r="Z120" s="99"/>
    </x:row>
    <x:row r="121">
      <x:c r="A121" s="99"/>
      <x:c r="B121" s="99"/>
      <x:c r="C121" s="99"/>
      <x:c r="D121" s="99"/>
      <x:c r="E121" s="99"/>
      <x:c r="F121" s="99"/>
      <x:c r="G121" s="99"/>
      <x:c r="H121" s="99"/>
      <x:c r="I121" s="99"/>
      <x:c r="J121" s="99"/>
      <x:c r="K121" s="99"/>
      <x:c r="L121" s="99"/>
      <x:c r="M121" s="99"/>
      <x:c r="N121" s="99"/>
      <x:c r="O121" s="99"/>
      <x:c r="P121" s="99"/>
      <x:c r="Q121" s="99"/>
      <x:c r="R121" s="99"/>
      <x:c r="S121" s="99"/>
      <x:c r="T121" s="99"/>
      <x:c r="U121" s="99"/>
      <x:c r="V121" s="99"/>
      <x:c r="W121" s="99"/>
      <x:c r="X121" s="99"/>
      <x:c r="Y121" s="99"/>
      <x:c r="Z121" s="99"/>
    </x:row>
    <x:row r="122">
      <x:c r="A122" s="99"/>
      <x:c r="B122" s="99"/>
      <x:c r="C122" s="99"/>
      <x:c r="D122" s="99"/>
      <x:c r="E122" s="99"/>
      <x:c r="F122" s="99"/>
      <x:c r="G122" s="99"/>
      <x:c r="H122" s="99"/>
      <x:c r="I122" s="99"/>
      <x:c r="J122" s="99"/>
      <x:c r="K122" s="99"/>
      <x:c r="L122" s="99"/>
      <x:c r="M122" s="99"/>
      <x:c r="N122" s="99"/>
      <x:c r="O122" s="99"/>
      <x:c r="P122" s="99"/>
      <x:c r="Q122" s="99"/>
      <x:c r="R122" s="99"/>
      <x:c r="S122" s="99"/>
      <x:c r="T122" s="99"/>
      <x:c r="U122" s="99"/>
      <x:c r="V122" s="99"/>
      <x:c r="W122" s="99"/>
      <x:c r="X122" s="99"/>
      <x:c r="Y122" s="99"/>
      <x:c r="Z122" s="99"/>
    </x:row>
    <x:row r="123">
      <x:c r="A123" s="99"/>
      <x:c r="B123" s="99"/>
      <x:c r="C123" s="99"/>
      <x:c r="D123" s="99"/>
      <x:c r="E123" s="99"/>
      <x:c r="F123" s="99"/>
      <x:c r="G123" s="99"/>
      <x:c r="H123" s="99"/>
      <x:c r="I123" s="99"/>
      <x:c r="J123" s="99"/>
      <x:c r="K123" s="99"/>
      <x:c r="L123" s="99"/>
      <x:c r="M123" s="99"/>
      <x:c r="N123" s="99"/>
      <x:c r="O123" s="99"/>
      <x:c r="P123" s="99"/>
      <x:c r="Q123" s="99"/>
      <x:c r="R123" s="99"/>
      <x:c r="S123" s="99"/>
      <x:c r="T123" s="99"/>
      <x:c r="U123" s="99"/>
      <x:c r="V123" s="99"/>
      <x:c r="W123" s="99"/>
      <x:c r="X123" s="99"/>
      <x:c r="Y123" s="99"/>
      <x:c r="Z123" s="99"/>
    </x:row>
    <x:row r="124">
      <x:c r="A124" s="99"/>
      <x:c r="B124" s="99"/>
      <x:c r="C124" s="99"/>
      <x:c r="D124" s="99"/>
      <x:c r="E124" s="99"/>
      <x:c r="F124" s="99"/>
      <x:c r="G124" s="99"/>
      <x:c r="H124" s="99"/>
      <x:c r="I124" s="99"/>
      <x:c r="J124" s="99"/>
      <x:c r="K124" s="99"/>
      <x:c r="L124" s="99"/>
      <x:c r="M124" s="99"/>
      <x:c r="N124" s="99"/>
      <x:c r="O124" s="99"/>
      <x:c r="P124" s="99"/>
      <x:c r="Q124" s="99"/>
      <x:c r="R124" s="99"/>
      <x:c r="S124" s="99"/>
      <x:c r="T124" s="99"/>
      <x:c r="U124" s="99"/>
      <x:c r="V124" s="99"/>
      <x:c r="W124" s="99"/>
      <x:c r="X124" s="99"/>
      <x:c r="Y124" s="99"/>
      <x:c r="Z124" s="99"/>
    </x:row>
    <x:row r="125">
      <x:c r="A125" s="99"/>
      <x:c r="B125" s="99"/>
      <x:c r="C125" s="99"/>
      <x:c r="D125" s="99"/>
      <x:c r="E125" s="99"/>
      <x:c r="F125" s="99"/>
      <x:c r="G125" s="99"/>
      <x:c r="H125" s="99"/>
      <x:c r="I125" s="99"/>
      <x:c r="J125" s="99"/>
      <x:c r="K125" s="99"/>
      <x:c r="L125" s="99"/>
      <x:c r="M125" s="99"/>
      <x:c r="N125" s="99"/>
      <x:c r="O125" s="99"/>
      <x:c r="P125" s="99"/>
      <x:c r="Q125" s="99"/>
      <x:c r="R125" s="99"/>
      <x:c r="S125" s="99"/>
      <x:c r="T125" s="99"/>
      <x:c r="U125" s="99"/>
      <x:c r="V125" s="99"/>
      <x:c r="W125" s="99"/>
      <x:c r="X125" s="99"/>
      <x:c r="Y125" s="99"/>
      <x:c r="Z125" s="99"/>
    </x:row>
    <x:row r="126">
      <x:c r="A126" s="99"/>
      <x:c r="B126" s="99"/>
      <x:c r="C126" s="99"/>
      <x:c r="D126" s="99"/>
      <x:c r="E126" s="99"/>
      <x:c r="F126" s="99"/>
      <x:c r="G126" s="99"/>
      <x:c r="H126" s="99"/>
      <x:c r="I126" s="99"/>
      <x:c r="J126" s="99"/>
      <x:c r="K126" s="99"/>
      <x:c r="L126" s="99"/>
      <x:c r="M126" s="99"/>
      <x:c r="N126" s="99"/>
      <x:c r="O126" s="99"/>
      <x:c r="P126" s="99"/>
      <x:c r="Q126" s="99"/>
      <x:c r="R126" s="99"/>
      <x:c r="S126" s="99"/>
      <x:c r="T126" s="99"/>
      <x:c r="U126" s="99"/>
      <x:c r="V126" s="99"/>
      <x:c r="W126" s="99"/>
      <x:c r="X126" s="99"/>
      <x:c r="Y126" s="99"/>
      <x:c r="Z126" s="99"/>
    </x:row>
    <x:row r="127">
      <x:c r="A127" s="99"/>
      <x:c r="B127" s="99"/>
      <x:c r="C127" s="99"/>
      <x:c r="D127" s="99"/>
      <x:c r="E127" s="99"/>
      <x:c r="F127" s="99"/>
      <x:c r="G127" s="99"/>
      <x:c r="H127" s="99"/>
      <x:c r="I127" s="99"/>
      <x:c r="J127" s="99"/>
      <x:c r="K127" s="99"/>
      <x:c r="L127" s="99"/>
      <x:c r="M127" s="99"/>
      <x:c r="N127" s="99"/>
      <x:c r="O127" s="99"/>
      <x:c r="P127" s="99"/>
      <x:c r="Q127" s="99"/>
      <x:c r="R127" s="99"/>
      <x:c r="S127" s="99"/>
      <x:c r="T127" s="99"/>
      <x:c r="U127" s="99"/>
      <x:c r="V127" s="99"/>
      <x:c r="W127" s="99"/>
      <x:c r="X127" s="99"/>
      <x:c r="Y127" s="99"/>
      <x:c r="Z127" s="99"/>
    </x:row>
    <x:row r="128">
      <x:c r="A128" s="99"/>
      <x:c r="B128" s="99"/>
      <x:c r="C128" s="99"/>
      <x:c r="D128" s="99"/>
      <x:c r="E128" s="99"/>
      <x:c r="F128" s="99"/>
      <x:c r="G128" s="99"/>
      <x:c r="H128" s="99"/>
      <x:c r="I128" s="99"/>
      <x:c r="J128" s="99"/>
      <x:c r="K128" s="99"/>
      <x:c r="L128" s="99"/>
      <x:c r="M128" s="99"/>
      <x:c r="N128" s="99"/>
      <x:c r="O128" s="99"/>
      <x:c r="P128" s="99"/>
      <x:c r="Q128" s="99"/>
      <x:c r="R128" s="99"/>
      <x:c r="S128" s="99"/>
      <x:c r="T128" s="99"/>
      <x:c r="U128" s="99"/>
      <x:c r="V128" s="99"/>
      <x:c r="W128" s="99"/>
      <x:c r="X128" s="99"/>
      <x:c r="Y128" s="99"/>
      <x:c r="Z128" s="99"/>
    </x:row>
    <x:row r="129">
      <x:c r="A129" s="99"/>
      <x:c r="B129" s="99"/>
      <x:c r="C129" s="99"/>
      <x:c r="D129" s="99"/>
      <x:c r="E129" s="99"/>
      <x:c r="F129" s="99"/>
      <x:c r="G129" s="99"/>
      <x:c r="H129" s="99"/>
      <x:c r="I129" s="99"/>
      <x:c r="J129" s="99"/>
      <x:c r="K129" s="99"/>
      <x:c r="L129" s="99"/>
      <x:c r="M129" s="99"/>
      <x:c r="N129" s="99"/>
      <x:c r="O129" s="99"/>
      <x:c r="P129" s="99"/>
      <x:c r="Q129" s="99"/>
      <x:c r="R129" s="99"/>
      <x:c r="S129" s="99"/>
      <x:c r="T129" s="99"/>
      <x:c r="U129" s="99"/>
      <x:c r="V129" s="99"/>
      <x:c r="W129" s="99"/>
      <x:c r="X129" s="99"/>
      <x:c r="Y129" s="99"/>
      <x:c r="Z129" s="99"/>
    </x:row>
    <x:row r="130">
      <x:c r="A130" s="99"/>
      <x:c r="B130" s="99"/>
      <x:c r="C130" s="99"/>
      <x:c r="D130" s="99"/>
      <x:c r="E130" s="99"/>
      <x:c r="F130" s="99"/>
      <x:c r="G130" s="99"/>
      <x:c r="H130" s="99"/>
      <x:c r="I130" s="99"/>
      <x:c r="J130" s="99"/>
      <x:c r="K130" s="99"/>
      <x:c r="L130" s="99"/>
      <x:c r="M130" s="99"/>
      <x:c r="N130" s="99"/>
      <x:c r="O130" s="99"/>
      <x:c r="P130" s="99"/>
      <x:c r="Q130" s="99"/>
      <x:c r="R130" s="99"/>
      <x:c r="S130" s="99"/>
      <x:c r="T130" s="99"/>
      <x:c r="U130" s="99"/>
      <x:c r="V130" s="99"/>
      <x:c r="W130" s="99"/>
      <x:c r="X130" s="99"/>
      <x:c r="Y130" s="99"/>
      <x:c r="Z130" s="99"/>
    </x:row>
    <x:row r="131">
      <x:c r="A131" s="99"/>
      <x:c r="B131" s="99"/>
      <x:c r="C131" s="99"/>
      <x:c r="D131" s="99"/>
      <x:c r="E131" s="99"/>
      <x:c r="F131" s="99"/>
      <x:c r="G131" s="99"/>
      <x:c r="H131" s="99"/>
      <x:c r="I131" s="99"/>
      <x:c r="J131" s="99"/>
      <x:c r="K131" s="99"/>
      <x:c r="L131" s="99"/>
      <x:c r="M131" s="99"/>
      <x:c r="N131" s="99"/>
      <x:c r="O131" s="99"/>
      <x:c r="P131" s="99"/>
      <x:c r="Q131" s="99"/>
      <x:c r="R131" s="99"/>
      <x:c r="S131" s="99"/>
      <x:c r="T131" s="99"/>
      <x:c r="U131" s="99"/>
      <x:c r="V131" s="99"/>
      <x:c r="W131" s="99"/>
      <x:c r="X131" s="99"/>
      <x:c r="Y131" s="99"/>
      <x:c r="Z131" s="99"/>
    </x:row>
    <x:row r="132">
      <x:c r="A132" s="99"/>
      <x:c r="B132" s="99"/>
      <x:c r="C132" s="99"/>
      <x:c r="D132" s="99"/>
      <x:c r="E132" s="99"/>
      <x:c r="F132" s="99"/>
      <x:c r="G132" s="99"/>
      <x:c r="H132" s="99"/>
      <x:c r="I132" s="99"/>
      <x:c r="J132" s="99"/>
      <x:c r="K132" s="99"/>
      <x:c r="L132" s="99"/>
      <x:c r="M132" s="99"/>
      <x:c r="N132" s="99"/>
      <x:c r="O132" s="99"/>
      <x:c r="P132" s="99"/>
      <x:c r="Q132" s="99"/>
      <x:c r="R132" s="99"/>
      <x:c r="S132" s="99"/>
      <x:c r="T132" s="99"/>
      <x:c r="U132" s="99"/>
      <x:c r="V132" s="99"/>
      <x:c r="W132" s="99"/>
      <x:c r="X132" s="99"/>
      <x:c r="Y132" s="99"/>
      <x:c r="Z132" s="99"/>
    </x:row>
    <x:row r="133">
      <x:c r="A133" s="99"/>
      <x:c r="B133" s="99"/>
      <x:c r="C133" s="99"/>
      <x:c r="D133" s="99"/>
      <x:c r="E133" s="99"/>
      <x:c r="F133" s="99"/>
      <x:c r="G133" s="99"/>
      <x:c r="H133" s="99"/>
      <x:c r="I133" s="99"/>
      <x:c r="J133" s="99"/>
      <x:c r="K133" s="99"/>
      <x:c r="L133" s="99"/>
      <x:c r="M133" s="99"/>
      <x:c r="N133" s="99"/>
      <x:c r="O133" s="99"/>
      <x:c r="P133" s="99"/>
      <x:c r="Q133" s="99"/>
      <x:c r="R133" s="99"/>
      <x:c r="S133" s="99"/>
      <x:c r="T133" s="99"/>
      <x:c r="U133" s="99"/>
      <x:c r="V133" s="99"/>
      <x:c r="W133" s="99"/>
      <x:c r="X133" s="99"/>
      <x:c r="Y133" s="99"/>
      <x:c r="Z133" s="99"/>
    </x:row>
    <x:row r="134">
      <x:c r="A134" s="99"/>
      <x:c r="B134" s="99"/>
      <x:c r="C134" s="99"/>
      <x:c r="D134" s="99"/>
      <x:c r="E134" s="99"/>
      <x:c r="F134" s="99"/>
      <x:c r="G134" s="99"/>
      <x:c r="H134" s="99"/>
      <x:c r="I134" s="99"/>
      <x:c r="J134" s="99"/>
      <x:c r="K134" s="99"/>
      <x:c r="L134" s="99"/>
      <x:c r="M134" s="99"/>
      <x:c r="N134" s="99"/>
      <x:c r="O134" s="99"/>
      <x:c r="P134" s="99"/>
      <x:c r="Q134" s="99"/>
      <x:c r="R134" s="99"/>
      <x:c r="S134" s="99"/>
      <x:c r="T134" s="99"/>
      <x:c r="U134" s="99"/>
      <x:c r="V134" s="99"/>
      <x:c r="W134" s="99"/>
      <x:c r="X134" s="99"/>
      <x:c r="Y134" s="99"/>
      <x:c r="Z134" s="99"/>
    </x:row>
    <x:row r="135">
      <x:c r="A135" s="99"/>
      <x:c r="B135" s="99"/>
      <x:c r="C135" s="99"/>
      <x:c r="D135" s="99"/>
      <x:c r="E135" s="99"/>
      <x:c r="F135" s="99"/>
      <x:c r="G135" s="99"/>
      <x:c r="H135" s="99"/>
      <x:c r="I135" s="99"/>
      <x:c r="J135" s="99"/>
      <x:c r="K135" s="99"/>
      <x:c r="L135" s="99"/>
      <x:c r="M135" s="99"/>
      <x:c r="N135" s="99"/>
      <x:c r="O135" s="99"/>
      <x:c r="P135" s="99"/>
      <x:c r="Q135" s="99"/>
      <x:c r="R135" s="99"/>
      <x:c r="S135" s="99"/>
      <x:c r="T135" s="99"/>
      <x:c r="U135" s="99"/>
      <x:c r="V135" s="99"/>
      <x:c r="W135" s="99"/>
      <x:c r="X135" s="99"/>
      <x:c r="Y135" s="99"/>
      <x:c r="Z135" s="99"/>
    </x:row>
    <x:row r="136">
      <x:c r="A136" s="99"/>
      <x:c r="B136" s="99"/>
      <x:c r="C136" s="99"/>
      <x:c r="D136" s="99"/>
      <x:c r="E136" s="99"/>
      <x:c r="F136" s="99"/>
      <x:c r="G136" s="99"/>
      <x:c r="H136" s="99"/>
      <x:c r="I136" s="99"/>
      <x:c r="J136" s="99"/>
      <x:c r="K136" s="99"/>
      <x:c r="L136" s="99"/>
      <x:c r="M136" s="99"/>
      <x:c r="N136" s="99"/>
      <x:c r="O136" s="99"/>
      <x:c r="P136" s="99"/>
      <x:c r="Q136" s="99"/>
      <x:c r="R136" s="99"/>
      <x:c r="S136" s="99"/>
      <x:c r="T136" s="99"/>
      <x:c r="U136" s="99"/>
      <x:c r="V136" s="99"/>
      <x:c r="W136" s="99"/>
      <x:c r="X136" s="99"/>
      <x:c r="Y136" s="99"/>
      <x:c r="Z136" s="99"/>
    </x:row>
    <x:row r="137">
      <x:c r="A137" s="99"/>
      <x:c r="B137" s="99"/>
      <x:c r="C137" s="99"/>
      <x:c r="D137" s="99"/>
      <x:c r="E137" s="99"/>
      <x:c r="F137" s="99"/>
      <x:c r="G137" s="99"/>
      <x:c r="H137" s="99"/>
      <x:c r="I137" s="99"/>
      <x:c r="J137" s="99"/>
      <x:c r="K137" s="99"/>
      <x:c r="L137" s="99"/>
      <x:c r="M137" s="99"/>
      <x:c r="N137" s="99"/>
      <x:c r="O137" s="99"/>
      <x:c r="P137" s="99"/>
      <x:c r="Q137" s="99"/>
      <x:c r="R137" s="99"/>
      <x:c r="S137" s="99"/>
      <x:c r="T137" s="99"/>
      <x:c r="U137" s="99"/>
      <x:c r="V137" s="99"/>
      <x:c r="W137" s="99"/>
      <x:c r="X137" s="99"/>
      <x:c r="Y137" s="99"/>
      <x:c r="Z137" s="99"/>
    </x:row>
    <x:row r="138">
      <x:c r="A138" s="99"/>
      <x:c r="B138" s="99"/>
      <x:c r="C138" s="99"/>
      <x:c r="D138" s="99"/>
      <x:c r="E138" s="99"/>
      <x:c r="F138" s="99"/>
      <x:c r="G138" s="99"/>
      <x:c r="H138" s="99"/>
      <x:c r="I138" s="99"/>
      <x:c r="J138" s="99"/>
      <x:c r="K138" s="99"/>
      <x:c r="L138" s="99"/>
      <x:c r="M138" s="99"/>
      <x:c r="N138" s="99"/>
      <x:c r="O138" s="99"/>
      <x:c r="P138" s="99"/>
      <x:c r="Q138" s="99"/>
      <x:c r="R138" s="99"/>
      <x:c r="S138" s="99"/>
      <x:c r="T138" s="99"/>
      <x:c r="U138" s="99"/>
      <x:c r="V138" s="99"/>
      <x:c r="W138" s="99"/>
      <x:c r="X138" s="99"/>
      <x:c r="Y138" s="99"/>
      <x:c r="Z138" s="99"/>
    </x:row>
    <x:row r="139">
      <x:c r="A139" s="99"/>
      <x:c r="B139" s="99"/>
      <x:c r="C139" s="99"/>
      <x:c r="D139" s="99"/>
      <x:c r="E139" s="99"/>
      <x:c r="F139" s="99"/>
      <x:c r="G139" s="99"/>
      <x:c r="H139" s="99"/>
      <x:c r="I139" s="99"/>
      <x:c r="J139" s="99"/>
      <x:c r="K139" s="99"/>
      <x:c r="L139" s="99"/>
      <x:c r="M139" s="99"/>
      <x:c r="N139" s="99"/>
      <x:c r="O139" s="99"/>
      <x:c r="P139" s="99"/>
      <x:c r="Q139" s="99"/>
      <x:c r="R139" s="99"/>
      <x:c r="S139" s="99"/>
      <x:c r="T139" s="99"/>
      <x:c r="U139" s="99"/>
      <x:c r="V139" s="99"/>
      <x:c r="W139" s="99"/>
      <x:c r="X139" s="99"/>
      <x:c r="Y139" s="99"/>
      <x:c r="Z139" s="99"/>
    </x:row>
    <x:row r="140">
      <x:c r="A140" s="99"/>
      <x:c r="B140" s="99"/>
      <x:c r="C140" s="99"/>
      <x:c r="D140" s="99"/>
      <x:c r="E140" s="99"/>
      <x:c r="F140" s="99"/>
      <x:c r="G140" s="99"/>
      <x:c r="H140" s="99"/>
      <x:c r="I140" s="99"/>
      <x:c r="J140" s="99"/>
      <x:c r="K140" s="99"/>
      <x:c r="L140" s="99"/>
      <x:c r="M140" s="99"/>
      <x:c r="N140" s="99"/>
      <x:c r="O140" s="99"/>
      <x:c r="P140" s="99"/>
      <x:c r="Q140" s="99"/>
      <x:c r="R140" s="99"/>
      <x:c r="S140" s="99"/>
      <x:c r="T140" s="99"/>
      <x:c r="U140" s="99"/>
      <x:c r="V140" s="99"/>
      <x:c r="W140" s="99"/>
      <x:c r="X140" s="99"/>
      <x:c r="Y140" s="99"/>
      <x:c r="Z140" s="99"/>
    </x:row>
    <x:row r="141">
      <x:c r="A141" s="99"/>
      <x:c r="B141" s="99"/>
      <x:c r="C141" s="99"/>
      <x:c r="D141" s="99"/>
      <x:c r="E141" s="99"/>
      <x:c r="F141" s="99"/>
      <x:c r="G141" s="99"/>
      <x:c r="H141" s="99"/>
      <x:c r="I141" s="99"/>
      <x:c r="J141" s="99"/>
      <x:c r="K141" s="99"/>
      <x:c r="L141" s="99"/>
      <x:c r="M141" s="99"/>
      <x:c r="N141" s="99"/>
      <x:c r="O141" s="99"/>
      <x:c r="P141" s="99"/>
      <x:c r="Q141" s="99"/>
      <x:c r="R141" s="99"/>
      <x:c r="S141" s="99"/>
      <x:c r="T141" s="99"/>
      <x:c r="U141" s="99"/>
      <x:c r="V141" s="99"/>
      <x:c r="W141" s="99"/>
      <x:c r="X141" s="99"/>
      <x:c r="Y141" s="99"/>
      <x:c r="Z141" s="99"/>
    </x:row>
    <x:row r="142">
      <x:c r="A142" s="99"/>
      <x:c r="B142" s="99"/>
      <x:c r="C142" s="99"/>
      <x:c r="D142" s="99"/>
      <x:c r="E142" s="99"/>
      <x:c r="F142" s="99"/>
      <x:c r="G142" s="99"/>
      <x:c r="H142" s="99"/>
      <x:c r="I142" s="99"/>
      <x:c r="J142" s="99"/>
      <x:c r="K142" s="99"/>
      <x:c r="L142" s="99"/>
      <x:c r="M142" s="99"/>
      <x:c r="N142" s="99"/>
      <x:c r="O142" s="99"/>
      <x:c r="P142" s="99"/>
      <x:c r="Q142" s="99"/>
      <x:c r="R142" s="99"/>
      <x:c r="S142" s="99"/>
      <x:c r="T142" s="99"/>
      <x:c r="U142" s="99"/>
      <x:c r="V142" s="99"/>
      <x:c r="W142" s="99"/>
      <x:c r="X142" s="99"/>
      <x:c r="Y142" s="99"/>
      <x:c r="Z142" s="99"/>
    </x:row>
    <x:row r="143">
      <x:c r="A143" s="99"/>
      <x:c r="B143" s="99"/>
      <x:c r="C143" s="99"/>
      <x:c r="D143" s="99"/>
      <x:c r="E143" s="99"/>
      <x:c r="F143" s="99"/>
      <x:c r="G143" s="99"/>
      <x:c r="H143" s="99"/>
      <x:c r="I143" s="99"/>
      <x:c r="J143" s="99"/>
      <x:c r="K143" s="99"/>
      <x:c r="L143" s="99"/>
      <x:c r="M143" s="99"/>
      <x:c r="N143" s="99"/>
      <x:c r="O143" s="99"/>
      <x:c r="P143" s="99"/>
      <x:c r="Q143" s="99"/>
      <x:c r="R143" s="99"/>
      <x:c r="S143" s="99"/>
      <x:c r="T143" s="99"/>
      <x:c r="U143" s="99"/>
      <x:c r="V143" s="99"/>
      <x:c r="W143" s="99"/>
      <x:c r="X143" s="99"/>
      <x:c r="Y143" s="99"/>
      <x:c r="Z143" s="99"/>
    </x:row>
    <x:row r="144">
      <x:c r="A144" s="99"/>
      <x:c r="B144" s="99"/>
      <x:c r="C144" s="99"/>
      <x:c r="D144" s="99"/>
      <x:c r="E144" s="99"/>
      <x:c r="F144" s="99"/>
      <x:c r="G144" s="99"/>
      <x:c r="H144" s="99"/>
      <x:c r="I144" s="99"/>
      <x:c r="J144" s="99"/>
      <x:c r="K144" s="99"/>
      <x:c r="L144" s="99"/>
      <x:c r="M144" s="99"/>
      <x:c r="N144" s="99"/>
      <x:c r="O144" s="99"/>
      <x:c r="P144" s="99"/>
      <x:c r="Q144" s="99"/>
      <x:c r="R144" s="99"/>
      <x:c r="S144" s="99"/>
      <x:c r="T144" s="99"/>
      <x:c r="U144" s="99"/>
      <x:c r="V144" s="99"/>
      <x:c r="W144" s="99"/>
      <x:c r="X144" s="99"/>
      <x:c r="Y144" s="99"/>
      <x:c r="Z144" s="99"/>
    </x:row>
    <x:row r="145">
      <x:c r="A145" s="99"/>
      <x:c r="B145" s="99"/>
      <x:c r="C145" s="99"/>
      <x:c r="D145" s="99"/>
      <x:c r="E145" s="99"/>
      <x:c r="F145" s="99"/>
      <x:c r="G145" s="99"/>
      <x:c r="H145" s="99"/>
      <x:c r="I145" s="99"/>
      <x:c r="J145" s="99"/>
      <x:c r="K145" s="99"/>
      <x:c r="L145" s="99"/>
      <x:c r="M145" s="99"/>
      <x:c r="N145" s="99"/>
      <x:c r="O145" s="99"/>
      <x:c r="P145" s="99"/>
      <x:c r="Q145" s="99"/>
      <x:c r="R145" s="99"/>
      <x:c r="S145" s="99"/>
      <x:c r="T145" s="99"/>
      <x:c r="U145" s="99"/>
      <x:c r="V145" s="99"/>
      <x:c r="W145" s="99"/>
      <x:c r="X145" s="99"/>
      <x:c r="Y145" s="99"/>
      <x:c r="Z145" s="99"/>
    </x:row>
    <x:row r="146">
      <x:c r="A146" s="99"/>
      <x:c r="B146" s="99"/>
      <x:c r="C146" s="99"/>
      <x:c r="D146" s="99"/>
      <x:c r="E146" s="99"/>
      <x:c r="F146" s="99"/>
      <x:c r="G146" s="99"/>
      <x:c r="H146" s="99"/>
      <x:c r="I146" s="99"/>
      <x:c r="J146" s="99"/>
      <x:c r="K146" s="99"/>
      <x:c r="L146" s="99"/>
      <x:c r="M146" s="99"/>
      <x:c r="N146" s="99"/>
      <x:c r="O146" s="99"/>
      <x:c r="P146" s="99"/>
      <x:c r="Q146" s="99"/>
      <x:c r="R146" s="99"/>
      <x:c r="S146" s="99"/>
      <x:c r="T146" s="99"/>
      <x:c r="U146" s="99"/>
      <x:c r="V146" s="99"/>
      <x:c r="W146" s="99"/>
      <x:c r="X146" s="99"/>
      <x:c r="Y146" s="99"/>
      <x:c r="Z146" s="99"/>
    </x:row>
    <x:row r="147">
      <x:c r="A147" s="99"/>
      <x:c r="B147" s="99"/>
      <x:c r="C147" s="99"/>
      <x:c r="D147" s="99"/>
      <x:c r="E147" s="99"/>
      <x:c r="F147" s="99"/>
      <x:c r="G147" s="99"/>
      <x:c r="H147" s="99"/>
      <x:c r="I147" s="99"/>
      <x:c r="J147" s="99"/>
      <x:c r="K147" s="99"/>
      <x:c r="L147" s="99"/>
      <x:c r="M147" s="99"/>
      <x:c r="N147" s="99"/>
      <x:c r="O147" s="99"/>
      <x:c r="P147" s="99"/>
      <x:c r="Q147" s="99"/>
      <x:c r="R147" s="99"/>
      <x:c r="S147" s="99"/>
      <x:c r="T147" s="99"/>
      <x:c r="U147" s="99"/>
      <x:c r="V147" s="99"/>
      <x:c r="W147" s="99"/>
      <x:c r="X147" s="99"/>
      <x:c r="Y147" s="99"/>
      <x:c r="Z147" s="99"/>
    </x:row>
    <x:row r="148">
      <x:c r="A148" s="99"/>
      <x:c r="B148" s="99"/>
      <x:c r="C148" s="99"/>
      <x:c r="D148" s="99"/>
      <x:c r="E148" s="99"/>
      <x:c r="F148" s="99"/>
      <x:c r="G148" s="99"/>
      <x:c r="H148" s="99"/>
      <x:c r="I148" s="99"/>
      <x:c r="J148" s="99"/>
      <x:c r="K148" s="99"/>
      <x:c r="L148" s="99"/>
      <x:c r="M148" s="99"/>
      <x:c r="N148" s="99"/>
      <x:c r="O148" s="99"/>
      <x:c r="P148" s="99"/>
      <x:c r="Q148" s="99"/>
      <x:c r="R148" s="99"/>
      <x:c r="S148" s="99"/>
      <x:c r="T148" s="99"/>
      <x:c r="U148" s="99"/>
      <x:c r="V148" s="99"/>
      <x:c r="W148" s="99"/>
      <x:c r="X148" s="99"/>
      <x:c r="Y148" s="99"/>
      <x:c r="Z148" s="99"/>
    </x:row>
    <x:row r="149">
      <x:c r="A149" s="99"/>
      <x:c r="B149" s="99"/>
      <x:c r="C149" s="99"/>
      <x:c r="D149" s="99"/>
      <x:c r="E149" s="99"/>
      <x:c r="F149" s="99"/>
      <x:c r="G149" s="99"/>
      <x:c r="H149" s="99"/>
      <x:c r="I149" s="99"/>
      <x:c r="J149" s="99"/>
      <x:c r="K149" s="99"/>
      <x:c r="L149" s="99"/>
      <x:c r="M149" s="99"/>
      <x:c r="N149" s="99"/>
      <x:c r="O149" s="99"/>
      <x:c r="P149" s="99"/>
      <x:c r="Q149" s="99"/>
      <x:c r="R149" s="99"/>
      <x:c r="S149" s="99"/>
      <x:c r="T149" s="99"/>
      <x:c r="U149" s="99"/>
      <x:c r="V149" s="99"/>
      <x:c r="W149" s="99"/>
      <x:c r="X149" s="99"/>
      <x:c r="Y149" s="99"/>
      <x:c r="Z149" s="99"/>
    </x:row>
    <x:row r="150">
      <x:c r="A150" s="99"/>
      <x:c r="B150" s="99"/>
      <x:c r="C150" s="99"/>
      <x:c r="D150" s="99"/>
      <x:c r="E150" s="99"/>
      <x:c r="F150" s="99"/>
      <x:c r="G150" s="99"/>
      <x:c r="H150" s="99"/>
      <x:c r="I150" s="99"/>
      <x:c r="J150" s="99"/>
      <x:c r="K150" s="99"/>
      <x:c r="L150" s="99"/>
      <x:c r="M150" s="99"/>
      <x:c r="N150" s="99"/>
      <x:c r="O150" s="99"/>
      <x:c r="P150" s="99"/>
      <x:c r="Q150" s="99"/>
      <x:c r="R150" s="99"/>
      <x:c r="S150" s="99"/>
      <x:c r="T150" s="99"/>
      <x:c r="U150" s="99"/>
      <x:c r="V150" s="99"/>
      <x:c r="W150" s="99"/>
      <x:c r="X150" s="99"/>
      <x:c r="Y150" s="99"/>
      <x:c r="Z150" s="99"/>
    </x:row>
    <x:row r="151">
      <x:c r="A151" s="99"/>
      <x:c r="B151" s="99"/>
      <x:c r="C151" s="99"/>
      <x:c r="D151" s="99"/>
      <x:c r="E151" s="99"/>
      <x:c r="F151" s="99"/>
      <x:c r="G151" s="99"/>
      <x:c r="H151" s="99"/>
      <x:c r="I151" s="99"/>
      <x:c r="J151" s="99"/>
      <x:c r="K151" s="99"/>
      <x:c r="L151" s="99"/>
      <x:c r="M151" s="99"/>
      <x:c r="N151" s="99"/>
      <x:c r="O151" s="99"/>
      <x:c r="P151" s="99"/>
      <x:c r="Q151" s="99"/>
      <x:c r="R151" s="99"/>
      <x:c r="S151" s="99"/>
      <x:c r="T151" s="99"/>
      <x:c r="U151" s="99"/>
      <x:c r="V151" s="99"/>
      <x:c r="W151" s="99"/>
      <x:c r="X151" s="99"/>
      <x:c r="Y151" s="99"/>
      <x:c r="Z151" s="99"/>
    </x:row>
    <x:row r="152">
      <x:c r="A152" s="99"/>
      <x:c r="B152" s="99"/>
      <x:c r="C152" s="99"/>
      <x:c r="D152" s="99"/>
      <x:c r="E152" s="99"/>
      <x:c r="F152" s="99"/>
      <x:c r="G152" s="99"/>
      <x:c r="H152" s="99"/>
      <x:c r="I152" s="99"/>
      <x:c r="J152" s="99"/>
      <x:c r="K152" s="99"/>
      <x:c r="L152" s="99"/>
      <x:c r="M152" s="99"/>
      <x:c r="N152" s="99"/>
      <x:c r="O152" s="99"/>
      <x:c r="P152" s="99"/>
      <x:c r="Q152" s="99"/>
      <x:c r="R152" s="99"/>
      <x:c r="S152" s="99"/>
      <x:c r="T152" s="99"/>
      <x:c r="U152" s="99"/>
      <x:c r="V152" s="99"/>
      <x:c r="W152" s="99"/>
      <x:c r="X152" s="99"/>
      <x:c r="Y152" s="99"/>
      <x:c r="Z152" s="99"/>
    </x:row>
    <x:row r="153">
      <x:c r="A153" s="99"/>
      <x:c r="B153" s="99"/>
      <x:c r="C153" s="99"/>
      <x:c r="D153" s="99"/>
      <x:c r="E153" s="99"/>
      <x:c r="F153" s="99"/>
      <x:c r="G153" s="99"/>
      <x:c r="H153" s="99"/>
      <x:c r="I153" s="99"/>
      <x:c r="J153" s="99"/>
      <x:c r="K153" s="99"/>
      <x:c r="L153" s="99"/>
      <x:c r="M153" s="99"/>
      <x:c r="N153" s="99"/>
      <x:c r="O153" s="99"/>
      <x:c r="P153" s="99"/>
      <x:c r="Q153" s="99"/>
      <x:c r="R153" s="99"/>
      <x:c r="S153" s="99"/>
      <x:c r="T153" s="99"/>
      <x:c r="U153" s="99"/>
      <x:c r="V153" s="99"/>
      <x:c r="W153" s="99"/>
      <x:c r="X153" s="99"/>
      <x:c r="Y153" s="99"/>
      <x:c r="Z153" s="99"/>
    </x:row>
    <x:row r="154">
      <x:c r="A154" s="99"/>
      <x:c r="B154" s="99"/>
      <x:c r="C154" s="99"/>
      <x:c r="D154" s="99"/>
      <x:c r="E154" s="99"/>
      <x:c r="F154" s="99"/>
      <x:c r="G154" s="99"/>
      <x:c r="H154" s="99"/>
      <x:c r="I154" s="99"/>
      <x:c r="J154" s="99"/>
      <x:c r="K154" s="99"/>
      <x:c r="L154" s="99"/>
      <x:c r="M154" s="99"/>
      <x:c r="N154" s="99"/>
      <x:c r="O154" s="99"/>
      <x:c r="P154" s="99"/>
      <x:c r="Q154" s="99"/>
      <x:c r="R154" s="99"/>
      <x:c r="S154" s="99"/>
      <x:c r="T154" s="99"/>
      <x:c r="U154" s="99"/>
      <x:c r="V154" s="99"/>
      <x:c r="W154" s="99"/>
      <x:c r="X154" s="99"/>
      <x:c r="Y154" s="99"/>
      <x:c r="Z154" s="99"/>
    </x:row>
    <x:row r="155">
      <x:c r="A155" s="99"/>
      <x:c r="B155" s="99"/>
      <x:c r="C155" s="99"/>
      <x:c r="D155" s="99"/>
      <x:c r="E155" s="99"/>
      <x:c r="F155" s="99"/>
      <x:c r="G155" s="99"/>
      <x:c r="H155" s="99"/>
      <x:c r="I155" s="99"/>
      <x:c r="J155" s="99"/>
      <x:c r="K155" s="99"/>
      <x:c r="L155" s="99"/>
      <x:c r="M155" s="99"/>
      <x:c r="N155" s="99"/>
      <x:c r="O155" s="99"/>
      <x:c r="P155" s="99"/>
      <x:c r="Q155" s="99"/>
      <x:c r="R155" s="99"/>
      <x:c r="S155" s="99"/>
      <x:c r="T155" s="99"/>
      <x:c r="U155" s="99"/>
      <x:c r="V155" s="99"/>
      <x:c r="W155" s="99"/>
      <x:c r="X155" s="99"/>
      <x:c r="Y155" s="99"/>
      <x:c r="Z155" s="99"/>
    </x:row>
    <x:row r="156">
      <x:c r="A156" s="99"/>
      <x:c r="B156" s="99"/>
      <x:c r="C156" s="99"/>
      <x:c r="D156" s="99"/>
      <x:c r="E156" s="99"/>
      <x:c r="F156" s="99"/>
      <x:c r="G156" s="99"/>
      <x:c r="H156" s="99"/>
      <x:c r="I156" s="99"/>
      <x:c r="J156" s="99"/>
      <x:c r="K156" s="99"/>
      <x:c r="L156" s="99"/>
      <x:c r="M156" s="99"/>
      <x:c r="N156" s="99"/>
      <x:c r="O156" s="99"/>
      <x:c r="P156" s="99"/>
      <x:c r="Q156" s="99"/>
      <x:c r="R156" s="99"/>
      <x:c r="S156" s="99"/>
      <x:c r="T156" s="99"/>
      <x:c r="U156" s="99"/>
      <x:c r="V156" s="99"/>
      <x:c r="W156" s="99"/>
      <x:c r="X156" s="99"/>
      <x:c r="Y156" s="99"/>
      <x:c r="Z156" s="99"/>
    </x:row>
    <x:row r="157">
      <x:c r="A157" s="99"/>
      <x:c r="B157" s="99"/>
      <x:c r="C157" s="99"/>
      <x:c r="D157" s="99"/>
      <x:c r="E157" s="99"/>
      <x:c r="F157" s="99"/>
      <x:c r="G157" s="99"/>
      <x:c r="H157" s="99"/>
      <x:c r="I157" s="99"/>
      <x:c r="J157" s="99"/>
      <x:c r="K157" s="99"/>
      <x:c r="L157" s="99"/>
      <x:c r="M157" s="99"/>
      <x:c r="N157" s="99"/>
      <x:c r="O157" s="99"/>
      <x:c r="P157" s="99"/>
      <x:c r="Q157" s="99"/>
      <x:c r="R157" s="99"/>
      <x:c r="S157" s="99"/>
      <x:c r="T157" s="99"/>
      <x:c r="U157" s="99"/>
      <x:c r="V157" s="99"/>
      <x:c r="W157" s="99"/>
      <x:c r="X157" s="99"/>
      <x:c r="Y157" s="99"/>
      <x:c r="Z157" s="99"/>
    </x:row>
    <x:row r="158">
      <x:c r="A158" s="99"/>
      <x:c r="B158" s="99"/>
      <x:c r="C158" s="99"/>
      <x:c r="D158" s="99"/>
      <x:c r="E158" s="99"/>
      <x:c r="F158" s="99"/>
      <x:c r="G158" s="99"/>
      <x:c r="H158" s="99"/>
      <x:c r="I158" s="99"/>
      <x:c r="J158" s="99"/>
      <x:c r="K158" s="99"/>
      <x:c r="L158" s="99"/>
      <x:c r="M158" s="99"/>
      <x:c r="N158" s="99"/>
      <x:c r="O158" s="99"/>
      <x:c r="P158" s="99"/>
      <x:c r="Q158" s="99"/>
      <x:c r="R158" s="99"/>
      <x:c r="S158" s="99"/>
      <x:c r="T158" s="99"/>
      <x:c r="U158" s="99"/>
      <x:c r="V158" s="99"/>
      <x:c r="W158" s="99"/>
      <x:c r="X158" s="99"/>
      <x:c r="Y158" s="99"/>
      <x:c r="Z158" s="99"/>
    </x:row>
    <x:row r="159">
      <x:c r="A159" s="99"/>
      <x:c r="B159" s="99"/>
      <x:c r="C159" s="99"/>
      <x:c r="D159" s="99"/>
      <x:c r="E159" s="99"/>
      <x:c r="F159" s="99"/>
      <x:c r="G159" s="99"/>
      <x:c r="H159" s="99"/>
      <x:c r="I159" s="99"/>
      <x:c r="J159" s="99"/>
      <x:c r="K159" s="99"/>
      <x:c r="L159" s="99"/>
      <x:c r="M159" s="99"/>
      <x:c r="N159" s="99"/>
      <x:c r="O159" s="99"/>
      <x:c r="P159" s="99"/>
      <x:c r="Q159" s="99"/>
      <x:c r="R159" s="99"/>
      <x:c r="S159" s="99"/>
      <x:c r="T159" s="99"/>
      <x:c r="U159" s="99"/>
      <x:c r="V159" s="99"/>
      <x:c r="W159" s="99"/>
      <x:c r="X159" s="99"/>
      <x:c r="Y159" s="99"/>
      <x:c r="Z159" s="99"/>
    </x:row>
    <x:row r="160">
      <x:c r="A160" s="99"/>
      <x:c r="B160" s="99"/>
      <x:c r="C160" s="99"/>
      <x:c r="D160" s="99"/>
      <x:c r="E160" s="99"/>
      <x:c r="F160" s="99"/>
      <x:c r="G160" s="99"/>
      <x:c r="H160" s="99"/>
      <x:c r="I160" s="99"/>
      <x:c r="J160" s="99"/>
      <x:c r="K160" s="99"/>
      <x:c r="L160" s="99"/>
      <x:c r="M160" s="99"/>
      <x:c r="N160" s="99"/>
      <x:c r="O160" s="99"/>
      <x:c r="P160" s="99"/>
      <x:c r="Q160" s="99"/>
      <x:c r="R160" s="99"/>
      <x:c r="S160" s="99"/>
      <x:c r="T160" s="99"/>
      <x:c r="U160" s="99"/>
      <x:c r="V160" s="99"/>
      <x:c r="W160" s="99"/>
      <x:c r="X160" s="99"/>
      <x:c r="Y160" s="99"/>
      <x:c r="Z160" s="99"/>
    </x:row>
    <x:row r="161">
      <x:c r="A161" s="99"/>
      <x:c r="B161" s="99"/>
      <x:c r="C161" s="99"/>
      <x:c r="D161" s="99"/>
      <x:c r="E161" s="99"/>
      <x:c r="F161" s="99"/>
      <x:c r="G161" s="99"/>
      <x:c r="H161" s="99"/>
      <x:c r="I161" s="99"/>
      <x:c r="J161" s="99"/>
      <x:c r="K161" s="99"/>
      <x:c r="L161" s="99"/>
      <x:c r="M161" s="99"/>
      <x:c r="N161" s="99"/>
      <x:c r="O161" s="99"/>
      <x:c r="P161" s="99"/>
      <x:c r="Q161" s="99"/>
      <x:c r="R161" s="99"/>
      <x:c r="S161" s="99"/>
      <x:c r="T161" s="99"/>
      <x:c r="U161" s="99"/>
      <x:c r="V161" s="99"/>
      <x:c r="W161" s="99"/>
      <x:c r="X161" s="99"/>
      <x:c r="Y161" s="99"/>
      <x:c r="Z161" s="99"/>
    </x:row>
    <x:row r="162">
      <x:c r="A162" s="99"/>
      <x:c r="B162" s="99"/>
      <x:c r="C162" s="99"/>
      <x:c r="D162" s="99"/>
      <x:c r="E162" s="99"/>
      <x:c r="F162" s="99"/>
      <x:c r="G162" s="99"/>
      <x:c r="H162" s="99"/>
      <x:c r="I162" s="99"/>
      <x:c r="J162" s="99"/>
      <x:c r="K162" s="99"/>
      <x:c r="L162" s="99"/>
      <x:c r="M162" s="99"/>
      <x:c r="N162" s="99"/>
      <x:c r="O162" s="99"/>
      <x:c r="P162" s="99"/>
      <x:c r="Q162" s="99"/>
      <x:c r="R162" s="99"/>
      <x:c r="S162" s="99"/>
      <x:c r="T162" s="99"/>
      <x:c r="U162" s="99"/>
      <x:c r="V162" s="99"/>
      <x:c r="W162" s="99"/>
      <x:c r="X162" s="99"/>
      <x:c r="Y162" s="99"/>
      <x:c r="Z162" s="99"/>
    </x:row>
    <x:row r="163">
      <x:c r="A163" s="99"/>
      <x:c r="B163" s="99"/>
      <x:c r="C163" s="99"/>
      <x:c r="D163" s="99"/>
      <x:c r="E163" s="99"/>
      <x:c r="F163" s="99"/>
      <x:c r="G163" s="99"/>
      <x:c r="H163" s="99"/>
      <x:c r="I163" s="99"/>
      <x:c r="J163" s="99"/>
      <x:c r="K163" s="99"/>
      <x:c r="L163" s="99"/>
      <x:c r="M163" s="99"/>
      <x:c r="N163" s="99"/>
      <x:c r="O163" s="99"/>
      <x:c r="P163" s="99"/>
      <x:c r="Q163" s="99"/>
      <x:c r="R163" s="99"/>
      <x:c r="S163" s="99"/>
      <x:c r="T163" s="99"/>
      <x:c r="U163" s="99"/>
      <x:c r="V163" s="99"/>
      <x:c r="W163" s="99"/>
      <x:c r="X163" s="99"/>
      <x:c r="Y163" s="99"/>
      <x:c r="Z163" s="99"/>
    </x:row>
    <x:row r="164">
      <x:c r="A164" s="99"/>
      <x:c r="B164" s="99"/>
      <x:c r="C164" s="99"/>
      <x:c r="D164" s="99"/>
      <x:c r="E164" s="99"/>
      <x:c r="F164" s="99"/>
      <x:c r="G164" s="99"/>
      <x:c r="H164" s="99"/>
      <x:c r="I164" s="99"/>
      <x:c r="J164" s="99"/>
      <x:c r="K164" s="99"/>
      <x:c r="L164" s="99"/>
      <x:c r="M164" s="99"/>
      <x:c r="N164" s="99"/>
      <x:c r="O164" s="99"/>
      <x:c r="P164" s="99"/>
      <x:c r="Q164" s="99"/>
      <x:c r="R164" s="99"/>
      <x:c r="S164" s="99"/>
      <x:c r="T164" s="99"/>
      <x:c r="U164" s="99"/>
      <x:c r="V164" s="99"/>
      <x:c r="W164" s="99"/>
      <x:c r="X164" s="99"/>
      <x:c r="Y164" s="99"/>
      <x:c r="Z164" s="99"/>
    </x:row>
    <x:row r="165">
      <x:c r="A165" s="99"/>
      <x:c r="B165" s="99"/>
      <x:c r="C165" s="99"/>
      <x:c r="D165" s="99"/>
      <x:c r="E165" s="99"/>
      <x:c r="F165" s="99"/>
      <x:c r="G165" s="99"/>
      <x:c r="H165" s="99"/>
      <x:c r="I165" s="99"/>
      <x:c r="J165" s="99"/>
      <x:c r="K165" s="99"/>
      <x:c r="L165" s="99"/>
      <x:c r="M165" s="99"/>
      <x:c r="N165" s="99"/>
      <x:c r="O165" s="99"/>
      <x:c r="P165" s="99"/>
      <x:c r="Q165" s="99"/>
      <x:c r="R165" s="99"/>
      <x:c r="S165" s="99"/>
      <x:c r="T165" s="99"/>
      <x:c r="U165" s="99"/>
      <x:c r="V165" s="99"/>
      <x:c r="W165" s="99"/>
      <x:c r="X165" s="99"/>
      <x:c r="Y165" s="99"/>
      <x:c r="Z165" s="99"/>
    </x:row>
    <x:row r="166">
      <x:c r="A166" s="99"/>
      <x:c r="B166" s="99"/>
      <x:c r="C166" s="99"/>
      <x:c r="D166" s="99"/>
      <x:c r="E166" s="99"/>
      <x:c r="F166" s="99"/>
      <x:c r="G166" s="99"/>
      <x:c r="H166" s="99"/>
      <x:c r="I166" s="99"/>
      <x:c r="J166" s="99"/>
      <x:c r="K166" s="99"/>
      <x:c r="L166" s="99"/>
      <x:c r="M166" s="99"/>
      <x:c r="N166" s="99"/>
      <x:c r="O166" s="99"/>
      <x:c r="P166" s="99"/>
      <x:c r="Q166" s="99"/>
      <x:c r="R166" s="99"/>
      <x:c r="S166" s="99"/>
      <x:c r="T166" s="99"/>
      <x:c r="U166" s="99"/>
      <x:c r="V166" s="99"/>
      <x:c r="W166" s="99"/>
      <x:c r="X166" s="99"/>
      <x:c r="Y166" s="99"/>
      <x:c r="Z166" s="99"/>
    </x:row>
    <x:row r="167">
      <x:c r="A167" s="99"/>
      <x:c r="B167" s="99"/>
      <x:c r="C167" s="99"/>
      <x:c r="D167" s="99"/>
      <x:c r="E167" s="99"/>
      <x:c r="F167" s="99"/>
      <x:c r="G167" s="99"/>
      <x:c r="H167" s="99"/>
      <x:c r="I167" s="99"/>
      <x:c r="J167" s="99"/>
      <x:c r="K167" s="99"/>
      <x:c r="L167" s="99"/>
      <x:c r="M167" s="99"/>
      <x:c r="N167" s="99"/>
      <x:c r="O167" s="99"/>
      <x:c r="P167" s="99"/>
      <x:c r="Q167" s="99"/>
      <x:c r="R167" s="99"/>
      <x:c r="S167" s="99"/>
      <x:c r="T167" s="99"/>
      <x:c r="U167" s="99"/>
      <x:c r="V167" s="99"/>
      <x:c r="W167" s="99"/>
      <x:c r="X167" s="99"/>
      <x:c r="Y167" s="99"/>
      <x:c r="Z167" s="99"/>
    </x:row>
    <x:row r="168">
      <x:c r="A168" s="99"/>
      <x:c r="B168" s="99"/>
      <x:c r="C168" s="99"/>
      <x:c r="D168" s="99"/>
      <x:c r="E168" s="99"/>
      <x:c r="F168" s="99"/>
      <x:c r="G168" s="99"/>
      <x:c r="H168" s="99"/>
      <x:c r="I168" s="99"/>
      <x:c r="J168" s="99"/>
      <x:c r="K168" s="99"/>
      <x:c r="L168" s="99"/>
      <x:c r="M168" s="99"/>
      <x:c r="N168" s="99"/>
      <x:c r="O168" s="99"/>
      <x:c r="P168" s="99"/>
      <x:c r="Q168" s="99"/>
      <x:c r="R168" s="99"/>
      <x:c r="S168" s="99"/>
      <x:c r="T168" s="99"/>
      <x:c r="U168" s="99"/>
      <x:c r="V168" s="99"/>
      <x:c r="W168" s="99"/>
      <x:c r="X168" s="99"/>
      <x:c r="Y168" s="99"/>
      <x:c r="Z168" s="99"/>
    </x:row>
    <x:row r="169">
      <x:c r="A169" s="99"/>
      <x:c r="B169" s="99"/>
      <x:c r="C169" s="99"/>
      <x:c r="D169" s="99"/>
      <x:c r="E169" s="99"/>
      <x:c r="F169" s="99"/>
      <x:c r="G169" s="99"/>
      <x:c r="H169" s="99"/>
      <x:c r="I169" s="99"/>
      <x:c r="J169" s="99"/>
      <x:c r="K169" s="99"/>
      <x:c r="L169" s="99"/>
      <x:c r="M169" s="99"/>
      <x:c r="N169" s="99"/>
      <x:c r="O169" s="99"/>
      <x:c r="P169" s="99"/>
      <x:c r="Q169" s="99"/>
      <x:c r="R169" s="99"/>
      <x:c r="S169" s="99"/>
      <x:c r="T169" s="99"/>
      <x:c r="U169" s="99"/>
      <x:c r="V169" s="99"/>
      <x:c r="W169" s="99"/>
      <x:c r="X169" s="99"/>
      <x:c r="Y169" s="99"/>
      <x:c r="Z169" s="99"/>
    </x:row>
    <x:row r="170">
      <x:c r="A170" s="99"/>
      <x:c r="B170" s="99"/>
      <x:c r="C170" s="99"/>
      <x:c r="D170" s="99"/>
      <x:c r="E170" s="99"/>
      <x:c r="F170" s="99"/>
      <x:c r="G170" s="99"/>
      <x:c r="H170" s="99"/>
      <x:c r="I170" s="99"/>
      <x:c r="J170" s="99"/>
      <x:c r="K170" s="99"/>
      <x:c r="L170" s="99"/>
      <x:c r="M170" s="99"/>
      <x:c r="N170" s="99"/>
      <x:c r="O170" s="99"/>
      <x:c r="P170" s="99"/>
      <x:c r="Q170" s="99"/>
      <x:c r="R170" s="99"/>
      <x:c r="S170" s="99"/>
      <x:c r="T170" s="99"/>
      <x:c r="U170" s="99"/>
      <x:c r="V170" s="99"/>
      <x:c r="W170" s="99"/>
      <x:c r="X170" s="99"/>
      <x:c r="Y170" s="99"/>
      <x:c r="Z170" s="99"/>
    </x:row>
    <x:row r="171">
      <x:c r="A171" s="99"/>
      <x:c r="B171" s="99"/>
      <x:c r="C171" s="99"/>
      <x:c r="D171" s="99"/>
      <x:c r="E171" s="99"/>
      <x:c r="F171" s="99"/>
      <x:c r="G171" s="99"/>
      <x:c r="H171" s="99"/>
      <x:c r="I171" s="99"/>
      <x:c r="J171" s="99"/>
      <x:c r="K171" s="99"/>
      <x:c r="L171" s="99"/>
      <x:c r="M171" s="99"/>
      <x:c r="N171" s="99"/>
      <x:c r="O171" s="99"/>
      <x:c r="P171" s="99"/>
      <x:c r="Q171" s="99"/>
      <x:c r="R171" s="99"/>
      <x:c r="S171" s="99"/>
      <x:c r="T171" s="99"/>
      <x:c r="U171" s="99"/>
      <x:c r="V171" s="99"/>
      <x:c r="W171" s="99"/>
      <x:c r="X171" s="99"/>
      <x:c r="Y171" s="99"/>
      <x:c r="Z171" s="99"/>
    </x:row>
    <x:row r="172">
      <x:c r="A172" s="99"/>
      <x:c r="B172" s="99"/>
      <x:c r="C172" s="99"/>
      <x:c r="D172" s="99"/>
      <x:c r="E172" s="99"/>
      <x:c r="F172" s="99"/>
      <x:c r="G172" s="99"/>
      <x:c r="H172" s="99"/>
      <x:c r="I172" s="99"/>
      <x:c r="J172" s="99"/>
      <x:c r="K172" s="99"/>
      <x:c r="L172" s="99"/>
      <x:c r="M172" s="99"/>
      <x:c r="N172" s="99"/>
      <x:c r="O172" s="99"/>
      <x:c r="P172" s="99"/>
      <x:c r="Q172" s="99"/>
      <x:c r="R172" s="99"/>
      <x:c r="S172" s="99"/>
      <x:c r="T172" s="99"/>
      <x:c r="U172" s="99"/>
      <x:c r="V172" s="99"/>
      <x:c r="W172" s="99"/>
      <x:c r="X172" s="99"/>
      <x:c r="Y172" s="99"/>
      <x:c r="Z172" s="99"/>
    </x:row>
    <x:row r="173">
      <x:c r="A173" s="99"/>
      <x:c r="B173" s="99"/>
      <x:c r="C173" s="99"/>
      <x:c r="D173" s="99"/>
      <x:c r="E173" s="99"/>
      <x:c r="F173" s="99"/>
      <x:c r="G173" s="99"/>
      <x:c r="H173" s="99"/>
      <x:c r="I173" s="99"/>
      <x:c r="J173" s="99"/>
      <x:c r="K173" s="99"/>
      <x:c r="L173" s="99"/>
      <x:c r="M173" s="99"/>
      <x:c r="N173" s="99"/>
      <x:c r="O173" s="99"/>
      <x:c r="P173" s="99"/>
      <x:c r="Q173" s="99"/>
      <x:c r="R173" s="99"/>
      <x:c r="S173" s="99"/>
      <x:c r="T173" s="99"/>
      <x:c r="U173" s="99"/>
      <x:c r="V173" s="99"/>
      <x:c r="W173" s="99"/>
      <x:c r="X173" s="99"/>
      <x:c r="Y173" s="99"/>
      <x:c r="Z173" s="99"/>
    </x:row>
    <x:row r="174">
      <x:c r="A174" s="99"/>
      <x:c r="B174" s="99"/>
      <x:c r="C174" s="99"/>
      <x:c r="D174" s="99"/>
      <x:c r="E174" s="99"/>
      <x:c r="F174" s="99"/>
      <x:c r="G174" s="99"/>
      <x:c r="H174" s="99"/>
      <x:c r="I174" s="99"/>
      <x:c r="J174" s="99"/>
      <x:c r="K174" s="99"/>
      <x:c r="L174" s="99"/>
      <x:c r="M174" s="99"/>
      <x:c r="N174" s="99"/>
      <x:c r="O174" s="99"/>
      <x:c r="P174" s="99"/>
      <x:c r="Q174" s="99"/>
      <x:c r="R174" s="99"/>
      <x:c r="S174" s="99"/>
      <x:c r="T174" s="99"/>
      <x:c r="U174" s="99"/>
      <x:c r="V174" s="99"/>
      <x:c r="W174" s="99"/>
      <x:c r="X174" s="99"/>
      <x:c r="Y174" s="99"/>
      <x:c r="Z174" s="99"/>
    </x:row>
    <x:row r="175">
      <x:c r="A175" s="99"/>
      <x:c r="B175" s="99"/>
      <x:c r="C175" s="99"/>
      <x:c r="D175" s="99"/>
      <x:c r="E175" s="99"/>
      <x:c r="F175" s="99"/>
      <x:c r="G175" s="99"/>
      <x:c r="H175" s="99"/>
      <x:c r="I175" s="99"/>
      <x:c r="J175" s="99"/>
      <x:c r="K175" s="99"/>
      <x:c r="L175" s="99"/>
      <x:c r="M175" s="99"/>
      <x:c r="N175" s="99"/>
      <x:c r="O175" s="99"/>
      <x:c r="P175" s="99"/>
      <x:c r="Q175" s="99"/>
      <x:c r="R175" s="99"/>
      <x:c r="S175" s="99"/>
      <x:c r="T175" s="99"/>
      <x:c r="U175" s="99"/>
      <x:c r="V175" s="99"/>
      <x:c r="W175" s="99"/>
      <x:c r="X175" s="99"/>
      <x:c r="Y175" s="99"/>
      <x:c r="Z175" s="99"/>
    </x:row>
    <x:row r="176">
      <x:c r="A176" s="99"/>
      <x:c r="B176" s="99"/>
      <x:c r="C176" s="99"/>
      <x:c r="D176" s="99"/>
      <x:c r="E176" s="99"/>
      <x:c r="F176" s="99"/>
      <x:c r="G176" s="99"/>
      <x:c r="H176" s="99"/>
      <x:c r="I176" s="99"/>
      <x:c r="J176" s="99"/>
      <x:c r="K176" s="99"/>
      <x:c r="L176" s="99"/>
      <x:c r="M176" s="99"/>
      <x:c r="N176" s="99"/>
      <x:c r="O176" s="99"/>
      <x:c r="P176" s="99"/>
      <x:c r="Q176" s="99"/>
      <x:c r="R176" s="99"/>
      <x:c r="S176" s="99"/>
      <x:c r="T176" s="99"/>
      <x:c r="U176" s="99"/>
      <x:c r="V176" s="99"/>
      <x:c r="W176" s="99"/>
      <x:c r="X176" s="99"/>
      <x:c r="Y176" s="99"/>
      <x:c r="Z176" s="99"/>
    </x:row>
    <x:row r="177">
      <x:c r="A177" s="99"/>
      <x:c r="B177" s="99"/>
      <x:c r="C177" s="99"/>
      <x:c r="D177" s="99"/>
      <x:c r="E177" s="99"/>
      <x:c r="F177" s="99"/>
      <x:c r="G177" s="99"/>
      <x:c r="H177" s="99"/>
      <x:c r="I177" s="99"/>
      <x:c r="J177" s="99"/>
      <x:c r="K177" s="99"/>
      <x:c r="L177" s="99"/>
      <x:c r="M177" s="99"/>
      <x:c r="N177" s="99"/>
      <x:c r="O177" s="99"/>
      <x:c r="P177" s="99"/>
      <x:c r="Q177" s="99"/>
      <x:c r="R177" s="99"/>
      <x:c r="S177" s="99"/>
      <x:c r="T177" s="99"/>
      <x:c r="U177" s="99"/>
      <x:c r="V177" s="99"/>
      <x:c r="W177" s="99"/>
      <x:c r="X177" s="99"/>
      <x:c r="Y177" s="99"/>
      <x:c r="Z177" s="99"/>
    </x:row>
    <x:row r="178">
      <x:c r="A178" s="99"/>
      <x:c r="B178" s="99"/>
      <x:c r="C178" s="99"/>
      <x:c r="D178" s="99"/>
      <x:c r="E178" s="99"/>
      <x:c r="F178" s="99"/>
      <x:c r="G178" s="99"/>
      <x:c r="H178" s="99"/>
      <x:c r="I178" s="99"/>
      <x:c r="J178" s="99"/>
      <x:c r="K178" s="99"/>
      <x:c r="L178" s="99"/>
      <x:c r="M178" s="99"/>
      <x:c r="N178" s="99"/>
      <x:c r="O178" s="99"/>
      <x:c r="P178" s="99"/>
      <x:c r="Q178" s="99"/>
      <x:c r="R178" s="99"/>
      <x:c r="S178" s="99"/>
      <x:c r="T178" s="99"/>
      <x:c r="U178" s="99"/>
      <x:c r="V178" s="99"/>
      <x:c r="W178" s="99"/>
      <x:c r="X178" s="99"/>
      <x:c r="Y178" s="99"/>
      <x:c r="Z178" s="99"/>
    </x:row>
    <x:row r="179">
      <x:c r="A179" s="99"/>
      <x:c r="B179" s="99"/>
      <x:c r="C179" s="99"/>
      <x:c r="D179" s="99"/>
      <x:c r="E179" s="99"/>
      <x:c r="F179" s="99"/>
      <x:c r="G179" s="99"/>
      <x:c r="H179" s="99"/>
      <x:c r="I179" s="99"/>
      <x:c r="J179" s="99"/>
      <x:c r="K179" s="99"/>
      <x:c r="L179" s="99"/>
      <x:c r="M179" s="99"/>
      <x:c r="N179" s="99"/>
      <x:c r="O179" s="99"/>
      <x:c r="P179" s="99"/>
      <x:c r="Q179" s="99"/>
      <x:c r="R179" s="99"/>
      <x:c r="S179" s="99"/>
      <x:c r="T179" s="99"/>
      <x:c r="U179" s="99"/>
      <x:c r="V179" s="99"/>
      <x:c r="W179" s="99"/>
      <x:c r="X179" s="99"/>
      <x:c r="Y179" s="99"/>
      <x:c r="Z179" s="99"/>
    </x:row>
    <x:row r="180">
      <x:c r="A180" s="99"/>
      <x:c r="B180" s="99"/>
      <x:c r="C180" s="99"/>
      <x:c r="D180" s="99"/>
      <x:c r="E180" s="99"/>
      <x:c r="F180" s="99"/>
      <x:c r="G180" s="99"/>
      <x:c r="H180" s="99"/>
      <x:c r="I180" s="99"/>
      <x:c r="J180" s="99"/>
      <x:c r="K180" s="99"/>
      <x:c r="L180" s="99"/>
      <x:c r="M180" s="99"/>
      <x:c r="N180" s="99"/>
      <x:c r="O180" s="99"/>
      <x:c r="P180" s="99"/>
      <x:c r="Q180" s="99"/>
      <x:c r="R180" s="99"/>
      <x:c r="S180" s="99"/>
      <x:c r="T180" s="99"/>
      <x:c r="U180" s="99"/>
      <x:c r="V180" s="99"/>
      <x:c r="W180" s="99"/>
      <x:c r="X180" s="99"/>
      <x:c r="Y180" s="99"/>
      <x:c r="Z180" s="99"/>
    </x:row>
    <x:row r="181">
      <x:c r="A181" s="99"/>
      <x:c r="B181" s="99"/>
      <x:c r="C181" s="99"/>
      <x:c r="D181" s="99"/>
      <x:c r="E181" s="99"/>
      <x:c r="F181" s="99"/>
      <x:c r="G181" s="99"/>
      <x:c r="H181" s="99"/>
      <x:c r="I181" s="99"/>
      <x:c r="J181" s="99"/>
      <x:c r="K181" s="99"/>
      <x:c r="L181" s="99"/>
      <x:c r="M181" s="99"/>
      <x:c r="N181" s="99"/>
      <x:c r="O181" s="99"/>
      <x:c r="P181" s="99"/>
      <x:c r="Q181" s="99"/>
      <x:c r="R181" s="99"/>
      <x:c r="S181" s="99"/>
      <x:c r="T181" s="99"/>
      <x:c r="U181" s="99"/>
      <x:c r="V181" s="99"/>
      <x:c r="W181" s="99"/>
      <x:c r="X181" s="99"/>
      <x:c r="Y181" s="99"/>
      <x:c r="Z181" s="99"/>
    </x:row>
    <x:row r="182">
      <x:c r="A182" s="99"/>
      <x:c r="B182" s="99"/>
      <x:c r="C182" s="99"/>
      <x:c r="D182" s="99"/>
      <x:c r="E182" s="99"/>
      <x:c r="F182" s="99"/>
      <x:c r="G182" s="99"/>
      <x:c r="H182" s="99"/>
      <x:c r="I182" s="99"/>
      <x:c r="J182" s="99"/>
      <x:c r="K182" s="99"/>
      <x:c r="L182" s="99"/>
      <x:c r="M182" s="99"/>
      <x:c r="N182" s="99"/>
      <x:c r="O182" s="99"/>
      <x:c r="P182" s="99"/>
      <x:c r="Q182" s="99"/>
      <x:c r="R182" s="99"/>
      <x:c r="S182" s="99"/>
      <x:c r="T182" s="99"/>
      <x:c r="U182" s="99"/>
      <x:c r="V182" s="99"/>
      <x:c r="W182" s="99"/>
      <x:c r="X182" s="99"/>
      <x:c r="Y182" s="99"/>
      <x:c r="Z182" s="99"/>
    </x:row>
    <x:row r="183">
      <x:c r="A183" s="99"/>
      <x:c r="B183" s="99"/>
      <x:c r="C183" s="99"/>
      <x:c r="D183" s="99"/>
      <x:c r="E183" s="99"/>
      <x:c r="F183" s="99"/>
      <x:c r="G183" s="99"/>
      <x:c r="H183" s="99"/>
      <x:c r="I183" s="99"/>
      <x:c r="J183" s="99"/>
      <x:c r="K183" s="99"/>
      <x:c r="L183" s="99"/>
      <x:c r="M183" s="99"/>
      <x:c r="N183" s="99"/>
      <x:c r="O183" s="99"/>
      <x:c r="P183" s="99"/>
      <x:c r="Q183" s="99"/>
      <x:c r="R183" s="99"/>
      <x:c r="S183" s="99"/>
      <x:c r="T183" s="99"/>
      <x:c r="U183" s="99"/>
      <x:c r="V183" s="99"/>
      <x:c r="W183" s="99"/>
      <x:c r="X183" s="99"/>
      <x:c r="Y183" s="99"/>
      <x:c r="Z183" s="99"/>
    </x:row>
    <x:row r="184">
      <x:c r="A184" s="99"/>
      <x:c r="B184" s="99"/>
      <x:c r="C184" s="99"/>
      <x:c r="D184" s="99"/>
      <x:c r="E184" s="99"/>
      <x:c r="F184" s="99"/>
      <x:c r="G184" s="99"/>
      <x:c r="H184" s="99"/>
      <x:c r="I184" s="99"/>
      <x:c r="J184" s="99"/>
      <x:c r="K184" s="99"/>
      <x:c r="L184" s="99"/>
      <x:c r="M184" s="99"/>
      <x:c r="N184" s="99"/>
      <x:c r="O184" s="99"/>
      <x:c r="P184" s="99"/>
      <x:c r="Q184" s="99"/>
      <x:c r="R184" s="99"/>
      <x:c r="S184" s="99"/>
      <x:c r="T184" s="99"/>
      <x:c r="U184" s="99"/>
      <x:c r="V184" s="99"/>
      <x:c r="W184" s="99"/>
      <x:c r="X184" s="99"/>
      <x:c r="Y184" s="99"/>
      <x:c r="Z184" s="99"/>
    </x:row>
    <x:row r="185">
      <x:c r="A185" s="99"/>
      <x:c r="B185" s="99"/>
      <x:c r="C185" s="99"/>
      <x:c r="D185" s="99"/>
      <x:c r="E185" s="99"/>
      <x:c r="F185" s="99"/>
      <x:c r="G185" s="99"/>
      <x:c r="H185" s="99"/>
      <x:c r="I185" s="99"/>
      <x:c r="J185" s="99"/>
      <x:c r="K185" s="99"/>
      <x:c r="L185" s="99"/>
      <x:c r="M185" s="99"/>
      <x:c r="N185" s="99"/>
      <x:c r="O185" s="99"/>
      <x:c r="P185" s="99"/>
      <x:c r="Q185" s="99"/>
      <x:c r="R185" s="99"/>
      <x:c r="S185" s="99"/>
      <x:c r="T185" s="99"/>
      <x:c r="U185" s="99"/>
      <x:c r="V185" s="99"/>
      <x:c r="W185" s="99"/>
      <x:c r="X185" s="99"/>
      <x:c r="Y185" s="99"/>
      <x:c r="Z185" s="99"/>
    </x:row>
    <x:row r="186">
      <x:c r="A186" s="99"/>
      <x:c r="B186" s="99"/>
      <x:c r="C186" s="99"/>
      <x:c r="D186" s="99"/>
      <x:c r="E186" s="99"/>
      <x:c r="F186" s="99"/>
      <x:c r="G186" s="99"/>
      <x:c r="H186" s="99"/>
      <x:c r="I186" s="99"/>
      <x:c r="J186" s="99"/>
      <x:c r="K186" s="99"/>
      <x:c r="L186" s="99"/>
      <x:c r="M186" s="99"/>
      <x:c r="N186" s="99"/>
      <x:c r="O186" s="99"/>
      <x:c r="P186" s="99"/>
      <x:c r="Q186" s="99"/>
      <x:c r="R186" s="99"/>
      <x:c r="S186" s="99"/>
      <x:c r="T186" s="99"/>
      <x:c r="U186" s="99"/>
      <x:c r="V186" s="99"/>
      <x:c r="W186" s="99"/>
      <x:c r="X186" s="99"/>
      <x:c r="Y186" s="99"/>
      <x:c r="Z186" s="99"/>
    </x:row>
    <x:row r="187">
      <x:c r="A187" s="99"/>
      <x:c r="B187" s="99"/>
      <x:c r="C187" s="99"/>
      <x:c r="D187" s="99"/>
      <x:c r="E187" s="99"/>
      <x:c r="F187" s="99"/>
      <x:c r="G187" s="99"/>
      <x:c r="H187" s="99"/>
      <x:c r="I187" s="99"/>
      <x:c r="J187" s="99"/>
      <x:c r="K187" s="99"/>
      <x:c r="L187" s="99"/>
      <x:c r="M187" s="99"/>
      <x:c r="N187" s="99"/>
      <x:c r="O187" s="99"/>
      <x:c r="P187" s="99"/>
      <x:c r="Q187" s="99"/>
      <x:c r="R187" s="99"/>
      <x:c r="S187" s="99"/>
      <x:c r="T187" s="99"/>
      <x:c r="U187" s="99"/>
      <x:c r="V187" s="99"/>
      <x:c r="W187" s="99"/>
      <x:c r="X187" s="99"/>
      <x:c r="Y187" s="99"/>
      <x:c r="Z187" s="99"/>
    </x:row>
    <x:row r="188">
      <x:c r="A188" s="99"/>
      <x:c r="B188" s="99"/>
      <x:c r="C188" s="99"/>
      <x:c r="D188" s="99"/>
      <x:c r="E188" s="99"/>
      <x:c r="F188" s="99"/>
      <x:c r="G188" s="99"/>
      <x:c r="H188" s="99"/>
      <x:c r="I188" s="99"/>
      <x:c r="J188" s="99"/>
      <x:c r="K188" s="99"/>
      <x:c r="L188" s="99"/>
      <x:c r="M188" s="99"/>
      <x:c r="N188" s="99"/>
      <x:c r="O188" s="99"/>
      <x:c r="P188" s="99"/>
      <x:c r="Q188" s="99"/>
      <x:c r="R188" s="99"/>
      <x:c r="S188" s="99"/>
      <x:c r="T188" s="99"/>
      <x:c r="U188" s="99"/>
      <x:c r="V188" s="99"/>
      <x:c r="W188" s="99"/>
      <x:c r="X188" s="99"/>
      <x:c r="Y188" s="99"/>
      <x:c r="Z188" s="99"/>
    </x:row>
    <x:row r="189">
      <x:c r="A189" s="99"/>
      <x:c r="B189" s="99"/>
      <x:c r="C189" s="99"/>
      <x:c r="D189" s="99"/>
      <x:c r="E189" s="99"/>
      <x:c r="F189" s="99"/>
      <x:c r="G189" s="99"/>
      <x:c r="H189" s="99"/>
      <x:c r="I189" s="99"/>
      <x:c r="J189" s="99"/>
      <x:c r="K189" s="99"/>
      <x:c r="L189" s="99"/>
      <x:c r="M189" s="99"/>
      <x:c r="N189" s="99"/>
      <x:c r="O189" s="99"/>
      <x:c r="P189" s="99"/>
      <x:c r="Q189" s="99"/>
      <x:c r="R189" s="99"/>
      <x:c r="S189" s="99"/>
      <x:c r="T189" s="99"/>
      <x:c r="U189" s="99"/>
      <x:c r="V189" s="99"/>
      <x:c r="W189" s="99"/>
      <x:c r="X189" s="99"/>
      <x:c r="Y189" s="99"/>
      <x:c r="Z189" s="99"/>
    </x:row>
    <x:row r="190">
      <x:c r="A190" s="99"/>
      <x:c r="B190" s="99"/>
      <x:c r="C190" s="99"/>
      <x:c r="D190" s="99"/>
      <x:c r="E190" s="99"/>
      <x:c r="F190" s="99"/>
      <x:c r="G190" s="99"/>
      <x:c r="H190" s="99"/>
      <x:c r="I190" s="99"/>
      <x:c r="J190" s="99"/>
      <x:c r="K190" s="99"/>
      <x:c r="L190" s="99"/>
      <x:c r="M190" s="99"/>
      <x:c r="N190" s="99"/>
      <x:c r="O190" s="99"/>
      <x:c r="P190" s="99"/>
      <x:c r="Q190" s="99"/>
      <x:c r="R190" s="99"/>
      <x:c r="S190" s="99"/>
      <x:c r="T190" s="99"/>
      <x:c r="U190" s="99"/>
      <x:c r="V190" s="99"/>
      <x:c r="W190" s="99"/>
      <x:c r="X190" s="99"/>
      <x:c r="Y190" s="99"/>
      <x:c r="Z190" s="99"/>
    </x:row>
    <x:row r="191">
      <x:c r="A191" s="99"/>
      <x:c r="B191" s="99"/>
      <x:c r="C191" s="99"/>
      <x:c r="D191" s="99"/>
      <x:c r="E191" s="99"/>
      <x:c r="F191" s="99"/>
      <x:c r="G191" s="99"/>
      <x:c r="H191" s="99"/>
      <x:c r="I191" s="99"/>
      <x:c r="J191" s="99"/>
      <x:c r="K191" s="99"/>
      <x:c r="L191" s="99"/>
      <x:c r="M191" s="99"/>
      <x:c r="N191" s="99"/>
      <x:c r="O191" s="99"/>
      <x:c r="P191" s="99"/>
      <x:c r="Q191" s="99"/>
      <x:c r="R191" s="99"/>
      <x:c r="S191" s="99"/>
      <x:c r="T191" s="99"/>
      <x:c r="U191" s="99"/>
      <x:c r="V191" s="99"/>
      <x:c r="W191" s="99"/>
      <x:c r="X191" s="99"/>
      <x:c r="Y191" s="99"/>
      <x:c r="Z191" s="99"/>
    </x:row>
    <x:row r="192">
      <x:c r="A192" s="99"/>
      <x:c r="B192" s="99"/>
      <x:c r="C192" s="99"/>
      <x:c r="D192" s="99"/>
      <x:c r="E192" s="99"/>
      <x:c r="F192" s="99"/>
      <x:c r="G192" s="99"/>
      <x:c r="H192" s="99"/>
      <x:c r="I192" s="99"/>
      <x:c r="J192" s="99"/>
      <x:c r="K192" s="99"/>
      <x:c r="L192" s="99"/>
      <x:c r="M192" s="99"/>
      <x:c r="N192" s="99"/>
      <x:c r="O192" s="99"/>
      <x:c r="P192" s="99"/>
      <x:c r="Q192" s="99"/>
      <x:c r="R192" s="99"/>
      <x:c r="S192" s="99"/>
      <x:c r="T192" s="99"/>
      <x:c r="U192" s="99"/>
      <x:c r="V192" s="99"/>
      <x:c r="W192" s="99"/>
      <x:c r="X192" s="99"/>
      <x:c r="Y192" s="99"/>
      <x:c r="Z192" s="99"/>
    </x:row>
    <x:row r="193">
      <x:c r="A193" s="99"/>
      <x:c r="B193" s="99"/>
      <x:c r="C193" s="99"/>
      <x:c r="D193" s="99"/>
      <x:c r="E193" s="99"/>
      <x:c r="F193" s="99"/>
      <x:c r="G193" s="99"/>
      <x:c r="H193" s="99"/>
      <x:c r="I193" s="99"/>
      <x:c r="J193" s="99"/>
      <x:c r="K193" s="99"/>
      <x:c r="L193" s="99"/>
      <x:c r="M193" s="99"/>
      <x:c r="N193" s="99"/>
      <x:c r="O193" s="99"/>
      <x:c r="P193" s="99"/>
      <x:c r="Q193" s="99"/>
      <x:c r="R193" s="99"/>
      <x:c r="S193" s="99"/>
      <x:c r="T193" s="99"/>
      <x:c r="U193" s="99"/>
      <x:c r="V193" s="99"/>
      <x:c r="W193" s="99"/>
      <x:c r="X193" s="99"/>
      <x:c r="Y193" s="99"/>
      <x:c r="Z193" s="99"/>
    </x:row>
    <x:row r="194">
      <x:c r="A194" s="99"/>
      <x:c r="B194" s="99"/>
      <x:c r="C194" s="99"/>
      <x:c r="D194" s="99"/>
      <x:c r="E194" s="99"/>
      <x:c r="F194" s="99"/>
      <x:c r="G194" s="99"/>
      <x:c r="H194" s="99"/>
      <x:c r="I194" s="99"/>
      <x:c r="J194" s="99"/>
      <x:c r="K194" s="99"/>
      <x:c r="L194" s="99"/>
      <x:c r="M194" s="99"/>
      <x:c r="N194" s="99"/>
      <x:c r="O194" s="99"/>
      <x:c r="P194" s="99"/>
      <x:c r="Q194" s="99"/>
      <x:c r="R194" s="99"/>
      <x:c r="S194" s="99"/>
      <x:c r="T194" s="99"/>
      <x:c r="U194" s="99"/>
      <x:c r="V194" s="99"/>
      <x:c r="W194" s="99"/>
      <x:c r="X194" s="99"/>
      <x:c r="Y194" s="99"/>
      <x:c r="Z194" s="99"/>
    </x:row>
    <x:row r="195">
      <x:c r="A195" s="99"/>
      <x:c r="B195" s="99"/>
      <x:c r="C195" s="99"/>
      <x:c r="D195" s="99"/>
      <x:c r="E195" s="99"/>
      <x:c r="F195" s="99"/>
      <x:c r="G195" s="99"/>
      <x:c r="H195" s="99"/>
      <x:c r="I195" s="99"/>
      <x:c r="J195" s="99"/>
      <x:c r="K195" s="99"/>
      <x:c r="L195" s="99"/>
      <x:c r="M195" s="99"/>
      <x:c r="N195" s="99"/>
      <x:c r="O195" s="99"/>
      <x:c r="P195" s="99"/>
      <x:c r="Q195" s="99"/>
      <x:c r="R195" s="99"/>
      <x:c r="S195" s="99"/>
      <x:c r="T195" s="99"/>
      <x:c r="U195" s="99"/>
      <x:c r="V195" s="99"/>
      <x:c r="W195" s="99"/>
      <x:c r="X195" s="99"/>
      <x:c r="Y195" s="99"/>
      <x:c r="Z195" s="99"/>
    </x:row>
    <x:row r="196">
      <x:c r="A196" s="99"/>
      <x:c r="B196" s="99"/>
      <x:c r="C196" s="99"/>
      <x:c r="D196" s="99"/>
      <x:c r="E196" s="99"/>
      <x:c r="F196" s="99"/>
      <x:c r="G196" s="99"/>
      <x:c r="H196" s="99"/>
      <x:c r="I196" s="99"/>
      <x:c r="J196" s="99"/>
      <x:c r="K196" s="99"/>
      <x:c r="L196" s="99"/>
      <x:c r="M196" s="99"/>
      <x:c r="N196" s="99"/>
      <x:c r="O196" s="99"/>
      <x:c r="P196" s="99"/>
      <x:c r="Q196" s="99"/>
      <x:c r="R196" s="99"/>
      <x:c r="S196" s="99"/>
      <x:c r="T196" s="99"/>
      <x:c r="U196" s="99"/>
      <x:c r="V196" s="99"/>
      <x:c r="W196" s="99"/>
      <x:c r="X196" s="99"/>
      <x:c r="Y196" s="99"/>
      <x:c r="Z196" s="99"/>
    </x:row>
    <x:row r="197">
      <x:c r="A197" s="99"/>
      <x:c r="B197" s="99"/>
      <x:c r="C197" s="99"/>
      <x:c r="D197" s="99"/>
      <x:c r="E197" s="99"/>
      <x:c r="F197" s="99"/>
      <x:c r="G197" s="99"/>
      <x:c r="H197" s="99"/>
      <x:c r="I197" s="99"/>
      <x:c r="J197" s="99"/>
      <x:c r="K197" s="99"/>
      <x:c r="L197" s="99"/>
      <x:c r="M197" s="99"/>
      <x:c r="N197" s="99"/>
      <x:c r="O197" s="99"/>
      <x:c r="P197" s="99"/>
      <x:c r="Q197" s="99"/>
      <x:c r="R197" s="99"/>
      <x:c r="S197" s="99"/>
      <x:c r="T197" s="99"/>
      <x:c r="U197" s="99"/>
      <x:c r="V197" s="99"/>
      <x:c r="W197" s="99"/>
      <x:c r="X197" s="99"/>
      <x:c r="Y197" s="99"/>
      <x:c r="Z197" s="99"/>
    </x:row>
    <x:row r="198">
      <x:c r="A198" s="99"/>
      <x:c r="B198" s="99"/>
      <x:c r="C198" s="99"/>
      <x:c r="D198" s="99"/>
      <x:c r="E198" s="99"/>
      <x:c r="F198" s="99"/>
      <x:c r="G198" s="99"/>
      <x:c r="H198" s="99"/>
      <x:c r="I198" s="99"/>
      <x:c r="J198" s="99"/>
      <x:c r="K198" s="99"/>
      <x:c r="L198" s="99"/>
      <x:c r="M198" s="99"/>
      <x:c r="N198" s="99"/>
      <x:c r="O198" s="99"/>
      <x:c r="P198" s="99"/>
      <x:c r="Q198" s="99"/>
      <x:c r="R198" s="99"/>
      <x:c r="S198" s="99"/>
      <x:c r="T198" s="99"/>
      <x:c r="U198" s="99"/>
      <x:c r="V198" s="99"/>
      <x:c r="W198" s="99"/>
      <x:c r="X198" s="99"/>
      <x:c r="Y198" s="99"/>
      <x:c r="Z198" s="99"/>
    </x:row>
    <x:row r="199">
      <x:c r="A199" s="99"/>
      <x:c r="B199" s="99"/>
      <x:c r="C199" s="99"/>
      <x:c r="D199" s="99"/>
      <x:c r="E199" s="99"/>
      <x:c r="F199" s="99"/>
      <x:c r="G199" s="99"/>
      <x:c r="H199" s="99"/>
      <x:c r="I199" s="99"/>
      <x:c r="J199" s="99"/>
      <x:c r="K199" s="99"/>
      <x:c r="L199" s="99"/>
      <x:c r="M199" s="99"/>
      <x:c r="N199" s="99"/>
      <x:c r="O199" s="99"/>
      <x:c r="P199" s="99"/>
      <x:c r="Q199" s="99"/>
      <x:c r="R199" s="99"/>
      <x:c r="S199" s="99"/>
      <x:c r="T199" s="99"/>
      <x:c r="U199" s="99"/>
      <x:c r="V199" s="99"/>
      <x:c r="W199" s="99"/>
      <x:c r="X199" s="99"/>
      <x:c r="Y199" s="99"/>
      <x:c r="Z199" s="99"/>
    </x:row>
    <x:row r="200">
      <x:c r="A200" s="99"/>
      <x:c r="B200" s="99"/>
      <x:c r="C200" s="99"/>
      <x:c r="D200" s="99"/>
      <x:c r="E200" s="99"/>
      <x:c r="F200" s="99"/>
      <x:c r="G200" s="99"/>
      <x:c r="H200" s="99"/>
      <x:c r="I200" s="99"/>
      <x:c r="J200" s="99"/>
      <x:c r="K200" s="99"/>
      <x:c r="L200" s="99"/>
      <x:c r="M200" s="99"/>
      <x:c r="N200" s="99"/>
      <x:c r="O200" s="99"/>
      <x:c r="P200" s="99"/>
      <x:c r="Q200" s="99"/>
      <x:c r="R200" s="99"/>
      <x:c r="S200" s="99"/>
      <x:c r="T200" s="99"/>
      <x:c r="U200" s="99"/>
      <x:c r="V200" s="99"/>
      <x:c r="W200" s="99"/>
      <x:c r="X200" s="99"/>
      <x:c r="Y200" s="99"/>
      <x:c r="Z200" s="99"/>
    </x:row>
    <x:row r="201">
      <x:c r="A201" s="99"/>
      <x:c r="B201" s="99"/>
      <x:c r="C201" s="99"/>
      <x:c r="D201" s="99"/>
      <x:c r="E201" s="99"/>
      <x:c r="F201" s="99"/>
      <x:c r="G201" s="99"/>
      <x:c r="H201" s="99"/>
      <x:c r="I201" s="99"/>
      <x:c r="J201" s="99"/>
      <x:c r="K201" s="99"/>
      <x:c r="L201" s="99"/>
      <x:c r="M201" s="99"/>
      <x:c r="N201" s="99"/>
      <x:c r="O201" s="99"/>
      <x:c r="P201" s="99"/>
      <x:c r="Q201" s="99"/>
      <x:c r="R201" s="99"/>
      <x:c r="S201" s="99"/>
      <x:c r="T201" s="99"/>
      <x:c r="U201" s="99"/>
      <x:c r="V201" s="99"/>
      <x:c r="W201" s="99"/>
      <x:c r="X201" s="99"/>
      <x:c r="Y201" s="99"/>
      <x:c r="Z201" s="99"/>
    </x:row>
    <x:row r="202">
      <x:c r="A202" s="99"/>
      <x:c r="B202" s="99"/>
      <x:c r="C202" s="99"/>
      <x:c r="D202" s="99"/>
      <x:c r="E202" s="99"/>
      <x:c r="F202" s="99"/>
      <x:c r="G202" s="99"/>
      <x:c r="H202" s="99"/>
      <x:c r="I202" s="99"/>
      <x:c r="J202" s="99"/>
      <x:c r="K202" s="99"/>
      <x:c r="L202" s="99"/>
      <x:c r="M202" s="99"/>
      <x:c r="N202" s="99"/>
      <x:c r="O202" s="99"/>
      <x:c r="P202" s="99"/>
      <x:c r="Q202" s="99"/>
      <x:c r="R202" s="99"/>
      <x:c r="S202" s="99"/>
      <x:c r="T202" s="99"/>
      <x:c r="U202" s="99"/>
      <x:c r="V202" s="99"/>
      <x:c r="W202" s="99"/>
      <x:c r="X202" s="99"/>
      <x:c r="Y202" s="99"/>
      <x:c r="Z202" s="99"/>
    </x:row>
    <x:row r="203">
      <x:c r="A203" s="99"/>
      <x:c r="B203" s="99"/>
      <x:c r="C203" s="99"/>
      <x:c r="D203" s="99"/>
      <x:c r="E203" s="99"/>
      <x:c r="F203" s="99"/>
      <x:c r="G203" s="99"/>
      <x:c r="H203" s="99"/>
      <x:c r="I203" s="99"/>
      <x:c r="J203" s="99"/>
      <x:c r="K203" s="99"/>
      <x:c r="L203" s="99"/>
      <x:c r="M203" s="99"/>
      <x:c r="N203" s="99"/>
      <x:c r="O203" s="99"/>
      <x:c r="P203" s="99"/>
      <x:c r="Q203" s="99"/>
      <x:c r="R203" s="99"/>
      <x:c r="S203" s="99"/>
      <x:c r="T203" s="99"/>
      <x:c r="U203" s="99"/>
      <x:c r="V203" s="99"/>
      <x:c r="W203" s="99"/>
      <x:c r="X203" s="99"/>
      <x:c r="Y203" s="99"/>
      <x:c r="Z203" s="99"/>
    </x:row>
    <x:row r="204">
      <x:c r="A204" s="99"/>
      <x:c r="B204" s="99"/>
      <x:c r="C204" s="99"/>
      <x:c r="D204" s="99"/>
      <x:c r="E204" s="99"/>
      <x:c r="F204" s="99"/>
      <x:c r="G204" s="99"/>
      <x:c r="H204" s="99"/>
      <x:c r="I204" s="99"/>
      <x:c r="J204" s="99"/>
      <x:c r="K204" s="99"/>
      <x:c r="L204" s="99"/>
      <x:c r="M204" s="99"/>
      <x:c r="N204" s="99"/>
      <x:c r="O204" s="99"/>
      <x:c r="P204" s="99"/>
      <x:c r="Q204" s="99"/>
      <x:c r="R204" s="99"/>
      <x:c r="S204" s="99"/>
      <x:c r="T204" s="99"/>
      <x:c r="U204" s="99"/>
      <x:c r="V204" s="99"/>
      <x:c r="W204" s="99"/>
      <x:c r="X204" s="99"/>
      <x:c r="Y204" s="99"/>
      <x:c r="Z204" s="99"/>
    </x:row>
    <x:row r="205">
      <x:c r="A205" s="99"/>
      <x:c r="B205" s="99"/>
      <x:c r="C205" s="99"/>
      <x:c r="D205" s="99"/>
      <x:c r="E205" s="99"/>
      <x:c r="F205" s="99"/>
      <x:c r="G205" s="99"/>
      <x:c r="H205" s="99"/>
      <x:c r="I205" s="99"/>
      <x:c r="J205" s="99"/>
      <x:c r="K205" s="99"/>
      <x:c r="L205" s="99"/>
      <x:c r="M205" s="99"/>
      <x:c r="N205" s="99"/>
      <x:c r="O205" s="99"/>
      <x:c r="P205" s="99"/>
      <x:c r="Q205" s="99"/>
      <x:c r="R205" s="99"/>
      <x:c r="S205" s="99"/>
      <x:c r="T205" s="99"/>
      <x:c r="U205" s="99"/>
      <x:c r="V205" s="99"/>
      <x:c r="W205" s="99"/>
      <x:c r="X205" s="99"/>
      <x:c r="Y205" s="99"/>
      <x:c r="Z205" s="99"/>
    </x:row>
    <x:row r="206">
      <x:c r="A206" s="99"/>
      <x:c r="B206" s="99"/>
      <x:c r="C206" s="99"/>
      <x:c r="D206" s="99"/>
      <x:c r="E206" s="99"/>
      <x:c r="F206" s="99"/>
      <x:c r="G206" s="99"/>
      <x:c r="H206" s="99"/>
      <x:c r="I206" s="99"/>
      <x:c r="J206" s="99"/>
      <x:c r="K206" s="99"/>
      <x:c r="L206" s="99"/>
      <x:c r="M206" s="99"/>
      <x:c r="N206" s="99"/>
      <x:c r="O206" s="99"/>
      <x:c r="P206" s="99"/>
      <x:c r="Q206" s="99"/>
      <x:c r="R206" s="99"/>
      <x:c r="S206" s="99"/>
      <x:c r="T206" s="99"/>
      <x:c r="U206" s="99"/>
      <x:c r="V206" s="99"/>
      <x:c r="W206" s="99"/>
      <x:c r="X206" s="99"/>
      <x:c r="Y206" s="99"/>
      <x:c r="Z206" s="99"/>
    </x:row>
    <x:row r="207">
      <x:c r="A207" s="99"/>
      <x:c r="B207" s="99"/>
      <x:c r="C207" s="99"/>
      <x:c r="D207" s="99"/>
      <x:c r="E207" s="99"/>
      <x:c r="F207" s="99"/>
      <x:c r="G207" s="99"/>
      <x:c r="H207" s="99"/>
      <x:c r="I207" s="99"/>
      <x:c r="J207" s="99"/>
      <x:c r="K207" s="99"/>
      <x:c r="L207" s="99"/>
      <x:c r="M207" s="99"/>
      <x:c r="N207" s="99"/>
      <x:c r="O207" s="99"/>
      <x:c r="P207" s="99"/>
      <x:c r="Q207" s="99"/>
      <x:c r="R207" s="99"/>
      <x:c r="S207" s="99"/>
      <x:c r="T207" s="99"/>
      <x:c r="U207" s="99"/>
      <x:c r="V207" s="99"/>
      <x:c r="W207" s="99"/>
      <x:c r="X207" s="99"/>
      <x:c r="Y207" s="99"/>
      <x:c r="Z207" s="99"/>
    </x:row>
    <x:row r="208">
      <x:c r="A208" s="99"/>
      <x:c r="B208" s="99"/>
      <x:c r="C208" s="99"/>
      <x:c r="D208" s="99"/>
      <x:c r="E208" s="99"/>
      <x:c r="F208" s="99"/>
      <x:c r="G208" s="99"/>
      <x:c r="H208" s="99"/>
      <x:c r="I208" s="99"/>
      <x:c r="J208" s="99"/>
      <x:c r="K208" s="99"/>
      <x:c r="L208" s="99"/>
      <x:c r="M208" s="99"/>
      <x:c r="N208" s="99"/>
      <x:c r="O208" s="99"/>
      <x:c r="P208" s="99"/>
      <x:c r="Q208" s="99"/>
      <x:c r="R208" s="99"/>
      <x:c r="S208" s="99"/>
      <x:c r="T208" s="99"/>
      <x:c r="U208" s="99"/>
      <x:c r="V208" s="99"/>
      <x:c r="W208" s="99"/>
      <x:c r="X208" s="99"/>
      <x:c r="Y208" s="99"/>
      <x:c r="Z208" s="99"/>
    </x:row>
    <x:row r="209">
      <x:c r="A209" s="99"/>
      <x:c r="B209" s="99"/>
      <x:c r="C209" s="99"/>
      <x:c r="D209" s="99"/>
      <x:c r="E209" s="99"/>
      <x:c r="F209" s="99"/>
      <x:c r="G209" s="99"/>
      <x:c r="H209" s="99"/>
      <x:c r="I209" s="99"/>
      <x:c r="J209" s="99"/>
      <x:c r="K209" s="99"/>
      <x:c r="L209" s="99"/>
      <x:c r="M209" s="99"/>
      <x:c r="N209" s="99"/>
      <x:c r="O209" s="99"/>
      <x:c r="P209" s="99"/>
      <x:c r="Q209" s="99"/>
      <x:c r="R209" s="99"/>
      <x:c r="S209" s="99"/>
      <x:c r="T209" s="99"/>
      <x:c r="U209" s="99"/>
      <x:c r="V209" s="99"/>
      <x:c r="W209" s="99"/>
      <x:c r="X209" s="99"/>
      <x:c r="Y209" s="99"/>
      <x:c r="Z209" s="99"/>
    </x:row>
    <x:row r="210">
      <x:c r="A210" s="99"/>
      <x:c r="B210" s="99"/>
      <x:c r="C210" s="99"/>
      <x:c r="D210" s="99"/>
      <x:c r="E210" s="99"/>
      <x:c r="F210" s="99"/>
      <x:c r="G210" s="99"/>
      <x:c r="H210" s="99"/>
      <x:c r="I210" s="99"/>
      <x:c r="J210" s="99"/>
      <x:c r="K210" s="99"/>
      <x:c r="L210" s="99"/>
      <x:c r="M210" s="99"/>
      <x:c r="N210" s="99"/>
      <x:c r="O210" s="99"/>
      <x:c r="P210" s="99"/>
      <x:c r="Q210" s="99"/>
      <x:c r="R210" s="99"/>
      <x:c r="S210" s="99"/>
      <x:c r="T210" s="99"/>
      <x:c r="U210" s="99"/>
      <x:c r="V210" s="99"/>
      <x:c r="W210" s="99"/>
      <x:c r="X210" s="99"/>
      <x:c r="Y210" s="99"/>
      <x:c r="Z210" s="99"/>
    </x:row>
    <x:row r="211">
      <x:c r="A211" s="99"/>
      <x:c r="B211" s="99"/>
      <x:c r="C211" s="99"/>
      <x:c r="D211" s="99"/>
      <x:c r="E211" s="99"/>
      <x:c r="F211" s="99"/>
      <x:c r="G211" s="99"/>
      <x:c r="H211" s="99"/>
      <x:c r="I211" s="99"/>
      <x:c r="J211" s="99"/>
      <x:c r="K211" s="99"/>
      <x:c r="L211" s="99"/>
      <x:c r="M211" s="99"/>
      <x:c r="N211" s="99"/>
      <x:c r="O211" s="99"/>
      <x:c r="P211" s="99"/>
      <x:c r="Q211" s="99"/>
      <x:c r="R211" s="99"/>
      <x:c r="S211" s="99"/>
      <x:c r="T211" s="99"/>
      <x:c r="U211" s="99"/>
      <x:c r="V211" s="99"/>
      <x:c r="W211" s="99"/>
      <x:c r="X211" s="99"/>
      <x:c r="Y211" s="99"/>
      <x:c r="Z211" s="99"/>
    </x:row>
    <x:row r="212">
      <x:c r="A212" s="99"/>
      <x:c r="B212" s="99"/>
      <x:c r="C212" s="99"/>
      <x:c r="D212" s="99"/>
      <x:c r="E212" s="99"/>
      <x:c r="F212" s="99"/>
      <x:c r="G212" s="99"/>
      <x:c r="H212" s="99"/>
      <x:c r="I212" s="99"/>
      <x:c r="J212" s="99"/>
      <x:c r="K212" s="99"/>
      <x:c r="L212" s="99"/>
      <x:c r="M212" s="99"/>
      <x:c r="N212" s="99"/>
      <x:c r="O212" s="99"/>
      <x:c r="P212" s="99"/>
      <x:c r="Q212" s="99"/>
      <x:c r="R212" s="99"/>
      <x:c r="S212" s="99"/>
      <x:c r="T212" s="99"/>
      <x:c r="U212" s="99"/>
      <x:c r="V212" s="99"/>
      <x:c r="W212" s="99"/>
      <x:c r="X212" s="99"/>
      <x:c r="Y212" s="99"/>
      <x:c r="Z212" s="99"/>
    </x:row>
    <x:row r="213">
      <x:c r="A213" s="99"/>
      <x:c r="B213" s="99"/>
      <x:c r="C213" s="99"/>
      <x:c r="D213" s="99"/>
      <x:c r="E213" s="99"/>
      <x:c r="F213" s="99"/>
      <x:c r="G213" s="99"/>
      <x:c r="H213" s="99"/>
      <x:c r="I213" s="99"/>
      <x:c r="J213" s="99"/>
      <x:c r="K213" s="99"/>
      <x:c r="L213" s="99"/>
      <x:c r="M213" s="99"/>
      <x:c r="N213" s="99"/>
      <x:c r="O213" s="99"/>
      <x:c r="P213" s="99"/>
      <x:c r="Q213" s="99"/>
      <x:c r="R213" s="99"/>
      <x:c r="S213" s="99"/>
      <x:c r="T213" s="99"/>
      <x:c r="U213" s="99"/>
      <x:c r="V213" s="99"/>
      <x:c r="W213" s="99"/>
      <x:c r="X213" s="99"/>
      <x:c r="Y213" s="99"/>
      <x:c r="Z213" s="99"/>
    </x:row>
    <x:row r="214">
      <x:c r="A214" s="99"/>
      <x:c r="B214" s="99"/>
      <x:c r="C214" s="99"/>
      <x:c r="D214" s="99"/>
      <x:c r="E214" s="99"/>
      <x:c r="F214" s="99"/>
      <x:c r="G214" s="99"/>
      <x:c r="H214" s="99"/>
      <x:c r="I214" s="99"/>
      <x:c r="J214" s="99"/>
      <x:c r="K214" s="99"/>
      <x:c r="L214" s="99"/>
      <x:c r="M214" s="99"/>
      <x:c r="N214" s="99"/>
      <x:c r="O214" s="99"/>
      <x:c r="P214" s="99"/>
      <x:c r="Q214" s="99"/>
      <x:c r="R214" s="99"/>
      <x:c r="S214" s="99"/>
      <x:c r="T214" s="99"/>
      <x:c r="U214" s="99"/>
      <x:c r="V214" s="99"/>
      <x:c r="W214" s="99"/>
      <x:c r="X214" s="99"/>
      <x:c r="Y214" s="99"/>
      <x:c r="Z214" s="99"/>
    </x:row>
    <x:row r="215">
      <x:c r="A215" s="99"/>
      <x:c r="B215" s="99"/>
      <x:c r="C215" s="99"/>
      <x:c r="D215" s="99"/>
      <x:c r="E215" s="99"/>
      <x:c r="F215" s="99"/>
      <x:c r="G215" s="99"/>
      <x:c r="H215" s="99"/>
      <x:c r="I215" s="99"/>
      <x:c r="J215" s="99"/>
      <x:c r="K215" s="99"/>
      <x:c r="L215" s="99"/>
      <x:c r="M215" s="99"/>
      <x:c r="N215" s="99"/>
      <x:c r="O215" s="99"/>
      <x:c r="P215" s="99"/>
      <x:c r="Q215" s="99"/>
      <x:c r="R215" s="99"/>
      <x:c r="S215" s="99"/>
      <x:c r="T215" s="99"/>
      <x:c r="U215" s="99"/>
      <x:c r="V215" s="99"/>
      <x:c r="W215" s="99"/>
      <x:c r="X215" s="99"/>
      <x:c r="Y215" s="99"/>
      <x:c r="Z215" s="99"/>
    </x:row>
    <x:row r="216">
      <x:c r="A216" s="99"/>
      <x:c r="B216" s="99"/>
      <x:c r="C216" s="99"/>
      <x:c r="D216" s="99"/>
      <x:c r="E216" s="99"/>
      <x:c r="F216" s="99"/>
      <x:c r="G216" s="99"/>
      <x:c r="H216" s="99"/>
      <x:c r="I216" s="99"/>
      <x:c r="J216" s="99"/>
      <x:c r="K216" s="99"/>
      <x:c r="L216" s="99"/>
      <x:c r="M216" s="99"/>
      <x:c r="N216" s="99"/>
      <x:c r="O216" s="99"/>
      <x:c r="P216" s="99"/>
      <x:c r="Q216" s="99"/>
      <x:c r="R216" s="99"/>
      <x:c r="S216" s="99"/>
      <x:c r="T216" s="99"/>
      <x:c r="U216" s="99"/>
      <x:c r="V216" s="99"/>
      <x:c r="W216" s="99"/>
      <x:c r="X216" s="99"/>
      <x:c r="Y216" s="99"/>
      <x:c r="Z216" s="99"/>
    </x:row>
    <x:row r="217">
      <x:c r="A217" s="99"/>
      <x:c r="B217" s="99"/>
      <x:c r="C217" s="99"/>
      <x:c r="D217" s="99"/>
      <x:c r="E217" s="99"/>
      <x:c r="F217" s="99"/>
      <x:c r="G217" s="99"/>
      <x:c r="H217" s="99"/>
      <x:c r="I217" s="99"/>
      <x:c r="J217" s="99"/>
      <x:c r="K217" s="99"/>
      <x:c r="L217" s="99"/>
      <x:c r="M217" s="99"/>
      <x:c r="N217" s="99"/>
      <x:c r="O217" s="99"/>
      <x:c r="P217" s="99"/>
      <x:c r="Q217" s="99"/>
      <x:c r="R217" s="99"/>
      <x:c r="S217" s="99"/>
      <x:c r="T217" s="99"/>
      <x:c r="U217" s="99"/>
      <x:c r="V217" s="99"/>
      <x:c r="W217" s="99"/>
      <x:c r="X217" s="99"/>
      <x:c r="Y217" s="99"/>
      <x:c r="Z217" s="99"/>
    </x:row>
    <x:row r="218">
      <x:c r="A218" s="99"/>
      <x:c r="B218" s="99"/>
      <x:c r="C218" s="99"/>
      <x:c r="D218" s="99"/>
      <x:c r="E218" s="99"/>
      <x:c r="F218" s="99"/>
      <x:c r="G218" s="99"/>
      <x:c r="H218" s="99"/>
      <x:c r="I218" s="99"/>
      <x:c r="J218" s="99"/>
      <x:c r="K218" s="99"/>
      <x:c r="L218" s="99"/>
      <x:c r="M218" s="99"/>
      <x:c r="N218" s="99"/>
      <x:c r="O218" s="99"/>
      <x:c r="P218" s="99"/>
      <x:c r="Q218" s="99"/>
      <x:c r="R218" s="99"/>
      <x:c r="S218" s="99"/>
      <x:c r="T218" s="99"/>
      <x:c r="U218" s="99"/>
      <x:c r="V218" s="99"/>
      <x:c r="W218" s="99"/>
      <x:c r="X218" s="99"/>
      <x:c r="Y218" s="99"/>
      <x:c r="Z218" s="99"/>
    </x:row>
    <x:row r="219">
      <x:c r="A219" s="99"/>
      <x:c r="B219" s="99"/>
      <x:c r="C219" s="99"/>
      <x:c r="D219" s="99"/>
      <x:c r="E219" s="99"/>
      <x:c r="F219" s="99"/>
      <x:c r="G219" s="99"/>
      <x:c r="H219" s="99"/>
      <x:c r="I219" s="99"/>
      <x:c r="J219" s="99"/>
      <x:c r="K219" s="99"/>
      <x:c r="L219" s="99"/>
      <x:c r="M219" s="99"/>
      <x:c r="N219" s="99"/>
      <x:c r="O219" s="99"/>
      <x:c r="P219" s="99"/>
      <x:c r="Q219" s="99"/>
      <x:c r="R219" s="99"/>
      <x:c r="S219" s="99"/>
      <x:c r="T219" s="99"/>
      <x:c r="U219" s="99"/>
      <x:c r="V219" s="99"/>
      <x:c r="W219" s="99"/>
      <x:c r="X219" s="99"/>
      <x:c r="Y219" s="99"/>
      <x:c r="Z219" s="99"/>
    </x:row>
    <x:row r="220">
      <x:c r="A220" s="99"/>
      <x:c r="B220" s="99"/>
      <x:c r="C220" s="99"/>
      <x:c r="D220" s="99"/>
      <x:c r="E220" s="99"/>
      <x:c r="F220" s="99"/>
      <x:c r="G220" s="99"/>
      <x:c r="H220" s="99"/>
      <x:c r="I220" s="99"/>
      <x:c r="J220" s="99"/>
      <x:c r="K220" s="99"/>
      <x:c r="L220" s="99"/>
      <x:c r="M220" s="99"/>
      <x:c r="N220" s="99"/>
      <x:c r="O220" s="99"/>
      <x:c r="P220" s="99"/>
      <x:c r="Q220" s="99"/>
      <x:c r="R220" s="99"/>
      <x:c r="S220" s="99"/>
      <x:c r="T220" s="99"/>
      <x:c r="U220" s="99"/>
      <x:c r="V220" s="99"/>
      <x:c r="W220" s="99"/>
      <x:c r="X220" s="99"/>
      <x:c r="Y220" s="99"/>
      <x:c r="Z220" s="99"/>
    </x:row>
    <x:row r="221">
      <x:c r="A221" s="99"/>
      <x:c r="B221" s="99"/>
      <x:c r="C221" s="99"/>
      <x:c r="D221" s="99"/>
      <x:c r="E221" s="99"/>
      <x:c r="F221" s="99"/>
      <x:c r="G221" s="99"/>
      <x:c r="H221" s="99"/>
      <x:c r="I221" s="99"/>
      <x:c r="J221" s="99"/>
      <x:c r="K221" s="99"/>
      <x:c r="L221" s="99"/>
      <x:c r="M221" s="99"/>
      <x:c r="N221" s="99"/>
      <x:c r="O221" s="99"/>
      <x:c r="P221" s="99"/>
      <x:c r="Q221" s="99"/>
      <x:c r="R221" s="99"/>
      <x:c r="S221" s="99"/>
      <x:c r="T221" s="99"/>
      <x:c r="U221" s="99"/>
      <x:c r="V221" s="99"/>
      <x:c r="W221" s="99"/>
      <x:c r="X221" s="99"/>
      <x:c r="Y221" s="99"/>
      <x:c r="Z221" s="99"/>
    </x:row>
    <x:row r="222">
      <x:c r="A222" s="99"/>
      <x:c r="B222" s="99"/>
      <x:c r="C222" s="99"/>
      <x:c r="D222" s="99"/>
      <x:c r="E222" s="99"/>
      <x:c r="F222" s="99"/>
      <x:c r="G222" s="99"/>
      <x:c r="H222" s="99"/>
      <x:c r="I222" s="99"/>
      <x:c r="J222" s="99"/>
      <x:c r="K222" s="99"/>
      <x:c r="L222" s="99"/>
      <x:c r="M222" s="99"/>
      <x:c r="N222" s="99"/>
      <x:c r="O222" s="99"/>
      <x:c r="P222" s="99"/>
      <x:c r="Q222" s="99"/>
      <x:c r="R222" s="99"/>
      <x:c r="S222" s="99"/>
      <x:c r="T222" s="99"/>
      <x:c r="U222" s="99"/>
      <x:c r="V222" s="99"/>
      <x:c r="W222" s="99"/>
      <x:c r="X222" s="99"/>
      <x:c r="Y222" s="99"/>
      <x:c r="Z222" s="99"/>
    </x:row>
    <x:row r="223">
      <x:c r="A223" s="99"/>
      <x:c r="B223" s="99"/>
      <x:c r="C223" s="99"/>
      <x:c r="D223" s="99"/>
      <x:c r="E223" s="99"/>
      <x:c r="F223" s="99"/>
      <x:c r="G223" s="99"/>
      <x:c r="H223" s="99"/>
      <x:c r="I223" s="99"/>
      <x:c r="J223" s="99"/>
      <x:c r="K223" s="99"/>
      <x:c r="L223" s="99"/>
      <x:c r="M223" s="99"/>
      <x:c r="N223" s="99"/>
      <x:c r="O223" s="99"/>
      <x:c r="P223" s="99"/>
      <x:c r="Q223" s="99"/>
      <x:c r="R223" s="99"/>
      <x:c r="S223" s="99"/>
      <x:c r="T223" s="99"/>
      <x:c r="U223" s="99"/>
      <x:c r="V223" s="99"/>
      <x:c r="W223" s="99"/>
      <x:c r="X223" s="99"/>
      <x:c r="Y223" s="99"/>
      <x:c r="Z223" s="99"/>
    </x:row>
    <x:row r="224">
      <x:c r="A224" s="99"/>
      <x:c r="B224" s="99"/>
      <x:c r="C224" s="99"/>
      <x:c r="D224" s="99"/>
      <x:c r="E224" s="99"/>
      <x:c r="F224" s="99"/>
      <x:c r="G224" s="99"/>
      <x:c r="H224" s="99"/>
      <x:c r="I224" s="99"/>
      <x:c r="J224" s="99"/>
      <x:c r="K224" s="99"/>
      <x:c r="L224" s="99"/>
      <x:c r="M224" s="99"/>
      <x:c r="N224" s="99"/>
      <x:c r="O224" s="99"/>
      <x:c r="P224" s="99"/>
      <x:c r="Q224" s="99"/>
      <x:c r="R224" s="99"/>
      <x:c r="S224" s="99"/>
      <x:c r="T224" s="99"/>
      <x:c r="U224" s="99"/>
      <x:c r="V224" s="99"/>
      <x:c r="W224" s="99"/>
      <x:c r="X224" s="99"/>
      <x:c r="Y224" s="99"/>
      <x:c r="Z224" s="99"/>
    </x:row>
    <x:row r="225">
      <x:c r="A225" s="99"/>
      <x:c r="B225" s="99"/>
      <x:c r="C225" s="99"/>
      <x:c r="D225" s="99"/>
      <x:c r="E225" s="99"/>
      <x:c r="F225" s="99"/>
      <x:c r="G225" s="99"/>
      <x:c r="H225" s="99"/>
      <x:c r="I225" s="99"/>
      <x:c r="J225" s="99"/>
      <x:c r="K225" s="99"/>
      <x:c r="L225" s="99"/>
      <x:c r="M225" s="99"/>
      <x:c r="N225" s="99"/>
      <x:c r="O225" s="99"/>
      <x:c r="P225" s="99"/>
      <x:c r="Q225" s="99"/>
      <x:c r="R225" s="99"/>
      <x:c r="S225" s="99"/>
      <x:c r="T225" s="99"/>
      <x:c r="U225" s="99"/>
      <x:c r="V225" s="99"/>
      <x:c r="W225" s="99"/>
      <x:c r="X225" s="99"/>
      <x:c r="Y225" s="99"/>
      <x:c r="Z225" s="99"/>
    </x:row>
    <x:row r="226">
      <x:c r="A226" s="99"/>
      <x:c r="B226" s="99"/>
      <x:c r="C226" s="99"/>
      <x:c r="D226" s="99"/>
      <x:c r="E226" s="99"/>
      <x:c r="F226" s="99"/>
      <x:c r="G226" s="99"/>
      <x:c r="H226" s="99"/>
      <x:c r="I226" s="99"/>
      <x:c r="J226" s="99"/>
      <x:c r="K226" s="99"/>
      <x:c r="L226" s="99"/>
      <x:c r="M226" s="99"/>
      <x:c r="N226" s="99"/>
      <x:c r="O226" s="99"/>
      <x:c r="P226" s="99"/>
      <x:c r="Q226" s="99"/>
      <x:c r="R226" s="99"/>
      <x:c r="S226" s="99"/>
      <x:c r="T226" s="99"/>
      <x:c r="U226" s="99"/>
      <x:c r="V226" s="99"/>
      <x:c r="W226" s="99"/>
      <x:c r="X226" s="99"/>
      <x:c r="Y226" s="99"/>
      <x:c r="Z226" s="99"/>
    </x:row>
    <x:row r="227">
      <x:c r="A227" s="99"/>
      <x:c r="B227" s="99"/>
      <x:c r="C227" s="99"/>
      <x:c r="D227" s="99"/>
      <x:c r="E227" s="99"/>
      <x:c r="F227" s="99"/>
      <x:c r="G227" s="99"/>
      <x:c r="H227" s="99"/>
      <x:c r="I227" s="99"/>
      <x:c r="J227" s="99"/>
      <x:c r="K227" s="99"/>
      <x:c r="L227" s="99"/>
      <x:c r="M227" s="99"/>
      <x:c r="N227" s="99"/>
      <x:c r="O227" s="99"/>
      <x:c r="P227" s="99"/>
      <x:c r="Q227" s="99"/>
      <x:c r="R227" s="99"/>
      <x:c r="S227" s="99"/>
      <x:c r="T227" s="99"/>
      <x:c r="U227" s="99"/>
      <x:c r="V227" s="99"/>
      <x:c r="W227" s="99"/>
      <x:c r="X227" s="99"/>
      <x:c r="Y227" s="99"/>
      <x:c r="Z227" s="99"/>
    </x:row>
    <x:row r="228">
      <x:c r="A228" s="99"/>
      <x:c r="B228" s="99"/>
      <x:c r="C228" s="99"/>
      <x:c r="D228" s="99"/>
      <x:c r="E228" s="99"/>
      <x:c r="F228" s="99"/>
      <x:c r="G228" s="99"/>
      <x:c r="H228" s="99"/>
      <x:c r="I228" s="99"/>
      <x:c r="J228" s="99"/>
      <x:c r="K228" s="99"/>
      <x:c r="L228" s="99"/>
      <x:c r="M228" s="99"/>
      <x:c r="N228" s="99"/>
      <x:c r="O228" s="99"/>
      <x:c r="P228" s="99"/>
      <x:c r="Q228" s="99"/>
      <x:c r="R228" s="99"/>
      <x:c r="S228" s="99"/>
      <x:c r="T228" s="99"/>
      <x:c r="U228" s="99"/>
      <x:c r="V228" s="99"/>
      <x:c r="W228" s="99"/>
      <x:c r="X228" s="99"/>
      <x:c r="Y228" s="99"/>
      <x:c r="Z228" s="99"/>
    </x:row>
    <x:row r="229">
      <x:c r="A229" s="99"/>
      <x:c r="B229" s="99"/>
      <x:c r="C229" s="99"/>
      <x:c r="D229" s="99"/>
      <x:c r="E229" s="99"/>
      <x:c r="F229" s="99"/>
      <x:c r="G229" s="99"/>
      <x:c r="H229" s="99"/>
      <x:c r="I229" s="99"/>
      <x:c r="J229" s="99"/>
      <x:c r="K229" s="99"/>
      <x:c r="L229" s="99"/>
      <x:c r="M229" s="99"/>
      <x:c r="N229" s="99"/>
      <x:c r="O229" s="99"/>
      <x:c r="P229" s="99"/>
      <x:c r="Q229" s="99"/>
      <x:c r="R229" s="99"/>
      <x:c r="S229" s="99"/>
      <x:c r="T229" s="99"/>
      <x:c r="U229" s="99"/>
      <x:c r="V229" s="99"/>
      <x:c r="W229" s="99"/>
      <x:c r="X229" s="99"/>
      <x:c r="Y229" s="99"/>
      <x:c r="Z229" s="99"/>
    </x:row>
    <x:row r="230">
      <x:c r="A230" s="99"/>
      <x:c r="B230" s="99"/>
      <x:c r="C230" s="99"/>
      <x:c r="D230" s="99"/>
      <x:c r="E230" s="99"/>
      <x:c r="F230" s="99"/>
      <x:c r="G230" s="99"/>
      <x:c r="H230" s="99"/>
      <x:c r="I230" s="99"/>
      <x:c r="J230" s="99"/>
      <x:c r="K230" s="99"/>
      <x:c r="L230" s="99"/>
      <x:c r="M230" s="99"/>
      <x:c r="N230" s="99"/>
      <x:c r="O230" s="99"/>
      <x:c r="P230" s="99"/>
      <x:c r="Q230" s="99"/>
      <x:c r="R230" s="99"/>
      <x:c r="S230" s="99"/>
      <x:c r="T230" s="99"/>
      <x:c r="U230" s="99"/>
      <x:c r="V230" s="99"/>
      <x:c r="W230" s="99"/>
      <x:c r="X230" s="99"/>
      <x:c r="Y230" s="99"/>
      <x:c r="Z230" s="99"/>
    </x:row>
    <x:row r="231">
      <x:c r="A231" s="99"/>
      <x:c r="B231" s="99"/>
      <x:c r="C231" s="99"/>
      <x:c r="D231" s="99"/>
      <x:c r="E231" s="99"/>
      <x:c r="F231" s="99"/>
      <x:c r="G231" s="99"/>
      <x:c r="H231" s="99"/>
      <x:c r="I231" s="99"/>
      <x:c r="J231" s="99"/>
      <x:c r="K231" s="99"/>
      <x:c r="L231" s="99"/>
      <x:c r="M231" s="99"/>
      <x:c r="N231" s="99"/>
      <x:c r="O231" s="99"/>
      <x:c r="P231" s="99"/>
      <x:c r="Q231" s="99"/>
      <x:c r="R231" s="99"/>
      <x:c r="S231" s="99"/>
      <x:c r="T231" s="99"/>
      <x:c r="U231" s="99"/>
      <x:c r="V231" s="99"/>
      <x:c r="W231" s="99"/>
      <x:c r="X231" s="99"/>
      <x:c r="Y231" s="99"/>
      <x:c r="Z231" s="99"/>
    </x:row>
    <x:row r="232">
      <x:c r="A232" s="99"/>
      <x:c r="B232" s="99"/>
      <x:c r="C232" s="99"/>
      <x:c r="D232" s="99"/>
      <x:c r="E232" s="99"/>
      <x:c r="F232" s="99"/>
      <x:c r="G232" s="99"/>
      <x:c r="H232" s="99"/>
      <x:c r="I232" s="99"/>
      <x:c r="J232" s="99"/>
      <x:c r="K232" s="99"/>
      <x:c r="L232" s="99"/>
      <x:c r="M232" s="99"/>
      <x:c r="N232" s="99"/>
      <x:c r="O232" s="99"/>
      <x:c r="P232" s="99"/>
      <x:c r="Q232" s="99"/>
      <x:c r="R232" s="99"/>
      <x:c r="S232" s="99"/>
      <x:c r="T232" s="99"/>
      <x:c r="U232" s="99"/>
      <x:c r="V232" s="99"/>
      <x:c r="W232" s="99"/>
      <x:c r="X232" s="99"/>
      <x:c r="Y232" s="99"/>
      <x:c r="Z232" s="99"/>
    </x:row>
    <x:row r="233">
      <x:c r="A233" s="99"/>
      <x:c r="B233" s="99"/>
      <x:c r="C233" s="99"/>
      <x:c r="D233" s="99"/>
      <x:c r="E233" s="99"/>
      <x:c r="F233" s="99"/>
      <x:c r="G233" s="99"/>
      <x:c r="H233" s="99"/>
      <x:c r="I233" s="99"/>
      <x:c r="J233" s="99"/>
      <x:c r="K233" s="99"/>
      <x:c r="L233" s="99"/>
      <x:c r="M233" s="99"/>
      <x:c r="N233" s="99"/>
      <x:c r="O233" s="99"/>
      <x:c r="P233" s="99"/>
      <x:c r="Q233" s="99"/>
      <x:c r="R233" s="99"/>
      <x:c r="S233" s="99"/>
      <x:c r="T233" s="99"/>
      <x:c r="U233" s="99"/>
      <x:c r="V233" s="99"/>
      <x:c r="W233" s="99"/>
      <x:c r="X233" s="99"/>
      <x:c r="Y233" s="99"/>
      <x:c r="Z233" s="99"/>
    </x:row>
    <x:row r="234">
      <x:c r="A234" s="99"/>
      <x:c r="B234" s="99"/>
      <x:c r="C234" s="99"/>
      <x:c r="D234" s="99"/>
      <x:c r="E234" s="99"/>
      <x:c r="F234" s="99"/>
      <x:c r="G234" s="99"/>
      <x:c r="H234" s="99"/>
      <x:c r="I234" s="99"/>
      <x:c r="J234" s="99"/>
      <x:c r="K234" s="99"/>
      <x:c r="L234" s="99"/>
      <x:c r="M234" s="99"/>
      <x:c r="N234" s="99"/>
      <x:c r="O234" s="99"/>
      <x:c r="P234" s="99"/>
      <x:c r="Q234" s="99"/>
      <x:c r="R234" s="99"/>
      <x:c r="S234" s="99"/>
      <x:c r="T234" s="99"/>
      <x:c r="U234" s="99"/>
      <x:c r="V234" s="99"/>
      <x:c r="W234" s="99"/>
      <x:c r="X234" s="99"/>
      <x:c r="Y234" s="99"/>
      <x:c r="Z234" s="99"/>
    </x:row>
    <x:row r="235">
      <x:c r="A235" s="99"/>
      <x:c r="B235" s="99"/>
      <x:c r="C235" s="99"/>
      <x:c r="D235" s="99"/>
      <x:c r="E235" s="99"/>
      <x:c r="F235" s="99"/>
      <x:c r="G235" s="99"/>
      <x:c r="H235" s="99"/>
      <x:c r="I235" s="99"/>
      <x:c r="J235" s="99"/>
      <x:c r="K235" s="99"/>
      <x:c r="L235" s="99"/>
      <x:c r="M235" s="99"/>
      <x:c r="N235" s="99"/>
      <x:c r="O235" s="99"/>
      <x:c r="P235" s="99"/>
      <x:c r="Q235" s="99"/>
      <x:c r="R235" s="99"/>
      <x:c r="S235" s="99"/>
      <x:c r="T235" s="99"/>
      <x:c r="U235" s="99"/>
      <x:c r="V235" s="99"/>
      <x:c r="W235" s="99"/>
      <x:c r="X235" s="99"/>
      <x:c r="Y235" s="99"/>
      <x:c r="Z235" s="99"/>
    </x:row>
    <x:row r="236">
      <x:c r="A236" s="99"/>
      <x:c r="B236" s="99"/>
      <x:c r="C236" s="99"/>
      <x:c r="D236" s="99"/>
      <x:c r="E236" s="99"/>
      <x:c r="F236" s="99"/>
      <x:c r="G236" s="99"/>
      <x:c r="H236" s="99"/>
      <x:c r="I236" s="99"/>
      <x:c r="J236" s="99"/>
      <x:c r="K236" s="99"/>
      <x:c r="L236" s="99"/>
      <x:c r="M236" s="99"/>
      <x:c r="N236" s="99"/>
      <x:c r="O236" s="99"/>
      <x:c r="P236" s="99"/>
      <x:c r="Q236" s="99"/>
      <x:c r="R236" s="99"/>
      <x:c r="S236" s="99"/>
      <x:c r="T236" s="99"/>
      <x:c r="U236" s="99"/>
      <x:c r="V236" s="99"/>
      <x:c r="W236" s="99"/>
      <x:c r="X236" s="99"/>
      <x:c r="Y236" s="99"/>
      <x:c r="Z236" s="99"/>
    </x:row>
    <x:row r="237">
      <x:c r="A237" s="99"/>
      <x:c r="B237" s="99"/>
      <x:c r="C237" s="99"/>
      <x:c r="D237" s="99"/>
      <x:c r="E237" s="99"/>
      <x:c r="F237" s="99"/>
      <x:c r="G237" s="99"/>
      <x:c r="H237" s="99"/>
      <x:c r="I237" s="99"/>
      <x:c r="J237" s="99"/>
      <x:c r="K237" s="99"/>
      <x:c r="L237" s="99"/>
      <x:c r="M237" s="99"/>
      <x:c r="N237" s="99"/>
      <x:c r="O237" s="99"/>
      <x:c r="P237" s="99"/>
      <x:c r="Q237" s="99"/>
      <x:c r="R237" s="99"/>
      <x:c r="S237" s="99"/>
      <x:c r="T237" s="99"/>
      <x:c r="U237" s="99"/>
      <x:c r="V237" s="99"/>
      <x:c r="W237" s="99"/>
      <x:c r="X237" s="99"/>
      <x:c r="Y237" s="99"/>
      <x:c r="Z237" s="99"/>
    </x:row>
    <x:row r="238">
      <x:c r="A238" s="99"/>
      <x:c r="B238" s="99"/>
      <x:c r="C238" s="99"/>
      <x:c r="D238" s="99"/>
      <x:c r="E238" s="99"/>
      <x:c r="F238" s="99"/>
      <x:c r="G238" s="99"/>
      <x:c r="H238" s="99"/>
      <x:c r="I238" s="99"/>
      <x:c r="J238" s="99"/>
      <x:c r="K238" s="99"/>
      <x:c r="L238" s="99"/>
      <x:c r="M238" s="99"/>
      <x:c r="N238" s="99"/>
      <x:c r="O238" s="99"/>
      <x:c r="P238" s="99"/>
      <x:c r="Q238" s="99"/>
      <x:c r="R238" s="99"/>
      <x:c r="S238" s="99"/>
      <x:c r="T238" s="99"/>
      <x:c r="U238" s="99"/>
      <x:c r="V238" s="99"/>
      <x:c r="W238" s="99"/>
      <x:c r="X238" s="99"/>
      <x:c r="Y238" s="99"/>
      <x:c r="Z238" s="99"/>
    </x:row>
    <x:row r="239">
      <x:c r="A239" s="99"/>
      <x:c r="B239" s="99"/>
      <x:c r="C239" s="99"/>
      <x:c r="D239" s="99"/>
      <x:c r="E239" s="99"/>
      <x:c r="F239" s="99"/>
      <x:c r="G239" s="99"/>
      <x:c r="H239" s="99"/>
      <x:c r="I239" s="99"/>
      <x:c r="J239" s="99"/>
      <x:c r="K239" s="99"/>
      <x:c r="L239" s="99"/>
      <x:c r="M239" s="99"/>
      <x:c r="N239" s="99"/>
      <x:c r="O239" s="99"/>
      <x:c r="P239" s="99"/>
      <x:c r="Q239" s="99"/>
      <x:c r="R239" s="99"/>
      <x:c r="S239" s="99"/>
      <x:c r="T239" s="99"/>
      <x:c r="U239" s="99"/>
      <x:c r="V239" s="99"/>
      <x:c r="W239" s="99"/>
      <x:c r="X239" s="99"/>
      <x:c r="Y239" s="99"/>
      <x:c r="Z239" s="99"/>
    </x:row>
    <x:row r="240">
      <x:c r="A240" s="99"/>
      <x:c r="B240" s="99"/>
      <x:c r="C240" s="99"/>
      <x:c r="D240" s="99"/>
      <x:c r="E240" s="99"/>
      <x:c r="F240" s="99"/>
      <x:c r="G240" s="99"/>
      <x:c r="H240" s="99"/>
      <x:c r="I240" s="99"/>
      <x:c r="J240" s="99"/>
      <x:c r="K240" s="99"/>
      <x:c r="L240" s="99"/>
      <x:c r="M240" s="99"/>
      <x:c r="N240" s="99"/>
      <x:c r="O240" s="99"/>
      <x:c r="P240" s="99"/>
      <x:c r="Q240" s="99"/>
      <x:c r="R240" s="99"/>
      <x:c r="S240" s="99"/>
      <x:c r="T240" s="99"/>
      <x:c r="U240" s="99"/>
      <x:c r="V240" s="99"/>
      <x:c r="W240" s="99"/>
      <x:c r="X240" s="99"/>
      <x:c r="Y240" s="99"/>
      <x:c r="Z240" s="99"/>
    </x:row>
    <x:row r="241">
      <x:c r="A241" s="99"/>
      <x:c r="B241" s="99"/>
      <x:c r="C241" s="99"/>
      <x:c r="D241" s="99"/>
      <x:c r="E241" s="99"/>
      <x:c r="F241" s="99"/>
      <x:c r="G241" s="99"/>
      <x:c r="H241" s="99"/>
      <x:c r="I241" s="99"/>
      <x:c r="J241" s="99"/>
      <x:c r="K241" s="99"/>
      <x:c r="L241" s="99"/>
      <x:c r="M241" s="99"/>
      <x:c r="N241" s="99"/>
      <x:c r="O241" s="99"/>
      <x:c r="P241" s="99"/>
      <x:c r="Q241" s="99"/>
      <x:c r="R241" s="99"/>
      <x:c r="S241" s="99"/>
      <x:c r="T241" s="99"/>
      <x:c r="U241" s="99"/>
      <x:c r="V241" s="99"/>
      <x:c r="W241" s="99"/>
      <x:c r="X241" s="99"/>
      <x:c r="Y241" s="99"/>
      <x:c r="Z241" s="99"/>
    </x:row>
    <x:row r="242">
      <x:c r="A242" s="99"/>
      <x:c r="B242" s="99"/>
      <x:c r="C242" s="99"/>
      <x:c r="D242" s="99"/>
      <x:c r="E242" s="99"/>
      <x:c r="F242" s="99"/>
      <x:c r="G242" s="99"/>
      <x:c r="H242" s="99"/>
      <x:c r="I242" s="99"/>
      <x:c r="J242" s="99"/>
      <x:c r="K242" s="99"/>
      <x:c r="L242" s="99"/>
      <x:c r="M242" s="99"/>
      <x:c r="N242" s="99"/>
      <x:c r="O242" s="99"/>
      <x:c r="P242" s="99"/>
      <x:c r="Q242" s="99"/>
      <x:c r="R242" s="99"/>
      <x:c r="S242" s="99"/>
      <x:c r="T242" s="99"/>
      <x:c r="U242" s="99"/>
      <x:c r="V242" s="99"/>
      <x:c r="W242" s="99"/>
      <x:c r="X242" s="99"/>
      <x:c r="Y242" s="99"/>
      <x:c r="Z242" s="99"/>
    </x:row>
    <x:row r="243">
      <x:c r="A243" s="99"/>
      <x:c r="B243" s="99"/>
      <x:c r="C243" s="99"/>
      <x:c r="D243" s="99"/>
      <x:c r="E243" s="99"/>
      <x:c r="F243" s="99"/>
      <x:c r="G243" s="99"/>
      <x:c r="H243" s="99"/>
      <x:c r="I243" s="99"/>
      <x:c r="J243" s="99"/>
      <x:c r="K243" s="99"/>
      <x:c r="L243" s="99"/>
      <x:c r="M243" s="99"/>
      <x:c r="N243" s="99"/>
      <x:c r="O243" s="99"/>
      <x:c r="P243" s="99"/>
      <x:c r="Q243" s="99"/>
      <x:c r="R243" s="99"/>
      <x:c r="S243" s="99"/>
      <x:c r="T243" s="99"/>
      <x:c r="U243" s="99"/>
      <x:c r="V243" s="99"/>
      <x:c r="W243" s="99"/>
      <x:c r="X243" s="99"/>
      <x:c r="Y243" s="99"/>
      <x:c r="Z243" s="99"/>
    </x:row>
    <x:row r="244">
      <x:c r="A244" s="99"/>
      <x:c r="B244" s="99"/>
      <x:c r="C244" s="99"/>
      <x:c r="D244" s="99"/>
      <x:c r="E244" s="99"/>
      <x:c r="F244" s="99"/>
      <x:c r="G244" s="99"/>
      <x:c r="H244" s="99"/>
      <x:c r="I244" s="99"/>
      <x:c r="J244" s="99"/>
      <x:c r="K244" s="99"/>
      <x:c r="L244" s="99"/>
      <x:c r="M244" s="99"/>
      <x:c r="N244" s="99"/>
      <x:c r="O244" s="99"/>
      <x:c r="P244" s="99"/>
      <x:c r="Q244" s="99"/>
      <x:c r="R244" s="99"/>
      <x:c r="S244" s="99"/>
      <x:c r="T244" s="99"/>
      <x:c r="U244" s="99"/>
      <x:c r="V244" s="99"/>
      <x:c r="W244" s="99"/>
      <x:c r="X244" s="99"/>
      <x:c r="Y244" s="99"/>
      <x:c r="Z244" s="99"/>
    </x:row>
    <x:row r="245">
      <x:c r="A245" s="99"/>
      <x:c r="B245" s="99"/>
      <x:c r="C245" s="99"/>
      <x:c r="D245" s="99"/>
      <x:c r="E245" s="99"/>
      <x:c r="F245" s="99"/>
      <x:c r="G245" s="99"/>
      <x:c r="H245" s="99"/>
      <x:c r="I245" s="99"/>
      <x:c r="J245" s="99"/>
      <x:c r="K245" s="99"/>
      <x:c r="L245" s="99"/>
      <x:c r="M245" s="99"/>
      <x:c r="N245" s="99"/>
      <x:c r="O245" s="99"/>
      <x:c r="P245" s="99"/>
      <x:c r="Q245" s="99"/>
      <x:c r="R245" s="99"/>
      <x:c r="S245" s="99"/>
      <x:c r="T245" s="99"/>
      <x:c r="U245" s="99"/>
      <x:c r="V245" s="99"/>
      <x:c r="W245" s="99"/>
      <x:c r="X245" s="99"/>
      <x:c r="Y245" s="99"/>
      <x:c r="Z245" s="99"/>
    </x:row>
    <x:row r="246">
      <x:c r="A246" s="99"/>
      <x:c r="B246" s="99"/>
      <x:c r="C246" s="99"/>
      <x:c r="D246" s="99"/>
      <x:c r="E246" s="99"/>
      <x:c r="F246" s="99"/>
      <x:c r="G246" s="99"/>
      <x:c r="H246" s="99"/>
      <x:c r="I246" s="99"/>
      <x:c r="J246" s="99"/>
      <x:c r="K246" s="99"/>
      <x:c r="L246" s="99"/>
      <x:c r="M246" s="99"/>
      <x:c r="N246" s="99"/>
      <x:c r="O246" s="99"/>
      <x:c r="P246" s="99"/>
      <x:c r="Q246" s="99"/>
      <x:c r="R246" s="99"/>
      <x:c r="S246" s="99"/>
      <x:c r="T246" s="99"/>
      <x:c r="U246" s="99"/>
      <x:c r="V246" s="99"/>
      <x:c r="W246" s="99"/>
      <x:c r="X246" s="99"/>
      <x:c r="Y246" s="99"/>
      <x:c r="Z246" s="99"/>
    </x:row>
    <x:row r="247">
      <x:c r="A247" s="99"/>
      <x:c r="B247" s="99"/>
      <x:c r="C247" s="99"/>
      <x:c r="D247" s="99"/>
      <x:c r="E247" s="99"/>
      <x:c r="F247" s="99"/>
      <x:c r="G247" s="99"/>
      <x:c r="H247" s="99"/>
      <x:c r="I247" s="99"/>
      <x:c r="J247" s="99"/>
      <x:c r="K247" s="99"/>
      <x:c r="L247" s="99"/>
      <x:c r="M247" s="99"/>
      <x:c r="N247" s="99"/>
      <x:c r="O247" s="99"/>
      <x:c r="P247" s="99"/>
      <x:c r="Q247" s="99"/>
      <x:c r="R247" s="99"/>
      <x:c r="S247" s="99"/>
      <x:c r="T247" s="99"/>
      <x:c r="U247" s="99"/>
      <x:c r="V247" s="99"/>
      <x:c r="W247" s="99"/>
      <x:c r="X247" s="99"/>
      <x:c r="Y247" s="99"/>
      <x:c r="Z247" s="99"/>
    </x:row>
    <x:row r="248">
      <x:c r="A248" s="99"/>
      <x:c r="B248" s="99"/>
      <x:c r="C248" s="99"/>
      <x:c r="D248" s="99"/>
      <x:c r="E248" s="99"/>
      <x:c r="F248" s="99"/>
      <x:c r="G248" s="99"/>
      <x:c r="H248" s="99"/>
      <x:c r="I248" s="99"/>
      <x:c r="J248" s="99"/>
      <x:c r="K248" s="99"/>
      <x:c r="L248" s="99"/>
      <x:c r="M248" s="99"/>
      <x:c r="N248" s="99"/>
      <x:c r="O248" s="99"/>
      <x:c r="P248" s="99"/>
      <x:c r="Q248" s="99"/>
      <x:c r="R248" s="99"/>
      <x:c r="S248" s="99"/>
      <x:c r="T248" s="99"/>
      <x:c r="U248" s="99"/>
      <x:c r="V248" s="99"/>
      <x:c r="W248" s="99"/>
      <x:c r="X248" s="99"/>
      <x:c r="Y248" s="99"/>
      <x:c r="Z248" s="99"/>
    </x:row>
    <x:row r="249">
      <x:c r="A249" s="99"/>
      <x:c r="B249" s="99"/>
      <x:c r="C249" s="99"/>
      <x:c r="D249" s="99"/>
      <x:c r="E249" s="99"/>
      <x:c r="F249" s="99"/>
      <x:c r="G249" s="99"/>
      <x:c r="H249" s="99"/>
      <x:c r="I249" s="99"/>
      <x:c r="J249" s="99"/>
      <x:c r="K249" s="99"/>
      <x:c r="L249" s="99"/>
      <x:c r="M249" s="99"/>
      <x:c r="N249" s="99"/>
      <x:c r="O249" s="99"/>
      <x:c r="P249" s="99"/>
      <x:c r="Q249" s="99"/>
      <x:c r="R249" s="99"/>
      <x:c r="S249" s="99"/>
      <x:c r="T249" s="99"/>
      <x:c r="U249" s="99"/>
      <x:c r="V249" s="99"/>
      <x:c r="W249" s="99"/>
      <x:c r="X249" s="99"/>
      <x:c r="Y249" s="99"/>
      <x:c r="Z249" s="99"/>
    </x:row>
    <x:row r="250">
      <x:c r="A250" s="99"/>
      <x:c r="B250" s="99"/>
      <x:c r="C250" s="99"/>
      <x:c r="D250" s="99"/>
      <x:c r="E250" s="99"/>
      <x:c r="F250" s="99"/>
      <x:c r="G250" s="99"/>
      <x:c r="H250" s="99"/>
      <x:c r="I250" s="99"/>
      <x:c r="J250" s="99"/>
      <x:c r="K250" s="99"/>
      <x:c r="L250" s="99"/>
      <x:c r="M250" s="99"/>
      <x:c r="N250" s="99"/>
      <x:c r="O250" s="99"/>
      <x:c r="P250" s="99"/>
      <x:c r="Q250" s="99"/>
      <x:c r="R250" s="99"/>
      <x:c r="S250" s="99"/>
      <x:c r="T250" s="99"/>
      <x:c r="U250" s="99"/>
      <x:c r="V250" s="99"/>
      <x:c r="W250" s="99"/>
      <x:c r="X250" s="99"/>
      <x:c r="Y250" s="99"/>
      <x:c r="Z250" s="99"/>
    </x:row>
    <x:row r="251">
      <x:c r="A251" s="99"/>
      <x:c r="B251" s="99"/>
      <x:c r="C251" s="99"/>
      <x:c r="D251" s="99"/>
      <x:c r="E251" s="99"/>
      <x:c r="F251" s="99"/>
      <x:c r="G251" s="99"/>
      <x:c r="H251" s="99"/>
      <x:c r="I251" s="99"/>
      <x:c r="J251" s="99"/>
      <x:c r="K251" s="99"/>
      <x:c r="L251" s="99"/>
      <x:c r="M251" s="99"/>
      <x:c r="N251" s="99"/>
      <x:c r="O251" s="99"/>
      <x:c r="P251" s="99"/>
      <x:c r="Q251" s="99"/>
      <x:c r="R251" s="99"/>
      <x:c r="S251" s="99"/>
      <x:c r="T251" s="99"/>
      <x:c r="U251" s="99"/>
      <x:c r="V251" s="99"/>
      <x:c r="W251" s="99"/>
      <x:c r="X251" s="99"/>
      <x:c r="Y251" s="99"/>
      <x:c r="Z251" s="99"/>
    </x:row>
    <x:row r="252">
      <x:c r="A252" s="99"/>
      <x:c r="B252" s="99"/>
      <x:c r="C252" s="99"/>
      <x:c r="D252" s="99"/>
      <x:c r="E252" s="99"/>
      <x:c r="F252" s="99"/>
      <x:c r="G252" s="99"/>
      <x:c r="H252" s="99"/>
      <x:c r="I252" s="99"/>
      <x:c r="J252" s="99"/>
      <x:c r="K252" s="99"/>
      <x:c r="L252" s="99"/>
      <x:c r="M252" s="99"/>
      <x:c r="N252" s="99"/>
      <x:c r="O252" s="99"/>
      <x:c r="P252" s="99"/>
      <x:c r="Q252" s="99"/>
      <x:c r="R252" s="99"/>
      <x:c r="S252" s="99"/>
      <x:c r="T252" s="99"/>
      <x:c r="U252" s="99"/>
      <x:c r="V252" s="99"/>
      <x:c r="W252" s="99"/>
      <x:c r="X252" s="99"/>
      <x:c r="Y252" s="99"/>
      <x:c r="Z252" s="99"/>
    </x:row>
    <x:row r="253">
      <x:c r="A253" s="99"/>
      <x:c r="B253" s="99"/>
      <x:c r="C253" s="99"/>
      <x:c r="D253" s="99"/>
      <x:c r="E253" s="99"/>
      <x:c r="F253" s="99"/>
      <x:c r="G253" s="99"/>
      <x:c r="H253" s="99"/>
      <x:c r="I253" s="99"/>
      <x:c r="J253" s="99"/>
      <x:c r="K253" s="99"/>
      <x:c r="L253" s="99"/>
      <x:c r="M253" s="99"/>
      <x:c r="N253" s="99"/>
      <x:c r="O253" s="99"/>
      <x:c r="P253" s="99"/>
      <x:c r="Q253" s="99"/>
      <x:c r="R253" s="99"/>
      <x:c r="S253" s="99"/>
      <x:c r="T253" s="99"/>
      <x:c r="U253" s="99"/>
      <x:c r="V253" s="99"/>
      <x:c r="W253" s="99"/>
      <x:c r="X253" s="99"/>
      <x:c r="Y253" s="99"/>
      <x:c r="Z253" s="99"/>
    </x:row>
    <x:row r="254">
      <x:c r="A254" s="99"/>
      <x:c r="B254" s="99"/>
      <x:c r="C254" s="99"/>
      <x:c r="D254" s="99"/>
      <x:c r="E254" s="99"/>
      <x:c r="F254" s="99"/>
      <x:c r="G254" s="99"/>
      <x:c r="H254" s="99"/>
      <x:c r="I254" s="99"/>
      <x:c r="J254" s="99"/>
      <x:c r="K254" s="99"/>
      <x:c r="L254" s="99"/>
      <x:c r="M254" s="99"/>
      <x:c r="N254" s="99"/>
      <x:c r="O254" s="99"/>
      <x:c r="P254" s="99"/>
      <x:c r="Q254" s="99"/>
      <x:c r="R254" s="99"/>
      <x:c r="S254" s="99"/>
      <x:c r="T254" s="99"/>
      <x:c r="U254" s="99"/>
      <x:c r="V254" s="99"/>
      <x:c r="W254" s="99"/>
      <x:c r="X254" s="99"/>
      <x:c r="Y254" s="99"/>
      <x:c r="Z254" s="99"/>
    </x:row>
    <x:row r="255">
      <x:c r="A255" s="99"/>
      <x:c r="B255" s="99"/>
      <x:c r="C255" s="99"/>
      <x:c r="D255" s="99"/>
      <x:c r="E255" s="99"/>
      <x:c r="F255" s="99"/>
      <x:c r="G255" s="99"/>
      <x:c r="H255" s="99"/>
      <x:c r="I255" s="99"/>
      <x:c r="J255" s="99"/>
      <x:c r="K255" s="99"/>
      <x:c r="L255" s="99"/>
      <x:c r="M255" s="99"/>
      <x:c r="N255" s="99"/>
      <x:c r="O255" s="99"/>
      <x:c r="P255" s="99"/>
      <x:c r="Q255" s="99"/>
      <x:c r="R255" s="99"/>
      <x:c r="S255" s="99"/>
      <x:c r="T255" s="99"/>
      <x:c r="U255" s="99"/>
      <x:c r="V255" s="99"/>
      <x:c r="W255" s="99"/>
      <x:c r="X255" s="99"/>
      <x:c r="Y255" s="99"/>
      <x:c r="Z255" s="99"/>
    </x:row>
    <x:row r="256">
      <x:c r="A256" s="99"/>
      <x:c r="B256" s="99"/>
      <x:c r="C256" s="99"/>
      <x:c r="D256" s="99"/>
      <x:c r="E256" s="99"/>
      <x:c r="F256" s="99"/>
      <x:c r="G256" s="99"/>
      <x:c r="H256" s="99"/>
      <x:c r="I256" s="99"/>
      <x:c r="J256" s="99"/>
      <x:c r="K256" s="99"/>
      <x:c r="L256" s="99"/>
      <x:c r="M256" s="99"/>
      <x:c r="N256" s="99"/>
      <x:c r="O256" s="99"/>
      <x:c r="P256" s="99"/>
      <x:c r="Q256" s="99"/>
      <x:c r="R256" s="99"/>
      <x:c r="S256" s="99"/>
      <x:c r="T256" s="99"/>
      <x:c r="U256" s="99"/>
      <x:c r="V256" s="99"/>
      <x:c r="W256" s="99"/>
      <x:c r="X256" s="99"/>
      <x:c r="Y256" s="99"/>
      <x:c r="Z256" s="99"/>
    </x:row>
    <x:row r="257">
      <x:c r="A257" s="99"/>
      <x:c r="B257" s="99"/>
      <x:c r="C257" s="99"/>
      <x:c r="D257" s="99"/>
      <x:c r="E257" s="99"/>
      <x:c r="F257" s="99"/>
      <x:c r="G257" s="99"/>
      <x:c r="H257" s="99"/>
      <x:c r="I257" s="99"/>
      <x:c r="J257" s="99"/>
      <x:c r="K257" s="99"/>
      <x:c r="L257" s="99"/>
      <x:c r="M257" s="99"/>
      <x:c r="N257" s="99"/>
      <x:c r="O257" s="99"/>
      <x:c r="P257" s="99"/>
      <x:c r="Q257" s="99"/>
      <x:c r="R257" s="99"/>
      <x:c r="S257" s="99"/>
      <x:c r="T257" s="99"/>
      <x:c r="U257" s="99"/>
      <x:c r="V257" s="99"/>
      <x:c r="W257" s="99"/>
      <x:c r="X257" s="99"/>
      <x:c r="Y257" s="99"/>
      <x:c r="Z257" s="99"/>
    </x:row>
    <x:row r="258">
      <x:c r="A258" s="99"/>
      <x:c r="B258" s="99"/>
      <x:c r="C258" s="99"/>
      <x:c r="D258" s="99"/>
      <x:c r="E258" s="99"/>
      <x:c r="F258" s="99"/>
      <x:c r="G258" s="99"/>
      <x:c r="H258" s="99"/>
      <x:c r="I258" s="99"/>
      <x:c r="J258" s="99"/>
      <x:c r="K258" s="99"/>
      <x:c r="L258" s="99"/>
      <x:c r="M258" s="99"/>
      <x:c r="N258" s="99"/>
      <x:c r="O258" s="99"/>
      <x:c r="P258" s="99"/>
      <x:c r="Q258" s="99"/>
      <x:c r="R258" s="99"/>
      <x:c r="S258" s="99"/>
      <x:c r="T258" s="99"/>
      <x:c r="U258" s="99"/>
      <x:c r="V258" s="99"/>
      <x:c r="W258" s="99"/>
      <x:c r="X258" s="99"/>
      <x:c r="Y258" s="99"/>
      <x:c r="Z258" s="99"/>
    </x:row>
    <x:row r="259">
      <x:c r="A259" s="99"/>
      <x:c r="B259" s="99"/>
      <x:c r="C259" s="99"/>
      <x:c r="D259" s="99"/>
      <x:c r="E259" s="99"/>
      <x:c r="F259" s="99"/>
      <x:c r="G259" s="99"/>
      <x:c r="H259" s="99"/>
      <x:c r="I259" s="99"/>
      <x:c r="J259" s="99"/>
      <x:c r="K259" s="99"/>
      <x:c r="L259" s="99"/>
      <x:c r="M259" s="99"/>
      <x:c r="N259" s="99"/>
      <x:c r="O259" s="99"/>
      <x:c r="P259" s="99"/>
      <x:c r="Q259" s="99"/>
      <x:c r="R259" s="99"/>
      <x:c r="S259" s="99"/>
      <x:c r="T259" s="99"/>
      <x:c r="U259" s="99"/>
      <x:c r="V259" s="99"/>
      <x:c r="W259" s="99"/>
      <x:c r="X259" s="99"/>
      <x:c r="Y259" s="99"/>
      <x:c r="Z259" s="99"/>
    </x:row>
    <x:row r="260">
      <x:c r="A260" s="99"/>
      <x:c r="B260" s="99"/>
      <x:c r="C260" s="99"/>
      <x:c r="D260" s="99"/>
      <x:c r="E260" s="99"/>
      <x:c r="F260" s="99"/>
      <x:c r="G260" s="99"/>
      <x:c r="H260" s="99"/>
      <x:c r="I260" s="99"/>
      <x:c r="J260" s="99"/>
      <x:c r="K260" s="99"/>
      <x:c r="L260" s="99"/>
      <x:c r="M260" s="99"/>
      <x:c r="N260" s="99"/>
      <x:c r="O260" s="99"/>
      <x:c r="P260" s="99"/>
      <x:c r="Q260" s="99"/>
      <x:c r="R260" s="99"/>
      <x:c r="S260" s="99"/>
      <x:c r="T260" s="99"/>
      <x:c r="U260" s="99"/>
      <x:c r="V260" s="99"/>
      <x:c r="W260" s="99"/>
      <x:c r="X260" s="99"/>
      <x:c r="Y260" s="99"/>
      <x:c r="Z260" s="99"/>
    </x:row>
    <x:row r="261">
      <x:c r="A261" s="99"/>
      <x:c r="B261" s="99"/>
      <x:c r="C261" s="99"/>
      <x:c r="D261" s="99"/>
      <x:c r="E261" s="99"/>
      <x:c r="F261" s="99"/>
      <x:c r="G261" s="99"/>
      <x:c r="H261" s="99"/>
      <x:c r="I261" s="99"/>
      <x:c r="J261" s="99"/>
      <x:c r="K261" s="99"/>
      <x:c r="L261" s="99"/>
      <x:c r="M261" s="99"/>
      <x:c r="N261" s="99"/>
      <x:c r="O261" s="99"/>
      <x:c r="P261" s="99"/>
      <x:c r="Q261" s="99"/>
      <x:c r="R261" s="99"/>
      <x:c r="S261" s="99"/>
      <x:c r="T261" s="99"/>
      <x:c r="U261" s="99"/>
      <x:c r="V261" s="99"/>
      <x:c r="W261" s="99"/>
      <x:c r="X261" s="99"/>
      <x:c r="Y261" s="99"/>
      <x:c r="Z261" s="99"/>
    </x:row>
    <x:row r="262">
      <x:c r="A262" s="99"/>
      <x:c r="B262" s="99"/>
      <x:c r="C262" s="99"/>
      <x:c r="D262" s="99"/>
      <x:c r="E262" s="99"/>
      <x:c r="F262" s="99"/>
      <x:c r="G262" s="99"/>
      <x:c r="H262" s="99"/>
      <x:c r="I262" s="99"/>
      <x:c r="J262" s="99"/>
      <x:c r="K262" s="99"/>
      <x:c r="L262" s="99"/>
      <x:c r="M262" s="99"/>
      <x:c r="N262" s="99"/>
      <x:c r="O262" s="99"/>
      <x:c r="P262" s="99"/>
      <x:c r="Q262" s="99"/>
      <x:c r="R262" s="99"/>
      <x:c r="S262" s="99"/>
      <x:c r="T262" s="99"/>
      <x:c r="U262" s="99"/>
      <x:c r="V262" s="99"/>
      <x:c r="W262" s="99"/>
      <x:c r="X262" s="99"/>
      <x:c r="Y262" s="99"/>
      <x:c r="Z262" s="99"/>
    </x:row>
    <x:row r="263">
      <x:c r="A263" s="99"/>
      <x:c r="B263" s="99"/>
      <x:c r="C263" s="99"/>
      <x:c r="D263" s="99"/>
      <x:c r="E263" s="99"/>
      <x:c r="F263" s="99"/>
      <x:c r="G263" s="99"/>
      <x:c r="H263" s="99"/>
      <x:c r="I263" s="99"/>
      <x:c r="J263" s="99"/>
      <x:c r="K263" s="99"/>
      <x:c r="L263" s="99"/>
      <x:c r="M263" s="99"/>
      <x:c r="N263" s="99"/>
      <x:c r="O263" s="99"/>
      <x:c r="P263" s="99"/>
      <x:c r="Q263" s="99"/>
      <x:c r="R263" s="99"/>
      <x:c r="S263" s="99"/>
      <x:c r="T263" s="99"/>
      <x:c r="U263" s="99"/>
      <x:c r="V263" s="99"/>
      <x:c r="W263" s="99"/>
      <x:c r="X263" s="99"/>
      <x:c r="Y263" s="99"/>
      <x:c r="Z263" s="99"/>
    </x:row>
    <x:row r="264">
      <x:c r="A264" s="99"/>
      <x:c r="B264" s="99"/>
      <x:c r="C264" s="99"/>
      <x:c r="D264" s="99"/>
      <x:c r="E264" s="99"/>
      <x:c r="F264" s="99"/>
      <x:c r="G264" s="99"/>
      <x:c r="H264" s="99"/>
      <x:c r="I264" s="99"/>
      <x:c r="J264" s="99"/>
      <x:c r="K264" s="99"/>
      <x:c r="L264" s="99"/>
      <x:c r="M264" s="99"/>
      <x:c r="N264" s="99"/>
      <x:c r="O264" s="99"/>
      <x:c r="P264" s="99"/>
      <x:c r="Q264" s="99"/>
      <x:c r="R264" s="99"/>
      <x:c r="S264" s="99"/>
      <x:c r="T264" s="99"/>
      <x:c r="U264" s="99"/>
      <x:c r="V264" s="99"/>
      <x:c r="W264" s="99"/>
      <x:c r="X264" s="99"/>
      <x:c r="Y264" s="99"/>
      <x:c r="Z264" s="99"/>
    </x:row>
    <x:row r="265">
      <x:c r="A265" s="99"/>
      <x:c r="B265" s="99"/>
      <x:c r="C265" s="99"/>
      <x:c r="D265" s="99"/>
      <x:c r="E265" s="99"/>
      <x:c r="F265" s="99"/>
      <x:c r="G265" s="99"/>
      <x:c r="H265" s="99"/>
      <x:c r="I265" s="99"/>
      <x:c r="J265" s="99"/>
      <x:c r="K265" s="99"/>
      <x:c r="L265" s="99"/>
      <x:c r="M265" s="99"/>
      <x:c r="N265" s="99"/>
      <x:c r="O265" s="99"/>
      <x:c r="P265" s="99"/>
      <x:c r="Q265" s="99"/>
      <x:c r="R265" s="99"/>
      <x:c r="S265" s="99"/>
      <x:c r="T265" s="99"/>
      <x:c r="U265" s="99"/>
      <x:c r="V265" s="99"/>
      <x:c r="W265" s="99"/>
      <x:c r="X265" s="99"/>
      <x:c r="Y265" s="99"/>
      <x:c r="Z265" s="99"/>
    </x:row>
    <x:row r="266">
      <x:c r="A266" s="99"/>
      <x:c r="B266" s="99"/>
      <x:c r="C266" s="99"/>
      <x:c r="D266" s="99"/>
      <x:c r="E266" s="99"/>
      <x:c r="F266" s="99"/>
      <x:c r="G266" s="99"/>
      <x:c r="H266" s="99"/>
      <x:c r="I266" s="99"/>
      <x:c r="J266" s="99"/>
      <x:c r="K266" s="99"/>
      <x:c r="L266" s="99"/>
      <x:c r="M266" s="99"/>
      <x:c r="N266" s="99"/>
      <x:c r="O266" s="99"/>
      <x:c r="P266" s="99"/>
      <x:c r="Q266" s="99"/>
      <x:c r="R266" s="99"/>
      <x:c r="S266" s="99"/>
      <x:c r="T266" s="99"/>
      <x:c r="U266" s="99"/>
      <x:c r="V266" s="99"/>
      <x:c r="W266" s="99"/>
      <x:c r="X266" s="99"/>
      <x:c r="Y266" s="99"/>
      <x:c r="Z266" s="99"/>
    </x:row>
    <x:row r="267">
      <x:c r="A267" s="99"/>
      <x:c r="B267" s="99"/>
      <x:c r="C267" s="99"/>
      <x:c r="D267" s="99"/>
      <x:c r="E267" s="99"/>
      <x:c r="F267" s="99"/>
      <x:c r="G267" s="99"/>
      <x:c r="H267" s="99"/>
      <x:c r="I267" s="99"/>
      <x:c r="J267" s="99"/>
      <x:c r="K267" s="99"/>
      <x:c r="L267" s="99"/>
      <x:c r="M267" s="99"/>
      <x:c r="N267" s="99"/>
      <x:c r="O267" s="99"/>
      <x:c r="P267" s="99"/>
      <x:c r="Q267" s="99"/>
      <x:c r="R267" s="99"/>
      <x:c r="S267" s="99"/>
      <x:c r="T267" s="99"/>
      <x:c r="U267" s="99"/>
      <x:c r="V267" s="99"/>
      <x:c r="W267" s="99"/>
      <x:c r="X267" s="99"/>
      <x:c r="Y267" s="99"/>
      <x:c r="Z267" s="99"/>
    </x:row>
    <x:row r="268">
      <x:c r="A268" s="99"/>
      <x:c r="B268" s="99"/>
      <x:c r="C268" s="99"/>
      <x:c r="D268" s="99"/>
      <x:c r="E268" s="99"/>
      <x:c r="F268" s="99"/>
      <x:c r="G268" s="99"/>
      <x:c r="H268" s="99"/>
      <x:c r="I268" s="99"/>
      <x:c r="J268" s="99"/>
      <x:c r="K268" s="99"/>
      <x:c r="L268" s="99"/>
      <x:c r="M268" s="99"/>
      <x:c r="N268" s="99"/>
      <x:c r="O268" s="99"/>
      <x:c r="P268" s="99"/>
      <x:c r="Q268" s="99"/>
      <x:c r="R268" s="99"/>
      <x:c r="S268" s="99"/>
      <x:c r="T268" s="99"/>
      <x:c r="U268" s="99"/>
      <x:c r="V268" s="99"/>
      <x:c r="W268" s="99"/>
      <x:c r="X268" s="99"/>
      <x:c r="Y268" s="99"/>
      <x:c r="Z268" s="99"/>
    </x:row>
    <x:row r="269">
      <x:c r="A269" s="99"/>
      <x:c r="B269" s="99"/>
      <x:c r="C269" s="99"/>
      <x:c r="D269" s="99"/>
      <x:c r="E269" s="99"/>
      <x:c r="F269" s="99"/>
      <x:c r="G269" s="99"/>
      <x:c r="H269" s="99"/>
      <x:c r="I269" s="99"/>
      <x:c r="J269" s="99"/>
      <x:c r="K269" s="99"/>
      <x:c r="L269" s="99"/>
      <x:c r="M269" s="99"/>
      <x:c r="N269" s="99"/>
      <x:c r="O269" s="99"/>
      <x:c r="P269" s="99"/>
      <x:c r="Q269" s="99"/>
      <x:c r="R269" s="99"/>
      <x:c r="S269" s="99"/>
      <x:c r="T269" s="99"/>
      <x:c r="U269" s="99"/>
      <x:c r="V269" s="99"/>
      <x:c r="W269" s="99"/>
      <x:c r="X269" s="99"/>
      <x:c r="Y269" s="99"/>
      <x:c r="Z269" s="99"/>
    </x:row>
    <x:row r="270">
      <x:c r="A270" s="99"/>
      <x:c r="B270" s="99"/>
      <x:c r="C270" s="99"/>
      <x:c r="D270" s="99"/>
      <x:c r="E270" s="99"/>
      <x:c r="F270" s="99"/>
      <x:c r="G270" s="99"/>
      <x:c r="H270" s="99"/>
      <x:c r="I270" s="99"/>
      <x:c r="J270" s="99"/>
      <x:c r="K270" s="99"/>
      <x:c r="L270" s="99"/>
      <x:c r="M270" s="99"/>
      <x:c r="N270" s="99"/>
      <x:c r="O270" s="99"/>
      <x:c r="P270" s="99"/>
      <x:c r="Q270" s="99"/>
      <x:c r="R270" s="99"/>
      <x:c r="S270" s="99"/>
      <x:c r="T270" s="99"/>
      <x:c r="U270" s="99"/>
      <x:c r="V270" s="99"/>
      <x:c r="W270" s="99"/>
      <x:c r="X270" s="99"/>
      <x:c r="Y270" s="99"/>
      <x:c r="Z270" s="99"/>
    </x:row>
    <x:row r="271">
      <x:c r="A271" s="99"/>
      <x:c r="B271" s="99"/>
      <x:c r="C271" s="99"/>
      <x:c r="D271" s="99"/>
      <x:c r="E271" s="99"/>
      <x:c r="F271" s="99"/>
      <x:c r="G271" s="99"/>
      <x:c r="H271" s="99"/>
      <x:c r="I271" s="99"/>
      <x:c r="J271" s="99"/>
      <x:c r="K271" s="99"/>
      <x:c r="L271" s="99"/>
      <x:c r="M271" s="99"/>
      <x:c r="N271" s="99"/>
      <x:c r="O271" s="99"/>
      <x:c r="P271" s="99"/>
      <x:c r="Q271" s="99"/>
      <x:c r="R271" s="99"/>
      <x:c r="S271" s="99"/>
      <x:c r="T271" s="99"/>
      <x:c r="U271" s="99"/>
      <x:c r="V271" s="99"/>
      <x:c r="W271" s="99"/>
      <x:c r="X271" s="99"/>
      <x:c r="Y271" s="99"/>
      <x:c r="Z271" s="99"/>
    </x:row>
    <x:row r="272">
      <x:c r="A272" s="99"/>
      <x:c r="B272" s="99"/>
      <x:c r="C272" s="99"/>
      <x:c r="D272" s="99"/>
      <x:c r="E272" s="99"/>
      <x:c r="F272" s="99"/>
      <x:c r="G272" s="99"/>
      <x:c r="H272" s="99"/>
      <x:c r="I272" s="99"/>
      <x:c r="J272" s="99"/>
      <x:c r="K272" s="99"/>
      <x:c r="L272" s="99"/>
      <x:c r="M272" s="99"/>
      <x:c r="N272" s="99"/>
      <x:c r="O272" s="99"/>
      <x:c r="P272" s="99"/>
      <x:c r="Q272" s="99"/>
      <x:c r="R272" s="99"/>
      <x:c r="S272" s="99"/>
      <x:c r="T272" s="99"/>
      <x:c r="U272" s="99"/>
      <x:c r="V272" s="99"/>
      <x:c r="W272" s="99"/>
      <x:c r="X272" s="99"/>
      <x:c r="Y272" s="99"/>
      <x:c r="Z272" s="99"/>
    </x:row>
    <x:row r="273">
      <x:c r="A273" s="99"/>
      <x:c r="B273" s="99"/>
      <x:c r="C273" s="99"/>
      <x:c r="D273" s="99"/>
      <x:c r="E273" s="99"/>
      <x:c r="F273" s="99"/>
      <x:c r="G273" s="99"/>
      <x:c r="H273" s="99"/>
      <x:c r="I273" s="99"/>
      <x:c r="J273" s="99"/>
      <x:c r="K273" s="99"/>
      <x:c r="L273" s="99"/>
      <x:c r="M273" s="99"/>
      <x:c r="N273" s="99"/>
      <x:c r="O273" s="99"/>
      <x:c r="P273" s="99"/>
      <x:c r="Q273" s="99"/>
      <x:c r="R273" s="99"/>
      <x:c r="S273" s="99"/>
      <x:c r="T273" s="99"/>
      <x:c r="U273" s="99"/>
      <x:c r="V273" s="99"/>
      <x:c r="W273" s="99"/>
      <x:c r="X273" s="99"/>
      <x:c r="Y273" s="99"/>
      <x:c r="Z273" s="99"/>
    </x:row>
    <x:row r="274">
      <x:c r="A274" s="99"/>
      <x:c r="B274" s="99"/>
      <x:c r="C274" s="99"/>
      <x:c r="D274" s="99"/>
      <x:c r="E274" s="99"/>
      <x:c r="F274" s="99"/>
      <x:c r="G274" s="99"/>
      <x:c r="H274" s="99"/>
      <x:c r="I274" s="99"/>
      <x:c r="J274" s="99"/>
      <x:c r="K274" s="99"/>
      <x:c r="L274" s="99"/>
      <x:c r="M274" s="99"/>
      <x:c r="N274" s="99"/>
      <x:c r="O274" s="99"/>
      <x:c r="P274" s="99"/>
      <x:c r="Q274" s="99"/>
      <x:c r="R274" s="99"/>
      <x:c r="S274" s="99"/>
      <x:c r="T274" s="99"/>
      <x:c r="U274" s="99"/>
      <x:c r="V274" s="99"/>
      <x:c r="W274" s="99"/>
      <x:c r="X274" s="99"/>
      <x:c r="Y274" s="99"/>
      <x:c r="Z274" s="99"/>
    </x:row>
    <x:row r="275">
      <x:c r="A275" s="99"/>
      <x:c r="B275" s="99"/>
      <x:c r="C275" s="99"/>
      <x:c r="D275" s="99"/>
      <x:c r="E275" s="99"/>
      <x:c r="F275" s="99"/>
      <x:c r="G275" s="99"/>
      <x:c r="H275" s="99"/>
      <x:c r="I275" s="99"/>
      <x:c r="J275" s="99"/>
      <x:c r="K275" s="99"/>
      <x:c r="L275" s="99"/>
      <x:c r="M275" s="99"/>
      <x:c r="N275" s="99"/>
      <x:c r="O275" s="99"/>
      <x:c r="P275" s="99"/>
      <x:c r="Q275" s="99"/>
      <x:c r="R275" s="99"/>
      <x:c r="S275" s="99"/>
      <x:c r="T275" s="99"/>
      <x:c r="U275" s="99"/>
      <x:c r="V275" s="99"/>
      <x:c r="W275" s="99"/>
      <x:c r="X275" s="99"/>
      <x:c r="Y275" s="99"/>
      <x:c r="Z275" s="99"/>
    </x:row>
    <x:row r="276">
      <x:c r="A276" s="99"/>
      <x:c r="B276" s="99"/>
      <x:c r="C276" s="99"/>
      <x:c r="D276" s="99"/>
      <x:c r="E276" s="99"/>
      <x:c r="F276" s="99"/>
      <x:c r="G276" s="99"/>
      <x:c r="H276" s="99"/>
      <x:c r="I276" s="99"/>
      <x:c r="J276" s="99"/>
      <x:c r="K276" s="99"/>
      <x:c r="L276" s="99"/>
      <x:c r="M276" s="99"/>
      <x:c r="N276" s="99"/>
      <x:c r="O276" s="99"/>
      <x:c r="P276" s="99"/>
      <x:c r="Q276" s="99"/>
      <x:c r="R276" s="99"/>
      <x:c r="S276" s="99"/>
      <x:c r="T276" s="99"/>
      <x:c r="U276" s="99"/>
      <x:c r="V276" s="99"/>
      <x:c r="W276" s="99"/>
      <x:c r="X276" s="99"/>
      <x:c r="Y276" s="99"/>
      <x:c r="Z276" s="99"/>
    </x:row>
    <x:row r="277">
      <x:c r="A277" s="99"/>
      <x:c r="B277" s="99"/>
      <x:c r="C277" s="99"/>
      <x:c r="D277" s="99"/>
      <x:c r="E277" s="99"/>
      <x:c r="F277" s="99"/>
      <x:c r="G277" s="99"/>
      <x:c r="H277" s="99"/>
      <x:c r="I277" s="99"/>
      <x:c r="J277" s="99"/>
      <x:c r="K277" s="99"/>
      <x:c r="L277" s="99"/>
      <x:c r="M277" s="99"/>
      <x:c r="N277" s="99"/>
      <x:c r="O277" s="99"/>
      <x:c r="P277" s="99"/>
      <x:c r="Q277" s="99"/>
      <x:c r="R277" s="99"/>
      <x:c r="S277" s="99"/>
      <x:c r="T277" s="99"/>
      <x:c r="U277" s="99"/>
      <x:c r="V277" s="99"/>
      <x:c r="W277" s="99"/>
      <x:c r="X277" s="99"/>
      <x:c r="Y277" s="99"/>
      <x:c r="Z277" s="99"/>
    </x:row>
    <x:row r="278">
      <x:c r="A278" s="99"/>
      <x:c r="B278" s="99"/>
      <x:c r="C278" s="99"/>
      <x:c r="D278" s="99"/>
      <x:c r="E278" s="99"/>
      <x:c r="F278" s="99"/>
      <x:c r="G278" s="99"/>
      <x:c r="H278" s="99"/>
      <x:c r="I278" s="99"/>
      <x:c r="J278" s="99"/>
      <x:c r="K278" s="99"/>
      <x:c r="L278" s="99"/>
      <x:c r="M278" s="99"/>
      <x:c r="N278" s="99"/>
      <x:c r="O278" s="99"/>
      <x:c r="P278" s="99"/>
      <x:c r="Q278" s="99"/>
      <x:c r="R278" s="99"/>
      <x:c r="S278" s="99"/>
      <x:c r="T278" s="99"/>
      <x:c r="U278" s="99"/>
      <x:c r="V278" s="99"/>
      <x:c r="W278" s="99"/>
      <x:c r="X278" s="99"/>
      <x:c r="Y278" s="99"/>
      <x:c r="Z278" s="99"/>
    </x:row>
    <x:row r="279">
      <x:c r="A279" s="99"/>
      <x:c r="B279" s="99"/>
      <x:c r="C279" s="99"/>
      <x:c r="D279" s="99"/>
      <x:c r="E279" s="99"/>
      <x:c r="F279" s="99"/>
      <x:c r="G279" s="99"/>
      <x:c r="H279" s="99"/>
      <x:c r="I279" s="99"/>
      <x:c r="J279" s="99"/>
      <x:c r="K279" s="99"/>
      <x:c r="L279" s="99"/>
      <x:c r="M279" s="99"/>
      <x:c r="N279" s="99"/>
      <x:c r="O279" s="99"/>
      <x:c r="P279" s="99"/>
      <x:c r="Q279" s="99"/>
      <x:c r="R279" s="99"/>
      <x:c r="S279" s="99"/>
      <x:c r="T279" s="99"/>
      <x:c r="U279" s="99"/>
      <x:c r="V279" s="99"/>
      <x:c r="W279" s="99"/>
      <x:c r="X279" s="99"/>
      <x:c r="Y279" s="99"/>
      <x:c r="Z279" s="99"/>
    </x:row>
    <x:row r="280">
      <x:c r="A280" s="99"/>
      <x:c r="B280" s="99"/>
      <x:c r="C280" s="99"/>
      <x:c r="D280" s="99"/>
      <x:c r="E280" s="99"/>
      <x:c r="F280" s="99"/>
      <x:c r="G280" s="99"/>
      <x:c r="H280" s="99"/>
      <x:c r="I280" s="99"/>
      <x:c r="J280" s="99"/>
      <x:c r="K280" s="99"/>
      <x:c r="L280" s="99"/>
      <x:c r="M280" s="99"/>
      <x:c r="N280" s="99"/>
      <x:c r="O280" s="99"/>
      <x:c r="P280" s="99"/>
      <x:c r="Q280" s="99"/>
      <x:c r="R280" s="99"/>
      <x:c r="S280" s="99"/>
      <x:c r="T280" s="99"/>
      <x:c r="U280" s="99"/>
      <x:c r="V280" s="99"/>
      <x:c r="W280" s="99"/>
      <x:c r="X280" s="99"/>
      <x:c r="Y280" s="99"/>
      <x:c r="Z280" s="99"/>
    </x:row>
    <x:row r="281">
      <x:c r="A281" s="99"/>
      <x:c r="B281" s="99"/>
      <x:c r="C281" s="99"/>
      <x:c r="D281" s="99"/>
      <x:c r="E281" s="99"/>
      <x:c r="F281" s="99"/>
      <x:c r="G281" s="99"/>
      <x:c r="H281" s="99"/>
      <x:c r="I281" s="99"/>
      <x:c r="J281" s="99"/>
      <x:c r="K281" s="99"/>
      <x:c r="L281" s="99"/>
      <x:c r="M281" s="99"/>
      <x:c r="N281" s="99"/>
      <x:c r="O281" s="99"/>
      <x:c r="P281" s="99"/>
      <x:c r="Q281" s="99"/>
      <x:c r="R281" s="99"/>
      <x:c r="S281" s="99"/>
      <x:c r="T281" s="99"/>
      <x:c r="U281" s="99"/>
      <x:c r="V281" s="99"/>
      <x:c r="W281" s="99"/>
      <x:c r="X281" s="99"/>
      <x:c r="Y281" s="99"/>
      <x:c r="Z281" s="99"/>
    </x:row>
    <x:row r="282">
      <x:c r="A282" s="99"/>
      <x:c r="B282" s="99"/>
      <x:c r="C282" s="99"/>
      <x:c r="D282" s="99"/>
      <x:c r="E282" s="99"/>
      <x:c r="F282" s="99"/>
      <x:c r="G282" s="99"/>
      <x:c r="H282" s="99"/>
      <x:c r="I282" s="99"/>
      <x:c r="J282" s="99"/>
      <x:c r="K282" s="99"/>
      <x:c r="L282" s="99"/>
      <x:c r="M282" s="99"/>
      <x:c r="N282" s="99"/>
      <x:c r="O282" s="99"/>
      <x:c r="P282" s="99"/>
      <x:c r="Q282" s="99"/>
      <x:c r="R282" s="99"/>
      <x:c r="S282" s="99"/>
      <x:c r="T282" s="99"/>
      <x:c r="U282" s="99"/>
      <x:c r="V282" s="99"/>
      <x:c r="W282" s="99"/>
      <x:c r="X282" s="99"/>
      <x:c r="Y282" s="99"/>
      <x:c r="Z282" s="99"/>
    </x:row>
    <x:row r="283">
      <x:c r="A283" s="99"/>
      <x:c r="B283" s="99"/>
      <x:c r="C283" s="99"/>
      <x:c r="D283" s="99"/>
      <x:c r="E283" s="99"/>
      <x:c r="F283" s="99"/>
      <x:c r="G283" s="99"/>
      <x:c r="H283" s="99"/>
      <x:c r="I283" s="99"/>
      <x:c r="J283" s="99"/>
      <x:c r="K283" s="99"/>
      <x:c r="L283" s="99"/>
      <x:c r="M283" s="99"/>
      <x:c r="N283" s="99"/>
      <x:c r="O283" s="99"/>
      <x:c r="P283" s="99"/>
      <x:c r="Q283" s="99"/>
      <x:c r="R283" s="99"/>
      <x:c r="S283" s="99"/>
      <x:c r="T283" s="99"/>
      <x:c r="U283" s="99"/>
      <x:c r="V283" s="99"/>
      <x:c r="W283" s="99"/>
      <x:c r="X283" s="99"/>
      <x:c r="Y283" s="99"/>
      <x:c r="Z283" s="99"/>
    </x:row>
    <x:row r="284">
      <x:c r="A284" s="99"/>
      <x:c r="B284" s="99"/>
      <x:c r="C284" s="99"/>
      <x:c r="D284" s="99"/>
      <x:c r="E284" s="99"/>
      <x:c r="F284" s="99"/>
      <x:c r="G284" s="99"/>
      <x:c r="H284" s="99"/>
      <x:c r="I284" s="99"/>
      <x:c r="J284" s="99"/>
      <x:c r="K284" s="99"/>
      <x:c r="L284" s="99"/>
      <x:c r="M284" s="99"/>
      <x:c r="N284" s="99"/>
      <x:c r="O284" s="99"/>
      <x:c r="P284" s="99"/>
      <x:c r="Q284" s="99"/>
      <x:c r="R284" s="99"/>
      <x:c r="S284" s="99"/>
      <x:c r="T284" s="99"/>
      <x:c r="U284" s="99"/>
      <x:c r="V284" s="99"/>
      <x:c r="W284" s="99"/>
      <x:c r="X284" s="99"/>
      <x:c r="Y284" s="99"/>
      <x:c r="Z284" s="99"/>
    </x:row>
    <x:row r="285">
      <x:c r="A285" s="99"/>
      <x:c r="B285" s="99"/>
      <x:c r="C285" s="99"/>
      <x:c r="D285" s="99"/>
      <x:c r="E285" s="99"/>
      <x:c r="F285" s="99"/>
      <x:c r="G285" s="99"/>
      <x:c r="H285" s="99"/>
      <x:c r="I285" s="99"/>
      <x:c r="J285" s="99"/>
      <x:c r="K285" s="99"/>
      <x:c r="L285" s="99"/>
      <x:c r="M285" s="99"/>
      <x:c r="N285" s="99"/>
      <x:c r="O285" s="99"/>
      <x:c r="P285" s="99"/>
      <x:c r="Q285" s="99"/>
      <x:c r="R285" s="99"/>
      <x:c r="S285" s="99"/>
      <x:c r="T285" s="99"/>
      <x:c r="U285" s="99"/>
      <x:c r="V285" s="99"/>
      <x:c r="W285" s="99"/>
      <x:c r="X285" s="99"/>
      <x:c r="Y285" s="99"/>
      <x:c r="Z285" s="99"/>
    </x:row>
    <x:row r="286">
      <x:c r="A286" s="99"/>
      <x:c r="B286" s="99"/>
      <x:c r="C286" s="99"/>
      <x:c r="D286" s="99"/>
      <x:c r="E286" s="99"/>
      <x:c r="F286" s="99"/>
      <x:c r="G286" s="99"/>
      <x:c r="H286" s="99"/>
      <x:c r="I286" s="99"/>
      <x:c r="J286" s="99"/>
      <x:c r="K286" s="99"/>
      <x:c r="L286" s="99"/>
      <x:c r="M286" s="99"/>
      <x:c r="N286" s="99"/>
      <x:c r="O286" s="99"/>
      <x:c r="P286" s="99"/>
      <x:c r="Q286" s="99"/>
      <x:c r="R286" s="99"/>
      <x:c r="S286" s="99"/>
      <x:c r="T286" s="99"/>
      <x:c r="U286" s="99"/>
      <x:c r="V286" s="99"/>
      <x:c r="W286" s="99"/>
      <x:c r="X286" s="99"/>
      <x:c r="Y286" s="99"/>
      <x:c r="Z286" s="99"/>
    </x:row>
    <x:row r="287">
      <x:c r="A287" s="99"/>
      <x:c r="B287" s="99"/>
      <x:c r="C287" s="99"/>
      <x:c r="D287" s="99"/>
      <x:c r="E287" s="99"/>
      <x:c r="F287" s="99"/>
      <x:c r="G287" s="99"/>
      <x:c r="H287" s="99"/>
      <x:c r="I287" s="99"/>
      <x:c r="J287" s="99"/>
      <x:c r="K287" s="99"/>
      <x:c r="L287" s="99"/>
      <x:c r="M287" s="99"/>
      <x:c r="N287" s="99"/>
      <x:c r="O287" s="99"/>
      <x:c r="P287" s="99"/>
      <x:c r="Q287" s="99"/>
      <x:c r="R287" s="99"/>
      <x:c r="S287" s="99"/>
      <x:c r="T287" s="99"/>
      <x:c r="U287" s="99"/>
      <x:c r="V287" s="99"/>
      <x:c r="W287" s="99"/>
      <x:c r="X287" s="99"/>
      <x:c r="Y287" s="99"/>
      <x:c r="Z287" s="99"/>
    </x:row>
    <x:row r="288">
      <x:c r="A288" s="99"/>
      <x:c r="B288" s="99"/>
      <x:c r="C288" s="99"/>
      <x:c r="D288" s="99"/>
      <x:c r="E288" s="99"/>
      <x:c r="F288" s="99"/>
      <x:c r="G288" s="99"/>
      <x:c r="H288" s="99"/>
      <x:c r="I288" s="99"/>
      <x:c r="J288" s="99"/>
      <x:c r="K288" s="99"/>
      <x:c r="L288" s="99"/>
      <x:c r="M288" s="99"/>
      <x:c r="N288" s="99"/>
      <x:c r="O288" s="99"/>
      <x:c r="P288" s="99"/>
      <x:c r="Q288" s="99"/>
      <x:c r="R288" s="99"/>
      <x:c r="S288" s="99"/>
      <x:c r="T288" s="99"/>
      <x:c r="U288" s="99"/>
      <x:c r="V288" s="99"/>
      <x:c r="W288" s="99"/>
      <x:c r="X288" s="99"/>
      <x:c r="Y288" s="99"/>
      <x:c r="Z288" s="99"/>
    </x:row>
    <x:row r="289">
      <x:c r="A289" s="99"/>
      <x:c r="B289" s="99"/>
      <x:c r="C289" s="99"/>
      <x:c r="D289" s="99"/>
      <x:c r="E289" s="99"/>
      <x:c r="F289" s="99"/>
      <x:c r="G289" s="99"/>
      <x:c r="H289" s="99"/>
      <x:c r="I289" s="99"/>
      <x:c r="J289" s="99"/>
      <x:c r="K289" s="99"/>
      <x:c r="L289" s="99"/>
      <x:c r="M289" s="99"/>
      <x:c r="N289" s="99"/>
      <x:c r="O289" s="99"/>
      <x:c r="P289" s="99"/>
      <x:c r="Q289" s="99"/>
      <x:c r="R289" s="99"/>
      <x:c r="S289" s="99"/>
      <x:c r="T289" s="99"/>
      <x:c r="U289" s="99"/>
      <x:c r="V289" s="99"/>
      <x:c r="W289" s="99"/>
      <x:c r="X289" s="99"/>
      <x:c r="Y289" s="99"/>
      <x:c r="Z289" s="99"/>
    </x:row>
    <x:row r="290">
      <x:c r="A290" s="99"/>
      <x:c r="B290" s="99"/>
      <x:c r="C290" s="99"/>
      <x:c r="D290" s="99"/>
      <x:c r="E290" s="99"/>
      <x:c r="F290" s="99"/>
      <x:c r="G290" s="99"/>
      <x:c r="H290" s="99"/>
      <x:c r="I290" s="99"/>
      <x:c r="J290" s="99"/>
      <x:c r="K290" s="99"/>
      <x:c r="L290" s="99"/>
      <x:c r="M290" s="99"/>
      <x:c r="N290" s="99"/>
      <x:c r="O290" s="99"/>
      <x:c r="P290" s="99"/>
      <x:c r="Q290" s="99"/>
      <x:c r="R290" s="99"/>
      <x:c r="S290" s="99"/>
      <x:c r="T290" s="99"/>
      <x:c r="U290" s="99"/>
      <x:c r="V290" s="99"/>
      <x:c r="W290" s="99"/>
      <x:c r="X290" s="99"/>
      <x:c r="Y290" s="99"/>
      <x:c r="Z290" s="99"/>
    </x:row>
    <x:row r="291">
      <x:c r="A291" s="99"/>
      <x:c r="B291" s="99"/>
      <x:c r="C291" s="99"/>
      <x:c r="D291" s="99"/>
      <x:c r="E291" s="99"/>
      <x:c r="F291" s="99"/>
      <x:c r="G291" s="99"/>
      <x:c r="H291" s="99"/>
      <x:c r="I291" s="99"/>
      <x:c r="J291" s="99"/>
      <x:c r="K291" s="99"/>
      <x:c r="L291" s="99"/>
      <x:c r="M291" s="99"/>
      <x:c r="N291" s="99"/>
      <x:c r="O291" s="99"/>
      <x:c r="P291" s="99"/>
      <x:c r="Q291" s="99"/>
      <x:c r="R291" s="99"/>
      <x:c r="S291" s="99"/>
      <x:c r="T291" s="99"/>
      <x:c r="U291" s="99"/>
      <x:c r="V291" s="99"/>
      <x:c r="W291" s="99"/>
      <x:c r="X291" s="99"/>
      <x:c r="Y291" s="99"/>
      <x:c r="Z291" s="99"/>
    </x:row>
    <x:row r="292">
      <x:c r="A292" s="99"/>
      <x:c r="B292" s="99"/>
      <x:c r="C292" s="99"/>
      <x:c r="D292" s="99"/>
      <x:c r="E292" s="99"/>
      <x:c r="F292" s="99"/>
      <x:c r="G292" s="99"/>
      <x:c r="H292" s="99"/>
      <x:c r="I292" s="99"/>
      <x:c r="J292" s="99"/>
      <x:c r="K292" s="99"/>
      <x:c r="L292" s="99"/>
      <x:c r="M292" s="99"/>
      <x:c r="N292" s="99"/>
      <x:c r="O292" s="99"/>
      <x:c r="P292" s="99"/>
      <x:c r="Q292" s="99"/>
      <x:c r="R292" s="99"/>
      <x:c r="S292" s="99"/>
      <x:c r="T292" s="99"/>
      <x:c r="U292" s="99"/>
      <x:c r="V292" s="99"/>
      <x:c r="W292" s="99"/>
      <x:c r="X292" s="99"/>
      <x:c r="Y292" s="99"/>
      <x:c r="Z292" s="99"/>
    </x:row>
    <x:row r="293">
      <x:c r="A293" s="99"/>
      <x:c r="B293" s="99"/>
      <x:c r="C293" s="99"/>
      <x:c r="D293" s="99"/>
      <x:c r="E293" s="99"/>
      <x:c r="F293" s="99"/>
      <x:c r="G293" s="99"/>
      <x:c r="H293" s="99"/>
      <x:c r="I293" s="99"/>
      <x:c r="J293" s="99"/>
      <x:c r="K293" s="99"/>
      <x:c r="L293" s="99"/>
      <x:c r="M293" s="99"/>
      <x:c r="N293" s="99"/>
      <x:c r="O293" s="99"/>
      <x:c r="P293" s="99"/>
      <x:c r="Q293" s="99"/>
      <x:c r="R293" s="99"/>
      <x:c r="S293" s="99"/>
      <x:c r="T293" s="99"/>
      <x:c r="U293" s="99"/>
      <x:c r="V293" s="99"/>
      <x:c r="W293" s="99"/>
      <x:c r="X293" s="99"/>
      <x:c r="Y293" s="99"/>
      <x:c r="Z293" s="99"/>
    </x:row>
    <x:row r="294">
      <x:c r="A294" s="99"/>
      <x:c r="B294" s="99"/>
      <x:c r="C294" s="99"/>
      <x:c r="D294" s="99"/>
      <x:c r="E294" s="99"/>
      <x:c r="F294" s="99"/>
      <x:c r="G294" s="99"/>
      <x:c r="H294" s="99"/>
      <x:c r="I294" s="99"/>
      <x:c r="J294" s="99"/>
      <x:c r="K294" s="99"/>
      <x:c r="L294" s="99"/>
      <x:c r="M294" s="99"/>
      <x:c r="N294" s="99"/>
      <x:c r="O294" s="99"/>
      <x:c r="P294" s="99"/>
      <x:c r="Q294" s="99"/>
      <x:c r="R294" s="99"/>
      <x:c r="S294" s="99"/>
      <x:c r="T294" s="99"/>
      <x:c r="U294" s="99"/>
      <x:c r="V294" s="99"/>
      <x:c r="W294" s="99"/>
      <x:c r="X294" s="99"/>
      <x:c r="Y294" s="99"/>
      <x:c r="Z294" s="99"/>
    </x:row>
    <x:row r="295">
      <x:c r="A295" s="99"/>
      <x:c r="B295" s="99"/>
      <x:c r="C295" s="99"/>
      <x:c r="D295" s="99"/>
      <x:c r="E295" s="99"/>
      <x:c r="F295" s="99"/>
      <x:c r="G295" s="99"/>
      <x:c r="H295" s="99"/>
      <x:c r="I295" s="99"/>
      <x:c r="J295" s="99"/>
      <x:c r="K295" s="99"/>
      <x:c r="L295" s="99"/>
      <x:c r="M295" s="99"/>
      <x:c r="N295" s="99"/>
      <x:c r="O295" s="99"/>
      <x:c r="P295" s="99"/>
      <x:c r="Q295" s="99"/>
      <x:c r="R295" s="99"/>
      <x:c r="S295" s="99"/>
      <x:c r="T295" s="99"/>
      <x:c r="U295" s="99"/>
      <x:c r="V295" s="99"/>
      <x:c r="W295" s="99"/>
      <x:c r="X295" s="99"/>
      <x:c r="Y295" s="99"/>
      <x:c r="Z295" s="99"/>
    </x:row>
    <x:row r="296">
      <x:c r="A296" s="99"/>
      <x:c r="B296" s="99"/>
      <x:c r="C296" s="99"/>
      <x:c r="D296" s="99"/>
      <x:c r="E296" s="99"/>
      <x:c r="F296" s="99"/>
      <x:c r="G296" s="99"/>
      <x:c r="H296" s="99"/>
      <x:c r="I296" s="99"/>
      <x:c r="J296" s="99"/>
      <x:c r="K296" s="99"/>
      <x:c r="L296" s="99"/>
      <x:c r="M296" s="99"/>
      <x:c r="N296" s="99"/>
      <x:c r="O296" s="99"/>
      <x:c r="P296" s="99"/>
      <x:c r="Q296" s="99"/>
      <x:c r="R296" s="99"/>
      <x:c r="S296" s="99"/>
      <x:c r="T296" s="99"/>
      <x:c r="U296" s="99"/>
      <x:c r="V296" s="99"/>
      <x:c r="W296" s="99"/>
      <x:c r="X296" s="99"/>
      <x:c r="Y296" s="99"/>
      <x:c r="Z296" s="99"/>
    </x:row>
    <x:row r="297">
      <x:c r="A297" s="99"/>
      <x:c r="B297" s="99"/>
      <x:c r="C297" s="99"/>
      <x:c r="D297" s="99"/>
      <x:c r="E297" s="99"/>
      <x:c r="F297" s="99"/>
      <x:c r="G297" s="99"/>
      <x:c r="H297" s="99"/>
      <x:c r="I297" s="99"/>
      <x:c r="J297" s="99"/>
      <x:c r="K297" s="99"/>
      <x:c r="L297" s="99"/>
      <x:c r="M297" s="99"/>
      <x:c r="N297" s="99"/>
      <x:c r="O297" s="99"/>
      <x:c r="P297" s="99"/>
      <x:c r="Q297" s="99"/>
      <x:c r="R297" s="99"/>
      <x:c r="S297" s="99"/>
      <x:c r="T297" s="99"/>
      <x:c r="U297" s="99"/>
      <x:c r="V297" s="99"/>
      <x:c r="W297" s="99"/>
      <x:c r="X297" s="99"/>
      <x:c r="Y297" s="99"/>
      <x:c r="Z297" s="99"/>
    </x:row>
    <x:row r="298">
      <x:c r="A298" s="99"/>
      <x:c r="B298" s="99"/>
      <x:c r="C298" s="99"/>
      <x:c r="D298" s="99"/>
      <x:c r="E298" s="99"/>
      <x:c r="F298" s="99"/>
      <x:c r="G298" s="99"/>
      <x:c r="H298" s="99"/>
      <x:c r="I298" s="99"/>
      <x:c r="J298" s="99"/>
      <x:c r="K298" s="99"/>
      <x:c r="L298" s="99"/>
      <x:c r="M298" s="99"/>
      <x:c r="N298" s="99"/>
      <x:c r="O298" s="99"/>
      <x:c r="P298" s="99"/>
      <x:c r="Q298" s="99"/>
      <x:c r="R298" s="99"/>
      <x:c r="S298" s="99"/>
      <x:c r="T298" s="99"/>
      <x:c r="U298" s="99"/>
      <x:c r="V298" s="99"/>
      <x:c r="W298" s="99"/>
      <x:c r="X298" s="99"/>
      <x:c r="Y298" s="99"/>
      <x:c r="Z298" s="99"/>
    </x:row>
    <x:row r="299">
      <x:c r="A299" s="99"/>
      <x:c r="B299" s="99"/>
      <x:c r="C299" s="99"/>
      <x:c r="D299" s="99"/>
      <x:c r="E299" s="99"/>
      <x:c r="F299" s="99"/>
      <x:c r="G299" s="99"/>
      <x:c r="H299" s="99"/>
      <x:c r="I299" s="99"/>
      <x:c r="J299" s="99"/>
      <x:c r="K299" s="99"/>
      <x:c r="L299" s="99"/>
      <x:c r="M299" s="99"/>
      <x:c r="N299" s="99"/>
      <x:c r="O299" s="99"/>
      <x:c r="P299" s="99"/>
      <x:c r="Q299" s="99"/>
      <x:c r="R299" s="99"/>
      <x:c r="S299" s="99"/>
      <x:c r="T299" s="99"/>
      <x:c r="U299" s="99"/>
      <x:c r="V299" s="99"/>
      <x:c r="W299" s="99"/>
      <x:c r="X299" s="99"/>
      <x:c r="Y299" s="99"/>
      <x:c r="Z299" s="99"/>
    </x:row>
    <x:row r="300">
      <x:c r="A300" s="99"/>
      <x:c r="B300" s="99"/>
      <x:c r="C300" s="99"/>
      <x:c r="D300" s="99"/>
      <x:c r="E300" s="99"/>
      <x:c r="F300" s="99"/>
      <x:c r="G300" s="99"/>
      <x:c r="H300" s="99"/>
      <x:c r="I300" s="99"/>
      <x:c r="J300" s="99"/>
      <x:c r="K300" s="99"/>
      <x:c r="L300" s="99"/>
      <x:c r="M300" s="99"/>
      <x:c r="N300" s="99"/>
      <x:c r="O300" s="99"/>
      <x:c r="P300" s="99"/>
      <x:c r="Q300" s="99"/>
      <x:c r="R300" s="99"/>
      <x:c r="S300" s="99"/>
      <x:c r="T300" s="99"/>
      <x:c r="U300" s="99"/>
      <x:c r="V300" s="99"/>
      <x:c r="W300" s="99"/>
      <x:c r="X300" s="99"/>
      <x:c r="Y300" s="99"/>
      <x:c r="Z300" s="99"/>
    </x:row>
    <x:row r="301">
      <x:c r="A301" s="99"/>
      <x:c r="B301" s="99"/>
      <x:c r="C301" s="99"/>
      <x:c r="D301" s="99"/>
      <x:c r="E301" s="99"/>
      <x:c r="F301" s="99"/>
      <x:c r="G301" s="99"/>
      <x:c r="H301" s="99"/>
      <x:c r="I301" s="99"/>
      <x:c r="J301" s="99"/>
      <x:c r="K301" s="99"/>
      <x:c r="L301" s="99"/>
      <x:c r="M301" s="99"/>
      <x:c r="N301" s="99"/>
      <x:c r="O301" s="99"/>
      <x:c r="P301" s="99"/>
      <x:c r="Q301" s="99"/>
      <x:c r="R301" s="99"/>
      <x:c r="S301" s="99"/>
      <x:c r="T301" s="99"/>
      <x:c r="U301" s="99"/>
      <x:c r="V301" s="99"/>
      <x:c r="W301" s="99"/>
      <x:c r="X301" s="99"/>
      <x:c r="Y301" s="99"/>
      <x:c r="Z301" s="99"/>
    </x:row>
    <x:row r="302">
      <x:c r="A302" s="99"/>
      <x:c r="B302" s="99"/>
      <x:c r="C302" s="99"/>
      <x:c r="D302" s="99"/>
      <x:c r="E302" s="99"/>
      <x:c r="F302" s="99"/>
      <x:c r="G302" s="99"/>
      <x:c r="H302" s="99"/>
      <x:c r="I302" s="99"/>
      <x:c r="J302" s="99"/>
      <x:c r="K302" s="99"/>
      <x:c r="L302" s="99"/>
      <x:c r="M302" s="99"/>
      <x:c r="N302" s="99"/>
      <x:c r="O302" s="99"/>
      <x:c r="P302" s="99"/>
      <x:c r="Q302" s="99"/>
      <x:c r="R302" s="99"/>
      <x:c r="S302" s="99"/>
      <x:c r="T302" s="99"/>
      <x:c r="U302" s="99"/>
      <x:c r="V302" s="99"/>
      <x:c r="W302" s="99"/>
      <x:c r="X302" s="99"/>
      <x:c r="Y302" s="99"/>
      <x:c r="Z302" s="99"/>
    </x:row>
    <x:row r="303">
      <x:c r="A303" s="99"/>
      <x:c r="B303" s="99"/>
      <x:c r="C303" s="99"/>
      <x:c r="D303" s="99"/>
      <x:c r="E303" s="99"/>
      <x:c r="F303" s="99"/>
      <x:c r="G303" s="99"/>
      <x:c r="H303" s="99"/>
      <x:c r="I303" s="99"/>
      <x:c r="J303" s="99"/>
      <x:c r="K303" s="99"/>
      <x:c r="L303" s="99"/>
      <x:c r="M303" s="99"/>
      <x:c r="N303" s="99"/>
      <x:c r="O303" s="99"/>
      <x:c r="P303" s="99"/>
      <x:c r="Q303" s="99"/>
      <x:c r="R303" s="99"/>
      <x:c r="S303" s="99"/>
      <x:c r="T303" s="99"/>
      <x:c r="U303" s="99"/>
      <x:c r="V303" s="99"/>
      <x:c r="W303" s="99"/>
      <x:c r="X303" s="99"/>
      <x:c r="Y303" s="99"/>
      <x:c r="Z303" s="99"/>
    </x:row>
    <x:row r="304">
      <x:c r="A304" s="99"/>
      <x:c r="B304" s="99"/>
      <x:c r="C304" s="99"/>
      <x:c r="D304" s="99"/>
      <x:c r="E304" s="99"/>
      <x:c r="F304" s="99"/>
      <x:c r="G304" s="99"/>
      <x:c r="H304" s="99"/>
      <x:c r="I304" s="99"/>
      <x:c r="J304" s="99"/>
      <x:c r="K304" s="99"/>
      <x:c r="L304" s="99"/>
      <x:c r="M304" s="99"/>
      <x:c r="N304" s="99"/>
      <x:c r="O304" s="99"/>
      <x:c r="P304" s="99"/>
      <x:c r="Q304" s="99"/>
      <x:c r="R304" s="99"/>
      <x:c r="S304" s="99"/>
      <x:c r="T304" s="99"/>
      <x:c r="U304" s="99"/>
      <x:c r="V304" s="99"/>
      <x:c r="W304" s="99"/>
      <x:c r="X304" s="99"/>
      <x:c r="Y304" s="99"/>
      <x:c r="Z304" s="99"/>
    </x:row>
    <x:row r="305">
      <x:c r="A305" s="99"/>
      <x:c r="B305" s="99"/>
      <x:c r="C305" s="99"/>
      <x:c r="D305" s="99"/>
      <x:c r="E305" s="99"/>
      <x:c r="F305" s="99"/>
      <x:c r="G305" s="99"/>
      <x:c r="H305" s="99"/>
      <x:c r="I305" s="99"/>
      <x:c r="J305" s="99"/>
      <x:c r="K305" s="99"/>
      <x:c r="L305" s="99"/>
      <x:c r="M305" s="99"/>
      <x:c r="N305" s="99"/>
      <x:c r="O305" s="99"/>
      <x:c r="P305" s="99"/>
      <x:c r="Q305" s="99"/>
      <x:c r="R305" s="99"/>
      <x:c r="S305" s="99"/>
      <x:c r="T305" s="99"/>
      <x:c r="U305" s="99"/>
      <x:c r="V305" s="99"/>
      <x:c r="W305" s="99"/>
      <x:c r="X305" s="99"/>
      <x:c r="Y305" s="99"/>
      <x:c r="Z305" s="99"/>
    </x:row>
    <x:row r="306">
      <x:c r="A306" s="99"/>
      <x:c r="B306" s="99"/>
      <x:c r="C306" s="99"/>
      <x:c r="D306" s="99"/>
      <x:c r="E306" s="99"/>
      <x:c r="F306" s="99"/>
      <x:c r="G306" s="99"/>
      <x:c r="H306" s="99"/>
      <x:c r="I306" s="99"/>
      <x:c r="J306" s="99"/>
      <x:c r="K306" s="99"/>
      <x:c r="L306" s="99"/>
      <x:c r="M306" s="99"/>
      <x:c r="N306" s="99"/>
      <x:c r="O306" s="99"/>
      <x:c r="P306" s="99"/>
      <x:c r="Q306" s="99"/>
      <x:c r="R306" s="99"/>
      <x:c r="S306" s="99"/>
      <x:c r="T306" s="99"/>
      <x:c r="U306" s="99"/>
      <x:c r="V306" s="99"/>
      <x:c r="W306" s="99"/>
      <x:c r="X306" s="99"/>
      <x:c r="Y306" s="99"/>
      <x:c r="Z306" s="99"/>
    </x:row>
    <x:row r="307">
      <x:c r="A307" s="99"/>
      <x:c r="B307" s="99"/>
      <x:c r="C307" s="99"/>
      <x:c r="D307" s="99"/>
      <x:c r="E307" s="99"/>
      <x:c r="F307" s="99"/>
      <x:c r="G307" s="99"/>
      <x:c r="H307" s="99"/>
      <x:c r="I307" s="99"/>
      <x:c r="J307" s="99"/>
      <x:c r="K307" s="99"/>
      <x:c r="L307" s="99"/>
      <x:c r="M307" s="99"/>
      <x:c r="N307" s="99"/>
      <x:c r="O307" s="99"/>
      <x:c r="P307" s="99"/>
      <x:c r="Q307" s="99"/>
      <x:c r="R307" s="99"/>
      <x:c r="S307" s="99"/>
      <x:c r="T307" s="99"/>
      <x:c r="U307" s="99"/>
      <x:c r="V307" s="99"/>
      <x:c r="W307" s="99"/>
      <x:c r="X307" s="99"/>
      <x:c r="Y307" s="99"/>
      <x:c r="Z307" s="99"/>
    </x:row>
    <x:row r="308">
      <x:c r="A308" s="99"/>
      <x:c r="B308" s="99"/>
      <x:c r="C308" s="99"/>
      <x:c r="D308" s="99"/>
      <x:c r="E308" s="99"/>
      <x:c r="F308" s="99"/>
      <x:c r="G308" s="99"/>
      <x:c r="H308" s="99"/>
      <x:c r="I308" s="99"/>
      <x:c r="J308" s="99"/>
      <x:c r="K308" s="99"/>
      <x:c r="L308" s="99"/>
      <x:c r="M308" s="99"/>
      <x:c r="N308" s="99"/>
      <x:c r="O308" s="99"/>
      <x:c r="P308" s="99"/>
      <x:c r="Q308" s="99"/>
      <x:c r="R308" s="99"/>
      <x:c r="S308" s="99"/>
      <x:c r="T308" s="99"/>
      <x:c r="U308" s="99"/>
      <x:c r="V308" s="99"/>
      <x:c r="W308" s="99"/>
      <x:c r="X308" s="99"/>
      <x:c r="Y308" s="99"/>
      <x:c r="Z308" s="99"/>
    </x:row>
    <x:row r="309">
      <x:c r="A309" s="99"/>
      <x:c r="B309" s="99"/>
      <x:c r="C309" s="99"/>
      <x:c r="D309" s="99"/>
      <x:c r="E309" s="99"/>
      <x:c r="F309" s="99"/>
      <x:c r="G309" s="99"/>
      <x:c r="H309" s="99"/>
      <x:c r="I309" s="99"/>
      <x:c r="J309" s="99"/>
      <x:c r="K309" s="99"/>
      <x:c r="L309" s="99"/>
      <x:c r="M309" s="99"/>
      <x:c r="N309" s="99"/>
      <x:c r="O309" s="99"/>
      <x:c r="P309" s="99"/>
      <x:c r="Q309" s="99"/>
      <x:c r="R309" s="99"/>
      <x:c r="S309" s="99"/>
      <x:c r="T309" s="99"/>
      <x:c r="U309" s="99"/>
      <x:c r="V309" s="99"/>
      <x:c r="W309" s="99"/>
      <x:c r="X309" s="99"/>
      <x:c r="Y309" s="99"/>
      <x:c r="Z309" s="99"/>
    </x:row>
    <x:row r="310">
      <x:c r="A310" s="99"/>
      <x:c r="B310" s="99"/>
      <x:c r="C310" s="99"/>
      <x:c r="D310" s="99"/>
      <x:c r="E310" s="99"/>
      <x:c r="F310" s="99"/>
      <x:c r="G310" s="99"/>
      <x:c r="H310" s="99"/>
      <x:c r="I310" s="99"/>
      <x:c r="J310" s="99"/>
      <x:c r="K310" s="99"/>
      <x:c r="L310" s="99"/>
      <x:c r="M310" s="99"/>
      <x:c r="N310" s="99"/>
      <x:c r="O310" s="99"/>
      <x:c r="P310" s="99"/>
      <x:c r="Q310" s="99"/>
      <x:c r="R310" s="99"/>
      <x:c r="S310" s="99"/>
      <x:c r="T310" s="99"/>
      <x:c r="U310" s="99"/>
      <x:c r="V310" s="99"/>
      <x:c r="W310" s="99"/>
      <x:c r="X310" s="99"/>
      <x:c r="Y310" s="99"/>
      <x:c r="Z310" s="99"/>
    </x:row>
    <x:row r="311">
      <x:c r="A311" s="99"/>
      <x:c r="B311" s="99"/>
      <x:c r="C311" s="99"/>
      <x:c r="D311" s="99"/>
      <x:c r="E311" s="99"/>
      <x:c r="F311" s="99"/>
      <x:c r="G311" s="99"/>
      <x:c r="H311" s="99"/>
      <x:c r="I311" s="99"/>
      <x:c r="J311" s="99"/>
      <x:c r="K311" s="99"/>
      <x:c r="L311" s="99"/>
      <x:c r="M311" s="99"/>
      <x:c r="N311" s="99"/>
      <x:c r="O311" s="99"/>
      <x:c r="P311" s="99"/>
      <x:c r="Q311" s="99"/>
      <x:c r="R311" s="99"/>
      <x:c r="S311" s="99"/>
      <x:c r="T311" s="99"/>
      <x:c r="U311" s="99"/>
      <x:c r="V311" s="99"/>
      <x:c r="W311" s="99"/>
      <x:c r="X311" s="99"/>
      <x:c r="Y311" s="99"/>
      <x:c r="Z311" s="99"/>
    </x:row>
    <x:row r="312">
      <x:c r="A312" s="99"/>
      <x:c r="B312" s="99"/>
      <x:c r="C312" s="99"/>
      <x:c r="D312" s="99"/>
      <x:c r="E312" s="99"/>
      <x:c r="F312" s="99"/>
      <x:c r="G312" s="99"/>
      <x:c r="H312" s="99"/>
      <x:c r="I312" s="99"/>
      <x:c r="J312" s="99"/>
      <x:c r="K312" s="99"/>
      <x:c r="L312" s="99"/>
      <x:c r="M312" s="99"/>
      <x:c r="N312" s="99"/>
      <x:c r="O312" s="99"/>
      <x:c r="P312" s="99"/>
      <x:c r="Q312" s="99"/>
      <x:c r="R312" s="99"/>
      <x:c r="S312" s="99"/>
      <x:c r="T312" s="99"/>
      <x:c r="U312" s="99"/>
      <x:c r="V312" s="99"/>
      <x:c r="W312" s="99"/>
      <x:c r="X312" s="99"/>
      <x:c r="Y312" s="99"/>
      <x:c r="Z312" s="99"/>
    </x:row>
    <x:row r="313">
      <x:c r="A313" s="99"/>
      <x:c r="B313" s="99"/>
      <x:c r="C313" s="99"/>
      <x:c r="D313" s="99"/>
      <x:c r="E313" s="99"/>
      <x:c r="F313" s="99"/>
      <x:c r="G313" s="99"/>
      <x:c r="H313" s="99"/>
      <x:c r="I313" s="99"/>
      <x:c r="J313" s="99"/>
      <x:c r="K313" s="99"/>
      <x:c r="L313" s="99"/>
      <x:c r="M313" s="99"/>
      <x:c r="N313" s="99"/>
      <x:c r="O313" s="99"/>
      <x:c r="P313" s="99"/>
      <x:c r="Q313" s="99"/>
      <x:c r="R313" s="99"/>
      <x:c r="S313" s="99"/>
      <x:c r="T313" s="99"/>
      <x:c r="U313" s="99"/>
      <x:c r="V313" s="99"/>
      <x:c r="W313" s="99"/>
      <x:c r="X313" s="99"/>
      <x:c r="Y313" s="99"/>
      <x:c r="Z313" s="99"/>
    </x:row>
    <x:row r="314">
      <x:c r="A314" s="99"/>
      <x:c r="B314" s="99"/>
      <x:c r="C314" s="99"/>
      <x:c r="D314" s="99"/>
      <x:c r="E314" s="99"/>
      <x:c r="F314" s="99"/>
      <x:c r="G314" s="99"/>
      <x:c r="H314" s="99"/>
      <x:c r="I314" s="99"/>
      <x:c r="J314" s="99"/>
      <x:c r="K314" s="99"/>
      <x:c r="L314" s="99"/>
      <x:c r="M314" s="99"/>
      <x:c r="N314" s="99"/>
      <x:c r="O314" s="99"/>
      <x:c r="P314" s="99"/>
      <x:c r="Q314" s="99"/>
      <x:c r="R314" s="99"/>
      <x:c r="S314" s="99"/>
      <x:c r="T314" s="99"/>
      <x:c r="U314" s="99"/>
      <x:c r="V314" s="99"/>
      <x:c r="W314" s="99"/>
      <x:c r="X314" s="99"/>
      <x:c r="Y314" s="99"/>
      <x:c r="Z314" s="99"/>
    </x:row>
    <x:row r="315">
      <x:c r="A315" s="99"/>
      <x:c r="B315" s="99"/>
      <x:c r="C315" s="99"/>
      <x:c r="D315" s="99"/>
      <x:c r="E315" s="99"/>
      <x:c r="F315" s="99"/>
      <x:c r="G315" s="99"/>
      <x:c r="H315" s="99"/>
      <x:c r="I315" s="99"/>
      <x:c r="J315" s="99"/>
      <x:c r="K315" s="99"/>
      <x:c r="L315" s="99"/>
      <x:c r="M315" s="99"/>
      <x:c r="N315" s="99"/>
      <x:c r="O315" s="99"/>
      <x:c r="P315" s="99"/>
      <x:c r="Q315" s="99"/>
      <x:c r="R315" s="99"/>
      <x:c r="S315" s="99"/>
      <x:c r="T315" s="99"/>
      <x:c r="U315" s="99"/>
      <x:c r="V315" s="99"/>
      <x:c r="W315" s="99"/>
      <x:c r="X315" s="99"/>
      <x:c r="Y315" s="99"/>
      <x:c r="Z315" s="99"/>
    </x:row>
    <x:row r="316">
      <x:c r="A316" s="99"/>
      <x:c r="B316" s="99"/>
      <x:c r="C316" s="99"/>
      <x:c r="D316" s="99"/>
      <x:c r="E316" s="99"/>
      <x:c r="F316" s="99"/>
      <x:c r="G316" s="99"/>
      <x:c r="H316" s="99"/>
      <x:c r="I316" s="99"/>
      <x:c r="J316" s="99"/>
      <x:c r="K316" s="99"/>
      <x:c r="L316" s="99"/>
      <x:c r="M316" s="99"/>
      <x:c r="N316" s="99"/>
      <x:c r="O316" s="99"/>
      <x:c r="P316" s="99"/>
      <x:c r="Q316" s="99"/>
      <x:c r="R316" s="99"/>
      <x:c r="S316" s="99"/>
      <x:c r="T316" s="99"/>
      <x:c r="U316" s="99"/>
      <x:c r="V316" s="99"/>
      <x:c r="W316" s="99"/>
      <x:c r="X316" s="99"/>
      <x:c r="Y316" s="99"/>
      <x:c r="Z316" s="99"/>
    </x:row>
    <x:row r="317">
      <x:c r="A317" s="99"/>
      <x:c r="B317" s="99"/>
      <x:c r="C317" s="99"/>
      <x:c r="D317" s="99"/>
      <x:c r="E317" s="99"/>
      <x:c r="F317" s="99"/>
      <x:c r="G317" s="99"/>
      <x:c r="H317" s="99"/>
      <x:c r="I317" s="99"/>
      <x:c r="J317" s="99"/>
      <x:c r="K317" s="99"/>
      <x:c r="L317" s="99"/>
      <x:c r="M317" s="99"/>
      <x:c r="N317" s="99"/>
      <x:c r="O317" s="99"/>
      <x:c r="P317" s="99"/>
      <x:c r="Q317" s="99"/>
      <x:c r="R317" s="99"/>
      <x:c r="S317" s="99"/>
      <x:c r="T317" s="99"/>
      <x:c r="U317" s="99"/>
      <x:c r="V317" s="99"/>
      <x:c r="W317" s="99"/>
      <x:c r="X317" s="99"/>
      <x:c r="Y317" s="99"/>
      <x:c r="Z317" s="99"/>
    </x:row>
    <x:row r="318">
      <x:c r="A318" s="99"/>
      <x:c r="B318" s="99"/>
      <x:c r="C318" s="99"/>
      <x:c r="D318" s="99"/>
      <x:c r="E318" s="99"/>
      <x:c r="F318" s="99"/>
      <x:c r="G318" s="99"/>
      <x:c r="H318" s="99"/>
      <x:c r="I318" s="99"/>
      <x:c r="J318" s="99"/>
      <x:c r="K318" s="99"/>
      <x:c r="L318" s="99"/>
      <x:c r="M318" s="99"/>
      <x:c r="N318" s="99"/>
      <x:c r="O318" s="99"/>
      <x:c r="P318" s="99"/>
      <x:c r="Q318" s="99"/>
      <x:c r="R318" s="99"/>
      <x:c r="S318" s="99"/>
      <x:c r="T318" s="99"/>
      <x:c r="U318" s="99"/>
      <x:c r="V318" s="99"/>
      <x:c r="W318" s="99"/>
      <x:c r="X318" s="99"/>
      <x:c r="Y318" s="99"/>
      <x:c r="Z318" s="99"/>
    </x:row>
    <x:row r="319">
      <x:c r="A319" s="99"/>
      <x:c r="B319" s="99"/>
      <x:c r="C319" s="99"/>
      <x:c r="D319" s="99"/>
      <x:c r="E319" s="99"/>
      <x:c r="F319" s="99"/>
      <x:c r="G319" s="99"/>
      <x:c r="H319" s="99"/>
      <x:c r="I319" s="99"/>
      <x:c r="J319" s="99"/>
      <x:c r="K319" s="99"/>
      <x:c r="L319" s="99"/>
      <x:c r="M319" s="99"/>
      <x:c r="N319" s="99"/>
      <x:c r="O319" s="99"/>
      <x:c r="P319" s="99"/>
      <x:c r="Q319" s="99"/>
      <x:c r="R319" s="99"/>
      <x:c r="S319" s="99"/>
      <x:c r="T319" s="99"/>
      <x:c r="U319" s="99"/>
      <x:c r="V319" s="99"/>
      <x:c r="W319" s="99"/>
      <x:c r="X319" s="99"/>
      <x:c r="Y319" s="99"/>
      <x:c r="Z319" s="99"/>
    </x:row>
    <x:row r="320">
      <x:c r="A320" s="99"/>
      <x:c r="B320" s="99"/>
      <x:c r="C320" s="99"/>
      <x:c r="D320" s="99"/>
      <x:c r="E320" s="99"/>
      <x:c r="F320" s="99"/>
      <x:c r="G320" s="99"/>
      <x:c r="H320" s="99"/>
      <x:c r="I320" s="99"/>
      <x:c r="J320" s="99"/>
      <x:c r="K320" s="99"/>
      <x:c r="L320" s="99"/>
      <x:c r="M320" s="99"/>
      <x:c r="N320" s="99"/>
      <x:c r="O320" s="99"/>
      <x:c r="P320" s="99"/>
      <x:c r="Q320" s="99"/>
      <x:c r="R320" s="99"/>
      <x:c r="S320" s="99"/>
      <x:c r="T320" s="99"/>
      <x:c r="U320" s="99"/>
      <x:c r="V320" s="99"/>
      <x:c r="W320" s="99"/>
      <x:c r="X320" s="99"/>
      <x:c r="Y320" s="99"/>
      <x:c r="Z320" s="99"/>
    </x:row>
    <x:row r="321">
      <x:c r="A321" s="99"/>
      <x:c r="B321" s="99"/>
      <x:c r="C321" s="99"/>
      <x:c r="D321" s="99"/>
      <x:c r="E321" s="99"/>
      <x:c r="F321" s="99"/>
      <x:c r="G321" s="99"/>
      <x:c r="H321" s="99"/>
      <x:c r="I321" s="99"/>
      <x:c r="J321" s="99"/>
      <x:c r="K321" s="99"/>
      <x:c r="L321" s="99"/>
      <x:c r="M321" s="99"/>
      <x:c r="N321" s="99"/>
      <x:c r="O321" s="99"/>
      <x:c r="P321" s="99"/>
      <x:c r="Q321" s="99"/>
      <x:c r="R321" s="99"/>
      <x:c r="S321" s="99"/>
      <x:c r="T321" s="99"/>
      <x:c r="U321" s="99"/>
      <x:c r="V321" s="99"/>
      <x:c r="W321" s="99"/>
      <x:c r="X321" s="99"/>
      <x:c r="Y321" s="99"/>
      <x:c r="Z321" s="99"/>
    </x:row>
    <x:row r="322">
      <x:c r="A322" s="99"/>
      <x:c r="B322" s="99"/>
      <x:c r="C322" s="99"/>
      <x:c r="D322" s="99"/>
      <x:c r="E322" s="99"/>
      <x:c r="F322" s="99"/>
      <x:c r="G322" s="99"/>
      <x:c r="H322" s="99"/>
      <x:c r="I322" s="99"/>
      <x:c r="J322" s="99"/>
      <x:c r="K322" s="99"/>
      <x:c r="L322" s="99"/>
      <x:c r="M322" s="99"/>
      <x:c r="N322" s="99"/>
      <x:c r="O322" s="99"/>
      <x:c r="P322" s="99"/>
      <x:c r="Q322" s="99"/>
      <x:c r="R322" s="99"/>
      <x:c r="S322" s="99"/>
      <x:c r="T322" s="99"/>
      <x:c r="U322" s="99"/>
      <x:c r="V322" s="99"/>
      <x:c r="W322" s="99"/>
      <x:c r="X322" s="99"/>
      <x:c r="Y322" s="99"/>
      <x:c r="Z322" s="99"/>
    </x:row>
    <x:row r="323">
      <x:c r="A323" s="99"/>
      <x:c r="B323" s="99"/>
      <x:c r="C323" s="99"/>
      <x:c r="D323" s="99"/>
      <x:c r="E323" s="99"/>
      <x:c r="F323" s="99"/>
      <x:c r="G323" s="99"/>
      <x:c r="H323" s="99"/>
      <x:c r="I323" s="99"/>
      <x:c r="J323" s="99"/>
      <x:c r="K323" s="99"/>
      <x:c r="L323" s="99"/>
      <x:c r="M323" s="99"/>
      <x:c r="N323" s="99"/>
      <x:c r="O323" s="99"/>
      <x:c r="P323" s="99"/>
      <x:c r="Q323" s="99"/>
      <x:c r="R323" s="99"/>
      <x:c r="S323" s="99"/>
      <x:c r="T323" s="99"/>
      <x:c r="U323" s="99"/>
      <x:c r="V323" s="99"/>
      <x:c r="W323" s="99"/>
      <x:c r="X323" s="99"/>
      <x:c r="Y323" s="99"/>
      <x:c r="Z323" s="99"/>
    </x:row>
    <x:row r="324">
      <x:c r="A324" s="99"/>
      <x:c r="B324" s="99"/>
      <x:c r="C324" s="99"/>
      <x:c r="D324" s="99"/>
      <x:c r="E324" s="99"/>
      <x:c r="F324" s="99"/>
      <x:c r="G324" s="99"/>
      <x:c r="H324" s="99"/>
      <x:c r="I324" s="99"/>
      <x:c r="J324" s="99"/>
      <x:c r="K324" s="99"/>
      <x:c r="L324" s="99"/>
      <x:c r="M324" s="99"/>
      <x:c r="N324" s="99"/>
      <x:c r="O324" s="99"/>
      <x:c r="P324" s="99"/>
      <x:c r="Q324" s="99"/>
      <x:c r="R324" s="99"/>
      <x:c r="S324" s="99"/>
      <x:c r="T324" s="99"/>
      <x:c r="U324" s="99"/>
      <x:c r="V324" s="99"/>
      <x:c r="W324" s="99"/>
      <x:c r="X324" s="99"/>
      <x:c r="Y324" s="99"/>
      <x:c r="Z324" s="99"/>
    </x:row>
    <x:row r="325">
      <x:c r="A325" s="99"/>
      <x:c r="B325" s="99"/>
      <x:c r="C325" s="99"/>
      <x:c r="D325" s="99"/>
      <x:c r="E325" s="99"/>
      <x:c r="F325" s="99"/>
      <x:c r="G325" s="99"/>
      <x:c r="H325" s="99"/>
      <x:c r="I325" s="99"/>
      <x:c r="J325" s="99"/>
      <x:c r="K325" s="99"/>
      <x:c r="L325" s="99"/>
      <x:c r="M325" s="99"/>
      <x:c r="N325" s="99"/>
      <x:c r="O325" s="99"/>
      <x:c r="P325" s="99"/>
      <x:c r="Q325" s="99"/>
      <x:c r="R325" s="99"/>
      <x:c r="S325" s="99"/>
      <x:c r="T325" s="99"/>
      <x:c r="U325" s="99"/>
      <x:c r="V325" s="99"/>
      <x:c r="W325" s="99"/>
      <x:c r="X325" s="99"/>
      <x:c r="Y325" s="99"/>
      <x:c r="Z325" s="99"/>
    </x:row>
    <x:row r="326">
      <x:c r="A326" s="99"/>
      <x:c r="B326" s="99"/>
      <x:c r="C326" s="99"/>
      <x:c r="D326" s="99"/>
      <x:c r="E326" s="99"/>
      <x:c r="F326" s="99"/>
      <x:c r="G326" s="99"/>
      <x:c r="H326" s="99"/>
      <x:c r="I326" s="99"/>
      <x:c r="J326" s="99"/>
      <x:c r="K326" s="99"/>
      <x:c r="L326" s="99"/>
      <x:c r="M326" s="99"/>
      <x:c r="N326" s="99"/>
      <x:c r="O326" s="99"/>
      <x:c r="P326" s="99"/>
      <x:c r="Q326" s="99"/>
      <x:c r="R326" s="99"/>
      <x:c r="S326" s="99"/>
      <x:c r="T326" s="99"/>
      <x:c r="U326" s="99"/>
      <x:c r="V326" s="99"/>
      <x:c r="W326" s="99"/>
      <x:c r="X326" s="99"/>
      <x:c r="Y326" s="99"/>
      <x:c r="Z326" s="99"/>
    </x:row>
    <x:row r="327">
      <x:c r="A327" s="99"/>
      <x:c r="B327" s="99"/>
      <x:c r="C327" s="99"/>
      <x:c r="D327" s="99"/>
      <x:c r="E327" s="99"/>
      <x:c r="F327" s="99"/>
      <x:c r="G327" s="99"/>
      <x:c r="H327" s="99"/>
      <x:c r="I327" s="99"/>
      <x:c r="J327" s="99"/>
      <x:c r="K327" s="99"/>
      <x:c r="L327" s="99"/>
      <x:c r="M327" s="99"/>
      <x:c r="N327" s="99"/>
      <x:c r="O327" s="99"/>
      <x:c r="P327" s="99"/>
      <x:c r="Q327" s="99"/>
      <x:c r="R327" s="99"/>
      <x:c r="S327" s="99"/>
      <x:c r="T327" s="99"/>
      <x:c r="U327" s="99"/>
      <x:c r="V327" s="99"/>
      <x:c r="W327" s="99"/>
      <x:c r="X327" s="99"/>
      <x:c r="Y327" s="99"/>
      <x:c r="Z327" s="99"/>
    </x:row>
    <x:row r="328">
      <x:c r="A328" s="99"/>
      <x:c r="B328" s="99"/>
      <x:c r="C328" s="99"/>
      <x:c r="D328" s="99"/>
      <x:c r="E328" s="99"/>
      <x:c r="F328" s="99"/>
      <x:c r="G328" s="99"/>
      <x:c r="H328" s="99"/>
      <x:c r="I328" s="99"/>
      <x:c r="J328" s="99"/>
      <x:c r="K328" s="99"/>
      <x:c r="L328" s="99"/>
      <x:c r="M328" s="99"/>
      <x:c r="N328" s="99"/>
      <x:c r="O328" s="99"/>
      <x:c r="P328" s="99"/>
      <x:c r="Q328" s="99"/>
      <x:c r="R328" s="99"/>
      <x:c r="S328" s="99"/>
      <x:c r="T328" s="99"/>
      <x:c r="U328" s="99"/>
      <x:c r="V328" s="99"/>
      <x:c r="W328" s="99"/>
      <x:c r="X328" s="99"/>
      <x:c r="Y328" s="99"/>
      <x:c r="Z328" s="99"/>
    </x:row>
    <x:row r="329">
      <x:c r="A329" s="99"/>
      <x:c r="B329" s="99"/>
      <x:c r="C329" s="99"/>
      <x:c r="D329" s="99"/>
      <x:c r="E329" s="99"/>
      <x:c r="F329" s="99"/>
      <x:c r="G329" s="99"/>
      <x:c r="H329" s="99"/>
      <x:c r="I329" s="99"/>
      <x:c r="J329" s="99"/>
      <x:c r="K329" s="99"/>
      <x:c r="L329" s="99"/>
      <x:c r="M329" s="99"/>
      <x:c r="N329" s="99"/>
      <x:c r="O329" s="99"/>
      <x:c r="P329" s="99"/>
      <x:c r="Q329" s="99"/>
      <x:c r="R329" s="99"/>
      <x:c r="S329" s="99"/>
      <x:c r="T329" s="99"/>
      <x:c r="U329" s="99"/>
      <x:c r="V329" s="99"/>
      <x:c r="W329" s="99"/>
      <x:c r="X329" s="99"/>
      <x:c r="Y329" s="99"/>
      <x:c r="Z329" s="99"/>
    </x:row>
    <x:row r="330">
      <x:c r="A330" s="99"/>
      <x:c r="B330" s="99"/>
      <x:c r="C330" s="99"/>
      <x:c r="D330" s="99"/>
      <x:c r="E330" s="99"/>
      <x:c r="F330" s="99"/>
      <x:c r="G330" s="99"/>
      <x:c r="H330" s="99"/>
      <x:c r="I330" s="99"/>
      <x:c r="J330" s="99"/>
      <x:c r="K330" s="99"/>
      <x:c r="L330" s="99"/>
      <x:c r="M330" s="99"/>
      <x:c r="N330" s="99"/>
      <x:c r="O330" s="99"/>
      <x:c r="P330" s="99"/>
      <x:c r="Q330" s="99"/>
      <x:c r="R330" s="99"/>
      <x:c r="S330" s="99"/>
      <x:c r="T330" s="99"/>
      <x:c r="U330" s="99"/>
      <x:c r="V330" s="99"/>
      <x:c r="W330" s="99"/>
      <x:c r="X330" s="99"/>
      <x:c r="Y330" s="99"/>
      <x:c r="Z330" s="99"/>
    </x:row>
    <x:row r="331">
      <x:c r="A331" s="99"/>
      <x:c r="B331" s="99"/>
      <x:c r="C331" s="99"/>
      <x:c r="D331" s="99"/>
      <x:c r="E331" s="99"/>
      <x:c r="F331" s="99"/>
      <x:c r="G331" s="99"/>
      <x:c r="H331" s="99"/>
      <x:c r="I331" s="99"/>
      <x:c r="J331" s="99"/>
      <x:c r="K331" s="99"/>
      <x:c r="L331" s="99"/>
      <x:c r="M331" s="99"/>
      <x:c r="N331" s="99"/>
      <x:c r="O331" s="99"/>
      <x:c r="P331" s="99"/>
      <x:c r="Q331" s="99"/>
      <x:c r="R331" s="99"/>
      <x:c r="S331" s="99"/>
      <x:c r="T331" s="99"/>
      <x:c r="U331" s="99"/>
      <x:c r="V331" s="99"/>
      <x:c r="W331" s="99"/>
      <x:c r="X331" s="99"/>
      <x:c r="Y331" s="99"/>
      <x:c r="Z331" s="99"/>
    </x:row>
    <x:row r="332">
      <x:c r="A332" s="99"/>
      <x:c r="B332" s="99"/>
      <x:c r="C332" s="99"/>
      <x:c r="D332" s="99"/>
      <x:c r="E332" s="99"/>
      <x:c r="F332" s="99"/>
      <x:c r="G332" s="99"/>
      <x:c r="H332" s="99"/>
      <x:c r="I332" s="99"/>
      <x:c r="J332" s="99"/>
      <x:c r="K332" s="99"/>
      <x:c r="L332" s="99"/>
      <x:c r="M332" s="99"/>
      <x:c r="N332" s="99"/>
      <x:c r="O332" s="99"/>
      <x:c r="P332" s="99"/>
      <x:c r="Q332" s="99"/>
      <x:c r="R332" s="99"/>
      <x:c r="S332" s="99"/>
      <x:c r="T332" s="99"/>
      <x:c r="U332" s="99"/>
      <x:c r="V332" s="99"/>
      <x:c r="W332" s="99"/>
      <x:c r="X332" s="99"/>
      <x:c r="Y332" s="99"/>
      <x:c r="Z332" s="99"/>
    </x:row>
    <x:row r="333">
      <x:c r="A333" s="99"/>
      <x:c r="B333" s="99"/>
      <x:c r="C333" s="99"/>
      <x:c r="D333" s="99"/>
      <x:c r="E333" s="99"/>
      <x:c r="F333" s="99"/>
      <x:c r="G333" s="99"/>
      <x:c r="H333" s="99"/>
      <x:c r="I333" s="99"/>
      <x:c r="J333" s="99"/>
      <x:c r="K333" s="99"/>
      <x:c r="L333" s="99"/>
      <x:c r="M333" s="99"/>
      <x:c r="N333" s="99"/>
      <x:c r="O333" s="99"/>
      <x:c r="P333" s="99"/>
      <x:c r="Q333" s="99"/>
      <x:c r="R333" s="99"/>
      <x:c r="S333" s="99"/>
      <x:c r="T333" s="99"/>
      <x:c r="U333" s="99"/>
      <x:c r="V333" s="99"/>
      <x:c r="W333" s="99"/>
      <x:c r="X333" s="99"/>
      <x:c r="Y333" s="99"/>
      <x:c r="Z333" s="99"/>
    </x:row>
    <x:row r="334">
      <x:c r="A334" s="99"/>
      <x:c r="B334" s="99"/>
      <x:c r="C334" s="99"/>
      <x:c r="D334" s="99"/>
      <x:c r="E334" s="99"/>
      <x:c r="F334" s="99"/>
      <x:c r="G334" s="99"/>
      <x:c r="H334" s="99"/>
      <x:c r="I334" s="99"/>
      <x:c r="J334" s="99"/>
      <x:c r="K334" s="99"/>
      <x:c r="L334" s="99"/>
      <x:c r="M334" s="99"/>
      <x:c r="N334" s="99"/>
      <x:c r="O334" s="99"/>
      <x:c r="P334" s="99"/>
      <x:c r="Q334" s="99"/>
      <x:c r="R334" s="99"/>
      <x:c r="S334" s="99"/>
      <x:c r="T334" s="99"/>
      <x:c r="U334" s="99"/>
      <x:c r="V334" s="99"/>
      <x:c r="W334" s="99"/>
      <x:c r="X334" s="99"/>
      <x:c r="Y334" s="99"/>
      <x:c r="Z334" s="99"/>
    </x:row>
    <x:row r="335">
      <x:c r="A335" s="99"/>
      <x:c r="B335" s="99"/>
      <x:c r="C335" s="99"/>
      <x:c r="D335" s="99"/>
      <x:c r="E335" s="99"/>
      <x:c r="F335" s="99"/>
      <x:c r="G335" s="99"/>
      <x:c r="H335" s="99"/>
      <x:c r="I335" s="99"/>
      <x:c r="J335" s="99"/>
      <x:c r="K335" s="99"/>
      <x:c r="L335" s="99"/>
      <x:c r="M335" s="99"/>
      <x:c r="N335" s="99"/>
      <x:c r="O335" s="99"/>
      <x:c r="P335" s="99"/>
      <x:c r="Q335" s="99"/>
      <x:c r="R335" s="99"/>
      <x:c r="S335" s="99"/>
      <x:c r="T335" s="99"/>
      <x:c r="U335" s="99"/>
      <x:c r="V335" s="99"/>
      <x:c r="W335" s="99"/>
      <x:c r="X335" s="99"/>
      <x:c r="Y335" s="99"/>
      <x:c r="Z335" s="99"/>
    </x:row>
    <x:row r="336">
      <x:c r="A336" s="99"/>
      <x:c r="B336" s="99"/>
      <x:c r="C336" s="99"/>
      <x:c r="D336" s="99"/>
      <x:c r="E336" s="99"/>
      <x:c r="F336" s="99"/>
      <x:c r="G336" s="99"/>
      <x:c r="H336" s="99"/>
      <x:c r="I336" s="99"/>
      <x:c r="J336" s="99"/>
      <x:c r="K336" s="99"/>
      <x:c r="L336" s="99"/>
      <x:c r="M336" s="99"/>
      <x:c r="N336" s="99"/>
      <x:c r="O336" s="99"/>
      <x:c r="P336" s="99"/>
      <x:c r="Q336" s="99"/>
      <x:c r="R336" s="99"/>
      <x:c r="S336" s="99"/>
      <x:c r="T336" s="99"/>
      <x:c r="U336" s="99"/>
      <x:c r="V336" s="99"/>
      <x:c r="W336" s="99"/>
      <x:c r="X336" s="99"/>
      <x:c r="Y336" s="99"/>
      <x:c r="Z336" s="99"/>
    </x:row>
    <x:row r="337">
      <x:c r="A337" s="99"/>
      <x:c r="B337" s="99"/>
      <x:c r="C337" s="99"/>
      <x:c r="D337" s="99"/>
      <x:c r="E337" s="99"/>
      <x:c r="F337" s="99"/>
      <x:c r="G337" s="99"/>
      <x:c r="H337" s="99"/>
      <x:c r="I337" s="99"/>
      <x:c r="J337" s="99"/>
      <x:c r="K337" s="99"/>
      <x:c r="L337" s="99"/>
      <x:c r="M337" s="99"/>
      <x:c r="N337" s="99"/>
      <x:c r="O337" s="99"/>
      <x:c r="P337" s="99"/>
      <x:c r="Q337" s="99"/>
      <x:c r="R337" s="99"/>
      <x:c r="S337" s="99"/>
      <x:c r="T337" s="99"/>
      <x:c r="U337" s="99"/>
      <x:c r="V337" s="99"/>
      <x:c r="W337" s="99"/>
      <x:c r="X337" s="99"/>
      <x:c r="Y337" s="99"/>
      <x:c r="Z337" s="99"/>
    </x:row>
    <x:row r="338">
      <x:c r="A338" s="99"/>
      <x:c r="B338" s="99"/>
      <x:c r="C338" s="99"/>
      <x:c r="D338" s="99"/>
      <x:c r="E338" s="99"/>
      <x:c r="F338" s="99"/>
      <x:c r="G338" s="99"/>
      <x:c r="H338" s="99"/>
      <x:c r="I338" s="99"/>
      <x:c r="J338" s="99"/>
      <x:c r="K338" s="99"/>
      <x:c r="L338" s="99"/>
      <x:c r="M338" s="99"/>
      <x:c r="N338" s="99"/>
      <x:c r="O338" s="99"/>
      <x:c r="P338" s="99"/>
      <x:c r="Q338" s="99"/>
      <x:c r="R338" s="99"/>
      <x:c r="S338" s="99"/>
      <x:c r="T338" s="99"/>
      <x:c r="U338" s="99"/>
      <x:c r="V338" s="99"/>
      <x:c r="W338" s="99"/>
      <x:c r="X338" s="99"/>
      <x:c r="Y338" s="99"/>
      <x:c r="Z338" s="99"/>
    </x:row>
    <x:row r="339">
      <x:c r="A339" s="99"/>
      <x:c r="B339" s="99"/>
      <x:c r="C339" s="99"/>
      <x:c r="D339" s="99"/>
      <x:c r="E339" s="99"/>
      <x:c r="F339" s="99"/>
      <x:c r="G339" s="99"/>
      <x:c r="H339" s="99"/>
      <x:c r="I339" s="99"/>
      <x:c r="J339" s="99"/>
      <x:c r="K339" s="99"/>
      <x:c r="L339" s="99"/>
      <x:c r="M339" s="99"/>
      <x:c r="N339" s="99"/>
      <x:c r="O339" s="99"/>
      <x:c r="P339" s="99"/>
      <x:c r="Q339" s="99"/>
      <x:c r="R339" s="99"/>
      <x:c r="S339" s="99"/>
      <x:c r="T339" s="99"/>
      <x:c r="U339" s="99"/>
      <x:c r="V339" s="99"/>
      <x:c r="W339" s="99"/>
      <x:c r="X339" s="99"/>
      <x:c r="Y339" s="99"/>
      <x:c r="Z339" s="99"/>
    </x:row>
    <x:row r="340">
      <x:c r="A340" s="99"/>
      <x:c r="B340" s="99"/>
      <x:c r="C340" s="99"/>
      <x:c r="D340" s="99"/>
      <x:c r="E340" s="99"/>
      <x:c r="F340" s="99"/>
      <x:c r="G340" s="99"/>
      <x:c r="H340" s="99"/>
      <x:c r="I340" s="99"/>
      <x:c r="J340" s="99"/>
      <x:c r="K340" s="99"/>
      <x:c r="L340" s="99"/>
      <x:c r="M340" s="99"/>
      <x:c r="N340" s="99"/>
      <x:c r="O340" s="99"/>
      <x:c r="P340" s="99"/>
      <x:c r="Q340" s="99"/>
      <x:c r="R340" s="99"/>
      <x:c r="S340" s="99"/>
      <x:c r="T340" s="99"/>
      <x:c r="U340" s="99"/>
      <x:c r="V340" s="99"/>
      <x:c r="W340" s="99"/>
      <x:c r="X340" s="99"/>
      <x:c r="Y340" s="99"/>
      <x:c r="Z340" s="99"/>
    </x:row>
    <x:row r="341">
      <x:c r="A341" s="99"/>
      <x:c r="B341" s="99"/>
      <x:c r="C341" s="99"/>
      <x:c r="D341" s="99"/>
      <x:c r="E341" s="99"/>
      <x:c r="F341" s="99"/>
      <x:c r="G341" s="99"/>
      <x:c r="H341" s="99"/>
      <x:c r="I341" s="99"/>
      <x:c r="J341" s="99"/>
      <x:c r="K341" s="99"/>
      <x:c r="L341" s="99"/>
      <x:c r="M341" s="99"/>
      <x:c r="N341" s="99"/>
      <x:c r="O341" s="99"/>
      <x:c r="P341" s="99"/>
      <x:c r="Q341" s="99"/>
      <x:c r="R341" s="99"/>
      <x:c r="S341" s="99"/>
      <x:c r="T341" s="99"/>
      <x:c r="U341" s="99"/>
      <x:c r="V341" s="99"/>
      <x:c r="W341" s="99"/>
      <x:c r="X341" s="99"/>
      <x:c r="Y341" s="99"/>
      <x:c r="Z341" s="99"/>
    </x:row>
    <x:row r="342">
      <x:c r="A342" s="99"/>
      <x:c r="B342" s="99"/>
      <x:c r="C342" s="99"/>
      <x:c r="D342" s="99"/>
      <x:c r="E342" s="99"/>
      <x:c r="F342" s="99"/>
      <x:c r="G342" s="99"/>
      <x:c r="H342" s="99"/>
      <x:c r="I342" s="99"/>
      <x:c r="J342" s="99"/>
      <x:c r="K342" s="99"/>
      <x:c r="L342" s="99"/>
      <x:c r="M342" s="99"/>
      <x:c r="N342" s="99"/>
      <x:c r="O342" s="99"/>
      <x:c r="P342" s="99"/>
      <x:c r="Q342" s="99"/>
      <x:c r="R342" s="99"/>
      <x:c r="S342" s="99"/>
      <x:c r="T342" s="99"/>
      <x:c r="U342" s="99"/>
      <x:c r="V342" s="99"/>
      <x:c r="W342" s="99"/>
      <x:c r="X342" s="99"/>
      <x:c r="Y342" s="99"/>
      <x:c r="Z342" s="99"/>
    </x:row>
    <x:row r="343">
      <x:c r="A343" s="99"/>
      <x:c r="B343" s="99"/>
      <x:c r="C343" s="99"/>
      <x:c r="D343" s="99"/>
      <x:c r="E343" s="99"/>
      <x:c r="F343" s="99"/>
      <x:c r="G343" s="99"/>
      <x:c r="H343" s="99"/>
      <x:c r="I343" s="99"/>
      <x:c r="J343" s="99"/>
      <x:c r="K343" s="99"/>
      <x:c r="L343" s="99"/>
      <x:c r="M343" s="99"/>
      <x:c r="N343" s="99"/>
      <x:c r="O343" s="99"/>
      <x:c r="P343" s="99"/>
      <x:c r="Q343" s="99"/>
      <x:c r="R343" s="99"/>
      <x:c r="S343" s="99"/>
      <x:c r="T343" s="99"/>
      <x:c r="U343" s="99"/>
      <x:c r="V343" s="99"/>
      <x:c r="W343" s="99"/>
      <x:c r="X343" s="99"/>
      <x:c r="Y343" s="99"/>
      <x:c r="Z343" s="99"/>
    </x:row>
    <x:row r="344">
      <x:c r="A344" s="99"/>
      <x:c r="B344" s="99"/>
      <x:c r="C344" s="99"/>
      <x:c r="D344" s="99"/>
      <x:c r="E344" s="99"/>
      <x:c r="F344" s="99"/>
      <x:c r="G344" s="99"/>
      <x:c r="H344" s="99"/>
      <x:c r="I344" s="99"/>
      <x:c r="J344" s="99"/>
      <x:c r="K344" s="99"/>
      <x:c r="L344" s="99"/>
      <x:c r="M344" s="99"/>
      <x:c r="N344" s="99"/>
      <x:c r="O344" s="99"/>
      <x:c r="P344" s="99"/>
      <x:c r="Q344" s="99"/>
      <x:c r="R344" s="99"/>
      <x:c r="S344" s="99"/>
      <x:c r="T344" s="99"/>
      <x:c r="U344" s="99"/>
      <x:c r="V344" s="99"/>
      <x:c r="W344" s="99"/>
      <x:c r="X344" s="99"/>
      <x:c r="Y344" s="99"/>
      <x:c r="Z344" s="99"/>
    </x:row>
    <x:row r="345">
      <x:c r="A345" s="99"/>
      <x:c r="B345" s="99"/>
      <x:c r="C345" s="99"/>
      <x:c r="D345" s="99"/>
      <x:c r="E345" s="99"/>
      <x:c r="F345" s="99"/>
      <x:c r="G345" s="99"/>
      <x:c r="H345" s="99"/>
      <x:c r="I345" s="99"/>
      <x:c r="J345" s="99"/>
      <x:c r="K345" s="99"/>
      <x:c r="L345" s="99"/>
      <x:c r="M345" s="99"/>
      <x:c r="N345" s="99"/>
      <x:c r="O345" s="99"/>
      <x:c r="P345" s="99"/>
      <x:c r="Q345" s="99"/>
      <x:c r="R345" s="99"/>
      <x:c r="S345" s="99"/>
      <x:c r="T345" s="99"/>
      <x:c r="U345" s="99"/>
      <x:c r="V345" s="99"/>
      <x:c r="W345" s="99"/>
      <x:c r="X345" s="99"/>
      <x:c r="Y345" s="99"/>
      <x:c r="Z345" s="99"/>
    </x:row>
    <x:row r="346">
      <x:c r="A346" s="99"/>
      <x:c r="B346" s="99"/>
      <x:c r="C346" s="99"/>
      <x:c r="D346" s="99"/>
      <x:c r="E346" s="99"/>
      <x:c r="F346" s="99"/>
      <x:c r="G346" s="99"/>
      <x:c r="H346" s="99"/>
      <x:c r="I346" s="99"/>
      <x:c r="J346" s="99"/>
      <x:c r="K346" s="99"/>
      <x:c r="L346" s="99"/>
      <x:c r="M346" s="99"/>
      <x:c r="N346" s="99"/>
      <x:c r="O346" s="99"/>
      <x:c r="P346" s="99"/>
      <x:c r="Q346" s="99"/>
      <x:c r="R346" s="99"/>
      <x:c r="S346" s="99"/>
      <x:c r="T346" s="99"/>
      <x:c r="U346" s="99"/>
      <x:c r="V346" s="99"/>
      <x:c r="W346" s="99"/>
      <x:c r="X346" s="99"/>
      <x:c r="Y346" s="99"/>
      <x:c r="Z346" s="99"/>
    </x:row>
    <x:row r="347">
      <x:c r="A347" s="99"/>
      <x:c r="B347" s="99"/>
      <x:c r="C347" s="99"/>
      <x:c r="D347" s="99"/>
      <x:c r="E347" s="99"/>
      <x:c r="F347" s="99"/>
      <x:c r="G347" s="99"/>
      <x:c r="H347" s="99"/>
      <x:c r="I347" s="99"/>
      <x:c r="J347" s="99"/>
      <x:c r="K347" s="99"/>
      <x:c r="L347" s="99"/>
      <x:c r="M347" s="99"/>
      <x:c r="N347" s="99"/>
      <x:c r="O347" s="99"/>
      <x:c r="P347" s="99"/>
      <x:c r="Q347" s="99"/>
      <x:c r="R347" s="99"/>
      <x:c r="S347" s="99"/>
      <x:c r="T347" s="99"/>
      <x:c r="U347" s="99"/>
      <x:c r="V347" s="99"/>
      <x:c r="W347" s="99"/>
      <x:c r="X347" s="99"/>
      <x:c r="Y347" s="99"/>
      <x:c r="Z347" s="99"/>
    </x:row>
    <x:row r="348">
      <x:c r="A348" s="99"/>
      <x:c r="B348" s="99"/>
      <x:c r="C348" s="99"/>
      <x:c r="D348" s="99"/>
      <x:c r="E348" s="99"/>
      <x:c r="F348" s="99"/>
      <x:c r="G348" s="99"/>
      <x:c r="H348" s="99"/>
      <x:c r="I348" s="99"/>
      <x:c r="J348" s="99"/>
      <x:c r="K348" s="99"/>
      <x:c r="L348" s="99"/>
      <x:c r="M348" s="99"/>
      <x:c r="N348" s="99"/>
      <x:c r="O348" s="99"/>
      <x:c r="P348" s="99"/>
      <x:c r="Q348" s="99"/>
      <x:c r="R348" s="99"/>
      <x:c r="S348" s="99"/>
      <x:c r="T348" s="99"/>
      <x:c r="U348" s="99"/>
      <x:c r="V348" s="99"/>
      <x:c r="W348" s="99"/>
      <x:c r="X348" s="99"/>
      <x:c r="Y348" s="99"/>
      <x:c r="Z348" s="99"/>
    </x:row>
    <x:row r="349">
      <x:c r="A349" s="99"/>
      <x:c r="B349" s="99"/>
      <x:c r="C349" s="99"/>
      <x:c r="D349" s="99"/>
      <x:c r="E349" s="99"/>
      <x:c r="F349" s="99"/>
      <x:c r="G349" s="99"/>
      <x:c r="H349" s="99"/>
      <x:c r="I349" s="99"/>
      <x:c r="J349" s="99"/>
      <x:c r="K349" s="99"/>
      <x:c r="L349" s="99"/>
      <x:c r="M349" s="99"/>
      <x:c r="N349" s="99"/>
      <x:c r="O349" s="99"/>
      <x:c r="P349" s="99"/>
      <x:c r="Q349" s="99"/>
      <x:c r="R349" s="99"/>
      <x:c r="S349" s="99"/>
      <x:c r="T349" s="99"/>
      <x:c r="U349" s="99"/>
      <x:c r="V349" s="99"/>
      <x:c r="W349" s="99"/>
      <x:c r="X349" s="99"/>
      <x:c r="Y349" s="99"/>
      <x:c r="Z349" s="99"/>
    </x:row>
    <x:row r="350">
      <x:c r="A350" s="99"/>
      <x:c r="B350" s="99"/>
      <x:c r="C350" s="99"/>
      <x:c r="D350" s="99"/>
      <x:c r="E350" s="99"/>
      <x:c r="F350" s="99"/>
      <x:c r="G350" s="99"/>
      <x:c r="H350" s="99"/>
      <x:c r="I350" s="99"/>
      <x:c r="J350" s="99"/>
      <x:c r="K350" s="99"/>
      <x:c r="L350" s="99"/>
      <x:c r="M350" s="99"/>
      <x:c r="N350" s="99"/>
      <x:c r="O350" s="99"/>
      <x:c r="P350" s="99"/>
      <x:c r="Q350" s="99"/>
      <x:c r="R350" s="99"/>
      <x:c r="S350" s="99"/>
      <x:c r="T350" s="99"/>
      <x:c r="U350" s="99"/>
      <x:c r="V350" s="99"/>
      <x:c r="W350" s="99"/>
      <x:c r="X350" s="99"/>
      <x:c r="Y350" s="99"/>
      <x:c r="Z350" s="99"/>
    </x:row>
    <x:row r="351">
      <x:c r="A351" s="99"/>
      <x:c r="B351" s="99"/>
      <x:c r="C351" s="99"/>
      <x:c r="D351" s="99"/>
      <x:c r="E351" s="99"/>
      <x:c r="F351" s="99"/>
      <x:c r="G351" s="99"/>
      <x:c r="H351" s="99"/>
      <x:c r="I351" s="99"/>
      <x:c r="J351" s="99"/>
      <x:c r="K351" s="99"/>
      <x:c r="L351" s="99"/>
      <x:c r="M351" s="99"/>
      <x:c r="N351" s="99"/>
      <x:c r="O351" s="99"/>
      <x:c r="P351" s="99"/>
      <x:c r="Q351" s="99"/>
      <x:c r="R351" s="99"/>
      <x:c r="S351" s="99"/>
      <x:c r="T351" s="99"/>
      <x:c r="U351" s="99"/>
      <x:c r="V351" s="99"/>
      <x:c r="W351" s="99"/>
      <x:c r="X351" s="99"/>
      <x:c r="Y351" s="99"/>
      <x:c r="Z351" s="99"/>
    </x:row>
    <x:row r="352">
      <x:c r="A352" s="99"/>
      <x:c r="B352" s="99"/>
      <x:c r="C352" s="99"/>
      <x:c r="D352" s="99"/>
      <x:c r="E352" s="99"/>
      <x:c r="F352" s="99"/>
      <x:c r="G352" s="99"/>
      <x:c r="H352" s="99"/>
      <x:c r="I352" s="99"/>
      <x:c r="J352" s="99"/>
      <x:c r="K352" s="99"/>
      <x:c r="L352" s="99"/>
      <x:c r="M352" s="99"/>
      <x:c r="N352" s="99"/>
      <x:c r="O352" s="99"/>
      <x:c r="P352" s="99"/>
      <x:c r="Q352" s="99"/>
      <x:c r="R352" s="99"/>
      <x:c r="S352" s="99"/>
      <x:c r="T352" s="99"/>
      <x:c r="U352" s="99"/>
      <x:c r="V352" s="99"/>
      <x:c r="W352" s="99"/>
      <x:c r="X352" s="99"/>
      <x:c r="Y352" s="99"/>
      <x:c r="Z352" s="99"/>
    </x:row>
    <x:row r="353">
      <x:c r="A353" s="99"/>
      <x:c r="B353" s="99"/>
      <x:c r="C353" s="99"/>
      <x:c r="D353" s="99"/>
      <x:c r="E353" s="99"/>
      <x:c r="F353" s="99"/>
      <x:c r="G353" s="99"/>
      <x:c r="H353" s="99"/>
      <x:c r="I353" s="99"/>
      <x:c r="J353" s="99"/>
      <x:c r="K353" s="99"/>
      <x:c r="L353" s="99"/>
      <x:c r="M353" s="99"/>
      <x:c r="N353" s="99"/>
      <x:c r="O353" s="99"/>
      <x:c r="P353" s="99"/>
      <x:c r="Q353" s="99"/>
      <x:c r="R353" s="99"/>
      <x:c r="S353" s="99"/>
      <x:c r="T353" s="99"/>
      <x:c r="U353" s="99"/>
      <x:c r="V353" s="99"/>
      <x:c r="W353" s="99"/>
      <x:c r="X353" s="99"/>
      <x:c r="Y353" s="99"/>
      <x:c r="Z353" s="99"/>
    </x:row>
    <x:row r="354">
      <x:c r="A354" s="99"/>
      <x:c r="B354" s="99"/>
      <x:c r="C354" s="99"/>
      <x:c r="D354" s="99"/>
      <x:c r="E354" s="99"/>
      <x:c r="F354" s="99"/>
      <x:c r="G354" s="99"/>
      <x:c r="H354" s="99"/>
      <x:c r="I354" s="99"/>
      <x:c r="J354" s="99"/>
      <x:c r="K354" s="99"/>
      <x:c r="L354" s="99"/>
      <x:c r="M354" s="99"/>
      <x:c r="N354" s="99"/>
      <x:c r="O354" s="99"/>
      <x:c r="P354" s="99"/>
      <x:c r="Q354" s="99"/>
      <x:c r="R354" s="99"/>
      <x:c r="S354" s="99"/>
      <x:c r="T354" s="99"/>
      <x:c r="U354" s="99"/>
      <x:c r="V354" s="99"/>
      <x:c r="W354" s="99"/>
      <x:c r="X354" s="99"/>
      <x:c r="Y354" s="99"/>
      <x:c r="Z354" s="99"/>
    </x:row>
    <x:row r="355">
      <x:c r="A355" s="99"/>
      <x:c r="B355" s="99"/>
      <x:c r="C355" s="99"/>
      <x:c r="D355" s="99"/>
      <x:c r="E355" s="99"/>
      <x:c r="F355" s="99"/>
      <x:c r="G355" s="99"/>
      <x:c r="H355" s="99"/>
      <x:c r="I355" s="99"/>
      <x:c r="J355" s="99"/>
      <x:c r="K355" s="99"/>
      <x:c r="L355" s="99"/>
      <x:c r="M355" s="99"/>
      <x:c r="N355" s="99"/>
      <x:c r="O355" s="99"/>
      <x:c r="P355" s="99"/>
      <x:c r="Q355" s="99"/>
      <x:c r="R355" s="99"/>
      <x:c r="S355" s="99"/>
      <x:c r="T355" s="99"/>
      <x:c r="U355" s="99"/>
      <x:c r="V355" s="99"/>
      <x:c r="W355" s="99"/>
      <x:c r="X355" s="99"/>
      <x:c r="Y355" s="99"/>
      <x:c r="Z355" s="99"/>
    </x:row>
    <x:row r="356">
      <x:c r="A356" s="99"/>
      <x:c r="B356" s="99"/>
      <x:c r="C356" s="99"/>
      <x:c r="D356" s="99"/>
      <x:c r="E356" s="99"/>
      <x:c r="F356" s="99"/>
      <x:c r="G356" s="99"/>
      <x:c r="H356" s="99"/>
      <x:c r="I356" s="99"/>
      <x:c r="J356" s="99"/>
      <x:c r="K356" s="99"/>
      <x:c r="L356" s="99"/>
      <x:c r="M356" s="99"/>
      <x:c r="N356" s="99"/>
      <x:c r="O356" s="99"/>
      <x:c r="P356" s="99"/>
      <x:c r="Q356" s="99"/>
      <x:c r="R356" s="99"/>
      <x:c r="S356" s="99"/>
      <x:c r="T356" s="99"/>
      <x:c r="U356" s="99"/>
      <x:c r="V356" s="99"/>
      <x:c r="W356" s="99"/>
      <x:c r="X356" s="99"/>
      <x:c r="Y356" s="99"/>
      <x:c r="Z356" s="99"/>
    </x:row>
    <x:row r="357">
      <x:c r="A357" s="99"/>
      <x:c r="B357" s="99"/>
      <x:c r="C357" s="99"/>
      <x:c r="D357" s="99"/>
      <x:c r="E357" s="99"/>
      <x:c r="F357" s="99"/>
      <x:c r="G357" s="99"/>
      <x:c r="H357" s="99"/>
      <x:c r="I357" s="99"/>
      <x:c r="J357" s="99"/>
      <x:c r="K357" s="99"/>
      <x:c r="L357" s="99"/>
      <x:c r="M357" s="99"/>
      <x:c r="N357" s="99"/>
      <x:c r="O357" s="99"/>
      <x:c r="P357" s="99"/>
      <x:c r="Q357" s="99"/>
      <x:c r="R357" s="99"/>
      <x:c r="S357" s="99"/>
      <x:c r="T357" s="99"/>
      <x:c r="U357" s="99"/>
      <x:c r="V357" s="99"/>
      <x:c r="W357" s="99"/>
      <x:c r="X357" s="99"/>
      <x:c r="Y357" s="99"/>
      <x:c r="Z357" s="99"/>
    </x:row>
    <x:row r="358">
      <x:c r="A358" s="99"/>
      <x:c r="B358" s="99"/>
      <x:c r="C358" s="99"/>
      <x:c r="D358" s="99"/>
      <x:c r="E358" s="99"/>
      <x:c r="F358" s="99"/>
      <x:c r="G358" s="99"/>
      <x:c r="H358" s="99"/>
      <x:c r="I358" s="99"/>
      <x:c r="J358" s="99"/>
      <x:c r="K358" s="99"/>
      <x:c r="L358" s="99"/>
      <x:c r="M358" s="99"/>
      <x:c r="N358" s="99"/>
      <x:c r="O358" s="99"/>
      <x:c r="P358" s="99"/>
      <x:c r="Q358" s="99"/>
      <x:c r="R358" s="99"/>
      <x:c r="S358" s="99"/>
      <x:c r="T358" s="99"/>
      <x:c r="U358" s="99"/>
      <x:c r="V358" s="99"/>
      <x:c r="W358" s="99"/>
      <x:c r="X358" s="99"/>
      <x:c r="Y358" s="99"/>
      <x:c r="Z358" s="99"/>
    </x:row>
    <x:row r="359">
      <x:c r="A359" s="99"/>
      <x:c r="B359" s="99"/>
      <x:c r="C359" s="99"/>
      <x:c r="D359" s="99"/>
      <x:c r="E359" s="99"/>
      <x:c r="F359" s="99"/>
      <x:c r="G359" s="99"/>
      <x:c r="H359" s="99"/>
      <x:c r="I359" s="99"/>
      <x:c r="J359" s="99"/>
      <x:c r="K359" s="99"/>
      <x:c r="L359" s="99"/>
      <x:c r="M359" s="99"/>
      <x:c r="N359" s="99"/>
      <x:c r="O359" s="99"/>
      <x:c r="P359" s="99"/>
      <x:c r="Q359" s="99"/>
      <x:c r="R359" s="99"/>
      <x:c r="S359" s="99"/>
      <x:c r="T359" s="99"/>
      <x:c r="U359" s="99"/>
      <x:c r="V359" s="99"/>
      <x:c r="W359" s="99"/>
      <x:c r="X359" s="99"/>
      <x:c r="Y359" s="99"/>
      <x:c r="Z359" s="99"/>
    </x:row>
    <x:row r="360">
      <x:c r="A360" s="99"/>
      <x:c r="B360" s="99"/>
      <x:c r="C360" s="99"/>
      <x:c r="D360" s="99"/>
      <x:c r="E360" s="99"/>
      <x:c r="F360" s="99"/>
      <x:c r="G360" s="99"/>
      <x:c r="H360" s="99"/>
      <x:c r="I360" s="99"/>
      <x:c r="J360" s="99"/>
      <x:c r="K360" s="99"/>
      <x:c r="L360" s="99"/>
      <x:c r="M360" s="99"/>
      <x:c r="N360" s="99"/>
      <x:c r="O360" s="99"/>
      <x:c r="P360" s="99"/>
      <x:c r="Q360" s="99"/>
      <x:c r="R360" s="99"/>
      <x:c r="S360" s="99"/>
      <x:c r="T360" s="99"/>
      <x:c r="U360" s="99"/>
      <x:c r="V360" s="99"/>
      <x:c r="W360" s="99"/>
      <x:c r="X360" s="99"/>
      <x:c r="Y360" s="99"/>
      <x:c r="Z360" s="99"/>
    </x:row>
    <x:row r="361">
      <x:c r="A361" s="99"/>
      <x:c r="B361" s="99"/>
      <x:c r="C361" s="99"/>
      <x:c r="D361" s="99"/>
      <x:c r="E361" s="99"/>
      <x:c r="F361" s="99"/>
      <x:c r="G361" s="99"/>
      <x:c r="H361" s="99"/>
      <x:c r="I361" s="99"/>
      <x:c r="J361" s="99"/>
      <x:c r="K361" s="99"/>
      <x:c r="L361" s="99"/>
      <x:c r="M361" s="99"/>
      <x:c r="N361" s="99"/>
      <x:c r="O361" s="99"/>
      <x:c r="P361" s="99"/>
      <x:c r="Q361" s="99"/>
      <x:c r="R361" s="99"/>
      <x:c r="S361" s="99"/>
      <x:c r="T361" s="99"/>
      <x:c r="U361" s="99"/>
      <x:c r="V361" s="99"/>
      <x:c r="W361" s="99"/>
      <x:c r="X361" s="99"/>
      <x:c r="Y361" s="99"/>
      <x:c r="Z361" s="99"/>
    </x:row>
    <x:row r="362">
      <x:c r="A362" s="99"/>
      <x:c r="B362" s="99"/>
      <x:c r="C362" s="99"/>
      <x:c r="D362" s="99"/>
      <x:c r="E362" s="99"/>
      <x:c r="F362" s="99"/>
      <x:c r="G362" s="99"/>
      <x:c r="H362" s="99"/>
      <x:c r="I362" s="99"/>
      <x:c r="J362" s="99"/>
      <x:c r="K362" s="99"/>
      <x:c r="L362" s="99"/>
      <x:c r="M362" s="99"/>
      <x:c r="N362" s="99"/>
      <x:c r="O362" s="99"/>
      <x:c r="P362" s="99"/>
      <x:c r="Q362" s="99"/>
      <x:c r="R362" s="99"/>
      <x:c r="S362" s="99"/>
      <x:c r="T362" s="99"/>
      <x:c r="U362" s="99"/>
      <x:c r="V362" s="99"/>
      <x:c r="W362" s="99"/>
      <x:c r="X362" s="99"/>
      <x:c r="Y362" s="99"/>
      <x:c r="Z362" s="99"/>
    </x:row>
    <x:row r="363">
      <x:c r="A363" s="99"/>
      <x:c r="B363" s="99"/>
      <x:c r="C363" s="99"/>
      <x:c r="D363" s="99"/>
      <x:c r="E363" s="99"/>
      <x:c r="F363" s="99"/>
      <x:c r="G363" s="99"/>
      <x:c r="H363" s="99"/>
      <x:c r="I363" s="99"/>
      <x:c r="J363" s="99"/>
      <x:c r="K363" s="99"/>
      <x:c r="L363" s="99"/>
      <x:c r="M363" s="99"/>
      <x:c r="N363" s="99"/>
      <x:c r="O363" s="99"/>
      <x:c r="P363" s="99"/>
      <x:c r="Q363" s="99"/>
      <x:c r="R363" s="99"/>
      <x:c r="S363" s="99"/>
      <x:c r="T363" s="99"/>
      <x:c r="U363" s="99"/>
      <x:c r="V363" s="99"/>
      <x:c r="W363" s="99"/>
      <x:c r="X363" s="99"/>
      <x:c r="Y363" s="99"/>
      <x:c r="Z363" s="99"/>
    </x:row>
    <x:row r="364">
      <x:c r="A364" s="99"/>
      <x:c r="B364" s="99"/>
      <x:c r="C364" s="99"/>
      <x:c r="D364" s="99"/>
      <x:c r="E364" s="99"/>
      <x:c r="F364" s="99"/>
      <x:c r="G364" s="99"/>
      <x:c r="H364" s="99"/>
      <x:c r="I364" s="99"/>
      <x:c r="J364" s="99"/>
      <x:c r="K364" s="99"/>
      <x:c r="L364" s="99"/>
      <x:c r="M364" s="99"/>
      <x:c r="N364" s="99"/>
      <x:c r="O364" s="99"/>
      <x:c r="P364" s="99"/>
      <x:c r="Q364" s="99"/>
      <x:c r="R364" s="99"/>
      <x:c r="S364" s="99"/>
      <x:c r="T364" s="99"/>
      <x:c r="U364" s="99"/>
      <x:c r="V364" s="99"/>
      <x:c r="W364" s="99"/>
      <x:c r="X364" s="99"/>
      <x:c r="Y364" s="99"/>
      <x:c r="Z364" s="99"/>
    </x:row>
    <x:row r="365">
      <x:c r="A365" s="99"/>
      <x:c r="B365" s="99"/>
      <x:c r="C365" s="99"/>
      <x:c r="D365" s="99"/>
      <x:c r="E365" s="99"/>
      <x:c r="F365" s="99"/>
      <x:c r="G365" s="99"/>
      <x:c r="H365" s="99"/>
      <x:c r="I365" s="99"/>
      <x:c r="J365" s="99"/>
      <x:c r="K365" s="99"/>
      <x:c r="L365" s="99"/>
      <x:c r="M365" s="99"/>
      <x:c r="N365" s="99"/>
      <x:c r="O365" s="99"/>
      <x:c r="P365" s="99"/>
      <x:c r="Q365" s="99"/>
      <x:c r="R365" s="99"/>
      <x:c r="S365" s="99"/>
      <x:c r="T365" s="99"/>
      <x:c r="U365" s="99"/>
      <x:c r="V365" s="99"/>
      <x:c r="W365" s="99"/>
      <x:c r="X365" s="99"/>
      <x:c r="Y365" s="99"/>
      <x:c r="Z365" s="99"/>
    </x:row>
    <x:row r="366">
      <x:c r="A366" s="99"/>
      <x:c r="B366" s="99"/>
      <x:c r="C366" s="99"/>
      <x:c r="D366" s="99"/>
      <x:c r="E366" s="99"/>
      <x:c r="F366" s="99"/>
      <x:c r="G366" s="99"/>
      <x:c r="H366" s="99"/>
      <x:c r="I366" s="99"/>
      <x:c r="J366" s="99"/>
      <x:c r="K366" s="99"/>
      <x:c r="L366" s="99"/>
      <x:c r="M366" s="99"/>
      <x:c r="N366" s="99"/>
      <x:c r="O366" s="99"/>
      <x:c r="P366" s="99"/>
      <x:c r="Q366" s="99"/>
      <x:c r="R366" s="99"/>
      <x:c r="S366" s="99"/>
      <x:c r="T366" s="99"/>
      <x:c r="U366" s="99"/>
      <x:c r="V366" s="99"/>
      <x:c r="W366" s="99"/>
      <x:c r="X366" s="99"/>
      <x:c r="Y366" s="99"/>
      <x:c r="Z366" s="99"/>
    </x:row>
    <x:row r="367">
      <x:c r="A367" s="99"/>
      <x:c r="B367" s="99"/>
      <x:c r="C367" s="99"/>
      <x:c r="D367" s="99"/>
      <x:c r="E367" s="99"/>
      <x:c r="F367" s="99"/>
      <x:c r="G367" s="99"/>
      <x:c r="H367" s="99"/>
      <x:c r="I367" s="99"/>
      <x:c r="J367" s="99"/>
      <x:c r="K367" s="99"/>
      <x:c r="L367" s="99"/>
      <x:c r="M367" s="99"/>
      <x:c r="N367" s="99"/>
      <x:c r="O367" s="99"/>
      <x:c r="P367" s="99"/>
      <x:c r="Q367" s="99"/>
      <x:c r="R367" s="99"/>
      <x:c r="S367" s="99"/>
      <x:c r="T367" s="99"/>
      <x:c r="U367" s="99"/>
      <x:c r="V367" s="99"/>
      <x:c r="W367" s="99"/>
      <x:c r="X367" s="99"/>
      <x:c r="Y367" s="99"/>
      <x:c r="Z367" s="99"/>
    </x:row>
    <x:row r="368">
      <x:c r="A368" s="99"/>
      <x:c r="B368" s="99"/>
      <x:c r="C368" s="99"/>
      <x:c r="D368" s="99"/>
      <x:c r="E368" s="99"/>
      <x:c r="F368" s="99"/>
      <x:c r="G368" s="99"/>
      <x:c r="H368" s="99"/>
      <x:c r="I368" s="99"/>
      <x:c r="J368" s="99"/>
      <x:c r="K368" s="99"/>
      <x:c r="L368" s="99"/>
      <x:c r="M368" s="99"/>
      <x:c r="N368" s="99"/>
      <x:c r="O368" s="99"/>
      <x:c r="P368" s="99"/>
      <x:c r="Q368" s="99"/>
      <x:c r="R368" s="99"/>
      <x:c r="S368" s="99"/>
      <x:c r="T368" s="99"/>
      <x:c r="U368" s="99"/>
      <x:c r="V368" s="99"/>
      <x:c r="W368" s="99"/>
      <x:c r="X368" s="99"/>
      <x:c r="Y368" s="99"/>
      <x:c r="Z368" s="99"/>
    </x:row>
    <x:row r="369">
      <x:c r="A369" s="99"/>
      <x:c r="B369" s="99"/>
      <x:c r="C369" s="99"/>
      <x:c r="D369" s="99"/>
      <x:c r="E369" s="99"/>
      <x:c r="F369" s="99"/>
      <x:c r="G369" s="99"/>
      <x:c r="H369" s="99"/>
      <x:c r="I369" s="99"/>
      <x:c r="J369" s="99"/>
      <x:c r="K369" s="99"/>
      <x:c r="L369" s="99"/>
      <x:c r="M369" s="99"/>
      <x:c r="N369" s="99"/>
      <x:c r="O369" s="99"/>
      <x:c r="P369" s="99"/>
      <x:c r="Q369" s="99"/>
      <x:c r="R369" s="99"/>
      <x:c r="S369" s="99"/>
      <x:c r="T369" s="99"/>
      <x:c r="U369" s="99"/>
      <x:c r="V369" s="99"/>
      <x:c r="W369" s="99"/>
      <x:c r="X369" s="99"/>
      <x:c r="Y369" s="99"/>
      <x:c r="Z369" s="99"/>
    </x:row>
    <x:row r="370">
      <x:c r="A370" s="99"/>
      <x:c r="B370" s="99"/>
      <x:c r="C370" s="99"/>
      <x:c r="D370" s="99"/>
      <x:c r="E370" s="99"/>
      <x:c r="F370" s="99"/>
      <x:c r="G370" s="99"/>
      <x:c r="H370" s="99"/>
      <x:c r="I370" s="99"/>
      <x:c r="J370" s="99"/>
      <x:c r="K370" s="99"/>
      <x:c r="L370" s="99"/>
      <x:c r="M370" s="99"/>
      <x:c r="N370" s="99"/>
      <x:c r="O370" s="99"/>
      <x:c r="P370" s="99"/>
      <x:c r="Q370" s="99"/>
      <x:c r="R370" s="99"/>
      <x:c r="S370" s="99"/>
      <x:c r="T370" s="99"/>
      <x:c r="U370" s="99"/>
      <x:c r="V370" s="99"/>
      <x:c r="W370" s="99"/>
      <x:c r="X370" s="99"/>
      <x:c r="Y370" s="99"/>
      <x:c r="Z370" s="99"/>
    </x:row>
    <x:row r="371">
      <x:c r="A371" s="99"/>
      <x:c r="B371" s="99"/>
      <x:c r="C371" s="99"/>
      <x:c r="D371" s="99"/>
      <x:c r="E371" s="99"/>
      <x:c r="F371" s="99"/>
      <x:c r="G371" s="99"/>
      <x:c r="H371" s="99"/>
      <x:c r="I371" s="99"/>
      <x:c r="J371" s="99"/>
      <x:c r="K371" s="99"/>
      <x:c r="L371" s="99"/>
      <x:c r="M371" s="99"/>
      <x:c r="N371" s="99"/>
      <x:c r="O371" s="99"/>
      <x:c r="P371" s="99"/>
      <x:c r="Q371" s="99"/>
      <x:c r="R371" s="99"/>
      <x:c r="S371" s="99"/>
      <x:c r="T371" s="99"/>
      <x:c r="U371" s="99"/>
      <x:c r="V371" s="99"/>
      <x:c r="W371" s="99"/>
      <x:c r="X371" s="99"/>
      <x:c r="Y371" s="99"/>
      <x:c r="Z371" s="99"/>
    </x:row>
    <x:row r="372">
      <x:c r="A372" s="99"/>
      <x:c r="B372" s="99"/>
      <x:c r="C372" s="99"/>
      <x:c r="D372" s="99"/>
      <x:c r="E372" s="99"/>
      <x:c r="F372" s="99"/>
      <x:c r="G372" s="99"/>
      <x:c r="H372" s="99"/>
      <x:c r="I372" s="99"/>
      <x:c r="J372" s="99"/>
      <x:c r="K372" s="99"/>
      <x:c r="L372" s="99"/>
      <x:c r="M372" s="99"/>
      <x:c r="N372" s="99"/>
      <x:c r="O372" s="99"/>
      <x:c r="P372" s="99"/>
      <x:c r="Q372" s="99"/>
      <x:c r="R372" s="99"/>
      <x:c r="S372" s="99"/>
      <x:c r="T372" s="99"/>
      <x:c r="U372" s="99"/>
      <x:c r="V372" s="99"/>
      <x:c r="W372" s="99"/>
      <x:c r="X372" s="99"/>
      <x:c r="Y372" s="99"/>
      <x:c r="Z372" s="99"/>
    </x:row>
    <x:row r="373">
      <x:c r="A373" s="99"/>
      <x:c r="B373" s="99"/>
      <x:c r="C373" s="99"/>
      <x:c r="D373" s="99"/>
      <x:c r="E373" s="99"/>
      <x:c r="F373" s="99"/>
      <x:c r="G373" s="99"/>
      <x:c r="H373" s="99"/>
      <x:c r="I373" s="99"/>
      <x:c r="J373" s="99"/>
      <x:c r="K373" s="99"/>
      <x:c r="L373" s="99"/>
      <x:c r="M373" s="99"/>
      <x:c r="N373" s="99"/>
      <x:c r="O373" s="99"/>
      <x:c r="P373" s="99"/>
      <x:c r="Q373" s="99"/>
      <x:c r="R373" s="99"/>
      <x:c r="S373" s="99"/>
      <x:c r="T373" s="99"/>
      <x:c r="U373" s="99"/>
      <x:c r="V373" s="99"/>
      <x:c r="W373" s="99"/>
      <x:c r="X373" s="99"/>
      <x:c r="Y373" s="99"/>
      <x:c r="Z373" s="99"/>
    </x:row>
    <x:row r="374">
      <x:c r="A374" s="99"/>
      <x:c r="B374" s="99"/>
      <x:c r="C374" s="99"/>
      <x:c r="D374" s="99"/>
      <x:c r="E374" s="99"/>
      <x:c r="F374" s="99"/>
      <x:c r="G374" s="99"/>
      <x:c r="H374" s="99"/>
      <x:c r="I374" s="99"/>
      <x:c r="J374" s="99"/>
      <x:c r="K374" s="99"/>
      <x:c r="L374" s="99"/>
      <x:c r="M374" s="99"/>
      <x:c r="N374" s="99"/>
      <x:c r="O374" s="99"/>
      <x:c r="P374" s="99"/>
      <x:c r="Q374" s="99"/>
      <x:c r="R374" s="99"/>
      <x:c r="S374" s="99"/>
      <x:c r="T374" s="99"/>
      <x:c r="U374" s="99"/>
      <x:c r="V374" s="99"/>
      <x:c r="W374" s="99"/>
      <x:c r="X374" s="99"/>
      <x:c r="Y374" s="99"/>
      <x:c r="Z374" s="99"/>
    </x:row>
    <x:row r="375">
      <x:c r="A375" s="99"/>
      <x:c r="B375" s="99"/>
      <x:c r="C375" s="99"/>
      <x:c r="D375" s="99"/>
      <x:c r="E375" s="99"/>
      <x:c r="F375" s="99"/>
      <x:c r="G375" s="99"/>
      <x:c r="H375" s="99"/>
      <x:c r="I375" s="99"/>
      <x:c r="J375" s="99"/>
      <x:c r="K375" s="99"/>
      <x:c r="L375" s="99"/>
      <x:c r="M375" s="99"/>
      <x:c r="N375" s="99"/>
      <x:c r="O375" s="99"/>
      <x:c r="P375" s="99"/>
      <x:c r="Q375" s="99"/>
      <x:c r="R375" s="99"/>
      <x:c r="S375" s="99"/>
      <x:c r="T375" s="99"/>
      <x:c r="U375" s="99"/>
      <x:c r="V375" s="99"/>
      <x:c r="W375" s="99"/>
      <x:c r="X375" s="99"/>
      <x:c r="Y375" s="99"/>
      <x:c r="Z375" s="99"/>
    </x:row>
    <x:row r="376">
      <x:c r="A376" s="99"/>
      <x:c r="B376" s="99"/>
      <x:c r="C376" s="99"/>
      <x:c r="D376" s="99"/>
      <x:c r="E376" s="99"/>
      <x:c r="F376" s="99"/>
      <x:c r="G376" s="99"/>
      <x:c r="H376" s="99"/>
      <x:c r="I376" s="99"/>
      <x:c r="J376" s="99"/>
      <x:c r="K376" s="99"/>
      <x:c r="L376" s="99"/>
      <x:c r="M376" s="99"/>
      <x:c r="N376" s="99"/>
      <x:c r="O376" s="99"/>
      <x:c r="P376" s="99"/>
      <x:c r="Q376" s="99"/>
      <x:c r="R376" s="99"/>
      <x:c r="S376" s="99"/>
      <x:c r="T376" s="99"/>
      <x:c r="U376" s="99"/>
      <x:c r="V376" s="99"/>
      <x:c r="W376" s="99"/>
      <x:c r="X376" s="99"/>
      <x:c r="Y376" s="99"/>
      <x:c r="Z376" s="99"/>
    </x:row>
    <x:row r="377">
      <x:c r="A377" s="99"/>
      <x:c r="B377" s="99"/>
      <x:c r="C377" s="99"/>
      <x:c r="D377" s="99"/>
      <x:c r="E377" s="99"/>
      <x:c r="F377" s="99"/>
      <x:c r="G377" s="99"/>
      <x:c r="H377" s="99"/>
      <x:c r="I377" s="99"/>
      <x:c r="J377" s="99"/>
      <x:c r="K377" s="99"/>
      <x:c r="L377" s="99"/>
      <x:c r="M377" s="99"/>
      <x:c r="N377" s="99"/>
      <x:c r="O377" s="99"/>
      <x:c r="P377" s="99"/>
      <x:c r="Q377" s="99"/>
      <x:c r="R377" s="99"/>
      <x:c r="S377" s="99"/>
      <x:c r="T377" s="99"/>
      <x:c r="U377" s="99"/>
      <x:c r="V377" s="99"/>
      <x:c r="W377" s="99"/>
      <x:c r="X377" s="99"/>
      <x:c r="Y377" s="99"/>
      <x:c r="Z377" s="99"/>
    </x:row>
    <x:row r="378">
      <x:c r="A378" s="99"/>
      <x:c r="B378" s="99"/>
      <x:c r="C378" s="99"/>
      <x:c r="D378" s="99"/>
      <x:c r="E378" s="99"/>
      <x:c r="F378" s="99"/>
      <x:c r="G378" s="99"/>
      <x:c r="H378" s="99"/>
      <x:c r="I378" s="99"/>
      <x:c r="J378" s="99"/>
      <x:c r="K378" s="99"/>
      <x:c r="L378" s="99"/>
      <x:c r="M378" s="99"/>
      <x:c r="N378" s="99"/>
      <x:c r="O378" s="99"/>
      <x:c r="P378" s="99"/>
      <x:c r="Q378" s="99"/>
      <x:c r="R378" s="99"/>
      <x:c r="S378" s="99"/>
      <x:c r="T378" s="99"/>
      <x:c r="U378" s="99"/>
      <x:c r="V378" s="99"/>
      <x:c r="W378" s="99"/>
      <x:c r="X378" s="99"/>
      <x:c r="Y378" s="99"/>
      <x:c r="Z378" s="99"/>
    </x:row>
    <x:row r="379">
      <x:c r="A379" s="99"/>
      <x:c r="B379" s="99"/>
      <x:c r="C379" s="99"/>
      <x:c r="D379" s="99"/>
      <x:c r="E379" s="99"/>
      <x:c r="F379" s="99"/>
      <x:c r="G379" s="99"/>
      <x:c r="H379" s="99"/>
      <x:c r="I379" s="99"/>
      <x:c r="J379" s="99"/>
      <x:c r="K379" s="99"/>
      <x:c r="L379" s="99"/>
      <x:c r="M379" s="99"/>
      <x:c r="N379" s="99"/>
      <x:c r="O379" s="99"/>
      <x:c r="P379" s="99"/>
      <x:c r="Q379" s="99"/>
      <x:c r="R379" s="99"/>
      <x:c r="S379" s="99"/>
      <x:c r="T379" s="99"/>
      <x:c r="U379" s="99"/>
      <x:c r="V379" s="99"/>
      <x:c r="W379" s="99"/>
      <x:c r="X379" s="99"/>
      <x:c r="Y379" s="99"/>
      <x:c r="Z379" s="99"/>
    </x:row>
    <x:row r="380">
      <x:c r="A380" s="99"/>
      <x:c r="B380" s="99"/>
      <x:c r="C380" s="99"/>
      <x:c r="D380" s="99"/>
      <x:c r="E380" s="99"/>
      <x:c r="F380" s="99"/>
      <x:c r="G380" s="99"/>
      <x:c r="H380" s="99"/>
      <x:c r="I380" s="99"/>
      <x:c r="J380" s="99"/>
      <x:c r="K380" s="99"/>
      <x:c r="L380" s="99"/>
      <x:c r="M380" s="99"/>
      <x:c r="N380" s="99"/>
      <x:c r="O380" s="99"/>
      <x:c r="P380" s="99"/>
      <x:c r="Q380" s="99"/>
      <x:c r="R380" s="99"/>
      <x:c r="S380" s="99"/>
      <x:c r="T380" s="99"/>
      <x:c r="U380" s="99"/>
      <x:c r="V380" s="99"/>
      <x:c r="W380" s="99"/>
      <x:c r="X380" s="99"/>
      <x:c r="Y380" s="99"/>
      <x:c r="Z380" s="99"/>
    </x:row>
    <x:row r="381">
      <x:c r="A381" s="99"/>
      <x:c r="B381" s="99"/>
      <x:c r="C381" s="99"/>
      <x:c r="D381" s="99"/>
      <x:c r="E381" s="99"/>
      <x:c r="F381" s="99"/>
      <x:c r="G381" s="99"/>
      <x:c r="H381" s="99"/>
      <x:c r="I381" s="99"/>
      <x:c r="J381" s="99"/>
      <x:c r="K381" s="99"/>
      <x:c r="L381" s="99"/>
      <x:c r="M381" s="99"/>
      <x:c r="N381" s="99"/>
      <x:c r="O381" s="99"/>
      <x:c r="P381" s="99"/>
      <x:c r="Q381" s="99"/>
      <x:c r="R381" s="99"/>
      <x:c r="S381" s="99"/>
      <x:c r="T381" s="99"/>
      <x:c r="U381" s="99"/>
      <x:c r="V381" s="99"/>
      <x:c r="W381" s="99"/>
      <x:c r="X381" s="99"/>
      <x:c r="Y381" s="99"/>
      <x:c r="Z381" s="99"/>
    </x:row>
    <x:row r="382">
      <x:c r="A382" s="99"/>
      <x:c r="B382" s="99"/>
      <x:c r="C382" s="99"/>
      <x:c r="D382" s="99"/>
      <x:c r="E382" s="99"/>
      <x:c r="F382" s="99"/>
      <x:c r="G382" s="99"/>
      <x:c r="H382" s="99"/>
      <x:c r="I382" s="99"/>
      <x:c r="J382" s="99"/>
      <x:c r="K382" s="99"/>
      <x:c r="L382" s="99"/>
      <x:c r="M382" s="99"/>
      <x:c r="N382" s="99"/>
      <x:c r="O382" s="99"/>
      <x:c r="P382" s="99"/>
      <x:c r="Q382" s="99"/>
      <x:c r="R382" s="99"/>
      <x:c r="S382" s="99"/>
      <x:c r="T382" s="99"/>
      <x:c r="U382" s="99"/>
      <x:c r="V382" s="99"/>
      <x:c r="W382" s="99"/>
      <x:c r="X382" s="99"/>
      <x:c r="Y382" s="99"/>
      <x:c r="Z382" s="99"/>
    </x:row>
    <x:row r="383">
      <x:c r="A383" s="99"/>
      <x:c r="B383" s="99"/>
      <x:c r="C383" s="99"/>
      <x:c r="D383" s="99"/>
      <x:c r="E383" s="99"/>
      <x:c r="F383" s="99"/>
      <x:c r="G383" s="99"/>
      <x:c r="H383" s="99"/>
      <x:c r="I383" s="99"/>
      <x:c r="J383" s="99"/>
      <x:c r="K383" s="99"/>
      <x:c r="L383" s="99"/>
      <x:c r="M383" s="99"/>
      <x:c r="N383" s="99"/>
      <x:c r="O383" s="99"/>
      <x:c r="P383" s="99"/>
      <x:c r="Q383" s="99"/>
      <x:c r="R383" s="99"/>
      <x:c r="S383" s="99"/>
      <x:c r="T383" s="99"/>
      <x:c r="U383" s="99"/>
      <x:c r="V383" s="99"/>
      <x:c r="W383" s="99"/>
      <x:c r="X383" s="99"/>
      <x:c r="Y383" s="99"/>
      <x:c r="Z383" s="99"/>
    </x:row>
    <x:row r="384">
      <x:c r="A384" s="99"/>
      <x:c r="B384" s="99"/>
      <x:c r="C384" s="99"/>
      <x:c r="D384" s="99"/>
      <x:c r="E384" s="99"/>
      <x:c r="F384" s="99"/>
      <x:c r="G384" s="99"/>
      <x:c r="H384" s="99"/>
      <x:c r="I384" s="99"/>
      <x:c r="J384" s="99"/>
      <x:c r="K384" s="99"/>
      <x:c r="L384" s="99"/>
      <x:c r="M384" s="99"/>
      <x:c r="N384" s="99"/>
      <x:c r="O384" s="99"/>
      <x:c r="P384" s="99"/>
      <x:c r="Q384" s="99"/>
      <x:c r="R384" s="99"/>
      <x:c r="S384" s="99"/>
      <x:c r="T384" s="99"/>
      <x:c r="U384" s="99"/>
      <x:c r="V384" s="99"/>
      <x:c r="W384" s="99"/>
      <x:c r="X384" s="99"/>
      <x:c r="Y384" s="99"/>
      <x:c r="Z384" s="99"/>
    </x:row>
    <x:row r="385">
      <x:c r="A385" s="99"/>
      <x:c r="B385" s="99"/>
      <x:c r="C385" s="99"/>
      <x:c r="D385" s="99"/>
      <x:c r="E385" s="99"/>
      <x:c r="F385" s="99"/>
      <x:c r="G385" s="99"/>
      <x:c r="H385" s="99"/>
      <x:c r="I385" s="99"/>
      <x:c r="J385" s="99"/>
      <x:c r="K385" s="99"/>
      <x:c r="L385" s="99"/>
      <x:c r="M385" s="99"/>
      <x:c r="N385" s="99"/>
      <x:c r="O385" s="99"/>
      <x:c r="P385" s="99"/>
      <x:c r="Q385" s="99"/>
      <x:c r="R385" s="99"/>
      <x:c r="S385" s="99"/>
      <x:c r="T385" s="99"/>
      <x:c r="U385" s="99"/>
      <x:c r="V385" s="99"/>
      <x:c r="W385" s="99"/>
      <x:c r="X385" s="99"/>
      <x:c r="Y385" s="99"/>
      <x:c r="Z385" s="99"/>
    </x:row>
    <x:row r="386">
      <x:c r="A386" s="99"/>
      <x:c r="B386" s="99"/>
      <x:c r="C386" s="99"/>
      <x:c r="D386" s="99"/>
      <x:c r="E386" s="99"/>
      <x:c r="F386" s="99"/>
      <x:c r="G386" s="99"/>
      <x:c r="H386" s="99"/>
      <x:c r="I386" s="99"/>
      <x:c r="J386" s="99"/>
      <x:c r="K386" s="99"/>
      <x:c r="L386" s="99"/>
      <x:c r="M386" s="99"/>
      <x:c r="N386" s="99"/>
      <x:c r="O386" s="99"/>
      <x:c r="P386" s="99"/>
      <x:c r="Q386" s="99"/>
      <x:c r="R386" s="99"/>
      <x:c r="S386" s="99"/>
      <x:c r="T386" s="99"/>
      <x:c r="U386" s="99"/>
      <x:c r="V386" s="99"/>
      <x:c r="W386" s="99"/>
      <x:c r="X386" s="99"/>
      <x:c r="Y386" s="99"/>
      <x:c r="Z386" s="99"/>
    </x:row>
    <x:row r="387">
      <x:c r="A387" s="99"/>
      <x:c r="B387" s="99"/>
      <x:c r="C387" s="99"/>
      <x:c r="D387" s="99"/>
      <x:c r="E387" s="99"/>
      <x:c r="F387" s="99"/>
      <x:c r="G387" s="99"/>
      <x:c r="H387" s="99"/>
      <x:c r="I387" s="99"/>
      <x:c r="J387" s="99"/>
      <x:c r="K387" s="99"/>
      <x:c r="L387" s="99"/>
      <x:c r="M387" s="99"/>
      <x:c r="N387" s="99"/>
      <x:c r="O387" s="99"/>
      <x:c r="P387" s="99"/>
      <x:c r="Q387" s="99"/>
      <x:c r="R387" s="99"/>
      <x:c r="S387" s="99"/>
      <x:c r="T387" s="99"/>
      <x:c r="U387" s="99"/>
      <x:c r="V387" s="99"/>
      <x:c r="W387" s="99"/>
      <x:c r="X387" s="99"/>
      <x:c r="Y387" s="99"/>
      <x:c r="Z387" s="99"/>
    </x:row>
    <x:row r="388">
      <x:c r="A388" s="99"/>
      <x:c r="B388" s="99"/>
      <x:c r="C388" s="99"/>
      <x:c r="D388" s="99"/>
      <x:c r="E388" s="99"/>
      <x:c r="F388" s="99"/>
      <x:c r="G388" s="99"/>
      <x:c r="H388" s="99"/>
      <x:c r="I388" s="99"/>
      <x:c r="J388" s="99"/>
      <x:c r="K388" s="99"/>
      <x:c r="L388" s="99"/>
      <x:c r="M388" s="99"/>
      <x:c r="N388" s="99"/>
      <x:c r="O388" s="99"/>
      <x:c r="P388" s="99"/>
      <x:c r="Q388" s="99"/>
      <x:c r="R388" s="99"/>
      <x:c r="S388" s="99"/>
      <x:c r="T388" s="99"/>
      <x:c r="U388" s="99"/>
      <x:c r="V388" s="99"/>
      <x:c r="W388" s="99"/>
      <x:c r="X388" s="99"/>
      <x:c r="Y388" s="99"/>
      <x:c r="Z388" s="99"/>
    </x:row>
    <x:row r="389">
      <x:c r="A389" s="99"/>
      <x:c r="B389" s="99"/>
      <x:c r="C389" s="99"/>
      <x:c r="D389" s="99"/>
      <x:c r="E389" s="99"/>
      <x:c r="F389" s="99"/>
      <x:c r="G389" s="99"/>
      <x:c r="H389" s="99"/>
      <x:c r="I389" s="99"/>
      <x:c r="J389" s="99"/>
      <x:c r="K389" s="99"/>
      <x:c r="L389" s="99"/>
      <x:c r="M389" s="99"/>
      <x:c r="N389" s="99"/>
      <x:c r="O389" s="99"/>
      <x:c r="P389" s="99"/>
      <x:c r="Q389" s="99"/>
      <x:c r="R389" s="99"/>
      <x:c r="S389" s="99"/>
      <x:c r="T389" s="99"/>
      <x:c r="U389" s="99"/>
      <x:c r="V389" s="99"/>
      <x:c r="W389" s="99"/>
      <x:c r="X389" s="99"/>
      <x:c r="Y389" s="99"/>
      <x:c r="Z389" s="99"/>
    </x:row>
    <x:row r="390">
      <x:c r="A390" s="99"/>
      <x:c r="B390" s="99"/>
      <x:c r="C390" s="99"/>
      <x:c r="D390" s="99"/>
      <x:c r="E390" s="99"/>
      <x:c r="F390" s="99"/>
      <x:c r="G390" s="99"/>
      <x:c r="H390" s="99"/>
      <x:c r="I390" s="99"/>
      <x:c r="J390" s="99"/>
      <x:c r="K390" s="99"/>
      <x:c r="L390" s="99"/>
      <x:c r="M390" s="99"/>
      <x:c r="N390" s="99"/>
      <x:c r="O390" s="99"/>
      <x:c r="P390" s="99"/>
      <x:c r="Q390" s="99"/>
      <x:c r="R390" s="99"/>
      <x:c r="S390" s="99"/>
      <x:c r="T390" s="99"/>
      <x:c r="U390" s="99"/>
      <x:c r="V390" s="99"/>
      <x:c r="W390" s="99"/>
      <x:c r="X390" s="99"/>
      <x:c r="Y390" s="99"/>
      <x:c r="Z390" s="99"/>
    </x:row>
    <x:row r="391">
      <x:c r="A391" s="99"/>
      <x:c r="B391" s="99"/>
      <x:c r="C391" s="99"/>
      <x:c r="D391" s="99"/>
      <x:c r="E391" s="99"/>
      <x:c r="F391" s="99"/>
      <x:c r="G391" s="99"/>
      <x:c r="H391" s="99"/>
      <x:c r="I391" s="99"/>
      <x:c r="J391" s="99"/>
      <x:c r="K391" s="99"/>
      <x:c r="L391" s="99"/>
      <x:c r="M391" s="99"/>
      <x:c r="N391" s="99"/>
      <x:c r="O391" s="99"/>
      <x:c r="P391" s="99"/>
      <x:c r="Q391" s="99"/>
      <x:c r="R391" s="99"/>
      <x:c r="S391" s="99"/>
      <x:c r="T391" s="99"/>
      <x:c r="U391" s="99"/>
      <x:c r="V391" s="99"/>
      <x:c r="W391" s="99"/>
      <x:c r="X391" s="99"/>
      <x:c r="Y391" s="99"/>
      <x:c r="Z391" s="99"/>
    </x:row>
    <x:row r="392">
      <x:c r="A392" s="99"/>
      <x:c r="B392" s="99"/>
      <x:c r="C392" s="99"/>
      <x:c r="D392" s="99"/>
      <x:c r="E392" s="99"/>
      <x:c r="F392" s="99"/>
      <x:c r="G392" s="99"/>
      <x:c r="H392" s="99"/>
      <x:c r="I392" s="99"/>
      <x:c r="J392" s="99"/>
      <x:c r="K392" s="99"/>
      <x:c r="L392" s="99"/>
      <x:c r="M392" s="99"/>
      <x:c r="N392" s="99"/>
      <x:c r="O392" s="99"/>
      <x:c r="P392" s="99"/>
      <x:c r="Q392" s="99"/>
      <x:c r="R392" s="99"/>
      <x:c r="S392" s="99"/>
      <x:c r="T392" s="99"/>
      <x:c r="U392" s="99"/>
      <x:c r="V392" s="99"/>
      <x:c r="W392" s="99"/>
      <x:c r="X392" s="99"/>
      <x:c r="Y392" s="99"/>
      <x:c r="Z392" s="99"/>
    </x:row>
    <x:row r="393">
      <x:c r="A393" s="99"/>
      <x:c r="B393" s="99"/>
      <x:c r="C393" s="99"/>
      <x:c r="D393" s="99"/>
      <x:c r="E393" s="99"/>
      <x:c r="F393" s="99"/>
      <x:c r="G393" s="99"/>
      <x:c r="H393" s="99"/>
      <x:c r="I393" s="99"/>
      <x:c r="J393" s="99"/>
      <x:c r="K393" s="99"/>
      <x:c r="L393" s="99"/>
      <x:c r="M393" s="99"/>
      <x:c r="N393" s="99"/>
      <x:c r="O393" s="99"/>
      <x:c r="P393" s="99"/>
      <x:c r="Q393" s="99"/>
      <x:c r="R393" s="99"/>
      <x:c r="S393" s="99"/>
      <x:c r="T393" s="99"/>
      <x:c r="U393" s="99"/>
      <x:c r="V393" s="99"/>
      <x:c r="W393" s="99"/>
      <x:c r="X393" s="99"/>
      <x:c r="Y393" s="99"/>
      <x:c r="Z393" s="99"/>
    </x:row>
    <x:row r="394">
      <x:c r="A394" s="99"/>
      <x:c r="B394" s="99"/>
      <x:c r="C394" s="99"/>
      <x:c r="D394" s="99"/>
      <x:c r="E394" s="99"/>
      <x:c r="F394" s="99"/>
      <x:c r="G394" s="99"/>
      <x:c r="H394" s="99"/>
      <x:c r="I394" s="99"/>
      <x:c r="J394" s="99"/>
      <x:c r="K394" s="99"/>
      <x:c r="L394" s="99"/>
      <x:c r="M394" s="99"/>
      <x:c r="N394" s="99"/>
      <x:c r="O394" s="99"/>
      <x:c r="P394" s="99"/>
      <x:c r="Q394" s="99"/>
      <x:c r="R394" s="99"/>
      <x:c r="S394" s="99"/>
      <x:c r="T394" s="99"/>
      <x:c r="U394" s="99"/>
      <x:c r="V394" s="99"/>
      <x:c r="W394" s="99"/>
      <x:c r="X394" s="99"/>
      <x:c r="Y394" s="99"/>
      <x:c r="Z394" s="99"/>
    </x:row>
    <x:row r="395">
      <x:c r="A395" s="99"/>
      <x:c r="B395" s="99"/>
      <x:c r="C395" s="99"/>
      <x:c r="D395" s="99"/>
      <x:c r="E395" s="99"/>
      <x:c r="F395" s="99"/>
      <x:c r="G395" s="99"/>
      <x:c r="H395" s="99"/>
      <x:c r="I395" s="99"/>
      <x:c r="J395" s="99"/>
      <x:c r="K395" s="99"/>
      <x:c r="L395" s="99"/>
      <x:c r="M395" s="99"/>
      <x:c r="N395" s="99"/>
      <x:c r="O395" s="99"/>
      <x:c r="P395" s="99"/>
      <x:c r="Q395" s="99"/>
      <x:c r="R395" s="99"/>
      <x:c r="S395" s="99"/>
      <x:c r="T395" s="99"/>
      <x:c r="U395" s="99"/>
      <x:c r="V395" s="99"/>
      <x:c r="W395" s="99"/>
      <x:c r="X395" s="99"/>
      <x:c r="Y395" s="99"/>
      <x:c r="Z395" s="99"/>
    </x:row>
    <x:row r="396">
      <x:c r="A396" s="99"/>
      <x:c r="B396" s="99"/>
      <x:c r="C396" s="99"/>
      <x:c r="D396" s="99"/>
      <x:c r="E396" s="99"/>
      <x:c r="F396" s="99"/>
      <x:c r="G396" s="99"/>
      <x:c r="H396" s="99"/>
      <x:c r="I396" s="99"/>
      <x:c r="J396" s="99"/>
      <x:c r="K396" s="99"/>
      <x:c r="L396" s="99"/>
      <x:c r="M396" s="99"/>
      <x:c r="N396" s="99"/>
      <x:c r="O396" s="99"/>
      <x:c r="P396" s="99"/>
      <x:c r="Q396" s="99"/>
      <x:c r="R396" s="99"/>
      <x:c r="S396" s="99"/>
      <x:c r="T396" s="99"/>
      <x:c r="U396" s="99"/>
      <x:c r="V396" s="99"/>
      <x:c r="W396" s="99"/>
      <x:c r="X396" s="99"/>
      <x:c r="Y396" s="99"/>
      <x:c r="Z396" s="99"/>
    </x:row>
    <x:row r="397">
      <x:c r="A397" s="99"/>
      <x:c r="B397" s="99"/>
      <x:c r="C397" s="99"/>
      <x:c r="D397" s="99"/>
      <x:c r="E397" s="99"/>
      <x:c r="F397" s="99"/>
      <x:c r="G397" s="99"/>
      <x:c r="H397" s="99"/>
      <x:c r="I397" s="99"/>
      <x:c r="J397" s="99"/>
      <x:c r="K397" s="99"/>
      <x:c r="L397" s="99"/>
      <x:c r="M397" s="99"/>
      <x:c r="N397" s="99"/>
      <x:c r="O397" s="99"/>
      <x:c r="P397" s="99"/>
      <x:c r="Q397" s="99"/>
      <x:c r="R397" s="99"/>
      <x:c r="S397" s="99"/>
      <x:c r="T397" s="99"/>
      <x:c r="U397" s="99"/>
      <x:c r="V397" s="99"/>
      <x:c r="W397" s="99"/>
      <x:c r="X397" s="99"/>
      <x:c r="Y397" s="99"/>
      <x:c r="Z397" s="99"/>
    </x:row>
    <x:row r="398">
      <x:c r="A398" s="99"/>
      <x:c r="B398" s="99"/>
      <x:c r="C398" s="99"/>
      <x:c r="D398" s="99"/>
      <x:c r="E398" s="99"/>
      <x:c r="F398" s="99"/>
      <x:c r="G398" s="99"/>
      <x:c r="H398" s="99"/>
      <x:c r="I398" s="99"/>
      <x:c r="J398" s="99"/>
      <x:c r="K398" s="99"/>
      <x:c r="L398" s="99"/>
      <x:c r="M398" s="99"/>
      <x:c r="N398" s="99"/>
      <x:c r="O398" s="99"/>
      <x:c r="P398" s="99"/>
      <x:c r="Q398" s="99"/>
      <x:c r="R398" s="99"/>
      <x:c r="S398" s="99"/>
      <x:c r="T398" s="99"/>
      <x:c r="U398" s="99"/>
      <x:c r="V398" s="99"/>
      <x:c r="W398" s="99"/>
      <x:c r="X398" s="99"/>
      <x:c r="Y398" s="99"/>
      <x:c r="Z398" s="99"/>
    </x:row>
    <x:row r="399">
      <x:c r="A399" s="99"/>
      <x:c r="B399" s="99"/>
      <x:c r="C399" s="99"/>
      <x:c r="D399" s="99"/>
      <x:c r="E399" s="99"/>
      <x:c r="F399" s="99"/>
      <x:c r="G399" s="99"/>
      <x:c r="H399" s="99"/>
      <x:c r="I399" s="99"/>
      <x:c r="J399" s="99"/>
      <x:c r="K399" s="99"/>
      <x:c r="L399" s="99"/>
      <x:c r="M399" s="99"/>
      <x:c r="N399" s="99"/>
      <x:c r="O399" s="99"/>
      <x:c r="P399" s="99"/>
      <x:c r="Q399" s="99"/>
      <x:c r="R399" s="99"/>
      <x:c r="S399" s="99"/>
      <x:c r="T399" s="99"/>
      <x:c r="U399" s="99"/>
      <x:c r="V399" s="99"/>
      <x:c r="W399" s="99"/>
      <x:c r="X399" s="99"/>
      <x:c r="Y399" s="99"/>
      <x:c r="Z399" s="99"/>
    </x:row>
    <x:row r="400">
      <x:c r="A400" s="99"/>
      <x:c r="B400" s="99"/>
      <x:c r="C400" s="99"/>
      <x:c r="D400" s="99"/>
      <x:c r="E400" s="99"/>
      <x:c r="F400" s="99"/>
      <x:c r="G400" s="99"/>
      <x:c r="H400" s="99"/>
      <x:c r="I400" s="99"/>
      <x:c r="J400" s="99"/>
      <x:c r="K400" s="99"/>
      <x:c r="L400" s="99"/>
      <x:c r="M400" s="99"/>
      <x:c r="N400" s="99"/>
      <x:c r="O400" s="99"/>
      <x:c r="P400" s="99"/>
      <x:c r="Q400" s="99"/>
      <x:c r="R400" s="99"/>
      <x:c r="S400" s="99"/>
      <x:c r="T400" s="99"/>
      <x:c r="U400" s="99"/>
      <x:c r="V400" s="99"/>
      <x:c r="W400" s="99"/>
      <x:c r="X400" s="99"/>
      <x:c r="Y400" s="99"/>
      <x:c r="Z400" s="99"/>
    </x:row>
    <x:row r="401">
      <x:c r="A401" s="99"/>
      <x:c r="B401" s="99"/>
      <x:c r="C401" s="99"/>
      <x:c r="D401" s="99"/>
      <x:c r="E401" s="99"/>
      <x:c r="F401" s="99"/>
      <x:c r="G401" s="99"/>
      <x:c r="H401" s="99"/>
      <x:c r="I401" s="99"/>
      <x:c r="J401" s="99"/>
      <x:c r="K401" s="99"/>
      <x:c r="L401" s="99"/>
      <x:c r="M401" s="99"/>
      <x:c r="N401" s="99"/>
      <x:c r="O401" s="99"/>
      <x:c r="P401" s="99"/>
      <x:c r="Q401" s="99"/>
      <x:c r="R401" s="99"/>
      <x:c r="S401" s="99"/>
      <x:c r="T401" s="99"/>
      <x:c r="U401" s="99"/>
      <x:c r="V401" s="99"/>
      <x:c r="W401" s="99"/>
      <x:c r="X401" s="99"/>
      <x:c r="Y401" s="99"/>
      <x:c r="Z401" s="99"/>
    </x:row>
    <x:row r="402">
      <x:c r="A402" s="99"/>
      <x:c r="B402" s="99"/>
      <x:c r="C402" s="99"/>
      <x:c r="D402" s="99"/>
      <x:c r="E402" s="99"/>
      <x:c r="F402" s="99"/>
      <x:c r="G402" s="99"/>
      <x:c r="H402" s="99"/>
      <x:c r="I402" s="99"/>
      <x:c r="J402" s="99"/>
      <x:c r="K402" s="99"/>
      <x:c r="L402" s="99"/>
      <x:c r="M402" s="99"/>
      <x:c r="N402" s="99"/>
      <x:c r="O402" s="99"/>
      <x:c r="P402" s="99"/>
      <x:c r="Q402" s="99"/>
      <x:c r="R402" s="99"/>
      <x:c r="S402" s="99"/>
      <x:c r="T402" s="99"/>
      <x:c r="U402" s="99"/>
      <x:c r="V402" s="99"/>
      <x:c r="W402" s="99"/>
      <x:c r="X402" s="99"/>
      <x:c r="Y402" s="99"/>
      <x:c r="Z402" s="99"/>
    </x:row>
    <x:row r="403">
      <x:c r="A403" s="99"/>
      <x:c r="B403" s="99"/>
      <x:c r="C403" s="99"/>
      <x:c r="D403" s="99"/>
      <x:c r="E403" s="99"/>
      <x:c r="F403" s="99"/>
      <x:c r="G403" s="99"/>
      <x:c r="H403" s="99"/>
      <x:c r="I403" s="99"/>
      <x:c r="J403" s="99"/>
      <x:c r="K403" s="99"/>
      <x:c r="L403" s="99"/>
      <x:c r="M403" s="99"/>
      <x:c r="N403" s="99"/>
      <x:c r="O403" s="99"/>
      <x:c r="P403" s="99"/>
      <x:c r="Q403" s="99"/>
      <x:c r="R403" s="99"/>
      <x:c r="S403" s="99"/>
      <x:c r="T403" s="99"/>
      <x:c r="U403" s="99"/>
      <x:c r="V403" s="99"/>
      <x:c r="W403" s="99"/>
      <x:c r="X403" s="99"/>
      <x:c r="Y403" s="99"/>
      <x:c r="Z403" s="99"/>
    </x:row>
    <x:row r="404">
      <x:c r="A404" s="99"/>
      <x:c r="B404" s="99"/>
      <x:c r="C404" s="99"/>
      <x:c r="D404" s="99"/>
      <x:c r="E404" s="99"/>
      <x:c r="F404" s="99"/>
      <x:c r="G404" s="99"/>
      <x:c r="H404" s="99"/>
      <x:c r="I404" s="99"/>
      <x:c r="J404" s="99"/>
      <x:c r="K404" s="99"/>
      <x:c r="L404" s="99"/>
      <x:c r="M404" s="99"/>
      <x:c r="N404" s="99"/>
      <x:c r="O404" s="99"/>
      <x:c r="P404" s="99"/>
      <x:c r="Q404" s="99"/>
      <x:c r="R404" s="99"/>
      <x:c r="S404" s="99"/>
      <x:c r="T404" s="99"/>
      <x:c r="U404" s="99"/>
      <x:c r="V404" s="99"/>
      <x:c r="W404" s="99"/>
      <x:c r="X404" s="99"/>
      <x:c r="Y404" s="99"/>
      <x:c r="Z404" s="99"/>
    </x:row>
    <x:row r="405">
      <x:c r="A405" s="99"/>
      <x:c r="B405" s="99"/>
      <x:c r="C405" s="99"/>
      <x:c r="D405" s="99"/>
      <x:c r="E405" s="99"/>
      <x:c r="F405" s="99"/>
      <x:c r="G405" s="99"/>
      <x:c r="H405" s="99"/>
      <x:c r="I405" s="99"/>
      <x:c r="J405" s="99"/>
      <x:c r="K405" s="99"/>
      <x:c r="L405" s="99"/>
      <x:c r="M405" s="99"/>
      <x:c r="N405" s="99"/>
      <x:c r="O405" s="99"/>
      <x:c r="P405" s="99"/>
      <x:c r="Q405" s="99"/>
      <x:c r="R405" s="99"/>
      <x:c r="S405" s="99"/>
      <x:c r="T405" s="99"/>
      <x:c r="U405" s="99"/>
      <x:c r="V405" s="99"/>
      <x:c r="W405" s="99"/>
      <x:c r="X405" s="99"/>
      <x:c r="Y405" s="99"/>
      <x:c r="Z405" s="99"/>
    </x:row>
    <x:row r="406">
      <x:c r="A406" s="99"/>
      <x:c r="B406" s="99"/>
      <x:c r="C406" s="99"/>
      <x:c r="D406" s="99"/>
      <x:c r="E406" s="99"/>
      <x:c r="F406" s="99"/>
      <x:c r="G406" s="99"/>
      <x:c r="H406" s="99"/>
      <x:c r="I406" s="99"/>
      <x:c r="J406" s="99"/>
      <x:c r="K406" s="99"/>
      <x:c r="L406" s="99"/>
      <x:c r="M406" s="99"/>
      <x:c r="N406" s="99"/>
      <x:c r="O406" s="99"/>
      <x:c r="P406" s="99"/>
      <x:c r="Q406" s="99"/>
      <x:c r="R406" s="99"/>
      <x:c r="S406" s="99"/>
      <x:c r="T406" s="99"/>
      <x:c r="U406" s="99"/>
      <x:c r="V406" s="99"/>
      <x:c r="W406" s="99"/>
      <x:c r="X406" s="99"/>
      <x:c r="Y406" s="99"/>
      <x:c r="Z406" s="99"/>
    </x:row>
    <x:row r="407">
      <x:c r="A407" s="99"/>
      <x:c r="B407" s="99"/>
      <x:c r="C407" s="99"/>
      <x:c r="D407" s="99"/>
      <x:c r="E407" s="99"/>
      <x:c r="F407" s="99"/>
      <x:c r="G407" s="99"/>
      <x:c r="H407" s="99"/>
      <x:c r="I407" s="99"/>
      <x:c r="J407" s="99"/>
      <x:c r="K407" s="99"/>
      <x:c r="L407" s="99"/>
      <x:c r="M407" s="99"/>
      <x:c r="N407" s="99"/>
      <x:c r="O407" s="99"/>
      <x:c r="P407" s="99"/>
      <x:c r="Q407" s="99"/>
      <x:c r="R407" s="99"/>
      <x:c r="S407" s="99"/>
      <x:c r="T407" s="99"/>
      <x:c r="U407" s="99"/>
      <x:c r="V407" s="99"/>
      <x:c r="W407" s="99"/>
      <x:c r="X407" s="99"/>
      <x:c r="Y407" s="99"/>
      <x:c r="Z407" s="99"/>
    </x:row>
    <x:row r="408">
      <x:c r="A408" s="99"/>
      <x:c r="B408" s="99"/>
      <x:c r="C408" s="99"/>
      <x:c r="D408" s="99"/>
      <x:c r="E408" s="99"/>
      <x:c r="F408" s="99"/>
      <x:c r="G408" s="99"/>
      <x:c r="H408" s="99"/>
      <x:c r="I408" s="99"/>
      <x:c r="J408" s="99"/>
      <x:c r="K408" s="99"/>
      <x:c r="L408" s="99"/>
      <x:c r="M408" s="99"/>
      <x:c r="N408" s="99"/>
      <x:c r="O408" s="99"/>
      <x:c r="P408" s="99"/>
      <x:c r="Q408" s="99"/>
      <x:c r="R408" s="99"/>
      <x:c r="S408" s="99"/>
      <x:c r="T408" s="99"/>
      <x:c r="U408" s="99"/>
      <x:c r="V408" s="99"/>
      <x:c r="W408" s="99"/>
      <x:c r="X408" s="99"/>
      <x:c r="Y408" s="99"/>
      <x:c r="Z408" s="99"/>
    </x:row>
    <x:row r="409">
      <x:c r="A409" s="99"/>
      <x:c r="B409" s="99"/>
      <x:c r="C409" s="99"/>
      <x:c r="D409" s="99"/>
      <x:c r="E409" s="99"/>
      <x:c r="F409" s="99"/>
      <x:c r="G409" s="99"/>
      <x:c r="H409" s="99"/>
      <x:c r="I409" s="99"/>
      <x:c r="J409" s="99"/>
      <x:c r="K409" s="99"/>
      <x:c r="L409" s="99"/>
      <x:c r="M409" s="99"/>
      <x:c r="N409" s="99"/>
      <x:c r="O409" s="99"/>
      <x:c r="P409" s="99"/>
      <x:c r="Q409" s="99"/>
      <x:c r="R409" s="99"/>
      <x:c r="S409" s="99"/>
      <x:c r="T409" s="99"/>
      <x:c r="U409" s="99"/>
      <x:c r="V409" s="99"/>
      <x:c r="W409" s="99"/>
      <x:c r="X409" s="99"/>
      <x:c r="Y409" s="99"/>
      <x:c r="Z409" s="99"/>
    </x:row>
    <x:row r="410">
      <x:c r="A410" s="99"/>
      <x:c r="B410" s="99"/>
      <x:c r="C410" s="99"/>
      <x:c r="D410" s="99"/>
      <x:c r="E410" s="99"/>
      <x:c r="F410" s="99"/>
      <x:c r="G410" s="99"/>
      <x:c r="H410" s="99"/>
      <x:c r="I410" s="99"/>
      <x:c r="J410" s="99"/>
      <x:c r="K410" s="99"/>
      <x:c r="L410" s="99"/>
      <x:c r="M410" s="99"/>
      <x:c r="N410" s="99"/>
      <x:c r="O410" s="99"/>
      <x:c r="P410" s="99"/>
      <x:c r="Q410" s="99"/>
      <x:c r="R410" s="99"/>
      <x:c r="S410" s="99"/>
      <x:c r="T410" s="99"/>
      <x:c r="U410" s="99"/>
      <x:c r="V410" s="99"/>
      <x:c r="W410" s="99"/>
      <x:c r="X410" s="99"/>
      <x:c r="Y410" s="99"/>
      <x:c r="Z410" s="99"/>
    </x:row>
    <x:row r="411">
      <x:c r="A411" s="99"/>
      <x:c r="B411" s="99"/>
      <x:c r="C411" s="99"/>
      <x:c r="D411" s="99"/>
      <x:c r="E411" s="99"/>
      <x:c r="F411" s="99"/>
      <x:c r="G411" s="99"/>
      <x:c r="H411" s="99"/>
      <x:c r="I411" s="99"/>
      <x:c r="J411" s="99"/>
      <x:c r="K411" s="99"/>
      <x:c r="L411" s="99"/>
      <x:c r="M411" s="99"/>
      <x:c r="N411" s="99"/>
      <x:c r="O411" s="99"/>
      <x:c r="P411" s="99"/>
      <x:c r="Q411" s="99"/>
      <x:c r="R411" s="99"/>
      <x:c r="S411" s="99"/>
      <x:c r="T411" s="99"/>
      <x:c r="U411" s="99"/>
      <x:c r="V411" s="99"/>
      <x:c r="W411" s="99"/>
      <x:c r="X411" s="99"/>
      <x:c r="Y411" s="99"/>
      <x:c r="Z411" s="99"/>
    </x:row>
    <x:row r="412">
      <x:c r="A412" s="99"/>
      <x:c r="B412" s="99"/>
      <x:c r="C412" s="99"/>
      <x:c r="D412" s="99"/>
      <x:c r="E412" s="99"/>
      <x:c r="F412" s="99"/>
      <x:c r="G412" s="99"/>
      <x:c r="H412" s="99"/>
      <x:c r="I412" s="99"/>
      <x:c r="J412" s="99"/>
      <x:c r="K412" s="99"/>
      <x:c r="L412" s="99"/>
      <x:c r="M412" s="99"/>
      <x:c r="N412" s="99"/>
      <x:c r="O412" s="99"/>
      <x:c r="P412" s="99"/>
      <x:c r="Q412" s="99"/>
      <x:c r="R412" s="99"/>
      <x:c r="S412" s="99"/>
      <x:c r="T412" s="99"/>
      <x:c r="U412" s="99"/>
      <x:c r="V412" s="99"/>
      <x:c r="W412" s="99"/>
      <x:c r="X412" s="99"/>
      <x:c r="Y412" s="99"/>
      <x:c r="Z412" s="99"/>
    </x:row>
    <x:row r="413">
      <x:c r="A413" s="99"/>
      <x:c r="B413" s="99"/>
      <x:c r="C413" s="99"/>
      <x:c r="D413" s="99"/>
      <x:c r="E413" s="99"/>
      <x:c r="F413" s="99"/>
      <x:c r="G413" s="99"/>
      <x:c r="H413" s="99"/>
      <x:c r="I413" s="99"/>
      <x:c r="J413" s="99"/>
      <x:c r="K413" s="99"/>
      <x:c r="L413" s="99"/>
      <x:c r="M413" s="99"/>
      <x:c r="N413" s="99"/>
      <x:c r="O413" s="99"/>
      <x:c r="P413" s="99"/>
      <x:c r="Q413" s="99"/>
      <x:c r="R413" s="99"/>
      <x:c r="S413" s="99"/>
      <x:c r="T413" s="99"/>
      <x:c r="U413" s="99"/>
      <x:c r="V413" s="99"/>
      <x:c r="W413" s="99"/>
      <x:c r="X413" s="99"/>
      <x:c r="Y413" s="99"/>
      <x:c r="Z413" s="99"/>
    </x:row>
    <x:row r="414">
      <x:c r="A414" s="99"/>
      <x:c r="B414" s="99"/>
      <x:c r="C414" s="99"/>
      <x:c r="D414" s="99"/>
      <x:c r="E414" s="99"/>
      <x:c r="F414" s="99"/>
      <x:c r="G414" s="99"/>
      <x:c r="H414" s="99"/>
      <x:c r="I414" s="99"/>
      <x:c r="J414" s="99"/>
      <x:c r="K414" s="99"/>
      <x:c r="L414" s="99"/>
      <x:c r="M414" s="99"/>
      <x:c r="N414" s="99"/>
      <x:c r="O414" s="99"/>
      <x:c r="P414" s="99"/>
      <x:c r="Q414" s="99"/>
      <x:c r="R414" s="99"/>
      <x:c r="S414" s="99"/>
      <x:c r="T414" s="99"/>
      <x:c r="U414" s="99"/>
      <x:c r="V414" s="99"/>
      <x:c r="W414" s="99"/>
      <x:c r="X414" s="99"/>
      <x:c r="Y414" s="99"/>
      <x:c r="Z414" s="99"/>
    </x:row>
    <x:row r="415">
      <x:c r="A415" s="99"/>
      <x:c r="B415" s="99"/>
      <x:c r="C415" s="99"/>
      <x:c r="D415" s="99"/>
      <x:c r="E415" s="99"/>
      <x:c r="F415" s="99"/>
      <x:c r="G415" s="99"/>
      <x:c r="H415" s="99"/>
      <x:c r="I415" s="99"/>
      <x:c r="J415" s="99"/>
      <x:c r="K415" s="99"/>
      <x:c r="L415" s="99"/>
      <x:c r="M415" s="99"/>
      <x:c r="N415" s="99"/>
      <x:c r="O415" s="99"/>
      <x:c r="P415" s="99"/>
      <x:c r="Q415" s="99"/>
      <x:c r="R415" s="99"/>
      <x:c r="S415" s="99"/>
      <x:c r="T415" s="99"/>
      <x:c r="U415" s="99"/>
      <x:c r="V415" s="99"/>
      <x:c r="W415" s="99"/>
      <x:c r="X415" s="99"/>
      <x:c r="Y415" s="99"/>
      <x:c r="Z415" s="99"/>
    </x:row>
    <x:row r="416">
      <x:c r="A416" s="99"/>
      <x:c r="B416" s="99"/>
      <x:c r="C416" s="99"/>
      <x:c r="D416" s="99"/>
      <x:c r="E416" s="99"/>
      <x:c r="F416" s="99"/>
      <x:c r="G416" s="99"/>
      <x:c r="H416" s="99"/>
      <x:c r="I416" s="99"/>
      <x:c r="J416" s="99"/>
      <x:c r="K416" s="99"/>
      <x:c r="L416" s="99"/>
      <x:c r="M416" s="99"/>
      <x:c r="N416" s="99"/>
      <x:c r="O416" s="99"/>
      <x:c r="P416" s="99"/>
      <x:c r="Q416" s="99"/>
      <x:c r="R416" s="99"/>
      <x:c r="S416" s="99"/>
      <x:c r="T416" s="99"/>
      <x:c r="U416" s="99"/>
      <x:c r="V416" s="99"/>
      <x:c r="W416" s="99"/>
      <x:c r="X416" s="99"/>
      <x:c r="Y416" s="99"/>
      <x:c r="Z416" s="99"/>
    </x:row>
    <x:row r="417">
      <x:c r="A417" s="99"/>
      <x:c r="B417" s="99"/>
      <x:c r="C417" s="99"/>
      <x:c r="D417" s="99"/>
      <x:c r="E417" s="99"/>
      <x:c r="F417" s="99"/>
      <x:c r="G417" s="99"/>
      <x:c r="H417" s="99"/>
      <x:c r="I417" s="99"/>
      <x:c r="J417" s="99"/>
      <x:c r="K417" s="99"/>
      <x:c r="L417" s="99"/>
      <x:c r="M417" s="99"/>
      <x:c r="N417" s="99"/>
      <x:c r="O417" s="99"/>
      <x:c r="P417" s="99"/>
      <x:c r="Q417" s="99"/>
      <x:c r="R417" s="99"/>
      <x:c r="S417" s="99"/>
      <x:c r="T417" s="99"/>
      <x:c r="U417" s="99"/>
      <x:c r="V417" s="99"/>
      <x:c r="W417" s="99"/>
      <x:c r="X417" s="99"/>
      <x:c r="Y417" s="99"/>
      <x:c r="Z417" s="99"/>
    </x:row>
    <x:row r="418">
      <x:c r="A418" s="99"/>
      <x:c r="B418" s="99"/>
      <x:c r="C418" s="99"/>
      <x:c r="D418" s="99"/>
      <x:c r="E418" s="99"/>
      <x:c r="F418" s="99"/>
      <x:c r="G418" s="99"/>
      <x:c r="H418" s="99"/>
      <x:c r="I418" s="99"/>
      <x:c r="J418" s="99"/>
      <x:c r="K418" s="99"/>
      <x:c r="L418" s="99"/>
      <x:c r="M418" s="99"/>
      <x:c r="N418" s="99"/>
      <x:c r="O418" s="99"/>
      <x:c r="P418" s="99"/>
      <x:c r="Q418" s="99"/>
      <x:c r="R418" s="99"/>
      <x:c r="S418" s="99"/>
      <x:c r="T418" s="99"/>
      <x:c r="U418" s="99"/>
      <x:c r="V418" s="99"/>
      <x:c r="W418" s="99"/>
      <x:c r="X418" s="99"/>
      <x:c r="Y418" s="99"/>
      <x:c r="Z418" s="99"/>
    </x:row>
    <x:row r="419">
      <x:c r="A419" s="99"/>
      <x:c r="B419" s="99"/>
      <x:c r="C419" s="99"/>
      <x:c r="D419" s="99"/>
      <x:c r="E419" s="99"/>
      <x:c r="F419" s="99"/>
      <x:c r="G419" s="99"/>
      <x:c r="H419" s="99"/>
      <x:c r="I419" s="99"/>
      <x:c r="J419" s="99"/>
      <x:c r="K419" s="99"/>
      <x:c r="L419" s="99"/>
      <x:c r="M419" s="99"/>
      <x:c r="N419" s="99"/>
      <x:c r="O419" s="99"/>
      <x:c r="P419" s="99"/>
      <x:c r="Q419" s="99"/>
      <x:c r="R419" s="99"/>
      <x:c r="S419" s="99"/>
      <x:c r="T419" s="99"/>
      <x:c r="U419" s="99"/>
      <x:c r="V419" s="99"/>
      <x:c r="W419" s="99"/>
      <x:c r="X419" s="99"/>
      <x:c r="Y419" s="99"/>
      <x:c r="Z419" s="99"/>
    </x:row>
    <x:row r="420">
      <x:c r="A420" s="99"/>
      <x:c r="B420" s="99"/>
      <x:c r="C420" s="99"/>
      <x:c r="D420" s="99"/>
      <x:c r="E420" s="99"/>
      <x:c r="F420" s="99"/>
      <x:c r="G420" s="99"/>
      <x:c r="H420" s="99"/>
      <x:c r="I420" s="99"/>
      <x:c r="J420" s="99"/>
      <x:c r="K420" s="99"/>
      <x:c r="L420" s="99"/>
      <x:c r="M420" s="99"/>
      <x:c r="N420" s="99"/>
      <x:c r="O420" s="99"/>
      <x:c r="P420" s="99"/>
      <x:c r="Q420" s="99"/>
      <x:c r="R420" s="99"/>
      <x:c r="S420" s="99"/>
      <x:c r="T420" s="99"/>
      <x:c r="U420" s="99"/>
      <x:c r="V420" s="99"/>
      <x:c r="W420" s="99"/>
      <x:c r="X420" s="99"/>
      <x:c r="Y420" s="99"/>
      <x:c r="Z420" s="99"/>
    </x:row>
    <x:row r="421">
      <x:c r="A421" s="99"/>
      <x:c r="B421" s="99"/>
      <x:c r="C421" s="99"/>
      <x:c r="D421" s="99"/>
      <x:c r="E421" s="99"/>
      <x:c r="F421" s="99"/>
      <x:c r="G421" s="99"/>
      <x:c r="H421" s="99"/>
      <x:c r="I421" s="99"/>
      <x:c r="J421" s="99"/>
      <x:c r="K421" s="99"/>
      <x:c r="L421" s="99"/>
      <x:c r="M421" s="99"/>
      <x:c r="N421" s="99"/>
      <x:c r="O421" s="99"/>
      <x:c r="P421" s="99"/>
      <x:c r="Q421" s="99"/>
      <x:c r="R421" s="99"/>
      <x:c r="S421" s="99"/>
      <x:c r="T421" s="99"/>
      <x:c r="U421" s="99"/>
      <x:c r="V421" s="99"/>
      <x:c r="W421" s="99"/>
      <x:c r="X421" s="99"/>
      <x:c r="Y421" s="99"/>
      <x:c r="Z421" s="99"/>
    </x:row>
    <x:row r="422">
      <x:c r="A422" s="99"/>
      <x:c r="B422" s="99"/>
      <x:c r="C422" s="99"/>
      <x:c r="D422" s="99"/>
      <x:c r="E422" s="99"/>
      <x:c r="F422" s="99"/>
      <x:c r="G422" s="99"/>
      <x:c r="H422" s="99"/>
      <x:c r="I422" s="99"/>
      <x:c r="J422" s="99"/>
      <x:c r="K422" s="99"/>
      <x:c r="L422" s="99"/>
      <x:c r="M422" s="99"/>
      <x:c r="N422" s="99"/>
      <x:c r="O422" s="99"/>
      <x:c r="P422" s="99"/>
      <x:c r="Q422" s="99"/>
      <x:c r="R422" s="99"/>
      <x:c r="S422" s="99"/>
      <x:c r="T422" s="99"/>
      <x:c r="U422" s="99"/>
      <x:c r="V422" s="99"/>
      <x:c r="W422" s="99"/>
      <x:c r="X422" s="99"/>
      <x:c r="Y422" s="99"/>
      <x:c r="Z422" s="99"/>
    </x:row>
    <x:row r="423">
      <x:c r="A423" s="99"/>
      <x:c r="B423" s="99"/>
      <x:c r="C423" s="99"/>
      <x:c r="D423" s="99"/>
      <x:c r="E423" s="99"/>
      <x:c r="F423" s="99"/>
      <x:c r="G423" s="99"/>
      <x:c r="H423" s="99"/>
      <x:c r="I423" s="99"/>
      <x:c r="J423" s="99"/>
      <x:c r="K423" s="99"/>
      <x:c r="L423" s="99"/>
      <x:c r="M423" s="99"/>
      <x:c r="N423" s="99"/>
      <x:c r="O423" s="99"/>
      <x:c r="P423" s="99"/>
      <x:c r="Q423" s="99"/>
      <x:c r="R423" s="99"/>
      <x:c r="S423" s="99"/>
      <x:c r="T423" s="99"/>
      <x:c r="U423" s="99"/>
      <x:c r="V423" s="99"/>
      <x:c r="W423" s="99"/>
      <x:c r="X423" s="99"/>
      <x:c r="Y423" s="99"/>
      <x:c r="Z423" s="99"/>
    </x:row>
    <x:row r="424">
      <x:c r="A424" s="99"/>
      <x:c r="B424" s="99"/>
      <x:c r="C424" s="99"/>
      <x:c r="D424" s="99"/>
      <x:c r="E424" s="99"/>
      <x:c r="F424" s="99"/>
      <x:c r="G424" s="99"/>
      <x:c r="H424" s="99"/>
      <x:c r="I424" s="99"/>
      <x:c r="J424" s="99"/>
      <x:c r="K424" s="99"/>
      <x:c r="L424" s="99"/>
      <x:c r="M424" s="99"/>
      <x:c r="N424" s="99"/>
      <x:c r="O424" s="99"/>
      <x:c r="P424" s="99"/>
      <x:c r="Q424" s="99"/>
      <x:c r="R424" s="99"/>
      <x:c r="S424" s="99"/>
      <x:c r="T424" s="99"/>
      <x:c r="U424" s="99"/>
      <x:c r="V424" s="99"/>
      <x:c r="W424" s="99"/>
      <x:c r="X424" s="99"/>
      <x:c r="Y424" s="99"/>
      <x:c r="Z424" s="99"/>
    </x:row>
    <x:row r="425">
      <x:c r="A425" s="99"/>
      <x:c r="B425" s="99"/>
      <x:c r="C425" s="99"/>
      <x:c r="D425" s="99"/>
      <x:c r="E425" s="99"/>
      <x:c r="F425" s="99"/>
      <x:c r="G425" s="99"/>
      <x:c r="H425" s="99"/>
      <x:c r="I425" s="99"/>
      <x:c r="J425" s="99"/>
      <x:c r="K425" s="99"/>
      <x:c r="L425" s="99"/>
      <x:c r="M425" s="99"/>
      <x:c r="N425" s="99"/>
      <x:c r="O425" s="99"/>
      <x:c r="P425" s="99"/>
      <x:c r="Q425" s="99"/>
      <x:c r="R425" s="99"/>
      <x:c r="S425" s="99"/>
      <x:c r="T425" s="99"/>
      <x:c r="U425" s="99"/>
      <x:c r="V425" s="99"/>
      <x:c r="W425" s="99"/>
      <x:c r="X425" s="99"/>
      <x:c r="Y425" s="99"/>
      <x:c r="Z425" s="99"/>
    </x:row>
    <x:row r="426">
      <x:c r="A426" s="99"/>
      <x:c r="B426" s="99"/>
      <x:c r="C426" s="99"/>
      <x:c r="D426" s="99"/>
      <x:c r="E426" s="99"/>
      <x:c r="F426" s="99"/>
      <x:c r="G426" s="99"/>
      <x:c r="H426" s="99"/>
      <x:c r="I426" s="99"/>
      <x:c r="J426" s="99"/>
      <x:c r="K426" s="99"/>
      <x:c r="L426" s="99"/>
      <x:c r="M426" s="99"/>
      <x:c r="N426" s="99"/>
      <x:c r="O426" s="99"/>
      <x:c r="P426" s="99"/>
      <x:c r="Q426" s="99"/>
      <x:c r="R426" s="99"/>
      <x:c r="S426" s="99"/>
      <x:c r="T426" s="99"/>
      <x:c r="U426" s="99"/>
      <x:c r="V426" s="99"/>
      <x:c r="W426" s="99"/>
      <x:c r="X426" s="99"/>
      <x:c r="Y426" s="99"/>
      <x:c r="Z426" s="99"/>
    </x:row>
    <x:row r="427">
      <x:c r="A427" s="99"/>
      <x:c r="B427" s="99"/>
      <x:c r="C427" s="99"/>
      <x:c r="D427" s="99"/>
      <x:c r="E427" s="99"/>
      <x:c r="F427" s="99"/>
      <x:c r="G427" s="99"/>
      <x:c r="H427" s="99"/>
      <x:c r="I427" s="99"/>
      <x:c r="J427" s="99"/>
      <x:c r="K427" s="99"/>
      <x:c r="L427" s="99"/>
      <x:c r="M427" s="99"/>
      <x:c r="N427" s="99"/>
      <x:c r="O427" s="99"/>
      <x:c r="P427" s="99"/>
      <x:c r="Q427" s="99"/>
      <x:c r="R427" s="99"/>
      <x:c r="S427" s="99"/>
      <x:c r="T427" s="99"/>
      <x:c r="U427" s="99"/>
      <x:c r="V427" s="99"/>
      <x:c r="W427" s="99"/>
      <x:c r="X427" s="99"/>
      <x:c r="Y427" s="99"/>
      <x:c r="Z427" s="99"/>
    </x:row>
    <x:row r="428">
      <x:c r="A428" s="99"/>
      <x:c r="B428" s="99"/>
      <x:c r="C428" s="99"/>
      <x:c r="D428" s="99"/>
      <x:c r="E428" s="99"/>
      <x:c r="F428" s="99"/>
      <x:c r="G428" s="99"/>
      <x:c r="H428" s="99"/>
      <x:c r="I428" s="99"/>
      <x:c r="J428" s="99"/>
      <x:c r="K428" s="99"/>
      <x:c r="L428" s="99"/>
      <x:c r="M428" s="99"/>
      <x:c r="N428" s="99"/>
      <x:c r="O428" s="99"/>
      <x:c r="P428" s="99"/>
      <x:c r="Q428" s="99"/>
      <x:c r="R428" s="99"/>
      <x:c r="S428" s="99"/>
      <x:c r="T428" s="99"/>
      <x:c r="U428" s="99"/>
      <x:c r="V428" s="99"/>
      <x:c r="W428" s="99"/>
      <x:c r="X428" s="99"/>
      <x:c r="Y428" s="99"/>
      <x:c r="Z428" s="99"/>
    </x:row>
    <x:row r="429">
      <x:c r="A429" s="99"/>
      <x:c r="B429" s="99"/>
      <x:c r="C429" s="99"/>
      <x:c r="D429" s="99"/>
      <x:c r="E429" s="99"/>
      <x:c r="F429" s="99"/>
      <x:c r="G429" s="99"/>
      <x:c r="H429" s="99"/>
      <x:c r="I429" s="99"/>
      <x:c r="J429" s="99"/>
      <x:c r="K429" s="99"/>
      <x:c r="L429" s="99"/>
      <x:c r="M429" s="99"/>
      <x:c r="N429" s="99"/>
      <x:c r="O429" s="99"/>
      <x:c r="P429" s="99"/>
      <x:c r="Q429" s="99"/>
      <x:c r="R429" s="99"/>
      <x:c r="S429" s="99"/>
      <x:c r="T429" s="99"/>
      <x:c r="U429" s="99"/>
      <x:c r="V429" s="99"/>
      <x:c r="W429" s="99"/>
      <x:c r="X429" s="99"/>
      <x:c r="Y429" s="99"/>
      <x:c r="Z429" s="99"/>
    </x:row>
    <x:row r="430">
      <x:c r="A430" s="99"/>
      <x:c r="B430" s="99"/>
      <x:c r="C430" s="99"/>
      <x:c r="D430" s="99"/>
      <x:c r="E430" s="99"/>
      <x:c r="F430" s="99"/>
      <x:c r="G430" s="99"/>
      <x:c r="H430" s="99"/>
      <x:c r="I430" s="99"/>
      <x:c r="J430" s="99"/>
      <x:c r="K430" s="99"/>
      <x:c r="L430" s="99"/>
      <x:c r="M430" s="99"/>
      <x:c r="N430" s="99"/>
      <x:c r="O430" s="99"/>
      <x:c r="P430" s="99"/>
      <x:c r="Q430" s="99"/>
      <x:c r="R430" s="99"/>
      <x:c r="S430" s="99"/>
      <x:c r="T430" s="99"/>
      <x:c r="U430" s="99"/>
      <x:c r="V430" s="99"/>
      <x:c r="W430" s="99"/>
      <x:c r="X430" s="99"/>
      <x:c r="Y430" s="99"/>
      <x:c r="Z430" s="99"/>
    </x:row>
    <x:row r="431">
      <x:c r="A431" s="99"/>
      <x:c r="B431" s="99"/>
      <x:c r="C431" s="99"/>
      <x:c r="D431" s="99"/>
      <x:c r="E431" s="99"/>
      <x:c r="F431" s="99"/>
      <x:c r="G431" s="99"/>
      <x:c r="H431" s="99"/>
      <x:c r="I431" s="99"/>
      <x:c r="J431" s="99"/>
      <x:c r="K431" s="99"/>
      <x:c r="L431" s="99"/>
      <x:c r="M431" s="99"/>
      <x:c r="N431" s="99"/>
      <x:c r="O431" s="99"/>
      <x:c r="P431" s="99"/>
      <x:c r="Q431" s="99"/>
      <x:c r="R431" s="99"/>
      <x:c r="S431" s="99"/>
      <x:c r="T431" s="99"/>
      <x:c r="U431" s="99"/>
      <x:c r="V431" s="99"/>
      <x:c r="W431" s="99"/>
      <x:c r="X431" s="99"/>
      <x:c r="Y431" s="99"/>
      <x:c r="Z431" s="99"/>
    </x:row>
    <x:row r="432">
      <x:c r="A432" s="99"/>
      <x:c r="B432" s="99"/>
      <x:c r="C432" s="99"/>
      <x:c r="D432" s="99"/>
      <x:c r="E432" s="99"/>
      <x:c r="F432" s="99"/>
      <x:c r="G432" s="99"/>
      <x:c r="H432" s="99"/>
      <x:c r="I432" s="99"/>
      <x:c r="J432" s="99"/>
      <x:c r="K432" s="99"/>
      <x:c r="L432" s="99"/>
      <x:c r="M432" s="99"/>
      <x:c r="N432" s="99"/>
      <x:c r="O432" s="99"/>
      <x:c r="P432" s="99"/>
      <x:c r="Q432" s="99"/>
      <x:c r="R432" s="99"/>
      <x:c r="S432" s="99"/>
      <x:c r="T432" s="99"/>
      <x:c r="U432" s="99"/>
      <x:c r="V432" s="99"/>
      <x:c r="W432" s="99"/>
      <x:c r="X432" s="99"/>
      <x:c r="Y432" s="99"/>
      <x:c r="Z432" s="99"/>
    </x:row>
    <x:row r="433">
      <x:c r="A433" s="99"/>
      <x:c r="B433" s="99"/>
      <x:c r="C433" s="99"/>
      <x:c r="D433" s="99"/>
      <x:c r="E433" s="99"/>
      <x:c r="F433" s="99"/>
      <x:c r="G433" s="99"/>
      <x:c r="H433" s="99"/>
      <x:c r="I433" s="99"/>
      <x:c r="J433" s="99"/>
      <x:c r="K433" s="99"/>
      <x:c r="L433" s="99"/>
      <x:c r="M433" s="99"/>
      <x:c r="N433" s="99"/>
      <x:c r="O433" s="99"/>
      <x:c r="P433" s="99"/>
      <x:c r="Q433" s="99"/>
      <x:c r="R433" s="99"/>
      <x:c r="S433" s="99"/>
      <x:c r="T433" s="99"/>
      <x:c r="U433" s="99"/>
      <x:c r="V433" s="99"/>
      <x:c r="W433" s="99"/>
      <x:c r="X433" s="99"/>
      <x:c r="Y433" s="99"/>
      <x:c r="Z433" s="99"/>
    </x:row>
    <x:row r="434">
      <x:c r="A434" s="99"/>
      <x:c r="B434" s="99"/>
      <x:c r="C434" s="99"/>
      <x:c r="D434" s="99"/>
      <x:c r="E434" s="99"/>
      <x:c r="F434" s="99"/>
      <x:c r="G434" s="99"/>
      <x:c r="H434" s="99"/>
      <x:c r="I434" s="99"/>
      <x:c r="J434" s="99"/>
      <x:c r="K434" s="99"/>
      <x:c r="L434" s="99"/>
      <x:c r="M434" s="99"/>
      <x:c r="N434" s="99"/>
      <x:c r="O434" s="99"/>
      <x:c r="P434" s="99"/>
      <x:c r="Q434" s="99"/>
      <x:c r="R434" s="99"/>
      <x:c r="S434" s="99"/>
      <x:c r="T434" s="99"/>
      <x:c r="U434" s="99"/>
      <x:c r="V434" s="99"/>
      <x:c r="W434" s="99"/>
      <x:c r="X434" s="99"/>
      <x:c r="Y434" s="99"/>
      <x:c r="Z434" s="99"/>
    </x:row>
    <x:row r="435">
      <x:c r="A435" s="99"/>
      <x:c r="B435" s="99"/>
      <x:c r="C435" s="99"/>
      <x:c r="D435" s="99"/>
      <x:c r="E435" s="99"/>
      <x:c r="F435" s="99"/>
      <x:c r="G435" s="99"/>
      <x:c r="H435" s="99"/>
      <x:c r="I435" s="99"/>
      <x:c r="J435" s="99"/>
      <x:c r="K435" s="99"/>
      <x:c r="L435" s="99"/>
      <x:c r="M435" s="99"/>
      <x:c r="N435" s="99"/>
      <x:c r="O435" s="99"/>
      <x:c r="P435" s="99"/>
      <x:c r="Q435" s="99"/>
      <x:c r="R435" s="99"/>
      <x:c r="S435" s="99"/>
      <x:c r="T435" s="99"/>
      <x:c r="U435" s="99"/>
      <x:c r="V435" s="99"/>
      <x:c r="W435" s="99"/>
      <x:c r="X435" s="99"/>
      <x:c r="Y435" s="99"/>
      <x:c r="Z435" s="99"/>
    </x:row>
    <x:row r="436">
      <x:c r="A436" s="99"/>
      <x:c r="B436" s="99"/>
      <x:c r="C436" s="99"/>
      <x:c r="D436" s="99"/>
      <x:c r="E436" s="99"/>
      <x:c r="F436" s="99"/>
      <x:c r="G436" s="99"/>
      <x:c r="H436" s="99"/>
      <x:c r="I436" s="99"/>
      <x:c r="J436" s="99"/>
      <x:c r="K436" s="99"/>
      <x:c r="L436" s="99"/>
      <x:c r="M436" s="99"/>
      <x:c r="N436" s="99"/>
      <x:c r="O436" s="99"/>
      <x:c r="P436" s="99"/>
      <x:c r="Q436" s="99"/>
      <x:c r="R436" s="99"/>
      <x:c r="S436" s="99"/>
      <x:c r="T436" s="99"/>
      <x:c r="U436" s="99"/>
      <x:c r="V436" s="99"/>
      <x:c r="W436" s="99"/>
      <x:c r="X436" s="99"/>
      <x:c r="Y436" s="99"/>
      <x:c r="Z436" s="99"/>
    </x:row>
    <x:row r="437">
      <x:c r="A437" s="99"/>
      <x:c r="B437" s="99"/>
      <x:c r="C437" s="99"/>
      <x:c r="D437" s="99"/>
      <x:c r="E437" s="99"/>
      <x:c r="F437" s="99"/>
      <x:c r="G437" s="99"/>
      <x:c r="H437" s="99"/>
      <x:c r="I437" s="99"/>
      <x:c r="J437" s="99"/>
      <x:c r="K437" s="99"/>
      <x:c r="L437" s="99"/>
      <x:c r="M437" s="99"/>
      <x:c r="N437" s="99"/>
      <x:c r="O437" s="99"/>
      <x:c r="P437" s="99"/>
      <x:c r="Q437" s="99"/>
      <x:c r="R437" s="99"/>
      <x:c r="S437" s="99"/>
      <x:c r="T437" s="99"/>
      <x:c r="U437" s="99"/>
      <x:c r="V437" s="99"/>
      <x:c r="W437" s="99"/>
      <x:c r="X437" s="99"/>
      <x:c r="Y437" s="99"/>
      <x:c r="Z437" s="99"/>
    </x:row>
    <x:row r="438">
      <x:c r="A438" s="99"/>
      <x:c r="B438" s="99"/>
      <x:c r="C438" s="99"/>
      <x:c r="D438" s="99"/>
      <x:c r="E438" s="99"/>
      <x:c r="F438" s="99"/>
      <x:c r="G438" s="99"/>
      <x:c r="H438" s="99"/>
      <x:c r="I438" s="99"/>
      <x:c r="J438" s="99"/>
      <x:c r="K438" s="99"/>
      <x:c r="L438" s="99"/>
      <x:c r="M438" s="99"/>
      <x:c r="N438" s="99"/>
      <x:c r="O438" s="99"/>
      <x:c r="P438" s="99"/>
      <x:c r="Q438" s="99"/>
      <x:c r="R438" s="99"/>
      <x:c r="S438" s="99"/>
      <x:c r="T438" s="99"/>
      <x:c r="U438" s="99"/>
      <x:c r="V438" s="99"/>
      <x:c r="W438" s="99"/>
      <x:c r="X438" s="99"/>
      <x:c r="Y438" s="99"/>
      <x:c r="Z438" s="99"/>
    </x:row>
    <x:row r="439">
      <x:c r="A439" s="99"/>
      <x:c r="B439" s="99"/>
      <x:c r="C439" s="99"/>
      <x:c r="D439" s="99"/>
      <x:c r="E439" s="99"/>
      <x:c r="F439" s="99"/>
      <x:c r="G439" s="99"/>
      <x:c r="H439" s="99"/>
      <x:c r="I439" s="99"/>
      <x:c r="J439" s="99"/>
      <x:c r="K439" s="99"/>
      <x:c r="L439" s="99"/>
      <x:c r="M439" s="99"/>
      <x:c r="N439" s="99"/>
      <x:c r="O439" s="99"/>
      <x:c r="P439" s="99"/>
      <x:c r="Q439" s="99"/>
      <x:c r="R439" s="99"/>
      <x:c r="S439" s="99"/>
      <x:c r="T439" s="99"/>
      <x:c r="U439" s="99"/>
      <x:c r="V439" s="99"/>
      <x:c r="W439" s="99"/>
      <x:c r="X439" s="99"/>
      <x:c r="Y439" s="99"/>
      <x:c r="Z439" s="99"/>
    </x:row>
    <x:row r="440">
      <x:c r="A440" s="99"/>
      <x:c r="B440" s="99"/>
      <x:c r="C440" s="99"/>
      <x:c r="D440" s="99"/>
      <x:c r="E440" s="99"/>
      <x:c r="F440" s="99"/>
      <x:c r="G440" s="99"/>
      <x:c r="H440" s="99"/>
      <x:c r="I440" s="99"/>
      <x:c r="J440" s="99"/>
      <x:c r="K440" s="99"/>
      <x:c r="L440" s="99"/>
      <x:c r="M440" s="99"/>
      <x:c r="N440" s="99"/>
      <x:c r="O440" s="99"/>
      <x:c r="P440" s="99"/>
      <x:c r="Q440" s="99"/>
      <x:c r="R440" s="99"/>
      <x:c r="S440" s="99"/>
      <x:c r="T440" s="99"/>
      <x:c r="U440" s="99"/>
      <x:c r="V440" s="99"/>
      <x:c r="W440" s="99"/>
      <x:c r="X440" s="99"/>
      <x:c r="Y440" s="99"/>
      <x:c r="Z440" s="99"/>
    </x:row>
    <x:row r="441">
      <x:c r="A441" s="99"/>
      <x:c r="B441" s="99"/>
      <x:c r="C441" s="99"/>
      <x:c r="D441" s="99"/>
      <x:c r="E441" s="99"/>
      <x:c r="F441" s="99"/>
      <x:c r="G441" s="99"/>
      <x:c r="H441" s="99"/>
      <x:c r="I441" s="99"/>
      <x:c r="J441" s="99"/>
      <x:c r="K441" s="99"/>
      <x:c r="L441" s="99"/>
      <x:c r="M441" s="99"/>
      <x:c r="N441" s="99"/>
      <x:c r="O441" s="99"/>
      <x:c r="P441" s="99"/>
      <x:c r="Q441" s="99"/>
      <x:c r="R441" s="99"/>
      <x:c r="S441" s="99"/>
      <x:c r="T441" s="99"/>
      <x:c r="U441" s="99"/>
      <x:c r="V441" s="99"/>
      <x:c r="W441" s="99"/>
      <x:c r="X441" s="99"/>
      <x:c r="Y441" s="99"/>
      <x:c r="Z441" s="99"/>
    </x:row>
    <x:row r="442">
      <x:c r="A442" s="99"/>
      <x:c r="B442" s="99"/>
      <x:c r="C442" s="99"/>
      <x:c r="D442" s="99"/>
      <x:c r="E442" s="99"/>
      <x:c r="F442" s="99"/>
      <x:c r="G442" s="99"/>
      <x:c r="H442" s="99"/>
      <x:c r="I442" s="99"/>
      <x:c r="J442" s="99"/>
      <x:c r="K442" s="99"/>
      <x:c r="L442" s="99"/>
      <x:c r="M442" s="99"/>
      <x:c r="N442" s="99"/>
      <x:c r="O442" s="99"/>
      <x:c r="P442" s="99"/>
      <x:c r="Q442" s="99"/>
      <x:c r="R442" s="99"/>
      <x:c r="S442" s="99"/>
      <x:c r="T442" s="99"/>
      <x:c r="U442" s="99"/>
      <x:c r="V442" s="99"/>
      <x:c r="W442" s="99"/>
      <x:c r="X442" s="99"/>
      <x:c r="Y442" s="99"/>
      <x:c r="Z442" s="99"/>
    </x:row>
    <x:row r="443">
      <x:c r="A443" s="99"/>
      <x:c r="B443" s="99"/>
      <x:c r="C443" s="99"/>
      <x:c r="D443" s="99"/>
      <x:c r="E443" s="99"/>
      <x:c r="F443" s="99"/>
      <x:c r="G443" s="99"/>
      <x:c r="H443" s="99"/>
      <x:c r="I443" s="99"/>
      <x:c r="J443" s="99"/>
      <x:c r="K443" s="99"/>
      <x:c r="L443" s="99"/>
      <x:c r="M443" s="99"/>
      <x:c r="N443" s="99"/>
      <x:c r="O443" s="99"/>
      <x:c r="P443" s="99"/>
      <x:c r="Q443" s="99"/>
      <x:c r="R443" s="99"/>
      <x:c r="S443" s="99"/>
      <x:c r="T443" s="99"/>
      <x:c r="U443" s="99"/>
      <x:c r="V443" s="99"/>
      <x:c r="W443" s="99"/>
      <x:c r="X443" s="99"/>
      <x:c r="Y443" s="99"/>
      <x:c r="Z443" s="99"/>
    </x:row>
    <x:row r="444">
      <x:c r="A444" s="99"/>
      <x:c r="B444" s="99"/>
      <x:c r="C444" s="99"/>
      <x:c r="D444" s="99"/>
      <x:c r="E444" s="99"/>
      <x:c r="F444" s="99"/>
      <x:c r="G444" s="99"/>
      <x:c r="H444" s="99"/>
      <x:c r="I444" s="99"/>
      <x:c r="J444" s="99"/>
      <x:c r="K444" s="99"/>
      <x:c r="L444" s="99"/>
      <x:c r="M444" s="99"/>
      <x:c r="N444" s="99"/>
      <x:c r="O444" s="99"/>
      <x:c r="P444" s="99"/>
      <x:c r="Q444" s="99"/>
      <x:c r="R444" s="99"/>
      <x:c r="S444" s="99"/>
      <x:c r="T444" s="99"/>
      <x:c r="U444" s="99"/>
      <x:c r="V444" s="99"/>
      <x:c r="W444" s="99"/>
      <x:c r="X444" s="99"/>
      <x:c r="Y444" s="99"/>
      <x:c r="Z444" s="99"/>
    </x:row>
    <x:row r="445">
      <x:c r="A445" s="99"/>
      <x:c r="B445" s="99"/>
      <x:c r="C445" s="99"/>
      <x:c r="D445" s="99"/>
      <x:c r="E445" s="99"/>
      <x:c r="F445" s="99"/>
      <x:c r="G445" s="99"/>
      <x:c r="H445" s="99"/>
      <x:c r="I445" s="99"/>
      <x:c r="J445" s="99"/>
      <x:c r="K445" s="99"/>
      <x:c r="L445" s="99"/>
      <x:c r="M445" s="99"/>
      <x:c r="N445" s="99"/>
      <x:c r="O445" s="99"/>
      <x:c r="P445" s="99"/>
      <x:c r="Q445" s="99"/>
      <x:c r="R445" s="99"/>
      <x:c r="S445" s="99"/>
      <x:c r="T445" s="99"/>
      <x:c r="U445" s="99"/>
      <x:c r="V445" s="99"/>
      <x:c r="W445" s="99"/>
      <x:c r="X445" s="99"/>
      <x:c r="Y445" s="99"/>
      <x:c r="Z445" s="99"/>
    </x:row>
    <x:row r="446">
      <x:c r="A446" s="99"/>
      <x:c r="B446" s="99"/>
      <x:c r="C446" s="99"/>
      <x:c r="D446" s="99"/>
      <x:c r="E446" s="99"/>
      <x:c r="F446" s="99"/>
      <x:c r="G446" s="99"/>
      <x:c r="H446" s="99"/>
      <x:c r="I446" s="99"/>
      <x:c r="J446" s="99"/>
      <x:c r="K446" s="99"/>
      <x:c r="L446" s="99"/>
      <x:c r="M446" s="99"/>
      <x:c r="N446" s="99"/>
      <x:c r="O446" s="99"/>
      <x:c r="P446" s="99"/>
      <x:c r="Q446" s="99"/>
      <x:c r="R446" s="99"/>
      <x:c r="S446" s="99"/>
      <x:c r="T446" s="99"/>
      <x:c r="U446" s="99"/>
      <x:c r="V446" s="99"/>
      <x:c r="W446" s="99"/>
      <x:c r="X446" s="99"/>
      <x:c r="Y446" s="99"/>
      <x:c r="Z446" s="99"/>
    </x:row>
    <x:row r="447">
      <x:c r="A447" s="99"/>
      <x:c r="B447" s="99"/>
      <x:c r="C447" s="99"/>
      <x:c r="D447" s="99"/>
      <x:c r="E447" s="99"/>
      <x:c r="F447" s="99"/>
      <x:c r="G447" s="99"/>
      <x:c r="H447" s="99"/>
      <x:c r="I447" s="99"/>
      <x:c r="J447" s="99"/>
      <x:c r="K447" s="99"/>
      <x:c r="L447" s="99"/>
      <x:c r="M447" s="99"/>
      <x:c r="N447" s="99"/>
      <x:c r="O447" s="99"/>
      <x:c r="P447" s="99"/>
      <x:c r="Q447" s="99"/>
      <x:c r="R447" s="99"/>
      <x:c r="S447" s="99"/>
      <x:c r="T447" s="99"/>
      <x:c r="U447" s="99"/>
      <x:c r="V447" s="99"/>
      <x:c r="W447" s="99"/>
      <x:c r="X447" s="99"/>
      <x:c r="Y447" s="99"/>
      <x:c r="Z447" s="99"/>
    </x:row>
    <x:row r="448">
      <x:c r="A448" s="99"/>
      <x:c r="B448" s="99"/>
      <x:c r="C448" s="99"/>
      <x:c r="D448" s="99"/>
      <x:c r="E448" s="99"/>
      <x:c r="F448" s="99"/>
      <x:c r="G448" s="99"/>
      <x:c r="H448" s="99"/>
      <x:c r="I448" s="99"/>
      <x:c r="J448" s="99"/>
      <x:c r="K448" s="99"/>
      <x:c r="L448" s="99"/>
      <x:c r="M448" s="99"/>
      <x:c r="N448" s="99"/>
      <x:c r="O448" s="99"/>
      <x:c r="P448" s="99"/>
      <x:c r="Q448" s="99"/>
      <x:c r="R448" s="99"/>
      <x:c r="S448" s="99"/>
      <x:c r="T448" s="99"/>
      <x:c r="U448" s="99"/>
      <x:c r="V448" s="99"/>
      <x:c r="W448" s="99"/>
      <x:c r="X448" s="99"/>
      <x:c r="Y448" s="99"/>
      <x:c r="Z448" s="99"/>
    </x:row>
    <x:row r="449">
      <x:c r="A449" s="99"/>
      <x:c r="B449" s="99"/>
      <x:c r="C449" s="99"/>
      <x:c r="D449" s="99"/>
      <x:c r="E449" s="99"/>
      <x:c r="F449" s="99"/>
      <x:c r="G449" s="99"/>
      <x:c r="H449" s="99"/>
      <x:c r="I449" s="99"/>
      <x:c r="J449" s="99"/>
      <x:c r="K449" s="99"/>
      <x:c r="L449" s="99"/>
      <x:c r="M449" s="99"/>
      <x:c r="N449" s="99"/>
      <x:c r="O449" s="99"/>
      <x:c r="P449" s="99"/>
      <x:c r="Q449" s="99"/>
      <x:c r="R449" s="99"/>
      <x:c r="S449" s="99"/>
      <x:c r="T449" s="99"/>
      <x:c r="U449" s="99"/>
      <x:c r="V449" s="99"/>
      <x:c r="W449" s="99"/>
      <x:c r="X449" s="99"/>
      <x:c r="Y449" s="99"/>
      <x:c r="Z449" s="99"/>
    </x:row>
    <x:row r="450">
      <x:c r="A450" s="99"/>
      <x:c r="B450" s="99"/>
      <x:c r="C450" s="99"/>
      <x:c r="D450" s="99"/>
      <x:c r="E450" s="99"/>
      <x:c r="F450" s="99"/>
      <x:c r="G450" s="99"/>
      <x:c r="H450" s="99"/>
      <x:c r="I450" s="99"/>
      <x:c r="J450" s="99"/>
      <x:c r="K450" s="99"/>
      <x:c r="L450" s="99"/>
      <x:c r="M450" s="99"/>
      <x:c r="N450" s="99"/>
      <x:c r="O450" s="99"/>
      <x:c r="P450" s="99"/>
      <x:c r="Q450" s="99"/>
      <x:c r="R450" s="99"/>
      <x:c r="S450" s="99"/>
      <x:c r="T450" s="99"/>
      <x:c r="U450" s="99"/>
      <x:c r="V450" s="99"/>
      <x:c r="W450" s="99"/>
      <x:c r="X450" s="99"/>
      <x:c r="Y450" s="99"/>
      <x:c r="Z450" s="99"/>
    </x:row>
    <x:row r="451">
      <x:c r="A451" s="99"/>
      <x:c r="B451" s="99"/>
      <x:c r="C451" s="99"/>
      <x:c r="D451" s="99"/>
      <x:c r="E451" s="99"/>
      <x:c r="F451" s="99"/>
      <x:c r="G451" s="99"/>
      <x:c r="H451" s="99"/>
      <x:c r="I451" s="99"/>
      <x:c r="J451" s="99"/>
      <x:c r="K451" s="99"/>
      <x:c r="L451" s="99"/>
      <x:c r="M451" s="99"/>
      <x:c r="N451" s="99"/>
      <x:c r="O451" s="99"/>
      <x:c r="P451" s="99"/>
      <x:c r="Q451" s="99"/>
      <x:c r="R451" s="99"/>
      <x:c r="S451" s="99"/>
      <x:c r="T451" s="99"/>
      <x:c r="U451" s="99"/>
      <x:c r="V451" s="99"/>
      <x:c r="W451" s="99"/>
      <x:c r="X451" s="99"/>
      <x:c r="Y451" s="99"/>
      <x:c r="Z451" s="99"/>
    </x:row>
    <x:row r="452">
      <x:c r="A452" s="99"/>
      <x:c r="B452" s="99"/>
      <x:c r="C452" s="99"/>
      <x:c r="D452" s="99"/>
      <x:c r="E452" s="99"/>
      <x:c r="F452" s="99"/>
      <x:c r="G452" s="99"/>
      <x:c r="H452" s="99"/>
      <x:c r="I452" s="99"/>
      <x:c r="J452" s="99"/>
      <x:c r="K452" s="99"/>
      <x:c r="L452" s="99"/>
      <x:c r="M452" s="99"/>
      <x:c r="N452" s="99"/>
      <x:c r="O452" s="99"/>
      <x:c r="P452" s="99"/>
      <x:c r="Q452" s="99"/>
      <x:c r="R452" s="99"/>
      <x:c r="S452" s="99"/>
      <x:c r="T452" s="99"/>
      <x:c r="U452" s="99"/>
      <x:c r="V452" s="99"/>
      <x:c r="W452" s="99"/>
      <x:c r="X452" s="99"/>
      <x:c r="Y452" s="99"/>
      <x:c r="Z452" s="99"/>
    </x:row>
    <x:row r="453">
      <x:c r="A453" s="99"/>
      <x:c r="B453" s="99"/>
      <x:c r="C453" s="99"/>
      <x:c r="D453" s="99"/>
      <x:c r="E453" s="99"/>
      <x:c r="F453" s="99"/>
      <x:c r="G453" s="99"/>
      <x:c r="H453" s="99"/>
      <x:c r="I453" s="99"/>
      <x:c r="J453" s="99"/>
      <x:c r="K453" s="99"/>
      <x:c r="L453" s="99"/>
      <x:c r="M453" s="99"/>
      <x:c r="N453" s="99"/>
      <x:c r="O453" s="99"/>
      <x:c r="P453" s="99"/>
      <x:c r="Q453" s="99"/>
      <x:c r="R453" s="99"/>
      <x:c r="S453" s="99"/>
      <x:c r="T453" s="99"/>
      <x:c r="U453" s="99"/>
      <x:c r="V453" s="99"/>
      <x:c r="W453" s="99"/>
      <x:c r="X453" s="99"/>
      <x:c r="Y453" s="99"/>
      <x:c r="Z453" s="99"/>
    </x:row>
    <x:row r="454">
      <x:c r="A454" s="99"/>
      <x:c r="B454" s="99"/>
      <x:c r="C454" s="99"/>
      <x:c r="D454" s="99"/>
      <x:c r="E454" s="99"/>
      <x:c r="F454" s="99"/>
      <x:c r="G454" s="99"/>
      <x:c r="H454" s="99"/>
      <x:c r="I454" s="99"/>
      <x:c r="J454" s="99"/>
      <x:c r="K454" s="99"/>
      <x:c r="L454" s="99"/>
      <x:c r="M454" s="99"/>
      <x:c r="N454" s="99"/>
      <x:c r="O454" s="99"/>
      <x:c r="P454" s="99"/>
      <x:c r="Q454" s="99"/>
      <x:c r="R454" s="99"/>
      <x:c r="S454" s="99"/>
      <x:c r="T454" s="99"/>
      <x:c r="U454" s="99"/>
      <x:c r="V454" s="99"/>
      <x:c r="W454" s="99"/>
      <x:c r="X454" s="99"/>
      <x:c r="Y454" s="99"/>
      <x:c r="Z454" s="99"/>
    </x:row>
    <x:row r="455">
      <x:c r="A455" s="99"/>
      <x:c r="B455" s="99"/>
      <x:c r="C455" s="99"/>
      <x:c r="D455" s="99"/>
      <x:c r="E455" s="99"/>
      <x:c r="F455" s="99"/>
      <x:c r="G455" s="99"/>
      <x:c r="H455" s="99"/>
      <x:c r="I455" s="99"/>
      <x:c r="J455" s="99"/>
      <x:c r="K455" s="99"/>
      <x:c r="L455" s="99"/>
      <x:c r="M455" s="99"/>
      <x:c r="N455" s="99"/>
      <x:c r="O455" s="99"/>
      <x:c r="P455" s="99"/>
      <x:c r="Q455" s="99"/>
      <x:c r="R455" s="99"/>
      <x:c r="S455" s="99"/>
      <x:c r="T455" s="99"/>
      <x:c r="U455" s="99"/>
      <x:c r="V455" s="99"/>
      <x:c r="W455" s="99"/>
      <x:c r="X455" s="99"/>
      <x:c r="Y455" s="99"/>
      <x:c r="Z455" s="99"/>
    </x:row>
    <x:row r="456">
      <x:c r="A456" s="99"/>
      <x:c r="B456" s="99"/>
      <x:c r="C456" s="99"/>
      <x:c r="D456" s="99"/>
      <x:c r="E456" s="99"/>
      <x:c r="F456" s="99"/>
      <x:c r="G456" s="99"/>
      <x:c r="H456" s="99"/>
      <x:c r="I456" s="99"/>
      <x:c r="J456" s="99"/>
      <x:c r="K456" s="99"/>
      <x:c r="L456" s="99"/>
      <x:c r="M456" s="99"/>
      <x:c r="N456" s="99"/>
      <x:c r="O456" s="99"/>
      <x:c r="P456" s="99"/>
      <x:c r="Q456" s="99"/>
      <x:c r="R456" s="99"/>
      <x:c r="S456" s="99"/>
      <x:c r="T456" s="99"/>
      <x:c r="U456" s="99"/>
      <x:c r="V456" s="99"/>
      <x:c r="W456" s="99"/>
      <x:c r="X456" s="99"/>
      <x:c r="Y456" s="99"/>
      <x:c r="Z456" s="99"/>
    </x:row>
    <x:row r="457">
      <x:c r="A457" s="99"/>
      <x:c r="B457" s="99"/>
      <x:c r="C457" s="99"/>
      <x:c r="D457" s="99"/>
      <x:c r="E457" s="99"/>
      <x:c r="F457" s="99"/>
      <x:c r="G457" s="99"/>
      <x:c r="H457" s="99"/>
      <x:c r="I457" s="99"/>
      <x:c r="J457" s="99"/>
      <x:c r="K457" s="99"/>
      <x:c r="L457" s="99"/>
      <x:c r="M457" s="99"/>
      <x:c r="N457" s="99"/>
      <x:c r="O457" s="99"/>
      <x:c r="P457" s="99"/>
      <x:c r="Q457" s="99"/>
      <x:c r="R457" s="99"/>
      <x:c r="S457" s="99"/>
      <x:c r="T457" s="99"/>
      <x:c r="U457" s="99"/>
      <x:c r="V457" s="99"/>
      <x:c r="W457" s="99"/>
      <x:c r="X457" s="99"/>
      <x:c r="Y457" s="99"/>
      <x:c r="Z457" s="99"/>
    </x:row>
    <x:row r="458">
      <x:c r="A458" s="99"/>
      <x:c r="B458" s="99"/>
      <x:c r="C458" s="99"/>
      <x:c r="D458" s="99"/>
      <x:c r="E458" s="99"/>
      <x:c r="F458" s="99"/>
      <x:c r="G458" s="99"/>
      <x:c r="H458" s="99"/>
      <x:c r="I458" s="99"/>
      <x:c r="J458" s="99"/>
      <x:c r="K458" s="99"/>
      <x:c r="L458" s="99"/>
      <x:c r="M458" s="99"/>
      <x:c r="N458" s="99"/>
      <x:c r="O458" s="99"/>
      <x:c r="P458" s="99"/>
      <x:c r="Q458" s="99"/>
      <x:c r="R458" s="99"/>
      <x:c r="S458" s="99"/>
      <x:c r="T458" s="99"/>
      <x:c r="U458" s="99"/>
      <x:c r="V458" s="99"/>
      <x:c r="W458" s="99"/>
      <x:c r="X458" s="99"/>
      <x:c r="Y458" s="99"/>
      <x:c r="Z458" s="99"/>
    </x:row>
    <x:row r="459">
      <x:c r="A459" s="99"/>
      <x:c r="B459" s="99"/>
      <x:c r="C459" s="99"/>
      <x:c r="D459" s="99"/>
      <x:c r="E459" s="99"/>
      <x:c r="F459" s="99"/>
      <x:c r="G459" s="99"/>
      <x:c r="H459" s="99"/>
      <x:c r="I459" s="99"/>
      <x:c r="J459" s="99"/>
      <x:c r="K459" s="99"/>
      <x:c r="L459" s="99"/>
      <x:c r="M459" s="99"/>
      <x:c r="N459" s="99"/>
      <x:c r="O459" s="99"/>
      <x:c r="P459" s="99"/>
      <x:c r="Q459" s="99"/>
      <x:c r="R459" s="99"/>
      <x:c r="S459" s="99"/>
      <x:c r="T459" s="99"/>
      <x:c r="U459" s="99"/>
      <x:c r="V459" s="99"/>
      <x:c r="W459" s="99"/>
      <x:c r="X459" s="99"/>
      <x:c r="Y459" s="99"/>
      <x:c r="Z459" s="99"/>
    </x:row>
    <x:row r="460">
      <x:c r="A460" s="99"/>
      <x:c r="B460" s="99"/>
      <x:c r="C460" s="99"/>
      <x:c r="D460" s="99"/>
      <x:c r="E460" s="99"/>
      <x:c r="F460" s="99"/>
      <x:c r="G460" s="99"/>
      <x:c r="H460" s="99"/>
      <x:c r="I460" s="99"/>
      <x:c r="J460" s="99"/>
      <x:c r="K460" s="99"/>
      <x:c r="L460" s="99"/>
      <x:c r="M460" s="99"/>
      <x:c r="N460" s="99"/>
      <x:c r="O460" s="99"/>
      <x:c r="P460" s="99"/>
      <x:c r="Q460" s="99"/>
      <x:c r="R460" s="99"/>
      <x:c r="S460" s="99"/>
      <x:c r="T460" s="99"/>
      <x:c r="U460" s="99"/>
      <x:c r="V460" s="99"/>
      <x:c r="W460" s="99"/>
      <x:c r="X460" s="99"/>
      <x:c r="Y460" s="99"/>
      <x:c r="Z460" s="99"/>
    </x:row>
    <x:row r="461">
      <x:c r="A461" s="99"/>
      <x:c r="B461" s="99"/>
      <x:c r="C461" s="99"/>
      <x:c r="D461" s="99"/>
      <x:c r="E461" s="99"/>
      <x:c r="F461" s="99"/>
      <x:c r="G461" s="99"/>
      <x:c r="H461" s="99"/>
      <x:c r="I461" s="99"/>
      <x:c r="J461" s="99"/>
      <x:c r="K461" s="99"/>
      <x:c r="L461" s="99"/>
      <x:c r="M461" s="99"/>
      <x:c r="N461" s="99"/>
      <x:c r="O461" s="99"/>
      <x:c r="P461" s="99"/>
      <x:c r="Q461" s="99"/>
      <x:c r="R461" s="99"/>
      <x:c r="S461" s="99"/>
      <x:c r="T461" s="99"/>
      <x:c r="U461" s="99"/>
      <x:c r="V461" s="99"/>
      <x:c r="W461" s="99"/>
      <x:c r="X461" s="99"/>
      <x:c r="Y461" s="99"/>
      <x:c r="Z461" s="99"/>
    </x:row>
    <x:row r="462">
      <x:c r="A462" s="99"/>
      <x:c r="B462" s="99"/>
      <x:c r="C462" s="99"/>
      <x:c r="D462" s="99"/>
      <x:c r="E462" s="99"/>
      <x:c r="F462" s="99"/>
      <x:c r="G462" s="99"/>
      <x:c r="H462" s="99"/>
      <x:c r="I462" s="99"/>
      <x:c r="J462" s="99"/>
      <x:c r="K462" s="99"/>
      <x:c r="L462" s="99"/>
      <x:c r="M462" s="99"/>
      <x:c r="N462" s="99"/>
      <x:c r="O462" s="99"/>
      <x:c r="P462" s="99"/>
      <x:c r="Q462" s="99"/>
      <x:c r="R462" s="99"/>
      <x:c r="S462" s="99"/>
      <x:c r="T462" s="99"/>
      <x:c r="U462" s="99"/>
      <x:c r="V462" s="99"/>
      <x:c r="W462" s="99"/>
      <x:c r="X462" s="99"/>
      <x:c r="Y462" s="99"/>
      <x:c r="Z462" s="99"/>
    </x:row>
    <x:row r="463">
      <x:c r="A463" s="99"/>
      <x:c r="B463" s="99"/>
      <x:c r="C463" s="99"/>
      <x:c r="D463" s="99"/>
      <x:c r="E463" s="99"/>
      <x:c r="F463" s="99"/>
      <x:c r="G463" s="99"/>
      <x:c r="H463" s="99"/>
      <x:c r="I463" s="99"/>
      <x:c r="J463" s="99"/>
      <x:c r="K463" s="99"/>
      <x:c r="L463" s="99"/>
      <x:c r="M463" s="99"/>
      <x:c r="N463" s="99"/>
      <x:c r="O463" s="99"/>
      <x:c r="P463" s="99"/>
      <x:c r="Q463" s="99"/>
      <x:c r="R463" s="99"/>
      <x:c r="S463" s="99"/>
      <x:c r="T463" s="99"/>
      <x:c r="U463" s="99"/>
      <x:c r="V463" s="99"/>
      <x:c r="W463" s="99"/>
      <x:c r="X463" s="99"/>
      <x:c r="Y463" s="99"/>
      <x:c r="Z463" s="99"/>
    </x:row>
    <x:row r="464">
      <x:c r="A464" s="99"/>
      <x:c r="B464" s="99"/>
      <x:c r="C464" s="99"/>
      <x:c r="D464" s="99"/>
      <x:c r="E464" s="99"/>
      <x:c r="F464" s="99"/>
      <x:c r="G464" s="99"/>
      <x:c r="H464" s="99"/>
      <x:c r="I464" s="99"/>
      <x:c r="J464" s="99"/>
      <x:c r="K464" s="99"/>
      <x:c r="L464" s="99"/>
      <x:c r="M464" s="99"/>
      <x:c r="N464" s="99"/>
      <x:c r="O464" s="99"/>
      <x:c r="P464" s="99"/>
      <x:c r="Q464" s="99"/>
      <x:c r="R464" s="99"/>
      <x:c r="S464" s="99"/>
      <x:c r="T464" s="99"/>
      <x:c r="U464" s="99"/>
      <x:c r="V464" s="99"/>
      <x:c r="W464" s="99"/>
      <x:c r="X464" s="99"/>
      <x:c r="Y464" s="99"/>
      <x:c r="Z464" s="99"/>
    </x:row>
    <x:row r="465">
      <x:c r="A465" s="99"/>
      <x:c r="B465" s="99"/>
      <x:c r="C465" s="99"/>
      <x:c r="D465" s="99"/>
      <x:c r="E465" s="99"/>
      <x:c r="F465" s="99"/>
      <x:c r="G465" s="99"/>
      <x:c r="H465" s="99"/>
      <x:c r="I465" s="99"/>
      <x:c r="J465" s="99"/>
      <x:c r="K465" s="99"/>
      <x:c r="L465" s="99"/>
      <x:c r="M465" s="99"/>
      <x:c r="N465" s="99"/>
      <x:c r="O465" s="99"/>
      <x:c r="P465" s="99"/>
      <x:c r="Q465" s="99"/>
      <x:c r="R465" s="99"/>
      <x:c r="S465" s="99"/>
      <x:c r="T465" s="99"/>
      <x:c r="U465" s="99"/>
      <x:c r="V465" s="99"/>
      <x:c r="W465" s="99"/>
      <x:c r="X465" s="99"/>
      <x:c r="Y465" s="99"/>
      <x:c r="Z465" s="99"/>
    </x:row>
    <x:row r="466">
      <x:c r="A466" s="99"/>
      <x:c r="B466" s="99"/>
      <x:c r="C466" s="99"/>
      <x:c r="D466" s="99"/>
      <x:c r="E466" s="99"/>
      <x:c r="F466" s="99"/>
      <x:c r="G466" s="99"/>
      <x:c r="H466" s="99"/>
      <x:c r="I466" s="99"/>
      <x:c r="J466" s="99"/>
      <x:c r="K466" s="99"/>
      <x:c r="L466" s="99"/>
      <x:c r="M466" s="99"/>
      <x:c r="N466" s="99"/>
      <x:c r="O466" s="99"/>
      <x:c r="P466" s="99"/>
      <x:c r="Q466" s="99"/>
      <x:c r="R466" s="99"/>
      <x:c r="S466" s="99"/>
      <x:c r="T466" s="99"/>
      <x:c r="U466" s="99"/>
      <x:c r="V466" s="99"/>
      <x:c r="W466" s="99"/>
      <x:c r="X466" s="99"/>
      <x:c r="Y466" s="99"/>
      <x:c r="Z466" s="99"/>
    </x:row>
    <x:row r="467">
      <x:c r="A467" s="99"/>
      <x:c r="B467" s="99"/>
      <x:c r="C467" s="99"/>
      <x:c r="D467" s="99"/>
      <x:c r="E467" s="99"/>
      <x:c r="F467" s="99"/>
      <x:c r="G467" s="99"/>
      <x:c r="H467" s="99"/>
      <x:c r="I467" s="99"/>
      <x:c r="J467" s="99"/>
      <x:c r="K467" s="99"/>
      <x:c r="L467" s="99"/>
      <x:c r="M467" s="99"/>
      <x:c r="N467" s="99"/>
      <x:c r="O467" s="99"/>
      <x:c r="P467" s="99"/>
      <x:c r="Q467" s="99"/>
      <x:c r="R467" s="99"/>
      <x:c r="S467" s="99"/>
      <x:c r="T467" s="99"/>
      <x:c r="U467" s="99"/>
      <x:c r="V467" s="99"/>
      <x:c r="W467" s="99"/>
      <x:c r="X467" s="99"/>
      <x:c r="Y467" s="99"/>
      <x:c r="Z467" s="99"/>
    </x:row>
    <x:row r="468">
      <x:c r="A468" s="99"/>
      <x:c r="B468" s="99"/>
      <x:c r="C468" s="99"/>
      <x:c r="D468" s="99"/>
      <x:c r="E468" s="99"/>
      <x:c r="F468" s="99"/>
      <x:c r="G468" s="99"/>
      <x:c r="H468" s="99"/>
      <x:c r="I468" s="99"/>
      <x:c r="J468" s="99"/>
      <x:c r="K468" s="99"/>
      <x:c r="L468" s="99"/>
      <x:c r="M468" s="99"/>
      <x:c r="N468" s="99"/>
      <x:c r="O468" s="99"/>
      <x:c r="P468" s="99"/>
      <x:c r="Q468" s="99"/>
      <x:c r="R468" s="99"/>
      <x:c r="S468" s="99"/>
      <x:c r="T468" s="99"/>
      <x:c r="U468" s="99"/>
      <x:c r="V468" s="99"/>
      <x:c r="W468" s="99"/>
      <x:c r="X468" s="99"/>
      <x:c r="Y468" s="99"/>
      <x:c r="Z468" s="99"/>
    </x:row>
    <x:row r="469">
      <x:c r="A469" s="99"/>
      <x:c r="B469" s="99"/>
      <x:c r="C469" s="99"/>
      <x:c r="D469" s="99"/>
      <x:c r="E469" s="99"/>
      <x:c r="F469" s="99"/>
      <x:c r="G469" s="99"/>
      <x:c r="H469" s="99"/>
      <x:c r="I469" s="99"/>
      <x:c r="J469" s="99"/>
      <x:c r="K469" s="99"/>
      <x:c r="L469" s="99"/>
      <x:c r="M469" s="99"/>
      <x:c r="N469" s="99"/>
      <x:c r="O469" s="99"/>
      <x:c r="P469" s="99"/>
      <x:c r="Q469" s="99"/>
      <x:c r="R469" s="99"/>
      <x:c r="S469" s="99"/>
      <x:c r="T469" s="99"/>
      <x:c r="U469" s="99"/>
      <x:c r="V469" s="99"/>
      <x:c r="W469" s="99"/>
      <x:c r="X469" s="99"/>
      <x:c r="Y469" s="99"/>
      <x:c r="Z469" s="99"/>
    </x:row>
    <x:row r="470">
      <x:c r="A470" s="99"/>
      <x:c r="B470" s="99"/>
      <x:c r="C470" s="99"/>
      <x:c r="D470" s="99"/>
      <x:c r="E470" s="99"/>
      <x:c r="F470" s="99"/>
      <x:c r="G470" s="99"/>
      <x:c r="H470" s="99"/>
      <x:c r="I470" s="99"/>
      <x:c r="J470" s="99"/>
      <x:c r="K470" s="99"/>
      <x:c r="L470" s="99"/>
      <x:c r="M470" s="99"/>
      <x:c r="N470" s="99"/>
      <x:c r="O470" s="99"/>
      <x:c r="P470" s="99"/>
      <x:c r="Q470" s="99"/>
      <x:c r="R470" s="99"/>
      <x:c r="S470" s="99"/>
      <x:c r="T470" s="99"/>
      <x:c r="U470" s="99"/>
      <x:c r="V470" s="99"/>
      <x:c r="W470" s="99"/>
      <x:c r="X470" s="99"/>
      <x:c r="Y470" s="99"/>
      <x:c r="Z470" s="99"/>
    </x:row>
    <x:row r="471">
      <x:c r="A471" s="99"/>
      <x:c r="B471" s="99"/>
      <x:c r="C471" s="99"/>
      <x:c r="D471" s="99"/>
      <x:c r="E471" s="99"/>
      <x:c r="F471" s="99"/>
      <x:c r="G471" s="99"/>
      <x:c r="H471" s="99"/>
      <x:c r="I471" s="99"/>
      <x:c r="J471" s="99"/>
      <x:c r="K471" s="99"/>
      <x:c r="L471" s="99"/>
      <x:c r="M471" s="99"/>
      <x:c r="N471" s="99"/>
      <x:c r="O471" s="99"/>
      <x:c r="P471" s="99"/>
      <x:c r="Q471" s="99"/>
      <x:c r="R471" s="99"/>
      <x:c r="S471" s="99"/>
      <x:c r="T471" s="99"/>
      <x:c r="U471" s="99"/>
      <x:c r="V471" s="99"/>
      <x:c r="W471" s="99"/>
      <x:c r="X471" s="99"/>
      <x:c r="Y471" s="99"/>
      <x:c r="Z471" s="99"/>
    </x:row>
    <x:row r="472">
      <x:c r="A472" s="99"/>
      <x:c r="B472" s="99"/>
      <x:c r="C472" s="99"/>
      <x:c r="D472" s="99"/>
      <x:c r="E472" s="99"/>
      <x:c r="F472" s="99"/>
      <x:c r="G472" s="99"/>
      <x:c r="H472" s="99"/>
      <x:c r="I472" s="99"/>
      <x:c r="J472" s="99"/>
      <x:c r="K472" s="99"/>
      <x:c r="L472" s="99"/>
      <x:c r="M472" s="99"/>
      <x:c r="N472" s="99"/>
      <x:c r="O472" s="99"/>
      <x:c r="P472" s="99"/>
      <x:c r="Q472" s="99"/>
      <x:c r="R472" s="99"/>
      <x:c r="S472" s="99"/>
      <x:c r="T472" s="99"/>
      <x:c r="U472" s="99"/>
      <x:c r="V472" s="99"/>
      <x:c r="W472" s="99"/>
      <x:c r="X472" s="99"/>
      <x:c r="Y472" s="99"/>
      <x:c r="Z472" s="99"/>
    </x:row>
    <x:row r="473">
      <x:c r="A473" s="99"/>
      <x:c r="B473" s="99"/>
      <x:c r="C473" s="99"/>
      <x:c r="D473" s="99"/>
      <x:c r="E473" s="99"/>
      <x:c r="F473" s="99"/>
      <x:c r="G473" s="99"/>
      <x:c r="H473" s="99"/>
      <x:c r="I473" s="99"/>
      <x:c r="J473" s="99"/>
      <x:c r="K473" s="99"/>
      <x:c r="L473" s="99"/>
      <x:c r="M473" s="99"/>
      <x:c r="N473" s="99"/>
      <x:c r="O473" s="99"/>
      <x:c r="P473" s="99"/>
      <x:c r="Q473" s="99"/>
      <x:c r="R473" s="99"/>
      <x:c r="S473" s="99"/>
      <x:c r="T473" s="99"/>
      <x:c r="U473" s="99"/>
      <x:c r="V473" s="99"/>
      <x:c r="W473" s="99"/>
      <x:c r="X473" s="99"/>
      <x:c r="Y473" s="99"/>
      <x:c r="Z473" s="99"/>
    </x:row>
    <x:row r="474">
      <x:c r="A474" s="99"/>
      <x:c r="B474" s="99"/>
      <x:c r="C474" s="99"/>
      <x:c r="D474" s="99"/>
      <x:c r="E474" s="99"/>
      <x:c r="F474" s="99"/>
      <x:c r="G474" s="99"/>
      <x:c r="H474" s="99"/>
      <x:c r="I474" s="99"/>
      <x:c r="J474" s="99"/>
      <x:c r="K474" s="99"/>
      <x:c r="L474" s="99"/>
      <x:c r="M474" s="99"/>
      <x:c r="N474" s="99"/>
      <x:c r="O474" s="99"/>
      <x:c r="P474" s="99"/>
      <x:c r="Q474" s="99"/>
      <x:c r="R474" s="99"/>
      <x:c r="S474" s="99"/>
      <x:c r="T474" s="99"/>
      <x:c r="U474" s="99"/>
      <x:c r="V474" s="99"/>
      <x:c r="W474" s="99"/>
      <x:c r="X474" s="99"/>
      <x:c r="Y474" s="99"/>
      <x:c r="Z474" s="99"/>
    </x:row>
    <x:row r="475">
      <x:c r="A475" s="99"/>
      <x:c r="B475" s="99"/>
      <x:c r="C475" s="99"/>
      <x:c r="D475" s="99"/>
      <x:c r="E475" s="99"/>
      <x:c r="F475" s="99"/>
      <x:c r="G475" s="99"/>
      <x:c r="H475" s="99"/>
      <x:c r="I475" s="99"/>
      <x:c r="J475" s="99"/>
      <x:c r="K475" s="99"/>
      <x:c r="L475" s="99"/>
      <x:c r="M475" s="99"/>
      <x:c r="N475" s="99"/>
      <x:c r="O475" s="99"/>
      <x:c r="P475" s="99"/>
      <x:c r="Q475" s="99"/>
      <x:c r="R475" s="99"/>
      <x:c r="S475" s="99"/>
      <x:c r="T475" s="99"/>
      <x:c r="U475" s="99"/>
      <x:c r="V475" s="99"/>
      <x:c r="W475" s="99"/>
      <x:c r="X475" s="99"/>
      <x:c r="Y475" s="99"/>
      <x:c r="Z475" s="99"/>
    </x:row>
    <x:row r="476">
      <x:c r="A476" s="99"/>
      <x:c r="B476" s="99"/>
      <x:c r="C476" s="99"/>
      <x:c r="D476" s="99"/>
      <x:c r="E476" s="99"/>
      <x:c r="F476" s="99"/>
      <x:c r="G476" s="99"/>
      <x:c r="H476" s="99"/>
      <x:c r="I476" s="99"/>
      <x:c r="J476" s="99"/>
      <x:c r="K476" s="99"/>
      <x:c r="L476" s="99"/>
      <x:c r="M476" s="99"/>
      <x:c r="N476" s="99"/>
      <x:c r="O476" s="99"/>
      <x:c r="P476" s="99"/>
      <x:c r="Q476" s="99"/>
      <x:c r="R476" s="99"/>
      <x:c r="S476" s="99"/>
      <x:c r="T476" s="99"/>
      <x:c r="U476" s="99"/>
      <x:c r="V476" s="99"/>
      <x:c r="W476" s="99"/>
      <x:c r="X476" s="99"/>
      <x:c r="Y476" s="99"/>
      <x:c r="Z476" s="99"/>
    </x:row>
    <x:row r="477">
      <x:c r="A477" s="99"/>
      <x:c r="B477" s="99"/>
      <x:c r="C477" s="99"/>
      <x:c r="D477" s="99"/>
      <x:c r="E477" s="99"/>
      <x:c r="F477" s="99"/>
      <x:c r="G477" s="99"/>
      <x:c r="H477" s="99"/>
      <x:c r="I477" s="99"/>
      <x:c r="J477" s="99"/>
      <x:c r="K477" s="99"/>
      <x:c r="L477" s="99"/>
      <x:c r="M477" s="99"/>
      <x:c r="N477" s="99"/>
      <x:c r="O477" s="99"/>
      <x:c r="P477" s="99"/>
      <x:c r="Q477" s="99"/>
      <x:c r="R477" s="99"/>
      <x:c r="S477" s="99"/>
      <x:c r="T477" s="99"/>
      <x:c r="U477" s="99"/>
      <x:c r="V477" s="99"/>
      <x:c r="W477" s="99"/>
      <x:c r="X477" s="99"/>
      <x:c r="Y477" s="99"/>
      <x:c r="Z477" s="99"/>
    </x:row>
    <x:row r="478">
      <x:c r="A478" s="99"/>
      <x:c r="B478" s="99"/>
      <x:c r="C478" s="99"/>
      <x:c r="D478" s="99"/>
      <x:c r="E478" s="99"/>
      <x:c r="F478" s="99"/>
      <x:c r="G478" s="99"/>
      <x:c r="H478" s="99"/>
      <x:c r="I478" s="99"/>
      <x:c r="J478" s="99"/>
      <x:c r="K478" s="99"/>
      <x:c r="L478" s="99"/>
      <x:c r="M478" s="99"/>
      <x:c r="N478" s="99"/>
      <x:c r="O478" s="99"/>
      <x:c r="P478" s="99"/>
      <x:c r="Q478" s="99"/>
      <x:c r="R478" s="99"/>
      <x:c r="S478" s="99"/>
      <x:c r="T478" s="99"/>
      <x:c r="U478" s="99"/>
      <x:c r="V478" s="99"/>
      <x:c r="W478" s="99"/>
      <x:c r="X478" s="99"/>
      <x:c r="Y478" s="99"/>
      <x:c r="Z478" s="99"/>
    </x:row>
    <x:row r="479">
      <x:c r="A479" s="99"/>
      <x:c r="B479" s="99"/>
      <x:c r="C479" s="99"/>
      <x:c r="D479" s="99"/>
      <x:c r="E479" s="99"/>
      <x:c r="F479" s="99"/>
      <x:c r="G479" s="99"/>
      <x:c r="H479" s="99"/>
      <x:c r="I479" s="99"/>
      <x:c r="J479" s="99"/>
      <x:c r="K479" s="99"/>
      <x:c r="L479" s="99"/>
      <x:c r="M479" s="99"/>
      <x:c r="N479" s="99"/>
      <x:c r="O479" s="99"/>
      <x:c r="P479" s="99"/>
      <x:c r="Q479" s="99"/>
      <x:c r="R479" s="99"/>
      <x:c r="S479" s="99"/>
      <x:c r="T479" s="99"/>
      <x:c r="U479" s="99"/>
      <x:c r="V479" s="99"/>
      <x:c r="W479" s="99"/>
      <x:c r="X479" s="99"/>
      <x:c r="Y479" s="99"/>
      <x:c r="Z479" s="99"/>
    </x:row>
    <x:row r="480">
      <x:c r="A480" s="99"/>
      <x:c r="B480" s="99"/>
      <x:c r="C480" s="99"/>
      <x:c r="D480" s="99"/>
      <x:c r="E480" s="99"/>
      <x:c r="F480" s="99"/>
      <x:c r="G480" s="99"/>
      <x:c r="H480" s="99"/>
      <x:c r="I480" s="99"/>
      <x:c r="J480" s="99"/>
      <x:c r="K480" s="99"/>
      <x:c r="L480" s="99"/>
      <x:c r="M480" s="99"/>
      <x:c r="N480" s="99"/>
      <x:c r="O480" s="99"/>
      <x:c r="P480" s="99"/>
      <x:c r="Q480" s="99"/>
      <x:c r="R480" s="99"/>
      <x:c r="S480" s="99"/>
      <x:c r="T480" s="99"/>
      <x:c r="U480" s="99"/>
      <x:c r="V480" s="99"/>
      <x:c r="W480" s="99"/>
      <x:c r="X480" s="99"/>
      <x:c r="Y480" s="99"/>
      <x:c r="Z480" s="99"/>
    </x:row>
    <x:row r="481">
      <x:c r="A481" s="99"/>
      <x:c r="B481" s="99"/>
      <x:c r="C481" s="99"/>
      <x:c r="D481" s="99"/>
      <x:c r="E481" s="99"/>
      <x:c r="F481" s="99"/>
      <x:c r="G481" s="99"/>
      <x:c r="H481" s="99"/>
      <x:c r="I481" s="99"/>
      <x:c r="J481" s="99"/>
      <x:c r="K481" s="99"/>
      <x:c r="L481" s="99"/>
      <x:c r="M481" s="99"/>
      <x:c r="N481" s="99"/>
      <x:c r="O481" s="99"/>
      <x:c r="P481" s="99"/>
      <x:c r="Q481" s="99"/>
      <x:c r="R481" s="99"/>
      <x:c r="S481" s="99"/>
      <x:c r="T481" s="99"/>
      <x:c r="U481" s="99"/>
      <x:c r="V481" s="99"/>
      <x:c r="W481" s="99"/>
      <x:c r="X481" s="99"/>
      <x:c r="Y481" s="99"/>
      <x:c r="Z481" s="99"/>
    </x:row>
    <x:row r="482">
      <x:c r="A482" s="99"/>
      <x:c r="B482" s="99"/>
      <x:c r="C482" s="99"/>
      <x:c r="D482" s="99"/>
      <x:c r="E482" s="99"/>
      <x:c r="F482" s="99"/>
      <x:c r="G482" s="99"/>
      <x:c r="H482" s="99"/>
      <x:c r="I482" s="99"/>
      <x:c r="J482" s="99"/>
      <x:c r="K482" s="99"/>
      <x:c r="L482" s="99"/>
      <x:c r="M482" s="99"/>
      <x:c r="N482" s="99"/>
      <x:c r="O482" s="99"/>
      <x:c r="P482" s="99"/>
      <x:c r="Q482" s="99"/>
      <x:c r="R482" s="99"/>
      <x:c r="S482" s="99"/>
      <x:c r="T482" s="99"/>
      <x:c r="U482" s="99"/>
      <x:c r="V482" s="99"/>
      <x:c r="W482" s="99"/>
      <x:c r="X482" s="99"/>
      <x:c r="Y482" s="99"/>
      <x:c r="Z482" s="99"/>
    </x:row>
    <x:row r="483">
      <x:c r="A483" s="99"/>
      <x:c r="B483" s="99"/>
      <x:c r="C483" s="99"/>
      <x:c r="D483" s="99"/>
      <x:c r="E483" s="99"/>
      <x:c r="F483" s="99"/>
      <x:c r="G483" s="99"/>
      <x:c r="H483" s="99"/>
      <x:c r="I483" s="99"/>
      <x:c r="J483" s="99"/>
      <x:c r="K483" s="99"/>
      <x:c r="L483" s="99"/>
      <x:c r="M483" s="99"/>
      <x:c r="N483" s="99"/>
      <x:c r="O483" s="99"/>
      <x:c r="P483" s="99"/>
      <x:c r="Q483" s="99"/>
      <x:c r="R483" s="99"/>
      <x:c r="S483" s="99"/>
      <x:c r="T483" s="99"/>
      <x:c r="U483" s="99"/>
      <x:c r="V483" s="99"/>
      <x:c r="W483" s="99"/>
      <x:c r="X483" s="99"/>
      <x:c r="Y483" s="99"/>
      <x:c r="Z483" s="99"/>
    </x:row>
    <x:row r="484">
      <x:c r="A484" s="99"/>
      <x:c r="B484" s="99"/>
      <x:c r="C484" s="99"/>
      <x:c r="D484" s="99"/>
      <x:c r="E484" s="99"/>
      <x:c r="F484" s="99"/>
      <x:c r="G484" s="99"/>
      <x:c r="H484" s="99"/>
      <x:c r="I484" s="99"/>
      <x:c r="J484" s="99"/>
      <x:c r="K484" s="99"/>
      <x:c r="L484" s="99"/>
      <x:c r="M484" s="99"/>
      <x:c r="N484" s="99"/>
      <x:c r="O484" s="99"/>
      <x:c r="P484" s="99"/>
      <x:c r="Q484" s="99"/>
      <x:c r="R484" s="99"/>
      <x:c r="S484" s="99"/>
      <x:c r="T484" s="99"/>
      <x:c r="U484" s="99"/>
      <x:c r="V484" s="99"/>
      <x:c r="W484" s="99"/>
      <x:c r="X484" s="99"/>
      <x:c r="Y484" s="99"/>
      <x:c r="Z484" s="99"/>
    </x:row>
    <x:row r="485">
      <x:c r="A485" s="99"/>
      <x:c r="B485" s="99"/>
      <x:c r="C485" s="99"/>
      <x:c r="D485" s="99"/>
      <x:c r="E485" s="99"/>
      <x:c r="F485" s="99"/>
      <x:c r="G485" s="99"/>
      <x:c r="H485" s="99"/>
      <x:c r="I485" s="99"/>
      <x:c r="J485" s="99"/>
      <x:c r="K485" s="99"/>
      <x:c r="L485" s="99"/>
      <x:c r="M485" s="99"/>
      <x:c r="N485" s="99"/>
      <x:c r="O485" s="99"/>
      <x:c r="P485" s="99"/>
      <x:c r="Q485" s="99"/>
      <x:c r="R485" s="99"/>
      <x:c r="S485" s="99"/>
      <x:c r="T485" s="99"/>
      <x:c r="U485" s="99"/>
      <x:c r="V485" s="99"/>
      <x:c r="W485" s="99"/>
      <x:c r="X485" s="99"/>
      <x:c r="Y485" s="99"/>
      <x:c r="Z485" s="99"/>
    </x:row>
    <x:row r="486">
      <x:c r="A486" s="99"/>
      <x:c r="B486" s="99"/>
      <x:c r="C486" s="99"/>
      <x:c r="D486" s="99"/>
      <x:c r="E486" s="99"/>
      <x:c r="F486" s="99"/>
      <x:c r="G486" s="99"/>
      <x:c r="H486" s="99"/>
      <x:c r="I486" s="99"/>
      <x:c r="J486" s="99"/>
      <x:c r="K486" s="99"/>
      <x:c r="L486" s="99"/>
      <x:c r="M486" s="99"/>
      <x:c r="N486" s="99"/>
      <x:c r="O486" s="99"/>
      <x:c r="P486" s="99"/>
      <x:c r="Q486" s="99"/>
      <x:c r="R486" s="99"/>
      <x:c r="S486" s="99"/>
      <x:c r="T486" s="99"/>
      <x:c r="U486" s="99"/>
      <x:c r="V486" s="99"/>
      <x:c r="W486" s="99"/>
      <x:c r="X486" s="99"/>
      <x:c r="Y486" s="99"/>
      <x:c r="Z486" s="99"/>
    </x:row>
    <x:row r="487">
      <x:c r="A487" s="99"/>
      <x:c r="B487" s="99"/>
      <x:c r="C487" s="99"/>
      <x:c r="D487" s="99"/>
      <x:c r="E487" s="99"/>
      <x:c r="F487" s="99"/>
      <x:c r="G487" s="99"/>
      <x:c r="H487" s="99"/>
      <x:c r="I487" s="99"/>
      <x:c r="J487" s="99"/>
      <x:c r="K487" s="99"/>
      <x:c r="L487" s="99"/>
      <x:c r="M487" s="99"/>
      <x:c r="N487" s="99"/>
      <x:c r="O487" s="99"/>
      <x:c r="P487" s="99"/>
      <x:c r="Q487" s="99"/>
      <x:c r="R487" s="99"/>
      <x:c r="S487" s="99"/>
      <x:c r="T487" s="99"/>
      <x:c r="U487" s="99"/>
      <x:c r="V487" s="99"/>
      <x:c r="W487" s="99"/>
      <x:c r="X487" s="99"/>
      <x:c r="Y487" s="99"/>
      <x:c r="Z487" s="99"/>
    </x:row>
    <x:row r="488">
      <x:c r="A488" s="99"/>
      <x:c r="B488" s="99"/>
      <x:c r="C488" s="99"/>
      <x:c r="D488" s="99"/>
      <x:c r="E488" s="99"/>
      <x:c r="F488" s="99"/>
      <x:c r="G488" s="99"/>
      <x:c r="H488" s="99"/>
      <x:c r="I488" s="99"/>
      <x:c r="J488" s="99"/>
      <x:c r="K488" s="99"/>
      <x:c r="L488" s="99"/>
      <x:c r="M488" s="99"/>
      <x:c r="N488" s="99"/>
      <x:c r="O488" s="99"/>
      <x:c r="P488" s="99"/>
      <x:c r="Q488" s="99"/>
      <x:c r="R488" s="99"/>
      <x:c r="S488" s="99"/>
      <x:c r="T488" s="99"/>
      <x:c r="U488" s="99"/>
      <x:c r="V488" s="99"/>
      <x:c r="W488" s="99"/>
      <x:c r="X488" s="99"/>
      <x:c r="Y488" s="99"/>
      <x:c r="Z488" s="99"/>
    </x:row>
    <x:row r="489">
      <x:c r="A489" s="99"/>
      <x:c r="B489" s="99"/>
      <x:c r="C489" s="99"/>
      <x:c r="D489" s="99"/>
      <x:c r="E489" s="99"/>
      <x:c r="F489" s="99"/>
      <x:c r="G489" s="99"/>
      <x:c r="H489" s="99"/>
      <x:c r="I489" s="99"/>
      <x:c r="J489" s="99"/>
      <x:c r="K489" s="99"/>
      <x:c r="L489" s="99"/>
      <x:c r="M489" s="99"/>
      <x:c r="N489" s="99"/>
      <x:c r="O489" s="99"/>
      <x:c r="P489" s="99"/>
      <x:c r="Q489" s="99"/>
      <x:c r="R489" s="99"/>
      <x:c r="S489" s="99"/>
      <x:c r="T489" s="99"/>
      <x:c r="U489" s="99"/>
      <x:c r="V489" s="99"/>
      <x:c r="W489" s="99"/>
      <x:c r="X489" s="99"/>
      <x:c r="Y489" s="99"/>
      <x:c r="Z489" s="99"/>
    </x:row>
    <x:row r="490">
      <x:c r="A490" s="99"/>
      <x:c r="B490" s="99"/>
      <x:c r="C490" s="99"/>
      <x:c r="D490" s="99"/>
      <x:c r="E490" s="99"/>
      <x:c r="F490" s="99"/>
      <x:c r="G490" s="99"/>
      <x:c r="H490" s="99"/>
      <x:c r="I490" s="99"/>
      <x:c r="J490" s="99"/>
      <x:c r="K490" s="99"/>
      <x:c r="L490" s="99"/>
      <x:c r="M490" s="99"/>
      <x:c r="N490" s="99"/>
      <x:c r="O490" s="99"/>
      <x:c r="P490" s="99"/>
      <x:c r="Q490" s="99"/>
      <x:c r="R490" s="99"/>
      <x:c r="S490" s="99"/>
      <x:c r="T490" s="99"/>
      <x:c r="U490" s="99"/>
      <x:c r="V490" s="99"/>
      <x:c r="W490" s="99"/>
      <x:c r="X490" s="99"/>
      <x:c r="Y490" s="99"/>
      <x:c r="Z490" s="99"/>
    </x:row>
    <x:row r="491">
      <x:c r="A491" s="99"/>
      <x:c r="B491" s="99"/>
      <x:c r="C491" s="99"/>
      <x:c r="D491" s="99"/>
      <x:c r="E491" s="99"/>
      <x:c r="F491" s="99"/>
      <x:c r="G491" s="99"/>
      <x:c r="H491" s="99"/>
      <x:c r="I491" s="99"/>
      <x:c r="J491" s="99"/>
      <x:c r="K491" s="99"/>
      <x:c r="L491" s="99"/>
      <x:c r="M491" s="99"/>
      <x:c r="N491" s="99"/>
      <x:c r="O491" s="99"/>
      <x:c r="P491" s="99"/>
      <x:c r="Q491" s="99"/>
      <x:c r="R491" s="99"/>
      <x:c r="S491" s="99"/>
      <x:c r="T491" s="99"/>
      <x:c r="U491" s="99"/>
      <x:c r="V491" s="99"/>
      <x:c r="W491" s="99"/>
      <x:c r="X491" s="99"/>
      <x:c r="Y491" s="99"/>
      <x:c r="Z491" s="99"/>
    </x:row>
    <x:row r="492">
      <x:c r="A492" s="99"/>
      <x:c r="B492" s="99"/>
      <x:c r="C492" s="99"/>
      <x:c r="D492" s="99"/>
      <x:c r="E492" s="99"/>
      <x:c r="F492" s="99"/>
      <x:c r="G492" s="99"/>
      <x:c r="H492" s="99"/>
      <x:c r="I492" s="99"/>
      <x:c r="J492" s="99"/>
      <x:c r="K492" s="99"/>
      <x:c r="L492" s="99"/>
      <x:c r="M492" s="99"/>
      <x:c r="N492" s="99"/>
      <x:c r="O492" s="99"/>
      <x:c r="P492" s="99"/>
      <x:c r="Q492" s="99"/>
      <x:c r="R492" s="99"/>
      <x:c r="S492" s="99"/>
      <x:c r="T492" s="99"/>
      <x:c r="U492" s="99"/>
      <x:c r="V492" s="99"/>
      <x:c r="W492" s="99"/>
      <x:c r="X492" s="99"/>
      <x:c r="Y492" s="99"/>
      <x:c r="Z492" s="99"/>
    </x:row>
    <x:row r="493">
      <x:c r="A493" s="99"/>
      <x:c r="B493" s="99"/>
      <x:c r="C493" s="99"/>
      <x:c r="D493" s="99"/>
      <x:c r="E493" s="99"/>
      <x:c r="F493" s="99"/>
      <x:c r="G493" s="99"/>
      <x:c r="H493" s="99"/>
      <x:c r="I493" s="99"/>
      <x:c r="J493" s="99"/>
      <x:c r="K493" s="99"/>
      <x:c r="L493" s="99"/>
      <x:c r="M493" s="99"/>
      <x:c r="N493" s="99"/>
      <x:c r="O493" s="99"/>
      <x:c r="P493" s="99"/>
      <x:c r="Q493" s="99"/>
      <x:c r="R493" s="99"/>
      <x:c r="S493" s="99"/>
      <x:c r="T493" s="99"/>
      <x:c r="U493" s="99"/>
      <x:c r="V493" s="99"/>
      <x:c r="W493" s="99"/>
      <x:c r="X493" s="99"/>
      <x:c r="Y493" s="99"/>
      <x:c r="Z493" s="99"/>
    </x:row>
    <x:row r="494">
      <x:c r="A494" s="99"/>
      <x:c r="B494" s="99"/>
      <x:c r="C494" s="99"/>
      <x:c r="D494" s="99"/>
      <x:c r="E494" s="99"/>
      <x:c r="F494" s="99"/>
      <x:c r="G494" s="99"/>
      <x:c r="H494" s="99"/>
      <x:c r="I494" s="99"/>
      <x:c r="J494" s="99"/>
      <x:c r="K494" s="99"/>
      <x:c r="L494" s="99"/>
      <x:c r="M494" s="99"/>
      <x:c r="N494" s="99"/>
      <x:c r="O494" s="99"/>
      <x:c r="P494" s="99"/>
      <x:c r="Q494" s="99"/>
      <x:c r="R494" s="99"/>
      <x:c r="S494" s="99"/>
      <x:c r="T494" s="99"/>
      <x:c r="U494" s="99"/>
      <x:c r="V494" s="99"/>
      <x:c r="W494" s="99"/>
      <x:c r="X494" s="99"/>
      <x:c r="Y494" s="99"/>
      <x:c r="Z494" s="99"/>
    </x:row>
    <x:row r="495">
      <x:c r="A495" s="99"/>
      <x:c r="B495" s="99"/>
      <x:c r="C495" s="99"/>
      <x:c r="D495" s="99"/>
      <x:c r="E495" s="99"/>
      <x:c r="F495" s="99"/>
      <x:c r="G495" s="99"/>
      <x:c r="H495" s="99"/>
      <x:c r="I495" s="99"/>
      <x:c r="J495" s="99"/>
      <x:c r="K495" s="99"/>
      <x:c r="L495" s="99"/>
      <x:c r="M495" s="99"/>
      <x:c r="N495" s="99"/>
      <x:c r="O495" s="99"/>
      <x:c r="P495" s="99"/>
      <x:c r="Q495" s="99"/>
      <x:c r="R495" s="99"/>
      <x:c r="S495" s="99"/>
      <x:c r="T495" s="99"/>
      <x:c r="U495" s="99"/>
      <x:c r="V495" s="99"/>
      <x:c r="W495" s="99"/>
      <x:c r="X495" s="99"/>
      <x:c r="Y495" s="99"/>
      <x:c r="Z495" s="99"/>
    </x:row>
    <x:row r="496">
      <x:c r="A496" s="99"/>
      <x:c r="B496" s="99"/>
      <x:c r="C496" s="99"/>
      <x:c r="D496" s="99"/>
      <x:c r="E496" s="99"/>
      <x:c r="F496" s="99"/>
      <x:c r="G496" s="99"/>
      <x:c r="H496" s="99"/>
      <x:c r="I496" s="99"/>
      <x:c r="J496" s="99"/>
      <x:c r="K496" s="99"/>
      <x:c r="L496" s="99"/>
      <x:c r="M496" s="99"/>
      <x:c r="N496" s="99"/>
      <x:c r="O496" s="99"/>
      <x:c r="P496" s="99"/>
      <x:c r="Q496" s="99"/>
      <x:c r="R496" s="99"/>
      <x:c r="S496" s="99"/>
      <x:c r="T496" s="99"/>
      <x:c r="U496" s="99"/>
      <x:c r="V496" s="99"/>
      <x:c r="W496" s="99"/>
      <x:c r="X496" s="99"/>
      <x:c r="Y496" s="99"/>
      <x:c r="Z496" s="99"/>
    </x:row>
    <x:row r="497">
      <x:c r="A497" s="99"/>
      <x:c r="B497" s="99"/>
      <x:c r="C497" s="99"/>
      <x:c r="D497" s="99"/>
      <x:c r="E497" s="99"/>
      <x:c r="F497" s="99"/>
      <x:c r="G497" s="99"/>
      <x:c r="H497" s="99"/>
      <x:c r="I497" s="99"/>
      <x:c r="J497" s="99"/>
      <x:c r="K497" s="99"/>
      <x:c r="L497" s="99"/>
      <x:c r="M497" s="99"/>
      <x:c r="N497" s="99"/>
      <x:c r="O497" s="99"/>
      <x:c r="P497" s="99"/>
      <x:c r="Q497" s="99"/>
      <x:c r="R497" s="99"/>
      <x:c r="S497" s="99"/>
      <x:c r="T497" s="99"/>
      <x:c r="U497" s="99"/>
      <x:c r="V497" s="99"/>
      <x:c r="W497" s="99"/>
      <x:c r="X497" s="99"/>
      <x:c r="Y497" s="99"/>
      <x:c r="Z497" s="99"/>
    </x:row>
    <x:row r="498">
      <x:c r="A498" s="99"/>
      <x:c r="B498" s="99"/>
      <x:c r="C498" s="99"/>
      <x:c r="D498" s="99"/>
      <x:c r="E498" s="99"/>
      <x:c r="F498" s="99"/>
      <x:c r="G498" s="99"/>
      <x:c r="H498" s="99"/>
      <x:c r="I498" s="99"/>
      <x:c r="J498" s="99"/>
      <x:c r="K498" s="99"/>
      <x:c r="L498" s="99"/>
      <x:c r="M498" s="99"/>
      <x:c r="N498" s="99"/>
      <x:c r="O498" s="99"/>
      <x:c r="P498" s="99"/>
      <x:c r="Q498" s="99"/>
      <x:c r="R498" s="99"/>
      <x:c r="S498" s="99"/>
      <x:c r="T498" s="99"/>
      <x:c r="U498" s="99"/>
      <x:c r="V498" s="99"/>
      <x:c r="W498" s="99"/>
      <x:c r="X498" s="99"/>
      <x:c r="Y498" s="99"/>
      <x:c r="Z498" s="99"/>
    </x:row>
    <x:row r="499">
      <x:c r="A499" s="99"/>
      <x:c r="B499" s="99"/>
      <x:c r="C499" s="99"/>
      <x:c r="D499" s="99"/>
      <x:c r="E499" s="99"/>
      <x:c r="F499" s="99"/>
      <x:c r="G499" s="99"/>
      <x:c r="H499" s="99"/>
      <x:c r="I499" s="99"/>
      <x:c r="J499" s="99"/>
      <x:c r="K499" s="99"/>
      <x:c r="L499" s="99"/>
      <x:c r="M499" s="99"/>
      <x:c r="N499" s="99"/>
      <x:c r="O499" s="99"/>
      <x:c r="P499" s="99"/>
      <x:c r="Q499" s="99"/>
      <x:c r="R499" s="99"/>
      <x:c r="S499" s="99"/>
      <x:c r="T499" s="99"/>
      <x:c r="U499" s="99"/>
      <x:c r="V499" s="99"/>
      <x:c r="W499" s="99"/>
      <x:c r="X499" s="99"/>
      <x:c r="Y499" s="99"/>
      <x:c r="Z499" s="99"/>
    </x:row>
    <x:row r="500">
      <x:c r="A500" s="99"/>
      <x:c r="B500" s="99"/>
      <x:c r="C500" s="99"/>
      <x:c r="D500" s="99"/>
      <x:c r="E500" s="99"/>
      <x:c r="F500" s="99"/>
      <x:c r="G500" s="99"/>
      <x:c r="H500" s="99"/>
      <x:c r="I500" s="99"/>
      <x:c r="J500" s="99"/>
      <x:c r="K500" s="99"/>
      <x:c r="L500" s="99"/>
      <x:c r="M500" s="99"/>
      <x:c r="N500" s="99"/>
      <x:c r="O500" s="99"/>
      <x:c r="P500" s="99"/>
      <x:c r="Q500" s="99"/>
      <x:c r="R500" s="99"/>
      <x:c r="S500" s="99"/>
      <x:c r="T500" s="99"/>
      <x:c r="U500" s="99"/>
      <x:c r="V500" s="99"/>
      <x:c r="W500" s="99"/>
      <x:c r="X500" s="99"/>
      <x:c r="Y500" s="99"/>
      <x:c r="Z500" s="99"/>
    </x:row>
    <x:row r="501">
      <x:c r="A501" s="99"/>
      <x:c r="B501" s="99"/>
      <x:c r="C501" s="99"/>
      <x:c r="D501" s="99"/>
      <x:c r="E501" s="99"/>
      <x:c r="F501" s="99"/>
      <x:c r="G501" s="99"/>
      <x:c r="H501" s="99"/>
      <x:c r="I501" s="99"/>
      <x:c r="J501" s="99"/>
      <x:c r="K501" s="99"/>
      <x:c r="L501" s="99"/>
      <x:c r="M501" s="99"/>
      <x:c r="N501" s="99"/>
      <x:c r="O501" s="99"/>
      <x:c r="P501" s="99"/>
      <x:c r="Q501" s="99"/>
      <x:c r="R501" s="99"/>
      <x:c r="S501" s="99"/>
      <x:c r="T501" s="99"/>
      <x:c r="U501" s="99"/>
      <x:c r="V501" s="99"/>
      <x:c r="W501" s="99"/>
      <x:c r="X501" s="99"/>
      <x:c r="Y501" s="99"/>
      <x:c r="Z501" s="99"/>
    </x:row>
    <x:row r="502">
      <x:c r="A502" s="99"/>
      <x:c r="B502" s="99"/>
      <x:c r="C502" s="99"/>
      <x:c r="D502" s="99"/>
      <x:c r="E502" s="99"/>
      <x:c r="F502" s="99"/>
      <x:c r="G502" s="99"/>
      <x:c r="H502" s="99"/>
      <x:c r="I502" s="99"/>
      <x:c r="J502" s="99"/>
      <x:c r="K502" s="99"/>
      <x:c r="L502" s="99"/>
      <x:c r="M502" s="99"/>
      <x:c r="N502" s="99"/>
      <x:c r="O502" s="99"/>
      <x:c r="P502" s="99"/>
      <x:c r="Q502" s="99"/>
      <x:c r="R502" s="99"/>
      <x:c r="S502" s="99"/>
      <x:c r="T502" s="99"/>
      <x:c r="U502" s="99"/>
      <x:c r="V502" s="99"/>
      <x:c r="W502" s="99"/>
      <x:c r="X502" s="99"/>
      <x:c r="Y502" s="99"/>
      <x:c r="Z502" s="99"/>
    </x:row>
    <x:row r="503">
      <x:c r="A503" s="99"/>
      <x:c r="B503" s="99"/>
      <x:c r="C503" s="99"/>
      <x:c r="D503" s="99"/>
      <x:c r="E503" s="99"/>
      <x:c r="F503" s="99"/>
      <x:c r="G503" s="99"/>
      <x:c r="H503" s="99"/>
      <x:c r="I503" s="99"/>
      <x:c r="J503" s="99"/>
      <x:c r="K503" s="99"/>
      <x:c r="L503" s="99"/>
      <x:c r="M503" s="99"/>
      <x:c r="N503" s="99"/>
      <x:c r="O503" s="99"/>
      <x:c r="P503" s="99"/>
      <x:c r="Q503" s="99"/>
      <x:c r="R503" s="99"/>
      <x:c r="S503" s="99"/>
      <x:c r="T503" s="99"/>
      <x:c r="U503" s="99"/>
      <x:c r="V503" s="99"/>
      <x:c r="W503" s="99"/>
      <x:c r="X503" s="99"/>
      <x:c r="Y503" s="99"/>
      <x:c r="Z503" s="99"/>
    </x:row>
    <x:row r="504">
      <x:c r="A504" s="99"/>
      <x:c r="B504" s="99"/>
      <x:c r="C504" s="99"/>
      <x:c r="D504" s="99"/>
      <x:c r="E504" s="99"/>
      <x:c r="F504" s="99"/>
      <x:c r="G504" s="99"/>
      <x:c r="H504" s="99"/>
      <x:c r="I504" s="99"/>
      <x:c r="J504" s="99"/>
      <x:c r="K504" s="99"/>
      <x:c r="L504" s="99"/>
      <x:c r="M504" s="99"/>
      <x:c r="N504" s="99"/>
      <x:c r="O504" s="99"/>
      <x:c r="P504" s="99"/>
      <x:c r="Q504" s="99"/>
      <x:c r="R504" s="99"/>
      <x:c r="S504" s="99"/>
      <x:c r="T504" s="99"/>
      <x:c r="U504" s="99"/>
      <x:c r="V504" s="99"/>
      <x:c r="W504" s="99"/>
      <x:c r="X504" s="99"/>
      <x:c r="Y504" s="99"/>
      <x:c r="Z504" s="99"/>
    </x:row>
    <x:row r="505">
      <x:c r="A505" s="99"/>
      <x:c r="B505" s="99"/>
      <x:c r="C505" s="99"/>
      <x:c r="D505" s="99"/>
      <x:c r="E505" s="99"/>
      <x:c r="F505" s="99"/>
      <x:c r="G505" s="99"/>
      <x:c r="H505" s="99"/>
      <x:c r="I505" s="99"/>
      <x:c r="J505" s="99"/>
      <x:c r="K505" s="99"/>
      <x:c r="L505" s="99"/>
      <x:c r="M505" s="99"/>
      <x:c r="N505" s="99"/>
      <x:c r="O505" s="99"/>
      <x:c r="P505" s="99"/>
      <x:c r="Q505" s="99"/>
      <x:c r="R505" s="99"/>
      <x:c r="S505" s="99"/>
      <x:c r="T505" s="99"/>
      <x:c r="U505" s="99"/>
      <x:c r="V505" s="99"/>
      <x:c r="W505" s="99"/>
      <x:c r="X505" s="99"/>
      <x:c r="Y505" s="99"/>
      <x:c r="Z505" s="99"/>
    </x:row>
    <x:row r="506">
      <x:c r="A506" s="99"/>
      <x:c r="B506" s="99"/>
      <x:c r="C506" s="99"/>
      <x:c r="D506" s="99"/>
      <x:c r="E506" s="99"/>
      <x:c r="F506" s="99"/>
      <x:c r="G506" s="99"/>
      <x:c r="H506" s="99"/>
      <x:c r="I506" s="99"/>
      <x:c r="J506" s="99"/>
      <x:c r="K506" s="99"/>
      <x:c r="L506" s="99"/>
      <x:c r="M506" s="99"/>
      <x:c r="N506" s="99"/>
      <x:c r="O506" s="99"/>
      <x:c r="P506" s="99"/>
      <x:c r="Q506" s="99"/>
      <x:c r="R506" s="99"/>
      <x:c r="S506" s="99"/>
      <x:c r="T506" s="99"/>
      <x:c r="U506" s="99"/>
      <x:c r="V506" s="99"/>
      <x:c r="W506" s="99"/>
      <x:c r="X506" s="99"/>
      <x:c r="Y506" s="99"/>
      <x:c r="Z506" s="99"/>
    </x:row>
    <x:row r="507">
      <x:c r="A507" s="99"/>
      <x:c r="B507" s="99"/>
      <x:c r="C507" s="99"/>
      <x:c r="D507" s="99"/>
      <x:c r="E507" s="99"/>
      <x:c r="F507" s="99"/>
      <x:c r="G507" s="99"/>
      <x:c r="H507" s="99"/>
      <x:c r="I507" s="99"/>
      <x:c r="J507" s="99"/>
      <x:c r="K507" s="99"/>
      <x:c r="L507" s="99"/>
      <x:c r="M507" s="99"/>
      <x:c r="N507" s="99"/>
      <x:c r="O507" s="99"/>
      <x:c r="P507" s="99"/>
      <x:c r="Q507" s="99"/>
      <x:c r="R507" s="99"/>
      <x:c r="S507" s="99"/>
      <x:c r="T507" s="99"/>
      <x:c r="U507" s="99"/>
      <x:c r="V507" s="99"/>
      <x:c r="W507" s="99"/>
      <x:c r="X507" s="99"/>
      <x:c r="Y507" s="99"/>
      <x:c r="Z507" s="99"/>
    </x:row>
    <x:row r="508">
      <x:c r="A508" s="99"/>
      <x:c r="B508" s="99"/>
      <x:c r="C508" s="99"/>
      <x:c r="D508" s="99"/>
      <x:c r="E508" s="99"/>
      <x:c r="F508" s="99"/>
      <x:c r="G508" s="99"/>
      <x:c r="H508" s="99"/>
      <x:c r="I508" s="99"/>
      <x:c r="J508" s="99"/>
      <x:c r="K508" s="99"/>
      <x:c r="L508" s="99"/>
      <x:c r="M508" s="99"/>
      <x:c r="N508" s="99"/>
      <x:c r="O508" s="99"/>
      <x:c r="P508" s="99"/>
      <x:c r="Q508" s="99"/>
      <x:c r="R508" s="99"/>
      <x:c r="S508" s="99"/>
      <x:c r="T508" s="99"/>
      <x:c r="U508" s="99"/>
      <x:c r="V508" s="99"/>
      <x:c r="W508" s="99"/>
      <x:c r="X508" s="99"/>
      <x:c r="Y508" s="99"/>
      <x:c r="Z508" s="99"/>
    </x:row>
    <x:row r="509">
      <x:c r="A509" s="99"/>
      <x:c r="B509" s="99"/>
      <x:c r="C509" s="99"/>
      <x:c r="D509" s="99"/>
      <x:c r="E509" s="99"/>
      <x:c r="F509" s="99"/>
      <x:c r="G509" s="99"/>
      <x:c r="H509" s="99"/>
      <x:c r="I509" s="99"/>
      <x:c r="J509" s="99"/>
      <x:c r="K509" s="99"/>
      <x:c r="L509" s="99"/>
      <x:c r="M509" s="99"/>
      <x:c r="N509" s="99"/>
      <x:c r="O509" s="99"/>
      <x:c r="P509" s="99"/>
      <x:c r="Q509" s="99"/>
      <x:c r="R509" s="99"/>
      <x:c r="S509" s="99"/>
      <x:c r="T509" s="99"/>
      <x:c r="U509" s="99"/>
      <x:c r="V509" s="99"/>
      <x:c r="W509" s="99"/>
      <x:c r="X509" s="99"/>
      <x:c r="Y509" s="99"/>
      <x:c r="Z509" s="99"/>
    </x:row>
    <x:row r="510">
      <x:c r="A510" s="99"/>
      <x:c r="B510" s="99"/>
      <x:c r="C510" s="99"/>
      <x:c r="D510" s="99"/>
      <x:c r="E510" s="99"/>
      <x:c r="F510" s="99"/>
      <x:c r="G510" s="99"/>
      <x:c r="H510" s="99"/>
      <x:c r="I510" s="99"/>
      <x:c r="J510" s="99"/>
      <x:c r="K510" s="99"/>
      <x:c r="L510" s="99"/>
      <x:c r="M510" s="99"/>
      <x:c r="N510" s="99"/>
      <x:c r="O510" s="99"/>
      <x:c r="P510" s="99"/>
      <x:c r="Q510" s="99"/>
      <x:c r="R510" s="99"/>
      <x:c r="S510" s="99"/>
      <x:c r="T510" s="99"/>
      <x:c r="U510" s="99"/>
      <x:c r="V510" s="99"/>
      <x:c r="W510" s="99"/>
      <x:c r="X510" s="99"/>
      <x:c r="Y510" s="99"/>
      <x:c r="Z510" s="99"/>
    </x:row>
    <x:row r="511">
      <x:c r="A511" s="99"/>
      <x:c r="B511" s="99"/>
      <x:c r="C511" s="99"/>
      <x:c r="D511" s="99"/>
      <x:c r="E511" s="99"/>
      <x:c r="F511" s="99"/>
      <x:c r="G511" s="99"/>
      <x:c r="H511" s="99"/>
      <x:c r="I511" s="99"/>
      <x:c r="J511" s="99"/>
      <x:c r="K511" s="99"/>
      <x:c r="L511" s="99"/>
      <x:c r="M511" s="99"/>
      <x:c r="N511" s="99"/>
      <x:c r="O511" s="99"/>
      <x:c r="P511" s="99"/>
      <x:c r="Q511" s="99"/>
      <x:c r="R511" s="99"/>
      <x:c r="S511" s="99"/>
      <x:c r="T511" s="99"/>
      <x:c r="U511" s="99"/>
      <x:c r="V511" s="99"/>
      <x:c r="W511" s="99"/>
      <x:c r="X511" s="99"/>
      <x:c r="Y511" s="99"/>
      <x:c r="Z511" s="99"/>
    </x:row>
    <x:row r="512">
      <x:c r="A512" s="99"/>
      <x:c r="B512" s="99"/>
      <x:c r="C512" s="99"/>
      <x:c r="D512" s="99"/>
      <x:c r="E512" s="99"/>
      <x:c r="F512" s="99"/>
      <x:c r="G512" s="99"/>
      <x:c r="H512" s="99"/>
      <x:c r="I512" s="99"/>
      <x:c r="J512" s="99"/>
      <x:c r="K512" s="99"/>
      <x:c r="L512" s="99"/>
      <x:c r="M512" s="99"/>
      <x:c r="N512" s="99"/>
      <x:c r="O512" s="99"/>
      <x:c r="P512" s="99"/>
      <x:c r="Q512" s="99"/>
      <x:c r="R512" s="99"/>
      <x:c r="S512" s="99"/>
      <x:c r="T512" s="99"/>
      <x:c r="U512" s="99"/>
      <x:c r="V512" s="99"/>
      <x:c r="W512" s="99"/>
      <x:c r="X512" s="99"/>
      <x:c r="Y512" s="99"/>
      <x:c r="Z512" s="99"/>
    </x:row>
    <x:row r="513">
      <x:c r="A513" s="99"/>
      <x:c r="B513" s="99"/>
      <x:c r="C513" s="99"/>
      <x:c r="D513" s="99"/>
      <x:c r="E513" s="99"/>
      <x:c r="F513" s="99"/>
      <x:c r="G513" s="99"/>
      <x:c r="H513" s="99"/>
      <x:c r="I513" s="99"/>
      <x:c r="J513" s="99"/>
      <x:c r="K513" s="99"/>
      <x:c r="L513" s="99"/>
      <x:c r="M513" s="99"/>
      <x:c r="N513" s="99"/>
      <x:c r="O513" s="99"/>
      <x:c r="P513" s="99"/>
      <x:c r="Q513" s="99"/>
      <x:c r="R513" s="99"/>
      <x:c r="S513" s="99"/>
      <x:c r="T513" s="99"/>
      <x:c r="U513" s="99"/>
      <x:c r="V513" s="99"/>
      <x:c r="W513" s="99"/>
      <x:c r="X513" s="99"/>
      <x:c r="Y513" s="99"/>
      <x:c r="Z513" s="99"/>
    </x:row>
    <x:row r="514">
      <x:c r="A514" s="99"/>
      <x:c r="B514" s="99"/>
      <x:c r="C514" s="99"/>
      <x:c r="D514" s="99"/>
      <x:c r="E514" s="99"/>
      <x:c r="F514" s="99"/>
      <x:c r="G514" s="99"/>
      <x:c r="H514" s="99"/>
      <x:c r="I514" s="99"/>
      <x:c r="J514" s="99"/>
      <x:c r="K514" s="99"/>
      <x:c r="L514" s="99"/>
      <x:c r="M514" s="99"/>
      <x:c r="N514" s="99"/>
      <x:c r="O514" s="99"/>
      <x:c r="P514" s="99"/>
      <x:c r="Q514" s="99"/>
      <x:c r="R514" s="99"/>
      <x:c r="S514" s="99"/>
      <x:c r="T514" s="99"/>
      <x:c r="U514" s="99"/>
      <x:c r="V514" s="99"/>
      <x:c r="W514" s="99"/>
      <x:c r="X514" s="99"/>
      <x:c r="Y514" s="99"/>
      <x:c r="Z514" s="99"/>
    </x:row>
    <x:row r="515">
      <x:c r="A515" s="99"/>
      <x:c r="B515" s="99"/>
      <x:c r="C515" s="99"/>
      <x:c r="D515" s="99"/>
      <x:c r="E515" s="99"/>
      <x:c r="F515" s="99"/>
      <x:c r="G515" s="99"/>
      <x:c r="H515" s="99"/>
      <x:c r="I515" s="99"/>
      <x:c r="J515" s="99"/>
      <x:c r="K515" s="99"/>
      <x:c r="L515" s="99"/>
      <x:c r="M515" s="99"/>
      <x:c r="N515" s="99"/>
      <x:c r="O515" s="99"/>
      <x:c r="P515" s="99"/>
      <x:c r="Q515" s="99"/>
      <x:c r="R515" s="99"/>
      <x:c r="S515" s="99"/>
      <x:c r="T515" s="99"/>
      <x:c r="U515" s="99"/>
      <x:c r="V515" s="99"/>
      <x:c r="W515" s="99"/>
      <x:c r="X515" s="99"/>
      <x:c r="Y515" s="99"/>
      <x:c r="Z515" s="99"/>
    </x:row>
    <x:row r="516">
      <x:c r="A516" s="99"/>
      <x:c r="B516" s="99"/>
      <x:c r="C516" s="99"/>
      <x:c r="D516" s="99"/>
      <x:c r="E516" s="99"/>
      <x:c r="F516" s="99"/>
      <x:c r="G516" s="99"/>
      <x:c r="H516" s="99"/>
      <x:c r="I516" s="99"/>
      <x:c r="J516" s="99"/>
      <x:c r="K516" s="99"/>
      <x:c r="L516" s="99"/>
      <x:c r="M516" s="99"/>
      <x:c r="N516" s="99"/>
      <x:c r="O516" s="99"/>
      <x:c r="P516" s="99"/>
      <x:c r="Q516" s="99"/>
      <x:c r="R516" s="99"/>
      <x:c r="S516" s="99"/>
      <x:c r="T516" s="99"/>
      <x:c r="U516" s="99"/>
      <x:c r="V516" s="99"/>
      <x:c r="W516" s="99"/>
      <x:c r="X516" s="99"/>
      <x:c r="Y516" s="99"/>
      <x:c r="Z516" s="99"/>
    </x:row>
    <x:row r="517">
      <x:c r="A517" s="99"/>
      <x:c r="B517" s="99"/>
      <x:c r="C517" s="99"/>
      <x:c r="D517" s="99"/>
      <x:c r="E517" s="99"/>
      <x:c r="F517" s="99"/>
      <x:c r="G517" s="99"/>
      <x:c r="H517" s="99"/>
      <x:c r="I517" s="99"/>
      <x:c r="J517" s="99"/>
      <x:c r="K517" s="99"/>
      <x:c r="L517" s="99"/>
      <x:c r="M517" s="99"/>
      <x:c r="N517" s="99"/>
      <x:c r="O517" s="99"/>
      <x:c r="P517" s="99"/>
      <x:c r="Q517" s="99"/>
      <x:c r="R517" s="99"/>
      <x:c r="S517" s="99"/>
      <x:c r="T517" s="99"/>
      <x:c r="U517" s="99"/>
      <x:c r="V517" s="99"/>
      <x:c r="W517" s="99"/>
      <x:c r="X517" s="99"/>
      <x:c r="Y517" s="99"/>
      <x:c r="Z517" s="99"/>
    </x:row>
    <x:row r="518">
      <x:c r="A518" s="99"/>
      <x:c r="B518" s="99"/>
      <x:c r="C518" s="99"/>
      <x:c r="D518" s="99"/>
      <x:c r="E518" s="99"/>
      <x:c r="F518" s="99"/>
      <x:c r="G518" s="99"/>
      <x:c r="H518" s="99"/>
      <x:c r="I518" s="99"/>
      <x:c r="J518" s="99"/>
      <x:c r="K518" s="99"/>
      <x:c r="L518" s="99"/>
      <x:c r="M518" s="99"/>
      <x:c r="N518" s="99"/>
      <x:c r="O518" s="99"/>
      <x:c r="P518" s="99"/>
      <x:c r="Q518" s="99"/>
      <x:c r="R518" s="99"/>
      <x:c r="S518" s="99"/>
      <x:c r="T518" s="99"/>
      <x:c r="U518" s="99"/>
      <x:c r="V518" s="99"/>
      <x:c r="W518" s="99"/>
      <x:c r="X518" s="99"/>
      <x:c r="Y518" s="99"/>
      <x:c r="Z518" s="99"/>
    </x:row>
    <x:row r="519">
      <x:c r="A519" s="99"/>
      <x:c r="B519" s="99"/>
      <x:c r="C519" s="99"/>
      <x:c r="D519" s="99"/>
      <x:c r="E519" s="99"/>
      <x:c r="F519" s="99"/>
      <x:c r="G519" s="99"/>
      <x:c r="H519" s="99"/>
      <x:c r="I519" s="99"/>
      <x:c r="J519" s="99"/>
      <x:c r="K519" s="99"/>
      <x:c r="L519" s="99"/>
      <x:c r="M519" s="99"/>
      <x:c r="N519" s="99"/>
      <x:c r="O519" s="99"/>
      <x:c r="P519" s="99"/>
      <x:c r="Q519" s="99"/>
      <x:c r="R519" s="99"/>
      <x:c r="S519" s="99"/>
      <x:c r="T519" s="99"/>
      <x:c r="U519" s="99"/>
      <x:c r="V519" s="99"/>
      <x:c r="W519" s="99"/>
      <x:c r="X519" s="99"/>
      <x:c r="Y519" s="99"/>
      <x:c r="Z519" s="99"/>
    </x:row>
    <x:row r="520">
      <x:c r="A520" s="99"/>
      <x:c r="B520" s="99"/>
      <x:c r="C520" s="99"/>
      <x:c r="D520" s="99"/>
      <x:c r="E520" s="99"/>
      <x:c r="F520" s="99"/>
      <x:c r="G520" s="99"/>
      <x:c r="H520" s="99"/>
      <x:c r="I520" s="99"/>
      <x:c r="J520" s="99"/>
      <x:c r="K520" s="99"/>
      <x:c r="L520" s="99"/>
      <x:c r="M520" s="99"/>
      <x:c r="N520" s="99"/>
      <x:c r="O520" s="99"/>
      <x:c r="P520" s="99"/>
      <x:c r="Q520" s="99"/>
      <x:c r="R520" s="99"/>
      <x:c r="S520" s="99"/>
      <x:c r="T520" s="99"/>
      <x:c r="U520" s="99"/>
      <x:c r="V520" s="99"/>
      <x:c r="W520" s="99"/>
      <x:c r="X520" s="99"/>
      <x:c r="Y520" s="99"/>
      <x:c r="Z520" s="99"/>
    </x:row>
  </x:sheetData>
  <x:mergeCells>
    <x:mergeCell ref="A1:H1"/>
    <x:mergeCell ref="D3:H3"/>
  </x:mergeCells>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24" hidden="0" customWidth="1"/>
    <x:col min="3" max="3" width="14" hidden="0" customWidth="1"/>
    <x:col min="4" max="4" width="20" hidden="0" customWidth="1"/>
    <x:col min="5" max="5" width="15"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x:c r="A1" s="161" t="str">
        <x:v>SURVEY / NEEDS-ASSESSMENT DASHBOARD</x:v>
      </x:c>
      <x:c r="B1" s="161"/>
      <x:c r="C1" s="161"/>
      <x:c r="D1" s="161"/>
      <x:c r="E1" s="161"/>
      <x:c r="F1" s="161"/>
      <x:c r="G1" s="161"/>
      <x:c r="H1" s="161"/>
      <x:c r="I1" s="161"/>
      <x:c r="J1" s="161"/>
      <x:c r="K1" s="161"/>
      <x:c r="L1" s="161"/>
      <x:c r="M1" s="99"/>
      <x:c r="N1" s="99"/>
      <x:c r="O1" s="99"/>
      <x:c r="P1" s="99"/>
      <x:c r="Q1" s="99"/>
      <x:c r="R1" s="99"/>
      <x:c r="S1" s="99"/>
      <x:c r="T1" s="99"/>
      <x:c r="U1" s="99"/>
      <x:c r="V1" s="99"/>
      <x:c r="W1" s="99"/>
      <x:c r="X1" s="99"/>
      <x:c r="Y1" s="99"/>
      <x:c r="Z1" s="99"/>
    </x:row>
    <x:row r="2">
      <x:c r="A2" s="143"/>
      <x:c r="B2" s="143"/>
      <x:c r="C2" s="143"/>
      <x:c r="D2" s="143"/>
      <x:c r="E2" s="143"/>
      <x:c r="F2" s="143"/>
      <x:c r="G2" s="143"/>
      <x:c r="H2" s="143"/>
      <x:c r="I2" s="143"/>
      <x:c r="J2" s="143"/>
      <x:c r="K2" s="143"/>
      <x:c r="L2" s="143"/>
      <x:c r="M2" s="99"/>
      <x:c r="N2" s="99"/>
      <x:c r="O2" s="99"/>
      <x:c r="P2" s="99"/>
      <x:c r="Q2" s="99"/>
      <x:c r="R2" s="99"/>
      <x:c r="S2" s="99"/>
      <x:c r="T2" s="99"/>
      <x:c r="U2" s="99"/>
      <x:c r="V2" s="99"/>
      <x:c r="W2" s="99"/>
      <x:c r="X2" s="99"/>
      <x:c r="Y2" s="99"/>
      <x:c r="Z2" s="99"/>
    </x:row>
    <x:row r="3">
      <x:c r="A3" s="144" t="str">
        <x:v>Study</x:v>
      </x:c>
      <x:c r="B3" s="145" t="str">
        <x:f>IF(SETUP!B3="","",SETUP!B3)</x:f>
      </x:c>
      <x:c r="C3" s="143"/>
      <x:c r="D3" s="129" t="str">
        <x:v>QUALITY / COVERAGE</x:v>
      </x:c>
      <x:c r="E3" s="129" t="str">
        <x:v>VALUE</x:v>
      </x:c>
      <x:c r="F3" s="143"/>
      <x:c r="G3" s="97" t="str">
        <x:v>MODEL STATUS</x:v>
      </x:c>
      <x:c r="H3" s="97"/>
      <x:c r="I3" s="97"/>
      <x:c r="J3" s="97"/>
      <x:c r="K3" s="97"/>
      <x:c r="L3" s="97"/>
      <x:c r="M3" s="99"/>
      <x:c r="N3" s="99"/>
      <x:c r="O3" s="99"/>
      <x:c r="P3" s="99"/>
      <x:c r="Q3" s="99"/>
      <x:c r="R3" s="99"/>
      <x:c r="S3" s="99"/>
      <x:c r="T3" s="99"/>
      <x:c r="U3" s="99"/>
      <x:c r="V3" s="99"/>
      <x:c r="W3" s="99"/>
      <x:c r="X3" s="99"/>
      <x:c r="Y3" s="99"/>
      <x:c r="Z3" s="99"/>
    </x:row>
    <x:row r="4">
      <x:c r="A4" s="144" t="str">
        <x:v>Invited / Eligible</x:v>
      </x:c>
      <x:c r="B4" s="145" t="n">
        <x:f>SETUP!B6</x:f>
        <x:v>0</x:v>
      </x:c>
      <x:c r="C4" s="143"/>
      <x:c r="D4" s="144" t="str">
        <x:v>Items Defined</x:v>
      </x:c>
      <x:c r="E4" s="145" t="n">
        <x:f>SETUP!E4</x:f>
        <x:v>0</x:v>
      </x:c>
      <x:c r="F4" s="143"/>
      <x:c r="G4" s="146" t="str">
        <x:f>IF(B3="","DEFINE STUDY",IF(E4=0,"BUILD INSTRUMENT",IF(B5=0,"PASTE RESPONSES",IF(B6&lt;SETUP!$B$12,"CHECK SAMPLE",IF(B8&lt;0.7,"REVIEW QA","READY TO INTERPRET")))))</x:f>
        <x:v>DEFINE STUDY</x:v>
      </x:c>
      <x:c r="H4" s="146"/>
      <x:c r="I4" s="146"/>
      <x:c r="J4" s="146"/>
      <x:c r="K4" s="146"/>
      <x:c r="L4" s="146"/>
      <x:c r="M4" s="99"/>
      <x:c r="N4" s="99"/>
      <x:c r="O4" s="99"/>
      <x:c r="P4" s="99"/>
      <x:c r="Q4" s="99"/>
      <x:c r="R4" s="99"/>
      <x:c r="S4" s="99"/>
      <x:c r="T4" s="99"/>
      <x:c r="U4" s="99"/>
      <x:c r="V4" s="99"/>
      <x:c r="W4" s="99"/>
      <x:c r="X4" s="99"/>
      <x:c r="Y4" s="99"/>
      <x:c r="Z4" s="99"/>
    </x:row>
    <x:row r="5">
      <x:c r="A5" s="144" t="str">
        <x:v>Responses</x:v>
      </x:c>
      <x:c r="B5" s="145" t="n">
        <x:f>SETUP!E5</x:f>
        <x:v>0</x:v>
      </x:c>
      <x:c r="C5" s="143"/>
      <x:c r="D5" s="144" t="str">
        <x:v>Item QA Flags</x:v>
      </x:c>
      <x:c r="E5" s="145" t="n">
        <x:f>COUNTIF('ITEM SUMMARY'!H4:H15,"LOW N")+COUNTIF('ITEM SUMMARY'!H4:H15,"MISSINGNESS")</x:f>
        <x:v>0</x:v>
      </x:c>
      <x:c r="F5" s="143"/>
      <x:c r="G5" s="146"/>
      <x:c r="H5" s="146"/>
      <x:c r="I5" s="146"/>
      <x:c r="J5" s="146"/>
      <x:c r="K5" s="146"/>
      <x:c r="L5" s="146"/>
      <x:c r="M5" s="99"/>
      <x:c r="N5" s="99"/>
      <x:c r="O5" s="99"/>
      <x:c r="P5" s="99"/>
      <x:c r="Q5" s="99"/>
      <x:c r="R5" s="99"/>
      <x:c r="S5" s="99"/>
      <x:c r="T5" s="99"/>
      <x:c r="U5" s="99"/>
      <x:c r="V5" s="99"/>
      <x:c r="W5" s="99"/>
      <x:c r="X5" s="99"/>
      <x:c r="Y5" s="99"/>
      <x:c r="Z5" s="99"/>
    </x:row>
    <x:row r="6">
      <x:c r="A6" s="144" t="str">
        <x:v>Included</x:v>
      </x:c>
      <x:c r="B6" s="145" t="n">
        <x:f>SETUP!E6</x:f>
        <x:v>0</x:v>
      </x:c>
      <x:c r="C6" s="143"/>
      <x:c r="D6" s="144" t="str">
        <x:v>Question Wording Reviews</x:v>
      </x:c>
      <x:c r="E6" s="145" t="n">
        <x:f>COUNTIF('SURVEY DESIGN'!J4:J15,"REVIEW")+COUNTIF('SURVEY DESIGN'!K4:K15,"REVIEW")+COUNTIF('SURVEY DESIGN'!L4:L15,"REVIEW")</x:f>
        <x:v>0</x:v>
      </x:c>
      <x:c r="F6" s="143"/>
      <x:c r="G6" s="146"/>
      <x:c r="H6" s="146"/>
      <x:c r="I6" s="146"/>
      <x:c r="J6" s="146"/>
      <x:c r="K6" s="146"/>
      <x:c r="L6" s="146"/>
      <x:c r="M6" s="99"/>
      <x:c r="N6" s="99"/>
      <x:c r="O6" s="99"/>
      <x:c r="P6" s="99"/>
      <x:c r="Q6" s="99"/>
      <x:c r="R6" s="99"/>
      <x:c r="S6" s="99"/>
      <x:c r="T6" s="99"/>
      <x:c r="U6" s="99"/>
      <x:c r="V6" s="99"/>
      <x:c r="W6" s="99"/>
      <x:c r="X6" s="99"/>
      <x:c r="Y6" s="99"/>
      <x:c r="Z6" s="99"/>
    </x:row>
    <x:row r="7">
      <x:c r="A7" s="144" t="str">
        <x:v>Response Rate</x:v>
      </x:c>
      <x:c r="B7" s="147" t="n">
        <x:f>SETUP!E7</x:f>
        <x:v>0</x:v>
      </x:c>
      <x:c r="C7" s="143"/>
      <x:c r="D7" s="144" t="str">
        <x:v>Metadata Flags</x:v>
      </x:c>
      <x:c r="E7" s="145" t="n">
        <x:f>COUNTIF('SURVEY DESIGN'!M4:M15,"ACTION NEEDED")</x:f>
        <x:v>0</x:v>
      </x:c>
      <x:c r="F7" s="143"/>
      <x:c r="G7" s="146"/>
      <x:c r="H7" s="146"/>
      <x:c r="I7" s="146"/>
      <x:c r="J7" s="146"/>
      <x:c r="K7" s="146"/>
      <x:c r="L7" s="146"/>
      <x:c r="M7" s="99"/>
      <x:c r="N7" s="99"/>
      <x:c r="O7" s="99"/>
      <x:c r="P7" s="99"/>
      <x:c r="Q7" s="99"/>
      <x:c r="R7" s="99"/>
      <x:c r="S7" s="99"/>
      <x:c r="T7" s="99"/>
      <x:c r="U7" s="99"/>
      <x:c r="V7" s="99"/>
      <x:c r="W7" s="99"/>
      <x:c r="X7" s="99"/>
      <x:c r="Y7" s="99"/>
      <x:c r="Z7" s="99"/>
    </x:row>
    <x:row r="8">
      <x:c r="A8" s="144" t="str">
        <x:v>Analysis Retention</x:v>
      </x:c>
      <x:c r="B8" s="147" t="n">
        <x:f>SETUP!E8</x:f>
        <x:v>0</x:v>
      </x:c>
      <x:c r="C8" s="143"/>
      <x:c r="D8" s="144" t="str">
        <x:v>Coded Open Text</x:v>
      </x:c>
      <x:c r="E8" s="145" t="n">
        <x:f>COUNTIF('OPEN TEXT CODING'!C4:C103,"&lt;&gt;")</x:f>
        <x:v>0</x:v>
      </x:c>
      <x:c r="F8" s="143"/>
      <x:c r="G8" s="146"/>
      <x:c r="H8" s="146"/>
      <x:c r="I8" s="146"/>
      <x:c r="J8" s="146"/>
      <x:c r="K8" s="146"/>
      <x:c r="L8" s="146"/>
      <x:c r="M8" s="99"/>
      <x:c r="N8" s="99"/>
      <x:c r="O8" s="99"/>
      <x:c r="P8" s="99"/>
      <x:c r="Q8" s="99"/>
      <x:c r="R8" s="99"/>
      <x:c r="S8" s="99"/>
      <x:c r="T8" s="99"/>
      <x:c r="U8" s="99"/>
      <x:c r="V8" s="99"/>
      <x:c r="W8" s="99"/>
      <x:c r="X8" s="99"/>
      <x:c r="Y8" s="99"/>
      <x:c r="Z8" s="99"/>
    </x:row>
    <x:row r="9">
      <x:c r="A9" s="144" t="str">
        <x:v>QA Exclusions</x:v>
      </x:c>
      <x:c r="B9" s="145" t="n">
        <x:f>SETUP!E9</x:f>
        <x:v>0</x:v>
      </x:c>
      <x:c r="C9" s="143"/>
      <x:c r="D9" s="144" t="str">
        <x:v>Uncoded Open Text</x:v>
      </x:c>
      <x:c r="E9" s="145" t="n">
        <x:f>COUNTIF('OPEN TEXT CODING'!J4:J103,"ADD CODE")</x:f>
        <x:v>0</x:v>
      </x:c>
      <x:c r="F9" s="143"/>
      <x:c r="G9" s="143"/>
      <x:c r="H9" s="143"/>
      <x:c r="I9" s="143"/>
      <x:c r="J9" s="143"/>
      <x:c r="K9" s="143"/>
      <x:c r="L9" s="143"/>
      <x:c r="M9" s="99"/>
      <x:c r="N9" s="99"/>
      <x:c r="O9" s="99"/>
      <x:c r="P9" s="99"/>
      <x:c r="Q9" s="99"/>
      <x:c r="R9" s="99"/>
      <x:c r="S9" s="99"/>
      <x:c r="T9" s="99"/>
      <x:c r="U9" s="99"/>
      <x:c r="V9" s="99"/>
      <x:c r="W9" s="99"/>
      <x:c r="X9" s="99"/>
      <x:c r="Y9" s="99"/>
      <x:c r="Z9" s="99"/>
    </x:row>
    <x:row r="10">
      <x:c r="A10" s="144" t="str">
        <x:v>Overall Mean</x:v>
      </x:c>
      <x:c r="B10" s="148" t="n">
        <x:f>SETUP!E10</x:f>
        <x:v>0</x:v>
      </x:c>
      <x:c r="C10" s="143"/>
      <x:c r="D10" s="143"/>
      <x:c r="E10" s="143"/>
      <x:c r="F10" s="143"/>
      <x:c r="G10" s="143"/>
      <x:c r="H10" s="143"/>
      <x:c r="I10" s="143"/>
      <x:c r="J10" s="143"/>
      <x:c r="K10" s="143"/>
      <x:c r="L10" s="143"/>
      <x:c r="M10" s="99"/>
      <x:c r="N10" s="99"/>
      <x:c r="O10" s="99"/>
      <x:c r="P10" s="99"/>
      <x:c r="Q10" s="99"/>
      <x:c r="R10" s="99"/>
      <x:c r="S10" s="99"/>
      <x:c r="T10" s="99"/>
      <x:c r="U10" s="99"/>
      <x:c r="V10" s="99"/>
      <x:c r="W10" s="99"/>
      <x:c r="X10" s="99"/>
      <x:c r="Y10" s="99"/>
      <x:c r="Z10" s="99"/>
    </x:row>
    <x:row r="11">
      <x:c r="A11" s="144" t="str">
        <x:v>High-Priority Needs</x:v>
      </x:c>
      <x:c r="B11" s="145" t="n">
        <x:f>COUNTIF('NEEDS PRIORITY'!F4:F23,"HIGH")</x:f>
        <x:v>0</x:v>
      </x:c>
      <x:c r="C11" s="143"/>
      <x:c r="D11" s="143"/>
      <x:c r="E11" s="143"/>
      <x:c r="F11" s="143"/>
      <x:c r="G11" s="143"/>
      <x:c r="H11" s="143"/>
      <x:c r="I11" s="143"/>
      <x:c r="J11" s="143"/>
      <x:c r="K11" s="143"/>
      <x:c r="L11" s="143"/>
      <x:c r="M11" s="99"/>
      <x:c r="N11" s="99"/>
      <x:c r="O11" s="99"/>
      <x:c r="P11" s="99"/>
      <x:c r="Q11" s="99"/>
      <x:c r="R11" s="99"/>
      <x:c r="S11" s="99"/>
      <x:c r="T11" s="99"/>
      <x:c r="U11" s="99"/>
      <x:c r="V11" s="99"/>
      <x:c r="W11" s="99"/>
      <x:c r="X11" s="99"/>
      <x:c r="Y11" s="99"/>
      <x:c r="Z11" s="99"/>
    </x:row>
    <x:row r="12">
      <x:c r="A12" s="143"/>
      <x:c r="B12" s="143"/>
      <x:c r="C12" s="143"/>
      <x:c r="D12" s="143"/>
      <x:c r="E12" s="143"/>
      <x:c r="F12" s="143"/>
      <x:c r="G12" s="143"/>
      <x:c r="H12" s="143"/>
      <x:c r="I12" s="143"/>
      <x:c r="J12" s="143"/>
      <x:c r="K12" s="143"/>
      <x:c r="L12" s="143"/>
      <x:c r="M12" s="99"/>
      <x:c r="N12" s="99"/>
      <x:c r="O12" s="99"/>
      <x:c r="P12" s="99"/>
      <x:c r="Q12" s="99"/>
      <x:c r="R12" s="99"/>
      <x:c r="S12" s="99"/>
      <x:c r="T12" s="99"/>
      <x:c r="U12" s="99"/>
      <x:c r="V12" s="99"/>
      <x:c r="W12" s="99"/>
      <x:c r="X12" s="99"/>
      <x:c r="Y12" s="99"/>
      <x:c r="Z12" s="99"/>
    </x:row>
    <x:row r="13">
      <x:c r="A13" s="143"/>
      <x:c r="B13" s="143"/>
      <x:c r="C13" s="143"/>
      <x:c r="D13" s="143"/>
      <x:c r="E13" s="143"/>
      <x:c r="F13" s="143"/>
      <x:c r="G13" s="143"/>
      <x:c r="H13" s="143"/>
      <x:c r="I13" s="143"/>
      <x:c r="J13" s="143"/>
      <x:c r="K13" s="143"/>
      <x:c r="L13" s="143"/>
      <x:c r="M13" s="99"/>
      <x:c r="N13" s="99"/>
      <x:c r="O13" s="99"/>
      <x:c r="P13" s="99"/>
      <x:c r="Q13" s="99"/>
      <x:c r="R13" s="99"/>
      <x:c r="S13" s="99"/>
      <x:c r="T13" s="99"/>
      <x:c r="U13" s="99"/>
      <x:c r="V13" s="99"/>
      <x:c r="W13" s="99"/>
      <x:c r="X13" s="99"/>
      <x:c r="Y13" s="99"/>
      <x:c r="Z13" s="99"/>
    </x:row>
    <x:row r="14">
      <x:c r="A14" s="143"/>
      <x:c r="B14" s="143"/>
      <x:c r="C14" s="143"/>
      <x:c r="D14" s="143"/>
      <x:c r="E14" s="143"/>
      <x:c r="F14" s="143"/>
      <x:c r="G14" s="143"/>
      <x:c r="H14" s="143"/>
      <x:c r="I14" s="143"/>
      <x:c r="J14" s="143"/>
      <x:c r="K14" s="143"/>
      <x:c r="L14" s="143"/>
      <x:c r="M14" s="99"/>
      <x:c r="N14" s="99"/>
      <x:c r="O14" s="99"/>
      <x:c r="P14" s="99"/>
      <x:c r="Q14" s="99"/>
      <x:c r="R14" s="99"/>
      <x:c r="S14" s="99"/>
      <x:c r="T14" s="99"/>
      <x:c r="U14" s="99"/>
      <x:c r="V14" s="99"/>
      <x:c r="W14" s="99"/>
      <x:c r="X14" s="99"/>
      <x:c r="Y14" s="99"/>
      <x:c r="Z14" s="99"/>
    </x:row>
    <x:row r="15">
      <x:c r="A15" s="129" t="str">
        <x:v>ITEM PERFORMANCE</x:v>
      </x:c>
      <x:c r="B15" s="129"/>
      <x:c r="C15" s="129"/>
      <x:c r="D15" s="129"/>
      <x:c r="E15" s="143"/>
      <x:c r="F15" s="143"/>
      <x:c r="G15" s="143"/>
      <x:c r="H15" s="143"/>
      <x:c r="I15" s="143"/>
      <x:c r="J15" s="143"/>
      <x:c r="K15" s="143"/>
      <x:c r="L15" s="143"/>
      <x:c r="M15" s="99"/>
      <x:c r="N15" s="99"/>
      <x:c r="O15" s="99"/>
      <x:c r="P15" s="99"/>
      <x:c r="Q15" s="99"/>
      <x:c r="R15" s="99"/>
      <x:c r="S15" s="99"/>
      <x:c r="T15" s="99"/>
      <x:c r="U15" s="99"/>
      <x:c r="V15" s="99"/>
      <x:c r="W15" s="99"/>
      <x:c r="X15" s="99"/>
      <x:c r="Y15" s="99"/>
      <x:c r="Z15" s="99"/>
    </x:row>
    <x:row r="16">
      <x:c r="A16" s="144" t="str">
        <x:v>Item</x:v>
      </x:c>
      <x:c r="B16" s="144" t="str">
        <x:v>Construct</x:v>
      </x:c>
      <x:c r="C16" s="144" t="str">
        <x:v>Mean</x:v>
      </x:c>
      <x:c r="D16" s="144" t="str">
        <x:v>Favorable %</x:v>
      </x:c>
      <x:c r="E16" s="143"/>
      <x:c r="F16" s="143"/>
      <x:c r="G16" s="143"/>
      <x:c r="H16" s="143"/>
      <x:c r="I16" s="143"/>
      <x:c r="J16" s="143"/>
      <x:c r="K16" s="143"/>
      <x:c r="L16" s="143"/>
      <x:c r="M16" s="99"/>
      <x:c r="N16" s="99"/>
      <x:c r="O16" s="99"/>
      <x:c r="P16" s="99"/>
      <x:c r="Q16" s="99"/>
      <x:c r="R16" s="99"/>
      <x:c r="S16" s="99"/>
      <x:c r="T16" s="99"/>
      <x:c r="U16" s="99"/>
      <x:c r="V16" s="99"/>
      <x:c r="W16" s="99"/>
      <x:c r="X16" s="99"/>
      <x:c r="Y16" s="99"/>
      <x:c r="Z16" s="99"/>
    </x:row>
    <x:row r="17">
      <x:c r="A17" s="143" t="str">
        <x:f>'ITEM SUMMARY'!A4</x:f>
      </x:c>
      <x:c r="B17" s="143" t="str">
        <x:f>'ITEM SUMMARY'!B4</x:f>
      </x:c>
      <x:c r="C17" s="149" t="str">
        <x:f>'ITEM SUMMARY'!E4</x:f>
      </x:c>
      <x:c r="D17" s="150" t="str">
        <x:f>'ITEM SUMMARY'!F4</x:f>
      </x:c>
      <x:c r="E17" s="143"/>
      <x:c r="F17" s="143"/>
      <x:c r="G17" s="143"/>
      <x:c r="H17" s="143"/>
      <x:c r="I17" s="143"/>
      <x:c r="J17" s="143"/>
      <x:c r="K17" s="143"/>
      <x:c r="L17" s="143"/>
      <x:c r="M17" s="99"/>
      <x:c r="N17" s="99"/>
      <x:c r="O17" s="99"/>
      <x:c r="P17" s="99"/>
      <x:c r="Q17" s="99"/>
      <x:c r="R17" s="99"/>
      <x:c r="S17" s="99"/>
      <x:c r="T17" s="99"/>
      <x:c r="U17" s="99"/>
      <x:c r="V17" s="99"/>
      <x:c r="W17" s="99"/>
      <x:c r="X17" s="99"/>
      <x:c r="Y17" s="99"/>
      <x:c r="Z17" s="99"/>
    </x:row>
    <x:row r="18">
      <x:c r="A18" s="143" t="str">
        <x:f>'ITEM SUMMARY'!A5</x:f>
      </x:c>
      <x:c r="B18" s="143" t="str">
        <x:f>'ITEM SUMMARY'!B5</x:f>
      </x:c>
      <x:c r="C18" s="149" t="str">
        <x:f>'ITEM SUMMARY'!E5</x:f>
      </x:c>
      <x:c r="D18" s="150" t="str">
        <x:f>'ITEM SUMMARY'!F5</x:f>
      </x:c>
      <x:c r="E18" s="143"/>
      <x:c r="F18" s="143"/>
      <x:c r="G18" s="143"/>
      <x:c r="H18" s="143"/>
      <x:c r="I18" s="143"/>
      <x:c r="J18" s="143"/>
      <x:c r="K18" s="143"/>
      <x:c r="L18" s="143"/>
      <x:c r="M18" s="99"/>
      <x:c r="N18" s="99"/>
      <x:c r="O18" s="99"/>
      <x:c r="P18" s="99"/>
      <x:c r="Q18" s="99"/>
      <x:c r="R18" s="99"/>
      <x:c r="S18" s="99"/>
      <x:c r="T18" s="99"/>
      <x:c r="U18" s="99"/>
      <x:c r="V18" s="99"/>
      <x:c r="W18" s="99"/>
      <x:c r="X18" s="99"/>
      <x:c r="Y18" s="99"/>
      <x:c r="Z18" s="99"/>
    </x:row>
    <x:row r="19">
      <x:c r="A19" s="143" t="str">
        <x:f>'ITEM SUMMARY'!A6</x:f>
      </x:c>
      <x:c r="B19" s="143" t="str">
        <x:f>'ITEM SUMMARY'!B6</x:f>
      </x:c>
      <x:c r="C19" s="149" t="str">
        <x:f>'ITEM SUMMARY'!E6</x:f>
      </x:c>
      <x:c r="D19" s="150" t="str">
        <x:f>'ITEM SUMMARY'!F6</x:f>
      </x:c>
      <x:c r="E19" s="143"/>
      <x:c r="F19" s="143"/>
      <x:c r="G19" s="143"/>
      <x:c r="H19" s="143"/>
      <x:c r="I19" s="143"/>
      <x:c r="J19" s="143"/>
      <x:c r="K19" s="143"/>
      <x:c r="L19" s="143"/>
      <x:c r="M19" s="99"/>
      <x:c r="N19" s="99"/>
      <x:c r="O19" s="99"/>
      <x:c r="P19" s="99"/>
      <x:c r="Q19" s="99"/>
      <x:c r="R19" s="99"/>
      <x:c r="S19" s="99"/>
      <x:c r="T19" s="99"/>
      <x:c r="U19" s="99"/>
      <x:c r="V19" s="99"/>
      <x:c r="W19" s="99"/>
      <x:c r="X19" s="99"/>
      <x:c r="Y19" s="99"/>
      <x:c r="Z19" s="99"/>
    </x:row>
    <x:row r="20">
      <x:c r="A20" s="143" t="str">
        <x:f>'ITEM SUMMARY'!A7</x:f>
      </x:c>
      <x:c r="B20" s="143" t="str">
        <x:f>'ITEM SUMMARY'!B7</x:f>
      </x:c>
      <x:c r="C20" s="149" t="str">
        <x:f>'ITEM SUMMARY'!E7</x:f>
      </x:c>
      <x:c r="D20" s="150" t="str">
        <x:f>'ITEM SUMMARY'!F7</x:f>
      </x:c>
      <x:c r="E20" s="143"/>
      <x:c r="F20" s="143"/>
      <x:c r="G20" s="143"/>
      <x:c r="H20" s="143"/>
      <x:c r="I20" s="143"/>
      <x:c r="J20" s="143"/>
      <x:c r="K20" s="143"/>
      <x:c r="L20" s="143"/>
      <x:c r="M20" s="99"/>
      <x:c r="N20" s="99"/>
      <x:c r="O20" s="99"/>
      <x:c r="P20" s="99"/>
      <x:c r="Q20" s="99"/>
      <x:c r="R20" s="99"/>
      <x:c r="S20" s="99"/>
      <x:c r="T20" s="99"/>
      <x:c r="U20" s="99"/>
      <x:c r="V20" s="99"/>
      <x:c r="W20" s="99"/>
      <x:c r="X20" s="99"/>
      <x:c r="Y20" s="99"/>
      <x:c r="Z20" s="99"/>
    </x:row>
    <x:row r="21">
      <x:c r="A21" s="143" t="str">
        <x:f>'ITEM SUMMARY'!A8</x:f>
      </x:c>
      <x:c r="B21" s="143" t="str">
        <x:f>'ITEM SUMMARY'!B8</x:f>
      </x:c>
      <x:c r="C21" s="149" t="str">
        <x:f>'ITEM SUMMARY'!E8</x:f>
      </x:c>
      <x:c r="D21" s="150" t="str">
        <x:f>'ITEM SUMMARY'!F8</x:f>
      </x:c>
      <x:c r="E21" s="143"/>
      <x:c r="F21" s="143"/>
      <x:c r="G21" s="143"/>
      <x:c r="H21" s="143"/>
      <x:c r="I21" s="143"/>
      <x:c r="J21" s="143"/>
      <x:c r="K21" s="143"/>
      <x:c r="L21" s="143"/>
      <x:c r="M21" s="99"/>
      <x:c r="N21" s="99"/>
      <x:c r="O21" s="99"/>
      <x:c r="P21" s="99"/>
      <x:c r="Q21" s="99"/>
      <x:c r="R21" s="99"/>
      <x:c r="S21" s="99"/>
      <x:c r="T21" s="99"/>
      <x:c r="U21" s="99"/>
      <x:c r="V21" s="99"/>
      <x:c r="W21" s="99"/>
      <x:c r="X21" s="99"/>
      <x:c r="Y21" s="99"/>
      <x:c r="Z21" s="99"/>
    </x:row>
    <x:row r="22">
      <x:c r="A22" s="143" t="str">
        <x:f>'ITEM SUMMARY'!A9</x:f>
      </x:c>
      <x:c r="B22" s="143" t="str">
        <x:f>'ITEM SUMMARY'!B9</x:f>
      </x:c>
      <x:c r="C22" s="149" t="str">
        <x:f>'ITEM SUMMARY'!E9</x:f>
      </x:c>
      <x:c r="D22" s="150" t="str">
        <x:f>'ITEM SUMMARY'!F9</x:f>
      </x:c>
      <x:c r="E22" s="143"/>
      <x:c r="F22" s="143"/>
      <x:c r="G22" s="143"/>
      <x:c r="H22" s="143"/>
      <x:c r="I22" s="143"/>
      <x:c r="J22" s="143"/>
      <x:c r="K22" s="143"/>
      <x:c r="L22" s="143"/>
      <x:c r="M22" s="99"/>
      <x:c r="N22" s="99"/>
      <x:c r="O22" s="99"/>
      <x:c r="P22" s="99"/>
      <x:c r="Q22" s="99"/>
      <x:c r="R22" s="99"/>
      <x:c r="S22" s="99"/>
      <x:c r="T22" s="99"/>
      <x:c r="U22" s="99"/>
      <x:c r="V22" s="99"/>
      <x:c r="W22" s="99"/>
      <x:c r="X22" s="99"/>
      <x:c r="Y22" s="99"/>
      <x:c r="Z22" s="99"/>
    </x:row>
    <x:row r="23">
      <x:c r="A23" s="143" t="str">
        <x:f>'ITEM SUMMARY'!A10</x:f>
      </x:c>
      <x:c r="B23" s="143" t="str">
        <x:f>'ITEM SUMMARY'!B10</x:f>
      </x:c>
      <x:c r="C23" s="149" t="str">
        <x:f>'ITEM SUMMARY'!E10</x:f>
      </x:c>
      <x:c r="D23" s="150" t="str">
        <x:f>'ITEM SUMMARY'!F10</x:f>
      </x:c>
      <x:c r="E23" s="143"/>
      <x:c r="F23" s="143"/>
      <x:c r="G23" s="143"/>
      <x:c r="H23" s="143"/>
      <x:c r="I23" s="143"/>
      <x:c r="J23" s="143"/>
      <x:c r="K23" s="143"/>
      <x:c r="L23" s="143"/>
      <x:c r="M23" s="99"/>
      <x:c r="N23" s="99"/>
      <x:c r="O23" s="99"/>
      <x:c r="P23" s="99"/>
      <x:c r="Q23" s="99"/>
      <x:c r="R23" s="99"/>
      <x:c r="S23" s="99"/>
      <x:c r="T23" s="99"/>
      <x:c r="U23" s="99"/>
      <x:c r="V23" s="99"/>
      <x:c r="W23" s="99"/>
      <x:c r="X23" s="99"/>
      <x:c r="Y23" s="99"/>
      <x:c r="Z23" s="99"/>
    </x:row>
    <x:row r="24">
      <x:c r="A24" s="143" t="str">
        <x:f>'ITEM SUMMARY'!A11</x:f>
      </x:c>
      <x:c r="B24" s="143" t="str">
        <x:f>'ITEM SUMMARY'!B11</x:f>
      </x:c>
      <x:c r="C24" s="149" t="str">
        <x:f>'ITEM SUMMARY'!E11</x:f>
      </x:c>
      <x:c r="D24" s="150" t="str">
        <x:f>'ITEM SUMMARY'!F11</x:f>
      </x:c>
      <x:c r="E24" s="143"/>
      <x:c r="F24" s="143"/>
      <x:c r="G24" s="143"/>
      <x:c r="H24" s="143"/>
      <x:c r="I24" s="143"/>
      <x:c r="J24" s="143"/>
      <x:c r="K24" s="143"/>
      <x:c r="L24" s="143"/>
      <x:c r="M24" s="99"/>
      <x:c r="N24" s="99"/>
      <x:c r="O24" s="99"/>
      <x:c r="P24" s="99"/>
      <x:c r="Q24" s="99"/>
      <x:c r="R24" s="99"/>
      <x:c r="S24" s="99"/>
      <x:c r="T24" s="99"/>
      <x:c r="U24" s="99"/>
      <x:c r="V24" s="99"/>
      <x:c r="W24" s="99"/>
      <x:c r="X24" s="99"/>
      <x:c r="Y24" s="99"/>
      <x:c r="Z24" s="99"/>
    </x:row>
    <x:row r="25">
      <x:c r="A25" s="143" t="str">
        <x:f>'ITEM SUMMARY'!A12</x:f>
      </x:c>
      <x:c r="B25" s="143" t="str">
        <x:f>'ITEM SUMMARY'!B12</x:f>
      </x:c>
      <x:c r="C25" s="149" t="str">
        <x:f>'ITEM SUMMARY'!E12</x:f>
      </x:c>
      <x:c r="D25" s="150" t="str">
        <x:f>'ITEM SUMMARY'!F12</x:f>
      </x:c>
      <x:c r="E25" s="143"/>
      <x:c r="F25" s="143"/>
      <x:c r="G25" s="143"/>
      <x:c r="H25" s="143"/>
      <x:c r="I25" s="143"/>
      <x:c r="J25" s="143"/>
      <x:c r="K25" s="143"/>
      <x:c r="L25" s="143"/>
      <x:c r="M25" s="99"/>
      <x:c r="N25" s="99"/>
      <x:c r="O25" s="99"/>
      <x:c r="P25" s="99"/>
      <x:c r="Q25" s="99"/>
      <x:c r="R25" s="99"/>
      <x:c r="S25" s="99"/>
      <x:c r="T25" s="99"/>
      <x:c r="U25" s="99"/>
      <x:c r="V25" s="99"/>
      <x:c r="W25" s="99"/>
      <x:c r="X25" s="99"/>
      <x:c r="Y25" s="99"/>
      <x:c r="Z25" s="99"/>
    </x:row>
    <x:row r="26">
      <x:c r="A26" s="143" t="str">
        <x:f>'ITEM SUMMARY'!A13</x:f>
      </x:c>
      <x:c r="B26" s="143" t="str">
        <x:f>'ITEM SUMMARY'!B13</x:f>
      </x:c>
      <x:c r="C26" s="149" t="str">
        <x:f>'ITEM SUMMARY'!E13</x:f>
      </x:c>
      <x:c r="D26" s="150" t="str">
        <x:f>'ITEM SUMMARY'!F13</x:f>
      </x:c>
      <x:c r="E26" s="143"/>
      <x:c r="F26" s="143"/>
      <x:c r="G26" s="143"/>
      <x:c r="H26" s="143"/>
      <x:c r="I26" s="143"/>
      <x:c r="J26" s="143"/>
      <x:c r="K26" s="143"/>
      <x:c r="L26" s="143"/>
      <x:c r="M26" s="99"/>
      <x:c r="N26" s="99"/>
      <x:c r="O26" s="99"/>
      <x:c r="P26" s="99"/>
      <x:c r="Q26" s="99"/>
      <x:c r="R26" s="99"/>
      <x:c r="S26" s="99"/>
      <x:c r="T26" s="99"/>
      <x:c r="U26" s="99"/>
      <x:c r="V26" s="99"/>
      <x:c r="W26" s="99"/>
      <x:c r="X26" s="99"/>
      <x:c r="Y26" s="99"/>
      <x:c r="Z26" s="99"/>
    </x:row>
    <x:row r="27">
      <x:c r="A27" s="143" t="str">
        <x:f>'ITEM SUMMARY'!A14</x:f>
      </x:c>
      <x:c r="B27" s="143" t="str">
        <x:f>'ITEM SUMMARY'!B14</x:f>
      </x:c>
      <x:c r="C27" s="149" t="str">
        <x:f>'ITEM SUMMARY'!E14</x:f>
      </x:c>
      <x:c r="D27" s="150" t="str">
        <x:f>'ITEM SUMMARY'!F14</x:f>
      </x:c>
      <x:c r="E27" s="143"/>
      <x:c r="F27" s="143"/>
      <x:c r="G27" s="143"/>
      <x:c r="H27" s="143"/>
      <x:c r="I27" s="143"/>
      <x:c r="J27" s="143"/>
      <x:c r="K27" s="143"/>
      <x:c r="L27" s="143"/>
      <x:c r="M27" s="99"/>
      <x:c r="N27" s="99"/>
      <x:c r="O27" s="99"/>
      <x:c r="P27" s="99"/>
      <x:c r="Q27" s="99"/>
      <x:c r="R27" s="99"/>
      <x:c r="S27" s="99"/>
      <x:c r="T27" s="99"/>
      <x:c r="U27" s="99"/>
      <x:c r="V27" s="99"/>
      <x:c r="W27" s="99"/>
      <x:c r="X27" s="99"/>
      <x:c r="Y27" s="99"/>
      <x:c r="Z27" s="99"/>
    </x:row>
    <x:row r="28">
      <x:c r="A28" s="143" t="n">
        <x:f>'ITEM SUMMARY'!A15</x:f>
        <x:v>0</x:v>
      </x:c>
      <x:c r="B28" s="143" t="n">
        <x:f>'ITEM SUMMARY'!B15</x:f>
        <x:v>0</x:v>
      </x:c>
      <x:c r="C28" s="149" t="n">
        <x:f>'ITEM SUMMARY'!E15</x:f>
        <x:v>0</x:v>
      </x:c>
      <x:c r="D28" s="150" t="n">
        <x:f>'ITEM SUMMARY'!F15</x:f>
        <x:v>0</x:v>
      </x:c>
      <x:c r="E28" s="143"/>
      <x:c r="F28" s="143"/>
      <x:c r="G28" s="143"/>
      <x:c r="H28" s="143"/>
      <x:c r="I28" s="143"/>
      <x:c r="J28" s="143"/>
      <x:c r="K28" s="143"/>
      <x:c r="L28" s="143"/>
      <x:c r="M28" s="99"/>
      <x:c r="N28" s="99"/>
      <x:c r="O28" s="99"/>
      <x:c r="P28" s="99"/>
      <x:c r="Q28" s="99"/>
      <x:c r="R28" s="99"/>
      <x:c r="S28" s="99"/>
      <x:c r="T28" s="99"/>
      <x:c r="U28" s="99"/>
      <x:c r="V28" s="99"/>
      <x:c r="W28" s="99"/>
      <x:c r="X28" s="99"/>
      <x:c r="Y28" s="99"/>
      <x:c r="Z28" s="99"/>
    </x:row>
    <x:row r="29">
      <x:c r="A29" s="143"/>
      <x:c r="B29" s="143"/>
      <x:c r="C29" s="143"/>
      <x:c r="D29" s="143"/>
      <x:c r="E29" s="143"/>
      <x:c r="F29" s="143"/>
      <x:c r="G29" s="143"/>
      <x:c r="H29" s="143"/>
      <x:c r="I29" s="143"/>
      <x:c r="J29" s="143"/>
      <x:c r="K29" s="143"/>
      <x:c r="L29" s="143"/>
      <x:c r="M29" s="99"/>
      <x:c r="N29" s="99"/>
      <x:c r="O29" s="99"/>
      <x:c r="P29" s="99"/>
      <x:c r="Q29" s="99"/>
      <x:c r="R29" s="99"/>
      <x:c r="S29" s="99"/>
      <x:c r="T29" s="99"/>
      <x:c r="U29" s="99"/>
      <x:c r="V29" s="99"/>
      <x:c r="W29" s="99"/>
      <x:c r="X29" s="99"/>
      <x:c r="Y29" s="99"/>
      <x:c r="Z29" s="99"/>
    </x:row>
    <x:row r="30">
      <x:c r="A30" s="143"/>
      <x:c r="B30" s="143"/>
      <x:c r="C30" s="143"/>
      <x:c r="D30" s="143"/>
      <x:c r="E30" s="143"/>
      <x:c r="F30" s="143"/>
      <x:c r="G30" s="143"/>
      <x:c r="H30" s="143"/>
      <x:c r="I30" s="143"/>
      <x:c r="J30" s="143"/>
      <x:c r="K30" s="143"/>
      <x:c r="L30" s="143"/>
      <x:c r="M30" s="99"/>
      <x:c r="N30" s="99"/>
      <x:c r="O30" s="99"/>
      <x:c r="P30" s="99"/>
      <x:c r="Q30" s="99"/>
      <x:c r="R30" s="99"/>
      <x:c r="S30" s="99"/>
      <x:c r="T30" s="99"/>
      <x:c r="U30" s="99"/>
      <x:c r="V30" s="99"/>
      <x:c r="W30" s="99"/>
      <x:c r="X30" s="99"/>
      <x:c r="Y30" s="99"/>
      <x:c r="Z30" s="99"/>
    </x:row>
    <x:row r="31">
      <x:c r="A31" s="143"/>
      <x:c r="B31" s="143"/>
      <x:c r="C31" s="143"/>
      <x:c r="D31" s="143"/>
      <x:c r="E31" s="143"/>
      <x:c r="F31" s="143"/>
      <x:c r="G31" s="143"/>
      <x:c r="H31" s="143"/>
      <x:c r="I31" s="143"/>
      <x:c r="J31" s="143"/>
      <x:c r="K31" s="143"/>
      <x:c r="L31" s="143"/>
      <x:c r="M31" s="99"/>
      <x:c r="N31" s="99"/>
      <x:c r="O31" s="99"/>
      <x:c r="P31" s="99"/>
      <x:c r="Q31" s="99"/>
      <x:c r="R31" s="99"/>
      <x:c r="S31" s="99"/>
      <x:c r="T31" s="99"/>
      <x:c r="U31" s="99"/>
      <x:c r="V31" s="99"/>
      <x:c r="W31" s="99"/>
      <x:c r="X31" s="99"/>
      <x:c r="Y31" s="99"/>
      <x:c r="Z31" s="99"/>
    </x:row>
    <x:row r="32">
      <x:c r="A32" s="129" t="str">
        <x:v>SEGMENT PREVIEW</x:v>
      </x:c>
      <x:c r="B32" s="129"/>
      <x:c r="C32" s="129"/>
      <x:c r="D32" s="129"/>
      <x:c r="E32" s="129"/>
      <x:c r="F32" s="143"/>
      <x:c r="G32" s="143"/>
      <x:c r="H32" s="143"/>
      <x:c r="I32" s="143"/>
      <x:c r="J32" s="143"/>
      <x:c r="K32" s="143"/>
      <x:c r="L32" s="143"/>
      <x:c r="M32" s="99"/>
      <x:c r="N32" s="99"/>
      <x:c r="O32" s="99"/>
      <x:c r="P32" s="99"/>
      <x:c r="Q32" s="99"/>
      <x:c r="R32" s="99"/>
      <x:c r="S32" s="99"/>
      <x:c r="T32" s="99"/>
      <x:c r="U32" s="99"/>
      <x:c r="V32" s="99"/>
      <x:c r="W32" s="99"/>
      <x:c r="X32" s="99"/>
      <x:c r="Y32" s="99"/>
      <x:c r="Z32" s="99"/>
    </x:row>
    <x:row r="33">
      <x:c r="A33" s="144" t="str">
        <x:v>Segment</x:v>
      </x:c>
      <x:c r="B33" s="144" t="str">
        <x:v>N</x:v>
      </x:c>
      <x:c r="C33" s="144" t="str">
        <x:v>Mean</x:v>
      </x:c>
      <x:c r="D33" s="144" t="str">
        <x:v>Difference vs Overall</x:v>
      </x:c>
      <x:c r="E33" s="144" t="str">
        <x:v>QA</x:v>
      </x:c>
      <x:c r="F33" s="143"/>
      <x:c r="G33" s="143"/>
      <x:c r="H33" s="143"/>
      <x:c r="I33" s="143"/>
      <x:c r="J33" s="143"/>
      <x:c r="K33" s="143"/>
      <x:c r="L33" s="143"/>
      <x:c r="M33" s="99"/>
      <x:c r="N33" s="99"/>
      <x:c r="O33" s="99"/>
      <x:c r="P33" s="99"/>
      <x:c r="Q33" s="99"/>
      <x:c r="R33" s="99"/>
      <x:c r="S33" s="99"/>
      <x:c r="T33" s="99"/>
      <x:c r="U33" s="99"/>
      <x:c r="V33" s="99"/>
      <x:c r="W33" s="99"/>
      <x:c r="X33" s="99"/>
      <x:c r="Y33" s="99"/>
      <x:c r="Z33" s="99"/>
    </x:row>
    <x:row r="34">
      <x:c r="A34" s="143" t="n">
        <x:f>SEGMENTATION!A10</x:f>
        <x:v>0</x:v>
      </x:c>
      <x:c r="B34" s="143" t="str">
        <x:f>SEGMENTATION!B10</x:f>
      </x:c>
      <x:c r="C34" s="149" t="str">
        <x:f>SEGMENTATION!C10</x:f>
      </x:c>
      <x:c r="D34" s="149" t="str">
        <x:f>SEGMENTATION!D10</x:f>
      </x:c>
      <x:c r="E34" s="143" t="n">
        <x:f>SEGMENTATION!E10</x:f>
        <x:v>0</x:v>
      </x:c>
      <x:c r="F34" s="143"/>
      <x:c r="G34" s="143"/>
      <x:c r="H34" s="143"/>
      <x:c r="I34" s="143"/>
      <x:c r="J34" s="143"/>
      <x:c r="K34" s="143"/>
      <x:c r="L34" s="143"/>
      <x:c r="M34" s="99"/>
      <x:c r="N34" s="99"/>
      <x:c r="O34" s="99"/>
      <x:c r="P34" s="99"/>
      <x:c r="Q34" s="99"/>
      <x:c r="R34" s="99"/>
      <x:c r="S34" s="99"/>
      <x:c r="T34" s="99"/>
      <x:c r="U34" s="99"/>
      <x:c r="V34" s="99"/>
      <x:c r="W34" s="99"/>
      <x:c r="X34" s="99"/>
      <x:c r="Y34" s="99"/>
      <x:c r="Z34" s="99"/>
    </x:row>
    <x:row r="35">
      <x:c r="A35" s="143" t="n">
        <x:f>SEGMENTATION!A11</x:f>
        <x:v>0</x:v>
      </x:c>
      <x:c r="B35" s="143" t="str">
        <x:f>SEGMENTATION!B11</x:f>
      </x:c>
      <x:c r="C35" s="149" t="str">
        <x:f>SEGMENTATION!C11</x:f>
      </x:c>
      <x:c r="D35" s="149" t="str">
        <x:f>SEGMENTATION!D11</x:f>
      </x:c>
      <x:c r="E35" s="143" t="n">
        <x:f>SEGMENTATION!E11</x:f>
        <x:v>0</x:v>
      </x:c>
      <x:c r="F35" s="143"/>
      <x:c r="G35" s="143"/>
      <x:c r="H35" s="143"/>
      <x:c r="I35" s="143"/>
      <x:c r="J35" s="143"/>
      <x:c r="K35" s="143"/>
      <x:c r="L35" s="143"/>
      <x:c r="M35" s="99"/>
      <x:c r="N35" s="99"/>
      <x:c r="O35" s="99"/>
      <x:c r="P35" s="99"/>
      <x:c r="Q35" s="99"/>
      <x:c r="R35" s="99"/>
      <x:c r="S35" s="99"/>
      <x:c r="T35" s="99"/>
      <x:c r="U35" s="99"/>
      <x:c r="V35" s="99"/>
      <x:c r="W35" s="99"/>
      <x:c r="X35" s="99"/>
      <x:c r="Y35" s="99"/>
      <x:c r="Z35" s="99"/>
    </x:row>
    <x:row r="36">
      <x:c r="A36" s="143" t="n">
        <x:f>SEGMENTATION!A12</x:f>
        <x:v>0</x:v>
      </x:c>
      <x:c r="B36" s="143" t="str">
        <x:f>SEGMENTATION!B12</x:f>
      </x:c>
      <x:c r="C36" s="149" t="str">
        <x:f>SEGMENTATION!C12</x:f>
      </x:c>
      <x:c r="D36" s="149" t="str">
        <x:f>SEGMENTATION!D12</x:f>
      </x:c>
      <x:c r="E36" s="143" t="n">
        <x:f>SEGMENTATION!E12</x:f>
        <x:v>0</x:v>
      </x:c>
      <x:c r="F36" s="143"/>
      <x:c r="G36" s="143"/>
      <x:c r="H36" s="143"/>
      <x:c r="I36" s="143"/>
      <x:c r="J36" s="143"/>
      <x:c r="K36" s="143"/>
      <x:c r="L36" s="143"/>
      <x:c r="M36" s="99"/>
      <x:c r="N36" s="99"/>
      <x:c r="O36" s="99"/>
      <x:c r="P36" s="99"/>
      <x:c r="Q36" s="99"/>
      <x:c r="R36" s="99"/>
      <x:c r="S36" s="99"/>
      <x:c r="T36" s="99"/>
      <x:c r="U36" s="99"/>
      <x:c r="V36" s="99"/>
      <x:c r="W36" s="99"/>
      <x:c r="X36" s="99"/>
      <x:c r="Y36" s="99"/>
      <x:c r="Z36" s="99"/>
    </x:row>
    <x:row r="37">
      <x:c r="A37" s="143" t="n">
        <x:f>SEGMENTATION!A13</x:f>
        <x:v>0</x:v>
      </x:c>
      <x:c r="B37" s="143" t="str">
        <x:f>SEGMENTATION!B13</x:f>
      </x:c>
      <x:c r="C37" s="149" t="str">
        <x:f>SEGMENTATION!C13</x:f>
      </x:c>
      <x:c r="D37" s="149" t="str">
        <x:f>SEGMENTATION!D13</x:f>
      </x:c>
      <x:c r="E37" s="143" t="n">
        <x:f>SEGMENTATION!E13</x:f>
        <x:v>0</x:v>
      </x:c>
      <x:c r="F37" s="143"/>
      <x:c r="G37" s="143"/>
      <x:c r="H37" s="143"/>
      <x:c r="I37" s="143"/>
      <x:c r="J37" s="143"/>
      <x:c r="K37" s="143"/>
      <x:c r="L37" s="143"/>
      <x:c r="M37" s="99"/>
      <x:c r="N37" s="99"/>
      <x:c r="O37" s="99"/>
      <x:c r="P37" s="99"/>
      <x:c r="Q37" s="99"/>
      <x:c r="R37" s="99"/>
      <x:c r="S37" s="99"/>
      <x:c r="T37" s="99"/>
      <x:c r="U37" s="99"/>
      <x:c r="V37" s="99"/>
      <x:c r="W37" s="99"/>
      <x:c r="X37" s="99"/>
      <x:c r="Y37" s="99"/>
      <x:c r="Z37" s="99"/>
    </x:row>
    <x:row r="38">
      <x:c r="A38" s="143" t="n">
        <x:f>SEGMENTATION!A14</x:f>
        <x:v>0</x:v>
      </x:c>
      <x:c r="B38" s="143" t="str">
        <x:f>SEGMENTATION!B14</x:f>
      </x:c>
      <x:c r="C38" s="149" t="str">
        <x:f>SEGMENTATION!C14</x:f>
      </x:c>
      <x:c r="D38" s="149" t="str">
        <x:f>SEGMENTATION!D14</x:f>
      </x:c>
      <x:c r="E38" s="143" t="n">
        <x:f>SEGMENTATION!E14</x:f>
        <x:v>0</x:v>
      </x:c>
      <x:c r="F38" s="143"/>
      <x:c r="G38" s="143"/>
      <x:c r="H38" s="143"/>
      <x:c r="I38" s="143"/>
      <x:c r="J38" s="143"/>
      <x:c r="K38" s="143"/>
      <x:c r="L38" s="143"/>
      <x:c r="M38" s="99"/>
      <x:c r="N38" s="99"/>
      <x:c r="O38" s="99"/>
      <x:c r="P38" s="99"/>
      <x:c r="Q38" s="99"/>
      <x:c r="R38" s="99"/>
      <x:c r="S38" s="99"/>
      <x:c r="T38" s="99"/>
      <x:c r="U38" s="99"/>
      <x:c r="V38" s="99"/>
      <x:c r="W38" s="99"/>
      <x:c r="X38" s="99"/>
      <x:c r="Y38" s="99"/>
      <x:c r="Z38" s="99"/>
    </x:row>
    <x:row r="39">
      <x:c r="A39" s="143" t="n">
        <x:f>SEGMENTATION!A15</x:f>
        <x:v>0</x:v>
      </x:c>
      <x:c r="B39" s="143" t="str">
        <x:f>SEGMENTATION!B15</x:f>
      </x:c>
      <x:c r="C39" s="149" t="str">
        <x:f>SEGMENTATION!C15</x:f>
      </x:c>
      <x:c r="D39" s="149" t="str">
        <x:f>SEGMENTATION!D15</x:f>
      </x:c>
      <x:c r="E39" s="143" t="n">
        <x:f>SEGMENTATION!E15</x:f>
        <x:v>0</x:v>
      </x:c>
      <x:c r="F39" s="143"/>
      <x:c r="G39" s="143"/>
      <x:c r="H39" s="143"/>
      <x:c r="I39" s="143"/>
      <x:c r="J39" s="143"/>
      <x:c r="K39" s="143"/>
      <x:c r="L39" s="143"/>
      <x:c r="M39" s="99"/>
      <x:c r="N39" s="99"/>
      <x:c r="O39" s="99"/>
      <x:c r="P39" s="99"/>
      <x:c r="Q39" s="99"/>
      <x:c r="R39" s="99"/>
      <x:c r="S39" s="99"/>
      <x:c r="T39" s="99"/>
      <x:c r="U39" s="99"/>
      <x:c r="V39" s="99"/>
      <x:c r="W39" s="99"/>
      <x:c r="X39" s="99"/>
      <x:c r="Y39" s="99"/>
      <x:c r="Z39" s="99"/>
    </x:row>
    <x:row r="40">
      <x:c r="A40" s="143" t="n">
        <x:f>SEGMENTATION!A16</x:f>
        <x:v>0</x:v>
      </x:c>
      <x:c r="B40" s="143" t="str">
        <x:f>SEGMENTATION!B16</x:f>
      </x:c>
      <x:c r="C40" s="149" t="str">
        <x:f>SEGMENTATION!C16</x:f>
      </x:c>
      <x:c r="D40" s="149" t="str">
        <x:f>SEGMENTATION!D16</x:f>
      </x:c>
      <x:c r="E40" s="143" t="n">
        <x:f>SEGMENTATION!E16</x:f>
        <x:v>0</x:v>
      </x:c>
      <x:c r="F40" s="143"/>
      <x:c r="G40" s="143"/>
      <x:c r="H40" s="143"/>
      <x:c r="I40" s="143"/>
      <x:c r="J40" s="143"/>
      <x:c r="K40" s="143"/>
      <x:c r="L40" s="143"/>
      <x:c r="M40" s="99"/>
      <x:c r="N40" s="99"/>
      <x:c r="O40" s="99"/>
      <x:c r="P40" s="99"/>
      <x:c r="Q40" s="99"/>
      <x:c r="R40" s="99"/>
      <x:c r="S40" s="99"/>
      <x:c r="T40" s="99"/>
      <x:c r="U40" s="99"/>
      <x:c r="V40" s="99"/>
      <x:c r="W40" s="99"/>
      <x:c r="X40" s="99"/>
      <x:c r="Y40" s="99"/>
      <x:c r="Z40" s="99"/>
    </x:row>
    <x:row r="41">
      <x:c r="A41" s="143" t="n">
        <x:f>SEGMENTATION!A17</x:f>
        <x:v>0</x:v>
      </x:c>
      <x:c r="B41" s="143" t="str">
        <x:f>SEGMENTATION!B17</x:f>
      </x:c>
      <x:c r="C41" s="149" t="str">
        <x:f>SEGMENTATION!C17</x:f>
      </x:c>
      <x:c r="D41" s="149" t="str">
        <x:f>SEGMENTATION!D17</x:f>
      </x:c>
      <x:c r="E41" s="143" t="n">
        <x:f>SEGMENTATION!E17</x:f>
        <x:v>0</x:v>
      </x:c>
      <x:c r="F41" s="143"/>
      <x:c r="G41" s="143"/>
      <x:c r="H41" s="143"/>
      <x:c r="I41" s="143"/>
      <x:c r="J41" s="143"/>
      <x:c r="K41" s="143"/>
      <x:c r="L41" s="143"/>
      <x:c r="M41" s="99"/>
      <x:c r="N41" s="99"/>
      <x:c r="O41" s="99"/>
      <x:c r="P41" s="99"/>
      <x:c r="Q41" s="99"/>
      <x:c r="R41" s="99"/>
      <x:c r="S41" s="99"/>
      <x:c r="T41" s="99"/>
      <x:c r="U41" s="99"/>
      <x:c r="V41" s="99"/>
      <x:c r="W41" s="99"/>
      <x:c r="X41" s="99"/>
      <x:c r="Y41" s="99"/>
      <x:c r="Z41" s="99"/>
    </x:row>
    <x:row r="42">
      <x:c r="A42" s="143"/>
      <x:c r="B42" s="143"/>
      <x:c r="C42" s="143"/>
      <x:c r="D42" s="143"/>
      <x:c r="E42" s="143"/>
      <x:c r="F42" s="143"/>
      <x:c r="G42" s="143"/>
      <x:c r="H42" s="143"/>
      <x:c r="I42" s="143"/>
      <x:c r="J42" s="143"/>
      <x:c r="K42" s="143"/>
      <x:c r="L42" s="143"/>
      <x:c r="M42" s="99"/>
      <x:c r="N42" s="99"/>
      <x:c r="O42" s="99"/>
      <x:c r="P42" s="99"/>
      <x:c r="Q42" s="99"/>
      <x:c r="R42" s="99"/>
      <x:c r="S42" s="99"/>
      <x:c r="T42" s="99"/>
      <x:c r="U42" s="99"/>
      <x:c r="V42" s="99"/>
      <x:c r="W42" s="99"/>
      <x:c r="X42" s="99"/>
      <x:c r="Y42" s="99"/>
      <x:c r="Z42" s="99"/>
    </x:row>
    <x:row r="43">
      <x:c r="A43" s="99"/>
      <x:c r="B43" s="99"/>
      <x:c r="C43" s="99"/>
      <x:c r="D43" s="99"/>
      <x:c r="E43" s="99"/>
      <x:c r="F43" s="99"/>
      <x:c r="G43" s="99"/>
      <x:c r="H43" s="99"/>
      <x:c r="I43" s="99"/>
      <x:c r="J43" s="99"/>
      <x:c r="K43" s="99"/>
      <x:c r="L43" s="99"/>
      <x:c r="M43" s="99"/>
      <x:c r="N43" s="99"/>
      <x:c r="O43" s="99"/>
      <x:c r="P43" s="99"/>
      <x:c r="Q43" s="99"/>
      <x:c r="R43" s="99"/>
      <x:c r="S43" s="99"/>
      <x:c r="T43" s="99"/>
      <x:c r="U43" s="99"/>
      <x:c r="V43" s="99"/>
      <x:c r="W43" s="99"/>
      <x:c r="X43" s="99"/>
      <x:c r="Y43" s="99"/>
      <x:c r="Z43" s="99"/>
    </x:row>
    <x:row r="44">
      <x:c r="A44" s="99"/>
      <x:c r="B44" s="99"/>
      <x:c r="C44" s="99"/>
      <x:c r="D44" s="99"/>
      <x:c r="E44" s="99"/>
      <x:c r="F44" s="99"/>
      <x:c r="G44" s="99"/>
      <x:c r="H44" s="99"/>
      <x:c r="I44" s="99"/>
      <x:c r="J44" s="99"/>
      <x:c r="K44" s="99"/>
      <x:c r="L44" s="99"/>
      <x:c r="M44" s="99"/>
      <x:c r="N44" s="99"/>
      <x:c r="O44" s="99"/>
      <x:c r="P44" s="99"/>
      <x:c r="Q44" s="99"/>
      <x:c r="R44" s="99"/>
      <x:c r="S44" s="99"/>
      <x:c r="T44" s="99"/>
      <x:c r="U44" s="99"/>
      <x:c r="V44" s="99"/>
      <x:c r="W44" s="99"/>
      <x:c r="X44" s="99"/>
      <x:c r="Y44" s="99"/>
      <x:c r="Z44" s="99"/>
    </x:row>
    <x:row r="45">
      <x:c r="A45" s="99"/>
      <x:c r="B45" s="99"/>
      <x:c r="C45" s="99"/>
      <x:c r="D45" s="99"/>
      <x:c r="E45" s="99"/>
      <x:c r="F45" s="99"/>
      <x:c r="G45" s="99"/>
      <x:c r="H45" s="99"/>
      <x:c r="I45" s="99"/>
      <x:c r="J45" s="99"/>
      <x:c r="K45" s="99"/>
      <x:c r="L45" s="99"/>
      <x:c r="M45" s="99"/>
      <x:c r="N45" s="99"/>
      <x:c r="O45" s="99"/>
      <x:c r="P45" s="99"/>
      <x:c r="Q45" s="99"/>
      <x:c r="R45" s="99"/>
      <x:c r="S45" s="99"/>
      <x:c r="T45" s="99"/>
      <x:c r="U45" s="99"/>
      <x:c r="V45" s="99"/>
      <x:c r="W45" s="99"/>
      <x:c r="X45" s="99"/>
      <x:c r="Y45" s="99"/>
      <x:c r="Z45" s="99"/>
    </x:row>
    <x:row r="46">
      <x:c r="A46" s="99"/>
      <x:c r="B46" s="99"/>
      <x:c r="C46" s="99"/>
      <x:c r="D46" s="99"/>
      <x:c r="E46" s="99"/>
      <x:c r="F46" s="99"/>
      <x:c r="G46" s="99"/>
      <x:c r="H46" s="99"/>
      <x:c r="I46" s="99"/>
      <x:c r="J46" s="99"/>
      <x:c r="K46" s="99"/>
      <x:c r="L46" s="99"/>
      <x:c r="M46" s="99"/>
      <x:c r="N46" s="99"/>
      <x:c r="O46" s="99"/>
      <x:c r="P46" s="99"/>
      <x:c r="Q46" s="99"/>
      <x:c r="R46" s="99"/>
      <x:c r="S46" s="99"/>
      <x:c r="T46" s="99"/>
      <x:c r="U46" s="99"/>
      <x:c r="V46" s="99"/>
      <x:c r="W46" s="99"/>
      <x:c r="X46" s="99"/>
      <x:c r="Y46" s="99"/>
      <x:c r="Z46" s="99"/>
    </x:row>
    <x:row r="47">
      <x:c r="A47" s="99"/>
      <x:c r="B47" s="99"/>
      <x:c r="C47" s="99"/>
      <x:c r="D47" s="99"/>
      <x:c r="E47" s="99"/>
      <x:c r="F47" s="99"/>
      <x:c r="G47" s="99"/>
      <x:c r="H47" s="99"/>
      <x:c r="I47" s="99"/>
      <x:c r="J47" s="99"/>
      <x:c r="K47" s="99"/>
      <x:c r="L47" s="99"/>
      <x:c r="M47" s="99"/>
      <x:c r="N47" s="99"/>
      <x:c r="O47" s="99"/>
      <x:c r="P47" s="99"/>
      <x:c r="Q47" s="99"/>
      <x:c r="R47" s="99"/>
      <x:c r="S47" s="99"/>
      <x:c r="T47" s="99"/>
      <x:c r="U47" s="99"/>
      <x:c r="V47" s="99"/>
      <x:c r="W47" s="99"/>
      <x:c r="X47" s="99"/>
      <x:c r="Y47" s="99"/>
      <x:c r="Z47" s="99"/>
    </x:row>
    <x:row r="48">
      <x:c r="A48" s="99"/>
      <x:c r="B48" s="99"/>
      <x:c r="C48" s="99"/>
      <x:c r="D48" s="99"/>
      <x:c r="E48" s="99"/>
      <x:c r="F48" s="99"/>
      <x:c r="G48" s="99"/>
      <x:c r="H48" s="99"/>
      <x:c r="I48" s="99"/>
      <x:c r="J48" s="99"/>
      <x:c r="K48" s="99"/>
      <x:c r="L48" s="99"/>
      <x:c r="M48" s="99"/>
      <x:c r="N48" s="99"/>
      <x:c r="O48" s="99"/>
      <x:c r="P48" s="99"/>
      <x:c r="Q48" s="99"/>
      <x:c r="R48" s="99"/>
      <x:c r="S48" s="99"/>
      <x:c r="T48" s="99"/>
      <x:c r="U48" s="99"/>
      <x:c r="V48" s="99"/>
      <x:c r="W48" s="99"/>
      <x:c r="X48" s="99"/>
      <x:c r="Y48" s="99"/>
      <x:c r="Z48" s="99"/>
    </x:row>
    <x:row r="49">
      <x:c r="A49" s="99"/>
      <x:c r="B49" s="99"/>
      <x:c r="C49" s="99"/>
      <x:c r="D49" s="99"/>
      <x:c r="E49" s="99"/>
      <x:c r="F49" s="99"/>
      <x:c r="G49" s="99"/>
      <x:c r="H49" s="99"/>
      <x:c r="I49" s="99"/>
      <x:c r="J49" s="99"/>
      <x:c r="K49" s="99"/>
      <x:c r="L49" s="99"/>
      <x:c r="M49" s="99"/>
      <x:c r="N49" s="99"/>
      <x:c r="O49" s="99"/>
      <x:c r="P49" s="99"/>
      <x:c r="Q49" s="99"/>
      <x:c r="R49" s="99"/>
      <x:c r="S49" s="99"/>
      <x:c r="T49" s="99"/>
      <x:c r="U49" s="99"/>
      <x:c r="V49" s="99"/>
      <x:c r="W49" s="99"/>
      <x:c r="X49" s="99"/>
      <x:c r="Y49" s="99"/>
      <x:c r="Z49" s="99"/>
    </x:row>
    <x:row r="50">
      <x:c r="A50" s="99"/>
      <x:c r="B50" s="99"/>
      <x:c r="C50" s="99"/>
      <x:c r="D50" s="99"/>
      <x:c r="E50" s="99"/>
      <x:c r="F50" s="99"/>
      <x:c r="G50" s="99"/>
      <x:c r="H50" s="99"/>
      <x:c r="I50" s="99"/>
      <x:c r="J50" s="99"/>
      <x:c r="K50" s="99"/>
      <x:c r="L50" s="99"/>
      <x:c r="M50" s="99"/>
      <x:c r="N50" s="99"/>
      <x:c r="O50" s="99"/>
      <x:c r="P50" s="99"/>
      <x:c r="Q50" s="99"/>
      <x:c r="R50" s="99"/>
      <x:c r="S50" s="99"/>
      <x:c r="T50" s="99"/>
      <x:c r="U50" s="99"/>
      <x:c r="V50" s="99"/>
      <x:c r="W50" s="99"/>
      <x:c r="X50" s="99"/>
      <x:c r="Y50" s="99"/>
      <x:c r="Z50" s="99"/>
    </x:row>
    <x:row r="51">
      <x:c r="A51" s="99"/>
      <x:c r="B51" s="99"/>
      <x:c r="C51" s="99"/>
      <x:c r="D51" s="99"/>
      <x:c r="E51" s="99"/>
      <x:c r="F51" s="99"/>
      <x:c r="G51" s="99"/>
      <x:c r="H51" s="99"/>
      <x:c r="I51" s="99"/>
      <x:c r="J51" s="99"/>
      <x:c r="K51" s="99"/>
      <x:c r="L51" s="99"/>
      <x:c r="M51" s="99"/>
      <x:c r="N51" s="99"/>
      <x:c r="O51" s="99"/>
      <x:c r="P51" s="99"/>
      <x:c r="Q51" s="99"/>
      <x:c r="R51" s="99"/>
      <x:c r="S51" s="99"/>
      <x:c r="T51" s="99"/>
      <x:c r="U51" s="99"/>
      <x:c r="V51" s="99"/>
      <x:c r="W51" s="99"/>
      <x:c r="X51" s="99"/>
      <x:c r="Y51" s="99"/>
      <x:c r="Z51" s="99"/>
    </x:row>
    <x:row r="52">
      <x:c r="A52" s="99"/>
      <x:c r="B52" s="99"/>
      <x:c r="C52" s="99"/>
      <x:c r="D52" s="99"/>
      <x:c r="E52" s="99"/>
      <x:c r="F52" s="99"/>
      <x:c r="G52" s="99"/>
      <x:c r="H52" s="99"/>
      <x:c r="I52" s="99"/>
      <x:c r="J52" s="99"/>
      <x:c r="K52" s="99"/>
      <x:c r="L52" s="99"/>
      <x:c r="M52" s="99"/>
      <x:c r="N52" s="99"/>
      <x:c r="O52" s="99"/>
      <x:c r="P52" s="99"/>
      <x:c r="Q52" s="99"/>
      <x:c r="R52" s="99"/>
      <x:c r="S52" s="99"/>
      <x:c r="T52" s="99"/>
      <x:c r="U52" s="99"/>
      <x:c r="V52" s="99"/>
      <x:c r="W52" s="99"/>
      <x:c r="X52" s="99"/>
      <x:c r="Y52" s="99"/>
      <x:c r="Z52" s="99"/>
    </x:row>
    <x:row r="53">
      <x:c r="A53" s="99"/>
      <x:c r="B53" s="99"/>
      <x:c r="C53" s="99"/>
      <x:c r="D53" s="99"/>
      <x:c r="E53" s="99"/>
      <x:c r="F53" s="99"/>
      <x:c r="G53" s="99"/>
      <x:c r="H53" s="99"/>
      <x:c r="I53" s="99"/>
      <x:c r="J53" s="99"/>
      <x:c r="K53" s="99"/>
      <x:c r="L53" s="99"/>
      <x:c r="M53" s="99"/>
      <x:c r="N53" s="99"/>
      <x:c r="O53" s="99"/>
      <x:c r="P53" s="99"/>
      <x:c r="Q53" s="99"/>
      <x:c r="R53" s="99"/>
      <x:c r="S53" s="99"/>
      <x:c r="T53" s="99"/>
      <x:c r="U53" s="99"/>
      <x:c r="V53" s="99"/>
      <x:c r="W53" s="99"/>
      <x:c r="X53" s="99"/>
      <x:c r="Y53" s="99"/>
      <x:c r="Z53" s="99"/>
    </x:row>
    <x:row r="54">
      <x:c r="A54" s="99"/>
      <x:c r="B54" s="99"/>
      <x:c r="C54" s="99"/>
      <x:c r="D54" s="99"/>
      <x:c r="E54" s="99"/>
      <x:c r="F54" s="99"/>
      <x:c r="G54" s="99"/>
      <x:c r="H54" s="99"/>
      <x:c r="I54" s="99"/>
      <x:c r="J54" s="99"/>
      <x:c r="K54" s="99"/>
      <x:c r="L54" s="99"/>
      <x:c r="M54" s="99"/>
      <x:c r="N54" s="99"/>
      <x:c r="O54" s="99"/>
      <x:c r="P54" s="99"/>
      <x:c r="Q54" s="99"/>
      <x:c r="R54" s="99"/>
      <x:c r="S54" s="99"/>
      <x:c r="T54" s="99"/>
      <x:c r="U54" s="99"/>
      <x:c r="V54" s="99"/>
      <x:c r="W54" s="99"/>
      <x:c r="X54" s="99"/>
      <x:c r="Y54" s="99"/>
      <x:c r="Z54" s="99"/>
    </x:row>
    <x:row r="55">
      <x:c r="A55" s="99"/>
      <x:c r="B55" s="99"/>
      <x:c r="C55" s="99"/>
      <x:c r="D55" s="99"/>
      <x:c r="E55" s="99"/>
      <x:c r="F55" s="99"/>
      <x:c r="G55" s="99"/>
      <x:c r="H55" s="99"/>
      <x:c r="I55" s="99"/>
      <x:c r="J55" s="99"/>
      <x:c r="K55" s="99"/>
      <x:c r="L55" s="99"/>
      <x:c r="M55" s="99"/>
      <x:c r="N55" s="99"/>
      <x:c r="O55" s="99"/>
      <x:c r="P55" s="99"/>
      <x:c r="Q55" s="99"/>
      <x:c r="R55" s="99"/>
      <x:c r="S55" s="99"/>
      <x:c r="T55" s="99"/>
      <x:c r="U55" s="99"/>
      <x:c r="V55" s="99"/>
      <x:c r="W55" s="99"/>
      <x:c r="X55" s="99"/>
      <x:c r="Y55" s="99"/>
      <x:c r="Z55" s="99"/>
    </x:row>
    <x:row r="56">
      <x:c r="A56" s="99"/>
      <x:c r="B56" s="99"/>
      <x:c r="C56" s="99"/>
      <x:c r="D56" s="99"/>
      <x:c r="E56" s="99"/>
      <x:c r="F56" s="99"/>
      <x:c r="G56" s="99"/>
      <x:c r="H56" s="99"/>
      <x:c r="I56" s="99"/>
      <x:c r="J56" s="99"/>
      <x:c r="K56" s="99"/>
      <x:c r="L56" s="99"/>
      <x:c r="M56" s="99"/>
      <x:c r="N56" s="99"/>
      <x:c r="O56" s="99"/>
      <x:c r="P56" s="99"/>
      <x:c r="Q56" s="99"/>
      <x:c r="R56" s="99"/>
      <x:c r="S56" s="99"/>
      <x:c r="T56" s="99"/>
      <x:c r="U56" s="99"/>
      <x:c r="V56" s="99"/>
      <x:c r="W56" s="99"/>
      <x:c r="X56" s="99"/>
      <x:c r="Y56" s="99"/>
      <x:c r="Z56" s="99"/>
    </x:row>
    <x:row r="57">
      <x:c r="A57" s="99"/>
      <x:c r="B57" s="99"/>
      <x:c r="C57" s="99"/>
      <x:c r="D57" s="99"/>
      <x:c r="E57" s="99"/>
      <x:c r="F57" s="99"/>
      <x:c r="G57" s="99"/>
      <x:c r="H57" s="99"/>
      <x:c r="I57" s="99"/>
      <x:c r="J57" s="99"/>
      <x:c r="K57" s="99"/>
      <x:c r="L57" s="99"/>
      <x:c r="M57" s="99"/>
      <x:c r="N57" s="99"/>
      <x:c r="O57" s="99"/>
      <x:c r="P57" s="99"/>
      <x:c r="Q57" s="99"/>
      <x:c r="R57" s="99"/>
      <x:c r="S57" s="99"/>
      <x:c r="T57" s="99"/>
      <x:c r="U57" s="99"/>
      <x:c r="V57" s="99"/>
      <x:c r="W57" s="99"/>
      <x:c r="X57" s="99"/>
      <x:c r="Y57" s="99"/>
      <x:c r="Z57" s="99"/>
    </x:row>
    <x:row r="58">
      <x:c r="A58" s="99"/>
      <x:c r="B58" s="99"/>
      <x:c r="C58" s="99"/>
      <x:c r="D58" s="99"/>
      <x:c r="E58" s="99"/>
      <x:c r="F58" s="99"/>
      <x:c r="G58" s="99"/>
      <x:c r="H58" s="99"/>
      <x:c r="I58" s="99"/>
      <x:c r="J58" s="99"/>
      <x:c r="K58" s="99"/>
      <x:c r="L58" s="99"/>
      <x:c r="M58" s="99"/>
      <x:c r="N58" s="99"/>
      <x:c r="O58" s="99"/>
      <x:c r="P58" s="99"/>
      <x:c r="Q58" s="99"/>
      <x:c r="R58" s="99"/>
      <x:c r="S58" s="99"/>
      <x:c r="T58" s="99"/>
      <x:c r="U58" s="99"/>
      <x:c r="V58" s="99"/>
      <x:c r="W58" s="99"/>
      <x:c r="X58" s="99"/>
      <x:c r="Y58" s="99"/>
      <x:c r="Z58" s="99"/>
    </x:row>
    <x:row r="59">
      <x:c r="A59" s="99"/>
      <x:c r="B59" s="99"/>
      <x:c r="C59" s="99"/>
      <x:c r="D59" s="99"/>
      <x:c r="E59" s="99"/>
      <x:c r="F59" s="99"/>
      <x:c r="G59" s="99"/>
      <x:c r="H59" s="99"/>
      <x:c r="I59" s="99"/>
      <x:c r="J59" s="99"/>
      <x:c r="K59" s="99"/>
      <x:c r="L59" s="99"/>
      <x:c r="M59" s="99"/>
      <x:c r="N59" s="99"/>
      <x:c r="O59" s="99"/>
      <x:c r="P59" s="99"/>
      <x:c r="Q59" s="99"/>
      <x:c r="R59" s="99"/>
      <x:c r="S59" s="99"/>
      <x:c r="T59" s="99"/>
      <x:c r="U59" s="99"/>
      <x:c r="V59" s="99"/>
      <x:c r="W59" s="99"/>
      <x:c r="X59" s="99"/>
      <x:c r="Y59" s="99"/>
      <x:c r="Z59" s="99"/>
    </x:row>
    <x:row r="60">
      <x:c r="A60" s="99"/>
      <x:c r="B60" s="99"/>
      <x:c r="C60" s="99"/>
      <x:c r="D60" s="99"/>
      <x:c r="E60" s="99"/>
      <x:c r="F60" s="99"/>
      <x:c r="G60" s="99"/>
      <x:c r="H60" s="99"/>
      <x:c r="I60" s="99"/>
      <x:c r="J60" s="99"/>
      <x:c r="K60" s="99"/>
      <x:c r="L60" s="99"/>
      <x:c r="M60" s="99"/>
      <x:c r="N60" s="99"/>
      <x:c r="O60" s="99"/>
      <x:c r="P60" s="99"/>
      <x:c r="Q60" s="99"/>
      <x:c r="R60" s="99"/>
      <x:c r="S60" s="99"/>
      <x:c r="T60" s="99"/>
      <x:c r="U60" s="99"/>
      <x:c r="V60" s="99"/>
      <x:c r="W60" s="99"/>
      <x:c r="X60" s="99"/>
      <x:c r="Y60" s="99"/>
      <x:c r="Z60" s="99"/>
    </x:row>
    <x:row r="61">
      <x:c r="A61" s="99"/>
      <x:c r="B61" s="99"/>
      <x:c r="C61" s="99"/>
      <x:c r="D61" s="99"/>
      <x:c r="E61" s="99"/>
      <x:c r="F61" s="99"/>
      <x:c r="G61" s="99"/>
      <x:c r="H61" s="99"/>
      <x:c r="I61" s="99"/>
      <x:c r="J61" s="99"/>
      <x:c r="K61" s="99"/>
      <x:c r="L61" s="99"/>
      <x:c r="M61" s="99"/>
      <x:c r="N61" s="99"/>
      <x:c r="O61" s="99"/>
      <x:c r="P61" s="99"/>
      <x:c r="Q61" s="99"/>
      <x:c r="R61" s="99"/>
      <x:c r="S61" s="99"/>
      <x:c r="T61" s="99"/>
      <x:c r="U61" s="99"/>
      <x:c r="V61" s="99"/>
      <x:c r="W61" s="99"/>
      <x:c r="X61" s="99"/>
      <x:c r="Y61" s="99"/>
      <x:c r="Z61" s="99"/>
    </x:row>
    <x:row r="62">
      <x:c r="A62" s="99"/>
      <x:c r="B62" s="99"/>
      <x:c r="C62" s="99"/>
      <x:c r="D62" s="99"/>
      <x:c r="E62" s="99"/>
      <x:c r="F62" s="99"/>
      <x:c r="G62" s="99"/>
      <x:c r="H62" s="99"/>
      <x:c r="I62" s="99"/>
      <x:c r="J62" s="99"/>
      <x:c r="K62" s="99"/>
      <x:c r="L62" s="99"/>
      <x:c r="M62" s="99"/>
      <x:c r="N62" s="99"/>
      <x:c r="O62" s="99"/>
      <x:c r="P62" s="99"/>
      <x:c r="Q62" s="99"/>
      <x:c r="R62" s="99"/>
      <x:c r="S62" s="99"/>
      <x:c r="T62" s="99"/>
      <x:c r="U62" s="99"/>
      <x:c r="V62" s="99"/>
      <x:c r="W62" s="99"/>
      <x:c r="X62" s="99"/>
      <x:c r="Y62" s="99"/>
      <x:c r="Z62" s="99"/>
    </x:row>
    <x:row r="63">
      <x:c r="A63" s="99"/>
      <x:c r="B63" s="99"/>
      <x:c r="C63" s="99"/>
      <x:c r="D63" s="99"/>
      <x:c r="E63" s="99"/>
      <x:c r="F63" s="99"/>
      <x:c r="G63" s="99"/>
      <x:c r="H63" s="99"/>
      <x:c r="I63" s="99"/>
      <x:c r="J63" s="99"/>
      <x:c r="K63" s="99"/>
      <x:c r="L63" s="99"/>
      <x:c r="M63" s="99"/>
      <x:c r="N63" s="99"/>
      <x:c r="O63" s="99"/>
      <x:c r="P63" s="99"/>
      <x:c r="Q63" s="99"/>
      <x:c r="R63" s="99"/>
      <x:c r="S63" s="99"/>
      <x:c r="T63" s="99"/>
      <x:c r="U63" s="99"/>
      <x:c r="V63" s="99"/>
      <x:c r="W63" s="99"/>
      <x:c r="X63" s="99"/>
      <x:c r="Y63" s="99"/>
      <x:c r="Z63" s="99"/>
    </x:row>
    <x:row r="64">
      <x:c r="A64" s="99"/>
      <x:c r="B64" s="99"/>
      <x:c r="C64" s="99"/>
      <x:c r="D64" s="99"/>
      <x:c r="E64" s="99"/>
      <x:c r="F64" s="99"/>
      <x:c r="G64" s="99"/>
      <x:c r="H64" s="99"/>
      <x:c r="I64" s="99"/>
      <x:c r="J64" s="99"/>
      <x:c r="K64" s="99"/>
      <x:c r="L64" s="99"/>
      <x:c r="M64" s="99"/>
      <x:c r="N64" s="99"/>
      <x:c r="O64" s="99"/>
      <x:c r="P64" s="99"/>
      <x:c r="Q64" s="99"/>
      <x:c r="R64" s="99"/>
      <x:c r="S64" s="99"/>
      <x:c r="T64" s="99"/>
      <x:c r="U64" s="99"/>
      <x:c r="V64" s="99"/>
      <x:c r="W64" s="99"/>
      <x:c r="X64" s="99"/>
      <x:c r="Y64" s="99"/>
      <x:c r="Z64" s="99"/>
    </x:row>
    <x:row r="65">
      <x:c r="A65" s="99"/>
      <x:c r="B65" s="99"/>
      <x:c r="C65" s="99"/>
      <x:c r="D65" s="99"/>
      <x:c r="E65" s="99"/>
      <x:c r="F65" s="99"/>
      <x:c r="G65" s="99"/>
      <x:c r="H65" s="99"/>
      <x:c r="I65" s="99"/>
      <x:c r="J65" s="99"/>
      <x:c r="K65" s="99"/>
      <x:c r="L65" s="99"/>
      <x:c r="M65" s="99"/>
      <x:c r="N65" s="99"/>
      <x:c r="O65" s="99"/>
      <x:c r="P65" s="99"/>
      <x:c r="Q65" s="99"/>
      <x:c r="R65" s="99"/>
      <x:c r="S65" s="99"/>
      <x:c r="T65" s="99"/>
      <x:c r="U65" s="99"/>
      <x:c r="V65" s="99"/>
      <x:c r="W65" s="99"/>
      <x:c r="X65" s="99"/>
      <x:c r="Y65" s="99"/>
      <x:c r="Z65" s="99"/>
    </x:row>
    <x:row r="66">
      <x:c r="A66" s="99"/>
      <x:c r="B66" s="99"/>
      <x:c r="C66" s="99"/>
      <x:c r="D66" s="99"/>
      <x:c r="E66" s="99"/>
      <x:c r="F66" s="99"/>
      <x:c r="G66" s="99"/>
      <x:c r="H66" s="99"/>
      <x:c r="I66" s="99"/>
      <x:c r="J66" s="99"/>
      <x:c r="K66" s="99"/>
      <x:c r="L66" s="99"/>
      <x:c r="M66" s="99"/>
      <x:c r="N66" s="99"/>
      <x:c r="O66" s="99"/>
      <x:c r="P66" s="99"/>
      <x:c r="Q66" s="99"/>
      <x:c r="R66" s="99"/>
      <x:c r="S66" s="99"/>
      <x:c r="T66" s="99"/>
      <x:c r="U66" s="99"/>
      <x:c r="V66" s="99"/>
      <x:c r="W66" s="99"/>
      <x:c r="X66" s="99"/>
      <x:c r="Y66" s="99"/>
      <x:c r="Z66" s="99"/>
    </x:row>
    <x:row r="67">
      <x:c r="A67" s="99"/>
      <x:c r="B67" s="99"/>
      <x:c r="C67" s="99"/>
      <x:c r="D67" s="99"/>
      <x:c r="E67" s="99"/>
      <x:c r="F67" s="99"/>
      <x:c r="G67" s="99"/>
      <x:c r="H67" s="99"/>
      <x:c r="I67" s="99"/>
      <x:c r="J67" s="99"/>
      <x:c r="K67" s="99"/>
      <x:c r="L67" s="99"/>
      <x:c r="M67" s="99"/>
      <x:c r="N67" s="99"/>
      <x:c r="O67" s="99"/>
      <x:c r="P67" s="99"/>
      <x:c r="Q67" s="99"/>
      <x:c r="R67" s="99"/>
      <x:c r="S67" s="99"/>
      <x:c r="T67" s="99"/>
      <x:c r="U67" s="99"/>
      <x:c r="V67" s="99"/>
      <x:c r="W67" s="99"/>
      <x:c r="X67" s="99"/>
      <x:c r="Y67" s="99"/>
      <x:c r="Z67" s="99"/>
    </x:row>
    <x:row r="68">
      <x:c r="A68" s="99"/>
      <x:c r="B68" s="99"/>
      <x:c r="C68" s="99"/>
      <x:c r="D68" s="99"/>
      <x:c r="E68" s="99"/>
      <x:c r="F68" s="99"/>
      <x:c r="G68" s="99"/>
      <x:c r="H68" s="99"/>
      <x:c r="I68" s="99"/>
      <x:c r="J68" s="99"/>
      <x:c r="K68" s="99"/>
      <x:c r="L68" s="99"/>
      <x:c r="M68" s="99"/>
      <x:c r="N68" s="99"/>
      <x:c r="O68" s="99"/>
      <x:c r="P68" s="99"/>
      <x:c r="Q68" s="99"/>
      <x:c r="R68" s="99"/>
      <x:c r="S68" s="99"/>
      <x:c r="T68" s="99"/>
      <x:c r="U68" s="99"/>
      <x:c r="V68" s="99"/>
      <x:c r="W68" s="99"/>
      <x:c r="X68" s="99"/>
      <x:c r="Y68" s="99"/>
      <x:c r="Z68" s="99"/>
    </x:row>
    <x:row r="69">
      <x:c r="A69" s="99"/>
      <x:c r="B69" s="99"/>
      <x:c r="C69" s="99"/>
      <x:c r="D69" s="99"/>
      <x:c r="E69" s="99"/>
      <x:c r="F69" s="99"/>
      <x:c r="G69" s="99"/>
      <x:c r="H69" s="99"/>
      <x:c r="I69" s="99"/>
      <x:c r="J69" s="99"/>
      <x:c r="K69" s="99"/>
      <x:c r="L69" s="99"/>
      <x:c r="M69" s="99"/>
      <x:c r="N69" s="99"/>
      <x:c r="O69" s="99"/>
      <x:c r="P69" s="99"/>
      <x:c r="Q69" s="99"/>
      <x:c r="R69" s="99"/>
      <x:c r="S69" s="99"/>
      <x:c r="T69" s="99"/>
      <x:c r="U69" s="99"/>
      <x:c r="V69" s="99"/>
      <x:c r="W69" s="99"/>
      <x:c r="X69" s="99"/>
      <x:c r="Y69" s="99"/>
      <x:c r="Z69" s="99"/>
    </x:row>
    <x:row r="70">
      <x:c r="A70" s="99"/>
      <x:c r="B70" s="99"/>
      <x:c r="C70" s="99"/>
      <x:c r="D70" s="99"/>
      <x:c r="E70" s="99"/>
      <x:c r="F70" s="99"/>
      <x:c r="G70" s="99"/>
      <x:c r="H70" s="99"/>
      <x:c r="I70" s="99"/>
      <x:c r="J70" s="99"/>
      <x:c r="K70" s="99"/>
      <x:c r="L70" s="99"/>
      <x:c r="M70" s="99"/>
      <x:c r="N70" s="99"/>
      <x:c r="O70" s="99"/>
      <x:c r="P70" s="99"/>
      <x:c r="Q70" s="99"/>
      <x:c r="R70" s="99"/>
      <x:c r="S70" s="99"/>
      <x:c r="T70" s="99"/>
      <x:c r="U70" s="99"/>
      <x:c r="V70" s="99"/>
      <x:c r="W70" s="99"/>
      <x:c r="X70" s="99"/>
      <x:c r="Y70" s="99"/>
      <x:c r="Z70" s="99"/>
    </x:row>
    <x:row r="71">
      <x:c r="A71" s="99"/>
      <x:c r="B71" s="99"/>
      <x:c r="C71" s="99"/>
      <x:c r="D71" s="99"/>
      <x:c r="E71" s="99"/>
      <x:c r="F71" s="99"/>
      <x:c r="G71" s="99"/>
      <x:c r="H71" s="99"/>
      <x:c r="I71" s="99"/>
      <x:c r="J71" s="99"/>
      <x:c r="K71" s="99"/>
      <x:c r="L71" s="99"/>
      <x:c r="M71" s="99"/>
      <x:c r="N71" s="99"/>
      <x:c r="O71" s="99"/>
      <x:c r="P71" s="99"/>
      <x:c r="Q71" s="99"/>
      <x:c r="R71" s="99"/>
      <x:c r="S71" s="99"/>
      <x:c r="T71" s="99"/>
      <x:c r="U71" s="99"/>
      <x:c r="V71" s="99"/>
      <x:c r="W71" s="99"/>
      <x:c r="X71" s="99"/>
      <x:c r="Y71" s="99"/>
      <x:c r="Z71" s="99"/>
    </x:row>
    <x:row r="72">
      <x:c r="A72" s="99"/>
      <x:c r="B72" s="99"/>
      <x:c r="C72" s="99"/>
      <x:c r="D72" s="99"/>
      <x:c r="E72" s="99"/>
      <x:c r="F72" s="99"/>
      <x:c r="G72" s="99"/>
      <x:c r="H72" s="99"/>
      <x:c r="I72" s="99"/>
      <x:c r="J72" s="99"/>
      <x:c r="K72" s="99"/>
      <x:c r="L72" s="99"/>
      <x:c r="M72" s="99"/>
      <x:c r="N72" s="99"/>
      <x:c r="O72" s="99"/>
      <x:c r="P72" s="99"/>
      <x:c r="Q72" s="99"/>
      <x:c r="R72" s="99"/>
      <x:c r="S72" s="99"/>
      <x:c r="T72" s="99"/>
      <x:c r="U72" s="99"/>
      <x:c r="V72" s="99"/>
      <x:c r="W72" s="99"/>
      <x:c r="X72" s="99"/>
      <x:c r="Y72" s="99"/>
      <x:c r="Z72" s="99"/>
    </x:row>
    <x:row r="73">
      <x:c r="A73" s="99"/>
      <x:c r="B73" s="99"/>
      <x:c r="C73" s="99"/>
      <x:c r="D73" s="99"/>
      <x:c r="E73" s="99"/>
      <x:c r="F73" s="99"/>
      <x:c r="G73" s="99"/>
      <x:c r="H73" s="99"/>
      <x:c r="I73" s="99"/>
      <x:c r="J73" s="99"/>
      <x:c r="K73" s="99"/>
      <x:c r="L73" s="99"/>
      <x:c r="M73" s="99"/>
      <x:c r="N73" s="99"/>
      <x:c r="O73" s="99"/>
      <x:c r="P73" s="99"/>
      <x:c r="Q73" s="99"/>
      <x:c r="R73" s="99"/>
      <x:c r="S73" s="99"/>
      <x:c r="T73" s="99"/>
      <x:c r="U73" s="99"/>
      <x:c r="V73" s="99"/>
      <x:c r="W73" s="99"/>
      <x:c r="X73" s="99"/>
      <x:c r="Y73" s="99"/>
      <x:c r="Z73" s="99"/>
    </x:row>
    <x:row r="74">
      <x:c r="A74" s="99"/>
      <x:c r="B74" s="99"/>
      <x:c r="C74" s="99"/>
      <x:c r="D74" s="99"/>
      <x:c r="E74" s="99"/>
      <x:c r="F74" s="99"/>
      <x:c r="G74" s="99"/>
      <x:c r="H74" s="99"/>
      <x:c r="I74" s="99"/>
      <x:c r="J74" s="99"/>
      <x:c r="K74" s="99"/>
      <x:c r="L74" s="99"/>
      <x:c r="M74" s="99"/>
      <x:c r="N74" s="99"/>
      <x:c r="O74" s="99"/>
      <x:c r="P74" s="99"/>
      <x:c r="Q74" s="99"/>
      <x:c r="R74" s="99"/>
      <x:c r="S74" s="99"/>
      <x:c r="T74" s="99"/>
      <x:c r="U74" s="99"/>
      <x:c r="V74" s="99"/>
      <x:c r="W74" s="99"/>
      <x:c r="X74" s="99"/>
      <x:c r="Y74" s="99"/>
      <x:c r="Z74" s="99"/>
    </x:row>
    <x:row r="75">
      <x:c r="A75" s="99"/>
      <x:c r="B75" s="99"/>
      <x:c r="C75" s="99"/>
      <x:c r="D75" s="99"/>
      <x:c r="E75" s="99"/>
      <x:c r="F75" s="99"/>
      <x:c r="G75" s="99"/>
      <x:c r="H75" s="99"/>
      <x:c r="I75" s="99"/>
      <x:c r="J75" s="99"/>
      <x:c r="K75" s="99"/>
      <x:c r="L75" s="99"/>
      <x:c r="M75" s="99"/>
      <x:c r="N75" s="99"/>
      <x:c r="O75" s="99"/>
      <x:c r="P75" s="99"/>
      <x:c r="Q75" s="99"/>
      <x:c r="R75" s="99"/>
      <x:c r="S75" s="99"/>
      <x:c r="T75" s="99"/>
      <x:c r="U75" s="99"/>
      <x:c r="V75" s="99"/>
      <x:c r="W75" s="99"/>
      <x:c r="X75" s="99"/>
      <x:c r="Y75" s="99"/>
      <x:c r="Z75" s="99"/>
    </x:row>
    <x:row r="76">
      <x:c r="A76" s="99"/>
      <x:c r="B76" s="99"/>
      <x:c r="C76" s="99"/>
      <x:c r="D76" s="99"/>
      <x:c r="E76" s="99"/>
      <x:c r="F76" s="99"/>
      <x:c r="G76" s="99"/>
      <x:c r="H76" s="99"/>
      <x:c r="I76" s="99"/>
      <x:c r="J76" s="99"/>
      <x:c r="K76" s="99"/>
      <x:c r="L76" s="99"/>
      <x:c r="M76" s="99"/>
      <x:c r="N76" s="99"/>
      <x:c r="O76" s="99"/>
      <x:c r="P76" s="99"/>
      <x:c r="Q76" s="99"/>
      <x:c r="R76" s="99"/>
      <x:c r="S76" s="99"/>
      <x:c r="T76" s="99"/>
      <x:c r="U76" s="99"/>
      <x:c r="V76" s="99"/>
      <x:c r="W76" s="99"/>
      <x:c r="X76" s="99"/>
      <x:c r="Y76" s="99"/>
      <x:c r="Z76" s="99"/>
    </x:row>
    <x:row r="77">
      <x:c r="A77" s="99"/>
      <x:c r="B77" s="99"/>
      <x:c r="C77" s="99"/>
      <x:c r="D77" s="99"/>
      <x:c r="E77" s="99"/>
      <x:c r="F77" s="99"/>
      <x:c r="G77" s="99"/>
      <x:c r="H77" s="99"/>
      <x:c r="I77" s="99"/>
      <x:c r="J77" s="99"/>
      <x:c r="K77" s="99"/>
      <x:c r="L77" s="99"/>
      <x:c r="M77" s="99"/>
      <x:c r="N77" s="99"/>
      <x:c r="O77" s="99"/>
      <x:c r="P77" s="99"/>
      <x:c r="Q77" s="99"/>
      <x:c r="R77" s="99"/>
      <x:c r="S77" s="99"/>
      <x:c r="T77" s="99"/>
      <x:c r="U77" s="99"/>
      <x:c r="V77" s="99"/>
      <x:c r="W77" s="99"/>
      <x:c r="X77" s="99"/>
      <x:c r="Y77" s="99"/>
      <x:c r="Z77" s="99"/>
    </x:row>
    <x:row r="78">
      <x:c r="A78" s="99"/>
      <x:c r="B78" s="99"/>
      <x:c r="C78" s="99"/>
      <x:c r="D78" s="99"/>
      <x:c r="E78" s="99"/>
      <x:c r="F78" s="99"/>
      <x:c r="G78" s="99"/>
      <x:c r="H78" s="99"/>
      <x:c r="I78" s="99"/>
      <x:c r="J78" s="99"/>
      <x:c r="K78" s="99"/>
      <x:c r="L78" s="99"/>
      <x:c r="M78" s="99"/>
      <x:c r="N78" s="99"/>
      <x:c r="O78" s="99"/>
      <x:c r="P78" s="99"/>
      <x:c r="Q78" s="99"/>
      <x:c r="R78" s="99"/>
      <x:c r="S78" s="99"/>
      <x:c r="T78" s="99"/>
      <x:c r="U78" s="99"/>
      <x:c r="V78" s="99"/>
      <x:c r="W78" s="99"/>
      <x:c r="X78" s="99"/>
      <x:c r="Y78" s="99"/>
      <x:c r="Z78" s="99"/>
    </x:row>
    <x:row r="79">
      <x:c r="A79" s="99"/>
      <x:c r="B79" s="99"/>
      <x:c r="C79" s="99"/>
      <x:c r="D79" s="99"/>
      <x:c r="E79" s="99"/>
      <x:c r="F79" s="99"/>
      <x:c r="G79" s="99"/>
      <x:c r="H79" s="99"/>
      <x:c r="I79" s="99"/>
      <x:c r="J79" s="99"/>
      <x:c r="K79" s="99"/>
      <x:c r="L79" s="99"/>
      <x:c r="M79" s="99"/>
      <x:c r="N79" s="99"/>
      <x:c r="O79" s="99"/>
      <x:c r="P79" s="99"/>
      <x:c r="Q79" s="99"/>
      <x:c r="R79" s="99"/>
      <x:c r="S79" s="99"/>
      <x:c r="T79" s="99"/>
      <x:c r="U79" s="99"/>
      <x:c r="V79" s="99"/>
      <x:c r="W79" s="99"/>
      <x:c r="X79" s="99"/>
      <x:c r="Y79" s="99"/>
      <x:c r="Z79" s="99"/>
    </x:row>
    <x:row r="80">
      <x:c r="A80" s="99"/>
      <x:c r="B80" s="99"/>
      <x:c r="C80" s="99"/>
      <x:c r="D80" s="99"/>
      <x:c r="E80" s="99"/>
      <x:c r="F80" s="99"/>
      <x:c r="G80" s="99"/>
      <x:c r="H80" s="99"/>
      <x:c r="I80" s="99"/>
      <x:c r="J80" s="99"/>
      <x:c r="K80" s="99"/>
      <x:c r="L80" s="99"/>
      <x:c r="M80" s="99"/>
      <x:c r="N80" s="99"/>
      <x:c r="O80" s="99"/>
      <x:c r="P80" s="99"/>
      <x:c r="Q80" s="99"/>
      <x:c r="R80" s="99"/>
      <x:c r="S80" s="99"/>
      <x:c r="T80" s="99"/>
      <x:c r="U80" s="99"/>
      <x:c r="V80" s="99"/>
      <x:c r="W80" s="99"/>
      <x:c r="X80" s="99"/>
      <x:c r="Y80" s="99"/>
      <x:c r="Z80" s="99"/>
    </x:row>
    <x:row r="81">
      <x:c r="A81" s="99"/>
      <x:c r="B81" s="99"/>
      <x:c r="C81" s="99"/>
      <x:c r="D81" s="99"/>
      <x:c r="E81" s="99"/>
      <x:c r="F81" s="99"/>
      <x:c r="G81" s="99"/>
      <x:c r="H81" s="99"/>
      <x:c r="I81" s="99"/>
      <x:c r="J81" s="99"/>
      <x:c r="K81" s="99"/>
      <x:c r="L81" s="99"/>
      <x:c r="M81" s="99"/>
      <x:c r="N81" s="99"/>
      <x:c r="O81" s="99"/>
      <x:c r="P81" s="99"/>
      <x:c r="Q81" s="99"/>
      <x:c r="R81" s="99"/>
      <x:c r="S81" s="99"/>
      <x:c r="T81" s="99"/>
      <x:c r="U81" s="99"/>
      <x:c r="V81" s="99"/>
      <x:c r="W81" s="99"/>
      <x:c r="X81" s="99"/>
      <x:c r="Y81" s="99"/>
      <x:c r="Z81" s="99"/>
    </x:row>
    <x:row r="82">
      <x:c r="A82" s="99"/>
      <x:c r="B82" s="99"/>
      <x:c r="C82" s="99"/>
      <x:c r="D82" s="99"/>
      <x:c r="E82" s="99"/>
      <x:c r="F82" s="99"/>
      <x:c r="G82" s="99"/>
      <x:c r="H82" s="99"/>
      <x:c r="I82" s="99"/>
      <x:c r="J82" s="99"/>
      <x:c r="K82" s="99"/>
      <x:c r="L82" s="99"/>
      <x:c r="M82" s="99"/>
      <x:c r="N82" s="99"/>
      <x:c r="O82" s="99"/>
      <x:c r="P82" s="99"/>
      <x:c r="Q82" s="99"/>
      <x:c r="R82" s="99"/>
      <x:c r="S82" s="99"/>
      <x:c r="T82" s="99"/>
      <x:c r="U82" s="99"/>
      <x:c r="V82" s="99"/>
      <x:c r="W82" s="99"/>
      <x:c r="X82" s="99"/>
      <x:c r="Y82" s="99"/>
      <x:c r="Z82" s="99"/>
    </x:row>
    <x:row r="83">
      <x:c r="A83" s="99"/>
      <x:c r="B83" s="99"/>
      <x:c r="C83" s="99"/>
      <x:c r="D83" s="99"/>
      <x:c r="E83" s="99"/>
      <x:c r="F83" s="99"/>
      <x:c r="G83" s="99"/>
      <x:c r="H83" s="99"/>
      <x:c r="I83" s="99"/>
      <x:c r="J83" s="99"/>
      <x:c r="K83" s="99"/>
      <x:c r="L83" s="99"/>
      <x:c r="M83" s="99"/>
      <x:c r="N83" s="99"/>
      <x:c r="O83" s="99"/>
      <x:c r="P83" s="99"/>
      <x:c r="Q83" s="99"/>
      <x:c r="R83" s="99"/>
      <x:c r="S83" s="99"/>
      <x:c r="T83" s="99"/>
      <x:c r="U83" s="99"/>
      <x:c r="V83" s="99"/>
      <x:c r="W83" s="99"/>
      <x:c r="X83" s="99"/>
      <x:c r="Y83" s="99"/>
      <x:c r="Z83" s="99"/>
    </x:row>
    <x:row r="84">
      <x:c r="A84" s="99"/>
      <x:c r="B84" s="99"/>
      <x:c r="C84" s="99"/>
      <x:c r="D84" s="99"/>
      <x:c r="E84" s="99"/>
      <x:c r="F84" s="99"/>
      <x:c r="G84" s="99"/>
      <x:c r="H84" s="99"/>
      <x:c r="I84" s="99"/>
      <x:c r="J84" s="99"/>
      <x:c r="K84" s="99"/>
      <x:c r="L84" s="99"/>
      <x:c r="M84" s="99"/>
      <x:c r="N84" s="99"/>
      <x:c r="O84" s="99"/>
      <x:c r="P84" s="99"/>
      <x:c r="Q84" s="99"/>
      <x:c r="R84" s="99"/>
      <x:c r="S84" s="99"/>
      <x:c r="T84" s="99"/>
      <x:c r="U84" s="99"/>
      <x:c r="V84" s="99"/>
      <x:c r="W84" s="99"/>
      <x:c r="X84" s="99"/>
      <x:c r="Y84" s="99"/>
      <x:c r="Z84" s="99"/>
    </x:row>
    <x:row r="85">
      <x:c r="A85" s="99"/>
      <x:c r="B85" s="99"/>
      <x:c r="C85" s="99"/>
      <x:c r="D85" s="99"/>
      <x:c r="E85" s="99"/>
      <x:c r="F85" s="99"/>
      <x:c r="G85" s="99"/>
      <x:c r="H85" s="99"/>
      <x:c r="I85" s="99"/>
      <x:c r="J85" s="99"/>
      <x:c r="K85" s="99"/>
      <x:c r="L85" s="99"/>
      <x:c r="M85" s="99"/>
      <x:c r="N85" s="99"/>
      <x:c r="O85" s="99"/>
      <x:c r="P85" s="99"/>
      <x:c r="Q85" s="99"/>
      <x:c r="R85" s="99"/>
      <x:c r="S85" s="99"/>
      <x:c r="T85" s="99"/>
      <x:c r="U85" s="99"/>
      <x:c r="V85" s="99"/>
      <x:c r="W85" s="99"/>
      <x:c r="X85" s="99"/>
      <x:c r="Y85" s="99"/>
      <x:c r="Z85" s="99"/>
    </x:row>
    <x:row r="86">
      <x:c r="A86" s="99"/>
      <x:c r="B86" s="99"/>
      <x:c r="C86" s="99"/>
      <x:c r="D86" s="99"/>
      <x:c r="E86" s="99"/>
      <x:c r="F86" s="99"/>
      <x:c r="G86" s="99"/>
      <x:c r="H86" s="99"/>
      <x:c r="I86" s="99"/>
      <x:c r="J86" s="99"/>
      <x:c r="K86" s="99"/>
      <x:c r="L86" s="99"/>
      <x:c r="M86" s="99"/>
      <x:c r="N86" s="99"/>
      <x:c r="O86" s="99"/>
      <x:c r="P86" s="99"/>
      <x:c r="Q86" s="99"/>
      <x:c r="R86" s="99"/>
      <x:c r="S86" s="99"/>
      <x:c r="T86" s="99"/>
      <x:c r="U86" s="99"/>
      <x:c r="V86" s="99"/>
      <x:c r="W86" s="99"/>
      <x:c r="X86" s="99"/>
      <x:c r="Y86" s="99"/>
      <x:c r="Z86" s="99"/>
    </x:row>
    <x:row r="87">
      <x:c r="A87" s="99"/>
      <x:c r="B87" s="99"/>
      <x:c r="C87" s="99"/>
      <x:c r="D87" s="99"/>
      <x:c r="E87" s="99"/>
      <x:c r="F87" s="99"/>
      <x:c r="G87" s="99"/>
      <x:c r="H87" s="99"/>
      <x:c r="I87" s="99"/>
      <x:c r="J87" s="99"/>
      <x:c r="K87" s="99"/>
      <x:c r="L87" s="99"/>
      <x:c r="M87" s="99"/>
      <x:c r="N87" s="99"/>
      <x:c r="O87" s="99"/>
      <x:c r="P87" s="99"/>
      <x:c r="Q87" s="99"/>
      <x:c r="R87" s="99"/>
      <x:c r="S87" s="99"/>
      <x:c r="T87" s="99"/>
      <x:c r="U87" s="99"/>
      <x:c r="V87" s="99"/>
      <x:c r="W87" s="99"/>
      <x:c r="X87" s="99"/>
      <x:c r="Y87" s="99"/>
      <x:c r="Z87" s="99"/>
    </x:row>
    <x:row r="88">
      <x:c r="A88" s="99"/>
      <x:c r="B88" s="99"/>
      <x:c r="C88" s="99"/>
      <x:c r="D88" s="99"/>
      <x:c r="E88" s="99"/>
      <x:c r="F88" s="99"/>
      <x:c r="G88" s="99"/>
      <x:c r="H88" s="99"/>
      <x:c r="I88" s="99"/>
      <x:c r="J88" s="99"/>
      <x:c r="K88" s="99"/>
      <x:c r="L88" s="99"/>
      <x:c r="M88" s="99"/>
      <x:c r="N88" s="99"/>
      <x:c r="O88" s="99"/>
      <x:c r="P88" s="99"/>
      <x:c r="Q88" s="99"/>
      <x:c r="R88" s="99"/>
      <x:c r="S88" s="99"/>
      <x:c r="T88" s="99"/>
      <x:c r="U88" s="99"/>
      <x:c r="V88" s="99"/>
      <x:c r="W88" s="99"/>
      <x:c r="X88" s="99"/>
      <x:c r="Y88" s="99"/>
      <x:c r="Z88" s="99"/>
    </x:row>
    <x:row r="89">
      <x:c r="A89" s="99"/>
      <x:c r="B89" s="99"/>
      <x:c r="C89" s="99"/>
      <x:c r="D89" s="99"/>
      <x:c r="E89" s="99"/>
      <x:c r="F89" s="99"/>
      <x:c r="G89" s="99"/>
      <x:c r="H89" s="99"/>
      <x:c r="I89" s="99"/>
      <x:c r="J89" s="99"/>
      <x:c r="K89" s="99"/>
      <x:c r="L89" s="99"/>
      <x:c r="M89" s="99"/>
      <x:c r="N89" s="99"/>
      <x:c r="O89" s="99"/>
      <x:c r="P89" s="99"/>
      <x:c r="Q89" s="99"/>
      <x:c r="R89" s="99"/>
      <x:c r="S89" s="99"/>
      <x:c r="T89" s="99"/>
      <x:c r="U89" s="99"/>
      <x:c r="V89" s="99"/>
      <x:c r="W89" s="99"/>
      <x:c r="X89" s="99"/>
      <x:c r="Y89" s="99"/>
      <x:c r="Z89" s="99"/>
    </x:row>
    <x:row r="90">
      <x:c r="A90" s="99"/>
      <x:c r="B90" s="99"/>
      <x:c r="C90" s="99"/>
      <x:c r="D90" s="99"/>
      <x:c r="E90" s="99"/>
      <x:c r="F90" s="99"/>
      <x:c r="G90" s="99"/>
      <x:c r="H90" s="99"/>
      <x:c r="I90" s="99"/>
      <x:c r="J90" s="99"/>
      <x:c r="K90" s="99"/>
      <x:c r="L90" s="99"/>
      <x:c r="M90" s="99"/>
      <x:c r="N90" s="99"/>
      <x:c r="O90" s="99"/>
      <x:c r="P90" s="99"/>
      <x:c r="Q90" s="99"/>
      <x:c r="R90" s="99"/>
      <x:c r="S90" s="99"/>
      <x:c r="T90" s="99"/>
      <x:c r="U90" s="99"/>
      <x:c r="V90" s="99"/>
      <x:c r="W90" s="99"/>
      <x:c r="X90" s="99"/>
      <x:c r="Y90" s="99"/>
      <x:c r="Z90" s="99"/>
    </x:row>
    <x:row r="91">
      <x:c r="A91" s="99"/>
      <x:c r="B91" s="99"/>
      <x:c r="C91" s="99"/>
      <x:c r="D91" s="99"/>
      <x:c r="E91" s="99"/>
      <x:c r="F91" s="99"/>
      <x:c r="G91" s="99"/>
      <x:c r="H91" s="99"/>
      <x:c r="I91" s="99"/>
      <x:c r="J91" s="99"/>
      <x:c r="K91" s="99"/>
      <x:c r="L91" s="99"/>
      <x:c r="M91" s="99"/>
      <x:c r="N91" s="99"/>
      <x:c r="O91" s="99"/>
      <x:c r="P91" s="99"/>
      <x:c r="Q91" s="99"/>
      <x:c r="R91" s="99"/>
      <x:c r="S91" s="99"/>
      <x:c r="T91" s="99"/>
      <x:c r="U91" s="99"/>
      <x:c r="V91" s="99"/>
      <x:c r="W91" s="99"/>
      <x:c r="X91" s="99"/>
      <x:c r="Y91" s="99"/>
      <x:c r="Z91" s="99"/>
    </x:row>
    <x:row r="92">
      <x:c r="A92" s="99"/>
      <x:c r="B92" s="99"/>
      <x:c r="C92" s="99"/>
      <x:c r="D92" s="99"/>
      <x:c r="E92" s="99"/>
      <x:c r="F92" s="99"/>
      <x:c r="G92" s="99"/>
      <x:c r="H92" s="99"/>
      <x:c r="I92" s="99"/>
      <x:c r="J92" s="99"/>
      <x:c r="K92" s="99"/>
      <x:c r="L92" s="99"/>
      <x:c r="M92" s="99"/>
      <x:c r="N92" s="99"/>
      <x:c r="O92" s="99"/>
      <x:c r="P92" s="99"/>
      <x:c r="Q92" s="99"/>
      <x:c r="R92" s="99"/>
      <x:c r="S92" s="99"/>
      <x:c r="T92" s="99"/>
      <x:c r="U92" s="99"/>
      <x:c r="V92" s="99"/>
      <x:c r="W92" s="99"/>
      <x:c r="X92" s="99"/>
      <x:c r="Y92" s="99"/>
      <x:c r="Z92" s="99"/>
    </x:row>
    <x:row r="93">
      <x:c r="A93" s="99"/>
      <x:c r="B93" s="99"/>
      <x:c r="C93" s="99"/>
      <x:c r="D93" s="99"/>
      <x:c r="E93" s="99"/>
      <x:c r="F93" s="99"/>
      <x:c r="G93" s="99"/>
      <x:c r="H93" s="99"/>
      <x:c r="I93" s="99"/>
      <x:c r="J93" s="99"/>
      <x:c r="K93" s="99"/>
      <x:c r="L93" s="99"/>
      <x:c r="M93" s="99"/>
      <x:c r="N93" s="99"/>
      <x:c r="O93" s="99"/>
      <x:c r="P93" s="99"/>
      <x:c r="Q93" s="99"/>
      <x:c r="R93" s="99"/>
      <x:c r="S93" s="99"/>
      <x:c r="T93" s="99"/>
      <x:c r="U93" s="99"/>
      <x:c r="V93" s="99"/>
      <x:c r="W93" s="99"/>
      <x:c r="X93" s="99"/>
      <x:c r="Y93" s="99"/>
      <x:c r="Z93" s="99"/>
    </x:row>
    <x:row r="94">
      <x:c r="A94" s="99"/>
      <x:c r="B94" s="99"/>
      <x:c r="C94" s="99"/>
      <x:c r="D94" s="99"/>
      <x:c r="E94" s="99"/>
      <x:c r="F94" s="99"/>
      <x:c r="G94" s="99"/>
      <x:c r="H94" s="99"/>
      <x:c r="I94" s="99"/>
      <x:c r="J94" s="99"/>
      <x:c r="K94" s="99"/>
      <x:c r="L94" s="99"/>
      <x:c r="M94" s="99"/>
      <x:c r="N94" s="99"/>
      <x:c r="O94" s="99"/>
      <x:c r="P94" s="99"/>
      <x:c r="Q94" s="99"/>
      <x:c r="R94" s="99"/>
      <x:c r="S94" s="99"/>
      <x:c r="T94" s="99"/>
      <x:c r="U94" s="99"/>
      <x:c r="V94" s="99"/>
      <x:c r="W94" s="99"/>
      <x:c r="X94" s="99"/>
      <x:c r="Y94" s="99"/>
      <x:c r="Z94" s="99"/>
    </x:row>
    <x:row r="95">
      <x:c r="A95" s="99"/>
      <x:c r="B95" s="99"/>
      <x:c r="C95" s="99"/>
      <x:c r="D95" s="99"/>
      <x:c r="E95" s="99"/>
      <x:c r="F95" s="99"/>
      <x:c r="G95" s="99"/>
      <x:c r="H95" s="99"/>
      <x:c r="I95" s="99"/>
      <x:c r="J95" s="99"/>
      <x:c r="K95" s="99"/>
      <x:c r="L95" s="99"/>
      <x:c r="M95" s="99"/>
      <x:c r="N95" s="99"/>
      <x:c r="O95" s="99"/>
      <x:c r="P95" s="99"/>
      <x:c r="Q95" s="99"/>
      <x:c r="R95" s="99"/>
      <x:c r="S95" s="99"/>
      <x:c r="T95" s="99"/>
      <x:c r="U95" s="99"/>
      <x:c r="V95" s="99"/>
      <x:c r="W95" s="99"/>
      <x:c r="X95" s="99"/>
      <x:c r="Y95" s="99"/>
      <x:c r="Z95" s="99"/>
    </x:row>
    <x:row r="96">
      <x:c r="A96" s="99"/>
      <x:c r="B96" s="99"/>
      <x:c r="C96" s="99"/>
      <x:c r="D96" s="99"/>
      <x:c r="E96" s="99"/>
      <x:c r="F96" s="99"/>
      <x:c r="G96" s="99"/>
      <x:c r="H96" s="99"/>
      <x:c r="I96" s="99"/>
      <x:c r="J96" s="99"/>
      <x:c r="K96" s="99"/>
      <x:c r="L96" s="99"/>
      <x:c r="M96" s="99"/>
      <x:c r="N96" s="99"/>
      <x:c r="O96" s="99"/>
      <x:c r="P96" s="99"/>
      <x:c r="Q96" s="99"/>
      <x:c r="R96" s="99"/>
      <x:c r="S96" s="99"/>
      <x:c r="T96" s="99"/>
      <x:c r="U96" s="99"/>
      <x:c r="V96" s="99"/>
      <x:c r="W96" s="99"/>
      <x:c r="X96" s="99"/>
      <x:c r="Y96" s="99"/>
      <x:c r="Z96" s="99"/>
    </x:row>
    <x:row r="97">
      <x:c r="A97" s="99"/>
      <x:c r="B97" s="99"/>
      <x:c r="C97" s="99"/>
      <x:c r="D97" s="99"/>
      <x:c r="E97" s="99"/>
      <x:c r="F97" s="99"/>
      <x:c r="G97" s="99"/>
      <x:c r="H97" s="99"/>
      <x:c r="I97" s="99"/>
      <x:c r="J97" s="99"/>
      <x:c r="K97" s="99"/>
      <x:c r="L97" s="99"/>
      <x:c r="M97" s="99"/>
      <x:c r="N97" s="99"/>
      <x:c r="O97" s="99"/>
      <x:c r="P97" s="99"/>
      <x:c r="Q97" s="99"/>
      <x:c r="R97" s="99"/>
      <x:c r="S97" s="99"/>
      <x:c r="T97" s="99"/>
      <x:c r="U97" s="99"/>
      <x:c r="V97" s="99"/>
      <x:c r="W97" s="99"/>
      <x:c r="X97" s="99"/>
      <x:c r="Y97" s="99"/>
      <x:c r="Z97" s="99"/>
    </x:row>
    <x:row r="98">
      <x:c r="A98" s="99"/>
      <x:c r="B98" s="99"/>
      <x:c r="C98" s="99"/>
      <x:c r="D98" s="99"/>
      <x:c r="E98" s="99"/>
      <x:c r="F98" s="99"/>
      <x:c r="G98" s="99"/>
      <x:c r="H98" s="99"/>
      <x:c r="I98" s="99"/>
      <x:c r="J98" s="99"/>
      <x:c r="K98" s="99"/>
      <x:c r="L98" s="99"/>
      <x:c r="M98" s="99"/>
      <x:c r="N98" s="99"/>
      <x:c r="O98" s="99"/>
      <x:c r="P98" s="99"/>
      <x:c r="Q98" s="99"/>
      <x:c r="R98" s="99"/>
      <x:c r="S98" s="99"/>
      <x:c r="T98" s="99"/>
      <x:c r="U98" s="99"/>
      <x:c r="V98" s="99"/>
      <x:c r="W98" s="99"/>
      <x:c r="X98" s="99"/>
      <x:c r="Y98" s="99"/>
      <x:c r="Z98" s="99"/>
    </x:row>
    <x:row r="99">
      <x:c r="A99" s="99"/>
      <x:c r="B99" s="99"/>
      <x:c r="C99" s="99"/>
      <x:c r="D99" s="99"/>
      <x:c r="E99" s="99"/>
      <x:c r="F99" s="99"/>
      <x:c r="G99" s="99"/>
      <x:c r="H99" s="99"/>
      <x:c r="I99" s="99"/>
      <x:c r="J99" s="99"/>
      <x:c r="K99" s="99"/>
      <x:c r="L99" s="99"/>
      <x:c r="M99" s="99"/>
      <x:c r="N99" s="99"/>
      <x:c r="O99" s="99"/>
      <x:c r="P99" s="99"/>
      <x:c r="Q99" s="99"/>
      <x:c r="R99" s="99"/>
      <x:c r="S99" s="99"/>
      <x:c r="T99" s="99"/>
      <x:c r="U99" s="99"/>
      <x:c r="V99" s="99"/>
      <x:c r="W99" s="99"/>
      <x:c r="X99" s="99"/>
      <x:c r="Y99" s="99"/>
      <x:c r="Z99" s="99"/>
    </x:row>
    <x:row r="100">
      <x:c r="A100" s="99"/>
      <x:c r="B100" s="99"/>
      <x:c r="C100" s="99"/>
      <x:c r="D100" s="99"/>
      <x:c r="E100" s="99"/>
      <x:c r="F100" s="99"/>
      <x:c r="G100" s="99"/>
      <x:c r="H100" s="99"/>
      <x:c r="I100" s="99"/>
      <x:c r="J100" s="99"/>
      <x:c r="K100" s="99"/>
      <x:c r="L100" s="99"/>
      <x:c r="M100" s="99"/>
      <x:c r="N100" s="99"/>
      <x:c r="O100" s="99"/>
      <x:c r="P100" s="99"/>
      <x:c r="Q100" s="99"/>
      <x:c r="R100" s="99"/>
      <x:c r="S100" s="99"/>
      <x:c r="T100" s="99"/>
      <x:c r="U100" s="99"/>
      <x:c r="V100" s="99"/>
      <x:c r="W100" s="99"/>
      <x:c r="X100" s="99"/>
      <x:c r="Y100" s="99"/>
      <x:c r="Z100" s="99"/>
    </x:row>
    <x:row r="101">
      <x:c r="A101" s="99"/>
      <x:c r="B101" s="99"/>
      <x:c r="C101" s="99"/>
      <x:c r="D101" s="99"/>
      <x:c r="E101" s="99"/>
      <x:c r="F101" s="99"/>
      <x:c r="G101" s="99"/>
      <x:c r="H101" s="99"/>
      <x:c r="I101" s="99"/>
      <x:c r="J101" s="99"/>
      <x:c r="K101" s="99"/>
      <x:c r="L101" s="99"/>
      <x:c r="M101" s="99"/>
      <x:c r="N101" s="99"/>
      <x:c r="O101" s="99"/>
      <x:c r="P101" s="99"/>
      <x:c r="Q101" s="99"/>
      <x:c r="R101" s="99"/>
      <x:c r="S101" s="99"/>
      <x:c r="T101" s="99"/>
      <x:c r="U101" s="99"/>
      <x:c r="V101" s="99"/>
      <x:c r="W101" s="99"/>
      <x:c r="X101" s="99"/>
      <x:c r="Y101" s="99"/>
      <x:c r="Z101" s="99"/>
    </x:row>
    <x:row r="102">
      <x:c r="A102" s="99"/>
      <x:c r="B102" s="99"/>
      <x:c r="C102" s="99"/>
      <x:c r="D102" s="99"/>
      <x:c r="E102" s="99"/>
      <x:c r="F102" s="99"/>
      <x:c r="G102" s="99"/>
      <x:c r="H102" s="99"/>
      <x:c r="I102" s="99"/>
      <x:c r="J102" s="99"/>
      <x:c r="K102" s="99"/>
      <x:c r="L102" s="99"/>
      <x:c r="M102" s="99"/>
      <x:c r="N102" s="99"/>
      <x:c r="O102" s="99"/>
      <x:c r="P102" s="99"/>
      <x:c r="Q102" s="99"/>
      <x:c r="R102" s="99"/>
      <x:c r="S102" s="99"/>
      <x:c r="T102" s="99"/>
      <x:c r="U102" s="99"/>
      <x:c r="V102" s="99"/>
      <x:c r="W102" s="99"/>
      <x:c r="X102" s="99"/>
      <x:c r="Y102" s="99"/>
      <x:c r="Z102" s="99"/>
    </x:row>
    <x:row r="103">
      <x:c r="A103" s="99"/>
      <x:c r="B103" s="99"/>
      <x:c r="C103" s="99"/>
      <x:c r="D103" s="99"/>
      <x:c r="E103" s="99"/>
      <x:c r="F103" s="99"/>
      <x:c r="G103" s="99"/>
      <x:c r="H103" s="99"/>
      <x:c r="I103" s="99"/>
      <x:c r="J103" s="99"/>
      <x:c r="K103" s="99"/>
      <x:c r="L103" s="99"/>
      <x:c r="M103" s="99"/>
      <x:c r="N103" s="99"/>
      <x:c r="O103" s="99"/>
      <x:c r="P103" s="99"/>
      <x:c r="Q103" s="99"/>
      <x:c r="R103" s="99"/>
      <x:c r="S103" s="99"/>
      <x:c r="T103" s="99"/>
      <x:c r="U103" s="99"/>
      <x:c r="V103" s="99"/>
      <x:c r="W103" s="99"/>
      <x:c r="X103" s="99"/>
      <x:c r="Y103" s="99"/>
      <x:c r="Z103" s="99"/>
    </x:row>
    <x:row r="104">
      <x:c r="A104" s="99"/>
      <x:c r="B104" s="99"/>
      <x:c r="C104" s="99"/>
      <x:c r="D104" s="99"/>
      <x:c r="E104" s="99"/>
      <x:c r="F104" s="99"/>
      <x:c r="G104" s="99"/>
      <x:c r="H104" s="99"/>
      <x:c r="I104" s="99"/>
      <x:c r="J104" s="99"/>
      <x:c r="K104" s="99"/>
      <x:c r="L104" s="99"/>
      <x:c r="M104" s="99"/>
      <x:c r="N104" s="99"/>
      <x:c r="O104" s="99"/>
      <x:c r="P104" s="99"/>
      <x:c r="Q104" s="99"/>
      <x:c r="R104" s="99"/>
      <x:c r="S104" s="99"/>
      <x:c r="T104" s="99"/>
      <x:c r="U104" s="99"/>
      <x:c r="V104" s="99"/>
      <x:c r="W104" s="99"/>
      <x:c r="X104" s="99"/>
      <x:c r="Y104" s="99"/>
      <x:c r="Z104" s="99"/>
    </x:row>
    <x:row r="105">
      <x:c r="A105" s="99"/>
      <x:c r="B105" s="99"/>
      <x:c r="C105" s="99"/>
      <x:c r="D105" s="99"/>
      <x:c r="E105" s="99"/>
      <x:c r="F105" s="99"/>
      <x:c r="G105" s="99"/>
      <x:c r="H105" s="99"/>
      <x:c r="I105" s="99"/>
      <x:c r="J105" s="99"/>
      <x:c r="K105" s="99"/>
      <x:c r="L105" s="99"/>
      <x:c r="M105" s="99"/>
      <x:c r="N105" s="99"/>
      <x:c r="O105" s="99"/>
      <x:c r="P105" s="99"/>
      <x:c r="Q105" s="99"/>
      <x:c r="R105" s="99"/>
      <x:c r="S105" s="99"/>
      <x:c r="T105" s="99"/>
      <x:c r="U105" s="99"/>
      <x:c r="V105" s="99"/>
      <x:c r="W105" s="99"/>
      <x:c r="X105" s="99"/>
      <x:c r="Y105" s="99"/>
      <x:c r="Z105" s="99"/>
    </x:row>
    <x:row r="106">
      <x:c r="A106" s="99"/>
      <x:c r="B106" s="99"/>
      <x:c r="C106" s="99"/>
      <x:c r="D106" s="99"/>
      <x:c r="E106" s="99"/>
      <x:c r="F106" s="99"/>
      <x:c r="G106" s="99"/>
      <x:c r="H106" s="99"/>
      <x:c r="I106" s="99"/>
      <x:c r="J106" s="99"/>
      <x:c r="K106" s="99"/>
      <x:c r="L106" s="99"/>
      <x:c r="M106" s="99"/>
      <x:c r="N106" s="99"/>
      <x:c r="O106" s="99"/>
      <x:c r="P106" s="99"/>
      <x:c r="Q106" s="99"/>
      <x:c r="R106" s="99"/>
      <x:c r="S106" s="99"/>
      <x:c r="T106" s="99"/>
      <x:c r="U106" s="99"/>
      <x:c r="V106" s="99"/>
      <x:c r="W106" s="99"/>
      <x:c r="X106" s="99"/>
      <x:c r="Y106" s="99"/>
      <x:c r="Z106" s="99"/>
    </x:row>
    <x:row r="107">
      <x:c r="A107" s="99"/>
      <x:c r="B107" s="99"/>
      <x:c r="C107" s="99"/>
      <x:c r="D107" s="99"/>
      <x:c r="E107" s="99"/>
      <x:c r="F107" s="99"/>
      <x:c r="G107" s="99"/>
      <x:c r="H107" s="99"/>
      <x:c r="I107" s="99"/>
      <x:c r="J107" s="99"/>
      <x:c r="K107" s="99"/>
      <x:c r="L107" s="99"/>
      <x:c r="M107" s="99"/>
      <x:c r="N107" s="99"/>
      <x:c r="O107" s="99"/>
      <x:c r="P107" s="99"/>
      <x:c r="Q107" s="99"/>
      <x:c r="R107" s="99"/>
      <x:c r="S107" s="99"/>
      <x:c r="T107" s="99"/>
      <x:c r="U107" s="99"/>
      <x:c r="V107" s="99"/>
      <x:c r="W107" s="99"/>
      <x:c r="X107" s="99"/>
      <x:c r="Y107" s="99"/>
      <x:c r="Z107" s="99"/>
    </x:row>
    <x:row r="108">
      <x:c r="A108" s="99"/>
      <x:c r="B108" s="99"/>
      <x:c r="C108" s="99"/>
      <x:c r="D108" s="99"/>
      <x:c r="E108" s="99"/>
      <x:c r="F108" s="99"/>
      <x:c r="G108" s="99"/>
      <x:c r="H108" s="99"/>
      <x:c r="I108" s="99"/>
      <x:c r="J108" s="99"/>
      <x:c r="K108" s="99"/>
      <x:c r="L108" s="99"/>
      <x:c r="M108" s="99"/>
      <x:c r="N108" s="99"/>
      <x:c r="O108" s="99"/>
      <x:c r="P108" s="99"/>
      <x:c r="Q108" s="99"/>
      <x:c r="R108" s="99"/>
      <x:c r="S108" s="99"/>
      <x:c r="T108" s="99"/>
      <x:c r="U108" s="99"/>
      <x:c r="V108" s="99"/>
      <x:c r="W108" s="99"/>
      <x:c r="X108" s="99"/>
      <x:c r="Y108" s="99"/>
      <x:c r="Z108" s="99"/>
    </x:row>
    <x:row r="109">
      <x:c r="A109" s="99"/>
      <x:c r="B109" s="99"/>
      <x:c r="C109" s="99"/>
      <x:c r="D109" s="99"/>
      <x:c r="E109" s="99"/>
      <x:c r="F109" s="99"/>
      <x:c r="G109" s="99"/>
      <x:c r="H109" s="99"/>
      <x:c r="I109" s="99"/>
      <x:c r="J109" s="99"/>
      <x:c r="K109" s="99"/>
      <x:c r="L109" s="99"/>
      <x:c r="M109" s="99"/>
      <x:c r="N109" s="99"/>
      <x:c r="O109" s="99"/>
      <x:c r="P109" s="99"/>
      <x:c r="Q109" s="99"/>
      <x:c r="R109" s="99"/>
      <x:c r="S109" s="99"/>
      <x:c r="T109" s="99"/>
      <x:c r="U109" s="99"/>
      <x:c r="V109" s="99"/>
      <x:c r="W109" s="99"/>
      <x:c r="X109" s="99"/>
      <x:c r="Y109" s="99"/>
      <x:c r="Z109" s="99"/>
    </x:row>
    <x:row r="110">
      <x:c r="A110" s="99"/>
      <x:c r="B110" s="99"/>
      <x:c r="C110" s="99"/>
      <x:c r="D110" s="99"/>
      <x:c r="E110" s="99"/>
      <x:c r="F110" s="99"/>
      <x:c r="G110" s="99"/>
      <x:c r="H110" s="99"/>
      <x:c r="I110" s="99"/>
      <x:c r="J110" s="99"/>
      <x:c r="K110" s="99"/>
      <x:c r="L110" s="99"/>
      <x:c r="M110" s="99"/>
      <x:c r="N110" s="99"/>
      <x:c r="O110" s="99"/>
      <x:c r="P110" s="99"/>
      <x:c r="Q110" s="99"/>
      <x:c r="R110" s="99"/>
      <x:c r="S110" s="99"/>
      <x:c r="T110" s="99"/>
      <x:c r="U110" s="99"/>
      <x:c r="V110" s="99"/>
      <x:c r="W110" s="99"/>
      <x:c r="X110" s="99"/>
      <x:c r="Y110" s="99"/>
      <x:c r="Z110" s="99"/>
    </x:row>
    <x:row r="111">
      <x:c r="A111" s="99"/>
      <x:c r="B111" s="99"/>
      <x:c r="C111" s="99"/>
      <x:c r="D111" s="99"/>
      <x:c r="E111" s="99"/>
      <x:c r="F111" s="99"/>
      <x:c r="G111" s="99"/>
      <x:c r="H111" s="99"/>
      <x:c r="I111" s="99"/>
      <x:c r="J111" s="99"/>
      <x:c r="K111" s="99"/>
      <x:c r="L111" s="99"/>
      <x:c r="M111" s="99"/>
      <x:c r="N111" s="99"/>
      <x:c r="O111" s="99"/>
      <x:c r="P111" s="99"/>
      <x:c r="Q111" s="99"/>
      <x:c r="R111" s="99"/>
      <x:c r="S111" s="99"/>
      <x:c r="T111" s="99"/>
      <x:c r="U111" s="99"/>
      <x:c r="V111" s="99"/>
      <x:c r="W111" s="99"/>
      <x:c r="X111" s="99"/>
      <x:c r="Y111" s="99"/>
      <x:c r="Z111" s="99"/>
    </x:row>
    <x:row r="112">
      <x:c r="A112" s="99"/>
      <x:c r="B112" s="99"/>
      <x:c r="C112" s="99"/>
      <x:c r="D112" s="99"/>
      <x:c r="E112" s="99"/>
      <x:c r="F112" s="99"/>
      <x:c r="G112" s="99"/>
      <x:c r="H112" s="99"/>
      <x:c r="I112" s="99"/>
      <x:c r="J112" s="99"/>
      <x:c r="K112" s="99"/>
      <x:c r="L112" s="99"/>
      <x:c r="M112" s="99"/>
      <x:c r="N112" s="99"/>
      <x:c r="O112" s="99"/>
      <x:c r="P112" s="99"/>
      <x:c r="Q112" s="99"/>
      <x:c r="R112" s="99"/>
      <x:c r="S112" s="99"/>
      <x:c r="T112" s="99"/>
      <x:c r="U112" s="99"/>
      <x:c r="V112" s="99"/>
      <x:c r="W112" s="99"/>
      <x:c r="X112" s="99"/>
      <x:c r="Y112" s="99"/>
      <x:c r="Z112" s="99"/>
    </x:row>
    <x:row r="113">
      <x:c r="A113" s="99"/>
      <x:c r="B113" s="99"/>
      <x:c r="C113" s="99"/>
      <x:c r="D113" s="99"/>
      <x:c r="E113" s="99"/>
      <x:c r="F113" s="99"/>
      <x:c r="G113" s="99"/>
      <x:c r="H113" s="99"/>
      <x:c r="I113" s="99"/>
      <x:c r="J113" s="99"/>
      <x:c r="K113" s="99"/>
      <x:c r="L113" s="99"/>
      <x:c r="M113" s="99"/>
      <x:c r="N113" s="99"/>
      <x:c r="O113" s="99"/>
      <x:c r="P113" s="99"/>
      <x:c r="Q113" s="99"/>
      <x:c r="R113" s="99"/>
      <x:c r="S113" s="99"/>
      <x:c r="T113" s="99"/>
      <x:c r="U113" s="99"/>
      <x:c r="V113" s="99"/>
      <x:c r="W113" s="99"/>
      <x:c r="X113" s="99"/>
      <x:c r="Y113" s="99"/>
      <x:c r="Z113" s="99"/>
    </x:row>
    <x:row r="114">
      <x:c r="A114" s="99"/>
      <x:c r="B114" s="99"/>
      <x:c r="C114" s="99"/>
      <x:c r="D114" s="99"/>
      <x:c r="E114" s="99"/>
      <x:c r="F114" s="99"/>
      <x:c r="G114" s="99"/>
      <x:c r="H114" s="99"/>
      <x:c r="I114" s="99"/>
      <x:c r="J114" s="99"/>
      <x:c r="K114" s="99"/>
      <x:c r="L114" s="99"/>
      <x:c r="M114" s="99"/>
      <x:c r="N114" s="99"/>
      <x:c r="O114" s="99"/>
      <x:c r="P114" s="99"/>
      <x:c r="Q114" s="99"/>
      <x:c r="R114" s="99"/>
      <x:c r="S114" s="99"/>
      <x:c r="T114" s="99"/>
      <x:c r="U114" s="99"/>
      <x:c r="V114" s="99"/>
      <x:c r="W114" s="99"/>
      <x:c r="X114" s="99"/>
      <x:c r="Y114" s="99"/>
      <x:c r="Z114" s="99"/>
    </x:row>
    <x:row r="115">
      <x:c r="A115" s="99"/>
      <x:c r="B115" s="99"/>
      <x:c r="C115" s="99"/>
      <x:c r="D115" s="99"/>
      <x:c r="E115" s="99"/>
      <x:c r="F115" s="99"/>
      <x:c r="G115" s="99"/>
      <x:c r="H115" s="99"/>
      <x:c r="I115" s="99"/>
      <x:c r="J115" s="99"/>
      <x:c r="K115" s="99"/>
      <x:c r="L115" s="99"/>
      <x:c r="M115" s="99"/>
      <x:c r="N115" s="99"/>
      <x:c r="O115" s="99"/>
      <x:c r="P115" s="99"/>
      <x:c r="Q115" s="99"/>
      <x:c r="R115" s="99"/>
      <x:c r="S115" s="99"/>
      <x:c r="T115" s="99"/>
      <x:c r="U115" s="99"/>
      <x:c r="V115" s="99"/>
      <x:c r="W115" s="99"/>
      <x:c r="X115" s="99"/>
      <x:c r="Y115" s="99"/>
      <x:c r="Z115" s="99"/>
    </x:row>
    <x:row r="116">
      <x:c r="A116" s="99"/>
      <x:c r="B116" s="99"/>
      <x:c r="C116" s="99"/>
      <x:c r="D116" s="99"/>
      <x:c r="E116" s="99"/>
      <x:c r="F116" s="99"/>
      <x:c r="G116" s="99"/>
      <x:c r="H116" s="99"/>
      <x:c r="I116" s="99"/>
      <x:c r="J116" s="99"/>
      <x:c r="K116" s="99"/>
      <x:c r="L116" s="99"/>
      <x:c r="M116" s="99"/>
      <x:c r="N116" s="99"/>
      <x:c r="O116" s="99"/>
      <x:c r="P116" s="99"/>
      <x:c r="Q116" s="99"/>
      <x:c r="R116" s="99"/>
      <x:c r="S116" s="99"/>
      <x:c r="T116" s="99"/>
      <x:c r="U116" s="99"/>
      <x:c r="V116" s="99"/>
      <x:c r="W116" s="99"/>
      <x:c r="X116" s="99"/>
      <x:c r="Y116" s="99"/>
      <x:c r="Z116" s="99"/>
    </x:row>
    <x:row r="117">
      <x:c r="A117" s="99"/>
      <x:c r="B117" s="99"/>
      <x:c r="C117" s="99"/>
      <x:c r="D117" s="99"/>
      <x:c r="E117" s="99"/>
      <x:c r="F117" s="99"/>
      <x:c r="G117" s="99"/>
      <x:c r="H117" s="99"/>
      <x:c r="I117" s="99"/>
      <x:c r="J117" s="99"/>
      <x:c r="K117" s="99"/>
      <x:c r="L117" s="99"/>
      <x:c r="M117" s="99"/>
      <x:c r="N117" s="99"/>
      <x:c r="O117" s="99"/>
      <x:c r="P117" s="99"/>
      <x:c r="Q117" s="99"/>
      <x:c r="R117" s="99"/>
      <x:c r="S117" s="99"/>
      <x:c r="T117" s="99"/>
      <x:c r="U117" s="99"/>
      <x:c r="V117" s="99"/>
      <x:c r="W117" s="99"/>
      <x:c r="X117" s="99"/>
      <x:c r="Y117" s="99"/>
      <x:c r="Z117" s="99"/>
    </x:row>
    <x:row r="118">
      <x:c r="A118" s="99"/>
      <x:c r="B118" s="99"/>
      <x:c r="C118" s="99"/>
      <x:c r="D118" s="99"/>
      <x:c r="E118" s="99"/>
      <x:c r="F118" s="99"/>
      <x:c r="G118" s="99"/>
      <x:c r="H118" s="99"/>
      <x:c r="I118" s="99"/>
      <x:c r="J118" s="99"/>
      <x:c r="K118" s="99"/>
      <x:c r="L118" s="99"/>
      <x:c r="M118" s="99"/>
      <x:c r="N118" s="99"/>
      <x:c r="O118" s="99"/>
      <x:c r="P118" s="99"/>
      <x:c r="Q118" s="99"/>
      <x:c r="R118" s="99"/>
      <x:c r="S118" s="99"/>
      <x:c r="T118" s="99"/>
      <x:c r="U118" s="99"/>
      <x:c r="V118" s="99"/>
      <x:c r="W118" s="99"/>
      <x:c r="X118" s="99"/>
      <x:c r="Y118" s="99"/>
      <x:c r="Z118" s="99"/>
    </x:row>
    <x:row r="119">
      <x:c r="A119" s="99"/>
      <x:c r="B119" s="99"/>
      <x:c r="C119" s="99"/>
      <x:c r="D119" s="99"/>
      <x:c r="E119" s="99"/>
      <x:c r="F119" s="99"/>
      <x:c r="G119" s="99"/>
      <x:c r="H119" s="99"/>
      <x:c r="I119" s="99"/>
      <x:c r="J119" s="99"/>
      <x:c r="K119" s="99"/>
      <x:c r="L119" s="99"/>
      <x:c r="M119" s="99"/>
      <x:c r="N119" s="99"/>
      <x:c r="O119" s="99"/>
      <x:c r="P119" s="99"/>
      <x:c r="Q119" s="99"/>
      <x:c r="R119" s="99"/>
      <x:c r="S119" s="99"/>
      <x:c r="T119" s="99"/>
      <x:c r="U119" s="99"/>
      <x:c r="V119" s="99"/>
      <x:c r="W119" s="99"/>
      <x:c r="X119" s="99"/>
      <x:c r="Y119" s="99"/>
      <x:c r="Z119" s="99"/>
    </x:row>
    <x:row r="120">
      <x:c r="A120" s="99"/>
      <x:c r="B120" s="99"/>
      <x:c r="C120" s="99"/>
      <x:c r="D120" s="99"/>
      <x:c r="E120" s="99"/>
      <x:c r="F120" s="99"/>
      <x:c r="G120" s="99"/>
      <x:c r="H120" s="99"/>
      <x:c r="I120" s="99"/>
      <x:c r="J120" s="99"/>
      <x:c r="K120" s="99"/>
      <x:c r="L120" s="99"/>
      <x:c r="M120" s="99"/>
      <x:c r="N120" s="99"/>
      <x:c r="O120" s="99"/>
      <x:c r="P120" s="99"/>
      <x:c r="Q120" s="99"/>
      <x:c r="R120" s="99"/>
      <x:c r="S120" s="99"/>
      <x:c r="T120" s="99"/>
      <x:c r="U120" s="99"/>
      <x:c r="V120" s="99"/>
      <x:c r="W120" s="99"/>
      <x:c r="X120" s="99"/>
      <x:c r="Y120" s="99"/>
      <x:c r="Z120" s="99"/>
    </x:row>
    <x:row r="121">
      <x:c r="A121" s="99"/>
      <x:c r="B121" s="99"/>
      <x:c r="C121" s="99"/>
      <x:c r="D121" s="99"/>
      <x:c r="E121" s="99"/>
      <x:c r="F121" s="99"/>
      <x:c r="G121" s="99"/>
      <x:c r="H121" s="99"/>
      <x:c r="I121" s="99"/>
      <x:c r="J121" s="99"/>
      <x:c r="K121" s="99"/>
      <x:c r="L121" s="99"/>
      <x:c r="M121" s="99"/>
      <x:c r="N121" s="99"/>
      <x:c r="O121" s="99"/>
      <x:c r="P121" s="99"/>
      <x:c r="Q121" s="99"/>
      <x:c r="R121" s="99"/>
      <x:c r="S121" s="99"/>
      <x:c r="T121" s="99"/>
      <x:c r="U121" s="99"/>
      <x:c r="V121" s="99"/>
      <x:c r="W121" s="99"/>
      <x:c r="X121" s="99"/>
      <x:c r="Y121" s="99"/>
      <x:c r="Z121" s="99"/>
    </x:row>
    <x:row r="122">
      <x:c r="A122" s="99"/>
      <x:c r="B122" s="99"/>
      <x:c r="C122" s="99"/>
      <x:c r="D122" s="99"/>
      <x:c r="E122" s="99"/>
      <x:c r="F122" s="99"/>
      <x:c r="G122" s="99"/>
      <x:c r="H122" s="99"/>
      <x:c r="I122" s="99"/>
      <x:c r="J122" s="99"/>
      <x:c r="K122" s="99"/>
      <x:c r="L122" s="99"/>
      <x:c r="M122" s="99"/>
      <x:c r="N122" s="99"/>
      <x:c r="O122" s="99"/>
      <x:c r="P122" s="99"/>
      <x:c r="Q122" s="99"/>
      <x:c r="R122" s="99"/>
      <x:c r="S122" s="99"/>
      <x:c r="T122" s="99"/>
      <x:c r="U122" s="99"/>
      <x:c r="V122" s="99"/>
      <x:c r="W122" s="99"/>
      <x:c r="X122" s="99"/>
      <x:c r="Y122" s="99"/>
      <x:c r="Z122" s="99"/>
    </x:row>
    <x:row r="123">
      <x:c r="A123" s="99"/>
      <x:c r="B123" s="99"/>
      <x:c r="C123" s="99"/>
      <x:c r="D123" s="99"/>
      <x:c r="E123" s="99"/>
      <x:c r="F123" s="99"/>
      <x:c r="G123" s="99"/>
      <x:c r="H123" s="99"/>
      <x:c r="I123" s="99"/>
      <x:c r="J123" s="99"/>
      <x:c r="K123" s="99"/>
      <x:c r="L123" s="99"/>
      <x:c r="M123" s="99"/>
      <x:c r="N123" s="99"/>
      <x:c r="O123" s="99"/>
      <x:c r="P123" s="99"/>
      <x:c r="Q123" s="99"/>
      <x:c r="R123" s="99"/>
      <x:c r="S123" s="99"/>
      <x:c r="T123" s="99"/>
      <x:c r="U123" s="99"/>
      <x:c r="V123" s="99"/>
      <x:c r="W123" s="99"/>
      <x:c r="X123" s="99"/>
      <x:c r="Y123" s="99"/>
      <x:c r="Z123" s="99"/>
    </x:row>
    <x:row r="124">
      <x:c r="A124" s="99"/>
      <x:c r="B124" s="99"/>
      <x:c r="C124" s="99"/>
      <x:c r="D124" s="99"/>
      <x:c r="E124" s="99"/>
      <x:c r="F124" s="99"/>
      <x:c r="G124" s="99"/>
      <x:c r="H124" s="99"/>
      <x:c r="I124" s="99"/>
      <x:c r="J124" s="99"/>
      <x:c r="K124" s="99"/>
      <x:c r="L124" s="99"/>
      <x:c r="M124" s="99"/>
      <x:c r="N124" s="99"/>
      <x:c r="O124" s="99"/>
      <x:c r="P124" s="99"/>
      <x:c r="Q124" s="99"/>
      <x:c r="R124" s="99"/>
      <x:c r="S124" s="99"/>
      <x:c r="T124" s="99"/>
      <x:c r="U124" s="99"/>
      <x:c r="V124" s="99"/>
      <x:c r="W124" s="99"/>
      <x:c r="X124" s="99"/>
      <x:c r="Y124" s="99"/>
      <x:c r="Z124" s="99"/>
    </x:row>
    <x:row r="125">
      <x:c r="A125" s="99"/>
      <x:c r="B125" s="99"/>
      <x:c r="C125" s="99"/>
      <x:c r="D125" s="99"/>
      <x:c r="E125" s="99"/>
      <x:c r="F125" s="99"/>
      <x:c r="G125" s="99"/>
      <x:c r="H125" s="99"/>
      <x:c r="I125" s="99"/>
      <x:c r="J125" s="99"/>
      <x:c r="K125" s="99"/>
      <x:c r="L125" s="99"/>
      <x:c r="M125" s="99"/>
      <x:c r="N125" s="99"/>
      <x:c r="O125" s="99"/>
      <x:c r="P125" s="99"/>
      <x:c r="Q125" s="99"/>
      <x:c r="R125" s="99"/>
      <x:c r="S125" s="99"/>
      <x:c r="T125" s="99"/>
      <x:c r="U125" s="99"/>
      <x:c r="V125" s="99"/>
      <x:c r="W125" s="99"/>
      <x:c r="X125" s="99"/>
      <x:c r="Y125" s="99"/>
      <x:c r="Z125" s="99"/>
    </x:row>
    <x:row r="126">
      <x:c r="A126" s="99"/>
      <x:c r="B126" s="99"/>
      <x:c r="C126" s="99"/>
      <x:c r="D126" s="99"/>
      <x:c r="E126" s="99"/>
      <x:c r="F126" s="99"/>
      <x:c r="G126" s="99"/>
      <x:c r="H126" s="99"/>
      <x:c r="I126" s="99"/>
      <x:c r="J126" s="99"/>
      <x:c r="K126" s="99"/>
      <x:c r="L126" s="99"/>
      <x:c r="M126" s="99"/>
      <x:c r="N126" s="99"/>
      <x:c r="O126" s="99"/>
      <x:c r="P126" s="99"/>
      <x:c r="Q126" s="99"/>
      <x:c r="R126" s="99"/>
      <x:c r="S126" s="99"/>
      <x:c r="T126" s="99"/>
      <x:c r="U126" s="99"/>
      <x:c r="V126" s="99"/>
      <x:c r="W126" s="99"/>
      <x:c r="X126" s="99"/>
      <x:c r="Y126" s="99"/>
      <x:c r="Z126" s="99"/>
    </x:row>
    <x:row r="127">
      <x:c r="A127" s="99"/>
      <x:c r="B127" s="99"/>
      <x:c r="C127" s="99"/>
      <x:c r="D127" s="99"/>
      <x:c r="E127" s="99"/>
      <x:c r="F127" s="99"/>
      <x:c r="G127" s="99"/>
      <x:c r="H127" s="99"/>
      <x:c r="I127" s="99"/>
      <x:c r="J127" s="99"/>
      <x:c r="K127" s="99"/>
      <x:c r="L127" s="99"/>
      <x:c r="M127" s="99"/>
      <x:c r="N127" s="99"/>
      <x:c r="O127" s="99"/>
      <x:c r="P127" s="99"/>
      <x:c r="Q127" s="99"/>
      <x:c r="R127" s="99"/>
      <x:c r="S127" s="99"/>
      <x:c r="T127" s="99"/>
      <x:c r="U127" s="99"/>
      <x:c r="V127" s="99"/>
      <x:c r="W127" s="99"/>
      <x:c r="X127" s="99"/>
      <x:c r="Y127" s="99"/>
      <x:c r="Z127" s="99"/>
    </x:row>
    <x:row r="128">
      <x:c r="A128" s="99"/>
      <x:c r="B128" s="99"/>
      <x:c r="C128" s="99"/>
      <x:c r="D128" s="99"/>
      <x:c r="E128" s="99"/>
      <x:c r="F128" s="99"/>
      <x:c r="G128" s="99"/>
      <x:c r="H128" s="99"/>
      <x:c r="I128" s="99"/>
      <x:c r="J128" s="99"/>
      <x:c r="K128" s="99"/>
      <x:c r="L128" s="99"/>
      <x:c r="M128" s="99"/>
      <x:c r="N128" s="99"/>
      <x:c r="O128" s="99"/>
      <x:c r="P128" s="99"/>
      <x:c r="Q128" s="99"/>
      <x:c r="R128" s="99"/>
      <x:c r="S128" s="99"/>
      <x:c r="T128" s="99"/>
      <x:c r="U128" s="99"/>
      <x:c r="V128" s="99"/>
      <x:c r="W128" s="99"/>
      <x:c r="X128" s="99"/>
      <x:c r="Y128" s="99"/>
      <x:c r="Z128" s="99"/>
    </x:row>
    <x:row r="129">
      <x:c r="A129" s="99"/>
      <x:c r="B129" s="99"/>
      <x:c r="C129" s="99"/>
      <x:c r="D129" s="99"/>
      <x:c r="E129" s="99"/>
      <x:c r="F129" s="99"/>
      <x:c r="G129" s="99"/>
      <x:c r="H129" s="99"/>
      <x:c r="I129" s="99"/>
      <x:c r="J129" s="99"/>
      <x:c r="K129" s="99"/>
      <x:c r="L129" s="99"/>
      <x:c r="M129" s="99"/>
      <x:c r="N129" s="99"/>
      <x:c r="O129" s="99"/>
      <x:c r="P129" s="99"/>
      <x:c r="Q129" s="99"/>
      <x:c r="R129" s="99"/>
      <x:c r="S129" s="99"/>
      <x:c r="T129" s="99"/>
      <x:c r="U129" s="99"/>
      <x:c r="V129" s="99"/>
      <x:c r="W129" s="99"/>
      <x:c r="X129" s="99"/>
      <x:c r="Y129" s="99"/>
      <x:c r="Z129" s="99"/>
    </x:row>
    <x:row r="130">
      <x:c r="A130" s="99"/>
      <x:c r="B130" s="99"/>
      <x:c r="C130" s="99"/>
      <x:c r="D130" s="99"/>
      <x:c r="E130" s="99"/>
      <x:c r="F130" s="99"/>
      <x:c r="G130" s="99"/>
      <x:c r="H130" s="99"/>
      <x:c r="I130" s="99"/>
      <x:c r="J130" s="99"/>
      <x:c r="K130" s="99"/>
      <x:c r="L130" s="99"/>
      <x:c r="M130" s="99"/>
      <x:c r="N130" s="99"/>
      <x:c r="O130" s="99"/>
      <x:c r="P130" s="99"/>
      <x:c r="Q130" s="99"/>
      <x:c r="R130" s="99"/>
      <x:c r="S130" s="99"/>
      <x:c r="T130" s="99"/>
      <x:c r="U130" s="99"/>
      <x:c r="V130" s="99"/>
      <x:c r="W130" s="99"/>
      <x:c r="X130" s="99"/>
      <x:c r="Y130" s="99"/>
      <x:c r="Z130" s="99"/>
    </x:row>
    <x:row r="131">
      <x:c r="A131" s="99"/>
      <x:c r="B131" s="99"/>
      <x:c r="C131" s="99"/>
      <x:c r="D131" s="99"/>
      <x:c r="E131" s="99"/>
      <x:c r="F131" s="99"/>
      <x:c r="G131" s="99"/>
      <x:c r="H131" s="99"/>
      <x:c r="I131" s="99"/>
      <x:c r="J131" s="99"/>
      <x:c r="K131" s="99"/>
      <x:c r="L131" s="99"/>
      <x:c r="M131" s="99"/>
      <x:c r="N131" s="99"/>
      <x:c r="O131" s="99"/>
      <x:c r="P131" s="99"/>
      <x:c r="Q131" s="99"/>
      <x:c r="R131" s="99"/>
      <x:c r="S131" s="99"/>
      <x:c r="T131" s="99"/>
      <x:c r="U131" s="99"/>
      <x:c r="V131" s="99"/>
      <x:c r="W131" s="99"/>
      <x:c r="X131" s="99"/>
      <x:c r="Y131" s="99"/>
      <x:c r="Z131" s="99"/>
    </x:row>
    <x:row r="132">
      <x:c r="A132" s="99"/>
      <x:c r="B132" s="99"/>
      <x:c r="C132" s="99"/>
      <x:c r="D132" s="99"/>
      <x:c r="E132" s="99"/>
      <x:c r="F132" s="99"/>
      <x:c r="G132" s="99"/>
      <x:c r="H132" s="99"/>
      <x:c r="I132" s="99"/>
      <x:c r="J132" s="99"/>
      <x:c r="K132" s="99"/>
      <x:c r="L132" s="99"/>
      <x:c r="M132" s="99"/>
      <x:c r="N132" s="99"/>
      <x:c r="O132" s="99"/>
      <x:c r="P132" s="99"/>
      <x:c r="Q132" s="99"/>
      <x:c r="R132" s="99"/>
      <x:c r="S132" s="99"/>
      <x:c r="T132" s="99"/>
      <x:c r="U132" s="99"/>
      <x:c r="V132" s="99"/>
      <x:c r="W132" s="99"/>
      <x:c r="X132" s="99"/>
      <x:c r="Y132" s="99"/>
      <x:c r="Z132" s="99"/>
    </x:row>
    <x:row r="133">
      <x:c r="A133" s="99"/>
      <x:c r="B133" s="99"/>
      <x:c r="C133" s="99"/>
      <x:c r="D133" s="99"/>
      <x:c r="E133" s="99"/>
      <x:c r="F133" s="99"/>
      <x:c r="G133" s="99"/>
      <x:c r="H133" s="99"/>
      <x:c r="I133" s="99"/>
      <x:c r="J133" s="99"/>
      <x:c r="K133" s="99"/>
      <x:c r="L133" s="99"/>
      <x:c r="M133" s="99"/>
      <x:c r="N133" s="99"/>
      <x:c r="O133" s="99"/>
      <x:c r="P133" s="99"/>
      <x:c r="Q133" s="99"/>
      <x:c r="R133" s="99"/>
      <x:c r="S133" s="99"/>
      <x:c r="T133" s="99"/>
      <x:c r="U133" s="99"/>
      <x:c r="V133" s="99"/>
      <x:c r="W133" s="99"/>
      <x:c r="X133" s="99"/>
      <x:c r="Y133" s="99"/>
      <x:c r="Z133" s="99"/>
    </x:row>
    <x:row r="134">
      <x:c r="A134" s="99"/>
      <x:c r="B134" s="99"/>
      <x:c r="C134" s="99"/>
      <x:c r="D134" s="99"/>
      <x:c r="E134" s="99"/>
      <x:c r="F134" s="99"/>
      <x:c r="G134" s="99"/>
      <x:c r="H134" s="99"/>
      <x:c r="I134" s="99"/>
      <x:c r="J134" s="99"/>
      <x:c r="K134" s="99"/>
      <x:c r="L134" s="99"/>
      <x:c r="M134" s="99"/>
      <x:c r="N134" s="99"/>
      <x:c r="O134" s="99"/>
      <x:c r="P134" s="99"/>
      <x:c r="Q134" s="99"/>
      <x:c r="R134" s="99"/>
      <x:c r="S134" s="99"/>
      <x:c r="T134" s="99"/>
      <x:c r="U134" s="99"/>
      <x:c r="V134" s="99"/>
      <x:c r="W134" s="99"/>
      <x:c r="X134" s="99"/>
      <x:c r="Y134" s="99"/>
      <x:c r="Z134" s="99"/>
    </x:row>
    <x:row r="135">
      <x:c r="A135" s="99"/>
      <x:c r="B135" s="99"/>
      <x:c r="C135" s="99"/>
      <x:c r="D135" s="99"/>
      <x:c r="E135" s="99"/>
      <x:c r="F135" s="99"/>
      <x:c r="G135" s="99"/>
      <x:c r="H135" s="99"/>
      <x:c r="I135" s="99"/>
      <x:c r="J135" s="99"/>
      <x:c r="K135" s="99"/>
      <x:c r="L135" s="99"/>
      <x:c r="M135" s="99"/>
      <x:c r="N135" s="99"/>
      <x:c r="O135" s="99"/>
      <x:c r="P135" s="99"/>
      <x:c r="Q135" s="99"/>
      <x:c r="R135" s="99"/>
      <x:c r="S135" s="99"/>
      <x:c r="T135" s="99"/>
      <x:c r="U135" s="99"/>
      <x:c r="V135" s="99"/>
      <x:c r="W135" s="99"/>
      <x:c r="X135" s="99"/>
      <x:c r="Y135" s="99"/>
      <x:c r="Z135" s="99"/>
    </x:row>
    <x:row r="136">
      <x:c r="A136" s="99"/>
      <x:c r="B136" s="99"/>
      <x:c r="C136" s="99"/>
      <x:c r="D136" s="99"/>
      <x:c r="E136" s="99"/>
      <x:c r="F136" s="99"/>
      <x:c r="G136" s="99"/>
      <x:c r="H136" s="99"/>
      <x:c r="I136" s="99"/>
      <x:c r="J136" s="99"/>
      <x:c r="K136" s="99"/>
      <x:c r="L136" s="99"/>
      <x:c r="M136" s="99"/>
      <x:c r="N136" s="99"/>
      <x:c r="O136" s="99"/>
      <x:c r="P136" s="99"/>
      <x:c r="Q136" s="99"/>
      <x:c r="R136" s="99"/>
      <x:c r="S136" s="99"/>
      <x:c r="T136" s="99"/>
      <x:c r="U136" s="99"/>
      <x:c r="V136" s="99"/>
      <x:c r="W136" s="99"/>
      <x:c r="X136" s="99"/>
      <x:c r="Y136" s="99"/>
      <x:c r="Z136" s="99"/>
    </x:row>
    <x:row r="137">
      <x:c r="A137" s="99"/>
      <x:c r="B137" s="99"/>
      <x:c r="C137" s="99"/>
      <x:c r="D137" s="99"/>
      <x:c r="E137" s="99"/>
      <x:c r="F137" s="99"/>
      <x:c r="G137" s="99"/>
      <x:c r="H137" s="99"/>
      <x:c r="I137" s="99"/>
      <x:c r="J137" s="99"/>
      <x:c r="K137" s="99"/>
      <x:c r="L137" s="99"/>
      <x:c r="M137" s="99"/>
      <x:c r="N137" s="99"/>
      <x:c r="O137" s="99"/>
      <x:c r="P137" s="99"/>
      <x:c r="Q137" s="99"/>
      <x:c r="R137" s="99"/>
      <x:c r="S137" s="99"/>
      <x:c r="T137" s="99"/>
      <x:c r="U137" s="99"/>
      <x:c r="V137" s="99"/>
      <x:c r="W137" s="99"/>
      <x:c r="X137" s="99"/>
      <x:c r="Y137" s="99"/>
      <x:c r="Z137" s="99"/>
    </x:row>
    <x:row r="138">
      <x:c r="A138" s="99"/>
      <x:c r="B138" s="99"/>
      <x:c r="C138" s="99"/>
      <x:c r="D138" s="99"/>
      <x:c r="E138" s="99"/>
      <x:c r="F138" s="99"/>
      <x:c r="G138" s="99"/>
      <x:c r="H138" s="99"/>
      <x:c r="I138" s="99"/>
      <x:c r="J138" s="99"/>
      <x:c r="K138" s="99"/>
      <x:c r="L138" s="99"/>
      <x:c r="M138" s="99"/>
      <x:c r="N138" s="99"/>
      <x:c r="O138" s="99"/>
      <x:c r="P138" s="99"/>
      <x:c r="Q138" s="99"/>
      <x:c r="R138" s="99"/>
      <x:c r="S138" s="99"/>
      <x:c r="T138" s="99"/>
      <x:c r="U138" s="99"/>
      <x:c r="V138" s="99"/>
      <x:c r="W138" s="99"/>
      <x:c r="X138" s="99"/>
      <x:c r="Y138" s="99"/>
      <x:c r="Z138" s="99"/>
    </x:row>
    <x:row r="139">
      <x:c r="A139" s="99"/>
      <x:c r="B139" s="99"/>
      <x:c r="C139" s="99"/>
      <x:c r="D139" s="99"/>
      <x:c r="E139" s="99"/>
      <x:c r="F139" s="99"/>
      <x:c r="G139" s="99"/>
      <x:c r="H139" s="99"/>
      <x:c r="I139" s="99"/>
      <x:c r="J139" s="99"/>
      <x:c r="K139" s="99"/>
      <x:c r="L139" s="99"/>
      <x:c r="M139" s="99"/>
      <x:c r="N139" s="99"/>
      <x:c r="O139" s="99"/>
      <x:c r="P139" s="99"/>
      <x:c r="Q139" s="99"/>
      <x:c r="R139" s="99"/>
      <x:c r="S139" s="99"/>
      <x:c r="T139" s="99"/>
      <x:c r="U139" s="99"/>
      <x:c r="V139" s="99"/>
      <x:c r="W139" s="99"/>
      <x:c r="X139" s="99"/>
      <x:c r="Y139" s="99"/>
      <x:c r="Z139" s="99"/>
    </x:row>
    <x:row r="140">
      <x:c r="A140" s="99"/>
      <x:c r="B140" s="99"/>
      <x:c r="C140" s="99"/>
      <x:c r="D140" s="99"/>
      <x:c r="E140" s="99"/>
      <x:c r="F140" s="99"/>
      <x:c r="G140" s="99"/>
      <x:c r="H140" s="99"/>
      <x:c r="I140" s="99"/>
      <x:c r="J140" s="99"/>
      <x:c r="K140" s="99"/>
      <x:c r="L140" s="99"/>
      <x:c r="M140" s="99"/>
      <x:c r="N140" s="99"/>
      <x:c r="O140" s="99"/>
      <x:c r="P140" s="99"/>
      <x:c r="Q140" s="99"/>
      <x:c r="R140" s="99"/>
      <x:c r="S140" s="99"/>
      <x:c r="T140" s="99"/>
      <x:c r="U140" s="99"/>
      <x:c r="V140" s="99"/>
      <x:c r="W140" s="99"/>
      <x:c r="X140" s="99"/>
      <x:c r="Y140" s="99"/>
      <x:c r="Z140" s="99"/>
    </x:row>
    <x:row r="141">
      <x:c r="A141" s="99"/>
      <x:c r="B141" s="99"/>
      <x:c r="C141" s="99"/>
      <x:c r="D141" s="99"/>
      <x:c r="E141" s="99"/>
      <x:c r="F141" s="99"/>
      <x:c r="G141" s="99"/>
      <x:c r="H141" s="99"/>
      <x:c r="I141" s="99"/>
      <x:c r="J141" s="99"/>
      <x:c r="K141" s="99"/>
      <x:c r="L141" s="99"/>
      <x:c r="M141" s="99"/>
      <x:c r="N141" s="99"/>
      <x:c r="O141" s="99"/>
      <x:c r="P141" s="99"/>
      <x:c r="Q141" s="99"/>
      <x:c r="R141" s="99"/>
      <x:c r="S141" s="99"/>
      <x:c r="T141" s="99"/>
      <x:c r="U141" s="99"/>
      <x:c r="V141" s="99"/>
      <x:c r="W141" s="99"/>
      <x:c r="X141" s="99"/>
      <x:c r="Y141" s="99"/>
      <x:c r="Z141" s="99"/>
    </x:row>
    <x:row r="142">
      <x:c r="A142" s="99"/>
      <x:c r="B142" s="99"/>
      <x:c r="C142" s="99"/>
      <x:c r="D142" s="99"/>
      <x:c r="E142" s="99"/>
      <x:c r="F142" s="99"/>
      <x:c r="G142" s="99"/>
      <x:c r="H142" s="99"/>
      <x:c r="I142" s="99"/>
      <x:c r="J142" s="99"/>
      <x:c r="K142" s="99"/>
      <x:c r="L142" s="99"/>
      <x:c r="M142" s="99"/>
      <x:c r="N142" s="99"/>
      <x:c r="O142" s="99"/>
      <x:c r="P142" s="99"/>
      <x:c r="Q142" s="99"/>
      <x:c r="R142" s="99"/>
      <x:c r="S142" s="99"/>
      <x:c r="T142" s="99"/>
      <x:c r="U142" s="99"/>
      <x:c r="V142" s="99"/>
      <x:c r="W142" s="99"/>
      <x:c r="X142" s="99"/>
      <x:c r="Y142" s="99"/>
      <x:c r="Z142" s="99"/>
    </x:row>
    <x:row r="143">
      <x:c r="A143" s="99"/>
      <x:c r="B143" s="99"/>
      <x:c r="C143" s="99"/>
      <x:c r="D143" s="99"/>
      <x:c r="E143" s="99"/>
      <x:c r="F143" s="99"/>
      <x:c r="G143" s="99"/>
      <x:c r="H143" s="99"/>
      <x:c r="I143" s="99"/>
      <x:c r="J143" s="99"/>
      <x:c r="K143" s="99"/>
      <x:c r="L143" s="99"/>
      <x:c r="M143" s="99"/>
      <x:c r="N143" s="99"/>
      <x:c r="O143" s="99"/>
      <x:c r="P143" s="99"/>
      <x:c r="Q143" s="99"/>
      <x:c r="R143" s="99"/>
      <x:c r="S143" s="99"/>
      <x:c r="T143" s="99"/>
      <x:c r="U143" s="99"/>
      <x:c r="V143" s="99"/>
      <x:c r="W143" s="99"/>
      <x:c r="X143" s="99"/>
      <x:c r="Y143" s="99"/>
      <x:c r="Z143" s="99"/>
    </x:row>
    <x:row r="144">
      <x:c r="A144" s="99"/>
      <x:c r="B144" s="99"/>
      <x:c r="C144" s="99"/>
      <x:c r="D144" s="99"/>
      <x:c r="E144" s="99"/>
      <x:c r="F144" s="99"/>
      <x:c r="G144" s="99"/>
      <x:c r="H144" s="99"/>
      <x:c r="I144" s="99"/>
      <x:c r="J144" s="99"/>
      <x:c r="K144" s="99"/>
      <x:c r="L144" s="99"/>
      <x:c r="M144" s="99"/>
      <x:c r="N144" s="99"/>
      <x:c r="O144" s="99"/>
      <x:c r="P144" s="99"/>
      <x:c r="Q144" s="99"/>
      <x:c r="R144" s="99"/>
      <x:c r="S144" s="99"/>
      <x:c r="T144" s="99"/>
      <x:c r="U144" s="99"/>
      <x:c r="V144" s="99"/>
      <x:c r="W144" s="99"/>
      <x:c r="X144" s="99"/>
      <x:c r="Y144" s="99"/>
      <x:c r="Z144" s="99"/>
    </x:row>
    <x:row r="145">
      <x:c r="A145" s="99"/>
      <x:c r="B145" s="99"/>
      <x:c r="C145" s="99"/>
      <x:c r="D145" s="99"/>
      <x:c r="E145" s="99"/>
      <x:c r="F145" s="99"/>
      <x:c r="G145" s="99"/>
      <x:c r="H145" s="99"/>
      <x:c r="I145" s="99"/>
      <x:c r="J145" s="99"/>
      <x:c r="K145" s="99"/>
      <x:c r="L145" s="99"/>
      <x:c r="M145" s="99"/>
      <x:c r="N145" s="99"/>
      <x:c r="O145" s="99"/>
      <x:c r="P145" s="99"/>
      <x:c r="Q145" s="99"/>
      <x:c r="R145" s="99"/>
      <x:c r="S145" s="99"/>
      <x:c r="T145" s="99"/>
      <x:c r="U145" s="99"/>
      <x:c r="V145" s="99"/>
      <x:c r="W145" s="99"/>
      <x:c r="X145" s="99"/>
      <x:c r="Y145" s="99"/>
      <x:c r="Z145" s="99"/>
    </x:row>
    <x:row r="146">
      <x:c r="A146" s="99"/>
      <x:c r="B146" s="99"/>
      <x:c r="C146" s="99"/>
      <x:c r="D146" s="99"/>
      <x:c r="E146" s="99"/>
      <x:c r="F146" s="99"/>
      <x:c r="G146" s="99"/>
      <x:c r="H146" s="99"/>
      <x:c r="I146" s="99"/>
      <x:c r="J146" s="99"/>
      <x:c r="K146" s="99"/>
      <x:c r="L146" s="99"/>
      <x:c r="M146" s="99"/>
      <x:c r="N146" s="99"/>
      <x:c r="O146" s="99"/>
      <x:c r="P146" s="99"/>
      <x:c r="Q146" s="99"/>
      <x:c r="R146" s="99"/>
      <x:c r="S146" s="99"/>
      <x:c r="T146" s="99"/>
      <x:c r="U146" s="99"/>
      <x:c r="V146" s="99"/>
      <x:c r="W146" s="99"/>
      <x:c r="X146" s="99"/>
      <x:c r="Y146" s="99"/>
      <x:c r="Z146" s="99"/>
    </x:row>
    <x:row r="147">
      <x:c r="A147" s="99"/>
      <x:c r="B147" s="99"/>
      <x:c r="C147" s="99"/>
      <x:c r="D147" s="99"/>
      <x:c r="E147" s="99"/>
      <x:c r="F147" s="99"/>
      <x:c r="G147" s="99"/>
      <x:c r="H147" s="99"/>
      <x:c r="I147" s="99"/>
      <x:c r="J147" s="99"/>
      <x:c r="K147" s="99"/>
      <x:c r="L147" s="99"/>
      <x:c r="M147" s="99"/>
      <x:c r="N147" s="99"/>
      <x:c r="O147" s="99"/>
      <x:c r="P147" s="99"/>
      <x:c r="Q147" s="99"/>
      <x:c r="R147" s="99"/>
      <x:c r="S147" s="99"/>
      <x:c r="T147" s="99"/>
      <x:c r="U147" s="99"/>
      <x:c r="V147" s="99"/>
      <x:c r="W147" s="99"/>
      <x:c r="X147" s="99"/>
      <x:c r="Y147" s="99"/>
      <x:c r="Z147" s="99"/>
    </x:row>
    <x:row r="148">
      <x:c r="A148" s="99"/>
      <x:c r="B148" s="99"/>
      <x:c r="C148" s="99"/>
      <x:c r="D148" s="99"/>
      <x:c r="E148" s="99"/>
      <x:c r="F148" s="99"/>
      <x:c r="G148" s="99"/>
      <x:c r="H148" s="99"/>
      <x:c r="I148" s="99"/>
      <x:c r="J148" s="99"/>
      <x:c r="K148" s="99"/>
      <x:c r="L148" s="99"/>
      <x:c r="M148" s="99"/>
      <x:c r="N148" s="99"/>
      <x:c r="O148" s="99"/>
      <x:c r="P148" s="99"/>
      <x:c r="Q148" s="99"/>
      <x:c r="R148" s="99"/>
      <x:c r="S148" s="99"/>
      <x:c r="T148" s="99"/>
      <x:c r="U148" s="99"/>
      <x:c r="V148" s="99"/>
      <x:c r="W148" s="99"/>
      <x:c r="X148" s="99"/>
      <x:c r="Y148" s="99"/>
      <x:c r="Z148" s="99"/>
    </x:row>
    <x:row r="149">
      <x:c r="A149" s="99"/>
      <x:c r="B149" s="99"/>
      <x:c r="C149" s="99"/>
      <x:c r="D149" s="99"/>
      <x:c r="E149" s="99"/>
      <x:c r="F149" s="99"/>
      <x:c r="G149" s="99"/>
      <x:c r="H149" s="99"/>
      <x:c r="I149" s="99"/>
      <x:c r="J149" s="99"/>
      <x:c r="K149" s="99"/>
      <x:c r="L149" s="99"/>
      <x:c r="M149" s="99"/>
      <x:c r="N149" s="99"/>
      <x:c r="O149" s="99"/>
      <x:c r="P149" s="99"/>
      <x:c r="Q149" s="99"/>
      <x:c r="R149" s="99"/>
      <x:c r="S149" s="99"/>
      <x:c r="T149" s="99"/>
      <x:c r="U149" s="99"/>
      <x:c r="V149" s="99"/>
      <x:c r="W149" s="99"/>
      <x:c r="X149" s="99"/>
      <x:c r="Y149" s="99"/>
      <x:c r="Z149" s="99"/>
    </x:row>
    <x:row r="150">
      <x:c r="A150" s="99"/>
      <x:c r="B150" s="99"/>
      <x:c r="C150" s="99"/>
      <x:c r="D150" s="99"/>
      <x:c r="E150" s="99"/>
      <x:c r="F150" s="99"/>
      <x:c r="G150" s="99"/>
      <x:c r="H150" s="99"/>
      <x:c r="I150" s="99"/>
      <x:c r="J150" s="99"/>
      <x:c r="K150" s="99"/>
      <x:c r="L150" s="99"/>
      <x:c r="M150" s="99"/>
      <x:c r="N150" s="99"/>
      <x:c r="O150" s="99"/>
      <x:c r="P150" s="99"/>
      <x:c r="Q150" s="99"/>
      <x:c r="R150" s="99"/>
      <x:c r="S150" s="99"/>
      <x:c r="T150" s="99"/>
      <x:c r="U150" s="99"/>
      <x:c r="V150" s="99"/>
      <x:c r="W150" s="99"/>
      <x:c r="X150" s="99"/>
      <x:c r="Y150" s="99"/>
      <x:c r="Z150" s="99"/>
    </x:row>
    <x:row r="151">
      <x:c r="A151" s="99"/>
      <x:c r="B151" s="99"/>
      <x:c r="C151" s="99"/>
      <x:c r="D151" s="99"/>
      <x:c r="E151" s="99"/>
      <x:c r="F151" s="99"/>
      <x:c r="G151" s="99"/>
      <x:c r="H151" s="99"/>
      <x:c r="I151" s="99"/>
      <x:c r="J151" s="99"/>
      <x:c r="K151" s="99"/>
      <x:c r="L151" s="99"/>
      <x:c r="M151" s="99"/>
      <x:c r="N151" s="99"/>
      <x:c r="O151" s="99"/>
      <x:c r="P151" s="99"/>
      <x:c r="Q151" s="99"/>
      <x:c r="R151" s="99"/>
      <x:c r="S151" s="99"/>
      <x:c r="T151" s="99"/>
      <x:c r="U151" s="99"/>
      <x:c r="V151" s="99"/>
      <x:c r="W151" s="99"/>
      <x:c r="X151" s="99"/>
      <x:c r="Y151" s="99"/>
      <x:c r="Z151" s="99"/>
    </x:row>
    <x:row r="152">
      <x:c r="A152" s="99"/>
      <x:c r="B152" s="99"/>
      <x:c r="C152" s="99"/>
      <x:c r="D152" s="99"/>
      <x:c r="E152" s="99"/>
      <x:c r="F152" s="99"/>
      <x:c r="G152" s="99"/>
      <x:c r="H152" s="99"/>
      <x:c r="I152" s="99"/>
      <x:c r="J152" s="99"/>
      <x:c r="K152" s="99"/>
      <x:c r="L152" s="99"/>
      <x:c r="M152" s="99"/>
      <x:c r="N152" s="99"/>
      <x:c r="O152" s="99"/>
      <x:c r="P152" s="99"/>
      <x:c r="Q152" s="99"/>
      <x:c r="R152" s="99"/>
      <x:c r="S152" s="99"/>
      <x:c r="T152" s="99"/>
      <x:c r="U152" s="99"/>
      <x:c r="V152" s="99"/>
      <x:c r="W152" s="99"/>
      <x:c r="X152" s="99"/>
      <x:c r="Y152" s="99"/>
      <x:c r="Z152" s="99"/>
    </x:row>
    <x:row r="153">
      <x:c r="A153" s="99"/>
      <x:c r="B153" s="99"/>
      <x:c r="C153" s="99"/>
      <x:c r="D153" s="99"/>
      <x:c r="E153" s="99"/>
      <x:c r="F153" s="99"/>
      <x:c r="G153" s="99"/>
      <x:c r="H153" s="99"/>
      <x:c r="I153" s="99"/>
      <x:c r="J153" s="99"/>
      <x:c r="K153" s="99"/>
      <x:c r="L153" s="99"/>
      <x:c r="M153" s="99"/>
      <x:c r="N153" s="99"/>
      <x:c r="O153" s="99"/>
      <x:c r="P153" s="99"/>
      <x:c r="Q153" s="99"/>
      <x:c r="R153" s="99"/>
      <x:c r="S153" s="99"/>
      <x:c r="T153" s="99"/>
      <x:c r="U153" s="99"/>
      <x:c r="V153" s="99"/>
      <x:c r="W153" s="99"/>
      <x:c r="X153" s="99"/>
      <x:c r="Y153" s="99"/>
      <x:c r="Z153" s="99"/>
    </x:row>
    <x:row r="154">
      <x:c r="A154" s="99"/>
      <x:c r="B154" s="99"/>
      <x:c r="C154" s="99"/>
      <x:c r="D154" s="99"/>
      <x:c r="E154" s="99"/>
      <x:c r="F154" s="99"/>
      <x:c r="G154" s="99"/>
      <x:c r="H154" s="99"/>
      <x:c r="I154" s="99"/>
      <x:c r="J154" s="99"/>
      <x:c r="K154" s="99"/>
      <x:c r="L154" s="99"/>
      <x:c r="M154" s="99"/>
      <x:c r="N154" s="99"/>
      <x:c r="O154" s="99"/>
      <x:c r="P154" s="99"/>
      <x:c r="Q154" s="99"/>
      <x:c r="R154" s="99"/>
      <x:c r="S154" s="99"/>
      <x:c r="T154" s="99"/>
      <x:c r="U154" s="99"/>
      <x:c r="V154" s="99"/>
      <x:c r="W154" s="99"/>
      <x:c r="X154" s="99"/>
      <x:c r="Y154" s="99"/>
      <x:c r="Z154" s="99"/>
    </x:row>
    <x:row r="155">
      <x:c r="A155" s="99"/>
      <x:c r="B155" s="99"/>
      <x:c r="C155" s="99"/>
      <x:c r="D155" s="99"/>
      <x:c r="E155" s="99"/>
      <x:c r="F155" s="99"/>
      <x:c r="G155" s="99"/>
      <x:c r="H155" s="99"/>
      <x:c r="I155" s="99"/>
      <x:c r="J155" s="99"/>
      <x:c r="K155" s="99"/>
      <x:c r="L155" s="99"/>
      <x:c r="M155" s="99"/>
      <x:c r="N155" s="99"/>
      <x:c r="O155" s="99"/>
      <x:c r="P155" s="99"/>
      <x:c r="Q155" s="99"/>
      <x:c r="R155" s="99"/>
      <x:c r="S155" s="99"/>
      <x:c r="T155" s="99"/>
      <x:c r="U155" s="99"/>
      <x:c r="V155" s="99"/>
      <x:c r="W155" s="99"/>
      <x:c r="X155" s="99"/>
      <x:c r="Y155" s="99"/>
      <x:c r="Z155" s="99"/>
    </x:row>
    <x:row r="156">
      <x:c r="A156" s="99"/>
      <x:c r="B156" s="99"/>
      <x:c r="C156" s="99"/>
      <x:c r="D156" s="99"/>
      <x:c r="E156" s="99"/>
      <x:c r="F156" s="99"/>
      <x:c r="G156" s="99"/>
      <x:c r="H156" s="99"/>
      <x:c r="I156" s="99"/>
      <x:c r="J156" s="99"/>
      <x:c r="K156" s="99"/>
      <x:c r="L156" s="99"/>
      <x:c r="M156" s="99"/>
      <x:c r="N156" s="99"/>
      <x:c r="O156" s="99"/>
      <x:c r="P156" s="99"/>
      <x:c r="Q156" s="99"/>
      <x:c r="R156" s="99"/>
      <x:c r="S156" s="99"/>
      <x:c r="T156" s="99"/>
      <x:c r="U156" s="99"/>
      <x:c r="V156" s="99"/>
      <x:c r="W156" s="99"/>
      <x:c r="X156" s="99"/>
      <x:c r="Y156" s="99"/>
      <x:c r="Z156" s="99"/>
    </x:row>
    <x:row r="157">
      <x:c r="A157" s="99"/>
      <x:c r="B157" s="99"/>
      <x:c r="C157" s="99"/>
      <x:c r="D157" s="99"/>
      <x:c r="E157" s="99"/>
      <x:c r="F157" s="99"/>
      <x:c r="G157" s="99"/>
      <x:c r="H157" s="99"/>
      <x:c r="I157" s="99"/>
      <x:c r="J157" s="99"/>
      <x:c r="K157" s="99"/>
      <x:c r="L157" s="99"/>
      <x:c r="M157" s="99"/>
      <x:c r="N157" s="99"/>
      <x:c r="O157" s="99"/>
      <x:c r="P157" s="99"/>
      <x:c r="Q157" s="99"/>
      <x:c r="R157" s="99"/>
      <x:c r="S157" s="99"/>
      <x:c r="T157" s="99"/>
      <x:c r="U157" s="99"/>
      <x:c r="V157" s="99"/>
      <x:c r="W157" s="99"/>
      <x:c r="X157" s="99"/>
      <x:c r="Y157" s="99"/>
      <x:c r="Z157" s="99"/>
    </x:row>
    <x:row r="158">
      <x:c r="A158" s="99"/>
      <x:c r="B158" s="99"/>
      <x:c r="C158" s="99"/>
      <x:c r="D158" s="99"/>
      <x:c r="E158" s="99"/>
      <x:c r="F158" s="99"/>
      <x:c r="G158" s="99"/>
      <x:c r="H158" s="99"/>
      <x:c r="I158" s="99"/>
      <x:c r="J158" s="99"/>
      <x:c r="K158" s="99"/>
      <x:c r="L158" s="99"/>
      <x:c r="M158" s="99"/>
      <x:c r="N158" s="99"/>
      <x:c r="O158" s="99"/>
      <x:c r="P158" s="99"/>
      <x:c r="Q158" s="99"/>
      <x:c r="R158" s="99"/>
      <x:c r="S158" s="99"/>
      <x:c r="T158" s="99"/>
      <x:c r="U158" s="99"/>
      <x:c r="V158" s="99"/>
      <x:c r="W158" s="99"/>
      <x:c r="X158" s="99"/>
      <x:c r="Y158" s="99"/>
      <x:c r="Z158" s="99"/>
    </x:row>
    <x:row r="159">
      <x:c r="A159" s="99"/>
      <x:c r="B159" s="99"/>
      <x:c r="C159" s="99"/>
      <x:c r="D159" s="99"/>
      <x:c r="E159" s="99"/>
      <x:c r="F159" s="99"/>
      <x:c r="G159" s="99"/>
      <x:c r="H159" s="99"/>
      <x:c r="I159" s="99"/>
      <x:c r="J159" s="99"/>
      <x:c r="K159" s="99"/>
      <x:c r="L159" s="99"/>
      <x:c r="M159" s="99"/>
      <x:c r="N159" s="99"/>
      <x:c r="O159" s="99"/>
      <x:c r="P159" s="99"/>
      <x:c r="Q159" s="99"/>
      <x:c r="R159" s="99"/>
      <x:c r="S159" s="99"/>
      <x:c r="T159" s="99"/>
      <x:c r="U159" s="99"/>
      <x:c r="V159" s="99"/>
      <x:c r="W159" s="99"/>
      <x:c r="X159" s="99"/>
      <x:c r="Y159" s="99"/>
      <x:c r="Z159" s="99"/>
    </x:row>
    <x:row r="160">
      <x:c r="A160" s="99"/>
      <x:c r="B160" s="99"/>
      <x:c r="C160" s="99"/>
      <x:c r="D160" s="99"/>
      <x:c r="E160" s="99"/>
      <x:c r="F160" s="99"/>
      <x:c r="G160" s="99"/>
      <x:c r="H160" s="99"/>
      <x:c r="I160" s="99"/>
      <x:c r="J160" s="99"/>
      <x:c r="K160" s="99"/>
      <x:c r="L160" s="99"/>
      <x:c r="M160" s="99"/>
      <x:c r="N160" s="99"/>
      <x:c r="O160" s="99"/>
      <x:c r="P160" s="99"/>
      <x:c r="Q160" s="99"/>
      <x:c r="R160" s="99"/>
      <x:c r="S160" s="99"/>
      <x:c r="T160" s="99"/>
      <x:c r="U160" s="99"/>
      <x:c r="V160" s="99"/>
      <x:c r="W160" s="99"/>
      <x:c r="X160" s="99"/>
      <x:c r="Y160" s="99"/>
      <x:c r="Z160" s="99"/>
    </x:row>
    <x:row r="161">
      <x:c r="A161" s="99"/>
      <x:c r="B161" s="99"/>
      <x:c r="C161" s="99"/>
      <x:c r="D161" s="99"/>
      <x:c r="E161" s="99"/>
      <x:c r="F161" s="99"/>
      <x:c r="G161" s="99"/>
      <x:c r="H161" s="99"/>
      <x:c r="I161" s="99"/>
      <x:c r="J161" s="99"/>
      <x:c r="K161" s="99"/>
      <x:c r="L161" s="99"/>
      <x:c r="M161" s="99"/>
      <x:c r="N161" s="99"/>
      <x:c r="O161" s="99"/>
      <x:c r="P161" s="99"/>
      <x:c r="Q161" s="99"/>
      <x:c r="R161" s="99"/>
      <x:c r="S161" s="99"/>
      <x:c r="T161" s="99"/>
      <x:c r="U161" s="99"/>
      <x:c r="V161" s="99"/>
      <x:c r="W161" s="99"/>
      <x:c r="X161" s="99"/>
      <x:c r="Y161" s="99"/>
      <x:c r="Z161" s="99"/>
    </x:row>
    <x:row r="162">
      <x:c r="A162" s="99"/>
      <x:c r="B162" s="99"/>
      <x:c r="C162" s="99"/>
      <x:c r="D162" s="99"/>
      <x:c r="E162" s="99"/>
      <x:c r="F162" s="99"/>
      <x:c r="G162" s="99"/>
      <x:c r="H162" s="99"/>
      <x:c r="I162" s="99"/>
      <x:c r="J162" s="99"/>
      <x:c r="K162" s="99"/>
      <x:c r="L162" s="99"/>
      <x:c r="M162" s="99"/>
      <x:c r="N162" s="99"/>
      <x:c r="O162" s="99"/>
      <x:c r="P162" s="99"/>
      <x:c r="Q162" s="99"/>
      <x:c r="R162" s="99"/>
      <x:c r="S162" s="99"/>
      <x:c r="T162" s="99"/>
      <x:c r="U162" s="99"/>
      <x:c r="V162" s="99"/>
      <x:c r="W162" s="99"/>
      <x:c r="X162" s="99"/>
      <x:c r="Y162" s="99"/>
      <x:c r="Z162" s="99"/>
    </x:row>
    <x:row r="163">
      <x:c r="A163" s="99"/>
      <x:c r="B163" s="99"/>
      <x:c r="C163" s="99"/>
      <x:c r="D163" s="99"/>
      <x:c r="E163" s="99"/>
      <x:c r="F163" s="99"/>
      <x:c r="G163" s="99"/>
      <x:c r="H163" s="99"/>
      <x:c r="I163" s="99"/>
      <x:c r="J163" s="99"/>
      <x:c r="K163" s="99"/>
      <x:c r="L163" s="99"/>
      <x:c r="M163" s="99"/>
      <x:c r="N163" s="99"/>
      <x:c r="O163" s="99"/>
      <x:c r="P163" s="99"/>
      <x:c r="Q163" s="99"/>
      <x:c r="R163" s="99"/>
      <x:c r="S163" s="99"/>
      <x:c r="T163" s="99"/>
      <x:c r="U163" s="99"/>
      <x:c r="V163" s="99"/>
      <x:c r="W163" s="99"/>
      <x:c r="X163" s="99"/>
      <x:c r="Y163" s="99"/>
      <x:c r="Z163" s="99"/>
    </x:row>
    <x:row r="164">
      <x:c r="A164" s="99"/>
      <x:c r="B164" s="99"/>
      <x:c r="C164" s="99"/>
      <x:c r="D164" s="99"/>
      <x:c r="E164" s="99"/>
      <x:c r="F164" s="99"/>
      <x:c r="G164" s="99"/>
      <x:c r="H164" s="99"/>
      <x:c r="I164" s="99"/>
      <x:c r="J164" s="99"/>
      <x:c r="K164" s="99"/>
      <x:c r="L164" s="99"/>
      <x:c r="M164" s="99"/>
      <x:c r="N164" s="99"/>
      <x:c r="O164" s="99"/>
      <x:c r="P164" s="99"/>
      <x:c r="Q164" s="99"/>
      <x:c r="R164" s="99"/>
      <x:c r="S164" s="99"/>
      <x:c r="T164" s="99"/>
      <x:c r="U164" s="99"/>
      <x:c r="V164" s="99"/>
      <x:c r="W164" s="99"/>
      <x:c r="X164" s="99"/>
      <x:c r="Y164" s="99"/>
      <x:c r="Z164" s="99"/>
    </x:row>
    <x:row r="165">
      <x:c r="A165" s="99"/>
      <x:c r="B165" s="99"/>
      <x:c r="C165" s="99"/>
      <x:c r="D165" s="99"/>
      <x:c r="E165" s="99"/>
      <x:c r="F165" s="99"/>
      <x:c r="G165" s="99"/>
      <x:c r="H165" s="99"/>
      <x:c r="I165" s="99"/>
      <x:c r="J165" s="99"/>
      <x:c r="K165" s="99"/>
      <x:c r="L165" s="99"/>
      <x:c r="M165" s="99"/>
      <x:c r="N165" s="99"/>
      <x:c r="O165" s="99"/>
      <x:c r="P165" s="99"/>
      <x:c r="Q165" s="99"/>
      <x:c r="R165" s="99"/>
      <x:c r="S165" s="99"/>
      <x:c r="T165" s="99"/>
      <x:c r="U165" s="99"/>
      <x:c r="V165" s="99"/>
      <x:c r="W165" s="99"/>
      <x:c r="X165" s="99"/>
      <x:c r="Y165" s="99"/>
      <x:c r="Z165" s="99"/>
    </x:row>
    <x:row r="166">
      <x:c r="A166" s="99"/>
      <x:c r="B166" s="99"/>
      <x:c r="C166" s="99"/>
      <x:c r="D166" s="99"/>
      <x:c r="E166" s="99"/>
      <x:c r="F166" s="99"/>
      <x:c r="G166" s="99"/>
      <x:c r="H166" s="99"/>
      <x:c r="I166" s="99"/>
      <x:c r="J166" s="99"/>
      <x:c r="K166" s="99"/>
      <x:c r="L166" s="99"/>
      <x:c r="M166" s="99"/>
      <x:c r="N166" s="99"/>
      <x:c r="O166" s="99"/>
      <x:c r="P166" s="99"/>
      <x:c r="Q166" s="99"/>
      <x:c r="R166" s="99"/>
      <x:c r="S166" s="99"/>
      <x:c r="T166" s="99"/>
      <x:c r="U166" s="99"/>
      <x:c r="V166" s="99"/>
      <x:c r="W166" s="99"/>
      <x:c r="X166" s="99"/>
      <x:c r="Y166" s="99"/>
      <x:c r="Z166" s="99"/>
    </x:row>
    <x:row r="167">
      <x:c r="A167" s="99"/>
      <x:c r="B167" s="99"/>
      <x:c r="C167" s="99"/>
      <x:c r="D167" s="99"/>
      <x:c r="E167" s="99"/>
      <x:c r="F167" s="99"/>
      <x:c r="G167" s="99"/>
      <x:c r="H167" s="99"/>
      <x:c r="I167" s="99"/>
      <x:c r="J167" s="99"/>
      <x:c r="K167" s="99"/>
      <x:c r="L167" s="99"/>
      <x:c r="M167" s="99"/>
      <x:c r="N167" s="99"/>
      <x:c r="O167" s="99"/>
      <x:c r="P167" s="99"/>
      <x:c r="Q167" s="99"/>
      <x:c r="R167" s="99"/>
      <x:c r="S167" s="99"/>
      <x:c r="T167" s="99"/>
      <x:c r="U167" s="99"/>
      <x:c r="V167" s="99"/>
      <x:c r="W167" s="99"/>
      <x:c r="X167" s="99"/>
      <x:c r="Y167" s="99"/>
      <x:c r="Z167" s="99"/>
    </x:row>
    <x:row r="168">
      <x:c r="A168" s="99"/>
      <x:c r="B168" s="99"/>
      <x:c r="C168" s="99"/>
      <x:c r="D168" s="99"/>
      <x:c r="E168" s="99"/>
      <x:c r="F168" s="99"/>
      <x:c r="G168" s="99"/>
      <x:c r="H168" s="99"/>
      <x:c r="I168" s="99"/>
      <x:c r="J168" s="99"/>
      <x:c r="K168" s="99"/>
      <x:c r="L168" s="99"/>
      <x:c r="M168" s="99"/>
      <x:c r="N168" s="99"/>
      <x:c r="O168" s="99"/>
      <x:c r="P168" s="99"/>
      <x:c r="Q168" s="99"/>
      <x:c r="R168" s="99"/>
      <x:c r="S168" s="99"/>
      <x:c r="T168" s="99"/>
      <x:c r="U168" s="99"/>
      <x:c r="V168" s="99"/>
      <x:c r="W168" s="99"/>
      <x:c r="X168" s="99"/>
      <x:c r="Y168" s="99"/>
      <x:c r="Z168" s="99"/>
    </x:row>
    <x:row r="169">
      <x:c r="A169" s="99"/>
      <x:c r="B169" s="99"/>
      <x:c r="C169" s="99"/>
      <x:c r="D169" s="99"/>
      <x:c r="E169" s="99"/>
      <x:c r="F169" s="99"/>
      <x:c r="G169" s="99"/>
      <x:c r="H169" s="99"/>
      <x:c r="I169" s="99"/>
      <x:c r="J169" s="99"/>
      <x:c r="K169" s="99"/>
      <x:c r="L169" s="99"/>
      <x:c r="M169" s="99"/>
      <x:c r="N169" s="99"/>
      <x:c r="O169" s="99"/>
      <x:c r="P169" s="99"/>
      <x:c r="Q169" s="99"/>
      <x:c r="R169" s="99"/>
      <x:c r="S169" s="99"/>
      <x:c r="T169" s="99"/>
      <x:c r="U169" s="99"/>
      <x:c r="V169" s="99"/>
      <x:c r="W169" s="99"/>
      <x:c r="X169" s="99"/>
      <x:c r="Y169" s="99"/>
      <x:c r="Z169" s="99"/>
    </x:row>
    <x:row r="170">
      <x:c r="A170" s="99"/>
      <x:c r="B170" s="99"/>
      <x:c r="C170" s="99"/>
      <x:c r="D170" s="99"/>
      <x:c r="E170" s="99"/>
      <x:c r="F170" s="99"/>
      <x:c r="G170" s="99"/>
      <x:c r="H170" s="99"/>
      <x:c r="I170" s="99"/>
      <x:c r="J170" s="99"/>
      <x:c r="K170" s="99"/>
      <x:c r="L170" s="99"/>
      <x:c r="M170" s="99"/>
      <x:c r="N170" s="99"/>
      <x:c r="O170" s="99"/>
      <x:c r="P170" s="99"/>
      <x:c r="Q170" s="99"/>
      <x:c r="R170" s="99"/>
      <x:c r="S170" s="99"/>
      <x:c r="T170" s="99"/>
      <x:c r="U170" s="99"/>
      <x:c r="V170" s="99"/>
      <x:c r="W170" s="99"/>
      <x:c r="X170" s="99"/>
      <x:c r="Y170" s="99"/>
      <x:c r="Z170" s="99"/>
    </x:row>
    <x:row r="171">
      <x:c r="A171" s="99"/>
      <x:c r="B171" s="99"/>
      <x:c r="C171" s="99"/>
      <x:c r="D171" s="99"/>
      <x:c r="E171" s="99"/>
      <x:c r="F171" s="99"/>
      <x:c r="G171" s="99"/>
      <x:c r="H171" s="99"/>
      <x:c r="I171" s="99"/>
      <x:c r="J171" s="99"/>
      <x:c r="K171" s="99"/>
      <x:c r="L171" s="99"/>
      <x:c r="M171" s="99"/>
      <x:c r="N171" s="99"/>
      <x:c r="O171" s="99"/>
      <x:c r="P171" s="99"/>
      <x:c r="Q171" s="99"/>
      <x:c r="R171" s="99"/>
      <x:c r="S171" s="99"/>
      <x:c r="T171" s="99"/>
      <x:c r="U171" s="99"/>
      <x:c r="V171" s="99"/>
      <x:c r="W171" s="99"/>
      <x:c r="X171" s="99"/>
      <x:c r="Y171" s="99"/>
      <x:c r="Z171" s="99"/>
    </x:row>
    <x:row r="172">
      <x:c r="A172" s="99"/>
      <x:c r="B172" s="99"/>
      <x:c r="C172" s="99"/>
      <x:c r="D172" s="99"/>
      <x:c r="E172" s="99"/>
      <x:c r="F172" s="99"/>
      <x:c r="G172" s="99"/>
      <x:c r="H172" s="99"/>
      <x:c r="I172" s="99"/>
      <x:c r="J172" s="99"/>
      <x:c r="K172" s="99"/>
      <x:c r="L172" s="99"/>
      <x:c r="M172" s="99"/>
      <x:c r="N172" s="99"/>
      <x:c r="O172" s="99"/>
      <x:c r="P172" s="99"/>
      <x:c r="Q172" s="99"/>
      <x:c r="R172" s="99"/>
      <x:c r="S172" s="99"/>
      <x:c r="T172" s="99"/>
      <x:c r="U172" s="99"/>
      <x:c r="V172" s="99"/>
      <x:c r="W172" s="99"/>
      <x:c r="X172" s="99"/>
      <x:c r="Y172" s="99"/>
      <x:c r="Z172" s="99"/>
    </x:row>
    <x:row r="173">
      <x:c r="A173" s="99"/>
      <x:c r="B173" s="99"/>
      <x:c r="C173" s="99"/>
      <x:c r="D173" s="99"/>
      <x:c r="E173" s="99"/>
      <x:c r="F173" s="99"/>
      <x:c r="G173" s="99"/>
      <x:c r="H173" s="99"/>
      <x:c r="I173" s="99"/>
      <x:c r="J173" s="99"/>
      <x:c r="K173" s="99"/>
      <x:c r="L173" s="99"/>
      <x:c r="M173" s="99"/>
      <x:c r="N173" s="99"/>
      <x:c r="O173" s="99"/>
      <x:c r="P173" s="99"/>
      <x:c r="Q173" s="99"/>
      <x:c r="R173" s="99"/>
      <x:c r="S173" s="99"/>
      <x:c r="T173" s="99"/>
      <x:c r="U173" s="99"/>
      <x:c r="V173" s="99"/>
      <x:c r="W173" s="99"/>
      <x:c r="X173" s="99"/>
      <x:c r="Y173" s="99"/>
      <x:c r="Z173" s="99"/>
    </x:row>
    <x:row r="174">
      <x:c r="A174" s="99"/>
      <x:c r="B174" s="99"/>
      <x:c r="C174" s="99"/>
      <x:c r="D174" s="99"/>
      <x:c r="E174" s="99"/>
      <x:c r="F174" s="99"/>
      <x:c r="G174" s="99"/>
      <x:c r="H174" s="99"/>
      <x:c r="I174" s="99"/>
      <x:c r="J174" s="99"/>
      <x:c r="K174" s="99"/>
      <x:c r="L174" s="99"/>
      <x:c r="M174" s="99"/>
      <x:c r="N174" s="99"/>
      <x:c r="O174" s="99"/>
      <x:c r="P174" s="99"/>
      <x:c r="Q174" s="99"/>
      <x:c r="R174" s="99"/>
      <x:c r="S174" s="99"/>
      <x:c r="T174" s="99"/>
      <x:c r="U174" s="99"/>
      <x:c r="V174" s="99"/>
      <x:c r="W174" s="99"/>
      <x:c r="X174" s="99"/>
      <x:c r="Y174" s="99"/>
      <x:c r="Z174" s="99"/>
    </x:row>
    <x:row r="175">
      <x:c r="A175" s="99"/>
      <x:c r="B175" s="99"/>
      <x:c r="C175" s="99"/>
      <x:c r="D175" s="99"/>
      <x:c r="E175" s="99"/>
      <x:c r="F175" s="99"/>
      <x:c r="G175" s="99"/>
      <x:c r="H175" s="99"/>
      <x:c r="I175" s="99"/>
      <x:c r="J175" s="99"/>
      <x:c r="K175" s="99"/>
      <x:c r="L175" s="99"/>
      <x:c r="M175" s="99"/>
      <x:c r="N175" s="99"/>
      <x:c r="O175" s="99"/>
      <x:c r="P175" s="99"/>
      <x:c r="Q175" s="99"/>
      <x:c r="R175" s="99"/>
      <x:c r="S175" s="99"/>
      <x:c r="T175" s="99"/>
      <x:c r="U175" s="99"/>
      <x:c r="V175" s="99"/>
      <x:c r="W175" s="99"/>
      <x:c r="X175" s="99"/>
      <x:c r="Y175" s="99"/>
      <x:c r="Z175" s="99"/>
    </x:row>
    <x:row r="176">
      <x:c r="A176" s="99"/>
      <x:c r="B176" s="99"/>
      <x:c r="C176" s="99"/>
      <x:c r="D176" s="99"/>
      <x:c r="E176" s="99"/>
      <x:c r="F176" s="99"/>
      <x:c r="G176" s="99"/>
      <x:c r="H176" s="99"/>
      <x:c r="I176" s="99"/>
      <x:c r="J176" s="99"/>
      <x:c r="K176" s="99"/>
      <x:c r="L176" s="99"/>
      <x:c r="M176" s="99"/>
      <x:c r="N176" s="99"/>
      <x:c r="O176" s="99"/>
      <x:c r="P176" s="99"/>
      <x:c r="Q176" s="99"/>
      <x:c r="R176" s="99"/>
      <x:c r="S176" s="99"/>
      <x:c r="T176" s="99"/>
      <x:c r="U176" s="99"/>
      <x:c r="V176" s="99"/>
      <x:c r="W176" s="99"/>
      <x:c r="X176" s="99"/>
      <x:c r="Y176" s="99"/>
      <x:c r="Z176" s="99"/>
    </x:row>
    <x:row r="177">
      <x:c r="A177" s="99"/>
      <x:c r="B177" s="99"/>
      <x:c r="C177" s="99"/>
      <x:c r="D177" s="99"/>
      <x:c r="E177" s="99"/>
      <x:c r="F177" s="99"/>
      <x:c r="G177" s="99"/>
      <x:c r="H177" s="99"/>
      <x:c r="I177" s="99"/>
      <x:c r="J177" s="99"/>
      <x:c r="K177" s="99"/>
      <x:c r="L177" s="99"/>
      <x:c r="M177" s="99"/>
      <x:c r="N177" s="99"/>
      <x:c r="O177" s="99"/>
      <x:c r="P177" s="99"/>
      <x:c r="Q177" s="99"/>
      <x:c r="R177" s="99"/>
      <x:c r="S177" s="99"/>
      <x:c r="T177" s="99"/>
      <x:c r="U177" s="99"/>
      <x:c r="V177" s="99"/>
      <x:c r="W177" s="99"/>
      <x:c r="X177" s="99"/>
      <x:c r="Y177" s="99"/>
      <x:c r="Z177" s="99"/>
    </x:row>
    <x:row r="178">
      <x:c r="A178" s="99"/>
      <x:c r="B178" s="99"/>
      <x:c r="C178" s="99"/>
      <x:c r="D178" s="99"/>
      <x:c r="E178" s="99"/>
      <x:c r="F178" s="99"/>
      <x:c r="G178" s="99"/>
      <x:c r="H178" s="99"/>
      <x:c r="I178" s="99"/>
      <x:c r="J178" s="99"/>
      <x:c r="K178" s="99"/>
      <x:c r="L178" s="99"/>
      <x:c r="M178" s="99"/>
      <x:c r="N178" s="99"/>
      <x:c r="O178" s="99"/>
      <x:c r="P178" s="99"/>
      <x:c r="Q178" s="99"/>
      <x:c r="R178" s="99"/>
      <x:c r="S178" s="99"/>
      <x:c r="T178" s="99"/>
      <x:c r="U178" s="99"/>
      <x:c r="V178" s="99"/>
      <x:c r="W178" s="99"/>
      <x:c r="X178" s="99"/>
      <x:c r="Y178" s="99"/>
      <x:c r="Z178" s="99"/>
    </x:row>
    <x:row r="179">
      <x:c r="A179" s="99"/>
      <x:c r="B179" s="99"/>
      <x:c r="C179" s="99"/>
      <x:c r="D179" s="99"/>
      <x:c r="E179" s="99"/>
      <x:c r="F179" s="99"/>
      <x:c r="G179" s="99"/>
      <x:c r="H179" s="99"/>
      <x:c r="I179" s="99"/>
      <x:c r="J179" s="99"/>
      <x:c r="K179" s="99"/>
      <x:c r="L179" s="99"/>
      <x:c r="M179" s="99"/>
      <x:c r="N179" s="99"/>
      <x:c r="O179" s="99"/>
      <x:c r="P179" s="99"/>
      <x:c r="Q179" s="99"/>
      <x:c r="R179" s="99"/>
      <x:c r="S179" s="99"/>
      <x:c r="T179" s="99"/>
      <x:c r="U179" s="99"/>
      <x:c r="V179" s="99"/>
      <x:c r="W179" s="99"/>
      <x:c r="X179" s="99"/>
      <x:c r="Y179" s="99"/>
      <x:c r="Z179" s="99"/>
    </x:row>
    <x:row r="180">
      <x:c r="A180" s="99"/>
      <x:c r="B180" s="99"/>
      <x:c r="C180" s="99"/>
      <x:c r="D180" s="99"/>
      <x:c r="E180" s="99"/>
      <x:c r="F180" s="99"/>
      <x:c r="G180" s="99"/>
      <x:c r="H180" s="99"/>
      <x:c r="I180" s="99"/>
      <x:c r="J180" s="99"/>
      <x:c r="K180" s="99"/>
      <x:c r="L180" s="99"/>
      <x:c r="M180" s="99"/>
      <x:c r="N180" s="99"/>
      <x:c r="O180" s="99"/>
      <x:c r="P180" s="99"/>
      <x:c r="Q180" s="99"/>
      <x:c r="R180" s="99"/>
      <x:c r="S180" s="99"/>
      <x:c r="T180" s="99"/>
      <x:c r="U180" s="99"/>
      <x:c r="V180" s="99"/>
      <x:c r="W180" s="99"/>
      <x:c r="X180" s="99"/>
      <x:c r="Y180" s="99"/>
      <x:c r="Z180" s="99"/>
    </x:row>
    <x:row r="181">
      <x:c r="A181" s="99"/>
      <x:c r="B181" s="99"/>
      <x:c r="C181" s="99"/>
      <x:c r="D181" s="99"/>
      <x:c r="E181" s="99"/>
      <x:c r="F181" s="99"/>
      <x:c r="G181" s="99"/>
      <x:c r="H181" s="99"/>
      <x:c r="I181" s="99"/>
      <x:c r="J181" s="99"/>
      <x:c r="K181" s="99"/>
      <x:c r="L181" s="99"/>
      <x:c r="M181" s="99"/>
      <x:c r="N181" s="99"/>
      <x:c r="O181" s="99"/>
      <x:c r="P181" s="99"/>
      <x:c r="Q181" s="99"/>
      <x:c r="R181" s="99"/>
      <x:c r="S181" s="99"/>
      <x:c r="T181" s="99"/>
      <x:c r="U181" s="99"/>
      <x:c r="V181" s="99"/>
      <x:c r="W181" s="99"/>
      <x:c r="X181" s="99"/>
      <x:c r="Y181" s="99"/>
      <x:c r="Z181" s="99"/>
    </x:row>
    <x:row r="182">
      <x:c r="A182" s="99"/>
      <x:c r="B182" s="99"/>
      <x:c r="C182" s="99"/>
      <x:c r="D182" s="99"/>
      <x:c r="E182" s="99"/>
      <x:c r="F182" s="99"/>
      <x:c r="G182" s="99"/>
      <x:c r="H182" s="99"/>
      <x:c r="I182" s="99"/>
      <x:c r="J182" s="99"/>
      <x:c r="K182" s="99"/>
      <x:c r="L182" s="99"/>
      <x:c r="M182" s="99"/>
      <x:c r="N182" s="99"/>
      <x:c r="O182" s="99"/>
      <x:c r="P182" s="99"/>
      <x:c r="Q182" s="99"/>
      <x:c r="R182" s="99"/>
      <x:c r="S182" s="99"/>
      <x:c r="T182" s="99"/>
      <x:c r="U182" s="99"/>
      <x:c r="V182" s="99"/>
      <x:c r="W182" s="99"/>
      <x:c r="X182" s="99"/>
      <x:c r="Y182" s="99"/>
      <x:c r="Z182" s="99"/>
    </x:row>
    <x:row r="183">
      <x:c r="A183" s="99"/>
      <x:c r="B183" s="99"/>
      <x:c r="C183" s="99"/>
      <x:c r="D183" s="99"/>
      <x:c r="E183" s="99"/>
      <x:c r="F183" s="99"/>
      <x:c r="G183" s="99"/>
      <x:c r="H183" s="99"/>
      <x:c r="I183" s="99"/>
      <x:c r="J183" s="99"/>
      <x:c r="K183" s="99"/>
      <x:c r="L183" s="99"/>
      <x:c r="M183" s="99"/>
      <x:c r="N183" s="99"/>
      <x:c r="O183" s="99"/>
      <x:c r="P183" s="99"/>
      <x:c r="Q183" s="99"/>
      <x:c r="R183" s="99"/>
      <x:c r="S183" s="99"/>
      <x:c r="T183" s="99"/>
      <x:c r="U183" s="99"/>
      <x:c r="V183" s="99"/>
      <x:c r="W183" s="99"/>
      <x:c r="X183" s="99"/>
      <x:c r="Y183" s="99"/>
      <x:c r="Z183" s="99"/>
    </x:row>
    <x:row r="184">
      <x:c r="A184" s="99"/>
      <x:c r="B184" s="99"/>
      <x:c r="C184" s="99"/>
      <x:c r="D184" s="99"/>
      <x:c r="E184" s="99"/>
      <x:c r="F184" s="99"/>
      <x:c r="G184" s="99"/>
      <x:c r="H184" s="99"/>
      <x:c r="I184" s="99"/>
      <x:c r="J184" s="99"/>
      <x:c r="K184" s="99"/>
      <x:c r="L184" s="99"/>
      <x:c r="M184" s="99"/>
      <x:c r="N184" s="99"/>
      <x:c r="O184" s="99"/>
      <x:c r="P184" s="99"/>
      <x:c r="Q184" s="99"/>
      <x:c r="R184" s="99"/>
      <x:c r="S184" s="99"/>
      <x:c r="T184" s="99"/>
      <x:c r="U184" s="99"/>
      <x:c r="V184" s="99"/>
      <x:c r="W184" s="99"/>
      <x:c r="X184" s="99"/>
      <x:c r="Y184" s="99"/>
      <x:c r="Z184" s="99"/>
    </x:row>
    <x:row r="185">
      <x:c r="A185" s="99"/>
      <x:c r="B185" s="99"/>
      <x:c r="C185" s="99"/>
      <x:c r="D185" s="99"/>
      <x:c r="E185" s="99"/>
      <x:c r="F185" s="99"/>
      <x:c r="G185" s="99"/>
      <x:c r="H185" s="99"/>
      <x:c r="I185" s="99"/>
      <x:c r="J185" s="99"/>
      <x:c r="K185" s="99"/>
      <x:c r="L185" s="99"/>
      <x:c r="M185" s="99"/>
      <x:c r="N185" s="99"/>
      <x:c r="O185" s="99"/>
      <x:c r="P185" s="99"/>
      <x:c r="Q185" s="99"/>
      <x:c r="R185" s="99"/>
      <x:c r="S185" s="99"/>
      <x:c r="T185" s="99"/>
      <x:c r="U185" s="99"/>
      <x:c r="V185" s="99"/>
      <x:c r="W185" s="99"/>
      <x:c r="X185" s="99"/>
      <x:c r="Y185" s="99"/>
      <x:c r="Z185" s="99"/>
    </x:row>
    <x:row r="186">
      <x:c r="A186" s="99"/>
      <x:c r="B186" s="99"/>
      <x:c r="C186" s="99"/>
      <x:c r="D186" s="99"/>
      <x:c r="E186" s="99"/>
      <x:c r="F186" s="99"/>
      <x:c r="G186" s="99"/>
      <x:c r="H186" s="99"/>
      <x:c r="I186" s="99"/>
      <x:c r="J186" s="99"/>
      <x:c r="K186" s="99"/>
      <x:c r="L186" s="99"/>
      <x:c r="M186" s="99"/>
      <x:c r="N186" s="99"/>
      <x:c r="O186" s="99"/>
      <x:c r="P186" s="99"/>
      <x:c r="Q186" s="99"/>
      <x:c r="R186" s="99"/>
      <x:c r="S186" s="99"/>
      <x:c r="T186" s="99"/>
      <x:c r="U186" s="99"/>
      <x:c r="V186" s="99"/>
      <x:c r="W186" s="99"/>
      <x:c r="X186" s="99"/>
      <x:c r="Y186" s="99"/>
      <x:c r="Z186" s="99"/>
    </x:row>
    <x:row r="187">
      <x:c r="A187" s="99"/>
      <x:c r="B187" s="99"/>
      <x:c r="C187" s="99"/>
      <x:c r="D187" s="99"/>
      <x:c r="E187" s="99"/>
      <x:c r="F187" s="99"/>
      <x:c r="G187" s="99"/>
      <x:c r="H187" s="99"/>
      <x:c r="I187" s="99"/>
      <x:c r="J187" s="99"/>
      <x:c r="K187" s="99"/>
      <x:c r="L187" s="99"/>
      <x:c r="M187" s="99"/>
      <x:c r="N187" s="99"/>
      <x:c r="O187" s="99"/>
      <x:c r="P187" s="99"/>
      <x:c r="Q187" s="99"/>
      <x:c r="R187" s="99"/>
      <x:c r="S187" s="99"/>
      <x:c r="T187" s="99"/>
      <x:c r="U187" s="99"/>
      <x:c r="V187" s="99"/>
      <x:c r="W187" s="99"/>
      <x:c r="X187" s="99"/>
      <x:c r="Y187" s="99"/>
      <x:c r="Z187" s="99"/>
    </x:row>
    <x:row r="188">
      <x:c r="A188" s="99"/>
      <x:c r="B188" s="99"/>
      <x:c r="C188" s="99"/>
      <x:c r="D188" s="99"/>
      <x:c r="E188" s="99"/>
      <x:c r="F188" s="99"/>
      <x:c r="G188" s="99"/>
      <x:c r="H188" s="99"/>
      <x:c r="I188" s="99"/>
      <x:c r="J188" s="99"/>
      <x:c r="K188" s="99"/>
      <x:c r="L188" s="99"/>
      <x:c r="M188" s="99"/>
      <x:c r="N188" s="99"/>
      <x:c r="O188" s="99"/>
      <x:c r="P188" s="99"/>
      <x:c r="Q188" s="99"/>
      <x:c r="R188" s="99"/>
      <x:c r="S188" s="99"/>
      <x:c r="T188" s="99"/>
      <x:c r="U188" s="99"/>
      <x:c r="V188" s="99"/>
      <x:c r="W188" s="99"/>
      <x:c r="X188" s="99"/>
      <x:c r="Y188" s="99"/>
      <x:c r="Z188" s="99"/>
    </x:row>
    <x:row r="189">
      <x:c r="A189" s="99"/>
      <x:c r="B189" s="99"/>
      <x:c r="C189" s="99"/>
      <x:c r="D189" s="99"/>
      <x:c r="E189" s="99"/>
      <x:c r="F189" s="99"/>
      <x:c r="G189" s="99"/>
      <x:c r="H189" s="99"/>
      <x:c r="I189" s="99"/>
      <x:c r="J189" s="99"/>
      <x:c r="K189" s="99"/>
      <x:c r="L189" s="99"/>
      <x:c r="M189" s="99"/>
      <x:c r="N189" s="99"/>
      <x:c r="O189" s="99"/>
      <x:c r="P189" s="99"/>
      <x:c r="Q189" s="99"/>
      <x:c r="R189" s="99"/>
      <x:c r="S189" s="99"/>
      <x:c r="T189" s="99"/>
      <x:c r="U189" s="99"/>
      <x:c r="V189" s="99"/>
      <x:c r="W189" s="99"/>
      <x:c r="X189" s="99"/>
      <x:c r="Y189" s="99"/>
      <x:c r="Z189" s="99"/>
    </x:row>
    <x:row r="190">
      <x:c r="A190" s="99"/>
      <x:c r="B190" s="99"/>
      <x:c r="C190" s="99"/>
      <x:c r="D190" s="99"/>
      <x:c r="E190" s="99"/>
      <x:c r="F190" s="99"/>
      <x:c r="G190" s="99"/>
      <x:c r="H190" s="99"/>
      <x:c r="I190" s="99"/>
      <x:c r="J190" s="99"/>
      <x:c r="K190" s="99"/>
      <x:c r="L190" s="99"/>
      <x:c r="M190" s="99"/>
      <x:c r="N190" s="99"/>
      <x:c r="O190" s="99"/>
      <x:c r="P190" s="99"/>
      <x:c r="Q190" s="99"/>
      <x:c r="R190" s="99"/>
      <x:c r="S190" s="99"/>
      <x:c r="T190" s="99"/>
      <x:c r="U190" s="99"/>
      <x:c r="V190" s="99"/>
      <x:c r="W190" s="99"/>
      <x:c r="X190" s="99"/>
      <x:c r="Y190" s="99"/>
      <x:c r="Z190" s="99"/>
    </x:row>
    <x:row r="191">
      <x:c r="A191" s="99"/>
      <x:c r="B191" s="99"/>
      <x:c r="C191" s="99"/>
      <x:c r="D191" s="99"/>
      <x:c r="E191" s="99"/>
      <x:c r="F191" s="99"/>
      <x:c r="G191" s="99"/>
      <x:c r="H191" s="99"/>
      <x:c r="I191" s="99"/>
      <x:c r="J191" s="99"/>
      <x:c r="K191" s="99"/>
      <x:c r="L191" s="99"/>
      <x:c r="M191" s="99"/>
      <x:c r="N191" s="99"/>
      <x:c r="O191" s="99"/>
      <x:c r="P191" s="99"/>
      <x:c r="Q191" s="99"/>
      <x:c r="R191" s="99"/>
      <x:c r="S191" s="99"/>
      <x:c r="T191" s="99"/>
      <x:c r="U191" s="99"/>
      <x:c r="V191" s="99"/>
      <x:c r="W191" s="99"/>
      <x:c r="X191" s="99"/>
      <x:c r="Y191" s="99"/>
      <x:c r="Z191" s="99"/>
    </x:row>
    <x:row r="192">
      <x:c r="A192" s="99"/>
      <x:c r="B192" s="99"/>
      <x:c r="C192" s="99"/>
      <x:c r="D192" s="99"/>
      <x:c r="E192" s="99"/>
      <x:c r="F192" s="99"/>
      <x:c r="G192" s="99"/>
      <x:c r="H192" s="99"/>
      <x:c r="I192" s="99"/>
      <x:c r="J192" s="99"/>
      <x:c r="K192" s="99"/>
      <x:c r="L192" s="99"/>
      <x:c r="M192" s="99"/>
      <x:c r="N192" s="99"/>
      <x:c r="O192" s="99"/>
      <x:c r="P192" s="99"/>
      <x:c r="Q192" s="99"/>
      <x:c r="R192" s="99"/>
      <x:c r="S192" s="99"/>
      <x:c r="T192" s="99"/>
      <x:c r="U192" s="99"/>
      <x:c r="V192" s="99"/>
      <x:c r="W192" s="99"/>
      <x:c r="X192" s="99"/>
      <x:c r="Y192" s="99"/>
      <x:c r="Z192" s="99"/>
    </x:row>
    <x:row r="193">
      <x:c r="A193" s="99"/>
      <x:c r="B193" s="99"/>
      <x:c r="C193" s="99"/>
      <x:c r="D193" s="99"/>
      <x:c r="E193" s="99"/>
      <x:c r="F193" s="99"/>
      <x:c r="G193" s="99"/>
      <x:c r="H193" s="99"/>
      <x:c r="I193" s="99"/>
      <x:c r="J193" s="99"/>
      <x:c r="K193" s="99"/>
      <x:c r="L193" s="99"/>
      <x:c r="M193" s="99"/>
      <x:c r="N193" s="99"/>
      <x:c r="O193" s="99"/>
      <x:c r="P193" s="99"/>
      <x:c r="Q193" s="99"/>
      <x:c r="R193" s="99"/>
      <x:c r="S193" s="99"/>
      <x:c r="T193" s="99"/>
      <x:c r="U193" s="99"/>
      <x:c r="V193" s="99"/>
      <x:c r="W193" s="99"/>
      <x:c r="X193" s="99"/>
      <x:c r="Y193" s="99"/>
      <x:c r="Z193" s="99"/>
    </x:row>
    <x:row r="194">
      <x:c r="A194" s="99"/>
      <x:c r="B194" s="99"/>
      <x:c r="C194" s="99"/>
      <x:c r="D194" s="99"/>
      <x:c r="E194" s="99"/>
      <x:c r="F194" s="99"/>
      <x:c r="G194" s="99"/>
      <x:c r="H194" s="99"/>
      <x:c r="I194" s="99"/>
      <x:c r="J194" s="99"/>
      <x:c r="K194" s="99"/>
      <x:c r="L194" s="99"/>
      <x:c r="M194" s="99"/>
      <x:c r="N194" s="99"/>
      <x:c r="O194" s="99"/>
      <x:c r="P194" s="99"/>
      <x:c r="Q194" s="99"/>
      <x:c r="R194" s="99"/>
      <x:c r="S194" s="99"/>
      <x:c r="T194" s="99"/>
      <x:c r="U194" s="99"/>
      <x:c r="V194" s="99"/>
      <x:c r="W194" s="99"/>
      <x:c r="X194" s="99"/>
      <x:c r="Y194" s="99"/>
      <x:c r="Z194" s="99"/>
    </x:row>
    <x:row r="195">
      <x:c r="A195" s="99"/>
      <x:c r="B195" s="99"/>
      <x:c r="C195" s="99"/>
      <x:c r="D195" s="99"/>
      <x:c r="E195" s="99"/>
      <x:c r="F195" s="99"/>
      <x:c r="G195" s="99"/>
      <x:c r="H195" s="99"/>
      <x:c r="I195" s="99"/>
      <x:c r="J195" s="99"/>
      <x:c r="K195" s="99"/>
      <x:c r="L195" s="99"/>
      <x:c r="M195" s="99"/>
      <x:c r="N195" s="99"/>
      <x:c r="O195" s="99"/>
      <x:c r="P195" s="99"/>
      <x:c r="Q195" s="99"/>
      <x:c r="R195" s="99"/>
      <x:c r="S195" s="99"/>
      <x:c r="T195" s="99"/>
      <x:c r="U195" s="99"/>
      <x:c r="V195" s="99"/>
      <x:c r="W195" s="99"/>
      <x:c r="X195" s="99"/>
      <x:c r="Y195" s="99"/>
      <x:c r="Z195" s="99"/>
    </x:row>
    <x:row r="196">
      <x:c r="A196" s="99"/>
      <x:c r="B196" s="99"/>
      <x:c r="C196" s="99"/>
      <x:c r="D196" s="99"/>
      <x:c r="E196" s="99"/>
      <x:c r="F196" s="99"/>
      <x:c r="G196" s="99"/>
      <x:c r="H196" s="99"/>
      <x:c r="I196" s="99"/>
      <x:c r="J196" s="99"/>
      <x:c r="K196" s="99"/>
      <x:c r="L196" s="99"/>
      <x:c r="M196" s="99"/>
      <x:c r="N196" s="99"/>
      <x:c r="O196" s="99"/>
      <x:c r="P196" s="99"/>
      <x:c r="Q196" s="99"/>
      <x:c r="R196" s="99"/>
      <x:c r="S196" s="99"/>
      <x:c r="T196" s="99"/>
      <x:c r="U196" s="99"/>
      <x:c r="V196" s="99"/>
      <x:c r="W196" s="99"/>
      <x:c r="X196" s="99"/>
      <x:c r="Y196" s="99"/>
      <x:c r="Z196" s="99"/>
    </x:row>
    <x:row r="197">
      <x:c r="A197" s="99"/>
      <x:c r="B197" s="99"/>
      <x:c r="C197" s="99"/>
      <x:c r="D197" s="99"/>
      <x:c r="E197" s="99"/>
      <x:c r="F197" s="99"/>
      <x:c r="G197" s="99"/>
      <x:c r="H197" s="99"/>
      <x:c r="I197" s="99"/>
      <x:c r="J197" s="99"/>
      <x:c r="K197" s="99"/>
      <x:c r="L197" s="99"/>
      <x:c r="M197" s="99"/>
      <x:c r="N197" s="99"/>
      <x:c r="O197" s="99"/>
      <x:c r="P197" s="99"/>
      <x:c r="Q197" s="99"/>
      <x:c r="R197" s="99"/>
      <x:c r="S197" s="99"/>
      <x:c r="T197" s="99"/>
      <x:c r="U197" s="99"/>
      <x:c r="V197" s="99"/>
      <x:c r="W197" s="99"/>
      <x:c r="X197" s="99"/>
      <x:c r="Y197" s="99"/>
      <x:c r="Z197" s="99"/>
    </x:row>
    <x:row r="198">
      <x:c r="A198" s="99"/>
      <x:c r="B198" s="99"/>
      <x:c r="C198" s="99"/>
      <x:c r="D198" s="99"/>
      <x:c r="E198" s="99"/>
      <x:c r="F198" s="99"/>
      <x:c r="G198" s="99"/>
      <x:c r="H198" s="99"/>
      <x:c r="I198" s="99"/>
      <x:c r="J198" s="99"/>
      <x:c r="K198" s="99"/>
      <x:c r="L198" s="99"/>
      <x:c r="M198" s="99"/>
      <x:c r="N198" s="99"/>
      <x:c r="O198" s="99"/>
      <x:c r="P198" s="99"/>
      <x:c r="Q198" s="99"/>
      <x:c r="R198" s="99"/>
      <x:c r="S198" s="99"/>
      <x:c r="T198" s="99"/>
      <x:c r="U198" s="99"/>
      <x:c r="V198" s="99"/>
      <x:c r="W198" s="99"/>
      <x:c r="X198" s="99"/>
      <x:c r="Y198" s="99"/>
      <x:c r="Z198" s="99"/>
    </x:row>
    <x:row r="199">
      <x:c r="A199" s="99"/>
      <x:c r="B199" s="99"/>
      <x:c r="C199" s="99"/>
      <x:c r="D199" s="99"/>
      <x:c r="E199" s="99"/>
      <x:c r="F199" s="99"/>
      <x:c r="G199" s="99"/>
      <x:c r="H199" s="99"/>
      <x:c r="I199" s="99"/>
      <x:c r="J199" s="99"/>
      <x:c r="K199" s="99"/>
      <x:c r="L199" s="99"/>
      <x:c r="M199" s="99"/>
      <x:c r="N199" s="99"/>
      <x:c r="O199" s="99"/>
      <x:c r="P199" s="99"/>
      <x:c r="Q199" s="99"/>
      <x:c r="R199" s="99"/>
      <x:c r="S199" s="99"/>
      <x:c r="T199" s="99"/>
      <x:c r="U199" s="99"/>
      <x:c r="V199" s="99"/>
      <x:c r="W199" s="99"/>
      <x:c r="X199" s="99"/>
      <x:c r="Y199" s="99"/>
      <x:c r="Z199" s="99"/>
    </x:row>
    <x:row r="200">
      <x:c r="A200" s="99"/>
      <x:c r="B200" s="99"/>
      <x:c r="C200" s="99"/>
      <x:c r="D200" s="99"/>
      <x:c r="E200" s="99"/>
      <x:c r="F200" s="99"/>
      <x:c r="G200" s="99"/>
      <x:c r="H200" s="99"/>
      <x:c r="I200" s="99"/>
      <x:c r="J200" s="99"/>
      <x:c r="K200" s="99"/>
      <x:c r="L200" s="99"/>
      <x:c r="M200" s="99"/>
      <x:c r="N200" s="99"/>
      <x:c r="O200" s="99"/>
      <x:c r="P200" s="99"/>
      <x:c r="Q200" s="99"/>
      <x:c r="R200" s="99"/>
      <x:c r="S200" s="99"/>
      <x:c r="T200" s="99"/>
      <x:c r="U200" s="99"/>
      <x:c r="V200" s="99"/>
      <x:c r="W200" s="99"/>
      <x:c r="X200" s="99"/>
      <x:c r="Y200" s="99"/>
      <x:c r="Z200" s="99"/>
    </x:row>
    <x:row r="201">
      <x:c r="A201" s="99"/>
      <x:c r="B201" s="99"/>
      <x:c r="C201" s="99"/>
      <x:c r="D201" s="99"/>
      <x:c r="E201" s="99"/>
      <x:c r="F201" s="99"/>
      <x:c r="G201" s="99"/>
      <x:c r="H201" s="99"/>
      <x:c r="I201" s="99"/>
      <x:c r="J201" s="99"/>
      <x:c r="K201" s="99"/>
      <x:c r="L201" s="99"/>
      <x:c r="M201" s="99"/>
      <x:c r="N201" s="99"/>
      <x:c r="O201" s="99"/>
      <x:c r="P201" s="99"/>
      <x:c r="Q201" s="99"/>
      <x:c r="R201" s="99"/>
      <x:c r="S201" s="99"/>
      <x:c r="T201" s="99"/>
      <x:c r="U201" s="99"/>
      <x:c r="V201" s="99"/>
      <x:c r="W201" s="99"/>
      <x:c r="X201" s="99"/>
      <x:c r="Y201" s="99"/>
      <x:c r="Z201" s="99"/>
    </x:row>
    <x:row r="202">
      <x:c r="A202" s="99"/>
      <x:c r="B202" s="99"/>
      <x:c r="C202" s="99"/>
      <x:c r="D202" s="99"/>
      <x:c r="E202" s="99"/>
      <x:c r="F202" s="99"/>
      <x:c r="G202" s="99"/>
      <x:c r="H202" s="99"/>
      <x:c r="I202" s="99"/>
      <x:c r="J202" s="99"/>
      <x:c r="K202" s="99"/>
      <x:c r="L202" s="99"/>
      <x:c r="M202" s="99"/>
      <x:c r="N202" s="99"/>
      <x:c r="O202" s="99"/>
      <x:c r="P202" s="99"/>
      <x:c r="Q202" s="99"/>
      <x:c r="R202" s="99"/>
      <x:c r="S202" s="99"/>
      <x:c r="T202" s="99"/>
      <x:c r="U202" s="99"/>
      <x:c r="V202" s="99"/>
      <x:c r="W202" s="99"/>
      <x:c r="X202" s="99"/>
      <x:c r="Y202" s="99"/>
      <x:c r="Z202" s="99"/>
    </x:row>
    <x:row r="203">
      <x:c r="A203" s="99"/>
      <x:c r="B203" s="99"/>
      <x:c r="C203" s="99"/>
      <x:c r="D203" s="99"/>
      <x:c r="E203" s="99"/>
      <x:c r="F203" s="99"/>
      <x:c r="G203" s="99"/>
      <x:c r="H203" s="99"/>
      <x:c r="I203" s="99"/>
      <x:c r="J203" s="99"/>
      <x:c r="K203" s="99"/>
      <x:c r="L203" s="99"/>
      <x:c r="M203" s="99"/>
      <x:c r="N203" s="99"/>
      <x:c r="O203" s="99"/>
      <x:c r="P203" s="99"/>
      <x:c r="Q203" s="99"/>
      <x:c r="R203" s="99"/>
      <x:c r="S203" s="99"/>
      <x:c r="T203" s="99"/>
      <x:c r="U203" s="99"/>
      <x:c r="V203" s="99"/>
      <x:c r="W203" s="99"/>
      <x:c r="X203" s="99"/>
      <x:c r="Y203" s="99"/>
      <x:c r="Z203" s="99"/>
    </x:row>
    <x:row r="204">
      <x:c r="A204" s="99"/>
      <x:c r="B204" s="99"/>
      <x:c r="C204" s="99"/>
      <x:c r="D204" s="99"/>
      <x:c r="E204" s="99"/>
      <x:c r="F204" s="99"/>
      <x:c r="G204" s="99"/>
      <x:c r="H204" s="99"/>
      <x:c r="I204" s="99"/>
      <x:c r="J204" s="99"/>
      <x:c r="K204" s="99"/>
      <x:c r="L204" s="99"/>
      <x:c r="M204" s="99"/>
      <x:c r="N204" s="99"/>
      <x:c r="O204" s="99"/>
      <x:c r="P204" s="99"/>
      <x:c r="Q204" s="99"/>
      <x:c r="R204" s="99"/>
      <x:c r="S204" s="99"/>
      <x:c r="T204" s="99"/>
      <x:c r="U204" s="99"/>
      <x:c r="V204" s="99"/>
      <x:c r="W204" s="99"/>
      <x:c r="X204" s="99"/>
      <x:c r="Y204" s="99"/>
      <x:c r="Z204" s="99"/>
    </x:row>
    <x:row r="205">
      <x:c r="A205" s="99"/>
      <x:c r="B205" s="99"/>
      <x:c r="C205" s="99"/>
      <x:c r="D205" s="99"/>
      <x:c r="E205" s="99"/>
      <x:c r="F205" s="99"/>
      <x:c r="G205" s="99"/>
      <x:c r="H205" s="99"/>
      <x:c r="I205" s="99"/>
      <x:c r="J205" s="99"/>
      <x:c r="K205" s="99"/>
      <x:c r="L205" s="99"/>
      <x:c r="M205" s="99"/>
      <x:c r="N205" s="99"/>
      <x:c r="O205" s="99"/>
      <x:c r="P205" s="99"/>
      <x:c r="Q205" s="99"/>
      <x:c r="R205" s="99"/>
      <x:c r="S205" s="99"/>
      <x:c r="T205" s="99"/>
      <x:c r="U205" s="99"/>
      <x:c r="V205" s="99"/>
      <x:c r="W205" s="99"/>
      <x:c r="X205" s="99"/>
      <x:c r="Y205" s="99"/>
      <x:c r="Z205" s="99"/>
    </x:row>
    <x:row r="206">
      <x:c r="A206" s="99"/>
      <x:c r="B206" s="99"/>
      <x:c r="C206" s="99"/>
      <x:c r="D206" s="99"/>
      <x:c r="E206" s="99"/>
      <x:c r="F206" s="99"/>
      <x:c r="G206" s="99"/>
      <x:c r="H206" s="99"/>
      <x:c r="I206" s="99"/>
      <x:c r="J206" s="99"/>
      <x:c r="K206" s="99"/>
      <x:c r="L206" s="99"/>
      <x:c r="M206" s="99"/>
      <x:c r="N206" s="99"/>
      <x:c r="O206" s="99"/>
      <x:c r="P206" s="99"/>
      <x:c r="Q206" s="99"/>
      <x:c r="R206" s="99"/>
      <x:c r="S206" s="99"/>
      <x:c r="T206" s="99"/>
      <x:c r="U206" s="99"/>
      <x:c r="V206" s="99"/>
      <x:c r="W206" s="99"/>
      <x:c r="X206" s="99"/>
      <x:c r="Y206" s="99"/>
      <x:c r="Z206" s="99"/>
    </x:row>
    <x:row r="207">
      <x:c r="A207" s="99"/>
      <x:c r="B207" s="99"/>
      <x:c r="C207" s="99"/>
      <x:c r="D207" s="99"/>
      <x:c r="E207" s="99"/>
      <x:c r="F207" s="99"/>
      <x:c r="G207" s="99"/>
      <x:c r="H207" s="99"/>
      <x:c r="I207" s="99"/>
      <x:c r="J207" s="99"/>
      <x:c r="K207" s="99"/>
      <x:c r="L207" s="99"/>
      <x:c r="M207" s="99"/>
      <x:c r="N207" s="99"/>
      <x:c r="O207" s="99"/>
      <x:c r="P207" s="99"/>
      <x:c r="Q207" s="99"/>
      <x:c r="R207" s="99"/>
      <x:c r="S207" s="99"/>
      <x:c r="T207" s="99"/>
      <x:c r="U207" s="99"/>
      <x:c r="V207" s="99"/>
      <x:c r="W207" s="99"/>
      <x:c r="X207" s="99"/>
      <x:c r="Y207" s="99"/>
      <x:c r="Z207" s="99"/>
    </x:row>
    <x:row r="208">
      <x:c r="A208" s="99"/>
      <x:c r="B208" s="99"/>
      <x:c r="C208" s="99"/>
      <x:c r="D208" s="99"/>
      <x:c r="E208" s="99"/>
      <x:c r="F208" s="99"/>
      <x:c r="G208" s="99"/>
      <x:c r="H208" s="99"/>
      <x:c r="I208" s="99"/>
      <x:c r="J208" s="99"/>
      <x:c r="K208" s="99"/>
      <x:c r="L208" s="99"/>
      <x:c r="M208" s="99"/>
      <x:c r="N208" s="99"/>
      <x:c r="O208" s="99"/>
      <x:c r="P208" s="99"/>
      <x:c r="Q208" s="99"/>
      <x:c r="R208" s="99"/>
      <x:c r="S208" s="99"/>
      <x:c r="T208" s="99"/>
      <x:c r="U208" s="99"/>
      <x:c r="V208" s="99"/>
      <x:c r="W208" s="99"/>
      <x:c r="X208" s="99"/>
      <x:c r="Y208" s="99"/>
      <x:c r="Z208" s="99"/>
    </x:row>
    <x:row r="209">
      <x:c r="A209" s="99"/>
      <x:c r="B209" s="99"/>
      <x:c r="C209" s="99"/>
      <x:c r="D209" s="99"/>
      <x:c r="E209" s="99"/>
      <x:c r="F209" s="99"/>
      <x:c r="G209" s="99"/>
      <x:c r="H209" s="99"/>
      <x:c r="I209" s="99"/>
      <x:c r="J209" s="99"/>
      <x:c r="K209" s="99"/>
      <x:c r="L209" s="99"/>
      <x:c r="M209" s="99"/>
      <x:c r="N209" s="99"/>
      <x:c r="O209" s="99"/>
      <x:c r="P209" s="99"/>
      <x:c r="Q209" s="99"/>
      <x:c r="R209" s="99"/>
      <x:c r="S209" s="99"/>
      <x:c r="T209" s="99"/>
      <x:c r="U209" s="99"/>
      <x:c r="V209" s="99"/>
      <x:c r="W209" s="99"/>
      <x:c r="X209" s="99"/>
      <x:c r="Y209" s="99"/>
      <x:c r="Z209" s="99"/>
    </x:row>
    <x:row r="210">
      <x:c r="A210" s="99"/>
      <x:c r="B210" s="99"/>
      <x:c r="C210" s="99"/>
      <x:c r="D210" s="99"/>
      <x:c r="E210" s="99"/>
      <x:c r="F210" s="99"/>
      <x:c r="G210" s="99"/>
      <x:c r="H210" s="99"/>
      <x:c r="I210" s="99"/>
      <x:c r="J210" s="99"/>
      <x:c r="K210" s="99"/>
      <x:c r="L210" s="99"/>
      <x:c r="M210" s="99"/>
      <x:c r="N210" s="99"/>
      <x:c r="O210" s="99"/>
      <x:c r="P210" s="99"/>
      <x:c r="Q210" s="99"/>
      <x:c r="R210" s="99"/>
      <x:c r="S210" s="99"/>
      <x:c r="T210" s="99"/>
      <x:c r="U210" s="99"/>
      <x:c r="V210" s="99"/>
      <x:c r="W210" s="99"/>
      <x:c r="X210" s="99"/>
      <x:c r="Y210" s="99"/>
      <x:c r="Z210" s="99"/>
    </x:row>
    <x:row r="211">
      <x:c r="A211" s="99"/>
      <x:c r="B211" s="99"/>
      <x:c r="C211" s="99"/>
      <x:c r="D211" s="99"/>
      <x:c r="E211" s="99"/>
      <x:c r="F211" s="99"/>
      <x:c r="G211" s="99"/>
      <x:c r="H211" s="99"/>
      <x:c r="I211" s="99"/>
      <x:c r="J211" s="99"/>
      <x:c r="K211" s="99"/>
      <x:c r="L211" s="99"/>
      <x:c r="M211" s="99"/>
      <x:c r="N211" s="99"/>
      <x:c r="O211" s="99"/>
      <x:c r="P211" s="99"/>
      <x:c r="Q211" s="99"/>
      <x:c r="R211" s="99"/>
      <x:c r="S211" s="99"/>
      <x:c r="T211" s="99"/>
      <x:c r="U211" s="99"/>
      <x:c r="V211" s="99"/>
      <x:c r="W211" s="99"/>
      <x:c r="X211" s="99"/>
      <x:c r="Y211" s="99"/>
      <x:c r="Z211" s="99"/>
    </x:row>
    <x:row r="212">
      <x:c r="A212" s="99"/>
      <x:c r="B212" s="99"/>
      <x:c r="C212" s="99"/>
      <x:c r="D212" s="99"/>
      <x:c r="E212" s="99"/>
      <x:c r="F212" s="99"/>
      <x:c r="G212" s="99"/>
      <x:c r="H212" s="99"/>
      <x:c r="I212" s="99"/>
      <x:c r="J212" s="99"/>
      <x:c r="K212" s="99"/>
      <x:c r="L212" s="99"/>
      <x:c r="M212" s="99"/>
      <x:c r="N212" s="99"/>
      <x:c r="O212" s="99"/>
      <x:c r="P212" s="99"/>
      <x:c r="Q212" s="99"/>
      <x:c r="R212" s="99"/>
      <x:c r="S212" s="99"/>
      <x:c r="T212" s="99"/>
      <x:c r="U212" s="99"/>
      <x:c r="V212" s="99"/>
      <x:c r="W212" s="99"/>
      <x:c r="X212" s="99"/>
      <x:c r="Y212" s="99"/>
      <x:c r="Z212" s="99"/>
    </x:row>
    <x:row r="213">
      <x:c r="A213" s="99"/>
      <x:c r="B213" s="99"/>
      <x:c r="C213" s="99"/>
      <x:c r="D213" s="99"/>
      <x:c r="E213" s="99"/>
      <x:c r="F213" s="99"/>
      <x:c r="G213" s="99"/>
      <x:c r="H213" s="99"/>
      <x:c r="I213" s="99"/>
      <x:c r="J213" s="99"/>
      <x:c r="K213" s="99"/>
      <x:c r="L213" s="99"/>
      <x:c r="M213" s="99"/>
      <x:c r="N213" s="99"/>
      <x:c r="O213" s="99"/>
      <x:c r="P213" s="99"/>
      <x:c r="Q213" s="99"/>
      <x:c r="R213" s="99"/>
      <x:c r="S213" s="99"/>
      <x:c r="T213" s="99"/>
      <x:c r="U213" s="99"/>
      <x:c r="V213" s="99"/>
      <x:c r="W213" s="99"/>
      <x:c r="X213" s="99"/>
      <x:c r="Y213" s="99"/>
      <x:c r="Z213" s="99"/>
    </x:row>
    <x:row r="214">
      <x:c r="A214" s="99"/>
      <x:c r="B214" s="99"/>
      <x:c r="C214" s="99"/>
      <x:c r="D214" s="99"/>
      <x:c r="E214" s="99"/>
      <x:c r="F214" s="99"/>
      <x:c r="G214" s="99"/>
      <x:c r="H214" s="99"/>
      <x:c r="I214" s="99"/>
      <x:c r="J214" s="99"/>
      <x:c r="K214" s="99"/>
      <x:c r="L214" s="99"/>
      <x:c r="M214" s="99"/>
      <x:c r="N214" s="99"/>
      <x:c r="O214" s="99"/>
      <x:c r="P214" s="99"/>
      <x:c r="Q214" s="99"/>
      <x:c r="R214" s="99"/>
      <x:c r="S214" s="99"/>
      <x:c r="T214" s="99"/>
      <x:c r="U214" s="99"/>
      <x:c r="V214" s="99"/>
      <x:c r="W214" s="99"/>
      <x:c r="X214" s="99"/>
      <x:c r="Y214" s="99"/>
      <x:c r="Z214" s="99"/>
    </x:row>
    <x:row r="215">
      <x:c r="A215" s="99"/>
      <x:c r="B215" s="99"/>
      <x:c r="C215" s="99"/>
      <x:c r="D215" s="99"/>
      <x:c r="E215" s="99"/>
      <x:c r="F215" s="99"/>
      <x:c r="G215" s="99"/>
      <x:c r="H215" s="99"/>
      <x:c r="I215" s="99"/>
      <x:c r="J215" s="99"/>
      <x:c r="K215" s="99"/>
      <x:c r="L215" s="99"/>
      <x:c r="M215" s="99"/>
      <x:c r="N215" s="99"/>
      <x:c r="O215" s="99"/>
      <x:c r="P215" s="99"/>
      <x:c r="Q215" s="99"/>
      <x:c r="R215" s="99"/>
      <x:c r="S215" s="99"/>
      <x:c r="T215" s="99"/>
      <x:c r="U215" s="99"/>
      <x:c r="V215" s="99"/>
      <x:c r="W215" s="99"/>
      <x:c r="X215" s="99"/>
      <x:c r="Y215" s="99"/>
      <x:c r="Z215" s="99"/>
    </x:row>
    <x:row r="216">
      <x:c r="A216" s="99"/>
      <x:c r="B216" s="99"/>
      <x:c r="C216" s="99"/>
      <x:c r="D216" s="99"/>
      <x:c r="E216" s="99"/>
      <x:c r="F216" s="99"/>
      <x:c r="G216" s="99"/>
      <x:c r="H216" s="99"/>
      <x:c r="I216" s="99"/>
      <x:c r="J216" s="99"/>
      <x:c r="K216" s="99"/>
      <x:c r="L216" s="99"/>
      <x:c r="M216" s="99"/>
      <x:c r="N216" s="99"/>
      <x:c r="O216" s="99"/>
      <x:c r="P216" s="99"/>
      <x:c r="Q216" s="99"/>
      <x:c r="R216" s="99"/>
      <x:c r="S216" s="99"/>
      <x:c r="T216" s="99"/>
      <x:c r="U216" s="99"/>
      <x:c r="V216" s="99"/>
      <x:c r="W216" s="99"/>
      <x:c r="X216" s="99"/>
      <x:c r="Y216" s="99"/>
      <x:c r="Z216" s="99"/>
    </x:row>
    <x:row r="217">
      <x:c r="A217" s="99"/>
      <x:c r="B217" s="99"/>
      <x:c r="C217" s="99"/>
      <x:c r="D217" s="99"/>
      <x:c r="E217" s="99"/>
      <x:c r="F217" s="99"/>
      <x:c r="G217" s="99"/>
      <x:c r="H217" s="99"/>
      <x:c r="I217" s="99"/>
      <x:c r="J217" s="99"/>
      <x:c r="K217" s="99"/>
      <x:c r="L217" s="99"/>
      <x:c r="M217" s="99"/>
      <x:c r="N217" s="99"/>
      <x:c r="O217" s="99"/>
      <x:c r="P217" s="99"/>
      <x:c r="Q217" s="99"/>
      <x:c r="R217" s="99"/>
      <x:c r="S217" s="99"/>
      <x:c r="T217" s="99"/>
      <x:c r="U217" s="99"/>
      <x:c r="V217" s="99"/>
      <x:c r="W217" s="99"/>
      <x:c r="X217" s="99"/>
      <x:c r="Y217" s="99"/>
      <x:c r="Z217" s="99"/>
    </x:row>
    <x:row r="218">
      <x:c r="A218" s="99"/>
      <x:c r="B218" s="99"/>
      <x:c r="C218" s="99"/>
      <x:c r="D218" s="99"/>
      <x:c r="E218" s="99"/>
      <x:c r="F218" s="99"/>
      <x:c r="G218" s="99"/>
      <x:c r="H218" s="99"/>
      <x:c r="I218" s="99"/>
      <x:c r="J218" s="99"/>
      <x:c r="K218" s="99"/>
      <x:c r="L218" s="99"/>
      <x:c r="M218" s="99"/>
      <x:c r="N218" s="99"/>
      <x:c r="O218" s="99"/>
      <x:c r="P218" s="99"/>
      <x:c r="Q218" s="99"/>
      <x:c r="R218" s="99"/>
      <x:c r="S218" s="99"/>
      <x:c r="T218" s="99"/>
      <x:c r="U218" s="99"/>
      <x:c r="V218" s="99"/>
      <x:c r="W218" s="99"/>
      <x:c r="X218" s="99"/>
      <x:c r="Y218" s="99"/>
      <x:c r="Z218" s="99"/>
    </x:row>
    <x:row r="219">
      <x:c r="A219" s="99"/>
      <x:c r="B219" s="99"/>
      <x:c r="C219" s="99"/>
      <x:c r="D219" s="99"/>
      <x:c r="E219" s="99"/>
      <x:c r="F219" s="99"/>
      <x:c r="G219" s="99"/>
      <x:c r="H219" s="99"/>
      <x:c r="I219" s="99"/>
      <x:c r="J219" s="99"/>
      <x:c r="K219" s="99"/>
      <x:c r="L219" s="99"/>
      <x:c r="M219" s="99"/>
      <x:c r="N219" s="99"/>
      <x:c r="O219" s="99"/>
      <x:c r="P219" s="99"/>
      <x:c r="Q219" s="99"/>
      <x:c r="R219" s="99"/>
      <x:c r="S219" s="99"/>
      <x:c r="T219" s="99"/>
      <x:c r="U219" s="99"/>
      <x:c r="V219" s="99"/>
      <x:c r="W219" s="99"/>
      <x:c r="X219" s="99"/>
      <x:c r="Y219" s="99"/>
      <x:c r="Z219" s="99"/>
    </x:row>
    <x:row r="220">
      <x:c r="A220" s="99"/>
      <x:c r="B220" s="99"/>
      <x:c r="C220" s="99"/>
      <x:c r="D220" s="99"/>
      <x:c r="E220" s="99"/>
      <x:c r="F220" s="99"/>
      <x:c r="G220" s="99"/>
      <x:c r="H220" s="99"/>
      <x:c r="I220" s="99"/>
      <x:c r="J220" s="99"/>
      <x:c r="K220" s="99"/>
      <x:c r="L220" s="99"/>
      <x:c r="M220" s="99"/>
      <x:c r="N220" s="99"/>
      <x:c r="O220" s="99"/>
      <x:c r="P220" s="99"/>
      <x:c r="Q220" s="99"/>
      <x:c r="R220" s="99"/>
      <x:c r="S220" s="99"/>
      <x:c r="T220" s="99"/>
      <x:c r="U220" s="99"/>
      <x:c r="V220" s="99"/>
      <x:c r="W220" s="99"/>
      <x:c r="X220" s="99"/>
      <x:c r="Y220" s="99"/>
      <x:c r="Z220" s="99"/>
    </x:row>
    <x:row r="221">
      <x:c r="A221" s="99"/>
      <x:c r="B221" s="99"/>
      <x:c r="C221" s="99"/>
      <x:c r="D221" s="99"/>
      <x:c r="E221" s="99"/>
      <x:c r="F221" s="99"/>
      <x:c r="G221" s="99"/>
      <x:c r="H221" s="99"/>
      <x:c r="I221" s="99"/>
      <x:c r="J221" s="99"/>
      <x:c r="K221" s="99"/>
      <x:c r="L221" s="99"/>
      <x:c r="M221" s="99"/>
      <x:c r="N221" s="99"/>
      <x:c r="O221" s="99"/>
      <x:c r="P221" s="99"/>
      <x:c r="Q221" s="99"/>
      <x:c r="R221" s="99"/>
      <x:c r="S221" s="99"/>
      <x:c r="T221" s="99"/>
      <x:c r="U221" s="99"/>
      <x:c r="V221" s="99"/>
      <x:c r="W221" s="99"/>
      <x:c r="X221" s="99"/>
      <x:c r="Y221" s="99"/>
      <x:c r="Z221" s="99"/>
    </x:row>
    <x:row r="222">
      <x:c r="A222" s="99"/>
      <x:c r="B222" s="99"/>
      <x:c r="C222" s="99"/>
      <x:c r="D222" s="99"/>
      <x:c r="E222" s="99"/>
      <x:c r="F222" s="99"/>
      <x:c r="G222" s="99"/>
      <x:c r="H222" s="99"/>
      <x:c r="I222" s="99"/>
      <x:c r="J222" s="99"/>
      <x:c r="K222" s="99"/>
      <x:c r="L222" s="99"/>
      <x:c r="M222" s="99"/>
      <x:c r="N222" s="99"/>
      <x:c r="O222" s="99"/>
      <x:c r="P222" s="99"/>
      <x:c r="Q222" s="99"/>
      <x:c r="R222" s="99"/>
      <x:c r="S222" s="99"/>
      <x:c r="T222" s="99"/>
      <x:c r="U222" s="99"/>
      <x:c r="V222" s="99"/>
      <x:c r="W222" s="99"/>
      <x:c r="X222" s="99"/>
      <x:c r="Y222" s="99"/>
      <x:c r="Z222" s="99"/>
    </x:row>
    <x:row r="223">
      <x:c r="A223" s="99"/>
      <x:c r="B223" s="99"/>
      <x:c r="C223" s="99"/>
      <x:c r="D223" s="99"/>
      <x:c r="E223" s="99"/>
      <x:c r="F223" s="99"/>
      <x:c r="G223" s="99"/>
      <x:c r="H223" s="99"/>
      <x:c r="I223" s="99"/>
      <x:c r="J223" s="99"/>
      <x:c r="K223" s="99"/>
      <x:c r="L223" s="99"/>
      <x:c r="M223" s="99"/>
      <x:c r="N223" s="99"/>
      <x:c r="O223" s="99"/>
      <x:c r="P223" s="99"/>
      <x:c r="Q223" s="99"/>
      <x:c r="R223" s="99"/>
      <x:c r="S223" s="99"/>
      <x:c r="T223" s="99"/>
      <x:c r="U223" s="99"/>
      <x:c r="V223" s="99"/>
      <x:c r="W223" s="99"/>
      <x:c r="X223" s="99"/>
      <x:c r="Y223" s="99"/>
      <x:c r="Z223" s="99"/>
    </x:row>
    <x:row r="224">
      <x:c r="A224" s="99"/>
      <x:c r="B224" s="99"/>
      <x:c r="C224" s="99"/>
      <x:c r="D224" s="99"/>
      <x:c r="E224" s="99"/>
      <x:c r="F224" s="99"/>
      <x:c r="G224" s="99"/>
      <x:c r="H224" s="99"/>
      <x:c r="I224" s="99"/>
      <x:c r="J224" s="99"/>
      <x:c r="K224" s="99"/>
      <x:c r="L224" s="99"/>
      <x:c r="M224" s="99"/>
      <x:c r="N224" s="99"/>
      <x:c r="O224" s="99"/>
      <x:c r="P224" s="99"/>
      <x:c r="Q224" s="99"/>
      <x:c r="R224" s="99"/>
      <x:c r="S224" s="99"/>
      <x:c r="T224" s="99"/>
      <x:c r="U224" s="99"/>
      <x:c r="V224" s="99"/>
      <x:c r="W224" s="99"/>
      <x:c r="X224" s="99"/>
      <x:c r="Y224" s="99"/>
      <x:c r="Z224" s="99"/>
    </x:row>
    <x:row r="225">
      <x:c r="A225" s="99"/>
      <x:c r="B225" s="99"/>
      <x:c r="C225" s="99"/>
      <x:c r="D225" s="99"/>
      <x:c r="E225" s="99"/>
      <x:c r="F225" s="99"/>
      <x:c r="G225" s="99"/>
      <x:c r="H225" s="99"/>
      <x:c r="I225" s="99"/>
      <x:c r="J225" s="99"/>
      <x:c r="K225" s="99"/>
      <x:c r="L225" s="99"/>
      <x:c r="M225" s="99"/>
      <x:c r="N225" s="99"/>
      <x:c r="O225" s="99"/>
      <x:c r="P225" s="99"/>
      <x:c r="Q225" s="99"/>
      <x:c r="R225" s="99"/>
      <x:c r="S225" s="99"/>
      <x:c r="T225" s="99"/>
      <x:c r="U225" s="99"/>
      <x:c r="V225" s="99"/>
      <x:c r="W225" s="99"/>
      <x:c r="X225" s="99"/>
      <x:c r="Y225" s="99"/>
      <x:c r="Z225" s="99"/>
    </x:row>
    <x:row r="226">
      <x:c r="A226" s="99"/>
      <x:c r="B226" s="99"/>
      <x:c r="C226" s="99"/>
      <x:c r="D226" s="99"/>
      <x:c r="E226" s="99"/>
      <x:c r="F226" s="99"/>
      <x:c r="G226" s="99"/>
      <x:c r="H226" s="99"/>
      <x:c r="I226" s="99"/>
      <x:c r="J226" s="99"/>
      <x:c r="K226" s="99"/>
      <x:c r="L226" s="99"/>
      <x:c r="M226" s="99"/>
      <x:c r="N226" s="99"/>
      <x:c r="O226" s="99"/>
      <x:c r="P226" s="99"/>
      <x:c r="Q226" s="99"/>
      <x:c r="R226" s="99"/>
      <x:c r="S226" s="99"/>
      <x:c r="T226" s="99"/>
      <x:c r="U226" s="99"/>
      <x:c r="V226" s="99"/>
      <x:c r="W226" s="99"/>
      <x:c r="X226" s="99"/>
      <x:c r="Y226" s="99"/>
      <x:c r="Z226" s="99"/>
    </x:row>
    <x:row r="227">
      <x:c r="A227" s="99"/>
      <x:c r="B227" s="99"/>
      <x:c r="C227" s="99"/>
      <x:c r="D227" s="99"/>
      <x:c r="E227" s="99"/>
      <x:c r="F227" s="99"/>
      <x:c r="G227" s="99"/>
      <x:c r="H227" s="99"/>
      <x:c r="I227" s="99"/>
      <x:c r="J227" s="99"/>
      <x:c r="K227" s="99"/>
      <x:c r="L227" s="99"/>
      <x:c r="M227" s="99"/>
      <x:c r="N227" s="99"/>
      <x:c r="O227" s="99"/>
      <x:c r="P227" s="99"/>
      <x:c r="Q227" s="99"/>
      <x:c r="R227" s="99"/>
      <x:c r="S227" s="99"/>
      <x:c r="T227" s="99"/>
      <x:c r="U227" s="99"/>
      <x:c r="V227" s="99"/>
      <x:c r="W227" s="99"/>
      <x:c r="X227" s="99"/>
      <x:c r="Y227" s="99"/>
      <x:c r="Z227" s="99"/>
    </x:row>
    <x:row r="228">
      <x:c r="A228" s="99"/>
      <x:c r="B228" s="99"/>
      <x:c r="C228" s="99"/>
      <x:c r="D228" s="99"/>
      <x:c r="E228" s="99"/>
      <x:c r="F228" s="99"/>
      <x:c r="G228" s="99"/>
      <x:c r="H228" s="99"/>
      <x:c r="I228" s="99"/>
      <x:c r="J228" s="99"/>
      <x:c r="K228" s="99"/>
      <x:c r="L228" s="99"/>
      <x:c r="M228" s="99"/>
      <x:c r="N228" s="99"/>
      <x:c r="O228" s="99"/>
      <x:c r="P228" s="99"/>
      <x:c r="Q228" s="99"/>
      <x:c r="R228" s="99"/>
      <x:c r="S228" s="99"/>
      <x:c r="T228" s="99"/>
      <x:c r="U228" s="99"/>
      <x:c r="V228" s="99"/>
      <x:c r="W228" s="99"/>
      <x:c r="X228" s="99"/>
      <x:c r="Y228" s="99"/>
      <x:c r="Z228" s="99"/>
    </x:row>
    <x:row r="229">
      <x:c r="A229" s="99"/>
      <x:c r="B229" s="99"/>
      <x:c r="C229" s="99"/>
      <x:c r="D229" s="99"/>
      <x:c r="E229" s="99"/>
      <x:c r="F229" s="99"/>
      <x:c r="G229" s="99"/>
      <x:c r="H229" s="99"/>
      <x:c r="I229" s="99"/>
      <x:c r="J229" s="99"/>
      <x:c r="K229" s="99"/>
      <x:c r="L229" s="99"/>
      <x:c r="M229" s="99"/>
      <x:c r="N229" s="99"/>
      <x:c r="O229" s="99"/>
      <x:c r="P229" s="99"/>
      <x:c r="Q229" s="99"/>
      <x:c r="R229" s="99"/>
      <x:c r="S229" s="99"/>
      <x:c r="T229" s="99"/>
      <x:c r="U229" s="99"/>
      <x:c r="V229" s="99"/>
      <x:c r="W229" s="99"/>
      <x:c r="X229" s="99"/>
      <x:c r="Y229" s="99"/>
      <x:c r="Z229" s="99"/>
    </x:row>
    <x:row r="230">
      <x:c r="A230" s="99"/>
      <x:c r="B230" s="99"/>
      <x:c r="C230" s="99"/>
      <x:c r="D230" s="99"/>
      <x:c r="E230" s="99"/>
      <x:c r="F230" s="99"/>
      <x:c r="G230" s="99"/>
      <x:c r="H230" s="99"/>
      <x:c r="I230" s="99"/>
      <x:c r="J230" s="99"/>
      <x:c r="K230" s="99"/>
      <x:c r="L230" s="99"/>
      <x:c r="M230" s="99"/>
      <x:c r="N230" s="99"/>
      <x:c r="O230" s="99"/>
      <x:c r="P230" s="99"/>
      <x:c r="Q230" s="99"/>
      <x:c r="R230" s="99"/>
      <x:c r="S230" s="99"/>
      <x:c r="T230" s="99"/>
      <x:c r="U230" s="99"/>
      <x:c r="V230" s="99"/>
      <x:c r="W230" s="99"/>
      <x:c r="X230" s="99"/>
      <x:c r="Y230" s="99"/>
      <x:c r="Z230" s="99"/>
    </x:row>
    <x:row r="231">
      <x:c r="A231" s="99"/>
      <x:c r="B231" s="99"/>
      <x:c r="C231" s="99"/>
      <x:c r="D231" s="99"/>
      <x:c r="E231" s="99"/>
      <x:c r="F231" s="99"/>
      <x:c r="G231" s="99"/>
      <x:c r="H231" s="99"/>
      <x:c r="I231" s="99"/>
      <x:c r="J231" s="99"/>
      <x:c r="K231" s="99"/>
      <x:c r="L231" s="99"/>
      <x:c r="M231" s="99"/>
      <x:c r="N231" s="99"/>
      <x:c r="O231" s="99"/>
      <x:c r="P231" s="99"/>
      <x:c r="Q231" s="99"/>
      <x:c r="R231" s="99"/>
      <x:c r="S231" s="99"/>
      <x:c r="T231" s="99"/>
      <x:c r="U231" s="99"/>
      <x:c r="V231" s="99"/>
      <x:c r="W231" s="99"/>
      <x:c r="X231" s="99"/>
      <x:c r="Y231" s="99"/>
      <x:c r="Z231" s="99"/>
    </x:row>
    <x:row r="232">
      <x:c r="A232" s="99"/>
      <x:c r="B232" s="99"/>
      <x:c r="C232" s="99"/>
      <x:c r="D232" s="99"/>
      <x:c r="E232" s="99"/>
      <x:c r="F232" s="99"/>
      <x:c r="G232" s="99"/>
      <x:c r="H232" s="99"/>
      <x:c r="I232" s="99"/>
      <x:c r="J232" s="99"/>
      <x:c r="K232" s="99"/>
      <x:c r="L232" s="99"/>
      <x:c r="M232" s="99"/>
      <x:c r="N232" s="99"/>
      <x:c r="O232" s="99"/>
      <x:c r="P232" s="99"/>
      <x:c r="Q232" s="99"/>
      <x:c r="R232" s="99"/>
      <x:c r="S232" s="99"/>
      <x:c r="T232" s="99"/>
      <x:c r="U232" s="99"/>
      <x:c r="V232" s="99"/>
      <x:c r="W232" s="99"/>
      <x:c r="X232" s="99"/>
      <x:c r="Y232" s="99"/>
      <x:c r="Z232" s="99"/>
    </x:row>
    <x:row r="233">
      <x:c r="A233" s="99"/>
      <x:c r="B233" s="99"/>
      <x:c r="C233" s="99"/>
      <x:c r="D233" s="99"/>
      <x:c r="E233" s="99"/>
      <x:c r="F233" s="99"/>
      <x:c r="G233" s="99"/>
      <x:c r="H233" s="99"/>
      <x:c r="I233" s="99"/>
      <x:c r="J233" s="99"/>
      <x:c r="K233" s="99"/>
      <x:c r="L233" s="99"/>
      <x:c r="M233" s="99"/>
      <x:c r="N233" s="99"/>
      <x:c r="O233" s="99"/>
      <x:c r="P233" s="99"/>
      <x:c r="Q233" s="99"/>
      <x:c r="R233" s="99"/>
      <x:c r="S233" s="99"/>
      <x:c r="T233" s="99"/>
      <x:c r="U233" s="99"/>
      <x:c r="V233" s="99"/>
      <x:c r="W233" s="99"/>
      <x:c r="X233" s="99"/>
      <x:c r="Y233" s="99"/>
      <x:c r="Z233" s="99"/>
    </x:row>
    <x:row r="234">
      <x:c r="A234" s="99"/>
      <x:c r="B234" s="99"/>
      <x:c r="C234" s="99"/>
      <x:c r="D234" s="99"/>
      <x:c r="E234" s="99"/>
      <x:c r="F234" s="99"/>
      <x:c r="G234" s="99"/>
      <x:c r="H234" s="99"/>
      <x:c r="I234" s="99"/>
      <x:c r="J234" s="99"/>
      <x:c r="K234" s="99"/>
      <x:c r="L234" s="99"/>
      <x:c r="M234" s="99"/>
      <x:c r="N234" s="99"/>
      <x:c r="O234" s="99"/>
      <x:c r="P234" s="99"/>
      <x:c r="Q234" s="99"/>
      <x:c r="R234" s="99"/>
      <x:c r="S234" s="99"/>
      <x:c r="T234" s="99"/>
      <x:c r="U234" s="99"/>
      <x:c r="V234" s="99"/>
      <x:c r="W234" s="99"/>
      <x:c r="X234" s="99"/>
      <x:c r="Y234" s="99"/>
      <x:c r="Z234" s="99"/>
    </x:row>
    <x:row r="235">
      <x:c r="A235" s="99"/>
      <x:c r="B235" s="99"/>
      <x:c r="C235" s="99"/>
      <x:c r="D235" s="99"/>
      <x:c r="E235" s="99"/>
      <x:c r="F235" s="99"/>
      <x:c r="G235" s="99"/>
      <x:c r="H235" s="99"/>
      <x:c r="I235" s="99"/>
      <x:c r="J235" s="99"/>
      <x:c r="K235" s="99"/>
      <x:c r="L235" s="99"/>
      <x:c r="M235" s="99"/>
      <x:c r="N235" s="99"/>
      <x:c r="O235" s="99"/>
      <x:c r="P235" s="99"/>
      <x:c r="Q235" s="99"/>
      <x:c r="R235" s="99"/>
      <x:c r="S235" s="99"/>
      <x:c r="T235" s="99"/>
      <x:c r="U235" s="99"/>
      <x:c r="V235" s="99"/>
      <x:c r="W235" s="99"/>
      <x:c r="X235" s="99"/>
      <x:c r="Y235" s="99"/>
      <x:c r="Z235" s="99"/>
    </x:row>
    <x:row r="236">
      <x:c r="A236" s="99"/>
      <x:c r="B236" s="99"/>
      <x:c r="C236" s="99"/>
      <x:c r="D236" s="99"/>
      <x:c r="E236" s="99"/>
      <x:c r="F236" s="99"/>
      <x:c r="G236" s="99"/>
      <x:c r="H236" s="99"/>
      <x:c r="I236" s="99"/>
      <x:c r="J236" s="99"/>
      <x:c r="K236" s="99"/>
      <x:c r="L236" s="99"/>
      <x:c r="M236" s="99"/>
      <x:c r="N236" s="99"/>
      <x:c r="O236" s="99"/>
      <x:c r="P236" s="99"/>
      <x:c r="Q236" s="99"/>
      <x:c r="R236" s="99"/>
      <x:c r="S236" s="99"/>
      <x:c r="T236" s="99"/>
      <x:c r="U236" s="99"/>
      <x:c r="V236" s="99"/>
      <x:c r="W236" s="99"/>
      <x:c r="X236" s="99"/>
      <x:c r="Y236" s="99"/>
      <x:c r="Z236" s="99"/>
    </x:row>
    <x:row r="237">
      <x:c r="A237" s="99"/>
      <x:c r="B237" s="99"/>
      <x:c r="C237" s="99"/>
      <x:c r="D237" s="99"/>
      <x:c r="E237" s="99"/>
      <x:c r="F237" s="99"/>
      <x:c r="G237" s="99"/>
      <x:c r="H237" s="99"/>
      <x:c r="I237" s="99"/>
      <x:c r="J237" s="99"/>
      <x:c r="K237" s="99"/>
      <x:c r="L237" s="99"/>
      <x:c r="M237" s="99"/>
      <x:c r="N237" s="99"/>
      <x:c r="O237" s="99"/>
      <x:c r="P237" s="99"/>
      <x:c r="Q237" s="99"/>
      <x:c r="R237" s="99"/>
      <x:c r="S237" s="99"/>
      <x:c r="T237" s="99"/>
      <x:c r="U237" s="99"/>
      <x:c r="V237" s="99"/>
      <x:c r="W237" s="99"/>
      <x:c r="X237" s="99"/>
      <x:c r="Y237" s="99"/>
      <x:c r="Z237" s="99"/>
    </x:row>
    <x:row r="238">
      <x:c r="A238" s="99"/>
      <x:c r="B238" s="99"/>
      <x:c r="C238" s="99"/>
      <x:c r="D238" s="99"/>
      <x:c r="E238" s="99"/>
      <x:c r="F238" s="99"/>
      <x:c r="G238" s="99"/>
      <x:c r="H238" s="99"/>
      <x:c r="I238" s="99"/>
      <x:c r="J238" s="99"/>
      <x:c r="K238" s="99"/>
      <x:c r="L238" s="99"/>
      <x:c r="M238" s="99"/>
      <x:c r="N238" s="99"/>
      <x:c r="O238" s="99"/>
      <x:c r="P238" s="99"/>
      <x:c r="Q238" s="99"/>
      <x:c r="R238" s="99"/>
      <x:c r="S238" s="99"/>
      <x:c r="T238" s="99"/>
      <x:c r="U238" s="99"/>
      <x:c r="V238" s="99"/>
      <x:c r="W238" s="99"/>
      <x:c r="X238" s="99"/>
      <x:c r="Y238" s="99"/>
      <x:c r="Z238" s="99"/>
    </x:row>
    <x:row r="239">
      <x:c r="A239" s="99"/>
      <x:c r="B239" s="99"/>
      <x:c r="C239" s="99"/>
      <x:c r="D239" s="99"/>
      <x:c r="E239" s="99"/>
      <x:c r="F239" s="99"/>
      <x:c r="G239" s="99"/>
      <x:c r="H239" s="99"/>
      <x:c r="I239" s="99"/>
      <x:c r="J239" s="99"/>
      <x:c r="K239" s="99"/>
      <x:c r="L239" s="99"/>
      <x:c r="M239" s="99"/>
      <x:c r="N239" s="99"/>
      <x:c r="O239" s="99"/>
      <x:c r="P239" s="99"/>
      <x:c r="Q239" s="99"/>
      <x:c r="R239" s="99"/>
      <x:c r="S239" s="99"/>
      <x:c r="T239" s="99"/>
      <x:c r="U239" s="99"/>
      <x:c r="V239" s="99"/>
      <x:c r="W239" s="99"/>
      <x:c r="X239" s="99"/>
      <x:c r="Y239" s="99"/>
      <x:c r="Z239" s="99"/>
    </x:row>
    <x:row r="240">
      <x:c r="A240" s="99"/>
      <x:c r="B240" s="99"/>
      <x:c r="C240" s="99"/>
      <x:c r="D240" s="99"/>
      <x:c r="E240" s="99"/>
      <x:c r="F240" s="99"/>
      <x:c r="G240" s="99"/>
      <x:c r="H240" s="99"/>
      <x:c r="I240" s="99"/>
      <x:c r="J240" s="99"/>
      <x:c r="K240" s="99"/>
      <x:c r="L240" s="99"/>
      <x:c r="M240" s="99"/>
      <x:c r="N240" s="99"/>
      <x:c r="O240" s="99"/>
      <x:c r="P240" s="99"/>
      <x:c r="Q240" s="99"/>
      <x:c r="R240" s="99"/>
      <x:c r="S240" s="99"/>
      <x:c r="T240" s="99"/>
      <x:c r="U240" s="99"/>
      <x:c r="V240" s="99"/>
      <x:c r="W240" s="99"/>
      <x:c r="X240" s="99"/>
      <x:c r="Y240" s="99"/>
      <x:c r="Z240" s="99"/>
    </x:row>
    <x:row r="241">
      <x:c r="A241" s="99"/>
      <x:c r="B241" s="99"/>
      <x:c r="C241" s="99"/>
      <x:c r="D241" s="99"/>
      <x:c r="E241" s="99"/>
      <x:c r="F241" s="99"/>
      <x:c r="G241" s="99"/>
      <x:c r="H241" s="99"/>
      <x:c r="I241" s="99"/>
      <x:c r="J241" s="99"/>
      <x:c r="K241" s="99"/>
      <x:c r="L241" s="99"/>
      <x:c r="M241" s="99"/>
      <x:c r="N241" s="99"/>
      <x:c r="O241" s="99"/>
      <x:c r="P241" s="99"/>
      <x:c r="Q241" s="99"/>
      <x:c r="R241" s="99"/>
      <x:c r="S241" s="99"/>
      <x:c r="T241" s="99"/>
      <x:c r="U241" s="99"/>
      <x:c r="V241" s="99"/>
      <x:c r="W241" s="99"/>
      <x:c r="X241" s="99"/>
      <x:c r="Y241" s="99"/>
      <x:c r="Z241" s="99"/>
    </x:row>
    <x:row r="242">
      <x:c r="A242" s="99"/>
      <x:c r="B242" s="99"/>
      <x:c r="C242" s="99"/>
      <x:c r="D242" s="99"/>
      <x:c r="E242" s="99"/>
      <x:c r="F242" s="99"/>
      <x:c r="G242" s="99"/>
      <x:c r="H242" s="99"/>
      <x:c r="I242" s="99"/>
      <x:c r="J242" s="99"/>
      <x:c r="K242" s="99"/>
      <x:c r="L242" s="99"/>
      <x:c r="M242" s="99"/>
      <x:c r="N242" s="99"/>
      <x:c r="O242" s="99"/>
      <x:c r="P242" s="99"/>
      <x:c r="Q242" s="99"/>
      <x:c r="R242" s="99"/>
      <x:c r="S242" s="99"/>
      <x:c r="T242" s="99"/>
      <x:c r="U242" s="99"/>
      <x:c r="V242" s="99"/>
      <x:c r="W242" s="99"/>
      <x:c r="X242" s="99"/>
      <x:c r="Y242" s="99"/>
      <x:c r="Z242" s="99"/>
    </x:row>
    <x:row r="243">
      <x:c r="A243" s="99"/>
      <x:c r="B243" s="99"/>
      <x:c r="C243" s="99"/>
      <x:c r="D243" s="99"/>
      <x:c r="E243" s="99"/>
      <x:c r="F243" s="99"/>
      <x:c r="G243" s="99"/>
      <x:c r="H243" s="99"/>
      <x:c r="I243" s="99"/>
      <x:c r="J243" s="99"/>
      <x:c r="K243" s="99"/>
      <x:c r="L243" s="99"/>
      <x:c r="M243" s="99"/>
      <x:c r="N243" s="99"/>
      <x:c r="O243" s="99"/>
      <x:c r="P243" s="99"/>
      <x:c r="Q243" s="99"/>
      <x:c r="R243" s="99"/>
      <x:c r="S243" s="99"/>
      <x:c r="T243" s="99"/>
      <x:c r="U243" s="99"/>
      <x:c r="V243" s="99"/>
      <x:c r="W243" s="99"/>
      <x:c r="X243" s="99"/>
      <x:c r="Y243" s="99"/>
      <x:c r="Z243" s="99"/>
    </x:row>
    <x:row r="244">
      <x:c r="A244" s="99"/>
      <x:c r="B244" s="99"/>
      <x:c r="C244" s="99"/>
      <x:c r="D244" s="99"/>
      <x:c r="E244" s="99"/>
      <x:c r="F244" s="99"/>
      <x:c r="G244" s="99"/>
      <x:c r="H244" s="99"/>
      <x:c r="I244" s="99"/>
      <x:c r="J244" s="99"/>
      <x:c r="K244" s="99"/>
      <x:c r="L244" s="99"/>
      <x:c r="M244" s="99"/>
      <x:c r="N244" s="99"/>
      <x:c r="O244" s="99"/>
      <x:c r="P244" s="99"/>
      <x:c r="Q244" s="99"/>
      <x:c r="R244" s="99"/>
      <x:c r="S244" s="99"/>
      <x:c r="T244" s="99"/>
      <x:c r="U244" s="99"/>
      <x:c r="V244" s="99"/>
      <x:c r="W244" s="99"/>
      <x:c r="X244" s="99"/>
      <x:c r="Y244" s="99"/>
      <x:c r="Z244" s="99"/>
    </x:row>
    <x:row r="245">
      <x:c r="A245" s="99"/>
      <x:c r="B245" s="99"/>
      <x:c r="C245" s="99"/>
      <x:c r="D245" s="99"/>
      <x:c r="E245" s="99"/>
      <x:c r="F245" s="99"/>
      <x:c r="G245" s="99"/>
      <x:c r="H245" s="99"/>
      <x:c r="I245" s="99"/>
      <x:c r="J245" s="99"/>
      <x:c r="K245" s="99"/>
      <x:c r="L245" s="99"/>
      <x:c r="M245" s="99"/>
      <x:c r="N245" s="99"/>
      <x:c r="O245" s="99"/>
      <x:c r="P245" s="99"/>
      <x:c r="Q245" s="99"/>
      <x:c r="R245" s="99"/>
      <x:c r="S245" s="99"/>
      <x:c r="T245" s="99"/>
      <x:c r="U245" s="99"/>
      <x:c r="V245" s="99"/>
      <x:c r="W245" s="99"/>
      <x:c r="X245" s="99"/>
      <x:c r="Y245" s="99"/>
      <x:c r="Z245" s="99"/>
    </x:row>
    <x:row r="246">
      <x:c r="A246" s="99"/>
      <x:c r="B246" s="99"/>
      <x:c r="C246" s="99"/>
      <x:c r="D246" s="99"/>
      <x:c r="E246" s="99"/>
      <x:c r="F246" s="99"/>
      <x:c r="G246" s="99"/>
      <x:c r="H246" s="99"/>
      <x:c r="I246" s="99"/>
      <x:c r="J246" s="99"/>
      <x:c r="K246" s="99"/>
      <x:c r="L246" s="99"/>
      <x:c r="M246" s="99"/>
      <x:c r="N246" s="99"/>
      <x:c r="O246" s="99"/>
      <x:c r="P246" s="99"/>
      <x:c r="Q246" s="99"/>
      <x:c r="R246" s="99"/>
      <x:c r="S246" s="99"/>
      <x:c r="T246" s="99"/>
      <x:c r="U246" s="99"/>
      <x:c r="V246" s="99"/>
      <x:c r="W246" s="99"/>
      <x:c r="X246" s="99"/>
      <x:c r="Y246" s="99"/>
      <x:c r="Z246" s="99"/>
    </x:row>
    <x:row r="247">
      <x:c r="A247" s="99"/>
      <x:c r="B247" s="99"/>
      <x:c r="C247" s="99"/>
      <x:c r="D247" s="99"/>
      <x:c r="E247" s="99"/>
      <x:c r="F247" s="99"/>
      <x:c r="G247" s="99"/>
      <x:c r="H247" s="99"/>
      <x:c r="I247" s="99"/>
      <x:c r="J247" s="99"/>
      <x:c r="K247" s="99"/>
      <x:c r="L247" s="99"/>
      <x:c r="M247" s="99"/>
      <x:c r="N247" s="99"/>
      <x:c r="O247" s="99"/>
      <x:c r="P247" s="99"/>
      <x:c r="Q247" s="99"/>
      <x:c r="R247" s="99"/>
      <x:c r="S247" s="99"/>
      <x:c r="T247" s="99"/>
      <x:c r="U247" s="99"/>
      <x:c r="V247" s="99"/>
      <x:c r="W247" s="99"/>
      <x:c r="X247" s="99"/>
      <x:c r="Y247" s="99"/>
      <x:c r="Z247" s="99"/>
    </x:row>
    <x:row r="248">
      <x:c r="A248" s="99"/>
      <x:c r="B248" s="99"/>
      <x:c r="C248" s="99"/>
      <x:c r="D248" s="99"/>
      <x:c r="E248" s="99"/>
      <x:c r="F248" s="99"/>
      <x:c r="G248" s="99"/>
      <x:c r="H248" s="99"/>
      <x:c r="I248" s="99"/>
      <x:c r="J248" s="99"/>
      <x:c r="K248" s="99"/>
      <x:c r="L248" s="99"/>
      <x:c r="M248" s="99"/>
      <x:c r="N248" s="99"/>
      <x:c r="O248" s="99"/>
      <x:c r="P248" s="99"/>
      <x:c r="Q248" s="99"/>
      <x:c r="R248" s="99"/>
      <x:c r="S248" s="99"/>
      <x:c r="T248" s="99"/>
      <x:c r="U248" s="99"/>
      <x:c r="V248" s="99"/>
      <x:c r="W248" s="99"/>
      <x:c r="X248" s="99"/>
      <x:c r="Y248" s="99"/>
      <x:c r="Z248" s="99"/>
    </x:row>
    <x:row r="249">
      <x:c r="A249" s="99"/>
      <x:c r="B249" s="99"/>
      <x:c r="C249" s="99"/>
      <x:c r="D249" s="99"/>
      <x:c r="E249" s="99"/>
      <x:c r="F249" s="99"/>
      <x:c r="G249" s="99"/>
      <x:c r="H249" s="99"/>
      <x:c r="I249" s="99"/>
      <x:c r="J249" s="99"/>
      <x:c r="K249" s="99"/>
      <x:c r="L249" s="99"/>
      <x:c r="M249" s="99"/>
      <x:c r="N249" s="99"/>
      <x:c r="O249" s="99"/>
      <x:c r="P249" s="99"/>
      <x:c r="Q249" s="99"/>
      <x:c r="R249" s="99"/>
      <x:c r="S249" s="99"/>
      <x:c r="T249" s="99"/>
      <x:c r="U249" s="99"/>
      <x:c r="V249" s="99"/>
      <x:c r="W249" s="99"/>
      <x:c r="X249" s="99"/>
      <x:c r="Y249" s="99"/>
      <x:c r="Z249" s="99"/>
    </x:row>
    <x:row r="250">
      <x:c r="A250" s="99"/>
      <x:c r="B250" s="99"/>
      <x:c r="C250" s="99"/>
      <x:c r="D250" s="99"/>
      <x:c r="E250" s="99"/>
      <x:c r="F250" s="99"/>
      <x:c r="G250" s="99"/>
      <x:c r="H250" s="99"/>
      <x:c r="I250" s="99"/>
      <x:c r="J250" s="99"/>
      <x:c r="K250" s="99"/>
      <x:c r="L250" s="99"/>
      <x:c r="M250" s="99"/>
      <x:c r="N250" s="99"/>
      <x:c r="O250" s="99"/>
      <x:c r="P250" s="99"/>
      <x:c r="Q250" s="99"/>
      <x:c r="R250" s="99"/>
      <x:c r="S250" s="99"/>
      <x:c r="T250" s="99"/>
      <x:c r="U250" s="99"/>
      <x:c r="V250" s="99"/>
      <x:c r="W250" s="99"/>
      <x:c r="X250" s="99"/>
      <x:c r="Y250" s="99"/>
      <x:c r="Z250" s="99"/>
    </x:row>
    <x:row r="251">
      <x:c r="A251" s="99"/>
      <x:c r="B251" s="99"/>
      <x:c r="C251" s="99"/>
      <x:c r="D251" s="99"/>
      <x:c r="E251" s="99"/>
      <x:c r="F251" s="99"/>
      <x:c r="G251" s="99"/>
      <x:c r="H251" s="99"/>
      <x:c r="I251" s="99"/>
      <x:c r="J251" s="99"/>
      <x:c r="K251" s="99"/>
      <x:c r="L251" s="99"/>
      <x:c r="M251" s="99"/>
      <x:c r="N251" s="99"/>
      <x:c r="O251" s="99"/>
      <x:c r="P251" s="99"/>
      <x:c r="Q251" s="99"/>
      <x:c r="R251" s="99"/>
      <x:c r="S251" s="99"/>
      <x:c r="T251" s="99"/>
      <x:c r="U251" s="99"/>
      <x:c r="V251" s="99"/>
      <x:c r="W251" s="99"/>
      <x:c r="X251" s="99"/>
      <x:c r="Y251" s="99"/>
      <x:c r="Z251" s="99"/>
    </x:row>
    <x:row r="252">
      <x:c r="A252" s="99"/>
      <x:c r="B252" s="99"/>
      <x:c r="C252" s="99"/>
      <x:c r="D252" s="99"/>
      <x:c r="E252" s="99"/>
      <x:c r="F252" s="99"/>
      <x:c r="G252" s="99"/>
      <x:c r="H252" s="99"/>
      <x:c r="I252" s="99"/>
      <x:c r="J252" s="99"/>
      <x:c r="K252" s="99"/>
      <x:c r="L252" s="99"/>
      <x:c r="M252" s="99"/>
      <x:c r="N252" s="99"/>
      <x:c r="O252" s="99"/>
      <x:c r="P252" s="99"/>
      <x:c r="Q252" s="99"/>
      <x:c r="R252" s="99"/>
      <x:c r="S252" s="99"/>
      <x:c r="T252" s="99"/>
      <x:c r="U252" s="99"/>
      <x:c r="V252" s="99"/>
      <x:c r="W252" s="99"/>
      <x:c r="X252" s="99"/>
      <x:c r="Y252" s="99"/>
      <x:c r="Z252" s="99"/>
    </x:row>
    <x:row r="253">
      <x:c r="A253" s="99"/>
      <x:c r="B253" s="99"/>
      <x:c r="C253" s="99"/>
      <x:c r="D253" s="99"/>
      <x:c r="E253" s="99"/>
      <x:c r="F253" s="99"/>
      <x:c r="G253" s="99"/>
      <x:c r="H253" s="99"/>
      <x:c r="I253" s="99"/>
      <x:c r="J253" s="99"/>
      <x:c r="K253" s="99"/>
      <x:c r="L253" s="99"/>
      <x:c r="M253" s="99"/>
      <x:c r="N253" s="99"/>
      <x:c r="O253" s="99"/>
      <x:c r="P253" s="99"/>
      <x:c r="Q253" s="99"/>
      <x:c r="R253" s="99"/>
      <x:c r="S253" s="99"/>
      <x:c r="T253" s="99"/>
      <x:c r="U253" s="99"/>
      <x:c r="V253" s="99"/>
      <x:c r="W253" s="99"/>
      <x:c r="X253" s="99"/>
      <x:c r="Y253" s="99"/>
      <x:c r="Z253" s="99"/>
    </x:row>
    <x:row r="254">
      <x:c r="A254" s="99"/>
      <x:c r="B254" s="99"/>
      <x:c r="C254" s="99"/>
      <x:c r="D254" s="99"/>
      <x:c r="E254" s="99"/>
      <x:c r="F254" s="99"/>
      <x:c r="G254" s="99"/>
      <x:c r="H254" s="99"/>
      <x:c r="I254" s="99"/>
      <x:c r="J254" s="99"/>
      <x:c r="K254" s="99"/>
      <x:c r="L254" s="99"/>
      <x:c r="M254" s="99"/>
      <x:c r="N254" s="99"/>
      <x:c r="O254" s="99"/>
      <x:c r="P254" s="99"/>
      <x:c r="Q254" s="99"/>
      <x:c r="R254" s="99"/>
      <x:c r="S254" s="99"/>
      <x:c r="T254" s="99"/>
      <x:c r="U254" s="99"/>
      <x:c r="V254" s="99"/>
      <x:c r="W254" s="99"/>
      <x:c r="X254" s="99"/>
      <x:c r="Y254" s="99"/>
      <x:c r="Z254" s="99"/>
    </x:row>
    <x:row r="255">
      <x:c r="A255" s="99"/>
      <x:c r="B255" s="99"/>
      <x:c r="C255" s="99"/>
      <x:c r="D255" s="99"/>
      <x:c r="E255" s="99"/>
      <x:c r="F255" s="99"/>
      <x:c r="G255" s="99"/>
      <x:c r="H255" s="99"/>
      <x:c r="I255" s="99"/>
      <x:c r="J255" s="99"/>
      <x:c r="K255" s="99"/>
      <x:c r="L255" s="99"/>
      <x:c r="M255" s="99"/>
      <x:c r="N255" s="99"/>
      <x:c r="O255" s="99"/>
      <x:c r="P255" s="99"/>
      <x:c r="Q255" s="99"/>
      <x:c r="R255" s="99"/>
      <x:c r="S255" s="99"/>
      <x:c r="T255" s="99"/>
      <x:c r="U255" s="99"/>
      <x:c r="V255" s="99"/>
      <x:c r="W255" s="99"/>
      <x:c r="X255" s="99"/>
      <x:c r="Y255" s="99"/>
      <x:c r="Z255" s="99"/>
    </x:row>
    <x:row r="256">
      <x:c r="A256" s="99"/>
      <x:c r="B256" s="99"/>
      <x:c r="C256" s="99"/>
      <x:c r="D256" s="99"/>
      <x:c r="E256" s="99"/>
      <x:c r="F256" s="99"/>
      <x:c r="G256" s="99"/>
      <x:c r="H256" s="99"/>
      <x:c r="I256" s="99"/>
      <x:c r="J256" s="99"/>
      <x:c r="K256" s="99"/>
      <x:c r="L256" s="99"/>
      <x:c r="M256" s="99"/>
      <x:c r="N256" s="99"/>
      <x:c r="O256" s="99"/>
      <x:c r="P256" s="99"/>
      <x:c r="Q256" s="99"/>
      <x:c r="R256" s="99"/>
      <x:c r="S256" s="99"/>
      <x:c r="T256" s="99"/>
      <x:c r="U256" s="99"/>
      <x:c r="V256" s="99"/>
      <x:c r="W256" s="99"/>
      <x:c r="X256" s="99"/>
      <x:c r="Y256" s="99"/>
      <x:c r="Z256" s="99"/>
    </x:row>
    <x:row r="257">
      <x:c r="A257" s="99"/>
      <x:c r="B257" s="99"/>
      <x:c r="C257" s="99"/>
      <x:c r="D257" s="99"/>
      <x:c r="E257" s="99"/>
      <x:c r="F257" s="99"/>
      <x:c r="G257" s="99"/>
      <x:c r="H257" s="99"/>
      <x:c r="I257" s="99"/>
      <x:c r="J257" s="99"/>
      <x:c r="K257" s="99"/>
      <x:c r="L257" s="99"/>
      <x:c r="M257" s="99"/>
      <x:c r="N257" s="99"/>
      <x:c r="O257" s="99"/>
      <x:c r="P257" s="99"/>
      <x:c r="Q257" s="99"/>
      <x:c r="R257" s="99"/>
      <x:c r="S257" s="99"/>
      <x:c r="T257" s="99"/>
      <x:c r="U257" s="99"/>
      <x:c r="V257" s="99"/>
      <x:c r="W257" s="99"/>
      <x:c r="X257" s="99"/>
      <x:c r="Y257" s="99"/>
      <x:c r="Z257" s="99"/>
    </x:row>
    <x:row r="258">
      <x:c r="A258" s="99"/>
      <x:c r="B258" s="99"/>
      <x:c r="C258" s="99"/>
      <x:c r="D258" s="99"/>
      <x:c r="E258" s="99"/>
      <x:c r="F258" s="99"/>
      <x:c r="G258" s="99"/>
      <x:c r="H258" s="99"/>
      <x:c r="I258" s="99"/>
      <x:c r="J258" s="99"/>
      <x:c r="K258" s="99"/>
      <x:c r="L258" s="99"/>
      <x:c r="M258" s="99"/>
      <x:c r="N258" s="99"/>
      <x:c r="O258" s="99"/>
      <x:c r="P258" s="99"/>
      <x:c r="Q258" s="99"/>
      <x:c r="R258" s="99"/>
      <x:c r="S258" s="99"/>
      <x:c r="T258" s="99"/>
      <x:c r="U258" s="99"/>
      <x:c r="V258" s="99"/>
      <x:c r="W258" s="99"/>
      <x:c r="X258" s="99"/>
      <x:c r="Y258" s="99"/>
      <x:c r="Z258" s="99"/>
    </x:row>
    <x:row r="259">
      <x:c r="A259" s="99"/>
      <x:c r="B259" s="99"/>
      <x:c r="C259" s="99"/>
      <x:c r="D259" s="99"/>
      <x:c r="E259" s="99"/>
      <x:c r="F259" s="99"/>
      <x:c r="G259" s="99"/>
      <x:c r="H259" s="99"/>
      <x:c r="I259" s="99"/>
      <x:c r="J259" s="99"/>
      <x:c r="K259" s="99"/>
      <x:c r="L259" s="99"/>
      <x:c r="M259" s="99"/>
      <x:c r="N259" s="99"/>
      <x:c r="O259" s="99"/>
      <x:c r="P259" s="99"/>
      <x:c r="Q259" s="99"/>
      <x:c r="R259" s="99"/>
      <x:c r="S259" s="99"/>
      <x:c r="T259" s="99"/>
      <x:c r="U259" s="99"/>
      <x:c r="V259" s="99"/>
      <x:c r="W259" s="99"/>
      <x:c r="X259" s="99"/>
      <x:c r="Y259" s="99"/>
      <x:c r="Z259" s="99"/>
    </x:row>
    <x:row r="260">
      <x:c r="A260" s="99"/>
      <x:c r="B260" s="99"/>
      <x:c r="C260" s="99"/>
      <x:c r="D260" s="99"/>
      <x:c r="E260" s="99"/>
      <x:c r="F260" s="99"/>
      <x:c r="G260" s="99"/>
      <x:c r="H260" s="99"/>
      <x:c r="I260" s="99"/>
      <x:c r="J260" s="99"/>
      <x:c r="K260" s="99"/>
      <x:c r="L260" s="99"/>
      <x:c r="M260" s="99"/>
      <x:c r="N260" s="99"/>
      <x:c r="O260" s="99"/>
      <x:c r="P260" s="99"/>
      <x:c r="Q260" s="99"/>
      <x:c r="R260" s="99"/>
      <x:c r="S260" s="99"/>
      <x:c r="T260" s="99"/>
      <x:c r="U260" s="99"/>
      <x:c r="V260" s="99"/>
      <x:c r="W260" s="99"/>
      <x:c r="X260" s="99"/>
      <x:c r="Y260" s="99"/>
      <x:c r="Z260" s="99"/>
    </x:row>
    <x:row r="261">
      <x:c r="A261" s="99"/>
      <x:c r="B261" s="99"/>
      <x:c r="C261" s="99"/>
      <x:c r="D261" s="99"/>
      <x:c r="E261" s="99"/>
      <x:c r="F261" s="99"/>
      <x:c r="G261" s="99"/>
      <x:c r="H261" s="99"/>
      <x:c r="I261" s="99"/>
      <x:c r="J261" s="99"/>
      <x:c r="K261" s="99"/>
      <x:c r="L261" s="99"/>
      <x:c r="M261" s="99"/>
      <x:c r="N261" s="99"/>
      <x:c r="O261" s="99"/>
      <x:c r="P261" s="99"/>
      <x:c r="Q261" s="99"/>
      <x:c r="R261" s="99"/>
      <x:c r="S261" s="99"/>
      <x:c r="T261" s="99"/>
      <x:c r="U261" s="99"/>
      <x:c r="V261" s="99"/>
      <x:c r="W261" s="99"/>
      <x:c r="X261" s="99"/>
      <x:c r="Y261" s="99"/>
      <x:c r="Z261" s="99"/>
    </x:row>
    <x:row r="262">
      <x:c r="A262" s="99"/>
      <x:c r="B262" s="99"/>
      <x:c r="C262" s="99"/>
      <x:c r="D262" s="99"/>
      <x:c r="E262" s="99"/>
      <x:c r="F262" s="99"/>
      <x:c r="G262" s="99"/>
      <x:c r="H262" s="99"/>
      <x:c r="I262" s="99"/>
      <x:c r="J262" s="99"/>
      <x:c r="K262" s="99"/>
      <x:c r="L262" s="99"/>
      <x:c r="M262" s="99"/>
      <x:c r="N262" s="99"/>
      <x:c r="O262" s="99"/>
      <x:c r="P262" s="99"/>
      <x:c r="Q262" s="99"/>
      <x:c r="R262" s="99"/>
      <x:c r="S262" s="99"/>
      <x:c r="T262" s="99"/>
      <x:c r="U262" s="99"/>
      <x:c r="V262" s="99"/>
      <x:c r="W262" s="99"/>
      <x:c r="X262" s="99"/>
      <x:c r="Y262" s="99"/>
      <x:c r="Z262" s="99"/>
    </x:row>
    <x:row r="263">
      <x:c r="A263" s="99"/>
      <x:c r="B263" s="99"/>
      <x:c r="C263" s="99"/>
      <x:c r="D263" s="99"/>
      <x:c r="E263" s="99"/>
      <x:c r="F263" s="99"/>
      <x:c r="G263" s="99"/>
      <x:c r="H263" s="99"/>
      <x:c r="I263" s="99"/>
      <x:c r="J263" s="99"/>
      <x:c r="K263" s="99"/>
      <x:c r="L263" s="99"/>
      <x:c r="M263" s="99"/>
      <x:c r="N263" s="99"/>
      <x:c r="O263" s="99"/>
      <x:c r="P263" s="99"/>
      <x:c r="Q263" s="99"/>
      <x:c r="R263" s="99"/>
      <x:c r="S263" s="99"/>
      <x:c r="T263" s="99"/>
      <x:c r="U263" s="99"/>
      <x:c r="V263" s="99"/>
      <x:c r="W263" s="99"/>
      <x:c r="X263" s="99"/>
      <x:c r="Y263" s="99"/>
      <x:c r="Z263" s="99"/>
    </x:row>
    <x:row r="264">
      <x:c r="A264" s="99"/>
      <x:c r="B264" s="99"/>
      <x:c r="C264" s="99"/>
      <x:c r="D264" s="99"/>
      <x:c r="E264" s="99"/>
      <x:c r="F264" s="99"/>
      <x:c r="G264" s="99"/>
      <x:c r="H264" s="99"/>
      <x:c r="I264" s="99"/>
      <x:c r="J264" s="99"/>
      <x:c r="K264" s="99"/>
      <x:c r="L264" s="99"/>
      <x:c r="M264" s="99"/>
      <x:c r="N264" s="99"/>
      <x:c r="O264" s="99"/>
      <x:c r="P264" s="99"/>
      <x:c r="Q264" s="99"/>
      <x:c r="R264" s="99"/>
      <x:c r="S264" s="99"/>
      <x:c r="T264" s="99"/>
      <x:c r="U264" s="99"/>
      <x:c r="V264" s="99"/>
      <x:c r="W264" s="99"/>
      <x:c r="X264" s="99"/>
      <x:c r="Y264" s="99"/>
      <x:c r="Z264" s="99"/>
    </x:row>
    <x:row r="265">
      <x:c r="A265" s="99"/>
      <x:c r="B265" s="99"/>
      <x:c r="C265" s="99"/>
      <x:c r="D265" s="99"/>
      <x:c r="E265" s="99"/>
      <x:c r="F265" s="99"/>
      <x:c r="G265" s="99"/>
      <x:c r="H265" s="99"/>
      <x:c r="I265" s="99"/>
      <x:c r="J265" s="99"/>
      <x:c r="K265" s="99"/>
      <x:c r="L265" s="99"/>
      <x:c r="M265" s="99"/>
      <x:c r="N265" s="99"/>
      <x:c r="O265" s="99"/>
      <x:c r="P265" s="99"/>
      <x:c r="Q265" s="99"/>
      <x:c r="R265" s="99"/>
      <x:c r="S265" s="99"/>
      <x:c r="T265" s="99"/>
      <x:c r="U265" s="99"/>
      <x:c r="V265" s="99"/>
      <x:c r="W265" s="99"/>
      <x:c r="X265" s="99"/>
      <x:c r="Y265" s="99"/>
      <x:c r="Z265" s="99"/>
    </x:row>
    <x:row r="266">
      <x:c r="A266" s="99"/>
      <x:c r="B266" s="99"/>
      <x:c r="C266" s="99"/>
      <x:c r="D266" s="99"/>
      <x:c r="E266" s="99"/>
      <x:c r="F266" s="99"/>
      <x:c r="G266" s="99"/>
      <x:c r="H266" s="99"/>
      <x:c r="I266" s="99"/>
      <x:c r="J266" s="99"/>
      <x:c r="K266" s="99"/>
      <x:c r="L266" s="99"/>
      <x:c r="M266" s="99"/>
      <x:c r="N266" s="99"/>
      <x:c r="O266" s="99"/>
      <x:c r="P266" s="99"/>
      <x:c r="Q266" s="99"/>
      <x:c r="R266" s="99"/>
      <x:c r="S266" s="99"/>
      <x:c r="T266" s="99"/>
      <x:c r="U266" s="99"/>
      <x:c r="V266" s="99"/>
      <x:c r="W266" s="99"/>
      <x:c r="X266" s="99"/>
      <x:c r="Y266" s="99"/>
      <x:c r="Z266" s="99"/>
    </x:row>
    <x:row r="267">
      <x:c r="A267" s="99"/>
      <x:c r="B267" s="99"/>
      <x:c r="C267" s="99"/>
      <x:c r="D267" s="99"/>
      <x:c r="E267" s="99"/>
      <x:c r="F267" s="99"/>
      <x:c r="G267" s="99"/>
      <x:c r="H267" s="99"/>
      <x:c r="I267" s="99"/>
      <x:c r="J267" s="99"/>
      <x:c r="K267" s="99"/>
      <x:c r="L267" s="99"/>
      <x:c r="M267" s="99"/>
      <x:c r="N267" s="99"/>
      <x:c r="O267" s="99"/>
      <x:c r="P267" s="99"/>
      <x:c r="Q267" s="99"/>
      <x:c r="R267" s="99"/>
      <x:c r="S267" s="99"/>
      <x:c r="T267" s="99"/>
      <x:c r="U267" s="99"/>
      <x:c r="V267" s="99"/>
      <x:c r="W267" s="99"/>
      <x:c r="X267" s="99"/>
      <x:c r="Y267" s="99"/>
      <x:c r="Z267" s="99"/>
    </x:row>
    <x:row r="268">
      <x:c r="A268" s="99"/>
      <x:c r="B268" s="99"/>
      <x:c r="C268" s="99"/>
      <x:c r="D268" s="99"/>
      <x:c r="E268" s="99"/>
      <x:c r="F268" s="99"/>
      <x:c r="G268" s="99"/>
      <x:c r="H268" s="99"/>
      <x:c r="I268" s="99"/>
      <x:c r="J268" s="99"/>
      <x:c r="K268" s="99"/>
      <x:c r="L268" s="99"/>
      <x:c r="M268" s="99"/>
      <x:c r="N268" s="99"/>
      <x:c r="O268" s="99"/>
      <x:c r="P268" s="99"/>
      <x:c r="Q268" s="99"/>
      <x:c r="R268" s="99"/>
      <x:c r="S268" s="99"/>
      <x:c r="T268" s="99"/>
      <x:c r="U268" s="99"/>
      <x:c r="V268" s="99"/>
      <x:c r="W268" s="99"/>
      <x:c r="X268" s="99"/>
      <x:c r="Y268" s="99"/>
      <x:c r="Z268" s="99"/>
    </x:row>
    <x:row r="269">
      <x:c r="A269" s="99"/>
      <x:c r="B269" s="99"/>
      <x:c r="C269" s="99"/>
      <x:c r="D269" s="99"/>
      <x:c r="E269" s="99"/>
      <x:c r="F269" s="99"/>
      <x:c r="G269" s="99"/>
      <x:c r="H269" s="99"/>
      <x:c r="I269" s="99"/>
      <x:c r="J269" s="99"/>
      <x:c r="K269" s="99"/>
      <x:c r="L269" s="99"/>
      <x:c r="M269" s="99"/>
      <x:c r="N269" s="99"/>
      <x:c r="O269" s="99"/>
      <x:c r="P269" s="99"/>
      <x:c r="Q269" s="99"/>
      <x:c r="R269" s="99"/>
      <x:c r="S269" s="99"/>
      <x:c r="T269" s="99"/>
      <x:c r="U269" s="99"/>
      <x:c r="V269" s="99"/>
      <x:c r="W269" s="99"/>
      <x:c r="X269" s="99"/>
      <x:c r="Y269" s="99"/>
      <x:c r="Z269" s="99"/>
    </x:row>
    <x:row r="270">
      <x:c r="A270" s="99"/>
      <x:c r="B270" s="99"/>
      <x:c r="C270" s="99"/>
      <x:c r="D270" s="99"/>
      <x:c r="E270" s="99"/>
      <x:c r="F270" s="99"/>
      <x:c r="G270" s="99"/>
      <x:c r="H270" s="99"/>
      <x:c r="I270" s="99"/>
      <x:c r="J270" s="99"/>
      <x:c r="K270" s="99"/>
      <x:c r="L270" s="99"/>
      <x:c r="M270" s="99"/>
      <x:c r="N270" s="99"/>
      <x:c r="O270" s="99"/>
      <x:c r="P270" s="99"/>
      <x:c r="Q270" s="99"/>
      <x:c r="R270" s="99"/>
      <x:c r="S270" s="99"/>
      <x:c r="T270" s="99"/>
      <x:c r="U270" s="99"/>
      <x:c r="V270" s="99"/>
      <x:c r="W270" s="99"/>
      <x:c r="X270" s="99"/>
      <x:c r="Y270" s="99"/>
      <x:c r="Z270" s="99"/>
    </x:row>
    <x:row r="271">
      <x:c r="A271" s="99"/>
      <x:c r="B271" s="99"/>
      <x:c r="C271" s="99"/>
      <x:c r="D271" s="99"/>
      <x:c r="E271" s="99"/>
      <x:c r="F271" s="99"/>
      <x:c r="G271" s="99"/>
      <x:c r="H271" s="99"/>
      <x:c r="I271" s="99"/>
      <x:c r="J271" s="99"/>
      <x:c r="K271" s="99"/>
      <x:c r="L271" s="99"/>
      <x:c r="M271" s="99"/>
      <x:c r="N271" s="99"/>
      <x:c r="O271" s="99"/>
      <x:c r="P271" s="99"/>
      <x:c r="Q271" s="99"/>
      <x:c r="R271" s="99"/>
      <x:c r="S271" s="99"/>
      <x:c r="T271" s="99"/>
      <x:c r="U271" s="99"/>
      <x:c r="V271" s="99"/>
      <x:c r="W271" s="99"/>
      <x:c r="X271" s="99"/>
      <x:c r="Y271" s="99"/>
      <x:c r="Z271" s="99"/>
    </x:row>
    <x:row r="272">
      <x:c r="A272" s="99"/>
      <x:c r="B272" s="99"/>
      <x:c r="C272" s="99"/>
      <x:c r="D272" s="99"/>
      <x:c r="E272" s="99"/>
      <x:c r="F272" s="99"/>
      <x:c r="G272" s="99"/>
      <x:c r="H272" s="99"/>
      <x:c r="I272" s="99"/>
      <x:c r="J272" s="99"/>
      <x:c r="K272" s="99"/>
      <x:c r="L272" s="99"/>
      <x:c r="M272" s="99"/>
      <x:c r="N272" s="99"/>
      <x:c r="O272" s="99"/>
      <x:c r="P272" s="99"/>
      <x:c r="Q272" s="99"/>
      <x:c r="R272" s="99"/>
      <x:c r="S272" s="99"/>
      <x:c r="T272" s="99"/>
      <x:c r="U272" s="99"/>
      <x:c r="V272" s="99"/>
      <x:c r="W272" s="99"/>
      <x:c r="X272" s="99"/>
      <x:c r="Y272" s="99"/>
      <x:c r="Z272" s="99"/>
    </x:row>
    <x:row r="273">
      <x:c r="A273" s="99"/>
      <x:c r="B273" s="99"/>
      <x:c r="C273" s="99"/>
      <x:c r="D273" s="99"/>
      <x:c r="E273" s="99"/>
      <x:c r="F273" s="99"/>
      <x:c r="G273" s="99"/>
      <x:c r="H273" s="99"/>
      <x:c r="I273" s="99"/>
      <x:c r="J273" s="99"/>
      <x:c r="K273" s="99"/>
      <x:c r="L273" s="99"/>
      <x:c r="M273" s="99"/>
      <x:c r="N273" s="99"/>
      <x:c r="O273" s="99"/>
      <x:c r="P273" s="99"/>
      <x:c r="Q273" s="99"/>
      <x:c r="R273" s="99"/>
      <x:c r="S273" s="99"/>
      <x:c r="T273" s="99"/>
      <x:c r="U273" s="99"/>
      <x:c r="V273" s="99"/>
      <x:c r="W273" s="99"/>
      <x:c r="X273" s="99"/>
      <x:c r="Y273" s="99"/>
      <x:c r="Z273" s="99"/>
    </x:row>
    <x:row r="274">
      <x:c r="A274" s="99"/>
      <x:c r="B274" s="99"/>
      <x:c r="C274" s="99"/>
      <x:c r="D274" s="99"/>
      <x:c r="E274" s="99"/>
      <x:c r="F274" s="99"/>
      <x:c r="G274" s="99"/>
      <x:c r="H274" s="99"/>
      <x:c r="I274" s="99"/>
      <x:c r="J274" s="99"/>
      <x:c r="K274" s="99"/>
      <x:c r="L274" s="99"/>
      <x:c r="M274" s="99"/>
      <x:c r="N274" s="99"/>
      <x:c r="O274" s="99"/>
      <x:c r="P274" s="99"/>
      <x:c r="Q274" s="99"/>
      <x:c r="R274" s="99"/>
      <x:c r="S274" s="99"/>
      <x:c r="T274" s="99"/>
      <x:c r="U274" s="99"/>
      <x:c r="V274" s="99"/>
      <x:c r="W274" s="99"/>
      <x:c r="X274" s="99"/>
      <x:c r="Y274" s="99"/>
      <x:c r="Z274" s="99"/>
    </x:row>
    <x:row r="275">
      <x:c r="A275" s="99"/>
      <x:c r="B275" s="99"/>
      <x:c r="C275" s="99"/>
      <x:c r="D275" s="99"/>
      <x:c r="E275" s="99"/>
      <x:c r="F275" s="99"/>
      <x:c r="G275" s="99"/>
      <x:c r="H275" s="99"/>
      <x:c r="I275" s="99"/>
      <x:c r="J275" s="99"/>
      <x:c r="K275" s="99"/>
      <x:c r="L275" s="99"/>
      <x:c r="M275" s="99"/>
      <x:c r="N275" s="99"/>
      <x:c r="O275" s="99"/>
      <x:c r="P275" s="99"/>
      <x:c r="Q275" s="99"/>
      <x:c r="R275" s="99"/>
      <x:c r="S275" s="99"/>
      <x:c r="T275" s="99"/>
      <x:c r="U275" s="99"/>
      <x:c r="V275" s="99"/>
      <x:c r="W275" s="99"/>
      <x:c r="X275" s="99"/>
      <x:c r="Y275" s="99"/>
      <x:c r="Z275" s="99"/>
    </x:row>
    <x:row r="276">
      <x:c r="A276" s="99"/>
      <x:c r="B276" s="99"/>
      <x:c r="C276" s="99"/>
      <x:c r="D276" s="99"/>
      <x:c r="E276" s="99"/>
      <x:c r="F276" s="99"/>
      <x:c r="G276" s="99"/>
      <x:c r="H276" s="99"/>
      <x:c r="I276" s="99"/>
      <x:c r="J276" s="99"/>
      <x:c r="K276" s="99"/>
      <x:c r="L276" s="99"/>
      <x:c r="M276" s="99"/>
      <x:c r="N276" s="99"/>
      <x:c r="O276" s="99"/>
      <x:c r="P276" s="99"/>
      <x:c r="Q276" s="99"/>
      <x:c r="R276" s="99"/>
      <x:c r="S276" s="99"/>
      <x:c r="T276" s="99"/>
      <x:c r="U276" s="99"/>
      <x:c r="V276" s="99"/>
      <x:c r="W276" s="99"/>
      <x:c r="X276" s="99"/>
      <x:c r="Y276" s="99"/>
      <x:c r="Z276" s="99"/>
    </x:row>
    <x:row r="277">
      <x:c r="A277" s="99"/>
      <x:c r="B277" s="99"/>
      <x:c r="C277" s="99"/>
      <x:c r="D277" s="99"/>
      <x:c r="E277" s="99"/>
      <x:c r="F277" s="99"/>
      <x:c r="G277" s="99"/>
      <x:c r="H277" s="99"/>
      <x:c r="I277" s="99"/>
      <x:c r="J277" s="99"/>
      <x:c r="K277" s="99"/>
      <x:c r="L277" s="99"/>
      <x:c r="M277" s="99"/>
      <x:c r="N277" s="99"/>
      <x:c r="O277" s="99"/>
      <x:c r="P277" s="99"/>
      <x:c r="Q277" s="99"/>
      <x:c r="R277" s="99"/>
      <x:c r="S277" s="99"/>
      <x:c r="T277" s="99"/>
      <x:c r="U277" s="99"/>
      <x:c r="V277" s="99"/>
      <x:c r="W277" s="99"/>
      <x:c r="X277" s="99"/>
      <x:c r="Y277" s="99"/>
      <x:c r="Z277" s="99"/>
    </x:row>
    <x:row r="278">
      <x:c r="A278" s="99"/>
      <x:c r="B278" s="99"/>
      <x:c r="C278" s="99"/>
      <x:c r="D278" s="99"/>
      <x:c r="E278" s="99"/>
      <x:c r="F278" s="99"/>
      <x:c r="G278" s="99"/>
      <x:c r="H278" s="99"/>
      <x:c r="I278" s="99"/>
      <x:c r="J278" s="99"/>
      <x:c r="K278" s="99"/>
      <x:c r="L278" s="99"/>
      <x:c r="M278" s="99"/>
      <x:c r="N278" s="99"/>
      <x:c r="O278" s="99"/>
      <x:c r="P278" s="99"/>
      <x:c r="Q278" s="99"/>
      <x:c r="R278" s="99"/>
      <x:c r="S278" s="99"/>
      <x:c r="T278" s="99"/>
      <x:c r="U278" s="99"/>
      <x:c r="V278" s="99"/>
      <x:c r="W278" s="99"/>
      <x:c r="X278" s="99"/>
      <x:c r="Y278" s="99"/>
      <x:c r="Z278" s="99"/>
    </x:row>
    <x:row r="279">
      <x:c r="A279" s="99"/>
      <x:c r="B279" s="99"/>
      <x:c r="C279" s="99"/>
      <x:c r="D279" s="99"/>
      <x:c r="E279" s="99"/>
      <x:c r="F279" s="99"/>
      <x:c r="G279" s="99"/>
      <x:c r="H279" s="99"/>
      <x:c r="I279" s="99"/>
      <x:c r="J279" s="99"/>
      <x:c r="K279" s="99"/>
      <x:c r="L279" s="99"/>
      <x:c r="M279" s="99"/>
      <x:c r="N279" s="99"/>
      <x:c r="O279" s="99"/>
      <x:c r="P279" s="99"/>
      <x:c r="Q279" s="99"/>
      <x:c r="R279" s="99"/>
      <x:c r="S279" s="99"/>
      <x:c r="T279" s="99"/>
      <x:c r="U279" s="99"/>
      <x:c r="V279" s="99"/>
      <x:c r="W279" s="99"/>
      <x:c r="X279" s="99"/>
      <x:c r="Y279" s="99"/>
      <x:c r="Z279" s="99"/>
    </x:row>
    <x:row r="280">
      <x:c r="A280" s="99"/>
      <x:c r="B280" s="99"/>
      <x:c r="C280" s="99"/>
      <x:c r="D280" s="99"/>
      <x:c r="E280" s="99"/>
      <x:c r="F280" s="99"/>
      <x:c r="G280" s="99"/>
      <x:c r="H280" s="99"/>
      <x:c r="I280" s="99"/>
      <x:c r="J280" s="99"/>
      <x:c r="K280" s="99"/>
      <x:c r="L280" s="99"/>
      <x:c r="M280" s="99"/>
      <x:c r="N280" s="99"/>
      <x:c r="O280" s="99"/>
      <x:c r="P280" s="99"/>
      <x:c r="Q280" s="99"/>
      <x:c r="R280" s="99"/>
      <x:c r="S280" s="99"/>
      <x:c r="T280" s="99"/>
      <x:c r="U280" s="99"/>
      <x:c r="V280" s="99"/>
      <x:c r="W280" s="99"/>
      <x:c r="X280" s="99"/>
      <x:c r="Y280" s="99"/>
      <x:c r="Z280" s="99"/>
    </x:row>
    <x:row r="281">
      <x:c r="A281" s="99"/>
      <x:c r="B281" s="99"/>
      <x:c r="C281" s="99"/>
      <x:c r="D281" s="99"/>
      <x:c r="E281" s="99"/>
      <x:c r="F281" s="99"/>
      <x:c r="G281" s="99"/>
      <x:c r="H281" s="99"/>
      <x:c r="I281" s="99"/>
      <x:c r="J281" s="99"/>
      <x:c r="K281" s="99"/>
      <x:c r="L281" s="99"/>
      <x:c r="M281" s="99"/>
      <x:c r="N281" s="99"/>
      <x:c r="O281" s="99"/>
      <x:c r="P281" s="99"/>
      <x:c r="Q281" s="99"/>
      <x:c r="R281" s="99"/>
      <x:c r="S281" s="99"/>
      <x:c r="T281" s="99"/>
      <x:c r="U281" s="99"/>
      <x:c r="V281" s="99"/>
      <x:c r="W281" s="99"/>
      <x:c r="X281" s="99"/>
      <x:c r="Y281" s="99"/>
      <x:c r="Z281" s="99"/>
    </x:row>
    <x:row r="282">
      <x:c r="A282" s="99"/>
      <x:c r="B282" s="99"/>
      <x:c r="C282" s="99"/>
      <x:c r="D282" s="99"/>
      <x:c r="E282" s="99"/>
      <x:c r="F282" s="99"/>
      <x:c r="G282" s="99"/>
      <x:c r="H282" s="99"/>
      <x:c r="I282" s="99"/>
      <x:c r="J282" s="99"/>
      <x:c r="K282" s="99"/>
      <x:c r="L282" s="99"/>
      <x:c r="M282" s="99"/>
      <x:c r="N282" s="99"/>
      <x:c r="O282" s="99"/>
      <x:c r="P282" s="99"/>
      <x:c r="Q282" s="99"/>
      <x:c r="R282" s="99"/>
      <x:c r="S282" s="99"/>
      <x:c r="T282" s="99"/>
      <x:c r="U282" s="99"/>
      <x:c r="V282" s="99"/>
      <x:c r="W282" s="99"/>
      <x:c r="X282" s="99"/>
      <x:c r="Y282" s="99"/>
      <x:c r="Z282" s="99"/>
    </x:row>
    <x:row r="283">
      <x:c r="A283" s="99"/>
      <x:c r="B283" s="99"/>
      <x:c r="C283" s="99"/>
      <x:c r="D283" s="99"/>
      <x:c r="E283" s="99"/>
      <x:c r="F283" s="99"/>
      <x:c r="G283" s="99"/>
      <x:c r="H283" s="99"/>
      <x:c r="I283" s="99"/>
      <x:c r="J283" s="99"/>
      <x:c r="K283" s="99"/>
      <x:c r="L283" s="99"/>
      <x:c r="M283" s="99"/>
      <x:c r="N283" s="99"/>
      <x:c r="O283" s="99"/>
      <x:c r="P283" s="99"/>
      <x:c r="Q283" s="99"/>
      <x:c r="R283" s="99"/>
      <x:c r="S283" s="99"/>
      <x:c r="T283" s="99"/>
      <x:c r="U283" s="99"/>
      <x:c r="V283" s="99"/>
      <x:c r="W283" s="99"/>
      <x:c r="X283" s="99"/>
      <x:c r="Y283" s="99"/>
      <x:c r="Z283" s="99"/>
    </x:row>
    <x:row r="284">
      <x:c r="A284" s="99"/>
      <x:c r="B284" s="99"/>
      <x:c r="C284" s="99"/>
      <x:c r="D284" s="99"/>
      <x:c r="E284" s="99"/>
      <x:c r="F284" s="99"/>
      <x:c r="G284" s="99"/>
      <x:c r="H284" s="99"/>
      <x:c r="I284" s="99"/>
      <x:c r="J284" s="99"/>
      <x:c r="K284" s="99"/>
      <x:c r="L284" s="99"/>
      <x:c r="M284" s="99"/>
      <x:c r="N284" s="99"/>
      <x:c r="O284" s="99"/>
      <x:c r="P284" s="99"/>
      <x:c r="Q284" s="99"/>
      <x:c r="R284" s="99"/>
      <x:c r="S284" s="99"/>
      <x:c r="T284" s="99"/>
      <x:c r="U284" s="99"/>
      <x:c r="V284" s="99"/>
      <x:c r="W284" s="99"/>
      <x:c r="X284" s="99"/>
      <x:c r="Y284" s="99"/>
      <x:c r="Z284" s="99"/>
    </x:row>
    <x:row r="285">
      <x:c r="A285" s="99"/>
      <x:c r="B285" s="99"/>
      <x:c r="C285" s="99"/>
      <x:c r="D285" s="99"/>
      <x:c r="E285" s="99"/>
      <x:c r="F285" s="99"/>
      <x:c r="G285" s="99"/>
      <x:c r="H285" s="99"/>
      <x:c r="I285" s="99"/>
      <x:c r="J285" s="99"/>
      <x:c r="K285" s="99"/>
      <x:c r="L285" s="99"/>
      <x:c r="M285" s="99"/>
      <x:c r="N285" s="99"/>
      <x:c r="O285" s="99"/>
      <x:c r="P285" s="99"/>
      <x:c r="Q285" s="99"/>
      <x:c r="R285" s="99"/>
      <x:c r="S285" s="99"/>
      <x:c r="T285" s="99"/>
      <x:c r="U285" s="99"/>
      <x:c r="V285" s="99"/>
      <x:c r="W285" s="99"/>
      <x:c r="X285" s="99"/>
      <x:c r="Y285" s="99"/>
      <x:c r="Z285" s="99"/>
    </x:row>
    <x:row r="286">
      <x:c r="A286" s="99"/>
      <x:c r="B286" s="99"/>
      <x:c r="C286" s="99"/>
      <x:c r="D286" s="99"/>
      <x:c r="E286" s="99"/>
      <x:c r="F286" s="99"/>
      <x:c r="G286" s="99"/>
      <x:c r="H286" s="99"/>
      <x:c r="I286" s="99"/>
      <x:c r="J286" s="99"/>
      <x:c r="K286" s="99"/>
      <x:c r="L286" s="99"/>
      <x:c r="M286" s="99"/>
      <x:c r="N286" s="99"/>
      <x:c r="O286" s="99"/>
      <x:c r="P286" s="99"/>
      <x:c r="Q286" s="99"/>
      <x:c r="R286" s="99"/>
      <x:c r="S286" s="99"/>
      <x:c r="T286" s="99"/>
      <x:c r="U286" s="99"/>
      <x:c r="V286" s="99"/>
      <x:c r="W286" s="99"/>
      <x:c r="X286" s="99"/>
      <x:c r="Y286" s="99"/>
      <x:c r="Z286" s="99"/>
    </x:row>
    <x:row r="287">
      <x:c r="A287" s="99"/>
      <x:c r="B287" s="99"/>
      <x:c r="C287" s="99"/>
      <x:c r="D287" s="99"/>
      <x:c r="E287" s="99"/>
      <x:c r="F287" s="99"/>
      <x:c r="G287" s="99"/>
      <x:c r="H287" s="99"/>
      <x:c r="I287" s="99"/>
      <x:c r="J287" s="99"/>
      <x:c r="K287" s="99"/>
      <x:c r="L287" s="99"/>
      <x:c r="M287" s="99"/>
      <x:c r="N287" s="99"/>
      <x:c r="O287" s="99"/>
      <x:c r="P287" s="99"/>
      <x:c r="Q287" s="99"/>
      <x:c r="R287" s="99"/>
      <x:c r="S287" s="99"/>
      <x:c r="T287" s="99"/>
      <x:c r="U287" s="99"/>
      <x:c r="V287" s="99"/>
      <x:c r="W287" s="99"/>
      <x:c r="X287" s="99"/>
      <x:c r="Y287" s="99"/>
      <x:c r="Z287" s="99"/>
    </x:row>
    <x:row r="288">
      <x:c r="A288" s="99"/>
      <x:c r="B288" s="99"/>
      <x:c r="C288" s="99"/>
      <x:c r="D288" s="99"/>
      <x:c r="E288" s="99"/>
      <x:c r="F288" s="99"/>
      <x:c r="G288" s="99"/>
      <x:c r="H288" s="99"/>
      <x:c r="I288" s="99"/>
      <x:c r="J288" s="99"/>
      <x:c r="K288" s="99"/>
      <x:c r="L288" s="99"/>
      <x:c r="M288" s="99"/>
      <x:c r="N288" s="99"/>
      <x:c r="O288" s="99"/>
      <x:c r="P288" s="99"/>
      <x:c r="Q288" s="99"/>
      <x:c r="R288" s="99"/>
      <x:c r="S288" s="99"/>
      <x:c r="T288" s="99"/>
      <x:c r="U288" s="99"/>
      <x:c r="V288" s="99"/>
      <x:c r="W288" s="99"/>
      <x:c r="X288" s="99"/>
      <x:c r="Y288" s="99"/>
      <x:c r="Z288" s="99"/>
    </x:row>
    <x:row r="289">
      <x:c r="A289" s="99"/>
      <x:c r="B289" s="99"/>
      <x:c r="C289" s="99"/>
      <x:c r="D289" s="99"/>
      <x:c r="E289" s="99"/>
      <x:c r="F289" s="99"/>
      <x:c r="G289" s="99"/>
      <x:c r="H289" s="99"/>
      <x:c r="I289" s="99"/>
      <x:c r="J289" s="99"/>
      <x:c r="K289" s="99"/>
      <x:c r="L289" s="99"/>
      <x:c r="M289" s="99"/>
      <x:c r="N289" s="99"/>
      <x:c r="O289" s="99"/>
      <x:c r="P289" s="99"/>
      <x:c r="Q289" s="99"/>
      <x:c r="R289" s="99"/>
      <x:c r="S289" s="99"/>
      <x:c r="T289" s="99"/>
      <x:c r="U289" s="99"/>
      <x:c r="V289" s="99"/>
      <x:c r="W289" s="99"/>
      <x:c r="X289" s="99"/>
      <x:c r="Y289" s="99"/>
      <x:c r="Z289" s="99"/>
    </x:row>
    <x:row r="290">
      <x:c r="A290" s="99"/>
      <x:c r="B290" s="99"/>
      <x:c r="C290" s="99"/>
      <x:c r="D290" s="99"/>
      <x:c r="E290" s="99"/>
      <x:c r="F290" s="99"/>
      <x:c r="G290" s="99"/>
      <x:c r="H290" s="99"/>
      <x:c r="I290" s="99"/>
      <x:c r="J290" s="99"/>
      <x:c r="K290" s="99"/>
      <x:c r="L290" s="99"/>
      <x:c r="M290" s="99"/>
      <x:c r="N290" s="99"/>
      <x:c r="O290" s="99"/>
      <x:c r="P290" s="99"/>
      <x:c r="Q290" s="99"/>
      <x:c r="R290" s="99"/>
      <x:c r="S290" s="99"/>
      <x:c r="T290" s="99"/>
      <x:c r="U290" s="99"/>
      <x:c r="V290" s="99"/>
      <x:c r="W290" s="99"/>
      <x:c r="X290" s="99"/>
      <x:c r="Y290" s="99"/>
      <x:c r="Z290" s="99"/>
    </x:row>
    <x:row r="291">
      <x:c r="A291" s="99"/>
      <x:c r="B291" s="99"/>
      <x:c r="C291" s="99"/>
      <x:c r="D291" s="99"/>
      <x:c r="E291" s="99"/>
      <x:c r="F291" s="99"/>
      <x:c r="G291" s="99"/>
      <x:c r="H291" s="99"/>
      <x:c r="I291" s="99"/>
      <x:c r="J291" s="99"/>
      <x:c r="K291" s="99"/>
      <x:c r="L291" s="99"/>
      <x:c r="M291" s="99"/>
      <x:c r="N291" s="99"/>
      <x:c r="O291" s="99"/>
      <x:c r="P291" s="99"/>
      <x:c r="Q291" s="99"/>
      <x:c r="R291" s="99"/>
      <x:c r="S291" s="99"/>
      <x:c r="T291" s="99"/>
      <x:c r="U291" s="99"/>
      <x:c r="V291" s="99"/>
      <x:c r="W291" s="99"/>
      <x:c r="X291" s="99"/>
      <x:c r="Y291" s="99"/>
      <x:c r="Z291" s="99"/>
    </x:row>
    <x:row r="292">
      <x:c r="A292" s="99"/>
      <x:c r="B292" s="99"/>
      <x:c r="C292" s="99"/>
      <x:c r="D292" s="99"/>
      <x:c r="E292" s="99"/>
      <x:c r="F292" s="99"/>
      <x:c r="G292" s="99"/>
      <x:c r="H292" s="99"/>
      <x:c r="I292" s="99"/>
      <x:c r="J292" s="99"/>
      <x:c r="K292" s="99"/>
      <x:c r="L292" s="99"/>
      <x:c r="M292" s="99"/>
      <x:c r="N292" s="99"/>
      <x:c r="O292" s="99"/>
      <x:c r="P292" s="99"/>
      <x:c r="Q292" s="99"/>
      <x:c r="R292" s="99"/>
      <x:c r="S292" s="99"/>
      <x:c r="T292" s="99"/>
      <x:c r="U292" s="99"/>
      <x:c r="V292" s="99"/>
      <x:c r="W292" s="99"/>
      <x:c r="X292" s="99"/>
      <x:c r="Y292" s="99"/>
      <x:c r="Z292" s="99"/>
    </x:row>
    <x:row r="293">
      <x:c r="A293" s="99"/>
      <x:c r="B293" s="99"/>
      <x:c r="C293" s="99"/>
      <x:c r="D293" s="99"/>
      <x:c r="E293" s="99"/>
      <x:c r="F293" s="99"/>
      <x:c r="G293" s="99"/>
      <x:c r="H293" s="99"/>
      <x:c r="I293" s="99"/>
      <x:c r="J293" s="99"/>
      <x:c r="K293" s="99"/>
      <x:c r="L293" s="99"/>
      <x:c r="M293" s="99"/>
      <x:c r="N293" s="99"/>
      <x:c r="O293" s="99"/>
      <x:c r="P293" s="99"/>
      <x:c r="Q293" s="99"/>
      <x:c r="R293" s="99"/>
      <x:c r="S293" s="99"/>
      <x:c r="T293" s="99"/>
      <x:c r="U293" s="99"/>
      <x:c r="V293" s="99"/>
      <x:c r="W293" s="99"/>
      <x:c r="X293" s="99"/>
      <x:c r="Y293" s="99"/>
      <x:c r="Z293" s="99"/>
    </x:row>
    <x:row r="294">
      <x:c r="A294" s="99"/>
      <x:c r="B294" s="99"/>
      <x:c r="C294" s="99"/>
      <x:c r="D294" s="99"/>
      <x:c r="E294" s="99"/>
      <x:c r="F294" s="99"/>
      <x:c r="G294" s="99"/>
      <x:c r="H294" s="99"/>
      <x:c r="I294" s="99"/>
      <x:c r="J294" s="99"/>
      <x:c r="K294" s="99"/>
      <x:c r="L294" s="99"/>
      <x:c r="M294" s="99"/>
      <x:c r="N294" s="99"/>
      <x:c r="O294" s="99"/>
      <x:c r="P294" s="99"/>
      <x:c r="Q294" s="99"/>
      <x:c r="R294" s="99"/>
      <x:c r="S294" s="99"/>
      <x:c r="T294" s="99"/>
      <x:c r="U294" s="99"/>
      <x:c r="V294" s="99"/>
      <x:c r="W294" s="99"/>
      <x:c r="X294" s="99"/>
      <x:c r="Y294" s="99"/>
      <x:c r="Z294" s="99"/>
    </x:row>
    <x:row r="295">
      <x:c r="A295" s="99"/>
      <x:c r="B295" s="99"/>
      <x:c r="C295" s="99"/>
      <x:c r="D295" s="99"/>
      <x:c r="E295" s="99"/>
      <x:c r="F295" s="99"/>
      <x:c r="G295" s="99"/>
      <x:c r="H295" s="99"/>
      <x:c r="I295" s="99"/>
      <x:c r="J295" s="99"/>
      <x:c r="K295" s="99"/>
      <x:c r="L295" s="99"/>
      <x:c r="M295" s="99"/>
      <x:c r="N295" s="99"/>
      <x:c r="O295" s="99"/>
      <x:c r="P295" s="99"/>
      <x:c r="Q295" s="99"/>
      <x:c r="R295" s="99"/>
      <x:c r="S295" s="99"/>
      <x:c r="T295" s="99"/>
      <x:c r="U295" s="99"/>
      <x:c r="V295" s="99"/>
      <x:c r="W295" s="99"/>
      <x:c r="X295" s="99"/>
      <x:c r="Y295" s="99"/>
      <x:c r="Z295" s="99"/>
    </x:row>
    <x:row r="296">
      <x:c r="A296" s="99"/>
      <x:c r="B296" s="99"/>
      <x:c r="C296" s="99"/>
      <x:c r="D296" s="99"/>
      <x:c r="E296" s="99"/>
      <x:c r="F296" s="99"/>
      <x:c r="G296" s="99"/>
      <x:c r="H296" s="99"/>
      <x:c r="I296" s="99"/>
      <x:c r="J296" s="99"/>
      <x:c r="K296" s="99"/>
      <x:c r="L296" s="99"/>
      <x:c r="M296" s="99"/>
      <x:c r="N296" s="99"/>
      <x:c r="O296" s="99"/>
      <x:c r="P296" s="99"/>
      <x:c r="Q296" s="99"/>
      <x:c r="R296" s="99"/>
      <x:c r="S296" s="99"/>
      <x:c r="T296" s="99"/>
      <x:c r="U296" s="99"/>
      <x:c r="V296" s="99"/>
      <x:c r="W296" s="99"/>
      <x:c r="X296" s="99"/>
      <x:c r="Y296" s="99"/>
      <x:c r="Z296" s="99"/>
    </x:row>
    <x:row r="297">
      <x:c r="A297" s="99"/>
      <x:c r="B297" s="99"/>
      <x:c r="C297" s="99"/>
      <x:c r="D297" s="99"/>
      <x:c r="E297" s="99"/>
      <x:c r="F297" s="99"/>
      <x:c r="G297" s="99"/>
      <x:c r="H297" s="99"/>
      <x:c r="I297" s="99"/>
      <x:c r="J297" s="99"/>
      <x:c r="K297" s="99"/>
      <x:c r="L297" s="99"/>
      <x:c r="M297" s="99"/>
      <x:c r="N297" s="99"/>
      <x:c r="O297" s="99"/>
      <x:c r="P297" s="99"/>
      <x:c r="Q297" s="99"/>
      <x:c r="R297" s="99"/>
      <x:c r="S297" s="99"/>
      <x:c r="T297" s="99"/>
      <x:c r="U297" s="99"/>
      <x:c r="V297" s="99"/>
      <x:c r="W297" s="99"/>
      <x:c r="X297" s="99"/>
      <x:c r="Y297" s="99"/>
      <x:c r="Z297" s="99"/>
    </x:row>
    <x:row r="298">
      <x:c r="A298" s="99"/>
      <x:c r="B298" s="99"/>
      <x:c r="C298" s="99"/>
      <x:c r="D298" s="99"/>
      <x:c r="E298" s="99"/>
      <x:c r="F298" s="99"/>
      <x:c r="G298" s="99"/>
      <x:c r="H298" s="99"/>
      <x:c r="I298" s="99"/>
      <x:c r="J298" s="99"/>
      <x:c r="K298" s="99"/>
      <x:c r="L298" s="99"/>
      <x:c r="M298" s="99"/>
      <x:c r="N298" s="99"/>
      <x:c r="O298" s="99"/>
      <x:c r="P298" s="99"/>
      <x:c r="Q298" s="99"/>
      <x:c r="R298" s="99"/>
      <x:c r="S298" s="99"/>
      <x:c r="T298" s="99"/>
      <x:c r="U298" s="99"/>
      <x:c r="V298" s="99"/>
      <x:c r="W298" s="99"/>
      <x:c r="X298" s="99"/>
      <x:c r="Y298" s="99"/>
      <x:c r="Z298" s="99"/>
    </x:row>
    <x:row r="299">
      <x:c r="A299" s="99"/>
      <x:c r="B299" s="99"/>
      <x:c r="C299" s="99"/>
      <x:c r="D299" s="99"/>
      <x:c r="E299" s="99"/>
      <x:c r="F299" s="99"/>
      <x:c r="G299" s="99"/>
      <x:c r="H299" s="99"/>
      <x:c r="I299" s="99"/>
      <x:c r="J299" s="99"/>
      <x:c r="K299" s="99"/>
      <x:c r="L299" s="99"/>
      <x:c r="M299" s="99"/>
      <x:c r="N299" s="99"/>
      <x:c r="O299" s="99"/>
      <x:c r="P299" s="99"/>
      <x:c r="Q299" s="99"/>
      <x:c r="R299" s="99"/>
      <x:c r="S299" s="99"/>
      <x:c r="T299" s="99"/>
      <x:c r="U299" s="99"/>
      <x:c r="V299" s="99"/>
      <x:c r="W299" s="99"/>
      <x:c r="X299" s="99"/>
      <x:c r="Y299" s="99"/>
      <x:c r="Z299" s="99"/>
    </x:row>
    <x:row r="300">
      <x:c r="A300" s="99"/>
      <x:c r="B300" s="99"/>
      <x:c r="C300" s="99"/>
      <x:c r="D300" s="99"/>
      <x:c r="E300" s="99"/>
      <x:c r="F300" s="99"/>
      <x:c r="G300" s="99"/>
      <x:c r="H300" s="99"/>
      <x:c r="I300" s="99"/>
      <x:c r="J300" s="99"/>
      <x:c r="K300" s="99"/>
      <x:c r="L300" s="99"/>
      <x:c r="M300" s="99"/>
      <x:c r="N300" s="99"/>
      <x:c r="O300" s="99"/>
      <x:c r="P300" s="99"/>
      <x:c r="Q300" s="99"/>
      <x:c r="R300" s="99"/>
      <x:c r="S300" s="99"/>
      <x:c r="T300" s="99"/>
      <x:c r="U300" s="99"/>
      <x:c r="V300" s="99"/>
      <x:c r="W300" s="99"/>
      <x:c r="X300" s="99"/>
      <x:c r="Y300" s="99"/>
      <x:c r="Z300" s="99"/>
    </x:row>
    <x:row r="301">
      <x:c r="A301" s="99"/>
      <x:c r="B301" s="99"/>
      <x:c r="C301" s="99"/>
      <x:c r="D301" s="99"/>
      <x:c r="E301" s="99"/>
      <x:c r="F301" s="99"/>
      <x:c r="G301" s="99"/>
      <x:c r="H301" s="99"/>
      <x:c r="I301" s="99"/>
      <x:c r="J301" s="99"/>
      <x:c r="K301" s="99"/>
      <x:c r="L301" s="99"/>
      <x:c r="M301" s="99"/>
      <x:c r="N301" s="99"/>
      <x:c r="O301" s="99"/>
      <x:c r="P301" s="99"/>
      <x:c r="Q301" s="99"/>
      <x:c r="R301" s="99"/>
      <x:c r="S301" s="99"/>
      <x:c r="T301" s="99"/>
      <x:c r="U301" s="99"/>
      <x:c r="V301" s="99"/>
      <x:c r="W301" s="99"/>
      <x:c r="X301" s="99"/>
      <x:c r="Y301" s="99"/>
      <x:c r="Z301" s="99"/>
    </x:row>
    <x:row r="302">
      <x:c r="A302" s="99"/>
      <x:c r="B302" s="99"/>
      <x:c r="C302" s="99"/>
      <x:c r="D302" s="99"/>
      <x:c r="E302" s="99"/>
      <x:c r="F302" s="99"/>
      <x:c r="G302" s="99"/>
      <x:c r="H302" s="99"/>
      <x:c r="I302" s="99"/>
      <x:c r="J302" s="99"/>
      <x:c r="K302" s="99"/>
      <x:c r="L302" s="99"/>
      <x:c r="M302" s="99"/>
      <x:c r="N302" s="99"/>
      <x:c r="O302" s="99"/>
      <x:c r="P302" s="99"/>
      <x:c r="Q302" s="99"/>
      <x:c r="R302" s="99"/>
      <x:c r="S302" s="99"/>
      <x:c r="T302" s="99"/>
      <x:c r="U302" s="99"/>
      <x:c r="V302" s="99"/>
      <x:c r="W302" s="99"/>
      <x:c r="X302" s="99"/>
      <x:c r="Y302" s="99"/>
      <x:c r="Z302" s="99"/>
    </x:row>
    <x:row r="303">
      <x:c r="A303" s="99"/>
      <x:c r="B303" s="99"/>
      <x:c r="C303" s="99"/>
      <x:c r="D303" s="99"/>
      <x:c r="E303" s="99"/>
      <x:c r="F303" s="99"/>
      <x:c r="G303" s="99"/>
      <x:c r="H303" s="99"/>
      <x:c r="I303" s="99"/>
      <x:c r="J303" s="99"/>
      <x:c r="K303" s="99"/>
      <x:c r="L303" s="99"/>
      <x:c r="M303" s="99"/>
      <x:c r="N303" s="99"/>
      <x:c r="O303" s="99"/>
      <x:c r="P303" s="99"/>
      <x:c r="Q303" s="99"/>
      <x:c r="R303" s="99"/>
      <x:c r="S303" s="99"/>
      <x:c r="T303" s="99"/>
      <x:c r="U303" s="99"/>
      <x:c r="V303" s="99"/>
      <x:c r="W303" s="99"/>
      <x:c r="X303" s="99"/>
      <x:c r="Y303" s="99"/>
      <x:c r="Z303" s="99"/>
    </x:row>
    <x:row r="304">
      <x:c r="A304" s="99"/>
      <x:c r="B304" s="99"/>
      <x:c r="C304" s="99"/>
      <x:c r="D304" s="99"/>
      <x:c r="E304" s="99"/>
      <x:c r="F304" s="99"/>
      <x:c r="G304" s="99"/>
      <x:c r="H304" s="99"/>
      <x:c r="I304" s="99"/>
      <x:c r="J304" s="99"/>
      <x:c r="K304" s="99"/>
      <x:c r="L304" s="99"/>
      <x:c r="M304" s="99"/>
      <x:c r="N304" s="99"/>
      <x:c r="O304" s="99"/>
      <x:c r="P304" s="99"/>
      <x:c r="Q304" s="99"/>
      <x:c r="R304" s="99"/>
      <x:c r="S304" s="99"/>
      <x:c r="T304" s="99"/>
      <x:c r="U304" s="99"/>
      <x:c r="V304" s="99"/>
      <x:c r="W304" s="99"/>
      <x:c r="X304" s="99"/>
      <x:c r="Y304" s="99"/>
      <x:c r="Z304" s="99"/>
    </x:row>
    <x:row r="305">
      <x:c r="A305" s="99"/>
      <x:c r="B305" s="99"/>
      <x:c r="C305" s="99"/>
      <x:c r="D305" s="99"/>
      <x:c r="E305" s="99"/>
      <x:c r="F305" s="99"/>
      <x:c r="G305" s="99"/>
      <x:c r="H305" s="99"/>
      <x:c r="I305" s="99"/>
      <x:c r="J305" s="99"/>
      <x:c r="K305" s="99"/>
      <x:c r="L305" s="99"/>
      <x:c r="M305" s="99"/>
      <x:c r="N305" s="99"/>
      <x:c r="O305" s="99"/>
      <x:c r="P305" s="99"/>
      <x:c r="Q305" s="99"/>
      <x:c r="R305" s="99"/>
      <x:c r="S305" s="99"/>
      <x:c r="T305" s="99"/>
      <x:c r="U305" s="99"/>
      <x:c r="V305" s="99"/>
      <x:c r="W305" s="99"/>
      <x:c r="X305" s="99"/>
      <x:c r="Y305" s="99"/>
      <x:c r="Z305" s="99"/>
    </x:row>
    <x:row r="306">
      <x:c r="A306" s="99"/>
      <x:c r="B306" s="99"/>
      <x:c r="C306" s="99"/>
      <x:c r="D306" s="99"/>
      <x:c r="E306" s="99"/>
      <x:c r="F306" s="99"/>
      <x:c r="G306" s="99"/>
      <x:c r="H306" s="99"/>
      <x:c r="I306" s="99"/>
      <x:c r="J306" s="99"/>
      <x:c r="K306" s="99"/>
      <x:c r="L306" s="99"/>
      <x:c r="M306" s="99"/>
      <x:c r="N306" s="99"/>
      <x:c r="O306" s="99"/>
      <x:c r="P306" s="99"/>
      <x:c r="Q306" s="99"/>
      <x:c r="R306" s="99"/>
      <x:c r="S306" s="99"/>
      <x:c r="T306" s="99"/>
      <x:c r="U306" s="99"/>
      <x:c r="V306" s="99"/>
      <x:c r="W306" s="99"/>
      <x:c r="X306" s="99"/>
      <x:c r="Y306" s="99"/>
      <x:c r="Z306" s="99"/>
    </x:row>
    <x:row r="307">
      <x:c r="A307" s="99"/>
      <x:c r="B307" s="99"/>
      <x:c r="C307" s="99"/>
      <x:c r="D307" s="99"/>
      <x:c r="E307" s="99"/>
      <x:c r="F307" s="99"/>
      <x:c r="G307" s="99"/>
      <x:c r="H307" s="99"/>
      <x:c r="I307" s="99"/>
      <x:c r="J307" s="99"/>
      <x:c r="K307" s="99"/>
      <x:c r="L307" s="99"/>
      <x:c r="M307" s="99"/>
      <x:c r="N307" s="99"/>
      <x:c r="O307" s="99"/>
      <x:c r="P307" s="99"/>
      <x:c r="Q307" s="99"/>
      <x:c r="R307" s="99"/>
      <x:c r="S307" s="99"/>
      <x:c r="T307" s="99"/>
      <x:c r="U307" s="99"/>
      <x:c r="V307" s="99"/>
      <x:c r="W307" s="99"/>
      <x:c r="X307" s="99"/>
      <x:c r="Y307" s="99"/>
      <x:c r="Z307" s="99"/>
    </x:row>
    <x:row r="308">
      <x:c r="A308" s="99"/>
      <x:c r="B308" s="99"/>
      <x:c r="C308" s="99"/>
      <x:c r="D308" s="99"/>
      <x:c r="E308" s="99"/>
      <x:c r="F308" s="99"/>
      <x:c r="G308" s="99"/>
      <x:c r="H308" s="99"/>
      <x:c r="I308" s="99"/>
      <x:c r="J308" s="99"/>
      <x:c r="K308" s="99"/>
      <x:c r="L308" s="99"/>
      <x:c r="M308" s="99"/>
      <x:c r="N308" s="99"/>
      <x:c r="O308" s="99"/>
      <x:c r="P308" s="99"/>
      <x:c r="Q308" s="99"/>
      <x:c r="R308" s="99"/>
      <x:c r="S308" s="99"/>
      <x:c r="T308" s="99"/>
      <x:c r="U308" s="99"/>
      <x:c r="V308" s="99"/>
      <x:c r="W308" s="99"/>
      <x:c r="X308" s="99"/>
      <x:c r="Y308" s="99"/>
      <x:c r="Z308" s="99"/>
    </x:row>
    <x:row r="309">
      <x:c r="A309" s="99"/>
      <x:c r="B309" s="99"/>
      <x:c r="C309" s="99"/>
      <x:c r="D309" s="99"/>
      <x:c r="E309" s="99"/>
      <x:c r="F309" s="99"/>
      <x:c r="G309" s="99"/>
      <x:c r="H309" s="99"/>
      <x:c r="I309" s="99"/>
      <x:c r="J309" s="99"/>
      <x:c r="K309" s="99"/>
      <x:c r="L309" s="99"/>
      <x:c r="M309" s="99"/>
      <x:c r="N309" s="99"/>
      <x:c r="O309" s="99"/>
      <x:c r="P309" s="99"/>
      <x:c r="Q309" s="99"/>
      <x:c r="R309" s="99"/>
      <x:c r="S309" s="99"/>
      <x:c r="T309" s="99"/>
      <x:c r="U309" s="99"/>
      <x:c r="V309" s="99"/>
      <x:c r="W309" s="99"/>
      <x:c r="X309" s="99"/>
      <x:c r="Y309" s="99"/>
      <x:c r="Z309" s="99"/>
    </x:row>
    <x:row r="310">
      <x:c r="A310" s="99"/>
      <x:c r="B310" s="99"/>
      <x:c r="C310" s="99"/>
      <x:c r="D310" s="99"/>
      <x:c r="E310" s="99"/>
      <x:c r="F310" s="99"/>
      <x:c r="G310" s="99"/>
      <x:c r="H310" s="99"/>
      <x:c r="I310" s="99"/>
      <x:c r="J310" s="99"/>
      <x:c r="K310" s="99"/>
      <x:c r="L310" s="99"/>
      <x:c r="M310" s="99"/>
      <x:c r="N310" s="99"/>
      <x:c r="O310" s="99"/>
      <x:c r="P310" s="99"/>
      <x:c r="Q310" s="99"/>
      <x:c r="R310" s="99"/>
      <x:c r="S310" s="99"/>
      <x:c r="T310" s="99"/>
      <x:c r="U310" s="99"/>
      <x:c r="V310" s="99"/>
      <x:c r="W310" s="99"/>
      <x:c r="X310" s="99"/>
      <x:c r="Y310" s="99"/>
      <x:c r="Z310" s="99"/>
    </x:row>
    <x:row r="311">
      <x:c r="A311" s="99"/>
      <x:c r="B311" s="99"/>
      <x:c r="C311" s="99"/>
      <x:c r="D311" s="99"/>
      <x:c r="E311" s="99"/>
      <x:c r="F311" s="99"/>
      <x:c r="G311" s="99"/>
      <x:c r="H311" s="99"/>
      <x:c r="I311" s="99"/>
      <x:c r="J311" s="99"/>
      <x:c r="K311" s="99"/>
      <x:c r="L311" s="99"/>
      <x:c r="M311" s="99"/>
      <x:c r="N311" s="99"/>
      <x:c r="O311" s="99"/>
      <x:c r="P311" s="99"/>
      <x:c r="Q311" s="99"/>
      <x:c r="R311" s="99"/>
      <x:c r="S311" s="99"/>
      <x:c r="T311" s="99"/>
      <x:c r="U311" s="99"/>
      <x:c r="V311" s="99"/>
      <x:c r="W311" s="99"/>
      <x:c r="X311" s="99"/>
      <x:c r="Y311" s="99"/>
      <x:c r="Z311" s="99"/>
    </x:row>
    <x:row r="312">
      <x:c r="A312" s="99"/>
      <x:c r="B312" s="99"/>
      <x:c r="C312" s="99"/>
      <x:c r="D312" s="99"/>
      <x:c r="E312" s="99"/>
      <x:c r="F312" s="99"/>
      <x:c r="G312" s="99"/>
      <x:c r="H312" s="99"/>
      <x:c r="I312" s="99"/>
      <x:c r="J312" s="99"/>
      <x:c r="K312" s="99"/>
      <x:c r="L312" s="99"/>
      <x:c r="M312" s="99"/>
      <x:c r="N312" s="99"/>
      <x:c r="O312" s="99"/>
      <x:c r="P312" s="99"/>
      <x:c r="Q312" s="99"/>
      <x:c r="R312" s="99"/>
      <x:c r="S312" s="99"/>
      <x:c r="T312" s="99"/>
      <x:c r="U312" s="99"/>
      <x:c r="V312" s="99"/>
      <x:c r="W312" s="99"/>
      <x:c r="X312" s="99"/>
      <x:c r="Y312" s="99"/>
      <x:c r="Z312" s="99"/>
    </x:row>
    <x:row r="313">
      <x:c r="A313" s="99"/>
      <x:c r="B313" s="99"/>
      <x:c r="C313" s="99"/>
      <x:c r="D313" s="99"/>
      <x:c r="E313" s="99"/>
      <x:c r="F313" s="99"/>
      <x:c r="G313" s="99"/>
      <x:c r="H313" s="99"/>
      <x:c r="I313" s="99"/>
      <x:c r="J313" s="99"/>
      <x:c r="K313" s="99"/>
      <x:c r="L313" s="99"/>
      <x:c r="M313" s="99"/>
      <x:c r="N313" s="99"/>
      <x:c r="O313" s="99"/>
      <x:c r="P313" s="99"/>
      <x:c r="Q313" s="99"/>
      <x:c r="R313" s="99"/>
      <x:c r="S313" s="99"/>
      <x:c r="T313" s="99"/>
      <x:c r="U313" s="99"/>
      <x:c r="V313" s="99"/>
      <x:c r="W313" s="99"/>
      <x:c r="X313" s="99"/>
      <x:c r="Y313" s="99"/>
      <x:c r="Z313" s="99"/>
    </x:row>
    <x:row r="314">
      <x:c r="A314" s="99"/>
      <x:c r="B314" s="99"/>
      <x:c r="C314" s="99"/>
      <x:c r="D314" s="99"/>
      <x:c r="E314" s="99"/>
      <x:c r="F314" s="99"/>
      <x:c r="G314" s="99"/>
      <x:c r="H314" s="99"/>
      <x:c r="I314" s="99"/>
      <x:c r="J314" s="99"/>
      <x:c r="K314" s="99"/>
      <x:c r="L314" s="99"/>
      <x:c r="M314" s="99"/>
      <x:c r="N314" s="99"/>
      <x:c r="O314" s="99"/>
      <x:c r="P314" s="99"/>
      <x:c r="Q314" s="99"/>
      <x:c r="R314" s="99"/>
      <x:c r="S314" s="99"/>
      <x:c r="T314" s="99"/>
      <x:c r="U314" s="99"/>
      <x:c r="V314" s="99"/>
      <x:c r="W314" s="99"/>
      <x:c r="X314" s="99"/>
      <x:c r="Y314" s="99"/>
      <x:c r="Z314" s="99"/>
    </x:row>
    <x:row r="315">
      <x:c r="A315" s="99"/>
      <x:c r="B315" s="99"/>
      <x:c r="C315" s="99"/>
      <x:c r="D315" s="99"/>
      <x:c r="E315" s="99"/>
      <x:c r="F315" s="99"/>
      <x:c r="G315" s="99"/>
      <x:c r="H315" s="99"/>
      <x:c r="I315" s="99"/>
      <x:c r="J315" s="99"/>
      <x:c r="K315" s="99"/>
      <x:c r="L315" s="99"/>
      <x:c r="M315" s="99"/>
      <x:c r="N315" s="99"/>
      <x:c r="O315" s="99"/>
      <x:c r="P315" s="99"/>
      <x:c r="Q315" s="99"/>
      <x:c r="R315" s="99"/>
      <x:c r="S315" s="99"/>
      <x:c r="T315" s="99"/>
      <x:c r="U315" s="99"/>
      <x:c r="V315" s="99"/>
      <x:c r="W315" s="99"/>
      <x:c r="X315" s="99"/>
      <x:c r="Y315" s="99"/>
      <x:c r="Z315" s="99"/>
    </x:row>
    <x:row r="316">
      <x:c r="A316" s="99"/>
      <x:c r="B316" s="99"/>
      <x:c r="C316" s="99"/>
      <x:c r="D316" s="99"/>
      <x:c r="E316" s="99"/>
      <x:c r="F316" s="99"/>
      <x:c r="G316" s="99"/>
      <x:c r="H316" s="99"/>
      <x:c r="I316" s="99"/>
      <x:c r="J316" s="99"/>
      <x:c r="K316" s="99"/>
      <x:c r="L316" s="99"/>
      <x:c r="M316" s="99"/>
      <x:c r="N316" s="99"/>
      <x:c r="O316" s="99"/>
      <x:c r="P316" s="99"/>
      <x:c r="Q316" s="99"/>
      <x:c r="R316" s="99"/>
      <x:c r="S316" s="99"/>
      <x:c r="T316" s="99"/>
      <x:c r="U316" s="99"/>
      <x:c r="V316" s="99"/>
      <x:c r="W316" s="99"/>
      <x:c r="X316" s="99"/>
      <x:c r="Y316" s="99"/>
      <x:c r="Z316" s="99"/>
    </x:row>
    <x:row r="317">
      <x:c r="A317" s="99"/>
      <x:c r="B317" s="99"/>
      <x:c r="C317" s="99"/>
      <x:c r="D317" s="99"/>
      <x:c r="E317" s="99"/>
      <x:c r="F317" s="99"/>
      <x:c r="G317" s="99"/>
      <x:c r="H317" s="99"/>
      <x:c r="I317" s="99"/>
      <x:c r="J317" s="99"/>
      <x:c r="K317" s="99"/>
      <x:c r="L317" s="99"/>
      <x:c r="M317" s="99"/>
      <x:c r="N317" s="99"/>
      <x:c r="O317" s="99"/>
      <x:c r="P317" s="99"/>
      <x:c r="Q317" s="99"/>
      <x:c r="R317" s="99"/>
      <x:c r="S317" s="99"/>
      <x:c r="T317" s="99"/>
      <x:c r="U317" s="99"/>
      <x:c r="V317" s="99"/>
      <x:c r="W317" s="99"/>
      <x:c r="X317" s="99"/>
      <x:c r="Y317" s="99"/>
      <x:c r="Z317" s="99"/>
    </x:row>
    <x:row r="318">
      <x:c r="A318" s="99"/>
      <x:c r="B318" s="99"/>
      <x:c r="C318" s="99"/>
      <x:c r="D318" s="99"/>
      <x:c r="E318" s="99"/>
      <x:c r="F318" s="99"/>
      <x:c r="G318" s="99"/>
      <x:c r="H318" s="99"/>
      <x:c r="I318" s="99"/>
      <x:c r="J318" s="99"/>
      <x:c r="K318" s="99"/>
      <x:c r="L318" s="99"/>
      <x:c r="M318" s="99"/>
      <x:c r="N318" s="99"/>
      <x:c r="O318" s="99"/>
      <x:c r="P318" s="99"/>
      <x:c r="Q318" s="99"/>
      <x:c r="R318" s="99"/>
      <x:c r="S318" s="99"/>
      <x:c r="T318" s="99"/>
      <x:c r="U318" s="99"/>
      <x:c r="V318" s="99"/>
      <x:c r="W318" s="99"/>
      <x:c r="X318" s="99"/>
      <x:c r="Y318" s="99"/>
      <x:c r="Z318" s="99"/>
    </x:row>
    <x:row r="319">
      <x:c r="A319" s="99"/>
      <x:c r="B319" s="99"/>
      <x:c r="C319" s="99"/>
      <x:c r="D319" s="99"/>
      <x:c r="E319" s="99"/>
      <x:c r="F319" s="99"/>
      <x:c r="G319" s="99"/>
      <x:c r="H319" s="99"/>
      <x:c r="I319" s="99"/>
      <x:c r="J319" s="99"/>
      <x:c r="K319" s="99"/>
      <x:c r="L319" s="99"/>
      <x:c r="M319" s="99"/>
      <x:c r="N319" s="99"/>
      <x:c r="O319" s="99"/>
      <x:c r="P319" s="99"/>
      <x:c r="Q319" s="99"/>
      <x:c r="R319" s="99"/>
      <x:c r="S319" s="99"/>
      <x:c r="T319" s="99"/>
      <x:c r="U319" s="99"/>
      <x:c r="V319" s="99"/>
      <x:c r="W319" s="99"/>
      <x:c r="X319" s="99"/>
      <x:c r="Y319" s="99"/>
      <x:c r="Z319" s="99"/>
    </x:row>
    <x:row r="320">
      <x:c r="A320" s="99"/>
      <x:c r="B320" s="99"/>
      <x:c r="C320" s="99"/>
      <x:c r="D320" s="99"/>
      <x:c r="E320" s="99"/>
      <x:c r="F320" s="99"/>
      <x:c r="G320" s="99"/>
      <x:c r="H320" s="99"/>
      <x:c r="I320" s="99"/>
      <x:c r="J320" s="99"/>
      <x:c r="K320" s="99"/>
      <x:c r="L320" s="99"/>
      <x:c r="M320" s="99"/>
      <x:c r="N320" s="99"/>
      <x:c r="O320" s="99"/>
      <x:c r="P320" s="99"/>
      <x:c r="Q320" s="99"/>
      <x:c r="R320" s="99"/>
      <x:c r="S320" s="99"/>
      <x:c r="T320" s="99"/>
      <x:c r="U320" s="99"/>
      <x:c r="V320" s="99"/>
      <x:c r="W320" s="99"/>
      <x:c r="X320" s="99"/>
      <x:c r="Y320" s="99"/>
      <x:c r="Z320" s="99"/>
    </x:row>
    <x:row r="321">
      <x:c r="A321" s="99"/>
      <x:c r="B321" s="99"/>
      <x:c r="C321" s="99"/>
      <x:c r="D321" s="99"/>
      <x:c r="E321" s="99"/>
      <x:c r="F321" s="99"/>
      <x:c r="G321" s="99"/>
      <x:c r="H321" s="99"/>
      <x:c r="I321" s="99"/>
      <x:c r="J321" s="99"/>
      <x:c r="K321" s="99"/>
      <x:c r="L321" s="99"/>
      <x:c r="M321" s="99"/>
      <x:c r="N321" s="99"/>
      <x:c r="O321" s="99"/>
      <x:c r="P321" s="99"/>
      <x:c r="Q321" s="99"/>
      <x:c r="R321" s="99"/>
      <x:c r="S321" s="99"/>
      <x:c r="T321" s="99"/>
      <x:c r="U321" s="99"/>
      <x:c r="V321" s="99"/>
      <x:c r="W321" s="99"/>
      <x:c r="X321" s="99"/>
      <x:c r="Y321" s="99"/>
      <x:c r="Z321" s="99"/>
    </x:row>
    <x:row r="322">
      <x:c r="A322" s="99"/>
      <x:c r="B322" s="99"/>
      <x:c r="C322" s="99"/>
      <x:c r="D322" s="99"/>
      <x:c r="E322" s="99"/>
      <x:c r="F322" s="99"/>
      <x:c r="G322" s="99"/>
      <x:c r="H322" s="99"/>
      <x:c r="I322" s="99"/>
      <x:c r="J322" s="99"/>
      <x:c r="K322" s="99"/>
      <x:c r="L322" s="99"/>
      <x:c r="M322" s="99"/>
      <x:c r="N322" s="99"/>
      <x:c r="O322" s="99"/>
      <x:c r="P322" s="99"/>
      <x:c r="Q322" s="99"/>
      <x:c r="R322" s="99"/>
      <x:c r="S322" s="99"/>
      <x:c r="T322" s="99"/>
      <x:c r="U322" s="99"/>
      <x:c r="V322" s="99"/>
      <x:c r="W322" s="99"/>
      <x:c r="X322" s="99"/>
      <x:c r="Y322" s="99"/>
      <x:c r="Z322" s="99"/>
    </x:row>
    <x:row r="323">
      <x:c r="A323" s="99"/>
      <x:c r="B323" s="99"/>
      <x:c r="C323" s="99"/>
      <x:c r="D323" s="99"/>
      <x:c r="E323" s="99"/>
      <x:c r="F323" s="99"/>
      <x:c r="G323" s="99"/>
      <x:c r="H323" s="99"/>
      <x:c r="I323" s="99"/>
      <x:c r="J323" s="99"/>
      <x:c r="K323" s="99"/>
      <x:c r="L323" s="99"/>
      <x:c r="M323" s="99"/>
      <x:c r="N323" s="99"/>
      <x:c r="O323" s="99"/>
      <x:c r="P323" s="99"/>
      <x:c r="Q323" s="99"/>
      <x:c r="R323" s="99"/>
      <x:c r="S323" s="99"/>
      <x:c r="T323" s="99"/>
      <x:c r="U323" s="99"/>
      <x:c r="V323" s="99"/>
      <x:c r="W323" s="99"/>
      <x:c r="X323" s="99"/>
      <x:c r="Y323" s="99"/>
      <x:c r="Z323" s="99"/>
    </x:row>
    <x:row r="324">
      <x:c r="A324" s="99"/>
      <x:c r="B324" s="99"/>
      <x:c r="C324" s="99"/>
      <x:c r="D324" s="99"/>
      <x:c r="E324" s="99"/>
      <x:c r="F324" s="99"/>
      <x:c r="G324" s="99"/>
      <x:c r="H324" s="99"/>
      <x:c r="I324" s="99"/>
      <x:c r="J324" s="99"/>
      <x:c r="K324" s="99"/>
      <x:c r="L324" s="99"/>
      <x:c r="M324" s="99"/>
      <x:c r="N324" s="99"/>
      <x:c r="O324" s="99"/>
      <x:c r="P324" s="99"/>
      <x:c r="Q324" s="99"/>
      <x:c r="R324" s="99"/>
      <x:c r="S324" s="99"/>
      <x:c r="T324" s="99"/>
      <x:c r="U324" s="99"/>
      <x:c r="V324" s="99"/>
      <x:c r="W324" s="99"/>
      <x:c r="X324" s="99"/>
      <x:c r="Y324" s="99"/>
      <x:c r="Z324" s="99"/>
    </x:row>
    <x:row r="325">
      <x:c r="A325" s="99"/>
      <x:c r="B325" s="99"/>
      <x:c r="C325" s="99"/>
      <x:c r="D325" s="99"/>
      <x:c r="E325" s="99"/>
      <x:c r="F325" s="99"/>
      <x:c r="G325" s="99"/>
      <x:c r="H325" s="99"/>
      <x:c r="I325" s="99"/>
      <x:c r="J325" s="99"/>
      <x:c r="K325" s="99"/>
      <x:c r="L325" s="99"/>
      <x:c r="M325" s="99"/>
      <x:c r="N325" s="99"/>
      <x:c r="O325" s="99"/>
      <x:c r="P325" s="99"/>
      <x:c r="Q325" s="99"/>
      <x:c r="R325" s="99"/>
      <x:c r="S325" s="99"/>
      <x:c r="T325" s="99"/>
      <x:c r="U325" s="99"/>
      <x:c r="V325" s="99"/>
      <x:c r="W325" s="99"/>
      <x:c r="X325" s="99"/>
      <x:c r="Y325" s="99"/>
      <x:c r="Z325" s="99"/>
    </x:row>
    <x:row r="326">
      <x:c r="A326" s="99"/>
      <x:c r="B326" s="99"/>
      <x:c r="C326" s="99"/>
      <x:c r="D326" s="99"/>
      <x:c r="E326" s="99"/>
      <x:c r="F326" s="99"/>
      <x:c r="G326" s="99"/>
      <x:c r="H326" s="99"/>
      <x:c r="I326" s="99"/>
      <x:c r="J326" s="99"/>
      <x:c r="K326" s="99"/>
      <x:c r="L326" s="99"/>
      <x:c r="M326" s="99"/>
      <x:c r="N326" s="99"/>
      <x:c r="O326" s="99"/>
      <x:c r="P326" s="99"/>
      <x:c r="Q326" s="99"/>
      <x:c r="R326" s="99"/>
      <x:c r="S326" s="99"/>
      <x:c r="T326" s="99"/>
      <x:c r="U326" s="99"/>
      <x:c r="V326" s="99"/>
      <x:c r="W326" s="99"/>
      <x:c r="X326" s="99"/>
      <x:c r="Y326" s="99"/>
      <x:c r="Z326" s="99"/>
    </x:row>
    <x:row r="327">
      <x:c r="A327" s="99"/>
      <x:c r="B327" s="99"/>
      <x:c r="C327" s="99"/>
      <x:c r="D327" s="99"/>
      <x:c r="E327" s="99"/>
      <x:c r="F327" s="99"/>
      <x:c r="G327" s="99"/>
      <x:c r="H327" s="99"/>
      <x:c r="I327" s="99"/>
      <x:c r="J327" s="99"/>
      <x:c r="K327" s="99"/>
      <x:c r="L327" s="99"/>
      <x:c r="M327" s="99"/>
      <x:c r="N327" s="99"/>
      <x:c r="O327" s="99"/>
      <x:c r="P327" s="99"/>
      <x:c r="Q327" s="99"/>
      <x:c r="R327" s="99"/>
      <x:c r="S327" s="99"/>
      <x:c r="T327" s="99"/>
      <x:c r="U327" s="99"/>
      <x:c r="V327" s="99"/>
      <x:c r="W327" s="99"/>
      <x:c r="X327" s="99"/>
      <x:c r="Y327" s="99"/>
      <x:c r="Z327" s="99"/>
    </x:row>
    <x:row r="328">
      <x:c r="A328" s="99"/>
      <x:c r="B328" s="99"/>
      <x:c r="C328" s="99"/>
      <x:c r="D328" s="99"/>
      <x:c r="E328" s="99"/>
      <x:c r="F328" s="99"/>
      <x:c r="G328" s="99"/>
      <x:c r="H328" s="99"/>
      <x:c r="I328" s="99"/>
      <x:c r="J328" s="99"/>
      <x:c r="K328" s="99"/>
      <x:c r="L328" s="99"/>
      <x:c r="M328" s="99"/>
      <x:c r="N328" s="99"/>
      <x:c r="O328" s="99"/>
      <x:c r="P328" s="99"/>
      <x:c r="Q328" s="99"/>
      <x:c r="R328" s="99"/>
      <x:c r="S328" s="99"/>
      <x:c r="T328" s="99"/>
      <x:c r="U328" s="99"/>
      <x:c r="V328" s="99"/>
      <x:c r="W328" s="99"/>
      <x:c r="X328" s="99"/>
      <x:c r="Y328" s="99"/>
      <x:c r="Z328" s="99"/>
    </x:row>
    <x:row r="329">
      <x:c r="A329" s="99"/>
      <x:c r="B329" s="99"/>
      <x:c r="C329" s="99"/>
      <x:c r="D329" s="99"/>
      <x:c r="E329" s="99"/>
      <x:c r="F329" s="99"/>
      <x:c r="G329" s="99"/>
      <x:c r="H329" s="99"/>
      <x:c r="I329" s="99"/>
      <x:c r="J329" s="99"/>
      <x:c r="K329" s="99"/>
      <x:c r="L329" s="99"/>
      <x:c r="M329" s="99"/>
      <x:c r="N329" s="99"/>
      <x:c r="O329" s="99"/>
      <x:c r="P329" s="99"/>
      <x:c r="Q329" s="99"/>
      <x:c r="R329" s="99"/>
      <x:c r="S329" s="99"/>
      <x:c r="T329" s="99"/>
      <x:c r="U329" s="99"/>
      <x:c r="V329" s="99"/>
      <x:c r="W329" s="99"/>
      <x:c r="X329" s="99"/>
      <x:c r="Y329" s="99"/>
      <x:c r="Z329" s="99"/>
    </x:row>
    <x:row r="330">
      <x:c r="A330" s="99"/>
      <x:c r="B330" s="99"/>
      <x:c r="C330" s="99"/>
      <x:c r="D330" s="99"/>
      <x:c r="E330" s="99"/>
      <x:c r="F330" s="99"/>
      <x:c r="G330" s="99"/>
      <x:c r="H330" s="99"/>
      <x:c r="I330" s="99"/>
      <x:c r="J330" s="99"/>
      <x:c r="K330" s="99"/>
      <x:c r="L330" s="99"/>
      <x:c r="M330" s="99"/>
      <x:c r="N330" s="99"/>
      <x:c r="O330" s="99"/>
      <x:c r="P330" s="99"/>
      <x:c r="Q330" s="99"/>
      <x:c r="R330" s="99"/>
      <x:c r="S330" s="99"/>
      <x:c r="T330" s="99"/>
      <x:c r="U330" s="99"/>
      <x:c r="V330" s="99"/>
      <x:c r="W330" s="99"/>
      <x:c r="X330" s="99"/>
      <x:c r="Y330" s="99"/>
      <x:c r="Z330" s="99"/>
    </x:row>
    <x:row r="331">
      <x:c r="A331" s="99"/>
      <x:c r="B331" s="99"/>
      <x:c r="C331" s="99"/>
      <x:c r="D331" s="99"/>
      <x:c r="E331" s="99"/>
      <x:c r="F331" s="99"/>
      <x:c r="G331" s="99"/>
      <x:c r="H331" s="99"/>
      <x:c r="I331" s="99"/>
      <x:c r="J331" s="99"/>
      <x:c r="K331" s="99"/>
      <x:c r="L331" s="99"/>
      <x:c r="M331" s="99"/>
      <x:c r="N331" s="99"/>
      <x:c r="O331" s="99"/>
      <x:c r="P331" s="99"/>
      <x:c r="Q331" s="99"/>
      <x:c r="R331" s="99"/>
      <x:c r="S331" s="99"/>
      <x:c r="T331" s="99"/>
      <x:c r="U331" s="99"/>
      <x:c r="V331" s="99"/>
      <x:c r="W331" s="99"/>
      <x:c r="X331" s="99"/>
      <x:c r="Y331" s="99"/>
      <x:c r="Z331" s="99"/>
    </x:row>
    <x:row r="332">
      <x:c r="A332" s="99"/>
      <x:c r="B332" s="99"/>
      <x:c r="C332" s="99"/>
      <x:c r="D332" s="99"/>
      <x:c r="E332" s="99"/>
      <x:c r="F332" s="99"/>
      <x:c r="G332" s="99"/>
      <x:c r="H332" s="99"/>
      <x:c r="I332" s="99"/>
      <x:c r="J332" s="99"/>
      <x:c r="K332" s="99"/>
      <x:c r="L332" s="99"/>
      <x:c r="M332" s="99"/>
      <x:c r="N332" s="99"/>
      <x:c r="O332" s="99"/>
      <x:c r="P332" s="99"/>
      <x:c r="Q332" s="99"/>
      <x:c r="R332" s="99"/>
      <x:c r="S332" s="99"/>
      <x:c r="T332" s="99"/>
      <x:c r="U332" s="99"/>
      <x:c r="V332" s="99"/>
      <x:c r="W332" s="99"/>
      <x:c r="X332" s="99"/>
      <x:c r="Y332" s="99"/>
      <x:c r="Z332" s="99"/>
    </x:row>
    <x:row r="333">
      <x:c r="A333" s="99"/>
      <x:c r="B333" s="99"/>
      <x:c r="C333" s="99"/>
      <x:c r="D333" s="99"/>
      <x:c r="E333" s="99"/>
      <x:c r="F333" s="99"/>
      <x:c r="G333" s="99"/>
      <x:c r="H333" s="99"/>
      <x:c r="I333" s="99"/>
      <x:c r="J333" s="99"/>
      <x:c r="K333" s="99"/>
      <x:c r="L333" s="99"/>
      <x:c r="M333" s="99"/>
      <x:c r="N333" s="99"/>
      <x:c r="O333" s="99"/>
      <x:c r="P333" s="99"/>
      <x:c r="Q333" s="99"/>
      <x:c r="R333" s="99"/>
      <x:c r="S333" s="99"/>
      <x:c r="T333" s="99"/>
      <x:c r="U333" s="99"/>
      <x:c r="V333" s="99"/>
      <x:c r="W333" s="99"/>
      <x:c r="X333" s="99"/>
      <x:c r="Y333" s="99"/>
      <x:c r="Z333" s="99"/>
    </x:row>
    <x:row r="334">
      <x:c r="A334" s="99"/>
      <x:c r="B334" s="99"/>
      <x:c r="C334" s="99"/>
      <x:c r="D334" s="99"/>
      <x:c r="E334" s="99"/>
      <x:c r="F334" s="99"/>
      <x:c r="G334" s="99"/>
      <x:c r="H334" s="99"/>
      <x:c r="I334" s="99"/>
      <x:c r="J334" s="99"/>
      <x:c r="K334" s="99"/>
      <x:c r="L334" s="99"/>
      <x:c r="M334" s="99"/>
      <x:c r="N334" s="99"/>
      <x:c r="O334" s="99"/>
      <x:c r="P334" s="99"/>
      <x:c r="Q334" s="99"/>
      <x:c r="R334" s="99"/>
      <x:c r="S334" s="99"/>
      <x:c r="T334" s="99"/>
      <x:c r="U334" s="99"/>
      <x:c r="V334" s="99"/>
      <x:c r="W334" s="99"/>
      <x:c r="X334" s="99"/>
      <x:c r="Y334" s="99"/>
      <x:c r="Z334" s="99"/>
    </x:row>
    <x:row r="335">
      <x:c r="A335" s="99"/>
      <x:c r="B335" s="99"/>
      <x:c r="C335" s="99"/>
      <x:c r="D335" s="99"/>
      <x:c r="E335" s="99"/>
      <x:c r="F335" s="99"/>
      <x:c r="G335" s="99"/>
      <x:c r="H335" s="99"/>
      <x:c r="I335" s="99"/>
      <x:c r="J335" s="99"/>
      <x:c r="K335" s="99"/>
      <x:c r="L335" s="99"/>
      <x:c r="M335" s="99"/>
      <x:c r="N335" s="99"/>
      <x:c r="O335" s="99"/>
      <x:c r="P335" s="99"/>
      <x:c r="Q335" s="99"/>
      <x:c r="R335" s="99"/>
      <x:c r="S335" s="99"/>
      <x:c r="T335" s="99"/>
      <x:c r="U335" s="99"/>
      <x:c r="V335" s="99"/>
      <x:c r="W335" s="99"/>
      <x:c r="X335" s="99"/>
      <x:c r="Y335" s="99"/>
      <x:c r="Z335" s="99"/>
    </x:row>
    <x:row r="336">
      <x:c r="A336" s="99"/>
      <x:c r="B336" s="99"/>
      <x:c r="C336" s="99"/>
      <x:c r="D336" s="99"/>
      <x:c r="E336" s="99"/>
      <x:c r="F336" s="99"/>
      <x:c r="G336" s="99"/>
      <x:c r="H336" s="99"/>
      <x:c r="I336" s="99"/>
      <x:c r="J336" s="99"/>
      <x:c r="K336" s="99"/>
      <x:c r="L336" s="99"/>
      <x:c r="M336" s="99"/>
      <x:c r="N336" s="99"/>
      <x:c r="O336" s="99"/>
      <x:c r="P336" s="99"/>
      <x:c r="Q336" s="99"/>
      <x:c r="R336" s="99"/>
      <x:c r="S336" s="99"/>
      <x:c r="T336" s="99"/>
      <x:c r="U336" s="99"/>
      <x:c r="V336" s="99"/>
      <x:c r="W336" s="99"/>
      <x:c r="X336" s="99"/>
      <x:c r="Y336" s="99"/>
      <x:c r="Z336" s="99"/>
    </x:row>
    <x:row r="337">
      <x:c r="A337" s="99"/>
      <x:c r="B337" s="99"/>
      <x:c r="C337" s="99"/>
      <x:c r="D337" s="99"/>
      <x:c r="E337" s="99"/>
      <x:c r="F337" s="99"/>
      <x:c r="G337" s="99"/>
      <x:c r="H337" s="99"/>
      <x:c r="I337" s="99"/>
      <x:c r="J337" s="99"/>
      <x:c r="K337" s="99"/>
      <x:c r="L337" s="99"/>
      <x:c r="M337" s="99"/>
      <x:c r="N337" s="99"/>
      <x:c r="O337" s="99"/>
      <x:c r="P337" s="99"/>
      <x:c r="Q337" s="99"/>
      <x:c r="R337" s="99"/>
      <x:c r="S337" s="99"/>
      <x:c r="T337" s="99"/>
      <x:c r="U337" s="99"/>
      <x:c r="V337" s="99"/>
      <x:c r="W337" s="99"/>
      <x:c r="X337" s="99"/>
      <x:c r="Y337" s="99"/>
      <x:c r="Z337" s="99"/>
    </x:row>
    <x:row r="338">
      <x:c r="A338" s="99"/>
      <x:c r="B338" s="99"/>
      <x:c r="C338" s="99"/>
      <x:c r="D338" s="99"/>
      <x:c r="E338" s="99"/>
      <x:c r="F338" s="99"/>
      <x:c r="G338" s="99"/>
      <x:c r="H338" s="99"/>
      <x:c r="I338" s="99"/>
      <x:c r="J338" s="99"/>
      <x:c r="K338" s="99"/>
      <x:c r="L338" s="99"/>
      <x:c r="M338" s="99"/>
      <x:c r="N338" s="99"/>
      <x:c r="O338" s="99"/>
      <x:c r="P338" s="99"/>
      <x:c r="Q338" s="99"/>
      <x:c r="R338" s="99"/>
      <x:c r="S338" s="99"/>
      <x:c r="T338" s="99"/>
      <x:c r="U338" s="99"/>
      <x:c r="V338" s="99"/>
      <x:c r="W338" s="99"/>
      <x:c r="X338" s="99"/>
      <x:c r="Y338" s="99"/>
      <x:c r="Z338" s="99"/>
    </x:row>
    <x:row r="339">
      <x:c r="A339" s="99"/>
      <x:c r="B339" s="99"/>
      <x:c r="C339" s="99"/>
      <x:c r="D339" s="99"/>
      <x:c r="E339" s="99"/>
      <x:c r="F339" s="99"/>
      <x:c r="G339" s="99"/>
      <x:c r="H339" s="99"/>
      <x:c r="I339" s="99"/>
      <x:c r="J339" s="99"/>
      <x:c r="K339" s="99"/>
      <x:c r="L339" s="99"/>
      <x:c r="M339" s="99"/>
      <x:c r="N339" s="99"/>
      <x:c r="O339" s="99"/>
      <x:c r="P339" s="99"/>
      <x:c r="Q339" s="99"/>
      <x:c r="R339" s="99"/>
      <x:c r="S339" s="99"/>
      <x:c r="T339" s="99"/>
      <x:c r="U339" s="99"/>
      <x:c r="V339" s="99"/>
      <x:c r="W339" s="99"/>
      <x:c r="X339" s="99"/>
      <x:c r="Y339" s="99"/>
      <x:c r="Z339" s="99"/>
    </x:row>
    <x:row r="340">
      <x:c r="A340" s="99"/>
      <x:c r="B340" s="99"/>
      <x:c r="C340" s="99"/>
      <x:c r="D340" s="99"/>
      <x:c r="E340" s="99"/>
      <x:c r="F340" s="99"/>
      <x:c r="G340" s="99"/>
      <x:c r="H340" s="99"/>
      <x:c r="I340" s="99"/>
      <x:c r="J340" s="99"/>
      <x:c r="K340" s="99"/>
      <x:c r="L340" s="99"/>
      <x:c r="M340" s="99"/>
      <x:c r="N340" s="99"/>
      <x:c r="O340" s="99"/>
      <x:c r="P340" s="99"/>
      <x:c r="Q340" s="99"/>
      <x:c r="R340" s="99"/>
      <x:c r="S340" s="99"/>
      <x:c r="T340" s="99"/>
      <x:c r="U340" s="99"/>
      <x:c r="V340" s="99"/>
      <x:c r="W340" s="99"/>
      <x:c r="X340" s="99"/>
      <x:c r="Y340" s="99"/>
      <x:c r="Z340" s="99"/>
    </x:row>
    <x:row r="341">
      <x:c r="A341" s="99"/>
      <x:c r="B341" s="99"/>
      <x:c r="C341" s="99"/>
      <x:c r="D341" s="99"/>
      <x:c r="E341" s="99"/>
      <x:c r="F341" s="99"/>
      <x:c r="G341" s="99"/>
      <x:c r="H341" s="99"/>
      <x:c r="I341" s="99"/>
      <x:c r="J341" s="99"/>
      <x:c r="K341" s="99"/>
      <x:c r="L341" s="99"/>
      <x:c r="M341" s="99"/>
      <x:c r="N341" s="99"/>
      <x:c r="O341" s="99"/>
      <x:c r="P341" s="99"/>
      <x:c r="Q341" s="99"/>
      <x:c r="R341" s="99"/>
      <x:c r="S341" s="99"/>
      <x:c r="T341" s="99"/>
      <x:c r="U341" s="99"/>
      <x:c r="V341" s="99"/>
      <x:c r="W341" s="99"/>
      <x:c r="X341" s="99"/>
      <x:c r="Y341" s="99"/>
      <x:c r="Z341" s="99"/>
    </x:row>
    <x:row r="342">
      <x:c r="A342" s="99"/>
      <x:c r="B342" s="99"/>
      <x:c r="C342" s="99"/>
      <x:c r="D342" s="99"/>
      <x:c r="E342" s="99"/>
      <x:c r="F342" s="99"/>
      <x:c r="G342" s="99"/>
      <x:c r="H342" s="99"/>
      <x:c r="I342" s="99"/>
      <x:c r="J342" s="99"/>
      <x:c r="K342" s="99"/>
      <x:c r="L342" s="99"/>
      <x:c r="M342" s="99"/>
      <x:c r="N342" s="99"/>
      <x:c r="O342" s="99"/>
      <x:c r="P342" s="99"/>
      <x:c r="Q342" s="99"/>
      <x:c r="R342" s="99"/>
      <x:c r="S342" s="99"/>
      <x:c r="T342" s="99"/>
      <x:c r="U342" s="99"/>
      <x:c r="V342" s="99"/>
      <x:c r="W342" s="99"/>
      <x:c r="X342" s="99"/>
      <x:c r="Y342" s="99"/>
      <x:c r="Z342" s="99"/>
    </x:row>
    <x:row r="343">
      <x:c r="A343" s="99"/>
      <x:c r="B343" s="99"/>
      <x:c r="C343" s="99"/>
      <x:c r="D343" s="99"/>
      <x:c r="E343" s="99"/>
      <x:c r="F343" s="99"/>
      <x:c r="G343" s="99"/>
      <x:c r="H343" s="99"/>
      <x:c r="I343" s="99"/>
      <x:c r="J343" s="99"/>
      <x:c r="K343" s="99"/>
      <x:c r="L343" s="99"/>
      <x:c r="M343" s="99"/>
      <x:c r="N343" s="99"/>
      <x:c r="O343" s="99"/>
      <x:c r="P343" s="99"/>
      <x:c r="Q343" s="99"/>
      <x:c r="R343" s="99"/>
      <x:c r="S343" s="99"/>
      <x:c r="T343" s="99"/>
      <x:c r="U343" s="99"/>
      <x:c r="V343" s="99"/>
      <x:c r="W343" s="99"/>
      <x:c r="X343" s="99"/>
      <x:c r="Y343" s="99"/>
      <x:c r="Z343" s="99"/>
    </x:row>
    <x:row r="344">
      <x:c r="A344" s="99"/>
      <x:c r="B344" s="99"/>
      <x:c r="C344" s="99"/>
      <x:c r="D344" s="99"/>
      <x:c r="E344" s="99"/>
      <x:c r="F344" s="99"/>
      <x:c r="G344" s="99"/>
      <x:c r="H344" s="99"/>
      <x:c r="I344" s="99"/>
      <x:c r="J344" s="99"/>
      <x:c r="K344" s="99"/>
      <x:c r="L344" s="99"/>
      <x:c r="M344" s="99"/>
      <x:c r="N344" s="99"/>
      <x:c r="O344" s="99"/>
      <x:c r="P344" s="99"/>
      <x:c r="Q344" s="99"/>
      <x:c r="R344" s="99"/>
      <x:c r="S344" s="99"/>
      <x:c r="T344" s="99"/>
      <x:c r="U344" s="99"/>
      <x:c r="V344" s="99"/>
      <x:c r="W344" s="99"/>
      <x:c r="X344" s="99"/>
      <x:c r="Y344" s="99"/>
      <x:c r="Z344" s="99"/>
    </x:row>
    <x:row r="345">
      <x:c r="A345" s="99"/>
      <x:c r="B345" s="99"/>
      <x:c r="C345" s="99"/>
      <x:c r="D345" s="99"/>
      <x:c r="E345" s="99"/>
      <x:c r="F345" s="99"/>
      <x:c r="G345" s="99"/>
      <x:c r="H345" s="99"/>
      <x:c r="I345" s="99"/>
      <x:c r="J345" s="99"/>
      <x:c r="K345" s="99"/>
      <x:c r="L345" s="99"/>
      <x:c r="M345" s="99"/>
      <x:c r="N345" s="99"/>
      <x:c r="O345" s="99"/>
      <x:c r="P345" s="99"/>
      <x:c r="Q345" s="99"/>
      <x:c r="R345" s="99"/>
      <x:c r="S345" s="99"/>
      <x:c r="T345" s="99"/>
      <x:c r="U345" s="99"/>
      <x:c r="V345" s="99"/>
      <x:c r="W345" s="99"/>
      <x:c r="X345" s="99"/>
      <x:c r="Y345" s="99"/>
      <x:c r="Z345" s="99"/>
    </x:row>
    <x:row r="346">
      <x:c r="A346" s="99"/>
      <x:c r="B346" s="99"/>
      <x:c r="C346" s="99"/>
      <x:c r="D346" s="99"/>
      <x:c r="E346" s="99"/>
      <x:c r="F346" s="99"/>
      <x:c r="G346" s="99"/>
      <x:c r="H346" s="99"/>
      <x:c r="I346" s="99"/>
      <x:c r="J346" s="99"/>
      <x:c r="K346" s="99"/>
      <x:c r="L346" s="99"/>
      <x:c r="M346" s="99"/>
      <x:c r="N346" s="99"/>
      <x:c r="O346" s="99"/>
      <x:c r="P346" s="99"/>
      <x:c r="Q346" s="99"/>
      <x:c r="R346" s="99"/>
      <x:c r="S346" s="99"/>
      <x:c r="T346" s="99"/>
      <x:c r="U346" s="99"/>
      <x:c r="V346" s="99"/>
      <x:c r="W346" s="99"/>
      <x:c r="X346" s="99"/>
      <x:c r="Y346" s="99"/>
      <x:c r="Z346" s="99"/>
    </x:row>
    <x:row r="347">
      <x:c r="A347" s="99"/>
      <x:c r="B347" s="99"/>
      <x:c r="C347" s="99"/>
      <x:c r="D347" s="99"/>
      <x:c r="E347" s="99"/>
      <x:c r="F347" s="99"/>
      <x:c r="G347" s="99"/>
      <x:c r="H347" s="99"/>
      <x:c r="I347" s="99"/>
      <x:c r="J347" s="99"/>
      <x:c r="K347" s="99"/>
      <x:c r="L347" s="99"/>
      <x:c r="M347" s="99"/>
      <x:c r="N347" s="99"/>
      <x:c r="O347" s="99"/>
      <x:c r="P347" s="99"/>
      <x:c r="Q347" s="99"/>
      <x:c r="R347" s="99"/>
      <x:c r="S347" s="99"/>
      <x:c r="T347" s="99"/>
      <x:c r="U347" s="99"/>
      <x:c r="V347" s="99"/>
      <x:c r="W347" s="99"/>
      <x:c r="X347" s="99"/>
      <x:c r="Y347" s="99"/>
      <x:c r="Z347" s="99"/>
    </x:row>
    <x:row r="348">
      <x:c r="A348" s="99"/>
      <x:c r="B348" s="99"/>
      <x:c r="C348" s="99"/>
      <x:c r="D348" s="99"/>
      <x:c r="E348" s="99"/>
      <x:c r="F348" s="99"/>
      <x:c r="G348" s="99"/>
      <x:c r="H348" s="99"/>
      <x:c r="I348" s="99"/>
      <x:c r="J348" s="99"/>
      <x:c r="K348" s="99"/>
      <x:c r="L348" s="99"/>
      <x:c r="M348" s="99"/>
      <x:c r="N348" s="99"/>
      <x:c r="O348" s="99"/>
      <x:c r="P348" s="99"/>
      <x:c r="Q348" s="99"/>
      <x:c r="R348" s="99"/>
      <x:c r="S348" s="99"/>
      <x:c r="T348" s="99"/>
      <x:c r="U348" s="99"/>
      <x:c r="V348" s="99"/>
      <x:c r="W348" s="99"/>
      <x:c r="X348" s="99"/>
      <x:c r="Y348" s="99"/>
      <x:c r="Z348" s="99"/>
    </x:row>
    <x:row r="349">
      <x:c r="A349" s="99"/>
      <x:c r="B349" s="99"/>
      <x:c r="C349" s="99"/>
      <x:c r="D349" s="99"/>
      <x:c r="E349" s="99"/>
      <x:c r="F349" s="99"/>
      <x:c r="G349" s="99"/>
      <x:c r="H349" s="99"/>
      <x:c r="I349" s="99"/>
      <x:c r="J349" s="99"/>
      <x:c r="K349" s="99"/>
      <x:c r="L349" s="99"/>
      <x:c r="M349" s="99"/>
      <x:c r="N349" s="99"/>
      <x:c r="O349" s="99"/>
      <x:c r="P349" s="99"/>
      <x:c r="Q349" s="99"/>
      <x:c r="R349" s="99"/>
      <x:c r="S349" s="99"/>
      <x:c r="T349" s="99"/>
      <x:c r="U349" s="99"/>
      <x:c r="V349" s="99"/>
      <x:c r="W349" s="99"/>
      <x:c r="X349" s="99"/>
      <x:c r="Y349" s="99"/>
      <x:c r="Z349" s="99"/>
    </x:row>
    <x:row r="350">
      <x:c r="A350" s="99"/>
      <x:c r="B350" s="99"/>
      <x:c r="C350" s="99"/>
      <x:c r="D350" s="99"/>
      <x:c r="E350" s="99"/>
      <x:c r="F350" s="99"/>
      <x:c r="G350" s="99"/>
      <x:c r="H350" s="99"/>
      <x:c r="I350" s="99"/>
      <x:c r="J350" s="99"/>
      <x:c r="K350" s="99"/>
      <x:c r="L350" s="99"/>
      <x:c r="M350" s="99"/>
      <x:c r="N350" s="99"/>
      <x:c r="O350" s="99"/>
      <x:c r="P350" s="99"/>
      <x:c r="Q350" s="99"/>
      <x:c r="R350" s="99"/>
      <x:c r="S350" s="99"/>
      <x:c r="T350" s="99"/>
      <x:c r="U350" s="99"/>
      <x:c r="V350" s="99"/>
      <x:c r="W350" s="99"/>
      <x:c r="X350" s="99"/>
      <x:c r="Y350" s="99"/>
      <x:c r="Z350" s="99"/>
    </x:row>
    <x:row r="351">
      <x:c r="A351" s="99"/>
      <x:c r="B351" s="99"/>
      <x:c r="C351" s="99"/>
      <x:c r="D351" s="99"/>
      <x:c r="E351" s="99"/>
      <x:c r="F351" s="99"/>
      <x:c r="G351" s="99"/>
      <x:c r="H351" s="99"/>
      <x:c r="I351" s="99"/>
      <x:c r="J351" s="99"/>
      <x:c r="K351" s="99"/>
      <x:c r="L351" s="99"/>
      <x:c r="M351" s="99"/>
      <x:c r="N351" s="99"/>
      <x:c r="O351" s="99"/>
      <x:c r="P351" s="99"/>
      <x:c r="Q351" s="99"/>
      <x:c r="R351" s="99"/>
      <x:c r="S351" s="99"/>
      <x:c r="T351" s="99"/>
      <x:c r="U351" s="99"/>
      <x:c r="V351" s="99"/>
      <x:c r="W351" s="99"/>
      <x:c r="X351" s="99"/>
      <x:c r="Y351" s="99"/>
      <x:c r="Z351" s="99"/>
    </x:row>
    <x:row r="352">
      <x:c r="A352" s="99"/>
      <x:c r="B352" s="99"/>
      <x:c r="C352" s="99"/>
      <x:c r="D352" s="99"/>
      <x:c r="E352" s="99"/>
      <x:c r="F352" s="99"/>
      <x:c r="G352" s="99"/>
      <x:c r="H352" s="99"/>
      <x:c r="I352" s="99"/>
      <x:c r="J352" s="99"/>
      <x:c r="K352" s="99"/>
      <x:c r="L352" s="99"/>
      <x:c r="M352" s="99"/>
      <x:c r="N352" s="99"/>
      <x:c r="O352" s="99"/>
      <x:c r="P352" s="99"/>
      <x:c r="Q352" s="99"/>
      <x:c r="R352" s="99"/>
      <x:c r="S352" s="99"/>
      <x:c r="T352" s="99"/>
      <x:c r="U352" s="99"/>
      <x:c r="V352" s="99"/>
      <x:c r="W352" s="99"/>
      <x:c r="X352" s="99"/>
      <x:c r="Y352" s="99"/>
      <x:c r="Z352" s="99"/>
    </x:row>
    <x:row r="353">
      <x:c r="A353" s="99"/>
      <x:c r="B353" s="99"/>
      <x:c r="C353" s="99"/>
      <x:c r="D353" s="99"/>
      <x:c r="E353" s="99"/>
      <x:c r="F353" s="99"/>
      <x:c r="G353" s="99"/>
      <x:c r="H353" s="99"/>
      <x:c r="I353" s="99"/>
      <x:c r="J353" s="99"/>
      <x:c r="K353" s="99"/>
      <x:c r="L353" s="99"/>
      <x:c r="M353" s="99"/>
      <x:c r="N353" s="99"/>
      <x:c r="O353" s="99"/>
      <x:c r="P353" s="99"/>
      <x:c r="Q353" s="99"/>
      <x:c r="R353" s="99"/>
      <x:c r="S353" s="99"/>
      <x:c r="T353" s="99"/>
      <x:c r="U353" s="99"/>
      <x:c r="V353" s="99"/>
      <x:c r="W353" s="99"/>
      <x:c r="X353" s="99"/>
      <x:c r="Y353" s="99"/>
      <x:c r="Z353" s="99"/>
    </x:row>
    <x:row r="354">
      <x:c r="A354" s="99"/>
      <x:c r="B354" s="99"/>
      <x:c r="C354" s="99"/>
      <x:c r="D354" s="99"/>
      <x:c r="E354" s="99"/>
      <x:c r="F354" s="99"/>
      <x:c r="G354" s="99"/>
      <x:c r="H354" s="99"/>
      <x:c r="I354" s="99"/>
      <x:c r="J354" s="99"/>
      <x:c r="K354" s="99"/>
      <x:c r="L354" s="99"/>
      <x:c r="M354" s="99"/>
      <x:c r="N354" s="99"/>
      <x:c r="O354" s="99"/>
      <x:c r="P354" s="99"/>
      <x:c r="Q354" s="99"/>
      <x:c r="R354" s="99"/>
      <x:c r="S354" s="99"/>
      <x:c r="T354" s="99"/>
      <x:c r="U354" s="99"/>
      <x:c r="V354" s="99"/>
      <x:c r="W354" s="99"/>
      <x:c r="X354" s="99"/>
      <x:c r="Y354" s="99"/>
      <x:c r="Z354" s="99"/>
    </x:row>
    <x:row r="355">
      <x:c r="A355" s="99"/>
      <x:c r="B355" s="99"/>
      <x:c r="C355" s="99"/>
      <x:c r="D355" s="99"/>
      <x:c r="E355" s="99"/>
      <x:c r="F355" s="99"/>
      <x:c r="G355" s="99"/>
      <x:c r="H355" s="99"/>
      <x:c r="I355" s="99"/>
      <x:c r="J355" s="99"/>
      <x:c r="K355" s="99"/>
      <x:c r="L355" s="99"/>
      <x:c r="M355" s="99"/>
      <x:c r="N355" s="99"/>
      <x:c r="O355" s="99"/>
      <x:c r="P355" s="99"/>
      <x:c r="Q355" s="99"/>
      <x:c r="R355" s="99"/>
      <x:c r="S355" s="99"/>
      <x:c r="T355" s="99"/>
      <x:c r="U355" s="99"/>
      <x:c r="V355" s="99"/>
      <x:c r="W355" s="99"/>
      <x:c r="X355" s="99"/>
      <x:c r="Y355" s="99"/>
      <x:c r="Z355" s="99"/>
    </x:row>
    <x:row r="356">
      <x:c r="A356" s="99"/>
      <x:c r="B356" s="99"/>
      <x:c r="C356" s="99"/>
      <x:c r="D356" s="99"/>
      <x:c r="E356" s="99"/>
      <x:c r="F356" s="99"/>
      <x:c r="G356" s="99"/>
      <x:c r="H356" s="99"/>
      <x:c r="I356" s="99"/>
      <x:c r="J356" s="99"/>
      <x:c r="K356" s="99"/>
      <x:c r="L356" s="99"/>
      <x:c r="M356" s="99"/>
      <x:c r="N356" s="99"/>
      <x:c r="O356" s="99"/>
      <x:c r="P356" s="99"/>
      <x:c r="Q356" s="99"/>
      <x:c r="R356" s="99"/>
      <x:c r="S356" s="99"/>
      <x:c r="T356" s="99"/>
      <x:c r="U356" s="99"/>
      <x:c r="V356" s="99"/>
      <x:c r="W356" s="99"/>
      <x:c r="X356" s="99"/>
      <x:c r="Y356" s="99"/>
      <x:c r="Z356" s="99"/>
    </x:row>
    <x:row r="357">
      <x:c r="A357" s="99"/>
      <x:c r="B357" s="99"/>
      <x:c r="C357" s="99"/>
      <x:c r="D357" s="99"/>
      <x:c r="E357" s="99"/>
      <x:c r="F357" s="99"/>
      <x:c r="G357" s="99"/>
      <x:c r="H357" s="99"/>
      <x:c r="I357" s="99"/>
      <x:c r="J357" s="99"/>
      <x:c r="K357" s="99"/>
      <x:c r="L357" s="99"/>
      <x:c r="M357" s="99"/>
      <x:c r="N357" s="99"/>
      <x:c r="O357" s="99"/>
      <x:c r="P357" s="99"/>
      <x:c r="Q357" s="99"/>
      <x:c r="R357" s="99"/>
      <x:c r="S357" s="99"/>
      <x:c r="T357" s="99"/>
      <x:c r="U357" s="99"/>
      <x:c r="V357" s="99"/>
      <x:c r="W357" s="99"/>
      <x:c r="X357" s="99"/>
      <x:c r="Y357" s="99"/>
      <x:c r="Z357" s="99"/>
    </x:row>
    <x:row r="358">
      <x:c r="A358" s="99"/>
      <x:c r="B358" s="99"/>
      <x:c r="C358" s="99"/>
      <x:c r="D358" s="99"/>
      <x:c r="E358" s="99"/>
      <x:c r="F358" s="99"/>
      <x:c r="G358" s="99"/>
      <x:c r="H358" s="99"/>
      <x:c r="I358" s="99"/>
      <x:c r="J358" s="99"/>
      <x:c r="K358" s="99"/>
      <x:c r="L358" s="99"/>
      <x:c r="M358" s="99"/>
      <x:c r="N358" s="99"/>
      <x:c r="O358" s="99"/>
      <x:c r="P358" s="99"/>
      <x:c r="Q358" s="99"/>
      <x:c r="R358" s="99"/>
      <x:c r="S358" s="99"/>
      <x:c r="T358" s="99"/>
      <x:c r="U358" s="99"/>
      <x:c r="V358" s="99"/>
      <x:c r="W358" s="99"/>
      <x:c r="X358" s="99"/>
      <x:c r="Y358" s="99"/>
      <x:c r="Z358" s="99"/>
    </x:row>
    <x:row r="359">
      <x:c r="A359" s="99"/>
      <x:c r="B359" s="99"/>
      <x:c r="C359" s="99"/>
      <x:c r="D359" s="99"/>
      <x:c r="E359" s="99"/>
      <x:c r="F359" s="99"/>
      <x:c r="G359" s="99"/>
      <x:c r="H359" s="99"/>
      <x:c r="I359" s="99"/>
      <x:c r="J359" s="99"/>
      <x:c r="K359" s="99"/>
      <x:c r="L359" s="99"/>
      <x:c r="M359" s="99"/>
      <x:c r="N359" s="99"/>
      <x:c r="O359" s="99"/>
      <x:c r="P359" s="99"/>
      <x:c r="Q359" s="99"/>
      <x:c r="R359" s="99"/>
      <x:c r="S359" s="99"/>
      <x:c r="T359" s="99"/>
      <x:c r="U359" s="99"/>
      <x:c r="V359" s="99"/>
      <x:c r="W359" s="99"/>
      <x:c r="X359" s="99"/>
      <x:c r="Y359" s="99"/>
      <x:c r="Z359" s="99"/>
    </x:row>
    <x:row r="360">
      <x:c r="A360" s="99"/>
      <x:c r="B360" s="99"/>
      <x:c r="C360" s="99"/>
      <x:c r="D360" s="99"/>
      <x:c r="E360" s="99"/>
      <x:c r="F360" s="99"/>
      <x:c r="G360" s="99"/>
      <x:c r="H360" s="99"/>
      <x:c r="I360" s="99"/>
      <x:c r="J360" s="99"/>
      <x:c r="K360" s="99"/>
      <x:c r="L360" s="99"/>
      <x:c r="M360" s="99"/>
      <x:c r="N360" s="99"/>
      <x:c r="O360" s="99"/>
      <x:c r="P360" s="99"/>
      <x:c r="Q360" s="99"/>
      <x:c r="R360" s="99"/>
      <x:c r="S360" s="99"/>
      <x:c r="T360" s="99"/>
      <x:c r="U360" s="99"/>
      <x:c r="V360" s="99"/>
      <x:c r="W360" s="99"/>
      <x:c r="X360" s="99"/>
      <x:c r="Y360" s="99"/>
      <x:c r="Z360" s="99"/>
    </x:row>
    <x:row r="361">
      <x:c r="A361" s="99"/>
      <x:c r="B361" s="99"/>
      <x:c r="C361" s="99"/>
      <x:c r="D361" s="99"/>
      <x:c r="E361" s="99"/>
      <x:c r="F361" s="99"/>
      <x:c r="G361" s="99"/>
      <x:c r="H361" s="99"/>
      <x:c r="I361" s="99"/>
      <x:c r="J361" s="99"/>
      <x:c r="K361" s="99"/>
      <x:c r="L361" s="99"/>
      <x:c r="M361" s="99"/>
      <x:c r="N361" s="99"/>
      <x:c r="O361" s="99"/>
      <x:c r="P361" s="99"/>
      <x:c r="Q361" s="99"/>
      <x:c r="R361" s="99"/>
      <x:c r="S361" s="99"/>
      <x:c r="T361" s="99"/>
      <x:c r="U361" s="99"/>
      <x:c r="V361" s="99"/>
      <x:c r="W361" s="99"/>
      <x:c r="X361" s="99"/>
      <x:c r="Y361" s="99"/>
      <x:c r="Z361" s="99"/>
    </x:row>
    <x:row r="362">
      <x:c r="A362" s="99"/>
      <x:c r="B362" s="99"/>
      <x:c r="C362" s="99"/>
      <x:c r="D362" s="99"/>
      <x:c r="E362" s="99"/>
      <x:c r="F362" s="99"/>
      <x:c r="G362" s="99"/>
      <x:c r="H362" s="99"/>
      <x:c r="I362" s="99"/>
      <x:c r="J362" s="99"/>
      <x:c r="K362" s="99"/>
      <x:c r="L362" s="99"/>
      <x:c r="M362" s="99"/>
      <x:c r="N362" s="99"/>
      <x:c r="O362" s="99"/>
      <x:c r="P362" s="99"/>
      <x:c r="Q362" s="99"/>
      <x:c r="R362" s="99"/>
      <x:c r="S362" s="99"/>
      <x:c r="T362" s="99"/>
      <x:c r="U362" s="99"/>
      <x:c r="V362" s="99"/>
      <x:c r="W362" s="99"/>
      <x:c r="X362" s="99"/>
      <x:c r="Y362" s="99"/>
      <x:c r="Z362" s="99"/>
    </x:row>
    <x:row r="363">
      <x:c r="A363" s="99"/>
      <x:c r="B363" s="99"/>
      <x:c r="C363" s="99"/>
      <x:c r="D363" s="99"/>
      <x:c r="E363" s="99"/>
      <x:c r="F363" s="99"/>
      <x:c r="G363" s="99"/>
      <x:c r="H363" s="99"/>
      <x:c r="I363" s="99"/>
      <x:c r="J363" s="99"/>
      <x:c r="K363" s="99"/>
      <x:c r="L363" s="99"/>
      <x:c r="M363" s="99"/>
      <x:c r="N363" s="99"/>
      <x:c r="O363" s="99"/>
      <x:c r="P363" s="99"/>
      <x:c r="Q363" s="99"/>
      <x:c r="R363" s="99"/>
      <x:c r="S363" s="99"/>
      <x:c r="T363" s="99"/>
      <x:c r="U363" s="99"/>
      <x:c r="V363" s="99"/>
      <x:c r="W363" s="99"/>
      <x:c r="X363" s="99"/>
      <x:c r="Y363" s="99"/>
      <x:c r="Z363" s="99"/>
    </x:row>
    <x:row r="364">
      <x:c r="A364" s="99"/>
      <x:c r="B364" s="99"/>
      <x:c r="C364" s="99"/>
      <x:c r="D364" s="99"/>
      <x:c r="E364" s="99"/>
      <x:c r="F364" s="99"/>
      <x:c r="G364" s="99"/>
      <x:c r="H364" s="99"/>
      <x:c r="I364" s="99"/>
      <x:c r="J364" s="99"/>
      <x:c r="K364" s="99"/>
      <x:c r="L364" s="99"/>
      <x:c r="M364" s="99"/>
      <x:c r="N364" s="99"/>
      <x:c r="O364" s="99"/>
      <x:c r="P364" s="99"/>
      <x:c r="Q364" s="99"/>
      <x:c r="R364" s="99"/>
      <x:c r="S364" s="99"/>
      <x:c r="T364" s="99"/>
      <x:c r="U364" s="99"/>
      <x:c r="V364" s="99"/>
      <x:c r="W364" s="99"/>
      <x:c r="X364" s="99"/>
      <x:c r="Y364" s="99"/>
      <x:c r="Z364" s="99"/>
    </x:row>
    <x:row r="365">
      <x:c r="A365" s="99"/>
      <x:c r="B365" s="99"/>
      <x:c r="C365" s="99"/>
      <x:c r="D365" s="99"/>
      <x:c r="E365" s="99"/>
      <x:c r="F365" s="99"/>
      <x:c r="G365" s="99"/>
      <x:c r="H365" s="99"/>
      <x:c r="I365" s="99"/>
      <x:c r="J365" s="99"/>
      <x:c r="K365" s="99"/>
      <x:c r="L365" s="99"/>
      <x:c r="M365" s="99"/>
      <x:c r="N365" s="99"/>
      <x:c r="O365" s="99"/>
      <x:c r="P365" s="99"/>
      <x:c r="Q365" s="99"/>
      <x:c r="R365" s="99"/>
      <x:c r="S365" s="99"/>
      <x:c r="T365" s="99"/>
      <x:c r="U365" s="99"/>
      <x:c r="V365" s="99"/>
      <x:c r="W365" s="99"/>
      <x:c r="X365" s="99"/>
      <x:c r="Y365" s="99"/>
      <x:c r="Z365" s="99"/>
    </x:row>
    <x:row r="366">
      <x:c r="A366" s="99"/>
      <x:c r="B366" s="99"/>
      <x:c r="C366" s="99"/>
      <x:c r="D366" s="99"/>
      <x:c r="E366" s="99"/>
      <x:c r="F366" s="99"/>
      <x:c r="G366" s="99"/>
      <x:c r="H366" s="99"/>
      <x:c r="I366" s="99"/>
      <x:c r="J366" s="99"/>
      <x:c r="K366" s="99"/>
      <x:c r="L366" s="99"/>
      <x:c r="M366" s="99"/>
      <x:c r="N366" s="99"/>
      <x:c r="O366" s="99"/>
      <x:c r="P366" s="99"/>
      <x:c r="Q366" s="99"/>
      <x:c r="R366" s="99"/>
      <x:c r="S366" s="99"/>
      <x:c r="T366" s="99"/>
      <x:c r="U366" s="99"/>
      <x:c r="V366" s="99"/>
      <x:c r="W366" s="99"/>
      <x:c r="X366" s="99"/>
      <x:c r="Y366" s="99"/>
      <x:c r="Z366" s="99"/>
    </x:row>
    <x:row r="367">
      <x:c r="A367" s="99"/>
      <x:c r="B367" s="99"/>
      <x:c r="C367" s="99"/>
      <x:c r="D367" s="99"/>
      <x:c r="E367" s="99"/>
      <x:c r="F367" s="99"/>
      <x:c r="G367" s="99"/>
      <x:c r="H367" s="99"/>
      <x:c r="I367" s="99"/>
      <x:c r="J367" s="99"/>
      <x:c r="K367" s="99"/>
      <x:c r="L367" s="99"/>
      <x:c r="M367" s="99"/>
      <x:c r="N367" s="99"/>
      <x:c r="O367" s="99"/>
      <x:c r="P367" s="99"/>
      <x:c r="Q367" s="99"/>
      <x:c r="R367" s="99"/>
      <x:c r="S367" s="99"/>
      <x:c r="T367" s="99"/>
      <x:c r="U367" s="99"/>
      <x:c r="V367" s="99"/>
      <x:c r="W367" s="99"/>
      <x:c r="X367" s="99"/>
      <x:c r="Y367" s="99"/>
      <x:c r="Z367" s="99"/>
    </x:row>
    <x:row r="368">
      <x:c r="A368" s="99"/>
      <x:c r="B368" s="99"/>
      <x:c r="C368" s="99"/>
      <x:c r="D368" s="99"/>
      <x:c r="E368" s="99"/>
      <x:c r="F368" s="99"/>
      <x:c r="G368" s="99"/>
      <x:c r="H368" s="99"/>
      <x:c r="I368" s="99"/>
      <x:c r="J368" s="99"/>
      <x:c r="K368" s="99"/>
      <x:c r="L368" s="99"/>
      <x:c r="M368" s="99"/>
      <x:c r="N368" s="99"/>
      <x:c r="O368" s="99"/>
      <x:c r="P368" s="99"/>
      <x:c r="Q368" s="99"/>
      <x:c r="R368" s="99"/>
      <x:c r="S368" s="99"/>
      <x:c r="T368" s="99"/>
      <x:c r="U368" s="99"/>
      <x:c r="V368" s="99"/>
      <x:c r="W368" s="99"/>
      <x:c r="X368" s="99"/>
      <x:c r="Y368" s="99"/>
      <x:c r="Z368" s="99"/>
    </x:row>
    <x:row r="369">
      <x:c r="A369" s="99"/>
      <x:c r="B369" s="99"/>
      <x:c r="C369" s="99"/>
      <x:c r="D369" s="99"/>
      <x:c r="E369" s="99"/>
      <x:c r="F369" s="99"/>
      <x:c r="G369" s="99"/>
      <x:c r="H369" s="99"/>
      <x:c r="I369" s="99"/>
      <x:c r="J369" s="99"/>
      <x:c r="K369" s="99"/>
      <x:c r="L369" s="99"/>
      <x:c r="M369" s="99"/>
      <x:c r="N369" s="99"/>
      <x:c r="O369" s="99"/>
      <x:c r="P369" s="99"/>
      <x:c r="Q369" s="99"/>
      <x:c r="R369" s="99"/>
      <x:c r="S369" s="99"/>
      <x:c r="T369" s="99"/>
      <x:c r="U369" s="99"/>
      <x:c r="V369" s="99"/>
      <x:c r="W369" s="99"/>
      <x:c r="X369" s="99"/>
      <x:c r="Y369" s="99"/>
      <x:c r="Z369" s="99"/>
    </x:row>
    <x:row r="370">
      <x:c r="A370" s="99"/>
      <x:c r="B370" s="99"/>
      <x:c r="C370" s="99"/>
      <x:c r="D370" s="99"/>
      <x:c r="E370" s="99"/>
      <x:c r="F370" s="99"/>
      <x:c r="G370" s="99"/>
      <x:c r="H370" s="99"/>
      <x:c r="I370" s="99"/>
      <x:c r="J370" s="99"/>
      <x:c r="K370" s="99"/>
      <x:c r="L370" s="99"/>
      <x:c r="M370" s="99"/>
      <x:c r="N370" s="99"/>
      <x:c r="O370" s="99"/>
      <x:c r="P370" s="99"/>
      <x:c r="Q370" s="99"/>
      <x:c r="R370" s="99"/>
      <x:c r="S370" s="99"/>
      <x:c r="T370" s="99"/>
      <x:c r="U370" s="99"/>
      <x:c r="V370" s="99"/>
      <x:c r="W370" s="99"/>
      <x:c r="X370" s="99"/>
      <x:c r="Y370" s="99"/>
      <x:c r="Z370" s="99"/>
    </x:row>
    <x:row r="371">
      <x:c r="A371" s="99"/>
      <x:c r="B371" s="99"/>
      <x:c r="C371" s="99"/>
      <x:c r="D371" s="99"/>
      <x:c r="E371" s="99"/>
      <x:c r="F371" s="99"/>
      <x:c r="G371" s="99"/>
      <x:c r="H371" s="99"/>
      <x:c r="I371" s="99"/>
      <x:c r="J371" s="99"/>
      <x:c r="K371" s="99"/>
      <x:c r="L371" s="99"/>
      <x:c r="M371" s="99"/>
      <x:c r="N371" s="99"/>
      <x:c r="O371" s="99"/>
      <x:c r="P371" s="99"/>
      <x:c r="Q371" s="99"/>
      <x:c r="R371" s="99"/>
      <x:c r="S371" s="99"/>
      <x:c r="T371" s="99"/>
      <x:c r="U371" s="99"/>
      <x:c r="V371" s="99"/>
      <x:c r="W371" s="99"/>
      <x:c r="X371" s="99"/>
      <x:c r="Y371" s="99"/>
      <x:c r="Z371" s="99"/>
    </x:row>
    <x:row r="372">
      <x:c r="A372" s="99"/>
      <x:c r="B372" s="99"/>
      <x:c r="C372" s="99"/>
      <x:c r="D372" s="99"/>
      <x:c r="E372" s="99"/>
      <x:c r="F372" s="99"/>
      <x:c r="G372" s="99"/>
      <x:c r="H372" s="99"/>
      <x:c r="I372" s="99"/>
      <x:c r="J372" s="99"/>
      <x:c r="K372" s="99"/>
      <x:c r="L372" s="99"/>
      <x:c r="M372" s="99"/>
      <x:c r="N372" s="99"/>
      <x:c r="O372" s="99"/>
      <x:c r="P372" s="99"/>
      <x:c r="Q372" s="99"/>
      <x:c r="R372" s="99"/>
      <x:c r="S372" s="99"/>
      <x:c r="T372" s="99"/>
      <x:c r="U372" s="99"/>
      <x:c r="V372" s="99"/>
      <x:c r="W372" s="99"/>
      <x:c r="X372" s="99"/>
      <x:c r="Y372" s="99"/>
      <x:c r="Z372" s="99"/>
    </x:row>
    <x:row r="373">
      <x:c r="A373" s="99"/>
      <x:c r="B373" s="99"/>
      <x:c r="C373" s="99"/>
      <x:c r="D373" s="99"/>
      <x:c r="E373" s="99"/>
      <x:c r="F373" s="99"/>
      <x:c r="G373" s="99"/>
      <x:c r="H373" s="99"/>
      <x:c r="I373" s="99"/>
      <x:c r="J373" s="99"/>
      <x:c r="K373" s="99"/>
      <x:c r="L373" s="99"/>
      <x:c r="M373" s="99"/>
      <x:c r="N373" s="99"/>
      <x:c r="O373" s="99"/>
      <x:c r="P373" s="99"/>
      <x:c r="Q373" s="99"/>
      <x:c r="R373" s="99"/>
      <x:c r="S373" s="99"/>
      <x:c r="T373" s="99"/>
      <x:c r="U373" s="99"/>
      <x:c r="V373" s="99"/>
      <x:c r="W373" s="99"/>
      <x:c r="X373" s="99"/>
      <x:c r="Y373" s="99"/>
      <x:c r="Z373" s="99"/>
    </x:row>
    <x:row r="374">
      <x:c r="A374" s="99"/>
      <x:c r="B374" s="99"/>
      <x:c r="C374" s="99"/>
      <x:c r="D374" s="99"/>
      <x:c r="E374" s="99"/>
      <x:c r="F374" s="99"/>
      <x:c r="G374" s="99"/>
      <x:c r="H374" s="99"/>
      <x:c r="I374" s="99"/>
      <x:c r="J374" s="99"/>
      <x:c r="K374" s="99"/>
      <x:c r="L374" s="99"/>
      <x:c r="M374" s="99"/>
      <x:c r="N374" s="99"/>
      <x:c r="O374" s="99"/>
      <x:c r="P374" s="99"/>
      <x:c r="Q374" s="99"/>
      <x:c r="R374" s="99"/>
      <x:c r="S374" s="99"/>
      <x:c r="T374" s="99"/>
      <x:c r="U374" s="99"/>
      <x:c r="V374" s="99"/>
      <x:c r="W374" s="99"/>
      <x:c r="X374" s="99"/>
      <x:c r="Y374" s="99"/>
      <x:c r="Z374" s="99"/>
    </x:row>
    <x:row r="375">
      <x:c r="A375" s="99"/>
      <x:c r="B375" s="99"/>
      <x:c r="C375" s="99"/>
      <x:c r="D375" s="99"/>
      <x:c r="E375" s="99"/>
      <x:c r="F375" s="99"/>
      <x:c r="G375" s="99"/>
      <x:c r="H375" s="99"/>
      <x:c r="I375" s="99"/>
      <x:c r="J375" s="99"/>
      <x:c r="K375" s="99"/>
      <x:c r="L375" s="99"/>
      <x:c r="M375" s="99"/>
      <x:c r="N375" s="99"/>
      <x:c r="O375" s="99"/>
      <x:c r="P375" s="99"/>
      <x:c r="Q375" s="99"/>
      <x:c r="R375" s="99"/>
      <x:c r="S375" s="99"/>
      <x:c r="T375" s="99"/>
      <x:c r="U375" s="99"/>
      <x:c r="V375" s="99"/>
      <x:c r="W375" s="99"/>
      <x:c r="X375" s="99"/>
      <x:c r="Y375" s="99"/>
      <x:c r="Z375" s="99"/>
    </x:row>
    <x:row r="376">
      <x:c r="A376" s="99"/>
      <x:c r="B376" s="99"/>
      <x:c r="C376" s="99"/>
      <x:c r="D376" s="99"/>
      <x:c r="E376" s="99"/>
      <x:c r="F376" s="99"/>
      <x:c r="G376" s="99"/>
      <x:c r="H376" s="99"/>
      <x:c r="I376" s="99"/>
      <x:c r="J376" s="99"/>
      <x:c r="K376" s="99"/>
      <x:c r="L376" s="99"/>
      <x:c r="M376" s="99"/>
      <x:c r="N376" s="99"/>
      <x:c r="O376" s="99"/>
      <x:c r="P376" s="99"/>
      <x:c r="Q376" s="99"/>
      <x:c r="R376" s="99"/>
      <x:c r="S376" s="99"/>
      <x:c r="T376" s="99"/>
      <x:c r="U376" s="99"/>
      <x:c r="V376" s="99"/>
      <x:c r="W376" s="99"/>
      <x:c r="X376" s="99"/>
      <x:c r="Y376" s="99"/>
      <x:c r="Z376" s="99"/>
    </x:row>
    <x:row r="377">
      <x:c r="A377" s="99"/>
      <x:c r="B377" s="99"/>
      <x:c r="C377" s="99"/>
      <x:c r="D377" s="99"/>
      <x:c r="E377" s="99"/>
      <x:c r="F377" s="99"/>
      <x:c r="G377" s="99"/>
      <x:c r="H377" s="99"/>
      <x:c r="I377" s="99"/>
      <x:c r="J377" s="99"/>
      <x:c r="K377" s="99"/>
      <x:c r="L377" s="99"/>
      <x:c r="M377" s="99"/>
      <x:c r="N377" s="99"/>
      <x:c r="O377" s="99"/>
      <x:c r="P377" s="99"/>
      <x:c r="Q377" s="99"/>
      <x:c r="R377" s="99"/>
      <x:c r="S377" s="99"/>
      <x:c r="T377" s="99"/>
      <x:c r="U377" s="99"/>
      <x:c r="V377" s="99"/>
      <x:c r="W377" s="99"/>
      <x:c r="X377" s="99"/>
      <x:c r="Y377" s="99"/>
      <x:c r="Z377" s="99"/>
    </x:row>
    <x:row r="378">
      <x:c r="A378" s="99"/>
      <x:c r="B378" s="99"/>
      <x:c r="C378" s="99"/>
      <x:c r="D378" s="99"/>
      <x:c r="E378" s="99"/>
      <x:c r="F378" s="99"/>
      <x:c r="G378" s="99"/>
      <x:c r="H378" s="99"/>
      <x:c r="I378" s="99"/>
      <x:c r="J378" s="99"/>
      <x:c r="K378" s="99"/>
      <x:c r="L378" s="99"/>
      <x:c r="M378" s="99"/>
      <x:c r="N378" s="99"/>
      <x:c r="O378" s="99"/>
      <x:c r="P378" s="99"/>
      <x:c r="Q378" s="99"/>
      <x:c r="R378" s="99"/>
      <x:c r="S378" s="99"/>
      <x:c r="T378" s="99"/>
      <x:c r="U378" s="99"/>
      <x:c r="V378" s="99"/>
      <x:c r="W378" s="99"/>
      <x:c r="X378" s="99"/>
      <x:c r="Y378" s="99"/>
      <x:c r="Z378" s="99"/>
    </x:row>
    <x:row r="379">
      <x:c r="A379" s="99"/>
      <x:c r="B379" s="99"/>
      <x:c r="C379" s="99"/>
      <x:c r="D379" s="99"/>
      <x:c r="E379" s="99"/>
      <x:c r="F379" s="99"/>
      <x:c r="G379" s="99"/>
      <x:c r="H379" s="99"/>
      <x:c r="I379" s="99"/>
      <x:c r="J379" s="99"/>
      <x:c r="K379" s="99"/>
      <x:c r="L379" s="99"/>
      <x:c r="M379" s="99"/>
      <x:c r="N379" s="99"/>
      <x:c r="O379" s="99"/>
      <x:c r="P379" s="99"/>
      <x:c r="Q379" s="99"/>
      <x:c r="R379" s="99"/>
      <x:c r="S379" s="99"/>
      <x:c r="T379" s="99"/>
      <x:c r="U379" s="99"/>
      <x:c r="V379" s="99"/>
      <x:c r="W379" s="99"/>
      <x:c r="X379" s="99"/>
      <x:c r="Y379" s="99"/>
      <x:c r="Z379" s="99"/>
    </x:row>
    <x:row r="380">
      <x:c r="A380" s="99"/>
      <x:c r="B380" s="99"/>
      <x:c r="C380" s="99"/>
      <x:c r="D380" s="99"/>
      <x:c r="E380" s="99"/>
      <x:c r="F380" s="99"/>
      <x:c r="G380" s="99"/>
      <x:c r="H380" s="99"/>
      <x:c r="I380" s="99"/>
      <x:c r="J380" s="99"/>
      <x:c r="K380" s="99"/>
      <x:c r="L380" s="99"/>
      <x:c r="M380" s="99"/>
      <x:c r="N380" s="99"/>
      <x:c r="O380" s="99"/>
      <x:c r="P380" s="99"/>
      <x:c r="Q380" s="99"/>
      <x:c r="R380" s="99"/>
      <x:c r="S380" s="99"/>
      <x:c r="T380" s="99"/>
      <x:c r="U380" s="99"/>
      <x:c r="V380" s="99"/>
      <x:c r="W380" s="99"/>
      <x:c r="X380" s="99"/>
      <x:c r="Y380" s="99"/>
      <x:c r="Z380" s="99"/>
    </x:row>
    <x:row r="381">
      <x:c r="A381" s="99"/>
      <x:c r="B381" s="99"/>
      <x:c r="C381" s="99"/>
      <x:c r="D381" s="99"/>
      <x:c r="E381" s="99"/>
      <x:c r="F381" s="99"/>
      <x:c r="G381" s="99"/>
      <x:c r="H381" s="99"/>
      <x:c r="I381" s="99"/>
      <x:c r="J381" s="99"/>
      <x:c r="K381" s="99"/>
      <x:c r="L381" s="99"/>
      <x:c r="M381" s="99"/>
      <x:c r="N381" s="99"/>
      <x:c r="O381" s="99"/>
      <x:c r="P381" s="99"/>
      <x:c r="Q381" s="99"/>
      <x:c r="R381" s="99"/>
      <x:c r="S381" s="99"/>
      <x:c r="T381" s="99"/>
      <x:c r="U381" s="99"/>
      <x:c r="V381" s="99"/>
      <x:c r="W381" s="99"/>
      <x:c r="X381" s="99"/>
      <x:c r="Y381" s="99"/>
      <x:c r="Z381" s="99"/>
    </x:row>
    <x:row r="382">
      <x:c r="A382" s="99"/>
      <x:c r="B382" s="99"/>
      <x:c r="C382" s="99"/>
      <x:c r="D382" s="99"/>
      <x:c r="E382" s="99"/>
      <x:c r="F382" s="99"/>
      <x:c r="G382" s="99"/>
      <x:c r="H382" s="99"/>
      <x:c r="I382" s="99"/>
      <x:c r="J382" s="99"/>
      <x:c r="K382" s="99"/>
      <x:c r="L382" s="99"/>
      <x:c r="M382" s="99"/>
      <x:c r="N382" s="99"/>
      <x:c r="O382" s="99"/>
      <x:c r="P382" s="99"/>
      <x:c r="Q382" s="99"/>
      <x:c r="R382" s="99"/>
      <x:c r="S382" s="99"/>
      <x:c r="T382" s="99"/>
      <x:c r="U382" s="99"/>
      <x:c r="V382" s="99"/>
      <x:c r="W382" s="99"/>
      <x:c r="X382" s="99"/>
      <x:c r="Y382" s="99"/>
      <x:c r="Z382" s="99"/>
    </x:row>
    <x:row r="383">
      <x:c r="A383" s="99"/>
      <x:c r="B383" s="99"/>
      <x:c r="C383" s="99"/>
      <x:c r="D383" s="99"/>
      <x:c r="E383" s="99"/>
      <x:c r="F383" s="99"/>
      <x:c r="G383" s="99"/>
      <x:c r="H383" s="99"/>
      <x:c r="I383" s="99"/>
      <x:c r="J383" s="99"/>
      <x:c r="K383" s="99"/>
      <x:c r="L383" s="99"/>
      <x:c r="M383" s="99"/>
      <x:c r="N383" s="99"/>
      <x:c r="O383" s="99"/>
      <x:c r="P383" s="99"/>
      <x:c r="Q383" s="99"/>
      <x:c r="R383" s="99"/>
      <x:c r="S383" s="99"/>
      <x:c r="T383" s="99"/>
      <x:c r="U383" s="99"/>
      <x:c r="V383" s="99"/>
      <x:c r="W383" s="99"/>
      <x:c r="X383" s="99"/>
      <x:c r="Y383" s="99"/>
      <x:c r="Z383" s="99"/>
    </x:row>
    <x:row r="384">
      <x:c r="A384" s="99"/>
      <x:c r="B384" s="99"/>
      <x:c r="C384" s="99"/>
      <x:c r="D384" s="99"/>
      <x:c r="E384" s="99"/>
      <x:c r="F384" s="99"/>
      <x:c r="G384" s="99"/>
      <x:c r="H384" s="99"/>
      <x:c r="I384" s="99"/>
      <x:c r="J384" s="99"/>
      <x:c r="K384" s="99"/>
      <x:c r="L384" s="99"/>
      <x:c r="M384" s="99"/>
      <x:c r="N384" s="99"/>
      <x:c r="O384" s="99"/>
      <x:c r="P384" s="99"/>
      <x:c r="Q384" s="99"/>
      <x:c r="R384" s="99"/>
      <x:c r="S384" s="99"/>
      <x:c r="T384" s="99"/>
      <x:c r="U384" s="99"/>
      <x:c r="V384" s="99"/>
      <x:c r="W384" s="99"/>
      <x:c r="X384" s="99"/>
      <x:c r="Y384" s="99"/>
      <x:c r="Z384" s="99"/>
    </x:row>
    <x:row r="385">
      <x:c r="A385" s="99"/>
      <x:c r="B385" s="99"/>
      <x:c r="C385" s="99"/>
      <x:c r="D385" s="99"/>
      <x:c r="E385" s="99"/>
      <x:c r="F385" s="99"/>
      <x:c r="G385" s="99"/>
      <x:c r="H385" s="99"/>
      <x:c r="I385" s="99"/>
      <x:c r="J385" s="99"/>
      <x:c r="K385" s="99"/>
      <x:c r="L385" s="99"/>
      <x:c r="M385" s="99"/>
      <x:c r="N385" s="99"/>
      <x:c r="O385" s="99"/>
      <x:c r="P385" s="99"/>
      <x:c r="Q385" s="99"/>
      <x:c r="R385" s="99"/>
      <x:c r="S385" s="99"/>
      <x:c r="T385" s="99"/>
      <x:c r="U385" s="99"/>
      <x:c r="V385" s="99"/>
      <x:c r="W385" s="99"/>
      <x:c r="X385" s="99"/>
      <x:c r="Y385" s="99"/>
      <x:c r="Z385" s="99"/>
    </x:row>
    <x:row r="386">
      <x:c r="A386" s="99"/>
      <x:c r="B386" s="99"/>
      <x:c r="C386" s="99"/>
      <x:c r="D386" s="99"/>
      <x:c r="E386" s="99"/>
      <x:c r="F386" s="99"/>
      <x:c r="G386" s="99"/>
      <x:c r="H386" s="99"/>
      <x:c r="I386" s="99"/>
      <x:c r="J386" s="99"/>
      <x:c r="K386" s="99"/>
      <x:c r="L386" s="99"/>
      <x:c r="M386" s="99"/>
      <x:c r="N386" s="99"/>
      <x:c r="O386" s="99"/>
      <x:c r="P386" s="99"/>
      <x:c r="Q386" s="99"/>
      <x:c r="R386" s="99"/>
      <x:c r="S386" s="99"/>
      <x:c r="T386" s="99"/>
      <x:c r="U386" s="99"/>
      <x:c r="V386" s="99"/>
      <x:c r="W386" s="99"/>
      <x:c r="X386" s="99"/>
      <x:c r="Y386" s="99"/>
      <x:c r="Z386" s="99"/>
    </x:row>
    <x:row r="387">
      <x:c r="A387" s="99"/>
      <x:c r="B387" s="99"/>
      <x:c r="C387" s="99"/>
      <x:c r="D387" s="99"/>
      <x:c r="E387" s="99"/>
      <x:c r="F387" s="99"/>
      <x:c r="G387" s="99"/>
      <x:c r="H387" s="99"/>
      <x:c r="I387" s="99"/>
      <x:c r="J387" s="99"/>
      <x:c r="K387" s="99"/>
      <x:c r="L387" s="99"/>
      <x:c r="M387" s="99"/>
      <x:c r="N387" s="99"/>
      <x:c r="O387" s="99"/>
      <x:c r="P387" s="99"/>
      <x:c r="Q387" s="99"/>
      <x:c r="R387" s="99"/>
      <x:c r="S387" s="99"/>
      <x:c r="T387" s="99"/>
      <x:c r="U387" s="99"/>
      <x:c r="V387" s="99"/>
      <x:c r="W387" s="99"/>
      <x:c r="X387" s="99"/>
      <x:c r="Y387" s="99"/>
      <x:c r="Z387" s="99"/>
    </x:row>
    <x:row r="388">
      <x:c r="A388" s="99"/>
      <x:c r="B388" s="99"/>
      <x:c r="C388" s="99"/>
      <x:c r="D388" s="99"/>
      <x:c r="E388" s="99"/>
      <x:c r="F388" s="99"/>
      <x:c r="G388" s="99"/>
      <x:c r="H388" s="99"/>
      <x:c r="I388" s="99"/>
      <x:c r="J388" s="99"/>
      <x:c r="K388" s="99"/>
      <x:c r="L388" s="99"/>
      <x:c r="M388" s="99"/>
      <x:c r="N388" s="99"/>
      <x:c r="O388" s="99"/>
      <x:c r="P388" s="99"/>
      <x:c r="Q388" s="99"/>
      <x:c r="R388" s="99"/>
      <x:c r="S388" s="99"/>
      <x:c r="T388" s="99"/>
      <x:c r="U388" s="99"/>
      <x:c r="V388" s="99"/>
      <x:c r="W388" s="99"/>
      <x:c r="X388" s="99"/>
      <x:c r="Y388" s="99"/>
      <x:c r="Z388" s="99"/>
    </x:row>
    <x:row r="389">
      <x:c r="A389" s="99"/>
      <x:c r="B389" s="99"/>
      <x:c r="C389" s="99"/>
      <x:c r="D389" s="99"/>
      <x:c r="E389" s="99"/>
      <x:c r="F389" s="99"/>
      <x:c r="G389" s="99"/>
      <x:c r="H389" s="99"/>
      <x:c r="I389" s="99"/>
      <x:c r="J389" s="99"/>
      <x:c r="K389" s="99"/>
      <x:c r="L389" s="99"/>
      <x:c r="M389" s="99"/>
      <x:c r="N389" s="99"/>
      <x:c r="O389" s="99"/>
      <x:c r="P389" s="99"/>
      <x:c r="Q389" s="99"/>
      <x:c r="R389" s="99"/>
      <x:c r="S389" s="99"/>
      <x:c r="T389" s="99"/>
      <x:c r="U389" s="99"/>
      <x:c r="V389" s="99"/>
      <x:c r="W389" s="99"/>
      <x:c r="X389" s="99"/>
      <x:c r="Y389" s="99"/>
      <x:c r="Z389" s="99"/>
    </x:row>
    <x:row r="390">
      <x:c r="A390" s="99"/>
      <x:c r="B390" s="99"/>
      <x:c r="C390" s="99"/>
      <x:c r="D390" s="99"/>
      <x:c r="E390" s="99"/>
      <x:c r="F390" s="99"/>
      <x:c r="G390" s="99"/>
      <x:c r="H390" s="99"/>
      <x:c r="I390" s="99"/>
      <x:c r="J390" s="99"/>
      <x:c r="K390" s="99"/>
      <x:c r="L390" s="99"/>
      <x:c r="M390" s="99"/>
      <x:c r="N390" s="99"/>
      <x:c r="O390" s="99"/>
      <x:c r="P390" s="99"/>
      <x:c r="Q390" s="99"/>
      <x:c r="R390" s="99"/>
      <x:c r="S390" s="99"/>
      <x:c r="T390" s="99"/>
      <x:c r="U390" s="99"/>
      <x:c r="V390" s="99"/>
      <x:c r="W390" s="99"/>
      <x:c r="X390" s="99"/>
      <x:c r="Y390" s="99"/>
      <x:c r="Z390" s="99"/>
    </x:row>
    <x:row r="391">
      <x:c r="A391" s="99"/>
      <x:c r="B391" s="99"/>
      <x:c r="C391" s="99"/>
      <x:c r="D391" s="99"/>
      <x:c r="E391" s="99"/>
      <x:c r="F391" s="99"/>
      <x:c r="G391" s="99"/>
      <x:c r="H391" s="99"/>
      <x:c r="I391" s="99"/>
      <x:c r="J391" s="99"/>
      <x:c r="K391" s="99"/>
      <x:c r="L391" s="99"/>
      <x:c r="M391" s="99"/>
      <x:c r="N391" s="99"/>
      <x:c r="O391" s="99"/>
      <x:c r="P391" s="99"/>
      <x:c r="Q391" s="99"/>
      <x:c r="R391" s="99"/>
      <x:c r="S391" s="99"/>
      <x:c r="T391" s="99"/>
      <x:c r="U391" s="99"/>
      <x:c r="V391" s="99"/>
      <x:c r="W391" s="99"/>
      <x:c r="X391" s="99"/>
      <x:c r="Y391" s="99"/>
      <x:c r="Z391" s="99"/>
    </x:row>
    <x:row r="392">
      <x:c r="A392" s="99"/>
      <x:c r="B392" s="99"/>
      <x:c r="C392" s="99"/>
      <x:c r="D392" s="99"/>
      <x:c r="E392" s="99"/>
      <x:c r="F392" s="99"/>
      <x:c r="G392" s="99"/>
      <x:c r="H392" s="99"/>
      <x:c r="I392" s="99"/>
      <x:c r="J392" s="99"/>
      <x:c r="K392" s="99"/>
      <x:c r="L392" s="99"/>
      <x:c r="M392" s="99"/>
      <x:c r="N392" s="99"/>
      <x:c r="O392" s="99"/>
      <x:c r="P392" s="99"/>
      <x:c r="Q392" s="99"/>
      <x:c r="R392" s="99"/>
      <x:c r="S392" s="99"/>
      <x:c r="T392" s="99"/>
      <x:c r="U392" s="99"/>
      <x:c r="V392" s="99"/>
      <x:c r="W392" s="99"/>
      <x:c r="X392" s="99"/>
      <x:c r="Y392" s="99"/>
      <x:c r="Z392" s="99"/>
    </x:row>
    <x:row r="393">
      <x:c r="A393" s="99"/>
      <x:c r="B393" s="99"/>
      <x:c r="C393" s="99"/>
      <x:c r="D393" s="99"/>
      <x:c r="E393" s="99"/>
      <x:c r="F393" s="99"/>
      <x:c r="G393" s="99"/>
      <x:c r="H393" s="99"/>
      <x:c r="I393" s="99"/>
      <x:c r="J393" s="99"/>
      <x:c r="K393" s="99"/>
      <x:c r="L393" s="99"/>
      <x:c r="M393" s="99"/>
      <x:c r="N393" s="99"/>
      <x:c r="O393" s="99"/>
      <x:c r="P393" s="99"/>
      <x:c r="Q393" s="99"/>
      <x:c r="R393" s="99"/>
      <x:c r="S393" s="99"/>
      <x:c r="T393" s="99"/>
      <x:c r="U393" s="99"/>
      <x:c r="V393" s="99"/>
      <x:c r="W393" s="99"/>
      <x:c r="X393" s="99"/>
      <x:c r="Y393" s="99"/>
      <x:c r="Z393" s="99"/>
    </x:row>
    <x:row r="394">
      <x:c r="A394" s="99"/>
      <x:c r="B394" s="99"/>
      <x:c r="C394" s="99"/>
      <x:c r="D394" s="99"/>
      <x:c r="E394" s="99"/>
      <x:c r="F394" s="99"/>
      <x:c r="G394" s="99"/>
      <x:c r="H394" s="99"/>
      <x:c r="I394" s="99"/>
      <x:c r="J394" s="99"/>
      <x:c r="K394" s="99"/>
      <x:c r="L394" s="99"/>
      <x:c r="M394" s="99"/>
      <x:c r="N394" s="99"/>
      <x:c r="O394" s="99"/>
      <x:c r="P394" s="99"/>
      <x:c r="Q394" s="99"/>
      <x:c r="R394" s="99"/>
      <x:c r="S394" s="99"/>
      <x:c r="T394" s="99"/>
      <x:c r="U394" s="99"/>
      <x:c r="V394" s="99"/>
      <x:c r="W394" s="99"/>
      <x:c r="X394" s="99"/>
      <x:c r="Y394" s="99"/>
      <x:c r="Z394" s="99"/>
    </x:row>
    <x:row r="395">
      <x:c r="A395" s="99"/>
      <x:c r="B395" s="99"/>
      <x:c r="C395" s="99"/>
      <x:c r="D395" s="99"/>
      <x:c r="E395" s="99"/>
      <x:c r="F395" s="99"/>
      <x:c r="G395" s="99"/>
      <x:c r="H395" s="99"/>
      <x:c r="I395" s="99"/>
      <x:c r="J395" s="99"/>
      <x:c r="K395" s="99"/>
      <x:c r="L395" s="99"/>
      <x:c r="M395" s="99"/>
      <x:c r="N395" s="99"/>
      <x:c r="O395" s="99"/>
      <x:c r="P395" s="99"/>
      <x:c r="Q395" s="99"/>
      <x:c r="R395" s="99"/>
      <x:c r="S395" s="99"/>
      <x:c r="T395" s="99"/>
      <x:c r="U395" s="99"/>
      <x:c r="V395" s="99"/>
      <x:c r="W395" s="99"/>
      <x:c r="X395" s="99"/>
      <x:c r="Y395" s="99"/>
      <x:c r="Z395" s="99"/>
    </x:row>
    <x:row r="396">
      <x:c r="A396" s="99"/>
      <x:c r="B396" s="99"/>
      <x:c r="C396" s="99"/>
      <x:c r="D396" s="99"/>
      <x:c r="E396" s="99"/>
      <x:c r="F396" s="99"/>
      <x:c r="G396" s="99"/>
      <x:c r="H396" s="99"/>
      <x:c r="I396" s="99"/>
      <x:c r="J396" s="99"/>
      <x:c r="K396" s="99"/>
      <x:c r="L396" s="99"/>
      <x:c r="M396" s="99"/>
      <x:c r="N396" s="99"/>
      <x:c r="O396" s="99"/>
      <x:c r="P396" s="99"/>
      <x:c r="Q396" s="99"/>
      <x:c r="R396" s="99"/>
      <x:c r="S396" s="99"/>
      <x:c r="T396" s="99"/>
      <x:c r="U396" s="99"/>
      <x:c r="V396" s="99"/>
      <x:c r="W396" s="99"/>
      <x:c r="X396" s="99"/>
      <x:c r="Y396" s="99"/>
      <x:c r="Z396" s="99"/>
    </x:row>
    <x:row r="397">
      <x:c r="A397" s="99"/>
      <x:c r="B397" s="99"/>
      <x:c r="C397" s="99"/>
      <x:c r="D397" s="99"/>
      <x:c r="E397" s="99"/>
      <x:c r="F397" s="99"/>
      <x:c r="G397" s="99"/>
      <x:c r="H397" s="99"/>
      <x:c r="I397" s="99"/>
      <x:c r="J397" s="99"/>
      <x:c r="K397" s="99"/>
      <x:c r="L397" s="99"/>
      <x:c r="M397" s="99"/>
      <x:c r="N397" s="99"/>
      <x:c r="O397" s="99"/>
      <x:c r="P397" s="99"/>
      <x:c r="Q397" s="99"/>
      <x:c r="R397" s="99"/>
      <x:c r="S397" s="99"/>
      <x:c r="T397" s="99"/>
      <x:c r="U397" s="99"/>
      <x:c r="V397" s="99"/>
      <x:c r="W397" s="99"/>
      <x:c r="X397" s="99"/>
      <x:c r="Y397" s="99"/>
      <x:c r="Z397" s="99"/>
    </x:row>
    <x:row r="398">
      <x:c r="A398" s="99"/>
      <x:c r="B398" s="99"/>
      <x:c r="C398" s="99"/>
      <x:c r="D398" s="99"/>
      <x:c r="E398" s="99"/>
      <x:c r="F398" s="99"/>
      <x:c r="G398" s="99"/>
      <x:c r="H398" s="99"/>
      <x:c r="I398" s="99"/>
      <x:c r="J398" s="99"/>
      <x:c r="K398" s="99"/>
      <x:c r="L398" s="99"/>
      <x:c r="M398" s="99"/>
      <x:c r="N398" s="99"/>
      <x:c r="O398" s="99"/>
      <x:c r="P398" s="99"/>
      <x:c r="Q398" s="99"/>
      <x:c r="R398" s="99"/>
      <x:c r="S398" s="99"/>
      <x:c r="T398" s="99"/>
      <x:c r="U398" s="99"/>
      <x:c r="V398" s="99"/>
      <x:c r="W398" s="99"/>
      <x:c r="X398" s="99"/>
      <x:c r="Y398" s="99"/>
      <x:c r="Z398" s="99"/>
    </x:row>
    <x:row r="399">
      <x:c r="A399" s="99"/>
      <x:c r="B399" s="99"/>
      <x:c r="C399" s="99"/>
      <x:c r="D399" s="99"/>
      <x:c r="E399" s="99"/>
      <x:c r="F399" s="99"/>
      <x:c r="G399" s="99"/>
      <x:c r="H399" s="99"/>
      <x:c r="I399" s="99"/>
      <x:c r="J399" s="99"/>
      <x:c r="K399" s="99"/>
      <x:c r="L399" s="99"/>
      <x:c r="M399" s="99"/>
      <x:c r="N399" s="99"/>
      <x:c r="O399" s="99"/>
      <x:c r="P399" s="99"/>
      <x:c r="Q399" s="99"/>
      <x:c r="R399" s="99"/>
      <x:c r="S399" s="99"/>
      <x:c r="T399" s="99"/>
      <x:c r="U399" s="99"/>
      <x:c r="V399" s="99"/>
      <x:c r="W399" s="99"/>
      <x:c r="X399" s="99"/>
      <x:c r="Y399" s="99"/>
      <x:c r="Z399" s="99"/>
    </x:row>
    <x:row r="400">
      <x:c r="A400" s="99"/>
      <x:c r="B400" s="99"/>
      <x:c r="C400" s="99"/>
      <x:c r="D400" s="99"/>
      <x:c r="E400" s="99"/>
      <x:c r="F400" s="99"/>
      <x:c r="G400" s="99"/>
      <x:c r="H400" s="99"/>
      <x:c r="I400" s="99"/>
      <x:c r="J400" s="99"/>
      <x:c r="K400" s="99"/>
      <x:c r="L400" s="99"/>
      <x:c r="M400" s="99"/>
      <x:c r="N400" s="99"/>
      <x:c r="O400" s="99"/>
      <x:c r="P400" s="99"/>
      <x:c r="Q400" s="99"/>
      <x:c r="R400" s="99"/>
      <x:c r="S400" s="99"/>
      <x:c r="T400" s="99"/>
      <x:c r="U400" s="99"/>
      <x:c r="V400" s="99"/>
      <x:c r="W400" s="99"/>
      <x:c r="X400" s="99"/>
      <x:c r="Y400" s="99"/>
      <x:c r="Z400" s="99"/>
    </x:row>
    <x:row r="401">
      <x:c r="A401" s="99"/>
      <x:c r="B401" s="99"/>
      <x:c r="C401" s="99"/>
      <x:c r="D401" s="99"/>
      <x:c r="E401" s="99"/>
      <x:c r="F401" s="99"/>
      <x:c r="G401" s="99"/>
      <x:c r="H401" s="99"/>
      <x:c r="I401" s="99"/>
      <x:c r="J401" s="99"/>
      <x:c r="K401" s="99"/>
      <x:c r="L401" s="99"/>
      <x:c r="M401" s="99"/>
      <x:c r="N401" s="99"/>
      <x:c r="O401" s="99"/>
      <x:c r="P401" s="99"/>
      <x:c r="Q401" s="99"/>
      <x:c r="R401" s="99"/>
      <x:c r="S401" s="99"/>
      <x:c r="T401" s="99"/>
      <x:c r="U401" s="99"/>
      <x:c r="V401" s="99"/>
      <x:c r="W401" s="99"/>
      <x:c r="X401" s="99"/>
      <x:c r="Y401" s="99"/>
      <x:c r="Z401" s="99"/>
    </x:row>
    <x:row r="402">
      <x:c r="A402" s="99"/>
      <x:c r="B402" s="99"/>
      <x:c r="C402" s="99"/>
      <x:c r="D402" s="99"/>
      <x:c r="E402" s="99"/>
      <x:c r="F402" s="99"/>
      <x:c r="G402" s="99"/>
      <x:c r="H402" s="99"/>
      <x:c r="I402" s="99"/>
      <x:c r="J402" s="99"/>
      <x:c r="K402" s="99"/>
      <x:c r="L402" s="99"/>
      <x:c r="M402" s="99"/>
      <x:c r="N402" s="99"/>
      <x:c r="O402" s="99"/>
      <x:c r="P402" s="99"/>
      <x:c r="Q402" s="99"/>
      <x:c r="R402" s="99"/>
      <x:c r="S402" s="99"/>
      <x:c r="T402" s="99"/>
      <x:c r="U402" s="99"/>
      <x:c r="V402" s="99"/>
      <x:c r="W402" s="99"/>
      <x:c r="X402" s="99"/>
      <x:c r="Y402" s="99"/>
      <x:c r="Z402" s="99"/>
    </x:row>
    <x:row r="403">
      <x:c r="A403" s="99"/>
      <x:c r="B403" s="99"/>
      <x:c r="C403" s="99"/>
      <x:c r="D403" s="99"/>
      <x:c r="E403" s="99"/>
      <x:c r="F403" s="99"/>
      <x:c r="G403" s="99"/>
      <x:c r="H403" s="99"/>
      <x:c r="I403" s="99"/>
      <x:c r="J403" s="99"/>
      <x:c r="K403" s="99"/>
      <x:c r="L403" s="99"/>
      <x:c r="M403" s="99"/>
      <x:c r="N403" s="99"/>
      <x:c r="O403" s="99"/>
      <x:c r="P403" s="99"/>
      <x:c r="Q403" s="99"/>
      <x:c r="R403" s="99"/>
      <x:c r="S403" s="99"/>
      <x:c r="T403" s="99"/>
      <x:c r="U403" s="99"/>
      <x:c r="V403" s="99"/>
      <x:c r="W403" s="99"/>
      <x:c r="X403" s="99"/>
      <x:c r="Y403" s="99"/>
      <x:c r="Z403" s="99"/>
    </x:row>
    <x:row r="404">
      <x:c r="A404" s="99"/>
      <x:c r="B404" s="99"/>
      <x:c r="C404" s="99"/>
      <x:c r="D404" s="99"/>
      <x:c r="E404" s="99"/>
      <x:c r="F404" s="99"/>
      <x:c r="G404" s="99"/>
      <x:c r="H404" s="99"/>
      <x:c r="I404" s="99"/>
      <x:c r="J404" s="99"/>
      <x:c r="K404" s="99"/>
      <x:c r="L404" s="99"/>
      <x:c r="M404" s="99"/>
      <x:c r="N404" s="99"/>
      <x:c r="O404" s="99"/>
      <x:c r="P404" s="99"/>
      <x:c r="Q404" s="99"/>
      <x:c r="R404" s="99"/>
      <x:c r="S404" s="99"/>
      <x:c r="T404" s="99"/>
      <x:c r="U404" s="99"/>
      <x:c r="V404" s="99"/>
      <x:c r="W404" s="99"/>
      <x:c r="X404" s="99"/>
      <x:c r="Y404" s="99"/>
      <x:c r="Z404" s="99"/>
    </x:row>
    <x:row r="405">
      <x:c r="A405" s="99"/>
      <x:c r="B405" s="99"/>
      <x:c r="C405" s="99"/>
      <x:c r="D405" s="99"/>
      <x:c r="E405" s="99"/>
      <x:c r="F405" s="99"/>
      <x:c r="G405" s="99"/>
      <x:c r="H405" s="99"/>
      <x:c r="I405" s="99"/>
      <x:c r="J405" s="99"/>
      <x:c r="K405" s="99"/>
      <x:c r="L405" s="99"/>
      <x:c r="M405" s="99"/>
      <x:c r="N405" s="99"/>
      <x:c r="O405" s="99"/>
      <x:c r="P405" s="99"/>
      <x:c r="Q405" s="99"/>
      <x:c r="R405" s="99"/>
      <x:c r="S405" s="99"/>
      <x:c r="T405" s="99"/>
      <x:c r="U405" s="99"/>
      <x:c r="V405" s="99"/>
      <x:c r="W405" s="99"/>
      <x:c r="X405" s="99"/>
      <x:c r="Y405" s="99"/>
      <x:c r="Z405" s="99"/>
    </x:row>
    <x:row r="406">
      <x:c r="A406" s="99"/>
      <x:c r="B406" s="99"/>
      <x:c r="C406" s="99"/>
      <x:c r="D406" s="99"/>
      <x:c r="E406" s="99"/>
      <x:c r="F406" s="99"/>
      <x:c r="G406" s="99"/>
      <x:c r="H406" s="99"/>
      <x:c r="I406" s="99"/>
      <x:c r="J406" s="99"/>
      <x:c r="K406" s="99"/>
      <x:c r="L406" s="99"/>
      <x:c r="M406" s="99"/>
      <x:c r="N406" s="99"/>
      <x:c r="O406" s="99"/>
      <x:c r="P406" s="99"/>
      <x:c r="Q406" s="99"/>
      <x:c r="R406" s="99"/>
      <x:c r="S406" s="99"/>
      <x:c r="T406" s="99"/>
      <x:c r="U406" s="99"/>
      <x:c r="V406" s="99"/>
      <x:c r="W406" s="99"/>
      <x:c r="X406" s="99"/>
      <x:c r="Y406" s="99"/>
      <x:c r="Z406" s="99"/>
    </x:row>
    <x:row r="407">
      <x:c r="A407" s="99"/>
      <x:c r="B407" s="99"/>
      <x:c r="C407" s="99"/>
      <x:c r="D407" s="99"/>
      <x:c r="E407" s="99"/>
      <x:c r="F407" s="99"/>
      <x:c r="G407" s="99"/>
      <x:c r="H407" s="99"/>
      <x:c r="I407" s="99"/>
      <x:c r="J407" s="99"/>
      <x:c r="K407" s="99"/>
      <x:c r="L407" s="99"/>
      <x:c r="M407" s="99"/>
      <x:c r="N407" s="99"/>
      <x:c r="O407" s="99"/>
      <x:c r="P407" s="99"/>
      <x:c r="Q407" s="99"/>
      <x:c r="R407" s="99"/>
      <x:c r="S407" s="99"/>
      <x:c r="T407" s="99"/>
      <x:c r="U407" s="99"/>
      <x:c r="V407" s="99"/>
      <x:c r="W407" s="99"/>
      <x:c r="X407" s="99"/>
      <x:c r="Y407" s="99"/>
      <x:c r="Z407" s="99"/>
    </x:row>
    <x:row r="408">
      <x:c r="A408" s="99"/>
      <x:c r="B408" s="99"/>
      <x:c r="C408" s="99"/>
      <x:c r="D408" s="99"/>
      <x:c r="E408" s="99"/>
      <x:c r="F408" s="99"/>
      <x:c r="G408" s="99"/>
      <x:c r="H408" s="99"/>
      <x:c r="I408" s="99"/>
      <x:c r="J408" s="99"/>
      <x:c r="K408" s="99"/>
      <x:c r="L408" s="99"/>
      <x:c r="M408" s="99"/>
      <x:c r="N408" s="99"/>
      <x:c r="O408" s="99"/>
      <x:c r="P408" s="99"/>
      <x:c r="Q408" s="99"/>
      <x:c r="R408" s="99"/>
      <x:c r="S408" s="99"/>
      <x:c r="T408" s="99"/>
      <x:c r="U408" s="99"/>
      <x:c r="V408" s="99"/>
      <x:c r="W408" s="99"/>
      <x:c r="X408" s="99"/>
      <x:c r="Y408" s="99"/>
      <x:c r="Z408" s="99"/>
    </x:row>
    <x:row r="409">
      <x:c r="A409" s="99"/>
      <x:c r="B409" s="99"/>
      <x:c r="C409" s="99"/>
      <x:c r="D409" s="99"/>
      <x:c r="E409" s="99"/>
      <x:c r="F409" s="99"/>
      <x:c r="G409" s="99"/>
      <x:c r="H409" s="99"/>
      <x:c r="I409" s="99"/>
      <x:c r="J409" s="99"/>
      <x:c r="K409" s="99"/>
      <x:c r="L409" s="99"/>
      <x:c r="M409" s="99"/>
      <x:c r="N409" s="99"/>
      <x:c r="O409" s="99"/>
      <x:c r="P409" s="99"/>
      <x:c r="Q409" s="99"/>
      <x:c r="R409" s="99"/>
      <x:c r="S409" s="99"/>
      <x:c r="T409" s="99"/>
      <x:c r="U409" s="99"/>
      <x:c r="V409" s="99"/>
      <x:c r="W409" s="99"/>
      <x:c r="X409" s="99"/>
      <x:c r="Y409" s="99"/>
      <x:c r="Z409" s="99"/>
    </x:row>
    <x:row r="410">
      <x:c r="A410" s="99"/>
      <x:c r="B410" s="99"/>
      <x:c r="C410" s="99"/>
      <x:c r="D410" s="99"/>
      <x:c r="E410" s="99"/>
      <x:c r="F410" s="99"/>
      <x:c r="G410" s="99"/>
      <x:c r="H410" s="99"/>
      <x:c r="I410" s="99"/>
      <x:c r="J410" s="99"/>
      <x:c r="K410" s="99"/>
      <x:c r="L410" s="99"/>
      <x:c r="M410" s="99"/>
      <x:c r="N410" s="99"/>
      <x:c r="O410" s="99"/>
      <x:c r="P410" s="99"/>
      <x:c r="Q410" s="99"/>
      <x:c r="R410" s="99"/>
      <x:c r="S410" s="99"/>
      <x:c r="T410" s="99"/>
      <x:c r="U410" s="99"/>
      <x:c r="V410" s="99"/>
      <x:c r="W410" s="99"/>
      <x:c r="X410" s="99"/>
      <x:c r="Y410" s="99"/>
      <x:c r="Z410" s="99"/>
    </x:row>
    <x:row r="411">
      <x:c r="A411" s="99"/>
      <x:c r="B411" s="99"/>
      <x:c r="C411" s="99"/>
      <x:c r="D411" s="99"/>
      <x:c r="E411" s="99"/>
      <x:c r="F411" s="99"/>
      <x:c r="G411" s="99"/>
      <x:c r="H411" s="99"/>
      <x:c r="I411" s="99"/>
      <x:c r="J411" s="99"/>
      <x:c r="K411" s="99"/>
      <x:c r="L411" s="99"/>
      <x:c r="M411" s="99"/>
      <x:c r="N411" s="99"/>
      <x:c r="O411" s="99"/>
      <x:c r="P411" s="99"/>
      <x:c r="Q411" s="99"/>
      <x:c r="R411" s="99"/>
      <x:c r="S411" s="99"/>
      <x:c r="T411" s="99"/>
      <x:c r="U411" s="99"/>
      <x:c r="V411" s="99"/>
      <x:c r="W411" s="99"/>
      <x:c r="X411" s="99"/>
      <x:c r="Y411" s="99"/>
      <x:c r="Z411" s="99"/>
    </x:row>
    <x:row r="412">
      <x:c r="A412" s="99"/>
      <x:c r="B412" s="99"/>
      <x:c r="C412" s="99"/>
      <x:c r="D412" s="99"/>
      <x:c r="E412" s="99"/>
      <x:c r="F412" s="99"/>
      <x:c r="G412" s="99"/>
      <x:c r="H412" s="99"/>
      <x:c r="I412" s="99"/>
      <x:c r="J412" s="99"/>
      <x:c r="K412" s="99"/>
      <x:c r="L412" s="99"/>
      <x:c r="M412" s="99"/>
      <x:c r="N412" s="99"/>
      <x:c r="O412" s="99"/>
      <x:c r="P412" s="99"/>
      <x:c r="Q412" s="99"/>
      <x:c r="R412" s="99"/>
      <x:c r="S412" s="99"/>
      <x:c r="T412" s="99"/>
      <x:c r="U412" s="99"/>
      <x:c r="V412" s="99"/>
      <x:c r="W412" s="99"/>
      <x:c r="X412" s="99"/>
      <x:c r="Y412" s="99"/>
      <x:c r="Z412" s="99"/>
    </x:row>
    <x:row r="413">
      <x:c r="A413" s="99"/>
      <x:c r="B413" s="99"/>
      <x:c r="C413" s="99"/>
      <x:c r="D413" s="99"/>
      <x:c r="E413" s="99"/>
      <x:c r="F413" s="99"/>
      <x:c r="G413" s="99"/>
      <x:c r="H413" s="99"/>
      <x:c r="I413" s="99"/>
      <x:c r="J413" s="99"/>
      <x:c r="K413" s="99"/>
      <x:c r="L413" s="99"/>
      <x:c r="M413" s="99"/>
      <x:c r="N413" s="99"/>
      <x:c r="O413" s="99"/>
      <x:c r="P413" s="99"/>
      <x:c r="Q413" s="99"/>
      <x:c r="R413" s="99"/>
      <x:c r="S413" s="99"/>
      <x:c r="T413" s="99"/>
      <x:c r="U413" s="99"/>
      <x:c r="V413" s="99"/>
      <x:c r="W413" s="99"/>
      <x:c r="X413" s="99"/>
      <x:c r="Y413" s="99"/>
      <x:c r="Z413" s="99"/>
    </x:row>
    <x:row r="414">
      <x:c r="A414" s="99"/>
      <x:c r="B414" s="99"/>
      <x:c r="C414" s="99"/>
      <x:c r="D414" s="99"/>
      <x:c r="E414" s="99"/>
      <x:c r="F414" s="99"/>
      <x:c r="G414" s="99"/>
      <x:c r="H414" s="99"/>
      <x:c r="I414" s="99"/>
      <x:c r="J414" s="99"/>
      <x:c r="K414" s="99"/>
      <x:c r="L414" s="99"/>
      <x:c r="M414" s="99"/>
      <x:c r="N414" s="99"/>
      <x:c r="O414" s="99"/>
      <x:c r="P414" s="99"/>
      <x:c r="Q414" s="99"/>
      <x:c r="R414" s="99"/>
      <x:c r="S414" s="99"/>
      <x:c r="T414" s="99"/>
      <x:c r="U414" s="99"/>
      <x:c r="V414" s="99"/>
      <x:c r="W414" s="99"/>
      <x:c r="X414" s="99"/>
      <x:c r="Y414" s="99"/>
      <x:c r="Z414" s="99"/>
    </x:row>
    <x:row r="415">
      <x:c r="A415" s="99"/>
      <x:c r="B415" s="99"/>
      <x:c r="C415" s="99"/>
      <x:c r="D415" s="99"/>
      <x:c r="E415" s="99"/>
      <x:c r="F415" s="99"/>
      <x:c r="G415" s="99"/>
      <x:c r="H415" s="99"/>
      <x:c r="I415" s="99"/>
      <x:c r="J415" s="99"/>
      <x:c r="K415" s="99"/>
      <x:c r="L415" s="99"/>
      <x:c r="M415" s="99"/>
      <x:c r="N415" s="99"/>
      <x:c r="O415" s="99"/>
      <x:c r="P415" s="99"/>
      <x:c r="Q415" s="99"/>
      <x:c r="R415" s="99"/>
      <x:c r="S415" s="99"/>
      <x:c r="T415" s="99"/>
      <x:c r="U415" s="99"/>
      <x:c r="V415" s="99"/>
      <x:c r="W415" s="99"/>
      <x:c r="X415" s="99"/>
      <x:c r="Y415" s="99"/>
      <x:c r="Z415" s="99"/>
    </x:row>
    <x:row r="416">
      <x:c r="A416" s="99"/>
      <x:c r="B416" s="99"/>
      <x:c r="C416" s="99"/>
      <x:c r="D416" s="99"/>
      <x:c r="E416" s="99"/>
      <x:c r="F416" s="99"/>
      <x:c r="G416" s="99"/>
      <x:c r="H416" s="99"/>
      <x:c r="I416" s="99"/>
      <x:c r="J416" s="99"/>
      <x:c r="K416" s="99"/>
      <x:c r="L416" s="99"/>
      <x:c r="M416" s="99"/>
      <x:c r="N416" s="99"/>
      <x:c r="O416" s="99"/>
      <x:c r="P416" s="99"/>
      <x:c r="Q416" s="99"/>
      <x:c r="R416" s="99"/>
      <x:c r="S416" s="99"/>
      <x:c r="T416" s="99"/>
      <x:c r="U416" s="99"/>
      <x:c r="V416" s="99"/>
      <x:c r="W416" s="99"/>
      <x:c r="X416" s="99"/>
      <x:c r="Y416" s="99"/>
      <x:c r="Z416" s="99"/>
    </x:row>
    <x:row r="417">
      <x:c r="A417" s="99"/>
      <x:c r="B417" s="99"/>
      <x:c r="C417" s="99"/>
      <x:c r="D417" s="99"/>
      <x:c r="E417" s="99"/>
      <x:c r="F417" s="99"/>
      <x:c r="G417" s="99"/>
      <x:c r="H417" s="99"/>
      <x:c r="I417" s="99"/>
      <x:c r="J417" s="99"/>
      <x:c r="K417" s="99"/>
      <x:c r="L417" s="99"/>
      <x:c r="M417" s="99"/>
      <x:c r="N417" s="99"/>
      <x:c r="O417" s="99"/>
      <x:c r="P417" s="99"/>
      <x:c r="Q417" s="99"/>
      <x:c r="R417" s="99"/>
      <x:c r="S417" s="99"/>
      <x:c r="T417" s="99"/>
      <x:c r="U417" s="99"/>
      <x:c r="V417" s="99"/>
      <x:c r="W417" s="99"/>
      <x:c r="X417" s="99"/>
      <x:c r="Y417" s="99"/>
      <x:c r="Z417" s="99"/>
    </x:row>
    <x:row r="418">
      <x:c r="A418" s="99"/>
      <x:c r="B418" s="99"/>
      <x:c r="C418" s="99"/>
      <x:c r="D418" s="99"/>
      <x:c r="E418" s="99"/>
      <x:c r="F418" s="99"/>
      <x:c r="G418" s="99"/>
      <x:c r="H418" s="99"/>
      <x:c r="I418" s="99"/>
      <x:c r="J418" s="99"/>
      <x:c r="K418" s="99"/>
      <x:c r="L418" s="99"/>
      <x:c r="M418" s="99"/>
      <x:c r="N418" s="99"/>
      <x:c r="O418" s="99"/>
      <x:c r="P418" s="99"/>
      <x:c r="Q418" s="99"/>
      <x:c r="R418" s="99"/>
      <x:c r="S418" s="99"/>
      <x:c r="T418" s="99"/>
      <x:c r="U418" s="99"/>
      <x:c r="V418" s="99"/>
      <x:c r="W418" s="99"/>
      <x:c r="X418" s="99"/>
      <x:c r="Y418" s="99"/>
      <x:c r="Z418" s="99"/>
    </x:row>
    <x:row r="419">
      <x:c r="A419" s="99"/>
      <x:c r="B419" s="99"/>
      <x:c r="C419" s="99"/>
      <x:c r="D419" s="99"/>
      <x:c r="E419" s="99"/>
      <x:c r="F419" s="99"/>
      <x:c r="G419" s="99"/>
      <x:c r="H419" s="99"/>
      <x:c r="I419" s="99"/>
      <x:c r="J419" s="99"/>
      <x:c r="K419" s="99"/>
      <x:c r="L419" s="99"/>
      <x:c r="M419" s="99"/>
      <x:c r="N419" s="99"/>
      <x:c r="O419" s="99"/>
      <x:c r="P419" s="99"/>
      <x:c r="Q419" s="99"/>
      <x:c r="R419" s="99"/>
      <x:c r="S419" s="99"/>
      <x:c r="T419" s="99"/>
      <x:c r="U419" s="99"/>
      <x:c r="V419" s="99"/>
      <x:c r="W419" s="99"/>
      <x:c r="X419" s="99"/>
      <x:c r="Y419" s="99"/>
      <x:c r="Z419" s="99"/>
    </x:row>
    <x:row r="420">
      <x:c r="A420" s="99"/>
      <x:c r="B420" s="99"/>
      <x:c r="C420" s="99"/>
      <x:c r="D420" s="99"/>
      <x:c r="E420" s="99"/>
      <x:c r="F420" s="99"/>
      <x:c r="G420" s="99"/>
      <x:c r="H420" s="99"/>
      <x:c r="I420" s="99"/>
      <x:c r="J420" s="99"/>
      <x:c r="K420" s="99"/>
      <x:c r="L420" s="99"/>
      <x:c r="M420" s="99"/>
      <x:c r="N420" s="99"/>
      <x:c r="O420" s="99"/>
      <x:c r="P420" s="99"/>
      <x:c r="Q420" s="99"/>
      <x:c r="R420" s="99"/>
      <x:c r="S420" s="99"/>
      <x:c r="T420" s="99"/>
      <x:c r="U420" s="99"/>
      <x:c r="V420" s="99"/>
      <x:c r="W420" s="99"/>
      <x:c r="X420" s="99"/>
      <x:c r="Y420" s="99"/>
      <x:c r="Z420" s="99"/>
    </x:row>
    <x:row r="421">
      <x:c r="A421" s="99"/>
      <x:c r="B421" s="99"/>
      <x:c r="C421" s="99"/>
      <x:c r="D421" s="99"/>
      <x:c r="E421" s="99"/>
      <x:c r="F421" s="99"/>
      <x:c r="G421" s="99"/>
      <x:c r="H421" s="99"/>
      <x:c r="I421" s="99"/>
      <x:c r="J421" s="99"/>
      <x:c r="K421" s="99"/>
      <x:c r="L421" s="99"/>
      <x:c r="M421" s="99"/>
      <x:c r="N421" s="99"/>
      <x:c r="O421" s="99"/>
      <x:c r="P421" s="99"/>
      <x:c r="Q421" s="99"/>
      <x:c r="R421" s="99"/>
      <x:c r="S421" s="99"/>
      <x:c r="T421" s="99"/>
      <x:c r="U421" s="99"/>
      <x:c r="V421" s="99"/>
      <x:c r="W421" s="99"/>
      <x:c r="X421" s="99"/>
      <x:c r="Y421" s="99"/>
      <x:c r="Z421" s="99"/>
    </x:row>
    <x:row r="422">
      <x:c r="A422" s="99"/>
      <x:c r="B422" s="99"/>
      <x:c r="C422" s="99"/>
      <x:c r="D422" s="99"/>
      <x:c r="E422" s="99"/>
      <x:c r="F422" s="99"/>
      <x:c r="G422" s="99"/>
      <x:c r="H422" s="99"/>
      <x:c r="I422" s="99"/>
      <x:c r="J422" s="99"/>
      <x:c r="K422" s="99"/>
      <x:c r="L422" s="99"/>
      <x:c r="M422" s="99"/>
      <x:c r="N422" s="99"/>
      <x:c r="O422" s="99"/>
      <x:c r="P422" s="99"/>
      <x:c r="Q422" s="99"/>
      <x:c r="R422" s="99"/>
      <x:c r="S422" s="99"/>
      <x:c r="T422" s="99"/>
      <x:c r="U422" s="99"/>
      <x:c r="V422" s="99"/>
      <x:c r="W422" s="99"/>
      <x:c r="X422" s="99"/>
      <x:c r="Y422" s="99"/>
      <x:c r="Z422" s="99"/>
    </x:row>
    <x:row r="423">
      <x:c r="A423" s="99"/>
      <x:c r="B423" s="99"/>
      <x:c r="C423" s="99"/>
      <x:c r="D423" s="99"/>
      <x:c r="E423" s="99"/>
      <x:c r="F423" s="99"/>
      <x:c r="G423" s="99"/>
      <x:c r="H423" s="99"/>
      <x:c r="I423" s="99"/>
      <x:c r="J423" s="99"/>
      <x:c r="K423" s="99"/>
      <x:c r="L423" s="99"/>
      <x:c r="M423" s="99"/>
      <x:c r="N423" s="99"/>
      <x:c r="O423" s="99"/>
      <x:c r="P423" s="99"/>
      <x:c r="Q423" s="99"/>
      <x:c r="R423" s="99"/>
      <x:c r="S423" s="99"/>
      <x:c r="T423" s="99"/>
      <x:c r="U423" s="99"/>
      <x:c r="V423" s="99"/>
      <x:c r="W423" s="99"/>
      <x:c r="X423" s="99"/>
      <x:c r="Y423" s="99"/>
      <x:c r="Z423" s="99"/>
    </x:row>
    <x:row r="424">
      <x:c r="A424" s="99"/>
      <x:c r="B424" s="99"/>
      <x:c r="C424" s="99"/>
      <x:c r="D424" s="99"/>
      <x:c r="E424" s="99"/>
      <x:c r="F424" s="99"/>
      <x:c r="G424" s="99"/>
      <x:c r="H424" s="99"/>
      <x:c r="I424" s="99"/>
      <x:c r="J424" s="99"/>
      <x:c r="K424" s="99"/>
      <x:c r="L424" s="99"/>
      <x:c r="M424" s="99"/>
      <x:c r="N424" s="99"/>
      <x:c r="O424" s="99"/>
      <x:c r="P424" s="99"/>
      <x:c r="Q424" s="99"/>
      <x:c r="R424" s="99"/>
      <x:c r="S424" s="99"/>
      <x:c r="T424" s="99"/>
      <x:c r="U424" s="99"/>
      <x:c r="V424" s="99"/>
      <x:c r="W424" s="99"/>
      <x:c r="X424" s="99"/>
      <x:c r="Y424" s="99"/>
      <x:c r="Z424" s="99"/>
    </x:row>
    <x:row r="425">
      <x:c r="A425" s="99"/>
      <x:c r="B425" s="99"/>
      <x:c r="C425" s="99"/>
      <x:c r="D425" s="99"/>
      <x:c r="E425" s="99"/>
      <x:c r="F425" s="99"/>
      <x:c r="G425" s="99"/>
      <x:c r="H425" s="99"/>
      <x:c r="I425" s="99"/>
      <x:c r="J425" s="99"/>
      <x:c r="K425" s="99"/>
      <x:c r="L425" s="99"/>
      <x:c r="M425" s="99"/>
      <x:c r="N425" s="99"/>
      <x:c r="O425" s="99"/>
      <x:c r="P425" s="99"/>
      <x:c r="Q425" s="99"/>
      <x:c r="R425" s="99"/>
      <x:c r="S425" s="99"/>
      <x:c r="T425" s="99"/>
      <x:c r="U425" s="99"/>
      <x:c r="V425" s="99"/>
      <x:c r="W425" s="99"/>
      <x:c r="X425" s="99"/>
      <x:c r="Y425" s="99"/>
      <x:c r="Z425" s="99"/>
    </x:row>
    <x:row r="426">
      <x:c r="A426" s="99"/>
      <x:c r="B426" s="99"/>
      <x:c r="C426" s="99"/>
      <x:c r="D426" s="99"/>
      <x:c r="E426" s="99"/>
      <x:c r="F426" s="99"/>
      <x:c r="G426" s="99"/>
      <x:c r="H426" s="99"/>
      <x:c r="I426" s="99"/>
      <x:c r="J426" s="99"/>
      <x:c r="K426" s="99"/>
      <x:c r="L426" s="99"/>
      <x:c r="M426" s="99"/>
      <x:c r="N426" s="99"/>
      <x:c r="O426" s="99"/>
      <x:c r="P426" s="99"/>
      <x:c r="Q426" s="99"/>
      <x:c r="R426" s="99"/>
      <x:c r="S426" s="99"/>
      <x:c r="T426" s="99"/>
      <x:c r="U426" s="99"/>
      <x:c r="V426" s="99"/>
      <x:c r="W426" s="99"/>
      <x:c r="X426" s="99"/>
      <x:c r="Y426" s="99"/>
      <x:c r="Z426" s="99"/>
    </x:row>
    <x:row r="427">
      <x:c r="A427" s="99"/>
      <x:c r="B427" s="99"/>
      <x:c r="C427" s="99"/>
      <x:c r="D427" s="99"/>
      <x:c r="E427" s="99"/>
      <x:c r="F427" s="99"/>
      <x:c r="G427" s="99"/>
      <x:c r="H427" s="99"/>
      <x:c r="I427" s="99"/>
      <x:c r="J427" s="99"/>
      <x:c r="K427" s="99"/>
      <x:c r="L427" s="99"/>
      <x:c r="M427" s="99"/>
      <x:c r="N427" s="99"/>
      <x:c r="O427" s="99"/>
      <x:c r="P427" s="99"/>
      <x:c r="Q427" s="99"/>
      <x:c r="R427" s="99"/>
      <x:c r="S427" s="99"/>
      <x:c r="T427" s="99"/>
      <x:c r="U427" s="99"/>
      <x:c r="V427" s="99"/>
      <x:c r="W427" s="99"/>
      <x:c r="X427" s="99"/>
      <x:c r="Y427" s="99"/>
      <x:c r="Z427" s="99"/>
    </x:row>
    <x:row r="428">
      <x:c r="A428" s="99"/>
      <x:c r="B428" s="99"/>
      <x:c r="C428" s="99"/>
      <x:c r="D428" s="99"/>
      <x:c r="E428" s="99"/>
      <x:c r="F428" s="99"/>
      <x:c r="G428" s="99"/>
      <x:c r="H428" s="99"/>
      <x:c r="I428" s="99"/>
      <x:c r="J428" s="99"/>
      <x:c r="K428" s="99"/>
      <x:c r="L428" s="99"/>
      <x:c r="M428" s="99"/>
      <x:c r="N428" s="99"/>
      <x:c r="O428" s="99"/>
      <x:c r="P428" s="99"/>
      <x:c r="Q428" s="99"/>
      <x:c r="R428" s="99"/>
      <x:c r="S428" s="99"/>
      <x:c r="T428" s="99"/>
      <x:c r="U428" s="99"/>
      <x:c r="V428" s="99"/>
      <x:c r="W428" s="99"/>
      <x:c r="X428" s="99"/>
      <x:c r="Y428" s="99"/>
      <x:c r="Z428" s="99"/>
    </x:row>
    <x:row r="429">
      <x:c r="A429" s="99"/>
      <x:c r="B429" s="99"/>
      <x:c r="C429" s="99"/>
      <x:c r="D429" s="99"/>
      <x:c r="E429" s="99"/>
      <x:c r="F429" s="99"/>
      <x:c r="G429" s="99"/>
      <x:c r="H429" s="99"/>
      <x:c r="I429" s="99"/>
      <x:c r="J429" s="99"/>
      <x:c r="K429" s="99"/>
      <x:c r="L429" s="99"/>
      <x:c r="M429" s="99"/>
      <x:c r="N429" s="99"/>
      <x:c r="O429" s="99"/>
      <x:c r="P429" s="99"/>
      <x:c r="Q429" s="99"/>
      <x:c r="R429" s="99"/>
      <x:c r="S429" s="99"/>
      <x:c r="T429" s="99"/>
      <x:c r="U429" s="99"/>
      <x:c r="V429" s="99"/>
      <x:c r="W429" s="99"/>
      <x:c r="X429" s="99"/>
      <x:c r="Y429" s="99"/>
      <x:c r="Z429" s="99"/>
    </x:row>
    <x:row r="430">
      <x:c r="A430" s="99"/>
      <x:c r="B430" s="99"/>
      <x:c r="C430" s="99"/>
      <x:c r="D430" s="99"/>
      <x:c r="E430" s="99"/>
      <x:c r="F430" s="99"/>
      <x:c r="G430" s="99"/>
      <x:c r="H430" s="99"/>
      <x:c r="I430" s="99"/>
      <x:c r="J430" s="99"/>
      <x:c r="K430" s="99"/>
      <x:c r="L430" s="99"/>
      <x:c r="M430" s="99"/>
      <x:c r="N430" s="99"/>
      <x:c r="O430" s="99"/>
      <x:c r="P430" s="99"/>
      <x:c r="Q430" s="99"/>
      <x:c r="R430" s="99"/>
      <x:c r="S430" s="99"/>
      <x:c r="T430" s="99"/>
      <x:c r="U430" s="99"/>
      <x:c r="V430" s="99"/>
      <x:c r="W430" s="99"/>
      <x:c r="X430" s="99"/>
      <x:c r="Y430" s="99"/>
      <x:c r="Z430" s="99"/>
    </x:row>
    <x:row r="431">
      <x:c r="A431" s="99"/>
      <x:c r="B431" s="99"/>
      <x:c r="C431" s="99"/>
      <x:c r="D431" s="99"/>
      <x:c r="E431" s="99"/>
      <x:c r="F431" s="99"/>
      <x:c r="G431" s="99"/>
      <x:c r="H431" s="99"/>
      <x:c r="I431" s="99"/>
      <x:c r="J431" s="99"/>
      <x:c r="K431" s="99"/>
      <x:c r="L431" s="99"/>
      <x:c r="M431" s="99"/>
      <x:c r="N431" s="99"/>
      <x:c r="O431" s="99"/>
      <x:c r="P431" s="99"/>
      <x:c r="Q431" s="99"/>
      <x:c r="R431" s="99"/>
      <x:c r="S431" s="99"/>
      <x:c r="T431" s="99"/>
      <x:c r="U431" s="99"/>
      <x:c r="V431" s="99"/>
      <x:c r="W431" s="99"/>
      <x:c r="X431" s="99"/>
      <x:c r="Y431" s="99"/>
      <x:c r="Z431" s="99"/>
    </x:row>
    <x:row r="432">
      <x:c r="A432" s="99"/>
      <x:c r="B432" s="99"/>
      <x:c r="C432" s="99"/>
      <x:c r="D432" s="99"/>
      <x:c r="E432" s="99"/>
      <x:c r="F432" s="99"/>
      <x:c r="G432" s="99"/>
      <x:c r="H432" s="99"/>
      <x:c r="I432" s="99"/>
      <x:c r="J432" s="99"/>
      <x:c r="K432" s="99"/>
      <x:c r="L432" s="99"/>
      <x:c r="M432" s="99"/>
      <x:c r="N432" s="99"/>
      <x:c r="O432" s="99"/>
      <x:c r="P432" s="99"/>
      <x:c r="Q432" s="99"/>
      <x:c r="R432" s="99"/>
      <x:c r="S432" s="99"/>
      <x:c r="T432" s="99"/>
      <x:c r="U432" s="99"/>
      <x:c r="V432" s="99"/>
      <x:c r="W432" s="99"/>
      <x:c r="X432" s="99"/>
      <x:c r="Y432" s="99"/>
      <x:c r="Z432" s="99"/>
    </x:row>
    <x:row r="433">
      <x:c r="A433" s="99"/>
      <x:c r="B433" s="99"/>
      <x:c r="C433" s="99"/>
      <x:c r="D433" s="99"/>
      <x:c r="E433" s="99"/>
      <x:c r="F433" s="99"/>
      <x:c r="G433" s="99"/>
      <x:c r="H433" s="99"/>
      <x:c r="I433" s="99"/>
      <x:c r="J433" s="99"/>
      <x:c r="K433" s="99"/>
      <x:c r="L433" s="99"/>
      <x:c r="M433" s="99"/>
      <x:c r="N433" s="99"/>
      <x:c r="O433" s="99"/>
      <x:c r="P433" s="99"/>
      <x:c r="Q433" s="99"/>
      <x:c r="R433" s="99"/>
      <x:c r="S433" s="99"/>
      <x:c r="T433" s="99"/>
      <x:c r="U433" s="99"/>
      <x:c r="V433" s="99"/>
      <x:c r="W433" s="99"/>
      <x:c r="X433" s="99"/>
      <x:c r="Y433" s="99"/>
      <x:c r="Z433" s="99"/>
    </x:row>
    <x:row r="434">
      <x:c r="A434" s="99"/>
      <x:c r="B434" s="99"/>
      <x:c r="C434" s="99"/>
      <x:c r="D434" s="99"/>
      <x:c r="E434" s="99"/>
      <x:c r="F434" s="99"/>
      <x:c r="G434" s="99"/>
      <x:c r="H434" s="99"/>
      <x:c r="I434" s="99"/>
      <x:c r="J434" s="99"/>
      <x:c r="K434" s="99"/>
      <x:c r="L434" s="99"/>
      <x:c r="M434" s="99"/>
      <x:c r="N434" s="99"/>
      <x:c r="O434" s="99"/>
      <x:c r="P434" s="99"/>
      <x:c r="Q434" s="99"/>
      <x:c r="R434" s="99"/>
      <x:c r="S434" s="99"/>
      <x:c r="T434" s="99"/>
      <x:c r="U434" s="99"/>
      <x:c r="V434" s="99"/>
      <x:c r="W434" s="99"/>
      <x:c r="X434" s="99"/>
      <x:c r="Y434" s="99"/>
      <x:c r="Z434" s="99"/>
    </x:row>
    <x:row r="435">
      <x:c r="A435" s="99"/>
      <x:c r="B435" s="99"/>
      <x:c r="C435" s="99"/>
      <x:c r="D435" s="99"/>
      <x:c r="E435" s="99"/>
      <x:c r="F435" s="99"/>
      <x:c r="G435" s="99"/>
      <x:c r="H435" s="99"/>
      <x:c r="I435" s="99"/>
      <x:c r="J435" s="99"/>
      <x:c r="K435" s="99"/>
      <x:c r="L435" s="99"/>
      <x:c r="M435" s="99"/>
      <x:c r="N435" s="99"/>
      <x:c r="O435" s="99"/>
      <x:c r="P435" s="99"/>
      <x:c r="Q435" s="99"/>
      <x:c r="R435" s="99"/>
      <x:c r="S435" s="99"/>
      <x:c r="T435" s="99"/>
      <x:c r="U435" s="99"/>
      <x:c r="V435" s="99"/>
      <x:c r="W435" s="99"/>
      <x:c r="X435" s="99"/>
      <x:c r="Y435" s="99"/>
      <x:c r="Z435" s="99"/>
    </x:row>
    <x:row r="436">
      <x:c r="A436" s="99"/>
      <x:c r="B436" s="99"/>
      <x:c r="C436" s="99"/>
      <x:c r="D436" s="99"/>
      <x:c r="E436" s="99"/>
      <x:c r="F436" s="99"/>
      <x:c r="G436" s="99"/>
      <x:c r="H436" s="99"/>
      <x:c r="I436" s="99"/>
      <x:c r="J436" s="99"/>
      <x:c r="K436" s="99"/>
      <x:c r="L436" s="99"/>
      <x:c r="M436" s="99"/>
      <x:c r="N436" s="99"/>
      <x:c r="O436" s="99"/>
      <x:c r="P436" s="99"/>
      <x:c r="Q436" s="99"/>
      <x:c r="R436" s="99"/>
      <x:c r="S436" s="99"/>
      <x:c r="T436" s="99"/>
      <x:c r="U436" s="99"/>
      <x:c r="V436" s="99"/>
      <x:c r="W436" s="99"/>
      <x:c r="X436" s="99"/>
      <x:c r="Y436" s="99"/>
      <x:c r="Z436" s="99"/>
    </x:row>
    <x:row r="437">
      <x:c r="A437" s="99"/>
      <x:c r="B437" s="99"/>
      <x:c r="C437" s="99"/>
      <x:c r="D437" s="99"/>
      <x:c r="E437" s="99"/>
      <x:c r="F437" s="99"/>
      <x:c r="G437" s="99"/>
      <x:c r="H437" s="99"/>
      <x:c r="I437" s="99"/>
      <x:c r="J437" s="99"/>
      <x:c r="K437" s="99"/>
      <x:c r="L437" s="99"/>
      <x:c r="M437" s="99"/>
      <x:c r="N437" s="99"/>
      <x:c r="O437" s="99"/>
      <x:c r="P437" s="99"/>
      <x:c r="Q437" s="99"/>
      <x:c r="R437" s="99"/>
      <x:c r="S437" s="99"/>
      <x:c r="T437" s="99"/>
      <x:c r="U437" s="99"/>
      <x:c r="V437" s="99"/>
      <x:c r="W437" s="99"/>
      <x:c r="X437" s="99"/>
      <x:c r="Y437" s="99"/>
      <x:c r="Z437" s="99"/>
    </x:row>
    <x:row r="438">
      <x:c r="A438" s="99"/>
      <x:c r="B438" s="99"/>
      <x:c r="C438" s="99"/>
      <x:c r="D438" s="99"/>
      <x:c r="E438" s="99"/>
      <x:c r="F438" s="99"/>
      <x:c r="G438" s="99"/>
      <x:c r="H438" s="99"/>
      <x:c r="I438" s="99"/>
      <x:c r="J438" s="99"/>
      <x:c r="K438" s="99"/>
      <x:c r="L438" s="99"/>
      <x:c r="M438" s="99"/>
      <x:c r="N438" s="99"/>
      <x:c r="O438" s="99"/>
      <x:c r="P438" s="99"/>
      <x:c r="Q438" s="99"/>
      <x:c r="R438" s="99"/>
      <x:c r="S438" s="99"/>
      <x:c r="T438" s="99"/>
      <x:c r="U438" s="99"/>
      <x:c r="V438" s="99"/>
      <x:c r="W438" s="99"/>
      <x:c r="X438" s="99"/>
      <x:c r="Y438" s="99"/>
      <x:c r="Z438" s="99"/>
    </x:row>
    <x:row r="439">
      <x:c r="A439" s="99"/>
      <x:c r="B439" s="99"/>
      <x:c r="C439" s="99"/>
      <x:c r="D439" s="99"/>
      <x:c r="E439" s="99"/>
      <x:c r="F439" s="99"/>
      <x:c r="G439" s="99"/>
      <x:c r="H439" s="99"/>
      <x:c r="I439" s="99"/>
      <x:c r="J439" s="99"/>
      <x:c r="K439" s="99"/>
      <x:c r="L439" s="99"/>
      <x:c r="M439" s="99"/>
      <x:c r="N439" s="99"/>
      <x:c r="O439" s="99"/>
      <x:c r="P439" s="99"/>
      <x:c r="Q439" s="99"/>
      <x:c r="R439" s="99"/>
      <x:c r="S439" s="99"/>
      <x:c r="T439" s="99"/>
      <x:c r="U439" s="99"/>
      <x:c r="V439" s="99"/>
      <x:c r="W439" s="99"/>
      <x:c r="X439" s="99"/>
      <x:c r="Y439" s="99"/>
      <x:c r="Z439" s="99"/>
    </x:row>
    <x:row r="440">
      <x:c r="A440" s="99"/>
      <x:c r="B440" s="99"/>
      <x:c r="C440" s="99"/>
      <x:c r="D440" s="99"/>
      <x:c r="E440" s="99"/>
      <x:c r="F440" s="99"/>
      <x:c r="G440" s="99"/>
      <x:c r="H440" s="99"/>
      <x:c r="I440" s="99"/>
      <x:c r="J440" s="99"/>
      <x:c r="K440" s="99"/>
      <x:c r="L440" s="99"/>
      <x:c r="M440" s="99"/>
      <x:c r="N440" s="99"/>
      <x:c r="O440" s="99"/>
      <x:c r="P440" s="99"/>
      <x:c r="Q440" s="99"/>
      <x:c r="R440" s="99"/>
      <x:c r="S440" s="99"/>
      <x:c r="T440" s="99"/>
      <x:c r="U440" s="99"/>
      <x:c r="V440" s="99"/>
      <x:c r="W440" s="99"/>
      <x:c r="X440" s="99"/>
      <x:c r="Y440" s="99"/>
      <x:c r="Z440" s="99"/>
    </x:row>
    <x:row r="441">
      <x:c r="A441" s="99"/>
      <x:c r="B441" s="99"/>
      <x:c r="C441" s="99"/>
      <x:c r="D441" s="99"/>
      <x:c r="E441" s="99"/>
      <x:c r="F441" s="99"/>
      <x:c r="G441" s="99"/>
      <x:c r="H441" s="99"/>
      <x:c r="I441" s="99"/>
      <x:c r="J441" s="99"/>
      <x:c r="K441" s="99"/>
      <x:c r="L441" s="99"/>
      <x:c r="M441" s="99"/>
      <x:c r="N441" s="99"/>
      <x:c r="O441" s="99"/>
      <x:c r="P441" s="99"/>
      <x:c r="Q441" s="99"/>
      <x:c r="R441" s="99"/>
      <x:c r="S441" s="99"/>
      <x:c r="T441" s="99"/>
      <x:c r="U441" s="99"/>
      <x:c r="V441" s="99"/>
      <x:c r="W441" s="99"/>
      <x:c r="X441" s="99"/>
      <x:c r="Y441" s="99"/>
      <x:c r="Z441" s="99"/>
    </x:row>
    <x:row r="442">
      <x:c r="A442" s="99"/>
      <x:c r="B442" s="99"/>
      <x:c r="C442" s="99"/>
      <x:c r="D442" s="99"/>
      <x:c r="E442" s="99"/>
      <x:c r="F442" s="99"/>
      <x:c r="G442" s="99"/>
      <x:c r="H442" s="99"/>
      <x:c r="I442" s="99"/>
      <x:c r="J442" s="99"/>
      <x:c r="K442" s="99"/>
      <x:c r="L442" s="99"/>
      <x:c r="M442" s="99"/>
      <x:c r="N442" s="99"/>
      <x:c r="O442" s="99"/>
      <x:c r="P442" s="99"/>
      <x:c r="Q442" s="99"/>
      <x:c r="R442" s="99"/>
      <x:c r="S442" s="99"/>
      <x:c r="T442" s="99"/>
      <x:c r="U442" s="99"/>
      <x:c r="V442" s="99"/>
      <x:c r="W442" s="99"/>
      <x:c r="X442" s="99"/>
      <x:c r="Y442" s="99"/>
      <x:c r="Z442" s="99"/>
    </x:row>
    <x:row r="443">
      <x:c r="A443" s="99"/>
      <x:c r="B443" s="99"/>
      <x:c r="C443" s="99"/>
      <x:c r="D443" s="99"/>
      <x:c r="E443" s="99"/>
      <x:c r="F443" s="99"/>
      <x:c r="G443" s="99"/>
      <x:c r="H443" s="99"/>
      <x:c r="I443" s="99"/>
      <x:c r="J443" s="99"/>
      <x:c r="K443" s="99"/>
      <x:c r="L443" s="99"/>
      <x:c r="M443" s="99"/>
      <x:c r="N443" s="99"/>
      <x:c r="O443" s="99"/>
      <x:c r="P443" s="99"/>
      <x:c r="Q443" s="99"/>
      <x:c r="R443" s="99"/>
      <x:c r="S443" s="99"/>
      <x:c r="T443" s="99"/>
      <x:c r="U443" s="99"/>
      <x:c r="V443" s="99"/>
      <x:c r="W443" s="99"/>
      <x:c r="X443" s="99"/>
      <x:c r="Y443" s="99"/>
      <x:c r="Z443" s="99"/>
    </x:row>
    <x:row r="444">
      <x:c r="A444" s="99"/>
      <x:c r="B444" s="99"/>
      <x:c r="C444" s="99"/>
      <x:c r="D444" s="99"/>
      <x:c r="E444" s="99"/>
      <x:c r="F444" s="99"/>
      <x:c r="G444" s="99"/>
      <x:c r="H444" s="99"/>
      <x:c r="I444" s="99"/>
      <x:c r="J444" s="99"/>
      <x:c r="K444" s="99"/>
      <x:c r="L444" s="99"/>
      <x:c r="M444" s="99"/>
      <x:c r="N444" s="99"/>
      <x:c r="O444" s="99"/>
      <x:c r="P444" s="99"/>
      <x:c r="Q444" s="99"/>
      <x:c r="R444" s="99"/>
      <x:c r="S444" s="99"/>
      <x:c r="T444" s="99"/>
      <x:c r="U444" s="99"/>
      <x:c r="V444" s="99"/>
      <x:c r="W444" s="99"/>
      <x:c r="X444" s="99"/>
      <x:c r="Y444" s="99"/>
      <x:c r="Z444" s="99"/>
    </x:row>
    <x:row r="445">
      <x:c r="A445" s="99"/>
      <x:c r="B445" s="99"/>
      <x:c r="C445" s="99"/>
      <x:c r="D445" s="99"/>
      <x:c r="E445" s="99"/>
      <x:c r="F445" s="99"/>
      <x:c r="G445" s="99"/>
      <x:c r="H445" s="99"/>
      <x:c r="I445" s="99"/>
      <x:c r="J445" s="99"/>
      <x:c r="K445" s="99"/>
      <x:c r="L445" s="99"/>
      <x:c r="M445" s="99"/>
      <x:c r="N445" s="99"/>
      <x:c r="O445" s="99"/>
      <x:c r="P445" s="99"/>
      <x:c r="Q445" s="99"/>
      <x:c r="R445" s="99"/>
      <x:c r="S445" s="99"/>
      <x:c r="T445" s="99"/>
      <x:c r="U445" s="99"/>
      <x:c r="V445" s="99"/>
      <x:c r="W445" s="99"/>
      <x:c r="X445" s="99"/>
      <x:c r="Y445" s="99"/>
      <x:c r="Z445" s="99"/>
    </x:row>
    <x:row r="446">
      <x:c r="A446" s="99"/>
      <x:c r="B446" s="99"/>
      <x:c r="C446" s="99"/>
      <x:c r="D446" s="99"/>
      <x:c r="E446" s="99"/>
      <x:c r="F446" s="99"/>
      <x:c r="G446" s="99"/>
      <x:c r="H446" s="99"/>
      <x:c r="I446" s="99"/>
      <x:c r="J446" s="99"/>
      <x:c r="K446" s="99"/>
      <x:c r="L446" s="99"/>
      <x:c r="M446" s="99"/>
      <x:c r="N446" s="99"/>
      <x:c r="O446" s="99"/>
      <x:c r="P446" s="99"/>
      <x:c r="Q446" s="99"/>
      <x:c r="R446" s="99"/>
      <x:c r="S446" s="99"/>
      <x:c r="T446" s="99"/>
      <x:c r="U446" s="99"/>
      <x:c r="V446" s="99"/>
      <x:c r="W446" s="99"/>
      <x:c r="X446" s="99"/>
      <x:c r="Y446" s="99"/>
      <x:c r="Z446" s="99"/>
    </x:row>
    <x:row r="447">
      <x:c r="A447" s="99"/>
      <x:c r="B447" s="99"/>
      <x:c r="C447" s="99"/>
      <x:c r="D447" s="99"/>
      <x:c r="E447" s="99"/>
      <x:c r="F447" s="99"/>
      <x:c r="G447" s="99"/>
      <x:c r="H447" s="99"/>
      <x:c r="I447" s="99"/>
      <x:c r="J447" s="99"/>
      <x:c r="K447" s="99"/>
      <x:c r="L447" s="99"/>
      <x:c r="M447" s="99"/>
      <x:c r="N447" s="99"/>
      <x:c r="O447" s="99"/>
      <x:c r="P447" s="99"/>
      <x:c r="Q447" s="99"/>
      <x:c r="R447" s="99"/>
      <x:c r="S447" s="99"/>
      <x:c r="T447" s="99"/>
      <x:c r="U447" s="99"/>
      <x:c r="V447" s="99"/>
      <x:c r="W447" s="99"/>
      <x:c r="X447" s="99"/>
      <x:c r="Y447" s="99"/>
      <x:c r="Z447" s="99"/>
    </x:row>
    <x:row r="448">
      <x:c r="A448" s="99"/>
      <x:c r="B448" s="99"/>
      <x:c r="C448" s="99"/>
      <x:c r="D448" s="99"/>
      <x:c r="E448" s="99"/>
      <x:c r="F448" s="99"/>
      <x:c r="G448" s="99"/>
      <x:c r="H448" s="99"/>
      <x:c r="I448" s="99"/>
      <x:c r="J448" s="99"/>
      <x:c r="K448" s="99"/>
      <x:c r="L448" s="99"/>
      <x:c r="M448" s="99"/>
      <x:c r="N448" s="99"/>
      <x:c r="O448" s="99"/>
      <x:c r="P448" s="99"/>
      <x:c r="Q448" s="99"/>
      <x:c r="R448" s="99"/>
      <x:c r="S448" s="99"/>
      <x:c r="T448" s="99"/>
      <x:c r="U448" s="99"/>
      <x:c r="V448" s="99"/>
      <x:c r="W448" s="99"/>
      <x:c r="X448" s="99"/>
      <x:c r="Y448" s="99"/>
      <x:c r="Z448" s="99"/>
    </x:row>
    <x:row r="449">
      <x:c r="A449" s="99"/>
      <x:c r="B449" s="99"/>
      <x:c r="C449" s="99"/>
      <x:c r="D449" s="99"/>
      <x:c r="E449" s="99"/>
      <x:c r="F449" s="99"/>
      <x:c r="G449" s="99"/>
      <x:c r="H449" s="99"/>
      <x:c r="I449" s="99"/>
      <x:c r="J449" s="99"/>
      <x:c r="K449" s="99"/>
      <x:c r="L449" s="99"/>
      <x:c r="M449" s="99"/>
      <x:c r="N449" s="99"/>
      <x:c r="O449" s="99"/>
      <x:c r="P449" s="99"/>
      <x:c r="Q449" s="99"/>
      <x:c r="R449" s="99"/>
      <x:c r="S449" s="99"/>
      <x:c r="T449" s="99"/>
      <x:c r="U449" s="99"/>
      <x:c r="V449" s="99"/>
      <x:c r="W449" s="99"/>
      <x:c r="X449" s="99"/>
      <x:c r="Y449" s="99"/>
      <x:c r="Z449" s="99"/>
    </x:row>
    <x:row r="450">
      <x:c r="A450" s="99"/>
      <x:c r="B450" s="99"/>
      <x:c r="C450" s="99"/>
      <x:c r="D450" s="99"/>
      <x:c r="E450" s="99"/>
      <x:c r="F450" s="99"/>
      <x:c r="G450" s="99"/>
      <x:c r="H450" s="99"/>
      <x:c r="I450" s="99"/>
      <x:c r="J450" s="99"/>
      <x:c r="K450" s="99"/>
      <x:c r="L450" s="99"/>
      <x:c r="M450" s="99"/>
      <x:c r="N450" s="99"/>
      <x:c r="O450" s="99"/>
      <x:c r="P450" s="99"/>
      <x:c r="Q450" s="99"/>
      <x:c r="R450" s="99"/>
      <x:c r="S450" s="99"/>
      <x:c r="T450" s="99"/>
      <x:c r="U450" s="99"/>
      <x:c r="V450" s="99"/>
      <x:c r="W450" s="99"/>
      <x:c r="X450" s="99"/>
      <x:c r="Y450" s="99"/>
      <x:c r="Z450" s="99"/>
    </x:row>
    <x:row r="451">
      <x:c r="A451" s="99"/>
      <x:c r="B451" s="99"/>
      <x:c r="C451" s="99"/>
      <x:c r="D451" s="99"/>
      <x:c r="E451" s="99"/>
      <x:c r="F451" s="99"/>
      <x:c r="G451" s="99"/>
      <x:c r="H451" s="99"/>
      <x:c r="I451" s="99"/>
      <x:c r="J451" s="99"/>
      <x:c r="K451" s="99"/>
      <x:c r="L451" s="99"/>
      <x:c r="M451" s="99"/>
      <x:c r="N451" s="99"/>
      <x:c r="O451" s="99"/>
      <x:c r="P451" s="99"/>
      <x:c r="Q451" s="99"/>
      <x:c r="R451" s="99"/>
      <x:c r="S451" s="99"/>
      <x:c r="T451" s="99"/>
      <x:c r="U451" s="99"/>
      <x:c r="V451" s="99"/>
      <x:c r="W451" s="99"/>
      <x:c r="X451" s="99"/>
      <x:c r="Y451" s="99"/>
      <x:c r="Z451" s="99"/>
    </x:row>
    <x:row r="452">
      <x:c r="A452" s="99"/>
      <x:c r="B452" s="99"/>
      <x:c r="C452" s="99"/>
      <x:c r="D452" s="99"/>
      <x:c r="E452" s="99"/>
      <x:c r="F452" s="99"/>
      <x:c r="G452" s="99"/>
      <x:c r="H452" s="99"/>
      <x:c r="I452" s="99"/>
      <x:c r="J452" s="99"/>
      <x:c r="K452" s="99"/>
      <x:c r="L452" s="99"/>
      <x:c r="M452" s="99"/>
      <x:c r="N452" s="99"/>
      <x:c r="O452" s="99"/>
      <x:c r="P452" s="99"/>
      <x:c r="Q452" s="99"/>
      <x:c r="R452" s="99"/>
      <x:c r="S452" s="99"/>
      <x:c r="T452" s="99"/>
      <x:c r="U452" s="99"/>
      <x:c r="V452" s="99"/>
      <x:c r="W452" s="99"/>
      <x:c r="X452" s="99"/>
      <x:c r="Y452" s="99"/>
      <x:c r="Z452" s="99"/>
    </x:row>
    <x:row r="453">
      <x:c r="A453" s="99"/>
      <x:c r="B453" s="99"/>
      <x:c r="C453" s="99"/>
      <x:c r="D453" s="99"/>
      <x:c r="E453" s="99"/>
      <x:c r="F453" s="99"/>
      <x:c r="G453" s="99"/>
      <x:c r="H453" s="99"/>
      <x:c r="I453" s="99"/>
      <x:c r="J453" s="99"/>
      <x:c r="K453" s="99"/>
      <x:c r="L453" s="99"/>
      <x:c r="M453" s="99"/>
      <x:c r="N453" s="99"/>
      <x:c r="O453" s="99"/>
      <x:c r="P453" s="99"/>
      <x:c r="Q453" s="99"/>
      <x:c r="R453" s="99"/>
      <x:c r="S453" s="99"/>
      <x:c r="T453" s="99"/>
      <x:c r="U453" s="99"/>
      <x:c r="V453" s="99"/>
      <x:c r="W453" s="99"/>
      <x:c r="X453" s="99"/>
      <x:c r="Y453" s="99"/>
      <x:c r="Z453" s="99"/>
    </x:row>
    <x:row r="454">
      <x:c r="A454" s="99"/>
      <x:c r="B454" s="99"/>
      <x:c r="C454" s="99"/>
      <x:c r="D454" s="99"/>
      <x:c r="E454" s="99"/>
      <x:c r="F454" s="99"/>
      <x:c r="G454" s="99"/>
      <x:c r="H454" s="99"/>
      <x:c r="I454" s="99"/>
      <x:c r="J454" s="99"/>
      <x:c r="K454" s="99"/>
      <x:c r="L454" s="99"/>
      <x:c r="M454" s="99"/>
      <x:c r="N454" s="99"/>
      <x:c r="O454" s="99"/>
      <x:c r="P454" s="99"/>
      <x:c r="Q454" s="99"/>
      <x:c r="R454" s="99"/>
      <x:c r="S454" s="99"/>
      <x:c r="T454" s="99"/>
      <x:c r="U454" s="99"/>
      <x:c r="V454" s="99"/>
      <x:c r="W454" s="99"/>
      <x:c r="X454" s="99"/>
      <x:c r="Y454" s="99"/>
      <x:c r="Z454" s="99"/>
    </x:row>
    <x:row r="455">
      <x:c r="A455" s="99"/>
      <x:c r="B455" s="99"/>
      <x:c r="C455" s="99"/>
      <x:c r="D455" s="99"/>
      <x:c r="E455" s="99"/>
      <x:c r="F455" s="99"/>
      <x:c r="G455" s="99"/>
      <x:c r="H455" s="99"/>
      <x:c r="I455" s="99"/>
      <x:c r="J455" s="99"/>
      <x:c r="K455" s="99"/>
      <x:c r="L455" s="99"/>
      <x:c r="M455" s="99"/>
      <x:c r="N455" s="99"/>
      <x:c r="O455" s="99"/>
      <x:c r="P455" s="99"/>
      <x:c r="Q455" s="99"/>
      <x:c r="R455" s="99"/>
      <x:c r="S455" s="99"/>
      <x:c r="T455" s="99"/>
      <x:c r="U455" s="99"/>
      <x:c r="V455" s="99"/>
      <x:c r="W455" s="99"/>
      <x:c r="X455" s="99"/>
      <x:c r="Y455" s="99"/>
      <x:c r="Z455" s="99"/>
    </x:row>
    <x:row r="456">
      <x:c r="A456" s="99"/>
      <x:c r="B456" s="99"/>
      <x:c r="C456" s="99"/>
      <x:c r="D456" s="99"/>
      <x:c r="E456" s="99"/>
      <x:c r="F456" s="99"/>
      <x:c r="G456" s="99"/>
      <x:c r="H456" s="99"/>
      <x:c r="I456" s="99"/>
      <x:c r="J456" s="99"/>
      <x:c r="K456" s="99"/>
      <x:c r="L456" s="99"/>
      <x:c r="M456" s="99"/>
      <x:c r="N456" s="99"/>
      <x:c r="O456" s="99"/>
      <x:c r="P456" s="99"/>
      <x:c r="Q456" s="99"/>
      <x:c r="R456" s="99"/>
      <x:c r="S456" s="99"/>
      <x:c r="T456" s="99"/>
      <x:c r="U456" s="99"/>
      <x:c r="V456" s="99"/>
      <x:c r="W456" s="99"/>
      <x:c r="X456" s="99"/>
      <x:c r="Y456" s="99"/>
      <x:c r="Z456" s="99"/>
    </x:row>
    <x:row r="457">
      <x:c r="A457" s="99"/>
      <x:c r="B457" s="99"/>
      <x:c r="C457" s="99"/>
      <x:c r="D457" s="99"/>
      <x:c r="E457" s="99"/>
      <x:c r="F457" s="99"/>
      <x:c r="G457" s="99"/>
      <x:c r="H457" s="99"/>
      <x:c r="I457" s="99"/>
      <x:c r="J457" s="99"/>
      <x:c r="K457" s="99"/>
      <x:c r="L457" s="99"/>
      <x:c r="M457" s="99"/>
      <x:c r="N457" s="99"/>
      <x:c r="O457" s="99"/>
      <x:c r="P457" s="99"/>
      <x:c r="Q457" s="99"/>
      <x:c r="R457" s="99"/>
      <x:c r="S457" s="99"/>
      <x:c r="T457" s="99"/>
      <x:c r="U457" s="99"/>
      <x:c r="V457" s="99"/>
      <x:c r="W457" s="99"/>
      <x:c r="X457" s="99"/>
      <x:c r="Y457" s="99"/>
      <x:c r="Z457" s="99"/>
    </x:row>
    <x:row r="458">
      <x:c r="A458" s="99"/>
      <x:c r="B458" s="99"/>
      <x:c r="C458" s="99"/>
      <x:c r="D458" s="99"/>
      <x:c r="E458" s="99"/>
      <x:c r="F458" s="99"/>
      <x:c r="G458" s="99"/>
      <x:c r="H458" s="99"/>
      <x:c r="I458" s="99"/>
      <x:c r="J458" s="99"/>
      <x:c r="K458" s="99"/>
      <x:c r="L458" s="99"/>
      <x:c r="M458" s="99"/>
      <x:c r="N458" s="99"/>
      <x:c r="O458" s="99"/>
      <x:c r="P458" s="99"/>
      <x:c r="Q458" s="99"/>
      <x:c r="R458" s="99"/>
      <x:c r="S458" s="99"/>
      <x:c r="T458" s="99"/>
      <x:c r="U458" s="99"/>
      <x:c r="V458" s="99"/>
      <x:c r="W458" s="99"/>
      <x:c r="X458" s="99"/>
      <x:c r="Y458" s="99"/>
      <x:c r="Z458" s="99"/>
    </x:row>
    <x:row r="459">
      <x:c r="A459" s="99"/>
      <x:c r="B459" s="99"/>
      <x:c r="C459" s="99"/>
      <x:c r="D459" s="99"/>
      <x:c r="E459" s="99"/>
      <x:c r="F459" s="99"/>
      <x:c r="G459" s="99"/>
      <x:c r="H459" s="99"/>
      <x:c r="I459" s="99"/>
      <x:c r="J459" s="99"/>
      <x:c r="K459" s="99"/>
      <x:c r="L459" s="99"/>
      <x:c r="M459" s="99"/>
      <x:c r="N459" s="99"/>
      <x:c r="O459" s="99"/>
      <x:c r="P459" s="99"/>
      <x:c r="Q459" s="99"/>
      <x:c r="R459" s="99"/>
      <x:c r="S459" s="99"/>
      <x:c r="T459" s="99"/>
      <x:c r="U459" s="99"/>
      <x:c r="V459" s="99"/>
      <x:c r="W459" s="99"/>
      <x:c r="X459" s="99"/>
      <x:c r="Y459" s="99"/>
      <x:c r="Z459" s="99"/>
    </x:row>
    <x:row r="460">
      <x:c r="A460" s="99"/>
      <x:c r="B460" s="99"/>
      <x:c r="C460" s="99"/>
      <x:c r="D460" s="99"/>
      <x:c r="E460" s="99"/>
      <x:c r="F460" s="99"/>
      <x:c r="G460" s="99"/>
      <x:c r="H460" s="99"/>
      <x:c r="I460" s="99"/>
      <x:c r="J460" s="99"/>
      <x:c r="K460" s="99"/>
      <x:c r="L460" s="99"/>
      <x:c r="M460" s="99"/>
      <x:c r="N460" s="99"/>
      <x:c r="O460" s="99"/>
      <x:c r="P460" s="99"/>
      <x:c r="Q460" s="99"/>
      <x:c r="R460" s="99"/>
      <x:c r="S460" s="99"/>
      <x:c r="T460" s="99"/>
      <x:c r="U460" s="99"/>
      <x:c r="V460" s="99"/>
      <x:c r="W460" s="99"/>
      <x:c r="X460" s="99"/>
      <x:c r="Y460" s="99"/>
      <x:c r="Z460" s="99"/>
    </x:row>
    <x:row r="461">
      <x:c r="A461" s="99"/>
      <x:c r="B461" s="99"/>
      <x:c r="C461" s="99"/>
      <x:c r="D461" s="99"/>
      <x:c r="E461" s="99"/>
      <x:c r="F461" s="99"/>
      <x:c r="G461" s="99"/>
      <x:c r="H461" s="99"/>
      <x:c r="I461" s="99"/>
      <x:c r="J461" s="99"/>
      <x:c r="K461" s="99"/>
      <x:c r="L461" s="99"/>
      <x:c r="M461" s="99"/>
      <x:c r="N461" s="99"/>
      <x:c r="O461" s="99"/>
      <x:c r="P461" s="99"/>
      <x:c r="Q461" s="99"/>
      <x:c r="R461" s="99"/>
      <x:c r="S461" s="99"/>
      <x:c r="T461" s="99"/>
      <x:c r="U461" s="99"/>
      <x:c r="V461" s="99"/>
      <x:c r="W461" s="99"/>
      <x:c r="X461" s="99"/>
      <x:c r="Y461" s="99"/>
      <x:c r="Z461" s="99"/>
    </x:row>
    <x:row r="462">
      <x:c r="A462" s="99"/>
      <x:c r="B462" s="99"/>
      <x:c r="C462" s="99"/>
      <x:c r="D462" s="99"/>
      <x:c r="E462" s="99"/>
      <x:c r="F462" s="99"/>
      <x:c r="G462" s="99"/>
      <x:c r="H462" s="99"/>
      <x:c r="I462" s="99"/>
      <x:c r="J462" s="99"/>
      <x:c r="K462" s="99"/>
      <x:c r="L462" s="99"/>
      <x:c r="M462" s="99"/>
      <x:c r="N462" s="99"/>
      <x:c r="O462" s="99"/>
      <x:c r="P462" s="99"/>
      <x:c r="Q462" s="99"/>
      <x:c r="R462" s="99"/>
      <x:c r="S462" s="99"/>
      <x:c r="T462" s="99"/>
      <x:c r="U462" s="99"/>
      <x:c r="V462" s="99"/>
      <x:c r="W462" s="99"/>
      <x:c r="X462" s="99"/>
      <x:c r="Y462" s="99"/>
      <x:c r="Z462" s="99"/>
    </x:row>
    <x:row r="463">
      <x:c r="A463" s="99"/>
      <x:c r="B463" s="99"/>
      <x:c r="C463" s="99"/>
      <x:c r="D463" s="99"/>
      <x:c r="E463" s="99"/>
      <x:c r="F463" s="99"/>
      <x:c r="G463" s="99"/>
      <x:c r="H463" s="99"/>
      <x:c r="I463" s="99"/>
      <x:c r="J463" s="99"/>
      <x:c r="K463" s="99"/>
      <x:c r="L463" s="99"/>
      <x:c r="M463" s="99"/>
      <x:c r="N463" s="99"/>
      <x:c r="O463" s="99"/>
      <x:c r="P463" s="99"/>
      <x:c r="Q463" s="99"/>
      <x:c r="R463" s="99"/>
      <x:c r="S463" s="99"/>
      <x:c r="T463" s="99"/>
      <x:c r="U463" s="99"/>
      <x:c r="V463" s="99"/>
      <x:c r="W463" s="99"/>
      <x:c r="X463" s="99"/>
      <x:c r="Y463" s="99"/>
      <x:c r="Z463" s="99"/>
    </x:row>
    <x:row r="464">
      <x:c r="A464" s="99"/>
      <x:c r="B464" s="99"/>
      <x:c r="C464" s="99"/>
      <x:c r="D464" s="99"/>
      <x:c r="E464" s="99"/>
      <x:c r="F464" s="99"/>
      <x:c r="G464" s="99"/>
      <x:c r="H464" s="99"/>
      <x:c r="I464" s="99"/>
      <x:c r="J464" s="99"/>
      <x:c r="K464" s="99"/>
      <x:c r="L464" s="99"/>
      <x:c r="M464" s="99"/>
      <x:c r="N464" s="99"/>
      <x:c r="O464" s="99"/>
      <x:c r="P464" s="99"/>
      <x:c r="Q464" s="99"/>
      <x:c r="R464" s="99"/>
      <x:c r="S464" s="99"/>
      <x:c r="T464" s="99"/>
      <x:c r="U464" s="99"/>
      <x:c r="V464" s="99"/>
      <x:c r="W464" s="99"/>
      <x:c r="X464" s="99"/>
      <x:c r="Y464" s="99"/>
      <x:c r="Z464" s="99"/>
    </x:row>
    <x:row r="465">
      <x:c r="A465" s="99"/>
      <x:c r="B465" s="99"/>
      <x:c r="C465" s="99"/>
      <x:c r="D465" s="99"/>
      <x:c r="E465" s="99"/>
      <x:c r="F465" s="99"/>
      <x:c r="G465" s="99"/>
      <x:c r="H465" s="99"/>
      <x:c r="I465" s="99"/>
      <x:c r="J465" s="99"/>
      <x:c r="K465" s="99"/>
      <x:c r="L465" s="99"/>
      <x:c r="M465" s="99"/>
      <x:c r="N465" s="99"/>
      <x:c r="O465" s="99"/>
      <x:c r="P465" s="99"/>
      <x:c r="Q465" s="99"/>
      <x:c r="R465" s="99"/>
      <x:c r="S465" s="99"/>
      <x:c r="T465" s="99"/>
      <x:c r="U465" s="99"/>
      <x:c r="V465" s="99"/>
      <x:c r="W465" s="99"/>
      <x:c r="X465" s="99"/>
      <x:c r="Y465" s="99"/>
      <x:c r="Z465" s="99"/>
    </x:row>
    <x:row r="466">
      <x:c r="A466" s="99"/>
      <x:c r="B466" s="99"/>
      <x:c r="C466" s="99"/>
      <x:c r="D466" s="99"/>
      <x:c r="E466" s="99"/>
      <x:c r="F466" s="99"/>
      <x:c r="G466" s="99"/>
      <x:c r="H466" s="99"/>
      <x:c r="I466" s="99"/>
      <x:c r="J466" s="99"/>
      <x:c r="K466" s="99"/>
      <x:c r="L466" s="99"/>
      <x:c r="M466" s="99"/>
      <x:c r="N466" s="99"/>
      <x:c r="O466" s="99"/>
      <x:c r="P466" s="99"/>
      <x:c r="Q466" s="99"/>
      <x:c r="R466" s="99"/>
      <x:c r="S466" s="99"/>
      <x:c r="T466" s="99"/>
      <x:c r="U466" s="99"/>
      <x:c r="V466" s="99"/>
      <x:c r="W466" s="99"/>
      <x:c r="X466" s="99"/>
      <x:c r="Y466" s="99"/>
      <x:c r="Z466" s="99"/>
    </x:row>
    <x:row r="467">
      <x:c r="A467" s="99"/>
      <x:c r="B467" s="99"/>
      <x:c r="C467" s="99"/>
      <x:c r="D467" s="99"/>
      <x:c r="E467" s="99"/>
      <x:c r="F467" s="99"/>
      <x:c r="G467" s="99"/>
      <x:c r="H467" s="99"/>
      <x:c r="I467" s="99"/>
      <x:c r="J467" s="99"/>
      <x:c r="K467" s="99"/>
      <x:c r="L467" s="99"/>
      <x:c r="M467" s="99"/>
      <x:c r="N467" s="99"/>
      <x:c r="O467" s="99"/>
      <x:c r="P467" s="99"/>
      <x:c r="Q467" s="99"/>
      <x:c r="R467" s="99"/>
      <x:c r="S467" s="99"/>
      <x:c r="T467" s="99"/>
      <x:c r="U467" s="99"/>
      <x:c r="V467" s="99"/>
      <x:c r="W467" s="99"/>
      <x:c r="X467" s="99"/>
      <x:c r="Y467" s="99"/>
      <x:c r="Z467" s="99"/>
    </x:row>
    <x:row r="468">
      <x:c r="A468" s="99"/>
      <x:c r="B468" s="99"/>
      <x:c r="C468" s="99"/>
      <x:c r="D468" s="99"/>
      <x:c r="E468" s="99"/>
      <x:c r="F468" s="99"/>
      <x:c r="G468" s="99"/>
      <x:c r="H468" s="99"/>
      <x:c r="I468" s="99"/>
      <x:c r="J468" s="99"/>
      <x:c r="K468" s="99"/>
      <x:c r="L468" s="99"/>
      <x:c r="M468" s="99"/>
      <x:c r="N468" s="99"/>
      <x:c r="O468" s="99"/>
      <x:c r="P468" s="99"/>
      <x:c r="Q468" s="99"/>
      <x:c r="R468" s="99"/>
      <x:c r="S468" s="99"/>
      <x:c r="T468" s="99"/>
      <x:c r="U468" s="99"/>
      <x:c r="V468" s="99"/>
      <x:c r="W468" s="99"/>
      <x:c r="X468" s="99"/>
      <x:c r="Y468" s="99"/>
      <x:c r="Z468" s="99"/>
    </x:row>
    <x:row r="469">
      <x:c r="A469" s="99"/>
      <x:c r="B469" s="99"/>
      <x:c r="C469" s="99"/>
      <x:c r="D469" s="99"/>
      <x:c r="E469" s="99"/>
      <x:c r="F469" s="99"/>
      <x:c r="G469" s="99"/>
      <x:c r="H469" s="99"/>
      <x:c r="I469" s="99"/>
      <x:c r="J469" s="99"/>
      <x:c r="K469" s="99"/>
      <x:c r="L469" s="99"/>
      <x:c r="M469" s="99"/>
      <x:c r="N469" s="99"/>
      <x:c r="O469" s="99"/>
      <x:c r="P469" s="99"/>
      <x:c r="Q469" s="99"/>
      <x:c r="R469" s="99"/>
      <x:c r="S469" s="99"/>
      <x:c r="T469" s="99"/>
      <x:c r="U469" s="99"/>
      <x:c r="V469" s="99"/>
      <x:c r="W469" s="99"/>
      <x:c r="X469" s="99"/>
      <x:c r="Y469" s="99"/>
      <x:c r="Z469" s="99"/>
    </x:row>
    <x:row r="470">
      <x:c r="A470" s="99"/>
      <x:c r="B470" s="99"/>
      <x:c r="C470" s="99"/>
      <x:c r="D470" s="99"/>
      <x:c r="E470" s="99"/>
      <x:c r="F470" s="99"/>
      <x:c r="G470" s="99"/>
      <x:c r="H470" s="99"/>
      <x:c r="I470" s="99"/>
      <x:c r="J470" s="99"/>
      <x:c r="K470" s="99"/>
      <x:c r="L470" s="99"/>
      <x:c r="M470" s="99"/>
      <x:c r="N470" s="99"/>
      <x:c r="O470" s="99"/>
      <x:c r="P470" s="99"/>
      <x:c r="Q470" s="99"/>
      <x:c r="R470" s="99"/>
      <x:c r="S470" s="99"/>
      <x:c r="T470" s="99"/>
      <x:c r="U470" s="99"/>
      <x:c r="V470" s="99"/>
      <x:c r="W470" s="99"/>
      <x:c r="X470" s="99"/>
      <x:c r="Y470" s="99"/>
      <x:c r="Z470" s="99"/>
    </x:row>
    <x:row r="471">
      <x:c r="A471" s="99"/>
      <x:c r="B471" s="99"/>
      <x:c r="C471" s="99"/>
      <x:c r="D471" s="99"/>
      <x:c r="E471" s="99"/>
      <x:c r="F471" s="99"/>
      <x:c r="G471" s="99"/>
      <x:c r="H471" s="99"/>
      <x:c r="I471" s="99"/>
      <x:c r="J471" s="99"/>
      <x:c r="K471" s="99"/>
      <x:c r="L471" s="99"/>
      <x:c r="M471" s="99"/>
      <x:c r="N471" s="99"/>
      <x:c r="O471" s="99"/>
      <x:c r="P471" s="99"/>
      <x:c r="Q471" s="99"/>
      <x:c r="R471" s="99"/>
      <x:c r="S471" s="99"/>
      <x:c r="T471" s="99"/>
      <x:c r="U471" s="99"/>
      <x:c r="V471" s="99"/>
      <x:c r="W471" s="99"/>
      <x:c r="X471" s="99"/>
      <x:c r="Y471" s="99"/>
      <x:c r="Z471" s="99"/>
    </x:row>
    <x:row r="472">
      <x:c r="A472" s="99"/>
      <x:c r="B472" s="99"/>
      <x:c r="C472" s="99"/>
      <x:c r="D472" s="99"/>
      <x:c r="E472" s="99"/>
      <x:c r="F472" s="99"/>
      <x:c r="G472" s="99"/>
      <x:c r="H472" s="99"/>
      <x:c r="I472" s="99"/>
      <x:c r="J472" s="99"/>
      <x:c r="K472" s="99"/>
      <x:c r="L472" s="99"/>
      <x:c r="M472" s="99"/>
      <x:c r="N472" s="99"/>
      <x:c r="O472" s="99"/>
      <x:c r="P472" s="99"/>
      <x:c r="Q472" s="99"/>
      <x:c r="R472" s="99"/>
      <x:c r="S472" s="99"/>
      <x:c r="T472" s="99"/>
      <x:c r="U472" s="99"/>
      <x:c r="V472" s="99"/>
      <x:c r="W472" s="99"/>
      <x:c r="X472" s="99"/>
      <x:c r="Y472" s="99"/>
      <x:c r="Z472" s="99"/>
    </x:row>
    <x:row r="473">
      <x:c r="A473" s="99"/>
      <x:c r="B473" s="99"/>
      <x:c r="C473" s="99"/>
      <x:c r="D473" s="99"/>
      <x:c r="E473" s="99"/>
      <x:c r="F473" s="99"/>
      <x:c r="G473" s="99"/>
      <x:c r="H473" s="99"/>
      <x:c r="I473" s="99"/>
      <x:c r="J473" s="99"/>
      <x:c r="K473" s="99"/>
      <x:c r="L473" s="99"/>
      <x:c r="M473" s="99"/>
      <x:c r="N473" s="99"/>
      <x:c r="O473" s="99"/>
      <x:c r="P473" s="99"/>
      <x:c r="Q473" s="99"/>
      <x:c r="R473" s="99"/>
      <x:c r="S473" s="99"/>
      <x:c r="T473" s="99"/>
      <x:c r="U473" s="99"/>
      <x:c r="V473" s="99"/>
      <x:c r="W473" s="99"/>
      <x:c r="X473" s="99"/>
      <x:c r="Y473" s="99"/>
      <x:c r="Z473" s="99"/>
    </x:row>
    <x:row r="474">
      <x:c r="A474" s="99"/>
      <x:c r="B474" s="99"/>
      <x:c r="C474" s="99"/>
      <x:c r="D474" s="99"/>
      <x:c r="E474" s="99"/>
      <x:c r="F474" s="99"/>
      <x:c r="G474" s="99"/>
      <x:c r="H474" s="99"/>
      <x:c r="I474" s="99"/>
      <x:c r="J474" s="99"/>
      <x:c r="K474" s="99"/>
      <x:c r="L474" s="99"/>
      <x:c r="M474" s="99"/>
      <x:c r="N474" s="99"/>
      <x:c r="O474" s="99"/>
      <x:c r="P474" s="99"/>
      <x:c r="Q474" s="99"/>
      <x:c r="R474" s="99"/>
      <x:c r="S474" s="99"/>
      <x:c r="T474" s="99"/>
      <x:c r="U474" s="99"/>
      <x:c r="V474" s="99"/>
      <x:c r="W474" s="99"/>
      <x:c r="X474" s="99"/>
      <x:c r="Y474" s="99"/>
      <x:c r="Z474" s="99"/>
    </x:row>
    <x:row r="475">
      <x:c r="A475" s="99"/>
      <x:c r="B475" s="99"/>
      <x:c r="C475" s="99"/>
      <x:c r="D475" s="99"/>
      <x:c r="E475" s="99"/>
      <x:c r="F475" s="99"/>
      <x:c r="G475" s="99"/>
      <x:c r="H475" s="99"/>
      <x:c r="I475" s="99"/>
      <x:c r="J475" s="99"/>
      <x:c r="K475" s="99"/>
      <x:c r="L475" s="99"/>
      <x:c r="M475" s="99"/>
      <x:c r="N475" s="99"/>
      <x:c r="O475" s="99"/>
      <x:c r="P475" s="99"/>
      <x:c r="Q475" s="99"/>
      <x:c r="R475" s="99"/>
      <x:c r="S475" s="99"/>
      <x:c r="T475" s="99"/>
      <x:c r="U475" s="99"/>
      <x:c r="V475" s="99"/>
      <x:c r="W475" s="99"/>
      <x:c r="X475" s="99"/>
      <x:c r="Y475" s="99"/>
      <x:c r="Z475" s="99"/>
    </x:row>
    <x:row r="476">
      <x:c r="A476" s="99"/>
      <x:c r="B476" s="99"/>
      <x:c r="C476" s="99"/>
      <x:c r="D476" s="99"/>
      <x:c r="E476" s="99"/>
      <x:c r="F476" s="99"/>
      <x:c r="G476" s="99"/>
      <x:c r="H476" s="99"/>
      <x:c r="I476" s="99"/>
      <x:c r="J476" s="99"/>
      <x:c r="K476" s="99"/>
      <x:c r="L476" s="99"/>
      <x:c r="M476" s="99"/>
      <x:c r="N476" s="99"/>
      <x:c r="O476" s="99"/>
      <x:c r="P476" s="99"/>
      <x:c r="Q476" s="99"/>
      <x:c r="R476" s="99"/>
      <x:c r="S476" s="99"/>
      <x:c r="T476" s="99"/>
      <x:c r="U476" s="99"/>
      <x:c r="V476" s="99"/>
      <x:c r="W476" s="99"/>
      <x:c r="X476" s="99"/>
      <x:c r="Y476" s="99"/>
      <x:c r="Z476" s="99"/>
    </x:row>
    <x:row r="477">
      <x:c r="A477" s="99"/>
      <x:c r="B477" s="99"/>
      <x:c r="C477" s="99"/>
      <x:c r="D477" s="99"/>
      <x:c r="E477" s="99"/>
      <x:c r="F477" s="99"/>
      <x:c r="G477" s="99"/>
      <x:c r="H477" s="99"/>
      <x:c r="I477" s="99"/>
      <x:c r="J477" s="99"/>
      <x:c r="K477" s="99"/>
      <x:c r="L477" s="99"/>
      <x:c r="M477" s="99"/>
      <x:c r="N477" s="99"/>
      <x:c r="O477" s="99"/>
      <x:c r="P477" s="99"/>
      <x:c r="Q477" s="99"/>
      <x:c r="R477" s="99"/>
      <x:c r="S477" s="99"/>
      <x:c r="T477" s="99"/>
      <x:c r="U477" s="99"/>
      <x:c r="V477" s="99"/>
      <x:c r="W477" s="99"/>
      <x:c r="X477" s="99"/>
      <x:c r="Y477" s="99"/>
      <x:c r="Z477" s="99"/>
    </x:row>
    <x:row r="478">
      <x:c r="A478" s="99"/>
      <x:c r="B478" s="99"/>
      <x:c r="C478" s="99"/>
      <x:c r="D478" s="99"/>
      <x:c r="E478" s="99"/>
      <x:c r="F478" s="99"/>
      <x:c r="G478" s="99"/>
      <x:c r="H478" s="99"/>
      <x:c r="I478" s="99"/>
      <x:c r="J478" s="99"/>
      <x:c r="K478" s="99"/>
      <x:c r="L478" s="99"/>
      <x:c r="M478" s="99"/>
      <x:c r="N478" s="99"/>
      <x:c r="O478" s="99"/>
      <x:c r="P478" s="99"/>
      <x:c r="Q478" s="99"/>
      <x:c r="R478" s="99"/>
      <x:c r="S478" s="99"/>
      <x:c r="T478" s="99"/>
      <x:c r="U478" s="99"/>
      <x:c r="V478" s="99"/>
      <x:c r="W478" s="99"/>
      <x:c r="X478" s="99"/>
      <x:c r="Y478" s="99"/>
      <x:c r="Z478" s="99"/>
    </x:row>
    <x:row r="479">
      <x:c r="A479" s="99"/>
      <x:c r="B479" s="99"/>
      <x:c r="C479" s="99"/>
      <x:c r="D479" s="99"/>
      <x:c r="E479" s="99"/>
      <x:c r="F479" s="99"/>
      <x:c r="G479" s="99"/>
      <x:c r="H479" s="99"/>
      <x:c r="I479" s="99"/>
      <x:c r="J479" s="99"/>
      <x:c r="K479" s="99"/>
      <x:c r="L479" s="99"/>
      <x:c r="M479" s="99"/>
      <x:c r="N479" s="99"/>
      <x:c r="O479" s="99"/>
      <x:c r="P479" s="99"/>
      <x:c r="Q479" s="99"/>
      <x:c r="R479" s="99"/>
      <x:c r="S479" s="99"/>
      <x:c r="T479" s="99"/>
      <x:c r="U479" s="99"/>
      <x:c r="V479" s="99"/>
      <x:c r="W479" s="99"/>
      <x:c r="X479" s="99"/>
      <x:c r="Y479" s="99"/>
      <x:c r="Z479" s="99"/>
    </x:row>
    <x:row r="480">
      <x:c r="A480" s="99"/>
      <x:c r="B480" s="99"/>
      <x:c r="C480" s="99"/>
      <x:c r="D480" s="99"/>
      <x:c r="E480" s="99"/>
      <x:c r="F480" s="99"/>
      <x:c r="G480" s="99"/>
      <x:c r="H480" s="99"/>
      <x:c r="I480" s="99"/>
      <x:c r="J480" s="99"/>
      <x:c r="K480" s="99"/>
      <x:c r="L480" s="99"/>
      <x:c r="M480" s="99"/>
      <x:c r="N480" s="99"/>
      <x:c r="O480" s="99"/>
      <x:c r="P480" s="99"/>
      <x:c r="Q480" s="99"/>
      <x:c r="R480" s="99"/>
      <x:c r="S480" s="99"/>
      <x:c r="T480" s="99"/>
      <x:c r="U480" s="99"/>
      <x:c r="V480" s="99"/>
      <x:c r="W480" s="99"/>
      <x:c r="X480" s="99"/>
      <x:c r="Y480" s="99"/>
      <x:c r="Z480" s="99"/>
    </x:row>
    <x:row r="481">
      <x:c r="A481" s="99"/>
      <x:c r="B481" s="99"/>
      <x:c r="C481" s="99"/>
      <x:c r="D481" s="99"/>
      <x:c r="E481" s="99"/>
      <x:c r="F481" s="99"/>
      <x:c r="G481" s="99"/>
      <x:c r="H481" s="99"/>
      <x:c r="I481" s="99"/>
      <x:c r="J481" s="99"/>
      <x:c r="K481" s="99"/>
      <x:c r="L481" s="99"/>
      <x:c r="M481" s="99"/>
      <x:c r="N481" s="99"/>
      <x:c r="O481" s="99"/>
      <x:c r="P481" s="99"/>
      <x:c r="Q481" s="99"/>
      <x:c r="R481" s="99"/>
      <x:c r="S481" s="99"/>
      <x:c r="T481" s="99"/>
      <x:c r="U481" s="99"/>
      <x:c r="V481" s="99"/>
      <x:c r="W481" s="99"/>
      <x:c r="X481" s="99"/>
      <x:c r="Y481" s="99"/>
      <x:c r="Z481" s="99"/>
    </x:row>
    <x:row r="482">
      <x:c r="A482" s="99"/>
      <x:c r="B482" s="99"/>
      <x:c r="C482" s="99"/>
      <x:c r="D482" s="99"/>
      <x:c r="E482" s="99"/>
      <x:c r="F482" s="99"/>
      <x:c r="G482" s="99"/>
      <x:c r="H482" s="99"/>
      <x:c r="I482" s="99"/>
      <x:c r="J482" s="99"/>
      <x:c r="K482" s="99"/>
      <x:c r="L482" s="99"/>
      <x:c r="M482" s="99"/>
      <x:c r="N482" s="99"/>
      <x:c r="O482" s="99"/>
      <x:c r="P482" s="99"/>
      <x:c r="Q482" s="99"/>
      <x:c r="R482" s="99"/>
      <x:c r="S482" s="99"/>
      <x:c r="T482" s="99"/>
      <x:c r="U482" s="99"/>
      <x:c r="V482" s="99"/>
      <x:c r="W482" s="99"/>
      <x:c r="X482" s="99"/>
      <x:c r="Y482" s="99"/>
      <x:c r="Z482" s="99"/>
    </x:row>
    <x:row r="483">
      <x:c r="A483" s="99"/>
      <x:c r="B483" s="99"/>
      <x:c r="C483" s="99"/>
      <x:c r="D483" s="99"/>
      <x:c r="E483" s="99"/>
      <x:c r="F483" s="99"/>
      <x:c r="G483" s="99"/>
      <x:c r="H483" s="99"/>
      <x:c r="I483" s="99"/>
      <x:c r="J483" s="99"/>
      <x:c r="K483" s="99"/>
      <x:c r="L483" s="99"/>
      <x:c r="M483" s="99"/>
      <x:c r="N483" s="99"/>
      <x:c r="O483" s="99"/>
      <x:c r="P483" s="99"/>
      <x:c r="Q483" s="99"/>
      <x:c r="R483" s="99"/>
      <x:c r="S483" s="99"/>
      <x:c r="T483" s="99"/>
      <x:c r="U483" s="99"/>
      <x:c r="V483" s="99"/>
      <x:c r="W483" s="99"/>
      <x:c r="X483" s="99"/>
      <x:c r="Y483" s="99"/>
      <x:c r="Z483" s="99"/>
    </x:row>
    <x:row r="484">
      <x:c r="A484" s="99"/>
      <x:c r="B484" s="99"/>
      <x:c r="C484" s="99"/>
      <x:c r="D484" s="99"/>
      <x:c r="E484" s="99"/>
      <x:c r="F484" s="99"/>
      <x:c r="G484" s="99"/>
      <x:c r="H484" s="99"/>
      <x:c r="I484" s="99"/>
      <x:c r="J484" s="99"/>
      <x:c r="K484" s="99"/>
      <x:c r="L484" s="99"/>
      <x:c r="M484" s="99"/>
      <x:c r="N484" s="99"/>
      <x:c r="O484" s="99"/>
      <x:c r="P484" s="99"/>
      <x:c r="Q484" s="99"/>
      <x:c r="R484" s="99"/>
      <x:c r="S484" s="99"/>
      <x:c r="T484" s="99"/>
      <x:c r="U484" s="99"/>
      <x:c r="V484" s="99"/>
      <x:c r="W484" s="99"/>
      <x:c r="X484" s="99"/>
      <x:c r="Y484" s="99"/>
      <x:c r="Z484" s="99"/>
    </x:row>
    <x:row r="485">
      <x:c r="A485" s="99"/>
      <x:c r="B485" s="99"/>
      <x:c r="C485" s="99"/>
      <x:c r="D485" s="99"/>
      <x:c r="E485" s="99"/>
      <x:c r="F485" s="99"/>
      <x:c r="G485" s="99"/>
      <x:c r="H485" s="99"/>
      <x:c r="I485" s="99"/>
      <x:c r="J485" s="99"/>
      <x:c r="K485" s="99"/>
      <x:c r="L485" s="99"/>
      <x:c r="M485" s="99"/>
      <x:c r="N485" s="99"/>
      <x:c r="O485" s="99"/>
      <x:c r="P485" s="99"/>
      <x:c r="Q485" s="99"/>
      <x:c r="R485" s="99"/>
      <x:c r="S485" s="99"/>
      <x:c r="T485" s="99"/>
      <x:c r="U485" s="99"/>
      <x:c r="V485" s="99"/>
      <x:c r="W485" s="99"/>
      <x:c r="X485" s="99"/>
      <x:c r="Y485" s="99"/>
      <x:c r="Z485" s="99"/>
    </x:row>
    <x:row r="486">
      <x:c r="A486" s="99"/>
      <x:c r="B486" s="99"/>
      <x:c r="C486" s="99"/>
      <x:c r="D486" s="99"/>
      <x:c r="E486" s="99"/>
      <x:c r="F486" s="99"/>
      <x:c r="G486" s="99"/>
      <x:c r="H486" s="99"/>
      <x:c r="I486" s="99"/>
      <x:c r="J486" s="99"/>
      <x:c r="K486" s="99"/>
      <x:c r="L486" s="99"/>
      <x:c r="M486" s="99"/>
      <x:c r="N486" s="99"/>
      <x:c r="O486" s="99"/>
      <x:c r="P486" s="99"/>
      <x:c r="Q486" s="99"/>
      <x:c r="R486" s="99"/>
      <x:c r="S486" s="99"/>
      <x:c r="T486" s="99"/>
      <x:c r="U486" s="99"/>
      <x:c r="V486" s="99"/>
      <x:c r="W486" s="99"/>
      <x:c r="X486" s="99"/>
      <x:c r="Y486" s="99"/>
      <x:c r="Z486" s="99"/>
    </x:row>
    <x:row r="487">
      <x:c r="A487" s="99"/>
      <x:c r="B487" s="99"/>
      <x:c r="C487" s="99"/>
      <x:c r="D487" s="99"/>
      <x:c r="E487" s="99"/>
      <x:c r="F487" s="99"/>
      <x:c r="G487" s="99"/>
      <x:c r="H487" s="99"/>
      <x:c r="I487" s="99"/>
      <x:c r="J487" s="99"/>
      <x:c r="K487" s="99"/>
      <x:c r="L487" s="99"/>
      <x:c r="M487" s="99"/>
      <x:c r="N487" s="99"/>
      <x:c r="O487" s="99"/>
      <x:c r="P487" s="99"/>
      <x:c r="Q487" s="99"/>
      <x:c r="R487" s="99"/>
      <x:c r="S487" s="99"/>
      <x:c r="T487" s="99"/>
      <x:c r="U487" s="99"/>
      <x:c r="V487" s="99"/>
      <x:c r="W487" s="99"/>
      <x:c r="X487" s="99"/>
      <x:c r="Y487" s="99"/>
      <x:c r="Z487" s="99"/>
    </x:row>
    <x:row r="488">
      <x:c r="A488" s="99"/>
      <x:c r="B488" s="99"/>
      <x:c r="C488" s="99"/>
      <x:c r="D488" s="99"/>
      <x:c r="E488" s="99"/>
      <x:c r="F488" s="99"/>
      <x:c r="G488" s="99"/>
      <x:c r="H488" s="99"/>
      <x:c r="I488" s="99"/>
      <x:c r="J488" s="99"/>
      <x:c r="K488" s="99"/>
      <x:c r="L488" s="99"/>
      <x:c r="M488" s="99"/>
      <x:c r="N488" s="99"/>
      <x:c r="O488" s="99"/>
      <x:c r="P488" s="99"/>
      <x:c r="Q488" s="99"/>
      <x:c r="R488" s="99"/>
      <x:c r="S488" s="99"/>
      <x:c r="T488" s="99"/>
      <x:c r="U488" s="99"/>
      <x:c r="V488" s="99"/>
      <x:c r="W488" s="99"/>
      <x:c r="X488" s="99"/>
      <x:c r="Y488" s="99"/>
      <x:c r="Z488" s="99"/>
    </x:row>
    <x:row r="489">
      <x:c r="A489" s="99"/>
      <x:c r="B489" s="99"/>
      <x:c r="C489" s="99"/>
      <x:c r="D489" s="99"/>
      <x:c r="E489" s="99"/>
      <x:c r="F489" s="99"/>
      <x:c r="G489" s="99"/>
      <x:c r="H489" s="99"/>
      <x:c r="I489" s="99"/>
      <x:c r="J489" s="99"/>
      <x:c r="K489" s="99"/>
      <x:c r="L489" s="99"/>
      <x:c r="M489" s="99"/>
      <x:c r="N489" s="99"/>
      <x:c r="O489" s="99"/>
      <x:c r="P489" s="99"/>
      <x:c r="Q489" s="99"/>
      <x:c r="R489" s="99"/>
      <x:c r="S489" s="99"/>
      <x:c r="T489" s="99"/>
      <x:c r="U489" s="99"/>
      <x:c r="V489" s="99"/>
      <x:c r="W489" s="99"/>
      <x:c r="X489" s="99"/>
      <x:c r="Y489" s="99"/>
      <x:c r="Z489" s="99"/>
    </x:row>
    <x:row r="490">
      <x:c r="A490" s="99"/>
      <x:c r="B490" s="99"/>
      <x:c r="C490" s="99"/>
      <x:c r="D490" s="99"/>
      <x:c r="E490" s="99"/>
      <x:c r="F490" s="99"/>
      <x:c r="G490" s="99"/>
      <x:c r="H490" s="99"/>
      <x:c r="I490" s="99"/>
      <x:c r="J490" s="99"/>
      <x:c r="K490" s="99"/>
      <x:c r="L490" s="99"/>
      <x:c r="M490" s="99"/>
      <x:c r="N490" s="99"/>
      <x:c r="O490" s="99"/>
      <x:c r="P490" s="99"/>
      <x:c r="Q490" s="99"/>
      <x:c r="R490" s="99"/>
      <x:c r="S490" s="99"/>
      <x:c r="T490" s="99"/>
      <x:c r="U490" s="99"/>
      <x:c r="V490" s="99"/>
      <x:c r="W490" s="99"/>
      <x:c r="X490" s="99"/>
      <x:c r="Y490" s="99"/>
      <x:c r="Z490" s="99"/>
    </x:row>
    <x:row r="491">
      <x:c r="A491" s="99"/>
      <x:c r="B491" s="99"/>
      <x:c r="C491" s="99"/>
      <x:c r="D491" s="99"/>
      <x:c r="E491" s="99"/>
      <x:c r="F491" s="99"/>
      <x:c r="G491" s="99"/>
      <x:c r="H491" s="99"/>
      <x:c r="I491" s="99"/>
      <x:c r="J491" s="99"/>
      <x:c r="K491" s="99"/>
      <x:c r="L491" s="99"/>
      <x:c r="M491" s="99"/>
      <x:c r="N491" s="99"/>
      <x:c r="O491" s="99"/>
      <x:c r="P491" s="99"/>
      <x:c r="Q491" s="99"/>
      <x:c r="R491" s="99"/>
      <x:c r="S491" s="99"/>
      <x:c r="T491" s="99"/>
      <x:c r="U491" s="99"/>
      <x:c r="V491" s="99"/>
      <x:c r="W491" s="99"/>
      <x:c r="X491" s="99"/>
      <x:c r="Y491" s="99"/>
      <x:c r="Z491" s="99"/>
    </x:row>
    <x:row r="492">
      <x:c r="A492" s="99"/>
      <x:c r="B492" s="99"/>
      <x:c r="C492" s="99"/>
      <x:c r="D492" s="99"/>
      <x:c r="E492" s="99"/>
      <x:c r="F492" s="99"/>
      <x:c r="G492" s="99"/>
      <x:c r="H492" s="99"/>
      <x:c r="I492" s="99"/>
      <x:c r="J492" s="99"/>
      <x:c r="K492" s="99"/>
      <x:c r="L492" s="99"/>
      <x:c r="M492" s="99"/>
      <x:c r="N492" s="99"/>
      <x:c r="O492" s="99"/>
      <x:c r="P492" s="99"/>
      <x:c r="Q492" s="99"/>
      <x:c r="R492" s="99"/>
      <x:c r="S492" s="99"/>
      <x:c r="T492" s="99"/>
      <x:c r="U492" s="99"/>
      <x:c r="V492" s="99"/>
      <x:c r="W492" s="99"/>
      <x:c r="X492" s="99"/>
      <x:c r="Y492" s="99"/>
      <x:c r="Z492" s="99"/>
    </x:row>
    <x:row r="493">
      <x:c r="A493" s="99"/>
      <x:c r="B493" s="99"/>
      <x:c r="C493" s="99"/>
      <x:c r="D493" s="99"/>
      <x:c r="E493" s="99"/>
      <x:c r="F493" s="99"/>
      <x:c r="G493" s="99"/>
      <x:c r="H493" s="99"/>
      <x:c r="I493" s="99"/>
      <x:c r="J493" s="99"/>
      <x:c r="K493" s="99"/>
      <x:c r="L493" s="99"/>
      <x:c r="M493" s="99"/>
      <x:c r="N493" s="99"/>
      <x:c r="O493" s="99"/>
      <x:c r="P493" s="99"/>
      <x:c r="Q493" s="99"/>
      <x:c r="R493" s="99"/>
      <x:c r="S493" s="99"/>
      <x:c r="T493" s="99"/>
      <x:c r="U493" s="99"/>
      <x:c r="V493" s="99"/>
      <x:c r="W493" s="99"/>
      <x:c r="X493" s="99"/>
      <x:c r="Y493" s="99"/>
      <x:c r="Z493" s="99"/>
    </x:row>
    <x:row r="494">
      <x:c r="A494" s="99"/>
      <x:c r="B494" s="99"/>
      <x:c r="C494" s="99"/>
      <x:c r="D494" s="99"/>
      <x:c r="E494" s="99"/>
      <x:c r="F494" s="99"/>
      <x:c r="G494" s="99"/>
      <x:c r="H494" s="99"/>
      <x:c r="I494" s="99"/>
      <x:c r="J494" s="99"/>
      <x:c r="K494" s="99"/>
      <x:c r="L494" s="99"/>
      <x:c r="M494" s="99"/>
      <x:c r="N494" s="99"/>
      <x:c r="O494" s="99"/>
      <x:c r="P494" s="99"/>
      <x:c r="Q494" s="99"/>
      <x:c r="R494" s="99"/>
      <x:c r="S494" s="99"/>
      <x:c r="T494" s="99"/>
      <x:c r="U494" s="99"/>
      <x:c r="V494" s="99"/>
      <x:c r="W494" s="99"/>
      <x:c r="X494" s="99"/>
      <x:c r="Y494" s="99"/>
      <x:c r="Z494" s="99"/>
    </x:row>
    <x:row r="495">
      <x:c r="A495" s="99"/>
      <x:c r="B495" s="99"/>
      <x:c r="C495" s="99"/>
      <x:c r="D495" s="99"/>
      <x:c r="E495" s="99"/>
      <x:c r="F495" s="99"/>
      <x:c r="G495" s="99"/>
      <x:c r="H495" s="99"/>
      <x:c r="I495" s="99"/>
      <x:c r="J495" s="99"/>
      <x:c r="K495" s="99"/>
      <x:c r="L495" s="99"/>
      <x:c r="M495" s="99"/>
      <x:c r="N495" s="99"/>
      <x:c r="O495" s="99"/>
      <x:c r="P495" s="99"/>
      <x:c r="Q495" s="99"/>
      <x:c r="R495" s="99"/>
      <x:c r="S495" s="99"/>
      <x:c r="T495" s="99"/>
      <x:c r="U495" s="99"/>
      <x:c r="V495" s="99"/>
      <x:c r="W495" s="99"/>
      <x:c r="X495" s="99"/>
      <x:c r="Y495" s="99"/>
      <x:c r="Z495" s="99"/>
    </x:row>
    <x:row r="496">
      <x:c r="A496" s="99"/>
      <x:c r="B496" s="99"/>
      <x:c r="C496" s="99"/>
      <x:c r="D496" s="99"/>
      <x:c r="E496" s="99"/>
      <x:c r="F496" s="99"/>
      <x:c r="G496" s="99"/>
      <x:c r="H496" s="99"/>
      <x:c r="I496" s="99"/>
      <x:c r="J496" s="99"/>
      <x:c r="K496" s="99"/>
      <x:c r="L496" s="99"/>
      <x:c r="M496" s="99"/>
      <x:c r="N496" s="99"/>
      <x:c r="O496" s="99"/>
      <x:c r="P496" s="99"/>
      <x:c r="Q496" s="99"/>
      <x:c r="R496" s="99"/>
      <x:c r="S496" s="99"/>
      <x:c r="T496" s="99"/>
      <x:c r="U496" s="99"/>
      <x:c r="V496" s="99"/>
      <x:c r="W496" s="99"/>
      <x:c r="X496" s="99"/>
      <x:c r="Y496" s="99"/>
      <x:c r="Z496" s="99"/>
    </x:row>
    <x:row r="497">
      <x:c r="A497" s="99"/>
      <x:c r="B497" s="99"/>
      <x:c r="C497" s="99"/>
      <x:c r="D497" s="99"/>
      <x:c r="E497" s="99"/>
      <x:c r="F497" s="99"/>
      <x:c r="G497" s="99"/>
      <x:c r="H497" s="99"/>
      <x:c r="I497" s="99"/>
      <x:c r="J497" s="99"/>
      <x:c r="K497" s="99"/>
      <x:c r="L497" s="99"/>
      <x:c r="M497" s="99"/>
      <x:c r="N497" s="99"/>
      <x:c r="O497" s="99"/>
      <x:c r="P497" s="99"/>
      <x:c r="Q497" s="99"/>
      <x:c r="R497" s="99"/>
      <x:c r="S497" s="99"/>
      <x:c r="T497" s="99"/>
      <x:c r="U497" s="99"/>
      <x:c r="V497" s="99"/>
      <x:c r="W497" s="99"/>
      <x:c r="X497" s="99"/>
      <x:c r="Y497" s="99"/>
      <x:c r="Z497" s="99"/>
    </x:row>
    <x:row r="498">
      <x:c r="A498" s="99"/>
      <x:c r="B498" s="99"/>
      <x:c r="C498" s="99"/>
      <x:c r="D498" s="99"/>
      <x:c r="E498" s="99"/>
      <x:c r="F498" s="99"/>
      <x:c r="G498" s="99"/>
      <x:c r="H498" s="99"/>
      <x:c r="I498" s="99"/>
      <x:c r="J498" s="99"/>
      <x:c r="K498" s="99"/>
      <x:c r="L498" s="99"/>
      <x:c r="M498" s="99"/>
      <x:c r="N498" s="99"/>
      <x:c r="O498" s="99"/>
      <x:c r="P498" s="99"/>
      <x:c r="Q498" s="99"/>
      <x:c r="R498" s="99"/>
      <x:c r="S498" s="99"/>
      <x:c r="T498" s="99"/>
      <x:c r="U498" s="99"/>
      <x:c r="V498" s="99"/>
      <x:c r="W498" s="99"/>
      <x:c r="X498" s="99"/>
      <x:c r="Y498" s="99"/>
      <x:c r="Z498" s="99"/>
    </x:row>
    <x:row r="499">
      <x:c r="A499" s="99"/>
      <x:c r="B499" s="99"/>
      <x:c r="C499" s="99"/>
      <x:c r="D499" s="99"/>
      <x:c r="E499" s="99"/>
      <x:c r="F499" s="99"/>
      <x:c r="G499" s="99"/>
      <x:c r="H499" s="99"/>
      <x:c r="I499" s="99"/>
      <x:c r="J499" s="99"/>
      <x:c r="K499" s="99"/>
      <x:c r="L499" s="99"/>
      <x:c r="M499" s="99"/>
      <x:c r="N499" s="99"/>
      <x:c r="O499" s="99"/>
      <x:c r="P499" s="99"/>
      <x:c r="Q499" s="99"/>
      <x:c r="R499" s="99"/>
      <x:c r="S499" s="99"/>
      <x:c r="T499" s="99"/>
      <x:c r="U499" s="99"/>
      <x:c r="V499" s="99"/>
      <x:c r="W499" s="99"/>
      <x:c r="X499" s="99"/>
      <x:c r="Y499" s="99"/>
      <x:c r="Z499" s="99"/>
    </x:row>
    <x:row r="500">
      <x:c r="A500" s="99"/>
      <x:c r="B500" s="99"/>
      <x:c r="C500" s="99"/>
      <x:c r="D500" s="99"/>
      <x:c r="E500" s="99"/>
      <x:c r="F500" s="99"/>
      <x:c r="G500" s="99"/>
      <x:c r="H500" s="99"/>
      <x:c r="I500" s="99"/>
      <x:c r="J500" s="99"/>
      <x:c r="K500" s="99"/>
      <x:c r="L500" s="99"/>
      <x:c r="M500" s="99"/>
      <x:c r="N500" s="99"/>
      <x:c r="O500" s="99"/>
      <x:c r="P500" s="99"/>
      <x:c r="Q500" s="99"/>
      <x:c r="R500" s="99"/>
      <x:c r="S500" s="99"/>
      <x:c r="T500" s="99"/>
      <x:c r="U500" s="99"/>
      <x:c r="V500" s="99"/>
      <x:c r="W500" s="99"/>
      <x:c r="X500" s="99"/>
      <x:c r="Y500" s="99"/>
      <x:c r="Z500" s="99"/>
    </x:row>
    <x:row r="501">
      <x:c r="A501" s="99"/>
      <x:c r="B501" s="99"/>
      <x:c r="C501" s="99"/>
      <x:c r="D501" s="99"/>
      <x:c r="E501" s="99"/>
      <x:c r="F501" s="99"/>
      <x:c r="G501" s="99"/>
      <x:c r="H501" s="99"/>
      <x:c r="I501" s="99"/>
      <x:c r="J501" s="99"/>
      <x:c r="K501" s="99"/>
      <x:c r="L501" s="99"/>
      <x:c r="M501" s="99"/>
      <x:c r="N501" s="99"/>
      <x:c r="O501" s="99"/>
      <x:c r="P501" s="99"/>
      <x:c r="Q501" s="99"/>
      <x:c r="R501" s="99"/>
      <x:c r="S501" s="99"/>
      <x:c r="T501" s="99"/>
      <x:c r="U501" s="99"/>
      <x:c r="V501" s="99"/>
      <x:c r="W501" s="99"/>
      <x:c r="X501" s="99"/>
      <x:c r="Y501" s="99"/>
      <x:c r="Z501" s="99"/>
    </x:row>
    <x:row r="502">
      <x:c r="A502" s="99"/>
      <x:c r="B502" s="99"/>
      <x:c r="C502" s="99"/>
      <x:c r="D502" s="99"/>
      <x:c r="E502" s="99"/>
      <x:c r="F502" s="99"/>
      <x:c r="G502" s="99"/>
      <x:c r="H502" s="99"/>
      <x:c r="I502" s="99"/>
      <x:c r="J502" s="99"/>
      <x:c r="K502" s="99"/>
      <x:c r="L502" s="99"/>
      <x:c r="M502" s="99"/>
      <x:c r="N502" s="99"/>
      <x:c r="O502" s="99"/>
      <x:c r="P502" s="99"/>
      <x:c r="Q502" s="99"/>
      <x:c r="R502" s="99"/>
      <x:c r="S502" s="99"/>
      <x:c r="T502" s="99"/>
      <x:c r="U502" s="99"/>
      <x:c r="V502" s="99"/>
      <x:c r="W502" s="99"/>
      <x:c r="X502" s="99"/>
      <x:c r="Y502" s="99"/>
      <x:c r="Z502" s="99"/>
    </x:row>
    <x:row r="503">
      <x:c r="A503" s="99"/>
      <x:c r="B503" s="99"/>
      <x:c r="C503" s="99"/>
      <x:c r="D503" s="99"/>
      <x:c r="E503" s="99"/>
      <x:c r="F503" s="99"/>
      <x:c r="G503" s="99"/>
      <x:c r="H503" s="99"/>
      <x:c r="I503" s="99"/>
      <x:c r="J503" s="99"/>
      <x:c r="K503" s="99"/>
      <x:c r="L503" s="99"/>
      <x:c r="M503" s="99"/>
      <x:c r="N503" s="99"/>
      <x:c r="O503" s="99"/>
      <x:c r="P503" s="99"/>
      <x:c r="Q503" s="99"/>
      <x:c r="R503" s="99"/>
      <x:c r="S503" s="99"/>
      <x:c r="T503" s="99"/>
      <x:c r="U503" s="99"/>
      <x:c r="V503" s="99"/>
      <x:c r="W503" s="99"/>
      <x:c r="X503" s="99"/>
      <x:c r="Y503" s="99"/>
      <x:c r="Z503" s="99"/>
    </x:row>
    <x:row r="504">
      <x:c r="A504" s="99"/>
      <x:c r="B504" s="99"/>
      <x:c r="C504" s="99"/>
      <x:c r="D504" s="99"/>
      <x:c r="E504" s="99"/>
      <x:c r="F504" s="99"/>
      <x:c r="G504" s="99"/>
      <x:c r="H504" s="99"/>
      <x:c r="I504" s="99"/>
      <x:c r="J504" s="99"/>
      <x:c r="K504" s="99"/>
      <x:c r="L504" s="99"/>
      <x:c r="M504" s="99"/>
      <x:c r="N504" s="99"/>
      <x:c r="O504" s="99"/>
      <x:c r="P504" s="99"/>
      <x:c r="Q504" s="99"/>
      <x:c r="R504" s="99"/>
      <x:c r="S504" s="99"/>
      <x:c r="T504" s="99"/>
      <x:c r="U504" s="99"/>
      <x:c r="V504" s="99"/>
      <x:c r="W504" s="99"/>
      <x:c r="X504" s="99"/>
      <x:c r="Y504" s="99"/>
      <x:c r="Z504" s="99"/>
    </x:row>
    <x:row r="505">
      <x:c r="A505" s="99"/>
      <x:c r="B505" s="99"/>
      <x:c r="C505" s="99"/>
      <x:c r="D505" s="99"/>
      <x:c r="E505" s="99"/>
      <x:c r="F505" s="99"/>
      <x:c r="G505" s="99"/>
      <x:c r="H505" s="99"/>
      <x:c r="I505" s="99"/>
      <x:c r="J505" s="99"/>
      <x:c r="K505" s="99"/>
      <x:c r="L505" s="99"/>
      <x:c r="M505" s="99"/>
      <x:c r="N505" s="99"/>
      <x:c r="O505" s="99"/>
      <x:c r="P505" s="99"/>
      <x:c r="Q505" s="99"/>
      <x:c r="R505" s="99"/>
      <x:c r="S505" s="99"/>
      <x:c r="T505" s="99"/>
      <x:c r="U505" s="99"/>
      <x:c r="V505" s="99"/>
      <x:c r="W505" s="99"/>
      <x:c r="X505" s="99"/>
      <x:c r="Y505" s="99"/>
      <x:c r="Z505" s="99"/>
    </x:row>
    <x:row r="506">
      <x:c r="A506" s="99"/>
      <x:c r="B506" s="99"/>
      <x:c r="C506" s="99"/>
      <x:c r="D506" s="99"/>
      <x:c r="E506" s="99"/>
      <x:c r="F506" s="99"/>
      <x:c r="G506" s="99"/>
      <x:c r="H506" s="99"/>
      <x:c r="I506" s="99"/>
      <x:c r="J506" s="99"/>
      <x:c r="K506" s="99"/>
      <x:c r="L506" s="99"/>
      <x:c r="M506" s="99"/>
      <x:c r="N506" s="99"/>
      <x:c r="O506" s="99"/>
      <x:c r="P506" s="99"/>
      <x:c r="Q506" s="99"/>
      <x:c r="R506" s="99"/>
      <x:c r="S506" s="99"/>
      <x:c r="T506" s="99"/>
      <x:c r="U506" s="99"/>
      <x:c r="V506" s="99"/>
      <x:c r="W506" s="99"/>
      <x:c r="X506" s="99"/>
      <x:c r="Y506" s="99"/>
      <x:c r="Z506" s="99"/>
    </x:row>
    <x:row r="507">
      <x:c r="A507" s="99"/>
      <x:c r="B507" s="99"/>
      <x:c r="C507" s="99"/>
      <x:c r="D507" s="99"/>
      <x:c r="E507" s="99"/>
      <x:c r="F507" s="99"/>
      <x:c r="G507" s="99"/>
      <x:c r="H507" s="99"/>
      <x:c r="I507" s="99"/>
      <x:c r="J507" s="99"/>
      <x:c r="K507" s="99"/>
      <x:c r="L507" s="99"/>
      <x:c r="M507" s="99"/>
      <x:c r="N507" s="99"/>
      <x:c r="O507" s="99"/>
      <x:c r="P507" s="99"/>
      <x:c r="Q507" s="99"/>
      <x:c r="R507" s="99"/>
      <x:c r="S507" s="99"/>
      <x:c r="T507" s="99"/>
      <x:c r="U507" s="99"/>
      <x:c r="V507" s="99"/>
      <x:c r="W507" s="99"/>
      <x:c r="X507" s="99"/>
      <x:c r="Y507" s="99"/>
      <x:c r="Z507" s="99"/>
    </x:row>
    <x:row r="508">
      <x:c r="A508" s="99"/>
      <x:c r="B508" s="99"/>
      <x:c r="C508" s="99"/>
      <x:c r="D508" s="99"/>
      <x:c r="E508" s="99"/>
      <x:c r="F508" s="99"/>
      <x:c r="G508" s="99"/>
      <x:c r="H508" s="99"/>
      <x:c r="I508" s="99"/>
      <x:c r="J508" s="99"/>
      <x:c r="K508" s="99"/>
      <x:c r="L508" s="99"/>
      <x:c r="M508" s="99"/>
      <x:c r="N508" s="99"/>
      <x:c r="O508" s="99"/>
      <x:c r="P508" s="99"/>
      <x:c r="Q508" s="99"/>
      <x:c r="R508" s="99"/>
      <x:c r="S508" s="99"/>
      <x:c r="T508" s="99"/>
      <x:c r="U508" s="99"/>
      <x:c r="V508" s="99"/>
      <x:c r="W508" s="99"/>
      <x:c r="X508" s="99"/>
      <x:c r="Y508" s="99"/>
      <x:c r="Z508" s="99"/>
    </x:row>
    <x:row r="509">
      <x:c r="A509" s="99"/>
      <x:c r="B509" s="99"/>
      <x:c r="C509" s="99"/>
      <x:c r="D509" s="99"/>
      <x:c r="E509" s="99"/>
      <x:c r="F509" s="99"/>
      <x:c r="G509" s="99"/>
      <x:c r="H509" s="99"/>
      <x:c r="I509" s="99"/>
      <x:c r="J509" s="99"/>
      <x:c r="K509" s="99"/>
      <x:c r="L509" s="99"/>
      <x:c r="M509" s="99"/>
      <x:c r="N509" s="99"/>
      <x:c r="O509" s="99"/>
      <x:c r="P509" s="99"/>
      <x:c r="Q509" s="99"/>
      <x:c r="R509" s="99"/>
      <x:c r="S509" s="99"/>
      <x:c r="T509" s="99"/>
      <x:c r="U509" s="99"/>
      <x:c r="V509" s="99"/>
      <x:c r="W509" s="99"/>
      <x:c r="X509" s="99"/>
      <x:c r="Y509" s="99"/>
      <x:c r="Z509" s="99"/>
    </x:row>
    <x:row r="510">
      <x:c r="A510" s="99"/>
      <x:c r="B510" s="99"/>
      <x:c r="C510" s="99"/>
      <x:c r="D510" s="99"/>
      <x:c r="E510" s="99"/>
      <x:c r="F510" s="99"/>
      <x:c r="G510" s="99"/>
      <x:c r="H510" s="99"/>
      <x:c r="I510" s="99"/>
      <x:c r="J510" s="99"/>
      <x:c r="K510" s="99"/>
      <x:c r="L510" s="99"/>
      <x:c r="M510" s="99"/>
      <x:c r="N510" s="99"/>
      <x:c r="O510" s="99"/>
      <x:c r="P510" s="99"/>
      <x:c r="Q510" s="99"/>
      <x:c r="R510" s="99"/>
      <x:c r="S510" s="99"/>
      <x:c r="T510" s="99"/>
      <x:c r="U510" s="99"/>
      <x:c r="V510" s="99"/>
      <x:c r="W510" s="99"/>
      <x:c r="X510" s="99"/>
      <x:c r="Y510" s="99"/>
      <x:c r="Z510" s="99"/>
    </x:row>
    <x:row r="511">
      <x:c r="A511" s="99"/>
      <x:c r="B511" s="99"/>
      <x:c r="C511" s="99"/>
      <x:c r="D511" s="99"/>
      <x:c r="E511" s="99"/>
      <x:c r="F511" s="99"/>
      <x:c r="G511" s="99"/>
      <x:c r="H511" s="99"/>
      <x:c r="I511" s="99"/>
      <x:c r="J511" s="99"/>
      <x:c r="K511" s="99"/>
      <x:c r="L511" s="99"/>
      <x:c r="M511" s="99"/>
      <x:c r="N511" s="99"/>
      <x:c r="O511" s="99"/>
      <x:c r="P511" s="99"/>
      <x:c r="Q511" s="99"/>
      <x:c r="R511" s="99"/>
      <x:c r="S511" s="99"/>
      <x:c r="T511" s="99"/>
      <x:c r="U511" s="99"/>
      <x:c r="V511" s="99"/>
      <x:c r="W511" s="99"/>
      <x:c r="X511" s="99"/>
      <x:c r="Y511" s="99"/>
      <x:c r="Z511" s="99"/>
    </x:row>
    <x:row r="512">
      <x:c r="A512" s="99"/>
      <x:c r="B512" s="99"/>
      <x:c r="C512" s="99"/>
      <x:c r="D512" s="99"/>
      <x:c r="E512" s="99"/>
      <x:c r="F512" s="99"/>
      <x:c r="G512" s="99"/>
      <x:c r="H512" s="99"/>
      <x:c r="I512" s="99"/>
      <x:c r="J512" s="99"/>
      <x:c r="K512" s="99"/>
      <x:c r="L512" s="99"/>
      <x:c r="M512" s="99"/>
      <x:c r="N512" s="99"/>
      <x:c r="O512" s="99"/>
      <x:c r="P512" s="99"/>
      <x:c r="Q512" s="99"/>
      <x:c r="R512" s="99"/>
      <x:c r="S512" s="99"/>
      <x:c r="T512" s="99"/>
      <x:c r="U512" s="99"/>
      <x:c r="V512" s="99"/>
      <x:c r="W512" s="99"/>
      <x:c r="X512" s="99"/>
      <x:c r="Y512" s="99"/>
      <x:c r="Z512" s="99"/>
    </x:row>
    <x:row r="513">
      <x:c r="A513" s="99"/>
      <x:c r="B513" s="99"/>
      <x:c r="C513" s="99"/>
      <x:c r="D513" s="99"/>
      <x:c r="E513" s="99"/>
      <x:c r="F513" s="99"/>
      <x:c r="G513" s="99"/>
      <x:c r="H513" s="99"/>
      <x:c r="I513" s="99"/>
      <x:c r="J513" s="99"/>
      <x:c r="K513" s="99"/>
      <x:c r="L513" s="99"/>
      <x:c r="M513" s="99"/>
      <x:c r="N513" s="99"/>
      <x:c r="O513" s="99"/>
      <x:c r="P513" s="99"/>
      <x:c r="Q513" s="99"/>
      <x:c r="R513" s="99"/>
      <x:c r="S513" s="99"/>
      <x:c r="T513" s="99"/>
      <x:c r="U513" s="99"/>
      <x:c r="V513" s="99"/>
      <x:c r="W513" s="99"/>
      <x:c r="X513" s="99"/>
      <x:c r="Y513" s="99"/>
      <x:c r="Z513" s="99"/>
    </x:row>
    <x:row r="514">
      <x:c r="A514" s="99"/>
      <x:c r="B514" s="99"/>
      <x:c r="C514" s="99"/>
      <x:c r="D514" s="99"/>
      <x:c r="E514" s="99"/>
      <x:c r="F514" s="99"/>
      <x:c r="G514" s="99"/>
      <x:c r="H514" s="99"/>
      <x:c r="I514" s="99"/>
      <x:c r="J514" s="99"/>
      <x:c r="K514" s="99"/>
      <x:c r="L514" s="99"/>
      <x:c r="M514" s="99"/>
      <x:c r="N514" s="99"/>
      <x:c r="O514" s="99"/>
      <x:c r="P514" s="99"/>
      <x:c r="Q514" s="99"/>
      <x:c r="R514" s="99"/>
      <x:c r="S514" s="99"/>
      <x:c r="T514" s="99"/>
      <x:c r="U514" s="99"/>
      <x:c r="V514" s="99"/>
      <x:c r="W514" s="99"/>
      <x:c r="X514" s="99"/>
      <x:c r="Y514" s="99"/>
      <x:c r="Z514" s="99"/>
    </x:row>
    <x:row r="515">
      <x:c r="A515" s="99"/>
      <x:c r="B515" s="99"/>
      <x:c r="C515" s="99"/>
      <x:c r="D515" s="99"/>
      <x:c r="E515" s="99"/>
      <x:c r="F515" s="99"/>
      <x:c r="G515" s="99"/>
      <x:c r="H515" s="99"/>
      <x:c r="I515" s="99"/>
      <x:c r="J515" s="99"/>
      <x:c r="K515" s="99"/>
      <x:c r="L515" s="99"/>
      <x:c r="M515" s="99"/>
      <x:c r="N515" s="99"/>
      <x:c r="O515" s="99"/>
      <x:c r="P515" s="99"/>
      <x:c r="Q515" s="99"/>
      <x:c r="R515" s="99"/>
      <x:c r="S515" s="99"/>
      <x:c r="T515" s="99"/>
      <x:c r="U515" s="99"/>
      <x:c r="V515" s="99"/>
      <x:c r="W515" s="99"/>
      <x:c r="X515" s="99"/>
      <x:c r="Y515" s="99"/>
      <x:c r="Z515" s="99"/>
    </x:row>
    <x:row r="516">
      <x:c r="A516" s="99"/>
      <x:c r="B516" s="99"/>
      <x:c r="C516" s="99"/>
      <x:c r="D516" s="99"/>
      <x:c r="E516" s="99"/>
      <x:c r="F516" s="99"/>
      <x:c r="G516" s="99"/>
      <x:c r="H516" s="99"/>
      <x:c r="I516" s="99"/>
      <x:c r="J516" s="99"/>
      <x:c r="K516" s="99"/>
      <x:c r="L516" s="99"/>
      <x:c r="M516" s="99"/>
      <x:c r="N516" s="99"/>
      <x:c r="O516" s="99"/>
      <x:c r="P516" s="99"/>
      <x:c r="Q516" s="99"/>
      <x:c r="R516" s="99"/>
      <x:c r="S516" s="99"/>
      <x:c r="T516" s="99"/>
      <x:c r="U516" s="99"/>
      <x:c r="V516" s="99"/>
      <x:c r="W516" s="99"/>
      <x:c r="X516" s="99"/>
      <x:c r="Y516" s="99"/>
      <x:c r="Z516" s="99"/>
    </x:row>
    <x:row r="517">
      <x:c r="A517" s="99"/>
      <x:c r="B517" s="99"/>
      <x:c r="C517" s="99"/>
      <x:c r="D517" s="99"/>
      <x:c r="E517" s="99"/>
      <x:c r="F517" s="99"/>
      <x:c r="G517" s="99"/>
      <x:c r="H517" s="99"/>
      <x:c r="I517" s="99"/>
      <x:c r="J517" s="99"/>
      <x:c r="K517" s="99"/>
      <x:c r="L517" s="99"/>
      <x:c r="M517" s="99"/>
      <x:c r="N517" s="99"/>
      <x:c r="O517" s="99"/>
      <x:c r="P517" s="99"/>
      <x:c r="Q517" s="99"/>
      <x:c r="R517" s="99"/>
      <x:c r="S517" s="99"/>
      <x:c r="T517" s="99"/>
      <x:c r="U517" s="99"/>
      <x:c r="V517" s="99"/>
      <x:c r="W517" s="99"/>
      <x:c r="X517" s="99"/>
      <x:c r="Y517" s="99"/>
      <x:c r="Z517" s="99"/>
    </x:row>
    <x:row r="518">
      <x:c r="A518" s="99"/>
      <x:c r="B518" s="99"/>
      <x:c r="C518" s="99"/>
      <x:c r="D518" s="99"/>
      <x:c r="E518" s="99"/>
      <x:c r="F518" s="99"/>
      <x:c r="G518" s="99"/>
      <x:c r="H518" s="99"/>
      <x:c r="I518" s="99"/>
      <x:c r="J518" s="99"/>
      <x:c r="K518" s="99"/>
      <x:c r="L518" s="99"/>
      <x:c r="M518" s="99"/>
      <x:c r="N518" s="99"/>
      <x:c r="O518" s="99"/>
      <x:c r="P518" s="99"/>
      <x:c r="Q518" s="99"/>
      <x:c r="R518" s="99"/>
      <x:c r="S518" s="99"/>
      <x:c r="T518" s="99"/>
      <x:c r="U518" s="99"/>
      <x:c r="V518" s="99"/>
      <x:c r="W518" s="99"/>
      <x:c r="X518" s="99"/>
      <x:c r="Y518" s="99"/>
      <x:c r="Z518" s="99"/>
    </x:row>
    <x:row r="519">
      <x:c r="A519" s="99"/>
      <x:c r="B519" s="99"/>
      <x:c r="C519" s="99"/>
      <x:c r="D519" s="99"/>
      <x:c r="E519" s="99"/>
      <x:c r="F519" s="99"/>
      <x:c r="G519" s="99"/>
      <x:c r="H519" s="99"/>
      <x:c r="I519" s="99"/>
      <x:c r="J519" s="99"/>
      <x:c r="K519" s="99"/>
      <x:c r="L519" s="99"/>
      <x:c r="M519" s="99"/>
      <x:c r="N519" s="99"/>
      <x:c r="O519" s="99"/>
      <x:c r="P519" s="99"/>
      <x:c r="Q519" s="99"/>
      <x:c r="R519" s="99"/>
      <x:c r="S519" s="99"/>
      <x:c r="T519" s="99"/>
      <x:c r="U519" s="99"/>
      <x:c r="V519" s="99"/>
      <x:c r="W519" s="99"/>
      <x:c r="X519" s="99"/>
      <x:c r="Y519" s="99"/>
      <x:c r="Z519" s="99"/>
    </x:row>
    <x:row r="520">
      <x:c r="A520" s="99"/>
      <x:c r="B520" s="99"/>
      <x:c r="C520" s="99"/>
      <x:c r="D520" s="99"/>
      <x:c r="E520" s="99"/>
      <x:c r="F520" s="99"/>
      <x:c r="G520" s="99"/>
      <x:c r="H520" s="99"/>
      <x:c r="I520" s="99"/>
      <x:c r="J520" s="99"/>
      <x:c r="K520" s="99"/>
      <x:c r="L520" s="99"/>
      <x:c r="M520" s="99"/>
      <x:c r="N520" s="99"/>
      <x:c r="O520" s="99"/>
      <x:c r="P520" s="99"/>
      <x:c r="Q520" s="99"/>
      <x:c r="R520" s="99"/>
      <x:c r="S520" s="99"/>
      <x:c r="T520" s="99"/>
      <x:c r="U520" s="99"/>
      <x:c r="V520" s="99"/>
      <x:c r="W520" s="99"/>
      <x:c r="X520" s="99"/>
      <x:c r="Y520" s="99"/>
      <x:c r="Z520" s="99"/>
    </x:row>
  </x:sheetData>
  <x:mergeCells>
    <x:mergeCell ref="A1:L1"/>
    <x:mergeCell ref="G3:L3"/>
    <x:mergeCell ref="G4:L8"/>
    <x:mergeCell ref="A15:D15"/>
    <x:mergeCell ref="A32:E32"/>
  </x:mergeCells>
  <x:conditionalFormatting sqref="G4:L8">
    <x:cfRule type="expression" dxfId="10" priority="1">
      <x:formula>$G$4="READY TO INTERPRET"</x:formula>
    </x:cfRule>
    <x:cfRule type="expression" dxfId="11" priority="2">
      <x:formula>OR($G$4="CHECK SAMPLE",$G$4="REVIEW QA")</x:formula>
    </x:cfRule>
  </x:conditionalFormatting>
  <x:conditionalFormatting sqref="E34:E41">
    <x:cfRule type="expression" dxfId="12" priority="3">
      <x:formula>$E34="LOW N"</x:formula>
    </x:cfRule>
  </x:conditionalFormatting>
  <x:pageMargins left="0.7" right="0.7" top="0.75" bottom="0.75" header="0.3" footer="0.3"/>
  <x:drawing xmlns:r="http://schemas.openxmlformats.org/officeDocument/2006/relationships" r:id="Rc3e56a304c7141f5"/>
</x:worksheet>
</file>

<file path=xl/worksheets/sheet13.xml><?xml version="1.0" encoding="utf-8"?>
<x:worksheet xmlns:x="http://schemas.openxmlformats.org/spreadsheetml/2006/main">
  <x:sheetFormatPr defaultRowHeight="15"/>
  <x:cols>
    <x:col min="1" max="1" width="14" hidden="0" customWidth="1"/>
    <x:col min="2" max="2" width="22" hidden="0" customWidth="1"/>
    <x:col min="3" max="3" width="42" hidden="0" customWidth="1"/>
    <x:col min="4" max="4" width="14" hidden="0" customWidth="1"/>
    <x:col min="5" max="5" width="16" hidden="0" customWidth="1"/>
    <x:col min="6" max="6" width="10" hidden="0" customWidth="1"/>
    <x:col min="7" max="7" width="16" hidden="0" customWidth="1"/>
    <x:col min="8" max="8" width="28" hidden="0" customWidth="1"/>
    <x:col min="9" max="9" width="12" hidden="0" customWidth="1"/>
    <x:col min="10" max="10" width="36" hidden="0" customWidth="1"/>
  </x:cols>
  <x:sheetData>
    <x:row r="1">
      <x:c r="A1" s="165" t="str">
        <x:v>EXAMPLE — synthetic survey / needs-assessment logic</x:v>
      </x:c>
      <x:c r="B1" s="165"/>
      <x:c r="C1" s="165"/>
      <x:c r="D1" s="165"/>
      <x:c r="E1" s="165"/>
      <x:c r="F1" s="165"/>
      <x:c r="G1" s="165"/>
      <x:c r="H1" s="165"/>
      <x:c r="I1" s="165"/>
      <x:c r="J1" s="165"/>
      <x:c r="K1" s="99"/>
      <x:c r="L1" s="99"/>
      <x:c r="M1" s="99"/>
      <x:c r="N1" s="99"/>
      <x:c r="O1" s="99"/>
      <x:c r="P1" s="99"/>
      <x:c r="Q1" s="99"/>
      <x:c r="R1" s="99"/>
      <x:c r="S1" s="99"/>
      <x:c r="T1" s="99"/>
      <x:c r="U1" s="99"/>
      <x:c r="V1" s="99"/>
      <x:c r="W1" s="99"/>
      <x:c r="X1" s="99"/>
      <x:c r="Y1" s="99"/>
      <x:c r="Z1" s="99"/>
    </x:row>
    <x:row r="2">
      <x:c r="A2" s="99"/>
      <x:c r="B2" s="99"/>
      <x:c r="C2" s="99"/>
      <x:c r="D2" s="99"/>
      <x:c r="E2" s="99"/>
      <x:c r="F2" s="99"/>
      <x:c r="G2" s="99"/>
      <x:c r="H2" s="99"/>
      <x:c r="I2" s="99"/>
      <x:c r="J2" s="99"/>
      <x:c r="K2" s="99"/>
      <x:c r="L2" s="99"/>
      <x:c r="M2" s="99"/>
      <x:c r="N2" s="99"/>
      <x:c r="O2" s="99"/>
      <x:c r="P2" s="99"/>
      <x:c r="Q2" s="99"/>
      <x:c r="R2" s="99"/>
      <x:c r="S2" s="99"/>
      <x:c r="T2" s="99"/>
      <x:c r="U2" s="99"/>
      <x:c r="V2" s="99"/>
      <x:c r="W2" s="99"/>
      <x:c r="X2" s="99"/>
      <x:c r="Y2" s="99"/>
      <x:c r="Z2" s="99"/>
    </x:row>
    <x:row r="3">
      <x:c r="A3" s="129" t="str">
        <x:v>Item / Need</x:v>
      </x:c>
      <x:c r="B3" s="129" t="str">
        <x:v>Construct</x:v>
      </x:c>
      <x:c r="C3" s="129" t="str">
        <x:v>Question</x:v>
      </x:c>
      <x:c r="D3" s="129" t="str">
        <x:v>Importance</x:v>
      </x:c>
      <x:c r="E3" s="129" t="str">
        <x:v>Current State</x:v>
      </x:c>
      <x:c r="F3" s="129" t="str">
        <x:v>Gap</x:v>
      </x:c>
      <x:c r="G3" s="129" t="str">
        <x:v>Priority Score</x:v>
      </x:c>
      <x:c r="H3" s="129" t="str">
        <x:v>Evidence</x:v>
      </x:c>
      <x:c r="I3" s="129" t="str">
        <x:v>Confidence</x:v>
      </x:c>
      <x:c r="J3" s="129" t="str">
        <x:v>Interpretation</x:v>
      </x:c>
      <x:c r="K3" s="99"/>
      <x:c r="L3" s="99"/>
      <x:c r="M3" s="99"/>
      <x:c r="N3" s="99"/>
      <x:c r="O3" s="99"/>
      <x:c r="P3" s="99"/>
      <x:c r="Q3" s="99"/>
      <x:c r="R3" s="99"/>
      <x:c r="S3" s="99"/>
      <x:c r="T3" s="99"/>
      <x:c r="U3" s="99"/>
      <x:c r="V3" s="99"/>
      <x:c r="W3" s="99"/>
      <x:c r="X3" s="99"/>
      <x:c r="Y3" s="99"/>
      <x:c r="Z3" s="99"/>
    </x:row>
    <x:row r="4">
      <x:c r="A4" s="119" t="str">
        <x:v>Q01</x:v>
      </x:c>
      <x:c r="B4" s="119" t="str">
        <x:v>Role Relevance</x:v>
      </x:c>
      <x:c r="C4" s="119" t="str">
        <x:v>The content is relevant to my current work.</x:v>
      </x:c>
      <x:c r="D4" s="141" t="n">
        <x:v>4.6</x:v>
      </x:c>
      <x:c r="E4" s="141" t="n">
        <x:v>3.4</x:v>
      </x:c>
      <x:c r="F4" s="133" t="n">
        <x:v>1.2</x:v>
      </x:c>
      <x:c r="G4" s="133" t="n">
        <x:v>5.52</x:v>
      </x:c>
      <x:c r="H4" s="159" t="str">
        <x:v>Included survey responses</x:v>
      </x:c>
      <x:c r="I4" s="159" t="n">
        <x:v>5</x:v>
      </x:c>
      <x:c r="J4" s="159" t="str">
        <x:v>High importance + meaningful gap.</x:v>
      </x:c>
      <x:c r="K4" s="99"/>
      <x:c r="L4" s="99"/>
      <x:c r="M4" s="99"/>
      <x:c r="N4" s="99"/>
      <x:c r="O4" s="99"/>
      <x:c r="P4" s="99"/>
      <x:c r="Q4" s="99"/>
      <x:c r="R4" s="99"/>
      <x:c r="S4" s="99"/>
      <x:c r="T4" s="99"/>
      <x:c r="U4" s="99"/>
      <x:c r="V4" s="99"/>
      <x:c r="W4" s="99"/>
      <x:c r="X4" s="99"/>
      <x:c r="Y4" s="99"/>
      <x:c r="Z4" s="99"/>
    </x:row>
    <x:row r="5">
      <x:c r="A5" s="119" t="str">
        <x:v>Q02</x:v>
      </x:c>
      <x:c r="B5" s="119" t="str">
        <x:v>Manager Support</x:v>
      </x:c>
      <x:c r="C5" s="119" t="str">
        <x:v>My manager supports applying the learning.</x:v>
      </x:c>
      <x:c r="D5" s="141" t="n">
        <x:v>4.3</x:v>
      </x:c>
      <x:c r="E5" s="141" t="n">
        <x:v>3.1</x:v>
      </x:c>
      <x:c r="F5" s="133" t="n">
        <x:v>1.2</x:v>
      </x:c>
      <x:c r="G5" s="133" t="n">
        <x:v>5.16</x:v>
      </x:c>
      <x:c r="H5" s="159" t="str">
        <x:v>Included survey responses</x:v>
      </x:c>
      <x:c r="I5" s="159" t="n">
        <x:v>4</x:v>
      </x:c>
      <x:c r="J5" s="159" t="str">
        <x:v>Potential support-system need.</x:v>
      </x:c>
      <x:c r="K5" s="99"/>
      <x:c r="L5" s="99"/>
      <x:c r="M5" s="99"/>
      <x:c r="N5" s="99"/>
      <x:c r="O5" s="99"/>
      <x:c r="P5" s="99"/>
      <x:c r="Q5" s="99"/>
      <x:c r="R5" s="99"/>
      <x:c r="S5" s="99"/>
      <x:c r="T5" s="99"/>
      <x:c r="U5" s="99"/>
      <x:c r="V5" s="99"/>
      <x:c r="W5" s="99"/>
      <x:c r="X5" s="99"/>
      <x:c r="Y5" s="99"/>
      <x:c r="Z5" s="99"/>
    </x:row>
    <x:row r="6">
      <x:c r="A6" s="119" t="str">
        <x:v>Q03</x:v>
      </x:c>
      <x:c r="B6" s="119" t="str">
        <x:v>Practice Opportunity</x:v>
      </x:c>
      <x:c r="C6" s="119" t="str">
        <x:v>I have opportunities to practice the skill.</x:v>
      </x:c>
      <x:c r="D6" s="141" t="n">
        <x:v>4.5</x:v>
      </x:c>
      <x:c r="E6" s="141" t="n">
        <x:v>3.8</x:v>
      </x:c>
      <x:c r="F6" s="133" t="n">
        <x:v>0.7</x:v>
      </x:c>
      <x:c r="G6" s="133" t="n">
        <x:v>3.15</x:v>
      </x:c>
      <x:c r="H6" s="159" t="str">
        <x:v>Included survey responses</x:v>
      </x:c>
      <x:c r="I6" s="159" t="n">
        <x:v>4</x:v>
      </x:c>
      <x:c r="J6" s="159" t="str">
        <x:v>Moderate gap; inspect segments.</x:v>
      </x:c>
      <x:c r="K6" s="99"/>
      <x:c r="L6" s="99"/>
      <x:c r="M6" s="99"/>
      <x:c r="N6" s="99"/>
      <x:c r="O6" s="99"/>
      <x:c r="P6" s="99"/>
      <x:c r="Q6" s="99"/>
      <x:c r="R6" s="99"/>
      <x:c r="S6" s="99"/>
      <x:c r="T6" s="99"/>
      <x:c r="U6" s="99"/>
      <x:c r="V6" s="99"/>
      <x:c r="W6" s="99"/>
      <x:c r="X6" s="99"/>
      <x:c r="Y6" s="99"/>
      <x:c r="Z6" s="99"/>
    </x:row>
    <x:row r="7">
      <x:c r="A7" s="119" t="str">
        <x:v>Q04</x:v>
      </x:c>
      <x:c r="B7" s="119" t="str">
        <x:v>Application Confidence</x:v>
      </x:c>
      <x:c r="C7" s="119" t="str">
        <x:v>I feel confident applying what I learned.</x:v>
      </x:c>
      <x:c r="D7" s="141" t="n">
        <x:v>4.2</x:v>
      </x:c>
      <x:c r="E7" s="141" t="n">
        <x:v>4</x:v>
      </x:c>
      <x:c r="F7" s="133" t="n">
        <x:v>0.2</x:v>
      </x:c>
      <x:c r="G7" s="133" t="n">
        <x:v>0.84</x:v>
      </x:c>
      <x:c r="H7" s="159" t="str">
        <x:v>Included survey responses</x:v>
      </x:c>
      <x:c r="I7" s="159" t="n">
        <x:v>4</x:v>
      </x:c>
      <x:c r="J7" s="159" t="str">
        <x:v>Smaller gap; monitor.</x:v>
      </x:c>
      <x:c r="K7" s="99"/>
      <x:c r="L7" s="99"/>
      <x:c r="M7" s="99"/>
      <x:c r="N7" s="99"/>
      <x:c r="O7" s="99"/>
      <x:c r="P7" s="99"/>
      <x:c r="Q7" s="99"/>
      <x:c r="R7" s="99"/>
      <x:c r="S7" s="99"/>
      <x:c r="T7" s="99"/>
      <x:c r="U7" s="99"/>
      <x:c r="V7" s="99"/>
      <x:c r="W7" s="99"/>
      <x:c r="X7" s="99"/>
      <x:c r="Y7" s="99"/>
      <x:c r="Z7" s="99"/>
    </x:row>
    <x:row r="8">
      <x:c r="A8" s="119" t="str">
        <x:v>Q05</x:v>
      </x:c>
      <x:c r="B8" s="119" t="str">
        <x:v>Transfer Readiness</x:v>
      </x:c>
      <x:c r="C8" s="119" t="str">
        <x:v>I know how I will apply the learning.</x:v>
      </x:c>
      <x:c r="D8" s="141" t="n">
        <x:v>4.7</x:v>
      </x:c>
      <x:c r="E8" s="141" t="n">
        <x:v>3.5</x:v>
      </x:c>
      <x:c r="F8" s="133" t="n">
        <x:v>1.2</x:v>
      </x:c>
      <x:c r="G8" s="133" t="n">
        <x:v>5.64</x:v>
      </x:c>
      <x:c r="H8" s="159" t="str">
        <x:v>Included survey responses</x:v>
      </x:c>
      <x:c r="I8" s="159" t="n">
        <x:v>5</x:v>
      </x:c>
      <x:c r="J8" s="159" t="str">
        <x:v>High-priority transfer signal.</x:v>
      </x:c>
      <x:c r="K8" s="99"/>
      <x:c r="L8" s="99"/>
      <x:c r="M8" s="99"/>
      <x:c r="N8" s="99"/>
      <x:c r="O8" s="99"/>
      <x:c r="P8" s="99"/>
      <x:c r="Q8" s="99"/>
      <x:c r="R8" s="99"/>
      <x:c r="S8" s="99"/>
      <x:c r="T8" s="99"/>
      <x:c r="U8" s="99"/>
      <x:c r="V8" s="99"/>
      <x:c r="W8" s="99"/>
      <x:c r="X8" s="99"/>
      <x:c r="Y8" s="99"/>
      <x:c r="Z8" s="99"/>
    </x:row>
    <x:row r="9">
      <x:c r="A9" s="99"/>
      <x:c r="B9" s="99"/>
      <x:c r="C9" s="99"/>
      <x:c r="D9" s="99"/>
      <x:c r="E9" s="99"/>
      <x:c r="F9" s="99"/>
      <x:c r="G9" s="99"/>
      <x:c r="H9" s="99"/>
      <x:c r="I9" s="99"/>
      <x:c r="J9" s="99"/>
      <x:c r="K9" s="99"/>
      <x:c r="L9" s="99"/>
      <x:c r="M9" s="99"/>
      <x:c r="N9" s="99"/>
      <x:c r="O9" s="99"/>
      <x:c r="P9" s="99"/>
      <x:c r="Q9" s="99"/>
      <x:c r="R9" s="99"/>
      <x:c r="S9" s="99"/>
      <x:c r="T9" s="99"/>
      <x:c r="U9" s="99"/>
      <x:c r="V9" s="99"/>
      <x:c r="W9" s="99"/>
      <x:c r="X9" s="99"/>
      <x:c r="Y9" s="99"/>
      <x:c r="Z9" s="99"/>
    </x:row>
    <x:row r="10">
      <x:c r="A10" s="99"/>
      <x:c r="B10" s="99"/>
      <x:c r="C10" s="99"/>
      <x:c r="D10" s="99"/>
      <x:c r="E10" s="99"/>
      <x:c r="F10" s="99"/>
      <x:c r="G10" s="99"/>
      <x:c r="H10" s="99"/>
      <x:c r="I10" s="99"/>
      <x:c r="J10" s="99"/>
      <x:c r="K10" s="99"/>
      <x:c r="L10" s="99"/>
      <x:c r="M10" s="99"/>
      <x:c r="N10" s="99"/>
      <x:c r="O10" s="99"/>
      <x:c r="P10" s="99"/>
      <x:c r="Q10" s="99"/>
      <x:c r="R10" s="99"/>
      <x:c r="S10" s="99"/>
      <x:c r="T10" s="99"/>
      <x:c r="U10" s="99"/>
      <x:c r="V10" s="99"/>
      <x:c r="W10" s="99"/>
      <x:c r="X10" s="99"/>
      <x:c r="Y10" s="99"/>
      <x:c r="Z10" s="99"/>
    </x:row>
    <x:row r="11">
      <x:c r="A11" s="106" t="str">
        <x:v>Why the workbook separates survey results from conclusions</x:v>
      </x:c>
      <x:c r="B11" s="106"/>
      <x:c r="C11" s="106"/>
      <x:c r="D11" s="106"/>
      <x:c r="E11" s="106"/>
      <x:c r="F11" s="106"/>
      <x:c r="G11" s="106"/>
      <x:c r="H11" s="106"/>
      <x:c r="I11" s="106"/>
      <x:c r="J11" s="106"/>
      <x:c r="K11" s="99"/>
      <x:c r="L11" s="99"/>
      <x:c r="M11" s="99"/>
      <x:c r="N11" s="99"/>
      <x:c r="O11" s="99"/>
      <x:c r="P11" s="99"/>
      <x:c r="Q11" s="99"/>
      <x:c r="R11" s="99"/>
      <x:c r="S11" s="99"/>
      <x:c r="T11" s="99"/>
      <x:c r="U11" s="99"/>
      <x:c r="V11" s="99"/>
      <x:c r="W11" s="99"/>
      <x:c r="X11" s="99"/>
      <x:c r="Y11" s="99"/>
      <x:c r="Z11" s="99"/>
    </x:row>
    <x:row r="12">
      <x:c r="A12" s="107" t="str">
        <x:v>Means, favorable percentages, and subgroup differences describe the responses collected. They do not automatically establish why the pattern occurred or whether it generalizes to people who did not respond. The FINDINGS sheet therefore keeps the evidence signal separate from the researcher's qualification, decision, and next validation step.</x:v>
      </x:c>
      <x:c r="B12" s="107"/>
      <x:c r="C12" s="107"/>
      <x:c r="D12" s="107"/>
      <x:c r="E12" s="107"/>
      <x:c r="F12" s="107"/>
      <x:c r="G12" s="107"/>
      <x:c r="H12" s="107"/>
      <x:c r="I12" s="107"/>
      <x:c r="J12" s="107"/>
      <x:c r="K12" s="99"/>
      <x:c r="L12" s="99"/>
      <x:c r="M12" s="99"/>
      <x:c r="N12" s="99"/>
      <x:c r="O12" s="99"/>
      <x:c r="P12" s="99"/>
      <x:c r="Q12" s="99"/>
      <x:c r="R12" s="99"/>
      <x:c r="S12" s="99"/>
      <x:c r="T12" s="99"/>
      <x:c r="U12" s="99"/>
      <x:c r="V12" s="99"/>
      <x:c r="W12" s="99"/>
      <x:c r="X12" s="99"/>
      <x:c r="Y12" s="99"/>
      <x:c r="Z12" s="99"/>
    </x:row>
    <x:row r="13">
      <x:c r="A13" s="107"/>
      <x:c r="B13" s="107"/>
      <x:c r="C13" s="107"/>
      <x:c r="D13" s="107"/>
      <x:c r="E13" s="107"/>
      <x:c r="F13" s="107"/>
      <x:c r="G13" s="107"/>
      <x:c r="H13" s="107"/>
      <x:c r="I13" s="107"/>
      <x:c r="J13" s="107"/>
      <x:c r="K13" s="99"/>
      <x:c r="L13" s="99"/>
      <x:c r="M13" s="99"/>
      <x:c r="N13" s="99"/>
      <x:c r="O13" s="99"/>
      <x:c r="P13" s="99"/>
      <x:c r="Q13" s="99"/>
      <x:c r="R13" s="99"/>
      <x:c r="S13" s="99"/>
      <x:c r="T13" s="99"/>
      <x:c r="U13" s="99"/>
      <x:c r="V13" s="99"/>
      <x:c r="W13" s="99"/>
      <x:c r="X13" s="99"/>
      <x:c r="Y13" s="99"/>
      <x:c r="Z13" s="99"/>
    </x:row>
    <x:row r="14">
      <x:c r="A14" s="107"/>
      <x:c r="B14" s="107"/>
      <x:c r="C14" s="107"/>
      <x:c r="D14" s="107"/>
      <x:c r="E14" s="107"/>
      <x:c r="F14" s="107"/>
      <x:c r="G14" s="107"/>
      <x:c r="H14" s="107"/>
      <x:c r="I14" s="107"/>
      <x:c r="J14" s="107"/>
      <x:c r="K14" s="99"/>
      <x:c r="L14" s="99"/>
      <x:c r="M14" s="99"/>
      <x:c r="N14" s="99"/>
      <x:c r="O14" s="99"/>
      <x:c r="P14" s="99"/>
      <x:c r="Q14" s="99"/>
      <x:c r="R14" s="99"/>
      <x:c r="S14" s="99"/>
      <x:c r="T14" s="99"/>
      <x:c r="U14" s="99"/>
      <x:c r="V14" s="99"/>
      <x:c r="W14" s="99"/>
      <x:c r="X14" s="99"/>
      <x:c r="Y14" s="99"/>
      <x:c r="Z14" s="99"/>
    </x:row>
    <x:row r="15">
      <x:c r="A15" s="107"/>
      <x:c r="B15" s="107"/>
      <x:c r="C15" s="107"/>
      <x:c r="D15" s="107"/>
      <x:c r="E15" s="107"/>
      <x:c r="F15" s="107"/>
      <x:c r="G15" s="107"/>
      <x:c r="H15" s="107"/>
      <x:c r="I15" s="107"/>
      <x:c r="J15" s="107"/>
      <x:c r="K15" s="99"/>
      <x:c r="L15" s="99"/>
      <x:c r="M15" s="99"/>
      <x:c r="N15" s="99"/>
      <x:c r="O15" s="99"/>
      <x:c r="P15" s="99"/>
      <x:c r="Q15" s="99"/>
      <x:c r="R15" s="99"/>
      <x:c r="S15" s="99"/>
      <x:c r="T15" s="99"/>
      <x:c r="U15" s="99"/>
      <x:c r="V15" s="99"/>
      <x:c r="W15" s="99"/>
      <x:c r="X15" s="99"/>
      <x:c r="Y15" s="99"/>
      <x:c r="Z15" s="99"/>
    </x:row>
    <x:row r="16">
      <x:c r="A16" s="107"/>
      <x:c r="B16" s="107"/>
      <x:c r="C16" s="107"/>
      <x:c r="D16" s="107"/>
      <x:c r="E16" s="107"/>
      <x:c r="F16" s="107"/>
      <x:c r="G16" s="107"/>
      <x:c r="H16" s="107"/>
      <x:c r="I16" s="107"/>
      <x:c r="J16" s="107"/>
      <x:c r="K16" s="99"/>
      <x:c r="L16" s="99"/>
      <x:c r="M16" s="99"/>
      <x:c r="N16" s="99"/>
      <x:c r="O16" s="99"/>
      <x:c r="P16" s="99"/>
      <x:c r="Q16" s="99"/>
      <x:c r="R16" s="99"/>
      <x:c r="S16" s="99"/>
      <x:c r="T16" s="99"/>
      <x:c r="U16" s="99"/>
      <x:c r="V16" s="99"/>
      <x:c r="W16" s="99"/>
      <x:c r="X16" s="99"/>
      <x:c r="Y16" s="99"/>
      <x:c r="Z16" s="99"/>
    </x:row>
    <x:row r="17">
      <x:c r="A17" s="107"/>
      <x:c r="B17" s="107"/>
      <x:c r="C17" s="107"/>
      <x:c r="D17" s="107"/>
      <x:c r="E17" s="107"/>
      <x:c r="F17" s="107"/>
      <x:c r="G17" s="107"/>
      <x:c r="H17" s="107"/>
      <x:c r="I17" s="107"/>
      <x:c r="J17" s="107"/>
      <x:c r="K17" s="99"/>
      <x:c r="L17" s="99"/>
      <x:c r="M17" s="99"/>
      <x:c r="N17" s="99"/>
      <x:c r="O17" s="99"/>
      <x:c r="P17" s="99"/>
      <x:c r="Q17" s="99"/>
      <x:c r="R17" s="99"/>
      <x:c r="S17" s="99"/>
      <x:c r="T17" s="99"/>
      <x:c r="U17" s="99"/>
      <x:c r="V17" s="99"/>
      <x:c r="W17" s="99"/>
      <x:c r="X17" s="99"/>
      <x:c r="Y17" s="99"/>
      <x:c r="Z17" s="99"/>
    </x:row>
    <x:row r="18">
      <x:c r="A18" s="99"/>
      <x:c r="B18" s="99"/>
      <x:c r="C18" s="99"/>
      <x:c r="D18" s="99"/>
      <x:c r="E18" s="99"/>
      <x:c r="F18" s="99"/>
      <x:c r="G18" s="99"/>
      <x:c r="H18" s="99"/>
      <x:c r="I18" s="99"/>
      <x:c r="J18" s="99"/>
      <x:c r="K18" s="99"/>
      <x:c r="L18" s="99"/>
      <x:c r="M18" s="99"/>
      <x:c r="N18" s="99"/>
      <x:c r="O18" s="99"/>
      <x:c r="P18" s="99"/>
      <x:c r="Q18" s="99"/>
      <x:c r="R18" s="99"/>
      <x:c r="S18" s="99"/>
      <x:c r="T18" s="99"/>
      <x:c r="U18" s="99"/>
      <x:c r="V18" s="99"/>
      <x:c r="W18" s="99"/>
      <x:c r="X18" s="99"/>
      <x:c r="Y18" s="99"/>
      <x:c r="Z18" s="99"/>
    </x:row>
    <x:row r="19">
      <x:c r="A19" s="99"/>
      <x:c r="B19" s="99"/>
      <x:c r="C19" s="99"/>
      <x:c r="D19" s="99"/>
      <x:c r="E19" s="99"/>
      <x:c r="F19" s="99"/>
      <x:c r="G19" s="99"/>
      <x:c r="H19" s="99"/>
      <x:c r="I19" s="99"/>
      <x:c r="J19" s="99"/>
      <x:c r="K19" s="99"/>
      <x:c r="L19" s="99"/>
      <x:c r="M19" s="99"/>
      <x:c r="N19" s="99"/>
      <x:c r="O19" s="99"/>
      <x:c r="P19" s="99"/>
      <x:c r="Q19" s="99"/>
      <x:c r="R19" s="99"/>
      <x:c r="S19" s="99"/>
      <x:c r="T19" s="99"/>
      <x:c r="U19" s="99"/>
      <x:c r="V19" s="99"/>
      <x:c r="W19" s="99"/>
      <x:c r="X19" s="99"/>
      <x:c r="Y19" s="99"/>
      <x:c r="Z19" s="99"/>
    </x:row>
    <x:row r="20">
      <x:c r="A20" s="99"/>
      <x:c r="B20" s="99"/>
      <x:c r="C20" s="99"/>
      <x:c r="D20" s="99"/>
      <x:c r="E20" s="99"/>
      <x:c r="F20" s="99"/>
      <x:c r="G20" s="99"/>
      <x:c r="H20" s="99"/>
      <x:c r="I20" s="99"/>
      <x:c r="J20" s="99"/>
      <x:c r="K20" s="99"/>
      <x:c r="L20" s="99"/>
      <x:c r="M20" s="99"/>
      <x:c r="N20" s="99"/>
      <x:c r="O20" s="99"/>
      <x:c r="P20" s="99"/>
      <x:c r="Q20" s="99"/>
      <x:c r="R20" s="99"/>
      <x:c r="S20" s="99"/>
      <x:c r="T20" s="99"/>
      <x:c r="U20" s="99"/>
      <x:c r="V20" s="99"/>
      <x:c r="W20" s="99"/>
      <x:c r="X20" s="99"/>
      <x:c r="Y20" s="99"/>
      <x:c r="Z20" s="99"/>
    </x:row>
    <x:row r="21">
      <x:c r="A21" s="99"/>
      <x:c r="B21" s="99"/>
      <x:c r="C21" s="99"/>
      <x:c r="D21" s="99"/>
      <x:c r="E21" s="99"/>
      <x:c r="F21" s="99"/>
      <x:c r="G21" s="99"/>
      <x:c r="H21" s="99"/>
      <x:c r="I21" s="99"/>
      <x:c r="J21" s="99"/>
      <x:c r="K21" s="99"/>
      <x:c r="L21" s="99"/>
      <x:c r="M21" s="99"/>
      <x:c r="N21" s="99"/>
      <x:c r="O21" s="99"/>
      <x:c r="P21" s="99"/>
      <x:c r="Q21" s="99"/>
      <x:c r="R21" s="99"/>
      <x:c r="S21" s="99"/>
      <x:c r="T21" s="99"/>
      <x:c r="U21" s="99"/>
      <x:c r="V21" s="99"/>
      <x:c r="W21" s="99"/>
      <x:c r="X21" s="99"/>
      <x:c r="Y21" s="99"/>
      <x:c r="Z21" s="99"/>
    </x:row>
    <x:row r="22">
      <x:c r="A22" s="99"/>
      <x:c r="B22" s="99"/>
      <x:c r="C22" s="99"/>
      <x:c r="D22" s="99"/>
      <x:c r="E22" s="99"/>
      <x:c r="F22" s="99"/>
      <x:c r="G22" s="99"/>
      <x:c r="H22" s="99"/>
      <x:c r="I22" s="99"/>
      <x:c r="J22" s="99"/>
      <x:c r="K22" s="99"/>
      <x:c r="L22" s="99"/>
      <x:c r="M22" s="99"/>
      <x:c r="N22" s="99"/>
      <x:c r="O22" s="99"/>
      <x:c r="P22" s="99"/>
      <x:c r="Q22" s="99"/>
      <x:c r="R22" s="99"/>
      <x:c r="S22" s="99"/>
      <x:c r="T22" s="99"/>
      <x:c r="U22" s="99"/>
      <x:c r="V22" s="99"/>
      <x:c r="W22" s="99"/>
      <x:c r="X22" s="99"/>
      <x:c r="Y22" s="99"/>
      <x:c r="Z22" s="99"/>
    </x:row>
    <x:row r="23">
      <x:c r="A23" s="99"/>
      <x:c r="B23" s="99"/>
      <x:c r="C23" s="99"/>
      <x:c r="D23" s="99"/>
      <x:c r="E23" s="99"/>
      <x:c r="F23" s="99"/>
      <x:c r="G23" s="99"/>
      <x:c r="H23" s="99"/>
      <x:c r="I23" s="99"/>
      <x:c r="J23" s="99"/>
      <x:c r="K23" s="99"/>
      <x:c r="L23" s="99"/>
      <x:c r="M23" s="99"/>
      <x:c r="N23" s="99"/>
      <x:c r="O23" s="99"/>
      <x:c r="P23" s="99"/>
      <x:c r="Q23" s="99"/>
      <x:c r="R23" s="99"/>
      <x:c r="S23" s="99"/>
      <x:c r="T23" s="99"/>
      <x:c r="U23" s="99"/>
      <x:c r="V23" s="99"/>
      <x:c r="W23" s="99"/>
      <x:c r="X23" s="99"/>
      <x:c r="Y23" s="99"/>
      <x:c r="Z23" s="99"/>
    </x:row>
    <x:row r="24">
      <x:c r="A24" s="99"/>
      <x:c r="B24" s="99"/>
      <x:c r="C24" s="99"/>
      <x:c r="D24" s="99"/>
      <x:c r="E24" s="99"/>
      <x:c r="F24" s="99"/>
      <x:c r="G24" s="99"/>
      <x:c r="H24" s="99"/>
      <x:c r="I24" s="99"/>
      <x:c r="J24" s="99"/>
      <x:c r="K24" s="99"/>
      <x:c r="L24" s="99"/>
      <x:c r="M24" s="99"/>
      <x:c r="N24" s="99"/>
      <x:c r="O24" s="99"/>
      <x:c r="P24" s="99"/>
      <x:c r="Q24" s="99"/>
      <x:c r="R24" s="99"/>
      <x:c r="S24" s="99"/>
      <x:c r="T24" s="99"/>
      <x:c r="U24" s="99"/>
      <x:c r="V24" s="99"/>
      <x:c r="W24" s="99"/>
      <x:c r="X24" s="99"/>
      <x:c r="Y24" s="99"/>
      <x:c r="Z24" s="99"/>
    </x:row>
    <x:row r="25">
      <x:c r="A25" s="99"/>
      <x:c r="B25" s="99"/>
      <x:c r="C25" s="99"/>
      <x:c r="D25" s="99"/>
      <x:c r="E25" s="99"/>
      <x:c r="F25" s="99"/>
      <x:c r="G25" s="99"/>
      <x:c r="H25" s="99"/>
      <x:c r="I25" s="99"/>
      <x:c r="J25" s="99"/>
      <x:c r="K25" s="99"/>
      <x:c r="L25" s="99"/>
      <x:c r="M25" s="99"/>
      <x:c r="N25" s="99"/>
      <x:c r="O25" s="99"/>
      <x:c r="P25" s="99"/>
      <x:c r="Q25" s="99"/>
      <x:c r="R25" s="99"/>
      <x:c r="S25" s="99"/>
      <x:c r="T25" s="99"/>
      <x:c r="U25" s="99"/>
      <x:c r="V25" s="99"/>
      <x:c r="W25" s="99"/>
      <x:c r="X25" s="99"/>
      <x:c r="Y25" s="99"/>
      <x:c r="Z25" s="99"/>
    </x:row>
    <x:row r="26">
      <x:c r="A26" s="99"/>
      <x:c r="B26" s="99"/>
      <x:c r="C26" s="99"/>
      <x:c r="D26" s="99"/>
      <x:c r="E26" s="99"/>
      <x:c r="F26" s="99"/>
      <x:c r="G26" s="99"/>
      <x:c r="H26" s="99"/>
      <x:c r="I26" s="99"/>
      <x:c r="J26" s="99"/>
      <x:c r="K26" s="99"/>
      <x:c r="L26" s="99"/>
      <x:c r="M26" s="99"/>
      <x:c r="N26" s="99"/>
      <x:c r="O26" s="99"/>
      <x:c r="P26" s="99"/>
      <x:c r="Q26" s="99"/>
      <x:c r="R26" s="99"/>
      <x:c r="S26" s="99"/>
      <x:c r="T26" s="99"/>
      <x:c r="U26" s="99"/>
      <x:c r="V26" s="99"/>
      <x:c r="W26" s="99"/>
      <x:c r="X26" s="99"/>
      <x:c r="Y26" s="99"/>
      <x:c r="Z26" s="99"/>
    </x:row>
    <x:row r="27">
      <x:c r="A27" s="99"/>
      <x:c r="B27" s="99"/>
      <x:c r="C27" s="99"/>
      <x:c r="D27" s="99"/>
      <x:c r="E27" s="99"/>
      <x:c r="F27" s="99"/>
      <x:c r="G27" s="99"/>
      <x:c r="H27" s="99"/>
      <x:c r="I27" s="99"/>
      <x:c r="J27" s="99"/>
      <x:c r="K27" s="99"/>
      <x:c r="L27" s="99"/>
      <x:c r="M27" s="99"/>
      <x:c r="N27" s="99"/>
      <x:c r="O27" s="99"/>
      <x:c r="P27" s="99"/>
      <x:c r="Q27" s="99"/>
      <x:c r="R27" s="99"/>
      <x:c r="S27" s="99"/>
      <x:c r="T27" s="99"/>
      <x:c r="U27" s="99"/>
      <x:c r="V27" s="99"/>
      <x:c r="W27" s="99"/>
      <x:c r="X27" s="99"/>
      <x:c r="Y27" s="99"/>
      <x:c r="Z27" s="99"/>
    </x:row>
    <x:row r="28">
      <x:c r="A28" s="99"/>
      <x:c r="B28" s="99"/>
      <x:c r="C28" s="99"/>
      <x:c r="D28" s="99"/>
      <x:c r="E28" s="99"/>
      <x:c r="F28" s="99"/>
      <x:c r="G28" s="99"/>
      <x:c r="H28" s="99"/>
      <x:c r="I28" s="99"/>
      <x:c r="J28" s="99"/>
      <x:c r="K28" s="99"/>
      <x:c r="L28" s="99"/>
      <x:c r="M28" s="99"/>
      <x:c r="N28" s="99"/>
      <x:c r="O28" s="99"/>
      <x:c r="P28" s="99"/>
      <x:c r="Q28" s="99"/>
      <x:c r="R28" s="99"/>
      <x:c r="S28" s="99"/>
      <x:c r="T28" s="99"/>
      <x:c r="U28" s="99"/>
      <x:c r="V28" s="99"/>
      <x:c r="W28" s="99"/>
      <x:c r="X28" s="99"/>
      <x:c r="Y28" s="99"/>
      <x:c r="Z28" s="99"/>
    </x:row>
    <x:row r="29">
      <x:c r="A29" s="99"/>
      <x:c r="B29" s="99"/>
      <x:c r="C29" s="99"/>
      <x:c r="D29" s="99"/>
      <x:c r="E29" s="99"/>
      <x:c r="F29" s="99"/>
      <x:c r="G29" s="99"/>
      <x:c r="H29" s="99"/>
      <x:c r="I29" s="99"/>
      <x:c r="J29" s="99"/>
      <x:c r="K29" s="99"/>
      <x:c r="L29" s="99"/>
      <x:c r="M29" s="99"/>
      <x:c r="N29" s="99"/>
      <x:c r="O29" s="99"/>
      <x:c r="P29" s="99"/>
      <x:c r="Q29" s="99"/>
      <x:c r="R29" s="99"/>
      <x:c r="S29" s="99"/>
      <x:c r="T29" s="99"/>
      <x:c r="U29" s="99"/>
      <x:c r="V29" s="99"/>
      <x:c r="W29" s="99"/>
      <x:c r="X29" s="99"/>
      <x:c r="Y29" s="99"/>
      <x:c r="Z29" s="99"/>
    </x:row>
    <x:row r="30">
      <x:c r="A30" s="99"/>
      <x:c r="B30" s="99"/>
      <x:c r="C30" s="99"/>
      <x:c r="D30" s="99"/>
      <x:c r="E30" s="99"/>
      <x:c r="F30" s="99"/>
      <x:c r="G30" s="99"/>
      <x:c r="H30" s="99"/>
      <x:c r="I30" s="99"/>
      <x:c r="J30" s="99"/>
      <x:c r="K30" s="99"/>
      <x:c r="L30" s="99"/>
      <x:c r="M30" s="99"/>
      <x:c r="N30" s="99"/>
      <x:c r="O30" s="99"/>
      <x:c r="P30" s="99"/>
      <x:c r="Q30" s="99"/>
      <x:c r="R30" s="99"/>
      <x:c r="S30" s="99"/>
      <x:c r="T30" s="99"/>
      <x:c r="U30" s="99"/>
      <x:c r="V30" s="99"/>
      <x:c r="W30" s="99"/>
      <x:c r="X30" s="99"/>
      <x:c r="Y30" s="99"/>
      <x:c r="Z30" s="99"/>
    </x:row>
    <x:row r="31">
      <x:c r="A31" s="99"/>
      <x:c r="B31" s="99"/>
      <x:c r="C31" s="99"/>
      <x:c r="D31" s="99"/>
      <x:c r="E31" s="99"/>
      <x:c r="F31" s="99"/>
      <x:c r="G31" s="99"/>
      <x:c r="H31" s="99"/>
      <x:c r="I31" s="99"/>
      <x:c r="J31" s="99"/>
      <x:c r="K31" s="99"/>
      <x:c r="L31" s="99"/>
      <x:c r="M31" s="99"/>
      <x:c r="N31" s="99"/>
      <x:c r="O31" s="99"/>
      <x:c r="P31" s="99"/>
      <x:c r="Q31" s="99"/>
      <x:c r="R31" s="99"/>
      <x:c r="S31" s="99"/>
      <x:c r="T31" s="99"/>
      <x:c r="U31" s="99"/>
      <x:c r="V31" s="99"/>
      <x:c r="W31" s="99"/>
      <x:c r="X31" s="99"/>
      <x:c r="Y31" s="99"/>
      <x:c r="Z31" s="99"/>
    </x:row>
    <x:row r="32">
      <x:c r="A32" s="99"/>
      <x:c r="B32" s="99"/>
      <x:c r="C32" s="99"/>
      <x:c r="D32" s="99"/>
      <x:c r="E32" s="99"/>
      <x:c r="F32" s="99"/>
      <x:c r="G32" s="99"/>
      <x:c r="H32" s="99"/>
      <x:c r="I32" s="99"/>
      <x:c r="J32" s="99"/>
      <x:c r="K32" s="99"/>
      <x:c r="L32" s="99"/>
      <x:c r="M32" s="99"/>
      <x:c r="N32" s="99"/>
      <x:c r="O32" s="99"/>
      <x:c r="P32" s="99"/>
      <x:c r="Q32" s="99"/>
      <x:c r="R32" s="99"/>
      <x:c r="S32" s="99"/>
      <x:c r="T32" s="99"/>
      <x:c r="U32" s="99"/>
      <x:c r="V32" s="99"/>
      <x:c r="W32" s="99"/>
      <x:c r="X32" s="99"/>
      <x:c r="Y32" s="99"/>
      <x:c r="Z32" s="99"/>
    </x:row>
    <x:row r="33">
      <x:c r="A33" s="99"/>
      <x:c r="B33" s="99"/>
      <x:c r="C33" s="99"/>
      <x:c r="D33" s="99"/>
      <x:c r="E33" s="99"/>
      <x:c r="F33" s="99"/>
      <x:c r="G33" s="99"/>
      <x:c r="H33" s="99"/>
      <x:c r="I33" s="99"/>
      <x:c r="J33" s="99"/>
      <x:c r="K33" s="99"/>
      <x:c r="L33" s="99"/>
      <x:c r="M33" s="99"/>
      <x:c r="N33" s="99"/>
      <x:c r="O33" s="99"/>
      <x:c r="P33" s="99"/>
      <x:c r="Q33" s="99"/>
      <x:c r="R33" s="99"/>
      <x:c r="S33" s="99"/>
      <x:c r="T33" s="99"/>
      <x:c r="U33" s="99"/>
      <x:c r="V33" s="99"/>
      <x:c r="W33" s="99"/>
      <x:c r="X33" s="99"/>
      <x:c r="Y33" s="99"/>
      <x:c r="Z33" s="99"/>
    </x:row>
    <x:row r="34">
      <x:c r="A34" s="99"/>
      <x:c r="B34" s="99"/>
      <x:c r="C34" s="99"/>
      <x:c r="D34" s="99"/>
      <x:c r="E34" s="99"/>
      <x:c r="F34" s="99"/>
      <x:c r="G34" s="99"/>
      <x:c r="H34" s="99"/>
      <x:c r="I34" s="99"/>
      <x:c r="J34" s="99"/>
      <x:c r="K34" s="99"/>
      <x:c r="L34" s="99"/>
      <x:c r="M34" s="99"/>
      <x:c r="N34" s="99"/>
      <x:c r="O34" s="99"/>
      <x:c r="P34" s="99"/>
      <x:c r="Q34" s="99"/>
      <x:c r="R34" s="99"/>
      <x:c r="S34" s="99"/>
      <x:c r="T34" s="99"/>
      <x:c r="U34" s="99"/>
      <x:c r="V34" s="99"/>
      <x:c r="W34" s="99"/>
      <x:c r="X34" s="99"/>
      <x:c r="Y34" s="99"/>
      <x:c r="Z34" s="99"/>
    </x:row>
    <x:row r="35">
      <x:c r="A35" s="99"/>
      <x:c r="B35" s="99"/>
      <x:c r="C35" s="99"/>
      <x:c r="D35" s="99"/>
      <x:c r="E35" s="99"/>
      <x:c r="F35" s="99"/>
      <x:c r="G35" s="99"/>
      <x:c r="H35" s="99"/>
      <x:c r="I35" s="99"/>
      <x:c r="J35" s="99"/>
      <x:c r="K35" s="99"/>
      <x:c r="L35" s="99"/>
      <x:c r="M35" s="99"/>
      <x:c r="N35" s="99"/>
      <x:c r="O35" s="99"/>
      <x:c r="P35" s="99"/>
      <x:c r="Q35" s="99"/>
      <x:c r="R35" s="99"/>
      <x:c r="S35" s="99"/>
      <x:c r="T35" s="99"/>
      <x:c r="U35" s="99"/>
      <x:c r="V35" s="99"/>
      <x:c r="W35" s="99"/>
      <x:c r="X35" s="99"/>
      <x:c r="Y35" s="99"/>
      <x:c r="Z35" s="99"/>
    </x:row>
    <x:row r="36">
      <x:c r="A36" s="99"/>
      <x:c r="B36" s="99"/>
      <x:c r="C36" s="99"/>
      <x:c r="D36" s="99"/>
      <x:c r="E36" s="99"/>
      <x:c r="F36" s="99"/>
      <x:c r="G36" s="99"/>
      <x:c r="H36" s="99"/>
      <x:c r="I36" s="99"/>
      <x:c r="J36" s="99"/>
      <x:c r="K36" s="99"/>
      <x:c r="L36" s="99"/>
      <x:c r="M36" s="99"/>
      <x:c r="N36" s="99"/>
      <x:c r="O36" s="99"/>
      <x:c r="P36" s="99"/>
      <x:c r="Q36" s="99"/>
      <x:c r="R36" s="99"/>
      <x:c r="S36" s="99"/>
      <x:c r="T36" s="99"/>
      <x:c r="U36" s="99"/>
      <x:c r="V36" s="99"/>
      <x:c r="W36" s="99"/>
      <x:c r="X36" s="99"/>
      <x:c r="Y36" s="99"/>
      <x:c r="Z36" s="99"/>
    </x:row>
    <x:row r="37">
      <x:c r="A37" s="99"/>
      <x:c r="B37" s="99"/>
      <x:c r="C37" s="99"/>
      <x:c r="D37" s="99"/>
      <x:c r="E37" s="99"/>
      <x:c r="F37" s="99"/>
      <x:c r="G37" s="99"/>
      <x:c r="H37" s="99"/>
      <x:c r="I37" s="99"/>
      <x:c r="J37" s="99"/>
      <x:c r="K37" s="99"/>
      <x:c r="L37" s="99"/>
      <x:c r="M37" s="99"/>
      <x:c r="N37" s="99"/>
      <x:c r="O37" s="99"/>
      <x:c r="P37" s="99"/>
      <x:c r="Q37" s="99"/>
      <x:c r="R37" s="99"/>
      <x:c r="S37" s="99"/>
      <x:c r="T37" s="99"/>
      <x:c r="U37" s="99"/>
      <x:c r="V37" s="99"/>
      <x:c r="W37" s="99"/>
      <x:c r="X37" s="99"/>
      <x:c r="Y37" s="99"/>
      <x:c r="Z37" s="99"/>
    </x:row>
    <x:row r="38">
      <x:c r="A38" s="99"/>
      <x:c r="B38" s="99"/>
      <x:c r="C38" s="99"/>
      <x:c r="D38" s="99"/>
      <x:c r="E38" s="99"/>
      <x:c r="F38" s="99"/>
      <x:c r="G38" s="99"/>
      <x:c r="H38" s="99"/>
      <x:c r="I38" s="99"/>
      <x:c r="J38" s="99"/>
      <x:c r="K38" s="99"/>
      <x:c r="L38" s="99"/>
      <x:c r="M38" s="99"/>
      <x:c r="N38" s="99"/>
      <x:c r="O38" s="99"/>
      <x:c r="P38" s="99"/>
      <x:c r="Q38" s="99"/>
      <x:c r="R38" s="99"/>
      <x:c r="S38" s="99"/>
      <x:c r="T38" s="99"/>
      <x:c r="U38" s="99"/>
      <x:c r="V38" s="99"/>
      <x:c r="W38" s="99"/>
      <x:c r="X38" s="99"/>
      <x:c r="Y38" s="99"/>
      <x:c r="Z38" s="99"/>
    </x:row>
    <x:row r="39">
      <x:c r="A39" s="99"/>
      <x:c r="B39" s="99"/>
      <x:c r="C39" s="99"/>
      <x:c r="D39" s="99"/>
      <x:c r="E39" s="99"/>
      <x:c r="F39" s="99"/>
      <x:c r="G39" s="99"/>
      <x:c r="H39" s="99"/>
      <x:c r="I39" s="99"/>
      <x:c r="J39" s="99"/>
      <x:c r="K39" s="99"/>
      <x:c r="L39" s="99"/>
      <x:c r="M39" s="99"/>
      <x:c r="N39" s="99"/>
      <x:c r="O39" s="99"/>
      <x:c r="P39" s="99"/>
      <x:c r="Q39" s="99"/>
      <x:c r="R39" s="99"/>
      <x:c r="S39" s="99"/>
      <x:c r="T39" s="99"/>
      <x:c r="U39" s="99"/>
      <x:c r="V39" s="99"/>
      <x:c r="W39" s="99"/>
      <x:c r="X39" s="99"/>
      <x:c r="Y39" s="99"/>
      <x:c r="Z39" s="99"/>
    </x:row>
    <x:row r="40">
      <x:c r="A40" s="99"/>
      <x:c r="B40" s="99"/>
      <x:c r="C40" s="99"/>
      <x:c r="D40" s="99"/>
      <x:c r="E40" s="99"/>
      <x:c r="F40" s="99"/>
      <x:c r="G40" s="99"/>
      <x:c r="H40" s="99"/>
      <x:c r="I40" s="99"/>
      <x:c r="J40" s="99"/>
      <x:c r="K40" s="99"/>
      <x:c r="L40" s="99"/>
      <x:c r="M40" s="99"/>
      <x:c r="N40" s="99"/>
      <x:c r="O40" s="99"/>
      <x:c r="P40" s="99"/>
      <x:c r="Q40" s="99"/>
      <x:c r="R40" s="99"/>
      <x:c r="S40" s="99"/>
      <x:c r="T40" s="99"/>
      <x:c r="U40" s="99"/>
      <x:c r="V40" s="99"/>
      <x:c r="W40" s="99"/>
      <x:c r="X40" s="99"/>
      <x:c r="Y40" s="99"/>
      <x:c r="Z40" s="99"/>
    </x:row>
    <x:row r="41">
      <x:c r="A41" s="99"/>
      <x:c r="B41" s="99"/>
      <x:c r="C41" s="99"/>
      <x:c r="D41" s="99"/>
      <x:c r="E41" s="99"/>
      <x:c r="F41" s="99"/>
      <x:c r="G41" s="99"/>
      <x:c r="H41" s="99"/>
      <x:c r="I41" s="99"/>
      <x:c r="J41" s="99"/>
      <x:c r="K41" s="99"/>
      <x:c r="L41" s="99"/>
      <x:c r="M41" s="99"/>
      <x:c r="N41" s="99"/>
      <x:c r="O41" s="99"/>
      <x:c r="P41" s="99"/>
      <x:c r="Q41" s="99"/>
      <x:c r="R41" s="99"/>
      <x:c r="S41" s="99"/>
      <x:c r="T41" s="99"/>
      <x:c r="U41" s="99"/>
      <x:c r="V41" s="99"/>
      <x:c r="W41" s="99"/>
      <x:c r="X41" s="99"/>
      <x:c r="Y41" s="99"/>
      <x:c r="Z41" s="99"/>
    </x:row>
    <x:row r="42">
      <x:c r="A42" s="99"/>
      <x:c r="B42" s="99"/>
      <x:c r="C42" s="99"/>
      <x:c r="D42" s="99"/>
      <x:c r="E42" s="99"/>
      <x:c r="F42" s="99"/>
      <x:c r="G42" s="99"/>
      <x:c r="H42" s="99"/>
      <x:c r="I42" s="99"/>
      <x:c r="J42" s="99"/>
      <x:c r="K42" s="99"/>
      <x:c r="L42" s="99"/>
      <x:c r="M42" s="99"/>
      <x:c r="N42" s="99"/>
      <x:c r="O42" s="99"/>
      <x:c r="P42" s="99"/>
      <x:c r="Q42" s="99"/>
      <x:c r="R42" s="99"/>
      <x:c r="S42" s="99"/>
      <x:c r="T42" s="99"/>
      <x:c r="U42" s="99"/>
      <x:c r="V42" s="99"/>
      <x:c r="W42" s="99"/>
      <x:c r="X42" s="99"/>
      <x:c r="Y42" s="99"/>
      <x:c r="Z42" s="99"/>
    </x:row>
    <x:row r="43">
      <x:c r="A43" s="99"/>
      <x:c r="B43" s="99"/>
      <x:c r="C43" s="99"/>
      <x:c r="D43" s="99"/>
      <x:c r="E43" s="99"/>
      <x:c r="F43" s="99"/>
      <x:c r="G43" s="99"/>
      <x:c r="H43" s="99"/>
      <x:c r="I43" s="99"/>
      <x:c r="J43" s="99"/>
      <x:c r="K43" s="99"/>
      <x:c r="L43" s="99"/>
      <x:c r="M43" s="99"/>
      <x:c r="N43" s="99"/>
      <x:c r="O43" s="99"/>
      <x:c r="P43" s="99"/>
      <x:c r="Q43" s="99"/>
      <x:c r="R43" s="99"/>
      <x:c r="S43" s="99"/>
      <x:c r="T43" s="99"/>
      <x:c r="U43" s="99"/>
      <x:c r="V43" s="99"/>
      <x:c r="W43" s="99"/>
      <x:c r="X43" s="99"/>
      <x:c r="Y43" s="99"/>
      <x:c r="Z43" s="99"/>
    </x:row>
    <x:row r="44">
      <x:c r="A44" s="99"/>
      <x:c r="B44" s="99"/>
      <x:c r="C44" s="99"/>
      <x:c r="D44" s="99"/>
      <x:c r="E44" s="99"/>
      <x:c r="F44" s="99"/>
      <x:c r="G44" s="99"/>
      <x:c r="H44" s="99"/>
      <x:c r="I44" s="99"/>
      <x:c r="J44" s="99"/>
      <x:c r="K44" s="99"/>
      <x:c r="L44" s="99"/>
      <x:c r="M44" s="99"/>
      <x:c r="N44" s="99"/>
      <x:c r="O44" s="99"/>
      <x:c r="P44" s="99"/>
      <x:c r="Q44" s="99"/>
      <x:c r="R44" s="99"/>
      <x:c r="S44" s="99"/>
      <x:c r="T44" s="99"/>
      <x:c r="U44" s="99"/>
      <x:c r="V44" s="99"/>
      <x:c r="W44" s="99"/>
      <x:c r="X44" s="99"/>
      <x:c r="Y44" s="99"/>
      <x:c r="Z44" s="99"/>
    </x:row>
    <x:row r="45">
      <x:c r="A45" s="99"/>
      <x:c r="B45" s="99"/>
      <x:c r="C45" s="99"/>
      <x:c r="D45" s="99"/>
      <x:c r="E45" s="99"/>
      <x:c r="F45" s="99"/>
      <x:c r="G45" s="99"/>
      <x:c r="H45" s="99"/>
      <x:c r="I45" s="99"/>
      <x:c r="J45" s="99"/>
      <x:c r="K45" s="99"/>
      <x:c r="L45" s="99"/>
      <x:c r="M45" s="99"/>
      <x:c r="N45" s="99"/>
      <x:c r="O45" s="99"/>
      <x:c r="P45" s="99"/>
      <x:c r="Q45" s="99"/>
      <x:c r="R45" s="99"/>
      <x:c r="S45" s="99"/>
      <x:c r="T45" s="99"/>
      <x:c r="U45" s="99"/>
      <x:c r="V45" s="99"/>
      <x:c r="W45" s="99"/>
      <x:c r="X45" s="99"/>
      <x:c r="Y45" s="99"/>
      <x:c r="Z45" s="99"/>
    </x:row>
    <x:row r="46">
      <x:c r="A46" s="99"/>
      <x:c r="B46" s="99"/>
      <x:c r="C46" s="99"/>
      <x:c r="D46" s="99"/>
      <x:c r="E46" s="99"/>
      <x:c r="F46" s="99"/>
      <x:c r="G46" s="99"/>
      <x:c r="H46" s="99"/>
      <x:c r="I46" s="99"/>
      <x:c r="J46" s="99"/>
      <x:c r="K46" s="99"/>
      <x:c r="L46" s="99"/>
      <x:c r="M46" s="99"/>
      <x:c r="N46" s="99"/>
      <x:c r="O46" s="99"/>
      <x:c r="P46" s="99"/>
      <x:c r="Q46" s="99"/>
      <x:c r="R46" s="99"/>
      <x:c r="S46" s="99"/>
      <x:c r="T46" s="99"/>
      <x:c r="U46" s="99"/>
      <x:c r="V46" s="99"/>
      <x:c r="W46" s="99"/>
      <x:c r="X46" s="99"/>
      <x:c r="Y46" s="99"/>
      <x:c r="Z46" s="99"/>
    </x:row>
    <x:row r="47">
      <x:c r="A47" s="99"/>
      <x:c r="B47" s="99"/>
      <x:c r="C47" s="99"/>
      <x:c r="D47" s="99"/>
      <x:c r="E47" s="99"/>
      <x:c r="F47" s="99"/>
      <x:c r="G47" s="99"/>
      <x:c r="H47" s="99"/>
      <x:c r="I47" s="99"/>
      <x:c r="J47" s="99"/>
      <x:c r="K47" s="99"/>
      <x:c r="L47" s="99"/>
      <x:c r="M47" s="99"/>
      <x:c r="N47" s="99"/>
      <x:c r="O47" s="99"/>
      <x:c r="P47" s="99"/>
      <x:c r="Q47" s="99"/>
      <x:c r="R47" s="99"/>
      <x:c r="S47" s="99"/>
      <x:c r="T47" s="99"/>
      <x:c r="U47" s="99"/>
      <x:c r="V47" s="99"/>
      <x:c r="W47" s="99"/>
      <x:c r="X47" s="99"/>
      <x:c r="Y47" s="99"/>
      <x:c r="Z47" s="99"/>
    </x:row>
    <x:row r="48">
      <x:c r="A48" s="99"/>
      <x:c r="B48" s="99"/>
      <x:c r="C48" s="99"/>
      <x:c r="D48" s="99"/>
      <x:c r="E48" s="99"/>
      <x:c r="F48" s="99"/>
      <x:c r="G48" s="99"/>
      <x:c r="H48" s="99"/>
      <x:c r="I48" s="99"/>
      <x:c r="J48" s="99"/>
      <x:c r="K48" s="99"/>
      <x:c r="L48" s="99"/>
      <x:c r="M48" s="99"/>
      <x:c r="N48" s="99"/>
      <x:c r="O48" s="99"/>
      <x:c r="P48" s="99"/>
      <x:c r="Q48" s="99"/>
      <x:c r="R48" s="99"/>
      <x:c r="S48" s="99"/>
      <x:c r="T48" s="99"/>
      <x:c r="U48" s="99"/>
      <x:c r="V48" s="99"/>
      <x:c r="W48" s="99"/>
      <x:c r="X48" s="99"/>
      <x:c r="Y48" s="99"/>
      <x:c r="Z48" s="99"/>
    </x:row>
    <x:row r="49">
      <x:c r="A49" s="99"/>
      <x:c r="B49" s="99"/>
      <x:c r="C49" s="99"/>
      <x:c r="D49" s="99"/>
      <x:c r="E49" s="99"/>
      <x:c r="F49" s="99"/>
      <x:c r="G49" s="99"/>
      <x:c r="H49" s="99"/>
      <x:c r="I49" s="99"/>
      <x:c r="J49" s="99"/>
      <x:c r="K49" s="99"/>
      <x:c r="L49" s="99"/>
      <x:c r="M49" s="99"/>
      <x:c r="N49" s="99"/>
      <x:c r="O49" s="99"/>
      <x:c r="P49" s="99"/>
      <x:c r="Q49" s="99"/>
      <x:c r="R49" s="99"/>
      <x:c r="S49" s="99"/>
      <x:c r="T49" s="99"/>
      <x:c r="U49" s="99"/>
      <x:c r="V49" s="99"/>
      <x:c r="W49" s="99"/>
      <x:c r="X49" s="99"/>
      <x:c r="Y49" s="99"/>
      <x:c r="Z49" s="99"/>
    </x:row>
    <x:row r="50">
      <x:c r="A50" s="99"/>
      <x:c r="B50" s="99"/>
      <x:c r="C50" s="99"/>
      <x:c r="D50" s="99"/>
      <x:c r="E50" s="99"/>
      <x:c r="F50" s="99"/>
      <x:c r="G50" s="99"/>
      <x:c r="H50" s="99"/>
      <x:c r="I50" s="99"/>
      <x:c r="J50" s="99"/>
      <x:c r="K50" s="99"/>
      <x:c r="L50" s="99"/>
      <x:c r="M50" s="99"/>
      <x:c r="N50" s="99"/>
      <x:c r="O50" s="99"/>
      <x:c r="P50" s="99"/>
      <x:c r="Q50" s="99"/>
      <x:c r="R50" s="99"/>
      <x:c r="S50" s="99"/>
      <x:c r="T50" s="99"/>
      <x:c r="U50" s="99"/>
      <x:c r="V50" s="99"/>
      <x:c r="W50" s="99"/>
      <x:c r="X50" s="99"/>
      <x:c r="Y50" s="99"/>
      <x:c r="Z50" s="99"/>
    </x:row>
    <x:row r="51">
      <x:c r="A51" s="99"/>
      <x:c r="B51" s="99"/>
      <x:c r="C51" s="99"/>
      <x:c r="D51" s="99"/>
      <x:c r="E51" s="99"/>
      <x:c r="F51" s="99"/>
      <x:c r="G51" s="99"/>
      <x:c r="H51" s="99"/>
      <x:c r="I51" s="99"/>
      <x:c r="J51" s="99"/>
      <x:c r="K51" s="99"/>
      <x:c r="L51" s="99"/>
      <x:c r="M51" s="99"/>
      <x:c r="N51" s="99"/>
      <x:c r="O51" s="99"/>
      <x:c r="P51" s="99"/>
      <x:c r="Q51" s="99"/>
      <x:c r="R51" s="99"/>
      <x:c r="S51" s="99"/>
      <x:c r="T51" s="99"/>
      <x:c r="U51" s="99"/>
      <x:c r="V51" s="99"/>
      <x:c r="W51" s="99"/>
      <x:c r="X51" s="99"/>
      <x:c r="Y51" s="99"/>
      <x:c r="Z51" s="99"/>
    </x:row>
    <x:row r="52">
      <x:c r="A52" s="99"/>
      <x:c r="B52" s="99"/>
      <x:c r="C52" s="99"/>
      <x:c r="D52" s="99"/>
      <x:c r="E52" s="99"/>
      <x:c r="F52" s="99"/>
      <x:c r="G52" s="99"/>
      <x:c r="H52" s="99"/>
      <x:c r="I52" s="99"/>
      <x:c r="J52" s="99"/>
      <x:c r="K52" s="99"/>
      <x:c r="L52" s="99"/>
      <x:c r="M52" s="99"/>
      <x:c r="N52" s="99"/>
      <x:c r="O52" s="99"/>
      <x:c r="P52" s="99"/>
      <x:c r="Q52" s="99"/>
      <x:c r="R52" s="99"/>
      <x:c r="S52" s="99"/>
      <x:c r="T52" s="99"/>
      <x:c r="U52" s="99"/>
      <x:c r="V52" s="99"/>
      <x:c r="W52" s="99"/>
      <x:c r="X52" s="99"/>
      <x:c r="Y52" s="99"/>
      <x:c r="Z52" s="99"/>
    </x:row>
    <x:row r="53">
      <x:c r="A53" s="99"/>
      <x:c r="B53" s="99"/>
      <x:c r="C53" s="99"/>
      <x:c r="D53" s="99"/>
      <x:c r="E53" s="99"/>
      <x:c r="F53" s="99"/>
      <x:c r="G53" s="99"/>
      <x:c r="H53" s="99"/>
      <x:c r="I53" s="99"/>
      <x:c r="J53" s="99"/>
      <x:c r="K53" s="99"/>
      <x:c r="L53" s="99"/>
      <x:c r="M53" s="99"/>
      <x:c r="N53" s="99"/>
      <x:c r="O53" s="99"/>
      <x:c r="P53" s="99"/>
      <x:c r="Q53" s="99"/>
      <x:c r="R53" s="99"/>
      <x:c r="S53" s="99"/>
      <x:c r="T53" s="99"/>
      <x:c r="U53" s="99"/>
      <x:c r="V53" s="99"/>
      <x:c r="W53" s="99"/>
      <x:c r="X53" s="99"/>
      <x:c r="Y53" s="99"/>
      <x:c r="Z53" s="99"/>
    </x:row>
    <x:row r="54">
      <x:c r="A54" s="99"/>
      <x:c r="B54" s="99"/>
      <x:c r="C54" s="99"/>
      <x:c r="D54" s="99"/>
      <x:c r="E54" s="99"/>
      <x:c r="F54" s="99"/>
      <x:c r="G54" s="99"/>
      <x:c r="H54" s="99"/>
      <x:c r="I54" s="99"/>
      <x:c r="J54" s="99"/>
      <x:c r="K54" s="99"/>
      <x:c r="L54" s="99"/>
      <x:c r="M54" s="99"/>
      <x:c r="N54" s="99"/>
      <x:c r="O54" s="99"/>
      <x:c r="P54" s="99"/>
      <x:c r="Q54" s="99"/>
      <x:c r="R54" s="99"/>
      <x:c r="S54" s="99"/>
      <x:c r="T54" s="99"/>
      <x:c r="U54" s="99"/>
      <x:c r="V54" s="99"/>
      <x:c r="W54" s="99"/>
      <x:c r="X54" s="99"/>
      <x:c r="Y54" s="99"/>
      <x:c r="Z54" s="99"/>
    </x:row>
    <x:row r="55">
      <x:c r="A55" s="99"/>
      <x:c r="B55" s="99"/>
      <x:c r="C55" s="99"/>
      <x:c r="D55" s="99"/>
      <x:c r="E55" s="99"/>
      <x:c r="F55" s="99"/>
      <x:c r="G55" s="99"/>
      <x:c r="H55" s="99"/>
      <x:c r="I55" s="99"/>
      <x:c r="J55" s="99"/>
      <x:c r="K55" s="99"/>
      <x:c r="L55" s="99"/>
      <x:c r="M55" s="99"/>
      <x:c r="N55" s="99"/>
      <x:c r="O55" s="99"/>
      <x:c r="P55" s="99"/>
      <x:c r="Q55" s="99"/>
      <x:c r="R55" s="99"/>
      <x:c r="S55" s="99"/>
      <x:c r="T55" s="99"/>
      <x:c r="U55" s="99"/>
      <x:c r="V55" s="99"/>
      <x:c r="W55" s="99"/>
      <x:c r="X55" s="99"/>
      <x:c r="Y55" s="99"/>
      <x:c r="Z55" s="99"/>
    </x:row>
    <x:row r="56">
      <x:c r="A56" s="99"/>
      <x:c r="B56" s="99"/>
      <x:c r="C56" s="99"/>
      <x:c r="D56" s="99"/>
      <x:c r="E56" s="99"/>
      <x:c r="F56" s="99"/>
      <x:c r="G56" s="99"/>
      <x:c r="H56" s="99"/>
      <x:c r="I56" s="99"/>
      <x:c r="J56" s="99"/>
      <x:c r="K56" s="99"/>
      <x:c r="L56" s="99"/>
      <x:c r="M56" s="99"/>
      <x:c r="N56" s="99"/>
      <x:c r="O56" s="99"/>
      <x:c r="P56" s="99"/>
      <x:c r="Q56" s="99"/>
      <x:c r="R56" s="99"/>
      <x:c r="S56" s="99"/>
      <x:c r="T56" s="99"/>
      <x:c r="U56" s="99"/>
      <x:c r="V56" s="99"/>
      <x:c r="W56" s="99"/>
      <x:c r="X56" s="99"/>
      <x:c r="Y56" s="99"/>
      <x:c r="Z56" s="99"/>
    </x:row>
    <x:row r="57">
      <x:c r="A57" s="99"/>
      <x:c r="B57" s="99"/>
      <x:c r="C57" s="99"/>
      <x:c r="D57" s="99"/>
      <x:c r="E57" s="99"/>
      <x:c r="F57" s="99"/>
      <x:c r="G57" s="99"/>
      <x:c r="H57" s="99"/>
      <x:c r="I57" s="99"/>
      <x:c r="J57" s="99"/>
      <x:c r="K57" s="99"/>
      <x:c r="L57" s="99"/>
      <x:c r="M57" s="99"/>
      <x:c r="N57" s="99"/>
      <x:c r="O57" s="99"/>
      <x:c r="P57" s="99"/>
      <x:c r="Q57" s="99"/>
      <x:c r="R57" s="99"/>
      <x:c r="S57" s="99"/>
      <x:c r="T57" s="99"/>
      <x:c r="U57" s="99"/>
      <x:c r="V57" s="99"/>
      <x:c r="W57" s="99"/>
      <x:c r="X57" s="99"/>
      <x:c r="Y57" s="99"/>
      <x:c r="Z57" s="99"/>
    </x:row>
    <x:row r="58">
      <x:c r="A58" s="99"/>
      <x:c r="B58" s="99"/>
      <x:c r="C58" s="99"/>
      <x:c r="D58" s="99"/>
      <x:c r="E58" s="99"/>
      <x:c r="F58" s="99"/>
      <x:c r="G58" s="99"/>
      <x:c r="H58" s="99"/>
      <x:c r="I58" s="99"/>
      <x:c r="J58" s="99"/>
      <x:c r="K58" s="99"/>
      <x:c r="L58" s="99"/>
      <x:c r="M58" s="99"/>
      <x:c r="N58" s="99"/>
      <x:c r="O58" s="99"/>
      <x:c r="P58" s="99"/>
      <x:c r="Q58" s="99"/>
      <x:c r="R58" s="99"/>
      <x:c r="S58" s="99"/>
      <x:c r="T58" s="99"/>
      <x:c r="U58" s="99"/>
      <x:c r="V58" s="99"/>
      <x:c r="W58" s="99"/>
      <x:c r="X58" s="99"/>
      <x:c r="Y58" s="99"/>
      <x:c r="Z58" s="99"/>
    </x:row>
    <x:row r="59">
      <x:c r="A59" s="99"/>
      <x:c r="B59" s="99"/>
      <x:c r="C59" s="99"/>
      <x:c r="D59" s="99"/>
      <x:c r="E59" s="99"/>
      <x:c r="F59" s="99"/>
      <x:c r="G59" s="99"/>
      <x:c r="H59" s="99"/>
      <x:c r="I59" s="99"/>
      <x:c r="J59" s="99"/>
      <x:c r="K59" s="99"/>
      <x:c r="L59" s="99"/>
      <x:c r="M59" s="99"/>
      <x:c r="N59" s="99"/>
      <x:c r="O59" s="99"/>
      <x:c r="P59" s="99"/>
      <x:c r="Q59" s="99"/>
      <x:c r="R59" s="99"/>
      <x:c r="S59" s="99"/>
      <x:c r="T59" s="99"/>
      <x:c r="U59" s="99"/>
      <x:c r="V59" s="99"/>
      <x:c r="W59" s="99"/>
      <x:c r="X59" s="99"/>
      <x:c r="Y59" s="99"/>
      <x:c r="Z59" s="99"/>
    </x:row>
    <x:row r="60">
      <x:c r="A60" s="99"/>
      <x:c r="B60" s="99"/>
      <x:c r="C60" s="99"/>
      <x:c r="D60" s="99"/>
      <x:c r="E60" s="99"/>
      <x:c r="F60" s="99"/>
      <x:c r="G60" s="99"/>
      <x:c r="H60" s="99"/>
      <x:c r="I60" s="99"/>
      <x:c r="J60" s="99"/>
      <x:c r="K60" s="99"/>
      <x:c r="L60" s="99"/>
      <x:c r="M60" s="99"/>
      <x:c r="N60" s="99"/>
      <x:c r="O60" s="99"/>
      <x:c r="P60" s="99"/>
      <x:c r="Q60" s="99"/>
      <x:c r="R60" s="99"/>
      <x:c r="S60" s="99"/>
      <x:c r="T60" s="99"/>
      <x:c r="U60" s="99"/>
      <x:c r="V60" s="99"/>
      <x:c r="W60" s="99"/>
      <x:c r="X60" s="99"/>
      <x:c r="Y60" s="99"/>
      <x:c r="Z60" s="99"/>
    </x:row>
    <x:row r="61">
      <x:c r="A61" s="99"/>
      <x:c r="B61" s="99"/>
      <x:c r="C61" s="99"/>
      <x:c r="D61" s="99"/>
      <x:c r="E61" s="99"/>
      <x:c r="F61" s="99"/>
      <x:c r="G61" s="99"/>
      <x:c r="H61" s="99"/>
      <x:c r="I61" s="99"/>
      <x:c r="J61" s="99"/>
      <x:c r="K61" s="99"/>
      <x:c r="L61" s="99"/>
      <x:c r="M61" s="99"/>
      <x:c r="N61" s="99"/>
      <x:c r="O61" s="99"/>
      <x:c r="P61" s="99"/>
      <x:c r="Q61" s="99"/>
      <x:c r="R61" s="99"/>
      <x:c r="S61" s="99"/>
      <x:c r="T61" s="99"/>
      <x:c r="U61" s="99"/>
      <x:c r="V61" s="99"/>
      <x:c r="W61" s="99"/>
      <x:c r="X61" s="99"/>
      <x:c r="Y61" s="99"/>
      <x:c r="Z61" s="99"/>
    </x:row>
    <x:row r="62">
      <x:c r="A62" s="99"/>
      <x:c r="B62" s="99"/>
      <x:c r="C62" s="99"/>
      <x:c r="D62" s="99"/>
      <x:c r="E62" s="99"/>
      <x:c r="F62" s="99"/>
      <x:c r="G62" s="99"/>
      <x:c r="H62" s="99"/>
      <x:c r="I62" s="99"/>
      <x:c r="J62" s="99"/>
      <x:c r="K62" s="99"/>
      <x:c r="L62" s="99"/>
      <x:c r="M62" s="99"/>
      <x:c r="N62" s="99"/>
      <x:c r="O62" s="99"/>
      <x:c r="P62" s="99"/>
      <x:c r="Q62" s="99"/>
      <x:c r="R62" s="99"/>
      <x:c r="S62" s="99"/>
      <x:c r="T62" s="99"/>
      <x:c r="U62" s="99"/>
      <x:c r="V62" s="99"/>
      <x:c r="W62" s="99"/>
      <x:c r="X62" s="99"/>
      <x:c r="Y62" s="99"/>
      <x:c r="Z62" s="99"/>
    </x:row>
    <x:row r="63">
      <x:c r="A63" s="99"/>
      <x:c r="B63" s="99"/>
      <x:c r="C63" s="99"/>
      <x:c r="D63" s="99"/>
      <x:c r="E63" s="99"/>
      <x:c r="F63" s="99"/>
      <x:c r="G63" s="99"/>
      <x:c r="H63" s="99"/>
      <x:c r="I63" s="99"/>
      <x:c r="J63" s="99"/>
      <x:c r="K63" s="99"/>
      <x:c r="L63" s="99"/>
      <x:c r="M63" s="99"/>
      <x:c r="N63" s="99"/>
      <x:c r="O63" s="99"/>
      <x:c r="P63" s="99"/>
      <x:c r="Q63" s="99"/>
      <x:c r="R63" s="99"/>
      <x:c r="S63" s="99"/>
      <x:c r="T63" s="99"/>
      <x:c r="U63" s="99"/>
      <x:c r="V63" s="99"/>
      <x:c r="W63" s="99"/>
      <x:c r="X63" s="99"/>
      <x:c r="Y63" s="99"/>
      <x:c r="Z63" s="99"/>
    </x:row>
    <x:row r="64">
      <x:c r="A64" s="99"/>
      <x:c r="B64" s="99"/>
      <x:c r="C64" s="99"/>
      <x:c r="D64" s="99"/>
      <x:c r="E64" s="99"/>
      <x:c r="F64" s="99"/>
      <x:c r="G64" s="99"/>
      <x:c r="H64" s="99"/>
      <x:c r="I64" s="99"/>
      <x:c r="J64" s="99"/>
      <x:c r="K64" s="99"/>
      <x:c r="L64" s="99"/>
      <x:c r="M64" s="99"/>
      <x:c r="N64" s="99"/>
      <x:c r="O64" s="99"/>
      <x:c r="P64" s="99"/>
      <x:c r="Q64" s="99"/>
      <x:c r="R64" s="99"/>
      <x:c r="S64" s="99"/>
      <x:c r="T64" s="99"/>
      <x:c r="U64" s="99"/>
      <x:c r="V64" s="99"/>
      <x:c r="W64" s="99"/>
      <x:c r="X64" s="99"/>
      <x:c r="Y64" s="99"/>
      <x:c r="Z64" s="99"/>
    </x:row>
    <x:row r="65">
      <x:c r="A65" s="99"/>
      <x:c r="B65" s="99"/>
      <x:c r="C65" s="99"/>
      <x:c r="D65" s="99"/>
      <x:c r="E65" s="99"/>
      <x:c r="F65" s="99"/>
      <x:c r="G65" s="99"/>
      <x:c r="H65" s="99"/>
      <x:c r="I65" s="99"/>
      <x:c r="J65" s="99"/>
      <x:c r="K65" s="99"/>
      <x:c r="L65" s="99"/>
      <x:c r="M65" s="99"/>
      <x:c r="N65" s="99"/>
      <x:c r="O65" s="99"/>
      <x:c r="P65" s="99"/>
      <x:c r="Q65" s="99"/>
      <x:c r="R65" s="99"/>
      <x:c r="S65" s="99"/>
      <x:c r="T65" s="99"/>
      <x:c r="U65" s="99"/>
      <x:c r="V65" s="99"/>
      <x:c r="W65" s="99"/>
      <x:c r="X65" s="99"/>
      <x:c r="Y65" s="99"/>
      <x:c r="Z65" s="99"/>
    </x:row>
    <x:row r="66">
      <x:c r="A66" s="99"/>
      <x:c r="B66" s="99"/>
      <x:c r="C66" s="99"/>
      <x:c r="D66" s="99"/>
      <x:c r="E66" s="99"/>
      <x:c r="F66" s="99"/>
      <x:c r="G66" s="99"/>
      <x:c r="H66" s="99"/>
      <x:c r="I66" s="99"/>
      <x:c r="J66" s="99"/>
      <x:c r="K66" s="99"/>
      <x:c r="L66" s="99"/>
      <x:c r="M66" s="99"/>
      <x:c r="N66" s="99"/>
      <x:c r="O66" s="99"/>
      <x:c r="P66" s="99"/>
      <x:c r="Q66" s="99"/>
      <x:c r="R66" s="99"/>
      <x:c r="S66" s="99"/>
      <x:c r="T66" s="99"/>
      <x:c r="U66" s="99"/>
      <x:c r="V66" s="99"/>
      <x:c r="W66" s="99"/>
      <x:c r="X66" s="99"/>
      <x:c r="Y66" s="99"/>
      <x:c r="Z66" s="99"/>
    </x:row>
    <x:row r="67">
      <x:c r="A67" s="99"/>
      <x:c r="B67" s="99"/>
      <x:c r="C67" s="99"/>
      <x:c r="D67" s="99"/>
      <x:c r="E67" s="99"/>
      <x:c r="F67" s="99"/>
      <x:c r="G67" s="99"/>
      <x:c r="H67" s="99"/>
      <x:c r="I67" s="99"/>
      <x:c r="J67" s="99"/>
      <x:c r="K67" s="99"/>
      <x:c r="L67" s="99"/>
      <x:c r="M67" s="99"/>
      <x:c r="N67" s="99"/>
      <x:c r="O67" s="99"/>
      <x:c r="P67" s="99"/>
      <x:c r="Q67" s="99"/>
      <x:c r="R67" s="99"/>
      <x:c r="S67" s="99"/>
      <x:c r="T67" s="99"/>
      <x:c r="U67" s="99"/>
      <x:c r="V67" s="99"/>
      <x:c r="W67" s="99"/>
      <x:c r="X67" s="99"/>
      <x:c r="Y67" s="99"/>
      <x:c r="Z67" s="99"/>
    </x:row>
    <x:row r="68">
      <x:c r="A68" s="99"/>
      <x:c r="B68" s="99"/>
      <x:c r="C68" s="99"/>
      <x:c r="D68" s="99"/>
      <x:c r="E68" s="99"/>
      <x:c r="F68" s="99"/>
      <x:c r="G68" s="99"/>
      <x:c r="H68" s="99"/>
      <x:c r="I68" s="99"/>
      <x:c r="J68" s="99"/>
      <x:c r="K68" s="99"/>
      <x:c r="L68" s="99"/>
      <x:c r="M68" s="99"/>
      <x:c r="N68" s="99"/>
      <x:c r="O68" s="99"/>
      <x:c r="P68" s="99"/>
      <x:c r="Q68" s="99"/>
      <x:c r="R68" s="99"/>
      <x:c r="S68" s="99"/>
      <x:c r="T68" s="99"/>
      <x:c r="U68" s="99"/>
      <x:c r="V68" s="99"/>
      <x:c r="W68" s="99"/>
      <x:c r="X68" s="99"/>
      <x:c r="Y68" s="99"/>
      <x:c r="Z68" s="99"/>
    </x:row>
    <x:row r="69">
      <x:c r="A69" s="99"/>
      <x:c r="B69" s="99"/>
      <x:c r="C69" s="99"/>
      <x:c r="D69" s="99"/>
      <x:c r="E69" s="99"/>
      <x:c r="F69" s="99"/>
      <x:c r="G69" s="99"/>
      <x:c r="H69" s="99"/>
      <x:c r="I69" s="99"/>
      <x:c r="J69" s="99"/>
      <x:c r="K69" s="99"/>
      <x:c r="L69" s="99"/>
      <x:c r="M69" s="99"/>
      <x:c r="N69" s="99"/>
      <x:c r="O69" s="99"/>
      <x:c r="P69" s="99"/>
      <x:c r="Q69" s="99"/>
      <x:c r="R69" s="99"/>
      <x:c r="S69" s="99"/>
      <x:c r="T69" s="99"/>
      <x:c r="U69" s="99"/>
      <x:c r="V69" s="99"/>
      <x:c r="W69" s="99"/>
      <x:c r="X69" s="99"/>
      <x:c r="Y69" s="99"/>
      <x:c r="Z69" s="99"/>
    </x:row>
    <x:row r="70">
      <x:c r="A70" s="99"/>
      <x:c r="B70" s="99"/>
      <x:c r="C70" s="99"/>
      <x:c r="D70" s="99"/>
      <x:c r="E70" s="99"/>
      <x:c r="F70" s="99"/>
      <x:c r="G70" s="99"/>
      <x:c r="H70" s="99"/>
      <x:c r="I70" s="99"/>
      <x:c r="J70" s="99"/>
      <x:c r="K70" s="99"/>
      <x:c r="L70" s="99"/>
      <x:c r="M70" s="99"/>
      <x:c r="N70" s="99"/>
      <x:c r="O70" s="99"/>
      <x:c r="P70" s="99"/>
      <x:c r="Q70" s="99"/>
      <x:c r="R70" s="99"/>
      <x:c r="S70" s="99"/>
      <x:c r="T70" s="99"/>
      <x:c r="U70" s="99"/>
      <x:c r="V70" s="99"/>
      <x:c r="W70" s="99"/>
      <x:c r="X70" s="99"/>
      <x:c r="Y70" s="99"/>
      <x:c r="Z70" s="99"/>
    </x:row>
    <x:row r="71">
      <x:c r="A71" s="99"/>
      <x:c r="B71" s="99"/>
      <x:c r="C71" s="99"/>
      <x:c r="D71" s="99"/>
      <x:c r="E71" s="99"/>
      <x:c r="F71" s="99"/>
      <x:c r="G71" s="99"/>
      <x:c r="H71" s="99"/>
      <x:c r="I71" s="99"/>
      <x:c r="J71" s="99"/>
      <x:c r="K71" s="99"/>
      <x:c r="L71" s="99"/>
      <x:c r="M71" s="99"/>
      <x:c r="N71" s="99"/>
      <x:c r="O71" s="99"/>
      <x:c r="P71" s="99"/>
      <x:c r="Q71" s="99"/>
      <x:c r="R71" s="99"/>
      <x:c r="S71" s="99"/>
      <x:c r="T71" s="99"/>
      <x:c r="U71" s="99"/>
      <x:c r="V71" s="99"/>
      <x:c r="W71" s="99"/>
      <x:c r="X71" s="99"/>
      <x:c r="Y71" s="99"/>
      <x:c r="Z71" s="99"/>
    </x:row>
    <x:row r="72">
      <x:c r="A72" s="99"/>
      <x:c r="B72" s="99"/>
      <x:c r="C72" s="99"/>
      <x:c r="D72" s="99"/>
      <x:c r="E72" s="99"/>
      <x:c r="F72" s="99"/>
      <x:c r="G72" s="99"/>
      <x:c r="H72" s="99"/>
      <x:c r="I72" s="99"/>
      <x:c r="J72" s="99"/>
      <x:c r="K72" s="99"/>
      <x:c r="L72" s="99"/>
      <x:c r="M72" s="99"/>
      <x:c r="N72" s="99"/>
      <x:c r="O72" s="99"/>
      <x:c r="P72" s="99"/>
      <x:c r="Q72" s="99"/>
      <x:c r="R72" s="99"/>
      <x:c r="S72" s="99"/>
      <x:c r="T72" s="99"/>
      <x:c r="U72" s="99"/>
      <x:c r="V72" s="99"/>
      <x:c r="W72" s="99"/>
      <x:c r="X72" s="99"/>
      <x:c r="Y72" s="99"/>
      <x:c r="Z72" s="99"/>
    </x:row>
    <x:row r="73">
      <x:c r="A73" s="99"/>
      <x:c r="B73" s="99"/>
      <x:c r="C73" s="99"/>
      <x:c r="D73" s="99"/>
      <x:c r="E73" s="99"/>
      <x:c r="F73" s="99"/>
      <x:c r="G73" s="99"/>
      <x:c r="H73" s="99"/>
      <x:c r="I73" s="99"/>
      <x:c r="J73" s="99"/>
      <x:c r="K73" s="99"/>
      <x:c r="L73" s="99"/>
      <x:c r="M73" s="99"/>
      <x:c r="N73" s="99"/>
      <x:c r="O73" s="99"/>
      <x:c r="P73" s="99"/>
      <x:c r="Q73" s="99"/>
      <x:c r="R73" s="99"/>
      <x:c r="S73" s="99"/>
      <x:c r="T73" s="99"/>
      <x:c r="U73" s="99"/>
      <x:c r="V73" s="99"/>
      <x:c r="W73" s="99"/>
      <x:c r="X73" s="99"/>
      <x:c r="Y73" s="99"/>
      <x:c r="Z73" s="99"/>
    </x:row>
    <x:row r="74">
      <x:c r="A74" s="99"/>
      <x:c r="B74" s="99"/>
      <x:c r="C74" s="99"/>
      <x:c r="D74" s="99"/>
      <x:c r="E74" s="99"/>
      <x:c r="F74" s="99"/>
      <x:c r="G74" s="99"/>
      <x:c r="H74" s="99"/>
      <x:c r="I74" s="99"/>
      <x:c r="J74" s="99"/>
      <x:c r="K74" s="99"/>
      <x:c r="L74" s="99"/>
      <x:c r="M74" s="99"/>
      <x:c r="N74" s="99"/>
      <x:c r="O74" s="99"/>
      <x:c r="P74" s="99"/>
      <x:c r="Q74" s="99"/>
      <x:c r="R74" s="99"/>
      <x:c r="S74" s="99"/>
      <x:c r="T74" s="99"/>
      <x:c r="U74" s="99"/>
      <x:c r="V74" s="99"/>
      <x:c r="W74" s="99"/>
      <x:c r="X74" s="99"/>
      <x:c r="Y74" s="99"/>
      <x:c r="Z74" s="99"/>
    </x:row>
    <x:row r="75">
      <x:c r="A75" s="99"/>
      <x:c r="B75" s="99"/>
      <x:c r="C75" s="99"/>
      <x:c r="D75" s="99"/>
      <x:c r="E75" s="99"/>
      <x:c r="F75" s="99"/>
      <x:c r="G75" s="99"/>
      <x:c r="H75" s="99"/>
      <x:c r="I75" s="99"/>
      <x:c r="J75" s="99"/>
      <x:c r="K75" s="99"/>
      <x:c r="L75" s="99"/>
      <x:c r="M75" s="99"/>
      <x:c r="N75" s="99"/>
      <x:c r="O75" s="99"/>
      <x:c r="P75" s="99"/>
      <x:c r="Q75" s="99"/>
      <x:c r="R75" s="99"/>
      <x:c r="S75" s="99"/>
      <x:c r="T75" s="99"/>
      <x:c r="U75" s="99"/>
      <x:c r="V75" s="99"/>
      <x:c r="W75" s="99"/>
      <x:c r="X75" s="99"/>
      <x:c r="Y75" s="99"/>
      <x:c r="Z75" s="99"/>
    </x:row>
    <x:row r="76">
      <x:c r="A76" s="99"/>
      <x:c r="B76" s="99"/>
      <x:c r="C76" s="99"/>
      <x:c r="D76" s="99"/>
      <x:c r="E76" s="99"/>
      <x:c r="F76" s="99"/>
      <x:c r="G76" s="99"/>
      <x:c r="H76" s="99"/>
      <x:c r="I76" s="99"/>
      <x:c r="J76" s="99"/>
      <x:c r="K76" s="99"/>
      <x:c r="L76" s="99"/>
      <x:c r="M76" s="99"/>
      <x:c r="N76" s="99"/>
      <x:c r="O76" s="99"/>
      <x:c r="P76" s="99"/>
      <x:c r="Q76" s="99"/>
      <x:c r="R76" s="99"/>
      <x:c r="S76" s="99"/>
      <x:c r="T76" s="99"/>
      <x:c r="U76" s="99"/>
      <x:c r="V76" s="99"/>
      <x:c r="W76" s="99"/>
      <x:c r="X76" s="99"/>
      <x:c r="Y76" s="99"/>
      <x:c r="Z76" s="99"/>
    </x:row>
    <x:row r="77">
      <x:c r="A77" s="99"/>
      <x:c r="B77" s="99"/>
      <x:c r="C77" s="99"/>
      <x:c r="D77" s="99"/>
      <x:c r="E77" s="99"/>
      <x:c r="F77" s="99"/>
      <x:c r="G77" s="99"/>
      <x:c r="H77" s="99"/>
      <x:c r="I77" s="99"/>
      <x:c r="J77" s="99"/>
      <x:c r="K77" s="99"/>
      <x:c r="L77" s="99"/>
      <x:c r="M77" s="99"/>
      <x:c r="N77" s="99"/>
      <x:c r="O77" s="99"/>
      <x:c r="P77" s="99"/>
      <x:c r="Q77" s="99"/>
      <x:c r="R77" s="99"/>
      <x:c r="S77" s="99"/>
      <x:c r="T77" s="99"/>
      <x:c r="U77" s="99"/>
      <x:c r="V77" s="99"/>
      <x:c r="W77" s="99"/>
      <x:c r="X77" s="99"/>
      <x:c r="Y77" s="99"/>
      <x:c r="Z77" s="99"/>
    </x:row>
    <x:row r="78">
      <x:c r="A78" s="99"/>
      <x:c r="B78" s="99"/>
      <x:c r="C78" s="99"/>
      <x:c r="D78" s="99"/>
      <x:c r="E78" s="99"/>
      <x:c r="F78" s="99"/>
      <x:c r="G78" s="99"/>
      <x:c r="H78" s="99"/>
      <x:c r="I78" s="99"/>
      <x:c r="J78" s="99"/>
      <x:c r="K78" s="99"/>
      <x:c r="L78" s="99"/>
      <x:c r="M78" s="99"/>
      <x:c r="N78" s="99"/>
      <x:c r="O78" s="99"/>
      <x:c r="P78" s="99"/>
      <x:c r="Q78" s="99"/>
      <x:c r="R78" s="99"/>
      <x:c r="S78" s="99"/>
      <x:c r="T78" s="99"/>
      <x:c r="U78" s="99"/>
      <x:c r="V78" s="99"/>
      <x:c r="W78" s="99"/>
      <x:c r="X78" s="99"/>
      <x:c r="Y78" s="99"/>
      <x:c r="Z78" s="99"/>
    </x:row>
    <x:row r="79">
      <x:c r="A79" s="99"/>
      <x:c r="B79" s="99"/>
      <x:c r="C79" s="99"/>
      <x:c r="D79" s="99"/>
      <x:c r="E79" s="99"/>
      <x:c r="F79" s="99"/>
      <x:c r="G79" s="99"/>
      <x:c r="H79" s="99"/>
      <x:c r="I79" s="99"/>
      <x:c r="J79" s="99"/>
      <x:c r="K79" s="99"/>
      <x:c r="L79" s="99"/>
      <x:c r="M79" s="99"/>
      <x:c r="N79" s="99"/>
      <x:c r="O79" s="99"/>
      <x:c r="P79" s="99"/>
      <x:c r="Q79" s="99"/>
      <x:c r="R79" s="99"/>
      <x:c r="S79" s="99"/>
      <x:c r="T79" s="99"/>
      <x:c r="U79" s="99"/>
      <x:c r="V79" s="99"/>
      <x:c r="W79" s="99"/>
      <x:c r="X79" s="99"/>
      <x:c r="Y79" s="99"/>
      <x:c r="Z79" s="99"/>
    </x:row>
    <x:row r="80">
      <x:c r="A80" s="99"/>
      <x:c r="B80" s="99"/>
      <x:c r="C80" s="99"/>
      <x:c r="D80" s="99"/>
      <x:c r="E80" s="99"/>
      <x:c r="F80" s="99"/>
      <x:c r="G80" s="99"/>
      <x:c r="H80" s="99"/>
      <x:c r="I80" s="99"/>
      <x:c r="J80" s="99"/>
      <x:c r="K80" s="99"/>
      <x:c r="L80" s="99"/>
      <x:c r="M80" s="99"/>
      <x:c r="N80" s="99"/>
      <x:c r="O80" s="99"/>
      <x:c r="P80" s="99"/>
      <x:c r="Q80" s="99"/>
      <x:c r="R80" s="99"/>
      <x:c r="S80" s="99"/>
      <x:c r="T80" s="99"/>
      <x:c r="U80" s="99"/>
      <x:c r="V80" s="99"/>
      <x:c r="W80" s="99"/>
      <x:c r="X80" s="99"/>
      <x:c r="Y80" s="99"/>
      <x:c r="Z80" s="99"/>
    </x:row>
    <x:row r="81">
      <x:c r="A81" s="99"/>
      <x:c r="B81" s="99"/>
      <x:c r="C81" s="99"/>
      <x:c r="D81" s="99"/>
      <x:c r="E81" s="99"/>
      <x:c r="F81" s="99"/>
      <x:c r="G81" s="99"/>
      <x:c r="H81" s="99"/>
      <x:c r="I81" s="99"/>
      <x:c r="J81" s="99"/>
      <x:c r="K81" s="99"/>
      <x:c r="L81" s="99"/>
      <x:c r="M81" s="99"/>
      <x:c r="N81" s="99"/>
      <x:c r="O81" s="99"/>
      <x:c r="P81" s="99"/>
      <x:c r="Q81" s="99"/>
      <x:c r="R81" s="99"/>
      <x:c r="S81" s="99"/>
      <x:c r="T81" s="99"/>
      <x:c r="U81" s="99"/>
      <x:c r="V81" s="99"/>
      <x:c r="W81" s="99"/>
      <x:c r="X81" s="99"/>
      <x:c r="Y81" s="99"/>
      <x:c r="Z81" s="99"/>
    </x:row>
    <x:row r="82">
      <x:c r="A82" s="99"/>
      <x:c r="B82" s="99"/>
      <x:c r="C82" s="99"/>
      <x:c r="D82" s="99"/>
      <x:c r="E82" s="99"/>
      <x:c r="F82" s="99"/>
      <x:c r="G82" s="99"/>
      <x:c r="H82" s="99"/>
      <x:c r="I82" s="99"/>
      <x:c r="J82" s="99"/>
      <x:c r="K82" s="99"/>
      <x:c r="L82" s="99"/>
      <x:c r="M82" s="99"/>
      <x:c r="N82" s="99"/>
      <x:c r="O82" s="99"/>
      <x:c r="P82" s="99"/>
      <x:c r="Q82" s="99"/>
      <x:c r="R82" s="99"/>
      <x:c r="S82" s="99"/>
      <x:c r="T82" s="99"/>
      <x:c r="U82" s="99"/>
      <x:c r="V82" s="99"/>
      <x:c r="W82" s="99"/>
      <x:c r="X82" s="99"/>
      <x:c r="Y82" s="99"/>
      <x:c r="Z82" s="99"/>
    </x:row>
    <x:row r="83">
      <x:c r="A83" s="99"/>
      <x:c r="B83" s="99"/>
      <x:c r="C83" s="99"/>
      <x:c r="D83" s="99"/>
      <x:c r="E83" s="99"/>
      <x:c r="F83" s="99"/>
      <x:c r="G83" s="99"/>
      <x:c r="H83" s="99"/>
      <x:c r="I83" s="99"/>
      <x:c r="J83" s="99"/>
      <x:c r="K83" s="99"/>
      <x:c r="L83" s="99"/>
      <x:c r="M83" s="99"/>
      <x:c r="N83" s="99"/>
      <x:c r="O83" s="99"/>
      <x:c r="P83" s="99"/>
      <x:c r="Q83" s="99"/>
      <x:c r="R83" s="99"/>
      <x:c r="S83" s="99"/>
      <x:c r="T83" s="99"/>
      <x:c r="U83" s="99"/>
      <x:c r="V83" s="99"/>
      <x:c r="W83" s="99"/>
      <x:c r="X83" s="99"/>
      <x:c r="Y83" s="99"/>
      <x:c r="Z83" s="99"/>
    </x:row>
    <x:row r="84">
      <x:c r="A84" s="99"/>
      <x:c r="B84" s="99"/>
      <x:c r="C84" s="99"/>
      <x:c r="D84" s="99"/>
      <x:c r="E84" s="99"/>
      <x:c r="F84" s="99"/>
      <x:c r="G84" s="99"/>
      <x:c r="H84" s="99"/>
      <x:c r="I84" s="99"/>
      <x:c r="J84" s="99"/>
      <x:c r="K84" s="99"/>
      <x:c r="L84" s="99"/>
      <x:c r="M84" s="99"/>
      <x:c r="N84" s="99"/>
      <x:c r="O84" s="99"/>
      <x:c r="P84" s="99"/>
      <x:c r="Q84" s="99"/>
      <x:c r="R84" s="99"/>
      <x:c r="S84" s="99"/>
      <x:c r="T84" s="99"/>
      <x:c r="U84" s="99"/>
      <x:c r="V84" s="99"/>
      <x:c r="W84" s="99"/>
      <x:c r="X84" s="99"/>
      <x:c r="Y84" s="99"/>
      <x:c r="Z84" s="99"/>
    </x:row>
    <x:row r="85">
      <x:c r="A85" s="99"/>
      <x:c r="B85" s="99"/>
      <x:c r="C85" s="99"/>
      <x:c r="D85" s="99"/>
      <x:c r="E85" s="99"/>
      <x:c r="F85" s="99"/>
      <x:c r="G85" s="99"/>
      <x:c r="H85" s="99"/>
      <x:c r="I85" s="99"/>
      <x:c r="J85" s="99"/>
      <x:c r="K85" s="99"/>
      <x:c r="L85" s="99"/>
      <x:c r="M85" s="99"/>
      <x:c r="N85" s="99"/>
      <x:c r="O85" s="99"/>
      <x:c r="P85" s="99"/>
      <x:c r="Q85" s="99"/>
      <x:c r="R85" s="99"/>
      <x:c r="S85" s="99"/>
      <x:c r="T85" s="99"/>
      <x:c r="U85" s="99"/>
      <x:c r="V85" s="99"/>
      <x:c r="W85" s="99"/>
      <x:c r="X85" s="99"/>
      <x:c r="Y85" s="99"/>
      <x:c r="Z85" s="99"/>
    </x:row>
    <x:row r="86">
      <x:c r="A86" s="99"/>
      <x:c r="B86" s="99"/>
      <x:c r="C86" s="99"/>
      <x:c r="D86" s="99"/>
      <x:c r="E86" s="99"/>
      <x:c r="F86" s="99"/>
      <x:c r="G86" s="99"/>
      <x:c r="H86" s="99"/>
      <x:c r="I86" s="99"/>
      <x:c r="J86" s="99"/>
      <x:c r="K86" s="99"/>
      <x:c r="L86" s="99"/>
      <x:c r="M86" s="99"/>
      <x:c r="N86" s="99"/>
      <x:c r="O86" s="99"/>
      <x:c r="P86" s="99"/>
      <x:c r="Q86" s="99"/>
      <x:c r="R86" s="99"/>
      <x:c r="S86" s="99"/>
      <x:c r="T86" s="99"/>
      <x:c r="U86" s="99"/>
      <x:c r="V86" s="99"/>
      <x:c r="W86" s="99"/>
      <x:c r="X86" s="99"/>
      <x:c r="Y86" s="99"/>
      <x:c r="Z86" s="99"/>
    </x:row>
    <x:row r="87">
      <x:c r="A87" s="99"/>
      <x:c r="B87" s="99"/>
      <x:c r="C87" s="99"/>
      <x:c r="D87" s="99"/>
      <x:c r="E87" s="99"/>
      <x:c r="F87" s="99"/>
      <x:c r="G87" s="99"/>
      <x:c r="H87" s="99"/>
      <x:c r="I87" s="99"/>
      <x:c r="J87" s="99"/>
      <x:c r="K87" s="99"/>
      <x:c r="L87" s="99"/>
      <x:c r="M87" s="99"/>
      <x:c r="N87" s="99"/>
      <x:c r="O87" s="99"/>
      <x:c r="P87" s="99"/>
      <x:c r="Q87" s="99"/>
      <x:c r="R87" s="99"/>
      <x:c r="S87" s="99"/>
      <x:c r="T87" s="99"/>
      <x:c r="U87" s="99"/>
      <x:c r="V87" s="99"/>
      <x:c r="W87" s="99"/>
      <x:c r="X87" s="99"/>
      <x:c r="Y87" s="99"/>
      <x:c r="Z87" s="99"/>
    </x:row>
    <x:row r="88">
      <x:c r="A88" s="99"/>
      <x:c r="B88" s="99"/>
      <x:c r="C88" s="99"/>
      <x:c r="D88" s="99"/>
      <x:c r="E88" s="99"/>
      <x:c r="F88" s="99"/>
      <x:c r="G88" s="99"/>
      <x:c r="H88" s="99"/>
      <x:c r="I88" s="99"/>
      <x:c r="J88" s="99"/>
      <x:c r="K88" s="99"/>
      <x:c r="L88" s="99"/>
      <x:c r="M88" s="99"/>
      <x:c r="N88" s="99"/>
      <x:c r="O88" s="99"/>
      <x:c r="P88" s="99"/>
      <x:c r="Q88" s="99"/>
      <x:c r="R88" s="99"/>
      <x:c r="S88" s="99"/>
      <x:c r="T88" s="99"/>
      <x:c r="U88" s="99"/>
      <x:c r="V88" s="99"/>
      <x:c r="W88" s="99"/>
      <x:c r="X88" s="99"/>
      <x:c r="Y88" s="99"/>
      <x:c r="Z88" s="99"/>
    </x:row>
    <x:row r="89">
      <x:c r="A89" s="99"/>
      <x:c r="B89" s="99"/>
      <x:c r="C89" s="99"/>
      <x:c r="D89" s="99"/>
      <x:c r="E89" s="99"/>
      <x:c r="F89" s="99"/>
      <x:c r="G89" s="99"/>
      <x:c r="H89" s="99"/>
      <x:c r="I89" s="99"/>
      <x:c r="J89" s="99"/>
      <x:c r="K89" s="99"/>
      <x:c r="L89" s="99"/>
      <x:c r="M89" s="99"/>
      <x:c r="N89" s="99"/>
      <x:c r="O89" s="99"/>
      <x:c r="P89" s="99"/>
      <x:c r="Q89" s="99"/>
      <x:c r="R89" s="99"/>
      <x:c r="S89" s="99"/>
      <x:c r="T89" s="99"/>
      <x:c r="U89" s="99"/>
      <x:c r="V89" s="99"/>
      <x:c r="W89" s="99"/>
      <x:c r="X89" s="99"/>
      <x:c r="Y89" s="99"/>
      <x:c r="Z89" s="99"/>
    </x:row>
    <x:row r="90">
      <x:c r="A90" s="99"/>
      <x:c r="B90" s="99"/>
      <x:c r="C90" s="99"/>
      <x:c r="D90" s="99"/>
      <x:c r="E90" s="99"/>
      <x:c r="F90" s="99"/>
      <x:c r="G90" s="99"/>
      <x:c r="H90" s="99"/>
      <x:c r="I90" s="99"/>
      <x:c r="J90" s="99"/>
      <x:c r="K90" s="99"/>
      <x:c r="L90" s="99"/>
      <x:c r="M90" s="99"/>
      <x:c r="N90" s="99"/>
      <x:c r="O90" s="99"/>
      <x:c r="P90" s="99"/>
      <x:c r="Q90" s="99"/>
      <x:c r="R90" s="99"/>
      <x:c r="S90" s="99"/>
      <x:c r="T90" s="99"/>
      <x:c r="U90" s="99"/>
      <x:c r="V90" s="99"/>
      <x:c r="W90" s="99"/>
      <x:c r="X90" s="99"/>
      <x:c r="Y90" s="99"/>
      <x:c r="Z90" s="99"/>
    </x:row>
    <x:row r="91">
      <x:c r="A91" s="99"/>
      <x:c r="B91" s="99"/>
      <x:c r="C91" s="99"/>
      <x:c r="D91" s="99"/>
      <x:c r="E91" s="99"/>
      <x:c r="F91" s="99"/>
      <x:c r="G91" s="99"/>
      <x:c r="H91" s="99"/>
      <x:c r="I91" s="99"/>
      <x:c r="J91" s="99"/>
      <x:c r="K91" s="99"/>
      <x:c r="L91" s="99"/>
      <x:c r="M91" s="99"/>
      <x:c r="N91" s="99"/>
      <x:c r="O91" s="99"/>
      <x:c r="P91" s="99"/>
      <x:c r="Q91" s="99"/>
      <x:c r="R91" s="99"/>
      <x:c r="S91" s="99"/>
      <x:c r="T91" s="99"/>
      <x:c r="U91" s="99"/>
      <x:c r="V91" s="99"/>
      <x:c r="W91" s="99"/>
      <x:c r="X91" s="99"/>
      <x:c r="Y91" s="99"/>
      <x:c r="Z91" s="99"/>
    </x:row>
    <x:row r="92">
      <x:c r="A92" s="99"/>
      <x:c r="B92" s="99"/>
      <x:c r="C92" s="99"/>
      <x:c r="D92" s="99"/>
      <x:c r="E92" s="99"/>
      <x:c r="F92" s="99"/>
      <x:c r="G92" s="99"/>
      <x:c r="H92" s="99"/>
      <x:c r="I92" s="99"/>
      <x:c r="J92" s="99"/>
      <x:c r="K92" s="99"/>
      <x:c r="L92" s="99"/>
      <x:c r="M92" s="99"/>
      <x:c r="N92" s="99"/>
      <x:c r="O92" s="99"/>
      <x:c r="P92" s="99"/>
      <x:c r="Q92" s="99"/>
      <x:c r="R92" s="99"/>
      <x:c r="S92" s="99"/>
      <x:c r="T92" s="99"/>
      <x:c r="U92" s="99"/>
      <x:c r="V92" s="99"/>
      <x:c r="W92" s="99"/>
      <x:c r="X92" s="99"/>
      <x:c r="Y92" s="99"/>
      <x:c r="Z92" s="99"/>
    </x:row>
    <x:row r="93">
      <x:c r="A93" s="99"/>
      <x:c r="B93" s="99"/>
      <x:c r="C93" s="99"/>
      <x:c r="D93" s="99"/>
      <x:c r="E93" s="99"/>
      <x:c r="F93" s="99"/>
      <x:c r="G93" s="99"/>
      <x:c r="H93" s="99"/>
      <x:c r="I93" s="99"/>
      <x:c r="J93" s="99"/>
      <x:c r="K93" s="99"/>
      <x:c r="L93" s="99"/>
      <x:c r="M93" s="99"/>
      <x:c r="N93" s="99"/>
      <x:c r="O93" s="99"/>
      <x:c r="P93" s="99"/>
      <x:c r="Q93" s="99"/>
      <x:c r="R93" s="99"/>
      <x:c r="S93" s="99"/>
      <x:c r="T93" s="99"/>
      <x:c r="U93" s="99"/>
      <x:c r="V93" s="99"/>
      <x:c r="W93" s="99"/>
      <x:c r="X93" s="99"/>
      <x:c r="Y93" s="99"/>
      <x:c r="Z93" s="99"/>
    </x:row>
    <x:row r="94">
      <x:c r="A94" s="99"/>
      <x:c r="B94" s="99"/>
      <x:c r="C94" s="99"/>
      <x:c r="D94" s="99"/>
      <x:c r="E94" s="99"/>
      <x:c r="F94" s="99"/>
      <x:c r="G94" s="99"/>
      <x:c r="H94" s="99"/>
      <x:c r="I94" s="99"/>
      <x:c r="J94" s="99"/>
      <x:c r="K94" s="99"/>
      <x:c r="L94" s="99"/>
      <x:c r="M94" s="99"/>
      <x:c r="N94" s="99"/>
      <x:c r="O94" s="99"/>
      <x:c r="P94" s="99"/>
      <x:c r="Q94" s="99"/>
      <x:c r="R94" s="99"/>
      <x:c r="S94" s="99"/>
      <x:c r="T94" s="99"/>
      <x:c r="U94" s="99"/>
      <x:c r="V94" s="99"/>
      <x:c r="W94" s="99"/>
      <x:c r="X94" s="99"/>
      <x:c r="Y94" s="99"/>
      <x:c r="Z94" s="99"/>
    </x:row>
    <x:row r="95">
      <x:c r="A95" s="99"/>
      <x:c r="B95" s="99"/>
      <x:c r="C95" s="99"/>
      <x:c r="D95" s="99"/>
      <x:c r="E95" s="99"/>
      <x:c r="F95" s="99"/>
      <x:c r="G95" s="99"/>
      <x:c r="H95" s="99"/>
      <x:c r="I95" s="99"/>
      <x:c r="J95" s="99"/>
      <x:c r="K95" s="99"/>
      <x:c r="L95" s="99"/>
      <x:c r="M95" s="99"/>
      <x:c r="N95" s="99"/>
      <x:c r="O95" s="99"/>
      <x:c r="P95" s="99"/>
      <x:c r="Q95" s="99"/>
      <x:c r="R95" s="99"/>
      <x:c r="S95" s="99"/>
      <x:c r="T95" s="99"/>
      <x:c r="U95" s="99"/>
      <x:c r="V95" s="99"/>
      <x:c r="W95" s="99"/>
      <x:c r="X95" s="99"/>
      <x:c r="Y95" s="99"/>
      <x:c r="Z95" s="99"/>
    </x:row>
    <x:row r="96">
      <x:c r="A96" s="99"/>
      <x:c r="B96" s="99"/>
      <x:c r="C96" s="99"/>
      <x:c r="D96" s="99"/>
      <x:c r="E96" s="99"/>
      <x:c r="F96" s="99"/>
      <x:c r="G96" s="99"/>
      <x:c r="H96" s="99"/>
      <x:c r="I96" s="99"/>
      <x:c r="J96" s="99"/>
      <x:c r="K96" s="99"/>
      <x:c r="L96" s="99"/>
      <x:c r="M96" s="99"/>
      <x:c r="N96" s="99"/>
      <x:c r="O96" s="99"/>
      <x:c r="P96" s="99"/>
      <x:c r="Q96" s="99"/>
      <x:c r="R96" s="99"/>
      <x:c r="S96" s="99"/>
      <x:c r="T96" s="99"/>
      <x:c r="U96" s="99"/>
      <x:c r="V96" s="99"/>
      <x:c r="W96" s="99"/>
      <x:c r="X96" s="99"/>
      <x:c r="Y96" s="99"/>
      <x:c r="Z96" s="99"/>
    </x:row>
    <x:row r="97">
      <x:c r="A97" s="99"/>
      <x:c r="B97" s="99"/>
      <x:c r="C97" s="99"/>
      <x:c r="D97" s="99"/>
      <x:c r="E97" s="99"/>
      <x:c r="F97" s="99"/>
      <x:c r="G97" s="99"/>
      <x:c r="H97" s="99"/>
      <x:c r="I97" s="99"/>
      <x:c r="J97" s="99"/>
      <x:c r="K97" s="99"/>
      <x:c r="L97" s="99"/>
      <x:c r="M97" s="99"/>
      <x:c r="N97" s="99"/>
      <x:c r="O97" s="99"/>
      <x:c r="P97" s="99"/>
      <x:c r="Q97" s="99"/>
      <x:c r="R97" s="99"/>
      <x:c r="S97" s="99"/>
      <x:c r="T97" s="99"/>
      <x:c r="U97" s="99"/>
      <x:c r="V97" s="99"/>
      <x:c r="W97" s="99"/>
      <x:c r="X97" s="99"/>
      <x:c r="Y97" s="99"/>
      <x:c r="Z97" s="99"/>
    </x:row>
    <x:row r="98">
      <x:c r="A98" s="99"/>
      <x:c r="B98" s="99"/>
      <x:c r="C98" s="99"/>
      <x:c r="D98" s="99"/>
      <x:c r="E98" s="99"/>
      <x:c r="F98" s="99"/>
      <x:c r="G98" s="99"/>
      <x:c r="H98" s="99"/>
      <x:c r="I98" s="99"/>
      <x:c r="J98" s="99"/>
      <x:c r="K98" s="99"/>
      <x:c r="L98" s="99"/>
      <x:c r="M98" s="99"/>
      <x:c r="N98" s="99"/>
      <x:c r="O98" s="99"/>
      <x:c r="P98" s="99"/>
      <x:c r="Q98" s="99"/>
      <x:c r="R98" s="99"/>
      <x:c r="S98" s="99"/>
      <x:c r="T98" s="99"/>
      <x:c r="U98" s="99"/>
      <x:c r="V98" s="99"/>
      <x:c r="W98" s="99"/>
      <x:c r="X98" s="99"/>
      <x:c r="Y98" s="99"/>
      <x:c r="Z98" s="99"/>
    </x:row>
    <x:row r="99">
      <x:c r="A99" s="99"/>
      <x:c r="B99" s="99"/>
      <x:c r="C99" s="99"/>
      <x:c r="D99" s="99"/>
      <x:c r="E99" s="99"/>
      <x:c r="F99" s="99"/>
      <x:c r="G99" s="99"/>
      <x:c r="H99" s="99"/>
      <x:c r="I99" s="99"/>
      <x:c r="J99" s="99"/>
      <x:c r="K99" s="99"/>
      <x:c r="L99" s="99"/>
      <x:c r="M99" s="99"/>
      <x:c r="N99" s="99"/>
      <x:c r="O99" s="99"/>
      <x:c r="P99" s="99"/>
      <x:c r="Q99" s="99"/>
      <x:c r="R99" s="99"/>
      <x:c r="S99" s="99"/>
      <x:c r="T99" s="99"/>
      <x:c r="U99" s="99"/>
      <x:c r="V99" s="99"/>
      <x:c r="W99" s="99"/>
      <x:c r="X99" s="99"/>
      <x:c r="Y99" s="99"/>
      <x:c r="Z99" s="99"/>
    </x:row>
    <x:row r="100">
      <x:c r="A100" s="99"/>
      <x:c r="B100" s="99"/>
      <x:c r="C100" s="99"/>
      <x:c r="D100" s="99"/>
      <x:c r="E100" s="99"/>
      <x:c r="F100" s="99"/>
      <x:c r="G100" s="99"/>
      <x:c r="H100" s="99"/>
      <x:c r="I100" s="99"/>
      <x:c r="J100" s="99"/>
      <x:c r="K100" s="99"/>
      <x:c r="L100" s="99"/>
      <x:c r="M100" s="99"/>
      <x:c r="N100" s="99"/>
      <x:c r="O100" s="99"/>
      <x:c r="P100" s="99"/>
      <x:c r="Q100" s="99"/>
      <x:c r="R100" s="99"/>
      <x:c r="S100" s="99"/>
      <x:c r="T100" s="99"/>
      <x:c r="U100" s="99"/>
      <x:c r="V100" s="99"/>
      <x:c r="W100" s="99"/>
      <x:c r="X100" s="99"/>
      <x:c r="Y100" s="99"/>
      <x:c r="Z100" s="99"/>
    </x:row>
    <x:row r="101">
      <x:c r="A101" s="99"/>
      <x:c r="B101" s="99"/>
      <x:c r="C101" s="99"/>
      <x:c r="D101" s="99"/>
      <x:c r="E101" s="99"/>
      <x:c r="F101" s="99"/>
      <x:c r="G101" s="99"/>
      <x:c r="H101" s="99"/>
      <x:c r="I101" s="99"/>
      <x:c r="J101" s="99"/>
      <x:c r="K101" s="99"/>
      <x:c r="L101" s="99"/>
      <x:c r="M101" s="99"/>
      <x:c r="N101" s="99"/>
      <x:c r="O101" s="99"/>
      <x:c r="P101" s="99"/>
      <x:c r="Q101" s="99"/>
      <x:c r="R101" s="99"/>
      <x:c r="S101" s="99"/>
      <x:c r="T101" s="99"/>
      <x:c r="U101" s="99"/>
      <x:c r="V101" s="99"/>
      <x:c r="W101" s="99"/>
      <x:c r="X101" s="99"/>
      <x:c r="Y101" s="99"/>
      <x:c r="Z101" s="99"/>
    </x:row>
    <x:row r="102">
      <x:c r="A102" s="99"/>
      <x:c r="B102" s="99"/>
      <x:c r="C102" s="99"/>
      <x:c r="D102" s="99"/>
      <x:c r="E102" s="99"/>
      <x:c r="F102" s="99"/>
      <x:c r="G102" s="99"/>
      <x:c r="H102" s="99"/>
      <x:c r="I102" s="99"/>
      <x:c r="J102" s="99"/>
      <x:c r="K102" s="99"/>
      <x:c r="L102" s="99"/>
      <x:c r="M102" s="99"/>
      <x:c r="N102" s="99"/>
      <x:c r="O102" s="99"/>
      <x:c r="P102" s="99"/>
      <x:c r="Q102" s="99"/>
      <x:c r="R102" s="99"/>
      <x:c r="S102" s="99"/>
      <x:c r="T102" s="99"/>
      <x:c r="U102" s="99"/>
      <x:c r="V102" s="99"/>
      <x:c r="W102" s="99"/>
      <x:c r="X102" s="99"/>
      <x:c r="Y102" s="99"/>
      <x:c r="Z102" s="99"/>
    </x:row>
    <x:row r="103">
      <x:c r="A103" s="99"/>
      <x:c r="B103" s="99"/>
      <x:c r="C103" s="99"/>
      <x:c r="D103" s="99"/>
      <x:c r="E103" s="99"/>
      <x:c r="F103" s="99"/>
      <x:c r="G103" s="99"/>
      <x:c r="H103" s="99"/>
      <x:c r="I103" s="99"/>
      <x:c r="J103" s="99"/>
      <x:c r="K103" s="99"/>
      <x:c r="L103" s="99"/>
      <x:c r="M103" s="99"/>
      <x:c r="N103" s="99"/>
      <x:c r="O103" s="99"/>
      <x:c r="P103" s="99"/>
      <x:c r="Q103" s="99"/>
      <x:c r="R103" s="99"/>
      <x:c r="S103" s="99"/>
      <x:c r="T103" s="99"/>
      <x:c r="U103" s="99"/>
      <x:c r="V103" s="99"/>
      <x:c r="W103" s="99"/>
      <x:c r="X103" s="99"/>
      <x:c r="Y103" s="99"/>
      <x:c r="Z103" s="99"/>
    </x:row>
    <x:row r="104">
      <x:c r="A104" s="99"/>
      <x:c r="B104" s="99"/>
      <x:c r="C104" s="99"/>
      <x:c r="D104" s="99"/>
      <x:c r="E104" s="99"/>
      <x:c r="F104" s="99"/>
      <x:c r="G104" s="99"/>
      <x:c r="H104" s="99"/>
      <x:c r="I104" s="99"/>
      <x:c r="J104" s="99"/>
      <x:c r="K104" s="99"/>
      <x:c r="L104" s="99"/>
      <x:c r="M104" s="99"/>
      <x:c r="N104" s="99"/>
      <x:c r="O104" s="99"/>
      <x:c r="P104" s="99"/>
      <x:c r="Q104" s="99"/>
      <x:c r="R104" s="99"/>
      <x:c r="S104" s="99"/>
      <x:c r="T104" s="99"/>
      <x:c r="U104" s="99"/>
      <x:c r="V104" s="99"/>
      <x:c r="W104" s="99"/>
      <x:c r="X104" s="99"/>
      <x:c r="Y104" s="99"/>
      <x:c r="Z104" s="99"/>
    </x:row>
    <x:row r="105">
      <x:c r="A105" s="99"/>
      <x:c r="B105" s="99"/>
      <x:c r="C105" s="99"/>
      <x:c r="D105" s="99"/>
      <x:c r="E105" s="99"/>
      <x:c r="F105" s="99"/>
      <x:c r="G105" s="99"/>
      <x:c r="H105" s="99"/>
      <x:c r="I105" s="99"/>
      <x:c r="J105" s="99"/>
      <x:c r="K105" s="99"/>
      <x:c r="L105" s="99"/>
      <x:c r="M105" s="99"/>
      <x:c r="N105" s="99"/>
      <x:c r="O105" s="99"/>
      <x:c r="P105" s="99"/>
      <x:c r="Q105" s="99"/>
      <x:c r="R105" s="99"/>
      <x:c r="S105" s="99"/>
      <x:c r="T105" s="99"/>
      <x:c r="U105" s="99"/>
      <x:c r="V105" s="99"/>
      <x:c r="W105" s="99"/>
      <x:c r="X105" s="99"/>
      <x:c r="Y105" s="99"/>
      <x:c r="Z105" s="99"/>
    </x:row>
    <x:row r="106">
      <x:c r="A106" s="99"/>
      <x:c r="B106" s="99"/>
      <x:c r="C106" s="99"/>
      <x:c r="D106" s="99"/>
      <x:c r="E106" s="99"/>
      <x:c r="F106" s="99"/>
      <x:c r="G106" s="99"/>
      <x:c r="H106" s="99"/>
      <x:c r="I106" s="99"/>
      <x:c r="J106" s="99"/>
      <x:c r="K106" s="99"/>
      <x:c r="L106" s="99"/>
      <x:c r="M106" s="99"/>
      <x:c r="N106" s="99"/>
      <x:c r="O106" s="99"/>
      <x:c r="P106" s="99"/>
      <x:c r="Q106" s="99"/>
      <x:c r="R106" s="99"/>
      <x:c r="S106" s="99"/>
      <x:c r="T106" s="99"/>
      <x:c r="U106" s="99"/>
      <x:c r="V106" s="99"/>
      <x:c r="W106" s="99"/>
      <x:c r="X106" s="99"/>
      <x:c r="Y106" s="99"/>
      <x:c r="Z106" s="99"/>
    </x:row>
    <x:row r="107">
      <x:c r="A107" s="99"/>
      <x:c r="B107" s="99"/>
      <x:c r="C107" s="99"/>
      <x:c r="D107" s="99"/>
      <x:c r="E107" s="99"/>
      <x:c r="F107" s="99"/>
      <x:c r="G107" s="99"/>
      <x:c r="H107" s="99"/>
      <x:c r="I107" s="99"/>
      <x:c r="J107" s="99"/>
      <x:c r="K107" s="99"/>
      <x:c r="L107" s="99"/>
      <x:c r="M107" s="99"/>
      <x:c r="N107" s="99"/>
      <x:c r="O107" s="99"/>
      <x:c r="P107" s="99"/>
      <x:c r="Q107" s="99"/>
      <x:c r="R107" s="99"/>
      <x:c r="S107" s="99"/>
      <x:c r="T107" s="99"/>
      <x:c r="U107" s="99"/>
      <x:c r="V107" s="99"/>
      <x:c r="W107" s="99"/>
      <x:c r="X107" s="99"/>
      <x:c r="Y107" s="99"/>
      <x:c r="Z107" s="99"/>
    </x:row>
    <x:row r="108">
      <x:c r="A108" s="99"/>
      <x:c r="B108" s="99"/>
      <x:c r="C108" s="99"/>
      <x:c r="D108" s="99"/>
      <x:c r="E108" s="99"/>
      <x:c r="F108" s="99"/>
      <x:c r="G108" s="99"/>
      <x:c r="H108" s="99"/>
      <x:c r="I108" s="99"/>
      <x:c r="J108" s="99"/>
      <x:c r="K108" s="99"/>
      <x:c r="L108" s="99"/>
      <x:c r="M108" s="99"/>
      <x:c r="N108" s="99"/>
      <x:c r="O108" s="99"/>
      <x:c r="P108" s="99"/>
      <x:c r="Q108" s="99"/>
      <x:c r="R108" s="99"/>
      <x:c r="S108" s="99"/>
      <x:c r="T108" s="99"/>
      <x:c r="U108" s="99"/>
      <x:c r="V108" s="99"/>
      <x:c r="W108" s="99"/>
      <x:c r="X108" s="99"/>
      <x:c r="Y108" s="99"/>
      <x:c r="Z108" s="99"/>
    </x:row>
    <x:row r="109">
      <x:c r="A109" s="99"/>
      <x:c r="B109" s="99"/>
      <x:c r="C109" s="99"/>
      <x:c r="D109" s="99"/>
      <x:c r="E109" s="99"/>
      <x:c r="F109" s="99"/>
      <x:c r="G109" s="99"/>
      <x:c r="H109" s="99"/>
      <x:c r="I109" s="99"/>
      <x:c r="J109" s="99"/>
      <x:c r="K109" s="99"/>
      <x:c r="L109" s="99"/>
      <x:c r="M109" s="99"/>
      <x:c r="N109" s="99"/>
      <x:c r="O109" s="99"/>
      <x:c r="P109" s="99"/>
      <x:c r="Q109" s="99"/>
      <x:c r="R109" s="99"/>
      <x:c r="S109" s="99"/>
      <x:c r="T109" s="99"/>
      <x:c r="U109" s="99"/>
      <x:c r="V109" s="99"/>
      <x:c r="W109" s="99"/>
      <x:c r="X109" s="99"/>
      <x:c r="Y109" s="99"/>
      <x:c r="Z109" s="99"/>
    </x:row>
    <x:row r="110">
      <x:c r="A110" s="99"/>
      <x:c r="B110" s="99"/>
      <x:c r="C110" s="99"/>
      <x:c r="D110" s="99"/>
      <x:c r="E110" s="99"/>
      <x:c r="F110" s="99"/>
      <x:c r="G110" s="99"/>
      <x:c r="H110" s="99"/>
      <x:c r="I110" s="99"/>
      <x:c r="J110" s="99"/>
      <x:c r="K110" s="99"/>
      <x:c r="L110" s="99"/>
      <x:c r="M110" s="99"/>
      <x:c r="N110" s="99"/>
      <x:c r="O110" s="99"/>
      <x:c r="P110" s="99"/>
      <x:c r="Q110" s="99"/>
      <x:c r="R110" s="99"/>
      <x:c r="S110" s="99"/>
      <x:c r="T110" s="99"/>
      <x:c r="U110" s="99"/>
      <x:c r="V110" s="99"/>
      <x:c r="W110" s="99"/>
      <x:c r="X110" s="99"/>
      <x:c r="Y110" s="99"/>
      <x:c r="Z110" s="99"/>
    </x:row>
    <x:row r="111">
      <x:c r="A111" s="99"/>
      <x:c r="B111" s="99"/>
      <x:c r="C111" s="99"/>
      <x:c r="D111" s="99"/>
      <x:c r="E111" s="99"/>
      <x:c r="F111" s="99"/>
      <x:c r="G111" s="99"/>
      <x:c r="H111" s="99"/>
      <x:c r="I111" s="99"/>
      <x:c r="J111" s="99"/>
      <x:c r="K111" s="99"/>
      <x:c r="L111" s="99"/>
      <x:c r="M111" s="99"/>
      <x:c r="N111" s="99"/>
      <x:c r="O111" s="99"/>
      <x:c r="P111" s="99"/>
      <x:c r="Q111" s="99"/>
      <x:c r="R111" s="99"/>
      <x:c r="S111" s="99"/>
      <x:c r="T111" s="99"/>
      <x:c r="U111" s="99"/>
      <x:c r="V111" s="99"/>
      <x:c r="W111" s="99"/>
      <x:c r="X111" s="99"/>
      <x:c r="Y111" s="99"/>
      <x:c r="Z111" s="99"/>
    </x:row>
    <x:row r="112">
      <x:c r="A112" s="99"/>
      <x:c r="B112" s="99"/>
      <x:c r="C112" s="99"/>
      <x:c r="D112" s="99"/>
      <x:c r="E112" s="99"/>
      <x:c r="F112" s="99"/>
      <x:c r="G112" s="99"/>
      <x:c r="H112" s="99"/>
      <x:c r="I112" s="99"/>
      <x:c r="J112" s="99"/>
      <x:c r="K112" s="99"/>
      <x:c r="L112" s="99"/>
      <x:c r="M112" s="99"/>
      <x:c r="N112" s="99"/>
      <x:c r="O112" s="99"/>
      <x:c r="P112" s="99"/>
      <x:c r="Q112" s="99"/>
      <x:c r="R112" s="99"/>
      <x:c r="S112" s="99"/>
      <x:c r="T112" s="99"/>
      <x:c r="U112" s="99"/>
      <x:c r="V112" s="99"/>
      <x:c r="W112" s="99"/>
      <x:c r="X112" s="99"/>
      <x:c r="Y112" s="99"/>
      <x:c r="Z112" s="99"/>
    </x:row>
    <x:row r="113">
      <x:c r="A113" s="99"/>
      <x:c r="B113" s="99"/>
      <x:c r="C113" s="99"/>
      <x:c r="D113" s="99"/>
      <x:c r="E113" s="99"/>
      <x:c r="F113" s="99"/>
      <x:c r="G113" s="99"/>
      <x:c r="H113" s="99"/>
      <x:c r="I113" s="99"/>
      <x:c r="J113" s="99"/>
      <x:c r="K113" s="99"/>
      <x:c r="L113" s="99"/>
      <x:c r="M113" s="99"/>
      <x:c r="N113" s="99"/>
      <x:c r="O113" s="99"/>
      <x:c r="P113" s="99"/>
      <x:c r="Q113" s="99"/>
      <x:c r="R113" s="99"/>
      <x:c r="S113" s="99"/>
      <x:c r="T113" s="99"/>
      <x:c r="U113" s="99"/>
      <x:c r="V113" s="99"/>
      <x:c r="W113" s="99"/>
      <x:c r="X113" s="99"/>
      <x:c r="Y113" s="99"/>
      <x:c r="Z113" s="99"/>
    </x:row>
    <x:row r="114">
      <x:c r="A114" s="99"/>
      <x:c r="B114" s="99"/>
      <x:c r="C114" s="99"/>
      <x:c r="D114" s="99"/>
      <x:c r="E114" s="99"/>
      <x:c r="F114" s="99"/>
      <x:c r="G114" s="99"/>
      <x:c r="H114" s="99"/>
      <x:c r="I114" s="99"/>
      <x:c r="J114" s="99"/>
      <x:c r="K114" s="99"/>
      <x:c r="L114" s="99"/>
      <x:c r="M114" s="99"/>
      <x:c r="N114" s="99"/>
      <x:c r="O114" s="99"/>
      <x:c r="P114" s="99"/>
      <x:c r="Q114" s="99"/>
      <x:c r="R114" s="99"/>
      <x:c r="S114" s="99"/>
      <x:c r="T114" s="99"/>
      <x:c r="U114" s="99"/>
      <x:c r="V114" s="99"/>
      <x:c r="W114" s="99"/>
      <x:c r="X114" s="99"/>
      <x:c r="Y114" s="99"/>
      <x:c r="Z114" s="99"/>
    </x:row>
    <x:row r="115">
      <x:c r="A115" s="99"/>
      <x:c r="B115" s="99"/>
      <x:c r="C115" s="99"/>
      <x:c r="D115" s="99"/>
      <x:c r="E115" s="99"/>
      <x:c r="F115" s="99"/>
      <x:c r="G115" s="99"/>
      <x:c r="H115" s="99"/>
      <x:c r="I115" s="99"/>
      <x:c r="J115" s="99"/>
      <x:c r="K115" s="99"/>
      <x:c r="L115" s="99"/>
      <x:c r="M115" s="99"/>
      <x:c r="N115" s="99"/>
      <x:c r="O115" s="99"/>
      <x:c r="P115" s="99"/>
      <x:c r="Q115" s="99"/>
      <x:c r="R115" s="99"/>
      <x:c r="S115" s="99"/>
      <x:c r="T115" s="99"/>
      <x:c r="U115" s="99"/>
      <x:c r="V115" s="99"/>
      <x:c r="W115" s="99"/>
      <x:c r="X115" s="99"/>
      <x:c r="Y115" s="99"/>
      <x:c r="Z115" s="99"/>
    </x:row>
    <x:row r="116">
      <x:c r="A116" s="99"/>
      <x:c r="B116" s="99"/>
      <x:c r="C116" s="99"/>
      <x:c r="D116" s="99"/>
      <x:c r="E116" s="99"/>
      <x:c r="F116" s="99"/>
      <x:c r="G116" s="99"/>
      <x:c r="H116" s="99"/>
      <x:c r="I116" s="99"/>
      <x:c r="J116" s="99"/>
      <x:c r="K116" s="99"/>
      <x:c r="L116" s="99"/>
      <x:c r="M116" s="99"/>
      <x:c r="N116" s="99"/>
      <x:c r="O116" s="99"/>
      <x:c r="P116" s="99"/>
      <x:c r="Q116" s="99"/>
      <x:c r="R116" s="99"/>
      <x:c r="S116" s="99"/>
      <x:c r="T116" s="99"/>
      <x:c r="U116" s="99"/>
      <x:c r="V116" s="99"/>
      <x:c r="W116" s="99"/>
      <x:c r="X116" s="99"/>
      <x:c r="Y116" s="99"/>
      <x:c r="Z116" s="99"/>
    </x:row>
    <x:row r="117">
      <x:c r="A117" s="99"/>
      <x:c r="B117" s="99"/>
      <x:c r="C117" s="99"/>
      <x:c r="D117" s="99"/>
      <x:c r="E117" s="99"/>
      <x:c r="F117" s="99"/>
      <x:c r="G117" s="99"/>
      <x:c r="H117" s="99"/>
      <x:c r="I117" s="99"/>
      <x:c r="J117" s="99"/>
      <x:c r="K117" s="99"/>
      <x:c r="L117" s="99"/>
      <x:c r="M117" s="99"/>
      <x:c r="N117" s="99"/>
      <x:c r="O117" s="99"/>
      <x:c r="P117" s="99"/>
      <x:c r="Q117" s="99"/>
      <x:c r="R117" s="99"/>
      <x:c r="S117" s="99"/>
      <x:c r="T117" s="99"/>
      <x:c r="U117" s="99"/>
      <x:c r="V117" s="99"/>
      <x:c r="W117" s="99"/>
      <x:c r="X117" s="99"/>
      <x:c r="Y117" s="99"/>
      <x:c r="Z117" s="99"/>
    </x:row>
    <x:row r="118">
      <x:c r="A118" s="99"/>
      <x:c r="B118" s="99"/>
      <x:c r="C118" s="99"/>
      <x:c r="D118" s="99"/>
      <x:c r="E118" s="99"/>
      <x:c r="F118" s="99"/>
      <x:c r="G118" s="99"/>
      <x:c r="H118" s="99"/>
      <x:c r="I118" s="99"/>
      <x:c r="J118" s="99"/>
      <x:c r="K118" s="99"/>
      <x:c r="L118" s="99"/>
      <x:c r="M118" s="99"/>
      <x:c r="N118" s="99"/>
      <x:c r="O118" s="99"/>
      <x:c r="P118" s="99"/>
      <x:c r="Q118" s="99"/>
      <x:c r="R118" s="99"/>
      <x:c r="S118" s="99"/>
      <x:c r="T118" s="99"/>
      <x:c r="U118" s="99"/>
      <x:c r="V118" s="99"/>
      <x:c r="W118" s="99"/>
      <x:c r="X118" s="99"/>
      <x:c r="Y118" s="99"/>
      <x:c r="Z118" s="99"/>
    </x:row>
    <x:row r="119">
      <x:c r="A119" s="99"/>
      <x:c r="B119" s="99"/>
      <x:c r="C119" s="99"/>
      <x:c r="D119" s="99"/>
      <x:c r="E119" s="99"/>
      <x:c r="F119" s="99"/>
      <x:c r="G119" s="99"/>
      <x:c r="H119" s="99"/>
      <x:c r="I119" s="99"/>
      <x:c r="J119" s="99"/>
      <x:c r="K119" s="99"/>
      <x:c r="L119" s="99"/>
      <x:c r="M119" s="99"/>
      <x:c r="N119" s="99"/>
      <x:c r="O119" s="99"/>
      <x:c r="P119" s="99"/>
      <x:c r="Q119" s="99"/>
      <x:c r="R119" s="99"/>
      <x:c r="S119" s="99"/>
      <x:c r="T119" s="99"/>
      <x:c r="U119" s="99"/>
      <x:c r="V119" s="99"/>
      <x:c r="W119" s="99"/>
      <x:c r="X119" s="99"/>
      <x:c r="Y119" s="99"/>
      <x:c r="Z119" s="99"/>
    </x:row>
    <x:row r="120">
      <x:c r="A120" s="99"/>
      <x:c r="B120" s="99"/>
      <x:c r="C120" s="99"/>
      <x:c r="D120" s="99"/>
      <x:c r="E120" s="99"/>
      <x:c r="F120" s="99"/>
      <x:c r="G120" s="99"/>
      <x:c r="H120" s="99"/>
      <x:c r="I120" s="99"/>
      <x:c r="J120" s="99"/>
      <x:c r="K120" s="99"/>
      <x:c r="L120" s="99"/>
      <x:c r="M120" s="99"/>
      <x:c r="N120" s="99"/>
      <x:c r="O120" s="99"/>
      <x:c r="P120" s="99"/>
      <x:c r="Q120" s="99"/>
      <x:c r="R120" s="99"/>
      <x:c r="S120" s="99"/>
      <x:c r="T120" s="99"/>
      <x:c r="U120" s="99"/>
      <x:c r="V120" s="99"/>
      <x:c r="W120" s="99"/>
      <x:c r="X120" s="99"/>
      <x:c r="Y120" s="99"/>
      <x:c r="Z120" s="99"/>
    </x:row>
    <x:row r="121">
      <x:c r="A121" s="99"/>
      <x:c r="B121" s="99"/>
      <x:c r="C121" s="99"/>
      <x:c r="D121" s="99"/>
      <x:c r="E121" s="99"/>
      <x:c r="F121" s="99"/>
      <x:c r="G121" s="99"/>
      <x:c r="H121" s="99"/>
      <x:c r="I121" s="99"/>
      <x:c r="J121" s="99"/>
      <x:c r="K121" s="99"/>
      <x:c r="L121" s="99"/>
      <x:c r="M121" s="99"/>
      <x:c r="N121" s="99"/>
      <x:c r="O121" s="99"/>
      <x:c r="P121" s="99"/>
      <x:c r="Q121" s="99"/>
      <x:c r="R121" s="99"/>
      <x:c r="S121" s="99"/>
      <x:c r="T121" s="99"/>
      <x:c r="U121" s="99"/>
      <x:c r="V121" s="99"/>
      <x:c r="W121" s="99"/>
      <x:c r="X121" s="99"/>
      <x:c r="Y121" s="99"/>
      <x:c r="Z121" s="99"/>
    </x:row>
    <x:row r="122">
      <x:c r="A122" s="99"/>
      <x:c r="B122" s="99"/>
      <x:c r="C122" s="99"/>
      <x:c r="D122" s="99"/>
      <x:c r="E122" s="99"/>
      <x:c r="F122" s="99"/>
      <x:c r="G122" s="99"/>
      <x:c r="H122" s="99"/>
      <x:c r="I122" s="99"/>
      <x:c r="J122" s="99"/>
      <x:c r="K122" s="99"/>
      <x:c r="L122" s="99"/>
      <x:c r="M122" s="99"/>
      <x:c r="N122" s="99"/>
      <x:c r="O122" s="99"/>
      <x:c r="P122" s="99"/>
      <x:c r="Q122" s="99"/>
      <x:c r="R122" s="99"/>
      <x:c r="S122" s="99"/>
      <x:c r="T122" s="99"/>
      <x:c r="U122" s="99"/>
      <x:c r="V122" s="99"/>
      <x:c r="W122" s="99"/>
      <x:c r="X122" s="99"/>
      <x:c r="Y122" s="99"/>
      <x:c r="Z122" s="99"/>
    </x:row>
    <x:row r="123">
      <x:c r="A123" s="99"/>
      <x:c r="B123" s="99"/>
      <x:c r="C123" s="99"/>
      <x:c r="D123" s="99"/>
      <x:c r="E123" s="99"/>
      <x:c r="F123" s="99"/>
      <x:c r="G123" s="99"/>
      <x:c r="H123" s="99"/>
      <x:c r="I123" s="99"/>
      <x:c r="J123" s="99"/>
      <x:c r="K123" s="99"/>
      <x:c r="L123" s="99"/>
      <x:c r="M123" s="99"/>
      <x:c r="N123" s="99"/>
      <x:c r="O123" s="99"/>
      <x:c r="P123" s="99"/>
      <x:c r="Q123" s="99"/>
      <x:c r="R123" s="99"/>
      <x:c r="S123" s="99"/>
      <x:c r="T123" s="99"/>
      <x:c r="U123" s="99"/>
      <x:c r="V123" s="99"/>
      <x:c r="W123" s="99"/>
      <x:c r="X123" s="99"/>
      <x:c r="Y123" s="99"/>
      <x:c r="Z123" s="99"/>
    </x:row>
    <x:row r="124">
      <x:c r="A124" s="99"/>
      <x:c r="B124" s="99"/>
      <x:c r="C124" s="99"/>
      <x:c r="D124" s="99"/>
      <x:c r="E124" s="99"/>
      <x:c r="F124" s="99"/>
      <x:c r="G124" s="99"/>
      <x:c r="H124" s="99"/>
      <x:c r="I124" s="99"/>
      <x:c r="J124" s="99"/>
      <x:c r="K124" s="99"/>
      <x:c r="L124" s="99"/>
      <x:c r="M124" s="99"/>
      <x:c r="N124" s="99"/>
      <x:c r="O124" s="99"/>
      <x:c r="P124" s="99"/>
      <x:c r="Q124" s="99"/>
      <x:c r="R124" s="99"/>
      <x:c r="S124" s="99"/>
      <x:c r="T124" s="99"/>
      <x:c r="U124" s="99"/>
      <x:c r="V124" s="99"/>
      <x:c r="W124" s="99"/>
      <x:c r="X124" s="99"/>
      <x:c r="Y124" s="99"/>
      <x:c r="Z124" s="99"/>
    </x:row>
    <x:row r="125">
      <x:c r="A125" s="99"/>
      <x:c r="B125" s="99"/>
      <x:c r="C125" s="99"/>
      <x:c r="D125" s="99"/>
      <x:c r="E125" s="99"/>
      <x:c r="F125" s="99"/>
      <x:c r="G125" s="99"/>
      <x:c r="H125" s="99"/>
      <x:c r="I125" s="99"/>
      <x:c r="J125" s="99"/>
      <x:c r="K125" s="99"/>
      <x:c r="L125" s="99"/>
      <x:c r="M125" s="99"/>
      <x:c r="N125" s="99"/>
      <x:c r="O125" s="99"/>
      <x:c r="P125" s="99"/>
      <x:c r="Q125" s="99"/>
      <x:c r="R125" s="99"/>
      <x:c r="S125" s="99"/>
      <x:c r="T125" s="99"/>
      <x:c r="U125" s="99"/>
      <x:c r="V125" s="99"/>
      <x:c r="W125" s="99"/>
      <x:c r="X125" s="99"/>
      <x:c r="Y125" s="99"/>
      <x:c r="Z125" s="99"/>
    </x:row>
    <x:row r="126">
      <x:c r="A126" s="99"/>
      <x:c r="B126" s="99"/>
      <x:c r="C126" s="99"/>
      <x:c r="D126" s="99"/>
      <x:c r="E126" s="99"/>
      <x:c r="F126" s="99"/>
      <x:c r="G126" s="99"/>
      <x:c r="H126" s="99"/>
      <x:c r="I126" s="99"/>
      <x:c r="J126" s="99"/>
      <x:c r="K126" s="99"/>
      <x:c r="L126" s="99"/>
      <x:c r="M126" s="99"/>
      <x:c r="N126" s="99"/>
      <x:c r="O126" s="99"/>
      <x:c r="P126" s="99"/>
      <x:c r="Q126" s="99"/>
      <x:c r="R126" s="99"/>
      <x:c r="S126" s="99"/>
      <x:c r="T126" s="99"/>
      <x:c r="U126" s="99"/>
      <x:c r="V126" s="99"/>
      <x:c r="W126" s="99"/>
      <x:c r="X126" s="99"/>
      <x:c r="Y126" s="99"/>
      <x:c r="Z126" s="99"/>
    </x:row>
    <x:row r="127">
      <x:c r="A127" s="99"/>
      <x:c r="B127" s="99"/>
      <x:c r="C127" s="99"/>
      <x:c r="D127" s="99"/>
      <x:c r="E127" s="99"/>
      <x:c r="F127" s="99"/>
      <x:c r="G127" s="99"/>
      <x:c r="H127" s="99"/>
      <x:c r="I127" s="99"/>
      <x:c r="J127" s="99"/>
      <x:c r="K127" s="99"/>
      <x:c r="L127" s="99"/>
      <x:c r="M127" s="99"/>
      <x:c r="N127" s="99"/>
      <x:c r="O127" s="99"/>
      <x:c r="P127" s="99"/>
      <x:c r="Q127" s="99"/>
      <x:c r="R127" s="99"/>
      <x:c r="S127" s="99"/>
      <x:c r="T127" s="99"/>
      <x:c r="U127" s="99"/>
      <x:c r="V127" s="99"/>
      <x:c r="W127" s="99"/>
      <x:c r="X127" s="99"/>
      <x:c r="Y127" s="99"/>
      <x:c r="Z127" s="99"/>
    </x:row>
    <x:row r="128">
      <x:c r="A128" s="99"/>
      <x:c r="B128" s="99"/>
      <x:c r="C128" s="99"/>
      <x:c r="D128" s="99"/>
      <x:c r="E128" s="99"/>
      <x:c r="F128" s="99"/>
      <x:c r="G128" s="99"/>
      <x:c r="H128" s="99"/>
      <x:c r="I128" s="99"/>
      <x:c r="J128" s="99"/>
      <x:c r="K128" s="99"/>
      <x:c r="L128" s="99"/>
      <x:c r="M128" s="99"/>
      <x:c r="N128" s="99"/>
      <x:c r="O128" s="99"/>
      <x:c r="P128" s="99"/>
      <x:c r="Q128" s="99"/>
      <x:c r="R128" s="99"/>
      <x:c r="S128" s="99"/>
      <x:c r="T128" s="99"/>
      <x:c r="U128" s="99"/>
      <x:c r="V128" s="99"/>
      <x:c r="W128" s="99"/>
      <x:c r="X128" s="99"/>
      <x:c r="Y128" s="99"/>
      <x:c r="Z128" s="99"/>
    </x:row>
    <x:row r="129">
      <x:c r="A129" s="99"/>
      <x:c r="B129" s="99"/>
      <x:c r="C129" s="99"/>
      <x:c r="D129" s="99"/>
      <x:c r="E129" s="99"/>
      <x:c r="F129" s="99"/>
      <x:c r="G129" s="99"/>
      <x:c r="H129" s="99"/>
      <x:c r="I129" s="99"/>
      <x:c r="J129" s="99"/>
      <x:c r="K129" s="99"/>
      <x:c r="L129" s="99"/>
      <x:c r="M129" s="99"/>
      <x:c r="N129" s="99"/>
      <x:c r="O129" s="99"/>
      <x:c r="P129" s="99"/>
      <x:c r="Q129" s="99"/>
      <x:c r="R129" s="99"/>
      <x:c r="S129" s="99"/>
      <x:c r="T129" s="99"/>
      <x:c r="U129" s="99"/>
      <x:c r="V129" s="99"/>
      <x:c r="W129" s="99"/>
      <x:c r="X129" s="99"/>
      <x:c r="Y129" s="99"/>
      <x:c r="Z129" s="99"/>
    </x:row>
    <x:row r="130">
      <x:c r="A130" s="99"/>
      <x:c r="B130" s="99"/>
      <x:c r="C130" s="99"/>
      <x:c r="D130" s="99"/>
      <x:c r="E130" s="99"/>
      <x:c r="F130" s="99"/>
      <x:c r="G130" s="99"/>
      <x:c r="H130" s="99"/>
      <x:c r="I130" s="99"/>
      <x:c r="J130" s="99"/>
      <x:c r="K130" s="99"/>
      <x:c r="L130" s="99"/>
      <x:c r="M130" s="99"/>
      <x:c r="N130" s="99"/>
      <x:c r="O130" s="99"/>
      <x:c r="P130" s="99"/>
      <x:c r="Q130" s="99"/>
      <x:c r="R130" s="99"/>
      <x:c r="S130" s="99"/>
      <x:c r="T130" s="99"/>
      <x:c r="U130" s="99"/>
      <x:c r="V130" s="99"/>
      <x:c r="W130" s="99"/>
      <x:c r="X130" s="99"/>
      <x:c r="Y130" s="99"/>
      <x:c r="Z130" s="99"/>
    </x:row>
    <x:row r="131">
      <x:c r="A131" s="99"/>
      <x:c r="B131" s="99"/>
      <x:c r="C131" s="99"/>
      <x:c r="D131" s="99"/>
      <x:c r="E131" s="99"/>
      <x:c r="F131" s="99"/>
      <x:c r="G131" s="99"/>
      <x:c r="H131" s="99"/>
      <x:c r="I131" s="99"/>
      <x:c r="J131" s="99"/>
      <x:c r="K131" s="99"/>
      <x:c r="L131" s="99"/>
      <x:c r="M131" s="99"/>
      <x:c r="N131" s="99"/>
      <x:c r="O131" s="99"/>
      <x:c r="P131" s="99"/>
      <x:c r="Q131" s="99"/>
      <x:c r="R131" s="99"/>
      <x:c r="S131" s="99"/>
      <x:c r="T131" s="99"/>
      <x:c r="U131" s="99"/>
      <x:c r="V131" s="99"/>
      <x:c r="W131" s="99"/>
      <x:c r="X131" s="99"/>
      <x:c r="Y131" s="99"/>
      <x:c r="Z131" s="99"/>
    </x:row>
    <x:row r="132">
      <x:c r="A132" s="99"/>
      <x:c r="B132" s="99"/>
      <x:c r="C132" s="99"/>
      <x:c r="D132" s="99"/>
      <x:c r="E132" s="99"/>
      <x:c r="F132" s="99"/>
      <x:c r="G132" s="99"/>
      <x:c r="H132" s="99"/>
      <x:c r="I132" s="99"/>
      <x:c r="J132" s="99"/>
      <x:c r="K132" s="99"/>
      <x:c r="L132" s="99"/>
      <x:c r="M132" s="99"/>
      <x:c r="N132" s="99"/>
      <x:c r="O132" s="99"/>
      <x:c r="P132" s="99"/>
      <x:c r="Q132" s="99"/>
      <x:c r="R132" s="99"/>
      <x:c r="S132" s="99"/>
      <x:c r="T132" s="99"/>
      <x:c r="U132" s="99"/>
      <x:c r="V132" s="99"/>
      <x:c r="W132" s="99"/>
      <x:c r="X132" s="99"/>
      <x:c r="Y132" s="99"/>
      <x:c r="Z132" s="99"/>
    </x:row>
    <x:row r="133">
      <x:c r="A133" s="99"/>
      <x:c r="B133" s="99"/>
      <x:c r="C133" s="99"/>
      <x:c r="D133" s="99"/>
      <x:c r="E133" s="99"/>
      <x:c r="F133" s="99"/>
      <x:c r="G133" s="99"/>
      <x:c r="H133" s="99"/>
      <x:c r="I133" s="99"/>
      <x:c r="J133" s="99"/>
      <x:c r="K133" s="99"/>
      <x:c r="L133" s="99"/>
      <x:c r="M133" s="99"/>
      <x:c r="N133" s="99"/>
      <x:c r="O133" s="99"/>
      <x:c r="P133" s="99"/>
      <x:c r="Q133" s="99"/>
      <x:c r="R133" s="99"/>
      <x:c r="S133" s="99"/>
      <x:c r="T133" s="99"/>
      <x:c r="U133" s="99"/>
      <x:c r="V133" s="99"/>
      <x:c r="W133" s="99"/>
      <x:c r="X133" s="99"/>
      <x:c r="Y133" s="99"/>
      <x:c r="Z133" s="99"/>
    </x:row>
    <x:row r="134">
      <x:c r="A134" s="99"/>
      <x:c r="B134" s="99"/>
      <x:c r="C134" s="99"/>
      <x:c r="D134" s="99"/>
      <x:c r="E134" s="99"/>
      <x:c r="F134" s="99"/>
      <x:c r="G134" s="99"/>
      <x:c r="H134" s="99"/>
      <x:c r="I134" s="99"/>
      <x:c r="J134" s="99"/>
      <x:c r="K134" s="99"/>
      <x:c r="L134" s="99"/>
      <x:c r="M134" s="99"/>
      <x:c r="N134" s="99"/>
      <x:c r="O134" s="99"/>
      <x:c r="P134" s="99"/>
      <x:c r="Q134" s="99"/>
      <x:c r="R134" s="99"/>
      <x:c r="S134" s="99"/>
      <x:c r="T134" s="99"/>
      <x:c r="U134" s="99"/>
      <x:c r="V134" s="99"/>
      <x:c r="W134" s="99"/>
      <x:c r="X134" s="99"/>
      <x:c r="Y134" s="99"/>
      <x:c r="Z134" s="99"/>
    </x:row>
    <x:row r="135">
      <x:c r="A135" s="99"/>
      <x:c r="B135" s="99"/>
      <x:c r="C135" s="99"/>
      <x:c r="D135" s="99"/>
      <x:c r="E135" s="99"/>
      <x:c r="F135" s="99"/>
      <x:c r="G135" s="99"/>
      <x:c r="H135" s="99"/>
      <x:c r="I135" s="99"/>
      <x:c r="J135" s="99"/>
      <x:c r="K135" s="99"/>
      <x:c r="L135" s="99"/>
      <x:c r="M135" s="99"/>
      <x:c r="N135" s="99"/>
      <x:c r="O135" s="99"/>
      <x:c r="P135" s="99"/>
      <x:c r="Q135" s="99"/>
      <x:c r="R135" s="99"/>
      <x:c r="S135" s="99"/>
      <x:c r="T135" s="99"/>
      <x:c r="U135" s="99"/>
      <x:c r="V135" s="99"/>
      <x:c r="W135" s="99"/>
      <x:c r="X135" s="99"/>
      <x:c r="Y135" s="99"/>
      <x:c r="Z135" s="99"/>
    </x:row>
    <x:row r="136">
      <x:c r="A136" s="99"/>
      <x:c r="B136" s="99"/>
      <x:c r="C136" s="99"/>
      <x:c r="D136" s="99"/>
      <x:c r="E136" s="99"/>
      <x:c r="F136" s="99"/>
      <x:c r="G136" s="99"/>
      <x:c r="H136" s="99"/>
      <x:c r="I136" s="99"/>
      <x:c r="J136" s="99"/>
      <x:c r="K136" s="99"/>
      <x:c r="L136" s="99"/>
      <x:c r="M136" s="99"/>
      <x:c r="N136" s="99"/>
      <x:c r="O136" s="99"/>
      <x:c r="P136" s="99"/>
      <x:c r="Q136" s="99"/>
      <x:c r="R136" s="99"/>
      <x:c r="S136" s="99"/>
      <x:c r="T136" s="99"/>
      <x:c r="U136" s="99"/>
      <x:c r="V136" s="99"/>
      <x:c r="W136" s="99"/>
      <x:c r="X136" s="99"/>
      <x:c r="Y136" s="99"/>
      <x:c r="Z136" s="99"/>
    </x:row>
    <x:row r="137">
      <x:c r="A137" s="99"/>
      <x:c r="B137" s="99"/>
      <x:c r="C137" s="99"/>
      <x:c r="D137" s="99"/>
      <x:c r="E137" s="99"/>
      <x:c r="F137" s="99"/>
      <x:c r="G137" s="99"/>
      <x:c r="H137" s="99"/>
      <x:c r="I137" s="99"/>
      <x:c r="J137" s="99"/>
      <x:c r="K137" s="99"/>
      <x:c r="L137" s="99"/>
      <x:c r="M137" s="99"/>
      <x:c r="N137" s="99"/>
      <x:c r="O137" s="99"/>
      <x:c r="P137" s="99"/>
      <x:c r="Q137" s="99"/>
      <x:c r="R137" s="99"/>
      <x:c r="S137" s="99"/>
      <x:c r="T137" s="99"/>
      <x:c r="U137" s="99"/>
      <x:c r="V137" s="99"/>
      <x:c r="W137" s="99"/>
      <x:c r="X137" s="99"/>
      <x:c r="Y137" s="99"/>
      <x:c r="Z137" s="99"/>
    </x:row>
    <x:row r="138">
      <x:c r="A138" s="99"/>
      <x:c r="B138" s="99"/>
      <x:c r="C138" s="99"/>
      <x:c r="D138" s="99"/>
      <x:c r="E138" s="99"/>
      <x:c r="F138" s="99"/>
      <x:c r="G138" s="99"/>
      <x:c r="H138" s="99"/>
      <x:c r="I138" s="99"/>
      <x:c r="J138" s="99"/>
      <x:c r="K138" s="99"/>
      <x:c r="L138" s="99"/>
      <x:c r="M138" s="99"/>
      <x:c r="N138" s="99"/>
      <x:c r="O138" s="99"/>
      <x:c r="P138" s="99"/>
      <x:c r="Q138" s="99"/>
      <x:c r="R138" s="99"/>
      <x:c r="S138" s="99"/>
      <x:c r="T138" s="99"/>
      <x:c r="U138" s="99"/>
      <x:c r="V138" s="99"/>
      <x:c r="W138" s="99"/>
      <x:c r="X138" s="99"/>
      <x:c r="Y138" s="99"/>
      <x:c r="Z138" s="99"/>
    </x:row>
    <x:row r="139">
      <x:c r="A139" s="99"/>
      <x:c r="B139" s="99"/>
      <x:c r="C139" s="99"/>
      <x:c r="D139" s="99"/>
      <x:c r="E139" s="99"/>
      <x:c r="F139" s="99"/>
      <x:c r="G139" s="99"/>
      <x:c r="H139" s="99"/>
      <x:c r="I139" s="99"/>
      <x:c r="J139" s="99"/>
      <x:c r="K139" s="99"/>
      <x:c r="L139" s="99"/>
      <x:c r="M139" s="99"/>
      <x:c r="N139" s="99"/>
      <x:c r="O139" s="99"/>
      <x:c r="P139" s="99"/>
      <x:c r="Q139" s="99"/>
      <x:c r="R139" s="99"/>
      <x:c r="S139" s="99"/>
      <x:c r="T139" s="99"/>
      <x:c r="U139" s="99"/>
      <x:c r="V139" s="99"/>
      <x:c r="W139" s="99"/>
      <x:c r="X139" s="99"/>
      <x:c r="Y139" s="99"/>
      <x:c r="Z139" s="99"/>
    </x:row>
    <x:row r="140">
      <x:c r="A140" s="99"/>
      <x:c r="B140" s="99"/>
      <x:c r="C140" s="99"/>
      <x:c r="D140" s="99"/>
      <x:c r="E140" s="99"/>
      <x:c r="F140" s="99"/>
      <x:c r="G140" s="99"/>
      <x:c r="H140" s="99"/>
      <x:c r="I140" s="99"/>
      <x:c r="J140" s="99"/>
      <x:c r="K140" s="99"/>
      <x:c r="L140" s="99"/>
      <x:c r="M140" s="99"/>
      <x:c r="N140" s="99"/>
      <x:c r="O140" s="99"/>
      <x:c r="P140" s="99"/>
      <x:c r="Q140" s="99"/>
      <x:c r="R140" s="99"/>
      <x:c r="S140" s="99"/>
      <x:c r="T140" s="99"/>
      <x:c r="U140" s="99"/>
      <x:c r="V140" s="99"/>
      <x:c r="W140" s="99"/>
      <x:c r="X140" s="99"/>
      <x:c r="Y140" s="99"/>
      <x:c r="Z140" s="99"/>
    </x:row>
    <x:row r="141">
      <x:c r="A141" s="99"/>
      <x:c r="B141" s="99"/>
      <x:c r="C141" s="99"/>
      <x:c r="D141" s="99"/>
      <x:c r="E141" s="99"/>
      <x:c r="F141" s="99"/>
      <x:c r="G141" s="99"/>
      <x:c r="H141" s="99"/>
      <x:c r="I141" s="99"/>
      <x:c r="J141" s="99"/>
      <x:c r="K141" s="99"/>
      <x:c r="L141" s="99"/>
      <x:c r="M141" s="99"/>
      <x:c r="N141" s="99"/>
      <x:c r="O141" s="99"/>
      <x:c r="P141" s="99"/>
      <x:c r="Q141" s="99"/>
      <x:c r="R141" s="99"/>
      <x:c r="S141" s="99"/>
      <x:c r="T141" s="99"/>
      <x:c r="U141" s="99"/>
      <x:c r="V141" s="99"/>
      <x:c r="W141" s="99"/>
      <x:c r="X141" s="99"/>
      <x:c r="Y141" s="99"/>
      <x:c r="Z141" s="99"/>
    </x:row>
    <x:row r="142">
      <x:c r="A142" s="99"/>
      <x:c r="B142" s="99"/>
      <x:c r="C142" s="99"/>
      <x:c r="D142" s="99"/>
      <x:c r="E142" s="99"/>
      <x:c r="F142" s="99"/>
      <x:c r="G142" s="99"/>
      <x:c r="H142" s="99"/>
      <x:c r="I142" s="99"/>
      <x:c r="J142" s="99"/>
      <x:c r="K142" s="99"/>
      <x:c r="L142" s="99"/>
      <x:c r="M142" s="99"/>
      <x:c r="N142" s="99"/>
      <x:c r="O142" s="99"/>
      <x:c r="P142" s="99"/>
      <x:c r="Q142" s="99"/>
      <x:c r="R142" s="99"/>
      <x:c r="S142" s="99"/>
      <x:c r="T142" s="99"/>
      <x:c r="U142" s="99"/>
      <x:c r="V142" s="99"/>
      <x:c r="W142" s="99"/>
      <x:c r="X142" s="99"/>
      <x:c r="Y142" s="99"/>
      <x:c r="Z142" s="99"/>
    </x:row>
    <x:row r="143">
      <x:c r="A143" s="99"/>
      <x:c r="B143" s="99"/>
      <x:c r="C143" s="99"/>
      <x:c r="D143" s="99"/>
      <x:c r="E143" s="99"/>
      <x:c r="F143" s="99"/>
      <x:c r="G143" s="99"/>
      <x:c r="H143" s="99"/>
      <x:c r="I143" s="99"/>
      <x:c r="J143" s="99"/>
      <x:c r="K143" s="99"/>
      <x:c r="L143" s="99"/>
      <x:c r="M143" s="99"/>
      <x:c r="N143" s="99"/>
      <x:c r="O143" s="99"/>
      <x:c r="P143" s="99"/>
      <x:c r="Q143" s="99"/>
      <x:c r="R143" s="99"/>
      <x:c r="S143" s="99"/>
      <x:c r="T143" s="99"/>
      <x:c r="U143" s="99"/>
      <x:c r="V143" s="99"/>
      <x:c r="W143" s="99"/>
      <x:c r="X143" s="99"/>
      <x:c r="Y143" s="99"/>
      <x:c r="Z143" s="99"/>
    </x:row>
    <x:row r="144">
      <x:c r="A144" s="99"/>
      <x:c r="B144" s="99"/>
      <x:c r="C144" s="99"/>
      <x:c r="D144" s="99"/>
      <x:c r="E144" s="99"/>
      <x:c r="F144" s="99"/>
      <x:c r="G144" s="99"/>
      <x:c r="H144" s="99"/>
      <x:c r="I144" s="99"/>
      <x:c r="J144" s="99"/>
      <x:c r="K144" s="99"/>
      <x:c r="L144" s="99"/>
      <x:c r="M144" s="99"/>
      <x:c r="N144" s="99"/>
      <x:c r="O144" s="99"/>
      <x:c r="P144" s="99"/>
      <x:c r="Q144" s="99"/>
      <x:c r="R144" s="99"/>
      <x:c r="S144" s="99"/>
      <x:c r="T144" s="99"/>
      <x:c r="U144" s="99"/>
      <x:c r="V144" s="99"/>
      <x:c r="W144" s="99"/>
      <x:c r="X144" s="99"/>
      <x:c r="Y144" s="99"/>
      <x:c r="Z144" s="99"/>
    </x:row>
    <x:row r="145">
      <x:c r="A145" s="99"/>
      <x:c r="B145" s="99"/>
      <x:c r="C145" s="99"/>
      <x:c r="D145" s="99"/>
      <x:c r="E145" s="99"/>
      <x:c r="F145" s="99"/>
      <x:c r="G145" s="99"/>
      <x:c r="H145" s="99"/>
      <x:c r="I145" s="99"/>
      <x:c r="J145" s="99"/>
      <x:c r="K145" s="99"/>
      <x:c r="L145" s="99"/>
      <x:c r="M145" s="99"/>
      <x:c r="N145" s="99"/>
      <x:c r="O145" s="99"/>
      <x:c r="P145" s="99"/>
      <x:c r="Q145" s="99"/>
      <x:c r="R145" s="99"/>
      <x:c r="S145" s="99"/>
      <x:c r="T145" s="99"/>
      <x:c r="U145" s="99"/>
      <x:c r="V145" s="99"/>
      <x:c r="W145" s="99"/>
      <x:c r="X145" s="99"/>
      <x:c r="Y145" s="99"/>
      <x:c r="Z145" s="99"/>
    </x:row>
    <x:row r="146">
      <x:c r="A146" s="99"/>
      <x:c r="B146" s="99"/>
      <x:c r="C146" s="99"/>
      <x:c r="D146" s="99"/>
      <x:c r="E146" s="99"/>
      <x:c r="F146" s="99"/>
      <x:c r="G146" s="99"/>
      <x:c r="H146" s="99"/>
      <x:c r="I146" s="99"/>
      <x:c r="J146" s="99"/>
      <x:c r="K146" s="99"/>
      <x:c r="L146" s="99"/>
      <x:c r="M146" s="99"/>
      <x:c r="N146" s="99"/>
      <x:c r="O146" s="99"/>
      <x:c r="P146" s="99"/>
      <x:c r="Q146" s="99"/>
      <x:c r="R146" s="99"/>
      <x:c r="S146" s="99"/>
      <x:c r="T146" s="99"/>
      <x:c r="U146" s="99"/>
      <x:c r="V146" s="99"/>
      <x:c r="W146" s="99"/>
      <x:c r="X146" s="99"/>
      <x:c r="Y146" s="99"/>
      <x:c r="Z146" s="99"/>
    </x:row>
    <x:row r="147">
      <x:c r="A147" s="99"/>
      <x:c r="B147" s="99"/>
      <x:c r="C147" s="99"/>
      <x:c r="D147" s="99"/>
      <x:c r="E147" s="99"/>
      <x:c r="F147" s="99"/>
      <x:c r="G147" s="99"/>
      <x:c r="H147" s="99"/>
      <x:c r="I147" s="99"/>
      <x:c r="J147" s="99"/>
      <x:c r="K147" s="99"/>
      <x:c r="L147" s="99"/>
      <x:c r="M147" s="99"/>
      <x:c r="N147" s="99"/>
      <x:c r="O147" s="99"/>
      <x:c r="P147" s="99"/>
      <x:c r="Q147" s="99"/>
      <x:c r="R147" s="99"/>
      <x:c r="S147" s="99"/>
      <x:c r="T147" s="99"/>
      <x:c r="U147" s="99"/>
      <x:c r="V147" s="99"/>
      <x:c r="W147" s="99"/>
      <x:c r="X147" s="99"/>
      <x:c r="Y147" s="99"/>
      <x:c r="Z147" s="99"/>
    </x:row>
    <x:row r="148">
      <x:c r="A148" s="99"/>
      <x:c r="B148" s="99"/>
      <x:c r="C148" s="99"/>
      <x:c r="D148" s="99"/>
      <x:c r="E148" s="99"/>
      <x:c r="F148" s="99"/>
      <x:c r="G148" s="99"/>
      <x:c r="H148" s="99"/>
      <x:c r="I148" s="99"/>
      <x:c r="J148" s="99"/>
      <x:c r="K148" s="99"/>
      <x:c r="L148" s="99"/>
      <x:c r="M148" s="99"/>
      <x:c r="N148" s="99"/>
      <x:c r="O148" s="99"/>
      <x:c r="P148" s="99"/>
      <x:c r="Q148" s="99"/>
      <x:c r="R148" s="99"/>
      <x:c r="S148" s="99"/>
      <x:c r="T148" s="99"/>
      <x:c r="U148" s="99"/>
      <x:c r="V148" s="99"/>
      <x:c r="W148" s="99"/>
      <x:c r="X148" s="99"/>
      <x:c r="Y148" s="99"/>
      <x:c r="Z148" s="99"/>
    </x:row>
    <x:row r="149">
      <x:c r="A149" s="99"/>
      <x:c r="B149" s="99"/>
      <x:c r="C149" s="99"/>
      <x:c r="D149" s="99"/>
      <x:c r="E149" s="99"/>
      <x:c r="F149" s="99"/>
      <x:c r="G149" s="99"/>
      <x:c r="H149" s="99"/>
      <x:c r="I149" s="99"/>
      <x:c r="J149" s="99"/>
      <x:c r="K149" s="99"/>
      <x:c r="L149" s="99"/>
      <x:c r="M149" s="99"/>
      <x:c r="N149" s="99"/>
      <x:c r="O149" s="99"/>
      <x:c r="P149" s="99"/>
      <x:c r="Q149" s="99"/>
      <x:c r="R149" s="99"/>
      <x:c r="S149" s="99"/>
      <x:c r="T149" s="99"/>
      <x:c r="U149" s="99"/>
      <x:c r="V149" s="99"/>
      <x:c r="W149" s="99"/>
      <x:c r="X149" s="99"/>
      <x:c r="Y149" s="99"/>
      <x:c r="Z149" s="99"/>
    </x:row>
    <x:row r="150">
      <x:c r="A150" s="99"/>
      <x:c r="B150" s="99"/>
      <x:c r="C150" s="99"/>
      <x:c r="D150" s="99"/>
      <x:c r="E150" s="99"/>
      <x:c r="F150" s="99"/>
      <x:c r="G150" s="99"/>
      <x:c r="H150" s="99"/>
      <x:c r="I150" s="99"/>
      <x:c r="J150" s="99"/>
      <x:c r="K150" s="99"/>
      <x:c r="L150" s="99"/>
      <x:c r="M150" s="99"/>
      <x:c r="N150" s="99"/>
      <x:c r="O150" s="99"/>
      <x:c r="P150" s="99"/>
      <x:c r="Q150" s="99"/>
      <x:c r="R150" s="99"/>
      <x:c r="S150" s="99"/>
      <x:c r="T150" s="99"/>
      <x:c r="U150" s="99"/>
      <x:c r="V150" s="99"/>
      <x:c r="W150" s="99"/>
      <x:c r="X150" s="99"/>
      <x:c r="Y150" s="99"/>
      <x:c r="Z150" s="99"/>
    </x:row>
    <x:row r="151">
      <x:c r="A151" s="99"/>
      <x:c r="B151" s="99"/>
      <x:c r="C151" s="99"/>
      <x:c r="D151" s="99"/>
      <x:c r="E151" s="99"/>
      <x:c r="F151" s="99"/>
      <x:c r="G151" s="99"/>
      <x:c r="H151" s="99"/>
      <x:c r="I151" s="99"/>
      <x:c r="J151" s="99"/>
      <x:c r="K151" s="99"/>
      <x:c r="L151" s="99"/>
      <x:c r="M151" s="99"/>
      <x:c r="N151" s="99"/>
      <x:c r="O151" s="99"/>
      <x:c r="P151" s="99"/>
      <x:c r="Q151" s="99"/>
      <x:c r="R151" s="99"/>
      <x:c r="S151" s="99"/>
      <x:c r="T151" s="99"/>
      <x:c r="U151" s="99"/>
      <x:c r="V151" s="99"/>
      <x:c r="W151" s="99"/>
      <x:c r="X151" s="99"/>
      <x:c r="Y151" s="99"/>
      <x:c r="Z151" s="99"/>
    </x:row>
    <x:row r="152">
      <x:c r="A152" s="99"/>
      <x:c r="B152" s="99"/>
      <x:c r="C152" s="99"/>
      <x:c r="D152" s="99"/>
      <x:c r="E152" s="99"/>
      <x:c r="F152" s="99"/>
      <x:c r="G152" s="99"/>
      <x:c r="H152" s="99"/>
      <x:c r="I152" s="99"/>
      <x:c r="J152" s="99"/>
      <x:c r="K152" s="99"/>
      <x:c r="L152" s="99"/>
      <x:c r="M152" s="99"/>
      <x:c r="N152" s="99"/>
      <x:c r="O152" s="99"/>
      <x:c r="P152" s="99"/>
      <x:c r="Q152" s="99"/>
      <x:c r="R152" s="99"/>
      <x:c r="S152" s="99"/>
      <x:c r="T152" s="99"/>
      <x:c r="U152" s="99"/>
      <x:c r="V152" s="99"/>
      <x:c r="W152" s="99"/>
      <x:c r="X152" s="99"/>
      <x:c r="Y152" s="99"/>
      <x:c r="Z152" s="99"/>
    </x:row>
    <x:row r="153">
      <x:c r="A153" s="99"/>
      <x:c r="B153" s="99"/>
      <x:c r="C153" s="99"/>
      <x:c r="D153" s="99"/>
      <x:c r="E153" s="99"/>
      <x:c r="F153" s="99"/>
      <x:c r="G153" s="99"/>
      <x:c r="H153" s="99"/>
      <x:c r="I153" s="99"/>
      <x:c r="J153" s="99"/>
      <x:c r="K153" s="99"/>
      <x:c r="L153" s="99"/>
      <x:c r="M153" s="99"/>
      <x:c r="N153" s="99"/>
      <x:c r="O153" s="99"/>
      <x:c r="P153" s="99"/>
      <x:c r="Q153" s="99"/>
      <x:c r="R153" s="99"/>
      <x:c r="S153" s="99"/>
      <x:c r="T153" s="99"/>
      <x:c r="U153" s="99"/>
      <x:c r="V153" s="99"/>
      <x:c r="W153" s="99"/>
      <x:c r="X153" s="99"/>
      <x:c r="Y153" s="99"/>
      <x:c r="Z153" s="99"/>
    </x:row>
    <x:row r="154">
      <x:c r="A154" s="99"/>
      <x:c r="B154" s="99"/>
      <x:c r="C154" s="99"/>
      <x:c r="D154" s="99"/>
      <x:c r="E154" s="99"/>
      <x:c r="F154" s="99"/>
      <x:c r="G154" s="99"/>
      <x:c r="H154" s="99"/>
      <x:c r="I154" s="99"/>
      <x:c r="J154" s="99"/>
      <x:c r="K154" s="99"/>
      <x:c r="L154" s="99"/>
      <x:c r="M154" s="99"/>
      <x:c r="N154" s="99"/>
      <x:c r="O154" s="99"/>
      <x:c r="P154" s="99"/>
      <x:c r="Q154" s="99"/>
      <x:c r="R154" s="99"/>
      <x:c r="S154" s="99"/>
      <x:c r="T154" s="99"/>
      <x:c r="U154" s="99"/>
      <x:c r="V154" s="99"/>
      <x:c r="W154" s="99"/>
      <x:c r="X154" s="99"/>
      <x:c r="Y154" s="99"/>
      <x:c r="Z154" s="99"/>
    </x:row>
    <x:row r="155">
      <x:c r="A155" s="99"/>
      <x:c r="B155" s="99"/>
      <x:c r="C155" s="99"/>
      <x:c r="D155" s="99"/>
      <x:c r="E155" s="99"/>
      <x:c r="F155" s="99"/>
      <x:c r="G155" s="99"/>
      <x:c r="H155" s="99"/>
      <x:c r="I155" s="99"/>
      <x:c r="J155" s="99"/>
      <x:c r="K155" s="99"/>
      <x:c r="L155" s="99"/>
      <x:c r="M155" s="99"/>
      <x:c r="N155" s="99"/>
      <x:c r="O155" s="99"/>
      <x:c r="P155" s="99"/>
      <x:c r="Q155" s="99"/>
      <x:c r="R155" s="99"/>
      <x:c r="S155" s="99"/>
      <x:c r="T155" s="99"/>
      <x:c r="U155" s="99"/>
      <x:c r="V155" s="99"/>
      <x:c r="W155" s="99"/>
      <x:c r="X155" s="99"/>
      <x:c r="Y155" s="99"/>
      <x:c r="Z155" s="99"/>
    </x:row>
    <x:row r="156">
      <x:c r="A156" s="99"/>
      <x:c r="B156" s="99"/>
      <x:c r="C156" s="99"/>
      <x:c r="D156" s="99"/>
      <x:c r="E156" s="99"/>
      <x:c r="F156" s="99"/>
      <x:c r="G156" s="99"/>
      <x:c r="H156" s="99"/>
      <x:c r="I156" s="99"/>
      <x:c r="J156" s="99"/>
      <x:c r="K156" s="99"/>
      <x:c r="L156" s="99"/>
      <x:c r="M156" s="99"/>
      <x:c r="N156" s="99"/>
      <x:c r="O156" s="99"/>
      <x:c r="P156" s="99"/>
      <x:c r="Q156" s="99"/>
      <x:c r="R156" s="99"/>
      <x:c r="S156" s="99"/>
      <x:c r="T156" s="99"/>
      <x:c r="U156" s="99"/>
      <x:c r="V156" s="99"/>
      <x:c r="W156" s="99"/>
      <x:c r="X156" s="99"/>
      <x:c r="Y156" s="99"/>
      <x:c r="Z156" s="99"/>
    </x:row>
    <x:row r="157">
      <x:c r="A157" s="99"/>
      <x:c r="B157" s="99"/>
      <x:c r="C157" s="99"/>
      <x:c r="D157" s="99"/>
      <x:c r="E157" s="99"/>
      <x:c r="F157" s="99"/>
      <x:c r="G157" s="99"/>
      <x:c r="H157" s="99"/>
      <x:c r="I157" s="99"/>
      <x:c r="J157" s="99"/>
      <x:c r="K157" s="99"/>
      <x:c r="L157" s="99"/>
      <x:c r="M157" s="99"/>
      <x:c r="N157" s="99"/>
      <x:c r="O157" s="99"/>
      <x:c r="P157" s="99"/>
      <x:c r="Q157" s="99"/>
      <x:c r="R157" s="99"/>
      <x:c r="S157" s="99"/>
      <x:c r="T157" s="99"/>
      <x:c r="U157" s="99"/>
      <x:c r="V157" s="99"/>
      <x:c r="W157" s="99"/>
      <x:c r="X157" s="99"/>
      <x:c r="Y157" s="99"/>
      <x:c r="Z157" s="99"/>
    </x:row>
    <x:row r="158">
      <x:c r="A158" s="99"/>
      <x:c r="B158" s="99"/>
      <x:c r="C158" s="99"/>
      <x:c r="D158" s="99"/>
      <x:c r="E158" s="99"/>
      <x:c r="F158" s="99"/>
      <x:c r="G158" s="99"/>
      <x:c r="H158" s="99"/>
      <x:c r="I158" s="99"/>
      <x:c r="J158" s="99"/>
      <x:c r="K158" s="99"/>
      <x:c r="L158" s="99"/>
      <x:c r="M158" s="99"/>
      <x:c r="N158" s="99"/>
      <x:c r="O158" s="99"/>
      <x:c r="P158" s="99"/>
      <x:c r="Q158" s="99"/>
      <x:c r="R158" s="99"/>
      <x:c r="S158" s="99"/>
      <x:c r="T158" s="99"/>
      <x:c r="U158" s="99"/>
      <x:c r="V158" s="99"/>
      <x:c r="W158" s="99"/>
      <x:c r="X158" s="99"/>
      <x:c r="Y158" s="99"/>
      <x:c r="Z158" s="99"/>
    </x:row>
    <x:row r="159">
      <x:c r="A159" s="99"/>
      <x:c r="B159" s="99"/>
      <x:c r="C159" s="99"/>
      <x:c r="D159" s="99"/>
      <x:c r="E159" s="99"/>
      <x:c r="F159" s="99"/>
      <x:c r="G159" s="99"/>
      <x:c r="H159" s="99"/>
      <x:c r="I159" s="99"/>
      <x:c r="J159" s="99"/>
      <x:c r="K159" s="99"/>
      <x:c r="L159" s="99"/>
      <x:c r="M159" s="99"/>
      <x:c r="N159" s="99"/>
      <x:c r="O159" s="99"/>
      <x:c r="P159" s="99"/>
      <x:c r="Q159" s="99"/>
      <x:c r="R159" s="99"/>
      <x:c r="S159" s="99"/>
      <x:c r="T159" s="99"/>
      <x:c r="U159" s="99"/>
      <x:c r="V159" s="99"/>
      <x:c r="W159" s="99"/>
      <x:c r="X159" s="99"/>
      <x:c r="Y159" s="99"/>
      <x:c r="Z159" s="99"/>
    </x:row>
    <x:row r="160">
      <x:c r="A160" s="99"/>
      <x:c r="B160" s="99"/>
      <x:c r="C160" s="99"/>
      <x:c r="D160" s="99"/>
      <x:c r="E160" s="99"/>
      <x:c r="F160" s="99"/>
      <x:c r="G160" s="99"/>
      <x:c r="H160" s="99"/>
      <x:c r="I160" s="99"/>
      <x:c r="J160" s="99"/>
      <x:c r="K160" s="99"/>
      <x:c r="L160" s="99"/>
      <x:c r="M160" s="99"/>
      <x:c r="N160" s="99"/>
      <x:c r="O160" s="99"/>
      <x:c r="P160" s="99"/>
      <x:c r="Q160" s="99"/>
      <x:c r="R160" s="99"/>
      <x:c r="S160" s="99"/>
      <x:c r="T160" s="99"/>
      <x:c r="U160" s="99"/>
      <x:c r="V160" s="99"/>
      <x:c r="W160" s="99"/>
      <x:c r="X160" s="99"/>
      <x:c r="Y160" s="99"/>
      <x:c r="Z160" s="99"/>
    </x:row>
    <x:row r="161">
      <x:c r="A161" s="99"/>
      <x:c r="B161" s="99"/>
      <x:c r="C161" s="99"/>
      <x:c r="D161" s="99"/>
      <x:c r="E161" s="99"/>
      <x:c r="F161" s="99"/>
      <x:c r="G161" s="99"/>
      <x:c r="H161" s="99"/>
      <x:c r="I161" s="99"/>
      <x:c r="J161" s="99"/>
      <x:c r="K161" s="99"/>
      <x:c r="L161" s="99"/>
      <x:c r="M161" s="99"/>
      <x:c r="N161" s="99"/>
      <x:c r="O161" s="99"/>
      <x:c r="P161" s="99"/>
      <x:c r="Q161" s="99"/>
      <x:c r="R161" s="99"/>
      <x:c r="S161" s="99"/>
      <x:c r="T161" s="99"/>
      <x:c r="U161" s="99"/>
      <x:c r="V161" s="99"/>
      <x:c r="W161" s="99"/>
      <x:c r="X161" s="99"/>
      <x:c r="Y161" s="99"/>
      <x:c r="Z161" s="99"/>
    </x:row>
    <x:row r="162">
      <x:c r="A162" s="99"/>
      <x:c r="B162" s="99"/>
      <x:c r="C162" s="99"/>
      <x:c r="D162" s="99"/>
      <x:c r="E162" s="99"/>
      <x:c r="F162" s="99"/>
      <x:c r="G162" s="99"/>
      <x:c r="H162" s="99"/>
      <x:c r="I162" s="99"/>
      <x:c r="J162" s="99"/>
      <x:c r="K162" s="99"/>
      <x:c r="L162" s="99"/>
      <x:c r="M162" s="99"/>
      <x:c r="N162" s="99"/>
      <x:c r="O162" s="99"/>
      <x:c r="P162" s="99"/>
      <x:c r="Q162" s="99"/>
      <x:c r="R162" s="99"/>
      <x:c r="S162" s="99"/>
      <x:c r="T162" s="99"/>
      <x:c r="U162" s="99"/>
      <x:c r="V162" s="99"/>
      <x:c r="W162" s="99"/>
      <x:c r="X162" s="99"/>
      <x:c r="Y162" s="99"/>
      <x:c r="Z162" s="99"/>
    </x:row>
    <x:row r="163">
      <x:c r="A163" s="99"/>
      <x:c r="B163" s="99"/>
      <x:c r="C163" s="99"/>
      <x:c r="D163" s="99"/>
      <x:c r="E163" s="99"/>
      <x:c r="F163" s="99"/>
      <x:c r="G163" s="99"/>
      <x:c r="H163" s="99"/>
      <x:c r="I163" s="99"/>
      <x:c r="J163" s="99"/>
      <x:c r="K163" s="99"/>
      <x:c r="L163" s="99"/>
      <x:c r="M163" s="99"/>
      <x:c r="N163" s="99"/>
      <x:c r="O163" s="99"/>
      <x:c r="P163" s="99"/>
      <x:c r="Q163" s="99"/>
      <x:c r="R163" s="99"/>
      <x:c r="S163" s="99"/>
      <x:c r="T163" s="99"/>
      <x:c r="U163" s="99"/>
      <x:c r="V163" s="99"/>
      <x:c r="W163" s="99"/>
      <x:c r="X163" s="99"/>
      <x:c r="Y163" s="99"/>
      <x:c r="Z163" s="99"/>
    </x:row>
    <x:row r="164">
      <x:c r="A164" s="99"/>
      <x:c r="B164" s="99"/>
      <x:c r="C164" s="99"/>
      <x:c r="D164" s="99"/>
      <x:c r="E164" s="99"/>
      <x:c r="F164" s="99"/>
      <x:c r="G164" s="99"/>
      <x:c r="H164" s="99"/>
      <x:c r="I164" s="99"/>
      <x:c r="J164" s="99"/>
      <x:c r="K164" s="99"/>
      <x:c r="L164" s="99"/>
      <x:c r="M164" s="99"/>
      <x:c r="N164" s="99"/>
      <x:c r="O164" s="99"/>
      <x:c r="P164" s="99"/>
      <x:c r="Q164" s="99"/>
      <x:c r="R164" s="99"/>
      <x:c r="S164" s="99"/>
      <x:c r="T164" s="99"/>
      <x:c r="U164" s="99"/>
      <x:c r="V164" s="99"/>
      <x:c r="W164" s="99"/>
      <x:c r="X164" s="99"/>
      <x:c r="Y164" s="99"/>
      <x:c r="Z164" s="99"/>
    </x:row>
    <x:row r="165">
      <x:c r="A165" s="99"/>
      <x:c r="B165" s="99"/>
      <x:c r="C165" s="99"/>
      <x:c r="D165" s="99"/>
      <x:c r="E165" s="99"/>
      <x:c r="F165" s="99"/>
      <x:c r="G165" s="99"/>
      <x:c r="H165" s="99"/>
      <x:c r="I165" s="99"/>
      <x:c r="J165" s="99"/>
      <x:c r="K165" s="99"/>
      <x:c r="L165" s="99"/>
      <x:c r="M165" s="99"/>
      <x:c r="N165" s="99"/>
      <x:c r="O165" s="99"/>
      <x:c r="P165" s="99"/>
      <x:c r="Q165" s="99"/>
      <x:c r="R165" s="99"/>
      <x:c r="S165" s="99"/>
      <x:c r="T165" s="99"/>
      <x:c r="U165" s="99"/>
      <x:c r="V165" s="99"/>
      <x:c r="W165" s="99"/>
      <x:c r="X165" s="99"/>
      <x:c r="Y165" s="99"/>
      <x:c r="Z165" s="99"/>
    </x:row>
    <x:row r="166">
      <x:c r="A166" s="99"/>
      <x:c r="B166" s="99"/>
      <x:c r="C166" s="99"/>
      <x:c r="D166" s="99"/>
      <x:c r="E166" s="99"/>
      <x:c r="F166" s="99"/>
      <x:c r="G166" s="99"/>
      <x:c r="H166" s="99"/>
      <x:c r="I166" s="99"/>
      <x:c r="J166" s="99"/>
      <x:c r="K166" s="99"/>
      <x:c r="L166" s="99"/>
      <x:c r="M166" s="99"/>
      <x:c r="N166" s="99"/>
      <x:c r="O166" s="99"/>
      <x:c r="P166" s="99"/>
      <x:c r="Q166" s="99"/>
      <x:c r="R166" s="99"/>
      <x:c r="S166" s="99"/>
      <x:c r="T166" s="99"/>
      <x:c r="U166" s="99"/>
      <x:c r="V166" s="99"/>
      <x:c r="W166" s="99"/>
      <x:c r="X166" s="99"/>
      <x:c r="Y166" s="99"/>
      <x:c r="Z166" s="99"/>
    </x:row>
    <x:row r="167">
      <x:c r="A167" s="99"/>
      <x:c r="B167" s="99"/>
      <x:c r="C167" s="99"/>
      <x:c r="D167" s="99"/>
      <x:c r="E167" s="99"/>
      <x:c r="F167" s="99"/>
      <x:c r="G167" s="99"/>
      <x:c r="H167" s="99"/>
      <x:c r="I167" s="99"/>
      <x:c r="J167" s="99"/>
      <x:c r="K167" s="99"/>
      <x:c r="L167" s="99"/>
      <x:c r="M167" s="99"/>
      <x:c r="N167" s="99"/>
      <x:c r="O167" s="99"/>
      <x:c r="P167" s="99"/>
      <x:c r="Q167" s="99"/>
      <x:c r="R167" s="99"/>
      <x:c r="S167" s="99"/>
      <x:c r="T167" s="99"/>
      <x:c r="U167" s="99"/>
      <x:c r="V167" s="99"/>
      <x:c r="W167" s="99"/>
      <x:c r="X167" s="99"/>
      <x:c r="Y167" s="99"/>
      <x:c r="Z167" s="99"/>
    </x:row>
    <x:row r="168">
      <x:c r="A168" s="99"/>
      <x:c r="B168" s="99"/>
      <x:c r="C168" s="99"/>
      <x:c r="D168" s="99"/>
      <x:c r="E168" s="99"/>
      <x:c r="F168" s="99"/>
      <x:c r="G168" s="99"/>
      <x:c r="H168" s="99"/>
      <x:c r="I168" s="99"/>
      <x:c r="J168" s="99"/>
      <x:c r="K168" s="99"/>
      <x:c r="L168" s="99"/>
      <x:c r="M168" s="99"/>
      <x:c r="N168" s="99"/>
      <x:c r="O168" s="99"/>
      <x:c r="P168" s="99"/>
      <x:c r="Q168" s="99"/>
      <x:c r="R168" s="99"/>
      <x:c r="S168" s="99"/>
      <x:c r="T168" s="99"/>
      <x:c r="U168" s="99"/>
      <x:c r="V168" s="99"/>
      <x:c r="W168" s="99"/>
      <x:c r="X168" s="99"/>
      <x:c r="Y168" s="99"/>
      <x:c r="Z168" s="99"/>
    </x:row>
    <x:row r="169">
      <x:c r="A169" s="99"/>
      <x:c r="B169" s="99"/>
      <x:c r="C169" s="99"/>
      <x:c r="D169" s="99"/>
      <x:c r="E169" s="99"/>
      <x:c r="F169" s="99"/>
      <x:c r="G169" s="99"/>
      <x:c r="H169" s="99"/>
      <x:c r="I169" s="99"/>
      <x:c r="J169" s="99"/>
      <x:c r="K169" s="99"/>
      <x:c r="L169" s="99"/>
      <x:c r="M169" s="99"/>
      <x:c r="N169" s="99"/>
      <x:c r="O169" s="99"/>
      <x:c r="P169" s="99"/>
      <x:c r="Q169" s="99"/>
      <x:c r="R169" s="99"/>
      <x:c r="S169" s="99"/>
      <x:c r="T169" s="99"/>
      <x:c r="U169" s="99"/>
      <x:c r="V169" s="99"/>
      <x:c r="W169" s="99"/>
      <x:c r="X169" s="99"/>
      <x:c r="Y169" s="99"/>
      <x:c r="Z169" s="99"/>
    </x:row>
    <x:row r="170">
      <x:c r="A170" s="99"/>
      <x:c r="B170" s="99"/>
      <x:c r="C170" s="99"/>
      <x:c r="D170" s="99"/>
      <x:c r="E170" s="99"/>
      <x:c r="F170" s="99"/>
      <x:c r="G170" s="99"/>
      <x:c r="H170" s="99"/>
      <x:c r="I170" s="99"/>
      <x:c r="J170" s="99"/>
      <x:c r="K170" s="99"/>
      <x:c r="L170" s="99"/>
      <x:c r="M170" s="99"/>
      <x:c r="N170" s="99"/>
      <x:c r="O170" s="99"/>
      <x:c r="P170" s="99"/>
      <x:c r="Q170" s="99"/>
      <x:c r="R170" s="99"/>
      <x:c r="S170" s="99"/>
      <x:c r="T170" s="99"/>
      <x:c r="U170" s="99"/>
      <x:c r="V170" s="99"/>
      <x:c r="W170" s="99"/>
      <x:c r="X170" s="99"/>
      <x:c r="Y170" s="99"/>
      <x:c r="Z170" s="99"/>
    </x:row>
    <x:row r="171">
      <x:c r="A171" s="99"/>
      <x:c r="B171" s="99"/>
      <x:c r="C171" s="99"/>
      <x:c r="D171" s="99"/>
      <x:c r="E171" s="99"/>
      <x:c r="F171" s="99"/>
      <x:c r="G171" s="99"/>
      <x:c r="H171" s="99"/>
      <x:c r="I171" s="99"/>
      <x:c r="J171" s="99"/>
      <x:c r="K171" s="99"/>
      <x:c r="L171" s="99"/>
      <x:c r="M171" s="99"/>
      <x:c r="N171" s="99"/>
      <x:c r="O171" s="99"/>
      <x:c r="P171" s="99"/>
      <x:c r="Q171" s="99"/>
      <x:c r="R171" s="99"/>
      <x:c r="S171" s="99"/>
      <x:c r="T171" s="99"/>
      <x:c r="U171" s="99"/>
      <x:c r="V171" s="99"/>
      <x:c r="W171" s="99"/>
      <x:c r="X171" s="99"/>
      <x:c r="Y171" s="99"/>
      <x:c r="Z171" s="99"/>
    </x:row>
    <x:row r="172">
      <x:c r="A172" s="99"/>
      <x:c r="B172" s="99"/>
      <x:c r="C172" s="99"/>
      <x:c r="D172" s="99"/>
      <x:c r="E172" s="99"/>
      <x:c r="F172" s="99"/>
      <x:c r="G172" s="99"/>
      <x:c r="H172" s="99"/>
      <x:c r="I172" s="99"/>
      <x:c r="J172" s="99"/>
      <x:c r="K172" s="99"/>
      <x:c r="L172" s="99"/>
      <x:c r="M172" s="99"/>
      <x:c r="N172" s="99"/>
      <x:c r="O172" s="99"/>
      <x:c r="P172" s="99"/>
      <x:c r="Q172" s="99"/>
      <x:c r="R172" s="99"/>
      <x:c r="S172" s="99"/>
      <x:c r="T172" s="99"/>
      <x:c r="U172" s="99"/>
      <x:c r="V172" s="99"/>
      <x:c r="W172" s="99"/>
      <x:c r="X172" s="99"/>
      <x:c r="Y172" s="99"/>
      <x:c r="Z172" s="99"/>
    </x:row>
    <x:row r="173">
      <x:c r="A173" s="99"/>
      <x:c r="B173" s="99"/>
      <x:c r="C173" s="99"/>
      <x:c r="D173" s="99"/>
      <x:c r="E173" s="99"/>
      <x:c r="F173" s="99"/>
      <x:c r="G173" s="99"/>
      <x:c r="H173" s="99"/>
      <x:c r="I173" s="99"/>
      <x:c r="J173" s="99"/>
      <x:c r="K173" s="99"/>
      <x:c r="L173" s="99"/>
      <x:c r="M173" s="99"/>
      <x:c r="N173" s="99"/>
      <x:c r="O173" s="99"/>
      <x:c r="P173" s="99"/>
      <x:c r="Q173" s="99"/>
      <x:c r="R173" s="99"/>
      <x:c r="S173" s="99"/>
      <x:c r="T173" s="99"/>
      <x:c r="U173" s="99"/>
      <x:c r="V173" s="99"/>
      <x:c r="W173" s="99"/>
      <x:c r="X173" s="99"/>
      <x:c r="Y173" s="99"/>
      <x:c r="Z173" s="99"/>
    </x:row>
    <x:row r="174">
      <x:c r="A174" s="99"/>
      <x:c r="B174" s="99"/>
      <x:c r="C174" s="99"/>
      <x:c r="D174" s="99"/>
      <x:c r="E174" s="99"/>
      <x:c r="F174" s="99"/>
      <x:c r="G174" s="99"/>
      <x:c r="H174" s="99"/>
      <x:c r="I174" s="99"/>
      <x:c r="J174" s="99"/>
      <x:c r="K174" s="99"/>
      <x:c r="L174" s="99"/>
      <x:c r="M174" s="99"/>
      <x:c r="N174" s="99"/>
      <x:c r="O174" s="99"/>
      <x:c r="P174" s="99"/>
      <x:c r="Q174" s="99"/>
      <x:c r="R174" s="99"/>
      <x:c r="S174" s="99"/>
      <x:c r="T174" s="99"/>
      <x:c r="U174" s="99"/>
      <x:c r="V174" s="99"/>
      <x:c r="W174" s="99"/>
      <x:c r="X174" s="99"/>
      <x:c r="Y174" s="99"/>
      <x:c r="Z174" s="99"/>
    </x:row>
    <x:row r="175">
      <x:c r="A175" s="99"/>
      <x:c r="B175" s="99"/>
      <x:c r="C175" s="99"/>
      <x:c r="D175" s="99"/>
      <x:c r="E175" s="99"/>
      <x:c r="F175" s="99"/>
      <x:c r="G175" s="99"/>
      <x:c r="H175" s="99"/>
      <x:c r="I175" s="99"/>
      <x:c r="J175" s="99"/>
      <x:c r="K175" s="99"/>
      <x:c r="L175" s="99"/>
      <x:c r="M175" s="99"/>
      <x:c r="N175" s="99"/>
      <x:c r="O175" s="99"/>
      <x:c r="P175" s="99"/>
      <x:c r="Q175" s="99"/>
      <x:c r="R175" s="99"/>
      <x:c r="S175" s="99"/>
      <x:c r="T175" s="99"/>
      <x:c r="U175" s="99"/>
      <x:c r="V175" s="99"/>
      <x:c r="W175" s="99"/>
      <x:c r="X175" s="99"/>
      <x:c r="Y175" s="99"/>
      <x:c r="Z175" s="99"/>
    </x:row>
    <x:row r="176">
      <x:c r="A176" s="99"/>
      <x:c r="B176" s="99"/>
      <x:c r="C176" s="99"/>
      <x:c r="D176" s="99"/>
      <x:c r="E176" s="99"/>
      <x:c r="F176" s="99"/>
      <x:c r="G176" s="99"/>
      <x:c r="H176" s="99"/>
      <x:c r="I176" s="99"/>
      <x:c r="J176" s="99"/>
      <x:c r="K176" s="99"/>
      <x:c r="L176" s="99"/>
      <x:c r="M176" s="99"/>
      <x:c r="N176" s="99"/>
      <x:c r="O176" s="99"/>
      <x:c r="P176" s="99"/>
      <x:c r="Q176" s="99"/>
      <x:c r="R176" s="99"/>
      <x:c r="S176" s="99"/>
      <x:c r="T176" s="99"/>
      <x:c r="U176" s="99"/>
      <x:c r="V176" s="99"/>
      <x:c r="W176" s="99"/>
      <x:c r="X176" s="99"/>
      <x:c r="Y176" s="99"/>
      <x:c r="Z176" s="99"/>
    </x:row>
    <x:row r="177">
      <x:c r="A177" s="99"/>
      <x:c r="B177" s="99"/>
      <x:c r="C177" s="99"/>
      <x:c r="D177" s="99"/>
      <x:c r="E177" s="99"/>
      <x:c r="F177" s="99"/>
      <x:c r="G177" s="99"/>
      <x:c r="H177" s="99"/>
      <x:c r="I177" s="99"/>
      <x:c r="J177" s="99"/>
      <x:c r="K177" s="99"/>
      <x:c r="L177" s="99"/>
      <x:c r="M177" s="99"/>
      <x:c r="N177" s="99"/>
      <x:c r="O177" s="99"/>
      <x:c r="P177" s="99"/>
      <x:c r="Q177" s="99"/>
      <x:c r="R177" s="99"/>
      <x:c r="S177" s="99"/>
      <x:c r="T177" s="99"/>
      <x:c r="U177" s="99"/>
      <x:c r="V177" s="99"/>
      <x:c r="W177" s="99"/>
      <x:c r="X177" s="99"/>
      <x:c r="Y177" s="99"/>
      <x:c r="Z177" s="99"/>
    </x:row>
    <x:row r="178">
      <x:c r="A178" s="99"/>
      <x:c r="B178" s="99"/>
      <x:c r="C178" s="99"/>
      <x:c r="D178" s="99"/>
      <x:c r="E178" s="99"/>
      <x:c r="F178" s="99"/>
      <x:c r="G178" s="99"/>
      <x:c r="H178" s="99"/>
      <x:c r="I178" s="99"/>
      <x:c r="J178" s="99"/>
      <x:c r="K178" s="99"/>
      <x:c r="L178" s="99"/>
      <x:c r="M178" s="99"/>
      <x:c r="N178" s="99"/>
      <x:c r="O178" s="99"/>
      <x:c r="P178" s="99"/>
      <x:c r="Q178" s="99"/>
      <x:c r="R178" s="99"/>
      <x:c r="S178" s="99"/>
      <x:c r="T178" s="99"/>
      <x:c r="U178" s="99"/>
      <x:c r="V178" s="99"/>
      <x:c r="W178" s="99"/>
      <x:c r="X178" s="99"/>
      <x:c r="Y178" s="99"/>
      <x:c r="Z178" s="99"/>
    </x:row>
    <x:row r="179">
      <x:c r="A179" s="99"/>
      <x:c r="B179" s="99"/>
      <x:c r="C179" s="99"/>
      <x:c r="D179" s="99"/>
      <x:c r="E179" s="99"/>
      <x:c r="F179" s="99"/>
      <x:c r="G179" s="99"/>
      <x:c r="H179" s="99"/>
      <x:c r="I179" s="99"/>
      <x:c r="J179" s="99"/>
      <x:c r="K179" s="99"/>
      <x:c r="L179" s="99"/>
      <x:c r="M179" s="99"/>
      <x:c r="N179" s="99"/>
      <x:c r="O179" s="99"/>
      <x:c r="P179" s="99"/>
      <x:c r="Q179" s="99"/>
      <x:c r="R179" s="99"/>
      <x:c r="S179" s="99"/>
      <x:c r="T179" s="99"/>
      <x:c r="U179" s="99"/>
      <x:c r="V179" s="99"/>
      <x:c r="W179" s="99"/>
      <x:c r="X179" s="99"/>
      <x:c r="Y179" s="99"/>
      <x:c r="Z179" s="99"/>
    </x:row>
    <x:row r="180">
      <x:c r="A180" s="99"/>
      <x:c r="B180" s="99"/>
      <x:c r="C180" s="99"/>
      <x:c r="D180" s="99"/>
      <x:c r="E180" s="99"/>
      <x:c r="F180" s="99"/>
      <x:c r="G180" s="99"/>
      <x:c r="H180" s="99"/>
      <x:c r="I180" s="99"/>
      <x:c r="J180" s="99"/>
      <x:c r="K180" s="99"/>
      <x:c r="L180" s="99"/>
      <x:c r="M180" s="99"/>
      <x:c r="N180" s="99"/>
      <x:c r="O180" s="99"/>
      <x:c r="P180" s="99"/>
      <x:c r="Q180" s="99"/>
      <x:c r="R180" s="99"/>
      <x:c r="S180" s="99"/>
      <x:c r="T180" s="99"/>
      <x:c r="U180" s="99"/>
      <x:c r="V180" s="99"/>
      <x:c r="W180" s="99"/>
      <x:c r="X180" s="99"/>
      <x:c r="Y180" s="99"/>
      <x:c r="Z180" s="99"/>
    </x:row>
    <x:row r="181">
      <x:c r="A181" s="99"/>
      <x:c r="B181" s="99"/>
      <x:c r="C181" s="99"/>
      <x:c r="D181" s="99"/>
      <x:c r="E181" s="99"/>
      <x:c r="F181" s="99"/>
      <x:c r="G181" s="99"/>
      <x:c r="H181" s="99"/>
      <x:c r="I181" s="99"/>
      <x:c r="J181" s="99"/>
      <x:c r="K181" s="99"/>
      <x:c r="L181" s="99"/>
      <x:c r="M181" s="99"/>
      <x:c r="N181" s="99"/>
      <x:c r="O181" s="99"/>
      <x:c r="P181" s="99"/>
      <x:c r="Q181" s="99"/>
      <x:c r="R181" s="99"/>
      <x:c r="S181" s="99"/>
      <x:c r="T181" s="99"/>
      <x:c r="U181" s="99"/>
      <x:c r="V181" s="99"/>
      <x:c r="W181" s="99"/>
      <x:c r="X181" s="99"/>
      <x:c r="Y181" s="99"/>
      <x:c r="Z181" s="99"/>
    </x:row>
    <x:row r="182">
      <x:c r="A182" s="99"/>
      <x:c r="B182" s="99"/>
      <x:c r="C182" s="99"/>
      <x:c r="D182" s="99"/>
      <x:c r="E182" s="99"/>
      <x:c r="F182" s="99"/>
      <x:c r="G182" s="99"/>
      <x:c r="H182" s="99"/>
      <x:c r="I182" s="99"/>
      <x:c r="J182" s="99"/>
      <x:c r="K182" s="99"/>
      <x:c r="L182" s="99"/>
      <x:c r="M182" s="99"/>
      <x:c r="N182" s="99"/>
      <x:c r="O182" s="99"/>
      <x:c r="P182" s="99"/>
      <x:c r="Q182" s="99"/>
      <x:c r="R182" s="99"/>
      <x:c r="S182" s="99"/>
      <x:c r="T182" s="99"/>
      <x:c r="U182" s="99"/>
      <x:c r="V182" s="99"/>
      <x:c r="W182" s="99"/>
      <x:c r="X182" s="99"/>
      <x:c r="Y182" s="99"/>
      <x:c r="Z182" s="99"/>
    </x:row>
    <x:row r="183">
      <x:c r="A183" s="99"/>
      <x:c r="B183" s="99"/>
      <x:c r="C183" s="99"/>
      <x:c r="D183" s="99"/>
      <x:c r="E183" s="99"/>
      <x:c r="F183" s="99"/>
      <x:c r="G183" s="99"/>
      <x:c r="H183" s="99"/>
      <x:c r="I183" s="99"/>
      <x:c r="J183" s="99"/>
      <x:c r="K183" s="99"/>
      <x:c r="L183" s="99"/>
      <x:c r="M183" s="99"/>
      <x:c r="N183" s="99"/>
      <x:c r="O183" s="99"/>
      <x:c r="P183" s="99"/>
      <x:c r="Q183" s="99"/>
      <x:c r="R183" s="99"/>
      <x:c r="S183" s="99"/>
      <x:c r="T183" s="99"/>
      <x:c r="U183" s="99"/>
      <x:c r="V183" s="99"/>
      <x:c r="W183" s="99"/>
      <x:c r="X183" s="99"/>
      <x:c r="Y183" s="99"/>
      <x:c r="Z183" s="99"/>
    </x:row>
    <x:row r="184">
      <x:c r="A184" s="99"/>
      <x:c r="B184" s="99"/>
      <x:c r="C184" s="99"/>
      <x:c r="D184" s="99"/>
      <x:c r="E184" s="99"/>
      <x:c r="F184" s="99"/>
      <x:c r="G184" s="99"/>
      <x:c r="H184" s="99"/>
      <x:c r="I184" s="99"/>
      <x:c r="J184" s="99"/>
      <x:c r="K184" s="99"/>
      <x:c r="L184" s="99"/>
      <x:c r="M184" s="99"/>
      <x:c r="N184" s="99"/>
      <x:c r="O184" s="99"/>
      <x:c r="P184" s="99"/>
      <x:c r="Q184" s="99"/>
      <x:c r="R184" s="99"/>
      <x:c r="S184" s="99"/>
      <x:c r="T184" s="99"/>
      <x:c r="U184" s="99"/>
      <x:c r="V184" s="99"/>
      <x:c r="W184" s="99"/>
      <x:c r="X184" s="99"/>
      <x:c r="Y184" s="99"/>
      <x:c r="Z184" s="99"/>
    </x:row>
    <x:row r="185">
      <x:c r="A185" s="99"/>
      <x:c r="B185" s="99"/>
      <x:c r="C185" s="99"/>
      <x:c r="D185" s="99"/>
      <x:c r="E185" s="99"/>
      <x:c r="F185" s="99"/>
      <x:c r="G185" s="99"/>
      <x:c r="H185" s="99"/>
      <x:c r="I185" s="99"/>
      <x:c r="J185" s="99"/>
      <x:c r="K185" s="99"/>
      <x:c r="L185" s="99"/>
      <x:c r="M185" s="99"/>
      <x:c r="N185" s="99"/>
      <x:c r="O185" s="99"/>
      <x:c r="P185" s="99"/>
      <x:c r="Q185" s="99"/>
      <x:c r="R185" s="99"/>
      <x:c r="S185" s="99"/>
      <x:c r="T185" s="99"/>
      <x:c r="U185" s="99"/>
      <x:c r="V185" s="99"/>
      <x:c r="W185" s="99"/>
      <x:c r="X185" s="99"/>
      <x:c r="Y185" s="99"/>
      <x:c r="Z185" s="99"/>
    </x:row>
    <x:row r="186">
      <x:c r="A186" s="99"/>
      <x:c r="B186" s="99"/>
      <x:c r="C186" s="99"/>
      <x:c r="D186" s="99"/>
      <x:c r="E186" s="99"/>
      <x:c r="F186" s="99"/>
      <x:c r="G186" s="99"/>
      <x:c r="H186" s="99"/>
      <x:c r="I186" s="99"/>
      <x:c r="J186" s="99"/>
      <x:c r="K186" s="99"/>
      <x:c r="L186" s="99"/>
      <x:c r="M186" s="99"/>
      <x:c r="N186" s="99"/>
      <x:c r="O186" s="99"/>
      <x:c r="P186" s="99"/>
      <x:c r="Q186" s="99"/>
      <x:c r="R186" s="99"/>
      <x:c r="S186" s="99"/>
      <x:c r="T186" s="99"/>
      <x:c r="U186" s="99"/>
      <x:c r="V186" s="99"/>
      <x:c r="W186" s="99"/>
      <x:c r="X186" s="99"/>
      <x:c r="Y186" s="99"/>
      <x:c r="Z186" s="99"/>
    </x:row>
    <x:row r="187">
      <x:c r="A187" s="99"/>
      <x:c r="B187" s="99"/>
      <x:c r="C187" s="99"/>
      <x:c r="D187" s="99"/>
      <x:c r="E187" s="99"/>
      <x:c r="F187" s="99"/>
      <x:c r="G187" s="99"/>
      <x:c r="H187" s="99"/>
      <x:c r="I187" s="99"/>
      <x:c r="J187" s="99"/>
      <x:c r="K187" s="99"/>
      <x:c r="L187" s="99"/>
      <x:c r="M187" s="99"/>
      <x:c r="N187" s="99"/>
      <x:c r="O187" s="99"/>
      <x:c r="P187" s="99"/>
      <x:c r="Q187" s="99"/>
      <x:c r="R187" s="99"/>
      <x:c r="S187" s="99"/>
      <x:c r="T187" s="99"/>
      <x:c r="U187" s="99"/>
      <x:c r="V187" s="99"/>
      <x:c r="W187" s="99"/>
      <x:c r="X187" s="99"/>
      <x:c r="Y187" s="99"/>
      <x:c r="Z187" s="99"/>
    </x:row>
    <x:row r="188">
      <x:c r="A188" s="99"/>
      <x:c r="B188" s="99"/>
      <x:c r="C188" s="99"/>
      <x:c r="D188" s="99"/>
      <x:c r="E188" s="99"/>
      <x:c r="F188" s="99"/>
      <x:c r="G188" s="99"/>
      <x:c r="H188" s="99"/>
      <x:c r="I188" s="99"/>
      <x:c r="J188" s="99"/>
      <x:c r="K188" s="99"/>
      <x:c r="L188" s="99"/>
      <x:c r="M188" s="99"/>
      <x:c r="N188" s="99"/>
      <x:c r="O188" s="99"/>
      <x:c r="P188" s="99"/>
      <x:c r="Q188" s="99"/>
      <x:c r="R188" s="99"/>
      <x:c r="S188" s="99"/>
      <x:c r="T188" s="99"/>
      <x:c r="U188" s="99"/>
      <x:c r="V188" s="99"/>
      <x:c r="W188" s="99"/>
      <x:c r="X188" s="99"/>
      <x:c r="Y188" s="99"/>
      <x:c r="Z188" s="99"/>
    </x:row>
    <x:row r="189">
      <x:c r="A189" s="99"/>
      <x:c r="B189" s="99"/>
      <x:c r="C189" s="99"/>
      <x:c r="D189" s="99"/>
      <x:c r="E189" s="99"/>
      <x:c r="F189" s="99"/>
      <x:c r="G189" s="99"/>
      <x:c r="H189" s="99"/>
      <x:c r="I189" s="99"/>
      <x:c r="J189" s="99"/>
      <x:c r="K189" s="99"/>
      <x:c r="L189" s="99"/>
      <x:c r="M189" s="99"/>
      <x:c r="N189" s="99"/>
      <x:c r="O189" s="99"/>
      <x:c r="P189" s="99"/>
      <x:c r="Q189" s="99"/>
      <x:c r="R189" s="99"/>
      <x:c r="S189" s="99"/>
      <x:c r="T189" s="99"/>
      <x:c r="U189" s="99"/>
      <x:c r="V189" s="99"/>
      <x:c r="W189" s="99"/>
      <x:c r="X189" s="99"/>
      <x:c r="Y189" s="99"/>
      <x:c r="Z189" s="99"/>
    </x:row>
    <x:row r="190">
      <x:c r="A190" s="99"/>
      <x:c r="B190" s="99"/>
      <x:c r="C190" s="99"/>
      <x:c r="D190" s="99"/>
      <x:c r="E190" s="99"/>
      <x:c r="F190" s="99"/>
      <x:c r="G190" s="99"/>
      <x:c r="H190" s="99"/>
      <x:c r="I190" s="99"/>
      <x:c r="J190" s="99"/>
      <x:c r="K190" s="99"/>
      <x:c r="L190" s="99"/>
      <x:c r="M190" s="99"/>
      <x:c r="N190" s="99"/>
      <x:c r="O190" s="99"/>
      <x:c r="P190" s="99"/>
      <x:c r="Q190" s="99"/>
      <x:c r="R190" s="99"/>
      <x:c r="S190" s="99"/>
      <x:c r="T190" s="99"/>
      <x:c r="U190" s="99"/>
      <x:c r="V190" s="99"/>
      <x:c r="W190" s="99"/>
      <x:c r="X190" s="99"/>
      <x:c r="Y190" s="99"/>
      <x:c r="Z190" s="99"/>
    </x:row>
    <x:row r="191">
      <x:c r="A191" s="99"/>
      <x:c r="B191" s="99"/>
      <x:c r="C191" s="99"/>
      <x:c r="D191" s="99"/>
      <x:c r="E191" s="99"/>
      <x:c r="F191" s="99"/>
      <x:c r="G191" s="99"/>
      <x:c r="H191" s="99"/>
      <x:c r="I191" s="99"/>
      <x:c r="J191" s="99"/>
      <x:c r="K191" s="99"/>
      <x:c r="L191" s="99"/>
      <x:c r="M191" s="99"/>
      <x:c r="N191" s="99"/>
      <x:c r="O191" s="99"/>
      <x:c r="P191" s="99"/>
      <x:c r="Q191" s="99"/>
      <x:c r="R191" s="99"/>
      <x:c r="S191" s="99"/>
      <x:c r="T191" s="99"/>
      <x:c r="U191" s="99"/>
      <x:c r="V191" s="99"/>
      <x:c r="W191" s="99"/>
      <x:c r="X191" s="99"/>
      <x:c r="Y191" s="99"/>
      <x:c r="Z191" s="99"/>
    </x:row>
    <x:row r="192">
      <x:c r="A192" s="99"/>
      <x:c r="B192" s="99"/>
      <x:c r="C192" s="99"/>
      <x:c r="D192" s="99"/>
      <x:c r="E192" s="99"/>
      <x:c r="F192" s="99"/>
      <x:c r="G192" s="99"/>
      <x:c r="H192" s="99"/>
      <x:c r="I192" s="99"/>
      <x:c r="J192" s="99"/>
      <x:c r="K192" s="99"/>
      <x:c r="L192" s="99"/>
      <x:c r="M192" s="99"/>
      <x:c r="N192" s="99"/>
      <x:c r="O192" s="99"/>
      <x:c r="P192" s="99"/>
      <x:c r="Q192" s="99"/>
      <x:c r="R192" s="99"/>
      <x:c r="S192" s="99"/>
      <x:c r="T192" s="99"/>
      <x:c r="U192" s="99"/>
      <x:c r="V192" s="99"/>
      <x:c r="W192" s="99"/>
      <x:c r="X192" s="99"/>
      <x:c r="Y192" s="99"/>
      <x:c r="Z192" s="99"/>
    </x:row>
    <x:row r="193">
      <x:c r="A193" s="99"/>
      <x:c r="B193" s="99"/>
      <x:c r="C193" s="99"/>
      <x:c r="D193" s="99"/>
      <x:c r="E193" s="99"/>
      <x:c r="F193" s="99"/>
      <x:c r="G193" s="99"/>
      <x:c r="H193" s="99"/>
      <x:c r="I193" s="99"/>
      <x:c r="J193" s="99"/>
      <x:c r="K193" s="99"/>
      <x:c r="L193" s="99"/>
      <x:c r="M193" s="99"/>
      <x:c r="N193" s="99"/>
      <x:c r="O193" s="99"/>
      <x:c r="P193" s="99"/>
      <x:c r="Q193" s="99"/>
      <x:c r="R193" s="99"/>
      <x:c r="S193" s="99"/>
      <x:c r="T193" s="99"/>
      <x:c r="U193" s="99"/>
      <x:c r="V193" s="99"/>
      <x:c r="W193" s="99"/>
      <x:c r="X193" s="99"/>
      <x:c r="Y193" s="99"/>
      <x:c r="Z193" s="99"/>
    </x:row>
    <x:row r="194">
      <x:c r="A194" s="99"/>
      <x:c r="B194" s="99"/>
      <x:c r="C194" s="99"/>
      <x:c r="D194" s="99"/>
      <x:c r="E194" s="99"/>
      <x:c r="F194" s="99"/>
      <x:c r="G194" s="99"/>
      <x:c r="H194" s="99"/>
      <x:c r="I194" s="99"/>
      <x:c r="J194" s="99"/>
      <x:c r="K194" s="99"/>
      <x:c r="L194" s="99"/>
      <x:c r="M194" s="99"/>
      <x:c r="N194" s="99"/>
      <x:c r="O194" s="99"/>
      <x:c r="P194" s="99"/>
      <x:c r="Q194" s="99"/>
      <x:c r="R194" s="99"/>
      <x:c r="S194" s="99"/>
      <x:c r="T194" s="99"/>
      <x:c r="U194" s="99"/>
      <x:c r="V194" s="99"/>
      <x:c r="W194" s="99"/>
      <x:c r="X194" s="99"/>
      <x:c r="Y194" s="99"/>
      <x:c r="Z194" s="99"/>
    </x:row>
    <x:row r="195">
      <x:c r="A195" s="99"/>
      <x:c r="B195" s="99"/>
      <x:c r="C195" s="99"/>
      <x:c r="D195" s="99"/>
      <x:c r="E195" s="99"/>
      <x:c r="F195" s="99"/>
      <x:c r="G195" s="99"/>
      <x:c r="H195" s="99"/>
      <x:c r="I195" s="99"/>
      <x:c r="J195" s="99"/>
      <x:c r="K195" s="99"/>
      <x:c r="L195" s="99"/>
      <x:c r="M195" s="99"/>
      <x:c r="N195" s="99"/>
      <x:c r="O195" s="99"/>
      <x:c r="P195" s="99"/>
      <x:c r="Q195" s="99"/>
      <x:c r="R195" s="99"/>
      <x:c r="S195" s="99"/>
      <x:c r="T195" s="99"/>
      <x:c r="U195" s="99"/>
      <x:c r="V195" s="99"/>
      <x:c r="W195" s="99"/>
      <x:c r="X195" s="99"/>
      <x:c r="Y195" s="99"/>
      <x:c r="Z195" s="99"/>
    </x:row>
    <x:row r="196">
      <x:c r="A196" s="99"/>
      <x:c r="B196" s="99"/>
      <x:c r="C196" s="99"/>
      <x:c r="D196" s="99"/>
      <x:c r="E196" s="99"/>
      <x:c r="F196" s="99"/>
      <x:c r="G196" s="99"/>
      <x:c r="H196" s="99"/>
      <x:c r="I196" s="99"/>
      <x:c r="J196" s="99"/>
      <x:c r="K196" s="99"/>
      <x:c r="L196" s="99"/>
      <x:c r="M196" s="99"/>
      <x:c r="N196" s="99"/>
      <x:c r="O196" s="99"/>
      <x:c r="P196" s="99"/>
      <x:c r="Q196" s="99"/>
      <x:c r="R196" s="99"/>
      <x:c r="S196" s="99"/>
      <x:c r="T196" s="99"/>
      <x:c r="U196" s="99"/>
      <x:c r="V196" s="99"/>
      <x:c r="W196" s="99"/>
      <x:c r="X196" s="99"/>
      <x:c r="Y196" s="99"/>
      <x:c r="Z196" s="99"/>
    </x:row>
    <x:row r="197">
      <x:c r="A197" s="99"/>
      <x:c r="B197" s="99"/>
      <x:c r="C197" s="99"/>
      <x:c r="D197" s="99"/>
      <x:c r="E197" s="99"/>
      <x:c r="F197" s="99"/>
      <x:c r="G197" s="99"/>
      <x:c r="H197" s="99"/>
      <x:c r="I197" s="99"/>
      <x:c r="J197" s="99"/>
      <x:c r="K197" s="99"/>
      <x:c r="L197" s="99"/>
      <x:c r="M197" s="99"/>
      <x:c r="N197" s="99"/>
      <x:c r="O197" s="99"/>
      <x:c r="P197" s="99"/>
      <x:c r="Q197" s="99"/>
      <x:c r="R197" s="99"/>
      <x:c r="S197" s="99"/>
      <x:c r="T197" s="99"/>
      <x:c r="U197" s="99"/>
      <x:c r="V197" s="99"/>
      <x:c r="W197" s="99"/>
      <x:c r="X197" s="99"/>
      <x:c r="Y197" s="99"/>
      <x:c r="Z197" s="99"/>
    </x:row>
    <x:row r="198">
      <x:c r="A198" s="99"/>
      <x:c r="B198" s="99"/>
      <x:c r="C198" s="99"/>
      <x:c r="D198" s="99"/>
      <x:c r="E198" s="99"/>
      <x:c r="F198" s="99"/>
      <x:c r="G198" s="99"/>
      <x:c r="H198" s="99"/>
      <x:c r="I198" s="99"/>
      <x:c r="J198" s="99"/>
      <x:c r="K198" s="99"/>
      <x:c r="L198" s="99"/>
      <x:c r="M198" s="99"/>
      <x:c r="N198" s="99"/>
      <x:c r="O198" s="99"/>
      <x:c r="P198" s="99"/>
      <x:c r="Q198" s="99"/>
      <x:c r="R198" s="99"/>
      <x:c r="S198" s="99"/>
      <x:c r="T198" s="99"/>
      <x:c r="U198" s="99"/>
      <x:c r="V198" s="99"/>
      <x:c r="W198" s="99"/>
      <x:c r="X198" s="99"/>
      <x:c r="Y198" s="99"/>
      <x:c r="Z198" s="99"/>
    </x:row>
    <x:row r="199">
      <x:c r="A199" s="99"/>
      <x:c r="B199" s="99"/>
      <x:c r="C199" s="99"/>
      <x:c r="D199" s="99"/>
      <x:c r="E199" s="99"/>
      <x:c r="F199" s="99"/>
      <x:c r="G199" s="99"/>
      <x:c r="H199" s="99"/>
      <x:c r="I199" s="99"/>
      <x:c r="J199" s="99"/>
      <x:c r="K199" s="99"/>
      <x:c r="L199" s="99"/>
      <x:c r="M199" s="99"/>
      <x:c r="N199" s="99"/>
      <x:c r="O199" s="99"/>
      <x:c r="P199" s="99"/>
      <x:c r="Q199" s="99"/>
      <x:c r="R199" s="99"/>
      <x:c r="S199" s="99"/>
      <x:c r="T199" s="99"/>
      <x:c r="U199" s="99"/>
      <x:c r="V199" s="99"/>
      <x:c r="W199" s="99"/>
      <x:c r="X199" s="99"/>
      <x:c r="Y199" s="99"/>
      <x:c r="Z199" s="99"/>
    </x:row>
    <x:row r="200">
      <x:c r="A200" s="99"/>
      <x:c r="B200" s="99"/>
      <x:c r="C200" s="99"/>
      <x:c r="D200" s="99"/>
      <x:c r="E200" s="99"/>
      <x:c r="F200" s="99"/>
      <x:c r="G200" s="99"/>
      <x:c r="H200" s="99"/>
      <x:c r="I200" s="99"/>
      <x:c r="J200" s="99"/>
      <x:c r="K200" s="99"/>
      <x:c r="L200" s="99"/>
      <x:c r="M200" s="99"/>
      <x:c r="N200" s="99"/>
      <x:c r="O200" s="99"/>
      <x:c r="P200" s="99"/>
      <x:c r="Q200" s="99"/>
      <x:c r="R200" s="99"/>
      <x:c r="S200" s="99"/>
      <x:c r="T200" s="99"/>
      <x:c r="U200" s="99"/>
      <x:c r="V200" s="99"/>
      <x:c r="W200" s="99"/>
      <x:c r="X200" s="99"/>
      <x:c r="Y200" s="99"/>
      <x:c r="Z200" s="99"/>
    </x:row>
    <x:row r="201">
      <x:c r="A201" s="99"/>
      <x:c r="B201" s="99"/>
      <x:c r="C201" s="99"/>
      <x:c r="D201" s="99"/>
      <x:c r="E201" s="99"/>
      <x:c r="F201" s="99"/>
      <x:c r="G201" s="99"/>
      <x:c r="H201" s="99"/>
      <x:c r="I201" s="99"/>
      <x:c r="J201" s="99"/>
      <x:c r="K201" s="99"/>
      <x:c r="L201" s="99"/>
      <x:c r="M201" s="99"/>
      <x:c r="N201" s="99"/>
      <x:c r="O201" s="99"/>
      <x:c r="P201" s="99"/>
      <x:c r="Q201" s="99"/>
      <x:c r="R201" s="99"/>
      <x:c r="S201" s="99"/>
      <x:c r="T201" s="99"/>
      <x:c r="U201" s="99"/>
      <x:c r="V201" s="99"/>
      <x:c r="W201" s="99"/>
      <x:c r="X201" s="99"/>
      <x:c r="Y201" s="99"/>
      <x:c r="Z201" s="99"/>
    </x:row>
    <x:row r="202">
      <x:c r="A202" s="99"/>
      <x:c r="B202" s="99"/>
      <x:c r="C202" s="99"/>
      <x:c r="D202" s="99"/>
      <x:c r="E202" s="99"/>
      <x:c r="F202" s="99"/>
      <x:c r="G202" s="99"/>
      <x:c r="H202" s="99"/>
      <x:c r="I202" s="99"/>
      <x:c r="J202" s="99"/>
      <x:c r="K202" s="99"/>
      <x:c r="L202" s="99"/>
      <x:c r="M202" s="99"/>
      <x:c r="N202" s="99"/>
      <x:c r="O202" s="99"/>
      <x:c r="P202" s="99"/>
      <x:c r="Q202" s="99"/>
      <x:c r="R202" s="99"/>
      <x:c r="S202" s="99"/>
      <x:c r="T202" s="99"/>
      <x:c r="U202" s="99"/>
      <x:c r="V202" s="99"/>
      <x:c r="W202" s="99"/>
      <x:c r="X202" s="99"/>
      <x:c r="Y202" s="99"/>
      <x:c r="Z202" s="99"/>
    </x:row>
    <x:row r="203">
      <x:c r="A203" s="99"/>
      <x:c r="B203" s="99"/>
      <x:c r="C203" s="99"/>
      <x:c r="D203" s="99"/>
      <x:c r="E203" s="99"/>
      <x:c r="F203" s="99"/>
      <x:c r="G203" s="99"/>
      <x:c r="H203" s="99"/>
      <x:c r="I203" s="99"/>
      <x:c r="J203" s="99"/>
      <x:c r="K203" s="99"/>
      <x:c r="L203" s="99"/>
      <x:c r="M203" s="99"/>
      <x:c r="N203" s="99"/>
      <x:c r="O203" s="99"/>
      <x:c r="P203" s="99"/>
      <x:c r="Q203" s="99"/>
      <x:c r="R203" s="99"/>
      <x:c r="S203" s="99"/>
      <x:c r="T203" s="99"/>
      <x:c r="U203" s="99"/>
      <x:c r="V203" s="99"/>
      <x:c r="W203" s="99"/>
      <x:c r="X203" s="99"/>
      <x:c r="Y203" s="99"/>
      <x:c r="Z203" s="99"/>
    </x:row>
    <x:row r="204">
      <x:c r="A204" s="99"/>
      <x:c r="B204" s="99"/>
      <x:c r="C204" s="99"/>
      <x:c r="D204" s="99"/>
      <x:c r="E204" s="99"/>
      <x:c r="F204" s="99"/>
      <x:c r="G204" s="99"/>
      <x:c r="H204" s="99"/>
      <x:c r="I204" s="99"/>
      <x:c r="J204" s="99"/>
      <x:c r="K204" s="99"/>
      <x:c r="L204" s="99"/>
      <x:c r="M204" s="99"/>
      <x:c r="N204" s="99"/>
      <x:c r="O204" s="99"/>
      <x:c r="P204" s="99"/>
      <x:c r="Q204" s="99"/>
      <x:c r="R204" s="99"/>
      <x:c r="S204" s="99"/>
      <x:c r="T204" s="99"/>
      <x:c r="U204" s="99"/>
      <x:c r="V204" s="99"/>
      <x:c r="W204" s="99"/>
      <x:c r="X204" s="99"/>
      <x:c r="Y204" s="99"/>
      <x:c r="Z204" s="99"/>
    </x:row>
    <x:row r="205">
      <x:c r="A205" s="99"/>
      <x:c r="B205" s="99"/>
      <x:c r="C205" s="99"/>
      <x:c r="D205" s="99"/>
      <x:c r="E205" s="99"/>
      <x:c r="F205" s="99"/>
      <x:c r="G205" s="99"/>
      <x:c r="H205" s="99"/>
      <x:c r="I205" s="99"/>
      <x:c r="J205" s="99"/>
      <x:c r="K205" s="99"/>
      <x:c r="L205" s="99"/>
      <x:c r="M205" s="99"/>
      <x:c r="N205" s="99"/>
      <x:c r="O205" s="99"/>
      <x:c r="P205" s="99"/>
      <x:c r="Q205" s="99"/>
      <x:c r="R205" s="99"/>
      <x:c r="S205" s="99"/>
      <x:c r="T205" s="99"/>
      <x:c r="U205" s="99"/>
      <x:c r="V205" s="99"/>
      <x:c r="W205" s="99"/>
      <x:c r="X205" s="99"/>
      <x:c r="Y205" s="99"/>
      <x:c r="Z205" s="99"/>
    </x:row>
    <x:row r="206">
      <x:c r="A206" s="99"/>
      <x:c r="B206" s="99"/>
      <x:c r="C206" s="99"/>
      <x:c r="D206" s="99"/>
      <x:c r="E206" s="99"/>
      <x:c r="F206" s="99"/>
      <x:c r="G206" s="99"/>
      <x:c r="H206" s="99"/>
      <x:c r="I206" s="99"/>
      <x:c r="J206" s="99"/>
      <x:c r="K206" s="99"/>
      <x:c r="L206" s="99"/>
      <x:c r="M206" s="99"/>
      <x:c r="N206" s="99"/>
      <x:c r="O206" s="99"/>
      <x:c r="P206" s="99"/>
      <x:c r="Q206" s="99"/>
      <x:c r="R206" s="99"/>
      <x:c r="S206" s="99"/>
      <x:c r="T206" s="99"/>
      <x:c r="U206" s="99"/>
      <x:c r="V206" s="99"/>
      <x:c r="W206" s="99"/>
      <x:c r="X206" s="99"/>
      <x:c r="Y206" s="99"/>
      <x:c r="Z206" s="99"/>
    </x:row>
    <x:row r="207">
      <x:c r="A207" s="99"/>
      <x:c r="B207" s="99"/>
      <x:c r="C207" s="99"/>
      <x:c r="D207" s="99"/>
      <x:c r="E207" s="99"/>
      <x:c r="F207" s="99"/>
      <x:c r="G207" s="99"/>
      <x:c r="H207" s="99"/>
      <x:c r="I207" s="99"/>
      <x:c r="J207" s="99"/>
      <x:c r="K207" s="99"/>
      <x:c r="L207" s="99"/>
      <x:c r="M207" s="99"/>
      <x:c r="N207" s="99"/>
      <x:c r="O207" s="99"/>
      <x:c r="P207" s="99"/>
      <x:c r="Q207" s="99"/>
      <x:c r="R207" s="99"/>
      <x:c r="S207" s="99"/>
      <x:c r="T207" s="99"/>
      <x:c r="U207" s="99"/>
      <x:c r="V207" s="99"/>
      <x:c r="W207" s="99"/>
      <x:c r="X207" s="99"/>
      <x:c r="Y207" s="99"/>
      <x:c r="Z207" s="99"/>
    </x:row>
    <x:row r="208">
      <x:c r="A208" s="99"/>
      <x:c r="B208" s="99"/>
      <x:c r="C208" s="99"/>
      <x:c r="D208" s="99"/>
      <x:c r="E208" s="99"/>
      <x:c r="F208" s="99"/>
      <x:c r="G208" s="99"/>
      <x:c r="H208" s="99"/>
      <x:c r="I208" s="99"/>
      <x:c r="J208" s="99"/>
      <x:c r="K208" s="99"/>
      <x:c r="L208" s="99"/>
      <x:c r="M208" s="99"/>
      <x:c r="N208" s="99"/>
      <x:c r="O208" s="99"/>
      <x:c r="P208" s="99"/>
      <x:c r="Q208" s="99"/>
      <x:c r="R208" s="99"/>
      <x:c r="S208" s="99"/>
      <x:c r="T208" s="99"/>
      <x:c r="U208" s="99"/>
      <x:c r="V208" s="99"/>
      <x:c r="W208" s="99"/>
      <x:c r="X208" s="99"/>
      <x:c r="Y208" s="99"/>
      <x:c r="Z208" s="99"/>
    </x:row>
    <x:row r="209">
      <x:c r="A209" s="99"/>
      <x:c r="B209" s="99"/>
      <x:c r="C209" s="99"/>
      <x:c r="D209" s="99"/>
      <x:c r="E209" s="99"/>
      <x:c r="F209" s="99"/>
      <x:c r="G209" s="99"/>
      <x:c r="H209" s="99"/>
      <x:c r="I209" s="99"/>
      <x:c r="J209" s="99"/>
      <x:c r="K209" s="99"/>
      <x:c r="L209" s="99"/>
      <x:c r="M209" s="99"/>
      <x:c r="N209" s="99"/>
      <x:c r="O209" s="99"/>
      <x:c r="P209" s="99"/>
      <x:c r="Q209" s="99"/>
      <x:c r="R209" s="99"/>
      <x:c r="S209" s="99"/>
      <x:c r="T209" s="99"/>
      <x:c r="U209" s="99"/>
      <x:c r="V209" s="99"/>
      <x:c r="W209" s="99"/>
      <x:c r="X209" s="99"/>
      <x:c r="Y209" s="99"/>
      <x:c r="Z209" s="99"/>
    </x:row>
    <x:row r="210">
      <x:c r="A210" s="99"/>
      <x:c r="B210" s="99"/>
      <x:c r="C210" s="99"/>
      <x:c r="D210" s="99"/>
      <x:c r="E210" s="99"/>
      <x:c r="F210" s="99"/>
      <x:c r="G210" s="99"/>
      <x:c r="H210" s="99"/>
      <x:c r="I210" s="99"/>
      <x:c r="J210" s="99"/>
      <x:c r="K210" s="99"/>
      <x:c r="L210" s="99"/>
      <x:c r="M210" s="99"/>
      <x:c r="N210" s="99"/>
      <x:c r="O210" s="99"/>
      <x:c r="P210" s="99"/>
      <x:c r="Q210" s="99"/>
      <x:c r="R210" s="99"/>
      <x:c r="S210" s="99"/>
      <x:c r="T210" s="99"/>
      <x:c r="U210" s="99"/>
      <x:c r="V210" s="99"/>
      <x:c r="W210" s="99"/>
      <x:c r="X210" s="99"/>
      <x:c r="Y210" s="99"/>
      <x:c r="Z210" s="99"/>
    </x:row>
    <x:row r="211">
      <x:c r="A211" s="99"/>
      <x:c r="B211" s="99"/>
      <x:c r="C211" s="99"/>
      <x:c r="D211" s="99"/>
      <x:c r="E211" s="99"/>
      <x:c r="F211" s="99"/>
      <x:c r="G211" s="99"/>
      <x:c r="H211" s="99"/>
      <x:c r="I211" s="99"/>
      <x:c r="J211" s="99"/>
      <x:c r="K211" s="99"/>
      <x:c r="L211" s="99"/>
      <x:c r="M211" s="99"/>
      <x:c r="N211" s="99"/>
      <x:c r="O211" s="99"/>
      <x:c r="P211" s="99"/>
      <x:c r="Q211" s="99"/>
      <x:c r="R211" s="99"/>
      <x:c r="S211" s="99"/>
      <x:c r="T211" s="99"/>
      <x:c r="U211" s="99"/>
      <x:c r="V211" s="99"/>
      <x:c r="W211" s="99"/>
      <x:c r="X211" s="99"/>
      <x:c r="Y211" s="99"/>
      <x:c r="Z211" s="99"/>
    </x:row>
    <x:row r="212">
      <x:c r="A212" s="99"/>
      <x:c r="B212" s="99"/>
      <x:c r="C212" s="99"/>
      <x:c r="D212" s="99"/>
      <x:c r="E212" s="99"/>
      <x:c r="F212" s="99"/>
      <x:c r="G212" s="99"/>
      <x:c r="H212" s="99"/>
      <x:c r="I212" s="99"/>
      <x:c r="J212" s="99"/>
      <x:c r="K212" s="99"/>
      <x:c r="L212" s="99"/>
      <x:c r="M212" s="99"/>
      <x:c r="N212" s="99"/>
      <x:c r="O212" s="99"/>
      <x:c r="P212" s="99"/>
      <x:c r="Q212" s="99"/>
      <x:c r="R212" s="99"/>
      <x:c r="S212" s="99"/>
      <x:c r="T212" s="99"/>
      <x:c r="U212" s="99"/>
      <x:c r="V212" s="99"/>
      <x:c r="W212" s="99"/>
      <x:c r="X212" s="99"/>
      <x:c r="Y212" s="99"/>
      <x:c r="Z212" s="99"/>
    </x:row>
    <x:row r="213">
      <x:c r="A213" s="99"/>
      <x:c r="B213" s="99"/>
      <x:c r="C213" s="99"/>
      <x:c r="D213" s="99"/>
      <x:c r="E213" s="99"/>
      <x:c r="F213" s="99"/>
      <x:c r="G213" s="99"/>
      <x:c r="H213" s="99"/>
      <x:c r="I213" s="99"/>
      <x:c r="J213" s="99"/>
      <x:c r="K213" s="99"/>
      <x:c r="L213" s="99"/>
      <x:c r="M213" s="99"/>
      <x:c r="N213" s="99"/>
      <x:c r="O213" s="99"/>
      <x:c r="P213" s="99"/>
      <x:c r="Q213" s="99"/>
      <x:c r="R213" s="99"/>
      <x:c r="S213" s="99"/>
      <x:c r="T213" s="99"/>
      <x:c r="U213" s="99"/>
      <x:c r="V213" s="99"/>
      <x:c r="W213" s="99"/>
      <x:c r="X213" s="99"/>
      <x:c r="Y213" s="99"/>
      <x:c r="Z213" s="99"/>
    </x:row>
    <x:row r="214">
      <x:c r="A214" s="99"/>
      <x:c r="B214" s="99"/>
      <x:c r="C214" s="99"/>
      <x:c r="D214" s="99"/>
      <x:c r="E214" s="99"/>
      <x:c r="F214" s="99"/>
      <x:c r="G214" s="99"/>
      <x:c r="H214" s="99"/>
      <x:c r="I214" s="99"/>
      <x:c r="J214" s="99"/>
      <x:c r="K214" s="99"/>
      <x:c r="L214" s="99"/>
      <x:c r="M214" s="99"/>
      <x:c r="N214" s="99"/>
      <x:c r="O214" s="99"/>
      <x:c r="P214" s="99"/>
      <x:c r="Q214" s="99"/>
      <x:c r="R214" s="99"/>
      <x:c r="S214" s="99"/>
      <x:c r="T214" s="99"/>
      <x:c r="U214" s="99"/>
      <x:c r="V214" s="99"/>
      <x:c r="W214" s="99"/>
      <x:c r="X214" s="99"/>
      <x:c r="Y214" s="99"/>
      <x:c r="Z214" s="99"/>
    </x:row>
    <x:row r="215">
      <x:c r="A215" s="99"/>
      <x:c r="B215" s="99"/>
      <x:c r="C215" s="99"/>
      <x:c r="D215" s="99"/>
      <x:c r="E215" s="99"/>
      <x:c r="F215" s="99"/>
      <x:c r="G215" s="99"/>
      <x:c r="H215" s="99"/>
      <x:c r="I215" s="99"/>
      <x:c r="J215" s="99"/>
      <x:c r="K215" s="99"/>
      <x:c r="L215" s="99"/>
      <x:c r="M215" s="99"/>
      <x:c r="N215" s="99"/>
      <x:c r="O215" s="99"/>
      <x:c r="P215" s="99"/>
      <x:c r="Q215" s="99"/>
      <x:c r="R215" s="99"/>
      <x:c r="S215" s="99"/>
      <x:c r="T215" s="99"/>
      <x:c r="U215" s="99"/>
      <x:c r="V215" s="99"/>
      <x:c r="W215" s="99"/>
      <x:c r="X215" s="99"/>
      <x:c r="Y215" s="99"/>
      <x:c r="Z215" s="99"/>
    </x:row>
    <x:row r="216">
      <x:c r="A216" s="99"/>
      <x:c r="B216" s="99"/>
      <x:c r="C216" s="99"/>
      <x:c r="D216" s="99"/>
      <x:c r="E216" s="99"/>
      <x:c r="F216" s="99"/>
      <x:c r="G216" s="99"/>
      <x:c r="H216" s="99"/>
      <x:c r="I216" s="99"/>
      <x:c r="J216" s="99"/>
      <x:c r="K216" s="99"/>
      <x:c r="L216" s="99"/>
      <x:c r="M216" s="99"/>
      <x:c r="N216" s="99"/>
      <x:c r="O216" s="99"/>
      <x:c r="P216" s="99"/>
      <x:c r="Q216" s="99"/>
      <x:c r="R216" s="99"/>
      <x:c r="S216" s="99"/>
      <x:c r="T216" s="99"/>
      <x:c r="U216" s="99"/>
      <x:c r="V216" s="99"/>
      <x:c r="W216" s="99"/>
      <x:c r="X216" s="99"/>
      <x:c r="Y216" s="99"/>
      <x:c r="Z216" s="99"/>
    </x:row>
    <x:row r="217">
      <x:c r="A217" s="99"/>
      <x:c r="B217" s="99"/>
      <x:c r="C217" s="99"/>
      <x:c r="D217" s="99"/>
      <x:c r="E217" s="99"/>
      <x:c r="F217" s="99"/>
      <x:c r="G217" s="99"/>
      <x:c r="H217" s="99"/>
      <x:c r="I217" s="99"/>
      <x:c r="J217" s="99"/>
      <x:c r="K217" s="99"/>
      <x:c r="L217" s="99"/>
      <x:c r="M217" s="99"/>
      <x:c r="N217" s="99"/>
      <x:c r="O217" s="99"/>
      <x:c r="P217" s="99"/>
      <x:c r="Q217" s="99"/>
      <x:c r="R217" s="99"/>
      <x:c r="S217" s="99"/>
      <x:c r="T217" s="99"/>
      <x:c r="U217" s="99"/>
      <x:c r="V217" s="99"/>
      <x:c r="W217" s="99"/>
      <x:c r="X217" s="99"/>
      <x:c r="Y217" s="99"/>
      <x:c r="Z217" s="99"/>
    </x:row>
    <x:row r="218">
      <x:c r="A218" s="99"/>
      <x:c r="B218" s="99"/>
      <x:c r="C218" s="99"/>
      <x:c r="D218" s="99"/>
      <x:c r="E218" s="99"/>
      <x:c r="F218" s="99"/>
      <x:c r="G218" s="99"/>
      <x:c r="H218" s="99"/>
      <x:c r="I218" s="99"/>
      <x:c r="J218" s="99"/>
      <x:c r="K218" s="99"/>
      <x:c r="L218" s="99"/>
      <x:c r="M218" s="99"/>
      <x:c r="N218" s="99"/>
      <x:c r="O218" s="99"/>
      <x:c r="P218" s="99"/>
      <x:c r="Q218" s="99"/>
      <x:c r="R218" s="99"/>
      <x:c r="S218" s="99"/>
      <x:c r="T218" s="99"/>
      <x:c r="U218" s="99"/>
      <x:c r="V218" s="99"/>
      <x:c r="W218" s="99"/>
      <x:c r="X218" s="99"/>
      <x:c r="Y218" s="99"/>
      <x:c r="Z218" s="99"/>
    </x:row>
    <x:row r="219">
      <x:c r="A219" s="99"/>
      <x:c r="B219" s="99"/>
      <x:c r="C219" s="99"/>
      <x:c r="D219" s="99"/>
      <x:c r="E219" s="99"/>
      <x:c r="F219" s="99"/>
      <x:c r="G219" s="99"/>
      <x:c r="H219" s="99"/>
      <x:c r="I219" s="99"/>
      <x:c r="J219" s="99"/>
      <x:c r="K219" s="99"/>
      <x:c r="L219" s="99"/>
      <x:c r="M219" s="99"/>
      <x:c r="N219" s="99"/>
      <x:c r="O219" s="99"/>
      <x:c r="P219" s="99"/>
      <x:c r="Q219" s="99"/>
      <x:c r="R219" s="99"/>
      <x:c r="S219" s="99"/>
      <x:c r="T219" s="99"/>
      <x:c r="U219" s="99"/>
      <x:c r="V219" s="99"/>
      <x:c r="W219" s="99"/>
      <x:c r="X219" s="99"/>
      <x:c r="Y219" s="99"/>
      <x:c r="Z219" s="99"/>
    </x:row>
    <x:row r="220">
      <x:c r="A220" s="99"/>
      <x:c r="B220" s="99"/>
      <x:c r="C220" s="99"/>
      <x:c r="D220" s="99"/>
      <x:c r="E220" s="99"/>
      <x:c r="F220" s="99"/>
      <x:c r="G220" s="99"/>
      <x:c r="H220" s="99"/>
      <x:c r="I220" s="99"/>
      <x:c r="J220" s="99"/>
      <x:c r="K220" s="99"/>
      <x:c r="L220" s="99"/>
      <x:c r="M220" s="99"/>
      <x:c r="N220" s="99"/>
      <x:c r="O220" s="99"/>
      <x:c r="P220" s="99"/>
      <x:c r="Q220" s="99"/>
      <x:c r="R220" s="99"/>
      <x:c r="S220" s="99"/>
      <x:c r="T220" s="99"/>
      <x:c r="U220" s="99"/>
      <x:c r="V220" s="99"/>
      <x:c r="W220" s="99"/>
      <x:c r="X220" s="99"/>
      <x:c r="Y220" s="99"/>
      <x:c r="Z220" s="99"/>
    </x:row>
    <x:row r="221">
      <x:c r="A221" s="99"/>
      <x:c r="B221" s="99"/>
      <x:c r="C221" s="99"/>
      <x:c r="D221" s="99"/>
      <x:c r="E221" s="99"/>
      <x:c r="F221" s="99"/>
      <x:c r="G221" s="99"/>
      <x:c r="H221" s="99"/>
      <x:c r="I221" s="99"/>
      <x:c r="J221" s="99"/>
      <x:c r="K221" s="99"/>
      <x:c r="L221" s="99"/>
      <x:c r="M221" s="99"/>
      <x:c r="N221" s="99"/>
      <x:c r="O221" s="99"/>
      <x:c r="P221" s="99"/>
      <x:c r="Q221" s="99"/>
      <x:c r="R221" s="99"/>
      <x:c r="S221" s="99"/>
      <x:c r="T221" s="99"/>
      <x:c r="U221" s="99"/>
      <x:c r="V221" s="99"/>
      <x:c r="W221" s="99"/>
      <x:c r="X221" s="99"/>
      <x:c r="Y221" s="99"/>
      <x:c r="Z221" s="99"/>
    </x:row>
    <x:row r="222">
      <x:c r="A222" s="99"/>
      <x:c r="B222" s="99"/>
      <x:c r="C222" s="99"/>
      <x:c r="D222" s="99"/>
      <x:c r="E222" s="99"/>
      <x:c r="F222" s="99"/>
      <x:c r="G222" s="99"/>
      <x:c r="H222" s="99"/>
      <x:c r="I222" s="99"/>
      <x:c r="J222" s="99"/>
      <x:c r="K222" s="99"/>
      <x:c r="L222" s="99"/>
      <x:c r="M222" s="99"/>
      <x:c r="N222" s="99"/>
      <x:c r="O222" s="99"/>
      <x:c r="P222" s="99"/>
      <x:c r="Q222" s="99"/>
      <x:c r="R222" s="99"/>
      <x:c r="S222" s="99"/>
      <x:c r="T222" s="99"/>
      <x:c r="U222" s="99"/>
      <x:c r="V222" s="99"/>
      <x:c r="W222" s="99"/>
      <x:c r="X222" s="99"/>
      <x:c r="Y222" s="99"/>
      <x:c r="Z222" s="99"/>
    </x:row>
    <x:row r="223">
      <x:c r="A223" s="99"/>
      <x:c r="B223" s="99"/>
      <x:c r="C223" s="99"/>
      <x:c r="D223" s="99"/>
      <x:c r="E223" s="99"/>
      <x:c r="F223" s="99"/>
      <x:c r="G223" s="99"/>
      <x:c r="H223" s="99"/>
      <x:c r="I223" s="99"/>
      <x:c r="J223" s="99"/>
      <x:c r="K223" s="99"/>
      <x:c r="L223" s="99"/>
      <x:c r="M223" s="99"/>
      <x:c r="N223" s="99"/>
      <x:c r="O223" s="99"/>
      <x:c r="P223" s="99"/>
      <x:c r="Q223" s="99"/>
      <x:c r="R223" s="99"/>
      <x:c r="S223" s="99"/>
      <x:c r="T223" s="99"/>
      <x:c r="U223" s="99"/>
      <x:c r="V223" s="99"/>
      <x:c r="W223" s="99"/>
      <x:c r="X223" s="99"/>
      <x:c r="Y223" s="99"/>
      <x:c r="Z223" s="99"/>
    </x:row>
    <x:row r="224">
      <x:c r="A224" s="99"/>
      <x:c r="B224" s="99"/>
      <x:c r="C224" s="99"/>
      <x:c r="D224" s="99"/>
      <x:c r="E224" s="99"/>
      <x:c r="F224" s="99"/>
      <x:c r="G224" s="99"/>
      <x:c r="H224" s="99"/>
      <x:c r="I224" s="99"/>
      <x:c r="J224" s="99"/>
      <x:c r="K224" s="99"/>
      <x:c r="L224" s="99"/>
      <x:c r="M224" s="99"/>
      <x:c r="N224" s="99"/>
      <x:c r="O224" s="99"/>
      <x:c r="P224" s="99"/>
      <x:c r="Q224" s="99"/>
      <x:c r="R224" s="99"/>
      <x:c r="S224" s="99"/>
      <x:c r="T224" s="99"/>
      <x:c r="U224" s="99"/>
      <x:c r="V224" s="99"/>
      <x:c r="W224" s="99"/>
      <x:c r="X224" s="99"/>
      <x:c r="Y224" s="99"/>
      <x:c r="Z224" s="99"/>
    </x:row>
    <x:row r="225">
      <x:c r="A225" s="99"/>
      <x:c r="B225" s="99"/>
      <x:c r="C225" s="99"/>
      <x:c r="D225" s="99"/>
      <x:c r="E225" s="99"/>
      <x:c r="F225" s="99"/>
      <x:c r="G225" s="99"/>
      <x:c r="H225" s="99"/>
      <x:c r="I225" s="99"/>
      <x:c r="J225" s="99"/>
      <x:c r="K225" s="99"/>
      <x:c r="L225" s="99"/>
      <x:c r="M225" s="99"/>
      <x:c r="N225" s="99"/>
      <x:c r="O225" s="99"/>
      <x:c r="P225" s="99"/>
      <x:c r="Q225" s="99"/>
      <x:c r="R225" s="99"/>
      <x:c r="S225" s="99"/>
      <x:c r="T225" s="99"/>
      <x:c r="U225" s="99"/>
      <x:c r="V225" s="99"/>
      <x:c r="W225" s="99"/>
      <x:c r="X225" s="99"/>
      <x:c r="Y225" s="99"/>
      <x:c r="Z225" s="99"/>
    </x:row>
    <x:row r="226">
      <x:c r="A226" s="99"/>
      <x:c r="B226" s="99"/>
      <x:c r="C226" s="99"/>
      <x:c r="D226" s="99"/>
      <x:c r="E226" s="99"/>
      <x:c r="F226" s="99"/>
      <x:c r="G226" s="99"/>
      <x:c r="H226" s="99"/>
      <x:c r="I226" s="99"/>
      <x:c r="J226" s="99"/>
      <x:c r="K226" s="99"/>
      <x:c r="L226" s="99"/>
      <x:c r="M226" s="99"/>
      <x:c r="N226" s="99"/>
      <x:c r="O226" s="99"/>
      <x:c r="P226" s="99"/>
      <x:c r="Q226" s="99"/>
      <x:c r="R226" s="99"/>
      <x:c r="S226" s="99"/>
      <x:c r="T226" s="99"/>
      <x:c r="U226" s="99"/>
      <x:c r="V226" s="99"/>
      <x:c r="W226" s="99"/>
      <x:c r="X226" s="99"/>
      <x:c r="Y226" s="99"/>
      <x:c r="Z226" s="99"/>
    </x:row>
    <x:row r="227">
      <x:c r="A227" s="99"/>
      <x:c r="B227" s="99"/>
      <x:c r="C227" s="99"/>
      <x:c r="D227" s="99"/>
      <x:c r="E227" s="99"/>
      <x:c r="F227" s="99"/>
      <x:c r="G227" s="99"/>
      <x:c r="H227" s="99"/>
      <x:c r="I227" s="99"/>
      <x:c r="J227" s="99"/>
      <x:c r="K227" s="99"/>
      <x:c r="L227" s="99"/>
      <x:c r="M227" s="99"/>
      <x:c r="N227" s="99"/>
      <x:c r="O227" s="99"/>
      <x:c r="P227" s="99"/>
      <x:c r="Q227" s="99"/>
      <x:c r="R227" s="99"/>
      <x:c r="S227" s="99"/>
      <x:c r="T227" s="99"/>
      <x:c r="U227" s="99"/>
      <x:c r="V227" s="99"/>
      <x:c r="W227" s="99"/>
      <x:c r="X227" s="99"/>
      <x:c r="Y227" s="99"/>
      <x:c r="Z227" s="99"/>
    </x:row>
    <x:row r="228">
      <x:c r="A228" s="99"/>
      <x:c r="B228" s="99"/>
      <x:c r="C228" s="99"/>
      <x:c r="D228" s="99"/>
      <x:c r="E228" s="99"/>
      <x:c r="F228" s="99"/>
      <x:c r="G228" s="99"/>
      <x:c r="H228" s="99"/>
      <x:c r="I228" s="99"/>
      <x:c r="J228" s="99"/>
      <x:c r="K228" s="99"/>
      <x:c r="L228" s="99"/>
      <x:c r="M228" s="99"/>
      <x:c r="N228" s="99"/>
      <x:c r="O228" s="99"/>
      <x:c r="P228" s="99"/>
      <x:c r="Q228" s="99"/>
      <x:c r="R228" s="99"/>
      <x:c r="S228" s="99"/>
      <x:c r="T228" s="99"/>
      <x:c r="U228" s="99"/>
      <x:c r="V228" s="99"/>
      <x:c r="W228" s="99"/>
      <x:c r="X228" s="99"/>
      <x:c r="Y228" s="99"/>
      <x:c r="Z228" s="99"/>
    </x:row>
    <x:row r="229">
      <x:c r="A229" s="99"/>
      <x:c r="B229" s="99"/>
      <x:c r="C229" s="99"/>
      <x:c r="D229" s="99"/>
      <x:c r="E229" s="99"/>
      <x:c r="F229" s="99"/>
      <x:c r="G229" s="99"/>
      <x:c r="H229" s="99"/>
      <x:c r="I229" s="99"/>
      <x:c r="J229" s="99"/>
      <x:c r="K229" s="99"/>
      <x:c r="L229" s="99"/>
      <x:c r="M229" s="99"/>
      <x:c r="N229" s="99"/>
      <x:c r="O229" s="99"/>
      <x:c r="P229" s="99"/>
      <x:c r="Q229" s="99"/>
      <x:c r="R229" s="99"/>
      <x:c r="S229" s="99"/>
      <x:c r="T229" s="99"/>
      <x:c r="U229" s="99"/>
      <x:c r="V229" s="99"/>
      <x:c r="W229" s="99"/>
      <x:c r="X229" s="99"/>
      <x:c r="Y229" s="99"/>
      <x:c r="Z229" s="99"/>
    </x:row>
    <x:row r="230">
      <x:c r="A230" s="99"/>
      <x:c r="B230" s="99"/>
      <x:c r="C230" s="99"/>
      <x:c r="D230" s="99"/>
      <x:c r="E230" s="99"/>
      <x:c r="F230" s="99"/>
      <x:c r="G230" s="99"/>
      <x:c r="H230" s="99"/>
      <x:c r="I230" s="99"/>
      <x:c r="J230" s="99"/>
      <x:c r="K230" s="99"/>
      <x:c r="L230" s="99"/>
      <x:c r="M230" s="99"/>
      <x:c r="N230" s="99"/>
      <x:c r="O230" s="99"/>
      <x:c r="P230" s="99"/>
      <x:c r="Q230" s="99"/>
      <x:c r="R230" s="99"/>
      <x:c r="S230" s="99"/>
      <x:c r="T230" s="99"/>
      <x:c r="U230" s="99"/>
      <x:c r="V230" s="99"/>
      <x:c r="W230" s="99"/>
      <x:c r="X230" s="99"/>
      <x:c r="Y230" s="99"/>
      <x:c r="Z230" s="99"/>
    </x:row>
    <x:row r="231">
      <x:c r="A231" s="99"/>
      <x:c r="B231" s="99"/>
      <x:c r="C231" s="99"/>
      <x:c r="D231" s="99"/>
      <x:c r="E231" s="99"/>
      <x:c r="F231" s="99"/>
      <x:c r="G231" s="99"/>
      <x:c r="H231" s="99"/>
      <x:c r="I231" s="99"/>
      <x:c r="J231" s="99"/>
      <x:c r="K231" s="99"/>
      <x:c r="L231" s="99"/>
      <x:c r="M231" s="99"/>
      <x:c r="N231" s="99"/>
      <x:c r="O231" s="99"/>
      <x:c r="P231" s="99"/>
      <x:c r="Q231" s="99"/>
      <x:c r="R231" s="99"/>
      <x:c r="S231" s="99"/>
      <x:c r="T231" s="99"/>
      <x:c r="U231" s="99"/>
      <x:c r="V231" s="99"/>
      <x:c r="W231" s="99"/>
      <x:c r="X231" s="99"/>
      <x:c r="Y231" s="99"/>
      <x:c r="Z231" s="99"/>
    </x:row>
    <x:row r="232">
      <x:c r="A232" s="99"/>
      <x:c r="B232" s="99"/>
      <x:c r="C232" s="99"/>
      <x:c r="D232" s="99"/>
      <x:c r="E232" s="99"/>
      <x:c r="F232" s="99"/>
      <x:c r="G232" s="99"/>
      <x:c r="H232" s="99"/>
      <x:c r="I232" s="99"/>
      <x:c r="J232" s="99"/>
      <x:c r="K232" s="99"/>
      <x:c r="L232" s="99"/>
      <x:c r="M232" s="99"/>
      <x:c r="N232" s="99"/>
      <x:c r="O232" s="99"/>
      <x:c r="P232" s="99"/>
      <x:c r="Q232" s="99"/>
      <x:c r="R232" s="99"/>
      <x:c r="S232" s="99"/>
      <x:c r="T232" s="99"/>
      <x:c r="U232" s="99"/>
      <x:c r="V232" s="99"/>
      <x:c r="W232" s="99"/>
      <x:c r="X232" s="99"/>
      <x:c r="Y232" s="99"/>
      <x:c r="Z232" s="99"/>
    </x:row>
    <x:row r="233">
      <x:c r="A233" s="99"/>
      <x:c r="B233" s="99"/>
      <x:c r="C233" s="99"/>
      <x:c r="D233" s="99"/>
      <x:c r="E233" s="99"/>
      <x:c r="F233" s="99"/>
      <x:c r="G233" s="99"/>
      <x:c r="H233" s="99"/>
      <x:c r="I233" s="99"/>
      <x:c r="J233" s="99"/>
      <x:c r="K233" s="99"/>
      <x:c r="L233" s="99"/>
      <x:c r="M233" s="99"/>
      <x:c r="N233" s="99"/>
      <x:c r="O233" s="99"/>
      <x:c r="P233" s="99"/>
      <x:c r="Q233" s="99"/>
      <x:c r="R233" s="99"/>
      <x:c r="S233" s="99"/>
      <x:c r="T233" s="99"/>
      <x:c r="U233" s="99"/>
      <x:c r="V233" s="99"/>
      <x:c r="W233" s="99"/>
      <x:c r="X233" s="99"/>
      <x:c r="Y233" s="99"/>
      <x:c r="Z233" s="99"/>
    </x:row>
    <x:row r="234">
      <x:c r="A234" s="99"/>
      <x:c r="B234" s="99"/>
      <x:c r="C234" s="99"/>
      <x:c r="D234" s="99"/>
      <x:c r="E234" s="99"/>
      <x:c r="F234" s="99"/>
      <x:c r="G234" s="99"/>
      <x:c r="H234" s="99"/>
      <x:c r="I234" s="99"/>
      <x:c r="J234" s="99"/>
      <x:c r="K234" s="99"/>
      <x:c r="L234" s="99"/>
      <x:c r="M234" s="99"/>
      <x:c r="N234" s="99"/>
      <x:c r="O234" s="99"/>
      <x:c r="P234" s="99"/>
      <x:c r="Q234" s="99"/>
      <x:c r="R234" s="99"/>
      <x:c r="S234" s="99"/>
      <x:c r="T234" s="99"/>
      <x:c r="U234" s="99"/>
      <x:c r="V234" s="99"/>
      <x:c r="W234" s="99"/>
      <x:c r="X234" s="99"/>
      <x:c r="Y234" s="99"/>
      <x:c r="Z234" s="99"/>
    </x:row>
    <x:row r="235">
      <x:c r="A235" s="99"/>
      <x:c r="B235" s="99"/>
      <x:c r="C235" s="99"/>
      <x:c r="D235" s="99"/>
      <x:c r="E235" s="99"/>
      <x:c r="F235" s="99"/>
      <x:c r="G235" s="99"/>
      <x:c r="H235" s="99"/>
      <x:c r="I235" s="99"/>
      <x:c r="J235" s="99"/>
      <x:c r="K235" s="99"/>
      <x:c r="L235" s="99"/>
      <x:c r="M235" s="99"/>
      <x:c r="N235" s="99"/>
      <x:c r="O235" s="99"/>
      <x:c r="P235" s="99"/>
      <x:c r="Q235" s="99"/>
      <x:c r="R235" s="99"/>
      <x:c r="S235" s="99"/>
      <x:c r="T235" s="99"/>
      <x:c r="U235" s="99"/>
      <x:c r="V235" s="99"/>
      <x:c r="W235" s="99"/>
      <x:c r="X235" s="99"/>
      <x:c r="Y235" s="99"/>
      <x:c r="Z235" s="99"/>
    </x:row>
    <x:row r="236">
      <x:c r="A236" s="99"/>
      <x:c r="B236" s="99"/>
      <x:c r="C236" s="99"/>
      <x:c r="D236" s="99"/>
      <x:c r="E236" s="99"/>
      <x:c r="F236" s="99"/>
      <x:c r="G236" s="99"/>
      <x:c r="H236" s="99"/>
      <x:c r="I236" s="99"/>
      <x:c r="J236" s="99"/>
      <x:c r="K236" s="99"/>
      <x:c r="L236" s="99"/>
      <x:c r="M236" s="99"/>
      <x:c r="N236" s="99"/>
      <x:c r="O236" s="99"/>
      <x:c r="P236" s="99"/>
      <x:c r="Q236" s="99"/>
      <x:c r="R236" s="99"/>
      <x:c r="S236" s="99"/>
      <x:c r="T236" s="99"/>
      <x:c r="U236" s="99"/>
      <x:c r="V236" s="99"/>
      <x:c r="W236" s="99"/>
      <x:c r="X236" s="99"/>
      <x:c r="Y236" s="99"/>
      <x:c r="Z236" s="99"/>
    </x:row>
    <x:row r="237">
      <x:c r="A237" s="99"/>
      <x:c r="B237" s="99"/>
      <x:c r="C237" s="99"/>
      <x:c r="D237" s="99"/>
      <x:c r="E237" s="99"/>
      <x:c r="F237" s="99"/>
      <x:c r="G237" s="99"/>
      <x:c r="H237" s="99"/>
      <x:c r="I237" s="99"/>
      <x:c r="J237" s="99"/>
      <x:c r="K237" s="99"/>
      <x:c r="L237" s="99"/>
      <x:c r="M237" s="99"/>
      <x:c r="N237" s="99"/>
      <x:c r="O237" s="99"/>
      <x:c r="P237" s="99"/>
      <x:c r="Q237" s="99"/>
      <x:c r="R237" s="99"/>
      <x:c r="S237" s="99"/>
      <x:c r="T237" s="99"/>
      <x:c r="U237" s="99"/>
      <x:c r="V237" s="99"/>
      <x:c r="W237" s="99"/>
      <x:c r="X237" s="99"/>
      <x:c r="Y237" s="99"/>
      <x:c r="Z237" s="99"/>
    </x:row>
    <x:row r="238">
      <x:c r="A238" s="99"/>
      <x:c r="B238" s="99"/>
      <x:c r="C238" s="99"/>
      <x:c r="D238" s="99"/>
      <x:c r="E238" s="99"/>
      <x:c r="F238" s="99"/>
      <x:c r="G238" s="99"/>
      <x:c r="H238" s="99"/>
      <x:c r="I238" s="99"/>
      <x:c r="J238" s="99"/>
      <x:c r="K238" s="99"/>
      <x:c r="L238" s="99"/>
      <x:c r="M238" s="99"/>
      <x:c r="N238" s="99"/>
      <x:c r="O238" s="99"/>
      <x:c r="P238" s="99"/>
      <x:c r="Q238" s="99"/>
      <x:c r="R238" s="99"/>
      <x:c r="S238" s="99"/>
      <x:c r="T238" s="99"/>
      <x:c r="U238" s="99"/>
      <x:c r="V238" s="99"/>
      <x:c r="W238" s="99"/>
      <x:c r="X238" s="99"/>
      <x:c r="Y238" s="99"/>
      <x:c r="Z238" s="99"/>
    </x:row>
    <x:row r="239">
      <x:c r="A239" s="99"/>
      <x:c r="B239" s="99"/>
      <x:c r="C239" s="99"/>
      <x:c r="D239" s="99"/>
      <x:c r="E239" s="99"/>
      <x:c r="F239" s="99"/>
      <x:c r="G239" s="99"/>
      <x:c r="H239" s="99"/>
      <x:c r="I239" s="99"/>
      <x:c r="J239" s="99"/>
      <x:c r="K239" s="99"/>
      <x:c r="L239" s="99"/>
      <x:c r="M239" s="99"/>
      <x:c r="N239" s="99"/>
      <x:c r="O239" s="99"/>
      <x:c r="P239" s="99"/>
      <x:c r="Q239" s="99"/>
      <x:c r="R239" s="99"/>
      <x:c r="S239" s="99"/>
      <x:c r="T239" s="99"/>
      <x:c r="U239" s="99"/>
      <x:c r="V239" s="99"/>
      <x:c r="W239" s="99"/>
      <x:c r="X239" s="99"/>
      <x:c r="Y239" s="99"/>
      <x:c r="Z239" s="99"/>
    </x:row>
    <x:row r="240">
      <x:c r="A240" s="99"/>
      <x:c r="B240" s="99"/>
      <x:c r="C240" s="99"/>
      <x:c r="D240" s="99"/>
      <x:c r="E240" s="99"/>
      <x:c r="F240" s="99"/>
      <x:c r="G240" s="99"/>
      <x:c r="H240" s="99"/>
      <x:c r="I240" s="99"/>
      <x:c r="J240" s="99"/>
      <x:c r="K240" s="99"/>
      <x:c r="L240" s="99"/>
      <x:c r="M240" s="99"/>
      <x:c r="N240" s="99"/>
      <x:c r="O240" s="99"/>
      <x:c r="P240" s="99"/>
      <x:c r="Q240" s="99"/>
      <x:c r="R240" s="99"/>
      <x:c r="S240" s="99"/>
      <x:c r="T240" s="99"/>
      <x:c r="U240" s="99"/>
      <x:c r="V240" s="99"/>
      <x:c r="W240" s="99"/>
      <x:c r="X240" s="99"/>
      <x:c r="Y240" s="99"/>
      <x:c r="Z240" s="99"/>
    </x:row>
    <x:row r="241">
      <x:c r="A241" s="99"/>
      <x:c r="B241" s="99"/>
      <x:c r="C241" s="99"/>
      <x:c r="D241" s="99"/>
      <x:c r="E241" s="99"/>
      <x:c r="F241" s="99"/>
      <x:c r="G241" s="99"/>
      <x:c r="H241" s="99"/>
      <x:c r="I241" s="99"/>
      <x:c r="J241" s="99"/>
      <x:c r="K241" s="99"/>
      <x:c r="L241" s="99"/>
      <x:c r="M241" s="99"/>
      <x:c r="N241" s="99"/>
      <x:c r="O241" s="99"/>
      <x:c r="P241" s="99"/>
      <x:c r="Q241" s="99"/>
      <x:c r="R241" s="99"/>
      <x:c r="S241" s="99"/>
      <x:c r="T241" s="99"/>
      <x:c r="U241" s="99"/>
      <x:c r="V241" s="99"/>
      <x:c r="W241" s="99"/>
      <x:c r="X241" s="99"/>
      <x:c r="Y241" s="99"/>
      <x:c r="Z241" s="99"/>
    </x:row>
    <x:row r="242">
      <x:c r="A242" s="99"/>
      <x:c r="B242" s="99"/>
      <x:c r="C242" s="99"/>
      <x:c r="D242" s="99"/>
      <x:c r="E242" s="99"/>
      <x:c r="F242" s="99"/>
      <x:c r="G242" s="99"/>
      <x:c r="H242" s="99"/>
      <x:c r="I242" s="99"/>
      <x:c r="J242" s="99"/>
      <x:c r="K242" s="99"/>
      <x:c r="L242" s="99"/>
      <x:c r="M242" s="99"/>
      <x:c r="N242" s="99"/>
      <x:c r="O242" s="99"/>
      <x:c r="P242" s="99"/>
      <x:c r="Q242" s="99"/>
      <x:c r="R242" s="99"/>
      <x:c r="S242" s="99"/>
      <x:c r="T242" s="99"/>
      <x:c r="U242" s="99"/>
      <x:c r="V242" s="99"/>
      <x:c r="W242" s="99"/>
      <x:c r="X242" s="99"/>
      <x:c r="Y242" s="99"/>
      <x:c r="Z242" s="99"/>
    </x:row>
    <x:row r="243">
      <x:c r="A243" s="99"/>
      <x:c r="B243" s="99"/>
      <x:c r="C243" s="99"/>
      <x:c r="D243" s="99"/>
      <x:c r="E243" s="99"/>
      <x:c r="F243" s="99"/>
      <x:c r="G243" s="99"/>
      <x:c r="H243" s="99"/>
      <x:c r="I243" s="99"/>
      <x:c r="J243" s="99"/>
      <x:c r="K243" s="99"/>
      <x:c r="L243" s="99"/>
      <x:c r="M243" s="99"/>
      <x:c r="N243" s="99"/>
      <x:c r="O243" s="99"/>
      <x:c r="P243" s="99"/>
      <x:c r="Q243" s="99"/>
      <x:c r="R243" s="99"/>
      <x:c r="S243" s="99"/>
      <x:c r="T243" s="99"/>
      <x:c r="U243" s="99"/>
      <x:c r="V243" s="99"/>
      <x:c r="W243" s="99"/>
      <x:c r="X243" s="99"/>
      <x:c r="Y243" s="99"/>
      <x:c r="Z243" s="99"/>
    </x:row>
    <x:row r="244">
      <x:c r="A244" s="99"/>
      <x:c r="B244" s="99"/>
      <x:c r="C244" s="99"/>
      <x:c r="D244" s="99"/>
      <x:c r="E244" s="99"/>
      <x:c r="F244" s="99"/>
      <x:c r="G244" s="99"/>
      <x:c r="H244" s="99"/>
      <x:c r="I244" s="99"/>
      <x:c r="J244" s="99"/>
      <x:c r="K244" s="99"/>
      <x:c r="L244" s="99"/>
      <x:c r="M244" s="99"/>
      <x:c r="N244" s="99"/>
      <x:c r="O244" s="99"/>
      <x:c r="P244" s="99"/>
      <x:c r="Q244" s="99"/>
      <x:c r="R244" s="99"/>
      <x:c r="S244" s="99"/>
      <x:c r="T244" s="99"/>
      <x:c r="U244" s="99"/>
      <x:c r="V244" s="99"/>
      <x:c r="W244" s="99"/>
      <x:c r="X244" s="99"/>
      <x:c r="Y244" s="99"/>
      <x:c r="Z244" s="99"/>
    </x:row>
    <x:row r="245">
      <x:c r="A245" s="99"/>
      <x:c r="B245" s="99"/>
      <x:c r="C245" s="99"/>
      <x:c r="D245" s="99"/>
      <x:c r="E245" s="99"/>
      <x:c r="F245" s="99"/>
      <x:c r="G245" s="99"/>
      <x:c r="H245" s="99"/>
      <x:c r="I245" s="99"/>
      <x:c r="J245" s="99"/>
      <x:c r="K245" s="99"/>
      <x:c r="L245" s="99"/>
      <x:c r="M245" s="99"/>
      <x:c r="N245" s="99"/>
      <x:c r="O245" s="99"/>
      <x:c r="P245" s="99"/>
      <x:c r="Q245" s="99"/>
      <x:c r="R245" s="99"/>
      <x:c r="S245" s="99"/>
      <x:c r="T245" s="99"/>
      <x:c r="U245" s="99"/>
      <x:c r="V245" s="99"/>
      <x:c r="W245" s="99"/>
      <x:c r="X245" s="99"/>
      <x:c r="Y245" s="99"/>
      <x:c r="Z245" s="99"/>
    </x:row>
    <x:row r="246">
      <x:c r="A246" s="99"/>
      <x:c r="B246" s="99"/>
      <x:c r="C246" s="99"/>
      <x:c r="D246" s="99"/>
      <x:c r="E246" s="99"/>
      <x:c r="F246" s="99"/>
      <x:c r="G246" s="99"/>
      <x:c r="H246" s="99"/>
      <x:c r="I246" s="99"/>
      <x:c r="J246" s="99"/>
      <x:c r="K246" s="99"/>
      <x:c r="L246" s="99"/>
      <x:c r="M246" s="99"/>
      <x:c r="N246" s="99"/>
      <x:c r="O246" s="99"/>
      <x:c r="P246" s="99"/>
      <x:c r="Q246" s="99"/>
      <x:c r="R246" s="99"/>
      <x:c r="S246" s="99"/>
      <x:c r="T246" s="99"/>
      <x:c r="U246" s="99"/>
      <x:c r="V246" s="99"/>
      <x:c r="W246" s="99"/>
      <x:c r="X246" s="99"/>
      <x:c r="Y246" s="99"/>
      <x:c r="Z246" s="99"/>
    </x:row>
    <x:row r="247">
      <x:c r="A247" s="99"/>
      <x:c r="B247" s="99"/>
      <x:c r="C247" s="99"/>
      <x:c r="D247" s="99"/>
      <x:c r="E247" s="99"/>
      <x:c r="F247" s="99"/>
      <x:c r="G247" s="99"/>
      <x:c r="H247" s="99"/>
      <x:c r="I247" s="99"/>
      <x:c r="J247" s="99"/>
      <x:c r="K247" s="99"/>
      <x:c r="L247" s="99"/>
      <x:c r="M247" s="99"/>
      <x:c r="N247" s="99"/>
      <x:c r="O247" s="99"/>
      <x:c r="P247" s="99"/>
      <x:c r="Q247" s="99"/>
      <x:c r="R247" s="99"/>
      <x:c r="S247" s="99"/>
      <x:c r="T247" s="99"/>
      <x:c r="U247" s="99"/>
      <x:c r="V247" s="99"/>
      <x:c r="W247" s="99"/>
      <x:c r="X247" s="99"/>
      <x:c r="Y247" s="99"/>
      <x:c r="Z247" s="99"/>
    </x:row>
    <x:row r="248">
      <x:c r="A248" s="99"/>
      <x:c r="B248" s="99"/>
      <x:c r="C248" s="99"/>
      <x:c r="D248" s="99"/>
      <x:c r="E248" s="99"/>
      <x:c r="F248" s="99"/>
      <x:c r="G248" s="99"/>
      <x:c r="H248" s="99"/>
      <x:c r="I248" s="99"/>
      <x:c r="J248" s="99"/>
      <x:c r="K248" s="99"/>
      <x:c r="L248" s="99"/>
      <x:c r="M248" s="99"/>
      <x:c r="N248" s="99"/>
      <x:c r="O248" s="99"/>
      <x:c r="P248" s="99"/>
      <x:c r="Q248" s="99"/>
      <x:c r="R248" s="99"/>
      <x:c r="S248" s="99"/>
      <x:c r="T248" s="99"/>
      <x:c r="U248" s="99"/>
      <x:c r="V248" s="99"/>
      <x:c r="W248" s="99"/>
      <x:c r="X248" s="99"/>
      <x:c r="Y248" s="99"/>
      <x:c r="Z248" s="99"/>
    </x:row>
    <x:row r="249">
      <x:c r="A249" s="99"/>
      <x:c r="B249" s="99"/>
      <x:c r="C249" s="99"/>
      <x:c r="D249" s="99"/>
      <x:c r="E249" s="99"/>
      <x:c r="F249" s="99"/>
      <x:c r="G249" s="99"/>
      <x:c r="H249" s="99"/>
      <x:c r="I249" s="99"/>
      <x:c r="J249" s="99"/>
      <x:c r="K249" s="99"/>
      <x:c r="L249" s="99"/>
      <x:c r="M249" s="99"/>
      <x:c r="N249" s="99"/>
      <x:c r="O249" s="99"/>
      <x:c r="P249" s="99"/>
      <x:c r="Q249" s="99"/>
      <x:c r="R249" s="99"/>
      <x:c r="S249" s="99"/>
      <x:c r="T249" s="99"/>
      <x:c r="U249" s="99"/>
      <x:c r="V249" s="99"/>
      <x:c r="W249" s="99"/>
      <x:c r="X249" s="99"/>
      <x:c r="Y249" s="99"/>
      <x:c r="Z249" s="99"/>
    </x:row>
    <x:row r="250">
      <x:c r="A250" s="99"/>
      <x:c r="B250" s="99"/>
      <x:c r="C250" s="99"/>
      <x:c r="D250" s="99"/>
      <x:c r="E250" s="99"/>
      <x:c r="F250" s="99"/>
      <x:c r="G250" s="99"/>
      <x:c r="H250" s="99"/>
      <x:c r="I250" s="99"/>
      <x:c r="J250" s="99"/>
      <x:c r="K250" s="99"/>
      <x:c r="L250" s="99"/>
      <x:c r="M250" s="99"/>
      <x:c r="N250" s="99"/>
      <x:c r="O250" s="99"/>
      <x:c r="P250" s="99"/>
      <x:c r="Q250" s="99"/>
      <x:c r="R250" s="99"/>
      <x:c r="S250" s="99"/>
      <x:c r="T250" s="99"/>
      <x:c r="U250" s="99"/>
      <x:c r="V250" s="99"/>
      <x:c r="W250" s="99"/>
      <x:c r="X250" s="99"/>
      <x:c r="Y250" s="99"/>
      <x:c r="Z250" s="99"/>
    </x:row>
    <x:row r="251">
      <x:c r="A251" s="99"/>
      <x:c r="B251" s="99"/>
      <x:c r="C251" s="99"/>
      <x:c r="D251" s="99"/>
      <x:c r="E251" s="99"/>
      <x:c r="F251" s="99"/>
      <x:c r="G251" s="99"/>
      <x:c r="H251" s="99"/>
      <x:c r="I251" s="99"/>
      <x:c r="J251" s="99"/>
      <x:c r="K251" s="99"/>
      <x:c r="L251" s="99"/>
      <x:c r="M251" s="99"/>
      <x:c r="N251" s="99"/>
      <x:c r="O251" s="99"/>
      <x:c r="P251" s="99"/>
      <x:c r="Q251" s="99"/>
      <x:c r="R251" s="99"/>
      <x:c r="S251" s="99"/>
      <x:c r="T251" s="99"/>
      <x:c r="U251" s="99"/>
      <x:c r="V251" s="99"/>
      <x:c r="W251" s="99"/>
      <x:c r="X251" s="99"/>
      <x:c r="Y251" s="99"/>
      <x:c r="Z251" s="99"/>
    </x:row>
    <x:row r="252">
      <x:c r="A252" s="99"/>
      <x:c r="B252" s="99"/>
      <x:c r="C252" s="99"/>
      <x:c r="D252" s="99"/>
      <x:c r="E252" s="99"/>
      <x:c r="F252" s="99"/>
      <x:c r="G252" s="99"/>
      <x:c r="H252" s="99"/>
      <x:c r="I252" s="99"/>
      <x:c r="J252" s="99"/>
      <x:c r="K252" s="99"/>
      <x:c r="L252" s="99"/>
      <x:c r="M252" s="99"/>
      <x:c r="N252" s="99"/>
      <x:c r="O252" s="99"/>
      <x:c r="P252" s="99"/>
      <x:c r="Q252" s="99"/>
      <x:c r="R252" s="99"/>
      <x:c r="S252" s="99"/>
      <x:c r="T252" s="99"/>
      <x:c r="U252" s="99"/>
      <x:c r="V252" s="99"/>
      <x:c r="W252" s="99"/>
      <x:c r="X252" s="99"/>
      <x:c r="Y252" s="99"/>
      <x:c r="Z252" s="99"/>
    </x:row>
    <x:row r="253">
      <x:c r="A253" s="99"/>
      <x:c r="B253" s="99"/>
      <x:c r="C253" s="99"/>
      <x:c r="D253" s="99"/>
      <x:c r="E253" s="99"/>
      <x:c r="F253" s="99"/>
      <x:c r="G253" s="99"/>
      <x:c r="H253" s="99"/>
      <x:c r="I253" s="99"/>
      <x:c r="J253" s="99"/>
      <x:c r="K253" s="99"/>
      <x:c r="L253" s="99"/>
      <x:c r="M253" s="99"/>
      <x:c r="N253" s="99"/>
      <x:c r="O253" s="99"/>
      <x:c r="P253" s="99"/>
      <x:c r="Q253" s="99"/>
      <x:c r="R253" s="99"/>
      <x:c r="S253" s="99"/>
      <x:c r="T253" s="99"/>
      <x:c r="U253" s="99"/>
      <x:c r="V253" s="99"/>
      <x:c r="W253" s="99"/>
      <x:c r="X253" s="99"/>
      <x:c r="Y253" s="99"/>
      <x:c r="Z253" s="99"/>
    </x:row>
    <x:row r="254">
      <x:c r="A254" s="99"/>
      <x:c r="B254" s="99"/>
      <x:c r="C254" s="99"/>
      <x:c r="D254" s="99"/>
      <x:c r="E254" s="99"/>
      <x:c r="F254" s="99"/>
      <x:c r="G254" s="99"/>
      <x:c r="H254" s="99"/>
      <x:c r="I254" s="99"/>
      <x:c r="J254" s="99"/>
      <x:c r="K254" s="99"/>
      <x:c r="L254" s="99"/>
      <x:c r="M254" s="99"/>
      <x:c r="N254" s="99"/>
      <x:c r="O254" s="99"/>
      <x:c r="P254" s="99"/>
      <x:c r="Q254" s="99"/>
      <x:c r="R254" s="99"/>
      <x:c r="S254" s="99"/>
      <x:c r="T254" s="99"/>
      <x:c r="U254" s="99"/>
      <x:c r="V254" s="99"/>
      <x:c r="W254" s="99"/>
      <x:c r="X254" s="99"/>
      <x:c r="Y254" s="99"/>
      <x:c r="Z254" s="99"/>
    </x:row>
    <x:row r="255">
      <x:c r="A255" s="99"/>
      <x:c r="B255" s="99"/>
      <x:c r="C255" s="99"/>
      <x:c r="D255" s="99"/>
      <x:c r="E255" s="99"/>
      <x:c r="F255" s="99"/>
      <x:c r="G255" s="99"/>
      <x:c r="H255" s="99"/>
      <x:c r="I255" s="99"/>
      <x:c r="J255" s="99"/>
      <x:c r="K255" s="99"/>
      <x:c r="L255" s="99"/>
      <x:c r="M255" s="99"/>
      <x:c r="N255" s="99"/>
      <x:c r="O255" s="99"/>
      <x:c r="P255" s="99"/>
      <x:c r="Q255" s="99"/>
      <x:c r="R255" s="99"/>
      <x:c r="S255" s="99"/>
      <x:c r="T255" s="99"/>
      <x:c r="U255" s="99"/>
      <x:c r="V255" s="99"/>
      <x:c r="W255" s="99"/>
      <x:c r="X255" s="99"/>
      <x:c r="Y255" s="99"/>
      <x:c r="Z255" s="99"/>
    </x:row>
    <x:row r="256">
      <x:c r="A256" s="99"/>
      <x:c r="B256" s="99"/>
      <x:c r="C256" s="99"/>
      <x:c r="D256" s="99"/>
      <x:c r="E256" s="99"/>
      <x:c r="F256" s="99"/>
      <x:c r="G256" s="99"/>
      <x:c r="H256" s="99"/>
      <x:c r="I256" s="99"/>
      <x:c r="J256" s="99"/>
      <x:c r="K256" s="99"/>
      <x:c r="L256" s="99"/>
      <x:c r="M256" s="99"/>
      <x:c r="N256" s="99"/>
      <x:c r="O256" s="99"/>
      <x:c r="P256" s="99"/>
      <x:c r="Q256" s="99"/>
      <x:c r="R256" s="99"/>
      <x:c r="S256" s="99"/>
      <x:c r="T256" s="99"/>
      <x:c r="U256" s="99"/>
      <x:c r="V256" s="99"/>
      <x:c r="W256" s="99"/>
      <x:c r="X256" s="99"/>
      <x:c r="Y256" s="99"/>
      <x:c r="Z256" s="99"/>
    </x:row>
    <x:row r="257">
      <x:c r="A257" s="99"/>
      <x:c r="B257" s="99"/>
      <x:c r="C257" s="99"/>
      <x:c r="D257" s="99"/>
      <x:c r="E257" s="99"/>
      <x:c r="F257" s="99"/>
      <x:c r="G257" s="99"/>
      <x:c r="H257" s="99"/>
      <x:c r="I257" s="99"/>
      <x:c r="J257" s="99"/>
      <x:c r="K257" s="99"/>
      <x:c r="L257" s="99"/>
      <x:c r="M257" s="99"/>
      <x:c r="N257" s="99"/>
      <x:c r="O257" s="99"/>
      <x:c r="P257" s="99"/>
      <x:c r="Q257" s="99"/>
      <x:c r="R257" s="99"/>
      <x:c r="S257" s="99"/>
      <x:c r="T257" s="99"/>
      <x:c r="U257" s="99"/>
      <x:c r="V257" s="99"/>
      <x:c r="W257" s="99"/>
      <x:c r="X257" s="99"/>
      <x:c r="Y257" s="99"/>
      <x:c r="Z257" s="99"/>
    </x:row>
    <x:row r="258">
      <x:c r="A258" s="99"/>
      <x:c r="B258" s="99"/>
      <x:c r="C258" s="99"/>
      <x:c r="D258" s="99"/>
      <x:c r="E258" s="99"/>
      <x:c r="F258" s="99"/>
      <x:c r="G258" s="99"/>
      <x:c r="H258" s="99"/>
      <x:c r="I258" s="99"/>
      <x:c r="J258" s="99"/>
      <x:c r="K258" s="99"/>
      <x:c r="L258" s="99"/>
      <x:c r="M258" s="99"/>
      <x:c r="N258" s="99"/>
      <x:c r="O258" s="99"/>
      <x:c r="P258" s="99"/>
      <x:c r="Q258" s="99"/>
      <x:c r="R258" s="99"/>
      <x:c r="S258" s="99"/>
      <x:c r="T258" s="99"/>
      <x:c r="U258" s="99"/>
      <x:c r="V258" s="99"/>
      <x:c r="W258" s="99"/>
      <x:c r="X258" s="99"/>
      <x:c r="Y258" s="99"/>
      <x:c r="Z258" s="99"/>
    </x:row>
    <x:row r="259">
      <x:c r="A259" s="99"/>
      <x:c r="B259" s="99"/>
      <x:c r="C259" s="99"/>
      <x:c r="D259" s="99"/>
      <x:c r="E259" s="99"/>
      <x:c r="F259" s="99"/>
      <x:c r="G259" s="99"/>
      <x:c r="H259" s="99"/>
      <x:c r="I259" s="99"/>
      <x:c r="J259" s="99"/>
      <x:c r="K259" s="99"/>
      <x:c r="L259" s="99"/>
      <x:c r="M259" s="99"/>
      <x:c r="N259" s="99"/>
      <x:c r="O259" s="99"/>
      <x:c r="P259" s="99"/>
      <x:c r="Q259" s="99"/>
      <x:c r="R259" s="99"/>
      <x:c r="S259" s="99"/>
      <x:c r="T259" s="99"/>
      <x:c r="U259" s="99"/>
      <x:c r="V259" s="99"/>
      <x:c r="W259" s="99"/>
      <x:c r="X259" s="99"/>
      <x:c r="Y259" s="99"/>
      <x:c r="Z259" s="99"/>
    </x:row>
    <x:row r="260">
      <x:c r="A260" s="99"/>
      <x:c r="B260" s="99"/>
      <x:c r="C260" s="99"/>
      <x:c r="D260" s="99"/>
      <x:c r="E260" s="99"/>
      <x:c r="F260" s="99"/>
      <x:c r="G260" s="99"/>
      <x:c r="H260" s="99"/>
      <x:c r="I260" s="99"/>
      <x:c r="J260" s="99"/>
      <x:c r="K260" s="99"/>
      <x:c r="L260" s="99"/>
      <x:c r="M260" s="99"/>
      <x:c r="N260" s="99"/>
      <x:c r="O260" s="99"/>
      <x:c r="P260" s="99"/>
      <x:c r="Q260" s="99"/>
      <x:c r="R260" s="99"/>
      <x:c r="S260" s="99"/>
      <x:c r="T260" s="99"/>
      <x:c r="U260" s="99"/>
      <x:c r="V260" s="99"/>
      <x:c r="W260" s="99"/>
      <x:c r="X260" s="99"/>
      <x:c r="Y260" s="99"/>
      <x:c r="Z260" s="99"/>
    </x:row>
    <x:row r="261">
      <x:c r="A261" s="99"/>
      <x:c r="B261" s="99"/>
      <x:c r="C261" s="99"/>
      <x:c r="D261" s="99"/>
      <x:c r="E261" s="99"/>
      <x:c r="F261" s="99"/>
      <x:c r="G261" s="99"/>
      <x:c r="H261" s="99"/>
      <x:c r="I261" s="99"/>
      <x:c r="J261" s="99"/>
      <x:c r="K261" s="99"/>
      <x:c r="L261" s="99"/>
      <x:c r="M261" s="99"/>
      <x:c r="N261" s="99"/>
      <x:c r="O261" s="99"/>
      <x:c r="P261" s="99"/>
      <x:c r="Q261" s="99"/>
      <x:c r="R261" s="99"/>
      <x:c r="S261" s="99"/>
      <x:c r="T261" s="99"/>
      <x:c r="U261" s="99"/>
      <x:c r="V261" s="99"/>
      <x:c r="W261" s="99"/>
      <x:c r="X261" s="99"/>
      <x:c r="Y261" s="99"/>
      <x:c r="Z261" s="99"/>
    </x:row>
    <x:row r="262">
      <x:c r="A262" s="99"/>
      <x:c r="B262" s="99"/>
      <x:c r="C262" s="99"/>
      <x:c r="D262" s="99"/>
      <x:c r="E262" s="99"/>
      <x:c r="F262" s="99"/>
      <x:c r="G262" s="99"/>
      <x:c r="H262" s="99"/>
      <x:c r="I262" s="99"/>
      <x:c r="J262" s="99"/>
      <x:c r="K262" s="99"/>
      <x:c r="L262" s="99"/>
      <x:c r="M262" s="99"/>
      <x:c r="N262" s="99"/>
      <x:c r="O262" s="99"/>
      <x:c r="P262" s="99"/>
      <x:c r="Q262" s="99"/>
      <x:c r="R262" s="99"/>
      <x:c r="S262" s="99"/>
      <x:c r="T262" s="99"/>
      <x:c r="U262" s="99"/>
      <x:c r="V262" s="99"/>
      <x:c r="W262" s="99"/>
      <x:c r="X262" s="99"/>
      <x:c r="Y262" s="99"/>
      <x:c r="Z262" s="99"/>
    </x:row>
    <x:row r="263">
      <x:c r="A263" s="99"/>
      <x:c r="B263" s="99"/>
      <x:c r="C263" s="99"/>
      <x:c r="D263" s="99"/>
      <x:c r="E263" s="99"/>
      <x:c r="F263" s="99"/>
      <x:c r="G263" s="99"/>
      <x:c r="H263" s="99"/>
      <x:c r="I263" s="99"/>
      <x:c r="J263" s="99"/>
      <x:c r="K263" s="99"/>
      <x:c r="L263" s="99"/>
      <x:c r="M263" s="99"/>
      <x:c r="N263" s="99"/>
      <x:c r="O263" s="99"/>
      <x:c r="P263" s="99"/>
      <x:c r="Q263" s="99"/>
      <x:c r="R263" s="99"/>
      <x:c r="S263" s="99"/>
      <x:c r="T263" s="99"/>
      <x:c r="U263" s="99"/>
      <x:c r="V263" s="99"/>
      <x:c r="W263" s="99"/>
      <x:c r="X263" s="99"/>
      <x:c r="Y263" s="99"/>
      <x:c r="Z263" s="99"/>
    </x:row>
    <x:row r="264">
      <x:c r="A264" s="99"/>
      <x:c r="B264" s="99"/>
      <x:c r="C264" s="99"/>
      <x:c r="D264" s="99"/>
      <x:c r="E264" s="99"/>
      <x:c r="F264" s="99"/>
      <x:c r="G264" s="99"/>
      <x:c r="H264" s="99"/>
      <x:c r="I264" s="99"/>
      <x:c r="J264" s="99"/>
      <x:c r="K264" s="99"/>
      <x:c r="L264" s="99"/>
      <x:c r="M264" s="99"/>
      <x:c r="N264" s="99"/>
      <x:c r="O264" s="99"/>
      <x:c r="P264" s="99"/>
      <x:c r="Q264" s="99"/>
      <x:c r="R264" s="99"/>
      <x:c r="S264" s="99"/>
      <x:c r="T264" s="99"/>
      <x:c r="U264" s="99"/>
      <x:c r="V264" s="99"/>
      <x:c r="W264" s="99"/>
      <x:c r="X264" s="99"/>
      <x:c r="Y264" s="99"/>
      <x:c r="Z264" s="99"/>
    </x:row>
    <x:row r="265">
      <x:c r="A265" s="99"/>
      <x:c r="B265" s="99"/>
      <x:c r="C265" s="99"/>
      <x:c r="D265" s="99"/>
      <x:c r="E265" s="99"/>
      <x:c r="F265" s="99"/>
      <x:c r="G265" s="99"/>
      <x:c r="H265" s="99"/>
      <x:c r="I265" s="99"/>
      <x:c r="J265" s="99"/>
      <x:c r="K265" s="99"/>
      <x:c r="L265" s="99"/>
      <x:c r="M265" s="99"/>
      <x:c r="N265" s="99"/>
      <x:c r="O265" s="99"/>
      <x:c r="P265" s="99"/>
      <x:c r="Q265" s="99"/>
      <x:c r="R265" s="99"/>
      <x:c r="S265" s="99"/>
      <x:c r="T265" s="99"/>
      <x:c r="U265" s="99"/>
      <x:c r="V265" s="99"/>
      <x:c r="W265" s="99"/>
      <x:c r="X265" s="99"/>
      <x:c r="Y265" s="99"/>
      <x:c r="Z265" s="99"/>
    </x:row>
    <x:row r="266">
      <x:c r="A266" s="99"/>
      <x:c r="B266" s="99"/>
      <x:c r="C266" s="99"/>
      <x:c r="D266" s="99"/>
      <x:c r="E266" s="99"/>
      <x:c r="F266" s="99"/>
      <x:c r="G266" s="99"/>
      <x:c r="H266" s="99"/>
      <x:c r="I266" s="99"/>
      <x:c r="J266" s="99"/>
      <x:c r="K266" s="99"/>
      <x:c r="L266" s="99"/>
      <x:c r="M266" s="99"/>
      <x:c r="N266" s="99"/>
      <x:c r="O266" s="99"/>
      <x:c r="P266" s="99"/>
      <x:c r="Q266" s="99"/>
      <x:c r="R266" s="99"/>
      <x:c r="S266" s="99"/>
      <x:c r="T266" s="99"/>
      <x:c r="U266" s="99"/>
      <x:c r="V266" s="99"/>
      <x:c r="W266" s="99"/>
      <x:c r="X266" s="99"/>
      <x:c r="Y266" s="99"/>
      <x:c r="Z266" s="99"/>
    </x:row>
    <x:row r="267">
      <x:c r="A267" s="99"/>
      <x:c r="B267" s="99"/>
      <x:c r="C267" s="99"/>
      <x:c r="D267" s="99"/>
      <x:c r="E267" s="99"/>
      <x:c r="F267" s="99"/>
      <x:c r="G267" s="99"/>
      <x:c r="H267" s="99"/>
      <x:c r="I267" s="99"/>
      <x:c r="J267" s="99"/>
      <x:c r="K267" s="99"/>
      <x:c r="L267" s="99"/>
      <x:c r="M267" s="99"/>
      <x:c r="N267" s="99"/>
      <x:c r="O267" s="99"/>
      <x:c r="P267" s="99"/>
      <x:c r="Q267" s="99"/>
      <x:c r="R267" s="99"/>
      <x:c r="S267" s="99"/>
      <x:c r="T267" s="99"/>
      <x:c r="U267" s="99"/>
      <x:c r="V267" s="99"/>
      <x:c r="W267" s="99"/>
      <x:c r="X267" s="99"/>
      <x:c r="Y267" s="99"/>
      <x:c r="Z267" s="99"/>
    </x:row>
    <x:row r="268">
      <x:c r="A268" s="99"/>
      <x:c r="B268" s="99"/>
      <x:c r="C268" s="99"/>
      <x:c r="D268" s="99"/>
      <x:c r="E268" s="99"/>
      <x:c r="F268" s="99"/>
      <x:c r="G268" s="99"/>
      <x:c r="H268" s="99"/>
      <x:c r="I268" s="99"/>
      <x:c r="J268" s="99"/>
      <x:c r="K268" s="99"/>
      <x:c r="L268" s="99"/>
      <x:c r="M268" s="99"/>
      <x:c r="N268" s="99"/>
      <x:c r="O268" s="99"/>
      <x:c r="P268" s="99"/>
      <x:c r="Q268" s="99"/>
      <x:c r="R268" s="99"/>
      <x:c r="S268" s="99"/>
      <x:c r="T268" s="99"/>
      <x:c r="U268" s="99"/>
      <x:c r="V268" s="99"/>
      <x:c r="W268" s="99"/>
      <x:c r="X268" s="99"/>
      <x:c r="Y268" s="99"/>
      <x:c r="Z268" s="99"/>
    </x:row>
    <x:row r="269">
      <x:c r="A269" s="99"/>
      <x:c r="B269" s="99"/>
      <x:c r="C269" s="99"/>
      <x:c r="D269" s="99"/>
      <x:c r="E269" s="99"/>
      <x:c r="F269" s="99"/>
      <x:c r="G269" s="99"/>
      <x:c r="H269" s="99"/>
      <x:c r="I269" s="99"/>
      <x:c r="J269" s="99"/>
      <x:c r="K269" s="99"/>
      <x:c r="L269" s="99"/>
      <x:c r="M269" s="99"/>
      <x:c r="N269" s="99"/>
      <x:c r="O269" s="99"/>
      <x:c r="P269" s="99"/>
      <x:c r="Q269" s="99"/>
      <x:c r="R269" s="99"/>
      <x:c r="S269" s="99"/>
      <x:c r="T269" s="99"/>
      <x:c r="U269" s="99"/>
      <x:c r="V269" s="99"/>
      <x:c r="W269" s="99"/>
      <x:c r="X269" s="99"/>
      <x:c r="Y269" s="99"/>
      <x:c r="Z269" s="99"/>
    </x:row>
    <x:row r="270">
      <x:c r="A270" s="99"/>
      <x:c r="B270" s="99"/>
      <x:c r="C270" s="99"/>
      <x:c r="D270" s="99"/>
      <x:c r="E270" s="99"/>
      <x:c r="F270" s="99"/>
      <x:c r="G270" s="99"/>
      <x:c r="H270" s="99"/>
      <x:c r="I270" s="99"/>
      <x:c r="J270" s="99"/>
      <x:c r="K270" s="99"/>
      <x:c r="L270" s="99"/>
      <x:c r="M270" s="99"/>
      <x:c r="N270" s="99"/>
      <x:c r="O270" s="99"/>
      <x:c r="P270" s="99"/>
      <x:c r="Q270" s="99"/>
      <x:c r="R270" s="99"/>
      <x:c r="S270" s="99"/>
      <x:c r="T270" s="99"/>
      <x:c r="U270" s="99"/>
      <x:c r="V270" s="99"/>
      <x:c r="W270" s="99"/>
      <x:c r="X270" s="99"/>
      <x:c r="Y270" s="99"/>
      <x:c r="Z270" s="99"/>
    </x:row>
    <x:row r="271">
      <x:c r="A271" s="99"/>
      <x:c r="B271" s="99"/>
      <x:c r="C271" s="99"/>
      <x:c r="D271" s="99"/>
      <x:c r="E271" s="99"/>
      <x:c r="F271" s="99"/>
      <x:c r="G271" s="99"/>
      <x:c r="H271" s="99"/>
      <x:c r="I271" s="99"/>
      <x:c r="J271" s="99"/>
      <x:c r="K271" s="99"/>
      <x:c r="L271" s="99"/>
      <x:c r="M271" s="99"/>
      <x:c r="N271" s="99"/>
      <x:c r="O271" s="99"/>
      <x:c r="P271" s="99"/>
      <x:c r="Q271" s="99"/>
      <x:c r="R271" s="99"/>
      <x:c r="S271" s="99"/>
      <x:c r="T271" s="99"/>
      <x:c r="U271" s="99"/>
      <x:c r="V271" s="99"/>
      <x:c r="W271" s="99"/>
      <x:c r="X271" s="99"/>
      <x:c r="Y271" s="99"/>
      <x:c r="Z271" s="99"/>
    </x:row>
    <x:row r="272">
      <x:c r="A272" s="99"/>
      <x:c r="B272" s="99"/>
      <x:c r="C272" s="99"/>
      <x:c r="D272" s="99"/>
      <x:c r="E272" s="99"/>
      <x:c r="F272" s="99"/>
      <x:c r="G272" s="99"/>
      <x:c r="H272" s="99"/>
      <x:c r="I272" s="99"/>
      <x:c r="J272" s="99"/>
      <x:c r="K272" s="99"/>
      <x:c r="L272" s="99"/>
      <x:c r="M272" s="99"/>
      <x:c r="N272" s="99"/>
      <x:c r="O272" s="99"/>
      <x:c r="P272" s="99"/>
      <x:c r="Q272" s="99"/>
      <x:c r="R272" s="99"/>
      <x:c r="S272" s="99"/>
      <x:c r="T272" s="99"/>
      <x:c r="U272" s="99"/>
      <x:c r="V272" s="99"/>
      <x:c r="W272" s="99"/>
      <x:c r="X272" s="99"/>
      <x:c r="Y272" s="99"/>
      <x:c r="Z272" s="99"/>
    </x:row>
    <x:row r="273">
      <x:c r="A273" s="99"/>
      <x:c r="B273" s="99"/>
      <x:c r="C273" s="99"/>
      <x:c r="D273" s="99"/>
      <x:c r="E273" s="99"/>
      <x:c r="F273" s="99"/>
      <x:c r="G273" s="99"/>
      <x:c r="H273" s="99"/>
      <x:c r="I273" s="99"/>
      <x:c r="J273" s="99"/>
      <x:c r="K273" s="99"/>
      <x:c r="L273" s="99"/>
      <x:c r="M273" s="99"/>
      <x:c r="N273" s="99"/>
      <x:c r="O273" s="99"/>
      <x:c r="P273" s="99"/>
      <x:c r="Q273" s="99"/>
      <x:c r="R273" s="99"/>
      <x:c r="S273" s="99"/>
      <x:c r="T273" s="99"/>
      <x:c r="U273" s="99"/>
      <x:c r="V273" s="99"/>
      <x:c r="W273" s="99"/>
      <x:c r="X273" s="99"/>
      <x:c r="Y273" s="99"/>
      <x:c r="Z273" s="99"/>
    </x:row>
    <x:row r="274">
      <x:c r="A274" s="99"/>
      <x:c r="B274" s="99"/>
      <x:c r="C274" s="99"/>
      <x:c r="D274" s="99"/>
      <x:c r="E274" s="99"/>
      <x:c r="F274" s="99"/>
      <x:c r="G274" s="99"/>
      <x:c r="H274" s="99"/>
      <x:c r="I274" s="99"/>
      <x:c r="J274" s="99"/>
      <x:c r="K274" s="99"/>
      <x:c r="L274" s="99"/>
      <x:c r="M274" s="99"/>
      <x:c r="N274" s="99"/>
      <x:c r="O274" s="99"/>
      <x:c r="P274" s="99"/>
      <x:c r="Q274" s="99"/>
      <x:c r="R274" s="99"/>
      <x:c r="S274" s="99"/>
      <x:c r="T274" s="99"/>
      <x:c r="U274" s="99"/>
      <x:c r="V274" s="99"/>
      <x:c r="W274" s="99"/>
      <x:c r="X274" s="99"/>
      <x:c r="Y274" s="99"/>
      <x:c r="Z274" s="99"/>
    </x:row>
    <x:row r="275">
      <x:c r="A275" s="99"/>
      <x:c r="B275" s="99"/>
      <x:c r="C275" s="99"/>
      <x:c r="D275" s="99"/>
      <x:c r="E275" s="99"/>
      <x:c r="F275" s="99"/>
      <x:c r="G275" s="99"/>
      <x:c r="H275" s="99"/>
      <x:c r="I275" s="99"/>
      <x:c r="J275" s="99"/>
      <x:c r="K275" s="99"/>
      <x:c r="L275" s="99"/>
      <x:c r="M275" s="99"/>
      <x:c r="N275" s="99"/>
      <x:c r="O275" s="99"/>
      <x:c r="P275" s="99"/>
      <x:c r="Q275" s="99"/>
      <x:c r="R275" s="99"/>
      <x:c r="S275" s="99"/>
      <x:c r="T275" s="99"/>
      <x:c r="U275" s="99"/>
      <x:c r="V275" s="99"/>
      <x:c r="W275" s="99"/>
      <x:c r="X275" s="99"/>
      <x:c r="Y275" s="99"/>
      <x:c r="Z275" s="99"/>
    </x:row>
    <x:row r="276">
      <x:c r="A276" s="99"/>
      <x:c r="B276" s="99"/>
      <x:c r="C276" s="99"/>
      <x:c r="D276" s="99"/>
      <x:c r="E276" s="99"/>
      <x:c r="F276" s="99"/>
      <x:c r="G276" s="99"/>
      <x:c r="H276" s="99"/>
      <x:c r="I276" s="99"/>
      <x:c r="J276" s="99"/>
      <x:c r="K276" s="99"/>
      <x:c r="L276" s="99"/>
      <x:c r="M276" s="99"/>
      <x:c r="N276" s="99"/>
      <x:c r="O276" s="99"/>
      <x:c r="P276" s="99"/>
      <x:c r="Q276" s="99"/>
      <x:c r="R276" s="99"/>
      <x:c r="S276" s="99"/>
      <x:c r="T276" s="99"/>
      <x:c r="U276" s="99"/>
      <x:c r="V276" s="99"/>
      <x:c r="W276" s="99"/>
      <x:c r="X276" s="99"/>
      <x:c r="Y276" s="99"/>
      <x:c r="Z276" s="99"/>
    </x:row>
    <x:row r="277">
      <x:c r="A277" s="99"/>
      <x:c r="B277" s="99"/>
      <x:c r="C277" s="99"/>
      <x:c r="D277" s="99"/>
      <x:c r="E277" s="99"/>
      <x:c r="F277" s="99"/>
      <x:c r="G277" s="99"/>
      <x:c r="H277" s="99"/>
      <x:c r="I277" s="99"/>
      <x:c r="J277" s="99"/>
      <x:c r="K277" s="99"/>
      <x:c r="L277" s="99"/>
      <x:c r="M277" s="99"/>
      <x:c r="N277" s="99"/>
      <x:c r="O277" s="99"/>
      <x:c r="P277" s="99"/>
      <x:c r="Q277" s="99"/>
      <x:c r="R277" s="99"/>
      <x:c r="S277" s="99"/>
      <x:c r="T277" s="99"/>
      <x:c r="U277" s="99"/>
      <x:c r="V277" s="99"/>
      <x:c r="W277" s="99"/>
      <x:c r="X277" s="99"/>
      <x:c r="Y277" s="99"/>
      <x:c r="Z277" s="99"/>
    </x:row>
    <x:row r="278">
      <x:c r="A278" s="99"/>
      <x:c r="B278" s="99"/>
      <x:c r="C278" s="99"/>
      <x:c r="D278" s="99"/>
      <x:c r="E278" s="99"/>
      <x:c r="F278" s="99"/>
      <x:c r="G278" s="99"/>
      <x:c r="H278" s="99"/>
      <x:c r="I278" s="99"/>
      <x:c r="J278" s="99"/>
      <x:c r="K278" s="99"/>
      <x:c r="L278" s="99"/>
      <x:c r="M278" s="99"/>
      <x:c r="N278" s="99"/>
      <x:c r="O278" s="99"/>
      <x:c r="P278" s="99"/>
      <x:c r="Q278" s="99"/>
      <x:c r="R278" s="99"/>
      <x:c r="S278" s="99"/>
      <x:c r="T278" s="99"/>
      <x:c r="U278" s="99"/>
      <x:c r="V278" s="99"/>
      <x:c r="W278" s="99"/>
      <x:c r="X278" s="99"/>
      <x:c r="Y278" s="99"/>
      <x:c r="Z278" s="99"/>
    </x:row>
    <x:row r="279">
      <x:c r="A279" s="99"/>
      <x:c r="B279" s="99"/>
      <x:c r="C279" s="99"/>
      <x:c r="D279" s="99"/>
      <x:c r="E279" s="99"/>
      <x:c r="F279" s="99"/>
      <x:c r="G279" s="99"/>
      <x:c r="H279" s="99"/>
      <x:c r="I279" s="99"/>
      <x:c r="J279" s="99"/>
      <x:c r="K279" s="99"/>
      <x:c r="L279" s="99"/>
      <x:c r="M279" s="99"/>
      <x:c r="N279" s="99"/>
      <x:c r="O279" s="99"/>
      <x:c r="P279" s="99"/>
      <x:c r="Q279" s="99"/>
      <x:c r="R279" s="99"/>
      <x:c r="S279" s="99"/>
      <x:c r="T279" s="99"/>
      <x:c r="U279" s="99"/>
      <x:c r="V279" s="99"/>
      <x:c r="W279" s="99"/>
      <x:c r="X279" s="99"/>
      <x:c r="Y279" s="99"/>
      <x:c r="Z279" s="99"/>
    </x:row>
    <x:row r="280">
      <x:c r="A280" s="99"/>
      <x:c r="B280" s="99"/>
      <x:c r="C280" s="99"/>
      <x:c r="D280" s="99"/>
      <x:c r="E280" s="99"/>
      <x:c r="F280" s="99"/>
      <x:c r="G280" s="99"/>
      <x:c r="H280" s="99"/>
      <x:c r="I280" s="99"/>
      <x:c r="J280" s="99"/>
      <x:c r="K280" s="99"/>
      <x:c r="L280" s="99"/>
      <x:c r="M280" s="99"/>
      <x:c r="N280" s="99"/>
      <x:c r="O280" s="99"/>
      <x:c r="P280" s="99"/>
      <x:c r="Q280" s="99"/>
      <x:c r="R280" s="99"/>
      <x:c r="S280" s="99"/>
      <x:c r="T280" s="99"/>
      <x:c r="U280" s="99"/>
      <x:c r="V280" s="99"/>
      <x:c r="W280" s="99"/>
      <x:c r="X280" s="99"/>
      <x:c r="Y280" s="99"/>
      <x:c r="Z280" s="99"/>
    </x:row>
    <x:row r="281">
      <x:c r="A281" s="99"/>
      <x:c r="B281" s="99"/>
      <x:c r="C281" s="99"/>
      <x:c r="D281" s="99"/>
      <x:c r="E281" s="99"/>
      <x:c r="F281" s="99"/>
      <x:c r="G281" s="99"/>
      <x:c r="H281" s="99"/>
      <x:c r="I281" s="99"/>
      <x:c r="J281" s="99"/>
      <x:c r="K281" s="99"/>
      <x:c r="L281" s="99"/>
      <x:c r="M281" s="99"/>
      <x:c r="N281" s="99"/>
      <x:c r="O281" s="99"/>
      <x:c r="P281" s="99"/>
      <x:c r="Q281" s="99"/>
      <x:c r="R281" s="99"/>
      <x:c r="S281" s="99"/>
      <x:c r="T281" s="99"/>
      <x:c r="U281" s="99"/>
      <x:c r="V281" s="99"/>
      <x:c r="W281" s="99"/>
      <x:c r="X281" s="99"/>
      <x:c r="Y281" s="99"/>
      <x:c r="Z281" s="99"/>
    </x:row>
    <x:row r="282">
      <x:c r="A282" s="99"/>
      <x:c r="B282" s="99"/>
      <x:c r="C282" s="99"/>
      <x:c r="D282" s="99"/>
      <x:c r="E282" s="99"/>
      <x:c r="F282" s="99"/>
      <x:c r="G282" s="99"/>
      <x:c r="H282" s="99"/>
      <x:c r="I282" s="99"/>
      <x:c r="J282" s="99"/>
      <x:c r="K282" s="99"/>
      <x:c r="L282" s="99"/>
      <x:c r="M282" s="99"/>
      <x:c r="N282" s="99"/>
      <x:c r="O282" s="99"/>
      <x:c r="P282" s="99"/>
      <x:c r="Q282" s="99"/>
      <x:c r="R282" s="99"/>
      <x:c r="S282" s="99"/>
      <x:c r="T282" s="99"/>
      <x:c r="U282" s="99"/>
      <x:c r="V282" s="99"/>
      <x:c r="W282" s="99"/>
      <x:c r="X282" s="99"/>
      <x:c r="Y282" s="99"/>
      <x:c r="Z282" s="99"/>
    </x:row>
    <x:row r="283">
      <x:c r="A283" s="99"/>
      <x:c r="B283" s="99"/>
      <x:c r="C283" s="99"/>
      <x:c r="D283" s="99"/>
      <x:c r="E283" s="99"/>
      <x:c r="F283" s="99"/>
      <x:c r="G283" s="99"/>
      <x:c r="H283" s="99"/>
      <x:c r="I283" s="99"/>
      <x:c r="J283" s="99"/>
      <x:c r="K283" s="99"/>
      <x:c r="L283" s="99"/>
      <x:c r="M283" s="99"/>
      <x:c r="N283" s="99"/>
      <x:c r="O283" s="99"/>
      <x:c r="P283" s="99"/>
      <x:c r="Q283" s="99"/>
      <x:c r="R283" s="99"/>
      <x:c r="S283" s="99"/>
      <x:c r="T283" s="99"/>
      <x:c r="U283" s="99"/>
      <x:c r="V283" s="99"/>
      <x:c r="W283" s="99"/>
      <x:c r="X283" s="99"/>
      <x:c r="Y283" s="99"/>
      <x:c r="Z283" s="99"/>
    </x:row>
    <x:row r="284">
      <x:c r="A284" s="99"/>
      <x:c r="B284" s="99"/>
      <x:c r="C284" s="99"/>
      <x:c r="D284" s="99"/>
      <x:c r="E284" s="99"/>
      <x:c r="F284" s="99"/>
      <x:c r="G284" s="99"/>
      <x:c r="H284" s="99"/>
      <x:c r="I284" s="99"/>
      <x:c r="J284" s="99"/>
      <x:c r="K284" s="99"/>
      <x:c r="L284" s="99"/>
      <x:c r="M284" s="99"/>
      <x:c r="N284" s="99"/>
      <x:c r="O284" s="99"/>
      <x:c r="P284" s="99"/>
      <x:c r="Q284" s="99"/>
      <x:c r="R284" s="99"/>
      <x:c r="S284" s="99"/>
      <x:c r="T284" s="99"/>
      <x:c r="U284" s="99"/>
      <x:c r="V284" s="99"/>
      <x:c r="W284" s="99"/>
      <x:c r="X284" s="99"/>
      <x:c r="Y284" s="99"/>
      <x:c r="Z284" s="99"/>
    </x:row>
    <x:row r="285">
      <x:c r="A285" s="99"/>
      <x:c r="B285" s="99"/>
      <x:c r="C285" s="99"/>
      <x:c r="D285" s="99"/>
      <x:c r="E285" s="99"/>
      <x:c r="F285" s="99"/>
      <x:c r="G285" s="99"/>
      <x:c r="H285" s="99"/>
      <x:c r="I285" s="99"/>
      <x:c r="J285" s="99"/>
      <x:c r="K285" s="99"/>
      <x:c r="L285" s="99"/>
      <x:c r="M285" s="99"/>
      <x:c r="N285" s="99"/>
      <x:c r="O285" s="99"/>
      <x:c r="P285" s="99"/>
      <x:c r="Q285" s="99"/>
      <x:c r="R285" s="99"/>
      <x:c r="S285" s="99"/>
      <x:c r="T285" s="99"/>
      <x:c r="U285" s="99"/>
      <x:c r="V285" s="99"/>
      <x:c r="W285" s="99"/>
      <x:c r="X285" s="99"/>
      <x:c r="Y285" s="99"/>
      <x:c r="Z285" s="99"/>
    </x:row>
    <x:row r="286">
      <x:c r="A286" s="99"/>
      <x:c r="B286" s="99"/>
      <x:c r="C286" s="99"/>
      <x:c r="D286" s="99"/>
      <x:c r="E286" s="99"/>
      <x:c r="F286" s="99"/>
      <x:c r="G286" s="99"/>
      <x:c r="H286" s="99"/>
      <x:c r="I286" s="99"/>
      <x:c r="J286" s="99"/>
      <x:c r="K286" s="99"/>
      <x:c r="L286" s="99"/>
      <x:c r="M286" s="99"/>
      <x:c r="N286" s="99"/>
      <x:c r="O286" s="99"/>
      <x:c r="P286" s="99"/>
      <x:c r="Q286" s="99"/>
      <x:c r="R286" s="99"/>
      <x:c r="S286" s="99"/>
      <x:c r="T286" s="99"/>
      <x:c r="U286" s="99"/>
      <x:c r="V286" s="99"/>
      <x:c r="W286" s="99"/>
      <x:c r="X286" s="99"/>
      <x:c r="Y286" s="99"/>
      <x:c r="Z286" s="99"/>
    </x:row>
    <x:row r="287">
      <x:c r="A287" s="99"/>
      <x:c r="B287" s="99"/>
      <x:c r="C287" s="99"/>
      <x:c r="D287" s="99"/>
      <x:c r="E287" s="99"/>
      <x:c r="F287" s="99"/>
      <x:c r="G287" s="99"/>
      <x:c r="H287" s="99"/>
      <x:c r="I287" s="99"/>
      <x:c r="J287" s="99"/>
      <x:c r="K287" s="99"/>
      <x:c r="L287" s="99"/>
      <x:c r="M287" s="99"/>
      <x:c r="N287" s="99"/>
      <x:c r="O287" s="99"/>
      <x:c r="P287" s="99"/>
      <x:c r="Q287" s="99"/>
      <x:c r="R287" s="99"/>
      <x:c r="S287" s="99"/>
      <x:c r="T287" s="99"/>
      <x:c r="U287" s="99"/>
      <x:c r="V287" s="99"/>
      <x:c r="W287" s="99"/>
      <x:c r="X287" s="99"/>
      <x:c r="Y287" s="99"/>
      <x:c r="Z287" s="99"/>
    </x:row>
    <x:row r="288">
      <x:c r="A288" s="99"/>
      <x:c r="B288" s="99"/>
      <x:c r="C288" s="99"/>
      <x:c r="D288" s="99"/>
      <x:c r="E288" s="99"/>
      <x:c r="F288" s="99"/>
      <x:c r="G288" s="99"/>
      <x:c r="H288" s="99"/>
      <x:c r="I288" s="99"/>
      <x:c r="J288" s="99"/>
      <x:c r="K288" s="99"/>
      <x:c r="L288" s="99"/>
      <x:c r="M288" s="99"/>
      <x:c r="N288" s="99"/>
      <x:c r="O288" s="99"/>
      <x:c r="P288" s="99"/>
      <x:c r="Q288" s="99"/>
      <x:c r="R288" s="99"/>
      <x:c r="S288" s="99"/>
      <x:c r="T288" s="99"/>
      <x:c r="U288" s="99"/>
      <x:c r="V288" s="99"/>
      <x:c r="W288" s="99"/>
      <x:c r="X288" s="99"/>
      <x:c r="Y288" s="99"/>
      <x:c r="Z288" s="99"/>
    </x:row>
    <x:row r="289">
      <x:c r="A289" s="99"/>
      <x:c r="B289" s="99"/>
      <x:c r="C289" s="99"/>
      <x:c r="D289" s="99"/>
      <x:c r="E289" s="99"/>
      <x:c r="F289" s="99"/>
      <x:c r="G289" s="99"/>
      <x:c r="H289" s="99"/>
      <x:c r="I289" s="99"/>
      <x:c r="J289" s="99"/>
      <x:c r="K289" s="99"/>
      <x:c r="L289" s="99"/>
      <x:c r="M289" s="99"/>
      <x:c r="N289" s="99"/>
      <x:c r="O289" s="99"/>
      <x:c r="P289" s="99"/>
      <x:c r="Q289" s="99"/>
      <x:c r="R289" s="99"/>
      <x:c r="S289" s="99"/>
      <x:c r="T289" s="99"/>
      <x:c r="U289" s="99"/>
      <x:c r="V289" s="99"/>
      <x:c r="W289" s="99"/>
      <x:c r="X289" s="99"/>
      <x:c r="Y289" s="99"/>
      <x:c r="Z289" s="99"/>
    </x:row>
    <x:row r="290">
      <x:c r="A290" s="99"/>
      <x:c r="B290" s="99"/>
      <x:c r="C290" s="99"/>
      <x:c r="D290" s="99"/>
      <x:c r="E290" s="99"/>
      <x:c r="F290" s="99"/>
      <x:c r="G290" s="99"/>
      <x:c r="H290" s="99"/>
      <x:c r="I290" s="99"/>
      <x:c r="J290" s="99"/>
      <x:c r="K290" s="99"/>
      <x:c r="L290" s="99"/>
      <x:c r="M290" s="99"/>
      <x:c r="N290" s="99"/>
      <x:c r="O290" s="99"/>
      <x:c r="P290" s="99"/>
      <x:c r="Q290" s="99"/>
      <x:c r="R290" s="99"/>
      <x:c r="S290" s="99"/>
      <x:c r="T290" s="99"/>
      <x:c r="U290" s="99"/>
      <x:c r="V290" s="99"/>
      <x:c r="W290" s="99"/>
      <x:c r="X290" s="99"/>
      <x:c r="Y290" s="99"/>
      <x:c r="Z290" s="99"/>
    </x:row>
    <x:row r="291">
      <x:c r="A291" s="99"/>
      <x:c r="B291" s="99"/>
      <x:c r="C291" s="99"/>
      <x:c r="D291" s="99"/>
      <x:c r="E291" s="99"/>
      <x:c r="F291" s="99"/>
      <x:c r="G291" s="99"/>
      <x:c r="H291" s="99"/>
      <x:c r="I291" s="99"/>
      <x:c r="J291" s="99"/>
      <x:c r="K291" s="99"/>
      <x:c r="L291" s="99"/>
      <x:c r="M291" s="99"/>
      <x:c r="N291" s="99"/>
      <x:c r="O291" s="99"/>
      <x:c r="P291" s="99"/>
      <x:c r="Q291" s="99"/>
      <x:c r="R291" s="99"/>
      <x:c r="S291" s="99"/>
      <x:c r="T291" s="99"/>
      <x:c r="U291" s="99"/>
      <x:c r="V291" s="99"/>
      <x:c r="W291" s="99"/>
      <x:c r="X291" s="99"/>
      <x:c r="Y291" s="99"/>
      <x:c r="Z291" s="99"/>
    </x:row>
    <x:row r="292">
      <x:c r="A292" s="99"/>
      <x:c r="B292" s="99"/>
      <x:c r="C292" s="99"/>
      <x:c r="D292" s="99"/>
      <x:c r="E292" s="99"/>
      <x:c r="F292" s="99"/>
      <x:c r="G292" s="99"/>
      <x:c r="H292" s="99"/>
      <x:c r="I292" s="99"/>
      <x:c r="J292" s="99"/>
      <x:c r="K292" s="99"/>
      <x:c r="L292" s="99"/>
      <x:c r="M292" s="99"/>
      <x:c r="N292" s="99"/>
      <x:c r="O292" s="99"/>
      <x:c r="P292" s="99"/>
      <x:c r="Q292" s="99"/>
      <x:c r="R292" s="99"/>
      <x:c r="S292" s="99"/>
      <x:c r="T292" s="99"/>
      <x:c r="U292" s="99"/>
      <x:c r="V292" s="99"/>
      <x:c r="W292" s="99"/>
      <x:c r="X292" s="99"/>
      <x:c r="Y292" s="99"/>
      <x:c r="Z292" s="99"/>
    </x:row>
    <x:row r="293">
      <x:c r="A293" s="99"/>
      <x:c r="B293" s="99"/>
      <x:c r="C293" s="99"/>
      <x:c r="D293" s="99"/>
      <x:c r="E293" s="99"/>
      <x:c r="F293" s="99"/>
      <x:c r="G293" s="99"/>
      <x:c r="H293" s="99"/>
      <x:c r="I293" s="99"/>
      <x:c r="J293" s="99"/>
      <x:c r="K293" s="99"/>
      <x:c r="L293" s="99"/>
      <x:c r="M293" s="99"/>
      <x:c r="N293" s="99"/>
      <x:c r="O293" s="99"/>
      <x:c r="P293" s="99"/>
      <x:c r="Q293" s="99"/>
      <x:c r="R293" s="99"/>
      <x:c r="S293" s="99"/>
      <x:c r="T293" s="99"/>
      <x:c r="U293" s="99"/>
      <x:c r="V293" s="99"/>
      <x:c r="W293" s="99"/>
      <x:c r="X293" s="99"/>
      <x:c r="Y293" s="99"/>
      <x:c r="Z293" s="99"/>
    </x:row>
    <x:row r="294">
      <x:c r="A294" s="99"/>
      <x:c r="B294" s="99"/>
      <x:c r="C294" s="99"/>
      <x:c r="D294" s="99"/>
      <x:c r="E294" s="99"/>
      <x:c r="F294" s="99"/>
      <x:c r="G294" s="99"/>
      <x:c r="H294" s="99"/>
      <x:c r="I294" s="99"/>
      <x:c r="J294" s="99"/>
      <x:c r="K294" s="99"/>
      <x:c r="L294" s="99"/>
      <x:c r="M294" s="99"/>
      <x:c r="N294" s="99"/>
      <x:c r="O294" s="99"/>
      <x:c r="P294" s="99"/>
      <x:c r="Q294" s="99"/>
      <x:c r="R294" s="99"/>
      <x:c r="S294" s="99"/>
      <x:c r="T294" s="99"/>
      <x:c r="U294" s="99"/>
      <x:c r="V294" s="99"/>
      <x:c r="W294" s="99"/>
      <x:c r="X294" s="99"/>
      <x:c r="Y294" s="99"/>
      <x:c r="Z294" s="99"/>
    </x:row>
    <x:row r="295">
      <x:c r="A295" s="99"/>
      <x:c r="B295" s="99"/>
      <x:c r="C295" s="99"/>
      <x:c r="D295" s="99"/>
      <x:c r="E295" s="99"/>
      <x:c r="F295" s="99"/>
      <x:c r="G295" s="99"/>
      <x:c r="H295" s="99"/>
      <x:c r="I295" s="99"/>
      <x:c r="J295" s="99"/>
      <x:c r="K295" s="99"/>
      <x:c r="L295" s="99"/>
      <x:c r="M295" s="99"/>
      <x:c r="N295" s="99"/>
      <x:c r="O295" s="99"/>
      <x:c r="P295" s="99"/>
      <x:c r="Q295" s="99"/>
      <x:c r="R295" s="99"/>
      <x:c r="S295" s="99"/>
      <x:c r="T295" s="99"/>
      <x:c r="U295" s="99"/>
      <x:c r="V295" s="99"/>
      <x:c r="W295" s="99"/>
      <x:c r="X295" s="99"/>
      <x:c r="Y295" s="99"/>
      <x:c r="Z295" s="99"/>
    </x:row>
    <x:row r="296">
      <x:c r="A296" s="99"/>
      <x:c r="B296" s="99"/>
      <x:c r="C296" s="99"/>
      <x:c r="D296" s="99"/>
      <x:c r="E296" s="99"/>
      <x:c r="F296" s="99"/>
      <x:c r="G296" s="99"/>
      <x:c r="H296" s="99"/>
      <x:c r="I296" s="99"/>
      <x:c r="J296" s="99"/>
      <x:c r="K296" s="99"/>
      <x:c r="L296" s="99"/>
      <x:c r="M296" s="99"/>
      <x:c r="N296" s="99"/>
      <x:c r="O296" s="99"/>
      <x:c r="P296" s="99"/>
      <x:c r="Q296" s="99"/>
      <x:c r="R296" s="99"/>
      <x:c r="S296" s="99"/>
      <x:c r="T296" s="99"/>
      <x:c r="U296" s="99"/>
      <x:c r="V296" s="99"/>
      <x:c r="W296" s="99"/>
      <x:c r="X296" s="99"/>
      <x:c r="Y296" s="99"/>
      <x:c r="Z296" s="99"/>
    </x:row>
    <x:row r="297">
      <x:c r="A297" s="99"/>
      <x:c r="B297" s="99"/>
      <x:c r="C297" s="99"/>
      <x:c r="D297" s="99"/>
      <x:c r="E297" s="99"/>
      <x:c r="F297" s="99"/>
      <x:c r="G297" s="99"/>
      <x:c r="H297" s="99"/>
      <x:c r="I297" s="99"/>
      <x:c r="J297" s="99"/>
      <x:c r="K297" s="99"/>
      <x:c r="L297" s="99"/>
      <x:c r="M297" s="99"/>
      <x:c r="N297" s="99"/>
      <x:c r="O297" s="99"/>
      <x:c r="P297" s="99"/>
      <x:c r="Q297" s="99"/>
      <x:c r="R297" s="99"/>
      <x:c r="S297" s="99"/>
      <x:c r="T297" s="99"/>
      <x:c r="U297" s="99"/>
      <x:c r="V297" s="99"/>
      <x:c r="W297" s="99"/>
      <x:c r="X297" s="99"/>
      <x:c r="Y297" s="99"/>
      <x:c r="Z297" s="99"/>
    </x:row>
    <x:row r="298">
      <x:c r="A298" s="99"/>
      <x:c r="B298" s="99"/>
      <x:c r="C298" s="99"/>
      <x:c r="D298" s="99"/>
      <x:c r="E298" s="99"/>
      <x:c r="F298" s="99"/>
      <x:c r="G298" s="99"/>
      <x:c r="H298" s="99"/>
      <x:c r="I298" s="99"/>
      <x:c r="J298" s="99"/>
      <x:c r="K298" s="99"/>
      <x:c r="L298" s="99"/>
      <x:c r="M298" s="99"/>
      <x:c r="N298" s="99"/>
      <x:c r="O298" s="99"/>
      <x:c r="P298" s="99"/>
      <x:c r="Q298" s="99"/>
      <x:c r="R298" s="99"/>
      <x:c r="S298" s="99"/>
      <x:c r="T298" s="99"/>
      <x:c r="U298" s="99"/>
      <x:c r="V298" s="99"/>
      <x:c r="W298" s="99"/>
      <x:c r="X298" s="99"/>
      <x:c r="Y298" s="99"/>
      <x:c r="Z298" s="99"/>
    </x:row>
    <x:row r="299">
      <x:c r="A299" s="99"/>
      <x:c r="B299" s="99"/>
      <x:c r="C299" s="99"/>
      <x:c r="D299" s="99"/>
      <x:c r="E299" s="99"/>
      <x:c r="F299" s="99"/>
      <x:c r="G299" s="99"/>
      <x:c r="H299" s="99"/>
      <x:c r="I299" s="99"/>
      <x:c r="J299" s="99"/>
      <x:c r="K299" s="99"/>
      <x:c r="L299" s="99"/>
      <x:c r="M299" s="99"/>
      <x:c r="N299" s="99"/>
      <x:c r="O299" s="99"/>
      <x:c r="P299" s="99"/>
      <x:c r="Q299" s="99"/>
      <x:c r="R299" s="99"/>
      <x:c r="S299" s="99"/>
      <x:c r="T299" s="99"/>
      <x:c r="U299" s="99"/>
      <x:c r="V299" s="99"/>
      <x:c r="W299" s="99"/>
      <x:c r="X299" s="99"/>
      <x:c r="Y299" s="99"/>
      <x:c r="Z299" s="99"/>
    </x:row>
    <x:row r="300">
      <x:c r="A300" s="99"/>
      <x:c r="B300" s="99"/>
      <x:c r="C300" s="99"/>
      <x:c r="D300" s="99"/>
      <x:c r="E300" s="99"/>
      <x:c r="F300" s="99"/>
      <x:c r="G300" s="99"/>
      <x:c r="H300" s="99"/>
      <x:c r="I300" s="99"/>
      <x:c r="J300" s="99"/>
      <x:c r="K300" s="99"/>
      <x:c r="L300" s="99"/>
      <x:c r="M300" s="99"/>
      <x:c r="N300" s="99"/>
      <x:c r="O300" s="99"/>
      <x:c r="P300" s="99"/>
      <x:c r="Q300" s="99"/>
      <x:c r="R300" s="99"/>
      <x:c r="S300" s="99"/>
      <x:c r="T300" s="99"/>
      <x:c r="U300" s="99"/>
      <x:c r="V300" s="99"/>
      <x:c r="W300" s="99"/>
      <x:c r="X300" s="99"/>
      <x:c r="Y300" s="99"/>
      <x:c r="Z300" s="99"/>
    </x:row>
    <x:row r="301">
      <x:c r="A301" s="99"/>
      <x:c r="B301" s="99"/>
      <x:c r="C301" s="99"/>
      <x:c r="D301" s="99"/>
      <x:c r="E301" s="99"/>
      <x:c r="F301" s="99"/>
      <x:c r="G301" s="99"/>
      <x:c r="H301" s="99"/>
      <x:c r="I301" s="99"/>
      <x:c r="J301" s="99"/>
      <x:c r="K301" s="99"/>
      <x:c r="L301" s="99"/>
      <x:c r="M301" s="99"/>
      <x:c r="N301" s="99"/>
      <x:c r="O301" s="99"/>
      <x:c r="P301" s="99"/>
      <x:c r="Q301" s="99"/>
      <x:c r="R301" s="99"/>
      <x:c r="S301" s="99"/>
      <x:c r="T301" s="99"/>
      <x:c r="U301" s="99"/>
      <x:c r="V301" s="99"/>
      <x:c r="W301" s="99"/>
      <x:c r="X301" s="99"/>
      <x:c r="Y301" s="99"/>
      <x:c r="Z301" s="99"/>
    </x:row>
    <x:row r="302">
      <x:c r="A302" s="99"/>
      <x:c r="B302" s="99"/>
      <x:c r="C302" s="99"/>
      <x:c r="D302" s="99"/>
      <x:c r="E302" s="99"/>
      <x:c r="F302" s="99"/>
      <x:c r="G302" s="99"/>
      <x:c r="H302" s="99"/>
      <x:c r="I302" s="99"/>
      <x:c r="J302" s="99"/>
      <x:c r="K302" s="99"/>
      <x:c r="L302" s="99"/>
      <x:c r="M302" s="99"/>
      <x:c r="N302" s="99"/>
      <x:c r="O302" s="99"/>
      <x:c r="P302" s="99"/>
      <x:c r="Q302" s="99"/>
      <x:c r="R302" s="99"/>
      <x:c r="S302" s="99"/>
      <x:c r="T302" s="99"/>
      <x:c r="U302" s="99"/>
      <x:c r="V302" s="99"/>
      <x:c r="W302" s="99"/>
      <x:c r="X302" s="99"/>
      <x:c r="Y302" s="99"/>
      <x:c r="Z302" s="99"/>
    </x:row>
    <x:row r="303">
      <x:c r="A303" s="99"/>
      <x:c r="B303" s="99"/>
      <x:c r="C303" s="99"/>
      <x:c r="D303" s="99"/>
      <x:c r="E303" s="99"/>
      <x:c r="F303" s="99"/>
      <x:c r="G303" s="99"/>
      <x:c r="H303" s="99"/>
      <x:c r="I303" s="99"/>
      <x:c r="J303" s="99"/>
      <x:c r="K303" s="99"/>
      <x:c r="L303" s="99"/>
      <x:c r="M303" s="99"/>
      <x:c r="N303" s="99"/>
      <x:c r="O303" s="99"/>
      <x:c r="P303" s="99"/>
      <x:c r="Q303" s="99"/>
      <x:c r="R303" s="99"/>
      <x:c r="S303" s="99"/>
      <x:c r="T303" s="99"/>
      <x:c r="U303" s="99"/>
      <x:c r="V303" s="99"/>
      <x:c r="W303" s="99"/>
      <x:c r="X303" s="99"/>
      <x:c r="Y303" s="99"/>
      <x:c r="Z303" s="99"/>
    </x:row>
    <x:row r="304">
      <x:c r="A304" s="99"/>
      <x:c r="B304" s="99"/>
      <x:c r="C304" s="99"/>
      <x:c r="D304" s="99"/>
      <x:c r="E304" s="99"/>
      <x:c r="F304" s="99"/>
      <x:c r="G304" s="99"/>
      <x:c r="H304" s="99"/>
      <x:c r="I304" s="99"/>
      <x:c r="J304" s="99"/>
      <x:c r="K304" s="99"/>
      <x:c r="L304" s="99"/>
      <x:c r="M304" s="99"/>
      <x:c r="N304" s="99"/>
      <x:c r="O304" s="99"/>
      <x:c r="P304" s="99"/>
      <x:c r="Q304" s="99"/>
      <x:c r="R304" s="99"/>
      <x:c r="S304" s="99"/>
      <x:c r="T304" s="99"/>
      <x:c r="U304" s="99"/>
      <x:c r="V304" s="99"/>
      <x:c r="W304" s="99"/>
      <x:c r="X304" s="99"/>
      <x:c r="Y304" s="99"/>
      <x:c r="Z304" s="99"/>
    </x:row>
    <x:row r="305">
      <x:c r="A305" s="99"/>
      <x:c r="B305" s="99"/>
      <x:c r="C305" s="99"/>
      <x:c r="D305" s="99"/>
      <x:c r="E305" s="99"/>
      <x:c r="F305" s="99"/>
      <x:c r="G305" s="99"/>
      <x:c r="H305" s="99"/>
      <x:c r="I305" s="99"/>
      <x:c r="J305" s="99"/>
      <x:c r="K305" s="99"/>
      <x:c r="L305" s="99"/>
      <x:c r="M305" s="99"/>
      <x:c r="N305" s="99"/>
      <x:c r="O305" s="99"/>
      <x:c r="P305" s="99"/>
      <x:c r="Q305" s="99"/>
      <x:c r="R305" s="99"/>
      <x:c r="S305" s="99"/>
      <x:c r="T305" s="99"/>
      <x:c r="U305" s="99"/>
      <x:c r="V305" s="99"/>
      <x:c r="W305" s="99"/>
      <x:c r="X305" s="99"/>
      <x:c r="Y305" s="99"/>
      <x:c r="Z305" s="99"/>
    </x:row>
    <x:row r="306">
      <x:c r="A306" s="99"/>
      <x:c r="B306" s="99"/>
      <x:c r="C306" s="99"/>
      <x:c r="D306" s="99"/>
      <x:c r="E306" s="99"/>
      <x:c r="F306" s="99"/>
      <x:c r="G306" s="99"/>
      <x:c r="H306" s="99"/>
      <x:c r="I306" s="99"/>
      <x:c r="J306" s="99"/>
      <x:c r="K306" s="99"/>
      <x:c r="L306" s="99"/>
      <x:c r="M306" s="99"/>
      <x:c r="N306" s="99"/>
      <x:c r="O306" s="99"/>
      <x:c r="P306" s="99"/>
      <x:c r="Q306" s="99"/>
      <x:c r="R306" s="99"/>
      <x:c r="S306" s="99"/>
      <x:c r="T306" s="99"/>
      <x:c r="U306" s="99"/>
      <x:c r="V306" s="99"/>
      <x:c r="W306" s="99"/>
      <x:c r="X306" s="99"/>
      <x:c r="Y306" s="99"/>
      <x:c r="Z306" s="99"/>
    </x:row>
    <x:row r="307">
      <x:c r="A307" s="99"/>
      <x:c r="B307" s="99"/>
      <x:c r="C307" s="99"/>
      <x:c r="D307" s="99"/>
      <x:c r="E307" s="99"/>
      <x:c r="F307" s="99"/>
      <x:c r="G307" s="99"/>
      <x:c r="H307" s="99"/>
      <x:c r="I307" s="99"/>
      <x:c r="J307" s="99"/>
      <x:c r="K307" s="99"/>
      <x:c r="L307" s="99"/>
      <x:c r="M307" s="99"/>
      <x:c r="N307" s="99"/>
      <x:c r="O307" s="99"/>
      <x:c r="P307" s="99"/>
      <x:c r="Q307" s="99"/>
      <x:c r="R307" s="99"/>
      <x:c r="S307" s="99"/>
      <x:c r="T307" s="99"/>
      <x:c r="U307" s="99"/>
      <x:c r="V307" s="99"/>
      <x:c r="W307" s="99"/>
      <x:c r="X307" s="99"/>
      <x:c r="Y307" s="99"/>
      <x:c r="Z307" s="99"/>
    </x:row>
    <x:row r="308">
      <x:c r="A308" s="99"/>
      <x:c r="B308" s="99"/>
      <x:c r="C308" s="99"/>
      <x:c r="D308" s="99"/>
      <x:c r="E308" s="99"/>
      <x:c r="F308" s="99"/>
      <x:c r="G308" s="99"/>
      <x:c r="H308" s="99"/>
      <x:c r="I308" s="99"/>
      <x:c r="J308" s="99"/>
      <x:c r="K308" s="99"/>
      <x:c r="L308" s="99"/>
      <x:c r="M308" s="99"/>
      <x:c r="N308" s="99"/>
      <x:c r="O308" s="99"/>
      <x:c r="P308" s="99"/>
      <x:c r="Q308" s="99"/>
      <x:c r="R308" s="99"/>
      <x:c r="S308" s="99"/>
      <x:c r="T308" s="99"/>
      <x:c r="U308" s="99"/>
      <x:c r="V308" s="99"/>
      <x:c r="W308" s="99"/>
      <x:c r="X308" s="99"/>
      <x:c r="Y308" s="99"/>
      <x:c r="Z308" s="99"/>
    </x:row>
    <x:row r="309">
      <x:c r="A309" s="99"/>
      <x:c r="B309" s="99"/>
      <x:c r="C309" s="99"/>
      <x:c r="D309" s="99"/>
      <x:c r="E309" s="99"/>
      <x:c r="F309" s="99"/>
      <x:c r="G309" s="99"/>
      <x:c r="H309" s="99"/>
      <x:c r="I309" s="99"/>
      <x:c r="J309" s="99"/>
      <x:c r="K309" s="99"/>
      <x:c r="L309" s="99"/>
      <x:c r="M309" s="99"/>
      <x:c r="N309" s="99"/>
      <x:c r="O309" s="99"/>
      <x:c r="P309" s="99"/>
      <x:c r="Q309" s="99"/>
      <x:c r="R309" s="99"/>
      <x:c r="S309" s="99"/>
      <x:c r="T309" s="99"/>
      <x:c r="U309" s="99"/>
      <x:c r="V309" s="99"/>
      <x:c r="W309" s="99"/>
      <x:c r="X309" s="99"/>
      <x:c r="Y309" s="99"/>
      <x:c r="Z309" s="99"/>
    </x:row>
    <x:row r="310">
      <x:c r="A310" s="99"/>
      <x:c r="B310" s="99"/>
      <x:c r="C310" s="99"/>
      <x:c r="D310" s="99"/>
      <x:c r="E310" s="99"/>
      <x:c r="F310" s="99"/>
      <x:c r="G310" s="99"/>
      <x:c r="H310" s="99"/>
      <x:c r="I310" s="99"/>
      <x:c r="J310" s="99"/>
      <x:c r="K310" s="99"/>
      <x:c r="L310" s="99"/>
      <x:c r="M310" s="99"/>
      <x:c r="N310" s="99"/>
      <x:c r="O310" s="99"/>
      <x:c r="P310" s="99"/>
      <x:c r="Q310" s="99"/>
      <x:c r="R310" s="99"/>
      <x:c r="S310" s="99"/>
      <x:c r="T310" s="99"/>
      <x:c r="U310" s="99"/>
      <x:c r="V310" s="99"/>
      <x:c r="W310" s="99"/>
      <x:c r="X310" s="99"/>
      <x:c r="Y310" s="99"/>
      <x:c r="Z310" s="99"/>
    </x:row>
    <x:row r="311">
      <x:c r="A311" s="99"/>
      <x:c r="B311" s="99"/>
      <x:c r="C311" s="99"/>
      <x:c r="D311" s="99"/>
      <x:c r="E311" s="99"/>
      <x:c r="F311" s="99"/>
      <x:c r="G311" s="99"/>
      <x:c r="H311" s="99"/>
      <x:c r="I311" s="99"/>
      <x:c r="J311" s="99"/>
      <x:c r="K311" s="99"/>
      <x:c r="L311" s="99"/>
      <x:c r="M311" s="99"/>
      <x:c r="N311" s="99"/>
      <x:c r="O311" s="99"/>
      <x:c r="P311" s="99"/>
      <x:c r="Q311" s="99"/>
      <x:c r="R311" s="99"/>
      <x:c r="S311" s="99"/>
      <x:c r="T311" s="99"/>
      <x:c r="U311" s="99"/>
      <x:c r="V311" s="99"/>
      <x:c r="W311" s="99"/>
      <x:c r="X311" s="99"/>
      <x:c r="Y311" s="99"/>
      <x:c r="Z311" s="99"/>
    </x:row>
    <x:row r="312">
      <x:c r="A312" s="99"/>
      <x:c r="B312" s="99"/>
      <x:c r="C312" s="99"/>
      <x:c r="D312" s="99"/>
      <x:c r="E312" s="99"/>
      <x:c r="F312" s="99"/>
      <x:c r="G312" s="99"/>
      <x:c r="H312" s="99"/>
      <x:c r="I312" s="99"/>
      <x:c r="J312" s="99"/>
      <x:c r="K312" s="99"/>
      <x:c r="L312" s="99"/>
      <x:c r="M312" s="99"/>
      <x:c r="N312" s="99"/>
      <x:c r="O312" s="99"/>
      <x:c r="P312" s="99"/>
      <x:c r="Q312" s="99"/>
      <x:c r="R312" s="99"/>
      <x:c r="S312" s="99"/>
      <x:c r="T312" s="99"/>
      <x:c r="U312" s="99"/>
      <x:c r="V312" s="99"/>
      <x:c r="W312" s="99"/>
      <x:c r="X312" s="99"/>
      <x:c r="Y312" s="99"/>
      <x:c r="Z312" s="99"/>
    </x:row>
    <x:row r="313">
      <x:c r="A313" s="99"/>
      <x:c r="B313" s="99"/>
      <x:c r="C313" s="99"/>
      <x:c r="D313" s="99"/>
      <x:c r="E313" s="99"/>
      <x:c r="F313" s="99"/>
      <x:c r="G313" s="99"/>
      <x:c r="H313" s="99"/>
      <x:c r="I313" s="99"/>
      <x:c r="J313" s="99"/>
      <x:c r="K313" s="99"/>
      <x:c r="L313" s="99"/>
      <x:c r="M313" s="99"/>
      <x:c r="N313" s="99"/>
      <x:c r="O313" s="99"/>
      <x:c r="P313" s="99"/>
      <x:c r="Q313" s="99"/>
      <x:c r="R313" s="99"/>
      <x:c r="S313" s="99"/>
      <x:c r="T313" s="99"/>
      <x:c r="U313" s="99"/>
      <x:c r="V313" s="99"/>
      <x:c r="W313" s="99"/>
      <x:c r="X313" s="99"/>
      <x:c r="Y313" s="99"/>
      <x:c r="Z313" s="99"/>
    </x:row>
    <x:row r="314">
      <x:c r="A314" s="99"/>
      <x:c r="B314" s="99"/>
      <x:c r="C314" s="99"/>
      <x:c r="D314" s="99"/>
      <x:c r="E314" s="99"/>
      <x:c r="F314" s="99"/>
      <x:c r="G314" s="99"/>
      <x:c r="H314" s="99"/>
      <x:c r="I314" s="99"/>
      <x:c r="J314" s="99"/>
      <x:c r="K314" s="99"/>
      <x:c r="L314" s="99"/>
      <x:c r="M314" s="99"/>
      <x:c r="N314" s="99"/>
      <x:c r="O314" s="99"/>
      <x:c r="P314" s="99"/>
      <x:c r="Q314" s="99"/>
      <x:c r="R314" s="99"/>
      <x:c r="S314" s="99"/>
      <x:c r="T314" s="99"/>
      <x:c r="U314" s="99"/>
      <x:c r="V314" s="99"/>
      <x:c r="W314" s="99"/>
      <x:c r="X314" s="99"/>
      <x:c r="Y314" s="99"/>
      <x:c r="Z314" s="99"/>
    </x:row>
    <x:row r="315">
      <x:c r="A315" s="99"/>
      <x:c r="B315" s="99"/>
      <x:c r="C315" s="99"/>
      <x:c r="D315" s="99"/>
      <x:c r="E315" s="99"/>
      <x:c r="F315" s="99"/>
      <x:c r="G315" s="99"/>
      <x:c r="H315" s="99"/>
      <x:c r="I315" s="99"/>
      <x:c r="J315" s="99"/>
      <x:c r="K315" s="99"/>
      <x:c r="L315" s="99"/>
      <x:c r="M315" s="99"/>
      <x:c r="N315" s="99"/>
      <x:c r="O315" s="99"/>
      <x:c r="P315" s="99"/>
      <x:c r="Q315" s="99"/>
      <x:c r="R315" s="99"/>
      <x:c r="S315" s="99"/>
      <x:c r="T315" s="99"/>
      <x:c r="U315" s="99"/>
      <x:c r="V315" s="99"/>
      <x:c r="W315" s="99"/>
      <x:c r="X315" s="99"/>
      <x:c r="Y315" s="99"/>
      <x:c r="Z315" s="99"/>
    </x:row>
    <x:row r="316">
      <x:c r="A316" s="99"/>
      <x:c r="B316" s="99"/>
      <x:c r="C316" s="99"/>
      <x:c r="D316" s="99"/>
      <x:c r="E316" s="99"/>
      <x:c r="F316" s="99"/>
      <x:c r="G316" s="99"/>
      <x:c r="H316" s="99"/>
      <x:c r="I316" s="99"/>
      <x:c r="J316" s="99"/>
      <x:c r="K316" s="99"/>
      <x:c r="L316" s="99"/>
      <x:c r="M316" s="99"/>
      <x:c r="N316" s="99"/>
      <x:c r="O316" s="99"/>
      <x:c r="P316" s="99"/>
      <x:c r="Q316" s="99"/>
      <x:c r="R316" s="99"/>
      <x:c r="S316" s="99"/>
      <x:c r="T316" s="99"/>
      <x:c r="U316" s="99"/>
      <x:c r="V316" s="99"/>
      <x:c r="W316" s="99"/>
      <x:c r="X316" s="99"/>
      <x:c r="Y316" s="99"/>
      <x:c r="Z316" s="99"/>
    </x:row>
    <x:row r="317">
      <x:c r="A317" s="99"/>
      <x:c r="B317" s="99"/>
      <x:c r="C317" s="99"/>
      <x:c r="D317" s="99"/>
      <x:c r="E317" s="99"/>
      <x:c r="F317" s="99"/>
      <x:c r="G317" s="99"/>
      <x:c r="H317" s="99"/>
      <x:c r="I317" s="99"/>
      <x:c r="J317" s="99"/>
      <x:c r="K317" s="99"/>
      <x:c r="L317" s="99"/>
      <x:c r="M317" s="99"/>
      <x:c r="N317" s="99"/>
      <x:c r="O317" s="99"/>
      <x:c r="P317" s="99"/>
      <x:c r="Q317" s="99"/>
      <x:c r="R317" s="99"/>
      <x:c r="S317" s="99"/>
      <x:c r="T317" s="99"/>
      <x:c r="U317" s="99"/>
      <x:c r="V317" s="99"/>
      <x:c r="W317" s="99"/>
      <x:c r="X317" s="99"/>
      <x:c r="Y317" s="99"/>
      <x:c r="Z317" s="99"/>
    </x:row>
    <x:row r="318">
      <x:c r="A318" s="99"/>
      <x:c r="B318" s="99"/>
      <x:c r="C318" s="99"/>
      <x:c r="D318" s="99"/>
      <x:c r="E318" s="99"/>
      <x:c r="F318" s="99"/>
      <x:c r="G318" s="99"/>
      <x:c r="H318" s="99"/>
      <x:c r="I318" s="99"/>
      <x:c r="J318" s="99"/>
      <x:c r="K318" s="99"/>
      <x:c r="L318" s="99"/>
      <x:c r="M318" s="99"/>
      <x:c r="N318" s="99"/>
      <x:c r="O318" s="99"/>
      <x:c r="P318" s="99"/>
      <x:c r="Q318" s="99"/>
      <x:c r="R318" s="99"/>
      <x:c r="S318" s="99"/>
      <x:c r="T318" s="99"/>
      <x:c r="U318" s="99"/>
      <x:c r="V318" s="99"/>
      <x:c r="W318" s="99"/>
      <x:c r="X318" s="99"/>
      <x:c r="Y318" s="99"/>
      <x:c r="Z318" s="99"/>
    </x:row>
    <x:row r="319">
      <x:c r="A319" s="99"/>
      <x:c r="B319" s="99"/>
      <x:c r="C319" s="99"/>
      <x:c r="D319" s="99"/>
      <x:c r="E319" s="99"/>
      <x:c r="F319" s="99"/>
      <x:c r="G319" s="99"/>
      <x:c r="H319" s="99"/>
      <x:c r="I319" s="99"/>
      <x:c r="J319" s="99"/>
      <x:c r="K319" s="99"/>
      <x:c r="L319" s="99"/>
      <x:c r="M319" s="99"/>
      <x:c r="N319" s="99"/>
      <x:c r="O319" s="99"/>
      <x:c r="P319" s="99"/>
      <x:c r="Q319" s="99"/>
      <x:c r="R319" s="99"/>
      <x:c r="S319" s="99"/>
      <x:c r="T319" s="99"/>
      <x:c r="U319" s="99"/>
      <x:c r="V319" s="99"/>
      <x:c r="W319" s="99"/>
      <x:c r="X319" s="99"/>
      <x:c r="Y319" s="99"/>
      <x:c r="Z319" s="99"/>
    </x:row>
    <x:row r="320">
      <x:c r="A320" s="99"/>
      <x:c r="B320" s="99"/>
      <x:c r="C320" s="99"/>
      <x:c r="D320" s="99"/>
      <x:c r="E320" s="99"/>
      <x:c r="F320" s="99"/>
      <x:c r="G320" s="99"/>
      <x:c r="H320" s="99"/>
      <x:c r="I320" s="99"/>
      <x:c r="J320" s="99"/>
      <x:c r="K320" s="99"/>
      <x:c r="L320" s="99"/>
      <x:c r="M320" s="99"/>
      <x:c r="N320" s="99"/>
      <x:c r="O320" s="99"/>
      <x:c r="P320" s="99"/>
      <x:c r="Q320" s="99"/>
      <x:c r="R320" s="99"/>
      <x:c r="S320" s="99"/>
      <x:c r="T320" s="99"/>
      <x:c r="U320" s="99"/>
      <x:c r="V320" s="99"/>
      <x:c r="W320" s="99"/>
      <x:c r="X320" s="99"/>
      <x:c r="Y320" s="99"/>
      <x:c r="Z320" s="99"/>
    </x:row>
    <x:row r="321">
      <x:c r="A321" s="99"/>
      <x:c r="B321" s="99"/>
      <x:c r="C321" s="99"/>
      <x:c r="D321" s="99"/>
      <x:c r="E321" s="99"/>
      <x:c r="F321" s="99"/>
      <x:c r="G321" s="99"/>
      <x:c r="H321" s="99"/>
      <x:c r="I321" s="99"/>
      <x:c r="J321" s="99"/>
      <x:c r="K321" s="99"/>
      <x:c r="L321" s="99"/>
      <x:c r="M321" s="99"/>
      <x:c r="N321" s="99"/>
      <x:c r="O321" s="99"/>
      <x:c r="P321" s="99"/>
      <x:c r="Q321" s="99"/>
      <x:c r="R321" s="99"/>
      <x:c r="S321" s="99"/>
      <x:c r="T321" s="99"/>
      <x:c r="U321" s="99"/>
      <x:c r="V321" s="99"/>
      <x:c r="W321" s="99"/>
      <x:c r="X321" s="99"/>
      <x:c r="Y321" s="99"/>
      <x:c r="Z321" s="99"/>
    </x:row>
    <x:row r="322">
      <x:c r="A322" s="99"/>
      <x:c r="B322" s="99"/>
      <x:c r="C322" s="99"/>
      <x:c r="D322" s="99"/>
      <x:c r="E322" s="99"/>
      <x:c r="F322" s="99"/>
      <x:c r="G322" s="99"/>
      <x:c r="H322" s="99"/>
      <x:c r="I322" s="99"/>
      <x:c r="J322" s="99"/>
      <x:c r="K322" s="99"/>
      <x:c r="L322" s="99"/>
      <x:c r="M322" s="99"/>
      <x:c r="N322" s="99"/>
      <x:c r="O322" s="99"/>
      <x:c r="P322" s="99"/>
      <x:c r="Q322" s="99"/>
      <x:c r="R322" s="99"/>
      <x:c r="S322" s="99"/>
      <x:c r="T322" s="99"/>
      <x:c r="U322" s="99"/>
      <x:c r="V322" s="99"/>
      <x:c r="W322" s="99"/>
      <x:c r="X322" s="99"/>
      <x:c r="Y322" s="99"/>
      <x:c r="Z322" s="99"/>
    </x:row>
    <x:row r="323">
      <x:c r="A323" s="99"/>
      <x:c r="B323" s="99"/>
      <x:c r="C323" s="99"/>
      <x:c r="D323" s="99"/>
      <x:c r="E323" s="99"/>
      <x:c r="F323" s="99"/>
      <x:c r="G323" s="99"/>
      <x:c r="H323" s="99"/>
      <x:c r="I323" s="99"/>
      <x:c r="J323" s="99"/>
      <x:c r="K323" s="99"/>
      <x:c r="L323" s="99"/>
      <x:c r="M323" s="99"/>
      <x:c r="N323" s="99"/>
      <x:c r="O323" s="99"/>
      <x:c r="P323" s="99"/>
      <x:c r="Q323" s="99"/>
      <x:c r="R323" s="99"/>
      <x:c r="S323" s="99"/>
      <x:c r="T323" s="99"/>
      <x:c r="U323" s="99"/>
      <x:c r="V323" s="99"/>
      <x:c r="W323" s="99"/>
      <x:c r="X323" s="99"/>
      <x:c r="Y323" s="99"/>
      <x:c r="Z323" s="99"/>
    </x:row>
    <x:row r="324">
      <x:c r="A324" s="99"/>
      <x:c r="B324" s="99"/>
      <x:c r="C324" s="99"/>
      <x:c r="D324" s="99"/>
      <x:c r="E324" s="99"/>
      <x:c r="F324" s="99"/>
      <x:c r="G324" s="99"/>
      <x:c r="H324" s="99"/>
      <x:c r="I324" s="99"/>
      <x:c r="J324" s="99"/>
      <x:c r="K324" s="99"/>
      <x:c r="L324" s="99"/>
      <x:c r="M324" s="99"/>
      <x:c r="N324" s="99"/>
      <x:c r="O324" s="99"/>
      <x:c r="P324" s="99"/>
      <x:c r="Q324" s="99"/>
      <x:c r="R324" s="99"/>
      <x:c r="S324" s="99"/>
      <x:c r="T324" s="99"/>
      <x:c r="U324" s="99"/>
      <x:c r="V324" s="99"/>
      <x:c r="W324" s="99"/>
      <x:c r="X324" s="99"/>
      <x:c r="Y324" s="99"/>
      <x:c r="Z324" s="99"/>
    </x:row>
    <x:row r="325">
      <x:c r="A325" s="99"/>
      <x:c r="B325" s="99"/>
      <x:c r="C325" s="99"/>
      <x:c r="D325" s="99"/>
      <x:c r="E325" s="99"/>
      <x:c r="F325" s="99"/>
      <x:c r="G325" s="99"/>
      <x:c r="H325" s="99"/>
      <x:c r="I325" s="99"/>
      <x:c r="J325" s="99"/>
      <x:c r="K325" s="99"/>
      <x:c r="L325" s="99"/>
      <x:c r="M325" s="99"/>
      <x:c r="N325" s="99"/>
      <x:c r="O325" s="99"/>
      <x:c r="P325" s="99"/>
      <x:c r="Q325" s="99"/>
      <x:c r="R325" s="99"/>
      <x:c r="S325" s="99"/>
      <x:c r="T325" s="99"/>
      <x:c r="U325" s="99"/>
      <x:c r="V325" s="99"/>
      <x:c r="W325" s="99"/>
      <x:c r="X325" s="99"/>
      <x:c r="Y325" s="99"/>
      <x:c r="Z325" s="99"/>
    </x:row>
    <x:row r="326">
      <x:c r="A326" s="99"/>
      <x:c r="B326" s="99"/>
      <x:c r="C326" s="99"/>
      <x:c r="D326" s="99"/>
      <x:c r="E326" s="99"/>
      <x:c r="F326" s="99"/>
      <x:c r="G326" s="99"/>
      <x:c r="H326" s="99"/>
      <x:c r="I326" s="99"/>
      <x:c r="J326" s="99"/>
      <x:c r="K326" s="99"/>
      <x:c r="L326" s="99"/>
      <x:c r="M326" s="99"/>
      <x:c r="N326" s="99"/>
      <x:c r="O326" s="99"/>
      <x:c r="P326" s="99"/>
      <x:c r="Q326" s="99"/>
      <x:c r="R326" s="99"/>
      <x:c r="S326" s="99"/>
      <x:c r="T326" s="99"/>
      <x:c r="U326" s="99"/>
      <x:c r="V326" s="99"/>
      <x:c r="W326" s="99"/>
      <x:c r="X326" s="99"/>
      <x:c r="Y326" s="99"/>
      <x:c r="Z326" s="99"/>
    </x:row>
    <x:row r="327">
      <x:c r="A327" s="99"/>
      <x:c r="B327" s="99"/>
      <x:c r="C327" s="99"/>
      <x:c r="D327" s="99"/>
      <x:c r="E327" s="99"/>
      <x:c r="F327" s="99"/>
      <x:c r="G327" s="99"/>
      <x:c r="H327" s="99"/>
      <x:c r="I327" s="99"/>
      <x:c r="J327" s="99"/>
      <x:c r="K327" s="99"/>
      <x:c r="L327" s="99"/>
      <x:c r="M327" s="99"/>
      <x:c r="N327" s="99"/>
      <x:c r="O327" s="99"/>
      <x:c r="P327" s="99"/>
      <x:c r="Q327" s="99"/>
      <x:c r="R327" s="99"/>
      <x:c r="S327" s="99"/>
      <x:c r="T327" s="99"/>
      <x:c r="U327" s="99"/>
      <x:c r="V327" s="99"/>
      <x:c r="W327" s="99"/>
      <x:c r="X327" s="99"/>
      <x:c r="Y327" s="99"/>
      <x:c r="Z327" s="99"/>
    </x:row>
    <x:row r="328">
      <x:c r="A328" s="99"/>
      <x:c r="B328" s="99"/>
      <x:c r="C328" s="99"/>
      <x:c r="D328" s="99"/>
      <x:c r="E328" s="99"/>
      <x:c r="F328" s="99"/>
      <x:c r="G328" s="99"/>
      <x:c r="H328" s="99"/>
      <x:c r="I328" s="99"/>
      <x:c r="J328" s="99"/>
      <x:c r="K328" s="99"/>
      <x:c r="L328" s="99"/>
      <x:c r="M328" s="99"/>
      <x:c r="N328" s="99"/>
      <x:c r="O328" s="99"/>
      <x:c r="P328" s="99"/>
      <x:c r="Q328" s="99"/>
      <x:c r="R328" s="99"/>
      <x:c r="S328" s="99"/>
      <x:c r="T328" s="99"/>
      <x:c r="U328" s="99"/>
      <x:c r="V328" s="99"/>
      <x:c r="W328" s="99"/>
      <x:c r="X328" s="99"/>
      <x:c r="Y328" s="99"/>
      <x:c r="Z328" s="99"/>
    </x:row>
    <x:row r="329">
      <x:c r="A329" s="99"/>
      <x:c r="B329" s="99"/>
      <x:c r="C329" s="99"/>
      <x:c r="D329" s="99"/>
      <x:c r="E329" s="99"/>
      <x:c r="F329" s="99"/>
      <x:c r="G329" s="99"/>
      <x:c r="H329" s="99"/>
      <x:c r="I329" s="99"/>
      <x:c r="J329" s="99"/>
      <x:c r="K329" s="99"/>
      <x:c r="L329" s="99"/>
      <x:c r="M329" s="99"/>
      <x:c r="N329" s="99"/>
      <x:c r="O329" s="99"/>
      <x:c r="P329" s="99"/>
      <x:c r="Q329" s="99"/>
      <x:c r="R329" s="99"/>
      <x:c r="S329" s="99"/>
      <x:c r="T329" s="99"/>
      <x:c r="U329" s="99"/>
      <x:c r="V329" s="99"/>
      <x:c r="W329" s="99"/>
      <x:c r="X329" s="99"/>
      <x:c r="Y329" s="99"/>
      <x:c r="Z329" s="99"/>
    </x:row>
    <x:row r="330">
      <x:c r="A330" s="99"/>
      <x:c r="B330" s="99"/>
      <x:c r="C330" s="99"/>
      <x:c r="D330" s="99"/>
      <x:c r="E330" s="99"/>
      <x:c r="F330" s="99"/>
      <x:c r="G330" s="99"/>
      <x:c r="H330" s="99"/>
      <x:c r="I330" s="99"/>
      <x:c r="J330" s="99"/>
      <x:c r="K330" s="99"/>
      <x:c r="L330" s="99"/>
      <x:c r="M330" s="99"/>
      <x:c r="N330" s="99"/>
      <x:c r="O330" s="99"/>
      <x:c r="P330" s="99"/>
      <x:c r="Q330" s="99"/>
      <x:c r="R330" s="99"/>
      <x:c r="S330" s="99"/>
      <x:c r="T330" s="99"/>
      <x:c r="U330" s="99"/>
      <x:c r="V330" s="99"/>
      <x:c r="W330" s="99"/>
      <x:c r="X330" s="99"/>
      <x:c r="Y330" s="99"/>
      <x:c r="Z330" s="99"/>
    </x:row>
    <x:row r="331">
      <x:c r="A331" s="99"/>
      <x:c r="B331" s="99"/>
      <x:c r="C331" s="99"/>
      <x:c r="D331" s="99"/>
      <x:c r="E331" s="99"/>
      <x:c r="F331" s="99"/>
      <x:c r="G331" s="99"/>
      <x:c r="H331" s="99"/>
      <x:c r="I331" s="99"/>
      <x:c r="J331" s="99"/>
      <x:c r="K331" s="99"/>
      <x:c r="L331" s="99"/>
      <x:c r="M331" s="99"/>
      <x:c r="N331" s="99"/>
      <x:c r="O331" s="99"/>
      <x:c r="P331" s="99"/>
      <x:c r="Q331" s="99"/>
      <x:c r="R331" s="99"/>
      <x:c r="S331" s="99"/>
      <x:c r="T331" s="99"/>
      <x:c r="U331" s="99"/>
      <x:c r="V331" s="99"/>
      <x:c r="W331" s="99"/>
      <x:c r="X331" s="99"/>
      <x:c r="Y331" s="99"/>
      <x:c r="Z331" s="99"/>
    </x:row>
    <x:row r="332">
      <x:c r="A332" s="99"/>
      <x:c r="B332" s="99"/>
      <x:c r="C332" s="99"/>
      <x:c r="D332" s="99"/>
      <x:c r="E332" s="99"/>
      <x:c r="F332" s="99"/>
      <x:c r="G332" s="99"/>
      <x:c r="H332" s="99"/>
      <x:c r="I332" s="99"/>
      <x:c r="J332" s="99"/>
      <x:c r="K332" s="99"/>
      <x:c r="L332" s="99"/>
      <x:c r="M332" s="99"/>
      <x:c r="N332" s="99"/>
      <x:c r="O332" s="99"/>
      <x:c r="P332" s="99"/>
      <x:c r="Q332" s="99"/>
      <x:c r="R332" s="99"/>
      <x:c r="S332" s="99"/>
      <x:c r="T332" s="99"/>
      <x:c r="U332" s="99"/>
      <x:c r="V332" s="99"/>
      <x:c r="W332" s="99"/>
      <x:c r="X332" s="99"/>
      <x:c r="Y332" s="99"/>
      <x:c r="Z332" s="99"/>
    </x:row>
    <x:row r="333">
      <x:c r="A333" s="99"/>
      <x:c r="B333" s="99"/>
      <x:c r="C333" s="99"/>
      <x:c r="D333" s="99"/>
      <x:c r="E333" s="99"/>
      <x:c r="F333" s="99"/>
      <x:c r="G333" s="99"/>
      <x:c r="H333" s="99"/>
      <x:c r="I333" s="99"/>
      <x:c r="J333" s="99"/>
      <x:c r="K333" s="99"/>
      <x:c r="L333" s="99"/>
      <x:c r="M333" s="99"/>
      <x:c r="N333" s="99"/>
      <x:c r="O333" s="99"/>
      <x:c r="P333" s="99"/>
      <x:c r="Q333" s="99"/>
      <x:c r="R333" s="99"/>
      <x:c r="S333" s="99"/>
      <x:c r="T333" s="99"/>
      <x:c r="U333" s="99"/>
      <x:c r="V333" s="99"/>
      <x:c r="W333" s="99"/>
      <x:c r="X333" s="99"/>
      <x:c r="Y333" s="99"/>
      <x:c r="Z333" s="99"/>
    </x:row>
    <x:row r="334">
      <x:c r="A334" s="99"/>
      <x:c r="B334" s="99"/>
      <x:c r="C334" s="99"/>
      <x:c r="D334" s="99"/>
      <x:c r="E334" s="99"/>
      <x:c r="F334" s="99"/>
      <x:c r="G334" s="99"/>
      <x:c r="H334" s="99"/>
      <x:c r="I334" s="99"/>
      <x:c r="J334" s="99"/>
      <x:c r="K334" s="99"/>
      <x:c r="L334" s="99"/>
      <x:c r="M334" s="99"/>
      <x:c r="N334" s="99"/>
      <x:c r="O334" s="99"/>
      <x:c r="P334" s="99"/>
      <x:c r="Q334" s="99"/>
      <x:c r="R334" s="99"/>
      <x:c r="S334" s="99"/>
      <x:c r="T334" s="99"/>
      <x:c r="U334" s="99"/>
      <x:c r="V334" s="99"/>
      <x:c r="W334" s="99"/>
      <x:c r="X334" s="99"/>
      <x:c r="Y334" s="99"/>
      <x:c r="Z334" s="99"/>
    </x:row>
    <x:row r="335">
      <x:c r="A335" s="99"/>
      <x:c r="B335" s="99"/>
      <x:c r="C335" s="99"/>
      <x:c r="D335" s="99"/>
      <x:c r="E335" s="99"/>
      <x:c r="F335" s="99"/>
      <x:c r="G335" s="99"/>
      <x:c r="H335" s="99"/>
      <x:c r="I335" s="99"/>
      <x:c r="J335" s="99"/>
      <x:c r="K335" s="99"/>
      <x:c r="L335" s="99"/>
      <x:c r="M335" s="99"/>
      <x:c r="N335" s="99"/>
      <x:c r="O335" s="99"/>
      <x:c r="P335" s="99"/>
      <x:c r="Q335" s="99"/>
      <x:c r="R335" s="99"/>
      <x:c r="S335" s="99"/>
      <x:c r="T335" s="99"/>
      <x:c r="U335" s="99"/>
      <x:c r="V335" s="99"/>
      <x:c r="W335" s="99"/>
      <x:c r="X335" s="99"/>
      <x:c r="Y335" s="99"/>
      <x:c r="Z335" s="99"/>
    </x:row>
    <x:row r="336">
      <x:c r="A336" s="99"/>
      <x:c r="B336" s="99"/>
      <x:c r="C336" s="99"/>
      <x:c r="D336" s="99"/>
      <x:c r="E336" s="99"/>
      <x:c r="F336" s="99"/>
      <x:c r="G336" s="99"/>
      <x:c r="H336" s="99"/>
      <x:c r="I336" s="99"/>
      <x:c r="J336" s="99"/>
      <x:c r="K336" s="99"/>
      <x:c r="L336" s="99"/>
      <x:c r="M336" s="99"/>
      <x:c r="N336" s="99"/>
      <x:c r="O336" s="99"/>
      <x:c r="P336" s="99"/>
      <x:c r="Q336" s="99"/>
      <x:c r="R336" s="99"/>
      <x:c r="S336" s="99"/>
      <x:c r="T336" s="99"/>
      <x:c r="U336" s="99"/>
      <x:c r="V336" s="99"/>
      <x:c r="W336" s="99"/>
      <x:c r="X336" s="99"/>
      <x:c r="Y336" s="99"/>
      <x:c r="Z336" s="99"/>
    </x:row>
    <x:row r="337">
      <x:c r="A337" s="99"/>
      <x:c r="B337" s="99"/>
      <x:c r="C337" s="99"/>
      <x:c r="D337" s="99"/>
      <x:c r="E337" s="99"/>
      <x:c r="F337" s="99"/>
      <x:c r="G337" s="99"/>
      <x:c r="H337" s="99"/>
      <x:c r="I337" s="99"/>
      <x:c r="J337" s="99"/>
      <x:c r="K337" s="99"/>
      <x:c r="L337" s="99"/>
      <x:c r="M337" s="99"/>
      <x:c r="N337" s="99"/>
      <x:c r="O337" s="99"/>
      <x:c r="P337" s="99"/>
      <x:c r="Q337" s="99"/>
      <x:c r="R337" s="99"/>
      <x:c r="S337" s="99"/>
      <x:c r="T337" s="99"/>
      <x:c r="U337" s="99"/>
      <x:c r="V337" s="99"/>
      <x:c r="W337" s="99"/>
      <x:c r="X337" s="99"/>
      <x:c r="Y337" s="99"/>
      <x:c r="Z337" s="99"/>
    </x:row>
    <x:row r="338">
      <x:c r="A338" s="99"/>
      <x:c r="B338" s="99"/>
      <x:c r="C338" s="99"/>
      <x:c r="D338" s="99"/>
      <x:c r="E338" s="99"/>
      <x:c r="F338" s="99"/>
      <x:c r="G338" s="99"/>
      <x:c r="H338" s="99"/>
      <x:c r="I338" s="99"/>
      <x:c r="J338" s="99"/>
      <x:c r="K338" s="99"/>
      <x:c r="L338" s="99"/>
      <x:c r="M338" s="99"/>
      <x:c r="N338" s="99"/>
      <x:c r="O338" s="99"/>
      <x:c r="P338" s="99"/>
      <x:c r="Q338" s="99"/>
      <x:c r="R338" s="99"/>
      <x:c r="S338" s="99"/>
      <x:c r="T338" s="99"/>
      <x:c r="U338" s="99"/>
      <x:c r="V338" s="99"/>
      <x:c r="W338" s="99"/>
      <x:c r="X338" s="99"/>
      <x:c r="Y338" s="99"/>
      <x:c r="Z338" s="99"/>
    </x:row>
    <x:row r="339">
      <x:c r="A339" s="99"/>
      <x:c r="B339" s="99"/>
      <x:c r="C339" s="99"/>
      <x:c r="D339" s="99"/>
      <x:c r="E339" s="99"/>
      <x:c r="F339" s="99"/>
      <x:c r="G339" s="99"/>
      <x:c r="H339" s="99"/>
      <x:c r="I339" s="99"/>
      <x:c r="J339" s="99"/>
      <x:c r="K339" s="99"/>
      <x:c r="L339" s="99"/>
      <x:c r="M339" s="99"/>
      <x:c r="N339" s="99"/>
      <x:c r="O339" s="99"/>
      <x:c r="P339" s="99"/>
      <x:c r="Q339" s="99"/>
      <x:c r="R339" s="99"/>
      <x:c r="S339" s="99"/>
      <x:c r="T339" s="99"/>
      <x:c r="U339" s="99"/>
      <x:c r="V339" s="99"/>
      <x:c r="W339" s="99"/>
      <x:c r="X339" s="99"/>
      <x:c r="Y339" s="99"/>
      <x:c r="Z339" s="99"/>
    </x:row>
    <x:row r="340">
      <x:c r="A340" s="99"/>
      <x:c r="B340" s="99"/>
      <x:c r="C340" s="99"/>
      <x:c r="D340" s="99"/>
      <x:c r="E340" s="99"/>
      <x:c r="F340" s="99"/>
      <x:c r="G340" s="99"/>
      <x:c r="H340" s="99"/>
      <x:c r="I340" s="99"/>
      <x:c r="J340" s="99"/>
      <x:c r="K340" s="99"/>
      <x:c r="L340" s="99"/>
      <x:c r="M340" s="99"/>
      <x:c r="N340" s="99"/>
      <x:c r="O340" s="99"/>
      <x:c r="P340" s="99"/>
      <x:c r="Q340" s="99"/>
      <x:c r="R340" s="99"/>
      <x:c r="S340" s="99"/>
      <x:c r="T340" s="99"/>
      <x:c r="U340" s="99"/>
      <x:c r="V340" s="99"/>
      <x:c r="W340" s="99"/>
      <x:c r="X340" s="99"/>
      <x:c r="Y340" s="99"/>
      <x:c r="Z340" s="99"/>
    </x:row>
    <x:row r="341">
      <x:c r="A341" s="99"/>
      <x:c r="B341" s="99"/>
      <x:c r="C341" s="99"/>
      <x:c r="D341" s="99"/>
      <x:c r="E341" s="99"/>
      <x:c r="F341" s="99"/>
      <x:c r="G341" s="99"/>
      <x:c r="H341" s="99"/>
      <x:c r="I341" s="99"/>
      <x:c r="J341" s="99"/>
      <x:c r="K341" s="99"/>
      <x:c r="L341" s="99"/>
      <x:c r="M341" s="99"/>
      <x:c r="N341" s="99"/>
      <x:c r="O341" s="99"/>
      <x:c r="P341" s="99"/>
      <x:c r="Q341" s="99"/>
      <x:c r="R341" s="99"/>
      <x:c r="S341" s="99"/>
      <x:c r="T341" s="99"/>
      <x:c r="U341" s="99"/>
      <x:c r="V341" s="99"/>
      <x:c r="W341" s="99"/>
      <x:c r="X341" s="99"/>
      <x:c r="Y341" s="99"/>
      <x:c r="Z341" s="99"/>
    </x:row>
    <x:row r="342">
      <x:c r="A342" s="99"/>
      <x:c r="B342" s="99"/>
      <x:c r="C342" s="99"/>
      <x:c r="D342" s="99"/>
      <x:c r="E342" s="99"/>
      <x:c r="F342" s="99"/>
      <x:c r="G342" s="99"/>
      <x:c r="H342" s="99"/>
      <x:c r="I342" s="99"/>
      <x:c r="J342" s="99"/>
      <x:c r="K342" s="99"/>
      <x:c r="L342" s="99"/>
      <x:c r="M342" s="99"/>
      <x:c r="N342" s="99"/>
      <x:c r="O342" s="99"/>
      <x:c r="P342" s="99"/>
      <x:c r="Q342" s="99"/>
      <x:c r="R342" s="99"/>
      <x:c r="S342" s="99"/>
      <x:c r="T342" s="99"/>
      <x:c r="U342" s="99"/>
      <x:c r="V342" s="99"/>
      <x:c r="W342" s="99"/>
      <x:c r="X342" s="99"/>
      <x:c r="Y342" s="99"/>
      <x:c r="Z342" s="99"/>
    </x:row>
    <x:row r="343">
      <x:c r="A343" s="99"/>
      <x:c r="B343" s="99"/>
      <x:c r="C343" s="99"/>
      <x:c r="D343" s="99"/>
      <x:c r="E343" s="99"/>
      <x:c r="F343" s="99"/>
      <x:c r="G343" s="99"/>
      <x:c r="H343" s="99"/>
      <x:c r="I343" s="99"/>
      <x:c r="J343" s="99"/>
      <x:c r="K343" s="99"/>
      <x:c r="L343" s="99"/>
      <x:c r="M343" s="99"/>
      <x:c r="N343" s="99"/>
      <x:c r="O343" s="99"/>
      <x:c r="P343" s="99"/>
      <x:c r="Q343" s="99"/>
      <x:c r="R343" s="99"/>
      <x:c r="S343" s="99"/>
      <x:c r="T343" s="99"/>
      <x:c r="U343" s="99"/>
      <x:c r="V343" s="99"/>
      <x:c r="W343" s="99"/>
      <x:c r="X343" s="99"/>
      <x:c r="Y343" s="99"/>
      <x:c r="Z343" s="99"/>
    </x:row>
    <x:row r="344">
      <x:c r="A344" s="99"/>
      <x:c r="B344" s="99"/>
      <x:c r="C344" s="99"/>
      <x:c r="D344" s="99"/>
      <x:c r="E344" s="99"/>
      <x:c r="F344" s="99"/>
      <x:c r="G344" s="99"/>
      <x:c r="H344" s="99"/>
      <x:c r="I344" s="99"/>
      <x:c r="J344" s="99"/>
      <x:c r="K344" s="99"/>
      <x:c r="L344" s="99"/>
      <x:c r="M344" s="99"/>
      <x:c r="N344" s="99"/>
      <x:c r="O344" s="99"/>
      <x:c r="P344" s="99"/>
      <x:c r="Q344" s="99"/>
      <x:c r="R344" s="99"/>
      <x:c r="S344" s="99"/>
      <x:c r="T344" s="99"/>
      <x:c r="U344" s="99"/>
      <x:c r="V344" s="99"/>
      <x:c r="W344" s="99"/>
      <x:c r="X344" s="99"/>
      <x:c r="Y344" s="99"/>
      <x:c r="Z344" s="99"/>
    </x:row>
    <x:row r="345">
      <x:c r="A345" s="99"/>
      <x:c r="B345" s="99"/>
      <x:c r="C345" s="99"/>
      <x:c r="D345" s="99"/>
      <x:c r="E345" s="99"/>
      <x:c r="F345" s="99"/>
      <x:c r="G345" s="99"/>
      <x:c r="H345" s="99"/>
      <x:c r="I345" s="99"/>
      <x:c r="J345" s="99"/>
      <x:c r="K345" s="99"/>
      <x:c r="L345" s="99"/>
      <x:c r="M345" s="99"/>
      <x:c r="N345" s="99"/>
      <x:c r="O345" s="99"/>
      <x:c r="P345" s="99"/>
      <x:c r="Q345" s="99"/>
      <x:c r="R345" s="99"/>
      <x:c r="S345" s="99"/>
      <x:c r="T345" s="99"/>
      <x:c r="U345" s="99"/>
      <x:c r="V345" s="99"/>
      <x:c r="W345" s="99"/>
      <x:c r="X345" s="99"/>
      <x:c r="Y345" s="99"/>
      <x:c r="Z345" s="99"/>
    </x:row>
    <x:row r="346">
      <x:c r="A346" s="99"/>
      <x:c r="B346" s="99"/>
      <x:c r="C346" s="99"/>
      <x:c r="D346" s="99"/>
      <x:c r="E346" s="99"/>
      <x:c r="F346" s="99"/>
      <x:c r="G346" s="99"/>
      <x:c r="H346" s="99"/>
      <x:c r="I346" s="99"/>
      <x:c r="J346" s="99"/>
      <x:c r="K346" s="99"/>
      <x:c r="L346" s="99"/>
      <x:c r="M346" s="99"/>
      <x:c r="N346" s="99"/>
      <x:c r="O346" s="99"/>
      <x:c r="P346" s="99"/>
      <x:c r="Q346" s="99"/>
      <x:c r="R346" s="99"/>
      <x:c r="S346" s="99"/>
      <x:c r="T346" s="99"/>
      <x:c r="U346" s="99"/>
      <x:c r="V346" s="99"/>
      <x:c r="W346" s="99"/>
      <x:c r="X346" s="99"/>
      <x:c r="Y346" s="99"/>
      <x:c r="Z346" s="99"/>
    </x:row>
    <x:row r="347">
      <x:c r="A347" s="99"/>
      <x:c r="B347" s="99"/>
      <x:c r="C347" s="99"/>
      <x:c r="D347" s="99"/>
      <x:c r="E347" s="99"/>
      <x:c r="F347" s="99"/>
      <x:c r="G347" s="99"/>
      <x:c r="H347" s="99"/>
      <x:c r="I347" s="99"/>
      <x:c r="J347" s="99"/>
      <x:c r="K347" s="99"/>
      <x:c r="L347" s="99"/>
      <x:c r="M347" s="99"/>
      <x:c r="N347" s="99"/>
      <x:c r="O347" s="99"/>
      <x:c r="P347" s="99"/>
      <x:c r="Q347" s="99"/>
      <x:c r="R347" s="99"/>
      <x:c r="S347" s="99"/>
      <x:c r="T347" s="99"/>
      <x:c r="U347" s="99"/>
      <x:c r="V347" s="99"/>
      <x:c r="W347" s="99"/>
      <x:c r="X347" s="99"/>
      <x:c r="Y347" s="99"/>
      <x:c r="Z347" s="99"/>
    </x:row>
    <x:row r="348">
      <x:c r="A348" s="99"/>
      <x:c r="B348" s="99"/>
      <x:c r="C348" s="99"/>
      <x:c r="D348" s="99"/>
      <x:c r="E348" s="99"/>
      <x:c r="F348" s="99"/>
      <x:c r="G348" s="99"/>
      <x:c r="H348" s="99"/>
      <x:c r="I348" s="99"/>
      <x:c r="J348" s="99"/>
      <x:c r="K348" s="99"/>
      <x:c r="L348" s="99"/>
      <x:c r="M348" s="99"/>
      <x:c r="N348" s="99"/>
      <x:c r="O348" s="99"/>
      <x:c r="P348" s="99"/>
      <x:c r="Q348" s="99"/>
      <x:c r="R348" s="99"/>
      <x:c r="S348" s="99"/>
      <x:c r="T348" s="99"/>
      <x:c r="U348" s="99"/>
      <x:c r="V348" s="99"/>
      <x:c r="W348" s="99"/>
      <x:c r="X348" s="99"/>
      <x:c r="Y348" s="99"/>
      <x:c r="Z348" s="99"/>
    </x:row>
    <x:row r="349">
      <x:c r="A349" s="99"/>
      <x:c r="B349" s="99"/>
      <x:c r="C349" s="99"/>
      <x:c r="D349" s="99"/>
      <x:c r="E349" s="99"/>
      <x:c r="F349" s="99"/>
      <x:c r="G349" s="99"/>
      <x:c r="H349" s="99"/>
      <x:c r="I349" s="99"/>
      <x:c r="J349" s="99"/>
      <x:c r="K349" s="99"/>
      <x:c r="L349" s="99"/>
      <x:c r="M349" s="99"/>
      <x:c r="N349" s="99"/>
      <x:c r="O349" s="99"/>
      <x:c r="P349" s="99"/>
      <x:c r="Q349" s="99"/>
      <x:c r="R349" s="99"/>
      <x:c r="S349" s="99"/>
      <x:c r="T349" s="99"/>
      <x:c r="U349" s="99"/>
      <x:c r="V349" s="99"/>
      <x:c r="W349" s="99"/>
      <x:c r="X349" s="99"/>
      <x:c r="Y349" s="99"/>
      <x:c r="Z349" s="99"/>
    </x:row>
    <x:row r="350">
      <x:c r="A350" s="99"/>
      <x:c r="B350" s="99"/>
      <x:c r="C350" s="99"/>
      <x:c r="D350" s="99"/>
      <x:c r="E350" s="99"/>
      <x:c r="F350" s="99"/>
      <x:c r="G350" s="99"/>
      <x:c r="H350" s="99"/>
      <x:c r="I350" s="99"/>
      <x:c r="J350" s="99"/>
      <x:c r="K350" s="99"/>
      <x:c r="L350" s="99"/>
      <x:c r="M350" s="99"/>
      <x:c r="N350" s="99"/>
      <x:c r="O350" s="99"/>
      <x:c r="P350" s="99"/>
      <x:c r="Q350" s="99"/>
      <x:c r="R350" s="99"/>
      <x:c r="S350" s="99"/>
      <x:c r="T350" s="99"/>
      <x:c r="U350" s="99"/>
      <x:c r="V350" s="99"/>
      <x:c r="W350" s="99"/>
      <x:c r="X350" s="99"/>
      <x:c r="Y350" s="99"/>
      <x:c r="Z350" s="99"/>
    </x:row>
    <x:row r="351">
      <x:c r="A351" s="99"/>
      <x:c r="B351" s="99"/>
      <x:c r="C351" s="99"/>
      <x:c r="D351" s="99"/>
      <x:c r="E351" s="99"/>
      <x:c r="F351" s="99"/>
      <x:c r="G351" s="99"/>
      <x:c r="H351" s="99"/>
      <x:c r="I351" s="99"/>
      <x:c r="J351" s="99"/>
      <x:c r="K351" s="99"/>
      <x:c r="L351" s="99"/>
      <x:c r="M351" s="99"/>
      <x:c r="N351" s="99"/>
      <x:c r="O351" s="99"/>
      <x:c r="P351" s="99"/>
      <x:c r="Q351" s="99"/>
      <x:c r="R351" s="99"/>
      <x:c r="S351" s="99"/>
      <x:c r="T351" s="99"/>
      <x:c r="U351" s="99"/>
      <x:c r="V351" s="99"/>
      <x:c r="W351" s="99"/>
      <x:c r="X351" s="99"/>
      <x:c r="Y351" s="99"/>
      <x:c r="Z351" s="99"/>
    </x:row>
    <x:row r="352">
      <x:c r="A352" s="99"/>
      <x:c r="B352" s="99"/>
      <x:c r="C352" s="99"/>
      <x:c r="D352" s="99"/>
      <x:c r="E352" s="99"/>
      <x:c r="F352" s="99"/>
      <x:c r="G352" s="99"/>
      <x:c r="H352" s="99"/>
      <x:c r="I352" s="99"/>
      <x:c r="J352" s="99"/>
      <x:c r="K352" s="99"/>
      <x:c r="L352" s="99"/>
      <x:c r="M352" s="99"/>
      <x:c r="N352" s="99"/>
      <x:c r="O352" s="99"/>
      <x:c r="P352" s="99"/>
      <x:c r="Q352" s="99"/>
      <x:c r="R352" s="99"/>
      <x:c r="S352" s="99"/>
      <x:c r="T352" s="99"/>
      <x:c r="U352" s="99"/>
      <x:c r="V352" s="99"/>
      <x:c r="W352" s="99"/>
      <x:c r="X352" s="99"/>
      <x:c r="Y352" s="99"/>
      <x:c r="Z352" s="99"/>
    </x:row>
    <x:row r="353">
      <x:c r="A353" s="99"/>
      <x:c r="B353" s="99"/>
      <x:c r="C353" s="99"/>
      <x:c r="D353" s="99"/>
      <x:c r="E353" s="99"/>
      <x:c r="F353" s="99"/>
      <x:c r="G353" s="99"/>
      <x:c r="H353" s="99"/>
      <x:c r="I353" s="99"/>
      <x:c r="J353" s="99"/>
      <x:c r="K353" s="99"/>
      <x:c r="L353" s="99"/>
      <x:c r="M353" s="99"/>
      <x:c r="N353" s="99"/>
      <x:c r="O353" s="99"/>
      <x:c r="P353" s="99"/>
      <x:c r="Q353" s="99"/>
      <x:c r="R353" s="99"/>
      <x:c r="S353" s="99"/>
      <x:c r="T353" s="99"/>
      <x:c r="U353" s="99"/>
      <x:c r="V353" s="99"/>
      <x:c r="W353" s="99"/>
      <x:c r="X353" s="99"/>
      <x:c r="Y353" s="99"/>
      <x:c r="Z353" s="99"/>
    </x:row>
    <x:row r="354">
      <x:c r="A354" s="99"/>
      <x:c r="B354" s="99"/>
      <x:c r="C354" s="99"/>
      <x:c r="D354" s="99"/>
      <x:c r="E354" s="99"/>
      <x:c r="F354" s="99"/>
      <x:c r="G354" s="99"/>
      <x:c r="H354" s="99"/>
      <x:c r="I354" s="99"/>
      <x:c r="J354" s="99"/>
      <x:c r="K354" s="99"/>
      <x:c r="L354" s="99"/>
      <x:c r="M354" s="99"/>
      <x:c r="N354" s="99"/>
      <x:c r="O354" s="99"/>
      <x:c r="P354" s="99"/>
      <x:c r="Q354" s="99"/>
      <x:c r="R354" s="99"/>
      <x:c r="S354" s="99"/>
      <x:c r="T354" s="99"/>
      <x:c r="U354" s="99"/>
      <x:c r="V354" s="99"/>
      <x:c r="W354" s="99"/>
      <x:c r="X354" s="99"/>
      <x:c r="Y354" s="99"/>
      <x:c r="Z354" s="99"/>
    </x:row>
    <x:row r="355">
      <x:c r="A355" s="99"/>
      <x:c r="B355" s="99"/>
      <x:c r="C355" s="99"/>
      <x:c r="D355" s="99"/>
      <x:c r="E355" s="99"/>
      <x:c r="F355" s="99"/>
      <x:c r="G355" s="99"/>
      <x:c r="H355" s="99"/>
      <x:c r="I355" s="99"/>
      <x:c r="J355" s="99"/>
      <x:c r="K355" s="99"/>
      <x:c r="L355" s="99"/>
      <x:c r="M355" s="99"/>
      <x:c r="N355" s="99"/>
      <x:c r="O355" s="99"/>
      <x:c r="P355" s="99"/>
      <x:c r="Q355" s="99"/>
      <x:c r="R355" s="99"/>
      <x:c r="S355" s="99"/>
      <x:c r="T355" s="99"/>
      <x:c r="U355" s="99"/>
      <x:c r="V355" s="99"/>
      <x:c r="W355" s="99"/>
      <x:c r="X355" s="99"/>
      <x:c r="Y355" s="99"/>
      <x:c r="Z355" s="99"/>
    </x:row>
    <x:row r="356">
      <x:c r="A356" s="99"/>
      <x:c r="B356" s="99"/>
      <x:c r="C356" s="99"/>
      <x:c r="D356" s="99"/>
      <x:c r="E356" s="99"/>
      <x:c r="F356" s="99"/>
      <x:c r="G356" s="99"/>
      <x:c r="H356" s="99"/>
      <x:c r="I356" s="99"/>
      <x:c r="J356" s="99"/>
      <x:c r="K356" s="99"/>
      <x:c r="L356" s="99"/>
      <x:c r="M356" s="99"/>
      <x:c r="N356" s="99"/>
      <x:c r="O356" s="99"/>
      <x:c r="P356" s="99"/>
      <x:c r="Q356" s="99"/>
      <x:c r="R356" s="99"/>
      <x:c r="S356" s="99"/>
      <x:c r="T356" s="99"/>
      <x:c r="U356" s="99"/>
      <x:c r="V356" s="99"/>
      <x:c r="W356" s="99"/>
      <x:c r="X356" s="99"/>
      <x:c r="Y356" s="99"/>
      <x:c r="Z356" s="99"/>
    </x:row>
    <x:row r="357">
      <x:c r="A357" s="99"/>
      <x:c r="B357" s="99"/>
      <x:c r="C357" s="99"/>
      <x:c r="D357" s="99"/>
      <x:c r="E357" s="99"/>
      <x:c r="F357" s="99"/>
      <x:c r="G357" s="99"/>
      <x:c r="H357" s="99"/>
      <x:c r="I357" s="99"/>
      <x:c r="J357" s="99"/>
      <x:c r="K357" s="99"/>
      <x:c r="L357" s="99"/>
      <x:c r="M357" s="99"/>
      <x:c r="N357" s="99"/>
      <x:c r="O357" s="99"/>
      <x:c r="P357" s="99"/>
      <x:c r="Q357" s="99"/>
      <x:c r="R357" s="99"/>
      <x:c r="S357" s="99"/>
      <x:c r="T357" s="99"/>
      <x:c r="U357" s="99"/>
      <x:c r="V357" s="99"/>
      <x:c r="W357" s="99"/>
      <x:c r="X357" s="99"/>
      <x:c r="Y357" s="99"/>
      <x:c r="Z357" s="99"/>
    </x:row>
    <x:row r="358">
      <x:c r="A358" s="99"/>
      <x:c r="B358" s="99"/>
      <x:c r="C358" s="99"/>
      <x:c r="D358" s="99"/>
      <x:c r="E358" s="99"/>
      <x:c r="F358" s="99"/>
      <x:c r="G358" s="99"/>
      <x:c r="H358" s="99"/>
      <x:c r="I358" s="99"/>
      <x:c r="J358" s="99"/>
      <x:c r="K358" s="99"/>
      <x:c r="L358" s="99"/>
      <x:c r="M358" s="99"/>
      <x:c r="N358" s="99"/>
      <x:c r="O358" s="99"/>
      <x:c r="P358" s="99"/>
      <x:c r="Q358" s="99"/>
      <x:c r="R358" s="99"/>
      <x:c r="S358" s="99"/>
      <x:c r="T358" s="99"/>
      <x:c r="U358" s="99"/>
      <x:c r="V358" s="99"/>
      <x:c r="W358" s="99"/>
      <x:c r="X358" s="99"/>
      <x:c r="Y358" s="99"/>
      <x:c r="Z358" s="99"/>
    </x:row>
    <x:row r="359">
      <x:c r="A359" s="99"/>
      <x:c r="B359" s="99"/>
      <x:c r="C359" s="99"/>
      <x:c r="D359" s="99"/>
      <x:c r="E359" s="99"/>
      <x:c r="F359" s="99"/>
      <x:c r="G359" s="99"/>
      <x:c r="H359" s="99"/>
      <x:c r="I359" s="99"/>
      <x:c r="J359" s="99"/>
      <x:c r="K359" s="99"/>
      <x:c r="L359" s="99"/>
      <x:c r="M359" s="99"/>
      <x:c r="N359" s="99"/>
      <x:c r="O359" s="99"/>
      <x:c r="P359" s="99"/>
      <x:c r="Q359" s="99"/>
      <x:c r="R359" s="99"/>
      <x:c r="S359" s="99"/>
      <x:c r="T359" s="99"/>
      <x:c r="U359" s="99"/>
      <x:c r="V359" s="99"/>
      <x:c r="W359" s="99"/>
      <x:c r="X359" s="99"/>
      <x:c r="Y359" s="99"/>
      <x:c r="Z359" s="99"/>
    </x:row>
    <x:row r="360">
      <x:c r="A360" s="99"/>
      <x:c r="B360" s="99"/>
      <x:c r="C360" s="99"/>
      <x:c r="D360" s="99"/>
      <x:c r="E360" s="99"/>
      <x:c r="F360" s="99"/>
      <x:c r="G360" s="99"/>
      <x:c r="H360" s="99"/>
      <x:c r="I360" s="99"/>
      <x:c r="J360" s="99"/>
      <x:c r="K360" s="99"/>
      <x:c r="L360" s="99"/>
      <x:c r="M360" s="99"/>
      <x:c r="N360" s="99"/>
      <x:c r="O360" s="99"/>
      <x:c r="P360" s="99"/>
      <x:c r="Q360" s="99"/>
      <x:c r="R360" s="99"/>
      <x:c r="S360" s="99"/>
      <x:c r="T360" s="99"/>
      <x:c r="U360" s="99"/>
      <x:c r="V360" s="99"/>
      <x:c r="W360" s="99"/>
      <x:c r="X360" s="99"/>
      <x:c r="Y360" s="99"/>
      <x:c r="Z360" s="99"/>
    </x:row>
    <x:row r="361">
      <x:c r="A361" s="99"/>
      <x:c r="B361" s="99"/>
      <x:c r="C361" s="99"/>
      <x:c r="D361" s="99"/>
      <x:c r="E361" s="99"/>
      <x:c r="F361" s="99"/>
      <x:c r="G361" s="99"/>
      <x:c r="H361" s="99"/>
      <x:c r="I361" s="99"/>
      <x:c r="J361" s="99"/>
      <x:c r="K361" s="99"/>
      <x:c r="L361" s="99"/>
      <x:c r="M361" s="99"/>
      <x:c r="N361" s="99"/>
      <x:c r="O361" s="99"/>
      <x:c r="P361" s="99"/>
      <x:c r="Q361" s="99"/>
      <x:c r="R361" s="99"/>
      <x:c r="S361" s="99"/>
      <x:c r="T361" s="99"/>
      <x:c r="U361" s="99"/>
      <x:c r="V361" s="99"/>
      <x:c r="W361" s="99"/>
      <x:c r="X361" s="99"/>
      <x:c r="Y361" s="99"/>
      <x:c r="Z361" s="99"/>
    </x:row>
    <x:row r="362">
      <x:c r="A362" s="99"/>
      <x:c r="B362" s="99"/>
      <x:c r="C362" s="99"/>
      <x:c r="D362" s="99"/>
      <x:c r="E362" s="99"/>
      <x:c r="F362" s="99"/>
      <x:c r="G362" s="99"/>
      <x:c r="H362" s="99"/>
      <x:c r="I362" s="99"/>
      <x:c r="J362" s="99"/>
      <x:c r="K362" s="99"/>
      <x:c r="L362" s="99"/>
      <x:c r="M362" s="99"/>
      <x:c r="N362" s="99"/>
      <x:c r="O362" s="99"/>
      <x:c r="P362" s="99"/>
      <x:c r="Q362" s="99"/>
      <x:c r="R362" s="99"/>
      <x:c r="S362" s="99"/>
      <x:c r="T362" s="99"/>
      <x:c r="U362" s="99"/>
      <x:c r="V362" s="99"/>
      <x:c r="W362" s="99"/>
      <x:c r="X362" s="99"/>
      <x:c r="Y362" s="99"/>
      <x:c r="Z362" s="99"/>
    </x:row>
    <x:row r="363">
      <x:c r="A363" s="99"/>
      <x:c r="B363" s="99"/>
      <x:c r="C363" s="99"/>
      <x:c r="D363" s="99"/>
      <x:c r="E363" s="99"/>
      <x:c r="F363" s="99"/>
      <x:c r="G363" s="99"/>
      <x:c r="H363" s="99"/>
      <x:c r="I363" s="99"/>
      <x:c r="J363" s="99"/>
      <x:c r="K363" s="99"/>
      <x:c r="L363" s="99"/>
      <x:c r="M363" s="99"/>
      <x:c r="N363" s="99"/>
      <x:c r="O363" s="99"/>
      <x:c r="P363" s="99"/>
      <x:c r="Q363" s="99"/>
      <x:c r="R363" s="99"/>
      <x:c r="S363" s="99"/>
      <x:c r="T363" s="99"/>
      <x:c r="U363" s="99"/>
      <x:c r="V363" s="99"/>
      <x:c r="W363" s="99"/>
      <x:c r="X363" s="99"/>
      <x:c r="Y363" s="99"/>
      <x:c r="Z363" s="99"/>
    </x:row>
    <x:row r="364">
      <x:c r="A364" s="99"/>
      <x:c r="B364" s="99"/>
      <x:c r="C364" s="99"/>
      <x:c r="D364" s="99"/>
      <x:c r="E364" s="99"/>
      <x:c r="F364" s="99"/>
      <x:c r="G364" s="99"/>
      <x:c r="H364" s="99"/>
      <x:c r="I364" s="99"/>
      <x:c r="J364" s="99"/>
      <x:c r="K364" s="99"/>
      <x:c r="L364" s="99"/>
      <x:c r="M364" s="99"/>
      <x:c r="N364" s="99"/>
      <x:c r="O364" s="99"/>
      <x:c r="P364" s="99"/>
      <x:c r="Q364" s="99"/>
      <x:c r="R364" s="99"/>
      <x:c r="S364" s="99"/>
      <x:c r="T364" s="99"/>
      <x:c r="U364" s="99"/>
      <x:c r="V364" s="99"/>
      <x:c r="W364" s="99"/>
      <x:c r="X364" s="99"/>
      <x:c r="Y364" s="99"/>
      <x:c r="Z364" s="99"/>
    </x:row>
    <x:row r="365">
      <x:c r="A365" s="99"/>
      <x:c r="B365" s="99"/>
      <x:c r="C365" s="99"/>
      <x:c r="D365" s="99"/>
      <x:c r="E365" s="99"/>
      <x:c r="F365" s="99"/>
      <x:c r="G365" s="99"/>
      <x:c r="H365" s="99"/>
      <x:c r="I365" s="99"/>
      <x:c r="J365" s="99"/>
      <x:c r="K365" s="99"/>
      <x:c r="L365" s="99"/>
      <x:c r="M365" s="99"/>
      <x:c r="N365" s="99"/>
      <x:c r="O365" s="99"/>
      <x:c r="P365" s="99"/>
      <x:c r="Q365" s="99"/>
      <x:c r="R365" s="99"/>
      <x:c r="S365" s="99"/>
      <x:c r="T365" s="99"/>
      <x:c r="U365" s="99"/>
      <x:c r="V365" s="99"/>
      <x:c r="W365" s="99"/>
      <x:c r="X365" s="99"/>
      <x:c r="Y365" s="99"/>
      <x:c r="Z365" s="99"/>
    </x:row>
    <x:row r="366">
      <x:c r="A366" s="99"/>
      <x:c r="B366" s="99"/>
      <x:c r="C366" s="99"/>
      <x:c r="D366" s="99"/>
      <x:c r="E366" s="99"/>
      <x:c r="F366" s="99"/>
      <x:c r="G366" s="99"/>
      <x:c r="H366" s="99"/>
      <x:c r="I366" s="99"/>
      <x:c r="J366" s="99"/>
      <x:c r="K366" s="99"/>
      <x:c r="L366" s="99"/>
      <x:c r="M366" s="99"/>
      <x:c r="N366" s="99"/>
      <x:c r="O366" s="99"/>
      <x:c r="P366" s="99"/>
      <x:c r="Q366" s="99"/>
      <x:c r="R366" s="99"/>
      <x:c r="S366" s="99"/>
      <x:c r="T366" s="99"/>
      <x:c r="U366" s="99"/>
      <x:c r="V366" s="99"/>
      <x:c r="W366" s="99"/>
      <x:c r="X366" s="99"/>
      <x:c r="Y366" s="99"/>
      <x:c r="Z366" s="99"/>
    </x:row>
    <x:row r="367">
      <x:c r="A367" s="99"/>
      <x:c r="B367" s="99"/>
      <x:c r="C367" s="99"/>
      <x:c r="D367" s="99"/>
      <x:c r="E367" s="99"/>
      <x:c r="F367" s="99"/>
      <x:c r="G367" s="99"/>
      <x:c r="H367" s="99"/>
      <x:c r="I367" s="99"/>
      <x:c r="J367" s="99"/>
      <x:c r="K367" s="99"/>
      <x:c r="L367" s="99"/>
      <x:c r="M367" s="99"/>
      <x:c r="N367" s="99"/>
      <x:c r="O367" s="99"/>
      <x:c r="P367" s="99"/>
      <x:c r="Q367" s="99"/>
      <x:c r="R367" s="99"/>
      <x:c r="S367" s="99"/>
      <x:c r="T367" s="99"/>
      <x:c r="U367" s="99"/>
      <x:c r="V367" s="99"/>
      <x:c r="W367" s="99"/>
      <x:c r="X367" s="99"/>
      <x:c r="Y367" s="99"/>
      <x:c r="Z367" s="99"/>
    </x:row>
    <x:row r="368">
      <x:c r="A368" s="99"/>
      <x:c r="B368" s="99"/>
      <x:c r="C368" s="99"/>
      <x:c r="D368" s="99"/>
      <x:c r="E368" s="99"/>
      <x:c r="F368" s="99"/>
      <x:c r="G368" s="99"/>
      <x:c r="H368" s="99"/>
      <x:c r="I368" s="99"/>
      <x:c r="J368" s="99"/>
      <x:c r="K368" s="99"/>
      <x:c r="L368" s="99"/>
      <x:c r="M368" s="99"/>
      <x:c r="N368" s="99"/>
      <x:c r="O368" s="99"/>
      <x:c r="P368" s="99"/>
      <x:c r="Q368" s="99"/>
      <x:c r="R368" s="99"/>
      <x:c r="S368" s="99"/>
      <x:c r="T368" s="99"/>
      <x:c r="U368" s="99"/>
      <x:c r="V368" s="99"/>
      <x:c r="W368" s="99"/>
      <x:c r="X368" s="99"/>
      <x:c r="Y368" s="99"/>
      <x:c r="Z368" s="99"/>
    </x:row>
    <x:row r="369">
      <x:c r="A369" s="99"/>
      <x:c r="B369" s="99"/>
      <x:c r="C369" s="99"/>
      <x:c r="D369" s="99"/>
      <x:c r="E369" s="99"/>
      <x:c r="F369" s="99"/>
      <x:c r="G369" s="99"/>
      <x:c r="H369" s="99"/>
      <x:c r="I369" s="99"/>
      <x:c r="J369" s="99"/>
      <x:c r="K369" s="99"/>
      <x:c r="L369" s="99"/>
      <x:c r="M369" s="99"/>
      <x:c r="N369" s="99"/>
      <x:c r="O369" s="99"/>
      <x:c r="P369" s="99"/>
      <x:c r="Q369" s="99"/>
      <x:c r="R369" s="99"/>
      <x:c r="S369" s="99"/>
      <x:c r="T369" s="99"/>
      <x:c r="U369" s="99"/>
      <x:c r="V369" s="99"/>
      <x:c r="W369" s="99"/>
      <x:c r="X369" s="99"/>
      <x:c r="Y369" s="99"/>
      <x:c r="Z369" s="99"/>
    </x:row>
    <x:row r="370">
      <x:c r="A370" s="99"/>
      <x:c r="B370" s="99"/>
      <x:c r="C370" s="99"/>
      <x:c r="D370" s="99"/>
      <x:c r="E370" s="99"/>
      <x:c r="F370" s="99"/>
      <x:c r="G370" s="99"/>
      <x:c r="H370" s="99"/>
      <x:c r="I370" s="99"/>
      <x:c r="J370" s="99"/>
      <x:c r="K370" s="99"/>
      <x:c r="L370" s="99"/>
      <x:c r="M370" s="99"/>
      <x:c r="N370" s="99"/>
      <x:c r="O370" s="99"/>
      <x:c r="P370" s="99"/>
      <x:c r="Q370" s="99"/>
      <x:c r="R370" s="99"/>
      <x:c r="S370" s="99"/>
      <x:c r="T370" s="99"/>
      <x:c r="U370" s="99"/>
      <x:c r="V370" s="99"/>
      <x:c r="W370" s="99"/>
      <x:c r="X370" s="99"/>
      <x:c r="Y370" s="99"/>
      <x:c r="Z370" s="99"/>
    </x:row>
    <x:row r="371">
      <x:c r="A371" s="99"/>
      <x:c r="B371" s="99"/>
      <x:c r="C371" s="99"/>
      <x:c r="D371" s="99"/>
      <x:c r="E371" s="99"/>
      <x:c r="F371" s="99"/>
      <x:c r="G371" s="99"/>
      <x:c r="H371" s="99"/>
      <x:c r="I371" s="99"/>
      <x:c r="J371" s="99"/>
      <x:c r="K371" s="99"/>
      <x:c r="L371" s="99"/>
      <x:c r="M371" s="99"/>
      <x:c r="N371" s="99"/>
      <x:c r="O371" s="99"/>
      <x:c r="P371" s="99"/>
      <x:c r="Q371" s="99"/>
      <x:c r="R371" s="99"/>
      <x:c r="S371" s="99"/>
      <x:c r="T371" s="99"/>
      <x:c r="U371" s="99"/>
      <x:c r="V371" s="99"/>
      <x:c r="W371" s="99"/>
      <x:c r="X371" s="99"/>
      <x:c r="Y371" s="99"/>
      <x:c r="Z371" s="99"/>
    </x:row>
    <x:row r="372">
      <x:c r="A372" s="99"/>
      <x:c r="B372" s="99"/>
      <x:c r="C372" s="99"/>
      <x:c r="D372" s="99"/>
      <x:c r="E372" s="99"/>
      <x:c r="F372" s="99"/>
      <x:c r="G372" s="99"/>
      <x:c r="H372" s="99"/>
      <x:c r="I372" s="99"/>
      <x:c r="J372" s="99"/>
      <x:c r="K372" s="99"/>
      <x:c r="L372" s="99"/>
      <x:c r="M372" s="99"/>
      <x:c r="N372" s="99"/>
      <x:c r="O372" s="99"/>
      <x:c r="P372" s="99"/>
      <x:c r="Q372" s="99"/>
      <x:c r="R372" s="99"/>
      <x:c r="S372" s="99"/>
      <x:c r="T372" s="99"/>
      <x:c r="U372" s="99"/>
      <x:c r="V372" s="99"/>
      <x:c r="W372" s="99"/>
      <x:c r="X372" s="99"/>
      <x:c r="Y372" s="99"/>
      <x:c r="Z372" s="99"/>
    </x:row>
    <x:row r="373">
      <x:c r="A373" s="99"/>
      <x:c r="B373" s="99"/>
      <x:c r="C373" s="99"/>
      <x:c r="D373" s="99"/>
      <x:c r="E373" s="99"/>
      <x:c r="F373" s="99"/>
      <x:c r="G373" s="99"/>
      <x:c r="H373" s="99"/>
      <x:c r="I373" s="99"/>
      <x:c r="J373" s="99"/>
      <x:c r="K373" s="99"/>
      <x:c r="L373" s="99"/>
      <x:c r="M373" s="99"/>
      <x:c r="N373" s="99"/>
      <x:c r="O373" s="99"/>
      <x:c r="P373" s="99"/>
      <x:c r="Q373" s="99"/>
      <x:c r="R373" s="99"/>
      <x:c r="S373" s="99"/>
      <x:c r="T373" s="99"/>
      <x:c r="U373" s="99"/>
      <x:c r="V373" s="99"/>
      <x:c r="W373" s="99"/>
      <x:c r="X373" s="99"/>
      <x:c r="Y373" s="99"/>
      <x:c r="Z373" s="99"/>
    </x:row>
    <x:row r="374">
      <x:c r="A374" s="99"/>
      <x:c r="B374" s="99"/>
      <x:c r="C374" s="99"/>
      <x:c r="D374" s="99"/>
      <x:c r="E374" s="99"/>
      <x:c r="F374" s="99"/>
      <x:c r="G374" s="99"/>
      <x:c r="H374" s="99"/>
      <x:c r="I374" s="99"/>
      <x:c r="J374" s="99"/>
      <x:c r="K374" s="99"/>
      <x:c r="L374" s="99"/>
      <x:c r="M374" s="99"/>
      <x:c r="N374" s="99"/>
      <x:c r="O374" s="99"/>
      <x:c r="P374" s="99"/>
      <x:c r="Q374" s="99"/>
      <x:c r="R374" s="99"/>
      <x:c r="S374" s="99"/>
      <x:c r="T374" s="99"/>
      <x:c r="U374" s="99"/>
      <x:c r="V374" s="99"/>
      <x:c r="W374" s="99"/>
      <x:c r="X374" s="99"/>
      <x:c r="Y374" s="99"/>
      <x:c r="Z374" s="99"/>
    </x:row>
    <x:row r="375">
      <x:c r="A375" s="99"/>
      <x:c r="B375" s="99"/>
      <x:c r="C375" s="99"/>
      <x:c r="D375" s="99"/>
      <x:c r="E375" s="99"/>
      <x:c r="F375" s="99"/>
      <x:c r="G375" s="99"/>
      <x:c r="H375" s="99"/>
      <x:c r="I375" s="99"/>
      <x:c r="J375" s="99"/>
      <x:c r="K375" s="99"/>
      <x:c r="L375" s="99"/>
      <x:c r="M375" s="99"/>
      <x:c r="N375" s="99"/>
      <x:c r="O375" s="99"/>
      <x:c r="P375" s="99"/>
      <x:c r="Q375" s="99"/>
      <x:c r="R375" s="99"/>
      <x:c r="S375" s="99"/>
      <x:c r="T375" s="99"/>
      <x:c r="U375" s="99"/>
      <x:c r="V375" s="99"/>
      <x:c r="W375" s="99"/>
      <x:c r="X375" s="99"/>
      <x:c r="Y375" s="99"/>
      <x:c r="Z375" s="99"/>
    </x:row>
    <x:row r="376">
      <x:c r="A376" s="99"/>
      <x:c r="B376" s="99"/>
      <x:c r="C376" s="99"/>
      <x:c r="D376" s="99"/>
      <x:c r="E376" s="99"/>
      <x:c r="F376" s="99"/>
      <x:c r="G376" s="99"/>
      <x:c r="H376" s="99"/>
      <x:c r="I376" s="99"/>
      <x:c r="J376" s="99"/>
      <x:c r="K376" s="99"/>
      <x:c r="L376" s="99"/>
      <x:c r="M376" s="99"/>
      <x:c r="N376" s="99"/>
      <x:c r="O376" s="99"/>
      <x:c r="P376" s="99"/>
      <x:c r="Q376" s="99"/>
      <x:c r="R376" s="99"/>
      <x:c r="S376" s="99"/>
      <x:c r="T376" s="99"/>
      <x:c r="U376" s="99"/>
      <x:c r="V376" s="99"/>
      <x:c r="W376" s="99"/>
      <x:c r="X376" s="99"/>
      <x:c r="Y376" s="99"/>
      <x:c r="Z376" s="99"/>
    </x:row>
    <x:row r="377">
      <x:c r="A377" s="99"/>
      <x:c r="B377" s="99"/>
      <x:c r="C377" s="99"/>
      <x:c r="D377" s="99"/>
      <x:c r="E377" s="99"/>
      <x:c r="F377" s="99"/>
      <x:c r="G377" s="99"/>
      <x:c r="H377" s="99"/>
      <x:c r="I377" s="99"/>
      <x:c r="J377" s="99"/>
      <x:c r="K377" s="99"/>
      <x:c r="L377" s="99"/>
      <x:c r="M377" s="99"/>
      <x:c r="N377" s="99"/>
      <x:c r="O377" s="99"/>
      <x:c r="P377" s="99"/>
      <x:c r="Q377" s="99"/>
      <x:c r="R377" s="99"/>
      <x:c r="S377" s="99"/>
      <x:c r="T377" s="99"/>
      <x:c r="U377" s="99"/>
      <x:c r="V377" s="99"/>
      <x:c r="W377" s="99"/>
      <x:c r="X377" s="99"/>
      <x:c r="Y377" s="99"/>
      <x:c r="Z377" s="99"/>
    </x:row>
    <x:row r="378">
      <x:c r="A378" s="99"/>
      <x:c r="B378" s="99"/>
      <x:c r="C378" s="99"/>
      <x:c r="D378" s="99"/>
      <x:c r="E378" s="99"/>
      <x:c r="F378" s="99"/>
      <x:c r="G378" s="99"/>
      <x:c r="H378" s="99"/>
      <x:c r="I378" s="99"/>
      <x:c r="J378" s="99"/>
      <x:c r="K378" s="99"/>
      <x:c r="L378" s="99"/>
      <x:c r="M378" s="99"/>
      <x:c r="N378" s="99"/>
      <x:c r="O378" s="99"/>
      <x:c r="P378" s="99"/>
      <x:c r="Q378" s="99"/>
      <x:c r="R378" s="99"/>
      <x:c r="S378" s="99"/>
      <x:c r="T378" s="99"/>
      <x:c r="U378" s="99"/>
      <x:c r="V378" s="99"/>
      <x:c r="W378" s="99"/>
      <x:c r="X378" s="99"/>
      <x:c r="Y378" s="99"/>
      <x:c r="Z378" s="99"/>
    </x:row>
    <x:row r="379">
      <x:c r="A379" s="99"/>
      <x:c r="B379" s="99"/>
      <x:c r="C379" s="99"/>
      <x:c r="D379" s="99"/>
      <x:c r="E379" s="99"/>
      <x:c r="F379" s="99"/>
      <x:c r="G379" s="99"/>
      <x:c r="H379" s="99"/>
      <x:c r="I379" s="99"/>
      <x:c r="J379" s="99"/>
      <x:c r="K379" s="99"/>
      <x:c r="L379" s="99"/>
      <x:c r="M379" s="99"/>
      <x:c r="N379" s="99"/>
      <x:c r="O379" s="99"/>
      <x:c r="P379" s="99"/>
      <x:c r="Q379" s="99"/>
      <x:c r="R379" s="99"/>
      <x:c r="S379" s="99"/>
      <x:c r="T379" s="99"/>
      <x:c r="U379" s="99"/>
      <x:c r="V379" s="99"/>
      <x:c r="W379" s="99"/>
      <x:c r="X379" s="99"/>
      <x:c r="Y379" s="99"/>
      <x:c r="Z379" s="99"/>
    </x:row>
    <x:row r="380">
      <x:c r="A380" s="99"/>
      <x:c r="B380" s="99"/>
      <x:c r="C380" s="99"/>
      <x:c r="D380" s="99"/>
      <x:c r="E380" s="99"/>
      <x:c r="F380" s="99"/>
      <x:c r="G380" s="99"/>
      <x:c r="H380" s="99"/>
      <x:c r="I380" s="99"/>
      <x:c r="J380" s="99"/>
      <x:c r="K380" s="99"/>
      <x:c r="L380" s="99"/>
      <x:c r="M380" s="99"/>
      <x:c r="N380" s="99"/>
      <x:c r="O380" s="99"/>
      <x:c r="P380" s="99"/>
      <x:c r="Q380" s="99"/>
      <x:c r="R380" s="99"/>
      <x:c r="S380" s="99"/>
      <x:c r="T380" s="99"/>
      <x:c r="U380" s="99"/>
      <x:c r="V380" s="99"/>
      <x:c r="W380" s="99"/>
      <x:c r="X380" s="99"/>
      <x:c r="Y380" s="99"/>
      <x:c r="Z380" s="99"/>
    </x:row>
    <x:row r="381">
      <x:c r="A381" s="99"/>
      <x:c r="B381" s="99"/>
      <x:c r="C381" s="99"/>
      <x:c r="D381" s="99"/>
      <x:c r="E381" s="99"/>
      <x:c r="F381" s="99"/>
      <x:c r="G381" s="99"/>
      <x:c r="H381" s="99"/>
      <x:c r="I381" s="99"/>
      <x:c r="J381" s="99"/>
      <x:c r="K381" s="99"/>
      <x:c r="L381" s="99"/>
      <x:c r="M381" s="99"/>
      <x:c r="N381" s="99"/>
      <x:c r="O381" s="99"/>
      <x:c r="P381" s="99"/>
      <x:c r="Q381" s="99"/>
      <x:c r="R381" s="99"/>
      <x:c r="S381" s="99"/>
      <x:c r="T381" s="99"/>
      <x:c r="U381" s="99"/>
      <x:c r="V381" s="99"/>
      <x:c r="W381" s="99"/>
      <x:c r="X381" s="99"/>
      <x:c r="Y381" s="99"/>
      <x:c r="Z381" s="99"/>
    </x:row>
    <x:row r="382">
      <x:c r="A382" s="99"/>
      <x:c r="B382" s="99"/>
      <x:c r="C382" s="99"/>
      <x:c r="D382" s="99"/>
      <x:c r="E382" s="99"/>
      <x:c r="F382" s="99"/>
      <x:c r="G382" s="99"/>
      <x:c r="H382" s="99"/>
      <x:c r="I382" s="99"/>
      <x:c r="J382" s="99"/>
      <x:c r="K382" s="99"/>
      <x:c r="L382" s="99"/>
      <x:c r="M382" s="99"/>
      <x:c r="N382" s="99"/>
      <x:c r="O382" s="99"/>
      <x:c r="P382" s="99"/>
      <x:c r="Q382" s="99"/>
      <x:c r="R382" s="99"/>
      <x:c r="S382" s="99"/>
      <x:c r="T382" s="99"/>
      <x:c r="U382" s="99"/>
      <x:c r="V382" s="99"/>
      <x:c r="W382" s="99"/>
      <x:c r="X382" s="99"/>
      <x:c r="Y382" s="99"/>
      <x:c r="Z382" s="99"/>
    </x:row>
    <x:row r="383">
      <x:c r="A383" s="99"/>
      <x:c r="B383" s="99"/>
      <x:c r="C383" s="99"/>
      <x:c r="D383" s="99"/>
      <x:c r="E383" s="99"/>
      <x:c r="F383" s="99"/>
      <x:c r="G383" s="99"/>
      <x:c r="H383" s="99"/>
      <x:c r="I383" s="99"/>
      <x:c r="J383" s="99"/>
      <x:c r="K383" s="99"/>
      <x:c r="L383" s="99"/>
      <x:c r="M383" s="99"/>
      <x:c r="N383" s="99"/>
      <x:c r="O383" s="99"/>
      <x:c r="P383" s="99"/>
      <x:c r="Q383" s="99"/>
      <x:c r="R383" s="99"/>
      <x:c r="S383" s="99"/>
      <x:c r="T383" s="99"/>
      <x:c r="U383" s="99"/>
      <x:c r="V383" s="99"/>
      <x:c r="W383" s="99"/>
      <x:c r="X383" s="99"/>
      <x:c r="Y383" s="99"/>
      <x:c r="Z383" s="99"/>
    </x:row>
    <x:row r="384">
      <x:c r="A384" s="99"/>
      <x:c r="B384" s="99"/>
      <x:c r="C384" s="99"/>
      <x:c r="D384" s="99"/>
      <x:c r="E384" s="99"/>
      <x:c r="F384" s="99"/>
      <x:c r="G384" s="99"/>
      <x:c r="H384" s="99"/>
      <x:c r="I384" s="99"/>
      <x:c r="J384" s="99"/>
      <x:c r="K384" s="99"/>
      <x:c r="L384" s="99"/>
      <x:c r="M384" s="99"/>
      <x:c r="N384" s="99"/>
      <x:c r="O384" s="99"/>
      <x:c r="P384" s="99"/>
      <x:c r="Q384" s="99"/>
      <x:c r="R384" s="99"/>
      <x:c r="S384" s="99"/>
      <x:c r="T384" s="99"/>
      <x:c r="U384" s="99"/>
      <x:c r="V384" s="99"/>
      <x:c r="W384" s="99"/>
      <x:c r="X384" s="99"/>
      <x:c r="Y384" s="99"/>
      <x:c r="Z384" s="99"/>
    </x:row>
    <x:row r="385">
      <x:c r="A385" s="99"/>
      <x:c r="B385" s="99"/>
      <x:c r="C385" s="99"/>
      <x:c r="D385" s="99"/>
      <x:c r="E385" s="99"/>
      <x:c r="F385" s="99"/>
      <x:c r="G385" s="99"/>
      <x:c r="H385" s="99"/>
      <x:c r="I385" s="99"/>
      <x:c r="J385" s="99"/>
      <x:c r="K385" s="99"/>
      <x:c r="L385" s="99"/>
      <x:c r="M385" s="99"/>
      <x:c r="N385" s="99"/>
      <x:c r="O385" s="99"/>
      <x:c r="P385" s="99"/>
      <x:c r="Q385" s="99"/>
      <x:c r="R385" s="99"/>
      <x:c r="S385" s="99"/>
      <x:c r="T385" s="99"/>
      <x:c r="U385" s="99"/>
      <x:c r="V385" s="99"/>
      <x:c r="W385" s="99"/>
      <x:c r="X385" s="99"/>
      <x:c r="Y385" s="99"/>
      <x:c r="Z385" s="99"/>
    </x:row>
    <x:row r="386">
      <x:c r="A386" s="99"/>
      <x:c r="B386" s="99"/>
      <x:c r="C386" s="99"/>
      <x:c r="D386" s="99"/>
      <x:c r="E386" s="99"/>
      <x:c r="F386" s="99"/>
      <x:c r="G386" s="99"/>
      <x:c r="H386" s="99"/>
      <x:c r="I386" s="99"/>
      <x:c r="J386" s="99"/>
      <x:c r="K386" s="99"/>
      <x:c r="L386" s="99"/>
      <x:c r="M386" s="99"/>
      <x:c r="N386" s="99"/>
      <x:c r="O386" s="99"/>
      <x:c r="P386" s="99"/>
      <x:c r="Q386" s="99"/>
      <x:c r="R386" s="99"/>
      <x:c r="S386" s="99"/>
      <x:c r="T386" s="99"/>
      <x:c r="U386" s="99"/>
      <x:c r="V386" s="99"/>
      <x:c r="W386" s="99"/>
      <x:c r="X386" s="99"/>
      <x:c r="Y386" s="99"/>
      <x:c r="Z386" s="99"/>
    </x:row>
    <x:row r="387">
      <x:c r="A387" s="99"/>
      <x:c r="B387" s="99"/>
      <x:c r="C387" s="99"/>
      <x:c r="D387" s="99"/>
      <x:c r="E387" s="99"/>
      <x:c r="F387" s="99"/>
      <x:c r="G387" s="99"/>
      <x:c r="H387" s="99"/>
      <x:c r="I387" s="99"/>
      <x:c r="J387" s="99"/>
      <x:c r="K387" s="99"/>
      <x:c r="L387" s="99"/>
      <x:c r="M387" s="99"/>
      <x:c r="N387" s="99"/>
      <x:c r="O387" s="99"/>
      <x:c r="P387" s="99"/>
      <x:c r="Q387" s="99"/>
      <x:c r="R387" s="99"/>
      <x:c r="S387" s="99"/>
      <x:c r="T387" s="99"/>
      <x:c r="U387" s="99"/>
      <x:c r="V387" s="99"/>
      <x:c r="W387" s="99"/>
      <x:c r="X387" s="99"/>
      <x:c r="Y387" s="99"/>
      <x:c r="Z387" s="99"/>
    </x:row>
    <x:row r="388">
      <x:c r="A388" s="99"/>
      <x:c r="B388" s="99"/>
      <x:c r="C388" s="99"/>
      <x:c r="D388" s="99"/>
      <x:c r="E388" s="99"/>
      <x:c r="F388" s="99"/>
      <x:c r="G388" s="99"/>
      <x:c r="H388" s="99"/>
      <x:c r="I388" s="99"/>
      <x:c r="J388" s="99"/>
      <x:c r="K388" s="99"/>
      <x:c r="L388" s="99"/>
      <x:c r="M388" s="99"/>
      <x:c r="N388" s="99"/>
      <x:c r="O388" s="99"/>
      <x:c r="P388" s="99"/>
      <x:c r="Q388" s="99"/>
      <x:c r="R388" s="99"/>
      <x:c r="S388" s="99"/>
      <x:c r="T388" s="99"/>
      <x:c r="U388" s="99"/>
      <x:c r="V388" s="99"/>
      <x:c r="W388" s="99"/>
      <x:c r="X388" s="99"/>
      <x:c r="Y388" s="99"/>
      <x:c r="Z388" s="99"/>
    </x:row>
    <x:row r="389">
      <x:c r="A389" s="99"/>
      <x:c r="B389" s="99"/>
      <x:c r="C389" s="99"/>
      <x:c r="D389" s="99"/>
      <x:c r="E389" s="99"/>
      <x:c r="F389" s="99"/>
      <x:c r="G389" s="99"/>
      <x:c r="H389" s="99"/>
      <x:c r="I389" s="99"/>
      <x:c r="J389" s="99"/>
      <x:c r="K389" s="99"/>
      <x:c r="L389" s="99"/>
      <x:c r="M389" s="99"/>
      <x:c r="N389" s="99"/>
      <x:c r="O389" s="99"/>
      <x:c r="P389" s="99"/>
      <x:c r="Q389" s="99"/>
      <x:c r="R389" s="99"/>
      <x:c r="S389" s="99"/>
      <x:c r="T389" s="99"/>
      <x:c r="U389" s="99"/>
      <x:c r="V389" s="99"/>
      <x:c r="W389" s="99"/>
      <x:c r="X389" s="99"/>
      <x:c r="Y389" s="99"/>
      <x:c r="Z389" s="99"/>
    </x:row>
    <x:row r="390">
      <x:c r="A390" s="99"/>
      <x:c r="B390" s="99"/>
      <x:c r="C390" s="99"/>
      <x:c r="D390" s="99"/>
      <x:c r="E390" s="99"/>
      <x:c r="F390" s="99"/>
      <x:c r="G390" s="99"/>
      <x:c r="H390" s="99"/>
      <x:c r="I390" s="99"/>
      <x:c r="J390" s="99"/>
      <x:c r="K390" s="99"/>
      <x:c r="L390" s="99"/>
      <x:c r="M390" s="99"/>
      <x:c r="N390" s="99"/>
      <x:c r="O390" s="99"/>
      <x:c r="P390" s="99"/>
      <x:c r="Q390" s="99"/>
      <x:c r="R390" s="99"/>
      <x:c r="S390" s="99"/>
      <x:c r="T390" s="99"/>
      <x:c r="U390" s="99"/>
      <x:c r="V390" s="99"/>
      <x:c r="W390" s="99"/>
      <x:c r="X390" s="99"/>
      <x:c r="Y390" s="99"/>
      <x:c r="Z390" s="99"/>
    </x:row>
    <x:row r="391">
      <x:c r="A391" s="99"/>
      <x:c r="B391" s="99"/>
      <x:c r="C391" s="99"/>
      <x:c r="D391" s="99"/>
      <x:c r="E391" s="99"/>
      <x:c r="F391" s="99"/>
      <x:c r="G391" s="99"/>
      <x:c r="H391" s="99"/>
      <x:c r="I391" s="99"/>
      <x:c r="J391" s="99"/>
      <x:c r="K391" s="99"/>
      <x:c r="L391" s="99"/>
      <x:c r="M391" s="99"/>
      <x:c r="N391" s="99"/>
      <x:c r="O391" s="99"/>
      <x:c r="P391" s="99"/>
      <x:c r="Q391" s="99"/>
      <x:c r="R391" s="99"/>
      <x:c r="S391" s="99"/>
      <x:c r="T391" s="99"/>
      <x:c r="U391" s="99"/>
      <x:c r="V391" s="99"/>
      <x:c r="W391" s="99"/>
      <x:c r="X391" s="99"/>
      <x:c r="Y391" s="99"/>
      <x:c r="Z391" s="99"/>
    </x:row>
    <x:row r="392">
      <x:c r="A392" s="99"/>
      <x:c r="B392" s="99"/>
      <x:c r="C392" s="99"/>
      <x:c r="D392" s="99"/>
      <x:c r="E392" s="99"/>
      <x:c r="F392" s="99"/>
      <x:c r="G392" s="99"/>
      <x:c r="H392" s="99"/>
      <x:c r="I392" s="99"/>
      <x:c r="J392" s="99"/>
      <x:c r="K392" s="99"/>
      <x:c r="L392" s="99"/>
      <x:c r="M392" s="99"/>
      <x:c r="N392" s="99"/>
      <x:c r="O392" s="99"/>
      <x:c r="P392" s="99"/>
      <x:c r="Q392" s="99"/>
      <x:c r="R392" s="99"/>
      <x:c r="S392" s="99"/>
      <x:c r="T392" s="99"/>
      <x:c r="U392" s="99"/>
      <x:c r="V392" s="99"/>
      <x:c r="W392" s="99"/>
      <x:c r="X392" s="99"/>
      <x:c r="Y392" s="99"/>
      <x:c r="Z392" s="99"/>
    </x:row>
    <x:row r="393">
      <x:c r="A393" s="99"/>
      <x:c r="B393" s="99"/>
      <x:c r="C393" s="99"/>
      <x:c r="D393" s="99"/>
      <x:c r="E393" s="99"/>
      <x:c r="F393" s="99"/>
      <x:c r="G393" s="99"/>
      <x:c r="H393" s="99"/>
      <x:c r="I393" s="99"/>
      <x:c r="J393" s="99"/>
      <x:c r="K393" s="99"/>
      <x:c r="L393" s="99"/>
      <x:c r="M393" s="99"/>
      <x:c r="N393" s="99"/>
      <x:c r="O393" s="99"/>
      <x:c r="P393" s="99"/>
      <x:c r="Q393" s="99"/>
      <x:c r="R393" s="99"/>
      <x:c r="S393" s="99"/>
      <x:c r="T393" s="99"/>
      <x:c r="U393" s="99"/>
      <x:c r="V393" s="99"/>
      <x:c r="W393" s="99"/>
      <x:c r="X393" s="99"/>
      <x:c r="Y393" s="99"/>
      <x:c r="Z393" s="99"/>
    </x:row>
    <x:row r="394">
      <x:c r="A394" s="99"/>
      <x:c r="B394" s="99"/>
      <x:c r="C394" s="99"/>
      <x:c r="D394" s="99"/>
      <x:c r="E394" s="99"/>
      <x:c r="F394" s="99"/>
      <x:c r="G394" s="99"/>
      <x:c r="H394" s="99"/>
      <x:c r="I394" s="99"/>
      <x:c r="J394" s="99"/>
      <x:c r="K394" s="99"/>
      <x:c r="L394" s="99"/>
      <x:c r="M394" s="99"/>
      <x:c r="N394" s="99"/>
      <x:c r="O394" s="99"/>
      <x:c r="P394" s="99"/>
      <x:c r="Q394" s="99"/>
      <x:c r="R394" s="99"/>
      <x:c r="S394" s="99"/>
      <x:c r="T394" s="99"/>
      <x:c r="U394" s="99"/>
      <x:c r="V394" s="99"/>
      <x:c r="W394" s="99"/>
      <x:c r="X394" s="99"/>
      <x:c r="Y394" s="99"/>
      <x:c r="Z394" s="99"/>
    </x:row>
    <x:row r="395">
      <x:c r="A395" s="99"/>
      <x:c r="B395" s="99"/>
      <x:c r="C395" s="99"/>
      <x:c r="D395" s="99"/>
      <x:c r="E395" s="99"/>
      <x:c r="F395" s="99"/>
      <x:c r="G395" s="99"/>
      <x:c r="H395" s="99"/>
      <x:c r="I395" s="99"/>
      <x:c r="J395" s="99"/>
      <x:c r="K395" s="99"/>
      <x:c r="L395" s="99"/>
      <x:c r="M395" s="99"/>
      <x:c r="N395" s="99"/>
      <x:c r="O395" s="99"/>
      <x:c r="P395" s="99"/>
      <x:c r="Q395" s="99"/>
      <x:c r="R395" s="99"/>
      <x:c r="S395" s="99"/>
      <x:c r="T395" s="99"/>
      <x:c r="U395" s="99"/>
      <x:c r="V395" s="99"/>
      <x:c r="W395" s="99"/>
      <x:c r="X395" s="99"/>
      <x:c r="Y395" s="99"/>
      <x:c r="Z395" s="99"/>
    </x:row>
    <x:row r="396">
      <x:c r="A396" s="99"/>
      <x:c r="B396" s="99"/>
      <x:c r="C396" s="99"/>
      <x:c r="D396" s="99"/>
      <x:c r="E396" s="99"/>
      <x:c r="F396" s="99"/>
      <x:c r="G396" s="99"/>
      <x:c r="H396" s="99"/>
      <x:c r="I396" s="99"/>
      <x:c r="J396" s="99"/>
      <x:c r="K396" s="99"/>
      <x:c r="L396" s="99"/>
      <x:c r="M396" s="99"/>
      <x:c r="N396" s="99"/>
      <x:c r="O396" s="99"/>
      <x:c r="P396" s="99"/>
      <x:c r="Q396" s="99"/>
      <x:c r="R396" s="99"/>
      <x:c r="S396" s="99"/>
      <x:c r="T396" s="99"/>
      <x:c r="U396" s="99"/>
      <x:c r="V396" s="99"/>
      <x:c r="W396" s="99"/>
      <x:c r="X396" s="99"/>
      <x:c r="Y396" s="99"/>
      <x:c r="Z396" s="99"/>
    </x:row>
    <x:row r="397">
      <x:c r="A397" s="99"/>
      <x:c r="B397" s="99"/>
      <x:c r="C397" s="99"/>
      <x:c r="D397" s="99"/>
      <x:c r="E397" s="99"/>
      <x:c r="F397" s="99"/>
      <x:c r="G397" s="99"/>
      <x:c r="H397" s="99"/>
      <x:c r="I397" s="99"/>
      <x:c r="J397" s="99"/>
      <x:c r="K397" s="99"/>
      <x:c r="L397" s="99"/>
      <x:c r="M397" s="99"/>
      <x:c r="N397" s="99"/>
      <x:c r="O397" s="99"/>
      <x:c r="P397" s="99"/>
      <x:c r="Q397" s="99"/>
      <x:c r="R397" s="99"/>
      <x:c r="S397" s="99"/>
      <x:c r="T397" s="99"/>
      <x:c r="U397" s="99"/>
      <x:c r="V397" s="99"/>
      <x:c r="W397" s="99"/>
      <x:c r="X397" s="99"/>
      <x:c r="Y397" s="99"/>
      <x:c r="Z397" s="99"/>
    </x:row>
    <x:row r="398">
      <x:c r="A398" s="99"/>
      <x:c r="B398" s="99"/>
      <x:c r="C398" s="99"/>
      <x:c r="D398" s="99"/>
      <x:c r="E398" s="99"/>
      <x:c r="F398" s="99"/>
      <x:c r="G398" s="99"/>
      <x:c r="H398" s="99"/>
      <x:c r="I398" s="99"/>
      <x:c r="J398" s="99"/>
      <x:c r="K398" s="99"/>
      <x:c r="L398" s="99"/>
      <x:c r="M398" s="99"/>
      <x:c r="N398" s="99"/>
      <x:c r="O398" s="99"/>
      <x:c r="P398" s="99"/>
      <x:c r="Q398" s="99"/>
      <x:c r="R398" s="99"/>
      <x:c r="S398" s="99"/>
      <x:c r="T398" s="99"/>
      <x:c r="U398" s="99"/>
      <x:c r="V398" s="99"/>
      <x:c r="W398" s="99"/>
      <x:c r="X398" s="99"/>
      <x:c r="Y398" s="99"/>
      <x:c r="Z398" s="99"/>
    </x:row>
    <x:row r="399">
      <x:c r="A399" s="99"/>
      <x:c r="B399" s="99"/>
      <x:c r="C399" s="99"/>
      <x:c r="D399" s="99"/>
      <x:c r="E399" s="99"/>
      <x:c r="F399" s="99"/>
      <x:c r="G399" s="99"/>
      <x:c r="H399" s="99"/>
      <x:c r="I399" s="99"/>
      <x:c r="J399" s="99"/>
      <x:c r="K399" s="99"/>
      <x:c r="L399" s="99"/>
      <x:c r="M399" s="99"/>
      <x:c r="N399" s="99"/>
      <x:c r="O399" s="99"/>
      <x:c r="P399" s="99"/>
      <x:c r="Q399" s="99"/>
      <x:c r="R399" s="99"/>
      <x:c r="S399" s="99"/>
      <x:c r="T399" s="99"/>
      <x:c r="U399" s="99"/>
      <x:c r="V399" s="99"/>
      <x:c r="W399" s="99"/>
      <x:c r="X399" s="99"/>
      <x:c r="Y399" s="99"/>
      <x:c r="Z399" s="99"/>
    </x:row>
    <x:row r="400">
      <x:c r="A400" s="99"/>
      <x:c r="B400" s="99"/>
      <x:c r="C400" s="99"/>
      <x:c r="D400" s="99"/>
      <x:c r="E400" s="99"/>
      <x:c r="F400" s="99"/>
      <x:c r="G400" s="99"/>
      <x:c r="H400" s="99"/>
      <x:c r="I400" s="99"/>
      <x:c r="J400" s="99"/>
      <x:c r="K400" s="99"/>
      <x:c r="L400" s="99"/>
      <x:c r="M400" s="99"/>
      <x:c r="N400" s="99"/>
      <x:c r="O400" s="99"/>
      <x:c r="P400" s="99"/>
      <x:c r="Q400" s="99"/>
      <x:c r="R400" s="99"/>
      <x:c r="S400" s="99"/>
      <x:c r="T400" s="99"/>
      <x:c r="U400" s="99"/>
      <x:c r="V400" s="99"/>
      <x:c r="W400" s="99"/>
      <x:c r="X400" s="99"/>
      <x:c r="Y400" s="99"/>
      <x:c r="Z400" s="99"/>
    </x:row>
    <x:row r="401">
      <x:c r="A401" s="99"/>
      <x:c r="B401" s="99"/>
      <x:c r="C401" s="99"/>
      <x:c r="D401" s="99"/>
      <x:c r="E401" s="99"/>
      <x:c r="F401" s="99"/>
      <x:c r="G401" s="99"/>
      <x:c r="H401" s="99"/>
      <x:c r="I401" s="99"/>
      <x:c r="J401" s="99"/>
      <x:c r="K401" s="99"/>
      <x:c r="L401" s="99"/>
      <x:c r="M401" s="99"/>
      <x:c r="N401" s="99"/>
      <x:c r="O401" s="99"/>
      <x:c r="P401" s="99"/>
      <x:c r="Q401" s="99"/>
      <x:c r="R401" s="99"/>
      <x:c r="S401" s="99"/>
      <x:c r="T401" s="99"/>
      <x:c r="U401" s="99"/>
      <x:c r="V401" s="99"/>
      <x:c r="W401" s="99"/>
      <x:c r="X401" s="99"/>
      <x:c r="Y401" s="99"/>
      <x:c r="Z401" s="99"/>
    </x:row>
    <x:row r="402">
      <x:c r="A402" s="99"/>
      <x:c r="B402" s="99"/>
      <x:c r="C402" s="99"/>
      <x:c r="D402" s="99"/>
      <x:c r="E402" s="99"/>
      <x:c r="F402" s="99"/>
      <x:c r="G402" s="99"/>
      <x:c r="H402" s="99"/>
      <x:c r="I402" s="99"/>
      <x:c r="J402" s="99"/>
      <x:c r="K402" s="99"/>
      <x:c r="L402" s="99"/>
      <x:c r="M402" s="99"/>
      <x:c r="N402" s="99"/>
      <x:c r="O402" s="99"/>
      <x:c r="P402" s="99"/>
      <x:c r="Q402" s="99"/>
      <x:c r="R402" s="99"/>
      <x:c r="S402" s="99"/>
      <x:c r="T402" s="99"/>
      <x:c r="U402" s="99"/>
      <x:c r="V402" s="99"/>
      <x:c r="W402" s="99"/>
      <x:c r="X402" s="99"/>
      <x:c r="Y402" s="99"/>
      <x:c r="Z402" s="99"/>
    </x:row>
    <x:row r="403">
      <x:c r="A403" s="99"/>
      <x:c r="B403" s="99"/>
      <x:c r="C403" s="99"/>
      <x:c r="D403" s="99"/>
      <x:c r="E403" s="99"/>
      <x:c r="F403" s="99"/>
      <x:c r="G403" s="99"/>
      <x:c r="H403" s="99"/>
      <x:c r="I403" s="99"/>
      <x:c r="J403" s="99"/>
      <x:c r="K403" s="99"/>
      <x:c r="L403" s="99"/>
      <x:c r="M403" s="99"/>
      <x:c r="N403" s="99"/>
      <x:c r="O403" s="99"/>
      <x:c r="P403" s="99"/>
      <x:c r="Q403" s="99"/>
      <x:c r="R403" s="99"/>
      <x:c r="S403" s="99"/>
      <x:c r="T403" s="99"/>
      <x:c r="U403" s="99"/>
      <x:c r="V403" s="99"/>
      <x:c r="W403" s="99"/>
      <x:c r="X403" s="99"/>
      <x:c r="Y403" s="99"/>
      <x:c r="Z403" s="99"/>
    </x:row>
    <x:row r="404">
      <x:c r="A404" s="99"/>
      <x:c r="B404" s="99"/>
      <x:c r="C404" s="99"/>
      <x:c r="D404" s="99"/>
      <x:c r="E404" s="99"/>
      <x:c r="F404" s="99"/>
      <x:c r="G404" s="99"/>
      <x:c r="H404" s="99"/>
      <x:c r="I404" s="99"/>
      <x:c r="J404" s="99"/>
      <x:c r="K404" s="99"/>
      <x:c r="L404" s="99"/>
      <x:c r="M404" s="99"/>
      <x:c r="N404" s="99"/>
      <x:c r="O404" s="99"/>
      <x:c r="P404" s="99"/>
      <x:c r="Q404" s="99"/>
      <x:c r="R404" s="99"/>
      <x:c r="S404" s="99"/>
      <x:c r="T404" s="99"/>
      <x:c r="U404" s="99"/>
      <x:c r="V404" s="99"/>
      <x:c r="W404" s="99"/>
      <x:c r="X404" s="99"/>
      <x:c r="Y404" s="99"/>
      <x:c r="Z404" s="99"/>
    </x:row>
    <x:row r="405">
      <x:c r="A405" s="99"/>
      <x:c r="B405" s="99"/>
      <x:c r="C405" s="99"/>
      <x:c r="D405" s="99"/>
      <x:c r="E405" s="99"/>
      <x:c r="F405" s="99"/>
      <x:c r="G405" s="99"/>
      <x:c r="H405" s="99"/>
      <x:c r="I405" s="99"/>
      <x:c r="J405" s="99"/>
      <x:c r="K405" s="99"/>
      <x:c r="L405" s="99"/>
      <x:c r="M405" s="99"/>
      <x:c r="N405" s="99"/>
      <x:c r="O405" s="99"/>
      <x:c r="P405" s="99"/>
      <x:c r="Q405" s="99"/>
      <x:c r="R405" s="99"/>
      <x:c r="S405" s="99"/>
      <x:c r="T405" s="99"/>
      <x:c r="U405" s="99"/>
      <x:c r="V405" s="99"/>
      <x:c r="W405" s="99"/>
      <x:c r="X405" s="99"/>
      <x:c r="Y405" s="99"/>
      <x:c r="Z405" s="99"/>
    </x:row>
    <x:row r="406">
      <x:c r="A406" s="99"/>
      <x:c r="B406" s="99"/>
      <x:c r="C406" s="99"/>
      <x:c r="D406" s="99"/>
      <x:c r="E406" s="99"/>
      <x:c r="F406" s="99"/>
      <x:c r="G406" s="99"/>
      <x:c r="H406" s="99"/>
      <x:c r="I406" s="99"/>
      <x:c r="J406" s="99"/>
      <x:c r="K406" s="99"/>
      <x:c r="L406" s="99"/>
      <x:c r="M406" s="99"/>
      <x:c r="N406" s="99"/>
      <x:c r="O406" s="99"/>
      <x:c r="P406" s="99"/>
      <x:c r="Q406" s="99"/>
      <x:c r="R406" s="99"/>
      <x:c r="S406" s="99"/>
      <x:c r="T406" s="99"/>
      <x:c r="U406" s="99"/>
      <x:c r="V406" s="99"/>
      <x:c r="W406" s="99"/>
      <x:c r="X406" s="99"/>
      <x:c r="Y406" s="99"/>
      <x:c r="Z406" s="99"/>
    </x:row>
    <x:row r="407">
      <x:c r="A407" s="99"/>
      <x:c r="B407" s="99"/>
      <x:c r="C407" s="99"/>
      <x:c r="D407" s="99"/>
      <x:c r="E407" s="99"/>
      <x:c r="F407" s="99"/>
      <x:c r="G407" s="99"/>
      <x:c r="H407" s="99"/>
      <x:c r="I407" s="99"/>
      <x:c r="J407" s="99"/>
      <x:c r="K407" s="99"/>
      <x:c r="L407" s="99"/>
      <x:c r="M407" s="99"/>
      <x:c r="N407" s="99"/>
      <x:c r="O407" s="99"/>
      <x:c r="P407" s="99"/>
      <x:c r="Q407" s="99"/>
      <x:c r="R407" s="99"/>
      <x:c r="S407" s="99"/>
      <x:c r="T407" s="99"/>
      <x:c r="U407" s="99"/>
      <x:c r="V407" s="99"/>
      <x:c r="W407" s="99"/>
      <x:c r="X407" s="99"/>
      <x:c r="Y407" s="99"/>
      <x:c r="Z407" s="99"/>
    </x:row>
    <x:row r="408">
      <x:c r="A408" s="99"/>
      <x:c r="B408" s="99"/>
      <x:c r="C408" s="99"/>
      <x:c r="D408" s="99"/>
      <x:c r="E408" s="99"/>
      <x:c r="F408" s="99"/>
      <x:c r="G408" s="99"/>
      <x:c r="H408" s="99"/>
      <x:c r="I408" s="99"/>
      <x:c r="J408" s="99"/>
      <x:c r="K408" s="99"/>
      <x:c r="L408" s="99"/>
      <x:c r="M408" s="99"/>
      <x:c r="N408" s="99"/>
      <x:c r="O408" s="99"/>
      <x:c r="P408" s="99"/>
      <x:c r="Q408" s="99"/>
      <x:c r="R408" s="99"/>
      <x:c r="S408" s="99"/>
      <x:c r="T408" s="99"/>
      <x:c r="U408" s="99"/>
      <x:c r="V408" s="99"/>
      <x:c r="W408" s="99"/>
      <x:c r="X408" s="99"/>
      <x:c r="Y408" s="99"/>
      <x:c r="Z408" s="99"/>
    </x:row>
    <x:row r="409">
      <x:c r="A409" s="99"/>
      <x:c r="B409" s="99"/>
      <x:c r="C409" s="99"/>
      <x:c r="D409" s="99"/>
      <x:c r="E409" s="99"/>
      <x:c r="F409" s="99"/>
      <x:c r="G409" s="99"/>
      <x:c r="H409" s="99"/>
      <x:c r="I409" s="99"/>
      <x:c r="J409" s="99"/>
      <x:c r="K409" s="99"/>
      <x:c r="L409" s="99"/>
      <x:c r="M409" s="99"/>
      <x:c r="N409" s="99"/>
      <x:c r="O409" s="99"/>
      <x:c r="P409" s="99"/>
      <x:c r="Q409" s="99"/>
      <x:c r="R409" s="99"/>
      <x:c r="S409" s="99"/>
      <x:c r="T409" s="99"/>
      <x:c r="U409" s="99"/>
      <x:c r="V409" s="99"/>
      <x:c r="W409" s="99"/>
      <x:c r="X409" s="99"/>
      <x:c r="Y409" s="99"/>
      <x:c r="Z409" s="99"/>
    </x:row>
    <x:row r="410">
      <x:c r="A410" s="99"/>
      <x:c r="B410" s="99"/>
      <x:c r="C410" s="99"/>
      <x:c r="D410" s="99"/>
      <x:c r="E410" s="99"/>
      <x:c r="F410" s="99"/>
      <x:c r="G410" s="99"/>
      <x:c r="H410" s="99"/>
      <x:c r="I410" s="99"/>
      <x:c r="J410" s="99"/>
      <x:c r="K410" s="99"/>
      <x:c r="L410" s="99"/>
      <x:c r="M410" s="99"/>
      <x:c r="N410" s="99"/>
      <x:c r="O410" s="99"/>
      <x:c r="P410" s="99"/>
      <x:c r="Q410" s="99"/>
      <x:c r="R410" s="99"/>
      <x:c r="S410" s="99"/>
      <x:c r="T410" s="99"/>
      <x:c r="U410" s="99"/>
      <x:c r="V410" s="99"/>
      <x:c r="W410" s="99"/>
      <x:c r="X410" s="99"/>
      <x:c r="Y410" s="99"/>
      <x:c r="Z410" s="99"/>
    </x:row>
    <x:row r="411">
      <x:c r="A411" s="99"/>
      <x:c r="B411" s="99"/>
      <x:c r="C411" s="99"/>
      <x:c r="D411" s="99"/>
      <x:c r="E411" s="99"/>
      <x:c r="F411" s="99"/>
      <x:c r="G411" s="99"/>
      <x:c r="H411" s="99"/>
      <x:c r="I411" s="99"/>
      <x:c r="J411" s="99"/>
      <x:c r="K411" s="99"/>
      <x:c r="L411" s="99"/>
      <x:c r="M411" s="99"/>
      <x:c r="N411" s="99"/>
      <x:c r="O411" s="99"/>
      <x:c r="P411" s="99"/>
      <x:c r="Q411" s="99"/>
      <x:c r="R411" s="99"/>
      <x:c r="S411" s="99"/>
      <x:c r="T411" s="99"/>
      <x:c r="U411" s="99"/>
      <x:c r="V411" s="99"/>
      <x:c r="W411" s="99"/>
      <x:c r="X411" s="99"/>
      <x:c r="Y411" s="99"/>
      <x:c r="Z411" s="99"/>
    </x:row>
    <x:row r="412">
      <x:c r="A412" s="99"/>
      <x:c r="B412" s="99"/>
      <x:c r="C412" s="99"/>
      <x:c r="D412" s="99"/>
      <x:c r="E412" s="99"/>
      <x:c r="F412" s="99"/>
      <x:c r="G412" s="99"/>
      <x:c r="H412" s="99"/>
      <x:c r="I412" s="99"/>
      <x:c r="J412" s="99"/>
      <x:c r="K412" s="99"/>
      <x:c r="L412" s="99"/>
      <x:c r="M412" s="99"/>
      <x:c r="N412" s="99"/>
      <x:c r="O412" s="99"/>
      <x:c r="P412" s="99"/>
      <x:c r="Q412" s="99"/>
      <x:c r="R412" s="99"/>
      <x:c r="S412" s="99"/>
      <x:c r="T412" s="99"/>
      <x:c r="U412" s="99"/>
      <x:c r="V412" s="99"/>
      <x:c r="W412" s="99"/>
      <x:c r="X412" s="99"/>
      <x:c r="Y412" s="99"/>
      <x:c r="Z412" s="99"/>
    </x:row>
    <x:row r="413">
      <x:c r="A413" s="99"/>
      <x:c r="B413" s="99"/>
      <x:c r="C413" s="99"/>
      <x:c r="D413" s="99"/>
      <x:c r="E413" s="99"/>
      <x:c r="F413" s="99"/>
      <x:c r="G413" s="99"/>
      <x:c r="H413" s="99"/>
      <x:c r="I413" s="99"/>
      <x:c r="J413" s="99"/>
      <x:c r="K413" s="99"/>
      <x:c r="L413" s="99"/>
      <x:c r="M413" s="99"/>
      <x:c r="N413" s="99"/>
      <x:c r="O413" s="99"/>
      <x:c r="P413" s="99"/>
      <x:c r="Q413" s="99"/>
      <x:c r="R413" s="99"/>
      <x:c r="S413" s="99"/>
      <x:c r="T413" s="99"/>
      <x:c r="U413" s="99"/>
      <x:c r="V413" s="99"/>
      <x:c r="W413" s="99"/>
      <x:c r="X413" s="99"/>
      <x:c r="Y413" s="99"/>
      <x:c r="Z413" s="99"/>
    </x:row>
    <x:row r="414">
      <x:c r="A414" s="99"/>
      <x:c r="B414" s="99"/>
      <x:c r="C414" s="99"/>
      <x:c r="D414" s="99"/>
      <x:c r="E414" s="99"/>
      <x:c r="F414" s="99"/>
      <x:c r="G414" s="99"/>
      <x:c r="H414" s="99"/>
      <x:c r="I414" s="99"/>
      <x:c r="J414" s="99"/>
      <x:c r="K414" s="99"/>
      <x:c r="L414" s="99"/>
      <x:c r="M414" s="99"/>
      <x:c r="N414" s="99"/>
      <x:c r="O414" s="99"/>
      <x:c r="P414" s="99"/>
      <x:c r="Q414" s="99"/>
      <x:c r="R414" s="99"/>
      <x:c r="S414" s="99"/>
      <x:c r="T414" s="99"/>
      <x:c r="U414" s="99"/>
      <x:c r="V414" s="99"/>
      <x:c r="W414" s="99"/>
      <x:c r="X414" s="99"/>
      <x:c r="Y414" s="99"/>
      <x:c r="Z414" s="99"/>
    </x:row>
    <x:row r="415">
      <x:c r="A415" s="99"/>
      <x:c r="B415" s="99"/>
      <x:c r="C415" s="99"/>
      <x:c r="D415" s="99"/>
      <x:c r="E415" s="99"/>
      <x:c r="F415" s="99"/>
      <x:c r="G415" s="99"/>
      <x:c r="H415" s="99"/>
      <x:c r="I415" s="99"/>
      <x:c r="J415" s="99"/>
      <x:c r="K415" s="99"/>
      <x:c r="L415" s="99"/>
      <x:c r="M415" s="99"/>
      <x:c r="N415" s="99"/>
      <x:c r="O415" s="99"/>
      <x:c r="P415" s="99"/>
      <x:c r="Q415" s="99"/>
      <x:c r="R415" s="99"/>
      <x:c r="S415" s="99"/>
      <x:c r="T415" s="99"/>
      <x:c r="U415" s="99"/>
      <x:c r="V415" s="99"/>
      <x:c r="W415" s="99"/>
      <x:c r="X415" s="99"/>
      <x:c r="Y415" s="99"/>
      <x:c r="Z415" s="99"/>
    </x:row>
    <x:row r="416">
      <x:c r="A416" s="99"/>
      <x:c r="B416" s="99"/>
      <x:c r="C416" s="99"/>
      <x:c r="D416" s="99"/>
      <x:c r="E416" s="99"/>
      <x:c r="F416" s="99"/>
      <x:c r="G416" s="99"/>
      <x:c r="H416" s="99"/>
      <x:c r="I416" s="99"/>
      <x:c r="J416" s="99"/>
      <x:c r="K416" s="99"/>
      <x:c r="L416" s="99"/>
      <x:c r="M416" s="99"/>
      <x:c r="N416" s="99"/>
      <x:c r="O416" s="99"/>
      <x:c r="P416" s="99"/>
      <x:c r="Q416" s="99"/>
      <x:c r="R416" s="99"/>
      <x:c r="S416" s="99"/>
      <x:c r="T416" s="99"/>
      <x:c r="U416" s="99"/>
      <x:c r="V416" s="99"/>
      <x:c r="W416" s="99"/>
      <x:c r="X416" s="99"/>
      <x:c r="Y416" s="99"/>
      <x:c r="Z416" s="99"/>
    </x:row>
    <x:row r="417">
      <x:c r="A417" s="99"/>
      <x:c r="B417" s="99"/>
      <x:c r="C417" s="99"/>
      <x:c r="D417" s="99"/>
      <x:c r="E417" s="99"/>
      <x:c r="F417" s="99"/>
      <x:c r="G417" s="99"/>
      <x:c r="H417" s="99"/>
      <x:c r="I417" s="99"/>
      <x:c r="J417" s="99"/>
      <x:c r="K417" s="99"/>
      <x:c r="L417" s="99"/>
      <x:c r="M417" s="99"/>
      <x:c r="N417" s="99"/>
      <x:c r="O417" s="99"/>
      <x:c r="P417" s="99"/>
      <x:c r="Q417" s="99"/>
      <x:c r="R417" s="99"/>
      <x:c r="S417" s="99"/>
      <x:c r="T417" s="99"/>
      <x:c r="U417" s="99"/>
      <x:c r="V417" s="99"/>
      <x:c r="W417" s="99"/>
      <x:c r="X417" s="99"/>
      <x:c r="Y417" s="99"/>
      <x:c r="Z417" s="99"/>
    </x:row>
    <x:row r="418">
      <x:c r="A418" s="99"/>
      <x:c r="B418" s="99"/>
      <x:c r="C418" s="99"/>
      <x:c r="D418" s="99"/>
      <x:c r="E418" s="99"/>
      <x:c r="F418" s="99"/>
      <x:c r="G418" s="99"/>
      <x:c r="H418" s="99"/>
      <x:c r="I418" s="99"/>
      <x:c r="J418" s="99"/>
      <x:c r="K418" s="99"/>
      <x:c r="L418" s="99"/>
      <x:c r="M418" s="99"/>
      <x:c r="N418" s="99"/>
      <x:c r="O418" s="99"/>
      <x:c r="P418" s="99"/>
      <x:c r="Q418" s="99"/>
      <x:c r="R418" s="99"/>
      <x:c r="S418" s="99"/>
      <x:c r="T418" s="99"/>
      <x:c r="U418" s="99"/>
      <x:c r="V418" s="99"/>
      <x:c r="W418" s="99"/>
      <x:c r="X418" s="99"/>
      <x:c r="Y418" s="99"/>
      <x:c r="Z418" s="99"/>
    </x:row>
    <x:row r="419">
      <x:c r="A419" s="99"/>
      <x:c r="B419" s="99"/>
      <x:c r="C419" s="99"/>
      <x:c r="D419" s="99"/>
      <x:c r="E419" s="99"/>
      <x:c r="F419" s="99"/>
      <x:c r="G419" s="99"/>
      <x:c r="H419" s="99"/>
      <x:c r="I419" s="99"/>
      <x:c r="J419" s="99"/>
      <x:c r="K419" s="99"/>
      <x:c r="L419" s="99"/>
      <x:c r="M419" s="99"/>
      <x:c r="N419" s="99"/>
      <x:c r="O419" s="99"/>
      <x:c r="P419" s="99"/>
      <x:c r="Q419" s="99"/>
      <x:c r="R419" s="99"/>
      <x:c r="S419" s="99"/>
      <x:c r="T419" s="99"/>
      <x:c r="U419" s="99"/>
      <x:c r="V419" s="99"/>
      <x:c r="W419" s="99"/>
      <x:c r="X419" s="99"/>
      <x:c r="Y419" s="99"/>
      <x:c r="Z419" s="99"/>
    </x:row>
    <x:row r="420">
      <x:c r="A420" s="99"/>
      <x:c r="B420" s="99"/>
      <x:c r="C420" s="99"/>
      <x:c r="D420" s="99"/>
      <x:c r="E420" s="99"/>
      <x:c r="F420" s="99"/>
      <x:c r="G420" s="99"/>
      <x:c r="H420" s="99"/>
      <x:c r="I420" s="99"/>
      <x:c r="J420" s="99"/>
      <x:c r="K420" s="99"/>
      <x:c r="L420" s="99"/>
      <x:c r="M420" s="99"/>
      <x:c r="N420" s="99"/>
      <x:c r="O420" s="99"/>
      <x:c r="P420" s="99"/>
      <x:c r="Q420" s="99"/>
      <x:c r="R420" s="99"/>
      <x:c r="S420" s="99"/>
      <x:c r="T420" s="99"/>
      <x:c r="U420" s="99"/>
      <x:c r="V420" s="99"/>
      <x:c r="W420" s="99"/>
      <x:c r="X420" s="99"/>
      <x:c r="Y420" s="99"/>
      <x:c r="Z420" s="99"/>
    </x:row>
    <x:row r="421">
      <x:c r="A421" s="99"/>
      <x:c r="B421" s="99"/>
      <x:c r="C421" s="99"/>
      <x:c r="D421" s="99"/>
      <x:c r="E421" s="99"/>
      <x:c r="F421" s="99"/>
      <x:c r="G421" s="99"/>
      <x:c r="H421" s="99"/>
      <x:c r="I421" s="99"/>
      <x:c r="J421" s="99"/>
      <x:c r="K421" s="99"/>
      <x:c r="L421" s="99"/>
      <x:c r="M421" s="99"/>
      <x:c r="N421" s="99"/>
      <x:c r="O421" s="99"/>
      <x:c r="P421" s="99"/>
      <x:c r="Q421" s="99"/>
      <x:c r="R421" s="99"/>
      <x:c r="S421" s="99"/>
      <x:c r="T421" s="99"/>
      <x:c r="U421" s="99"/>
      <x:c r="V421" s="99"/>
      <x:c r="W421" s="99"/>
      <x:c r="X421" s="99"/>
      <x:c r="Y421" s="99"/>
      <x:c r="Z421" s="99"/>
    </x:row>
    <x:row r="422">
      <x:c r="A422" s="99"/>
      <x:c r="B422" s="99"/>
      <x:c r="C422" s="99"/>
      <x:c r="D422" s="99"/>
      <x:c r="E422" s="99"/>
      <x:c r="F422" s="99"/>
      <x:c r="G422" s="99"/>
      <x:c r="H422" s="99"/>
      <x:c r="I422" s="99"/>
      <x:c r="J422" s="99"/>
      <x:c r="K422" s="99"/>
      <x:c r="L422" s="99"/>
      <x:c r="M422" s="99"/>
      <x:c r="N422" s="99"/>
      <x:c r="O422" s="99"/>
      <x:c r="P422" s="99"/>
      <x:c r="Q422" s="99"/>
      <x:c r="R422" s="99"/>
      <x:c r="S422" s="99"/>
      <x:c r="T422" s="99"/>
      <x:c r="U422" s="99"/>
      <x:c r="V422" s="99"/>
      <x:c r="W422" s="99"/>
      <x:c r="X422" s="99"/>
      <x:c r="Y422" s="99"/>
      <x:c r="Z422" s="99"/>
    </x:row>
    <x:row r="423">
      <x:c r="A423" s="99"/>
      <x:c r="B423" s="99"/>
      <x:c r="C423" s="99"/>
      <x:c r="D423" s="99"/>
      <x:c r="E423" s="99"/>
      <x:c r="F423" s="99"/>
      <x:c r="G423" s="99"/>
      <x:c r="H423" s="99"/>
      <x:c r="I423" s="99"/>
      <x:c r="J423" s="99"/>
      <x:c r="K423" s="99"/>
      <x:c r="L423" s="99"/>
      <x:c r="M423" s="99"/>
      <x:c r="N423" s="99"/>
      <x:c r="O423" s="99"/>
      <x:c r="P423" s="99"/>
      <x:c r="Q423" s="99"/>
      <x:c r="R423" s="99"/>
      <x:c r="S423" s="99"/>
      <x:c r="T423" s="99"/>
      <x:c r="U423" s="99"/>
      <x:c r="V423" s="99"/>
      <x:c r="W423" s="99"/>
      <x:c r="X423" s="99"/>
      <x:c r="Y423" s="99"/>
      <x:c r="Z423" s="99"/>
    </x:row>
    <x:row r="424">
      <x:c r="A424" s="99"/>
      <x:c r="B424" s="99"/>
      <x:c r="C424" s="99"/>
      <x:c r="D424" s="99"/>
      <x:c r="E424" s="99"/>
      <x:c r="F424" s="99"/>
      <x:c r="G424" s="99"/>
      <x:c r="H424" s="99"/>
      <x:c r="I424" s="99"/>
      <x:c r="J424" s="99"/>
      <x:c r="K424" s="99"/>
      <x:c r="L424" s="99"/>
      <x:c r="M424" s="99"/>
      <x:c r="N424" s="99"/>
      <x:c r="O424" s="99"/>
      <x:c r="P424" s="99"/>
      <x:c r="Q424" s="99"/>
      <x:c r="R424" s="99"/>
      <x:c r="S424" s="99"/>
      <x:c r="T424" s="99"/>
      <x:c r="U424" s="99"/>
      <x:c r="V424" s="99"/>
      <x:c r="W424" s="99"/>
      <x:c r="X424" s="99"/>
      <x:c r="Y424" s="99"/>
      <x:c r="Z424" s="99"/>
    </x:row>
    <x:row r="425">
      <x:c r="A425" s="99"/>
      <x:c r="B425" s="99"/>
      <x:c r="C425" s="99"/>
      <x:c r="D425" s="99"/>
      <x:c r="E425" s="99"/>
      <x:c r="F425" s="99"/>
      <x:c r="G425" s="99"/>
      <x:c r="H425" s="99"/>
      <x:c r="I425" s="99"/>
      <x:c r="J425" s="99"/>
      <x:c r="K425" s="99"/>
      <x:c r="L425" s="99"/>
      <x:c r="M425" s="99"/>
      <x:c r="N425" s="99"/>
      <x:c r="O425" s="99"/>
      <x:c r="P425" s="99"/>
      <x:c r="Q425" s="99"/>
      <x:c r="R425" s="99"/>
      <x:c r="S425" s="99"/>
      <x:c r="T425" s="99"/>
      <x:c r="U425" s="99"/>
      <x:c r="V425" s="99"/>
      <x:c r="W425" s="99"/>
      <x:c r="X425" s="99"/>
      <x:c r="Y425" s="99"/>
      <x:c r="Z425" s="99"/>
    </x:row>
    <x:row r="426">
      <x:c r="A426" s="99"/>
      <x:c r="B426" s="99"/>
      <x:c r="C426" s="99"/>
      <x:c r="D426" s="99"/>
      <x:c r="E426" s="99"/>
      <x:c r="F426" s="99"/>
      <x:c r="G426" s="99"/>
      <x:c r="H426" s="99"/>
      <x:c r="I426" s="99"/>
      <x:c r="J426" s="99"/>
      <x:c r="K426" s="99"/>
      <x:c r="L426" s="99"/>
      <x:c r="M426" s="99"/>
      <x:c r="N426" s="99"/>
      <x:c r="O426" s="99"/>
      <x:c r="P426" s="99"/>
      <x:c r="Q426" s="99"/>
      <x:c r="R426" s="99"/>
      <x:c r="S426" s="99"/>
      <x:c r="T426" s="99"/>
      <x:c r="U426" s="99"/>
      <x:c r="V426" s="99"/>
      <x:c r="W426" s="99"/>
      <x:c r="X426" s="99"/>
      <x:c r="Y426" s="99"/>
      <x:c r="Z426" s="99"/>
    </x:row>
    <x:row r="427">
      <x:c r="A427" s="99"/>
      <x:c r="B427" s="99"/>
      <x:c r="C427" s="99"/>
      <x:c r="D427" s="99"/>
      <x:c r="E427" s="99"/>
      <x:c r="F427" s="99"/>
      <x:c r="G427" s="99"/>
      <x:c r="H427" s="99"/>
      <x:c r="I427" s="99"/>
      <x:c r="J427" s="99"/>
      <x:c r="K427" s="99"/>
      <x:c r="L427" s="99"/>
      <x:c r="M427" s="99"/>
      <x:c r="N427" s="99"/>
      <x:c r="O427" s="99"/>
      <x:c r="P427" s="99"/>
      <x:c r="Q427" s="99"/>
      <x:c r="R427" s="99"/>
      <x:c r="S427" s="99"/>
      <x:c r="T427" s="99"/>
      <x:c r="U427" s="99"/>
      <x:c r="V427" s="99"/>
      <x:c r="W427" s="99"/>
      <x:c r="X427" s="99"/>
      <x:c r="Y427" s="99"/>
      <x:c r="Z427" s="99"/>
    </x:row>
    <x:row r="428">
      <x:c r="A428" s="99"/>
      <x:c r="B428" s="99"/>
      <x:c r="C428" s="99"/>
      <x:c r="D428" s="99"/>
      <x:c r="E428" s="99"/>
      <x:c r="F428" s="99"/>
      <x:c r="G428" s="99"/>
      <x:c r="H428" s="99"/>
      <x:c r="I428" s="99"/>
      <x:c r="J428" s="99"/>
      <x:c r="K428" s="99"/>
      <x:c r="L428" s="99"/>
      <x:c r="M428" s="99"/>
      <x:c r="N428" s="99"/>
      <x:c r="O428" s="99"/>
      <x:c r="P428" s="99"/>
      <x:c r="Q428" s="99"/>
      <x:c r="R428" s="99"/>
      <x:c r="S428" s="99"/>
      <x:c r="T428" s="99"/>
      <x:c r="U428" s="99"/>
      <x:c r="V428" s="99"/>
      <x:c r="W428" s="99"/>
      <x:c r="X428" s="99"/>
      <x:c r="Y428" s="99"/>
      <x:c r="Z428" s="99"/>
    </x:row>
    <x:row r="429">
      <x:c r="A429" s="99"/>
      <x:c r="B429" s="99"/>
      <x:c r="C429" s="99"/>
      <x:c r="D429" s="99"/>
      <x:c r="E429" s="99"/>
      <x:c r="F429" s="99"/>
      <x:c r="G429" s="99"/>
      <x:c r="H429" s="99"/>
      <x:c r="I429" s="99"/>
      <x:c r="J429" s="99"/>
      <x:c r="K429" s="99"/>
      <x:c r="L429" s="99"/>
      <x:c r="M429" s="99"/>
      <x:c r="N429" s="99"/>
      <x:c r="O429" s="99"/>
      <x:c r="P429" s="99"/>
      <x:c r="Q429" s="99"/>
      <x:c r="R429" s="99"/>
      <x:c r="S429" s="99"/>
      <x:c r="T429" s="99"/>
      <x:c r="U429" s="99"/>
      <x:c r="V429" s="99"/>
      <x:c r="W429" s="99"/>
      <x:c r="X429" s="99"/>
      <x:c r="Y429" s="99"/>
      <x:c r="Z429" s="99"/>
    </x:row>
    <x:row r="430">
      <x:c r="A430" s="99"/>
      <x:c r="B430" s="99"/>
      <x:c r="C430" s="99"/>
      <x:c r="D430" s="99"/>
      <x:c r="E430" s="99"/>
      <x:c r="F430" s="99"/>
      <x:c r="G430" s="99"/>
      <x:c r="H430" s="99"/>
      <x:c r="I430" s="99"/>
      <x:c r="J430" s="99"/>
      <x:c r="K430" s="99"/>
      <x:c r="L430" s="99"/>
      <x:c r="M430" s="99"/>
      <x:c r="N430" s="99"/>
      <x:c r="O430" s="99"/>
      <x:c r="P430" s="99"/>
      <x:c r="Q430" s="99"/>
      <x:c r="R430" s="99"/>
      <x:c r="S430" s="99"/>
      <x:c r="T430" s="99"/>
      <x:c r="U430" s="99"/>
      <x:c r="V430" s="99"/>
      <x:c r="W430" s="99"/>
      <x:c r="X430" s="99"/>
      <x:c r="Y430" s="99"/>
      <x:c r="Z430" s="99"/>
    </x:row>
    <x:row r="431">
      <x:c r="A431" s="99"/>
      <x:c r="B431" s="99"/>
      <x:c r="C431" s="99"/>
      <x:c r="D431" s="99"/>
      <x:c r="E431" s="99"/>
      <x:c r="F431" s="99"/>
      <x:c r="G431" s="99"/>
      <x:c r="H431" s="99"/>
      <x:c r="I431" s="99"/>
      <x:c r="J431" s="99"/>
      <x:c r="K431" s="99"/>
      <x:c r="L431" s="99"/>
      <x:c r="M431" s="99"/>
      <x:c r="N431" s="99"/>
      <x:c r="O431" s="99"/>
      <x:c r="P431" s="99"/>
      <x:c r="Q431" s="99"/>
      <x:c r="R431" s="99"/>
      <x:c r="S431" s="99"/>
      <x:c r="T431" s="99"/>
      <x:c r="U431" s="99"/>
      <x:c r="V431" s="99"/>
      <x:c r="W431" s="99"/>
      <x:c r="X431" s="99"/>
      <x:c r="Y431" s="99"/>
      <x:c r="Z431" s="99"/>
    </x:row>
    <x:row r="432">
      <x:c r="A432" s="99"/>
      <x:c r="B432" s="99"/>
      <x:c r="C432" s="99"/>
      <x:c r="D432" s="99"/>
      <x:c r="E432" s="99"/>
      <x:c r="F432" s="99"/>
      <x:c r="G432" s="99"/>
      <x:c r="H432" s="99"/>
      <x:c r="I432" s="99"/>
      <x:c r="J432" s="99"/>
      <x:c r="K432" s="99"/>
      <x:c r="L432" s="99"/>
      <x:c r="M432" s="99"/>
      <x:c r="N432" s="99"/>
      <x:c r="O432" s="99"/>
      <x:c r="P432" s="99"/>
      <x:c r="Q432" s="99"/>
      <x:c r="R432" s="99"/>
      <x:c r="S432" s="99"/>
      <x:c r="T432" s="99"/>
      <x:c r="U432" s="99"/>
      <x:c r="V432" s="99"/>
      <x:c r="W432" s="99"/>
      <x:c r="X432" s="99"/>
      <x:c r="Y432" s="99"/>
      <x:c r="Z432" s="99"/>
    </x:row>
    <x:row r="433">
      <x:c r="A433" s="99"/>
      <x:c r="B433" s="99"/>
      <x:c r="C433" s="99"/>
      <x:c r="D433" s="99"/>
      <x:c r="E433" s="99"/>
      <x:c r="F433" s="99"/>
      <x:c r="G433" s="99"/>
      <x:c r="H433" s="99"/>
      <x:c r="I433" s="99"/>
      <x:c r="J433" s="99"/>
      <x:c r="K433" s="99"/>
      <x:c r="L433" s="99"/>
      <x:c r="M433" s="99"/>
      <x:c r="N433" s="99"/>
      <x:c r="O433" s="99"/>
      <x:c r="P433" s="99"/>
      <x:c r="Q433" s="99"/>
      <x:c r="R433" s="99"/>
      <x:c r="S433" s="99"/>
      <x:c r="T433" s="99"/>
      <x:c r="U433" s="99"/>
      <x:c r="V433" s="99"/>
      <x:c r="W433" s="99"/>
      <x:c r="X433" s="99"/>
      <x:c r="Y433" s="99"/>
      <x:c r="Z433" s="99"/>
    </x:row>
    <x:row r="434">
      <x:c r="A434" s="99"/>
      <x:c r="B434" s="99"/>
      <x:c r="C434" s="99"/>
      <x:c r="D434" s="99"/>
      <x:c r="E434" s="99"/>
      <x:c r="F434" s="99"/>
      <x:c r="G434" s="99"/>
      <x:c r="H434" s="99"/>
      <x:c r="I434" s="99"/>
      <x:c r="J434" s="99"/>
      <x:c r="K434" s="99"/>
      <x:c r="L434" s="99"/>
      <x:c r="M434" s="99"/>
      <x:c r="N434" s="99"/>
      <x:c r="O434" s="99"/>
      <x:c r="P434" s="99"/>
      <x:c r="Q434" s="99"/>
      <x:c r="R434" s="99"/>
      <x:c r="S434" s="99"/>
      <x:c r="T434" s="99"/>
      <x:c r="U434" s="99"/>
      <x:c r="V434" s="99"/>
      <x:c r="W434" s="99"/>
      <x:c r="X434" s="99"/>
      <x:c r="Y434" s="99"/>
      <x:c r="Z434" s="99"/>
    </x:row>
    <x:row r="435">
      <x:c r="A435" s="99"/>
      <x:c r="B435" s="99"/>
      <x:c r="C435" s="99"/>
      <x:c r="D435" s="99"/>
      <x:c r="E435" s="99"/>
      <x:c r="F435" s="99"/>
      <x:c r="G435" s="99"/>
      <x:c r="H435" s="99"/>
      <x:c r="I435" s="99"/>
      <x:c r="J435" s="99"/>
      <x:c r="K435" s="99"/>
      <x:c r="L435" s="99"/>
      <x:c r="M435" s="99"/>
      <x:c r="N435" s="99"/>
      <x:c r="O435" s="99"/>
      <x:c r="P435" s="99"/>
      <x:c r="Q435" s="99"/>
      <x:c r="R435" s="99"/>
      <x:c r="S435" s="99"/>
      <x:c r="T435" s="99"/>
      <x:c r="U435" s="99"/>
      <x:c r="V435" s="99"/>
      <x:c r="W435" s="99"/>
      <x:c r="X435" s="99"/>
      <x:c r="Y435" s="99"/>
      <x:c r="Z435" s="99"/>
    </x:row>
    <x:row r="436">
      <x:c r="A436" s="99"/>
      <x:c r="B436" s="99"/>
      <x:c r="C436" s="99"/>
      <x:c r="D436" s="99"/>
      <x:c r="E436" s="99"/>
      <x:c r="F436" s="99"/>
      <x:c r="G436" s="99"/>
      <x:c r="H436" s="99"/>
      <x:c r="I436" s="99"/>
      <x:c r="J436" s="99"/>
      <x:c r="K436" s="99"/>
      <x:c r="L436" s="99"/>
      <x:c r="M436" s="99"/>
      <x:c r="N436" s="99"/>
      <x:c r="O436" s="99"/>
      <x:c r="P436" s="99"/>
      <x:c r="Q436" s="99"/>
      <x:c r="R436" s="99"/>
      <x:c r="S436" s="99"/>
      <x:c r="T436" s="99"/>
      <x:c r="U436" s="99"/>
      <x:c r="V436" s="99"/>
      <x:c r="W436" s="99"/>
      <x:c r="X436" s="99"/>
      <x:c r="Y436" s="99"/>
      <x:c r="Z436" s="99"/>
    </x:row>
    <x:row r="437">
      <x:c r="A437" s="99"/>
      <x:c r="B437" s="99"/>
      <x:c r="C437" s="99"/>
      <x:c r="D437" s="99"/>
      <x:c r="E437" s="99"/>
      <x:c r="F437" s="99"/>
      <x:c r="G437" s="99"/>
      <x:c r="H437" s="99"/>
      <x:c r="I437" s="99"/>
      <x:c r="J437" s="99"/>
      <x:c r="K437" s="99"/>
      <x:c r="L437" s="99"/>
      <x:c r="M437" s="99"/>
      <x:c r="N437" s="99"/>
      <x:c r="O437" s="99"/>
      <x:c r="P437" s="99"/>
      <x:c r="Q437" s="99"/>
      <x:c r="R437" s="99"/>
      <x:c r="S437" s="99"/>
      <x:c r="T437" s="99"/>
      <x:c r="U437" s="99"/>
      <x:c r="V437" s="99"/>
      <x:c r="W437" s="99"/>
      <x:c r="X437" s="99"/>
      <x:c r="Y437" s="99"/>
      <x:c r="Z437" s="99"/>
    </x:row>
    <x:row r="438">
      <x:c r="A438" s="99"/>
      <x:c r="B438" s="99"/>
      <x:c r="C438" s="99"/>
      <x:c r="D438" s="99"/>
      <x:c r="E438" s="99"/>
      <x:c r="F438" s="99"/>
      <x:c r="G438" s="99"/>
      <x:c r="H438" s="99"/>
      <x:c r="I438" s="99"/>
      <x:c r="J438" s="99"/>
      <x:c r="K438" s="99"/>
      <x:c r="L438" s="99"/>
      <x:c r="M438" s="99"/>
      <x:c r="N438" s="99"/>
      <x:c r="O438" s="99"/>
      <x:c r="P438" s="99"/>
      <x:c r="Q438" s="99"/>
      <x:c r="R438" s="99"/>
      <x:c r="S438" s="99"/>
      <x:c r="T438" s="99"/>
      <x:c r="U438" s="99"/>
      <x:c r="V438" s="99"/>
      <x:c r="W438" s="99"/>
      <x:c r="X438" s="99"/>
      <x:c r="Y438" s="99"/>
      <x:c r="Z438" s="99"/>
    </x:row>
    <x:row r="439">
      <x:c r="A439" s="99"/>
      <x:c r="B439" s="99"/>
      <x:c r="C439" s="99"/>
      <x:c r="D439" s="99"/>
      <x:c r="E439" s="99"/>
      <x:c r="F439" s="99"/>
      <x:c r="G439" s="99"/>
      <x:c r="H439" s="99"/>
      <x:c r="I439" s="99"/>
      <x:c r="J439" s="99"/>
      <x:c r="K439" s="99"/>
      <x:c r="L439" s="99"/>
      <x:c r="M439" s="99"/>
      <x:c r="N439" s="99"/>
      <x:c r="O439" s="99"/>
      <x:c r="P439" s="99"/>
      <x:c r="Q439" s="99"/>
      <x:c r="R439" s="99"/>
      <x:c r="S439" s="99"/>
      <x:c r="T439" s="99"/>
      <x:c r="U439" s="99"/>
      <x:c r="V439" s="99"/>
      <x:c r="W439" s="99"/>
      <x:c r="X439" s="99"/>
      <x:c r="Y439" s="99"/>
      <x:c r="Z439" s="99"/>
    </x:row>
    <x:row r="440">
      <x:c r="A440" s="99"/>
      <x:c r="B440" s="99"/>
      <x:c r="C440" s="99"/>
      <x:c r="D440" s="99"/>
      <x:c r="E440" s="99"/>
      <x:c r="F440" s="99"/>
      <x:c r="G440" s="99"/>
      <x:c r="H440" s="99"/>
      <x:c r="I440" s="99"/>
      <x:c r="J440" s="99"/>
      <x:c r="K440" s="99"/>
      <x:c r="L440" s="99"/>
      <x:c r="M440" s="99"/>
      <x:c r="N440" s="99"/>
      <x:c r="O440" s="99"/>
      <x:c r="P440" s="99"/>
      <x:c r="Q440" s="99"/>
      <x:c r="R440" s="99"/>
      <x:c r="S440" s="99"/>
      <x:c r="T440" s="99"/>
      <x:c r="U440" s="99"/>
      <x:c r="V440" s="99"/>
      <x:c r="W440" s="99"/>
      <x:c r="X440" s="99"/>
      <x:c r="Y440" s="99"/>
      <x:c r="Z440" s="99"/>
    </x:row>
    <x:row r="441">
      <x:c r="A441" s="99"/>
      <x:c r="B441" s="99"/>
      <x:c r="C441" s="99"/>
      <x:c r="D441" s="99"/>
      <x:c r="E441" s="99"/>
      <x:c r="F441" s="99"/>
      <x:c r="G441" s="99"/>
      <x:c r="H441" s="99"/>
      <x:c r="I441" s="99"/>
      <x:c r="J441" s="99"/>
      <x:c r="K441" s="99"/>
      <x:c r="L441" s="99"/>
      <x:c r="M441" s="99"/>
      <x:c r="N441" s="99"/>
      <x:c r="O441" s="99"/>
      <x:c r="P441" s="99"/>
      <x:c r="Q441" s="99"/>
      <x:c r="R441" s="99"/>
      <x:c r="S441" s="99"/>
      <x:c r="T441" s="99"/>
      <x:c r="U441" s="99"/>
      <x:c r="V441" s="99"/>
      <x:c r="W441" s="99"/>
      <x:c r="X441" s="99"/>
      <x:c r="Y441" s="99"/>
      <x:c r="Z441" s="99"/>
    </x:row>
    <x:row r="442">
      <x:c r="A442" s="99"/>
      <x:c r="B442" s="99"/>
      <x:c r="C442" s="99"/>
      <x:c r="D442" s="99"/>
      <x:c r="E442" s="99"/>
      <x:c r="F442" s="99"/>
      <x:c r="G442" s="99"/>
      <x:c r="H442" s="99"/>
      <x:c r="I442" s="99"/>
      <x:c r="J442" s="99"/>
      <x:c r="K442" s="99"/>
      <x:c r="L442" s="99"/>
      <x:c r="M442" s="99"/>
      <x:c r="N442" s="99"/>
      <x:c r="O442" s="99"/>
      <x:c r="P442" s="99"/>
      <x:c r="Q442" s="99"/>
      <x:c r="R442" s="99"/>
      <x:c r="S442" s="99"/>
      <x:c r="T442" s="99"/>
      <x:c r="U442" s="99"/>
      <x:c r="V442" s="99"/>
      <x:c r="W442" s="99"/>
      <x:c r="X442" s="99"/>
      <x:c r="Y442" s="99"/>
      <x:c r="Z442" s="99"/>
    </x:row>
    <x:row r="443">
      <x:c r="A443" s="99"/>
      <x:c r="B443" s="99"/>
      <x:c r="C443" s="99"/>
      <x:c r="D443" s="99"/>
      <x:c r="E443" s="99"/>
      <x:c r="F443" s="99"/>
      <x:c r="G443" s="99"/>
      <x:c r="H443" s="99"/>
      <x:c r="I443" s="99"/>
      <x:c r="J443" s="99"/>
      <x:c r="K443" s="99"/>
      <x:c r="L443" s="99"/>
      <x:c r="M443" s="99"/>
      <x:c r="N443" s="99"/>
      <x:c r="O443" s="99"/>
      <x:c r="P443" s="99"/>
      <x:c r="Q443" s="99"/>
      <x:c r="R443" s="99"/>
      <x:c r="S443" s="99"/>
      <x:c r="T443" s="99"/>
      <x:c r="U443" s="99"/>
      <x:c r="V443" s="99"/>
      <x:c r="W443" s="99"/>
      <x:c r="X443" s="99"/>
      <x:c r="Y443" s="99"/>
      <x:c r="Z443" s="99"/>
    </x:row>
    <x:row r="444">
      <x:c r="A444" s="99"/>
      <x:c r="B444" s="99"/>
      <x:c r="C444" s="99"/>
      <x:c r="D444" s="99"/>
      <x:c r="E444" s="99"/>
      <x:c r="F444" s="99"/>
      <x:c r="G444" s="99"/>
      <x:c r="H444" s="99"/>
      <x:c r="I444" s="99"/>
      <x:c r="J444" s="99"/>
      <x:c r="K444" s="99"/>
      <x:c r="L444" s="99"/>
      <x:c r="M444" s="99"/>
      <x:c r="N444" s="99"/>
      <x:c r="O444" s="99"/>
      <x:c r="P444" s="99"/>
      <x:c r="Q444" s="99"/>
      <x:c r="R444" s="99"/>
      <x:c r="S444" s="99"/>
      <x:c r="T444" s="99"/>
      <x:c r="U444" s="99"/>
      <x:c r="V444" s="99"/>
      <x:c r="W444" s="99"/>
      <x:c r="X444" s="99"/>
      <x:c r="Y444" s="99"/>
      <x:c r="Z444" s="99"/>
    </x:row>
    <x:row r="445">
      <x:c r="A445" s="99"/>
      <x:c r="B445" s="99"/>
      <x:c r="C445" s="99"/>
      <x:c r="D445" s="99"/>
      <x:c r="E445" s="99"/>
      <x:c r="F445" s="99"/>
      <x:c r="G445" s="99"/>
      <x:c r="H445" s="99"/>
      <x:c r="I445" s="99"/>
      <x:c r="J445" s="99"/>
      <x:c r="K445" s="99"/>
      <x:c r="L445" s="99"/>
      <x:c r="M445" s="99"/>
      <x:c r="N445" s="99"/>
      <x:c r="O445" s="99"/>
      <x:c r="P445" s="99"/>
      <x:c r="Q445" s="99"/>
      <x:c r="R445" s="99"/>
      <x:c r="S445" s="99"/>
      <x:c r="T445" s="99"/>
      <x:c r="U445" s="99"/>
      <x:c r="V445" s="99"/>
      <x:c r="W445" s="99"/>
      <x:c r="X445" s="99"/>
      <x:c r="Y445" s="99"/>
      <x:c r="Z445" s="99"/>
    </x:row>
    <x:row r="446">
      <x:c r="A446" s="99"/>
      <x:c r="B446" s="99"/>
      <x:c r="C446" s="99"/>
      <x:c r="D446" s="99"/>
      <x:c r="E446" s="99"/>
      <x:c r="F446" s="99"/>
      <x:c r="G446" s="99"/>
      <x:c r="H446" s="99"/>
      <x:c r="I446" s="99"/>
      <x:c r="J446" s="99"/>
      <x:c r="K446" s="99"/>
      <x:c r="L446" s="99"/>
      <x:c r="M446" s="99"/>
      <x:c r="N446" s="99"/>
      <x:c r="O446" s="99"/>
      <x:c r="P446" s="99"/>
      <x:c r="Q446" s="99"/>
      <x:c r="R446" s="99"/>
      <x:c r="S446" s="99"/>
      <x:c r="T446" s="99"/>
      <x:c r="U446" s="99"/>
      <x:c r="V446" s="99"/>
      <x:c r="W446" s="99"/>
      <x:c r="X446" s="99"/>
      <x:c r="Y446" s="99"/>
      <x:c r="Z446" s="99"/>
    </x:row>
    <x:row r="447">
      <x:c r="A447" s="99"/>
      <x:c r="B447" s="99"/>
      <x:c r="C447" s="99"/>
      <x:c r="D447" s="99"/>
      <x:c r="E447" s="99"/>
      <x:c r="F447" s="99"/>
      <x:c r="G447" s="99"/>
      <x:c r="H447" s="99"/>
      <x:c r="I447" s="99"/>
      <x:c r="J447" s="99"/>
      <x:c r="K447" s="99"/>
      <x:c r="L447" s="99"/>
      <x:c r="M447" s="99"/>
      <x:c r="N447" s="99"/>
      <x:c r="O447" s="99"/>
      <x:c r="P447" s="99"/>
      <x:c r="Q447" s="99"/>
      <x:c r="R447" s="99"/>
      <x:c r="S447" s="99"/>
      <x:c r="T447" s="99"/>
      <x:c r="U447" s="99"/>
      <x:c r="V447" s="99"/>
      <x:c r="W447" s="99"/>
      <x:c r="X447" s="99"/>
      <x:c r="Y447" s="99"/>
      <x:c r="Z447" s="99"/>
    </x:row>
    <x:row r="448">
      <x:c r="A448" s="99"/>
      <x:c r="B448" s="99"/>
      <x:c r="C448" s="99"/>
      <x:c r="D448" s="99"/>
      <x:c r="E448" s="99"/>
      <x:c r="F448" s="99"/>
      <x:c r="G448" s="99"/>
      <x:c r="H448" s="99"/>
      <x:c r="I448" s="99"/>
      <x:c r="J448" s="99"/>
      <x:c r="K448" s="99"/>
      <x:c r="L448" s="99"/>
      <x:c r="M448" s="99"/>
      <x:c r="N448" s="99"/>
      <x:c r="O448" s="99"/>
      <x:c r="P448" s="99"/>
      <x:c r="Q448" s="99"/>
      <x:c r="R448" s="99"/>
      <x:c r="S448" s="99"/>
      <x:c r="T448" s="99"/>
      <x:c r="U448" s="99"/>
      <x:c r="V448" s="99"/>
      <x:c r="W448" s="99"/>
      <x:c r="X448" s="99"/>
      <x:c r="Y448" s="99"/>
      <x:c r="Z448" s="99"/>
    </x:row>
    <x:row r="449">
      <x:c r="A449" s="99"/>
      <x:c r="B449" s="99"/>
      <x:c r="C449" s="99"/>
      <x:c r="D449" s="99"/>
      <x:c r="E449" s="99"/>
      <x:c r="F449" s="99"/>
      <x:c r="G449" s="99"/>
      <x:c r="H449" s="99"/>
      <x:c r="I449" s="99"/>
      <x:c r="J449" s="99"/>
      <x:c r="K449" s="99"/>
      <x:c r="L449" s="99"/>
      <x:c r="M449" s="99"/>
      <x:c r="N449" s="99"/>
      <x:c r="O449" s="99"/>
      <x:c r="P449" s="99"/>
      <x:c r="Q449" s="99"/>
      <x:c r="R449" s="99"/>
      <x:c r="S449" s="99"/>
      <x:c r="T449" s="99"/>
      <x:c r="U449" s="99"/>
      <x:c r="V449" s="99"/>
      <x:c r="W449" s="99"/>
      <x:c r="X449" s="99"/>
      <x:c r="Y449" s="99"/>
      <x:c r="Z449" s="99"/>
    </x:row>
    <x:row r="450">
      <x:c r="A450" s="99"/>
      <x:c r="B450" s="99"/>
      <x:c r="C450" s="99"/>
      <x:c r="D450" s="99"/>
      <x:c r="E450" s="99"/>
      <x:c r="F450" s="99"/>
      <x:c r="G450" s="99"/>
      <x:c r="H450" s="99"/>
      <x:c r="I450" s="99"/>
      <x:c r="J450" s="99"/>
      <x:c r="K450" s="99"/>
      <x:c r="L450" s="99"/>
      <x:c r="M450" s="99"/>
      <x:c r="N450" s="99"/>
      <x:c r="O450" s="99"/>
      <x:c r="P450" s="99"/>
      <x:c r="Q450" s="99"/>
      <x:c r="R450" s="99"/>
      <x:c r="S450" s="99"/>
      <x:c r="T450" s="99"/>
      <x:c r="U450" s="99"/>
      <x:c r="V450" s="99"/>
      <x:c r="W450" s="99"/>
      <x:c r="X450" s="99"/>
      <x:c r="Y450" s="99"/>
      <x:c r="Z450" s="99"/>
    </x:row>
    <x:row r="451">
      <x:c r="A451" s="99"/>
      <x:c r="B451" s="99"/>
      <x:c r="C451" s="99"/>
      <x:c r="D451" s="99"/>
      <x:c r="E451" s="99"/>
      <x:c r="F451" s="99"/>
      <x:c r="G451" s="99"/>
      <x:c r="H451" s="99"/>
      <x:c r="I451" s="99"/>
      <x:c r="J451" s="99"/>
      <x:c r="K451" s="99"/>
      <x:c r="L451" s="99"/>
      <x:c r="M451" s="99"/>
      <x:c r="N451" s="99"/>
      <x:c r="O451" s="99"/>
      <x:c r="P451" s="99"/>
      <x:c r="Q451" s="99"/>
      <x:c r="R451" s="99"/>
      <x:c r="S451" s="99"/>
      <x:c r="T451" s="99"/>
      <x:c r="U451" s="99"/>
      <x:c r="V451" s="99"/>
      <x:c r="W451" s="99"/>
      <x:c r="X451" s="99"/>
      <x:c r="Y451" s="99"/>
      <x:c r="Z451" s="99"/>
    </x:row>
    <x:row r="452">
      <x:c r="A452" s="99"/>
      <x:c r="B452" s="99"/>
      <x:c r="C452" s="99"/>
      <x:c r="D452" s="99"/>
      <x:c r="E452" s="99"/>
      <x:c r="F452" s="99"/>
      <x:c r="G452" s="99"/>
      <x:c r="H452" s="99"/>
      <x:c r="I452" s="99"/>
      <x:c r="J452" s="99"/>
      <x:c r="K452" s="99"/>
      <x:c r="L452" s="99"/>
      <x:c r="M452" s="99"/>
      <x:c r="N452" s="99"/>
      <x:c r="O452" s="99"/>
      <x:c r="P452" s="99"/>
      <x:c r="Q452" s="99"/>
      <x:c r="R452" s="99"/>
      <x:c r="S452" s="99"/>
      <x:c r="T452" s="99"/>
      <x:c r="U452" s="99"/>
      <x:c r="V452" s="99"/>
      <x:c r="W452" s="99"/>
      <x:c r="X452" s="99"/>
      <x:c r="Y452" s="99"/>
      <x:c r="Z452" s="99"/>
    </x:row>
    <x:row r="453">
      <x:c r="A453" s="99"/>
      <x:c r="B453" s="99"/>
      <x:c r="C453" s="99"/>
      <x:c r="D453" s="99"/>
      <x:c r="E453" s="99"/>
      <x:c r="F453" s="99"/>
      <x:c r="G453" s="99"/>
      <x:c r="H453" s="99"/>
      <x:c r="I453" s="99"/>
      <x:c r="J453" s="99"/>
      <x:c r="K453" s="99"/>
      <x:c r="L453" s="99"/>
      <x:c r="M453" s="99"/>
      <x:c r="N453" s="99"/>
      <x:c r="O453" s="99"/>
      <x:c r="P453" s="99"/>
      <x:c r="Q453" s="99"/>
      <x:c r="R453" s="99"/>
      <x:c r="S453" s="99"/>
      <x:c r="T453" s="99"/>
      <x:c r="U453" s="99"/>
      <x:c r="V453" s="99"/>
      <x:c r="W453" s="99"/>
      <x:c r="X453" s="99"/>
      <x:c r="Y453" s="99"/>
      <x:c r="Z453" s="99"/>
    </x:row>
    <x:row r="454">
      <x:c r="A454" s="99"/>
      <x:c r="B454" s="99"/>
      <x:c r="C454" s="99"/>
      <x:c r="D454" s="99"/>
      <x:c r="E454" s="99"/>
      <x:c r="F454" s="99"/>
      <x:c r="G454" s="99"/>
      <x:c r="H454" s="99"/>
      <x:c r="I454" s="99"/>
      <x:c r="J454" s="99"/>
      <x:c r="K454" s="99"/>
      <x:c r="L454" s="99"/>
      <x:c r="M454" s="99"/>
      <x:c r="N454" s="99"/>
      <x:c r="O454" s="99"/>
      <x:c r="P454" s="99"/>
      <x:c r="Q454" s="99"/>
      <x:c r="R454" s="99"/>
      <x:c r="S454" s="99"/>
      <x:c r="T454" s="99"/>
      <x:c r="U454" s="99"/>
      <x:c r="V454" s="99"/>
      <x:c r="W454" s="99"/>
      <x:c r="X454" s="99"/>
      <x:c r="Y454" s="99"/>
      <x:c r="Z454" s="99"/>
    </x:row>
    <x:row r="455">
      <x:c r="A455" s="99"/>
      <x:c r="B455" s="99"/>
      <x:c r="C455" s="99"/>
      <x:c r="D455" s="99"/>
      <x:c r="E455" s="99"/>
      <x:c r="F455" s="99"/>
      <x:c r="G455" s="99"/>
      <x:c r="H455" s="99"/>
      <x:c r="I455" s="99"/>
      <x:c r="J455" s="99"/>
      <x:c r="K455" s="99"/>
      <x:c r="L455" s="99"/>
      <x:c r="M455" s="99"/>
      <x:c r="N455" s="99"/>
      <x:c r="O455" s="99"/>
      <x:c r="P455" s="99"/>
      <x:c r="Q455" s="99"/>
      <x:c r="R455" s="99"/>
      <x:c r="S455" s="99"/>
      <x:c r="T455" s="99"/>
      <x:c r="U455" s="99"/>
      <x:c r="V455" s="99"/>
      <x:c r="W455" s="99"/>
      <x:c r="X455" s="99"/>
      <x:c r="Y455" s="99"/>
      <x:c r="Z455" s="99"/>
    </x:row>
    <x:row r="456">
      <x:c r="A456" s="99"/>
      <x:c r="B456" s="99"/>
      <x:c r="C456" s="99"/>
      <x:c r="D456" s="99"/>
      <x:c r="E456" s="99"/>
      <x:c r="F456" s="99"/>
      <x:c r="G456" s="99"/>
      <x:c r="H456" s="99"/>
      <x:c r="I456" s="99"/>
      <x:c r="J456" s="99"/>
      <x:c r="K456" s="99"/>
      <x:c r="L456" s="99"/>
      <x:c r="M456" s="99"/>
      <x:c r="N456" s="99"/>
      <x:c r="O456" s="99"/>
      <x:c r="P456" s="99"/>
      <x:c r="Q456" s="99"/>
      <x:c r="R456" s="99"/>
      <x:c r="S456" s="99"/>
      <x:c r="T456" s="99"/>
      <x:c r="U456" s="99"/>
      <x:c r="V456" s="99"/>
      <x:c r="W456" s="99"/>
      <x:c r="X456" s="99"/>
      <x:c r="Y456" s="99"/>
      <x:c r="Z456" s="99"/>
    </x:row>
    <x:row r="457">
      <x:c r="A457" s="99"/>
      <x:c r="B457" s="99"/>
      <x:c r="C457" s="99"/>
      <x:c r="D457" s="99"/>
      <x:c r="E457" s="99"/>
      <x:c r="F457" s="99"/>
      <x:c r="G457" s="99"/>
      <x:c r="H457" s="99"/>
      <x:c r="I457" s="99"/>
      <x:c r="J457" s="99"/>
      <x:c r="K457" s="99"/>
      <x:c r="L457" s="99"/>
      <x:c r="M457" s="99"/>
      <x:c r="N457" s="99"/>
      <x:c r="O457" s="99"/>
      <x:c r="P457" s="99"/>
      <x:c r="Q457" s="99"/>
      <x:c r="R457" s="99"/>
      <x:c r="S457" s="99"/>
      <x:c r="T457" s="99"/>
      <x:c r="U457" s="99"/>
      <x:c r="V457" s="99"/>
      <x:c r="W457" s="99"/>
      <x:c r="X457" s="99"/>
      <x:c r="Y457" s="99"/>
      <x:c r="Z457" s="99"/>
    </x:row>
    <x:row r="458">
      <x:c r="A458" s="99"/>
      <x:c r="B458" s="99"/>
      <x:c r="C458" s="99"/>
      <x:c r="D458" s="99"/>
      <x:c r="E458" s="99"/>
      <x:c r="F458" s="99"/>
      <x:c r="G458" s="99"/>
      <x:c r="H458" s="99"/>
      <x:c r="I458" s="99"/>
      <x:c r="J458" s="99"/>
      <x:c r="K458" s="99"/>
      <x:c r="L458" s="99"/>
      <x:c r="M458" s="99"/>
      <x:c r="N458" s="99"/>
      <x:c r="O458" s="99"/>
      <x:c r="P458" s="99"/>
      <x:c r="Q458" s="99"/>
      <x:c r="R458" s="99"/>
      <x:c r="S458" s="99"/>
      <x:c r="T458" s="99"/>
      <x:c r="U458" s="99"/>
      <x:c r="V458" s="99"/>
      <x:c r="W458" s="99"/>
      <x:c r="X458" s="99"/>
      <x:c r="Y458" s="99"/>
      <x:c r="Z458" s="99"/>
    </x:row>
    <x:row r="459">
      <x:c r="A459" s="99"/>
      <x:c r="B459" s="99"/>
      <x:c r="C459" s="99"/>
      <x:c r="D459" s="99"/>
      <x:c r="E459" s="99"/>
      <x:c r="F459" s="99"/>
      <x:c r="G459" s="99"/>
      <x:c r="H459" s="99"/>
      <x:c r="I459" s="99"/>
      <x:c r="J459" s="99"/>
      <x:c r="K459" s="99"/>
      <x:c r="L459" s="99"/>
      <x:c r="M459" s="99"/>
      <x:c r="N459" s="99"/>
      <x:c r="O459" s="99"/>
      <x:c r="P459" s="99"/>
      <x:c r="Q459" s="99"/>
      <x:c r="R459" s="99"/>
      <x:c r="S459" s="99"/>
      <x:c r="T459" s="99"/>
      <x:c r="U459" s="99"/>
      <x:c r="V459" s="99"/>
      <x:c r="W459" s="99"/>
      <x:c r="X459" s="99"/>
      <x:c r="Y459" s="99"/>
      <x:c r="Z459" s="99"/>
    </x:row>
    <x:row r="460">
      <x:c r="A460" s="99"/>
      <x:c r="B460" s="99"/>
      <x:c r="C460" s="99"/>
      <x:c r="D460" s="99"/>
      <x:c r="E460" s="99"/>
      <x:c r="F460" s="99"/>
      <x:c r="G460" s="99"/>
      <x:c r="H460" s="99"/>
      <x:c r="I460" s="99"/>
      <x:c r="J460" s="99"/>
      <x:c r="K460" s="99"/>
      <x:c r="L460" s="99"/>
      <x:c r="M460" s="99"/>
      <x:c r="N460" s="99"/>
      <x:c r="O460" s="99"/>
      <x:c r="P460" s="99"/>
      <x:c r="Q460" s="99"/>
      <x:c r="R460" s="99"/>
      <x:c r="S460" s="99"/>
      <x:c r="T460" s="99"/>
      <x:c r="U460" s="99"/>
      <x:c r="V460" s="99"/>
      <x:c r="W460" s="99"/>
      <x:c r="X460" s="99"/>
      <x:c r="Y460" s="99"/>
      <x:c r="Z460" s="99"/>
    </x:row>
    <x:row r="461">
      <x:c r="A461" s="99"/>
      <x:c r="B461" s="99"/>
      <x:c r="C461" s="99"/>
      <x:c r="D461" s="99"/>
      <x:c r="E461" s="99"/>
      <x:c r="F461" s="99"/>
      <x:c r="G461" s="99"/>
      <x:c r="H461" s="99"/>
      <x:c r="I461" s="99"/>
      <x:c r="J461" s="99"/>
      <x:c r="K461" s="99"/>
      <x:c r="L461" s="99"/>
      <x:c r="M461" s="99"/>
      <x:c r="N461" s="99"/>
      <x:c r="O461" s="99"/>
      <x:c r="P461" s="99"/>
      <x:c r="Q461" s="99"/>
      <x:c r="R461" s="99"/>
      <x:c r="S461" s="99"/>
      <x:c r="T461" s="99"/>
      <x:c r="U461" s="99"/>
      <x:c r="V461" s="99"/>
      <x:c r="W461" s="99"/>
      <x:c r="X461" s="99"/>
      <x:c r="Y461" s="99"/>
      <x:c r="Z461" s="99"/>
    </x:row>
    <x:row r="462">
      <x:c r="A462" s="99"/>
      <x:c r="B462" s="99"/>
      <x:c r="C462" s="99"/>
      <x:c r="D462" s="99"/>
      <x:c r="E462" s="99"/>
      <x:c r="F462" s="99"/>
      <x:c r="G462" s="99"/>
      <x:c r="H462" s="99"/>
      <x:c r="I462" s="99"/>
      <x:c r="J462" s="99"/>
      <x:c r="K462" s="99"/>
      <x:c r="L462" s="99"/>
      <x:c r="M462" s="99"/>
      <x:c r="N462" s="99"/>
      <x:c r="O462" s="99"/>
      <x:c r="P462" s="99"/>
      <x:c r="Q462" s="99"/>
      <x:c r="R462" s="99"/>
      <x:c r="S462" s="99"/>
      <x:c r="T462" s="99"/>
      <x:c r="U462" s="99"/>
      <x:c r="V462" s="99"/>
      <x:c r="W462" s="99"/>
      <x:c r="X462" s="99"/>
      <x:c r="Y462" s="99"/>
      <x:c r="Z462" s="99"/>
    </x:row>
    <x:row r="463">
      <x:c r="A463" s="99"/>
      <x:c r="B463" s="99"/>
      <x:c r="C463" s="99"/>
      <x:c r="D463" s="99"/>
      <x:c r="E463" s="99"/>
      <x:c r="F463" s="99"/>
      <x:c r="G463" s="99"/>
      <x:c r="H463" s="99"/>
      <x:c r="I463" s="99"/>
      <x:c r="J463" s="99"/>
      <x:c r="K463" s="99"/>
      <x:c r="L463" s="99"/>
      <x:c r="M463" s="99"/>
      <x:c r="N463" s="99"/>
      <x:c r="O463" s="99"/>
      <x:c r="P463" s="99"/>
      <x:c r="Q463" s="99"/>
      <x:c r="R463" s="99"/>
      <x:c r="S463" s="99"/>
      <x:c r="T463" s="99"/>
      <x:c r="U463" s="99"/>
      <x:c r="V463" s="99"/>
      <x:c r="W463" s="99"/>
      <x:c r="X463" s="99"/>
      <x:c r="Y463" s="99"/>
      <x:c r="Z463" s="99"/>
    </x:row>
    <x:row r="464">
      <x:c r="A464" s="99"/>
      <x:c r="B464" s="99"/>
      <x:c r="C464" s="99"/>
      <x:c r="D464" s="99"/>
      <x:c r="E464" s="99"/>
      <x:c r="F464" s="99"/>
      <x:c r="G464" s="99"/>
      <x:c r="H464" s="99"/>
      <x:c r="I464" s="99"/>
      <x:c r="J464" s="99"/>
      <x:c r="K464" s="99"/>
      <x:c r="L464" s="99"/>
      <x:c r="M464" s="99"/>
      <x:c r="N464" s="99"/>
      <x:c r="O464" s="99"/>
      <x:c r="P464" s="99"/>
      <x:c r="Q464" s="99"/>
      <x:c r="R464" s="99"/>
      <x:c r="S464" s="99"/>
      <x:c r="T464" s="99"/>
      <x:c r="U464" s="99"/>
      <x:c r="V464" s="99"/>
      <x:c r="W464" s="99"/>
      <x:c r="X464" s="99"/>
      <x:c r="Y464" s="99"/>
      <x:c r="Z464" s="99"/>
    </x:row>
    <x:row r="465">
      <x:c r="A465" s="99"/>
      <x:c r="B465" s="99"/>
      <x:c r="C465" s="99"/>
      <x:c r="D465" s="99"/>
      <x:c r="E465" s="99"/>
      <x:c r="F465" s="99"/>
      <x:c r="G465" s="99"/>
      <x:c r="H465" s="99"/>
      <x:c r="I465" s="99"/>
      <x:c r="J465" s="99"/>
      <x:c r="K465" s="99"/>
      <x:c r="L465" s="99"/>
      <x:c r="M465" s="99"/>
      <x:c r="N465" s="99"/>
      <x:c r="O465" s="99"/>
      <x:c r="P465" s="99"/>
      <x:c r="Q465" s="99"/>
      <x:c r="R465" s="99"/>
      <x:c r="S465" s="99"/>
      <x:c r="T465" s="99"/>
      <x:c r="U465" s="99"/>
      <x:c r="V465" s="99"/>
      <x:c r="W465" s="99"/>
      <x:c r="X465" s="99"/>
      <x:c r="Y465" s="99"/>
      <x:c r="Z465" s="99"/>
    </x:row>
    <x:row r="466">
      <x:c r="A466" s="99"/>
      <x:c r="B466" s="99"/>
      <x:c r="C466" s="99"/>
      <x:c r="D466" s="99"/>
      <x:c r="E466" s="99"/>
      <x:c r="F466" s="99"/>
      <x:c r="G466" s="99"/>
      <x:c r="H466" s="99"/>
      <x:c r="I466" s="99"/>
      <x:c r="J466" s="99"/>
      <x:c r="K466" s="99"/>
      <x:c r="L466" s="99"/>
      <x:c r="M466" s="99"/>
      <x:c r="N466" s="99"/>
      <x:c r="O466" s="99"/>
      <x:c r="P466" s="99"/>
      <x:c r="Q466" s="99"/>
      <x:c r="R466" s="99"/>
      <x:c r="S466" s="99"/>
      <x:c r="T466" s="99"/>
      <x:c r="U466" s="99"/>
      <x:c r="V466" s="99"/>
      <x:c r="W466" s="99"/>
      <x:c r="X466" s="99"/>
      <x:c r="Y466" s="99"/>
      <x:c r="Z466" s="99"/>
    </x:row>
    <x:row r="467">
      <x:c r="A467" s="99"/>
      <x:c r="B467" s="99"/>
      <x:c r="C467" s="99"/>
      <x:c r="D467" s="99"/>
      <x:c r="E467" s="99"/>
      <x:c r="F467" s="99"/>
      <x:c r="G467" s="99"/>
      <x:c r="H467" s="99"/>
      <x:c r="I467" s="99"/>
      <x:c r="J467" s="99"/>
      <x:c r="K467" s="99"/>
      <x:c r="L467" s="99"/>
      <x:c r="M467" s="99"/>
      <x:c r="N467" s="99"/>
      <x:c r="O467" s="99"/>
      <x:c r="P467" s="99"/>
      <x:c r="Q467" s="99"/>
      <x:c r="R467" s="99"/>
      <x:c r="S467" s="99"/>
      <x:c r="T467" s="99"/>
      <x:c r="U467" s="99"/>
      <x:c r="V467" s="99"/>
      <x:c r="W467" s="99"/>
      <x:c r="X467" s="99"/>
      <x:c r="Y467" s="99"/>
      <x:c r="Z467" s="99"/>
    </x:row>
    <x:row r="468">
      <x:c r="A468" s="99"/>
      <x:c r="B468" s="99"/>
      <x:c r="C468" s="99"/>
      <x:c r="D468" s="99"/>
      <x:c r="E468" s="99"/>
      <x:c r="F468" s="99"/>
      <x:c r="G468" s="99"/>
      <x:c r="H468" s="99"/>
      <x:c r="I468" s="99"/>
      <x:c r="J468" s="99"/>
      <x:c r="K468" s="99"/>
      <x:c r="L468" s="99"/>
      <x:c r="M468" s="99"/>
      <x:c r="N468" s="99"/>
      <x:c r="O468" s="99"/>
      <x:c r="P468" s="99"/>
      <x:c r="Q468" s="99"/>
      <x:c r="R468" s="99"/>
      <x:c r="S468" s="99"/>
      <x:c r="T468" s="99"/>
      <x:c r="U468" s="99"/>
      <x:c r="V468" s="99"/>
      <x:c r="W468" s="99"/>
      <x:c r="X468" s="99"/>
      <x:c r="Y468" s="99"/>
      <x:c r="Z468" s="99"/>
    </x:row>
    <x:row r="469">
      <x:c r="A469" s="99"/>
      <x:c r="B469" s="99"/>
      <x:c r="C469" s="99"/>
      <x:c r="D469" s="99"/>
      <x:c r="E469" s="99"/>
      <x:c r="F469" s="99"/>
      <x:c r="G469" s="99"/>
      <x:c r="H469" s="99"/>
      <x:c r="I469" s="99"/>
      <x:c r="J469" s="99"/>
      <x:c r="K469" s="99"/>
      <x:c r="L469" s="99"/>
      <x:c r="M469" s="99"/>
      <x:c r="N469" s="99"/>
      <x:c r="O469" s="99"/>
      <x:c r="P469" s="99"/>
      <x:c r="Q469" s="99"/>
      <x:c r="R469" s="99"/>
      <x:c r="S469" s="99"/>
      <x:c r="T469" s="99"/>
      <x:c r="U469" s="99"/>
      <x:c r="V469" s="99"/>
      <x:c r="W469" s="99"/>
      <x:c r="X469" s="99"/>
      <x:c r="Y469" s="99"/>
      <x:c r="Z469" s="99"/>
    </x:row>
    <x:row r="470">
      <x:c r="A470" s="99"/>
      <x:c r="B470" s="99"/>
      <x:c r="C470" s="99"/>
      <x:c r="D470" s="99"/>
      <x:c r="E470" s="99"/>
      <x:c r="F470" s="99"/>
      <x:c r="G470" s="99"/>
      <x:c r="H470" s="99"/>
      <x:c r="I470" s="99"/>
      <x:c r="J470" s="99"/>
      <x:c r="K470" s="99"/>
      <x:c r="L470" s="99"/>
      <x:c r="M470" s="99"/>
      <x:c r="N470" s="99"/>
      <x:c r="O470" s="99"/>
      <x:c r="P470" s="99"/>
      <x:c r="Q470" s="99"/>
      <x:c r="R470" s="99"/>
      <x:c r="S470" s="99"/>
      <x:c r="T470" s="99"/>
      <x:c r="U470" s="99"/>
      <x:c r="V470" s="99"/>
      <x:c r="W470" s="99"/>
      <x:c r="X470" s="99"/>
      <x:c r="Y470" s="99"/>
      <x:c r="Z470" s="99"/>
    </x:row>
    <x:row r="471">
      <x:c r="A471" s="99"/>
      <x:c r="B471" s="99"/>
      <x:c r="C471" s="99"/>
      <x:c r="D471" s="99"/>
      <x:c r="E471" s="99"/>
      <x:c r="F471" s="99"/>
      <x:c r="G471" s="99"/>
      <x:c r="H471" s="99"/>
      <x:c r="I471" s="99"/>
      <x:c r="J471" s="99"/>
      <x:c r="K471" s="99"/>
      <x:c r="L471" s="99"/>
      <x:c r="M471" s="99"/>
      <x:c r="N471" s="99"/>
      <x:c r="O471" s="99"/>
      <x:c r="P471" s="99"/>
      <x:c r="Q471" s="99"/>
      <x:c r="R471" s="99"/>
      <x:c r="S471" s="99"/>
      <x:c r="T471" s="99"/>
      <x:c r="U471" s="99"/>
      <x:c r="V471" s="99"/>
      <x:c r="W471" s="99"/>
      <x:c r="X471" s="99"/>
      <x:c r="Y471" s="99"/>
      <x:c r="Z471" s="99"/>
    </x:row>
    <x:row r="472">
      <x:c r="A472" s="99"/>
      <x:c r="B472" s="99"/>
      <x:c r="C472" s="99"/>
      <x:c r="D472" s="99"/>
      <x:c r="E472" s="99"/>
      <x:c r="F472" s="99"/>
      <x:c r="G472" s="99"/>
      <x:c r="H472" s="99"/>
      <x:c r="I472" s="99"/>
      <x:c r="J472" s="99"/>
      <x:c r="K472" s="99"/>
      <x:c r="L472" s="99"/>
      <x:c r="M472" s="99"/>
      <x:c r="N472" s="99"/>
      <x:c r="O472" s="99"/>
      <x:c r="P472" s="99"/>
      <x:c r="Q472" s="99"/>
      <x:c r="R472" s="99"/>
      <x:c r="S472" s="99"/>
      <x:c r="T472" s="99"/>
      <x:c r="U472" s="99"/>
      <x:c r="V472" s="99"/>
      <x:c r="W472" s="99"/>
      <x:c r="X472" s="99"/>
      <x:c r="Y472" s="99"/>
      <x:c r="Z472" s="99"/>
    </x:row>
    <x:row r="473">
      <x:c r="A473" s="99"/>
      <x:c r="B473" s="99"/>
      <x:c r="C473" s="99"/>
      <x:c r="D473" s="99"/>
      <x:c r="E473" s="99"/>
      <x:c r="F473" s="99"/>
      <x:c r="G473" s="99"/>
      <x:c r="H473" s="99"/>
      <x:c r="I473" s="99"/>
      <x:c r="J473" s="99"/>
      <x:c r="K473" s="99"/>
      <x:c r="L473" s="99"/>
      <x:c r="M473" s="99"/>
      <x:c r="N473" s="99"/>
      <x:c r="O473" s="99"/>
      <x:c r="P473" s="99"/>
      <x:c r="Q473" s="99"/>
      <x:c r="R473" s="99"/>
      <x:c r="S473" s="99"/>
      <x:c r="T473" s="99"/>
      <x:c r="U473" s="99"/>
      <x:c r="V473" s="99"/>
      <x:c r="W473" s="99"/>
      <x:c r="X473" s="99"/>
      <x:c r="Y473" s="99"/>
      <x:c r="Z473" s="99"/>
    </x:row>
    <x:row r="474">
      <x:c r="A474" s="99"/>
      <x:c r="B474" s="99"/>
      <x:c r="C474" s="99"/>
      <x:c r="D474" s="99"/>
      <x:c r="E474" s="99"/>
      <x:c r="F474" s="99"/>
      <x:c r="G474" s="99"/>
      <x:c r="H474" s="99"/>
      <x:c r="I474" s="99"/>
      <x:c r="J474" s="99"/>
      <x:c r="K474" s="99"/>
      <x:c r="L474" s="99"/>
      <x:c r="M474" s="99"/>
      <x:c r="N474" s="99"/>
      <x:c r="O474" s="99"/>
      <x:c r="P474" s="99"/>
      <x:c r="Q474" s="99"/>
      <x:c r="R474" s="99"/>
      <x:c r="S474" s="99"/>
      <x:c r="T474" s="99"/>
      <x:c r="U474" s="99"/>
      <x:c r="V474" s="99"/>
      <x:c r="W474" s="99"/>
      <x:c r="X474" s="99"/>
      <x:c r="Y474" s="99"/>
      <x:c r="Z474" s="99"/>
    </x:row>
    <x:row r="475">
      <x:c r="A475" s="99"/>
      <x:c r="B475" s="99"/>
      <x:c r="C475" s="99"/>
      <x:c r="D475" s="99"/>
      <x:c r="E475" s="99"/>
      <x:c r="F475" s="99"/>
      <x:c r="G475" s="99"/>
      <x:c r="H475" s="99"/>
      <x:c r="I475" s="99"/>
      <x:c r="J475" s="99"/>
      <x:c r="K475" s="99"/>
      <x:c r="L475" s="99"/>
      <x:c r="M475" s="99"/>
      <x:c r="N475" s="99"/>
      <x:c r="O475" s="99"/>
      <x:c r="P475" s="99"/>
      <x:c r="Q475" s="99"/>
      <x:c r="R475" s="99"/>
      <x:c r="S475" s="99"/>
      <x:c r="T475" s="99"/>
      <x:c r="U475" s="99"/>
      <x:c r="V475" s="99"/>
      <x:c r="W475" s="99"/>
      <x:c r="X475" s="99"/>
      <x:c r="Y475" s="99"/>
      <x:c r="Z475" s="99"/>
    </x:row>
    <x:row r="476">
      <x:c r="A476" s="99"/>
      <x:c r="B476" s="99"/>
      <x:c r="C476" s="99"/>
      <x:c r="D476" s="99"/>
      <x:c r="E476" s="99"/>
      <x:c r="F476" s="99"/>
      <x:c r="G476" s="99"/>
      <x:c r="H476" s="99"/>
      <x:c r="I476" s="99"/>
      <x:c r="J476" s="99"/>
      <x:c r="K476" s="99"/>
      <x:c r="L476" s="99"/>
      <x:c r="M476" s="99"/>
      <x:c r="N476" s="99"/>
      <x:c r="O476" s="99"/>
      <x:c r="P476" s="99"/>
      <x:c r="Q476" s="99"/>
      <x:c r="R476" s="99"/>
      <x:c r="S476" s="99"/>
      <x:c r="T476" s="99"/>
      <x:c r="U476" s="99"/>
      <x:c r="V476" s="99"/>
      <x:c r="W476" s="99"/>
      <x:c r="X476" s="99"/>
      <x:c r="Y476" s="99"/>
      <x:c r="Z476" s="99"/>
    </x:row>
    <x:row r="477">
      <x:c r="A477" s="99"/>
      <x:c r="B477" s="99"/>
      <x:c r="C477" s="99"/>
      <x:c r="D477" s="99"/>
      <x:c r="E477" s="99"/>
      <x:c r="F477" s="99"/>
      <x:c r="G477" s="99"/>
      <x:c r="H477" s="99"/>
      <x:c r="I477" s="99"/>
      <x:c r="J477" s="99"/>
      <x:c r="K477" s="99"/>
      <x:c r="L477" s="99"/>
      <x:c r="M477" s="99"/>
      <x:c r="N477" s="99"/>
      <x:c r="O477" s="99"/>
      <x:c r="P477" s="99"/>
      <x:c r="Q477" s="99"/>
      <x:c r="R477" s="99"/>
      <x:c r="S477" s="99"/>
      <x:c r="T477" s="99"/>
      <x:c r="U477" s="99"/>
      <x:c r="V477" s="99"/>
      <x:c r="W477" s="99"/>
      <x:c r="X477" s="99"/>
      <x:c r="Y477" s="99"/>
      <x:c r="Z477" s="99"/>
    </x:row>
    <x:row r="478">
      <x:c r="A478" s="99"/>
      <x:c r="B478" s="99"/>
      <x:c r="C478" s="99"/>
      <x:c r="D478" s="99"/>
      <x:c r="E478" s="99"/>
      <x:c r="F478" s="99"/>
      <x:c r="G478" s="99"/>
      <x:c r="H478" s="99"/>
      <x:c r="I478" s="99"/>
      <x:c r="J478" s="99"/>
      <x:c r="K478" s="99"/>
      <x:c r="L478" s="99"/>
      <x:c r="M478" s="99"/>
      <x:c r="N478" s="99"/>
      <x:c r="O478" s="99"/>
      <x:c r="P478" s="99"/>
      <x:c r="Q478" s="99"/>
      <x:c r="R478" s="99"/>
      <x:c r="S478" s="99"/>
      <x:c r="T478" s="99"/>
      <x:c r="U478" s="99"/>
      <x:c r="V478" s="99"/>
      <x:c r="W478" s="99"/>
      <x:c r="X478" s="99"/>
      <x:c r="Y478" s="99"/>
      <x:c r="Z478" s="99"/>
    </x:row>
    <x:row r="479">
      <x:c r="A479" s="99"/>
      <x:c r="B479" s="99"/>
      <x:c r="C479" s="99"/>
      <x:c r="D479" s="99"/>
      <x:c r="E479" s="99"/>
      <x:c r="F479" s="99"/>
      <x:c r="G479" s="99"/>
      <x:c r="H479" s="99"/>
      <x:c r="I479" s="99"/>
      <x:c r="J479" s="99"/>
      <x:c r="K479" s="99"/>
      <x:c r="L479" s="99"/>
      <x:c r="M479" s="99"/>
      <x:c r="N479" s="99"/>
      <x:c r="O479" s="99"/>
      <x:c r="P479" s="99"/>
      <x:c r="Q479" s="99"/>
      <x:c r="R479" s="99"/>
      <x:c r="S479" s="99"/>
      <x:c r="T479" s="99"/>
      <x:c r="U479" s="99"/>
      <x:c r="V479" s="99"/>
      <x:c r="W479" s="99"/>
      <x:c r="X479" s="99"/>
      <x:c r="Y479" s="99"/>
      <x:c r="Z479" s="99"/>
    </x:row>
    <x:row r="480">
      <x:c r="A480" s="99"/>
      <x:c r="B480" s="99"/>
      <x:c r="C480" s="99"/>
      <x:c r="D480" s="99"/>
      <x:c r="E480" s="99"/>
      <x:c r="F480" s="99"/>
      <x:c r="G480" s="99"/>
      <x:c r="H480" s="99"/>
      <x:c r="I480" s="99"/>
      <x:c r="J480" s="99"/>
      <x:c r="K480" s="99"/>
      <x:c r="L480" s="99"/>
      <x:c r="M480" s="99"/>
      <x:c r="N480" s="99"/>
      <x:c r="O480" s="99"/>
      <x:c r="P480" s="99"/>
      <x:c r="Q480" s="99"/>
      <x:c r="R480" s="99"/>
      <x:c r="S480" s="99"/>
      <x:c r="T480" s="99"/>
      <x:c r="U480" s="99"/>
      <x:c r="V480" s="99"/>
      <x:c r="W480" s="99"/>
      <x:c r="X480" s="99"/>
      <x:c r="Y480" s="99"/>
      <x:c r="Z480" s="99"/>
    </x:row>
    <x:row r="481">
      <x:c r="A481" s="99"/>
      <x:c r="B481" s="99"/>
      <x:c r="C481" s="99"/>
      <x:c r="D481" s="99"/>
      <x:c r="E481" s="99"/>
      <x:c r="F481" s="99"/>
      <x:c r="G481" s="99"/>
      <x:c r="H481" s="99"/>
      <x:c r="I481" s="99"/>
      <x:c r="J481" s="99"/>
      <x:c r="K481" s="99"/>
      <x:c r="L481" s="99"/>
      <x:c r="M481" s="99"/>
      <x:c r="N481" s="99"/>
      <x:c r="O481" s="99"/>
      <x:c r="P481" s="99"/>
      <x:c r="Q481" s="99"/>
      <x:c r="R481" s="99"/>
      <x:c r="S481" s="99"/>
      <x:c r="T481" s="99"/>
      <x:c r="U481" s="99"/>
      <x:c r="V481" s="99"/>
      <x:c r="W481" s="99"/>
      <x:c r="X481" s="99"/>
      <x:c r="Y481" s="99"/>
      <x:c r="Z481" s="99"/>
    </x:row>
    <x:row r="482">
      <x:c r="A482" s="99"/>
      <x:c r="B482" s="99"/>
      <x:c r="C482" s="99"/>
      <x:c r="D482" s="99"/>
      <x:c r="E482" s="99"/>
      <x:c r="F482" s="99"/>
      <x:c r="G482" s="99"/>
      <x:c r="H482" s="99"/>
      <x:c r="I482" s="99"/>
      <x:c r="J482" s="99"/>
      <x:c r="K482" s="99"/>
      <x:c r="L482" s="99"/>
      <x:c r="M482" s="99"/>
      <x:c r="N482" s="99"/>
      <x:c r="O482" s="99"/>
      <x:c r="P482" s="99"/>
      <x:c r="Q482" s="99"/>
      <x:c r="R482" s="99"/>
      <x:c r="S482" s="99"/>
      <x:c r="T482" s="99"/>
      <x:c r="U482" s="99"/>
      <x:c r="V482" s="99"/>
      <x:c r="W482" s="99"/>
      <x:c r="X482" s="99"/>
      <x:c r="Y482" s="99"/>
      <x:c r="Z482" s="99"/>
    </x:row>
    <x:row r="483">
      <x:c r="A483" s="99"/>
      <x:c r="B483" s="99"/>
      <x:c r="C483" s="99"/>
      <x:c r="D483" s="99"/>
      <x:c r="E483" s="99"/>
      <x:c r="F483" s="99"/>
      <x:c r="G483" s="99"/>
      <x:c r="H483" s="99"/>
      <x:c r="I483" s="99"/>
      <x:c r="J483" s="99"/>
      <x:c r="K483" s="99"/>
      <x:c r="L483" s="99"/>
      <x:c r="M483" s="99"/>
      <x:c r="N483" s="99"/>
      <x:c r="O483" s="99"/>
      <x:c r="P483" s="99"/>
      <x:c r="Q483" s="99"/>
      <x:c r="R483" s="99"/>
      <x:c r="S483" s="99"/>
      <x:c r="T483" s="99"/>
      <x:c r="U483" s="99"/>
      <x:c r="V483" s="99"/>
      <x:c r="W483" s="99"/>
      <x:c r="X483" s="99"/>
      <x:c r="Y483" s="99"/>
      <x:c r="Z483" s="99"/>
    </x:row>
    <x:row r="484">
      <x:c r="A484" s="99"/>
      <x:c r="B484" s="99"/>
      <x:c r="C484" s="99"/>
      <x:c r="D484" s="99"/>
      <x:c r="E484" s="99"/>
      <x:c r="F484" s="99"/>
      <x:c r="G484" s="99"/>
      <x:c r="H484" s="99"/>
      <x:c r="I484" s="99"/>
      <x:c r="J484" s="99"/>
      <x:c r="K484" s="99"/>
      <x:c r="L484" s="99"/>
      <x:c r="M484" s="99"/>
      <x:c r="N484" s="99"/>
      <x:c r="O484" s="99"/>
      <x:c r="P484" s="99"/>
      <x:c r="Q484" s="99"/>
      <x:c r="R484" s="99"/>
      <x:c r="S484" s="99"/>
      <x:c r="T484" s="99"/>
      <x:c r="U484" s="99"/>
      <x:c r="V484" s="99"/>
      <x:c r="W484" s="99"/>
      <x:c r="X484" s="99"/>
      <x:c r="Y484" s="99"/>
      <x:c r="Z484" s="99"/>
    </x:row>
    <x:row r="485">
      <x:c r="A485" s="99"/>
      <x:c r="B485" s="99"/>
      <x:c r="C485" s="99"/>
      <x:c r="D485" s="99"/>
      <x:c r="E485" s="99"/>
      <x:c r="F485" s="99"/>
      <x:c r="G485" s="99"/>
      <x:c r="H485" s="99"/>
      <x:c r="I485" s="99"/>
      <x:c r="J485" s="99"/>
      <x:c r="K485" s="99"/>
      <x:c r="L485" s="99"/>
      <x:c r="M485" s="99"/>
      <x:c r="N485" s="99"/>
      <x:c r="O485" s="99"/>
      <x:c r="P485" s="99"/>
      <x:c r="Q485" s="99"/>
      <x:c r="R485" s="99"/>
      <x:c r="S485" s="99"/>
      <x:c r="T485" s="99"/>
      <x:c r="U485" s="99"/>
      <x:c r="V485" s="99"/>
      <x:c r="W485" s="99"/>
      <x:c r="X485" s="99"/>
      <x:c r="Y485" s="99"/>
      <x:c r="Z485" s="99"/>
    </x:row>
    <x:row r="486">
      <x:c r="A486" s="99"/>
      <x:c r="B486" s="99"/>
      <x:c r="C486" s="99"/>
      <x:c r="D486" s="99"/>
      <x:c r="E486" s="99"/>
      <x:c r="F486" s="99"/>
      <x:c r="G486" s="99"/>
      <x:c r="H486" s="99"/>
      <x:c r="I486" s="99"/>
      <x:c r="J486" s="99"/>
      <x:c r="K486" s="99"/>
      <x:c r="L486" s="99"/>
      <x:c r="M486" s="99"/>
      <x:c r="N486" s="99"/>
      <x:c r="O486" s="99"/>
      <x:c r="P486" s="99"/>
      <x:c r="Q486" s="99"/>
      <x:c r="R486" s="99"/>
      <x:c r="S486" s="99"/>
      <x:c r="T486" s="99"/>
      <x:c r="U486" s="99"/>
      <x:c r="V486" s="99"/>
      <x:c r="W486" s="99"/>
      <x:c r="X486" s="99"/>
      <x:c r="Y486" s="99"/>
      <x:c r="Z486" s="99"/>
    </x:row>
    <x:row r="487">
      <x:c r="A487" s="99"/>
      <x:c r="B487" s="99"/>
      <x:c r="C487" s="99"/>
      <x:c r="D487" s="99"/>
      <x:c r="E487" s="99"/>
      <x:c r="F487" s="99"/>
      <x:c r="G487" s="99"/>
      <x:c r="H487" s="99"/>
      <x:c r="I487" s="99"/>
      <x:c r="J487" s="99"/>
      <x:c r="K487" s="99"/>
      <x:c r="L487" s="99"/>
      <x:c r="M487" s="99"/>
      <x:c r="N487" s="99"/>
      <x:c r="O487" s="99"/>
      <x:c r="P487" s="99"/>
      <x:c r="Q487" s="99"/>
      <x:c r="R487" s="99"/>
      <x:c r="S487" s="99"/>
      <x:c r="T487" s="99"/>
      <x:c r="U487" s="99"/>
      <x:c r="V487" s="99"/>
      <x:c r="W487" s="99"/>
      <x:c r="X487" s="99"/>
      <x:c r="Y487" s="99"/>
      <x:c r="Z487" s="99"/>
    </x:row>
    <x:row r="488">
      <x:c r="A488" s="99"/>
      <x:c r="B488" s="99"/>
      <x:c r="C488" s="99"/>
      <x:c r="D488" s="99"/>
      <x:c r="E488" s="99"/>
      <x:c r="F488" s="99"/>
      <x:c r="G488" s="99"/>
      <x:c r="H488" s="99"/>
      <x:c r="I488" s="99"/>
      <x:c r="J488" s="99"/>
      <x:c r="K488" s="99"/>
      <x:c r="L488" s="99"/>
      <x:c r="M488" s="99"/>
      <x:c r="N488" s="99"/>
      <x:c r="O488" s="99"/>
      <x:c r="P488" s="99"/>
      <x:c r="Q488" s="99"/>
      <x:c r="R488" s="99"/>
      <x:c r="S488" s="99"/>
      <x:c r="T488" s="99"/>
      <x:c r="U488" s="99"/>
      <x:c r="V488" s="99"/>
      <x:c r="W488" s="99"/>
      <x:c r="X488" s="99"/>
      <x:c r="Y488" s="99"/>
      <x:c r="Z488" s="99"/>
    </x:row>
    <x:row r="489">
      <x:c r="A489" s="99"/>
      <x:c r="B489" s="99"/>
      <x:c r="C489" s="99"/>
      <x:c r="D489" s="99"/>
      <x:c r="E489" s="99"/>
      <x:c r="F489" s="99"/>
      <x:c r="G489" s="99"/>
      <x:c r="H489" s="99"/>
      <x:c r="I489" s="99"/>
      <x:c r="J489" s="99"/>
      <x:c r="K489" s="99"/>
      <x:c r="L489" s="99"/>
      <x:c r="M489" s="99"/>
      <x:c r="N489" s="99"/>
      <x:c r="O489" s="99"/>
      <x:c r="P489" s="99"/>
      <x:c r="Q489" s="99"/>
      <x:c r="R489" s="99"/>
      <x:c r="S489" s="99"/>
      <x:c r="T489" s="99"/>
      <x:c r="U489" s="99"/>
      <x:c r="V489" s="99"/>
      <x:c r="W489" s="99"/>
      <x:c r="X489" s="99"/>
      <x:c r="Y489" s="99"/>
      <x:c r="Z489" s="99"/>
    </x:row>
    <x:row r="490">
      <x:c r="A490" s="99"/>
      <x:c r="B490" s="99"/>
      <x:c r="C490" s="99"/>
      <x:c r="D490" s="99"/>
      <x:c r="E490" s="99"/>
      <x:c r="F490" s="99"/>
      <x:c r="G490" s="99"/>
      <x:c r="H490" s="99"/>
      <x:c r="I490" s="99"/>
      <x:c r="J490" s="99"/>
      <x:c r="K490" s="99"/>
      <x:c r="L490" s="99"/>
      <x:c r="M490" s="99"/>
      <x:c r="N490" s="99"/>
      <x:c r="O490" s="99"/>
      <x:c r="P490" s="99"/>
      <x:c r="Q490" s="99"/>
      <x:c r="R490" s="99"/>
      <x:c r="S490" s="99"/>
      <x:c r="T490" s="99"/>
      <x:c r="U490" s="99"/>
      <x:c r="V490" s="99"/>
      <x:c r="W490" s="99"/>
      <x:c r="X490" s="99"/>
      <x:c r="Y490" s="99"/>
      <x:c r="Z490" s="99"/>
    </x:row>
    <x:row r="491">
      <x:c r="A491" s="99"/>
      <x:c r="B491" s="99"/>
      <x:c r="C491" s="99"/>
      <x:c r="D491" s="99"/>
      <x:c r="E491" s="99"/>
      <x:c r="F491" s="99"/>
      <x:c r="G491" s="99"/>
      <x:c r="H491" s="99"/>
      <x:c r="I491" s="99"/>
      <x:c r="J491" s="99"/>
      <x:c r="K491" s="99"/>
      <x:c r="L491" s="99"/>
      <x:c r="M491" s="99"/>
      <x:c r="N491" s="99"/>
      <x:c r="O491" s="99"/>
      <x:c r="P491" s="99"/>
      <x:c r="Q491" s="99"/>
      <x:c r="R491" s="99"/>
      <x:c r="S491" s="99"/>
      <x:c r="T491" s="99"/>
      <x:c r="U491" s="99"/>
      <x:c r="V491" s="99"/>
      <x:c r="W491" s="99"/>
      <x:c r="X491" s="99"/>
      <x:c r="Y491" s="99"/>
      <x:c r="Z491" s="99"/>
    </x:row>
    <x:row r="492">
      <x:c r="A492" s="99"/>
      <x:c r="B492" s="99"/>
      <x:c r="C492" s="99"/>
      <x:c r="D492" s="99"/>
      <x:c r="E492" s="99"/>
      <x:c r="F492" s="99"/>
      <x:c r="G492" s="99"/>
      <x:c r="H492" s="99"/>
      <x:c r="I492" s="99"/>
      <x:c r="J492" s="99"/>
      <x:c r="K492" s="99"/>
      <x:c r="L492" s="99"/>
      <x:c r="M492" s="99"/>
      <x:c r="N492" s="99"/>
      <x:c r="O492" s="99"/>
      <x:c r="P492" s="99"/>
      <x:c r="Q492" s="99"/>
      <x:c r="R492" s="99"/>
      <x:c r="S492" s="99"/>
      <x:c r="T492" s="99"/>
      <x:c r="U492" s="99"/>
      <x:c r="V492" s="99"/>
      <x:c r="W492" s="99"/>
      <x:c r="X492" s="99"/>
      <x:c r="Y492" s="99"/>
      <x:c r="Z492" s="99"/>
    </x:row>
    <x:row r="493">
      <x:c r="A493" s="99"/>
      <x:c r="B493" s="99"/>
      <x:c r="C493" s="99"/>
      <x:c r="D493" s="99"/>
      <x:c r="E493" s="99"/>
      <x:c r="F493" s="99"/>
      <x:c r="G493" s="99"/>
      <x:c r="H493" s="99"/>
      <x:c r="I493" s="99"/>
      <x:c r="J493" s="99"/>
      <x:c r="K493" s="99"/>
      <x:c r="L493" s="99"/>
      <x:c r="M493" s="99"/>
      <x:c r="N493" s="99"/>
      <x:c r="O493" s="99"/>
      <x:c r="P493" s="99"/>
      <x:c r="Q493" s="99"/>
      <x:c r="R493" s="99"/>
      <x:c r="S493" s="99"/>
      <x:c r="T493" s="99"/>
      <x:c r="U493" s="99"/>
      <x:c r="V493" s="99"/>
      <x:c r="W493" s="99"/>
      <x:c r="X493" s="99"/>
      <x:c r="Y493" s="99"/>
      <x:c r="Z493" s="99"/>
    </x:row>
    <x:row r="494">
      <x:c r="A494" s="99"/>
      <x:c r="B494" s="99"/>
      <x:c r="C494" s="99"/>
      <x:c r="D494" s="99"/>
      <x:c r="E494" s="99"/>
      <x:c r="F494" s="99"/>
      <x:c r="G494" s="99"/>
      <x:c r="H494" s="99"/>
      <x:c r="I494" s="99"/>
      <x:c r="J494" s="99"/>
      <x:c r="K494" s="99"/>
      <x:c r="L494" s="99"/>
      <x:c r="M494" s="99"/>
      <x:c r="N494" s="99"/>
      <x:c r="O494" s="99"/>
      <x:c r="P494" s="99"/>
      <x:c r="Q494" s="99"/>
      <x:c r="R494" s="99"/>
      <x:c r="S494" s="99"/>
      <x:c r="T494" s="99"/>
      <x:c r="U494" s="99"/>
      <x:c r="V494" s="99"/>
      <x:c r="W494" s="99"/>
      <x:c r="X494" s="99"/>
      <x:c r="Y494" s="99"/>
      <x:c r="Z494" s="99"/>
    </x:row>
    <x:row r="495">
      <x:c r="A495" s="99"/>
      <x:c r="B495" s="99"/>
      <x:c r="C495" s="99"/>
      <x:c r="D495" s="99"/>
      <x:c r="E495" s="99"/>
      <x:c r="F495" s="99"/>
      <x:c r="G495" s="99"/>
      <x:c r="H495" s="99"/>
      <x:c r="I495" s="99"/>
      <x:c r="J495" s="99"/>
      <x:c r="K495" s="99"/>
      <x:c r="L495" s="99"/>
      <x:c r="M495" s="99"/>
      <x:c r="N495" s="99"/>
      <x:c r="O495" s="99"/>
      <x:c r="P495" s="99"/>
      <x:c r="Q495" s="99"/>
      <x:c r="R495" s="99"/>
      <x:c r="S495" s="99"/>
      <x:c r="T495" s="99"/>
      <x:c r="U495" s="99"/>
      <x:c r="V495" s="99"/>
      <x:c r="W495" s="99"/>
      <x:c r="X495" s="99"/>
      <x:c r="Y495" s="99"/>
      <x:c r="Z495" s="99"/>
    </x:row>
    <x:row r="496">
      <x:c r="A496" s="99"/>
      <x:c r="B496" s="99"/>
      <x:c r="C496" s="99"/>
      <x:c r="D496" s="99"/>
      <x:c r="E496" s="99"/>
      <x:c r="F496" s="99"/>
      <x:c r="G496" s="99"/>
      <x:c r="H496" s="99"/>
      <x:c r="I496" s="99"/>
      <x:c r="J496" s="99"/>
      <x:c r="K496" s="99"/>
      <x:c r="L496" s="99"/>
      <x:c r="M496" s="99"/>
      <x:c r="N496" s="99"/>
      <x:c r="O496" s="99"/>
      <x:c r="P496" s="99"/>
      <x:c r="Q496" s="99"/>
      <x:c r="R496" s="99"/>
      <x:c r="S496" s="99"/>
      <x:c r="T496" s="99"/>
      <x:c r="U496" s="99"/>
      <x:c r="V496" s="99"/>
      <x:c r="W496" s="99"/>
      <x:c r="X496" s="99"/>
      <x:c r="Y496" s="99"/>
      <x:c r="Z496" s="99"/>
    </x:row>
    <x:row r="497">
      <x:c r="A497" s="99"/>
      <x:c r="B497" s="99"/>
      <x:c r="C497" s="99"/>
      <x:c r="D497" s="99"/>
      <x:c r="E497" s="99"/>
      <x:c r="F497" s="99"/>
      <x:c r="G497" s="99"/>
      <x:c r="H497" s="99"/>
      <x:c r="I497" s="99"/>
      <x:c r="J497" s="99"/>
      <x:c r="K497" s="99"/>
      <x:c r="L497" s="99"/>
      <x:c r="M497" s="99"/>
      <x:c r="N497" s="99"/>
      <x:c r="O497" s="99"/>
      <x:c r="P497" s="99"/>
      <x:c r="Q497" s="99"/>
      <x:c r="R497" s="99"/>
      <x:c r="S497" s="99"/>
      <x:c r="T497" s="99"/>
      <x:c r="U497" s="99"/>
      <x:c r="V497" s="99"/>
      <x:c r="W497" s="99"/>
      <x:c r="X497" s="99"/>
      <x:c r="Y497" s="99"/>
      <x:c r="Z497" s="99"/>
    </x:row>
    <x:row r="498">
      <x:c r="A498" s="99"/>
      <x:c r="B498" s="99"/>
      <x:c r="C498" s="99"/>
      <x:c r="D498" s="99"/>
      <x:c r="E498" s="99"/>
      <x:c r="F498" s="99"/>
      <x:c r="G498" s="99"/>
      <x:c r="H498" s="99"/>
      <x:c r="I498" s="99"/>
      <x:c r="J498" s="99"/>
      <x:c r="K498" s="99"/>
      <x:c r="L498" s="99"/>
      <x:c r="M498" s="99"/>
      <x:c r="N498" s="99"/>
      <x:c r="O498" s="99"/>
      <x:c r="P498" s="99"/>
      <x:c r="Q498" s="99"/>
      <x:c r="R498" s="99"/>
      <x:c r="S498" s="99"/>
      <x:c r="T498" s="99"/>
      <x:c r="U498" s="99"/>
      <x:c r="V498" s="99"/>
      <x:c r="W498" s="99"/>
      <x:c r="X498" s="99"/>
      <x:c r="Y498" s="99"/>
      <x:c r="Z498" s="99"/>
    </x:row>
    <x:row r="499">
      <x:c r="A499" s="99"/>
      <x:c r="B499" s="99"/>
      <x:c r="C499" s="99"/>
      <x:c r="D499" s="99"/>
      <x:c r="E499" s="99"/>
      <x:c r="F499" s="99"/>
      <x:c r="G499" s="99"/>
      <x:c r="H499" s="99"/>
      <x:c r="I499" s="99"/>
      <x:c r="J499" s="99"/>
      <x:c r="K499" s="99"/>
      <x:c r="L499" s="99"/>
      <x:c r="M499" s="99"/>
      <x:c r="N499" s="99"/>
      <x:c r="O499" s="99"/>
      <x:c r="P499" s="99"/>
      <x:c r="Q499" s="99"/>
      <x:c r="R499" s="99"/>
      <x:c r="S499" s="99"/>
      <x:c r="T499" s="99"/>
      <x:c r="U499" s="99"/>
      <x:c r="V499" s="99"/>
      <x:c r="W499" s="99"/>
      <x:c r="X499" s="99"/>
      <x:c r="Y499" s="99"/>
      <x:c r="Z499" s="99"/>
    </x:row>
    <x:row r="500">
      <x:c r="A500" s="99"/>
      <x:c r="B500" s="99"/>
      <x:c r="C500" s="99"/>
      <x:c r="D500" s="99"/>
      <x:c r="E500" s="99"/>
      <x:c r="F500" s="99"/>
      <x:c r="G500" s="99"/>
      <x:c r="H500" s="99"/>
      <x:c r="I500" s="99"/>
      <x:c r="J500" s="99"/>
      <x:c r="K500" s="99"/>
      <x:c r="L500" s="99"/>
      <x:c r="M500" s="99"/>
      <x:c r="N500" s="99"/>
      <x:c r="O500" s="99"/>
      <x:c r="P500" s="99"/>
      <x:c r="Q500" s="99"/>
      <x:c r="R500" s="99"/>
      <x:c r="S500" s="99"/>
      <x:c r="T500" s="99"/>
      <x:c r="U500" s="99"/>
      <x:c r="V500" s="99"/>
      <x:c r="W500" s="99"/>
      <x:c r="X500" s="99"/>
      <x:c r="Y500" s="99"/>
      <x:c r="Z500" s="99"/>
    </x:row>
    <x:row r="501">
      <x:c r="A501" s="99"/>
      <x:c r="B501" s="99"/>
      <x:c r="C501" s="99"/>
      <x:c r="D501" s="99"/>
      <x:c r="E501" s="99"/>
      <x:c r="F501" s="99"/>
      <x:c r="G501" s="99"/>
      <x:c r="H501" s="99"/>
      <x:c r="I501" s="99"/>
      <x:c r="J501" s="99"/>
      <x:c r="K501" s="99"/>
      <x:c r="L501" s="99"/>
      <x:c r="M501" s="99"/>
      <x:c r="N501" s="99"/>
      <x:c r="O501" s="99"/>
      <x:c r="P501" s="99"/>
      <x:c r="Q501" s="99"/>
      <x:c r="R501" s="99"/>
      <x:c r="S501" s="99"/>
      <x:c r="T501" s="99"/>
      <x:c r="U501" s="99"/>
      <x:c r="V501" s="99"/>
      <x:c r="W501" s="99"/>
      <x:c r="X501" s="99"/>
      <x:c r="Y501" s="99"/>
      <x:c r="Z501" s="99"/>
    </x:row>
    <x:row r="502">
      <x:c r="A502" s="99"/>
      <x:c r="B502" s="99"/>
      <x:c r="C502" s="99"/>
      <x:c r="D502" s="99"/>
      <x:c r="E502" s="99"/>
      <x:c r="F502" s="99"/>
      <x:c r="G502" s="99"/>
      <x:c r="H502" s="99"/>
      <x:c r="I502" s="99"/>
      <x:c r="J502" s="99"/>
      <x:c r="K502" s="99"/>
      <x:c r="L502" s="99"/>
      <x:c r="M502" s="99"/>
      <x:c r="N502" s="99"/>
      <x:c r="O502" s="99"/>
      <x:c r="P502" s="99"/>
      <x:c r="Q502" s="99"/>
      <x:c r="R502" s="99"/>
      <x:c r="S502" s="99"/>
      <x:c r="T502" s="99"/>
      <x:c r="U502" s="99"/>
      <x:c r="V502" s="99"/>
      <x:c r="W502" s="99"/>
      <x:c r="X502" s="99"/>
      <x:c r="Y502" s="99"/>
      <x:c r="Z502" s="99"/>
    </x:row>
    <x:row r="503">
      <x:c r="A503" s="99"/>
      <x:c r="B503" s="99"/>
      <x:c r="C503" s="99"/>
      <x:c r="D503" s="99"/>
      <x:c r="E503" s="99"/>
      <x:c r="F503" s="99"/>
      <x:c r="G503" s="99"/>
      <x:c r="H503" s="99"/>
      <x:c r="I503" s="99"/>
      <x:c r="J503" s="99"/>
      <x:c r="K503" s="99"/>
      <x:c r="L503" s="99"/>
      <x:c r="M503" s="99"/>
      <x:c r="N503" s="99"/>
      <x:c r="O503" s="99"/>
      <x:c r="P503" s="99"/>
      <x:c r="Q503" s="99"/>
      <x:c r="R503" s="99"/>
      <x:c r="S503" s="99"/>
      <x:c r="T503" s="99"/>
      <x:c r="U503" s="99"/>
      <x:c r="V503" s="99"/>
      <x:c r="W503" s="99"/>
      <x:c r="X503" s="99"/>
      <x:c r="Y503" s="99"/>
      <x:c r="Z503" s="99"/>
    </x:row>
    <x:row r="504">
      <x:c r="A504" s="99"/>
      <x:c r="B504" s="99"/>
      <x:c r="C504" s="99"/>
      <x:c r="D504" s="99"/>
      <x:c r="E504" s="99"/>
      <x:c r="F504" s="99"/>
      <x:c r="G504" s="99"/>
      <x:c r="H504" s="99"/>
      <x:c r="I504" s="99"/>
      <x:c r="J504" s="99"/>
      <x:c r="K504" s="99"/>
      <x:c r="L504" s="99"/>
      <x:c r="M504" s="99"/>
      <x:c r="N504" s="99"/>
      <x:c r="O504" s="99"/>
      <x:c r="P504" s="99"/>
      <x:c r="Q504" s="99"/>
      <x:c r="R504" s="99"/>
      <x:c r="S504" s="99"/>
      <x:c r="T504" s="99"/>
      <x:c r="U504" s="99"/>
      <x:c r="V504" s="99"/>
      <x:c r="W504" s="99"/>
      <x:c r="X504" s="99"/>
      <x:c r="Y504" s="99"/>
      <x:c r="Z504" s="99"/>
    </x:row>
    <x:row r="505">
      <x:c r="A505" s="99"/>
      <x:c r="B505" s="99"/>
      <x:c r="C505" s="99"/>
      <x:c r="D505" s="99"/>
      <x:c r="E505" s="99"/>
      <x:c r="F505" s="99"/>
      <x:c r="G505" s="99"/>
      <x:c r="H505" s="99"/>
      <x:c r="I505" s="99"/>
      <x:c r="J505" s="99"/>
      <x:c r="K505" s="99"/>
      <x:c r="L505" s="99"/>
      <x:c r="M505" s="99"/>
      <x:c r="N505" s="99"/>
      <x:c r="O505" s="99"/>
      <x:c r="P505" s="99"/>
      <x:c r="Q505" s="99"/>
      <x:c r="R505" s="99"/>
      <x:c r="S505" s="99"/>
      <x:c r="T505" s="99"/>
      <x:c r="U505" s="99"/>
      <x:c r="V505" s="99"/>
      <x:c r="W505" s="99"/>
      <x:c r="X505" s="99"/>
      <x:c r="Y505" s="99"/>
      <x:c r="Z505" s="99"/>
    </x:row>
    <x:row r="506">
      <x:c r="A506" s="99"/>
      <x:c r="B506" s="99"/>
      <x:c r="C506" s="99"/>
      <x:c r="D506" s="99"/>
      <x:c r="E506" s="99"/>
      <x:c r="F506" s="99"/>
      <x:c r="G506" s="99"/>
      <x:c r="H506" s="99"/>
      <x:c r="I506" s="99"/>
      <x:c r="J506" s="99"/>
      <x:c r="K506" s="99"/>
      <x:c r="L506" s="99"/>
      <x:c r="M506" s="99"/>
      <x:c r="N506" s="99"/>
      <x:c r="O506" s="99"/>
      <x:c r="P506" s="99"/>
      <x:c r="Q506" s="99"/>
      <x:c r="R506" s="99"/>
      <x:c r="S506" s="99"/>
      <x:c r="T506" s="99"/>
      <x:c r="U506" s="99"/>
      <x:c r="V506" s="99"/>
      <x:c r="W506" s="99"/>
      <x:c r="X506" s="99"/>
      <x:c r="Y506" s="99"/>
      <x:c r="Z506" s="99"/>
    </x:row>
    <x:row r="507">
      <x:c r="A507" s="99"/>
      <x:c r="B507" s="99"/>
      <x:c r="C507" s="99"/>
      <x:c r="D507" s="99"/>
      <x:c r="E507" s="99"/>
      <x:c r="F507" s="99"/>
      <x:c r="G507" s="99"/>
      <x:c r="H507" s="99"/>
      <x:c r="I507" s="99"/>
      <x:c r="J507" s="99"/>
      <x:c r="K507" s="99"/>
      <x:c r="L507" s="99"/>
      <x:c r="M507" s="99"/>
      <x:c r="N507" s="99"/>
      <x:c r="O507" s="99"/>
      <x:c r="P507" s="99"/>
      <x:c r="Q507" s="99"/>
      <x:c r="R507" s="99"/>
      <x:c r="S507" s="99"/>
      <x:c r="T507" s="99"/>
      <x:c r="U507" s="99"/>
      <x:c r="V507" s="99"/>
      <x:c r="W507" s="99"/>
      <x:c r="X507" s="99"/>
      <x:c r="Y507" s="99"/>
      <x:c r="Z507" s="99"/>
    </x:row>
    <x:row r="508">
      <x:c r="A508" s="99"/>
      <x:c r="B508" s="99"/>
      <x:c r="C508" s="99"/>
      <x:c r="D508" s="99"/>
      <x:c r="E508" s="99"/>
      <x:c r="F508" s="99"/>
      <x:c r="G508" s="99"/>
      <x:c r="H508" s="99"/>
      <x:c r="I508" s="99"/>
      <x:c r="J508" s="99"/>
      <x:c r="K508" s="99"/>
      <x:c r="L508" s="99"/>
      <x:c r="M508" s="99"/>
      <x:c r="N508" s="99"/>
      <x:c r="O508" s="99"/>
      <x:c r="P508" s="99"/>
      <x:c r="Q508" s="99"/>
      <x:c r="R508" s="99"/>
      <x:c r="S508" s="99"/>
      <x:c r="T508" s="99"/>
      <x:c r="U508" s="99"/>
      <x:c r="V508" s="99"/>
      <x:c r="W508" s="99"/>
      <x:c r="X508" s="99"/>
      <x:c r="Y508" s="99"/>
      <x:c r="Z508" s="99"/>
    </x:row>
    <x:row r="509">
      <x:c r="A509" s="99"/>
      <x:c r="B509" s="99"/>
      <x:c r="C509" s="99"/>
      <x:c r="D509" s="99"/>
      <x:c r="E509" s="99"/>
      <x:c r="F509" s="99"/>
      <x:c r="G509" s="99"/>
      <x:c r="H509" s="99"/>
      <x:c r="I509" s="99"/>
      <x:c r="J509" s="99"/>
      <x:c r="K509" s="99"/>
      <x:c r="L509" s="99"/>
      <x:c r="M509" s="99"/>
      <x:c r="N509" s="99"/>
      <x:c r="O509" s="99"/>
      <x:c r="P509" s="99"/>
      <x:c r="Q509" s="99"/>
      <x:c r="R509" s="99"/>
      <x:c r="S509" s="99"/>
      <x:c r="T509" s="99"/>
      <x:c r="U509" s="99"/>
      <x:c r="V509" s="99"/>
      <x:c r="W509" s="99"/>
      <x:c r="X509" s="99"/>
      <x:c r="Y509" s="99"/>
      <x:c r="Z509" s="99"/>
    </x:row>
    <x:row r="510">
      <x:c r="A510" s="99"/>
      <x:c r="B510" s="99"/>
      <x:c r="C510" s="99"/>
      <x:c r="D510" s="99"/>
      <x:c r="E510" s="99"/>
      <x:c r="F510" s="99"/>
      <x:c r="G510" s="99"/>
      <x:c r="H510" s="99"/>
      <x:c r="I510" s="99"/>
      <x:c r="J510" s="99"/>
      <x:c r="K510" s="99"/>
      <x:c r="L510" s="99"/>
      <x:c r="M510" s="99"/>
      <x:c r="N510" s="99"/>
      <x:c r="O510" s="99"/>
      <x:c r="P510" s="99"/>
      <x:c r="Q510" s="99"/>
      <x:c r="R510" s="99"/>
      <x:c r="S510" s="99"/>
      <x:c r="T510" s="99"/>
      <x:c r="U510" s="99"/>
      <x:c r="V510" s="99"/>
      <x:c r="W510" s="99"/>
      <x:c r="X510" s="99"/>
      <x:c r="Y510" s="99"/>
      <x:c r="Z510" s="99"/>
    </x:row>
    <x:row r="511">
      <x:c r="A511" s="99"/>
      <x:c r="B511" s="99"/>
      <x:c r="C511" s="99"/>
      <x:c r="D511" s="99"/>
      <x:c r="E511" s="99"/>
      <x:c r="F511" s="99"/>
      <x:c r="G511" s="99"/>
      <x:c r="H511" s="99"/>
      <x:c r="I511" s="99"/>
      <x:c r="J511" s="99"/>
      <x:c r="K511" s="99"/>
      <x:c r="L511" s="99"/>
      <x:c r="M511" s="99"/>
      <x:c r="N511" s="99"/>
      <x:c r="O511" s="99"/>
      <x:c r="P511" s="99"/>
      <x:c r="Q511" s="99"/>
      <x:c r="R511" s="99"/>
      <x:c r="S511" s="99"/>
      <x:c r="T511" s="99"/>
      <x:c r="U511" s="99"/>
      <x:c r="V511" s="99"/>
      <x:c r="W511" s="99"/>
      <x:c r="X511" s="99"/>
      <x:c r="Y511" s="99"/>
      <x:c r="Z511" s="99"/>
    </x:row>
    <x:row r="512">
      <x:c r="A512" s="99"/>
      <x:c r="B512" s="99"/>
      <x:c r="C512" s="99"/>
      <x:c r="D512" s="99"/>
      <x:c r="E512" s="99"/>
      <x:c r="F512" s="99"/>
      <x:c r="G512" s="99"/>
      <x:c r="H512" s="99"/>
      <x:c r="I512" s="99"/>
      <x:c r="J512" s="99"/>
      <x:c r="K512" s="99"/>
      <x:c r="L512" s="99"/>
      <x:c r="M512" s="99"/>
      <x:c r="N512" s="99"/>
      <x:c r="O512" s="99"/>
      <x:c r="P512" s="99"/>
      <x:c r="Q512" s="99"/>
      <x:c r="R512" s="99"/>
      <x:c r="S512" s="99"/>
      <x:c r="T512" s="99"/>
      <x:c r="U512" s="99"/>
      <x:c r="V512" s="99"/>
      <x:c r="W512" s="99"/>
      <x:c r="X512" s="99"/>
      <x:c r="Y512" s="99"/>
      <x:c r="Z512" s="99"/>
    </x:row>
    <x:row r="513">
      <x:c r="A513" s="99"/>
      <x:c r="B513" s="99"/>
      <x:c r="C513" s="99"/>
      <x:c r="D513" s="99"/>
      <x:c r="E513" s="99"/>
      <x:c r="F513" s="99"/>
      <x:c r="G513" s="99"/>
      <x:c r="H513" s="99"/>
      <x:c r="I513" s="99"/>
      <x:c r="J513" s="99"/>
      <x:c r="K513" s="99"/>
      <x:c r="L513" s="99"/>
      <x:c r="M513" s="99"/>
      <x:c r="N513" s="99"/>
      <x:c r="O513" s="99"/>
      <x:c r="P513" s="99"/>
      <x:c r="Q513" s="99"/>
      <x:c r="R513" s="99"/>
      <x:c r="S513" s="99"/>
      <x:c r="T513" s="99"/>
      <x:c r="U513" s="99"/>
      <x:c r="V513" s="99"/>
      <x:c r="W513" s="99"/>
      <x:c r="X513" s="99"/>
      <x:c r="Y513" s="99"/>
      <x:c r="Z513" s="99"/>
    </x:row>
    <x:row r="514">
      <x:c r="A514" s="99"/>
      <x:c r="B514" s="99"/>
      <x:c r="C514" s="99"/>
      <x:c r="D514" s="99"/>
      <x:c r="E514" s="99"/>
      <x:c r="F514" s="99"/>
      <x:c r="G514" s="99"/>
      <x:c r="H514" s="99"/>
      <x:c r="I514" s="99"/>
      <x:c r="J514" s="99"/>
      <x:c r="K514" s="99"/>
      <x:c r="L514" s="99"/>
      <x:c r="M514" s="99"/>
      <x:c r="N514" s="99"/>
      <x:c r="O514" s="99"/>
      <x:c r="P514" s="99"/>
      <x:c r="Q514" s="99"/>
      <x:c r="R514" s="99"/>
      <x:c r="S514" s="99"/>
      <x:c r="T514" s="99"/>
      <x:c r="U514" s="99"/>
      <x:c r="V514" s="99"/>
      <x:c r="W514" s="99"/>
      <x:c r="X514" s="99"/>
      <x:c r="Y514" s="99"/>
      <x:c r="Z514" s="99"/>
    </x:row>
    <x:row r="515">
      <x:c r="A515" s="99"/>
      <x:c r="B515" s="99"/>
      <x:c r="C515" s="99"/>
      <x:c r="D515" s="99"/>
      <x:c r="E515" s="99"/>
      <x:c r="F515" s="99"/>
      <x:c r="G515" s="99"/>
      <x:c r="H515" s="99"/>
      <x:c r="I515" s="99"/>
      <x:c r="J515" s="99"/>
      <x:c r="K515" s="99"/>
      <x:c r="L515" s="99"/>
      <x:c r="M515" s="99"/>
      <x:c r="N515" s="99"/>
      <x:c r="O515" s="99"/>
      <x:c r="P515" s="99"/>
      <x:c r="Q515" s="99"/>
      <x:c r="R515" s="99"/>
      <x:c r="S515" s="99"/>
      <x:c r="T515" s="99"/>
      <x:c r="U515" s="99"/>
      <x:c r="V515" s="99"/>
      <x:c r="W515" s="99"/>
      <x:c r="X515" s="99"/>
      <x:c r="Y515" s="99"/>
      <x:c r="Z515" s="99"/>
    </x:row>
    <x:row r="516">
      <x:c r="A516" s="99"/>
      <x:c r="B516" s="99"/>
      <x:c r="C516" s="99"/>
      <x:c r="D516" s="99"/>
      <x:c r="E516" s="99"/>
      <x:c r="F516" s="99"/>
      <x:c r="G516" s="99"/>
      <x:c r="H516" s="99"/>
      <x:c r="I516" s="99"/>
      <x:c r="J516" s="99"/>
      <x:c r="K516" s="99"/>
      <x:c r="L516" s="99"/>
      <x:c r="M516" s="99"/>
      <x:c r="N516" s="99"/>
      <x:c r="O516" s="99"/>
      <x:c r="P516" s="99"/>
      <x:c r="Q516" s="99"/>
      <x:c r="R516" s="99"/>
      <x:c r="S516" s="99"/>
      <x:c r="T516" s="99"/>
      <x:c r="U516" s="99"/>
      <x:c r="V516" s="99"/>
      <x:c r="W516" s="99"/>
      <x:c r="X516" s="99"/>
      <x:c r="Y516" s="99"/>
      <x:c r="Z516" s="99"/>
    </x:row>
    <x:row r="517">
      <x:c r="A517" s="99"/>
      <x:c r="B517" s="99"/>
      <x:c r="C517" s="99"/>
      <x:c r="D517" s="99"/>
      <x:c r="E517" s="99"/>
      <x:c r="F517" s="99"/>
      <x:c r="G517" s="99"/>
      <x:c r="H517" s="99"/>
      <x:c r="I517" s="99"/>
      <x:c r="J517" s="99"/>
      <x:c r="K517" s="99"/>
      <x:c r="L517" s="99"/>
      <x:c r="M517" s="99"/>
      <x:c r="N517" s="99"/>
      <x:c r="O517" s="99"/>
      <x:c r="P517" s="99"/>
      <x:c r="Q517" s="99"/>
      <x:c r="R517" s="99"/>
      <x:c r="S517" s="99"/>
      <x:c r="T517" s="99"/>
      <x:c r="U517" s="99"/>
      <x:c r="V517" s="99"/>
      <x:c r="W517" s="99"/>
      <x:c r="X517" s="99"/>
      <x:c r="Y517" s="99"/>
      <x:c r="Z517" s="99"/>
    </x:row>
    <x:row r="518">
      <x:c r="A518" s="99"/>
      <x:c r="B518" s="99"/>
      <x:c r="C518" s="99"/>
      <x:c r="D518" s="99"/>
      <x:c r="E518" s="99"/>
      <x:c r="F518" s="99"/>
      <x:c r="G518" s="99"/>
      <x:c r="H518" s="99"/>
      <x:c r="I518" s="99"/>
      <x:c r="J518" s="99"/>
      <x:c r="K518" s="99"/>
      <x:c r="L518" s="99"/>
      <x:c r="M518" s="99"/>
      <x:c r="N518" s="99"/>
      <x:c r="O518" s="99"/>
      <x:c r="P518" s="99"/>
      <x:c r="Q518" s="99"/>
      <x:c r="R518" s="99"/>
      <x:c r="S518" s="99"/>
      <x:c r="T518" s="99"/>
      <x:c r="U518" s="99"/>
      <x:c r="V518" s="99"/>
      <x:c r="W518" s="99"/>
      <x:c r="X518" s="99"/>
      <x:c r="Y518" s="99"/>
      <x:c r="Z518" s="99"/>
    </x:row>
    <x:row r="519">
      <x:c r="A519" s="99"/>
      <x:c r="B519" s="99"/>
      <x:c r="C519" s="99"/>
      <x:c r="D519" s="99"/>
      <x:c r="E519" s="99"/>
      <x:c r="F519" s="99"/>
      <x:c r="G519" s="99"/>
      <x:c r="H519" s="99"/>
      <x:c r="I519" s="99"/>
      <x:c r="J519" s="99"/>
      <x:c r="K519" s="99"/>
      <x:c r="L519" s="99"/>
      <x:c r="M519" s="99"/>
      <x:c r="N519" s="99"/>
      <x:c r="O519" s="99"/>
      <x:c r="P519" s="99"/>
      <x:c r="Q519" s="99"/>
      <x:c r="R519" s="99"/>
      <x:c r="S519" s="99"/>
      <x:c r="T519" s="99"/>
      <x:c r="U519" s="99"/>
      <x:c r="V519" s="99"/>
      <x:c r="W519" s="99"/>
      <x:c r="X519" s="99"/>
      <x:c r="Y519" s="99"/>
      <x:c r="Z519" s="99"/>
    </x:row>
    <x:row r="520">
      <x:c r="A520" s="99"/>
      <x:c r="B520" s="99"/>
      <x:c r="C520" s="99"/>
      <x:c r="D520" s="99"/>
      <x:c r="E520" s="99"/>
      <x:c r="F520" s="99"/>
      <x:c r="G520" s="99"/>
      <x:c r="H520" s="99"/>
      <x:c r="I520" s="99"/>
      <x:c r="J520" s="99"/>
      <x:c r="K520" s="99"/>
      <x:c r="L520" s="99"/>
      <x:c r="M520" s="99"/>
      <x:c r="N520" s="99"/>
      <x:c r="O520" s="99"/>
      <x:c r="P520" s="99"/>
      <x:c r="Q520" s="99"/>
      <x:c r="R520" s="99"/>
      <x:c r="S520" s="99"/>
      <x:c r="T520" s="99"/>
      <x:c r="U520" s="99"/>
      <x:c r="V520" s="99"/>
      <x:c r="W520" s="99"/>
      <x:c r="X520" s="99"/>
      <x:c r="Y520" s="99"/>
      <x:c r="Z520" s="99"/>
    </x:row>
  </x:sheetData>
  <x:mergeCells>
    <x:mergeCell ref="A1:J1"/>
    <x:mergeCell ref="A11:J11"/>
    <x:mergeCell ref="A12:J17"/>
  </x:mergeCells>
  <x:pageMargins left="0.7" right="0.7" top="0.75" bottom="0.75" header="0.3" footer="0.3"/>
</x:worksheet>
</file>

<file path=xl/worksheets/sheet14.xml><?xml version="1.0" encoding="utf-8"?>
<x:worksheet xmlns:x="http://schemas.openxmlformats.org/spreadsheetml/2006/main">
  <x:sheetFormatPr defaultRowHeight="15"/>
  <x:sheetData>
    <x:row r="1">
      <x:c r="A1" t="str">
        <x:v>Question Type</x:v>
      </x:c>
      <x:c r="B1" t="str">
        <x:v>Required</x:v>
      </x:c>
      <x:c r="C1" t="str">
        <x:v>Reverse Scored</x:v>
      </x:c>
      <x:c r="D1" t="str">
        <x:v>Status</x:v>
      </x:c>
      <x:c r="E1" t="str">
        <x:v>Confidence</x:v>
      </x:c>
      <x:c r="F1" t="str">
        <x:v>Sentiment</x:v>
      </x:c>
    </x:row>
    <x:row r="2">
      <x:c r="A2" t="str">
        <x:v>Likert 1–5</x:v>
      </x:c>
      <x:c r="B2" t="str">
        <x:v>Yes</x:v>
      </x:c>
      <x:c r="C2" t="str">
        <x:v>Yes</x:v>
      </x:c>
      <x:c r="D2" t="str">
        <x:v>Not Started</x:v>
      </x:c>
      <x:c r="E2" t="n">
        <x:v>1</x:v>
      </x:c>
      <x:c r="F2" t="str">
        <x:v>Positive</x:v>
      </x:c>
    </x:row>
    <x:row r="3">
      <x:c r="A3" t="str">
        <x:v>Yes / No</x:v>
      </x:c>
      <x:c r="B3" t="str">
        <x:v>No</x:v>
      </x:c>
      <x:c r="C3" t="str">
        <x:v>No</x:v>
      </x:c>
      <x:c r="D3" t="str">
        <x:v>In Progress</x:v>
      </x:c>
      <x:c r="E3" t="n">
        <x:v>2</x:v>
      </x:c>
      <x:c r="F3" t="str">
        <x:v>Mixed</x:v>
      </x:c>
    </x:row>
    <x:row r="4">
      <x:c r="A4" t="str">
        <x:v>Multiple Choice</x:v>
      </x:c>
      <x:c r="B4" t="str">
        <x:v>Conditional</x:v>
      </x:c>
      <x:c r="C4" t="str">
        <x:v>N/A</x:v>
      </x:c>
      <x:c r="D4" t="str">
        <x:v>Complete</x:v>
      </x:c>
      <x:c r="E4" t="n">
        <x:v>3</x:v>
      </x:c>
      <x:c r="F4" t="str">
        <x:v>Neutral</x:v>
      </x:c>
    </x:row>
    <x:row r="5">
      <x:c r="A5" t="str">
        <x:v>Open Text</x:v>
      </x:c>
      <x:c r="B5" t="str">
        <x:v>Follow-up</x:v>
      </x:c>
      <x:c r="D5" t="str">
        <x:v>Needs Review</x:v>
      </x:c>
      <x:c r="E5" t="n">
        <x:v>4</x:v>
      </x:c>
      <x:c r="F5" t="str">
        <x:v>Negative</x:v>
      </x:c>
    </x:row>
    <x:row r="6">
      <x:c r="A6" t="str">
        <x:v>Numeric</x:v>
      </x:c>
      <x:c r="D6" t="str">
        <x:v>Not Applicable</x:v>
      </x:c>
      <x:c r="E6" t="n">
        <x:v>5</x:v>
      </x:c>
      <x:c r="F6" t="str">
        <x:v>Not Coded</x:v>
      </x:c>
    </x:row>
    <x:row r="7">
      <x:c r="A7" t="str">
        <x:v>Ranking</x:v>
      </x:c>
    </x:row>
    <x:row r="8">
      <x:c r="A8" t="str">
        <x:v>Other</x:v>
      </x:c>
    </x:row>
  </x:sheetData>
  <x:pageMargins left="0.7" right="0.7" top="0.75" bottom="0.75" header="0.3" footer="0.3"/>
</x:worksheet>
</file>