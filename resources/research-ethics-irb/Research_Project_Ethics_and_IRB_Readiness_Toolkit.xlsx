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a2b18778eb47ee" /></Relationships>
</file>

<file path=xl/workbook.xml><?xml version="1.0" encoding="utf-8"?>
<x:workbook xmlns:x="http://schemas.openxmlformats.org/spreadsheetml/2006/main">
  <x:sheets>
    <x:sheet xmlns:r="http://schemas.openxmlformats.org/officeDocument/2006/relationships" name="START HERE" sheetId="1" r:id="R0e6a7f089b844450"/>
    <x:sheet xmlns:r="http://schemas.openxmlformats.org/officeDocument/2006/relationships" name="PROJECT INTAKE" sheetId="2" r:id="R9feef96be5a34583"/>
    <x:sheet xmlns:r="http://schemas.openxmlformats.org/officeDocument/2006/relationships" name="METHODS MAP" sheetId="3" r:id="Rb097dbc94a0d46f9"/>
    <x:sheet xmlns:r="http://schemas.openxmlformats.org/officeDocument/2006/relationships" name="PEOPLE &amp; DATA" sheetId="4" r:id="R1829571e549e44c4"/>
    <x:sheet xmlns:r="http://schemas.openxmlformats.org/officeDocument/2006/relationships" name="ETHICS READINESS" sheetId="5" r:id="R9dc2e0b89cf448b6"/>
    <x:sheet xmlns:r="http://schemas.openxmlformats.org/officeDocument/2006/relationships" name="CONSENT PLAN" sheetId="6" r:id="Rfe1e45ce299d46cd"/>
    <x:sheet xmlns:r="http://schemas.openxmlformats.org/officeDocument/2006/relationships" name="PRIVACY &amp; DATA PLAN" sheetId="7" r:id="Rc25e9740b76d42e0"/>
    <x:sheet xmlns:r="http://schemas.openxmlformats.org/officeDocument/2006/relationships" name="RECRUITMENT &amp; JUSTICE" sheetId="8" r:id="R29efbe80ddab456f"/>
    <x:sheet xmlns:r="http://schemas.openxmlformats.org/officeDocument/2006/relationships" name="REVIEW PACKET" sheetId="9" r:id="Rc9bbdf83f2b042bd"/>
    <x:sheet xmlns:r="http://schemas.openxmlformats.org/officeDocument/2006/relationships" name="DECISION LOG" sheetId="10" r:id="R1bc730d10d924942"/>
    <x:sheet xmlns:r="http://schemas.openxmlformats.org/officeDocument/2006/relationships" name="DASHBOARD" sheetId="11" r:id="R46db0abaa84f4f15"/>
    <x:sheet xmlns:r="http://schemas.openxmlformats.org/officeDocument/2006/relationships" name="EXAMPLE" sheetId="12" r:id="Re9b35874da6d4a7c"/>
    <x:sheet xmlns:r="http://schemas.openxmlformats.org/officeDocument/2006/relationships" name="SOURCES" sheetId="13" r:id="R22bfeaaaaefb4366"/>
    <x:sheet xmlns:r="http://schemas.openxmlformats.org/officeDocument/2006/relationships" name="_LISTS" sheetId="14" r:id="Rca7285d0d403478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m d, yyyy"/>
  </x:numFmts>
  <x:fonts count="10">
    <x:font>
      <x:sz val="11"/>
      <x:name val="Carlito"/>
    </x:font>
    <x:font>
      <x:b/>
      <x:sz val="18"/>
      <x:color rgb="FFFFFFFF"/>
      <x:name val="Carlito"/>
    </x:font>
    <x:font>
      <x:b/>
      <x:sz val="11"/>
      <x:color rgb="FF17324D"/>
      <x:name val="Carlito"/>
    </x:font>
    <x:font>
      <x:b/>
      <x:sz val="11"/>
      <x:color rgb="FFFFFFFF"/>
      <x:name val="Carlito"/>
    </x:font>
    <x:font>
      <x:b/>
      <x:sz val="14"/>
      <x:color rgb="FFFFFFFF"/>
      <x:name val="Carlito"/>
    </x:font>
    <x:font>
      <x:b/>
      <x:sz val="11"/>
      <x:name val="Carlito"/>
    </x:font>
    <x:font>
      <x:b/>
      <x:sz val="10"/>
      <x:color rgb="FF1F2933"/>
      <x:name val="Aptos"/>
    </x:font>
    <x:font>
      <x:sz val="10"/>
      <x:color rgb="FF1F2933"/>
      <x:name val="Aptos"/>
    </x:font>
    <x:font>
      <x:b/>
      <x:sz val="18"/>
      <x:color rgb="FFFFFFFF"/>
      <x:name val="Aptos"/>
    </x:font>
    <x:font>
      <x:b/>
      <x:sz val="14"/>
      <x:color rgb="FFFFFFFF"/>
      <x:name val="Aptos"/>
    </x:font>
  </x:fonts>
  <x:fills count="10">
    <x:fill>
      <x:patternFill patternType="none"/>
    </x:fill>
    <x:fill>
      <x:patternFill patternType="gray125"/>
    </x:fill>
    <x:fill>
      <x:patternFill patternType="solid">
        <x:fgColor rgb="FF17324D"/>
      </x:patternFill>
    </x:fill>
    <x:fill>
      <x:patternFill patternType="solid">
        <x:fgColor rgb="FFEAF3FA"/>
      </x:patternFill>
    </x:fill>
    <x:fill>
      <x:patternFill patternType="solid">
        <x:fgColor rgb="FFFFF4CC"/>
      </x:patternFill>
    </x:fill>
    <x:fill>
      <x:patternFill patternType="solid">
        <x:fgColor rgb="FFE8F3E8"/>
      </x:patternFill>
    </x:fill>
    <x:fill>
      <x:patternFill patternType="solid">
        <x:fgColor rgb="FFF1ECF7"/>
      </x:patternFill>
    </x:fill>
    <x:fill>
      <x:patternFill patternType="solid">
        <x:fgColor rgb="FFFDE8E7"/>
      </x:patternFill>
    </x:fill>
    <x:fill>
      <x:patternFill patternType="solid">
        <x:fgColor rgb="FFD9E6F2"/>
      </x:patternFill>
    </x:fill>
    <x:fill>
      <x:patternFill patternType="solid">
        <x:fgColor rgb="FFF5F7F9"/>
      </x:patternFill>
    </x:fill>
  </x:fills>
  <x:borders count="2">
    <x:border/>
    <x:border/>
  </x:borders>
  <x:cellStyleXfs count="1">
    <x:xf numFmtId="0" fontId="0" fillId="0" borderId="0"/>
  </x:cellStyleXfs>
  <x:cellXfs count="1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8" borderId="1" xfId="0" applyNumberFormat="1" applyFont="1" applyFill="1" applyBorder="1"/>
    <x:xf numFmtId="0" fontId="2" fillId="8" borderId="1"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4" fillId="2" borderId="0" xfId="0" applyNumberFormat="1" applyFont="1" applyFill="1" applyBorder="1"/>
    <x:xf numFmtId="0" fontId="4" fillId="2"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200" fontId="0" fillId="4" borderId="0" xfId="0" applyNumberFormat="1" applyFont="1" applyFill="1" applyBorder="1" applyAlignment="1">
      <x:alignment wrapText="1"/>
    </x:xf>
    <x:xf numFmtId="200" fontId="0" fillId="4" borderId="1"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2" fillId="8" borderId="0" xfId="0" applyNumberFormat="1" applyFont="1" applyFill="1" applyBorder="1" applyAlignment="1">
      <x:alignment wrapText="1"/>
    </x:xf>
    <x:xf numFmtId="0" fontId="0" fillId="6" borderId="0" xfId="0" applyNumberFormat="1" applyFont="1" applyFill="1" applyBorder="1" applyAlignment="1">
      <x:alignment wrapText="1"/>
    </x:xf>
    <x:xf numFmtId="0" fontId="2" fillId="8" borderId="1" xfId="0" applyNumberFormat="1" applyFont="1" applyFill="1" applyBorder="1" applyAlignment="1">
      <x:alignment wrapText="1"/>
    </x:xf>
    <x:xf numFmtId="0" fontId="0" fillId="6"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8" borderId="0" xfId="0" applyNumberFormat="1" applyFont="1" applyFill="1" applyBorder="1" applyAlignment="1">
      <x:alignment wrapText="1"/>
    </x:xf>
    <x:xf numFmtId="0" fontId="0" fillId="8"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4" borderId="0" xfId="0" applyNumberFormat="1" applyFont="1" applyFill="1" applyBorder="1"/>
    <x:xf numFmtId="200" fontId="0" fillId="4"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3" fillId="2" borderId="0" xfId="0" applyNumberFormat="1" applyFont="1" applyFill="1" applyBorder="1" applyAlignment="1">
      <x:alignment horizontal="center" wrapText="1"/>
    </x:xf>
    <x:xf numFmtId="0" fontId="5" fillId="5" borderId="0"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5" fillId="5"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x:xf>
    <x:xf numFmtId="0" fontId="7" fillId="0" borderId="0" xfId="0" applyNumberFormat="1" applyFont="1" applyFill="1" applyBorder="1"/>
    <x:xf numFmtId="0" fontId="6" fillId="3" borderId="0" xfId="0" applyNumberFormat="1" applyFont="1" applyFill="1" applyBorder="1" applyAlignment="1">
      <x:alignment horizontal="center" wrapText="1"/>
    </x:xf>
    <x:xf numFmtId="0" fontId="6" fillId="2" borderId="0" xfId="0" applyNumberFormat="1" applyFont="1" applyFill="1" applyBorder="1"/>
    <x:xf numFmtId="0" fontId="7" fillId="4" borderId="0" xfId="0" applyNumberFormat="1" applyFont="1" applyFill="1" applyBorder="1"/>
    <x:xf numFmtId="0" fontId="7" fillId="5" borderId="0" xfId="0" applyNumberFormat="1" applyFont="1" applyFill="1" applyBorder="1"/>
    <x:xf numFmtId="0" fontId="7" fillId="6" borderId="0" xfId="0" applyNumberFormat="1" applyFont="1" applyFill="1" applyBorder="1"/>
    <x:xf numFmtId="0" fontId="7" fillId="7" borderId="0" xfId="0" applyNumberFormat="1" applyFont="1" applyFill="1" applyBorder="1"/>
    <x:xf numFmtId="0" fontId="6" fillId="8" borderId="0" xfId="0" applyNumberFormat="1" applyFont="1" applyFill="1" applyBorder="1"/>
    <x:xf numFmtId="0" fontId="7" fillId="9" borderId="0" xfId="0" applyNumberFormat="1" applyFont="1" applyFill="1" applyBorder="1" applyAlignment="1">
      <x:alignment vertical="top"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x:xf>
    <x:xf numFmtId="0" fontId="7" fillId="0" borderId="1" xfId="0" applyNumberFormat="1" applyFont="1" applyFill="1" applyBorder="1"/>
    <x:xf numFmtId="0" fontId="6" fillId="3" borderId="1" xfId="0" applyNumberFormat="1" applyFont="1" applyFill="1" applyBorder="1" applyAlignment="1">
      <x:alignment horizontal="center" wrapText="1"/>
    </x:xf>
    <x:xf numFmtId="0" fontId="6" fillId="2" borderId="1" xfId="0" applyNumberFormat="1" applyFont="1" applyFill="1" applyBorder="1"/>
    <x:xf numFmtId="0" fontId="7" fillId="4" borderId="1" xfId="0" applyNumberFormat="1" applyFont="1" applyFill="1" applyBorder="1"/>
    <x:xf numFmtId="0" fontId="7" fillId="5" borderId="1" xfId="0" applyNumberFormat="1" applyFont="1" applyFill="1" applyBorder="1"/>
    <x:xf numFmtId="0" fontId="7" fillId="6" borderId="1" xfId="0" applyNumberFormat="1" applyFont="1" applyFill="1" applyBorder="1"/>
    <x:xf numFmtId="0" fontId="7" fillId="7" borderId="1" xfId="0" applyNumberFormat="1" applyFont="1" applyFill="1" applyBorder="1"/>
    <x:xf numFmtId="0" fontId="6" fillId="8" borderId="1" xfId="0" applyNumberFormat="1" applyFont="1" applyFill="1" applyBorder="1"/>
    <x:xf numFmtId="0" fontId="7" fillId="9" borderId="1" xfId="0" applyNumberFormat="1" applyFont="1" applyFill="1" applyBorder="1" applyAlignment="1">
      <x:alignment vertical="top" wrapText="1"/>
    </x:xf>
    <x:xf numFmtId="0" fontId="7" fillId="4" borderId="0" xfId="0" applyNumberFormat="1" applyFont="1" applyFill="1" applyBorder="1" applyAlignment="1">
      <x:alignment wrapText="1"/>
    </x:xf>
    <x:xf numFmtId="200" fontId="7" fillId="4" borderId="0" xfId="0" applyNumberFormat="1" applyFont="1" applyFill="1" applyBorder="1" applyAlignment="1">
      <x:alignment wrapText="1"/>
    </x:xf>
    <x:xf numFmtId="0" fontId="7" fillId="4" borderId="1" xfId="0" applyNumberFormat="1" applyFont="1" applyFill="1" applyBorder="1" applyAlignment="1">
      <x:alignment wrapText="1"/>
    </x:xf>
    <x:xf numFmtId="200" fontId="7" fillId="4" borderId="1" xfId="0" applyNumberFormat="1" applyFont="1" applyFill="1" applyBorder="1" applyAlignment="1">
      <x:alignment wrapText="1"/>
    </x:xf>
    <x:xf numFmtId="0" fontId="6" fillId="2" borderId="0" xfId="0" applyNumberFormat="1" applyFont="1" applyFill="1" applyBorder="1" applyAlignment="1">
      <x:alignment wrapText="1"/>
    </x:xf>
    <x:xf numFmtId="0" fontId="6" fillId="8" borderId="0" xfId="0" applyNumberFormat="1" applyFont="1" applyFill="1" applyBorder="1" applyAlignment="1">
      <x:alignment wrapText="1"/>
    </x:xf>
    <x:xf numFmtId="0" fontId="7" fillId="9" borderId="0" xfId="0" applyNumberFormat="1" applyFont="1" applyFill="1" applyBorder="1" applyAlignment="1">
      <x:alignment wrapText="1"/>
    </x:xf>
    <x:xf numFmtId="0" fontId="7" fillId="6" borderId="0" xfId="0" applyNumberFormat="1" applyFont="1" applyFill="1" applyBorder="1" applyAlignment="1">
      <x:alignment wrapText="1"/>
    </x:xf>
    <x:xf numFmtId="0" fontId="6" fillId="2" borderId="1" xfId="0" applyNumberFormat="1" applyFont="1" applyFill="1" applyBorder="1" applyAlignment="1">
      <x:alignment wrapText="1"/>
    </x:xf>
    <x:xf numFmtId="0" fontId="6" fillId="8" borderId="1" xfId="0" applyNumberFormat="1" applyFont="1" applyFill="1" applyBorder="1" applyAlignment="1">
      <x:alignment wrapText="1"/>
    </x:xf>
    <x:xf numFmtId="0" fontId="7" fillId="9" borderId="1" xfId="0" applyNumberFormat="1" applyFont="1" applyFill="1" applyBorder="1" applyAlignment="1">
      <x:alignment wrapText="1"/>
    </x:xf>
    <x:xf numFmtId="0" fontId="7" fillId="6" borderId="1"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1"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6" fillId="5"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6" fillId="5" borderId="1" xfId="0" applyNumberFormat="1" applyFont="1" applyFill="1" applyBorder="1" applyAlignment="1">
      <x:alignment wrapText="1"/>
    </x:xf>
    <x:xf numFmtId="0" fontId="6" fillId="3" borderId="1" xfId="0" applyNumberFormat="1" applyFont="1" applyFill="1" applyBorder="1" applyAlignment="1">
      <x:alignment vertical="center" wrapText="1"/>
    </x:xf>
    <x:xf numFmtId="0" fontId="7" fillId="3" borderId="0" xfId="0" applyNumberFormat="1" applyFont="1" applyFill="1" applyBorder="1" applyAlignment="1">
      <x:alignment wrapText="1"/>
    </x:xf>
    <x:xf numFmtId="0" fontId="7" fillId="3" borderId="1"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x:xf>
    <x:xf numFmtId="0" fontId="8" fillId="2" borderId="1" xfId="0" applyNumberFormat="1" applyFont="1" applyFill="1" applyBorder="1" applyAlignment="1">
      <x:alignment horizontal="center" wrapText="1"/>
    </x:xf>
    <x:xf numFmtId="0" fontId="8" fillId="2" borderId="1" xfId="0" applyNumberFormat="1" applyFont="1" applyFill="1" applyBorder="1" applyAlignment="1">
      <x:alignment horizontal="center"/>
    </x:xf>
    <x:xf numFmtId="0" fontId="9" fillId="2" borderId="0" xfId="0" applyNumberFormat="1" applyFont="1" applyFill="1" applyBorder="1"/>
    <x:xf numFmtId="0" fontId="9" fillId="2" borderId="1" xfId="0" applyNumberFormat="1" applyFont="1" applyFill="1" applyBorder="1"/>
  </x:cellXfs>
  <x:cellStyles count="1">
    <x:cellStyle name="Normal" xfId="0"/>
  </x:cellStyles>
  <x:dxfs count="10">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ill>
        <x:patternFill patternType="solid">
          <x:bgColor rgb="FFF4CCCC"/>
        </x:patternFill>
      </x:fill>
    </x:dxf>
    <x:dxf>
      <x:fill>
        <x:patternFill patternType="solid">
          <x:bgColor rgb="FFFCE8B2"/>
        </x:patternFill>
      </x:fill>
    </x:dxf>
    <x:dxf>
      <x:fill>
        <x:patternFill patternType="solid">
          <x:bgColor rgb="FFDDEEDB"/>
        </x:patternFill>
      </x:fill>
    </x:dxf>
    <x:dxf>
      <x:font>
        <x:b/>
      </x:font>
      <x:fill>
        <x:patternFill patternType="solid">
          <x:bgColor rgb="FFFCE8B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628127a335443f" /><Relationship Type="http://schemas.openxmlformats.org/officeDocument/2006/relationships/theme" Target="/xl/theme/theme1.xml" Id="Rc473334d41c649a5" /><Relationship Type="http://schemas.openxmlformats.org/officeDocument/2006/relationships/sharedStrings" Target="/xl/sharedStrings.xml" Id="R9d1d33897d144e24" /><Relationship Type="http://schemas.openxmlformats.org/officeDocument/2006/relationships/worksheet" Target="/xl/worksheets/sheet1.xml" Id="R0e6a7f089b844450" /><Relationship Type="http://schemas.openxmlformats.org/officeDocument/2006/relationships/worksheet" Target="/xl/worksheets/sheet2.xml" Id="R9feef96be5a34583" /><Relationship Type="http://schemas.openxmlformats.org/officeDocument/2006/relationships/worksheet" Target="/xl/worksheets/sheet3.xml" Id="Rb097dbc94a0d46f9" /><Relationship Type="http://schemas.openxmlformats.org/officeDocument/2006/relationships/worksheet" Target="/xl/worksheets/sheet4.xml" Id="R1829571e549e44c4" /><Relationship Type="http://schemas.openxmlformats.org/officeDocument/2006/relationships/worksheet" Target="/xl/worksheets/sheet5.xml" Id="R9dc2e0b89cf448b6" /><Relationship Type="http://schemas.openxmlformats.org/officeDocument/2006/relationships/worksheet" Target="/xl/worksheets/sheet6.xml" Id="Rfe1e45ce299d46cd" /><Relationship Type="http://schemas.openxmlformats.org/officeDocument/2006/relationships/worksheet" Target="/xl/worksheets/sheet7.xml" Id="Rc25e9740b76d42e0" /><Relationship Type="http://schemas.openxmlformats.org/officeDocument/2006/relationships/worksheet" Target="/xl/worksheets/sheet8.xml" Id="R29efbe80ddab456f" /><Relationship Type="http://schemas.openxmlformats.org/officeDocument/2006/relationships/worksheet" Target="/xl/worksheets/sheet9.xml" Id="Rc9bbdf83f2b042bd" /><Relationship Type="http://schemas.openxmlformats.org/officeDocument/2006/relationships/worksheet" Target="/xl/worksheets/sheet10.xml" Id="R1bc730d10d924942" /><Relationship Type="http://schemas.openxmlformats.org/officeDocument/2006/relationships/worksheet" Target="/xl/worksheets/sheet11.xml" Id="R46db0abaa84f4f15" /><Relationship Type="http://schemas.openxmlformats.org/officeDocument/2006/relationships/worksheet" Target="/xl/worksheets/sheet12.xml" Id="Re9b35874da6d4a7c" /><Relationship Type="http://schemas.openxmlformats.org/officeDocument/2006/relationships/worksheet" Target="/xl/worksheets/sheet13.xml" Id="R22bfeaaaaefb4366" /><Relationship Type="http://schemas.openxmlformats.org/officeDocument/2006/relationships/worksheet" Target="/xl/worksheets/sheet14.xml" Id="Rca7285d0d40347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24" hidden="0" customWidth="1"/>
    <x:col min="3" max="3" width="74" hidden="0" customWidth="1"/>
    <x:col min="5" max="5" width="18" hidden="0" customWidth="1"/>
    <x:col min="6" max="6" width="34" hidden="0" customWidth="1"/>
  </x:cols>
  <x:sheetData>
    <x:row r="1">
      <x:c r="A1" s="117" t="str">
        <x:v>Research Project Ethics &amp; IRB Readiness Toolkit</x:v>
      </x:c>
      <x:c r="B1" s="117"/>
      <x:c r="C1" s="117"/>
      <x:c r="D1" s="118"/>
      <x:c r="E1" s="118"/>
      <x:c r="F1" s="118"/>
      <x:c r="G1" s="118"/>
      <x:c r="H1" s="118"/>
      <x:c r="I1" s="73"/>
      <x:c r="J1" s="73"/>
      <x:c r="K1" s="73"/>
      <x:c r="L1" s="73"/>
    </x:row>
    <x:row r="2">
      <x:c r="A2" s="73"/>
      <x:c r="B2" s="73"/>
      <x:c r="C2" s="73"/>
      <x:c r="D2" s="73"/>
      <x:c r="E2" s="73"/>
      <x:c r="F2" s="73"/>
      <x:c r="G2" s="73"/>
      <x:c r="H2" s="73"/>
      <x:c r="I2" s="73"/>
      <x:c r="J2" s="73"/>
      <x:c r="K2" s="73"/>
      <x:c r="L2" s="73"/>
    </x:row>
    <x:row r="3">
      <x:c r="A3" s="74" t="str">
        <x:v>Plan the research question, methods, participant/data flow, consent, privacy, recruitment, and review packet before data collection begins.</x:v>
      </x:c>
      <x:c r="B3" s="74"/>
      <x:c r="C3" s="74"/>
      <x:c r="D3" s="74"/>
      <x:c r="E3" s="74"/>
      <x:c r="F3" s="74"/>
      <x:c r="G3" s="74"/>
      <x:c r="H3" s="74"/>
      <x:c r="I3" s="73"/>
      <x:c r="J3" s="73"/>
      <x:c r="K3" s="73"/>
      <x:c r="L3" s="73"/>
    </x:row>
    <x:row r="4">
      <x:c r="A4" s="73"/>
      <x:c r="B4" s="73"/>
      <x:c r="C4" s="73"/>
      <x:c r="D4" s="73"/>
      <x:c r="E4" s="73"/>
      <x:c r="F4" s="73"/>
      <x:c r="G4" s="73"/>
      <x:c r="H4" s="73"/>
      <x:c r="I4" s="73"/>
      <x:c r="J4" s="73"/>
      <x:c r="K4" s="73"/>
      <x:c r="L4" s="73"/>
    </x:row>
    <x:row r="5">
      <x:c r="A5" s="75" t="str">
        <x:v>STEP</x:v>
      </x:c>
      <x:c r="B5" s="75" t="str">
        <x:v>SHEET</x:v>
      </x:c>
      <x:c r="C5" s="75" t="str">
        <x:v>WHAT YOU DO</x:v>
      </x:c>
      <x:c r="D5" s="73"/>
      <x:c r="E5" s="75" t="str">
        <x:v>LABEL</x:v>
      </x:c>
      <x:c r="F5" s="75" t="str">
        <x:v>MEANING</x:v>
      </x:c>
      <x:c r="G5" s="73"/>
      <x:c r="H5" s="73"/>
      <x:c r="I5" s="73"/>
      <x:c r="J5" s="73"/>
      <x:c r="K5" s="73"/>
      <x:c r="L5" s="73"/>
    </x:row>
    <x:row r="6">
      <x:c r="A6" s="73" t="str">
        <x:v>1</x:v>
      </x:c>
      <x:c r="B6" s="73" t="str">
        <x:v>PROJECT INTAKE</x:v>
      </x:c>
      <x:c r="C6" s="73" t="str">
        <x:v>Define the question, purpose, population, setting, timeline, sponsor/course, and decision the project should support.</x:v>
      </x:c>
      <x:c r="D6" s="73"/>
      <x:c r="E6" s="76" t="str">
        <x:v>INPUT</x:v>
      </x:c>
      <x:c r="F6" s="76" t="str">
        <x:v>You enter this</x:v>
      </x:c>
      <x:c r="G6" s="73"/>
      <x:c r="H6" s="73"/>
      <x:c r="I6" s="73"/>
      <x:c r="J6" s="73"/>
      <x:c r="K6" s="73"/>
      <x:c r="L6" s="73"/>
    </x:row>
    <x:row r="7">
      <x:c r="A7" s="73" t="str">
        <x:v>2</x:v>
      </x:c>
      <x:c r="B7" s="73" t="str">
        <x:v>METHODS MAP</x:v>
      </x:c>
      <x:c r="C7" s="73" t="str">
        <x:v>Move from broad topic → focused question → method → evidence → analysis → limits. Revise the question when the evidence/design requires it.</x:v>
      </x:c>
      <x:c r="D7" s="73"/>
      <x:c r="E7" s="77" t="str">
        <x:v>AUTO</x:v>
      </x:c>
      <x:c r="F7" s="77" t="str">
        <x:v>Calculated from your inputs</x:v>
      </x:c>
      <x:c r="G7" s="73"/>
      <x:c r="H7" s="73"/>
      <x:c r="I7" s="73"/>
      <x:c r="J7" s="73"/>
      <x:c r="K7" s="73"/>
      <x:c r="L7" s="73"/>
    </x:row>
    <x:row r="8">
      <x:c r="A8" s="73" t="str">
        <x:v>3</x:v>
      </x:c>
      <x:c r="B8" s="73" t="str">
        <x:v>PEOPLE &amp; DATA</x:v>
      </x:c>
      <x:c r="C8" s="73" t="str">
        <x:v>Map every participant group, dataset, identifier, recruitment relationship, and data transfer.</x:v>
      </x:c>
      <x:c r="D8" s="73"/>
      <x:c r="E8" s="78" t="str">
        <x:v>OPTIONAL</x:v>
      </x:c>
      <x:c r="F8" s="78" t="str">
        <x:v>Helpful context</x:v>
      </x:c>
      <x:c r="G8" s="73"/>
      <x:c r="H8" s="73"/>
      <x:c r="I8" s="73"/>
      <x:c r="J8" s="73"/>
      <x:c r="K8" s="73"/>
      <x:c r="L8" s="73"/>
    </x:row>
    <x:row r="9">
      <x:c r="A9" s="73" t="str">
        <x:v>4</x:v>
      </x:c>
      <x:c r="B9" s="73" t="str">
        <x:v>ETHICS READINESS</x:v>
      </x:c>
      <x:c r="C9" s="73" t="str">
        <x:v>Answer project-level questions. The workbook flags issues to resolve; it does not make an institutional IRB determination.</x:v>
      </x:c>
      <x:c r="D9" s="73"/>
      <x:c r="E9" s="79" t="str">
        <x:v>ACTION NEEDED</x:v>
      </x:c>
      <x:c r="F9" s="79" t="str">
        <x:v>Resolve / review before proceeding</x:v>
      </x:c>
      <x:c r="G9" s="73"/>
      <x:c r="H9" s="73"/>
      <x:c r="I9" s="73"/>
      <x:c r="J9" s="73"/>
      <x:c r="K9" s="73"/>
      <x:c r="L9" s="73"/>
    </x:row>
    <x:row r="10">
      <x:c r="A10" s="73" t="str">
        <x:v>5</x:v>
      </x:c>
      <x:c r="B10" s="73" t="str">
        <x:v>CONSENT PLAN</x:v>
      </x:c>
      <x:c r="C10" s="73" t="str">
        <x:v>Check whether purpose, procedures, duration, risks, benefits, voluntariness, withdrawal, contacts, and understandable language are addressed.</x:v>
      </x:c>
      <x:c r="D10" s="73"/>
      <x:c r="E10" s="73"/>
      <x:c r="F10" s="73"/>
      <x:c r="G10" s="73"/>
      <x:c r="H10" s="73"/>
      <x:c r="I10" s="73"/>
      <x:c r="J10" s="73"/>
      <x:c r="K10" s="73"/>
      <x:c r="L10" s="73"/>
    </x:row>
    <x:row r="11">
      <x:c r="A11" s="73" t="str">
        <x:v>6</x:v>
      </x:c>
      <x:c r="B11" s="73" t="str">
        <x:v>PRIVACY &amp; DATA PLAN</x:v>
      </x:c>
      <x:c r="C11" s="73" t="str">
        <x:v>Minimize identifiers, document access, storage, retention, linkage files, sharing, and re-identification risk.</x:v>
      </x:c>
      <x:c r="D11" s="73"/>
      <x:c r="E11" s="80" t="str">
        <x:v>Important boundary</x:v>
      </x:c>
      <x:c r="F11" s="80"/>
      <x:c r="G11" s="80"/>
      <x:c r="H11" s="80"/>
      <x:c r="I11" s="73"/>
      <x:c r="J11" s="73"/>
      <x:c r="K11" s="73"/>
      <x:c r="L11" s="73"/>
    </x:row>
    <x:row r="12">
      <x:c r="A12" s="73" t="str">
        <x:v>7</x:v>
      </x:c>
      <x:c r="B12" s="73" t="str">
        <x:v>RECRUITMENT &amp; JUSTICE</x:v>
      </x:c>
      <x:c r="C12" s="73" t="str">
        <x:v>Check selection fairness, convenience sampling, authority relationships, compensation, vulnerable populations, and burden/benefit distribution.</x:v>
      </x:c>
      <x:c r="D12" s="73"/>
      <x:c r="E12" s="81" t="str">
        <x:v>This workbook is a planning and readiness aid, not an IRB determination, legal opinion, or substitute for institutional review. If human participants, identifiable private information, vulnerable populations, deception, sensitive topics, authority relationships, or uncertain regulatory status are involved, consult the appropriate IRB / research ethics office before recruitment or data collection.</x:v>
      </x:c>
      <x:c r="F12" s="81"/>
      <x:c r="G12" s="81"/>
      <x:c r="H12" s="81"/>
      <x:c r="I12" s="73"/>
      <x:c r="J12" s="73"/>
      <x:c r="K12" s="73"/>
      <x:c r="L12" s="73"/>
    </x:row>
    <x:row r="13">
      <x:c r="A13" s="73" t="str">
        <x:v>8</x:v>
      </x:c>
      <x:c r="B13" s="73" t="str">
        <x:v>REVIEW PACKET</x:v>
      </x:c>
      <x:c r="C13" s="73" t="str">
        <x:v>Track the documents and approvals your institution or project requires before recruitment/data collection.</x:v>
      </x:c>
      <x:c r="D13" s="73"/>
      <x:c r="E13" s="81"/>
      <x:c r="F13" s="81"/>
      <x:c r="G13" s="81"/>
      <x:c r="H13" s="81"/>
      <x:c r="I13" s="73"/>
      <x:c r="J13" s="73"/>
      <x:c r="K13" s="73"/>
      <x:c r="L13" s="73"/>
    </x:row>
    <x:row r="14">
      <x:c r="A14" s="73" t="str">
        <x:v>9</x:v>
      </x:c>
      <x:c r="B14" s="73" t="str">
        <x:v>DECISION LOG</x:v>
      </x:c>
      <x:c r="C14" s="73" t="str">
        <x:v>Record methodological and ethics decisions with rationale, evidence, approver/consultation, and revision date.</x:v>
      </x:c>
      <x:c r="D14" s="73"/>
      <x:c r="E14" s="81"/>
      <x:c r="F14" s="81"/>
      <x:c r="G14" s="81"/>
      <x:c r="H14" s="81"/>
      <x:c r="I14" s="73"/>
      <x:c r="J14" s="73"/>
      <x:c r="K14" s="73"/>
      <x:c r="L14" s="73"/>
    </x:row>
    <x:row r="15">
      <x:c r="A15" s="73" t="str">
        <x:v>10</x:v>
      </x:c>
      <x:c r="B15" s="73" t="str">
        <x:v>DASHBOARD</x:v>
      </x:c>
      <x:c r="C15" s="73" t="str">
        <x:v>See readiness, unresolved issues, review triggers, missing packet elements, and next actions.</x:v>
      </x:c>
      <x:c r="D15" s="73"/>
      <x:c r="E15" s="81"/>
      <x:c r="F15" s="81"/>
      <x:c r="G15" s="81"/>
      <x:c r="H15" s="81"/>
      <x:c r="I15" s="73"/>
      <x:c r="J15" s="73"/>
      <x:c r="K15" s="73"/>
      <x:c r="L15" s="73"/>
    </x:row>
    <x:row r="16">
      <x:c r="A16" s="73"/>
      <x:c r="B16" s="73"/>
      <x:c r="C16" s="73"/>
      <x:c r="D16" s="73"/>
      <x:c r="E16" s="81"/>
      <x:c r="F16" s="81"/>
      <x:c r="G16" s="81"/>
      <x:c r="H16" s="81"/>
      <x:c r="I16" s="73"/>
      <x:c r="J16" s="73"/>
      <x:c r="K16" s="73"/>
      <x:c r="L16" s="73"/>
    </x:row>
    <x:row r="17">
      <x:c r="A17" s="73"/>
      <x:c r="B17" s="73"/>
      <x:c r="C17" s="73"/>
      <x:c r="D17" s="73"/>
      <x:c r="E17" s="81"/>
      <x:c r="F17" s="81"/>
      <x:c r="G17" s="81"/>
      <x:c r="H17" s="81"/>
      <x:c r="I17" s="73"/>
      <x:c r="J17" s="73"/>
      <x:c r="K17" s="73"/>
      <x:c r="L17" s="73"/>
    </x:row>
    <x:row r="18">
      <x:c r="A18" s="73"/>
      <x:c r="B18" s="73"/>
      <x:c r="C18" s="73"/>
      <x:c r="D18" s="73"/>
      <x:c r="E18" s="81"/>
      <x:c r="F18" s="81"/>
      <x:c r="G18" s="81"/>
      <x:c r="H18" s="81"/>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H1"/>
    <x:mergeCell ref="A3:H3"/>
    <x:mergeCell ref="E11:H11"/>
    <x:mergeCell ref="E12:H18"/>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72" hidden="0" customWidth="1"/>
    <x:col min="4" max="4" width="34" hidden="0" customWidth="1"/>
    <x:col min="5" max="5" width="24" hidden="0" customWidth="1"/>
  </x:cols>
  <x:sheetData>
    <x:row r="1">
      <x:c r="A1" s="121" t="str">
        <x:v>PROJECT INTAKE — define the study before choosing tools</x:v>
      </x:c>
      <x:c r="B1" s="121"/>
      <x:c r="C1" s="121"/>
      <x:c r="D1" s="121"/>
      <x:c r="E1" s="121"/>
      <x:c r="F1" s="121"/>
      <x:c r="G1" s="73"/>
      <x:c r="H1" s="73"/>
      <x:c r="I1" s="73"/>
      <x:c r="J1" s="73"/>
      <x:c r="K1" s="73"/>
      <x:c r="L1" s="73"/>
    </x:row>
    <x:row r="2">
      <x:c r="A2" s="73"/>
      <x:c r="B2" s="73"/>
      <x:c r="C2" s="73"/>
      <x:c r="D2" s="73"/>
      <x:c r="E2" s="73"/>
      <x:c r="F2" s="73"/>
      <x:c r="G2" s="73"/>
      <x:c r="H2" s="73"/>
      <x:c r="I2" s="73"/>
      <x:c r="J2" s="73"/>
      <x:c r="K2" s="73"/>
      <x:c r="L2" s="73"/>
    </x:row>
    <x:row r="3">
      <x:c r="A3" s="80" t="str">
        <x:v>Project Title</x:v>
      </x:c>
      <x:c r="B3" s="93" t="str"/>
      <x:c r="C3" s="73"/>
      <x:c r="D3" s="75" t="str">
        <x:v>AUTO CHECK</x:v>
      </x:c>
      <x:c r="E3" s="75" t="str">
        <x:v>RESULT</x:v>
      </x:c>
      <x:c r="F3" s="73"/>
      <x:c r="G3" s="73"/>
      <x:c r="H3" s="73"/>
      <x:c r="I3" s="73"/>
      <x:c r="J3" s="73"/>
      <x:c r="K3" s="73"/>
      <x:c r="L3" s="73"/>
    </x:row>
    <x:row r="4">
      <x:c r="A4" s="80" t="str">
        <x:v>Broad Topic / Problem</x:v>
      </x:c>
      <x:c r="B4" s="93" t="str"/>
      <x:c r="C4" s="73"/>
      <x:c r="D4" s="80" t="str">
        <x:v>Question entered</x:v>
      </x:c>
      <x:c r="E4" s="77" t="str">
        <x:f>IF(B5="","ACTION NEEDED","OK")</x:f>
        <x:v>ACTION NEEDED</x:v>
      </x:c>
      <x:c r="F4" s="73"/>
      <x:c r="G4" s="73"/>
      <x:c r="H4" s="73"/>
      <x:c r="I4" s="73"/>
      <x:c r="J4" s="73"/>
      <x:c r="K4" s="73"/>
      <x:c r="L4" s="73"/>
    </x:row>
    <x:row r="5">
      <x:c r="A5" s="80" t="str">
        <x:v>Focused Research Question</x:v>
      </x:c>
      <x:c r="B5" s="93" t="str"/>
      <x:c r="C5" s="73"/>
      <x:c r="D5" s="80" t="str">
        <x:v>Population/data source entered</x:v>
      </x:c>
      <x:c r="E5" s="77" t="str">
        <x:f>IF(B8="","ACTION NEEDED","OK")</x:f>
        <x:v>ACTION NEEDED</x:v>
      </x:c>
      <x:c r="F5" s="73"/>
      <x:c r="G5" s="73"/>
      <x:c r="H5" s="73"/>
      <x:c r="I5" s="73"/>
      <x:c r="J5" s="73"/>
      <x:c r="K5" s="73"/>
      <x:c r="L5" s="73"/>
    </x:row>
    <x:row r="6">
      <x:c r="A6" s="80" t="str">
        <x:v>Why This Question Matters</x:v>
      </x:c>
      <x:c r="B6" s="93" t="str"/>
      <x:c r="C6" s="73"/>
      <x:c r="D6" s="80" t="str">
        <x:v>Data collection starts in future</x:v>
      </x:c>
      <x:c r="E6" s="77" t="str">
        <x:f>IF(B14&gt;TODAY(),"OK","REVIEW")</x:f>
        <x:v>OK</x:v>
      </x:c>
      <x:c r="F6" s="73"/>
      <x:c r="G6" s="73"/>
      <x:c r="H6" s="73"/>
      <x:c r="I6" s="73"/>
      <x:c r="J6" s="73"/>
      <x:c r="K6" s="73"/>
      <x:c r="L6" s="73"/>
    </x:row>
    <x:row r="7">
      <x:c r="A7" s="80" t="str">
        <x:v>Study / Project Purpose</x:v>
      </x:c>
      <x:c r="B7" s="93" t="str"/>
      <x:c r="C7" s="73"/>
      <x:c r="D7" s="80" t="str">
        <x:v>Data collection starts after planned start</x:v>
      </x:c>
      <x:c r="E7" s="77" t="str">
        <x:f>IF(B14&gt;=B13,"OK","ACTION NEEDED")</x:f>
        <x:v>OK</x:v>
      </x:c>
      <x:c r="F7" s="73"/>
      <x:c r="G7" s="73"/>
      <x:c r="H7" s="73"/>
      <x:c r="I7" s="73"/>
      <x:c r="J7" s="73"/>
      <x:c r="K7" s="73"/>
      <x:c r="L7" s="73"/>
    </x:row>
    <x:row r="8">
      <x:c r="A8" s="80" t="str">
        <x:v>Target Population or Data Source</x:v>
      </x:c>
      <x:c r="B8" s="93" t="str"/>
      <x:c r="C8" s="73"/>
      <x:c r="D8" s="80" t="str">
        <x:v>Purpose + decision use documented</x:v>
      </x:c>
      <x:c r="E8" s="77" t="str">
        <x:f>IF(AND(B7&lt;&gt;"",B16&lt;&gt;""),"OK","ACTION NEEDED")</x:f>
        <x:v>ACTION NEEDED</x:v>
      </x:c>
      <x:c r="F8" s="73"/>
      <x:c r="G8" s="73"/>
      <x:c r="H8" s="73"/>
      <x:c r="I8" s="73"/>
      <x:c r="J8" s="73"/>
      <x:c r="K8" s="73"/>
      <x:c r="L8" s="73"/>
    </x:row>
    <x:row r="9">
      <x:c r="A9" s="80" t="str">
        <x:v>Setting / Context</x:v>
      </x:c>
      <x:c r="B9" s="93" t="str"/>
      <x:c r="C9" s="73"/>
      <x:c r="D9" s="80" t="str">
        <x:v>Supervisor / PI status</x:v>
      </x:c>
      <x:c r="E9" s="77" t="str">
        <x:f>IF(B12="","OPTIONAL / CHECK CONTEXT","OK")</x:f>
        <x:v>OPTIONAL / CHECK CONTEXT</x:v>
      </x:c>
      <x:c r="F9" s="73"/>
      <x:c r="G9" s="73"/>
      <x:c r="H9" s="73"/>
      <x:c r="I9" s="73"/>
      <x:c r="J9" s="73"/>
      <x:c r="K9" s="73"/>
      <x:c r="L9" s="73"/>
    </x:row>
    <x:row r="10">
      <x:c r="A10" s="80" t="str">
        <x:v>Course / Sponsor / Organization</x:v>
      </x:c>
      <x:c r="B10" s="93" t="str"/>
      <x:c r="C10" s="73"/>
      <x:c r="D10" s="80" t="str">
        <x:v>Intake completeness</x:v>
      </x:c>
      <x:c r="E10" s="77" t="str">
        <x:f>IF(COUNTIF(E4:E9,"ACTION NEEDED")&gt;0,"ACTION NEEDED","READY FOR METHODS MAP")</x:f>
        <x:v>ACTION NEEDED</x:v>
      </x:c>
      <x:c r="F10" s="73"/>
      <x:c r="G10" s="73"/>
      <x:c r="H10" s="73"/>
      <x:c r="I10" s="73"/>
      <x:c r="J10" s="73"/>
      <x:c r="K10" s="73"/>
      <x:c r="L10" s="73"/>
    </x:row>
    <x:row r="11">
      <x:c r="A11" s="80" t="str">
        <x:v>Principal Researcher / Student</x:v>
      </x:c>
      <x:c r="B11" s="93" t="str"/>
      <x:c r="C11" s="73"/>
      <x:c r="D11" s="73"/>
      <x:c r="E11" s="73"/>
      <x:c r="F11" s="73"/>
      <x:c r="G11" s="73"/>
      <x:c r="H11" s="73"/>
      <x:c r="I11" s="73"/>
      <x:c r="J11" s="73"/>
      <x:c r="K11" s="73"/>
      <x:c r="L11" s="73"/>
    </x:row>
    <x:row r="12">
      <x:c r="A12" s="80" t="str">
        <x:v>Faculty / Supervisor / PI (if applicable)</x:v>
      </x:c>
      <x:c r="B12" s="93" t="str"/>
      <x:c r="C12" s="73"/>
      <x:c r="D12" s="73"/>
      <x:c r="E12" s="73"/>
      <x:c r="F12" s="73"/>
      <x:c r="G12" s="73"/>
      <x:c r="H12" s="73"/>
      <x:c r="I12" s="73"/>
      <x:c r="J12" s="73"/>
      <x:c r="K12" s="73"/>
      <x:c r="L12" s="73"/>
    </x:row>
    <x:row r="13">
      <x:c r="A13" s="80" t="str">
        <x:v>Planned Start Date</x:v>
      </x:c>
      <x:c r="B13" s="94" t="n">
        <x:v>46296</x:v>
      </x:c>
      <x:c r="C13" s="73"/>
      <x:c r="D13" s="73"/>
      <x:c r="E13" s="73"/>
      <x:c r="F13" s="73"/>
      <x:c r="G13" s="73"/>
      <x:c r="H13" s="73"/>
      <x:c r="I13" s="73"/>
      <x:c r="J13" s="73"/>
      <x:c r="K13" s="73"/>
      <x:c r="L13" s="73"/>
    </x:row>
    <x:row r="14">
      <x:c r="A14" s="80" t="str">
        <x:v>Planned Data Collection Start</x:v>
      </x:c>
      <x:c r="B14" s="94" t="n">
        <x:v>46310</x:v>
      </x:c>
      <x:c r="C14" s="73"/>
      <x:c r="D14" s="73"/>
      <x:c r="E14" s="73"/>
      <x:c r="F14" s="73"/>
      <x:c r="G14" s="73"/>
      <x:c r="H14" s="73"/>
      <x:c r="I14" s="73"/>
      <x:c r="J14" s="73"/>
      <x:c r="K14" s="73"/>
      <x:c r="L14" s="73"/>
    </x:row>
    <x:row r="15">
      <x:c r="A15" s="80" t="str">
        <x:v>Planned End Date</x:v>
      </x:c>
      <x:c r="B15" s="94" t="n">
        <x:v>46371</x:v>
      </x:c>
      <x:c r="C15" s="73"/>
      <x:c r="D15" s="73"/>
      <x:c r="E15" s="73"/>
      <x:c r="F15" s="73"/>
      <x:c r="G15" s="73"/>
      <x:c r="H15" s="73"/>
      <x:c r="I15" s="73"/>
      <x:c r="J15" s="73"/>
      <x:c r="K15" s="73"/>
      <x:c r="L15" s="73"/>
    </x:row>
    <x:row r="16">
      <x:c r="A16" s="80" t="str">
        <x:v>Decision / Deliverable This Research Supports</x:v>
      </x:c>
      <x:c r="B16" s="93" t="str"/>
      <x:c r="C16" s="73"/>
      <x:c r="D16" s="73"/>
      <x:c r="E16" s="73"/>
      <x:c r="F16" s="73"/>
      <x:c r="G16" s="73"/>
      <x:c r="H16" s="73"/>
      <x:c r="I16" s="73"/>
      <x:c r="J16" s="73"/>
      <x:c r="K16" s="73"/>
      <x:c r="L16" s="73"/>
    </x:row>
    <x:row r="17">
      <x:c r="A17" s="80" t="str">
        <x:v>Known Constraints</x:v>
      </x:c>
      <x:c r="B17" s="93" t="str"/>
      <x:c r="C17" s="73"/>
      <x:c r="D17" s="73"/>
      <x:c r="E17" s="73"/>
      <x:c r="F17" s="73"/>
      <x:c r="G17" s="73"/>
      <x:c r="H17" s="73"/>
      <x:c r="I17" s="73"/>
      <x:c r="J17" s="73"/>
      <x:c r="K17" s="73"/>
      <x:c r="L17" s="73"/>
    </x:row>
    <x:row r="18">
      <x:c r="A18" s="73"/>
      <x:c r="B18" s="73"/>
      <x:c r="C18" s="73"/>
      <x:c r="D18" s="73"/>
      <x:c r="E18" s="73"/>
      <x:c r="F18" s="73"/>
      <x:c r="G18" s="73"/>
      <x:c r="H18" s="73"/>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F1"/>
  </x:mergeCells>
  <x:conditionalFormatting sqref="E4:E10">
    <x:cfRule type="expression" dxfId="0" priority="1">
      <x:formula>OR(E4="ACTION NEEDED",E4="REVIEW")</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36" hidden="0" customWidth="1"/>
    <x:col min="3" max="3" width="50" hidden="0" customWidth="1"/>
    <x:col min="4" max="4" width="18" hidden="0" customWidth="1"/>
    <x:col min="5" max="5" width="32" hidden="0" customWidth="1"/>
    <x:col min="6" max="6" width="28" hidden="0" customWidth="1"/>
    <x:col min="7" max="7" width="32" hidden="0" customWidth="1"/>
    <x:col min="8" max="8" width="36" hidden="0" customWidth="1"/>
    <x:col min="9" max="9" width="32" hidden="0" customWidth="1"/>
    <x:col min="10" max="10" width="16" hidden="0" customWidth="1"/>
  </x:cols>
  <x:sheetData>
    <x:row r="1">
      <x:c r="A1" s="121" t="str">
        <x:v>METHODS MAP — question → evidence → analysis → limits</x:v>
      </x:c>
      <x:c r="B1" s="121"/>
      <x:c r="C1" s="121"/>
      <x:c r="D1" s="121"/>
      <x:c r="E1" s="121"/>
      <x:c r="F1" s="121"/>
      <x:c r="G1" s="121"/>
      <x:c r="H1" s="121"/>
      <x:c r="I1" s="121"/>
      <x:c r="J1" s="121"/>
      <x:c r="K1" s="73"/>
      <x:c r="L1" s="73"/>
    </x:row>
    <x:row r="2">
      <x:c r="A2" s="73"/>
      <x:c r="B2" s="73"/>
      <x:c r="C2" s="73"/>
      <x:c r="D2" s="73"/>
      <x:c r="E2" s="73"/>
      <x:c r="F2" s="73"/>
      <x:c r="G2" s="73"/>
      <x:c r="H2" s="73"/>
      <x:c r="I2" s="73"/>
      <x:c r="J2" s="73"/>
      <x:c r="K2" s="73"/>
      <x:c r="L2" s="73"/>
    </x:row>
    <x:row r="3">
      <x:c r="A3" s="97" t="str">
        <x:v>Stage</x:v>
      </x:c>
      <x:c r="B3" s="97" t="str">
        <x:v>Your Entry</x:v>
      </x:c>
      <x:c r="C3" s="97" t="str">
        <x:v>Prompt / Check</x:v>
      </x:c>
      <x:c r="D3" s="97" t="str">
        <x:v>Method</x:v>
      </x:c>
      <x:c r="E3" s="97" t="str">
        <x:v>Evidence / Data Needed</x:v>
      </x:c>
      <x:c r="F3" s="97" t="str">
        <x:v>Sampling / Selection</x:v>
      </x:c>
      <x:c r="G3" s="97" t="str">
        <x:v>Analysis Plan</x:v>
      </x:c>
      <x:c r="H3" s="97" t="str">
        <x:v>What Could Falsify / Complicate It?</x:v>
      </x:c>
      <x:c r="I3" s="97" t="str">
        <x:v>Limits / Generalizability</x:v>
      </x:c>
      <x:c r="J3" s="97" t="str">
        <x:v>Status</x:v>
      </x:c>
      <x:c r="K3" s="73"/>
      <x:c r="L3" s="73"/>
    </x:row>
    <x:row r="4">
      <x:c r="A4" s="98" t="str">
        <x:v>Broad topic</x:v>
      </x:c>
      <x:c r="B4" s="93" t="str"/>
      <x:c r="C4" s="99" t="str">
        <x:v>Start broad, then narrow to a question that is answerable with available evidence.</x:v>
      </x:c>
      <x:c r="D4" s="100"/>
      <x:c r="E4" s="100"/>
      <x:c r="F4" s="100"/>
      <x:c r="G4" s="100"/>
      <x:c r="H4" s="100"/>
      <x:c r="I4" s="100"/>
      <x:c r="J4" s="93"/>
      <x:c r="K4" s="73"/>
      <x:c r="L4" s="73"/>
    </x:row>
    <x:row r="5">
      <x:c r="A5" s="98" t="str">
        <x:v>Narrowed question</x:v>
      </x:c>
      <x:c r="B5" s="93" t="str"/>
      <x:c r="C5" s="99" t="str">
        <x:v>Is the scope specific enough for the time, access, population, and data available?</x:v>
      </x:c>
      <x:c r="D5" s="100"/>
      <x:c r="E5" s="100"/>
      <x:c r="F5" s="100"/>
      <x:c r="G5" s="100"/>
      <x:c r="H5" s="100"/>
      <x:c r="I5" s="100"/>
      <x:c r="J5" s="93"/>
      <x:c r="K5" s="73"/>
      <x:c r="L5" s="73"/>
    </x:row>
    <x:row r="6">
      <x:c r="A6" s="98" t="str">
        <x:v>Working hypothesis / purpose</x:v>
      </x:c>
      <x:c r="B6" s="93" t="str"/>
      <x:c r="C6" s="99" t="str">
        <x:v>Treat this as revisable. Do not force evidence to fit an original claim.</x:v>
      </x:c>
      <x:c r="D6" s="100"/>
      <x:c r="E6" s="100"/>
      <x:c r="F6" s="100"/>
      <x:c r="G6" s="100"/>
      <x:c r="H6" s="100"/>
      <x:c r="I6" s="100"/>
      <x:c r="J6" s="93"/>
      <x:c r="K6" s="73"/>
      <x:c r="L6" s="73"/>
    </x:row>
    <x:row r="7">
      <x:c r="A7" s="98" t="str">
        <x:v>Method choice</x:v>
      </x:c>
      <x:c r="B7" s="93" t="str"/>
      <x:c r="C7" s="99" t="str">
        <x:v>Why is this method suited to the question rather than merely convenient?</x:v>
      </x:c>
      <x:c r="D7" s="100"/>
      <x:c r="E7" s="100"/>
      <x:c r="F7" s="100"/>
      <x:c r="G7" s="100"/>
      <x:c r="H7" s="100"/>
      <x:c r="I7" s="100"/>
      <x:c r="J7" s="93"/>
      <x:c r="K7" s="73"/>
      <x:c r="L7" s="73"/>
    </x:row>
    <x:row r="8">
      <x:c r="A8" s="98" t="str">
        <x:v>Evidence plan</x:v>
      </x:c>
      <x:c r="B8" s="93" t="str"/>
      <x:c r="C8" s="99" t="str">
        <x:v>What specific observations, responses, documents, measures, or records answer the question?</x:v>
      </x:c>
      <x:c r="D8" s="100"/>
      <x:c r="E8" s="100"/>
      <x:c r="F8" s="100"/>
      <x:c r="G8" s="100"/>
      <x:c r="H8" s="100"/>
      <x:c r="I8" s="100"/>
      <x:c r="J8" s="93"/>
      <x:c r="K8" s="73"/>
      <x:c r="L8" s="73"/>
    </x:row>
    <x:row r="9">
      <x:c r="A9" s="98" t="str">
        <x:v>Sampling / selection</x:v>
      </x:c>
      <x:c r="B9" s="93" t="str"/>
      <x:c r="C9" s="99" t="str">
        <x:v>Who/what is included and excluded? What bias can selection introduce?</x:v>
      </x:c>
      <x:c r="D9" s="100"/>
      <x:c r="E9" s="100"/>
      <x:c r="F9" s="100"/>
      <x:c r="G9" s="100"/>
      <x:c r="H9" s="100"/>
      <x:c r="I9" s="100"/>
      <x:c r="J9" s="93"/>
      <x:c r="K9" s="73"/>
      <x:c r="L9" s="73"/>
    </x:row>
    <x:row r="10">
      <x:c r="A10" s="98" t="str">
        <x:v>Analysis plan</x:v>
      </x:c>
      <x:c r="B10" s="93" t="str"/>
      <x:c r="C10" s="99" t="str">
        <x:v>What will be calculated, coded, compared, or interpreted—and why?</x:v>
      </x:c>
      <x:c r="D10" s="100"/>
      <x:c r="E10" s="100"/>
      <x:c r="F10" s="100"/>
      <x:c r="G10" s="100"/>
      <x:c r="H10" s="100"/>
      <x:c r="I10" s="100"/>
      <x:c r="J10" s="93"/>
      <x:c r="K10" s="73"/>
      <x:c r="L10" s="73"/>
    </x:row>
    <x:row r="11">
      <x:c r="A11" s="98" t="str">
        <x:v>Revision point</x:v>
      </x:c>
      <x:c r="B11" s="93" t="str"/>
      <x:c r="C11" s="99" t="str">
        <x:v>What finding would make you change the question, interpretation, or design?</x:v>
      </x:c>
      <x:c r="D11" s="100"/>
      <x:c r="E11" s="100"/>
      <x:c r="F11" s="100"/>
      <x:c r="G11" s="100"/>
      <x:c r="H11" s="100"/>
      <x:c r="I11" s="100"/>
      <x:c r="J11" s="93"/>
      <x:c r="K11" s="73"/>
      <x:c r="L11" s="73"/>
    </x:row>
    <x:row r="12">
      <x:c r="A12" s="73"/>
      <x:c r="B12" s="73"/>
      <x:c r="C12" s="73"/>
      <x:c r="D12" s="73"/>
      <x:c r="E12" s="73"/>
      <x:c r="F12" s="73"/>
      <x:c r="G12" s="73"/>
      <x:c r="H12" s="73"/>
      <x:c r="I12" s="73"/>
      <x:c r="J12" s="73"/>
      <x:c r="K12" s="73"/>
      <x:c r="L12" s="73"/>
    </x:row>
    <x:row r="13">
      <x:c r="A13" s="73"/>
      <x:c r="B13" s="73"/>
      <x:c r="C13" s="73"/>
      <x:c r="D13" s="73"/>
      <x:c r="E13" s="73"/>
      <x:c r="F13" s="73"/>
      <x:c r="G13" s="73"/>
      <x:c r="H13" s="73"/>
      <x:c r="I13" s="73"/>
      <x:c r="J13" s="73"/>
      <x:c r="K13" s="73"/>
      <x:c r="L13" s="73"/>
    </x:row>
    <x:row r="14">
      <x:c r="A14" s="73"/>
      <x:c r="B14" s="73"/>
      <x:c r="C14" s="73"/>
      <x:c r="D14" s="73"/>
      <x:c r="E14" s="73"/>
      <x:c r="F14" s="73"/>
      <x:c r="G14" s="73"/>
      <x:c r="H14" s="73"/>
      <x:c r="I14" s="73"/>
      <x:c r="J14" s="73"/>
      <x:c r="K14" s="73"/>
      <x:c r="L14" s="73"/>
    </x:row>
    <x:row r="15">
      <x:c r="A15" s="73"/>
      <x:c r="B15" s="73"/>
      <x:c r="C15" s="73"/>
      <x:c r="D15" s="73"/>
      <x:c r="E15" s="73"/>
      <x:c r="F15" s="73"/>
      <x:c r="G15" s="73"/>
      <x:c r="H15" s="73"/>
      <x:c r="I15" s="73"/>
      <x:c r="J15" s="73"/>
      <x:c r="K15" s="73"/>
      <x:c r="L15" s="73"/>
    </x:row>
    <x:row r="16">
      <x:c r="A16" s="73"/>
      <x:c r="B16" s="73"/>
      <x:c r="C16" s="73"/>
      <x:c r="D16" s="73"/>
      <x:c r="E16" s="73"/>
      <x:c r="F16" s="73"/>
      <x:c r="G16" s="73"/>
      <x:c r="H16" s="73"/>
      <x:c r="I16" s="73"/>
      <x:c r="J16" s="73"/>
      <x:c r="K16" s="73"/>
      <x:c r="L16" s="73"/>
    </x:row>
    <x:row r="17">
      <x:c r="A17" s="73"/>
      <x:c r="B17" s="73"/>
      <x:c r="C17" s="73"/>
      <x:c r="D17" s="73"/>
      <x:c r="E17" s="73"/>
      <x:c r="F17" s="73"/>
      <x:c r="G17" s="73"/>
      <x:c r="H17" s="73"/>
      <x:c r="I17" s="73"/>
      <x:c r="J17" s="73"/>
      <x:c r="K17" s="73"/>
      <x:c r="L17" s="73"/>
    </x:row>
    <x:row r="18">
      <x:c r="A18" s="73"/>
      <x:c r="B18" s="73"/>
      <x:c r="C18" s="73"/>
      <x:c r="D18" s="73"/>
      <x:c r="E18" s="73"/>
      <x:c r="F18" s="73"/>
      <x:c r="G18" s="73"/>
      <x:c r="H18" s="73"/>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J1"/>
  </x:mergeCells>
  <x:dataValidations count="8">
    <x:dataValidation type="list" sqref="J4">
      <x:formula1>_LISTS!$B$2:$B$6</x:formula1>
    </x:dataValidation>
    <x:dataValidation type="list" sqref="J5">
      <x:formula1>_LISTS!$B$2:$B$6</x:formula1>
    </x:dataValidation>
    <x:dataValidation type="list" sqref="J6">
      <x:formula1>_LISTS!$B$2:$B$6</x:formula1>
    </x:dataValidation>
    <x:dataValidation type="list" sqref="J7">
      <x:formula1>_LISTS!$B$2:$B$6</x:formula1>
    </x:dataValidation>
    <x:dataValidation type="list" sqref="J8">
      <x:formula1>_LISTS!$B$2:$B$6</x:formula1>
    </x:dataValidation>
    <x:dataValidation type="list" sqref="J9">
      <x:formula1>_LISTS!$B$2:$B$6</x:formula1>
    </x:dataValidation>
    <x:dataValidation type="list" sqref="J10">
      <x:formula1>_LISTS!$B$2:$B$6</x:formula1>
    </x:dataValidation>
    <x:dataValidation type="list" sqref="J11">
      <x:formula1>_LISTS!$B$2:$B$6</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6" hidden="0" customWidth="1"/>
    <x:col min="2" max="2" width="16" hidden="0" customWidth="1"/>
    <x:col min="3" max="3" width="16" hidden="0" customWidth="1"/>
    <x:col min="4" max="4" width="20" hidden="0" customWidth="1"/>
    <x:col min="5" max="5" width="20" hidden="0" customWidth="1"/>
    <x:col min="6" max="6" width="20" hidden="0" customWidth="1"/>
    <x:col min="7" max="7" width="24" hidden="0" customWidth="1"/>
    <x:col min="8" max="8" width="20" hidden="0" customWidth="1"/>
    <x:col min="9" max="9" width="28" hidden="0" customWidth="1"/>
    <x:col min="10" max="10" width="34" hidden="0" customWidth="1"/>
    <x:col min="11" max="11" width="34" hidden="0" customWidth="1"/>
    <x:col min="12" max="12" width="16" hidden="0" customWidth="1"/>
  </x:cols>
  <x:sheetData>
    <x:row r="1">
      <x:c r="A1" s="121" t="str">
        <x:v>PEOPLE &amp; DATA — map every participant group, dataset, identifier, and transfer</x:v>
      </x:c>
      <x:c r="B1" s="121"/>
      <x:c r="C1" s="121"/>
      <x:c r="D1" s="121"/>
      <x:c r="E1" s="121"/>
      <x:c r="F1" s="121"/>
      <x:c r="G1" s="121"/>
      <x:c r="H1" s="121"/>
      <x:c r="I1" s="121"/>
      <x:c r="J1" s="121"/>
      <x:c r="K1" s="121"/>
      <x:c r="L1" s="121"/>
    </x:row>
    <x:row r="2">
      <x:c r="A2" s="73"/>
      <x:c r="B2" s="73"/>
      <x:c r="C2" s="73"/>
      <x:c r="D2" s="73"/>
      <x:c r="E2" s="73"/>
      <x:c r="F2" s="73"/>
      <x:c r="G2" s="73"/>
      <x:c r="H2" s="73"/>
      <x:c r="I2" s="73"/>
      <x:c r="J2" s="73"/>
      <x:c r="K2" s="73"/>
      <x:c r="L2" s="73"/>
    </x:row>
    <x:row r="3">
      <x:c r="A3" s="97" t="str">
        <x:v>Group / Dataset</x:v>
      </x:c>
      <x:c r="B3" s="97" t="str">
        <x:v>Human Participants?</x:v>
      </x:c>
      <x:c r="C3" s="97" t="str">
        <x:v>Direct Interaction?</x:v>
      </x:c>
      <x:c r="D3" s="97" t="str">
        <x:v>Private / Nonpublic Info?</x:v>
      </x:c>
      <x:c r="E3" s="97" t="str">
        <x:v>Identifiability</x:v>
      </x:c>
      <x:c r="F3" s="97" t="str">
        <x:v>Sensitive Topic / Data?</x:v>
      </x:c>
      <x:c r="G3" s="97" t="str">
        <x:v>Vulnerable / Protected Population?</x:v>
      </x:c>
      <x:c r="H3" s="97" t="str">
        <x:v>Authority Relationship?</x:v>
      </x:c>
      <x:c r="I3" s="97" t="str">
        <x:v>Recruitment / Source</x:v>
      </x:c>
      <x:c r="J3" s="97" t="str">
        <x:v>Data Collected</x:v>
      </x:c>
      <x:c r="K3" s="97" t="str">
        <x:v>Destination / Storage</x:v>
      </x:c>
      <x:c r="L3" s="97" t="str">
        <x:v>Row QA</x:v>
      </x:c>
    </x:row>
    <x:row r="4">
      <x:c r="A4" s="93"/>
      <x:c r="B4" s="93"/>
      <x:c r="C4" s="93"/>
      <x:c r="D4" s="93"/>
      <x:c r="E4" s="93"/>
      <x:c r="F4" s="93"/>
      <x:c r="G4" s="93"/>
      <x:c r="H4" s="93"/>
      <x:c r="I4" s="93"/>
      <x:c r="J4" s="93"/>
      <x:c r="K4" s="93"/>
      <x:c r="L4" s="105" t="str">
        <x:f>IF(A4="","",IF(OR(B4="Unsure",C4="Unsure",D4="Unsure",E4="",F4="Unsure",G4="Unsure",H4="Unsure"),"ACTION NEEDED","OK"))</x:f>
      </x:c>
    </x:row>
    <x:row r="5">
      <x:c r="A5" s="93"/>
      <x:c r="B5" s="93"/>
      <x:c r="C5" s="93"/>
      <x:c r="D5" s="93"/>
      <x:c r="E5" s="93"/>
      <x:c r="F5" s="93"/>
      <x:c r="G5" s="93"/>
      <x:c r="H5" s="93"/>
      <x:c r="I5" s="93"/>
      <x:c r="J5" s="93"/>
      <x:c r="K5" s="93"/>
      <x:c r="L5" s="105" t="str">
        <x:f>IF(A5="","",IF(OR(B5="Unsure",C5="Unsure",D5="Unsure",E5="",F5="Unsure",G5="Unsure",H5="Unsure"),"ACTION NEEDED","OK"))</x:f>
      </x:c>
    </x:row>
    <x:row r="6">
      <x:c r="A6" s="93"/>
      <x:c r="B6" s="93"/>
      <x:c r="C6" s="93"/>
      <x:c r="D6" s="93"/>
      <x:c r="E6" s="93"/>
      <x:c r="F6" s="93"/>
      <x:c r="G6" s="93"/>
      <x:c r="H6" s="93"/>
      <x:c r="I6" s="93"/>
      <x:c r="J6" s="93"/>
      <x:c r="K6" s="93"/>
      <x:c r="L6" s="105" t="str">
        <x:f>IF(A6="","",IF(OR(B6="Unsure",C6="Unsure",D6="Unsure",E6="",F6="Unsure",G6="Unsure",H6="Unsure"),"ACTION NEEDED","OK"))</x:f>
      </x:c>
    </x:row>
    <x:row r="7">
      <x:c r="A7" s="93"/>
      <x:c r="B7" s="93"/>
      <x:c r="C7" s="93"/>
      <x:c r="D7" s="93"/>
      <x:c r="E7" s="93"/>
      <x:c r="F7" s="93"/>
      <x:c r="G7" s="93"/>
      <x:c r="H7" s="93"/>
      <x:c r="I7" s="93"/>
      <x:c r="J7" s="93"/>
      <x:c r="K7" s="93"/>
      <x:c r="L7" s="105" t="str">
        <x:f>IF(A7="","",IF(OR(B7="Unsure",C7="Unsure",D7="Unsure",E7="",F7="Unsure",G7="Unsure",H7="Unsure"),"ACTION NEEDED","OK"))</x:f>
      </x:c>
    </x:row>
    <x:row r="8">
      <x:c r="A8" s="93"/>
      <x:c r="B8" s="93"/>
      <x:c r="C8" s="93"/>
      <x:c r="D8" s="93"/>
      <x:c r="E8" s="93"/>
      <x:c r="F8" s="93"/>
      <x:c r="G8" s="93"/>
      <x:c r="H8" s="93"/>
      <x:c r="I8" s="93"/>
      <x:c r="J8" s="93"/>
      <x:c r="K8" s="93"/>
      <x:c r="L8" s="105" t="str">
        <x:f>IF(A8="","",IF(OR(B8="Unsure",C8="Unsure",D8="Unsure",E8="",F8="Unsure",G8="Unsure",H8="Unsure"),"ACTION NEEDED","OK"))</x:f>
      </x:c>
    </x:row>
    <x:row r="9">
      <x:c r="A9" s="93"/>
      <x:c r="B9" s="93"/>
      <x:c r="C9" s="93"/>
      <x:c r="D9" s="93"/>
      <x:c r="E9" s="93"/>
      <x:c r="F9" s="93"/>
      <x:c r="G9" s="93"/>
      <x:c r="H9" s="93"/>
      <x:c r="I9" s="93"/>
      <x:c r="J9" s="93"/>
      <x:c r="K9" s="93"/>
      <x:c r="L9" s="105" t="str">
        <x:f>IF(A9="","",IF(OR(B9="Unsure",C9="Unsure",D9="Unsure",E9="",F9="Unsure",G9="Unsure",H9="Unsure"),"ACTION NEEDED","OK"))</x:f>
      </x:c>
    </x:row>
    <x:row r="10">
      <x:c r="A10" s="93"/>
      <x:c r="B10" s="93"/>
      <x:c r="C10" s="93"/>
      <x:c r="D10" s="93"/>
      <x:c r="E10" s="93"/>
      <x:c r="F10" s="93"/>
      <x:c r="G10" s="93"/>
      <x:c r="H10" s="93"/>
      <x:c r="I10" s="93"/>
      <x:c r="J10" s="93"/>
      <x:c r="K10" s="93"/>
      <x:c r="L10" s="105" t="str">
        <x:f>IF(A10="","",IF(OR(B10="Unsure",C10="Unsure",D10="Unsure",E10="",F10="Unsure",G10="Unsure",H10="Unsure"),"ACTION NEEDED","OK"))</x:f>
      </x:c>
    </x:row>
    <x:row r="11">
      <x:c r="A11" s="93"/>
      <x:c r="B11" s="93"/>
      <x:c r="C11" s="93"/>
      <x:c r="D11" s="93"/>
      <x:c r="E11" s="93"/>
      <x:c r="F11" s="93"/>
      <x:c r="G11" s="93"/>
      <x:c r="H11" s="93"/>
      <x:c r="I11" s="93"/>
      <x:c r="J11" s="93"/>
      <x:c r="K11" s="93"/>
      <x:c r="L11" s="105" t="str">
        <x:f>IF(A11="","",IF(OR(B11="Unsure",C11="Unsure",D11="Unsure",E11="",F11="Unsure",G11="Unsure",H11="Unsure"),"ACTION NEEDED","OK"))</x:f>
      </x:c>
    </x:row>
    <x:row r="12">
      <x:c r="A12" s="93"/>
      <x:c r="B12" s="93"/>
      <x:c r="C12" s="93"/>
      <x:c r="D12" s="93"/>
      <x:c r="E12" s="93"/>
      <x:c r="F12" s="93"/>
      <x:c r="G12" s="93"/>
      <x:c r="H12" s="93"/>
      <x:c r="I12" s="93"/>
      <x:c r="J12" s="93"/>
      <x:c r="K12" s="93"/>
      <x:c r="L12" s="105" t="str">
        <x:f>IF(A12="","",IF(OR(B12="Unsure",C12="Unsure",D12="Unsure",E12="",F12="Unsure",G12="Unsure",H12="Unsure"),"ACTION NEEDED","OK"))</x:f>
      </x:c>
    </x:row>
    <x:row r="13">
      <x:c r="A13" s="93"/>
      <x:c r="B13" s="93"/>
      <x:c r="C13" s="93"/>
      <x:c r="D13" s="93"/>
      <x:c r="E13" s="93"/>
      <x:c r="F13" s="93"/>
      <x:c r="G13" s="93"/>
      <x:c r="H13" s="93"/>
      <x:c r="I13" s="93"/>
      <x:c r="J13" s="93"/>
      <x:c r="K13" s="93"/>
      <x:c r="L13" s="105" t="str">
        <x:f>IF(A13="","",IF(OR(B13="Unsure",C13="Unsure",D13="Unsure",E13="",F13="Unsure",G13="Unsure",H13="Unsure"),"ACTION NEEDED","OK"))</x:f>
      </x:c>
    </x:row>
    <x:row r="14">
      <x:c r="A14" s="93"/>
      <x:c r="B14" s="93"/>
      <x:c r="C14" s="93"/>
      <x:c r="D14" s="93"/>
      <x:c r="E14" s="93"/>
      <x:c r="F14" s="93"/>
      <x:c r="G14" s="93"/>
      <x:c r="H14" s="93"/>
      <x:c r="I14" s="93"/>
      <x:c r="J14" s="93"/>
      <x:c r="K14" s="93"/>
      <x:c r="L14" s="105" t="str">
        <x:f>IF(A14="","",IF(OR(B14="Unsure",C14="Unsure",D14="Unsure",E14="",F14="Unsure",G14="Unsure",H14="Unsure"),"ACTION NEEDED","OK"))</x:f>
      </x:c>
    </x:row>
    <x:row r="15">
      <x:c r="A15" s="93"/>
      <x:c r="B15" s="93"/>
      <x:c r="C15" s="93"/>
      <x:c r="D15" s="93"/>
      <x:c r="E15" s="93"/>
      <x:c r="F15" s="93"/>
      <x:c r="G15" s="93"/>
      <x:c r="H15" s="93"/>
      <x:c r="I15" s="93"/>
      <x:c r="J15" s="93"/>
      <x:c r="K15" s="93"/>
      <x:c r="L15" s="105" t="str">
        <x:f>IF(A15="","",IF(OR(B15="Unsure",C15="Unsure",D15="Unsure",E15="",F15="Unsure",G15="Unsure",H15="Unsure"),"ACTION NEEDED","OK"))</x:f>
      </x:c>
    </x:row>
    <x:row r="16">
      <x:c r="A16" s="93"/>
      <x:c r="B16" s="93"/>
      <x:c r="C16" s="93"/>
      <x:c r="D16" s="93"/>
      <x:c r="E16" s="93"/>
      <x:c r="F16" s="93"/>
      <x:c r="G16" s="93"/>
      <x:c r="H16" s="93"/>
      <x:c r="I16" s="93"/>
      <x:c r="J16" s="93"/>
      <x:c r="K16" s="93"/>
      <x:c r="L16" s="105" t="str">
        <x:f>IF(A16="","",IF(OR(B16="Unsure",C16="Unsure",D16="Unsure",E16="",F16="Unsure",G16="Unsure",H16="Unsure"),"ACTION NEEDED","OK"))</x:f>
      </x:c>
    </x:row>
    <x:row r="17">
      <x:c r="A17" s="93"/>
      <x:c r="B17" s="93"/>
      <x:c r="C17" s="93"/>
      <x:c r="D17" s="93"/>
      <x:c r="E17" s="93"/>
      <x:c r="F17" s="93"/>
      <x:c r="G17" s="93"/>
      <x:c r="H17" s="93"/>
      <x:c r="I17" s="93"/>
      <x:c r="J17" s="93"/>
      <x:c r="K17" s="93"/>
      <x:c r="L17" s="105" t="str">
        <x:f>IF(A17="","",IF(OR(B17="Unsure",C17="Unsure",D17="Unsure",E17="",F17="Unsure",G17="Unsure",H17="Unsure"),"ACTION NEEDED","OK"))</x:f>
      </x:c>
    </x:row>
    <x:row r="18">
      <x:c r="A18" s="93"/>
      <x:c r="B18" s="93"/>
      <x:c r="C18" s="93"/>
      <x:c r="D18" s="93"/>
      <x:c r="E18" s="93"/>
      <x:c r="F18" s="93"/>
      <x:c r="G18" s="93"/>
      <x:c r="H18" s="93"/>
      <x:c r="I18" s="93"/>
      <x:c r="J18" s="93"/>
      <x:c r="K18" s="93"/>
      <x:c r="L18" s="105" t="str">
        <x:f>IF(A18="","",IF(OR(B18="Unsure",C18="Unsure",D18="Unsure",E18="",F18="Unsure",G18="Unsure",H18="Unsure"),"ACTION NEEDED","OK"))</x:f>
      </x:c>
    </x:row>
    <x:row r="19">
      <x:c r="A19" s="93"/>
      <x:c r="B19" s="93"/>
      <x:c r="C19" s="93"/>
      <x:c r="D19" s="93"/>
      <x:c r="E19" s="93"/>
      <x:c r="F19" s="93"/>
      <x:c r="G19" s="93"/>
      <x:c r="H19" s="93"/>
      <x:c r="I19" s="93"/>
      <x:c r="J19" s="93"/>
      <x:c r="K19" s="93"/>
      <x:c r="L19" s="105" t="str">
        <x:f>IF(A19="","",IF(OR(B19="Unsure",C19="Unsure",D19="Unsure",E19="",F19="Unsure",G19="Unsure",H19="Unsure"),"ACTION NEEDED","OK"))</x:f>
      </x:c>
    </x:row>
    <x:row r="20">
      <x:c r="A20" s="93"/>
      <x:c r="B20" s="93"/>
      <x:c r="C20" s="93"/>
      <x:c r="D20" s="93"/>
      <x:c r="E20" s="93"/>
      <x:c r="F20" s="93"/>
      <x:c r="G20" s="93"/>
      <x:c r="H20" s="93"/>
      <x:c r="I20" s="93"/>
      <x:c r="J20" s="93"/>
      <x:c r="K20" s="93"/>
      <x:c r="L20" s="105" t="str">
        <x:f>IF(A20="","",IF(OR(B20="Unsure",C20="Unsure",D20="Unsure",E20="",F20="Unsure",G20="Unsure",H20="Unsure"),"ACTION NEEDED","OK"))</x:f>
      </x:c>
    </x:row>
    <x:row r="21">
      <x:c r="A21" s="93"/>
      <x:c r="B21" s="93"/>
      <x:c r="C21" s="93"/>
      <x:c r="D21" s="93"/>
      <x:c r="E21" s="93"/>
      <x:c r="F21" s="93"/>
      <x:c r="G21" s="93"/>
      <x:c r="H21" s="93"/>
      <x:c r="I21" s="93"/>
      <x:c r="J21" s="93"/>
      <x:c r="K21" s="93"/>
      <x:c r="L21" s="105" t="str">
        <x:f>IF(A21="","",IF(OR(B21="Unsure",C21="Unsure",D21="Unsure",E21="",F21="Unsure",G21="Unsure",H21="Unsure"),"ACTION NEEDED","OK"))</x:f>
      </x:c>
    </x:row>
    <x:row r="22">
      <x:c r="A22" s="93"/>
      <x:c r="B22" s="93"/>
      <x:c r="C22" s="93"/>
      <x:c r="D22" s="93"/>
      <x:c r="E22" s="93"/>
      <x:c r="F22" s="93"/>
      <x:c r="G22" s="93"/>
      <x:c r="H22" s="93"/>
      <x:c r="I22" s="93"/>
      <x:c r="J22" s="93"/>
      <x:c r="K22" s="93"/>
      <x:c r="L22" s="105" t="str">
        <x:f>IF(A22="","",IF(OR(B22="Unsure",C22="Unsure",D22="Unsure",E22="",F22="Unsure",G22="Unsure",H22="Unsure"),"ACTION NEEDED","OK"))</x:f>
      </x:c>
    </x:row>
    <x:row r="23">
      <x:c r="A23" s="93"/>
      <x:c r="B23" s="93"/>
      <x:c r="C23" s="93"/>
      <x:c r="D23" s="93"/>
      <x:c r="E23" s="93"/>
      <x:c r="F23" s="93"/>
      <x:c r="G23" s="93"/>
      <x:c r="H23" s="93"/>
      <x:c r="I23" s="93"/>
      <x:c r="J23" s="93"/>
      <x:c r="K23" s="93"/>
      <x:c r="L23" s="105" t="str">
        <x:f>IF(A23="","",IF(OR(B23="Unsure",C23="Unsure",D23="Unsure",E23="",F23="Unsure",G23="Unsure",H23="Unsure"),"ACTION NEEDED","OK"))</x:f>
      </x:c>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L1"/>
  </x:mergeCells>
  <x:conditionalFormatting sqref="L4:L23">
    <x:cfRule type="expression" dxfId="1" priority="1">
      <x:formula>$L4="ACTION NEEDED"</x:formula>
    </x:cfRule>
  </x:conditionalFormatting>
  <x:dataValidations count="140">
    <x:dataValidation type="list" sqref="B4">
      <x:formula1>_LISTS!$A$2:$A$5</x:formula1>
    </x:dataValidation>
    <x:dataValidation type="list" sqref="C4">
      <x:formula1>_LISTS!$A$2:$A$5</x:formula1>
    </x:dataValidation>
    <x:dataValidation type="list" sqref="D4">
      <x:formula1>_LISTS!$A$2:$A$5</x:formula1>
    </x:dataValidation>
    <x:dataValidation type="list" sqref="F4">
      <x:formula1>_LISTS!$A$2:$A$5</x:formula1>
    </x:dataValidation>
    <x:dataValidation type="list" sqref="G4">
      <x:formula1>_LISTS!$A$2:$A$5</x:formula1>
    </x:dataValidation>
    <x:dataValidation type="list" sqref="H4">
      <x:formula1>_LISTS!$A$2:$A$5</x:formula1>
    </x:dataValidation>
    <x:dataValidation type="list" sqref="E4">
      <x:formula1>_LISTS!$D$2:$D$6</x:formula1>
    </x:dataValidation>
    <x:dataValidation type="list" sqref="B5">
      <x:formula1>_LISTS!$A$2:$A$5</x:formula1>
    </x:dataValidation>
    <x:dataValidation type="list" sqref="C5">
      <x:formula1>_LISTS!$A$2:$A$5</x:formula1>
    </x:dataValidation>
    <x:dataValidation type="list" sqref="D5">
      <x:formula1>_LISTS!$A$2:$A$5</x:formula1>
    </x:dataValidation>
    <x:dataValidation type="list" sqref="F5">
      <x:formula1>_LISTS!$A$2:$A$5</x:formula1>
    </x:dataValidation>
    <x:dataValidation type="list" sqref="G5">
      <x:formula1>_LISTS!$A$2:$A$5</x:formula1>
    </x:dataValidation>
    <x:dataValidation type="list" sqref="H5">
      <x:formula1>_LISTS!$A$2:$A$5</x:formula1>
    </x:dataValidation>
    <x:dataValidation type="list" sqref="E5">
      <x:formula1>_LISTS!$D$2:$D$6</x:formula1>
    </x:dataValidation>
    <x:dataValidation type="list" sqref="B6">
      <x:formula1>_LISTS!$A$2:$A$5</x:formula1>
    </x:dataValidation>
    <x:dataValidation type="list" sqref="C6">
      <x:formula1>_LISTS!$A$2:$A$5</x:formula1>
    </x:dataValidation>
    <x:dataValidation type="list" sqref="D6">
      <x:formula1>_LISTS!$A$2:$A$5</x:formula1>
    </x:dataValidation>
    <x:dataValidation type="list" sqref="F6">
      <x:formula1>_LISTS!$A$2:$A$5</x:formula1>
    </x:dataValidation>
    <x:dataValidation type="list" sqref="G6">
      <x:formula1>_LISTS!$A$2:$A$5</x:formula1>
    </x:dataValidation>
    <x:dataValidation type="list" sqref="H6">
      <x:formula1>_LISTS!$A$2:$A$5</x:formula1>
    </x:dataValidation>
    <x:dataValidation type="list" sqref="E6">
      <x:formula1>_LISTS!$D$2:$D$6</x:formula1>
    </x:dataValidation>
    <x:dataValidation type="list" sqref="B7">
      <x:formula1>_LISTS!$A$2:$A$5</x:formula1>
    </x:dataValidation>
    <x:dataValidation type="list" sqref="C7">
      <x:formula1>_LISTS!$A$2:$A$5</x:formula1>
    </x:dataValidation>
    <x:dataValidation type="list" sqref="D7">
      <x:formula1>_LISTS!$A$2:$A$5</x:formula1>
    </x:dataValidation>
    <x:dataValidation type="list" sqref="F7">
      <x:formula1>_LISTS!$A$2:$A$5</x:formula1>
    </x:dataValidation>
    <x:dataValidation type="list" sqref="G7">
      <x:formula1>_LISTS!$A$2:$A$5</x:formula1>
    </x:dataValidation>
    <x:dataValidation type="list" sqref="H7">
      <x:formula1>_LISTS!$A$2:$A$5</x:formula1>
    </x:dataValidation>
    <x:dataValidation type="list" sqref="E7">
      <x:formula1>_LISTS!$D$2:$D$6</x:formula1>
    </x:dataValidation>
    <x:dataValidation type="list" sqref="B8">
      <x:formula1>_LISTS!$A$2:$A$5</x:formula1>
    </x:dataValidation>
    <x:dataValidation type="list" sqref="C8">
      <x:formula1>_LISTS!$A$2:$A$5</x:formula1>
    </x:dataValidation>
    <x:dataValidation type="list" sqref="D8">
      <x:formula1>_LISTS!$A$2:$A$5</x:formula1>
    </x:dataValidation>
    <x:dataValidation type="list" sqref="F8">
      <x:formula1>_LISTS!$A$2:$A$5</x:formula1>
    </x:dataValidation>
    <x:dataValidation type="list" sqref="G8">
      <x:formula1>_LISTS!$A$2:$A$5</x:formula1>
    </x:dataValidation>
    <x:dataValidation type="list" sqref="H8">
      <x:formula1>_LISTS!$A$2:$A$5</x:formula1>
    </x:dataValidation>
    <x:dataValidation type="list" sqref="E8">
      <x:formula1>_LISTS!$D$2:$D$6</x:formula1>
    </x:dataValidation>
    <x:dataValidation type="list" sqref="B9">
      <x:formula1>_LISTS!$A$2:$A$5</x:formula1>
    </x:dataValidation>
    <x:dataValidation type="list" sqref="C9">
      <x:formula1>_LISTS!$A$2:$A$5</x:formula1>
    </x:dataValidation>
    <x:dataValidation type="list" sqref="D9">
      <x:formula1>_LISTS!$A$2:$A$5</x:formula1>
    </x:dataValidation>
    <x:dataValidation type="list" sqref="F9">
      <x:formula1>_LISTS!$A$2:$A$5</x:formula1>
    </x:dataValidation>
    <x:dataValidation type="list" sqref="G9">
      <x:formula1>_LISTS!$A$2:$A$5</x:formula1>
    </x:dataValidation>
    <x:dataValidation type="list" sqref="H9">
      <x:formula1>_LISTS!$A$2:$A$5</x:formula1>
    </x:dataValidation>
    <x:dataValidation type="list" sqref="E9">
      <x:formula1>_LISTS!$D$2:$D$6</x:formula1>
    </x:dataValidation>
    <x:dataValidation type="list" sqref="B10">
      <x:formula1>_LISTS!$A$2:$A$5</x:formula1>
    </x:dataValidation>
    <x:dataValidation type="list" sqref="C10">
      <x:formula1>_LISTS!$A$2:$A$5</x:formula1>
    </x:dataValidation>
    <x:dataValidation type="list" sqref="D10">
      <x:formula1>_LISTS!$A$2:$A$5</x:formula1>
    </x:dataValidation>
    <x:dataValidation type="list" sqref="F10">
      <x:formula1>_LISTS!$A$2:$A$5</x:formula1>
    </x:dataValidation>
    <x:dataValidation type="list" sqref="G10">
      <x:formula1>_LISTS!$A$2:$A$5</x:formula1>
    </x:dataValidation>
    <x:dataValidation type="list" sqref="H10">
      <x:formula1>_LISTS!$A$2:$A$5</x:formula1>
    </x:dataValidation>
    <x:dataValidation type="list" sqref="E10">
      <x:formula1>_LISTS!$D$2:$D$6</x:formula1>
    </x:dataValidation>
    <x:dataValidation type="list" sqref="B11">
      <x:formula1>_LISTS!$A$2:$A$5</x:formula1>
    </x:dataValidation>
    <x:dataValidation type="list" sqref="C11">
      <x:formula1>_LISTS!$A$2:$A$5</x:formula1>
    </x:dataValidation>
    <x:dataValidation type="list" sqref="D11">
      <x:formula1>_LISTS!$A$2:$A$5</x:formula1>
    </x:dataValidation>
    <x:dataValidation type="list" sqref="F11">
      <x:formula1>_LISTS!$A$2:$A$5</x:formula1>
    </x:dataValidation>
    <x:dataValidation type="list" sqref="G11">
      <x:formula1>_LISTS!$A$2:$A$5</x:formula1>
    </x:dataValidation>
    <x:dataValidation type="list" sqref="H11">
      <x:formula1>_LISTS!$A$2:$A$5</x:formula1>
    </x:dataValidation>
    <x:dataValidation type="list" sqref="E11">
      <x:formula1>_LISTS!$D$2:$D$6</x:formula1>
    </x:dataValidation>
    <x:dataValidation type="list" sqref="B12">
      <x:formula1>_LISTS!$A$2:$A$5</x:formula1>
    </x:dataValidation>
    <x:dataValidation type="list" sqref="C12">
      <x:formula1>_LISTS!$A$2:$A$5</x:formula1>
    </x:dataValidation>
    <x:dataValidation type="list" sqref="D12">
      <x:formula1>_LISTS!$A$2:$A$5</x:formula1>
    </x:dataValidation>
    <x:dataValidation type="list" sqref="F12">
      <x:formula1>_LISTS!$A$2:$A$5</x:formula1>
    </x:dataValidation>
    <x:dataValidation type="list" sqref="G12">
      <x:formula1>_LISTS!$A$2:$A$5</x:formula1>
    </x:dataValidation>
    <x:dataValidation type="list" sqref="H12">
      <x:formula1>_LISTS!$A$2:$A$5</x:formula1>
    </x:dataValidation>
    <x:dataValidation type="list" sqref="E12">
      <x:formula1>_LISTS!$D$2:$D$6</x:formula1>
    </x:dataValidation>
    <x:dataValidation type="list" sqref="B13">
      <x:formula1>_LISTS!$A$2:$A$5</x:formula1>
    </x:dataValidation>
    <x:dataValidation type="list" sqref="C13">
      <x:formula1>_LISTS!$A$2:$A$5</x:formula1>
    </x:dataValidation>
    <x:dataValidation type="list" sqref="D13">
      <x:formula1>_LISTS!$A$2:$A$5</x:formula1>
    </x:dataValidation>
    <x:dataValidation type="list" sqref="F13">
      <x:formula1>_LISTS!$A$2:$A$5</x:formula1>
    </x:dataValidation>
    <x:dataValidation type="list" sqref="G13">
      <x:formula1>_LISTS!$A$2:$A$5</x:formula1>
    </x:dataValidation>
    <x:dataValidation type="list" sqref="H13">
      <x:formula1>_LISTS!$A$2:$A$5</x:formula1>
    </x:dataValidation>
    <x:dataValidation type="list" sqref="E13">
      <x:formula1>_LISTS!$D$2:$D$6</x:formula1>
    </x:dataValidation>
    <x:dataValidation type="list" sqref="B14">
      <x:formula1>_LISTS!$A$2:$A$5</x:formula1>
    </x:dataValidation>
    <x:dataValidation type="list" sqref="C14">
      <x:formula1>_LISTS!$A$2:$A$5</x:formula1>
    </x:dataValidation>
    <x:dataValidation type="list" sqref="D14">
      <x:formula1>_LISTS!$A$2:$A$5</x:formula1>
    </x:dataValidation>
    <x:dataValidation type="list" sqref="F14">
      <x:formula1>_LISTS!$A$2:$A$5</x:formula1>
    </x:dataValidation>
    <x:dataValidation type="list" sqref="G14">
      <x:formula1>_LISTS!$A$2:$A$5</x:formula1>
    </x:dataValidation>
    <x:dataValidation type="list" sqref="H14">
      <x:formula1>_LISTS!$A$2:$A$5</x:formula1>
    </x:dataValidation>
    <x:dataValidation type="list" sqref="E14">
      <x:formula1>_LISTS!$D$2:$D$6</x:formula1>
    </x:dataValidation>
    <x:dataValidation type="list" sqref="B15">
      <x:formula1>_LISTS!$A$2:$A$5</x:formula1>
    </x:dataValidation>
    <x:dataValidation type="list" sqref="C15">
      <x:formula1>_LISTS!$A$2:$A$5</x:formula1>
    </x:dataValidation>
    <x:dataValidation type="list" sqref="D15">
      <x:formula1>_LISTS!$A$2:$A$5</x:formula1>
    </x:dataValidation>
    <x:dataValidation type="list" sqref="F15">
      <x:formula1>_LISTS!$A$2:$A$5</x:formula1>
    </x:dataValidation>
    <x:dataValidation type="list" sqref="G15">
      <x:formula1>_LISTS!$A$2:$A$5</x:formula1>
    </x:dataValidation>
    <x:dataValidation type="list" sqref="H15">
      <x:formula1>_LISTS!$A$2:$A$5</x:formula1>
    </x:dataValidation>
    <x:dataValidation type="list" sqref="E15">
      <x:formula1>_LISTS!$D$2:$D$6</x:formula1>
    </x:dataValidation>
    <x:dataValidation type="list" sqref="B16">
      <x:formula1>_LISTS!$A$2:$A$5</x:formula1>
    </x:dataValidation>
    <x:dataValidation type="list" sqref="C16">
      <x:formula1>_LISTS!$A$2:$A$5</x:formula1>
    </x:dataValidation>
    <x:dataValidation type="list" sqref="D16">
      <x:formula1>_LISTS!$A$2:$A$5</x:formula1>
    </x:dataValidation>
    <x:dataValidation type="list" sqref="F16">
      <x:formula1>_LISTS!$A$2:$A$5</x:formula1>
    </x:dataValidation>
    <x:dataValidation type="list" sqref="G16">
      <x:formula1>_LISTS!$A$2:$A$5</x:formula1>
    </x:dataValidation>
    <x:dataValidation type="list" sqref="H16">
      <x:formula1>_LISTS!$A$2:$A$5</x:formula1>
    </x:dataValidation>
    <x:dataValidation type="list" sqref="E16">
      <x:formula1>_LISTS!$D$2:$D$6</x:formula1>
    </x:dataValidation>
    <x:dataValidation type="list" sqref="B17">
      <x:formula1>_LISTS!$A$2:$A$5</x:formula1>
    </x:dataValidation>
    <x:dataValidation type="list" sqref="C17">
      <x:formula1>_LISTS!$A$2:$A$5</x:formula1>
    </x:dataValidation>
    <x:dataValidation type="list" sqref="D17">
      <x:formula1>_LISTS!$A$2:$A$5</x:formula1>
    </x:dataValidation>
    <x:dataValidation type="list" sqref="F17">
      <x:formula1>_LISTS!$A$2:$A$5</x:formula1>
    </x:dataValidation>
    <x:dataValidation type="list" sqref="G17">
      <x:formula1>_LISTS!$A$2:$A$5</x:formula1>
    </x:dataValidation>
    <x:dataValidation type="list" sqref="H17">
      <x:formula1>_LISTS!$A$2:$A$5</x:formula1>
    </x:dataValidation>
    <x:dataValidation type="list" sqref="E17">
      <x:formula1>_LISTS!$D$2:$D$6</x:formula1>
    </x:dataValidation>
    <x:dataValidation type="list" sqref="B18">
      <x:formula1>_LISTS!$A$2:$A$5</x:formula1>
    </x:dataValidation>
    <x:dataValidation type="list" sqref="C18">
      <x:formula1>_LISTS!$A$2:$A$5</x:formula1>
    </x:dataValidation>
    <x:dataValidation type="list" sqref="D18">
      <x:formula1>_LISTS!$A$2:$A$5</x:formula1>
    </x:dataValidation>
    <x:dataValidation type="list" sqref="F18">
      <x:formula1>_LISTS!$A$2:$A$5</x:formula1>
    </x:dataValidation>
    <x:dataValidation type="list" sqref="G18">
      <x:formula1>_LISTS!$A$2:$A$5</x:formula1>
    </x:dataValidation>
    <x:dataValidation type="list" sqref="H18">
      <x:formula1>_LISTS!$A$2:$A$5</x:formula1>
    </x:dataValidation>
    <x:dataValidation type="list" sqref="E18">
      <x:formula1>_LISTS!$D$2:$D$6</x:formula1>
    </x:dataValidation>
    <x:dataValidation type="list" sqref="B19">
      <x:formula1>_LISTS!$A$2:$A$5</x:formula1>
    </x:dataValidation>
    <x:dataValidation type="list" sqref="C19">
      <x:formula1>_LISTS!$A$2:$A$5</x:formula1>
    </x:dataValidation>
    <x:dataValidation type="list" sqref="D19">
      <x:formula1>_LISTS!$A$2:$A$5</x:formula1>
    </x:dataValidation>
    <x:dataValidation type="list" sqref="F19">
      <x:formula1>_LISTS!$A$2:$A$5</x:formula1>
    </x:dataValidation>
    <x:dataValidation type="list" sqref="G19">
      <x:formula1>_LISTS!$A$2:$A$5</x:formula1>
    </x:dataValidation>
    <x:dataValidation type="list" sqref="H19">
      <x:formula1>_LISTS!$A$2:$A$5</x:formula1>
    </x:dataValidation>
    <x:dataValidation type="list" sqref="E19">
      <x:formula1>_LISTS!$D$2:$D$6</x:formula1>
    </x:dataValidation>
    <x:dataValidation type="list" sqref="B20">
      <x:formula1>_LISTS!$A$2:$A$5</x:formula1>
    </x:dataValidation>
    <x:dataValidation type="list" sqref="C20">
      <x:formula1>_LISTS!$A$2:$A$5</x:formula1>
    </x:dataValidation>
    <x:dataValidation type="list" sqref="D20">
      <x:formula1>_LISTS!$A$2:$A$5</x:formula1>
    </x:dataValidation>
    <x:dataValidation type="list" sqref="F20">
      <x:formula1>_LISTS!$A$2:$A$5</x:formula1>
    </x:dataValidation>
    <x:dataValidation type="list" sqref="G20">
      <x:formula1>_LISTS!$A$2:$A$5</x:formula1>
    </x:dataValidation>
    <x:dataValidation type="list" sqref="H20">
      <x:formula1>_LISTS!$A$2:$A$5</x:formula1>
    </x:dataValidation>
    <x:dataValidation type="list" sqref="E20">
      <x:formula1>_LISTS!$D$2:$D$6</x:formula1>
    </x:dataValidation>
    <x:dataValidation type="list" sqref="B21">
      <x:formula1>_LISTS!$A$2:$A$5</x:formula1>
    </x:dataValidation>
    <x:dataValidation type="list" sqref="C21">
      <x:formula1>_LISTS!$A$2:$A$5</x:formula1>
    </x:dataValidation>
    <x:dataValidation type="list" sqref="D21">
      <x:formula1>_LISTS!$A$2:$A$5</x:formula1>
    </x:dataValidation>
    <x:dataValidation type="list" sqref="F21">
      <x:formula1>_LISTS!$A$2:$A$5</x:formula1>
    </x:dataValidation>
    <x:dataValidation type="list" sqref="G21">
      <x:formula1>_LISTS!$A$2:$A$5</x:formula1>
    </x:dataValidation>
    <x:dataValidation type="list" sqref="H21">
      <x:formula1>_LISTS!$A$2:$A$5</x:formula1>
    </x:dataValidation>
    <x:dataValidation type="list" sqref="E21">
      <x:formula1>_LISTS!$D$2:$D$6</x:formula1>
    </x:dataValidation>
    <x:dataValidation type="list" sqref="B22">
      <x:formula1>_LISTS!$A$2:$A$5</x:formula1>
    </x:dataValidation>
    <x:dataValidation type="list" sqref="C22">
      <x:formula1>_LISTS!$A$2:$A$5</x:formula1>
    </x:dataValidation>
    <x:dataValidation type="list" sqref="D22">
      <x:formula1>_LISTS!$A$2:$A$5</x:formula1>
    </x:dataValidation>
    <x:dataValidation type="list" sqref="F22">
      <x:formula1>_LISTS!$A$2:$A$5</x:formula1>
    </x:dataValidation>
    <x:dataValidation type="list" sqref="G22">
      <x:formula1>_LISTS!$A$2:$A$5</x:formula1>
    </x:dataValidation>
    <x:dataValidation type="list" sqref="H22">
      <x:formula1>_LISTS!$A$2:$A$5</x:formula1>
    </x:dataValidation>
    <x:dataValidation type="list" sqref="E22">
      <x:formula1>_LISTS!$D$2:$D$6</x:formula1>
    </x:dataValidation>
    <x:dataValidation type="list" sqref="B23">
      <x:formula1>_LISTS!$A$2:$A$5</x:formula1>
    </x:dataValidation>
    <x:dataValidation type="list" sqref="C23">
      <x:formula1>_LISTS!$A$2:$A$5</x:formula1>
    </x:dataValidation>
    <x:dataValidation type="list" sqref="D23">
      <x:formula1>_LISTS!$A$2:$A$5</x:formula1>
    </x:dataValidation>
    <x:dataValidation type="list" sqref="F23">
      <x:formula1>_LISTS!$A$2:$A$5</x:formula1>
    </x:dataValidation>
    <x:dataValidation type="list" sqref="G23">
      <x:formula1>_LISTS!$A$2:$A$5</x:formula1>
    </x:dataValidation>
    <x:dataValidation type="list" sqref="H23">
      <x:formula1>_LISTS!$A$2:$A$5</x:formula1>
    </x:dataValidation>
    <x:dataValidation type="list" sqref="E23">
      <x:formula1>_LISTS!$D$2:$D$6</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52" hidden="0" customWidth="1"/>
    <x:col min="3" max="3" width="14" hidden="0" customWidth="1"/>
    <x:col min="4" max="4" width="48" hidden="0" customWidth="1"/>
    <x:col min="5" max="5" width="20" hidden="0" customWidth="1"/>
    <x:col min="6" max="6" width="40" hidden="0" customWidth="1"/>
    <x:col min="7" max="7" width="18" hidden="0" customWidth="1"/>
    <x:col min="8" max="8" width="34" hidden="0" customWidth="1"/>
  </x:cols>
  <x:sheetData>
    <x:row r="1">
      <x:c r="A1" s="121" t="str">
        <x:v>ETHICS READINESS — surface issues to resolve before recruitment or data collection</x:v>
      </x:c>
      <x:c r="B1" s="121"/>
      <x:c r="C1" s="121"/>
      <x:c r="D1" s="121"/>
      <x:c r="E1" s="121"/>
      <x:c r="F1" s="121"/>
      <x:c r="G1" s="121"/>
      <x:c r="H1" s="121"/>
      <x:c r="I1" s="73"/>
      <x:c r="J1" s="73"/>
      <x:c r="K1" s="73"/>
      <x:c r="L1" s="73"/>
    </x:row>
    <x:row r="2">
      <x:c r="A2" s="73"/>
      <x:c r="B2" s="73"/>
      <x:c r="C2" s="73"/>
      <x:c r="D2" s="73"/>
      <x:c r="E2" s="73"/>
      <x:c r="F2" s="73"/>
      <x:c r="G2" s="73"/>
      <x:c r="H2" s="73"/>
      <x:c r="I2" s="73"/>
      <x:c r="J2" s="73"/>
      <x:c r="K2" s="73"/>
      <x:c r="L2" s="73"/>
    </x:row>
    <x:row r="3">
      <x:c r="A3" s="97" t="str">
        <x:v>Domain</x:v>
      </x:c>
      <x:c r="B3" s="97" t="str">
        <x:v>Question</x:v>
      </x:c>
      <x:c r="C3" s="97" t="str">
        <x:v>Response</x:v>
      </x:c>
      <x:c r="D3" s="97" t="str">
        <x:v>Why It Matters</x:v>
      </x:c>
      <x:c r="E3" s="97" t="str">
        <x:v>Auto Signal</x:v>
      </x:c>
      <x:c r="F3" s="97" t="str">
        <x:v>Next Action</x:v>
      </x:c>
      <x:c r="G3" s="97" t="str">
        <x:v>Owner</x:v>
      </x:c>
      <x:c r="H3" s="97" t="str">
        <x:v>Notes</x:v>
      </x:c>
      <x:c r="I3" s="73"/>
      <x:c r="J3" s="73"/>
      <x:c r="K3" s="73"/>
      <x:c r="L3" s="73"/>
    </x:row>
    <x:row r="4">
      <x:c r="A4" s="98" t="str">
        <x:v>Human involvement</x:v>
      </x:c>
      <x:c r="B4" s="107" t="str">
        <x:v>Will you interact/intervene with living individuals or obtain information about them?</x:v>
      </x:c>
      <x:c r="C4" s="93" t="str"/>
      <x:c r="D4" s="99" t="str">
        <x:v>Human-participant involvement can trigger institutional or regulatory review questions.</x:v>
      </x:c>
      <x:c r="E4" s="105" t="str">
        <x:f>IF(C4="","",IF(OR(C4="Yes",C4="Unsure"),"REVIEW TRIGGER","NO TRIGGER IDENTIFIED"))</x:f>
      </x:c>
      <x:c r="F4" s="105" t="str">
        <x:f>IF(E4="REVIEW TRIGGER","Consult IRB / ethics office or institutional policy before proceeding","Proceed with remaining readiness checks")</x:f>
        <x:v>Proceed with remaining readiness checks</x:v>
      </x:c>
      <x:c r="G4" s="100" t="str"/>
      <x:c r="H4" s="100" t="str"/>
      <x:c r="I4" s="73"/>
      <x:c r="J4" s="73"/>
      <x:c r="K4" s="73"/>
      <x:c r="L4" s="73"/>
    </x:row>
    <x:row r="5">
      <x:c r="A5" s="98" t="str">
        <x:v>Identifiable information</x:v>
      </x:c>
      <x:c r="B5" s="107" t="str">
        <x:v>Will you collect, receive, link, or retain directly identifiable or coded/linkable private information?</x:v>
      </x:c>
      <x:c r="C5" s="93" t="str"/>
      <x:c r="D5" s="99" t="str">
        <x:v>Identifiability and private information change privacy, confidentiality, and review obligations.</x:v>
      </x:c>
      <x:c r="E5" s="105" t="str">
        <x:f>IF(C5="","",IF(OR(C5="Yes",C5="Unsure"),"REVIEW TRIGGER","NO TRIGGER IDENTIFIED"))</x:f>
      </x:c>
      <x:c r="F5" s="105" t="str">
        <x:f>IF(E5="REVIEW TRIGGER","Consult IRB / ethics office or institutional policy before proceeding","Proceed with remaining readiness checks")</x:f>
        <x:v>Proceed with remaining readiness checks</x:v>
      </x:c>
      <x:c r="G5" s="100" t="str"/>
      <x:c r="H5" s="100" t="str"/>
      <x:c r="I5" s="73"/>
      <x:c r="J5" s="73"/>
      <x:c r="K5" s="73"/>
      <x:c r="L5" s="73"/>
    </x:row>
    <x:row r="6">
      <x:c r="A6" s="98" t="str">
        <x:v>Sensitive data</x:v>
      </x:c>
      <x:c r="B6" s="107" t="str">
        <x:v>Could disclosure reasonably create psychological, social, reputational, legal, educational, employment, or financial harm?</x:v>
      </x:c>
      <x:c r="C6" s="93" t="str"/>
      <x:c r="D6" s="99" t="str">
        <x:v>Risk often arises from what is collected, linked, stored, shared, or disclosed.</x:v>
      </x:c>
      <x:c r="E6" s="105" t="str">
        <x:f>IF(C6="","",IF(OR(C6="Yes",C6="Unsure"),"REVIEW TRIGGER","NO TRIGGER IDENTIFIED"))</x:f>
      </x:c>
      <x:c r="F6" s="105" t="str">
        <x:f>IF(E6="REVIEW TRIGGER","Consult IRB / ethics office or institutional policy before proceeding","Proceed with remaining readiness checks")</x:f>
        <x:v>Proceed with remaining readiness checks</x:v>
      </x:c>
      <x:c r="G6" s="100" t="str"/>
      <x:c r="H6" s="100" t="str"/>
      <x:c r="I6" s="73"/>
      <x:c r="J6" s="73"/>
      <x:c r="K6" s="73"/>
      <x:c r="L6" s="73"/>
    </x:row>
    <x:row r="7">
      <x:c r="A7" s="98" t="str">
        <x:v>Vulnerability</x:v>
      </x:c>
      <x:c r="B7" s="107" t="str">
        <x:v>Are children, prisoners, people with diminished decision-making capacity, or another protected/vulnerable population involved?</x:v>
      </x:c>
      <x:c r="C7" s="93" t="str"/>
      <x:c r="D7" s="99" t="str">
        <x:v>Some populations require additional protections and careful justification.</x:v>
      </x:c>
      <x:c r="E7" s="105" t="str">
        <x:f>IF(C7="","",IF(OR(C7="Yes",C7="Unsure"),"REVIEW TRIGGER","NO TRIGGER IDENTIFIED"))</x:f>
      </x:c>
      <x:c r="F7" s="105" t="str">
        <x:f>IF(E7="REVIEW TRIGGER","Consult IRB / ethics office or institutional policy before proceeding","Proceed with remaining readiness checks")</x:f>
        <x:v>Proceed with remaining readiness checks</x:v>
      </x:c>
      <x:c r="G7" s="100" t="str"/>
      <x:c r="H7" s="100" t="str"/>
      <x:c r="I7" s="73"/>
      <x:c r="J7" s="73"/>
      <x:c r="K7" s="73"/>
      <x:c r="L7" s="73"/>
    </x:row>
    <x:row r="8">
      <x:c r="A8" s="98" t="str">
        <x:v>Authority relationship</x:v>
      </x:c>
      <x:c r="B8" s="107" t="str">
        <x:v>Will you recruit your own students, employees, clients, advisees, patients, or others who may perceive pressure to participate?</x:v>
      </x:c>
      <x:c r="C8" s="93" t="str"/>
      <x:c r="D8" s="99" t="str">
        <x:v>Existing power relationships can complicate voluntariness and undue influence.</x:v>
      </x:c>
      <x:c r="E8" s="105" t="str">
        <x:f>IF(C8="","",IF(OR(C8="Yes",C8="Unsure"),"REVIEW TRIGGER","NO TRIGGER IDENTIFIED"))</x:f>
      </x:c>
      <x:c r="F8" s="105" t="str">
        <x:f>IF(E8="REVIEW TRIGGER","Consult IRB / ethics office or institutional policy before proceeding","Proceed with remaining readiness checks")</x:f>
        <x:v>Proceed with remaining readiness checks</x:v>
      </x:c>
      <x:c r="G8" s="100" t="str"/>
      <x:c r="H8" s="100" t="str"/>
      <x:c r="I8" s="73"/>
      <x:c r="J8" s="73"/>
      <x:c r="K8" s="73"/>
      <x:c r="L8" s="73"/>
    </x:row>
    <x:row r="9">
      <x:c r="A9" s="98" t="str">
        <x:v>Deception / incomplete disclosure</x:v>
      </x:c>
      <x:c r="B9" s="107" t="str">
        <x:v>Will any information about the study be intentionally withheld or misrepresented?</x:v>
      </x:c>
      <x:c r="C9" s="93" t="str"/>
      <x:c r="D9" s="99" t="str">
        <x:v>Deception/incomplete disclosure requires justification and institution-specific review; debriefing may be relevant.</x:v>
      </x:c>
      <x:c r="E9" s="105" t="str">
        <x:f>IF(C9="","",IF(OR(C9="Yes",C9="Unsure"),"REVIEW TRIGGER","NO TRIGGER IDENTIFIED"))</x:f>
      </x:c>
      <x:c r="F9" s="105" t="str">
        <x:f>IF(E9="REVIEW TRIGGER","Consult IRB / ethics office or institutional policy before proceeding","Proceed with remaining readiness checks")</x:f>
        <x:v>Proceed with remaining readiness checks</x:v>
      </x:c>
      <x:c r="G9" s="100" t="str"/>
      <x:c r="H9" s="100" t="str"/>
      <x:c r="I9" s="73"/>
      <x:c r="J9" s="73"/>
      <x:c r="K9" s="73"/>
      <x:c r="L9" s="73"/>
    </x:row>
    <x:row r="10">
      <x:c r="A10" s="98" t="str">
        <x:v>Consent</x:v>
      </x:c>
      <x:c r="B10" s="107" t="str">
        <x:v>If people participate, is there a plan to communicate purpose, procedures, duration, risks, benefits, voluntariness, withdrawal, and contacts in understandable language?</x:v>
      </x:c>
      <x:c r="C10" s="93" t="str"/>
      <x:c r="D10" s="99" t="str">
        <x:v>Consent is a communication process, not merely a signature.</x:v>
      </x:c>
      <x:c r="E10" s="105" t="str">
        <x:f>IF(C10="","",IF(C10="Yes","READY ELEMENT",IF(C10="N/A","CHECK CONTEXT","ACTION NEEDED")))</x:f>
      </x:c>
      <x:c r="F10" s="105" t="str">
        <x:f>IF(E10="ACTION NEEDED","Resolve before recruitment/data collection",IF(E10="CHECK CONTEXT","Confirm whether this element is applicable","Document and retain"))</x:f>
        <x:v>Document and retain</x:v>
      </x:c>
      <x:c r="G10" s="100" t="str"/>
      <x:c r="H10" s="100" t="str"/>
      <x:c r="I10" s="73"/>
      <x:c r="J10" s="73"/>
      <x:c r="K10" s="73"/>
      <x:c r="L10" s="73"/>
    </x:row>
    <x:row r="11">
      <x:c r="A11" s="98" t="str">
        <x:v>Privacy / confidentiality</x:v>
      </x:c>
      <x:c r="B11" s="107" t="str">
        <x:v>Are privacy protections and confidentiality/data-security controls documented?</x:v>
      </x:c>
      <x:c r="C11" s="93" t="str"/>
      <x:c r="D11" s="99" t="str">
        <x:v>Names alone are not the only re-identification risk; combinations of details can identify people.</x:v>
      </x:c>
      <x:c r="E11" s="105" t="str">
        <x:f>IF(C11="","",IF(C11="Yes","READY ELEMENT",IF(C11="N/A","CHECK CONTEXT","ACTION NEEDED")))</x:f>
      </x:c>
      <x:c r="F11" s="105" t="str">
        <x:f>IF(E11="ACTION NEEDED","Resolve before recruitment/data collection",IF(E11="CHECK CONTEXT","Confirm whether this element is applicable","Document and retain"))</x:f>
        <x:v>Document and retain</x:v>
      </x:c>
      <x:c r="G11" s="100" t="str"/>
      <x:c r="H11" s="100" t="str"/>
      <x:c r="I11" s="73"/>
      <x:c r="J11" s="73"/>
      <x:c r="K11" s="73"/>
      <x:c r="L11" s="73"/>
    </x:row>
    <x:row r="12">
      <x:c r="A12" s="98" t="str">
        <x:v>Justice / selection</x:v>
      </x:c>
      <x:c r="B12" s="107" t="str">
        <x:v>Is participant selection tied to the research question rather than convenience, access, or a captive population?</x:v>
      </x:c>
      <x:c r="C12" s="93" t="str"/>
      <x:c r="D12" s="99" t="str">
        <x:v>Research burdens and potential benefits should be distributed fairly.</x:v>
      </x:c>
      <x:c r="E12" s="105" t="str">
        <x:f>IF(C12="","",IF(C12="Yes","READY ELEMENT",IF(C12="N/A","CHECK CONTEXT","ACTION NEEDED")))</x:f>
      </x:c>
      <x:c r="F12" s="105" t="str">
        <x:f>IF(E12="ACTION NEEDED","Resolve before recruitment/data collection",IF(E12="CHECK CONTEXT","Confirm whether this element is applicable","Document and retain"))</x:f>
        <x:v>Document and retain</x:v>
      </x:c>
      <x:c r="G12" s="100" t="str"/>
      <x:c r="H12" s="100" t="str"/>
      <x:c r="I12" s="73"/>
      <x:c r="J12" s="73"/>
      <x:c r="K12" s="73"/>
      <x:c r="L12" s="73"/>
    </x:row>
    <x:row r="13">
      <x:c r="A13" s="98" t="str">
        <x:v>Timing</x:v>
      </x:c>
      <x:c r="B13" s="107" t="str">
        <x:v>Will all required consultation/review occur before recruitment or data collection?</x:v>
      </x:c>
      <x:c r="C13" s="93" t="str"/>
      <x:c r="D13" s="99" t="str">
        <x:v>Prospective review is the safe planning assumption when review may apply.</x:v>
      </x:c>
      <x:c r="E13" s="105" t="str">
        <x:f>IF(C13="","",IF(C13="Yes","READY ELEMENT",IF(C13="N/A","CHECK CONTEXT","ACTION NEEDED")))</x:f>
      </x:c>
      <x:c r="F13" s="105" t="str">
        <x:f>IF(E13="ACTION NEEDED","Resolve before recruitment/data collection",IF(E13="CHECK CONTEXT","Confirm whether this element is applicable","Document and retain"))</x:f>
        <x:v>Document and retain</x:v>
      </x:c>
      <x:c r="G13" s="100" t="str"/>
      <x:c r="H13" s="100" t="str"/>
      <x:c r="I13" s="73"/>
      <x:c r="J13" s="73"/>
      <x:c r="K13" s="73"/>
      <x:c r="L13" s="73"/>
    </x:row>
    <x:row r="14">
      <x:c r="A14" s="73"/>
      <x:c r="B14" s="73"/>
      <x:c r="C14" s="73"/>
      <x:c r="D14" s="73"/>
      <x:c r="E14" s="73"/>
      <x:c r="F14" s="73"/>
      <x:c r="G14" s="73"/>
      <x:c r="H14" s="73"/>
      <x:c r="I14" s="73"/>
      <x:c r="J14" s="73"/>
      <x:c r="K14" s="73"/>
      <x:c r="L14" s="73"/>
    </x:row>
    <x:row r="15">
      <x:c r="A15" s="73"/>
      <x:c r="B15" s="73"/>
      <x:c r="C15" s="73"/>
      <x:c r="D15" s="73"/>
      <x:c r="E15" s="73"/>
      <x:c r="F15" s="73"/>
      <x:c r="G15" s="73"/>
      <x:c r="H15" s="73"/>
      <x:c r="I15" s="73"/>
      <x:c r="J15" s="73"/>
      <x:c r="K15" s="73"/>
      <x:c r="L15" s="73"/>
    </x:row>
    <x:row r="16">
      <x:c r="A16" s="73"/>
      <x:c r="B16" s="73"/>
      <x:c r="C16" s="73"/>
      <x:c r="D16" s="73"/>
      <x:c r="E16" s="73"/>
      <x:c r="F16" s="73"/>
      <x:c r="G16" s="73"/>
      <x:c r="H16" s="73"/>
      <x:c r="I16" s="73"/>
      <x:c r="J16" s="73"/>
      <x:c r="K16" s="73"/>
      <x:c r="L16" s="73"/>
    </x:row>
    <x:row r="17">
      <x:c r="A17" s="73"/>
      <x:c r="B17" s="73"/>
      <x:c r="C17" s="73"/>
      <x:c r="D17" s="73"/>
      <x:c r="E17" s="73"/>
      <x:c r="F17" s="73"/>
      <x:c r="G17" s="73"/>
      <x:c r="H17" s="73"/>
      <x:c r="I17" s="73"/>
      <x:c r="J17" s="73"/>
      <x:c r="K17" s="73"/>
      <x:c r="L17" s="73"/>
    </x:row>
    <x:row r="18">
      <x:c r="A18" s="73"/>
      <x:c r="B18" s="73"/>
      <x:c r="C18" s="73"/>
      <x:c r="D18" s="73"/>
      <x:c r="E18" s="73"/>
      <x:c r="F18" s="73"/>
      <x:c r="G18" s="73"/>
      <x:c r="H18" s="73"/>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H1"/>
  </x:mergeCells>
  <x:conditionalFormatting sqref="E4:F13">
    <x:cfRule type="expression" dxfId="2" priority="1">
      <x:formula>OR($E4="REVIEW TRIGGER",$E4="ACTION NEEDED")</x:formula>
    </x:cfRule>
  </x:conditionalFormatting>
  <x:dataValidations count="1">
    <x:dataValidation type="list" sqref="C4:C13">
      <x:formula1>_LISTS!$A$2:$A$5</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42" hidden="0" customWidth="1"/>
    <x:col min="2" max="2" width="56" hidden="0" customWidth="1"/>
    <x:col min="3" max="3" width="14" hidden="0" customWidth="1"/>
    <x:col min="4" max="4" width="18" hidden="0" customWidth="1"/>
    <x:col min="5" max="5" width="28" hidden="0" customWidth="1"/>
    <x:col min="6" max="6" width="20" hidden="0" customWidth="1"/>
    <x:col min="7" max="7" width="32" hidden="0" customWidth="1"/>
  </x:cols>
  <x:sheetData>
    <x:row r="1">
      <x:c r="A1" s="121" t="str">
        <x:v>CONSENT PLAN — plan the communication process, not only the form</x:v>
      </x:c>
      <x:c r="B1" s="121"/>
      <x:c r="C1" s="121"/>
      <x:c r="D1" s="121"/>
      <x:c r="E1" s="121"/>
      <x:c r="F1" s="121"/>
      <x:c r="G1" s="121"/>
      <x:c r="H1" s="73"/>
      <x:c r="I1" s="73"/>
      <x:c r="J1" s="73"/>
      <x:c r="K1" s="73"/>
      <x:c r="L1" s="73"/>
    </x:row>
    <x:row r="2">
      <x:c r="A2" s="73"/>
      <x:c r="B2" s="73"/>
      <x:c r="C2" s="73"/>
      <x:c r="D2" s="73"/>
      <x:c r="E2" s="73"/>
      <x:c r="F2" s="73"/>
      <x:c r="G2" s="73"/>
      <x:c r="H2" s="73"/>
      <x:c r="I2" s="73"/>
      <x:c r="J2" s="73"/>
      <x:c r="K2" s="73"/>
      <x:c r="L2" s="73"/>
    </x:row>
    <x:row r="3">
      <x:c r="A3" s="97" t="str">
        <x:v>Element</x:v>
      </x:c>
      <x:c r="B3" s="97" t="str">
        <x:v>Draft / Plan</x:v>
      </x:c>
      <x:c r="C3" s="97" t="str">
        <x:v>Present?</x:v>
      </x:c>
      <x:c r="D3" s="97" t="str">
        <x:v>Comprehensible?</x:v>
      </x:c>
      <x:c r="E3" s="97" t="str">
        <x:v>Needs Institution-Specific Language?</x:v>
      </x:c>
      <x:c r="F3" s="97" t="str">
        <x:v>Auto QA</x:v>
      </x:c>
      <x:c r="G3" s="97" t="str">
        <x:v>Notes</x:v>
      </x:c>
      <x:c r="H3" s="73"/>
      <x:c r="I3" s="73"/>
      <x:c r="J3" s="73"/>
      <x:c r="K3" s="73"/>
      <x:c r="L3" s="73"/>
    </x:row>
    <x:row r="4">
      <x:c r="A4" s="109" t="str">
        <x:v>Study is identified as research (where applicable)</x:v>
      </x:c>
      <x:c r="B4" s="93" t="str"/>
      <x:c r="C4" s="93" t="str"/>
      <x:c r="D4" s="93" t="str"/>
      <x:c r="E4" s="93" t="str"/>
      <x:c r="F4" s="105" t="str">
        <x:f>IF(A4="","",IF(C4="","ACTION NEEDED",IF(OR(C4="No",C4="Unsure"),"ACTION NEEDED",IF(OR(D4="No",D4="Unsure"),"REVISE FOR CLARITY","OK"))))</x:f>
        <x:v>ACTION NEEDED</x:v>
      </x:c>
      <x:c r="G4" s="100" t="str"/>
      <x:c r="H4" s="73"/>
      <x:c r="I4" s="73"/>
      <x:c r="J4" s="73"/>
      <x:c r="K4" s="73"/>
      <x:c r="L4" s="73"/>
    </x:row>
    <x:row r="5">
      <x:c r="A5" s="109" t="str">
        <x:v>Purpose of the research</x:v>
      </x:c>
      <x:c r="B5" s="93" t="str"/>
      <x:c r="C5" s="93" t="str"/>
      <x:c r="D5" s="93" t="str"/>
      <x:c r="E5" s="93" t="str"/>
      <x:c r="F5" s="105" t="str">
        <x:f>IF(A5="","",IF(C5="","ACTION NEEDED",IF(OR(C5="No",C5="Unsure"),"ACTION NEEDED",IF(OR(D5="No",D5="Unsure"),"REVISE FOR CLARITY","OK"))))</x:f>
        <x:v>ACTION NEEDED</x:v>
      </x:c>
      <x:c r="G5" s="100" t="str"/>
      <x:c r="H5" s="73"/>
      <x:c r="I5" s="73"/>
      <x:c r="J5" s="73"/>
      <x:c r="K5" s="73"/>
      <x:c r="L5" s="73"/>
    </x:row>
    <x:row r="6">
      <x:c r="A6" s="109" t="str">
        <x:v>What the participant will do / procedures</x:v>
      </x:c>
      <x:c r="B6" s="93" t="str"/>
      <x:c r="C6" s="93" t="str"/>
      <x:c r="D6" s="93" t="str"/>
      <x:c r="E6" s="93" t="str"/>
      <x:c r="F6" s="105" t="str">
        <x:f>IF(A6="","",IF(C6="","ACTION NEEDED",IF(OR(C6="No",C6="Unsure"),"ACTION NEEDED",IF(OR(D6="No",D6="Unsure"),"REVISE FOR CLARITY","OK"))))</x:f>
        <x:v>ACTION NEEDED</x:v>
      </x:c>
      <x:c r="G6" s="100" t="str"/>
      <x:c r="H6" s="73"/>
      <x:c r="I6" s="73"/>
      <x:c r="J6" s="73"/>
      <x:c r="K6" s="73"/>
      <x:c r="L6" s="73"/>
    </x:row>
    <x:row r="7">
      <x:c r="A7" s="109" t="str">
        <x:v>Expected duration</x:v>
      </x:c>
      <x:c r="B7" s="93" t="str"/>
      <x:c r="C7" s="93" t="str"/>
      <x:c r="D7" s="93" t="str"/>
      <x:c r="E7" s="93" t="str"/>
      <x:c r="F7" s="105" t="str">
        <x:f>IF(A7="","",IF(C7="","ACTION NEEDED",IF(OR(C7="No",C7="Unsure"),"ACTION NEEDED",IF(OR(D7="No",D7="Unsure"),"REVISE FOR CLARITY","OK"))))</x:f>
        <x:v>ACTION NEEDED</x:v>
      </x:c>
      <x:c r="G7" s="100" t="str"/>
      <x:c r="H7" s="73"/>
      <x:c r="I7" s="73"/>
      <x:c r="J7" s="73"/>
      <x:c r="K7" s="73"/>
      <x:c r="L7" s="73"/>
    </x:row>
    <x:row r="8">
      <x:c r="A8" s="109" t="str">
        <x:v>Foreseeable risks / discomforts</x:v>
      </x:c>
      <x:c r="B8" s="93" t="str"/>
      <x:c r="C8" s="93" t="str"/>
      <x:c r="D8" s="93" t="str"/>
      <x:c r="E8" s="93" t="str"/>
      <x:c r="F8" s="105" t="str">
        <x:f>IF(A8="","",IF(C8="","ACTION NEEDED",IF(OR(C8="No",C8="Unsure"),"ACTION NEEDED",IF(OR(D8="No",D8="Unsure"),"REVISE FOR CLARITY","OK"))))</x:f>
        <x:v>ACTION NEEDED</x:v>
      </x:c>
      <x:c r="G8" s="100" t="str"/>
      <x:c r="H8" s="73"/>
      <x:c r="I8" s="73"/>
      <x:c r="J8" s="73"/>
      <x:c r="K8" s="73"/>
      <x:c r="L8" s="73"/>
    </x:row>
    <x:row r="9">
      <x:c r="A9" s="109" t="str">
        <x:v>Expected benefits or statement if no direct benefit is expected</x:v>
      </x:c>
      <x:c r="B9" s="93" t="str"/>
      <x:c r="C9" s="93" t="str"/>
      <x:c r="D9" s="93" t="str"/>
      <x:c r="E9" s="93" t="str"/>
      <x:c r="F9" s="105" t="str">
        <x:f>IF(A9="","",IF(C9="","ACTION NEEDED",IF(OR(C9="No",C9="Unsure"),"ACTION NEEDED",IF(OR(D9="No",D9="Unsure"),"REVISE FOR CLARITY","OK"))))</x:f>
        <x:v>ACTION NEEDED</x:v>
      </x:c>
      <x:c r="G9" s="100" t="str"/>
      <x:c r="H9" s="73"/>
      <x:c r="I9" s="73"/>
      <x:c r="J9" s="73"/>
      <x:c r="K9" s="73"/>
      <x:c r="L9" s="73"/>
    </x:row>
    <x:row r="10">
      <x:c r="A10" s="109" t="str">
        <x:v>Voluntary participation</x:v>
      </x:c>
      <x:c r="B10" s="93" t="str"/>
      <x:c r="C10" s="93" t="str"/>
      <x:c r="D10" s="93" t="str"/>
      <x:c r="E10" s="93" t="str"/>
      <x:c r="F10" s="105" t="str">
        <x:f>IF(A10="","",IF(C10="","ACTION NEEDED",IF(OR(C10="No",C10="Unsure"),"ACTION NEEDED",IF(OR(D10="No",D10="Unsure"),"REVISE FOR CLARITY","OK"))))</x:f>
        <x:v>ACTION NEEDED</x:v>
      </x:c>
      <x:c r="G10" s="100" t="str"/>
      <x:c r="H10" s="73"/>
      <x:c r="I10" s="73"/>
      <x:c r="J10" s="73"/>
      <x:c r="K10" s="73"/>
      <x:c r="L10" s="73"/>
    </x:row>
    <x:row r="11">
      <x:c r="A11" s="109" t="str">
        <x:v>Ability to decline / withdraw without penalty</x:v>
      </x:c>
      <x:c r="B11" s="93" t="str"/>
      <x:c r="C11" s="93" t="str"/>
      <x:c r="D11" s="93" t="str"/>
      <x:c r="E11" s="93" t="str"/>
      <x:c r="F11" s="105" t="str">
        <x:f>IF(A11="","",IF(C11="","ACTION NEEDED",IF(OR(C11="No",C11="Unsure"),"ACTION NEEDED",IF(OR(D11="No",D11="Unsure"),"REVISE FOR CLARITY","OK"))))</x:f>
        <x:v>ACTION NEEDED</x:v>
      </x:c>
      <x:c r="G11" s="100" t="str"/>
      <x:c r="H11" s="73"/>
      <x:c r="I11" s="73"/>
      <x:c r="J11" s="73"/>
      <x:c r="K11" s="73"/>
      <x:c r="L11" s="73"/>
    </x:row>
    <x:row r="12">
      <x:c r="A12" s="109" t="str">
        <x:v>Privacy / confidentiality explanation</x:v>
      </x:c>
      <x:c r="B12" s="93" t="str"/>
      <x:c r="C12" s="93" t="str"/>
      <x:c r="D12" s="93" t="str"/>
      <x:c r="E12" s="93" t="str"/>
      <x:c r="F12" s="105" t="str">
        <x:f>IF(A12="","",IF(C12="","ACTION NEEDED",IF(OR(C12="No",C12="Unsure"),"ACTION NEEDED",IF(OR(D12="No",D12="Unsure"),"REVISE FOR CLARITY","OK"))))</x:f>
        <x:v>ACTION NEEDED</x:v>
      </x:c>
      <x:c r="G12" s="100" t="str"/>
      <x:c r="H12" s="73"/>
      <x:c r="I12" s="73"/>
      <x:c r="J12" s="73"/>
      <x:c r="K12" s="73"/>
      <x:c r="L12" s="73"/>
    </x:row>
    <x:row r="13">
      <x:c r="A13" s="109" t="str">
        <x:v>Research / study contact information</x:v>
      </x:c>
      <x:c r="B13" s="93" t="str"/>
      <x:c r="C13" s="93" t="str"/>
      <x:c r="D13" s="93" t="str"/>
      <x:c r="E13" s="93" t="str"/>
      <x:c r="F13" s="105" t="str">
        <x:f>IF(A13="","",IF(C13="","ACTION NEEDED",IF(OR(C13="No",C13="Unsure"),"ACTION NEEDED",IF(OR(D13="No",D13="Unsure"),"REVISE FOR CLARITY","OK"))))</x:f>
        <x:v>ACTION NEEDED</x:v>
      </x:c>
      <x:c r="G13" s="100" t="str"/>
      <x:c r="H13" s="73"/>
      <x:c r="I13" s="73"/>
      <x:c r="J13" s="73"/>
      <x:c r="K13" s="73"/>
      <x:c r="L13" s="73"/>
    </x:row>
    <x:row r="14">
      <x:c r="A14" s="109" t="str">
        <x:v>Questions about rights / independent contact, if required</x:v>
      </x:c>
      <x:c r="B14" s="93" t="str"/>
      <x:c r="C14" s="93" t="str"/>
      <x:c r="D14" s="93" t="str"/>
      <x:c r="E14" s="93" t="str"/>
      <x:c r="F14" s="105" t="str">
        <x:f>IF(A14="","",IF(C14="","ACTION NEEDED",IF(OR(C14="No",C14="Unsure"),"ACTION NEEDED",IF(OR(D14="No",D14="Unsure"),"REVISE FOR CLARITY","OK"))))</x:f>
        <x:v>ACTION NEEDED</x:v>
      </x:c>
      <x:c r="G14" s="100" t="str"/>
      <x:c r="H14" s="73"/>
      <x:c r="I14" s="73"/>
      <x:c r="J14" s="73"/>
      <x:c r="K14" s="73"/>
      <x:c r="L14" s="73"/>
    </x:row>
    <x:row r="15">
      <x:c r="A15" s="109" t="str">
        <x:v>Compensation / costs, if applicable</x:v>
      </x:c>
      <x:c r="B15" s="93" t="str"/>
      <x:c r="C15" s="93" t="str"/>
      <x:c r="D15" s="93" t="str"/>
      <x:c r="E15" s="93" t="str"/>
      <x:c r="F15" s="105" t="str">
        <x:f>IF(A15="","",IF(C15="","ACTION NEEDED",IF(OR(C15="No",C15="Unsure"),"ACTION NEEDED",IF(OR(D15="No",D15="Unsure"),"REVISE FOR CLARITY","OK"))))</x:f>
        <x:v>ACTION NEEDED</x:v>
      </x:c>
      <x:c r="G15" s="100" t="str"/>
      <x:c r="H15" s="73"/>
      <x:c r="I15" s="73"/>
      <x:c r="J15" s="73"/>
      <x:c r="K15" s="73"/>
      <x:c r="L15" s="73"/>
    </x:row>
    <x:row r="16">
      <x:c r="A16" s="109" t="str">
        <x:v>Recording (audio/video/screen), if applicable</x:v>
      </x:c>
      <x:c r="B16" s="93" t="str"/>
      <x:c r="C16" s="93" t="str"/>
      <x:c r="D16" s="93" t="str"/>
      <x:c r="E16" s="93" t="str"/>
      <x:c r="F16" s="105" t="str">
        <x:f>IF(A16="","",IF(C16="","ACTION NEEDED",IF(OR(C16="No",C16="Unsure"),"ACTION NEEDED",IF(OR(D16="No",D16="Unsure"),"REVISE FOR CLARITY","OK"))))</x:f>
        <x:v>ACTION NEEDED</x:v>
      </x:c>
      <x:c r="G16" s="100" t="str"/>
      <x:c r="H16" s="73"/>
      <x:c r="I16" s="73"/>
      <x:c r="J16" s="73"/>
      <x:c r="K16" s="73"/>
      <x:c r="L16" s="73"/>
    </x:row>
    <x:row r="17">
      <x:c r="A17" s="109" t="str">
        <x:v>Future use / sharing of data, if applicable</x:v>
      </x:c>
      <x:c r="B17" s="93" t="str"/>
      <x:c r="C17" s="93" t="str"/>
      <x:c r="D17" s="93" t="str"/>
      <x:c r="E17" s="93" t="str"/>
      <x:c r="F17" s="105" t="str">
        <x:f>IF(A17="","",IF(C17="","ACTION NEEDED",IF(OR(C17="No",C17="Unsure"),"ACTION NEEDED",IF(OR(D17="No",D17="Unsure"),"REVISE FOR CLARITY","OK"))))</x:f>
        <x:v>ACTION NEEDED</x:v>
      </x:c>
      <x:c r="G17" s="100" t="str"/>
      <x:c r="H17" s="73"/>
      <x:c r="I17" s="73"/>
      <x:c r="J17" s="73"/>
      <x:c r="K17" s="73"/>
      <x:c r="L17" s="73"/>
    </x:row>
    <x:row r="18">
      <x:c r="A18" s="109" t="str">
        <x:v>Plain-language / population-appropriate wording</x:v>
      </x:c>
      <x:c r="B18" s="93" t="str"/>
      <x:c r="C18" s="93" t="str"/>
      <x:c r="D18" s="93" t="str"/>
      <x:c r="E18" s="93" t="str"/>
      <x:c r="F18" s="105" t="str">
        <x:f>IF(A18="","",IF(C18="","ACTION NEEDED",IF(OR(C18="No",C18="Unsure"),"ACTION NEEDED",IF(OR(D18="No",D18="Unsure"),"REVISE FOR CLARITY","OK"))))</x:f>
        <x:v>ACTION NEEDED</x:v>
      </x:c>
      <x:c r="G18" s="100" t="str"/>
      <x:c r="H18" s="73"/>
      <x:c r="I18" s="73"/>
      <x:c r="J18" s="73"/>
      <x:c r="K18" s="73"/>
      <x:c r="L18" s="73"/>
    </x:row>
    <x:row r="19">
      <x:c r="A19" s="109" t="str">
        <x:v>Translation / language-access plan, if needed</x:v>
      </x:c>
      <x:c r="B19" s="93" t="str"/>
      <x:c r="C19" s="93" t="str"/>
      <x:c r="D19" s="93" t="str"/>
      <x:c r="E19" s="93" t="str"/>
      <x:c r="F19" s="105" t="str">
        <x:f>IF(A19="","",IF(C19="","ACTION NEEDED",IF(OR(C19="No",C19="Unsure"),"ACTION NEEDED",IF(OR(D19="No",D19="Unsure"),"REVISE FOR CLARITY","OK"))))</x:f>
        <x:v>ACTION NEEDED</x:v>
      </x:c>
      <x:c r="G19" s="100" t="str"/>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G1"/>
  </x:mergeCells>
  <x:conditionalFormatting sqref="F4:F19">
    <x:cfRule type="expression" dxfId="3" priority="1">
      <x:formula>$F4&lt;&gt;"OK"</x:formula>
    </x:cfRule>
  </x:conditionalFormatting>
  <x:dataValidations count="48">
    <x:dataValidation type="list" sqref="C4">
      <x:formula1>_LISTS!$A$2:$A$5</x:formula1>
    </x:dataValidation>
    <x:dataValidation type="list" sqref="D4">
      <x:formula1>_LISTS!$A$2:$A$5</x:formula1>
    </x:dataValidation>
    <x:dataValidation type="list" sqref="E4">
      <x:formula1>_LISTS!$A$2:$A$5</x:formula1>
    </x:dataValidation>
    <x:dataValidation type="list" sqref="C5">
      <x:formula1>_LISTS!$A$2:$A$5</x:formula1>
    </x:dataValidation>
    <x:dataValidation type="list" sqref="D5">
      <x:formula1>_LISTS!$A$2:$A$5</x:formula1>
    </x:dataValidation>
    <x:dataValidation type="list" sqref="E5">
      <x:formula1>_LISTS!$A$2:$A$5</x:formula1>
    </x:dataValidation>
    <x:dataValidation type="list" sqref="C6">
      <x:formula1>_LISTS!$A$2:$A$5</x:formula1>
    </x:dataValidation>
    <x:dataValidation type="list" sqref="D6">
      <x:formula1>_LISTS!$A$2:$A$5</x:formula1>
    </x:dataValidation>
    <x:dataValidation type="list" sqref="E6">
      <x:formula1>_LISTS!$A$2:$A$5</x:formula1>
    </x:dataValidation>
    <x:dataValidation type="list" sqref="C7">
      <x:formula1>_LISTS!$A$2:$A$5</x:formula1>
    </x:dataValidation>
    <x:dataValidation type="list" sqref="D7">
      <x:formula1>_LISTS!$A$2:$A$5</x:formula1>
    </x:dataValidation>
    <x:dataValidation type="list" sqref="E7">
      <x:formula1>_LISTS!$A$2:$A$5</x:formula1>
    </x:dataValidation>
    <x:dataValidation type="list" sqref="C8">
      <x:formula1>_LISTS!$A$2:$A$5</x:formula1>
    </x:dataValidation>
    <x:dataValidation type="list" sqref="D8">
      <x:formula1>_LISTS!$A$2:$A$5</x:formula1>
    </x:dataValidation>
    <x:dataValidation type="list" sqref="E8">
      <x:formula1>_LISTS!$A$2:$A$5</x:formula1>
    </x:dataValidation>
    <x:dataValidation type="list" sqref="C9">
      <x:formula1>_LISTS!$A$2:$A$5</x:formula1>
    </x:dataValidation>
    <x:dataValidation type="list" sqref="D9">
      <x:formula1>_LISTS!$A$2:$A$5</x:formula1>
    </x:dataValidation>
    <x:dataValidation type="list" sqref="E9">
      <x:formula1>_LISTS!$A$2:$A$5</x:formula1>
    </x:dataValidation>
    <x:dataValidation type="list" sqref="C10">
      <x:formula1>_LISTS!$A$2:$A$5</x:formula1>
    </x:dataValidation>
    <x:dataValidation type="list" sqref="D10">
      <x:formula1>_LISTS!$A$2:$A$5</x:formula1>
    </x:dataValidation>
    <x:dataValidation type="list" sqref="E10">
      <x:formula1>_LISTS!$A$2:$A$5</x:formula1>
    </x:dataValidation>
    <x:dataValidation type="list" sqref="C11">
      <x:formula1>_LISTS!$A$2:$A$5</x:formula1>
    </x:dataValidation>
    <x:dataValidation type="list" sqref="D11">
      <x:formula1>_LISTS!$A$2:$A$5</x:formula1>
    </x:dataValidation>
    <x:dataValidation type="list" sqref="E11">
      <x:formula1>_LISTS!$A$2:$A$5</x:formula1>
    </x:dataValidation>
    <x:dataValidation type="list" sqref="C12">
      <x:formula1>_LISTS!$A$2:$A$5</x:formula1>
    </x:dataValidation>
    <x:dataValidation type="list" sqref="D12">
      <x:formula1>_LISTS!$A$2:$A$5</x:formula1>
    </x:dataValidation>
    <x:dataValidation type="list" sqref="E12">
      <x:formula1>_LISTS!$A$2:$A$5</x:formula1>
    </x:dataValidation>
    <x:dataValidation type="list" sqref="C13">
      <x:formula1>_LISTS!$A$2:$A$5</x:formula1>
    </x:dataValidation>
    <x:dataValidation type="list" sqref="D13">
      <x:formula1>_LISTS!$A$2:$A$5</x:formula1>
    </x:dataValidation>
    <x:dataValidation type="list" sqref="E13">
      <x:formula1>_LISTS!$A$2:$A$5</x:formula1>
    </x:dataValidation>
    <x:dataValidation type="list" sqref="C14">
      <x:formula1>_LISTS!$A$2:$A$5</x:formula1>
    </x:dataValidation>
    <x:dataValidation type="list" sqref="D14">
      <x:formula1>_LISTS!$A$2:$A$5</x:formula1>
    </x:dataValidation>
    <x:dataValidation type="list" sqref="E14">
      <x:formula1>_LISTS!$A$2:$A$5</x:formula1>
    </x:dataValidation>
    <x:dataValidation type="list" sqref="C15">
      <x:formula1>_LISTS!$A$2:$A$5</x:formula1>
    </x:dataValidation>
    <x:dataValidation type="list" sqref="D15">
      <x:formula1>_LISTS!$A$2:$A$5</x:formula1>
    </x:dataValidation>
    <x:dataValidation type="list" sqref="E15">
      <x:formula1>_LISTS!$A$2:$A$5</x:formula1>
    </x:dataValidation>
    <x:dataValidation type="list" sqref="C16">
      <x:formula1>_LISTS!$A$2:$A$5</x:formula1>
    </x:dataValidation>
    <x:dataValidation type="list" sqref="D16">
      <x:formula1>_LISTS!$A$2:$A$5</x:formula1>
    </x:dataValidation>
    <x:dataValidation type="list" sqref="E16">
      <x:formula1>_LISTS!$A$2:$A$5</x:formula1>
    </x:dataValidation>
    <x:dataValidation type="list" sqref="C17">
      <x:formula1>_LISTS!$A$2:$A$5</x:formula1>
    </x:dataValidation>
    <x:dataValidation type="list" sqref="D17">
      <x:formula1>_LISTS!$A$2:$A$5</x:formula1>
    </x:dataValidation>
    <x:dataValidation type="list" sqref="E17">
      <x:formula1>_LISTS!$A$2:$A$5</x:formula1>
    </x:dataValidation>
    <x:dataValidation type="list" sqref="C18">
      <x:formula1>_LISTS!$A$2:$A$5</x:formula1>
    </x:dataValidation>
    <x:dataValidation type="list" sqref="D18">
      <x:formula1>_LISTS!$A$2:$A$5</x:formula1>
    </x:dataValidation>
    <x:dataValidation type="list" sqref="E18">
      <x:formula1>_LISTS!$A$2:$A$5</x:formula1>
    </x:dataValidation>
    <x:dataValidation type="list" sqref="C19">
      <x:formula1>_LISTS!$A$2:$A$5</x:formula1>
    </x:dataValidation>
    <x:dataValidation type="list" sqref="D19">
      <x:formula1>_LISTS!$A$2:$A$5</x:formula1>
    </x:dataValidation>
    <x:dataValidation type="list" sqref="E19">
      <x:formula1>_LISTS!$A$2:$A$5</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34" hidden="0" customWidth="1"/>
    <x:col min="3" max="3" width="20" hidden="0" customWidth="1"/>
    <x:col min="4" max="4" width="14" hidden="0" customWidth="1"/>
    <x:col min="5" max="5" width="26" hidden="0" customWidth="1"/>
    <x:col min="6" max="6" width="30" hidden="0" customWidth="1"/>
    <x:col min="7" max="7" width="20" hidden="0" customWidth="1"/>
    <x:col min="8" max="8" width="30" hidden="0" customWidth="1"/>
    <x:col min="9" max="9" width="24" hidden="0" customWidth="1"/>
  </x:cols>
  <x:sheetData>
    <x:row r="1">
      <x:c r="A1" s="121" t="str">
        <x:v>PRIVACY &amp; DATA PLAN — collect less, separate identifiers, and make access explicit</x:v>
      </x:c>
      <x:c r="B1" s="121"/>
      <x:c r="C1" s="121"/>
      <x:c r="D1" s="121"/>
      <x:c r="E1" s="121"/>
      <x:c r="F1" s="121"/>
      <x:c r="G1" s="121"/>
      <x:c r="H1" s="121"/>
      <x:c r="I1" s="121"/>
      <x:c r="J1" s="73"/>
      <x:c r="K1" s="73"/>
      <x:c r="L1" s="73"/>
    </x:row>
    <x:row r="2">
      <x:c r="A2" s="73"/>
      <x:c r="B2" s="73"/>
      <x:c r="C2" s="73"/>
      <x:c r="D2" s="73"/>
      <x:c r="E2" s="73"/>
      <x:c r="F2" s="73"/>
      <x:c r="G2" s="73"/>
      <x:c r="H2" s="73"/>
      <x:c r="I2" s="73"/>
      <x:c r="J2" s="73"/>
      <x:c r="K2" s="73"/>
      <x:c r="L2" s="73"/>
    </x:row>
    <x:row r="3">
      <x:c r="A3" s="97" t="str">
        <x:v>Data Element / File</x:v>
      </x:c>
      <x:c r="B3" s="97" t="str">
        <x:v>Why Needed?</x:v>
      </x:c>
      <x:c r="C3" s="97" t="str">
        <x:v>Identifiability</x:v>
      </x:c>
      <x:c r="D3" s="97" t="str">
        <x:v>Sensitive?</x:v>
      </x:c>
      <x:c r="E3" s="97" t="str">
        <x:v>Who Can Access?</x:v>
      </x:c>
      <x:c r="F3" s="97" t="str">
        <x:v>Where Stored?</x:v>
      </x:c>
      <x:c r="G3" s="97" t="str">
        <x:v>Linkage Key Separate?</x:v>
      </x:c>
      <x:c r="H3" s="97" t="str">
        <x:v>Retention / Deletion Plan</x:v>
      </x:c>
      <x:c r="I3" s="97" t="str">
        <x:v>Auto QA</x:v>
      </x:c>
      <x:c r="J3" s="73"/>
      <x:c r="K3" s="73"/>
      <x:c r="L3" s="73"/>
    </x:row>
    <x:row r="4">
      <x:c r="A4" s="93"/>
      <x:c r="B4" s="93"/>
      <x:c r="C4" s="93"/>
      <x:c r="D4" s="93"/>
      <x:c r="E4" s="93"/>
      <x:c r="F4" s="93"/>
      <x:c r="G4" s="93"/>
      <x:c r="H4" s="93"/>
      <x:c r="I4" s="105" t="str">
        <x:f>IF(A4="","",IF(B4="","ACTION NEEDED",IF(OR(C4="",D4="",E4="",F4="",H4=""),"ACTION NEEDED",IF(AND(OR(C4="Coded / linked",C4="Directly identifiable"),G4&lt;&gt;"Yes"),"SEPARATE LINKAGE / REVIEW","OK"))))</x:f>
      </x:c>
      <x:c r="J4" s="73"/>
      <x:c r="K4" s="73"/>
      <x:c r="L4" s="73"/>
    </x:row>
    <x:row r="5">
      <x:c r="A5" s="93"/>
      <x:c r="B5" s="93"/>
      <x:c r="C5" s="93"/>
      <x:c r="D5" s="93"/>
      <x:c r="E5" s="93"/>
      <x:c r="F5" s="93"/>
      <x:c r="G5" s="93"/>
      <x:c r="H5" s="93"/>
      <x:c r="I5" s="105" t="str">
        <x:f>IF(A5="","",IF(B5="","ACTION NEEDED",IF(OR(C5="",D5="",E5="",F5="",H5=""),"ACTION NEEDED",IF(AND(OR(C5="Coded / linked",C5="Directly identifiable"),G5&lt;&gt;"Yes"),"SEPARATE LINKAGE / REVIEW","OK"))))</x:f>
      </x:c>
      <x:c r="J5" s="73"/>
      <x:c r="K5" s="73"/>
      <x:c r="L5" s="73"/>
    </x:row>
    <x:row r="6">
      <x:c r="A6" s="93"/>
      <x:c r="B6" s="93"/>
      <x:c r="C6" s="93"/>
      <x:c r="D6" s="93"/>
      <x:c r="E6" s="93"/>
      <x:c r="F6" s="93"/>
      <x:c r="G6" s="93"/>
      <x:c r="H6" s="93"/>
      <x:c r="I6" s="105" t="str">
        <x:f>IF(A6="","",IF(B6="","ACTION NEEDED",IF(OR(C6="",D6="",E6="",F6="",H6=""),"ACTION NEEDED",IF(AND(OR(C6="Coded / linked",C6="Directly identifiable"),G6&lt;&gt;"Yes"),"SEPARATE LINKAGE / REVIEW","OK"))))</x:f>
      </x:c>
      <x:c r="J6" s="73"/>
      <x:c r="K6" s="73"/>
      <x:c r="L6" s="73"/>
    </x:row>
    <x:row r="7">
      <x:c r="A7" s="93"/>
      <x:c r="B7" s="93"/>
      <x:c r="C7" s="93"/>
      <x:c r="D7" s="93"/>
      <x:c r="E7" s="93"/>
      <x:c r="F7" s="93"/>
      <x:c r="G7" s="93"/>
      <x:c r="H7" s="93"/>
      <x:c r="I7" s="105" t="str">
        <x:f>IF(A7="","",IF(B7="","ACTION NEEDED",IF(OR(C7="",D7="",E7="",F7="",H7=""),"ACTION NEEDED",IF(AND(OR(C7="Coded / linked",C7="Directly identifiable"),G7&lt;&gt;"Yes"),"SEPARATE LINKAGE / REVIEW","OK"))))</x:f>
      </x:c>
      <x:c r="J7" s="73"/>
      <x:c r="K7" s="73"/>
      <x:c r="L7" s="73"/>
    </x:row>
    <x:row r="8">
      <x:c r="A8" s="93"/>
      <x:c r="B8" s="93"/>
      <x:c r="C8" s="93"/>
      <x:c r="D8" s="93"/>
      <x:c r="E8" s="93"/>
      <x:c r="F8" s="93"/>
      <x:c r="G8" s="93"/>
      <x:c r="H8" s="93"/>
      <x:c r="I8" s="105" t="str">
        <x:f>IF(A8="","",IF(B8="","ACTION NEEDED",IF(OR(C8="",D8="",E8="",F8="",H8=""),"ACTION NEEDED",IF(AND(OR(C8="Coded / linked",C8="Directly identifiable"),G8&lt;&gt;"Yes"),"SEPARATE LINKAGE / REVIEW","OK"))))</x:f>
      </x:c>
      <x:c r="J8" s="73"/>
      <x:c r="K8" s="73"/>
      <x:c r="L8" s="73"/>
    </x:row>
    <x:row r="9">
      <x:c r="A9" s="93"/>
      <x:c r="B9" s="93"/>
      <x:c r="C9" s="93"/>
      <x:c r="D9" s="93"/>
      <x:c r="E9" s="93"/>
      <x:c r="F9" s="93"/>
      <x:c r="G9" s="93"/>
      <x:c r="H9" s="93"/>
      <x:c r="I9" s="105" t="str">
        <x:f>IF(A9="","",IF(B9="","ACTION NEEDED",IF(OR(C9="",D9="",E9="",F9="",H9=""),"ACTION NEEDED",IF(AND(OR(C9="Coded / linked",C9="Directly identifiable"),G9&lt;&gt;"Yes"),"SEPARATE LINKAGE / REVIEW","OK"))))</x:f>
      </x:c>
      <x:c r="J9" s="73"/>
      <x:c r="K9" s="73"/>
      <x:c r="L9" s="73"/>
    </x:row>
    <x:row r="10">
      <x:c r="A10" s="93"/>
      <x:c r="B10" s="93"/>
      <x:c r="C10" s="93"/>
      <x:c r="D10" s="93"/>
      <x:c r="E10" s="93"/>
      <x:c r="F10" s="93"/>
      <x:c r="G10" s="93"/>
      <x:c r="H10" s="93"/>
      <x:c r="I10" s="105" t="str">
        <x:f>IF(A10="","",IF(B10="","ACTION NEEDED",IF(OR(C10="",D10="",E10="",F10="",H10=""),"ACTION NEEDED",IF(AND(OR(C10="Coded / linked",C10="Directly identifiable"),G10&lt;&gt;"Yes"),"SEPARATE LINKAGE / REVIEW","OK"))))</x:f>
      </x:c>
      <x:c r="J10" s="73"/>
      <x:c r="K10" s="73"/>
      <x:c r="L10" s="73"/>
    </x:row>
    <x:row r="11">
      <x:c r="A11" s="93"/>
      <x:c r="B11" s="93"/>
      <x:c r="C11" s="93"/>
      <x:c r="D11" s="93"/>
      <x:c r="E11" s="93"/>
      <x:c r="F11" s="93"/>
      <x:c r="G11" s="93"/>
      <x:c r="H11" s="93"/>
      <x:c r="I11" s="105" t="str">
        <x:f>IF(A11="","",IF(B11="","ACTION NEEDED",IF(OR(C11="",D11="",E11="",F11="",H11=""),"ACTION NEEDED",IF(AND(OR(C11="Coded / linked",C11="Directly identifiable"),G11&lt;&gt;"Yes"),"SEPARATE LINKAGE / REVIEW","OK"))))</x:f>
      </x:c>
      <x:c r="J11" s="73"/>
      <x:c r="K11" s="73"/>
      <x:c r="L11" s="73"/>
    </x:row>
    <x:row r="12">
      <x:c r="A12" s="93"/>
      <x:c r="B12" s="93"/>
      <x:c r="C12" s="93"/>
      <x:c r="D12" s="93"/>
      <x:c r="E12" s="93"/>
      <x:c r="F12" s="93"/>
      <x:c r="G12" s="93"/>
      <x:c r="H12" s="93"/>
      <x:c r="I12" s="105" t="str">
        <x:f>IF(A12="","",IF(B12="","ACTION NEEDED",IF(OR(C12="",D12="",E12="",F12="",H12=""),"ACTION NEEDED",IF(AND(OR(C12="Coded / linked",C12="Directly identifiable"),G12&lt;&gt;"Yes"),"SEPARATE LINKAGE / REVIEW","OK"))))</x:f>
      </x:c>
      <x:c r="J12" s="73"/>
      <x:c r="K12" s="73"/>
      <x:c r="L12" s="73"/>
    </x:row>
    <x:row r="13">
      <x:c r="A13" s="93"/>
      <x:c r="B13" s="93"/>
      <x:c r="C13" s="93"/>
      <x:c r="D13" s="93"/>
      <x:c r="E13" s="93"/>
      <x:c r="F13" s="93"/>
      <x:c r="G13" s="93"/>
      <x:c r="H13" s="93"/>
      <x:c r="I13" s="105" t="str">
        <x:f>IF(A13="","",IF(B13="","ACTION NEEDED",IF(OR(C13="",D13="",E13="",F13="",H13=""),"ACTION NEEDED",IF(AND(OR(C13="Coded / linked",C13="Directly identifiable"),G13&lt;&gt;"Yes"),"SEPARATE LINKAGE / REVIEW","OK"))))</x:f>
      </x:c>
      <x:c r="J13" s="73"/>
      <x:c r="K13" s="73"/>
      <x:c r="L13" s="73"/>
    </x:row>
    <x:row r="14">
      <x:c r="A14" s="93"/>
      <x:c r="B14" s="93"/>
      <x:c r="C14" s="93"/>
      <x:c r="D14" s="93"/>
      <x:c r="E14" s="93"/>
      <x:c r="F14" s="93"/>
      <x:c r="G14" s="93"/>
      <x:c r="H14" s="93"/>
      <x:c r="I14" s="105" t="str">
        <x:f>IF(A14="","",IF(B14="","ACTION NEEDED",IF(OR(C14="",D14="",E14="",F14="",H14=""),"ACTION NEEDED",IF(AND(OR(C14="Coded / linked",C14="Directly identifiable"),G14&lt;&gt;"Yes"),"SEPARATE LINKAGE / REVIEW","OK"))))</x:f>
      </x:c>
      <x:c r="J14" s="73"/>
      <x:c r="K14" s="73"/>
      <x:c r="L14" s="73"/>
    </x:row>
    <x:row r="15">
      <x:c r="A15" s="93"/>
      <x:c r="B15" s="93"/>
      <x:c r="C15" s="93"/>
      <x:c r="D15" s="93"/>
      <x:c r="E15" s="93"/>
      <x:c r="F15" s="93"/>
      <x:c r="G15" s="93"/>
      <x:c r="H15" s="93"/>
      <x:c r="I15" s="105" t="str">
        <x:f>IF(A15="","",IF(B15="","ACTION NEEDED",IF(OR(C15="",D15="",E15="",F15="",H15=""),"ACTION NEEDED",IF(AND(OR(C15="Coded / linked",C15="Directly identifiable"),G15&lt;&gt;"Yes"),"SEPARATE LINKAGE / REVIEW","OK"))))</x:f>
      </x:c>
      <x:c r="J15" s="73"/>
      <x:c r="K15" s="73"/>
      <x:c r="L15" s="73"/>
    </x:row>
    <x:row r="16">
      <x:c r="A16" s="93"/>
      <x:c r="B16" s="93"/>
      <x:c r="C16" s="93"/>
      <x:c r="D16" s="93"/>
      <x:c r="E16" s="93"/>
      <x:c r="F16" s="93"/>
      <x:c r="G16" s="93"/>
      <x:c r="H16" s="93"/>
      <x:c r="I16" s="105" t="str">
        <x:f>IF(A16="","",IF(B16="","ACTION NEEDED",IF(OR(C16="",D16="",E16="",F16="",H16=""),"ACTION NEEDED",IF(AND(OR(C16="Coded / linked",C16="Directly identifiable"),G16&lt;&gt;"Yes"),"SEPARATE LINKAGE / REVIEW","OK"))))</x:f>
      </x:c>
      <x:c r="J16" s="73"/>
      <x:c r="K16" s="73"/>
      <x:c r="L16" s="73"/>
    </x:row>
    <x:row r="17">
      <x:c r="A17" s="93"/>
      <x:c r="B17" s="93"/>
      <x:c r="C17" s="93"/>
      <x:c r="D17" s="93"/>
      <x:c r="E17" s="93"/>
      <x:c r="F17" s="93"/>
      <x:c r="G17" s="93"/>
      <x:c r="H17" s="93"/>
      <x:c r="I17" s="105" t="str">
        <x:f>IF(A17="","",IF(B17="","ACTION NEEDED",IF(OR(C17="",D17="",E17="",F17="",H17=""),"ACTION NEEDED",IF(AND(OR(C17="Coded / linked",C17="Directly identifiable"),G17&lt;&gt;"Yes"),"SEPARATE LINKAGE / REVIEW","OK"))))</x:f>
      </x:c>
      <x:c r="J17" s="73"/>
      <x:c r="K17" s="73"/>
      <x:c r="L17" s="73"/>
    </x:row>
    <x:row r="18">
      <x:c r="A18" s="93"/>
      <x:c r="B18" s="93"/>
      <x:c r="C18" s="93"/>
      <x:c r="D18" s="93"/>
      <x:c r="E18" s="93"/>
      <x:c r="F18" s="93"/>
      <x:c r="G18" s="93"/>
      <x:c r="H18" s="93"/>
      <x:c r="I18" s="105" t="str">
        <x:f>IF(A18="","",IF(B18="","ACTION NEEDED",IF(OR(C18="",D18="",E18="",F18="",H18=""),"ACTION NEEDED",IF(AND(OR(C18="Coded / linked",C18="Directly identifiable"),G18&lt;&gt;"Yes"),"SEPARATE LINKAGE / REVIEW","OK"))))</x:f>
      </x:c>
      <x:c r="J18" s="73"/>
      <x:c r="K18" s="73"/>
      <x:c r="L18" s="73"/>
    </x:row>
    <x:row r="19">
      <x:c r="A19" s="93"/>
      <x:c r="B19" s="93"/>
      <x:c r="C19" s="93"/>
      <x:c r="D19" s="93"/>
      <x:c r="E19" s="93"/>
      <x:c r="F19" s="93"/>
      <x:c r="G19" s="93"/>
      <x:c r="H19" s="93"/>
      <x:c r="I19" s="105" t="str">
        <x:f>IF(A19="","",IF(B19="","ACTION NEEDED",IF(OR(C19="",D19="",E19="",F19="",H19=""),"ACTION NEEDED",IF(AND(OR(C19="Coded / linked",C19="Directly identifiable"),G19&lt;&gt;"Yes"),"SEPARATE LINKAGE / REVIEW","OK"))))</x:f>
      </x:c>
      <x:c r="J19" s="73"/>
      <x:c r="K19" s="73"/>
      <x:c r="L19" s="73"/>
    </x:row>
    <x:row r="20">
      <x:c r="A20" s="93"/>
      <x:c r="B20" s="93"/>
      <x:c r="C20" s="93"/>
      <x:c r="D20" s="93"/>
      <x:c r="E20" s="93"/>
      <x:c r="F20" s="93"/>
      <x:c r="G20" s="93"/>
      <x:c r="H20" s="93"/>
      <x:c r="I20" s="105" t="str">
        <x:f>IF(A20="","",IF(B20="","ACTION NEEDED",IF(OR(C20="",D20="",E20="",F20="",H20=""),"ACTION NEEDED",IF(AND(OR(C20="Coded / linked",C20="Directly identifiable"),G20&lt;&gt;"Yes"),"SEPARATE LINKAGE / REVIEW","OK"))))</x:f>
      </x:c>
      <x:c r="J20" s="73"/>
      <x:c r="K20" s="73"/>
      <x:c r="L20" s="73"/>
    </x:row>
    <x:row r="21">
      <x:c r="A21" s="93"/>
      <x:c r="B21" s="93"/>
      <x:c r="C21" s="93"/>
      <x:c r="D21" s="93"/>
      <x:c r="E21" s="93"/>
      <x:c r="F21" s="93"/>
      <x:c r="G21" s="93"/>
      <x:c r="H21" s="93"/>
      <x:c r="I21" s="105" t="str">
        <x:f>IF(A21="","",IF(B21="","ACTION NEEDED",IF(OR(C21="",D21="",E21="",F21="",H21=""),"ACTION NEEDED",IF(AND(OR(C21="Coded / linked",C21="Directly identifiable"),G21&lt;&gt;"Yes"),"SEPARATE LINKAGE / REVIEW","OK"))))</x:f>
      </x:c>
      <x:c r="J21" s="73"/>
      <x:c r="K21" s="73"/>
      <x:c r="L21" s="73"/>
    </x:row>
    <x:row r="22">
      <x:c r="A22" s="93"/>
      <x:c r="B22" s="93"/>
      <x:c r="C22" s="93"/>
      <x:c r="D22" s="93"/>
      <x:c r="E22" s="93"/>
      <x:c r="F22" s="93"/>
      <x:c r="G22" s="93"/>
      <x:c r="H22" s="93"/>
      <x:c r="I22" s="105" t="str">
        <x:f>IF(A22="","",IF(B22="","ACTION NEEDED",IF(OR(C22="",D22="",E22="",F22="",H22=""),"ACTION NEEDED",IF(AND(OR(C22="Coded / linked",C22="Directly identifiable"),G22&lt;&gt;"Yes"),"SEPARATE LINKAGE / REVIEW","OK"))))</x:f>
      </x:c>
      <x:c r="J22" s="73"/>
      <x:c r="K22" s="73"/>
      <x:c r="L22" s="73"/>
    </x:row>
    <x:row r="23">
      <x:c r="A23" s="93"/>
      <x:c r="B23" s="93"/>
      <x:c r="C23" s="93"/>
      <x:c r="D23" s="93"/>
      <x:c r="E23" s="93"/>
      <x:c r="F23" s="93"/>
      <x:c r="G23" s="93"/>
      <x:c r="H23" s="93"/>
      <x:c r="I23" s="105" t="str">
        <x:f>IF(A23="","",IF(B23="","ACTION NEEDED",IF(OR(C23="",D23="",E23="",F23="",H23=""),"ACTION NEEDED",IF(AND(OR(C23="Coded / linked",C23="Directly identifiable"),G23&lt;&gt;"Yes"),"SEPARATE LINKAGE / REVIEW","OK"))))</x:f>
      </x:c>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80" t="str">
        <x:v>Data-minimization prompt</x:v>
      </x:c>
      <x:c r="B26" s="80"/>
      <x:c r="C26" s="80"/>
      <x:c r="D26" s="80"/>
      <x:c r="E26" s="80"/>
      <x:c r="F26" s="80"/>
      <x:c r="G26" s="80"/>
      <x:c r="H26" s="80"/>
      <x:c r="I26" s="80"/>
      <x:c r="J26" s="73"/>
      <x:c r="K26" s="73"/>
      <x:c r="L26" s="73"/>
    </x:row>
    <x:row r="27">
      <x:c r="A27" s="99" t="str">
        <x:v>Before collecting a direct identifier or highly specific demographic detail, ask whether the research question truly requires it. If not, omit it. If it is required, document why, who can access it, how it will be separated/protected, and when it will be destroyed or de-linked.</x:v>
      </x:c>
      <x:c r="B27" s="99"/>
      <x:c r="C27" s="99"/>
      <x:c r="D27" s="99"/>
      <x:c r="E27" s="99"/>
      <x:c r="F27" s="99"/>
      <x:c r="G27" s="99"/>
      <x:c r="H27" s="99"/>
      <x:c r="I27" s="99"/>
      <x:c r="J27" s="73"/>
      <x:c r="K27" s="73"/>
      <x:c r="L27" s="73"/>
    </x:row>
    <x:row r="28">
      <x:c r="A28" s="99"/>
      <x:c r="B28" s="99"/>
      <x:c r="C28" s="99"/>
      <x:c r="D28" s="99"/>
      <x:c r="E28" s="99"/>
      <x:c r="F28" s="99"/>
      <x:c r="G28" s="99"/>
      <x:c r="H28" s="99"/>
      <x:c r="I28" s="99"/>
      <x:c r="J28" s="73"/>
      <x:c r="K28" s="73"/>
      <x:c r="L28" s="73"/>
    </x:row>
    <x:row r="29">
      <x:c r="A29" s="99"/>
      <x:c r="B29" s="99"/>
      <x:c r="C29" s="99"/>
      <x:c r="D29" s="99"/>
      <x:c r="E29" s="99"/>
      <x:c r="F29" s="99"/>
      <x:c r="G29" s="99"/>
      <x:c r="H29" s="99"/>
      <x:c r="I29" s="99"/>
      <x:c r="J29" s="73"/>
      <x:c r="K29" s="73"/>
      <x:c r="L29" s="73"/>
    </x:row>
    <x:row r="30">
      <x:c r="A30" s="99"/>
      <x:c r="B30" s="99"/>
      <x:c r="C30" s="99"/>
      <x:c r="D30" s="99"/>
      <x:c r="E30" s="99"/>
      <x:c r="F30" s="99"/>
      <x:c r="G30" s="99"/>
      <x:c r="H30" s="99"/>
      <x:c r="I30" s="99"/>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I1"/>
    <x:mergeCell ref="A26:I26"/>
    <x:mergeCell ref="A27:I30"/>
  </x:mergeCells>
  <x:conditionalFormatting sqref="I4:I23">
    <x:cfRule type="expression" dxfId="4" priority="1">
      <x:formula>$I4&lt;&gt;"OK"</x:formula>
    </x:cfRule>
  </x:conditionalFormatting>
  <x:dataValidations count="60">
    <x:dataValidation type="list" sqref="C4">
      <x:formula1>_LISTS!$D$2:$D$6</x:formula1>
    </x:dataValidation>
    <x:dataValidation type="list" sqref="D4">
      <x:formula1>_LISTS!$A$2:$A$5</x:formula1>
    </x:dataValidation>
    <x:dataValidation type="list" sqref="G4">
      <x:formula1>_LISTS!$A$2:$A$5</x:formula1>
    </x:dataValidation>
    <x:dataValidation type="list" sqref="C5">
      <x:formula1>_LISTS!$D$2:$D$6</x:formula1>
    </x:dataValidation>
    <x:dataValidation type="list" sqref="D5">
      <x:formula1>_LISTS!$A$2:$A$5</x:formula1>
    </x:dataValidation>
    <x:dataValidation type="list" sqref="G5">
      <x:formula1>_LISTS!$A$2:$A$5</x:formula1>
    </x:dataValidation>
    <x:dataValidation type="list" sqref="C6">
      <x:formula1>_LISTS!$D$2:$D$6</x:formula1>
    </x:dataValidation>
    <x:dataValidation type="list" sqref="D6">
      <x:formula1>_LISTS!$A$2:$A$5</x:formula1>
    </x:dataValidation>
    <x:dataValidation type="list" sqref="G6">
      <x:formula1>_LISTS!$A$2:$A$5</x:formula1>
    </x:dataValidation>
    <x:dataValidation type="list" sqref="C7">
      <x:formula1>_LISTS!$D$2:$D$6</x:formula1>
    </x:dataValidation>
    <x:dataValidation type="list" sqref="D7">
      <x:formula1>_LISTS!$A$2:$A$5</x:formula1>
    </x:dataValidation>
    <x:dataValidation type="list" sqref="G7">
      <x:formula1>_LISTS!$A$2:$A$5</x:formula1>
    </x:dataValidation>
    <x:dataValidation type="list" sqref="C8">
      <x:formula1>_LISTS!$D$2:$D$6</x:formula1>
    </x:dataValidation>
    <x:dataValidation type="list" sqref="D8">
      <x:formula1>_LISTS!$A$2:$A$5</x:formula1>
    </x:dataValidation>
    <x:dataValidation type="list" sqref="G8">
      <x:formula1>_LISTS!$A$2:$A$5</x:formula1>
    </x:dataValidation>
    <x:dataValidation type="list" sqref="C9">
      <x:formula1>_LISTS!$D$2:$D$6</x:formula1>
    </x:dataValidation>
    <x:dataValidation type="list" sqref="D9">
      <x:formula1>_LISTS!$A$2:$A$5</x:formula1>
    </x:dataValidation>
    <x:dataValidation type="list" sqref="G9">
      <x:formula1>_LISTS!$A$2:$A$5</x:formula1>
    </x:dataValidation>
    <x:dataValidation type="list" sqref="C10">
      <x:formula1>_LISTS!$D$2:$D$6</x:formula1>
    </x:dataValidation>
    <x:dataValidation type="list" sqref="D10">
      <x:formula1>_LISTS!$A$2:$A$5</x:formula1>
    </x:dataValidation>
    <x:dataValidation type="list" sqref="G10">
      <x:formula1>_LISTS!$A$2:$A$5</x:formula1>
    </x:dataValidation>
    <x:dataValidation type="list" sqref="C11">
      <x:formula1>_LISTS!$D$2:$D$6</x:formula1>
    </x:dataValidation>
    <x:dataValidation type="list" sqref="D11">
      <x:formula1>_LISTS!$A$2:$A$5</x:formula1>
    </x:dataValidation>
    <x:dataValidation type="list" sqref="G11">
      <x:formula1>_LISTS!$A$2:$A$5</x:formula1>
    </x:dataValidation>
    <x:dataValidation type="list" sqref="C12">
      <x:formula1>_LISTS!$D$2:$D$6</x:formula1>
    </x:dataValidation>
    <x:dataValidation type="list" sqref="D12">
      <x:formula1>_LISTS!$A$2:$A$5</x:formula1>
    </x:dataValidation>
    <x:dataValidation type="list" sqref="G12">
      <x:formula1>_LISTS!$A$2:$A$5</x:formula1>
    </x:dataValidation>
    <x:dataValidation type="list" sqref="C13">
      <x:formula1>_LISTS!$D$2:$D$6</x:formula1>
    </x:dataValidation>
    <x:dataValidation type="list" sqref="D13">
      <x:formula1>_LISTS!$A$2:$A$5</x:formula1>
    </x:dataValidation>
    <x:dataValidation type="list" sqref="G13">
      <x:formula1>_LISTS!$A$2:$A$5</x:formula1>
    </x:dataValidation>
    <x:dataValidation type="list" sqref="C14">
      <x:formula1>_LISTS!$D$2:$D$6</x:formula1>
    </x:dataValidation>
    <x:dataValidation type="list" sqref="D14">
      <x:formula1>_LISTS!$A$2:$A$5</x:formula1>
    </x:dataValidation>
    <x:dataValidation type="list" sqref="G14">
      <x:formula1>_LISTS!$A$2:$A$5</x:formula1>
    </x:dataValidation>
    <x:dataValidation type="list" sqref="C15">
      <x:formula1>_LISTS!$D$2:$D$6</x:formula1>
    </x:dataValidation>
    <x:dataValidation type="list" sqref="D15">
      <x:formula1>_LISTS!$A$2:$A$5</x:formula1>
    </x:dataValidation>
    <x:dataValidation type="list" sqref="G15">
      <x:formula1>_LISTS!$A$2:$A$5</x:formula1>
    </x:dataValidation>
    <x:dataValidation type="list" sqref="C16">
      <x:formula1>_LISTS!$D$2:$D$6</x:formula1>
    </x:dataValidation>
    <x:dataValidation type="list" sqref="D16">
      <x:formula1>_LISTS!$A$2:$A$5</x:formula1>
    </x:dataValidation>
    <x:dataValidation type="list" sqref="G16">
      <x:formula1>_LISTS!$A$2:$A$5</x:formula1>
    </x:dataValidation>
    <x:dataValidation type="list" sqref="C17">
      <x:formula1>_LISTS!$D$2:$D$6</x:formula1>
    </x:dataValidation>
    <x:dataValidation type="list" sqref="D17">
      <x:formula1>_LISTS!$A$2:$A$5</x:formula1>
    </x:dataValidation>
    <x:dataValidation type="list" sqref="G17">
      <x:formula1>_LISTS!$A$2:$A$5</x:formula1>
    </x:dataValidation>
    <x:dataValidation type="list" sqref="C18">
      <x:formula1>_LISTS!$D$2:$D$6</x:formula1>
    </x:dataValidation>
    <x:dataValidation type="list" sqref="D18">
      <x:formula1>_LISTS!$A$2:$A$5</x:formula1>
    </x:dataValidation>
    <x:dataValidation type="list" sqref="G18">
      <x:formula1>_LISTS!$A$2:$A$5</x:formula1>
    </x:dataValidation>
    <x:dataValidation type="list" sqref="C19">
      <x:formula1>_LISTS!$D$2:$D$6</x:formula1>
    </x:dataValidation>
    <x:dataValidation type="list" sqref="D19">
      <x:formula1>_LISTS!$A$2:$A$5</x:formula1>
    </x:dataValidation>
    <x:dataValidation type="list" sqref="G19">
      <x:formula1>_LISTS!$A$2:$A$5</x:formula1>
    </x:dataValidation>
    <x:dataValidation type="list" sqref="C20">
      <x:formula1>_LISTS!$D$2:$D$6</x:formula1>
    </x:dataValidation>
    <x:dataValidation type="list" sqref="D20">
      <x:formula1>_LISTS!$A$2:$A$5</x:formula1>
    </x:dataValidation>
    <x:dataValidation type="list" sqref="G20">
      <x:formula1>_LISTS!$A$2:$A$5</x:formula1>
    </x:dataValidation>
    <x:dataValidation type="list" sqref="C21">
      <x:formula1>_LISTS!$D$2:$D$6</x:formula1>
    </x:dataValidation>
    <x:dataValidation type="list" sqref="D21">
      <x:formula1>_LISTS!$A$2:$A$5</x:formula1>
    </x:dataValidation>
    <x:dataValidation type="list" sqref="G21">
      <x:formula1>_LISTS!$A$2:$A$5</x:formula1>
    </x:dataValidation>
    <x:dataValidation type="list" sqref="C22">
      <x:formula1>_LISTS!$D$2:$D$6</x:formula1>
    </x:dataValidation>
    <x:dataValidation type="list" sqref="D22">
      <x:formula1>_LISTS!$A$2:$A$5</x:formula1>
    </x:dataValidation>
    <x:dataValidation type="list" sqref="G22">
      <x:formula1>_LISTS!$A$2:$A$5</x:formula1>
    </x:dataValidation>
    <x:dataValidation type="list" sqref="C23">
      <x:formula1>_LISTS!$D$2:$D$6</x:formula1>
    </x:dataValidation>
    <x:dataValidation type="list" sqref="D23">
      <x:formula1>_LISTS!$A$2:$A$5</x:formula1>
    </x:dataValidation>
    <x:dataValidation type="list" sqref="G23">
      <x:formula1>_LISTS!$A$2:$A$5</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54" hidden="0" customWidth="1"/>
    <x:col min="2" max="2" width="14" hidden="0" customWidth="1"/>
    <x:col min="3" max="3" width="48" hidden="0" customWidth="1"/>
    <x:col min="4" max="4" width="28" hidden="0" customWidth="1"/>
    <x:col min="5" max="5" width="34" hidden="0" customWidth="1"/>
    <x:col min="6" max="6" width="18" hidden="0" customWidth="1"/>
    <x:col min="7" max="7" width="18" hidden="0" customWidth="1"/>
    <x:col min="8" max="8" width="32" hidden="0" customWidth="1"/>
  </x:cols>
  <x:sheetData>
    <x:row r="1">
      <x:c r="A1" s="121" t="str">
        <x:v>RECRUITMENT &amp; JUSTICE — check voluntariness, selection, and distribution of burden</x:v>
      </x:c>
      <x:c r="B1" s="121"/>
      <x:c r="C1" s="121"/>
      <x:c r="D1" s="121"/>
      <x:c r="E1" s="121"/>
      <x:c r="F1" s="121"/>
      <x:c r="G1" s="121"/>
      <x:c r="H1" s="121"/>
      <x:c r="I1" s="73"/>
      <x:c r="J1" s="73"/>
      <x:c r="K1" s="73"/>
      <x:c r="L1" s="73"/>
    </x:row>
    <x:row r="2">
      <x:c r="A2" s="73"/>
      <x:c r="B2" s="73"/>
      <x:c r="C2" s="73"/>
      <x:c r="D2" s="73"/>
      <x:c r="E2" s="73"/>
      <x:c r="F2" s="73"/>
      <x:c r="G2" s="73"/>
      <x:c r="H2" s="73"/>
      <x:c r="I2" s="73"/>
      <x:c r="J2" s="73"/>
      <x:c r="K2" s="73"/>
      <x:c r="L2" s="73"/>
    </x:row>
    <x:row r="3">
      <x:c r="A3" s="97" t="str">
        <x:v>Check</x:v>
      </x:c>
      <x:c r="B3" s="97" t="str">
        <x:v>Response</x:v>
      </x:c>
      <x:c r="C3" s="97" t="str">
        <x:v>Why It Matters</x:v>
      </x:c>
      <x:c r="D3" s="97" t="str">
        <x:v>Risk / Bias</x:v>
      </x:c>
      <x:c r="E3" s="97" t="str">
        <x:v>Mitigation</x:v>
      </x:c>
      <x:c r="F3" s="97" t="str">
        <x:v>Owner</x:v>
      </x:c>
      <x:c r="G3" s="97" t="str">
        <x:v>Status</x:v>
      </x:c>
      <x:c r="H3" s="97" t="str">
        <x:v>Notes</x:v>
      </x:c>
      <x:c r="I3" s="73"/>
      <x:c r="J3" s="73"/>
      <x:c r="K3" s="73"/>
      <x:c r="L3" s="73"/>
    </x:row>
    <x:row r="4">
      <x:c r="A4" s="109" t="str">
        <x:v>Selection criteria are directly relevant to the research question.</x:v>
      </x:c>
      <x:c r="B4" s="93" t="str"/>
      <x:c r="C4" s="99" t="str">
        <x:v>Selection should be justified by the study, not merely access or convenience.</x:v>
      </x:c>
      <x:c r="D4" s="93" t="str"/>
      <x:c r="E4" s="93" t="str"/>
      <x:c r="F4" s="93" t="str"/>
      <x:c r="G4" s="105" t="str">
        <x:f>IF(B4="","ACTION NEEDED",IF(B4="Yes","OK",IF(B4="N/A","CHECK CONTEXT","ACTION NEEDED")))</x:f>
        <x:v>ACTION NEEDED</x:v>
      </x:c>
      <x:c r="H4" s="100" t="str"/>
      <x:c r="I4" s="73"/>
      <x:c r="J4" s="73"/>
      <x:c r="K4" s="73"/>
      <x:c r="L4" s="73"/>
    </x:row>
    <x:row r="5">
      <x:c r="A5" s="109" t="str">
        <x:v>The recruitment pool is not being used simply because it is captive or easy to reach.</x:v>
      </x:c>
      <x:c r="B5" s="93" t="str"/>
      <x:c r="C5" s="99" t="str">
        <x:v>Convenience and authority relationships can concentrate burden or pressure.</x:v>
      </x:c>
      <x:c r="D5" s="93" t="str"/>
      <x:c r="E5" s="93" t="str"/>
      <x:c r="F5" s="93" t="str"/>
      <x:c r="G5" s="105" t="str">
        <x:f>IF(B5="","ACTION NEEDED",IF(B5="Yes","OK",IF(B5="N/A","CHECK CONTEXT","ACTION NEEDED")))</x:f>
        <x:v>ACTION NEEDED</x:v>
      </x:c>
      <x:c r="H5" s="100" t="str"/>
      <x:c r="I5" s="73"/>
      <x:c r="J5" s="73"/>
      <x:c r="K5" s="73"/>
      <x:c r="L5" s="73"/>
    </x:row>
    <x:row r="6">
      <x:c r="A6" s="109" t="str">
        <x:v>Potential participants can decline without penalty or loss of benefits.</x:v>
      </x:c>
      <x:c r="B6" s="93" t="str"/>
      <x:c r="C6" s="99" t="str">
        <x:v>Voluntariness requires a genuine ability to say no.</x:v>
      </x:c>
      <x:c r="D6" s="93" t="str"/>
      <x:c r="E6" s="93" t="str"/>
      <x:c r="F6" s="93" t="str"/>
      <x:c r="G6" s="105" t="str">
        <x:f>IF(B6="","ACTION NEEDED",IF(B6="Yes","OK",IF(B6="N/A","CHECK CONTEXT","ACTION NEEDED")))</x:f>
        <x:v>ACTION NEEDED</x:v>
      </x:c>
      <x:c r="H6" s="100" t="str"/>
      <x:c r="I6" s="73"/>
      <x:c r="J6" s="73"/>
      <x:c r="K6" s="73"/>
      <x:c r="L6" s="73"/>
    </x:row>
    <x:row r="7">
      <x:c r="A7" s="109" t="str">
        <x:v>The person recruiting is not the participant's grader, direct supervisor, or service gatekeeper—or safeguards are documented.</x:v>
      </x:c>
      <x:c r="B7" s="93" t="str"/>
      <x:c r="C7" s="99" t="str">
        <x:v>Power relationships can create perceived pressure.</x:v>
      </x:c>
      <x:c r="D7" s="93" t="str"/>
      <x:c r="E7" s="93" t="str"/>
      <x:c r="F7" s="93" t="str"/>
      <x:c r="G7" s="105" t="str">
        <x:f>IF(B7="","ACTION NEEDED",IF(B7="Yes","OK",IF(B7="N/A","CHECK CONTEXT","ACTION NEEDED")))</x:f>
        <x:v>ACTION NEEDED</x:v>
      </x:c>
      <x:c r="H7" s="100" t="str"/>
      <x:c r="I7" s="73"/>
      <x:c r="J7" s="73"/>
      <x:c r="K7" s="73"/>
      <x:c r="L7" s="73"/>
    </x:row>
    <x:row r="8">
      <x:c r="A8" s="109" t="str">
        <x:v>Compensation is proportionate and not structured to undermine voluntariness.</x:v>
      </x:c>
      <x:c r="B8" s="93" t="str"/>
      <x:c r="C8" s="99" t="str">
        <x:v>Payment should not become undue influence.</x:v>
      </x:c>
      <x:c r="D8" s="93" t="str"/>
      <x:c r="E8" s="93" t="str"/>
      <x:c r="F8" s="93" t="str"/>
      <x:c r="G8" s="105" t="str">
        <x:f>IF(B8="","ACTION NEEDED",IF(B8="Yes","OK",IF(B8="N/A","CHECK CONTEXT","ACTION NEEDED")))</x:f>
        <x:v>ACTION NEEDED</x:v>
      </x:c>
      <x:c r="H8" s="100" t="str"/>
      <x:c r="I8" s="73"/>
      <x:c r="J8" s="73"/>
      <x:c r="K8" s="73"/>
      <x:c r="L8" s="73"/>
    </x:row>
    <x:row r="9">
      <x:c r="A9" s="109" t="str">
        <x:v>If vulnerable/protected populations are included, the inclusion is scientifically/educationally justified and protections are documented.</x:v>
      </x:c>
      <x:c r="B9" s="93" t="str"/>
      <x:c r="C9" s="99" t="str">
        <x:v>Inclusion/exclusion should balance protection with fair access to potential benefits.</x:v>
      </x:c>
      <x:c r="D9" s="93" t="str"/>
      <x:c r="E9" s="93" t="str"/>
      <x:c r="F9" s="93" t="str"/>
      <x:c r="G9" s="105" t="str">
        <x:f>IF(B9="","ACTION NEEDED",IF(B9="Yes","OK",IF(B9="N/A","CHECK CONTEXT","ACTION NEEDED")))</x:f>
        <x:v>ACTION NEEDED</x:v>
      </x:c>
      <x:c r="H9" s="100" t="str"/>
      <x:c r="I9" s="73"/>
      <x:c r="J9" s="73"/>
      <x:c r="K9" s="73"/>
      <x:c r="L9" s="73"/>
    </x:row>
    <x:row r="10">
      <x:c r="A10" s="109" t="str">
        <x:v>Recruitment language accurately describes the project without overstating benefit.</x:v>
      </x:c>
      <x:c r="B10" s="93" t="str"/>
      <x:c r="C10" s="99" t="str">
        <x:v>Recruitment is part of the consent/communication process.</x:v>
      </x:c>
      <x:c r="D10" s="93" t="str"/>
      <x:c r="E10" s="93" t="str"/>
      <x:c r="F10" s="93" t="str"/>
      <x:c r="G10" s="105" t="str">
        <x:f>IF(B10="","ACTION NEEDED",IF(B10="Yes","OK",IF(B10="N/A","CHECK CONTEXT","ACTION NEEDED")))</x:f>
        <x:v>ACTION NEEDED</x:v>
      </x:c>
      <x:c r="H10" s="100" t="str"/>
      <x:c r="I10" s="73"/>
      <x:c r="J10" s="73"/>
      <x:c r="K10" s="73"/>
      <x:c r="L10" s="73"/>
    </x:row>
    <x:row r="11">
      <x:c r="A11" s="109" t="str">
        <x:v>Burden (time, sensitive disclosure, risk) is proportionate to the knowledge or learning expected.</x:v>
      </x:c>
      <x:c r="B11" s="93" t="str"/>
      <x:c r="C11" s="99" t="str">
        <x:v>Beneficence requires minimizing harm and unnecessary burden.</x:v>
      </x:c>
      <x:c r="D11" s="93" t="str"/>
      <x:c r="E11" s="93" t="str"/>
      <x:c r="F11" s="93" t="str"/>
      <x:c r="G11" s="105" t="str">
        <x:f>IF(B11="","ACTION NEEDED",IF(B11="Yes","OK",IF(B11="N/A","CHECK CONTEXT","ACTION NEEDED")))</x:f>
        <x:v>ACTION NEEDED</x:v>
      </x:c>
      <x:c r="H11" s="100" t="str"/>
      <x:c r="I11" s="73"/>
      <x:c r="J11" s="73"/>
      <x:c r="K11" s="73"/>
      <x:c r="L11" s="73"/>
    </x:row>
    <x:row r="12">
      <x:c r="A12" s="73"/>
      <x:c r="B12" s="73"/>
      <x:c r="C12" s="73"/>
      <x:c r="D12" s="73"/>
      <x:c r="E12" s="73"/>
      <x:c r="F12" s="73"/>
      <x:c r="G12" s="73"/>
      <x:c r="H12" s="73"/>
      <x:c r="I12" s="73"/>
      <x:c r="J12" s="73"/>
      <x:c r="K12" s="73"/>
      <x:c r="L12" s="73"/>
    </x:row>
    <x:row r="13">
      <x:c r="A13" s="73"/>
      <x:c r="B13" s="73"/>
      <x:c r="C13" s="73"/>
      <x:c r="D13" s="73"/>
      <x:c r="E13" s="73"/>
      <x:c r="F13" s="73"/>
      <x:c r="G13" s="73"/>
      <x:c r="H13" s="73"/>
      <x:c r="I13" s="73"/>
      <x:c r="J13" s="73"/>
      <x:c r="K13" s="73"/>
      <x:c r="L13" s="73"/>
    </x:row>
    <x:row r="14">
      <x:c r="A14" s="73"/>
      <x:c r="B14" s="73"/>
      <x:c r="C14" s="73"/>
      <x:c r="D14" s="73"/>
      <x:c r="E14" s="73"/>
      <x:c r="F14" s="73"/>
      <x:c r="G14" s="73"/>
      <x:c r="H14" s="73"/>
      <x:c r="I14" s="73"/>
      <x:c r="J14" s="73"/>
      <x:c r="K14" s="73"/>
      <x:c r="L14" s="73"/>
    </x:row>
    <x:row r="15">
      <x:c r="A15" s="73"/>
      <x:c r="B15" s="73"/>
      <x:c r="C15" s="73"/>
      <x:c r="D15" s="73"/>
      <x:c r="E15" s="73"/>
      <x:c r="F15" s="73"/>
      <x:c r="G15" s="73"/>
      <x:c r="H15" s="73"/>
      <x:c r="I15" s="73"/>
      <x:c r="J15" s="73"/>
      <x:c r="K15" s="73"/>
      <x:c r="L15" s="73"/>
    </x:row>
    <x:row r="16">
      <x:c r="A16" s="73"/>
      <x:c r="B16" s="73"/>
      <x:c r="C16" s="73"/>
      <x:c r="D16" s="73"/>
      <x:c r="E16" s="73"/>
      <x:c r="F16" s="73"/>
      <x:c r="G16" s="73"/>
      <x:c r="H16" s="73"/>
      <x:c r="I16" s="73"/>
      <x:c r="J16" s="73"/>
      <x:c r="K16" s="73"/>
      <x:c r="L16" s="73"/>
    </x:row>
    <x:row r="17">
      <x:c r="A17" s="73"/>
      <x:c r="B17" s="73"/>
      <x:c r="C17" s="73"/>
      <x:c r="D17" s="73"/>
      <x:c r="E17" s="73"/>
      <x:c r="F17" s="73"/>
      <x:c r="G17" s="73"/>
      <x:c r="H17" s="73"/>
      <x:c r="I17" s="73"/>
      <x:c r="J17" s="73"/>
      <x:c r="K17" s="73"/>
      <x:c r="L17" s="73"/>
    </x:row>
    <x:row r="18">
      <x:c r="A18" s="73"/>
      <x:c r="B18" s="73"/>
      <x:c r="C18" s="73"/>
      <x:c r="D18" s="73"/>
      <x:c r="E18" s="73"/>
      <x:c r="F18" s="73"/>
      <x:c r="G18" s="73"/>
      <x:c r="H18" s="73"/>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H1"/>
  </x:mergeCells>
  <x:conditionalFormatting sqref="G4:G11">
    <x:cfRule type="expression" dxfId="5" priority="1">
      <x:formula>$G4&lt;&gt;"OK"</x:formula>
    </x:cfRule>
  </x:conditionalFormatting>
  <x:dataValidations count="8">
    <x:dataValidation type="list" sqref="B4">
      <x:formula1>_LISTS!$A$2:$A$5</x:formula1>
    </x:dataValidation>
    <x:dataValidation type="list" sqref="B5">
      <x:formula1>_LISTS!$A$2:$A$5</x:formula1>
    </x:dataValidation>
    <x:dataValidation type="list" sqref="B6">
      <x:formula1>_LISTS!$A$2:$A$5</x:formula1>
    </x:dataValidation>
    <x:dataValidation type="list" sqref="B7">
      <x:formula1>_LISTS!$A$2:$A$5</x:formula1>
    </x:dataValidation>
    <x:dataValidation type="list" sqref="B8">
      <x:formula1>_LISTS!$A$2:$A$5</x:formula1>
    </x:dataValidation>
    <x:dataValidation type="list" sqref="B9">
      <x:formula1>_LISTS!$A$2:$A$5</x:formula1>
    </x:dataValidation>
    <x:dataValidation type="list" sqref="B10">
      <x:formula1>_LISTS!$A$2:$A$5</x:formula1>
    </x:dataValidation>
    <x:dataValidation type="list" sqref="B11">
      <x:formula1>_LISTS!$A$2:$A$5</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38" hidden="0" customWidth="1"/>
    <x:col min="2" max="2" width="14" hidden="0" customWidth="1"/>
    <x:col min="3" max="3" width="18" hidden="0" customWidth="1"/>
    <x:col min="4" max="4" width="18" hidden="0" customWidth="1"/>
    <x:col min="5" max="5" width="40" hidden="0" customWidth="1"/>
    <x:col min="6" max="6" width="16" hidden="0" customWidth="1"/>
    <x:col min="7" max="7" width="24" hidden="0" customWidth="1"/>
    <x:col min="8" max="8" width="34" hidden="0" customWidth="1"/>
  </x:cols>
  <x:sheetData>
    <x:row r="1">
      <x:c r="A1" s="121" t="str">
        <x:v>REVIEW PACKET — track the materials your institution/project requires</x:v>
      </x:c>
      <x:c r="B1" s="121"/>
      <x:c r="C1" s="121"/>
      <x:c r="D1" s="121"/>
      <x:c r="E1" s="121"/>
      <x:c r="F1" s="121"/>
      <x:c r="G1" s="121"/>
      <x:c r="H1" s="121"/>
      <x:c r="I1" s="73"/>
      <x:c r="J1" s="73"/>
      <x:c r="K1" s="73"/>
      <x:c r="L1" s="73"/>
    </x:row>
    <x:row r="2">
      <x:c r="A2" s="73"/>
      <x:c r="B2" s="73"/>
      <x:c r="C2" s="73"/>
      <x:c r="D2" s="73"/>
      <x:c r="E2" s="73"/>
      <x:c r="F2" s="73"/>
      <x:c r="G2" s="73"/>
      <x:c r="H2" s="73"/>
      <x:c r="I2" s="73"/>
      <x:c r="J2" s="73"/>
      <x:c r="K2" s="73"/>
      <x:c r="L2" s="73"/>
    </x:row>
    <x:row r="3">
      <x:c r="A3" s="97" t="str">
        <x:v>Document / Element</x:v>
      </x:c>
      <x:c r="B3" s="97" t="str">
        <x:v>Required?</x:v>
      </x:c>
      <x:c r="C3" s="97" t="str">
        <x:v>Status</x:v>
      </x:c>
      <x:c r="D3" s="97" t="str">
        <x:v>Owner</x:v>
      </x:c>
      <x:c r="E3" s="97" t="str">
        <x:v>File / Location</x:v>
      </x:c>
      <x:c r="F3" s="97" t="str">
        <x:v>Version Date</x:v>
      </x:c>
      <x:c r="G3" s="97" t="str">
        <x:v>Reviewed / Approved By</x:v>
      </x:c>
      <x:c r="H3" s="97" t="str">
        <x:v>Notes</x:v>
      </x:c>
      <x:c r="I3" s="73"/>
      <x:c r="J3" s="73"/>
      <x:c r="K3" s="73"/>
      <x:c r="L3" s="73"/>
    </x:row>
    <x:row r="4">
      <x:c r="A4" s="98" t="str">
        <x:v>Protocol / project description</x:v>
      </x:c>
      <x:c r="B4" s="93" t="str"/>
      <x:c r="C4" s="93" t="str"/>
      <x:c r="D4" s="93" t="str"/>
      <x:c r="E4" s="93" t="str"/>
      <x:c r="F4" s="94" t="str"/>
      <x:c r="G4" s="93" t="str"/>
      <x:c r="H4" s="93" t="str"/>
      <x:c r="I4" s="73"/>
      <x:c r="J4" s="73"/>
      <x:c r="K4" s="73"/>
      <x:c r="L4" s="73"/>
    </x:row>
    <x:row r="5">
      <x:c r="A5" s="98" t="str">
        <x:v>Research question / aims</x:v>
      </x:c>
      <x:c r="B5" s="93" t="str"/>
      <x:c r="C5" s="93" t="str"/>
      <x:c r="D5" s="93" t="str"/>
      <x:c r="E5" s="93" t="str"/>
      <x:c r="F5" s="94" t="str"/>
      <x:c r="G5" s="93" t="str"/>
      <x:c r="H5" s="93" t="str"/>
      <x:c r="I5" s="73"/>
      <x:c r="J5" s="73"/>
      <x:c r="K5" s="73"/>
      <x:c r="L5" s="73"/>
    </x:row>
    <x:row r="6">
      <x:c r="A6" s="98" t="str">
        <x:v>Methods / procedures</x:v>
      </x:c>
      <x:c r="B6" s="93" t="str"/>
      <x:c r="C6" s="93" t="str"/>
      <x:c r="D6" s="93" t="str"/>
      <x:c r="E6" s="93" t="str"/>
      <x:c r="F6" s="94" t="str"/>
      <x:c r="G6" s="93" t="str"/>
      <x:c r="H6" s="93" t="str"/>
      <x:c r="I6" s="73"/>
      <x:c r="J6" s="73"/>
      <x:c r="K6" s="73"/>
      <x:c r="L6" s="73"/>
    </x:row>
    <x:row r="7">
      <x:c r="A7" s="98" t="str">
        <x:v>Recruitment materials</x:v>
      </x:c>
      <x:c r="B7" s="93" t="str"/>
      <x:c r="C7" s="93" t="str"/>
      <x:c r="D7" s="93" t="str"/>
      <x:c r="E7" s="93" t="str"/>
      <x:c r="F7" s="94" t="str"/>
      <x:c r="G7" s="93" t="str"/>
      <x:c r="H7" s="93" t="str"/>
      <x:c r="I7" s="73"/>
      <x:c r="J7" s="73"/>
      <x:c r="K7" s="73"/>
      <x:c r="L7" s="73"/>
    </x:row>
    <x:row r="8">
      <x:c r="A8" s="98" t="str">
        <x:v>Consent / information sheet</x:v>
      </x:c>
      <x:c r="B8" s="93" t="str"/>
      <x:c r="C8" s="93" t="str"/>
      <x:c r="D8" s="93" t="str"/>
      <x:c r="E8" s="93" t="str"/>
      <x:c r="F8" s="94" t="str"/>
      <x:c r="G8" s="93" t="str"/>
      <x:c r="H8" s="93" t="str"/>
      <x:c r="I8" s="73"/>
      <x:c r="J8" s="73"/>
      <x:c r="K8" s="73"/>
      <x:c r="L8" s="73"/>
    </x:row>
    <x:row r="9">
      <x:c r="A9" s="98" t="str">
        <x:v>Survey / interview / focus-group instrument</x:v>
      </x:c>
      <x:c r="B9" s="93" t="str"/>
      <x:c r="C9" s="93" t="str"/>
      <x:c r="D9" s="93" t="str"/>
      <x:c r="E9" s="93" t="str"/>
      <x:c r="F9" s="94" t="str"/>
      <x:c r="G9" s="93" t="str"/>
      <x:c r="H9" s="93" t="str"/>
      <x:c r="I9" s="73"/>
      <x:c r="J9" s="73"/>
      <x:c r="K9" s="73"/>
      <x:c r="L9" s="73"/>
    </x:row>
    <x:row r="10">
      <x:c r="A10" s="98" t="str">
        <x:v>Debriefing material (if applicable)</x:v>
      </x:c>
      <x:c r="B10" s="93" t="str"/>
      <x:c r="C10" s="93" t="str"/>
      <x:c r="D10" s="93" t="str"/>
      <x:c r="E10" s="93" t="str"/>
      <x:c r="F10" s="94" t="str"/>
      <x:c r="G10" s="93" t="str"/>
      <x:c r="H10" s="93" t="str"/>
      <x:c r="I10" s="73"/>
      <x:c r="J10" s="73"/>
      <x:c r="K10" s="73"/>
      <x:c r="L10" s="73"/>
    </x:row>
    <x:row r="11">
      <x:c r="A11" s="98" t="str">
        <x:v>Data-management / privacy plan</x:v>
      </x:c>
      <x:c r="B11" s="93" t="str"/>
      <x:c r="C11" s="93" t="str"/>
      <x:c r="D11" s="93" t="str"/>
      <x:c r="E11" s="93" t="str"/>
      <x:c r="F11" s="94" t="str"/>
      <x:c r="G11" s="93" t="str"/>
      <x:c r="H11" s="93" t="str"/>
      <x:c r="I11" s="73"/>
      <x:c r="J11" s="73"/>
      <x:c r="K11" s="73"/>
      <x:c r="L11" s="73"/>
    </x:row>
    <x:row r="12">
      <x:c r="A12" s="98" t="str">
        <x:v>Risk / benefit assessment</x:v>
      </x:c>
      <x:c r="B12" s="93" t="str"/>
      <x:c r="C12" s="93" t="str"/>
      <x:c r="D12" s="93" t="str"/>
      <x:c r="E12" s="93" t="str"/>
      <x:c r="F12" s="94" t="str"/>
      <x:c r="G12" s="93" t="str"/>
      <x:c r="H12" s="93" t="str"/>
      <x:c r="I12" s="73"/>
      <x:c r="J12" s="73"/>
      <x:c r="K12" s="73"/>
      <x:c r="L12" s="73"/>
    </x:row>
    <x:row r="13">
      <x:c r="A13" s="98" t="str">
        <x:v>Participant-selection rationale</x:v>
      </x:c>
      <x:c r="B13" s="93" t="str"/>
      <x:c r="C13" s="93" t="str"/>
      <x:c r="D13" s="93" t="str"/>
      <x:c r="E13" s="93" t="str"/>
      <x:c r="F13" s="94" t="str"/>
      <x:c r="G13" s="93" t="str"/>
      <x:c r="H13" s="93" t="str"/>
      <x:c r="I13" s="73"/>
      <x:c r="J13" s="73"/>
      <x:c r="K13" s="73"/>
      <x:c r="L13" s="73"/>
    </x:row>
    <x:row r="14">
      <x:c r="A14" s="98" t="str">
        <x:v>Investigator / student training documentation</x:v>
      </x:c>
      <x:c r="B14" s="93" t="str"/>
      <x:c r="C14" s="93" t="str"/>
      <x:c r="D14" s="93" t="str"/>
      <x:c r="E14" s="93" t="str"/>
      <x:c r="F14" s="94" t="str"/>
      <x:c r="G14" s="93" t="str"/>
      <x:c r="H14" s="93" t="str"/>
      <x:c r="I14" s="73"/>
      <x:c r="J14" s="73"/>
      <x:c r="K14" s="73"/>
      <x:c r="L14" s="73"/>
    </x:row>
    <x:row r="15">
      <x:c r="A15" s="98" t="str">
        <x:v>Site / partner permission (if applicable)</x:v>
      </x:c>
      <x:c r="B15" s="93" t="str"/>
      <x:c r="C15" s="93" t="str"/>
      <x:c r="D15" s="93" t="str"/>
      <x:c r="E15" s="93" t="str"/>
      <x:c r="F15" s="94" t="str"/>
      <x:c r="G15" s="93" t="str"/>
      <x:c r="H15" s="93" t="str"/>
      <x:c r="I15" s="73"/>
      <x:c r="J15" s="73"/>
      <x:c r="K15" s="73"/>
      <x:c r="L15" s="73"/>
    </x:row>
    <x:row r="16">
      <x:c r="A16" s="98" t="str">
        <x:v>Conflict-of-interest disclosure (if applicable)</x:v>
      </x:c>
      <x:c r="B16" s="93" t="str"/>
      <x:c r="C16" s="93" t="str"/>
      <x:c r="D16" s="93" t="str"/>
      <x:c r="E16" s="93" t="str"/>
      <x:c r="F16" s="94" t="str"/>
      <x:c r="G16" s="93" t="str"/>
      <x:c r="H16" s="93" t="str"/>
      <x:c r="I16" s="73"/>
      <x:c r="J16" s="73"/>
      <x:c r="K16" s="73"/>
      <x:c r="L16" s="73"/>
    </x:row>
    <x:row r="17">
      <x:c r="A17" s="98" t="str">
        <x:v>IRB / ethics application or determination documentation</x:v>
      </x:c>
      <x:c r="B17" s="93" t="str"/>
      <x:c r="C17" s="93" t="str"/>
      <x:c r="D17" s="93" t="str"/>
      <x:c r="E17" s="93" t="str"/>
      <x:c r="F17" s="94" t="str"/>
      <x:c r="G17" s="93" t="str"/>
      <x:c r="H17" s="93" t="str"/>
      <x:c r="I17" s="73"/>
      <x:c r="J17" s="73"/>
      <x:c r="K17" s="73"/>
      <x:c r="L17" s="73"/>
    </x:row>
    <x:row r="18">
      <x:c r="A18" s="98" t="str">
        <x:v>Amendment / revision log</x:v>
      </x:c>
      <x:c r="B18" s="93" t="str"/>
      <x:c r="C18" s="93" t="str"/>
      <x:c r="D18" s="93" t="str"/>
      <x:c r="E18" s="93" t="str"/>
      <x:c r="F18" s="94" t="str"/>
      <x:c r="G18" s="93" t="str"/>
      <x:c r="H18" s="93" t="str"/>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H1"/>
  </x:mergeCells>
  <x:dataValidations count="2">
    <x:dataValidation type="list" sqref="B4:B18">
      <x:formula1>_LISTS!$A$2:$A$5</x:formula1>
    </x:dataValidation>
    <x:dataValidation type="list" sqref="C4:C18">
      <x:formula1>_LISTS!$B$2:$B$6</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5" hidden="0" customWidth="1"/>
    <x:col min="2" max="2" width="34" hidden="0" customWidth="1"/>
    <x:col min="3" max="3" width="34" hidden="0" customWidth="1"/>
    <x:col min="4" max="4" width="34" hidden="0" customWidth="1"/>
    <x:col min="5" max="5" width="34" hidden="0" customWidth="1"/>
    <x:col min="6" max="6" width="24" hidden="0" customWidth="1"/>
    <x:col min="7" max="7" width="30" hidden="0" customWidth="1"/>
    <x:col min="8" max="8" width="18" hidden="0" customWidth="1"/>
    <x:col min="9" max="9" width="34" hidden="0" customWidth="1"/>
  </x:cols>
  <x:sheetData>
    <x:row r="1">
      <x:c r="A1" s="121" t="str">
        <x:v>DECISION LOG — preserve why the design changed</x:v>
      </x:c>
      <x:c r="B1" s="121"/>
      <x:c r="C1" s="121"/>
      <x:c r="D1" s="121"/>
      <x:c r="E1" s="121"/>
      <x:c r="F1" s="121"/>
      <x:c r="G1" s="121"/>
      <x:c r="H1" s="121"/>
      <x:c r="I1" s="121"/>
      <x:c r="J1" s="73"/>
      <x:c r="K1" s="73"/>
      <x:c r="L1" s="73"/>
    </x:row>
    <x:row r="2">
      <x:c r="A2" s="73"/>
      <x:c r="B2" s="73"/>
      <x:c r="C2" s="73"/>
      <x:c r="D2" s="73"/>
      <x:c r="E2" s="73"/>
      <x:c r="F2" s="73"/>
      <x:c r="G2" s="73"/>
      <x:c r="H2" s="73"/>
      <x:c r="I2" s="73"/>
      <x:c r="J2" s="73"/>
      <x:c r="K2" s="73"/>
      <x:c r="L2" s="73"/>
    </x:row>
    <x:row r="3">
      <x:c r="A3" s="97" t="str">
        <x:v>Date</x:v>
      </x:c>
      <x:c r="B3" s="97" t="str">
        <x:v>Decision / Change</x:v>
      </x:c>
      <x:c r="C3" s="97" t="str">
        <x:v>Reason</x:v>
      </x:c>
      <x:c r="D3" s="97" t="str">
        <x:v>Evidence / Source</x:v>
      </x:c>
      <x:c r="E3" s="97" t="str">
        <x:v>Ethics / Methods Impact</x:v>
      </x:c>
      <x:c r="F3" s="97" t="str">
        <x:v>Who Was Consulted</x:v>
      </x:c>
      <x:c r="G3" s="97" t="str">
        <x:v>Approval / Determination</x:v>
      </x:c>
      <x:c r="H3" s="97" t="str">
        <x:v>Next Review Date</x:v>
      </x:c>
      <x:c r="I3" s="97" t="str">
        <x:v>Notes</x:v>
      </x:c>
      <x:c r="J3" s="73"/>
      <x:c r="K3" s="73"/>
      <x:c r="L3" s="73"/>
    </x:row>
    <x:row r="4">
      <x:c r="A4" s="94"/>
      <x:c r="B4" s="93"/>
      <x:c r="C4" s="93"/>
      <x:c r="D4" s="93"/>
      <x:c r="E4" s="93"/>
      <x:c r="F4" s="93"/>
      <x:c r="G4" s="93"/>
      <x:c r="H4" s="94"/>
      <x:c r="I4" s="93"/>
      <x:c r="J4" s="73"/>
      <x:c r="K4" s="73"/>
      <x:c r="L4" s="73"/>
    </x:row>
    <x:row r="5">
      <x:c r="A5" s="94"/>
      <x:c r="B5" s="93"/>
      <x:c r="C5" s="93"/>
      <x:c r="D5" s="93"/>
      <x:c r="E5" s="93"/>
      <x:c r="F5" s="93"/>
      <x:c r="G5" s="93"/>
      <x:c r="H5" s="94"/>
      <x:c r="I5" s="93"/>
      <x:c r="J5" s="73"/>
      <x:c r="K5" s="73"/>
      <x:c r="L5" s="73"/>
    </x:row>
    <x:row r="6">
      <x:c r="A6" s="94"/>
      <x:c r="B6" s="93"/>
      <x:c r="C6" s="93"/>
      <x:c r="D6" s="93"/>
      <x:c r="E6" s="93"/>
      <x:c r="F6" s="93"/>
      <x:c r="G6" s="93"/>
      <x:c r="H6" s="94"/>
      <x:c r="I6" s="93"/>
      <x:c r="J6" s="73"/>
      <x:c r="K6" s="73"/>
      <x:c r="L6" s="73"/>
    </x:row>
    <x:row r="7">
      <x:c r="A7" s="94"/>
      <x:c r="B7" s="93"/>
      <x:c r="C7" s="93"/>
      <x:c r="D7" s="93"/>
      <x:c r="E7" s="93"/>
      <x:c r="F7" s="93"/>
      <x:c r="G7" s="93"/>
      <x:c r="H7" s="94"/>
      <x:c r="I7" s="93"/>
      <x:c r="J7" s="73"/>
      <x:c r="K7" s="73"/>
      <x:c r="L7" s="73"/>
    </x:row>
    <x:row r="8">
      <x:c r="A8" s="94"/>
      <x:c r="B8" s="93"/>
      <x:c r="C8" s="93"/>
      <x:c r="D8" s="93"/>
      <x:c r="E8" s="93"/>
      <x:c r="F8" s="93"/>
      <x:c r="G8" s="93"/>
      <x:c r="H8" s="94"/>
      <x:c r="I8" s="93"/>
      <x:c r="J8" s="73"/>
      <x:c r="K8" s="73"/>
      <x:c r="L8" s="73"/>
    </x:row>
    <x:row r="9">
      <x:c r="A9" s="94"/>
      <x:c r="B9" s="93"/>
      <x:c r="C9" s="93"/>
      <x:c r="D9" s="93"/>
      <x:c r="E9" s="93"/>
      <x:c r="F9" s="93"/>
      <x:c r="G9" s="93"/>
      <x:c r="H9" s="94"/>
      <x:c r="I9" s="93"/>
      <x:c r="J9" s="73"/>
      <x:c r="K9" s="73"/>
      <x:c r="L9" s="73"/>
    </x:row>
    <x:row r="10">
      <x:c r="A10" s="94"/>
      <x:c r="B10" s="93"/>
      <x:c r="C10" s="93"/>
      <x:c r="D10" s="93"/>
      <x:c r="E10" s="93"/>
      <x:c r="F10" s="93"/>
      <x:c r="G10" s="93"/>
      <x:c r="H10" s="94"/>
      <x:c r="I10" s="93"/>
      <x:c r="J10" s="73"/>
      <x:c r="K10" s="73"/>
      <x:c r="L10" s="73"/>
    </x:row>
    <x:row r="11">
      <x:c r="A11" s="94"/>
      <x:c r="B11" s="93"/>
      <x:c r="C11" s="93"/>
      <x:c r="D11" s="93"/>
      <x:c r="E11" s="93"/>
      <x:c r="F11" s="93"/>
      <x:c r="G11" s="93"/>
      <x:c r="H11" s="94"/>
      <x:c r="I11" s="93"/>
      <x:c r="J11" s="73"/>
      <x:c r="K11" s="73"/>
      <x:c r="L11" s="73"/>
    </x:row>
    <x:row r="12">
      <x:c r="A12" s="94"/>
      <x:c r="B12" s="93"/>
      <x:c r="C12" s="93"/>
      <x:c r="D12" s="93"/>
      <x:c r="E12" s="93"/>
      <x:c r="F12" s="93"/>
      <x:c r="G12" s="93"/>
      <x:c r="H12" s="94"/>
      <x:c r="I12" s="93"/>
      <x:c r="J12" s="73"/>
      <x:c r="K12" s="73"/>
      <x:c r="L12" s="73"/>
    </x:row>
    <x:row r="13">
      <x:c r="A13" s="94"/>
      <x:c r="B13" s="93"/>
      <x:c r="C13" s="93"/>
      <x:c r="D13" s="93"/>
      <x:c r="E13" s="93"/>
      <x:c r="F13" s="93"/>
      <x:c r="G13" s="93"/>
      <x:c r="H13" s="94"/>
      <x:c r="I13" s="93"/>
      <x:c r="J13" s="73"/>
      <x:c r="K13" s="73"/>
      <x:c r="L13" s="73"/>
    </x:row>
    <x:row r="14">
      <x:c r="A14" s="94"/>
      <x:c r="B14" s="93"/>
      <x:c r="C14" s="93"/>
      <x:c r="D14" s="93"/>
      <x:c r="E14" s="93"/>
      <x:c r="F14" s="93"/>
      <x:c r="G14" s="93"/>
      <x:c r="H14" s="94"/>
      <x:c r="I14" s="93"/>
      <x:c r="J14" s="73"/>
      <x:c r="K14" s="73"/>
      <x:c r="L14" s="73"/>
    </x:row>
    <x:row r="15">
      <x:c r="A15" s="94"/>
      <x:c r="B15" s="93"/>
      <x:c r="C15" s="93"/>
      <x:c r="D15" s="93"/>
      <x:c r="E15" s="93"/>
      <x:c r="F15" s="93"/>
      <x:c r="G15" s="93"/>
      <x:c r="H15" s="94"/>
      <x:c r="I15" s="93"/>
      <x:c r="J15" s="73"/>
      <x:c r="K15" s="73"/>
      <x:c r="L15" s="73"/>
    </x:row>
    <x:row r="16">
      <x:c r="A16" s="94"/>
      <x:c r="B16" s="93"/>
      <x:c r="C16" s="93"/>
      <x:c r="D16" s="93"/>
      <x:c r="E16" s="93"/>
      <x:c r="F16" s="93"/>
      <x:c r="G16" s="93"/>
      <x:c r="H16" s="94"/>
      <x:c r="I16" s="93"/>
      <x:c r="J16" s="73"/>
      <x:c r="K16" s="73"/>
      <x:c r="L16" s="73"/>
    </x:row>
    <x:row r="17">
      <x:c r="A17" s="94"/>
      <x:c r="B17" s="93"/>
      <x:c r="C17" s="93"/>
      <x:c r="D17" s="93"/>
      <x:c r="E17" s="93"/>
      <x:c r="F17" s="93"/>
      <x:c r="G17" s="93"/>
      <x:c r="H17" s="94"/>
      <x:c r="I17" s="93"/>
      <x:c r="J17" s="73"/>
      <x:c r="K17" s="73"/>
      <x:c r="L17" s="73"/>
    </x:row>
    <x:row r="18">
      <x:c r="A18" s="94"/>
      <x:c r="B18" s="93"/>
      <x:c r="C18" s="93"/>
      <x:c r="D18" s="93"/>
      <x:c r="E18" s="93"/>
      <x:c r="F18" s="93"/>
      <x:c r="G18" s="93"/>
      <x:c r="H18" s="94"/>
      <x:c r="I18" s="93"/>
      <x:c r="J18" s="73"/>
      <x:c r="K18" s="73"/>
      <x:c r="L18" s="73"/>
    </x:row>
    <x:row r="19">
      <x:c r="A19" s="94"/>
      <x:c r="B19" s="93"/>
      <x:c r="C19" s="93"/>
      <x:c r="D19" s="93"/>
      <x:c r="E19" s="93"/>
      <x:c r="F19" s="93"/>
      <x:c r="G19" s="93"/>
      <x:c r="H19" s="94"/>
      <x:c r="I19" s="93"/>
      <x:c r="J19" s="73"/>
      <x:c r="K19" s="73"/>
      <x:c r="L19" s="73"/>
    </x:row>
    <x:row r="20">
      <x:c r="A20" s="94"/>
      <x:c r="B20" s="93"/>
      <x:c r="C20" s="93"/>
      <x:c r="D20" s="93"/>
      <x:c r="E20" s="93"/>
      <x:c r="F20" s="93"/>
      <x:c r="G20" s="93"/>
      <x:c r="H20" s="94"/>
      <x:c r="I20" s="93"/>
      <x:c r="J20" s="73"/>
      <x:c r="K20" s="73"/>
      <x:c r="L20" s="73"/>
    </x:row>
    <x:row r="21">
      <x:c r="A21" s="94"/>
      <x:c r="B21" s="93"/>
      <x:c r="C21" s="93"/>
      <x:c r="D21" s="93"/>
      <x:c r="E21" s="93"/>
      <x:c r="F21" s="93"/>
      <x:c r="G21" s="93"/>
      <x:c r="H21" s="94"/>
      <x:c r="I21" s="93"/>
      <x:c r="J21" s="73"/>
      <x:c r="K21" s="73"/>
      <x:c r="L21" s="73"/>
    </x:row>
    <x:row r="22">
      <x:c r="A22" s="94"/>
      <x:c r="B22" s="93"/>
      <x:c r="C22" s="93"/>
      <x:c r="D22" s="93"/>
      <x:c r="E22" s="93"/>
      <x:c r="F22" s="93"/>
      <x:c r="G22" s="93"/>
      <x:c r="H22" s="94"/>
      <x:c r="I22" s="93"/>
      <x:c r="J22" s="73"/>
      <x:c r="K22" s="73"/>
      <x:c r="L22" s="73"/>
    </x:row>
    <x:row r="23">
      <x:c r="A23" s="94"/>
      <x:c r="B23" s="93"/>
      <x:c r="C23" s="93"/>
      <x:c r="D23" s="93"/>
      <x:c r="E23" s="93"/>
      <x:c r="F23" s="93"/>
      <x:c r="G23" s="93"/>
      <x:c r="H23" s="94"/>
      <x:c r="I23" s="93"/>
      <x:c r="J23" s="73"/>
      <x:c r="K23" s="73"/>
      <x:c r="L23" s="73"/>
    </x:row>
    <x:row r="24">
      <x:c r="A24" s="94"/>
      <x:c r="B24" s="93"/>
      <x:c r="C24" s="93"/>
      <x:c r="D24" s="93"/>
      <x:c r="E24" s="93"/>
      <x:c r="F24" s="93"/>
      <x:c r="G24" s="93"/>
      <x:c r="H24" s="94"/>
      <x:c r="I24" s="93"/>
      <x:c r="J24" s="73"/>
      <x:c r="K24" s="73"/>
      <x:c r="L24" s="73"/>
    </x:row>
    <x:row r="25">
      <x:c r="A25" s="94"/>
      <x:c r="B25" s="93"/>
      <x:c r="C25" s="93"/>
      <x:c r="D25" s="93"/>
      <x:c r="E25" s="93"/>
      <x:c r="F25" s="93"/>
      <x:c r="G25" s="93"/>
      <x:c r="H25" s="94"/>
      <x:c r="I25" s="93"/>
      <x:c r="J25" s="73"/>
      <x:c r="K25" s="73"/>
      <x:c r="L25" s="73"/>
    </x:row>
    <x:row r="26">
      <x:c r="A26" s="94"/>
      <x:c r="B26" s="93"/>
      <x:c r="C26" s="93"/>
      <x:c r="D26" s="93"/>
      <x:c r="E26" s="93"/>
      <x:c r="F26" s="93"/>
      <x:c r="G26" s="93"/>
      <x:c r="H26" s="94"/>
      <x:c r="I26" s="93"/>
      <x:c r="J26" s="73"/>
      <x:c r="K26" s="73"/>
      <x:c r="L26" s="73"/>
    </x:row>
    <x:row r="27">
      <x:c r="A27" s="94"/>
      <x:c r="B27" s="93"/>
      <x:c r="C27" s="93"/>
      <x:c r="D27" s="93"/>
      <x:c r="E27" s="93"/>
      <x:c r="F27" s="93"/>
      <x:c r="G27" s="93"/>
      <x:c r="H27" s="94"/>
      <x:c r="I27" s="93"/>
      <x:c r="J27" s="73"/>
      <x:c r="K27" s="73"/>
      <x:c r="L27" s="73"/>
    </x:row>
    <x:row r="28">
      <x:c r="A28" s="94"/>
      <x:c r="B28" s="93"/>
      <x:c r="C28" s="93"/>
      <x:c r="D28" s="93"/>
      <x:c r="E28" s="93"/>
      <x:c r="F28" s="93"/>
      <x:c r="G28" s="93"/>
      <x:c r="H28" s="94"/>
      <x:c r="I28" s="93"/>
      <x:c r="J28" s="73"/>
      <x:c r="K28" s="73"/>
      <x:c r="L28" s="73"/>
    </x:row>
    <x:row r="29">
      <x:c r="A29" s="94"/>
      <x:c r="B29" s="93"/>
      <x:c r="C29" s="93"/>
      <x:c r="D29" s="93"/>
      <x:c r="E29" s="93"/>
      <x:c r="F29" s="93"/>
      <x:c r="G29" s="93"/>
      <x:c r="H29" s="94"/>
      <x:c r="I29" s="93"/>
      <x:c r="J29" s="73"/>
      <x:c r="K29" s="73"/>
      <x:c r="L29" s="73"/>
    </x:row>
    <x:row r="30">
      <x:c r="A30" s="94"/>
      <x:c r="B30" s="93"/>
      <x:c r="C30" s="93"/>
      <x:c r="D30" s="93"/>
      <x:c r="E30" s="93"/>
      <x:c r="F30" s="93"/>
      <x:c r="G30" s="93"/>
      <x:c r="H30" s="94"/>
      <x:c r="I30" s="93"/>
      <x:c r="J30" s="73"/>
      <x:c r="K30" s="73"/>
      <x:c r="L30" s="73"/>
    </x:row>
    <x:row r="31">
      <x:c r="A31" s="94"/>
      <x:c r="B31" s="93"/>
      <x:c r="C31" s="93"/>
      <x:c r="D31" s="93"/>
      <x:c r="E31" s="93"/>
      <x:c r="F31" s="93"/>
      <x:c r="G31" s="93"/>
      <x:c r="H31" s="94"/>
      <x:c r="I31" s="93"/>
      <x:c r="J31" s="73"/>
      <x:c r="K31" s="73"/>
      <x:c r="L31" s="73"/>
    </x:row>
    <x:row r="32">
      <x:c r="A32" s="94"/>
      <x:c r="B32" s="93"/>
      <x:c r="C32" s="93"/>
      <x:c r="D32" s="93"/>
      <x:c r="E32" s="93"/>
      <x:c r="F32" s="93"/>
      <x:c r="G32" s="93"/>
      <x:c r="H32" s="94"/>
      <x:c r="I32" s="93"/>
      <x:c r="J32" s="73"/>
      <x:c r="K32" s="73"/>
      <x:c r="L32" s="73"/>
    </x:row>
    <x:row r="33">
      <x:c r="A33" s="94"/>
      <x:c r="B33" s="93"/>
      <x:c r="C33" s="93"/>
      <x:c r="D33" s="93"/>
      <x:c r="E33" s="93"/>
      <x:c r="F33" s="93"/>
      <x:c r="G33" s="93"/>
      <x:c r="H33" s="94"/>
      <x:c r="I33" s="93"/>
      <x:c r="J33" s="73"/>
      <x:c r="K33" s="73"/>
      <x:c r="L33" s="73"/>
    </x:row>
    <x:row r="34">
      <x:c r="A34" s="94"/>
      <x:c r="B34" s="93"/>
      <x:c r="C34" s="93"/>
      <x:c r="D34" s="93"/>
      <x:c r="E34" s="93"/>
      <x:c r="F34" s="93"/>
      <x:c r="G34" s="93"/>
      <x:c r="H34" s="94"/>
      <x:c r="I34" s="93"/>
      <x:c r="J34" s="73"/>
      <x:c r="K34" s="73"/>
      <x:c r="L34" s="73"/>
    </x:row>
    <x:row r="35">
      <x:c r="A35" s="94"/>
      <x:c r="B35" s="93"/>
      <x:c r="C35" s="93"/>
      <x:c r="D35" s="93"/>
      <x:c r="E35" s="93"/>
      <x:c r="F35" s="93"/>
      <x:c r="G35" s="93"/>
      <x:c r="H35" s="94"/>
      <x:c r="I35" s="93"/>
      <x:c r="J35" s="73"/>
      <x:c r="K35" s="73"/>
      <x:c r="L35" s="73"/>
    </x:row>
    <x:row r="36">
      <x:c r="A36" s="94"/>
      <x:c r="B36" s="93"/>
      <x:c r="C36" s="93"/>
      <x:c r="D36" s="93"/>
      <x:c r="E36" s="93"/>
      <x:c r="F36" s="93"/>
      <x:c r="G36" s="93"/>
      <x:c r="H36" s="94"/>
      <x:c r="I36" s="93"/>
      <x:c r="J36" s="73"/>
      <x:c r="K36" s="73"/>
      <x:c r="L36" s="73"/>
    </x:row>
    <x:row r="37">
      <x:c r="A37" s="94"/>
      <x:c r="B37" s="93"/>
      <x:c r="C37" s="93"/>
      <x:c r="D37" s="93"/>
      <x:c r="E37" s="93"/>
      <x:c r="F37" s="93"/>
      <x:c r="G37" s="93"/>
      <x:c r="H37" s="94"/>
      <x:c r="I37" s="93"/>
      <x:c r="J37" s="73"/>
      <x:c r="K37" s="73"/>
      <x:c r="L37" s="73"/>
    </x:row>
    <x:row r="38">
      <x:c r="A38" s="94"/>
      <x:c r="B38" s="93"/>
      <x:c r="C38" s="93"/>
      <x:c r="D38" s="93"/>
      <x:c r="E38" s="93"/>
      <x:c r="F38" s="93"/>
      <x:c r="G38" s="93"/>
      <x:c r="H38" s="94"/>
      <x:c r="I38" s="93"/>
      <x:c r="J38" s="73"/>
      <x:c r="K38" s="73"/>
      <x:c r="L38" s="73"/>
    </x:row>
    <x:row r="39">
      <x:c r="A39" s="94"/>
      <x:c r="B39" s="93"/>
      <x:c r="C39" s="93"/>
      <x:c r="D39" s="93"/>
      <x:c r="E39" s="93"/>
      <x:c r="F39" s="93"/>
      <x:c r="G39" s="93"/>
      <x:c r="H39" s="94"/>
      <x:c r="I39" s="93"/>
      <x:c r="J39" s="73"/>
      <x:c r="K39" s="73"/>
      <x:c r="L39" s="73"/>
    </x:row>
    <x:row r="40">
      <x:c r="A40" s="94"/>
      <x:c r="B40" s="93"/>
      <x:c r="C40" s="93"/>
      <x:c r="D40" s="93"/>
      <x:c r="E40" s="93"/>
      <x:c r="F40" s="93"/>
      <x:c r="G40" s="93"/>
      <x:c r="H40" s="94"/>
      <x:c r="I40" s="93"/>
      <x:c r="J40" s="73"/>
      <x:c r="K40" s="73"/>
      <x:c r="L40" s="73"/>
    </x:row>
    <x:row r="41">
      <x:c r="A41" s="94"/>
      <x:c r="B41" s="93"/>
      <x:c r="C41" s="93"/>
      <x:c r="D41" s="93"/>
      <x:c r="E41" s="93"/>
      <x:c r="F41" s="93"/>
      <x:c r="G41" s="93"/>
      <x:c r="H41" s="94"/>
      <x:c r="I41" s="93"/>
      <x:c r="J41" s="73"/>
      <x:c r="K41" s="73"/>
      <x:c r="L41" s="73"/>
    </x:row>
    <x:row r="42">
      <x:c r="A42" s="94"/>
      <x:c r="B42" s="93"/>
      <x:c r="C42" s="93"/>
      <x:c r="D42" s="93"/>
      <x:c r="E42" s="93"/>
      <x:c r="F42" s="93"/>
      <x:c r="G42" s="93"/>
      <x:c r="H42" s="94"/>
      <x:c r="I42" s="93"/>
      <x:c r="J42" s="73"/>
      <x:c r="K42" s="73"/>
      <x:c r="L42" s="73"/>
    </x:row>
    <x:row r="43">
      <x:c r="A43" s="94"/>
      <x:c r="B43" s="93"/>
      <x:c r="C43" s="93"/>
      <x:c r="D43" s="93"/>
      <x:c r="E43" s="93"/>
      <x:c r="F43" s="93"/>
      <x:c r="G43" s="93"/>
      <x:c r="H43" s="94"/>
      <x:c r="I43" s="93"/>
      <x:c r="J43" s="73"/>
      <x:c r="K43" s="73"/>
      <x:c r="L43" s="73"/>
    </x:row>
    <x:row r="44">
      <x:c r="A44" s="94"/>
      <x:c r="B44" s="93"/>
      <x:c r="C44" s="93"/>
      <x:c r="D44" s="93"/>
      <x:c r="E44" s="93"/>
      <x:c r="F44" s="93"/>
      <x:c r="G44" s="93"/>
      <x:c r="H44" s="94"/>
      <x:c r="I44" s="93"/>
      <x:c r="J44" s="73"/>
      <x:c r="K44" s="73"/>
      <x:c r="L44" s="73"/>
    </x:row>
    <x:row r="45">
      <x:c r="A45" s="94"/>
      <x:c r="B45" s="93"/>
      <x:c r="C45" s="93"/>
      <x:c r="D45" s="93"/>
      <x:c r="E45" s="93"/>
      <x:c r="F45" s="93"/>
      <x:c r="G45" s="93"/>
      <x:c r="H45" s="94"/>
      <x:c r="I45" s="93"/>
      <x:c r="J45" s="73"/>
      <x:c r="K45" s="73"/>
      <x:c r="L45" s="73"/>
    </x:row>
    <x:row r="46">
      <x:c r="A46" s="94"/>
      <x:c r="B46" s="93"/>
      <x:c r="C46" s="93"/>
      <x:c r="D46" s="93"/>
      <x:c r="E46" s="93"/>
      <x:c r="F46" s="93"/>
      <x:c r="G46" s="93"/>
      <x:c r="H46" s="94"/>
      <x:c r="I46" s="93"/>
      <x:c r="J46" s="73"/>
      <x:c r="K46" s="73"/>
      <x:c r="L46" s="73"/>
    </x:row>
    <x:row r="47">
      <x:c r="A47" s="94"/>
      <x:c r="B47" s="93"/>
      <x:c r="C47" s="93"/>
      <x:c r="D47" s="93"/>
      <x:c r="E47" s="93"/>
      <x:c r="F47" s="93"/>
      <x:c r="G47" s="93"/>
      <x:c r="H47" s="94"/>
      <x:c r="I47" s="93"/>
      <x:c r="J47" s="73"/>
      <x:c r="K47" s="73"/>
      <x:c r="L47" s="73"/>
    </x:row>
    <x:row r="48">
      <x:c r="A48" s="94"/>
      <x:c r="B48" s="93"/>
      <x:c r="C48" s="93"/>
      <x:c r="D48" s="93"/>
      <x:c r="E48" s="93"/>
      <x:c r="F48" s="93"/>
      <x:c r="G48" s="93"/>
      <x:c r="H48" s="94"/>
      <x:c r="I48" s="93"/>
      <x:c r="J48" s="73"/>
      <x:c r="K48" s="73"/>
      <x:c r="L48" s="73"/>
    </x:row>
    <x:row r="49">
      <x:c r="A49" s="94"/>
      <x:c r="B49" s="93"/>
      <x:c r="C49" s="93"/>
      <x:c r="D49" s="93"/>
      <x:c r="E49" s="93"/>
      <x:c r="F49" s="93"/>
      <x:c r="G49" s="93"/>
      <x:c r="H49" s="94"/>
      <x:c r="I49" s="93"/>
      <x:c r="J49" s="73"/>
      <x:c r="K49" s="73"/>
      <x:c r="L49" s="73"/>
    </x:row>
    <x:row r="50">
      <x:c r="A50" s="94"/>
      <x:c r="B50" s="93"/>
      <x:c r="C50" s="93"/>
      <x:c r="D50" s="93"/>
      <x:c r="E50" s="93"/>
      <x:c r="F50" s="93"/>
      <x:c r="G50" s="93"/>
      <x:c r="H50" s="94"/>
      <x:c r="I50" s="93"/>
      <x:c r="J50" s="73"/>
      <x:c r="K50" s="73"/>
      <x:c r="L50" s="73"/>
    </x:row>
    <x:row r="51">
      <x:c r="A51" s="94"/>
      <x:c r="B51" s="93"/>
      <x:c r="C51" s="93"/>
      <x:c r="D51" s="93"/>
      <x:c r="E51" s="93"/>
      <x:c r="F51" s="93"/>
      <x:c r="G51" s="93"/>
      <x:c r="H51" s="94"/>
      <x:c r="I51" s="93"/>
      <x:c r="J51" s="73"/>
      <x:c r="K51" s="73"/>
      <x:c r="L51" s="73"/>
    </x:row>
    <x:row r="52">
      <x:c r="A52" s="94"/>
      <x:c r="B52" s="93"/>
      <x:c r="C52" s="93"/>
      <x:c r="D52" s="93"/>
      <x:c r="E52" s="93"/>
      <x:c r="F52" s="93"/>
      <x:c r="G52" s="93"/>
      <x:c r="H52" s="94"/>
      <x:c r="I52" s="93"/>
      <x:c r="J52" s="73"/>
      <x:c r="K52" s="73"/>
      <x:c r="L52" s="73"/>
    </x:row>
    <x:row r="53">
      <x:c r="A53" s="94"/>
      <x:c r="B53" s="93"/>
      <x:c r="C53" s="93"/>
      <x:c r="D53" s="93"/>
      <x:c r="E53" s="93"/>
      <x:c r="F53" s="93"/>
      <x:c r="G53" s="93"/>
      <x:c r="H53" s="94"/>
      <x:c r="I53" s="9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I1"/>
  </x:mergeCells>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30" hidden="0" customWidth="1"/>
    <x:col min="8" max="8" width="24" hidden="0" customWidth="1"/>
    <x:col min="9" max="9" width="58" hidden="0" customWidth="1"/>
    <x:col min="4" max="4" width="22" hidden="0" customWidth="1"/>
    <x:col min="5" max="5" width="20" hidden="0" customWidth="1"/>
    <x:col min="6" max="6" width="20" hidden="0" customWidth="1"/>
    <x:col min="7" max="7" width="4" hidden="0" customWidth="1"/>
    <x:col min="10" max="10" width="18" hidden="0" customWidth="1"/>
    <x:col min="11" max="11" width="18" hidden="0" customWidth="1"/>
    <x:col min="12" max="12" width="18" hidden="0" customWidth="1"/>
  </x:cols>
  <x:sheetData>
    <x:row r="1">
      <x:c r="A1" s="117" t="str">
        <x:v>RESEARCH ETHICS &amp; IRB READINESS DASHBOARD</x:v>
      </x:c>
      <x:c r="B1" s="117"/>
      <x:c r="C1" s="117"/>
      <x:c r="D1" s="117"/>
      <x:c r="E1" s="117"/>
      <x:c r="F1" s="117"/>
      <x:c r="G1" s="117"/>
      <x:c r="H1" s="117"/>
      <x:c r="I1" s="117"/>
      <x:c r="J1" s="117"/>
      <x:c r="K1" s="117"/>
      <x:c r="L1" s="117"/>
    </x:row>
    <x:row r="2">
      <x:c r="A2" s="109"/>
      <x:c r="B2" s="109"/>
      <x:c r="C2" s="109"/>
      <x:c r="D2" s="109"/>
      <x:c r="E2" s="109"/>
      <x:c r="F2" s="109"/>
      <x:c r="G2" s="109"/>
      <x:c r="H2" s="109"/>
      <x:c r="I2" s="109"/>
      <x:c r="J2" s="109"/>
      <x:c r="K2" s="109"/>
      <x:c r="L2" s="109"/>
    </x:row>
    <x:row r="3">
      <x:c r="A3" s="97" t="str">
        <x:v>Readiness Signal</x:v>
      </x:c>
      <x:c r="B3" s="97" t="str">
        <x:v>Value</x:v>
      </x:c>
      <x:c r="C3" s="109"/>
      <x:c r="D3" s="71" t="str">
        <x:v>NEXT ACTION</x:v>
      </x:c>
      <x:c r="E3" s="71"/>
      <x:c r="F3" s="71"/>
      <x:c r="G3" s="109"/>
      <x:c r="H3" s="71" t="str">
        <x:v>ETHICAL PRINCIPLES CHECK</x:v>
      </x:c>
      <x:c r="I3" s="71"/>
      <x:c r="J3" s="71"/>
      <x:c r="K3" s="71"/>
      <x:c r="L3" s="71"/>
    </x:row>
    <x:row r="4">
      <x:c r="A4" s="98" t="str">
        <x:v>Ethics review triggers</x:v>
      </x:c>
      <x:c r="B4" s="111" t="n">
        <x:f>COUNTIF('ETHICS READINESS'!E4:E13,"REVIEW TRIGGER")</x:f>
        <x:v>0</x:v>
      </x:c>
      <x:c r="C4" s="109"/>
      <x:c r="D4" s="112" t="str">
        <x:f>IF(B4&gt;0,"Contact the appropriate institutional IRB / ethics office before recruitment or data collection and bring the flagged domains plus your methods/data map.",IF(B5+B6+B7+B8+B9+B10&gt;0,"Resolve the open planning, consent, privacy, recruitment, participant/data, and packet issues shown in this workbook.","Retain the documentation, verify institution-specific requirements, and record any final determination before beginning recruitment/data collection."))</x:f>
        <x:v>Resolve the open planning, consent, privacy, recruitment, participant/data, and packet issues shown in this workbook.</x:v>
      </x:c>
      <x:c r="E4" s="112"/>
      <x:c r="F4" s="112"/>
      <x:c r="G4" s="109"/>
      <x:c r="H4" s="98" t="str">
        <x:v>Principle</x:v>
      </x:c>
      <x:c r="I4" s="98" t="str">
        <x:v>Planning Question</x:v>
      </x:c>
      <x:c r="J4" s="109"/>
      <x:c r="K4" s="109"/>
      <x:c r="L4" s="109"/>
    </x:row>
    <x:row r="5">
      <x:c r="A5" s="98" t="str">
        <x:v>Ethics action-needed items</x:v>
      </x:c>
      <x:c r="B5" s="111" t="n">
        <x:f>COUNTIF('ETHICS READINESS'!E4:E13,"ACTION NEEDED")</x:f>
        <x:v>0</x:v>
      </x:c>
      <x:c r="C5" s="109"/>
      <x:c r="D5" s="112"/>
      <x:c r="E5" s="112"/>
      <x:c r="F5" s="112"/>
      <x:c r="G5" s="109"/>
      <x:c r="H5" s="99" t="str">
        <x:v>Respect for persons</x:v>
      </x:c>
      <x:c r="I5" s="99" t="str">
        <x:v>Is participation genuinely informed, understandable, and voluntary?</x:v>
      </x:c>
      <x:c r="J5" s="109"/>
      <x:c r="K5" s="109"/>
      <x:c r="L5" s="109"/>
    </x:row>
    <x:row r="6">
      <x:c r="A6" s="98" t="str">
        <x:v>Consent QA issues</x:v>
      </x:c>
      <x:c r="B6" s="111" t="n">
        <x:f>COUNTIFS('CONSENT PLAN'!A4:A19,"&lt;&gt;",'CONSENT PLAN'!F4:F19,"&lt;&gt;OK")</x:f>
        <x:v>16</x:v>
      </x:c>
      <x:c r="C6" s="109"/>
      <x:c r="D6" s="112"/>
      <x:c r="E6" s="112"/>
      <x:c r="F6" s="112"/>
      <x:c r="G6" s="109"/>
      <x:c r="H6" s="99" t="str">
        <x:v>Beneficence</x:v>
      </x:c>
      <x:c r="I6" s="99" t="str">
        <x:v>Are risks minimized and reasonable relative to the knowledge/benefit expected?</x:v>
      </x:c>
      <x:c r="J6" s="109"/>
      <x:c r="K6" s="109"/>
      <x:c r="L6" s="109"/>
    </x:row>
    <x:row r="7">
      <x:c r="A7" s="98" t="str">
        <x:v>Privacy/data QA issues</x:v>
      </x:c>
      <x:c r="B7" s="111" t="n">
        <x:f>COUNTIFS('PRIVACY &amp; DATA PLAN'!A4:A23,"&lt;&gt;",'PRIVACY &amp; DATA PLAN'!I4:I23,"&lt;&gt;OK")</x:f>
        <x:v>0</x:v>
      </x:c>
      <x:c r="C7" s="109"/>
      <x:c r="D7" s="112"/>
      <x:c r="E7" s="112"/>
      <x:c r="F7" s="112"/>
      <x:c r="G7" s="109"/>
      <x:c r="H7" s="99" t="str">
        <x:v>Justice</x:v>
      </x:c>
      <x:c r="I7" s="99" t="str">
        <x:v>Are participants selected fairly, and are burdens/benefits distributed appropriately?</x:v>
      </x:c>
      <x:c r="J7" s="109"/>
      <x:c r="K7" s="109"/>
      <x:c r="L7" s="109"/>
    </x:row>
    <x:row r="8">
      <x:c r="A8" s="98" t="str">
        <x:v>Recruitment/justice issues</x:v>
      </x:c>
      <x:c r="B8" s="111" t="n">
        <x:f>COUNTIFS('RECRUITMENT &amp; JUSTICE'!A4:A11,"&lt;&gt;",'RECRUITMENT &amp; JUSTICE'!G4:G11,"&lt;&gt;OK")</x:f>
        <x:v>8</x:v>
      </x:c>
      <x:c r="C8" s="109"/>
      <x:c r="D8" s="112"/>
      <x:c r="E8" s="112"/>
      <x:c r="F8" s="112"/>
      <x:c r="G8" s="109"/>
      <x:c r="H8" s="109"/>
      <x:c r="I8" s="109"/>
      <x:c r="J8" s="109"/>
      <x:c r="K8" s="109"/>
      <x:c r="L8" s="109"/>
    </x:row>
    <x:row r="9">
      <x:c r="A9" s="98" t="str">
        <x:v>Required packet items not ready</x:v>
      </x:c>
      <x:c r="B9" s="111" t="n">
        <x:f>COUNTIFS('REVIEW PACKET'!B4:B18,"Yes",'REVIEW PACKET'!C4:C18,"&lt;&gt;Ready")</x:f>
        <x:v>0</x:v>
      </x:c>
      <x:c r="C9" s="109"/>
      <x:c r="D9" s="112"/>
      <x:c r="E9" s="112"/>
      <x:c r="F9" s="112"/>
      <x:c r="G9" s="109"/>
      <x:c r="H9" s="109"/>
      <x:c r="I9" s="109"/>
      <x:c r="J9" s="109"/>
      <x:c r="K9" s="109"/>
      <x:c r="L9" s="109"/>
    </x:row>
    <x:row r="10">
      <x:c r="A10" s="98" t="str">
        <x:v>People/data rows needing review</x:v>
      </x:c>
      <x:c r="B10" s="111" t="n">
        <x:f>COUNTIF('PEOPLE &amp; DATA'!L4:L23,"ACTION NEEDED")</x:f>
        <x:v>0</x:v>
      </x:c>
      <x:c r="C10" s="109"/>
      <x:c r="D10" s="109"/>
      <x:c r="E10" s="109"/>
      <x:c r="F10" s="109"/>
      <x:c r="G10" s="109"/>
      <x:c r="H10" s="109"/>
      <x:c r="I10" s="109"/>
      <x:c r="J10" s="109"/>
      <x:c r="K10" s="109"/>
      <x:c r="L10" s="109"/>
    </x:row>
    <x:row r="11">
      <x:c r="A11" s="98" t="str">
        <x:v>Overall status</x:v>
      </x:c>
      <x:c r="B11" s="111" t="str">
        <x:f>IF(B4&gt;0,"CONSULT IRB / ETHICS OFFICE",IF(SUM(B5:B10)&gt;0,"RESOLVE OPEN ITEMS","PLANNING CHECKS COMPLETE"))</x:f>
        <x:v>RESOLVE OPEN ITEMS</x:v>
      </x:c>
      <x:c r="C11" s="109"/>
      <x:c r="D11" s="109"/>
      <x:c r="E11" s="109"/>
      <x:c r="F11" s="109"/>
      <x:c r="G11" s="109"/>
      <x:c r="H11" s="109"/>
      <x:c r="I11" s="109"/>
      <x:c r="J11" s="109"/>
      <x:c r="K11" s="109"/>
      <x:c r="L11" s="109"/>
    </x:row>
    <x:row r="12">
      <x:c r="A12" s="109"/>
      <x:c r="B12" s="109"/>
      <x:c r="C12" s="109"/>
      <x:c r="D12" s="109"/>
      <x:c r="E12" s="109"/>
      <x:c r="F12" s="109"/>
      <x:c r="G12" s="109"/>
      <x:c r="H12" s="109"/>
      <x:c r="I12" s="109"/>
      <x:c r="J12" s="109"/>
      <x:c r="K12" s="109"/>
      <x:c r="L12" s="109"/>
    </x:row>
    <x:row r="13">
      <x:c r="A13" s="109"/>
      <x:c r="B13" s="109"/>
      <x:c r="C13" s="109"/>
      <x:c r="D13" s="109"/>
      <x:c r="E13" s="109"/>
      <x:c r="F13" s="109"/>
      <x:c r="G13" s="109"/>
      <x:c r="H13" s="109"/>
      <x:c r="I13" s="109"/>
      <x:c r="J13" s="109"/>
      <x:c r="K13" s="109"/>
      <x:c r="L13" s="109"/>
    </x:row>
    <x:row r="14">
      <x:c r="A14" s="97" t="str">
        <x:v>PACKET STATUS</x:v>
      </x:c>
      <x:c r="B14" s="97"/>
      <x:c r="C14" s="97"/>
      <x:c r="D14" s="97"/>
      <x:c r="E14" s="109"/>
      <x:c r="F14" s="109"/>
      <x:c r="G14" s="109"/>
      <x:c r="H14" s="109"/>
      <x:c r="I14" s="109"/>
      <x:c r="J14" s="109"/>
      <x:c r="K14" s="109"/>
      <x:c r="L14" s="109"/>
    </x:row>
    <x:row r="15">
      <x:c r="A15" s="98" t="str">
        <x:v>Document</x:v>
      </x:c>
      <x:c r="B15" s="98" t="str">
        <x:v>Required?</x:v>
      </x:c>
      <x:c r="C15" s="98" t="str">
        <x:v>Status</x:v>
      </x:c>
      <x:c r="D15" s="98" t="str">
        <x:v>Owner</x:v>
      </x:c>
      <x:c r="E15" s="109"/>
      <x:c r="F15" s="109"/>
      <x:c r="G15" s="109"/>
      <x:c r="H15" s="109"/>
      <x:c r="I15" s="109"/>
      <x:c r="J15" s="109"/>
      <x:c r="K15" s="109"/>
      <x:c r="L15" s="109"/>
    </x:row>
    <x:row r="16">
      <x:c r="A16" s="109" t="str">
        <x:f>'REVIEW PACKET'!A4</x:f>
        <x:v>Protocol / project description</x:v>
      </x:c>
      <x:c r="B16" s="109" t="n">
        <x:f>'REVIEW PACKET'!B4</x:f>
        <x:v>0</x:v>
      </x:c>
      <x:c r="C16" s="109" t="n">
        <x:f>'REVIEW PACKET'!C4</x:f>
        <x:v>0</x:v>
      </x:c>
      <x:c r="D16" s="109" t="n">
        <x:f>'REVIEW PACKET'!D4</x:f>
        <x:v>0</x:v>
      </x:c>
      <x:c r="E16" s="109"/>
      <x:c r="F16" s="109"/>
      <x:c r="G16" s="109"/>
      <x:c r="H16" s="109"/>
      <x:c r="I16" s="109"/>
      <x:c r="J16" s="109"/>
      <x:c r="K16" s="109"/>
      <x:c r="L16" s="109"/>
    </x:row>
    <x:row r="17">
      <x:c r="A17" s="109" t="str">
        <x:f>'REVIEW PACKET'!A5</x:f>
        <x:v>Research question / aims</x:v>
      </x:c>
      <x:c r="B17" s="109" t="n">
        <x:f>'REVIEW PACKET'!B5</x:f>
        <x:v>0</x:v>
      </x:c>
      <x:c r="C17" s="109" t="n">
        <x:f>'REVIEW PACKET'!C5</x:f>
        <x:v>0</x:v>
      </x:c>
      <x:c r="D17" s="109" t="n">
        <x:f>'REVIEW PACKET'!D5</x:f>
        <x:v>0</x:v>
      </x:c>
      <x:c r="E17" s="109"/>
      <x:c r="F17" s="109"/>
      <x:c r="G17" s="109"/>
      <x:c r="H17" s="109"/>
      <x:c r="I17" s="109"/>
      <x:c r="J17" s="109"/>
      <x:c r="K17" s="109"/>
      <x:c r="L17" s="109"/>
    </x:row>
    <x:row r="18">
      <x:c r="A18" s="109" t="str">
        <x:f>'REVIEW PACKET'!A6</x:f>
        <x:v>Methods / procedures</x:v>
      </x:c>
      <x:c r="B18" s="109" t="n">
        <x:f>'REVIEW PACKET'!B6</x:f>
        <x:v>0</x:v>
      </x:c>
      <x:c r="C18" s="109" t="n">
        <x:f>'REVIEW PACKET'!C6</x:f>
        <x:v>0</x:v>
      </x:c>
      <x:c r="D18" s="109" t="n">
        <x:f>'REVIEW PACKET'!D6</x:f>
        <x:v>0</x:v>
      </x:c>
      <x:c r="E18" s="109"/>
      <x:c r="F18" s="109"/>
      <x:c r="G18" s="109"/>
      <x:c r="H18" s="109"/>
      <x:c r="I18" s="109"/>
      <x:c r="J18" s="109"/>
      <x:c r="K18" s="109"/>
      <x:c r="L18" s="109"/>
    </x:row>
    <x:row r="19">
      <x:c r="A19" s="109" t="str">
        <x:f>'REVIEW PACKET'!A7</x:f>
        <x:v>Recruitment materials</x:v>
      </x:c>
      <x:c r="B19" s="109" t="n">
        <x:f>'REVIEW PACKET'!B7</x:f>
        <x:v>0</x:v>
      </x:c>
      <x:c r="C19" s="109" t="n">
        <x:f>'REVIEW PACKET'!C7</x:f>
        <x:v>0</x:v>
      </x:c>
      <x:c r="D19" s="109" t="n">
        <x:f>'REVIEW PACKET'!D7</x:f>
        <x:v>0</x:v>
      </x:c>
      <x:c r="E19" s="109"/>
      <x:c r="F19" s="109"/>
      <x:c r="G19" s="109"/>
      <x:c r="H19" s="109"/>
      <x:c r="I19" s="109"/>
      <x:c r="J19" s="109"/>
      <x:c r="K19" s="109"/>
      <x:c r="L19" s="109"/>
    </x:row>
    <x:row r="20">
      <x:c r="A20" s="109" t="str">
        <x:f>'REVIEW PACKET'!A8</x:f>
        <x:v>Consent / information sheet</x:v>
      </x:c>
      <x:c r="B20" s="109" t="n">
        <x:f>'REVIEW PACKET'!B8</x:f>
        <x:v>0</x:v>
      </x:c>
      <x:c r="C20" s="109" t="n">
        <x:f>'REVIEW PACKET'!C8</x:f>
        <x:v>0</x:v>
      </x:c>
      <x:c r="D20" s="109" t="n">
        <x:f>'REVIEW PACKET'!D8</x:f>
        <x:v>0</x:v>
      </x:c>
      <x:c r="E20" s="109"/>
      <x:c r="F20" s="109"/>
      <x:c r="G20" s="109"/>
      <x:c r="H20" s="109"/>
      <x:c r="I20" s="109"/>
      <x:c r="J20" s="109"/>
      <x:c r="K20" s="109"/>
      <x:c r="L20" s="109"/>
    </x:row>
    <x:row r="21">
      <x:c r="A21" s="109" t="str">
        <x:f>'REVIEW PACKET'!A9</x:f>
        <x:v>Survey / interview / focus-group instrument</x:v>
      </x:c>
      <x:c r="B21" s="109" t="n">
        <x:f>'REVIEW PACKET'!B9</x:f>
        <x:v>0</x:v>
      </x:c>
      <x:c r="C21" s="109" t="n">
        <x:f>'REVIEW PACKET'!C9</x:f>
        <x:v>0</x:v>
      </x:c>
      <x:c r="D21" s="109" t="n">
        <x:f>'REVIEW PACKET'!D9</x:f>
        <x:v>0</x:v>
      </x:c>
      <x:c r="E21" s="109"/>
      <x:c r="F21" s="109"/>
      <x:c r="G21" s="109"/>
      <x:c r="H21" s="109"/>
      <x:c r="I21" s="109"/>
      <x:c r="J21" s="109"/>
      <x:c r="K21" s="109"/>
      <x:c r="L21" s="109"/>
    </x:row>
    <x:row r="22">
      <x:c r="A22" s="109" t="str">
        <x:f>'REVIEW PACKET'!A10</x:f>
        <x:v>Debriefing material (if applicable)</x:v>
      </x:c>
      <x:c r="B22" s="109" t="n">
        <x:f>'REVIEW PACKET'!B10</x:f>
        <x:v>0</x:v>
      </x:c>
      <x:c r="C22" s="109" t="n">
        <x:f>'REVIEW PACKET'!C10</x:f>
        <x:v>0</x:v>
      </x:c>
      <x:c r="D22" s="109" t="n">
        <x:f>'REVIEW PACKET'!D10</x:f>
        <x:v>0</x:v>
      </x:c>
      <x:c r="E22" s="109"/>
      <x:c r="F22" s="109"/>
      <x:c r="G22" s="109"/>
      <x:c r="H22" s="109"/>
      <x:c r="I22" s="109"/>
      <x:c r="J22" s="109"/>
      <x:c r="K22" s="109"/>
      <x:c r="L22" s="109"/>
    </x:row>
    <x:row r="23">
      <x:c r="A23" s="109" t="str">
        <x:f>'REVIEW PACKET'!A11</x:f>
        <x:v>Data-management / privacy plan</x:v>
      </x:c>
      <x:c r="B23" s="109" t="n">
        <x:f>'REVIEW PACKET'!B11</x:f>
        <x:v>0</x:v>
      </x:c>
      <x:c r="C23" s="109" t="n">
        <x:f>'REVIEW PACKET'!C11</x:f>
        <x:v>0</x:v>
      </x:c>
      <x:c r="D23" s="109" t="n">
        <x:f>'REVIEW PACKET'!D11</x:f>
        <x:v>0</x:v>
      </x:c>
      <x:c r="E23" s="109"/>
      <x:c r="F23" s="109"/>
      <x:c r="G23" s="109"/>
      <x:c r="H23" s="109"/>
      <x:c r="I23" s="109"/>
      <x:c r="J23" s="109"/>
      <x:c r="K23" s="109"/>
      <x:c r="L23" s="109"/>
    </x:row>
    <x:row r="24">
      <x:c r="A24" s="109" t="str">
        <x:f>'REVIEW PACKET'!A12</x:f>
        <x:v>Risk / benefit assessment</x:v>
      </x:c>
      <x:c r="B24" s="109" t="n">
        <x:f>'REVIEW PACKET'!B12</x:f>
        <x:v>0</x:v>
      </x:c>
      <x:c r="C24" s="109" t="n">
        <x:f>'REVIEW PACKET'!C12</x:f>
        <x:v>0</x:v>
      </x:c>
      <x:c r="D24" s="109" t="n">
        <x:f>'REVIEW PACKET'!D12</x:f>
        <x:v>0</x:v>
      </x:c>
      <x:c r="E24" s="109"/>
      <x:c r="F24" s="109"/>
      <x:c r="G24" s="109"/>
      <x:c r="H24" s="109"/>
      <x:c r="I24" s="109"/>
      <x:c r="J24" s="109"/>
      <x:c r="K24" s="109"/>
      <x:c r="L24" s="109"/>
    </x:row>
    <x:row r="25">
      <x:c r="A25" s="109" t="str">
        <x:f>'REVIEW PACKET'!A13</x:f>
        <x:v>Participant-selection rationale</x:v>
      </x:c>
      <x:c r="B25" s="109" t="n">
        <x:f>'REVIEW PACKET'!B13</x:f>
        <x:v>0</x:v>
      </x:c>
      <x:c r="C25" s="109" t="n">
        <x:f>'REVIEW PACKET'!C13</x:f>
        <x:v>0</x:v>
      </x:c>
      <x:c r="D25" s="109" t="n">
        <x:f>'REVIEW PACKET'!D13</x:f>
        <x:v>0</x:v>
      </x:c>
      <x:c r="E25" s="109"/>
      <x:c r="F25" s="109"/>
      <x:c r="G25" s="109"/>
      <x:c r="H25" s="109"/>
      <x:c r="I25" s="109"/>
      <x:c r="J25" s="109"/>
      <x:c r="K25" s="109"/>
      <x:c r="L25" s="109"/>
    </x:row>
    <x:row r="26">
      <x:c r="A26" s="109" t="str">
        <x:f>'REVIEW PACKET'!A14</x:f>
        <x:v>Investigator / student training documentation</x:v>
      </x:c>
      <x:c r="B26" s="109" t="n">
        <x:f>'REVIEW PACKET'!B14</x:f>
        <x:v>0</x:v>
      </x:c>
      <x:c r="C26" s="109" t="n">
        <x:f>'REVIEW PACKET'!C14</x:f>
        <x:v>0</x:v>
      </x:c>
      <x:c r="D26" s="109" t="n">
        <x:f>'REVIEW PACKET'!D14</x:f>
        <x:v>0</x:v>
      </x:c>
      <x:c r="E26" s="109"/>
      <x:c r="F26" s="109"/>
      <x:c r="G26" s="109"/>
      <x:c r="H26" s="109"/>
      <x:c r="I26" s="109"/>
      <x:c r="J26" s="109"/>
      <x:c r="K26" s="109"/>
      <x:c r="L26" s="109"/>
    </x:row>
    <x:row r="27">
      <x:c r="A27" s="109" t="str">
        <x:f>'REVIEW PACKET'!A15</x:f>
        <x:v>Site / partner permission (if applicable)</x:v>
      </x:c>
      <x:c r="B27" s="109" t="n">
        <x:f>'REVIEW PACKET'!B15</x:f>
        <x:v>0</x:v>
      </x:c>
      <x:c r="C27" s="109" t="n">
        <x:f>'REVIEW PACKET'!C15</x:f>
        <x:v>0</x:v>
      </x:c>
      <x:c r="D27" s="109" t="n">
        <x:f>'REVIEW PACKET'!D15</x:f>
        <x:v>0</x:v>
      </x:c>
      <x:c r="E27" s="109"/>
      <x:c r="F27" s="109"/>
      <x:c r="G27" s="109"/>
      <x:c r="H27" s="109"/>
      <x:c r="I27" s="109"/>
      <x:c r="J27" s="109"/>
      <x:c r="K27" s="109"/>
      <x:c r="L27" s="109"/>
    </x:row>
    <x:row r="28">
      <x:c r="A28" s="109" t="str">
        <x:f>'REVIEW PACKET'!A16</x:f>
        <x:v>Conflict-of-interest disclosure (if applicable)</x:v>
      </x:c>
      <x:c r="B28" s="109" t="n">
        <x:f>'REVIEW PACKET'!B16</x:f>
        <x:v>0</x:v>
      </x:c>
      <x:c r="C28" s="109" t="n">
        <x:f>'REVIEW PACKET'!C16</x:f>
        <x:v>0</x:v>
      </x:c>
      <x:c r="D28" s="109" t="n">
        <x:f>'REVIEW PACKET'!D16</x:f>
        <x:v>0</x:v>
      </x:c>
      <x:c r="E28" s="109"/>
      <x:c r="F28" s="109"/>
      <x:c r="G28" s="109"/>
      <x:c r="H28" s="109"/>
      <x:c r="I28" s="109"/>
      <x:c r="J28" s="109"/>
      <x:c r="K28" s="109"/>
      <x:c r="L28" s="109"/>
    </x:row>
    <x:row r="29">
      <x:c r="A29" s="109" t="str">
        <x:f>'REVIEW PACKET'!A17</x:f>
        <x:v>IRB / ethics application or determination documentation</x:v>
      </x:c>
      <x:c r="B29" s="109" t="n">
        <x:f>'REVIEW PACKET'!B17</x:f>
        <x:v>0</x:v>
      </x:c>
      <x:c r="C29" s="109" t="n">
        <x:f>'REVIEW PACKET'!C17</x:f>
        <x:v>0</x:v>
      </x:c>
      <x:c r="D29" s="109" t="n">
        <x:f>'REVIEW PACKET'!D17</x:f>
        <x:v>0</x:v>
      </x:c>
      <x:c r="E29" s="109"/>
      <x:c r="F29" s="109"/>
      <x:c r="G29" s="109"/>
      <x:c r="H29" s="109"/>
      <x:c r="I29" s="109"/>
      <x:c r="J29" s="109"/>
      <x:c r="K29" s="109"/>
      <x:c r="L29" s="109"/>
    </x:row>
    <x:row r="30">
      <x:c r="A30" s="109" t="str">
        <x:f>'REVIEW PACKET'!A18</x:f>
        <x:v>Amendment / revision log</x:v>
      </x:c>
      <x:c r="B30" s="109" t="n">
        <x:f>'REVIEW PACKET'!B18</x:f>
        <x:v>0</x:v>
      </x:c>
      <x:c r="C30" s="109" t="n">
        <x:f>'REVIEW PACKET'!C18</x:f>
        <x:v>0</x:v>
      </x:c>
      <x:c r="D30" s="109" t="n">
        <x:f>'REVIEW PACKET'!D18</x:f>
        <x:v>0</x:v>
      </x:c>
      <x:c r="E30" s="109"/>
      <x:c r="F30" s="109"/>
      <x:c r="G30" s="109"/>
      <x:c r="H30" s="109"/>
      <x:c r="I30" s="109"/>
      <x:c r="J30" s="109"/>
      <x:c r="K30" s="109"/>
      <x:c r="L30" s="109"/>
    </x:row>
    <x:row r="31">
      <x:c r="A31" s="109"/>
      <x:c r="B31" s="109"/>
      <x:c r="C31" s="109"/>
      <x:c r="D31" s="109"/>
      <x:c r="E31" s="109"/>
      <x:c r="F31" s="109"/>
      <x:c r="G31" s="109"/>
      <x:c r="H31" s="109"/>
      <x:c r="I31" s="109"/>
      <x:c r="J31" s="109"/>
      <x:c r="K31" s="109"/>
      <x:c r="L31" s="109"/>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L1"/>
    <x:mergeCell ref="D3:F3"/>
    <x:mergeCell ref="D4:F9"/>
    <x:mergeCell ref="H3:L3"/>
    <x:mergeCell ref="A14:D14"/>
  </x:mergeCells>
  <x:conditionalFormatting sqref="B11:B11">
    <x:cfRule type="expression" dxfId="6" priority="1">
      <x:formula>$B$11="CONSULT IRB / ETHICS OFFICE"</x:formula>
    </x:cfRule>
    <x:cfRule type="expression" dxfId="7" priority="2">
      <x:formula>$B$11="RESOLVE OPEN ITEMS"</x:formula>
    </x:cfRule>
    <x:cfRule type="expression" dxfId="8" priority="3">
      <x:formula>$B$11="PLANNING CHECKS COMPLETE"</x:formula>
    </x:cfRule>
  </x:conditionalFormatting>
  <x:conditionalFormatting sqref="C16:C30">
    <x:cfRule type="expression" dxfId="9" priority="4">
      <x:formula>AND($B16="Yes",$C16&lt;&gt;"Ready")</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84" hidden="0" customWidth="1"/>
  </x:cols>
  <x:sheetData>
    <x:row r="1">
      <x:c r="A1" s="121" t="str">
        <x:v>EXAMPLE — synthetic student survey project</x:v>
      </x:c>
      <x:c r="B1" s="121"/>
      <x:c r="C1" s="121"/>
      <x:c r="D1" s="121"/>
      <x:c r="E1" s="121"/>
      <x:c r="F1" s="121"/>
      <x:c r="G1" s="121"/>
      <x:c r="H1" s="121"/>
      <x:c r="I1" s="121"/>
      <x:c r="J1" s="73"/>
      <x:c r="K1" s="73"/>
      <x:c r="L1" s="73"/>
    </x:row>
    <x:row r="2">
      <x:c r="A2" s="73"/>
      <x:c r="B2" s="73"/>
      <x:c r="C2" s="73"/>
      <x:c r="D2" s="73"/>
      <x:c r="E2" s="73"/>
      <x:c r="F2" s="73"/>
      <x:c r="G2" s="73"/>
      <x:c r="H2" s="73"/>
      <x:c r="I2" s="73"/>
      <x:c r="J2" s="73"/>
      <x:c r="K2" s="73"/>
      <x:c r="L2" s="73"/>
    </x:row>
    <x:row r="3">
      <x:c r="A3" s="80" t="str">
        <x:v>Field</x:v>
      </x:c>
      <x:c r="B3" s="100" t="str">
        <x:v>Synthetic Example</x:v>
      </x:c>
      <x:c r="C3" s="73"/>
      <x:c r="D3" s="80" t="str">
        <x:v>Example decision logic</x:v>
      </x:c>
      <x:c r="E3" s="80"/>
      <x:c r="F3" s="80"/>
      <x:c r="G3" s="80"/>
      <x:c r="H3" s="80"/>
      <x:c r="I3" s="80"/>
      <x:c r="J3" s="73"/>
      <x:c r="K3" s="73"/>
      <x:c r="L3" s="73"/>
    </x:row>
    <x:row r="4">
      <x:c r="A4" s="80" t="str">
        <x:v>Question</x:v>
      </x:c>
      <x:c r="B4" s="100" t="str">
        <x:v>How do first-year students describe barriers to using campus tutoring services?</x:v>
      </x:c>
      <x:c r="C4" s="73"/>
      <x:c r="D4" s="81" t="str">
        <x:v>The project involves living individuals and direct interaction, so the student should not use this workbook to declare the study exempt or outside review. The workbook instead surfaces the human-participant trigger, then asks the student to document recruitment, voluntariness, consent language, privacy, data minimization, and the required institutional review/determination before fielding. The research question may also be revised after pilot testing or early evidence; the design should follow the question and evidence rather than forcing evidence into a predetermined claim.</x:v>
      </x:c>
      <x:c r="E4" s="81"/>
      <x:c r="F4" s="81"/>
      <x:c r="G4" s="81"/>
      <x:c r="H4" s="81"/>
      <x:c r="I4" s="81"/>
      <x:c r="J4" s="73"/>
      <x:c r="K4" s="73"/>
      <x:c r="L4" s="73"/>
    </x:row>
    <x:row r="5">
      <x:c r="A5" s="80" t="str">
        <x:v>Method</x:v>
      </x:c>
      <x:c r="B5" s="100" t="str">
        <x:v>Anonymous online survey + optional open-text response</x:v>
      </x:c>
      <x:c r="C5" s="73"/>
      <x:c r="D5" s="81"/>
      <x:c r="E5" s="81"/>
      <x:c r="F5" s="81"/>
      <x:c r="G5" s="81"/>
      <x:c r="H5" s="81"/>
      <x:c r="I5" s="81"/>
      <x:c r="J5" s="73"/>
      <x:c r="K5" s="73"/>
      <x:c r="L5" s="73"/>
    </x:row>
    <x:row r="6">
      <x:c r="A6" s="80" t="str">
        <x:v>Participants</x:v>
      </x:c>
      <x:c r="B6" s="100" t="str">
        <x:v>Adult first-year students recruited through a campus-wide list, not through the researcher's own class</x:v>
      </x:c>
      <x:c r="C6" s="73"/>
      <x:c r="D6" s="81"/>
      <x:c r="E6" s="81"/>
      <x:c r="F6" s="81"/>
      <x:c r="G6" s="81"/>
      <x:c r="H6" s="81"/>
      <x:c r="I6" s="81"/>
      <x:c r="J6" s="73"/>
      <x:c r="K6" s="73"/>
      <x:c r="L6" s="73"/>
    </x:row>
    <x:row r="7">
      <x:c r="A7" s="80" t="str">
        <x:v>Identifiers</x:v>
      </x:c>
      <x:c r="B7" s="100" t="str">
        <x:v>No names/student IDs; broad academic program only</x:v>
      </x:c>
      <x:c r="C7" s="73"/>
      <x:c r="D7" s="81"/>
      <x:c r="E7" s="81"/>
      <x:c r="F7" s="81"/>
      <x:c r="G7" s="81"/>
      <x:c r="H7" s="81"/>
      <x:c r="I7" s="81"/>
      <x:c r="J7" s="73"/>
      <x:c r="K7" s="73"/>
      <x:c r="L7" s="73"/>
    </x:row>
    <x:row r="8">
      <x:c r="A8" s="80" t="str">
        <x:v>Sensitive data</x:v>
      </x:c>
      <x:c r="B8" s="100" t="str">
        <x:v>Low sensitivity; avoid unnecessary demographic detail</x:v>
      </x:c>
      <x:c r="C8" s="73"/>
      <x:c r="D8" s="81"/>
      <x:c r="E8" s="81"/>
      <x:c r="F8" s="81"/>
      <x:c r="G8" s="81"/>
      <x:c r="H8" s="81"/>
      <x:c r="I8" s="81"/>
      <x:c r="J8" s="73"/>
      <x:c r="K8" s="73"/>
      <x:c r="L8" s="73"/>
    </x:row>
    <x:row r="9">
      <x:c r="A9" s="80" t="str">
        <x:v>Consent approach</x:v>
      </x:c>
      <x:c r="B9" s="100" t="str">
        <x:v>Brief study information + voluntary participation statement before survey begins</x:v>
      </x:c>
      <x:c r="C9" s="73"/>
      <x:c r="D9" s="81"/>
      <x:c r="E9" s="81"/>
      <x:c r="F9" s="81"/>
      <x:c r="G9" s="81"/>
      <x:c r="H9" s="81"/>
      <x:c r="I9" s="81"/>
      <x:c r="J9" s="73"/>
      <x:c r="K9" s="73"/>
      <x:c r="L9" s="73"/>
    </x:row>
    <x:row r="10">
      <x:c r="A10" s="80" t="str">
        <x:v>Data storage</x:v>
      </x:c>
      <x:c r="B10" s="100" t="str">
        <x:v>Institution-approved cloud location; access limited to research team</x:v>
      </x:c>
      <x:c r="C10" s="73"/>
      <x:c r="D10" s="81"/>
      <x:c r="E10" s="81"/>
      <x:c r="F10" s="81"/>
      <x:c r="G10" s="81"/>
      <x:c r="H10" s="81"/>
      <x:c r="I10" s="81"/>
      <x:c r="J10" s="73"/>
      <x:c r="K10" s="73"/>
      <x:c r="L10" s="73"/>
    </x:row>
    <x:row r="11">
      <x:c r="A11" s="80" t="str">
        <x:v>Primary limitation</x:v>
      </x:c>
      <x:c r="B11" s="100" t="str">
        <x:v>Voluntary-response sample may differ from nonrespondents</x:v>
      </x:c>
      <x:c r="C11" s="73"/>
      <x:c r="D11" s="81"/>
      <x:c r="E11" s="81"/>
      <x:c r="F11" s="81"/>
      <x:c r="G11" s="81"/>
      <x:c r="H11" s="81"/>
      <x:c r="I11" s="81"/>
      <x:c r="J11" s="73"/>
      <x:c r="K11" s="73"/>
      <x:c r="L11" s="73"/>
    </x:row>
    <x:row r="12">
      <x:c r="A12" s="80" t="str">
        <x:v>Interpretive boundary</x:v>
      </x:c>
      <x:c r="B12" s="100" t="str">
        <x:v>Describes respondents' reported barriers; does not prove causes of service use or non-use.</x:v>
      </x:c>
      <x:c r="C12" s="73"/>
      <x:c r="D12" s="81"/>
      <x:c r="E12" s="81"/>
      <x:c r="F12" s="81"/>
      <x:c r="G12" s="81"/>
      <x:c r="H12" s="81"/>
      <x:c r="I12" s="81"/>
      <x:c r="J12" s="73"/>
      <x:c r="K12" s="73"/>
      <x:c r="L12" s="73"/>
    </x:row>
    <x:row r="13">
      <x:c r="A13" s="73"/>
      <x:c r="B13" s="73"/>
      <x:c r="C13" s="73"/>
      <x:c r="D13" s="73"/>
      <x:c r="E13" s="73"/>
      <x:c r="F13" s="73"/>
      <x:c r="G13" s="73"/>
      <x:c r="H13" s="73"/>
      <x:c r="I13" s="73"/>
      <x:c r="J13" s="73"/>
      <x:c r="K13" s="73"/>
      <x:c r="L13" s="73"/>
    </x:row>
    <x:row r="14">
      <x:c r="A14" s="73"/>
      <x:c r="B14" s="73"/>
      <x:c r="C14" s="73"/>
      <x:c r="D14" s="73"/>
      <x:c r="E14" s="73"/>
      <x:c r="F14" s="73"/>
      <x:c r="G14" s="73"/>
      <x:c r="H14" s="73"/>
      <x:c r="I14" s="73"/>
      <x:c r="J14" s="73"/>
      <x:c r="K14" s="73"/>
      <x:c r="L14" s="73"/>
    </x:row>
    <x:row r="15">
      <x:c r="A15" s="73"/>
      <x:c r="B15" s="73"/>
      <x:c r="C15" s="73"/>
      <x:c r="D15" s="73"/>
      <x:c r="E15" s="73"/>
      <x:c r="F15" s="73"/>
      <x:c r="G15" s="73"/>
      <x:c r="H15" s="73"/>
      <x:c r="I15" s="73"/>
      <x:c r="J15" s="73"/>
      <x:c r="K15" s="73"/>
      <x:c r="L15" s="73"/>
    </x:row>
    <x:row r="16">
      <x:c r="A16" s="73"/>
      <x:c r="B16" s="73"/>
      <x:c r="C16" s="73"/>
      <x:c r="D16" s="73"/>
      <x:c r="E16" s="73"/>
      <x:c r="F16" s="73"/>
      <x:c r="G16" s="73"/>
      <x:c r="H16" s="73"/>
      <x:c r="I16" s="73"/>
      <x:c r="J16" s="73"/>
      <x:c r="K16" s="73"/>
      <x:c r="L16" s="73"/>
    </x:row>
    <x:row r="17">
      <x:c r="A17" s="73"/>
      <x:c r="B17" s="73"/>
      <x:c r="C17" s="73"/>
      <x:c r="D17" s="73"/>
      <x:c r="E17" s="73"/>
      <x:c r="F17" s="73"/>
      <x:c r="G17" s="73"/>
      <x:c r="H17" s="73"/>
      <x:c r="I17" s="73"/>
      <x:c r="J17" s="73"/>
      <x:c r="K17" s="73"/>
      <x:c r="L17" s="73"/>
    </x:row>
    <x:row r="18">
      <x:c r="A18" s="73"/>
      <x:c r="B18" s="73"/>
      <x:c r="C18" s="73"/>
      <x:c r="D18" s="73"/>
      <x:c r="E18" s="73"/>
      <x:c r="F18" s="73"/>
      <x:c r="G18" s="73"/>
      <x:c r="H18" s="73"/>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I1"/>
    <x:mergeCell ref="D3:I3"/>
    <x:mergeCell ref="D4:I12"/>
  </x:mergeCells>
  <x:pageMargins left="0.7" right="0.7" top="0.75" bottom="0.75" header="0.3" footer="0.3"/>
</x:worksheet>
</file>

<file path=xl/worksheets/sheet13.xml><?xml version="1.0" encoding="utf-8"?>
<x:worksheet xmlns:x="http://schemas.openxmlformats.org/spreadsheetml/2006/main">
  <x:sheetFormatPr defaultRowHeight="15"/>
  <x:cols>
    <x:col min="1" max="1" width="38" hidden="0" customWidth="1"/>
    <x:col min="2" max="2" width="20" hidden="0" customWidth="1"/>
    <x:col min="3" max="3" width="62" hidden="0" customWidth="1"/>
    <x:col min="4" max="4" width="68" hidden="0" customWidth="1"/>
    <x:col min="5" max="5" width="48" hidden="0" customWidth="1"/>
  </x:cols>
  <x:sheetData>
    <x:row r="1">
      <x:c r="A1" s="121" t="str">
        <x:v>SOURCES &amp; DESIGN BASIS</x:v>
      </x:c>
      <x:c r="B1" s="121"/>
      <x:c r="C1" s="121"/>
      <x:c r="D1" s="121"/>
      <x:c r="E1" s="121"/>
      <x:c r="F1" s="73"/>
      <x:c r="G1" s="73"/>
      <x:c r="H1" s="73"/>
      <x:c r="I1" s="73"/>
      <x:c r="J1" s="73"/>
      <x:c r="K1" s="73"/>
      <x:c r="L1" s="73"/>
    </x:row>
    <x:row r="2">
      <x:c r="A2" s="73"/>
      <x:c r="B2" s="73"/>
      <x:c r="C2" s="73"/>
      <x:c r="D2" s="73"/>
      <x:c r="E2" s="73"/>
      <x:c r="F2" s="73"/>
      <x:c r="G2" s="73"/>
      <x:c r="H2" s="73"/>
      <x:c r="I2" s="73"/>
      <x:c r="J2" s="73"/>
      <x:c r="K2" s="73"/>
      <x:c r="L2" s="73"/>
    </x:row>
    <x:row r="3">
      <x:c r="A3" s="97" t="str">
        <x:v>Source</x:v>
      </x:c>
      <x:c r="B3" s="97" t="str">
        <x:v>Type</x:v>
      </x:c>
      <x:c r="C3" s="97" t="str">
        <x:v>What Informed the Toolkit</x:v>
      </x:c>
      <x:c r="D3" s="97" t="str">
        <x:v>Public URL / Note</x:v>
      </x:c>
      <x:c r="E3" s="97" t="str">
        <x:v>Use Boundary</x:v>
      </x:c>
      <x:c r="F3" s="73"/>
      <x:c r="G3" s="73"/>
      <x:c r="H3" s="73"/>
      <x:c r="I3" s="73"/>
      <x:c r="J3" s="73"/>
      <x:c r="K3" s="73"/>
      <x:c r="L3" s="73"/>
    </x:row>
    <x:row r="4">
      <x:c r="A4" s="99" t="str">
        <x:v>How to Write a Research Paper? Lesson Plan (Laura Elizabeth Hand)</x:v>
      </x:c>
      <x:c r="B4" s="99" t="str">
        <x:v>User-authored teaching resource</x:v>
      </x:c>
      <x:c r="C4" s="99" t="str">
        <x:v>Broad topic → focused question; research; source evaluation; outline; drafting; citation; revise the working thesis when evidence changes.</x:v>
      </x:c>
      <x:c r="D4" s="100" t="str">
        <x:v>Private source reviewed from the user's Google Drive.</x:v>
      </x:c>
      <x:c r="E4" s="115" t="str">
        <x:v>Used as a design input; not republished verbatim.</x:v>
      </x:c>
      <x:c r="F4" s="73"/>
      <x:c r="G4" s="73"/>
      <x:c r="H4" s="73"/>
      <x:c r="I4" s="73"/>
      <x:c r="J4" s="73"/>
      <x:c r="K4" s="73"/>
      <x:c r="L4" s="73"/>
    </x:row>
    <x:row r="5">
      <x:c r="A5" s="99" t="str">
        <x:v>CITI human-subjects training materials in the user's archive</x:v>
      </x:c>
      <x:c r="B5" s="99" t="str">
        <x:v>Training materials</x:v>
      </x:c>
      <x:c r="C5" s="99" t="str">
        <x:v>Respect for persons, voluntariness, informed consent, beneficence, justice, privacy/confidentiality, authority relationships, and re-identification risk.</x:v>
      </x:c>
      <x:c r="D5" s="100" t="str">
        <x:v>Private source reviewed from the user's Google Drive.</x:v>
      </x:c>
      <x:c r="E5" s="115" t="str">
        <x:v>Used as conceptual background; this workbook does not replace current CITI training or IRB policy.</x:v>
      </x:c>
      <x:c r="F5" s="73"/>
      <x:c r="G5" s="73"/>
      <x:c r="H5" s="73"/>
      <x:c r="I5" s="73"/>
      <x:c r="J5" s="73"/>
      <x:c r="K5" s="73"/>
      <x:c r="L5" s="73"/>
    </x:row>
    <x:row r="6">
      <x:c r="A6" s="99" t="str">
        <x:v>The Belmont Report</x:v>
      </x:c>
      <x:c r="B6" s="99" t="str">
        <x:v>HHS / OHRP</x:v>
      </x:c>
      <x:c r="C6" s="99" t="str">
        <x:v>Respect for persons, beneficence, justice; informed consent, risk/benefit assessment, and subject selection.</x:v>
      </x:c>
      <x:c r="D6" s="100" t="str">
        <x:v>https://www.hhs.gov/ohrp/regulations-and-policy/belmont-report/read-the-belmont-report/index.html</x:v>
      </x:c>
      <x:c r="E6" s="115" t="str">
        <x:v>Authoritative ethical framework; institution-specific requirements still apply.</x:v>
      </x:c>
      <x:c r="F6" s="73"/>
      <x:c r="G6" s="73"/>
      <x:c r="H6" s="73"/>
      <x:c r="I6" s="73"/>
      <x:c r="J6" s="73"/>
      <x:c r="K6" s="73"/>
      <x:c r="L6" s="73"/>
    </x:row>
    <x:row r="7">
      <x:c r="A7" s="99" t="str">
        <x:v>Informed Consent FAQs</x:v>
      </x:c>
      <x:c r="B7" s="99" t="str">
        <x:v>HHS / OHRP</x:v>
      </x:c>
      <x:c r="C7" s="99" t="str">
        <x:v>Consent as disclosure + understanding + voluntariness; understandable language; ongoing communication.</x:v>
      </x:c>
      <x:c r="D7" s="100" t="str">
        <x:v>https://www.hhs.gov/ohrp/regulations-and-policy/guidance/faq/informed-consent/index.html</x:v>
      </x:c>
      <x:c r="E7" s="115" t="str">
        <x:v>Use current institutional forms/policies where required.</x:v>
      </x:c>
      <x:c r="F7" s="73"/>
      <x:c r="G7" s="73"/>
      <x:c r="H7" s="73"/>
      <x:c r="I7" s="73"/>
      <x:c r="J7" s="73"/>
      <x:c r="K7" s="73"/>
      <x:c r="L7" s="73"/>
    </x:row>
    <x:row r="8">
      <x:c r="A8" s="99" t="str">
        <x:v>Human Subject Regulations Decision Charts</x:v>
      </x:c>
      <x:c r="B8" s="99" t="str">
        <x:v>HHS / OHRP</x:v>
      </x:c>
      <x:c r="C8" s="99" t="str">
        <x:v>Formal regulatory classification uses decision logic under the applicable requirements.</x:v>
      </x:c>
      <x:c r="D8" s="100" t="str">
        <x:v>https://www.hhs.gov/ohrp/regulations-and-policy/decision-charts/index.html</x:v>
      </x:c>
      <x:c r="E8" s="115" t="str">
        <x:v>Toolkit intentionally stops short of making a formal determination.</x:v>
      </x:c>
      <x:c r="F8" s="73"/>
      <x:c r="G8" s="73"/>
      <x:c r="H8" s="73"/>
      <x:c r="I8" s="73"/>
      <x:c r="J8" s="73"/>
      <x:c r="K8" s="73"/>
      <x:c r="L8" s="73"/>
    </x:row>
    <x:row r="9">
      <x:c r="A9" s="73"/>
      <x:c r="B9" s="73"/>
      <x:c r="C9" s="73"/>
      <x:c r="D9" s="73"/>
      <x:c r="E9" s="73"/>
      <x:c r="F9" s="73"/>
      <x:c r="G9" s="73"/>
      <x:c r="H9" s="73"/>
      <x:c r="I9" s="73"/>
      <x:c r="J9" s="73"/>
      <x:c r="K9" s="73"/>
      <x:c r="L9" s="73"/>
    </x:row>
    <x:row r="10">
      <x:c r="A10" s="73"/>
      <x:c r="B10" s="73"/>
      <x:c r="C10" s="73"/>
      <x:c r="D10" s="73"/>
      <x:c r="E10" s="73"/>
      <x:c r="F10" s="73"/>
      <x:c r="G10" s="73"/>
      <x:c r="H10" s="73"/>
      <x:c r="I10" s="73"/>
      <x:c r="J10" s="73"/>
      <x:c r="K10" s="73"/>
      <x:c r="L10" s="73"/>
    </x:row>
    <x:row r="11">
      <x:c r="A11" s="73"/>
      <x:c r="B11" s="73"/>
      <x:c r="C11" s="73"/>
      <x:c r="D11" s="73"/>
      <x:c r="E11" s="73"/>
      <x:c r="F11" s="73"/>
      <x:c r="G11" s="73"/>
      <x:c r="H11" s="73"/>
      <x:c r="I11" s="73"/>
      <x:c r="J11" s="73"/>
      <x:c r="K11" s="73"/>
      <x:c r="L11" s="73"/>
    </x:row>
    <x:row r="12">
      <x:c r="A12" s="73"/>
      <x:c r="B12" s="73"/>
      <x:c r="C12" s="73"/>
      <x:c r="D12" s="73"/>
      <x:c r="E12" s="73"/>
      <x:c r="F12" s="73"/>
      <x:c r="G12" s="73"/>
      <x:c r="H12" s="73"/>
      <x:c r="I12" s="73"/>
      <x:c r="J12" s="73"/>
      <x:c r="K12" s="73"/>
      <x:c r="L12" s="73"/>
    </x:row>
    <x:row r="13">
      <x:c r="A13" s="73"/>
      <x:c r="B13" s="73"/>
      <x:c r="C13" s="73"/>
      <x:c r="D13" s="73"/>
      <x:c r="E13" s="73"/>
      <x:c r="F13" s="73"/>
      <x:c r="G13" s="73"/>
      <x:c r="H13" s="73"/>
      <x:c r="I13" s="73"/>
      <x:c r="J13" s="73"/>
      <x:c r="K13" s="73"/>
      <x:c r="L13" s="73"/>
    </x:row>
    <x:row r="14">
      <x:c r="A14" s="73"/>
      <x:c r="B14" s="73"/>
      <x:c r="C14" s="73"/>
      <x:c r="D14" s="73"/>
      <x:c r="E14" s="73"/>
      <x:c r="F14" s="73"/>
      <x:c r="G14" s="73"/>
      <x:c r="H14" s="73"/>
      <x:c r="I14" s="73"/>
      <x:c r="J14" s="73"/>
      <x:c r="K14" s="73"/>
      <x:c r="L14" s="73"/>
    </x:row>
    <x:row r="15">
      <x:c r="A15" s="73"/>
      <x:c r="B15" s="73"/>
      <x:c r="C15" s="73"/>
      <x:c r="D15" s="73"/>
      <x:c r="E15" s="73"/>
      <x:c r="F15" s="73"/>
      <x:c r="G15" s="73"/>
      <x:c r="H15" s="73"/>
      <x:c r="I15" s="73"/>
      <x:c r="J15" s="73"/>
      <x:c r="K15" s="73"/>
      <x:c r="L15" s="73"/>
    </x:row>
    <x:row r="16">
      <x:c r="A16" s="73"/>
      <x:c r="B16" s="73"/>
      <x:c r="C16" s="73"/>
      <x:c r="D16" s="73"/>
      <x:c r="E16" s="73"/>
      <x:c r="F16" s="73"/>
      <x:c r="G16" s="73"/>
      <x:c r="H16" s="73"/>
      <x:c r="I16" s="73"/>
      <x:c r="J16" s="73"/>
      <x:c r="K16" s="73"/>
      <x:c r="L16" s="73"/>
    </x:row>
    <x:row r="17">
      <x:c r="A17" s="73"/>
      <x:c r="B17" s="73"/>
      <x:c r="C17" s="73"/>
      <x:c r="D17" s="73"/>
      <x:c r="E17" s="73"/>
      <x:c r="F17" s="73"/>
      <x:c r="G17" s="73"/>
      <x:c r="H17" s="73"/>
      <x:c r="I17" s="73"/>
      <x:c r="J17" s="73"/>
      <x:c r="K17" s="73"/>
      <x:c r="L17" s="73"/>
    </x:row>
    <x:row r="18">
      <x:c r="A18" s="73"/>
      <x:c r="B18" s="73"/>
      <x:c r="C18" s="73"/>
      <x:c r="D18" s="73"/>
      <x:c r="E18" s="73"/>
      <x:c r="F18" s="73"/>
      <x:c r="G18" s="73"/>
      <x:c r="H18" s="73"/>
      <x:c r="I18" s="73"/>
      <x:c r="J18" s="73"/>
      <x:c r="K18" s="73"/>
      <x:c r="L18" s="73"/>
    </x:row>
    <x:row r="19">
      <x:c r="A19" s="73"/>
      <x:c r="B19" s="73"/>
      <x:c r="C19" s="73"/>
      <x:c r="D19" s="73"/>
      <x:c r="E19" s="73"/>
      <x:c r="F19" s="73"/>
      <x:c r="G19" s="73"/>
      <x:c r="H19" s="73"/>
      <x:c r="I19" s="73"/>
      <x:c r="J19" s="73"/>
      <x:c r="K19" s="73"/>
      <x:c r="L19" s="73"/>
    </x:row>
    <x:row r="20">
      <x:c r="A20" s="73"/>
      <x:c r="B20" s="73"/>
      <x:c r="C20" s="73"/>
      <x:c r="D20" s="73"/>
      <x:c r="E20" s="73"/>
      <x:c r="F20" s="73"/>
      <x:c r="G20" s="73"/>
      <x:c r="H20" s="73"/>
      <x:c r="I20" s="73"/>
      <x:c r="J20" s="73"/>
      <x:c r="K20" s="73"/>
      <x:c r="L20" s="73"/>
    </x:row>
    <x:row r="21">
      <x:c r="A21" s="73"/>
      <x:c r="B21" s="73"/>
      <x:c r="C21" s="73"/>
      <x:c r="D21" s="73"/>
      <x:c r="E21" s="73"/>
      <x:c r="F21" s="73"/>
      <x:c r="G21" s="73"/>
      <x:c r="H21" s="73"/>
      <x:c r="I21" s="73"/>
      <x:c r="J21" s="73"/>
      <x:c r="K21" s="73"/>
      <x:c r="L21" s="73"/>
    </x:row>
    <x:row r="22">
      <x:c r="A22" s="73"/>
      <x:c r="B22" s="73"/>
      <x:c r="C22" s="73"/>
      <x:c r="D22" s="73"/>
      <x:c r="E22" s="73"/>
      <x:c r="F22" s="73"/>
      <x:c r="G22" s="73"/>
      <x:c r="H22" s="73"/>
      <x:c r="I22" s="73"/>
      <x:c r="J22" s="73"/>
      <x:c r="K22" s="73"/>
      <x:c r="L22" s="73"/>
    </x:row>
    <x:row r="23">
      <x:c r="A23" s="73"/>
      <x:c r="B23" s="73"/>
      <x:c r="C23" s="73"/>
      <x:c r="D23" s="73"/>
      <x:c r="E23" s="73"/>
      <x:c r="F23" s="73"/>
      <x:c r="G23" s="73"/>
      <x:c r="H23" s="73"/>
      <x:c r="I23" s="73"/>
      <x:c r="J23" s="73"/>
      <x:c r="K23" s="73"/>
      <x:c r="L23" s="73"/>
    </x:row>
    <x:row r="24">
      <x:c r="A24" s="73"/>
      <x:c r="B24" s="73"/>
      <x:c r="C24" s="73"/>
      <x:c r="D24" s="73"/>
      <x:c r="E24" s="73"/>
      <x:c r="F24" s="73"/>
      <x:c r="G24" s="73"/>
      <x:c r="H24" s="73"/>
      <x:c r="I24" s="73"/>
      <x:c r="J24" s="73"/>
      <x:c r="K24" s="73"/>
      <x:c r="L24" s="73"/>
    </x:row>
    <x:row r="25">
      <x:c r="A25" s="73"/>
      <x:c r="B25" s="73"/>
      <x:c r="C25" s="73"/>
      <x:c r="D25" s="73"/>
      <x:c r="E25" s="73"/>
      <x:c r="F25" s="73"/>
      <x:c r="G25" s="73"/>
      <x:c r="H25" s="73"/>
      <x:c r="I25" s="73"/>
      <x:c r="J25" s="73"/>
      <x:c r="K25" s="73"/>
      <x:c r="L25" s="73"/>
    </x:row>
    <x:row r="26">
      <x:c r="A26" s="73"/>
      <x:c r="B26" s="73"/>
      <x:c r="C26" s="73"/>
      <x:c r="D26" s="73"/>
      <x:c r="E26" s="73"/>
      <x:c r="F26" s="73"/>
      <x:c r="G26" s="73"/>
      <x:c r="H26" s="73"/>
      <x:c r="I26" s="73"/>
      <x:c r="J26" s="73"/>
      <x:c r="K26" s="73"/>
      <x:c r="L26" s="73"/>
    </x:row>
    <x:row r="27">
      <x:c r="A27" s="73"/>
      <x:c r="B27" s="73"/>
      <x:c r="C27" s="73"/>
      <x:c r="D27" s="73"/>
      <x:c r="E27" s="73"/>
      <x:c r="F27" s="73"/>
      <x:c r="G27" s="73"/>
      <x:c r="H27" s="73"/>
      <x:c r="I27" s="73"/>
      <x:c r="J27" s="73"/>
      <x:c r="K27" s="73"/>
      <x:c r="L27" s="73"/>
    </x:row>
    <x:row r="28">
      <x:c r="A28" s="73"/>
      <x:c r="B28" s="73"/>
      <x:c r="C28" s="73"/>
      <x:c r="D28" s="73"/>
      <x:c r="E28" s="73"/>
      <x:c r="F28" s="73"/>
      <x:c r="G28" s="73"/>
      <x:c r="H28" s="73"/>
      <x:c r="I28" s="73"/>
      <x:c r="J28" s="73"/>
      <x:c r="K28" s="73"/>
      <x:c r="L28" s="73"/>
    </x:row>
    <x:row r="29">
      <x:c r="A29" s="73"/>
      <x:c r="B29" s="73"/>
      <x:c r="C29" s="73"/>
      <x:c r="D29" s="73"/>
      <x:c r="E29" s="73"/>
      <x:c r="F29" s="73"/>
      <x:c r="G29" s="73"/>
      <x:c r="H29" s="73"/>
      <x:c r="I29" s="73"/>
      <x:c r="J29" s="73"/>
      <x:c r="K29" s="73"/>
      <x:c r="L29" s="73"/>
    </x:row>
    <x:row r="30">
      <x:c r="A30" s="73"/>
      <x:c r="B30" s="73"/>
      <x:c r="C30" s="73"/>
      <x:c r="D30" s="73"/>
      <x:c r="E30" s="73"/>
      <x:c r="F30" s="73"/>
      <x:c r="G30" s="73"/>
      <x:c r="H30" s="73"/>
      <x:c r="I30" s="73"/>
      <x:c r="J30" s="73"/>
      <x:c r="K30" s="73"/>
      <x:c r="L30" s="73"/>
    </x:row>
    <x:row r="31">
      <x:c r="A31" s="73"/>
      <x:c r="B31" s="73"/>
      <x:c r="C31" s="73"/>
      <x:c r="D31" s="73"/>
      <x:c r="E31" s="73"/>
      <x:c r="F31" s="73"/>
      <x:c r="G31" s="73"/>
      <x:c r="H31" s="73"/>
      <x:c r="I31" s="73"/>
      <x:c r="J31" s="73"/>
      <x:c r="K31" s="73"/>
      <x:c r="L31" s="73"/>
    </x:row>
    <x:row r="32">
      <x:c r="A32" s="73"/>
      <x:c r="B32" s="73"/>
      <x:c r="C32" s="73"/>
      <x:c r="D32" s="73"/>
      <x:c r="E32" s="73"/>
      <x:c r="F32" s="73"/>
      <x:c r="G32" s="73"/>
      <x:c r="H32" s="73"/>
      <x:c r="I32" s="73"/>
      <x:c r="J32" s="73"/>
      <x:c r="K32" s="73"/>
      <x:c r="L32" s="73"/>
    </x:row>
    <x:row r="33">
      <x:c r="A33" s="73"/>
      <x:c r="B33" s="73"/>
      <x:c r="C33" s="73"/>
      <x:c r="D33" s="73"/>
      <x:c r="E33" s="73"/>
      <x:c r="F33" s="73"/>
      <x:c r="G33" s="73"/>
      <x:c r="H33" s="73"/>
      <x:c r="I33" s="73"/>
      <x:c r="J33" s="73"/>
      <x:c r="K33" s="73"/>
      <x:c r="L33" s="73"/>
    </x:row>
    <x:row r="34">
      <x:c r="A34" s="73"/>
      <x:c r="B34" s="73"/>
      <x:c r="C34" s="73"/>
      <x:c r="D34" s="73"/>
      <x:c r="E34" s="73"/>
      <x:c r="F34" s="73"/>
      <x:c r="G34" s="73"/>
      <x:c r="H34" s="73"/>
      <x:c r="I34" s="73"/>
      <x:c r="J34" s="73"/>
      <x:c r="K34" s="73"/>
      <x:c r="L34" s="73"/>
    </x:row>
    <x:row r="35">
      <x:c r="A35" s="73"/>
      <x:c r="B35" s="73"/>
      <x:c r="C35" s="73"/>
      <x:c r="D35" s="73"/>
      <x:c r="E35" s="73"/>
      <x:c r="F35" s="73"/>
      <x:c r="G35" s="73"/>
      <x:c r="H35" s="73"/>
      <x:c r="I35" s="73"/>
      <x:c r="J35" s="73"/>
      <x:c r="K35" s="73"/>
      <x:c r="L35" s="73"/>
    </x:row>
    <x:row r="36">
      <x:c r="A36" s="73"/>
      <x:c r="B36" s="73"/>
      <x:c r="C36" s="73"/>
      <x:c r="D36" s="73"/>
      <x:c r="E36" s="73"/>
      <x:c r="F36" s="73"/>
      <x:c r="G36" s="73"/>
      <x:c r="H36" s="73"/>
      <x:c r="I36" s="73"/>
      <x:c r="J36" s="73"/>
      <x:c r="K36" s="73"/>
      <x:c r="L36" s="73"/>
    </x:row>
    <x:row r="37">
      <x:c r="A37" s="73"/>
      <x:c r="B37" s="73"/>
      <x:c r="C37" s="73"/>
      <x:c r="D37" s="73"/>
      <x:c r="E37" s="73"/>
      <x:c r="F37" s="73"/>
      <x:c r="G37" s="73"/>
      <x:c r="H37" s="73"/>
      <x:c r="I37" s="73"/>
      <x:c r="J37" s="73"/>
      <x:c r="K37" s="73"/>
      <x:c r="L37" s="73"/>
    </x:row>
    <x:row r="38">
      <x:c r="A38" s="73"/>
      <x:c r="B38" s="73"/>
      <x:c r="C38" s="73"/>
      <x:c r="D38" s="73"/>
      <x:c r="E38" s="73"/>
      <x:c r="F38" s="73"/>
      <x:c r="G38" s="73"/>
      <x:c r="H38" s="73"/>
      <x:c r="I38" s="73"/>
      <x:c r="J38" s="73"/>
      <x:c r="K38" s="73"/>
      <x:c r="L38" s="73"/>
    </x:row>
    <x:row r="39">
      <x:c r="A39" s="73"/>
      <x:c r="B39" s="73"/>
      <x:c r="C39" s="73"/>
      <x:c r="D39" s="73"/>
      <x:c r="E39" s="73"/>
      <x:c r="F39" s="73"/>
      <x:c r="G39" s="73"/>
      <x:c r="H39" s="73"/>
      <x:c r="I39" s="73"/>
      <x:c r="J39" s="73"/>
      <x:c r="K39" s="73"/>
      <x:c r="L39" s="73"/>
    </x:row>
    <x:row r="40">
      <x:c r="A40" s="73"/>
      <x:c r="B40" s="73"/>
      <x:c r="C40" s="73"/>
      <x:c r="D40" s="73"/>
      <x:c r="E40" s="73"/>
      <x:c r="F40" s="73"/>
      <x:c r="G40" s="73"/>
      <x:c r="H40" s="73"/>
      <x:c r="I40" s="73"/>
      <x:c r="J40" s="73"/>
      <x:c r="K40" s="73"/>
      <x:c r="L40" s="73"/>
    </x:row>
    <x:row r="41">
      <x:c r="A41" s="73"/>
      <x:c r="B41" s="73"/>
      <x:c r="C41" s="73"/>
      <x:c r="D41" s="73"/>
      <x:c r="E41" s="73"/>
      <x:c r="F41" s="73"/>
      <x:c r="G41" s="73"/>
      <x:c r="H41" s="73"/>
      <x:c r="I41" s="73"/>
      <x:c r="J41" s="73"/>
      <x:c r="K41" s="73"/>
      <x:c r="L41" s="73"/>
    </x:row>
    <x:row r="42">
      <x:c r="A42" s="73"/>
      <x:c r="B42" s="73"/>
      <x:c r="C42" s="73"/>
      <x:c r="D42" s="73"/>
      <x:c r="E42" s="73"/>
      <x:c r="F42" s="73"/>
      <x:c r="G42" s="73"/>
      <x:c r="H42" s="73"/>
      <x:c r="I42" s="73"/>
      <x:c r="J42" s="73"/>
      <x:c r="K42" s="73"/>
      <x:c r="L42" s="73"/>
    </x:row>
    <x:row r="43">
      <x:c r="A43" s="73"/>
      <x:c r="B43" s="73"/>
      <x:c r="C43" s="73"/>
      <x:c r="D43" s="73"/>
      <x:c r="E43" s="73"/>
      <x:c r="F43" s="73"/>
      <x:c r="G43" s="73"/>
      <x:c r="H43" s="73"/>
      <x:c r="I43" s="73"/>
      <x:c r="J43" s="73"/>
      <x:c r="K43" s="73"/>
      <x:c r="L43" s="73"/>
    </x:row>
    <x:row r="44">
      <x:c r="A44" s="73"/>
      <x:c r="B44" s="73"/>
      <x:c r="C44" s="73"/>
      <x:c r="D44" s="73"/>
      <x:c r="E44" s="73"/>
      <x:c r="F44" s="73"/>
      <x:c r="G44" s="73"/>
      <x:c r="H44" s="73"/>
      <x:c r="I44" s="73"/>
      <x:c r="J44" s="73"/>
      <x:c r="K44" s="73"/>
      <x:c r="L44" s="73"/>
    </x:row>
    <x:row r="45">
      <x:c r="A45" s="73"/>
      <x:c r="B45" s="73"/>
      <x:c r="C45" s="73"/>
      <x:c r="D45" s="73"/>
      <x:c r="E45" s="73"/>
      <x:c r="F45" s="73"/>
      <x:c r="G45" s="73"/>
      <x:c r="H45" s="73"/>
      <x:c r="I45" s="73"/>
      <x:c r="J45" s="73"/>
      <x:c r="K45" s="73"/>
      <x:c r="L45" s="73"/>
    </x:row>
    <x:row r="46">
      <x:c r="A46" s="73"/>
      <x:c r="B46" s="73"/>
      <x:c r="C46" s="73"/>
      <x:c r="D46" s="73"/>
      <x:c r="E46" s="73"/>
      <x:c r="F46" s="73"/>
      <x:c r="G46" s="73"/>
      <x:c r="H46" s="73"/>
      <x:c r="I46" s="73"/>
      <x:c r="J46" s="73"/>
      <x:c r="K46" s="73"/>
      <x:c r="L46" s="73"/>
    </x:row>
    <x:row r="47">
      <x:c r="A47" s="73"/>
      <x:c r="B47" s="73"/>
      <x:c r="C47" s="73"/>
      <x:c r="D47" s="73"/>
      <x:c r="E47" s="73"/>
      <x:c r="F47" s="73"/>
      <x:c r="G47" s="73"/>
      <x:c r="H47" s="73"/>
      <x:c r="I47" s="73"/>
      <x:c r="J47" s="73"/>
      <x:c r="K47" s="73"/>
      <x:c r="L47" s="73"/>
    </x:row>
    <x:row r="48">
      <x:c r="A48" s="73"/>
      <x:c r="B48" s="73"/>
      <x:c r="C48" s="73"/>
      <x:c r="D48" s="73"/>
      <x:c r="E48" s="73"/>
      <x:c r="F48" s="73"/>
      <x:c r="G48" s="73"/>
      <x:c r="H48" s="73"/>
      <x:c r="I48" s="73"/>
      <x:c r="J48" s="73"/>
      <x:c r="K48" s="73"/>
      <x:c r="L48" s="73"/>
    </x:row>
    <x:row r="49">
      <x:c r="A49" s="73"/>
      <x:c r="B49" s="73"/>
      <x:c r="C49" s="73"/>
      <x:c r="D49" s="73"/>
      <x:c r="E49" s="73"/>
      <x:c r="F49" s="73"/>
      <x:c r="G49" s="73"/>
      <x:c r="H49" s="73"/>
      <x:c r="I49" s="73"/>
      <x:c r="J49" s="73"/>
      <x:c r="K49" s="73"/>
      <x:c r="L49" s="73"/>
    </x:row>
    <x:row r="50">
      <x:c r="A50" s="73"/>
      <x:c r="B50" s="73"/>
      <x:c r="C50" s="73"/>
      <x:c r="D50" s="73"/>
      <x:c r="E50" s="73"/>
      <x:c r="F50" s="73"/>
      <x:c r="G50" s="73"/>
      <x:c r="H50" s="73"/>
      <x:c r="I50" s="73"/>
      <x:c r="J50" s="73"/>
      <x:c r="K50" s="73"/>
      <x:c r="L50" s="73"/>
    </x:row>
    <x:row r="51">
      <x:c r="A51" s="73"/>
      <x:c r="B51" s="73"/>
      <x:c r="C51" s="73"/>
      <x:c r="D51" s="73"/>
      <x:c r="E51" s="73"/>
      <x:c r="F51" s="73"/>
      <x:c r="G51" s="73"/>
      <x:c r="H51" s="73"/>
      <x:c r="I51" s="73"/>
      <x:c r="J51" s="73"/>
      <x:c r="K51" s="73"/>
      <x:c r="L51" s="73"/>
    </x:row>
    <x:row r="52">
      <x:c r="A52" s="73"/>
      <x:c r="B52" s="73"/>
      <x:c r="C52" s="73"/>
      <x:c r="D52" s="73"/>
      <x:c r="E52" s="73"/>
      <x:c r="F52" s="73"/>
      <x:c r="G52" s="73"/>
      <x:c r="H52" s="73"/>
      <x:c r="I52" s="73"/>
      <x:c r="J52" s="73"/>
      <x:c r="K52" s="73"/>
      <x:c r="L52" s="73"/>
    </x:row>
    <x:row r="53">
      <x:c r="A53" s="73"/>
      <x:c r="B53" s="73"/>
      <x:c r="C53" s="73"/>
      <x:c r="D53" s="73"/>
      <x:c r="E53" s="73"/>
      <x:c r="F53" s="73"/>
      <x:c r="G53" s="73"/>
      <x:c r="H53" s="73"/>
      <x:c r="I53" s="73"/>
      <x:c r="J53" s="73"/>
      <x:c r="K53" s="73"/>
      <x:c r="L53" s="73"/>
    </x:row>
    <x:row r="54">
      <x:c r="A54" s="73"/>
      <x:c r="B54" s="73"/>
      <x:c r="C54" s="73"/>
      <x:c r="D54" s="73"/>
      <x:c r="E54" s="73"/>
      <x:c r="F54" s="73"/>
      <x:c r="G54" s="73"/>
      <x:c r="H54" s="73"/>
      <x:c r="I54" s="73"/>
      <x:c r="J54" s="73"/>
      <x:c r="K54" s="73"/>
      <x:c r="L54" s="73"/>
    </x:row>
    <x:row r="55">
      <x:c r="A55" s="73"/>
      <x:c r="B55" s="73"/>
      <x:c r="C55" s="73"/>
      <x:c r="D55" s="73"/>
      <x:c r="E55" s="73"/>
      <x:c r="F55" s="73"/>
      <x:c r="G55" s="73"/>
      <x:c r="H55" s="73"/>
      <x:c r="I55" s="73"/>
      <x:c r="J55" s="73"/>
      <x:c r="K55" s="73"/>
      <x:c r="L55" s="73"/>
    </x:row>
    <x:row r="56">
      <x:c r="A56" s="73"/>
      <x:c r="B56" s="73"/>
      <x:c r="C56" s="73"/>
      <x:c r="D56" s="73"/>
      <x:c r="E56" s="73"/>
      <x:c r="F56" s="73"/>
      <x:c r="G56" s="73"/>
      <x:c r="H56" s="73"/>
      <x:c r="I56" s="73"/>
      <x:c r="J56" s="73"/>
      <x:c r="K56" s="73"/>
      <x:c r="L56" s="73"/>
    </x:row>
    <x:row r="57">
      <x:c r="A57" s="73"/>
      <x:c r="B57" s="73"/>
      <x:c r="C57" s="73"/>
      <x:c r="D57" s="73"/>
      <x:c r="E57" s="73"/>
      <x:c r="F57" s="73"/>
      <x:c r="G57" s="73"/>
      <x:c r="H57" s="73"/>
      <x:c r="I57" s="73"/>
      <x:c r="J57" s="73"/>
      <x:c r="K57" s="73"/>
      <x:c r="L57" s="73"/>
    </x:row>
    <x:row r="58">
      <x:c r="A58" s="73"/>
      <x:c r="B58" s="73"/>
      <x:c r="C58" s="73"/>
      <x:c r="D58" s="73"/>
      <x:c r="E58" s="73"/>
      <x:c r="F58" s="73"/>
      <x:c r="G58" s="73"/>
      <x:c r="H58" s="73"/>
      <x:c r="I58" s="73"/>
      <x:c r="J58" s="73"/>
      <x:c r="K58" s="73"/>
      <x:c r="L58" s="73"/>
    </x:row>
    <x:row r="59">
      <x:c r="A59" s="73"/>
      <x:c r="B59" s="73"/>
      <x:c r="C59" s="73"/>
      <x:c r="D59" s="73"/>
      <x:c r="E59" s="73"/>
      <x:c r="F59" s="73"/>
      <x:c r="G59" s="73"/>
      <x:c r="H59" s="73"/>
      <x:c r="I59" s="73"/>
      <x:c r="J59" s="73"/>
      <x:c r="K59" s="73"/>
      <x:c r="L59" s="73"/>
    </x:row>
    <x:row r="60">
      <x:c r="A60" s="73"/>
      <x:c r="B60" s="73"/>
      <x:c r="C60" s="73"/>
      <x:c r="D60" s="73"/>
      <x:c r="E60" s="73"/>
      <x:c r="F60" s="73"/>
      <x:c r="G60" s="73"/>
      <x:c r="H60" s="73"/>
      <x:c r="I60" s="73"/>
      <x:c r="J60" s="73"/>
      <x:c r="K60" s="73"/>
      <x:c r="L60" s="73"/>
    </x:row>
    <x:row r="61">
      <x:c r="A61" s="73"/>
      <x:c r="B61" s="73"/>
      <x:c r="C61" s="73"/>
      <x:c r="D61" s="73"/>
      <x:c r="E61" s="73"/>
      <x:c r="F61" s="73"/>
      <x:c r="G61" s="73"/>
      <x:c r="H61" s="73"/>
      <x:c r="I61" s="73"/>
      <x:c r="J61" s="73"/>
      <x:c r="K61" s="73"/>
      <x:c r="L61" s="73"/>
    </x:row>
    <x:row r="62">
      <x:c r="A62" s="73"/>
      <x:c r="B62" s="73"/>
      <x:c r="C62" s="73"/>
      <x:c r="D62" s="73"/>
      <x:c r="E62" s="73"/>
      <x:c r="F62" s="73"/>
      <x:c r="G62" s="73"/>
      <x:c r="H62" s="73"/>
      <x:c r="I62" s="73"/>
      <x:c r="J62" s="73"/>
      <x:c r="K62" s="73"/>
      <x:c r="L62" s="73"/>
    </x:row>
    <x:row r="63">
      <x:c r="A63" s="73"/>
      <x:c r="B63" s="73"/>
      <x:c r="C63" s="73"/>
      <x:c r="D63" s="73"/>
      <x:c r="E63" s="73"/>
      <x:c r="F63" s="73"/>
      <x:c r="G63" s="73"/>
      <x:c r="H63" s="73"/>
      <x:c r="I63" s="73"/>
      <x:c r="J63" s="73"/>
      <x:c r="K63" s="73"/>
      <x:c r="L63" s="73"/>
    </x:row>
    <x:row r="64">
      <x:c r="A64" s="73"/>
      <x:c r="B64" s="73"/>
      <x:c r="C64" s="73"/>
      <x:c r="D64" s="73"/>
      <x:c r="E64" s="73"/>
      <x:c r="F64" s="73"/>
      <x:c r="G64" s="73"/>
      <x:c r="H64" s="73"/>
      <x:c r="I64" s="73"/>
      <x:c r="J64" s="73"/>
      <x:c r="K64" s="73"/>
      <x:c r="L64" s="73"/>
    </x:row>
    <x:row r="65">
      <x:c r="A65" s="73"/>
      <x:c r="B65" s="73"/>
      <x:c r="C65" s="73"/>
      <x:c r="D65" s="73"/>
      <x:c r="E65" s="73"/>
      <x:c r="F65" s="73"/>
      <x:c r="G65" s="73"/>
      <x:c r="H65" s="73"/>
      <x:c r="I65" s="73"/>
      <x:c r="J65" s="73"/>
      <x:c r="K65" s="73"/>
      <x:c r="L65" s="73"/>
    </x:row>
    <x:row r="66">
      <x:c r="A66" s="73"/>
      <x:c r="B66" s="73"/>
      <x:c r="C66" s="73"/>
      <x:c r="D66" s="73"/>
      <x:c r="E66" s="73"/>
      <x:c r="F66" s="73"/>
      <x:c r="G66" s="73"/>
      <x:c r="H66" s="73"/>
      <x:c r="I66" s="73"/>
      <x:c r="J66" s="73"/>
      <x:c r="K66" s="73"/>
      <x:c r="L66" s="73"/>
    </x:row>
    <x:row r="67">
      <x:c r="A67" s="73"/>
      <x:c r="B67" s="73"/>
      <x:c r="C67" s="73"/>
      <x:c r="D67" s="73"/>
      <x:c r="E67" s="73"/>
      <x:c r="F67" s="73"/>
      <x:c r="G67" s="73"/>
      <x:c r="H67" s="73"/>
      <x:c r="I67" s="73"/>
      <x:c r="J67" s="73"/>
      <x:c r="K67" s="73"/>
      <x:c r="L67" s="73"/>
    </x:row>
    <x:row r="68">
      <x:c r="A68" s="73"/>
      <x:c r="B68" s="73"/>
      <x:c r="C68" s="73"/>
      <x:c r="D68" s="73"/>
      <x:c r="E68" s="73"/>
      <x:c r="F68" s="73"/>
      <x:c r="G68" s="73"/>
      <x:c r="H68" s="73"/>
      <x:c r="I68" s="73"/>
      <x:c r="J68" s="73"/>
      <x:c r="K68" s="73"/>
      <x:c r="L68" s="73"/>
    </x:row>
    <x:row r="69">
      <x:c r="A69" s="73"/>
      <x:c r="B69" s="73"/>
      <x:c r="C69" s="73"/>
      <x:c r="D69" s="73"/>
      <x:c r="E69" s="73"/>
      <x:c r="F69" s="73"/>
      <x:c r="G69" s="73"/>
      <x:c r="H69" s="73"/>
      <x:c r="I69" s="73"/>
      <x:c r="J69" s="73"/>
      <x:c r="K69" s="73"/>
      <x:c r="L69" s="73"/>
    </x:row>
    <x:row r="70">
      <x:c r="A70" s="73"/>
      <x:c r="B70" s="73"/>
      <x:c r="C70" s="73"/>
      <x:c r="D70" s="73"/>
      <x:c r="E70" s="73"/>
      <x:c r="F70" s="73"/>
      <x:c r="G70" s="73"/>
      <x:c r="H70" s="73"/>
      <x:c r="I70" s="73"/>
      <x:c r="J70" s="73"/>
      <x:c r="K70" s="73"/>
      <x:c r="L70" s="73"/>
    </x:row>
    <x:row r="71">
      <x:c r="A71" s="73"/>
      <x:c r="B71" s="73"/>
      <x:c r="C71" s="73"/>
      <x:c r="D71" s="73"/>
      <x:c r="E71" s="73"/>
      <x:c r="F71" s="73"/>
      <x:c r="G71" s="73"/>
      <x:c r="H71" s="73"/>
      <x:c r="I71" s="73"/>
      <x:c r="J71" s="73"/>
      <x:c r="K71" s="73"/>
      <x:c r="L71" s="73"/>
    </x:row>
    <x:row r="72">
      <x:c r="A72" s="73"/>
      <x:c r="B72" s="73"/>
      <x:c r="C72" s="73"/>
      <x:c r="D72" s="73"/>
      <x:c r="E72" s="73"/>
      <x:c r="F72" s="73"/>
      <x:c r="G72" s="73"/>
      <x:c r="H72" s="73"/>
      <x:c r="I72" s="73"/>
      <x:c r="J72" s="73"/>
      <x:c r="K72" s="73"/>
      <x:c r="L72" s="73"/>
    </x:row>
    <x:row r="73">
      <x:c r="A73" s="73"/>
      <x:c r="B73" s="73"/>
      <x:c r="C73" s="73"/>
      <x:c r="D73" s="73"/>
      <x:c r="E73" s="73"/>
      <x:c r="F73" s="73"/>
      <x:c r="G73" s="73"/>
      <x:c r="H73" s="73"/>
      <x:c r="I73" s="73"/>
      <x:c r="J73" s="73"/>
      <x:c r="K73" s="73"/>
      <x:c r="L73" s="73"/>
    </x:row>
    <x:row r="74">
      <x:c r="A74" s="73"/>
      <x:c r="B74" s="73"/>
      <x:c r="C74" s="73"/>
      <x:c r="D74" s="73"/>
      <x:c r="E74" s="73"/>
      <x:c r="F74" s="73"/>
      <x:c r="G74" s="73"/>
      <x:c r="H74" s="73"/>
      <x:c r="I74" s="73"/>
      <x:c r="J74" s="73"/>
      <x:c r="K74" s="73"/>
      <x:c r="L74" s="73"/>
    </x:row>
    <x:row r="75">
      <x:c r="A75" s="73"/>
      <x:c r="B75" s="73"/>
      <x:c r="C75" s="73"/>
      <x:c r="D75" s="73"/>
      <x:c r="E75" s="73"/>
      <x:c r="F75" s="73"/>
      <x:c r="G75" s="73"/>
      <x:c r="H75" s="73"/>
      <x:c r="I75" s="73"/>
      <x:c r="J75" s="73"/>
      <x:c r="K75" s="73"/>
      <x:c r="L75" s="73"/>
    </x:row>
    <x:row r="76">
      <x:c r="A76" s="73"/>
      <x:c r="B76" s="73"/>
      <x:c r="C76" s="73"/>
      <x:c r="D76" s="73"/>
      <x:c r="E76" s="73"/>
      <x:c r="F76" s="73"/>
      <x:c r="G76" s="73"/>
      <x:c r="H76" s="73"/>
      <x:c r="I76" s="73"/>
      <x:c r="J76" s="73"/>
      <x:c r="K76" s="73"/>
      <x:c r="L76" s="73"/>
    </x:row>
    <x:row r="77">
      <x:c r="A77" s="73"/>
      <x:c r="B77" s="73"/>
      <x:c r="C77" s="73"/>
      <x:c r="D77" s="73"/>
      <x:c r="E77" s="73"/>
      <x:c r="F77" s="73"/>
      <x:c r="G77" s="73"/>
      <x:c r="H77" s="73"/>
      <x:c r="I77" s="73"/>
      <x:c r="J77" s="73"/>
      <x:c r="K77" s="73"/>
      <x:c r="L77" s="73"/>
    </x:row>
    <x:row r="78">
      <x:c r="A78" s="73"/>
      <x:c r="B78" s="73"/>
      <x:c r="C78" s="73"/>
      <x:c r="D78" s="73"/>
      <x:c r="E78" s="73"/>
      <x:c r="F78" s="73"/>
      <x:c r="G78" s="73"/>
      <x:c r="H78" s="73"/>
      <x:c r="I78" s="73"/>
      <x:c r="J78" s="73"/>
      <x:c r="K78" s="73"/>
      <x:c r="L78" s="73"/>
    </x:row>
    <x:row r="79">
      <x:c r="A79" s="73"/>
      <x:c r="B79" s="73"/>
      <x:c r="C79" s="73"/>
      <x:c r="D79" s="73"/>
      <x:c r="E79" s="73"/>
      <x:c r="F79" s="73"/>
      <x:c r="G79" s="73"/>
      <x:c r="H79" s="73"/>
      <x:c r="I79" s="73"/>
      <x:c r="J79" s="73"/>
      <x:c r="K79" s="73"/>
      <x:c r="L79" s="73"/>
    </x:row>
    <x:row r="80">
      <x:c r="A80" s="73"/>
      <x:c r="B80" s="73"/>
      <x:c r="C80" s="73"/>
      <x:c r="D80" s="73"/>
      <x:c r="E80" s="73"/>
      <x:c r="F80" s="73"/>
      <x:c r="G80" s="73"/>
      <x:c r="H80" s="73"/>
      <x:c r="I80" s="73"/>
      <x:c r="J80" s="73"/>
      <x:c r="K80" s="73"/>
      <x:c r="L80" s="73"/>
    </x:row>
    <x:row r="81">
      <x:c r="A81" s="73"/>
      <x:c r="B81" s="73"/>
      <x:c r="C81" s="73"/>
      <x:c r="D81" s="73"/>
      <x:c r="E81" s="73"/>
      <x:c r="F81" s="73"/>
      <x:c r="G81" s="73"/>
      <x:c r="H81" s="73"/>
      <x:c r="I81" s="73"/>
      <x:c r="J81" s="73"/>
      <x:c r="K81" s="73"/>
      <x:c r="L81" s="73"/>
    </x:row>
    <x:row r="82">
      <x:c r="A82" s="73"/>
      <x:c r="B82" s="73"/>
      <x:c r="C82" s="73"/>
      <x:c r="D82" s="73"/>
      <x:c r="E82" s="73"/>
      <x:c r="F82" s="73"/>
      <x:c r="G82" s="73"/>
      <x:c r="H82" s="73"/>
      <x:c r="I82" s="73"/>
      <x:c r="J82" s="73"/>
      <x:c r="K82" s="73"/>
      <x:c r="L82" s="73"/>
    </x:row>
    <x:row r="83">
      <x:c r="A83" s="73"/>
      <x:c r="B83" s="73"/>
      <x:c r="C83" s="73"/>
      <x:c r="D83" s="73"/>
      <x:c r="E83" s="73"/>
      <x:c r="F83" s="73"/>
      <x:c r="G83" s="73"/>
      <x:c r="H83" s="73"/>
      <x:c r="I83" s="73"/>
      <x:c r="J83" s="73"/>
      <x:c r="K83" s="73"/>
      <x:c r="L83" s="73"/>
    </x:row>
    <x:row r="84">
      <x:c r="A84" s="73"/>
      <x:c r="B84" s="73"/>
      <x:c r="C84" s="73"/>
      <x:c r="D84" s="73"/>
      <x:c r="E84" s="73"/>
      <x:c r="F84" s="73"/>
      <x:c r="G84" s="73"/>
      <x:c r="H84" s="73"/>
      <x:c r="I84" s="73"/>
      <x:c r="J84" s="73"/>
      <x:c r="K84" s="73"/>
      <x:c r="L84" s="73"/>
    </x:row>
    <x:row r="85">
      <x:c r="A85" s="73"/>
      <x:c r="B85" s="73"/>
      <x:c r="C85" s="73"/>
      <x:c r="D85" s="73"/>
      <x:c r="E85" s="73"/>
      <x:c r="F85" s="73"/>
      <x:c r="G85" s="73"/>
      <x:c r="H85" s="73"/>
      <x:c r="I85" s="73"/>
      <x:c r="J85" s="73"/>
      <x:c r="K85" s="73"/>
      <x:c r="L85" s="73"/>
    </x:row>
    <x:row r="86">
      <x:c r="A86" s="73"/>
      <x:c r="B86" s="73"/>
      <x:c r="C86" s="73"/>
      <x:c r="D86" s="73"/>
      <x:c r="E86" s="73"/>
      <x:c r="F86" s="73"/>
      <x:c r="G86" s="73"/>
      <x:c r="H86" s="73"/>
      <x:c r="I86" s="73"/>
      <x:c r="J86" s="73"/>
      <x:c r="K86" s="73"/>
      <x:c r="L86" s="73"/>
    </x:row>
    <x:row r="87">
      <x:c r="A87" s="73"/>
      <x:c r="B87" s="73"/>
      <x:c r="C87" s="73"/>
      <x:c r="D87" s="73"/>
      <x:c r="E87" s="73"/>
      <x:c r="F87" s="73"/>
      <x:c r="G87" s="73"/>
      <x:c r="H87" s="73"/>
      <x:c r="I87" s="73"/>
      <x:c r="J87" s="73"/>
      <x:c r="K87" s="73"/>
      <x:c r="L87" s="73"/>
    </x:row>
    <x:row r="88">
      <x:c r="A88" s="73"/>
      <x:c r="B88" s="73"/>
      <x:c r="C88" s="73"/>
      <x:c r="D88" s="73"/>
      <x:c r="E88" s="73"/>
      <x:c r="F88" s="73"/>
      <x:c r="G88" s="73"/>
      <x:c r="H88" s="73"/>
      <x:c r="I88" s="73"/>
      <x:c r="J88" s="73"/>
      <x:c r="K88" s="73"/>
      <x:c r="L88" s="73"/>
    </x:row>
    <x:row r="89">
      <x:c r="A89" s="73"/>
      <x:c r="B89" s="73"/>
      <x:c r="C89" s="73"/>
      <x:c r="D89" s="73"/>
      <x:c r="E89" s="73"/>
      <x:c r="F89" s="73"/>
      <x:c r="G89" s="73"/>
      <x:c r="H89" s="73"/>
      <x:c r="I89" s="73"/>
      <x:c r="J89" s="73"/>
      <x:c r="K89" s="73"/>
      <x:c r="L89" s="73"/>
    </x:row>
    <x:row r="90">
      <x:c r="A90" s="73"/>
      <x:c r="B90" s="73"/>
      <x:c r="C90" s="73"/>
      <x:c r="D90" s="73"/>
      <x:c r="E90" s="73"/>
      <x:c r="F90" s="73"/>
      <x:c r="G90" s="73"/>
      <x:c r="H90" s="73"/>
      <x:c r="I90" s="73"/>
      <x:c r="J90" s="73"/>
      <x:c r="K90" s="73"/>
      <x:c r="L90" s="73"/>
    </x:row>
    <x:row r="91">
      <x:c r="A91" s="73"/>
      <x:c r="B91" s="73"/>
      <x:c r="C91" s="73"/>
      <x:c r="D91" s="73"/>
      <x:c r="E91" s="73"/>
      <x:c r="F91" s="73"/>
      <x:c r="G91" s="73"/>
      <x:c r="H91" s="73"/>
      <x:c r="I91" s="73"/>
      <x:c r="J91" s="73"/>
      <x:c r="K91" s="73"/>
      <x:c r="L91" s="73"/>
    </x:row>
    <x:row r="92">
      <x:c r="A92" s="73"/>
      <x:c r="B92" s="73"/>
      <x:c r="C92" s="73"/>
      <x:c r="D92" s="73"/>
      <x:c r="E92" s="73"/>
      <x:c r="F92" s="73"/>
      <x:c r="G92" s="73"/>
      <x:c r="H92" s="73"/>
      <x:c r="I92" s="73"/>
      <x:c r="J92" s="73"/>
      <x:c r="K92" s="73"/>
      <x:c r="L92" s="73"/>
    </x:row>
    <x:row r="93">
      <x:c r="A93" s="73"/>
      <x:c r="B93" s="73"/>
      <x:c r="C93" s="73"/>
      <x:c r="D93" s="73"/>
      <x:c r="E93" s="73"/>
      <x:c r="F93" s="73"/>
      <x:c r="G93" s="73"/>
      <x:c r="H93" s="73"/>
      <x:c r="I93" s="73"/>
      <x:c r="J93" s="73"/>
      <x:c r="K93" s="73"/>
      <x:c r="L93" s="73"/>
    </x:row>
    <x:row r="94">
      <x:c r="A94" s="73"/>
      <x:c r="B94" s="73"/>
      <x:c r="C94" s="73"/>
      <x:c r="D94" s="73"/>
      <x:c r="E94" s="73"/>
      <x:c r="F94" s="73"/>
      <x:c r="G94" s="73"/>
      <x:c r="H94" s="73"/>
      <x:c r="I94" s="73"/>
      <x:c r="J94" s="73"/>
      <x:c r="K94" s="73"/>
      <x:c r="L94" s="73"/>
    </x:row>
    <x:row r="95">
      <x:c r="A95" s="73"/>
      <x:c r="B95" s="73"/>
      <x:c r="C95" s="73"/>
      <x:c r="D95" s="73"/>
      <x:c r="E95" s="73"/>
      <x:c r="F95" s="73"/>
      <x:c r="G95" s="73"/>
      <x:c r="H95" s="73"/>
      <x:c r="I95" s="73"/>
      <x:c r="J95" s="73"/>
      <x:c r="K95" s="73"/>
      <x:c r="L95" s="73"/>
    </x:row>
    <x:row r="96">
      <x:c r="A96" s="73"/>
      <x:c r="B96" s="73"/>
      <x:c r="C96" s="73"/>
      <x:c r="D96" s="73"/>
      <x:c r="E96" s="73"/>
      <x:c r="F96" s="73"/>
      <x:c r="G96" s="73"/>
      <x:c r="H96" s="73"/>
      <x:c r="I96" s="73"/>
      <x:c r="J96" s="73"/>
      <x:c r="K96" s="73"/>
      <x:c r="L96" s="73"/>
    </x:row>
    <x:row r="97">
      <x:c r="A97" s="73"/>
      <x:c r="B97" s="73"/>
      <x:c r="C97" s="73"/>
      <x:c r="D97" s="73"/>
      <x:c r="E97" s="73"/>
      <x:c r="F97" s="73"/>
      <x:c r="G97" s="73"/>
      <x:c r="H97" s="73"/>
      <x:c r="I97" s="73"/>
      <x:c r="J97" s="73"/>
      <x:c r="K97" s="73"/>
      <x:c r="L97" s="73"/>
    </x:row>
    <x:row r="98">
      <x:c r="A98" s="73"/>
      <x:c r="B98" s="73"/>
      <x:c r="C98" s="73"/>
      <x:c r="D98" s="73"/>
      <x:c r="E98" s="73"/>
      <x:c r="F98" s="73"/>
      <x:c r="G98" s="73"/>
      <x:c r="H98" s="73"/>
      <x:c r="I98" s="73"/>
      <x:c r="J98" s="73"/>
      <x:c r="K98" s="73"/>
      <x:c r="L98" s="73"/>
    </x:row>
    <x:row r="99">
      <x:c r="A99" s="73"/>
      <x:c r="B99" s="73"/>
      <x:c r="C99" s="73"/>
      <x:c r="D99" s="73"/>
      <x:c r="E99" s="73"/>
      <x:c r="F99" s="73"/>
      <x:c r="G99" s="73"/>
      <x:c r="H99" s="73"/>
      <x:c r="I99" s="73"/>
      <x:c r="J99" s="73"/>
      <x:c r="K99" s="73"/>
      <x:c r="L99" s="73"/>
    </x:row>
    <x:row r="100">
      <x:c r="A100" s="73"/>
      <x:c r="B100" s="73"/>
      <x:c r="C100" s="73"/>
      <x:c r="D100" s="73"/>
      <x:c r="E100" s="73"/>
      <x:c r="F100" s="73"/>
      <x:c r="G100" s="73"/>
      <x:c r="H100" s="73"/>
      <x:c r="I100" s="73"/>
      <x:c r="J100" s="73"/>
      <x:c r="K100" s="73"/>
      <x:c r="L100" s="73"/>
    </x:row>
    <x:row r="101">
      <x:c r="A101" s="73"/>
      <x:c r="B101" s="73"/>
      <x:c r="C101" s="73"/>
      <x:c r="D101" s="73"/>
      <x:c r="E101" s="73"/>
      <x:c r="F101" s="73"/>
      <x:c r="G101" s="73"/>
      <x:c r="H101" s="73"/>
      <x:c r="I101" s="73"/>
      <x:c r="J101" s="73"/>
      <x:c r="K101" s="73"/>
      <x:c r="L101" s="73"/>
    </x:row>
    <x:row r="102">
      <x:c r="A102" s="73"/>
      <x:c r="B102" s="73"/>
      <x:c r="C102" s="73"/>
      <x:c r="D102" s="73"/>
      <x:c r="E102" s="73"/>
      <x:c r="F102" s="73"/>
      <x:c r="G102" s="73"/>
      <x:c r="H102" s="73"/>
      <x:c r="I102" s="73"/>
      <x:c r="J102" s="73"/>
      <x:c r="K102" s="73"/>
      <x:c r="L102" s="73"/>
    </x:row>
    <x:row r="103">
      <x:c r="A103" s="73"/>
      <x:c r="B103" s="73"/>
      <x:c r="C103" s="73"/>
      <x:c r="D103" s="73"/>
      <x:c r="E103" s="73"/>
      <x:c r="F103" s="73"/>
      <x:c r="G103" s="73"/>
      <x:c r="H103" s="73"/>
      <x:c r="I103" s="73"/>
      <x:c r="J103" s="73"/>
      <x:c r="K103" s="73"/>
      <x:c r="L103" s="73"/>
    </x:row>
    <x:row r="104">
      <x:c r="A104" s="73"/>
      <x:c r="B104" s="73"/>
      <x:c r="C104" s="73"/>
      <x:c r="D104" s="73"/>
      <x:c r="E104" s="73"/>
      <x:c r="F104" s="73"/>
      <x:c r="G104" s="73"/>
      <x:c r="H104" s="73"/>
      <x:c r="I104" s="73"/>
      <x:c r="J104" s="73"/>
      <x:c r="K104" s="73"/>
      <x:c r="L104" s="73"/>
    </x:row>
    <x:row r="105">
      <x:c r="A105" s="73"/>
      <x:c r="B105" s="73"/>
      <x:c r="C105" s="73"/>
      <x:c r="D105" s="73"/>
      <x:c r="E105" s="73"/>
      <x:c r="F105" s="73"/>
      <x:c r="G105" s="73"/>
      <x:c r="H105" s="73"/>
      <x:c r="I105" s="73"/>
      <x:c r="J105" s="73"/>
      <x:c r="K105" s="73"/>
      <x:c r="L105" s="73"/>
    </x:row>
    <x:row r="106">
      <x:c r="A106" s="73"/>
      <x:c r="B106" s="73"/>
      <x:c r="C106" s="73"/>
      <x:c r="D106" s="73"/>
      <x:c r="E106" s="73"/>
      <x:c r="F106" s="73"/>
      <x:c r="G106" s="73"/>
      <x:c r="H106" s="73"/>
      <x:c r="I106" s="73"/>
      <x:c r="J106" s="73"/>
      <x:c r="K106" s="73"/>
      <x:c r="L106" s="73"/>
    </x:row>
    <x:row r="107">
      <x:c r="A107" s="73"/>
      <x:c r="B107" s="73"/>
      <x:c r="C107" s="73"/>
      <x:c r="D107" s="73"/>
      <x:c r="E107" s="73"/>
      <x:c r="F107" s="73"/>
      <x:c r="G107" s="73"/>
      <x:c r="H107" s="73"/>
      <x:c r="I107" s="73"/>
      <x:c r="J107" s="73"/>
      <x:c r="K107" s="73"/>
      <x:c r="L107" s="73"/>
    </x:row>
    <x:row r="108">
      <x:c r="A108" s="73"/>
      <x:c r="B108" s="73"/>
      <x:c r="C108" s="73"/>
      <x:c r="D108" s="73"/>
      <x:c r="E108" s="73"/>
      <x:c r="F108" s="73"/>
      <x:c r="G108" s="73"/>
      <x:c r="H108" s="73"/>
      <x:c r="I108" s="73"/>
      <x:c r="J108" s="73"/>
      <x:c r="K108" s="73"/>
      <x:c r="L108" s="73"/>
    </x:row>
    <x:row r="109">
      <x:c r="A109" s="73"/>
      <x:c r="B109" s="73"/>
      <x:c r="C109" s="73"/>
      <x:c r="D109" s="73"/>
      <x:c r="E109" s="73"/>
      <x:c r="F109" s="73"/>
      <x:c r="G109" s="73"/>
      <x:c r="H109" s="73"/>
      <x:c r="I109" s="73"/>
      <x:c r="J109" s="73"/>
      <x:c r="K109" s="73"/>
      <x:c r="L109" s="73"/>
    </x:row>
    <x:row r="110">
      <x:c r="A110" s="73"/>
      <x:c r="B110" s="73"/>
      <x:c r="C110" s="73"/>
      <x:c r="D110" s="73"/>
      <x:c r="E110" s="73"/>
      <x:c r="F110" s="73"/>
      <x:c r="G110" s="73"/>
      <x:c r="H110" s="73"/>
      <x:c r="I110" s="73"/>
      <x:c r="J110" s="73"/>
      <x:c r="K110" s="73"/>
      <x:c r="L110" s="73"/>
    </x:row>
    <x:row r="111">
      <x:c r="A111" s="73"/>
      <x:c r="B111" s="73"/>
      <x:c r="C111" s="73"/>
      <x:c r="D111" s="73"/>
      <x:c r="E111" s="73"/>
      <x:c r="F111" s="73"/>
      <x:c r="G111" s="73"/>
      <x:c r="H111" s="73"/>
      <x:c r="I111" s="73"/>
      <x:c r="J111" s="73"/>
      <x:c r="K111" s="73"/>
      <x:c r="L111" s="73"/>
    </x:row>
    <x:row r="112">
      <x:c r="A112" s="73"/>
      <x:c r="B112" s="73"/>
      <x:c r="C112" s="73"/>
      <x:c r="D112" s="73"/>
      <x:c r="E112" s="73"/>
      <x:c r="F112" s="73"/>
      <x:c r="G112" s="73"/>
      <x:c r="H112" s="73"/>
      <x:c r="I112" s="73"/>
      <x:c r="J112" s="73"/>
      <x:c r="K112" s="73"/>
      <x:c r="L112" s="73"/>
    </x:row>
    <x:row r="113">
      <x:c r="A113" s="73"/>
      <x:c r="B113" s="73"/>
      <x:c r="C113" s="73"/>
      <x:c r="D113" s="73"/>
      <x:c r="E113" s="73"/>
      <x:c r="F113" s="73"/>
      <x:c r="G113" s="73"/>
      <x:c r="H113" s="73"/>
      <x:c r="I113" s="73"/>
      <x:c r="J113" s="73"/>
      <x:c r="K113" s="73"/>
      <x:c r="L113" s="73"/>
    </x:row>
    <x:row r="114">
      <x:c r="A114" s="73"/>
      <x:c r="B114" s="73"/>
      <x:c r="C114" s="73"/>
      <x:c r="D114" s="73"/>
      <x:c r="E114" s="73"/>
      <x:c r="F114" s="73"/>
      <x:c r="G114" s="73"/>
      <x:c r="H114" s="73"/>
      <x:c r="I114" s="73"/>
      <x:c r="J114" s="73"/>
      <x:c r="K114" s="73"/>
      <x:c r="L114" s="73"/>
    </x:row>
    <x:row r="115">
      <x:c r="A115" s="73"/>
      <x:c r="B115" s="73"/>
      <x:c r="C115" s="73"/>
      <x:c r="D115" s="73"/>
      <x:c r="E115" s="73"/>
      <x:c r="F115" s="73"/>
      <x:c r="G115" s="73"/>
      <x:c r="H115" s="73"/>
      <x:c r="I115" s="73"/>
      <x:c r="J115" s="73"/>
      <x:c r="K115" s="73"/>
      <x:c r="L115" s="73"/>
    </x:row>
    <x:row r="116">
      <x:c r="A116" s="73"/>
      <x:c r="B116" s="73"/>
      <x:c r="C116" s="73"/>
      <x:c r="D116" s="73"/>
      <x:c r="E116" s="73"/>
      <x:c r="F116" s="73"/>
      <x:c r="G116" s="73"/>
      <x:c r="H116" s="73"/>
      <x:c r="I116" s="73"/>
      <x:c r="J116" s="73"/>
      <x:c r="K116" s="73"/>
      <x:c r="L116" s="73"/>
    </x:row>
    <x:row r="117">
      <x:c r="A117" s="73"/>
      <x:c r="B117" s="73"/>
      <x:c r="C117" s="73"/>
      <x:c r="D117" s="73"/>
      <x:c r="E117" s="73"/>
      <x:c r="F117" s="73"/>
      <x:c r="G117" s="73"/>
      <x:c r="H117" s="73"/>
      <x:c r="I117" s="73"/>
      <x:c r="J117" s="73"/>
      <x:c r="K117" s="73"/>
      <x:c r="L117" s="73"/>
    </x:row>
    <x:row r="118">
      <x:c r="A118" s="73"/>
      <x:c r="B118" s="73"/>
      <x:c r="C118" s="73"/>
      <x:c r="D118" s="73"/>
      <x:c r="E118" s="73"/>
      <x:c r="F118" s="73"/>
      <x:c r="G118" s="73"/>
      <x:c r="H118" s="73"/>
      <x:c r="I118" s="73"/>
      <x:c r="J118" s="73"/>
      <x:c r="K118" s="73"/>
      <x:c r="L118" s="73"/>
    </x:row>
    <x:row r="119">
      <x:c r="A119" s="73"/>
      <x:c r="B119" s="73"/>
      <x:c r="C119" s="73"/>
      <x:c r="D119" s="73"/>
      <x:c r="E119" s="73"/>
      <x:c r="F119" s="73"/>
      <x:c r="G119" s="73"/>
      <x:c r="H119" s="73"/>
      <x:c r="I119" s="73"/>
      <x:c r="J119" s="73"/>
      <x:c r="K119" s="73"/>
      <x:c r="L119" s="73"/>
    </x:row>
    <x:row r="120">
      <x:c r="A120" s="73"/>
      <x:c r="B120" s="73"/>
      <x:c r="C120" s="73"/>
      <x:c r="D120" s="73"/>
      <x:c r="E120" s="73"/>
      <x:c r="F120" s="73"/>
      <x:c r="G120" s="73"/>
      <x:c r="H120" s="73"/>
      <x:c r="I120" s="73"/>
      <x:c r="J120" s="73"/>
      <x:c r="K120" s="73"/>
      <x:c r="L120" s="73"/>
    </x:row>
  </x:sheetData>
  <x:mergeCells>
    <x:mergeCell ref="A1:E1"/>
  </x:mergeCells>
  <x:pageMargins left="0.7" right="0.7" top="0.75" bottom="0.75" header="0.3" footer="0.3"/>
</x:worksheet>
</file>

<file path=xl/worksheets/sheet14.xml><?xml version="1.0" encoding="utf-8"?>
<x:worksheet xmlns:x="http://schemas.openxmlformats.org/spreadsheetml/2006/main">
  <x:sheetFormatPr defaultRowHeight="15"/>
  <x:sheetData>
    <x:row r="1">
      <x:c r="A1" t="str">
        <x:v>Yes/No/Unsure</x:v>
      </x:c>
      <x:c r="B1" t="str">
        <x:v>Status</x:v>
      </x:c>
      <x:c r="C1" t="str">
        <x:v>Risk Level</x:v>
      </x:c>
      <x:c r="D1" t="str">
        <x:v>Data Identifiability</x:v>
      </x:c>
      <x:c r="E1" t="str">
        <x:v>Method</x:v>
      </x:c>
    </x:row>
    <x:row r="2">
      <x:c r="A2" t="str">
        <x:v>Yes</x:v>
      </x:c>
      <x:c r="B2" t="str">
        <x:v>Not Started</x:v>
      </x:c>
      <x:c r="C2" t="str">
        <x:v>Low</x:v>
      </x:c>
      <x:c r="D2" t="str">
        <x:v>Anonymous</x:v>
      </x:c>
      <x:c r="E2" t="str">
        <x:v>Survey</x:v>
      </x:c>
    </x:row>
    <x:row r="3">
      <x:c r="A3" t="str">
        <x:v>No</x:v>
      </x:c>
      <x:c r="B3" t="str">
        <x:v>In Progress</x:v>
      </x:c>
      <x:c r="C3" t="str">
        <x:v>Moderate</x:v>
      </x:c>
      <x:c r="D3" t="str">
        <x:v>De-identified</x:v>
      </x:c>
      <x:c r="E3" t="str">
        <x:v>Interview</x:v>
      </x:c>
    </x:row>
    <x:row r="4">
      <x:c r="A4" t="str">
        <x:v>Unsure</x:v>
      </x:c>
      <x:c r="B4" t="str">
        <x:v>Ready</x:v>
      </x:c>
      <x:c r="C4" t="str">
        <x:v>High</x:v>
      </x:c>
      <x:c r="D4" t="str">
        <x:v>Coded / linked</x:v>
      </x:c>
      <x:c r="E4" t="str">
        <x:v>Focus Group</x:v>
      </x:c>
    </x:row>
    <x:row r="5">
      <x:c r="A5" t="str">
        <x:v>N/A</x:v>
      </x:c>
      <x:c r="B5" t="str">
        <x:v>Needs Review</x:v>
      </x:c>
      <x:c r="C5" t="str">
        <x:v>Unknown</x:v>
      </x:c>
      <x:c r="D5" t="str">
        <x:v>Directly identifiable</x:v>
      </x:c>
      <x:c r="E5" t="str">
        <x:v>Observation</x:v>
      </x:c>
    </x:row>
    <x:row r="6">
      <x:c r="B6" t="str">
        <x:v>Not Applicable</x:v>
      </x:c>
      <x:c r="C6" t="str">
        <x:v>N/A</x:v>
      </x:c>
      <x:c r="D6" t="str">
        <x:v>Not applicable</x:v>
      </x:c>
      <x:c r="E6" t="str">
        <x:v>Existing Data</x:v>
      </x:c>
    </x:row>
  </x:sheetData>
  <x:pageMargins left="0.7" right="0.7" top="0.75" bottom="0.75" header="0.3" footer="0.3"/>
</x:worksheet>
</file>