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77eef1f30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8cbda9c60fb4d54"/>
    <x:sheet xmlns:r="http://schemas.openxmlformats.org/officeDocument/2006/relationships" name="Recommendations" sheetId="2" r:id="Rf900e6a8dbfe4917"/>
    <x:sheet xmlns:r="http://schemas.openxmlformats.org/officeDocument/2006/relationships" name="Portfolio Inputs" sheetId="3" r:id="Raf5697855e8d4e35"/>
    <x:sheet xmlns:r="http://schemas.openxmlformats.org/officeDocument/2006/relationships" name="Gap Opportunities" sheetId="4" r:id="R0f55b50e79cc4d90"/>
    <x:sheet xmlns:r="http://schemas.openxmlformats.org/officeDocument/2006/relationships" name="Decision Model" sheetId="5" r:id="R67bc9cdb6af64333"/>
    <x:sheet xmlns:r="http://schemas.openxmlformats.org/officeDocument/2006/relationships" name="Topic Portfolio" sheetId="6" r:id="R9e1ac81f93bf424c"/>
    <x:sheet xmlns:r="http://schemas.openxmlformats.org/officeDocument/2006/relationships" name="Scenario Comparison" sheetId="7" r:id="R091df35f53384479"/>
    <x:sheet xmlns:r="http://schemas.openxmlformats.org/officeDocument/2006/relationships" name="Data Dictionary" sheetId="8" r:id="R46655a8c223544f1"/>
    <x:sheet xmlns:r="http://schemas.openxmlformats.org/officeDocument/2006/relationships" name="Portfolio Guide" sheetId="9" r:id="R8c29aa263ebc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"/>
    <x:numFmt numFmtId="202" formatCode="0.00"/>
    <x:numFmt numFmtId="203" formatCode="0.0%"/>
    <x:numFmt numFmtId="204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3045E"/>
      <x:name val="Carlito"/>
    </x:font>
    <x:font>
      <x:b/>
      <x:sz val="11"/>
      <x:color rgb="FFFFFFFF"/>
      <x:name val="Carlito"/>
    </x:font>
    <x:font>
      <x:i/>
      <x:sz val="11"/>
      <x:color rgb="FF5E6670"/>
      <x:name val="Carlito"/>
    </x:font>
    <x:font>
      <x:b/>
      <x:sz val="20"/>
      <x:color rgb="FF1111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3045E"/>
      </x:patternFill>
    </x:fill>
    <x:fill>
      <x:patternFill patternType="solid">
        <x:fgColor rgb="FFE8EEF4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</x:fills>
  <x:borders count="10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3" fontId="3" fillId="2" borderId="0" xfId="0" applyNumberFormat="1" applyFont="1" applyFill="1" applyBorder="1" applyAlignment="1">
      <x:alignment horizontal="center" wrapText="1"/>
    </x:xf>
    <x:xf numFmtId="203" fontId="3" fillId="2" borderId="1" xfId="0" applyNumberFormat="1" applyFont="1" applyFill="1" applyBorder="1" applyAlignment="1">
      <x:alignment horizontal="center" wrapText="1"/>
    </x:xf>
    <x:xf numFmtId="204" fontId="3" fillId="2" borderId="0" xfId="0" applyNumberFormat="1" applyFont="1" applyFill="1" applyBorder="1" applyAlignment="1">
      <x:alignment horizontal="center" wrapText="1"/>
    </x:xf>
    <x:xf numFmtId="204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</x:cellXfs>
  <x:cellStyles count="1">
    <x:cellStyle name="Normal" xfId="0"/>
  </x:cellStyles>
  <x:dxfs count="11">
    <x:dxf>
      <x:font>
        <x:b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4F7FA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ont>
        <x:b/>
      </x:font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F4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119c909804660" /><Relationship Type="http://schemas.openxmlformats.org/officeDocument/2006/relationships/theme" Target="/xl/theme/theme1.xml" Id="R8cb255d37f4b4e73" /><Relationship Type="http://schemas.openxmlformats.org/officeDocument/2006/relationships/sharedStrings" Target="/xl/sharedStrings.xml" Id="Rcc67b3d9bd8547bc" /><Relationship Type="http://schemas.openxmlformats.org/officeDocument/2006/relationships/worksheet" Target="/xl/worksheets/sheet1.xml" Id="R08cbda9c60fb4d54" /><Relationship Type="http://schemas.openxmlformats.org/officeDocument/2006/relationships/worksheet" Target="/xl/worksheets/sheet2.xml" Id="Rf900e6a8dbfe4917" /><Relationship Type="http://schemas.openxmlformats.org/officeDocument/2006/relationships/worksheet" Target="/xl/worksheets/sheet3.xml" Id="Raf5697855e8d4e35" /><Relationship Type="http://schemas.openxmlformats.org/officeDocument/2006/relationships/worksheet" Target="/xl/worksheets/sheet4.xml" Id="R0f55b50e79cc4d90" /><Relationship Type="http://schemas.openxmlformats.org/officeDocument/2006/relationships/worksheet" Target="/xl/worksheets/sheet5.xml" Id="R67bc9cdb6af64333" /><Relationship Type="http://schemas.openxmlformats.org/officeDocument/2006/relationships/worksheet" Target="/xl/worksheets/sheet6.xml" Id="R9e1ac81f93bf424c" /><Relationship Type="http://schemas.openxmlformats.org/officeDocument/2006/relationships/worksheet" Target="/xl/worksheets/sheet7.xml" Id="R091df35f53384479" /><Relationship Type="http://schemas.openxmlformats.org/officeDocument/2006/relationships/worksheet" Target="/xl/worksheets/sheet8.xml" Id="R46655a8c223544f1" /><Relationship Type="http://schemas.openxmlformats.org/officeDocument/2006/relationships/worksheet" Target="/xl/worksheets/sheet9.xml" Id="R8c29aa263ebc4d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92c107f2a24e8f" /><Relationship Type="http://schemas.openxmlformats.org/officeDocument/2006/relationships/chart" Target="/xl/drawings/charts/chart2.xml" Id="Rac5bac61065548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Recommended Portfolio Actions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Items</c:v>
          </c:tx>
          <c:cat>
            <c:strRef>
              <c:f>'Executive Dashboard'!$A$11:$A$15</c:f>
              <c:strCache>
                <c:ptCount val="0"/>
              </c:strCache>
            </c:strRef>
          </c:cat>
          <c:val>
            <c:numRef>
              <c:f>'Executive Dashboard'!$B$11:$B$15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Footprint by Topic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Products</c:v>
          </c:tx>
          <c:cat>
            <c:strRef>
              <c:f>'Executive Dashboard'!$A$20:$A$27</c:f>
              <c:strCache>
                <c:ptCount val="0"/>
              </c:strCache>
            </c:strRef>
          </c:cat>
          <c:val>
            <c:numRef>
              <c:f>'Executive Dashboard'!$B$20:$B$27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Registrations</c:v>
          </c:tx>
          <c:cat>
            <c:strRef>
              <c:f>'Executive Dashboard'!$A$20:$A$27</c:f>
              <c:strCache>
                <c:ptCount val="0"/>
              </c:strCache>
            </c:strRef>
          </c:cat>
          <c:val>
            <c:numRef>
              <c:f>'Executive Dashboard'!$C$20:$C$27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92c107f2a24e8f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5bac61065548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RecommendationsTable" displayName="RecommendationsTable" ref="A1:N31" headerRowCount="1" totalsRowCount="0" totalsRowShown="0">
  <x:tableColumns count="14">
    <x:tableColumn id="1" name="Rank"/>
    <x:tableColumn id="2" name="Item ID"/>
    <x:tableColumn id="3" name="Item"/>
    <x:tableColumn id="4" name="Item Type"/>
    <x:tableColumn id="5" name="Topic"/>
    <x:tableColumn id="6" name="Format"/>
    <x:tableColumn id="7" name="Action"/>
    <x:tableColumn id="8" name="Priority Score"/>
    <x:tableColumn id="9" name="Performance / Development Score"/>
    <x:tableColumn id="10" name="Gap Score"/>
    <x:tableColumn id="11" name="Audience Coverage"/>
    <x:tableColumn id="12" name="Overlap"/>
    <x:tableColumn id="13" name="Refresh Age"/>
    <x:tableColumn id="14" name="Ration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ortfolioInputsTable" displayName="PortfolioInputsTable" ref="A1:S25" headerRowCount="1" totalsRowCount="0" totalsRowShown="0">
  <x:tableColumns count="19">
    <x:tableColumn id="1" name="Product ID"/>
    <x:tableColumn id="2" name="Title"/>
    <x:tableColumn id="3" name="Topic"/>
    <x:tableColumn id="4" name="Format"/>
    <x:tableColumn id="5" name="Lifecycle"/>
    <x:tableColumn id="6" name="Registrations"/>
    <x:tableColumn id="7" name="Demand Index"/>
    <x:tableColumn id="8" name="Attendance Rate"/>
    <x:tableColumn id="9" name="Completion Rate"/>
    <x:tableColumn id="10" name="Satisfaction"/>
    <x:tableColumn id="11" name="Refresh Age (Months)"/>
    <x:tableColumn id="12" name="QA Pass Rate"/>
    <x:tableColumn id="13" name="Audience Coverage"/>
    <x:tableColumn id="14" name="Strategic Gap Score"/>
    <x:tableColumn id="15" name="Overlap Score"/>
    <x:tableColumn id="16" name="Performance Score"/>
    <x:tableColumn id="17" name="Recommendation"/>
    <x:tableColumn id="18" name="Priority Score"/>
    <x:tableColumn id="19" name="Decision 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GapOpportunityTable" displayName="GapOpportunityTable" ref="A1:L7" headerRowCount="1" totalsRowCount="0" totalsRowShown="0">
  <x:tableColumns count="12">
    <x:tableColumn id="1" name="Opportunity ID"/>
    <x:tableColumn id="2" name="Concept"/>
    <x:tableColumn id="3" name="Topic"/>
    <x:tableColumn id="4" name="Proposed Format"/>
    <x:tableColumn id="5" name="Demand Index"/>
    <x:tableColumn id="6" name="Audience Coverage"/>
    <x:tableColumn id="7" name="Strategic Gap Score"/>
    <x:tableColumn id="8" name="Adjacent Portfolio Strength"/>
    <x:tableColumn id="9" name="QA Confidence"/>
    <x:tableColumn id="10" name="Development Score"/>
    <x:tableColumn id="11" name="Recommendation"/>
    <x:tableColumn id="12" name="Decision Rationa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icPortfolioTable" displayName="TopicPortfolioTable" ref="A1:H9" headerRowCount="1" totalsRowCount="0" totalsRowShown="0">
  <x:tableColumns count="8">
    <x:tableColumn id="1" name="Topic"/>
    <x:tableColumn id="2" name="Products"/>
    <x:tableColumn id="3" name="Registrations"/>
    <x:tableColumn id="4" name="Avg Performance"/>
    <x:tableColumn id="5" name="Avg Gap"/>
    <x:tableColumn id="6" name="Avg Audience"/>
    <x:tableColumn id="7" name="Develop Opportunities"/>
    <x:tableColumn id="8" name="Dominan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c3ad8dc555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5cc45569094e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fdd22482a2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3a6d541bb843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83f95900bf54888" /></Relationships>
</file>

<file path=xl/worksheets/sheet1.xml><?xml version="1.0" encoding="utf-8"?>
<x:worksheet xmlns:x="http://schemas.openxmlformats.org/spreadsheetml/2006/main">
  <x:sheetFormatPr defaultRowHeight="15"/>
  <x:cols>
    <x:col min="8" max="8" width="14" hidden="0" customWidth="1"/>
    <x:col min="12" max="12" width="14" hidden="0" customWidth="1"/>
    <x:col min="7" max="7" width="14" hidden="0" customWidth="1"/>
    <x:col min="9" max="9" width="14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10" max="10" width="14" hidden="0" customWidth="1"/>
    <x:col min="11" max="11" width="14" hidden="0" customWidth="1"/>
  </x:cols>
  <x:sheetData>
    <x:row r="1" ht="30" customHeight="1">
      <x:c r="A1" s="3" t="str">
        <x:v>Portfolio Decision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33" t="str">
        <x:v>Synthetic capstone model • demand + utilization + learner outcomes + lifecycle + data quality + audience coverage + strategic gap + redundancy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4">
      <x:c r="A4" s="36" t="str">
        <x:v>Existing Products</x:v>
      </x:c>
      <x:c r="B4" s="36"/>
      <x:c r="C4" s="36" t="str">
        <x:v>Scale</x:v>
      </x:c>
      <x:c r="D4" s="36"/>
      <x:c r="E4" s="36" t="str">
        <x:v>Refresh</x:v>
      </x:c>
      <x:c r="F4" s="36"/>
      <x:c r="G4" s="36" t="str">
        <x:v>Consolidate</x:v>
      </x:c>
      <x:c r="H4" s="36"/>
      <x:c r="I4" s="36" t="str">
        <x:v>Maintain</x:v>
      </x:c>
      <x:c r="J4" s="36"/>
      <x:c r="K4" s="36" t="str">
        <x:v>Develop</x:v>
      </x:c>
      <x:c r="L4" s="36"/>
    </x:row>
    <x:row r="5">
      <x:c r="A5" s="48" t="n">
        <x:f>COUNTA('Portfolio Inputs'!A2:A25)</x:f>
        <x:v>24</x:v>
      </x:c>
      <x:c r="B5" s="49"/>
      <x:c r="C5" s="48" t="n">
        <x:f>COUNTIF('Portfolio Inputs'!Q2:Q25,"Scale")</x:f>
        <x:v>5</x:v>
      </x:c>
      <x:c r="D5" s="49"/>
      <x:c r="E5" s="48" t="n">
        <x:f>COUNTIF('Portfolio Inputs'!Q2:Q25,"Refresh")</x:f>
        <x:v>6</x:v>
      </x:c>
      <x:c r="F5" s="49"/>
      <x:c r="G5" s="48" t="n">
        <x:f>COUNTIF('Portfolio Inputs'!Q2:Q25,"Consolidate")</x:f>
        <x:v>5</x:v>
      </x:c>
      <x:c r="H5" s="49"/>
      <x:c r="I5" s="48" t="n">
        <x:f>COUNTIF('Portfolio Inputs'!Q2:Q25,"Maintain")</x:f>
        <x:v>8</x:v>
      </x:c>
      <x:c r="J5" s="49"/>
      <x:c r="K5" s="48" t="n">
        <x:f>COUNTIF('Gap Opportunities'!K2:K7,"Develop")</x:f>
        <x:v>6</x:v>
      </x:c>
      <x:c r="L5" s="49"/>
    </x:row>
    <x:row r="6">
      <x:c r="A6" s="50"/>
      <x:c r="B6" s="51"/>
      <x:c r="C6" s="50"/>
      <x:c r="D6" s="51"/>
      <x:c r="E6" s="50"/>
      <x:c r="F6" s="51"/>
      <x:c r="G6" s="50"/>
      <x:c r="H6" s="51"/>
      <x:c r="I6" s="50"/>
      <x:c r="J6" s="51"/>
      <x:c r="K6" s="50"/>
      <x:c r="L6" s="51"/>
    </x:row>
    <x:row r="9">
      <x:c r="A9" s="22" t="str">
        <x:v>Portfolio Actions</x:v>
      </x:c>
      <x:c r="B9" s="22"/>
      <x:c r="C9" s="22"/>
      <x:c r="D9" s="22"/>
      <x:c r="G9" s="22" t="str">
        <x:v>Highest-Priority Decisions</x:v>
      </x:c>
      <x:c r="H9" s="22"/>
      <x:c r="I9" s="22"/>
      <x:c r="J9" s="22"/>
      <x:c r="K9" s="22"/>
      <x:c r="L9" s="22"/>
    </x:row>
    <x:row r="10">
      <x:c r="A10" s="66" t="str">
        <x:v>Action</x:v>
      </x:c>
      <x:c r="B10" s="66" t="str">
        <x:v>Items</x:v>
      </x:c>
      <x:c r="G10" s="66" t="str">
        <x:v>Rank</x:v>
      </x:c>
      <x:c r="H10" s="66" t="str">
        <x:v>Item</x:v>
      </x:c>
      <x:c r="I10" s="66" t="str">
        <x:v>Type</x:v>
      </x:c>
      <x:c r="J10" s="66" t="str">
        <x:v>Action</x:v>
      </x:c>
      <x:c r="K10" s="66" t="str">
        <x:v>Priority</x:v>
      </x:c>
      <x:c r="L10" s="66" t="str">
        <x:v>Rationale</x:v>
      </x:c>
    </x:row>
    <x:row r="11">
      <x:c r="A11" t="str">
        <x:v>Scale</x:v>
      </x:c>
      <x:c r="B11" t="n">
        <x:f>COUNTIF('Portfolio Inputs'!$Q$2:$Q$25,"Scale")</x:f>
        <x:v>5</x:v>
      </x:c>
      <x:c r="G11" t="n">
        <x:v>1</x:v>
      </x:c>
      <x:c r="H11" t="str">
        <x:f>INDEX('Recommendations'!$C$2:$C$31,MATCH(K11,'Recommendations'!$H$2:$H$31,0))</x:f>
        <x:v>Prompting for Strategic Work</x:v>
      </x:c>
      <x:c r="I11" t="str">
        <x:f>INDEX('Recommendations'!$D$2:$D$31,MATCH(H11,'Recommendations'!$C$2:$C$31,0))</x:f>
        <x:v>Existing Product</x:v>
      </x:c>
      <x:c r="J11" t="str">
        <x:f>INDEX('Recommendations'!$G$2:$G$31,MATCH(H11,'Recommendations'!$C$2:$C$31,0))</x:f>
        <x:v>Scale</x:v>
      </x:c>
      <x:c r="K11" s="68" t="n">
        <x:f>LARGE('Recommendations'!$H$2:$H$31,1)</x:f>
        <x:v>94.85</x:v>
      </x:c>
      <x:c r="L11" t="str">
        <x:f>INDEX('Recommendations'!$N$2:$N$31,MATCH(H11,'Recommendations'!$C$2:$C$31,0))</x:f>
        <x:v>High performance + strategic gap + low overlap</x:v>
      </x:c>
    </x:row>
    <x:row r="12">
      <x:c r="A12" t="str">
        <x:v>Maintain</x:v>
      </x:c>
      <x:c r="B12" t="n">
        <x:f>COUNTIF('Portfolio Inputs'!$Q$2:$Q$25,"Maintain")</x:f>
        <x:v>8</x:v>
      </x:c>
      <x:c r="G12" t="n">
        <x:v>2</x:v>
      </x:c>
      <x:c r="H12" t="str">
        <x:f>INDEX('Recommendations'!$C$2:$C$31,MATCH(K12,'Recommendations'!$H$2:$H$31,0))</x:f>
        <x:v>Applied AI Foundations</x:v>
      </x:c>
      <x:c r="I12" t="str">
        <x:f>INDEX('Recommendations'!$D$2:$D$31,MATCH(H12,'Recommendations'!$C$2:$C$31,0))</x:f>
        <x:v>Existing Product</x:v>
      </x:c>
      <x:c r="J12" t="str">
        <x:f>INDEX('Recommendations'!$G$2:$G$31,MATCH(H12,'Recommendations'!$C$2:$C$31,0))</x:f>
        <x:v>Scale</x:v>
      </x:c>
      <x:c r="K12" s="68" t="n">
        <x:f>LARGE('Recommendations'!$H$2:$H$31,2)</x:f>
        <x:v>94.38999999999999</x:v>
      </x:c>
      <x:c r="L12" t="str">
        <x:f>INDEX('Recommendations'!$N$2:$N$31,MATCH(H12,'Recommendations'!$C$2:$C$31,0))</x:f>
        <x:v>High performance + strategic gap + low overlap</x:v>
      </x:c>
    </x:row>
    <x:row r="13">
      <x:c r="A13" t="str">
        <x:v>Refresh</x:v>
      </x:c>
      <x:c r="B13" t="n">
        <x:f>COUNTIF('Portfolio Inputs'!$Q$2:$Q$25,"Refresh")</x:f>
        <x:v>6</x:v>
      </x:c>
      <x:c r="G13" t="n">
        <x:v>3</x:v>
      </x:c>
      <x:c r="H13" t="str">
        <x:f>INDEX('Recommendations'!$C$2:$C$31,MATCH(K13,'Recommendations'!$H$2:$H$31,0))</x:f>
        <x:v>Customer Journey Blueprint</x:v>
      </x:c>
      <x:c r="I13" t="str">
        <x:f>INDEX('Recommendations'!$D$2:$D$31,MATCH(H13,'Recommendations'!$C$2:$C$31,0))</x:f>
        <x:v>Existing Product</x:v>
      </x:c>
      <x:c r="J13" t="str">
        <x:f>INDEX('Recommendations'!$G$2:$G$31,MATCH(H13,'Recommendations'!$C$2:$C$31,0))</x:f>
        <x:v>Scale</x:v>
      </x:c>
      <x:c r="K13" s="68" t="n">
        <x:f>LARGE('Recommendations'!$H$2:$H$31,3)</x:f>
        <x:v>89.32</x:v>
      </x:c>
      <x:c r="L13" t="str">
        <x:f>INDEX('Recommendations'!$N$2:$N$31,MATCH(H13,'Recommendations'!$C$2:$C$31,0))</x:f>
        <x:v>High performance + strategic gap + low overlap</x:v>
      </x:c>
    </x:row>
    <x:row r="14">
      <x:c r="A14" t="str">
        <x:v>Consolidate</x:v>
      </x:c>
      <x:c r="B14" t="n">
        <x:f>COUNTIF('Portfolio Inputs'!$Q$2:$Q$25,"Consolidate")</x:f>
        <x:v>5</x:v>
      </x:c>
      <x:c r="G14" t="n">
        <x:v>4</x:v>
      </x:c>
      <x:c r="H14" t="str">
        <x:f>INDEX('Recommendations'!$C$2:$C$31,MATCH(K14,'Recommendations'!$H$2:$H$31,0))</x:f>
        <x:v>GenAI Brainstorming Lab</x:v>
      </x:c>
      <x:c r="I14" t="str">
        <x:f>INDEX('Recommendations'!$D$2:$D$31,MATCH(H14,'Recommendations'!$C$2:$C$31,0))</x:f>
        <x:v>Existing Product</x:v>
      </x:c>
      <x:c r="J14" t="str">
        <x:f>INDEX('Recommendations'!$G$2:$G$31,MATCH(H14,'Recommendations'!$C$2:$C$31,0))</x:f>
        <x:v>Consolidate</x:v>
      </x:c>
      <x:c r="K14" s="68" t="n">
        <x:f>LARGE('Recommendations'!$H$2:$H$31,4)</x:f>
        <x:v>86.64</x:v>
      </x:c>
      <x:c r="L14" t="str">
        <x:f>INDEX('Recommendations'!$N$2:$N$31,MATCH(H14,'Recommendations'!$C$2:$C$31,0))</x:f>
        <x:v>High overlap with limited differentiated value</x:v>
      </x:c>
    </x:row>
    <x:row r="15">
      <x:c r="A15" t="str">
        <x:v>Develop</x:v>
      </x:c>
      <x:c r="B15" t="n">
        <x:f>COUNTIF('Gap Opportunities'!$K$2:$K$7,"Develop")</x:f>
        <x:v>6</x:v>
      </x:c>
      <x:c r="G15" t="n">
        <x:v>5</x:v>
      </x:c>
      <x:c r="H15" t="str">
        <x:f>INDEX('Recommendations'!$C$2:$C$31,MATCH(K15,'Recommendations'!$H$2:$H$31,0))</x:f>
        <x:v>AI Governance for Marketing Leaders</x:v>
      </x:c>
      <x:c r="I15" t="str">
        <x:f>INDEX('Recommendations'!$D$2:$D$31,MATCH(H15,'Recommendations'!$C$2:$C$31,0))</x:f>
        <x:v>Gap Opportunity</x:v>
      </x:c>
      <x:c r="J15" t="str">
        <x:f>INDEX('Recommendations'!$G$2:$G$31,MATCH(H15,'Recommendations'!$C$2:$C$31,0))</x:f>
        <x:v>Develop</x:v>
      </x:c>
      <x:c r="K15" s="68" t="n">
        <x:f>LARGE('Recommendations'!$H$2:$H$31,5)</x:f>
        <x:v>86.25</x:v>
      </x:c>
      <x:c r="L15" t="str">
        <x:f>INDEX('Recommendations'!$N$2:$N$31,MATCH(H15,'Recommendations'!$C$2:$C$31,0))</x:f>
        <x:v>High whitespace + demand + low current audience coverage</x:v>
      </x:c>
    </x:row>
    <x:row r="16">
      <x:c r="G16" t="n">
        <x:v>6</x:v>
      </x:c>
      <x:c r="H16" t="str">
        <x:f>INDEX('Recommendations'!$C$2:$C$31,MATCH(K16,'Recommendations'!$H$2:$H$31,0))</x:f>
        <x:v>Responsible AI Decisions</x:v>
      </x:c>
      <x:c r="I16" t="str">
        <x:f>INDEX('Recommendations'!$D$2:$D$31,MATCH(H16,'Recommendations'!$C$2:$C$31,0))</x:f>
        <x:v>Existing Product</x:v>
      </x:c>
      <x:c r="J16" t="str">
        <x:f>INDEX('Recommendations'!$G$2:$G$31,MATCH(H16,'Recommendations'!$C$2:$C$31,0))</x:f>
        <x:v>Scale</x:v>
      </x:c>
      <x:c r="K16" s="68" t="n">
        <x:f>LARGE('Recommendations'!$H$2:$H$31,6)</x:f>
        <x:v>86.16999999999999</x:v>
      </x:c>
      <x:c r="L16" t="str">
        <x:f>INDEX('Recommendations'!$N$2:$N$31,MATCH(H16,'Recommendations'!$C$2:$C$31,0))</x:f>
        <x:v>High performance + strategic gap + low overlap</x:v>
      </x:c>
    </x:row>
    <x:row r="18">
      <x:c r="A18" s="22" t="str">
        <x:v>Topic-Level Portfolio View</x:v>
      </x:c>
      <x:c r="B18" s="22"/>
      <x:c r="C18" s="22"/>
      <x:c r="D18" s="22"/>
      <x:c r="E18" s="22"/>
      <x:c r="F18" s="22"/>
      <x:c r="G18" s="22" t="str">
        <x:v>Model Controls &amp; Confidence</x:v>
      </x:c>
      <x:c r="H18" s="22"/>
      <x:c r="I18" s="22"/>
      <x:c r="J18" s="22"/>
      <x:c r="K18" s="22"/>
      <x:c r="L18" s="22"/>
    </x:row>
    <x:row r="19">
      <x:c r="A19" s="66" t="str">
        <x:v>Topic</x:v>
      </x:c>
      <x:c r="B19" s="66" t="str">
        <x:v>Products</x:v>
      </x:c>
      <x:c r="C19" s="66" t="str">
        <x:v>Registrations</x:v>
      </x:c>
      <x:c r="D19" s="66" t="str">
        <x:v>Avg Performance</x:v>
      </x:c>
      <x:c r="E19" s="66" t="str">
        <x:v>Develop Opps</x:v>
      </x:c>
      <x:c r="G19" s="70" t="str">
        <x:v>Control</x:v>
      </x:c>
      <x:c r="H19" s="70" t="str">
        <x:v>Status</x:v>
      </x:c>
      <x:c r="I19" s="70" t="str">
        <x:v>Interpretation</x:v>
      </x:c>
    </x:row>
    <x:row r="20">
      <x:c r="A20" t="str">
        <x:v>AI &amp; Technology</x:v>
      </x:c>
      <x:c r="B20" t="n">
        <x:f>'Topic Portfolio'!B2</x:f>
        <x:v>5</x:v>
      </x:c>
      <x:c r="C20" t="n">
        <x:f>'Topic Portfolio'!C2</x:f>
        <x:v>833</x:v>
      </x:c>
      <x:c r="D20" s="68" t="n">
        <x:f>'Topic Portfolio'!D2</x:f>
        <x:v>73.74600000000001</x:v>
      </x:c>
      <x:c r="E20" t="n">
        <x:f>'Topic Portfolio'!G2</x:f>
        <x:v>2</x:v>
      </x:c>
      <x:c r="G20" s="11" t="str">
        <x:v>Performance weights</x:v>
      </x:c>
      <x:c r="H20" s="11" t="str">
        <x:v>Formula-driven</x:v>
      </x:c>
      <x:c r="I20" s="11" t="str">
        <x:v>Editable on Decision Model</x:v>
      </x:c>
    </x:row>
    <x:row r="21">
      <x:c r="A21" t="str">
        <x:v>Brand Strategy</x:v>
      </x:c>
      <x:c r="B21" t="n">
        <x:f>'Topic Portfolio'!B3</x:f>
        <x:v>4</x:v>
      </x:c>
      <x:c r="C21" t="n">
        <x:f>'Topic Portfolio'!C3</x:f>
        <x:v>366</x:v>
      </x:c>
      <x:c r="D21" s="68" t="n">
        <x:f>'Topic Portfolio'!D3</x:f>
        <x:v>60.462500000000006</x:v>
      </x:c>
      <x:c r="E21" t="n">
        <x:f>'Topic Portfolio'!G3</x:f>
        <x:v>0</x:v>
      </x:c>
      <x:c r="G21" s="11" t="str">
        <x:v>Thresholds</x:v>
      </x:c>
      <x:c r="H21" s="11" t="str">
        <x:v>Formula-driven</x:v>
      </x:c>
      <x:c r="I21" s="11" t="str">
        <x:v>Editable on Decision Model</x:v>
      </x:c>
    </x:row>
    <x:row r="22">
      <x:c r="A22" t="str">
        <x:v>Communications</x:v>
      </x:c>
      <x:c r="B22" t="n">
        <x:f>'Topic Portfolio'!B4</x:f>
        <x:v>2</x:v>
      </x:c>
      <x:c r="C22" t="n">
        <x:f>'Topic Portfolio'!C4</x:f>
        <x:v>204</x:v>
      </x:c>
      <x:c r="D22" s="68" t="n">
        <x:f>'Topic Portfolio'!D4</x:f>
        <x:v>64.08000000000001</x:v>
      </x:c>
      <x:c r="E22" t="n">
        <x:f>'Topic Portfolio'!G4</x:f>
        <x:v>0</x:v>
      </x:c>
      <x:c r="G22" s="11" t="str">
        <x:v>Data quality</x:v>
      </x:c>
      <x:c r="H22" s="11" t="str">
        <x:v>Included</x:v>
      </x:c>
      <x:c r="I22" s="11" t="str">
        <x:v>QA pass rate influences performance</x:v>
      </x:c>
    </x:row>
    <x:row r="23">
      <x:c r="A23" t="str">
        <x:v>Creative</x:v>
      </x:c>
      <x:c r="B23" t="n">
        <x:f>'Topic Portfolio'!B5</x:f>
        <x:v>2</x:v>
      </x:c>
      <x:c r="C23" t="n">
        <x:f>'Topic Portfolio'!C5</x:f>
        <x:v>261</x:v>
      </x:c>
      <x:c r="D23" s="68" t="n">
        <x:f>'Topic Portfolio'!D5</x:f>
        <x:v>69.03</x:v>
      </x:c>
      <x:c r="E23" t="n">
        <x:f>'Topic Portfolio'!G5</x:f>
        <x:v>1</x:v>
      </x:c>
      <x:c r="G23" s="11" t="str">
        <x:v>Audience coverage</x:v>
      </x:c>
      <x:c r="H23" s="11" t="str">
        <x:v>Included</x:v>
      </x:c>
      <x:c r="I23" s="11" t="str">
        <x:v>Supports scale/develop decisions</x:v>
      </x:c>
    </x:row>
    <x:row r="24">
      <x:c r="A24" t="str">
        <x:v>Customer Experience</x:v>
      </x:c>
      <x:c r="B24" t="n">
        <x:f>'Topic Portfolio'!B6</x:f>
        <x:v>2</x:v>
      </x:c>
      <x:c r="C24" t="n">
        <x:f>'Topic Portfolio'!C6</x:f>
        <x:v>324</x:v>
      </x:c>
      <x:c r="D24" s="68" t="n">
        <x:f>'Topic Portfolio'!D6</x:f>
        <x:v>73.52000000000001</x:v>
      </x:c>
      <x:c r="E24" t="n">
        <x:f>'Topic Portfolio'!G6</x:f>
        <x:v>1</x:v>
      </x:c>
      <x:c r="G24" s="11" t="str">
        <x:v>Redundancy</x:v>
      </x:c>
      <x:c r="H24" s="11" t="str">
        <x:v>Included</x:v>
      </x:c>
      <x:c r="I24" s="11" t="str">
        <x:v>Drives consolidation rule</x:v>
      </x:c>
    </x:row>
    <x:row r="25">
      <x:c r="A25" t="str">
        <x:v>Data &amp; Measurement</x:v>
      </x:c>
      <x:c r="B25" t="n">
        <x:f>'Topic Portfolio'!B7</x:f>
        <x:v>3</x:v>
      </x:c>
      <x:c r="C25" t="n">
        <x:f>'Topic Portfolio'!C7</x:f>
        <x:v>418</x:v>
      </x:c>
      <x:c r="D25" s="68" t="n">
        <x:f>'Topic Portfolio'!D7</x:f>
        <x:v>69.90666666666668</x:v>
      </x:c>
      <x:c r="E25" t="n">
        <x:f>'Topic Portfolio'!G7</x:f>
        <x:v>1</x:v>
      </x:c>
    </x:row>
    <x:row r="26">
      <x:c r="A26" t="str">
        <x:v>Leadership</x:v>
      </x:c>
      <x:c r="B26" t="n">
        <x:f>'Topic Portfolio'!B8</x:f>
        <x:v>3</x:v>
      </x:c>
      <x:c r="C26" t="n">
        <x:f>'Topic Portfolio'!C8</x:f>
        <x:v>299</x:v>
      </x:c>
      <x:c r="D26" s="68" t="n">
        <x:f>'Topic Portfolio'!D8</x:f>
        <x:v>66.14</x:v>
      </x:c>
      <x:c r="E26" t="n">
        <x:f>'Topic Portfolio'!G8</x:f>
        <x:v>1</x:v>
      </x:c>
    </x:row>
    <x:row r="27">
      <x:c r="A27" t="str">
        <x:v>Marketing Operations</x:v>
      </x:c>
      <x:c r="B27" t="n">
        <x:f>'Topic Portfolio'!B9</x:f>
        <x:v>3</x:v>
      </x:c>
      <x:c r="C27" t="n">
        <x:f>'Topic Portfolio'!C9</x:f>
        <x:v>268</x:v>
      </x:c>
      <x:c r="D27" s="68" t="n">
        <x:f>'Topic Portfolio'!D9</x:f>
        <x:v>58.80000000000001</x:v>
      </x:c>
      <x:c r="E27" t="n">
        <x:f>'Topic Portfolio'!G9</x:f>
        <x:v>0</x:v>
      </x:c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9:D9"/>
    <x:mergeCell ref="G9:L9"/>
    <x:mergeCell ref="A18:F18"/>
    <x:mergeCell ref="G18:L18"/>
  </x:mergeCells>
  <x:pageMargins left="0.7" right="0.7" top="0.75" bottom="0.75" header="0.3" footer="0.3"/>
  <x:drawing xmlns:r="http://schemas.openxmlformats.org/officeDocument/2006/relationships" r:id="Rf5c3ad8dc5554944"/>
</x:worksheet>
</file>

<file path=xl/worksheets/sheet2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8.6300001144409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3.25" hidden="0" customWidth="1"/>
    <x:col min="9" max="9" width="29.25" hidden="0" customWidth="1"/>
    <x:col min="10" max="10" width="10.75" hidden="0" customWidth="1"/>
    <x:col min="11" max="11" width="17.6299991607666" hidden="0" customWidth="1"/>
    <x:col min="12" max="12" width="9.130000114440918" hidden="0" customWidth="1"/>
    <x:col min="13" max="13" width="12.130000114440918" hidden="0" customWidth="1"/>
    <x:col min="14" max="14" width="45" hidden="0" customWidth="1"/>
  </x:cols>
  <x:sheetData>
    <x:row r="1">
      <x:c r="A1" s="24" t="str">
        <x:v>Rank</x:v>
      </x:c>
      <x:c r="B1" s="24" t="str">
        <x:v>Item ID</x:v>
      </x:c>
      <x:c r="C1" s="24" t="str">
        <x:v>Item</x:v>
      </x:c>
      <x:c r="D1" s="24" t="str">
        <x:v>Item Type</x:v>
      </x:c>
      <x:c r="E1" s="24" t="str">
        <x:v>Topic</x:v>
      </x:c>
      <x:c r="F1" s="24" t="str">
        <x:v>Format</x:v>
      </x:c>
      <x:c r="G1" s="24" t="str">
        <x:v>Action</x:v>
      </x:c>
      <x:c r="H1" s="30" t="str">
        <x:v>Priority Score</x:v>
      </x:c>
      <x:c r="I1" s="30" t="str">
        <x:v>Performance / Development Score</x:v>
      </x:c>
      <x:c r="J1" s="28" t="str">
        <x:v>Gap Score</x:v>
      </x:c>
      <x:c r="K1" s="28" t="str">
        <x:v>Audience Coverage</x:v>
      </x:c>
      <x:c r="L1" s="28" t="str">
        <x:v>Overlap</x:v>
      </x:c>
      <x:c r="M1" s="24" t="str">
        <x:v>Refresh Age</x:v>
      </x:c>
      <x:c r="N1" s="24" t="str">
        <x:v>Rationale</x:v>
      </x:c>
    </x:row>
    <x:row r="2">
      <x:c r="A2" t="n">
        <x:f>RANK(H2,$H$2:$H$31,0)+COUNTIF($H$2:H2,H2)-1</x:f>
        <x:v>2</x:v>
      </x:c>
      <x:c r="B2" t="str">
        <x:v>LP001</x:v>
      </x:c>
      <x:c r="C2" t="str">
        <x:v>Applied AI Foundations</x:v>
      </x:c>
      <x:c r="D2" t="str">
        <x:v>Existing Product</x:v>
      </x:c>
      <x:c r="E2" t="str">
        <x:v>AI &amp; Technology</x:v>
      </x:c>
      <x:c r="F2" t="str">
        <x:v>Half-Day</x:v>
      </x:c>
      <x:c r="G2" t="str">
        <x:f>'Portfolio Inputs'!Q2</x:f>
        <x:v>Scale</x:v>
      </x:c>
      <x:c r="H2" t="n">
        <x:f>'Portfolio Inputs'!R2</x:f>
        <x:v>94.38999999999999</x:v>
      </x:c>
      <x:c r="I2" t="n">
        <x:f>'Portfolio Inputs'!P2</x:f>
        <x:v>86.18999999999998</x:v>
      </x:c>
      <x:c r="J2" t="n">
        <x:v>0.82</x:v>
      </x:c>
      <x:c r="K2" t="n">
        <x:v>0.78</x:v>
      </x:c>
      <x:c r="L2" t="n">
        <x:v>0.28</x:v>
      </x:c>
      <x:c r="M2" t="n">
        <x:v>6</x:v>
      </x:c>
      <x:c r="N2" t="str">
        <x:f>'Portfolio Inputs'!S2</x:f>
        <x:v>High performance + strategic gap + low overlap</x:v>
      </x:c>
    </x:row>
    <x:row r="3">
      <x:c r="A3" t="n">
        <x:f>RANK(H3,$H$2:$H$31,0)+COUNTIF($H$2:H3,H3)-1</x:f>
        <x:v>1</x:v>
      </x:c>
      <x:c r="B3" t="str">
        <x:v>LP002</x:v>
      </x:c>
      <x:c r="C3" t="str">
        <x:v>Prompting for Strategic Work</x:v>
      </x:c>
      <x:c r="D3" t="str">
        <x:v>Existing Product</x:v>
      </x:c>
      <x:c r="E3" t="str">
        <x:v>AI &amp; Technology</x:v>
      </x:c>
      <x:c r="F3" t="str">
        <x:v>Micro</x:v>
      </x:c>
      <x:c r="G3" t="str">
        <x:f>'Portfolio Inputs'!Q3</x:f>
        <x:v>Scale</x:v>
      </x:c>
      <x:c r="H3" t="n">
        <x:f>'Portfolio Inputs'!R3</x:f>
        <x:v>94.85</x:v>
      </x:c>
      <x:c r="I3" t="n">
        <x:f>'Portfolio Inputs'!P3</x:f>
        <x:v>87.25</x:v>
      </x:c>
      <x:c r="J3" t="n">
        <x:v>0.76</x:v>
      </x:c>
      <x:c r="K3" t="n">
        <x:v>0.74</x:v>
      </x:c>
      <x:c r="L3" t="n">
        <x:v>0.31</x:v>
      </x:c>
      <x:c r="M3" t="n">
        <x:v>4</x:v>
      </x:c>
      <x:c r="N3" t="str">
        <x:f>'Portfolio Inputs'!S3</x:f>
        <x:v>High performance + strategic gap + low overlap</x:v>
      </x:c>
    </x:row>
    <x:row r="4">
      <x:c r="A4" t="n">
        <x:f>RANK(H4,$H$2:$H$31,0)+COUNTIF($H$2:H4,H4)-1</x:f>
        <x:v>6</x:v>
      </x:c>
      <x:c r="B4" t="str">
        <x:v>LP003</x:v>
      </x:c>
      <x:c r="C4" t="str">
        <x:v>Responsible AI Decisions</x:v>
      </x:c>
      <x:c r="D4" t="str">
        <x:v>Existing Product</x:v>
      </x:c>
      <x:c r="E4" t="str">
        <x:v>AI &amp; Technology</x:v>
      </x:c>
      <x:c r="F4" t="str">
        <x:v>Burst</x:v>
      </x:c>
      <x:c r="G4" t="str">
        <x:f>'Portfolio Inputs'!Q4</x:f>
        <x:v>Scale</x:v>
      </x:c>
      <x:c r="H4" t="n">
        <x:f>'Portfolio Inputs'!R4</x:f>
        <x:v>86.16999999999999</x:v>
      </x:c>
      <x:c r="I4" t="n">
        <x:f>'Portfolio Inputs'!P4</x:f>
        <x:v>79.07</x:v>
      </x:c>
      <x:c r="J4" t="n">
        <x:v>0.71</x:v>
      </x:c>
      <x:c r="K4" t="n">
        <x:v>0.66</x:v>
      </x:c>
      <x:c r="L4" t="n">
        <x:v>0.34</x:v>
      </x:c>
      <x:c r="M4" t="n">
        <x:v>8</x:v>
      </x:c>
      <x:c r="N4" t="str">
        <x:f>'Portfolio Inputs'!S4</x:f>
        <x:v>High performance + strategic gap + low overlap</x:v>
      </x:c>
    </x:row>
    <x:row r="5">
      <x:c r="A5" t="n">
        <x:f>RANK(H5,$H$2:$H$31,0)+COUNTIF($H$2:H5,H5)-1</x:f>
        <x:v>8</x:v>
      </x:c>
      <x:c r="B5" t="str">
        <x:v>LP004</x:v>
      </x:c>
      <x:c r="C5" t="str">
        <x:v>Dashboard Storytelling</x:v>
      </x:c>
      <x:c r="D5" t="str">
        <x:v>Existing Product</x:v>
      </x:c>
      <x:c r="E5" t="str">
        <x:v>Data &amp; Measurement</x:v>
      </x:c>
      <x:c r="F5" t="str">
        <x:v>Micro</x:v>
      </x:c>
      <x:c r="G5" t="str">
        <x:f>'Portfolio Inputs'!Q5</x:f>
        <x:v>Scale</x:v>
      </x:c>
      <x:c r="H5" t="n">
        <x:f>'Portfolio Inputs'!R5</x:f>
        <x:v>84.04</x:v>
      </x:c>
      <x:c r="I5" t="n">
        <x:f>'Portfolio Inputs'!P5</x:f>
        <x:v>77.24000000000001</x:v>
      </x:c>
      <x:c r="J5" t="n">
        <x:v>0.68</x:v>
      </x:c>
      <x:c r="K5" t="n">
        <x:v>0.63</x:v>
      </x:c>
      <x:c r="L5" t="n">
        <x:v>0.29</x:v>
      </x:c>
      <x:c r="M5" t="n">
        <x:v>7</x:v>
      </x:c>
      <x:c r="N5" t="str">
        <x:f>'Portfolio Inputs'!S5</x:f>
        <x:v>High performance + strategic gap + low overlap</x:v>
      </x:c>
    </x:row>
    <x:row r="6">
      <x:c r="A6" t="n">
        <x:f>RANK(H6,$H$2:$H$31,0)+COUNTIF($H$2:H6,H6)-1</x:f>
        <x:v>3</x:v>
      </x:c>
      <x:c r="B6" t="str">
        <x:v>LP005</x:v>
      </x:c>
      <x:c r="C6" t="str">
        <x:v>Customer Journey Blueprint</x:v>
      </x:c>
      <x:c r="D6" t="str">
        <x:v>Existing Product</x:v>
      </x:c>
      <x:c r="E6" t="str">
        <x:v>Customer Experience</x:v>
      </x:c>
      <x:c r="F6" t="str">
        <x:v>Micro</x:v>
      </x:c>
      <x:c r="G6" t="str">
        <x:f>'Portfolio Inputs'!Q6</x:f>
        <x:v>Scale</x:v>
      </x:c>
      <x:c r="H6" t="n">
        <x:f>'Portfolio Inputs'!R6</x:f>
        <x:v>89.32</x:v>
      </x:c>
      <x:c r="I6" t="n">
        <x:f>'Portfolio Inputs'!P6</x:f>
        <x:v>82.02</x:v>
      </x:c>
      <x:c r="J6" t="n">
        <x:v>0.73</x:v>
      </x:c>
      <x:c r="K6" t="n">
        <x:v>0.69</x:v>
      </x:c>
      <x:c r="L6" t="n">
        <x:v>0.3</x:v>
      </x:c>
      <x:c r="M6" t="n">
        <x:v>5</x:v>
      </x:c>
      <x:c r="N6" t="str">
        <x:f>'Portfolio Inputs'!S6</x:f>
        <x:v>High performance + strategic gap + low overlap</x:v>
      </x:c>
    </x:row>
    <x:row r="7">
      <x:c r="A7" t="n">
        <x:f>RANK(H7,$H$2:$H$31,0)+COUNTIF($H$2:H7,H7)-1</x:f>
        <x:v>24</x:v>
      </x:c>
      <x:c r="B7" t="str">
        <x:v>LP006</x:v>
      </x:c>
      <x:c r="C7" t="str">
        <x:v>Measurement Strategy</x:v>
      </x:c>
      <x:c r="D7" t="str">
        <x:v>Existing Product</x:v>
      </x:c>
      <x:c r="E7" t="str">
        <x:v>Data &amp; Measurement</x:v>
      </x:c>
      <x:c r="F7" t="str">
        <x:v>Half-Day</x:v>
      </x:c>
      <x:c r="G7" t="str">
        <x:f>'Portfolio Inputs'!Q7</x:f>
        <x:v>Maintain</x:v>
      </x:c>
      <x:c r="H7" t="n">
        <x:f>'Portfolio Inputs'!R7</x:f>
        <x:v>68.11</x:v>
      </x:c>
      <x:c r="I7" t="n">
        <x:f>'Portfolio Inputs'!P7</x:f>
        <x:v>68.11</x:v>
      </x:c>
      <x:c r="J7" t="n">
        <x:v>0.45</x:v>
      </x:c>
      <x:c r="K7" t="n">
        <x:v>0.58</x:v>
      </x:c>
      <x:c r="L7" t="n">
        <x:v>0.38</x:v>
      </x:c>
      <x:c r="M7" t="n">
        <x:v>11</x:v>
      </x:c>
      <x:c r="N7" t="str">
        <x:f>'Portfolio Inputs'!S7</x:f>
        <x:v>Stable performance; no urgent portfolio action</x:v>
      </x:c>
    </x:row>
    <x:row r="8">
      <x:c r="A8" t="n">
        <x:f>RANK(H8,$H$2:$H$31,0)+COUNTIF($H$2:H8,H8)-1</x:f>
        <x:v>28</x:v>
      </x:c>
      <x:c r="B8" t="str">
        <x:v>LP007</x:v>
      </x:c>
      <x:c r="C8" t="str">
        <x:v>Brand Strategy Essentials</x:v>
      </x:c>
      <x:c r="D8" t="str">
        <x:v>Existing Product</x:v>
      </x:c>
      <x:c r="E8" t="str">
        <x:v>Brand Strategy</x:v>
      </x:c>
      <x:c r="F8" t="str">
        <x:v>Half-Day</x:v>
      </x:c>
      <x:c r="G8" t="str">
        <x:f>'Portfolio Inputs'!Q8</x:f>
        <x:v>Maintain</x:v>
      </x:c>
      <x:c r="H8" t="n">
        <x:f>'Portfolio Inputs'!R8</x:f>
        <x:v>66.61000000000001</x:v>
      </x:c>
      <x:c r="I8" t="n">
        <x:f>'Portfolio Inputs'!P8</x:f>
        <x:v>66.61000000000001</x:v>
      </x:c>
      <x:c r="J8" t="n">
        <x:v>0.42</x:v>
      </x:c>
      <x:c r="K8" t="n">
        <x:v>0.55</x:v>
      </x:c>
      <x:c r="L8" t="n">
        <x:v>0.41</x:v>
      </x:c>
      <x:c r="M8" t="n">
        <x:v>12</x:v>
      </x:c>
      <x:c r="N8" t="str">
        <x:f>'Portfolio Inputs'!S8</x:f>
        <x:v>Stable performance; no urgent portfolio action</x:v>
      </x:c>
    </x:row>
    <x:row r="9">
      <x:c r="A9" t="n">
        <x:f>RANK(H9,$H$2:$H$31,0)+COUNTIF($H$2:H9,H9)-1</x:f>
        <x:v>22</x:v>
      </x:c>
      <x:c r="B9" t="str">
        <x:v>LP008</x:v>
      </x:c>
      <x:c r="C9" t="str">
        <x:v>Creative Briefs That Work</x:v>
      </x:c>
      <x:c r="D9" t="str">
        <x:v>Existing Product</x:v>
      </x:c>
      <x:c r="E9" t="str">
        <x:v>Creative</x:v>
      </x:c>
      <x:c r="F9" t="str">
        <x:v>Micro</x:v>
      </x:c>
      <x:c r="G9" t="str">
        <x:f>'Portfolio Inputs'!Q9</x:f>
        <x:v>Maintain</x:v>
      </x:c>
      <x:c r="H9" t="n">
        <x:f>'Portfolio Inputs'!R9</x:f>
        <x:v>70.63000000000001</x:v>
      </x:c>
      <x:c r="I9" t="n">
        <x:f>'Portfolio Inputs'!P9</x:f>
        <x:v>70.63000000000001</x:v>
      </x:c>
      <x:c r="J9" t="n">
        <x:v>0.48</x:v>
      </x:c>
      <x:c r="K9" t="n">
        <x:v>0.57</x:v>
      </x:c>
      <x:c r="L9" t="n">
        <x:v>0.43</x:v>
      </x:c>
      <x:c r="M9" t="n">
        <x:v>10</x:v>
      </x:c>
      <x:c r="N9" t="str">
        <x:f>'Portfolio Inputs'!S9</x:f>
        <x:v>Stable performance; no urgent portfolio action</x:v>
      </x:c>
    </x:row>
    <x:row r="10">
      <x:c r="A10" t="n">
        <x:f>RANK(H10,$H$2:$H$31,0)+COUNTIF($H$2:H10,H10)-1</x:f>
        <x:v>27</x:v>
      </x:c>
      <x:c r="B10" t="str">
        <x:v>LP009</x:v>
      </x:c>
      <x:c r="C10" t="str">
        <x:v>Executive Communication</x:v>
      </x:c>
      <x:c r="D10" t="str">
        <x:v>Existing Product</x:v>
      </x:c>
      <x:c r="E10" t="str">
        <x:v>Leadership</x:v>
      </x:c>
      <x:c r="F10" t="str">
        <x:v>Half-Day</x:v>
      </x:c>
      <x:c r="G10" t="str">
        <x:f>'Portfolio Inputs'!Q10</x:f>
        <x:v>Maintain</x:v>
      </x:c>
      <x:c r="H10" t="n">
        <x:f>'Portfolio Inputs'!R10</x:f>
        <x:v>66.75</x:v>
      </x:c>
      <x:c r="I10" t="n">
        <x:f>'Portfolio Inputs'!P10</x:f>
        <x:v>66.75</x:v>
      </x:c>
      <x:c r="J10" t="n">
        <x:v>0.38</x:v>
      </x:c>
      <x:c r="K10" t="n">
        <x:v>0.51</x:v>
      </x:c>
      <x:c r="L10" t="n">
        <x:v>0.37</x:v>
      </x:c>
      <x:c r="M10" t="n">
        <x:v>9</x:v>
      </x:c>
      <x:c r="N10" t="str">
        <x:f>'Portfolio Inputs'!S10</x:f>
        <x:v>Stable performance; no urgent portfolio action</x:v>
      </x:c>
    </x:row>
    <x:row r="11">
      <x:c r="A11" t="n">
        <x:f>RANK(H11,$H$2:$H$31,0)+COUNTIF($H$2:H11,H11)-1</x:f>
        <x:v>29</x:v>
      </x:c>
      <x:c r="B11" t="str">
        <x:v>LP010</x:v>
      </x:c>
      <x:c r="C11" t="str">
        <x:v>Experience Measurement</x:v>
      </x:c>
      <x:c r="D11" t="str">
        <x:v>Existing Product</x:v>
      </x:c>
      <x:c r="E11" t="str">
        <x:v>Customer Experience</x:v>
      </x:c>
      <x:c r="F11" t="str">
        <x:v>Half-Day</x:v>
      </x:c>
      <x:c r="G11" t="str">
        <x:f>'Portfolio Inputs'!Q11</x:f>
        <x:v>Maintain</x:v>
      </x:c>
      <x:c r="H11" t="n">
        <x:f>'Portfolio Inputs'!R11</x:f>
        <x:v>65.02000000000001</x:v>
      </x:c>
      <x:c r="I11" t="n">
        <x:f>'Portfolio Inputs'!P11</x:f>
        <x:v>65.02000000000001</x:v>
      </x:c>
      <x:c r="J11" t="n">
        <x:v>0.57</x:v>
      </x:c>
      <x:c r="K11" t="n">
        <x:v>0.44</x:v>
      </x:c>
      <x:c r="L11" t="n">
        <x:v>0.33</x:v>
      </x:c>
      <x:c r="M11" t="n">
        <x:v>3</x:v>
      </x:c>
      <x:c r="N11" t="str">
        <x:f>'Portfolio Inputs'!S11</x:f>
        <x:v>Stable performance; no urgent portfolio action</x:v>
      </x:c>
    </x:row>
    <x:row r="12">
      <x:c r="A12" t="n">
        <x:f>RANK(H12,$H$2:$H$31,0)+COUNTIF($H$2:H12,H12)-1</x:f>
        <x:v>18</x:v>
      </x:c>
      <x:c r="B12" t="str">
        <x:v>LP011</x:v>
      </x:c>
      <x:c r="C12" t="str">
        <x:v>Experiment Design for Marketers</x:v>
      </x:c>
      <x:c r="D12" t="str">
        <x:v>Existing Product</x:v>
      </x:c>
      <x:c r="E12" t="str">
        <x:v>Data &amp; Measurement</x:v>
      </x:c>
      <x:c r="F12" t="str">
        <x:v>Full-Day</x:v>
      </x:c>
      <x:c r="G12" t="str">
        <x:f>'Portfolio Inputs'!Q12</x:f>
        <x:v>Refresh</x:v>
      </x:c>
      <x:c r="H12" t="n">
        <x:f>'Portfolio Inputs'!R12</x:f>
        <x:v>74.03666666666668</x:v>
      </x:c>
      <x:c r="I12" t="n">
        <x:f>'Portfolio Inputs'!P12</x:f>
        <x:v>64.37</x:v>
      </x:c>
      <x:c r="J12" t="n">
        <x:v>0.54</x:v>
      </x:c>
      <x:c r="K12" t="n">
        <x:v>0.49</x:v>
      </x:c>
      <x:c r="L12" t="n">
        <x:v>0.4</x:v>
      </x:c>
      <x:c r="M12" t="n">
        <x:v>29</x:v>
      </x:c>
      <x:c r="N12" t="str">
        <x:f>'Portfolio Inputs'!S12</x:f>
        <x:v>Aging offer with enough value to preserve</x:v>
      </x:c>
    </x:row>
    <x:row r="13">
      <x:c r="A13" t="n">
        <x:f>RANK(H13,$H$2:$H$31,0)+COUNTIF($H$2:H13,H13)-1</x:f>
        <x:v>23</x:v>
      </x:c>
      <x:c r="B13" t="str">
        <x:v>LP012</x:v>
      </x:c>
      <x:c r="C13" t="str">
        <x:v>Agency Relationship Management</x:v>
      </x:c>
      <x:c r="D13" t="str">
        <x:v>Existing Product</x:v>
      </x:c>
      <x:c r="E13" t="str">
        <x:v>Marketing Operations</x:v>
      </x:c>
      <x:c r="F13" t="str">
        <x:v>Half-Day</x:v>
      </x:c>
      <x:c r="G13" t="str">
        <x:f>'Portfolio Inputs'!Q13</x:f>
        <x:v>Refresh</x:v>
      </x:c>
      <x:c r="H13" t="n">
        <x:f>'Portfolio Inputs'!R13</x:f>
        <x:v>70.09333333333333</x:v>
      </x:c>
      <x:c r="I13" t="n">
        <x:f>'Portfolio Inputs'!P13</x:f>
        <x:v>61.760000000000005</x:v>
      </x:c>
      <x:c r="J13" t="n">
        <x:v>0.51</x:v>
      </x:c>
      <x:c r="K13" t="n">
        <x:v>0.46</x:v>
      </x:c>
      <x:c r="L13" t="n">
        <x:v>0.44</x:v>
      </x:c>
      <x:c r="M13" t="n">
        <x:v>25</x:v>
      </x:c>
      <x:c r="N13" t="str">
        <x:f>'Portfolio Inputs'!S13</x:f>
        <x:v>Aging offer with enough value to preserve</x:v>
      </x:c>
    </x:row>
    <x:row r="14">
      <x:c r="A14" t="n">
        <x:f>RANK(H14,$H$2:$H$31,0)+COUNTIF($H$2:H14,H14)-1</x:f>
        <x:v>20</x:v>
      </x:c>
      <x:c r="B14" t="str">
        <x:v>LP013</x:v>
      </x:c>
      <x:c r="C14" t="str">
        <x:v>Content Strategy Systems</x:v>
      </x:c>
      <x:c r="D14" t="str">
        <x:v>Existing Product</x:v>
      </x:c>
      <x:c r="E14" t="str">
        <x:v>Communications</x:v>
      </x:c>
      <x:c r="F14" t="str">
        <x:v>Full-Day</x:v>
      </x:c>
      <x:c r="G14" t="str">
        <x:f>'Portfolio Inputs'!Q14</x:f>
        <x:v>Refresh</x:v>
      </x:c>
      <x:c r="H14" t="n">
        <x:f>'Portfolio Inputs'!R14</x:f>
        <x:v>71.11333333333333</x:v>
      </x:c>
      <x:c r="I14" t="n">
        <x:f>'Portfolio Inputs'!P14</x:f>
        <x:v>60.78</x:v>
      </x:c>
      <x:c r="J14" t="n">
        <x:v>0.56</x:v>
      </x:c>
      <x:c r="K14" t="n">
        <x:v>0.42</x:v>
      </x:c>
      <x:c r="L14" t="n">
        <x:v>0.46</x:v>
      </x:c>
      <x:c r="M14" t="n">
        <x:v>31</x:v>
      </x:c>
      <x:c r="N14" t="str">
        <x:f>'Portfolio Inputs'!S14</x:f>
        <x:v>Aging offer with enough value to preserve</x:v>
      </x:c>
    </x:row>
    <x:row r="15">
      <x:c r="A15" t="n">
        <x:f>RANK(H15,$H$2:$H$31,0)+COUNTIF($H$2:H15,H15)-1</x:f>
        <x:v>17</x:v>
      </x:c>
      <x:c r="B15" t="str">
        <x:v>LP014</x:v>
      </x:c>
      <x:c r="C15" t="str">
        <x:v>Creative Effectiveness Lab</x:v>
      </x:c>
      <x:c r="D15" t="str">
        <x:v>Existing Product</x:v>
      </x:c>
      <x:c r="E15" t="str">
        <x:v>Creative</x:v>
      </x:c>
      <x:c r="F15" t="str">
        <x:v>Half-Day</x:v>
      </x:c>
      <x:c r="G15" t="str">
        <x:f>'Portfolio Inputs'!Q15</x:f>
        <x:v>Refresh</x:v>
      </x:c>
      <x:c r="H15" t="n">
        <x:f>'Portfolio Inputs'!R15</x:f>
        <x:v>74.76333333333334</x:v>
      </x:c>
      <x:c r="I15" t="n">
        <x:f>'Portfolio Inputs'!P15</x:f>
        <x:v>67.43</x:v>
      </x:c>
      <x:c r="J15" t="n">
        <x:v>0.6</x:v>
      </x:c>
      <x:c r="K15" t="n">
        <x:v>0.5</x:v>
      </x:c>
      <x:c r="L15" t="n">
        <x:v>0.39</x:v>
      </x:c>
      <x:c r="M15" t="n">
        <x:v>22</x:v>
      </x:c>
      <x:c r="N15" t="str">
        <x:f>'Portfolio Inputs'!S15</x:f>
        <x:v>Aging offer with enough value to preserve</x:v>
      </x:c>
    </x:row>
    <x:row r="16">
      <x:c r="A16" t="n">
        <x:f>RANK(H16,$H$2:$H$31,0)+COUNTIF($H$2:H16,H16)-1</x:f>
        <x:v>19</x:v>
      </x:c>
      <x:c r="B16" t="str">
        <x:v>LP015</x:v>
      </x:c>
      <x:c r="C16" t="str">
        <x:v>Collaborative Communication</x:v>
      </x:c>
      <x:c r="D16" t="str">
        <x:v>Existing Product</x:v>
      </x:c>
      <x:c r="E16" t="str">
        <x:v>Leadership</x:v>
      </x:c>
      <x:c r="F16" t="str">
        <x:v>Mastery</x:v>
      </x:c>
      <x:c r="G16" t="str">
        <x:f>'Portfolio Inputs'!Q16</x:f>
        <x:v>Refresh</x:v>
      </x:c>
      <x:c r="H16" t="n">
        <x:f>'Portfolio Inputs'!R16</x:f>
        <x:v>73.36666666666666</x:v>
      </x:c>
      <x:c r="I16" t="n">
        <x:f>'Portfolio Inputs'!P16</x:f>
        <x:v>66.69999999999999</x:v>
      </x:c>
      <x:c r="J16" t="n">
        <x:v>0.52</x:v>
      </x:c>
      <x:c r="K16" t="n">
        <x:v>0.41</x:v>
      </x:c>
      <x:c r="L16" t="n">
        <x:v>0.36</x:v>
      </x:c>
      <x:c r="M16" t="n">
        <x:v>20</x:v>
      </x:c>
      <x:c r="N16" t="str">
        <x:f>'Portfolio Inputs'!S16</x:f>
        <x:v>Aging offer with enough value to preserve</x:v>
      </x:c>
    </x:row>
    <x:row r="17">
      <x:c r="A17" t="n">
        <x:f>RANK(H17,$H$2:$H$31,0)+COUNTIF($H$2:H17,H17)-1</x:f>
        <x:v>7</x:v>
      </x:c>
      <x:c r="B17" t="str">
        <x:v>LP016</x:v>
      </x:c>
      <x:c r="C17" t="str">
        <x:v>AI Ideation Sprint</x:v>
      </x:c>
      <x:c r="D17" t="str">
        <x:v>Existing Product</x:v>
      </x:c>
      <x:c r="E17" t="str">
        <x:v>AI &amp; Technology</x:v>
      </x:c>
      <x:c r="F17" t="str">
        <x:v>Burst</x:v>
      </x:c>
      <x:c r="G17" t="str">
        <x:f>'Portfolio Inputs'!Q17</x:f>
        <x:v>Consolidate</x:v>
      </x:c>
      <x:c r="H17" t="n">
        <x:f>'Portfolio Inputs'!R17</x:f>
        <x:v>84.25</x:v>
      </x:c>
      <x:c r="I17" t="n">
        <x:f>'Portfolio Inputs'!P17</x:f>
        <x:v>57.50000000000001</x:v>
      </x:c>
      <x:c r="J17" t="n">
        <x:v>0.36</x:v>
      </x:c>
      <x:c r="K17" t="n">
        <x:v>0.47</x:v>
      </x:c>
      <x:c r="L17" t="n">
        <x:v>0.78</x:v>
      </x:c>
      <x:c r="M17" t="n">
        <x:v>9</x:v>
      </x:c>
      <x:c r="N17" t="str">
        <x:f>'Portfolio Inputs'!S17</x:f>
        <x:v>High overlap with limited differentiated value</x:v>
      </x:c>
    </x:row>
    <x:row r="18">
      <x:c r="A18" t="n">
        <x:f>RANK(H18,$H$2:$H$31,0)+COUNTIF($H$2:H18,H18)-1</x:f>
        <x:v>4</x:v>
      </x:c>
      <x:c r="B18" t="str">
        <x:v>LP017</x:v>
      </x:c>
      <x:c r="C18" t="str">
        <x:v>GenAI Brainstorming Lab</x:v>
      </x:c>
      <x:c r="D18" t="str">
        <x:v>Existing Product</x:v>
      </x:c>
      <x:c r="E18" t="str">
        <x:v>AI &amp; Technology</x:v>
      </x:c>
      <x:c r="F18" t="str">
        <x:v>Micro</x:v>
      </x:c>
      <x:c r="G18" t="str">
        <x:f>'Portfolio Inputs'!Q18</x:f>
        <x:v>Consolidate</x:v>
      </x:c>
      <x:c r="H18" t="n">
        <x:f>'Portfolio Inputs'!R18</x:f>
        <x:v>86.64</x:v>
      </x:c>
      <x:c r="I18" t="n">
        <x:f>'Portfolio Inputs'!P18</x:f>
        <x:v>58.720000000000006</x:v>
      </x:c>
      <x:c r="J18" t="n">
        <x:v>0.34</x:v>
      </x:c>
      <x:c r="K18" t="n">
        <x:v>0.49</x:v>
      </x:c>
      <x:c r="L18" t="n">
        <x:v>0.81</x:v>
      </x:c>
      <x:c r="M18" t="n">
        <x:v>8</x:v>
      </x:c>
      <x:c r="N18" t="str">
        <x:f>'Portfolio Inputs'!S18</x:f>
        <x:v>High overlap with limited differentiated value</x:v>
      </x:c>
    </x:row>
    <x:row r="19">
      <x:c r="A19" t="n">
        <x:f>RANK(H19,$H$2:$H$31,0)+COUNTIF($H$2:H19,H19)-1</x:f>
        <x:v>12</x:v>
      </x:c>
      <x:c r="B19" t="str">
        <x:v>LP018</x:v>
      </x:c>
      <x:c r="C19" t="str">
        <x:v>Brand Positioning Workshop</x:v>
      </x:c>
      <x:c r="D19" t="str">
        <x:v>Existing Product</x:v>
      </x:c>
      <x:c r="E19" t="str">
        <x:v>Brand Strategy</x:v>
      </x:c>
      <x:c r="F19" t="str">
        <x:v>Half-Day</x:v>
      </x:c>
      <x:c r="G19" t="str">
        <x:f>'Portfolio Inputs'!Q19</x:f>
        <x:v>Consolidate</x:v>
      </x:c>
      <x:c r="H19" t="n">
        <x:f>'Portfolio Inputs'!R19</x:f>
        <x:v>79.61500000000001</x:v>
      </x:c>
      <x:c r="I19" t="n">
        <x:f>'Portfolio Inputs'!P19</x:f>
        <x:v>54.769999999999996</x:v>
      </x:c>
      <x:c r="J19" t="n">
        <x:v>0.31</x:v>
      </x:c>
      <x:c r="K19" t="n">
        <x:v>0.38</x:v>
      </x:c>
      <x:c r="L19" t="n">
        <x:v>0.72</x:v>
      </x:c>
      <x:c r="M19" t="n">
        <x:v>14</x:v>
      </x:c>
      <x:c r="N19" t="str">
        <x:f>'Portfolio Inputs'!S19</x:f>
        <x:v>High overlap with limited differentiated value</x:v>
      </x:c>
    </x:row>
    <x:row r="20">
      <x:c r="A20" t="n">
        <x:f>RANK(H20,$H$2:$H$31,0)+COUNTIF($H$2:H20,H20)-1</x:f>
        <x:v>10</x:v>
      </x:c>
      <x:c r="B20" t="str">
        <x:v>LP019</x:v>
      </x:c>
      <x:c r="C20" t="str">
        <x:v>Brand Relevance Lab</x:v>
      </x:c>
      <x:c r="D20" t="str">
        <x:v>Existing Product</x:v>
      </x:c>
      <x:c r="E20" t="str">
        <x:v>Brand Strategy</x:v>
      </x:c>
      <x:c r="F20" t="str">
        <x:v>Half-Day</x:v>
      </x:c>
      <x:c r="G20" t="str">
        <x:f>'Portfolio Inputs'!Q20</x:f>
        <x:v>Consolidate</x:v>
      </x:c>
      <x:c r="H20" t="n">
        <x:f>'Portfolio Inputs'!R20</x:f>
        <x:v>82.415</x:v>
      </x:c>
      <x:c r="I20" t="n">
        <x:f>'Portfolio Inputs'!P20</x:f>
        <x:v>53.169999999999995</x:v>
      </x:c>
      <x:c r="J20" t="n">
        <x:v>0.29</x:v>
      </x:c>
      <x:c r="K20" t="n">
        <x:v>0.36</x:v>
      </x:c>
      <x:c r="L20" t="n">
        <x:v>0.74</x:v>
      </x:c>
      <x:c r="M20" t="n">
        <x:v>13</x:v>
      </x:c>
      <x:c r="N20" t="str">
        <x:f>'Portfolio Inputs'!S20</x:f>
        <x:v>High overlap with limited differentiated value</x:v>
      </x:c>
    </x:row>
    <x:row r="21">
      <x:c r="A21" t="n">
        <x:f>RANK(H21,$H$2:$H$31,0)+COUNTIF($H$2:H21,H21)-1</x:f>
        <x:v>14</x:v>
      </x:c>
      <x:c r="B21" t="str">
        <x:v>LP020</x:v>
      </x:c>
      <x:c r="C21" t="str">
        <x:v>Marketing Operations Essentials</x:v>
      </x:c>
      <x:c r="D21" t="str">
        <x:v>Existing Product</x:v>
      </x:c>
      <x:c r="E21" t="str">
        <x:v>Marketing Operations</x:v>
      </x:c>
      <x:c r="F21" t="str">
        <x:v>Full-Day</x:v>
      </x:c>
      <x:c r="G21" t="str">
        <x:f>'Portfolio Inputs'!Q21</x:f>
        <x:v>Consolidate</x:v>
      </x:c>
      <x:c r="H21" t="n">
        <x:f>'Portfolio Inputs'!R21</x:f>
        <x:v>78.97</x:v>
      </x:c>
      <x:c r="I21" t="n">
        <x:f>'Portfolio Inputs'!P21</x:f>
        <x:v>52.06000000000001</x:v>
      </x:c>
      <x:c r="J21" t="n">
        <x:v>0.28</x:v>
      </x:c>
      <x:c r="K21" t="n">
        <x:v>0.35</x:v>
      </x:c>
      <x:c r="L21" t="n">
        <x:v>0.7</x:v>
      </x:c>
      <x:c r="M21" t="n">
        <x:v>16</x:v>
      </x:c>
      <x:c r="N21" t="str">
        <x:f>'Portfolio Inputs'!S21</x:f>
        <x:v>High overlap with limited differentiated value</x:v>
      </x:c>
    </x:row>
    <x:row r="22">
      <x:c r="A22" t="n">
        <x:f>RANK(H22,$H$2:$H$31,0)+COUNTIF($H$2:H22,H22)-1</x:f>
        <x:v>30</x:v>
      </x:c>
      <x:c r="B22" t="str">
        <x:v>LP021</x:v>
      </x:c>
      <x:c r="C22" t="str">
        <x:v>Marketing Procurement Fundamentals</x:v>
      </x:c>
      <x:c r="D22" t="str">
        <x:v>Existing Product</x:v>
      </x:c>
      <x:c r="E22" t="str">
        <x:v>Marketing Operations</x:v>
      </x:c>
      <x:c r="F22" t="str">
        <x:v>Full-Day</x:v>
      </x:c>
      <x:c r="G22" t="str">
        <x:f>'Portfolio Inputs'!Q22</x:f>
        <x:v>Maintain</x:v>
      </x:c>
      <x:c r="H22" t="n">
        <x:f>'Portfolio Inputs'!R22</x:f>
        <x:v>62.58000000000001</x:v>
      </x:c>
      <x:c r="I22" t="n">
        <x:f>'Portfolio Inputs'!P22</x:f>
        <x:v>62.58000000000001</x:v>
      </x:c>
      <x:c r="J22" t="n">
        <x:v>0.44</x:v>
      </x:c>
      <x:c r="K22" t="n">
        <x:v>0.48</x:v>
      </x:c>
      <x:c r="L22" t="n">
        <x:v>0.52</x:v>
      </x:c>
      <x:c r="M22" t="n">
        <x:v>15</x:v>
      </x:c>
      <x:c r="N22" t="str">
        <x:f>'Portfolio Inputs'!S22</x:f>
        <x:v>Stable performance; no urgent portfolio action</x:v>
      </x:c>
    </x:row>
    <x:row r="23">
      <x:c r="A23" t="n">
        <x:f>RANK(H23,$H$2:$H$31,0)+COUNTIF($H$2:H23,H23)-1</x:f>
        <x:v>25</x:v>
      </x:c>
      <x:c r="B23" t="str">
        <x:v>LP022</x:v>
      </x:c>
      <x:c r="C23" t="str">
        <x:v>Crisis Communications</x:v>
      </x:c>
      <x:c r="D23" t="str">
        <x:v>Existing Product</x:v>
      </x:c>
      <x:c r="E23" t="str">
        <x:v>Communications</x:v>
      </x:c>
      <x:c r="F23" t="str">
        <x:v>Burst</x:v>
      </x:c>
      <x:c r="G23" t="str">
        <x:f>'Portfolio Inputs'!Q23</x:f>
        <x:v>Maintain</x:v>
      </x:c>
      <x:c r="H23" t="n">
        <x:f>'Portfolio Inputs'!R23</x:f>
        <x:v>67.38000000000001</x:v>
      </x:c>
      <x:c r="I23" t="n">
        <x:f>'Portfolio Inputs'!P23</x:f>
        <x:v>67.38000000000001</x:v>
      </x:c>
      <x:c r="J23" t="n">
        <x:v>0.62</x:v>
      </x:c>
      <x:c r="K23" t="n">
        <x:v>0.43</x:v>
      </x:c>
      <x:c r="L23" t="n">
        <x:v>0.35</x:v>
      </x:c>
      <x:c r="M23" t="n">
        <x:v>2</x:v>
      </x:c>
      <x:c r="N23" t="str">
        <x:f>'Portfolio Inputs'!S23</x:f>
        <x:v>Stable performance; no urgent portfolio action</x:v>
      </x:c>
    </x:row>
    <x:row r="24">
      <x:c r="A24" t="n">
        <x:f>RANK(H24,$H$2:$H$31,0)+COUNTIF($H$2:H24,H24)-1</x:f>
        <x:v>26</x:v>
      </x:c>
      <x:c r="B24" t="str">
        <x:v>LP023</x:v>
      </x:c>
      <x:c r="C24" t="str">
        <x:v>Human-Centered Brand Growth</x:v>
      </x:c>
      <x:c r="D24" t="str">
        <x:v>Existing Product</x:v>
      </x:c>
      <x:c r="E24" t="str">
        <x:v>Brand Strategy</x:v>
      </x:c>
      <x:c r="F24" t="str">
        <x:v>Mastery</x:v>
      </x:c>
      <x:c r="G24" t="str">
        <x:f>'Portfolio Inputs'!Q24</x:f>
        <x:v>Maintain</x:v>
      </x:c>
      <x:c r="H24" t="n">
        <x:f>'Portfolio Inputs'!R24</x:f>
        <x:v>67.30000000000001</x:v>
      </x:c>
      <x:c r="I24" t="n">
        <x:f>'Portfolio Inputs'!P24</x:f>
        <x:v>67.30000000000001</x:v>
      </x:c>
      <x:c r="J24" t="n">
        <x:v>0.58</x:v>
      </x:c>
      <x:c r="K24" t="n">
        <x:v>0.4</x:v>
      </x:c>
      <x:c r="L24" t="n">
        <x:v>0.32</x:v>
      </x:c>
      <x:c r="M24" t="n">
        <x:v>7</x:v>
      </x:c>
      <x:c r="N24" t="str">
        <x:f>'Portfolio Inputs'!S24</x:f>
        <x:v>Stable performance; no urgent portfolio action</x:v>
      </x:c>
    </x:row>
    <x:row r="25">
      <x:c r="A25" t="n">
        <x:f>RANK(H25,$H$2:$H$31,0)+COUNTIF($H$2:H25,H25)-1</x:f>
        <x:v>21</x:v>
      </x:c>
      <x:c r="B25" t="str">
        <x:v>LP024</x:v>
      </x:c>
      <x:c r="C25" t="str">
        <x:v>Creative Leadership</x:v>
      </x:c>
      <x:c r="D25" t="str">
        <x:v>Existing Product</x:v>
      </x:c>
      <x:c r="E25" t="str">
        <x:v>Leadership</x:v>
      </x:c>
      <x:c r="F25" t="str">
        <x:v>Full-Day</x:v>
      </x:c>
      <x:c r="G25" t="str">
        <x:f>'Portfolio Inputs'!Q25</x:f>
        <x:v>Refresh</x:v>
      </x:c>
      <x:c r="H25" t="n">
        <x:f>'Portfolio Inputs'!R25</x:f>
        <x:v>70.97</x:v>
      </x:c>
      <x:c r="I25" t="n">
        <x:f>'Portfolio Inputs'!P25</x:f>
        <x:v>64.97</x:v>
      </x:c>
      <x:c r="J25" t="n">
        <x:v>0.49</x:v>
      </x:c>
      <x:c r="K25" t="n">
        <x:v>0.45</x:v>
      </x:c>
      <x:c r="L25" t="n">
        <x:v>0.39</x:v>
      </x:c>
      <x:c r="M25" t="n">
        <x:v>18</x:v>
      </x:c>
      <x:c r="N25" t="str">
        <x:f>'Portfolio Inputs'!S25</x:f>
        <x:v>Aging offer with enough value to preserve</x:v>
      </x:c>
    </x:row>
    <x:row r="26">
      <x:c r="A26" t="n">
        <x:f>RANK(H26,$H$2:$H$31,0)+COUNTIF($H$2:H26,H26)-1</x:f>
        <x:v>9</x:v>
      </x:c>
      <x:c r="B26" t="str">
        <x:v>OPP001</x:v>
      </x:c>
      <x:c r="C26" t="str">
        <x:v>AI Measurement &amp; Experimentation</x:v>
      </x:c>
      <x:c r="D26" t="str">
        <x:v>Gap Opportunity</x:v>
      </x:c>
      <x:c r="E26" t="str">
        <x:v>AI &amp; Technology</x:v>
      </x:c>
      <x:c r="F26" t="str">
        <x:v>Half-Day</x:v>
      </x:c>
      <x:c r="G26" t="str">
        <x:f>'Gap Opportunities'!K2</x:f>
        <x:v>Develop</x:v>
      </x:c>
      <x:c r="H26" t="n">
        <x:f>'Gap Opportunities'!J2</x:f>
        <x:v>83.15</x:v>
      </x:c>
      <x:c r="I26" t="n">
        <x:f>'Gap Opportunities'!J2</x:f>
        <x:v>83.15</x:v>
      </x:c>
      <x:c r="J26" t="n">
        <x:v>0.86</x:v>
      </x:c>
      <x:c r="K26" t="n">
        <x:v>0.39</x:v>
      </x:c>
      <x:c r="L26"/>
      <x:c r="M26"/>
      <x:c r="N26" t="str">
        <x:f>'Gap Opportunities'!L2</x:f>
        <x:v>High whitespace + demand + low current audience coverage</x:v>
      </x:c>
    </x:row>
    <x:row r="27">
      <x:c r="A27" t="n">
        <x:f>RANK(H27,$H$2:$H$31,0)+COUNTIF($H$2:H27,H27)-1</x:f>
        <x:v>5</x:v>
      </x:c>
      <x:c r="B27" t="str">
        <x:v>OPP002</x:v>
      </x:c>
      <x:c r="C27" t="str">
        <x:v>AI Governance for Marketing Leaders</x:v>
      </x:c>
      <x:c r="D27" t="str">
        <x:v>Gap Opportunity</x:v>
      </x:c>
      <x:c r="E27" t="str">
        <x:v>AI &amp; Technology</x:v>
      </x:c>
      <x:c r="F27" t="str">
        <x:v>Micro</x:v>
      </x:c>
      <x:c r="G27" t="str">
        <x:f>'Gap Opportunities'!K3</x:f>
        <x:v>Develop</x:v>
      </x:c>
      <x:c r="H27" t="n">
        <x:f>'Gap Opportunities'!J3</x:f>
        <x:v>86.25</x:v>
      </x:c>
      <x:c r="I27" t="n">
        <x:f>'Gap Opportunities'!J3</x:f>
        <x:v>86.25</x:v>
      </x:c>
      <x:c r="J27" t="n">
        <x:v>0.89</x:v>
      </x:c>
      <x:c r="K27" t="n">
        <x:v>0.34</x:v>
      </x:c>
      <x:c r="L27"/>
      <x:c r="M27"/>
      <x:c r="N27" t="str">
        <x:f>'Gap Opportunities'!L3</x:f>
        <x:v>High whitespace + demand + low current audience coverage</x:v>
      </x:c>
    </x:row>
    <x:row r="28">
      <x:c r="A28" t="n">
        <x:f>RANK(H28,$H$2:$H$31,0)+COUNTIF($H$2:H28,H28)-1</x:f>
        <x:v>11</x:v>
      </x:c>
      <x:c r="B28" t="str">
        <x:v>OPP003</x:v>
      </x:c>
      <x:c r="C28" t="str">
        <x:v>Marketing Data Quality &amp; Governance</x:v>
      </x:c>
      <x:c r="D28" t="str">
        <x:v>Gap Opportunity</x:v>
      </x:c>
      <x:c r="E28" t="str">
        <x:v>Data &amp; Measurement</x:v>
      </x:c>
      <x:c r="F28" t="str">
        <x:v>Half-Day</x:v>
      </x:c>
      <x:c r="G28" t="str">
        <x:f>'Gap Opportunities'!K4</x:f>
        <x:v>Develop</x:v>
      </x:c>
      <x:c r="H28" t="n">
        <x:f>'Gap Opportunities'!J4</x:f>
        <x:v>81.8</x:v>
      </x:c>
      <x:c r="I28" t="n">
        <x:f>'Gap Opportunities'!J4</x:f>
        <x:v>81.8</x:v>
      </x:c>
      <x:c r="J28" t="n">
        <x:v>0.84</x:v>
      </x:c>
      <x:c r="K28" t="n">
        <x:v>0.31</x:v>
      </x:c>
      <x:c r="L28"/>
      <x:c r="M28"/>
      <x:c r="N28" t="str">
        <x:f>'Gap Opportunities'!L4</x:f>
        <x:v>High whitespace + demand + low current audience coverage</x:v>
      </x:c>
    </x:row>
    <x:row r="29">
      <x:c r="A29" t="n">
        <x:f>RANK(H29,$H$2:$H$31,0)+COUNTIF($H$2:H29,H29)-1</x:f>
        <x:v>15</x:v>
      </x:c>
      <x:c r="B29" t="str">
        <x:v>OPP004</x:v>
      </x:c>
      <x:c r="C29" t="str">
        <x:v>Customer Experience Analytics</x:v>
      </x:c>
      <x:c r="D29" t="str">
        <x:v>Gap Opportunity</x:v>
      </x:c>
      <x:c r="E29" t="str">
        <x:v>Customer Experience</x:v>
      </x:c>
      <x:c r="F29" t="str">
        <x:v>Half-Day</x:v>
      </x:c>
      <x:c r="G29" t="str">
        <x:f>'Gap Opportunities'!K5</x:f>
        <x:v>Develop</x:v>
      </x:c>
      <x:c r="H29" t="n">
        <x:f>'Gap Opportunities'!J5</x:f>
        <x:v>78.14999999999999</x:v>
      </x:c>
      <x:c r="I29" t="n">
        <x:f>'Gap Opportunities'!J5</x:f>
        <x:v>78.14999999999999</x:v>
      </x:c>
      <x:c r="J29" t="n">
        <x:v>0.8</x:v>
      </x:c>
      <x:c r="K29" t="n">
        <x:v>0.36</x:v>
      </x:c>
      <x:c r="L29"/>
      <x:c r="M29"/>
      <x:c r="N29" t="str">
        <x:f>'Gap Opportunities'!L5</x:f>
        <x:v>High whitespace + demand + low current audience coverage</x:v>
      </x:c>
    </x:row>
    <x:row r="30">
      <x:c r="A30" t="n">
        <x:f>RANK(H30,$H$2:$H$31,0)+COUNTIF($H$2:H30,H30)-1</x:f>
        <x:v>16</x:v>
      </x:c>
      <x:c r="B30" t="str">
        <x:v>OPP005</x:v>
      </x:c>
      <x:c r="C30" t="str">
        <x:v>Creative Operations &amp; Workflow Design</x:v>
      </x:c>
      <x:c r="D30" t="str">
        <x:v>Gap Opportunity</x:v>
      </x:c>
      <x:c r="E30" t="str">
        <x:v>Creative</x:v>
      </x:c>
      <x:c r="F30" t="str">
        <x:v>Half-Day</x:v>
      </x:c>
      <x:c r="G30" t="str">
        <x:f>'Gap Opportunities'!K6</x:f>
        <x:v>Develop</x:v>
      </x:c>
      <x:c r="H30" t="n">
        <x:f>'Gap Opportunities'!J6</x:f>
        <x:v>76.54999999999998</x:v>
      </x:c>
      <x:c r="I30" t="n">
        <x:f>'Gap Opportunities'!J6</x:f>
        <x:v>76.54999999999998</x:v>
      </x:c>
      <x:c r="J30" t="n">
        <x:v>0.78</x:v>
      </x:c>
      <x:c r="K30" t="n">
        <x:v>0.33</x:v>
      </x:c>
      <x:c r="L30"/>
      <x:c r="M30"/>
      <x:c r="N30" t="str">
        <x:f>'Gap Opportunities'!L6</x:f>
        <x:v>High whitespace + demand + low current audience coverage</x:v>
      </x:c>
    </x:row>
    <x:row r="31">
      <x:c r="A31" t="n">
        <x:f>RANK(H31,$H$2:$H$31,0)+COUNTIF($H$2:H31,H31)-1</x:f>
        <x:v>13</x:v>
      </x:c>
      <x:c r="B31" t="str">
        <x:v>OPP006</x:v>
      </x:c>
      <x:c r="C31" t="str">
        <x:v>Strategic Influence for Marketing Leaders</x:v>
      </x:c>
      <x:c r="D31" t="str">
        <x:v>Gap Opportunity</x:v>
      </x:c>
      <x:c r="E31" t="str">
        <x:v>Leadership</x:v>
      </x:c>
      <x:c r="F31" t="str">
        <x:v>Micro</x:v>
      </x:c>
      <x:c r="G31" t="str">
        <x:f>'Gap Opportunities'!K7</x:f>
        <x:v>Develop</x:v>
      </x:c>
      <x:c r="H31" t="n">
        <x:f>'Gap Opportunities'!J7</x:f>
        <x:v>79.54999999999998</x:v>
      </x:c>
      <x:c r="I31" t="n">
        <x:f>'Gap Opportunities'!J7</x:f>
        <x:v>79.54999999999998</x:v>
      </x:c>
      <x:c r="J31" t="n">
        <x:v>0.82</x:v>
      </x:c>
      <x:c r="K31" t="n">
        <x:v>0.38</x:v>
      </x:c>
      <x:c r="L31"/>
      <x:c r="M31"/>
      <x:c r="N31" t="str">
        <x:f>'Gap Opportunities'!L7</x:f>
        <x:v>High whitespace + demand + low current audience coverage</x:v>
      </x:c>
    </x:row>
  </x:sheetData>
  <x:conditionalFormatting sqref="G2:G31">
    <x:cfRule type="expression" dxfId="6" priority="1">
      <x:formula>G2="Scale"</x:formula>
    </x:cfRule>
    <x:cfRule type="expression" dxfId="7" priority="2">
      <x:formula>G2="Refresh"</x:formula>
    </x:cfRule>
    <x:cfRule type="expression" dxfId="8" priority="3">
      <x:formula>G2="Consolidate"</x:formula>
    </x:cfRule>
    <x:cfRule type="expression" dxfId="9" priority="4">
      <x:formula>G2="Develop"</x:formula>
    </x:cfRule>
    <x:cfRule type="expression" dxfId="10" priority="5">
      <x:formula>G2="Maintain"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a5cc45569094e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31" hidden="0" customWidth="1"/>
    <x:col min="3" max="3" width="22" hidden="0" customWidth="1"/>
    <x:col min="4" max="4" width="14" hidden="0" customWidth="1"/>
    <x:col min="5" max="5" width="14" hidden="0" customWidth="1"/>
    <x:col min="6" max="6" width="12.880000114440918" hidden="0" customWidth="1"/>
    <x:col min="7" max="7" width="14.130000114440918" hidden="0" customWidth="1"/>
    <x:col min="8" max="8" width="15.630000114440918" hidden="0" customWidth="1"/>
    <x:col min="9" max="9" width="15.75" hidden="0" customWidth="1"/>
    <x:col min="10" max="10" width="11.880000114440918" hidden="0" customWidth="1"/>
    <x:col min="11" max="11" width="19.6299991607666" hidden="0" customWidth="1"/>
    <x:col min="12" max="12" width="13" hidden="0" customWidth="1"/>
    <x:col min="13" max="13" width="17.6299991607666" hidden="0" customWidth="1"/>
    <x:col min="14" max="14" width="17.75" hidden="0" customWidth="1"/>
    <x:col min="15" max="15" width="13.630000114440918" hidden="0" customWidth="1"/>
    <x:col min="16" max="16" width="17.3799991607666" hidden="0" customWidth="1"/>
    <x:col min="17" max="17" width="16.5" hidden="0" customWidth="1"/>
    <x:col min="18" max="18" width="13.25" hidden="0" customWidth="1"/>
    <x:col min="19" max="19" width="40" hidden="0" customWidth="1"/>
  </x:cols>
  <x:sheetData>
    <x:row r="1">
      <x:c r="A1" s="24" t="str">
        <x:v>Product ID</x:v>
      </x:c>
      <x:c r="B1" s="24" t="str">
        <x:v>Title</x:v>
      </x:c>
      <x:c r="C1" s="24" t="str">
        <x:v>Topic</x:v>
      </x:c>
      <x:c r="D1" s="24" t="str">
        <x:v>Format</x:v>
      </x:c>
      <x:c r="E1" s="24" t="str">
        <x:v>Lifecycle</x:v>
      </x:c>
      <x:c r="F1" s="24" t="str">
        <x:v>Registrations</x:v>
      </x:c>
      <x:c r="G1" s="24" t="str">
        <x:v>Demand Index</x:v>
      </x:c>
      <x:c r="H1" s="28" t="str">
        <x:v>Attendance Rate</x:v>
      </x:c>
      <x:c r="I1" s="28" t="str">
        <x:v>Completion Rate</x:v>
      </x:c>
      <x:c r="J1" s="30" t="str">
        <x:v>Satisfaction</x:v>
      </x:c>
      <x:c r="K1" s="24" t="str">
        <x:v>Refresh Age (Months)</x:v>
      </x:c>
      <x:c r="L1" s="28" t="str">
        <x:v>QA Pass Rate</x:v>
      </x:c>
      <x:c r="M1" s="28" t="str">
        <x:v>Audience Coverage</x:v>
      </x:c>
      <x:c r="N1" s="28" t="str">
        <x:v>Strategic Gap Score</x:v>
      </x:c>
      <x:c r="O1" s="28" t="str">
        <x:v>Overlap Score</x:v>
      </x:c>
      <x:c r="P1" s="30" t="str">
        <x:v>Performance Score</x:v>
      </x:c>
      <x:c r="Q1" s="30" t="str">
        <x:v>Recommendation</x:v>
      </x:c>
      <x:c r="R1" s="30" t="str">
        <x:v>Priority Score</x:v>
      </x:c>
      <x:c r="S1" s="24" t="str">
        <x:v>Decision Rationale</x:v>
      </x:c>
    </x:row>
    <x:row r="2">
      <x:c r="A2" t="str">
        <x:v>LP001</x:v>
      </x:c>
      <x:c r="B2" t="str">
        <x:v>Applied AI Foundations</x:v>
      </x:c>
      <x:c r="C2" t="str">
        <x:v>AI &amp; Technology</x:v>
      </x:c>
      <x:c r="D2" t="str">
        <x:v>Half-Day</x:v>
      </x:c>
      <x:c r="E2" t="str">
        <x:v>Active</x:v>
      </x:c>
      <x:c r="F2" t="n">
        <x:v>220</x:v>
      </x:c>
      <x:c r="G2" t="n">
        <x:v>88.7</x:v>
      </x:c>
      <x:c r="H2" t="n">
        <x:v>0.72</x:v>
      </x:c>
      <x:c r="I2" t="n">
        <x:v>0.91</x:v>
      </x:c>
      <x:c r="J2" t="n">
        <x:v>4.7</x:v>
      </x:c>
      <x:c r="K2" t="n">
        <x:v>6</x:v>
      </x:c>
      <x:c r="L2" t="n">
        <x:v>0.98</x:v>
      </x:c>
      <x:c r="M2" t="n">
        <x:v>0.78</x:v>
      </x:c>
      <x:c r="N2" t="n">
        <x:v>0.82</x:v>
      </x:c>
      <x:c r="O2" t="n">
        <x:v>0.28</x:v>
      </x:c>
      <x:c r="P2" t="n">
        <x:f>100*('Decision Model'!$B$4*(G2/100)+'Decision Model'!$B$5*H2+'Decision Model'!$B$6*I2+'Decision Model'!$B$7*(J2/5)+'Decision Model'!$B$8*L2+'Decision Model'!$B$9*M2+'Decision Model'!$B$10*N2)</x:f>
        <x:v>86.18999999999998</x:v>
      </x:c>
      <x:c r="Q2" t="str">
        <x:f>IF(AND(O2&gt;='Decision Model'!$B$15,P2&lt;='Decision Model'!$B$16),"Consolidate",IF(AND(K2&gt;='Decision Model'!$B$13,P2&gt;='Decision Model'!$B$14),"Refresh",IF(AND(P2&gt;='Decision Model'!$B$11,N2&gt;='Decision Model'!$B$12,O2&lt;'Decision Model'!$B$15),"Scale","Maintain")))</x:f>
        <x:v>Scale</x:v>
      </x:c>
      <x:c r="R2" t="n">
        <x:f>IF(Q2="Scale",P2+10*N2,IF(Q2="Refresh",P2+MIN(K2,36)/3,IF(Q2="Consolidate",100*O2+(70-P2)/2,P2)))</x:f>
        <x:v>94.38999999999999</x:v>
      </x:c>
      <x:c r="S2" t="str">
        <x:f>IF(Q2="Scale","High performance + strategic gap + low overlap",IF(Q2="Refresh","Aging offer with enough value to preserve",IF(Q2="Consolidate","High overlap with limited differentiated value","Stable performance; no urgent portfolio action")))</x:f>
        <x:v>High performance + strategic gap + low overlap</x:v>
      </x:c>
    </x:row>
    <x:row r="3">
      <x:c r="A3" t="str">
        <x:v>LP002</x:v>
      </x:c>
      <x:c r="B3" t="str">
        <x:v>Prompting for Strategic Work</x:v>
      </x:c>
      <x:c r="C3" t="str">
        <x:v>AI &amp; Technology</x:v>
      </x:c>
      <x:c r="D3" t="str">
        <x:v>Micro</x:v>
      </x:c>
      <x:c r="E3" t="str">
        <x:v>Active</x:v>
      </x:c>
      <x:c r="F3" t="n">
        <x:v>248</x:v>
      </x:c>
      <x:c r="G3" t="n">
        <x:v>100</x:v>
      </x:c>
      <x:c r="H3" t="n">
        <x:v>0.69</x:v>
      </x:c>
      <x:c r="I3" t="n">
        <x:v>0.92</x:v>
      </x:c>
      <x:c r="J3" t="n">
        <x:v>4.8</x:v>
      </x:c>
      <x:c r="K3" t="n">
        <x:v>4</x:v>
      </x:c>
      <x:c r="L3" t="n">
        <x:v>0.99</x:v>
      </x:c>
      <x:c r="M3" t="n">
        <x:v>0.74</x:v>
      </x:c>
      <x:c r="N3" t="n">
        <x:v>0.76</x:v>
      </x:c>
      <x:c r="O3" t="n">
        <x:v>0.31</x:v>
      </x:c>
      <x:c r="P3" t="n">
        <x:f>100*('Decision Model'!$B$4*(G3/100)+'Decision Model'!$B$5*H3+'Decision Model'!$B$6*I3+'Decision Model'!$B$7*(J3/5)+'Decision Model'!$B$8*L3+'Decision Model'!$B$9*M3+'Decision Model'!$B$10*N3)</x:f>
        <x:v>87.25</x:v>
      </x:c>
      <x:c r="Q3" t="str">
        <x:f>IF(AND(O3&gt;='Decision Model'!$B$15,P3&lt;='Decision Model'!$B$16),"Consolidate",IF(AND(K3&gt;='Decision Model'!$B$13,P3&gt;='Decision Model'!$B$14),"Refresh",IF(AND(P3&gt;='Decision Model'!$B$11,N3&gt;='Decision Model'!$B$12,O3&lt;'Decision Model'!$B$15),"Scale","Maintain")))</x:f>
        <x:v>Scale</x:v>
      </x:c>
      <x:c r="R3" t="n">
        <x:f>IF(Q3="Scale",P3+10*N3,IF(Q3="Refresh",P3+MIN(K3,36)/3,IF(Q3="Consolidate",100*O3+(70-P3)/2,P3)))</x:f>
        <x:v>94.85</x:v>
      </x:c>
      <x:c r="S3" t="str">
        <x:f>IF(Q3="Scale","High performance + strategic gap + low overlap",IF(Q3="Refresh","Aging offer with enough value to preserve",IF(Q3="Consolidate","High overlap with limited differentiated value","Stable performance; no urgent portfolio action")))</x:f>
        <x:v>High performance + strategic gap + low overlap</x:v>
      </x:c>
    </x:row>
    <x:row r="4">
      <x:c r="A4" t="str">
        <x:v>LP003</x:v>
      </x:c>
      <x:c r="B4" t="str">
        <x:v>Responsible AI Decisions</x:v>
      </x:c>
      <x:c r="C4" t="str">
        <x:v>AI &amp; Technology</x:v>
      </x:c>
      <x:c r="D4" t="str">
        <x:v>Burst</x:v>
      </x:c>
      <x:c r="E4" t="str">
        <x:v>Active</x:v>
      </x:c>
      <x:c r="F4" t="n">
        <x:v>185</x:v>
      </x:c>
      <x:c r="G4" t="n">
        <x:v>74.6</x:v>
      </x:c>
      <x:c r="H4" t="n">
        <x:v>0.67</x:v>
      </x:c>
      <x:c r="I4" t="n">
        <x:v>0.89</x:v>
      </x:c>
      <x:c r="J4" t="n">
        <x:v>4.6</x:v>
      </x:c>
      <x:c r="K4" t="n">
        <x:v>8</x:v>
      </x:c>
      <x:c r="L4" t="n">
        <x:v>0.97</x:v>
      </x:c>
      <x:c r="M4" t="n">
        <x:v>0.66</x:v>
      </x:c>
      <x:c r="N4" t="n">
        <x:v>0.71</x:v>
      </x:c>
      <x:c r="O4" t="n">
        <x:v>0.34</x:v>
      </x:c>
      <x:c r="P4" t="n">
        <x:f>100*('Decision Model'!$B$4*(G4/100)+'Decision Model'!$B$5*H4+'Decision Model'!$B$6*I4+'Decision Model'!$B$7*(J4/5)+'Decision Model'!$B$8*L4+'Decision Model'!$B$9*M4+'Decision Model'!$B$10*N4)</x:f>
        <x:v>79.07</x:v>
      </x:c>
      <x:c r="Q4" t="str">
        <x:f>IF(AND(O4&gt;='Decision Model'!$B$15,P4&lt;='Decision Model'!$B$16),"Consolidate",IF(AND(K4&gt;='Decision Model'!$B$13,P4&gt;='Decision Model'!$B$14),"Refresh",IF(AND(P4&gt;='Decision Model'!$B$11,N4&gt;='Decision Model'!$B$12,O4&lt;'Decision Model'!$B$15),"Scale","Maintain")))</x:f>
        <x:v>Scale</x:v>
      </x:c>
      <x:c r="R4" t="n">
        <x:f>IF(Q4="Scale",P4+10*N4,IF(Q4="Refresh",P4+MIN(K4,36)/3,IF(Q4="Consolidate",100*O4+(70-P4)/2,P4)))</x:f>
        <x:v>86.16999999999999</x:v>
      </x:c>
      <x:c r="S4" t="str">
        <x:f>IF(Q4="Scale","High performance + strategic gap + low overlap",IF(Q4="Refresh","Aging offer with enough value to preserve",IF(Q4="Consolidate","High overlap with limited differentiated value","Stable performance; no urgent portfolio action")))</x:f>
        <x:v>High performance + strategic gap + low overlap</x:v>
      </x:c>
    </x:row>
    <x:row r="5">
      <x:c r="A5" t="str">
        <x:v>LP004</x:v>
      </x:c>
      <x:c r="B5" t="str">
        <x:v>Dashboard Storytelling</x:v>
      </x:c>
      <x:c r="C5" t="str">
        <x:v>Data &amp; Measurement</x:v>
      </x:c>
      <x:c r="D5" t="str">
        <x:v>Micro</x:v>
      </x:c>
      <x:c r="E5" t="str">
        <x:v>Active</x:v>
      </x:c>
      <x:c r="F5" t="n">
        <x:v>174</x:v>
      </x:c>
      <x:c r="G5" t="n">
        <x:v>70.2</x:v>
      </x:c>
      <x:c r="H5" t="n">
        <x:v>0.64</x:v>
      </x:c>
      <x:c r="I5" t="n">
        <x:v>0.9</x:v>
      </x:c>
      <x:c r="J5" t="n">
        <x:v>4.6</x:v>
      </x:c>
      <x:c r="K5" t="n">
        <x:v>7</x:v>
      </x:c>
      <x:c r="L5" t="n">
        <x:v>0.98</x:v>
      </x:c>
      <x:c r="M5" t="n">
        <x:v>0.63</x:v>
      </x:c>
      <x:c r="N5" t="n">
        <x:v>0.68</x:v>
      </x:c>
      <x:c r="O5" t="n">
        <x:v>0.29</x:v>
      </x:c>
      <x:c r="P5" t="n">
        <x:f>100*('Decision Model'!$B$4*(G5/100)+'Decision Model'!$B$5*H5+'Decision Model'!$B$6*I5+'Decision Model'!$B$7*(J5/5)+'Decision Model'!$B$8*L5+'Decision Model'!$B$9*M5+'Decision Model'!$B$10*N5)</x:f>
        <x:v>77.24000000000001</x:v>
      </x:c>
      <x:c r="Q5" t="str">
        <x:f>IF(AND(O5&gt;='Decision Model'!$B$15,P5&lt;='Decision Model'!$B$16),"Consolidate",IF(AND(K5&gt;='Decision Model'!$B$13,P5&gt;='Decision Model'!$B$14),"Refresh",IF(AND(P5&gt;='Decision Model'!$B$11,N5&gt;='Decision Model'!$B$12,O5&lt;'Decision Model'!$B$15),"Scale","Maintain")))</x:f>
        <x:v>Scale</x:v>
      </x:c>
      <x:c r="R5" t="n">
        <x:f>IF(Q5="Scale",P5+10*N5,IF(Q5="Refresh",P5+MIN(K5,36)/3,IF(Q5="Consolidate",100*O5+(70-P5)/2,P5)))</x:f>
        <x:v>84.04</x:v>
      </x:c>
      <x:c r="S5" t="str">
        <x:f>IF(Q5="Scale","High performance + strategic gap + low overlap",IF(Q5="Refresh","Aging offer with enough value to preserve",IF(Q5="Consolidate","High overlap with limited differentiated value","Stable performance; no urgent portfolio action")))</x:f>
        <x:v>High performance + strategic gap + low overlap</x:v>
      </x:c>
    </x:row>
    <x:row r="6">
      <x:c r="A6" t="str">
        <x:v>LP005</x:v>
      </x:c>
      <x:c r="B6" t="str">
        <x:v>Customer Journey Blueprint</x:v>
      </x:c>
      <x:c r="C6" t="str">
        <x:v>Customer Experience</x:v>
      </x:c>
      <x:c r="D6" t="str">
        <x:v>Micro</x:v>
      </x:c>
      <x:c r="E6" t="str">
        <x:v>Active</x:v>
      </x:c>
      <x:c r="F6" t="n">
        <x:v>206</x:v>
      </x:c>
      <x:c r="G6" t="n">
        <x:v>83.1</x:v>
      </x:c>
      <x:c r="H6" t="n">
        <x:v>0.66</x:v>
      </x:c>
      <x:c r="I6" t="n">
        <x:v>0.91</x:v>
      </x:c>
      <x:c r="J6" t="n">
        <x:v>4.7</x:v>
      </x:c>
      <x:c r="K6" t="n">
        <x:v>5</x:v>
      </x:c>
      <x:c r="L6" t="n">
        <x:v>0.99</x:v>
      </x:c>
      <x:c r="M6" t="n">
        <x:v>0.69</x:v>
      </x:c>
      <x:c r="N6" t="n">
        <x:v>0.73</x:v>
      </x:c>
      <x:c r="O6" t="n">
        <x:v>0.3</x:v>
      </x:c>
      <x:c r="P6" t="n">
        <x:f>100*('Decision Model'!$B$4*(G6/100)+'Decision Model'!$B$5*H6+'Decision Model'!$B$6*I6+'Decision Model'!$B$7*(J6/5)+'Decision Model'!$B$8*L6+'Decision Model'!$B$9*M6+'Decision Model'!$B$10*N6)</x:f>
        <x:v>82.02</x:v>
      </x:c>
      <x:c r="Q6" t="str">
        <x:f>IF(AND(O6&gt;='Decision Model'!$B$15,P6&lt;='Decision Model'!$B$16),"Consolidate",IF(AND(K6&gt;='Decision Model'!$B$13,P6&gt;='Decision Model'!$B$14),"Refresh",IF(AND(P6&gt;='Decision Model'!$B$11,N6&gt;='Decision Model'!$B$12,O6&lt;'Decision Model'!$B$15),"Scale","Maintain")))</x:f>
        <x:v>Scale</x:v>
      </x:c>
      <x:c r="R6" t="n">
        <x:f>IF(Q6="Scale",P6+10*N6,IF(Q6="Refresh",P6+MIN(K6,36)/3,IF(Q6="Consolidate",100*O6+(70-P6)/2,P6)))</x:f>
        <x:v>89.32</x:v>
      </x:c>
      <x:c r="S6" t="str">
        <x:f>IF(Q6="Scale","High performance + strategic gap + low overlap",IF(Q6="Refresh","Aging offer with enough value to preserve",IF(Q6="Consolidate","High overlap with limited differentiated value","Stable performance; no urgent portfolio action")))</x:f>
        <x:v>High performance + strategic gap + low overlap</x:v>
      </x:c>
    </x:row>
    <x:row r="7">
      <x:c r="A7" t="str">
        <x:v>LP006</x:v>
      </x:c>
      <x:c r="B7" t="str">
        <x:v>Measurement Strategy</x:v>
      </x:c>
      <x:c r="C7" t="str">
        <x:v>Data &amp; Measurement</x:v>
      </x:c>
      <x:c r="D7" t="str">
        <x:v>Half-Day</x:v>
      </x:c>
      <x:c r="E7" t="str">
        <x:v>Active</x:v>
      </x:c>
      <x:c r="F7" t="n">
        <x:v>142</x:v>
      </x:c>
      <x:c r="G7" t="n">
        <x:v>57.3</x:v>
      </x:c>
      <x:c r="H7" t="n">
        <x:v>0.59</x:v>
      </x:c>
      <x:c r="I7" t="n">
        <x:v>0.85</x:v>
      </x:c>
      <x:c r="J7" t="n">
        <x:v>4.3</x:v>
      </x:c>
      <x:c r="K7" t="n">
        <x:v>11</x:v>
      </x:c>
      <x:c r="L7" t="n">
        <x:v>0.96</x:v>
      </x:c>
      <x:c r="M7" t="n">
        <x:v>0.58</x:v>
      </x:c>
      <x:c r="N7" t="n">
        <x:v>0.45</x:v>
      </x:c>
      <x:c r="O7" t="n">
        <x:v>0.38</x:v>
      </x:c>
      <x:c r="P7" t="n">
        <x:f>100*('Decision Model'!$B$4*(G7/100)+'Decision Model'!$B$5*H7+'Decision Model'!$B$6*I7+'Decision Model'!$B$7*(J7/5)+'Decision Model'!$B$8*L7+'Decision Model'!$B$9*M7+'Decision Model'!$B$10*N7)</x:f>
        <x:v>68.11</x:v>
      </x:c>
      <x:c r="Q7" t="str">
        <x:f>IF(AND(O7&gt;='Decision Model'!$B$15,P7&lt;='Decision Model'!$B$16),"Consolidate",IF(AND(K7&gt;='Decision Model'!$B$13,P7&gt;='Decision Model'!$B$14),"Refresh",IF(AND(P7&gt;='Decision Model'!$B$11,N7&gt;='Decision Model'!$B$12,O7&lt;'Decision Model'!$B$15),"Scale","Maintain")))</x:f>
        <x:v>Maintain</x:v>
      </x:c>
      <x:c r="R7" t="n">
        <x:f>IF(Q7="Scale",P7+10*N7,IF(Q7="Refresh",P7+MIN(K7,36)/3,IF(Q7="Consolidate",100*O7+(70-P7)/2,P7)))</x:f>
        <x:v>68.11</x:v>
      </x:c>
      <x:c r="S7" t="str">
        <x:f>IF(Q7="Scale","High performance + strategic gap + low overlap",IF(Q7="Refresh","Aging offer with enough value to preserve",IF(Q7="Consolidate","High overlap with limited differentiated value","Stable performance; no urgent portfolio action")))</x:f>
        <x:v>Stable performance; no urgent portfolio action</x:v>
      </x:c>
    </x:row>
    <x:row r="8">
      <x:c r="A8" t="str">
        <x:v>LP007</x:v>
      </x:c>
      <x:c r="B8" t="str">
        <x:v>Brand Strategy Essentials</x:v>
      </x:c>
      <x:c r="C8" t="str">
        <x:v>Brand Strategy</x:v>
      </x:c>
      <x:c r="D8" t="str">
        <x:v>Half-Day</x:v>
      </x:c>
      <x:c r="E8" t="str">
        <x:v>Active</x:v>
      </x:c>
      <x:c r="F8" t="n">
        <x:v>136</x:v>
      </x:c>
      <x:c r="G8" t="n">
        <x:v>54.8</x:v>
      </x:c>
      <x:c r="H8" t="n">
        <x:v>0.57</x:v>
      </x:c>
      <x:c r="I8" t="n">
        <x:v>0.84</x:v>
      </x:c>
      <x:c r="J8" t="n">
        <x:v>4.4</x:v>
      </x:c>
      <x:c r="K8" t="n">
        <x:v>12</x:v>
      </x:c>
      <x:c r="L8" t="n">
        <x:v>0.95</x:v>
      </x:c>
      <x:c r="M8" t="n">
        <x:v>0.55</x:v>
      </x:c>
      <x:c r="N8" t="n">
        <x:v>0.42</x:v>
      </x:c>
      <x:c r="O8" t="n">
        <x:v>0.41</x:v>
      </x:c>
      <x:c r="P8" t="n">
        <x:f>100*('Decision Model'!$B$4*(G8/100)+'Decision Model'!$B$5*H8+'Decision Model'!$B$6*I8+'Decision Model'!$B$7*(J8/5)+'Decision Model'!$B$8*L8+'Decision Model'!$B$9*M8+'Decision Model'!$B$10*N8)</x:f>
        <x:v>66.61000000000001</x:v>
      </x:c>
      <x:c r="Q8" t="str">
        <x:f>IF(AND(O8&gt;='Decision Model'!$B$15,P8&lt;='Decision Model'!$B$16),"Consolidate",IF(AND(K8&gt;='Decision Model'!$B$13,P8&gt;='Decision Model'!$B$14),"Refresh",IF(AND(P8&gt;='Decision Model'!$B$11,N8&gt;='Decision Model'!$B$12,O8&lt;'Decision Model'!$B$15),"Scale","Maintain")))</x:f>
        <x:v>Maintain</x:v>
      </x:c>
      <x:c r="R8" t="n">
        <x:f>IF(Q8="Scale",P8+10*N8,IF(Q8="Refresh",P8+MIN(K8,36)/3,IF(Q8="Consolidate",100*O8+(70-P8)/2,P8)))</x:f>
        <x:v>66.61000000000001</x:v>
      </x:c>
      <x:c r="S8" t="str">
        <x:f>IF(Q8="Scale","High performance + strategic gap + low overlap",IF(Q8="Refresh","Aging offer with enough value to preserve",IF(Q8="Consolidate","High overlap with limited differentiated value","Stable performance; no urgent portfolio action")))</x:f>
        <x:v>Stable performance; no urgent portfolio action</x:v>
      </x:c>
    </x:row>
    <x:row r="9">
      <x:c r="A9" t="str">
        <x:v>LP008</x:v>
      </x:c>
      <x:c r="B9" t="str">
        <x:v>Creative Briefs That Work</x:v>
      </x:c>
      <x:c r="C9" t="str">
        <x:v>Creative</x:v>
      </x:c>
      <x:c r="D9" t="str">
        <x:v>Micro</x:v>
      </x:c>
      <x:c r="E9" t="str">
        <x:v>Active</x:v>
      </x:c>
      <x:c r="F9" t="n">
        <x:v>151</x:v>
      </x:c>
      <x:c r="G9" t="n">
        <x:v>60.9</x:v>
      </x:c>
      <x:c r="H9" t="n">
        <x:v>0.61</x:v>
      </x:c>
      <x:c r="I9" t="n">
        <x:v>0.88</x:v>
      </x:c>
      <x:c r="J9" t="n">
        <x:v>4.5</x:v>
      </x:c>
      <x:c r="K9" t="n">
        <x:v>10</x:v>
      </x:c>
      <x:c r="L9" t="n">
        <x:v>0.97</x:v>
      </x:c>
      <x:c r="M9" t="n">
        <x:v>0.57</x:v>
      </x:c>
      <x:c r="N9" t="n">
        <x:v>0.48</x:v>
      </x:c>
      <x:c r="O9" t="n">
        <x:v>0.43</x:v>
      </x:c>
      <x:c r="P9" t="n">
        <x:f>100*('Decision Model'!$B$4*(G9/100)+'Decision Model'!$B$5*H9+'Decision Model'!$B$6*I9+'Decision Model'!$B$7*(J9/5)+'Decision Model'!$B$8*L9+'Decision Model'!$B$9*M9+'Decision Model'!$B$10*N9)</x:f>
        <x:v>70.63000000000001</x:v>
      </x:c>
      <x:c r="Q9" t="str">
        <x:f>IF(AND(O9&gt;='Decision Model'!$B$15,P9&lt;='Decision Model'!$B$16),"Consolidate",IF(AND(K9&gt;='Decision Model'!$B$13,P9&gt;='Decision Model'!$B$14),"Refresh",IF(AND(P9&gt;='Decision Model'!$B$11,N9&gt;='Decision Model'!$B$12,O9&lt;'Decision Model'!$B$15),"Scale","Maintain")))</x:f>
        <x:v>Maintain</x:v>
      </x:c>
      <x:c r="R9" t="n">
        <x:f>IF(Q9="Scale",P9+10*N9,IF(Q9="Refresh",P9+MIN(K9,36)/3,IF(Q9="Consolidate",100*O9+(70-P9)/2,P9)))</x:f>
        <x:v>70.63000000000001</x:v>
      </x:c>
      <x:c r="S9" t="str">
        <x:f>IF(Q9="Scale","High performance + strategic gap + low overlap",IF(Q9="Refresh","Aging offer with enough value to preserve",IF(Q9="Consolidate","High overlap with limited differentiated value","Stable performance; no urgent portfolio action")))</x:f>
        <x:v>Stable performance; no urgent portfolio action</x:v>
      </x:c>
    </x:row>
    <x:row r="10">
      <x:c r="A10" t="str">
        <x:v>LP009</x:v>
      </x:c>
      <x:c r="B10" t="str">
        <x:v>Executive Communication</x:v>
      </x:c>
      <x:c r="C10" t="str">
        <x:v>Leadership</x:v>
      </x:c>
      <x:c r="D10" t="str">
        <x:v>Half-Day</x:v>
      </x:c>
      <x:c r="E10" t="str">
        <x:v>Active</x:v>
      </x:c>
      <x:c r="F10" t="n">
        <x:v>124</x:v>
      </x:c>
      <x:c r="G10" t="n">
        <x:v>50</x:v>
      </x:c>
      <x:c r="H10" t="n">
        <x:v>0.6</x:v>
      </x:c>
      <x:c r="I10" t="n">
        <x:v>0.89</x:v>
      </x:c>
      <x:c r="J10" t="n">
        <x:v>4.6</x:v>
      </x:c>
      <x:c r="K10" t="n">
        <x:v>9</x:v>
      </x:c>
      <x:c r="L10" t="n">
        <x:v>0.98</x:v>
      </x:c>
      <x:c r="M10" t="n">
        <x:v>0.51</x:v>
      </x:c>
      <x:c r="N10" t="n">
        <x:v>0.38</x:v>
      </x:c>
      <x:c r="O10" t="n">
        <x:v>0.37</x:v>
      </x:c>
      <x:c r="P10" t="n">
        <x:f>100*('Decision Model'!$B$4*(G10/100)+'Decision Model'!$B$5*H10+'Decision Model'!$B$6*I10+'Decision Model'!$B$7*(J10/5)+'Decision Model'!$B$8*L10+'Decision Model'!$B$9*M10+'Decision Model'!$B$10*N10)</x:f>
        <x:v>66.75</x:v>
      </x:c>
      <x:c r="Q10" t="str">
        <x:f>IF(AND(O10&gt;='Decision Model'!$B$15,P10&lt;='Decision Model'!$B$16),"Consolidate",IF(AND(K10&gt;='Decision Model'!$B$13,P10&gt;='Decision Model'!$B$14),"Refresh",IF(AND(P10&gt;='Decision Model'!$B$11,N10&gt;='Decision Model'!$B$12,O10&lt;'Decision Model'!$B$15),"Scale","Maintain")))</x:f>
        <x:v>Maintain</x:v>
      </x:c>
      <x:c r="R10" t="n">
        <x:f>IF(Q10="Scale",P10+10*N10,IF(Q10="Refresh",P10+MIN(K10,36)/3,IF(Q10="Consolidate",100*O10+(70-P10)/2,P10)))</x:f>
        <x:v>66.75</x:v>
      </x:c>
      <x:c r="S10" t="str">
        <x:f>IF(Q10="Scale","High performance + strategic gap + low overlap",IF(Q10="Refresh","Aging offer with enough value to preserve",IF(Q10="Consolidate","High overlap with limited differentiated value","Stable performance; no urgent portfolio action")))</x:f>
        <x:v>Stable performance; no urgent portfolio action</x:v>
      </x:c>
    </x:row>
    <x:row r="11">
      <x:c r="A11" t="str">
        <x:v>LP010</x:v>
      </x:c>
      <x:c r="B11" t="str">
        <x:v>Experience Measurement</x:v>
      </x:c>
      <x:c r="C11" t="str">
        <x:v>Customer Experience</x:v>
      </x:c>
      <x:c r="D11" t="str">
        <x:v>Half-Day</x:v>
      </x:c>
      <x:c r="E11" t="str">
        <x:v>Pilot</x:v>
      </x:c>
      <x:c r="F11" t="n">
        <x:v>118</x:v>
      </x:c>
      <x:c r="G11" t="n">
        <x:v>47.6</x:v>
      </x:c>
      <x:c r="H11" t="n">
        <x:v>0.55</x:v>
      </x:c>
      <x:c r="I11" t="n">
        <x:v>0.82</x:v>
      </x:c>
      <x:c r="J11" t="n">
        <x:v>4.2</x:v>
      </x:c>
      <x:c r="K11" t="n">
        <x:v>3</x:v>
      </x:c>
      <x:c r="L11" t="n">
        <x:v>0.94</x:v>
      </x:c>
      <x:c r="M11" t="n">
        <x:v>0.44</x:v>
      </x:c>
      <x:c r="N11" t="n">
        <x:v>0.57</x:v>
      </x:c>
      <x:c r="O11" t="n">
        <x:v>0.33</x:v>
      </x:c>
      <x:c r="P11" t="n">
        <x:f>100*('Decision Model'!$B$4*(G11/100)+'Decision Model'!$B$5*H11+'Decision Model'!$B$6*I11+'Decision Model'!$B$7*(J11/5)+'Decision Model'!$B$8*L11+'Decision Model'!$B$9*M11+'Decision Model'!$B$10*N11)</x:f>
        <x:v>65.02000000000001</x:v>
      </x:c>
      <x:c r="Q11" t="str">
        <x:f>IF(AND(O11&gt;='Decision Model'!$B$15,P11&lt;='Decision Model'!$B$16),"Consolidate",IF(AND(K11&gt;='Decision Model'!$B$13,P11&gt;='Decision Model'!$B$14),"Refresh",IF(AND(P11&gt;='Decision Model'!$B$11,N11&gt;='Decision Model'!$B$12,O11&lt;'Decision Model'!$B$15),"Scale","Maintain")))</x:f>
        <x:v>Maintain</x:v>
      </x:c>
      <x:c r="R11" t="n">
        <x:f>IF(Q11="Scale",P11+10*N11,IF(Q11="Refresh",P11+MIN(K11,36)/3,IF(Q11="Consolidate",100*O11+(70-P11)/2,P11)))</x:f>
        <x:v>65.02000000000001</x:v>
      </x:c>
      <x:c r="S11" t="str">
        <x:f>IF(Q11="Scale","High performance + strategic gap + low overlap",IF(Q11="Refresh","Aging offer with enough value to preserve",IF(Q11="Consolidate","High overlap with limited differentiated value","Stable performance; no urgent portfolio action")))</x:f>
        <x:v>Stable performance; no urgent portfolio action</x:v>
      </x:c>
    </x:row>
    <x:row r="12">
      <x:c r="A12" t="str">
        <x:v>LP011</x:v>
      </x:c>
      <x:c r="B12" t="str">
        <x:v>Experiment Design for Marketers</x:v>
      </x:c>
      <x:c r="C12" t="str">
        <x:v>Data &amp; Measurement</x:v>
      </x:c>
      <x:c r="D12" t="str">
        <x:v>Full-Day</x:v>
      </x:c>
      <x:c r="E12" t="str">
        <x:v>Refresh</x:v>
      </x:c>
      <x:c r="F12" t="n">
        <x:v>102</x:v>
      </x:c>
      <x:c r="G12" t="n">
        <x:v>41.1</x:v>
      </x:c>
      <x:c r="H12" t="n">
        <x:v>0.56</x:v>
      </x:c>
      <x:c r="I12" t="n">
        <x:v>0.83</x:v>
      </x:c>
      <x:c r="J12" t="n">
        <x:v>4.3</x:v>
      </x:c>
      <x:c r="K12" t="n">
        <x:v>29</x:v>
      </x:c>
      <x:c r="L12" t="n">
        <x:v>0.94</x:v>
      </x:c>
      <x:c r="M12" t="n">
        <x:v>0.49</x:v>
      </x:c>
      <x:c r="N12" t="n">
        <x:v>0.54</x:v>
      </x:c>
      <x:c r="O12" t="n">
        <x:v>0.4</x:v>
      </x:c>
      <x:c r="P12" t="n">
        <x:f>100*('Decision Model'!$B$4*(G12/100)+'Decision Model'!$B$5*H12+'Decision Model'!$B$6*I12+'Decision Model'!$B$7*(J12/5)+'Decision Model'!$B$8*L12+'Decision Model'!$B$9*M12+'Decision Model'!$B$10*N12)</x:f>
        <x:v>64.37</x:v>
      </x:c>
      <x:c r="Q12" t="str">
        <x:f>IF(AND(O12&gt;='Decision Model'!$B$15,P12&lt;='Decision Model'!$B$16),"Consolidate",IF(AND(K12&gt;='Decision Model'!$B$13,P12&gt;='Decision Model'!$B$14),"Refresh",IF(AND(P12&gt;='Decision Model'!$B$11,N12&gt;='Decision Model'!$B$12,O12&lt;'Decision Model'!$B$15),"Scale","Maintain")))</x:f>
        <x:v>Refresh</x:v>
      </x:c>
      <x:c r="R12" t="n">
        <x:f>IF(Q12="Scale",P12+10*N12,IF(Q12="Refresh",P12+MIN(K12,36)/3,IF(Q12="Consolidate",100*O12+(70-P12)/2,P12)))</x:f>
        <x:v>74.03666666666668</x:v>
      </x:c>
      <x:c r="S12" t="str">
        <x:f>IF(Q12="Scale","High performance + strategic gap + low overlap",IF(Q12="Refresh","Aging offer with enough value to preserve",IF(Q12="Consolidate","High overlap with limited differentiated value","Stable performance; no urgent portfolio action")))</x:f>
        <x:v>Aging offer with enough value to preserve</x:v>
      </x:c>
    </x:row>
    <x:row r="13">
      <x:c r="A13" t="str">
        <x:v>LP012</x:v>
      </x:c>
      <x:c r="B13" t="str">
        <x:v>Agency Relationship Management</x:v>
      </x:c>
      <x:c r="C13" t="str">
        <x:v>Marketing Operations</x:v>
      </x:c>
      <x:c r="D13" t="str">
        <x:v>Half-Day</x:v>
      </x:c>
      <x:c r="E13" t="str">
        <x:v>Refresh</x:v>
      </x:c>
      <x:c r="F13" t="n">
        <x:v>95</x:v>
      </x:c>
      <x:c r="G13" t="n">
        <x:v>38.3</x:v>
      </x:c>
      <x:c r="H13" t="n">
        <x:v>0.52</x:v>
      </x:c>
      <x:c r="I13" t="n">
        <x:v>0.81</x:v>
      </x:c>
      <x:c r="J13" t="n">
        <x:v>4.2</x:v>
      </x:c>
      <x:c r="K13" t="n">
        <x:v>25</x:v>
      </x:c>
      <x:c r="L13" t="n">
        <x:v>0.93</x:v>
      </x:c>
      <x:c r="M13" t="n">
        <x:v>0.46</x:v>
      </x:c>
      <x:c r="N13" t="n">
        <x:v>0.51</x:v>
      </x:c>
      <x:c r="O13" t="n">
        <x:v>0.44</x:v>
      </x:c>
      <x:c r="P13" t="n">
        <x:f>100*('Decision Model'!$B$4*(G13/100)+'Decision Model'!$B$5*H13+'Decision Model'!$B$6*I13+'Decision Model'!$B$7*(J13/5)+'Decision Model'!$B$8*L13+'Decision Model'!$B$9*M13+'Decision Model'!$B$10*N13)</x:f>
        <x:v>61.760000000000005</x:v>
      </x:c>
      <x:c r="Q13" t="str">
        <x:f>IF(AND(O13&gt;='Decision Model'!$B$15,P13&lt;='Decision Model'!$B$16),"Consolidate",IF(AND(K13&gt;='Decision Model'!$B$13,P13&gt;='Decision Model'!$B$14),"Refresh",IF(AND(P13&gt;='Decision Model'!$B$11,N13&gt;='Decision Model'!$B$12,O13&lt;'Decision Model'!$B$15),"Scale","Maintain")))</x:f>
        <x:v>Refresh</x:v>
      </x:c>
      <x:c r="R13" t="n">
        <x:f>IF(Q13="Scale",P13+10*N13,IF(Q13="Refresh",P13+MIN(K13,36)/3,IF(Q13="Consolidate",100*O13+(70-P13)/2,P13)))</x:f>
        <x:v>70.09333333333333</x:v>
      </x:c>
      <x:c r="S13" t="str">
        <x:f>IF(Q13="Scale","High performance + strategic gap + low overlap",IF(Q13="Refresh","Aging offer with enough value to preserve",IF(Q13="Consolidate","High overlap with limited differentiated value","Stable performance; no urgent portfolio action")))</x:f>
        <x:v>Aging offer with enough value to preserve</x:v>
      </x:c>
    </x:row>
    <x:row r="14">
      <x:c r="A14" t="str">
        <x:v>LP013</x:v>
      </x:c>
      <x:c r="B14" t="str">
        <x:v>Content Strategy Systems</x:v>
      </x:c>
      <x:c r="C14" t="str">
        <x:v>Communications</x:v>
      </x:c>
      <x:c r="D14" t="str">
        <x:v>Full-Day</x:v>
      </x:c>
      <x:c r="E14" t="str">
        <x:v>Refresh</x:v>
      </x:c>
      <x:c r="F14" t="n">
        <x:v>89</x:v>
      </x:c>
      <x:c r="G14" t="n">
        <x:v>35.9</x:v>
      </x:c>
      <x:c r="H14" t="n">
        <x:v>0.5</x:v>
      </x:c>
      <x:c r="I14" t="n">
        <x:v>0.8</x:v>
      </x:c>
      <x:c r="J14" t="n">
        <x:v>4.1</x:v>
      </x:c>
      <x:c r="K14" t="n">
        <x:v>31</x:v>
      </x:c>
      <x:c r="L14" t="n">
        <x:v>0.92</x:v>
      </x:c>
      <x:c r="M14" t="n">
        <x:v>0.42</x:v>
      </x:c>
      <x:c r="N14" t="n">
        <x:v>0.56</x:v>
      </x:c>
      <x:c r="O14" t="n">
        <x:v>0.46</x:v>
      </x:c>
      <x:c r="P14" t="n">
        <x:f>100*('Decision Model'!$B$4*(G14/100)+'Decision Model'!$B$5*H14+'Decision Model'!$B$6*I14+'Decision Model'!$B$7*(J14/5)+'Decision Model'!$B$8*L14+'Decision Model'!$B$9*M14+'Decision Model'!$B$10*N14)</x:f>
        <x:v>60.78</x:v>
      </x:c>
      <x:c r="Q14" t="str">
        <x:f>IF(AND(O14&gt;='Decision Model'!$B$15,P14&lt;='Decision Model'!$B$16),"Consolidate",IF(AND(K14&gt;='Decision Model'!$B$13,P14&gt;='Decision Model'!$B$14),"Refresh",IF(AND(P14&gt;='Decision Model'!$B$11,N14&gt;='Decision Model'!$B$12,O14&lt;'Decision Model'!$B$15),"Scale","Maintain")))</x:f>
        <x:v>Refresh</x:v>
      </x:c>
      <x:c r="R14" t="n">
        <x:f>IF(Q14="Scale",P14+10*N14,IF(Q14="Refresh",P14+MIN(K14,36)/3,IF(Q14="Consolidate",100*O14+(70-P14)/2,P14)))</x:f>
        <x:v>71.11333333333333</x:v>
      </x:c>
      <x:c r="S14" t="str">
        <x:f>IF(Q14="Scale","High performance + strategic gap + low overlap",IF(Q14="Refresh","Aging offer with enough value to preserve",IF(Q14="Consolidate","High overlap with limited differentiated value","Stable performance; no urgent portfolio action")))</x:f>
        <x:v>Aging offer with enough value to preserve</x:v>
      </x:c>
    </x:row>
    <x:row r="15">
      <x:c r="A15" t="str">
        <x:v>LP014</x:v>
      </x:c>
      <x:c r="B15" t="str">
        <x:v>Creative Effectiveness Lab</x:v>
      </x:c>
      <x:c r="C15" t="str">
        <x:v>Creative</x:v>
      </x:c>
      <x:c r="D15" t="str">
        <x:v>Half-Day</x:v>
      </x:c>
      <x:c r="E15" t="str">
        <x:v>Active</x:v>
      </x:c>
      <x:c r="F15" t="n">
        <x:v>110</x:v>
      </x:c>
      <x:c r="G15" t="n">
        <x:v>44.4</x:v>
      </x:c>
      <x:c r="H15" t="n">
        <x:v>0.58</x:v>
      </x:c>
      <x:c r="I15" t="n">
        <x:v>0.85</x:v>
      </x:c>
      <x:c r="J15" t="n">
        <x:v>4.5</x:v>
      </x:c>
      <x:c r="K15" t="n">
        <x:v>22</x:v>
      </x:c>
      <x:c r="L15" t="n">
        <x:v>0.96</x:v>
      </x:c>
      <x:c r="M15" t="n">
        <x:v>0.5</x:v>
      </x:c>
      <x:c r="N15" t="n">
        <x:v>0.6</x:v>
      </x:c>
      <x:c r="O15" t="n">
        <x:v>0.39</x:v>
      </x:c>
      <x:c r="P15" t="n">
        <x:f>100*('Decision Model'!$B$4*(G15/100)+'Decision Model'!$B$5*H15+'Decision Model'!$B$6*I15+'Decision Model'!$B$7*(J15/5)+'Decision Model'!$B$8*L15+'Decision Model'!$B$9*M15+'Decision Model'!$B$10*N15)</x:f>
        <x:v>67.43</x:v>
      </x:c>
      <x:c r="Q15" t="str">
        <x:f>IF(AND(O15&gt;='Decision Model'!$B$15,P15&lt;='Decision Model'!$B$16),"Consolidate",IF(AND(K15&gt;='Decision Model'!$B$13,P15&gt;='Decision Model'!$B$14),"Refresh",IF(AND(P15&gt;='Decision Model'!$B$11,N15&gt;='Decision Model'!$B$12,O15&lt;'Decision Model'!$B$15),"Scale","Maintain")))</x:f>
        <x:v>Refresh</x:v>
      </x:c>
      <x:c r="R15" t="n">
        <x:f>IF(Q15="Scale",P15+10*N15,IF(Q15="Refresh",P15+MIN(K15,36)/3,IF(Q15="Consolidate",100*O15+(70-P15)/2,P15)))</x:f>
        <x:v>74.76333333333334</x:v>
      </x:c>
      <x:c r="S15" t="str">
        <x:f>IF(Q15="Scale","High performance + strategic gap + low overlap",IF(Q15="Refresh","Aging offer with enough value to preserve",IF(Q15="Consolidate","High overlap with limited differentiated value","Stable performance; no urgent portfolio action")))</x:f>
        <x:v>Aging offer with enough value to preserve</x:v>
      </x:c>
    </x:row>
    <x:row r="16">
      <x:c r="A16" t="str">
        <x:v>LP015</x:v>
      </x:c>
      <x:c r="B16" t="str">
        <x:v>Collaborative Communication</x:v>
      </x:c>
      <x:c r="C16" t="str">
        <x:v>Leadership</x:v>
      </x:c>
      <x:c r="D16" t="str">
        <x:v>Mastery</x:v>
      </x:c>
      <x:c r="E16" t="str">
        <x:v>Active</x:v>
      </x:c>
      <x:c r="F16" t="n">
        <x:v>78</x:v>
      </x:c>
      <x:c r="G16" t="n">
        <x:v>31.5</x:v>
      </x:c>
      <x:c r="H16" t="n">
        <x:v>0.68</x:v>
      </x:c>
      <x:c r="I16" t="n">
        <x:v>0.94</x:v>
      </x:c>
      <x:c r="J16" t="n">
        <x:v>4.8</x:v>
      </x:c>
      <x:c r="K16" t="n">
        <x:v>20</x:v>
      </x:c>
      <x:c r="L16" t="n">
        <x:v>0.98</x:v>
      </x:c>
      <x:c r="M16" t="n">
        <x:v>0.41</x:v>
      </x:c>
      <x:c r="N16" t="n">
        <x:v>0.52</x:v>
      </x:c>
      <x:c r="O16" t="n">
        <x:v>0.36</x:v>
      </x:c>
      <x:c r="P16" t="n">
        <x:f>100*('Decision Model'!$B$4*(G16/100)+'Decision Model'!$B$5*H16+'Decision Model'!$B$6*I16+'Decision Model'!$B$7*(J16/5)+'Decision Model'!$B$8*L16+'Decision Model'!$B$9*M16+'Decision Model'!$B$10*N16)</x:f>
        <x:v>66.69999999999999</x:v>
      </x:c>
      <x:c r="Q16" t="str">
        <x:f>IF(AND(O16&gt;='Decision Model'!$B$15,P16&lt;='Decision Model'!$B$16),"Consolidate",IF(AND(K16&gt;='Decision Model'!$B$13,P16&gt;='Decision Model'!$B$14),"Refresh",IF(AND(P16&gt;='Decision Model'!$B$11,N16&gt;='Decision Model'!$B$12,O16&lt;'Decision Model'!$B$15),"Scale","Maintain")))</x:f>
        <x:v>Refresh</x:v>
      </x:c>
      <x:c r="R16" t="n">
        <x:f>IF(Q16="Scale",P16+10*N16,IF(Q16="Refresh",P16+MIN(K16,36)/3,IF(Q16="Consolidate",100*O16+(70-P16)/2,P16)))</x:f>
        <x:v>73.36666666666666</x:v>
      </x:c>
      <x:c r="S16" t="str">
        <x:f>IF(Q16="Scale","High performance + strategic gap + low overlap",IF(Q16="Refresh","Aging offer with enough value to preserve",IF(Q16="Consolidate","High overlap with limited differentiated value","Stable performance; no urgent portfolio action")))</x:f>
        <x:v>Aging offer with enough value to preserve</x:v>
      </x:c>
    </x:row>
    <x:row r="17">
      <x:c r="A17" t="str">
        <x:v>LP016</x:v>
      </x:c>
      <x:c r="B17" t="str">
        <x:v>AI Ideation Sprint</x:v>
      </x:c>
      <x:c r="C17" t="str">
        <x:v>AI &amp; Technology</x:v>
      </x:c>
      <x:c r="D17" t="str">
        <x:v>Burst</x:v>
      </x:c>
      <x:c r="E17" t="str">
        <x:v>Active</x:v>
      </x:c>
      <x:c r="F17" t="n">
        <x:v>88</x:v>
      </x:c>
      <x:c r="G17" t="n">
        <x:v>35.5</x:v>
      </x:c>
      <x:c r="H17" t="n">
        <x:v>0.49</x:v>
      </x:c>
      <x:c r="I17" t="n">
        <x:v>0.77</x:v>
      </x:c>
      <x:c r="J17" t="n">
        <x:v>4</x:v>
      </x:c>
      <x:c r="K17" t="n">
        <x:v>9</x:v>
      </x:c>
      <x:c r="L17" t="n">
        <x:v>0.94</x:v>
      </x:c>
      <x:c r="M17" t="n">
        <x:v>0.47</x:v>
      </x:c>
      <x:c r="N17" t="n">
        <x:v>0.36</x:v>
      </x:c>
      <x:c r="O17" t="n">
        <x:v>0.78</x:v>
      </x:c>
      <x:c r="P17" t="n">
        <x:f>100*('Decision Model'!$B$4*(G17/100)+'Decision Model'!$B$5*H17+'Decision Model'!$B$6*I17+'Decision Model'!$B$7*(J17/5)+'Decision Model'!$B$8*L17+'Decision Model'!$B$9*M17+'Decision Model'!$B$10*N17)</x:f>
        <x:v>57.50000000000001</x:v>
      </x:c>
      <x:c r="Q17" t="str">
        <x:f>IF(AND(O17&gt;='Decision Model'!$B$15,P17&lt;='Decision Model'!$B$16),"Consolidate",IF(AND(K17&gt;='Decision Model'!$B$13,P17&gt;='Decision Model'!$B$14),"Refresh",IF(AND(P17&gt;='Decision Model'!$B$11,N17&gt;='Decision Model'!$B$12,O17&lt;'Decision Model'!$B$15),"Scale","Maintain")))</x:f>
        <x:v>Consolidate</x:v>
      </x:c>
      <x:c r="R17" t="n">
        <x:f>IF(Q17="Scale",P17+10*N17,IF(Q17="Refresh",P17+MIN(K17,36)/3,IF(Q17="Consolidate",100*O17+(70-P17)/2,P17)))</x:f>
        <x:v>84.25</x:v>
      </x:c>
      <x:c r="S17" t="str">
        <x:f>IF(Q17="Scale","High performance + strategic gap + low overlap",IF(Q17="Refresh","Aging offer with enough value to preserve",IF(Q17="Consolidate","High overlap with limited differentiated value","Stable performance; no urgent portfolio action")))</x:f>
        <x:v>High overlap with limited differentiated value</x:v>
      </x:c>
    </x:row>
    <x:row r="18">
      <x:c r="A18" t="str">
        <x:v>LP017</x:v>
      </x:c>
      <x:c r="B18" t="str">
        <x:v>GenAI Brainstorming Lab</x:v>
      </x:c>
      <x:c r="C18" t="str">
        <x:v>AI &amp; Technology</x:v>
      </x:c>
      <x:c r="D18" t="str">
        <x:v>Micro</x:v>
      </x:c>
      <x:c r="E18" t="str">
        <x:v>Active</x:v>
      </x:c>
      <x:c r="F18" t="n">
        <x:v>92</x:v>
      </x:c>
      <x:c r="G18" t="n">
        <x:v>37.1</x:v>
      </x:c>
      <x:c r="H18" t="n">
        <x:v>0.51</x:v>
      </x:c>
      <x:c r="I18" t="n">
        <x:v>0.79</x:v>
      </x:c>
      <x:c r="J18" t="n">
        <x:v>4.1</x:v>
      </x:c>
      <x:c r="K18" t="n">
        <x:v>8</x:v>
      </x:c>
      <x:c r="L18" t="n">
        <x:v>0.95</x:v>
      </x:c>
      <x:c r="M18" t="n">
        <x:v>0.49</x:v>
      </x:c>
      <x:c r="N18" t="n">
        <x:v>0.34</x:v>
      </x:c>
      <x:c r="O18" t="n">
        <x:v>0.81</x:v>
      </x:c>
      <x:c r="P18" t="n">
        <x:f>100*('Decision Model'!$B$4*(G18/100)+'Decision Model'!$B$5*H18+'Decision Model'!$B$6*I18+'Decision Model'!$B$7*(J18/5)+'Decision Model'!$B$8*L18+'Decision Model'!$B$9*M18+'Decision Model'!$B$10*N18)</x:f>
        <x:v>58.720000000000006</x:v>
      </x:c>
      <x:c r="Q18" t="str">
        <x:f>IF(AND(O18&gt;='Decision Model'!$B$15,P18&lt;='Decision Model'!$B$16),"Consolidate",IF(AND(K18&gt;='Decision Model'!$B$13,P18&gt;='Decision Model'!$B$14),"Refresh",IF(AND(P18&gt;='Decision Model'!$B$11,N18&gt;='Decision Model'!$B$12,O18&lt;'Decision Model'!$B$15),"Scale","Maintain")))</x:f>
        <x:v>Consolidate</x:v>
      </x:c>
      <x:c r="R18" t="n">
        <x:f>IF(Q18="Scale",P18+10*N18,IF(Q18="Refresh",P18+MIN(K18,36)/3,IF(Q18="Consolidate",100*O18+(70-P18)/2,P18)))</x:f>
        <x:v>86.64</x:v>
      </x:c>
      <x:c r="S18" t="str">
        <x:f>IF(Q18="Scale","High performance + strategic gap + low overlap",IF(Q18="Refresh","Aging offer with enough value to preserve",IF(Q18="Consolidate","High overlap with limited differentiated value","Stable performance; no urgent portfolio action")))</x:f>
        <x:v>High overlap with limited differentiated value</x:v>
      </x:c>
    </x:row>
    <x:row r="19">
      <x:c r="A19" t="str">
        <x:v>LP018</x:v>
      </x:c>
      <x:c r="B19" t="str">
        <x:v>Brand Positioning Workshop</x:v>
      </x:c>
      <x:c r="C19" t="str">
        <x:v>Brand Strategy</x:v>
      </x:c>
      <x:c r="D19" t="str">
        <x:v>Half-Day</x:v>
      </x:c>
      <x:c r="E19" t="str">
        <x:v>Active</x:v>
      </x:c>
      <x:c r="F19" t="n">
        <x:v>76</x:v>
      </x:c>
      <x:c r="G19" t="n">
        <x:v>30.6</x:v>
      </x:c>
      <x:c r="H19" t="n">
        <x:v>0.48</x:v>
      </x:c>
      <x:c r="I19" t="n">
        <x:v>0.78</x:v>
      </x:c>
      <x:c r="J19" t="n">
        <x:v>4</x:v>
      </x:c>
      <x:c r="K19" t="n">
        <x:v>14</x:v>
      </x:c>
      <x:c r="L19" t="n">
        <x:v>0.93</x:v>
      </x:c>
      <x:c r="M19" t="n">
        <x:v>0.38</x:v>
      </x:c>
      <x:c r="N19" t="n">
        <x:v>0.31</x:v>
      </x:c>
      <x:c r="O19" t="n">
        <x:v>0.72</x:v>
      </x:c>
      <x:c r="P19" t="n">
        <x:f>100*('Decision Model'!$B$4*(G19/100)+'Decision Model'!$B$5*H19+'Decision Model'!$B$6*I19+'Decision Model'!$B$7*(J19/5)+'Decision Model'!$B$8*L19+'Decision Model'!$B$9*M19+'Decision Model'!$B$10*N19)</x:f>
        <x:v>54.769999999999996</x:v>
      </x:c>
      <x:c r="Q19" t="str">
        <x:f>IF(AND(O19&gt;='Decision Model'!$B$15,P19&lt;='Decision Model'!$B$16),"Consolidate",IF(AND(K19&gt;='Decision Model'!$B$13,P19&gt;='Decision Model'!$B$14),"Refresh",IF(AND(P19&gt;='Decision Model'!$B$11,N19&gt;='Decision Model'!$B$12,O19&lt;'Decision Model'!$B$15),"Scale","Maintain")))</x:f>
        <x:v>Consolidate</x:v>
      </x:c>
      <x:c r="R19" t="n">
        <x:f>IF(Q19="Scale",P19+10*N19,IF(Q19="Refresh",P19+MIN(K19,36)/3,IF(Q19="Consolidate",100*O19+(70-P19)/2,P19)))</x:f>
        <x:v>79.61500000000001</x:v>
      </x:c>
      <x:c r="S19" t="str">
        <x:f>IF(Q19="Scale","High performance + strategic gap + low overlap",IF(Q19="Refresh","Aging offer with enough value to preserve",IF(Q19="Consolidate","High overlap with limited differentiated value","Stable performance; no urgent portfolio action")))</x:f>
        <x:v>High overlap with limited differentiated value</x:v>
      </x:c>
    </x:row>
    <x:row r="20">
      <x:c r="A20" t="str">
        <x:v>LP019</x:v>
      </x:c>
      <x:c r="B20" t="str">
        <x:v>Brand Relevance Lab</x:v>
      </x:c>
      <x:c r="C20" t="str">
        <x:v>Brand Strategy</x:v>
      </x:c>
      <x:c r="D20" t="str">
        <x:v>Half-Day</x:v>
      </x:c>
      <x:c r="E20" t="str">
        <x:v>Active</x:v>
      </x:c>
      <x:c r="F20" t="n">
        <x:v>71</x:v>
      </x:c>
      <x:c r="G20" t="n">
        <x:v>28.6</x:v>
      </x:c>
      <x:c r="H20" t="n">
        <x:v>0.46</x:v>
      </x:c>
      <x:c r="I20" t="n">
        <x:v>0.76</x:v>
      </x:c>
      <x:c r="J20" t="n">
        <x:v>4</x:v>
      </x:c>
      <x:c r="K20" t="n">
        <x:v>13</x:v>
      </x:c>
      <x:c r="L20" t="n">
        <x:v>0.92</x:v>
      </x:c>
      <x:c r="M20" t="n">
        <x:v>0.36</x:v>
      </x:c>
      <x:c r="N20" t="n">
        <x:v>0.29</x:v>
      </x:c>
      <x:c r="O20" t="n">
        <x:v>0.74</x:v>
      </x:c>
      <x:c r="P20" t="n">
        <x:f>100*('Decision Model'!$B$4*(G20/100)+'Decision Model'!$B$5*H20+'Decision Model'!$B$6*I20+'Decision Model'!$B$7*(J20/5)+'Decision Model'!$B$8*L20+'Decision Model'!$B$9*M20+'Decision Model'!$B$10*N20)</x:f>
        <x:v>53.169999999999995</x:v>
      </x:c>
      <x:c r="Q20" t="str">
        <x:f>IF(AND(O20&gt;='Decision Model'!$B$15,P20&lt;='Decision Model'!$B$16),"Consolidate",IF(AND(K20&gt;='Decision Model'!$B$13,P20&gt;='Decision Model'!$B$14),"Refresh",IF(AND(P20&gt;='Decision Model'!$B$11,N20&gt;='Decision Model'!$B$12,O20&lt;'Decision Model'!$B$15),"Scale","Maintain")))</x:f>
        <x:v>Consolidate</x:v>
      </x:c>
      <x:c r="R20" t="n">
        <x:f>IF(Q20="Scale",P20+10*N20,IF(Q20="Refresh",P20+MIN(K20,36)/3,IF(Q20="Consolidate",100*O20+(70-P20)/2,P20)))</x:f>
        <x:v>82.415</x:v>
      </x:c>
      <x:c r="S20" t="str">
        <x:f>IF(Q20="Scale","High performance + strategic gap + low overlap",IF(Q20="Refresh","Aging offer with enough value to preserve",IF(Q20="Consolidate","High overlap with limited differentiated value","Stable performance; no urgent portfolio action")))</x:f>
        <x:v>High overlap with limited differentiated value</x:v>
      </x:c>
    </x:row>
    <x:row r="21">
      <x:c r="A21" t="str">
        <x:v>LP020</x:v>
      </x:c>
      <x:c r="B21" t="str">
        <x:v>Marketing Operations Essentials</x:v>
      </x:c>
      <x:c r="C21" t="str">
        <x:v>Marketing Operations</x:v>
      </x:c>
      <x:c r="D21" t="str">
        <x:v>Full-Day</x:v>
      </x:c>
      <x:c r="E21" t="str">
        <x:v>Active</x:v>
      </x:c>
      <x:c r="F21" t="n">
        <x:v>69</x:v>
      </x:c>
      <x:c r="G21" t="n">
        <x:v>27.8</x:v>
      </x:c>
      <x:c r="H21" t="n">
        <x:v>0.45</x:v>
      </x:c>
      <x:c r="I21" t="n">
        <x:v>0.75</x:v>
      </x:c>
      <x:c r="J21" t="n">
        <x:v>3.9</x:v>
      </x:c>
      <x:c r="K21" t="n">
        <x:v>16</x:v>
      </x:c>
      <x:c r="L21" t="n">
        <x:v>0.91</x:v>
      </x:c>
      <x:c r="M21" t="n">
        <x:v>0.35</x:v>
      </x:c>
      <x:c r="N21" t="n">
        <x:v>0.28</x:v>
      </x:c>
      <x:c r="O21" t="n">
        <x:v>0.7</x:v>
      </x:c>
      <x:c r="P21" t="n">
        <x:f>100*('Decision Model'!$B$4*(G21/100)+'Decision Model'!$B$5*H21+'Decision Model'!$B$6*I21+'Decision Model'!$B$7*(J21/5)+'Decision Model'!$B$8*L21+'Decision Model'!$B$9*M21+'Decision Model'!$B$10*N21)</x:f>
        <x:v>52.06000000000001</x:v>
      </x:c>
      <x:c r="Q21" t="str">
        <x:f>IF(AND(O21&gt;='Decision Model'!$B$15,P21&lt;='Decision Model'!$B$16),"Consolidate",IF(AND(K21&gt;='Decision Model'!$B$13,P21&gt;='Decision Model'!$B$14),"Refresh",IF(AND(P21&gt;='Decision Model'!$B$11,N21&gt;='Decision Model'!$B$12,O21&lt;'Decision Model'!$B$15),"Scale","Maintain")))</x:f>
        <x:v>Consolidate</x:v>
      </x:c>
      <x:c r="R21" t="n">
        <x:f>IF(Q21="Scale",P21+10*N21,IF(Q21="Refresh",P21+MIN(K21,36)/3,IF(Q21="Consolidate",100*O21+(70-P21)/2,P21)))</x:f>
        <x:v>78.97</x:v>
      </x:c>
      <x:c r="S21" t="str">
        <x:f>IF(Q21="Scale","High performance + strategic gap + low overlap",IF(Q21="Refresh","Aging offer with enough value to preserve",IF(Q21="Consolidate","High overlap with limited differentiated value","Stable performance; no urgent portfolio action")))</x:f>
        <x:v>High overlap with limited differentiated value</x:v>
      </x:c>
    </x:row>
    <x:row r="22">
      <x:c r="A22" t="str">
        <x:v>LP021</x:v>
      </x:c>
      <x:c r="B22" t="str">
        <x:v>Marketing Procurement Fundamentals</x:v>
      </x:c>
      <x:c r="C22" t="str">
        <x:v>Marketing Operations</x:v>
      </x:c>
      <x:c r="D22" t="str">
        <x:v>Full-Day</x:v>
      </x:c>
      <x:c r="E22" t="str">
        <x:v>Active</x:v>
      </x:c>
      <x:c r="F22" t="n">
        <x:v>104</x:v>
      </x:c>
      <x:c r="G22" t="n">
        <x:v>41.9</x:v>
      </x:c>
      <x:c r="H22" t="n">
        <x:v>0.54</x:v>
      </x:c>
      <x:c r="I22" t="n">
        <x:v>0.82</x:v>
      </x:c>
      <x:c r="J22" t="n">
        <x:v>4.3</x:v>
      </x:c>
      <x:c r="K22" t="n">
        <x:v>15</x:v>
      </x:c>
      <x:c r="L22" t="n">
        <x:v>0.95</x:v>
      </x:c>
      <x:c r="M22" t="n">
        <x:v>0.48</x:v>
      </x:c>
      <x:c r="N22" t="n">
        <x:v>0.44</x:v>
      </x:c>
      <x:c r="O22" t="n">
        <x:v>0.52</x:v>
      </x:c>
      <x:c r="P22" t="n">
        <x:f>100*('Decision Model'!$B$4*(G22/100)+'Decision Model'!$B$5*H22+'Decision Model'!$B$6*I22+'Decision Model'!$B$7*(J22/5)+'Decision Model'!$B$8*L22+'Decision Model'!$B$9*M22+'Decision Model'!$B$10*N22)</x:f>
        <x:v>62.58000000000001</x:v>
      </x:c>
      <x:c r="Q22" t="str">
        <x:f>IF(AND(O22&gt;='Decision Model'!$B$15,P22&lt;='Decision Model'!$B$16),"Consolidate",IF(AND(K22&gt;='Decision Model'!$B$13,P22&gt;='Decision Model'!$B$14),"Refresh",IF(AND(P22&gt;='Decision Model'!$B$11,N22&gt;='Decision Model'!$B$12,O22&lt;'Decision Model'!$B$15),"Scale","Maintain")))</x:f>
        <x:v>Maintain</x:v>
      </x:c>
      <x:c r="R22" t="n">
        <x:f>IF(Q22="Scale",P22+10*N22,IF(Q22="Refresh",P22+MIN(K22,36)/3,IF(Q22="Consolidate",100*O22+(70-P22)/2,P22)))</x:f>
        <x:v>62.58000000000001</x:v>
      </x:c>
      <x:c r="S22" t="str">
        <x:f>IF(Q22="Scale","High performance + strategic gap + low overlap",IF(Q22="Refresh","Aging offer with enough value to preserve",IF(Q22="Consolidate","High overlap with limited differentiated value","Stable performance; no urgent portfolio action")))</x:f>
        <x:v>Stable performance; no urgent portfolio action</x:v>
      </x:c>
    </x:row>
    <x:row r="23">
      <x:c r="A23" t="str">
        <x:v>LP022</x:v>
      </x:c>
      <x:c r="B23" t="str">
        <x:v>Crisis Communications</x:v>
      </x:c>
      <x:c r="C23" t="str">
        <x:v>Communications</x:v>
      </x:c>
      <x:c r="D23" t="str">
        <x:v>Burst</x:v>
      </x:c>
      <x:c r="E23" t="str">
        <x:v>Pilot</x:v>
      </x:c>
      <x:c r="F23" t="n">
        <x:v>115</x:v>
      </x:c>
      <x:c r="G23" t="n">
        <x:v>46.4</x:v>
      </x:c>
      <x:c r="H23" t="n">
        <x:v>0.56</x:v>
      </x:c>
      <x:c r="I23" t="n">
        <x:v>0.86</x:v>
      </x:c>
      <x:c r="J23" t="n">
        <x:v>4.5</x:v>
      </x:c>
      <x:c r="K23" t="n">
        <x:v>2</x:v>
      </x:c>
      <x:c r="L23" t="n">
        <x:v>0.97</x:v>
      </x:c>
      <x:c r="M23" t="n">
        <x:v>0.43</x:v>
      </x:c>
      <x:c r="N23" t="n">
        <x:v>0.62</x:v>
      </x:c>
      <x:c r="O23" t="n">
        <x:v>0.35</x:v>
      </x:c>
      <x:c r="P23" t="n">
        <x:f>100*('Decision Model'!$B$4*(G23/100)+'Decision Model'!$B$5*H23+'Decision Model'!$B$6*I23+'Decision Model'!$B$7*(J23/5)+'Decision Model'!$B$8*L23+'Decision Model'!$B$9*M23+'Decision Model'!$B$10*N23)</x:f>
        <x:v>67.38000000000001</x:v>
      </x:c>
      <x:c r="Q23" t="str">
        <x:f>IF(AND(O23&gt;='Decision Model'!$B$15,P23&lt;='Decision Model'!$B$16),"Consolidate",IF(AND(K23&gt;='Decision Model'!$B$13,P23&gt;='Decision Model'!$B$14),"Refresh",IF(AND(P23&gt;='Decision Model'!$B$11,N23&gt;='Decision Model'!$B$12,O23&lt;'Decision Model'!$B$15),"Scale","Maintain")))</x:f>
        <x:v>Maintain</x:v>
      </x:c>
      <x:c r="R23" t="n">
        <x:f>IF(Q23="Scale",P23+10*N23,IF(Q23="Refresh",P23+MIN(K23,36)/3,IF(Q23="Consolidate",100*O23+(70-P23)/2,P23)))</x:f>
        <x:v>67.38000000000001</x:v>
      </x:c>
      <x:c r="S23" t="str">
        <x:f>IF(Q23="Scale","High performance + strategic gap + low overlap",IF(Q23="Refresh","Aging offer with enough value to preserve",IF(Q23="Consolidate","High overlap with limited differentiated value","Stable performance; no urgent portfolio action")))</x:f>
        <x:v>Stable performance; no urgent portfolio action</x:v>
      </x:c>
    </x:row>
    <x:row r="24">
      <x:c r="A24" t="str">
        <x:v>LP023</x:v>
      </x:c>
      <x:c r="B24" t="str">
        <x:v>Human-Centered Brand Growth</x:v>
      </x:c>
      <x:c r="C24" t="str">
        <x:v>Brand Strategy</x:v>
      </x:c>
      <x:c r="D24" t="str">
        <x:v>Mastery</x:v>
      </x:c>
      <x:c r="E24" t="str">
        <x:v>Active</x:v>
      </x:c>
      <x:c r="F24" t="n">
        <x:v>83</x:v>
      </x:c>
      <x:c r="G24" t="n">
        <x:v>33.5</x:v>
      </x:c>
      <x:c r="H24" t="n">
        <x:v>0.65</x:v>
      </x:c>
      <x:c r="I24" t="n">
        <x:v>0.93</x:v>
      </x:c>
      <x:c r="J24" t="n">
        <x:v>4.8</x:v>
      </x:c>
      <x:c r="K24" t="n">
        <x:v>7</x:v>
      </x:c>
      <x:c r="L24" t="n">
        <x:v>0.98</x:v>
      </x:c>
      <x:c r="M24" t="n">
        <x:v>0.4</x:v>
      </x:c>
      <x:c r="N24" t="n">
        <x:v>0.58</x:v>
      </x:c>
      <x:c r="O24" t="n">
        <x:v>0.32</x:v>
      </x:c>
      <x:c r="P24" t="n">
        <x:f>100*('Decision Model'!$B$4*(G24/100)+'Decision Model'!$B$5*H24+'Decision Model'!$B$6*I24+'Decision Model'!$B$7*(J24/5)+'Decision Model'!$B$8*L24+'Decision Model'!$B$9*M24+'Decision Model'!$B$10*N24)</x:f>
        <x:v>67.30000000000001</x:v>
      </x:c>
      <x:c r="Q24" t="str">
        <x:f>IF(AND(O24&gt;='Decision Model'!$B$15,P24&lt;='Decision Model'!$B$16),"Consolidate",IF(AND(K24&gt;='Decision Model'!$B$13,P24&gt;='Decision Model'!$B$14),"Refresh",IF(AND(P24&gt;='Decision Model'!$B$11,N24&gt;='Decision Model'!$B$12,O24&lt;'Decision Model'!$B$15),"Scale","Maintain")))</x:f>
        <x:v>Maintain</x:v>
      </x:c>
      <x:c r="R24" t="n">
        <x:f>IF(Q24="Scale",P24+10*N24,IF(Q24="Refresh",P24+MIN(K24,36)/3,IF(Q24="Consolidate",100*O24+(70-P24)/2,P24)))</x:f>
        <x:v>67.30000000000001</x:v>
      </x:c>
      <x:c r="S24" t="str">
        <x:f>IF(Q24="Scale","High performance + strategic gap + low overlap",IF(Q24="Refresh","Aging offer with enough value to preserve",IF(Q24="Consolidate","High overlap with limited differentiated value","Stable performance; no urgent portfolio action")))</x:f>
        <x:v>Stable performance; no urgent portfolio action</x:v>
      </x:c>
    </x:row>
    <x:row r="25">
      <x:c r="A25" t="str">
        <x:v>LP024</x:v>
      </x:c>
      <x:c r="B25" t="str">
        <x:v>Creative Leadership</x:v>
      </x:c>
      <x:c r="C25" t="str">
        <x:v>Leadership</x:v>
      </x:c>
      <x:c r="D25" t="str">
        <x:v>Full-Day</x:v>
      </x:c>
      <x:c r="E25" t="str">
        <x:v>Active</x:v>
      </x:c>
      <x:c r="F25" t="n">
        <x:v>97</x:v>
      </x:c>
      <x:c r="G25" t="n">
        <x:v>39.1</x:v>
      </x:c>
      <x:c r="H25" t="n">
        <x:v>0.58</x:v>
      </x:c>
      <x:c r="I25" t="n">
        <x:v>0.88</x:v>
      </x:c>
      <x:c r="J25" t="n">
        <x:v>4.6</x:v>
      </x:c>
      <x:c r="K25" t="n">
        <x:v>18</x:v>
      </x:c>
      <x:c r="L25" t="n">
        <x:v>0.96</x:v>
      </x:c>
      <x:c r="M25" t="n">
        <x:v>0.45</x:v>
      </x:c>
      <x:c r="N25" t="n">
        <x:v>0.49</x:v>
      </x:c>
      <x:c r="O25" t="n">
        <x:v>0.39</x:v>
      </x:c>
      <x:c r="P25" t="n">
        <x:f>100*('Decision Model'!$B$4*(G25/100)+'Decision Model'!$B$5*H25+'Decision Model'!$B$6*I25+'Decision Model'!$B$7*(J25/5)+'Decision Model'!$B$8*L25+'Decision Model'!$B$9*M25+'Decision Model'!$B$10*N25)</x:f>
        <x:v>64.97</x:v>
      </x:c>
      <x:c r="Q25" t="str">
        <x:f>IF(AND(O25&gt;='Decision Model'!$B$15,P25&lt;='Decision Model'!$B$16),"Consolidate",IF(AND(K25&gt;='Decision Model'!$B$13,P25&gt;='Decision Model'!$B$14),"Refresh",IF(AND(P25&gt;='Decision Model'!$B$11,N25&gt;='Decision Model'!$B$12,O25&lt;'Decision Model'!$B$15),"Scale","Maintain")))</x:f>
        <x:v>Refresh</x:v>
      </x:c>
      <x:c r="R25" t="n">
        <x:f>IF(Q25="Scale",P25+10*N25,IF(Q25="Refresh",P25+MIN(K25,36)/3,IF(Q25="Consolidate",100*O25+(70-P25)/2,P25)))</x:f>
        <x:v>70.97</x:v>
      </x:c>
      <x:c r="S25" t="str">
        <x:f>IF(Q25="Scale","High performance + strategic gap + low overlap",IF(Q25="Refresh","Aging offer with enough value to preserve",IF(Q25="Consolidate","High overlap with limited differentiated value","Stable performance; no urgent portfolio action")))</x:f>
        <x:v>Aging offer with enough value to preserve</x:v>
      </x:c>
    </x:row>
  </x:sheetData>
  <x:conditionalFormatting sqref="P2:P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{EF920001-A140-9061-A447-4CF296BC9F95}</x14:id>
        </x:ext>
      </x:extLst>
    </x:cfRule>
  </x:conditionalFormatting>
  <x:conditionalFormatting sqref="Q2:Q25">
    <x:cfRule type="expression" dxfId="1" priority="2">
      <x:formula>Q2="Scale"</x:formula>
    </x:cfRule>
    <x:cfRule type="expression" dxfId="2" priority="3">
      <x:formula>Q2="Refresh"</x:formula>
    </x:cfRule>
    <x:cfRule type="expression" dxfId="3" priority="4">
      <x:formula>Q2="Consolidate"</x:formula>
    </x:cfRule>
    <x:cfRule type="expression" dxfId="4" priority="5">
      <x:formula>Q2="Maintain"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fdd22482a241c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F920001-A140-9061-A447-4CF296BC9F95}">
            <x14:dataBar gradient="1">
              <x14:cfvo type="min"/>
              <x14:cfvo type="max"/>
              <x14:fillColor rgb="FFA02B93"/>
            </x14:dataBar>
          </x14:cfRule>
          <xm:sqref>P2:P25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34" hidden="0" customWidth="1"/>
    <x:col min="3" max="3" width="22" hidden="0" customWidth="1"/>
    <x:col min="4" max="4" width="16.1299991607666" hidden="0" customWidth="1"/>
    <x:col min="5" max="5" width="14.130000114440918" hidden="0" customWidth="1"/>
    <x:col min="6" max="6" width="17.6299991607666" hidden="0" customWidth="1"/>
    <x:col min="7" max="7" width="17.75" hidden="0" customWidth="1"/>
    <x:col min="8" max="8" width="23.75" hidden="0" customWidth="1"/>
    <x:col min="9" max="9" width="14.380000114440918" hidden="0" customWidth="1"/>
    <x:col min="10" max="10" width="17.8799991607666" hidden="0" customWidth="1"/>
    <x:col min="11" max="11" width="16.5" hidden="0" customWidth="1"/>
    <x:col min="12" max="12" width="42" hidden="0" customWidth="1"/>
  </x:cols>
  <x:sheetData>
    <x:row r="1">
      <x:c r="A1" s="24" t="str">
        <x:v>Opportunity ID</x:v>
      </x:c>
      <x:c r="B1" s="24" t="str">
        <x:v>Concept</x:v>
      </x:c>
      <x:c r="C1" s="24" t="str">
        <x:v>Topic</x:v>
      </x:c>
      <x:c r="D1" s="24" t="str">
        <x:v>Proposed Format</x:v>
      </x:c>
      <x:c r="E1" s="24" t="str">
        <x:v>Demand Index</x:v>
      </x:c>
      <x:c r="F1" s="28" t="str">
        <x:v>Audience Coverage</x:v>
      </x:c>
      <x:c r="G1" s="28" t="str">
        <x:v>Strategic Gap Score</x:v>
      </x:c>
      <x:c r="H1" s="28" t="str">
        <x:v>Adjacent Portfolio Strength</x:v>
      </x:c>
      <x:c r="I1" s="28" t="str">
        <x:v>QA Confidence</x:v>
      </x:c>
      <x:c r="J1" s="30" t="str">
        <x:v>Development Score</x:v>
      </x:c>
      <x:c r="K1" s="24" t="str">
        <x:v>Recommendation</x:v>
      </x:c>
      <x:c r="L1" s="24" t="str">
        <x:v>Decision Rationale</x:v>
      </x:c>
    </x:row>
    <x:row r="2">
      <x:c r="A2" t="str">
        <x:v>OPP001</x:v>
      </x:c>
      <x:c r="B2" t="str">
        <x:v>AI Measurement &amp; Experimentation</x:v>
      </x:c>
      <x:c r="C2" t="str">
        <x:v>AI &amp; Technology</x:v>
      </x:c>
      <x:c r="D2" t="str">
        <x:v>Half-Day</x:v>
      </x:c>
      <x:c r="E2" t="n">
        <x:v>88</x:v>
      </x:c>
      <x:c r="F2" t="n">
        <x:v>0.39</x:v>
      </x:c>
      <x:c r="G2" t="n">
        <x:v>0.86</x:v>
      </x:c>
      <x:c r="H2" t="n">
        <x:v>0.78</x:v>
      </x:c>
      <x:c r="I2" t="n">
        <x:v>0.96</x:v>
      </x:c>
      <x:c r="J2" t="n">
        <x:f>100*(0.35*(E2/100)+0.30*G2+0.15*(1-F2)+0.10*H2+0.10*I2)</x:f>
        <x:v>83.15</x:v>
      </x:c>
      <x:c r="K2" t="str">
        <x:f>IF(AND(G2&gt;='Decision Model'!$B$17,E2&gt;='Decision Model'!$B$18,F2&lt;='Decision Model'!$B$19),"Develop","Maintain")</x:f>
        <x:v>Develop</x:v>
      </x:c>
      <x:c r="L2" t="str">
        <x:f>IF(K2="Develop","High whitespace + demand + low current audience coverage","Opportunity does not clear development thresholds")</x:f>
        <x:v>High whitespace + demand + low current audience coverage</x:v>
      </x:c>
    </x:row>
    <x:row r="3">
      <x:c r="A3" t="str">
        <x:v>OPP002</x:v>
      </x:c>
      <x:c r="B3" t="str">
        <x:v>AI Governance for Marketing Leaders</x:v>
      </x:c>
      <x:c r="C3" t="str">
        <x:v>AI &amp; Technology</x:v>
      </x:c>
      <x:c r="D3" t="str">
        <x:v>Micro</x:v>
      </x:c>
      <x:c r="E3" t="n">
        <x:v>91</x:v>
      </x:c>
      <x:c r="F3" t="n">
        <x:v>0.34</x:v>
      </x:c>
      <x:c r="G3" t="n">
        <x:v>0.89</x:v>
      </x:c>
      <x:c r="H3" t="n">
        <x:v>0.81</x:v>
      </x:c>
      <x:c r="I3" t="n">
        <x:v>0.97</x:v>
      </x:c>
      <x:c r="J3" t="n">
        <x:f>100*(0.35*(E3/100)+0.30*G3+0.15*(1-F3)+0.10*H3+0.10*I3)</x:f>
        <x:v>86.25</x:v>
      </x:c>
      <x:c r="K3" t="str">
        <x:f>IF(AND(G3&gt;='Decision Model'!$B$17,E3&gt;='Decision Model'!$B$18,F3&lt;='Decision Model'!$B$19),"Develop","Maintain")</x:f>
        <x:v>Develop</x:v>
      </x:c>
      <x:c r="L3" t="str">
        <x:f>IF(K3="Develop","High whitespace + demand + low current audience coverage","Opportunity does not clear development thresholds")</x:f>
        <x:v>High whitespace + demand + low current audience coverage</x:v>
      </x:c>
    </x:row>
    <x:row r="4">
      <x:c r="A4" t="str">
        <x:v>OPP003</x:v>
      </x:c>
      <x:c r="B4" t="str">
        <x:v>Marketing Data Quality &amp; Governance</x:v>
      </x:c>
      <x:c r="C4" t="str">
        <x:v>Data &amp; Measurement</x:v>
      </x:c>
      <x:c r="D4" t="str">
        <x:v>Half-Day</x:v>
      </x:c>
      <x:c r="E4" t="n">
        <x:v>83</x:v>
      </x:c>
      <x:c r="F4" t="n">
        <x:v>0.31</x:v>
      </x:c>
      <x:c r="G4" t="n">
        <x:v>0.84</x:v>
      </x:c>
      <x:c r="H4" t="n">
        <x:v>0.74</x:v>
      </x:c>
      <x:c r="I4" t="n">
        <x:v>0.98</x:v>
      </x:c>
      <x:c r="J4" t="n">
        <x:f>100*(0.35*(E4/100)+0.30*G4+0.15*(1-F4)+0.10*H4+0.10*I4)</x:f>
        <x:v>81.8</x:v>
      </x:c>
      <x:c r="K4" t="str">
        <x:f>IF(AND(G4&gt;='Decision Model'!$B$17,E4&gt;='Decision Model'!$B$18,F4&lt;='Decision Model'!$B$19),"Develop","Maintain")</x:f>
        <x:v>Develop</x:v>
      </x:c>
      <x:c r="L4" t="str">
        <x:f>IF(K4="Develop","High whitespace + demand + low current audience coverage","Opportunity does not clear development thresholds")</x:f>
        <x:v>High whitespace + demand + low current audience coverage</x:v>
      </x:c>
    </x:row>
    <x:row r="5">
      <x:c r="A5" t="str">
        <x:v>OPP004</x:v>
      </x:c>
      <x:c r="B5" t="str">
        <x:v>Customer Experience Analytics</x:v>
      </x:c>
      <x:c r="C5" t="str">
        <x:v>Customer Experience</x:v>
      </x:c>
      <x:c r="D5" t="str">
        <x:v>Half-Day</x:v>
      </x:c>
      <x:c r="E5" t="n">
        <x:v>79</x:v>
      </x:c>
      <x:c r="F5" t="n">
        <x:v>0.36</x:v>
      </x:c>
      <x:c r="G5" t="n">
        <x:v>0.8</x:v>
      </x:c>
      <x:c r="H5" t="n">
        <x:v>0.73</x:v>
      </x:c>
      <x:c r="I5" t="n">
        <x:v>0.96</x:v>
      </x:c>
      <x:c r="J5" t="n">
        <x:f>100*(0.35*(E5/100)+0.30*G5+0.15*(1-F5)+0.10*H5+0.10*I5)</x:f>
        <x:v>78.14999999999999</x:v>
      </x:c>
      <x:c r="K5" t="str">
        <x:f>IF(AND(G5&gt;='Decision Model'!$B$17,E5&gt;='Decision Model'!$B$18,F5&lt;='Decision Model'!$B$19),"Develop","Maintain")</x:f>
        <x:v>Develop</x:v>
      </x:c>
      <x:c r="L5" t="str">
        <x:f>IF(K5="Develop","High whitespace + demand + low current audience coverage","Opportunity does not clear development thresholds")</x:f>
        <x:v>High whitespace + demand + low current audience coverage</x:v>
      </x:c>
    </x:row>
    <x:row r="6">
      <x:c r="A6" t="str">
        <x:v>OPP005</x:v>
      </x:c>
      <x:c r="B6" t="str">
        <x:v>Creative Operations &amp; Workflow Design</x:v>
      </x:c>
      <x:c r="C6" t="str">
        <x:v>Creative</x:v>
      </x:c>
      <x:c r="D6" t="str">
        <x:v>Half-Day</x:v>
      </x:c>
      <x:c r="E6" t="n">
        <x:v>76</x:v>
      </x:c>
      <x:c r="F6" t="n">
        <x:v>0.33</x:v>
      </x:c>
      <x:c r="G6" t="n">
        <x:v>0.78</x:v>
      </x:c>
      <x:c r="H6" t="n">
        <x:v>0.7</x:v>
      </x:c>
      <x:c r="I6" t="n">
        <x:v>0.95</x:v>
      </x:c>
      <x:c r="J6" t="n">
        <x:f>100*(0.35*(E6/100)+0.30*G6+0.15*(1-F6)+0.10*H6+0.10*I6)</x:f>
        <x:v>76.54999999999998</x:v>
      </x:c>
      <x:c r="K6" t="str">
        <x:f>IF(AND(G6&gt;='Decision Model'!$B$17,E6&gt;='Decision Model'!$B$18,F6&lt;='Decision Model'!$B$19),"Develop","Maintain")</x:f>
        <x:v>Develop</x:v>
      </x:c>
      <x:c r="L6" t="str">
        <x:f>IF(K6="Develop","High whitespace + demand + low current audience coverage","Opportunity does not clear development thresholds")</x:f>
        <x:v>High whitespace + demand + low current audience coverage</x:v>
      </x:c>
    </x:row>
    <x:row r="7">
      <x:c r="A7" t="str">
        <x:v>OPP006</x:v>
      </x:c>
      <x:c r="B7" t="str">
        <x:v>Strategic Influence for Marketing Leaders</x:v>
      </x:c>
      <x:c r="C7" t="str">
        <x:v>Leadership</x:v>
      </x:c>
      <x:c r="D7" t="str">
        <x:v>Micro</x:v>
      </x:c>
      <x:c r="E7" t="n">
        <x:v>81</x:v>
      </x:c>
      <x:c r="F7" t="n">
        <x:v>0.38</x:v>
      </x:c>
      <x:c r="G7" t="n">
        <x:v>0.82</x:v>
      </x:c>
      <x:c r="H7" t="n">
        <x:v>0.76</x:v>
      </x:c>
      <x:c r="I7" t="n">
        <x:v>0.97</x:v>
      </x:c>
      <x:c r="J7" t="n">
        <x:f>100*(0.35*(E7/100)+0.30*G7+0.15*(1-F7)+0.10*H7+0.10*I7)</x:f>
        <x:v>79.54999999999998</x:v>
      </x:c>
      <x:c r="K7" t="str">
        <x:f>IF(AND(G7&gt;='Decision Model'!$B$17,E7&gt;='Decision Model'!$B$18,F7&lt;='Decision Model'!$B$19),"Develop","Maintain")</x:f>
        <x:v>Develop</x:v>
      </x:c>
      <x:c r="L7" t="str">
        <x:f>IF(K7="Develop","High whitespace + demand + low current audience coverage","Opportunity does not clear development thresholds")</x:f>
        <x:v>High whitespace + demand + low current audience coverage</x:v>
      </x:c>
    </x:row>
  </x:sheetData>
  <x:conditionalFormatting sqref="K2:K7">
    <x:cfRule type="expression" dxfId="5" priority="1">
      <x:formula>K2="Develop"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3a6d541bb843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.75" hidden="0" customWidth="1"/>
    <x:col min="3" max="3" width="8" hidden="0" customWidth="1"/>
    <x:col min="4" max="4" width="22" hidden="0" customWidth="1"/>
    <x:col min="5" max="5" width="7.630000114440918" hidden="0" customWidth="1"/>
    <x:col min="6" max="6" width="38" hidden="0" customWidth="1"/>
  </x:cols>
  <x:sheetData>
    <x:row r="1" ht="30" customHeight="1">
      <x:c r="A1" s="3" t="str">
        <x:v>Decision Model: Weights &amp; Thresholds</x:v>
      </x:c>
      <x:c r="B1" s="3"/>
      <x:c r="C1" s="3"/>
      <x:c r="D1" s="3"/>
      <x:c r="E1" s="3"/>
      <x:c r="F1" s="3"/>
    </x:row>
    <x:row r="3">
      <x:c r="A3" s="10" t="str">
        <x:v>Parameter</x:v>
      </x:c>
      <x:c r="B3" s="10" t="str">
        <x:v>Value</x:v>
      </x:c>
      <x:c r="C3" s="10" t="str">
        <x:v>Type</x:v>
      </x:c>
      <x:c r="D3" s="10" t="str">
        <x:v>Role in Model</x:v>
      </x:c>
      <x:c r="E3" s="10" t="str">
        <x:v>Editable?</x:v>
      </x:c>
      <x:c r="F3" s="10" t="str">
        <x:v>Interpretation</x:v>
      </x:c>
    </x:row>
    <x:row r="4">
      <x:c r="A4" s="11" t="str">
        <x:v>Demand Weight</x:v>
      </x:c>
      <x:c r="B4" s="14" t="n">
        <x:v>0.2</x:v>
      </x:c>
      <x:c r="C4" s="11" t="str">
        <x:v>Weight</x:v>
      </x:c>
      <x:c r="D4" s="11" t="str">
        <x:v>Performance score</x:v>
      </x:c>
      <x:c r="E4" s="11" t="str">
        <x:v>Yes</x:v>
      </x:c>
      <x:c r="F4" s="11" t="str">
        <x:v>Demand/registration strength</x:v>
      </x:c>
    </x:row>
    <x:row r="5">
      <x:c r="A5" s="11" t="str">
        <x:v>Attendance Weight</x:v>
      </x:c>
      <x:c r="B5" s="14" t="n">
        <x:v>0.15</x:v>
      </x:c>
      <x:c r="C5" s="11" t="str">
        <x:v>Weight</x:v>
      </x:c>
      <x:c r="D5" s="11" t="str">
        <x:v>Performance score</x:v>
      </x:c>
      <x:c r="E5" s="11" t="str">
        <x:v>Yes</x:v>
      </x:c>
      <x:c r="F5" s="11" t="str">
        <x:v>Registration-to-attendance conversion</x:v>
      </x:c>
    </x:row>
    <x:row r="6">
      <x:c r="A6" s="11" t="str">
        <x:v>Completion Weight</x:v>
      </x:c>
      <x:c r="B6" s="14" t="n">
        <x:v>0.15</x:v>
      </x:c>
      <x:c r="C6" s="11" t="str">
        <x:v>Weight</x:v>
      </x:c>
      <x:c r="D6" s="11" t="str">
        <x:v>Performance score</x:v>
      </x:c>
      <x:c r="E6" s="11" t="str">
        <x:v>Yes</x:v>
      </x:c>
      <x:c r="F6" s="11" t="str">
        <x:v>Learning completion signal</x:v>
      </x:c>
    </x:row>
    <x:row r="7">
      <x:c r="A7" s="11" t="str">
        <x:v>Satisfaction Weight</x:v>
      </x:c>
      <x:c r="B7" s="14" t="n">
        <x:v>0.15</x:v>
      </x:c>
      <x:c r="C7" s="11" t="str">
        <x:v>Weight</x:v>
      </x:c>
      <x:c r="D7" s="11" t="str">
        <x:v>Performance score</x:v>
      </x:c>
      <x:c r="E7" s="11" t="str">
        <x:v>Yes</x:v>
      </x:c>
      <x:c r="F7" s="11" t="str">
        <x:v>Learner experience signal</x:v>
      </x:c>
    </x:row>
    <x:row r="8">
      <x:c r="A8" s="11" t="str">
        <x:v>Quality Weight</x:v>
      </x:c>
      <x:c r="B8" s="14" t="n">
        <x:v>0.1</x:v>
      </x:c>
      <x:c r="C8" s="11" t="str">
        <x:v>Weight</x:v>
      </x:c>
      <x:c r="D8" s="11" t="str">
        <x:v>Performance score</x:v>
      </x:c>
      <x:c r="E8" s="11" t="str">
        <x:v>Yes</x:v>
      </x:c>
      <x:c r="F8" s="11" t="str">
        <x:v>Data-quality / trust signal</x:v>
      </x:c>
    </x:row>
    <x:row r="9">
      <x:c r="A9" s="11" t="str">
        <x:v>Audience Weight</x:v>
      </x:c>
      <x:c r="B9" s="14" t="n">
        <x:v>0.1</x:v>
      </x:c>
      <x:c r="C9" s="11" t="str">
        <x:v>Weight</x:v>
      </x:c>
      <x:c r="D9" s="11" t="str">
        <x:v>Performance score</x:v>
      </x:c>
      <x:c r="E9" s="11" t="str">
        <x:v>Yes</x:v>
      </x:c>
      <x:c r="F9" s="11" t="str">
        <x:v>Target audience penetration</x:v>
      </x:c>
    </x:row>
    <x:row r="10">
      <x:c r="A10" s="11" t="str">
        <x:v>Gap Weight</x:v>
      </x:c>
      <x:c r="B10" s="14" t="n">
        <x:v>0.15</x:v>
      </x:c>
      <x:c r="C10" s="11" t="str">
        <x:v>Weight</x:v>
      </x:c>
      <x:c r="D10" s="11" t="str">
        <x:v>Performance score</x:v>
      </x:c>
      <x:c r="E10" s="11" t="str">
        <x:v>Yes</x:v>
      </x:c>
      <x:c r="F10" s="11" t="str">
        <x:v>Strategic whitespace / need</x:v>
      </x:c>
    </x:row>
    <x:row r="11">
      <x:c r="A11" s="11" t="str">
        <x:v>Scale Performance Threshold</x:v>
      </x:c>
      <x:c r="B11" s="11" t="n">
        <x:v>75</x:v>
      </x:c>
      <x:c r="C11" s="11" t="str">
        <x:v>Threshold</x:v>
      </x:c>
      <x:c r="D11" s="11" t="str">
        <x:v>Scale rule</x:v>
      </x:c>
      <x:c r="E11" s="11" t="str">
        <x:v>Yes</x:v>
      </x:c>
      <x:c r="F11" s="11" t="str">
        <x:v>Minimum performance score</x:v>
      </x:c>
    </x:row>
    <x:row r="12">
      <x:c r="A12" s="11" t="str">
        <x:v>Scale Gap Threshold</x:v>
      </x:c>
      <x:c r="B12" s="11" t="n">
        <x:v>0.6</x:v>
      </x:c>
      <x:c r="C12" s="11" t="str">
        <x:v>Threshold</x:v>
      </x:c>
      <x:c r="D12" s="11" t="str">
        <x:v>Scale rule</x:v>
      </x:c>
      <x:c r="E12" s="11" t="str">
        <x:v>Yes</x:v>
      </x:c>
      <x:c r="F12" s="11" t="str">
        <x:v>Minimum strategic gap signal</x:v>
      </x:c>
    </x:row>
    <x:row r="13">
      <x:c r="A13" s="11" t="str">
        <x:v>Refresh Age Threshold</x:v>
      </x:c>
      <x:c r="B13" s="16" t="n">
        <x:v>18</x:v>
      </x:c>
      <x:c r="C13" s="11" t="str">
        <x:v>Threshold</x:v>
      </x:c>
      <x:c r="D13" s="11" t="str">
        <x:v>Refresh rule</x:v>
      </x:c>
      <x:c r="E13" s="11" t="str">
        <x:v>Yes</x:v>
      </x:c>
      <x:c r="F13" s="11" t="str">
        <x:v>Months since substantive refresh</x:v>
      </x:c>
    </x:row>
    <x:row r="14">
      <x:c r="A14" s="11" t="str">
        <x:v>Refresh Performance Floor</x:v>
      </x:c>
      <x:c r="B14" s="18" t="n">
        <x:v>55</x:v>
      </x:c>
      <x:c r="C14" s="11" t="str">
        <x:v>Threshold</x:v>
      </x:c>
      <x:c r="D14" s="11" t="str">
        <x:v>Refresh rule</x:v>
      </x:c>
      <x:c r="E14" s="11" t="str">
        <x:v>Yes</x:v>
      </x:c>
      <x:c r="F14" s="11" t="str">
        <x:v>Minimum value worth refreshing</x:v>
      </x:c>
    </x:row>
    <x:row r="15">
      <x:c r="A15" s="11" t="str">
        <x:v>Consolidate Overlap Threshold</x:v>
      </x:c>
      <x:c r="B15" s="18" t="n">
        <x:v>0.68</x:v>
      </x:c>
      <x:c r="C15" s="11" t="str">
        <x:v>Threshold</x:v>
      </x:c>
      <x:c r="D15" s="11" t="str">
        <x:v>Consolidate rule</x:v>
      </x:c>
      <x:c r="E15" s="11" t="str">
        <x:v>Yes</x:v>
      </x:c>
      <x:c r="F15" s="11" t="str">
        <x:v>High redundancy / overlap</x:v>
      </x:c>
    </x:row>
    <x:row r="16">
      <x:c r="A16" s="11" t="str">
        <x:v>Consolidate Performance Ceiling</x:v>
      </x:c>
      <x:c r="B16" s="18" t="n">
        <x:v>68</x:v>
      </x:c>
      <x:c r="C16" s="11" t="str">
        <x:v>Threshold</x:v>
      </x:c>
      <x:c r="D16" s="11" t="str">
        <x:v>Consolidate rule</x:v>
      </x:c>
      <x:c r="E16" s="11" t="str">
        <x:v>Yes</x:v>
      </x:c>
      <x:c r="F16" s="11" t="str">
        <x:v>Avoid consolidating high performers</x:v>
      </x:c>
    </x:row>
    <x:row r="17">
      <x:c r="A17" s="11" t="str">
        <x:v>Develop Gap Threshold</x:v>
      </x:c>
      <x:c r="B17" s="18" t="n">
        <x:v>0.75</x:v>
      </x:c>
      <x:c r="C17" s="11" t="str">
        <x:v>Threshold</x:v>
      </x:c>
      <x:c r="D17" s="11" t="str">
        <x:v>Develop rule</x:v>
      </x:c>
      <x:c r="E17" s="11" t="str">
        <x:v>Yes</x:v>
      </x:c>
      <x:c r="F17" s="11" t="str">
        <x:v>Whitespace strength</x:v>
      </x:c>
    </x:row>
    <x:row r="18">
      <x:c r="A18" s="11" t="str">
        <x:v>Develop Demand Threshold</x:v>
      </x:c>
      <x:c r="B18" s="18" t="n">
        <x:v>75</x:v>
      </x:c>
      <x:c r="C18" s="11" t="str">
        <x:v>Threshold</x:v>
      </x:c>
      <x:c r="D18" s="11" t="str">
        <x:v>Develop rule</x:v>
      </x:c>
      <x:c r="E18" s="11" t="str">
        <x:v>Yes</x:v>
      </x:c>
      <x:c r="F18" s="11" t="str">
        <x:v>Demand index floor</x:v>
      </x:c>
    </x:row>
    <x:row r="19">
      <x:c r="A19" s="11" t="str">
        <x:v>Develop Audience Ceiling</x:v>
      </x:c>
      <x:c r="B19" s="11" t="n">
        <x:v>0.45</x:v>
      </x:c>
      <x:c r="C19" s="11" t="str">
        <x:v>Threshold</x:v>
      </x:c>
      <x:c r="D19" s="11" t="str">
        <x:v>Develop rule</x:v>
      </x:c>
      <x:c r="E19" s="11" t="str">
        <x:v>Yes</x:v>
      </x:c>
      <x:c r="F19" s="11" t="str">
        <x:v>Low current audience coverage</x:v>
      </x:c>
    </x:row>
    <x:row r="20">
      <x:c r="A20" s="11"/>
      <x:c r="B20" s="11"/>
      <x:c r="C20" s="11"/>
      <x:c r="D20" s="11"/>
      <x:c r="E20" s="11"/>
      <x:c r="F20" s="11"/>
    </x:row>
    <x:row r="21">
      <x:c r="A21" t="str">
        <x:v>Weight Check</x:v>
      </x:c>
      <x:c r="B21"/>
    </x:row>
    <x:row r="22">
      <x:c r="A22" t="str">
        <x:v>Total Performance Weights</x:v>
      </x:c>
      <x:c r="B22" s="20" t="n">
        <x:f>SUM(B4:B10)</x:f>
        <x:v>1</x:v>
      </x:c>
    </x:row>
  </x:sheetData>
  <x:mergeCells>
    <x:mergeCell ref="A1:F1"/>
  </x:mergeCells>
  <x:conditionalFormatting sqref="B4:B1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{7CFF1F46-6D6C-31A9-B0B9-FA76FEEECD10}</x14:id>
        </x:ext>
      </x:extLst>
    </x:cfRule>
  </x:conditionalFormatting>
  <x:conditionalFormatting sqref="B22:B22">
    <x:cfRule type="expression" dxfId="0" priority="2">
      <x:formula>B22&lt;&gt;1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CFF1F46-6D6C-31A9-B0B9-FA76FEEECD10}">
            <x14:dataBar gradient="1">
              <x14:cfvo type="min"/>
              <x14:cfvo type="max"/>
              <x14:fillColor rgb="FFA02B93"/>
            </x14:dataBar>
          </x14:cfRule>
          <xm:sqref>B4:B18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.75" hidden="0" customWidth="1"/>
    <x:col min="3" max="3" width="12.880000114440918" hidden="0" customWidth="1"/>
    <x:col min="4" max="4" width="16" hidden="0" customWidth="1"/>
    <x:col min="5" max="5" width="10.25" hidden="0" customWidth="1"/>
    <x:col min="6" max="6" width="13.380000114440918" hidden="0" customWidth="1"/>
    <x:col min="7" max="7" width="20.3799991607666" hidden="0" customWidth="1"/>
    <x:col min="8" max="8" width="16" hidden="0" customWidth="1"/>
  </x:cols>
  <x:sheetData>
    <x:row r="1">
      <x:c r="A1" s="24" t="str">
        <x:v>Topic</x:v>
      </x:c>
      <x:c r="B1" s="24" t="str">
        <x:v>Products</x:v>
      </x:c>
      <x:c r="C1" s="24" t="str">
        <x:v>Registrations</x:v>
      </x:c>
      <x:c r="D1" s="30" t="str">
        <x:v>Avg Performance</x:v>
      </x:c>
      <x:c r="E1" s="28" t="str">
        <x:v>Avg Gap</x:v>
      </x:c>
      <x:c r="F1" s="28" t="str">
        <x:v>Avg Audience</x:v>
      </x:c>
      <x:c r="G1" s="24" t="str">
        <x:v>Develop Opportunities</x:v>
      </x:c>
      <x:c r="H1" s="24" t="str">
        <x:v>Dominant Action</x:v>
      </x:c>
    </x:row>
    <x:row r="2">
      <x:c r="A2" t="str">
        <x:v>AI &amp; Technology</x:v>
      </x:c>
      <x:c r="B2" t="n">
        <x:f>COUNTIF('Portfolio Inputs'!$C$2:$C$25,A2)</x:f>
        <x:v>5</x:v>
      </x:c>
      <x:c r="C2" t="n">
        <x:f>SUMIF('Portfolio Inputs'!$C$2:$C$25,A2,'Portfolio Inputs'!$F$2:$F$25)</x:f>
        <x:v>833</x:v>
      </x:c>
      <x:c r="D2" t="n">
        <x:f>IF(B2=0,0,SUMIF('Portfolio Inputs'!$C$2:$C$25,A2,'Portfolio Inputs'!$P$2:$P$25)/B2)</x:f>
        <x:v>73.74600000000001</x:v>
      </x:c>
      <x:c r="E2" t="n">
        <x:f>IF(B2=0,0,SUMIF('Portfolio Inputs'!$C$2:$C$25,A2,'Portfolio Inputs'!$N$2:$N$25)/B2)</x:f>
        <x:v>0.598</x:v>
      </x:c>
      <x:c r="F2" t="n">
        <x:f>IF(B2=0,0,SUMIF('Portfolio Inputs'!$C$2:$C$25,A2,'Portfolio Inputs'!$M$2:$M$25)/B2)</x:f>
        <x:v>0.6280000000000001</x:v>
      </x:c>
      <x:c r="G2" t="n">
        <x:f>COUNTIFS('Gap Opportunities'!$C$2:$C$7,A2,'Gap Opportunities'!$K$2:$K$7,"Develop")</x:f>
        <x:v>2</x:v>
      </x:c>
      <x:c r="H2" t="str">
        <x:f>IF(COUNTIFS('Portfolio Inputs'!$C$2:$C$25,A2,'Portfolio Inputs'!$Q$2:$Q$25,"Scale")&gt;0,"Scale",IF(COUNTIFS('Portfolio Inputs'!$C$2:$C$25,A2,'Portfolio Inputs'!$Q$2:$Q$25,"Refresh")&gt;0,"Refresh",IF(COUNTIFS('Portfolio Inputs'!$C$2:$C$25,A2,'Portfolio Inputs'!$Q$2:$Q$25,"Consolidate")&gt;0,"Consolidate","Maintain")))</x:f>
        <x:v>Scale</x:v>
      </x:c>
    </x:row>
    <x:row r="3">
      <x:c r="A3" t="str">
        <x:v>Brand Strategy</x:v>
      </x:c>
      <x:c r="B3" t="n">
        <x:f>COUNTIF('Portfolio Inputs'!$C$2:$C$25,A3)</x:f>
        <x:v>4</x:v>
      </x:c>
      <x:c r="C3" t="n">
        <x:f>SUMIF('Portfolio Inputs'!$C$2:$C$25,A3,'Portfolio Inputs'!$F$2:$F$25)</x:f>
        <x:v>366</x:v>
      </x:c>
      <x:c r="D3" t="n">
        <x:f>IF(B3=0,0,SUMIF('Portfolio Inputs'!$C$2:$C$25,A3,'Portfolio Inputs'!$P$2:$P$25)/B3)</x:f>
        <x:v>60.462500000000006</x:v>
      </x:c>
      <x:c r="E3" t="n">
        <x:f>IF(B3=0,0,SUMIF('Portfolio Inputs'!$C$2:$C$25,A3,'Portfolio Inputs'!$N$2:$N$25)/B3)</x:f>
        <x:v>0.4</x:v>
      </x:c>
      <x:c r="F3" t="n">
        <x:f>IF(B3=0,0,SUMIF('Portfolio Inputs'!$C$2:$C$25,A3,'Portfolio Inputs'!$M$2:$M$25)/B3)</x:f>
        <x:v>0.4225</x:v>
      </x:c>
      <x:c r="G3" t="n">
        <x:f>COUNTIFS('Gap Opportunities'!$C$2:$C$7,A3,'Gap Opportunities'!$K$2:$K$7,"Develop")</x:f>
        <x:v>0</x:v>
      </x:c>
      <x:c r="H3" t="str">
        <x:f>IF(COUNTIFS('Portfolio Inputs'!$C$2:$C$25,A3,'Portfolio Inputs'!$Q$2:$Q$25,"Scale")&gt;0,"Scale",IF(COUNTIFS('Portfolio Inputs'!$C$2:$C$25,A3,'Portfolio Inputs'!$Q$2:$Q$25,"Refresh")&gt;0,"Refresh",IF(COUNTIFS('Portfolio Inputs'!$C$2:$C$25,A3,'Portfolio Inputs'!$Q$2:$Q$25,"Consolidate")&gt;0,"Consolidate","Maintain")))</x:f>
        <x:v>Consolidate</x:v>
      </x:c>
    </x:row>
    <x:row r="4">
      <x:c r="A4" t="str">
        <x:v>Communications</x:v>
      </x:c>
      <x:c r="B4" t="n">
        <x:f>COUNTIF('Portfolio Inputs'!$C$2:$C$25,A4)</x:f>
        <x:v>2</x:v>
      </x:c>
      <x:c r="C4" t="n">
        <x:f>SUMIF('Portfolio Inputs'!$C$2:$C$25,A4,'Portfolio Inputs'!$F$2:$F$25)</x:f>
        <x:v>204</x:v>
      </x:c>
      <x:c r="D4" t="n">
        <x:f>IF(B4=0,0,SUMIF('Portfolio Inputs'!$C$2:$C$25,A4,'Portfolio Inputs'!$P$2:$P$25)/B4)</x:f>
        <x:v>64.08000000000001</x:v>
      </x:c>
      <x:c r="E4" t="n">
        <x:f>IF(B4=0,0,SUMIF('Portfolio Inputs'!$C$2:$C$25,A4,'Portfolio Inputs'!$N$2:$N$25)/B4)</x:f>
        <x:v>0.5900000000000001</x:v>
      </x:c>
      <x:c r="F4" t="n">
        <x:f>IF(B4=0,0,SUMIF('Portfolio Inputs'!$C$2:$C$25,A4,'Portfolio Inputs'!$M$2:$M$25)/B4)</x:f>
        <x:v>0.425</x:v>
      </x:c>
      <x:c r="G4" t="n">
        <x:f>COUNTIFS('Gap Opportunities'!$C$2:$C$7,A4,'Gap Opportunities'!$K$2:$K$7,"Develop")</x:f>
        <x:v>0</x:v>
      </x:c>
      <x:c r="H4" t="str">
        <x:f>IF(COUNTIFS('Portfolio Inputs'!$C$2:$C$25,A4,'Portfolio Inputs'!$Q$2:$Q$25,"Scale")&gt;0,"Scale",IF(COUNTIFS('Portfolio Inputs'!$C$2:$C$25,A4,'Portfolio Inputs'!$Q$2:$Q$25,"Refresh")&gt;0,"Refresh",IF(COUNTIFS('Portfolio Inputs'!$C$2:$C$25,A4,'Portfolio Inputs'!$Q$2:$Q$25,"Consolidate")&gt;0,"Consolidate","Maintain")))</x:f>
        <x:v>Refresh</x:v>
      </x:c>
    </x:row>
    <x:row r="5">
      <x:c r="A5" t="str">
        <x:v>Creative</x:v>
      </x:c>
      <x:c r="B5" t="n">
        <x:f>COUNTIF('Portfolio Inputs'!$C$2:$C$25,A5)</x:f>
        <x:v>2</x:v>
      </x:c>
      <x:c r="C5" t="n">
        <x:f>SUMIF('Portfolio Inputs'!$C$2:$C$25,A5,'Portfolio Inputs'!$F$2:$F$25)</x:f>
        <x:v>261</x:v>
      </x:c>
      <x:c r="D5" t="n">
        <x:f>IF(B5=0,0,SUMIF('Portfolio Inputs'!$C$2:$C$25,A5,'Portfolio Inputs'!$P$2:$P$25)/B5)</x:f>
        <x:v>69.03</x:v>
      </x:c>
      <x:c r="E5" t="n">
        <x:f>IF(B5=0,0,SUMIF('Portfolio Inputs'!$C$2:$C$25,A5,'Portfolio Inputs'!$N$2:$N$25)/B5)</x:f>
        <x:v>0.54</x:v>
      </x:c>
      <x:c r="F5" t="n">
        <x:f>IF(B5=0,0,SUMIF('Portfolio Inputs'!$C$2:$C$25,A5,'Portfolio Inputs'!$M$2:$M$25)/B5)</x:f>
        <x:v>0.5349999999999999</x:v>
      </x:c>
      <x:c r="G5" t="n">
        <x:f>COUNTIFS('Gap Opportunities'!$C$2:$C$7,A5,'Gap Opportunities'!$K$2:$K$7,"Develop")</x:f>
        <x:v>1</x:v>
      </x:c>
      <x:c r="H5" t="str">
        <x:f>IF(COUNTIFS('Portfolio Inputs'!$C$2:$C$25,A5,'Portfolio Inputs'!$Q$2:$Q$25,"Scale")&gt;0,"Scale",IF(COUNTIFS('Portfolio Inputs'!$C$2:$C$25,A5,'Portfolio Inputs'!$Q$2:$Q$25,"Refresh")&gt;0,"Refresh",IF(COUNTIFS('Portfolio Inputs'!$C$2:$C$25,A5,'Portfolio Inputs'!$Q$2:$Q$25,"Consolidate")&gt;0,"Consolidate","Maintain")))</x:f>
        <x:v>Refresh</x:v>
      </x:c>
    </x:row>
    <x:row r="6">
      <x:c r="A6" t="str">
        <x:v>Customer Experience</x:v>
      </x:c>
      <x:c r="B6" t="n">
        <x:f>COUNTIF('Portfolio Inputs'!$C$2:$C$25,A6)</x:f>
        <x:v>2</x:v>
      </x:c>
      <x:c r="C6" t="n">
        <x:f>SUMIF('Portfolio Inputs'!$C$2:$C$25,A6,'Portfolio Inputs'!$F$2:$F$25)</x:f>
        <x:v>324</x:v>
      </x:c>
      <x:c r="D6" t="n">
        <x:f>IF(B6=0,0,SUMIF('Portfolio Inputs'!$C$2:$C$25,A6,'Portfolio Inputs'!$P$2:$P$25)/B6)</x:f>
        <x:v>73.52000000000001</x:v>
      </x:c>
      <x:c r="E6" t="n">
        <x:f>IF(B6=0,0,SUMIF('Portfolio Inputs'!$C$2:$C$25,A6,'Portfolio Inputs'!$N$2:$N$25)/B6)</x:f>
        <x:v>0.6499999999999999</x:v>
      </x:c>
      <x:c r="F6" t="n">
        <x:f>IF(B6=0,0,SUMIF('Portfolio Inputs'!$C$2:$C$25,A6,'Portfolio Inputs'!$M$2:$M$25)/B6)</x:f>
        <x:v>0.565</x:v>
      </x:c>
      <x:c r="G6" t="n">
        <x:f>COUNTIFS('Gap Opportunities'!$C$2:$C$7,A6,'Gap Opportunities'!$K$2:$K$7,"Develop")</x:f>
        <x:v>1</x:v>
      </x:c>
      <x:c r="H6" t="str">
        <x:f>IF(COUNTIFS('Portfolio Inputs'!$C$2:$C$25,A6,'Portfolio Inputs'!$Q$2:$Q$25,"Scale")&gt;0,"Scale",IF(COUNTIFS('Portfolio Inputs'!$C$2:$C$25,A6,'Portfolio Inputs'!$Q$2:$Q$25,"Refresh")&gt;0,"Refresh",IF(COUNTIFS('Portfolio Inputs'!$C$2:$C$25,A6,'Portfolio Inputs'!$Q$2:$Q$25,"Consolidate")&gt;0,"Consolidate","Maintain")))</x:f>
        <x:v>Scale</x:v>
      </x:c>
    </x:row>
    <x:row r="7">
      <x:c r="A7" t="str">
        <x:v>Data &amp; Measurement</x:v>
      </x:c>
      <x:c r="B7" t="n">
        <x:f>COUNTIF('Portfolio Inputs'!$C$2:$C$25,A7)</x:f>
        <x:v>3</x:v>
      </x:c>
      <x:c r="C7" t="n">
        <x:f>SUMIF('Portfolio Inputs'!$C$2:$C$25,A7,'Portfolio Inputs'!$F$2:$F$25)</x:f>
        <x:v>418</x:v>
      </x:c>
      <x:c r="D7" t="n">
        <x:f>IF(B7=0,0,SUMIF('Portfolio Inputs'!$C$2:$C$25,A7,'Portfolio Inputs'!$P$2:$P$25)/B7)</x:f>
        <x:v>69.90666666666668</x:v>
      </x:c>
      <x:c r="E7" t="n">
        <x:f>IF(B7=0,0,SUMIF('Portfolio Inputs'!$C$2:$C$25,A7,'Portfolio Inputs'!$N$2:$N$25)/B7)</x:f>
        <x:v>0.5566666666666668</x:v>
      </x:c>
      <x:c r="F7" t="n">
        <x:f>IF(B7=0,0,SUMIF('Portfolio Inputs'!$C$2:$C$25,A7,'Portfolio Inputs'!$M$2:$M$25)/B7)</x:f>
        <x:v>0.5666666666666667</x:v>
      </x:c>
      <x:c r="G7" t="n">
        <x:f>COUNTIFS('Gap Opportunities'!$C$2:$C$7,A7,'Gap Opportunities'!$K$2:$K$7,"Develop")</x:f>
        <x:v>1</x:v>
      </x:c>
      <x:c r="H7" t="str">
        <x:f>IF(COUNTIFS('Portfolio Inputs'!$C$2:$C$25,A7,'Portfolio Inputs'!$Q$2:$Q$25,"Scale")&gt;0,"Scale",IF(COUNTIFS('Portfolio Inputs'!$C$2:$C$25,A7,'Portfolio Inputs'!$Q$2:$Q$25,"Refresh")&gt;0,"Refresh",IF(COUNTIFS('Portfolio Inputs'!$C$2:$C$25,A7,'Portfolio Inputs'!$Q$2:$Q$25,"Consolidate")&gt;0,"Consolidate","Maintain")))</x:f>
        <x:v>Scale</x:v>
      </x:c>
    </x:row>
    <x:row r="8">
      <x:c r="A8" t="str">
        <x:v>Leadership</x:v>
      </x:c>
      <x:c r="B8" t="n">
        <x:f>COUNTIF('Portfolio Inputs'!$C$2:$C$25,A8)</x:f>
        <x:v>3</x:v>
      </x:c>
      <x:c r="C8" t="n">
        <x:f>SUMIF('Portfolio Inputs'!$C$2:$C$25,A8,'Portfolio Inputs'!$F$2:$F$25)</x:f>
        <x:v>299</x:v>
      </x:c>
      <x:c r="D8" t="n">
        <x:f>IF(B8=0,0,SUMIF('Portfolio Inputs'!$C$2:$C$25,A8,'Portfolio Inputs'!$P$2:$P$25)/B8)</x:f>
        <x:v>66.14</x:v>
      </x:c>
      <x:c r="E8" t="n">
        <x:f>IF(B8=0,0,SUMIF('Portfolio Inputs'!$C$2:$C$25,A8,'Portfolio Inputs'!$N$2:$N$25)/B8)</x:f>
        <x:v>0.4633333333333334</x:v>
      </x:c>
      <x:c r="F8" t="n">
        <x:f>IF(B8=0,0,SUMIF('Portfolio Inputs'!$C$2:$C$25,A8,'Portfolio Inputs'!$M$2:$M$25)/B8)</x:f>
        <x:v>0.4566666666666666</x:v>
      </x:c>
      <x:c r="G8" t="n">
        <x:f>COUNTIFS('Gap Opportunities'!$C$2:$C$7,A8,'Gap Opportunities'!$K$2:$K$7,"Develop")</x:f>
        <x:v>1</x:v>
      </x:c>
      <x:c r="H8" t="str">
        <x:f>IF(COUNTIFS('Portfolio Inputs'!$C$2:$C$25,A8,'Portfolio Inputs'!$Q$2:$Q$25,"Scale")&gt;0,"Scale",IF(COUNTIFS('Portfolio Inputs'!$C$2:$C$25,A8,'Portfolio Inputs'!$Q$2:$Q$25,"Refresh")&gt;0,"Refresh",IF(COUNTIFS('Portfolio Inputs'!$C$2:$C$25,A8,'Portfolio Inputs'!$Q$2:$Q$25,"Consolidate")&gt;0,"Consolidate","Maintain")))</x:f>
        <x:v>Refresh</x:v>
      </x:c>
    </x:row>
    <x:row r="9">
      <x:c r="A9" t="str">
        <x:v>Marketing Operations</x:v>
      </x:c>
      <x:c r="B9" t="n">
        <x:f>COUNTIF('Portfolio Inputs'!$C$2:$C$25,A9)</x:f>
        <x:v>3</x:v>
      </x:c>
      <x:c r="C9" t="n">
        <x:f>SUMIF('Portfolio Inputs'!$C$2:$C$25,A9,'Portfolio Inputs'!$F$2:$F$25)</x:f>
        <x:v>268</x:v>
      </x:c>
      <x:c r="D9" t="n">
        <x:f>IF(B9=0,0,SUMIF('Portfolio Inputs'!$C$2:$C$25,A9,'Portfolio Inputs'!$P$2:$P$25)/B9)</x:f>
        <x:v>58.80000000000001</x:v>
      </x:c>
      <x:c r="E9" t="n">
        <x:f>IF(B9=0,0,SUMIF('Portfolio Inputs'!$C$2:$C$25,A9,'Portfolio Inputs'!$N$2:$N$25)/B9)</x:f>
        <x:v>0.41</x:v>
      </x:c>
      <x:c r="F9" t="n">
        <x:f>IF(B9=0,0,SUMIF('Portfolio Inputs'!$C$2:$C$25,A9,'Portfolio Inputs'!$M$2:$M$25)/B9)</x:f>
        <x:v>0.43</x:v>
      </x:c>
      <x:c r="G9" t="n">
        <x:f>COUNTIFS('Gap Opportunities'!$C$2:$C$7,A9,'Gap Opportunities'!$K$2:$K$7,"Develop")</x:f>
        <x:v>0</x:v>
      </x:c>
      <x:c r="H9" t="str">
        <x:f>IF(COUNTIFS('Portfolio Inputs'!$C$2:$C$25,A9,'Portfolio Inputs'!$Q$2:$Q$25,"Scale")&gt;0,"Scale",IF(COUNTIFS('Portfolio Inputs'!$C$2:$C$25,A9,'Portfolio Inputs'!$Q$2:$Q$25,"Refresh")&gt;0,"Refresh",IF(COUNTIFS('Portfolio Inputs'!$C$2:$C$25,A9,'Portfolio Inputs'!$Q$2:$Q$25,"Consolidate")&gt;0,"Consolidate","Maintain")))</x:f>
        <x:v>Refresh</x:v>
      </x:c>
    </x:row>
  </x:sheetData>
  <x:pageMargins left="0.7" right="0.7" top="0.75" bottom="0.75" header="0.3" footer="0.3"/>
  <x:tableParts count="1">
    <x:tablePart xmlns:r="http://schemas.openxmlformats.org/officeDocument/2006/relationships" r:id="Rd83f95900bf5488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.75" hidden="0" customWidth="1"/>
    <x:col min="3" max="3" width="12" hidden="0" customWidth="1"/>
    <x:col min="4" max="4" width="12.130000114440918" hidden="0" customWidth="1"/>
    <x:col min="5" max="5" width="12.130000114440918" hidden="0" customWidth="1"/>
    <x:col min="6" max="6" width="8.880000114440918" hidden="0" customWidth="1"/>
    <x:col min="7" max="7" width="10.380000114440918" hidden="0" customWidth="1"/>
    <x:col min="8" max="8" width="6.380000114440918" hidden="0" customWidth="1"/>
    <x:col min="9" max="9" width="30" hidden="0" customWidth="1"/>
    <x:col min="10" max="10" width="30" hidden="0" customWidth="1"/>
  </x:cols>
  <x:sheetData>
    <x:row r="1" ht="30" customHeight="1">
      <x:c r="A1" s="3" t="str">
        <x:v>Scenario Comparison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Scenario</x:v>
      </x:c>
      <x:c r="B3" s="10" t="str">
        <x:v>Demand Wt</x:v>
      </x:c>
      <x:c r="C3" s="10" t="str">
        <x:v>Attendance Wt</x:v>
      </x:c>
      <x:c r="D3" s="10" t="str">
        <x:v>Completion Wt</x:v>
      </x:c>
      <x:c r="E3" s="10" t="str">
        <x:v>Satisfaction Wt</x:v>
      </x:c>
      <x:c r="F3" s="10" t="str">
        <x:v>Quality Wt</x:v>
      </x:c>
      <x:c r="G3" s="10" t="str">
        <x:v>Audience Wt</x:v>
      </x:c>
      <x:c r="H3" s="10" t="str">
        <x:v>Gap Wt</x:v>
      </x:c>
      <x:c r="I3" s="10" t="str">
        <x:v>Primary Lens</x:v>
      </x:c>
      <x:c r="J3" s="10" t="str">
        <x:v>Use</x:v>
      </x:c>
    </x:row>
    <x:row r="4">
      <x:c r="A4" s="11" t="str">
        <x:v>Balanced</x:v>
      </x:c>
      <x:c r="B4" s="14" t="n">
        <x:v>0.2</x:v>
      </x:c>
      <x:c r="C4" s="14" t="n">
        <x:v>0.15</x:v>
      </x:c>
      <x:c r="D4" s="14" t="n">
        <x:v>0.15</x:v>
      </x:c>
      <x:c r="E4" s="14" t="n">
        <x:v>0.15</x:v>
      </x:c>
      <x:c r="F4" s="14" t="n">
        <x:v>0.1</x:v>
      </x:c>
      <x:c r="G4" s="14" t="n">
        <x:v>0.1</x:v>
      </x:c>
      <x:c r="H4" s="14" t="n">
        <x:v>0.15</x:v>
      </x:c>
      <x:c r="I4" s="11" t="str">
        <x:v>Balanced portfolio health</x:v>
      </x:c>
      <x:c r="J4" s="11" t="str">
        <x:v>Default executive view</x:v>
      </x:c>
    </x:row>
    <x:row r="5">
      <x:c r="A5" s="11" t="str">
        <x:v>Growth</x:v>
      </x:c>
      <x:c r="B5" s="14" t="n">
        <x:v>0.25</x:v>
      </x:c>
      <x:c r="C5" s="14" t="n">
        <x:v>0.1</x:v>
      </x:c>
      <x:c r="D5" s="14" t="n">
        <x:v>0.1</x:v>
      </x:c>
      <x:c r="E5" s="14" t="n">
        <x:v>0.1</x:v>
      </x:c>
      <x:c r="F5" s="14" t="n">
        <x:v>0.05</x:v>
      </x:c>
      <x:c r="G5" s="14" t="n">
        <x:v>0.15</x:v>
      </x:c>
      <x:c r="H5" s="14" t="n">
        <x:v>0.25</x:v>
      </x:c>
      <x:c r="I5" s="11" t="str">
        <x:v>Demand + whitespace</x:v>
      </x:c>
      <x:c r="J5" s="11" t="str">
        <x:v>Expansion planning</x:v>
      </x:c>
    </x:row>
    <x:row r="6">
      <x:c r="A6" s="11" t="str">
        <x:v>Experience</x:v>
      </x:c>
      <x:c r="B6" s="14" t="n">
        <x:v>0.1</x:v>
      </x:c>
      <x:c r="C6" s="14" t="n">
        <x:v>0.2</x:v>
      </x:c>
      <x:c r="D6" s="14" t="n">
        <x:v>0.2</x:v>
      </x:c>
      <x:c r="E6" s="14" t="n">
        <x:v>0.25</x:v>
      </x:c>
      <x:c r="F6" s="14" t="n">
        <x:v>0.1</x:v>
      </x:c>
      <x:c r="G6" s="14" t="n">
        <x:v>0.1</x:v>
      </x:c>
      <x:c r="H6" s="14" t="n">
        <x:v>0.05</x:v>
      </x:c>
      <x:c r="I6" s="11" t="str">
        <x:v>Learner outcomes</x:v>
      </x:c>
      <x:c r="J6" s="11" t="str">
        <x:v>Quality / learner-value review</x:v>
      </x:c>
    </x:row>
    <x:row r="7">
      <x:c r="A7" s="11" t="str">
        <x:v>Reach</x:v>
      </x:c>
      <x:c r="B7" s="14" t="n">
        <x:v>0.15</x:v>
      </x:c>
      <x:c r="C7" s="14" t="n">
        <x:v>0.1</x:v>
      </x:c>
      <x:c r="D7" s="14" t="n">
        <x:v>0.1</x:v>
      </x:c>
      <x:c r="E7" s="14" t="n">
        <x:v>0.1</x:v>
      </x:c>
      <x:c r="F7" s="14" t="n">
        <x:v>0.1</x:v>
      </x:c>
      <x:c r="G7" s="14" t="n">
        <x:v>0.3</x:v>
      </x:c>
      <x:c r="H7" s="14" t="n">
        <x:v>0.15</x:v>
      </x:c>
      <x:c r="I7" s="11" t="str">
        <x:v>Audience penetration</x:v>
      </x:c>
      <x:c r="J7" s="11" t="str">
        <x:v>Enterprise reach planning</x:v>
      </x:c>
    </x:row>
    <x:row r="8">
      <x:c r="A8" s="11" t="str">
        <x:v>Trust</x:v>
      </x:c>
      <x:c r="B8" s="14" t="n">
        <x:v>0.1</x:v>
      </x:c>
      <x:c r="C8" s="14" t="n">
        <x:v>0.1</x:v>
      </x:c>
      <x:c r="D8" s="14" t="n">
        <x:v>0.1</x:v>
      </x:c>
      <x:c r="E8" s="14" t="n">
        <x:v>0.1</x:v>
      </x:c>
      <x:c r="F8" s="14" t="n">
        <x:v>0.3</x:v>
      </x:c>
      <x:c r="G8" s="14" t="n">
        <x:v>0.1</x:v>
      </x:c>
      <x:c r="H8" s="14" t="n">
        <x:v>0.2</x:v>
      </x:c>
      <x:c r="I8" s="11" t="str">
        <x:v>Data quality + evidence</x:v>
      </x:c>
      <x:c r="J8" s="11" t="str">
        <x:v>Conservative decision-making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6" hidden="0" customWidth="1"/>
    <x:col min="3" max="3" width="34" hidden="0" customWidth="1"/>
  </x:cols>
  <x:sheetData>
    <x:row r="1">
      <x:c r="A1" s="23" t="str">
        <x:v>Sheet / Field</x:v>
      </x:c>
      <x:c r="B1" s="23" t="str">
        <x:v>Definition</x:v>
      </x:c>
      <x:c r="C1" s="23" t="str">
        <x:v>Type / Notes</x:v>
      </x:c>
    </x:row>
    <x:row r="2">
      <x:c r="A2" s="11" t="str">
        <x:v>Portfolio Inputs.Demand Index</x:v>
      </x:c>
      <x:c r="B2" s="11" t="str">
        <x:v>Registrations normalized to highest-volume existing product</x:v>
      </x:c>
      <x:c r="C2" s="11" t="str">
        <x:v>0–100</x:v>
      </x:c>
    </x:row>
    <x:row r="3">
      <x:c r="A3" s="11" t="str">
        <x:v>Portfolio Inputs.Performance Score</x:v>
      </x:c>
      <x:c r="B3" s="11" t="str">
        <x:v>Weighted composite of demand, attendance, completion, satisfaction, QA, audience, and strategic gap</x:v>
      </x:c>
      <x:c r="C3" s="11" t="str">
        <x:v>Formula; weights on Decision Model</x:v>
      </x:c>
    </x:row>
    <x:row r="4">
      <x:c r="A4" s="11" t="str">
        <x:v>Portfolio Inputs.Overlap Score</x:v>
      </x:c>
      <x:c r="B4" s="11" t="str">
        <x:v>Synthetic redundancy signal based on adjacent portfolio similarity</x:v>
      </x:c>
      <x:c r="C4" s="11" t="str">
        <x:v>0–1</x:v>
      </x:c>
    </x:row>
    <x:row r="5">
      <x:c r="A5" s="11" t="str">
        <x:v>Portfolio Inputs.Recommendation</x:v>
      </x:c>
      <x:c r="B5" s="11" t="str">
        <x:v>Scale / Maintain / Refresh / Consolidate based on thresholds</x:v>
      </x:c>
      <x:c r="C5" s="11" t="str">
        <x:v>Formula</x:v>
      </x:c>
    </x:row>
    <x:row r="6">
      <x:c r="A6" s="11" t="str">
        <x:v>Gap Opportunities.Development Score</x:v>
      </x:c>
      <x:c r="B6" s="11" t="str">
        <x:v>Composite of demand, gap, low audience coverage, adjacency, and QA confidence</x:v>
      </x:c>
      <x:c r="C6" s="11" t="str">
        <x:v>Formula</x:v>
      </x:c>
    </x:row>
    <x:row r="7">
      <x:c r="A7" s="11" t="str">
        <x:v>Gap Opportunities.Recommendation</x:v>
      </x:c>
      <x:c r="B7" s="11" t="str">
        <x:v>Develop when gap, demand, and audience thresholds are met</x:v>
      </x:c>
      <x:c r="C7" s="11" t="str">
        <x:v>Formula</x:v>
      </x:c>
    </x:row>
    <x:row r="8">
      <x:c r="A8" s="11" t="str">
        <x:v>Recommendations.Priority Score</x:v>
      </x:c>
      <x:c r="B8" s="11" t="str">
        <x:v>Comparable action-priority score used for executive ranking</x:v>
      </x:c>
      <x:c r="C8" s="11" t="str">
        <x:v>Formula</x:v>
      </x:c>
    </x:row>
    <x:row r="9">
      <x:c r="A9" s="11" t="str">
        <x:v>Decision Model</x:v>
      </x:c>
      <x:c r="B9" s="11" t="str">
        <x:v>Editable weights and thresholds controlling recommendations</x:v>
      </x:c>
      <x:c r="C9" s="11" t="str">
        <x:v>Scenario-control sheet</x:v>
      </x:c>
    </x:row>
    <x:row r="10">
      <x:c r="A10" s="11" t="str">
        <x:v>Scenario Comparison</x:v>
      </x:c>
      <x:c r="B10" s="11" t="str">
        <x:v>Illustrative alternative weight profiles</x:v>
      </x:c>
      <x:c r="C10" s="11" t="str">
        <x:v>Not wired to live model; shows governance / scenario design</x:v>
      </x:c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6" hidden="0" customWidth="1"/>
  </x:cols>
  <x:sheetData>
    <x:row r="1">
      <x:c r="A1" s="3" t="str">
        <x:v>Portfolio Guide</x:v>
      </x:c>
      <x:c r="B1" s="3"/>
      <x:c r="C1" s="3"/>
      <x:c r="D1" s="3"/>
      <x:c r="E1" s="3"/>
      <x:c r="F1" s="3"/>
      <x:c r="G1" s="3"/>
      <x:c r="H1" s="3"/>
    </x:row>
    <x:row r="3" ht="55" customHeight="1">
      <x:c r="A3" s="72" t="str">
        <x:v>Purpose</x:v>
      </x:c>
      <x:c r="B3" s="11" t="str">
        <x:v>Synthetic capstone decision-support model integrating the signals demonstrated across the learning analytics, curriculum analytics, audience segmentation, and data-quality portfolio projects.</x:v>
      </x:c>
    </x:row>
    <x:row r="4" ht="55" customHeight="1">
      <x:c r="A4" s="72" t="str">
        <x:v>What it demonstrates</x:v>
      </x:c>
      <x:c r="B4" s="11" t="str">
        <x:v>Multi-signal scoring; configurable weights; decision thresholds; scale/maintain/refresh/consolidate/develop logic; gap analysis; redundancy signals; executive ranking; topic-level portfolio rollups; scenario design.</x:v>
      </x:c>
    </x:row>
    <x:row r="5" ht="55" customHeight="1">
      <x:c r="A5" s="72" t="str">
        <x:v>Privacy</x:v>
      </x:c>
      <x:c r="B5" s="11" t="str">
        <x:v>All products, metrics, thresholds, counts, scores, opportunity concepts, and recommendations are synthetic. No employer/member/client data are included.</x:v>
      </x:c>
    </x:row>
    <x:row r="6" ht="55" customHeight="1">
      <x:c r="A6" s="72" t="str">
        <x:v>How to review</x:v>
      </x:c>
      <x:c r="B6" s="11" t="str">
        <x:v>Start with Executive Dashboard, inspect Recommendations, then Portfolio Inputs and Gap Opportunities. Decision Model shows the explicit weights and thresholds behind every action.</x:v>
      </x:c>
    </x:row>
    <x:row r="7" ht="55" customHeight="1">
      <x:c r="A7" s="72" t="str">
        <x:v>Decision philosophy</x:v>
      </x:c>
      <x:c r="B7" s="11" t="str">
        <x:v>The model is intentionally transparent: recommendations are formula-driven and inspectable. It demonstrates a governance-friendly decision framework, not a claim that one universal weighting scheme is correct.</x:v>
      </x:c>
    </x:row>
  </x:sheetData>
  <x:mergeCells>
    <x:mergeCell ref="A1:H1"/>
  </x:mergeCells>
  <x:pageMargins left="0.7" right="0.7" top="0.75" bottom="0.75" header="0.3" footer="0.3"/>
</x:worksheet>
</file>