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21d5c69e5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4cf0326eeea44db"/>
    <x:sheet xmlns:r="http://schemas.openxmlformats.org/officeDocument/2006/relationships" name="ASSIGNMENT" sheetId="2" r:id="R3043d991d67342b7"/>
    <x:sheet xmlns:r="http://schemas.openxmlformats.org/officeDocument/2006/relationships" name="RESEARCH QUESTION" sheetId="3" r:id="Rc35f3c6935a04ead"/>
    <x:sheet xmlns:r="http://schemas.openxmlformats.org/officeDocument/2006/relationships" name="MILESTONES" sheetId="4" r:id="R31cda1b6b74b4c9c"/>
    <x:sheet xmlns:r="http://schemas.openxmlformats.org/officeDocument/2006/relationships" name="SOURCE LOG" sheetId="5" r:id="Ra06d47c50f6f4937"/>
    <x:sheet xmlns:r="http://schemas.openxmlformats.org/officeDocument/2006/relationships" name="EVIDENCE MATRIX" sheetId="6" r:id="R094ccf5fff3c49bd"/>
    <x:sheet xmlns:r="http://schemas.openxmlformats.org/officeDocument/2006/relationships" name="OUTLINE" sheetId="7" r:id="R1657e2d747b24159"/>
    <x:sheet xmlns:r="http://schemas.openxmlformats.org/officeDocument/2006/relationships" name="DRAFT TRACKER" sheetId="8" r:id="Rfd5b522c198648e1"/>
    <x:sheet xmlns:r="http://schemas.openxmlformats.org/officeDocument/2006/relationships" name="REVISION QA" sheetId="9" r:id="R7626e7b0efe1459c"/>
    <x:sheet xmlns:r="http://schemas.openxmlformats.org/officeDocument/2006/relationships" name="DASHBOARD" sheetId="10" r:id="Rcbfcf1dc064e45ff"/>
    <x:sheet xmlns:r="http://schemas.openxmlformats.org/officeDocument/2006/relationships" name="_LISTS" sheetId="11" r:id="Rce8f442b2b1b4b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 d, yyyy"/>
    <x:numFmt numFmtId="201" formatCode="0%"/>
    <x:numFmt numFmtId="202" formatCode="0.0"/>
    <x:numFmt numFmtId="203" formatCode="0"/>
  </x:numFmts>
  <x:fonts count="12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F2933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6"/>
      <x:color rgb="FF17324D"/>
      <x:name val="Carlito"/>
    </x:font>
    <x:font>
      <x:b/>
      <x:sz val="10"/>
      <x:color rgb="FF1F2933"/>
      <x:name val="Aptos"/>
    </x:font>
    <x:font>
      <x:sz val="10"/>
      <x:color rgb="FF1F2933"/>
      <x:name val="Aptos"/>
    </x:font>
    <x:font>
      <x:b/>
      <x:sz val="18"/>
      <x:color rgb="FFFFFFFF"/>
      <x:name val="Aptos"/>
    </x:font>
    <x:font>
      <x:b/>
      <x:sz val="14"/>
      <x:color rgb="FFFFFFF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A"/>
      </x:patternFill>
    </x:fill>
    <x:fill>
      <x:patternFill patternType="solid">
        <x:fgColor rgb="FFFFF4CC"/>
      </x:patternFill>
    </x:fill>
    <x:fill>
      <x:patternFill patternType="solid">
        <x:fgColor rgb="FFE8F3E8"/>
      </x:patternFill>
    </x:fill>
    <x:fill>
      <x:patternFill patternType="solid">
        <x:fgColor rgb="FFF1ECF7"/>
      </x:patternFill>
    </x:fill>
    <x:fill>
      <x:patternFill patternType="solid">
        <x:fgColor rgb="FFFDE8E7"/>
      </x:patternFill>
    </x:fill>
    <x:fill>
      <x:patternFill patternType="solid">
        <x:fgColor rgb="FFD9E6F2"/>
      </x:patternFill>
    </x:fill>
    <x:fill>
      <x:patternFill patternType="solid">
        <x:fgColor rgb="FFF5F7F9"/>
      </x:patternFill>
    </x:fill>
  </x:fills>
  <x:borders count="2">
    <x:border/>
    <x:border/>
  </x:borders>
  <x:cellStyleXfs count="1">
    <x:xf numFmtId="0" fontId="0" fillId="0" borderId="0"/>
  </x:cellStyleXfs>
  <x:cellXfs count="1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/>
    <x:xf numFmtId="0" fontId="0" fillId="9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200" fontId="6" fillId="5" borderId="0" xfId="0" applyNumberFormat="1" applyFont="1" applyFill="1" applyBorder="1"/>
    <x:xf numFmtId="200" fontId="6" fillId="5" borderId="1" xfId="0" applyNumberFormat="1" applyFont="1" applyFill="1" applyBorder="1"/>
    <x:xf numFmtId="201" fontId="6" fillId="5" borderId="0" xfId="0" applyNumberFormat="1" applyFont="1" applyFill="1" applyBorder="1"/>
    <x:xf numFmtId="201" fontId="6" fillId="5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8" fillId="4" borderId="0" xfId="0" applyNumberFormat="1" applyFont="1" applyFill="1" applyBorder="1"/>
    <x:xf numFmtId="0" fontId="9" fillId="4" borderId="0" xfId="0" applyNumberFormat="1" applyFont="1" applyFill="1" applyBorder="1"/>
    <x:xf numFmtId="0" fontId="8" fillId="5" borderId="0" xfId="0" applyNumberFormat="1" applyFont="1" applyFill="1" applyBorder="1"/>
    <x:xf numFmtId="0" fontId="9" fillId="5" borderId="0" xfId="0" applyNumberFormat="1" applyFont="1" applyFill="1" applyBorder="1"/>
    <x:xf numFmtId="0" fontId="8" fillId="6" borderId="0" xfId="0" applyNumberFormat="1" applyFont="1" applyFill="1" applyBorder="1"/>
    <x:xf numFmtId="0" fontId="9" fillId="6" borderId="0" xfId="0" applyNumberFormat="1" applyFont="1" applyFill="1" applyBorder="1"/>
    <x:xf numFmtId="0" fontId="8" fillId="7" borderId="0" xfId="0" applyNumberFormat="1" applyFont="1" applyFill="1" applyBorder="1"/>
    <x:xf numFmtId="0" fontId="9" fillId="7" borderId="0" xfId="0" applyNumberFormat="1" applyFont="1" applyFill="1" applyBorder="1"/>
    <x:xf numFmtId="0" fontId="8" fillId="8" borderId="0" xfId="0" applyNumberFormat="1" applyFont="1" applyFill="1" applyBorder="1"/>
    <x:xf numFmtId="0" fontId="9" fillId="9" borderId="0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/>
    <x:xf numFmtId="0" fontId="8" fillId="4" borderId="1" xfId="0" applyNumberFormat="1" applyFont="1" applyFill="1" applyBorder="1"/>
    <x:xf numFmtId="0" fontId="9" fillId="4" borderId="1" xfId="0" applyNumberFormat="1" applyFont="1" applyFill="1" applyBorder="1"/>
    <x:xf numFmtId="0" fontId="8" fillId="5" borderId="1" xfId="0" applyNumberFormat="1" applyFont="1" applyFill="1" applyBorder="1"/>
    <x:xf numFmtId="0" fontId="9" fillId="5" borderId="1" xfId="0" applyNumberFormat="1" applyFont="1" applyFill="1" applyBorder="1"/>
    <x:xf numFmtId="0" fontId="8" fillId="6" borderId="1" xfId="0" applyNumberFormat="1" applyFont="1" applyFill="1" applyBorder="1"/>
    <x:xf numFmtId="0" fontId="9" fillId="6" borderId="1" xfId="0" applyNumberFormat="1" applyFont="1" applyFill="1" applyBorder="1"/>
    <x:xf numFmtId="0" fontId="8" fillId="7" borderId="1" xfId="0" applyNumberFormat="1" applyFont="1" applyFill="1" applyBorder="1"/>
    <x:xf numFmtId="0" fontId="9" fillId="7" borderId="1" xfId="0" applyNumberFormat="1" applyFont="1" applyFill="1" applyBorder="1"/>
    <x:xf numFmtId="0" fontId="8" fillId="8" borderId="1" xfId="0" applyNumberFormat="1" applyFont="1" applyFill="1" applyBorder="1"/>
    <x:xf numFmtId="0" fontId="9" fillId="9" borderId="1" xfId="0" applyNumberFormat="1" applyFont="1" applyFill="1" applyBorder="1" applyAlignment="1">
      <x:alignment vertical="top" wrapText="1"/>
    </x:xf>
    <x:xf numFmtId="200" fontId="9" fillId="4" borderId="0" xfId="0" applyNumberFormat="1" applyFont="1" applyFill="1" applyBorder="1"/>
    <x:xf numFmtId="200" fontId="9" fillId="4" borderId="1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wrapText="1"/>
    </x:xf>
    <x:xf numFmtId="201" fontId="9" fillId="0" borderId="0" xfId="0" applyNumberFormat="1" applyFont="1" applyFill="1" applyBorder="1"/>
    <x:xf numFmtId="200" fontId="9" fillId="5" borderId="0" xfId="0" applyNumberFormat="1" applyFont="1" applyFill="1" applyBorder="1"/>
    <x:xf numFmtId="200" fontId="9" fillId="6" borderId="0" xfId="0" applyNumberFormat="1" applyFont="1" applyFill="1" applyBorder="1"/>
    <x:xf numFmtId="201" fontId="9" fillId="0" borderId="1" xfId="0" applyNumberFormat="1" applyFont="1" applyFill="1" applyBorder="1"/>
    <x:xf numFmtId="200" fontId="9" fillId="5" borderId="1" xfId="0" applyNumberFormat="1" applyFont="1" applyFill="1" applyBorder="1"/>
    <x:xf numFmtId="200" fontId="9" fillId="6" borderId="1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200" fontId="9" fillId="4" borderId="0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200" fontId="9" fillId="4" borderId="1" xfId="0" applyNumberFormat="1" applyFont="1" applyFill="1" applyBorder="1" applyAlignment="1">
      <x:alignment wrapText="1"/>
    </x:xf>
    <x:xf numFmtId="201" fontId="9" fillId="5" borderId="0" xfId="0" applyNumberFormat="1" applyFont="1" applyFill="1" applyBorder="1" applyAlignment="1">
      <x:alignment wrapText="1"/>
    </x:xf>
    <x:xf numFmtId="201" fontId="9" fillId="5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20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 vertical="center"/>
    </x:xf>
    <x:xf numFmtId="201" fontId="8" fillId="5" borderId="0" xfId="0" applyNumberFormat="1" applyFont="1" applyFill="1" applyBorder="1"/>
    <x:xf numFmtId="200" fontId="9" fillId="0" borderId="0" xfId="0" applyNumberFormat="1" applyFont="1" applyFill="1" applyBorder="1"/>
    <x:xf numFmtId="20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horizontal="center" vertical="center"/>
    </x:xf>
    <x:xf numFmtId="201" fontId="8" fillId="5" borderId="1" xfId="0" applyNumberFormat="1" applyFont="1" applyFill="1" applyBorder="1"/>
    <x:xf numFmtId="200" fontId="9" fillId="0" borderId="1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0" fillId="2" borderId="1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/>
    <x:xf numFmtId="0" fontId="11" fillId="2" borderId="1" xfId="0" applyNumberFormat="1" applyFont="1" applyFill="1" applyBorder="1"/>
    <x:xf numFmtId="202" fontId="9" fillId="5" borderId="0" xfId="0" applyNumberFormat="1" applyFont="1" applyFill="1" applyBorder="1" applyAlignment="1">
      <x:alignment wrapText="1"/>
    </x:xf>
    <x:xf numFmtId="202" fontId="9" fillId="5" borderId="1" xfId="0" applyNumberFormat="1" applyFont="1" applyFill="1" applyBorder="1" applyAlignment="1">
      <x:alignment wrapText="1"/>
    </x:xf>
    <x:xf numFmtId="203" fontId="9" fillId="5" borderId="0" xfId="0" applyNumberFormat="1" applyFont="1" applyFill="1" applyBorder="1"/>
  </x:cellXfs>
  <x:cellStyles count="1">
    <x:cellStyle name="Normal" xfId="0"/>
  </x:cellStyles>
  <x:dxfs count="15"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8B2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8B2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8B2"/>
        </x:patternFill>
      </x:fill>
    </x:dxf>
    <x:dxf>
      <x:font>
        <x:b/>
      </x:font>
      <x:fill>
        <x:patternFill patternType="solid">
          <x:bgColor rgb="FFFCE8B2"/>
        </x:patternFill>
      </x:fill>
    </x:dxf>
    <x:dxf>
      <x:fill>
        <x:patternFill patternType="solid">
          <x:bgColor rgb="FFDDEEDB"/>
        </x:patternFill>
      </x:fill>
    </x:dxf>
    <x:dxf>
      <x:fill>
        <x:patternFill patternType="solid">
          <x:bgColor rgb="FFFCE8B2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DEEDB"/>
        </x:patternFill>
      </x:fill>
    </x:dxf>
    <x:dxf>
      <x:fill>
        <x:patternFill patternType="solid">
          <x:bgColor rgb="FFFCE8B2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8B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a52ade7bd4015" /><Relationship Type="http://schemas.openxmlformats.org/officeDocument/2006/relationships/theme" Target="/xl/theme/theme1.xml" Id="R7b24f2a7382c464b" /><Relationship Type="http://schemas.openxmlformats.org/officeDocument/2006/relationships/sharedStrings" Target="/xl/sharedStrings.xml" Id="R8b964af077ee4c46" /><Relationship Type="http://schemas.openxmlformats.org/officeDocument/2006/relationships/worksheet" Target="/xl/worksheets/sheet1.xml" Id="R34cf0326eeea44db" /><Relationship Type="http://schemas.openxmlformats.org/officeDocument/2006/relationships/worksheet" Target="/xl/worksheets/sheet2.xml" Id="R3043d991d67342b7" /><Relationship Type="http://schemas.openxmlformats.org/officeDocument/2006/relationships/worksheet" Target="/xl/worksheets/sheet3.xml" Id="Rc35f3c6935a04ead" /><Relationship Type="http://schemas.openxmlformats.org/officeDocument/2006/relationships/worksheet" Target="/xl/worksheets/sheet4.xml" Id="R31cda1b6b74b4c9c" /><Relationship Type="http://schemas.openxmlformats.org/officeDocument/2006/relationships/worksheet" Target="/xl/worksheets/sheet5.xml" Id="Ra06d47c50f6f4937" /><Relationship Type="http://schemas.openxmlformats.org/officeDocument/2006/relationships/worksheet" Target="/xl/worksheets/sheet6.xml" Id="R094ccf5fff3c49bd" /><Relationship Type="http://schemas.openxmlformats.org/officeDocument/2006/relationships/worksheet" Target="/xl/worksheets/sheet7.xml" Id="R1657e2d747b24159" /><Relationship Type="http://schemas.openxmlformats.org/officeDocument/2006/relationships/worksheet" Target="/xl/worksheets/sheet8.xml" Id="Rfd5b522c198648e1" /><Relationship Type="http://schemas.openxmlformats.org/officeDocument/2006/relationships/worksheet" Target="/xl/worksheets/sheet9.xml" Id="R7626e7b0efe1459c" /><Relationship Type="http://schemas.openxmlformats.org/officeDocument/2006/relationships/worksheet" Target="/xl/worksheets/sheet10.xml" Id="Rcbfcf1dc064e45ff" /><Relationship Type="http://schemas.openxmlformats.org/officeDocument/2006/relationships/worksheet" Target="/xl/worksheets/sheet11.xml" Id="Rce8f442b2b1b4b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0170cd1c44441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Source Mix</a:t>
            </a:r>
          </a:p>
        </c:rich>
      </c:tx>
    </c:title>
    <c:plotArea>
      <c:pieChart>
        <c:ser>
          <c:idx val="0"/>
          <c:order val="0"/>
          <c:tx>
            <c:v>Count</c:v>
          </c:tx>
          <c:cat>
            <c:strRef>
              <c:f>'DASHBOARD'!$H$15:$H$19</c:f>
              <c:strCache>
                <c:ptCount val="0"/>
              </c:strCache>
            </c:strRef>
          </c:cat>
          <c:val>
            <c:numRef>
              <c:f>'DASHBOARD'!$I$15:$I$19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20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0170cd1c44441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LogTable" displayName="SourceLogTable" ref="A3:U63" headerRowCount="1" totalsRowCount="0" totalsRowShown="0">
  <x:tableColumns count="21">
    <x:tableColumn id="1" name="Source ID"/>
    <x:tableColumn id="2" name="Source Type"/>
    <x:tableColumn id="3" name="Author(s)"/>
    <x:tableColumn id="4" name="Year"/>
    <x:tableColumn id="5" name="Title"/>
    <x:tableColumn id="6" name="Publication / Container"/>
    <x:tableColumn id="7" name="Volume / Issue / Pages"/>
    <x:tableColumn id="8" name="DOI or URL"/>
    <x:tableColumn id="9" name="Access Date (if needed)"/>
    <x:tableColumn id="10" name="Source Role"/>
    <x:tableColumn id="11" name="Peer Reviewed?"/>
    <x:tableColumn id="12" name="Relevance (1-5)"/>
    <x:tableColumn id="13" name="Authority (1-5)"/>
    <x:tableColumn id="14" name="Evidence/Method (1-5)"/>
    <x:tableColumn id="15" name="Currency (1-5)"/>
    <x:tableColumn id="16" name="Review Avg"/>
    <x:tableColumn id="17" name="Key Finding / Contribution"/>
    <x:tableColumn id="18" name="Limitations / Bias / Caveats"/>
    <x:tableColumn id="19" name="Citation Fields"/>
    <x:tableColumn id="20" name="Use?"/>
    <x:tableColumn id="2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Table" displayName="EvidenceTable" ref="A3:M103" headerRowCount="1" totalsRowCount="0" totalsRowShown="0">
  <x:tableColumns count="13">
    <x:tableColumn id="1" name="Evidence ID"/>
    <x:tableColumn id="2" name="Source ID"/>
    <x:tableColumn id="3" name="Outline Section ID"/>
    <x:tableColumn id="4" name="Claim / Question Addressed"/>
    <x:tableColumn id="5" name="Evidence / Paraphrase / Quote"/>
    <x:tableColumn id="6" name="Page / Location"/>
    <x:tableColumn id="7" name="Evidence Use"/>
    <x:tableColumn id="8" name="Method / Context"/>
    <x:tableColumn id="9" name="Limitation / Qualification"/>
    <x:tableColumn id="10" name="Citation Inserted?"/>
    <x:tableColumn id="11" name="Quote Has Page?"/>
    <x:tableColumn id="12" name="Evidence QA"/>
    <x:tableColumn id="1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utlineTable" displayName="OutlineTable" ref="A3:J33" headerRowCount="1" totalsRowCount="0" totalsRowShown="0">
  <x:tableColumns count="10">
    <x:tableColumn id="1" name="Section ID"/>
    <x:tableColumn id="2" name="Level"/>
    <x:tableColumn id="3" name="Working Heading"/>
    <x:tableColumn id="4" name="Section Purpose"/>
    <x:tableColumn id="5" name="Main Claim / Topic Sentence"/>
    <x:tableColumn id="6" name="Counterpoint / Limitation to Address"/>
    <x:tableColumn id="7" name="Evidence Items"/>
    <x:tableColumn id="8" name="Target Words"/>
    <x:tableColumn id="9" name="Draft Status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3a6a215338254f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8d93a848a7b84c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7fb3d78dfe51419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670caf18f17e4b7b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68" hidden="0" customWidth="1"/>
    <x:col min="5" max="5" width="18" hidden="0" customWidth="1"/>
    <x:col min="6" max="6" width="30" hidden="0" customWidth="1"/>
  </x:cols>
  <x:sheetData>
    <x:row r="1">
      <x:c r="A1" s="139" t="str">
        <x:v>Research Writing Planner &amp; Evidence Matrix</x:v>
      </x:c>
      <x:c r="B1" s="139"/>
      <x:c r="C1" s="139"/>
      <x:c r="D1" s="139"/>
      <x:c r="E1" s="139"/>
      <x:c r="F1" s="139"/>
      <x:c r="G1" s="139"/>
      <x:c r="H1" s="139"/>
      <x:c r="I1" s="84"/>
      <x:c r="J1" s="84"/>
      <x:c r="K1" s="84"/>
      <x:c r="L1" s="84"/>
      <x:c r="M1" s="84"/>
      <x:c r="N1" s="84"/>
      <x:c r="O1" s="84"/>
      <x:c r="P1" s="84"/>
      <x:c r="Q1" s="84"/>
      <x:c r="R1" s="84"/>
      <x:c r="S1" s="84"/>
      <x:c r="T1" s="84"/>
      <x:c r="U1" s="84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  <x:c r="S2" s="84"/>
      <x:c r="T2" s="84"/>
      <x:c r="U2" s="84"/>
    </x:row>
    <x:row r="3">
      <x:c r="A3" s="85" t="str">
        <x:v>Use the fewest inputs possible; let the workbook surface the work that still needs attention.</x:v>
      </x:c>
      <x:c r="B3" s="85"/>
      <x:c r="C3" s="85"/>
      <x:c r="D3" s="85"/>
      <x:c r="E3" s="85"/>
      <x:c r="F3" s="85"/>
      <x:c r="G3" s="85"/>
      <x:c r="H3" s="85"/>
      <x:c r="I3" s="84"/>
      <x:c r="J3" s="84"/>
      <x:c r="K3" s="84"/>
      <x:c r="L3" s="84"/>
      <x:c r="M3" s="84"/>
      <x:c r="N3" s="84"/>
      <x:c r="O3" s="84"/>
      <x:c r="P3" s="84"/>
      <x:c r="Q3" s="84"/>
      <x:c r="R3" s="84"/>
      <x:c r="S3" s="84"/>
      <x:c r="T3" s="84"/>
      <x:c r="U3" s="84"/>
    </x:row>
    <x:row r="4">
      <x:c r="A4" s="84"/>
      <x:c r="B4" s="84"/>
      <x:c r="C4" s="84"/>
      <x:c r="D4" s="84"/>
      <x:c r="E4" s="84"/>
      <x:c r="F4" s="84"/>
      <x:c r="G4" s="84"/>
      <x:c r="H4" s="84"/>
      <x:c r="I4" s="84"/>
      <x:c r="J4" s="84"/>
      <x:c r="K4" s="84"/>
      <x:c r="L4" s="84"/>
      <x:c r="M4" s="84"/>
      <x:c r="N4" s="84"/>
      <x:c r="O4" s="84"/>
      <x:c r="P4" s="84"/>
      <x:c r="Q4" s="84"/>
      <x:c r="R4" s="84"/>
      <x:c r="S4" s="84"/>
      <x:c r="T4" s="84"/>
      <x:c r="U4" s="84"/>
    </x:row>
    <x:row r="5">
      <x:c r="A5" s="86" t="str">
        <x:v>STEP</x:v>
      </x:c>
      <x:c r="B5" s="86" t="str">
        <x:v>SHEET</x:v>
      </x:c>
      <x:c r="C5" s="86" t="str">
        <x:v>WHAT YOU DO</x:v>
      </x:c>
      <x:c r="D5" s="84"/>
      <x:c r="E5" s="86" t="str">
        <x:v>LABEL</x:v>
      </x:c>
      <x:c r="F5" s="86" t="str">
        <x:v>MEANING</x:v>
      </x:c>
      <x:c r="G5" s="84"/>
      <x:c r="H5" s="84"/>
      <x:c r="I5" s="84"/>
      <x:c r="J5" s="84"/>
      <x:c r="K5" s="84"/>
      <x:c r="L5" s="84"/>
      <x:c r="M5" s="84"/>
      <x:c r="N5" s="84"/>
      <x:c r="O5" s="84"/>
      <x:c r="P5" s="84"/>
      <x:c r="Q5" s="84"/>
      <x:c r="R5" s="84"/>
      <x:c r="S5" s="84"/>
      <x:c r="T5" s="84"/>
      <x:c r="U5" s="84"/>
    </x:row>
    <x:row r="6">
      <x:c r="A6" s="84" t="str">
        <x:v>1</x:v>
      </x:c>
      <x:c r="B6" s="84" t="str">
        <x:v>ASSIGNMENT</x:v>
      </x:c>
      <x:c r="C6" s="84" t="str">
        <x:v>Enter assignment requirements and due date. This drives the timeline.</x:v>
      </x:c>
      <x:c r="D6" s="84"/>
      <x:c r="E6" s="87" t="str">
        <x:v>INPUT</x:v>
      </x:c>
      <x:c r="F6" s="88" t="str">
        <x:v>You enter this</x:v>
      </x:c>
      <x:c r="G6" s="84"/>
      <x:c r="H6" s="84"/>
      <x:c r="I6" s="84"/>
      <x:c r="J6" s="84"/>
      <x:c r="K6" s="84"/>
      <x:c r="L6" s="84"/>
      <x:c r="M6" s="84"/>
      <x:c r="N6" s="84"/>
      <x:c r="O6" s="84"/>
      <x:c r="P6" s="84"/>
      <x:c r="Q6" s="84"/>
      <x:c r="R6" s="84"/>
      <x:c r="S6" s="84"/>
      <x:c r="T6" s="84"/>
      <x:c r="U6" s="84"/>
    </x:row>
    <x:row r="7">
      <x:c r="A7" s="84" t="str">
        <x:v>2</x:v>
      </x:c>
      <x:c r="B7" s="84" t="str">
        <x:v>RESEARCH QUESTION</x:v>
      </x:c>
      <x:c r="C7" s="84" t="str">
        <x:v>Define the question, scope, thesis/purpose, and concepts.</x:v>
      </x:c>
      <x:c r="D7" s="84"/>
      <x:c r="E7" s="89" t="str">
        <x:v>AUTO</x:v>
      </x:c>
      <x:c r="F7" s="90" t="str">
        <x:v>Calculated for you</x:v>
      </x:c>
      <x:c r="G7" s="84"/>
      <x:c r="H7" s="84"/>
      <x:c r="I7" s="84"/>
      <x:c r="J7" s="84"/>
      <x:c r="K7" s="84"/>
      <x:c r="L7" s="84"/>
      <x:c r="M7" s="84"/>
      <x:c r="N7" s="84"/>
      <x:c r="O7" s="84"/>
      <x:c r="P7" s="84"/>
      <x:c r="Q7" s="84"/>
      <x:c r="R7" s="84"/>
      <x:c r="S7" s="84"/>
      <x:c r="T7" s="84"/>
      <x:c r="U7" s="84"/>
    </x:row>
    <x:row r="8">
      <x:c r="A8" s="84" t="str">
        <x:v>3</x:v>
      </x:c>
      <x:c r="B8" s="84" t="str">
        <x:v>MILESTONES</x:v>
      </x:c>
      <x:c r="C8" s="84" t="str">
        <x:v>Suggested dates calculate from the assignment start and due dates; override only when needed.</x:v>
      </x:c>
      <x:c r="D8" s="84"/>
      <x:c r="E8" s="91" t="str">
        <x:v>OPTIONAL</x:v>
      </x:c>
      <x:c r="F8" s="92" t="str">
        <x:v>Useful but not required</x:v>
      </x:c>
      <x:c r="G8" s="84"/>
      <x:c r="H8" s="84"/>
      <x:c r="I8" s="84"/>
      <x:c r="J8" s="84"/>
      <x:c r="K8" s="84"/>
      <x:c r="L8" s="84"/>
      <x:c r="M8" s="84"/>
      <x:c r="N8" s="84"/>
      <x:c r="O8" s="84"/>
      <x:c r="P8" s="84"/>
      <x:c r="Q8" s="84"/>
      <x:c r="R8" s="84"/>
      <x:c r="S8" s="84"/>
      <x:c r="T8" s="84"/>
      <x:c r="U8" s="84"/>
    </x:row>
    <x:row r="9">
      <x:c r="A9" s="84" t="str">
        <x:v>4</x:v>
      </x:c>
      <x:c r="B9" s="84" t="str">
        <x:v>SOURCE LOG</x:v>
      </x:c>
      <x:c r="C9" s="84" t="str">
        <x:v>Enter each source once. Missing bibliographic fields and source mix are summarized automatically.</x:v>
      </x:c>
      <x:c r="D9" s="84"/>
      <x:c r="E9" s="93" t="str">
        <x:v>ACTION NEEDED</x:v>
      </x:c>
      <x:c r="F9" s="94" t="str">
        <x:v>Review/fix</x:v>
      </x:c>
      <x:c r="G9" s="84"/>
      <x:c r="H9" s="84"/>
      <x:c r="I9" s="84"/>
      <x:c r="J9" s="84"/>
      <x:c r="K9" s="84"/>
      <x:c r="L9" s="84"/>
      <x:c r="M9" s="84"/>
      <x:c r="N9" s="84"/>
      <x:c r="O9" s="84"/>
      <x:c r="P9" s="84"/>
      <x:c r="Q9" s="84"/>
      <x:c r="R9" s="84"/>
      <x:c r="S9" s="84"/>
      <x:c r="T9" s="84"/>
      <x:c r="U9" s="84"/>
    </x:row>
    <x:row r="10">
      <x:c r="A10" s="84" t="str">
        <x:v>5</x:v>
      </x:c>
      <x:c r="B10" s="84" t="str">
        <x:v>EVIDENCE MATRIX</x:v>
      </x:c>
      <x:c r="C10" s="84" t="str">
        <x:v>Map specific evidence to the claims/sections it supports. Record page/location and limitations.</x:v>
      </x:c>
      <x:c r="D10" s="84"/>
      <x:c r="E10" s="84"/>
      <x:c r="F10" s="84"/>
      <x:c r="G10" s="84"/>
      <x:c r="H10" s="84"/>
      <x:c r="I10" s="84"/>
      <x:c r="J10" s="84"/>
      <x:c r="K10" s="84"/>
      <x:c r="L10" s="84"/>
      <x:c r="M10" s="84"/>
      <x:c r="N10" s="84"/>
      <x:c r="O10" s="84"/>
      <x:c r="P10" s="84"/>
      <x:c r="Q10" s="84"/>
      <x:c r="R10" s="84"/>
      <x:c r="S10" s="84"/>
      <x:c r="T10" s="84"/>
      <x:c r="U10" s="84"/>
    </x:row>
    <x:row r="11">
      <x:c r="A11" s="84" t="str">
        <x:v>6</x:v>
      </x:c>
      <x:c r="B11" s="84" t="str">
        <x:v>OUTLINE</x:v>
      </x:c>
      <x:c r="C11" s="84" t="str">
        <x:v>Plan sections and claims. Evidence counts populate from the matrix.</x:v>
      </x:c>
      <x:c r="D11" s="84"/>
      <x:c r="E11" s="95" t="str">
        <x:v>Important</x:v>
      </x:c>
      <x:c r="F11" s="95"/>
      <x:c r="G11" s="95"/>
      <x:c r="H11" s="95"/>
      <x:c r="I11" s="84"/>
      <x:c r="J11" s="84"/>
      <x:c r="K11" s="84"/>
      <x:c r="L11" s="84"/>
      <x:c r="M11" s="84"/>
      <x:c r="N11" s="84"/>
      <x:c r="O11" s="84"/>
      <x:c r="P11" s="84"/>
      <x:c r="Q11" s="84"/>
      <x:c r="R11" s="84"/>
      <x:c r="S11" s="84"/>
      <x:c r="T11" s="84"/>
      <x:c r="U11" s="84"/>
    </x:row>
    <x:row r="12">
      <x:c r="A12" s="84" t="str">
        <x:v>7</x:v>
      </x:c>
      <x:c r="B12" s="84" t="str">
        <x:v>DRAFT TRACKER</x:v>
      </x:c>
      <x:c r="C12" s="84" t="str">
        <x:v>Track section drafting and word targets.</x:v>
      </x:c>
      <x:c r="D12" s="84"/>
      <x:c r="E12" s="96" t="str">
        <x:v>This workbook helps you collect the information needed for research and APA citations, but it intentionally does not auto-fabricate final reference entries. Citation rules vary by source type. Use the collected fields, then verify the final reference against current APA Style guidance and your assignment.</x:v>
      </x:c>
      <x:c r="F12" s="96"/>
      <x:c r="G12" s="96"/>
      <x:c r="H12" s="96"/>
      <x:c r="I12" s="84"/>
      <x:c r="J12" s="84"/>
      <x:c r="K12" s="84"/>
      <x:c r="L12" s="84"/>
      <x:c r="M12" s="84"/>
      <x:c r="N12" s="84"/>
      <x:c r="O12" s="84"/>
      <x:c r="P12" s="84"/>
      <x:c r="Q12" s="84"/>
      <x:c r="R12" s="84"/>
      <x:c r="S12" s="84"/>
      <x:c r="T12" s="84"/>
      <x:c r="U12" s="84"/>
    </x:row>
    <x:row r="13">
      <x:c r="A13" s="84" t="str">
        <x:v>8</x:v>
      </x:c>
      <x:c r="B13" s="84" t="str">
        <x:v>REVISION QA</x:v>
      </x:c>
      <x:c r="C13" s="84" t="str">
        <x:v>Complete the final research/writing/APA checklist.</x:v>
      </x:c>
      <x:c r="D13" s="84"/>
      <x:c r="E13" s="96"/>
      <x:c r="F13" s="96"/>
      <x:c r="G13" s="96"/>
      <x:c r="H13" s="96"/>
      <x:c r="I13" s="84"/>
      <x:c r="J13" s="84"/>
      <x:c r="K13" s="84"/>
      <x:c r="L13" s="84"/>
      <x:c r="M13" s="84"/>
      <x:c r="N13" s="84"/>
      <x:c r="O13" s="84"/>
      <x:c r="P13" s="84"/>
      <x:c r="Q13" s="84"/>
      <x:c r="R13" s="84"/>
      <x:c r="S13" s="84"/>
      <x:c r="T13" s="84"/>
      <x:c r="U13" s="84"/>
    </x:row>
    <x:row r="14">
      <x:c r="A14" s="84" t="str">
        <x:v>9</x:v>
      </x:c>
      <x:c r="B14" s="84" t="str">
        <x:v>DASHBOARD</x:v>
      </x:c>
      <x:c r="C14" s="84" t="str">
        <x:v>See remaining work, source/evidence coverage, and upcoming deadlines.</x:v>
      </x:c>
      <x:c r="D14" s="84"/>
      <x:c r="E14" s="96"/>
      <x:c r="F14" s="96"/>
      <x:c r="G14" s="96"/>
      <x:c r="H14" s="96"/>
      <x:c r="I14" s="84"/>
      <x:c r="J14" s="84"/>
      <x:c r="K14" s="84"/>
      <x:c r="L14" s="84"/>
      <x:c r="M14" s="84"/>
      <x:c r="N14" s="84"/>
      <x:c r="O14" s="84"/>
      <x:c r="P14" s="84"/>
      <x:c r="Q14" s="84"/>
      <x:c r="R14" s="84"/>
      <x:c r="S14" s="84"/>
      <x:c r="T14" s="84"/>
      <x:c r="U14" s="84"/>
    </x:row>
    <x:row r="15">
      <x:c r="A15" s="84"/>
      <x:c r="B15" s="84"/>
      <x:c r="C15" s="84"/>
      <x:c r="D15" s="84"/>
      <x:c r="E15" s="96"/>
      <x:c r="F15" s="96"/>
      <x:c r="G15" s="96"/>
      <x:c r="H15" s="96"/>
      <x:c r="I15" s="84"/>
      <x:c r="J15" s="84"/>
      <x:c r="K15" s="84"/>
      <x:c r="L15" s="84"/>
      <x:c r="M15" s="84"/>
      <x:c r="N15" s="84"/>
      <x:c r="O15" s="84"/>
      <x:c r="P15" s="84"/>
      <x:c r="Q15" s="84"/>
      <x:c r="R15" s="84"/>
      <x:c r="S15" s="84"/>
      <x:c r="T15" s="84"/>
      <x:c r="U15" s="84"/>
    </x:row>
    <x:row r="16">
      <x:c r="A16" s="84"/>
      <x:c r="B16" s="84"/>
      <x:c r="C16" s="84"/>
      <x:c r="D16" s="84"/>
      <x:c r="E16" s="96"/>
      <x:c r="F16" s="96"/>
      <x:c r="G16" s="96"/>
      <x:c r="H16" s="96"/>
      <x:c r="I16" s="84"/>
      <x:c r="J16" s="84"/>
      <x:c r="K16" s="84"/>
      <x:c r="L16" s="84"/>
      <x:c r="M16" s="84"/>
      <x:c r="N16" s="84"/>
      <x:c r="O16" s="84"/>
      <x:c r="P16" s="84"/>
      <x:c r="Q16" s="84"/>
      <x:c r="R16" s="84"/>
      <x:c r="S16" s="84"/>
      <x:c r="T16" s="84"/>
      <x:c r="U16" s="84"/>
    </x:row>
    <x:row r="17">
      <x:c r="A17" s="84"/>
      <x:c r="B17" s="84"/>
      <x:c r="C17" s="84"/>
      <x:c r="D17" s="84"/>
      <x:c r="E17" s="96"/>
      <x:c r="F17" s="96"/>
      <x:c r="G17" s="96"/>
      <x:c r="H17" s="96"/>
      <x:c r="I17" s="84"/>
      <x:c r="J17" s="84"/>
      <x:c r="K17" s="84"/>
      <x:c r="L17" s="84"/>
      <x:c r="M17" s="84"/>
      <x:c r="N17" s="84"/>
      <x:c r="O17" s="84"/>
      <x:c r="P17" s="84"/>
      <x:c r="Q17" s="84"/>
      <x:c r="R17" s="84"/>
      <x:c r="S17" s="84"/>
      <x:c r="T17" s="84"/>
      <x:c r="U17" s="84"/>
    </x:row>
    <x:row r="18">
      <x:c r="A18" s="84"/>
      <x:c r="B18" s="84"/>
      <x:c r="C18" s="84"/>
      <x:c r="D18" s="84"/>
      <x:c r="E18" s="84"/>
      <x:c r="F18" s="84"/>
      <x:c r="G18" s="84"/>
      <x:c r="H18" s="84"/>
      <x:c r="I18" s="84"/>
      <x:c r="J18" s="84"/>
      <x:c r="K18" s="84"/>
      <x:c r="L18" s="84"/>
      <x:c r="M18" s="84"/>
      <x:c r="N18" s="84"/>
      <x:c r="O18" s="84"/>
      <x:c r="P18" s="84"/>
      <x:c r="Q18" s="84"/>
      <x:c r="R18" s="84"/>
      <x:c r="S18" s="84"/>
      <x:c r="T18" s="84"/>
      <x:c r="U18" s="84"/>
    </x:row>
    <x:row r="19">
      <x:c r="A19" s="84"/>
      <x:c r="B19" s="84"/>
      <x:c r="C19" s="84"/>
      <x:c r="D19" s="84"/>
      <x:c r="E19" s="84"/>
      <x:c r="F19" s="84"/>
      <x:c r="G19" s="84"/>
      <x:c r="H19" s="84"/>
      <x:c r="I19" s="84"/>
      <x:c r="J19" s="84"/>
      <x:c r="K19" s="84"/>
      <x:c r="L19" s="84"/>
      <x:c r="M19" s="84"/>
      <x:c r="N19" s="84"/>
      <x:c r="O19" s="84"/>
      <x:c r="P19" s="84"/>
      <x:c r="Q19" s="84"/>
      <x:c r="R19" s="84"/>
      <x:c r="S19" s="84"/>
      <x:c r="T19" s="84"/>
      <x:c r="U19" s="84"/>
    </x:row>
    <x:row r="20">
      <x:c r="A20" s="84"/>
      <x:c r="B20" s="84"/>
      <x:c r="C20" s="84"/>
      <x:c r="D20" s="84"/>
      <x:c r="E20" s="84"/>
      <x:c r="F20" s="84"/>
      <x:c r="G20" s="84"/>
      <x:c r="H20" s="84"/>
      <x:c r="I20" s="84"/>
      <x:c r="J20" s="84"/>
      <x:c r="K20" s="84"/>
      <x:c r="L20" s="84"/>
      <x:c r="M20" s="84"/>
      <x:c r="N20" s="84"/>
      <x:c r="O20" s="84"/>
      <x:c r="P20" s="84"/>
      <x:c r="Q20" s="84"/>
      <x:c r="R20" s="84"/>
      <x:c r="S20" s="84"/>
      <x:c r="T20" s="84"/>
      <x:c r="U20" s="84"/>
    </x:row>
    <x:row r="21">
      <x:c r="A21" s="84"/>
      <x:c r="B21" s="84"/>
      <x:c r="C21" s="84"/>
      <x:c r="D21" s="84"/>
      <x:c r="E21" s="84"/>
      <x:c r="F21" s="84"/>
      <x:c r="G21" s="84"/>
      <x:c r="H21" s="84"/>
      <x:c r="I21" s="84"/>
      <x:c r="J21" s="84"/>
      <x:c r="K21" s="84"/>
      <x:c r="L21" s="84"/>
      <x:c r="M21" s="84"/>
      <x:c r="N21" s="84"/>
      <x:c r="O21" s="84"/>
      <x:c r="P21" s="84"/>
      <x:c r="Q21" s="84"/>
      <x:c r="R21" s="84"/>
      <x:c r="S21" s="84"/>
      <x:c r="T21" s="84"/>
      <x:c r="U21" s="84"/>
    </x:row>
    <x:row r="22">
      <x:c r="A22" s="84"/>
      <x:c r="B22" s="84"/>
      <x:c r="C22" s="84"/>
      <x:c r="D22" s="84"/>
      <x:c r="E22" s="84"/>
      <x:c r="F22" s="84"/>
      <x:c r="G22" s="84"/>
      <x:c r="H22" s="84"/>
      <x:c r="I22" s="84"/>
      <x:c r="J22" s="84"/>
      <x:c r="K22" s="84"/>
      <x:c r="L22" s="84"/>
      <x:c r="M22" s="84"/>
      <x:c r="N22" s="84"/>
      <x:c r="O22" s="84"/>
      <x:c r="P22" s="84"/>
      <x:c r="Q22" s="84"/>
      <x:c r="R22" s="84"/>
      <x:c r="S22" s="84"/>
      <x:c r="T22" s="84"/>
      <x:c r="U22" s="84"/>
    </x:row>
    <x:row r="23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  <x:c r="K23" s="84"/>
      <x:c r="L23" s="84"/>
      <x:c r="M23" s="84"/>
      <x:c r="N23" s="84"/>
      <x:c r="O23" s="84"/>
      <x:c r="P23" s="84"/>
      <x:c r="Q23" s="84"/>
      <x:c r="R23" s="84"/>
      <x:c r="S23" s="84"/>
      <x:c r="T23" s="84"/>
      <x:c r="U23" s="84"/>
    </x:row>
    <x:row r="24">
      <x:c r="A24" s="84"/>
      <x:c r="B24" s="84"/>
      <x:c r="C24" s="84"/>
      <x:c r="D24" s="84"/>
      <x:c r="E24" s="84"/>
      <x:c r="F24" s="84"/>
      <x:c r="G24" s="84"/>
      <x:c r="H24" s="84"/>
      <x:c r="I24" s="84"/>
      <x:c r="J24" s="84"/>
      <x:c r="K24" s="84"/>
      <x:c r="L24" s="84"/>
      <x:c r="M24" s="84"/>
      <x:c r="N24" s="84"/>
      <x:c r="O24" s="84"/>
      <x:c r="P24" s="84"/>
      <x:c r="Q24" s="84"/>
      <x:c r="R24" s="84"/>
      <x:c r="S24" s="84"/>
      <x:c r="T24" s="84"/>
      <x:c r="U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  <x:c r="K25" s="84"/>
      <x:c r="L25" s="84"/>
      <x:c r="M25" s="84"/>
      <x:c r="N25" s="84"/>
      <x:c r="O25" s="84"/>
      <x:c r="P25" s="84"/>
      <x:c r="Q25" s="84"/>
      <x:c r="R25" s="84"/>
      <x:c r="S25" s="84"/>
      <x:c r="T25" s="84"/>
      <x:c r="U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  <x:c r="K26" s="84"/>
      <x:c r="L26" s="84"/>
      <x:c r="M26" s="84"/>
      <x:c r="N26" s="84"/>
      <x:c r="O26" s="84"/>
      <x:c r="P26" s="84"/>
      <x:c r="Q26" s="84"/>
      <x:c r="R26" s="84"/>
      <x:c r="S26" s="84"/>
      <x:c r="T26" s="84"/>
      <x:c r="U26" s="84"/>
    </x:row>
    <x:row r="27">
      <x:c r="A27" s="84"/>
      <x:c r="B27" s="84"/>
      <x:c r="C27" s="84"/>
      <x:c r="D27" s="84"/>
      <x:c r="E27" s="84"/>
      <x:c r="F27" s="84"/>
      <x:c r="G27" s="84"/>
      <x:c r="H27" s="84"/>
      <x:c r="I27" s="84"/>
      <x:c r="J27" s="84"/>
      <x:c r="K27" s="84"/>
      <x:c r="L27" s="84"/>
      <x:c r="M27" s="84"/>
      <x:c r="N27" s="84"/>
      <x:c r="O27" s="84"/>
      <x:c r="P27" s="84"/>
      <x:c r="Q27" s="84"/>
      <x:c r="R27" s="84"/>
      <x:c r="S27" s="84"/>
      <x:c r="T27" s="84"/>
      <x:c r="U27" s="84"/>
    </x:row>
    <x:row r="28">
      <x:c r="A28" s="84"/>
      <x:c r="B28" s="84"/>
      <x:c r="C28" s="84"/>
      <x:c r="D28" s="84"/>
      <x:c r="E28" s="84"/>
      <x:c r="F28" s="84"/>
      <x:c r="G28" s="84"/>
      <x:c r="H28" s="84"/>
      <x:c r="I28" s="84"/>
      <x:c r="J28" s="84"/>
      <x:c r="K28" s="84"/>
      <x:c r="L28" s="84"/>
      <x:c r="M28" s="84"/>
      <x:c r="N28" s="84"/>
      <x:c r="O28" s="84"/>
      <x:c r="P28" s="84"/>
      <x:c r="Q28" s="84"/>
      <x:c r="R28" s="84"/>
      <x:c r="S28" s="84"/>
      <x:c r="T28" s="84"/>
      <x:c r="U28" s="84"/>
    </x:row>
    <x:row r="29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  <x:c r="K29" s="84"/>
      <x:c r="L29" s="84"/>
      <x:c r="M29" s="84"/>
      <x:c r="N29" s="84"/>
      <x:c r="O29" s="84"/>
      <x:c r="P29" s="84"/>
      <x:c r="Q29" s="84"/>
      <x:c r="R29" s="84"/>
      <x:c r="S29" s="84"/>
      <x:c r="T29" s="84"/>
      <x:c r="U29" s="84"/>
    </x:row>
    <x:row r="30">
      <x:c r="A30" s="84"/>
      <x:c r="B30" s="84"/>
      <x:c r="C30" s="84"/>
      <x:c r="D30" s="84"/>
      <x:c r="E30" s="84"/>
      <x:c r="F30" s="84"/>
      <x:c r="G30" s="84"/>
      <x:c r="H30" s="84"/>
      <x:c r="I30" s="84"/>
      <x:c r="J30" s="84"/>
      <x:c r="K30" s="84"/>
      <x:c r="L30" s="84"/>
      <x:c r="M30" s="84"/>
      <x:c r="N30" s="84"/>
      <x:c r="O30" s="84"/>
      <x:c r="P30" s="84"/>
      <x:c r="Q30" s="84"/>
      <x:c r="R30" s="84"/>
      <x:c r="S30" s="84"/>
      <x:c r="T30" s="84"/>
      <x:c r="U30" s="84"/>
    </x:row>
    <x:row r="31">
      <x:c r="A31" s="84"/>
      <x:c r="B31" s="84"/>
      <x:c r="C31" s="84"/>
      <x:c r="D31" s="84"/>
      <x:c r="E31" s="84"/>
      <x:c r="F31" s="84"/>
      <x:c r="G31" s="84"/>
      <x:c r="H31" s="84"/>
      <x:c r="I31" s="84"/>
      <x:c r="J31" s="84"/>
      <x:c r="K31" s="84"/>
      <x:c r="L31" s="84"/>
      <x:c r="M31" s="84"/>
      <x:c r="N31" s="84"/>
      <x:c r="O31" s="84"/>
      <x:c r="P31" s="84"/>
      <x:c r="Q31" s="84"/>
      <x:c r="R31" s="84"/>
      <x:c r="S31" s="84"/>
      <x:c r="T31" s="84"/>
      <x:c r="U31" s="84"/>
    </x:row>
    <x:row r="32">
      <x:c r="A32" s="84"/>
      <x:c r="B32" s="84"/>
      <x:c r="C32" s="84"/>
      <x:c r="D32" s="84"/>
      <x:c r="E32" s="84"/>
      <x:c r="F32" s="84"/>
      <x:c r="G32" s="84"/>
      <x:c r="H32" s="84"/>
      <x:c r="I32" s="84"/>
      <x:c r="J32" s="84"/>
      <x:c r="K32" s="84"/>
      <x:c r="L32" s="84"/>
      <x:c r="M32" s="84"/>
      <x:c r="N32" s="84"/>
      <x:c r="O32" s="84"/>
      <x:c r="P32" s="84"/>
      <x:c r="Q32" s="84"/>
      <x:c r="R32" s="84"/>
      <x:c r="S32" s="84"/>
      <x:c r="T32" s="84"/>
      <x:c r="U32" s="84"/>
    </x:row>
    <x:row r="33">
      <x:c r="A33" s="84"/>
      <x:c r="B33" s="84"/>
      <x:c r="C33" s="84"/>
      <x:c r="D33" s="84"/>
      <x:c r="E33" s="84"/>
      <x:c r="F33" s="84"/>
      <x:c r="G33" s="84"/>
      <x:c r="H33" s="84"/>
      <x:c r="I33" s="84"/>
      <x:c r="J33" s="84"/>
      <x:c r="K33" s="84"/>
      <x:c r="L33" s="84"/>
      <x:c r="M33" s="84"/>
      <x:c r="N33" s="84"/>
      <x:c r="O33" s="84"/>
      <x:c r="P33" s="84"/>
      <x:c r="Q33" s="84"/>
      <x:c r="R33" s="84"/>
      <x:c r="S33" s="84"/>
      <x:c r="T33" s="84"/>
      <x:c r="U33" s="84"/>
    </x:row>
    <x:row r="34">
      <x:c r="A34" s="84"/>
      <x:c r="B34" s="84"/>
      <x:c r="C34" s="84"/>
      <x:c r="D34" s="84"/>
      <x:c r="E34" s="84"/>
      <x:c r="F34" s="84"/>
      <x:c r="G34" s="84"/>
      <x:c r="H34" s="84"/>
      <x:c r="I34" s="84"/>
      <x:c r="J34" s="84"/>
      <x:c r="K34" s="84"/>
      <x:c r="L34" s="84"/>
      <x:c r="M34" s="84"/>
      <x:c r="N34" s="84"/>
      <x:c r="O34" s="84"/>
      <x:c r="P34" s="84"/>
      <x:c r="Q34" s="84"/>
      <x:c r="R34" s="84"/>
      <x:c r="S34" s="84"/>
      <x:c r="T34" s="84"/>
      <x:c r="U34" s="84"/>
    </x:row>
    <x:row r="35">
      <x:c r="A35" s="84"/>
      <x:c r="B35" s="84"/>
      <x:c r="C35" s="84"/>
      <x:c r="D35" s="84"/>
      <x:c r="E35" s="84"/>
      <x:c r="F35" s="84"/>
      <x:c r="G35" s="84"/>
      <x:c r="H35" s="84"/>
      <x:c r="I35" s="84"/>
      <x:c r="J35" s="84"/>
      <x:c r="K35" s="84"/>
      <x:c r="L35" s="84"/>
      <x:c r="M35" s="84"/>
      <x:c r="N35" s="84"/>
      <x:c r="O35" s="84"/>
      <x:c r="P35" s="84"/>
      <x:c r="Q35" s="84"/>
      <x:c r="R35" s="84"/>
      <x:c r="S35" s="84"/>
      <x:c r="T35" s="84"/>
      <x:c r="U35" s="84"/>
    </x:row>
    <x:row r="36">
      <x:c r="A36" s="84"/>
      <x:c r="B36" s="84"/>
      <x:c r="C36" s="84"/>
      <x:c r="D36" s="84"/>
      <x:c r="E36" s="84"/>
      <x:c r="F36" s="84"/>
      <x:c r="G36" s="84"/>
      <x:c r="H36" s="84"/>
      <x:c r="I36" s="84"/>
      <x:c r="J36" s="84"/>
      <x:c r="K36" s="84"/>
      <x:c r="L36" s="84"/>
      <x:c r="M36" s="84"/>
      <x:c r="N36" s="84"/>
      <x:c r="O36" s="84"/>
      <x:c r="P36" s="84"/>
      <x:c r="Q36" s="84"/>
      <x:c r="R36" s="84"/>
      <x:c r="S36" s="84"/>
      <x:c r="T36" s="84"/>
      <x:c r="U36" s="84"/>
    </x:row>
    <x:row r="37">
      <x:c r="A37" s="84"/>
      <x:c r="B37" s="84"/>
      <x:c r="C37" s="84"/>
      <x:c r="D37" s="84"/>
      <x:c r="E37" s="84"/>
      <x:c r="F37" s="84"/>
      <x:c r="G37" s="84"/>
      <x:c r="H37" s="84"/>
      <x:c r="I37" s="84"/>
      <x:c r="J37" s="84"/>
      <x:c r="K37" s="84"/>
      <x:c r="L37" s="84"/>
      <x:c r="M37" s="84"/>
      <x:c r="N37" s="84"/>
      <x:c r="O37" s="84"/>
      <x:c r="P37" s="84"/>
      <x:c r="Q37" s="84"/>
      <x:c r="R37" s="84"/>
      <x:c r="S37" s="84"/>
      <x:c r="T37" s="84"/>
      <x:c r="U37" s="84"/>
    </x:row>
    <x:row r="38">
      <x:c r="A38" s="84"/>
      <x:c r="B38" s="84"/>
      <x:c r="C38" s="84"/>
      <x:c r="D38" s="84"/>
      <x:c r="E38" s="84"/>
      <x:c r="F38" s="84"/>
      <x:c r="G38" s="84"/>
      <x:c r="H38" s="84"/>
      <x:c r="I38" s="84"/>
      <x:c r="J38" s="84"/>
      <x:c r="K38" s="84"/>
      <x:c r="L38" s="84"/>
      <x:c r="M38" s="84"/>
      <x:c r="N38" s="84"/>
      <x:c r="O38" s="84"/>
      <x:c r="P38" s="84"/>
      <x:c r="Q38" s="84"/>
      <x:c r="R38" s="84"/>
      <x:c r="S38" s="84"/>
      <x:c r="T38" s="84"/>
      <x:c r="U38" s="84"/>
    </x:row>
    <x:row r="39">
      <x:c r="A39" s="84"/>
      <x:c r="B39" s="84"/>
      <x:c r="C39" s="84"/>
      <x:c r="D39" s="84"/>
      <x:c r="E39" s="84"/>
      <x:c r="F39" s="84"/>
      <x:c r="G39" s="84"/>
      <x:c r="H39" s="84"/>
      <x:c r="I39" s="84"/>
      <x:c r="J39" s="84"/>
      <x:c r="K39" s="84"/>
      <x:c r="L39" s="84"/>
      <x:c r="M39" s="84"/>
      <x:c r="N39" s="84"/>
      <x:c r="O39" s="84"/>
      <x:c r="P39" s="84"/>
      <x:c r="Q39" s="84"/>
      <x:c r="R39" s="84"/>
      <x:c r="S39" s="84"/>
      <x:c r="T39" s="84"/>
      <x:c r="U39" s="84"/>
    </x:row>
    <x:row r="40">
      <x:c r="A40" s="84"/>
      <x:c r="B40" s="84"/>
      <x:c r="C40" s="84"/>
      <x:c r="D40" s="84"/>
      <x:c r="E40" s="84"/>
      <x:c r="F40" s="84"/>
      <x:c r="G40" s="84"/>
      <x:c r="H40" s="84"/>
      <x:c r="I40" s="84"/>
      <x:c r="J40" s="84"/>
      <x:c r="K40" s="84"/>
      <x:c r="L40" s="84"/>
      <x:c r="M40" s="84"/>
      <x:c r="N40" s="84"/>
      <x:c r="O40" s="84"/>
      <x:c r="P40" s="84"/>
      <x:c r="Q40" s="84"/>
      <x:c r="R40" s="84"/>
      <x:c r="S40" s="84"/>
      <x:c r="T40" s="84"/>
      <x:c r="U40" s="84"/>
    </x:row>
    <x:row r="41">
      <x:c r="A41" s="84"/>
      <x:c r="B41" s="84"/>
      <x:c r="C41" s="84"/>
      <x:c r="D41" s="84"/>
      <x:c r="E41" s="84"/>
      <x:c r="F41" s="84"/>
      <x:c r="G41" s="84"/>
      <x:c r="H41" s="84"/>
      <x:c r="I41" s="84"/>
      <x:c r="J41" s="84"/>
      <x:c r="K41" s="84"/>
      <x:c r="L41" s="84"/>
      <x:c r="M41" s="84"/>
      <x:c r="N41" s="84"/>
      <x:c r="O41" s="84"/>
      <x:c r="P41" s="84"/>
      <x:c r="Q41" s="84"/>
      <x:c r="R41" s="84"/>
      <x:c r="S41" s="84"/>
      <x:c r="T41" s="84"/>
      <x:c r="U41" s="84"/>
    </x:row>
    <x:row r="42">
      <x:c r="A42" s="84"/>
      <x:c r="B42" s="84"/>
      <x:c r="C42" s="84"/>
      <x:c r="D42" s="84"/>
      <x:c r="E42" s="84"/>
      <x:c r="F42" s="84"/>
      <x:c r="G42" s="84"/>
      <x:c r="H42" s="84"/>
      <x:c r="I42" s="84"/>
      <x:c r="J42" s="84"/>
      <x:c r="K42" s="84"/>
      <x:c r="L42" s="84"/>
      <x:c r="M42" s="84"/>
      <x:c r="N42" s="84"/>
      <x:c r="O42" s="84"/>
      <x:c r="P42" s="84"/>
      <x:c r="Q42" s="84"/>
      <x:c r="R42" s="84"/>
      <x:c r="S42" s="84"/>
      <x:c r="T42" s="84"/>
      <x:c r="U42" s="84"/>
    </x:row>
    <x:row r="43">
      <x:c r="A43" s="84"/>
      <x:c r="B43" s="84"/>
      <x:c r="C43" s="84"/>
      <x:c r="D43" s="84"/>
      <x:c r="E43" s="84"/>
      <x:c r="F43" s="84"/>
      <x:c r="G43" s="84"/>
      <x:c r="H43" s="84"/>
      <x:c r="I43" s="84"/>
      <x:c r="J43" s="84"/>
      <x:c r="K43" s="84"/>
      <x:c r="L43" s="84"/>
      <x:c r="M43" s="84"/>
      <x:c r="N43" s="84"/>
      <x:c r="O43" s="84"/>
      <x:c r="P43" s="84"/>
      <x:c r="Q43" s="84"/>
      <x:c r="R43" s="84"/>
      <x:c r="S43" s="84"/>
      <x:c r="T43" s="84"/>
      <x:c r="U43" s="84"/>
    </x:row>
    <x:row r="44">
      <x:c r="A44" s="84"/>
      <x:c r="B44" s="84"/>
      <x:c r="C44" s="84"/>
      <x:c r="D44" s="84"/>
      <x:c r="E44" s="84"/>
      <x:c r="F44" s="84"/>
      <x:c r="G44" s="84"/>
      <x:c r="H44" s="84"/>
      <x:c r="I44" s="84"/>
      <x:c r="J44" s="84"/>
      <x:c r="K44" s="84"/>
      <x:c r="L44" s="84"/>
      <x:c r="M44" s="84"/>
      <x:c r="N44" s="84"/>
      <x:c r="O44" s="84"/>
      <x:c r="P44" s="84"/>
      <x:c r="Q44" s="84"/>
      <x:c r="R44" s="84"/>
      <x:c r="S44" s="84"/>
      <x:c r="T44" s="84"/>
      <x:c r="U44" s="84"/>
    </x:row>
    <x:row r="45">
      <x:c r="A45" s="84"/>
      <x:c r="B45" s="84"/>
      <x:c r="C45" s="84"/>
      <x:c r="D45" s="84"/>
      <x:c r="E45" s="84"/>
      <x:c r="F45" s="84"/>
      <x:c r="G45" s="84"/>
      <x:c r="H45" s="84"/>
      <x:c r="I45" s="84"/>
      <x:c r="J45" s="84"/>
      <x:c r="K45" s="84"/>
      <x:c r="L45" s="84"/>
      <x:c r="M45" s="84"/>
      <x:c r="N45" s="84"/>
      <x:c r="O45" s="84"/>
      <x:c r="P45" s="84"/>
      <x:c r="Q45" s="84"/>
      <x:c r="R45" s="84"/>
      <x:c r="S45" s="84"/>
      <x:c r="T45" s="84"/>
      <x:c r="U45" s="84"/>
    </x:row>
    <x:row r="46">
      <x:c r="A46" s="84"/>
      <x:c r="B46" s="84"/>
      <x:c r="C46" s="84"/>
      <x:c r="D46" s="84"/>
      <x:c r="E46" s="84"/>
      <x:c r="F46" s="84"/>
      <x:c r="G46" s="84"/>
      <x:c r="H46" s="84"/>
      <x:c r="I46" s="84"/>
      <x:c r="J46" s="84"/>
      <x:c r="K46" s="84"/>
      <x:c r="L46" s="84"/>
      <x:c r="M46" s="84"/>
      <x:c r="N46" s="84"/>
      <x:c r="O46" s="84"/>
      <x:c r="P46" s="84"/>
      <x:c r="Q46" s="84"/>
      <x:c r="R46" s="84"/>
      <x:c r="S46" s="84"/>
      <x:c r="T46" s="84"/>
      <x:c r="U46" s="84"/>
    </x:row>
    <x:row r="47">
      <x:c r="A47" s="84"/>
      <x:c r="B47" s="84"/>
      <x:c r="C47" s="84"/>
      <x:c r="D47" s="84"/>
      <x:c r="E47" s="84"/>
      <x:c r="F47" s="84"/>
      <x:c r="G47" s="84"/>
      <x:c r="H47" s="84"/>
      <x:c r="I47" s="84"/>
      <x:c r="J47" s="84"/>
      <x:c r="K47" s="84"/>
      <x:c r="L47" s="84"/>
      <x:c r="M47" s="84"/>
      <x:c r="N47" s="84"/>
      <x:c r="O47" s="84"/>
      <x:c r="P47" s="84"/>
      <x:c r="Q47" s="84"/>
      <x:c r="R47" s="84"/>
      <x:c r="S47" s="84"/>
      <x:c r="T47" s="84"/>
      <x:c r="U47" s="84"/>
    </x:row>
    <x:row r="48">
      <x:c r="A48" s="84"/>
      <x:c r="B48" s="84"/>
      <x:c r="C48" s="84"/>
      <x:c r="D48" s="84"/>
      <x:c r="E48" s="84"/>
      <x:c r="F48" s="84"/>
      <x:c r="G48" s="84"/>
      <x:c r="H48" s="84"/>
      <x:c r="I48" s="84"/>
      <x:c r="J48" s="84"/>
      <x:c r="K48" s="84"/>
      <x:c r="L48" s="84"/>
      <x:c r="M48" s="84"/>
      <x:c r="N48" s="84"/>
      <x:c r="O48" s="84"/>
      <x:c r="P48" s="84"/>
      <x:c r="Q48" s="84"/>
      <x:c r="R48" s="84"/>
      <x:c r="S48" s="84"/>
      <x:c r="T48" s="84"/>
      <x:c r="U48" s="84"/>
    </x:row>
    <x:row r="49">
      <x:c r="A49" s="84"/>
      <x:c r="B49" s="84"/>
      <x:c r="C49" s="84"/>
      <x:c r="D49" s="84"/>
      <x:c r="E49" s="84"/>
      <x:c r="F49" s="84"/>
      <x:c r="G49" s="84"/>
      <x:c r="H49" s="84"/>
      <x:c r="I49" s="84"/>
      <x:c r="J49" s="84"/>
      <x:c r="K49" s="84"/>
      <x:c r="L49" s="84"/>
      <x:c r="M49" s="84"/>
      <x:c r="N49" s="84"/>
      <x:c r="O49" s="84"/>
      <x:c r="P49" s="84"/>
      <x:c r="Q49" s="84"/>
      <x:c r="R49" s="84"/>
      <x:c r="S49" s="84"/>
      <x:c r="T49" s="84"/>
      <x:c r="U49" s="84"/>
    </x:row>
    <x:row r="50">
      <x:c r="A50" s="84"/>
      <x:c r="B50" s="84"/>
      <x:c r="C50" s="84"/>
      <x:c r="D50" s="84"/>
      <x:c r="E50" s="84"/>
      <x:c r="F50" s="84"/>
      <x:c r="G50" s="84"/>
      <x:c r="H50" s="84"/>
      <x:c r="I50" s="84"/>
      <x:c r="J50" s="84"/>
      <x:c r="K50" s="84"/>
      <x:c r="L50" s="84"/>
      <x:c r="M50" s="84"/>
      <x:c r="N50" s="84"/>
      <x:c r="O50" s="84"/>
      <x:c r="P50" s="84"/>
      <x:c r="Q50" s="84"/>
      <x:c r="R50" s="84"/>
      <x:c r="S50" s="84"/>
      <x:c r="T50" s="84"/>
      <x:c r="U50" s="84"/>
    </x:row>
    <x:row r="51">
      <x:c r="A51" s="84"/>
      <x:c r="B51" s="84"/>
      <x:c r="C51" s="84"/>
      <x:c r="D51" s="84"/>
      <x:c r="E51" s="84"/>
      <x:c r="F51" s="84"/>
      <x:c r="G51" s="84"/>
      <x:c r="H51" s="84"/>
      <x:c r="I51" s="84"/>
      <x:c r="J51" s="84"/>
      <x:c r="K51" s="84"/>
      <x:c r="L51" s="84"/>
      <x:c r="M51" s="84"/>
      <x:c r="N51" s="84"/>
      <x:c r="O51" s="84"/>
      <x:c r="P51" s="84"/>
      <x:c r="Q51" s="84"/>
      <x:c r="R51" s="84"/>
      <x:c r="S51" s="84"/>
      <x:c r="T51" s="84"/>
      <x:c r="U51" s="84"/>
    </x:row>
    <x:row r="52">
      <x:c r="A52" s="84"/>
      <x:c r="B52" s="84"/>
      <x:c r="C52" s="84"/>
      <x:c r="D52" s="84"/>
      <x:c r="E52" s="84"/>
      <x:c r="F52" s="84"/>
      <x:c r="G52" s="84"/>
      <x:c r="H52" s="84"/>
      <x:c r="I52" s="84"/>
      <x:c r="J52" s="84"/>
      <x:c r="K52" s="84"/>
      <x:c r="L52" s="84"/>
      <x:c r="M52" s="84"/>
      <x:c r="N52" s="84"/>
      <x:c r="O52" s="84"/>
      <x:c r="P52" s="84"/>
      <x:c r="Q52" s="84"/>
      <x:c r="R52" s="84"/>
      <x:c r="S52" s="84"/>
      <x:c r="T52" s="84"/>
      <x:c r="U52" s="84"/>
    </x:row>
    <x:row r="53">
      <x:c r="A53" s="84"/>
      <x:c r="B53" s="84"/>
      <x:c r="C53" s="84"/>
      <x:c r="D53" s="84"/>
      <x:c r="E53" s="84"/>
      <x:c r="F53" s="84"/>
      <x:c r="G53" s="84"/>
      <x:c r="H53" s="84"/>
      <x:c r="I53" s="84"/>
      <x:c r="J53" s="84"/>
      <x:c r="K53" s="84"/>
      <x:c r="L53" s="84"/>
      <x:c r="M53" s="84"/>
      <x:c r="N53" s="84"/>
      <x:c r="O53" s="84"/>
      <x:c r="P53" s="84"/>
      <x:c r="Q53" s="84"/>
      <x:c r="R53" s="84"/>
      <x:c r="S53" s="84"/>
      <x:c r="T53" s="84"/>
      <x:c r="U53" s="84"/>
    </x:row>
    <x:row r="54">
      <x:c r="A54" s="84"/>
      <x:c r="B54" s="84"/>
      <x:c r="C54" s="84"/>
      <x:c r="D54" s="84"/>
      <x:c r="E54" s="84"/>
      <x:c r="F54" s="84"/>
      <x:c r="G54" s="84"/>
      <x:c r="H54" s="84"/>
      <x:c r="I54" s="84"/>
      <x:c r="J54" s="84"/>
      <x:c r="K54" s="84"/>
      <x:c r="L54" s="84"/>
      <x:c r="M54" s="84"/>
      <x:c r="N54" s="84"/>
      <x:c r="O54" s="84"/>
      <x:c r="P54" s="84"/>
      <x:c r="Q54" s="84"/>
      <x:c r="R54" s="84"/>
      <x:c r="S54" s="84"/>
      <x:c r="T54" s="84"/>
      <x:c r="U54" s="84"/>
    </x:row>
    <x:row r="55">
      <x:c r="A55" s="84"/>
      <x:c r="B55" s="84"/>
      <x:c r="C55" s="84"/>
      <x:c r="D55" s="84"/>
      <x:c r="E55" s="84"/>
      <x:c r="F55" s="84"/>
      <x:c r="G55" s="84"/>
      <x:c r="H55" s="84"/>
      <x:c r="I55" s="84"/>
      <x:c r="J55" s="84"/>
      <x:c r="K55" s="84"/>
      <x:c r="L55" s="84"/>
      <x:c r="M55" s="84"/>
      <x:c r="N55" s="84"/>
      <x:c r="O55" s="84"/>
      <x:c r="P55" s="84"/>
      <x:c r="Q55" s="84"/>
      <x:c r="R55" s="84"/>
      <x:c r="S55" s="84"/>
      <x:c r="T55" s="84"/>
      <x:c r="U55" s="84"/>
    </x:row>
    <x:row r="56">
      <x:c r="A56" s="84"/>
      <x:c r="B56" s="84"/>
      <x:c r="C56" s="84"/>
      <x:c r="D56" s="84"/>
      <x:c r="E56" s="84"/>
      <x:c r="F56" s="84"/>
      <x:c r="G56" s="84"/>
      <x:c r="H56" s="84"/>
      <x:c r="I56" s="84"/>
      <x:c r="J56" s="84"/>
      <x:c r="K56" s="84"/>
      <x:c r="L56" s="84"/>
      <x:c r="M56" s="84"/>
      <x:c r="N56" s="84"/>
      <x:c r="O56" s="84"/>
      <x:c r="P56" s="84"/>
      <x:c r="Q56" s="84"/>
      <x:c r="R56" s="84"/>
      <x:c r="S56" s="84"/>
      <x:c r="T56" s="84"/>
      <x:c r="U56" s="84"/>
    </x:row>
    <x:row r="57">
      <x:c r="A57" s="84"/>
      <x:c r="B57" s="84"/>
      <x:c r="C57" s="84"/>
      <x:c r="D57" s="84"/>
      <x:c r="E57" s="84"/>
      <x:c r="F57" s="84"/>
      <x:c r="G57" s="84"/>
      <x:c r="H57" s="84"/>
      <x:c r="I57" s="84"/>
      <x:c r="J57" s="84"/>
      <x:c r="K57" s="84"/>
      <x:c r="L57" s="84"/>
      <x:c r="M57" s="84"/>
      <x:c r="N57" s="84"/>
      <x:c r="O57" s="84"/>
      <x:c r="P57" s="84"/>
      <x:c r="Q57" s="84"/>
      <x:c r="R57" s="84"/>
      <x:c r="S57" s="84"/>
      <x:c r="T57" s="84"/>
      <x:c r="U57" s="84"/>
    </x:row>
    <x:row r="58">
      <x:c r="A58" s="84"/>
      <x:c r="B58" s="84"/>
      <x:c r="C58" s="84"/>
      <x:c r="D58" s="84"/>
      <x:c r="E58" s="84"/>
      <x:c r="F58" s="84"/>
      <x:c r="G58" s="84"/>
      <x:c r="H58" s="84"/>
      <x:c r="I58" s="84"/>
      <x:c r="J58" s="84"/>
      <x:c r="K58" s="84"/>
      <x:c r="L58" s="84"/>
      <x:c r="M58" s="84"/>
      <x:c r="N58" s="84"/>
      <x:c r="O58" s="84"/>
      <x:c r="P58" s="84"/>
      <x:c r="Q58" s="84"/>
      <x:c r="R58" s="84"/>
      <x:c r="S58" s="84"/>
      <x:c r="T58" s="84"/>
      <x:c r="U58" s="84"/>
    </x:row>
    <x:row r="59">
      <x:c r="A59" s="84"/>
      <x:c r="B59" s="84"/>
      <x:c r="C59" s="84"/>
      <x:c r="D59" s="84"/>
      <x:c r="E59" s="84"/>
      <x:c r="F59" s="84"/>
      <x:c r="G59" s="84"/>
      <x:c r="H59" s="84"/>
      <x:c r="I59" s="84"/>
      <x:c r="J59" s="84"/>
      <x:c r="K59" s="84"/>
      <x:c r="L59" s="84"/>
      <x:c r="M59" s="84"/>
      <x:c r="N59" s="84"/>
      <x:c r="O59" s="84"/>
      <x:c r="P59" s="84"/>
      <x:c r="Q59" s="84"/>
      <x:c r="R59" s="84"/>
      <x:c r="S59" s="84"/>
      <x:c r="T59" s="84"/>
      <x:c r="U59" s="84"/>
    </x:row>
    <x:row r="60">
      <x:c r="A60" s="84"/>
      <x:c r="B60" s="84"/>
      <x:c r="C60" s="84"/>
      <x:c r="D60" s="84"/>
      <x:c r="E60" s="84"/>
      <x:c r="F60" s="84"/>
      <x:c r="G60" s="84"/>
      <x:c r="H60" s="84"/>
      <x:c r="I60" s="84"/>
      <x:c r="J60" s="84"/>
      <x:c r="K60" s="84"/>
      <x:c r="L60" s="84"/>
      <x:c r="M60" s="84"/>
      <x:c r="N60" s="84"/>
      <x:c r="O60" s="84"/>
      <x:c r="P60" s="84"/>
      <x:c r="Q60" s="84"/>
      <x:c r="R60" s="84"/>
      <x:c r="S60" s="84"/>
      <x:c r="T60" s="84"/>
      <x:c r="U60" s="84"/>
    </x:row>
    <x:row r="61">
      <x:c r="A61" s="84"/>
      <x:c r="B61" s="84"/>
      <x:c r="C61" s="84"/>
      <x:c r="D61" s="84"/>
      <x:c r="E61" s="84"/>
      <x:c r="F61" s="84"/>
      <x:c r="G61" s="84"/>
      <x:c r="H61" s="84"/>
      <x:c r="I61" s="84"/>
      <x:c r="J61" s="84"/>
      <x:c r="K61" s="84"/>
      <x:c r="L61" s="84"/>
      <x:c r="M61" s="84"/>
      <x:c r="N61" s="84"/>
      <x:c r="O61" s="84"/>
      <x:c r="P61" s="84"/>
      <x:c r="Q61" s="84"/>
      <x:c r="R61" s="84"/>
      <x:c r="S61" s="84"/>
      <x:c r="T61" s="84"/>
      <x:c r="U61" s="84"/>
    </x:row>
    <x:row r="62">
      <x:c r="A62" s="84"/>
      <x:c r="B62" s="84"/>
      <x:c r="C62" s="84"/>
      <x:c r="D62" s="84"/>
      <x:c r="E62" s="84"/>
      <x:c r="F62" s="84"/>
      <x:c r="G62" s="84"/>
      <x:c r="H62" s="84"/>
      <x:c r="I62" s="84"/>
      <x:c r="J62" s="84"/>
      <x:c r="K62" s="84"/>
      <x:c r="L62" s="84"/>
      <x:c r="M62" s="84"/>
      <x:c r="N62" s="84"/>
      <x:c r="O62" s="84"/>
      <x:c r="P62" s="84"/>
      <x:c r="Q62" s="84"/>
      <x:c r="R62" s="84"/>
      <x:c r="S62" s="84"/>
      <x:c r="T62" s="84"/>
      <x:c r="U62" s="84"/>
    </x:row>
    <x:row r="63">
      <x:c r="A63" s="84"/>
      <x:c r="B63" s="84"/>
      <x:c r="C63" s="84"/>
      <x:c r="D63" s="84"/>
      <x:c r="E63" s="84"/>
      <x:c r="F63" s="84"/>
      <x:c r="G63" s="84"/>
      <x:c r="H63" s="84"/>
      <x:c r="I63" s="84"/>
      <x:c r="J63" s="84"/>
      <x:c r="K63" s="84"/>
      <x:c r="L63" s="84"/>
      <x:c r="M63" s="84"/>
      <x:c r="N63" s="84"/>
      <x:c r="O63" s="84"/>
      <x:c r="P63" s="84"/>
      <x:c r="Q63" s="84"/>
      <x:c r="R63" s="84"/>
      <x:c r="S63" s="84"/>
      <x:c r="T63" s="84"/>
      <x:c r="U63" s="84"/>
    </x:row>
    <x:row r="64">
      <x:c r="A64" s="84"/>
      <x:c r="B64" s="84"/>
      <x:c r="C64" s="84"/>
      <x:c r="D64" s="84"/>
      <x:c r="E64" s="84"/>
      <x:c r="F64" s="84"/>
      <x:c r="G64" s="84"/>
      <x:c r="H64" s="84"/>
      <x:c r="I64" s="84"/>
      <x:c r="J64" s="84"/>
      <x:c r="K64" s="84"/>
      <x:c r="L64" s="84"/>
      <x:c r="M64" s="84"/>
      <x:c r="N64" s="84"/>
      <x:c r="O64" s="84"/>
      <x:c r="P64" s="84"/>
      <x:c r="Q64" s="84"/>
      <x:c r="R64" s="84"/>
      <x:c r="S64" s="84"/>
      <x:c r="T64" s="84"/>
      <x:c r="U64" s="84"/>
    </x:row>
    <x:row r="65">
      <x:c r="A65" s="84"/>
      <x:c r="B65" s="84"/>
      <x:c r="C65" s="84"/>
      <x:c r="D65" s="84"/>
      <x:c r="E65" s="84"/>
      <x:c r="F65" s="84"/>
      <x:c r="G65" s="84"/>
      <x:c r="H65" s="84"/>
      <x:c r="I65" s="84"/>
      <x:c r="J65" s="84"/>
      <x:c r="K65" s="84"/>
      <x:c r="L65" s="84"/>
      <x:c r="M65" s="84"/>
      <x:c r="N65" s="84"/>
      <x:c r="O65" s="84"/>
      <x:c r="P65" s="84"/>
      <x:c r="Q65" s="84"/>
      <x:c r="R65" s="84"/>
      <x:c r="S65" s="84"/>
      <x:c r="T65" s="84"/>
      <x:c r="U65" s="84"/>
    </x:row>
    <x:row r="66">
      <x:c r="A66" s="84"/>
      <x:c r="B66" s="84"/>
      <x:c r="C66" s="84"/>
      <x:c r="D66" s="84"/>
      <x:c r="E66" s="84"/>
      <x:c r="F66" s="84"/>
      <x:c r="G66" s="84"/>
      <x:c r="H66" s="84"/>
      <x:c r="I66" s="84"/>
      <x:c r="J66" s="84"/>
      <x:c r="K66" s="84"/>
      <x:c r="L66" s="84"/>
      <x:c r="M66" s="84"/>
      <x:c r="N66" s="84"/>
      <x:c r="O66" s="84"/>
      <x:c r="P66" s="84"/>
      <x:c r="Q66" s="84"/>
      <x:c r="R66" s="84"/>
      <x:c r="S66" s="84"/>
      <x:c r="T66" s="84"/>
      <x:c r="U66" s="84"/>
    </x:row>
    <x:row r="67">
      <x:c r="A67" s="84"/>
      <x:c r="B67" s="84"/>
      <x:c r="C67" s="84"/>
      <x:c r="D67" s="84"/>
      <x:c r="E67" s="84"/>
      <x:c r="F67" s="84"/>
      <x:c r="G67" s="84"/>
      <x:c r="H67" s="84"/>
      <x:c r="I67" s="84"/>
      <x:c r="J67" s="84"/>
      <x:c r="K67" s="84"/>
      <x:c r="L67" s="84"/>
      <x:c r="M67" s="84"/>
      <x:c r="N67" s="84"/>
      <x:c r="O67" s="84"/>
      <x:c r="P67" s="84"/>
      <x:c r="Q67" s="84"/>
      <x:c r="R67" s="84"/>
      <x:c r="S67" s="84"/>
      <x:c r="T67" s="84"/>
      <x:c r="U67" s="84"/>
    </x:row>
    <x:row r="68">
      <x:c r="A68" s="84"/>
      <x:c r="B68" s="84"/>
      <x:c r="C68" s="84"/>
      <x:c r="D68" s="84"/>
      <x:c r="E68" s="84"/>
      <x:c r="F68" s="84"/>
      <x:c r="G68" s="84"/>
      <x:c r="H68" s="84"/>
      <x:c r="I68" s="84"/>
      <x:c r="J68" s="84"/>
      <x:c r="K68" s="84"/>
      <x:c r="L68" s="84"/>
      <x:c r="M68" s="84"/>
      <x:c r="N68" s="84"/>
      <x:c r="O68" s="84"/>
      <x:c r="P68" s="84"/>
      <x:c r="Q68" s="84"/>
      <x:c r="R68" s="84"/>
      <x:c r="S68" s="84"/>
      <x:c r="T68" s="84"/>
      <x:c r="U68" s="84"/>
    </x:row>
    <x:row r="69">
      <x:c r="A69" s="84"/>
      <x:c r="B69" s="84"/>
      <x:c r="C69" s="84"/>
      <x:c r="D69" s="84"/>
      <x:c r="E69" s="84"/>
      <x:c r="F69" s="84"/>
      <x:c r="G69" s="84"/>
      <x:c r="H69" s="84"/>
      <x:c r="I69" s="84"/>
      <x:c r="J69" s="84"/>
      <x:c r="K69" s="84"/>
      <x:c r="L69" s="84"/>
      <x:c r="M69" s="84"/>
      <x:c r="N69" s="84"/>
      <x:c r="O69" s="84"/>
      <x:c r="P69" s="84"/>
      <x:c r="Q69" s="84"/>
      <x:c r="R69" s="84"/>
      <x:c r="S69" s="84"/>
      <x:c r="T69" s="84"/>
      <x:c r="U69" s="84"/>
    </x:row>
    <x:row r="70">
      <x:c r="A70" s="84"/>
      <x:c r="B70" s="84"/>
      <x:c r="C70" s="84"/>
      <x:c r="D70" s="84"/>
      <x:c r="E70" s="84"/>
      <x:c r="F70" s="84"/>
      <x:c r="G70" s="84"/>
      <x:c r="H70" s="84"/>
      <x:c r="I70" s="84"/>
      <x:c r="J70" s="84"/>
      <x:c r="K70" s="84"/>
      <x:c r="L70" s="84"/>
      <x:c r="M70" s="84"/>
      <x:c r="N70" s="84"/>
      <x:c r="O70" s="84"/>
      <x:c r="P70" s="84"/>
      <x:c r="Q70" s="84"/>
      <x:c r="R70" s="84"/>
      <x:c r="S70" s="84"/>
      <x:c r="T70" s="84"/>
      <x:c r="U70" s="84"/>
    </x:row>
    <x:row r="71">
      <x:c r="A71" s="84"/>
      <x:c r="B71" s="84"/>
      <x:c r="C71" s="84"/>
      <x:c r="D71" s="84"/>
      <x:c r="E71" s="84"/>
      <x:c r="F71" s="84"/>
      <x:c r="G71" s="84"/>
      <x:c r="H71" s="84"/>
      <x:c r="I71" s="84"/>
      <x:c r="J71" s="84"/>
      <x:c r="K71" s="84"/>
      <x:c r="L71" s="84"/>
      <x:c r="M71" s="84"/>
      <x:c r="N71" s="84"/>
      <x:c r="O71" s="84"/>
      <x:c r="P71" s="84"/>
      <x:c r="Q71" s="84"/>
      <x:c r="R71" s="84"/>
      <x:c r="S71" s="84"/>
      <x:c r="T71" s="84"/>
      <x:c r="U71" s="84"/>
    </x:row>
    <x:row r="72">
      <x:c r="A72" s="84"/>
      <x:c r="B72" s="84"/>
      <x:c r="C72" s="84"/>
      <x:c r="D72" s="84"/>
      <x:c r="E72" s="84"/>
      <x:c r="F72" s="84"/>
      <x:c r="G72" s="84"/>
      <x:c r="H72" s="84"/>
      <x:c r="I72" s="84"/>
      <x:c r="J72" s="84"/>
      <x:c r="K72" s="84"/>
      <x:c r="L72" s="84"/>
      <x:c r="M72" s="84"/>
      <x:c r="N72" s="84"/>
      <x:c r="O72" s="84"/>
      <x:c r="P72" s="84"/>
      <x:c r="Q72" s="84"/>
      <x:c r="R72" s="84"/>
      <x:c r="S72" s="84"/>
      <x:c r="T72" s="84"/>
      <x:c r="U72" s="84"/>
    </x:row>
    <x:row r="73">
      <x:c r="A73" s="84"/>
      <x:c r="B73" s="84"/>
      <x:c r="C73" s="84"/>
      <x:c r="D73" s="84"/>
      <x:c r="E73" s="84"/>
      <x:c r="F73" s="84"/>
      <x:c r="G73" s="84"/>
      <x:c r="H73" s="84"/>
      <x:c r="I73" s="84"/>
      <x:c r="J73" s="84"/>
      <x:c r="K73" s="84"/>
      <x:c r="L73" s="84"/>
      <x:c r="M73" s="84"/>
      <x:c r="N73" s="84"/>
      <x:c r="O73" s="84"/>
      <x:c r="P73" s="84"/>
      <x:c r="Q73" s="84"/>
      <x:c r="R73" s="84"/>
      <x:c r="S73" s="84"/>
      <x:c r="T73" s="84"/>
      <x:c r="U73" s="84"/>
    </x:row>
    <x:row r="74">
      <x:c r="A74" s="84"/>
      <x:c r="B74" s="84"/>
      <x:c r="C74" s="84"/>
      <x:c r="D74" s="84"/>
      <x:c r="E74" s="84"/>
      <x:c r="F74" s="84"/>
      <x:c r="G74" s="84"/>
      <x:c r="H74" s="84"/>
      <x:c r="I74" s="84"/>
      <x:c r="J74" s="84"/>
      <x:c r="K74" s="84"/>
      <x:c r="L74" s="84"/>
      <x:c r="M74" s="84"/>
      <x:c r="N74" s="84"/>
      <x:c r="O74" s="84"/>
      <x:c r="P74" s="84"/>
      <x:c r="Q74" s="84"/>
      <x:c r="R74" s="84"/>
      <x:c r="S74" s="84"/>
      <x:c r="T74" s="84"/>
      <x:c r="U74" s="84"/>
    </x:row>
    <x:row r="75">
      <x:c r="A75" s="84"/>
      <x:c r="B75" s="84"/>
      <x:c r="C75" s="84"/>
      <x:c r="D75" s="84"/>
      <x:c r="E75" s="84"/>
      <x:c r="F75" s="84"/>
      <x:c r="G75" s="84"/>
      <x:c r="H75" s="84"/>
      <x:c r="I75" s="84"/>
      <x:c r="J75" s="84"/>
      <x:c r="K75" s="84"/>
      <x:c r="L75" s="84"/>
      <x:c r="M75" s="84"/>
      <x:c r="N75" s="84"/>
      <x:c r="O75" s="84"/>
      <x:c r="P75" s="84"/>
      <x:c r="Q75" s="84"/>
      <x:c r="R75" s="84"/>
      <x:c r="S75" s="84"/>
      <x:c r="T75" s="84"/>
      <x:c r="U75" s="84"/>
    </x:row>
    <x:row r="76">
      <x:c r="A76" s="84"/>
      <x:c r="B76" s="84"/>
      <x:c r="C76" s="84"/>
      <x:c r="D76" s="84"/>
      <x:c r="E76" s="84"/>
      <x:c r="F76" s="84"/>
      <x:c r="G76" s="84"/>
      <x:c r="H76" s="84"/>
      <x:c r="I76" s="84"/>
      <x:c r="J76" s="84"/>
      <x:c r="K76" s="84"/>
      <x:c r="L76" s="84"/>
      <x:c r="M76" s="84"/>
      <x:c r="N76" s="84"/>
      <x:c r="O76" s="84"/>
      <x:c r="P76" s="84"/>
      <x:c r="Q76" s="84"/>
      <x:c r="R76" s="84"/>
      <x:c r="S76" s="84"/>
      <x:c r="T76" s="84"/>
      <x:c r="U76" s="84"/>
    </x:row>
    <x:row r="77">
      <x:c r="A77" s="84"/>
      <x:c r="B77" s="84"/>
      <x:c r="C77" s="84"/>
      <x:c r="D77" s="84"/>
      <x:c r="E77" s="84"/>
      <x:c r="F77" s="84"/>
      <x:c r="G77" s="84"/>
      <x:c r="H77" s="84"/>
      <x:c r="I77" s="84"/>
      <x:c r="J77" s="84"/>
      <x:c r="K77" s="84"/>
      <x:c r="L77" s="84"/>
      <x:c r="M77" s="84"/>
      <x:c r="N77" s="84"/>
      <x:c r="O77" s="84"/>
      <x:c r="P77" s="84"/>
      <x:c r="Q77" s="84"/>
      <x:c r="R77" s="84"/>
      <x:c r="S77" s="84"/>
      <x:c r="T77" s="84"/>
      <x:c r="U77" s="84"/>
    </x:row>
    <x:row r="78">
      <x:c r="A78" s="84"/>
      <x:c r="B78" s="84"/>
      <x:c r="C78" s="84"/>
      <x:c r="D78" s="84"/>
      <x:c r="E78" s="84"/>
      <x:c r="F78" s="84"/>
      <x:c r="G78" s="84"/>
      <x:c r="H78" s="84"/>
      <x:c r="I78" s="84"/>
      <x:c r="J78" s="84"/>
      <x:c r="K78" s="84"/>
      <x:c r="L78" s="84"/>
      <x:c r="M78" s="84"/>
      <x:c r="N78" s="84"/>
      <x:c r="O78" s="84"/>
      <x:c r="P78" s="84"/>
      <x:c r="Q78" s="84"/>
      <x:c r="R78" s="84"/>
      <x:c r="S78" s="84"/>
      <x:c r="T78" s="84"/>
      <x:c r="U78" s="84"/>
    </x:row>
    <x:row r="79">
      <x:c r="A79" s="84"/>
      <x:c r="B79" s="84"/>
      <x:c r="C79" s="84"/>
      <x:c r="D79" s="84"/>
      <x:c r="E79" s="84"/>
      <x:c r="F79" s="84"/>
      <x:c r="G79" s="84"/>
      <x:c r="H79" s="84"/>
      <x:c r="I79" s="84"/>
      <x:c r="J79" s="84"/>
      <x:c r="K79" s="84"/>
      <x:c r="L79" s="84"/>
      <x:c r="M79" s="84"/>
      <x:c r="N79" s="84"/>
      <x:c r="O79" s="84"/>
      <x:c r="P79" s="84"/>
      <x:c r="Q79" s="84"/>
      <x:c r="R79" s="84"/>
      <x:c r="S79" s="84"/>
      <x:c r="T79" s="84"/>
      <x:c r="U79" s="84"/>
    </x:row>
    <x:row r="80">
      <x:c r="A80" s="84"/>
      <x:c r="B80" s="84"/>
      <x:c r="C80" s="84"/>
      <x:c r="D80" s="84"/>
      <x:c r="E80" s="84"/>
      <x:c r="F80" s="84"/>
      <x:c r="G80" s="84"/>
      <x:c r="H80" s="84"/>
      <x:c r="I80" s="84"/>
      <x:c r="J80" s="84"/>
      <x:c r="K80" s="84"/>
      <x:c r="L80" s="84"/>
      <x:c r="M80" s="84"/>
      <x:c r="N80" s="84"/>
      <x:c r="O80" s="84"/>
      <x:c r="P80" s="84"/>
      <x:c r="Q80" s="84"/>
      <x:c r="R80" s="84"/>
      <x:c r="S80" s="84"/>
      <x:c r="T80" s="84"/>
      <x:c r="U80" s="84"/>
    </x:row>
    <x:row r="81">
      <x:c r="A81" s="84"/>
      <x:c r="B81" s="84"/>
      <x:c r="C81" s="84"/>
      <x:c r="D81" s="84"/>
      <x:c r="E81" s="84"/>
      <x:c r="F81" s="84"/>
      <x:c r="G81" s="84"/>
      <x:c r="H81" s="84"/>
      <x:c r="I81" s="84"/>
      <x:c r="J81" s="84"/>
      <x:c r="K81" s="84"/>
      <x:c r="L81" s="84"/>
      <x:c r="M81" s="84"/>
      <x:c r="N81" s="84"/>
      <x:c r="O81" s="84"/>
      <x:c r="P81" s="84"/>
      <x:c r="Q81" s="84"/>
      <x:c r="R81" s="84"/>
      <x:c r="S81" s="84"/>
      <x:c r="T81" s="84"/>
      <x:c r="U81" s="84"/>
    </x:row>
    <x:row r="82">
      <x:c r="A82" s="84"/>
      <x:c r="B82" s="84"/>
      <x:c r="C82" s="84"/>
      <x:c r="D82" s="84"/>
      <x:c r="E82" s="84"/>
      <x:c r="F82" s="84"/>
      <x:c r="G82" s="84"/>
      <x:c r="H82" s="84"/>
      <x:c r="I82" s="84"/>
      <x:c r="J82" s="84"/>
      <x:c r="K82" s="84"/>
      <x:c r="L82" s="84"/>
      <x:c r="M82" s="84"/>
      <x:c r="N82" s="84"/>
      <x:c r="O82" s="84"/>
      <x:c r="P82" s="84"/>
      <x:c r="Q82" s="84"/>
      <x:c r="R82" s="84"/>
      <x:c r="S82" s="84"/>
      <x:c r="T82" s="84"/>
      <x:c r="U82" s="84"/>
    </x:row>
    <x:row r="83">
      <x:c r="A83" s="84"/>
      <x:c r="B83" s="84"/>
      <x:c r="C83" s="84"/>
      <x:c r="D83" s="84"/>
      <x:c r="E83" s="84"/>
      <x:c r="F83" s="84"/>
      <x:c r="G83" s="84"/>
      <x:c r="H83" s="84"/>
      <x:c r="I83" s="84"/>
      <x:c r="J83" s="84"/>
      <x:c r="K83" s="84"/>
      <x:c r="L83" s="84"/>
      <x:c r="M83" s="84"/>
      <x:c r="N83" s="84"/>
      <x:c r="O83" s="84"/>
      <x:c r="P83" s="84"/>
      <x:c r="Q83" s="84"/>
      <x:c r="R83" s="84"/>
      <x:c r="S83" s="84"/>
      <x:c r="T83" s="84"/>
      <x:c r="U83" s="84"/>
    </x:row>
    <x:row r="84">
      <x:c r="A84" s="84"/>
      <x:c r="B84" s="84"/>
      <x:c r="C84" s="84"/>
      <x:c r="D84" s="84"/>
      <x:c r="E84" s="84"/>
      <x:c r="F84" s="84"/>
      <x:c r="G84" s="84"/>
      <x:c r="H84" s="84"/>
      <x:c r="I84" s="84"/>
      <x:c r="J84" s="84"/>
      <x:c r="K84" s="84"/>
      <x:c r="L84" s="84"/>
      <x:c r="M84" s="84"/>
      <x:c r="N84" s="84"/>
      <x:c r="O84" s="84"/>
      <x:c r="P84" s="84"/>
      <x:c r="Q84" s="84"/>
      <x:c r="R84" s="84"/>
      <x:c r="S84" s="84"/>
      <x:c r="T84" s="84"/>
      <x:c r="U84" s="84"/>
    </x:row>
    <x:row r="85">
      <x:c r="A85" s="84"/>
      <x:c r="B85" s="84"/>
      <x:c r="C85" s="84"/>
      <x:c r="D85" s="84"/>
      <x:c r="E85" s="84"/>
      <x:c r="F85" s="84"/>
      <x:c r="G85" s="84"/>
      <x:c r="H85" s="84"/>
      <x:c r="I85" s="84"/>
      <x:c r="J85" s="84"/>
      <x:c r="K85" s="84"/>
      <x:c r="L85" s="84"/>
      <x:c r="M85" s="84"/>
      <x:c r="N85" s="84"/>
      <x:c r="O85" s="84"/>
      <x:c r="P85" s="84"/>
      <x:c r="Q85" s="84"/>
      <x:c r="R85" s="84"/>
      <x:c r="S85" s="84"/>
      <x:c r="T85" s="84"/>
      <x:c r="U85" s="84"/>
    </x:row>
    <x:row r="86">
      <x:c r="A86" s="84"/>
      <x:c r="B86" s="84"/>
      <x:c r="C86" s="84"/>
      <x:c r="D86" s="84"/>
      <x:c r="E86" s="84"/>
      <x:c r="F86" s="84"/>
      <x:c r="G86" s="84"/>
      <x:c r="H86" s="84"/>
      <x:c r="I86" s="84"/>
      <x:c r="J86" s="84"/>
      <x:c r="K86" s="84"/>
      <x:c r="L86" s="84"/>
      <x:c r="M86" s="84"/>
      <x:c r="N86" s="84"/>
      <x:c r="O86" s="84"/>
      <x:c r="P86" s="84"/>
      <x:c r="Q86" s="84"/>
      <x:c r="R86" s="84"/>
      <x:c r="S86" s="84"/>
      <x:c r="T86" s="84"/>
      <x:c r="U86" s="84"/>
    </x:row>
    <x:row r="87">
      <x:c r="A87" s="84"/>
      <x:c r="B87" s="84"/>
      <x:c r="C87" s="84"/>
      <x:c r="D87" s="84"/>
      <x:c r="E87" s="84"/>
      <x:c r="F87" s="84"/>
      <x:c r="G87" s="84"/>
      <x:c r="H87" s="84"/>
      <x:c r="I87" s="84"/>
      <x:c r="J87" s="84"/>
      <x:c r="K87" s="84"/>
      <x:c r="L87" s="84"/>
      <x:c r="M87" s="84"/>
      <x:c r="N87" s="84"/>
      <x:c r="O87" s="84"/>
      <x:c r="P87" s="84"/>
      <x:c r="Q87" s="84"/>
      <x:c r="R87" s="84"/>
      <x:c r="S87" s="84"/>
      <x:c r="T87" s="84"/>
      <x:c r="U87" s="84"/>
    </x:row>
    <x:row r="88">
      <x:c r="A88" s="84"/>
      <x:c r="B88" s="84"/>
      <x:c r="C88" s="84"/>
      <x:c r="D88" s="84"/>
      <x:c r="E88" s="84"/>
      <x:c r="F88" s="84"/>
      <x:c r="G88" s="84"/>
      <x:c r="H88" s="84"/>
      <x:c r="I88" s="84"/>
      <x:c r="J88" s="84"/>
      <x:c r="K88" s="84"/>
      <x:c r="L88" s="84"/>
      <x:c r="M88" s="84"/>
      <x:c r="N88" s="84"/>
      <x:c r="O88" s="84"/>
      <x:c r="P88" s="84"/>
      <x:c r="Q88" s="84"/>
      <x:c r="R88" s="84"/>
      <x:c r="S88" s="84"/>
      <x:c r="T88" s="84"/>
      <x:c r="U88" s="84"/>
    </x:row>
    <x:row r="89">
      <x:c r="A89" s="84"/>
      <x:c r="B89" s="84"/>
      <x:c r="C89" s="84"/>
      <x:c r="D89" s="84"/>
      <x:c r="E89" s="84"/>
      <x:c r="F89" s="84"/>
      <x:c r="G89" s="84"/>
      <x:c r="H89" s="84"/>
      <x:c r="I89" s="84"/>
      <x:c r="J89" s="84"/>
      <x:c r="K89" s="84"/>
      <x:c r="L89" s="84"/>
      <x:c r="M89" s="84"/>
      <x:c r="N89" s="84"/>
      <x:c r="O89" s="84"/>
      <x:c r="P89" s="84"/>
      <x:c r="Q89" s="84"/>
      <x:c r="R89" s="84"/>
      <x:c r="S89" s="84"/>
      <x:c r="T89" s="84"/>
      <x:c r="U89" s="84"/>
    </x:row>
    <x:row r="90">
      <x:c r="A90" s="84"/>
      <x:c r="B90" s="84"/>
      <x:c r="C90" s="84"/>
      <x:c r="D90" s="84"/>
      <x:c r="E90" s="84"/>
      <x:c r="F90" s="84"/>
      <x:c r="G90" s="84"/>
      <x:c r="H90" s="84"/>
      <x:c r="I90" s="84"/>
      <x:c r="J90" s="84"/>
      <x:c r="K90" s="84"/>
      <x:c r="L90" s="84"/>
      <x:c r="M90" s="84"/>
      <x:c r="N90" s="84"/>
      <x:c r="O90" s="84"/>
      <x:c r="P90" s="84"/>
      <x:c r="Q90" s="84"/>
      <x:c r="R90" s="84"/>
      <x:c r="S90" s="84"/>
      <x:c r="T90" s="84"/>
      <x:c r="U90" s="84"/>
    </x:row>
    <x:row r="91">
      <x:c r="A91" s="84"/>
      <x:c r="B91" s="84"/>
      <x:c r="C91" s="84"/>
      <x:c r="D91" s="84"/>
      <x:c r="E91" s="84"/>
      <x:c r="F91" s="84"/>
      <x:c r="G91" s="84"/>
      <x:c r="H91" s="84"/>
      <x:c r="I91" s="84"/>
      <x:c r="J91" s="84"/>
      <x:c r="K91" s="84"/>
      <x:c r="L91" s="84"/>
      <x:c r="M91" s="84"/>
      <x:c r="N91" s="84"/>
      <x:c r="O91" s="84"/>
      <x:c r="P91" s="84"/>
      <x:c r="Q91" s="84"/>
      <x:c r="R91" s="84"/>
      <x:c r="S91" s="84"/>
      <x:c r="T91" s="84"/>
      <x:c r="U91" s="84"/>
    </x:row>
    <x:row r="92">
      <x:c r="A92" s="84"/>
      <x:c r="B92" s="84"/>
      <x:c r="C92" s="84"/>
      <x:c r="D92" s="84"/>
      <x:c r="E92" s="84"/>
      <x:c r="F92" s="84"/>
      <x:c r="G92" s="84"/>
      <x:c r="H92" s="84"/>
      <x:c r="I92" s="84"/>
      <x:c r="J92" s="84"/>
      <x:c r="K92" s="84"/>
      <x:c r="L92" s="84"/>
      <x:c r="M92" s="84"/>
      <x:c r="N92" s="84"/>
      <x:c r="O92" s="84"/>
      <x:c r="P92" s="84"/>
      <x:c r="Q92" s="84"/>
      <x:c r="R92" s="84"/>
      <x:c r="S92" s="84"/>
      <x:c r="T92" s="84"/>
      <x:c r="U92" s="84"/>
    </x:row>
    <x:row r="93">
      <x:c r="A93" s="84"/>
      <x:c r="B93" s="84"/>
      <x:c r="C93" s="84"/>
      <x:c r="D93" s="84"/>
      <x:c r="E93" s="84"/>
      <x:c r="F93" s="84"/>
      <x:c r="G93" s="84"/>
      <x:c r="H93" s="84"/>
      <x:c r="I93" s="84"/>
      <x:c r="J93" s="84"/>
      <x:c r="K93" s="84"/>
      <x:c r="L93" s="84"/>
      <x:c r="M93" s="84"/>
      <x:c r="N93" s="84"/>
      <x:c r="O93" s="84"/>
      <x:c r="P93" s="84"/>
      <x:c r="Q93" s="84"/>
      <x:c r="R93" s="84"/>
      <x:c r="S93" s="84"/>
      <x:c r="T93" s="84"/>
      <x:c r="U93" s="84"/>
    </x:row>
    <x:row r="94">
      <x:c r="A94" s="84"/>
      <x:c r="B94" s="84"/>
      <x:c r="C94" s="84"/>
      <x:c r="D94" s="84"/>
      <x:c r="E94" s="84"/>
      <x:c r="F94" s="84"/>
      <x:c r="G94" s="84"/>
      <x:c r="H94" s="84"/>
      <x:c r="I94" s="84"/>
      <x:c r="J94" s="84"/>
      <x:c r="K94" s="84"/>
      <x:c r="L94" s="84"/>
      <x:c r="M94" s="84"/>
      <x:c r="N94" s="84"/>
      <x:c r="O94" s="84"/>
      <x:c r="P94" s="84"/>
      <x:c r="Q94" s="84"/>
      <x:c r="R94" s="84"/>
      <x:c r="S94" s="84"/>
      <x:c r="T94" s="84"/>
      <x:c r="U94" s="84"/>
    </x:row>
    <x:row r="95">
      <x:c r="A95" s="84"/>
      <x:c r="B95" s="84"/>
      <x:c r="C95" s="84"/>
      <x:c r="D95" s="84"/>
      <x:c r="E95" s="84"/>
      <x:c r="F95" s="84"/>
      <x:c r="G95" s="84"/>
      <x:c r="H95" s="84"/>
      <x:c r="I95" s="84"/>
      <x:c r="J95" s="84"/>
      <x:c r="K95" s="84"/>
      <x:c r="L95" s="84"/>
      <x:c r="M95" s="84"/>
      <x:c r="N95" s="84"/>
      <x:c r="O95" s="84"/>
      <x:c r="P95" s="84"/>
      <x:c r="Q95" s="84"/>
      <x:c r="R95" s="84"/>
      <x:c r="S95" s="84"/>
      <x:c r="T95" s="84"/>
      <x:c r="U95" s="84"/>
    </x:row>
    <x:row r="96">
      <x:c r="A96" s="84"/>
      <x:c r="B96" s="84"/>
      <x:c r="C96" s="84"/>
      <x:c r="D96" s="84"/>
      <x:c r="E96" s="84"/>
      <x:c r="F96" s="84"/>
      <x:c r="G96" s="84"/>
      <x:c r="H96" s="84"/>
      <x:c r="I96" s="84"/>
      <x:c r="J96" s="84"/>
      <x:c r="K96" s="84"/>
      <x:c r="L96" s="84"/>
      <x:c r="M96" s="84"/>
      <x:c r="N96" s="84"/>
      <x:c r="O96" s="84"/>
      <x:c r="P96" s="84"/>
      <x:c r="Q96" s="84"/>
      <x:c r="R96" s="84"/>
      <x:c r="S96" s="84"/>
      <x:c r="T96" s="84"/>
      <x:c r="U96" s="84"/>
    </x:row>
    <x:row r="97">
      <x:c r="A97" s="84"/>
      <x:c r="B97" s="84"/>
      <x:c r="C97" s="84"/>
      <x:c r="D97" s="84"/>
      <x:c r="E97" s="84"/>
      <x:c r="F97" s="84"/>
      <x:c r="G97" s="84"/>
      <x:c r="H97" s="84"/>
      <x:c r="I97" s="84"/>
      <x:c r="J97" s="84"/>
      <x:c r="K97" s="84"/>
      <x:c r="L97" s="84"/>
      <x:c r="M97" s="84"/>
      <x:c r="N97" s="84"/>
      <x:c r="O97" s="84"/>
      <x:c r="P97" s="84"/>
      <x:c r="Q97" s="84"/>
      <x:c r="R97" s="84"/>
      <x:c r="S97" s="84"/>
      <x:c r="T97" s="84"/>
      <x:c r="U97" s="84"/>
    </x:row>
    <x:row r="98">
      <x:c r="A98" s="84"/>
      <x:c r="B98" s="84"/>
      <x:c r="C98" s="84"/>
      <x:c r="D98" s="84"/>
      <x:c r="E98" s="84"/>
      <x:c r="F98" s="84"/>
      <x:c r="G98" s="84"/>
      <x:c r="H98" s="84"/>
      <x:c r="I98" s="84"/>
      <x:c r="J98" s="84"/>
      <x:c r="K98" s="84"/>
      <x:c r="L98" s="84"/>
      <x:c r="M98" s="84"/>
      <x:c r="N98" s="84"/>
      <x:c r="O98" s="84"/>
      <x:c r="P98" s="84"/>
      <x:c r="Q98" s="84"/>
      <x:c r="R98" s="84"/>
      <x:c r="S98" s="84"/>
      <x:c r="T98" s="84"/>
      <x:c r="U98" s="84"/>
    </x:row>
    <x:row r="99">
      <x:c r="A99" s="84"/>
      <x:c r="B99" s="84"/>
      <x:c r="C99" s="84"/>
      <x:c r="D99" s="84"/>
      <x:c r="E99" s="84"/>
      <x:c r="F99" s="84"/>
      <x:c r="G99" s="84"/>
      <x:c r="H99" s="84"/>
      <x:c r="I99" s="84"/>
      <x:c r="J99" s="84"/>
      <x:c r="K99" s="84"/>
      <x:c r="L99" s="84"/>
      <x:c r="M99" s="84"/>
      <x:c r="N99" s="84"/>
      <x:c r="O99" s="84"/>
      <x:c r="P99" s="84"/>
      <x:c r="Q99" s="84"/>
      <x:c r="R99" s="84"/>
      <x:c r="S99" s="84"/>
      <x:c r="T99" s="84"/>
      <x:c r="U99" s="84"/>
    </x:row>
    <x:row r="100">
      <x:c r="A100" s="84"/>
      <x:c r="B100" s="84"/>
      <x:c r="C100" s="84"/>
      <x:c r="D100" s="84"/>
      <x:c r="E100" s="84"/>
      <x:c r="F100" s="84"/>
      <x:c r="G100" s="84"/>
      <x:c r="H100" s="84"/>
      <x:c r="I100" s="84"/>
      <x:c r="J100" s="84"/>
      <x:c r="K100" s="84"/>
      <x:c r="L100" s="84"/>
      <x:c r="M100" s="84"/>
      <x:c r="N100" s="84"/>
      <x:c r="O100" s="84"/>
      <x:c r="P100" s="84"/>
      <x:c r="Q100" s="84"/>
      <x:c r="R100" s="84"/>
      <x:c r="S100" s="84"/>
      <x:c r="T100" s="84"/>
      <x:c r="U100" s="84"/>
    </x:row>
    <x:row r="101">
      <x:c r="A101" s="84"/>
      <x:c r="B101" s="84"/>
      <x:c r="C101" s="84"/>
      <x:c r="D101" s="84"/>
      <x:c r="E101" s="84"/>
      <x:c r="F101" s="84"/>
      <x:c r="G101" s="84"/>
      <x:c r="H101" s="84"/>
      <x:c r="I101" s="84"/>
      <x:c r="J101" s="84"/>
      <x:c r="K101" s="84"/>
      <x:c r="L101" s="84"/>
      <x:c r="M101" s="84"/>
      <x:c r="N101" s="84"/>
      <x:c r="O101" s="84"/>
      <x:c r="P101" s="84"/>
      <x:c r="Q101" s="84"/>
      <x:c r="R101" s="84"/>
      <x:c r="S101" s="84"/>
      <x:c r="T101" s="84"/>
      <x:c r="U101" s="84"/>
    </x:row>
    <x:row r="102">
      <x:c r="A102" s="84"/>
      <x:c r="B102" s="84"/>
      <x:c r="C102" s="84"/>
      <x:c r="D102" s="84"/>
      <x:c r="E102" s="84"/>
      <x:c r="F102" s="84"/>
      <x:c r="G102" s="84"/>
      <x:c r="H102" s="84"/>
      <x:c r="I102" s="84"/>
      <x:c r="J102" s="84"/>
      <x:c r="K102" s="84"/>
      <x:c r="L102" s="84"/>
      <x:c r="M102" s="84"/>
      <x:c r="N102" s="84"/>
      <x:c r="O102" s="84"/>
      <x:c r="P102" s="84"/>
      <x:c r="Q102" s="84"/>
      <x:c r="R102" s="84"/>
      <x:c r="S102" s="84"/>
      <x:c r="T102" s="84"/>
      <x:c r="U102" s="84"/>
    </x:row>
    <x:row r="103">
      <x:c r="A103" s="84"/>
      <x:c r="B103" s="84"/>
      <x:c r="C103" s="84"/>
      <x:c r="D103" s="84"/>
      <x:c r="E103" s="84"/>
      <x:c r="F103" s="84"/>
      <x:c r="G103" s="84"/>
      <x:c r="H103" s="84"/>
      <x:c r="I103" s="84"/>
      <x:c r="J103" s="84"/>
      <x:c r="K103" s="84"/>
      <x:c r="L103" s="84"/>
      <x:c r="M103" s="84"/>
      <x:c r="N103" s="84"/>
      <x:c r="O103" s="84"/>
      <x:c r="P103" s="84"/>
      <x:c r="Q103" s="84"/>
      <x:c r="R103" s="84"/>
      <x:c r="S103" s="84"/>
      <x:c r="T103" s="84"/>
      <x:c r="U103" s="84"/>
    </x:row>
    <x:row r="104">
      <x:c r="A104" s="84"/>
      <x:c r="B104" s="84"/>
      <x:c r="C104" s="84"/>
      <x:c r="D104" s="84"/>
      <x:c r="E104" s="84"/>
      <x:c r="F104" s="84"/>
      <x:c r="G104" s="84"/>
      <x:c r="H104" s="84"/>
      <x:c r="I104" s="84"/>
      <x:c r="J104" s="84"/>
      <x:c r="K104" s="84"/>
      <x:c r="L104" s="84"/>
      <x:c r="M104" s="84"/>
      <x:c r="N104" s="84"/>
      <x:c r="O104" s="84"/>
      <x:c r="P104" s="84"/>
      <x:c r="Q104" s="84"/>
      <x:c r="R104" s="84"/>
      <x:c r="S104" s="84"/>
      <x:c r="T104" s="84"/>
      <x:c r="U104" s="84"/>
    </x:row>
    <x:row r="105">
      <x:c r="A105" s="84"/>
      <x:c r="B105" s="84"/>
      <x:c r="C105" s="84"/>
      <x:c r="D105" s="84"/>
      <x:c r="E105" s="84"/>
      <x:c r="F105" s="84"/>
      <x:c r="G105" s="84"/>
      <x:c r="H105" s="84"/>
      <x:c r="I105" s="84"/>
      <x:c r="J105" s="84"/>
      <x:c r="K105" s="84"/>
      <x:c r="L105" s="84"/>
      <x:c r="M105" s="84"/>
      <x:c r="N105" s="84"/>
      <x:c r="O105" s="84"/>
      <x:c r="P105" s="84"/>
      <x:c r="Q105" s="84"/>
      <x:c r="R105" s="84"/>
      <x:c r="S105" s="84"/>
      <x:c r="T105" s="84"/>
      <x:c r="U105" s="84"/>
    </x:row>
    <x:row r="106">
      <x:c r="A106" s="84"/>
      <x:c r="B106" s="84"/>
      <x:c r="C106" s="84"/>
      <x:c r="D106" s="84"/>
      <x:c r="E106" s="84"/>
      <x:c r="F106" s="84"/>
      <x:c r="G106" s="84"/>
      <x:c r="H106" s="84"/>
      <x:c r="I106" s="84"/>
      <x:c r="J106" s="84"/>
      <x:c r="K106" s="84"/>
      <x:c r="L106" s="84"/>
      <x:c r="M106" s="84"/>
      <x:c r="N106" s="84"/>
      <x:c r="O106" s="84"/>
      <x:c r="P106" s="84"/>
      <x:c r="Q106" s="84"/>
      <x:c r="R106" s="84"/>
      <x:c r="S106" s="84"/>
      <x:c r="T106" s="84"/>
      <x:c r="U106" s="84"/>
    </x:row>
    <x:row r="107">
      <x:c r="A107" s="84"/>
      <x:c r="B107" s="84"/>
      <x:c r="C107" s="84"/>
      <x:c r="D107" s="84"/>
      <x:c r="E107" s="84"/>
      <x:c r="F107" s="84"/>
      <x:c r="G107" s="84"/>
      <x:c r="H107" s="84"/>
      <x:c r="I107" s="84"/>
      <x:c r="J107" s="84"/>
      <x:c r="K107" s="84"/>
      <x:c r="L107" s="84"/>
      <x:c r="M107" s="84"/>
      <x:c r="N107" s="84"/>
      <x:c r="O107" s="84"/>
      <x:c r="P107" s="84"/>
      <x:c r="Q107" s="84"/>
      <x:c r="R107" s="84"/>
      <x:c r="S107" s="84"/>
      <x:c r="T107" s="84"/>
      <x:c r="U107" s="84"/>
    </x:row>
    <x:row r="108">
      <x:c r="A108" s="84"/>
      <x:c r="B108" s="84"/>
      <x:c r="C108" s="84"/>
      <x:c r="D108" s="84"/>
      <x:c r="E108" s="84"/>
      <x:c r="F108" s="84"/>
      <x:c r="G108" s="84"/>
      <x:c r="H108" s="84"/>
      <x:c r="I108" s="84"/>
      <x:c r="J108" s="84"/>
      <x:c r="K108" s="84"/>
      <x:c r="L108" s="84"/>
      <x:c r="M108" s="84"/>
      <x:c r="N108" s="84"/>
      <x:c r="O108" s="84"/>
      <x:c r="P108" s="84"/>
      <x:c r="Q108" s="84"/>
      <x:c r="R108" s="84"/>
      <x:c r="S108" s="84"/>
      <x:c r="T108" s="84"/>
      <x:c r="U108" s="84"/>
    </x:row>
    <x:row r="109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4"/>
      <x:c r="K109" s="84"/>
      <x:c r="L109" s="84"/>
      <x:c r="M109" s="84"/>
      <x:c r="N109" s="84"/>
      <x:c r="O109" s="84"/>
      <x:c r="P109" s="84"/>
      <x:c r="Q109" s="84"/>
      <x:c r="R109" s="84"/>
      <x:c r="S109" s="84"/>
      <x:c r="T109" s="84"/>
      <x:c r="U109" s="84"/>
    </x:row>
    <x:row r="110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4"/>
      <x:c r="K110" s="84"/>
      <x:c r="L110" s="84"/>
      <x:c r="M110" s="84"/>
      <x:c r="N110" s="84"/>
      <x:c r="O110" s="84"/>
      <x:c r="P110" s="84"/>
      <x:c r="Q110" s="84"/>
      <x:c r="R110" s="84"/>
      <x:c r="S110" s="84"/>
      <x:c r="T110" s="84"/>
      <x:c r="U110" s="84"/>
    </x:row>
  </x:sheetData>
  <x:mergeCells>
    <x:mergeCell ref="A1:H1"/>
    <x:mergeCell ref="A3:H3"/>
    <x:mergeCell ref="E11:H11"/>
    <x:mergeCell ref="E12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4" max="4" width="22" hidden="0" customWidth="1"/>
    <x:col min="5" max="5" width="20" hidden="0" customWidth="1"/>
  </x:cols>
  <x:sheetData>
    <x:row r="1">
      <x:c r="A1" s="141" t="str">
        <x:v>ASSIGNMENT — enter the requirements once</x:v>
      </x:c>
      <x:c r="B1" s="141"/>
      <x:c r="C1" s="141"/>
      <x:c r="D1" s="141"/>
      <x:c r="E1" s="141"/>
      <x:c r="F1" s="141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84"/>
      <x:c r="R1" s="84"/>
      <x:c r="S1" s="84"/>
      <x:c r="T1" s="84"/>
      <x:c r="U1" s="84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  <x:c r="S2" s="84"/>
      <x:c r="T2" s="84"/>
      <x:c r="U2" s="84"/>
    </x:row>
    <x:row r="3">
      <x:c r="A3" s="95" t="str">
        <x:v>Assignment / Paper Name</x:v>
      </x:c>
      <x:c r="B3" s="88" t="str">
        <x:v>Research Paper</x:v>
      </x:c>
      <x:c r="C3" s="84"/>
      <x:c r="D3" s="86" t="str">
        <x:v>AUTO SUMMARY</x:v>
      </x:c>
      <x:c r="E3" s="86" t="str"/>
      <x:c r="F3" s="84"/>
      <x:c r="G3" s="84"/>
      <x:c r="H3" s="84"/>
      <x:c r="I3" s="84"/>
      <x:c r="J3" s="84"/>
      <x:c r="K3" s="84"/>
      <x:c r="L3" s="84"/>
      <x:c r="M3" s="84"/>
      <x:c r="N3" s="84"/>
      <x:c r="O3" s="84"/>
      <x:c r="P3" s="84"/>
      <x:c r="Q3" s="84"/>
      <x:c r="R3" s="84"/>
      <x:c r="S3" s="84"/>
      <x:c r="T3" s="84"/>
      <x:c r="U3" s="84"/>
    </x:row>
    <x:row r="4">
      <x:c r="A4" s="95" t="str">
        <x:v>Course / Context</x:v>
      </x:c>
      <x:c r="B4" s="88" t="str"/>
      <x:c r="C4" s="84"/>
      <x:c r="D4" s="95" t="str">
        <x:v>Days Remaining</x:v>
      </x:c>
      <x:c r="E4" s="145" t="n">
        <x:f>MAX(0,B7-TODAY())</x:f>
        <x:v>30</x:v>
      </x:c>
      <x:c r="F4" s="84"/>
      <x:c r="G4" s="84"/>
      <x:c r="H4" s="84"/>
      <x:c r="I4" s="84"/>
      <x:c r="J4" s="84"/>
      <x:c r="K4" s="84"/>
      <x:c r="L4" s="84"/>
      <x:c r="M4" s="84"/>
      <x:c r="N4" s="84"/>
      <x:c r="O4" s="84"/>
      <x:c r="P4" s="84"/>
      <x:c r="Q4" s="84"/>
      <x:c r="R4" s="84"/>
      <x:c r="S4" s="84"/>
      <x:c r="T4" s="84"/>
      <x:c r="U4" s="84"/>
    </x:row>
    <x:row r="5">
      <x:c r="A5" s="95" t="str">
        <x:v>Instructor / Reviewer</x:v>
      </x:c>
      <x:c r="B5" s="88" t="str"/>
      <x:c r="C5" s="84"/>
      <x:c r="D5" s="95" t="str">
        <x:v>Total Calendar Days</x:v>
      </x:c>
      <x:c r="E5" s="145" t="n">
        <x:f>B7-B6</x:f>
        <x:v>30</x:v>
      </x:c>
      <x:c r="F5" s="84"/>
      <x:c r="G5" s="84"/>
      <x:c r="H5" s="84"/>
      <x:c r="I5" s="84"/>
      <x:c r="J5" s="84"/>
      <x:c r="K5" s="84"/>
      <x:c r="L5" s="84"/>
      <x:c r="M5" s="84"/>
      <x:c r="N5" s="84"/>
      <x:c r="O5" s="84"/>
      <x:c r="P5" s="84"/>
      <x:c r="Q5" s="84"/>
      <x:c r="R5" s="84"/>
      <x:c r="S5" s="84"/>
      <x:c r="T5" s="84"/>
      <x:c r="U5" s="84"/>
    </x:row>
    <x:row r="6">
      <x:c r="A6" s="95" t="str">
        <x:v>Start Date</x:v>
      </x:c>
      <x:c r="B6" s="111" t="n">
        <x:v>46296</x:v>
      </x:c>
      <x:c r="C6" s="84"/>
      <x:c r="D6" s="95" t="str">
        <x:v>Target Words / Day</x:v>
      </x:c>
      <x:c r="E6" s="145" t="n">
        <x:f>IF(B7&lt;=TODAY(),0,ROUND(B8/MAX(1,B7-TODAY()),0))</x:f>
        <x:v>83</x:v>
      </x:c>
      <x:c r="F6" s="84"/>
      <x:c r="G6" s="84"/>
      <x:c r="H6" s="84"/>
      <x:c r="I6" s="84"/>
      <x:c r="J6" s="84"/>
      <x:c r="K6" s="84"/>
      <x:c r="L6" s="84"/>
      <x:c r="M6" s="84"/>
      <x:c r="N6" s="84"/>
      <x:c r="O6" s="84"/>
      <x:c r="P6" s="84"/>
      <x:c r="Q6" s="84"/>
      <x:c r="R6" s="84"/>
      <x:c r="S6" s="84"/>
      <x:c r="T6" s="84"/>
      <x:c r="U6" s="84"/>
    </x:row>
    <x:row r="7">
      <x:c r="A7" s="95" t="str">
        <x:v>Due Date</x:v>
      </x:c>
      <x:c r="B7" s="111" t="n">
        <x:v>46326</x:v>
      </x:c>
      <x:c r="C7" s="84"/>
      <x:c r="D7" s="95" t="str">
        <x:v>Source Gap</x:v>
      </x:c>
      <x:c r="E7" s="145" t="n">
        <x:f>MAX(0,B9-COUNTIF('SOURCE LOG'!B4:B63,"&lt;&gt;"))</x:f>
        <x:v>8</x:v>
      </x:c>
      <x:c r="F7" s="84"/>
      <x:c r="G7" s="84"/>
      <x:c r="H7" s="84"/>
      <x:c r="I7" s="84"/>
      <x:c r="J7" s="84"/>
      <x:c r="K7" s="84"/>
      <x:c r="L7" s="84"/>
      <x:c r="M7" s="84"/>
      <x:c r="N7" s="84"/>
      <x:c r="O7" s="84"/>
      <x:c r="P7" s="84"/>
      <x:c r="Q7" s="84"/>
      <x:c r="R7" s="84"/>
      <x:c r="S7" s="84"/>
      <x:c r="T7" s="84"/>
      <x:c r="U7" s="84"/>
    </x:row>
    <x:row r="8">
      <x:c r="A8" s="95" t="str">
        <x:v>Target Word Count</x:v>
      </x:c>
      <x:c r="B8" s="88" t="n">
        <x:v>2500</x:v>
      </x:c>
      <x:c r="C8" s="84"/>
      <x:c r="D8" s="95" t="str">
        <x:v>Current Phase</x:v>
      </x:c>
      <x:c r="E8" s="90" t="str">
        <x:f>IF(TODAY()&gt;B7,"Past Due",IF(TODAY()&lt;B6,"Not Started",IF(TODAY()&lt;=B6+(B7-B6)*0.35,"Research",IF(TODAY()&lt;=B6+(B7-B6)*0.65,"Organize","Draft / Revise"))))</x:f>
        <x:v>Research</x:v>
      </x:c>
      <x:c r="F8" s="84"/>
      <x:c r="G8" s="84"/>
      <x:c r="H8" s="84"/>
      <x:c r="I8" s="84"/>
      <x:c r="J8" s="84"/>
      <x:c r="K8" s="84"/>
      <x:c r="L8" s="84"/>
      <x:c r="M8" s="84"/>
      <x:c r="N8" s="84"/>
      <x:c r="O8" s="84"/>
      <x:c r="P8" s="84"/>
      <x:c r="Q8" s="84"/>
      <x:c r="R8" s="84"/>
      <x:c r="S8" s="84"/>
      <x:c r="T8" s="84"/>
      <x:c r="U8" s="84"/>
    </x:row>
    <x:row r="9">
      <x:c r="A9" s="95" t="str">
        <x:v>Minimum Sources</x:v>
      </x:c>
      <x:c r="B9" s="88" t="n">
        <x:v>8</x:v>
      </x:c>
      <x:c r="C9" s="84"/>
      <x:c r="D9" s="84"/>
      <x:c r="E9" s="84"/>
      <x:c r="F9" s="84"/>
      <x:c r="G9" s="84"/>
      <x:c r="H9" s="84"/>
      <x:c r="I9" s="84"/>
      <x:c r="J9" s="84"/>
      <x:c r="K9" s="84"/>
      <x:c r="L9" s="84"/>
      <x:c r="M9" s="84"/>
      <x:c r="N9" s="84"/>
      <x:c r="O9" s="84"/>
      <x:c r="P9" s="84"/>
      <x:c r="Q9" s="84"/>
      <x:c r="R9" s="84"/>
      <x:c r="S9" s="84"/>
      <x:c r="T9" s="84"/>
      <x:c r="U9" s="84"/>
    </x:row>
    <x:row r="10">
      <x:c r="A10" s="95" t="str">
        <x:v>Required Citation Style</x:v>
      </x:c>
      <x:c r="B10" s="88" t="str">
        <x:v>APA 7</x:v>
      </x:c>
      <x:c r="C10" s="84"/>
      <x:c r="D10" s="84"/>
      <x:c r="E10" s="84"/>
      <x:c r="F10" s="84"/>
      <x:c r="G10" s="84"/>
      <x:c r="H10" s="84"/>
      <x:c r="I10" s="84"/>
      <x:c r="J10" s="84"/>
      <x:c r="K10" s="84"/>
      <x:c r="L10" s="84"/>
      <x:c r="M10" s="84"/>
      <x:c r="N10" s="84"/>
      <x:c r="O10" s="84"/>
      <x:c r="P10" s="84"/>
      <x:c r="Q10" s="84"/>
      <x:c r="R10" s="84"/>
      <x:c r="S10" s="84"/>
      <x:c r="T10" s="84"/>
      <x:c r="U10" s="84"/>
    </x:row>
    <x:row r="11">
      <x:c r="A11" s="95" t="str">
        <x:v>Abstract Required?</x:v>
      </x:c>
      <x:c r="B11" s="88" t="str">
        <x:v>No</x:v>
      </x:c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84"/>
      <x:c r="P11" s="84"/>
      <x:c r="Q11" s="84"/>
      <x:c r="R11" s="84"/>
      <x:c r="S11" s="84"/>
      <x:c r="T11" s="84"/>
      <x:c r="U11" s="84"/>
    </x:row>
    <x:row r="12">
      <x:c r="A12" s="95" t="str">
        <x:v>Instructor-Specific Rules</x:v>
      </x:c>
      <x:c r="B12" s="88" t="str"/>
      <x:c r="C12" s="84"/>
      <x:c r="D12" s="84"/>
      <x:c r="E12" s="84"/>
      <x:c r="F12" s="84"/>
      <x:c r="G12" s="84"/>
      <x:c r="H12" s="84"/>
      <x:c r="I12" s="84"/>
      <x:c r="J12" s="84"/>
      <x:c r="K12" s="84"/>
      <x:c r="L12" s="84"/>
      <x:c r="M12" s="84"/>
      <x:c r="N12" s="84"/>
      <x:c r="O12" s="84"/>
      <x:c r="P12" s="84"/>
      <x:c r="Q12" s="84"/>
      <x:c r="R12" s="84"/>
      <x:c r="S12" s="84"/>
      <x:c r="T12" s="84"/>
      <x:c r="U12" s="84"/>
    </x:row>
    <x:row r="13">
      <x:c r="A13" s="84"/>
      <x:c r="B13" s="84"/>
      <x:c r="C13" s="84"/>
      <x:c r="D13" s="84"/>
      <x:c r="E13" s="84"/>
      <x:c r="F13" s="84"/>
      <x:c r="G13" s="84"/>
      <x:c r="H13" s="84"/>
      <x:c r="I13" s="84"/>
      <x:c r="J13" s="84"/>
      <x:c r="K13" s="84"/>
      <x:c r="L13" s="84"/>
      <x:c r="M13" s="84"/>
      <x:c r="N13" s="84"/>
      <x:c r="O13" s="84"/>
      <x:c r="P13" s="84"/>
      <x:c r="Q13" s="84"/>
      <x:c r="R13" s="84"/>
      <x:c r="S13" s="84"/>
      <x:c r="T13" s="84"/>
      <x:c r="U13" s="84"/>
    </x:row>
    <x:row r="14">
      <x:c r="A14" s="84"/>
      <x:c r="B14" s="84"/>
      <x:c r="C14" s="84"/>
      <x:c r="D14" s="84"/>
      <x:c r="E14" s="84"/>
      <x:c r="F14" s="84"/>
      <x:c r="G14" s="84"/>
      <x:c r="H14" s="84"/>
      <x:c r="I14" s="84"/>
      <x:c r="J14" s="84"/>
      <x:c r="K14" s="84"/>
      <x:c r="L14" s="84"/>
      <x:c r="M14" s="84"/>
      <x:c r="N14" s="84"/>
      <x:c r="O14" s="84"/>
      <x:c r="P14" s="84"/>
      <x:c r="Q14" s="84"/>
      <x:c r="R14" s="84"/>
      <x:c r="S14" s="84"/>
      <x:c r="T14" s="84"/>
      <x:c r="U14" s="84"/>
    </x:row>
    <x:row r="15">
      <x:c r="A15" s="84"/>
      <x:c r="B15" s="84"/>
      <x:c r="C15" s="84"/>
      <x:c r="D15" s="84"/>
      <x:c r="E15" s="84"/>
      <x:c r="F15" s="84"/>
      <x:c r="G15" s="84"/>
      <x:c r="H15" s="84"/>
      <x:c r="I15" s="84"/>
      <x:c r="J15" s="84"/>
      <x:c r="K15" s="84"/>
      <x:c r="L15" s="84"/>
      <x:c r="M15" s="84"/>
      <x:c r="N15" s="84"/>
      <x:c r="O15" s="84"/>
      <x:c r="P15" s="84"/>
      <x:c r="Q15" s="84"/>
      <x:c r="R15" s="84"/>
      <x:c r="S15" s="84"/>
      <x:c r="T15" s="84"/>
      <x:c r="U15" s="84"/>
    </x:row>
    <x:row r="16">
      <x:c r="A16" s="84"/>
      <x:c r="B16" s="84"/>
      <x:c r="C16" s="84"/>
      <x:c r="D16" s="84"/>
      <x:c r="E16" s="84"/>
      <x:c r="F16" s="84"/>
      <x:c r="G16" s="84"/>
      <x:c r="H16" s="84"/>
      <x:c r="I16" s="84"/>
      <x:c r="J16" s="84"/>
      <x:c r="K16" s="84"/>
      <x:c r="L16" s="84"/>
      <x:c r="M16" s="84"/>
      <x:c r="N16" s="84"/>
      <x:c r="O16" s="84"/>
      <x:c r="P16" s="84"/>
      <x:c r="Q16" s="84"/>
      <x:c r="R16" s="84"/>
      <x:c r="S16" s="84"/>
      <x:c r="T16" s="84"/>
      <x:c r="U16" s="84"/>
    </x:row>
    <x:row r="17">
      <x:c r="A17" s="84"/>
      <x:c r="B17" s="84"/>
      <x:c r="C17" s="84"/>
      <x:c r="D17" s="84"/>
      <x:c r="E17" s="84"/>
      <x:c r="F17" s="84"/>
      <x:c r="G17" s="84"/>
      <x:c r="H17" s="84"/>
      <x:c r="I17" s="84"/>
      <x:c r="J17" s="84"/>
      <x:c r="K17" s="84"/>
      <x:c r="L17" s="84"/>
      <x:c r="M17" s="84"/>
      <x:c r="N17" s="84"/>
      <x:c r="O17" s="84"/>
      <x:c r="P17" s="84"/>
      <x:c r="Q17" s="84"/>
      <x:c r="R17" s="84"/>
      <x:c r="S17" s="84"/>
      <x:c r="T17" s="84"/>
      <x:c r="U17" s="84"/>
    </x:row>
    <x:row r="18">
      <x:c r="A18" s="84"/>
      <x:c r="B18" s="84"/>
      <x:c r="C18" s="84"/>
      <x:c r="D18" s="84"/>
      <x:c r="E18" s="84"/>
      <x:c r="F18" s="84"/>
      <x:c r="G18" s="84"/>
      <x:c r="H18" s="84"/>
      <x:c r="I18" s="84"/>
      <x:c r="J18" s="84"/>
      <x:c r="K18" s="84"/>
      <x:c r="L18" s="84"/>
      <x:c r="M18" s="84"/>
      <x:c r="N18" s="84"/>
      <x:c r="O18" s="84"/>
      <x:c r="P18" s="84"/>
      <x:c r="Q18" s="84"/>
      <x:c r="R18" s="84"/>
      <x:c r="S18" s="84"/>
      <x:c r="T18" s="84"/>
      <x:c r="U18" s="84"/>
    </x:row>
    <x:row r="19">
      <x:c r="A19" s="84"/>
      <x:c r="B19" s="84"/>
      <x:c r="C19" s="84"/>
      <x:c r="D19" s="84"/>
      <x:c r="E19" s="84"/>
      <x:c r="F19" s="84"/>
      <x:c r="G19" s="84"/>
      <x:c r="H19" s="84"/>
      <x:c r="I19" s="84"/>
      <x:c r="J19" s="84"/>
      <x:c r="K19" s="84"/>
      <x:c r="L19" s="84"/>
      <x:c r="M19" s="84"/>
      <x:c r="N19" s="84"/>
      <x:c r="O19" s="84"/>
      <x:c r="P19" s="84"/>
      <x:c r="Q19" s="84"/>
      <x:c r="R19" s="84"/>
      <x:c r="S19" s="84"/>
      <x:c r="T19" s="84"/>
      <x:c r="U19" s="84"/>
    </x:row>
    <x:row r="20">
      <x:c r="A20" s="84"/>
      <x:c r="B20" s="84"/>
      <x:c r="C20" s="84"/>
      <x:c r="D20" s="84"/>
      <x:c r="E20" s="84"/>
      <x:c r="F20" s="84"/>
      <x:c r="G20" s="84"/>
      <x:c r="H20" s="84"/>
      <x:c r="I20" s="84"/>
      <x:c r="J20" s="84"/>
      <x:c r="K20" s="84"/>
      <x:c r="L20" s="84"/>
      <x:c r="M20" s="84"/>
      <x:c r="N20" s="84"/>
      <x:c r="O20" s="84"/>
      <x:c r="P20" s="84"/>
      <x:c r="Q20" s="84"/>
      <x:c r="R20" s="84"/>
      <x:c r="S20" s="84"/>
      <x:c r="T20" s="84"/>
      <x:c r="U20" s="84"/>
    </x:row>
    <x:row r="21">
      <x:c r="A21" s="84"/>
      <x:c r="B21" s="84"/>
      <x:c r="C21" s="84"/>
      <x:c r="D21" s="84"/>
      <x:c r="E21" s="84"/>
      <x:c r="F21" s="84"/>
      <x:c r="G21" s="84"/>
      <x:c r="H21" s="84"/>
      <x:c r="I21" s="84"/>
      <x:c r="J21" s="84"/>
      <x:c r="K21" s="84"/>
      <x:c r="L21" s="84"/>
      <x:c r="M21" s="84"/>
      <x:c r="N21" s="84"/>
      <x:c r="O21" s="84"/>
      <x:c r="P21" s="84"/>
      <x:c r="Q21" s="84"/>
      <x:c r="R21" s="84"/>
      <x:c r="S21" s="84"/>
      <x:c r="T21" s="84"/>
      <x:c r="U21" s="84"/>
    </x:row>
    <x:row r="22">
      <x:c r="A22" s="84"/>
      <x:c r="B22" s="84"/>
      <x:c r="C22" s="84"/>
      <x:c r="D22" s="84"/>
      <x:c r="E22" s="84"/>
      <x:c r="F22" s="84"/>
      <x:c r="G22" s="84"/>
      <x:c r="H22" s="84"/>
      <x:c r="I22" s="84"/>
      <x:c r="J22" s="84"/>
      <x:c r="K22" s="84"/>
      <x:c r="L22" s="84"/>
      <x:c r="M22" s="84"/>
      <x:c r="N22" s="84"/>
      <x:c r="O22" s="84"/>
      <x:c r="P22" s="84"/>
      <x:c r="Q22" s="84"/>
      <x:c r="R22" s="84"/>
      <x:c r="S22" s="84"/>
      <x:c r="T22" s="84"/>
      <x:c r="U22" s="84"/>
    </x:row>
    <x:row r="23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  <x:c r="K23" s="84"/>
      <x:c r="L23" s="84"/>
      <x:c r="M23" s="84"/>
      <x:c r="N23" s="84"/>
      <x:c r="O23" s="84"/>
      <x:c r="P23" s="84"/>
      <x:c r="Q23" s="84"/>
      <x:c r="R23" s="84"/>
      <x:c r="S23" s="84"/>
      <x:c r="T23" s="84"/>
      <x:c r="U23" s="84"/>
    </x:row>
    <x:row r="24">
      <x:c r="A24" s="84"/>
      <x:c r="B24" s="84"/>
      <x:c r="C24" s="84"/>
      <x:c r="D24" s="84"/>
      <x:c r="E24" s="84"/>
      <x:c r="F24" s="84"/>
      <x:c r="G24" s="84"/>
      <x:c r="H24" s="84"/>
      <x:c r="I24" s="84"/>
      <x:c r="J24" s="84"/>
      <x:c r="K24" s="84"/>
      <x:c r="L24" s="84"/>
      <x:c r="M24" s="84"/>
      <x:c r="N24" s="84"/>
      <x:c r="O24" s="84"/>
      <x:c r="P24" s="84"/>
      <x:c r="Q24" s="84"/>
      <x:c r="R24" s="84"/>
      <x:c r="S24" s="84"/>
      <x:c r="T24" s="84"/>
      <x:c r="U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  <x:c r="K25" s="84"/>
      <x:c r="L25" s="84"/>
      <x:c r="M25" s="84"/>
      <x:c r="N25" s="84"/>
      <x:c r="O25" s="84"/>
      <x:c r="P25" s="84"/>
      <x:c r="Q25" s="84"/>
      <x:c r="R25" s="84"/>
      <x:c r="S25" s="84"/>
      <x:c r="T25" s="84"/>
      <x:c r="U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  <x:c r="K26" s="84"/>
      <x:c r="L26" s="84"/>
      <x:c r="M26" s="84"/>
      <x:c r="N26" s="84"/>
      <x:c r="O26" s="84"/>
      <x:c r="P26" s="84"/>
      <x:c r="Q26" s="84"/>
      <x:c r="R26" s="84"/>
      <x:c r="S26" s="84"/>
      <x:c r="T26" s="84"/>
      <x:c r="U26" s="84"/>
    </x:row>
    <x:row r="27">
      <x:c r="A27" s="84"/>
      <x:c r="B27" s="84"/>
      <x:c r="C27" s="84"/>
      <x:c r="D27" s="84"/>
      <x:c r="E27" s="84"/>
      <x:c r="F27" s="84"/>
      <x:c r="G27" s="84"/>
      <x:c r="H27" s="84"/>
      <x:c r="I27" s="84"/>
      <x:c r="J27" s="84"/>
      <x:c r="K27" s="84"/>
      <x:c r="L27" s="84"/>
      <x:c r="M27" s="84"/>
      <x:c r="N27" s="84"/>
      <x:c r="O27" s="84"/>
      <x:c r="P27" s="84"/>
      <x:c r="Q27" s="84"/>
      <x:c r="R27" s="84"/>
      <x:c r="S27" s="84"/>
      <x:c r="T27" s="84"/>
      <x:c r="U27" s="84"/>
    </x:row>
    <x:row r="28">
      <x:c r="A28" s="84"/>
      <x:c r="B28" s="84"/>
      <x:c r="C28" s="84"/>
      <x:c r="D28" s="84"/>
      <x:c r="E28" s="84"/>
      <x:c r="F28" s="84"/>
      <x:c r="G28" s="84"/>
      <x:c r="H28" s="84"/>
      <x:c r="I28" s="84"/>
      <x:c r="J28" s="84"/>
      <x:c r="K28" s="84"/>
      <x:c r="L28" s="84"/>
      <x:c r="M28" s="84"/>
      <x:c r="N28" s="84"/>
      <x:c r="O28" s="84"/>
      <x:c r="P28" s="84"/>
      <x:c r="Q28" s="84"/>
      <x:c r="R28" s="84"/>
      <x:c r="S28" s="84"/>
      <x:c r="T28" s="84"/>
      <x:c r="U28" s="84"/>
    </x:row>
    <x:row r="29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  <x:c r="K29" s="84"/>
      <x:c r="L29" s="84"/>
      <x:c r="M29" s="84"/>
      <x:c r="N29" s="84"/>
      <x:c r="O29" s="84"/>
      <x:c r="P29" s="84"/>
      <x:c r="Q29" s="84"/>
      <x:c r="R29" s="84"/>
      <x:c r="S29" s="84"/>
      <x:c r="T29" s="84"/>
      <x:c r="U29" s="84"/>
    </x:row>
    <x:row r="30">
      <x:c r="A30" s="84"/>
      <x:c r="B30" s="84"/>
      <x:c r="C30" s="84"/>
      <x:c r="D30" s="84"/>
      <x:c r="E30" s="84"/>
      <x:c r="F30" s="84"/>
      <x:c r="G30" s="84"/>
      <x:c r="H30" s="84"/>
      <x:c r="I30" s="84"/>
      <x:c r="J30" s="84"/>
      <x:c r="K30" s="84"/>
      <x:c r="L30" s="84"/>
      <x:c r="M30" s="84"/>
      <x:c r="N30" s="84"/>
      <x:c r="O30" s="84"/>
      <x:c r="P30" s="84"/>
      <x:c r="Q30" s="84"/>
      <x:c r="R30" s="84"/>
      <x:c r="S30" s="84"/>
      <x:c r="T30" s="84"/>
      <x:c r="U30" s="84"/>
    </x:row>
    <x:row r="31">
      <x:c r="A31" s="84"/>
      <x:c r="B31" s="84"/>
      <x:c r="C31" s="84"/>
      <x:c r="D31" s="84"/>
      <x:c r="E31" s="84"/>
      <x:c r="F31" s="84"/>
      <x:c r="G31" s="84"/>
      <x:c r="H31" s="84"/>
      <x:c r="I31" s="84"/>
      <x:c r="J31" s="84"/>
      <x:c r="K31" s="84"/>
      <x:c r="L31" s="84"/>
      <x:c r="M31" s="84"/>
      <x:c r="N31" s="84"/>
      <x:c r="O31" s="84"/>
      <x:c r="P31" s="84"/>
      <x:c r="Q31" s="84"/>
      <x:c r="R31" s="84"/>
      <x:c r="S31" s="84"/>
      <x:c r="T31" s="84"/>
      <x:c r="U31" s="84"/>
    </x:row>
    <x:row r="32">
      <x:c r="A32" s="84"/>
      <x:c r="B32" s="84"/>
      <x:c r="C32" s="84"/>
      <x:c r="D32" s="84"/>
      <x:c r="E32" s="84"/>
      <x:c r="F32" s="84"/>
      <x:c r="G32" s="84"/>
      <x:c r="H32" s="84"/>
      <x:c r="I32" s="84"/>
      <x:c r="J32" s="84"/>
      <x:c r="K32" s="84"/>
      <x:c r="L32" s="84"/>
      <x:c r="M32" s="84"/>
      <x:c r="N32" s="84"/>
      <x:c r="O32" s="84"/>
      <x:c r="P32" s="84"/>
      <x:c r="Q32" s="84"/>
      <x:c r="R32" s="84"/>
      <x:c r="S32" s="84"/>
      <x:c r="T32" s="84"/>
      <x:c r="U32" s="84"/>
    </x:row>
    <x:row r="33">
      <x:c r="A33" s="84"/>
      <x:c r="B33" s="84"/>
      <x:c r="C33" s="84"/>
      <x:c r="D33" s="84"/>
      <x:c r="E33" s="84"/>
      <x:c r="F33" s="84"/>
      <x:c r="G33" s="84"/>
      <x:c r="H33" s="84"/>
      <x:c r="I33" s="84"/>
      <x:c r="J33" s="84"/>
      <x:c r="K33" s="84"/>
      <x:c r="L33" s="84"/>
      <x:c r="M33" s="84"/>
      <x:c r="N33" s="84"/>
      <x:c r="O33" s="84"/>
      <x:c r="P33" s="84"/>
      <x:c r="Q33" s="84"/>
      <x:c r="R33" s="84"/>
      <x:c r="S33" s="84"/>
      <x:c r="T33" s="84"/>
      <x:c r="U33" s="84"/>
    </x:row>
    <x:row r="34">
      <x:c r="A34" s="84"/>
      <x:c r="B34" s="84"/>
      <x:c r="C34" s="84"/>
      <x:c r="D34" s="84"/>
      <x:c r="E34" s="84"/>
      <x:c r="F34" s="84"/>
      <x:c r="G34" s="84"/>
      <x:c r="H34" s="84"/>
      <x:c r="I34" s="84"/>
      <x:c r="J34" s="84"/>
      <x:c r="K34" s="84"/>
      <x:c r="L34" s="84"/>
      <x:c r="M34" s="84"/>
      <x:c r="N34" s="84"/>
      <x:c r="O34" s="84"/>
      <x:c r="P34" s="84"/>
      <x:c r="Q34" s="84"/>
      <x:c r="R34" s="84"/>
      <x:c r="S34" s="84"/>
      <x:c r="T34" s="84"/>
      <x:c r="U34" s="84"/>
    </x:row>
    <x:row r="35">
      <x:c r="A35" s="84"/>
      <x:c r="B35" s="84"/>
      <x:c r="C35" s="84"/>
      <x:c r="D35" s="84"/>
      <x:c r="E35" s="84"/>
      <x:c r="F35" s="84"/>
      <x:c r="G35" s="84"/>
      <x:c r="H35" s="84"/>
      <x:c r="I35" s="84"/>
      <x:c r="J35" s="84"/>
      <x:c r="K35" s="84"/>
      <x:c r="L35" s="84"/>
      <x:c r="M35" s="84"/>
      <x:c r="N35" s="84"/>
      <x:c r="O35" s="84"/>
      <x:c r="P35" s="84"/>
      <x:c r="Q35" s="84"/>
      <x:c r="R35" s="84"/>
      <x:c r="S35" s="84"/>
      <x:c r="T35" s="84"/>
      <x:c r="U35" s="84"/>
    </x:row>
    <x:row r="36">
      <x:c r="A36" s="84"/>
      <x:c r="B36" s="84"/>
      <x:c r="C36" s="84"/>
      <x:c r="D36" s="84"/>
      <x:c r="E36" s="84"/>
      <x:c r="F36" s="84"/>
      <x:c r="G36" s="84"/>
      <x:c r="H36" s="84"/>
      <x:c r="I36" s="84"/>
      <x:c r="J36" s="84"/>
      <x:c r="K36" s="84"/>
      <x:c r="L36" s="84"/>
      <x:c r="M36" s="84"/>
      <x:c r="N36" s="84"/>
      <x:c r="O36" s="84"/>
      <x:c r="P36" s="84"/>
      <x:c r="Q36" s="84"/>
      <x:c r="R36" s="84"/>
      <x:c r="S36" s="84"/>
      <x:c r="T36" s="84"/>
      <x:c r="U36" s="84"/>
    </x:row>
    <x:row r="37">
      <x:c r="A37" s="84"/>
      <x:c r="B37" s="84"/>
      <x:c r="C37" s="84"/>
      <x:c r="D37" s="84"/>
      <x:c r="E37" s="84"/>
      <x:c r="F37" s="84"/>
      <x:c r="G37" s="84"/>
      <x:c r="H37" s="84"/>
      <x:c r="I37" s="84"/>
      <x:c r="J37" s="84"/>
      <x:c r="K37" s="84"/>
      <x:c r="L37" s="84"/>
      <x:c r="M37" s="84"/>
      <x:c r="N37" s="84"/>
      <x:c r="O37" s="84"/>
      <x:c r="P37" s="84"/>
      <x:c r="Q37" s="84"/>
      <x:c r="R37" s="84"/>
      <x:c r="S37" s="84"/>
      <x:c r="T37" s="84"/>
      <x:c r="U37" s="84"/>
    </x:row>
    <x:row r="38">
      <x:c r="A38" s="84"/>
      <x:c r="B38" s="84"/>
      <x:c r="C38" s="84"/>
      <x:c r="D38" s="84"/>
      <x:c r="E38" s="84"/>
      <x:c r="F38" s="84"/>
      <x:c r="G38" s="84"/>
      <x:c r="H38" s="84"/>
      <x:c r="I38" s="84"/>
      <x:c r="J38" s="84"/>
      <x:c r="K38" s="84"/>
      <x:c r="L38" s="84"/>
      <x:c r="M38" s="84"/>
      <x:c r="N38" s="84"/>
      <x:c r="O38" s="84"/>
      <x:c r="P38" s="84"/>
      <x:c r="Q38" s="84"/>
      <x:c r="R38" s="84"/>
      <x:c r="S38" s="84"/>
      <x:c r="T38" s="84"/>
      <x:c r="U38" s="84"/>
    </x:row>
    <x:row r="39">
      <x:c r="A39" s="84"/>
      <x:c r="B39" s="84"/>
      <x:c r="C39" s="84"/>
      <x:c r="D39" s="84"/>
      <x:c r="E39" s="84"/>
      <x:c r="F39" s="84"/>
      <x:c r="G39" s="84"/>
      <x:c r="H39" s="84"/>
      <x:c r="I39" s="84"/>
      <x:c r="J39" s="84"/>
      <x:c r="K39" s="84"/>
      <x:c r="L39" s="84"/>
      <x:c r="M39" s="84"/>
      <x:c r="N39" s="84"/>
      <x:c r="O39" s="84"/>
      <x:c r="P39" s="84"/>
      <x:c r="Q39" s="84"/>
      <x:c r="R39" s="84"/>
      <x:c r="S39" s="84"/>
      <x:c r="T39" s="84"/>
      <x:c r="U39" s="84"/>
    </x:row>
    <x:row r="40">
      <x:c r="A40" s="84"/>
      <x:c r="B40" s="84"/>
      <x:c r="C40" s="84"/>
      <x:c r="D40" s="84"/>
      <x:c r="E40" s="84"/>
      <x:c r="F40" s="84"/>
      <x:c r="G40" s="84"/>
      <x:c r="H40" s="84"/>
      <x:c r="I40" s="84"/>
      <x:c r="J40" s="84"/>
      <x:c r="K40" s="84"/>
      <x:c r="L40" s="84"/>
      <x:c r="M40" s="84"/>
      <x:c r="N40" s="84"/>
      <x:c r="O40" s="84"/>
      <x:c r="P40" s="84"/>
      <x:c r="Q40" s="84"/>
      <x:c r="R40" s="84"/>
      <x:c r="S40" s="84"/>
      <x:c r="T40" s="84"/>
      <x:c r="U40" s="84"/>
    </x:row>
    <x:row r="41">
      <x:c r="A41" s="84"/>
      <x:c r="B41" s="84"/>
      <x:c r="C41" s="84"/>
      <x:c r="D41" s="84"/>
      <x:c r="E41" s="84"/>
      <x:c r="F41" s="84"/>
      <x:c r="G41" s="84"/>
      <x:c r="H41" s="84"/>
      <x:c r="I41" s="84"/>
      <x:c r="J41" s="84"/>
      <x:c r="K41" s="84"/>
      <x:c r="L41" s="84"/>
      <x:c r="M41" s="84"/>
      <x:c r="N41" s="84"/>
      <x:c r="O41" s="84"/>
      <x:c r="P41" s="84"/>
      <x:c r="Q41" s="84"/>
      <x:c r="R41" s="84"/>
      <x:c r="S41" s="84"/>
      <x:c r="T41" s="84"/>
      <x:c r="U41" s="84"/>
    </x:row>
    <x:row r="42">
      <x:c r="A42" s="84"/>
      <x:c r="B42" s="84"/>
      <x:c r="C42" s="84"/>
      <x:c r="D42" s="84"/>
      <x:c r="E42" s="84"/>
      <x:c r="F42" s="84"/>
      <x:c r="G42" s="84"/>
      <x:c r="H42" s="84"/>
      <x:c r="I42" s="84"/>
      <x:c r="J42" s="84"/>
      <x:c r="K42" s="84"/>
      <x:c r="L42" s="84"/>
      <x:c r="M42" s="84"/>
      <x:c r="N42" s="84"/>
      <x:c r="O42" s="84"/>
      <x:c r="P42" s="84"/>
      <x:c r="Q42" s="84"/>
      <x:c r="R42" s="84"/>
      <x:c r="S42" s="84"/>
      <x:c r="T42" s="84"/>
      <x:c r="U42" s="84"/>
    </x:row>
    <x:row r="43">
      <x:c r="A43" s="84"/>
      <x:c r="B43" s="84"/>
      <x:c r="C43" s="84"/>
      <x:c r="D43" s="84"/>
      <x:c r="E43" s="84"/>
      <x:c r="F43" s="84"/>
      <x:c r="G43" s="84"/>
      <x:c r="H43" s="84"/>
      <x:c r="I43" s="84"/>
      <x:c r="J43" s="84"/>
      <x:c r="K43" s="84"/>
      <x:c r="L43" s="84"/>
      <x:c r="M43" s="84"/>
      <x:c r="N43" s="84"/>
      <x:c r="O43" s="84"/>
      <x:c r="P43" s="84"/>
      <x:c r="Q43" s="84"/>
      <x:c r="R43" s="84"/>
      <x:c r="S43" s="84"/>
      <x:c r="T43" s="84"/>
      <x:c r="U43" s="84"/>
    </x:row>
    <x:row r="44">
      <x:c r="A44" s="84"/>
      <x:c r="B44" s="84"/>
      <x:c r="C44" s="84"/>
      <x:c r="D44" s="84"/>
      <x:c r="E44" s="84"/>
      <x:c r="F44" s="84"/>
      <x:c r="G44" s="84"/>
      <x:c r="H44" s="84"/>
      <x:c r="I44" s="84"/>
      <x:c r="J44" s="84"/>
      <x:c r="K44" s="84"/>
      <x:c r="L44" s="84"/>
      <x:c r="M44" s="84"/>
      <x:c r="N44" s="84"/>
      <x:c r="O44" s="84"/>
      <x:c r="P44" s="84"/>
      <x:c r="Q44" s="84"/>
      <x:c r="R44" s="84"/>
      <x:c r="S44" s="84"/>
      <x:c r="T44" s="84"/>
      <x:c r="U44" s="84"/>
    </x:row>
    <x:row r="45">
      <x:c r="A45" s="84"/>
      <x:c r="B45" s="84"/>
      <x:c r="C45" s="84"/>
      <x:c r="D45" s="84"/>
      <x:c r="E45" s="84"/>
      <x:c r="F45" s="84"/>
      <x:c r="G45" s="84"/>
      <x:c r="H45" s="84"/>
      <x:c r="I45" s="84"/>
      <x:c r="J45" s="84"/>
      <x:c r="K45" s="84"/>
      <x:c r="L45" s="84"/>
      <x:c r="M45" s="84"/>
      <x:c r="N45" s="84"/>
      <x:c r="O45" s="84"/>
      <x:c r="P45" s="84"/>
      <x:c r="Q45" s="84"/>
      <x:c r="R45" s="84"/>
      <x:c r="S45" s="84"/>
      <x:c r="T45" s="84"/>
      <x:c r="U45" s="84"/>
    </x:row>
    <x:row r="46">
      <x:c r="A46" s="84"/>
      <x:c r="B46" s="84"/>
      <x:c r="C46" s="84"/>
      <x:c r="D46" s="84"/>
      <x:c r="E46" s="84"/>
      <x:c r="F46" s="84"/>
      <x:c r="G46" s="84"/>
      <x:c r="H46" s="84"/>
      <x:c r="I46" s="84"/>
      <x:c r="J46" s="84"/>
      <x:c r="K46" s="84"/>
      <x:c r="L46" s="84"/>
      <x:c r="M46" s="84"/>
      <x:c r="N46" s="84"/>
      <x:c r="O46" s="84"/>
      <x:c r="P46" s="84"/>
      <x:c r="Q46" s="84"/>
      <x:c r="R46" s="84"/>
      <x:c r="S46" s="84"/>
      <x:c r="T46" s="84"/>
      <x:c r="U46" s="84"/>
    </x:row>
    <x:row r="47">
      <x:c r="A47" s="84"/>
      <x:c r="B47" s="84"/>
      <x:c r="C47" s="84"/>
      <x:c r="D47" s="84"/>
      <x:c r="E47" s="84"/>
      <x:c r="F47" s="84"/>
      <x:c r="G47" s="84"/>
      <x:c r="H47" s="84"/>
      <x:c r="I47" s="84"/>
      <x:c r="J47" s="84"/>
      <x:c r="K47" s="84"/>
      <x:c r="L47" s="84"/>
      <x:c r="M47" s="84"/>
      <x:c r="N47" s="84"/>
      <x:c r="O47" s="84"/>
      <x:c r="P47" s="84"/>
      <x:c r="Q47" s="84"/>
      <x:c r="R47" s="84"/>
      <x:c r="S47" s="84"/>
      <x:c r="T47" s="84"/>
      <x:c r="U47" s="84"/>
    </x:row>
    <x:row r="48">
      <x:c r="A48" s="84"/>
      <x:c r="B48" s="84"/>
      <x:c r="C48" s="84"/>
      <x:c r="D48" s="84"/>
      <x:c r="E48" s="84"/>
      <x:c r="F48" s="84"/>
      <x:c r="G48" s="84"/>
      <x:c r="H48" s="84"/>
      <x:c r="I48" s="84"/>
      <x:c r="J48" s="84"/>
      <x:c r="K48" s="84"/>
      <x:c r="L48" s="84"/>
      <x:c r="M48" s="84"/>
      <x:c r="N48" s="84"/>
      <x:c r="O48" s="84"/>
      <x:c r="P48" s="84"/>
      <x:c r="Q48" s="84"/>
      <x:c r="R48" s="84"/>
      <x:c r="S48" s="84"/>
      <x:c r="T48" s="84"/>
      <x:c r="U48" s="84"/>
    </x:row>
    <x:row r="49">
      <x:c r="A49" s="84"/>
      <x:c r="B49" s="84"/>
      <x:c r="C49" s="84"/>
      <x:c r="D49" s="84"/>
      <x:c r="E49" s="84"/>
      <x:c r="F49" s="84"/>
      <x:c r="G49" s="84"/>
      <x:c r="H49" s="84"/>
      <x:c r="I49" s="84"/>
      <x:c r="J49" s="84"/>
      <x:c r="K49" s="84"/>
      <x:c r="L49" s="84"/>
      <x:c r="M49" s="84"/>
      <x:c r="N49" s="84"/>
      <x:c r="O49" s="84"/>
      <x:c r="P49" s="84"/>
      <x:c r="Q49" s="84"/>
      <x:c r="R49" s="84"/>
      <x:c r="S49" s="84"/>
      <x:c r="T49" s="84"/>
      <x:c r="U49" s="84"/>
    </x:row>
    <x:row r="50">
      <x:c r="A50" s="84"/>
      <x:c r="B50" s="84"/>
      <x:c r="C50" s="84"/>
      <x:c r="D50" s="84"/>
      <x:c r="E50" s="84"/>
      <x:c r="F50" s="84"/>
      <x:c r="G50" s="84"/>
      <x:c r="H50" s="84"/>
      <x:c r="I50" s="84"/>
      <x:c r="J50" s="84"/>
      <x:c r="K50" s="84"/>
      <x:c r="L50" s="84"/>
      <x:c r="M50" s="84"/>
      <x:c r="N50" s="84"/>
      <x:c r="O50" s="84"/>
      <x:c r="P50" s="84"/>
      <x:c r="Q50" s="84"/>
      <x:c r="R50" s="84"/>
      <x:c r="S50" s="84"/>
      <x:c r="T50" s="84"/>
      <x:c r="U50" s="84"/>
    </x:row>
    <x:row r="51">
      <x:c r="A51" s="84"/>
      <x:c r="B51" s="84"/>
      <x:c r="C51" s="84"/>
      <x:c r="D51" s="84"/>
      <x:c r="E51" s="84"/>
      <x:c r="F51" s="84"/>
      <x:c r="G51" s="84"/>
      <x:c r="H51" s="84"/>
      <x:c r="I51" s="84"/>
      <x:c r="J51" s="84"/>
      <x:c r="K51" s="84"/>
      <x:c r="L51" s="84"/>
      <x:c r="M51" s="84"/>
      <x:c r="N51" s="84"/>
      <x:c r="O51" s="84"/>
      <x:c r="P51" s="84"/>
      <x:c r="Q51" s="84"/>
      <x:c r="R51" s="84"/>
      <x:c r="S51" s="84"/>
      <x:c r="T51" s="84"/>
      <x:c r="U51" s="84"/>
    </x:row>
    <x:row r="52">
      <x:c r="A52" s="84"/>
      <x:c r="B52" s="84"/>
      <x:c r="C52" s="84"/>
      <x:c r="D52" s="84"/>
      <x:c r="E52" s="84"/>
      <x:c r="F52" s="84"/>
      <x:c r="G52" s="84"/>
      <x:c r="H52" s="84"/>
      <x:c r="I52" s="84"/>
      <x:c r="J52" s="84"/>
      <x:c r="K52" s="84"/>
      <x:c r="L52" s="84"/>
      <x:c r="M52" s="84"/>
      <x:c r="N52" s="84"/>
      <x:c r="O52" s="84"/>
      <x:c r="P52" s="84"/>
      <x:c r="Q52" s="84"/>
      <x:c r="R52" s="84"/>
      <x:c r="S52" s="84"/>
      <x:c r="T52" s="84"/>
      <x:c r="U52" s="84"/>
    </x:row>
    <x:row r="53">
      <x:c r="A53" s="84"/>
      <x:c r="B53" s="84"/>
      <x:c r="C53" s="84"/>
      <x:c r="D53" s="84"/>
      <x:c r="E53" s="84"/>
      <x:c r="F53" s="84"/>
      <x:c r="G53" s="84"/>
      <x:c r="H53" s="84"/>
      <x:c r="I53" s="84"/>
      <x:c r="J53" s="84"/>
      <x:c r="K53" s="84"/>
      <x:c r="L53" s="84"/>
      <x:c r="M53" s="84"/>
      <x:c r="N53" s="84"/>
      <x:c r="O53" s="84"/>
      <x:c r="P53" s="84"/>
      <x:c r="Q53" s="84"/>
      <x:c r="R53" s="84"/>
      <x:c r="S53" s="84"/>
      <x:c r="T53" s="84"/>
      <x:c r="U53" s="84"/>
    </x:row>
    <x:row r="54">
      <x:c r="A54" s="84"/>
      <x:c r="B54" s="84"/>
      <x:c r="C54" s="84"/>
      <x:c r="D54" s="84"/>
      <x:c r="E54" s="84"/>
      <x:c r="F54" s="84"/>
      <x:c r="G54" s="84"/>
      <x:c r="H54" s="84"/>
      <x:c r="I54" s="84"/>
      <x:c r="J54" s="84"/>
      <x:c r="K54" s="84"/>
      <x:c r="L54" s="84"/>
      <x:c r="M54" s="84"/>
      <x:c r="N54" s="84"/>
      <x:c r="O54" s="84"/>
      <x:c r="P54" s="84"/>
      <x:c r="Q54" s="84"/>
      <x:c r="R54" s="84"/>
      <x:c r="S54" s="84"/>
      <x:c r="T54" s="84"/>
      <x:c r="U54" s="84"/>
    </x:row>
    <x:row r="55">
      <x:c r="A55" s="84"/>
      <x:c r="B55" s="84"/>
      <x:c r="C55" s="84"/>
      <x:c r="D55" s="84"/>
      <x:c r="E55" s="84"/>
      <x:c r="F55" s="84"/>
      <x:c r="G55" s="84"/>
      <x:c r="H55" s="84"/>
      <x:c r="I55" s="84"/>
      <x:c r="J55" s="84"/>
      <x:c r="K55" s="84"/>
      <x:c r="L55" s="84"/>
      <x:c r="M55" s="84"/>
      <x:c r="N55" s="84"/>
      <x:c r="O55" s="84"/>
      <x:c r="P55" s="84"/>
      <x:c r="Q55" s="84"/>
      <x:c r="R55" s="84"/>
      <x:c r="S55" s="84"/>
      <x:c r="T55" s="84"/>
      <x:c r="U55" s="84"/>
    </x:row>
    <x:row r="56">
      <x:c r="A56" s="84"/>
      <x:c r="B56" s="84"/>
      <x:c r="C56" s="84"/>
      <x:c r="D56" s="84"/>
      <x:c r="E56" s="84"/>
      <x:c r="F56" s="84"/>
      <x:c r="G56" s="84"/>
      <x:c r="H56" s="84"/>
      <x:c r="I56" s="84"/>
      <x:c r="J56" s="84"/>
      <x:c r="K56" s="84"/>
      <x:c r="L56" s="84"/>
      <x:c r="M56" s="84"/>
      <x:c r="N56" s="84"/>
      <x:c r="O56" s="84"/>
      <x:c r="P56" s="84"/>
      <x:c r="Q56" s="84"/>
      <x:c r="R56" s="84"/>
      <x:c r="S56" s="84"/>
      <x:c r="T56" s="84"/>
      <x:c r="U56" s="84"/>
    </x:row>
    <x:row r="57">
      <x:c r="A57" s="84"/>
      <x:c r="B57" s="84"/>
      <x:c r="C57" s="84"/>
      <x:c r="D57" s="84"/>
      <x:c r="E57" s="84"/>
      <x:c r="F57" s="84"/>
      <x:c r="G57" s="84"/>
      <x:c r="H57" s="84"/>
      <x:c r="I57" s="84"/>
      <x:c r="J57" s="84"/>
      <x:c r="K57" s="84"/>
      <x:c r="L57" s="84"/>
      <x:c r="M57" s="84"/>
      <x:c r="N57" s="84"/>
      <x:c r="O57" s="84"/>
      <x:c r="P57" s="84"/>
      <x:c r="Q57" s="84"/>
      <x:c r="R57" s="84"/>
      <x:c r="S57" s="84"/>
      <x:c r="T57" s="84"/>
      <x:c r="U57" s="84"/>
    </x:row>
    <x:row r="58">
      <x:c r="A58" s="84"/>
      <x:c r="B58" s="84"/>
      <x:c r="C58" s="84"/>
      <x:c r="D58" s="84"/>
      <x:c r="E58" s="84"/>
      <x:c r="F58" s="84"/>
      <x:c r="G58" s="84"/>
      <x:c r="H58" s="84"/>
      <x:c r="I58" s="84"/>
      <x:c r="J58" s="84"/>
      <x:c r="K58" s="84"/>
      <x:c r="L58" s="84"/>
      <x:c r="M58" s="84"/>
      <x:c r="N58" s="84"/>
      <x:c r="O58" s="84"/>
      <x:c r="P58" s="84"/>
      <x:c r="Q58" s="84"/>
      <x:c r="R58" s="84"/>
      <x:c r="S58" s="84"/>
      <x:c r="T58" s="84"/>
      <x:c r="U58" s="84"/>
    </x:row>
    <x:row r="59">
      <x:c r="A59" s="84"/>
      <x:c r="B59" s="84"/>
      <x:c r="C59" s="84"/>
      <x:c r="D59" s="84"/>
      <x:c r="E59" s="84"/>
      <x:c r="F59" s="84"/>
      <x:c r="G59" s="84"/>
      <x:c r="H59" s="84"/>
      <x:c r="I59" s="84"/>
      <x:c r="J59" s="84"/>
      <x:c r="K59" s="84"/>
      <x:c r="L59" s="84"/>
      <x:c r="M59" s="84"/>
      <x:c r="N59" s="84"/>
      <x:c r="O59" s="84"/>
      <x:c r="P59" s="84"/>
      <x:c r="Q59" s="84"/>
      <x:c r="R59" s="84"/>
      <x:c r="S59" s="84"/>
      <x:c r="T59" s="84"/>
      <x:c r="U59" s="84"/>
    </x:row>
    <x:row r="60">
      <x:c r="A60" s="84"/>
      <x:c r="B60" s="84"/>
      <x:c r="C60" s="84"/>
      <x:c r="D60" s="84"/>
      <x:c r="E60" s="84"/>
      <x:c r="F60" s="84"/>
      <x:c r="G60" s="84"/>
      <x:c r="H60" s="84"/>
      <x:c r="I60" s="84"/>
      <x:c r="J60" s="84"/>
      <x:c r="K60" s="84"/>
      <x:c r="L60" s="84"/>
      <x:c r="M60" s="84"/>
      <x:c r="N60" s="84"/>
      <x:c r="O60" s="84"/>
      <x:c r="P60" s="84"/>
      <x:c r="Q60" s="84"/>
      <x:c r="R60" s="84"/>
      <x:c r="S60" s="84"/>
      <x:c r="T60" s="84"/>
      <x:c r="U60" s="84"/>
    </x:row>
    <x:row r="61">
      <x:c r="A61" s="84"/>
      <x:c r="B61" s="84"/>
      <x:c r="C61" s="84"/>
      <x:c r="D61" s="84"/>
      <x:c r="E61" s="84"/>
      <x:c r="F61" s="84"/>
      <x:c r="G61" s="84"/>
      <x:c r="H61" s="84"/>
      <x:c r="I61" s="84"/>
      <x:c r="J61" s="84"/>
      <x:c r="K61" s="84"/>
      <x:c r="L61" s="84"/>
      <x:c r="M61" s="84"/>
      <x:c r="N61" s="84"/>
      <x:c r="O61" s="84"/>
      <x:c r="P61" s="84"/>
      <x:c r="Q61" s="84"/>
      <x:c r="R61" s="84"/>
      <x:c r="S61" s="84"/>
      <x:c r="T61" s="84"/>
      <x:c r="U61" s="84"/>
    </x:row>
    <x:row r="62">
      <x:c r="A62" s="84"/>
      <x:c r="B62" s="84"/>
      <x:c r="C62" s="84"/>
      <x:c r="D62" s="84"/>
      <x:c r="E62" s="84"/>
      <x:c r="F62" s="84"/>
      <x:c r="G62" s="84"/>
      <x:c r="H62" s="84"/>
      <x:c r="I62" s="84"/>
      <x:c r="J62" s="84"/>
      <x:c r="K62" s="84"/>
      <x:c r="L62" s="84"/>
      <x:c r="M62" s="84"/>
      <x:c r="N62" s="84"/>
      <x:c r="O62" s="84"/>
      <x:c r="P62" s="84"/>
      <x:c r="Q62" s="84"/>
      <x:c r="R62" s="84"/>
      <x:c r="S62" s="84"/>
      <x:c r="T62" s="84"/>
      <x:c r="U62" s="84"/>
    </x:row>
    <x:row r="63">
      <x:c r="A63" s="84"/>
      <x:c r="B63" s="84"/>
      <x:c r="C63" s="84"/>
      <x:c r="D63" s="84"/>
      <x:c r="E63" s="84"/>
      <x:c r="F63" s="84"/>
      <x:c r="G63" s="84"/>
      <x:c r="H63" s="84"/>
      <x:c r="I63" s="84"/>
      <x:c r="J63" s="84"/>
      <x:c r="K63" s="84"/>
      <x:c r="L63" s="84"/>
      <x:c r="M63" s="84"/>
      <x:c r="N63" s="84"/>
      <x:c r="O63" s="84"/>
      <x:c r="P63" s="84"/>
      <x:c r="Q63" s="84"/>
      <x:c r="R63" s="84"/>
      <x:c r="S63" s="84"/>
      <x:c r="T63" s="84"/>
      <x:c r="U63" s="84"/>
    </x:row>
    <x:row r="64">
      <x:c r="A64" s="84"/>
      <x:c r="B64" s="84"/>
      <x:c r="C64" s="84"/>
      <x:c r="D64" s="84"/>
      <x:c r="E64" s="84"/>
      <x:c r="F64" s="84"/>
      <x:c r="G64" s="84"/>
      <x:c r="H64" s="84"/>
      <x:c r="I64" s="84"/>
      <x:c r="J64" s="84"/>
      <x:c r="K64" s="84"/>
      <x:c r="L64" s="84"/>
      <x:c r="M64" s="84"/>
      <x:c r="N64" s="84"/>
      <x:c r="O64" s="84"/>
      <x:c r="P64" s="84"/>
      <x:c r="Q64" s="84"/>
      <x:c r="R64" s="84"/>
      <x:c r="S64" s="84"/>
      <x:c r="T64" s="84"/>
      <x:c r="U64" s="84"/>
    </x:row>
    <x:row r="65">
      <x:c r="A65" s="84"/>
      <x:c r="B65" s="84"/>
      <x:c r="C65" s="84"/>
      <x:c r="D65" s="84"/>
      <x:c r="E65" s="84"/>
      <x:c r="F65" s="84"/>
      <x:c r="G65" s="84"/>
      <x:c r="H65" s="84"/>
      <x:c r="I65" s="84"/>
      <x:c r="J65" s="84"/>
      <x:c r="K65" s="84"/>
      <x:c r="L65" s="84"/>
      <x:c r="M65" s="84"/>
      <x:c r="N65" s="84"/>
      <x:c r="O65" s="84"/>
      <x:c r="P65" s="84"/>
      <x:c r="Q65" s="84"/>
      <x:c r="R65" s="84"/>
      <x:c r="S65" s="84"/>
      <x:c r="T65" s="84"/>
      <x:c r="U65" s="84"/>
    </x:row>
    <x:row r="66">
      <x:c r="A66" s="84"/>
      <x:c r="B66" s="84"/>
      <x:c r="C66" s="84"/>
      <x:c r="D66" s="84"/>
      <x:c r="E66" s="84"/>
      <x:c r="F66" s="84"/>
      <x:c r="G66" s="84"/>
      <x:c r="H66" s="84"/>
      <x:c r="I66" s="84"/>
      <x:c r="J66" s="84"/>
      <x:c r="K66" s="84"/>
      <x:c r="L66" s="84"/>
      <x:c r="M66" s="84"/>
      <x:c r="N66" s="84"/>
      <x:c r="O66" s="84"/>
      <x:c r="P66" s="84"/>
      <x:c r="Q66" s="84"/>
      <x:c r="R66" s="84"/>
      <x:c r="S66" s="84"/>
      <x:c r="T66" s="84"/>
      <x:c r="U66" s="84"/>
    </x:row>
    <x:row r="67">
      <x:c r="A67" s="84"/>
      <x:c r="B67" s="84"/>
      <x:c r="C67" s="84"/>
      <x:c r="D67" s="84"/>
      <x:c r="E67" s="84"/>
      <x:c r="F67" s="84"/>
      <x:c r="G67" s="84"/>
      <x:c r="H67" s="84"/>
      <x:c r="I67" s="84"/>
      <x:c r="J67" s="84"/>
      <x:c r="K67" s="84"/>
      <x:c r="L67" s="84"/>
      <x:c r="M67" s="84"/>
      <x:c r="N67" s="84"/>
      <x:c r="O67" s="84"/>
      <x:c r="P67" s="84"/>
      <x:c r="Q67" s="84"/>
      <x:c r="R67" s="84"/>
      <x:c r="S67" s="84"/>
      <x:c r="T67" s="84"/>
      <x:c r="U67" s="84"/>
    </x:row>
    <x:row r="68">
      <x:c r="A68" s="84"/>
      <x:c r="B68" s="84"/>
      <x:c r="C68" s="84"/>
      <x:c r="D68" s="84"/>
      <x:c r="E68" s="84"/>
      <x:c r="F68" s="84"/>
      <x:c r="G68" s="84"/>
      <x:c r="H68" s="84"/>
      <x:c r="I68" s="84"/>
      <x:c r="J68" s="84"/>
      <x:c r="K68" s="84"/>
      <x:c r="L68" s="84"/>
      <x:c r="M68" s="84"/>
      <x:c r="N68" s="84"/>
      <x:c r="O68" s="84"/>
      <x:c r="P68" s="84"/>
      <x:c r="Q68" s="84"/>
      <x:c r="R68" s="84"/>
      <x:c r="S68" s="84"/>
      <x:c r="T68" s="84"/>
      <x:c r="U68" s="84"/>
    </x:row>
    <x:row r="69">
      <x:c r="A69" s="84"/>
      <x:c r="B69" s="84"/>
      <x:c r="C69" s="84"/>
      <x:c r="D69" s="84"/>
      <x:c r="E69" s="84"/>
      <x:c r="F69" s="84"/>
      <x:c r="G69" s="84"/>
      <x:c r="H69" s="84"/>
      <x:c r="I69" s="84"/>
      <x:c r="J69" s="84"/>
      <x:c r="K69" s="84"/>
      <x:c r="L69" s="84"/>
      <x:c r="M69" s="84"/>
      <x:c r="N69" s="84"/>
      <x:c r="O69" s="84"/>
      <x:c r="P69" s="84"/>
      <x:c r="Q69" s="84"/>
      <x:c r="R69" s="84"/>
      <x:c r="S69" s="84"/>
      <x:c r="T69" s="84"/>
      <x:c r="U69" s="84"/>
    </x:row>
    <x:row r="70">
      <x:c r="A70" s="84"/>
      <x:c r="B70" s="84"/>
      <x:c r="C70" s="84"/>
      <x:c r="D70" s="84"/>
      <x:c r="E70" s="84"/>
      <x:c r="F70" s="84"/>
      <x:c r="G70" s="84"/>
      <x:c r="H70" s="84"/>
      <x:c r="I70" s="84"/>
      <x:c r="J70" s="84"/>
      <x:c r="K70" s="84"/>
      <x:c r="L70" s="84"/>
      <x:c r="M70" s="84"/>
      <x:c r="N70" s="84"/>
      <x:c r="O70" s="84"/>
      <x:c r="P70" s="84"/>
      <x:c r="Q70" s="84"/>
      <x:c r="R70" s="84"/>
      <x:c r="S70" s="84"/>
      <x:c r="T70" s="84"/>
      <x:c r="U70" s="84"/>
    </x:row>
    <x:row r="71">
      <x:c r="A71" s="84"/>
      <x:c r="B71" s="84"/>
      <x:c r="C71" s="84"/>
      <x:c r="D71" s="84"/>
      <x:c r="E71" s="84"/>
      <x:c r="F71" s="84"/>
      <x:c r="G71" s="84"/>
      <x:c r="H71" s="84"/>
      <x:c r="I71" s="84"/>
      <x:c r="J71" s="84"/>
      <x:c r="K71" s="84"/>
      <x:c r="L71" s="84"/>
      <x:c r="M71" s="84"/>
      <x:c r="N71" s="84"/>
      <x:c r="O71" s="84"/>
      <x:c r="P71" s="84"/>
      <x:c r="Q71" s="84"/>
      <x:c r="R71" s="84"/>
      <x:c r="S71" s="84"/>
      <x:c r="T71" s="84"/>
      <x:c r="U71" s="84"/>
    </x:row>
    <x:row r="72">
      <x:c r="A72" s="84"/>
      <x:c r="B72" s="84"/>
      <x:c r="C72" s="84"/>
      <x:c r="D72" s="84"/>
      <x:c r="E72" s="84"/>
      <x:c r="F72" s="84"/>
      <x:c r="G72" s="84"/>
      <x:c r="H72" s="84"/>
      <x:c r="I72" s="84"/>
      <x:c r="J72" s="84"/>
      <x:c r="K72" s="84"/>
      <x:c r="L72" s="84"/>
      <x:c r="M72" s="84"/>
      <x:c r="N72" s="84"/>
      <x:c r="O72" s="84"/>
      <x:c r="P72" s="84"/>
      <x:c r="Q72" s="84"/>
      <x:c r="R72" s="84"/>
      <x:c r="S72" s="84"/>
      <x:c r="T72" s="84"/>
      <x:c r="U72" s="84"/>
    </x:row>
    <x:row r="73">
      <x:c r="A73" s="84"/>
      <x:c r="B73" s="84"/>
      <x:c r="C73" s="84"/>
      <x:c r="D73" s="84"/>
      <x:c r="E73" s="84"/>
      <x:c r="F73" s="84"/>
      <x:c r="G73" s="84"/>
      <x:c r="H73" s="84"/>
      <x:c r="I73" s="84"/>
      <x:c r="J73" s="84"/>
      <x:c r="K73" s="84"/>
      <x:c r="L73" s="84"/>
      <x:c r="M73" s="84"/>
      <x:c r="N73" s="84"/>
      <x:c r="O73" s="84"/>
      <x:c r="P73" s="84"/>
      <x:c r="Q73" s="84"/>
      <x:c r="R73" s="84"/>
      <x:c r="S73" s="84"/>
      <x:c r="T73" s="84"/>
      <x:c r="U73" s="84"/>
    </x:row>
    <x:row r="74">
      <x:c r="A74" s="84"/>
      <x:c r="B74" s="84"/>
      <x:c r="C74" s="84"/>
      <x:c r="D74" s="84"/>
      <x:c r="E74" s="84"/>
      <x:c r="F74" s="84"/>
      <x:c r="G74" s="84"/>
      <x:c r="H74" s="84"/>
      <x:c r="I74" s="84"/>
      <x:c r="J74" s="84"/>
      <x:c r="K74" s="84"/>
      <x:c r="L74" s="84"/>
      <x:c r="M74" s="84"/>
      <x:c r="N74" s="84"/>
      <x:c r="O74" s="84"/>
      <x:c r="P74" s="84"/>
      <x:c r="Q74" s="84"/>
      <x:c r="R74" s="84"/>
      <x:c r="S74" s="84"/>
      <x:c r="T74" s="84"/>
      <x:c r="U74" s="84"/>
    </x:row>
    <x:row r="75">
      <x:c r="A75" s="84"/>
      <x:c r="B75" s="84"/>
      <x:c r="C75" s="84"/>
      <x:c r="D75" s="84"/>
      <x:c r="E75" s="84"/>
      <x:c r="F75" s="84"/>
      <x:c r="G75" s="84"/>
      <x:c r="H75" s="84"/>
      <x:c r="I75" s="84"/>
      <x:c r="J75" s="84"/>
      <x:c r="K75" s="84"/>
      <x:c r="L75" s="84"/>
      <x:c r="M75" s="84"/>
      <x:c r="N75" s="84"/>
      <x:c r="O75" s="84"/>
      <x:c r="P75" s="84"/>
      <x:c r="Q75" s="84"/>
      <x:c r="R75" s="84"/>
      <x:c r="S75" s="84"/>
      <x:c r="T75" s="84"/>
      <x:c r="U75" s="84"/>
    </x:row>
    <x:row r="76">
      <x:c r="A76" s="84"/>
      <x:c r="B76" s="84"/>
      <x:c r="C76" s="84"/>
      <x:c r="D76" s="84"/>
      <x:c r="E76" s="84"/>
      <x:c r="F76" s="84"/>
      <x:c r="G76" s="84"/>
      <x:c r="H76" s="84"/>
      <x:c r="I76" s="84"/>
      <x:c r="J76" s="84"/>
      <x:c r="K76" s="84"/>
      <x:c r="L76" s="84"/>
      <x:c r="M76" s="84"/>
      <x:c r="N76" s="84"/>
      <x:c r="O76" s="84"/>
      <x:c r="P76" s="84"/>
      <x:c r="Q76" s="84"/>
      <x:c r="R76" s="84"/>
      <x:c r="S76" s="84"/>
      <x:c r="T76" s="84"/>
      <x:c r="U76" s="84"/>
    </x:row>
    <x:row r="77">
      <x:c r="A77" s="84"/>
      <x:c r="B77" s="84"/>
      <x:c r="C77" s="84"/>
      <x:c r="D77" s="84"/>
      <x:c r="E77" s="84"/>
      <x:c r="F77" s="84"/>
      <x:c r="G77" s="84"/>
      <x:c r="H77" s="84"/>
      <x:c r="I77" s="84"/>
      <x:c r="J77" s="84"/>
      <x:c r="K77" s="84"/>
      <x:c r="L77" s="84"/>
      <x:c r="M77" s="84"/>
      <x:c r="N77" s="84"/>
      <x:c r="O77" s="84"/>
      <x:c r="P77" s="84"/>
      <x:c r="Q77" s="84"/>
      <x:c r="R77" s="84"/>
      <x:c r="S77" s="84"/>
      <x:c r="T77" s="84"/>
      <x:c r="U77" s="84"/>
    </x:row>
    <x:row r="78">
      <x:c r="A78" s="84"/>
      <x:c r="B78" s="84"/>
      <x:c r="C78" s="84"/>
      <x:c r="D78" s="84"/>
      <x:c r="E78" s="84"/>
      <x:c r="F78" s="84"/>
      <x:c r="G78" s="84"/>
      <x:c r="H78" s="84"/>
      <x:c r="I78" s="84"/>
      <x:c r="J78" s="84"/>
      <x:c r="K78" s="84"/>
      <x:c r="L78" s="84"/>
      <x:c r="M78" s="84"/>
      <x:c r="N78" s="84"/>
      <x:c r="O78" s="84"/>
      <x:c r="P78" s="84"/>
      <x:c r="Q78" s="84"/>
      <x:c r="R78" s="84"/>
      <x:c r="S78" s="84"/>
      <x:c r="T78" s="84"/>
      <x:c r="U78" s="84"/>
    </x:row>
    <x:row r="79">
      <x:c r="A79" s="84"/>
      <x:c r="B79" s="84"/>
      <x:c r="C79" s="84"/>
      <x:c r="D79" s="84"/>
      <x:c r="E79" s="84"/>
      <x:c r="F79" s="84"/>
      <x:c r="G79" s="84"/>
      <x:c r="H79" s="84"/>
      <x:c r="I79" s="84"/>
      <x:c r="J79" s="84"/>
      <x:c r="K79" s="84"/>
      <x:c r="L79" s="84"/>
      <x:c r="M79" s="84"/>
      <x:c r="N79" s="84"/>
      <x:c r="O79" s="84"/>
      <x:c r="P79" s="84"/>
      <x:c r="Q79" s="84"/>
      <x:c r="R79" s="84"/>
      <x:c r="S79" s="84"/>
      <x:c r="T79" s="84"/>
      <x:c r="U79" s="84"/>
    </x:row>
    <x:row r="80">
      <x:c r="A80" s="84"/>
      <x:c r="B80" s="84"/>
      <x:c r="C80" s="84"/>
      <x:c r="D80" s="84"/>
      <x:c r="E80" s="84"/>
      <x:c r="F80" s="84"/>
      <x:c r="G80" s="84"/>
      <x:c r="H80" s="84"/>
      <x:c r="I80" s="84"/>
      <x:c r="J80" s="84"/>
      <x:c r="K80" s="84"/>
      <x:c r="L80" s="84"/>
      <x:c r="M80" s="84"/>
      <x:c r="N80" s="84"/>
      <x:c r="O80" s="84"/>
      <x:c r="P80" s="84"/>
      <x:c r="Q80" s="84"/>
      <x:c r="R80" s="84"/>
      <x:c r="S80" s="84"/>
      <x:c r="T80" s="84"/>
      <x:c r="U80" s="84"/>
    </x:row>
    <x:row r="81">
      <x:c r="A81" s="84"/>
      <x:c r="B81" s="84"/>
      <x:c r="C81" s="84"/>
      <x:c r="D81" s="84"/>
      <x:c r="E81" s="84"/>
      <x:c r="F81" s="84"/>
      <x:c r="G81" s="84"/>
      <x:c r="H81" s="84"/>
      <x:c r="I81" s="84"/>
      <x:c r="J81" s="84"/>
      <x:c r="K81" s="84"/>
      <x:c r="L81" s="84"/>
      <x:c r="M81" s="84"/>
      <x:c r="N81" s="84"/>
      <x:c r="O81" s="84"/>
      <x:c r="P81" s="84"/>
      <x:c r="Q81" s="84"/>
      <x:c r="R81" s="84"/>
      <x:c r="S81" s="84"/>
      <x:c r="T81" s="84"/>
      <x:c r="U81" s="84"/>
    </x:row>
    <x:row r="82">
      <x:c r="A82" s="84"/>
      <x:c r="B82" s="84"/>
      <x:c r="C82" s="84"/>
      <x:c r="D82" s="84"/>
      <x:c r="E82" s="84"/>
      <x:c r="F82" s="84"/>
      <x:c r="G82" s="84"/>
      <x:c r="H82" s="84"/>
      <x:c r="I82" s="84"/>
      <x:c r="J82" s="84"/>
      <x:c r="K82" s="84"/>
      <x:c r="L82" s="84"/>
      <x:c r="M82" s="84"/>
      <x:c r="N82" s="84"/>
      <x:c r="O82" s="84"/>
      <x:c r="P82" s="84"/>
      <x:c r="Q82" s="84"/>
      <x:c r="R82" s="84"/>
      <x:c r="S82" s="84"/>
      <x:c r="T82" s="84"/>
      <x:c r="U82" s="84"/>
    </x:row>
    <x:row r="83">
      <x:c r="A83" s="84"/>
      <x:c r="B83" s="84"/>
      <x:c r="C83" s="84"/>
      <x:c r="D83" s="84"/>
      <x:c r="E83" s="84"/>
      <x:c r="F83" s="84"/>
      <x:c r="G83" s="84"/>
      <x:c r="H83" s="84"/>
      <x:c r="I83" s="84"/>
      <x:c r="J83" s="84"/>
      <x:c r="K83" s="84"/>
      <x:c r="L83" s="84"/>
      <x:c r="M83" s="84"/>
      <x:c r="N83" s="84"/>
      <x:c r="O83" s="84"/>
      <x:c r="P83" s="84"/>
      <x:c r="Q83" s="84"/>
      <x:c r="R83" s="84"/>
      <x:c r="S83" s="84"/>
      <x:c r="T83" s="84"/>
      <x:c r="U83" s="84"/>
    </x:row>
    <x:row r="84">
      <x:c r="A84" s="84"/>
      <x:c r="B84" s="84"/>
      <x:c r="C84" s="84"/>
      <x:c r="D84" s="84"/>
      <x:c r="E84" s="84"/>
      <x:c r="F84" s="84"/>
      <x:c r="G84" s="84"/>
      <x:c r="H84" s="84"/>
      <x:c r="I84" s="84"/>
      <x:c r="J84" s="84"/>
      <x:c r="K84" s="84"/>
      <x:c r="L84" s="84"/>
      <x:c r="M84" s="84"/>
      <x:c r="N84" s="84"/>
      <x:c r="O84" s="84"/>
      <x:c r="P84" s="84"/>
      <x:c r="Q84" s="84"/>
      <x:c r="R84" s="84"/>
      <x:c r="S84" s="84"/>
      <x:c r="T84" s="84"/>
      <x:c r="U84" s="84"/>
    </x:row>
    <x:row r="85">
      <x:c r="A85" s="84"/>
      <x:c r="B85" s="84"/>
      <x:c r="C85" s="84"/>
      <x:c r="D85" s="84"/>
      <x:c r="E85" s="84"/>
      <x:c r="F85" s="84"/>
      <x:c r="G85" s="84"/>
      <x:c r="H85" s="84"/>
      <x:c r="I85" s="84"/>
      <x:c r="J85" s="84"/>
      <x:c r="K85" s="84"/>
      <x:c r="L85" s="84"/>
      <x:c r="M85" s="84"/>
      <x:c r="N85" s="84"/>
      <x:c r="O85" s="84"/>
      <x:c r="P85" s="84"/>
      <x:c r="Q85" s="84"/>
      <x:c r="R85" s="84"/>
      <x:c r="S85" s="84"/>
      <x:c r="T85" s="84"/>
      <x:c r="U85" s="84"/>
    </x:row>
    <x:row r="86">
      <x:c r="A86" s="84"/>
      <x:c r="B86" s="84"/>
      <x:c r="C86" s="84"/>
      <x:c r="D86" s="84"/>
      <x:c r="E86" s="84"/>
      <x:c r="F86" s="84"/>
      <x:c r="G86" s="84"/>
      <x:c r="H86" s="84"/>
      <x:c r="I86" s="84"/>
      <x:c r="J86" s="84"/>
      <x:c r="K86" s="84"/>
      <x:c r="L86" s="84"/>
      <x:c r="M86" s="84"/>
      <x:c r="N86" s="84"/>
      <x:c r="O86" s="84"/>
      <x:c r="P86" s="84"/>
      <x:c r="Q86" s="84"/>
      <x:c r="R86" s="84"/>
      <x:c r="S86" s="84"/>
      <x:c r="T86" s="84"/>
      <x:c r="U86" s="84"/>
    </x:row>
    <x:row r="87">
      <x:c r="A87" s="84"/>
      <x:c r="B87" s="84"/>
      <x:c r="C87" s="84"/>
      <x:c r="D87" s="84"/>
      <x:c r="E87" s="84"/>
      <x:c r="F87" s="84"/>
      <x:c r="G87" s="84"/>
      <x:c r="H87" s="84"/>
      <x:c r="I87" s="84"/>
      <x:c r="J87" s="84"/>
      <x:c r="K87" s="84"/>
      <x:c r="L87" s="84"/>
      <x:c r="M87" s="84"/>
      <x:c r="N87" s="84"/>
      <x:c r="O87" s="84"/>
      <x:c r="P87" s="84"/>
      <x:c r="Q87" s="84"/>
      <x:c r="R87" s="84"/>
      <x:c r="S87" s="84"/>
      <x:c r="T87" s="84"/>
      <x:c r="U87" s="84"/>
    </x:row>
    <x:row r="88">
      <x:c r="A88" s="84"/>
      <x:c r="B88" s="84"/>
      <x:c r="C88" s="84"/>
      <x:c r="D88" s="84"/>
      <x:c r="E88" s="84"/>
      <x:c r="F88" s="84"/>
      <x:c r="G88" s="84"/>
      <x:c r="H88" s="84"/>
      <x:c r="I88" s="84"/>
      <x:c r="J88" s="84"/>
      <x:c r="K88" s="84"/>
      <x:c r="L88" s="84"/>
      <x:c r="M88" s="84"/>
      <x:c r="N88" s="84"/>
      <x:c r="O88" s="84"/>
      <x:c r="P88" s="84"/>
      <x:c r="Q88" s="84"/>
      <x:c r="R88" s="84"/>
      <x:c r="S88" s="84"/>
      <x:c r="T88" s="84"/>
      <x:c r="U88" s="84"/>
    </x:row>
    <x:row r="89">
      <x:c r="A89" s="84"/>
      <x:c r="B89" s="84"/>
      <x:c r="C89" s="84"/>
      <x:c r="D89" s="84"/>
      <x:c r="E89" s="84"/>
      <x:c r="F89" s="84"/>
      <x:c r="G89" s="84"/>
      <x:c r="H89" s="84"/>
      <x:c r="I89" s="84"/>
      <x:c r="J89" s="84"/>
      <x:c r="K89" s="84"/>
      <x:c r="L89" s="84"/>
      <x:c r="M89" s="84"/>
      <x:c r="N89" s="84"/>
      <x:c r="O89" s="84"/>
      <x:c r="P89" s="84"/>
      <x:c r="Q89" s="84"/>
      <x:c r="R89" s="84"/>
      <x:c r="S89" s="84"/>
      <x:c r="T89" s="84"/>
      <x:c r="U89" s="84"/>
    </x:row>
    <x:row r="90">
      <x:c r="A90" s="84"/>
      <x:c r="B90" s="84"/>
      <x:c r="C90" s="84"/>
      <x:c r="D90" s="84"/>
      <x:c r="E90" s="84"/>
      <x:c r="F90" s="84"/>
      <x:c r="G90" s="84"/>
      <x:c r="H90" s="84"/>
      <x:c r="I90" s="84"/>
      <x:c r="J90" s="84"/>
      <x:c r="K90" s="84"/>
      <x:c r="L90" s="84"/>
      <x:c r="M90" s="84"/>
      <x:c r="N90" s="84"/>
      <x:c r="O90" s="84"/>
      <x:c r="P90" s="84"/>
      <x:c r="Q90" s="84"/>
      <x:c r="R90" s="84"/>
      <x:c r="S90" s="84"/>
      <x:c r="T90" s="84"/>
      <x:c r="U90" s="84"/>
    </x:row>
    <x:row r="91">
      <x:c r="A91" s="84"/>
      <x:c r="B91" s="84"/>
      <x:c r="C91" s="84"/>
      <x:c r="D91" s="84"/>
      <x:c r="E91" s="84"/>
      <x:c r="F91" s="84"/>
      <x:c r="G91" s="84"/>
      <x:c r="H91" s="84"/>
      <x:c r="I91" s="84"/>
      <x:c r="J91" s="84"/>
      <x:c r="K91" s="84"/>
      <x:c r="L91" s="84"/>
      <x:c r="M91" s="84"/>
      <x:c r="N91" s="84"/>
      <x:c r="O91" s="84"/>
      <x:c r="P91" s="84"/>
      <x:c r="Q91" s="84"/>
      <x:c r="R91" s="84"/>
      <x:c r="S91" s="84"/>
      <x:c r="T91" s="84"/>
      <x:c r="U91" s="84"/>
    </x:row>
    <x:row r="92">
      <x:c r="A92" s="84"/>
      <x:c r="B92" s="84"/>
      <x:c r="C92" s="84"/>
      <x:c r="D92" s="84"/>
      <x:c r="E92" s="84"/>
      <x:c r="F92" s="84"/>
      <x:c r="G92" s="84"/>
      <x:c r="H92" s="84"/>
      <x:c r="I92" s="84"/>
      <x:c r="J92" s="84"/>
      <x:c r="K92" s="84"/>
      <x:c r="L92" s="84"/>
      <x:c r="M92" s="84"/>
      <x:c r="N92" s="84"/>
      <x:c r="O92" s="84"/>
      <x:c r="P92" s="84"/>
      <x:c r="Q92" s="84"/>
      <x:c r="R92" s="84"/>
      <x:c r="S92" s="84"/>
      <x:c r="T92" s="84"/>
      <x:c r="U92" s="84"/>
    </x:row>
    <x:row r="93">
      <x:c r="A93" s="84"/>
      <x:c r="B93" s="84"/>
      <x:c r="C93" s="84"/>
      <x:c r="D93" s="84"/>
      <x:c r="E93" s="84"/>
      <x:c r="F93" s="84"/>
      <x:c r="G93" s="84"/>
      <x:c r="H93" s="84"/>
      <x:c r="I93" s="84"/>
      <x:c r="J93" s="84"/>
      <x:c r="K93" s="84"/>
      <x:c r="L93" s="84"/>
      <x:c r="M93" s="84"/>
      <x:c r="N93" s="84"/>
      <x:c r="O93" s="84"/>
      <x:c r="P93" s="84"/>
      <x:c r="Q93" s="84"/>
      <x:c r="R93" s="84"/>
      <x:c r="S93" s="84"/>
      <x:c r="T93" s="84"/>
      <x:c r="U93" s="84"/>
    </x:row>
    <x:row r="94">
      <x:c r="A94" s="84"/>
      <x:c r="B94" s="84"/>
      <x:c r="C94" s="84"/>
      <x:c r="D94" s="84"/>
      <x:c r="E94" s="84"/>
      <x:c r="F94" s="84"/>
      <x:c r="G94" s="84"/>
      <x:c r="H94" s="84"/>
      <x:c r="I94" s="84"/>
      <x:c r="J94" s="84"/>
      <x:c r="K94" s="84"/>
      <x:c r="L94" s="84"/>
      <x:c r="M94" s="84"/>
      <x:c r="N94" s="84"/>
      <x:c r="O94" s="84"/>
      <x:c r="P94" s="84"/>
      <x:c r="Q94" s="84"/>
      <x:c r="R94" s="84"/>
      <x:c r="S94" s="84"/>
      <x:c r="T94" s="84"/>
      <x:c r="U94" s="84"/>
    </x:row>
    <x:row r="95">
      <x:c r="A95" s="84"/>
      <x:c r="B95" s="84"/>
      <x:c r="C95" s="84"/>
      <x:c r="D95" s="84"/>
      <x:c r="E95" s="84"/>
      <x:c r="F95" s="84"/>
      <x:c r="G95" s="84"/>
      <x:c r="H95" s="84"/>
      <x:c r="I95" s="84"/>
      <x:c r="J95" s="84"/>
      <x:c r="K95" s="84"/>
      <x:c r="L95" s="84"/>
      <x:c r="M95" s="84"/>
      <x:c r="N95" s="84"/>
      <x:c r="O95" s="84"/>
      <x:c r="P95" s="84"/>
      <x:c r="Q95" s="84"/>
      <x:c r="R95" s="84"/>
      <x:c r="S95" s="84"/>
      <x:c r="T95" s="84"/>
      <x:c r="U95" s="84"/>
    </x:row>
    <x:row r="96">
      <x:c r="A96" s="84"/>
      <x:c r="B96" s="84"/>
      <x:c r="C96" s="84"/>
      <x:c r="D96" s="84"/>
      <x:c r="E96" s="84"/>
      <x:c r="F96" s="84"/>
      <x:c r="G96" s="84"/>
      <x:c r="H96" s="84"/>
      <x:c r="I96" s="84"/>
      <x:c r="J96" s="84"/>
      <x:c r="K96" s="84"/>
      <x:c r="L96" s="84"/>
      <x:c r="M96" s="84"/>
      <x:c r="N96" s="84"/>
      <x:c r="O96" s="84"/>
      <x:c r="P96" s="84"/>
      <x:c r="Q96" s="84"/>
      <x:c r="R96" s="84"/>
      <x:c r="S96" s="84"/>
      <x:c r="T96" s="84"/>
      <x:c r="U96" s="84"/>
    </x:row>
    <x:row r="97">
      <x:c r="A97" s="84"/>
      <x:c r="B97" s="84"/>
      <x:c r="C97" s="84"/>
      <x:c r="D97" s="84"/>
      <x:c r="E97" s="84"/>
      <x:c r="F97" s="84"/>
      <x:c r="G97" s="84"/>
      <x:c r="H97" s="84"/>
      <x:c r="I97" s="84"/>
      <x:c r="J97" s="84"/>
      <x:c r="K97" s="84"/>
      <x:c r="L97" s="84"/>
      <x:c r="M97" s="84"/>
      <x:c r="N97" s="84"/>
      <x:c r="O97" s="84"/>
      <x:c r="P97" s="84"/>
      <x:c r="Q97" s="84"/>
      <x:c r="R97" s="84"/>
      <x:c r="S97" s="84"/>
      <x:c r="T97" s="84"/>
      <x:c r="U97" s="84"/>
    </x:row>
    <x:row r="98">
      <x:c r="A98" s="84"/>
      <x:c r="B98" s="84"/>
      <x:c r="C98" s="84"/>
      <x:c r="D98" s="84"/>
      <x:c r="E98" s="84"/>
      <x:c r="F98" s="84"/>
      <x:c r="G98" s="84"/>
      <x:c r="H98" s="84"/>
      <x:c r="I98" s="84"/>
      <x:c r="J98" s="84"/>
      <x:c r="K98" s="84"/>
      <x:c r="L98" s="84"/>
      <x:c r="M98" s="84"/>
      <x:c r="N98" s="84"/>
      <x:c r="O98" s="84"/>
      <x:c r="P98" s="84"/>
      <x:c r="Q98" s="84"/>
      <x:c r="R98" s="84"/>
      <x:c r="S98" s="84"/>
      <x:c r="T98" s="84"/>
      <x:c r="U98" s="84"/>
    </x:row>
    <x:row r="99">
      <x:c r="A99" s="84"/>
      <x:c r="B99" s="84"/>
      <x:c r="C99" s="84"/>
      <x:c r="D99" s="84"/>
      <x:c r="E99" s="84"/>
      <x:c r="F99" s="84"/>
      <x:c r="G99" s="84"/>
      <x:c r="H99" s="84"/>
      <x:c r="I99" s="84"/>
      <x:c r="J99" s="84"/>
      <x:c r="K99" s="84"/>
      <x:c r="L99" s="84"/>
      <x:c r="M99" s="84"/>
      <x:c r="N99" s="84"/>
      <x:c r="O99" s="84"/>
      <x:c r="P99" s="84"/>
      <x:c r="Q99" s="84"/>
      <x:c r="R99" s="84"/>
      <x:c r="S99" s="84"/>
      <x:c r="T99" s="84"/>
      <x:c r="U99" s="84"/>
    </x:row>
    <x:row r="100">
      <x:c r="A100" s="84"/>
      <x:c r="B100" s="84"/>
      <x:c r="C100" s="84"/>
      <x:c r="D100" s="84"/>
      <x:c r="E100" s="84"/>
      <x:c r="F100" s="84"/>
      <x:c r="G100" s="84"/>
      <x:c r="H100" s="84"/>
      <x:c r="I100" s="84"/>
      <x:c r="J100" s="84"/>
      <x:c r="K100" s="84"/>
      <x:c r="L100" s="84"/>
      <x:c r="M100" s="84"/>
      <x:c r="N100" s="84"/>
      <x:c r="O100" s="84"/>
      <x:c r="P100" s="84"/>
      <x:c r="Q100" s="84"/>
      <x:c r="R100" s="84"/>
      <x:c r="S100" s="84"/>
      <x:c r="T100" s="84"/>
      <x:c r="U100" s="84"/>
    </x:row>
    <x:row r="101">
      <x:c r="A101" s="84"/>
      <x:c r="B101" s="84"/>
      <x:c r="C101" s="84"/>
      <x:c r="D101" s="84"/>
      <x:c r="E101" s="84"/>
      <x:c r="F101" s="84"/>
      <x:c r="G101" s="84"/>
      <x:c r="H101" s="84"/>
      <x:c r="I101" s="84"/>
      <x:c r="J101" s="84"/>
      <x:c r="K101" s="84"/>
      <x:c r="L101" s="84"/>
      <x:c r="M101" s="84"/>
      <x:c r="N101" s="84"/>
      <x:c r="O101" s="84"/>
      <x:c r="P101" s="84"/>
      <x:c r="Q101" s="84"/>
      <x:c r="R101" s="84"/>
      <x:c r="S101" s="84"/>
      <x:c r="T101" s="84"/>
      <x:c r="U101" s="84"/>
    </x:row>
    <x:row r="102">
      <x:c r="A102" s="84"/>
      <x:c r="B102" s="84"/>
      <x:c r="C102" s="84"/>
      <x:c r="D102" s="84"/>
      <x:c r="E102" s="84"/>
      <x:c r="F102" s="84"/>
      <x:c r="G102" s="84"/>
      <x:c r="H102" s="84"/>
      <x:c r="I102" s="84"/>
      <x:c r="J102" s="84"/>
      <x:c r="K102" s="84"/>
      <x:c r="L102" s="84"/>
      <x:c r="M102" s="84"/>
      <x:c r="N102" s="84"/>
      <x:c r="O102" s="84"/>
      <x:c r="P102" s="84"/>
      <x:c r="Q102" s="84"/>
      <x:c r="R102" s="84"/>
      <x:c r="S102" s="84"/>
      <x:c r="T102" s="84"/>
      <x:c r="U102" s="84"/>
    </x:row>
    <x:row r="103">
      <x:c r="A103" s="84"/>
      <x:c r="B103" s="84"/>
      <x:c r="C103" s="84"/>
      <x:c r="D103" s="84"/>
      <x:c r="E103" s="84"/>
      <x:c r="F103" s="84"/>
      <x:c r="G103" s="84"/>
      <x:c r="H103" s="84"/>
      <x:c r="I103" s="84"/>
      <x:c r="J103" s="84"/>
      <x:c r="K103" s="84"/>
      <x:c r="L103" s="84"/>
      <x:c r="M103" s="84"/>
      <x:c r="N103" s="84"/>
      <x:c r="O103" s="84"/>
      <x:c r="P103" s="84"/>
      <x:c r="Q103" s="84"/>
      <x:c r="R103" s="84"/>
      <x:c r="S103" s="84"/>
      <x:c r="T103" s="84"/>
      <x:c r="U103" s="84"/>
    </x:row>
    <x:row r="104">
      <x:c r="A104" s="84"/>
      <x:c r="B104" s="84"/>
      <x:c r="C104" s="84"/>
      <x:c r="D104" s="84"/>
      <x:c r="E104" s="84"/>
      <x:c r="F104" s="84"/>
      <x:c r="G104" s="84"/>
      <x:c r="H104" s="84"/>
      <x:c r="I104" s="84"/>
      <x:c r="J104" s="84"/>
      <x:c r="K104" s="84"/>
      <x:c r="L104" s="84"/>
      <x:c r="M104" s="84"/>
      <x:c r="N104" s="84"/>
      <x:c r="O104" s="84"/>
      <x:c r="P104" s="84"/>
      <x:c r="Q104" s="84"/>
      <x:c r="R104" s="84"/>
      <x:c r="S104" s="84"/>
      <x:c r="T104" s="84"/>
      <x:c r="U104" s="84"/>
    </x:row>
    <x:row r="105">
      <x:c r="A105" s="84"/>
      <x:c r="B105" s="84"/>
      <x:c r="C105" s="84"/>
      <x:c r="D105" s="84"/>
      <x:c r="E105" s="84"/>
      <x:c r="F105" s="84"/>
      <x:c r="G105" s="84"/>
      <x:c r="H105" s="84"/>
      <x:c r="I105" s="84"/>
      <x:c r="J105" s="84"/>
      <x:c r="K105" s="84"/>
      <x:c r="L105" s="84"/>
      <x:c r="M105" s="84"/>
      <x:c r="N105" s="84"/>
      <x:c r="O105" s="84"/>
      <x:c r="P105" s="84"/>
      <x:c r="Q105" s="84"/>
      <x:c r="R105" s="84"/>
      <x:c r="S105" s="84"/>
      <x:c r="T105" s="84"/>
      <x:c r="U105" s="84"/>
    </x:row>
    <x:row r="106">
      <x:c r="A106" s="84"/>
      <x:c r="B106" s="84"/>
      <x:c r="C106" s="84"/>
      <x:c r="D106" s="84"/>
      <x:c r="E106" s="84"/>
      <x:c r="F106" s="84"/>
      <x:c r="G106" s="84"/>
      <x:c r="H106" s="84"/>
      <x:c r="I106" s="84"/>
      <x:c r="J106" s="84"/>
      <x:c r="K106" s="84"/>
      <x:c r="L106" s="84"/>
      <x:c r="M106" s="84"/>
      <x:c r="N106" s="84"/>
      <x:c r="O106" s="84"/>
      <x:c r="P106" s="84"/>
      <x:c r="Q106" s="84"/>
      <x:c r="R106" s="84"/>
      <x:c r="S106" s="84"/>
      <x:c r="T106" s="84"/>
      <x:c r="U106" s="84"/>
    </x:row>
    <x:row r="107">
      <x:c r="A107" s="84"/>
      <x:c r="B107" s="84"/>
      <x:c r="C107" s="84"/>
      <x:c r="D107" s="84"/>
      <x:c r="E107" s="84"/>
      <x:c r="F107" s="84"/>
      <x:c r="G107" s="84"/>
      <x:c r="H107" s="84"/>
      <x:c r="I107" s="84"/>
      <x:c r="J107" s="84"/>
      <x:c r="K107" s="84"/>
      <x:c r="L107" s="84"/>
      <x:c r="M107" s="84"/>
      <x:c r="N107" s="84"/>
      <x:c r="O107" s="84"/>
      <x:c r="P107" s="84"/>
      <x:c r="Q107" s="84"/>
      <x:c r="R107" s="84"/>
      <x:c r="S107" s="84"/>
      <x:c r="T107" s="84"/>
      <x:c r="U107" s="84"/>
    </x:row>
    <x:row r="108">
      <x:c r="A108" s="84"/>
      <x:c r="B108" s="84"/>
      <x:c r="C108" s="84"/>
      <x:c r="D108" s="84"/>
      <x:c r="E108" s="84"/>
      <x:c r="F108" s="84"/>
      <x:c r="G108" s="84"/>
      <x:c r="H108" s="84"/>
      <x:c r="I108" s="84"/>
      <x:c r="J108" s="84"/>
      <x:c r="K108" s="84"/>
      <x:c r="L108" s="84"/>
      <x:c r="M108" s="84"/>
      <x:c r="N108" s="84"/>
      <x:c r="O108" s="84"/>
      <x:c r="P108" s="84"/>
      <x:c r="Q108" s="84"/>
      <x:c r="R108" s="84"/>
      <x:c r="S108" s="84"/>
      <x:c r="T108" s="84"/>
      <x:c r="U108" s="84"/>
    </x:row>
    <x:row r="109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4"/>
      <x:c r="K109" s="84"/>
      <x:c r="L109" s="84"/>
      <x:c r="M109" s="84"/>
      <x:c r="N109" s="84"/>
      <x:c r="O109" s="84"/>
      <x:c r="P109" s="84"/>
      <x:c r="Q109" s="84"/>
      <x:c r="R109" s="84"/>
      <x:c r="S109" s="84"/>
      <x:c r="T109" s="84"/>
      <x:c r="U109" s="84"/>
    </x:row>
    <x:row r="110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4"/>
      <x:c r="K110" s="84"/>
      <x:c r="L110" s="84"/>
      <x:c r="M110" s="84"/>
      <x:c r="N110" s="84"/>
      <x:c r="O110" s="84"/>
      <x:c r="P110" s="84"/>
      <x:c r="Q110" s="84"/>
      <x:c r="R110" s="84"/>
      <x:c r="S110" s="84"/>
      <x:c r="T110" s="84"/>
      <x:c r="U110" s="84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6" hidden="0" customWidth="1"/>
  </x:cols>
  <x:sheetData>
    <x:row r="1">
      <x:c r="A1" s="141" t="str">
        <x:v>RESEARCH QUESTION — define the problem before collecting evidence</x:v>
      </x:c>
      <x:c r="B1" s="141"/>
      <x:c r="C1" s="141"/>
      <x:c r="D1" s="141"/>
      <x:c r="E1" s="141"/>
      <x:c r="F1" s="141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84"/>
      <x:c r="R1" s="84"/>
      <x:c r="S1" s="84"/>
      <x:c r="T1" s="84"/>
      <x:c r="U1" s="84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  <x:c r="S2" s="84"/>
      <x:c r="T2" s="84"/>
      <x:c r="U2" s="84"/>
    </x:row>
    <x:row r="3">
      <x:c r="A3" s="95" t="str">
        <x:v>Broad Topic</x:v>
      </x:c>
      <x:c r="B3" s="113" t="str"/>
      <x:c r="C3" s="84"/>
      <x:c r="D3" s="86" t="str">
        <x:v>QUESTION QA</x:v>
      </x:c>
      <x:c r="E3" s="86" t="str">
        <x:v>AUTO CHECK</x:v>
      </x:c>
      <x:c r="F3" s="84"/>
      <x:c r="G3" s="84"/>
      <x:c r="H3" s="84"/>
      <x:c r="I3" s="84"/>
      <x:c r="J3" s="84"/>
      <x:c r="K3" s="84"/>
      <x:c r="L3" s="84"/>
      <x:c r="M3" s="84"/>
      <x:c r="N3" s="84"/>
      <x:c r="O3" s="84"/>
      <x:c r="P3" s="84"/>
      <x:c r="Q3" s="84"/>
      <x:c r="R3" s="84"/>
      <x:c r="S3" s="84"/>
      <x:c r="T3" s="84"/>
      <x:c r="U3" s="84"/>
    </x:row>
    <x:row r="4">
      <x:c r="A4" s="95" t="str">
        <x:v>Specific Research Question</x:v>
      </x:c>
      <x:c r="B4" s="113" t="str"/>
      <x:c r="C4" s="84"/>
      <x:c r="D4" s="95" t="str">
        <x:v>Question Entered</x:v>
      </x:c>
      <x:c r="E4" s="90" t="str">
        <x:f>IF(B4="","ACTION NEEDED","OK")</x:f>
        <x:v>ACTION NEEDED</x:v>
      </x:c>
      <x:c r="F4" s="84"/>
      <x:c r="G4" s="84"/>
      <x:c r="H4" s="84"/>
      <x:c r="I4" s="84"/>
      <x:c r="J4" s="84"/>
      <x:c r="K4" s="84"/>
      <x:c r="L4" s="84"/>
      <x:c r="M4" s="84"/>
      <x:c r="N4" s="84"/>
      <x:c r="O4" s="84"/>
      <x:c r="P4" s="84"/>
      <x:c r="Q4" s="84"/>
      <x:c r="R4" s="84"/>
      <x:c r="S4" s="84"/>
      <x:c r="T4" s="84"/>
      <x:c r="U4" s="84"/>
    </x:row>
    <x:row r="5">
      <x:c r="A5" s="95" t="str">
        <x:v>Why This Matters</x:v>
      </x:c>
      <x:c r="B5" s="113" t="str"/>
      <x:c r="C5" s="84"/>
      <x:c r="D5" s="95" t="str">
        <x:v>Scope Entered</x:v>
      </x:c>
      <x:c r="E5" s="90" t="str">
        <x:f>IF(OR(B7="",B8=""),"ACTION NEEDED","OK")</x:f>
        <x:v>ACTION NEEDED</x:v>
      </x:c>
      <x:c r="F5" s="84"/>
      <x:c r="G5" s="84"/>
      <x:c r="H5" s="84"/>
      <x:c r="I5" s="84"/>
      <x:c r="J5" s="84"/>
      <x:c r="K5" s="84"/>
      <x:c r="L5" s="84"/>
      <x:c r="M5" s="84"/>
      <x:c r="N5" s="84"/>
      <x:c r="O5" s="84"/>
      <x:c r="P5" s="84"/>
      <x:c r="Q5" s="84"/>
      <x:c r="R5" s="84"/>
      <x:c r="S5" s="84"/>
      <x:c r="T5" s="84"/>
      <x:c r="U5" s="84"/>
    </x:row>
    <x:row r="6">
      <x:c r="A6" s="95" t="str">
        <x:v>Working Thesis / Purpose</x:v>
      </x:c>
      <x:c r="B6" s="113" t="str"/>
      <x:c r="C6" s="84"/>
      <x:c r="D6" s="95" t="str">
        <x:v>Timeframe Entered</x:v>
      </x:c>
      <x:c r="E6" s="90" t="str">
        <x:f>IF(B9="","REVIEW","OK")</x:f>
        <x:v>REVIEW</x:v>
      </x:c>
      <x:c r="F6" s="84"/>
      <x:c r="G6" s="84"/>
      <x:c r="H6" s="84"/>
      <x:c r="I6" s="84"/>
      <x:c r="J6" s="84"/>
      <x:c r="K6" s="84"/>
      <x:c r="L6" s="84"/>
      <x:c r="M6" s="84"/>
      <x:c r="N6" s="84"/>
      <x:c r="O6" s="84"/>
      <x:c r="P6" s="84"/>
      <x:c r="Q6" s="84"/>
      <x:c r="R6" s="84"/>
      <x:c r="S6" s="84"/>
      <x:c r="T6" s="84"/>
      <x:c r="U6" s="84"/>
    </x:row>
    <x:row r="7">
      <x:c r="A7" s="95" t="str">
        <x:v>Population / Corpus / Unit of Analysis</x:v>
      </x:c>
      <x:c r="B7" s="113" t="str"/>
      <x:c r="C7" s="84"/>
      <x:c r="D7" s="95" t="str">
        <x:v>Thesis/Purpose Entered</x:v>
      </x:c>
      <x:c r="E7" s="90" t="str">
        <x:f>IF(B6="","ACTION NEEDED","OK")</x:f>
        <x:v>ACTION NEEDED</x:v>
      </x:c>
      <x:c r="F7" s="84"/>
      <x:c r="G7" s="84"/>
      <x:c r="H7" s="84"/>
      <x:c r="I7" s="84"/>
      <x:c r="J7" s="84"/>
      <x:c r="K7" s="84"/>
      <x:c r="L7" s="84"/>
      <x:c r="M7" s="84"/>
      <x:c r="N7" s="84"/>
      <x:c r="O7" s="84"/>
      <x:c r="P7" s="84"/>
      <x:c r="Q7" s="84"/>
      <x:c r="R7" s="84"/>
      <x:c r="S7" s="84"/>
      <x:c r="T7" s="84"/>
      <x:c r="U7" s="84"/>
    </x:row>
    <x:row r="8">
      <x:c r="A8" s="95" t="str">
        <x:v>Context / Setting</x:v>
      </x:c>
      <x:c r="B8" s="113" t="str"/>
      <x:c r="C8" s="84"/>
      <x:c r="D8" s="95" t="str">
        <x:v>Counterevidence Planned</x:v>
      </x:c>
      <x:c r="E8" s="90" t="str">
        <x:f>IF(B11="","REVIEW","OK")</x:f>
        <x:v>REVIEW</x:v>
      </x:c>
      <x:c r="F8" s="84"/>
      <x:c r="G8" s="84"/>
      <x:c r="H8" s="84"/>
      <x:c r="I8" s="84"/>
      <x:c r="J8" s="84"/>
      <x:c r="K8" s="84"/>
      <x:c r="L8" s="84"/>
      <x:c r="M8" s="84"/>
      <x:c r="N8" s="84"/>
      <x:c r="O8" s="84"/>
      <x:c r="P8" s="84"/>
      <x:c r="Q8" s="84"/>
      <x:c r="R8" s="84"/>
      <x:c r="S8" s="84"/>
      <x:c r="T8" s="84"/>
      <x:c r="U8" s="84"/>
    </x:row>
    <x:row r="9">
      <x:c r="A9" s="95" t="str">
        <x:v>Timeframe</x:v>
      </x:c>
      <x:c r="B9" s="113" t="str"/>
      <x:c r="C9" s="84"/>
      <x:c r="D9" s="84"/>
      <x:c r="E9" s="84"/>
      <x:c r="F9" s="84"/>
      <x:c r="G9" s="84"/>
      <x:c r="H9" s="84"/>
      <x:c r="I9" s="84"/>
      <x:c r="J9" s="84"/>
      <x:c r="K9" s="84"/>
      <x:c r="L9" s="84"/>
      <x:c r="M9" s="84"/>
      <x:c r="N9" s="84"/>
      <x:c r="O9" s="84"/>
      <x:c r="P9" s="84"/>
      <x:c r="Q9" s="84"/>
      <x:c r="R9" s="84"/>
      <x:c r="S9" s="84"/>
      <x:c r="T9" s="84"/>
      <x:c r="U9" s="84"/>
    </x:row>
    <x:row r="10">
      <x:c r="A10" s="95" t="str">
        <x:v>Key Concepts / Variables</x:v>
      </x:c>
      <x:c r="B10" s="113" t="str"/>
      <x:c r="C10" s="84"/>
      <x:c r="D10" s="84"/>
      <x:c r="E10" s="84"/>
      <x:c r="F10" s="84"/>
      <x:c r="G10" s="84"/>
      <x:c r="H10" s="84"/>
      <x:c r="I10" s="84"/>
      <x:c r="J10" s="84"/>
      <x:c r="K10" s="84"/>
      <x:c r="L10" s="84"/>
      <x:c r="M10" s="84"/>
      <x:c r="N10" s="84"/>
      <x:c r="O10" s="84"/>
      <x:c r="P10" s="84"/>
      <x:c r="Q10" s="84"/>
      <x:c r="R10" s="84"/>
      <x:c r="S10" s="84"/>
      <x:c r="T10" s="84"/>
      <x:c r="U10" s="84"/>
    </x:row>
    <x:row r="11">
      <x:c r="A11" s="95" t="str">
        <x:v>Likely Counterargument / Alternative Explanation</x:v>
      </x:c>
      <x:c r="B11" s="113" t="str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84"/>
      <x:c r="P11" s="84"/>
      <x:c r="Q11" s="84"/>
      <x:c r="R11" s="84"/>
      <x:c r="S11" s="84"/>
      <x:c r="T11" s="84"/>
      <x:c r="U11" s="84"/>
    </x:row>
    <x:row r="12">
      <x:c r="A12" s="95" t="str">
        <x:v>What Evidence Would Change My Mind?</x:v>
      </x:c>
      <x:c r="B12" s="113" t="str"/>
      <x:c r="C12" s="84"/>
      <x:c r="D12" s="84"/>
      <x:c r="E12" s="84"/>
      <x:c r="F12" s="84"/>
      <x:c r="G12" s="84"/>
      <x:c r="H12" s="84"/>
      <x:c r="I12" s="84"/>
      <x:c r="J12" s="84"/>
      <x:c r="K12" s="84"/>
      <x:c r="L12" s="84"/>
      <x:c r="M12" s="84"/>
      <x:c r="N12" s="84"/>
      <x:c r="O12" s="84"/>
      <x:c r="P12" s="84"/>
      <x:c r="Q12" s="84"/>
      <x:c r="R12" s="84"/>
      <x:c r="S12" s="84"/>
      <x:c r="T12" s="84"/>
      <x:c r="U12" s="84"/>
    </x:row>
    <x:row r="13">
      <x:c r="A13" s="84"/>
      <x:c r="B13" s="84"/>
      <x:c r="C13" s="84"/>
      <x:c r="D13" s="84"/>
      <x:c r="E13" s="84"/>
      <x:c r="F13" s="84"/>
      <x:c r="G13" s="84"/>
      <x:c r="H13" s="84"/>
      <x:c r="I13" s="84"/>
      <x:c r="J13" s="84"/>
      <x:c r="K13" s="84"/>
      <x:c r="L13" s="84"/>
      <x:c r="M13" s="84"/>
      <x:c r="N13" s="84"/>
      <x:c r="O13" s="84"/>
      <x:c r="P13" s="84"/>
      <x:c r="Q13" s="84"/>
      <x:c r="R13" s="84"/>
      <x:c r="S13" s="84"/>
      <x:c r="T13" s="84"/>
      <x:c r="U13" s="84"/>
    </x:row>
    <x:row r="14">
      <x:c r="A14" s="84"/>
      <x:c r="B14" s="84"/>
      <x:c r="C14" s="84"/>
      <x:c r="D14" s="84"/>
      <x:c r="E14" s="84"/>
      <x:c r="F14" s="84"/>
      <x:c r="G14" s="84"/>
      <x:c r="H14" s="84"/>
      <x:c r="I14" s="84"/>
      <x:c r="J14" s="84"/>
      <x:c r="K14" s="84"/>
      <x:c r="L14" s="84"/>
      <x:c r="M14" s="84"/>
      <x:c r="N14" s="84"/>
      <x:c r="O14" s="84"/>
      <x:c r="P14" s="84"/>
      <x:c r="Q14" s="84"/>
      <x:c r="R14" s="84"/>
      <x:c r="S14" s="84"/>
      <x:c r="T14" s="84"/>
      <x:c r="U14" s="84"/>
    </x:row>
    <x:row r="15">
      <x:c r="A15" s="84"/>
      <x:c r="B15" s="84"/>
      <x:c r="C15" s="84"/>
      <x:c r="D15" s="84"/>
      <x:c r="E15" s="84"/>
      <x:c r="F15" s="84"/>
      <x:c r="G15" s="84"/>
      <x:c r="H15" s="84"/>
      <x:c r="I15" s="84"/>
      <x:c r="J15" s="84"/>
      <x:c r="K15" s="84"/>
      <x:c r="L15" s="84"/>
      <x:c r="M15" s="84"/>
      <x:c r="N15" s="84"/>
      <x:c r="O15" s="84"/>
      <x:c r="P15" s="84"/>
      <x:c r="Q15" s="84"/>
      <x:c r="R15" s="84"/>
      <x:c r="S15" s="84"/>
      <x:c r="T15" s="84"/>
      <x:c r="U15" s="84"/>
    </x:row>
    <x:row r="16">
      <x:c r="A16" s="84"/>
      <x:c r="B16" s="84"/>
      <x:c r="C16" s="84"/>
      <x:c r="D16" s="84"/>
      <x:c r="E16" s="84"/>
      <x:c r="F16" s="84"/>
      <x:c r="G16" s="84"/>
      <x:c r="H16" s="84"/>
      <x:c r="I16" s="84"/>
      <x:c r="J16" s="84"/>
      <x:c r="K16" s="84"/>
      <x:c r="L16" s="84"/>
      <x:c r="M16" s="84"/>
      <x:c r="N16" s="84"/>
      <x:c r="O16" s="84"/>
      <x:c r="P16" s="84"/>
      <x:c r="Q16" s="84"/>
      <x:c r="R16" s="84"/>
      <x:c r="S16" s="84"/>
      <x:c r="T16" s="84"/>
      <x:c r="U16" s="84"/>
    </x:row>
    <x:row r="17">
      <x:c r="A17" s="84"/>
      <x:c r="B17" s="84"/>
      <x:c r="C17" s="84"/>
      <x:c r="D17" s="84"/>
      <x:c r="E17" s="84"/>
      <x:c r="F17" s="84"/>
      <x:c r="G17" s="84"/>
      <x:c r="H17" s="84"/>
      <x:c r="I17" s="84"/>
      <x:c r="J17" s="84"/>
      <x:c r="K17" s="84"/>
      <x:c r="L17" s="84"/>
      <x:c r="M17" s="84"/>
      <x:c r="N17" s="84"/>
      <x:c r="O17" s="84"/>
      <x:c r="P17" s="84"/>
      <x:c r="Q17" s="84"/>
      <x:c r="R17" s="84"/>
      <x:c r="S17" s="84"/>
      <x:c r="T17" s="84"/>
      <x:c r="U17" s="84"/>
    </x:row>
    <x:row r="18">
      <x:c r="A18" s="84"/>
      <x:c r="B18" s="84"/>
      <x:c r="C18" s="84"/>
      <x:c r="D18" s="84"/>
      <x:c r="E18" s="84"/>
      <x:c r="F18" s="84"/>
      <x:c r="G18" s="84"/>
      <x:c r="H18" s="84"/>
      <x:c r="I18" s="84"/>
      <x:c r="J18" s="84"/>
      <x:c r="K18" s="84"/>
      <x:c r="L18" s="84"/>
      <x:c r="M18" s="84"/>
      <x:c r="N18" s="84"/>
      <x:c r="O18" s="84"/>
      <x:c r="P18" s="84"/>
      <x:c r="Q18" s="84"/>
      <x:c r="R18" s="84"/>
      <x:c r="S18" s="84"/>
      <x:c r="T18" s="84"/>
      <x:c r="U18" s="84"/>
    </x:row>
    <x:row r="19">
      <x:c r="A19" s="84"/>
      <x:c r="B19" s="84"/>
      <x:c r="C19" s="84"/>
      <x:c r="D19" s="84"/>
      <x:c r="E19" s="84"/>
      <x:c r="F19" s="84"/>
      <x:c r="G19" s="84"/>
      <x:c r="H19" s="84"/>
      <x:c r="I19" s="84"/>
      <x:c r="J19" s="84"/>
      <x:c r="K19" s="84"/>
      <x:c r="L19" s="84"/>
      <x:c r="M19" s="84"/>
      <x:c r="N19" s="84"/>
      <x:c r="O19" s="84"/>
      <x:c r="P19" s="84"/>
      <x:c r="Q19" s="84"/>
      <x:c r="R19" s="84"/>
      <x:c r="S19" s="84"/>
      <x:c r="T19" s="84"/>
      <x:c r="U19" s="84"/>
    </x:row>
    <x:row r="20">
      <x:c r="A20" s="84"/>
      <x:c r="B20" s="84"/>
      <x:c r="C20" s="84"/>
      <x:c r="D20" s="84"/>
      <x:c r="E20" s="84"/>
      <x:c r="F20" s="84"/>
      <x:c r="G20" s="84"/>
      <x:c r="H20" s="84"/>
      <x:c r="I20" s="84"/>
      <x:c r="J20" s="84"/>
      <x:c r="K20" s="84"/>
      <x:c r="L20" s="84"/>
      <x:c r="M20" s="84"/>
      <x:c r="N20" s="84"/>
      <x:c r="O20" s="84"/>
      <x:c r="P20" s="84"/>
      <x:c r="Q20" s="84"/>
      <x:c r="R20" s="84"/>
      <x:c r="S20" s="84"/>
      <x:c r="T20" s="84"/>
      <x:c r="U20" s="84"/>
    </x:row>
    <x:row r="21">
      <x:c r="A21" s="84"/>
      <x:c r="B21" s="84"/>
      <x:c r="C21" s="84"/>
      <x:c r="D21" s="84"/>
      <x:c r="E21" s="84"/>
      <x:c r="F21" s="84"/>
      <x:c r="G21" s="84"/>
      <x:c r="H21" s="84"/>
      <x:c r="I21" s="84"/>
      <x:c r="J21" s="84"/>
      <x:c r="K21" s="84"/>
      <x:c r="L21" s="84"/>
      <x:c r="M21" s="84"/>
      <x:c r="N21" s="84"/>
      <x:c r="O21" s="84"/>
      <x:c r="P21" s="84"/>
      <x:c r="Q21" s="84"/>
      <x:c r="R21" s="84"/>
      <x:c r="S21" s="84"/>
      <x:c r="T21" s="84"/>
      <x:c r="U21" s="84"/>
    </x:row>
    <x:row r="22">
      <x:c r="A22" s="84"/>
      <x:c r="B22" s="84"/>
      <x:c r="C22" s="84"/>
      <x:c r="D22" s="84"/>
      <x:c r="E22" s="84"/>
      <x:c r="F22" s="84"/>
      <x:c r="G22" s="84"/>
      <x:c r="H22" s="84"/>
      <x:c r="I22" s="84"/>
      <x:c r="J22" s="84"/>
      <x:c r="K22" s="84"/>
      <x:c r="L22" s="84"/>
      <x:c r="M22" s="84"/>
      <x:c r="N22" s="84"/>
      <x:c r="O22" s="84"/>
      <x:c r="P22" s="84"/>
      <x:c r="Q22" s="84"/>
      <x:c r="R22" s="84"/>
      <x:c r="S22" s="84"/>
      <x:c r="T22" s="84"/>
      <x:c r="U22" s="84"/>
    </x:row>
    <x:row r="23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  <x:c r="K23" s="84"/>
      <x:c r="L23" s="84"/>
      <x:c r="M23" s="84"/>
      <x:c r="N23" s="84"/>
      <x:c r="O23" s="84"/>
      <x:c r="P23" s="84"/>
      <x:c r="Q23" s="84"/>
      <x:c r="R23" s="84"/>
      <x:c r="S23" s="84"/>
      <x:c r="T23" s="84"/>
      <x:c r="U23" s="84"/>
    </x:row>
    <x:row r="24">
      <x:c r="A24" s="84"/>
      <x:c r="B24" s="84"/>
      <x:c r="C24" s="84"/>
      <x:c r="D24" s="84"/>
      <x:c r="E24" s="84"/>
      <x:c r="F24" s="84"/>
      <x:c r="G24" s="84"/>
      <x:c r="H24" s="84"/>
      <x:c r="I24" s="84"/>
      <x:c r="J24" s="84"/>
      <x:c r="K24" s="84"/>
      <x:c r="L24" s="84"/>
      <x:c r="M24" s="84"/>
      <x:c r="N24" s="84"/>
      <x:c r="O24" s="84"/>
      <x:c r="P24" s="84"/>
      <x:c r="Q24" s="84"/>
      <x:c r="R24" s="84"/>
      <x:c r="S24" s="84"/>
      <x:c r="T24" s="84"/>
      <x:c r="U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  <x:c r="K25" s="84"/>
      <x:c r="L25" s="84"/>
      <x:c r="M25" s="84"/>
      <x:c r="N25" s="84"/>
      <x:c r="O25" s="84"/>
      <x:c r="P25" s="84"/>
      <x:c r="Q25" s="84"/>
      <x:c r="R25" s="84"/>
      <x:c r="S25" s="84"/>
      <x:c r="T25" s="84"/>
      <x:c r="U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  <x:c r="K26" s="84"/>
      <x:c r="L26" s="84"/>
      <x:c r="M26" s="84"/>
      <x:c r="N26" s="84"/>
      <x:c r="O26" s="84"/>
      <x:c r="P26" s="84"/>
      <x:c r="Q26" s="84"/>
      <x:c r="R26" s="84"/>
      <x:c r="S26" s="84"/>
      <x:c r="T26" s="84"/>
      <x:c r="U26" s="84"/>
    </x:row>
    <x:row r="27">
      <x:c r="A27" s="84"/>
      <x:c r="B27" s="84"/>
      <x:c r="C27" s="84"/>
      <x:c r="D27" s="84"/>
      <x:c r="E27" s="84"/>
      <x:c r="F27" s="84"/>
      <x:c r="G27" s="84"/>
      <x:c r="H27" s="84"/>
      <x:c r="I27" s="84"/>
      <x:c r="J27" s="84"/>
      <x:c r="K27" s="84"/>
      <x:c r="L27" s="84"/>
      <x:c r="M27" s="84"/>
      <x:c r="N27" s="84"/>
      <x:c r="O27" s="84"/>
      <x:c r="P27" s="84"/>
      <x:c r="Q27" s="84"/>
      <x:c r="R27" s="84"/>
      <x:c r="S27" s="84"/>
      <x:c r="T27" s="84"/>
      <x:c r="U27" s="84"/>
    </x:row>
    <x:row r="28">
      <x:c r="A28" s="84"/>
      <x:c r="B28" s="84"/>
      <x:c r="C28" s="84"/>
      <x:c r="D28" s="84"/>
      <x:c r="E28" s="84"/>
      <x:c r="F28" s="84"/>
      <x:c r="G28" s="84"/>
      <x:c r="H28" s="84"/>
      <x:c r="I28" s="84"/>
      <x:c r="J28" s="84"/>
      <x:c r="K28" s="84"/>
      <x:c r="L28" s="84"/>
      <x:c r="M28" s="84"/>
      <x:c r="N28" s="84"/>
      <x:c r="O28" s="84"/>
      <x:c r="P28" s="84"/>
      <x:c r="Q28" s="84"/>
      <x:c r="R28" s="84"/>
      <x:c r="S28" s="84"/>
      <x:c r="T28" s="84"/>
      <x:c r="U28" s="84"/>
    </x:row>
    <x:row r="29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  <x:c r="K29" s="84"/>
      <x:c r="L29" s="84"/>
      <x:c r="M29" s="84"/>
      <x:c r="N29" s="84"/>
      <x:c r="O29" s="84"/>
      <x:c r="P29" s="84"/>
      <x:c r="Q29" s="84"/>
      <x:c r="R29" s="84"/>
      <x:c r="S29" s="84"/>
      <x:c r="T29" s="84"/>
      <x:c r="U29" s="84"/>
    </x:row>
    <x:row r="30">
      <x:c r="A30" s="84"/>
      <x:c r="B30" s="84"/>
      <x:c r="C30" s="84"/>
      <x:c r="D30" s="84"/>
      <x:c r="E30" s="84"/>
      <x:c r="F30" s="84"/>
      <x:c r="G30" s="84"/>
      <x:c r="H30" s="84"/>
      <x:c r="I30" s="84"/>
      <x:c r="J30" s="84"/>
      <x:c r="K30" s="84"/>
      <x:c r="L30" s="84"/>
      <x:c r="M30" s="84"/>
      <x:c r="N30" s="84"/>
      <x:c r="O30" s="84"/>
      <x:c r="P30" s="84"/>
      <x:c r="Q30" s="84"/>
      <x:c r="R30" s="84"/>
      <x:c r="S30" s="84"/>
      <x:c r="T30" s="84"/>
      <x:c r="U30" s="84"/>
    </x:row>
    <x:row r="31">
      <x:c r="A31" s="84"/>
      <x:c r="B31" s="84"/>
      <x:c r="C31" s="84"/>
      <x:c r="D31" s="84"/>
      <x:c r="E31" s="84"/>
      <x:c r="F31" s="84"/>
      <x:c r="G31" s="84"/>
      <x:c r="H31" s="84"/>
      <x:c r="I31" s="84"/>
      <x:c r="J31" s="84"/>
      <x:c r="K31" s="84"/>
      <x:c r="L31" s="84"/>
      <x:c r="M31" s="84"/>
      <x:c r="N31" s="84"/>
      <x:c r="O31" s="84"/>
      <x:c r="P31" s="84"/>
      <x:c r="Q31" s="84"/>
      <x:c r="R31" s="84"/>
      <x:c r="S31" s="84"/>
      <x:c r="T31" s="84"/>
      <x:c r="U31" s="84"/>
    </x:row>
    <x:row r="32">
      <x:c r="A32" s="84"/>
      <x:c r="B32" s="84"/>
      <x:c r="C32" s="84"/>
      <x:c r="D32" s="84"/>
      <x:c r="E32" s="84"/>
      <x:c r="F32" s="84"/>
      <x:c r="G32" s="84"/>
      <x:c r="H32" s="84"/>
      <x:c r="I32" s="84"/>
      <x:c r="J32" s="84"/>
      <x:c r="K32" s="84"/>
      <x:c r="L32" s="84"/>
      <x:c r="M32" s="84"/>
      <x:c r="N32" s="84"/>
      <x:c r="O32" s="84"/>
      <x:c r="P32" s="84"/>
      <x:c r="Q32" s="84"/>
      <x:c r="R32" s="84"/>
      <x:c r="S32" s="84"/>
      <x:c r="T32" s="84"/>
      <x:c r="U32" s="84"/>
    </x:row>
    <x:row r="33">
      <x:c r="A33" s="84"/>
      <x:c r="B33" s="84"/>
      <x:c r="C33" s="84"/>
      <x:c r="D33" s="84"/>
      <x:c r="E33" s="84"/>
      <x:c r="F33" s="84"/>
      <x:c r="G33" s="84"/>
      <x:c r="H33" s="84"/>
      <x:c r="I33" s="84"/>
      <x:c r="J33" s="84"/>
      <x:c r="K33" s="84"/>
      <x:c r="L33" s="84"/>
      <x:c r="M33" s="84"/>
      <x:c r="N33" s="84"/>
      <x:c r="O33" s="84"/>
      <x:c r="P33" s="84"/>
      <x:c r="Q33" s="84"/>
      <x:c r="R33" s="84"/>
      <x:c r="S33" s="84"/>
      <x:c r="T33" s="84"/>
      <x:c r="U33" s="84"/>
    </x:row>
    <x:row r="34">
      <x:c r="A34" s="84"/>
      <x:c r="B34" s="84"/>
      <x:c r="C34" s="84"/>
      <x:c r="D34" s="84"/>
      <x:c r="E34" s="84"/>
      <x:c r="F34" s="84"/>
      <x:c r="G34" s="84"/>
      <x:c r="H34" s="84"/>
      <x:c r="I34" s="84"/>
      <x:c r="J34" s="84"/>
      <x:c r="K34" s="84"/>
      <x:c r="L34" s="84"/>
      <x:c r="M34" s="84"/>
      <x:c r="N34" s="84"/>
      <x:c r="O34" s="84"/>
      <x:c r="P34" s="84"/>
      <x:c r="Q34" s="84"/>
      <x:c r="R34" s="84"/>
      <x:c r="S34" s="84"/>
      <x:c r="T34" s="84"/>
      <x:c r="U34" s="84"/>
    </x:row>
    <x:row r="35">
      <x:c r="A35" s="84"/>
      <x:c r="B35" s="84"/>
      <x:c r="C35" s="84"/>
      <x:c r="D35" s="84"/>
      <x:c r="E35" s="84"/>
      <x:c r="F35" s="84"/>
      <x:c r="G35" s="84"/>
      <x:c r="H35" s="84"/>
      <x:c r="I35" s="84"/>
      <x:c r="J35" s="84"/>
      <x:c r="K35" s="84"/>
      <x:c r="L35" s="84"/>
      <x:c r="M35" s="84"/>
      <x:c r="N35" s="84"/>
      <x:c r="O35" s="84"/>
      <x:c r="P35" s="84"/>
      <x:c r="Q35" s="84"/>
      <x:c r="R35" s="84"/>
      <x:c r="S35" s="84"/>
      <x:c r="T35" s="84"/>
      <x:c r="U35" s="84"/>
    </x:row>
    <x:row r="36">
      <x:c r="A36" s="84"/>
      <x:c r="B36" s="84"/>
      <x:c r="C36" s="84"/>
      <x:c r="D36" s="84"/>
      <x:c r="E36" s="84"/>
      <x:c r="F36" s="84"/>
      <x:c r="G36" s="84"/>
      <x:c r="H36" s="84"/>
      <x:c r="I36" s="84"/>
      <x:c r="J36" s="84"/>
      <x:c r="K36" s="84"/>
      <x:c r="L36" s="84"/>
      <x:c r="M36" s="84"/>
      <x:c r="N36" s="84"/>
      <x:c r="O36" s="84"/>
      <x:c r="P36" s="84"/>
      <x:c r="Q36" s="84"/>
      <x:c r="R36" s="84"/>
      <x:c r="S36" s="84"/>
      <x:c r="T36" s="84"/>
      <x:c r="U36" s="84"/>
    </x:row>
    <x:row r="37">
      <x:c r="A37" s="84"/>
      <x:c r="B37" s="84"/>
      <x:c r="C37" s="84"/>
      <x:c r="D37" s="84"/>
      <x:c r="E37" s="84"/>
      <x:c r="F37" s="84"/>
      <x:c r="G37" s="84"/>
      <x:c r="H37" s="84"/>
      <x:c r="I37" s="84"/>
      <x:c r="J37" s="84"/>
      <x:c r="K37" s="84"/>
      <x:c r="L37" s="84"/>
      <x:c r="M37" s="84"/>
      <x:c r="N37" s="84"/>
      <x:c r="O37" s="84"/>
      <x:c r="P37" s="84"/>
      <x:c r="Q37" s="84"/>
      <x:c r="R37" s="84"/>
      <x:c r="S37" s="84"/>
      <x:c r="T37" s="84"/>
      <x:c r="U37" s="84"/>
    </x:row>
    <x:row r="38">
      <x:c r="A38" s="84"/>
      <x:c r="B38" s="84"/>
      <x:c r="C38" s="84"/>
      <x:c r="D38" s="84"/>
      <x:c r="E38" s="84"/>
      <x:c r="F38" s="84"/>
      <x:c r="G38" s="84"/>
      <x:c r="H38" s="84"/>
      <x:c r="I38" s="84"/>
      <x:c r="J38" s="84"/>
      <x:c r="K38" s="84"/>
      <x:c r="L38" s="84"/>
      <x:c r="M38" s="84"/>
      <x:c r="N38" s="84"/>
      <x:c r="O38" s="84"/>
      <x:c r="P38" s="84"/>
      <x:c r="Q38" s="84"/>
      <x:c r="R38" s="84"/>
      <x:c r="S38" s="84"/>
      <x:c r="T38" s="84"/>
      <x:c r="U38" s="84"/>
    </x:row>
    <x:row r="39">
      <x:c r="A39" s="84"/>
      <x:c r="B39" s="84"/>
      <x:c r="C39" s="84"/>
      <x:c r="D39" s="84"/>
      <x:c r="E39" s="84"/>
      <x:c r="F39" s="84"/>
      <x:c r="G39" s="84"/>
      <x:c r="H39" s="84"/>
      <x:c r="I39" s="84"/>
      <x:c r="J39" s="84"/>
      <x:c r="K39" s="84"/>
      <x:c r="L39" s="84"/>
      <x:c r="M39" s="84"/>
      <x:c r="N39" s="84"/>
      <x:c r="O39" s="84"/>
      <x:c r="P39" s="84"/>
      <x:c r="Q39" s="84"/>
      <x:c r="R39" s="84"/>
      <x:c r="S39" s="84"/>
      <x:c r="T39" s="84"/>
      <x:c r="U39" s="84"/>
    </x:row>
    <x:row r="40">
      <x:c r="A40" s="84"/>
      <x:c r="B40" s="84"/>
      <x:c r="C40" s="84"/>
      <x:c r="D40" s="84"/>
      <x:c r="E40" s="84"/>
      <x:c r="F40" s="84"/>
      <x:c r="G40" s="84"/>
      <x:c r="H40" s="84"/>
      <x:c r="I40" s="84"/>
      <x:c r="J40" s="84"/>
      <x:c r="K40" s="84"/>
      <x:c r="L40" s="84"/>
      <x:c r="M40" s="84"/>
      <x:c r="N40" s="84"/>
      <x:c r="O40" s="84"/>
      <x:c r="P40" s="84"/>
      <x:c r="Q40" s="84"/>
      <x:c r="R40" s="84"/>
      <x:c r="S40" s="84"/>
      <x:c r="T40" s="84"/>
      <x:c r="U40" s="84"/>
    </x:row>
    <x:row r="41">
      <x:c r="A41" s="84"/>
      <x:c r="B41" s="84"/>
      <x:c r="C41" s="84"/>
      <x:c r="D41" s="84"/>
      <x:c r="E41" s="84"/>
      <x:c r="F41" s="84"/>
      <x:c r="G41" s="84"/>
      <x:c r="H41" s="84"/>
      <x:c r="I41" s="84"/>
      <x:c r="J41" s="84"/>
      <x:c r="K41" s="84"/>
      <x:c r="L41" s="84"/>
      <x:c r="M41" s="84"/>
      <x:c r="N41" s="84"/>
      <x:c r="O41" s="84"/>
      <x:c r="P41" s="84"/>
      <x:c r="Q41" s="84"/>
      <x:c r="R41" s="84"/>
      <x:c r="S41" s="84"/>
      <x:c r="T41" s="84"/>
      <x:c r="U41" s="84"/>
    </x:row>
    <x:row r="42">
      <x:c r="A42" s="84"/>
      <x:c r="B42" s="84"/>
      <x:c r="C42" s="84"/>
      <x:c r="D42" s="84"/>
      <x:c r="E42" s="84"/>
      <x:c r="F42" s="84"/>
      <x:c r="G42" s="84"/>
      <x:c r="H42" s="84"/>
      <x:c r="I42" s="84"/>
      <x:c r="J42" s="84"/>
      <x:c r="K42" s="84"/>
      <x:c r="L42" s="84"/>
      <x:c r="M42" s="84"/>
      <x:c r="N42" s="84"/>
      <x:c r="O42" s="84"/>
      <x:c r="P42" s="84"/>
      <x:c r="Q42" s="84"/>
      <x:c r="R42" s="84"/>
      <x:c r="S42" s="84"/>
      <x:c r="T42" s="84"/>
      <x:c r="U42" s="84"/>
    </x:row>
    <x:row r="43">
      <x:c r="A43" s="84"/>
      <x:c r="B43" s="84"/>
      <x:c r="C43" s="84"/>
      <x:c r="D43" s="84"/>
      <x:c r="E43" s="84"/>
      <x:c r="F43" s="84"/>
      <x:c r="G43" s="84"/>
      <x:c r="H43" s="84"/>
      <x:c r="I43" s="84"/>
      <x:c r="J43" s="84"/>
      <x:c r="K43" s="84"/>
      <x:c r="L43" s="84"/>
      <x:c r="M43" s="84"/>
      <x:c r="N43" s="84"/>
      <x:c r="O43" s="84"/>
      <x:c r="P43" s="84"/>
      <x:c r="Q43" s="84"/>
      <x:c r="R43" s="84"/>
      <x:c r="S43" s="84"/>
      <x:c r="T43" s="84"/>
      <x:c r="U43" s="84"/>
    </x:row>
    <x:row r="44">
      <x:c r="A44" s="84"/>
      <x:c r="B44" s="84"/>
      <x:c r="C44" s="84"/>
      <x:c r="D44" s="84"/>
      <x:c r="E44" s="84"/>
      <x:c r="F44" s="84"/>
      <x:c r="G44" s="84"/>
      <x:c r="H44" s="84"/>
      <x:c r="I44" s="84"/>
      <x:c r="J44" s="84"/>
      <x:c r="K44" s="84"/>
      <x:c r="L44" s="84"/>
      <x:c r="M44" s="84"/>
      <x:c r="N44" s="84"/>
      <x:c r="O44" s="84"/>
      <x:c r="P44" s="84"/>
      <x:c r="Q44" s="84"/>
      <x:c r="R44" s="84"/>
      <x:c r="S44" s="84"/>
      <x:c r="T44" s="84"/>
      <x:c r="U44" s="84"/>
    </x:row>
    <x:row r="45">
      <x:c r="A45" s="84"/>
      <x:c r="B45" s="84"/>
      <x:c r="C45" s="84"/>
      <x:c r="D45" s="84"/>
      <x:c r="E45" s="84"/>
      <x:c r="F45" s="84"/>
      <x:c r="G45" s="84"/>
      <x:c r="H45" s="84"/>
      <x:c r="I45" s="84"/>
      <x:c r="J45" s="84"/>
      <x:c r="K45" s="84"/>
      <x:c r="L45" s="84"/>
      <x:c r="M45" s="84"/>
      <x:c r="N45" s="84"/>
      <x:c r="O45" s="84"/>
      <x:c r="P45" s="84"/>
      <x:c r="Q45" s="84"/>
      <x:c r="R45" s="84"/>
      <x:c r="S45" s="84"/>
      <x:c r="T45" s="84"/>
      <x:c r="U45" s="84"/>
    </x:row>
    <x:row r="46">
      <x:c r="A46" s="84"/>
      <x:c r="B46" s="84"/>
      <x:c r="C46" s="84"/>
      <x:c r="D46" s="84"/>
      <x:c r="E46" s="84"/>
      <x:c r="F46" s="84"/>
      <x:c r="G46" s="84"/>
      <x:c r="H46" s="84"/>
      <x:c r="I46" s="84"/>
      <x:c r="J46" s="84"/>
      <x:c r="K46" s="84"/>
      <x:c r="L46" s="84"/>
      <x:c r="M46" s="84"/>
      <x:c r="N46" s="84"/>
      <x:c r="O46" s="84"/>
      <x:c r="P46" s="84"/>
      <x:c r="Q46" s="84"/>
      <x:c r="R46" s="84"/>
      <x:c r="S46" s="84"/>
      <x:c r="T46" s="84"/>
      <x:c r="U46" s="84"/>
    </x:row>
    <x:row r="47">
      <x:c r="A47" s="84"/>
      <x:c r="B47" s="84"/>
      <x:c r="C47" s="84"/>
      <x:c r="D47" s="84"/>
      <x:c r="E47" s="84"/>
      <x:c r="F47" s="84"/>
      <x:c r="G47" s="84"/>
      <x:c r="H47" s="84"/>
      <x:c r="I47" s="84"/>
      <x:c r="J47" s="84"/>
      <x:c r="K47" s="84"/>
      <x:c r="L47" s="84"/>
      <x:c r="M47" s="84"/>
      <x:c r="N47" s="84"/>
      <x:c r="O47" s="84"/>
      <x:c r="P47" s="84"/>
      <x:c r="Q47" s="84"/>
      <x:c r="R47" s="84"/>
      <x:c r="S47" s="84"/>
      <x:c r="T47" s="84"/>
      <x:c r="U47" s="84"/>
    </x:row>
    <x:row r="48">
      <x:c r="A48" s="84"/>
      <x:c r="B48" s="84"/>
      <x:c r="C48" s="84"/>
      <x:c r="D48" s="84"/>
      <x:c r="E48" s="84"/>
      <x:c r="F48" s="84"/>
      <x:c r="G48" s="84"/>
      <x:c r="H48" s="84"/>
      <x:c r="I48" s="84"/>
      <x:c r="J48" s="84"/>
      <x:c r="K48" s="84"/>
      <x:c r="L48" s="84"/>
      <x:c r="M48" s="84"/>
      <x:c r="N48" s="84"/>
      <x:c r="O48" s="84"/>
      <x:c r="P48" s="84"/>
      <x:c r="Q48" s="84"/>
      <x:c r="R48" s="84"/>
      <x:c r="S48" s="84"/>
      <x:c r="T48" s="84"/>
      <x:c r="U48" s="84"/>
    </x:row>
    <x:row r="49">
      <x:c r="A49" s="84"/>
      <x:c r="B49" s="84"/>
      <x:c r="C49" s="84"/>
      <x:c r="D49" s="84"/>
      <x:c r="E49" s="84"/>
      <x:c r="F49" s="84"/>
      <x:c r="G49" s="84"/>
      <x:c r="H49" s="84"/>
      <x:c r="I49" s="84"/>
      <x:c r="J49" s="84"/>
      <x:c r="K49" s="84"/>
      <x:c r="L49" s="84"/>
      <x:c r="M49" s="84"/>
      <x:c r="N49" s="84"/>
      <x:c r="O49" s="84"/>
      <x:c r="P49" s="84"/>
      <x:c r="Q49" s="84"/>
      <x:c r="R49" s="84"/>
      <x:c r="S49" s="84"/>
      <x:c r="T49" s="84"/>
      <x:c r="U49" s="84"/>
    </x:row>
    <x:row r="50">
      <x:c r="A50" s="84"/>
      <x:c r="B50" s="84"/>
      <x:c r="C50" s="84"/>
      <x:c r="D50" s="84"/>
      <x:c r="E50" s="84"/>
      <x:c r="F50" s="84"/>
      <x:c r="G50" s="84"/>
      <x:c r="H50" s="84"/>
      <x:c r="I50" s="84"/>
      <x:c r="J50" s="84"/>
      <x:c r="K50" s="84"/>
      <x:c r="L50" s="84"/>
      <x:c r="M50" s="84"/>
      <x:c r="N50" s="84"/>
      <x:c r="O50" s="84"/>
      <x:c r="P50" s="84"/>
      <x:c r="Q50" s="84"/>
      <x:c r="R50" s="84"/>
      <x:c r="S50" s="84"/>
      <x:c r="T50" s="84"/>
      <x:c r="U50" s="84"/>
    </x:row>
    <x:row r="51">
      <x:c r="A51" s="84"/>
      <x:c r="B51" s="84"/>
      <x:c r="C51" s="84"/>
      <x:c r="D51" s="84"/>
      <x:c r="E51" s="84"/>
      <x:c r="F51" s="84"/>
      <x:c r="G51" s="84"/>
      <x:c r="H51" s="84"/>
      <x:c r="I51" s="84"/>
      <x:c r="J51" s="84"/>
      <x:c r="K51" s="84"/>
      <x:c r="L51" s="84"/>
      <x:c r="M51" s="84"/>
      <x:c r="N51" s="84"/>
      <x:c r="O51" s="84"/>
      <x:c r="P51" s="84"/>
      <x:c r="Q51" s="84"/>
      <x:c r="R51" s="84"/>
      <x:c r="S51" s="84"/>
      <x:c r="T51" s="84"/>
      <x:c r="U51" s="84"/>
    </x:row>
    <x:row r="52">
      <x:c r="A52" s="84"/>
      <x:c r="B52" s="84"/>
      <x:c r="C52" s="84"/>
      <x:c r="D52" s="84"/>
      <x:c r="E52" s="84"/>
      <x:c r="F52" s="84"/>
      <x:c r="G52" s="84"/>
      <x:c r="H52" s="84"/>
      <x:c r="I52" s="84"/>
      <x:c r="J52" s="84"/>
      <x:c r="K52" s="84"/>
      <x:c r="L52" s="84"/>
      <x:c r="M52" s="84"/>
      <x:c r="N52" s="84"/>
      <x:c r="O52" s="84"/>
      <x:c r="P52" s="84"/>
      <x:c r="Q52" s="84"/>
      <x:c r="R52" s="84"/>
      <x:c r="S52" s="84"/>
      <x:c r="T52" s="84"/>
      <x:c r="U52" s="84"/>
    </x:row>
    <x:row r="53">
      <x:c r="A53" s="84"/>
      <x:c r="B53" s="84"/>
      <x:c r="C53" s="84"/>
      <x:c r="D53" s="84"/>
      <x:c r="E53" s="84"/>
      <x:c r="F53" s="84"/>
      <x:c r="G53" s="84"/>
      <x:c r="H53" s="84"/>
      <x:c r="I53" s="84"/>
      <x:c r="J53" s="84"/>
      <x:c r="K53" s="84"/>
      <x:c r="L53" s="84"/>
      <x:c r="M53" s="84"/>
      <x:c r="N53" s="84"/>
      <x:c r="O53" s="84"/>
      <x:c r="P53" s="84"/>
      <x:c r="Q53" s="84"/>
      <x:c r="R53" s="84"/>
      <x:c r="S53" s="84"/>
      <x:c r="T53" s="84"/>
      <x:c r="U53" s="84"/>
    </x:row>
    <x:row r="54">
      <x:c r="A54" s="84"/>
      <x:c r="B54" s="84"/>
      <x:c r="C54" s="84"/>
      <x:c r="D54" s="84"/>
      <x:c r="E54" s="84"/>
      <x:c r="F54" s="84"/>
      <x:c r="G54" s="84"/>
      <x:c r="H54" s="84"/>
      <x:c r="I54" s="84"/>
      <x:c r="J54" s="84"/>
      <x:c r="K54" s="84"/>
      <x:c r="L54" s="84"/>
      <x:c r="M54" s="84"/>
      <x:c r="N54" s="84"/>
      <x:c r="O54" s="84"/>
      <x:c r="P54" s="84"/>
      <x:c r="Q54" s="84"/>
      <x:c r="R54" s="84"/>
      <x:c r="S54" s="84"/>
      <x:c r="T54" s="84"/>
      <x:c r="U54" s="84"/>
    </x:row>
    <x:row r="55">
      <x:c r="A55" s="84"/>
      <x:c r="B55" s="84"/>
      <x:c r="C55" s="84"/>
      <x:c r="D55" s="84"/>
      <x:c r="E55" s="84"/>
      <x:c r="F55" s="84"/>
      <x:c r="G55" s="84"/>
      <x:c r="H55" s="84"/>
      <x:c r="I55" s="84"/>
      <x:c r="J55" s="84"/>
      <x:c r="K55" s="84"/>
      <x:c r="L55" s="84"/>
      <x:c r="M55" s="84"/>
      <x:c r="N55" s="84"/>
      <x:c r="O55" s="84"/>
      <x:c r="P55" s="84"/>
      <x:c r="Q55" s="84"/>
      <x:c r="R55" s="84"/>
      <x:c r="S55" s="84"/>
      <x:c r="T55" s="84"/>
      <x:c r="U55" s="84"/>
    </x:row>
    <x:row r="56">
      <x:c r="A56" s="84"/>
      <x:c r="B56" s="84"/>
      <x:c r="C56" s="84"/>
      <x:c r="D56" s="84"/>
      <x:c r="E56" s="84"/>
      <x:c r="F56" s="84"/>
      <x:c r="G56" s="84"/>
      <x:c r="H56" s="84"/>
      <x:c r="I56" s="84"/>
      <x:c r="J56" s="84"/>
      <x:c r="K56" s="84"/>
      <x:c r="L56" s="84"/>
      <x:c r="M56" s="84"/>
      <x:c r="N56" s="84"/>
      <x:c r="O56" s="84"/>
      <x:c r="P56" s="84"/>
      <x:c r="Q56" s="84"/>
      <x:c r="R56" s="84"/>
      <x:c r="S56" s="84"/>
      <x:c r="T56" s="84"/>
      <x:c r="U56" s="84"/>
    </x:row>
    <x:row r="57">
      <x:c r="A57" s="84"/>
      <x:c r="B57" s="84"/>
      <x:c r="C57" s="84"/>
      <x:c r="D57" s="84"/>
      <x:c r="E57" s="84"/>
      <x:c r="F57" s="84"/>
      <x:c r="G57" s="84"/>
      <x:c r="H57" s="84"/>
      <x:c r="I57" s="84"/>
      <x:c r="J57" s="84"/>
      <x:c r="K57" s="84"/>
      <x:c r="L57" s="84"/>
      <x:c r="M57" s="84"/>
      <x:c r="N57" s="84"/>
      <x:c r="O57" s="84"/>
      <x:c r="P57" s="84"/>
      <x:c r="Q57" s="84"/>
      <x:c r="R57" s="84"/>
      <x:c r="S57" s="84"/>
      <x:c r="T57" s="84"/>
      <x:c r="U57" s="84"/>
    </x:row>
    <x:row r="58">
      <x:c r="A58" s="84"/>
      <x:c r="B58" s="84"/>
      <x:c r="C58" s="84"/>
      <x:c r="D58" s="84"/>
      <x:c r="E58" s="84"/>
      <x:c r="F58" s="84"/>
      <x:c r="G58" s="84"/>
      <x:c r="H58" s="84"/>
      <x:c r="I58" s="84"/>
      <x:c r="J58" s="84"/>
      <x:c r="K58" s="84"/>
      <x:c r="L58" s="84"/>
      <x:c r="M58" s="84"/>
      <x:c r="N58" s="84"/>
      <x:c r="O58" s="84"/>
      <x:c r="P58" s="84"/>
      <x:c r="Q58" s="84"/>
      <x:c r="R58" s="84"/>
      <x:c r="S58" s="84"/>
      <x:c r="T58" s="84"/>
      <x:c r="U58" s="84"/>
    </x:row>
    <x:row r="59">
      <x:c r="A59" s="84"/>
      <x:c r="B59" s="84"/>
      <x:c r="C59" s="84"/>
      <x:c r="D59" s="84"/>
      <x:c r="E59" s="84"/>
      <x:c r="F59" s="84"/>
      <x:c r="G59" s="84"/>
      <x:c r="H59" s="84"/>
      <x:c r="I59" s="84"/>
      <x:c r="J59" s="84"/>
      <x:c r="K59" s="84"/>
      <x:c r="L59" s="84"/>
      <x:c r="M59" s="84"/>
      <x:c r="N59" s="84"/>
      <x:c r="O59" s="84"/>
      <x:c r="P59" s="84"/>
      <x:c r="Q59" s="84"/>
      <x:c r="R59" s="84"/>
      <x:c r="S59" s="84"/>
      <x:c r="T59" s="84"/>
      <x:c r="U59" s="84"/>
    </x:row>
    <x:row r="60">
      <x:c r="A60" s="84"/>
      <x:c r="B60" s="84"/>
      <x:c r="C60" s="84"/>
      <x:c r="D60" s="84"/>
      <x:c r="E60" s="84"/>
      <x:c r="F60" s="84"/>
      <x:c r="G60" s="84"/>
      <x:c r="H60" s="84"/>
      <x:c r="I60" s="84"/>
      <x:c r="J60" s="84"/>
      <x:c r="K60" s="84"/>
      <x:c r="L60" s="84"/>
      <x:c r="M60" s="84"/>
      <x:c r="N60" s="84"/>
      <x:c r="O60" s="84"/>
      <x:c r="P60" s="84"/>
      <x:c r="Q60" s="84"/>
      <x:c r="R60" s="84"/>
      <x:c r="S60" s="84"/>
      <x:c r="T60" s="84"/>
      <x:c r="U60" s="84"/>
    </x:row>
    <x:row r="61">
      <x:c r="A61" s="84"/>
      <x:c r="B61" s="84"/>
      <x:c r="C61" s="84"/>
      <x:c r="D61" s="84"/>
      <x:c r="E61" s="84"/>
      <x:c r="F61" s="84"/>
      <x:c r="G61" s="84"/>
      <x:c r="H61" s="84"/>
      <x:c r="I61" s="84"/>
      <x:c r="J61" s="84"/>
      <x:c r="K61" s="84"/>
      <x:c r="L61" s="84"/>
      <x:c r="M61" s="84"/>
      <x:c r="N61" s="84"/>
      <x:c r="O61" s="84"/>
      <x:c r="P61" s="84"/>
      <x:c r="Q61" s="84"/>
      <x:c r="R61" s="84"/>
      <x:c r="S61" s="84"/>
      <x:c r="T61" s="84"/>
      <x:c r="U61" s="84"/>
    </x:row>
    <x:row r="62">
      <x:c r="A62" s="84"/>
      <x:c r="B62" s="84"/>
      <x:c r="C62" s="84"/>
      <x:c r="D62" s="84"/>
      <x:c r="E62" s="84"/>
      <x:c r="F62" s="84"/>
      <x:c r="G62" s="84"/>
      <x:c r="H62" s="84"/>
      <x:c r="I62" s="84"/>
      <x:c r="J62" s="84"/>
      <x:c r="K62" s="84"/>
      <x:c r="L62" s="84"/>
      <x:c r="M62" s="84"/>
      <x:c r="N62" s="84"/>
      <x:c r="O62" s="84"/>
      <x:c r="P62" s="84"/>
      <x:c r="Q62" s="84"/>
      <x:c r="R62" s="84"/>
      <x:c r="S62" s="84"/>
      <x:c r="T62" s="84"/>
      <x:c r="U62" s="84"/>
    </x:row>
    <x:row r="63">
      <x:c r="A63" s="84"/>
      <x:c r="B63" s="84"/>
      <x:c r="C63" s="84"/>
      <x:c r="D63" s="84"/>
      <x:c r="E63" s="84"/>
      <x:c r="F63" s="84"/>
      <x:c r="G63" s="84"/>
      <x:c r="H63" s="84"/>
      <x:c r="I63" s="84"/>
      <x:c r="J63" s="84"/>
      <x:c r="K63" s="84"/>
      <x:c r="L63" s="84"/>
      <x:c r="M63" s="84"/>
      <x:c r="N63" s="84"/>
      <x:c r="O63" s="84"/>
      <x:c r="P63" s="84"/>
      <x:c r="Q63" s="84"/>
      <x:c r="R63" s="84"/>
      <x:c r="S63" s="84"/>
      <x:c r="T63" s="84"/>
      <x:c r="U63" s="84"/>
    </x:row>
    <x:row r="64">
      <x:c r="A64" s="84"/>
      <x:c r="B64" s="84"/>
      <x:c r="C64" s="84"/>
      <x:c r="D64" s="84"/>
      <x:c r="E64" s="84"/>
      <x:c r="F64" s="84"/>
      <x:c r="G64" s="84"/>
      <x:c r="H64" s="84"/>
      <x:c r="I64" s="84"/>
      <x:c r="J64" s="84"/>
      <x:c r="K64" s="84"/>
      <x:c r="L64" s="84"/>
      <x:c r="M64" s="84"/>
      <x:c r="N64" s="84"/>
      <x:c r="O64" s="84"/>
      <x:c r="P64" s="84"/>
      <x:c r="Q64" s="84"/>
      <x:c r="R64" s="84"/>
      <x:c r="S64" s="84"/>
      <x:c r="T64" s="84"/>
      <x:c r="U64" s="84"/>
    </x:row>
    <x:row r="65">
      <x:c r="A65" s="84"/>
      <x:c r="B65" s="84"/>
      <x:c r="C65" s="84"/>
      <x:c r="D65" s="84"/>
      <x:c r="E65" s="84"/>
      <x:c r="F65" s="84"/>
      <x:c r="G65" s="84"/>
      <x:c r="H65" s="84"/>
      <x:c r="I65" s="84"/>
      <x:c r="J65" s="84"/>
      <x:c r="K65" s="84"/>
      <x:c r="L65" s="84"/>
      <x:c r="M65" s="84"/>
      <x:c r="N65" s="84"/>
      <x:c r="O65" s="84"/>
      <x:c r="P65" s="84"/>
      <x:c r="Q65" s="84"/>
      <x:c r="R65" s="84"/>
      <x:c r="S65" s="84"/>
      <x:c r="T65" s="84"/>
      <x:c r="U65" s="84"/>
    </x:row>
    <x:row r="66">
      <x:c r="A66" s="84"/>
      <x:c r="B66" s="84"/>
      <x:c r="C66" s="84"/>
      <x:c r="D66" s="84"/>
      <x:c r="E66" s="84"/>
      <x:c r="F66" s="84"/>
      <x:c r="G66" s="84"/>
      <x:c r="H66" s="84"/>
      <x:c r="I66" s="84"/>
      <x:c r="J66" s="84"/>
      <x:c r="K66" s="84"/>
      <x:c r="L66" s="84"/>
      <x:c r="M66" s="84"/>
      <x:c r="N66" s="84"/>
      <x:c r="O66" s="84"/>
      <x:c r="P66" s="84"/>
      <x:c r="Q66" s="84"/>
      <x:c r="R66" s="84"/>
      <x:c r="S66" s="84"/>
      <x:c r="T66" s="84"/>
      <x:c r="U66" s="84"/>
    </x:row>
    <x:row r="67">
      <x:c r="A67" s="84"/>
      <x:c r="B67" s="84"/>
      <x:c r="C67" s="84"/>
      <x:c r="D67" s="84"/>
      <x:c r="E67" s="84"/>
      <x:c r="F67" s="84"/>
      <x:c r="G67" s="84"/>
      <x:c r="H67" s="84"/>
      <x:c r="I67" s="84"/>
      <x:c r="J67" s="84"/>
      <x:c r="K67" s="84"/>
      <x:c r="L67" s="84"/>
      <x:c r="M67" s="84"/>
      <x:c r="N67" s="84"/>
      <x:c r="O67" s="84"/>
      <x:c r="P67" s="84"/>
      <x:c r="Q67" s="84"/>
      <x:c r="R67" s="84"/>
      <x:c r="S67" s="84"/>
      <x:c r="T67" s="84"/>
      <x:c r="U67" s="84"/>
    </x:row>
    <x:row r="68">
      <x:c r="A68" s="84"/>
      <x:c r="B68" s="84"/>
      <x:c r="C68" s="84"/>
      <x:c r="D68" s="84"/>
      <x:c r="E68" s="84"/>
      <x:c r="F68" s="84"/>
      <x:c r="G68" s="84"/>
      <x:c r="H68" s="84"/>
      <x:c r="I68" s="84"/>
      <x:c r="J68" s="84"/>
      <x:c r="K68" s="84"/>
      <x:c r="L68" s="84"/>
      <x:c r="M68" s="84"/>
      <x:c r="N68" s="84"/>
      <x:c r="O68" s="84"/>
      <x:c r="P68" s="84"/>
      <x:c r="Q68" s="84"/>
      <x:c r="R68" s="84"/>
      <x:c r="S68" s="84"/>
      <x:c r="T68" s="84"/>
      <x:c r="U68" s="84"/>
    </x:row>
    <x:row r="69">
      <x:c r="A69" s="84"/>
      <x:c r="B69" s="84"/>
      <x:c r="C69" s="84"/>
      <x:c r="D69" s="84"/>
      <x:c r="E69" s="84"/>
      <x:c r="F69" s="84"/>
      <x:c r="G69" s="84"/>
      <x:c r="H69" s="84"/>
      <x:c r="I69" s="84"/>
      <x:c r="J69" s="84"/>
      <x:c r="K69" s="84"/>
      <x:c r="L69" s="84"/>
      <x:c r="M69" s="84"/>
      <x:c r="N69" s="84"/>
      <x:c r="O69" s="84"/>
      <x:c r="P69" s="84"/>
      <x:c r="Q69" s="84"/>
      <x:c r="R69" s="84"/>
      <x:c r="S69" s="84"/>
      <x:c r="T69" s="84"/>
      <x:c r="U69" s="84"/>
    </x:row>
    <x:row r="70">
      <x:c r="A70" s="84"/>
      <x:c r="B70" s="84"/>
      <x:c r="C70" s="84"/>
      <x:c r="D70" s="84"/>
      <x:c r="E70" s="84"/>
      <x:c r="F70" s="84"/>
      <x:c r="G70" s="84"/>
      <x:c r="H70" s="84"/>
      <x:c r="I70" s="84"/>
      <x:c r="J70" s="84"/>
      <x:c r="K70" s="84"/>
      <x:c r="L70" s="84"/>
      <x:c r="M70" s="84"/>
      <x:c r="N70" s="84"/>
      <x:c r="O70" s="84"/>
      <x:c r="P70" s="84"/>
      <x:c r="Q70" s="84"/>
      <x:c r="R70" s="84"/>
      <x:c r="S70" s="84"/>
      <x:c r="T70" s="84"/>
      <x:c r="U70" s="84"/>
    </x:row>
    <x:row r="71">
      <x:c r="A71" s="84"/>
      <x:c r="B71" s="84"/>
      <x:c r="C71" s="84"/>
      <x:c r="D71" s="84"/>
      <x:c r="E71" s="84"/>
      <x:c r="F71" s="84"/>
      <x:c r="G71" s="84"/>
      <x:c r="H71" s="84"/>
      <x:c r="I71" s="84"/>
      <x:c r="J71" s="84"/>
      <x:c r="K71" s="84"/>
      <x:c r="L71" s="84"/>
      <x:c r="M71" s="84"/>
      <x:c r="N71" s="84"/>
      <x:c r="O71" s="84"/>
      <x:c r="P71" s="84"/>
      <x:c r="Q71" s="84"/>
      <x:c r="R71" s="84"/>
      <x:c r="S71" s="84"/>
      <x:c r="T71" s="84"/>
      <x:c r="U71" s="84"/>
    </x:row>
    <x:row r="72">
      <x:c r="A72" s="84"/>
      <x:c r="B72" s="84"/>
      <x:c r="C72" s="84"/>
      <x:c r="D72" s="84"/>
      <x:c r="E72" s="84"/>
      <x:c r="F72" s="84"/>
      <x:c r="G72" s="84"/>
      <x:c r="H72" s="84"/>
      <x:c r="I72" s="84"/>
      <x:c r="J72" s="84"/>
      <x:c r="K72" s="84"/>
      <x:c r="L72" s="84"/>
      <x:c r="M72" s="84"/>
      <x:c r="N72" s="84"/>
      <x:c r="O72" s="84"/>
      <x:c r="P72" s="84"/>
      <x:c r="Q72" s="84"/>
      <x:c r="R72" s="84"/>
      <x:c r="S72" s="84"/>
      <x:c r="T72" s="84"/>
      <x:c r="U72" s="84"/>
    </x:row>
    <x:row r="73">
      <x:c r="A73" s="84"/>
      <x:c r="B73" s="84"/>
      <x:c r="C73" s="84"/>
      <x:c r="D73" s="84"/>
      <x:c r="E73" s="84"/>
      <x:c r="F73" s="84"/>
      <x:c r="G73" s="84"/>
      <x:c r="H73" s="84"/>
      <x:c r="I73" s="84"/>
      <x:c r="J73" s="84"/>
      <x:c r="K73" s="84"/>
      <x:c r="L73" s="84"/>
      <x:c r="M73" s="84"/>
      <x:c r="N73" s="84"/>
      <x:c r="O73" s="84"/>
      <x:c r="P73" s="84"/>
      <x:c r="Q73" s="84"/>
      <x:c r="R73" s="84"/>
      <x:c r="S73" s="84"/>
      <x:c r="T73" s="84"/>
      <x:c r="U73" s="84"/>
    </x:row>
    <x:row r="74">
      <x:c r="A74" s="84"/>
      <x:c r="B74" s="84"/>
      <x:c r="C74" s="84"/>
      <x:c r="D74" s="84"/>
      <x:c r="E74" s="84"/>
      <x:c r="F74" s="84"/>
      <x:c r="G74" s="84"/>
      <x:c r="H74" s="84"/>
      <x:c r="I74" s="84"/>
      <x:c r="J74" s="84"/>
      <x:c r="K74" s="84"/>
      <x:c r="L74" s="84"/>
      <x:c r="M74" s="84"/>
      <x:c r="N74" s="84"/>
      <x:c r="O74" s="84"/>
      <x:c r="P74" s="84"/>
      <x:c r="Q74" s="84"/>
      <x:c r="R74" s="84"/>
      <x:c r="S74" s="84"/>
      <x:c r="T74" s="84"/>
      <x:c r="U74" s="84"/>
    </x:row>
    <x:row r="75">
      <x:c r="A75" s="84"/>
      <x:c r="B75" s="84"/>
      <x:c r="C75" s="84"/>
      <x:c r="D75" s="84"/>
      <x:c r="E75" s="84"/>
      <x:c r="F75" s="84"/>
      <x:c r="G75" s="84"/>
      <x:c r="H75" s="84"/>
      <x:c r="I75" s="84"/>
      <x:c r="J75" s="84"/>
      <x:c r="K75" s="84"/>
      <x:c r="L75" s="84"/>
      <x:c r="M75" s="84"/>
      <x:c r="N75" s="84"/>
      <x:c r="O75" s="84"/>
      <x:c r="P75" s="84"/>
      <x:c r="Q75" s="84"/>
      <x:c r="R75" s="84"/>
      <x:c r="S75" s="84"/>
      <x:c r="T75" s="84"/>
      <x:c r="U75" s="84"/>
    </x:row>
    <x:row r="76">
      <x:c r="A76" s="84"/>
      <x:c r="B76" s="84"/>
      <x:c r="C76" s="84"/>
      <x:c r="D76" s="84"/>
      <x:c r="E76" s="84"/>
      <x:c r="F76" s="84"/>
      <x:c r="G76" s="84"/>
      <x:c r="H76" s="84"/>
      <x:c r="I76" s="84"/>
      <x:c r="J76" s="84"/>
      <x:c r="K76" s="84"/>
      <x:c r="L76" s="84"/>
      <x:c r="M76" s="84"/>
      <x:c r="N76" s="84"/>
      <x:c r="O76" s="84"/>
      <x:c r="P76" s="84"/>
      <x:c r="Q76" s="84"/>
      <x:c r="R76" s="84"/>
      <x:c r="S76" s="84"/>
      <x:c r="T76" s="84"/>
      <x:c r="U76" s="84"/>
    </x:row>
    <x:row r="77">
      <x:c r="A77" s="84"/>
      <x:c r="B77" s="84"/>
      <x:c r="C77" s="84"/>
      <x:c r="D77" s="84"/>
      <x:c r="E77" s="84"/>
      <x:c r="F77" s="84"/>
      <x:c r="G77" s="84"/>
      <x:c r="H77" s="84"/>
      <x:c r="I77" s="84"/>
      <x:c r="J77" s="84"/>
      <x:c r="K77" s="84"/>
      <x:c r="L77" s="84"/>
      <x:c r="M77" s="84"/>
      <x:c r="N77" s="84"/>
      <x:c r="O77" s="84"/>
      <x:c r="P77" s="84"/>
      <x:c r="Q77" s="84"/>
      <x:c r="R77" s="84"/>
      <x:c r="S77" s="84"/>
      <x:c r="T77" s="84"/>
      <x:c r="U77" s="84"/>
    </x:row>
    <x:row r="78">
      <x:c r="A78" s="84"/>
      <x:c r="B78" s="84"/>
      <x:c r="C78" s="84"/>
      <x:c r="D78" s="84"/>
      <x:c r="E78" s="84"/>
      <x:c r="F78" s="84"/>
      <x:c r="G78" s="84"/>
      <x:c r="H78" s="84"/>
      <x:c r="I78" s="84"/>
      <x:c r="J78" s="84"/>
      <x:c r="K78" s="84"/>
      <x:c r="L78" s="84"/>
      <x:c r="M78" s="84"/>
      <x:c r="N78" s="84"/>
      <x:c r="O78" s="84"/>
      <x:c r="P78" s="84"/>
      <x:c r="Q78" s="84"/>
      <x:c r="R78" s="84"/>
      <x:c r="S78" s="84"/>
      <x:c r="T78" s="84"/>
      <x:c r="U78" s="84"/>
    </x:row>
    <x:row r="79">
      <x:c r="A79" s="84"/>
      <x:c r="B79" s="84"/>
      <x:c r="C79" s="84"/>
      <x:c r="D79" s="84"/>
      <x:c r="E79" s="84"/>
      <x:c r="F79" s="84"/>
      <x:c r="G79" s="84"/>
      <x:c r="H79" s="84"/>
      <x:c r="I79" s="84"/>
      <x:c r="J79" s="84"/>
      <x:c r="K79" s="84"/>
      <x:c r="L79" s="84"/>
      <x:c r="M79" s="84"/>
      <x:c r="N79" s="84"/>
      <x:c r="O79" s="84"/>
      <x:c r="P79" s="84"/>
      <x:c r="Q79" s="84"/>
      <x:c r="R79" s="84"/>
      <x:c r="S79" s="84"/>
      <x:c r="T79" s="84"/>
      <x:c r="U79" s="84"/>
    </x:row>
    <x:row r="80">
      <x:c r="A80" s="84"/>
      <x:c r="B80" s="84"/>
      <x:c r="C80" s="84"/>
      <x:c r="D80" s="84"/>
      <x:c r="E80" s="84"/>
      <x:c r="F80" s="84"/>
      <x:c r="G80" s="84"/>
      <x:c r="H80" s="84"/>
      <x:c r="I80" s="84"/>
      <x:c r="J80" s="84"/>
      <x:c r="K80" s="84"/>
      <x:c r="L80" s="84"/>
      <x:c r="M80" s="84"/>
      <x:c r="N80" s="84"/>
      <x:c r="O80" s="84"/>
      <x:c r="P80" s="84"/>
      <x:c r="Q80" s="84"/>
      <x:c r="R80" s="84"/>
      <x:c r="S80" s="84"/>
      <x:c r="T80" s="84"/>
      <x:c r="U80" s="84"/>
    </x:row>
    <x:row r="81">
      <x:c r="A81" s="84"/>
      <x:c r="B81" s="84"/>
      <x:c r="C81" s="84"/>
      <x:c r="D81" s="84"/>
      <x:c r="E81" s="84"/>
      <x:c r="F81" s="84"/>
      <x:c r="G81" s="84"/>
      <x:c r="H81" s="84"/>
      <x:c r="I81" s="84"/>
      <x:c r="J81" s="84"/>
      <x:c r="K81" s="84"/>
      <x:c r="L81" s="84"/>
      <x:c r="M81" s="84"/>
      <x:c r="N81" s="84"/>
      <x:c r="O81" s="84"/>
      <x:c r="P81" s="84"/>
      <x:c r="Q81" s="84"/>
      <x:c r="R81" s="84"/>
      <x:c r="S81" s="84"/>
      <x:c r="T81" s="84"/>
      <x:c r="U81" s="84"/>
    </x:row>
    <x:row r="82">
      <x:c r="A82" s="84"/>
      <x:c r="B82" s="84"/>
      <x:c r="C82" s="84"/>
      <x:c r="D82" s="84"/>
      <x:c r="E82" s="84"/>
      <x:c r="F82" s="84"/>
      <x:c r="G82" s="84"/>
      <x:c r="H82" s="84"/>
      <x:c r="I82" s="84"/>
      <x:c r="J82" s="84"/>
      <x:c r="K82" s="84"/>
      <x:c r="L82" s="84"/>
      <x:c r="M82" s="84"/>
      <x:c r="N82" s="84"/>
      <x:c r="O82" s="84"/>
      <x:c r="P82" s="84"/>
      <x:c r="Q82" s="84"/>
      <x:c r="R82" s="84"/>
      <x:c r="S82" s="84"/>
      <x:c r="T82" s="84"/>
      <x:c r="U82" s="84"/>
    </x:row>
    <x:row r="83">
      <x:c r="A83" s="84"/>
      <x:c r="B83" s="84"/>
      <x:c r="C83" s="84"/>
      <x:c r="D83" s="84"/>
      <x:c r="E83" s="84"/>
      <x:c r="F83" s="84"/>
      <x:c r="G83" s="84"/>
      <x:c r="H83" s="84"/>
      <x:c r="I83" s="84"/>
      <x:c r="J83" s="84"/>
      <x:c r="K83" s="84"/>
      <x:c r="L83" s="84"/>
      <x:c r="M83" s="84"/>
      <x:c r="N83" s="84"/>
      <x:c r="O83" s="84"/>
      <x:c r="P83" s="84"/>
      <x:c r="Q83" s="84"/>
      <x:c r="R83" s="84"/>
      <x:c r="S83" s="84"/>
      <x:c r="T83" s="84"/>
      <x:c r="U83" s="84"/>
    </x:row>
    <x:row r="84">
      <x:c r="A84" s="84"/>
      <x:c r="B84" s="84"/>
      <x:c r="C84" s="84"/>
      <x:c r="D84" s="84"/>
      <x:c r="E84" s="84"/>
      <x:c r="F84" s="84"/>
      <x:c r="G84" s="84"/>
      <x:c r="H84" s="84"/>
      <x:c r="I84" s="84"/>
      <x:c r="J84" s="84"/>
      <x:c r="K84" s="84"/>
      <x:c r="L84" s="84"/>
      <x:c r="M84" s="84"/>
      <x:c r="N84" s="84"/>
      <x:c r="O84" s="84"/>
      <x:c r="P84" s="84"/>
      <x:c r="Q84" s="84"/>
      <x:c r="R84" s="84"/>
      <x:c r="S84" s="84"/>
      <x:c r="T84" s="84"/>
      <x:c r="U84" s="84"/>
    </x:row>
    <x:row r="85">
      <x:c r="A85" s="84"/>
      <x:c r="B85" s="84"/>
      <x:c r="C85" s="84"/>
      <x:c r="D85" s="84"/>
      <x:c r="E85" s="84"/>
      <x:c r="F85" s="84"/>
      <x:c r="G85" s="84"/>
      <x:c r="H85" s="84"/>
      <x:c r="I85" s="84"/>
      <x:c r="J85" s="84"/>
      <x:c r="K85" s="84"/>
      <x:c r="L85" s="84"/>
      <x:c r="M85" s="84"/>
      <x:c r="N85" s="84"/>
      <x:c r="O85" s="84"/>
      <x:c r="P85" s="84"/>
      <x:c r="Q85" s="84"/>
      <x:c r="R85" s="84"/>
      <x:c r="S85" s="84"/>
      <x:c r="T85" s="84"/>
      <x:c r="U85" s="84"/>
    </x:row>
    <x:row r="86">
      <x:c r="A86" s="84"/>
      <x:c r="B86" s="84"/>
      <x:c r="C86" s="84"/>
      <x:c r="D86" s="84"/>
      <x:c r="E86" s="84"/>
      <x:c r="F86" s="84"/>
      <x:c r="G86" s="84"/>
      <x:c r="H86" s="84"/>
      <x:c r="I86" s="84"/>
      <x:c r="J86" s="84"/>
      <x:c r="K86" s="84"/>
      <x:c r="L86" s="84"/>
      <x:c r="M86" s="84"/>
      <x:c r="N86" s="84"/>
      <x:c r="O86" s="84"/>
      <x:c r="P86" s="84"/>
      <x:c r="Q86" s="84"/>
      <x:c r="R86" s="84"/>
      <x:c r="S86" s="84"/>
      <x:c r="T86" s="84"/>
      <x:c r="U86" s="84"/>
    </x:row>
    <x:row r="87">
      <x:c r="A87" s="84"/>
      <x:c r="B87" s="84"/>
      <x:c r="C87" s="84"/>
      <x:c r="D87" s="84"/>
      <x:c r="E87" s="84"/>
      <x:c r="F87" s="84"/>
      <x:c r="G87" s="84"/>
      <x:c r="H87" s="84"/>
      <x:c r="I87" s="84"/>
      <x:c r="J87" s="84"/>
      <x:c r="K87" s="84"/>
      <x:c r="L87" s="84"/>
      <x:c r="M87" s="84"/>
      <x:c r="N87" s="84"/>
      <x:c r="O87" s="84"/>
      <x:c r="P87" s="84"/>
      <x:c r="Q87" s="84"/>
      <x:c r="R87" s="84"/>
      <x:c r="S87" s="84"/>
      <x:c r="T87" s="84"/>
      <x:c r="U87" s="84"/>
    </x:row>
    <x:row r="88">
      <x:c r="A88" s="84"/>
      <x:c r="B88" s="84"/>
      <x:c r="C88" s="84"/>
      <x:c r="D88" s="84"/>
      <x:c r="E88" s="84"/>
      <x:c r="F88" s="84"/>
      <x:c r="G88" s="84"/>
      <x:c r="H88" s="84"/>
      <x:c r="I88" s="84"/>
      <x:c r="J88" s="84"/>
      <x:c r="K88" s="84"/>
      <x:c r="L88" s="84"/>
      <x:c r="M88" s="84"/>
      <x:c r="N88" s="84"/>
      <x:c r="O88" s="84"/>
      <x:c r="P88" s="84"/>
      <x:c r="Q88" s="84"/>
      <x:c r="R88" s="84"/>
      <x:c r="S88" s="84"/>
      <x:c r="T88" s="84"/>
      <x:c r="U88" s="84"/>
    </x:row>
    <x:row r="89">
      <x:c r="A89" s="84"/>
      <x:c r="B89" s="84"/>
      <x:c r="C89" s="84"/>
      <x:c r="D89" s="84"/>
      <x:c r="E89" s="84"/>
      <x:c r="F89" s="84"/>
      <x:c r="G89" s="84"/>
      <x:c r="H89" s="84"/>
      <x:c r="I89" s="84"/>
      <x:c r="J89" s="84"/>
      <x:c r="K89" s="84"/>
      <x:c r="L89" s="84"/>
      <x:c r="M89" s="84"/>
      <x:c r="N89" s="84"/>
      <x:c r="O89" s="84"/>
      <x:c r="P89" s="84"/>
      <x:c r="Q89" s="84"/>
      <x:c r="R89" s="84"/>
      <x:c r="S89" s="84"/>
      <x:c r="T89" s="84"/>
      <x:c r="U89" s="84"/>
    </x:row>
    <x:row r="90">
      <x:c r="A90" s="84"/>
      <x:c r="B90" s="84"/>
      <x:c r="C90" s="84"/>
      <x:c r="D90" s="84"/>
      <x:c r="E90" s="84"/>
      <x:c r="F90" s="84"/>
      <x:c r="G90" s="84"/>
      <x:c r="H90" s="84"/>
      <x:c r="I90" s="84"/>
      <x:c r="J90" s="84"/>
      <x:c r="K90" s="84"/>
      <x:c r="L90" s="84"/>
      <x:c r="M90" s="84"/>
      <x:c r="N90" s="84"/>
      <x:c r="O90" s="84"/>
      <x:c r="P90" s="84"/>
      <x:c r="Q90" s="84"/>
      <x:c r="R90" s="84"/>
      <x:c r="S90" s="84"/>
      <x:c r="T90" s="84"/>
      <x:c r="U90" s="84"/>
    </x:row>
    <x:row r="91">
      <x:c r="A91" s="84"/>
      <x:c r="B91" s="84"/>
      <x:c r="C91" s="84"/>
      <x:c r="D91" s="84"/>
      <x:c r="E91" s="84"/>
      <x:c r="F91" s="84"/>
      <x:c r="G91" s="84"/>
      <x:c r="H91" s="84"/>
      <x:c r="I91" s="84"/>
      <x:c r="J91" s="84"/>
      <x:c r="K91" s="84"/>
      <x:c r="L91" s="84"/>
      <x:c r="M91" s="84"/>
      <x:c r="N91" s="84"/>
      <x:c r="O91" s="84"/>
      <x:c r="P91" s="84"/>
      <x:c r="Q91" s="84"/>
      <x:c r="R91" s="84"/>
      <x:c r="S91" s="84"/>
      <x:c r="T91" s="84"/>
      <x:c r="U91" s="84"/>
    </x:row>
    <x:row r="92">
      <x:c r="A92" s="84"/>
      <x:c r="B92" s="84"/>
      <x:c r="C92" s="84"/>
      <x:c r="D92" s="84"/>
      <x:c r="E92" s="84"/>
      <x:c r="F92" s="84"/>
      <x:c r="G92" s="84"/>
      <x:c r="H92" s="84"/>
      <x:c r="I92" s="84"/>
      <x:c r="J92" s="84"/>
      <x:c r="K92" s="84"/>
      <x:c r="L92" s="84"/>
      <x:c r="M92" s="84"/>
      <x:c r="N92" s="84"/>
      <x:c r="O92" s="84"/>
      <x:c r="P92" s="84"/>
      <x:c r="Q92" s="84"/>
      <x:c r="R92" s="84"/>
      <x:c r="S92" s="84"/>
      <x:c r="T92" s="84"/>
      <x:c r="U92" s="84"/>
    </x:row>
    <x:row r="93">
      <x:c r="A93" s="84"/>
      <x:c r="B93" s="84"/>
      <x:c r="C93" s="84"/>
      <x:c r="D93" s="84"/>
      <x:c r="E93" s="84"/>
      <x:c r="F93" s="84"/>
      <x:c r="G93" s="84"/>
      <x:c r="H93" s="84"/>
      <x:c r="I93" s="84"/>
      <x:c r="J93" s="84"/>
      <x:c r="K93" s="84"/>
      <x:c r="L93" s="84"/>
      <x:c r="M93" s="84"/>
      <x:c r="N93" s="84"/>
      <x:c r="O93" s="84"/>
      <x:c r="P93" s="84"/>
      <x:c r="Q93" s="84"/>
      <x:c r="R93" s="84"/>
      <x:c r="S93" s="84"/>
      <x:c r="T93" s="84"/>
      <x:c r="U93" s="84"/>
    </x:row>
    <x:row r="94">
      <x:c r="A94" s="84"/>
      <x:c r="B94" s="84"/>
      <x:c r="C94" s="84"/>
      <x:c r="D94" s="84"/>
      <x:c r="E94" s="84"/>
      <x:c r="F94" s="84"/>
      <x:c r="G94" s="84"/>
      <x:c r="H94" s="84"/>
      <x:c r="I94" s="84"/>
      <x:c r="J94" s="84"/>
      <x:c r="K94" s="84"/>
      <x:c r="L94" s="84"/>
      <x:c r="M94" s="84"/>
      <x:c r="N94" s="84"/>
      <x:c r="O94" s="84"/>
      <x:c r="P94" s="84"/>
      <x:c r="Q94" s="84"/>
      <x:c r="R94" s="84"/>
      <x:c r="S94" s="84"/>
      <x:c r="T94" s="84"/>
      <x:c r="U94" s="84"/>
    </x:row>
    <x:row r="95">
      <x:c r="A95" s="84"/>
      <x:c r="B95" s="84"/>
      <x:c r="C95" s="84"/>
      <x:c r="D95" s="84"/>
      <x:c r="E95" s="84"/>
      <x:c r="F95" s="84"/>
      <x:c r="G95" s="84"/>
      <x:c r="H95" s="84"/>
      <x:c r="I95" s="84"/>
      <x:c r="J95" s="84"/>
      <x:c r="K95" s="84"/>
      <x:c r="L95" s="84"/>
      <x:c r="M95" s="84"/>
      <x:c r="N95" s="84"/>
      <x:c r="O95" s="84"/>
      <x:c r="P95" s="84"/>
      <x:c r="Q95" s="84"/>
      <x:c r="R95" s="84"/>
      <x:c r="S95" s="84"/>
      <x:c r="T95" s="84"/>
      <x:c r="U95" s="84"/>
    </x:row>
    <x:row r="96">
      <x:c r="A96" s="84"/>
      <x:c r="B96" s="84"/>
      <x:c r="C96" s="84"/>
      <x:c r="D96" s="84"/>
      <x:c r="E96" s="84"/>
      <x:c r="F96" s="84"/>
      <x:c r="G96" s="84"/>
      <x:c r="H96" s="84"/>
      <x:c r="I96" s="84"/>
      <x:c r="J96" s="84"/>
      <x:c r="K96" s="84"/>
      <x:c r="L96" s="84"/>
      <x:c r="M96" s="84"/>
      <x:c r="N96" s="84"/>
      <x:c r="O96" s="84"/>
      <x:c r="P96" s="84"/>
      <x:c r="Q96" s="84"/>
      <x:c r="R96" s="84"/>
      <x:c r="S96" s="84"/>
      <x:c r="T96" s="84"/>
      <x:c r="U96" s="84"/>
    </x:row>
    <x:row r="97">
      <x:c r="A97" s="84"/>
      <x:c r="B97" s="84"/>
      <x:c r="C97" s="84"/>
      <x:c r="D97" s="84"/>
      <x:c r="E97" s="84"/>
      <x:c r="F97" s="84"/>
      <x:c r="G97" s="84"/>
      <x:c r="H97" s="84"/>
      <x:c r="I97" s="84"/>
      <x:c r="J97" s="84"/>
      <x:c r="K97" s="84"/>
      <x:c r="L97" s="84"/>
      <x:c r="M97" s="84"/>
      <x:c r="N97" s="84"/>
      <x:c r="O97" s="84"/>
      <x:c r="P97" s="84"/>
      <x:c r="Q97" s="84"/>
      <x:c r="R97" s="84"/>
      <x:c r="S97" s="84"/>
      <x:c r="T97" s="84"/>
      <x:c r="U97" s="84"/>
    </x:row>
    <x:row r="98">
      <x:c r="A98" s="84"/>
      <x:c r="B98" s="84"/>
      <x:c r="C98" s="84"/>
      <x:c r="D98" s="84"/>
      <x:c r="E98" s="84"/>
      <x:c r="F98" s="84"/>
      <x:c r="G98" s="84"/>
      <x:c r="H98" s="84"/>
      <x:c r="I98" s="84"/>
      <x:c r="J98" s="84"/>
      <x:c r="K98" s="84"/>
      <x:c r="L98" s="84"/>
      <x:c r="M98" s="84"/>
      <x:c r="N98" s="84"/>
      <x:c r="O98" s="84"/>
      <x:c r="P98" s="84"/>
      <x:c r="Q98" s="84"/>
      <x:c r="R98" s="84"/>
      <x:c r="S98" s="84"/>
      <x:c r="T98" s="84"/>
      <x:c r="U98" s="84"/>
    </x:row>
    <x:row r="99">
      <x:c r="A99" s="84"/>
      <x:c r="B99" s="84"/>
      <x:c r="C99" s="84"/>
      <x:c r="D99" s="84"/>
      <x:c r="E99" s="84"/>
      <x:c r="F99" s="84"/>
      <x:c r="G99" s="84"/>
      <x:c r="H99" s="84"/>
      <x:c r="I99" s="84"/>
      <x:c r="J99" s="84"/>
      <x:c r="K99" s="84"/>
      <x:c r="L99" s="84"/>
      <x:c r="M99" s="84"/>
      <x:c r="N99" s="84"/>
      <x:c r="O99" s="84"/>
      <x:c r="P99" s="84"/>
      <x:c r="Q99" s="84"/>
      <x:c r="R99" s="84"/>
      <x:c r="S99" s="84"/>
      <x:c r="T99" s="84"/>
      <x:c r="U99" s="84"/>
    </x:row>
    <x:row r="100">
      <x:c r="A100" s="84"/>
      <x:c r="B100" s="84"/>
      <x:c r="C100" s="84"/>
      <x:c r="D100" s="84"/>
      <x:c r="E100" s="84"/>
      <x:c r="F100" s="84"/>
      <x:c r="G100" s="84"/>
      <x:c r="H100" s="84"/>
      <x:c r="I100" s="84"/>
      <x:c r="J100" s="84"/>
      <x:c r="K100" s="84"/>
      <x:c r="L100" s="84"/>
      <x:c r="M100" s="84"/>
      <x:c r="N100" s="84"/>
      <x:c r="O100" s="84"/>
      <x:c r="P100" s="84"/>
      <x:c r="Q100" s="84"/>
      <x:c r="R100" s="84"/>
      <x:c r="S100" s="84"/>
      <x:c r="T100" s="84"/>
      <x:c r="U100" s="84"/>
    </x:row>
    <x:row r="101">
      <x:c r="A101" s="84"/>
      <x:c r="B101" s="84"/>
      <x:c r="C101" s="84"/>
      <x:c r="D101" s="84"/>
      <x:c r="E101" s="84"/>
      <x:c r="F101" s="84"/>
      <x:c r="G101" s="84"/>
      <x:c r="H101" s="84"/>
      <x:c r="I101" s="84"/>
      <x:c r="J101" s="84"/>
      <x:c r="K101" s="84"/>
      <x:c r="L101" s="84"/>
      <x:c r="M101" s="84"/>
      <x:c r="N101" s="84"/>
      <x:c r="O101" s="84"/>
      <x:c r="P101" s="84"/>
      <x:c r="Q101" s="84"/>
      <x:c r="R101" s="84"/>
      <x:c r="S101" s="84"/>
      <x:c r="T101" s="84"/>
      <x:c r="U101" s="84"/>
    </x:row>
    <x:row r="102">
      <x:c r="A102" s="84"/>
      <x:c r="B102" s="84"/>
      <x:c r="C102" s="84"/>
      <x:c r="D102" s="84"/>
      <x:c r="E102" s="84"/>
      <x:c r="F102" s="84"/>
      <x:c r="G102" s="84"/>
      <x:c r="H102" s="84"/>
      <x:c r="I102" s="84"/>
      <x:c r="J102" s="84"/>
      <x:c r="K102" s="84"/>
      <x:c r="L102" s="84"/>
      <x:c r="M102" s="84"/>
      <x:c r="N102" s="84"/>
      <x:c r="O102" s="84"/>
      <x:c r="P102" s="84"/>
      <x:c r="Q102" s="84"/>
      <x:c r="R102" s="84"/>
      <x:c r="S102" s="84"/>
      <x:c r="T102" s="84"/>
      <x:c r="U102" s="84"/>
    </x:row>
    <x:row r="103">
      <x:c r="A103" s="84"/>
      <x:c r="B103" s="84"/>
      <x:c r="C103" s="84"/>
      <x:c r="D103" s="84"/>
      <x:c r="E103" s="84"/>
      <x:c r="F103" s="84"/>
      <x:c r="G103" s="84"/>
      <x:c r="H103" s="84"/>
      <x:c r="I103" s="84"/>
      <x:c r="J103" s="84"/>
      <x:c r="K103" s="84"/>
      <x:c r="L103" s="84"/>
      <x:c r="M103" s="84"/>
      <x:c r="N103" s="84"/>
      <x:c r="O103" s="84"/>
      <x:c r="P103" s="84"/>
      <x:c r="Q103" s="84"/>
      <x:c r="R103" s="84"/>
      <x:c r="S103" s="84"/>
      <x:c r="T103" s="84"/>
      <x:c r="U103" s="84"/>
    </x:row>
    <x:row r="104">
      <x:c r="A104" s="84"/>
      <x:c r="B104" s="84"/>
      <x:c r="C104" s="84"/>
      <x:c r="D104" s="84"/>
      <x:c r="E104" s="84"/>
      <x:c r="F104" s="84"/>
      <x:c r="G104" s="84"/>
      <x:c r="H104" s="84"/>
      <x:c r="I104" s="84"/>
      <x:c r="J104" s="84"/>
      <x:c r="K104" s="84"/>
      <x:c r="L104" s="84"/>
      <x:c r="M104" s="84"/>
      <x:c r="N104" s="84"/>
      <x:c r="O104" s="84"/>
      <x:c r="P104" s="84"/>
      <x:c r="Q104" s="84"/>
      <x:c r="R104" s="84"/>
      <x:c r="S104" s="84"/>
      <x:c r="T104" s="84"/>
      <x:c r="U104" s="84"/>
    </x:row>
    <x:row r="105">
      <x:c r="A105" s="84"/>
      <x:c r="B105" s="84"/>
      <x:c r="C105" s="84"/>
      <x:c r="D105" s="84"/>
      <x:c r="E105" s="84"/>
      <x:c r="F105" s="84"/>
      <x:c r="G105" s="84"/>
      <x:c r="H105" s="84"/>
      <x:c r="I105" s="84"/>
      <x:c r="J105" s="84"/>
      <x:c r="K105" s="84"/>
      <x:c r="L105" s="84"/>
      <x:c r="M105" s="84"/>
      <x:c r="N105" s="84"/>
      <x:c r="O105" s="84"/>
      <x:c r="P105" s="84"/>
      <x:c r="Q105" s="84"/>
      <x:c r="R105" s="84"/>
      <x:c r="S105" s="84"/>
      <x:c r="T105" s="84"/>
      <x:c r="U105" s="84"/>
    </x:row>
    <x:row r="106">
      <x:c r="A106" s="84"/>
      <x:c r="B106" s="84"/>
      <x:c r="C106" s="84"/>
      <x:c r="D106" s="84"/>
      <x:c r="E106" s="84"/>
      <x:c r="F106" s="84"/>
      <x:c r="G106" s="84"/>
      <x:c r="H106" s="84"/>
      <x:c r="I106" s="84"/>
      <x:c r="J106" s="84"/>
      <x:c r="K106" s="84"/>
      <x:c r="L106" s="84"/>
      <x:c r="M106" s="84"/>
      <x:c r="N106" s="84"/>
      <x:c r="O106" s="84"/>
      <x:c r="P106" s="84"/>
      <x:c r="Q106" s="84"/>
      <x:c r="R106" s="84"/>
      <x:c r="S106" s="84"/>
      <x:c r="T106" s="84"/>
      <x:c r="U106" s="84"/>
    </x:row>
    <x:row r="107">
      <x:c r="A107" s="84"/>
      <x:c r="B107" s="84"/>
      <x:c r="C107" s="84"/>
      <x:c r="D107" s="84"/>
      <x:c r="E107" s="84"/>
      <x:c r="F107" s="84"/>
      <x:c r="G107" s="84"/>
      <x:c r="H107" s="84"/>
      <x:c r="I107" s="84"/>
      <x:c r="J107" s="84"/>
      <x:c r="K107" s="84"/>
      <x:c r="L107" s="84"/>
      <x:c r="M107" s="84"/>
      <x:c r="N107" s="84"/>
      <x:c r="O107" s="84"/>
      <x:c r="P107" s="84"/>
      <x:c r="Q107" s="84"/>
      <x:c r="R107" s="84"/>
      <x:c r="S107" s="84"/>
      <x:c r="T107" s="84"/>
      <x:c r="U107" s="84"/>
    </x:row>
    <x:row r="108">
      <x:c r="A108" s="84"/>
      <x:c r="B108" s="84"/>
      <x:c r="C108" s="84"/>
      <x:c r="D108" s="84"/>
      <x:c r="E108" s="84"/>
      <x:c r="F108" s="84"/>
      <x:c r="G108" s="84"/>
      <x:c r="H108" s="84"/>
      <x:c r="I108" s="84"/>
      <x:c r="J108" s="84"/>
      <x:c r="K108" s="84"/>
      <x:c r="L108" s="84"/>
      <x:c r="M108" s="84"/>
      <x:c r="N108" s="84"/>
      <x:c r="O108" s="84"/>
      <x:c r="P108" s="84"/>
      <x:c r="Q108" s="84"/>
      <x:c r="R108" s="84"/>
      <x:c r="S108" s="84"/>
      <x:c r="T108" s="84"/>
      <x:c r="U108" s="84"/>
    </x:row>
    <x:row r="109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4"/>
      <x:c r="K109" s="84"/>
      <x:c r="L109" s="84"/>
      <x:c r="M109" s="84"/>
      <x:c r="N109" s="84"/>
      <x:c r="O109" s="84"/>
      <x:c r="P109" s="84"/>
      <x:c r="Q109" s="84"/>
      <x:c r="R109" s="84"/>
      <x:c r="S109" s="84"/>
      <x:c r="T109" s="84"/>
      <x:c r="U109" s="84"/>
    </x:row>
    <x:row r="110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4"/>
      <x:c r="K110" s="84"/>
      <x:c r="L110" s="84"/>
      <x:c r="M110" s="84"/>
      <x:c r="N110" s="84"/>
      <x:c r="O110" s="84"/>
      <x:c r="P110" s="84"/>
      <x:c r="Q110" s="84"/>
      <x:c r="R110" s="84"/>
      <x:c r="S110" s="84"/>
      <x:c r="T110" s="84"/>
      <x:c r="U110" s="84"/>
    </x:row>
  </x:sheetData>
  <x:mergeCells>
    <x:mergeCell ref="A1:F1"/>
  </x:mergeCells>
  <x:conditionalFormatting sqref="E4:E8">
    <x:cfRule type="expression" dxfId="0" priority="1">
      <x:formula>E4="ACTION NEEDED"</x:formula>
    </x:cfRule>
    <x:cfRule type="expression" dxfId="1" priority="2">
      <x:formula>E4="REVIEW"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6" hidden="0" customWidth="1"/>
    <x:col min="4" max="4" width="20" hidden="0" customWidth="1"/>
    <x:col min="5" max="5" width="16" hidden="0" customWidth="1"/>
    <x:col min="6" max="6" width="14" hidden="0" customWidth="1"/>
  </x:cols>
  <x:sheetData>
    <x:row r="1">
      <x:c r="A1" s="141" t="str">
        <x:v>MILESTONES — suggested dates calculate automatically; override only if needed</x:v>
      </x:c>
      <x:c r="B1" s="141"/>
      <x:c r="C1" s="141"/>
      <x:c r="D1" s="141"/>
      <x:c r="E1" s="141"/>
      <x:c r="F1" s="141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84"/>
      <x:c r="R1" s="84"/>
      <x:c r="S1" s="84"/>
      <x:c r="T1" s="84"/>
      <x:c r="U1" s="84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  <x:c r="S2" s="84"/>
      <x:c r="T2" s="84"/>
      <x:c r="U2" s="84"/>
    </x:row>
    <x:row r="3">
      <x:c r="A3" s="86" t="str">
        <x:v>Milestone</x:v>
      </x:c>
      <x:c r="B3" s="86" t="str">
        <x:v>Suggested %</x:v>
      </x:c>
      <x:c r="C3" s="86" t="str">
        <x:v>Suggested Date</x:v>
      </x:c>
      <x:c r="D3" s="86" t="str">
        <x:v>Override Date (optional)</x:v>
      </x:c>
      <x:c r="E3" s="86" t="str">
        <x:v>Working Date</x:v>
      </x:c>
      <x:c r="F3" s="86" t="str">
        <x:v>Status</x:v>
      </x:c>
      <x:c r="G3" s="84"/>
      <x:c r="H3" s="84"/>
      <x:c r="I3" s="84"/>
      <x:c r="J3" s="84"/>
      <x:c r="K3" s="84"/>
      <x:c r="L3" s="84"/>
      <x:c r="M3" s="84"/>
      <x:c r="N3" s="84"/>
      <x:c r="O3" s="84"/>
      <x:c r="P3" s="84"/>
      <x:c r="Q3" s="84"/>
      <x:c r="R3" s="84"/>
      <x:c r="S3" s="84"/>
      <x:c r="T3" s="84"/>
      <x:c r="U3" s="84"/>
    </x:row>
    <x:row r="4">
      <x:c r="A4" s="84" t="str">
        <x:v>Research question finalized</x:v>
      </x:c>
      <x:c r="B4" s="115" t="n">
        <x:v>0.15</x:v>
      </x:c>
      <x:c r="C4" s="116" t="n">
        <x:f>ASSIGNMENT!$B$6+ROUND((ASSIGNMENT!$B$7-ASSIGNMENT!$B$6)*B4,0)</x:f>
        <x:v>46301</x:v>
      </x:c>
      <x:c r="D4" s="117"/>
      <x:c r="E4" s="116" t="n">
        <x:f>IF(D4&lt;&gt;"",D4,C4)</x:f>
        <x:v>46301</x:v>
      </x:c>
      <x:c r="F4" s="90" t="str">
        <x:f>IF(TODAY()&gt;E4,"Due / Past",IF(TODAY()+3&gt;=E4,"Due Soon","Upcoming"))</x:f>
        <x:v>Upcoming</x:v>
      </x:c>
      <x:c r="G4" s="84"/>
      <x:c r="H4" s="84"/>
      <x:c r="I4" s="84"/>
      <x:c r="J4" s="84"/>
      <x:c r="K4" s="84"/>
      <x:c r="L4" s="84"/>
      <x:c r="M4" s="84"/>
      <x:c r="N4" s="84"/>
      <x:c r="O4" s="84"/>
      <x:c r="P4" s="84"/>
      <x:c r="Q4" s="84"/>
      <x:c r="R4" s="84"/>
      <x:c r="S4" s="84"/>
      <x:c r="T4" s="84"/>
      <x:c r="U4" s="84"/>
    </x:row>
    <x:row r="5">
      <x:c r="A5" s="84" t="str">
        <x:v>Preliminary source set</x:v>
      </x:c>
      <x:c r="B5" s="115" t="n">
        <x:v>0.3</x:v>
      </x:c>
      <x:c r="C5" s="116" t="n">
        <x:f>ASSIGNMENT!$B$6+ROUND((ASSIGNMENT!$B$7-ASSIGNMENT!$B$6)*B5,0)</x:f>
        <x:v>46305</x:v>
      </x:c>
      <x:c r="D5" s="117"/>
      <x:c r="E5" s="116" t="n">
        <x:f>IF(D5&lt;&gt;"",D5,C5)</x:f>
        <x:v>46305</x:v>
      </x:c>
      <x:c r="F5" s="90" t="str">
        <x:f>IF(TODAY()&gt;E5,"Due / Past",IF(TODAY()+3&gt;=E5,"Due Soon","Upcoming"))</x:f>
        <x:v>Upcoming</x:v>
      </x:c>
      <x:c r="G5" s="84"/>
      <x:c r="H5" s="84"/>
      <x:c r="I5" s="84"/>
      <x:c r="J5" s="84"/>
      <x:c r="K5" s="84"/>
      <x:c r="L5" s="84"/>
      <x:c r="M5" s="84"/>
      <x:c r="N5" s="84"/>
      <x:c r="O5" s="84"/>
      <x:c r="P5" s="84"/>
      <x:c r="Q5" s="84"/>
      <x:c r="R5" s="84"/>
      <x:c r="S5" s="84"/>
      <x:c r="T5" s="84"/>
      <x:c r="U5" s="84"/>
    </x:row>
    <x:row r="6">
      <x:c r="A6" s="84" t="str">
        <x:v>Source log mostly complete</x:v>
      </x:c>
      <x:c r="B6" s="115" t="n">
        <x:v>0.45</x:v>
      </x:c>
      <x:c r="C6" s="116" t="n">
        <x:f>ASSIGNMENT!$B$6+ROUND((ASSIGNMENT!$B$7-ASSIGNMENT!$B$6)*B6,0)</x:f>
        <x:v>46310</x:v>
      </x:c>
      <x:c r="D6" s="117"/>
      <x:c r="E6" s="116" t="n">
        <x:f>IF(D6&lt;&gt;"",D6,C6)</x:f>
        <x:v>46310</x:v>
      </x:c>
      <x:c r="F6" s="90" t="str">
        <x:f>IF(TODAY()&gt;E6,"Due / Past",IF(TODAY()+3&gt;=E6,"Due Soon","Upcoming"))</x:f>
        <x:v>Upcoming</x:v>
      </x:c>
      <x:c r="G6" s="84"/>
      <x:c r="H6" s="84"/>
      <x:c r="I6" s="84"/>
      <x:c r="J6" s="84"/>
      <x:c r="K6" s="84"/>
      <x:c r="L6" s="84"/>
      <x:c r="M6" s="84"/>
      <x:c r="N6" s="84"/>
      <x:c r="O6" s="84"/>
      <x:c r="P6" s="84"/>
      <x:c r="Q6" s="84"/>
      <x:c r="R6" s="84"/>
      <x:c r="S6" s="84"/>
      <x:c r="T6" s="84"/>
      <x:c r="U6" s="84"/>
    </x:row>
    <x:row r="7">
      <x:c r="A7" s="84" t="str">
        <x:v>Evidence matrix populated</x:v>
      </x:c>
      <x:c r="B7" s="115" t="n">
        <x:v>0.55</x:v>
      </x:c>
      <x:c r="C7" s="116" t="n">
        <x:f>ASSIGNMENT!$B$6+ROUND((ASSIGNMENT!$B$7-ASSIGNMENT!$B$6)*B7,0)</x:f>
        <x:v>46313</x:v>
      </x:c>
      <x:c r="D7" s="117"/>
      <x:c r="E7" s="116" t="n">
        <x:f>IF(D7&lt;&gt;"",D7,C7)</x:f>
        <x:v>46313</x:v>
      </x:c>
      <x:c r="F7" s="90" t="str">
        <x:f>IF(TODAY()&gt;E7,"Due / Past",IF(TODAY()+3&gt;=E7,"Due Soon","Upcoming"))</x:f>
        <x:v>Upcoming</x:v>
      </x:c>
      <x:c r="G7" s="84"/>
      <x:c r="H7" s="84"/>
      <x:c r="I7" s="84"/>
      <x:c r="J7" s="84"/>
      <x:c r="K7" s="84"/>
      <x:c r="L7" s="84"/>
      <x:c r="M7" s="84"/>
      <x:c r="N7" s="84"/>
      <x:c r="O7" s="84"/>
      <x:c r="P7" s="84"/>
      <x:c r="Q7" s="84"/>
      <x:c r="R7" s="84"/>
      <x:c r="S7" s="84"/>
      <x:c r="T7" s="84"/>
      <x:c r="U7" s="84"/>
    </x:row>
    <x:row r="8">
      <x:c r="A8" s="84" t="str">
        <x:v>Outline complete</x:v>
      </x:c>
      <x:c r="B8" s="115" t="n">
        <x:v>0.65</x:v>
      </x:c>
      <x:c r="C8" s="116" t="n">
        <x:f>ASSIGNMENT!$B$6+ROUND((ASSIGNMENT!$B$7-ASSIGNMENT!$B$6)*B8,0)</x:f>
        <x:v>46316</x:v>
      </x:c>
      <x:c r="D8" s="117"/>
      <x:c r="E8" s="116" t="n">
        <x:f>IF(D8&lt;&gt;"",D8,C8)</x:f>
        <x:v>46316</x:v>
      </x:c>
      <x:c r="F8" s="90" t="str">
        <x:f>IF(TODAY()&gt;E8,"Due / Past",IF(TODAY()+3&gt;=E8,"Due Soon","Upcoming"))</x:f>
        <x:v>Upcoming</x:v>
      </x:c>
      <x:c r="G8" s="84"/>
      <x:c r="H8" s="84"/>
      <x:c r="I8" s="84"/>
      <x:c r="J8" s="84"/>
      <x:c r="K8" s="84"/>
      <x:c r="L8" s="84"/>
      <x:c r="M8" s="84"/>
      <x:c r="N8" s="84"/>
      <x:c r="O8" s="84"/>
      <x:c r="P8" s="84"/>
      <x:c r="Q8" s="84"/>
      <x:c r="R8" s="84"/>
      <x:c r="S8" s="84"/>
      <x:c r="T8" s="84"/>
      <x:c r="U8" s="84"/>
    </x:row>
    <x:row r="9">
      <x:c r="A9" s="84" t="str">
        <x:v>Full draft complete</x:v>
      </x:c>
      <x:c r="B9" s="115" t="n">
        <x:v>0.8</x:v>
      </x:c>
      <x:c r="C9" s="116" t="n">
        <x:f>ASSIGNMENT!$B$6+ROUND((ASSIGNMENT!$B$7-ASSIGNMENT!$B$6)*B9,0)</x:f>
        <x:v>46320</x:v>
      </x:c>
      <x:c r="D9" s="117"/>
      <x:c r="E9" s="116" t="n">
        <x:f>IF(D9&lt;&gt;"",D9,C9)</x:f>
        <x:v>46320</x:v>
      </x:c>
      <x:c r="F9" s="90" t="str">
        <x:f>IF(TODAY()&gt;E9,"Due / Past",IF(TODAY()+3&gt;=E9,"Due Soon","Upcoming"))</x:f>
        <x:v>Upcoming</x:v>
      </x:c>
      <x:c r="G9" s="84"/>
      <x:c r="H9" s="84"/>
      <x:c r="I9" s="84"/>
      <x:c r="J9" s="84"/>
      <x:c r="K9" s="84"/>
      <x:c r="L9" s="84"/>
      <x:c r="M9" s="84"/>
      <x:c r="N9" s="84"/>
      <x:c r="O9" s="84"/>
      <x:c r="P9" s="84"/>
      <x:c r="Q9" s="84"/>
      <x:c r="R9" s="84"/>
      <x:c r="S9" s="84"/>
      <x:c r="T9" s="84"/>
      <x:c r="U9" s="84"/>
    </x:row>
    <x:row r="10">
      <x:c r="A10" s="84" t="str">
        <x:v>Peer/self review complete</x:v>
      </x:c>
      <x:c r="B10" s="115" t="n">
        <x:v>0.9</x:v>
      </x:c>
      <x:c r="C10" s="116" t="n">
        <x:f>ASSIGNMENT!$B$6+ROUND((ASSIGNMENT!$B$7-ASSIGNMENT!$B$6)*B10,0)</x:f>
        <x:v>46323</x:v>
      </x:c>
      <x:c r="D10" s="117"/>
      <x:c r="E10" s="116" t="n">
        <x:f>IF(D10&lt;&gt;"",D10,C10)</x:f>
        <x:v>46323</x:v>
      </x:c>
      <x:c r="F10" s="90" t="str">
        <x:f>IF(TODAY()&gt;E10,"Due / Past",IF(TODAY()+3&gt;=E10,"Due Soon","Upcoming"))</x:f>
        <x:v>Upcoming</x:v>
      </x:c>
      <x:c r="G10" s="84"/>
      <x:c r="H10" s="84"/>
      <x:c r="I10" s="84"/>
      <x:c r="J10" s="84"/>
      <x:c r="K10" s="84"/>
      <x:c r="L10" s="84"/>
      <x:c r="M10" s="84"/>
      <x:c r="N10" s="84"/>
      <x:c r="O10" s="84"/>
      <x:c r="P10" s="84"/>
      <x:c r="Q10" s="84"/>
      <x:c r="R10" s="84"/>
      <x:c r="S10" s="84"/>
      <x:c r="T10" s="84"/>
      <x:c r="U10" s="84"/>
    </x:row>
    <x:row r="11">
      <x:c r="A11" s="84" t="str">
        <x:v>APA + final QA complete</x:v>
      </x:c>
      <x:c r="B11" s="115" t="n">
        <x:v>0.97</x:v>
      </x:c>
      <x:c r="C11" s="116" t="n">
        <x:f>ASSIGNMENT!$B$6+ROUND((ASSIGNMENT!$B$7-ASSIGNMENT!$B$6)*B11,0)</x:f>
        <x:v>46325</x:v>
      </x:c>
      <x:c r="D11" s="117"/>
      <x:c r="E11" s="116" t="n">
        <x:f>IF(D11&lt;&gt;"",D11,C11)</x:f>
        <x:v>46325</x:v>
      </x:c>
      <x:c r="F11" s="90" t="str">
        <x:f>IF(TODAY()&gt;E11,"Due / Past",IF(TODAY()+3&gt;=E11,"Due Soon","Upcoming"))</x:f>
        <x:v>Upcoming</x:v>
      </x:c>
      <x:c r="G11" s="84"/>
      <x:c r="H11" s="84"/>
      <x:c r="I11" s="84"/>
      <x:c r="J11" s="84"/>
      <x:c r="K11" s="84"/>
      <x:c r="L11" s="84"/>
      <x:c r="M11" s="84"/>
      <x:c r="N11" s="84"/>
      <x:c r="O11" s="84"/>
      <x:c r="P11" s="84"/>
      <x:c r="Q11" s="84"/>
      <x:c r="R11" s="84"/>
      <x:c r="S11" s="84"/>
      <x:c r="T11" s="84"/>
      <x:c r="U11" s="84"/>
    </x:row>
    <x:row r="12">
      <x:c r="A12" s="84" t="str">
        <x:v>Submit</x:v>
      </x:c>
      <x:c r="B12" s="115" t="n">
        <x:v>1</x:v>
      </x:c>
      <x:c r="C12" s="116" t="n">
        <x:f>ASSIGNMENT!$B$6+ROUND((ASSIGNMENT!$B$7-ASSIGNMENT!$B$6)*B12,0)</x:f>
        <x:v>46326</x:v>
      </x:c>
      <x:c r="D12" s="117"/>
      <x:c r="E12" s="116" t="n">
        <x:f>IF(D12&lt;&gt;"",D12,C12)</x:f>
        <x:v>46326</x:v>
      </x:c>
      <x:c r="F12" s="90" t="str">
        <x:f>IF(TODAY()&gt;E12,"Due / Past",IF(TODAY()+3&gt;=E12,"Due Soon","Upcoming"))</x:f>
        <x:v>Upcoming</x:v>
      </x:c>
      <x:c r="G12" s="84"/>
      <x:c r="H12" s="84"/>
      <x:c r="I12" s="84"/>
      <x:c r="J12" s="84"/>
      <x:c r="K12" s="84"/>
      <x:c r="L12" s="84"/>
      <x:c r="M12" s="84"/>
      <x:c r="N12" s="84"/>
      <x:c r="O12" s="84"/>
      <x:c r="P12" s="84"/>
      <x:c r="Q12" s="84"/>
      <x:c r="R12" s="84"/>
      <x:c r="S12" s="84"/>
      <x:c r="T12" s="84"/>
      <x:c r="U12" s="84"/>
    </x:row>
    <x:row r="13">
      <x:c r="A13" s="84"/>
      <x:c r="B13" s="84"/>
      <x:c r="C13" s="84"/>
      <x:c r="D13" s="84"/>
      <x:c r="E13" s="84"/>
      <x:c r="F13" s="84"/>
      <x:c r="G13" s="84"/>
      <x:c r="H13" s="84"/>
      <x:c r="I13" s="84"/>
      <x:c r="J13" s="84"/>
      <x:c r="K13" s="84"/>
      <x:c r="L13" s="84"/>
      <x:c r="M13" s="84"/>
      <x:c r="N13" s="84"/>
      <x:c r="O13" s="84"/>
      <x:c r="P13" s="84"/>
      <x:c r="Q13" s="84"/>
      <x:c r="R13" s="84"/>
      <x:c r="S13" s="84"/>
      <x:c r="T13" s="84"/>
      <x:c r="U13" s="84"/>
    </x:row>
    <x:row r="14">
      <x:c r="A14" s="84"/>
      <x:c r="B14" s="84"/>
      <x:c r="C14" s="84"/>
      <x:c r="D14" s="84"/>
      <x:c r="E14" s="84"/>
      <x:c r="F14" s="84"/>
      <x:c r="G14" s="84"/>
      <x:c r="H14" s="84"/>
      <x:c r="I14" s="84"/>
      <x:c r="J14" s="84"/>
      <x:c r="K14" s="84"/>
      <x:c r="L14" s="84"/>
      <x:c r="M14" s="84"/>
      <x:c r="N14" s="84"/>
      <x:c r="O14" s="84"/>
      <x:c r="P14" s="84"/>
      <x:c r="Q14" s="84"/>
      <x:c r="R14" s="84"/>
      <x:c r="S14" s="84"/>
      <x:c r="T14" s="84"/>
      <x:c r="U14" s="84"/>
    </x:row>
    <x:row r="15">
      <x:c r="A15" s="84"/>
      <x:c r="B15" s="84"/>
      <x:c r="C15" s="84"/>
      <x:c r="D15" s="84"/>
      <x:c r="E15" s="84"/>
      <x:c r="F15" s="84"/>
      <x:c r="G15" s="84"/>
      <x:c r="H15" s="84"/>
      <x:c r="I15" s="84"/>
      <x:c r="J15" s="84"/>
      <x:c r="K15" s="84"/>
      <x:c r="L15" s="84"/>
      <x:c r="M15" s="84"/>
      <x:c r="N15" s="84"/>
      <x:c r="O15" s="84"/>
      <x:c r="P15" s="84"/>
      <x:c r="Q15" s="84"/>
      <x:c r="R15" s="84"/>
      <x:c r="S15" s="84"/>
      <x:c r="T15" s="84"/>
      <x:c r="U15" s="84"/>
    </x:row>
    <x:row r="16">
      <x:c r="A16" s="84"/>
      <x:c r="B16" s="84"/>
      <x:c r="C16" s="84"/>
      <x:c r="D16" s="84"/>
      <x:c r="E16" s="84"/>
      <x:c r="F16" s="84"/>
      <x:c r="G16" s="84"/>
      <x:c r="H16" s="84"/>
      <x:c r="I16" s="84"/>
      <x:c r="J16" s="84"/>
      <x:c r="K16" s="84"/>
      <x:c r="L16" s="84"/>
      <x:c r="M16" s="84"/>
      <x:c r="N16" s="84"/>
      <x:c r="O16" s="84"/>
      <x:c r="P16" s="84"/>
      <x:c r="Q16" s="84"/>
      <x:c r="R16" s="84"/>
      <x:c r="S16" s="84"/>
      <x:c r="T16" s="84"/>
      <x:c r="U16" s="84"/>
    </x:row>
    <x:row r="17">
      <x:c r="A17" s="84"/>
      <x:c r="B17" s="84"/>
      <x:c r="C17" s="84"/>
      <x:c r="D17" s="84"/>
      <x:c r="E17" s="84"/>
      <x:c r="F17" s="84"/>
      <x:c r="G17" s="84"/>
      <x:c r="H17" s="84"/>
      <x:c r="I17" s="84"/>
      <x:c r="J17" s="84"/>
      <x:c r="K17" s="84"/>
      <x:c r="L17" s="84"/>
      <x:c r="M17" s="84"/>
      <x:c r="N17" s="84"/>
      <x:c r="O17" s="84"/>
      <x:c r="P17" s="84"/>
      <x:c r="Q17" s="84"/>
      <x:c r="R17" s="84"/>
      <x:c r="S17" s="84"/>
      <x:c r="T17" s="84"/>
      <x:c r="U17" s="84"/>
    </x:row>
    <x:row r="18">
      <x:c r="A18" s="84"/>
      <x:c r="B18" s="84"/>
      <x:c r="C18" s="84"/>
      <x:c r="D18" s="84"/>
      <x:c r="E18" s="84"/>
      <x:c r="F18" s="84"/>
      <x:c r="G18" s="84"/>
      <x:c r="H18" s="84"/>
      <x:c r="I18" s="84"/>
      <x:c r="J18" s="84"/>
      <x:c r="K18" s="84"/>
      <x:c r="L18" s="84"/>
      <x:c r="M18" s="84"/>
      <x:c r="N18" s="84"/>
      <x:c r="O18" s="84"/>
      <x:c r="P18" s="84"/>
      <x:c r="Q18" s="84"/>
      <x:c r="R18" s="84"/>
      <x:c r="S18" s="84"/>
      <x:c r="T18" s="84"/>
      <x:c r="U18" s="84"/>
    </x:row>
    <x:row r="19">
      <x:c r="A19" s="84"/>
      <x:c r="B19" s="84"/>
      <x:c r="C19" s="84"/>
      <x:c r="D19" s="84"/>
      <x:c r="E19" s="84"/>
      <x:c r="F19" s="84"/>
      <x:c r="G19" s="84"/>
      <x:c r="H19" s="84"/>
      <x:c r="I19" s="84"/>
      <x:c r="J19" s="84"/>
      <x:c r="K19" s="84"/>
      <x:c r="L19" s="84"/>
      <x:c r="M19" s="84"/>
      <x:c r="N19" s="84"/>
      <x:c r="O19" s="84"/>
      <x:c r="P19" s="84"/>
      <x:c r="Q19" s="84"/>
      <x:c r="R19" s="84"/>
      <x:c r="S19" s="84"/>
      <x:c r="T19" s="84"/>
      <x:c r="U19" s="84"/>
    </x:row>
    <x:row r="20">
      <x:c r="A20" s="84"/>
      <x:c r="B20" s="84"/>
      <x:c r="C20" s="84"/>
      <x:c r="D20" s="84"/>
      <x:c r="E20" s="84"/>
      <x:c r="F20" s="84"/>
      <x:c r="G20" s="84"/>
      <x:c r="H20" s="84"/>
      <x:c r="I20" s="84"/>
      <x:c r="J20" s="84"/>
      <x:c r="K20" s="84"/>
      <x:c r="L20" s="84"/>
      <x:c r="M20" s="84"/>
      <x:c r="N20" s="84"/>
      <x:c r="O20" s="84"/>
      <x:c r="P20" s="84"/>
      <x:c r="Q20" s="84"/>
      <x:c r="R20" s="84"/>
      <x:c r="S20" s="84"/>
      <x:c r="T20" s="84"/>
      <x:c r="U20" s="84"/>
    </x:row>
    <x:row r="21">
      <x:c r="A21" s="84"/>
      <x:c r="B21" s="84"/>
      <x:c r="C21" s="84"/>
      <x:c r="D21" s="84"/>
      <x:c r="E21" s="84"/>
      <x:c r="F21" s="84"/>
      <x:c r="G21" s="84"/>
      <x:c r="H21" s="84"/>
      <x:c r="I21" s="84"/>
      <x:c r="J21" s="84"/>
      <x:c r="K21" s="84"/>
      <x:c r="L21" s="84"/>
      <x:c r="M21" s="84"/>
      <x:c r="N21" s="84"/>
      <x:c r="O21" s="84"/>
      <x:c r="P21" s="84"/>
      <x:c r="Q21" s="84"/>
      <x:c r="R21" s="84"/>
      <x:c r="S21" s="84"/>
      <x:c r="T21" s="84"/>
      <x:c r="U21" s="84"/>
    </x:row>
    <x:row r="22">
      <x:c r="A22" s="84"/>
      <x:c r="B22" s="84"/>
      <x:c r="C22" s="84"/>
      <x:c r="D22" s="84"/>
      <x:c r="E22" s="84"/>
      <x:c r="F22" s="84"/>
      <x:c r="G22" s="84"/>
      <x:c r="H22" s="84"/>
      <x:c r="I22" s="84"/>
      <x:c r="J22" s="84"/>
      <x:c r="K22" s="84"/>
      <x:c r="L22" s="84"/>
      <x:c r="M22" s="84"/>
      <x:c r="N22" s="84"/>
      <x:c r="O22" s="84"/>
      <x:c r="P22" s="84"/>
      <x:c r="Q22" s="84"/>
      <x:c r="R22" s="84"/>
      <x:c r="S22" s="84"/>
      <x:c r="T22" s="84"/>
      <x:c r="U22" s="84"/>
    </x:row>
    <x:row r="23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  <x:c r="K23" s="84"/>
      <x:c r="L23" s="84"/>
      <x:c r="M23" s="84"/>
      <x:c r="N23" s="84"/>
      <x:c r="O23" s="84"/>
      <x:c r="P23" s="84"/>
      <x:c r="Q23" s="84"/>
      <x:c r="R23" s="84"/>
      <x:c r="S23" s="84"/>
      <x:c r="T23" s="84"/>
      <x:c r="U23" s="84"/>
    </x:row>
    <x:row r="24">
      <x:c r="A24" s="84"/>
      <x:c r="B24" s="84"/>
      <x:c r="C24" s="84"/>
      <x:c r="D24" s="84"/>
      <x:c r="E24" s="84"/>
      <x:c r="F24" s="84"/>
      <x:c r="G24" s="84"/>
      <x:c r="H24" s="84"/>
      <x:c r="I24" s="84"/>
      <x:c r="J24" s="84"/>
      <x:c r="K24" s="84"/>
      <x:c r="L24" s="84"/>
      <x:c r="M24" s="84"/>
      <x:c r="N24" s="84"/>
      <x:c r="O24" s="84"/>
      <x:c r="P24" s="84"/>
      <x:c r="Q24" s="84"/>
      <x:c r="R24" s="84"/>
      <x:c r="S24" s="84"/>
      <x:c r="T24" s="84"/>
      <x:c r="U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  <x:c r="K25" s="84"/>
      <x:c r="L25" s="84"/>
      <x:c r="M25" s="84"/>
      <x:c r="N25" s="84"/>
      <x:c r="O25" s="84"/>
      <x:c r="P25" s="84"/>
      <x:c r="Q25" s="84"/>
      <x:c r="R25" s="84"/>
      <x:c r="S25" s="84"/>
      <x:c r="T25" s="84"/>
      <x:c r="U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  <x:c r="K26" s="84"/>
      <x:c r="L26" s="84"/>
      <x:c r="M26" s="84"/>
      <x:c r="N26" s="84"/>
      <x:c r="O26" s="84"/>
      <x:c r="P26" s="84"/>
      <x:c r="Q26" s="84"/>
      <x:c r="R26" s="84"/>
      <x:c r="S26" s="84"/>
      <x:c r="T26" s="84"/>
      <x:c r="U26" s="84"/>
    </x:row>
    <x:row r="27">
      <x:c r="A27" s="84"/>
      <x:c r="B27" s="84"/>
      <x:c r="C27" s="84"/>
      <x:c r="D27" s="84"/>
      <x:c r="E27" s="84"/>
      <x:c r="F27" s="84"/>
      <x:c r="G27" s="84"/>
      <x:c r="H27" s="84"/>
      <x:c r="I27" s="84"/>
      <x:c r="J27" s="84"/>
      <x:c r="K27" s="84"/>
      <x:c r="L27" s="84"/>
      <x:c r="M27" s="84"/>
      <x:c r="N27" s="84"/>
      <x:c r="O27" s="84"/>
      <x:c r="P27" s="84"/>
      <x:c r="Q27" s="84"/>
      <x:c r="R27" s="84"/>
      <x:c r="S27" s="84"/>
      <x:c r="T27" s="84"/>
      <x:c r="U27" s="84"/>
    </x:row>
    <x:row r="28">
      <x:c r="A28" s="84"/>
      <x:c r="B28" s="84"/>
      <x:c r="C28" s="84"/>
      <x:c r="D28" s="84"/>
      <x:c r="E28" s="84"/>
      <x:c r="F28" s="84"/>
      <x:c r="G28" s="84"/>
      <x:c r="H28" s="84"/>
      <x:c r="I28" s="84"/>
      <x:c r="J28" s="84"/>
      <x:c r="K28" s="84"/>
      <x:c r="L28" s="84"/>
      <x:c r="M28" s="84"/>
      <x:c r="N28" s="84"/>
      <x:c r="O28" s="84"/>
      <x:c r="P28" s="84"/>
      <x:c r="Q28" s="84"/>
      <x:c r="R28" s="84"/>
      <x:c r="S28" s="84"/>
      <x:c r="T28" s="84"/>
      <x:c r="U28" s="84"/>
    </x:row>
    <x:row r="29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  <x:c r="K29" s="84"/>
      <x:c r="L29" s="84"/>
      <x:c r="M29" s="84"/>
      <x:c r="N29" s="84"/>
      <x:c r="O29" s="84"/>
      <x:c r="P29" s="84"/>
      <x:c r="Q29" s="84"/>
      <x:c r="R29" s="84"/>
      <x:c r="S29" s="84"/>
      <x:c r="T29" s="84"/>
      <x:c r="U29" s="84"/>
    </x:row>
    <x:row r="30">
      <x:c r="A30" s="84"/>
      <x:c r="B30" s="84"/>
      <x:c r="C30" s="84"/>
      <x:c r="D30" s="84"/>
      <x:c r="E30" s="84"/>
      <x:c r="F30" s="84"/>
      <x:c r="G30" s="84"/>
      <x:c r="H30" s="84"/>
      <x:c r="I30" s="84"/>
      <x:c r="J30" s="84"/>
      <x:c r="K30" s="84"/>
      <x:c r="L30" s="84"/>
      <x:c r="M30" s="84"/>
      <x:c r="N30" s="84"/>
      <x:c r="O30" s="84"/>
      <x:c r="P30" s="84"/>
      <x:c r="Q30" s="84"/>
      <x:c r="R30" s="84"/>
      <x:c r="S30" s="84"/>
      <x:c r="T30" s="84"/>
      <x:c r="U30" s="84"/>
    </x:row>
    <x:row r="31">
      <x:c r="A31" s="84"/>
      <x:c r="B31" s="84"/>
      <x:c r="C31" s="84"/>
      <x:c r="D31" s="84"/>
      <x:c r="E31" s="84"/>
      <x:c r="F31" s="84"/>
      <x:c r="G31" s="84"/>
      <x:c r="H31" s="84"/>
      <x:c r="I31" s="84"/>
      <x:c r="J31" s="84"/>
      <x:c r="K31" s="84"/>
      <x:c r="L31" s="84"/>
      <x:c r="M31" s="84"/>
      <x:c r="N31" s="84"/>
      <x:c r="O31" s="84"/>
      <x:c r="P31" s="84"/>
      <x:c r="Q31" s="84"/>
      <x:c r="R31" s="84"/>
      <x:c r="S31" s="84"/>
      <x:c r="T31" s="84"/>
      <x:c r="U31" s="84"/>
    </x:row>
    <x:row r="32">
      <x:c r="A32" s="84"/>
      <x:c r="B32" s="84"/>
      <x:c r="C32" s="84"/>
      <x:c r="D32" s="84"/>
      <x:c r="E32" s="84"/>
      <x:c r="F32" s="84"/>
      <x:c r="G32" s="84"/>
      <x:c r="H32" s="84"/>
      <x:c r="I32" s="84"/>
      <x:c r="J32" s="84"/>
      <x:c r="K32" s="84"/>
      <x:c r="L32" s="84"/>
      <x:c r="M32" s="84"/>
      <x:c r="N32" s="84"/>
      <x:c r="O32" s="84"/>
      <x:c r="P32" s="84"/>
      <x:c r="Q32" s="84"/>
      <x:c r="R32" s="84"/>
      <x:c r="S32" s="84"/>
      <x:c r="T32" s="84"/>
      <x:c r="U32" s="84"/>
    </x:row>
    <x:row r="33">
      <x:c r="A33" s="84"/>
      <x:c r="B33" s="84"/>
      <x:c r="C33" s="84"/>
      <x:c r="D33" s="84"/>
      <x:c r="E33" s="84"/>
      <x:c r="F33" s="84"/>
      <x:c r="G33" s="84"/>
      <x:c r="H33" s="84"/>
      <x:c r="I33" s="84"/>
      <x:c r="J33" s="84"/>
      <x:c r="K33" s="84"/>
      <x:c r="L33" s="84"/>
      <x:c r="M33" s="84"/>
      <x:c r="N33" s="84"/>
      <x:c r="O33" s="84"/>
      <x:c r="P33" s="84"/>
      <x:c r="Q33" s="84"/>
      <x:c r="R33" s="84"/>
      <x:c r="S33" s="84"/>
      <x:c r="T33" s="84"/>
      <x:c r="U33" s="84"/>
    </x:row>
    <x:row r="34">
      <x:c r="A34" s="84"/>
      <x:c r="B34" s="84"/>
      <x:c r="C34" s="84"/>
      <x:c r="D34" s="84"/>
      <x:c r="E34" s="84"/>
      <x:c r="F34" s="84"/>
      <x:c r="G34" s="84"/>
      <x:c r="H34" s="84"/>
      <x:c r="I34" s="84"/>
      <x:c r="J34" s="84"/>
      <x:c r="K34" s="84"/>
      <x:c r="L34" s="84"/>
      <x:c r="M34" s="84"/>
      <x:c r="N34" s="84"/>
      <x:c r="O34" s="84"/>
      <x:c r="P34" s="84"/>
      <x:c r="Q34" s="84"/>
      <x:c r="R34" s="84"/>
      <x:c r="S34" s="84"/>
      <x:c r="T34" s="84"/>
      <x:c r="U34" s="84"/>
    </x:row>
    <x:row r="35">
      <x:c r="A35" s="84"/>
      <x:c r="B35" s="84"/>
      <x:c r="C35" s="84"/>
      <x:c r="D35" s="84"/>
      <x:c r="E35" s="84"/>
      <x:c r="F35" s="84"/>
      <x:c r="G35" s="84"/>
      <x:c r="H35" s="84"/>
      <x:c r="I35" s="84"/>
      <x:c r="J35" s="84"/>
      <x:c r="K35" s="84"/>
      <x:c r="L35" s="84"/>
      <x:c r="M35" s="84"/>
      <x:c r="N35" s="84"/>
      <x:c r="O35" s="84"/>
      <x:c r="P35" s="84"/>
      <x:c r="Q35" s="84"/>
      <x:c r="R35" s="84"/>
      <x:c r="S35" s="84"/>
      <x:c r="T35" s="84"/>
      <x:c r="U35" s="84"/>
    </x:row>
    <x:row r="36">
      <x:c r="A36" s="84"/>
      <x:c r="B36" s="84"/>
      <x:c r="C36" s="84"/>
      <x:c r="D36" s="84"/>
      <x:c r="E36" s="84"/>
      <x:c r="F36" s="84"/>
      <x:c r="G36" s="84"/>
      <x:c r="H36" s="84"/>
      <x:c r="I36" s="84"/>
      <x:c r="J36" s="84"/>
      <x:c r="K36" s="84"/>
      <x:c r="L36" s="84"/>
      <x:c r="M36" s="84"/>
      <x:c r="N36" s="84"/>
      <x:c r="O36" s="84"/>
      <x:c r="P36" s="84"/>
      <x:c r="Q36" s="84"/>
      <x:c r="R36" s="84"/>
      <x:c r="S36" s="84"/>
      <x:c r="T36" s="84"/>
      <x:c r="U36" s="84"/>
    </x:row>
    <x:row r="37">
      <x:c r="A37" s="84"/>
      <x:c r="B37" s="84"/>
      <x:c r="C37" s="84"/>
      <x:c r="D37" s="84"/>
      <x:c r="E37" s="84"/>
      <x:c r="F37" s="84"/>
      <x:c r="G37" s="84"/>
      <x:c r="H37" s="84"/>
      <x:c r="I37" s="84"/>
      <x:c r="J37" s="84"/>
      <x:c r="K37" s="84"/>
      <x:c r="L37" s="84"/>
      <x:c r="M37" s="84"/>
      <x:c r="N37" s="84"/>
      <x:c r="O37" s="84"/>
      <x:c r="P37" s="84"/>
      <x:c r="Q37" s="84"/>
      <x:c r="R37" s="84"/>
      <x:c r="S37" s="84"/>
      <x:c r="T37" s="84"/>
      <x:c r="U37" s="84"/>
    </x:row>
    <x:row r="38">
      <x:c r="A38" s="84"/>
      <x:c r="B38" s="84"/>
      <x:c r="C38" s="84"/>
      <x:c r="D38" s="84"/>
      <x:c r="E38" s="84"/>
      <x:c r="F38" s="84"/>
      <x:c r="G38" s="84"/>
      <x:c r="H38" s="84"/>
      <x:c r="I38" s="84"/>
      <x:c r="J38" s="84"/>
      <x:c r="K38" s="84"/>
      <x:c r="L38" s="84"/>
      <x:c r="M38" s="84"/>
      <x:c r="N38" s="84"/>
      <x:c r="O38" s="84"/>
      <x:c r="P38" s="84"/>
      <x:c r="Q38" s="84"/>
      <x:c r="R38" s="84"/>
      <x:c r="S38" s="84"/>
      <x:c r="T38" s="84"/>
      <x:c r="U38" s="84"/>
    </x:row>
    <x:row r="39">
      <x:c r="A39" s="84"/>
      <x:c r="B39" s="84"/>
      <x:c r="C39" s="84"/>
      <x:c r="D39" s="84"/>
      <x:c r="E39" s="84"/>
      <x:c r="F39" s="84"/>
      <x:c r="G39" s="84"/>
      <x:c r="H39" s="84"/>
      <x:c r="I39" s="84"/>
      <x:c r="J39" s="84"/>
      <x:c r="K39" s="84"/>
      <x:c r="L39" s="84"/>
      <x:c r="M39" s="84"/>
      <x:c r="N39" s="84"/>
      <x:c r="O39" s="84"/>
      <x:c r="P39" s="84"/>
      <x:c r="Q39" s="84"/>
      <x:c r="R39" s="84"/>
      <x:c r="S39" s="84"/>
      <x:c r="T39" s="84"/>
      <x:c r="U39" s="84"/>
    </x:row>
    <x:row r="40">
      <x:c r="A40" s="84"/>
      <x:c r="B40" s="84"/>
      <x:c r="C40" s="84"/>
      <x:c r="D40" s="84"/>
      <x:c r="E40" s="84"/>
      <x:c r="F40" s="84"/>
      <x:c r="G40" s="84"/>
      <x:c r="H40" s="84"/>
      <x:c r="I40" s="84"/>
      <x:c r="J40" s="84"/>
      <x:c r="K40" s="84"/>
      <x:c r="L40" s="84"/>
      <x:c r="M40" s="84"/>
      <x:c r="N40" s="84"/>
      <x:c r="O40" s="84"/>
      <x:c r="P40" s="84"/>
      <x:c r="Q40" s="84"/>
      <x:c r="R40" s="84"/>
      <x:c r="S40" s="84"/>
      <x:c r="T40" s="84"/>
      <x:c r="U40" s="84"/>
    </x:row>
    <x:row r="41">
      <x:c r="A41" s="84"/>
      <x:c r="B41" s="84"/>
      <x:c r="C41" s="84"/>
      <x:c r="D41" s="84"/>
      <x:c r="E41" s="84"/>
      <x:c r="F41" s="84"/>
      <x:c r="G41" s="84"/>
      <x:c r="H41" s="84"/>
      <x:c r="I41" s="84"/>
      <x:c r="J41" s="84"/>
      <x:c r="K41" s="84"/>
      <x:c r="L41" s="84"/>
      <x:c r="M41" s="84"/>
      <x:c r="N41" s="84"/>
      <x:c r="O41" s="84"/>
      <x:c r="P41" s="84"/>
      <x:c r="Q41" s="84"/>
      <x:c r="R41" s="84"/>
      <x:c r="S41" s="84"/>
      <x:c r="T41" s="84"/>
      <x:c r="U41" s="84"/>
    </x:row>
    <x:row r="42">
      <x:c r="A42" s="84"/>
      <x:c r="B42" s="84"/>
      <x:c r="C42" s="84"/>
      <x:c r="D42" s="84"/>
      <x:c r="E42" s="84"/>
      <x:c r="F42" s="84"/>
      <x:c r="G42" s="84"/>
      <x:c r="H42" s="84"/>
      <x:c r="I42" s="84"/>
      <x:c r="J42" s="84"/>
      <x:c r="K42" s="84"/>
      <x:c r="L42" s="84"/>
      <x:c r="M42" s="84"/>
      <x:c r="N42" s="84"/>
      <x:c r="O42" s="84"/>
      <x:c r="P42" s="84"/>
      <x:c r="Q42" s="84"/>
      <x:c r="R42" s="84"/>
      <x:c r="S42" s="84"/>
      <x:c r="T42" s="84"/>
      <x:c r="U42" s="84"/>
    </x:row>
    <x:row r="43">
      <x:c r="A43" s="84"/>
      <x:c r="B43" s="84"/>
      <x:c r="C43" s="84"/>
      <x:c r="D43" s="84"/>
      <x:c r="E43" s="84"/>
      <x:c r="F43" s="84"/>
      <x:c r="G43" s="84"/>
      <x:c r="H43" s="84"/>
      <x:c r="I43" s="84"/>
      <x:c r="J43" s="84"/>
      <x:c r="K43" s="84"/>
      <x:c r="L43" s="84"/>
      <x:c r="M43" s="84"/>
      <x:c r="N43" s="84"/>
      <x:c r="O43" s="84"/>
      <x:c r="P43" s="84"/>
      <x:c r="Q43" s="84"/>
      <x:c r="R43" s="84"/>
      <x:c r="S43" s="84"/>
      <x:c r="T43" s="84"/>
      <x:c r="U43" s="84"/>
    </x:row>
    <x:row r="44">
      <x:c r="A44" s="84"/>
      <x:c r="B44" s="84"/>
      <x:c r="C44" s="84"/>
      <x:c r="D44" s="84"/>
      <x:c r="E44" s="84"/>
      <x:c r="F44" s="84"/>
      <x:c r="G44" s="84"/>
      <x:c r="H44" s="84"/>
      <x:c r="I44" s="84"/>
      <x:c r="J44" s="84"/>
      <x:c r="K44" s="84"/>
      <x:c r="L44" s="84"/>
      <x:c r="M44" s="84"/>
      <x:c r="N44" s="84"/>
      <x:c r="O44" s="84"/>
      <x:c r="P44" s="84"/>
      <x:c r="Q44" s="84"/>
      <x:c r="R44" s="84"/>
      <x:c r="S44" s="84"/>
      <x:c r="T44" s="84"/>
      <x:c r="U44" s="84"/>
    </x:row>
    <x:row r="45">
      <x:c r="A45" s="84"/>
      <x:c r="B45" s="84"/>
      <x:c r="C45" s="84"/>
      <x:c r="D45" s="84"/>
      <x:c r="E45" s="84"/>
      <x:c r="F45" s="84"/>
      <x:c r="G45" s="84"/>
      <x:c r="H45" s="84"/>
      <x:c r="I45" s="84"/>
      <x:c r="J45" s="84"/>
      <x:c r="K45" s="84"/>
      <x:c r="L45" s="84"/>
      <x:c r="M45" s="84"/>
      <x:c r="N45" s="84"/>
      <x:c r="O45" s="84"/>
      <x:c r="P45" s="84"/>
      <x:c r="Q45" s="84"/>
      <x:c r="R45" s="84"/>
      <x:c r="S45" s="84"/>
      <x:c r="T45" s="84"/>
      <x:c r="U45" s="84"/>
    </x:row>
    <x:row r="46">
      <x:c r="A46" s="84"/>
      <x:c r="B46" s="84"/>
      <x:c r="C46" s="84"/>
      <x:c r="D46" s="84"/>
      <x:c r="E46" s="84"/>
      <x:c r="F46" s="84"/>
      <x:c r="G46" s="84"/>
      <x:c r="H46" s="84"/>
      <x:c r="I46" s="84"/>
      <x:c r="J46" s="84"/>
      <x:c r="K46" s="84"/>
      <x:c r="L46" s="84"/>
      <x:c r="M46" s="84"/>
      <x:c r="N46" s="84"/>
      <x:c r="O46" s="84"/>
      <x:c r="P46" s="84"/>
      <x:c r="Q46" s="84"/>
      <x:c r="R46" s="84"/>
      <x:c r="S46" s="84"/>
      <x:c r="T46" s="84"/>
      <x:c r="U46" s="84"/>
    </x:row>
    <x:row r="47">
      <x:c r="A47" s="84"/>
      <x:c r="B47" s="84"/>
      <x:c r="C47" s="84"/>
      <x:c r="D47" s="84"/>
      <x:c r="E47" s="84"/>
      <x:c r="F47" s="84"/>
      <x:c r="G47" s="84"/>
      <x:c r="H47" s="84"/>
      <x:c r="I47" s="84"/>
      <x:c r="J47" s="84"/>
      <x:c r="K47" s="84"/>
      <x:c r="L47" s="84"/>
      <x:c r="M47" s="84"/>
      <x:c r="N47" s="84"/>
      <x:c r="O47" s="84"/>
      <x:c r="P47" s="84"/>
      <x:c r="Q47" s="84"/>
      <x:c r="R47" s="84"/>
      <x:c r="S47" s="84"/>
      <x:c r="T47" s="84"/>
      <x:c r="U47" s="84"/>
    </x:row>
    <x:row r="48">
      <x:c r="A48" s="84"/>
      <x:c r="B48" s="84"/>
      <x:c r="C48" s="84"/>
      <x:c r="D48" s="84"/>
      <x:c r="E48" s="84"/>
      <x:c r="F48" s="84"/>
      <x:c r="G48" s="84"/>
      <x:c r="H48" s="84"/>
      <x:c r="I48" s="84"/>
      <x:c r="J48" s="84"/>
      <x:c r="K48" s="84"/>
      <x:c r="L48" s="84"/>
      <x:c r="M48" s="84"/>
      <x:c r="N48" s="84"/>
      <x:c r="O48" s="84"/>
      <x:c r="P48" s="84"/>
      <x:c r="Q48" s="84"/>
      <x:c r="R48" s="84"/>
      <x:c r="S48" s="84"/>
      <x:c r="T48" s="84"/>
      <x:c r="U48" s="84"/>
    </x:row>
    <x:row r="49">
      <x:c r="A49" s="84"/>
      <x:c r="B49" s="84"/>
      <x:c r="C49" s="84"/>
      <x:c r="D49" s="84"/>
      <x:c r="E49" s="84"/>
      <x:c r="F49" s="84"/>
      <x:c r="G49" s="84"/>
      <x:c r="H49" s="84"/>
      <x:c r="I49" s="84"/>
      <x:c r="J49" s="84"/>
      <x:c r="K49" s="84"/>
      <x:c r="L49" s="84"/>
      <x:c r="M49" s="84"/>
      <x:c r="N49" s="84"/>
      <x:c r="O49" s="84"/>
      <x:c r="P49" s="84"/>
      <x:c r="Q49" s="84"/>
      <x:c r="R49" s="84"/>
      <x:c r="S49" s="84"/>
      <x:c r="T49" s="84"/>
      <x:c r="U49" s="84"/>
    </x:row>
    <x:row r="50">
      <x:c r="A50" s="84"/>
      <x:c r="B50" s="84"/>
      <x:c r="C50" s="84"/>
      <x:c r="D50" s="84"/>
      <x:c r="E50" s="84"/>
      <x:c r="F50" s="84"/>
      <x:c r="G50" s="84"/>
      <x:c r="H50" s="84"/>
      <x:c r="I50" s="84"/>
      <x:c r="J50" s="84"/>
      <x:c r="K50" s="84"/>
      <x:c r="L50" s="84"/>
      <x:c r="M50" s="84"/>
      <x:c r="N50" s="84"/>
      <x:c r="O50" s="84"/>
      <x:c r="P50" s="84"/>
      <x:c r="Q50" s="84"/>
      <x:c r="R50" s="84"/>
      <x:c r="S50" s="84"/>
      <x:c r="T50" s="84"/>
      <x:c r="U50" s="84"/>
    </x:row>
    <x:row r="51">
      <x:c r="A51" s="84"/>
      <x:c r="B51" s="84"/>
      <x:c r="C51" s="84"/>
      <x:c r="D51" s="84"/>
      <x:c r="E51" s="84"/>
      <x:c r="F51" s="84"/>
      <x:c r="G51" s="84"/>
      <x:c r="H51" s="84"/>
      <x:c r="I51" s="84"/>
      <x:c r="J51" s="84"/>
      <x:c r="K51" s="84"/>
      <x:c r="L51" s="84"/>
      <x:c r="M51" s="84"/>
      <x:c r="N51" s="84"/>
      <x:c r="O51" s="84"/>
      <x:c r="P51" s="84"/>
      <x:c r="Q51" s="84"/>
      <x:c r="R51" s="84"/>
      <x:c r="S51" s="84"/>
      <x:c r="T51" s="84"/>
      <x:c r="U51" s="84"/>
    </x:row>
    <x:row r="52">
      <x:c r="A52" s="84"/>
      <x:c r="B52" s="84"/>
      <x:c r="C52" s="84"/>
      <x:c r="D52" s="84"/>
      <x:c r="E52" s="84"/>
      <x:c r="F52" s="84"/>
      <x:c r="G52" s="84"/>
      <x:c r="H52" s="84"/>
      <x:c r="I52" s="84"/>
      <x:c r="J52" s="84"/>
      <x:c r="K52" s="84"/>
      <x:c r="L52" s="84"/>
      <x:c r="M52" s="84"/>
      <x:c r="N52" s="84"/>
      <x:c r="O52" s="84"/>
      <x:c r="P52" s="84"/>
      <x:c r="Q52" s="84"/>
      <x:c r="R52" s="84"/>
      <x:c r="S52" s="84"/>
      <x:c r="T52" s="84"/>
      <x:c r="U52" s="84"/>
    </x:row>
    <x:row r="53">
      <x:c r="A53" s="84"/>
      <x:c r="B53" s="84"/>
      <x:c r="C53" s="84"/>
      <x:c r="D53" s="84"/>
      <x:c r="E53" s="84"/>
      <x:c r="F53" s="84"/>
      <x:c r="G53" s="84"/>
      <x:c r="H53" s="84"/>
      <x:c r="I53" s="84"/>
      <x:c r="J53" s="84"/>
      <x:c r="K53" s="84"/>
      <x:c r="L53" s="84"/>
      <x:c r="M53" s="84"/>
      <x:c r="N53" s="84"/>
      <x:c r="O53" s="84"/>
      <x:c r="P53" s="84"/>
      <x:c r="Q53" s="84"/>
      <x:c r="R53" s="84"/>
      <x:c r="S53" s="84"/>
      <x:c r="T53" s="84"/>
      <x:c r="U53" s="84"/>
    </x:row>
    <x:row r="54">
      <x:c r="A54" s="84"/>
      <x:c r="B54" s="84"/>
      <x:c r="C54" s="84"/>
      <x:c r="D54" s="84"/>
      <x:c r="E54" s="84"/>
      <x:c r="F54" s="84"/>
      <x:c r="G54" s="84"/>
      <x:c r="H54" s="84"/>
      <x:c r="I54" s="84"/>
      <x:c r="J54" s="84"/>
      <x:c r="K54" s="84"/>
      <x:c r="L54" s="84"/>
      <x:c r="M54" s="84"/>
      <x:c r="N54" s="84"/>
      <x:c r="O54" s="84"/>
      <x:c r="P54" s="84"/>
      <x:c r="Q54" s="84"/>
      <x:c r="R54" s="84"/>
      <x:c r="S54" s="84"/>
      <x:c r="T54" s="84"/>
      <x:c r="U54" s="84"/>
    </x:row>
    <x:row r="55">
      <x:c r="A55" s="84"/>
      <x:c r="B55" s="84"/>
      <x:c r="C55" s="84"/>
      <x:c r="D55" s="84"/>
      <x:c r="E55" s="84"/>
      <x:c r="F55" s="84"/>
      <x:c r="G55" s="84"/>
      <x:c r="H55" s="84"/>
      <x:c r="I55" s="84"/>
      <x:c r="J55" s="84"/>
      <x:c r="K55" s="84"/>
      <x:c r="L55" s="84"/>
      <x:c r="M55" s="84"/>
      <x:c r="N55" s="84"/>
      <x:c r="O55" s="84"/>
      <x:c r="P55" s="84"/>
      <x:c r="Q55" s="84"/>
      <x:c r="R55" s="84"/>
      <x:c r="S55" s="84"/>
      <x:c r="T55" s="84"/>
      <x:c r="U55" s="84"/>
    </x:row>
    <x:row r="56">
      <x:c r="A56" s="84"/>
      <x:c r="B56" s="84"/>
      <x:c r="C56" s="84"/>
      <x:c r="D56" s="84"/>
      <x:c r="E56" s="84"/>
      <x:c r="F56" s="84"/>
      <x:c r="G56" s="84"/>
      <x:c r="H56" s="84"/>
      <x:c r="I56" s="84"/>
      <x:c r="J56" s="84"/>
      <x:c r="K56" s="84"/>
      <x:c r="L56" s="84"/>
      <x:c r="M56" s="84"/>
      <x:c r="N56" s="84"/>
      <x:c r="O56" s="84"/>
      <x:c r="P56" s="84"/>
      <x:c r="Q56" s="84"/>
      <x:c r="R56" s="84"/>
      <x:c r="S56" s="84"/>
      <x:c r="T56" s="84"/>
      <x:c r="U56" s="84"/>
    </x:row>
    <x:row r="57">
      <x:c r="A57" s="84"/>
      <x:c r="B57" s="84"/>
      <x:c r="C57" s="84"/>
      <x:c r="D57" s="84"/>
      <x:c r="E57" s="84"/>
      <x:c r="F57" s="84"/>
      <x:c r="G57" s="84"/>
      <x:c r="H57" s="84"/>
      <x:c r="I57" s="84"/>
      <x:c r="J57" s="84"/>
      <x:c r="K57" s="84"/>
      <x:c r="L57" s="84"/>
      <x:c r="M57" s="84"/>
      <x:c r="N57" s="84"/>
      <x:c r="O57" s="84"/>
      <x:c r="P57" s="84"/>
      <x:c r="Q57" s="84"/>
      <x:c r="R57" s="84"/>
      <x:c r="S57" s="84"/>
      <x:c r="T57" s="84"/>
      <x:c r="U57" s="84"/>
    </x:row>
    <x:row r="58">
      <x:c r="A58" s="84"/>
      <x:c r="B58" s="84"/>
      <x:c r="C58" s="84"/>
      <x:c r="D58" s="84"/>
      <x:c r="E58" s="84"/>
      <x:c r="F58" s="84"/>
      <x:c r="G58" s="84"/>
      <x:c r="H58" s="84"/>
      <x:c r="I58" s="84"/>
      <x:c r="J58" s="84"/>
      <x:c r="K58" s="84"/>
      <x:c r="L58" s="84"/>
      <x:c r="M58" s="84"/>
      <x:c r="N58" s="84"/>
      <x:c r="O58" s="84"/>
      <x:c r="P58" s="84"/>
      <x:c r="Q58" s="84"/>
      <x:c r="R58" s="84"/>
      <x:c r="S58" s="84"/>
      <x:c r="T58" s="84"/>
      <x:c r="U58" s="84"/>
    </x:row>
    <x:row r="59">
      <x:c r="A59" s="84"/>
      <x:c r="B59" s="84"/>
      <x:c r="C59" s="84"/>
      <x:c r="D59" s="84"/>
      <x:c r="E59" s="84"/>
      <x:c r="F59" s="84"/>
      <x:c r="G59" s="84"/>
      <x:c r="H59" s="84"/>
      <x:c r="I59" s="84"/>
      <x:c r="J59" s="84"/>
      <x:c r="K59" s="84"/>
      <x:c r="L59" s="84"/>
      <x:c r="M59" s="84"/>
      <x:c r="N59" s="84"/>
      <x:c r="O59" s="84"/>
      <x:c r="P59" s="84"/>
      <x:c r="Q59" s="84"/>
      <x:c r="R59" s="84"/>
      <x:c r="S59" s="84"/>
      <x:c r="T59" s="84"/>
      <x:c r="U59" s="84"/>
    </x:row>
    <x:row r="60">
      <x:c r="A60" s="84"/>
      <x:c r="B60" s="84"/>
      <x:c r="C60" s="84"/>
      <x:c r="D60" s="84"/>
      <x:c r="E60" s="84"/>
      <x:c r="F60" s="84"/>
      <x:c r="G60" s="84"/>
      <x:c r="H60" s="84"/>
      <x:c r="I60" s="84"/>
      <x:c r="J60" s="84"/>
      <x:c r="K60" s="84"/>
      <x:c r="L60" s="84"/>
      <x:c r="M60" s="84"/>
      <x:c r="N60" s="84"/>
      <x:c r="O60" s="84"/>
      <x:c r="P60" s="84"/>
      <x:c r="Q60" s="84"/>
      <x:c r="R60" s="84"/>
      <x:c r="S60" s="84"/>
      <x:c r="T60" s="84"/>
      <x:c r="U60" s="84"/>
    </x:row>
    <x:row r="61">
      <x:c r="A61" s="84"/>
      <x:c r="B61" s="84"/>
      <x:c r="C61" s="84"/>
      <x:c r="D61" s="84"/>
      <x:c r="E61" s="84"/>
      <x:c r="F61" s="84"/>
      <x:c r="G61" s="84"/>
      <x:c r="H61" s="84"/>
      <x:c r="I61" s="84"/>
      <x:c r="J61" s="84"/>
      <x:c r="K61" s="84"/>
      <x:c r="L61" s="84"/>
      <x:c r="M61" s="84"/>
      <x:c r="N61" s="84"/>
      <x:c r="O61" s="84"/>
      <x:c r="P61" s="84"/>
      <x:c r="Q61" s="84"/>
      <x:c r="R61" s="84"/>
      <x:c r="S61" s="84"/>
      <x:c r="T61" s="84"/>
      <x:c r="U61" s="84"/>
    </x:row>
    <x:row r="62">
      <x:c r="A62" s="84"/>
      <x:c r="B62" s="84"/>
      <x:c r="C62" s="84"/>
      <x:c r="D62" s="84"/>
      <x:c r="E62" s="84"/>
      <x:c r="F62" s="84"/>
      <x:c r="G62" s="84"/>
      <x:c r="H62" s="84"/>
      <x:c r="I62" s="84"/>
      <x:c r="J62" s="84"/>
      <x:c r="K62" s="84"/>
      <x:c r="L62" s="84"/>
      <x:c r="M62" s="84"/>
      <x:c r="N62" s="84"/>
      <x:c r="O62" s="84"/>
      <x:c r="P62" s="84"/>
      <x:c r="Q62" s="84"/>
      <x:c r="R62" s="84"/>
      <x:c r="S62" s="84"/>
      <x:c r="T62" s="84"/>
      <x:c r="U62" s="84"/>
    </x:row>
    <x:row r="63">
      <x:c r="A63" s="84"/>
      <x:c r="B63" s="84"/>
      <x:c r="C63" s="84"/>
      <x:c r="D63" s="84"/>
      <x:c r="E63" s="84"/>
      <x:c r="F63" s="84"/>
      <x:c r="G63" s="84"/>
      <x:c r="H63" s="84"/>
      <x:c r="I63" s="84"/>
      <x:c r="J63" s="84"/>
      <x:c r="K63" s="84"/>
      <x:c r="L63" s="84"/>
      <x:c r="M63" s="84"/>
      <x:c r="N63" s="84"/>
      <x:c r="O63" s="84"/>
      <x:c r="P63" s="84"/>
      <x:c r="Q63" s="84"/>
      <x:c r="R63" s="84"/>
      <x:c r="S63" s="84"/>
      <x:c r="T63" s="84"/>
      <x:c r="U63" s="84"/>
    </x:row>
    <x:row r="64">
      <x:c r="A64" s="84"/>
      <x:c r="B64" s="84"/>
      <x:c r="C64" s="84"/>
      <x:c r="D64" s="84"/>
      <x:c r="E64" s="84"/>
      <x:c r="F64" s="84"/>
      <x:c r="G64" s="84"/>
      <x:c r="H64" s="84"/>
      <x:c r="I64" s="84"/>
      <x:c r="J64" s="84"/>
      <x:c r="K64" s="84"/>
      <x:c r="L64" s="84"/>
      <x:c r="M64" s="84"/>
      <x:c r="N64" s="84"/>
      <x:c r="O64" s="84"/>
      <x:c r="P64" s="84"/>
      <x:c r="Q64" s="84"/>
      <x:c r="R64" s="84"/>
      <x:c r="S64" s="84"/>
      <x:c r="T64" s="84"/>
      <x:c r="U64" s="84"/>
    </x:row>
    <x:row r="65">
      <x:c r="A65" s="84"/>
      <x:c r="B65" s="84"/>
      <x:c r="C65" s="84"/>
      <x:c r="D65" s="84"/>
      <x:c r="E65" s="84"/>
      <x:c r="F65" s="84"/>
      <x:c r="G65" s="84"/>
      <x:c r="H65" s="84"/>
      <x:c r="I65" s="84"/>
      <x:c r="J65" s="84"/>
      <x:c r="K65" s="84"/>
      <x:c r="L65" s="84"/>
      <x:c r="M65" s="84"/>
      <x:c r="N65" s="84"/>
      <x:c r="O65" s="84"/>
      <x:c r="P65" s="84"/>
      <x:c r="Q65" s="84"/>
      <x:c r="R65" s="84"/>
      <x:c r="S65" s="84"/>
      <x:c r="T65" s="84"/>
      <x:c r="U65" s="84"/>
    </x:row>
    <x:row r="66">
      <x:c r="A66" s="84"/>
      <x:c r="B66" s="84"/>
      <x:c r="C66" s="84"/>
      <x:c r="D66" s="84"/>
      <x:c r="E66" s="84"/>
      <x:c r="F66" s="84"/>
      <x:c r="G66" s="84"/>
      <x:c r="H66" s="84"/>
      <x:c r="I66" s="84"/>
      <x:c r="J66" s="84"/>
      <x:c r="K66" s="84"/>
      <x:c r="L66" s="84"/>
      <x:c r="M66" s="84"/>
      <x:c r="N66" s="84"/>
      <x:c r="O66" s="84"/>
      <x:c r="P66" s="84"/>
      <x:c r="Q66" s="84"/>
      <x:c r="R66" s="84"/>
      <x:c r="S66" s="84"/>
      <x:c r="T66" s="84"/>
      <x:c r="U66" s="84"/>
    </x:row>
    <x:row r="67">
      <x:c r="A67" s="84"/>
      <x:c r="B67" s="84"/>
      <x:c r="C67" s="84"/>
      <x:c r="D67" s="84"/>
      <x:c r="E67" s="84"/>
      <x:c r="F67" s="84"/>
      <x:c r="G67" s="84"/>
      <x:c r="H67" s="84"/>
      <x:c r="I67" s="84"/>
      <x:c r="J67" s="84"/>
      <x:c r="K67" s="84"/>
      <x:c r="L67" s="84"/>
      <x:c r="M67" s="84"/>
      <x:c r="N67" s="84"/>
      <x:c r="O67" s="84"/>
      <x:c r="P67" s="84"/>
      <x:c r="Q67" s="84"/>
      <x:c r="R67" s="84"/>
      <x:c r="S67" s="84"/>
      <x:c r="T67" s="84"/>
      <x:c r="U67" s="84"/>
    </x:row>
    <x:row r="68">
      <x:c r="A68" s="84"/>
      <x:c r="B68" s="84"/>
      <x:c r="C68" s="84"/>
      <x:c r="D68" s="84"/>
      <x:c r="E68" s="84"/>
      <x:c r="F68" s="84"/>
      <x:c r="G68" s="84"/>
      <x:c r="H68" s="84"/>
      <x:c r="I68" s="84"/>
      <x:c r="J68" s="84"/>
      <x:c r="K68" s="84"/>
      <x:c r="L68" s="84"/>
      <x:c r="M68" s="84"/>
      <x:c r="N68" s="84"/>
      <x:c r="O68" s="84"/>
      <x:c r="P68" s="84"/>
      <x:c r="Q68" s="84"/>
      <x:c r="R68" s="84"/>
      <x:c r="S68" s="84"/>
      <x:c r="T68" s="84"/>
      <x:c r="U68" s="84"/>
    </x:row>
    <x:row r="69">
      <x:c r="A69" s="84"/>
      <x:c r="B69" s="84"/>
      <x:c r="C69" s="84"/>
      <x:c r="D69" s="84"/>
      <x:c r="E69" s="84"/>
      <x:c r="F69" s="84"/>
      <x:c r="G69" s="84"/>
      <x:c r="H69" s="84"/>
      <x:c r="I69" s="84"/>
      <x:c r="J69" s="84"/>
      <x:c r="K69" s="84"/>
      <x:c r="L69" s="84"/>
      <x:c r="M69" s="84"/>
      <x:c r="N69" s="84"/>
      <x:c r="O69" s="84"/>
      <x:c r="P69" s="84"/>
      <x:c r="Q69" s="84"/>
      <x:c r="R69" s="84"/>
      <x:c r="S69" s="84"/>
      <x:c r="T69" s="84"/>
      <x:c r="U69" s="84"/>
    </x:row>
    <x:row r="70">
      <x:c r="A70" s="84"/>
      <x:c r="B70" s="84"/>
      <x:c r="C70" s="84"/>
      <x:c r="D70" s="84"/>
      <x:c r="E70" s="84"/>
      <x:c r="F70" s="84"/>
      <x:c r="G70" s="84"/>
      <x:c r="H70" s="84"/>
      <x:c r="I70" s="84"/>
      <x:c r="J70" s="84"/>
      <x:c r="K70" s="84"/>
      <x:c r="L70" s="84"/>
      <x:c r="M70" s="84"/>
      <x:c r="N70" s="84"/>
      <x:c r="O70" s="84"/>
      <x:c r="P70" s="84"/>
      <x:c r="Q70" s="84"/>
      <x:c r="R70" s="84"/>
      <x:c r="S70" s="84"/>
      <x:c r="T70" s="84"/>
      <x:c r="U70" s="84"/>
    </x:row>
    <x:row r="71">
      <x:c r="A71" s="84"/>
      <x:c r="B71" s="84"/>
      <x:c r="C71" s="84"/>
      <x:c r="D71" s="84"/>
      <x:c r="E71" s="84"/>
      <x:c r="F71" s="84"/>
      <x:c r="G71" s="84"/>
      <x:c r="H71" s="84"/>
      <x:c r="I71" s="84"/>
      <x:c r="J71" s="84"/>
      <x:c r="K71" s="84"/>
      <x:c r="L71" s="84"/>
      <x:c r="M71" s="84"/>
      <x:c r="N71" s="84"/>
      <x:c r="O71" s="84"/>
      <x:c r="P71" s="84"/>
      <x:c r="Q71" s="84"/>
      <x:c r="R71" s="84"/>
      <x:c r="S71" s="84"/>
      <x:c r="T71" s="84"/>
      <x:c r="U71" s="84"/>
    </x:row>
    <x:row r="72">
      <x:c r="A72" s="84"/>
      <x:c r="B72" s="84"/>
      <x:c r="C72" s="84"/>
      <x:c r="D72" s="84"/>
      <x:c r="E72" s="84"/>
      <x:c r="F72" s="84"/>
      <x:c r="G72" s="84"/>
      <x:c r="H72" s="84"/>
      <x:c r="I72" s="84"/>
      <x:c r="J72" s="84"/>
      <x:c r="K72" s="84"/>
      <x:c r="L72" s="84"/>
      <x:c r="M72" s="84"/>
      <x:c r="N72" s="84"/>
      <x:c r="O72" s="84"/>
      <x:c r="P72" s="84"/>
      <x:c r="Q72" s="84"/>
      <x:c r="R72" s="84"/>
      <x:c r="S72" s="84"/>
      <x:c r="T72" s="84"/>
      <x:c r="U72" s="84"/>
    </x:row>
    <x:row r="73">
      <x:c r="A73" s="84"/>
      <x:c r="B73" s="84"/>
      <x:c r="C73" s="84"/>
      <x:c r="D73" s="84"/>
      <x:c r="E73" s="84"/>
      <x:c r="F73" s="84"/>
      <x:c r="G73" s="84"/>
      <x:c r="H73" s="84"/>
      <x:c r="I73" s="84"/>
      <x:c r="J73" s="84"/>
      <x:c r="K73" s="84"/>
      <x:c r="L73" s="84"/>
      <x:c r="M73" s="84"/>
      <x:c r="N73" s="84"/>
      <x:c r="O73" s="84"/>
      <x:c r="P73" s="84"/>
      <x:c r="Q73" s="84"/>
      <x:c r="R73" s="84"/>
      <x:c r="S73" s="84"/>
      <x:c r="T73" s="84"/>
      <x:c r="U73" s="84"/>
    </x:row>
    <x:row r="74">
      <x:c r="A74" s="84"/>
      <x:c r="B74" s="84"/>
      <x:c r="C74" s="84"/>
      <x:c r="D74" s="84"/>
      <x:c r="E74" s="84"/>
      <x:c r="F74" s="84"/>
      <x:c r="G74" s="84"/>
      <x:c r="H74" s="84"/>
      <x:c r="I74" s="84"/>
      <x:c r="J74" s="84"/>
      <x:c r="K74" s="84"/>
      <x:c r="L74" s="84"/>
      <x:c r="M74" s="84"/>
      <x:c r="N74" s="84"/>
      <x:c r="O74" s="84"/>
      <x:c r="P74" s="84"/>
      <x:c r="Q74" s="84"/>
      <x:c r="R74" s="84"/>
      <x:c r="S74" s="84"/>
      <x:c r="T74" s="84"/>
      <x:c r="U74" s="84"/>
    </x:row>
    <x:row r="75">
      <x:c r="A75" s="84"/>
      <x:c r="B75" s="84"/>
      <x:c r="C75" s="84"/>
      <x:c r="D75" s="84"/>
      <x:c r="E75" s="84"/>
      <x:c r="F75" s="84"/>
      <x:c r="G75" s="84"/>
      <x:c r="H75" s="84"/>
      <x:c r="I75" s="84"/>
      <x:c r="J75" s="84"/>
      <x:c r="K75" s="84"/>
      <x:c r="L75" s="84"/>
      <x:c r="M75" s="84"/>
      <x:c r="N75" s="84"/>
      <x:c r="O75" s="84"/>
      <x:c r="P75" s="84"/>
      <x:c r="Q75" s="84"/>
      <x:c r="R75" s="84"/>
      <x:c r="S75" s="84"/>
      <x:c r="T75" s="84"/>
      <x:c r="U75" s="84"/>
    </x:row>
    <x:row r="76">
      <x:c r="A76" s="84"/>
      <x:c r="B76" s="84"/>
      <x:c r="C76" s="84"/>
      <x:c r="D76" s="84"/>
      <x:c r="E76" s="84"/>
      <x:c r="F76" s="84"/>
      <x:c r="G76" s="84"/>
      <x:c r="H76" s="84"/>
      <x:c r="I76" s="84"/>
      <x:c r="J76" s="84"/>
      <x:c r="K76" s="84"/>
      <x:c r="L76" s="84"/>
      <x:c r="M76" s="84"/>
      <x:c r="N76" s="84"/>
      <x:c r="O76" s="84"/>
      <x:c r="P76" s="84"/>
      <x:c r="Q76" s="84"/>
      <x:c r="R76" s="84"/>
      <x:c r="S76" s="84"/>
      <x:c r="T76" s="84"/>
      <x:c r="U76" s="84"/>
    </x:row>
    <x:row r="77">
      <x:c r="A77" s="84"/>
      <x:c r="B77" s="84"/>
      <x:c r="C77" s="84"/>
      <x:c r="D77" s="84"/>
      <x:c r="E77" s="84"/>
      <x:c r="F77" s="84"/>
      <x:c r="G77" s="84"/>
      <x:c r="H77" s="84"/>
      <x:c r="I77" s="84"/>
      <x:c r="J77" s="84"/>
      <x:c r="K77" s="84"/>
      <x:c r="L77" s="84"/>
      <x:c r="M77" s="84"/>
      <x:c r="N77" s="84"/>
      <x:c r="O77" s="84"/>
      <x:c r="P77" s="84"/>
      <x:c r="Q77" s="84"/>
      <x:c r="R77" s="84"/>
      <x:c r="S77" s="84"/>
      <x:c r="T77" s="84"/>
      <x:c r="U77" s="84"/>
    </x:row>
    <x:row r="78">
      <x:c r="A78" s="84"/>
      <x:c r="B78" s="84"/>
      <x:c r="C78" s="84"/>
      <x:c r="D78" s="84"/>
      <x:c r="E78" s="84"/>
      <x:c r="F78" s="84"/>
      <x:c r="G78" s="84"/>
      <x:c r="H78" s="84"/>
      <x:c r="I78" s="84"/>
      <x:c r="J78" s="84"/>
      <x:c r="K78" s="84"/>
      <x:c r="L78" s="84"/>
      <x:c r="M78" s="84"/>
      <x:c r="N78" s="84"/>
      <x:c r="O78" s="84"/>
      <x:c r="P78" s="84"/>
      <x:c r="Q78" s="84"/>
      <x:c r="R78" s="84"/>
      <x:c r="S78" s="84"/>
      <x:c r="T78" s="84"/>
      <x:c r="U78" s="84"/>
    </x:row>
    <x:row r="79">
      <x:c r="A79" s="84"/>
      <x:c r="B79" s="84"/>
      <x:c r="C79" s="84"/>
      <x:c r="D79" s="84"/>
      <x:c r="E79" s="84"/>
      <x:c r="F79" s="84"/>
      <x:c r="G79" s="84"/>
      <x:c r="H79" s="84"/>
      <x:c r="I79" s="84"/>
      <x:c r="J79" s="84"/>
      <x:c r="K79" s="84"/>
      <x:c r="L79" s="84"/>
      <x:c r="M79" s="84"/>
      <x:c r="N79" s="84"/>
      <x:c r="O79" s="84"/>
      <x:c r="P79" s="84"/>
      <x:c r="Q79" s="84"/>
      <x:c r="R79" s="84"/>
      <x:c r="S79" s="84"/>
      <x:c r="T79" s="84"/>
      <x:c r="U79" s="84"/>
    </x:row>
    <x:row r="80">
      <x:c r="A80" s="84"/>
      <x:c r="B80" s="84"/>
      <x:c r="C80" s="84"/>
      <x:c r="D80" s="84"/>
      <x:c r="E80" s="84"/>
      <x:c r="F80" s="84"/>
      <x:c r="G80" s="84"/>
      <x:c r="H80" s="84"/>
      <x:c r="I80" s="84"/>
      <x:c r="J80" s="84"/>
      <x:c r="K80" s="84"/>
      <x:c r="L80" s="84"/>
      <x:c r="M80" s="84"/>
      <x:c r="N80" s="84"/>
      <x:c r="O80" s="84"/>
      <x:c r="P80" s="84"/>
      <x:c r="Q80" s="84"/>
      <x:c r="R80" s="84"/>
      <x:c r="S80" s="84"/>
      <x:c r="T80" s="84"/>
      <x:c r="U80" s="84"/>
    </x:row>
    <x:row r="81">
      <x:c r="A81" s="84"/>
      <x:c r="B81" s="84"/>
      <x:c r="C81" s="84"/>
      <x:c r="D81" s="84"/>
      <x:c r="E81" s="84"/>
      <x:c r="F81" s="84"/>
      <x:c r="G81" s="84"/>
      <x:c r="H81" s="84"/>
      <x:c r="I81" s="84"/>
      <x:c r="J81" s="84"/>
      <x:c r="K81" s="84"/>
      <x:c r="L81" s="84"/>
      <x:c r="M81" s="84"/>
      <x:c r="N81" s="84"/>
      <x:c r="O81" s="84"/>
      <x:c r="P81" s="84"/>
      <x:c r="Q81" s="84"/>
      <x:c r="R81" s="84"/>
      <x:c r="S81" s="84"/>
      <x:c r="T81" s="84"/>
      <x:c r="U81" s="84"/>
    </x:row>
    <x:row r="82">
      <x:c r="A82" s="84"/>
      <x:c r="B82" s="84"/>
      <x:c r="C82" s="84"/>
      <x:c r="D82" s="84"/>
      <x:c r="E82" s="84"/>
      <x:c r="F82" s="84"/>
      <x:c r="G82" s="84"/>
      <x:c r="H82" s="84"/>
      <x:c r="I82" s="84"/>
      <x:c r="J82" s="84"/>
      <x:c r="K82" s="84"/>
      <x:c r="L82" s="84"/>
      <x:c r="M82" s="84"/>
      <x:c r="N82" s="84"/>
      <x:c r="O82" s="84"/>
      <x:c r="P82" s="84"/>
      <x:c r="Q82" s="84"/>
      <x:c r="R82" s="84"/>
      <x:c r="S82" s="84"/>
      <x:c r="T82" s="84"/>
      <x:c r="U82" s="84"/>
    </x:row>
    <x:row r="83">
      <x:c r="A83" s="84"/>
      <x:c r="B83" s="84"/>
      <x:c r="C83" s="84"/>
      <x:c r="D83" s="84"/>
      <x:c r="E83" s="84"/>
      <x:c r="F83" s="84"/>
      <x:c r="G83" s="84"/>
      <x:c r="H83" s="84"/>
      <x:c r="I83" s="84"/>
      <x:c r="J83" s="84"/>
      <x:c r="K83" s="84"/>
      <x:c r="L83" s="84"/>
      <x:c r="M83" s="84"/>
      <x:c r="N83" s="84"/>
      <x:c r="O83" s="84"/>
      <x:c r="P83" s="84"/>
      <x:c r="Q83" s="84"/>
      <x:c r="R83" s="84"/>
      <x:c r="S83" s="84"/>
      <x:c r="T83" s="84"/>
      <x:c r="U83" s="84"/>
    </x:row>
    <x:row r="84">
      <x:c r="A84" s="84"/>
      <x:c r="B84" s="84"/>
      <x:c r="C84" s="84"/>
      <x:c r="D84" s="84"/>
      <x:c r="E84" s="84"/>
      <x:c r="F84" s="84"/>
      <x:c r="G84" s="84"/>
      <x:c r="H84" s="84"/>
      <x:c r="I84" s="84"/>
      <x:c r="J84" s="84"/>
      <x:c r="K84" s="84"/>
      <x:c r="L84" s="84"/>
      <x:c r="M84" s="84"/>
      <x:c r="N84" s="84"/>
      <x:c r="O84" s="84"/>
      <x:c r="P84" s="84"/>
      <x:c r="Q84" s="84"/>
      <x:c r="R84" s="84"/>
      <x:c r="S84" s="84"/>
      <x:c r="T84" s="84"/>
      <x:c r="U84" s="84"/>
    </x:row>
    <x:row r="85">
      <x:c r="A85" s="84"/>
      <x:c r="B85" s="84"/>
      <x:c r="C85" s="84"/>
      <x:c r="D85" s="84"/>
      <x:c r="E85" s="84"/>
      <x:c r="F85" s="84"/>
      <x:c r="G85" s="84"/>
      <x:c r="H85" s="84"/>
      <x:c r="I85" s="84"/>
      <x:c r="J85" s="84"/>
      <x:c r="K85" s="84"/>
      <x:c r="L85" s="84"/>
      <x:c r="M85" s="84"/>
      <x:c r="N85" s="84"/>
      <x:c r="O85" s="84"/>
      <x:c r="P85" s="84"/>
      <x:c r="Q85" s="84"/>
      <x:c r="R85" s="84"/>
      <x:c r="S85" s="84"/>
      <x:c r="T85" s="84"/>
      <x:c r="U85" s="84"/>
    </x:row>
    <x:row r="86">
      <x:c r="A86" s="84"/>
      <x:c r="B86" s="84"/>
      <x:c r="C86" s="84"/>
      <x:c r="D86" s="84"/>
      <x:c r="E86" s="84"/>
      <x:c r="F86" s="84"/>
      <x:c r="G86" s="84"/>
      <x:c r="H86" s="84"/>
      <x:c r="I86" s="84"/>
      <x:c r="J86" s="84"/>
      <x:c r="K86" s="84"/>
      <x:c r="L86" s="84"/>
      <x:c r="M86" s="84"/>
      <x:c r="N86" s="84"/>
      <x:c r="O86" s="84"/>
      <x:c r="P86" s="84"/>
      <x:c r="Q86" s="84"/>
      <x:c r="R86" s="84"/>
      <x:c r="S86" s="84"/>
      <x:c r="T86" s="84"/>
      <x:c r="U86" s="84"/>
    </x:row>
    <x:row r="87">
      <x:c r="A87" s="84"/>
      <x:c r="B87" s="84"/>
      <x:c r="C87" s="84"/>
      <x:c r="D87" s="84"/>
      <x:c r="E87" s="84"/>
      <x:c r="F87" s="84"/>
      <x:c r="G87" s="84"/>
      <x:c r="H87" s="84"/>
      <x:c r="I87" s="84"/>
      <x:c r="J87" s="84"/>
      <x:c r="K87" s="84"/>
      <x:c r="L87" s="84"/>
      <x:c r="M87" s="84"/>
      <x:c r="N87" s="84"/>
      <x:c r="O87" s="84"/>
      <x:c r="P87" s="84"/>
      <x:c r="Q87" s="84"/>
      <x:c r="R87" s="84"/>
      <x:c r="S87" s="84"/>
      <x:c r="T87" s="84"/>
      <x:c r="U87" s="84"/>
    </x:row>
    <x:row r="88">
      <x:c r="A88" s="84"/>
      <x:c r="B88" s="84"/>
      <x:c r="C88" s="84"/>
      <x:c r="D88" s="84"/>
      <x:c r="E88" s="84"/>
      <x:c r="F88" s="84"/>
      <x:c r="G88" s="84"/>
      <x:c r="H88" s="84"/>
      <x:c r="I88" s="84"/>
      <x:c r="J88" s="84"/>
      <x:c r="K88" s="84"/>
      <x:c r="L88" s="84"/>
      <x:c r="M88" s="84"/>
      <x:c r="N88" s="84"/>
      <x:c r="O88" s="84"/>
      <x:c r="P88" s="84"/>
      <x:c r="Q88" s="84"/>
      <x:c r="R88" s="84"/>
      <x:c r="S88" s="84"/>
      <x:c r="T88" s="84"/>
      <x:c r="U88" s="84"/>
    </x:row>
    <x:row r="89">
      <x:c r="A89" s="84"/>
      <x:c r="B89" s="84"/>
      <x:c r="C89" s="84"/>
      <x:c r="D89" s="84"/>
      <x:c r="E89" s="84"/>
      <x:c r="F89" s="84"/>
      <x:c r="G89" s="84"/>
      <x:c r="H89" s="84"/>
      <x:c r="I89" s="84"/>
      <x:c r="J89" s="84"/>
      <x:c r="K89" s="84"/>
      <x:c r="L89" s="84"/>
      <x:c r="M89" s="84"/>
      <x:c r="N89" s="84"/>
      <x:c r="O89" s="84"/>
      <x:c r="P89" s="84"/>
      <x:c r="Q89" s="84"/>
      <x:c r="R89" s="84"/>
      <x:c r="S89" s="84"/>
      <x:c r="T89" s="84"/>
      <x:c r="U89" s="84"/>
    </x:row>
    <x:row r="90">
      <x:c r="A90" s="84"/>
      <x:c r="B90" s="84"/>
      <x:c r="C90" s="84"/>
      <x:c r="D90" s="84"/>
      <x:c r="E90" s="84"/>
      <x:c r="F90" s="84"/>
      <x:c r="G90" s="84"/>
      <x:c r="H90" s="84"/>
      <x:c r="I90" s="84"/>
      <x:c r="J90" s="84"/>
      <x:c r="K90" s="84"/>
      <x:c r="L90" s="84"/>
      <x:c r="M90" s="84"/>
      <x:c r="N90" s="84"/>
      <x:c r="O90" s="84"/>
      <x:c r="P90" s="84"/>
      <x:c r="Q90" s="84"/>
      <x:c r="R90" s="84"/>
      <x:c r="S90" s="84"/>
      <x:c r="T90" s="84"/>
      <x:c r="U90" s="84"/>
    </x:row>
    <x:row r="91">
      <x:c r="A91" s="84"/>
      <x:c r="B91" s="84"/>
      <x:c r="C91" s="84"/>
      <x:c r="D91" s="84"/>
      <x:c r="E91" s="84"/>
      <x:c r="F91" s="84"/>
      <x:c r="G91" s="84"/>
      <x:c r="H91" s="84"/>
      <x:c r="I91" s="84"/>
      <x:c r="J91" s="84"/>
      <x:c r="K91" s="84"/>
      <x:c r="L91" s="84"/>
      <x:c r="M91" s="84"/>
      <x:c r="N91" s="84"/>
      <x:c r="O91" s="84"/>
      <x:c r="P91" s="84"/>
      <x:c r="Q91" s="84"/>
      <x:c r="R91" s="84"/>
      <x:c r="S91" s="84"/>
      <x:c r="T91" s="84"/>
      <x:c r="U91" s="84"/>
    </x:row>
    <x:row r="92">
      <x:c r="A92" s="84"/>
      <x:c r="B92" s="84"/>
      <x:c r="C92" s="84"/>
      <x:c r="D92" s="84"/>
      <x:c r="E92" s="84"/>
      <x:c r="F92" s="84"/>
      <x:c r="G92" s="84"/>
      <x:c r="H92" s="84"/>
      <x:c r="I92" s="84"/>
      <x:c r="J92" s="84"/>
      <x:c r="K92" s="84"/>
      <x:c r="L92" s="84"/>
      <x:c r="M92" s="84"/>
      <x:c r="N92" s="84"/>
      <x:c r="O92" s="84"/>
      <x:c r="P92" s="84"/>
      <x:c r="Q92" s="84"/>
      <x:c r="R92" s="84"/>
      <x:c r="S92" s="84"/>
      <x:c r="T92" s="84"/>
      <x:c r="U92" s="84"/>
    </x:row>
    <x:row r="93">
      <x:c r="A93" s="84"/>
      <x:c r="B93" s="84"/>
      <x:c r="C93" s="84"/>
      <x:c r="D93" s="84"/>
      <x:c r="E93" s="84"/>
      <x:c r="F93" s="84"/>
      <x:c r="G93" s="84"/>
      <x:c r="H93" s="84"/>
      <x:c r="I93" s="84"/>
      <x:c r="J93" s="84"/>
      <x:c r="K93" s="84"/>
      <x:c r="L93" s="84"/>
      <x:c r="M93" s="84"/>
      <x:c r="N93" s="84"/>
      <x:c r="O93" s="84"/>
      <x:c r="P93" s="84"/>
      <x:c r="Q93" s="84"/>
      <x:c r="R93" s="84"/>
      <x:c r="S93" s="84"/>
      <x:c r="T93" s="84"/>
      <x:c r="U93" s="84"/>
    </x:row>
    <x:row r="94">
      <x:c r="A94" s="84"/>
      <x:c r="B94" s="84"/>
      <x:c r="C94" s="84"/>
      <x:c r="D94" s="84"/>
      <x:c r="E94" s="84"/>
      <x:c r="F94" s="84"/>
      <x:c r="G94" s="84"/>
      <x:c r="H94" s="84"/>
      <x:c r="I94" s="84"/>
      <x:c r="J94" s="84"/>
      <x:c r="K94" s="84"/>
      <x:c r="L94" s="84"/>
      <x:c r="M94" s="84"/>
      <x:c r="N94" s="84"/>
      <x:c r="O94" s="84"/>
      <x:c r="P94" s="84"/>
      <x:c r="Q94" s="84"/>
      <x:c r="R94" s="84"/>
      <x:c r="S94" s="84"/>
      <x:c r="T94" s="84"/>
      <x:c r="U94" s="84"/>
    </x:row>
    <x:row r="95">
      <x:c r="A95" s="84"/>
      <x:c r="B95" s="84"/>
      <x:c r="C95" s="84"/>
      <x:c r="D95" s="84"/>
      <x:c r="E95" s="84"/>
      <x:c r="F95" s="84"/>
      <x:c r="G95" s="84"/>
      <x:c r="H95" s="84"/>
      <x:c r="I95" s="84"/>
      <x:c r="J95" s="84"/>
      <x:c r="K95" s="84"/>
      <x:c r="L95" s="84"/>
      <x:c r="M95" s="84"/>
      <x:c r="N95" s="84"/>
      <x:c r="O95" s="84"/>
      <x:c r="P95" s="84"/>
      <x:c r="Q95" s="84"/>
      <x:c r="R95" s="84"/>
      <x:c r="S95" s="84"/>
      <x:c r="T95" s="84"/>
      <x:c r="U95" s="84"/>
    </x:row>
    <x:row r="96">
      <x:c r="A96" s="84"/>
      <x:c r="B96" s="84"/>
      <x:c r="C96" s="84"/>
      <x:c r="D96" s="84"/>
      <x:c r="E96" s="84"/>
      <x:c r="F96" s="84"/>
      <x:c r="G96" s="84"/>
      <x:c r="H96" s="84"/>
      <x:c r="I96" s="84"/>
      <x:c r="J96" s="84"/>
      <x:c r="K96" s="84"/>
      <x:c r="L96" s="84"/>
      <x:c r="M96" s="84"/>
      <x:c r="N96" s="84"/>
      <x:c r="O96" s="84"/>
      <x:c r="P96" s="84"/>
      <x:c r="Q96" s="84"/>
      <x:c r="R96" s="84"/>
      <x:c r="S96" s="84"/>
      <x:c r="T96" s="84"/>
      <x:c r="U96" s="84"/>
    </x:row>
    <x:row r="97">
      <x:c r="A97" s="84"/>
      <x:c r="B97" s="84"/>
      <x:c r="C97" s="84"/>
      <x:c r="D97" s="84"/>
      <x:c r="E97" s="84"/>
      <x:c r="F97" s="84"/>
      <x:c r="G97" s="84"/>
      <x:c r="H97" s="84"/>
      <x:c r="I97" s="84"/>
      <x:c r="J97" s="84"/>
      <x:c r="K97" s="84"/>
      <x:c r="L97" s="84"/>
      <x:c r="M97" s="84"/>
      <x:c r="N97" s="84"/>
      <x:c r="O97" s="84"/>
      <x:c r="P97" s="84"/>
      <x:c r="Q97" s="84"/>
      <x:c r="R97" s="84"/>
      <x:c r="S97" s="84"/>
      <x:c r="T97" s="84"/>
      <x:c r="U97" s="84"/>
    </x:row>
    <x:row r="98">
      <x:c r="A98" s="84"/>
      <x:c r="B98" s="84"/>
      <x:c r="C98" s="84"/>
      <x:c r="D98" s="84"/>
      <x:c r="E98" s="84"/>
      <x:c r="F98" s="84"/>
      <x:c r="G98" s="84"/>
      <x:c r="H98" s="84"/>
      <x:c r="I98" s="84"/>
      <x:c r="J98" s="84"/>
      <x:c r="K98" s="84"/>
      <x:c r="L98" s="84"/>
      <x:c r="M98" s="84"/>
      <x:c r="N98" s="84"/>
      <x:c r="O98" s="84"/>
      <x:c r="P98" s="84"/>
      <x:c r="Q98" s="84"/>
      <x:c r="R98" s="84"/>
      <x:c r="S98" s="84"/>
      <x:c r="T98" s="84"/>
      <x:c r="U98" s="84"/>
    </x:row>
    <x:row r="99">
      <x:c r="A99" s="84"/>
      <x:c r="B99" s="84"/>
      <x:c r="C99" s="84"/>
      <x:c r="D99" s="84"/>
      <x:c r="E99" s="84"/>
      <x:c r="F99" s="84"/>
      <x:c r="G99" s="84"/>
      <x:c r="H99" s="84"/>
      <x:c r="I99" s="84"/>
      <x:c r="J99" s="84"/>
      <x:c r="K99" s="84"/>
      <x:c r="L99" s="84"/>
      <x:c r="M99" s="84"/>
      <x:c r="N99" s="84"/>
      <x:c r="O99" s="84"/>
      <x:c r="P99" s="84"/>
      <x:c r="Q99" s="84"/>
      <x:c r="R99" s="84"/>
      <x:c r="S99" s="84"/>
      <x:c r="T99" s="84"/>
      <x:c r="U99" s="84"/>
    </x:row>
    <x:row r="100">
      <x:c r="A100" s="84"/>
      <x:c r="B100" s="84"/>
      <x:c r="C100" s="84"/>
      <x:c r="D100" s="84"/>
      <x:c r="E100" s="84"/>
      <x:c r="F100" s="84"/>
      <x:c r="G100" s="84"/>
      <x:c r="H100" s="84"/>
      <x:c r="I100" s="84"/>
      <x:c r="J100" s="84"/>
      <x:c r="K100" s="84"/>
      <x:c r="L100" s="84"/>
      <x:c r="M100" s="84"/>
      <x:c r="N100" s="84"/>
      <x:c r="O100" s="84"/>
      <x:c r="P100" s="84"/>
      <x:c r="Q100" s="84"/>
      <x:c r="R100" s="84"/>
      <x:c r="S100" s="84"/>
      <x:c r="T100" s="84"/>
      <x:c r="U100" s="84"/>
    </x:row>
    <x:row r="101">
      <x:c r="A101" s="84"/>
      <x:c r="B101" s="84"/>
      <x:c r="C101" s="84"/>
      <x:c r="D101" s="84"/>
      <x:c r="E101" s="84"/>
      <x:c r="F101" s="84"/>
      <x:c r="G101" s="84"/>
      <x:c r="H101" s="84"/>
      <x:c r="I101" s="84"/>
      <x:c r="J101" s="84"/>
      <x:c r="K101" s="84"/>
      <x:c r="L101" s="84"/>
      <x:c r="M101" s="84"/>
      <x:c r="N101" s="84"/>
      <x:c r="O101" s="84"/>
      <x:c r="P101" s="84"/>
      <x:c r="Q101" s="84"/>
      <x:c r="R101" s="84"/>
      <x:c r="S101" s="84"/>
      <x:c r="T101" s="84"/>
      <x:c r="U101" s="84"/>
    </x:row>
    <x:row r="102">
      <x:c r="A102" s="84"/>
      <x:c r="B102" s="84"/>
      <x:c r="C102" s="84"/>
      <x:c r="D102" s="84"/>
      <x:c r="E102" s="84"/>
      <x:c r="F102" s="84"/>
      <x:c r="G102" s="84"/>
      <x:c r="H102" s="84"/>
      <x:c r="I102" s="84"/>
      <x:c r="J102" s="84"/>
      <x:c r="K102" s="84"/>
      <x:c r="L102" s="84"/>
      <x:c r="M102" s="84"/>
      <x:c r="N102" s="84"/>
      <x:c r="O102" s="84"/>
      <x:c r="P102" s="84"/>
      <x:c r="Q102" s="84"/>
      <x:c r="R102" s="84"/>
      <x:c r="S102" s="84"/>
      <x:c r="T102" s="84"/>
      <x:c r="U102" s="84"/>
    </x:row>
    <x:row r="103">
      <x:c r="A103" s="84"/>
      <x:c r="B103" s="84"/>
      <x:c r="C103" s="84"/>
      <x:c r="D103" s="84"/>
      <x:c r="E103" s="84"/>
      <x:c r="F103" s="84"/>
      <x:c r="G103" s="84"/>
      <x:c r="H103" s="84"/>
      <x:c r="I103" s="84"/>
      <x:c r="J103" s="84"/>
      <x:c r="K103" s="84"/>
      <x:c r="L103" s="84"/>
      <x:c r="M103" s="84"/>
      <x:c r="N103" s="84"/>
      <x:c r="O103" s="84"/>
      <x:c r="P103" s="84"/>
      <x:c r="Q103" s="84"/>
      <x:c r="R103" s="84"/>
      <x:c r="S103" s="84"/>
      <x:c r="T103" s="84"/>
      <x:c r="U103" s="84"/>
    </x:row>
    <x:row r="104">
      <x:c r="A104" s="84"/>
      <x:c r="B104" s="84"/>
      <x:c r="C104" s="84"/>
      <x:c r="D104" s="84"/>
      <x:c r="E104" s="84"/>
      <x:c r="F104" s="84"/>
      <x:c r="G104" s="84"/>
      <x:c r="H104" s="84"/>
      <x:c r="I104" s="84"/>
      <x:c r="J104" s="84"/>
      <x:c r="K104" s="84"/>
      <x:c r="L104" s="84"/>
      <x:c r="M104" s="84"/>
      <x:c r="N104" s="84"/>
      <x:c r="O104" s="84"/>
      <x:c r="P104" s="84"/>
      <x:c r="Q104" s="84"/>
      <x:c r="R104" s="84"/>
      <x:c r="S104" s="84"/>
      <x:c r="T104" s="84"/>
      <x:c r="U104" s="84"/>
    </x:row>
    <x:row r="105">
      <x:c r="A105" s="84"/>
      <x:c r="B105" s="84"/>
      <x:c r="C105" s="84"/>
      <x:c r="D105" s="84"/>
      <x:c r="E105" s="84"/>
      <x:c r="F105" s="84"/>
      <x:c r="G105" s="84"/>
      <x:c r="H105" s="84"/>
      <x:c r="I105" s="84"/>
      <x:c r="J105" s="84"/>
      <x:c r="K105" s="84"/>
      <x:c r="L105" s="84"/>
      <x:c r="M105" s="84"/>
      <x:c r="N105" s="84"/>
      <x:c r="O105" s="84"/>
      <x:c r="P105" s="84"/>
      <x:c r="Q105" s="84"/>
      <x:c r="R105" s="84"/>
      <x:c r="S105" s="84"/>
      <x:c r="T105" s="84"/>
      <x:c r="U105" s="84"/>
    </x:row>
    <x:row r="106">
      <x:c r="A106" s="84"/>
      <x:c r="B106" s="84"/>
      <x:c r="C106" s="84"/>
      <x:c r="D106" s="84"/>
      <x:c r="E106" s="84"/>
      <x:c r="F106" s="84"/>
      <x:c r="G106" s="84"/>
      <x:c r="H106" s="84"/>
      <x:c r="I106" s="84"/>
      <x:c r="J106" s="84"/>
      <x:c r="K106" s="84"/>
      <x:c r="L106" s="84"/>
      <x:c r="M106" s="84"/>
      <x:c r="N106" s="84"/>
      <x:c r="O106" s="84"/>
      <x:c r="P106" s="84"/>
      <x:c r="Q106" s="84"/>
      <x:c r="R106" s="84"/>
      <x:c r="S106" s="84"/>
      <x:c r="T106" s="84"/>
      <x:c r="U106" s="84"/>
    </x:row>
    <x:row r="107">
      <x:c r="A107" s="84"/>
      <x:c r="B107" s="84"/>
      <x:c r="C107" s="84"/>
      <x:c r="D107" s="84"/>
      <x:c r="E107" s="84"/>
      <x:c r="F107" s="84"/>
      <x:c r="G107" s="84"/>
      <x:c r="H107" s="84"/>
      <x:c r="I107" s="84"/>
      <x:c r="J107" s="84"/>
      <x:c r="K107" s="84"/>
      <x:c r="L107" s="84"/>
      <x:c r="M107" s="84"/>
      <x:c r="N107" s="84"/>
      <x:c r="O107" s="84"/>
      <x:c r="P107" s="84"/>
      <x:c r="Q107" s="84"/>
      <x:c r="R107" s="84"/>
      <x:c r="S107" s="84"/>
      <x:c r="T107" s="84"/>
      <x:c r="U107" s="84"/>
    </x:row>
    <x:row r="108">
      <x:c r="A108" s="84"/>
      <x:c r="B108" s="84"/>
      <x:c r="C108" s="84"/>
      <x:c r="D108" s="84"/>
      <x:c r="E108" s="84"/>
      <x:c r="F108" s="84"/>
      <x:c r="G108" s="84"/>
      <x:c r="H108" s="84"/>
      <x:c r="I108" s="84"/>
      <x:c r="J108" s="84"/>
      <x:c r="K108" s="84"/>
      <x:c r="L108" s="84"/>
      <x:c r="M108" s="84"/>
      <x:c r="N108" s="84"/>
      <x:c r="O108" s="84"/>
      <x:c r="P108" s="84"/>
      <x:c r="Q108" s="84"/>
      <x:c r="R108" s="84"/>
      <x:c r="S108" s="84"/>
      <x:c r="T108" s="84"/>
      <x:c r="U108" s="84"/>
    </x:row>
    <x:row r="109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4"/>
      <x:c r="K109" s="84"/>
      <x:c r="L109" s="84"/>
      <x:c r="M109" s="84"/>
      <x:c r="N109" s="84"/>
      <x:c r="O109" s="84"/>
      <x:c r="P109" s="84"/>
      <x:c r="Q109" s="84"/>
      <x:c r="R109" s="84"/>
      <x:c r="S109" s="84"/>
      <x:c r="T109" s="84"/>
      <x:c r="U109" s="84"/>
    </x:row>
    <x:row r="110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4"/>
      <x:c r="K110" s="84"/>
      <x:c r="L110" s="84"/>
      <x:c r="M110" s="84"/>
      <x:c r="N110" s="84"/>
      <x:c r="O110" s="84"/>
      <x:c r="P110" s="84"/>
      <x:c r="Q110" s="84"/>
      <x:c r="R110" s="84"/>
      <x:c r="S110" s="84"/>
      <x:c r="T110" s="84"/>
      <x:c r="U110" s="84"/>
    </x:row>
  </x:sheetData>
  <x:mergeCells>
    <x:mergeCell ref="A1:F1"/>
  </x:mergeCells>
  <x:conditionalFormatting sqref="F4:F12">
    <x:cfRule type="expression" dxfId="2" priority="1">
      <x:formula>$F4="Due / Past"</x:formula>
    </x:cfRule>
    <x:cfRule type="expression" dxfId="3" priority="2">
      <x:formula>$F4="Due Soon"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4" hidden="0" customWidth="1"/>
    <x:col min="4" max="4" width="8" hidden="0" customWidth="1"/>
    <x:col min="5" max="5" width="34" hidden="0" customWidth="1"/>
    <x:col min="6" max="6" width="26" hidden="0" customWidth="1"/>
    <x:col min="7" max="7" width="20" hidden="0" customWidth="1"/>
    <x:col min="8" max="8" width="34" hidden="0" customWidth="1"/>
    <x:col min="9" max="9" width="16" hidden="0" customWidth="1"/>
    <x:col min="10" max="10" width="14" hidden="0" customWidth="1"/>
    <x:col min="11" max="11" width="14" hidden="0" customWidth="1"/>
    <x:col min="12" max="12" width="12" hidden="0" customWidth="1"/>
    <x:col min="13" max="13" width="12" hidden="0" customWidth="1"/>
    <x:col min="14" max="14" width="15" hidden="0" customWidth="1"/>
    <x:col min="15" max="15" width="12" hidden="0" customWidth="1"/>
    <x:col min="16" max="16" width="11" hidden="0" customWidth="1"/>
    <x:col min="17" max="17" width="38" hidden="0" customWidth="1"/>
    <x:col min="18" max="18" width="36" hidden="0" customWidth="1"/>
    <x:col min="19" max="19" width="18" hidden="0" customWidth="1"/>
    <x:col min="20" max="20" width="10" hidden="0" customWidth="1"/>
    <x:col min="21" max="21" width="28" hidden="0" customWidth="1"/>
  </x:cols>
  <x:sheetData>
    <x:row r="1">
      <x:c r="A1" s="141" t="str">
        <x:v>SOURCE LOG — log the source once; reuse it throughout the workbook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  <x:c r="R1" s="141"/>
      <x:c r="S1" s="141"/>
      <x:c r="T1" s="141"/>
      <x:c r="U1" s="141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  <x:c r="S2" s="84"/>
      <x:c r="T2" s="84"/>
      <x:c r="U2" s="84"/>
    </x:row>
    <x:row r="3">
      <x:c r="A3" s="121" t="str">
        <x:v>Source ID</x:v>
      </x:c>
      <x:c r="B3" s="121" t="str">
        <x:v>Source Type</x:v>
      </x:c>
      <x:c r="C3" s="121" t="str">
        <x:v>Author(s)</x:v>
      </x:c>
      <x:c r="D3" s="121" t="str">
        <x:v>Year</x:v>
      </x:c>
      <x:c r="E3" s="121" t="str">
        <x:v>Title</x:v>
      </x:c>
      <x:c r="F3" s="121" t="str">
        <x:v>Publication / Container</x:v>
      </x:c>
      <x:c r="G3" s="121" t="str">
        <x:v>Volume / Issue / Pages</x:v>
      </x:c>
      <x:c r="H3" s="121" t="str">
        <x:v>DOI or URL</x:v>
      </x:c>
      <x:c r="I3" s="121" t="str">
        <x:v>Access Date (if needed)</x:v>
      </x:c>
      <x:c r="J3" s="121" t="str">
        <x:v>Source Role</x:v>
      </x:c>
      <x:c r="K3" s="121" t="str">
        <x:v>Peer Reviewed?</x:v>
      </x:c>
      <x:c r="L3" s="121" t="str">
        <x:v>Relevance (1-5)</x:v>
      </x:c>
      <x:c r="M3" s="121" t="str">
        <x:v>Authority (1-5)</x:v>
      </x:c>
      <x:c r="N3" s="121" t="str">
        <x:v>Evidence/Method (1-5)</x:v>
      </x:c>
      <x:c r="O3" s="121" t="str">
        <x:v>Currency (1-5)</x:v>
      </x:c>
      <x:c r="P3" s="121" t="str">
        <x:v>Review Avg</x:v>
      </x:c>
      <x:c r="Q3" s="121" t="str">
        <x:v>Key Finding / Contribution</x:v>
      </x:c>
      <x:c r="R3" s="121" t="str">
        <x:v>Limitations / Bias / Caveats</x:v>
      </x:c>
      <x:c r="S3" s="121" t="str">
        <x:v>Citation Fields</x:v>
      </x:c>
      <x:c r="T3" s="121" t="str">
        <x:v>Use?</x:v>
      </x:c>
      <x:c r="U3" s="121" t="str">
        <x:v>Notes</x:v>
      </x:c>
    </x:row>
    <x:row r="4">
      <x:c r="A4" s="122" t="str">
        <x:f>IF(E4="","","S"&amp;TEXT(ROW()-3,"000"))</x:f>
      </x:c>
      <x:c r="B4" s="113"/>
      <x:c r="C4" s="113"/>
      <x:c r="D4" s="113"/>
      <x:c r="E4" s="113"/>
      <x:c r="F4" s="113"/>
      <x:c r="G4" s="113"/>
      <x:c r="H4" s="113"/>
      <x:c r="I4" s="123"/>
      <x:c r="J4" s="113"/>
      <x:c r="K4" s="113"/>
      <x:c r="L4" s="113"/>
      <x:c r="M4" s="113"/>
      <x:c r="N4" s="113"/>
      <x:c r="O4" s="113"/>
      <x:c r="P4" s="143" t="str">
        <x:f>IF(COUNT(L4:O4)=0,"",ROUND(AVERAGE(L4:O4),1))</x:f>
      </x:c>
      <x:c r="Q4" s="113"/>
      <x:c r="R4" s="113"/>
      <x:c r="S4" s="122" t="str">
        <x:f>IF(E4="","",IF(B4="Interview / Primary Source",IF(OR(B4="",C4="",E4=""),"ACTION NEEDED","Basic fields present"),IF(OR(B4="",C4="",D4="",E4="",F4=""),"ACTION NEEDED",IF(OR(B4="Webpage",B4="Dataset"),IF(H4="","ACTION NEEDED","Basic fields present"),"Basic fields present"))))</x:f>
      </x:c>
      <x:c r="T4" s="113"/>
      <x:c r="U4" s="113"/>
    </x:row>
    <x:row r="5">
      <x:c r="A5" s="122" t="str">
        <x:f>IF(E5="","","S"&amp;TEXT(ROW()-3,"000"))</x:f>
      </x:c>
      <x:c r="B5" s="113"/>
      <x:c r="C5" s="113"/>
      <x:c r="D5" s="113"/>
      <x:c r="E5" s="113"/>
      <x:c r="F5" s="113"/>
      <x:c r="G5" s="113"/>
      <x:c r="H5" s="113"/>
      <x:c r="I5" s="123"/>
      <x:c r="J5" s="113"/>
      <x:c r="K5" s="113"/>
      <x:c r="L5" s="113"/>
      <x:c r="M5" s="113"/>
      <x:c r="N5" s="113"/>
      <x:c r="O5" s="113"/>
      <x:c r="P5" s="143" t="str">
        <x:f>IF(COUNT(L5:O5)=0,"",ROUND(AVERAGE(L5:O5),1))</x:f>
      </x:c>
      <x:c r="Q5" s="113"/>
      <x:c r="R5" s="113"/>
      <x:c r="S5" s="122" t="str">
        <x:f>IF(E5="","",IF(B5="Interview / Primary Source",IF(OR(B5="",C5="",E5=""),"ACTION NEEDED","Basic fields present"),IF(OR(B5="",C5="",D5="",E5="",F5=""),"ACTION NEEDED",IF(OR(B5="Webpage",B5="Dataset"),IF(H5="","ACTION NEEDED","Basic fields present"),"Basic fields present"))))</x:f>
      </x:c>
      <x:c r="T5" s="113"/>
      <x:c r="U5" s="113"/>
    </x:row>
    <x:row r="6">
      <x:c r="A6" s="122" t="str">
        <x:f>IF(E6="","","S"&amp;TEXT(ROW()-3,"000"))</x:f>
      </x:c>
      <x:c r="B6" s="113"/>
      <x:c r="C6" s="113"/>
      <x:c r="D6" s="113"/>
      <x:c r="E6" s="113"/>
      <x:c r="F6" s="113"/>
      <x:c r="G6" s="113"/>
      <x:c r="H6" s="113"/>
      <x:c r="I6" s="123"/>
      <x:c r="J6" s="113"/>
      <x:c r="K6" s="113"/>
      <x:c r="L6" s="113"/>
      <x:c r="M6" s="113"/>
      <x:c r="N6" s="113"/>
      <x:c r="O6" s="113"/>
      <x:c r="P6" s="143" t="str">
        <x:f>IF(COUNT(L6:O6)=0,"",ROUND(AVERAGE(L6:O6),1))</x:f>
      </x:c>
      <x:c r="Q6" s="113"/>
      <x:c r="R6" s="113"/>
      <x:c r="S6" s="122" t="str">
        <x:f>IF(E6="","",IF(B6="Interview / Primary Source",IF(OR(B6="",C6="",E6=""),"ACTION NEEDED","Basic fields present"),IF(OR(B6="",C6="",D6="",E6="",F6=""),"ACTION NEEDED",IF(OR(B6="Webpage",B6="Dataset"),IF(H6="","ACTION NEEDED","Basic fields present"),"Basic fields present"))))</x:f>
      </x:c>
      <x:c r="T6" s="113"/>
      <x:c r="U6" s="113"/>
    </x:row>
    <x:row r="7">
      <x:c r="A7" s="122" t="str">
        <x:f>IF(E7="","","S"&amp;TEXT(ROW()-3,"000"))</x:f>
      </x:c>
      <x:c r="B7" s="113"/>
      <x:c r="C7" s="113"/>
      <x:c r="D7" s="113"/>
      <x:c r="E7" s="113"/>
      <x:c r="F7" s="113"/>
      <x:c r="G7" s="113"/>
      <x:c r="H7" s="113"/>
      <x:c r="I7" s="123"/>
      <x:c r="J7" s="113"/>
      <x:c r="K7" s="113"/>
      <x:c r="L7" s="113"/>
      <x:c r="M7" s="113"/>
      <x:c r="N7" s="113"/>
      <x:c r="O7" s="113"/>
      <x:c r="P7" s="143" t="str">
        <x:f>IF(COUNT(L7:O7)=0,"",ROUND(AVERAGE(L7:O7),1))</x:f>
      </x:c>
      <x:c r="Q7" s="113"/>
      <x:c r="R7" s="113"/>
      <x:c r="S7" s="122" t="str">
        <x:f>IF(E7="","",IF(B7="Interview / Primary Source",IF(OR(B7="",C7="",E7=""),"ACTION NEEDED","Basic fields present"),IF(OR(B7="",C7="",D7="",E7="",F7=""),"ACTION NEEDED",IF(OR(B7="Webpage",B7="Dataset"),IF(H7="","ACTION NEEDED","Basic fields present"),"Basic fields present"))))</x:f>
      </x:c>
      <x:c r="T7" s="113"/>
      <x:c r="U7" s="113"/>
    </x:row>
    <x:row r="8">
      <x:c r="A8" s="122" t="str">
        <x:f>IF(E8="","","S"&amp;TEXT(ROW()-3,"000"))</x:f>
      </x:c>
      <x:c r="B8" s="113"/>
      <x:c r="C8" s="113"/>
      <x:c r="D8" s="113"/>
      <x:c r="E8" s="113"/>
      <x:c r="F8" s="113"/>
      <x:c r="G8" s="113"/>
      <x:c r="H8" s="113"/>
      <x:c r="I8" s="123"/>
      <x:c r="J8" s="113"/>
      <x:c r="K8" s="113"/>
      <x:c r="L8" s="113"/>
      <x:c r="M8" s="113"/>
      <x:c r="N8" s="113"/>
      <x:c r="O8" s="113"/>
      <x:c r="P8" s="143" t="str">
        <x:f>IF(COUNT(L8:O8)=0,"",ROUND(AVERAGE(L8:O8),1))</x:f>
      </x:c>
      <x:c r="Q8" s="113"/>
      <x:c r="R8" s="113"/>
      <x:c r="S8" s="122" t="str">
        <x:f>IF(E8="","",IF(B8="Interview / Primary Source",IF(OR(B8="",C8="",E8=""),"ACTION NEEDED","Basic fields present"),IF(OR(B8="",C8="",D8="",E8="",F8=""),"ACTION NEEDED",IF(OR(B8="Webpage",B8="Dataset"),IF(H8="","ACTION NEEDED","Basic fields present"),"Basic fields present"))))</x:f>
      </x:c>
      <x:c r="T8" s="113"/>
      <x:c r="U8" s="113"/>
    </x:row>
    <x:row r="9">
      <x:c r="A9" s="122" t="str">
        <x:f>IF(E9="","","S"&amp;TEXT(ROW()-3,"000"))</x:f>
      </x:c>
      <x:c r="B9" s="113"/>
      <x:c r="C9" s="113"/>
      <x:c r="D9" s="113"/>
      <x:c r="E9" s="113"/>
      <x:c r="F9" s="113"/>
      <x:c r="G9" s="113"/>
      <x:c r="H9" s="113"/>
      <x:c r="I9" s="123"/>
      <x:c r="J9" s="113"/>
      <x:c r="K9" s="113"/>
      <x:c r="L9" s="113"/>
      <x:c r="M9" s="113"/>
      <x:c r="N9" s="113"/>
      <x:c r="O9" s="113"/>
      <x:c r="P9" s="143" t="str">
        <x:f>IF(COUNT(L9:O9)=0,"",ROUND(AVERAGE(L9:O9),1))</x:f>
      </x:c>
      <x:c r="Q9" s="113"/>
      <x:c r="R9" s="113"/>
      <x:c r="S9" s="122" t="str">
        <x:f>IF(E9="","",IF(B9="Interview / Primary Source",IF(OR(B9="",C9="",E9=""),"ACTION NEEDED","Basic fields present"),IF(OR(B9="",C9="",D9="",E9="",F9=""),"ACTION NEEDED",IF(OR(B9="Webpage",B9="Dataset"),IF(H9="","ACTION NEEDED","Basic fields present"),"Basic fields present"))))</x:f>
      </x:c>
      <x:c r="T9" s="113"/>
      <x:c r="U9" s="113"/>
    </x:row>
    <x:row r="10">
      <x:c r="A10" s="122" t="str">
        <x:f>IF(E10="","","S"&amp;TEXT(ROW()-3,"000"))</x:f>
      </x:c>
      <x:c r="B10" s="113"/>
      <x:c r="C10" s="113"/>
      <x:c r="D10" s="113"/>
      <x:c r="E10" s="113"/>
      <x:c r="F10" s="113"/>
      <x:c r="G10" s="113"/>
      <x:c r="H10" s="113"/>
      <x:c r="I10" s="123"/>
      <x:c r="J10" s="113"/>
      <x:c r="K10" s="113"/>
      <x:c r="L10" s="113"/>
      <x:c r="M10" s="113"/>
      <x:c r="N10" s="113"/>
      <x:c r="O10" s="113"/>
      <x:c r="P10" s="143" t="str">
        <x:f>IF(COUNT(L10:O10)=0,"",ROUND(AVERAGE(L10:O10),1))</x:f>
      </x:c>
      <x:c r="Q10" s="113"/>
      <x:c r="R10" s="113"/>
      <x:c r="S10" s="122" t="str">
        <x:f>IF(E10="","",IF(B10="Interview / Primary Source",IF(OR(B10="",C10="",E10=""),"ACTION NEEDED","Basic fields present"),IF(OR(B10="",C10="",D10="",E10="",F10=""),"ACTION NEEDED",IF(OR(B10="Webpage",B10="Dataset"),IF(H10="","ACTION NEEDED","Basic fields present"),"Basic fields present"))))</x:f>
      </x:c>
      <x:c r="T10" s="113"/>
      <x:c r="U10" s="113"/>
    </x:row>
    <x:row r="11">
      <x:c r="A11" s="122" t="str">
        <x:f>IF(E11="","","S"&amp;TEXT(ROW()-3,"000"))</x:f>
      </x:c>
      <x:c r="B11" s="113"/>
      <x:c r="C11" s="113"/>
      <x:c r="D11" s="113"/>
      <x:c r="E11" s="113"/>
      <x:c r="F11" s="113"/>
      <x:c r="G11" s="113"/>
      <x:c r="H11" s="113"/>
      <x:c r="I11" s="123"/>
      <x:c r="J11" s="113"/>
      <x:c r="K11" s="113"/>
      <x:c r="L11" s="113"/>
      <x:c r="M11" s="113"/>
      <x:c r="N11" s="113"/>
      <x:c r="O11" s="113"/>
      <x:c r="P11" s="143" t="str">
        <x:f>IF(COUNT(L11:O11)=0,"",ROUND(AVERAGE(L11:O11),1))</x:f>
      </x:c>
      <x:c r="Q11" s="113"/>
      <x:c r="R11" s="113"/>
      <x:c r="S11" s="122" t="str">
        <x:f>IF(E11="","",IF(B11="Interview / Primary Source",IF(OR(B11="",C11="",E11=""),"ACTION NEEDED","Basic fields present"),IF(OR(B11="",C11="",D11="",E11="",F11=""),"ACTION NEEDED",IF(OR(B11="Webpage",B11="Dataset"),IF(H11="","ACTION NEEDED","Basic fields present"),"Basic fields present"))))</x:f>
      </x:c>
      <x:c r="T11" s="113"/>
      <x:c r="U11" s="113"/>
    </x:row>
    <x:row r="12">
      <x:c r="A12" s="122" t="str">
        <x:f>IF(E12="","","S"&amp;TEXT(ROW()-3,"000"))</x:f>
      </x:c>
      <x:c r="B12" s="113"/>
      <x:c r="C12" s="113"/>
      <x:c r="D12" s="113"/>
      <x:c r="E12" s="113"/>
      <x:c r="F12" s="113"/>
      <x:c r="G12" s="113"/>
      <x:c r="H12" s="113"/>
      <x:c r="I12" s="123"/>
      <x:c r="J12" s="113"/>
      <x:c r="K12" s="113"/>
      <x:c r="L12" s="113"/>
      <x:c r="M12" s="113"/>
      <x:c r="N12" s="113"/>
      <x:c r="O12" s="113"/>
      <x:c r="P12" s="143" t="str">
        <x:f>IF(COUNT(L12:O12)=0,"",ROUND(AVERAGE(L12:O12),1))</x:f>
      </x:c>
      <x:c r="Q12" s="113"/>
      <x:c r="R12" s="113"/>
      <x:c r="S12" s="122" t="str">
        <x:f>IF(E12="","",IF(B12="Interview / Primary Source",IF(OR(B12="",C12="",E12=""),"ACTION NEEDED","Basic fields present"),IF(OR(B12="",C12="",D12="",E12="",F12=""),"ACTION NEEDED",IF(OR(B12="Webpage",B12="Dataset"),IF(H12="","ACTION NEEDED","Basic fields present"),"Basic fields present"))))</x:f>
      </x:c>
      <x:c r="T12" s="113"/>
      <x:c r="U12" s="113"/>
    </x:row>
    <x:row r="13">
      <x:c r="A13" s="122" t="str">
        <x:f>IF(E13="","","S"&amp;TEXT(ROW()-3,"000"))</x:f>
      </x:c>
      <x:c r="B13" s="113"/>
      <x:c r="C13" s="113"/>
      <x:c r="D13" s="113"/>
      <x:c r="E13" s="113"/>
      <x:c r="F13" s="113"/>
      <x:c r="G13" s="113"/>
      <x:c r="H13" s="113"/>
      <x:c r="I13" s="123"/>
      <x:c r="J13" s="113"/>
      <x:c r="K13" s="113"/>
      <x:c r="L13" s="113"/>
      <x:c r="M13" s="113"/>
      <x:c r="N13" s="113"/>
      <x:c r="O13" s="113"/>
      <x:c r="P13" s="143" t="str">
        <x:f>IF(COUNT(L13:O13)=0,"",ROUND(AVERAGE(L13:O13),1))</x:f>
      </x:c>
      <x:c r="Q13" s="113"/>
      <x:c r="R13" s="113"/>
      <x:c r="S13" s="122" t="str">
        <x:f>IF(E13="","",IF(B13="Interview / Primary Source",IF(OR(B13="",C13="",E13=""),"ACTION NEEDED","Basic fields present"),IF(OR(B13="",C13="",D13="",E13="",F13=""),"ACTION NEEDED",IF(OR(B13="Webpage",B13="Dataset"),IF(H13="","ACTION NEEDED","Basic fields present"),"Basic fields present"))))</x:f>
      </x:c>
      <x:c r="T13" s="113"/>
      <x:c r="U13" s="113"/>
    </x:row>
    <x:row r="14">
      <x:c r="A14" s="122" t="str">
        <x:f>IF(E14="","","S"&amp;TEXT(ROW()-3,"000"))</x:f>
      </x:c>
      <x:c r="B14" s="113"/>
      <x:c r="C14" s="113"/>
      <x:c r="D14" s="113"/>
      <x:c r="E14" s="113"/>
      <x:c r="F14" s="113"/>
      <x:c r="G14" s="113"/>
      <x:c r="H14" s="113"/>
      <x:c r="I14" s="123"/>
      <x:c r="J14" s="113"/>
      <x:c r="K14" s="113"/>
      <x:c r="L14" s="113"/>
      <x:c r="M14" s="113"/>
      <x:c r="N14" s="113"/>
      <x:c r="O14" s="113"/>
      <x:c r="P14" s="143" t="str">
        <x:f>IF(COUNT(L14:O14)=0,"",ROUND(AVERAGE(L14:O14),1))</x:f>
      </x:c>
      <x:c r="Q14" s="113"/>
      <x:c r="R14" s="113"/>
      <x:c r="S14" s="122" t="str">
        <x:f>IF(E14="","",IF(B14="Interview / Primary Source",IF(OR(B14="",C14="",E14=""),"ACTION NEEDED","Basic fields present"),IF(OR(B14="",C14="",D14="",E14="",F14=""),"ACTION NEEDED",IF(OR(B14="Webpage",B14="Dataset"),IF(H14="","ACTION NEEDED","Basic fields present"),"Basic fields present"))))</x:f>
      </x:c>
      <x:c r="T14" s="113"/>
      <x:c r="U14" s="113"/>
    </x:row>
    <x:row r="15">
      <x:c r="A15" s="122" t="str">
        <x:f>IF(E15="","","S"&amp;TEXT(ROW()-3,"000"))</x:f>
      </x:c>
      <x:c r="B15" s="113"/>
      <x:c r="C15" s="113"/>
      <x:c r="D15" s="113"/>
      <x:c r="E15" s="113"/>
      <x:c r="F15" s="113"/>
      <x:c r="G15" s="113"/>
      <x:c r="H15" s="113"/>
      <x:c r="I15" s="123"/>
      <x:c r="J15" s="113"/>
      <x:c r="K15" s="113"/>
      <x:c r="L15" s="113"/>
      <x:c r="M15" s="113"/>
      <x:c r="N15" s="113"/>
      <x:c r="O15" s="113"/>
      <x:c r="P15" s="143" t="str">
        <x:f>IF(COUNT(L15:O15)=0,"",ROUND(AVERAGE(L15:O15),1))</x:f>
      </x:c>
      <x:c r="Q15" s="113"/>
      <x:c r="R15" s="113"/>
      <x:c r="S15" s="122" t="str">
        <x:f>IF(E15="","",IF(B15="Interview / Primary Source",IF(OR(B15="",C15="",E15=""),"ACTION NEEDED","Basic fields present"),IF(OR(B15="",C15="",D15="",E15="",F15=""),"ACTION NEEDED",IF(OR(B15="Webpage",B15="Dataset"),IF(H15="","ACTION NEEDED","Basic fields present"),"Basic fields present"))))</x:f>
      </x:c>
      <x:c r="T15" s="113"/>
      <x:c r="U15" s="113"/>
    </x:row>
    <x:row r="16">
      <x:c r="A16" s="122" t="str">
        <x:f>IF(E16="","","S"&amp;TEXT(ROW()-3,"000"))</x:f>
      </x:c>
      <x:c r="B16" s="113"/>
      <x:c r="C16" s="113"/>
      <x:c r="D16" s="113"/>
      <x:c r="E16" s="113"/>
      <x:c r="F16" s="113"/>
      <x:c r="G16" s="113"/>
      <x:c r="H16" s="113"/>
      <x:c r="I16" s="123"/>
      <x:c r="J16" s="113"/>
      <x:c r="K16" s="113"/>
      <x:c r="L16" s="113"/>
      <x:c r="M16" s="113"/>
      <x:c r="N16" s="113"/>
      <x:c r="O16" s="113"/>
      <x:c r="P16" s="143" t="str">
        <x:f>IF(COUNT(L16:O16)=0,"",ROUND(AVERAGE(L16:O16),1))</x:f>
      </x:c>
      <x:c r="Q16" s="113"/>
      <x:c r="R16" s="113"/>
      <x:c r="S16" s="122" t="str">
        <x:f>IF(E16="","",IF(B16="Interview / Primary Source",IF(OR(B16="",C16="",E16=""),"ACTION NEEDED","Basic fields present"),IF(OR(B16="",C16="",D16="",E16="",F16=""),"ACTION NEEDED",IF(OR(B16="Webpage",B16="Dataset"),IF(H16="","ACTION NEEDED","Basic fields present"),"Basic fields present"))))</x:f>
      </x:c>
      <x:c r="T16" s="113"/>
      <x:c r="U16" s="113"/>
    </x:row>
    <x:row r="17">
      <x:c r="A17" s="122" t="str">
        <x:f>IF(E17="","","S"&amp;TEXT(ROW()-3,"000"))</x:f>
      </x:c>
      <x:c r="B17" s="113"/>
      <x:c r="C17" s="113"/>
      <x:c r="D17" s="113"/>
      <x:c r="E17" s="113"/>
      <x:c r="F17" s="113"/>
      <x:c r="G17" s="113"/>
      <x:c r="H17" s="113"/>
      <x:c r="I17" s="123"/>
      <x:c r="J17" s="113"/>
      <x:c r="K17" s="113"/>
      <x:c r="L17" s="113"/>
      <x:c r="M17" s="113"/>
      <x:c r="N17" s="113"/>
      <x:c r="O17" s="113"/>
      <x:c r="P17" s="143" t="str">
        <x:f>IF(COUNT(L17:O17)=0,"",ROUND(AVERAGE(L17:O17),1))</x:f>
      </x:c>
      <x:c r="Q17" s="113"/>
      <x:c r="R17" s="113"/>
      <x:c r="S17" s="122" t="str">
        <x:f>IF(E17="","",IF(B17="Interview / Primary Source",IF(OR(B17="",C17="",E17=""),"ACTION NEEDED","Basic fields present"),IF(OR(B17="",C17="",D17="",E17="",F17=""),"ACTION NEEDED",IF(OR(B17="Webpage",B17="Dataset"),IF(H17="","ACTION NEEDED","Basic fields present"),"Basic fields present"))))</x:f>
      </x:c>
      <x:c r="T17" s="113"/>
      <x:c r="U17" s="113"/>
    </x:row>
    <x:row r="18">
      <x:c r="A18" s="122" t="str">
        <x:f>IF(E18="","","S"&amp;TEXT(ROW()-3,"000"))</x:f>
      </x:c>
      <x:c r="B18" s="113"/>
      <x:c r="C18" s="113"/>
      <x:c r="D18" s="113"/>
      <x:c r="E18" s="113"/>
      <x:c r="F18" s="113"/>
      <x:c r="G18" s="113"/>
      <x:c r="H18" s="113"/>
      <x:c r="I18" s="123"/>
      <x:c r="J18" s="113"/>
      <x:c r="K18" s="113"/>
      <x:c r="L18" s="113"/>
      <x:c r="M18" s="113"/>
      <x:c r="N18" s="113"/>
      <x:c r="O18" s="113"/>
      <x:c r="P18" s="143" t="str">
        <x:f>IF(COUNT(L18:O18)=0,"",ROUND(AVERAGE(L18:O18),1))</x:f>
      </x:c>
      <x:c r="Q18" s="113"/>
      <x:c r="R18" s="113"/>
      <x:c r="S18" s="122" t="str">
        <x:f>IF(E18="","",IF(B18="Interview / Primary Source",IF(OR(B18="",C18="",E18=""),"ACTION NEEDED","Basic fields present"),IF(OR(B18="",C18="",D18="",E18="",F18=""),"ACTION NEEDED",IF(OR(B18="Webpage",B18="Dataset"),IF(H18="","ACTION NEEDED","Basic fields present"),"Basic fields present"))))</x:f>
      </x:c>
      <x:c r="T18" s="113"/>
      <x:c r="U18" s="113"/>
    </x:row>
    <x:row r="19">
      <x:c r="A19" s="122" t="str">
        <x:f>IF(E19="","","S"&amp;TEXT(ROW()-3,"000"))</x:f>
      </x:c>
      <x:c r="B19" s="113"/>
      <x:c r="C19" s="113"/>
      <x:c r="D19" s="113"/>
      <x:c r="E19" s="113"/>
      <x:c r="F19" s="113"/>
      <x:c r="G19" s="113"/>
      <x:c r="H19" s="113"/>
      <x:c r="I19" s="123"/>
      <x:c r="J19" s="113"/>
      <x:c r="K19" s="113"/>
      <x:c r="L19" s="113"/>
      <x:c r="M19" s="113"/>
      <x:c r="N19" s="113"/>
      <x:c r="O19" s="113"/>
      <x:c r="P19" s="143" t="str">
        <x:f>IF(COUNT(L19:O19)=0,"",ROUND(AVERAGE(L19:O19),1))</x:f>
      </x:c>
      <x:c r="Q19" s="113"/>
      <x:c r="R19" s="113"/>
      <x:c r="S19" s="122" t="str">
        <x:f>IF(E19="","",IF(B19="Interview / Primary Source",IF(OR(B19="",C19="",E19=""),"ACTION NEEDED","Basic fields present"),IF(OR(B19="",C19="",D19="",E19="",F19=""),"ACTION NEEDED",IF(OR(B19="Webpage",B19="Dataset"),IF(H19="","ACTION NEEDED","Basic fields present"),"Basic fields present"))))</x:f>
      </x:c>
      <x:c r="T19" s="113"/>
      <x:c r="U19" s="113"/>
    </x:row>
    <x:row r="20">
      <x:c r="A20" s="122" t="str">
        <x:f>IF(E20="","","S"&amp;TEXT(ROW()-3,"000"))</x:f>
      </x:c>
      <x:c r="B20" s="113"/>
      <x:c r="C20" s="113"/>
      <x:c r="D20" s="113"/>
      <x:c r="E20" s="113"/>
      <x:c r="F20" s="113"/>
      <x:c r="G20" s="113"/>
      <x:c r="H20" s="113"/>
      <x:c r="I20" s="123"/>
      <x:c r="J20" s="113"/>
      <x:c r="K20" s="113"/>
      <x:c r="L20" s="113"/>
      <x:c r="M20" s="113"/>
      <x:c r="N20" s="113"/>
      <x:c r="O20" s="113"/>
      <x:c r="P20" s="143" t="str">
        <x:f>IF(COUNT(L20:O20)=0,"",ROUND(AVERAGE(L20:O20),1))</x:f>
      </x:c>
      <x:c r="Q20" s="113"/>
      <x:c r="R20" s="113"/>
      <x:c r="S20" s="122" t="str">
        <x:f>IF(E20="","",IF(B20="Interview / Primary Source",IF(OR(B20="",C20="",E20=""),"ACTION NEEDED","Basic fields present"),IF(OR(B20="",C20="",D20="",E20="",F20=""),"ACTION NEEDED",IF(OR(B20="Webpage",B20="Dataset"),IF(H20="","ACTION NEEDED","Basic fields present"),"Basic fields present"))))</x:f>
      </x:c>
      <x:c r="T20" s="113"/>
      <x:c r="U20" s="113"/>
    </x:row>
    <x:row r="21">
      <x:c r="A21" s="122" t="str">
        <x:f>IF(E21="","","S"&amp;TEXT(ROW()-3,"000"))</x:f>
      </x:c>
      <x:c r="B21" s="113"/>
      <x:c r="C21" s="113"/>
      <x:c r="D21" s="113"/>
      <x:c r="E21" s="113"/>
      <x:c r="F21" s="113"/>
      <x:c r="G21" s="113"/>
      <x:c r="H21" s="113"/>
      <x:c r="I21" s="123"/>
      <x:c r="J21" s="113"/>
      <x:c r="K21" s="113"/>
      <x:c r="L21" s="113"/>
      <x:c r="M21" s="113"/>
      <x:c r="N21" s="113"/>
      <x:c r="O21" s="113"/>
      <x:c r="P21" s="143" t="str">
        <x:f>IF(COUNT(L21:O21)=0,"",ROUND(AVERAGE(L21:O21),1))</x:f>
      </x:c>
      <x:c r="Q21" s="113"/>
      <x:c r="R21" s="113"/>
      <x:c r="S21" s="122" t="str">
        <x:f>IF(E21="","",IF(B21="Interview / Primary Source",IF(OR(B21="",C21="",E21=""),"ACTION NEEDED","Basic fields present"),IF(OR(B21="",C21="",D21="",E21="",F21=""),"ACTION NEEDED",IF(OR(B21="Webpage",B21="Dataset"),IF(H21="","ACTION NEEDED","Basic fields present"),"Basic fields present"))))</x:f>
      </x:c>
      <x:c r="T21" s="113"/>
      <x:c r="U21" s="113"/>
    </x:row>
    <x:row r="22">
      <x:c r="A22" s="122" t="str">
        <x:f>IF(E22="","","S"&amp;TEXT(ROW()-3,"000"))</x:f>
      </x:c>
      <x:c r="B22" s="113"/>
      <x:c r="C22" s="113"/>
      <x:c r="D22" s="113"/>
      <x:c r="E22" s="113"/>
      <x:c r="F22" s="113"/>
      <x:c r="G22" s="113"/>
      <x:c r="H22" s="113"/>
      <x:c r="I22" s="123"/>
      <x:c r="J22" s="113"/>
      <x:c r="K22" s="113"/>
      <x:c r="L22" s="113"/>
      <x:c r="M22" s="113"/>
      <x:c r="N22" s="113"/>
      <x:c r="O22" s="113"/>
      <x:c r="P22" s="143" t="str">
        <x:f>IF(COUNT(L22:O22)=0,"",ROUND(AVERAGE(L22:O22),1))</x:f>
      </x:c>
      <x:c r="Q22" s="113"/>
      <x:c r="R22" s="113"/>
      <x:c r="S22" s="122" t="str">
        <x:f>IF(E22="","",IF(B22="Interview / Primary Source",IF(OR(B22="",C22="",E22=""),"ACTION NEEDED","Basic fields present"),IF(OR(B22="",C22="",D22="",E22="",F22=""),"ACTION NEEDED",IF(OR(B22="Webpage",B22="Dataset"),IF(H22="","ACTION NEEDED","Basic fields present"),"Basic fields present"))))</x:f>
      </x:c>
      <x:c r="T22" s="113"/>
      <x:c r="U22" s="113"/>
    </x:row>
    <x:row r="23">
      <x:c r="A23" s="122" t="str">
        <x:f>IF(E23="","","S"&amp;TEXT(ROW()-3,"000"))</x:f>
      </x:c>
      <x:c r="B23" s="113"/>
      <x:c r="C23" s="113"/>
      <x:c r="D23" s="113"/>
      <x:c r="E23" s="113"/>
      <x:c r="F23" s="113"/>
      <x:c r="G23" s="113"/>
      <x:c r="H23" s="113"/>
      <x:c r="I23" s="123"/>
      <x:c r="J23" s="113"/>
      <x:c r="K23" s="113"/>
      <x:c r="L23" s="113"/>
      <x:c r="M23" s="113"/>
      <x:c r="N23" s="113"/>
      <x:c r="O23" s="113"/>
      <x:c r="P23" s="143" t="str">
        <x:f>IF(COUNT(L23:O23)=0,"",ROUND(AVERAGE(L23:O23),1))</x:f>
      </x:c>
      <x:c r="Q23" s="113"/>
      <x:c r="R23" s="113"/>
      <x:c r="S23" s="122" t="str">
        <x:f>IF(E23="","",IF(B23="Interview / Primary Source",IF(OR(B23="",C23="",E23=""),"ACTION NEEDED","Basic fields present"),IF(OR(B23="",C23="",D23="",E23="",F23=""),"ACTION NEEDED",IF(OR(B23="Webpage",B23="Dataset"),IF(H23="","ACTION NEEDED","Basic fields present"),"Basic fields present"))))</x:f>
      </x:c>
      <x:c r="T23" s="113"/>
      <x:c r="U23" s="113"/>
    </x:row>
    <x:row r="24">
      <x:c r="A24" s="122" t="str">
        <x:f>IF(E24="","","S"&amp;TEXT(ROW()-3,"000"))</x:f>
      </x:c>
      <x:c r="B24" s="113"/>
      <x:c r="C24" s="113"/>
      <x:c r="D24" s="113"/>
      <x:c r="E24" s="113"/>
      <x:c r="F24" s="113"/>
      <x:c r="G24" s="113"/>
      <x:c r="H24" s="113"/>
      <x:c r="I24" s="123"/>
      <x:c r="J24" s="113"/>
      <x:c r="K24" s="113"/>
      <x:c r="L24" s="113"/>
      <x:c r="M24" s="113"/>
      <x:c r="N24" s="113"/>
      <x:c r="O24" s="113"/>
      <x:c r="P24" s="143" t="str">
        <x:f>IF(COUNT(L24:O24)=0,"",ROUND(AVERAGE(L24:O24),1))</x:f>
      </x:c>
      <x:c r="Q24" s="113"/>
      <x:c r="R24" s="113"/>
      <x:c r="S24" s="122" t="str">
        <x:f>IF(E24="","",IF(B24="Interview / Primary Source",IF(OR(B24="",C24="",E24=""),"ACTION NEEDED","Basic fields present"),IF(OR(B24="",C24="",D24="",E24="",F24=""),"ACTION NEEDED",IF(OR(B24="Webpage",B24="Dataset"),IF(H24="","ACTION NEEDED","Basic fields present"),"Basic fields present"))))</x:f>
      </x:c>
      <x:c r="T24" s="113"/>
      <x:c r="U24" s="113"/>
    </x:row>
    <x:row r="25">
      <x:c r="A25" s="122" t="str">
        <x:f>IF(E25="","","S"&amp;TEXT(ROW()-3,"000"))</x:f>
      </x:c>
      <x:c r="B25" s="113"/>
      <x:c r="C25" s="113"/>
      <x:c r="D25" s="113"/>
      <x:c r="E25" s="113"/>
      <x:c r="F25" s="113"/>
      <x:c r="G25" s="113"/>
      <x:c r="H25" s="113"/>
      <x:c r="I25" s="123"/>
      <x:c r="J25" s="113"/>
      <x:c r="K25" s="113"/>
      <x:c r="L25" s="113"/>
      <x:c r="M25" s="113"/>
      <x:c r="N25" s="113"/>
      <x:c r="O25" s="113"/>
      <x:c r="P25" s="143" t="str">
        <x:f>IF(COUNT(L25:O25)=0,"",ROUND(AVERAGE(L25:O25),1))</x:f>
      </x:c>
      <x:c r="Q25" s="113"/>
      <x:c r="R25" s="113"/>
      <x:c r="S25" s="122" t="str">
        <x:f>IF(E25="","",IF(B25="Interview / Primary Source",IF(OR(B25="",C25="",E25=""),"ACTION NEEDED","Basic fields present"),IF(OR(B25="",C25="",D25="",E25="",F25=""),"ACTION NEEDED",IF(OR(B25="Webpage",B25="Dataset"),IF(H25="","ACTION NEEDED","Basic fields present"),"Basic fields present"))))</x:f>
      </x:c>
      <x:c r="T25" s="113"/>
      <x:c r="U25" s="113"/>
    </x:row>
    <x:row r="26">
      <x:c r="A26" s="122" t="str">
        <x:f>IF(E26="","","S"&amp;TEXT(ROW()-3,"000"))</x:f>
      </x:c>
      <x:c r="B26" s="113"/>
      <x:c r="C26" s="113"/>
      <x:c r="D26" s="113"/>
      <x:c r="E26" s="113"/>
      <x:c r="F26" s="113"/>
      <x:c r="G26" s="113"/>
      <x:c r="H26" s="113"/>
      <x:c r="I26" s="123"/>
      <x:c r="J26" s="113"/>
      <x:c r="K26" s="113"/>
      <x:c r="L26" s="113"/>
      <x:c r="M26" s="113"/>
      <x:c r="N26" s="113"/>
      <x:c r="O26" s="113"/>
      <x:c r="P26" s="143" t="str">
        <x:f>IF(COUNT(L26:O26)=0,"",ROUND(AVERAGE(L26:O26),1))</x:f>
      </x:c>
      <x:c r="Q26" s="113"/>
      <x:c r="R26" s="113"/>
      <x:c r="S26" s="122" t="str">
        <x:f>IF(E26="","",IF(B26="Interview / Primary Source",IF(OR(B26="",C26="",E26=""),"ACTION NEEDED","Basic fields present"),IF(OR(B26="",C26="",D26="",E26="",F26=""),"ACTION NEEDED",IF(OR(B26="Webpage",B26="Dataset"),IF(H26="","ACTION NEEDED","Basic fields present"),"Basic fields present"))))</x:f>
      </x:c>
      <x:c r="T26" s="113"/>
      <x:c r="U26" s="113"/>
    </x:row>
    <x:row r="27">
      <x:c r="A27" s="122" t="str">
        <x:f>IF(E27="","","S"&amp;TEXT(ROW()-3,"000"))</x:f>
      </x:c>
      <x:c r="B27" s="113"/>
      <x:c r="C27" s="113"/>
      <x:c r="D27" s="113"/>
      <x:c r="E27" s="113"/>
      <x:c r="F27" s="113"/>
      <x:c r="G27" s="113"/>
      <x:c r="H27" s="113"/>
      <x:c r="I27" s="123"/>
      <x:c r="J27" s="113"/>
      <x:c r="K27" s="113"/>
      <x:c r="L27" s="113"/>
      <x:c r="M27" s="113"/>
      <x:c r="N27" s="113"/>
      <x:c r="O27" s="113"/>
      <x:c r="P27" s="143" t="str">
        <x:f>IF(COUNT(L27:O27)=0,"",ROUND(AVERAGE(L27:O27),1))</x:f>
      </x:c>
      <x:c r="Q27" s="113"/>
      <x:c r="R27" s="113"/>
      <x:c r="S27" s="122" t="str">
        <x:f>IF(E27="","",IF(B27="Interview / Primary Source",IF(OR(B27="",C27="",E27=""),"ACTION NEEDED","Basic fields present"),IF(OR(B27="",C27="",D27="",E27="",F27=""),"ACTION NEEDED",IF(OR(B27="Webpage",B27="Dataset"),IF(H27="","ACTION NEEDED","Basic fields present"),"Basic fields present"))))</x:f>
      </x:c>
      <x:c r="T27" s="113"/>
      <x:c r="U27" s="113"/>
    </x:row>
    <x:row r="28">
      <x:c r="A28" s="122" t="str">
        <x:f>IF(E28="","","S"&amp;TEXT(ROW()-3,"000"))</x:f>
      </x:c>
      <x:c r="B28" s="113"/>
      <x:c r="C28" s="113"/>
      <x:c r="D28" s="113"/>
      <x:c r="E28" s="113"/>
      <x:c r="F28" s="113"/>
      <x:c r="G28" s="113"/>
      <x:c r="H28" s="113"/>
      <x:c r="I28" s="123"/>
      <x:c r="J28" s="113"/>
      <x:c r="K28" s="113"/>
      <x:c r="L28" s="113"/>
      <x:c r="M28" s="113"/>
      <x:c r="N28" s="113"/>
      <x:c r="O28" s="113"/>
      <x:c r="P28" s="143" t="str">
        <x:f>IF(COUNT(L28:O28)=0,"",ROUND(AVERAGE(L28:O28),1))</x:f>
      </x:c>
      <x:c r="Q28" s="113"/>
      <x:c r="R28" s="113"/>
      <x:c r="S28" s="122" t="str">
        <x:f>IF(E28="","",IF(B28="Interview / Primary Source",IF(OR(B28="",C28="",E28=""),"ACTION NEEDED","Basic fields present"),IF(OR(B28="",C28="",D28="",E28="",F28=""),"ACTION NEEDED",IF(OR(B28="Webpage",B28="Dataset"),IF(H28="","ACTION NEEDED","Basic fields present"),"Basic fields present"))))</x:f>
      </x:c>
      <x:c r="T28" s="113"/>
      <x:c r="U28" s="113"/>
    </x:row>
    <x:row r="29">
      <x:c r="A29" s="122" t="str">
        <x:f>IF(E29="","","S"&amp;TEXT(ROW()-3,"000"))</x:f>
      </x:c>
      <x:c r="B29" s="113"/>
      <x:c r="C29" s="113"/>
      <x:c r="D29" s="113"/>
      <x:c r="E29" s="113"/>
      <x:c r="F29" s="113"/>
      <x:c r="G29" s="113"/>
      <x:c r="H29" s="113"/>
      <x:c r="I29" s="123"/>
      <x:c r="J29" s="113"/>
      <x:c r="K29" s="113"/>
      <x:c r="L29" s="113"/>
      <x:c r="M29" s="113"/>
      <x:c r="N29" s="113"/>
      <x:c r="O29" s="113"/>
      <x:c r="P29" s="143" t="str">
        <x:f>IF(COUNT(L29:O29)=0,"",ROUND(AVERAGE(L29:O29),1))</x:f>
      </x:c>
      <x:c r="Q29" s="113"/>
      <x:c r="R29" s="113"/>
      <x:c r="S29" s="122" t="str">
        <x:f>IF(E29="","",IF(B29="Interview / Primary Source",IF(OR(B29="",C29="",E29=""),"ACTION NEEDED","Basic fields present"),IF(OR(B29="",C29="",D29="",E29="",F29=""),"ACTION NEEDED",IF(OR(B29="Webpage",B29="Dataset"),IF(H29="","ACTION NEEDED","Basic fields present"),"Basic fields present"))))</x:f>
      </x:c>
      <x:c r="T29" s="113"/>
      <x:c r="U29" s="113"/>
    </x:row>
    <x:row r="30">
      <x:c r="A30" s="122" t="str">
        <x:f>IF(E30="","","S"&amp;TEXT(ROW()-3,"000"))</x:f>
      </x:c>
      <x:c r="B30" s="113"/>
      <x:c r="C30" s="113"/>
      <x:c r="D30" s="113"/>
      <x:c r="E30" s="113"/>
      <x:c r="F30" s="113"/>
      <x:c r="G30" s="113"/>
      <x:c r="H30" s="113"/>
      <x:c r="I30" s="123"/>
      <x:c r="J30" s="113"/>
      <x:c r="K30" s="113"/>
      <x:c r="L30" s="113"/>
      <x:c r="M30" s="113"/>
      <x:c r="N30" s="113"/>
      <x:c r="O30" s="113"/>
      <x:c r="P30" s="143" t="str">
        <x:f>IF(COUNT(L30:O30)=0,"",ROUND(AVERAGE(L30:O30),1))</x:f>
      </x:c>
      <x:c r="Q30" s="113"/>
      <x:c r="R30" s="113"/>
      <x:c r="S30" s="122" t="str">
        <x:f>IF(E30="","",IF(B30="Interview / Primary Source",IF(OR(B30="",C30="",E30=""),"ACTION NEEDED","Basic fields present"),IF(OR(B30="",C30="",D30="",E30="",F30=""),"ACTION NEEDED",IF(OR(B30="Webpage",B30="Dataset"),IF(H30="","ACTION NEEDED","Basic fields present"),"Basic fields present"))))</x:f>
      </x:c>
      <x:c r="T30" s="113"/>
      <x:c r="U30" s="113"/>
    </x:row>
    <x:row r="31">
      <x:c r="A31" s="122" t="str">
        <x:f>IF(E31="","","S"&amp;TEXT(ROW()-3,"000"))</x:f>
      </x:c>
      <x:c r="B31" s="113"/>
      <x:c r="C31" s="113"/>
      <x:c r="D31" s="113"/>
      <x:c r="E31" s="113"/>
      <x:c r="F31" s="113"/>
      <x:c r="G31" s="113"/>
      <x:c r="H31" s="113"/>
      <x:c r="I31" s="123"/>
      <x:c r="J31" s="113"/>
      <x:c r="K31" s="113"/>
      <x:c r="L31" s="113"/>
      <x:c r="M31" s="113"/>
      <x:c r="N31" s="113"/>
      <x:c r="O31" s="113"/>
      <x:c r="P31" s="143" t="str">
        <x:f>IF(COUNT(L31:O31)=0,"",ROUND(AVERAGE(L31:O31),1))</x:f>
      </x:c>
      <x:c r="Q31" s="113"/>
      <x:c r="R31" s="113"/>
      <x:c r="S31" s="122" t="str">
        <x:f>IF(E31="","",IF(B31="Interview / Primary Source",IF(OR(B31="",C31="",E31=""),"ACTION NEEDED","Basic fields present"),IF(OR(B31="",C31="",D31="",E31="",F31=""),"ACTION NEEDED",IF(OR(B31="Webpage",B31="Dataset"),IF(H31="","ACTION NEEDED","Basic fields present"),"Basic fields present"))))</x:f>
      </x:c>
      <x:c r="T31" s="113"/>
      <x:c r="U31" s="113"/>
    </x:row>
    <x:row r="32">
      <x:c r="A32" s="122" t="str">
        <x:f>IF(E32="","","S"&amp;TEXT(ROW()-3,"000"))</x:f>
      </x:c>
      <x:c r="B32" s="113"/>
      <x:c r="C32" s="113"/>
      <x:c r="D32" s="113"/>
      <x:c r="E32" s="113"/>
      <x:c r="F32" s="113"/>
      <x:c r="G32" s="113"/>
      <x:c r="H32" s="113"/>
      <x:c r="I32" s="123"/>
      <x:c r="J32" s="113"/>
      <x:c r="K32" s="113"/>
      <x:c r="L32" s="113"/>
      <x:c r="M32" s="113"/>
      <x:c r="N32" s="113"/>
      <x:c r="O32" s="113"/>
      <x:c r="P32" s="143" t="str">
        <x:f>IF(COUNT(L32:O32)=0,"",ROUND(AVERAGE(L32:O32),1))</x:f>
      </x:c>
      <x:c r="Q32" s="113"/>
      <x:c r="R32" s="113"/>
      <x:c r="S32" s="122" t="str">
        <x:f>IF(E32="","",IF(B32="Interview / Primary Source",IF(OR(B32="",C32="",E32=""),"ACTION NEEDED","Basic fields present"),IF(OR(B32="",C32="",D32="",E32="",F32=""),"ACTION NEEDED",IF(OR(B32="Webpage",B32="Dataset"),IF(H32="","ACTION NEEDED","Basic fields present"),"Basic fields present"))))</x:f>
      </x:c>
      <x:c r="T32" s="113"/>
      <x:c r="U32" s="113"/>
    </x:row>
    <x:row r="33">
      <x:c r="A33" s="122" t="str">
        <x:f>IF(E33="","","S"&amp;TEXT(ROW()-3,"000"))</x:f>
      </x:c>
      <x:c r="B33" s="113"/>
      <x:c r="C33" s="113"/>
      <x:c r="D33" s="113"/>
      <x:c r="E33" s="113"/>
      <x:c r="F33" s="113"/>
      <x:c r="G33" s="113"/>
      <x:c r="H33" s="113"/>
      <x:c r="I33" s="123"/>
      <x:c r="J33" s="113"/>
      <x:c r="K33" s="113"/>
      <x:c r="L33" s="113"/>
      <x:c r="M33" s="113"/>
      <x:c r="N33" s="113"/>
      <x:c r="O33" s="113"/>
      <x:c r="P33" s="143" t="str">
        <x:f>IF(COUNT(L33:O33)=0,"",ROUND(AVERAGE(L33:O33),1))</x:f>
      </x:c>
      <x:c r="Q33" s="113"/>
      <x:c r="R33" s="113"/>
      <x:c r="S33" s="122" t="str">
        <x:f>IF(E33="","",IF(B33="Interview / Primary Source",IF(OR(B33="",C33="",E33=""),"ACTION NEEDED","Basic fields present"),IF(OR(B33="",C33="",D33="",E33="",F33=""),"ACTION NEEDED",IF(OR(B33="Webpage",B33="Dataset"),IF(H33="","ACTION NEEDED","Basic fields present"),"Basic fields present"))))</x:f>
      </x:c>
      <x:c r="T33" s="113"/>
      <x:c r="U33" s="113"/>
    </x:row>
    <x:row r="34">
      <x:c r="A34" s="122" t="str">
        <x:f>IF(E34="","","S"&amp;TEXT(ROW()-3,"000"))</x:f>
      </x:c>
      <x:c r="B34" s="113"/>
      <x:c r="C34" s="113"/>
      <x:c r="D34" s="113"/>
      <x:c r="E34" s="113"/>
      <x:c r="F34" s="113"/>
      <x:c r="G34" s="113"/>
      <x:c r="H34" s="113"/>
      <x:c r="I34" s="123"/>
      <x:c r="J34" s="113"/>
      <x:c r="K34" s="113"/>
      <x:c r="L34" s="113"/>
      <x:c r="M34" s="113"/>
      <x:c r="N34" s="113"/>
      <x:c r="O34" s="113"/>
      <x:c r="P34" s="143" t="str">
        <x:f>IF(COUNT(L34:O34)=0,"",ROUND(AVERAGE(L34:O34),1))</x:f>
      </x:c>
      <x:c r="Q34" s="113"/>
      <x:c r="R34" s="113"/>
      <x:c r="S34" s="122" t="str">
        <x:f>IF(E34="","",IF(B34="Interview / Primary Source",IF(OR(B34="",C34="",E34=""),"ACTION NEEDED","Basic fields present"),IF(OR(B34="",C34="",D34="",E34="",F34=""),"ACTION NEEDED",IF(OR(B34="Webpage",B34="Dataset"),IF(H34="","ACTION NEEDED","Basic fields present"),"Basic fields present"))))</x:f>
      </x:c>
      <x:c r="T34" s="113"/>
      <x:c r="U34" s="113"/>
    </x:row>
    <x:row r="35">
      <x:c r="A35" s="122" t="str">
        <x:f>IF(E35="","","S"&amp;TEXT(ROW()-3,"000"))</x:f>
      </x:c>
      <x:c r="B35" s="113"/>
      <x:c r="C35" s="113"/>
      <x:c r="D35" s="113"/>
      <x:c r="E35" s="113"/>
      <x:c r="F35" s="113"/>
      <x:c r="G35" s="113"/>
      <x:c r="H35" s="113"/>
      <x:c r="I35" s="123"/>
      <x:c r="J35" s="113"/>
      <x:c r="K35" s="113"/>
      <x:c r="L35" s="113"/>
      <x:c r="M35" s="113"/>
      <x:c r="N35" s="113"/>
      <x:c r="O35" s="113"/>
      <x:c r="P35" s="143" t="str">
        <x:f>IF(COUNT(L35:O35)=0,"",ROUND(AVERAGE(L35:O35),1))</x:f>
      </x:c>
      <x:c r="Q35" s="113"/>
      <x:c r="R35" s="113"/>
      <x:c r="S35" s="122" t="str">
        <x:f>IF(E35="","",IF(B35="Interview / Primary Source",IF(OR(B35="",C35="",E35=""),"ACTION NEEDED","Basic fields present"),IF(OR(B35="",C35="",D35="",E35="",F35=""),"ACTION NEEDED",IF(OR(B35="Webpage",B35="Dataset"),IF(H35="","ACTION NEEDED","Basic fields present"),"Basic fields present"))))</x:f>
      </x:c>
      <x:c r="T35" s="113"/>
      <x:c r="U35" s="113"/>
    </x:row>
    <x:row r="36">
      <x:c r="A36" s="122" t="str">
        <x:f>IF(E36="","","S"&amp;TEXT(ROW()-3,"000"))</x:f>
      </x:c>
      <x:c r="B36" s="113"/>
      <x:c r="C36" s="113"/>
      <x:c r="D36" s="113"/>
      <x:c r="E36" s="113"/>
      <x:c r="F36" s="113"/>
      <x:c r="G36" s="113"/>
      <x:c r="H36" s="113"/>
      <x:c r="I36" s="123"/>
      <x:c r="J36" s="113"/>
      <x:c r="K36" s="113"/>
      <x:c r="L36" s="113"/>
      <x:c r="M36" s="113"/>
      <x:c r="N36" s="113"/>
      <x:c r="O36" s="113"/>
      <x:c r="P36" s="143" t="str">
        <x:f>IF(COUNT(L36:O36)=0,"",ROUND(AVERAGE(L36:O36),1))</x:f>
      </x:c>
      <x:c r="Q36" s="113"/>
      <x:c r="R36" s="113"/>
      <x:c r="S36" s="122" t="str">
        <x:f>IF(E36="","",IF(B36="Interview / Primary Source",IF(OR(B36="",C36="",E36=""),"ACTION NEEDED","Basic fields present"),IF(OR(B36="",C36="",D36="",E36="",F36=""),"ACTION NEEDED",IF(OR(B36="Webpage",B36="Dataset"),IF(H36="","ACTION NEEDED","Basic fields present"),"Basic fields present"))))</x:f>
      </x:c>
      <x:c r="T36" s="113"/>
      <x:c r="U36" s="113"/>
    </x:row>
    <x:row r="37">
      <x:c r="A37" s="122" t="str">
        <x:f>IF(E37="","","S"&amp;TEXT(ROW()-3,"000"))</x:f>
      </x:c>
      <x:c r="B37" s="113"/>
      <x:c r="C37" s="113"/>
      <x:c r="D37" s="113"/>
      <x:c r="E37" s="113"/>
      <x:c r="F37" s="113"/>
      <x:c r="G37" s="113"/>
      <x:c r="H37" s="113"/>
      <x:c r="I37" s="123"/>
      <x:c r="J37" s="113"/>
      <x:c r="K37" s="113"/>
      <x:c r="L37" s="113"/>
      <x:c r="M37" s="113"/>
      <x:c r="N37" s="113"/>
      <x:c r="O37" s="113"/>
      <x:c r="P37" s="143" t="str">
        <x:f>IF(COUNT(L37:O37)=0,"",ROUND(AVERAGE(L37:O37),1))</x:f>
      </x:c>
      <x:c r="Q37" s="113"/>
      <x:c r="R37" s="113"/>
      <x:c r="S37" s="122" t="str">
        <x:f>IF(E37="","",IF(B37="Interview / Primary Source",IF(OR(B37="",C37="",E37=""),"ACTION NEEDED","Basic fields present"),IF(OR(B37="",C37="",D37="",E37="",F37=""),"ACTION NEEDED",IF(OR(B37="Webpage",B37="Dataset"),IF(H37="","ACTION NEEDED","Basic fields present"),"Basic fields present"))))</x:f>
      </x:c>
      <x:c r="T37" s="113"/>
      <x:c r="U37" s="113"/>
    </x:row>
    <x:row r="38">
      <x:c r="A38" s="122" t="str">
        <x:f>IF(E38="","","S"&amp;TEXT(ROW()-3,"000"))</x:f>
      </x:c>
      <x:c r="B38" s="113"/>
      <x:c r="C38" s="113"/>
      <x:c r="D38" s="113"/>
      <x:c r="E38" s="113"/>
      <x:c r="F38" s="113"/>
      <x:c r="G38" s="113"/>
      <x:c r="H38" s="113"/>
      <x:c r="I38" s="123"/>
      <x:c r="J38" s="113"/>
      <x:c r="K38" s="113"/>
      <x:c r="L38" s="113"/>
      <x:c r="M38" s="113"/>
      <x:c r="N38" s="113"/>
      <x:c r="O38" s="113"/>
      <x:c r="P38" s="143" t="str">
        <x:f>IF(COUNT(L38:O38)=0,"",ROUND(AVERAGE(L38:O38),1))</x:f>
      </x:c>
      <x:c r="Q38" s="113"/>
      <x:c r="R38" s="113"/>
      <x:c r="S38" s="122" t="str">
        <x:f>IF(E38="","",IF(B38="Interview / Primary Source",IF(OR(B38="",C38="",E38=""),"ACTION NEEDED","Basic fields present"),IF(OR(B38="",C38="",D38="",E38="",F38=""),"ACTION NEEDED",IF(OR(B38="Webpage",B38="Dataset"),IF(H38="","ACTION NEEDED","Basic fields present"),"Basic fields present"))))</x:f>
      </x:c>
      <x:c r="T38" s="113"/>
      <x:c r="U38" s="113"/>
    </x:row>
    <x:row r="39">
      <x:c r="A39" s="122" t="str">
        <x:f>IF(E39="","","S"&amp;TEXT(ROW()-3,"000"))</x:f>
      </x:c>
      <x:c r="B39" s="113"/>
      <x:c r="C39" s="113"/>
      <x:c r="D39" s="113"/>
      <x:c r="E39" s="113"/>
      <x:c r="F39" s="113"/>
      <x:c r="G39" s="113"/>
      <x:c r="H39" s="113"/>
      <x:c r="I39" s="123"/>
      <x:c r="J39" s="113"/>
      <x:c r="K39" s="113"/>
      <x:c r="L39" s="113"/>
      <x:c r="M39" s="113"/>
      <x:c r="N39" s="113"/>
      <x:c r="O39" s="113"/>
      <x:c r="P39" s="143" t="str">
        <x:f>IF(COUNT(L39:O39)=0,"",ROUND(AVERAGE(L39:O39),1))</x:f>
      </x:c>
      <x:c r="Q39" s="113"/>
      <x:c r="R39" s="113"/>
      <x:c r="S39" s="122" t="str">
        <x:f>IF(E39="","",IF(B39="Interview / Primary Source",IF(OR(B39="",C39="",E39=""),"ACTION NEEDED","Basic fields present"),IF(OR(B39="",C39="",D39="",E39="",F39=""),"ACTION NEEDED",IF(OR(B39="Webpage",B39="Dataset"),IF(H39="","ACTION NEEDED","Basic fields present"),"Basic fields present"))))</x:f>
      </x:c>
      <x:c r="T39" s="113"/>
      <x:c r="U39" s="113"/>
    </x:row>
    <x:row r="40">
      <x:c r="A40" s="122" t="str">
        <x:f>IF(E40="","","S"&amp;TEXT(ROW()-3,"000"))</x:f>
      </x:c>
      <x:c r="B40" s="113"/>
      <x:c r="C40" s="113"/>
      <x:c r="D40" s="113"/>
      <x:c r="E40" s="113"/>
      <x:c r="F40" s="113"/>
      <x:c r="G40" s="113"/>
      <x:c r="H40" s="113"/>
      <x:c r="I40" s="123"/>
      <x:c r="J40" s="113"/>
      <x:c r="K40" s="113"/>
      <x:c r="L40" s="113"/>
      <x:c r="M40" s="113"/>
      <x:c r="N40" s="113"/>
      <x:c r="O40" s="113"/>
      <x:c r="P40" s="143" t="str">
        <x:f>IF(COUNT(L40:O40)=0,"",ROUND(AVERAGE(L40:O40),1))</x:f>
      </x:c>
      <x:c r="Q40" s="113"/>
      <x:c r="R40" s="113"/>
      <x:c r="S40" s="122" t="str">
        <x:f>IF(E40="","",IF(B40="Interview / Primary Source",IF(OR(B40="",C40="",E40=""),"ACTION NEEDED","Basic fields present"),IF(OR(B40="",C40="",D40="",E40="",F40=""),"ACTION NEEDED",IF(OR(B40="Webpage",B40="Dataset"),IF(H40="","ACTION NEEDED","Basic fields present"),"Basic fields present"))))</x:f>
      </x:c>
      <x:c r="T40" s="113"/>
      <x:c r="U40" s="113"/>
    </x:row>
    <x:row r="41">
      <x:c r="A41" s="122" t="str">
        <x:f>IF(E41="","","S"&amp;TEXT(ROW()-3,"000"))</x:f>
      </x:c>
      <x:c r="B41" s="113"/>
      <x:c r="C41" s="113"/>
      <x:c r="D41" s="113"/>
      <x:c r="E41" s="113"/>
      <x:c r="F41" s="113"/>
      <x:c r="G41" s="113"/>
      <x:c r="H41" s="113"/>
      <x:c r="I41" s="123"/>
      <x:c r="J41" s="113"/>
      <x:c r="K41" s="113"/>
      <x:c r="L41" s="113"/>
      <x:c r="M41" s="113"/>
      <x:c r="N41" s="113"/>
      <x:c r="O41" s="113"/>
      <x:c r="P41" s="143" t="str">
        <x:f>IF(COUNT(L41:O41)=0,"",ROUND(AVERAGE(L41:O41),1))</x:f>
      </x:c>
      <x:c r="Q41" s="113"/>
      <x:c r="R41" s="113"/>
      <x:c r="S41" s="122" t="str">
        <x:f>IF(E41="","",IF(B41="Interview / Primary Source",IF(OR(B41="",C41="",E41=""),"ACTION NEEDED","Basic fields present"),IF(OR(B41="",C41="",D41="",E41="",F41=""),"ACTION NEEDED",IF(OR(B41="Webpage",B41="Dataset"),IF(H41="","ACTION NEEDED","Basic fields present"),"Basic fields present"))))</x:f>
      </x:c>
      <x:c r="T41" s="113"/>
      <x:c r="U41" s="113"/>
    </x:row>
    <x:row r="42">
      <x:c r="A42" s="122" t="str">
        <x:f>IF(E42="","","S"&amp;TEXT(ROW()-3,"000"))</x:f>
      </x:c>
      <x:c r="B42" s="113"/>
      <x:c r="C42" s="113"/>
      <x:c r="D42" s="113"/>
      <x:c r="E42" s="113"/>
      <x:c r="F42" s="113"/>
      <x:c r="G42" s="113"/>
      <x:c r="H42" s="113"/>
      <x:c r="I42" s="123"/>
      <x:c r="J42" s="113"/>
      <x:c r="K42" s="113"/>
      <x:c r="L42" s="113"/>
      <x:c r="M42" s="113"/>
      <x:c r="N42" s="113"/>
      <x:c r="O42" s="113"/>
      <x:c r="P42" s="143" t="str">
        <x:f>IF(COUNT(L42:O42)=0,"",ROUND(AVERAGE(L42:O42),1))</x:f>
      </x:c>
      <x:c r="Q42" s="113"/>
      <x:c r="R42" s="113"/>
      <x:c r="S42" s="122" t="str">
        <x:f>IF(E42="","",IF(B42="Interview / Primary Source",IF(OR(B42="",C42="",E42=""),"ACTION NEEDED","Basic fields present"),IF(OR(B42="",C42="",D42="",E42="",F42=""),"ACTION NEEDED",IF(OR(B42="Webpage",B42="Dataset"),IF(H42="","ACTION NEEDED","Basic fields present"),"Basic fields present"))))</x:f>
      </x:c>
      <x:c r="T42" s="113"/>
      <x:c r="U42" s="113"/>
    </x:row>
    <x:row r="43">
      <x:c r="A43" s="122" t="str">
        <x:f>IF(E43="","","S"&amp;TEXT(ROW()-3,"000"))</x:f>
      </x:c>
      <x:c r="B43" s="113"/>
      <x:c r="C43" s="113"/>
      <x:c r="D43" s="113"/>
      <x:c r="E43" s="113"/>
      <x:c r="F43" s="113"/>
      <x:c r="G43" s="113"/>
      <x:c r="H43" s="113"/>
      <x:c r="I43" s="123"/>
      <x:c r="J43" s="113"/>
      <x:c r="K43" s="113"/>
      <x:c r="L43" s="113"/>
      <x:c r="M43" s="113"/>
      <x:c r="N43" s="113"/>
      <x:c r="O43" s="113"/>
      <x:c r="P43" s="143" t="str">
        <x:f>IF(COUNT(L43:O43)=0,"",ROUND(AVERAGE(L43:O43),1))</x:f>
      </x:c>
      <x:c r="Q43" s="113"/>
      <x:c r="R43" s="113"/>
      <x:c r="S43" s="122" t="str">
        <x:f>IF(E43="","",IF(B43="Interview / Primary Source",IF(OR(B43="",C43="",E43=""),"ACTION NEEDED","Basic fields present"),IF(OR(B43="",C43="",D43="",E43="",F43=""),"ACTION NEEDED",IF(OR(B43="Webpage",B43="Dataset"),IF(H43="","ACTION NEEDED","Basic fields present"),"Basic fields present"))))</x:f>
      </x:c>
      <x:c r="T43" s="113"/>
      <x:c r="U43" s="113"/>
    </x:row>
    <x:row r="44">
      <x:c r="A44" s="122" t="str">
        <x:f>IF(E44="","","S"&amp;TEXT(ROW()-3,"000"))</x:f>
      </x:c>
      <x:c r="B44" s="113"/>
      <x:c r="C44" s="113"/>
      <x:c r="D44" s="113"/>
      <x:c r="E44" s="113"/>
      <x:c r="F44" s="113"/>
      <x:c r="G44" s="113"/>
      <x:c r="H44" s="113"/>
      <x:c r="I44" s="123"/>
      <x:c r="J44" s="113"/>
      <x:c r="K44" s="113"/>
      <x:c r="L44" s="113"/>
      <x:c r="M44" s="113"/>
      <x:c r="N44" s="113"/>
      <x:c r="O44" s="113"/>
      <x:c r="P44" s="143" t="str">
        <x:f>IF(COUNT(L44:O44)=0,"",ROUND(AVERAGE(L44:O44),1))</x:f>
      </x:c>
      <x:c r="Q44" s="113"/>
      <x:c r="R44" s="113"/>
      <x:c r="S44" s="122" t="str">
        <x:f>IF(E44="","",IF(B44="Interview / Primary Source",IF(OR(B44="",C44="",E44=""),"ACTION NEEDED","Basic fields present"),IF(OR(B44="",C44="",D44="",E44="",F44=""),"ACTION NEEDED",IF(OR(B44="Webpage",B44="Dataset"),IF(H44="","ACTION NEEDED","Basic fields present"),"Basic fields present"))))</x:f>
      </x:c>
      <x:c r="T44" s="113"/>
      <x:c r="U44" s="113"/>
    </x:row>
    <x:row r="45">
      <x:c r="A45" s="122" t="str">
        <x:f>IF(E45="","","S"&amp;TEXT(ROW()-3,"000"))</x:f>
      </x:c>
      <x:c r="B45" s="113"/>
      <x:c r="C45" s="113"/>
      <x:c r="D45" s="113"/>
      <x:c r="E45" s="113"/>
      <x:c r="F45" s="113"/>
      <x:c r="G45" s="113"/>
      <x:c r="H45" s="113"/>
      <x:c r="I45" s="123"/>
      <x:c r="J45" s="113"/>
      <x:c r="K45" s="113"/>
      <x:c r="L45" s="113"/>
      <x:c r="M45" s="113"/>
      <x:c r="N45" s="113"/>
      <x:c r="O45" s="113"/>
      <x:c r="P45" s="143" t="str">
        <x:f>IF(COUNT(L45:O45)=0,"",ROUND(AVERAGE(L45:O45),1))</x:f>
      </x:c>
      <x:c r="Q45" s="113"/>
      <x:c r="R45" s="113"/>
      <x:c r="S45" s="122" t="str">
        <x:f>IF(E45="","",IF(B45="Interview / Primary Source",IF(OR(B45="",C45="",E45=""),"ACTION NEEDED","Basic fields present"),IF(OR(B45="",C45="",D45="",E45="",F45=""),"ACTION NEEDED",IF(OR(B45="Webpage",B45="Dataset"),IF(H45="","ACTION NEEDED","Basic fields present"),"Basic fields present"))))</x:f>
      </x:c>
      <x:c r="T45" s="113"/>
      <x:c r="U45" s="113"/>
    </x:row>
    <x:row r="46">
      <x:c r="A46" s="122" t="str">
        <x:f>IF(E46="","","S"&amp;TEXT(ROW()-3,"000"))</x:f>
      </x:c>
      <x:c r="B46" s="113"/>
      <x:c r="C46" s="113"/>
      <x:c r="D46" s="113"/>
      <x:c r="E46" s="113"/>
      <x:c r="F46" s="113"/>
      <x:c r="G46" s="113"/>
      <x:c r="H46" s="113"/>
      <x:c r="I46" s="123"/>
      <x:c r="J46" s="113"/>
      <x:c r="K46" s="113"/>
      <x:c r="L46" s="113"/>
      <x:c r="M46" s="113"/>
      <x:c r="N46" s="113"/>
      <x:c r="O46" s="113"/>
      <x:c r="P46" s="143" t="str">
        <x:f>IF(COUNT(L46:O46)=0,"",ROUND(AVERAGE(L46:O46),1))</x:f>
      </x:c>
      <x:c r="Q46" s="113"/>
      <x:c r="R46" s="113"/>
      <x:c r="S46" s="122" t="str">
        <x:f>IF(E46="","",IF(B46="Interview / Primary Source",IF(OR(B46="",C46="",E46=""),"ACTION NEEDED","Basic fields present"),IF(OR(B46="",C46="",D46="",E46="",F46=""),"ACTION NEEDED",IF(OR(B46="Webpage",B46="Dataset"),IF(H46="","ACTION NEEDED","Basic fields present"),"Basic fields present"))))</x:f>
      </x:c>
      <x:c r="T46" s="113"/>
      <x:c r="U46" s="113"/>
    </x:row>
    <x:row r="47">
      <x:c r="A47" s="122" t="str">
        <x:f>IF(E47="","","S"&amp;TEXT(ROW()-3,"000"))</x:f>
      </x:c>
      <x:c r="B47" s="113"/>
      <x:c r="C47" s="113"/>
      <x:c r="D47" s="113"/>
      <x:c r="E47" s="113"/>
      <x:c r="F47" s="113"/>
      <x:c r="G47" s="113"/>
      <x:c r="H47" s="113"/>
      <x:c r="I47" s="123"/>
      <x:c r="J47" s="113"/>
      <x:c r="K47" s="113"/>
      <x:c r="L47" s="113"/>
      <x:c r="M47" s="113"/>
      <x:c r="N47" s="113"/>
      <x:c r="O47" s="113"/>
      <x:c r="P47" s="143" t="str">
        <x:f>IF(COUNT(L47:O47)=0,"",ROUND(AVERAGE(L47:O47),1))</x:f>
      </x:c>
      <x:c r="Q47" s="113"/>
      <x:c r="R47" s="113"/>
      <x:c r="S47" s="122" t="str">
        <x:f>IF(E47="","",IF(B47="Interview / Primary Source",IF(OR(B47="",C47="",E47=""),"ACTION NEEDED","Basic fields present"),IF(OR(B47="",C47="",D47="",E47="",F47=""),"ACTION NEEDED",IF(OR(B47="Webpage",B47="Dataset"),IF(H47="","ACTION NEEDED","Basic fields present"),"Basic fields present"))))</x:f>
      </x:c>
      <x:c r="T47" s="113"/>
      <x:c r="U47" s="113"/>
    </x:row>
    <x:row r="48">
      <x:c r="A48" s="122" t="str">
        <x:f>IF(E48="","","S"&amp;TEXT(ROW()-3,"000"))</x:f>
      </x:c>
      <x:c r="B48" s="113"/>
      <x:c r="C48" s="113"/>
      <x:c r="D48" s="113"/>
      <x:c r="E48" s="113"/>
      <x:c r="F48" s="113"/>
      <x:c r="G48" s="113"/>
      <x:c r="H48" s="113"/>
      <x:c r="I48" s="123"/>
      <x:c r="J48" s="113"/>
      <x:c r="K48" s="113"/>
      <x:c r="L48" s="113"/>
      <x:c r="M48" s="113"/>
      <x:c r="N48" s="113"/>
      <x:c r="O48" s="113"/>
      <x:c r="P48" s="143" t="str">
        <x:f>IF(COUNT(L48:O48)=0,"",ROUND(AVERAGE(L48:O48),1))</x:f>
      </x:c>
      <x:c r="Q48" s="113"/>
      <x:c r="R48" s="113"/>
      <x:c r="S48" s="122" t="str">
        <x:f>IF(E48="","",IF(B48="Interview / Primary Source",IF(OR(B48="",C48="",E48=""),"ACTION NEEDED","Basic fields present"),IF(OR(B48="",C48="",D48="",E48="",F48=""),"ACTION NEEDED",IF(OR(B48="Webpage",B48="Dataset"),IF(H48="","ACTION NEEDED","Basic fields present"),"Basic fields present"))))</x:f>
      </x:c>
      <x:c r="T48" s="113"/>
      <x:c r="U48" s="113"/>
    </x:row>
    <x:row r="49">
      <x:c r="A49" s="122" t="str">
        <x:f>IF(E49="","","S"&amp;TEXT(ROW()-3,"000"))</x:f>
      </x:c>
      <x:c r="B49" s="113"/>
      <x:c r="C49" s="113"/>
      <x:c r="D49" s="113"/>
      <x:c r="E49" s="113"/>
      <x:c r="F49" s="113"/>
      <x:c r="G49" s="113"/>
      <x:c r="H49" s="113"/>
      <x:c r="I49" s="123"/>
      <x:c r="J49" s="113"/>
      <x:c r="K49" s="113"/>
      <x:c r="L49" s="113"/>
      <x:c r="M49" s="113"/>
      <x:c r="N49" s="113"/>
      <x:c r="O49" s="113"/>
      <x:c r="P49" s="143" t="str">
        <x:f>IF(COUNT(L49:O49)=0,"",ROUND(AVERAGE(L49:O49),1))</x:f>
      </x:c>
      <x:c r="Q49" s="113"/>
      <x:c r="R49" s="113"/>
      <x:c r="S49" s="122" t="str">
        <x:f>IF(E49="","",IF(B49="Interview / Primary Source",IF(OR(B49="",C49="",E49=""),"ACTION NEEDED","Basic fields present"),IF(OR(B49="",C49="",D49="",E49="",F49=""),"ACTION NEEDED",IF(OR(B49="Webpage",B49="Dataset"),IF(H49="","ACTION NEEDED","Basic fields present"),"Basic fields present"))))</x:f>
      </x:c>
      <x:c r="T49" s="113"/>
      <x:c r="U49" s="113"/>
    </x:row>
    <x:row r="50">
      <x:c r="A50" s="122" t="str">
        <x:f>IF(E50="","","S"&amp;TEXT(ROW()-3,"000"))</x:f>
      </x:c>
      <x:c r="B50" s="113"/>
      <x:c r="C50" s="113"/>
      <x:c r="D50" s="113"/>
      <x:c r="E50" s="113"/>
      <x:c r="F50" s="113"/>
      <x:c r="G50" s="113"/>
      <x:c r="H50" s="113"/>
      <x:c r="I50" s="123"/>
      <x:c r="J50" s="113"/>
      <x:c r="K50" s="113"/>
      <x:c r="L50" s="113"/>
      <x:c r="M50" s="113"/>
      <x:c r="N50" s="113"/>
      <x:c r="O50" s="113"/>
      <x:c r="P50" s="143" t="str">
        <x:f>IF(COUNT(L50:O50)=0,"",ROUND(AVERAGE(L50:O50),1))</x:f>
      </x:c>
      <x:c r="Q50" s="113"/>
      <x:c r="R50" s="113"/>
      <x:c r="S50" s="122" t="str">
        <x:f>IF(E50="","",IF(B50="Interview / Primary Source",IF(OR(B50="",C50="",E50=""),"ACTION NEEDED","Basic fields present"),IF(OR(B50="",C50="",D50="",E50="",F50=""),"ACTION NEEDED",IF(OR(B50="Webpage",B50="Dataset"),IF(H50="","ACTION NEEDED","Basic fields present"),"Basic fields present"))))</x:f>
      </x:c>
      <x:c r="T50" s="113"/>
      <x:c r="U50" s="113"/>
    </x:row>
    <x:row r="51">
      <x:c r="A51" s="122" t="str">
        <x:f>IF(E51="","","S"&amp;TEXT(ROW()-3,"000"))</x:f>
      </x:c>
      <x:c r="B51" s="113"/>
      <x:c r="C51" s="113"/>
      <x:c r="D51" s="113"/>
      <x:c r="E51" s="113"/>
      <x:c r="F51" s="113"/>
      <x:c r="G51" s="113"/>
      <x:c r="H51" s="113"/>
      <x:c r="I51" s="123"/>
      <x:c r="J51" s="113"/>
      <x:c r="K51" s="113"/>
      <x:c r="L51" s="113"/>
      <x:c r="M51" s="113"/>
      <x:c r="N51" s="113"/>
      <x:c r="O51" s="113"/>
      <x:c r="P51" s="143" t="str">
        <x:f>IF(COUNT(L51:O51)=0,"",ROUND(AVERAGE(L51:O51),1))</x:f>
      </x:c>
      <x:c r="Q51" s="113"/>
      <x:c r="R51" s="113"/>
      <x:c r="S51" s="122" t="str">
        <x:f>IF(E51="","",IF(B51="Interview / Primary Source",IF(OR(B51="",C51="",E51=""),"ACTION NEEDED","Basic fields present"),IF(OR(B51="",C51="",D51="",E51="",F51=""),"ACTION NEEDED",IF(OR(B51="Webpage",B51="Dataset"),IF(H51="","ACTION NEEDED","Basic fields present"),"Basic fields present"))))</x:f>
      </x:c>
      <x:c r="T51" s="113"/>
      <x:c r="U51" s="113"/>
    </x:row>
    <x:row r="52">
      <x:c r="A52" s="122" t="str">
        <x:f>IF(E52="","","S"&amp;TEXT(ROW()-3,"000"))</x:f>
      </x:c>
      <x:c r="B52" s="113"/>
      <x:c r="C52" s="113"/>
      <x:c r="D52" s="113"/>
      <x:c r="E52" s="113"/>
      <x:c r="F52" s="113"/>
      <x:c r="G52" s="113"/>
      <x:c r="H52" s="113"/>
      <x:c r="I52" s="123"/>
      <x:c r="J52" s="113"/>
      <x:c r="K52" s="113"/>
      <x:c r="L52" s="113"/>
      <x:c r="M52" s="113"/>
      <x:c r="N52" s="113"/>
      <x:c r="O52" s="113"/>
      <x:c r="P52" s="143" t="str">
        <x:f>IF(COUNT(L52:O52)=0,"",ROUND(AVERAGE(L52:O52),1))</x:f>
      </x:c>
      <x:c r="Q52" s="113"/>
      <x:c r="R52" s="113"/>
      <x:c r="S52" s="122" t="str">
        <x:f>IF(E52="","",IF(B52="Interview / Primary Source",IF(OR(B52="",C52="",E52=""),"ACTION NEEDED","Basic fields present"),IF(OR(B52="",C52="",D52="",E52="",F52=""),"ACTION NEEDED",IF(OR(B52="Webpage",B52="Dataset"),IF(H52="","ACTION NEEDED","Basic fields present"),"Basic fields present"))))</x:f>
      </x:c>
      <x:c r="T52" s="113"/>
      <x:c r="U52" s="113"/>
    </x:row>
    <x:row r="53">
      <x:c r="A53" s="122" t="str">
        <x:f>IF(E53="","","S"&amp;TEXT(ROW()-3,"000"))</x:f>
      </x:c>
      <x:c r="B53" s="113"/>
      <x:c r="C53" s="113"/>
      <x:c r="D53" s="113"/>
      <x:c r="E53" s="113"/>
      <x:c r="F53" s="113"/>
      <x:c r="G53" s="113"/>
      <x:c r="H53" s="113"/>
      <x:c r="I53" s="123"/>
      <x:c r="J53" s="113"/>
      <x:c r="K53" s="113"/>
      <x:c r="L53" s="113"/>
      <x:c r="M53" s="113"/>
      <x:c r="N53" s="113"/>
      <x:c r="O53" s="113"/>
      <x:c r="P53" s="143" t="str">
        <x:f>IF(COUNT(L53:O53)=0,"",ROUND(AVERAGE(L53:O53),1))</x:f>
      </x:c>
      <x:c r="Q53" s="113"/>
      <x:c r="R53" s="113"/>
      <x:c r="S53" s="122" t="str">
        <x:f>IF(E53="","",IF(B53="Interview / Primary Source",IF(OR(B53="",C53="",E53=""),"ACTION NEEDED","Basic fields present"),IF(OR(B53="",C53="",D53="",E53="",F53=""),"ACTION NEEDED",IF(OR(B53="Webpage",B53="Dataset"),IF(H53="","ACTION NEEDED","Basic fields present"),"Basic fields present"))))</x:f>
      </x:c>
      <x:c r="T53" s="113"/>
      <x:c r="U53" s="113"/>
    </x:row>
    <x:row r="54">
      <x:c r="A54" s="122" t="str">
        <x:f>IF(E54="","","S"&amp;TEXT(ROW()-3,"000"))</x:f>
      </x:c>
      <x:c r="B54" s="113"/>
      <x:c r="C54" s="113"/>
      <x:c r="D54" s="113"/>
      <x:c r="E54" s="113"/>
      <x:c r="F54" s="113"/>
      <x:c r="G54" s="113"/>
      <x:c r="H54" s="113"/>
      <x:c r="I54" s="123"/>
      <x:c r="J54" s="113"/>
      <x:c r="K54" s="113"/>
      <x:c r="L54" s="113"/>
      <x:c r="M54" s="113"/>
      <x:c r="N54" s="113"/>
      <x:c r="O54" s="113"/>
      <x:c r="P54" s="143" t="str">
        <x:f>IF(COUNT(L54:O54)=0,"",ROUND(AVERAGE(L54:O54),1))</x:f>
      </x:c>
      <x:c r="Q54" s="113"/>
      <x:c r="R54" s="113"/>
      <x:c r="S54" s="122" t="str">
        <x:f>IF(E54="","",IF(B54="Interview / Primary Source",IF(OR(B54="",C54="",E54=""),"ACTION NEEDED","Basic fields present"),IF(OR(B54="",C54="",D54="",E54="",F54=""),"ACTION NEEDED",IF(OR(B54="Webpage",B54="Dataset"),IF(H54="","ACTION NEEDED","Basic fields present"),"Basic fields present"))))</x:f>
      </x:c>
      <x:c r="T54" s="113"/>
      <x:c r="U54" s="113"/>
    </x:row>
    <x:row r="55">
      <x:c r="A55" s="122" t="str">
        <x:f>IF(E55="","","S"&amp;TEXT(ROW()-3,"000"))</x:f>
      </x:c>
      <x:c r="B55" s="113"/>
      <x:c r="C55" s="113"/>
      <x:c r="D55" s="113"/>
      <x:c r="E55" s="113"/>
      <x:c r="F55" s="113"/>
      <x:c r="G55" s="113"/>
      <x:c r="H55" s="113"/>
      <x:c r="I55" s="123"/>
      <x:c r="J55" s="113"/>
      <x:c r="K55" s="113"/>
      <x:c r="L55" s="113"/>
      <x:c r="M55" s="113"/>
      <x:c r="N55" s="113"/>
      <x:c r="O55" s="113"/>
      <x:c r="P55" s="143" t="str">
        <x:f>IF(COUNT(L55:O55)=0,"",ROUND(AVERAGE(L55:O55),1))</x:f>
      </x:c>
      <x:c r="Q55" s="113"/>
      <x:c r="R55" s="113"/>
      <x:c r="S55" s="122" t="str">
        <x:f>IF(E55="","",IF(B55="Interview / Primary Source",IF(OR(B55="",C55="",E55=""),"ACTION NEEDED","Basic fields present"),IF(OR(B55="",C55="",D55="",E55="",F55=""),"ACTION NEEDED",IF(OR(B55="Webpage",B55="Dataset"),IF(H55="","ACTION NEEDED","Basic fields present"),"Basic fields present"))))</x:f>
      </x:c>
      <x:c r="T55" s="113"/>
      <x:c r="U55" s="113"/>
    </x:row>
    <x:row r="56">
      <x:c r="A56" s="122" t="str">
        <x:f>IF(E56="","","S"&amp;TEXT(ROW()-3,"000"))</x:f>
      </x:c>
      <x:c r="B56" s="113"/>
      <x:c r="C56" s="113"/>
      <x:c r="D56" s="113"/>
      <x:c r="E56" s="113"/>
      <x:c r="F56" s="113"/>
      <x:c r="G56" s="113"/>
      <x:c r="H56" s="113"/>
      <x:c r="I56" s="123"/>
      <x:c r="J56" s="113"/>
      <x:c r="K56" s="113"/>
      <x:c r="L56" s="113"/>
      <x:c r="M56" s="113"/>
      <x:c r="N56" s="113"/>
      <x:c r="O56" s="113"/>
      <x:c r="P56" s="143" t="str">
        <x:f>IF(COUNT(L56:O56)=0,"",ROUND(AVERAGE(L56:O56),1))</x:f>
      </x:c>
      <x:c r="Q56" s="113"/>
      <x:c r="R56" s="113"/>
      <x:c r="S56" s="122" t="str">
        <x:f>IF(E56="","",IF(B56="Interview / Primary Source",IF(OR(B56="",C56="",E56=""),"ACTION NEEDED","Basic fields present"),IF(OR(B56="",C56="",D56="",E56="",F56=""),"ACTION NEEDED",IF(OR(B56="Webpage",B56="Dataset"),IF(H56="","ACTION NEEDED","Basic fields present"),"Basic fields present"))))</x:f>
      </x:c>
      <x:c r="T56" s="113"/>
      <x:c r="U56" s="113"/>
    </x:row>
    <x:row r="57">
      <x:c r="A57" s="122" t="str">
        <x:f>IF(E57="","","S"&amp;TEXT(ROW()-3,"000"))</x:f>
      </x:c>
      <x:c r="B57" s="113"/>
      <x:c r="C57" s="113"/>
      <x:c r="D57" s="113"/>
      <x:c r="E57" s="113"/>
      <x:c r="F57" s="113"/>
      <x:c r="G57" s="113"/>
      <x:c r="H57" s="113"/>
      <x:c r="I57" s="123"/>
      <x:c r="J57" s="113"/>
      <x:c r="K57" s="113"/>
      <x:c r="L57" s="113"/>
      <x:c r="M57" s="113"/>
      <x:c r="N57" s="113"/>
      <x:c r="O57" s="113"/>
      <x:c r="P57" s="143" t="str">
        <x:f>IF(COUNT(L57:O57)=0,"",ROUND(AVERAGE(L57:O57),1))</x:f>
      </x:c>
      <x:c r="Q57" s="113"/>
      <x:c r="R57" s="113"/>
      <x:c r="S57" s="122" t="str">
        <x:f>IF(E57="","",IF(B57="Interview / Primary Source",IF(OR(B57="",C57="",E57=""),"ACTION NEEDED","Basic fields present"),IF(OR(B57="",C57="",D57="",E57="",F57=""),"ACTION NEEDED",IF(OR(B57="Webpage",B57="Dataset"),IF(H57="","ACTION NEEDED","Basic fields present"),"Basic fields present"))))</x:f>
      </x:c>
      <x:c r="T57" s="113"/>
      <x:c r="U57" s="113"/>
    </x:row>
    <x:row r="58">
      <x:c r="A58" s="122" t="str">
        <x:f>IF(E58="","","S"&amp;TEXT(ROW()-3,"000"))</x:f>
      </x:c>
      <x:c r="B58" s="113"/>
      <x:c r="C58" s="113"/>
      <x:c r="D58" s="113"/>
      <x:c r="E58" s="113"/>
      <x:c r="F58" s="113"/>
      <x:c r="G58" s="113"/>
      <x:c r="H58" s="113"/>
      <x:c r="I58" s="123"/>
      <x:c r="J58" s="113"/>
      <x:c r="K58" s="113"/>
      <x:c r="L58" s="113"/>
      <x:c r="M58" s="113"/>
      <x:c r="N58" s="113"/>
      <x:c r="O58" s="113"/>
      <x:c r="P58" s="143" t="str">
        <x:f>IF(COUNT(L58:O58)=0,"",ROUND(AVERAGE(L58:O58),1))</x:f>
      </x:c>
      <x:c r="Q58" s="113"/>
      <x:c r="R58" s="113"/>
      <x:c r="S58" s="122" t="str">
        <x:f>IF(E58="","",IF(B58="Interview / Primary Source",IF(OR(B58="",C58="",E58=""),"ACTION NEEDED","Basic fields present"),IF(OR(B58="",C58="",D58="",E58="",F58=""),"ACTION NEEDED",IF(OR(B58="Webpage",B58="Dataset"),IF(H58="","ACTION NEEDED","Basic fields present"),"Basic fields present"))))</x:f>
      </x:c>
      <x:c r="T58" s="113"/>
      <x:c r="U58" s="113"/>
    </x:row>
    <x:row r="59">
      <x:c r="A59" s="122" t="str">
        <x:f>IF(E59="","","S"&amp;TEXT(ROW()-3,"000"))</x:f>
      </x:c>
      <x:c r="B59" s="113"/>
      <x:c r="C59" s="113"/>
      <x:c r="D59" s="113"/>
      <x:c r="E59" s="113"/>
      <x:c r="F59" s="113"/>
      <x:c r="G59" s="113"/>
      <x:c r="H59" s="113"/>
      <x:c r="I59" s="123"/>
      <x:c r="J59" s="113"/>
      <x:c r="K59" s="113"/>
      <x:c r="L59" s="113"/>
      <x:c r="M59" s="113"/>
      <x:c r="N59" s="113"/>
      <x:c r="O59" s="113"/>
      <x:c r="P59" s="143" t="str">
        <x:f>IF(COUNT(L59:O59)=0,"",ROUND(AVERAGE(L59:O59),1))</x:f>
      </x:c>
      <x:c r="Q59" s="113"/>
      <x:c r="R59" s="113"/>
      <x:c r="S59" s="122" t="str">
        <x:f>IF(E59="","",IF(B59="Interview / Primary Source",IF(OR(B59="",C59="",E59=""),"ACTION NEEDED","Basic fields present"),IF(OR(B59="",C59="",D59="",E59="",F59=""),"ACTION NEEDED",IF(OR(B59="Webpage",B59="Dataset"),IF(H59="","ACTION NEEDED","Basic fields present"),"Basic fields present"))))</x:f>
      </x:c>
      <x:c r="T59" s="113"/>
      <x:c r="U59" s="113"/>
    </x:row>
    <x:row r="60">
      <x:c r="A60" s="122" t="str">
        <x:f>IF(E60="","","S"&amp;TEXT(ROW()-3,"000"))</x:f>
      </x:c>
      <x:c r="B60" s="113"/>
      <x:c r="C60" s="113"/>
      <x:c r="D60" s="113"/>
      <x:c r="E60" s="113"/>
      <x:c r="F60" s="113"/>
      <x:c r="G60" s="113"/>
      <x:c r="H60" s="113"/>
      <x:c r="I60" s="123"/>
      <x:c r="J60" s="113"/>
      <x:c r="K60" s="113"/>
      <x:c r="L60" s="113"/>
      <x:c r="M60" s="113"/>
      <x:c r="N60" s="113"/>
      <x:c r="O60" s="113"/>
      <x:c r="P60" s="143" t="str">
        <x:f>IF(COUNT(L60:O60)=0,"",ROUND(AVERAGE(L60:O60),1))</x:f>
      </x:c>
      <x:c r="Q60" s="113"/>
      <x:c r="R60" s="113"/>
      <x:c r="S60" s="122" t="str">
        <x:f>IF(E60="","",IF(B60="Interview / Primary Source",IF(OR(B60="",C60="",E60=""),"ACTION NEEDED","Basic fields present"),IF(OR(B60="",C60="",D60="",E60="",F60=""),"ACTION NEEDED",IF(OR(B60="Webpage",B60="Dataset"),IF(H60="","ACTION NEEDED","Basic fields present"),"Basic fields present"))))</x:f>
      </x:c>
      <x:c r="T60" s="113"/>
      <x:c r="U60" s="113"/>
    </x:row>
    <x:row r="61">
      <x:c r="A61" s="122" t="str">
        <x:f>IF(E61="","","S"&amp;TEXT(ROW()-3,"000"))</x:f>
      </x:c>
      <x:c r="B61" s="113"/>
      <x:c r="C61" s="113"/>
      <x:c r="D61" s="113"/>
      <x:c r="E61" s="113"/>
      <x:c r="F61" s="113"/>
      <x:c r="G61" s="113"/>
      <x:c r="H61" s="113"/>
      <x:c r="I61" s="123"/>
      <x:c r="J61" s="113"/>
      <x:c r="K61" s="113"/>
      <x:c r="L61" s="113"/>
      <x:c r="M61" s="113"/>
      <x:c r="N61" s="113"/>
      <x:c r="O61" s="113"/>
      <x:c r="P61" s="143" t="str">
        <x:f>IF(COUNT(L61:O61)=0,"",ROUND(AVERAGE(L61:O61),1))</x:f>
      </x:c>
      <x:c r="Q61" s="113"/>
      <x:c r="R61" s="113"/>
      <x:c r="S61" s="122" t="str">
        <x:f>IF(E61="","",IF(B61="Interview / Primary Source",IF(OR(B61="",C61="",E61=""),"ACTION NEEDED","Basic fields present"),IF(OR(B61="",C61="",D61="",E61="",F61=""),"ACTION NEEDED",IF(OR(B61="Webpage",B61="Dataset"),IF(H61="","ACTION NEEDED","Basic fields present"),"Basic fields present"))))</x:f>
      </x:c>
      <x:c r="T61" s="113"/>
      <x:c r="U61" s="113"/>
    </x:row>
    <x:row r="62">
      <x:c r="A62" s="122" t="str">
        <x:f>IF(E62="","","S"&amp;TEXT(ROW()-3,"000"))</x:f>
      </x:c>
      <x:c r="B62" s="113"/>
      <x:c r="C62" s="113"/>
      <x:c r="D62" s="113"/>
      <x:c r="E62" s="113"/>
      <x:c r="F62" s="113"/>
      <x:c r="G62" s="113"/>
      <x:c r="H62" s="113"/>
      <x:c r="I62" s="123"/>
      <x:c r="J62" s="113"/>
      <x:c r="K62" s="113"/>
      <x:c r="L62" s="113"/>
      <x:c r="M62" s="113"/>
      <x:c r="N62" s="113"/>
      <x:c r="O62" s="113"/>
      <x:c r="P62" s="143" t="str">
        <x:f>IF(COUNT(L62:O62)=0,"",ROUND(AVERAGE(L62:O62),1))</x:f>
      </x:c>
      <x:c r="Q62" s="113"/>
      <x:c r="R62" s="113"/>
      <x:c r="S62" s="122" t="str">
        <x:f>IF(E62="","",IF(B62="Interview / Primary Source",IF(OR(B62="",C62="",E62=""),"ACTION NEEDED","Basic fields present"),IF(OR(B62="",C62="",D62="",E62="",F62=""),"ACTION NEEDED",IF(OR(B62="Webpage",B62="Dataset"),IF(H62="","ACTION NEEDED","Basic fields present"),"Basic fields present"))))</x:f>
      </x:c>
      <x:c r="T62" s="113"/>
      <x:c r="U62" s="113"/>
    </x:row>
    <x:row r="63">
      <x:c r="A63" s="122" t="str">
        <x:f>IF(E63="","","S"&amp;TEXT(ROW()-3,"000"))</x:f>
      </x:c>
      <x:c r="B63" s="113"/>
      <x:c r="C63" s="113"/>
      <x:c r="D63" s="113"/>
      <x:c r="E63" s="113"/>
      <x:c r="F63" s="113"/>
      <x:c r="G63" s="113"/>
      <x:c r="H63" s="113"/>
      <x:c r="I63" s="123"/>
      <x:c r="J63" s="113"/>
      <x:c r="K63" s="113"/>
      <x:c r="L63" s="113"/>
      <x:c r="M63" s="113"/>
      <x:c r="N63" s="113"/>
      <x:c r="O63" s="113"/>
      <x:c r="P63" s="143" t="str">
        <x:f>IF(COUNT(L63:O63)=0,"",ROUND(AVERAGE(L63:O63),1))</x:f>
      </x:c>
      <x:c r="Q63" s="113"/>
      <x:c r="R63" s="113"/>
      <x:c r="S63" s="122" t="str">
        <x:f>IF(E63="","",IF(B63="Interview / Primary Source",IF(OR(B63="",C63="",E63=""),"ACTION NEEDED","Basic fields present"),IF(OR(B63="",C63="",D63="",E63="",F63=""),"ACTION NEEDED",IF(OR(B63="Webpage",B63="Dataset"),IF(H63="","ACTION NEEDED","Basic fields present"),"Basic fields present"))))</x:f>
      </x:c>
      <x:c r="T63" s="113"/>
      <x:c r="U63" s="113"/>
    </x:row>
    <x:row r="64">
      <x:c r="A64" s="84"/>
      <x:c r="B64" s="84"/>
      <x:c r="C64" s="84"/>
      <x:c r="D64" s="84"/>
      <x:c r="E64" s="84"/>
      <x:c r="F64" s="84"/>
      <x:c r="G64" s="84"/>
      <x:c r="H64" s="84"/>
      <x:c r="I64" s="84"/>
      <x:c r="J64" s="84"/>
      <x:c r="K64" s="84"/>
      <x:c r="L64" s="84"/>
      <x:c r="M64" s="84"/>
      <x:c r="N64" s="84"/>
      <x:c r="O64" s="84"/>
      <x:c r="P64" s="84"/>
      <x:c r="Q64" s="84"/>
      <x:c r="R64" s="84"/>
      <x:c r="S64" s="84"/>
      <x:c r="T64" s="84"/>
      <x:c r="U64" s="84"/>
    </x:row>
    <x:row r="65">
      <x:c r="A65" s="84"/>
      <x:c r="B65" s="84"/>
      <x:c r="C65" s="84"/>
      <x:c r="D65" s="84"/>
      <x:c r="E65" s="84"/>
      <x:c r="F65" s="84"/>
      <x:c r="G65" s="84"/>
      <x:c r="H65" s="84"/>
      <x:c r="I65" s="84"/>
      <x:c r="J65" s="84"/>
      <x:c r="K65" s="84"/>
      <x:c r="L65" s="84"/>
      <x:c r="M65" s="84"/>
      <x:c r="N65" s="84"/>
      <x:c r="O65" s="84"/>
      <x:c r="P65" s="84"/>
      <x:c r="Q65" s="84"/>
      <x:c r="R65" s="84"/>
      <x:c r="S65" s="84"/>
      <x:c r="T65" s="84"/>
      <x:c r="U65" s="84"/>
    </x:row>
    <x:row r="66">
      <x:c r="A66" s="84"/>
      <x:c r="B66" s="84"/>
      <x:c r="C66" s="84"/>
      <x:c r="D66" s="84"/>
      <x:c r="E66" s="84"/>
      <x:c r="F66" s="84"/>
      <x:c r="G66" s="84"/>
      <x:c r="H66" s="84"/>
      <x:c r="I66" s="84"/>
      <x:c r="J66" s="84"/>
      <x:c r="K66" s="84"/>
      <x:c r="L66" s="84"/>
      <x:c r="M66" s="84"/>
      <x:c r="N66" s="84"/>
      <x:c r="O66" s="84"/>
      <x:c r="P66" s="84"/>
      <x:c r="Q66" s="84"/>
      <x:c r="R66" s="84"/>
      <x:c r="S66" s="84"/>
      <x:c r="T66" s="84"/>
      <x:c r="U66" s="84"/>
    </x:row>
    <x:row r="67">
      <x:c r="A67" s="84"/>
      <x:c r="B67" s="84"/>
      <x:c r="C67" s="84"/>
      <x:c r="D67" s="84"/>
      <x:c r="E67" s="84"/>
      <x:c r="F67" s="84"/>
      <x:c r="G67" s="84"/>
      <x:c r="H67" s="84"/>
      <x:c r="I67" s="84"/>
      <x:c r="J67" s="84"/>
      <x:c r="K67" s="84"/>
      <x:c r="L67" s="84"/>
      <x:c r="M67" s="84"/>
      <x:c r="N67" s="84"/>
      <x:c r="O67" s="84"/>
      <x:c r="P67" s="84"/>
      <x:c r="Q67" s="84"/>
      <x:c r="R67" s="84"/>
      <x:c r="S67" s="84"/>
      <x:c r="T67" s="84"/>
      <x:c r="U67" s="84"/>
    </x:row>
    <x:row r="68">
      <x:c r="A68" s="84"/>
      <x:c r="B68" s="84"/>
      <x:c r="C68" s="84"/>
      <x:c r="D68" s="84"/>
      <x:c r="E68" s="84"/>
      <x:c r="F68" s="84"/>
      <x:c r="G68" s="84"/>
      <x:c r="H68" s="84"/>
      <x:c r="I68" s="84"/>
      <x:c r="J68" s="84"/>
      <x:c r="K68" s="84"/>
      <x:c r="L68" s="84"/>
      <x:c r="M68" s="84"/>
      <x:c r="N68" s="84"/>
      <x:c r="O68" s="84"/>
      <x:c r="P68" s="84"/>
      <x:c r="Q68" s="84"/>
      <x:c r="R68" s="84"/>
      <x:c r="S68" s="84"/>
      <x:c r="T68" s="84"/>
      <x:c r="U68" s="84"/>
    </x:row>
    <x:row r="69">
      <x:c r="A69" s="84"/>
      <x:c r="B69" s="84"/>
      <x:c r="C69" s="84"/>
      <x:c r="D69" s="84"/>
      <x:c r="E69" s="84"/>
      <x:c r="F69" s="84"/>
      <x:c r="G69" s="84"/>
      <x:c r="H69" s="84"/>
      <x:c r="I69" s="84"/>
      <x:c r="J69" s="84"/>
      <x:c r="K69" s="84"/>
      <x:c r="L69" s="84"/>
      <x:c r="M69" s="84"/>
      <x:c r="N69" s="84"/>
      <x:c r="O69" s="84"/>
      <x:c r="P69" s="84"/>
      <x:c r="Q69" s="84"/>
      <x:c r="R69" s="84"/>
      <x:c r="S69" s="84"/>
      <x:c r="T69" s="84"/>
      <x:c r="U69" s="84"/>
    </x:row>
    <x:row r="70">
      <x:c r="A70" s="84"/>
      <x:c r="B70" s="84"/>
      <x:c r="C70" s="84"/>
      <x:c r="D70" s="84"/>
      <x:c r="E70" s="84"/>
      <x:c r="F70" s="84"/>
      <x:c r="G70" s="84"/>
      <x:c r="H70" s="84"/>
      <x:c r="I70" s="84"/>
      <x:c r="J70" s="84"/>
      <x:c r="K70" s="84"/>
      <x:c r="L70" s="84"/>
      <x:c r="M70" s="84"/>
      <x:c r="N70" s="84"/>
      <x:c r="O70" s="84"/>
      <x:c r="P70" s="84"/>
      <x:c r="Q70" s="84"/>
      <x:c r="R70" s="84"/>
      <x:c r="S70" s="84"/>
      <x:c r="T70" s="84"/>
      <x:c r="U70" s="84"/>
    </x:row>
    <x:row r="71">
      <x:c r="A71" s="84"/>
      <x:c r="B71" s="84"/>
      <x:c r="C71" s="84"/>
      <x:c r="D71" s="84"/>
      <x:c r="E71" s="84"/>
      <x:c r="F71" s="84"/>
      <x:c r="G71" s="84"/>
      <x:c r="H71" s="84"/>
      <x:c r="I71" s="84"/>
      <x:c r="J71" s="84"/>
      <x:c r="K71" s="84"/>
      <x:c r="L71" s="84"/>
      <x:c r="M71" s="84"/>
      <x:c r="N71" s="84"/>
      <x:c r="O71" s="84"/>
      <x:c r="P71" s="84"/>
      <x:c r="Q71" s="84"/>
      <x:c r="R71" s="84"/>
      <x:c r="S71" s="84"/>
      <x:c r="T71" s="84"/>
      <x:c r="U71" s="84"/>
    </x:row>
    <x:row r="72">
      <x:c r="A72" s="84"/>
      <x:c r="B72" s="84"/>
      <x:c r="C72" s="84"/>
      <x:c r="D72" s="84"/>
      <x:c r="E72" s="84"/>
      <x:c r="F72" s="84"/>
      <x:c r="G72" s="84"/>
      <x:c r="H72" s="84"/>
      <x:c r="I72" s="84"/>
      <x:c r="J72" s="84"/>
      <x:c r="K72" s="84"/>
      <x:c r="L72" s="84"/>
      <x:c r="M72" s="84"/>
      <x:c r="N72" s="84"/>
      <x:c r="O72" s="84"/>
      <x:c r="P72" s="84"/>
      <x:c r="Q72" s="84"/>
      <x:c r="R72" s="84"/>
      <x:c r="S72" s="84"/>
      <x:c r="T72" s="84"/>
      <x:c r="U72" s="84"/>
    </x:row>
    <x:row r="73">
      <x:c r="A73" s="84"/>
      <x:c r="B73" s="84"/>
      <x:c r="C73" s="84"/>
      <x:c r="D73" s="84"/>
      <x:c r="E73" s="84"/>
      <x:c r="F73" s="84"/>
      <x:c r="G73" s="84"/>
      <x:c r="H73" s="84"/>
      <x:c r="I73" s="84"/>
      <x:c r="J73" s="84"/>
      <x:c r="K73" s="84"/>
      <x:c r="L73" s="84"/>
      <x:c r="M73" s="84"/>
      <x:c r="N73" s="84"/>
      <x:c r="O73" s="84"/>
      <x:c r="P73" s="84"/>
      <x:c r="Q73" s="84"/>
      <x:c r="R73" s="84"/>
      <x:c r="S73" s="84"/>
      <x:c r="T73" s="84"/>
      <x:c r="U73" s="84"/>
    </x:row>
    <x:row r="74">
      <x:c r="A74" s="84"/>
      <x:c r="B74" s="84"/>
      <x:c r="C74" s="84"/>
      <x:c r="D74" s="84"/>
      <x:c r="E74" s="84"/>
      <x:c r="F74" s="84"/>
      <x:c r="G74" s="84"/>
      <x:c r="H74" s="84"/>
      <x:c r="I74" s="84"/>
      <x:c r="J74" s="84"/>
      <x:c r="K74" s="84"/>
      <x:c r="L74" s="84"/>
      <x:c r="M74" s="84"/>
      <x:c r="N74" s="84"/>
      <x:c r="O74" s="84"/>
      <x:c r="P74" s="84"/>
      <x:c r="Q74" s="84"/>
      <x:c r="R74" s="84"/>
      <x:c r="S74" s="84"/>
      <x:c r="T74" s="84"/>
      <x:c r="U74" s="84"/>
    </x:row>
    <x:row r="75">
      <x:c r="A75" s="84"/>
      <x:c r="B75" s="84"/>
      <x:c r="C75" s="84"/>
      <x:c r="D75" s="84"/>
      <x:c r="E75" s="84"/>
      <x:c r="F75" s="84"/>
      <x:c r="G75" s="84"/>
      <x:c r="H75" s="84"/>
      <x:c r="I75" s="84"/>
      <x:c r="J75" s="84"/>
      <x:c r="K75" s="84"/>
      <x:c r="L75" s="84"/>
      <x:c r="M75" s="84"/>
      <x:c r="N75" s="84"/>
      <x:c r="O75" s="84"/>
      <x:c r="P75" s="84"/>
      <x:c r="Q75" s="84"/>
      <x:c r="R75" s="84"/>
      <x:c r="S75" s="84"/>
      <x:c r="T75" s="84"/>
      <x:c r="U75" s="84"/>
    </x:row>
    <x:row r="76">
      <x:c r="A76" s="84"/>
      <x:c r="B76" s="84"/>
      <x:c r="C76" s="84"/>
      <x:c r="D76" s="84"/>
      <x:c r="E76" s="84"/>
      <x:c r="F76" s="84"/>
      <x:c r="G76" s="84"/>
      <x:c r="H76" s="84"/>
      <x:c r="I76" s="84"/>
      <x:c r="J76" s="84"/>
      <x:c r="K76" s="84"/>
      <x:c r="L76" s="84"/>
      <x:c r="M76" s="84"/>
      <x:c r="N76" s="84"/>
      <x:c r="O76" s="84"/>
      <x:c r="P76" s="84"/>
      <x:c r="Q76" s="84"/>
      <x:c r="R76" s="84"/>
      <x:c r="S76" s="84"/>
      <x:c r="T76" s="84"/>
      <x:c r="U76" s="84"/>
    </x:row>
    <x:row r="77">
      <x:c r="A77" s="84"/>
      <x:c r="B77" s="84"/>
      <x:c r="C77" s="84"/>
      <x:c r="D77" s="84"/>
      <x:c r="E77" s="84"/>
      <x:c r="F77" s="84"/>
      <x:c r="G77" s="84"/>
      <x:c r="H77" s="84"/>
      <x:c r="I77" s="84"/>
      <x:c r="J77" s="84"/>
      <x:c r="K77" s="84"/>
      <x:c r="L77" s="84"/>
      <x:c r="M77" s="84"/>
      <x:c r="N77" s="84"/>
      <x:c r="O77" s="84"/>
      <x:c r="P77" s="84"/>
      <x:c r="Q77" s="84"/>
      <x:c r="R77" s="84"/>
      <x:c r="S77" s="84"/>
      <x:c r="T77" s="84"/>
      <x:c r="U77" s="84"/>
    </x:row>
    <x:row r="78">
      <x:c r="A78" s="84"/>
      <x:c r="B78" s="84"/>
      <x:c r="C78" s="84"/>
      <x:c r="D78" s="84"/>
      <x:c r="E78" s="84"/>
      <x:c r="F78" s="84"/>
      <x:c r="G78" s="84"/>
      <x:c r="H78" s="84"/>
      <x:c r="I78" s="84"/>
      <x:c r="J78" s="84"/>
      <x:c r="K78" s="84"/>
      <x:c r="L78" s="84"/>
      <x:c r="M78" s="84"/>
      <x:c r="N78" s="84"/>
      <x:c r="O78" s="84"/>
      <x:c r="P78" s="84"/>
      <x:c r="Q78" s="84"/>
      <x:c r="R78" s="84"/>
      <x:c r="S78" s="84"/>
      <x:c r="T78" s="84"/>
      <x:c r="U78" s="84"/>
    </x:row>
    <x:row r="79">
      <x:c r="A79" s="84"/>
      <x:c r="B79" s="84"/>
      <x:c r="C79" s="84"/>
      <x:c r="D79" s="84"/>
      <x:c r="E79" s="84"/>
      <x:c r="F79" s="84"/>
      <x:c r="G79" s="84"/>
      <x:c r="H79" s="84"/>
      <x:c r="I79" s="84"/>
      <x:c r="J79" s="84"/>
      <x:c r="K79" s="84"/>
      <x:c r="L79" s="84"/>
      <x:c r="M79" s="84"/>
      <x:c r="N79" s="84"/>
      <x:c r="O79" s="84"/>
      <x:c r="P79" s="84"/>
      <x:c r="Q79" s="84"/>
      <x:c r="R79" s="84"/>
      <x:c r="S79" s="84"/>
      <x:c r="T79" s="84"/>
      <x:c r="U79" s="84"/>
    </x:row>
    <x:row r="80">
      <x:c r="A80" s="84"/>
      <x:c r="B80" s="84"/>
      <x:c r="C80" s="84"/>
      <x:c r="D80" s="84"/>
      <x:c r="E80" s="84"/>
      <x:c r="F80" s="84"/>
      <x:c r="G80" s="84"/>
      <x:c r="H80" s="84"/>
      <x:c r="I80" s="84"/>
      <x:c r="J80" s="84"/>
      <x:c r="K80" s="84"/>
      <x:c r="L80" s="84"/>
      <x:c r="M80" s="84"/>
      <x:c r="N80" s="84"/>
      <x:c r="O80" s="84"/>
      <x:c r="P80" s="84"/>
      <x:c r="Q80" s="84"/>
      <x:c r="R80" s="84"/>
      <x:c r="S80" s="84"/>
      <x:c r="T80" s="84"/>
      <x:c r="U80" s="84"/>
    </x:row>
    <x:row r="81">
      <x:c r="A81" s="84"/>
      <x:c r="B81" s="84"/>
      <x:c r="C81" s="84"/>
      <x:c r="D81" s="84"/>
      <x:c r="E81" s="84"/>
      <x:c r="F81" s="84"/>
      <x:c r="G81" s="84"/>
      <x:c r="H81" s="84"/>
      <x:c r="I81" s="84"/>
      <x:c r="J81" s="84"/>
      <x:c r="K81" s="84"/>
      <x:c r="L81" s="84"/>
      <x:c r="M81" s="84"/>
      <x:c r="N81" s="84"/>
      <x:c r="O81" s="84"/>
      <x:c r="P81" s="84"/>
      <x:c r="Q81" s="84"/>
      <x:c r="R81" s="84"/>
      <x:c r="S81" s="84"/>
      <x:c r="T81" s="84"/>
      <x:c r="U81" s="84"/>
    </x:row>
    <x:row r="82">
      <x:c r="A82" s="84"/>
      <x:c r="B82" s="84"/>
      <x:c r="C82" s="84"/>
      <x:c r="D82" s="84"/>
      <x:c r="E82" s="84"/>
      <x:c r="F82" s="84"/>
      <x:c r="G82" s="84"/>
      <x:c r="H82" s="84"/>
      <x:c r="I82" s="84"/>
      <x:c r="J82" s="84"/>
      <x:c r="K82" s="84"/>
      <x:c r="L82" s="84"/>
      <x:c r="M82" s="84"/>
      <x:c r="N82" s="84"/>
      <x:c r="O82" s="84"/>
      <x:c r="P82" s="84"/>
      <x:c r="Q82" s="84"/>
      <x:c r="R82" s="84"/>
      <x:c r="S82" s="84"/>
      <x:c r="T82" s="84"/>
      <x:c r="U82" s="84"/>
    </x:row>
    <x:row r="83">
      <x:c r="A83" s="84"/>
      <x:c r="B83" s="84"/>
      <x:c r="C83" s="84"/>
      <x:c r="D83" s="84"/>
      <x:c r="E83" s="84"/>
      <x:c r="F83" s="84"/>
      <x:c r="G83" s="84"/>
      <x:c r="H83" s="84"/>
      <x:c r="I83" s="84"/>
      <x:c r="J83" s="84"/>
      <x:c r="K83" s="84"/>
      <x:c r="L83" s="84"/>
      <x:c r="M83" s="84"/>
      <x:c r="N83" s="84"/>
      <x:c r="O83" s="84"/>
      <x:c r="P83" s="84"/>
      <x:c r="Q83" s="84"/>
      <x:c r="R83" s="84"/>
      <x:c r="S83" s="84"/>
      <x:c r="T83" s="84"/>
      <x:c r="U83" s="84"/>
    </x:row>
    <x:row r="84">
      <x:c r="A84" s="84"/>
      <x:c r="B84" s="84"/>
      <x:c r="C84" s="84"/>
      <x:c r="D84" s="84"/>
      <x:c r="E84" s="84"/>
      <x:c r="F84" s="84"/>
      <x:c r="G84" s="84"/>
      <x:c r="H84" s="84"/>
      <x:c r="I84" s="84"/>
      <x:c r="J84" s="84"/>
      <x:c r="K84" s="84"/>
      <x:c r="L84" s="84"/>
      <x:c r="M84" s="84"/>
      <x:c r="N84" s="84"/>
      <x:c r="O84" s="84"/>
      <x:c r="P84" s="84"/>
      <x:c r="Q84" s="84"/>
      <x:c r="R84" s="84"/>
      <x:c r="S84" s="84"/>
      <x:c r="T84" s="84"/>
      <x:c r="U84" s="84"/>
    </x:row>
    <x:row r="85">
      <x:c r="A85" s="84"/>
      <x:c r="B85" s="84"/>
      <x:c r="C85" s="84"/>
      <x:c r="D85" s="84"/>
      <x:c r="E85" s="84"/>
      <x:c r="F85" s="84"/>
      <x:c r="G85" s="84"/>
      <x:c r="H85" s="84"/>
      <x:c r="I85" s="84"/>
      <x:c r="J85" s="84"/>
      <x:c r="K85" s="84"/>
      <x:c r="L85" s="84"/>
      <x:c r="M85" s="84"/>
      <x:c r="N85" s="84"/>
      <x:c r="O85" s="84"/>
      <x:c r="P85" s="84"/>
      <x:c r="Q85" s="84"/>
      <x:c r="R85" s="84"/>
      <x:c r="S85" s="84"/>
      <x:c r="T85" s="84"/>
      <x:c r="U85" s="84"/>
    </x:row>
    <x:row r="86">
      <x:c r="A86" s="84"/>
      <x:c r="B86" s="84"/>
      <x:c r="C86" s="84"/>
      <x:c r="D86" s="84"/>
      <x:c r="E86" s="84"/>
      <x:c r="F86" s="84"/>
      <x:c r="G86" s="84"/>
      <x:c r="H86" s="84"/>
      <x:c r="I86" s="84"/>
      <x:c r="J86" s="84"/>
      <x:c r="K86" s="84"/>
      <x:c r="L86" s="84"/>
      <x:c r="M86" s="84"/>
      <x:c r="N86" s="84"/>
      <x:c r="O86" s="84"/>
      <x:c r="P86" s="84"/>
      <x:c r="Q86" s="84"/>
      <x:c r="R86" s="84"/>
      <x:c r="S86" s="84"/>
      <x:c r="T86" s="84"/>
      <x:c r="U86" s="84"/>
    </x:row>
    <x:row r="87">
      <x:c r="A87" s="84"/>
      <x:c r="B87" s="84"/>
      <x:c r="C87" s="84"/>
      <x:c r="D87" s="84"/>
      <x:c r="E87" s="84"/>
      <x:c r="F87" s="84"/>
      <x:c r="G87" s="84"/>
      <x:c r="H87" s="84"/>
      <x:c r="I87" s="84"/>
      <x:c r="J87" s="84"/>
      <x:c r="K87" s="84"/>
      <x:c r="L87" s="84"/>
      <x:c r="M87" s="84"/>
      <x:c r="N87" s="84"/>
      <x:c r="O87" s="84"/>
      <x:c r="P87" s="84"/>
      <x:c r="Q87" s="84"/>
      <x:c r="R87" s="84"/>
      <x:c r="S87" s="84"/>
      <x:c r="T87" s="84"/>
      <x:c r="U87" s="84"/>
    </x:row>
    <x:row r="88">
      <x:c r="A88" s="84"/>
      <x:c r="B88" s="84"/>
      <x:c r="C88" s="84"/>
      <x:c r="D88" s="84"/>
      <x:c r="E88" s="84"/>
      <x:c r="F88" s="84"/>
      <x:c r="G88" s="84"/>
      <x:c r="H88" s="84"/>
      <x:c r="I88" s="84"/>
      <x:c r="J88" s="84"/>
      <x:c r="K88" s="84"/>
      <x:c r="L88" s="84"/>
      <x:c r="M88" s="84"/>
      <x:c r="N88" s="84"/>
      <x:c r="O88" s="84"/>
      <x:c r="P88" s="84"/>
      <x:c r="Q88" s="84"/>
      <x:c r="R88" s="84"/>
      <x:c r="S88" s="84"/>
      <x:c r="T88" s="84"/>
      <x:c r="U88" s="84"/>
    </x:row>
    <x:row r="89">
      <x:c r="A89" s="84"/>
      <x:c r="B89" s="84"/>
      <x:c r="C89" s="84"/>
      <x:c r="D89" s="84"/>
      <x:c r="E89" s="84"/>
      <x:c r="F89" s="84"/>
      <x:c r="G89" s="84"/>
      <x:c r="H89" s="84"/>
      <x:c r="I89" s="84"/>
      <x:c r="J89" s="84"/>
      <x:c r="K89" s="84"/>
      <x:c r="L89" s="84"/>
      <x:c r="M89" s="84"/>
      <x:c r="N89" s="84"/>
      <x:c r="O89" s="84"/>
      <x:c r="P89" s="84"/>
      <x:c r="Q89" s="84"/>
      <x:c r="R89" s="84"/>
      <x:c r="S89" s="84"/>
      <x:c r="T89" s="84"/>
      <x:c r="U89" s="84"/>
    </x:row>
    <x:row r="90">
      <x:c r="A90" s="84"/>
      <x:c r="B90" s="84"/>
      <x:c r="C90" s="84"/>
      <x:c r="D90" s="84"/>
      <x:c r="E90" s="84"/>
      <x:c r="F90" s="84"/>
      <x:c r="G90" s="84"/>
      <x:c r="H90" s="84"/>
      <x:c r="I90" s="84"/>
      <x:c r="J90" s="84"/>
      <x:c r="K90" s="84"/>
      <x:c r="L90" s="84"/>
      <x:c r="M90" s="84"/>
      <x:c r="N90" s="84"/>
      <x:c r="O90" s="84"/>
      <x:c r="P90" s="84"/>
      <x:c r="Q90" s="84"/>
      <x:c r="R90" s="84"/>
      <x:c r="S90" s="84"/>
      <x:c r="T90" s="84"/>
      <x:c r="U90" s="84"/>
    </x:row>
    <x:row r="91">
      <x:c r="A91" s="84"/>
      <x:c r="B91" s="84"/>
      <x:c r="C91" s="84"/>
      <x:c r="D91" s="84"/>
      <x:c r="E91" s="84"/>
      <x:c r="F91" s="84"/>
      <x:c r="G91" s="84"/>
      <x:c r="H91" s="84"/>
      <x:c r="I91" s="84"/>
      <x:c r="J91" s="84"/>
      <x:c r="K91" s="84"/>
      <x:c r="L91" s="84"/>
      <x:c r="M91" s="84"/>
      <x:c r="N91" s="84"/>
      <x:c r="O91" s="84"/>
      <x:c r="P91" s="84"/>
      <x:c r="Q91" s="84"/>
      <x:c r="R91" s="84"/>
      <x:c r="S91" s="84"/>
      <x:c r="T91" s="84"/>
      <x:c r="U91" s="84"/>
    </x:row>
    <x:row r="92">
      <x:c r="A92" s="84"/>
      <x:c r="B92" s="84"/>
      <x:c r="C92" s="84"/>
      <x:c r="D92" s="84"/>
      <x:c r="E92" s="84"/>
      <x:c r="F92" s="84"/>
      <x:c r="G92" s="84"/>
      <x:c r="H92" s="84"/>
      <x:c r="I92" s="84"/>
      <x:c r="J92" s="84"/>
      <x:c r="K92" s="84"/>
      <x:c r="L92" s="84"/>
      <x:c r="M92" s="84"/>
      <x:c r="N92" s="84"/>
      <x:c r="O92" s="84"/>
      <x:c r="P92" s="84"/>
      <x:c r="Q92" s="84"/>
      <x:c r="R92" s="84"/>
      <x:c r="S92" s="84"/>
      <x:c r="T92" s="84"/>
      <x:c r="U92" s="84"/>
    </x:row>
    <x:row r="93">
      <x:c r="A93" s="84"/>
      <x:c r="B93" s="84"/>
      <x:c r="C93" s="84"/>
      <x:c r="D93" s="84"/>
      <x:c r="E93" s="84"/>
      <x:c r="F93" s="84"/>
      <x:c r="G93" s="84"/>
      <x:c r="H93" s="84"/>
      <x:c r="I93" s="84"/>
      <x:c r="J93" s="84"/>
      <x:c r="K93" s="84"/>
      <x:c r="L93" s="84"/>
      <x:c r="M93" s="84"/>
      <x:c r="N93" s="84"/>
      <x:c r="O93" s="84"/>
      <x:c r="P93" s="84"/>
      <x:c r="Q93" s="84"/>
      <x:c r="R93" s="84"/>
      <x:c r="S93" s="84"/>
      <x:c r="T93" s="84"/>
      <x:c r="U93" s="84"/>
    </x:row>
    <x:row r="94">
      <x:c r="A94" s="84"/>
      <x:c r="B94" s="84"/>
      <x:c r="C94" s="84"/>
      <x:c r="D94" s="84"/>
      <x:c r="E94" s="84"/>
      <x:c r="F94" s="84"/>
      <x:c r="G94" s="84"/>
      <x:c r="H94" s="84"/>
      <x:c r="I94" s="84"/>
      <x:c r="J94" s="84"/>
      <x:c r="K94" s="84"/>
      <x:c r="L94" s="84"/>
      <x:c r="M94" s="84"/>
      <x:c r="N94" s="84"/>
      <x:c r="O94" s="84"/>
      <x:c r="P94" s="84"/>
      <x:c r="Q94" s="84"/>
      <x:c r="R94" s="84"/>
      <x:c r="S94" s="84"/>
      <x:c r="T94" s="84"/>
      <x:c r="U94" s="84"/>
    </x:row>
    <x:row r="95">
      <x:c r="A95" s="84"/>
      <x:c r="B95" s="84"/>
      <x:c r="C95" s="84"/>
      <x:c r="D95" s="84"/>
      <x:c r="E95" s="84"/>
      <x:c r="F95" s="84"/>
      <x:c r="G95" s="84"/>
      <x:c r="H95" s="84"/>
      <x:c r="I95" s="84"/>
      <x:c r="J95" s="84"/>
      <x:c r="K95" s="84"/>
      <x:c r="L95" s="84"/>
      <x:c r="M95" s="84"/>
      <x:c r="N95" s="84"/>
      <x:c r="O95" s="84"/>
      <x:c r="P95" s="84"/>
      <x:c r="Q95" s="84"/>
      <x:c r="R95" s="84"/>
      <x:c r="S95" s="84"/>
      <x:c r="T95" s="84"/>
      <x:c r="U95" s="84"/>
    </x:row>
    <x:row r="96">
      <x:c r="A96" s="84"/>
      <x:c r="B96" s="84"/>
      <x:c r="C96" s="84"/>
      <x:c r="D96" s="84"/>
      <x:c r="E96" s="84"/>
      <x:c r="F96" s="84"/>
      <x:c r="G96" s="84"/>
      <x:c r="H96" s="84"/>
      <x:c r="I96" s="84"/>
      <x:c r="J96" s="84"/>
      <x:c r="K96" s="84"/>
      <x:c r="L96" s="84"/>
      <x:c r="M96" s="84"/>
      <x:c r="N96" s="84"/>
      <x:c r="O96" s="84"/>
      <x:c r="P96" s="84"/>
      <x:c r="Q96" s="84"/>
      <x:c r="R96" s="84"/>
      <x:c r="S96" s="84"/>
      <x:c r="T96" s="84"/>
      <x:c r="U96" s="84"/>
    </x:row>
    <x:row r="97">
      <x:c r="A97" s="84"/>
      <x:c r="B97" s="84"/>
      <x:c r="C97" s="84"/>
      <x:c r="D97" s="84"/>
      <x:c r="E97" s="84"/>
      <x:c r="F97" s="84"/>
      <x:c r="G97" s="84"/>
      <x:c r="H97" s="84"/>
      <x:c r="I97" s="84"/>
      <x:c r="J97" s="84"/>
      <x:c r="K97" s="84"/>
      <x:c r="L97" s="84"/>
      <x:c r="M97" s="84"/>
      <x:c r="N97" s="84"/>
      <x:c r="O97" s="84"/>
      <x:c r="P97" s="84"/>
      <x:c r="Q97" s="84"/>
      <x:c r="R97" s="84"/>
      <x:c r="S97" s="84"/>
      <x:c r="T97" s="84"/>
      <x:c r="U97" s="84"/>
    </x:row>
    <x:row r="98">
      <x:c r="A98" s="84"/>
      <x:c r="B98" s="84"/>
      <x:c r="C98" s="84"/>
      <x:c r="D98" s="84"/>
      <x:c r="E98" s="84"/>
      <x:c r="F98" s="84"/>
      <x:c r="G98" s="84"/>
      <x:c r="H98" s="84"/>
      <x:c r="I98" s="84"/>
      <x:c r="J98" s="84"/>
      <x:c r="K98" s="84"/>
      <x:c r="L98" s="84"/>
      <x:c r="M98" s="84"/>
      <x:c r="N98" s="84"/>
      <x:c r="O98" s="84"/>
      <x:c r="P98" s="84"/>
      <x:c r="Q98" s="84"/>
      <x:c r="R98" s="84"/>
      <x:c r="S98" s="84"/>
      <x:c r="T98" s="84"/>
      <x:c r="U98" s="84"/>
    </x:row>
    <x:row r="99">
      <x:c r="A99" s="84"/>
      <x:c r="B99" s="84"/>
      <x:c r="C99" s="84"/>
      <x:c r="D99" s="84"/>
      <x:c r="E99" s="84"/>
      <x:c r="F99" s="84"/>
      <x:c r="G99" s="84"/>
      <x:c r="H99" s="84"/>
      <x:c r="I99" s="84"/>
      <x:c r="J99" s="84"/>
      <x:c r="K99" s="84"/>
      <x:c r="L99" s="84"/>
      <x:c r="M99" s="84"/>
      <x:c r="N99" s="84"/>
      <x:c r="O99" s="84"/>
      <x:c r="P99" s="84"/>
      <x:c r="Q99" s="84"/>
      <x:c r="R99" s="84"/>
      <x:c r="S99" s="84"/>
      <x:c r="T99" s="84"/>
      <x:c r="U99" s="84"/>
    </x:row>
    <x:row r="100">
      <x:c r="A100" s="84"/>
      <x:c r="B100" s="84"/>
      <x:c r="C100" s="84"/>
      <x:c r="D100" s="84"/>
      <x:c r="E100" s="84"/>
      <x:c r="F100" s="84"/>
      <x:c r="G100" s="84"/>
      <x:c r="H100" s="84"/>
      <x:c r="I100" s="84"/>
      <x:c r="J100" s="84"/>
      <x:c r="K100" s="84"/>
      <x:c r="L100" s="84"/>
      <x:c r="M100" s="84"/>
      <x:c r="N100" s="84"/>
      <x:c r="O100" s="84"/>
      <x:c r="P100" s="84"/>
      <x:c r="Q100" s="84"/>
      <x:c r="R100" s="84"/>
      <x:c r="S100" s="84"/>
      <x:c r="T100" s="84"/>
      <x:c r="U100" s="84"/>
    </x:row>
    <x:row r="101">
      <x:c r="A101" s="84"/>
      <x:c r="B101" s="84"/>
      <x:c r="C101" s="84"/>
      <x:c r="D101" s="84"/>
      <x:c r="E101" s="84"/>
      <x:c r="F101" s="84"/>
      <x:c r="G101" s="84"/>
      <x:c r="H101" s="84"/>
      <x:c r="I101" s="84"/>
      <x:c r="J101" s="84"/>
      <x:c r="K101" s="84"/>
      <x:c r="L101" s="84"/>
      <x:c r="M101" s="84"/>
      <x:c r="N101" s="84"/>
      <x:c r="O101" s="84"/>
      <x:c r="P101" s="84"/>
      <x:c r="Q101" s="84"/>
      <x:c r="R101" s="84"/>
      <x:c r="S101" s="84"/>
      <x:c r="T101" s="84"/>
      <x:c r="U101" s="84"/>
    </x:row>
    <x:row r="102">
      <x:c r="A102" s="84"/>
      <x:c r="B102" s="84"/>
      <x:c r="C102" s="84"/>
      <x:c r="D102" s="84"/>
      <x:c r="E102" s="84"/>
      <x:c r="F102" s="84"/>
      <x:c r="G102" s="84"/>
      <x:c r="H102" s="84"/>
      <x:c r="I102" s="84"/>
      <x:c r="J102" s="84"/>
      <x:c r="K102" s="84"/>
      <x:c r="L102" s="84"/>
      <x:c r="M102" s="84"/>
      <x:c r="N102" s="84"/>
      <x:c r="O102" s="84"/>
      <x:c r="P102" s="84"/>
      <x:c r="Q102" s="84"/>
      <x:c r="R102" s="84"/>
      <x:c r="S102" s="84"/>
      <x:c r="T102" s="84"/>
      <x:c r="U102" s="84"/>
    </x:row>
    <x:row r="103">
      <x:c r="A103" s="84"/>
      <x:c r="B103" s="84"/>
      <x:c r="C103" s="84"/>
      <x:c r="D103" s="84"/>
      <x:c r="E103" s="84"/>
      <x:c r="F103" s="84"/>
      <x:c r="G103" s="84"/>
      <x:c r="H103" s="84"/>
      <x:c r="I103" s="84"/>
      <x:c r="J103" s="84"/>
      <x:c r="K103" s="84"/>
      <x:c r="L103" s="84"/>
      <x:c r="M103" s="84"/>
      <x:c r="N103" s="84"/>
      <x:c r="O103" s="84"/>
      <x:c r="P103" s="84"/>
      <x:c r="Q103" s="84"/>
      <x:c r="R103" s="84"/>
      <x:c r="S103" s="84"/>
      <x:c r="T103" s="84"/>
      <x:c r="U103" s="84"/>
    </x:row>
    <x:row r="104">
      <x:c r="A104" s="84"/>
      <x:c r="B104" s="84"/>
      <x:c r="C104" s="84"/>
      <x:c r="D104" s="84"/>
      <x:c r="E104" s="84"/>
      <x:c r="F104" s="84"/>
      <x:c r="G104" s="84"/>
      <x:c r="H104" s="84"/>
      <x:c r="I104" s="84"/>
      <x:c r="J104" s="84"/>
      <x:c r="K104" s="84"/>
      <x:c r="L104" s="84"/>
      <x:c r="M104" s="84"/>
      <x:c r="N104" s="84"/>
      <x:c r="O104" s="84"/>
      <x:c r="P104" s="84"/>
      <x:c r="Q104" s="84"/>
      <x:c r="R104" s="84"/>
      <x:c r="S104" s="84"/>
      <x:c r="T104" s="84"/>
      <x:c r="U104" s="84"/>
    </x:row>
    <x:row r="105">
      <x:c r="A105" s="84"/>
      <x:c r="B105" s="84"/>
      <x:c r="C105" s="84"/>
      <x:c r="D105" s="84"/>
      <x:c r="E105" s="84"/>
      <x:c r="F105" s="84"/>
      <x:c r="G105" s="84"/>
      <x:c r="H105" s="84"/>
      <x:c r="I105" s="84"/>
      <x:c r="J105" s="84"/>
      <x:c r="K105" s="84"/>
      <x:c r="L105" s="84"/>
      <x:c r="M105" s="84"/>
      <x:c r="N105" s="84"/>
      <x:c r="O105" s="84"/>
      <x:c r="P105" s="84"/>
      <x:c r="Q105" s="84"/>
      <x:c r="R105" s="84"/>
      <x:c r="S105" s="84"/>
      <x:c r="T105" s="84"/>
      <x:c r="U105" s="84"/>
    </x:row>
    <x:row r="106">
      <x:c r="A106" s="84"/>
      <x:c r="B106" s="84"/>
      <x:c r="C106" s="84"/>
      <x:c r="D106" s="84"/>
      <x:c r="E106" s="84"/>
      <x:c r="F106" s="84"/>
      <x:c r="G106" s="84"/>
      <x:c r="H106" s="84"/>
      <x:c r="I106" s="84"/>
      <x:c r="J106" s="84"/>
      <x:c r="K106" s="84"/>
      <x:c r="L106" s="84"/>
      <x:c r="M106" s="84"/>
      <x:c r="N106" s="84"/>
      <x:c r="O106" s="84"/>
      <x:c r="P106" s="84"/>
      <x:c r="Q106" s="84"/>
      <x:c r="R106" s="84"/>
      <x:c r="S106" s="84"/>
      <x:c r="T106" s="84"/>
      <x:c r="U106" s="84"/>
    </x:row>
    <x:row r="107">
      <x:c r="A107" s="84"/>
      <x:c r="B107" s="84"/>
      <x:c r="C107" s="84"/>
      <x:c r="D107" s="84"/>
      <x:c r="E107" s="84"/>
      <x:c r="F107" s="84"/>
      <x:c r="G107" s="84"/>
      <x:c r="H107" s="84"/>
      <x:c r="I107" s="84"/>
      <x:c r="J107" s="84"/>
      <x:c r="K107" s="84"/>
      <x:c r="L107" s="84"/>
      <x:c r="M107" s="84"/>
      <x:c r="N107" s="84"/>
      <x:c r="O107" s="84"/>
      <x:c r="P107" s="84"/>
      <x:c r="Q107" s="84"/>
      <x:c r="R107" s="84"/>
      <x:c r="S107" s="84"/>
      <x:c r="T107" s="84"/>
      <x:c r="U107" s="84"/>
    </x:row>
    <x:row r="108">
      <x:c r="A108" s="84"/>
      <x:c r="B108" s="84"/>
      <x:c r="C108" s="84"/>
      <x:c r="D108" s="84"/>
      <x:c r="E108" s="84"/>
      <x:c r="F108" s="84"/>
      <x:c r="G108" s="84"/>
      <x:c r="H108" s="84"/>
      <x:c r="I108" s="84"/>
      <x:c r="J108" s="84"/>
      <x:c r="K108" s="84"/>
      <x:c r="L108" s="84"/>
      <x:c r="M108" s="84"/>
      <x:c r="N108" s="84"/>
      <x:c r="O108" s="84"/>
      <x:c r="P108" s="84"/>
      <x:c r="Q108" s="84"/>
      <x:c r="R108" s="84"/>
      <x:c r="S108" s="84"/>
      <x:c r="T108" s="84"/>
      <x:c r="U108" s="84"/>
    </x:row>
    <x:row r="109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4"/>
      <x:c r="K109" s="84"/>
      <x:c r="L109" s="84"/>
      <x:c r="M109" s="84"/>
      <x:c r="N109" s="84"/>
      <x:c r="O109" s="84"/>
      <x:c r="P109" s="84"/>
      <x:c r="Q109" s="84"/>
      <x:c r="R109" s="84"/>
      <x:c r="S109" s="84"/>
      <x:c r="T109" s="84"/>
      <x:c r="U109" s="84"/>
    </x:row>
    <x:row r="110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4"/>
      <x:c r="K110" s="84"/>
      <x:c r="L110" s="84"/>
      <x:c r="M110" s="84"/>
      <x:c r="N110" s="84"/>
      <x:c r="O110" s="84"/>
      <x:c r="P110" s="84"/>
      <x:c r="Q110" s="84"/>
      <x:c r="R110" s="84"/>
      <x:c r="S110" s="84"/>
      <x:c r="T110" s="84"/>
      <x:c r="U110" s="84"/>
    </x:row>
  </x:sheetData>
  <x:mergeCells>
    <x:mergeCell ref="A1:U1"/>
  </x:mergeCells>
  <x:conditionalFormatting sqref="S4:S63">
    <x:cfRule type="expression" dxfId="4" priority="1">
      <x:formula>$S4="ACTION NEEDED"</x:formula>
    </x:cfRule>
  </x:conditionalFormatting>
  <x:conditionalFormatting sqref="P4:P63">
    <x:cfRule type="colorScale" priority="2">
      <x:colorScale>
        <x:cfvo type="min"/>
        <x:cfvo type="percentile" val="50"/>
        <x:cfvo type="max"/>
        <x:color rgb="FFF4CCCC"/>
        <x:color rgb="FFFCE8B2"/>
        <x:color rgb="FFDDEEDB"/>
      </x:colorScale>
    </x:cfRule>
  </x:conditionalFormatting>
  <x:dataValidations count="8">
    <x:dataValidation type="list" sqref="B4:B63">
      <x:formula1>_LISTS!$B$2:$B$9</x:formula1>
    </x:dataValidation>
    <x:dataValidation type="list" sqref="J4:J63">
      <x:formula1>_LISTS!$C$2:$C$4</x:formula1>
    </x:dataValidation>
    <x:dataValidation type="list" sqref="K4:K63">
      <x:formula1>_LISTS!$F$2:$F$4</x:formula1>
    </x:dataValidation>
    <x:dataValidation type="list" sqref="L4:L63">
      <x:formula1>_LISTS!$E$2:$E$6</x:formula1>
    </x:dataValidation>
    <x:dataValidation type="list" sqref="M4:M63">
      <x:formula1>_LISTS!$E$2:$E$6</x:formula1>
    </x:dataValidation>
    <x:dataValidation type="list" sqref="N4:N63">
      <x:formula1>_LISTS!$E$2:$E$6</x:formula1>
    </x:dataValidation>
    <x:dataValidation type="list" sqref="O4:O63">
      <x:formula1>_LISTS!$E$2:$E$6</x:formula1>
    </x:dataValidation>
    <x:dataValidation type="list" sqref="T4:T63">
      <x:formula1>_LISTS!$F$2:$F$4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6a215338254f3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34" hidden="0" customWidth="1"/>
    <x:col min="5" max="5" width="48" hidden="0" customWidth="1"/>
    <x:col min="6" max="6" width="16" hidden="0" customWidth="1"/>
    <x:col min="7" max="7" width="16" hidden="0" customWidth="1"/>
    <x:col min="8" max="8" width="28" hidden="0" customWidth="1"/>
    <x:col min="9" max="9" width="30" hidden="0" customWidth="1"/>
    <x:col min="10" max="10" width="15" hidden="0" customWidth="1"/>
    <x:col min="11" max="11" width="15" hidden="0" customWidth="1"/>
    <x:col min="12" max="12" width="18" hidden="0" customWidth="1"/>
    <x:col min="13" max="13" width="28" hidden="0" customWidth="1"/>
  </x:cols>
  <x:sheetData>
    <x:row r="1">
      <x:c r="A1" s="141" t="str">
        <x:v>EVIDENCE MATRIX — connect evidence to claims, not just to sources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84"/>
      <x:c r="O1" s="84"/>
      <x:c r="P1" s="84"/>
      <x:c r="Q1" s="84"/>
      <x:c r="R1" s="84"/>
      <x:c r="S1" s="84"/>
      <x:c r="T1" s="84"/>
      <x:c r="U1" s="84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  <x:c r="S2" s="84"/>
      <x:c r="T2" s="84"/>
      <x:c r="U2" s="84"/>
    </x:row>
    <x:row r="3">
      <x:c r="A3" s="121" t="str">
        <x:v>Evidence ID</x:v>
      </x:c>
      <x:c r="B3" s="121" t="str">
        <x:v>Source ID</x:v>
      </x:c>
      <x:c r="C3" s="121" t="str">
        <x:v>Outline Section ID</x:v>
      </x:c>
      <x:c r="D3" s="121" t="str">
        <x:v>Claim / Question Addressed</x:v>
      </x:c>
      <x:c r="E3" s="121" t="str">
        <x:v>Evidence / Paraphrase / Quote</x:v>
      </x:c>
      <x:c r="F3" s="121" t="str">
        <x:v>Page / Location</x:v>
      </x:c>
      <x:c r="G3" s="121" t="str">
        <x:v>Evidence Use</x:v>
      </x:c>
      <x:c r="H3" s="121" t="str">
        <x:v>Method / Context</x:v>
      </x:c>
      <x:c r="I3" s="121" t="str">
        <x:v>Limitation / Qualification</x:v>
      </x:c>
      <x:c r="J3" s="121" t="str">
        <x:v>Citation Inserted?</x:v>
      </x:c>
      <x:c r="K3" s="121" t="str">
        <x:v>Quote Has Page?</x:v>
      </x:c>
      <x:c r="L3" s="121" t="str">
        <x:v>Evidence QA</x:v>
      </x:c>
      <x:c r="M3" s="121" t="str">
        <x:v>Notes</x:v>
      </x:c>
      <x:c r="N3" s="84"/>
      <x:c r="O3" s="84"/>
      <x:c r="P3" s="84"/>
      <x:c r="Q3" s="84"/>
      <x:c r="R3" s="84"/>
      <x:c r="S3" s="84"/>
      <x:c r="T3" s="84"/>
      <x:c r="U3" s="84"/>
    </x:row>
    <x:row r="4">
      <x:c r="A4" s="122" t="str">
        <x:f>IF(E4="","","E"&amp;TEXT(ROW()-3,"000"))</x:f>
      </x:c>
      <x:c r="B4" s="113"/>
      <x:c r="C4" s="113"/>
      <x:c r="D4" s="113"/>
      <x:c r="E4" s="113"/>
      <x:c r="F4" s="113"/>
      <x:c r="G4" s="113"/>
      <x:c r="H4" s="113"/>
      <x:c r="I4" s="113"/>
      <x:c r="J4" s="113"/>
      <x:c r="K4" s="122" t="str">
        <x:f>IF(E4="","",IF(LEFT(TRIM(E4),1)=CHAR(34),IF(F4="","ACTION NEEDED","OK"),"N/A"))</x:f>
      </x:c>
      <x:c r="L4" s="122" t="str">
        <x:f>IF(E4="","",IF(OR(B4="",C4="",D4="",G4=""),"ACTION NEEDED",IF(K4="ACTION NEEDED","ACTION NEEDED","OK")))</x:f>
      </x:c>
      <x:c r="M4" s="113"/>
      <x:c r="N4" s="84"/>
      <x:c r="O4" s="84"/>
      <x:c r="P4" s="84"/>
      <x:c r="Q4" s="84"/>
      <x:c r="R4" s="84"/>
      <x:c r="S4" s="84"/>
      <x:c r="T4" s="84"/>
      <x:c r="U4" s="84"/>
    </x:row>
    <x:row r="5">
      <x:c r="A5" s="122" t="str">
        <x:f>IF(E5="","","E"&amp;TEXT(ROW()-3,"000"))</x:f>
      </x:c>
      <x:c r="B5" s="113"/>
      <x:c r="C5" s="113"/>
      <x:c r="D5" s="113"/>
      <x:c r="E5" s="113"/>
      <x:c r="F5" s="113"/>
      <x:c r="G5" s="113"/>
      <x:c r="H5" s="113"/>
      <x:c r="I5" s="113"/>
      <x:c r="J5" s="113"/>
      <x:c r="K5" s="122" t="str">
        <x:f>IF(E5="","",IF(LEFT(TRIM(E5),1)=CHAR(34),IF(F5="","ACTION NEEDED","OK"),"N/A"))</x:f>
      </x:c>
      <x:c r="L5" s="122" t="str">
        <x:f>IF(E5="","",IF(OR(B5="",C5="",D5="",G5=""),"ACTION NEEDED",IF(K5="ACTION NEEDED","ACTION NEEDED","OK")))</x:f>
      </x:c>
      <x:c r="M5" s="113"/>
      <x:c r="N5" s="84"/>
      <x:c r="O5" s="84"/>
      <x:c r="P5" s="84"/>
      <x:c r="Q5" s="84"/>
      <x:c r="R5" s="84"/>
      <x:c r="S5" s="84"/>
      <x:c r="T5" s="84"/>
      <x:c r="U5" s="84"/>
    </x:row>
    <x:row r="6">
      <x:c r="A6" s="122" t="str">
        <x:f>IF(E6="","","E"&amp;TEXT(ROW()-3,"000"))</x:f>
      </x:c>
      <x:c r="B6" s="113"/>
      <x:c r="C6" s="113"/>
      <x:c r="D6" s="113"/>
      <x:c r="E6" s="113"/>
      <x:c r="F6" s="113"/>
      <x:c r="G6" s="113"/>
      <x:c r="H6" s="113"/>
      <x:c r="I6" s="113"/>
      <x:c r="J6" s="113"/>
      <x:c r="K6" s="122" t="str">
        <x:f>IF(E6="","",IF(LEFT(TRIM(E6),1)=CHAR(34),IF(F6="","ACTION NEEDED","OK"),"N/A"))</x:f>
      </x:c>
      <x:c r="L6" s="122" t="str">
        <x:f>IF(E6="","",IF(OR(B6="",C6="",D6="",G6=""),"ACTION NEEDED",IF(K6="ACTION NEEDED","ACTION NEEDED","OK")))</x:f>
      </x:c>
      <x:c r="M6" s="113"/>
      <x:c r="N6" s="84"/>
      <x:c r="O6" s="84"/>
      <x:c r="P6" s="84"/>
      <x:c r="Q6" s="84"/>
      <x:c r="R6" s="84"/>
      <x:c r="S6" s="84"/>
      <x:c r="T6" s="84"/>
      <x:c r="U6" s="84"/>
    </x:row>
    <x:row r="7">
      <x:c r="A7" s="122" t="str">
        <x:f>IF(E7="","","E"&amp;TEXT(ROW()-3,"000"))</x:f>
      </x:c>
      <x:c r="B7" s="113"/>
      <x:c r="C7" s="113"/>
      <x:c r="D7" s="113"/>
      <x:c r="E7" s="113"/>
      <x:c r="F7" s="113"/>
      <x:c r="G7" s="113"/>
      <x:c r="H7" s="113"/>
      <x:c r="I7" s="113"/>
      <x:c r="J7" s="113"/>
      <x:c r="K7" s="122" t="str">
        <x:f>IF(E7="","",IF(LEFT(TRIM(E7),1)=CHAR(34),IF(F7="","ACTION NEEDED","OK"),"N/A"))</x:f>
      </x:c>
      <x:c r="L7" s="122" t="str">
        <x:f>IF(E7="","",IF(OR(B7="",C7="",D7="",G7=""),"ACTION NEEDED",IF(K7="ACTION NEEDED","ACTION NEEDED","OK")))</x:f>
      </x:c>
      <x:c r="M7" s="113"/>
      <x:c r="N7" s="84"/>
      <x:c r="O7" s="84"/>
      <x:c r="P7" s="84"/>
      <x:c r="Q7" s="84"/>
      <x:c r="R7" s="84"/>
      <x:c r="S7" s="84"/>
      <x:c r="T7" s="84"/>
      <x:c r="U7" s="84"/>
    </x:row>
    <x:row r="8">
      <x:c r="A8" s="122" t="str">
        <x:f>IF(E8="","","E"&amp;TEXT(ROW()-3,"000"))</x:f>
      </x:c>
      <x:c r="B8" s="113"/>
      <x:c r="C8" s="113"/>
      <x:c r="D8" s="113"/>
      <x:c r="E8" s="113"/>
      <x:c r="F8" s="113"/>
      <x:c r="G8" s="113"/>
      <x:c r="H8" s="113"/>
      <x:c r="I8" s="113"/>
      <x:c r="J8" s="113"/>
      <x:c r="K8" s="122" t="str">
        <x:f>IF(E8="","",IF(LEFT(TRIM(E8),1)=CHAR(34),IF(F8="","ACTION NEEDED","OK"),"N/A"))</x:f>
      </x:c>
      <x:c r="L8" s="122" t="str">
        <x:f>IF(E8="","",IF(OR(B8="",C8="",D8="",G8=""),"ACTION NEEDED",IF(K8="ACTION NEEDED","ACTION NEEDED","OK")))</x:f>
      </x:c>
      <x:c r="M8" s="113"/>
      <x:c r="N8" s="84"/>
      <x:c r="O8" s="84"/>
      <x:c r="P8" s="84"/>
      <x:c r="Q8" s="84"/>
      <x:c r="R8" s="84"/>
      <x:c r="S8" s="84"/>
      <x:c r="T8" s="84"/>
      <x:c r="U8" s="84"/>
    </x:row>
    <x:row r="9">
      <x:c r="A9" s="122" t="str">
        <x:f>IF(E9="","","E"&amp;TEXT(ROW()-3,"000"))</x:f>
      </x:c>
      <x:c r="B9" s="113"/>
      <x:c r="C9" s="113"/>
      <x:c r="D9" s="113"/>
      <x:c r="E9" s="113"/>
      <x:c r="F9" s="113"/>
      <x:c r="G9" s="113"/>
      <x:c r="H9" s="113"/>
      <x:c r="I9" s="113"/>
      <x:c r="J9" s="113"/>
      <x:c r="K9" s="122" t="str">
        <x:f>IF(E9="","",IF(LEFT(TRIM(E9),1)=CHAR(34),IF(F9="","ACTION NEEDED","OK"),"N/A"))</x:f>
      </x:c>
      <x:c r="L9" s="122" t="str">
        <x:f>IF(E9="","",IF(OR(B9="",C9="",D9="",G9=""),"ACTION NEEDED",IF(K9="ACTION NEEDED","ACTION NEEDED","OK")))</x:f>
      </x:c>
      <x:c r="M9" s="113"/>
      <x:c r="N9" s="84"/>
      <x:c r="O9" s="84"/>
      <x:c r="P9" s="84"/>
      <x:c r="Q9" s="84"/>
      <x:c r="R9" s="84"/>
      <x:c r="S9" s="84"/>
      <x:c r="T9" s="84"/>
      <x:c r="U9" s="84"/>
    </x:row>
    <x:row r="10">
      <x:c r="A10" s="122" t="str">
        <x:f>IF(E10="","","E"&amp;TEXT(ROW()-3,"000"))</x:f>
      </x:c>
      <x:c r="B10" s="113"/>
      <x:c r="C10" s="113"/>
      <x:c r="D10" s="113"/>
      <x:c r="E10" s="113"/>
      <x:c r="F10" s="113"/>
      <x:c r="G10" s="113"/>
      <x:c r="H10" s="113"/>
      <x:c r="I10" s="113"/>
      <x:c r="J10" s="113"/>
      <x:c r="K10" s="122" t="str">
        <x:f>IF(E10="","",IF(LEFT(TRIM(E10),1)=CHAR(34),IF(F10="","ACTION NEEDED","OK"),"N/A"))</x:f>
      </x:c>
      <x:c r="L10" s="122" t="str">
        <x:f>IF(E10="","",IF(OR(B10="",C10="",D10="",G10=""),"ACTION NEEDED",IF(K10="ACTION NEEDED","ACTION NEEDED","OK")))</x:f>
      </x:c>
      <x:c r="M10" s="113"/>
      <x:c r="N10" s="84"/>
      <x:c r="O10" s="84"/>
      <x:c r="P10" s="84"/>
      <x:c r="Q10" s="84"/>
      <x:c r="R10" s="84"/>
      <x:c r="S10" s="84"/>
      <x:c r="T10" s="84"/>
      <x:c r="U10" s="84"/>
    </x:row>
    <x:row r="11">
      <x:c r="A11" s="122" t="str">
        <x:f>IF(E11="","","E"&amp;TEXT(ROW()-3,"000"))</x:f>
      </x:c>
      <x:c r="B11" s="113"/>
      <x:c r="C11" s="113"/>
      <x:c r="D11" s="113"/>
      <x:c r="E11" s="113"/>
      <x:c r="F11" s="113"/>
      <x:c r="G11" s="113"/>
      <x:c r="H11" s="113"/>
      <x:c r="I11" s="113"/>
      <x:c r="J11" s="113"/>
      <x:c r="K11" s="122" t="str">
        <x:f>IF(E11="","",IF(LEFT(TRIM(E11),1)=CHAR(34),IF(F11="","ACTION NEEDED","OK"),"N/A"))</x:f>
      </x:c>
      <x:c r="L11" s="122" t="str">
        <x:f>IF(E11="","",IF(OR(B11="",C11="",D11="",G11=""),"ACTION NEEDED",IF(K11="ACTION NEEDED","ACTION NEEDED","OK")))</x:f>
      </x:c>
      <x:c r="M11" s="113"/>
      <x:c r="N11" s="84"/>
      <x:c r="O11" s="84"/>
      <x:c r="P11" s="84"/>
      <x:c r="Q11" s="84"/>
      <x:c r="R11" s="84"/>
      <x:c r="S11" s="84"/>
      <x:c r="T11" s="84"/>
      <x:c r="U11" s="84"/>
    </x:row>
    <x:row r="12">
      <x:c r="A12" s="122" t="str">
        <x:f>IF(E12="","","E"&amp;TEXT(ROW()-3,"000"))</x:f>
      </x:c>
      <x:c r="B12" s="113"/>
      <x:c r="C12" s="113"/>
      <x:c r="D12" s="113"/>
      <x:c r="E12" s="113"/>
      <x:c r="F12" s="113"/>
      <x:c r="G12" s="113"/>
      <x:c r="H12" s="113"/>
      <x:c r="I12" s="113"/>
      <x:c r="J12" s="113"/>
      <x:c r="K12" s="122" t="str">
        <x:f>IF(E12="","",IF(LEFT(TRIM(E12),1)=CHAR(34),IF(F12="","ACTION NEEDED","OK"),"N/A"))</x:f>
      </x:c>
      <x:c r="L12" s="122" t="str">
        <x:f>IF(E12="","",IF(OR(B12="",C12="",D12="",G12=""),"ACTION NEEDED",IF(K12="ACTION NEEDED","ACTION NEEDED","OK")))</x:f>
      </x:c>
      <x:c r="M12" s="113"/>
      <x:c r="N12" s="84"/>
      <x:c r="O12" s="84"/>
      <x:c r="P12" s="84"/>
      <x:c r="Q12" s="84"/>
      <x:c r="R12" s="84"/>
      <x:c r="S12" s="84"/>
      <x:c r="T12" s="84"/>
      <x:c r="U12" s="84"/>
    </x:row>
    <x:row r="13">
      <x:c r="A13" s="122" t="str">
        <x:f>IF(E13="","","E"&amp;TEXT(ROW()-3,"000"))</x:f>
      </x:c>
      <x:c r="B13" s="113"/>
      <x:c r="C13" s="113"/>
      <x:c r="D13" s="113"/>
      <x:c r="E13" s="113"/>
      <x:c r="F13" s="113"/>
      <x:c r="G13" s="113"/>
      <x:c r="H13" s="113"/>
      <x:c r="I13" s="113"/>
      <x:c r="J13" s="113"/>
      <x:c r="K13" s="122" t="str">
        <x:f>IF(E13="","",IF(LEFT(TRIM(E13),1)=CHAR(34),IF(F13="","ACTION NEEDED","OK"),"N/A"))</x:f>
      </x:c>
      <x:c r="L13" s="122" t="str">
        <x:f>IF(E13="","",IF(OR(B13="",C13="",D13="",G13=""),"ACTION NEEDED",IF(K13="ACTION NEEDED","ACTION NEEDED","OK")))</x:f>
      </x:c>
      <x:c r="M13" s="113"/>
      <x:c r="N13" s="84"/>
      <x:c r="O13" s="84"/>
      <x:c r="P13" s="84"/>
      <x:c r="Q13" s="84"/>
      <x:c r="R13" s="84"/>
      <x:c r="S13" s="84"/>
      <x:c r="T13" s="84"/>
      <x:c r="U13" s="84"/>
    </x:row>
    <x:row r="14">
      <x:c r="A14" s="122" t="str">
        <x:f>IF(E14="","","E"&amp;TEXT(ROW()-3,"000"))</x:f>
      </x:c>
      <x:c r="B14" s="113"/>
      <x:c r="C14" s="113"/>
      <x:c r="D14" s="113"/>
      <x:c r="E14" s="113"/>
      <x:c r="F14" s="113"/>
      <x:c r="G14" s="113"/>
      <x:c r="H14" s="113"/>
      <x:c r="I14" s="113"/>
      <x:c r="J14" s="113"/>
      <x:c r="K14" s="122" t="str">
        <x:f>IF(E14="","",IF(LEFT(TRIM(E14),1)=CHAR(34),IF(F14="","ACTION NEEDED","OK"),"N/A"))</x:f>
      </x:c>
      <x:c r="L14" s="122" t="str">
        <x:f>IF(E14="","",IF(OR(B14="",C14="",D14="",G14=""),"ACTION NEEDED",IF(K14="ACTION NEEDED","ACTION NEEDED","OK")))</x:f>
      </x:c>
      <x:c r="M14" s="113"/>
      <x:c r="N14" s="84"/>
      <x:c r="O14" s="84"/>
      <x:c r="P14" s="84"/>
      <x:c r="Q14" s="84"/>
      <x:c r="R14" s="84"/>
      <x:c r="S14" s="84"/>
      <x:c r="T14" s="84"/>
      <x:c r="U14" s="84"/>
    </x:row>
    <x:row r="15">
      <x:c r="A15" s="122" t="str">
        <x:f>IF(E15="","","E"&amp;TEXT(ROW()-3,"000"))</x:f>
      </x:c>
      <x:c r="B15" s="113"/>
      <x:c r="C15" s="113"/>
      <x:c r="D15" s="113"/>
      <x:c r="E15" s="113"/>
      <x:c r="F15" s="113"/>
      <x:c r="G15" s="113"/>
      <x:c r="H15" s="113"/>
      <x:c r="I15" s="113"/>
      <x:c r="J15" s="113"/>
      <x:c r="K15" s="122" t="str">
        <x:f>IF(E15="","",IF(LEFT(TRIM(E15),1)=CHAR(34),IF(F15="","ACTION NEEDED","OK"),"N/A"))</x:f>
      </x:c>
      <x:c r="L15" s="122" t="str">
        <x:f>IF(E15="","",IF(OR(B15="",C15="",D15="",G15=""),"ACTION NEEDED",IF(K15="ACTION NEEDED","ACTION NEEDED","OK")))</x:f>
      </x:c>
      <x:c r="M15" s="113"/>
      <x:c r="N15" s="84"/>
      <x:c r="O15" s="84"/>
      <x:c r="P15" s="84"/>
      <x:c r="Q15" s="84"/>
      <x:c r="R15" s="84"/>
      <x:c r="S15" s="84"/>
      <x:c r="T15" s="84"/>
      <x:c r="U15" s="84"/>
    </x:row>
    <x:row r="16">
      <x:c r="A16" s="122" t="str">
        <x:f>IF(E16="","","E"&amp;TEXT(ROW()-3,"000"))</x:f>
      </x:c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22" t="str">
        <x:f>IF(E16="","",IF(LEFT(TRIM(E16),1)=CHAR(34),IF(F16="","ACTION NEEDED","OK"),"N/A"))</x:f>
      </x:c>
      <x:c r="L16" s="122" t="str">
        <x:f>IF(E16="","",IF(OR(B16="",C16="",D16="",G16=""),"ACTION NEEDED",IF(K16="ACTION NEEDED","ACTION NEEDED","OK")))</x:f>
      </x:c>
      <x:c r="M16" s="113"/>
      <x:c r="N16" s="84"/>
      <x:c r="O16" s="84"/>
      <x:c r="P16" s="84"/>
      <x:c r="Q16" s="84"/>
      <x:c r="R16" s="84"/>
      <x:c r="S16" s="84"/>
      <x:c r="T16" s="84"/>
      <x:c r="U16" s="84"/>
    </x:row>
    <x:row r="17">
      <x:c r="A17" s="122" t="str">
        <x:f>IF(E17="","","E"&amp;TEXT(ROW()-3,"000"))</x:f>
      </x:c>
      <x:c r="B17" s="113"/>
      <x:c r="C17" s="113"/>
      <x:c r="D17" s="113"/>
      <x:c r="E17" s="113"/>
      <x:c r="F17" s="113"/>
      <x:c r="G17" s="113"/>
      <x:c r="H17" s="113"/>
      <x:c r="I17" s="113"/>
      <x:c r="J17" s="113"/>
      <x:c r="K17" s="122" t="str">
        <x:f>IF(E17="","",IF(LEFT(TRIM(E17),1)=CHAR(34),IF(F17="","ACTION NEEDED","OK"),"N/A"))</x:f>
      </x:c>
      <x:c r="L17" s="122" t="str">
        <x:f>IF(E17="","",IF(OR(B17="",C17="",D17="",G17=""),"ACTION NEEDED",IF(K17="ACTION NEEDED","ACTION NEEDED","OK")))</x:f>
      </x:c>
      <x:c r="M17" s="113"/>
      <x:c r="N17" s="84"/>
      <x:c r="O17" s="84"/>
      <x:c r="P17" s="84"/>
      <x:c r="Q17" s="84"/>
      <x:c r="R17" s="84"/>
      <x:c r="S17" s="84"/>
      <x:c r="T17" s="84"/>
      <x:c r="U17" s="84"/>
    </x:row>
    <x:row r="18">
      <x:c r="A18" s="122" t="str">
        <x:f>IF(E18="","","E"&amp;TEXT(ROW()-3,"000"))</x:f>
      </x:c>
      <x:c r="B18" s="113"/>
      <x:c r="C18" s="113"/>
      <x:c r="D18" s="113"/>
      <x:c r="E18" s="113"/>
      <x:c r="F18" s="113"/>
      <x:c r="G18" s="113"/>
      <x:c r="H18" s="113"/>
      <x:c r="I18" s="113"/>
      <x:c r="J18" s="113"/>
      <x:c r="K18" s="122" t="str">
        <x:f>IF(E18="","",IF(LEFT(TRIM(E18),1)=CHAR(34),IF(F18="","ACTION NEEDED","OK"),"N/A"))</x:f>
      </x:c>
      <x:c r="L18" s="122" t="str">
        <x:f>IF(E18="","",IF(OR(B18="",C18="",D18="",G18=""),"ACTION NEEDED",IF(K18="ACTION NEEDED","ACTION NEEDED","OK")))</x:f>
      </x:c>
      <x:c r="M18" s="113"/>
      <x:c r="N18" s="84"/>
      <x:c r="O18" s="84"/>
      <x:c r="P18" s="84"/>
      <x:c r="Q18" s="84"/>
      <x:c r="R18" s="84"/>
      <x:c r="S18" s="84"/>
      <x:c r="T18" s="84"/>
      <x:c r="U18" s="84"/>
    </x:row>
    <x:row r="19">
      <x:c r="A19" s="122" t="str">
        <x:f>IF(E19="","","E"&amp;TEXT(ROW()-3,"000"))</x:f>
      </x:c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22" t="str">
        <x:f>IF(E19="","",IF(LEFT(TRIM(E19),1)=CHAR(34),IF(F19="","ACTION NEEDED","OK"),"N/A"))</x:f>
      </x:c>
      <x:c r="L19" s="122" t="str">
        <x:f>IF(E19="","",IF(OR(B19="",C19="",D19="",G19=""),"ACTION NEEDED",IF(K19="ACTION NEEDED","ACTION NEEDED","OK")))</x:f>
      </x:c>
      <x:c r="M19" s="113"/>
      <x:c r="N19" s="84"/>
      <x:c r="O19" s="84"/>
      <x:c r="P19" s="84"/>
      <x:c r="Q19" s="84"/>
      <x:c r="R19" s="84"/>
      <x:c r="S19" s="84"/>
      <x:c r="T19" s="84"/>
      <x:c r="U19" s="84"/>
    </x:row>
    <x:row r="20">
      <x:c r="A20" s="122" t="str">
        <x:f>IF(E20="","","E"&amp;TEXT(ROW()-3,"000"))</x:f>
      </x:c>
      <x:c r="B20" s="113"/>
      <x:c r="C20" s="113"/>
      <x:c r="D20" s="113"/>
      <x:c r="E20" s="113"/>
      <x:c r="F20" s="113"/>
      <x:c r="G20" s="113"/>
      <x:c r="H20" s="113"/>
      <x:c r="I20" s="113"/>
      <x:c r="J20" s="113"/>
      <x:c r="K20" s="122" t="str">
        <x:f>IF(E20="","",IF(LEFT(TRIM(E20),1)=CHAR(34),IF(F20="","ACTION NEEDED","OK"),"N/A"))</x:f>
      </x:c>
      <x:c r="L20" s="122" t="str">
        <x:f>IF(E20="","",IF(OR(B20="",C20="",D20="",G20=""),"ACTION NEEDED",IF(K20="ACTION NEEDED","ACTION NEEDED","OK")))</x:f>
      </x:c>
      <x:c r="M20" s="113"/>
      <x:c r="N20" s="84"/>
      <x:c r="O20" s="84"/>
      <x:c r="P20" s="84"/>
      <x:c r="Q20" s="84"/>
      <x:c r="R20" s="84"/>
      <x:c r="S20" s="84"/>
      <x:c r="T20" s="84"/>
      <x:c r="U20" s="84"/>
    </x:row>
    <x:row r="21">
      <x:c r="A21" s="122" t="str">
        <x:f>IF(E21="","","E"&amp;TEXT(ROW()-3,"000"))</x:f>
      </x:c>
      <x:c r="B21" s="113"/>
      <x:c r="C21" s="113"/>
      <x:c r="D21" s="113"/>
      <x:c r="E21" s="113"/>
      <x:c r="F21" s="113"/>
      <x:c r="G21" s="113"/>
      <x:c r="H21" s="113"/>
      <x:c r="I21" s="113"/>
      <x:c r="J21" s="113"/>
      <x:c r="K21" s="122" t="str">
        <x:f>IF(E21="","",IF(LEFT(TRIM(E21),1)=CHAR(34),IF(F21="","ACTION NEEDED","OK"),"N/A"))</x:f>
      </x:c>
      <x:c r="L21" s="122" t="str">
        <x:f>IF(E21="","",IF(OR(B21="",C21="",D21="",G21=""),"ACTION NEEDED",IF(K21="ACTION NEEDED","ACTION NEEDED","OK")))</x:f>
      </x:c>
      <x:c r="M21" s="113"/>
      <x:c r="N21" s="84"/>
      <x:c r="O21" s="84"/>
      <x:c r="P21" s="84"/>
      <x:c r="Q21" s="84"/>
      <x:c r="R21" s="84"/>
      <x:c r="S21" s="84"/>
      <x:c r="T21" s="84"/>
      <x:c r="U21" s="84"/>
    </x:row>
    <x:row r="22">
      <x:c r="A22" s="122" t="str">
        <x:f>IF(E22="","","E"&amp;TEXT(ROW()-3,"000"))</x:f>
      </x:c>
      <x:c r="B22" s="113"/>
      <x:c r="C22" s="113"/>
      <x:c r="D22" s="113"/>
      <x:c r="E22" s="113"/>
      <x:c r="F22" s="113"/>
      <x:c r="G22" s="113"/>
      <x:c r="H22" s="113"/>
      <x:c r="I22" s="113"/>
      <x:c r="J22" s="113"/>
      <x:c r="K22" s="122" t="str">
        <x:f>IF(E22="","",IF(LEFT(TRIM(E22),1)=CHAR(34),IF(F22="","ACTION NEEDED","OK"),"N/A"))</x:f>
      </x:c>
      <x:c r="L22" s="122" t="str">
        <x:f>IF(E22="","",IF(OR(B22="",C22="",D22="",G22=""),"ACTION NEEDED",IF(K22="ACTION NEEDED","ACTION NEEDED","OK")))</x:f>
      </x:c>
      <x:c r="M22" s="113"/>
      <x:c r="N22" s="84"/>
      <x:c r="O22" s="84"/>
      <x:c r="P22" s="84"/>
      <x:c r="Q22" s="84"/>
      <x:c r="R22" s="84"/>
      <x:c r="S22" s="84"/>
      <x:c r="T22" s="84"/>
      <x:c r="U22" s="84"/>
    </x:row>
    <x:row r="23">
      <x:c r="A23" s="122" t="str">
        <x:f>IF(E23="","","E"&amp;TEXT(ROW()-3,"000"))</x:f>
      </x:c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22" t="str">
        <x:f>IF(E23="","",IF(LEFT(TRIM(E23),1)=CHAR(34),IF(F23="","ACTION NEEDED","OK"),"N/A"))</x:f>
      </x:c>
      <x:c r="L23" s="122" t="str">
        <x:f>IF(E23="","",IF(OR(B23="",C23="",D23="",G23=""),"ACTION NEEDED",IF(K23="ACTION NEEDED","ACTION NEEDED","OK")))</x:f>
      </x:c>
      <x:c r="M23" s="113"/>
      <x:c r="N23" s="84"/>
      <x:c r="O23" s="84"/>
      <x:c r="P23" s="84"/>
      <x:c r="Q23" s="84"/>
      <x:c r="R23" s="84"/>
      <x:c r="S23" s="84"/>
      <x:c r="T23" s="84"/>
      <x:c r="U23" s="84"/>
    </x:row>
    <x:row r="24">
      <x:c r="A24" s="122" t="str">
        <x:f>IF(E24="","","E"&amp;TEXT(ROW()-3,"000"))</x:f>
      </x:c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22" t="str">
        <x:f>IF(E24="","",IF(LEFT(TRIM(E24),1)=CHAR(34),IF(F24="","ACTION NEEDED","OK"),"N/A"))</x:f>
      </x:c>
      <x:c r="L24" s="122" t="str">
        <x:f>IF(E24="","",IF(OR(B24="",C24="",D24="",G24=""),"ACTION NEEDED",IF(K24="ACTION NEEDED","ACTION NEEDED","OK")))</x:f>
      </x:c>
      <x:c r="M24" s="113"/>
      <x:c r="N24" s="84"/>
      <x:c r="O24" s="84"/>
      <x:c r="P24" s="84"/>
      <x:c r="Q24" s="84"/>
      <x:c r="R24" s="84"/>
      <x:c r="S24" s="84"/>
      <x:c r="T24" s="84"/>
      <x:c r="U24" s="84"/>
    </x:row>
    <x:row r="25">
      <x:c r="A25" s="122" t="str">
        <x:f>IF(E25="","","E"&amp;TEXT(ROW()-3,"000"))</x:f>
      </x:c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22" t="str">
        <x:f>IF(E25="","",IF(LEFT(TRIM(E25),1)=CHAR(34),IF(F25="","ACTION NEEDED","OK"),"N/A"))</x:f>
      </x:c>
      <x:c r="L25" s="122" t="str">
        <x:f>IF(E25="","",IF(OR(B25="",C25="",D25="",G25=""),"ACTION NEEDED",IF(K25="ACTION NEEDED","ACTION NEEDED","OK")))</x:f>
      </x:c>
      <x:c r="M25" s="113"/>
      <x:c r="N25" s="84"/>
      <x:c r="O25" s="84"/>
      <x:c r="P25" s="84"/>
      <x:c r="Q25" s="84"/>
      <x:c r="R25" s="84"/>
      <x:c r="S25" s="84"/>
      <x:c r="T25" s="84"/>
      <x:c r="U25" s="84"/>
    </x:row>
    <x:row r="26">
      <x:c r="A26" s="122" t="str">
        <x:f>IF(E26="","","E"&amp;TEXT(ROW()-3,"000"))</x:f>
      </x:c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22" t="str">
        <x:f>IF(E26="","",IF(LEFT(TRIM(E26),1)=CHAR(34),IF(F26="","ACTION NEEDED","OK"),"N/A"))</x:f>
      </x:c>
      <x:c r="L26" s="122" t="str">
        <x:f>IF(E26="","",IF(OR(B26="",C26="",D26="",G26=""),"ACTION NEEDED",IF(K26="ACTION NEEDED","ACTION NEEDED","OK")))</x:f>
      </x:c>
      <x:c r="M26" s="113"/>
      <x:c r="N26" s="84"/>
      <x:c r="O26" s="84"/>
      <x:c r="P26" s="84"/>
      <x:c r="Q26" s="84"/>
      <x:c r="R26" s="84"/>
      <x:c r="S26" s="84"/>
      <x:c r="T26" s="84"/>
      <x:c r="U26" s="84"/>
    </x:row>
    <x:row r="27">
      <x:c r="A27" s="122" t="str">
        <x:f>IF(E27="","","E"&amp;TEXT(ROW()-3,"000"))</x:f>
      </x:c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22" t="str">
        <x:f>IF(E27="","",IF(LEFT(TRIM(E27),1)=CHAR(34),IF(F27="","ACTION NEEDED","OK"),"N/A"))</x:f>
      </x:c>
      <x:c r="L27" s="122" t="str">
        <x:f>IF(E27="","",IF(OR(B27="",C27="",D27="",G27=""),"ACTION NEEDED",IF(K27="ACTION NEEDED","ACTION NEEDED","OK")))</x:f>
      </x:c>
      <x:c r="M27" s="113"/>
      <x:c r="N27" s="84"/>
      <x:c r="O27" s="84"/>
      <x:c r="P27" s="84"/>
      <x:c r="Q27" s="84"/>
      <x:c r="R27" s="84"/>
      <x:c r="S27" s="84"/>
      <x:c r="T27" s="84"/>
      <x:c r="U27" s="84"/>
    </x:row>
    <x:row r="28">
      <x:c r="A28" s="122" t="str">
        <x:f>IF(E28="","","E"&amp;TEXT(ROW()-3,"000"))</x:f>
      </x:c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22" t="str">
        <x:f>IF(E28="","",IF(LEFT(TRIM(E28),1)=CHAR(34),IF(F28="","ACTION NEEDED","OK"),"N/A"))</x:f>
      </x:c>
      <x:c r="L28" s="122" t="str">
        <x:f>IF(E28="","",IF(OR(B28="",C28="",D28="",G28=""),"ACTION NEEDED",IF(K28="ACTION NEEDED","ACTION NEEDED","OK")))</x:f>
      </x:c>
      <x:c r="M28" s="113"/>
      <x:c r="N28" s="84"/>
      <x:c r="O28" s="84"/>
      <x:c r="P28" s="84"/>
      <x:c r="Q28" s="84"/>
      <x:c r="R28" s="84"/>
      <x:c r="S28" s="84"/>
      <x:c r="T28" s="84"/>
      <x:c r="U28" s="84"/>
    </x:row>
    <x:row r="29">
      <x:c r="A29" s="122" t="str">
        <x:f>IF(E29="","","E"&amp;TEXT(ROW()-3,"000"))</x:f>
      </x:c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22" t="str">
        <x:f>IF(E29="","",IF(LEFT(TRIM(E29),1)=CHAR(34),IF(F29="","ACTION NEEDED","OK"),"N/A"))</x:f>
      </x:c>
      <x:c r="L29" s="122" t="str">
        <x:f>IF(E29="","",IF(OR(B29="",C29="",D29="",G29=""),"ACTION NEEDED",IF(K29="ACTION NEEDED","ACTION NEEDED","OK")))</x:f>
      </x:c>
      <x:c r="M29" s="113"/>
      <x:c r="N29" s="84"/>
      <x:c r="O29" s="84"/>
      <x:c r="P29" s="84"/>
      <x:c r="Q29" s="84"/>
      <x:c r="R29" s="84"/>
      <x:c r="S29" s="84"/>
      <x:c r="T29" s="84"/>
      <x:c r="U29" s="84"/>
    </x:row>
    <x:row r="30">
      <x:c r="A30" s="122" t="str">
        <x:f>IF(E30="","","E"&amp;TEXT(ROW()-3,"000"))</x:f>
      </x:c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22" t="str">
        <x:f>IF(E30="","",IF(LEFT(TRIM(E30),1)=CHAR(34),IF(F30="","ACTION NEEDED","OK"),"N/A"))</x:f>
      </x:c>
      <x:c r="L30" s="122" t="str">
        <x:f>IF(E30="","",IF(OR(B30="",C30="",D30="",G30=""),"ACTION NEEDED",IF(K30="ACTION NEEDED","ACTION NEEDED","OK")))</x:f>
      </x:c>
      <x:c r="M30" s="113"/>
      <x:c r="N30" s="84"/>
      <x:c r="O30" s="84"/>
      <x:c r="P30" s="84"/>
      <x:c r="Q30" s="84"/>
      <x:c r="R30" s="84"/>
      <x:c r="S30" s="84"/>
      <x:c r="T30" s="84"/>
      <x:c r="U30" s="84"/>
    </x:row>
    <x:row r="31">
      <x:c r="A31" s="122" t="str">
        <x:f>IF(E31="","","E"&amp;TEXT(ROW()-3,"000"))</x:f>
      </x:c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22" t="str">
        <x:f>IF(E31="","",IF(LEFT(TRIM(E31),1)=CHAR(34),IF(F31="","ACTION NEEDED","OK"),"N/A"))</x:f>
      </x:c>
      <x:c r="L31" s="122" t="str">
        <x:f>IF(E31="","",IF(OR(B31="",C31="",D31="",G31=""),"ACTION NEEDED",IF(K31="ACTION NEEDED","ACTION NEEDED","OK")))</x:f>
      </x:c>
      <x:c r="M31" s="113"/>
      <x:c r="N31" s="84"/>
      <x:c r="O31" s="84"/>
      <x:c r="P31" s="84"/>
      <x:c r="Q31" s="84"/>
      <x:c r="R31" s="84"/>
      <x:c r="S31" s="84"/>
      <x:c r="T31" s="84"/>
      <x:c r="U31" s="84"/>
    </x:row>
    <x:row r="32">
      <x:c r="A32" s="122" t="str">
        <x:f>IF(E32="","","E"&amp;TEXT(ROW()-3,"000"))</x:f>
      </x:c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22" t="str">
        <x:f>IF(E32="","",IF(LEFT(TRIM(E32),1)=CHAR(34),IF(F32="","ACTION NEEDED","OK"),"N/A"))</x:f>
      </x:c>
      <x:c r="L32" s="122" t="str">
        <x:f>IF(E32="","",IF(OR(B32="",C32="",D32="",G32=""),"ACTION NEEDED",IF(K32="ACTION NEEDED","ACTION NEEDED","OK")))</x:f>
      </x:c>
      <x:c r="M32" s="113"/>
      <x:c r="N32" s="84"/>
      <x:c r="O32" s="84"/>
      <x:c r="P32" s="84"/>
      <x:c r="Q32" s="84"/>
      <x:c r="R32" s="84"/>
      <x:c r="S32" s="84"/>
      <x:c r="T32" s="84"/>
      <x:c r="U32" s="84"/>
    </x:row>
    <x:row r="33">
      <x:c r="A33" s="122" t="str">
        <x:f>IF(E33="","","E"&amp;TEXT(ROW()-3,"000"))</x:f>
      </x:c>
      <x:c r="B33" s="113"/>
      <x:c r="C33" s="113"/>
      <x:c r="D33" s="113"/>
      <x:c r="E33" s="113"/>
      <x:c r="F33" s="113"/>
      <x:c r="G33" s="113"/>
      <x:c r="H33" s="113"/>
      <x:c r="I33" s="113"/>
      <x:c r="J33" s="113"/>
      <x:c r="K33" s="122" t="str">
        <x:f>IF(E33="","",IF(LEFT(TRIM(E33),1)=CHAR(34),IF(F33="","ACTION NEEDED","OK"),"N/A"))</x:f>
      </x:c>
      <x:c r="L33" s="122" t="str">
        <x:f>IF(E33="","",IF(OR(B33="",C33="",D33="",G33=""),"ACTION NEEDED",IF(K33="ACTION NEEDED","ACTION NEEDED","OK")))</x:f>
      </x:c>
      <x:c r="M33" s="113"/>
      <x:c r="N33" s="84"/>
      <x:c r="O33" s="84"/>
      <x:c r="P33" s="84"/>
      <x:c r="Q33" s="84"/>
      <x:c r="R33" s="84"/>
      <x:c r="S33" s="84"/>
      <x:c r="T33" s="84"/>
      <x:c r="U33" s="84"/>
    </x:row>
    <x:row r="34">
      <x:c r="A34" s="122" t="str">
        <x:f>IF(E34="","","E"&amp;TEXT(ROW()-3,"000"))</x:f>
      </x:c>
      <x:c r="B34" s="113"/>
      <x:c r="C34" s="113"/>
      <x:c r="D34" s="113"/>
      <x:c r="E34" s="113"/>
      <x:c r="F34" s="113"/>
      <x:c r="G34" s="113"/>
      <x:c r="H34" s="113"/>
      <x:c r="I34" s="113"/>
      <x:c r="J34" s="113"/>
      <x:c r="K34" s="122" t="str">
        <x:f>IF(E34="","",IF(LEFT(TRIM(E34),1)=CHAR(34),IF(F34="","ACTION NEEDED","OK"),"N/A"))</x:f>
      </x:c>
      <x:c r="L34" s="122" t="str">
        <x:f>IF(E34="","",IF(OR(B34="",C34="",D34="",G34=""),"ACTION NEEDED",IF(K34="ACTION NEEDED","ACTION NEEDED","OK")))</x:f>
      </x:c>
      <x:c r="M34" s="113"/>
      <x:c r="N34" s="84"/>
      <x:c r="O34" s="84"/>
      <x:c r="P34" s="84"/>
      <x:c r="Q34" s="84"/>
      <x:c r="R34" s="84"/>
      <x:c r="S34" s="84"/>
      <x:c r="T34" s="84"/>
      <x:c r="U34" s="84"/>
    </x:row>
    <x:row r="35">
      <x:c r="A35" s="122" t="str">
        <x:f>IF(E35="","","E"&amp;TEXT(ROW()-3,"000"))</x:f>
      </x:c>
      <x:c r="B35" s="113"/>
      <x:c r="C35" s="113"/>
      <x:c r="D35" s="113"/>
      <x:c r="E35" s="113"/>
      <x:c r="F35" s="113"/>
      <x:c r="G35" s="113"/>
      <x:c r="H35" s="113"/>
      <x:c r="I35" s="113"/>
      <x:c r="J35" s="113"/>
      <x:c r="K35" s="122" t="str">
        <x:f>IF(E35="","",IF(LEFT(TRIM(E35),1)=CHAR(34),IF(F35="","ACTION NEEDED","OK"),"N/A"))</x:f>
      </x:c>
      <x:c r="L35" s="122" t="str">
        <x:f>IF(E35="","",IF(OR(B35="",C35="",D35="",G35=""),"ACTION NEEDED",IF(K35="ACTION NEEDED","ACTION NEEDED","OK")))</x:f>
      </x:c>
      <x:c r="M35" s="113"/>
      <x:c r="N35" s="84"/>
      <x:c r="O35" s="84"/>
      <x:c r="P35" s="84"/>
      <x:c r="Q35" s="84"/>
      <x:c r="R35" s="84"/>
      <x:c r="S35" s="84"/>
      <x:c r="T35" s="84"/>
      <x:c r="U35" s="84"/>
    </x:row>
    <x:row r="36">
      <x:c r="A36" s="122" t="str">
        <x:f>IF(E36="","","E"&amp;TEXT(ROW()-3,"000"))</x:f>
      </x:c>
      <x:c r="B36" s="113"/>
      <x:c r="C36" s="113"/>
      <x:c r="D36" s="113"/>
      <x:c r="E36" s="113"/>
      <x:c r="F36" s="113"/>
      <x:c r="G36" s="113"/>
      <x:c r="H36" s="113"/>
      <x:c r="I36" s="113"/>
      <x:c r="J36" s="113"/>
      <x:c r="K36" s="122" t="str">
        <x:f>IF(E36="","",IF(LEFT(TRIM(E36),1)=CHAR(34),IF(F36="","ACTION NEEDED","OK"),"N/A"))</x:f>
      </x:c>
      <x:c r="L36" s="122" t="str">
        <x:f>IF(E36="","",IF(OR(B36="",C36="",D36="",G36=""),"ACTION NEEDED",IF(K36="ACTION NEEDED","ACTION NEEDED","OK")))</x:f>
      </x:c>
      <x:c r="M36" s="113"/>
      <x:c r="N36" s="84"/>
      <x:c r="O36" s="84"/>
      <x:c r="P36" s="84"/>
      <x:c r="Q36" s="84"/>
      <x:c r="R36" s="84"/>
      <x:c r="S36" s="84"/>
      <x:c r="T36" s="84"/>
      <x:c r="U36" s="84"/>
    </x:row>
    <x:row r="37">
      <x:c r="A37" s="122" t="str">
        <x:f>IF(E37="","","E"&amp;TEXT(ROW()-3,"000"))</x:f>
      </x:c>
      <x:c r="B37" s="113"/>
      <x:c r="C37" s="113"/>
      <x:c r="D37" s="113"/>
      <x:c r="E37" s="113"/>
      <x:c r="F37" s="113"/>
      <x:c r="G37" s="113"/>
      <x:c r="H37" s="113"/>
      <x:c r="I37" s="113"/>
      <x:c r="J37" s="113"/>
      <x:c r="K37" s="122" t="str">
        <x:f>IF(E37="","",IF(LEFT(TRIM(E37),1)=CHAR(34),IF(F37="","ACTION NEEDED","OK"),"N/A"))</x:f>
      </x:c>
      <x:c r="L37" s="122" t="str">
        <x:f>IF(E37="","",IF(OR(B37="",C37="",D37="",G37=""),"ACTION NEEDED",IF(K37="ACTION NEEDED","ACTION NEEDED","OK")))</x:f>
      </x:c>
      <x:c r="M37" s="113"/>
      <x:c r="N37" s="84"/>
      <x:c r="O37" s="84"/>
      <x:c r="P37" s="84"/>
      <x:c r="Q37" s="84"/>
      <x:c r="R37" s="84"/>
      <x:c r="S37" s="84"/>
      <x:c r="T37" s="84"/>
      <x:c r="U37" s="84"/>
    </x:row>
    <x:row r="38">
      <x:c r="A38" s="122" t="str">
        <x:f>IF(E38="","","E"&amp;TEXT(ROW()-3,"000"))</x:f>
      </x:c>
      <x:c r="B38" s="113"/>
      <x:c r="C38" s="113"/>
      <x:c r="D38" s="113"/>
      <x:c r="E38" s="113"/>
      <x:c r="F38" s="113"/>
      <x:c r="G38" s="113"/>
      <x:c r="H38" s="113"/>
      <x:c r="I38" s="113"/>
      <x:c r="J38" s="113"/>
      <x:c r="K38" s="122" t="str">
        <x:f>IF(E38="","",IF(LEFT(TRIM(E38),1)=CHAR(34),IF(F38="","ACTION NEEDED","OK"),"N/A"))</x:f>
      </x:c>
      <x:c r="L38" s="122" t="str">
        <x:f>IF(E38="","",IF(OR(B38="",C38="",D38="",G38=""),"ACTION NEEDED",IF(K38="ACTION NEEDED","ACTION NEEDED","OK")))</x:f>
      </x:c>
      <x:c r="M38" s="113"/>
      <x:c r="N38" s="84"/>
      <x:c r="O38" s="84"/>
      <x:c r="P38" s="84"/>
      <x:c r="Q38" s="84"/>
      <x:c r="R38" s="84"/>
      <x:c r="S38" s="84"/>
      <x:c r="T38" s="84"/>
      <x:c r="U38" s="84"/>
    </x:row>
    <x:row r="39">
      <x:c r="A39" s="122" t="str">
        <x:f>IF(E39="","","E"&amp;TEXT(ROW()-3,"000"))</x:f>
      </x:c>
      <x:c r="B39" s="113"/>
      <x:c r="C39" s="113"/>
      <x:c r="D39" s="113"/>
      <x:c r="E39" s="113"/>
      <x:c r="F39" s="113"/>
      <x:c r="G39" s="113"/>
      <x:c r="H39" s="113"/>
      <x:c r="I39" s="113"/>
      <x:c r="J39" s="113"/>
      <x:c r="K39" s="122" t="str">
        <x:f>IF(E39="","",IF(LEFT(TRIM(E39),1)=CHAR(34),IF(F39="","ACTION NEEDED","OK"),"N/A"))</x:f>
      </x:c>
      <x:c r="L39" s="122" t="str">
        <x:f>IF(E39="","",IF(OR(B39="",C39="",D39="",G39=""),"ACTION NEEDED",IF(K39="ACTION NEEDED","ACTION NEEDED","OK")))</x:f>
      </x:c>
      <x:c r="M39" s="113"/>
      <x:c r="N39" s="84"/>
      <x:c r="O39" s="84"/>
      <x:c r="P39" s="84"/>
      <x:c r="Q39" s="84"/>
      <x:c r="R39" s="84"/>
      <x:c r="S39" s="84"/>
      <x:c r="T39" s="84"/>
      <x:c r="U39" s="84"/>
    </x:row>
    <x:row r="40">
      <x:c r="A40" s="122" t="str">
        <x:f>IF(E40="","","E"&amp;TEXT(ROW()-3,"000"))</x:f>
      </x:c>
      <x:c r="B40" s="113"/>
      <x:c r="C40" s="113"/>
      <x:c r="D40" s="113"/>
      <x:c r="E40" s="113"/>
      <x:c r="F40" s="113"/>
      <x:c r="G40" s="113"/>
      <x:c r="H40" s="113"/>
      <x:c r="I40" s="113"/>
      <x:c r="J40" s="113"/>
      <x:c r="K40" s="122" t="str">
        <x:f>IF(E40="","",IF(LEFT(TRIM(E40),1)=CHAR(34),IF(F40="","ACTION NEEDED","OK"),"N/A"))</x:f>
      </x:c>
      <x:c r="L40" s="122" t="str">
        <x:f>IF(E40="","",IF(OR(B40="",C40="",D40="",G40=""),"ACTION NEEDED",IF(K40="ACTION NEEDED","ACTION NEEDED","OK")))</x:f>
      </x:c>
      <x:c r="M40" s="113"/>
      <x:c r="N40" s="84"/>
      <x:c r="O40" s="84"/>
      <x:c r="P40" s="84"/>
      <x:c r="Q40" s="84"/>
      <x:c r="R40" s="84"/>
      <x:c r="S40" s="84"/>
      <x:c r="T40" s="84"/>
      <x:c r="U40" s="84"/>
    </x:row>
    <x:row r="41">
      <x:c r="A41" s="122" t="str">
        <x:f>IF(E41="","","E"&amp;TEXT(ROW()-3,"000"))</x:f>
      </x:c>
      <x:c r="B41" s="113"/>
      <x:c r="C41" s="113"/>
      <x:c r="D41" s="113"/>
      <x:c r="E41" s="113"/>
      <x:c r="F41" s="113"/>
      <x:c r="G41" s="113"/>
      <x:c r="H41" s="113"/>
      <x:c r="I41" s="113"/>
      <x:c r="J41" s="113"/>
      <x:c r="K41" s="122" t="str">
        <x:f>IF(E41="","",IF(LEFT(TRIM(E41),1)=CHAR(34),IF(F41="","ACTION NEEDED","OK"),"N/A"))</x:f>
      </x:c>
      <x:c r="L41" s="122" t="str">
        <x:f>IF(E41="","",IF(OR(B41="",C41="",D41="",G41=""),"ACTION NEEDED",IF(K41="ACTION NEEDED","ACTION NEEDED","OK")))</x:f>
      </x:c>
      <x:c r="M41" s="113"/>
      <x:c r="N41" s="84"/>
      <x:c r="O41" s="84"/>
      <x:c r="P41" s="84"/>
      <x:c r="Q41" s="84"/>
      <x:c r="R41" s="84"/>
      <x:c r="S41" s="84"/>
      <x:c r="T41" s="84"/>
      <x:c r="U41" s="84"/>
    </x:row>
    <x:row r="42">
      <x:c r="A42" s="122" t="str">
        <x:f>IF(E42="","","E"&amp;TEXT(ROW()-3,"000"))</x:f>
      </x:c>
      <x:c r="B42" s="113"/>
      <x:c r="C42" s="113"/>
      <x:c r="D42" s="113"/>
      <x:c r="E42" s="113"/>
      <x:c r="F42" s="113"/>
      <x:c r="G42" s="113"/>
      <x:c r="H42" s="113"/>
      <x:c r="I42" s="113"/>
      <x:c r="J42" s="113"/>
      <x:c r="K42" s="122" t="str">
        <x:f>IF(E42="","",IF(LEFT(TRIM(E42),1)=CHAR(34),IF(F42="","ACTION NEEDED","OK"),"N/A"))</x:f>
      </x:c>
      <x:c r="L42" s="122" t="str">
        <x:f>IF(E42="","",IF(OR(B42="",C42="",D42="",G42=""),"ACTION NEEDED",IF(K42="ACTION NEEDED","ACTION NEEDED","OK")))</x:f>
      </x:c>
      <x:c r="M42" s="113"/>
      <x:c r="N42" s="84"/>
      <x:c r="O42" s="84"/>
      <x:c r="P42" s="84"/>
      <x:c r="Q42" s="84"/>
      <x:c r="R42" s="84"/>
      <x:c r="S42" s="84"/>
      <x:c r="T42" s="84"/>
      <x:c r="U42" s="84"/>
    </x:row>
    <x:row r="43">
      <x:c r="A43" s="122" t="str">
        <x:f>IF(E43="","","E"&amp;TEXT(ROW()-3,"000"))</x:f>
      </x:c>
      <x:c r="B43" s="113"/>
      <x:c r="C43" s="113"/>
      <x:c r="D43" s="113"/>
      <x:c r="E43" s="113"/>
      <x:c r="F43" s="113"/>
      <x:c r="G43" s="113"/>
      <x:c r="H43" s="113"/>
      <x:c r="I43" s="113"/>
      <x:c r="J43" s="113"/>
      <x:c r="K43" s="122" t="str">
        <x:f>IF(E43="","",IF(LEFT(TRIM(E43),1)=CHAR(34),IF(F43="","ACTION NEEDED","OK"),"N/A"))</x:f>
      </x:c>
      <x:c r="L43" s="122" t="str">
        <x:f>IF(E43="","",IF(OR(B43="",C43="",D43="",G43=""),"ACTION NEEDED",IF(K43="ACTION NEEDED","ACTION NEEDED","OK")))</x:f>
      </x:c>
      <x:c r="M43" s="113"/>
      <x:c r="N43" s="84"/>
      <x:c r="O43" s="84"/>
      <x:c r="P43" s="84"/>
      <x:c r="Q43" s="84"/>
      <x:c r="R43" s="84"/>
      <x:c r="S43" s="84"/>
      <x:c r="T43" s="84"/>
      <x:c r="U43" s="84"/>
    </x:row>
    <x:row r="44">
      <x:c r="A44" s="122" t="str">
        <x:f>IF(E44="","","E"&amp;TEXT(ROW()-3,"000"))</x:f>
      </x:c>
      <x:c r="B44" s="113"/>
      <x:c r="C44" s="113"/>
      <x:c r="D44" s="113"/>
      <x:c r="E44" s="113"/>
      <x:c r="F44" s="113"/>
      <x:c r="G44" s="113"/>
      <x:c r="H44" s="113"/>
      <x:c r="I44" s="113"/>
      <x:c r="J44" s="113"/>
      <x:c r="K44" s="122" t="str">
        <x:f>IF(E44="","",IF(LEFT(TRIM(E44),1)=CHAR(34),IF(F44="","ACTION NEEDED","OK"),"N/A"))</x:f>
      </x:c>
      <x:c r="L44" s="122" t="str">
        <x:f>IF(E44="","",IF(OR(B44="",C44="",D44="",G44=""),"ACTION NEEDED",IF(K44="ACTION NEEDED","ACTION NEEDED","OK")))</x:f>
      </x:c>
      <x:c r="M44" s="113"/>
      <x:c r="N44" s="84"/>
      <x:c r="O44" s="84"/>
      <x:c r="P44" s="84"/>
      <x:c r="Q44" s="84"/>
      <x:c r="R44" s="84"/>
      <x:c r="S44" s="84"/>
      <x:c r="T44" s="84"/>
      <x:c r="U44" s="84"/>
    </x:row>
    <x:row r="45">
      <x:c r="A45" s="122" t="str">
        <x:f>IF(E45="","","E"&amp;TEXT(ROW()-3,"000"))</x:f>
      </x:c>
      <x:c r="B45" s="113"/>
      <x:c r="C45" s="113"/>
      <x:c r="D45" s="113"/>
      <x:c r="E45" s="113"/>
      <x:c r="F45" s="113"/>
      <x:c r="G45" s="113"/>
      <x:c r="H45" s="113"/>
      <x:c r="I45" s="113"/>
      <x:c r="J45" s="113"/>
      <x:c r="K45" s="122" t="str">
        <x:f>IF(E45="","",IF(LEFT(TRIM(E45),1)=CHAR(34),IF(F45="","ACTION NEEDED","OK"),"N/A"))</x:f>
      </x:c>
      <x:c r="L45" s="122" t="str">
        <x:f>IF(E45="","",IF(OR(B45="",C45="",D45="",G45=""),"ACTION NEEDED",IF(K45="ACTION NEEDED","ACTION NEEDED","OK")))</x:f>
      </x:c>
      <x:c r="M45" s="113"/>
      <x:c r="N45" s="84"/>
      <x:c r="O45" s="84"/>
      <x:c r="P45" s="84"/>
      <x:c r="Q45" s="84"/>
      <x:c r="R45" s="84"/>
      <x:c r="S45" s="84"/>
      <x:c r="T45" s="84"/>
      <x:c r="U45" s="84"/>
    </x:row>
    <x:row r="46">
      <x:c r="A46" s="122" t="str">
        <x:f>IF(E46="","","E"&amp;TEXT(ROW()-3,"000"))</x:f>
      </x:c>
      <x:c r="B46" s="113"/>
      <x:c r="C46" s="113"/>
      <x:c r="D46" s="113"/>
      <x:c r="E46" s="113"/>
      <x:c r="F46" s="113"/>
      <x:c r="G46" s="113"/>
      <x:c r="H46" s="113"/>
      <x:c r="I46" s="113"/>
      <x:c r="J46" s="113"/>
      <x:c r="K46" s="122" t="str">
        <x:f>IF(E46="","",IF(LEFT(TRIM(E46),1)=CHAR(34),IF(F46="","ACTION NEEDED","OK"),"N/A"))</x:f>
      </x:c>
      <x:c r="L46" s="122" t="str">
        <x:f>IF(E46="","",IF(OR(B46="",C46="",D46="",G46=""),"ACTION NEEDED",IF(K46="ACTION NEEDED","ACTION NEEDED","OK")))</x:f>
      </x:c>
      <x:c r="M46" s="113"/>
      <x:c r="N46" s="84"/>
      <x:c r="O46" s="84"/>
      <x:c r="P46" s="84"/>
      <x:c r="Q46" s="84"/>
      <x:c r="R46" s="84"/>
      <x:c r="S46" s="84"/>
      <x:c r="T46" s="84"/>
      <x:c r="U46" s="84"/>
    </x:row>
    <x:row r="47">
      <x:c r="A47" s="122" t="str">
        <x:f>IF(E47="","","E"&amp;TEXT(ROW()-3,"000"))</x:f>
      </x:c>
      <x:c r="B47" s="113"/>
      <x:c r="C47" s="113"/>
      <x:c r="D47" s="113"/>
      <x:c r="E47" s="113"/>
      <x:c r="F47" s="113"/>
      <x:c r="G47" s="113"/>
      <x:c r="H47" s="113"/>
      <x:c r="I47" s="113"/>
      <x:c r="J47" s="113"/>
      <x:c r="K47" s="122" t="str">
        <x:f>IF(E47="","",IF(LEFT(TRIM(E47),1)=CHAR(34),IF(F47="","ACTION NEEDED","OK"),"N/A"))</x:f>
      </x:c>
      <x:c r="L47" s="122" t="str">
        <x:f>IF(E47="","",IF(OR(B47="",C47="",D47="",G47=""),"ACTION NEEDED",IF(K47="ACTION NEEDED","ACTION NEEDED","OK")))</x:f>
      </x:c>
      <x:c r="M47" s="113"/>
      <x:c r="N47" s="84"/>
      <x:c r="O47" s="84"/>
      <x:c r="P47" s="84"/>
      <x:c r="Q47" s="84"/>
      <x:c r="R47" s="84"/>
      <x:c r="S47" s="84"/>
      <x:c r="T47" s="84"/>
      <x:c r="U47" s="84"/>
    </x:row>
    <x:row r="48">
      <x:c r="A48" s="122" t="str">
        <x:f>IF(E48="","","E"&amp;TEXT(ROW()-3,"000"))</x:f>
      </x:c>
      <x:c r="B48" s="113"/>
      <x:c r="C48" s="113"/>
      <x:c r="D48" s="113"/>
      <x:c r="E48" s="113"/>
      <x:c r="F48" s="113"/>
      <x:c r="G48" s="113"/>
      <x:c r="H48" s="113"/>
      <x:c r="I48" s="113"/>
      <x:c r="J48" s="113"/>
      <x:c r="K48" s="122" t="str">
        <x:f>IF(E48="","",IF(LEFT(TRIM(E48),1)=CHAR(34),IF(F48="","ACTION NEEDED","OK"),"N/A"))</x:f>
      </x:c>
      <x:c r="L48" s="122" t="str">
        <x:f>IF(E48="","",IF(OR(B48="",C48="",D48="",G48=""),"ACTION NEEDED",IF(K48="ACTION NEEDED","ACTION NEEDED","OK")))</x:f>
      </x:c>
      <x:c r="M48" s="113"/>
      <x:c r="N48" s="84"/>
      <x:c r="O48" s="84"/>
      <x:c r="P48" s="84"/>
      <x:c r="Q48" s="84"/>
      <x:c r="R48" s="84"/>
      <x:c r="S48" s="84"/>
      <x:c r="T48" s="84"/>
      <x:c r="U48" s="84"/>
    </x:row>
    <x:row r="49">
      <x:c r="A49" s="122" t="str">
        <x:f>IF(E49="","","E"&amp;TEXT(ROW()-3,"000"))</x:f>
      </x:c>
      <x:c r="B49" s="113"/>
      <x:c r="C49" s="113"/>
      <x:c r="D49" s="113"/>
      <x:c r="E49" s="113"/>
      <x:c r="F49" s="113"/>
      <x:c r="G49" s="113"/>
      <x:c r="H49" s="113"/>
      <x:c r="I49" s="113"/>
      <x:c r="J49" s="113"/>
      <x:c r="K49" s="122" t="str">
        <x:f>IF(E49="","",IF(LEFT(TRIM(E49),1)=CHAR(34),IF(F49="","ACTION NEEDED","OK"),"N/A"))</x:f>
      </x:c>
      <x:c r="L49" s="122" t="str">
        <x:f>IF(E49="","",IF(OR(B49="",C49="",D49="",G49=""),"ACTION NEEDED",IF(K49="ACTION NEEDED","ACTION NEEDED","OK")))</x:f>
      </x:c>
      <x:c r="M49" s="113"/>
      <x:c r="N49" s="84"/>
      <x:c r="O49" s="84"/>
      <x:c r="P49" s="84"/>
      <x:c r="Q49" s="84"/>
      <x:c r="R49" s="84"/>
      <x:c r="S49" s="84"/>
      <x:c r="T49" s="84"/>
      <x:c r="U49" s="84"/>
    </x:row>
    <x:row r="50">
      <x:c r="A50" s="122" t="str">
        <x:f>IF(E50="","","E"&amp;TEXT(ROW()-3,"000"))</x:f>
      </x:c>
      <x:c r="B50" s="113"/>
      <x:c r="C50" s="113"/>
      <x:c r="D50" s="113"/>
      <x:c r="E50" s="113"/>
      <x:c r="F50" s="113"/>
      <x:c r="G50" s="113"/>
      <x:c r="H50" s="113"/>
      <x:c r="I50" s="113"/>
      <x:c r="J50" s="113"/>
      <x:c r="K50" s="122" t="str">
        <x:f>IF(E50="","",IF(LEFT(TRIM(E50),1)=CHAR(34),IF(F50="","ACTION NEEDED","OK"),"N/A"))</x:f>
      </x:c>
      <x:c r="L50" s="122" t="str">
        <x:f>IF(E50="","",IF(OR(B50="",C50="",D50="",G50=""),"ACTION NEEDED",IF(K50="ACTION NEEDED","ACTION NEEDED","OK")))</x:f>
      </x:c>
      <x:c r="M50" s="113"/>
      <x:c r="N50" s="84"/>
      <x:c r="O50" s="84"/>
      <x:c r="P50" s="84"/>
      <x:c r="Q50" s="84"/>
      <x:c r="R50" s="84"/>
      <x:c r="S50" s="84"/>
      <x:c r="T50" s="84"/>
      <x:c r="U50" s="84"/>
    </x:row>
    <x:row r="51">
      <x:c r="A51" s="122" t="str">
        <x:f>IF(E51="","","E"&amp;TEXT(ROW()-3,"000"))</x:f>
      </x:c>
      <x:c r="B51" s="113"/>
      <x:c r="C51" s="113"/>
      <x:c r="D51" s="113"/>
      <x:c r="E51" s="113"/>
      <x:c r="F51" s="113"/>
      <x:c r="G51" s="113"/>
      <x:c r="H51" s="113"/>
      <x:c r="I51" s="113"/>
      <x:c r="J51" s="113"/>
      <x:c r="K51" s="122" t="str">
        <x:f>IF(E51="","",IF(LEFT(TRIM(E51),1)=CHAR(34),IF(F51="","ACTION NEEDED","OK"),"N/A"))</x:f>
      </x:c>
      <x:c r="L51" s="122" t="str">
        <x:f>IF(E51="","",IF(OR(B51="",C51="",D51="",G51=""),"ACTION NEEDED",IF(K51="ACTION NEEDED","ACTION NEEDED","OK")))</x:f>
      </x:c>
      <x:c r="M51" s="113"/>
      <x:c r="N51" s="84"/>
      <x:c r="O51" s="84"/>
      <x:c r="P51" s="84"/>
      <x:c r="Q51" s="84"/>
      <x:c r="R51" s="84"/>
      <x:c r="S51" s="84"/>
      <x:c r="T51" s="84"/>
      <x:c r="U51" s="84"/>
    </x:row>
    <x:row r="52">
      <x:c r="A52" s="122" t="str">
        <x:f>IF(E52="","","E"&amp;TEXT(ROW()-3,"000"))</x:f>
      </x:c>
      <x:c r="B52" s="113"/>
      <x:c r="C52" s="113"/>
      <x:c r="D52" s="113"/>
      <x:c r="E52" s="113"/>
      <x:c r="F52" s="113"/>
      <x:c r="G52" s="113"/>
      <x:c r="H52" s="113"/>
      <x:c r="I52" s="113"/>
      <x:c r="J52" s="113"/>
      <x:c r="K52" s="122" t="str">
        <x:f>IF(E52="","",IF(LEFT(TRIM(E52),1)=CHAR(34),IF(F52="","ACTION NEEDED","OK"),"N/A"))</x:f>
      </x:c>
      <x:c r="L52" s="122" t="str">
        <x:f>IF(E52="","",IF(OR(B52="",C52="",D52="",G52=""),"ACTION NEEDED",IF(K52="ACTION NEEDED","ACTION NEEDED","OK")))</x:f>
      </x:c>
      <x:c r="M52" s="113"/>
      <x:c r="N52" s="84"/>
      <x:c r="O52" s="84"/>
      <x:c r="P52" s="84"/>
      <x:c r="Q52" s="84"/>
      <x:c r="R52" s="84"/>
      <x:c r="S52" s="84"/>
      <x:c r="T52" s="84"/>
      <x:c r="U52" s="84"/>
    </x:row>
    <x:row r="53">
      <x:c r="A53" s="122" t="str">
        <x:f>IF(E53="","","E"&amp;TEXT(ROW()-3,"000"))</x:f>
      </x:c>
      <x:c r="B53" s="113"/>
      <x:c r="C53" s="113"/>
      <x:c r="D53" s="113"/>
      <x:c r="E53" s="113"/>
      <x:c r="F53" s="113"/>
      <x:c r="G53" s="113"/>
      <x:c r="H53" s="113"/>
      <x:c r="I53" s="113"/>
      <x:c r="J53" s="113"/>
      <x:c r="K53" s="122" t="str">
        <x:f>IF(E53="","",IF(LEFT(TRIM(E53),1)=CHAR(34),IF(F53="","ACTION NEEDED","OK"),"N/A"))</x:f>
      </x:c>
      <x:c r="L53" s="122" t="str">
        <x:f>IF(E53="","",IF(OR(B53="",C53="",D53="",G53=""),"ACTION NEEDED",IF(K53="ACTION NEEDED","ACTION NEEDED","OK")))</x:f>
      </x:c>
      <x:c r="M53" s="113"/>
      <x:c r="N53" s="84"/>
      <x:c r="O53" s="84"/>
      <x:c r="P53" s="84"/>
      <x:c r="Q53" s="84"/>
      <x:c r="R53" s="84"/>
      <x:c r="S53" s="84"/>
      <x:c r="T53" s="84"/>
      <x:c r="U53" s="84"/>
    </x:row>
    <x:row r="54">
      <x:c r="A54" s="122" t="str">
        <x:f>IF(E54="","","E"&amp;TEXT(ROW()-3,"000"))</x:f>
      </x:c>
      <x:c r="B54" s="113"/>
      <x:c r="C54" s="113"/>
      <x:c r="D54" s="113"/>
      <x:c r="E54" s="113"/>
      <x:c r="F54" s="113"/>
      <x:c r="G54" s="113"/>
      <x:c r="H54" s="113"/>
      <x:c r="I54" s="113"/>
      <x:c r="J54" s="113"/>
      <x:c r="K54" s="122" t="str">
        <x:f>IF(E54="","",IF(LEFT(TRIM(E54),1)=CHAR(34),IF(F54="","ACTION NEEDED","OK"),"N/A"))</x:f>
      </x:c>
      <x:c r="L54" s="122" t="str">
        <x:f>IF(E54="","",IF(OR(B54="",C54="",D54="",G54=""),"ACTION NEEDED",IF(K54="ACTION NEEDED","ACTION NEEDED","OK")))</x:f>
      </x:c>
      <x:c r="M54" s="113"/>
      <x:c r="N54" s="84"/>
      <x:c r="O54" s="84"/>
      <x:c r="P54" s="84"/>
      <x:c r="Q54" s="84"/>
      <x:c r="R54" s="84"/>
      <x:c r="S54" s="84"/>
      <x:c r="T54" s="84"/>
      <x:c r="U54" s="84"/>
    </x:row>
    <x:row r="55">
      <x:c r="A55" s="122" t="str">
        <x:f>IF(E55="","","E"&amp;TEXT(ROW()-3,"000"))</x:f>
      </x:c>
      <x:c r="B55" s="113"/>
      <x:c r="C55" s="113"/>
      <x:c r="D55" s="113"/>
      <x:c r="E55" s="113"/>
      <x:c r="F55" s="113"/>
      <x:c r="G55" s="113"/>
      <x:c r="H55" s="113"/>
      <x:c r="I55" s="113"/>
      <x:c r="J55" s="113"/>
      <x:c r="K55" s="122" t="str">
        <x:f>IF(E55="","",IF(LEFT(TRIM(E55),1)=CHAR(34),IF(F55="","ACTION NEEDED","OK"),"N/A"))</x:f>
      </x:c>
      <x:c r="L55" s="122" t="str">
        <x:f>IF(E55="","",IF(OR(B55="",C55="",D55="",G55=""),"ACTION NEEDED",IF(K55="ACTION NEEDED","ACTION NEEDED","OK")))</x:f>
      </x:c>
      <x:c r="M55" s="113"/>
      <x:c r="N55" s="84"/>
      <x:c r="O55" s="84"/>
      <x:c r="P55" s="84"/>
      <x:c r="Q55" s="84"/>
      <x:c r="R55" s="84"/>
      <x:c r="S55" s="84"/>
      <x:c r="T55" s="84"/>
      <x:c r="U55" s="84"/>
    </x:row>
    <x:row r="56">
      <x:c r="A56" s="122" t="str">
        <x:f>IF(E56="","","E"&amp;TEXT(ROW()-3,"000"))</x:f>
      </x:c>
      <x:c r="B56" s="113"/>
      <x:c r="C56" s="113"/>
      <x:c r="D56" s="113"/>
      <x:c r="E56" s="113"/>
      <x:c r="F56" s="113"/>
      <x:c r="G56" s="113"/>
      <x:c r="H56" s="113"/>
      <x:c r="I56" s="113"/>
      <x:c r="J56" s="113"/>
      <x:c r="K56" s="122" t="str">
        <x:f>IF(E56="","",IF(LEFT(TRIM(E56),1)=CHAR(34),IF(F56="","ACTION NEEDED","OK"),"N/A"))</x:f>
      </x:c>
      <x:c r="L56" s="122" t="str">
        <x:f>IF(E56="","",IF(OR(B56="",C56="",D56="",G56=""),"ACTION NEEDED",IF(K56="ACTION NEEDED","ACTION NEEDED","OK")))</x:f>
      </x:c>
      <x:c r="M56" s="113"/>
      <x:c r="N56" s="84"/>
      <x:c r="O56" s="84"/>
      <x:c r="P56" s="84"/>
      <x:c r="Q56" s="84"/>
      <x:c r="R56" s="84"/>
      <x:c r="S56" s="84"/>
      <x:c r="T56" s="84"/>
      <x:c r="U56" s="84"/>
    </x:row>
    <x:row r="57">
      <x:c r="A57" s="122" t="str">
        <x:f>IF(E57="","","E"&amp;TEXT(ROW()-3,"000"))</x:f>
      </x:c>
      <x:c r="B57" s="113"/>
      <x:c r="C57" s="113"/>
      <x:c r="D57" s="113"/>
      <x:c r="E57" s="113"/>
      <x:c r="F57" s="113"/>
      <x:c r="G57" s="113"/>
      <x:c r="H57" s="113"/>
      <x:c r="I57" s="113"/>
      <x:c r="J57" s="113"/>
      <x:c r="K57" s="122" t="str">
        <x:f>IF(E57="","",IF(LEFT(TRIM(E57),1)=CHAR(34),IF(F57="","ACTION NEEDED","OK"),"N/A"))</x:f>
      </x:c>
      <x:c r="L57" s="122" t="str">
        <x:f>IF(E57="","",IF(OR(B57="",C57="",D57="",G57=""),"ACTION NEEDED",IF(K57="ACTION NEEDED","ACTION NEEDED","OK")))</x:f>
      </x:c>
      <x:c r="M57" s="113"/>
      <x:c r="N57" s="84"/>
      <x:c r="O57" s="84"/>
      <x:c r="P57" s="84"/>
      <x:c r="Q57" s="84"/>
      <x:c r="R57" s="84"/>
      <x:c r="S57" s="84"/>
      <x:c r="T57" s="84"/>
      <x:c r="U57" s="84"/>
    </x:row>
    <x:row r="58">
      <x:c r="A58" s="122" t="str">
        <x:f>IF(E58="","","E"&amp;TEXT(ROW()-3,"000"))</x:f>
      </x:c>
      <x:c r="B58" s="113"/>
      <x:c r="C58" s="113"/>
      <x:c r="D58" s="113"/>
      <x:c r="E58" s="113"/>
      <x:c r="F58" s="113"/>
      <x:c r="G58" s="113"/>
      <x:c r="H58" s="113"/>
      <x:c r="I58" s="113"/>
      <x:c r="J58" s="113"/>
      <x:c r="K58" s="122" t="str">
        <x:f>IF(E58="","",IF(LEFT(TRIM(E58),1)=CHAR(34),IF(F58="","ACTION NEEDED","OK"),"N/A"))</x:f>
      </x:c>
      <x:c r="L58" s="122" t="str">
        <x:f>IF(E58="","",IF(OR(B58="",C58="",D58="",G58=""),"ACTION NEEDED",IF(K58="ACTION NEEDED","ACTION NEEDED","OK")))</x:f>
      </x:c>
      <x:c r="M58" s="113"/>
      <x:c r="N58" s="84"/>
      <x:c r="O58" s="84"/>
      <x:c r="P58" s="84"/>
      <x:c r="Q58" s="84"/>
      <x:c r="R58" s="84"/>
      <x:c r="S58" s="84"/>
      <x:c r="T58" s="84"/>
      <x:c r="U58" s="84"/>
    </x:row>
    <x:row r="59">
      <x:c r="A59" s="122" t="str">
        <x:f>IF(E59="","","E"&amp;TEXT(ROW()-3,"000"))</x:f>
      </x:c>
      <x:c r="B59" s="113"/>
      <x:c r="C59" s="113"/>
      <x:c r="D59" s="113"/>
      <x:c r="E59" s="113"/>
      <x:c r="F59" s="113"/>
      <x:c r="G59" s="113"/>
      <x:c r="H59" s="113"/>
      <x:c r="I59" s="113"/>
      <x:c r="J59" s="113"/>
      <x:c r="K59" s="122" t="str">
        <x:f>IF(E59="","",IF(LEFT(TRIM(E59),1)=CHAR(34),IF(F59="","ACTION NEEDED","OK"),"N/A"))</x:f>
      </x:c>
      <x:c r="L59" s="122" t="str">
        <x:f>IF(E59="","",IF(OR(B59="",C59="",D59="",G59=""),"ACTION NEEDED",IF(K59="ACTION NEEDED","ACTION NEEDED","OK")))</x:f>
      </x:c>
      <x:c r="M59" s="113"/>
      <x:c r="N59" s="84"/>
      <x:c r="O59" s="84"/>
      <x:c r="P59" s="84"/>
      <x:c r="Q59" s="84"/>
      <x:c r="R59" s="84"/>
      <x:c r="S59" s="84"/>
      <x:c r="T59" s="84"/>
      <x:c r="U59" s="84"/>
    </x:row>
    <x:row r="60">
      <x:c r="A60" s="122" t="str">
        <x:f>IF(E60="","","E"&amp;TEXT(ROW()-3,"000"))</x:f>
      </x:c>
      <x:c r="B60" s="113"/>
      <x:c r="C60" s="113"/>
      <x:c r="D60" s="113"/>
      <x:c r="E60" s="113"/>
      <x:c r="F60" s="113"/>
      <x:c r="G60" s="113"/>
      <x:c r="H60" s="113"/>
      <x:c r="I60" s="113"/>
      <x:c r="J60" s="113"/>
      <x:c r="K60" s="122" t="str">
        <x:f>IF(E60="","",IF(LEFT(TRIM(E60),1)=CHAR(34),IF(F60="","ACTION NEEDED","OK"),"N/A"))</x:f>
      </x:c>
      <x:c r="L60" s="122" t="str">
        <x:f>IF(E60="","",IF(OR(B60="",C60="",D60="",G60=""),"ACTION NEEDED",IF(K60="ACTION NEEDED","ACTION NEEDED","OK")))</x:f>
      </x:c>
      <x:c r="M60" s="113"/>
      <x:c r="N60" s="84"/>
      <x:c r="O60" s="84"/>
      <x:c r="P60" s="84"/>
      <x:c r="Q60" s="84"/>
      <x:c r="R60" s="84"/>
      <x:c r="S60" s="84"/>
      <x:c r="T60" s="84"/>
      <x:c r="U60" s="84"/>
    </x:row>
    <x:row r="61">
      <x:c r="A61" s="122" t="str">
        <x:f>IF(E61="","","E"&amp;TEXT(ROW()-3,"000"))</x:f>
      </x:c>
      <x:c r="B61" s="113"/>
      <x:c r="C61" s="113"/>
      <x:c r="D61" s="113"/>
      <x:c r="E61" s="113"/>
      <x:c r="F61" s="113"/>
      <x:c r="G61" s="113"/>
      <x:c r="H61" s="113"/>
      <x:c r="I61" s="113"/>
      <x:c r="J61" s="113"/>
      <x:c r="K61" s="122" t="str">
        <x:f>IF(E61="","",IF(LEFT(TRIM(E61),1)=CHAR(34),IF(F61="","ACTION NEEDED","OK"),"N/A"))</x:f>
      </x:c>
      <x:c r="L61" s="122" t="str">
        <x:f>IF(E61="","",IF(OR(B61="",C61="",D61="",G61=""),"ACTION NEEDED",IF(K61="ACTION NEEDED","ACTION NEEDED","OK")))</x:f>
      </x:c>
      <x:c r="M61" s="113"/>
      <x:c r="N61" s="84"/>
      <x:c r="O61" s="84"/>
      <x:c r="P61" s="84"/>
      <x:c r="Q61" s="84"/>
      <x:c r="R61" s="84"/>
      <x:c r="S61" s="84"/>
      <x:c r="T61" s="84"/>
      <x:c r="U61" s="84"/>
    </x:row>
    <x:row r="62">
      <x:c r="A62" s="122" t="str">
        <x:f>IF(E62="","","E"&amp;TEXT(ROW()-3,"000"))</x:f>
      </x:c>
      <x:c r="B62" s="113"/>
      <x:c r="C62" s="113"/>
      <x:c r="D62" s="113"/>
      <x:c r="E62" s="113"/>
      <x:c r="F62" s="113"/>
      <x:c r="G62" s="113"/>
      <x:c r="H62" s="113"/>
      <x:c r="I62" s="113"/>
      <x:c r="J62" s="113"/>
      <x:c r="K62" s="122" t="str">
        <x:f>IF(E62="","",IF(LEFT(TRIM(E62),1)=CHAR(34),IF(F62="","ACTION NEEDED","OK"),"N/A"))</x:f>
      </x:c>
      <x:c r="L62" s="122" t="str">
        <x:f>IF(E62="","",IF(OR(B62="",C62="",D62="",G62=""),"ACTION NEEDED",IF(K62="ACTION NEEDED","ACTION NEEDED","OK")))</x:f>
      </x:c>
      <x:c r="M62" s="113"/>
      <x:c r="N62" s="84"/>
      <x:c r="O62" s="84"/>
      <x:c r="P62" s="84"/>
      <x:c r="Q62" s="84"/>
      <x:c r="R62" s="84"/>
      <x:c r="S62" s="84"/>
      <x:c r="T62" s="84"/>
      <x:c r="U62" s="84"/>
    </x:row>
    <x:row r="63">
      <x:c r="A63" s="122" t="str">
        <x:f>IF(E63="","","E"&amp;TEXT(ROW()-3,"000"))</x:f>
      </x:c>
      <x:c r="B63" s="113"/>
      <x:c r="C63" s="113"/>
      <x:c r="D63" s="113"/>
      <x:c r="E63" s="113"/>
      <x:c r="F63" s="113"/>
      <x:c r="G63" s="113"/>
      <x:c r="H63" s="113"/>
      <x:c r="I63" s="113"/>
      <x:c r="J63" s="113"/>
      <x:c r="K63" s="122" t="str">
        <x:f>IF(E63="","",IF(LEFT(TRIM(E63),1)=CHAR(34),IF(F63="","ACTION NEEDED","OK"),"N/A"))</x:f>
      </x:c>
      <x:c r="L63" s="122" t="str">
        <x:f>IF(E63="","",IF(OR(B63="",C63="",D63="",G63=""),"ACTION NEEDED",IF(K63="ACTION NEEDED","ACTION NEEDED","OK")))</x:f>
      </x:c>
      <x:c r="M63" s="113"/>
      <x:c r="N63" s="84"/>
      <x:c r="O63" s="84"/>
      <x:c r="P63" s="84"/>
      <x:c r="Q63" s="84"/>
      <x:c r="R63" s="84"/>
      <x:c r="S63" s="84"/>
      <x:c r="T63" s="84"/>
      <x:c r="U63" s="84"/>
    </x:row>
    <x:row r="64">
      <x:c r="A64" s="122" t="str">
        <x:f>IF(E64="","","E"&amp;TEXT(ROW()-3,"000"))</x:f>
      </x:c>
      <x:c r="B64" s="113"/>
      <x:c r="C64" s="113"/>
      <x:c r="D64" s="113"/>
      <x:c r="E64" s="113"/>
      <x:c r="F64" s="113"/>
      <x:c r="G64" s="113"/>
      <x:c r="H64" s="113"/>
      <x:c r="I64" s="113"/>
      <x:c r="J64" s="113"/>
      <x:c r="K64" s="122" t="str">
        <x:f>IF(E64="","",IF(LEFT(TRIM(E64),1)=CHAR(34),IF(F64="","ACTION NEEDED","OK"),"N/A"))</x:f>
      </x:c>
      <x:c r="L64" s="122" t="str">
        <x:f>IF(E64="","",IF(OR(B64="",C64="",D64="",G64=""),"ACTION NEEDED",IF(K64="ACTION NEEDED","ACTION NEEDED","OK")))</x:f>
      </x:c>
      <x:c r="M64" s="113"/>
      <x:c r="N64" s="84"/>
      <x:c r="O64" s="84"/>
      <x:c r="P64" s="84"/>
      <x:c r="Q64" s="84"/>
      <x:c r="R64" s="84"/>
      <x:c r="S64" s="84"/>
      <x:c r="T64" s="84"/>
      <x:c r="U64" s="84"/>
    </x:row>
    <x:row r="65">
      <x:c r="A65" s="122" t="str">
        <x:f>IF(E65="","","E"&amp;TEXT(ROW()-3,"000"))</x:f>
      </x:c>
      <x:c r="B65" s="113"/>
      <x:c r="C65" s="113"/>
      <x:c r="D65" s="113"/>
      <x:c r="E65" s="113"/>
      <x:c r="F65" s="113"/>
      <x:c r="G65" s="113"/>
      <x:c r="H65" s="113"/>
      <x:c r="I65" s="113"/>
      <x:c r="J65" s="113"/>
      <x:c r="K65" s="122" t="str">
        <x:f>IF(E65="","",IF(LEFT(TRIM(E65),1)=CHAR(34),IF(F65="","ACTION NEEDED","OK"),"N/A"))</x:f>
      </x:c>
      <x:c r="L65" s="122" t="str">
        <x:f>IF(E65="","",IF(OR(B65="",C65="",D65="",G65=""),"ACTION NEEDED",IF(K65="ACTION NEEDED","ACTION NEEDED","OK")))</x:f>
      </x:c>
      <x:c r="M65" s="113"/>
      <x:c r="N65" s="84"/>
      <x:c r="O65" s="84"/>
      <x:c r="P65" s="84"/>
      <x:c r="Q65" s="84"/>
      <x:c r="R65" s="84"/>
      <x:c r="S65" s="84"/>
      <x:c r="T65" s="84"/>
      <x:c r="U65" s="84"/>
    </x:row>
    <x:row r="66">
      <x:c r="A66" s="122" t="str">
        <x:f>IF(E66="","","E"&amp;TEXT(ROW()-3,"000"))</x:f>
      </x:c>
      <x:c r="B66" s="113"/>
      <x:c r="C66" s="113"/>
      <x:c r="D66" s="113"/>
      <x:c r="E66" s="113"/>
      <x:c r="F66" s="113"/>
      <x:c r="G66" s="113"/>
      <x:c r="H66" s="113"/>
      <x:c r="I66" s="113"/>
      <x:c r="J66" s="113"/>
      <x:c r="K66" s="122" t="str">
        <x:f>IF(E66="","",IF(LEFT(TRIM(E66),1)=CHAR(34),IF(F66="","ACTION NEEDED","OK"),"N/A"))</x:f>
      </x:c>
      <x:c r="L66" s="122" t="str">
        <x:f>IF(E66="","",IF(OR(B66="",C66="",D66="",G66=""),"ACTION NEEDED",IF(K66="ACTION NEEDED","ACTION NEEDED","OK")))</x:f>
      </x:c>
      <x:c r="M66" s="113"/>
      <x:c r="N66" s="84"/>
      <x:c r="O66" s="84"/>
      <x:c r="P66" s="84"/>
      <x:c r="Q66" s="84"/>
      <x:c r="R66" s="84"/>
      <x:c r="S66" s="84"/>
      <x:c r="T66" s="84"/>
      <x:c r="U66" s="84"/>
    </x:row>
    <x:row r="67">
      <x:c r="A67" s="122" t="str">
        <x:f>IF(E67="","","E"&amp;TEXT(ROW()-3,"000"))</x:f>
      </x:c>
      <x:c r="B67" s="113"/>
      <x:c r="C67" s="113"/>
      <x:c r="D67" s="113"/>
      <x:c r="E67" s="113"/>
      <x:c r="F67" s="113"/>
      <x:c r="G67" s="113"/>
      <x:c r="H67" s="113"/>
      <x:c r="I67" s="113"/>
      <x:c r="J67" s="113"/>
      <x:c r="K67" s="122" t="str">
        <x:f>IF(E67="","",IF(LEFT(TRIM(E67),1)=CHAR(34),IF(F67="","ACTION NEEDED","OK"),"N/A"))</x:f>
      </x:c>
      <x:c r="L67" s="122" t="str">
        <x:f>IF(E67="","",IF(OR(B67="",C67="",D67="",G67=""),"ACTION NEEDED",IF(K67="ACTION NEEDED","ACTION NEEDED","OK")))</x:f>
      </x:c>
      <x:c r="M67" s="113"/>
      <x:c r="N67" s="84"/>
      <x:c r="O67" s="84"/>
      <x:c r="P67" s="84"/>
      <x:c r="Q67" s="84"/>
      <x:c r="R67" s="84"/>
      <x:c r="S67" s="84"/>
      <x:c r="T67" s="84"/>
      <x:c r="U67" s="84"/>
    </x:row>
    <x:row r="68">
      <x:c r="A68" s="122" t="str">
        <x:f>IF(E68="","","E"&amp;TEXT(ROW()-3,"000"))</x:f>
      </x:c>
      <x:c r="B68" s="113"/>
      <x:c r="C68" s="113"/>
      <x:c r="D68" s="113"/>
      <x:c r="E68" s="113"/>
      <x:c r="F68" s="113"/>
      <x:c r="G68" s="113"/>
      <x:c r="H68" s="113"/>
      <x:c r="I68" s="113"/>
      <x:c r="J68" s="113"/>
      <x:c r="K68" s="122" t="str">
        <x:f>IF(E68="","",IF(LEFT(TRIM(E68),1)=CHAR(34),IF(F68="","ACTION NEEDED","OK"),"N/A"))</x:f>
      </x:c>
      <x:c r="L68" s="122" t="str">
        <x:f>IF(E68="","",IF(OR(B68="",C68="",D68="",G68=""),"ACTION NEEDED",IF(K68="ACTION NEEDED","ACTION NEEDED","OK")))</x:f>
      </x:c>
      <x:c r="M68" s="113"/>
      <x:c r="N68" s="84"/>
      <x:c r="O68" s="84"/>
      <x:c r="P68" s="84"/>
      <x:c r="Q68" s="84"/>
      <x:c r="R68" s="84"/>
      <x:c r="S68" s="84"/>
      <x:c r="T68" s="84"/>
      <x:c r="U68" s="84"/>
    </x:row>
    <x:row r="69">
      <x:c r="A69" s="122" t="str">
        <x:f>IF(E69="","","E"&amp;TEXT(ROW()-3,"000"))</x:f>
      </x:c>
      <x:c r="B69" s="113"/>
      <x:c r="C69" s="113"/>
      <x:c r="D69" s="113"/>
      <x:c r="E69" s="113"/>
      <x:c r="F69" s="113"/>
      <x:c r="G69" s="113"/>
      <x:c r="H69" s="113"/>
      <x:c r="I69" s="113"/>
      <x:c r="J69" s="113"/>
      <x:c r="K69" s="122" t="str">
        <x:f>IF(E69="","",IF(LEFT(TRIM(E69),1)=CHAR(34),IF(F69="","ACTION NEEDED","OK"),"N/A"))</x:f>
      </x:c>
      <x:c r="L69" s="122" t="str">
        <x:f>IF(E69="","",IF(OR(B69="",C69="",D69="",G69=""),"ACTION NEEDED",IF(K69="ACTION NEEDED","ACTION NEEDED","OK")))</x:f>
      </x:c>
      <x:c r="M69" s="113"/>
      <x:c r="N69" s="84"/>
      <x:c r="O69" s="84"/>
      <x:c r="P69" s="84"/>
      <x:c r="Q69" s="84"/>
      <x:c r="R69" s="84"/>
      <x:c r="S69" s="84"/>
      <x:c r="T69" s="84"/>
      <x:c r="U69" s="84"/>
    </x:row>
    <x:row r="70">
      <x:c r="A70" s="122" t="str">
        <x:f>IF(E70="","","E"&amp;TEXT(ROW()-3,"000"))</x:f>
      </x:c>
      <x:c r="B70" s="113"/>
      <x:c r="C70" s="113"/>
      <x:c r="D70" s="113"/>
      <x:c r="E70" s="113"/>
      <x:c r="F70" s="113"/>
      <x:c r="G70" s="113"/>
      <x:c r="H70" s="113"/>
      <x:c r="I70" s="113"/>
      <x:c r="J70" s="113"/>
      <x:c r="K70" s="122" t="str">
        <x:f>IF(E70="","",IF(LEFT(TRIM(E70),1)=CHAR(34),IF(F70="","ACTION NEEDED","OK"),"N/A"))</x:f>
      </x:c>
      <x:c r="L70" s="122" t="str">
        <x:f>IF(E70="","",IF(OR(B70="",C70="",D70="",G70=""),"ACTION NEEDED",IF(K70="ACTION NEEDED","ACTION NEEDED","OK")))</x:f>
      </x:c>
      <x:c r="M70" s="113"/>
      <x:c r="N70" s="84"/>
      <x:c r="O70" s="84"/>
      <x:c r="P70" s="84"/>
      <x:c r="Q70" s="84"/>
      <x:c r="R70" s="84"/>
      <x:c r="S70" s="84"/>
      <x:c r="T70" s="84"/>
      <x:c r="U70" s="84"/>
    </x:row>
    <x:row r="71">
      <x:c r="A71" s="122" t="str">
        <x:f>IF(E71="","","E"&amp;TEXT(ROW()-3,"000"))</x:f>
      </x:c>
      <x:c r="B71" s="113"/>
      <x:c r="C71" s="113"/>
      <x:c r="D71" s="113"/>
      <x:c r="E71" s="113"/>
      <x:c r="F71" s="113"/>
      <x:c r="G71" s="113"/>
      <x:c r="H71" s="113"/>
      <x:c r="I71" s="113"/>
      <x:c r="J71" s="113"/>
      <x:c r="K71" s="122" t="str">
        <x:f>IF(E71="","",IF(LEFT(TRIM(E71),1)=CHAR(34),IF(F71="","ACTION NEEDED","OK"),"N/A"))</x:f>
      </x:c>
      <x:c r="L71" s="122" t="str">
        <x:f>IF(E71="","",IF(OR(B71="",C71="",D71="",G71=""),"ACTION NEEDED",IF(K71="ACTION NEEDED","ACTION NEEDED","OK")))</x:f>
      </x:c>
      <x:c r="M71" s="113"/>
      <x:c r="N71" s="84"/>
      <x:c r="O71" s="84"/>
      <x:c r="P71" s="84"/>
      <x:c r="Q71" s="84"/>
      <x:c r="R71" s="84"/>
      <x:c r="S71" s="84"/>
      <x:c r="T71" s="84"/>
      <x:c r="U71" s="84"/>
    </x:row>
    <x:row r="72">
      <x:c r="A72" s="122" t="str">
        <x:f>IF(E72="","","E"&amp;TEXT(ROW()-3,"000"))</x:f>
      </x:c>
      <x:c r="B72" s="113"/>
      <x:c r="C72" s="113"/>
      <x:c r="D72" s="113"/>
      <x:c r="E72" s="113"/>
      <x:c r="F72" s="113"/>
      <x:c r="G72" s="113"/>
      <x:c r="H72" s="113"/>
      <x:c r="I72" s="113"/>
      <x:c r="J72" s="113"/>
      <x:c r="K72" s="122" t="str">
        <x:f>IF(E72="","",IF(LEFT(TRIM(E72),1)=CHAR(34),IF(F72="","ACTION NEEDED","OK"),"N/A"))</x:f>
      </x:c>
      <x:c r="L72" s="122" t="str">
        <x:f>IF(E72="","",IF(OR(B72="",C72="",D72="",G72=""),"ACTION NEEDED",IF(K72="ACTION NEEDED","ACTION NEEDED","OK")))</x:f>
      </x:c>
      <x:c r="M72" s="113"/>
      <x:c r="N72" s="84"/>
      <x:c r="O72" s="84"/>
      <x:c r="P72" s="84"/>
      <x:c r="Q72" s="84"/>
      <x:c r="R72" s="84"/>
      <x:c r="S72" s="84"/>
      <x:c r="T72" s="84"/>
      <x:c r="U72" s="84"/>
    </x:row>
    <x:row r="73">
      <x:c r="A73" s="122" t="str">
        <x:f>IF(E73="","","E"&amp;TEXT(ROW()-3,"000"))</x:f>
      </x:c>
      <x:c r="B73" s="113"/>
      <x:c r="C73" s="113"/>
      <x:c r="D73" s="113"/>
      <x:c r="E73" s="113"/>
      <x:c r="F73" s="113"/>
      <x:c r="G73" s="113"/>
      <x:c r="H73" s="113"/>
      <x:c r="I73" s="113"/>
      <x:c r="J73" s="113"/>
      <x:c r="K73" s="122" t="str">
        <x:f>IF(E73="","",IF(LEFT(TRIM(E73),1)=CHAR(34),IF(F73="","ACTION NEEDED","OK"),"N/A"))</x:f>
      </x:c>
      <x:c r="L73" s="122" t="str">
        <x:f>IF(E73="","",IF(OR(B73="",C73="",D73="",G73=""),"ACTION NEEDED",IF(K73="ACTION NEEDED","ACTION NEEDED","OK")))</x:f>
      </x:c>
      <x:c r="M73" s="113"/>
      <x:c r="N73" s="84"/>
      <x:c r="O73" s="84"/>
      <x:c r="P73" s="84"/>
      <x:c r="Q73" s="84"/>
      <x:c r="R73" s="84"/>
      <x:c r="S73" s="84"/>
      <x:c r="T73" s="84"/>
      <x:c r="U73" s="84"/>
    </x:row>
    <x:row r="74">
      <x:c r="A74" s="122" t="str">
        <x:f>IF(E74="","","E"&amp;TEXT(ROW()-3,"000"))</x:f>
      </x:c>
      <x:c r="B74" s="113"/>
      <x:c r="C74" s="113"/>
      <x:c r="D74" s="113"/>
      <x:c r="E74" s="113"/>
      <x:c r="F74" s="113"/>
      <x:c r="G74" s="113"/>
      <x:c r="H74" s="113"/>
      <x:c r="I74" s="113"/>
      <x:c r="J74" s="113"/>
      <x:c r="K74" s="122" t="str">
        <x:f>IF(E74="","",IF(LEFT(TRIM(E74),1)=CHAR(34),IF(F74="","ACTION NEEDED","OK"),"N/A"))</x:f>
      </x:c>
      <x:c r="L74" s="122" t="str">
        <x:f>IF(E74="","",IF(OR(B74="",C74="",D74="",G74=""),"ACTION NEEDED",IF(K74="ACTION NEEDED","ACTION NEEDED","OK")))</x:f>
      </x:c>
      <x:c r="M74" s="113"/>
      <x:c r="N74" s="84"/>
      <x:c r="O74" s="84"/>
      <x:c r="P74" s="84"/>
      <x:c r="Q74" s="84"/>
      <x:c r="R74" s="84"/>
      <x:c r="S74" s="84"/>
      <x:c r="T74" s="84"/>
      <x:c r="U74" s="84"/>
    </x:row>
    <x:row r="75">
      <x:c r="A75" s="122" t="str">
        <x:f>IF(E75="","","E"&amp;TEXT(ROW()-3,"000"))</x:f>
      </x:c>
      <x:c r="B75" s="113"/>
      <x:c r="C75" s="113"/>
      <x:c r="D75" s="113"/>
      <x:c r="E75" s="113"/>
      <x:c r="F75" s="113"/>
      <x:c r="G75" s="113"/>
      <x:c r="H75" s="113"/>
      <x:c r="I75" s="113"/>
      <x:c r="J75" s="113"/>
      <x:c r="K75" s="122" t="str">
        <x:f>IF(E75="","",IF(LEFT(TRIM(E75),1)=CHAR(34),IF(F75="","ACTION NEEDED","OK"),"N/A"))</x:f>
      </x:c>
      <x:c r="L75" s="122" t="str">
        <x:f>IF(E75="","",IF(OR(B75="",C75="",D75="",G75=""),"ACTION NEEDED",IF(K75="ACTION NEEDED","ACTION NEEDED","OK")))</x:f>
      </x:c>
      <x:c r="M75" s="113"/>
      <x:c r="N75" s="84"/>
      <x:c r="O75" s="84"/>
      <x:c r="P75" s="84"/>
      <x:c r="Q75" s="84"/>
      <x:c r="R75" s="84"/>
      <x:c r="S75" s="84"/>
      <x:c r="T75" s="84"/>
      <x:c r="U75" s="84"/>
    </x:row>
    <x:row r="76">
      <x:c r="A76" s="122" t="str">
        <x:f>IF(E76="","","E"&amp;TEXT(ROW()-3,"000"))</x:f>
      </x:c>
      <x:c r="B76" s="113"/>
      <x:c r="C76" s="113"/>
      <x:c r="D76" s="113"/>
      <x:c r="E76" s="113"/>
      <x:c r="F76" s="113"/>
      <x:c r="G76" s="113"/>
      <x:c r="H76" s="113"/>
      <x:c r="I76" s="113"/>
      <x:c r="J76" s="113"/>
      <x:c r="K76" s="122" t="str">
        <x:f>IF(E76="","",IF(LEFT(TRIM(E76),1)=CHAR(34),IF(F76="","ACTION NEEDED","OK"),"N/A"))</x:f>
      </x:c>
      <x:c r="L76" s="122" t="str">
        <x:f>IF(E76="","",IF(OR(B76="",C76="",D76="",G76=""),"ACTION NEEDED",IF(K76="ACTION NEEDED","ACTION NEEDED","OK")))</x:f>
      </x:c>
      <x:c r="M76" s="113"/>
      <x:c r="N76" s="84"/>
      <x:c r="O76" s="84"/>
      <x:c r="P76" s="84"/>
      <x:c r="Q76" s="84"/>
      <x:c r="R76" s="84"/>
      <x:c r="S76" s="84"/>
      <x:c r="T76" s="84"/>
      <x:c r="U76" s="84"/>
    </x:row>
    <x:row r="77">
      <x:c r="A77" s="122" t="str">
        <x:f>IF(E77="","","E"&amp;TEXT(ROW()-3,"000"))</x:f>
      </x:c>
      <x:c r="B77" s="113"/>
      <x:c r="C77" s="113"/>
      <x:c r="D77" s="113"/>
      <x:c r="E77" s="113"/>
      <x:c r="F77" s="113"/>
      <x:c r="G77" s="113"/>
      <x:c r="H77" s="113"/>
      <x:c r="I77" s="113"/>
      <x:c r="J77" s="113"/>
      <x:c r="K77" s="122" t="str">
        <x:f>IF(E77="","",IF(LEFT(TRIM(E77),1)=CHAR(34),IF(F77="","ACTION NEEDED","OK"),"N/A"))</x:f>
      </x:c>
      <x:c r="L77" s="122" t="str">
        <x:f>IF(E77="","",IF(OR(B77="",C77="",D77="",G77=""),"ACTION NEEDED",IF(K77="ACTION NEEDED","ACTION NEEDED","OK")))</x:f>
      </x:c>
      <x:c r="M77" s="113"/>
      <x:c r="N77" s="84"/>
      <x:c r="O77" s="84"/>
      <x:c r="P77" s="84"/>
      <x:c r="Q77" s="84"/>
      <x:c r="R77" s="84"/>
      <x:c r="S77" s="84"/>
      <x:c r="T77" s="84"/>
      <x:c r="U77" s="84"/>
    </x:row>
    <x:row r="78">
      <x:c r="A78" s="122" t="str">
        <x:f>IF(E78="","","E"&amp;TEXT(ROW()-3,"000"))</x:f>
      </x:c>
      <x:c r="B78" s="113"/>
      <x:c r="C78" s="113"/>
      <x:c r="D78" s="113"/>
      <x:c r="E78" s="113"/>
      <x:c r="F78" s="113"/>
      <x:c r="G78" s="113"/>
      <x:c r="H78" s="113"/>
      <x:c r="I78" s="113"/>
      <x:c r="J78" s="113"/>
      <x:c r="K78" s="122" t="str">
        <x:f>IF(E78="","",IF(LEFT(TRIM(E78),1)=CHAR(34),IF(F78="","ACTION NEEDED","OK"),"N/A"))</x:f>
      </x:c>
      <x:c r="L78" s="122" t="str">
        <x:f>IF(E78="","",IF(OR(B78="",C78="",D78="",G78=""),"ACTION NEEDED",IF(K78="ACTION NEEDED","ACTION NEEDED","OK")))</x:f>
      </x:c>
      <x:c r="M78" s="113"/>
      <x:c r="N78" s="84"/>
      <x:c r="O78" s="84"/>
      <x:c r="P78" s="84"/>
      <x:c r="Q78" s="84"/>
      <x:c r="R78" s="84"/>
      <x:c r="S78" s="84"/>
      <x:c r="T78" s="84"/>
      <x:c r="U78" s="84"/>
    </x:row>
    <x:row r="79">
      <x:c r="A79" s="122" t="str">
        <x:f>IF(E79="","","E"&amp;TEXT(ROW()-3,"000"))</x:f>
      </x:c>
      <x:c r="B79" s="113"/>
      <x:c r="C79" s="113"/>
      <x:c r="D79" s="113"/>
      <x:c r="E79" s="113"/>
      <x:c r="F79" s="113"/>
      <x:c r="G79" s="113"/>
      <x:c r="H79" s="113"/>
      <x:c r="I79" s="113"/>
      <x:c r="J79" s="113"/>
      <x:c r="K79" s="122" t="str">
        <x:f>IF(E79="","",IF(LEFT(TRIM(E79),1)=CHAR(34),IF(F79="","ACTION NEEDED","OK"),"N/A"))</x:f>
      </x:c>
      <x:c r="L79" s="122" t="str">
        <x:f>IF(E79="","",IF(OR(B79="",C79="",D79="",G79=""),"ACTION NEEDED",IF(K79="ACTION NEEDED","ACTION NEEDED","OK")))</x:f>
      </x:c>
      <x:c r="M79" s="113"/>
      <x:c r="N79" s="84"/>
      <x:c r="O79" s="84"/>
      <x:c r="P79" s="84"/>
      <x:c r="Q79" s="84"/>
      <x:c r="R79" s="84"/>
      <x:c r="S79" s="84"/>
      <x:c r="T79" s="84"/>
      <x:c r="U79" s="84"/>
    </x:row>
    <x:row r="80">
      <x:c r="A80" s="122" t="str">
        <x:f>IF(E80="","","E"&amp;TEXT(ROW()-3,"000"))</x:f>
      </x:c>
      <x:c r="B80" s="113"/>
      <x:c r="C80" s="113"/>
      <x:c r="D80" s="113"/>
      <x:c r="E80" s="113"/>
      <x:c r="F80" s="113"/>
      <x:c r="G80" s="113"/>
      <x:c r="H80" s="113"/>
      <x:c r="I80" s="113"/>
      <x:c r="J80" s="113"/>
      <x:c r="K80" s="122" t="str">
        <x:f>IF(E80="","",IF(LEFT(TRIM(E80),1)=CHAR(34),IF(F80="","ACTION NEEDED","OK"),"N/A"))</x:f>
      </x:c>
      <x:c r="L80" s="122" t="str">
        <x:f>IF(E80="","",IF(OR(B80="",C80="",D80="",G80=""),"ACTION NEEDED",IF(K80="ACTION NEEDED","ACTION NEEDED","OK")))</x:f>
      </x:c>
      <x:c r="M80" s="113"/>
      <x:c r="N80" s="84"/>
      <x:c r="O80" s="84"/>
      <x:c r="P80" s="84"/>
      <x:c r="Q80" s="84"/>
      <x:c r="R80" s="84"/>
      <x:c r="S80" s="84"/>
      <x:c r="T80" s="84"/>
      <x:c r="U80" s="84"/>
    </x:row>
    <x:row r="81">
      <x:c r="A81" s="122" t="str">
        <x:f>IF(E81="","","E"&amp;TEXT(ROW()-3,"000"))</x:f>
      </x:c>
      <x:c r="B81" s="113"/>
      <x:c r="C81" s="113"/>
      <x:c r="D81" s="113"/>
      <x:c r="E81" s="113"/>
      <x:c r="F81" s="113"/>
      <x:c r="G81" s="113"/>
      <x:c r="H81" s="113"/>
      <x:c r="I81" s="113"/>
      <x:c r="J81" s="113"/>
      <x:c r="K81" s="122" t="str">
        <x:f>IF(E81="","",IF(LEFT(TRIM(E81),1)=CHAR(34),IF(F81="","ACTION NEEDED","OK"),"N/A"))</x:f>
      </x:c>
      <x:c r="L81" s="122" t="str">
        <x:f>IF(E81="","",IF(OR(B81="",C81="",D81="",G81=""),"ACTION NEEDED",IF(K81="ACTION NEEDED","ACTION NEEDED","OK")))</x:f>
      </x:c>
      <x:c r="M81" s="113"/>
      <x:c r="N81" s="84"/>
      <x:c r="O81" s="84"/>
      <x:c r="P81" s="84"/>
      <x:c r="Q81" s="84"/>
      <x:c r="R81" s="84"/>
      <x:c r="S81" s="84"/>
      <x:c r="T81" s="84"/>
      <x:c r="U81" s="84"/>
    </x:row>
    <x:row r="82">
      <x:c r="A82" s="122" t="str">
        <x:f>IF(E82="","","E"&amp;TEXT(ROW()-3,"000"))</x:f>
      </x:c>
      <x:c r="B82" s="113"/>
      <x:c r="C82" s="113"/>
      <x:c r="D82" s="113"/>
      <x:c r="E82" s="113"/>
      <x:c r="F82" s="113"/>
      <x:c r="G82" s="113"/>
      <x:c r="H82" s="113"/>
      <x:c r="I82" s="113"/>
      <x:c r="J82" s="113"/>
      <x:c r="K82" s="122" t="str">
        <x:f>IF(E82="","",IF(LEFT(TRIM(E82),1)=CHAR(34),IF(F82="","ACTION NEEDED","OK"),"N/A"))</x:f>
      </x:c>
      <x:c r="L82" s="122" t="str">
        <x:f>IF(E82="","",IF(OR(B82="",C82="",D82="",G82=""),"ACTION NEEDED",IF(K82="ACTION NEEDED","ACTION NEEDED","OK")))</x:f>
      </x:c>
      <x:c r="M82" s="113"/>
      <x:c r="N82" s="84"/>
      <x:c r="O82" s="84"/>
      <x:c r="P82" s="84"/>
      <x:c r="Q82" s="84"/>
      <x:c r="R82" s="84"/>
      <x:c r="S82" s="84"/>
      <x:c r="T82" s="84"/>
      <x:c r="U82" s="84"/>
    </x:row>
    <x:row r="83">
      <x:c r="A83" s="122" t="str">
        <x:f>IF(E83="","","E"&amp;TEXT(ROW()-3,"000"))</x:f>
      </x:c>
      <x:c r="B83" s="113"/>
      <x:c r="C83" s="113"/>
      <x:c r="D83" s="113"/>
      <x:c r="E83" s="113"/>
      <x:c r="F83" s="113"/>
      <x:c r="G83" s="113"/>
      <x:c r="H83" s="113"/>
      <x:c r="I83" s="113"/>
      <x:c r="J83" s="113"/>
      <x:c r="K83" s="122" t="str">
        <x:f>IF(E83="","",IF(LEFT(TRIM(E83),1)=CHAR(34),IF(F83="","ACTION NEEDED","OK"),"N/A"))</x:f>
      </x:c>
      <x:c r="L83" s="122" t="str">
        <x:f>IF(E83="","",IF(OR(B83="",C83="",D83="",G83=""),"ACTION NEEDED",IF(K83="ACTION NEEDED","ACTION NEEDED","OK")))</x:f>
      </x:c>
      <x:c r="M83" s="113"/>
      <x:c r="N83" s="84"/>
      <x:c r="O83" s="84"/>
      <x:c r="P83" s="84"/>
      <x:c r="Q83" s="84"/>
      <x:c r="R83" s="84"/>
      <x:c r="S83" s="84"/>
      <x:c r="T83" s="84"/>
      <x:c r="U83" s="84"/>
    </x:row>
    <x:row r="84">
      <x:c r="A84" s="122" t="str">
        <x:f>IF(E84="","","E"&amp;TEXT(ROW()-3,"000"))</x:f>
      </x:c>
      <x:c r="B84" s="113"/>
      <x:c r="C84" s="113"/>
      <x:c r="D84" s="113"/>
      <x:c r="E84" s="113"/>
      <x:c r="F84" s="113"/>
      <x:c r="G84" s="113"/>
      <x:c r="H84" s="113"/>
      <x:c r="I84" s="113"/>
      <x:c r="J84" s="113"/>
      <x:c r="K84" s="122" t="str">
        <x:f>IF(E84="","",IF(LEFT(TRIM(E84),1)=CHAR(34),IF(F84="","ACTION NEEDED","OK"),"N/A"))</x:f>
      </x:c>
      <x:c r="L84" s="122" t="str">
        <x:f>IF(E84="","",IF(OR(B84="",C84="",D84="",G84=""),"ACTION NEEDED",IF(K84="ACTION NEEDED","ACTION NEEDED","OK")))</x:f>
      </x:c>
      <x:c r="M84" s="113"/>
      <x:c r="N84" s="84"/>
      <x:c r="O84" s="84"/>
      <x:c r="P84" s="84"/>
      <x:c r="Q84" s="84"/>
      <x:c r="R84" s="84"/>
      <x:c r="S84" s="84"/>
      <x:c r="T84" s="84"/>
      <x:c r="U84" s="84"/>
    </x:row>
    <x:row r="85">
      <x:c r="A85" s="122" t="str">
        <x:f>IF(E85="","","E"&amp;TEXT(ROW()-3,"000"))</x:f>
      </x:c>
      <x:c r="B85" s="113"/>
      <x:c r="C85" s="113"/>
      <x:c r="D85" s="113"/>
      <x:c r="E85" s="113"/>
      <x:c r="F85" s="113"/>
      <x:c r="G85" s="113"/>
      <x:c r="H85" s="113"/>
      <x:c r="I85" s="113"/>
      <x:c r="J85" s="113"/>
      <x:c r="K85" s="122" t="str">
        <x:f>IF(E85="","",IF(LEFT(TRIM(E85),1)=CHAR(34),IF(F85="","ACTION NEEDED","OK"),"N/A"))</x:f>
      </x:c>
      <x:c r="L85" s="122" t="str">
        <x:f>IF(E85="","",IF(OR(B85="",C85="",D85="",G85=""),"ACTION NEEDED",IF(K85="ACTION NEEDED","ACTION NEEDED","OK")))</x:f>
      </x:c>
      <x:c r="M85" s="113"/>
      <x:c r="N85" s="84"/>
      <x:c r="O85" s="84"/>
      <x:c r="P85" s="84"/>
      <x:c r="Q85" s="84"/>
      <x:c r="R85" s="84"/>
      <x:c r="S85" s="84"/>
      <x:c r="T85" s="84"/>
      <x:c r="U85" s="84"/>
    </x:row>
    <x:row r="86">
      <x:c r="A86" s="122" t="str">
        <x:f>IF(E86="","","E"&amp;TEXT(ROW()-3,"000"))</x:f>
      </x:c>
      <x:c r="B86" s="113"/>
      <x:c r="C86" s="113"/>
      <x:c r="D86" s="113"/>
      <x:c r="E86" s="113"/>
      <x:c r="F86" s="113"/>
      <x:c r="G86" s="113"/>
      <x:c r="H86" s="113"/>
      <x:c r="I86" s="113"/>
      <x:c r="J86" s="113"/>
      <x:c r="K86" s="122" t="str">
        <x:f>IF(E86="","",IF(LEFT(TRIM(E86),1)=CHAR(34),IF(F86="","ACTION NEEDED","OK"),"N/A"))</x:f>
      </x:c>
      <x:c r="L86" s="122" t="str">
        <x:f>IF(E86="","",IF(OR(B86="",C86="",D86="",G86=""),"ACTION NEEDED",IF(K86="ACTION NEEDED","ACTION NEEDED","OK")))</x:f>
      </x:c>
      <x:c r="M86" s="113"/>
      <x:c r="N86" s="84"/>
      <x:c r="O86" s="84"/>
      <x:c r="P86" s="84"/>
      <x:c r="Q86" s="84"/>
      <x:c r="R86" s="84"/>
      <x:c r="S86" s="84"/>
      <x:c r="T86" s="84"/>
      <x:c r="U86" s="84"/>
    </x:row>
    <x:row r="87">
      <x:c r="A87" s="122" t="str">
        <x:f>IF(E87="","","E"&amp;TEXT(ROW()-3,"000"))</x:f>
      </x:c>
      <x:c r="B87" s="113"/>
      <x:c r="C87" s="113"/>
      <x:c r="D87" s="113"/>
      <x:c r="E87" s="113"/>
      <x:c r="F87" s="113"/>
      <x:c r="G87" s="113"/>
      <x:c r="H87" s="113"/>
      <x:c r="I87" s="113"/>
      <x:c r="J87" s="113"/>
      <x:c r="K87" s="122" t="str">
        <x:f>IF(E87="","",IF(LEFT(TRIM(E87),1)=CHAR(34),IF(F87="","ACTION NEEDED","OK"),"N/A"))</x:f>
      </x:c>
      <x:c r="L87" s="122" t="str">
        <x:f>IF(E87="","",IF(OR(B87="",C87="",D87="",G87=""),"ACTION NEEDED",IF(K87="ACTION NEEDED","ACTION NEEDED","OK")))</x:f>
      </x:c>
      <x:c r="M87" s="113"/>
      <x:c r="N87" s="84"/>
      <x:c r="O87" s="84"/>
      <x:c r="P87" s="84"/>
      <x:c r="Q87" s="84"/>
      <x:c r="R87" s="84"/>
      <x:c r="S87" s="84"/>
      <x:c r="T87" s="84"/>
      <x:c r="U87" s="84"/>
    </x:row>
    <x:row r="88">
      <x:c r="A88" s="122" t="str">
        <x:f>IF(E88="","","E"&amp;TEXT(ROW()-3,"000"))</x:f>
      </x:c>
      <x:c r="B88" s="113"/>
      <x:c r="C88" s="113"/>
      <x:c r="D88" s="113"/>
      <x:c r="E88" s="113"/>
      <x:c r="F88" s="113"/>
      <x:c r="G88" s="113"/>
      <x:c r="H88" s="113"/>
      <x:c r="I88" s="113"/>
      <x:c r="J88" s="113"/>
      <x:c r="K88" s="122" t="str">
        <x:f>IF(E88="","",IF(LEFT(TRIM(E88),1)=CHAR(34),IF(F88="","ACTION NEEDED","OK"),"N/A"))</x:f>
      </x:c>
      <x:c r="L88" s="122" t="str">
        <x:f>IF(E88="","",IF(OR(B88="",C88="",D88="",G88=""),"ACTION NEEDED",IF(K88="ACTION NEEDED","ACTION NEEDED","OK")))</x:f>
      </x:c>
      <x:c r="M88" s="113"/>
      <x:c r="N88" s="84"/>
      <x:c r="O88" s="84"/>
      <x:c r="P88" s="84"/>
      <x:c r="Q88" s="84"/>
      <x:c r="R88" s="84"/>
      <x:c r="S88" s="84"/>
      <x:c r="T88" s="84"/>
      <x:c r="U88" s="84"/>
    </x:row>
    <x:row r="89">
      <x:c r="A89" s="122" t="str">
        <x:f>IF(E89="","","E"&amp;TEXT(ROW()-3,"000"))</x:f>
      </x:c>
      <x:c r="B89" s="113"/>
      <x:c r="C89" s="113"/>
      <x:c r="D89" s="113"/>
      <x:c r="E89" s="113"/>
      <x:c r="F89" s="113"/>
      <x:c r="G89" s="113"/>
      <x:c r="H89" s="113"/>
      <x:c r="I89" s="113"/>
      <x:c r="J89" s="113"/>
      <x:c r="K89" s="122" t="str">
        <x:f>IF(E89="","",IF(LEFT(TRIM(E89),1)=CHAR(34),IF(F89="","ACTION NEEDED","OK"),"N/A"))</x:f>
      </x:c>
      <x:c r="L89" s="122" t="str">
        <x:f>IF(E89="","",IF(OR(B89="",C89="",D89="",G89=""),"ACTION NEEDED",IF(K89="ACTION NEEDED","ACTION NEEDED","OK")))</x:f>
      </x:c>
      <x:c r="M89" s="113"/>
      <x:c r="N89" s="84"/>
      <x:c r="O89" s="84"/>
      <x:c r="P89" s="84"/>
      <x:c r="Q89" s="84"/>
      <x:c r="R89" s="84"/>
      <x:c r="S89" s="84"/>
      <x:c r="T89" s="84"/>
      <x:c r="U89" s="84"/>
    </x:row>
    <x:row r="90">
      <x:c r="A90" s="122" t="str">
        <x:f>IF(E90="","","E"&amp;TEXT(ROW()-3,"000"))</x:f>
      </x:c>
      <x:c r="B90" s="113"/>
      <x:c r="C90" s="113"/>
      <x:c r="D90" s="113"/>
      <x:c r="E90" s="113"/>
      <x:c r="F90" s="113"/>
      <x:c r="G90" s="113"/>
      <x:c r="H90" s="113"/>
      <x:c r="I90" s="113"/>
      <x:c r="J90" s="113"/>
      <x:c r="K90" s="122" t="str">
        <x:f>IF(E90="","",IF(LEFT(TRIM(E90),1)=CHAR(34),IF(F90="","ACTION NEEDED","OK"),"N/A"))</x:f>
      </x:c>
      <x:c r="L90" s="122" t="str">
        <x:f>IF(E90="","",IF(OR(B90="",C90="",D90="",G90=""),"ACTION NEEDED",IF(K90="ACTION NEEDED","ACTION NEEDED","OK")))</x:f>
      </x:c>
      <x:c r="M90" s="113"/>
      <x:c r="N90" s="84"/>
      <x:c r="O90" s="84"/>
      <x:c r="P90" s="84"/>
      <x:c r="Q90" s="84"/>
      <x:c r="R90" s="84"/>
      <x:c r="S90" s="84"/>
      <x:c r="T90" s="84"/>
      <x:c r="U90" s="84"/>
    </x:row>
    <x:row r="91">
      <x:c r="A91" s="122" t="str">
        <x:f>IF(E91="","","E"&amp;TEXT(ROW()-3,"000"))</x:f>
      </x:c>
      <x:c r="B91" s="113"/>
      <x:c r="C91" s="113"/>
      <x:c r="D91" s="113"/>
      <x:c r="E91" s="113"/>
      <x:c r="F91" s="113"/>
      <x:c r="G91" s="113"/>
      <x:c r="H91" s="113"/>
      <x:c r="I91" s="113"/>
      <x:c r="J91" s="113"/>
      <x:c r="K91" s="122" t="str">
        <x:f>IF(E91="","",IF(LEFT(TRIM(E91),1)=CHAR(34),IF(F91="","ACTION NEEDED","OK"),"N/A"))</x:f>
      </x:c>
      <x:c r="L91" s="122" t="str">
        <x:f>IF(E91="","",IF(OR(B91="",C91="",D91="",G91=""),"ACTION NEEDED",IF(K91="ACTION NEEDED","ACTION NEEDED","OK")))</x:f>
      </x:c>
      <x:c r="M91" s="113"/>
      <x:c r="N91" s="84"/>
      <x:c r="O91" s="84"/>
      <x:c r="P91" s="84"/>
      <x:c r="Q91" s="84"/>
      <x:c r="R91" s="84"/>
      <x:c r="S91" s="84"/>
      <x:c r="T91" s="84"/>
      <x:c r="U91" s="84"/>
    </x:row>
    <x:row r="92">
      <x:c r="A92" s="122" t="str">
        <x:f>IF(E92="","","E"&amp;TEXT(ROW()-3,"000"))</x:f>
      </x:c>
      <x:c r="B92" s="113"/>
      <x:c r="C92" s="113"/>
      <x:c r="D92" s="113"/>
      <x:c r="E92" s="113"/>
      <x:c r="F92" s="113"/>
      <x:c r="G92" s="113"/>
      <x:c r="H92" s="113"/>
      <x:c r="I92" s="113"/>
      <x:c r="J92" s="113"/>
      <x:c r="K92" s="122" t="str">
        <x:f>IF(E92="","",IF(LEFT(TRIM(E92),1)=CHAR(34),IF(F92="","ACTION NEEDED","OK"),"N/A"))</x:f>
      </x:c>
      <x:c r="L92" s="122" t="str">
        <x:f>IF(E92="","",IF(OR(B92="",C92="",D92="",G92=""),"ACTION NEEDED",IF(K92="ACTION NEEDED","ACTION NEEDED","OK")))</x:f>
      </x:c>
      <x:c r="M92" s="113"/>
      <x:c r="N92" s="84"/>
      <x:c r="O92" s="84"/>
      <x:c r="P92" s="84"/>
      <x:c r="Q92" s="84"/>
      <x:c r="R92" s="84"/>
      <x:c r="S92" s="84"/>
      <x:c r="T92" s="84"/>
      <x:c r="U92" s="84"/>
    </x:row>
    <x:row r="93">
      <x:c r="A93" s="122" t="str">
        <x:f>IF(E93="","","E"&amp;TEXT(ROW()-3,"000"))</x:f>
      </x:c>
      <x:c r="B93" s="113"/>
      <x:c r="C93" s="113"/>
      <x:c r="D93" s="113"/>
      <x:c r="E93" s="113"/>
      <x:c r="F93" s="113"/>
      <x:c r="G93" s="113"/>
      <x:c r="H93" s="113"/>
      <x:c r="I93" s="113"/>
      <x:c r="J93" s="113"/>
      <x:c r="K93" s="122" t="str">
        <x:f>IF(E93="","",IF(LEFT(TRIM(E93),1)=CHAR(34),IF(F93="","ACTION NEEDED","OK"),"N/A"))</x:f>
      </x:c>
      <x:c r="L93" s="122" t="str">
        <x:f>IF(E93="","",IF(OR(B93="",C93="",D93="",G93=""),"ACTION NEEDED",IF(K93="ACTION NEEDED","ACTION NEEDED","OK")))</x:f>
      </x:c>
      <x:c r="M93" s="113"/>
      <x:c r="N93" s="84"/>
      <x:c r="O93" s="84"/>
      <x:c r="P93" s="84"/>
      <x:c r="Q93" s="84"/>
      <x:c r="R93" s="84"/>
      <x:c r="S93" s="84"/>
      <x:c r="T93" s="84"/>
      <x:c r="U93" s="84"/>
    </x:row>
    <x:row r="94">
      <x:c r="A94" s="122" t="str">
        <x:f>IF(E94="","","E"&amp;TEXT(ROW()-3,"000"))</x:f>
      </x:c>
      <x:c r="B94" s="113"/>
      <x:c r="C94" s="113"/>
      <x:c r="D94" s="113"/>
      <x:c r="E94" s="113"/>
      <x:c r="F94" s="113"/>
      <x:c r="G94" s="113"/>
      <x:c r="H94" s="113"/>
      <x:c r="I94" s="113"/>
      <x:c r="J94" s="113"/>
      <x:c r="K94" s="122" t="str">
        <x:f>IF(E94="","",IF(LEFT(TRIM(E94),1)=CHAR(34),IF(F94="","ACTION NEEDED","OK"),"N/A"))</x:f>
      </x:c>
      <x:c r="L94" s="122" t="str">
        <x:f>IF(E94="","",IF(OR(B94="",C94="",D94="",G94=""),"ACTION NEEDED",IF(K94="ACTION NEEDED","ACTION NEEDED","OK")))</x:f>
      </x:c>
      <x:c r="M94" s="113"/>
      <x:c r="N94" s="84"/>
      <x:c r="O94" s="84"/>
      <x:c r="P94" s="84"/>
      <x:c r="Q94" s="84"/>
      <x:c r="R94" s="84"/>
      <x:c r="S94" s="84"/>
      <x:c r="T94" s="84"/>
      <x:c r="U94" s="84"/>
    </x:row>
    <x:row r="95">
      <x:c r="A95" s="122" t="str">
        <x:f>IF(E95="","","E"&amp;TEXT(ROW()-3,"000"))</x:f>
      </x:c>
      <x:c r="B95" s="113"/>
      <x:c r="C95" s="113"/>
      <x:c r="D95" s="113"/>
      <x:c r="E95" s="113"/>
      <x:c r="F95" s="113"/>
      <x:c r="G95" s="113"/>
      <x:c r="H95" s="113"/>
      <x:c r="I95" s="113"/>
      <x:c r="J95" s="113"/>
      <x:c r="K95" s="122" t="str">
        <x:f>IF(E95="","",IF(LEFT(TRIM(E95),1)=CHAR(34),IF(F95="","ACTION NEEDED","OK"),"N/A"))</x:f>
      </x:c>
      <x:c r="L95" s="122" t="str">
        <x:f>IF(E95="","",IF(OR(B95="",C95="",D95="",G95=""),"ACTION NEEDED",IF(K95="ACTION NEEDED","ACTION NEEDED","OK")))</x:f>
      </x:c>
      <x:c r="M95" s="113"/>
      <x:c r="N95" s="84"/>
      <x:c r="O95" s="84"/>
      <x:c r="P95" s="84"/>
      <x:c r="Q95" s="84"/>
      <x:c r="R95" s="84"/>
      <x:c r="S95" s="84"/>
      <x:c r="T95" s="84"/>
      <x:c r="U95" s="84"/>
    </x:row>
    <x:row r="96">
      <x:c r="A96" s="122" t="str">
        <x:f>IF(E96="","","E"&amp;TEXT(ROW()-3,"000"))</x:f>
      </x:c>
      <x:c r="B96" s="113"/>
      <x:c r="C96" s="113"/>
      <x:c r="D96" s="113"/>
      <x:c r="E96" s="113"/>
      <x:c r="F96" s="113"/>
      <x:c r="G96" s="113"/>
      <x:c r="H96" s="113"/>
      <x:c r="I96" s="113"/>
      <x:c r="J96" s="113"/>
      <x:c r="K96" s="122" t="str">
        <x:f>IF(E96="","",IF(LEFT(TRIM(E96),1)=CHAR(34),IF(F96="","ACTION NEEDED","OK"),"N/A"))</x:f>
      </x:c>
      <x:c r="L96" s="122" t="str">
        <x:f>IF(E96="","",IF(OR(B96="",C96="",D96="",G96=""),"ACTION NEEDED",IF(K96="ACTION NEEDED","ACTION NEEDED","OK")))</x:f>
      </x:c>
      <x:c r="M96" s="113"/>
      <x:c r="N96" s="84"/>
      <x:c r="O96" s="84"/>
      <x:c r="P96" s="84"/>
      <x:c r="Q96" s="84"/>
      <x:c r="R96" s="84"/>
      <x:c r="S96" s="84"/>
      <x:c r="T96" s="84"/>
      <x:c r="U96" s="84"/>
    </x:row>
    <x:row r="97">
      <x:c r="A97" s="122" t="str">
        <x:f>IF(E97="","","E"&amp;TEXT(ROW()-3,"000"))</x:f>
      </x:c>
      <x:c r="B97" s="113"/>
      <x:c r="C97" s="113"/>
      <x:c r="D97" s="113"/>
      <x:c r="E97" s="113"/>
      <x:c r="F97" s="113"/>
      <x:c r="G97" s="113"/>
      <x:c r="H97" s="113"/>
      <x:c r="I97" s="113"/>
      <x:c r="J97" s="113"/>
      <x:c r="K97" s="122" t="str">
        <x:f>IF(E97="","",IF(LEFT(TRIM(E97),1)=CHAR(34),IF(F97="","ACTION NEEDED","OK"),"N/A"))</x:f>
      </x:c>
      <x:c r="L97" s="122" t="str">
        <x:f>IF(E97="","",IF(OR(B97="",C97="",D97="",G97=""),"ACTION NEEDED",IF(K97="ACTION NEEDED","ACTION NEEDED","OK")))</x:f>
      </x:c>
      <x:c r="M97" s="113"/>
      <x:c r="N97" s="84"/>
      <x:c r="O97" s="84"/>
      <x:c r="P97" s="84"/>
      <x:c r="Q97" s="84"/>
      <x:c r="R97" s="84"/>
      <x:c r="S97" s="84"/>
      <x:c r="T97" s="84"/>
      <x:c r="U97" s="84"/>
    </x:row>
    <x:row r="98">
      <x:c r="A98" s="122" t="str">
        <x:f>IF(E98="","","E"&amp;TEXT(ROW()-3,"000"))</x:f>
      </x:c>
      <x:c r="B98" s="113"/>
      <x:c r="C98" s="113"/>
      <x:c r="D98" s="113"/>
      <x:c r="E98" s="113"/>
      <x:c r="F98" s="113"/>
      <x:c r="G98" s="113"/>
      <x:c r="H98" s="113"/>
      <x:c r="I98" s="113"/>
      <x:c r="J98" s="113"/>
      <x:c r="K98" s="122" t="str">
        <x:f>IF(E98="","",IF(LEFT(TRIM(E98),1)=CHAR(34),IF(F98="","ACTION NEEDED","OK"),"N/A"))</x:f>
      </x:c>
      <x:c r="L98" s="122" t="str">
        <x:f>IF(E98="","",IF(OR(B98="",C98="",D98="",G98=""),"ACTION NEEDED",IF(K98="ACTION NEEDED","ACTION NEEDED","OK")))</x:f>
      </x:c>
      <x:c r="M98" s="113"/>
      <x:c r="N98" s="84"/>
      <x:c r="O98" s="84"/>
      <x:c r="P98" s="84"/>
      <x:c r="Q98" s="84"/>
      <x:c r="R98" s="84"/>
      <x:c r="S98" s="84"/>
      <x:c r="T98" s="84"/>
      <x:c r="U98" s="84"/>
    </x:row>
    <x:row r="99">
      <x:c r="A99" s="122" t="str">
        <x:f>IF(E99="","","E"&amp;TEXT(ROW()-3,"000"))</x:f>
      </x:c>
      <x:c r="B99" s="113"/>
      <x:c r="C99" s="113"/>
      <x:c r="D99" s="113"/>
      <x:c r="E99" s="113"/>
      <x:c r="F99" s="113"/>
      <x:c r="G99" s="113"/>
      <x:c r="H99" s="113"/>
      <x:c r="I99" s="113"/>
      <x:c r="J99" s="113"/>
      <x:c r="K99" s="122" t="str">
        <x:f>IF(E99="","",IF(LEFT(TRIM(E99),1)=CHAR(34),IF(F99="","ACTION NEEDED","OK"),"N/A"))</x:f>
      </x:c>
      <x:c r="L99" s="122" t="str">
        <x:f>IF(E99="","",IF(OR(B99="",C99="",D99="",G99=""),"ACTION NEEDED",IF(K99="ACTION NEEDED","ACTION NEEDED","OK")))</x:f>
      </x:c>
      <x:c r="M99" s="113"/>
      <x:c r="N99" s="84"/>
      <x:c r="O99" s="84"/>
      <x:c r="P99" s="84"/>
      <x:c r="Q99" s="84"/>
      <x:c r="R99" s="84"/>
      <x:c r="S99" s="84"/>
      <x:c r="T99" s="84"/>
      <x:c r="U99" s="84"/>
    </x:row>
    <x:row r="100">
      <x:c r="A100" s="122" t="str">
        <x:f>IF(E100="","","E"&amp;TEXT(ROW()-3,"000"))</x:f>
      </x:c>
      <x:c r="B100" s="113"/>
      <x:c r="C100" s="113"/>
      <x:c r="D100" s="113"/>
      <x:c r="E100" s="113"/>
      <x:c r="F100" s="113"/>
      <x:c r="G100" s="113"/>
      <x:c r="H100" s="113"/>
      <x:c r="I100" s="113"/>
      <x:c r="J100" s="113"/>
      <x:c r="K100" s="122" t="str">
        <x:f>IF(E100="","",IF(LEFT(TRIM(E100),1)=CHAR(34),IF(F100="","ACTION NEEDED","OK"),"N/A"))</x:f>
      </x:c>
      <x:c r="L100" s="122" t="str">
        <x:f>IF(E100="","",IF(OR(B100="",C100="",D100="",G100=""),"ACTION NEEDED",IF(K100="ACTION NEEDED","ACTION NEEDED","OK")))</x:f>
      </x:c>
      <x:c r="M100" s="113"/>
      <x:c r="N100" s="84"/>
      <x:c r="O100" s="84"/>
      <x:c r="P100" s="84"/>
      <x:c r="Q100" s="84"/>
      <x:c r="R100" s="84"/>
      <x:c r="S100" s="84"/>
      <x:c r="T100" s="84"/>
      <x:c r="U100" s="84"/>
    </x:row>
    <x:row r="101">
      <x:c r="A101" s="122" t="str">
        <x:f>IF(E101="","","E"&amp;TEXT(ROW()-3,"000"))</x:f>
      </x:c>
      <x:c r="B101" s="113"/>
      <x:c r="C101" s="113"/>
      <x:c r="D101" s="113"/>
      <x:c r="E101" s="113"/>
      <x:c r="F101" s="113"/>
      <x:c r="G101" s="113"/>
      <x:c r="H101" s="113"/>
      <x:c r="I101" s="113"/>
      <x:c r="J101" s="113"/>
      <x:c r="K101" s="122" t="str">
        <x:f>IF(E101="","",IF(LEFT(TRIM(E101),1)=CHAR(34),IF(F101="","ACTION NEEDED","OK"),"N/A"))</x:f>
      </x:c>
      <x:c r="L101" s="122" t="str">
        <x:f>IF(E101="","",IF(OR(B101="",C101="",D101="",G101=""),"ACTION NEEDED",IF(K101="ACTION NEEDED","ACTION NEEDED","OK")))</x:f>
      </x:c>
      <x:c r="M101" s="113"/>
      <x:c r="N101" s="84"/>
      <x:c r="O101" s="84"/>
      <x:c r="P101" s="84"/>
      <x:c r="Q101" s="84"/>
      <x:c r="R101" s="84"/>
      <x:c r="S101" s="84"/>
      <x:c r="T101" s="84"/>
      <x:c r="U101" s="84"/>
    </x:row>
    <x:row r="102">
      <x:c r="A102" s="122" t="str">
        <x:f>IF(E102="","","E"&amp;TEXT(ROW()-3,"000"))</x:f>
      </x:c>
      <x:c r="B102" s="113"/>
      <x:c r="C102" s="113"/>
      <x:c r="D102" s="113"/>
      <x:c r="E102" s="113"/>
      <x:c r="F102" s="113"/>
      <x:c r="G102" s="113"/>
      <x:c r="H102" s="113"/>
      <x:c r="I102" s="113"/>
      <x:c r="J102" s="113"/>
      <x:c r="K102" s="122" t="str">
        <x:f>IF(E102="","",IF(LEFT(TRIM(E102),1)=CHAR(34),IF(F102="","ACTION NEEDED","OK"),"N/A"))</x:f>
      </x:c>
      <x:c r="L102" s="122" t="str">
        <x:f>IF(E102="","",IF(OR(B102="",C102="",D102="",G102=""),"ACTION NEEDED",IF(K102="ACTION NEEDED","ACTION NEEDED","OK")))</x:f>
      </x:c>
      <x:c r="M102" s="113"/>
      <x:c r="N102" s="84"/>
      <x:c r="O102" s="84"/>
      <x:c r="P102" s="84"/>
      <x:c r="Q102" s="84"/>
      <x:c r="R102" s="84"/>
      <x:c r="S102" s="84"/>
      <x:c r="T102" s="84"/>
      <x:c r="U102" s="84"/>
    </x:row>
    <x:row r="103">
      <x:c r="A103" s="122" t="str">
        <x:f>IF(E103="","","E"&amp;TEXT(ROW()-3,"000"))</x:f>
      </x:c>
      <x:c r="B103" s="113"/>
      <x:c r="C103" s="113"/>
      <x:c r="D103" s="113"/>
      <x:c r="E103" s="113"/>
      <x:c r="F103" s="113"/>
      <x:c r="G103" s="113"/>
      <x:c r="H103" s="113"/>
      <x:c r="I103" s="113"/>
      <x:c r="J103" s="113"/>
      <x:c r="K103" s="122" t="str">
        <x:f>IF(E103="","",IF(LEFT(TRIM(E103),1)=CHAR(34),IF(F103="","ACTION NEEDED","OK"),"N/A"))</x:f>
      </x:c>
      <x:c r="L103" s="122" t="str">
        <x:f>IF(E103="","",IF(OR(B103="",C103="",D103="",G103=""),"ACTION NEEDED",IF(K103="ACTION NEEDED","ACTION NEEDED","OK")))</x:f>
      </x:c>
      <x:c r="M103" s="113"/>
      <x:c r="N103" s="84"/>
      <x:c r="O103" s="84"/>
      <x:c r="P103" s="84"/>
      <x:c r="Q103" s="84"/>
      <x:c r="R103" s="84"/>
      <x:c r="S103" s="84"/>
      <x:c r="T103" s="84"/>
      <x:c r="U103" s="84"/>
    </x:row>
    <x:row r="104">
      <x:c r="A104" s="84"/>
      <x:c r="B104" s="84"/>
      <x:c r="C104" s="84"/>
      <x:c r="D104" s="84"/>
      <x:c r="E104" s="84"/>
      <x:c r="F104" s="84"/>
      <x:c r="G104" s="84"/>
      <x:c r="H104" s="84"/>
      <x:c r="I104" s="84"/>
      <x:c r="J104" s="84"/>
      <x:c r="K104" s="84"/>
      <x:c r="L104" s="84"/>
      <x:c r="M104" s="84"/>
      <x:c r="N104" s="84"/>
      <x:c r="O104" s="84"/>
      <x:c r="P104" s="84"/>
      <x:c r="Q104" s="84"/>
      <x:c r="R104" s="84"/>
      <x:c r="S104" s="84"/>
      <x:c r="T104" s="84"/>
      <x:c r="U104" s="84"/>
    </x:row>
    <x:row r="105">
      <x:c r="A105" s="84"/>
      <x:c r="B105" s="84"/>
      <x:c r="C105" s="84"/>
      <x:c r="D105" s="84"/>
      <x:c r="E105" s="84"/>
      <x:c r="F105" s="84"/>
      <x:c r="G105" s="84"/>
      <x:c r="H105" s="84"/>
      <x:c r="I105" s="84"/>
      <x:c r="J105" s="84"/>
      <x:c r="K105" s="84"/>
      <x:c r="L105" s="84"/>
      <x:c r="M105" s="84"/>
      <x:c r="N105" s="84"/>
      <x:c r="O105" s="84"/>
      <x:c r="P105" s="84"/>
      <x:c r="Q105" s="84"/>
      <x:c r="R105" s="84"/>
      <x:c r="S105" s="84"/>
      <x:c r="T105" s="84"/>
      <x:c r="U105" s="84"/>
    </x:row>
    <x:row r="106">
      <x:c r="A106" s="84"/>
      <x:c r="B106" s="84"/>
      <x:c r="C106" s="84"/>
      <x:c r="D106" s="84"/>
      <x:c r="E106" s="84"/>
      <x:c r="F106" s="84"/>
      <x:c r="G106" s="84"/>
      <x:c r="H106" s="84"/>
      <x:c r="I106" s="84"/>
      <x:c r="J106" s="84"/>
      <x:c r="K106" s="84"/>
      <x:c r="L106" s="84"/>
      <x:c r="M106" s="84"/>
      <x:c r="N106" s="84"/>
      <x:c r="O106" s="84"/>
      <x:c r="P106" s="84"/>
      <x:c r="Q106" s="84"/>
      <x:c r="R106" s="84"/>
      <x:c r="S106" s="84"/>
      <x:c r="T106" s="84"/>
      <x:c r="U106" s="84"/>
    </x:row>
    <x:row r="107">
      <x:c r="A107" s="84"/>
      <x:c r="B107" s="84"/>
      <x:c r="C107" s="84"/>
      <x:c r="D107" s="84"/>
      <x:c r="E107" s="84"/>
      <x:c r="F107" s="84"/>
      <x:c r="G107" s="84"/>
      <x:c r="H107" s="84"/>
      <x:c r="I107" s="84"/>
      <x:c r="J107" s="84"/>
      <x:c r="K107" s="84"/>
      <x:c r="L107" s="84"/>
      <x:c r="M107" s="84"/>
      <x:c r="N107" s="84"/>
      <x:c r="O107" s="84"/>
      <x:c r="P107" s="84"/>
      <x:c r="Q107" s="84"/>
      <x:c r="R107" s="84"/>
      <x:c r="S107" s="84"/>
      <x:c r="T107" s="84"/>
      <x:c r="U107" s="84"/>
    </x:row>
    <x:row r="108">
      <x:c r="A108" s="84"/>
      <x:c r="B108" s="84"/>
      <x:c r="C108" s="84"/>
      <x:c r="D108" s="84"/>
      <x:c r="E108" s="84"/>
      <x:c r="F108" s="84"/>
      <x:c r="G108" s="84"/>
      <x:c r="H108" s="84"/>
      <x:c r="I108" s="84"/>
      <x:c r="J108" s="84"/>
      <x:c r="K108" s="84"/>
      <x:c r="L108" s="84"/>
      <x:c r="M108" s="84"/>
      <x:c r="N108" s="84"/>
      <x:c r="O108" s="84"/>
      <x:c r="P108" s="84"/>
      <x:c r="Q108" s="84"/>
      <x:c r="R108" s="84"/>
      <x:c r="S108" s="84"/>
      <x:c r="T108" s="84"/>
      <x:c r="U108" s="84"/>
    </x:row>
    <x:row r="109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4"/>
      <x:c r="K109" s="84"/>
      <x:c r="L109" s="84"/>
      <x:c r="M109" s="84"/>
      <x:c r="N109" s="84"/>
      <x:c r="O109" s="84"/>
      <x:c r="P109" s="84"/>
      <x:c r="Q109" s="84"/>
      <x:c r="R109" s="84"/>
      <x:c r="S109" s="84"/>
      <x:c r="T109" s="84"/>
      <x:c r="U109" s="84"/>
    </x:row>
    <x:row r="110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4"/>
      <x:c r="K110" s="84"/>
      <x:c r="L110" s="84"/>
      <x:c r="M110" s="84"/>
      <x:c r="N110" s="84"/>
      <x:c r="O110" s="84"/>
      <x:c r="P110" s="84"/>
      <x:c r="Q110" s="84"/>
      <x:c r="R110" s="84"/>
      <x:c r="S110" s="84"/>
      <x:c r="T110" s="84"/>
      <x:c r="U110" s="84"/>
    </x:row>
  </x:sheetData>
  <x:mergeCells>
    <x:mergeCell ref="A1:M1"/>
  </x:mergeCells>
  <x:conditionalFormatting sqref="L4:L103">
    <x:cfRule type="expression" dxfId="5" priority="1">
      <x:formula>$L4="ACTION NEEDED"</x:formula>
    </x:cfRule>
  </x:conditionalFormatting>
  <x:dataValidations count="2">
    <x:dataValidation type="list" sqref="G4:G103">
      <x:formula1>_LISTS!$D$2:$D$6</x:formula1>
    </x:dataValidation>
    <x:dataValidation type="list" sqref="J4:J103">
      <x:formula1>_LISTS!$F$2:$F$4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93a848a7b84c0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8" hidden="0" customWidth="1"/>
    <x:col min="3" max="3" width="28" hidden="0" customWidth="1"/>
    <x:col min="4" max="4" width="34" hidden="0" customWidth="1"/>
    <x:col min="5" max="5" width="42" hidden="0" customWidth="1"/>
    <x:col min="6" max="6" width="34" hidden="0" customWidth="1"/>
    <x:col min="7" max="7" width="14" hidden="0" customWidth="1"/>
    <x:col min="8" max="8" width="14" hidden="0" customWidth="1"/>
    <x:col min="9" max="9" width="16" hidden="0" customWidth="1"/>
    <x:col min="10" max="10" width="28" hidden="0" customWidth="1"/>
  </x:cols>
  <x:sheetData>
    <x:row r="1">
      <x:c r="A1" s="141" t="str">
        <x:v>OUTLINE — build claims first; evidence coverage populates automatically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84"/>
      <x:c r="L1" s="84"/>
      <x:c r="M1" s="84"/>
      <x:c r="N1" s="84"/>
      <x:c r="O1" s="84"/>
      <x:c r="P1" s="84"/>
      <x:c r="Q1" s="84"/>
      <x:c r="R1" s="84"/>
      <x:c r="S1" s="84"/>
      <x:c r="T1" s="84"/>
      <x:c r="U1" s="84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  <x:c r="S2" s="84"/>
      <x:c r="T2" s="84"/>
      <x:c r="U2" s="84"/>
    </x:row>
    <x:row r="3">
      <x:c r="A3" s="121" t="str">
        <x:v>Section ID</x:v>
      </x:c>
      <x:c r="B3" s="121" t="str">
        <x:v>Level</x:v>
      </x:c>
      <x:c r="C3" s="121" t="str">
        <x:v>Working Heading</x:v>
      </x:c>
      <x:c r="D3" s="121" t="str">
        <x:v>Section Purpose</x:v>
      </x:c>
      <x:c r="E3" s="121" t="str">
        <x:v>Main Claim / Topic Sentence</x:v>
      </x:c>
      <x:c r="F3" s="121" t="str">
        <x:v>Counterpoint / Limitation to Address</x:v>
      </x:c>
      <x:c r="G3" s="121" t="str">
        <x:v>Evidence Items</x:v>
      </x:c>
      <x:c r="H3" s="121" t="str">
        <x:v>Target Words</x:v>
      </x:c>
      <x:c r="I3" s="121" t="str">
        <x:v>Draft Status</x:v>
      </x:c>
      <x:c r="J3" s="121" t="str">
        <x:v>Notes</x:v>
      </x:c>
      <x:c r="K3" s="84"/>
      <x:c r="L3" s="84"/>
      <x:c r="M3" s="84"/>
      <x:c r="N3" s="84"/>
      <x:c r="O3" s="84"/>
      <x:c r="P3" s="84"/>
      <x:c r="Q3" s="84"/>
      <x:c r="R3" s="84"/>
      <x:c r="S3" s="84"/>
      <x:c r="T3" s="84"/>
      <x:c r="U3" s="84"/>
    </x:row>
    <x:row r="4">
      <x:c r="A4" s="122" t="str">
        <x:f>IF(C4="","","SEC"&amp;TEXT(ROW()-3,"00"))</x:f>
      </x:c>
      <x:c r="B4" s="113"/>
      <x:c r="C4" s="113"/>
      <x:c r="D4" s="113"/>
      <x:c r="E4" s="113"/>
      <x:c r="F4" s="113"/>
      <x:c r="G4" s="122" t="str">
        <x:f>IF(A4="","",COUNTIF('EVIDENCE MATRIX'!$C$4:$C$103,A4))</x:f>
      </x:c>
      <x:c r="H4" s="113"/>
      <x:c r="I4" s="113"/>
      <x:c r="J4" s="113"/>
      <x:c r="K4" s="84"/>
      <x:c r="L4" s="84"/>
      <x:c r="M4" s="84"/>
      <x:c r="N4" s="84"/>
      <x:c r="O4" s="84"/>
      <x:c r="P4" s="84"/>
      <x:c r="Q4" s="84"/>
      <x:c r="R4" s="84"/>
      <x:c r="S4" s="84"/>
      <x:c r="T4" s="84"/>
      <x:c r="U4" s="84"/>
    </x:row>
    <x:row r="5">
      <x:c r="A5" s="122" t="str">
        <x:f>IF(C5="","","SEC"&amp;TEXT(ROW()-3,"00"))</x:f>
      </x:c>
      <x:c r="B5" s="113"/>
      <x:c r="C5" s="113"/>
      <x:c r="D5" s="113"/>
      <x:c r="E5" s="113"/>
      <x:c r="F5" s="113"/>
      <x:c r="G5" s="122" t="str">
        <x:f>IF(A5="","",COUNTIF('EVIDENCE MATRIX'!$C$4:$C$103,A5))</x:f>
      </x:c>
      <x:c r="H5" s="113"/>
      <x:c r="I5" s="113"/>
      <x:c r="J5" s="113"/>
      <x:c r="K5" s="84"/>
      <x:c r="L5" s="84"/>
      <x:c r="M5" s="84"/>
      <x:c r="N5" s="84"/>
      <x:c r="O5" s="84"/>
      <x:c r="P5" s="84"/>
      <x:c r="Q5" s="84"/>
      <x:c r="R5" s="84"/>
      <x:c r="S5" s="84"/>
      <x:c r="T5" s="84"/>
      <x:c r="U5" s="84"/>
    </x:row>
    <x:row r="6">
      <x:c r="A6" s="122" t="str">
        <x:f>IF(C6="","","SEC"&amp;TEXT(ROW()-3,"00"))</x:f>
      </x:c>
      <x:c r="B6" s="113"/>
      <x:c r="C6" s="113"/>
      <x:c r="D6" s="113"/>
      <x:c r="E6" s="113"/>
      <x:c r="F6" s="113"/>
      <x:c r="G6" s="122" t="str">
        <x:f>IF(A6="","",COUNTIF('EVIDENCE MATRIX'!$C$4:$C$103,A6))</x:f>
      </x:c>
      <x:c r="H6" s="113"/>
      <x:c r="I6" s="113"/>
      <x:c r="J6" s="113"/>
      <x:c r="K6" s="84"/>
      <x:c r="L6" s="84"/>
      <x:c r="M6" s="84"/>
      <x:c r="N6" s="84"/>
      <x:c r="O6" s="84"/>
      <x:c r="P6" s="84"/>
      <x:c r="Q6" s="84"/>
      <x:c r="R6" s="84"/>
      <x:c r="S6" s="84"/>
      <x:c r="T6" s="84"/>
      <x:c r="U6" s="84"/>
    </x:row>
    <x:row r="7">
      <x:c r="A7" s="122" t="str">
        <x:f>IF(C7="","","SEC"&amp;TEXT(ROW()-3,"00"))</x:f>
      </x:c>
      <x:c r="B7" s="113"/>
      <x:c r="C7" s="113"/>
      <x:c r="D7" s="113"/>
      <x:c r="E7" s="113"/>
      <x:c r="F7" s="113"/>
      <x:c r="G7" s="122" t="str">
        <x:f>IF(A7="","",COUNTIF('EVIDENCE MATRIX'!$C$4:$C$103,A7))</x:f>
      </x:c>
      <x:c r="H7" s="113"/>
      <x:c r="I7" s="113"/>
      <x:c r="J7" s="113"/>
      <x:c r="K7" s="84"/>
      <x:c r="L7" s="84"/>
      <x:c r="M7" s="84"/>
      <x:c r="N7" s="84"/>
      <x:c r="O7" s="84"/>
      <x:c r="P7" s="84"/>
      <x:c r="Q7" s="84"/>
      <x:c r="R7" s="84"/>
      <x:c r="S7" s="84"/>
      <x:c r="T7" s="84"/>
      <x:c r="U7" s="84"/>
    </x:row>
    <x:row r="8">
      <x:c r="A8" s="122" t="str">
        <x:f>IF(C8="","","SEC"&amp;TEXT(ROW()-3,"00"))</x:f>
      </x:c>
      <x:c r="B8" s="113"/>
      <x:c r="C8" s="113"/>
      <x:c r="D8" s="113"/>
      <x:c r="E8" s="113"/>
      <x:c r="F8" s="113"/>
      <x:c r="G8" s="122" t="str">
        <x:f>IF(A8="","",COUNTIF('EVIDENCE MATRIX'!$C$4:$C$103,A8))</x:f>
      </x:c>
      <x:c r="H8" s="113"/>
      <x:c r="I8" s="113"/>
      <x:c r="J8" s="113"/>
      <x:c r="K8" s="84"/>
      <x:c r="L8" s="84"/>
      <x:c r="M8" s="84"/>
      <x:c r="N8" s="84"/>
      <x:c r="O8" s="84"/>
      <x:c r="P8" s="84"/>
      <x:c r="Q8" s="84"/>
      <x:c r="R8" s="84"/>
      <x:c r="S8" s="84"/>
      <x:c r="T8" s="84"/>
      <x:c r="U8" s="84"/>
    </x:row>
    <x:row r="9">
      <x:c r="A9" s="122" t="str">
        <x:f>IF(C9="","","SEC"&amp;TEXT(ROW()-3,"00"))</x:f>
      </x:c>
      <x:c r="B9" s="113"/>
      <x:c r="C9" s="113"/>
      <x:c r="D9" s="113"/>
      <x:c r="E9" s="113"/>
      <x:c r="F9" s="113"/>
      <x:c r="G9" s="122" t="str">
        <x:f>IF(A9="","",COUNTIF('EVIDENCE MATRIX'!$C$4:$C$103,A9))</x:f>
      </x:c>
      <x:c r="H9" s="113"/>
      <x:c r="I9" s="113"/>
      <x:c r="J9" s="113"/>
      <x:c r="K9" s="84"/>
      <x:c r="L9" s="84"/>
      <x:c r="M9" s="84"/>
      <x:c r="N9" s="84"/>
      <x:c r="O9" s="84"/>
      <x:c r="P9" s="84"/>
      <x:c r="Q9" s="84"/>
      <x:c r="R9" s="84"/>
      <x:c r="S9" s="84"/>
      <x:c r="T9" s="84"/>
      <x:c r="U9" s="84"/>
    </x:row>
    <x:row r="10">
      <x:c r="A10" s="122" t="str">
        <x:f>IF(C10="","","SEC"&amp;TEXT(ROW()-3,"00"))</x:f>
      </x:c>
      <x:c r="B10" s="113"/>
      <x:c r="C10" s="113"/>
      <x:c r="D10" s="113"/>
      <x:c r="E10" s="113"/>
      <x:c r="F10" s="113"/>
      <x:c r="G10" s="122" t="str">
        <x:f>IF(A10="","",COUNTIF('EVIDENCE MATRIX'!$C$4:$C$103,A10))</x:f>
      </x:c>
      <x:c r="H10" s="113"/>
      <x:c r="I10" s="113"/>
      <x:c r="J10" s="113"/>
      <x:c r="K10" s="84"/>
      <x:c r="L10" s="84"/>
      <x:c r="M10" s="84"/>
      <x:c r="N10" s="84"/>
      <x:c r="O10" s="84"/>
      <x:c r="P10" s="84"/>
      <x:c r="Q10" s="84"/>
      <x:c r="R10" s="84"/>
      <x:c r="S10" s="84"/>
      <x:c r="T10" s="84"/>
      <x:c r="U10" s="84"/>
    </x:row>
    <x:row r="11">
      <x:c r="A11" s="122" t="str">
        <x:f>IF(C11="","","SEC"&amp;TEXT(ROW()-3,"00"))</x:f>
      </x:c>
      <x:c r="B11" s="113"/>
      <x:c r="C11" s="113"/>
      <x:c r="D11" s="113"/>
      <x:c r="E11" s="113"/>
      <x:c r="F11" s="113"/>
      <x:c r="G11" s="122" t="str">
        <x:f>IF(A11="","",COUNTIF('EVIDENCE MATRIX'!$C$4:$C$103,A11))</x:f>
      </x:c>
      <x:c r="H11" s="113"/>
      <x:c r="I11" s="113"/>
      <x:c r="J11" s="113"/>
      <x:c r="K11" s="84"/>
      <x:c r="L11" s="84"/>
      <x:c r="M11" s="84"/>
      <x:c r="N11" s="84"/>
      <x:c r="O11" s="84"/>
      <x:c r="P11" s="84"/>
      <x:c r="Q11" s="84"/>
      <x:c r="R11" s="84"/>
      <x:c r="S11" s="84"/>
      <x:c r="T11" s="84"/>
      <x:c r="U11" s="84"/>
    </x:row>
    <x:row r="12">
      <x:c r="A12" s="122" t="str">
        <x:f>IF(C12="","","SEC"&amp;TEXT(ROW()-3,"00"))</x:f>
      </x:c>
      <x:c r="B12" s="113"/>
      <x:c r="C12" s="113"/>
      <x:c r="D12" s="113"/>
      <x:c r="E12" s="113"/>
      <x:c r="F12" s="113"/>
      <x:c r="G12" s="122" t="str">
        <x:f>IF(A12="","",COUNTIF('EVIDENCE MATRIX'!$C$4:$C$103,A12))</x:f>
      </x:c>
      <x:c r="H12" s="113"/>
      <x:c r="I12" s="113"/>
      <x:c r="J12" s="113"/>
      <x:c r="K12" s="84"/>
      <x:c r="L12" s="84"/>
      <x:c r="M12" s="84"/>
      <x:c r="N12" s="84"/>
      <x:c r="O12" s="84"/>
      <x:c r="P12" s="84"/>
      <x:c r="Q12" s="84"/>
      <x:c r="R12" s="84"/>
      <x:c r="S12" s="84"/>
      <x:c r="T12" s="84"/>
      <x:c r="U12" s="84"/>
    </x:row>
    <x:row r="13">
      <x:c r="A13" s="122" t="str">
        <x:f>IF(C13="","","SEC"&amp;TEXT(ROW()-3,"00"))</x:f>
      </x:c>
      <x:c r="B13" s="113"/>
      <x:c r="C13" s="113"/>
      <x:c r="D13" s="113"/>
      <x:c r="E13" s="113"/>
      <x:c r="F13" s="113"/>
      <x:c r="G13" s="122" t="str">
        <x:f>IF(A13="","",COUNTIF('EVIDENCE MATRIX'!$C$4:$C$103,A13))</x:f>
      </x:c>
      <x:c r="H13" s="113"/>
      <x:c r="I13" s="113"/>
      <x:c r="J13" s="113"/>
      <x:c r="K13" s="84"/>
      <x:c r="L13" s="84"/>
      <x:c r="M13" s="84"/>
      <x:c r="N13" s="84"/>
      <x:c r="O13" s="84"/>
      <x:c r="P13" s="84"/>
      <x:c r="Q13" s="84"/>
      <x:c r="R13" s="84"/>
      <x:c r="S13" s="84"/>
      <x:c r="T13" s="84"/>
      <x:c r="U13" s="84"/>
    </x:row>
    <x:row r="14">
      <x:c r="A14" s="122" t="str">
        <x:f>IF(C14="","","SEC"&amp;TEXT(ROW()-3,"00"))</x:f>
      </x:c>
      <x:c r="B14" s="113"/>
      <x:c r="C14" s="113"/>
      <x:c r="D14" s="113"/>
      <x:c r="E14" s="113"/>
      <x:c r="F14" s="113"/>
      <x:c r="G14" s="122" t="str">
        <x:f>IF(A14="","",COUNTIF('EVIDENCE MATRIX'!$C$4:$C$103,A14))</x:f>
      </x:c>
      <x:c r="H14" s="113"/>
      <x:c r="I14" s="113"/>
      <x:c r="J14" s="113"/>
      <x:c r="K14" s="84"/>
      <x:c r="L14" s="84"/>
      <x:c r="M14" s="84"/>
      <x:c r="N14" s="84"/>
      <x:c r="O14" s="84"/>
      <x:c r="P14" s="84"/>
      <x:c r="Q14" s="84"/>
      <x:c r="R14" s="84"/>
      <x:c r="S14" s="84"/>
      <x:c r="T14" s="84"/>
      <x:c r="U14" s="84"/>
    </x:row>
    <x:row r="15">
      <x:c r="A15" s="122" t="str">
        <x:f>IF(C15="","","SEC"&amp;TEXT(ROW()-3,"00"))</x:f>
      </x:c>
      <x:c r="B15" s="113"/>
      <x:c r="C15" s="113"/>
      <x:c r="D15" s="113"/>
      <x:c r="E15" s="113"/>
      <x:c r="F15" s="113"/>
      <x:c r="G15" s="122" t="str">
        <x:f>IF(A15="","",COUNTIF('EVIDENCE MATRIX'!$C$4:$C$103,A15))</x:f>
      </x:c>
      <x:c r="H15" s="113"/>
      <x:c r="I15" s="113"/>
      <x:c r="J15" s="113"/>
      <x:c r="K15" s="84"/>
      <x:c r="L15" s="84"/>
      <x:c r="M15" s="84"/>
      <x:c r="N15" s="84"/>
      <x:c r="O15" s="84"/>
      <x:c r="P15" s="84"/>
      <x:c r="Q15" s="84"/>
      <x:c r="R15" s="84"/>
      <x:c r="S15" s="84"/>
      <x:c r="T15" s="84"/>
      <x:c r="U15" s="84"/>
    </x:row>
    <x:row r="16">
      <x:c r="A16" s="122" t="str">
        <x:f>IF(C16="","","SEC"&amp;TEXT(ROW()-3,"00"))</x:f>
      </x:c>
      <x:c r="B16" s="113"/>
      <x:c r="C16" s="113"/>
      <x:c r="D16" s="113"/>
      <x:c r="E16" s="113"/>
      <x:c r="F16" s="113"/>
      <x:c r="G16" s="122" t="str">
        <x:f>IF(A16="","",COUNTIF('EVIDENCE MATRIX'!$C$4:$C$103,A16))</x:f>
      </x:c>
      <x:c r="H16" s="113"/>
      <x:c r="I16" s="113"/>
      <x:c r="J16" s="113"/>
      <x:c r="K16" s="84"/>
      <x:c r="L16" s="84"/>
      <x:c r="M16" s="84"/>
      <x:c r="N16" s="84"/>
      <x:c r="O16" s="84"/>
      <x:c r="P16" s="84"/>
      <x:c r="Q16" s="84"/>
      <x:c r="R16" s="84"/>
      <x:c r="S16" s="84"/>
      <x:c r="T16" s="84"/>
      <x:c r="U16" s="84"/>
    </x:row>
    <x:row r="17">
      <x:c r="A17" s="122" t="str">
        <x:f>IF(C17="","","SEC"&amp;TEXT(ROW()-3,"00"))</x:f>
      </x:c>
      <x:c r="B17" s="113"/>
      <x:c r="C17" s="113"/>
      <x:c r="D17" s="113"/>
      <x:c r="E17" s="113"/>
      <x:c r="F17" s="113"/>
      <x:c r="G17" s="122" t="str">
        <x:f>IF(A17="","",COUNTIF('EVIDENCE MATRIX'!$C$4:$C$103,A17))</x:f>
      </x:c>
      <x:c r="H17" s="113"/>
      <x:c r="I17" s="113"/>
      <x:c r="J17" s="113"/>
      <x:c r="K17" s="84"/>
      <x:c r="L17" s="84"/>
      <x:c r="M17" s="84"/>
      <x:c r="N17" s="84"/>
      <x:c r="O17" s="84"/>
      <x:c r="P17" s="84"/>
      <x:c r="Q17" s="84"/>
      <x:c r="R17" s="84"/>
      <x:c r="S17" s="84"/>
      <x:c r="T17" s="84"/>
      <x:c r="U17" s="84"/>
    </x:row>
    <x:row r="18">
      <x:c r="A18" s="122" t="str">
        <x:f>IF(C18="","","SEC"&amp;TEXT(ROW()-3,"00"))</x:f>
      </x:c>
      <x:c r="B18" s="113"/>
      <x:c r="C18" s="113"/>
      <x:c r="D18" s="113"/>
      <x:c r="E18" s="113"/>
      <x:c r="F18" s="113"/>
      <x:c r="G18" s="122" t="str">
        <x:f>IF(A18="","",COUNTIF('EVIDENCE MATRIX'!$C$4:$C$103,A18))</x:f>
      </x:c>
      <x:c r="H18" s="113"/>
      <x:c r="I18" s="113"/>
      <x:c r="J18" s="113"/>
      <x:c r="K18" s="84"/>
      <x:c r="L18" s="84"/>
      <x:c r="M18" s="84"/>
      <x:c r="N18" s="84"/>
      <x:c r="O18" s="84"/>
      <x:c r="P18" s="84"/>
      <x:c r="Q18" s="84"/>
      <x:c r="R18" s="84"/>
      <x:c r="S18" s="84"/>
      <x:c r="T18" s="84"/>
      <x:c r="U18" s="84"/>
    </x:row>
    <x:row r="19">
      <x:c r="A19" s="122" t="str">
        <x:f>IF(C19="","","SEC"&amp;TEXT(ROW()-3,"00"))</x:f>
      </x:c>
      <x:c r="B19" s="113"/>
      <x:c r="C19" s="113"/>
      <x:c r="D19" s="113"/>
      <x:c r="E19" s="113"/>
      <x:c r="F19" s="113"/>
      <x:c r="G19" s="122" t="str">
        <x:f>IF(A19="","",COUNTIF('EVIDENCE MATRIX'!$C$4:$C$103,A19))</x:f>
      </x:c>
      <x:c r="H19" s="113"/>
      <x:c r="I19" s="113"/>
      <x:c r="J19" s="113"/>
      <x:c r="K19" s="84"/>
      <x:c r="L19" s="84"/>
      <x:c r="M19" s="84"/>
      <x:c r="N19" s="84"/>
      <x:c r="O19" s="84"/>
      <x:c r="P19" s="84"/>
      <x:c r="Q19" s="84"/>
      <x:c r="R19" s="84"/>
      <x:c r="S19" s="84"/>
      <x:c r="T19" s="84"/>
      <x:c r="U19" s="84"/>
    </x:row>
    <x:row r="20">
      <x:c r="A20" s="122" t="str">
        <x:f>IF(C20="","","SEC"&amp;TEXT(ROW()-3,"00"))</x:f>
      </x:c>
      <x:c r="B20" s="113"/>
      <x:c r="C20" s="113"/>
      <x:c r="D20" s="113"/>
      <x:c r="E20" s="113"/>
      <x:c r="F20" s="113"/>
      <x:c r="G20" s="122" t="str">
        <x:f>IF(A20="","",COUNTIF('EVIDENCE MATRIX'!$C$4:$C$103,A20))</x:f>
      </x:c>
      <x:c r="H20" s="113"/>
      <x:c r="I20" s="113"/>
      <x:c r="J20" s="113"/>
      <x:c r="K20" s="84"/>
      <x:c r="L20" s="84"/>
      <x:c r="M20" s="84"/>
      <x:c r="N20" s="84"/>
      <x:c r="O20" s="84"/>
      <x:c r="P20" s="84"/>
      <x:c r="Q20" s="84"/>
      <x:c r="R20" s="84"/>
      <x:c r="S20" s="84"/>
      <x:c r="T20" s="84"/>
      <x:c r="U20" s="84"/>
    </x:row>
    <x:row r="21">
      <x:c r="A21" s="122" t="str">
        <x:f>IF(C21="","","SEC"&amp;TEXT(ROW()-3,"00"))</x:f>
      </x:c>
      <x:c r="B21" s="113"/>
      <x:c r="C21" s="113"/>
      <x:c r="D21" s="113"/>
      <x:c r="E21" s="113"/>
      <x:c r="F21" s="113"/>
      <x:c r="G21" s="122" t="str">
        <x:f>IF(A21="","",COUNTIF('EVIDENCE MATRIX'!$C$4:$C$103,A21))</x:f>
      </x:c>
      <x:c r="H21" s="113"/>
      <x:c r="I21" s="113"/>
      <x:c r="J21" s="113"/>
      <x:c r="K21" s="84"/>
      <x:c r="L21" s="84"/>
      <x:c r="M21" s="84"/>
      <x:c r="N21" s="84"/>
      <x:c r="O21" s="84"/>
      <x:c r="P21" s="84"/>
      <x:c r="Q21" s="84"/>
      <x:c r="R21" s="84"/>
      <x:c r="S21" s="84"/>
      <x:c r="T21" s="84"/>
      <x:c r="U21" s="84"/>
    </x:row>
    <x:row r="22">
      <x:c r="A22" s="122" t="str">
        <x:f>IF(C22="","","SEC"&amp;TEXT(ROW()-3,"00"))</x:f>
      </x:c>
      <x:c r="B22" s="113"/>
      <x:c r="C22" s="113"/>
      <x:c r="D22" s="113"/>
      <x:c r="E22" s="113"/>
      <x:c r="F22" s="113"/>
      <x:c r="G22" s="122" t="str">
        <x:f>IF(A22="","",COUNTIF('EVIDENCE MATRIX'!$C$4:$C$103,A22))</x:f>
      </x:c>
      <x:c r="H22" s="113"/>
      <x:c r="I22" s="113"/>
      <x:c r="J22" s="113"/>
      <x:c r="K22" s="84"/>
      <x:c r="L22" s="84"/>
      <x:c r="M22" s="84"/>
      <x:c r="N22" s="84"/>
      <x:c r="O22" s="84"/>
      <x:c r="P22" s="84"/>
      <x:c r="Q22" s="84"/>
      <x:c r="R22" s="84"/>
      <x:c r="S22" s="84"/>
      <x:c r="T22" s="84"/>
      <x:c r="U22" s="84"/>
    </x:row>
    <x:row r="23">
      <x:c r="A23" s="122" t="str">
        <x:f>IF(C23="","","SEC"&amp;TEXT(ROW()-3,"00"))</x:f>
      </x:c>
      <x:c r="B23" s="113"/>
      <x:c r="C23" s="113"/>
      <x:c r="D23" s="113"/>
      <x:c r="E23" s="113"/>
      <x:c r="F23" s="113"/>
      <x:c r="G23" s="122" t="str">
        <x:f>IF(A23="","",COUNTIF('EVIDENCE MATRIX'!$C$4:$C$103,A23))</x:f>
      </x:c>
      <x:c r="H23" s="113"/>
      <x:c r="I23" s="113"/>
      <x:c r="J23" s="113"/>
      <x:c r="K23" s="84"/>
      <x:c r="L23" s="84"/>
      <x:c r="M23" s="84"/>
      <x:c r="N23" s="84"/>
      <x:c r="O23" s="84"/>
      <x:c r="P23" s="84"/>
      <x:c r="Q23" s="84"/>
      <x:c r="R23" s="84"/>
      <x:c r="S23" s="84"/>
      <x:c r="T23" s="84"/>
      <x:c r="U23" s="84"/>
    </x:row>
    <x:row r="24">
      <x:c r="A24" s="122" t="str">
        <x:f>IF(C24="","","SEC"&amp;TEXT(ROW()-3,"00"))</x:f>
      </x:c>
      <x:c r="B24" s="113"/>
      <x:c r="C24" s="113"/>
      <x:c r="D24" s="113"/>
      <x:c r="E24" s="113"/>
      <x:c r="F24" s="113"/>
      <x:c r="G24" s="122" t="str">
        <x:f>IF(A24="","",COUNTIF('EVIDENCE MATRIX'!$C$4:$C$103,A24))</x:f>
      </x:c>
      <x:c r="H24" s="113"/>
      <x:c r="I24" s="113"/>
      <x:c r="J24" s="113"/>
      <x:c r="K24" s="84"/>
      <x:c r="L24" s="84"/>
      <x:c r="M24" s="84"/>
      <x:c r="N24" s="84"/>
      <x:c r="O24" s="84"/>
      <x:c r="P24" s="84"/>
      <x:c r="Q24" s="84"/>
      <x:c r="R24" s="84"/>
      <x:c r="S24" s="84"/>
      <x:c r="T24" s="84"/>
      <x:c r="U24" s="84"/>
    </x:row>
    <x:row r="25">
      <x:c r="A25" s="122" t="str">
        <x:f>IF(C25="","","SEC"&amp;TEXT(ROW()-3,"00"))</x:f>
      </x:c>
      <x:c r="B25" s="113"/>
      <x:c r="C25" s="113"/>
      <x:c r="D25" s="113"/>
      <x:c r="E25" s="113"/>
      <x:c r="F25" s="113"/>
      <x:c r="G25" s="122" t="str">
        <x:f>IF(A25="","",COUNTIF('EVIDENCE MATRIX'!$C$4:$C$103,A25))</x:f>
      </x:c>
      <x:c r="H25" s="113"/>
      <x:c r="I25" s="113"/>
      <x:c r="J25" s="113"/>
      <x:c r="K25" s="84"/>
      <x:c r="L25" s="84"/>
      <x:c r="M25" s="84"/>
      <x:c r="N25" s="84"/>
      <x:c r="O25" s="84"/>
      <x:c r="P25" s="84"/>
      <x:c r="Q25" s="84"/>
      <x:c r="R25" s="84"/>
      <x:c r="S25" s="84"/>
      <x:c r="T25" s="84"/>
      <x:c r="U25" s="84"/>
    </x:row>
    <x:row r="26">
      <x:c r="A26" s="122" t="str">
        <x:f>IF(C26="","","SEC"&amp;TEXT(ROW()-3,"00"))</x:f>
      </x:c>
      <x:c r="B26" s="113"/>
      <x:c r="C26" s="113"/>
      <x:c r="D26" s="113"/>
      <x:c r="E26" s="113"/>
      <x:c r="F26" s="113"/>
      <x:c r="G26" s="122" t="str">
        <x:f>IF(A26="","",COUNTIF('EVIDENCE MATRIX'!$C$4:$C$103,A26))</x:f>
      </x:c>
      <x:c r="H26" s="113"/>
      <x:c r="I26" s="113"/>
      <x:c r="J26" s="113"/>
      <x:c r="K26" s="84"/>
      <x:c r="L26" s="84"/>
      <x:c r="M26" s="84"/>
      <x:c r="N26" s="84"/>
      <x:c r="O26" s="84"/>
      <x:c r="P26" s="84"/>
      <x:c r="Q26" s="84"/>
      <x:c r="R26" s="84"/>
      <x:c r="S26" s="84"/>
      <x:c r="T26" s="84"/>
      <x:c r="U26" s="84"/>
    </x:row>
    <x:row r="27">
      <x:c r="A27" s="122" t="str">
        <x:f>IF(C27="","","SEC"&amp;TEXT(ROW()-3,"00"))</x:f>
      </x:c>
      <x:c r="B27" s="113"/>
      <x:c r="C27" s="113"/>
      <x:c r="D27" s="113"/>
      <x:c r="E27" s="113"/>
      <x:c r="F27" s="113"/>
      <x:c r="G27" s="122" t="str">
        <x:f>IF(A27="","",COUNTIF('EVIDENCE MATRIX'!$C$4:$C$103,A27))</x:f>
      </x:c>
      <x:c r="H27" s="113"/>
      <x:c r="I27" s="113"/>
      <x:c r="J27" s="113"/>
      <x:c r="K27" s="84"/>
      <x:c r="L27" s="84"/>
      <x:c r="M27" s="84"/>
      <x:c r="N27" s="84"/>
      <x:c r="O27" s="84"/>
      <x:c r="P27" s="84"/>
      <x:c r="Q27" s="84"/>
      <x:c r="R27" s="84"/>
      <x:c r="S27" s="84"/>
      <x:c r="T27" s="84"/>
      <x:c r="U27" s="84"/>
    </x:row>
    <x:row r="28">
      <x:c r="A28" s="122" t="str">
        <x:f>IF(C28="","","SEC"&amp;TEXT(ROW()-3,"00"))</x:f>
      </x:c>
      <x:c r="B28" s="113"/>
      <x:c r="C28" s="113"/>
      <x:c r="D28" s="113"/>
      <x:c r="E28" s="113"/>
      <x:c r="F28" s="113"/>
      <x:c r="G28" s="122" t="str">
        <x:f>IF(A28="","",COUNTIF('EVIDENCE MATRIX'!$C$4:$C$103,A28))</x:f>
      </x:c>
      <x:c r="H28" s="113"/>
      <x:c r="I28" s="113"/>
      <x:c r="J28" s="113"/>
      <x:c r="K28" s="84"/>
      <x:c r="L28" s="84"/>
      <x:c r="M28" s="84"/>
      <x:c r="N28" s="84"/>
      <x:c r="O28" s="84"/>
      <x:c r="P28" s="84"/>
      <x:c r="Q28" s="84"/>
      <x:c r="R28" s="84"/>
      <x:c r="S28" s="84"/>
      <x:c r="T28" s="84"/>
      <x:c r="U28" s="84"/>
    </x:row>
    <x:row r="29">
      <x:c r="A29" s="122" t="str">
        <x:f>IF(C29="","","SEC"&amp;TEXT(ROW()-3,"00"))</x:f>
      </x:c>
      <x:c r="B29" s="113"/>
      <x:c r="C29" s="113"/>
      <x:c r="D29" s="113"/>
      <x:c r="E29" s="113"/>
      <x:c r="F29" s="113"/>
      <x:c r="G29" s="122" t="str">
        <x:f>IF(A29="","",COUNTIF('EVIDENCE MATRIX'!$C$4:$C$103,A29))</x:f>
      </x:c>
      <x:c r="H29" s="113"/>
      <x:c r="I29" s="113"/>
      <x:c r="J29" s="113"/>
      <x:c r="K29" s="84"/>
      <x:c r="L29" s="84"/>
      <x:c r="M29" s="84"/>
      <x:c r="N29" s="84"/>
      <x:c r="O29" s="84"/>
      <x:c r="P29" s="84"/>
      <x:c r="Q29" s="84"/>
      <x:c r="R29" s="84"/>
      <x:c r="S29" s="84"/>
      <x:c r="T29" s="84"/>
      <x:c r="U29" s="84"/>
    </x:row>
    <x:row r="30">
      <x:c r="A30" s="122" t="str">
        <x:f>IF(C30="","","SEC"&amp;TEXT(ROW()-3,"00"))</x:f>
      </x:c>
      <x:c r="B30" s="113"/>
      <x:c r="C30" s="113"/>
      <x:c r="D30" s="113"/>
      <x:c r="E30" s="113"/>
      <x:c r="F30" s="113"/>
      <x:c r="G30" s="122" t="str">
        <x:f>IF(A30="","",COUNTIF('EVIDENCE MATRIX'!$C$4:$C$103,A30))</x:f>
      </x:c>
      <x:c r="H30" s="113"/>
      <x:c r="I30" s="113"/>
      <x:c r="J30" s="113"/>
      <x:c r="K30" s="84"/>
      <x:c r="L30" s="84"/>
      <x:c r="M30" s="84"/>
      <x:c r="N30" s="84"/>
      <x:c r="O30" s="84"/>
      <x:c r="P30" s="84"/>
      <x:c r="Q30" s="84"/>
      <x:c r="R30" s="84"/>
      <x:c r="S30" s="84"/>
      <x:c r="T30" s="84"/>
      <x:c r="U30" s="84"/>
    </x:row>
    <x:row r="31">
      <x:c r="A31" s="122" t="str">
        <x:f>IF(C31="","","SEC"&amp;TEXT(ROW()-3,"00"))</x:f>
      </x:c>
      <x:c r="B31" s="113"/>
      <x:c r="C31" s="113"/>
      <x:c r="D31" s="113"/>
      <x:c r="E31" s="113"/>
      <x:c r="F31" s="113"/>
      <x:c r="G31" s="122" t="str">
        <x:f>IF(A31="","",COUNTIF('EVIDENCE MATRIX'!$C$4:$C$103,A31))</x:f>
      </x:c>
      <x:c r="H31" s="113"/>
      <x:c r="I31" s="113"/>
      <x:c r="J31" s="113"/>
      <x:c r="K31" s="84"/>
      <x:c r="L31" s="84"/>
      <x:c r="M31" s="84"/>
      <x:c r="N31" s="84"/>
      <x:c r="O31" s="84"/>
      <x:c r="P31" s="84"/>
      <x:c r="Q31" s="84"/>
      <x:c r="R31" s="84"/>
      <x:c r="S31" s="84"/>
      <x:c r="T31" s="84"/>
      <x:c r="U31" s="84"/>
    </x:row>
    <x:row r="32">
      <x:c r="A32" s="122" t="str">
        <x:f>IF(C32="","","SEC"&amp;TEXT(ROW()-3,"00"))</x:f>
      </x:c>
      <x:c r="B32" s="113"/>
      <x:c r="C32" s="113"/>
      <x:c r="D32" s="113"/>
      <x:c r="E32" s="113"/>
      <x:c r="F32" s="113"/>
      <x:c r="G32" s="122" t="str">
        <x:f>IF(A32="","",COUNTIF('EVIDENCE MATRIX'!$C$4:$C$103,A32))</x:f>
      </x:c>
      <x:c r="H32" s="113"/>
      <x:c r="I32" s="113"/>
      <x:c r="J32" s="113"/>
      <x:c r="K32" s="84"/>
      <x:c r="L32" s="84"/>
      <x:c r="M32" s="84"/>
      <x:c r="N32" s="84"/>
      <x:c r="O32" s="84"/>
      <x:c r="P32" s="84"/>
      <x:c r="Q32" s="84"/>
      <x:c r="R32" s="84"/>
      <x:c r="S32" s="84"/>
      <x:c r="T32" s="84"/>
      <x:c r="U32" s="84"/>
    </x:row>
    <x:row r="33">
      <x:c r="A33" s="122" t="str">
        <x:f>IF(C33="","","SEC"&amp;TEXT(ROW()-3,"00"))</x:f>
      </x:c>
      <x:c r="B33" s="113"/>
      <x:c r="C33" s="113"/>
      <x:c r="D33" s="113"/>
      <x:c r="E33" s="113"/>
      <x:c r="F33" s="113"/>
      <x:c r="G33" s="122" t="str">
        <x:f>IF(A33="","",COUNTIF('EVIDENCE MATRIX'!$C$4:$C$103,A33))</x:f>
      </x:c>
      <x:c r="H33" s="113"/>
      <x:c r="I33" s="113"/>
      <x:c r="J33" s="113"/>
      <x:c r="K33" s="84"/>
      <x:c r="L33" s="84"/>
      <x:c r="M33" s="84"/>
      <x:c r="N33" s="84"/>
      <x:c r="O33" s="84"/>
      <x:c r="P33" s="84"/>
      <x:c r="Q33" s="84"/>
      <x:c r="R33" s="84"/>
      <x:c r="S33" s="84"/>
      <x:c r="T33" s="84"/>
      <x:c r="U33" s="84"/>
    </x:row>
    <x:row r="34">
      <x:c r="A34" s="84"/>
      <x:c r="B34" s="84"/>
      <x:c r="C34" s="84"/>
      <x:c r="D34" s="84"/>
      <x:c r="E34" s="84"/>
      <x:c r="F34" s="84"/>
      <x:c r="G34" s="84"/>
      <x:c r="H34" s="84"/>
      <x:c r="I34" s="84"/>
      <x:c r="J34" s="84"/>
      <x:c r="K34" s="84"/>
      <x:c r="L34" s="84"/>
      <x:c r="M34" s="84"/>
      <x:c r="N34" s="84"/>
      <x:c r="O34" s="84"/>
      <x:c r="P34" s="84"/>
      <x:c r="Q34" s="84"/>
      <x:c r="R34" s="84"/>
      <x:c r="S34" s="84"/>
      <x:c r="T34" s="84"/>
      <x:c r="U34" s="84"/>
    </x:row>
    <x:row r="35">
      <x:c r="A35" s="84"/>
      <x:c r="B35" s="84"/>
      <x:c r="C35" s="84"/>
      <x:c r="D35" s="84"/>
      <x:c r="E35" s="84"/>
      <x:c r="F35" s="84"/>
      <x:c r="G35" s="84"/>
      <x:c r="H35" s="84"/>
      <x:c r="I35" s="84"/>
      <x:c r="J35" s="84"/>
      <x:c r="K35" s="84"/>
      <x:c r="L35" s="84"/>
      <x:c r="M35" s="84"/>
      <x:c r="N35" s="84"/>
      <x:c r="O35" s="84"/>
      <x:c r="P35" s="84"/>
      <x:c r="Q35" s="84"/>
      <x:c r="R35" s="84"/>
      <x:c r="S35" s="84"/>
      <x:c r="T35" s="84"/>
      <x:c r="U35" s="84"/>
    </x:row>
    <x:row r="36">
      <x:c r="A36" s="84"/>
      <x:c r="B36" s="84"/>
      <x:c r="C36" s="84"/>
      <x:c r="D36" s="84"/>
      <x:c r="E36" s="84"/>
      <x:c r="F36" s="84"/>
      <x:c r="G36" s="84"/>
      <x:c r="H36" s="84"/>
      <x:c r="I36" s="84"/>
      <x:c r="J36" s="84"/>
      <x:c r="K36" s="84"/>
      <x:c r="L36" s="84"/>
      <x:c r="M36" s="84"/>
      <x:c r="N36" s="84"/>
      <x:c r="O36" s="84"/>
      <x:c r="P36" s="84"/>
      <x:c r="Q36" s="84"/>
      <x:c r="R36" s="84"/>
      <x:c r="S36" s="84"/>
      <x:c r="T36" s="84"/>
      <x:c r="U36" s="84"/>
    </x:row>
    <x:row r="37">
      <x:c r="A37" s="84"/>
      <x:c r="B37" s="84"/>
      <x:c r="C37" s="84"/>
      <x:c r="D37" s="84"/>
      <x:c r="E37" s="84"/>
      <x:c r="F37" s="84"/>
      <x:c r="G37" s="84"/>
      <x:c r="H37" s="84"/>
      <x:c r="I37" s="84"/>
      <x:c r="J37" s="84"/>
      <x:c r="K37" s="84"/>
      <x:c r="L37" s="84"/>
      <x:c r="M37" s="84"/>
      <x:c r="N37" s="84"/>
      <x:c r="O37" s="84"/>
      <x:c r="P37" s="84"/>
      <x:c r="Q37" s="84"/>
      <x:c r="R37" s="84"/>
      <x:c r="S37" s="84"/>
      <x:c r="T37" s="84"/>
      <x:c r="U37" s="84"/>
    </x:row>
    <x:row r="38">
      <x:c r="A38" s="84"/>
      <x:c r="B38" s="84"/>
      <x:c r="C38" s="84"/>
      <x:c r="D38" s="84"/>
      <x:c r="E38" s="84"/>
      <x:c r="F38" s="84"/>
      <x:c r="G38" s="84"/>
      <x:c r="H38" s="84"/>
      <x:c r="I38" s="84"/>
      <x:c r="J38" s="84"/>
      <x:c r="K38" s="84"/>
      <x:c r="L38" s="84"/>
      <x:c r="M38" s="84"/>
      <x:c r="N38" s="84"/>
      <x:c r="O38" s="84"/>
      <x:c r="P38" s="84"/>
      <x:c r="Q38" s="84"/>
      <x:c r="R38" s="84"/>
      <x:c r="S38" s="84"/>
      <x:c r="T38" s="84"/>
      <x:c r="U38" s="84"/>
    </x:row>
    <x:row r="39">
      <x:c r="A39" s="84"/>
      <x:c r="B39" s="84"/>
      <x:c r="C39" s="84"/>
      <x:c r="D39" s="84"/>
      <x:c r="E39" s="84"/>
      <x:c r="F39" s="84"/>
      <x:c r="G39" s="84"/>
      <x:c r="H39" s="84"/>
      <x:c r="I39" s="84"/>
      <x:c r="J39" s="84"/>
      <x:c r="K39" s="84"/>
      <x:c r="L39" s="84"/>
      <x:c r="M39" s="84"/>
      <x:c r="N39" s="84"/>
      <x:c r="O39" s="84"/>
      <x:c r="P39" s="84"/>
      <x:c r="Q39" s="84"/>
      <x:c r="R39" s="84"/>
      <x:c r="S39" s="84"/>
      <x:c r="T39" s="84"/>
      <x:c r="U39" s="84"/>
    </x:row>
    <x:row r="40">
      <x:c r="A40" s="84"/>
      <x:c r="B40" s="84"/>
      <x:c r="C40" s="84"/>
      <x:c r="D40" s="84"/>
      <x:c r="E40" s="84"/>
      <x:c r="F40" s="84"/>
      <x:c r="G40" s="84"/>
      <x:c r="H40" s="84"/>
      <x:c r="I40" s="84"/>
      <x:c r="J40" s="84"/>
      <x:c r="K40" s="84"/>
      <x:c r="L40" s="84"/>
      <x:c r="M40" s="84"/>
      <x:c r="N40" s="84"/>
      <x:c r="O40" s="84"/>
      <x:c r="P40" s="84"/>
      <x:c r="Q40" s="84"/>
      <x:c r="R40" s="84"/>
      <x:c r="S40" s="84"/>
      <x:c r="T40" s="84"/>
      <x:c r="U40" s="84"/>
    </x:row>
    <x:row r="41">
      <x:c r="A41" s="84"/>
      <x:c r="B41" s="84"/>
      <x:c r="C41" s="84"/>
      <x:c r="D41" s="84"/>
      <x:c r="E41" s="84"/>
      <x:c r="F41" s="84"/>
      <x:c r="G41" s="84"/>
      <x:c r="H41" s="84"/>
      <x:c r="I41" s="84"/>
      <x:c r="J41" s="84"/>
      <x:c r="K41" s="84"/>
      <x:c r="L41" s="84"/>
      <x:c r="M41" s="84"/>
      <x:c r="N41" s="84"/>
      <x:c r="O41" s="84"/>
      <x:c r="P41" s="84"/>
      <x:c r="Q41" s="84"/>
      <x:c r="R41" s="84"/>
      <x:c r="S41" s="84"/>
      <x:c r="T41" s="84"/>
      <x:c r="U41" s="84"/>
    </x:row>
    <x:row r="42">
      <x:c r="A42" s="84"/>
      <x:c r="B42" s="84"/>
      <x:c r="C42" s="84"/>
      <x:c r="D42" s="84"/>
      <x:c r="E42" s="84"/>
      <x:c r="F42" s="84"/>
      <x:c r="G42" s="84"/>
      <x:c r="H42" s="84"/>
      <x:c r="I42" s="84"/>
      <x:c r="J42" s="84"/>
      <x:c r="K42" s="84"/>
      <x:c r="L42" s="84"/>
      <x:c r="M42" s="84"/>
      <x:c r="N42" s="84"/>
      <x:c r="O42" s="84"/>
      <x:c r="P42" s="84"/>
      <x:c r="Q42" s="84"/>
      <x:c r="R42" s="84"/>
      <x:c r="S42" s="84"/>
      <x:c r="T42" s="84"/>
      <x:c r="U42" s="84"/>
    </x:row>
    <x:row r="43">
      <x:c r="A43" s="84"/>
      <x:c r="B43" s="84"/>
      <x:c r="C43" s="84"/>
      <x:c r="D43" s="84"/>
      <x:c r="E43" s="84"/>
      <x:c r="F43" s="84"/>
      <x:c r="G43" s="84"/>
      <x:c r="H43" s="84"/>
      <x:c r="I43" s="84"/>
      <x:c r="J43" s="84"/>
      <x:c r="K43" s="84"/>
      <x:c r="L43" s="84"/>
      <x:c r="M43" s="84"/>
      <x:c r="N43" s="84"/>
      <x:c r="O43" s="84"/>
      <x:c r="P43" s="84"/>
      <x:c r="Q43" s="84"/>
      <x:c r="R43" s="84"/>
      <x:c r="S43" s="84"/>
      <x:c r="T43" s="84"/>
      <x:c r="U43" s="84"/>
    </x:row>
    <x:row r="44">
      <x:c r="A44" s="84"/>
      <x:c r="B44" s="84"/>
      <x:c r="C44" s="84"/>
      <x:c r="D44" s="84"/>
      <x:c r="E44" s="84"/>
      <x:c r="F44" s="84"/>
      <x:c r="G44" s="84"/>
      <x:c r="H44" s="84"/>
      <x:c r="I44" s="84"/>
      <x:c r="J44" s="84"/>
      <x:c r="K44" s="84"/>
      <x:c r="L44" s="84"/>
      <x:c r="M44" s="84"/>
      <x:c r="N44" s="84"/>
      <x:c r="O44" s="84"/>
      <x:c r="P44" s="84"/>
      <x:c r="Q44" s="84"/>
      <x:c r="R44" s="84"/>
      <x:c r="S44" s="84"/>
      <x:c r="T44" s="84"/>
      <x:c r="U44" s="84"/>
    </x:row>
    <x:row r="45">
      <x:c r="A45" s="84"/>
      <x:c r="B45" s="84"/>
      <x:c r="C45" s="84"/>
      <x:c r="D45" s="84"/>
      <x:c r="E45" s="84"/>
      <x:c r="F45" s="84"/>
      <x:c r="G45" s="84"/>
      <x:c r="H45" s="84"/>
      <x:c r="I45" s="84"/>
      <x:c r="J45" s="84"/>
      <x:c r="K45" s="84"/>
      <x:c r="L45" s="84"/>
      <x:c r="M45" s="84"/>
      <x:c r="N45" s="84"/>
      <x:c r="O45" s="84"/>
      <x:c r="P45" s="84"/>
      <x:c r="Q45" s="84"/>
      <x:c r="R45" s="84"/>
      <x:c r="S45" s="84"/>
      <x:c r="T45" s="84"/>
      <x:c r="U45" s="84"/>
    </x:row>
    <x:row r="46">
      <x:c r="A46" s="84"/>
      <x:c r="B46" s="84"/>
      <x:c r="C46" s="84"/>
      <x:c r="D46" s="84"/>
      <x:c r="E46" s="84"/>
      <x:c r="F46" s="84"/>
      <x:c r="G46" s="84"/>
      <x:c r="H46" s="84"/>
      <x:c r="I46" s="84"/>
      <x:c r="J46" s="84"/>
      <x:c r="K46" s="84"/>
      <x:c r="L46" s="84"/>
      <x:c r="M46" s="84"/>
      <x:c r="N46" s="84"/>
      <x:c r="O46" s="84"/>
      <x:c r="P46" s="84"/>
      <x:c r="Q46" s="84"/>
      <x:c r="R46" s="84"/>
      <x:c r="S46" s="84"/>
      <x:c r="T46" s="84"/>
      <x:c r="U46" s="84"/>
    </x:row>
    <x:row r="47">
      <x:c r="A47" s="84"/>
      <x:c r="B47" s="84"/>
      <x:c r="C47" s="84"/>
      <x:c r="D47" s="84"/>
      <x:c r="E47" s="84"/>
      <x:c r="F47" s="84"/>
      <x:c r="G47" s="84"/>
      <x:c r="H47" s="84"/>
      <x:c r="I47" s="84"/>
      <x:c r="J47" s="84"/>
      <x:c r="K47" s="84"/>
      <x:c r="L47" s="84"/>
      <x:c r="M47" s="84"/>
      <x:c r="N47" s="84"/>
      <x:c r="O47" s="84"/>
      <x:c r="P47" s="84"/>
      <x:c r="Q47" s="84"/>
      <x:c r="R47" s="84"/>
      <x:c r="S47" s="84"/>
      <x:c r="T47" s="84"/>
      <x:c r="U47" s="84"/>
    </x:row>
    <x:row r="48">
      <x:c r="A48" s="84"/>
      <x:c r="B48" s="84"/>
      <x:c r="C48" s="84"/>
      <x:c r="D48" s="84"/>
      <x:c r="E48" s="84"/>
      <x:c r="F48" s="84"/>
      <x:c r="G48" s="84"/>
      <x:c r="H48" s="84"/>
      <x:c r="I48" s="84"/>
      <x:c r="J48" s="84"/>
      <x:c r="K48" s="84"/>
      <x:c r="L48" s="84"/>
      <x:c r="M48" s="84"/>
      <x:c r="N48" s="84"/>
      <x:c r="O48" s="84"/>
      <x:c r="P48" s="84"/>
      <x:c r="Q48" s="84"/>
      <x:c r="R48" s="84"/>
      <x:c r="S48" s="84"/>
      <x:c r="T48" s="84"/>
      <x:c r="U48" s="84"/>
    </x:row>
    <x:row r="49">
      <x:c r="A49" s="84"/>
      <x:c r="B49" s="84"/>
      <x:c r="C49" s="84"/>
      <x:c r="D49" s="84"/>
      <x:c r="E49" s="84"/>
      <x:c r="F49" s="84"/>
      <x:c r="G49" s="84"/>
      <x:c r="H49" s="84"/>
      <x:c r="I49" s="84"/>
      <x:c r="J49" s="84"/>
      <x:c r="K49" s="84"/>
      <x:c r="L49" s="84"/>
      <x:c r="M49" s="84"/>
      <x:c r="N49" s="84"/>
      <x:c r="O49" s="84"/>
      <x:c r="P49" s="84"/>
      <x:c r="Q49" s="84"/>
      <x:c r="R49" s="84"/>
      <x:c r="S49" s="84"/>
      <x:c r="T49" s="84"/>
      <x:c r="U49" s="84"/>
    </x:row>
    <x:row r="50">
      <x:c r="A50" s="84"/>
      <x:c r="B50" s="84"/>
      <x:c r="C50" s="84"/>
      <x:c r="D50" s="84"/>
      <x:c r="E50" s="84"/>
      <x:c r="F50" s="84"/>
      <x:c r="G50" s="84"/>
      <x:c r="H50" s="84"/>
      <x:c r="I50" s="84"/>
      <x:c r="J50" s="84"/>
      <x:c r="K50" s="84"/>
      <x:c r="L50" s="84"/>
      <x:c r="M50" s="84"/>
      <x:c r="N50" s="84"/>
      <x:c r="O50" s="84"/>
      <x:c r="P50" s="84"/>
      <x:c r="Q50" s="84"/>
      <x:c r="R50" s="84"/>
      <x:c r="S50" s="84"/>
      <x:c r="T50" s="84"/>
      <x:c r="U50" s="84"/>
    </x:row>
    <x:row r="51">
      <x:c r="A51" s="84"/>
      <x:c r="B51" s="84"/>
      <x:c r="C51" s="84"/>
      <x:c r="D51" s="84"/>
      <x:c r="E51" s="84"/>
      <x:c r="F51" s="84"/>
      <x:c r="G51" s="84"/>
      <x:c r="H51" s="84"/>
      <x:c r="I51" s="84"/>
      <x:c r="J51" s="84"/>
      <x:c r="K51" s="84"/>
      <x:c r="L51" s="84"/>
      <x:c r="M51" s="84"/>
      <x:c r="N51" s="84"/>
      <x:c r="O51" s="84"/>
      <x:c r="P51" s="84"/>
      <x:c r="Q51" s="84"/>
      <x:c r="R51" s="84"/>
      <x:c r="S51" s="84"/>
      <x:c r="T51" s="84"/>
      <x:c r="U51" s="84"/>
    </x:row>
    <x:row r="52">
      <x:c r="A52" s="84"/>
      <x:c r="B52" s="84"/>
      <x:c r="C52" s="84"/>
      <x:c r="D52" s="84"/>
      <x:c r="E52" s="84"/>
      <x:c r="F52" s="84"/>
      <x:c r="G52" s="84"/>
      <x:c r="H52" s="84"/>
      <x:c r="I52" s="84"/>
      <x:c r="J52" s="84"/>
      <x:c r="K52" s="84"/>
      <x:c r="L52" s="84"/>
      <x:c r="M52" s="84"/>
      <x:c r="N52" s="84"/>
      <x:c r="O52" s="84"/>
      <x:c r="P52" s="84"/>
      <x:c r="Q52" s="84"/>
      <x:c r="R52" s="84"/>
      <x:c r="S52" s="84"/>
      <x:c r="T52" s="84"/>
      <x:c r="U52" s="84"/>
    </x:row>
    <x:row r="53">
      <x:c r="A53" s="84"/>
      <x:c r="B53" s="84"/>
      <x:c r="C53" s="84"/>
      <x:c r="D53" s="84"/>
      <x:c r="E53" s="84"/>
      <x:c r="F53" s="84"/>
      <x:c r="G53" s="84"/>
      <x:c r="H53" s="84"/>
      <x:c r="I53" s="84"/>
      <x:c r="J53" s="84"/>
      <x:c r="K53" s="84"/>
      <x:c r="L53" s="84"/>
      <x:c r="M53" s="84"/>
      <x:c r="N53" s="84"/>
      <x:c r="O53" s="84"/>
      <x:c r="P53" s="84"/>
      <x:c r="Q53" s="84"/>
      <x:c r="R53" s="84"/>
      <x:c r="S53" s="84"/>
      <x:c r="T53" s="84"/>
      <x:c r="U53" s="84"/>
    </x:row>
    <x:row r="54">
      <x:c r="A54" s="84"/>
      <x:c r="B54" s="84"/>
      <x:c r="C54" s="84"/>
      <x:c r="D54" s="84"/>
      <x:c r="E54" s="84"/>
      <x:c r="F54" s="84"/>
      <x:c r="G54" s="84"/>
      <x:c r="H54" s="84"/>
      <x:c r="I54" s="84"/>
      <x:c r="J54" s="84"/>
      <x:c r="K54" s="84"/>
      <x:c r="L54" s="84"/>
      <x:c r="M54" s="84"/>
      <x:c r="N54" s="84"/>
      <x:c r="O54" s="84"/>
      <x:c r="P54" s="84"/>
      <x:c r="Q54" s="84"/>
      <x:c r="R54" s="84"/>
      <x:c r="S54" s="84"/>
      <x:c r="T54" s="84"/>
      <x:c r="U54" s="84"/>
    </x:row>
    <x:row r="55">
      <x:c r="A55" s="84"/>
      <x:c r="B55" s="84"/>
      <x:c r="C55" s="84"/>
      <x:c r="D55" s="84"/>
      <x:c r="E55" s="84"/>
      <x:c r="F55" s="84"/>
      <x:c r="G55" s="84"/>
      <x:c r="H55" s="84"/>
      <x:c r="I55" s="84"/>
      <x:c r="J55" s="84"/>
      <x:c r="K55" s="84"/>
      <x:c r="L55" s="84"/>
      <x:c r="M55" s="84"/>
      <x:c r="N55" s="84"/>
      <x:c r="O55" s="84"/>
      <x:c r="P55" s="84"/>
      <x:c r="Q55" s="84"/>
      <x:c r="R55" s="84"/>
      <x:c r="S55" s="84"/>
      <x:c r="T55" s="84"/>
      <x:c r="U55" s="84"/>
    </x:row>
    <x:row r="56">
      <x:c r="A56" s="84"/>
      <x:c r="B56" s="84"/>
      <x:c r="C56" s="84"/>
      <x:c r="D56" s="84"/>
      <x:c r="E56" s="84"/>
      <x:c r="F56" s="84"/>
      <x:c r="G56" s="84"/>
      <x:c r="H56" s="84"/>
      <x:c r="I56" s="84"/>
      <x:c r="J56" s="84"/>
      <x:c r="K56" s="84"/>
      <x:c r="L56" s="84"/>
      <x:c r="M56" s="84"/>
      <x:c r="N56" s="84"/>
      <x:c r="O56" s="84"/>
      <x:c r="P56" s="84"/>
      <x:c r="Q56" s="84"/>
      <x:c r="R56" s="84"/>
      <x:c r="S56" s="84"/>
      <x:c r="T56" s="84"/>
      <x:c r="U56" s="84"/>
    </x:row>
    <x:row r="57">
      <x:c r="A57" s="84"/>
      <x:c r="B57" s="84"/>
      <x:c r="C57" s="84"/>
      <x:c r="D57" s="84"/>
      <x:c r="E57" s="84"/>
      <x:c r="F57" s="84"/>
      <x:c r="G57" s="84"/>
      <x:c r="H57" s="84"/>
      <x:c r="I57" s="84"/>
      <x:c r="J57" s="84"/>
      <x:c r="K57" s="84"/>
      <x:c r="L57" s="84"/>
      <x:c r="M57" s="84"/>
      <x:c r="N57" s="84"/>
      <x:c r="O57" s="84"/>
      <x:c r="P57" s="84"/>
      <x:c r="Q57" s="84"/>
      <x:c r="R57" s="84"/>
      <x:c r="S57" s="84"/>
      <x:c r="T57" s="84"/>
      <x:c r="U57" s="84"/>
    </x:row>
    <x:row r="58">
      <x:c r="A58" s="84"/>
      <x:c r="B58" s="84"/>
      <x:c r="C58" s="84"/>
      <x:c r="D58" s="84"/>
      <x:c r="E58" s="84"/>
      <x:c r="F58" s="84"/>
      <x:c r="G58" s="84"/>
      <x:c r="H58" s="84"/>
      <x:c r="I58" s="84"/>
      <x:c r="J58" s="84"/>
      <x:c r="K58" s="84"/>
      <x:c r="L58" s="84"/>
      <x:c r="M58" s="84"/>
      <x:c r="N58" s="84"/>
      <x:c r="O58" s="84"/>
      <x:c r="P58" s="84"/>
      <x:c r="Q58" s="84"/>
      <x:c r="R58" s="84"/>
      <x:c r="S58" s="84"/>
      <x:c r="T58" s="84"/>
      <x:c r="U58" s="84"/>
    </x:row>
    <x:row r="59">
      <x:c r="A59" s="84"/>
      <x:c r="B59" s="84"/>
      <x:c r="C59" s="84"/>
      <x:c r="D59" s="84"/>
      <x:c r="E59" s="84"/>
      <x:c r="F59" s="84"/>
      <x:c r="G59" s="84"/>
      <x:c r="H59" s="84"/>
      <x:c r="I59" s="84"/>
      <x:c r="J59" s="84"/>
      <x:c r="K59" s="84"/>
      <x:c r="L59" s="84"/>
      <x:c r="M59" s="84"/>
      <x:c r="N59" s="84"/>
      <x:c r="O59" s="84"/>
      <x:c r="P59" s="84"/>
      <x:c r="Q59" s="84"/>
      <x:c r="R59" s="84"/>
      <x:c r="S59" s="84"/>
      <x:c r="T59" s="84"/>
      <x:c r="U59" s="84"/>
    </x:row>
    <x:row r="60">
      <x:c r="A60" s="84"/>
      <x:c r="B60" s="84"/>
      <x:c r="C60" s="84"/>
      <x:c r="D60" s="84"/>
      <x:c r="E60" s="84"/>
      <x:c r="F60" s="84"/>
      <x:c r="G60" s="84"/>
      <x:c r="H60" s="84"/>
      <x:c r="I60" s="84"/>
      <x:c r="J60" s="84"/>
      <x:c r="K60" s="84"/>
      <x:c r="L60" s="84"/>
      <x:c r="M60" s="84"/>
      <x:c r="N60" s="84"/>
      <x:c r="O60" s="84"/>
      <x:c r="P60" s="84"/>
      <x:c r="Q60" s="84"/>
      <x:c r="R60" s="84"/>
      <x:c r="S60" s="84"/>
      <x:c r="T60" s="84"/>
      <x:c r="U60" s="84"/>
    </x:row>
    <x:row r="61">
      <x:c r="A61" s="84"/>
      <x:c r="B61" s="84"/>
      <x:c r="C61" s="84"/>
      <x:c r="D61" s="84"/>
      <x:c r="E61" s="84"/>
      <x:c r="F61" s="84"/>
      <x:c r="G61" s="84"/>
      <x:c r="H61" s="84"/>
      <x:c r="I61" s="84"/>
      <x:c r="J61" s="84"/>
      <x:c r="K61" s="84"/>
      <x:c r="L61" s="84"/>
      <x:c r="M61" s="84"/>
      <x:c r="N61" s="84"/>
      <x:c r="O61" s="84"/>
      <x:c r="P61" s="84"/>
      <x:c r="Q61" s="84"/>
      <x:c r="R61" s="84"/>
      <x:c r="S61" s="84"/>
      <x:c r="T61" s="84"/>
      <x:c r="U61" s="84"/>
    </x:row>
    <x:row r="62">
      <x:c r="A62" s="84"/>
      <x:c r="B62" s="84"/>
      <x:c r="C62" s="84"/>
      <x:c r="D62" s="84"/>
      <x:c r="E62" s="84"/>
      <x:c r="F62" s="84"/>
      <x:c r="G62" s="84"/>
      <x:c r="H62" s="84"/>
      <x:c r="I62" s="84"/>
      <x:c r="J62" s="84"/>
      <x:c r="K62" s="84"/>
      <x:c r="L62" s="84"/>
      <x:c r="M62" s="84"/>
      <x:c r="N62" s="84"/>
      <x:c r="O62" s="84"/>
      <x:c r="P62" s="84"/>
      <x:c r="Q62" s="84"/>
      <x:c r="R62" s="84"/>
      <x:c r="S62" s="84"/>
      <x:c r="T62" s="84"/>
      <x:c r="U62" s="84"/>
    </x:row>
    <x:row r="63">
      <x:c r="A63" s="84"/>
      <x:c r="B63" s="84"/>
      <x:c r="C63" s="84"/>
      <x:c r="D63" s="84"/>
      <x:c r="E63" s="84"/>
      <x:c r="F63" s="84"/>
      <x:c r="G63" s="84"/>
      <x:c r="H63" s="84"/>
      <x:c r="I63" s="84"/>
      <x:c r="J63" s="84"/>
      <x:c r="K63" s="84"/>
      <x:c r="L63" s="84"/>
      <x:c r="M63" s="84"/>
      <x:c r="N63" s="84"/>
      <x:c r="O63" s="84"/>
      <x:c r="P63" s="84"/>
      <x:c r="Q63" s="84"/>
      <x:c r="R63" s="84"/>
      <x:c r="S63" s="84"/>
      <x:c r="T63" s="84"/>
      <x:c r="U63" s="84"/>
    </x:row>
    <x:row r="64">
      <x:c r="A64" s="84"/>
      <x:c r="B64" s="84"/>
      <x:c r="C64" s="84"/>
      <x:c r="D64" s="84"/>
      <x:c r="E64" s="84"/>
      <x:c r="F64" s="84"/>
      <x:c r="G64" s="84"/>
      <x:c r="H64" s="84"/>
      <x:c r="I64" s="84"/>
      <x:c r="J64" s="84"/>
      <x:c r="K64" s="84"/>
      <x:c r="L64" s="84"/>
      <x:c r="M64" s="84"/>
      <x:c r="N64" s="84"/>
      <x:c r="O64" s="84"/>
      <x:c r="P64" s="84"/>
      <x:c r="Q64" s="84"/>
      <x:c r="R64" s="84"/>
      <x:c r="S64" s="84"/>
      <x:c r="T64" s="84"/>
      <x:c r="U64" s="84"/>
    </x:row>
    <x:row r="65">
      <x:c r="A65" s="84"/>
      <x:c r="B65" s="84"/>
      <x:c r="C65" s="84"/>
      <x:c r="D65" s="84"/>
      <x:c r="E65" s="84"/>
      <x:c r="F65" s="84"/>
      <x:c r="G65" s="84"/>
      <x:c r="H65" s="84"/>
      <x:c r="I65" s="84"/>
      <x:c r="J65" s="84"/>
      <x:c r="K65" s="84"/>
      <x:c r="L65" s="84"/>
      <x:c r="M65" s="84"/>
      <x:c r="N65" s="84"/>
      <x:c r="O65" s="84"/>
      <x:c r="P65" s="84"/>
      <x:c r="Q65" s="84"/>
      <x:c r="R65" s="84"/>
      <x:c r="S65" s="84"/>
      <x:c r="T65" s="84"/>
      <x:c r="U65" s="84"/>
    </x:row>
    <x:row r="66">
      <x:c r="A66" s="84"/>
      <x:c r="B66" s="84"/>
      <x:c r="C66" s="84"/>
      <x:c r="D66" s="84"/>
      <x:c r="E66" s="84"/>
      <x:c r="F66" s="84"/>
      <x:c r="G66" s="84"/>
      <x:c r="H66" s="84"/>
      <x:c r="I66" s="84"/>
      <x:c r="J66" s="84"/>
      <x:c r="K66" s="84"/>
      <x:c r="L66" s="84"/>
      <x:c r="M66" s="84"/>
      <x:c r="N66" s="84"/>
      <x:c r="O66" s="84"/>
      <x:c r="P66" s="84"/>
      <x:c r="Q66" s="84"/>
      <x:c r="R66" s="84"/>
      <x:c r="S66" s="84"/>
      <x:c r="T66" s="84"/>
      <x:c r="U66" s="84"/>
    </x:row>
    <x:row r="67">
      <x:c r="A67" s="84"/>
      <x:c r="B67" s="84"/>
      <x:c r="C67" s="84"/>
      <x:c r="D67" s="84"/>
      <x:c r="E67" s="84"/>
      <x:c r="F67" s="84"/>
      <x:c r="G67" s="84"/>
      <x:c r="H67" s="84"/>
      <x:c r="I67" s="84"/>
      <x:c r="J67" s="84"/>
      <x:c r="K67" s="84"/>
      <x:c r="L67" s="84"/>
      <x:c r="M67" s="84"/>
      <x:c r="N67" s="84"/>
      <x:c r="O67" s="84"/>
      <x:c r="P67" s="84"/>
      <x:c r="Q67" s="84"/>
      <x:c r="R67" s="84"/>
      <x:c r="S67" s="84"/>
      <x:c r="T67" s="84"/>
      <x:c r="U67" s="84"/>
    </x:row>
    <x:row r="68">
      <x:c r="A68" s="84"/>
      <x:c r="B68" s="84"/>
      <x:c r="C68" s="84"/>
      <x:c r="D68" s="84"/>
      <x:c r="E68" s="84"/>
      <x:c r="F68" s="84"/>
      <x:c r="G68" s="84"/>
      <x:c r="H68" s="84"/>
      <x:c r="I68" s="84"/>
      <x:c r="J68" s="84"/>
      <x:c r="K68" s="84"/>
      <x:c r="L68" s="84"/>
      <x:c r="M68" s="84"/>
      <x:c r="N68" s="84"/>
      <x:c r="O68" s="84"/>
      <x:c r="P68" s="84"/>
      <x:c r="Q68" s="84"/>
      <x:c r="R68" s="84"/>
      <x:c r="S68" s="84"/>
      <x:c r="T68" s="84"/>
      <x:c r="U68" s="84"/>
    </x:row>
    <x:row r="69">
      <x:c r="A69" s="84"/>
      <x:c r="B69" s="84"/>
      <x:c r="C69" s="84"/>
      <x:c r="D69" s="84"/>
      <x:c r="E69" s="84"/>
      <x:c r="F69" s="84"/>
      <x:c r="G69" s="84"/>
      <x:c r="H69" s="84"/>
      <x:c r="I69" s="84"/>
      <x:c r="J69" s="84"/>
      <x:c r="K69" s="84"/>
      <x:c r="L69" s="84"/>
      <x:c r="M69" s="84"/>
      <x:c r="N69" s="84"/>
      <x:c r="O69" s="84"/>
      <x:c r="P69" s="84"/>
      <x:c r="Q69" s="84"/>
      <x:c r="R69" s="84"/>
      <x:c r="S69" s="84"/>
      <x:c r="T69" s="84"/>
      <x:c r="U69" s="84"/>
    </x:row>
    <x:row r="70">
      <x:c r="A70" s="84"/>
      <x:c r="B70" s="84"/>
      <x:c r="C70" s="84"/>
      <x:c r="D70" s="84"/>
      <x:c r="E70" s="84"/>
      <x:c r="F70" s="84"/>
      <x:c r="G70" s="84"/>
      <x:c r="H70" s="84"/>
      <x:c r="I70" s="84"/>
      <x:c r="J70" s="84"/>
      <x:c r="K70" s="84"/>
      <x:c r="L70" s="84"/>
      <x:c r="M70" s="84"/>
      <x:c r="N70" s="84"/>
      <x:c r="O70" s="84"/>
      <x:c r="P70" s="84"/>
      <x:c r="Q70" s="84"/>
      <x:c r="R70" s="84"/>
      <x:c r="S70" s="84"/>
      <x:c r="T70" s="84"/>
      <x:c r="U70" s="84"/>
    </x:row>
    <x:row r="71">
      <x:c r="A71" s="84"/>
      <x:c r="B71" s="84"/>
      <x:c r="C71" s="84"/>
      <x:c r="D71" s="84"/>
      <x:c r="E71" s="84"/>
      <x:c r="F71" s="84"/>
      <x:c r="G71" s="84"/>
      <x:c r="H71" s="84"/>
      <x:c r="I71" s="84"/>
      <x:c r="J71" s="84"/>
      <x:c r="K71" s="84"/>
      <x:c r="L71" s="84"/>
      <x:c r="M71" s="84"/>
      <x:c r="N71" s="84"/>
      <x:c r="O71" s="84"/>
      <x:c r="P71" s="84"/>
      <x:c r="Q71" s="84"/>
      <x:c r="R71" s="84"/>
      <x:c r="S71" s="84"/>
      <x:c r="T71" s="84"/>
      <x:c r="U71" s="84"/>
    </x:row>
    <x:row r="72">
      <x:c r="A72" s="84"/>
      <x:c r="B72" s="84"/>
      <x:c r="C72" s="84"/>
      <x:c r="D72" s="84"/>
      <x:c r="E72" s="84"/>
      <x:c r="F72" s="84"/>
      <x:c r="G72" s="84"/>
      <x:c r="H72" s="84"/>
      <x:c r="I72" s="84"/>
      <x:c r="J72" s="84"/>
      <x:c r="K72" s="84"/>
      <x:c r="L72" s="84"/>
      <x:c r="M72" s="84"/>
      <x:c r="N72" s="84"/>
      <x:c r="O72" s="84"/>
      <x:c r="P72" s="84"/>
      <x:c r="Q72" s="84"/>
      <x:c r="R72" s="84"/>
      <x:c r="S72" s="84"/>
      <x:c r="T72" s="84"/>
      <x:c r="U72" s="84"/>
    </x:row>
    <x:row r="73">
      <x:c r="A73" s="84"/>
      <x:c r="B73" s="84"/>
      <x:c r="C73" s="84"/>
      <x:c r="D73" s="84"/>
      <x:c r="E73" s="84"/>
      <x:c r="F73" s="84"/>
      <x:c r="G73" s="84"/>
      <x:c r="H73" s="84"/>
      <x:c r="I73" s="84"/>
      <x:c r="J73" s="84"/>
      <x:c r="K73" s="84"/>
      <x:c r="L73" s="84"/>
      <x:c r="M73" s="84"/>
      <x:c r="N73" s="84"/>
      <x:c r="O73" s="84"/>
      <x:c r="P73" s="84"/>
      <x:c r="Q73" s="84"/>
      <x:c r="R73" s="84"/>
      <x:c r="S73" s="84"/>
      <x:c r="T73" s="84"/>
      <x:c r="U73" s="84"/>
    </x:row>
    <x:row r="74">
      <x:c r="A74" s="84"/>
      <x:c r="B74" s="84"/>
      <x:c r="C74" s="84"/>
      <x:c r="D74" s="84"/>
      <x:c r="E74" s="84"/>
      <x:c r="F74" s="84"/>
      <x:c r="G74" s="84"/>
      <x:c r="H74" s="84"/>
      <x:c r="I74" s="84"/>
      <x:c r="J74" s="84"/>
      <x:c r="K74" s="84"/>
      <x:c r="L74" s="84"/>
      <x:c r="M74" s="84"/>
      <x:c r="N74" s="84"/>
      <x:c r="O74" s="84"/>
      <x:c r="P74" s="84"/>
      <x:c r="Q74" s="84"/>
      <x:c r="R74" s="84"/>
      <x:c r="S74" s="84"/>
      <x:c r="T74" s="84"/>
      <x:c r="U74" s="84"/>
    </x:row>
    <x:row r="75">
      <x:c r="A75" s="84"/>
      <x:c r="B75" s="84"/>
      <x:c r="C75" s="84"/>
      <x:c r="D75" s="84"/>
      <x:c r="E75" s="84"/>
      <x:c r="F75" s="84"/>
      <x:c r="G75" s="84"/>
      <x:c r="H75" s="84"/>
      <x:c r="I75" s="84"/>
      <x:c r="J75" s="84"/>
      <x:c r="K75" s="84"/>
      <x:c r="L75" s="84"/>
      <x:c r="M75" s="84"/>
      <x:c r="N75" s="84"/>
      <x:c r="O75" s="84"/>
      <x:c r="P75" s="84"/>
      <x:c r="Q75" s="84"/>
      <x:c r="R75" s="84"/>
      <x:c r="S75" s="84"/>
      <x:c r="T75" s="84"/>
      <x:c r="U75" s="84"/>
    </x:row>
    <x:row r="76">
      <x:c r="A76" s="84"/>
      <x:c r="B76" s="84"/>
      <x:c r="C76" s="84"/>
      <x:c r="D76" s="84"/>
      <x:c r="E76" s="84"/>
      <x:c r="F76" s="84"/>
      <x:c r="G76" s="84"/>
      <x:c r="H76" s="84"/>
      <x:c r="I76" s="84"/>
      <x:c r="J76" s="84"/>
      <x:c r="K76" s="84"/>
      <x:c r="L76" s="84"/>
      <x:c r="M76" s="84"/>
      <x:c r="N76" s="84"/>
      <x:c r="O76" s="84"/>
      <x:c r="P76" s="84"/>
      <x:c r="Q76" s="84"/>
      <x:c r="R76" s="84"/>
      <x:c r="S76" s="84"/>
      <x:c r="T76" s="84"/>
      <x:c r="U76" s="84"/>
    </x:row>
    <x:row r="77">
      <x:c r="A77" s="84"/>
      <x:c r="B77" s="84"/>
      <x:c r="C77" s="84"/>
      <x:c r="D77" s="84"/>
      <x:c r="E77" s="84"/>
      <x:c r="F77" s="84"/>
      <x:c r="G77" s="84"/>
      <x:c r="H77" s="84"/>
      <x:c r="I77" s="84"/>
      <x:c r="J77" s="84"/>
      <x:c r="K77" s="84"/>
      <x:c r="L77" s="84"/>
      <x:c r="M77" s="84"/>
      <x:c r="N77" s="84"/>
      <x:c r="O77" s="84"/>
      <x:c r="P77" s="84"/>
      <x:c r="Q77" s="84"/>
      <x:c r="R77" s="84"/>
      <x:c r="S77" s="84"/>
      <x:c r="T77" s="84"/>
      <x:c r="U77" s="84"/>
    </x:row>
    <x:row r="78">
      <x:c r="A78" s="84"/>
      <x:c r="B78" s="84"/>
      <x:c r="C78" s="84"/>
      <x:c r="D78" s="84"/>
      <x:c r="E78" s="84"/>
      <x:c r="F78" s="84"/>
      <x:c r="G78" s="84"/>
      <x:c r="H78" s="84"/>
      <x:c r="I78" s="84"/>
      <x:c r="J78" s="84"/>
      <x:c r="K78" s="84"/>
      <x:c r="L78" s="84"/>
      <x:c r="M78" s="84"/>
      <x:c r="N78" s="84"/>
      <x:c r="O78" s="84"/>
      <x:c r="P78" s="84"/>
      <x:c r="Q78" s="84"/>
      <x:c r="R78" s="84"/>
      <x:c r="S78" s="84"/>
      <x:c r="T78" s="84"/>
      <x:c r="U78" s="84"/>
    </x:row>
    <x:row r="79">
      <x:c r="A79" s="84"/>
      <x:c r="B79" s="84"/>
      <x:c r="C79" s="84"/>
      <x:c r="D79" s="84"/>
      <x:c r="E79" s="84"/>
      <x:c r="F79" s="84"/>
      <x:c r="G79" s="84"/>
      <x:c r="H79" s="84"/>
      <x:c r="I79" s="84"/>
      <x:c r="J79" s="84"/>
      <x:c r="K79" s="84"/>
      <x:c r="L79" s="84"/>
      <x:c r="M79" s="84"/>
      <x:c r="N79" s="84"/>
      <x:c r="O79" s="84"/>
      <x:c r="P79" s="84"/>
      <x:c r="Q79" s="84"/>
      <x:c r="R79" s="84"/>
      <x:c r="S79" s="84"/>
      <x:c r="T79" s="84"/>
      <x:c r="U79" s="84"/>
    </x:row>
    <x:row r="80">
      <x:c r="A80" s="84"/>
      <x:c r="B80" s="84"/>
      <x:c r="C80" s="84"/>
      <x:c r="D80" s="84"/>
      <x:c r="E80" s="84"/>
      <x:c r="F80" s="84"/>
      <x:c r="G80" s="84"/>
      <x:c r="H80" s="84"/>
      <x:c r="I80" s="84"/>
      <x:c r="J80" s="84"/>
      <x:c r="K80" s="84"/>
      <x:c r="L80" s="84"/>
      <x:c r="M80" s="84"/>
      <x:c r="N80" s="84"/>
      <x:c r="O80" s="84"/>
      <x:c r="P80" s="84"/>
      <x:c r="Q80" s="84"/>
      <x:c r="R80" s="84"/>
      <x:c r="S80" s="84"/>
      <x:c r="T80" s="84"/>
      <x:c r="U80" s="84"/>
    </x:row>
    <x:row r="81">
      <x:c r="A81" s="84"/>
      <x:c r="B81" s="84"/>
      <x:c r="C81" s="84"/>
      <x:c r="D81" s="84"/>
      <x:c r="E81" s="84"/>
      <x:c r="F81" s="84"/>
      <x:c r="G81" s="84"/>
      <x:c r="H81" s="84"/>
      <x:c r="I81" s="84"/>
      <x:c r="J81" s="84"/>
      <x:c r="K81" s="84"/>
      <x:c r="L81" s="84"/>
      <x:c r="M81" s="84"/>
      <x:c r="N81" s="84"/>
      <x:c r="O81" s="84"/>
      <x:c r="P81" s="84"/>
      <x:c r="Q81" s="84"/>
      <x:c r="R81" s="84"/>
      <x:c r="S81" s="84"/>
      <x:c r="T81" s="84"/>
      <x:c r="U81" s="84"/>
    </x:row>
    <x:row r="82">
      <x:c r="A82" s="84"/>
      <x:c r="B82" s="84"/>
      <x:c r="C82" s="84"/>
      <x:c r="D82" s="84"/>
      <x:c r="E82" s="84"/>
      <x:c r="F82" s="84"/>
      <x:c r="G82" s="84"/>
      <x:c r="H82" s="84"/>
      <x:c r="I82" s="84"/>
      <x:c r="J82" s="84"/>
      <x:c r="K82" s="84"/>
      <x:c r="L82" s="84"/>
      <x:c r="M82" s="84"/>
      <x:c r="N82" s="84"/>
      <x:c r="O82" s="84"/>
      <x:c r="P82" s="84"/>
      <x:c r="Q82" s="84"/>
      <x:c r="R82" s="84"/>
      <x:c r="S82" s="84"/>
      <x:c r="T82" s="84"/>
      <x:c r="U82" s="84"/>
    </x:row>
    <x:row r="83">
      <x:c r="A83" s="84"/>
      <x:c r="B83" s="84"/>
      <x:c r="C83" s="84"/>
      <x:c r="D83" s="84"/>
      <x:c r="E83" s="84"/>
      <x:c r="F83" s="84"/>
      <x:c r="G83" s="84"/>
      <x:c r="H83" s="84"/>
      <x:c r="I83" s="84"/>
      <x:c r="J83" s="84"/>
      <x:c r="K83" s="84"/>
      <x:c r="L83" s="84"/>
      <x:c r="M83" s="84"/>
      <x:c r="N83" s="84"/>
      <x:c r="O83" s="84"/>
      <x:c r="P83" s="84"/>
      <x:c r="Q83" s="84"/>
      <x:c r="R83" s="84"/>
      <x:c r="S83" s="84"/>
      <x:c r="T83" s="84"/>
      <x:c r="U83" s="84"/>
    </x:row>
    <x:row r="84">
      <x:c r="A84" s="84"/>
      <x:c r="B84" s="84"/>
      <x:c r="C84" s="84"/>
      <x:c r="D84" s="84"/>
      <x:c r="E84" s="84"/>
      <x:c r="F84" s="84"/>
      <x:c r="G84" s="84"/>
      <x:c r="H84" s="84"/>
      <x:c r="I84" s="84"/>
      <x:c r="J84" s="84"/>
      <x:c r="K84" s="84"/>
      <x:c r="L84" s="84"/>
      <x:c r="M84" s="84"/>
      <x:c r="N84" s="84"/>
      <x:c r="O84" s="84"/>
      <x:c r="P84" s="84"/>
      <x:c r="Q84" s="84"/>
      <x:c r="R84" s="84"/>
      <x:c r="S84" s="84"/>
      <x:c r="T84" s="84"/>
      <x:c r="U84" s="84"/>
    </x:row>
    <x:row r="85">
      <x:c r="A85" s="84"/>
      <x:c r="B85" s="84"/>
      <x:c r="C85" s="84"/>
      <x:c r="D85" s="84"/>
      <x:c r="E85" s="84"/>
      <x:c r="F85" s="84"/>
      <x:c r="G85" s="84"/>
      <x:c r="H85" s="84"/>
      <x:c r="I85" s="84"/>
      <x:c r="J85" s="84"/>
      <x:c r="K85" s="84"/>
      <x:c r="L85" s="84"/>
      <x:c r="M85" s="84"/>
      <x:c r="N85" s="84"/>
      <x:c r="O85" s="84"/>
      <x:c r="P85" s="84"/>
      <x:c r="Q85" s="84"/>
      <x:c r="R85" s="84"/>
      <x:c r="S85" s="84"/>
      <x:c r="T85" s="84"/>
      <x:c r="U85" s="84"/>
    </x:row>
    <x:row r="86">
      <x:c r="A86" s="84"/>
      <x:c r="B86" s="84"/>
      <x:c r="C86" s="84"/>
      <x:c r="D86" s="84"/>
      <x:c r="E86" s="84"/>
      <x:c r="F86" s="84"/>
      <x:c r="G86" s="84"/>
      <x:c r="H86" s="84"/>
      <x:c r="I86" s="84"/>
      <x:c r="J86" s="84"/>
      <x:c r="K86" s="84"/>
      <x:c r="L86" s="84"/>
      <x:c r="M86" s="84"/>
      <x:c r="N86" s="84"/>
      <x:c r="O86" s="84"/>
      <x:c r="P86" s="84"/>
      <x:c r="Q86" s="84"/>
      <x:c r="R86" s="84"/>
      <x:c r="S86" s="84"/>
      <x:c r="T86" s="84"/>
      <x:c r="U86" s="84"/>
    </x:row>
    <x:row r="87">
      <x:c r="A87" s="84"/>
      <x:c r="B87" s="84"/>
      <x:c r="C87" s="84"/>
      <x:c r="D87" s="84"/>
      <x:c r="E87" s="84"/>
      <x:c r="F87" s="84"/>
      <x:c r="G87" s="84"/>
      <x:c r="H87" s="84"/>
      <x:c r="I87" s="84"/>
      <x:c r="J87" s="84"/>
      <x:c r="K87" s="84"/>
      <x:c r="L87" s="84"/>
      <x:c r="M87" s="84"/>
      <x:c r="N87" s="84"/>
      <x:c r="O87" s="84"/>
      <x:c r="P87" s="84"/>
      <x:c r="Q87" s="84"/>
      <x:c r="R87" s="84"/>
      <x:c r="S87" s="84"/>
      <x:c r="T87" s="84"/>
      <x:c r="U87" s="84"/>
    </x:row>
    <x:row r="88">
      <x:c r="A88" s="84"/>
      <x:c r="B88" s="84"/>
      <x:c r="C88" s="84"/>
      <x:c r="D88" s="84"/>
      <x:c r="E88" s="84"/>
      <x:c r="F88" s="84"/>
      <x:c r="G88" s="84"/>
      <x:c r="H88" s="84"/>
      <x:c r="I88" s="84"/>
      <x:c r="J88" s="84"/>
      <x:c r="K88" s="84"/>
      <x:c r="L88" s="84"/>
      <x:c r="M88" s="84"/>
      <x:c r="N88" s="84"/>
      <x:c r="O88" s="84"/>
      <x:c r="P88" s="84"/>
      <x:c r="Q88" s="84"/>
      <x:c r="R88" s="84"/>
      <x:c r="S88" s="84"/>
      <x:c r="T88" s="84"/>
      <x:c r="U88" s="84"/>
    </x:row>
    <x:row r="89">
      <x:c r="A89" s="84"/>
      <x:c r="B89" s="84"/>
      <x:c r="C89" s="84"/>
      <x:c r="D89" s="84"/>
      <x:c r="E89" s="84"/>
      <x:c r="F89" s="84"/>
      <x:c r="G89" s="84"/>
      <x:c r="H89" s="84"/>
      <x:c r="I89" s="84"/>
      <x:c r="J89" s="84"/>
      <x:c r="K89" s="84"/>
      <x:c r="L89" s="84"/>
      <x:c r="M89" s="84"/>
      <x:c r="N89" s="84"/>
      <x:c r="O89" s="84"/>
      <x:c r="P89" s="84"/>
      <x:c r="Q89" s="84"/>
      <x:c r="R89" s="84"/>
      <x:c r="S89" s="84"/>
      <x:c r="T89" s="84"/>
      <x:c r="U89" s="84"/>
    </x:row>
    <x:row r="90">
      <x:c r="A90" s="84"/>
      <x:c r="B90" s="84"/>
      <x:c r="C90" s="84"/>
      <x:c r="D90" s="84"/>
      <x:c r="E90" s="84"/>
      <x:c r="F90" s="84"/>
      <x:c r="G90" s="84"/>
      <x:c r="H90" s="84"/>
      <x:c r="I90" s="84"/>
      <x:c r="J90" s="84"/>
      <x:c r="K90" s="84"/>
      <x:c r="L90" s="84"/>
      <x:c r="M90" s="84"/>
      <x:c r="N90" s="84"/>
      <x:c r="O90" s="84"/>
      <x:c r="P90" s="84"/>
      <x:c r="Q90" s="84"/>
      <x:c r="R90" s="84"/>
      <x:c r="S90" s="84"/>
      <x:c r="T90" s="84"/>
      <x:c r="U90" s="84"/>
    </x:row>
    <x:row r="91">
      <x:c r="A91" s="84"/>
      <x:c r="B91" s="84"/>
      <x:c r="C91" s="84"/>
      <x:c r="D91" s="84"/>
      <x:c r="E91" s="84"/>
      <x:c r="F91" s="84"/>
      <x:c r="G91" s="84"/>
      <x:c r="H91" s="84"/>
      <x:c r="I91" s="84"/>
      <x:c r="J91" s="84"/>
      <x:c r="K91" s="84"/>
      <x:c r="L91" s="84"/>
      <x:c r="M91" s="84"/>
      <x:c r="N91" s="84"/>
      <x:c r="O91" s="84"/>
      <x:c r="P91" s="84"/>
      <x:c r="Q91" s="84"/>
      <x:c r="R91" s="84"/>
      <x:c r="S91" s="84"/>
      <x:c r="T91" s="84"/>
      <x:c r="U91" s="84"/>
    </x:row>
    <x:row r="92">
      <x:c r="A92" s="84"/>
      <x:c r="B92" s="84"/>
      <x:c r="C92" s="84"/>
      <x:c r="D92" s="84"/>
      <x:c r="E92" s="84"/>
      <x:c r="F92" s="84"/>
      <x:c r="G92" s="84"/>
      <x:c r="H92" s="84"/>
      <x:c r="I92" s="84"/>
      <x:c r="J92" s="84"/>
      <x:c r="K92" s="84"/>
      <x:c r="L92" s="84"/>
      <x:c r="M92" s="84"/>
      <x:c r="N92" s="84"/>
      <x:c r="O92" s="84"/>
      <x:c r="P92" s="84"/>
      <x:c r="Q92" s="84"/>
      <x:c r="R92" s="84"/>
      <x:c r="S92" s="84"/>
      <x:c r="T92" s="84"/>
      <x:c r="U92" s="84"/>
    </x:row>
    <x:row r="93">
      <x:c r="A93" s="84"/>
      <x:c r="B93" s="84"/>
      <x:c r="C93" s="84"/>
      <x:c r="D93" s="84"/>
      <x:c r="E93" s="84"/>
      <x:c r="F93" s="84"/>
      <x:c r="G93" s="84"/>
      <x:c r="H93" s="84"/>
      <x:c r="I93" s="84"/>
      <x:c r="J93" s="84"/>
      <x:c r="K93" s="84"/>
      <x:c r="L93" s="84"/>
      <x:c r="M93" s="84"/>
      <x:c r="N93" s="84"/>
      <x:c r="O93" s="84"/>
      <x:c r="P93" s="84"/>
      <x:c r="Q93" s="84"/>
      <x:c r="R93" s="84"/>
      <x:c r="S93" s="84"/>
      <x:c r="T93" s="84"/>
      <x:c r="U93" s="84"/>
    </x:row>
    <x:row r="94">
      <x:c r="A94" s="84"/>
      <x:c r="B94" s="84"/>
      <x:c r="C94" s="84"/>
      <x:c r="D94" s="84"/>
      <x:c r="E94" s="84"/>
      <x:c r="F94" s="84"/>
      <x:c r="G94" s="84"/>
      <x:c r="H94" s="84"/>
      <x:c r="I94" s="84"/>
      <x:c r="J94" s="84"/>
      <x:c r="K94" s="84"/>
      <x:c r="L94" s="84"/>
      <x:c r="M94" s="84"/>
      <x:c r="N94" s="84"/>
      <x:c r="O94" s="84"/>
      <x:c r="P94" s="84"/>
      <x:c r="Q94" s="84"/>
      <x:c r="R94" s="84"/>
      <x:c r="S94" s="84"/>
      <x:c r="T94" s="84"/>
      <x:c r="U94" s="84"/>
    </x:row>
    <x:row r="95">
      <x:c r="A95" s="84"/>
      <x:c r="B95" s="84"/>
      <x:c r="C95" s="84"/>
      <x:c r="D95" s="84"/>
      <x:c r="E95" s="84"/>
      <x:c r="F95" s="84"/>
      <x:c r="G95" s="84"/>
      <x:c r="H95" s="84"/>
      <x:c r="I95" s="84"/>
      <x:c r="J95" s="84"/>
      <x:c r="K95" s="84"/>
      <x:c r="L95" s="84"/>
      <x:c r="M95" s="84"/>
      <x:c r="N95" s="84"/>
      <x:c r="O95" s="84"/>
      <x:c r="P95" s="84"/>
      <x:c r="Q95" s="84"/>
      <x:c r="R95" s="84"/>
      <x:c r="S95" s="84"/>
      <x:c r="T95" s="84"/>
      <x:c r="U95" s="84"/>
    </x:row>
    <x:row r="96">
      <x:c r="A96" s="84"/>
      <x:c r="B96" s="84"/>
      <x:c r="C96" s="84"/>
      <x:c r="D96" s="84"/>
      <x:c r="E96" s="84"/>
      <x:c r="F96" s="84"/>
      <x:c r="G96" s="84"/>
      <x:c r="H96" s="84"/>
      <x:c r="I96" s="84"/>
      <x:c r="J96" s="84"/>
      <x:c r="K96" s="84"/>
      <x:c r="L96" s="84"/>
      <x:c r="M96" s="84"/>
      <x:c r="N96" s="84"/>
      <x:c r="O96" s="84"/>
      <x:c r="P96" s="84"/>
      <x:c r="Q96" s="84"/>
      <x:c r="R96" s="84"/>
      <x:c r="S96" s="84"/>
      <x:c r="T96" s="84"/>
      <x:c r="U96" s="84"/>
    </x:row>
    <x:row r="97">
      <x:c r="A97" s="84"/>
      <x:c r="B97" s="84"/>
      <x:c r="C97" s="84"/>
      <x:c r="D97" s="84"/>
      <x:c r="E97" s="84"/>
      <x:c r="F97" s="84"/>
      <x:c r="G97" s="84"/>
      <x:c r="H97" s="84"/>
      <x:c r="I97" s="84"/>
      <x:c r="J97" s="84"/>
      <x:c r="K97" s="84"/>
      <x:c r="L97" s="84"/>
      <x:c r="M97" s="84"/>
      <x:c r="N97" s="84"/>
      <x:c r="O97" s="84"/>
      <x:c r="P97" s="84"/>
      <x:c r="Q97" s="84"/>
      <x:c r="R97" s="84"/>
      <x:c r="S97" s="84"/>
      <x:c r="T97" s="84"/>
      <x:c r="U97" s="84"/>
    </x:row>
    <x:row r="98">
      <x:c r="A98" s="84"/>
      <x:c r="B98" s="84"/>
      <x:c r="C98" s="84"/>
      <x:c r="D98" s="84"/>
      <x:c r="E98" s="84"/>
      <x:c r="F98" s="84"/>
      <x:c r="G98" s="84"/>
      <x:c r="H98" s="84"/>
      <x:c r="I98" s="84"/>
      <x:c r="J98" s="84"/>
      <x:c r="K98" s="84"/>
      <x:c r="L98" s="84"/>
      <x:c r="M98" s="84"/>
      <x:c r="N98" s="84"/>
      <x:c r="O98" s="84"/>
      <x:c r="P98" s="84"/>
      <x:c r="Q98" s="84"/>
      <x:c r="R98" s="84"/>
      <x:c r="S98" s="84"/>
      <x:c r="T98" s="84"/>
      <x:c r="U98" s="84"/>
    </x:row>
    <x:row r="99">
      <x:c r="A99" s="84"/>
      <x:c r="B99" s="84"/>
      <x:c r="C99" s="84"/>
      <x:c r="D99" s="84"/>
      <x:c r="E99" s="84"/>
      <x:c r="F99" s="84"/>
      <x:c r="G99" s="84"/>
      <x:c r="H99" s="84"/>
      <x:c r="I99" s="84"/>
      <x:c r="J99" s="84"/>
      <x:c r="K99" s="84"/>
      <x:c r="L99" s="84"/>
      <x:c r="M99" s="84"/>
      <x:c r="N99" s="84"/>
      <x:c r="O99" s="84"/>
      <x:c r="P99" s="84"/>
      <x:c r="Q99" s="84"/>
      <x:c r="R99" s="84"/>
      <x:c r="S99" s="84"/>
      <x:c r="T99" s="84"/>
      <x:c r="U99" s="84"/>
    </x:row>
    <x:row r="100">
      <x:c r="A100" s="84"/>
      <x:c r="B100" s="84"/>
      <x:c r="C100" s="84"/>
      <x:c r="D100" s="84"/>
      <x:c r="E100" s="84"/>
      <x:c r="F100" s="84"/>
      <x:c r="G100" s="84"/>
      <x:c r="H100" s="84"/>
      <x:c r="I100" s="84"/>
      <x:c r="J100" s="84"/>
      <x:c r="K100" s="84"/>
      <x:c r="L100" s="84"/>
      <x:c r="M100" s="84"/>
      <x:c r="N100" s="84"/>
      <x:c r="O100" s="84"/>
      <x:c r="P100" s="84"/>
      <x:c r="Q100" s="84"/>
      <x:c r="R100" s="84"/>
      <x:c r="S100" s="84"/>
      <x:c r="T100" s="84"/>
      <x:c r="U100" s="84"/>
    </x:row>
    <x:row r="101">
      <x:c r="A101" s="84"/>
      <x:c r="B101" s="84"/>
      <x:c r="C101" s="84"/>
      <x:c r="D101" s="84"/>
      <x:c r="E101" s="84"/>
      <x:c r="F101" s="84"/>
      <x:c r="G101" s="84"/>
      <x:c r="H101" s="84"/>
      <x:c r="I101" s="84"/>
      <x:c r="J101" s="84"/>
      <x:c r="K101" s="84"/>
      <x:c r="L101" s="84"/>
      <x:c r="M101" s="84"/>
      <x:c r="N101" s="84"/>
      <x:c r="O101" s="84"/>
      <x:c r="P101" s="84"/>
      <x:c r="Q101" s="84"/>
      <x:c r="R101" s="84"/>
      <x:c r="S101" s="84"/>
      <x:c r="T101" s="84"/>
      <x:c r="U101" s="84"/>
    </x:row>
    <x:row r="102">
      <x:c r="A102" s="84"/>
      <x:c r="B102" s="84"/>
      <x:c r="C102" s="84"/>
      <x:c r="D102" s="84"/>
      <x:c r="E102" s="84"/>
      <x:c r="F102" s="84"/>
      <x:c r="G102" s="84"/>
      <x:c r="H102" s="84"/>
      <x:c r="I102" s="84"/>
      <x:c r="J102" s="84"/>
      <x:c r="K102" s="84"/>
      <x:c r="L102" s="84"/>
      <x:c r="M102" s="84"/>
      <x:c r="N102" s="84"/>
      <x:c r="O102" s="84"/>
      <x:c r="P102" s="84"/>
      <x:c r="Q102" s="84"/>
      <x:c r="R102" s="84"/>
      <x:c r="S102" s="84"/>
      <x:c r="T102" s="84"/>
      <x:c r="U102" s="84"/>
    </x:row>
    <x:row r="103">
      <x:c r="A103" s="84"/>
      <x:c r="B103" s="84"/>
      <x:c r="C103" s="84"/>
      <x:c r="D103" s="84"/>
      <x:c r="E103" s="84"/>
      <x:c r="F103" s="84"/>
      <x:c r="G103" s="84"/>
      <x:c r="H103" s="84"/>
      <x:c r="I103" s="84"/>
      <x:c r="J103" s="84"/>
      <x:c r="K103" s="84"/>
      <x:c r="L103" s="84"/>
      <x:c r="M103" s="84"/>
      <x:c r="N103" s="84"/>
      <x:c r="O103" s="84"/>
      <x:c r="P103" s="84"/>
      <x:c r="Q103" s="84"/>
      <x:c r="R103" s="84"/>
      <x:c r="S103" s="84"/>
      <x:c r="T103" s="84"/>
      <x:c r="U103" s="84"/>
    </x:row>
    <x:row r="104">
      <x:c r="A104" s="84"/>
      <x:c r="B104" s="84"/>
      <x:c r="C104" s="84"/>
      <x:c r="D104" s="84"/>
      <x:c r="E104" s="84"/>
      <x:c r="F104" s="84"/>
      <x:c r="G104" s="84"/>
      <x:c r="H104" s="84"/>
      <x:c r="I104" s="84"/>
      <x:c r="J104" s="84"/>
      <x:c r="K104" s="84"/>
      <x:c r="L104" s="84"/>
      <x:c r="M104" s="84"/>
      <x:c r="N104" s="84"/>
      <x:c r="O104" s="84"/>
      <x:c r="P104" s="84"/>
      <x:c r="Q104" s="84"/>
      <x:c r="R104" s="84"/>
      <x:c r="S104" s="84"/>
      <x:c r="T104" s="84"/>
      <x:c r="U104" s="84"/>
    </x:row>
    <x:row r="105">
      <x:c r="A105" s="84"/>
      <x:c r="B105" s="84"/>
      <x:c r="C105" s="84"/>
      <x:c r="D105" s="84"/>
      <x:c r="E105" s="84"/>
      <x:c r="F105" s="84"/>
      <x:c r="G105" s="84"/>
      <x:c r="H105" s="84"/>
      <x:c r="I105" s="84"/>
      <x:c r="J105" s="84"/>
      <x:c r="K105" s="84"/>
      <x:c r="L105" s="84"/>
      <x:c r="M105" s="84"/>
      <x:c r="N105" s="84"/>
      <x:c r="O105" s="84"/>
      <x:c r="P105" s="84"/>
      <x:c r="Q105" s="84"/>
      <x:c r="R105" s="84"/>
      <x:c r="S105" s="84"/>
      <x:c r="T105" s="84"/>
      <x:c r="U105" s="84"/>
    </x:row>
    <x:row r="106">
      <x:c r="A106" s="84"/>
      <x:c r="B106" s="84"/>
      <x:c r="C106" s="84"/>
      <x:c r="D106" s="84"/>
      <x:c r="E106" s="84"/>
      <x:c r="F106" s="84"/>
      <x:c r="G106" s="84"/>
      <x:c r="H106" s="84"/>
      <x:c r="I106" s="84"/>
      <x:c r="J106" s="84"/>
      <x:c r="K106" s="84"/>
      <x:c r="L106" s="84"/>
      <x:c r="M106" s="84"/>
      <x:c r="N106" s="84"/>
      <x:c r="O106" s="84"/>
      <x:c r="P106" s="84"/>
      <x:c r="Q106" s="84"/>
      <x:c r="R106" s="84"/>
      <x:c r="S106" s="84"/>
      <x:c r="T106" s="84"/>
      <x:c r="U106" s="84"/>
    </x:row>
    <x:row r="107">
      <x:c r="A107" s="84"/>
      <x:c r="B107" s="84"/>
      <x:c r="C107" s="84"/>
      <x:c r="D107" s="84"/>
      <x:c r="E107" s="84"/>
      <x:c r="F107" s="84"/>
      <x:c r="G107" s="84"/>
      <x:c r="H107" s="84"/>
      <x:c r="I107" s="84"/>
      <x:c r="J107" s="84"/>
      <x:c r="K107" s="84"/>
      <x:c r="L107" s="84"/>
      <x:c r="M107" s="84"/>
      <x:c r="N107" s="84"/>
      <x:c r="O107" s="84"/>
      <x:c r="P107" s="84"/>
      <x:c r="Q107" s="84"/>
      <x:c r="R107" s="84"/>
      <x:c r="S107" s="84"/>
      <x:c r="T107" s="84"/>
      <x:c r="U107" s="84"/>
    </x:row>
    <x:row r="108">
      <x:c r="A108" s="84"/>
      <x:c r="B108" s="84"/>
      <x:c r="C108" s="84"/>
      <x:c r="D108" s="84"/>
      <x:c r="E108" s="84"/>
      <x:c r="F108" s="84"/>
      <x:c r="G108" s="84"/>
      <x:c r="H108" s="84"/>
      <x:c r="I108" s="84"/>
      <x:c r="J108" s="84"/>
      <x:c r="K108" s="84"/>
      <x:c r="L108" s="84"/>
      <x:c r="M108" s="84"/>
      <x:c r="N108" s="84"/>
      <x:c r="O108" s="84"/>
      <x:c r="P108" s="84"/>
      <x:c r="Q108" s="84"/>
      <x:c r="R108" s="84"/>
      <x:c r="S108" s="84"/>
      <x:c r="T108" s="84"/>
      <x:c r="U108" s="84"/>
    </x:row>
    <x:row r="109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4"/>
      <x:c r="K109" s="84"/>
      <x:c r="L109" s="84"/>
      <x:c r="M109" s="84"/>
      <x:c r="N109" s="84"/>
      <x:c r="O109" s="84"/>
      <x:c r="P109" s="84"/>
      <x:c r="Q109" s="84"/>
      <x:c r="R109" s="84"/>
      <x:c r="S109" s="84"/>
      <x:c r="T109" s="84"/>
      <x:c r="U109" s="84"/>
    </x:row>
    <x:row r="110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4"/>
      <x:c r="K110" s="84"/>
      <x:c r="L110" s="84"/>
      <x:c r="M110" s="84"/>
      <x:c r="N110" s="84"/>
      <x:c r="O110" s="84"/>
      <x:c r="P110" s="84"/>
      <x:c r="Q110" s="84"/>
      <x:c r="R110" s="84"/>
      <x:c r="S110" s="84"/>
      <x:c r="T110" s="84"/>
      <x:c r="U110" s="84"/>
    </x:row>
  </x:sheetData>
  <x:mergeCells>
    <x:mergeCell ref="A1:J1"/>
  </x:mergeCells>
  <x:conditionalFormatting sqref="G4:G33">
    <x:cfRule type="expression" dxfId="6" priority="1">
      <x:formula>AND($C4&lt;&gt;"",$G4=0)</x:formula>
    </x:cfRule>
  </x:conditionalFormatting>
  <x:dataValidations count="2">
    <x:dataValidation type="list" sqref="B4:B33">
      <x:formula1>"1,2,3"</x:formula1>
    </x:dataValidation>
    <x:dataValidation type="list" sqref="I4:I33">
      <x:formula1>_LISTS!$A$2:$A$6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b3d78dfe51419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14" hidden="0" customWidth="1"/>
    <x:col min="4" max="4" width="14" hidden="0" customWidth="1"/>
    <x:col min="5" max="5" width="12" hidden="0" customWidth="1"/>
    <x:col min="6" max="6" width="16" hidden="0" customWidth="1"/>
    <x:col min="7" max="7" width="14" hidden="0" customWidth="1"/>
    <x:col min="8" max="8" width="24" hidden="0" customWidth="1"/>
    <x:col min="9" max="9" width="30" hidden="0" customWidth="1"/>
  </x:cols>
  <x:sheetData>
    <x:row r="1">
      <x:c r="A1" s="141" t="str">
        <x:v>DRAFT TRACKER — section progress without rebuilding your outline</x:v>
      </x:c>
      <x:c r="B1" s="141"/>
      <x:c r="C1" s="141"/>
      <x:c r="D1" s="141"/>
      <x:c r="E1" s="141"/>
      <x:c r="F1" s="141"/>
      <x:c r="G1" s="141"/>
      <x:c r="H1" s="141"/>
      <x:c r="I1" s="141"/>
      <x:c r="J1" s="84"/>
      <x:c r="K1" s="84"/>
      <x:c r="L1" s="84"/>
      <x:c r="M1" s="84"/>
      <x:c r="N1" s="84"/>
      <x:c r="O1" s="84"/>
      <x:c r="P1" s="84"/>
      <x:c r="Q1" s="84"/>
      <x:c r="R1" s="84"/>
      <x:c r="S1" s="84"/>
      <x:c r="T1" s="84"/>
      <x:c r="U1" s="84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  <x:c r="S2" s="84"/>
      <x:c r="T2" s="84"/>
      <x:c r="U2" s="84"/>
    </x:row>
    <x:row r="3">
      <x:c r="A3" s="121" t="str">
        <x:v>Section ID</x:v>
      </x:c>
      <x:c r="B3" s="121" t="str">
        <x:v>Heading</x:v>
      </x:c>
      <x:c r="C3" s="121" t="str">
        <x:v>Target Words</x:v>
      </x:c>
      <x:c r="D3" s="121" t="str">
        <x:v>Actual Words</x:v>
      </x:c>
      <x:c r="E3" s="121" t="str">
        <x:v>Progress</x:v>
      </x:c>
      <x:c r="F3" s="121" t="str">
        <x:v>Status</x:v>
      </x:c>
      <x:c r="G3" s="121" t="str">
        <x:v>Evidence Items</x:v>
      </x:c>
      <x:c r="H3" s="121" t="str">
        <x:v>Citation / Evidence Flag</x:v>
      </x:c>
      <x:c r="I3" s="121" t="str">
        <x:v>Notes</x:v>
      </x:c>
      <x:c r="J3" s="84"/>
      <x:c r="K3" s="84"/>
      <x:c r="L3" s="84"/>
      <x:c r="M3" s="84"/>
      <x:c r="N3" s="84"/>
      <x:c r="O3" s="84"/>
      <x:c r="P3" s="84"/>
      <x:c r="Q3" s="84"/>
      <x:c r="R3" s="84"/>
      <x:c r="S3" s="84"/>
      <x:c r="T3" s="84"/>
      <x:c r="U3" s="84"/>
    </x:row>
    <x:row r="4">
      <x:c r="A4" s="122" t="n">
        <x:f>OUTLINE!A4</x:f>
        <x:v>0</x:v>
      </x:c>
      <x:c r="B4" s="122" t="n">
        <x:f>OUTLINE!C4</x:f>
        <x:v>0</x:v>
      </x:c>
      <x:c r="C4" s="122" t="n">
        <x:f>OUTLINE!H4</x:f>
        <x:v>0</x:v>
      </x:c>
      <x:c r="D4" s="113"/>
      <x:c r="E4" s="127" t="str">
        <x:f>IF(OR(C4="",C4=0),"",MIN(1,D4/C4))</x:f>
      </x:c>
      <x:c r="F4" s="113"/>
      <x:c r="G4" s="122" t="n">
        <x:f>OUTLINE!G4</x:f>
        <x:v>0</x:v>
      </x:c>
      <x:c r="H4" s="122" t="str">
        <x:f>IF(B4="","",IF(G4=0,"REVIEW: no evidence mapped","OK"))</x:f>
      </x:c>
      <x:c r="I4" s="113"/>
      <x:c r="J4" s="84"/>
      <x:c r="K4" s="84"/>
      <x:c r="L4" s="84"/>
      <x:c r="M4" s="84"/>
      <x:c r="N4" s="84"/>
      <x:c r="O4" s="84"/>
      <x:c r="P4" s="84"/>
      <x:c r="Q4" s="84"/>
      <x:c r="R4" s="84"/>
      <x:c r="S4" s="84"/>
      <x:c r="T4" s="84"/>
      <x:c r="U4" s="84"/>
    </x:row>
    <x:row r="5">
      <x:c r="A5" s="122" t="n">
        <x:f>OUTLINE!A5</x:f>
        <x:v>0</x:v>
      </x:c>
      <x:c r="B5" s="122" t="n">
        <x:f>OUTLINE!C5</x:f>
        <x:v>0</x:v>
      </x:c>
      <x:c r="C5" s="122" t="n">
        <x:f>OUTLINE!H5</x:f>
        <x:v>0</x:v>
      </x:c>
      <x:c r="D5" s="113"/>
      <x:c r="E5" s="127" t="str">
        <x:f>IF(OR(C5="",C5=0),"",MIN(1,D5/C5))</x:f>
      </x:c>
      <x:c r="F5" s="113"/>
      <x:c r="G5" s="122" t="n">
        <x:f>OUTLINE!G5</x:f>
        <x:v>0</x:v>
      </x:c>
      <x:c r="H5" s="122" t="str">
        <x:f>IF(B5="","",IF(G5=0,"REVIEW: no evidence mapped","OK"))</x:f>
      </x:c>
      <x:c r="I5" s="113"/>
      <x:c r="J5" s="84"/>
      <x:c r="K5" s="84"/>
      <x:c r="L5" s="84"/>
      <x:c r="M5" s="84"/>
      <x:c r="N5" s="84"/>
      <x:c r="O5" s="84"/>
      <x:c r="P5" s="84"/>
      <x:c r="Q5" s="84"/>
      <x:c r="R5" s="84"/>
      <x:c r="S5" s="84"/>
      <x:c r="T5" s="84"/>
      <x:c r="U5" s="84"/>
    </x:row>
    <x:row r="6">
      <x:c r="A6" s="122" t="n">
        <x:f>OUTLINE!A6</x:f>
        <x:v>0</x:v>
      </x:c>
      <x:c r="B6" s="122" t="n">
        <x:f>OUTLINE!C6</x:f>
        <x:v>0</x:v>
      </x:c>
      <x:c r="C6" s="122" t="n">
        <x:f>OUTLINE!H6</x:f>
        <x:v>0</x:v>
      </x:c>
      <x:c r="D6" s="113"/>
      <x:c r="E6" s="127" t="str">
        <x:f>IF(OR(C6="",C6=0),"",MIN(1,D6/C6))</x:f>
      </x:c>
      <x:c r="F6" s="113"/>
      <x:c r="G6" s="122" t="n">
        <x:f>OUTLINE!G6</x:f>
        <x:v>0</x:v>
      </x:c>
      <x:c r="H6" s="122" t="str">
        <x:f>IF(B6="","",IF(G6=0,"REVIEW: no evidence mapped","OK"))</x:f>
      </x:c>
      <x:c r="I6" s="113"/>
      <x:c r="J6" s="84"/>
      <x:c r="K6" s="84"/>
      <x:c r="L6" s="84"/>
      <x:c r="M6" s="84"/>
      <x:c r="N6" s="84"/>
      <x:c r="O6" s="84"/>
      <x:c r="P6" s="84"/>
      <x:c r="Q6" s="84"/>
      <x:c r="R6" s="84"/>
      <x:c r="S6" s="84"/>
      <x:c r="T6" s="84"/>
      <x:c r="U6" s="84"/>
    </x:row>
    <x:row r="7">
      <x:c r="A7" s="122" t="n">
        <x:f>OUTLINE!A7</x:f>
        <x:v>0</x:v>
      </x:c>
      <x:c r="B7" s="122" t="n">
        <x:f>OUTLINE!C7</x:f>
        <x:v>0</x:v>
      </x:c>
      <x:c r="C7" s="122" t="n">
        <x:f>OUTLINE!H7</x:f>
        <x:v>0</x:v>
      </x:c>
      <x:c r="D7" s="113"/>
      <x:c r="E7" s="127" t="str">
        <x:f>IF(OR(C7="",C7=0),"",MIN(1,D7/C7))</x:f>
      </x:c>
      <x:c r="F7" s="113"/>
      <x:c r="G7" s="122" t="n">
        <x:f>OUTLINE!G7</x:f>
        <x:v>0</x:v>
      </x:c>
      <x:c r="H7" s="122" t="str">
        <x:f>IF(B7="","",IF(G7=0,"REVIEW: no evidence mapped","OK"))</x:f>
      </x:c>
      <x:c r="I7" s="113"/>
      <x:c r="J7" s="84"/>
      <x:c r="K7" s="84"/>
      <x:c r="L7" s="84"/>
      <x:c r="M7" s="84"/>
      <x:c r="N7" s="84"/>
      <x:c r="O7" s="84"/>
      <x:c r="P7" s="84"/>
      <x:c r="Q7" s="84"/>
      <x:c r="R7" s="84"/>
      <x:c r="S7" s="84"/>
      <x:c r="T7" s="84"/>
      <x:c r="U7" s="84"/>
    </x:row>
    <x:row r="8">
      <x:c r="A8" s="122" t="n">
        <x:f>OUTLINE!A8</x:f>
        <x:v>0</x:v>
      </x:c>
      <x:c r="B8" s="122" t="n">
        <x:f>OUTLINE!C8</x:f>
        <x:v>0</x:v>
      </x:c>
      <x:c r="C8" s="122" t="n">
        <x:f>OUTLINE!H8</x:f>
        <x:v>0</x:v>
      </x:c>
      <x:c r="D8" s="113"/>
      <x:c r="E8" s="127" t="str">
        <x:f>IF(OR(C8="",C8=0),"",MIN(1,D8/C8))</x:f>
      </x:c>
      <x:c r="F8" s="113"/>
      <x:c r="G8" s="122" t="n">
        <x:f>OUTLINE!G8</x:f>
        <x:v>0</x:v>
      </x:c>
      <x:c r="H8" s="122" t="str">
        <x:f>IF(B8="","",IF(G8=0,"REVIEW: no evidence mapped","OK"))</x:f>
      </x:c>
      <x:c r="I8" s="113"/>
      <x:c r="J8" s="84"/>
      <x:c r="K8" s="84"/>
      <x:c r="L8" s="84"/>
      <x:c r="M8" s="84"/>
      <x:c r="N8" s="84"/>
      <x:c r="O8" s="84"/>
      <x:c r="P8" s="84"/>
      <x:c r="Q8" s="84"/>
      <x:c r="R8" s="84"/>
      <x:c r="S8" s="84"/>
      <x:c r="T8" s="84"/>
      <x:c r="U8" s="84"/>
    </x:row>
    <x:row r="9">
      <x:c r="A9" s="122" t="n">
        <x:f>OUTLINE!A9</x:f>
        <x:v>0</x:v>
      </x:c>
      <x:c r="B9" s="122" t="n">
        <x:f>OUTLINE!C9</x:f>
        <x:v>0</x:v>
      </x:c>
      <x:c r="C9" s="122" t="n">
        <x:f>OUTLINE!H9</x:f>
        <x:v>0</x:v>
      </x:c>
      <x:c r="D9" s="113"/>
      <x:c r="E9" s="127" t="str">
        <x:f>IF(OR(C9="",C9=0),"",MIN(1,D9/C9))</x:f>
      </x:c>
      <x:c r="F9" s="113"/>
      <x:c r="G9" s="122" t="n">
        <x:f>OUTLINE!G9</x:f>
        <x:v>0</x:v>
      </x:c>
      <x:c r="H9" s="122" t="str">
        <x:f>IF(B9="","",IF(G9=0,"REVIEW: no evidence mapped","OK"))</x:f>
      </x:c>
      <x:c r="I9" s="113"/>
      <x:c r="J9" s="84"/>
      <x:c r="K9" s="84"/>
      <x:c r="L9" s="84"/>
      <x:c r="M9" s="84"/>
      <x:c r="N9" s="84"/>
      <x:c r="O9" s="84"/>
      <x:c r="P9" s="84"/>
      <x:c r="Q9" s="84"/>
      <x:c r="R9" s="84"/>
      <x:c r="S9" s="84"/>
      <x:c r="T9" s="84"/>
      <x:c r="U9" s="84"/>
    </x:row>
    <x:row r="10">
      <x:c r="A10" s="122" t="n">
        <x:f>OUTLINE!A10</x:f>
        <x:v>0</x:v>
      </x:c>
      <x:c r="B10" s="122" t="n">
        <x:f>OUTLINE!C10</x:f>
        <x:v>0</x:v>
      </x:c>
      <x:c r="C10" s="122" t="n">
        <x:f>OUTLINE!H10</x:f>
        <x:v>0</x:v>
      </x:c>
      <x:c r="D10" s="113"/>
      <x:c r="E10" s="127" t="str">
        <x:f>IF(OR(C10="",C10=0),"",MIN(1,D10/C10))</x:f>
      </x:c>
      <x:c r="F10" s="113"/>
      <x:c r="G10" s="122" t="n">
        <x:f>OUTLINE!G10</x:f>
        <x:v>0</x:v>
      </x:c>
      <x:c r="H10" s="122" t="str">
        <x:f>IF(B10="","",IF(G10=0,"REVIEW: no evidence mapped","OK"))</x:f>
      </x:c>
      <x:c r="I10" s="113"/>
      <x:c r="J10" s="84"/>
      <x:c r="K10" s="84"/>
      <x:c r="L10" s="84"/>
      <x:c r="M10" s="84"/>
      <x:c r="N10" s="84"/>
      <x:c r="O10" s="84"/>
      <x:c r="P10" s="84"/>
      <x:c r="Q10" s="84"/>
      <x:c r="R10" s="84"/>
      <x:c r="S10" s="84"/>
      <x:c r="T10" s="84"/>
      <x:c r="U10" s="84"/>
    </x:row>
    <x:row r="11">
      <x:c r="A11" s="122" t="n">
        <x:f>OUTLINE!A11</x:f>
        <x:v>0</x:v>
      </x:c>
      <x:c r="B11" s="122" t="n">
        <x:f>OUTLINE!C11</x:f>
        <x:v>0</x:v>
      </x:c>
      <x:c r="C11" s="122" t="n">
        <x:f>OUTLINE!H11</x:f>
        <x:v>0</x:v>
      </x:c>
      <x:c r="D11" s="113"/>
      <x:c r="E11" s="127" t="str">
        <x:f>IF(OR(C11="",C11=0),"",MIN(1,D11/C11))</x:f>
      </x:c>
      <x:c r="F11" s="113"/>
      <x:c r="G11" s="122" t="n">
        <x:f>OUTLINE!G11</x:f>
        <x:v>0</x:v>
      </x:c>
      <x:c r="H11" s="122" t="str">
        <x:f>IF(B11="","",IF(G11=0,"REVIEW: no evidence mapped","OK"))</x:f>
      </x:c>
      <x:c r="I11" s="113"/>
      <x:c r="J11" s="84"/>
      <x:c r="K11" s="84"/>
      <x:c r="L11" s="84"/>
      <x:c r="M11" s="84"/>
      <x:c r="N11" s="84"/>
      <x:c r="O11" s="84"/>
      <x:c r="P11" s="84"/>
      <x:c r="Q11" s="84"/>
      <x:c r="R11" s="84"/>
      <x:c r="S11" s="84"/>
      <x:c r="T11" s="84"/>
      <x:c r="U11" s="84"/>
    </x:row>
    <x:row r="12">
      <x:c r="A12" s="122" t="n">
        <x:f>OUTLINE!A12</x:f>
        <x:v>0</x:v>
      </x:c>
      <x:c r="B12" s="122" t="n">
        <x:f>OUTLINE!C12</x:f>
        <x:v>0</x:v>
      </x:c>
      <x:c r="C12" s="122" t="n">
        <x:f>OUTLINE!H12</x:f>
        <x:v>0</x:v>
      </x:c>
      <x:c r="D12" s="113"/>
      <x:c r="E12" s="127" t="str">
        <x:f>IF(OR(C12="",C12=0),"",MIN(1,D12/C12))</x:f>
      </x:c>
      <x:c r="F12" s="113"/>
      <x:c r="G12" s="122" t="n">
        <x:f>OUTLINE!G12</x:f>
        <x:v>0</x:v>
      </x:c>
      <x:c r="H12" s="122" t="str">
        <x:f>IF(B12="","",IF(G12=0,"REVIEW: no evidence mapped","OK"))</x:f>
      </x:c>
      <x:c r="I12" s="113"/>
      <x:c r="J12" s="84"/>
      <x:c r="K12" s="84"/>
      <x:c r="L12" s="84"/>
      <x:c r="M12" s="84"/>
      <x:c r="N12" s="84"/>
      <x:c r="O12" s="84"/>
      <x:c r="P12" s="84"/>
      <x:c r="Q12" s="84"/>
      <x:c r="R12" s="84"/>
      <x:c r="S12" s="84"/>
      <x:c r="T12" s="84"/>
      <x:c r="U12" s="84"/>
    </x:row>
    <x:row r="13">
      <x:c r="A13" s="122" t="n">
        <x:f>OUTLINE!A13</x:f>
        <x:v>0</x:v>
      </x:c>
      <x:c r="B13" s="122" t="n">
        <x:f>OUTLINE!C13</x:f>
        <x:v>0</x:v>
      </x:c>
      <x:c r="C13" s="122" t="n">
        <x:f>OUTLINE!H13</x:f>
        <x:v>0</x:v>
      </x:c>
      <x:c r="D13" s="113"/>
      <x:c r="E13" s="127" t="str">
        <x:f>IF(OR(C13="",C13=0),"",MIN(1,D13/C13))</x:f>
      </x:c>
      <x:c r="F13" s="113"/>
      <x:c r="G13" s="122" t="n">
        <x:f>OUTLINE!G13</x:f>
        <x:v>0</x:v>
      </x:c>
      <x:c r="H13" s="122" t="str">
        <x:f>IF(B13="","",IF(G13=0,"REVIEW: no evidence mapped","OK"))</x:f>
      </x:c>
      <x:c r="I13" s="113"/>
      <x:c r="J13" s="84"/>
      <x:c r="K13" s="84"/>
      <x:c r="L13" s="84"/>
      <x:c r="M13" s="84"/>
      <x:c r="N13" s="84"/>
      <x:c r="O13" s="84"/>
      <x:c r="P13" s="84"/>
      <x:c r="Q13" s="84"/>
      <x:c r="R13" s="84"/>
      <x:c r="S13" s="84"/>
      <x:c r="T13" s="84"/>
      <x:c r="U13" s="84"/>
    </x:row>
    <x:row r="14">
      <x:c r="A14" s="122" t="n">
        <x:f>OUTLINE!A14</x:f>
        <x:v>0</x:v>
      </x:c>
      <x:c r="B14" s="122" t="n">
        <x:f>OUTLINE!C14</x:f>
        <x:v>0</x:v>
      </x:c>
      <x:c r="C14" s="122" t="n">
        <x:f>OUTLINE!H14</x:f>
        <x:v>0</x:v>
      </x:c>
      <x:c r="D14" s="113"/>
      <x:c r="E14" s="127" t="str">
        <x:f>IF(OR(C14="",C14=0),"",MIN(1,D14/C14))</x:f>
      </x:c>
      <x:c r="F14" s="113"/>
      <x:c r="G14" s="122" t="n">
        <x:f>OUTLINE!G14</x:f>
        <x:v>0</x:v>
      </x:c>
      <x:c r="H14" s="122" t="str">
        <x:f>IF(B14="","",IF(G14=0,"REVIEW: no evidence mapped","OK"))</x:f>
      </x:c>
      <x:c r="I14" s="113"/>
      <x:c r="J14" s="84"/>
      <x:c r="K14" s="84"/>
      <x:c r="L14" s="84"/>
      <x:c r="M14" s="84"/>
      <x:c r="N14" s="84"/>
      <x:c r="O14" s="84"/>
      <x:c r="P14" s="84"/>
      <x:c r="Q14" s="84"/>
      <x:c r="R14" s="84"/>
      <x:c r="S14" s="84"/>
      <x:c r="T14" s="84"/>
      <x:c r="U14" s="84"/>
    </x:row>
    <x:row r="15">
      <x:c r="A15" s="122" t="n">
        <x:f>OUTLINE!A15</x:f>
        <x:v>0</x:v>
      </x:c>
      <x:c r="B15" s="122" t="n">
        <x:f>OUTLINE!C15</x:f>
        <x:v>0</x:v>
      </x:c>
      <x:c r="C15" s="122" t="n">
        <x:f>OUTLINE!H15</x:f>
        <x:v>0</x:v>
      </x:c>
      <x:c r="D15" s="113"/>
      <x:c r="E15" s="127" t="str">
        <x:f>IF(OR(C15="",C15=0),"",MIN(1,D15/C15))</x:f>
      </x:c>
      <x:c r="F15" s="113"/>
      <x:c r="G15" s="122" t="n">
        <x:f>OUTLINE!G15</x:f>
        <x:v>0</x:v>
      </x:c>
      <x:c r="H15" s="122" t="str">
        <x:f>IF(B15="","",IF(G15=0,"REVIEW: no evidence mapped","OK"))</x:f>
      </x:c>
      <x:c r="I15" s="113"/>
      <x:c r="J15" s="84"/>
      <x:c r="K15" s="84"/>
      <x:c r="L15" s="84"/>
      <x:c r="M15" s="84"/>
      <x:c r="N15" s="84"/>
      <x:c r="O15" s="84"/>
      <x:c r="P15" s="84"/>
      <x:c r="Q15" s="84"/>
      <x:c r="R15" s="84"/>
      <x:c r="S15" s="84"/>
      <x:c r="T15" s="84"/>
      <x:c r="U15" s="84"/>
    </x:row>
    <x:row r="16">
      <x:c r="A16" s="122" t="n">
        <x:f>OUTLINE!A16</x:f>
        <x:v>0</x:v>
      </x:c>
      <x:c r="B16" s="122" t="n">
        <x:f>OUTLINE!C16</x:f>
        <x:v>0</x:v>
      </x:c>
      <x:c r="C16" s="122" t="n">
        <x:f>OUTLINE!H16</x:f>
        <x:v>0</x:v>
      </x:c>
      <x:c r="D16" s="113"/>
      <x:c r="E16" s="127" t="str">
        <x:f>IF(OR(C16="",C16=0),"",MIN(1,D16/C16))</x:f>
      </x:c>
      <x:c r="F16" s="113"/>
      <x:c r="G16" s="122" t="n">
        <x:f>OUTLINE!G16</x:f>
        <x:v>0</x:v>
      </x:c>
      <x:c r="H16" s="122" t="str">
        <x:f>IF(B16="","",IF(G16=0,"REVIEW: no evidence mapped","OK"))</x:f>
      </x:c>
      <x:c r="I16" s="113"/>
      <x:c r="J16" s="84"/>
      <x:c r="K16" s="84"/>
      <x:c r="L16" s="84"/>
      <x:c r="M16" s="84"/>
      <x:c r="N16" s="84"/>
      <x:c r="O16" s="84"/>
      <x:c r="P16" s="84"/>
      <x:c r="Q16" s="84"/>
      <x:c r="R16" s="84"/>
      <x:c r="S16" s="84"/>
      <x:c r="T16" s="84"/>
      <x:c r="U16" s="84"/>
    </x:row>
    <x:row r="17">
      <x:c r="A17" s="122" t="n">
        <x:f>OUTLINE!A17</x:f>
        <x:v>0</x:v>
      </x:c>
      <x:c r="B17" s="122" t="n">
        <x:f>OUTLINE!C17</x:f>
        <x:v>0</x:v>
      </x:c>
      <x:c r="C17" s="122" t="n">
        <x:f>OUTLINE!H17</x:f>
        <x:v>0</x:v>
      </x:c>
      <x:c r="D17" s="113"/>
      <x:c r="E17" s="127" t="str">
        <x:f>IF(OR(C17="",C17=0),"",MIN(1,D17/C17))</x:f>
      </x:c>
      <x:c r="F17" s="113"/>
      <x:c r="G17" s="122" t="n">
        <x:f>OUTLINE!G17</x:f>
        <x:v>0</x:v>
      </x:c>
      <x:c r="H17" s="122" t="str">
        <x:f>IF(B17="","",IF(G17=0,"REVIEW: no evidence mapped","OK"))</x:f>
      </x:c>
      <x:c r="I17" s="113"/>
      <x:c r="J17" s="84"/>
      <x:c r="K17" s="84"/>
      <x:c r="L17" s="84"/>
      <x:c r="M17" s="84"/>
      <x:c r="N17" s="84"/>
      <x:c r="O17" s="84"/>
      <x:c r="P17" s="84"/>
      <x:c r="Q17" s="84"/>
      <x:c r="R17" s="84"/>
      <x:c r="S17" s="84"/>
      <x:c r="T17" s="84"/>
      <x:c r="U17" s="84"/>
    </x:row>
    <x:row r="18">
      <x:c r="A18" s="122" t="n">
        <x:f>OUTLINE!A18</x:f>
        <x:v>0</x:v>
      </x:c>
      <x:c r="B18" s="122" t="n">
        <x:f>OUTLINE!C18</x:f>
        <x:v>0</x:v>
      </x:c>
      <x:c r="C18" s="122" t="n">
        <x:f>OUTLINE!H18</x:f>
        <x:v>0</x:v>
      </x:c>
      <x:c r="D18" s="113"/>
      <x:c r="E18" s="127" t="str">
        <x:f>IF(OR(C18="",C18=0),"",MIN(1,D18/C18))</x:f>
      </x:c>
      <x:c r="F18" s="113"/>
      <x:c r="G18" s="122" t="n">
        <x:f>OUTLINE!G18</x:f>
        <x:v>0</x:v>
      </x:c>
      <x:c r="H18" s="122" t="str">
        <x:f>IF(B18="","",IF(G18=0,"REVIEW: no evidence mapped","OK"))</x:f>
      </x:c>
      <x:c r="I18" s="113"/>
      <x:c r="J18" s="84"/>
      <x:c r="K18" s="84"/>
      <x:c r="L18" s="84"/>
      <x:c r="M18" s="84"/>
      <x:c r="N18" s="84"/>
      <x:c r="O18" s="84"/>
      <x:c r="P18" s="84"/>
      <x:c r="Q18" s="84"/>
      <x:c r="R18" s="84"/>
      <x:c r="S18" s="84"/>
      <x:c r="T18" s="84"/>
      <x:c r="U18" s="84"/>
    </x:row>
    <x:row r="19">
      <x:c r="A19" s="122" t="n">
        <x:f>OUTLINE!A19</x:f>
        <x:v>0</x:v>
      </x:c>
      <x:c r="B19" s="122" t="n">
        <x:f>OUTLINE!C19</x:f>
        <x:v>0</x:v>
      </x:c>
      <x:c r="C19" s="122" t="n">
        <x:f>OUTLINE!H19</x:f>
        <x:v>0</x:v>
      </x:c>
      <x:c r="D19" s="113"/>
      <x:c r="E19" s="127" t="str">
        <x:f>IF(OR(C19="",C19=0),"",MIN(1,D19/C19))</x:f>
      </x:c>
      <x:c r="F19" s="113"/>
      <x:c r="G19" s="122" t="n">
        <x:f>OUTLINE!G19</x:f>
        <x:v>0</x:v>
      </x:c>
      <x:c r="H19" s="122" t="str">
        <x:f>IF(B19="","",IF(G19=0,"REVIEW: no evidence mapped","OK"))</x:f>
      </x:c>
      <x:c r="I19" s="113"/>
      <x:c r="J19" s="84"/>
      <x:c r="K19" s="84"/>
      <x:c r="L19" s="84"/>
      <x:c r="M19" s="84"/>
      <x:c r="N19" s="84"/>
      <x:c r="O19" s="84"/>
      <x:c r="P19" s="84"/>
      <x:c r="Q19" s="84"/>
      <x:c r="R19" s="84"/>
      <x:c r="S19" s="84"/>
      <x:c r="T19" s="84"/>
      <x:c r="U19" s="84"/>
    </x:row>
    <x:row r="20">
      <x:c r="A20" s="122" t="n">
        <x:f>OUTLINE!A20</x:f>
        <x:v>0</x:v>
      </x:c>
      <x:c r="B20" s="122" t="n">
        <x:f>OUTLINE!C20</x:f>
        <x:v>0</x:v>
      </x:c>
      <x:c r="C20" s="122" t="n">
        <x:f>OUTLINE!H20</x:f>
        <x:v>0</x:v>
      </x:c>
      <x:c r="D20" s="113"/>
      <x:c r="E20" s="127" t="str">
        <x:f>IF(OR(C20="",C20=0),"",MIN(1,D20/C20))</x:f>
      </x:c>
      <x:c r="F20" s="113"/>
      <x:c r="G20" s="122" t="n">
        <x:f>OUTLINE!G20</x:f>
        <x:v>0</x:v>
      </x:c>
      <x:c r="H20" s="122" t="str">
        <x:f>IF(B20="","",IF(G20=0,"REVIEW: no evidence mapped","OK"))</x:f>
      </x:c>
      <x:c r="I20" s="113"/>
      <x:c r="J20" s="84"/>
      <x:c r="K20" s="84"/>
      <x:c r="L20" s="84"/>
      <x:c r="M20" s="84"/>
      <x:c r="N20" s="84"/>
      <x:c r="O20" s="84"/>
      <x:c r="P20" s="84"/>
      <x:c r="Q20" s="84"/>
      <x:c r="R20" s="84"/>
      <x:c r="S20" s="84"/>
      <x:c r="T20" s="84"/>
      <x:c r="U20" s="84"/>
    </x:row>
    <x:row r="21">
      <x:c r="A21" s="122" t="n">
        <x:f>OUTLINE!A21</x:f>
        <x:v>0</x:v>
      </x:c>
      <x:c r="B21" s="122" t="n">
        <x:f>OUTLINE!C21</x:f>
        <x:v>0</x:v>
      </x:c>
      <x:c r="C21" s="122" t="n">
        <x:f>OUTLINE!H21</x:f>
        <x:v>0</x:v>
      </x:c>
      <x:c r="D21" s="113"/>
      <x:c r="E21" s="127" t="str">
        <x:f>IF(OR(C21="",C21=0),"",MIN(1,D21/C21))</x:f>
      </x:c>
      <x:c r="F21" s="113"/>
      <x:c r="G21" s="122" t="n">
        <x:f>OUTLINE!G21</x:f>
        <x:v>0</x:v>
      </x:c>
      <x:c r="H21" s="122" t="str">
        <x:f>IF(B21="","",IF(G21=0,"REVIEW: no evidence mapped","OK"))</x:f>
      </x:c>
      <x:c r="I21" s="113"/>
      <x:c r="J21" s="84"/>
      <x:c r="K21" s="84"/>
      <x:c r="L21" s="84"/>
      <x:c r="M21" s="84"/>
      <x:c r="N21" s="84"/>
      <x:c r="O21" s="84"/>
      <x:c r="P21" s="84"/>
      <x:c r="Q21" s="84"/>
      <x:c r="R21" s="84"/>
      <x:c r="S21" s="84"/>
      <x:c r="T21" s="84"/>
      <x:c r="U21" s="84"/>
    </x:row>
    <x:row r="22">
      <x:c r="A22" s="122" t="n">
        <x:f>OUTLINE!A22</x:f>
        <x:v>0</x:v>
      </x:c>
      <x:c r="B22" s="122" t="n">
        <x:f>OUTLINE!C22</x:f>
        <x:v>0</x:v>
      </x:c>
      <x:c r="C22" s="122" t="n">
        <x:f>OUTLINE!H22</x:f>
        <x:v>0</x:v>
      </x:c>
      <x:c r="D22" s="113"/>
      <x:c r="E22" s="127" t="str">
        <x:f>IF(OR(C22="",C22=0),"",MIN(1,D22/C22))</x:f>
      </x:c>
      <x:c r="F22" s="113"/>
      <x:c r="G22" s="122" t="n">
        <x:f>OUTLINE!G22</x:f>
        <x:v>0</x:v>
      </x:c>
      <x:c r="H22" s="122" t="str">
        <x:f>IF(B22="","",IF(G22=0,"REVIEW: no evidence mapped","OK"))</x:f>
      </x:c>
      <x:c r="I22" s="113"/>
      <x:c r="J22" s="84"/>
      <x:c r="K22" s="84"/>
      <x:c r="L22" s="84"/>
      <x:c r="M22" s="84"/>
      <x:c r="N22" s="84"/>
      <x:c r="O22" s="84"/>
      <x:c r="P22" s="84"/>
      <x:c r="Q22" s="84"/>
      <x:c r="R22" s="84"/>
      <x:c r="S22" s="84"/>
      <x:c r="T22" s="84"/>
      <x:c r="U22" s="84"/>
    </x:row>
    <x:row r="23">
      <x:c r="A23" s="122" t="n">
        <x:f>OUTLINE!A23</x:f>
        <x:v>0</x:v>
      </x:c>
      <x:c r="B23" s="122" t="n">
        <x:f>OUTLINE!C23</x:f>
        <x:v>0</x:v>
      </x:c>
      <x:c r="C23" s="122" t="n">
        <x:f>OUTLINE!H23</x:f>
        <x:v>0</x:v>
      </x:c>
      <x:c r="D23" s="113"/>
      <x:c r="E23" s="127" t="str">
        <x:f>IF(OR(C23="",C23=0),"",MIN(1,D23/C23))</x:f>
      </x:c>
      <x:c r="F23" s="113"/>
      <x:c r="G23" s="122" t="n">
        <x:f>OUTLINE!G23</x:f>
        <x:v>0</x:v>
      </x:c>
      <x:c r="H23" s="122" t="str">
        <x:f>IF(B23="","",IF(G23=0,"REVIEW: no evidence mapped","OK"))</x:f>
      </x:c>
      <x:c r="I23" s="113"/>
      <x:c r="J23" s="84"/>
      <x:c r="K23" s="84"/>
      <x:c r="L23" s="84"/>
      <x:c r="M23" s="84"/>
      <x:c r="N23" s="84"/>
      <x:c r="O23" s="84"/>
      <x:c r="P23" s="84"/>
      <x:c r="Q23" s="84"/>
      <x:c r="R23" s="84"/>
      <x:c r="S23" s="84"/>
      <x:c r="T23" s="84"/>
      <x:c r="U23" s="84"/>
    </x:row>
    <x:row r="24">
      <x:c r="A24" s="122" t="n">
        <x:f>OUTLINE!A24</x:f>
        <x:v>0</x:v>
      </x:c>
      <x:c r="B24" s="122" t="n">
        <x:f>OUTLINE!C24</x:f>
        <x:v>0</x:v>
      </x:c>
      <x:c r="C24" s="122" t="n">
        <x:f>OUTLINE!H24</x:f>
        <x:v>0</x:v>
      </x:c>
      <x:c r="D24" s="113"/>
      <x:c r="E24" s="127" t="str">
        <x:f>IF(OR(C24="",C24=0),"",MIN(1,D24/C24))</x:f>
      </x:c>
      <x:c r="F24" s="113"/>
      <x:c r="G24" s="122" t="n">
        <x:f>OUTLINE!G24</x:f>
        <x:v>0</x:v>
      </x:c>
      <x:c r="H24" s="122" t="str">
        <x:f>IF(B24="","",IF(G24=0,"REVIEW: no evidence mapped","OK"))</x:f>
      </x:c>
      <x:c r="I24" s="113"/>
      <x:c r="J24" s="84"/>
      <x:c r="K24" s="84"/>
      <x:c r="L24" s="84"/>
      <x:c r="M24" s="84"/>
      <x:c r="N24" s="84"/>
      <x:c r="O24" s="84"/>
      <x:c r="P24" s="84"/>
      <x:c r="Q24" s="84"/>
      <x:c r="R24" s="84"/>
      <x:c r="S24" s="84"/>
      <x:c r="T24" s="84"/>
      <x:c r="U24" s="84"/>
    </x:row>
    <x:row r="25">
      <x:c r="A25" s="122" t="n">
        <x:f>OUTLINE!A25</x:f>
        <x:v>0</x:v>
      </x:c>
      <x:c r="B25" s="122" t="n">
        <x:f>OUTLINE!C25</x:f>
        <x:v>0</x:v>
      </x:c>
      <x:c r="C25" s="122" t="n">
        <x:f>OUTLINE!H25</x:f>
        <x:v>0</x:v>
      </x:c>
      <x:c r="D25" s="113"/>
      <x:c r="E25" s="127" t="str">
        <x:f>IF(OR(C25="",C25=0),"",MIN(1,D25/C25))</x:f>
      </x:c>
      <x:c r="F25" s="113"/>
      <x:c r="G25" s="122" t="n">
        <x:f>OUTLINE!G25</x:f>
        <x:v>0</x:v>
      </x:c>
      <x:c r="H25" s="122" t="str">
        <x:f>IF(B25="","",IF(G25=0,"REVIEW: no evidence mapped","OK"))</x:f>
      </x:c>
      <x:c r="I25" s="113"/>
      <x:c r="J25" s="84"/>
      <x:c r="K25" s="84"/>
      <x:c r="L25" s="84"/>
      <x:c r="M25" s="84"/>
      <x:c r="N25" s="84"/>
      <x:c r="O25" s="84"/>
      <x:c r="P25" s="84"/>
      <x:c r="Q25" s="84"/>
      <x:c r="R25" s="84"/>
      <x:c r="S25" s="84"/>
      <x:c r="T25" s="84"/>
      <x:c r="U25" s="84"/>
    </x:row>
    <x:row r="26">
      <x:c r="A26" s="122" t="n">
        <x:f>OUTLINE!A26</x:f>
        <x:v>0</x:v>
      </x:c>
      <x:c r="B26" s="122" t="n">
        <x:f>OUTLINE!C26</x:f>
        <x:v>0</x:v>
      </x:c>
      <x:c r="C26" s="122" t="n">
        <x:f>OUTLINE!H26</x:f>
        <x:v>0</x:v>
      </x:c>
      <x:c r="D26" s="113"/>
      <x:c r="E26" s="127" t="str">
        <x:f>IF(OR(C26="",C26=0),"",MIN(1,D26/C26))</x:f>
      </x:c>
      <x:c r="F26" s="113"/>
      <x:c r="G26" s="122" t="n">
        <x:f>OUTLINE!G26</x:f>
        <x:v>0</x:v>
      </x:c>
      <x:c r="H26" s="122" t="str">
        <x:f>IF(B26="","",IF(G26=0,"REVIEW: no evidence mapped","OK"))</x:f>
      </x:c>
      <x:c r="I26" s="113"/>
      <x:c r="J26" s="84"/>
      <x:c r="K26" s="84"/>
      <x:c r="L26" s="84"/>
      <x:c r="M26" s="84"/>
      <x:c r="N26" s="84"/>
      <x:c r="O26" s="84"/>
      <x:c r="P26" s="84"/>
      <x:c r="Q26" s="84"/>
      <x:c r="R26" s="84"/>
      <x:c r="S26" s="84"/>
      <x:c r="T26" s="84"/>
      <x:c r="U26" s="84"/>
    </x:row>
    <x:row r="27">
      <x:c r="A27" s="122" t="n">
        <x:f>OUTLINE!A27</x:f>
        <x:v>0</x:v>
      </x:c>
      <x:c r="B27" s="122" t="n">
        <x:f>OUTLINE!C27</x:f>
        <x:v>0</x:v>
      </x:c>
      <x:c r="C27" s="122" t="n">
        <x:f>OUTLINE!H27</x:f>
        <x:v>0</x:v>
      </x:c>
      <x:c r="D27" s="113"/>
      <x:c r="E27" s="127" t="str">
        <x:f>IF(OR(C27="",C27=0),"",MIN(1,D27/C27))</x:f>
      </x:c>
      <x:c r="F27" s="113"/>
      <x:c r="G27" s="122" t="n">
        <x:f>OUTLINE!G27</x:f>
        <x:v>0</x:v>
      </x:c>
      <x:c r="H27" s="122" t="str">
        <x:f>IF(B27="","",IF(G27=0,"REVIEW: no evidence mapped","OK"))</x:f>
      </x:c>
      <x:c r="I27" s="113"/>
      <x:c r="J27" s="84"/>
      <x:c r="K27" s="84"/>
      <x:c r="L27" s="84"/>
      <x:c r="M27" s="84"/>
      <x:c r="N27" s="84"/>
      <x:c r="O27" s="84"/>
      <x:c r="P27" s="84"/>
      <x:c r="Q27" s="84"/>
      <x:c r="R27" s="84"/>
      <x:c r="S27" s="84"/>
      <x:c r="T27" s="84"/>
      <x:c r="U27" s="84"/>
    </x:row>
    <x:row r="28">
      <x:c r="A28" s="122" t="n">
        <x:f>OUTLINE!A28</x:f>
        <x:v>0</x:v>
      </x:c>
      <x:c r="B28" s="122" t="n">
        <x:f>OUTLINE!C28</x:f>
        <x:v>0</x:v>
      </x:c>
      <x:c r="C28" s="122" t="n">
        <x:f>OUTLINE!H28</x:f>
        <x:v>0</x:v>
      </x:c>
      <x:c r="D28" s="113"/>
      <x:c r="E28" s="127" t="str">
        <x:f>IF(OR(C28="",C28=0),"",MIN(1,D28/C28))</x:f>
      </x:c>
      <x:c r="F28" s="113"/>
      <x:c r="G28" s="122" t="n">
        <x:f>OUTLINE!G28</x:f>
        <x:v>0</x:v>
      </x:c>
      <x:c r="H28" s="122" t="str">
        <x:f>IF(B28="","",IF(G28=0,"REVIEW: no evidence mapped","OK"))</x:f>
      </x:c>
      <x:c r="I28" s="113"/>
      <x:c r="J28" s="84"/>
      <x:c r="K28" s="84"/>
      <x:c r="L28" s="84"/>
      <x:c r="M28" s="84"/>
      <x:c r="N28" s="84"/>
      <x:c r="O28" s="84"/>
      <x:c r="P28" s="84"/>
      <x:c r="Q28" s="84"/>
      <x:c r="R28" s="84"/>
      <x:c r="S28" s="84"/>
      <x:c r="T28" s="84"/>
      <x:c r="U28" s="84"/>
    </x:row>
    <x:row r="29">
      <x:c r="A29" s="122" t="n">
        <x:f>OUTLINE!A29</x:f>
        <x:v>0</x:v>
      </x:c>
      <x:c r="B29" s="122" t="n">
        <x:f>OUTLINE!C29</x:f>
        <x:v>0</x:v>
      </x:c>
      <x:c r="C29" s="122" t="n">
        <x:f>OUTLINE!H29</x:f>
        <x:v>0</x:v>
      </x:c>
      <x:c r="D29" s="113"/>
      <x:c r="E29" s="127" t="str">
        <x:f>IF(OR(C29="",C29=0),"",MIN(1,D29/C29))</x:f>
      </x:c>
      <x:c r="F29" s="113"/>
      <x:c r="G29" s="122" t="n">
        <x:f>OUTLINE!G29</x:f>
        <x:v>0</x:v>
      </x:c>
      <x:c r="H29" s="122" t="str">
        <x:f>IF(B29="","",IF(G29=0,"REVIEW: no evidence mapped","OK"))</x:f>
      </x:c>
      <x:c r="I29" s="113"/>
      <x:c r="J29" s="84"/>
      <x:c r="K29" s="84"/>
      <x:c r="L29" s="84"/>
      <x:c r="M29" s="84"/>
      <x:c r="N29" s="84"/>
      <x:c r="O29" s="84"/>
      <x:c r="P29" s="84"/>
      <x:c r="Q29" s="84"/>
      <x:c r="R29" s="84"/>
      <x:c r="S29" s="84"/>
      <x:c r="T29" s="84"/>
      <x:c r="U29" s="84"/>
    </x:row>
    <x:row r="30">
      <x:c r="A30" s="122" t="n">
        <x:f>OUTLINE!A30</x:f>
        <x:v>0</x:v>
      </x:c>
      <x:c r="B30" s="122" t="n">
        <x:f>OUTLINE!C30</x:f>
        <x:v>0</x:v>
      </x:c>
      <x:c r="C30" s="122" t="n">
        <x:f>OUTLINE!H30</x:f>
        <x:v>0</x:v>
      </x:c>
      <x:c r="D30" s="113"/>
      <x:c r="E30" s="127" t="str">
        <x:f>IF(OR(C30="",C30=0),"",MIN(1,D30/C30))</x:f>
      </x:c>
      <x:c r="F30" s="113"/>
      <x:c r="G30" s="122" t="n">
        <x:f>OUTLINE!G30</x:f>
        <x:v>0</x:v>
      </x:c>
      <x:c r="H30" s="122" t="str">
        <x:f>IF(B30="","",IF(G30=0,"REVIEW: no evidence mapped","OK"))</x:f>
      </x:c>
      <x:c r="I30" s="113"/>
      <x:c r="J30" s="84"/>
      <x:c r="K30" s="84"/>
      <x:c r="L30" s="84"/>
      <x:c r="M30" s="84"/>
      <x:c r="N30" s="84"/>
      <x:c r="O30" s="84"/>
      <x:c r="P30" s="84"/>
      <x:c r="Q30" s="84"/>
      <x:c r="R30" s="84"/>
      <x:c r="S30" s="84"/>
      <x:c r="T30" s="84"/>
      <x:c r="U30" s="84"/>
    </x:row>
    <x:row r="31">
      <x:c r="A31" s="122" t="n">
        <x:f>OUTLINE!A31</x:f>
        <x:v>0</x:v>
      </x:c>
      <x:c r="B31" s="122" t="n">
        <x:f>OUTLINE!C31</x:f>
        <x:v>0</x:v>
      </x:c>
      <x:c r="C31" s="122" t="n">
        <x:f>OUTLINE!H31</x:f>
        <x:v>0</x:v>
      </x:c>
      <x:c r="D31" s="113"/>
      <x:c r="E31" s="127" t="str">
        <x:f>IF(OR(C31="",C31=0),"",MIN(1,D31/C31))</x:f>
      </x:c>
      <x:c r="F31" s="113"/>
      <x:c r="G31" s="122" t="n">
        <x:f>OUTLINE!G31</x:f>
        <x:v>0</x:v>
      </x:c>
      <x:c r="H31" s="122" t="str">
        <x:f>IF(B31="","",IF(G31=0,"REVIEW: no evidence mapped","OK"))</x:f>
      </x:c>
      <x:c r="I31" s="113"/>
      <x:c r="J31" s="84"/>
      <x:c r="K31" s="84"/>
      <x:c r="L31" s="84"/>
      <x:c r="M31" s="84"/>
      <x:c r="N31" s="84"/>
      <x:c r="O31" s="84"/>
      <x:c r="P31" s="84"/>
      <x:c r="Q31" s="84"/>
      <x:c r="R31" s="84"/>
      <x:c r="S31" s="84"/>
      <x:c r="T31" s="84"/>
      <x:c r="U31" s="84"/>
    </x:row>
    <x:row r="32">
      <x:c r="A32" s="122" t="n">
        <x:f>OUTLINE!A32</x:f>
        <x:v>0</x:v>
      </x:c>
      <x:c r="B32" s="122" t="n">
        <x:f>OUTLINE!C32</x:f>
        <x:v>0</x:v>
      </x:c>
      <x:c r="C32" s="122" t="n">
        <x:f>OUTLINE!H32</x:f>
        <x:v>0</x:v>
      </x:c>
      <x:c r="D32" s="113"/>
      <x:c r="E32" s="127" t="str">
        <x:f>IF(OR(C32="",C32=0),"",MIN(1,D32/C32))</x:f>
      </x:c>
      <x:c r="F32" s="113"/>
      <x:c r="G32" s="122" t="n">
        <x:f>OUTLINE!G32</x:f>
        <x:v>0</x:v>
      </x:c>
      <x:c r="H32" s="122" t="str">
        <x:f>IF(B32="","",IF(G32=0,"REVIEW: no evidence mapped","OK"))</x:f>
      </x:c>
      <x:c r="I32" s="113"/>
      <x:c r="J32" s="84"/>
      <x:c r="K32" s="84"/>
      <x:c r="L32" s="84"/>
      <x:c r="M32" s="84"/>
      <x:c r="N32" s="84"/>
      <x:c r="O32" s="84"/>
      <x:c r="P32" s="84"/>
      <x:c r="Q32" s="84"/>
      <x:c r="R32" s="84"/>
      <x:c r="S32" s="84"/>
      <x:c r="T32" s="84"/>
      <x:c r="U32" s="84"/>
    </x:row>
    <x:row r="33">
      <x:c r="A33" s="122" t="n">
        <x:f>OUTLINE!A33</x:f>
        <x:v>0</x:v>
      </x:c>
      <x:c r="B33" s="122" t="n">
        <x:f>OUTLINE!C33</x:f>
        <x:v>0</x:v>
      </x:c>
      <x:c r="C33" s="122" t="n">
        <x:f>OUTLINE!H33</x:f>
        <x:v>0</x:v>
      </x:c>
      <x:c r="D33" s="113"/>
      <x:c r="E33" s="127" t="str">
        <x:f>IF(OR(C33="",C33=0),"",MIN(1,D33/C33))</x:f>
      </x:c>
      <x:c r="F33" s="113"/>
      <x:c r="G33" s="122" t="n">
        <x:f>OUTLINE!G33</x:f>
        <x:v>0</x:v>
      </x:c>
      <x:c r="H33" s="122" t="str">
        <x:f>IF(B33="","",IF(G33=0,"REVIEW: no evidence mapped","OK"))</x:f>
      </x:c>
      <x:c r="I33" s="113"/>
      <x:c r="J33" s="84"/>
      <x:c r="K33" s="84"/>
      <x:c r="L33" s="84"/>
      <x:c r="M33" s="84"/>
      <x:c r="N33" s="84"/>
      <x:c r="O33" s="84"/>
      <x:c r="P33" s="84"/>
      <x:c r="Q33" s="84"/>
      <x:c r="R33" s="84"/>
      <x:c r="S33" s="84"/>
      <x:c r="T33" s="84"/>
      <x:c r="U33" s="84"/>
    </x:row>
    <x:row r="34">
      <x:c r="A34" s="84"/>
      <x:c r="B34" s="84"/>
      <x:c r="C34" s="84"/>
      <x:c r="D34" s="84"/>
      <x:c r="E34" s="84"/>
      <x:c r="F34" s="84"/>
      <x:c r="G34" s="84"/>
      <x:c r="H34" s="84"/>
      <x:c r="I34" s="84"/>
      <x:c r="J34" s="84"/>
      <x:c r="K34" s="84"/>
      <x:c r="L34" s="84"/>
      <x:c r="M34" s="84"/>
      <x:c r="N34" s="84"/>
      <x:c r="O34" s="84"/>
      <x:c r="P34" s="84"/>
      <x:c r="Q34" s="84"/>
      <x:c r="R34" s="84"/>
      <x:c r="S34" s="84"/>
      <x:c r="T34" s="84"/>
      <x:c r="U34" s="84"/>
    </x:row>
    <x:row r="35">
      <x:c r="A35" s="84"/>
      <x:c r="B35" s="84"/>
      <x:c r="C35" s="84"/>
      <x:c r="D35" s="84"/>
      <x:c r="E35" s="84"/>
      <x:c r="F35" s="84"/>
      <x:c r="G35" s="84"/>
      <x:c r="H35" s="84"/>
      <x:c r="I35" s="84"/>
      <x:c r="J35" s="84"/>
      <x:c r="K35" s="84"/>
      <x:c r="L35" s="84"/>
      <x:c r="M35" s="84"/>
      <x:c r="N35" s="84"/>
      <x:c r="O35" s="84"/>
      <x:c r="P35" s="84"/>
      <x:c r="Q35" s="84"/>
      <x:c r="R35" s="84"/>
      <x:c r="S35" s="84"/>
      <x:c r="T35" s="84"/>
      <x:c r="U35" s="84"/>
    </x:row>
    <x:row r="36">
      <x:c r="A36" s="84"/>
      <x:c r="B36" s="84"/>
      <x:c r="C36" s="84"/>
      <x:c r="D36" s="84"/>
      <x:c r="E36" s="84"/>
      <x:c r="F36" s="84"/>
      <x:c r="G36" s="84"/>
      <x:c r="H36" s="84"/>
      <x:c r="I36" s="84"/>
      <x:c r="J36" s="84"/>
      <x:c r="K36" s="84"/>
      <x:c r="L36" s="84"/>
      <x:c r="M36" s="84"/>
      <x:c r="N36" s="84"/>
      <x:c r="O36" s="84"/>
      <x:c r="P36" s="84"/>
      <x:c r="Q36" s="84"/>
      <x:c r="R36" s="84"/>
      <x:c r="S36" s="84"/>
      <x:c r="T36" s="84"/>
      <x:c r="U36" s="84"/>
    </x:row>
    <x:row r="37">
      <x:c r="A37" s="84"/>
      <x:c r="B37" s="84"/>
      <x:c r="C37" s="84"/>
      <x:c r="D37" s="84"/>
      <x:c r="E37" s="84"/>
      <x:c r="F37" s="84"/>
      <x:c r="G37" s="84"/>
      <x:c r="H37" s="84"/>
      <x:c r="I37" s="84"/>
      <x:c r="J37" s="84"/>
      <x:c r="K37" s="84"/>
      <x:c r="L37" s="84"/>
      <x:c r="M37" s="84"/>
      <x:c r="N37" s="84"/>
      <x:c r="O37" s="84"/>
      <x:c r="P37" s="84"/>
      <x:c r="Q37" s="84"/>
      <x:c r="R37" s="84"/>
      <x:c r="S37" s="84"/>
      <x:c r="T37" s="84"/>
      <x:c r="U37" s="84"/>
    </x:row>
    <x:row r="38">
      <x:c r="A38" s="84"/>
      <x:c r="B38" s="84"/>
      <x:c r="C38" s="84"/>
      <x:c r="D38" s="84"/>
      <x:c r="E38" s="84"/>
      <x:c r="F38" s="84"/>
      <x:c r="G38" s="84"/>
      <x:c r="H38" s="84"/>
      <x:c r="I38" s="84"/>
      <x:c r="J38" s="84"/>
      <x:c r="K38" s="84"/>
      <x:c r="L38" s="84"/>
      <x:c r="M38" s="84"/>
      <x:c r="N38" s="84"/>
      <x:c r="O38" s="84"/>
      <x:c r="P38" s="84"/>
      <x:c r="Q38" s="84"/>
      <x:c r="R38" s="84"/>
      <x:c r="S38" s="84"/>
      <x:c r="T38" s="84"/>
      <x:c r="U38" s="84"/>
    </x:row>
    <x:row r="39">
      <x:c r="A39" s="84"/>
      <x:c r="B39" s="84"/>
      <x:c r="C39" s="84"/>
      <x:c r="D39" s="84"/>
      <x:c r="E39" s="84"/>
      <x:c r="F39" s="84"/>
      <x:c r="G39" s="84"/>
      <x:c r="H39" s="84"/>
      <x:c r="I39" s="84"/>
      <x:c r="J39" s="84"/>
      <x:c r="K39" s="84"/>
      <x:c r="L39" s="84"/>
      <x:c r="M39" s="84"/>
      <x:c r="N39" s="84"/>
      <x:c r="O39" s="84"/>
      <x:c r="P39" s="84"/>
      <x:c r="Q39" s="84"/>
      <x:c r="R39" s="84"/>
      <x:c r="S39" s="84"/>
      <x:c r="T39" s="84"/>
      <x:c r="U39" s="84"/>
    </x:row>
    <x:row r="40">
      <x:c r="A40" s="84"/>
      <x:c r="B40" s="84"/>
      <x:c r="C40" s="84"/>
      <x:c r="D40" s="84"/>
      <x:c r="E40" s="84"/>
      <x:c r="F40" s="84"/>
      <x:c r="G40" s="84"/>
      <x:c r="H40" s="84"/>
      <x:c r="I40" s="84"/>
      <x:c r="J40" s="84"/>
      <x:c r="K40" s="84"/>
      <x:c r="L40" s="84"/>
      <x:c r="M40" s="84"/>
      <x:c r="N40" s="84"/>
      <x:c r="O40" s="84"/>
      <x:c r="P40" s="84"/>
      <x:c r="Q40" s="84"/>
      <x:c r="R40" s="84"/>
      <x:c r="S40" s="84"/>
      <x:c r="T40" s="84"/>
      <x:c r="U40" s="84"/>
    </x:row>
    <x:row r="41">
      <x:c r="A41" s="84"/>
      <x:c r="B41" s="84"/>
      <x:c r="C41" s="84"/>
      <x:c r="D41" s="84"/>
      <x:c r="E41" s="84"/>
      <x:c r="F41" s="84"/>
      <x:c r="G41" s="84"/>
      <x:c r="H41" s="84"/>
      <x:c r="I41" s="84"/>
      <x:c r="J41" s="84"/>
      <x:c r="K41" s="84"/>
      <x:c r="L41" s="84"/>
      <x:c r="M41" s="84"/>
      <x:c r="N41" s="84"/>
      <x:c r="O41" s="84"/>
      <x:c r="P41" s="84"/>
      <x:c r="Q41" s="84"/>
      <x:c r="R41" s="84"/>
      <x:c r="S41" s="84"/>
      <x:c r="T41" s="84"/>
      <x:c r="U41" s="84"/>
    </x:row>
    <x:row r="42">
      <x:c r="A42" s="84"/>
      <x:c r="B42" s="84"/>
      <x:c r="C42" s="84"/>
      <x:c r="D42" s="84"/>
      <x:c r="E42" s="84"/>
      <x:c r="F42" s="84"/>
      <x:c r="G42" s="84"/>
      <x:c r="H42" s="84"/>
      <x:c r="I42" s="84"/>
      <x:c r="J42" s="84"/>
      <x:c r="K42" s="84"/>
      <x:c r="L42" s="84"/>
      <x:c r="M42" s="84"/>
      <x:c r="N42" s="84"/>
      <x:c r="O42" s="84"/>
      <x:c r="P42" s="84"/>
      <x:c r="Q42" s="84"/>
      <x:c r="R42" s="84"/>
      <x:c r="S42" s="84"/>
      <x:c r="T42" s="84"/>
      <x:c r="U42" s="84"/>
    </x:row>
    <x:row r="43">
      <x:c r="A43" s="84"/>
      <x:c r="B43" s="84"/>
      <x:c r="C43" s="84"/>
      <x:c r="D43" s="84"/>
      <x:c r="E43" s="84"/>
      <x:c r="F43" s="84"/>
      <x:c r="G43" s="84"/>
      <x:c r="H43" s="84"/>
      <x:c r="I43" s="84"/>
      <x:c r="J43" s="84"/>
      <x:c r="K43" s="84"/>
      <x:c r="L43" s="84"/>
      <x:c r="M43" s="84"/>
      <x:c r="N43" s="84"/>
      <x:c r="O43" s="84"/>
      <x:c r="P43" s="84"/>
      <x:c r="Q43" s="84"/>
      <x:c r="R43" s="84"/>
      <x:c r="S43" s="84"/>
      <x:c r="T43" s="84"/>
      <x:c r="U43" s="84"/>
    </x:row>
    <x:row r="44">
      <x:c r="A44" s="84"/>
      <x:c r="B44" s="84"/>
      <x:c r="C44" s="84"/>
      <x:c r="D44" s="84"/>
      <x:c r="E44" s="84"/>
      <x:c r="F44" s="84"/>
      <x:c r="G44" s="84"/>
      <x:c r="H44" s="84"/>
      <x:c r="I44" s="84"/>
      <x:c r="J44" s="84"/>
      <x:c r="K44" s="84"/>
      <x:c r="L44" s="84"/>
      <x:c r="M44" s="84"/>
      <x:c r="N44" s="84"/>
      <x:c r="O44" s="84"/>
      <x:c r="P44" s="84"/>
      <x:c r="Q44" s="84"/>
      <x:c r="R44" s="84"/>
      <x:c r="S44" s="84"/>
      <x:c r="T44" s="84"/>
      <x:c r="U44" s="84"/>
    </x:row>
    <x:row r="45">
      <x:c r="A45" s="84"/>
      <x:c r="B45" s="84"/>
      <x:c r="C45" s="84"/>
      <x:c r="D45" s="84"/>
      <x:c r="E45" s="84"/>
      <x:c r="F45" s="84"/>
      <x:c r="G45" s="84"/>
      <x:c r="H45" s="84"/>
      <x:c r="I45" s="84"/>
      <x:c r="J45" s="84"/>
      <x:c r="K45" s="84"/>
      <x:c r="L45" s="84"/>
      <x:c r="M45" s="84"/>
      <x:c r="N45" s="84"/>
      <x:c r="O45" s="84"/>
      <x:c r="P45" s="84"/>
      <x:c r="Q45" s="84"/>
      <x:c r="R45" s="84"/>
      <x:c r="S45" s="84"/>
      <x:c r="T45" s="84"/>
      <x:c r="U45" s="84"/>
    </x:row>
    <x:row r="46">
      <x:c r="A46" s="84"/>
      <x:c r="B46" s="84"/>
      <x:c r="C46" s="84"/>
      <x:c r="D46" s="84"/>
      <x:c r="E46" s="84"/>
      <x:c r="F46" s="84"/>
      <x:c r="G46" s="84"/>
      <x:c r="H46" s="84"/>
      <x:c r="I46" s="84"/>
      <x:c r="J46" s="84"/>
      <x:c r="K46" s="84"/>
      <x:c r="L46" s="84"/>
      <x:c r="M46" s="84"/>
      <x:c r="N46" s="84"/>
      <x:c r="O46" s="84"/>
      <x:c r="P46" s="84"/>
      <x:c r="Q46" s="84"/>
      <x:c r="R46" s="84"/>
      <x:c r="S46" s="84"/>
      <x:c r="T46" s="84"/>
      <x:c r="U46" s="84"/>
    </x:row>
    <x:row r="47">
      <x:c r="A47" s="84"/>
      <x:c r="B47" s="84"/>
      <x:c r="C47" s="84"/>
      <x:c r="D47" s="84"/>
      <x:c r="E47" s="84"/>
      <x:c r="F47" s="84"/>
      <x:c r="G47" s="84"/>
      <x:c r="H47" s="84"/>
      <x:c r="I47" s="84"/>
      <x:c r="J47" s="84"/>
      <x:c r="K47" s="84"/>
      <x:c r="L47" s="84"/>
      <x:c r="M47" s="84"/>
      <x:c r="N47" s="84"/>
      <x:c r="O47" s="84"/>
      <x:c r="P47" s="84"/>
      <x:c r="Q47" s="84"/>
      <x:c r="R47" s="84"/>
      <x:c r="S47" s="84"/>
      <x:c r="T47" s="84"/>
      <x:c r="U47" s="84"/>
    </x:row>
    <x:row r="48">
      <x:c r="A48" s="84"/>
      <x:c r="B48" s="84"/>
      <x:c r="C48" s="84"/>
      <x:c r="D48" s="84"/>
      <x:c r="E48" s="84"/>
      <x:c r="F48" s="84"/>
      <x:c r="G48" s="84"/>
      <x:c r="H48" s="84"/>
      <x:c r="I48" s="84"/>
      <x:c r="J48" s="84"/>
      <x:c r="K48" s="84"/>
      <x:c r="L48" s="84"/>
      <x:c r="M48" s="84"/>
      <x:c r="N48" s="84"/>
      <x:c r="O48" s="84"/>
      <x:c r="P48" s="84"/>
      <x:c r="Q48" s="84"/>
      <x:c r="R48" s="84"/>
      <x:c r="S48" s="84"/>
      <x:c r="T48" s="84"/>
      <x:c r="U48" s="84"/>
    </x:row>
    <x:row r="49">
      <x:c r="A49" s="84"/>
      <x:c r="B49" s="84"/>
      <x:c r="C49" s="84"/>
      <x:c r="D49" s="84"/>
      <x:c r="E49" s="84"/>
      <x:c r="F49" s="84"/>
      <x:c r="G49" s="84"/>
      <x:c r="H49" s="84"/>
      <x:c r="I49" s="84"/>
      <x:c r="J49" s="84"/>
      <x:c r="K49" s="84"/>
      <x:c r="L49" s="84"/>
      <x:c r="M49" s="84"/>
      <x:c r="N49" s="84"/>
      <x:c r="O49" s="84"/>
      <x:c r="P49" s="84"/>
      <x:c r="Q49" s="84"/>
      <x:c r="R49" s="84"/>
      <x:c r="S49" s="84"/>
      <x:c r="T49" s="84"/>
      <x:c r="U49" s="84"/>
    </x:row>
    <x:row r="50">
      <x:c r="A50" s="84"/>
      <x:c r="B50" s="84"/>
      <x:c r="C50" s="84"/>
      <x:c r="D50" s="84"/>
      <x:c r="E50" s="84"/>
      <x:c r="F50" s="84"/>
      <x:c r="G50" s="84"/>
      <x:c r="H50" s="84"/>
      <x:c r="I50" s="84"/>
      <x:c r="J50" s="84"/>
      <x:c r="K50" s="84"/>
      <x:c r="L50" s="84"/>
      <x:c r="M50" s="84"/>
      <x:c r="N50" s="84"/>
      <x:c r="O50" s="84"/>
      <x:c r="P50" s="84"/>
      <x:c r="Q50" s="84"/>
      <x:c r="R50" s="84"/>
      <x:c r="S50" s="84"/>
      <x:c r="T50" s="84"/>
      <x:c r="U50" s="84"/>
    </x:row>
    <x:row r="51">
      <x:c r="A51" s="84"/>
      <x:c r="B51" s="84"/>
      <x:c r="C51" s="84"/>
      <x:c r="D51" s="84"/>
      <x:c r="E51" s="84"/>
      <x:c r="F51" s="84"/>
      <x:c r="G51" s="84"/>
      <x:c r="H51" s="84"/>
      <x:c r="I51" s="84"/>
      <x:c r="J51" s="84"/>
      <x:c r="K51" s="84"/>
      <x:c r="L51" s="84"/>
      <x:c r="M51" s="84"/>
      <x:c r="N51" s="84"/>
      <x:c r="O51" s="84"/>
      <x:c r="P51" s="84"/>
      <x:c r="Q51" s="84"/>
      <x:c r="R51" s="84"/>
      <x:c r="S51" s="84"/>
      <x:c r="T51" s="84"/>
      <x:c r="U51" s="84"/>
    </x:row>
    <x:row r="52">
      <x:c r="A52" s="84"/>
      <x:c r="B52" s="84"/>
      <x:c r="C52" s="84"/>
      <x:c r="D52" s="84"/>
      <x:c r="E52" s="84"/>
      <x:c r="F52" s="84"/>
      <x:c r="G52" s="84"/>
      <x:c r="H52" s="84"/>
      <x:c r="I52" s="84"/>
      <x:c r="J52" s="84"/>
      <x:c r="K52" s="84"/>
      <x:c r="L52" s="84"/>
      <x:c r="M52" s="84"/>
      <x:c r="N52" s="84"/>
      <x:c r="O52" s="84"/>
      <x:c r="P52" s="84"/>
      <x:c r="Q52" s="84"/>
      <x:c r="R52" s="84"/>
      <x:c r="S52" s="84"/>
      <x:c r="T52" s="84"/>
      <x:c r="U52" s="84"/>
    </x:row>
    <x:row r="53">
      <x:c r="A53" s="84"/>
      <x:c r="B53" s="84"/>
      <x:c r="C53" s="84"/>
      <x:c r="D53" s="84"/>
      <x:c r="E53" s="84"/>
      <x:c r="F53" s="84"/>
      <x:c r="G53" s="84"/>
      <x:c r="H53" s="84"/>
      <x:c r="I53" s="84"/>
      <x:c r="J53" s="84"/>
      <x:c r="K53" s="84"/>
      <x:c r="L53" s="84"/>
      <x:c r="M53" s="84"/>
      <x:c r="N53" s="84"/>
      <x:c r="O53" s="84"/>
      <x:c r="P53" s="84"/>
      <x:c r="Q53" s="84"/>
      <x:c r="R53" s="84"/>
      <x:c r="S53" s="84"/>
      <x:c r="T53" s="84"/>
      <x:c r="U53" s="84"/>
    </x:row>
    <x:row r="54">
      <x:c r="A54" s="84"/>
      <x:c r="B54" s="84"/>
      <x:c r="C54" s="84"/>
      <x:c r="D54" s="84"/>
      <x:c r="E54" s="84"/>
      <x:c r="F54" s="84"/>
      <x:c r="G54" s="84"/>
      <x:c r="H54" s="84"/>
      <x:c r="I54" s="84"/>
      <x:c r="J54" s="84"/>
      <x:c r="K54" s="84"/>
      <x:c r="L54" s="84"/>
      <x:c r="M54" s="84"/>
      <x:c r="N54" s="84"/>
      <x:c r="O54" s="84"/>
      <x:c r="P54" s="84"/>
      <x:c r="Q54" s="84"/>
      <x:c r="R54" s="84"/>
      <x:c r="S54" s="84"/>
      <x:c r="T54" s="84"/>
      <x:c r="U54" s="84"/>
    </x:row>
    <x:row r="55">
      <x:c r="A55" s="84"/>
      <x:c r="B55" s="84"/>
      <x:c r="C55" s="84"/>
      <x:c r="D55" s="84"/>
      <x:c r="E55" s="84"/>
      <x:c r="F55" s="84"/>
      <x:c r="G55" s="84"/>
      <x:c r="H55" s="84"/>
      <x:c r="I55" s="84"/>
      <x:c r="J55" s="84"/>
      <x:c r="K55" s="84"/>
      <x:c r="L55" s="84"/>
      <x:c r="M55" s="84"/>
      <x:c r="N55" s="84"/>
      <x:c r="O55" s="84"/>
      <x:c r="P55" s="84"/>
      <x:c r="Q55" s="84"/>
      <x:c r="R55" s="84"/>
      <x:c r="S55" s="84"/>
      <x:c r="T55" s="84"/>
      <x:c r="U55" s="84"/>
    </x:row>
    <x:row r="56">
      <x:c r="A56" s="84"/>
      <x:c r="B56" s="84"/>
      <x:c r="C56" s="84"/>
      <x:c r="D56" s="84"/>
      <x:c r="E56" s="84"/>
      <x:c r="F56" s="84"/>
      <x:c r="G56" s="84"/>
      <x:c r="H56" s="84"/>
      <x:c r="I56" s="84"/>
      <x:c r="J56" s="84"/>
      <x:c r="K56" s="84"/>
      <x:c r="L56" s="84"/>
      <x:c r="M56" s="84"/>
      <x:c r="N56" s="84"/>
      <x:c r="O56" s="84"/>
      <x:c r="P56" s="84"/>
      <x:c r="Q56" s="84"/>
      <x:c r="R56" s="84"/>
      <x:c r="S56" s="84"/>
      <x:c r="T56" s="84"/>
      <x:c r="U56" s="84"/>
    </x:row>
    <x:row r="57">
      <x:c r="A57" s="84"/>
      <x:c r="B57" s="84"/>
      <x:c r="C57" s="84"/>
      <x:c r="D57" s="84"/>
      <x:c r="E57" s="84"/>
      <x:c r="F57" s="84"/>
      <x:c r="G57" s="84"/>
      <x:c r="H57" s="84"/>
      <x:c r="I57" s="84"/>
      <x:c r="J57" s="84"/>
      <x:c r="K57" s="84"/>
      <x:c r="L57" s="84"/>
      <x:c r="M57" s="84"/>
      <x:c r="N57" s="84"/>
      <x:c r="O57" s="84"/>
      <x:c r="P57" s="84"/>
      <x:c r="Q57" s="84"/>
      <x:c r="R57" s="84"/>
      <x:c r="S57" s="84"/>
      <x:c r="T57" s="84"/>
      <x:c r="U57" s="84"/>
    </x:row>
    <x:row r="58">
      <x:c r="A58" s="84"/>
      <x:c r="B58" s="84"/>
      <x:c r="C58" s="84"/>
      <x:c r="D58" s="84"/>
      <x:c r="E58" s="84"/>
      <x:c r="F58" s="84"/>
      <x:c r="G58" s="84"/>
      <x:c r="H58" s="84"/>
      <x:c r="I58" s="84"/>
      <x:c r="J58" s="84"/>
      <x:c r="K58" s="84"/>
      <x:c r="L58" s="84"/>
      <x:c r="M58" s="84"/>
      <x:c r="N58" s="84"/>
      <x:c r="O58" s="84"/>
      <x:c r="P58" s="84"/>
      <x:c r="Q58" s="84"/>
      <x:c r="R58" s="84"/>
      <x:c r="S58" s="84"/>
      <x:c r="T58" s="84"/>
      <x:c r="U58" s="84"/>
    </x:row>
    <x:row r="59">
      <x:c r="A59" s="84"/>
      <x:c r="B59" s="84"/>
      <x:c r="C59" s="84"/>
      <x:c r="D59" s="84"/>
      <x:c r="E59" s="84"/>
      <x:c r="F59" s="84"/>
      <x:c r="G59" s="84"/>
      <x:c r="H59" s="84"/>
      <x:c r="I59" s="84"/>
      <x:c r="J59" s="84"/>
      <x:c r="K59" s="84"/>
      <x:c r="L59" s="84"/>
      <x:c r="M59" s="84"/>
      <x:c r="N59" s="84"/>
      <x:c r="O59" s="84"/>
      <x:c r="P59" s="84"/>
      <x:c r="Q59" s="84"/>
      <x:c r="R59" s="84"/>
      <x:c r="S59" s="84"/>
      <x:c r="T59" s="84"/>
      <x:c r="U59" s="84"/>
    </x:row>
    <x:row r="60">
      <x:c r="A60" s="84"/>
      <x:c r="B60" s="84"/>
      <x:c r="C60" s="84"/>
      <x:c r="D60" s="84"/>
      <x:c r="E60" s="84"/>
      <x:c r="F60" s="84"/>
      <x:c r="G60" s="84"/>
      <x:c r="H60" s="84"/>
      <x:c r="I60" s="84"/>
      <x:c r="J60" s="84"/>
      <x:c r="K60" s="84"/>
      <x:c r="L60" s="84"/>
      <x:c r="M60" s="84"/>
      <x:c r="N60" s="84"/>
      <x:c r="O60" s="84"/>
      <x:c r="P60" s="84"/>
      <x:c r="Q60" s="84"/>
      <x:c r="R60" s="84"/>
      <x:c r="S60" s="84"/>
      <x:c r="T60" s="84"/>
      <x:c r="U60" s="84"/>
    </x:row>
    <x:row r="61">
      <x:c r="A61" s="84"/>
      <x:c r="B61" s="84"/>
      <x:c r="C61" s="84"/>
      <x:c r="D61" s="84"/>
      <x:c r="E61" s="84"/>
      <x:c r="F61" s="84"/>
      <x:c r="G61" s="84"/>
      <x:c r="H61" s="84"/>
      <x:c r="I61" s="84"/>
      <x:c r="J61" s="84"/>
      <x:c r="K61" s="84"/>
      <x:c r="L61" s="84"/>
      <x:c r="M61" s="84"/>
      <x:c r="N61" s="84"/>
      <x:c r="O61" s="84"/>
      <x:c r="P61" s="84"/>
      <x:c r="Q61" s="84"/>
      <x:c r="R61" s="84"/>
      <x:c r="S61" s="84"/>
      <x:c r="T61" s="84"/>
      <x:c r="U61" s="84"/>
    </x:row>
    <x:row r="62">
      <x:c r="A62" s="84"/>
      <x:c r="B62" s="84"/>
      <x:c r="C62" s="84"/>
      <x:c r="D62" s="84"/>
      <x:c r="E62" s="84"/>
      <x:c r="F62" s="84"/>
      <x:c r="G62" s="84"/>
      <x:c r="H62" s="84"/>
      <x:c r="I62" s="84"/>
      <x:c r="J62" s="84"/>
      <x:c r="K62" s="84"/>
      <x:c r="L62" s="84"/>
      <x:c r="M62" s="84"/>
      <x:c r="N62" s="84"/>
      <x:c r="O62" s="84"/>
      <x:c r="P62" s="84"/>
      <x:c r="Q62" s="84"/>
      <x:c r="R62" s="84"/>
      <x:c r="S62" s="84"/>
      <x:c r="T62" s="84"/>
      <x:c r="U62" s="84"/>
    </x:row>
    <x:row r="63">
      <x:c r="A63" s="84"/>
      <x:c r="B63" s="84"/>
      <x:c r="C63" s="84"/>
      <x:c r="D63" s="84"/>
      <x:c r="E63" s="84"/>
      <x:c r="F63" s="84"/>
      <x:c r="G63" s="84"/>
      <x:c r="H63" s="84"/>
      <x:c r="I63" s="84"/>
      <x:c r="J63" s="84"/>
      <x:c r="K63" s="84"/>
      <x:c r="L63" s="84"/>
      <x:c r="M63" s="84"/>
      <x:c r="N63" s="84"/>
      <x:c r="O63" s="84"/>
      <x:c r="P63" s="84"/>
      <x:c r="Q63" s="84"/>
      <x:c r="R63" s="84"/>
      <x:c r="S63" s="84"/>
      <x:c r="T63" s="84"/>
      <x:c r="U63" s="84"/>
    </x:row>
    <x:row r="64">
      <x:c r="A64" s="84"/>
      <x:c r="B64" s="84"/>
      <x:c r="C64" s="84"/>
      <x:c r="D64" s="84"/>
      <x:c r="E64" s="84"/>
      <x:c r="F64" s="84"/>
      <x:c r="G64" s="84"/>
      <x:c r="H64" s="84"/>
      <x:c r="I64" s="84"/>
      <x:c r="J64" s="84"/>
      <x:c r="K64" s="84"/>
      <x:c r="L64" s="84"/>
      <x:c r="M64" s="84"/>
      <x:c r="N64" s="84"/>
      <x:c r="O64" s="84"/>
      <x:c r="P64" s="84"/>
      <x:c r="Q64" s="84"/>
      <x:c r="R64" s="84"/>
      <x:c r="S64" s="84"/>
      <x:c r="T64" s="84"/>
      <x:c r="U64" s="84"/>
    </x:row>
    <x:row r="65">
      <x:c r="A65" s="84"/>
      <x:c r="B65" s="84"/>
      <x:c r="C65" s="84"/>
      <x:c r="D65" s="84"/>
      <x:c r="E65" s="84"/>
      <x:c r="F65" s="84"/>
      <x:c r="G65" s="84"/>
      <x:c r="H65" s="84"/>
      <x:c r="I65" s="84"/>
      <x:c r="J65" s="84"/>
      <x:c r="K65" s="84"/>
      <x:c r="L65" s="84"/>
      <x:c r="M65" s="84"/>
      <x:c r="N65" s="84"/>
      <x:c r="O65" s="84"/>
      <x:c r="P65" s="84"/>
      <x:c r="Q65" s="84"/>
      <x:c r="R65" s="84"/>
      <x:c r="S65" s="84"/>
      <x:c r="T65" s="84"/>
      <x:c r="U65" s="84"/>
    </x:row>
    <x:row r="66">
      <x:c r="A66" s="84"/>
      <x:c r="B66" s="84"/>
      <x:c r="C66" s="84"/>
      <x:c r="D66" s="84"/>
      <x:c r="E66" s="84"/>
      <x:c r="F66" s="84"/>
      <x:c r="G66" s="84"/>
      <x:c r="H66" s="84"/>
      <x:c r="I66" s="84"/>
      <x:c r="J66" s="84"/>
      <x:c r="K66" s="84"/>
      <x:c r="L66" s="84"/>
      <x:c r="M66" s="84"/>
      <x:c r="N66" s="84"/>
      <x:c r="O66" s="84"/>
      <x:c r="P66" s="84"/>
      <x:c r="Q66" s="84"/>
      <x:c r="R66" s="84"/>
      <x:c r="S66" s="84"/>
      <x:c r="T66" s="84"/>
      <x:c r="U66" s="84"/>
    </x:row>
    <x:row r="67">
      <x:c r="A67" s="84"/>
      <x:c r="B67" s="84"/>
      <x:c r="C67" s="84"/>
      <x:c r="D67" s="84"/>
      <x:c r="E67" s="84"/>
      <x:c r="F67" s="84"/>
      <x:c r="G67" s="84"/>
      <x:c r="H67" s="84"/>
      <x:c r="I67" s="84"/>
      <x:c r="J67" s="84"/>
      <x:c r="K67" s="84"/>
      <x:c r="L67" s="84"/>
      <x:c r="M67" s="84"/>
      <x:c r="N67" s="84"/>
      <x:c r="O67" s="84"/>
      <x:c r="P67" s="84"/>
      <x:c r="Q67" s="84"/>
      <x:c r="R67" s="84"/>
      <x:c r="S67" s="84"/>
      <x:c r="T67" s="84"/>
      <x:c r="U67" s="84"/>
    </x:row>
    <x:row r="68">
      <x:c r="A68" s="84"/>
      <x:c r="B68" s="84"/>
      <x:c r="C68" s="84"/>
      <x:c r="D68" s="84"/>
      <x:c r="E68" s="84"/>
      <x:c r="F68" s="84"/>
      <x:c r="G68" s="84"/>
      <x:c r="H68" s="84"/>
      <x:c r="I68" s="84"/>
      <x:c r="J68" s="84"/>
      <x:c r="K68" s="84"/>
      <x:c r="L68" s="84"/>
      <x:c r="M68" s="84"/>
      <x:c r="N68" s="84"/>
      <x:c r="O68" s="84"/>
      <x:c r="P68" s="84"/>
      <x:c r="Q68" s="84"/>
      <x:c r="R68" s="84"/>
      <x:c r="S68" s="84"/>
      <x:c r="T68" s="84"/>
      <x:c r="U68" s="84"/>
    </x:row>
    <x:row r="69">
      <x:c r="A69" s="84"/>
      <x:c r="B69" s="84"/>
      <x:c r="C69" s="84"/>
      <x:c r="D69" s="84"/>
      <x:c r="E69" s="84"/>
      <x:c r="F69" s="84"/>
      <x:c r="G69" s="84"/>
      <x:c r="H69" s="84"/>
      <x:c r="I69" s="84"/>
      <x:c r="J69" s="84"/>
      <x:c r="K69" s="84"/>
      <x:c r="L69" s="84"/>
      <x:c r="M69" s="84"/>
      <x:c r="N69" s="84"/>
      <x:c r="O69" s="84"/>
      <x:c r="P69" s="84"/>
      <x:c r="Q69" s="84"/>
      <x:c r="R69" s="84"/>
      <x:c r="S69" s="84"/>
      <x:c r="T69" s="84"/>
      <x:c r="U69" s="84"/>
    </x:row>
    <x:row r="70">
      <x:c r="A70" s="84"/>
      <x:c r="B70" s="84"/>
      <x:c r="C70" s="84"/>
      <x:c r="D70" s="84"/>
      <x:c r="E70" s="84"/>
      <x:c r="F70" s="84"/>
      <x:c r="G70" s="84"/>
      <x:c r="H70" s="84"/>
      <x:c r="I70" s="84"/>
      <x:c r="J70" s="84"/>
      <x:c r="K70" s="84"/>
      <x:c r="L70" s="84"/>
      <x:c r="M70" s="84"/>
      <x:c r="N70" s="84"/>
      <x:c r="O70" s="84"/>
      <x:c r="P70" s="84"/>
      <x:c r="Q70" s="84"/>
      <x:c r="R70" s="84"/>
      <x:c r="S70" s="84"/>
      <x:c r="T70" s="84"/>
      <x:c r="U70" s="84"/>
    </x:row>
    <x:row r="71">
      <x:c r="A71" s="84"/>
      <x:c r="B71" s="84"/>
      <x:c r="C71" s="84"/>
      <x:c r="D71" s="84"/>
      <x:c r="E71" s="84"/>
      <x:c r="F71" s="84"/>
      <x:c r="G71" s="84"/>
      <x:c r="H71" s="84"/>
      <x:c r="I71" s="84"/>
      <x:c r="J71" s="84"/>
      <x:c r="K71" s="84"/>
      <x:c r="L71" s="84"/>
      <x:c r="M71" s="84"/>
      <x:c r="N71" s="84"/>
      <x:c r="O71" s="84"/>
      <x:c r="P71" s="84"/>
      <x:c r="Q71" s="84"/>
      <x:c r="R71" s="84"/>
      <x:c r="S71" s="84"/>
      <x:c r="T71" s="84"/>
      <x:c r="U71" s="84"/>
    </x:row>
    <x:row r="72">
      <x:c r="A72" s="84"/>
      <x:c r="B72" s="84"/>
      <x:c r="C72" s="84"/>
      <x:c r="D72" s="84"/>
      <x:c r="E72" s="84"/>
      <x:c r="F72" s="84"/>
      <x:c r="G72" s="84"/>
      <x:c r="H72" s="84"/>
      <x:c r="I72" s="84"/>
      <x:c r="J72" s="84"/>
      <x:c r="K72" s="84"/>
      <x:c r="L72" s="84"/>
      <x:c r="M72" s="84"/>
      <x:c r="N72" s="84"/>
      <x:c r="O72" s="84"/>
      <x:c r="P72" s="84"/>
      <x:c r="Q72" s="84"/>
      <x:c r="R72" s="84"/>
      <x:c r="S72" s="84"/>
      <x:c r="T72" s="84"/>
      <x:c r="U72" s="84"/>
    </x:row>
    <x:row r="73">
      <x:c r="A73" s="84"/>
      <x:c r="B73" s="84"/>
      <x:c r="C73" s="84"/>
      <x:c r="D73" s="84"/>
      <x:c r="E73" s="84"/>
      <x:c r="F73" s="84"/>
      <x:c r="G73" s="84"/>
      <x:c r="H73" s="84"/>
      <x:c r="I73" s="84"/>
      <x:c r="J73" s="84"/>
      <x:c r="K73" s="84"/>
      <x:c r="L73" s="84"/>
      <x:c r="M73" s="84"/>
      <x:c r="N73" s="84"/>
      <x:c r="O73" s="84"/>
      <x:c r="P73" s="84"/>
      <x:c r="Q73" s="84"/>
      <x:c r="R73" s="84"/>
      <x:c r="S73" s="84"/>
      <x:c r="T73" s="84"/>
      <x:c r="U73" s="84"/>
    </x:row>
    <x:row r="74">
      <x:c r="A74" s="84"/>
      <x:c r="B74" s="84"/>
      <x:c r="C74" s="84"/>
      <x:c r="D74" s="84"/>
      <x:c r="E74" s="84"/>
      <x:c r="F74" s="84"/>
      <x:c r="G74" s="84"/>
      <x:c r="H74" s="84"/>
      <x:c r="I74" s="84"/>
      <x:c r="J74" s="84"/>
      <x:c r="K74" s="84"/>
      <x:c r="L74" s="84"/>
      <x:c r="M74" s="84"/>
      <x:c r="N74" s="84"/>
      <x:c r="O74" s="84"/>
      <x:c r="P74" s="84"/>
      <x:c r="Q74" s="84"/>
      <x:c r="R74" s="84"/>
      <x:c r="S74" s="84"/>
      <x:c r="T74" s="84"/>
      <x:c r="U74" s="84"/>
    </x:row>
    <x:row r="75">
      <x:c r="A75" s="84"/>
      <x:c r="B75" s="84"/>
      <x:c r="C75" s="84"/>
      <x:c r="D75" s="84"/>
      <x:c r="E75" s="84"/>
      <x:c r="F75" s="84"/>
      <x:c r="G75" s="84"/>
      <x:c r="H75" s="84"/>
      <x:c r="I75" s="84"/>
      <x:c r="J75" s="84"/>
      <x:c r="K75" s="84"/>
      <x:c r="L75" s="84"/>
      <x:c r="M75" s="84"/>
      <x:c r="N75" s="84"/>
      <x:c r="O75" s="84"/>
      <x:c r="P75" s="84"/>
      <x:c r="Q75" s="84"/>
      <x:c r="R75" s="84"/>
      <x:c r="S75" s="84"/>
      <x:c r="T75" s="84"/>
      <x:c r="U75" s="84"/>
    </x:row>
    <x:row r="76">
      <x:c r="A76" s="84"/>
      <x:c r="B76" s="84"/>
      <x:c r="C76" s="84"/>
      <x:c r="D76" s="84"/>
      <x:c r="E76" s="84"/>
      <x:c r="F76" s="84"/>
      <x:c r="G76" s="84"/>
      <x:c r="H76" s="84"/>
      <x:c r="I76" s="84"/>
      <x:c r="J76" s="84"/>
      <x:c r="K76" s="84"/>
      <x:c r="L76" s="84"/>
      <x:c r="M76" s="84"/>
      <x:c r="N76" s="84"/>
      <x:c r="O76" s="84"/>
      <x:c r="P76" s="84"/>
      <x:c r="Q76" s="84"/>
      <x:c r="R76" s="84"/>
      <x:c r="S76" s="84"/>
      <x:c r="T76" s="84"/>
      <x:c r="U76" s="84"/>
    </x:row>
    <x:row r="77">
      <x:c r="A77" s="84"/>
      <x:c r="B77" s="84"/>
      <x:c r="C77" s="84"/>
      <x:c r="D77" s="84"/>
      <x:c r="E77" s="84"/>
      <x:c r="F77" s="84"/>
      <x:c r="G77" s="84"/>
      <x:c r="H77" s="84"/>
      <x:c r="I77" s="84"/>
      <x:c r="J77" s="84"/>
      <x:c r="K77" s="84"/>
      <x:c r="L77" s="84"/>
      <x:c r="M77" s="84"/>
      <x:c r="N77" s="84"/>
      <x:c r="O77" s="84"/>
      <x:c r="P77" s="84"/>
      <x:c r="Q77" s="84"/>
      <x:c r="R77" s="84"/>
      <x:c r="S77" s="84"/>
      <x:c r="T77" s="84"/>
      <x:c r="U77" s="84"/>
    </x:row>
    <x:row r="78">
      <x:c r="A78" s="84"/>
      <x:c r="B78" s="84"/>
      <x:c r="C78" s="84"/>
      <x:c r="D78" s="84"/>
      <x:c r="E78" s="84"/>
      <x:c r="F78" s="84"/>
      <x:c r="G78" s="84"/>
      <x:c r="H78" s="84"/>
      <x:c r="I78" s="84"/>
      <x:c r="J78" s="84"/>
      <x:c r="K78" s="84"/>
      <x:c r="L78" s="84"/>
      <x:c r="M78" s="84"/>
      <x:c r="N78" s="84"/>
      <x:c r="O78" s="84"/>
      <x:c r="P78" s="84"/>
      <x:c r="Q78" s="84"/>
      <x:c r="R78" s="84"/>
      <x:c r="S78" s="84"/>
      <x:c r="T78" s="84"/>
      <x:c r="U78" s="84"/>
    </x:row>
    <x:row r="79">
      <x:c r="A79" s="84"/>
      <x:c r="B79" s="84"/>
      <x:c r="C79" s="84"/>
      <x:c r="D79" s="84"/>
      <x:c r="E79" s="84"/>
      <x:c r="F79" s="84"/>
      <x:c r="G79" s="84"/>
      <x:c r="H79" s="84"/>
      <x:c r="I79" s="84"/>
      <x:c r="J79" s="84"/>
      <x:c r="K79" s="84"/>
      <x:c r="L79" s="84"/>
      <x:c r="M79" s="84"/>
      <x:c r="N79" s="84"/>
      <x:c r="O79" s="84"/>
      <x:c r="P79" s="84"/>
      <x:c r="Q79" s="84"/>
      <x:c r="R79" s="84"/>
      <x:c r="S79" s="84"/>
      <x:c r="T79" s="84"/>
      <x:c r="U79" s="84"/>
    </x:row>
    <x:row r="80">
      <x:c r="A80" s="84"/>
      <x:c r="B80" s="84"/>
      <x:c r="C80" s="84"/>
      <x:c r="D80" s="84"/>
      <x:c r="E80" s="84"/>
      <x:c r="F80" s="84"/>
      <x:c r="G80" s="84"/>
      <x:c r="H80" s="84"/>
      <x:c r="I80" s="84"/>
      <x:c r="J80" s="84"/>
      <x:c r="K80" s="84"/>
      <x:c r="L80" s="84"/>
      <x:c r="M80" s="84"/>
      <x:c r="N80" s="84"/>
      <x:c r="O80" s="84"/>
      <x:c r="P80" s="84"/>
      <x:c r="Q80" s="84"/>
      <x:c r="R80" s="84"/>
      <x:c r="S80" s="84"/>
      <x:c r="T80" s="84"/>
      <x:c r="U80" s="84"/>
    </x:row>
    <x:row r="81">
      <x:c r="A81" s="84"/>
      <x:c r="B81" s="84"/>
      <x:c r="C81" s="84"/>
      <x:c r="D81" s="84"/>
      <x:c r="E81" s="84"/>
      <x:c r="F81" s="84"/>
      <x:c r="G81" s="84"/>
      <x:c r="H81" s="84"/>
      <x:c r="I81" s="84"/>
      <x:c r="J81" s="84"/>
      <x:c r="K81" s="84"/>
      <x:c r="L81" s="84"/>
      <x:c r="M81" s="84"/>
      <x:c r="N81" s="84"/>
      <x:c r="O81" s="84"/>
      <x:c r="P81" s="84"/>
      <x:c r="Q81" s="84"/>
      <x:c r="R81" s="84"/>
      <x:c r="S81" s="84"/>
      <x:c r="T81" s="84"/>
      <x:c r="U81" s="84"/>
    </x:row>
    <x:row r="82">
      <x:c r="A82" s="84"/>
      <x:c r="B82" s="84"/>
      <x:c r="C82" s="84"/>
      <x:c r="D82" s="84"/>
      <x:c r="E82" s="84"/>
      <x:c r="F82" s="84"/>
      <x:c r="G82" s="84"/>
      <x:c r="H82" s="84"/>
      <x:c r="I82" s="84"/>
      <x:c r="J82" s="84"/>
      <x:c r="K82" s="84"/>
      <x:c r="L82" s="84"/>
      <x:c r="M82" s="84"/>
      <x:c r="N82" s="84"/>
      <x:c r="O82" s="84"/>
      <x:c r="P82" s="84"/>
      <x:c r="Q82" s="84"/>
      <x:c r="R82" s="84"/>
      <x:c r="S82" s="84"/>
      <x:c r="T82" s="84"/>
      <x:c r="U82" s="84"/>
    </x:row>
    <x:row r="83">
      <x:c r="A83" s="84"/>
      <x:c r="B83" s="84"/>
      <x:c r="C83" s="84"/>
      <x:c r="D83" s="84"/>
      <x:c r="E83" s="84"/>
      <x:c r="F83" s="84"/>
      <x:c r="G83" s="84"/>
      <x:c r="H83" s="84"/>
      <x:c r="I83" s="84"/>
      <x:c r="J83" s="84"/>
      <x:c r="K83" s="84"/>
      <x:c r="L83" s="84"/>
      <x:c r="M83" s="84"/>
      <x:c r="N83" s="84"/>
      <x:c r="O83" s="84"/>
      <x:c r="P83" s="84"/>
      <x:c r="Q83" s="84"/>
      <x:c r="R83" s="84"/>
      <x:c r="S83" s="84"/>
      <x:c r="T83" s="84"/>
      <x:c r="U83" s="84"/>
    </x:row>
    <x:row r="84">
      <x:c r="A84" s="84"/>
      <x:c r="B84" s="84"/>
      <x:c r="C84" s="84"/>
      <x:c r="D84" s="84"/>
      <x:c r="E84" s="84"/>
      <x:c r="F84" s="84"/>
      <x:c r="G84" s="84"/>
      <x:c r="H84" s="84"/>
      <x:c r="I84" s="84"/>
      <x:c r="J84" s="84"/>
      <x:c r="K84" s="84"/>
      <x:c r="L84" s="84"/>
      <x:c r="M84" s="84"/>
      <x:c r="N84" s="84"/>
      <x:c r="O84" s="84"/>
      <x:c r="P84" s="84"/>
      <x:c r="Q84" s="84"/>
      <x:c r="R84" s="84"/>
      <x:c r="S84" s="84"/>
      <x:c r="T84" s="84"/>
      <x:c r="U84" s="84"/>
    </x:row>
    <x:row r="85">
      <x:c r="A85" s="84"/>
      <x:c r="B85" s="84"/>
      <x:c r="C85" s="84"/>
      <x:c r="D85" s="84"/>
      <x:c r="E85" s="84"/>
      <x:c r="F85" s="84"/>
      <x:c r="G85" s="84"/>
      <x:c r="H85" s="84"/>
      <x:c r="I85" s="84"/>
      <x:c r="J85" s="84"/>
      <x:c r="K85" s="84"/>
      <x:c r="L85" s="84"/>
      <x:c r="M85" s="84"/>
      <x:c r="N85" s="84"/>
      <x:c r="O85" s="84"/>
      <x:c r="P85" s="84"/>
      <x:c r="Q85" s="84"/>
      <x:c r="R85" s="84"/>
      <x:c r="S85" s="84"/>
      <x:c r="T85" s="84"/>
      <x:c r="U85" s="84"/>
    </x:row>
    <x:row r="86">
      <x:c r="A86" s="84"/>
      <x:c r="B86" s="84"/>
      <x:c r="C86" s="84"/>
      <x:c r="D86" s="84"/>
      <x:c r="E86" s="84"/>
      <x:c r="F86" s="84"/>
      <x:c r="G86" s="84"/>
      <x:c r="H86" s="84"/>
      <x:c r="I86" s="84"/>
      <x:c r="J86" s="84"/>
      <x:c r="K86" s="84"/>
      <x:c r="L86" s="84"/>
      <x:c r="M86" s="84"/>
      <x:c r="N86" s="84"/>
      <x:c r="O86" s="84"/>
      <x:c r="P86" s="84"/>
      <x:c r="Q86" s="84"/>
      <x:c r="R86" s="84"/>
      <x:c r="S86" s="84"/>
      <x:c r="T86" s="84"/>
      <x:c r="U86" s="84"/>
    </x:row>
    <x:row r="87">
      <x:c r="A87" s="84"/>
      <x:c r="B87" s="84"/>
      <x:c r="C87" s="84"/>
      <x:c r="D87" s="84"/>
      <x:c r="E87" s="84"/>
      <x:c r="F87" s="84"/>
      <x:c r="G87" s="84"/>
      <x:c r="H87" s="84"/>
      <x:c r="I87" s="84"/>
      <x:c r="J87" s="84"/>
      <x:c r="K87" s="84"/>
      <x:c r="L87" s="84"/>
      <x:c r="M87" s="84"/>
      <x:c r="N87" s="84"/>
      <x:c r="O87" s="84"/>
      <x:c r="P87" s="84"/>
      <x:c r="Q87" s="84"/>
      <x:c r="R87" s="84"/>
      <x:c r="S87" s="84"/>
      <x:c r="T87" s="84"/>
      <x:c r="U87" s="84"/>
    </x:row>
    <x:row r="88">
      <x:c r="A88" s="84"/>
      <x:c r="B88" s="84"/>
      <x:c r="C88" s="84"/>
      <x:c r="D88" s="84"/>
      <x:c r="E88" s="84"/>
      <x:c r="F88" s="84"/>
      <x:c r="G88" s="84"/>
      <x:c r="H88" s="84"/>
      <x:c r="I88" s="84"/>
      <x:c r="J88" s="84"/>
      <x:c r="K88" s="84"/>
      <x:c r="L88" s="84"/>
      <x:c r="M88" s="84"/>
      <x:c r="N88" s="84"/>
      <x:c r="O88" s="84"/>
      <x:c r="P88" s="84"/>
      <x:c r="Q88" s="84"/>
      <x:c r="R88" s="84"/>
      <x:c r="S88" s="84"/>
      <x:c r="T88" s="84"/>
      <x:c r="U88" s="84"/>
    </x:row>
    <x:row r="89">
      <x:c r="A89" s="84"/>
      <x:c r="B89" s="84"/>
      <x:c r="C89" s="84"/>
      <x:c r="D89" s="84"/>
      <x:c r="E89" s="84"/>
      <x:c r="F89" s="84"/>
      <x:c r="G89" s="84"/>
      <x:c r="H89" s="84"/>
      <x:c r="I89" s="84"/>
      <x:c r="J89" s="84"/>
      <x:c r="K89" s="84"/>
      <x:c r="L89" s="84"/>
      <x:c r="M89" s="84"/>
      <x:c r="N89" s="84"/>
      <x:c r="O89" s="84"/>
      <x:c r="P89" s="84"/>
      <x:c r="Q89" s="84"/>
      <x:c r="R89" s="84"/>
      <x:c r="S89" s="84"/>
      <x:c r="T89" s="84"/>
      <x:c r="U89" s="84"/>
    </x:row>
    <x:row r="90">
      <x:c r="A90" s="84"/>
      <x:c r="B90" s="84"/>
      <x:c r="C90" s="84"/>
      <x:c r="D90" s="84"/>
      <x:c r="E90" s="84"/>
      <x:c r="F90" s="84"/>
      <x:c r="G90" s="84"/>
      <x:c r="H90" s="84"/>
      <x:c r="I90" s="84"/>
      <x:c r="J90" s="84"/>
      <x:c r="K90" s="84"/>
      <x:c r="L90" s="84"/>
      <x:c r="M90" s="84"/>
      <x:c r="N90" s="84"/>
      <x:c r="O90" s="84"/>
      <x:c r="P90" s="84"/>
      <x:c r="Q90" s="84"/>
      <x:c r="R90" s="84"/>
      <x:c r="S90" s="84"/>
      <x:c r="T90" s="84"/>
      <x:c r="U90" s="84"/>
    </x:row>
    <x:row r="91">
      <x:c r="A91" s="84"/>
      <x:c r="B91" s="84"/>
      <x:c r="C91" s="84"/>
      <x:c r="D91" s="84"/>
      <x:c r="E91" s="84"/>
      <x:c r="F91" s="84"/>
      <x:c r="G91" s="84"/>
      <x:c r="H91" s="84"/>
      <x:c r="I91" s="84"/>
      <x:c r="J91" s="84"/>
      <x:c r="K91" s="84"/>
      <x:c r="L91" s="84"/>
      <x:c r="M91" s="84"/>
      <x:c r="N91" s="84"/>
      <x:c r="O91" s="84"/>
      <x:c r="P91" s="84"/>
      <x:c r="Q91" s="84"/>
      <x:c r="R91" s="84"/>
      <x:c r="S91" s="84"/>
      <x:c r="T91" s="84"/>
      <x:c r="U91" s="84"/>
    </x:row>
    <x:row r="92">
      <x:c r="A92" s="84"/>
      <x:c r="B92" s="84"/>
      <x:c r="C92" s="84"/>
      <x:c r="D92" s="84"/>
      <x:c r="E92" s="84"/>
      <x:c r="F92" s="84"/>
      <x:c r="G92" s="84"/>
      <x:c r="H92" s="84"/>
      <x:c r="I92" s="84"/>
      <x:c r="J92" s="84"/>
      <x:c r="K92" s="84"/>
      <x:c r="L92" s="84"/>
      <x:c r="M92" s="84"/>
      <x:c r="N92" s="84"/>
      <x:c r="O92" s="84"/>
      <x:c r="P92" s="84"/>
      <x:c r="Q92" s="84"/>
      <x:c r="R92" s="84"/>
      <x:c r="S92" s="84"/>
      <x:c r="T92" s="84"/>
      <x:c r="U92" s="84"/>
    </x:row>
    <x:row r="93">
      <x:c r="A93" s="84"/>
      <x:c r="B93" s="84"/>
      <x:c r="C93" s="84"/>
      <x:c r="D93" s="84"/>
      <x:c r="E93" s="84"/>
      <x:c r="F93" s="84"/>
      <x:c r="G93" s="84"/>
      <x:c r="H93" s="84"/>
      <x:c r="I93" s="84"/>
      <x:c r="J93" s="84"/>
      <x:c r="K93" s="84"/>
      <x:c r="L93" s="84"/>
      <x:c r="M93" s="84"/>
      <x:c r="N93" s="84"/>
      <x:c r="O93" s="84"/>
      <x:c r="P93" s="84"/>
      <x:c r="Q93" s="84"/>
      <x:c r="R93" s="84"/>
      <x:c r="S93" s="84"/>
      <x:c r="T93" s="84"/>
      <x:c r="U93" s="84"/>
    </x:row>
    <x:row r="94">
      <x:c r="A94" s="84"/>
      <x:c r="B94" s="84"/>
      <x:c r="C94" s="84"/>
      <x:c r="D94" s="84"/>
      <x:c r="E94" s="84"/>
      <x:c r="F94" s="84"/>
      <x:c r="G94" s="84"/>
      <x:c r="H94" s="84"/>
      <x:c r="I94" s="84"/>
      <x:c r="J94" s="84"/>
      <x:c r="K94" s="84"/>
      <x:c r="L94" s="84"/>
      <x:c r="M94" s="84"/>
      <x:c r="N94" s="84"/>
      <x:c r="O94" s="84"/>
      <x:c r="P94" s="84"/>
      <x:c r="Q94" s="84"/>
      <x:c r="R94" s="84"/>
      <x:c r="S94" s="84"/>
      <x:c r="T94" s="84"/>
      <x:c r="U94" s="84"/>
    </x:row>
    <x:row r="95">
      <x:c r="A95" s="84"/>
      <x:c r="B95" s="84"/>
      <x:c r="C95" s="84"/>
      <x:c r="D95" s="84"/>
      <x:c r="E95" s="84"/>
      <x:c r="F95" s="84"/>
      <x:c r="G95" s="84"/>
      <x:c r="H95" s="84"/>
      <x:c r="I95" s="84"/>
      <x:c r="J95" s="84"/>
      <x:c r="K95" s="84"/>
      <x:c r="L95" s="84"/>
      <x:c r="M95" s="84"/>
      <x:c r="N95" s="84"/>
      <x:c r="O95" s="84"/>
      <x:c r="P95" s="84"/>
      <x:c r="Q95" s="84"/>
      <x:c r="R95" s="84"/>
      <x:c r="S95" s="84"/>
      <x:c r="T95" s="84"/>
      <x:c r="U95" s="84"/>
    </x:row>
    <x:row r="96">
      <x:c r="A96" s="84"/>
      <x:c r="B96" s="84"/>
      <x:c r="C96" s="84"/>
      <x:c r="D96" s="84"/>
      <x:c r="E96" s="84"/>
      <x:c r="F96" s="84"/>
      <x:c r="G96" s="84"/>
      <x:c r="H96" s="84"/>
      <x:c r="I96" s="84"/>
      <x:c r="J96" s="84"/>
      <x:c r="K96" s="84"/>
      <x:c r="L96" s="84"/>
      <x:c r="M96" s="84"/>
      <x:c r="N96" s="84"/>
      <x:c r="O96" s="84"/>
      <x:c r="P96" s="84"/>
      <x:c r="Q96" s="84"/>
      <x:c r="R96" s="84"/>
      <x:c r="S96" s="84"/>
      <x:c r="T96" s="84"/>
      <x:c r="U96" s="84"/>
    </x:row>
    <x:row r="97">
      <x:c r="A97" s="84"/>
      <x:c r="B97" s="84"/>
      <x:c r="C97" s="84"/>
      <x:c r="D97" s="84"/>
      <x:c r="E97" s="84"/>
      <x:c r="F97" s="84"/>
      <x:c r="G97" s="84"/>
      <x:c r="H97" s="84"/>
      <x:c r="I97" s="84"/>
      <x:c r="J97" s="84"/>
      <x:c r="K97" s="84"/>
      <x:c r="L97" s="84"/>
      <x:c r="M97" s="84"/>
      <x:c r="N97" s="84"/>
      <x:c r="O97" s="84"/>
      <x:c r="P97" s="84"/>
      <x:c r="Q97" s="84"/>
      <x:c r="R97" s="84"/>
      <x:c r="S97" s="84"/>
      <x:c r="T97" s="84"/>
      <x:c r="U97" s="84"/>
    </x:row>
    <x:row r="98">
      <x:c r="A98" s="84"/>
      <x:c r="B98" s="84"/>
      <x:c r="C98" s="84"/>
      <x:c r="D98" s="84"/>
      <x:c r="E98" s="84"/>
      <x:c r="F98" s="84"/>
      <x:c r="G98" s="84"/>
      <x:c r="H98" s="84"/>
      <x:c r="I98" s="84"/>
      <x:c r="J98" s="84"/>
      <x:c r="K98" s="84"/>
      <x:c r="L98" s="84"/>
      <x:c r="M98" s="84"/>
      <x:c r="N98" s="84"/>
      <x:c r="O98" s="84"/>
      <x:c r="P98" s="84"/>
      <x:c r="Q98" s="84"/>
      <x:c r="R98" s="84"/>
      <x:c r="S98" s="84"/>
      <x:c r="T98" s="84"/>
      <x:c r="U98" s="84"/>
    </x:row>
    <x:row r="99">
      <x:c r="A99" s="84"/>
      <x:c r="B99" s="84"/>
      <x:c r="C99" s="84"/>
      <x:c r="D99" s="84"/>
      <x:c r="E99" s="84"/>
      <x:c r="F99" s="84"/>
      <x:c r="G99" s="84"/>
      <x:c r="H99" s="84"/>
      <x:c r="I99" s="84"/>
      <x:c r="J99" s="84"/>
      <x:c r="K99" s="84"/>
      <x:c r="L99" s="84"/>
      <x:c r="M99" s="84"/>
      <x:c r="N99" s="84"/>
      <x:c r="O99" s="84"/>
      <x:c r="P99" s="84"/>
      <x:c r="Q99" s="84"/>
      <x:c r="R99" s="84"/>
      <x:c r="S99" s="84"/>
      <x:c r="T99" s="84"/>
      <x:c r="U99" s="84"/>
    </x:row>
    <x:row r="100">
      <x:c r="A100" s="84"/>
      <x:c r="B100" s="84"/>
      <x:c r="C100" s="84"/>
      <x:c r="D100" s="84"/>
      <x:c r="E100" s="84"/>
      <x:c r="F100" s="84"/>
      <x:c r="G100" s="84"/>
      <x:c r="H100" s="84"/>
      <x:c r="I100" s="84"/>
      <x:c r="J100" s="84"/>
      <x:c r="K100" s="84"/>
      <x:c r="L100" s="84"/>
      <x:c r="M100" s="84"/>
      <x:c r="N100" s="84"/>
      <x:c r="O100" s="84"/>
      <x:c r="P100" s="84"/>
      <x:c r="Q100" s="84"/>
      <x:c r="R100" s="84"/>
      <x:c r="S100" s="84"/>
      <x:c r="T100" s="84"/>
      <x:c r="U100" s="84"/>
    </x:row>
    <x:row r="101">
      <x:c r="A101" s="84"/>
      <x:c r="B101" s="84"/>
      <x:c r="C101" s="84"/>
      <x:c r="D101" s="84"/>
      <x:c r="E101" s="84"/>
      <x:c r="F101" s="84"/>
      <x:c r="G101" s="84"/>
      <x:c r="H101" s="84"/>
      <x:c r="I101" s="84"/>
      <x:c r="J101" s="84"/>
      <x:c r="K101" s="84"/>
      <x:c r="L101" s="84"/>
      <x:c r="M101" s="84"/>
      <x:c r="N101" s="84"/>
      <x:c r="O101" s="84"/>
      <x:c r="P101" s="84"/>
      <x:c r="Q101" s="84"/>
      <x:c r="R101" s="84"/>
      <x:c r="S101" s="84"/>
      <x:c r="T101" s="84"/>
      <x:c r="U101" s="84"/>
    </x:row>
    <x:row r="102">
      <x:c r="A102" s="84"/>
      <x:c r="B102" s="84"/>
      <x:c r="C102" s="84"/>
      <x:c r="D102" s="84"/>
      <x:c r="E102" s="84"/>
      <x:c r="F102" s="84"/>
      <x:c r="G102" s="84"/>
      <x:c r="H102" s="84"/>
      <x:c r="I102" s="84"/>
      <x:c r="J102" s="84"/>
      <x:c r="K102" s="84"/>
      <x:c r="L102" s="84"/>
      <x:c r="M102" s="84"/>
      <x:c r="N102" s="84"/>
      <x:c r="O102" s="84"/>
      <x:c r="P102" s="84"/>
      <x:c r="Q102" s="84"/>
      <x:c r="R102" s="84"/>
      <x:c r="S102" s="84"/>
      <x:c r="T102" s="84"/>
      <x:c r="U102" s="84"/>
    </x:row>
    <x:row r="103">
      <x:c r="A103" s="84"/>
      <x:c r="B103" s="84"/>
      <x:c r="C103" s="84"/>
      <x:c r="D103" s="84"/>
      <x:c r="E103" s="84"/>
      <x:c r="F103" s="84"/>
      <x:c r="G103" s="84"/>
      <x:c r="H103" s="84"/>
      <x:c r="I103" s="84"/>
      <x:c r="J103" s="84"/>
      <x:c r="K103" s="84"/>
      <x:c r="L103" s="84"/>
      <x:c r="M103" s="84"/>
      <x:c r="N103" s="84"/>
      <x:c r="O103" s="84"/>
      <x:c r="P103" s="84"/>
      <x:c r="Q103" s="84"/>
      <x:c r="R103" s="84"/>
      <x:c r="S103" s="84"/>
      <x:c r="T103" s="84"/>
      <x:c r="U103" s="84"/>
    </x:row>
    <x:row r="104">
      <x:c r="A104" s="84"/>
      <x:c r="B104" s="84"/>
      <x:c r="C104" s="84"/>
      <x:c r="D104" s="84"/>
      <x:c r="E104" s="84"/>
      <x:c r="F104" s="84"/>
      <x:c r="G104" s="84"/>
      <x:c r="H104" s="84"/>
      <x:c r="I104" s="84"/>
      <x:c r="J104" s="84"/>
      <x:c r="K104" s="84"/>
      <x:c r="L104" s="84"/>
      <x:c r="M104" s="84"/>
      <x:c r="N104" s="84"/>
      <x:c r="O104" s="84"/>
      <x:c r="P104" s="84"/>
      <x:c r="Q104" s="84"/>
      <x:c r="R104" s="84"/>
      <x:c r="S104" s="84"/>
      <x:c r="T104" s="84"/>
      <x:c r="U104" s="84"/>
    </x:row>
    <x:row r="105">
      <x:c r="A105" s="84"/>
      <x:c r="B105" s="84"/>
      <x:c r="C105" s="84"/>
      <x:c r="D105" s="84"/>
      <x:c r="E105" s="84"/>
      <x:c r="F105" s="84"/>
      <x:c r="G105" s="84"/>
      <x:c r="H105" s="84"/>
      <x:c r="I105" s="84"/>
      <x:c r="J105" s="84"/>
      <x:c r="K105" s="84"/>
      <x:c r="L105" s="84"/>
      <x:c r="M105" s="84"/>
      <x:c r="N105" s="84"/>
      <x:c r="O105" s="84"/>
      <x:c r="P105" s="84"/>
      <x:c r="Q105" s="84"/>
      <x:c r="R105" s="84"/>
      <x:c r="S105" s="84"/>
      <x:c r="T105" s="84"/>
      <x:c r="U105" s="84"/>
    </x:row>
    <x:row r="106">
      <x:c r="A106" s="84"/>
      <x:c r="B106" s="84"/>
      <x:c r="C106" s="84"/>
      <x:c r="D106" s="84"/>
      <x:c r="E106" s="84"/>
      <x:c r="F106" s="84"/>
      <x:c r="G106" s="84"/>
      <x:c r="H106" s="84"/>
      <x:c r="I106" s="84"/>
      <x:c r="J106" s="84"/>
      <x:c r="K106" s="84"/>
      <x:c r="L106" s="84"/>
      <x:c r="M106" s="84"/>
      <x:c r="N106" s="84"/>
      <x:c r="O106" s="84"/>
      <x:c r="P106" s="84"/>
      <x:c r="Q106" s="84"/>
      <x:c r="R106" s="84"/>
      <x:c r="S106" s="84"/>
      <x:c r="T106" s="84"/>
      <x:c r="U106" s="84"/>
    </x:row>
    <x:row r="107">
      <x:c r="A107" s="84"/>
      <x:c r="B107" s="84"/>
      <x:c r="C107" s="84"/>
      <x:c r="D107" s="84"/>
      <x:c r="E107" s="84"/>
      <x:c r="F107" s="84"/>
      <x:c r="G107" s="84"/>
      <x:c r="H107" s="84"/>
      <x:c r="I107" s="84"/>
      <x:c r="J107" s="84"/>
      <x:c r="K107" s="84"/>
      <x:c r="L107" s="84"/>
      <x:c r="M107" s="84"/>
      <x:c r="N107" s="84"/>
      <x:c r="O107" s="84"/>
      <x:c r="P107" s="84"/>
      <x:c r="Q107" s="84"/>
      <x:c r="R107" s="84"/>
      <x:c r="S107" s="84"/>
      <x:c r="T107" s="84"/>
      <x:c r="U107" s="84"/>
    </x:row>
    <x:row r="108">
      <x:c r="A108" s="84"/>
      <x:c r="B108" s="84"/>
      <x:c r="C108" s="84"/>
      <x:c r="D108" s="84"/>
      <x:c r="E108" s="84"/>
      <x:c r="F108" s="84"/>
      <x:c r="G108" s="84"/>
      <x:c r="H108" s="84"/>
      <x:c r="I108" s="84"/>
      <x:c r="J108" s="84"/>
      <x:c r="K108" s="84"/>
      <x:c r="L108" s="84"/>
      <x:c r="M108" s="84"/>
      <x:c r="N108" s="84"/>
      <x:c r="O108" s="84"/>
      <x:c r="P108" s="84"/>
      <x:c r="Q108" s="84"/>
      <x:c r="R108" s="84"/>
      <x:c r="S108" s="84"/>
      <x:c r="T108" s="84"/>
      <x:c r="U108" s="84"/>
    </x:row>
    <x:row r="109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4"/>
      <x:c r="K109" s="84"/>
      <x:c r="L109" s="84"/>
      <x:c r="M109" s="84"/>
      <x:c r="N109" s="84"/>
      <x:c r="O109" s="84"/>
      <x:c r="P109" s="84"/>
      <x:c r="Q109" s="84"/>
      <x:c r="R109" s="84"/>
      <x:c r="S109" s="84"/>
      <x:c r="T109" s="84"/>
      <x:c r="U109" s="84"/>
    </x:row>
    <x:row r="110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4"/>
      <x:c r="K110" s="84"/>
      <x:c r="L110" s="84"/>
      <x:c r="M110" s="84"/>
      <x:c r="N110" s="84"/>
      <x:c r="O110" s="84"/>
      <x:c r="P110" s="84"/>
      <x:c r="Q110" s="84"/>
      <x:c r="R110" s="84"/>
      <x:c r="S110" s="84"/>
      <x:c r="T110" s="84"/>
      <x:c r="U110" s="84"/>
    </x:row>
  </x:sheetData>
  <x:mergeCells>
    <x:mergeCell ref="A1:I1"/>
  </x:mergeCells>
  <x:conditionalFormatting sqref="H4:H33">
    <x:cfRule type="expression" dxfId="7" priority="1">
      <x:formula>LEFT($H4,6)="REVIEW"</x:formula>
    </x:cfRule>
  </x:conditionalFormatting>
  <x:dataValidations count="1">
    <x:dataValidation type="list" sqref="F4:F33">
      <x:formula1>_LISTS!$A$2:$A$6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4" hidden="0" customWidth="1"/>
    <x:col min="3" max="3" width="16" hidden="0" customWidth="1"/>
    <x:col min="4" max="4" width="12" hidden="0" customWidth="1"/>
    <x:col min="5" max="5" width="58" hidden="0" customWidth="1"/>
    <x:col min="6" max="6" width="30" hidden="0" customWidth="1"/>
  </x:cols>
  <x:sheetData>
    <x:row r="1">
      <x:c r="A1" s="141" t="str">
        <x:v>REVISION QA — finish the paper, then run this checklist</x:v>
      </x:c>
      <x:c r="B1" s="141"/>
      <x:c r="C1" s="141"/>
      <x:c r="D1" s="141"/>
      <x:c r="E1" s="141"/>
      <x:c r="F1" s="141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84"/>
      <x:c r="R1" s="84"/>
      <x:c r="S1" s="84"/>
      <x:c r="T1" s="84"/>
      <x:c r="U1" s="84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  <x:c r="S2" s="84"/>
      <x:c r="T2" s="84"/>
      <x:c r="U2" s="84"/>
    </x:row>
    <x:row r="3">
      <x:c r="A3" s="121" t="str">
        <x:v>Category</x:v>
      </x:c>
      <x:c r="B3" s="121" t="str">
        <x:v>Check</x:v>
      </x:c>
      <x:c r="C3" s="121" t="str">
        <x:v>Status</x:v>
      </x:c>
      <x:c r="D3" s="121" t="str">
        <x:v>Priority</x:v>
      </x:c>
      <x:c r="E3" s="121" t="str">
        <x:v>What to look for</x:v>
      </x:c>
      <x:c r="F3" s="121" t="str">
        <x:v>Notes</x:v>
      </x:c>
      <x:c r="G3" s="84"/>
      <x:c r="H3" s="84"/>
      <x:c r="I3" s="84"/>
      <x:c r="J3" s="84"/>
      <x:c r="K3" s="84"/>
      <x:c r="L3" s="84"/>
      <x:c r="M3" s="84"/>
      <x:c r="N3" s="84"/>
      <x:c r="O3" s="84"/>
      <x:c r="P3" s="84"/>
      <x:c r="Q3" s="84"/>
      <x:c r="R3" s="84"/>
      <x:c r="S3" s="84"/>
      <x:c r="T3" s="84"/>
      <x:c r="U3" s="84"/>
    </x:row>
    <x:row r="4">
      <x:c r="A4" s="129" t="str">
        <x:v>Assignment</x:v>
      </x:c>
      <x:c r="B4" s="129" t="str">
        <x:v>Every explicit assignment requirement is satisfied.</x:v>
      </x:c>
      <x:c r="C4" s="113" t="str">
        <x:v>Not Started</x:v>
      </x:c>
      <x:c r="D4" s="129" t="str">
        <x:v>Critical</x:v>
      </x:c>
      <x:c r="E4" s="129" t="str">
        <x:v>Prompt, required sections, source minimums, length, file format, submission rules.</x:v>
      </x:c>
      <x:c r="F4" s="113"/>
      <x:c r="G4" s="84"/>
      <x:c r="H4" s="84"/>
      <x:c r="I4" s="84"/>
      <x:c r="J4" s="84"/>
      <x:c r="K4" s="84"/>
      <x:c r="L4" s="84"/>
      <x:c r="M4" s="84"/>
      <x:c r="N4" s="84"/>
      <x:c r="O4" s="84"/>
      <x:c r="P4" s="84"/>
      <x:c r="Q4" s="84"/>
      <x:c r="R4" s="84"/>
      <x:c r="S4" s="84"/>
      <x:c r="T4" s="84"/>
      <x:c r="U4" s="84"/>
    </x:row>
    <x:row r="5">
      <x:c r="A5" s="129" t="str">
        <x:v>Argument</x:v>
      </x:c>
      <x:c r="B5" s="129" t="str">
        <x:v>The research question / thesis is clear and the paper answers it.</x:v>
      </x:c>
      <x:c r="C5" s="113" t="str">
        <x:v>Not Started</x:v>
      </x:c>
      <x:c r="D5" s="129" t="str">
        <x:v>Critical</x:v>
      </x:c>
      <x:c r="E5" s="129" t="str">
        <x:v>Reader can state the paper's central purpose or claim after the introduction.</x:v>
      </x:c>
      <x:c r="F5" s="113"/>
      <x:c r="G5" s="84"/>
      <x:c r="H5" s="84"/>
      <x:c r="I5" s="84"/>
      <x:c r="J5" s="84"/>
      <x:c r="K5" s="84"/>
      <x:c r="L5" s="84"/>
      <x:c r="M5" s="84"/>
      <x:c r="N5" s="84"/>
      <x:c r="O5" s="84"/>
      <x:c r="P5" s="84"/>
      <x:c r="Q5" s="84"/>
      <x:c r="R5" s="84"/>
      <x:c r="S5" s="84"/>
      <x:c r="T5" s="84"/>
      <x:c r="U5" s="84"/>
    </x:row>
    <x:row r="6">
      <x:c r="A6" s="129" t="str">
        <x:v>Argument</x:v>
      </x:c>
      <x:c r="B6" s="129" t="str">
        <x:v>Major claims are consistent with the evidence.</x:v>
      </x:c>
      <x:c r="C6" s="113" t="str">
        <x:v>Not Started</x:v>
      </x:c>
      <x:c r="D6" s="129" t="str">
        <x:v>High</x:v>
      </x:c>
      <x:c r="E6" s="129" t="str">
        <x:v>Do not force evidence to fit the original thesis; revise the claim when evidence requires it.</x:v>
      </x:c>
      <x:c r="F6" s="113"/>
      <x:c r="G6" s="84"/>
      <x:c r="H6" s="84"/>
      <x:c r="I6" s="84"/>
      <x:c r="J6" s="84"/>
      <x:c r="K6" s="84"/>
      <x:c r="L6" s="84"/>
      <x:c r="M6" s="84"/>
      <x:c r="N6" s="84"/>
      <x:c r="O6" s="84"/>
      <x:c r="P6" s="84"/>
      <x:c r="Q6" s="84"/>
      <x:c r="R6" s="84"/>
      <x:c r="S6" s="84"/>
      <x:c r="T6" s="84"/>
      <x:c r="U6" s="84"/>
    </x:row>
    <x:row r="7">
      <x:c r="A7" s="129" t="str">
        <x:v>Structure</x:v>
      </x:c>
      <x:c r="B7" s="129" t="str">
        <x:v>Each section has a clear purpose and advances the paper.</x:v>
      </x:c>
      <x:c r="C7" s="113" t="str">
        <x:v>Not Started</x:v>
      </x:c>
      <x:c r="D7" s="129" t="str">
        <x:v>High</x:v>
      </x:c>
      <x:c r="E7" s="129" t="str">
        <x:v>Remove sections that merely store information without advancing the research question.</x:v>
      </x:c>
      <x:c r="F7" s="113"/>
      <x:c r="G7" s="84"/>
      <x:c r="H7" s="84"/>
      <x:c r="I7" s="84"/>
      <x:c r="J7" s="84"/>
      <x:c r="K7" s="84"/>
      <x:c r="L7" s="84"/>
      <x:c r="M7" s="84"/>
      <x:c r="N7" s="84"/>
      <x:c r="O7" s="84"/>
      <x:c r="P7" s="84"/>
      <x:c r="Q7" s="84"/>
      <x:c r="R7" s="84"/>
      <x:c r="S7" s="84"/>
      <x:c r="T7" s="84"/>
      <x:c r="U7" s="84"/>
    </x:row>
    <x:row r="8">
      <x:c r="A8" s="129" t="str">
        <x:v>Paragraphs</x:v>
      </x:c>
      <x:c r="B8" s="129" t="str">
        <x:v>Each paragraph has a controlling idea and sufficient development.</x:v>
      </x:c>
      <x:c r="C8" s="113" t="str">
        <x:v>Not Started</x:v>
      </x:c>
      <x:c r="D8" s="129" t="str">
        <x:v>High</x:v>
      </x:c>
      <x:c r="E8" s="129" t="str">
        <x:v>Claim/topic sentence → evidence → analysis → connection.</x:v>
      </x:c>
      <x:c r="F8" s="113"/>
      <x:c r="G8" s="84"/>
      <x:c r="H8" s="84"/>
      <x:c r="I8" s="84"/>
      <x:c r="J8" s="84"/>
      <x:c r="K8" s="84"/>
      <x:c r="L8" s="84"/>
      <x:c r="M8" s="84"/>
      <x:c r="N8" s="84"/>
      <x:c r="O8" s="84"/>
      <x:c r="P8" s="84"/>
      <x:c r="Q8" s="84"/>
      <x:c r="R8" s="84"/>
      <x:c r="S8" s="84"/>
      <x:c r="T8" s="84"/>
      <x:c r="U8" s="84"/>
    </x:row>
    <x:row r="9">
      <x:c r="A9" s="129" t="str">
        <x:v>Evidence</x:v>
      </x:c>
      <x:c r="B9" s="129" t="str">
        <x:v>Every major claim has appropriate support.</x:v>
      </x:c>
      <x:c r="C9" s="113" t="str">
        <x:v>Not Started</x:v>
      </x:c>
      <x:c r="D9" s="129" t="str">
        <x:v>Critical</x:v>
      </x:c>
      <x:c r="E9" s="129" t="str">
        <x:v>Check missing evidence and unsupported generalizations.</x:v>
      </x:c>
      <x:c r="F9" s="113"/>
      <x:c r="G9" s="84"/>
      <x:c r="H9" s="84"/>
      <x:c r="I9" s="84"/>
      <x:c r="J9" s="84"/>
      <x:c r="K9" s="84"/>
      <x:c r="L9" s="84"/>
      <x:c r="M9" s="84"/>
      <x:c r="N9" s="84"/>
      <x:c r="O9" s="84"/>
      <x:c r="P9" s="84"/>
      <x:c r="Q9" s="84"/>
      <x:c r="R9" s="84"/>
      <x:c r="S9" s="84"/>
      <x:c r="T9" s="84"/>
      <x:c r="U9" s="84"/>
    </x:row>
    <x:row r="10">
      <x:c r="A10" s="129" t="str">
        <x:v>Evidence</x:v>
      </x:c>
      <x:c r="B10" s="129" t="str">
        <x:v>Counterevidence, limitations, or alternative explanations are addressed.</x:v>
      </x:c>
      <x:c r="C10" s="113" t="str">
        <x:v>Not Started</x:v>
      </x:c>
      <x:c r="D10" s="129" t="str">
        <x:v>High</x:v>
      </x:c>
      <x:c r="E10" s="129" t="str">
        <x:v>Qualify claims rather than ignoring relevant contrary evidence.</x:v>
      </x:c>
      <x:c r="F10" s="113"/>
      <x:c r="G10" s="84"/>
      <x:c r="H10" s="84"/>
      <x:c r="I10" s="84"/>
      <x:c r="J10" s="84"/>
      <x:c r="K10" s="84"/>
      <x:c r="L10" s="84"/>
      <x:c r="M10" s="84"/>
      <x:c r="N10" s="84"/>
      <x:c r="O10" s="84"/>
      <x:c r="P10" s="84"/>
      <x:c r="Q10" s="84"/>
      <x:c r="R10" s="84"/>
      <x:c r="S10" s="84"/>
      <x:c r="T10" s="84"/>
      <x:c r="U10" s="84"/>
    </x:row>
    <x:row r="11">
      <x:c r="A11" s="129" t="str">
        <x:v>Sources</x:v>
      </x:c>
      <x:c r="B11" s="129" t="str">
        <x:v>Source information is represented accurately.</x:v>
      </x:c>
      <x:c r="C11" s="113" t="str">
        <x:v>Not Started</x:v>
      </x:c>
      <x:c r="D11" s="129" t="str">
        <x:v>Critical</x:v>
      </x:c>
      <x:c r="E11" s="129" t="str">
        <x:v>Check that paraphrases preserve meaning and quotations are exact.</x:v>
      </x:c>
      <x:c r="F11" s="113"/>
      <x:c r="G11" s="84"/>
      <x:c r="H11" s="84"/>
      <x:c r="I11" s="84"/>
      <x:c r="J11" s="84"/>
      <x:c r="K11" s="84"/>
      <x:c r="L11" s="84"/>
      <x:c r="M11" s="84"/>
      <x:c r="N11" s="84"/>
      <x:c r="O11" s="84"/>
      <x:c r="P11" s="84"/>
      <x:c r="Q11" s="84"/>
      <x:c r="R11" s="84"/>
      <x:c r="S11" s="84"/>
      <x:c r="T11" s="84"/>
      <x:c r="U11" s="84"/>
    </x:row>
    <x:row r="12">
      <x:c r="A12" s="129" t="str">
        <x:v>Sources</x:v>
      </x:c>
      <x:c r="B12" s="129" t="str">
        <x:v>Quoted material includes a locator/page when required.</x:v>
      </x:c>
      <x:c r="C12" s="113" t="str">
        <x:v>Not Started</x:v>
      </x:c>
      <x:c r="D12" s="129" t="str">
        <x:v>High</x:v>
      </x:c>
      <x:c r="E12" s="129" t="str">
        <x:v>Verify quote page/paragraph/section location as applicable.</x:v>
      </x:c>
      <x:c r="F12" s="113"/>
      <x:c r="G12" s="84"/>
      <x:c r="H12" s="84"/>
      <x:c r="I12" s="84"/>
      <x:c r="J12" s="84"/>
      <x:c r="K12" s="84"/>
      <x:c r="L12" s="84"/>
      <x:c r="M12" s="84"/>
      <x:c r="N12" s="84"/>
      <x:c r="O12" s="84"/>
      <x:c r="P12" s="84"/>
      <x:c r="Q12" s="84"/>
      <x:c r="R12" s="84"/>
      <x:c r="S12" s="84"/>
      <x:c r="T12" s="84"/>
      <x:c r="U12" s="84"/>
    </x:row>
    <x:row r="13">
      <x:c r="A13" s="129" t="str">
        <x:v>Citations</x:v>
      </x:c>
      <x:c r="B13" s="129" t="str">
        <x:v>In-text citations and reference list agree.</x:v>
      </x:c>
      <x:c r="C13" s="113" t="str">
        <x:v>Not Started</x:v>
      </x:c>
      <x:c r="D13" s="129" t="str">
        <x:v>Critical</x:v>
      </x:c>
      <x:c r="E13" s="129" t="str">
        <x:v>Every cited work appears in References; every reference is cited unless assignment says otherwise.</x:v>
      </x:c>
      <x:c r="F13" s="113"/>
      <x:c r="G13" s="84"/>
      <x:c r="H13" s="84"/>
      <x:c r="I13" s="84"/>
      <x:c r="J13" s="84"/>
      <x:c r="K13" s="84"/>
      <x:c r="L13" s="84"/>
      <x:c r="M13" s="84"/>
      <x:c r="N13" s="84"/>
      <x:c r="O13" s="84"/>
      <x:c r="P13" s="84"/>
      <x:c r="Q13" s="84"/>
      <x:c r="R13" s="84"/>
      <x:c r="S13" s="84"/>
      <x:c r="T13" s="84"/>
      <x:c r="U13" s="84"/>
    </x:row>
    <x:row r="14">
      <x:c r="A14" s="129" t="str">
        <x:v>APA</x:v>
      </x:c>
      <x:c r="B14" s="129" t="str">
        <x:v>Title page, page numbers, spacing, margins, headings, and references follow assignment/APA rules.</x:v>
      </x:c>
      <x:c r="C14" s="113" t="str">
        <x:v>Not Started</x:v>
      </x:c>
      <x:c r="D14" s="129" t="str">
        <x:v>High</x:v>
      </x:c>
      <x:c r="E14" s="129" t="str">
        <x:v>Instructor-specific rules override generic template defaults.</x:v>
      </x:c>
      <x:c r="F14" s="113"/>
      <x:c r="G14" s="84"/>
      <x:c r="H14" s="84"/>
      <x:c r="I14" s="84"/>
      <x:c r="J14" s="84"/>
      <x:c r="K14" s="84"/>
      <x:c r="L14" s="84"/>
      <x:c r="M14" s="84"/>
      <x:c r="N14" s="84"/>
      <x:c r="O14" s="84"/>
      <x:c r="P14" s="84"/>
      <x:c r="Q14" s="84"/>
      <x:c r="R14" s="84"/>
      <x:c r="S14" s="84"/>
      <x:c r="T14" s="84"/>
      <x:c r="U14" s="84"/>
    </x:row>
    <x:row r="15">
      <x:c r="A15" s="129" t="str">
        <x:v>References</x:v>
      </x:c>
      <x:c r="B15" s="129" t="str">
        <x:v>Reference entries are verified against the correct APA source type.</x:v>
      </x:c>
      <x:c r="C15" s="113" t="str">
        <x:v>Not Started</x:v>
      </x:c>
      <x:c r="D15" s="129" t="str">
        <x:v>High</x:v>
      </x:c>
      <x:c r="E15" s="129" t="str">
        <x:v>Do not rely on an auto-generated citation without checking it.</x:v>
      </x:c>
      <x:c r="F15" s="113"/>
      <x:c r="G15" s="84"/>
      <x:c r="H15" s="84"/>
      <x:c r="I15" s="84"/>
      <x:c r="J15" s="84"/>
      <x:c r="K15" s="84"/>
      <x:c r="L15" s="84"/>
      <x:c r="M15" s="84"/>
      <x:c r="N15" s="84"/>
      <x:c r="O15" s="84"/>
      <x:c r="P15" s="84"/>
      <x:c r="Q15" s="84"/>
      <x:c r="R15" s="84"/>
      <x:c r="S15" s="84"/>
      <x:c r="T15" s="84"/>
      <x:c r="U15" s="84"/>
    </x:row>
    <x:row r="16">
      <x:c r="A16" s="129" t="str">
        <x:v>Style</x:v>
      </x:c>
      <x:c r="B16" s="129" t="str">
        <x:v>Sentences are clear, precise, and appropriately concise.</x:v>
      </x:c>
      <x:c r="C16" s="113" t="str">
        <x:v>Not Started</x:v>
      </x:c>
      <x:c r="D16" s="129" t="str">
        <x:v>Medium</x:v>
      </x:c>
      <x:c r="E16" s="129" t="str">
        <x:v>Prefer direct syntax when it improves clarity; passive voice can be appropriate when rhetorically useful.</x:v>
      </x:c>
      <x:c r="F16" s="113"/>
      <x:c r="G16" s="84"/>
      <x:c r="H16" s="84"/>
      <x:c r="I16" s="84"/>
      <x:c r="J16" s="84"/>
      <x:c r="K16" s="84"/>
      <x:c r="L16" s="84"/>
      <x:c r="M16" s="84"/>
      <x:c r="N16" s="84"/>
      <x:c r="O16" s="84"/>
      <x:c r="P16" s="84"/>
      <x:c r="Q16" s="84"/>
      <x:c r="R16" s="84"/>
      <x:c r="S16" s="84"/>
      <x:c r="T16" s="84"/>
      <x:c r="U16" s="84"/>
    </x:row>
    <x:row r="17">
      <x:c r="A17" s="129" t="str">
        <x:v>Transitions</x:v>
      </x:c>
      <x:c r="B17" s="129" t="str">
        <x:v>Paragraph and section relationships are explicit.</x:v>
      </x:c>
      <x:c r="C17" s="113" t="str">
        <x:v>Not Started</x:v>
      </x:c>
      <x:c r="D17" s="129" t="str">
        <x:v>Medium</x:v>
      </x:c>
      <x:c r="E17" s="129" t="str">
        <x:v>The reader should not have to infer why one idea follows another.</x:v>
      </x:c>
      <x:c r="F17" s="113"/>
      <x:c r="G17" s="84"/>
      <x:c r="H17" s="84"/>
      <x:c r="I17" s="84"/>
      <x:c r="J17" s="84"/>
      <x:c r="K17" s="84"/>
      <x:c r="L17" s="84"/>
      <x:c r="M17" s="84"/>
      <x:c r="N17" s="84"/>
      <x:c r="O17" s="84"/>
      <x:c r="P17" s="84"/>
      <x:c r="Q17" s="84"/>
      <x:c r="R17" s="84"/>
      <x:c r="S17" s="84"/>
      <x:c r="T17" s="84"/>
      <x:c r="U17" s="84"/>
    </x:row>
    <x:row r="18">
      <x:c r="A18" s="129" t="str">
        <x:v>Conclusion</x:v>
      </x:c>
      <x:c r="B18" s="129" t="str">
        <x:v>The conclusion synthesizes significance rather than merely repeating the introduction.</x:v>
      </x:c>
      <x:c r="C18" s="113" t="str">
        <x:v>Not Started</x:v>
      </x:c>
      <x:c r="D18" s="129" t="str">
        <x:v>High</x:v>
      </x:c>
      <x:c r="E18" s="129" t="str">
        <x:v>Answer 'so what?' and identify meaningful implications or remaining questions.</x:v>
      </x:c>
      <x:c r="F18" s="113"/>
      <x:c r="G18" s="84"/>
      <x:c r="H18" s="84"/>
      <x:c r="I18" s="84"/>
      <x:c r="J18" s="84"/>
      <x:c r="K18" s="84"/>
      <x:c r="L18" s="84"/>
      <x:c r="M18" s="84"/>
      <x:c r="N18" s="84"/>
      <x:c r="O18" s="84"/>
      <x:c r="P18" s="84"/>
      <x:c r="Q18" s="84"/>
      <x:c r="R18" s="84"/>
      <x:c r="S18" s="84"/>
      <x:c r="T18" s="84"/>
      <x:c r="U18" s="84"/>
    </x:row>
    <x:row r="19">
      <x:c r="A19" s="129" t="str">
        <x:v>Proofreading</x:v>
      </x:c>
      <x:c r="B19" s="129" t="str">
        <x:v>Spelling, grammar, punctuation, names, dates, and numbers have been checked.</x:v>
      </x:c>
      <x:c r="C19" s="113" t="str">
        <x:v>Not Started</x:v>
      </x:c>
      <x:c r="D19" s="129" t="str">
        <x:v>High</x:v>
      </x:c>
      <x:c r="E19" s="129" t="str">
        <x:v>Proofread after substantive revision, not before.</x:v>
      </x:c>
      <x:c r="F19" s="113"/>
      <x:c r="G19" s="84"/>
      <x:c r="H19" s="84"/>
      <x:c r="I19" s="84"/>
      <x:c r="J19" s="84"/>
      <x:c r="K19" s="84"/>
      <x:c r="L19" s="84"/>
      <x:c r="M19" s="84"/>
      <x:c r="N19" s="84"/>
      <x:c r="O19" s="84"/>
      <x:c r="P19" s="84"/>
      <x:c r="Q19" s="84"/>
      <x:c r="R19" s="84"/>
      <x:c r="S19" s="84"/>
      <x:c r="T19" s="84"/>
      <x:c r="U19" s="84"/>
    </x:row>
    <x:row r="20">
      <x:c r="A20" s="84"/>
      <x:c r="B20" s="84"/>
      <x:c r="C20" s="84"/>
      <x:c r="D20" s="84"/>
      <x:c r="E20" s="84"/>
      <x:c r="F20" s="84"/>
      <x:c r="G20" s="84"/>
      <x:c r="H20" s="84"/>
      <x:c r="I20" s="84"/>
      <x:c r="J20" s="84"/>
      <x:c r="K20" s="84"/>
      <x:c r="L20" s="84"/>
      <x:c r="M20" s="84"/>
      <x:c r="N20" s="84"/>
      <x:c r="O20" s="84"/>
      <x:c r="P20" s="84"/>
      <x:c r="Q20" s="84"/>
      <x:c r="R20" s="84"/>
      <x:c r="S20" s="84"/>
      <x:c r="T20" s="84"/>
      <x:c r="U20" s="84"/>
    </x:row>
    <x:row r="21">
      <x:c r="A21" s="84"/>
      <x:c r="B21" s="84"/>
      <x:c r="C21" s="84"/>
      <x:c r="D21" s="84"/>
      <x:c r="E21" s="84"/>
      <x:c r="F21" s="84"/>
      <x:c r="G21" s="84"/>
      <x:c r="H21" s="84"/>
      <x:c r="I21" s="84"/>
      <x:c r="J21" s="84"/>
      <x:c r="K21" s="84"/>
      <x:c r="L21" s="84"/>
      <x:c r="M21" s="84"/>
      <x:c r="N21" s="84"/>
      <x:c r="O21" s="84"/>
      <x:c r="P21" s="84"/>
      <x:c r="Q21" s="84"/>
      <x:c r="R21" s="84"/>
      <x:c r="S21" s="84"/>
      <x:c r="T21" s="84"/>
      <x:c r="U21" s="84"/>
    </x:row>
    <x:row r="22">
      <x:c r="A22" s="84"/>
      <x:c r="B22" s="84"/>
      <x:c r="C22" s="84"/>
      <x:c r="D22" s="84"/>
      <x:c r="E22" s="84"/>
      <x:c r="F22" s="84"/>
      <x:c r="G22" s="84"/>
      <x:c r="H22" s="84"/>
      <x:c r="I22" s="84"/>
      <x:c r="J22" s="84"/>
      <x:c r="K22" s="84"/>
      <x:c r="L22" s="84"/>
      <x:c r="M22" s="84"/>
      <x:c r="N22" s="84"/>
      <x:c r="O22" s="84"/>
      <x:c r="P22" s="84"/>
      <x:c r="Q22" s="84"/>
      <x:c r="R22" s="84"/>
      <x:c r="S22" s="84"/>
      <x:c r="T22" s="84"/>
      <x:c r="U22" s="84"/>
    </x:row>
    <x:row r="23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  <x:c r="K23" s="84"/>
      <x:c r="L23" s="84"/>
      <x:c r="M23" s="84"/>
      <x:c r="N23" s="84"/>
      <x:c r="O23" s="84"/>
      <x:c r="P23" s="84"/>
      <x:c r="Q23" s="84"/>
      <x:c r="R23" s="84"/>
      <x:c r="S23" s="84"/>
      <x:c r="T23" s="84"/>
      <x:c r="U23" s="84"/>
    </x:row>
    <x:row r="24">
      <x:c r="A24" s="84"/>
      <x:c r="B24" s="84"/>
      <x:c r="C24" s="84"/>
      <x:c r="D24" s="84"/>
      <x:c r="E24" s="84"/>
      <x:c r="F24" s="84"/>
      <x:c r="G24" s="84"/>
      <x:c r="H24" s="84"/>
      <x:c r="I24" s="84"/>
      <x:c r="J24" s="84"/>
      <x:c r="K24" s="84"/>
      <x:c r="L24" s="84"/>
      <x:c r="M24" s="84"/>
      <x:c r="N24" s="84"/>
      <x:c r="O24" s="84"/>
      <x:c r="P24" s="84"/>
      <x:c r="Q24" s="84"/>
      <x:c r="R24" s="84"/>
      <x:c r="S24" s="84"/>
      <x:c r="T24" s="84"/>
      <x:c r="U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  <x:c r="K25" s="84"/>
      <x:c r="L25" s="84"/>
      <x:c r="M25" s="84"/>
      <x:c r="N25" s="84"/>
      <x:c r="O25" s="84"/>
      <x:c r="P25" s="84"/>
      <x:c r="Q25" s="84"/>
      <x:c r="R25" s="84"/>
      <x:c r="S25" s="84"/>
      <x:c r="T25" s="84"/>
      <x:c r="U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  <x:c r="K26" s="84"/>
      <x:c r="L26" s="84"/>
      <x:c r="M26" s="84"/>
      <x:c r="N26" s="84"/>
      <x:c r="O26" s="84"/>
      <x:c r="P26" s="84"/>
      <x:c r="Q26" s="84"/>
      <x:c r="R26" s="84"/>
      <x:c r="S26" s="84"/>
      <x:c r="T26" s="84"/>
      <x:c r="U26" s="84"/>
    </x:row>
    <x:row r="27">
      <x:c r="A27" s="84"/>
      <x:c r="B27" s="84"/>
      <x:c r="C27" s="84"/>
      <x:c r="D27" s="84"/>
      <x:c r="E27" s="84"/>
      <x:c r="F27" s="84"/>
      <x:c r="G27" s="84"/>
      <x:c r="H27" s="84"/>
      <x:c r="I27" s="84"/>
      <x:c r="J27" s="84"/>
      <x:c r="K27" s="84"/>
      <x:c r="L27" s="84"/>
      <x:c r="M27" s="84"/>
      <x:c r="N27" s="84"/>
      <x:c r="O27" s="84"/>
      <x:c r="P27" s="84"/>
      <x:c r="Q27" s="84"/>
      <x:c r="R27" s="84"/>
      <x:c r="S27" s="84"/>
      <x:c r="T27" s="84"/>
      <x:c r="U27" s="84"/>
    </x:row>
    <x:row r="28">
      <x:c r="A28" s="84"/>
      <x:c r="B28" s="84"/>
      <x:c r="C28" s="84"/>
      <x:c r="D28" s="84"/>
      <x:c r="E28" s="84"/>
      <x:c r="F28" s="84"/>
      <x:c r="G28" s="84"/>
      <x:c r="H28" s="84"/>
      <x:c r="I28" s="84"/>
      <x:c r="J28" s="84"/>
      <x:c r="K28" s="84"/>
      <x:c r="L28" s="84"/>
      <x:c r="M28" s="84"/>
      <x:c r="N28" s="84"/>
      <x:c r="O28" s="84"/>
      <x:c r="P28" s="84"/>
      <x:c r="Q28" s="84"/>
      <x:c r="R28" s="84"/>
      <x:c r="S28" s="84"/>
      <x:c r="T28" s="84"/>
      <x:c r="U28" s="84"/>
    </x:row>
    <x:row r="29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  <x:c r="K29" s="84"/>
      <x:c r="L29" s="84"/>
      <x:c r="M29" s="84"/>
      <x:c r="N29" s="84"/>
      <x:c r="O29" s="84"/>
      <x:c r="P29" s="84"/>
      <x:c r="Q29" s="84"/>
      <x:c r="R29" s="84"/>
      <x:c r="S29" s="84"/>
      <x:c r="T29" s="84"/>
      <x:c r="U29" s="84"/>
    </x:row>
    <x:row r="30">
      <x:c r="A30" s="84"/>
      <x:c r="B30" s="84"/>
      <x:c r="C30" s="84"/>
      <x:c r="D30" s="84"/>
      <x:c r="E30" s="84"/>
      <x:c r="F30" s="84"/>
      <x:c r="G30" s="84"/>
      <x:c r="H30" s="84"/>
      <x:c r="I30" s="84"/>
      <x:c r="J30" s="84"/>
      <x:c r="K30" s="84"/>
      <x:c r="L30" s="84"/>
      <x:c r="M30" s="84"/>
      <x:c r="N30" s="84"/>
      <x:c r="O30" s="84"/>
      <x:c r="P30" s="84"/>
      <x:c r="Q30" s="84"/>
      <x:c r="R30" s="84"/>
      <x:c r="S30" s="84"/>
      <x:c r="T30" s="84"/>
      <x:c r="U30" s="84"/>
    </x:row>
    <x:row r="31">
      <x:c r="A31" s="84"/>
      <x:c r="B31" s="84"/>
      <x:c r="C31" s="84"/>
      <x:c r="D31" s="84"/>
      <x:c r="E31" s="84"/>
      <x:c r="F31" s="84"/>
      <x:c r="G31" s="84"/>
      <x:c r="H31" s="84"/>
      <x:c r="I31" s="84"/>
      <x:c r="J31" s="84"/>
      <x:c r="K31" s="84"/>
      <x:c r="L31" s="84"/>
      <x:c r="M31" s="84"/>
      <x:c r="N31" s="84"/>
      <x:c r="O31" s="84"/>
      <x:c r="P31" s="84"/>
      <x:c r="Q31" s="84"/>
      <x:c r="R31" s="84"/>
      <x:c r="S31" s="84"/>
      <x:c r="T31" s="84"/>
      <x:c r="U31" s="84"/>
    </x:row>
    <x:row r="32">
      <x:c r="A32" s="84"/>
      <x:c r="B32" s="84"/>
      <x:c r="C32" s="84"/>
      <x:c r="D32" s="84"/>
      <x:c r="E32" s="84"/>
      <x:c r="F32" s="84"/>
      <x:c r="G32" s="84"/>
      <x:c r="H32" s="84"/>
      <x:c r="I32" s="84"/>
      <x:c r="J32" s="84"/>
      <x:c r="K32" s="84"/>
      <x:c r="L32" s="84"/>
      <x:c r="M32" s="84"/>
      <x:c r="N32" s="84"/>
      <x:c r="O32" s="84"/>
      <x:c r="P32" s="84"/>
      <x:c r="Q32" s="84"/>
      <x:c r="R32" s="84"/>
      <x:c r="S32" s="84"/>
      <x:c r="T32" s="84"/>
      <x:c r="U32" s="84"/>
    </x:row>
    <x:row r="33">
      <x:c r="A33" s="84"/>
      <x:c r="B33" s="84"/>
      <x:c r="C33" s="84"/>
      <x:c r="D33" s="84"/>
      <x:c r="E33" s="84"/>
      <x:c r="F33" s="84"/>
      <x:c r="G33" s="84"/>
      <x:c r="H33" s="84"/>
      <x:c r="I33" s="84"/>
      <x:c r="J33" s="84"/>
      <x:c r="K33" s="84"/>
      <x:c r="L33" s="84"/>
      <x:c r="M33" s="84"/>
      <x:c r="N33" s="84"/>
      <x:c r="O33" s="84"/>
      <x:c r="P33" s="84"/>
      <x:c r="Q33" s="84"/>
      <x:c r="R33" s="84"/>
      <x:c r="S33" s="84"/>
      <x:c r="T33" s="84"/>
      <x:c r="U33" s="84"/>
    </x:row>
    <x:row r="34">
      <x:c r="A34" s="84"/>
      <x:c r="B34" s="84"/>
      <x:c r="C34" s="84"/>
      <x:c r="D34" s="84"/>
      <x:c r="E34" s="84"/>
      <x:c r="F34" s="84"/>
      <x:c r="G34" s="84"/>
      <x:c r="H34" s="84"/>
      <x:c r="I34" s="84"/>
      <x:c r="J34" s="84"/>
      <x:c r="K34" s="84"/>
      <x:c r="L34" s="84"/>
      <x:c r="M34" s="84"/>
      <x:c r="N34" s="84"/>
      <x:c r="O34" s="84"/>
      <x:c r="P34" s="84"/>
      <x:c r="Q34" s="84"/>
      <x:c r="R34" s="84"/>
      <x:c r="S34" s="84"/>
      <x:c r="T34" s="84"/>
      <x:c r="U34" s="84"/>
    </x:row>
    <x:row r="35">
      <x:c r="A35" s="84"/>
      <x:c r="B35" s="84"/>
      <x:c r="C35" s="84"/>
      <x:c r="D35" s="84"/>
      <x:c r="E35" s="84"/>
      <x:c r="F35" s="84"/>
      <x:c r="G35" s="84"/>
      <x:c r="H35" s="84"/>
      <x:c r="I35" s="84"/>
      <x:c r="J35" s="84"/>
      <x:c r="K35" s="84"/>
      <x:c r="L35" s="84"/>
      <x:c r="M35" s="84"/>
      <x:c r="N35" s="84"/>
      <x:c r="O35" s="84"/>
      <x:c r="P35" s="84"/>
      <x:c r="Q35" s="84"/>
      <x:c r="R35" s="84"/>
      <x:c r="S35" s="84"/>
      <x:c r="T35" s="84"/>
      <x:c r="U35" s="84"/>
    </x:row>
    <x:row r="36">
      <x:c r="A36" s="84"/>
      <x:c r="B36" s="84"/>
      <x:c r="C36" s="84"/>
      <x:c r="D36" s="84"/>
      <x:c r="E36" s="84"/>
      <x:c r="F36" s="84"/>
      <x:c r="G36" s="84"/>
      <x:c r="H36" s="84"/>
      <x:c r="I36" s="84"/>
      <x:c r="J36" s="84"/>
      <x:c r="K36" s="84"/>
      <x:c r="L36" s="84"/>
      <x:c r="M36" s="84"/>
      <x:c r="N36" s="84"/>
      <x:c r="O36" s="84"/>
      <x:c r="P36" s="84"/>
      <x:c r="Q36" s="84"/>
      <x:c r="R36" s="84"/>
      <x:c r="S36" s="84"/>
      <x:c r="T36" s="84"/>
      <x:c r="U36" s="84"/>
    </x:row>
    <x:row r="37">
      <x:c r="A37" s="84"/>
      <x:c r="B37" s="84"/>
      <x:c r="C37" s="84"/>
      <x:c r="D37" s="84"/>
      <x:c r="E37" s="84"/>
      <x:c r="F37" s="84"/>
      <x:c r="G37" s="84"/>
      <x:c r="H37" s="84"/>
      <x:c r="I37" s="84"/>
      <x:c r="J37" s="84"/>
      <x:c r="K37" s="84"/>
      <x:c r="L37" s="84"/>
      <x:c r="M37" s="84"/>
      <x:c r="N37" s="84"/>
      <x:c r="O37" s="84"/>
      <x:c r="P37" s="84"/>
      <x:c r="Q37" s="84"/>
      <x:c r="R37" s="84"/>
      <x:c r="S37" s="84"/>
      <x:c r="T37" s="84"/>
      <x:c r="U37" s="84"/>
    </x:row>
    <x:row r="38">
      <x:c r="A38" s="84"/>
      <x:c r="B38" s="84"/>
      <x:c r="C38" s="84"/>
      <x:c r="D38" s="84"/>
      <x:c r="E38" s="84"/>
      <x:c r="F38" s="84"/>
      <x:c r="G38" s="84"/>
      <x:c r="H38" s="84"/>
      <x:c r="I38" s="84"/>
      <x:c r="J38" s="84"/>
      <x:c r="K38" s="84"/>
      <x:c r="L38" s="84"/>
      <x:c r="M38" s="84"/>
      <x:c r="N38" s="84"/>
      <x:c r="O38" s="84"/>
      <x:c r="P38" s="84"/>
      <x:c r="Q38" s="84"/>
      <x:c r="R38" s="84"/>
      <x:c r="S38" s="84"/>
      <x:c r="T38" s="84"/>
      <x:c r="U38" s="84"/>
    </x:row>
    <x:row r="39">
      <x:c r="A39" s="84"/>
      <x:c r="B39" s="84"/>
      <x:c r="C39" s="84"/>
      <x:c r="D39" s="84"/>
      <x:c r="E39" s="84"/>
      <x:c r="F39" s="84"/>
      <x:c r="G39" s="84"/>
      <x:c r="H39" s="84"/>
      <x:c r="I39" s="84"/>
      <x:c r="J39" s="84"/>
      <x:c r="K39" s="84"/>
      <x:c r="L39" s="84"/>
      <x:c r="M39" s="84"/>
      <x:c r="N39" s="84"/>
      <x:c r="O39" s="84"/>
      <x:c r="P39" s="84"/>
      <x:c r="Q39" s="84"/>
      <x:c r="R39" s="84"/>
      <x:c r="S39" s="84"/>
      <x:c r="T39" s="84"/>
      <x:c r="U39" s="84"/>
    </x:row>
    <x:row r="40">
      <x:c r="A40" s="84"/>
      <x:c r="B40" s="84"/>
      <x:c r="C40" s="84"/>
      <x:c r="D40" s="84"/>
      <x:c r="E40" s="84"/>
      <x:c r="F40" s="84"/>
      <x:c r="G40" s="84"/>
      <x:c r="H40" s="84"/>
      <x:c r="I40" s="84"/>
      <x:c r="J40" s="84"/>
      <x:c r="K40" s="84"/>
      <x:c r="L40" s="84"/>
      <x:c r="M40" s="84"/>
      <x:c r="N40" s="84"/>
      <x:c r="O40" s="84"/>
      <x:c r="P40" s="84"/>
      <x:c r="Q40" s="84"/>
      <x:c r="R40" s="84"/>
      <x:c r="S40" s="84"/>
      <x:c r="T40" s="84"/>
      <x:c r="U40" s="84"/>
    </x:row>
    <x:row r="41">
      <x:c r="A41" s="84"/>
      <x:c r="B41" s="84"/>
      <x:c r="C41" s="84"/>
      <x:c r="D41" s="84"/>
      <x:c r="E41" s="84"/>
      <x:c r="F41" s="84"/>
      <x:c r="G41" s="84"/>
      <x:c r="H41" s="84"/>
      <x:c r="I41" s="84"/>
      <x:c r="J41" s="84"/>
      <x:c r="K41" s="84"/>
      <x:c r="L41" s="84"/>
      <x:c r="M41" s="84"/>
      <x:c r="N41" s="84"/>
      <x:c r="O41" s="84"/>
      <x:c r="P41" s="84"/>
      <x:c r="Q41" s="84"/>
      <x:c r="R41" s="84"/>
      <x:c r="S41" s="84"/>
      <x:c r="T41" s="84"/>
      <x:c r="U41" s="84"/>
    </x:row>
    <x:row r="42">
      <x:c r="A42" s="84"/>
      <x:c r="B42" s="84"/>
      <x:c r="C42" s="84"/>
      <x:c r="D42" s="84"/>
      <x:c r="E42" s="84"/>
      <x:c r="F42" s="84"/>
      <x:c r="G42" s="84"/>
      <x:c r="H42" s="84"/>
      <x:c r="I42" s="84"/>
      <x:c r="J42" s="84"/>
      <x:c r="K42" s="84"/>
      <x:c r="L42" s="84"/>
      <x:c r="M42" s="84"/>
      <x:c r="N42" s="84"/>
      <x:c r="O42" s="84"/>
      <x:c r="P42" s="84"/>
      <x:c r="Q42" s="84"/>
      <x:c r="R42" s="84"/>
      <x:c r="S42" s="84"/>
      <x:c r="T42" s="84"/>
      <x:c r="U42" s="84"/>
    </x:row>
    <x:row r="43">
      <x:c r="A43" s="84"/>
      <x:c r="B43" s="84"/>
      <x:c r="C43" s="84"/>
      <x:c r="D43" s="84"/>
      <x:c r="E43" s="84"/>
      <x:c r="F43" s="84"/>
      <x:c r="G43" s="84"/>
      <x:c r="H43" s="84"/>
      <x:c r="I43" s="84"/>
      <x:c r="J43" s="84"/>
      <x:c r="K43" s="84"/>
      <x:c r="L43" s="84"/>
      <x:c r="M43" s="84"/>
      <x:c r="N43" s="84"/>
      <x:c r="O43" s="84"/>
      <x:c r="P43" s="84"/>
      <x:c r="Q43" s="84"/>
      <x:c r="R43" s="84"/>
      <x:c r="S43" s="84"/>
      <x:c r="T43" s="84"/>
      <x:c r="U43" s="84"/>
    </x:row>
    <x:row r="44">
      <x:c r="A44" s="84"/>
      <x:c r="B44" s="84"/>
      <x:c r="C44" s="84"/>
      <x:c r="D44" s="84"/>
      <x:c r="E44" s="84"/>
      <x:c r="F44" s="84"/>
      <x:c r="G44" s="84"/>
      <x:c r="H44" s="84"/>
      <x:c r="I44" s="84"/>
      <x:c r="J44" s="84"/>
      <x:c r="K44" s="84"/>
      <x:c r="L44" s="84"/>
      <x:c r="M44" s="84"/>
      <x:c r="N44" s="84"/>
      <x:c r="O44" s="84"/>
      <x:c r="P44" s="84"/>
      <x:c r="Q44" s="84"/>
      <x:c r="R44" s="84"/>
      <x:c r="S44" s="84"/>
      <x:c r="T44" s="84"/>
      <x:c r="U44" s="84"/>
    </x:row>
    <x:row r="45">
      <x:c r="A45" s="84"/>
      <x:c r="B45" s="84"/>
      <x:c r="C45" s="84"/>
      <x:c r="D45" s="84"/>
      <x:c r="E45" s="84"/>
      <x:c r="F45" s="84"/>
      <x:c r="G45" s="84"/>
      <x:c r="H45" s="84"/>
      <x:c r="I45" s="84"/>
      <x:c r="J45" s="84"/>
      <x:c r="K45" s="84"/>
      <x:c r="L45" s="84"/>
      <x:c r="M45" s="84"/>
      <x:c r="N45" s="84"/>
      <x:c r="O45" s="84"/>
      <x:c r="P45" s="84"/>
      <x:c r="Q45" s="84"/>
      <x:c r="R45" s="84"/>
      <x:c r="S45" s="84"/>
      <x:c r="T45" s="84"/>
      <x:c r="U45" s="84"/>
    </x:row>
    <x:row r="46">
      <x:c r="A46" s="84"/>
      <x:c r="B46" s="84"/>
      <x:c r="C46" s="84"/>
      <x:c r="D46" s="84"/>
      <x:c r="E46" s="84"/>
      <x:c r="F46" s="84"/>
      <x:c r="G46" s="84"/>
      <x:c r="H46" s="84"/>
      <x:c r="I46" s="84"/>
      <x:c r="J46" s="84"/>
      <x:c r="K46" s="84"/>
      <x:c r="L46" s="84"/>
      <x:c r="M46" s="84"/>
      <x:c r="N46" s="84"/>
      <x:c r="O46" s="84"/>
      <x:c r="P46" s="84"/>
      <x:c r="Q46" s="84"/>
      <x:c r="R46" s="84"/>
      <x:c r="S46" s="84"/>
      <x:c r="T46" s="84"/>
      <x:c r="U46" s="84"/>
    </x:row>
    <x:row r="47">
      <x:c r="A47" s="84"/>
      <x:c r="B47" s="84"/>
      <x:c r="C47" s="84"/>
      <x:c r="D47" s="84"/>
      <x:c r="E47" s="84"/>
      <x:c r="F47" s="84"/>
      <x:c r="G47" s="84"/>
      <x:c r="H47" s="84"/>
      <x:c r="I47" s="84"/>
      <x:c r="J47" s="84"/>
      <x:c r="K47" s="84"/>
      <x:c r="L47" s="84"/>
      <x:c r="M47" s="84"/>
      <x:c r="N47" s="84"/>
      <x:c r="O47" s="84"/>
      <x:c r="P47" s="84"/>
      <x:c r="Q47" s="84"/>
      <x:c r="R47" s="84"/>
      <x:c r="S47" s="84"/>
      <x:c r="T47" s="84"/>
      <x:c r="U47" s="84"/>
    </x:row>
    <x:row r="48">
      <x:c r="A48" s="84"/>
      <x:c r="B48" s="84"/>
      <x:c r="C48" s="84"/>
      <x:c r="D48" s="84"/>
      <x:c r="E48" s="84"/>
      <x:c r="F48" s="84"/>
      <x:c r="G48" s="84"/>
      <x:c r="H48" s="84"/>
      <x:c r="I48" s="84"/>
      <x:c r="J48" s="84"/>
      <x:c r="K48" s="84"/>
      <x:c r="L48" s="84"/>
      <x:c r="M48" s="84"/>
      <x:c r="N48" s="84"/>
      <x:c r="O48" s="84"/>
      <x:c r="P48" s="84"/>
      <x:c r="Q48" s="84"/>
      <x:c r="R48" s="84"/>
      <x:c r="S48" s="84"/>
      <x:c r="T48" s="84"/>
      <x:c r="U48" s="84"/>
    </x:row>
    <x:row r="49">
      <x:c r="A49" s="84"/>
      <x:c r="B49" s="84"/>
      <x:c r="C49" s="84"/>
      <x:c r="D49" s="84"/>
      <x:c r="E49" s="84"/>
      <x:c r="F49" s="84"/>
      <x:c r="G49" s="84"/>
      <x:c r="H49" s="84"/>
      <x:c r="I49" s="84"/>
      <x:c r="J49" s="84"/>
      <x:c r="K49" s="84"/>
      <x:c r="L49" s="84"/>
      <x:c r="M49" s="84"/>
      <x:c r="N49" s="84"/>
      <x:c r="O49" s="84"/>
      <x:c r="P49" s="84"/>
      <x:c r="Q49" s="84"/>
      <x:c r="R49" s="84"/>
      <x:c r="S49" s="84"/>
      <x:c r="T49" s="84"/>
      <x:c r="U49" s="84"/>
    </x:row>
    <x:row r="50">
      <x:c r="A50" s="84"/>
      <x:c r="B50" s="84"/>
      <x:c r="C50" s="84"/>
      <x:c r="D50" s="84"/>
      <x:c r="E50" s="84"/>
      <x:c r="F50" s="84"/>
      <x:c r="G50" s="84"/>
      <x:c r="H50" s="84"/>
      <x:c r="I50" s="84"/>
      <x:c r="J50" s="84"/>
      <x:c r="K50" s="84"/>
      <x:c r="L50" s="84"/>
      <x:c r="M50" s="84"/>
      <x:c r="N50" s="84"/>
      <x:c r="O50" s="84"/>
      <x:c r="P50" s="84"/>
      <x:c r="Q50" s="84"/>
      <x:c r="R50" s="84"/>
      <x:c r="S50" s="84"/>
      <x:c r="T50" s="84"/>
      <x:c r="U50" s="84"/>
    </x:row>
    <x:row r="51">
      <x:c r="A51" s="84"/>
      <x:c r="B51" s="84"/>
      <x:c r="C51" s="84"/>
      <x:c r="D51" s="84"/>
      <x:c r="E51" s="84"/>
      <x:c r="F51" s="84"/>
      <x:c r="G51" s="84"/>
      <x:c r="H51" s="84"/>
      <x:c r="I51" s="84"/>
      <x:c r="J51" s="84"/>
      <x:c r="K51" s="84"/>
      <x:c r="L51" s="84"/>
      <x:c r="M51" s="84"/>
      <x:c r="N51" s="84"/>
      <x:c r="O51" s="84"/>
      <x:c r="P51" s="84"/>
      <x:c r="Q51" s="84"/>
      <x:c r="R51" s="84"/>
      <x:c r="S51" s="84"/>
      <x:c r="T51" s="84"/>
      <x:c r="U51" s="84"/>
    </x:row>
    <x:row r="52">
      <x:c r="A52" s="84"/>
      <x:c r="B52" s="84"/>
      <x:c r="C52" s="84"/>
      <x:c r="D52" s="84"/>
      <x:c r="E52" s="84"/>
      <x:c r="F52" s="84"/>
      <x:c r="G52" s="84"/>
      <x:c r="H52" s="84"/>
      <x:c r="I52" s="84"/>
      <x:c r="J52" s="84"/>
      <x:c r="K52" s="84"/>
      <x:c r="L52" s="84"/>
      <x:c r="M52" s="84"/>
      <x:c r="N52" s="84"/>
      <x:c r="O52" s="84"/>
      <x:c r="P52" s="84"/>
      <x:c r="Q52" s="84"/>
      <x:c r="R52" s="84"/>
      <x:c r="S52" s="84"/>
      <x:c r="T52" s="84"/>
      <x:c r="U52" s="84"/>
    </x:row>
    <x:row r="53">
      <x:c r="A53" s="84"/>
      <x:c r="B53" s="84"/>
      <x:c r="C53" s="84"/>
      <x:c r="D53" s="84"/>
      <x:c r="E53" s="84"/>
      <x:c r="F53" s="84"/>
      <x:c r="G53" s="84"/>
      <x:c r="H53" s="84"/>
      <x:c r="I53" s="84"/>
      <x:c r="J53" s="84"/>
      <x:c r="K53" s="84"/>
      <x:c r="L53" s="84"/>
      <x:c r="M53" s="84"/>
      <x:c r="N53" s="84"/>
      <x:c r="O53" s="84"/>
      <x:c r="P53" s="84"/>
      <x:c r="Q53" s="84"/>
      <x:c r="R53" s="84"/>
      <x:c r="S53" s="84"/>
      <x:c r="T53" s="84"/>
      <x:c r="U53" s="84"/>
    </x:row>
    <x:row r="54">
      <x:c r="A54" s="84"/>
      <x:c r="B54" s="84"/>
      <x:c r="C54" s="84"/>
      <x:c r="D54" s="84"/>
      <x:c r="E54" s="84"/>
      <x:c r="F54" s="84"/>
      <x:c r="G54" s="84"/>
      <x:c r="H54" s="84"/>
      <x:c r="I54" s="84"/>
      <x:c r="J54" s="84"/>
      <x:c r="K54" s="84"/>
      <x:c r="L54" s="84"/>
      <x:c r="M54" s="84"/>
      <x:c r="N54" s="84"/>
      <x:c r="O54" s="84"/>
      <x:c r="P54" s="84"/>
      <x:c r="Q54" s="84"/>
      <x:c r="R54" s="84"/>
      <x:c r="S54" s="84"/>
      <x:c r="T54" s="84"/>
      <x:c r="U54" s="84"/>
    </x:row>
    <x:row r="55">
      <x:c r="A55" s="84"/>
      <x:c r="B55" s="84"/>
      <x:c r="C55" s="84"/>
      <x:c r="D55" s="84"/>
      <x:c r="E55" s="84"/>
      <x:c r="F55" s="84"/>
      <x:c r="G55" s="84"/>
      <x:c r="H55" s="84"/>
      <x:c r="I55" s="84"/>
      <x:c r="J55" s="84"/>
      <x:c r="K55" s="84"/>
      <x:c r="L55" s="84"/>
      <x:c r="M55" s="84"/>
      <x:c r="N55" s="84"/>
      <x:c r="O55" s="84"/>
      <x:c r="P55" s="84"/>
      <x:c r="Q55" s="84"/>
      <x:c r="R55" s="84"/>
      <x:c r="S55" s="84"/>
      <x:c r="T55" s="84"/>
      <x:c r="U55" s="84"/>
    </x:row>
    <x:row r="56">
      <x:c r="A56" s="84"/>
      <x:c r="B56" s="84"/>
      <x:c r="C56" s="84"/>
      <x:c r="D56" s="84"/>
      <x:c r="E56" s="84"/>
      <x:c r="F56" s="84"/>
      <x:c r="G56" s="84"/>
      <x:c r="H56" s="84"/>
      <x:c r="I56" s="84"/>
      <x:c r="J56" s="84"/>
      <x:c r="K56" s="84"/>
      <x:c r="L56" s="84"/>
      <x:c r="M56" s="84"/>
      <x:c r="N56" s="84"/>
      <x:c r="O56" s="84"/>
      <x:c r="P56" s="84"/>
      <x:c r="Q56" s="84"/>
      <x:c r="R56" s="84"/>
      <x:c r="S56" s="84"/>
      <x:c r="T56" s="84"/>
      <x:c r="U56" s="84"/>
    </x:row>
    <x:row r="57">
      <x:c r="A57" s="84"/>
      <x:c r="B57" s="84"/>
      <x:c r="C57" s="84"/>
      <x:c r="D57" s="84"/>
      <x:c r="E57" s="84"/>
      <x:c r="F57" s="84"/>
      <x:c r="G57" s="84"/>
      <x:c r="H57" s="84"/>
      <x:c r="I57" s="84"/>
      <x:c r="J57" s="84"/>
      <x:c r="K57" s="84"/>
      <x:c r="L57" s="84"/>
      <x:c r="M57" s="84"/>
      <x:c r="N57" s="84"/>
      <x:c r="O57" s="84"/>
      <x:c r="P57" s="84"/>
      <x:c r="Q57" s="84"/>
      <x:c r="R57" s="84"/>
      <x:c r="S57" s="84"/>
      <x:c r="T57" s="84"/>
      <x:c r="U57" s="84"/>
    </x:row>
    <x:row r="58">
      <x:c r="A58" s="84"/>
      <x:c r="B58" s="84"/>
      <x:c r="C58" s="84"/>
      <x:c r="D58" s="84"/>
      <x:c r="E58" s="84"/>
      <x:c r="F58" s="84"/>
      <x:c r="G58" s="84"/>
      <x:c r="H58" s="84"/>
      <x:c r="I58" s="84"/>
      <x:c r="J58" s="84"/>
      <x:c r="K58" s="84"/>
      <x:c r="L58" s="84"/>
      <x:c r="M58" s="84"/>
      <x:c r="N58" s="84"/>
      <x:c r="O58" s="84"/>
      <x:c r="P58" s="84"/>
      <x:c r="Q58" s="84"/>
      <x:c r="R58" s="84"/>
      <x:c r="S58" s="84"/>
      <x:c r="T58" s="84"/>
      <x:c r="U58" s="84"/>
    </x:row>
    <x:row r="59">
      <x:c r="A59" s="84"/>
      <x:c r="B59" s="84"/>
      <x:c r="C59" s="84"/>
      <x:c r="D59" s="84"/>
      <x:c r="E59" s="84"/>
      <x:c r="F59" s="84"/>
      <x:c r="G59" s="84"/>
      <x:c r="H59" s="84"/>
      <x:c r="I59" s="84"/>
      <x:c r="J59" s="84"/>
      <x:c r="K59" s="84"/>
      <x:c r="L59" s="84"/>
      <x:c r="M59" s="84"/>
      <x:c r="N59" s="84"/>
      <x:c r="O59" s="84"/>
      <x:c r="P59" s="84"/>
      <x:c r="Q59" s="84"/>
      <x:c r="R59" s="84"/>
      <x:c r="S59" s="84"/>
      <x:c r="T59" s="84"/>
      <x:c r="U59" s="84"/>
    </x:row>
    <x:row r="60">
      <x:c r="A60" s="84"/>
      <x:c r="B60" s="84"/>
      <x:c r="C60" s="84"/>
      <x:c r="D60" s="84"/>
      <x:c r="E60" s="84"/>
      <x:c r="F60" s="84"/>
      <x:c r="G60" s="84"/>
      <x:c r="H60" s="84"/>
      <x:c r="I60" s="84"/>
      <x:c r="J60" s="84"/>
      <x:c r="K60" s="84"/>
      <x:c r="L60" s="84"/>
      <x:c r="M60" s="84"/>
      <x:c r="N60" s="84"/>
      <x:c r="O60" s="84"/>
      <x:c r="P60" s="84"/>
      <x:c r="Q60" s="84"/>
      <x:c r="R60" s="84"/>
      <x:c r="S60" s="84"/>
      <x:c r="T60" s="84"/>
      <x:c r="U60" s="84"/>
    </x:row>
    <x:row r="61">
      <x:c r="A61" s="84"/>
      <x:c r="B61" s="84"/>
      <x:c r="C61" s="84"/>
      <x:c r="D61" s="84"/>
      <x:c r="E61" s="84"/>
      <x:c r="F61" s="84"/>
      <x:c r="G61" s="84"/>
      <x:c r="H61" s="84"/>
      <x:c r="I61" s="84"/>
      <x:c r="J61" s="84"/>
      <x:c r="K61" s="84"/>
      <x:c r="L61" s="84"/>
      <x:c r="M61" s="84"/>
      <x:c r="N61" s="84"/>
      <x:c r="O61" s="84"/>
      <x:c r="P61" s="84"/>
      <x:c r="Q61" s="84"/>
      <x:c r="R61" s="84"/>
      <x:c r="S61" s="84"/>
      <x:c r="T61" s="84"/>
      <x:c r="U61" s="84"/>
    </x:row>
    <x:row r="62">
      <x:c r="A62" s="84"/>
      <x:c r="B62" s="84"/>
      <x:c r="C62" s="84"/>
      <x:c r="D62" s="84"/>
      <x:c r="E62" s="84"/>
      <x:c r="F62" s="84"/>
      <x:c r="G62" s="84"/>
      <x:c r="H62" s="84"/>
      <x:c r="I62" s="84"/>
      <x:c r="J62" s="84"/>
      <x:c r="K62" s="84"/>
      <x:c r="L62" s="84"/>
      <x:c r="M62" s="84"/>
      <x:c r="N62" s="84"/>
      <x:c r="O62" s="84"/>
      <x:c r="P62" s="84"/>
      <x:c r="Q62" s="84"/>
      <x:c r="R62" s="84"/>
      <x:c r="S62" s="84"/>
      <x:c r="T62" s="84"/>
      <x:c r="U62" s="84"/>
    </x:row>
    <x:row r="63">
      <x:c r="A63" s="84"/>
      <x:c r="B63" s="84"/>
      <x:c r="C63" s="84"/>
      <x:c r="D63" s="84"/>
      <x:c r="E63" s="84"/>
      <x:c r="F63" s="84"/>
      <x:c r="G63" s="84"/>
      <x:c r="H63" s="84"/>
      <x:c r="I63" s="84"/>
      <x:c r="J63" s="84"/>
      <x:c r="K63" s="84"/>
      <x:c r="L63" s="84"/>
      <x:c r="M63" s="84"/>
      <x:c r="N63" s="84"/>
      <x:c r="O63" s="84"/>
      <x:c r="P63" s="84"/>
      <x:c r="Q63" s="84"/>
      <x:c r="R63" s="84"/>
      <x:c r="S63" s="84"/>
      <x:c r="T63" s="84"/>
      <x:c r="U63" s="84"/>
    </x:row>
    <x:row r="64">
      <x:c r="A64" s="84"/>
      <x:c r="B64" s="84"/>
      <x:c r="C64" s="84"/>
      <x:c r="D64" s="84"/>
      <x:c r="E64" s="84"/>
      <x:c r="F64" s="84"/>
      <x:c r="G64" s="84"/>
      <x:c r="H64" s="84"/>
      <x:c r="I64" s="84"/>
      <x:c r="J64" s="84"/>
      <x:c r="K64" s="84"/>
      <x:c r="L64" s="84"/>
      <x:c r="M64" s="84"/>
      <x:c r="N64" s="84"/>
      <x:c r="O64" s="84"/>
      <x:c r="P64" s="84"/>
      <x:c r="Q64" s="84"/>
      <x:c r="R64" s="84"/>
      <x:c r="S64" s="84"/>
      <x:c r="T64" s="84"/>
      <x:c r="U64" s="84"/>
    </x:row>
    <x:row r="65">
      <x:c r="A65" s="84"/>
      <x:c r="B65" s="84"/>
      <x:c r="C65" s="84"/>
      <x:c r="D65" s="84"/>
      <x:c r="E65" s="84"/>
      <x:c r="F65" s="84"/>
      <x:c r="G65" s="84"/>
      <x:c r="H65" s="84"/>
      <x:c r="I65" s="84"/>
      <x:c r="J65" s="84"/>
      <x:c r="K65" s="84"/>
      <x:c r="L65" s="84"/>
      <x:c r="M65" s="84"/>
      <x:c r="N65" s="84"/>
      <x:c r="O65" s="84"/>
      <x:c r="P65" s="84"/>
      <x:c r="Q65" s="84"/>
      <x:c r="R65" s="84"/>
      <x:c r="S65" s="84"/>
      <x:c r="T65" s="84"/>
      <x:c r="U65" s="84"/>
    </x:row>
    <x:row r="66">
      <x:c r="A66" s="84"/>
      <x:c r="B66" s="84"/>
      <x:c r="C66" s="84"/>
      <x:c r="D66" s="84"/>
      <x:c r="E66" s="84"/>
      <x:c r="F66" s="84"/>
      <x:c r="G66" s="84"/>
      <x:c r="H66" s="84"/>
      <x:c r="I66" s="84"/>
      <x:c r="J66" s="84"/>
      <x:c r="K66" s="84"/>
      <x:c r="L66" s="84"/>
      <x:c r="M66" s="84"/>
      <x:c r="N66" s="84"/>
      <x:c r="O66" s="84"/>
      <x:c r="P66" s="84"/>
      <x:c r="Q66" s="84"/>
      <x:c r="R66" s="84"/>
      <x:c r="S66" s="84"/>
      <x:c r="T66" s="84"/>
      <x:c r="U66" s="84"/>
    </x:row>
    <x:row r="67">
      <x:c r="A67" s="84"/>
      <x:c r="B67" s="84"/>
      <x:c r="C67" s="84"/>
      <x:c r="D67" s="84"/>
      <x:c r="E67" s="84"/>
      <x:c r="F67" s="84"/>
      <x:c r="G67" s="84"/>
      <x:c r="H67" s="84"/>
      <x:c r="I67" s="84"/>
      <x:c r="J67" s="84"/>
      <x:c r="K67" s="84"/>
      <x:c r="L67" s="84"/>
      <x:c r="M67" s="84"/>
      <x:c r="N67" s="84"/>
      <x:c r="O67" s="84"/>
      <x:c r="P67" s="84"/>
      <x:c r="Q67" s="84"/>
      <x:c r="R67" s="84"/>
      <x:c r="S67" s="84"/>
      <x:c r="T67" s="84"/>
      <x:c r="U67" s="84"/>
    </x:row>
    <x:row r="68">
      <x:c r="A68" s="84"/>
      <x:c r="B68" s="84"/>
      <x:c r="C68" s="84"/>
      <x:c r="D68" s="84"/>
      <x:c r="E68" s="84"/>
      <x:c r="F68" s="84"/>
      <x:c r="G68" s="84"/>
      <x:c r="H68" s="84"/>
      <x:c r="I68" s="84"/>
      <x:c r="J68" s="84"/>
      <x:c r="K68" s="84"/>
      <x:c r="L68" s="84"/>
      <x:c r="M68" s="84"/>
      <x:c r="N68" s="84"/>
      <x:c r="O68" s="84"/>
      <x:c r="P68" s="84"/>
      <x:c r="Q68" s="84"/>
      <x:c r="R68" s="84"/>
      <x:c r="S68" s="84"/>
      <x:c r="T68" s="84"/>
      <x:c r="U68" s="84"/>
    </x:row>
    <x:row r="69">
      <x:c r="A69" s="84"/>
      <x:c r="B69" s="84"/>
      <x:c r="C69" s="84"/>
      <x:c r="D69" s="84"/>
      <x:c r="E69" s="84"/>
      <x:c r="F69" s="84"/>
      <x:c r="G69" s="84"/>
      <x:c r="H69" s="84"/>
      <x:c r="I69" s="84"/>
      <x:c r="J69" s="84"/>
      <x:c r="K69" s="84"/>
      <x:c r="L69" s="84"/>
      <x:c r="M69" s="84"/>
      <x:c r="N69" s="84"/>
      <x:c r="O69" s="84"/>
      <x:c r="P69" s="84"/>
      <x:c r="Q69" s="84"/>
      <x:c r="R69" s="84"/>
      <x:c r="S69" s="84"/>
      <x:c r="T69" s="84"/>
      <x:c r="U69" s="84"/>
    </x:row>
    <x:row r="70">
      <x:c r="A70" s="84"/>
      <x:c r="B70" s="84"/>
      <x:c r="C70" s="84"/>
      <x:c r="D70" s="84"/>
      <x:c r="E70" s="84"/>
      <x:c r="F70" s="84"/>
      <x:c r="G70" s="84"/>
      <x:c r="H70" s="84"/>
      <x:c r="I70" s="84"/>
      <x:c r="J70" s="84"/>
      <x:c r="K70" s="84"/>
      <x:c r="L70" s="84"/>
      <x:c r="M70" s="84"/>
      <x:c r="N70" s="84"/>
      <x:c r="O70" s="84"/>
      <x:c r="P70" s="84"/>
      <x:c r="Q70" s="84"/>
      <x:c r="R70" s="84"/>
      <x:c r="S70" s="84"/>
      <x:c r="T70" s="84"/>
      <x:c r="U70" s="84"/>
    </x:row>
    <x:row r="71">
      <x:c r="A71" s="84"/>
      <x:c r="B71" s="84"/>
      <x:c r="C71" s="84"/>
      <x:c r="D71" s="84"/>
      <x:c r="E71" s="84"/>
      <x:c r="F71" s="84"/>
      <x:c r="G71" s="84"/>
      <x:c r="H71" s="84"/>
      <x:c r="I71" s="84"/>
      <x:c r="J71" s="84"/>
      <x:c r="K71" s="84"/>
      <x:c r="L71" s="84"/>
      <x:c r="M71" s="84"/>
      <x:c r="N71" s="84"/>
      <x:c r="O71" s="84"/>
      <x:c r="P71" s="84"/>
      <x:c r="Q71" s="84"/>
      <x:c r="R71" s="84"/>
      <x:c r="S71" s="84"/>
      <x:c r="T71" s="84"/>
      <x:c r="U71" s="84"/>
    </x:row>
    <x:row r="72">
      <x:c r="A72" s="84"/>
      <x:c r="B72" s="84"/>
      <x:c r="C72" s="84"/>
      <x:c r="D72" s="84"/>
      <x:c r="E72" s="84"/>
      <x:c r="F72" s="84"/>
      <x:c r="G72" s="84"/>
      <x:c r="H72" s="84"/>
      <x:c r="I72" s="84"/>
      <x:c r="J72" s="84"/>
      <x:c r="K72" s="84"/>
      <x:c r="L72" s="84"/>
      <x:c r="M72" s="84"/>
      <x:c r="N72" s="84"/>
      <x:c r="O72" s="84"/>
      <x:c r="P72" s="84"/>
      <x:c r="Q72" s="84"/>
      <x:c r="R72" s="84"/>
      <x:c r="S72" s="84"/>
      <x:c r="T72" s="84"/>
      <x:c r="U72" s="84"/>
    </x:row>
    <x:row r="73">
      <x:c r="A73" s="84"/>
      <x:c r="B73" s="84"/>
      <x:c r="C73" s="84"/>
      <x:c r="D73" s="84"/>
      <x:c r="E73" s="84"/>
      <x:c r="F73" s="84"/>
      <x:c r="G73" s="84"/>
      <x:c r="H73" s="84"/>
      <x:c r="I73" s="84"/>
      <x:c r="J73" s="84"/>
      <x:c r="K73" s="84"/>
      <x:c r="L73" s="84"/>
      <x:c r="M73" s="84"/>
      <x:c r="N73" s="84"/>
      <x:c r="O73" s="84"/>
      <x:c r="P73" s="84"/>
      <x:c r="Q73" s="84"/>
      <x:c r="R73" s="84"/>
      <x:c r="S73" s="84"/>
      <x:c r="T73" s="84"/>
      <x:c r="U73" s="84"/>
    </x:row>
    <x:row r="74">
      <x:c r="A74" s="84"/>
      <x:c r="B74" s="84"/>
      <x:c r="C74" s="84"/>
      <x:c r="D74" s="84"/>
      <x:c r="E74" s="84"/>
      <x:c r="F74" s="84"/>
      <x:c r="G74" s="84"/>
      <x:c r="H74" s="84"/>
      <x:c r="I74" s="84"/>
      <x:c r="J74" s="84"/>
      <x:c r="K74" s="84"/>
      <x:c r="L74" s="84"/>
      <x:c r="M74" s="84"/>
      <x:c r="N74" s="84"/>
      <x:c r="O74" s="84"/>
      <x:c r="P74" s="84"/>
      <x:c r="Q74" s="84"/>
      <x:c r="R74" s="84"/>
      <x:c r="S74" s="84"/>
      <x:c r="T74" s="84"/>
      <x:c r="U74" s="84"/>
    </x:row>
    <x:row r="75">
      <x:c r="A75" s="84"/>
      <x:c r="B75" s="84"/>
      <x:c r="C75" s="84"/>
      <x:c r="D75" s="84"/>
      <x:c r="E75" s="84"/>
      <x:c r="F75" s="84"/>
      <x:c r="G75" s="84"/>
      <x:c r="H75" s="84"/>
      <x:c r="I75" s="84"/>
      <x:c r="J75" s="84"/>
      <x:c r="K75" s="84"/>
      <x:c r="L75" s="84"/>
      <x:c r="M75" s="84"/>
      <x:c r="N75" s="84"/>
      <x:c r="O75" s="84"/>
      <x:c r="P75" s="84"/>
      <x:c r="Q75" s="84"/>
      <x:c r="R75" s="84"/>
      <x:c r="S75" s="84"/>
      <x:c r="T75" s="84"/>
      <x:c r="U75" s="84"/>
    </x:row>
    <x:row r="76">
      <x:c r="A76" s="84"/>
      <x:c r="B76" s="84"/>
      <x:c r="C76" s="84"/>
      <x:c r="D76" s="84"/>
      <x:c r="E76" s="84"/>
      <x:c r="F76" s="84"/>
      <x:c r="G76" s="84"/>
      <x:c r="H76" s="84"/>
      <x:c r="I76" s="84"/>
      <x:c r="J76" s="84"/>
      <x:c r="K76" s="84"/>
      <x:c r="L76" s="84"/>
      <x:c r="M76" s="84"/>
      <x:c r="N76" s="84"/>
      <x:c r="O76" s="84"/>
      <x:c r="P76" s="84"/>
      <x:c r="Q76" s="84"/>
      <x:c r="R76" s="84"/>
      <x:c r="S76" s="84"/>
      <x:c r="T76" s="84"/>
      <x:c r="U76" s="84"/>
    </x:row>
    <x:row r="77">
      <x:c r="A77" s="84"/>
      <x:c r="B77" s="84"/>
      <x:c r="C77" s="84"/>
      <x:c r="D77" s="84"/>
      <x:c r="E77" s="84"/>
      <x:c r="F77" s="84"/>
      <x:c r="G77" s="84"/>
      <x:c r="H77" s="84"/>
      <x:c r="I77" s="84"/>
      <x:c r="J77" s="84"/>
      <x:c r="K77" s="84"/>
      <x:c r="L77" s="84"/>
      <x:c r="M77" s="84"/>
      <x:c r="N77" s="84"/>
      <x:c r="O77" s="84"/>
      <x:c r="P77" s="84"/>
      <x:c r="Q77" s="84"/>
      <x:c r="R77" s="84"/>
      <x:c r="S77" s="84"/>
      <x:c r="T77" s="84"/>
      <x:c r="U77" s="84"/>
    </x:row>
    <x:row r="78">
      <x:c r="A78" s="84"/>
      <x:c r="B78" s="84"/>
      <x:c r="C78" s="84"/>
      <x:c r="D78" s="84"/>
      <x:c r="E78" s="84"/>
      <x:c r="F78" s="84"/>
      <x:c r="G78" s="84"/>
      <x:c r="H78" s="84"/>
      <x:c r="I78" s="84"/>
      <x:c r="J78" s="84"/>
      <x:c r="K78" s="84"/>
      <x:c r="L78" s="84"/>
      <x:c r="M78" s="84"/>
      <x:c r="N78" s="84"/>
      <x:c r="O78" s="84"/>
      <x:c r="P78" s="84"/>
      <x:c r="Q78" s="84"/>
      <x:c r="R78" s="84"/>
      <x:c r="S78" s="84"/>
      <x:c r="T78" s="84"/>
      <x:c r="U78" s="84"/>
    </x:row>
    <x:row r="79">
      <x:c r="A79" s="84"/>
      <x:c r="B79" s="84"/>
      <x:c r="C79" s="84"/>
      <x:c r="D79" s="84"/>
      <x:c r="E79" s="84"/>
      <x:c r="F79" s="84"/>
      <x:c r="G79" s="84"/>
      <x:c r="H79" s="84"/>
      <x:c r="I79" s="84"/>
      <x:c r="J79" s="84"/>
      <x:c r="K79" s="84"/>
      <x:c r="L79" s="84"/>
      <x:c r="M79" s="84"/>
      <x:c r="N79" s="84"/>
      <x:c r="O79" s="84"/>
      <x:c r="P79" s="84"/>
      <x:c r="Q79" s="84"/>
      <x:c r="R79" s="84"/>
      <x:c r="S79" s="84"/>
      <x:c r="T79" s="84"/>
      <x:c r="U79" s="84"/>
    </x:row>
    <x:row r="80">
      <x:c r="A80" s="84"/>
      <x:c r="B80" s="84"/>
      <x:c r="C80" s="84"/>
      <x:c r="D80" s="84"/>
      <x:c r="E80" s="84"/>
      <x:c r="F80" s="84"/>
      <x:c r="G80" s="84"/>
      <x:c r="H80" s="84"/>
      <x:c r="I80" s="84"/>
      <x:c r="J80" s="84"/>
      <x:c r="K80" s="84"/>
      <x:c r="L80" s="84"/>
      <x:c r="M80" s="84"/>
      <x:c r="N80" s="84"/>
      <x:c r="O80" s="84"/>
      <x:c r="P80" s="84"/>
      <x:c r="Q80" s="84"/>
      <x:c r="R80" s="84"/>
      <x:c r="S80" s="84"/>
      <x:c r="T80" s="84"/>
      <x:c r="U80" s="84"/>
    </x:row>
    <x:row r="81">
      <x:c r="A81" s="84"/>
      <x:c r="B81" s="84"/>
      <x:c r="C81" s="84"/>
      <x:c r="D81" s="84"/>
      <x:c r="E81" s="84"/>
      <x:c r="F81" s="84"/>
      <x:c r="G81" s="84"/>
      <x:c r="H81" s="84"/>
      <x:c r="I81" s="84"/>
      <x:c r="J81" s="84"/>
      <x:c r="K81" s="84"/>
      <x:c r="L81" s="84"/>
      <x:c r="M81" s="84"/>
      <x:c r="N81" s="84"/>
      <x:c r="O81" s="84"/>
      <x:c r="P81" s="84"/>
      <x:c r="Q81" s="84"/>
      <x:c r="R81" s="84"/>
      <x:c r="S81" s="84"/>
      <x:c r="T81" s="84"/>
      <x:c r="U81" s="84"/>
    </x:row>
    <x:row r="82">
      <x:c r="A82" s="84"/>
      <x:c r="B82" s="84"/>
      <x:c r="C82" s="84"/>
      <x:c r="D82" s="84"/>
      <x:c r="E82" s="84"/>
      <x:c r="F82" s="84"/>
      <x:c r="G82" s="84"/>
      <x:c r="H82" s="84"/>
      <x:c r="I82" s="84"/>
      <x:c r="J82" s="84"/>
      <x:c r="K82" s="84"/>
      <x:c r="L82" s="84"/>
      <x:c r="M82" s="84"/>
      <x:c r="N82" s="84"/>
      <x:c r="O82" s="84"/>
      <x:c r="P82" s="84"/>
      <x:c r="Q82" s="84"/>
      <x:c r="R82" s="84"/>
      <x:c r="S82" s="84"/>
      <x:c r="T82" s="84"/>
      <x:c r="U82" s="84"/>
    </x:row>
    <x:row r="83">
      <x:c r="A83" s="84"/>
      <x:c r="B83" s="84"/>
      <x:c r="C83" s="84"/>
      <x:c r="D83" s="84"/>
      <x:c r="E83" s="84"/>
      <x:c r="F83" s="84"/>
      <x:c r="G83" s="84"/>
      <x:c r="H83" s="84"/>
      <x:c r="I83" s="84"/>
      <x:c r="J83" s="84"/>
      <x:c r="K83" s="84"/>
      <x:c r="L83" s="84"/>
      <x:c r="M83" s="84"/>
      <x:c r="N83" s="84"/>
      <x:c r="O83" s="84"/>
      <x:c r="P83" s="84"/>
      <x:c r="Q83" s="84"/>
      <x:c r="R83" s="84"/>
      <x:c r="S83" s="84"/>
      <x:c r="T83" s="84"/>
      <x:c r="U83" s="84"/>
    </x:row>
    <x:row r="84">
      <x:c r="A84" s="84"/>
      <x:c r="B84" s="84"/>
      <x:c r="C84" s="84"/>
      <x:c r="D84" s="84"/>
      <x:c r="E84" s="84"/>
      <x:c r="F84" s="84"/>
      <x:c r="G84" s="84"/>
      <x:c r="H84" s="84"/>
      <x:c r="I84" s="84"/>
      <x:c r="J84" s="84"/>
      <x:c r="K84" s="84"/>
      <x:c r="L84" s="84"/>
      <x:c r="M84" s="84"/>
      <x:c r="N84" s="84"/>
      <x:c r="O84" s="84"/>
      <x:c r="P84" s="84"/>
      <x:c r="Q84" s="84"/>
      <x:c r="R84" s="84"/>
      <x:c r="S84" s="84"/>
      <x:c r="T84" s="84"/>
      <x:c r="U84" s="84"/>
    </x:row>
    <x:row r="85">
      <x:c r="A85" s="84"/>
      <x:c r="B85" s="84"/>
      <x:c r="C85" s="84"/>
      <x:c r="D85" s="84"/>
      <x:c r="E85" s="84"/>
      <x:c r="F85" s="84"/>
      <x:c r="G85" s="84"/>
      <x:c r="H85" s="84"/>
      <x:c r="I85" s="84"/>
      <x:c r="J85" s="84"/>
      <x:c r="K85" s="84"/>
      <x:c r="L85" s="84"/>
      <x:c r="M85" s="84"/>
      <x:c r="N85" s="84"/>
      <x:c r="O85" s="84"/>
      <x:c r="P85" s="84"/>
      <x:c r="Q85" s="84"/>
      <x:c r="R85" s="84"/>
      <x:c r="S85" s="84"/>
      <x:c r="T85" s="84"/>
      <x:c r="U85" s="84"/>
    </x:row>
    <x:row r="86">
      <x:c r="A86" s="84"/>
      <x:c r="B86" s="84"/>
      <x:c r="C86" s="84"/>
      <x:c r="D86" s="84"/>
      <x:c r="E86" s="84"/>
      <x:c r="F86" s="84"/>
      <x:c r="G86" s="84"/>
      <x:c r="H86" s="84"/>
      <x:c r="I86" s="84"/>
      <x:c r="J86" s="84"/>
      <x:c r="K86" s="84"/>
      <x:c r="L86" s="84"/>
      <x:c r="M86" s="84"/>
      <x:c r="N86" s="84"/>
      <x:c r="O86" s="84"/>
      <x:c r="P86" s="84"/>
      <x:c r="Q86" s="84"/>
      <x:c r="R86" s="84"/>
      <x:c r="S86" s="84"/>
      <x:c r="T86" s="84"/>
      <x:c r="U86" s="84"/>
    </x:row>
    <x:row r="87">
      <x:c r="A87" s="84"/>
      <x:c r="B87" s="84"/>
      <x:c r="C87" s="84"/>
      <x:c r="D87" s="84"/>
      <x:c r="E87" s="84"/>
      <x:c r="F87" s="84"/>
      <x:c r="G87" s="84"/>
      <x:c r="H87" s="84"/>
      <x:c r="I87" s="84"/>
      <x:c r="J87" s="84"/>
      <x:c r="K87" s="84"/>
      <x:c r="L87" s="84"/>
      <x:c r="M87" s="84"/>
      <x:c r="N87" s="84"/>
      <x:c r="O87" s="84"/>
      <x:c r="P87" s="84"/>
      <x:c r="Q87" s="84"/>
      <x:c r="R87" s="84"/>
      <x:c r="S87" s="84"/>
      <x:c r="T87" s="84"/>
      <x:c r="U87" s="84"/>
    </x:row>
    <x:row r="88">
      <x:c r="A88" s="84"/>
      <x:c r="B88" s="84"/>
      <x:c r="C88" s="84"/>
      <x:c r="D88" s="84"/>
      <x:c r="E88" s="84"/>
      <x:c r="F88" s="84"/>
      <x:c r="G88" s="84"/>
      <x:c r="H88" s="84"/>
      <x:c r="I88" s="84"/>
      <x:c r="J88" s="84"/>
      <x:c r="K88" s="84"/>
      <x:c r="L88" s="84"/>
      <x:c r="M88" s="84"/>
      <x:c r="N88" s="84"/>
      <x:c r="O88" s="84"/>
      <x:c r="P88" s="84"/>
      <x:c r="Q88" s="84"/>
      <x:c r="R88" s="84"/>
      <x:c r="S88" s="84"/>
      <x:c r="T88" s="84"/>
      <x:c r="U88" s="84"/>
    </x:row>
    <x:row r="89">
      <x:c r="A89" s="84"/>
      <x:c r="B89" s="84"/>
      <x:c r="C89" s="84"/>
      <x:c r="D89" s="84"/>
      <x:c r="E89" s="84"/>
      <x:c r="F89" s="84"/>
      <x:c r="G89" s="84"/>
      <x:c r="H89" s="84"/>
      <x:c r="I89" s="84"/>
      <x:c r="J89" s="84"/>
      <x:c r="K89" s="84"/>
      <x:c r="L89" s="84"/>
      <x:c r="M89" s="84"/>
      <x:c r="N89" s="84"/>
      <x:c r="O89" s="84"/>
      <x:c r="P89" s="84"/>
      <x:c r="Q89" s="84"/>
      <x:c r="R89" s="84"/>
      <x:c r="S89" s="84"/>
      <x:c r="T89" s="84"/>
      <x:c r="U89" s="84"/>
    </x:row>
    <x:row r="90">
      <x:c r="A90" s="84"/>
      <x:c r="B90" s="84"/>
      <x:c r="C90" s="84"/>
      <x:c r="D90" s="84"/>
      <x:c r="E90" s="84"/>
      <x:c r="F90" s="84"/>
      <x:c r="G90" s="84"/>
      <x:c r="H90" s="84"/>
      <x:c r="I90" s="84"/>
      <x:c r="J90" s="84"/>
      <x:c r="K90" s="84"/>
      <x:c r="L90" s="84"/>
      <x:c r="M90" s="84"/>
      <x:c r="N90" s="84"/>
      <x:c r="O90" s="84"/>
      <x:c r="P90" s="84"/>
      <x:c r="Q90" s="84"/>
      <x:c r="R90" s="84"/>
      <x:c r="S90" s="84"/>
      <x:c r="T90" s="84"/>
      <x:c r="U90" s="84"/>
    </x:row>
    <x:row r="91">
      <x:c r="A91" s="84"/>
      <x:c r="B91" s="84"/>
      <x:c r="C91" s="84"/>
      <x:c r="D91" s="84"/>
      <x:c r="E91" s="84"/>
      <x:c r="F91" s="84"/>
      <x:c r="G91" s="84"/>
      <x:c r="H91" s="84"/>
      <x:c r="I91" s="84"/>
      <x:c r="J91" s="84"/>
      <x:c r="K91" s="84"/>
      <x:c r="L91" s="84"/>
      <x:c r="M91" s="84"/>
      <x:c r="N91" s="84"/>
      <x:c r="O91" s="84"/>
      <x:c r="P91" s="84"/>
      <x:c r="Q91" s="84"/>
      <x:c r="R91" s="84"/>
      <x:c r="S91" s="84"/>
      <x:c r="T91" s="84"/>
      <x:c r="U91" s="84"/>
    </x:row>
    <x:row r="92">
      <x:c r="A92" s="84"/>
      <x:c r="B92" s="84"/>
      <x:c r="C92" s="84"/>
      <x:c r="D92" s="84"/>
      <x:c r="E92" s="84"/>
      <x:c r="F92" s="84"/>
      <x:c r="G92" s="84"/>
      <x:c r="H92" s="84"/>
      <x:c r="I92" s="84"/>
      <x:c r="J92" s="84"/>
      <x:c r="K92" s="84"/>
      <x:c r="L92" s="84"/>
      <x:c r="M92" s="84"/>
      <x:c r="N92" s="84"/>
      <x:c r="O92" s="84"/>
      <x:c r="P92" s="84"/>
      <x:c r="Q92" s="84"/>
      <x:c r="R92" s="84"/>
      <x:c r="S92" s="84"/>
      <x:c r="T92" s="84"/>
      <x:c r="U92" s="84"/>
    </x:row>
    <x:row r="93">
      <x:c r="A93" s="84"/>
      <x:c r="B93" s="84"/>
      <x:c r="C93" s="84"/>
      <x:c r="D93" s="84"/>
      <x:c r="E93" s="84"/>
      <x:c r="F93" s="84"/>
      <x:c r="G93" s="84"/>
      <x:c r="H93" s="84"/>
      <x:c r="I93" s="84"/>
      <x:c r="J93" s="84"/>
      <x:c r="K93" s="84"/>
      <x:c r="L93" s="84"/>
      <x:c r="M93" s="84"/>
      <x:c r="N93" s="84"/>
      <x:c r="O93" s="84"/>
      <x:c r="P93" s="84"/>
      <x:c r="Q93" s="84"/>
      <x:c r="R93" s="84"/>
      <x:c r="S93" s="84"/>
      <x:c r="T93" s="84"/>
      <x:c r="U93" s="84"/>
    </x:row>
    <x:row r="94">
      <x:c r="A94" s="84"/>
      <x:c r="B94" s="84"/>
      <x:c r="C94" s="84"/>
      <x:c r="D94" s="84"/>
      <x:c r="E94" s="84"/>
      <x:c r="F94" s="84"/>
      <x:c r="G94" s="84"/>
      <x:c r="H94" s="84"/>
      <x:c r="I94" s="84"/>
      <x:c r="J94" s="84"/>
      <x:c r="K94" s="84"/>
      <x:c r="L94" s="84"/>
      <x:c r="M94" s="84"/>
      <x:c r="N94" s="84"/>
      <x:c r="O94" s="84"/>
      <x:c r="P94" s="84"/>
      <x:c r="Q94" s="84"/>
      <x:c r="R94" s="84"/>
      <x:c r="S94" s="84"/>
      <x:c r="T94" s="84"/>
      <x:c r="U94" s="84"/>
    </x:row>
    <x:row r="95">
      <x:c r="A95" s="84"/>
      <x:c r="B95" s="84"/>
      <x:c r="C95" s="84"/>
      <x:c r="D95" s="84"/>
      <x:c r="E95" s="84"/>
      <x:c r="F95" s="84"/>
      <x:c r="G95" s="84"/>
      <x:c r="H95" s="84"/>
      <x:c r="I95" s="84"/>
      <x:c r="J95" s="84"/>
      <x:c r="K95" s="84"/>
      <x:c r="L95" s="84"/>
      <x:c r="M95" s="84"/>
      <x:c r="N95" s="84"/>
      <x:c r="O95" s="84"/>
      <x:c r="P95" s="84"/>
      <x:c r="Q95" s="84"/>
      <x:c r="R95" s="84"/>
      <x:c r="S95" s="84"/>
      <x:c r="T95" s="84"/>
      <x:c r="U95" s="84"/>
    </x:row>
    <x:row r="96">
      <x:c r="A96" s="84"/>
      <x:c r="B96" s="84"/>
      <x:c r="C96" s="84"/>
      <x:c r="D96" s="84"/>
      <x:c r="E96" s="84"/>
      <x:c r="F96" s="84"/>
      <x:c r="G96" s="84"/>
      <x:c r="H96" s="84"/>
      <x:c r="I96" s="84"/>
      <x:c r="J96" s="84"/>
      <x:c r="K96" s="84"/>
      <x:c r="L96" s="84"/>
      <x:c r="M96" s="84"/>
      <x:c r="N96" s="84"/>
      <x:c r="O96" s="84"/>
      <x:c r="P96" s="84"/>
      <x:c r="Q96" s="84"/>
      <x:c r="R96" s="84"/>
      <x:c r="S96" s="84"/>
      <x:c r="T96" s="84"/>
      <x:c r="U96" s="84"/>
    </x:row>
    <x:row r="97">
      <x:c r="A97" s="84"/>
      <x:c r="B97" s="84"/>
      <x:c r="C97" s="84"/>
      <x:c r="D97" s="84"/>
      <x:c r="E97" s="84"/>
      <x:c r="F97" s="84"/>
      <x:c r="G97" s="84"/>
      <x:c r="H97" s="84"/>
      <x:c r="I97" s="84"/>
      <x:c r="J97" s="84"/>
      <x:c r="K97" s="84"/>
      <x:c r="L97" s="84"/>
      <x:c r="M97" s="84"/>
      <x:c r="N97" s="84"/>
      <x:c r="O97" s="84"/>
      <x:c r="P97" s="84"/>
      <x:c r="Q97" s="84"/>
      <x:c r="R97" s="84"/>
      <x:c r="S97" s="84"/>
      <x:c r="T97" s="84"/>
      <x:c r="U97" s="84"/>
    </x:row>
    <x:row r="98">
      <x:c r="A98" s="84"/>
      <x:c r="B98" s="84"/>
      <x:c r="C98" s="84"/>
      <x:c r="D98" s="84"/>
      <x:c r="E98" s="84"/>
      <x:c r="F98" s="84"/>
      <x:c r="G98" s="84"/>
      <x:c r="H98" s="84"/>
      <x:c r="I98" s="84"/>
      <x:c r="J98" s="84"/>
      <x:c r="K98" s="84"/>
      <x:c r="L98" s="84"/>
      <x:c r="M98" s="84"/>
      <x:c r="N98" s="84"/>
      <x:c r="O98" s="84"/>
      <x:c r="P98" s="84"/>
      <x:c r="Q98" s="84"/>
      <x:c r="R98" s="84"/>
      <x:c r="S98" s="84"/>
      <x:c r="T98" s="84"/>
      <x:c r="U98" s="84"/>
    </x:row>
    <x:row r="99">
      <x:c r="A99" s="84"/>
      <x:c r="B99" s="84"/>
      <x:c r="C99" s="84"/>
      <x:c r="D99" s="84"/>
      <x:c r="E99" s="84"/>
      <x:c r="F99" s="84"/>
      <x:c r="G99" s="84"/>
      <x:c r="H99" s="84"/>
      <x:c r="I99" s="84"/>
      <x:c r="J99" s="84"/>
      <x:c r="K99" s="84"/>
      <x:c r="L99" s="84"/>
      <x:c r="M99" s="84"/>
      <x:c r="N99" s="84"/>
      <x:c r="O99" s="84"/>
      <x:c r="P99" s="84"/>
      <x:c r="Q99" s="84"/>
      <x:c r="R99" s="84"/>
      <x:c r="S99" s="84"/>
      <x:c r="T99" s="84"/>
      <x:c r="U99" s="84"/>
    </x:row>
    <x:row r="100">
      <x:c r="A100" s="84"/>
      <x:c r="B100" s="84"/>
      <x:c r="C100" s="84"/>
      <x:c r="D100" s="84"/>
      <x:c r="E100" s="84"/>
      <x:c r="F100" s="84"/>
      <x:c r="G100" s="84"/>
      <x:c r="H100" s="84"/>
      <x:c r="I100" s="84"/>
      <x:c r="J100" s="84"/>
      <x:c r="K100" s="84"/>
      <x:c r="L100" s="84"/>
      <x:c r="M100" s="84"/>
      <x:c r="N100" s="84"/>
      <x:c r="O100" s="84"/>
      <x:c r="P100" s="84"/>
      <x:c r="Q100" s="84"/>
      <x:c r="R100" s="84"/>
      <x:c r="S100" s="84"/>
      <x:c r="T100" s="84"/>
      <x:c r="U100" s="84"/>
    </x:row>
    <x:row r="101">
      <x:c r="A101" s="84"/>
      <x:c r="B101" s="84"/>
      <x:c r="C101" s="84"/>
      <x:c r="D101" s="84"/>
      <x:c r="E101" s="84"/>
      <x:c r="F101" s="84"/>
      <x:c r="G101" s="84"/>
      <x:c r="H101" s="84"/>
      <x:c r="I101" s="84"/>
      <x:c r="J101" s="84"/>
      <x:c r="K101" s="84"/>
      <x:c r="L101" s="84"/>
      <x:c r="M101" s="84"/>
      <x:c r="N101" s="84"/>
      <x:c r="O101" s="84"/>
      <x:c r="P101" s="84"/>
      <x:c r="Q101" s="84"/>
      <x:c r="R101" s="84"/>
      <x:c r="S101" s="84"/>
      <x:c r="T101" s="84"/>
      <x:c r="U101" s="84"/>
    </x:row>
    <x:row r="102">
      <x:c r="A102" s="84"/>
      <x:c r="B102" s="84"/>
      <x:c r="C102" s="84"/>
      <x:c r="D102" s="84"/>
      <x:c r="E102" s="84"/>
      <x:c r="F102" s="84"/>
      <x:c r="G102" s="84"/>
      <x:c r="H102" s="84"/>
      <x:c r="I102" s="84"/>
      <x:c r="J102" s="84"/>
      <x:c r="K102" s="84"/>
      <x:c r="L102" s="84"/>
      <x:c r="M102" s="84"/>
      <x:c r="N102" s="84"/>
      <x:c r="O102" s="84"/>
      <x:c r="P102" s="84"/>
      <x:c r="Q102" s="84"/>
      <x:c r="R102" s="84"/>
      <x:c r="S102" s="84"/>
      <x:c r="T102" s="84"/>
      <x:c r="U102" s="84"/>
    </x:row>
    <x:row r="103">
      <x:c r="A103" s="84"/>
      <x:c r="B103" s="84"/>
      <x:c r="C103" s="84"/>
      <x:c r="D103" s="84"/>
      <x:c r="E103" s="84"/>
      <x:c r="F103" s="84"/>
      <x:c r="G103" s="84"/>
      <x:c r="H103" s="84"/>
      <x:c r="I103" s="84"/>
      <x:c r="J103" s="84"/>
      <x:c r="K103" s="84"/>
      <x:c r="L103" s="84"/>
      <x:c r="M103" s="84"/>
      <x:c r="N103" s="84"/>
      <x:c r="O103" s="84"/>
      <x:c r="P103" s="84"/>
      <x:c r="Q103" s="84"/>
      <x:c r="R103" s="84"/>
      <x:c r="S103" s="84"/>
      <x:c r="T103" s="84"/>
      <x:c r="U103" s="84"/>
    </x:row>
    <x:row r="104">
      <x:c r="A104" s="84"/>
      <x:c r="B104" s="84"/>
      <x:c r="C104" s="84"/>
      <x:c r="D104" s="84"/>
      <x:c r="E104" s="84"/>
      <x:c r="F104" s="84"/>
      <x:c r="G104" s="84"/>
      <x:c r="H104" s="84"/>
      <x:c r="I104" s="84"/>
      <x:c r="J104" s="84"/>
      <x:c r="K104" s="84"/>
      <x:c r="L104" s="84"/>
      <x:c r="M104" s="84"/>
      <x:c r="N104" s="84"/>
      <x:c r="O104" s="84"/>
      <x:c r="P104" s="84"/>
      <x:c r="Q104" s="84"/>
      <x:c r="R104" s="84"/>
      <x:c r="S104" s="84"/>
      <x:c r="T104" s="84"/>
      <x:c r="U104" s="84"/>
    </x:row>
    <x:row r="105">
      <x:c r="A105" s="84"/>
      <x:c r="B105" s="84"/>
      <x:c r="C105" s="84"/>
      <x:c r="D105" s="84"/>
      <x:c r="E105" s="84"/>
      <x:c r="F105" s="84"/>
      <x:c r="G105" s="84"/>
      <x:c r="H105" s="84"/>
      <x:c r="I105" s="84"/>
      <x:c r="J105" s="84"/>
      <x:c r="K105" s="84"/>
      <x:c r="L105" s="84"/>
      <x:c r="M105" s="84"/>
      <x:c r="N105" s="84"/>
      <x:c r="O105" s="84"/>
      <x:c r="P105" s="84"/>
      <x:c r="Q105" s="84"/>
      <x:c r="R105" s="84"/>
      <x:c r="S105" s="84"/>
      <x:c r="T105" s="84"/>
      <x:c r="U105" s="84"/>
    </x:row>
    <x:row r="106">
      <x:c r="A106" s="84"/>
      <x:c r="B106" s="84"/>
      <x:c r="C106" s="84"/>
      <x:c r="D106" s="84"/>
      <x:c r="E106" s="84"/>
      <x:c r="F106" s="84"/>
      <x:c r="G106" s="84"/>
      <x:c r="H106" s="84"/>
      <x:c r="I106" s="84"/>
      <x:c r="J106" s="84"/>
      <x:c r="K106" s="84"/>
      <x:c r="L106" s="84"/>
      <x:c r="M106" s="84"/>
      <x:c r="N106" s="84"/>
      <x:c r="O106" s="84"/>
      <x:c r="P106" s="84"/>
      <x:c r="Q106" s="84"/>
      <x:c r="R106" s="84"/>
      <x:c r="S106" s="84"/>
      <x:c r="T106" s="84"/>
      <x:c r="U106" s="84"/>
    </x:row>
    <x:row r="107">
      <x:c r="A107" s="84"/>
      <x:c r="B107" s="84"/>
      <x:c r="C107" s="84"/>
      <x:c r="D107" s="84"/>
      <x:c r="E107" s="84"/>
      <x:c r="F107" s="84"/>
      <x:c r="G107" s="84"/>
      <x:c r="H107" s="84"/>
      <x:c r="I107" s="84"/>
      <x:c r="J107" s="84"/>
      <x:c r="K107" s="84"/>
      <x:c r="L107" s="84"/>
      <x:c r="M107" s="84"/>
      <x:c r="N107" s="84"/>
      <x:c r="O107" s="84"/>
      <x:c r="P107" s="84"/>
      <x:c r="Q107" s="84"/>
      <x:c r="R107" s="84"/>
      <x:c r="S107" s="84"/>
      <x:c r="T107" s="84"/>
      <x:c r="U107" s="84"/>
    </x:row>
    <x:row r="108">
      <x:c r="A108" s="84"/>
      <x:c r="B108" s="84"/>
      <x:c r="C108" s="84"/>
      <x:c r="D108" s="84"/>
      <x:c r="E108" s="84"/>
      <x:c r="F108" s="84"/>
      <x:c r="G108" s="84"/>
      <x:c r="H108" s="84"/>
      <x:c r="I108" s="84"/>
      <x:c r="J108" s="84"/>
      <x:c r="K108" s="84"/>
      <x:c r="L108" s="84"/>
      <x:c r="M108" s="84"/>
      <x:c r="N108" s="84"/>
      <x:c r="O108" s="84"/>
      <x:c r="P108" s="84"/>
      <x:c r="Q108" s="84"/>
      <x:c r="R108" s="84"/>
      <x:c r="S108" s="84"/>
      <x:c r="T108" s="84"/>
      <x:c r="U108" s="84"/>
    </x:row>
    <x:row r="109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4"/>
      <x:c r="K109" s="84"/>
      <x:c r="L109" s="84"/>
      <x:c r="M109" s="84"/>
      <x:c r="N109" s="84"/>
      <x:c r="O109" s="84"/>
      <x:c r="P109" s="84"/>
      <x:c r="Q109" s="84"/>
      <x:c r="R109" s="84"/>
      <x:c r="S109" s="84"/>
      <x:c r="T109" s="84"/>
      <x:c r="U109" s="84"/>
    </x:row>
    <x:row r="110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4"/>
      <x:c r="K110" s="84"/>
      <x:c r="L110" s="84"/>
      <x:c r="M110" s="84"/>
      <x:c r="N110" s="84"/>
      <x:c r="O110" s="84"/>
      <x:c r="P110" s="84"/>
      <x:c r="Q110" s="84"/>
      <x:c r="R110" s="84"/>
      <x:c r="S110" s="84"/>
      <x:c r="T110" s="84"/>
      <x:c r="U110" s="84"/>
    </x:row>
  </x:sheetData>
  <x:mergeCells>
    <x:mergeCell ref="A1:F1"/>
  </x:mergeCells>
  <x:conditionalFormatting sqref="C4:C19">
    <x:cfRule type="expression" dxfId="8" priority="1">
      <x:formula>$C4="Complete"</x:formula>
    </x:cfRule>
    <x:cfRule type="expression" dxfId="9" priority="2">
      <x:formula>$C4="In Progress"</x:formula>
    </x:cfRule>
  </x:conditionalFormatting>
  <x:dataValidations count="2">
    <x:dataValidation type="list" sqref="C4:C19">
      <x:formula1>_LISTS!$H$2:$H$5</x:formula1>
    </x:dataValidation>
    <x:dataValidation type="list" sqref="D4:D19">
      <x:formula1>_LISTS!$G$2:$G$5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4" max="4" width="26" hidden="0" customWidth="1"/>
    <x:col min="5" max="5" width="16" hidden="0" customWidth="1"/>
    <x:col min="7" max="7" width="14" hidden="0" customWidth="1"/>
    <x:col min="8" max="8" width="20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139" t="str">
        <x:v>RESEARCH WRITING DASHBOARD</x:v>
      </x:c>
      <x:c r="B1" s="139"/>
      <x:c r="C1" s="139"/>
      <x:c r="D1" s="139"/>
      <x:c r="E1" s="139"/>
      <x:c r="F1" s="139"/>
      <x:c r="G1" s="139"/>
      <x:c r="H1" s="139"/>
      <x:c r="I1" s="139"/>
      <x:c r="J1" s="139"/>
      <x:c r="K1" s="139"/>
      <x:c r="L1" s="139"/>
      <x:c r="M1" s="84"/>
      <x:c r="N1" s="84"/>
      <x:c r="O1" s="84"/>
      <x:c r="P1" s="84"/>
      <x:c r="Q1" s="84"/>
      <x:c r="R1" s="84"/>
      <x:c r="S1" s="84"/>
      <x:c r="T1" s="84"/>
      <x:c r="U1" s="84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  <x:c r="S2" s="84"/>
      <x:c r="T2" s="84"/>
      <x:c r="U2" s="84"/>
    </x:row>
    <x:row r="3">
      <x:c r="A3" s="95" t="str">
        <x:v>Assignment</x:v>
      </x:c>
      <x:c r="B3" s="89" t="str">
        <x:f>ASSIGNMENT!B3</x:f>
        <x:v>Research Paper</x:v>
      </x:c>
      <x:c r="C3" s="84"/>
      <x:c r="D3" s="86" t="str">
        <x:v>Draft / QA</x:v>
      </x:c>
      <x:c r="E3" s="86" t="str">
        <x:v>Value</x:v>
      </x:c>
      <x:c r="F3" s="84"/>
      <x:c r="G3" s="83" t="str">
        <x:v>OVERALL STATUS</x:v>
      </x:c>
      <x:c r="H3" s="83"/>
      <x:c r="I3" s="83"/>
      <x:c r="J3" s="83"/>
      <x:c r="K3" s="83"/>
      <x:c r="L3" s="83"/>
      <x:c r="M3" s="84"/>
      <x:c r="N3" s="84"/>
      <x:c r="O3" s="84"/>
      <x:c r="P3" s="84"/>
      <x:c r="Q3" s="84"/>
      <x:c r="R3" s="84"/>
      <x:c r="S3" s="84"/>
      <x:c r="T3" s="84"/>
      <x:c r="U3" s="84"/>
    </x:row>
    <x:row r="4">
      <x:c r="A4" s="95" t="str">
        <x:v>Due Date</x:v>
      </x:c>
      <x:c r="B4" s="131" t="n">
        <x:f>ASSIGNMENT!B7</x:f>
        <x:v>46326</x:v>
      </x:c>
      <x:c r="C4" s="84"/>
      <x:c r="D4" s="95" t="str">
        <x:v>Draft Sections Complete</x:v>
      </x:c>
      <x:c r="E4" s="89" t="n">
        <x:f>COUNTIF('DRAFT TRACKER'!F4:F33,"Complete")</x:f>
        <x:v>0</x:v>
      </x:c>
      <x:c r="F4" s="84"/>
      <x:c r="G4" s="132" t="str">
        <x:f>IF(ASSIGNMENT!B3="","START WITH THE ASSIGNMENT",IF(OR(B7&gt;0,B8&gt;0,B10&gt;0),"ACTION NEEDED",IF(OR(B11=0,E5=0),"BUILDING",IF(E6&lt;0.5,"BUILDING",IF(E9&lt;E10,"REVISING","READY FOR FINAL CHECK")))))</x:f>
        <x:v>ACTION NEEDED</x:v>
      </x:c>
      <x:c r="H4" s="132"/>
      <x:c r="I4" s="132"/>
      <x:c r="J4" s="132"/>
      <x:c r="K4" s="132"/>
      <x:c r="L4" s="132"/>
      <x:c r="M4" s="84"/>
      <x:c r="N4" s="84"/>
      <x:c r="O4" s="84"/>
      <x:c r="P4" s="84"/>
      <x:c r="Q4" s="84"/>
      <x:c r="R4" s="84"/>
      <x:c r="S4" s="84"/>
      <x:c r="T4" s="84"/>
      <x:c r="U4" s="84"/>
    </x:row>
    <x:row r="5">
      <x:c r="A5" s="95" t="str">
        <x:v>Days Remaining</x:v>
      </x:c>
      <x:c r="B5" s="89" t="n">
        <x:f>ASSIGNMENT!E4</x:f>
        <x:v>30</x:v>
      </x:c>
      <x:c r="C5" s="84"/>
      <x:c r="D5" s="95" t="str">
        <x:v>Draft Sections Total</x:v>
      </x:c>
      <x:c r="E5" s="89" t="n">
        <x:f>COUNTIF('DRAFT TRACKER'!B4:B33,"&lt;&gt;")</x:f>
        <x:v>30</x:v>
      </x:c>
      <x:c r="F5" s="84"/>
      <x:c r="G5" s="132"/>
      <x:c r="H5" s="132"/>
      <x:c r="I5" s="132"/>
      <x:c r="J5" s="132"/>
      <x:c r="K5" s="132"/>
      <x:c r="L5" s="132"/>
      <x:c r="M5" s="84"/>
      <x:c r="N5" s="84"/>
      <x:c r="O5" s="84"/>
      <x:c r="P5" s="84"/>
      <x:c r="Q5" s="84"/>
      <x:c r="R5" s="84"/>
      <x:c r="S5" s="84"/>
      <x:c r="T5" s="84"/>
      <x:c r="U5" s="84"/>
    </x:row>
    <x:row r="6">
      <x:c r="A6" s="95" t="str">
        <x:v>Sources Logged</x:v>
      </x:c>
      <x:c r="B6" s="89" t="n">
        <x:f>COUNTIF('SOURCE LOG'!E4:E63,"&lt;&gt;")</x:f>
        <x:v>0</x:v>
      </x:c>
      <x:c r="C6" s="84"/>
      <x:c r="D6" s="95" t="str">
        <x:v>Draft Progress</x:v>
      </x:c>
      <x:c r="E6" s="133" t="n">
        <x:f>IF(E5=0,0,E4/E5)</x:f>
        <x:v>0</x:v>
      </x:c>
      <x:c r="F6" s="84"/>
      <x:c r="G6" s="132"/>
      <x:c r="H6" s="132"/>
      <x:c r="I6" s="132"/>
      <x:c r="J6" s="132"/>
      <x:c r="K6" s="132"/>
      <x:c r="L6" s="132"/>
      <x:c r="M6" s="84"/>
      <x:c r="N6" s="84"/>
      <x:c r="O6" s="84"/>
      <x:c r="P6" s="84"/>
      <x:c r="Q6" s="84"/>
      <x:c r="R6" s="84"/>
      <x:c r="S6" s="84"/>
      <x:c r="T6" s="84"/>
      <x:c r="U6" s="84"/>
    </x:row>
    <x:row r="7">
      <x:c r="A7" s="95" t="str">
        <x:v>Source Gap</x:v>
      </x:c>
      <x:c r="B7" s="89" t="n">
        <x:f>ASSIGNMENT!E7</x:f>
        <x:v>8</x:v>
      </x:c>
      <x:c r="C7" s="84"/>
      <x:c r="D7" s="95" t="str">
        <x:v>Words Drafted</x:v>
      </x:c>
      <x:c r="E7" s="89" t="n">
        <x:f>SUM('DRAFT TRACKER'!D4:D33)</x:f>
        <x:v>0</x:v>
      </x:c>
      <x:c r="F7" s="84"/>
      <x:c r="G7" s="132"/>
      <x:c r="H7" s="132"/>
      <x:c r="I7" s="132"/>
      <x:c r="J7" s="132"/>
      <x:c r="K7" s="132"/>
      <x:c r="L7" s="132"/>
      <x:c r="M7" s="84"/>
      <x:c r="N7" s="84"/>
      <x:c r="O7" s="84"/>
      <x:c r="P7" s="84"/>
      <x:c r="Q7" s="84"/>
      <x:c r="R7" s="84"/>
      <x:c r="S7" s="84"/>
      <x:c r="T7" s="84"/>
      <x:c r="U7" s="84"/>
    </x:row>
    <x:row r="8">
      <x:c r="A8" s="95" t="str">
        <x:v>Citation Field Flags</x:v>
      </x:c>
      <x:c r="B8" s="89" t="n">
        <x:f>COUNTIF('SOURCE LOG'!S4:S63,"ACTION NEEDED")</x:f>
        <x:v>0</x:v>
      </x:c>
      <x:c r="C8" s="84"/>
      <x:c r="D8" s="95" t="str">
        <x:v>Target Words</x:v>
      </x:c>
      <x:c r="E8" s="89" t="n">
        <x:f>ASSIGNMENT!B8</x:f>
        <x:v>2500</x:v>
      </x:c>
      <x:c r="F8" s="84"/>
      <x:c r="G8" s="84"/>
      <x:c r="H8" s="84"/>
      <x:c r="I8" s="84"/>
      <x:c r="J8" s="84"/>
      <x:c r="K8" s="84"/>
      <x:c r="L8" s="84"/>
      <x:c r="M8" s="84"/>
      <x:c r="N8" s="84"/>
      <x:c r="O8" s="84"/>
      <x:c r="P8" s="84"/>
      <x:c r="Q8" s="84"/>
      <x:c r="R8" s="84"/>
      <x:c r="S8" s="84"/>
      <x:c r="T8" s="84"/>
      <x:c r="U8" s="84"/>
    </x:row>
    <x:row r="9">
      <x:c r="A9" s="95" t="str">
        <x:v>Evidence Items</x:v>
      </x:c>
      <x:c r="B9" s="89" t="n">
        <x:f>COUNTIF('EVIDENCE MATRIX'!E4:E103,"&lt;&gt;")</x:f>
        <x:v>0</x:v>
      </x:c>
      <x:c r="C9" s="84"/>
      <x:c r="D9" s="95" t="str">
        <x:v>Revision Checks Complete</x:v>
      </x:c>
      <x:c r="E9" s="89" t="n">
        <x:f>COUNTIF('REVISION QA'!C4:C19,"Complete")</x:f>
        <x:v>0</x:v>
      </x:c>
      <x:c r="F9" s="84"/>
      <x:c r="G9" s="84"/>
      <x:c r="H9" s="84"/>
      <x:c r="I9" s="84"/>
      <x:c r="J9" s="84"/>
      <x:c r="K9" s="84"/>
      <x:c r="L9" s="84"/>
      <x:c r="M9" s="84"/>
      <x:c r="N9" s="84"/>
      <x:c r="O9" s="84"/>
      <x:c r="P9" s="84"/>
      <x:c r="Q9" s="84"/>
      <x:c r="R9" s="84"/>
      <x:c r="S9" s="84"/>
      <x:c r="T9" s="84"/>
      <x:c r="U9" s="84"/>
    </x:row>
    <x:row r="10">
      <x:c r="A10" s="95" t="str">
        <x:v>Evidence QA Flags</x:v>
      </x:c>
      <x:c r="B10" s="89" t="n">
        <x:f>COUNTIF('EVIDENCE MATRIX'!L4:L103,"ACTION NEEDED")</x:f>
        <x:v>0</x:v>
      </x:c>
      <x:c r="C10" s="84"/>
      <x:c r="D10" s="95" t="str">
        <x:v>Revision Checks Total</x:v>
      </x:c>
      <x:c r="E10" s="89" t="n">
        <x:f>COUNTIF('REVISION QA'!B4:B19,"&lt;&gt;")</x:f>
        <x:v>16</x:v>
      </x:c>
      <x:c r="F10" s="84"/>
      <x:c r="G10" s="84"/>
      <x:c r="H10" s="84"/>
      <x:c r="I10" s="84"/>
      <x:c r="J10" s="84"/>
      <x:c r="K10" s="84"/>
      <x:c r="L10" s="84"/>
      <x:c r="M10" s="84"/>
      <x:c r="N10" s="84"/>
      <x:c r="O10" s="84"/>
      <x:c r="P10" s="84"/>
      <x:c r="Q10" s="84"/>
      <x:c r="R10" s="84"/>
      <x:c r="S10" s="84"/>
      <x:c r="T10" s="84"/>
      <x:c r="U10" s="84"/>
    </x:row>
    <x:row r="11">
      <x:c r="A11" s="95" t="str">
        <x:v>Outline Sections</x:v>
      </x:c>
      <x:c r="B11" s="89" t="n">
        <x:f>COUNTIF(OUTLINE!C4:C33,"&lt;&gt;")</x:f>
        <x:v>0</x:v>
      </x:c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84"/>
      <x:c r="P11" s="84"/>
      <x:c r="Q11" s="84"/>
      <x:c r="R11" s="84"/>
      <x:c r="S11" s="84"/>
      <x:c r="T11" s="84"/>
      <x:c r="U11" s="84"/>
    </x:row>
    <x:row r="12">
      <x:c r="A12" s="84"/>
      <x:c r="B12" s="84"/>
      <x:c r="C12" s="84"/>
      <x:c r="D12" s="84"/>
      <x:c r="E12" s="84"/>
      <x:c r="F12" s="84"/>
      <x:c r="G12" s="84"/>
      <x:c r="H12" s="84"/>
      <x:c r="I12" s="84"/>
      <x:c r="J12" s="84"/>
      <x:c r="K12" s="84"/>
      <x:c r="L12" s="84"/>
      <x:c r="M12" s="84"/>
      <x:c r="N12" s="84"/>
      <x:c r="O12" s="84"/>
      <x:c r="P12" s="84"/>
      <x:c r="Q12" s="84"/>
      <x:c r="R12" s="84"/>
      <x:c r="S12" s="84"/>
      <x:c r="T12" s="84"/>
      <x:c r="U12" s="84"/>
    </x:row>
    <x:row r="13">
      <x:c r="A13" s="84"/>
      <x:c r="B13" s="84"/>
      <x:c r="C13" s="84"/>
      <x:c r="D13" s="84"/>
      <x:c r="E13" s="84"/>
      <x:c r="F13" s="84"/>
      <x:c r="G13" s="84"/>
      <x:c r="H13" s="84"/>
      <x:c r="I13" s="84"/>
      <x:c r="J13" s="84"/>
      <x:c r="K13" s="84"/>
      <x:c r="L13" s="84"/>
      <x:c r="M13" s="84"/>
      <x:c r="N13" s="84"/>
      <x:c r="O13" s="84"/>
      <x:c r="P13" s="84"/>
      <x:c r="Q13" s="84"/>
      <x:c r="R13" s="84"/>
      <x:c r="S13" s="84"/>
      <x:c r="T13" s="84"/>
      <x:c r="U13" s="84"/>
    </x:row>
    <x:row r="14">
      <x:c r="A14" s="86" t="str">
        <x:v>NEXT MILESTONES</x:v>
      </x:c>
      <x:c r="B14" s="86"/>
      <x:c r="C14" s="86"/>
      <x:c r="D14" s="86"/>
      <x:c r="E14" s="86"/>
      <x:c r="F14" s="86"/>
      <x:c r="G14" s="84"/>
      <x:c r="H14" s="86" t="str">
        <x:v>Source Type</x:v>
      </x:c>
      <x:c r="I14" s="86" t="str">
        <x:v>Count</x:v>
      </x:c>
      <x:c r="J14" s="84"/>
      <x:c r="K14" s="84"/>
      <x:c r="L14" s="84"/>
      <x:c r="M14" s="84"/>
      <x:c r="N14" s="84"/>
      <x:c r="O14" s="84"/>
      <x:c r="P14" s="84"/>
      <x:c r="Q14" s="84"/>
      <x:c r="R14" s="84"/>
      <x:c r="S14" s="84"/>
      <x:c r="T14" s="84"/>
      <x:c r="U14" s="84"/>
    </x:row>
    <x:row r="15">
      <x:c r="A15" s="95" t="str">
        <x:v>Milestone</x:v>
      </x:c>
      <x:c r="B15" s="95" t="str">
        <x:v>Working Date</x:v>
      </x:c>
      <x:c r="C15" s="95" t="str">
        <x:v>Status</x:v>
      </x:c>
      <x:c r="D15" s="84" t="str"/>
      <x:c r="E15" s="84" t="str"/>
      <x:c r="F15" s="84" t="str"/>
      <x:c r="G15" s="84"/>
      <x:c r="H15" s="84" t="str">
        <x:v>Journal Article</x:v>
      </x:c>
      <x:c r="I15" s="84" t="n">
        <x:f>COUNTIF('SOURCE LOG'!B4:B63,"Journal Article")</x:f>
        <x:v>0</x:v>
      </x:c>
      <x:c r="J15" s="84"/>
      <x:c r="K15" s="84"/>
      <x:c r="L15" s="84"/>
      <x:c r="M15" s="84"/>
      <x:c r="N15" s="84"/>
      <x:c r="O15" s="84"/>
      <x:c r="P15" s="84"/>
      <x:c r="Q15" s="84"/>
      <x:c r="R15" s="84"/>
      <x:c r="S15" s="84"/>
      <x:c r="T15" s="84"/>
      <x:c r="U15" s="84"/>
    </x:row>
    <x:row r="16">
      <x:c r="A16" s="84" t="str">
        <x:f>MILESTONES!A4</x:f>
        <x:v>Research question finalized</x:v>
      </x:c>
      <x:c r="B16" s="134" t="n">
        <x:f>MILESTONES!E4</x:f>
        <x:v>46301</x:v>
      </x:c>
      <x:c r="C16" s="84" t="str">
        <x:f>MILESTONES!F4</x:f>
        <x:v>Upcoming</x:v>
      </x:c>
      <x:c r="D16" s="84"/>
      <x:c r="E16" s="84"/>
      <x:c r="F16" s="84"/>
      <x:c r="G16" s="84"/>
      <x:c r="H16" s="84" t="str">
        <x:v>Book / Chapter</x:v>
      </x:c>
      <x:c r="I16" s="84" t="n">
        <x:f>COUNTIF('SOURCE LOG'!B4:B63,"Book")+COUNTIF('SOURCE LOG'!B4:B63,"Book Chapter")</x:f>
        <x:v>0</x:v>
      </x:c>
      <x:c r="J16" s="84"/>
      <x:c r="K16" s="84"/>
      <x:c r="L16" s="84"/>
      <x:c r="M16" s="84"/>
      <x:c r="N16" s="84"/>
      <x:c r="O16" s="84"/>
      <x:c r="P16" s="84"/>
      <x:c r="Q16" s="84"/>
      <x:c r="R16" s="84"/>
      <x:c r="S16" s="84"/>
      <x:c r="T16" s="84"/>
      <x:c r="U16" s="84"/>
    </x:row>
    <x:row r="17">
      <x:c r="A17" s="84" t="str">
        <x:f>MILESTONES!A5</x:f>
        <x:v>Preliminary source set</x:v>
      </x:c>
      <x:c r="B17" s="134" t="n">
        <x:f>MILESTONES!E5</x:f>
        <x:v>46305</x:v>
      </x:c>
      <x:c r="C17" s="84" t="str">
        <x:f>MILESTONES!F5</x:f>
        <x:v>Upcoming</x:v>
      </x:c>
      <x:c r="D17" s="84"/>
      <x:c r="E17" s="84"/>
      <x:c r="F17" s="84"/>
      <x:c r="G17" s="84"/>
      <x:c r="H17" s="84" t="str">
        <x:v>Webpage</x:v>
      </x:c>
      <x:c r="I17" s="84" t="n">
        <x:f>COUNTIF('SOURCE LOG'!B4:B63,"Webpage")</x:f>
        <x:v>0</x:v>
      </x:c>
      <x:c r="J17" s="84"/>
      <x:c r="K17" s="84"/>
      <x:c r="L17" s="84"/>
      <x:c r="M17" s="84"/>
      <x:c r="N17" s="84"/>
      <x:c r="O17" s="84"/>
      <x:c r="P17" s="84"/>
      <x:c r="Q17" s="84"/>
      <x:c r="R17" s="84"/>
      <x:c r="S17" s="84"/>
      <x:c r="T17" s="84"/>
      <x:c r="U17" s="84"/>
    </x:row>
    <x:row r="18">
      <x:c r="A18" s="84" t="str">
        <x:f>MILESTONES!A6</x:f>
        <x:v>Source log mostly complete</x:v>
      </x:c>
      <x:c r="B18" s="134" t="n">
        <x:f>MILESTONES!E6</x:f>
        <x:v>46310</x:v>
      </x:c>
      <x:c r="C18" s="84" t="str">
        <x:f>MILESTONES!F6</x:f>
        <x:v>Upcoming</x:v>
      </x:c>
      <x:c r="D18" s="84"/>
      <x:c r="E18" s="84"/>
      <x:c r="F18" s="84"/>
      <x:c r="G18" s="84"/>
      <x:c r="H18" s="84" t="str">
        <x:v>Report / Dataset</x:v>
      </x:c>
      <x:c r="I18" s="84" t="n">
        <x:f>COUNTIF('SOURCE LOG'!B4:B63,"Report")+COUNTIF('SOURCE LOG'!B4:B63,"Dataset")</x:f>
        <x:v>0</x:v>
      </x:c>
      <x:c r="J18" s="84"/>
      <x:c r="K18" s="84"/>
      <x:c r="L18" s="84"/>
      <x:c r="M18" s="84"/>
      <x:c r="N18" s="84"/>
      <x:c r="O18" s="84"/>
      <x:c r="P18" s="84"/>
      <x:c r="Q18" s="84"/>
      <x:c r="R18" s="84"/>
      <x:c r="S18" s="84"/>
      <x:c r="T18" s="84"/>
      <x:c r="U18" s="84"/>
    </x:row>
    <x:row r="19">
      <x:c r="A19" s="84" t="str">
        <x:f>MILESTONES!A7</x:f>
        <x:v>Evidence matrix populated</x:v>
      </x:c>
      <x:c r="B19" s="134" t="n">
        <x:f>MILESTONES!E7</x:f>
        <x:v>46313</x:v>
      </x:c>
      <x:c r="C19" s="84" t="str">
        <x:f>MILESTONES!F7</x:f>
        <x:v>Upcoming</x:v>
      </x:c>
      <x:c r="D19" s="84"/>
      <x:c r="E19" s="84"/>
      <x:c r="F19" s="84"/>
      <x:c r="G19" s="84"/>
      <x:c r="H19" s="84" t="str">
        <x:v>Primary / Interview</x:v>
      </x:c>
      <x:c r="I19" s="84" t="n">
        <x:f>COUNTIF('SOURCE LOG'!B4:B63,"Interview / Primary Source")</x:f>
        <x:v>0</x:v>
      </x:c>
      <x:c r="J19" s="84"/>
      <x:c r="K19" s="84"/>
      <x:c r="L19" s="84"/>
      <x:c r="M19" s="84"/>
      <x:c r="N19" s="84"/>
      <x:c r="O19" s="84"/>
      <x:c r="P19" s="84"/>
      <x:c r="Q19" s="84"/>
      <x:c r="R19" s="84"/>
      <x:c r="S19" s="84"/>
      <x:c r="T19" s="84"/>
      <x:c r="U19" s="84"/>
    </x:row>
    <x:row r="20">
      <x:c r="A20" s="84" t="str">
        <x:f>MILESTONES!A8</x:f>
        <x:v>Outline complete</x:v>
      </x:c>
      <x:c r="B20" s="134" t="n">
        <x:f>MILESTONES!E8</x:f>
        <x:v>46316</x:v>
      </x:c>
      <x:c r="C20" s="84" t="str">
        <x:f>MILESTONES!F8</x:f>
        <x:v>Upcoming</x:v>
      </x:c>
      <x:c r="D20" s="84"/>
      <x:c r="E20" s="84"/>
      <x:c r="F20" s="84"/>
      <x:c r="G20" s="84"/>
      <x:c r="H20" s="84"/>
      <x:c r="I20" s="84"/>
      <x:c r="J20" s="84"/>
      <x:c r="K20" s="84"/>
      <x:c r="L20" s="84"/>
      <x:c r="M20" s="84"/>
      <x:c r="N20" s="84"/>
      <x:c r="O20" s="84"/>
      <x:c r="P20" s="84"/>
      <x:c r="Q20" s="84"/>
      <x:c r="R20" s="84"/>
      <x:c r="S20" s="84"/>
      <x:c r="T20" s="84"/>
      <x:c r="U20" s="84"/>
    </x:row>
    <x:row r="21">
      <x:c r="A21" s="84" t="str">
        <x:f>MILESTONES!A9</x:f>
        <x:v>Full draft complete</x:v>
      </x:c>
      <x:c r="B21" s="134" t="n">
        <x:f>MILESTONES!E9</x:f>
        <x:v>46320</x:v>
      </x:c>
      <x:c r="C21" s="84" t="str">
        <x:f>MILESTONES!F9</x:f>
        <x:v>Upcoming</x:v>
      </x:c>
      <x:c r="D21" s="84"/>
      <x:c r="E21" s="84"/>
      <x:c r="F21" s="84"/>
      <x:c r="G21" s="84"/>
      <x:c r="H21" s="84"/>
      <x:c r="I21" s="84"/>
      <x:c r="J21" s="84"/>
      <x:c r="K21" s="84"/>
      <x:c r="L21" s="84"/>
      <x:c r="M21" s="84"/>
      <x:c r="N21" s="84"/>
      <x:c r="O21" s="84"/>
      <x:c r="P21" s="84"/>
      <x:c r="Q21" s="84"/>
      <x:c r="R21" s="84"/>
      <x:c r="S21" s="84"/>
      <x:c r="T21" s="84"/>
      <x:c r="U21" s="84"/>
    </x:row>
    <x:row r="22">
      <x:c r="A22" s="84" t="str">
        <x:f>MILESTONES!A10</x:f>
        <x:v>Peer/self review complete</x:v>
      </x:c>
      <x:c r="B22" s="134" t="n">
        <x:f>MILESTONES!E10</x:f>
        <x:v>46323</x:v>
      </x:c>
      <x:c r="C22" s="84" t="str">
        <x:f>MILESTONES!F10</x:f>
        <x:v>Upcoming</x:v>
      </x:c>
      <x:c r="D22" s="84"/>
      <x:c r="E22" s="84"/>
      <x:c r="F22" s="84"/>
      <x:c r="G22" s="84"/>
      <x:c r="H22" s="84"/>
      <x:c r="I22" s="84"/>
      <x:c r="J22" s="84"/>
      <x:c r="K22" s="84"/>
      <x:c r="L22" s="84"/>
      <x:c r="M22" s="84"/>
      <x:c r="N22" s="84"/>
      <x:c r="O22" s="84"/>
      <x:c r="P22" s="84"/>
      <x:c r="Q22" s="84"/>
      <x:c r="R22" s="84"/>
      <x:c r="S22" s="84"/>
      <x:c r="T22" s="84"/>
      <x:c r="U22" s="84"/>
    </x:row>
    <x:row r="23">
      <x:c r="A23" s="84" t="str">
        <x:f>MILESTONES!A11</x:f>
        <x:v>APA + final QA complete</x:v>
      </x:c>
      <x:c r="B23" s="134" t="n">
        <x:f>MILESTONES!E11</x:f>
        <x:v>46325</x:v>
      </x:c>
      <x:c r="C23" s="84" t="str">
        <x:f>MILESTONES!F11</x:f>
        <x:v>Upcoming</x:v>
      </x:c>
      <x:c r="D23" s="84"/>
      <x:c r="E23" s="84"/>
      <x:c r="F23" s="84"/>
      <x:c r="G23" s="84"/>
      <x:c r="H23" s="84"/>
      <x:c r="I23" s="84"/>
      <x:c r="J23" s="84"/>
      <x:c r="K23" s="84"/>
      <x:c r="L23" s="84"/>
      <x:c r="M23" s="84"/>
      <x:c r="N23" s="84"/>
      <x:c r="O23" s="84"/>
      <x:c r="P23" s="84"/>
      <x:c r="Q23" s="84"/>
      <x:c r="R23" s="84"/>
      <x:c r="S23" s="84"/>
      <x:c r="T23" s="84"/>
      <x:c r="U23" s="84"/>
    </x:row>
    <x:row r="24">
      <x:c r="A24" s="84" t="str">
        <x:f>MILESTONES!A12</x:f>
        <x:v>Submit</x:v>
      </x:c>
      <x:c r="B24" s="134" t="n">
        <x:f>MILESTONES!E12</x:f>
        <x:v>46326</x:v>
      </x:c>
      <x:c r="C24" s="84" t="str">
        <x:f>MILESTONES!F12</x:f>
        <x:v>Upcoming</x:v>
      </x:c>
      <x:c r="D24" s="84"/>
      <x:c r="E24" s="84"/>
      <x:c r="F24" s="84"/>
      <x:c r="G24" s="84"/>
      <x:c r="H24" s="84"/>
      <x:c r="I24" s="84"/>
      <x:c r="J24" s="84"/>
      <x:c r="K24" s="84"/>
      <x:c r="L24" s="84"/>
      <x:c r="M24" s="84"/>
      <x:c r="N24" s="84"/>
      <x:c r="O24" s="84"/>
      <x:c r="P24" s="84"/>
      <x:c r="Q24" s="84"/>
      <x:c r="R24" s="84"/>
      <x:c r="S24" s="84"/>
      <x:c r="T24" s="84"/>
      <x:c r="U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  <x:c r="K25" s="84"/>
      <x:c r="L25" s="84"/>
      <x:c r="M25" s="84"/>
      <x:c r="N25" s="84"/>
      <x:c r="O25" s="84"/>
      <x:c r="P25" s="84"/>
      <x:c r="Q25" s="84"/>
      <x:c r="R25" s="84"/>
      <x:c r="S25" s="84"/>
      <x:c r="T25" s="84"/>
      <x:c r="U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  <x:c r="K26" s="84"/>
      <x:c r="L26" s="84"/>
      <x:c r="M26" s="84"/>
      <x:c r="N26" s="84"/>
      <x:c r="O26" s="84"/>
      <x:c r="P26" s="84"/>
      <x:c r="Q26" s="84"/>
      <x:c r="R26" s="84"/>
      <x:c r="S26" s="84"/>
      <x:c r="T26" s="84"/>
      <x:c r="U26" s="84"/>
    </x:row>
    <x:row r="27">
      <x:c r="A27" s="84"/>
      <x:c r="B27" s="84"/>
      <x:c r="C27" s="84"/>
      <x:c r="D27" s="84"/>
      <x:c r="E27" s="84"/>
      <x:c r="F27" s="84"/>
      <x:c r="G27" s="84"/>
      <x:c r="H27" s="84"/>
      <x:c r="I27" s="84"/>
      <x:c r="J27" s="84"/>
      <x:c r="K27" s="84"/>
      <x:c r="L27" s="84"/>
      <x:c r="M27" s="84"/>
      <x:c r="N27" s="84"/>
      <x:c r="O27" s="84"/>
      <x:c r="P27" s="84"/>
      <x:c r="Q27" s="84"/>
      <x:c r="R27" s="84"/>
      <x:c r="S27" s="84"/>
      <x:c r="T27" s="84"/>
      <x:c r="U27" s="84"/>
    </x:row>
    <x:row r="28">
      <x:c r="A28" s="84"/>
      <x:c r="B28" s="84"/>
      <x:c r="C28" s="84"/>
      <x:c r="D28" s="84"/>
      <x:c r="E28" s="84"/>
      <x:c r="F28" s="84"/>
      <x:c r="G28" s="84"/>
      <x:c r="H28" s="84"/>
      <x:c r="I28" s="84"/>
      <x:c r="J28" s="84"/>
      <x:c r="K28" s="84"/>
      <x:c r="L28" s="84"/>
      <x:c r="M28" s="84"/>
      <x:c r="N28" s="84"/>
      <x:c r="O28" s="84"/>
      <x:c r="P28" s="84"/>
      <x:c r="Q28" s="84"/>
      <x:c r="R28" s="84"/>
      <x:c r="S28" s="84"/>
      <x:c r="T28" s="84"/>
      <x:c r="U28" s="84"/>
    </x:row>
    <x:row r="29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  <x:c r="K29" s="84"/>
      <x:c r="L29" s="84"/>
      <x:c r="M29" s="84"/>
      <x:c r="N29" s="84"/>
      <x:c r="O29" s="84"/>
      <x:c r="P29" s="84"/>
      <x:c r="Q29" s="84"/>
      <x:c r="R29" s="84"/>
      <x:c r="S29" s="84"/>
      <x:c r="T29" s="84"/>
      <x:c r="U29" s="84"/>
    </x:row>
    <x:row r="30">
      <x:c r="A30" s="84"/>
      <x:c r="B30" s="84"/>
      <x:c r="C30" s="84"/>
      <x:c r="D30" s="84"/>
      <x:c r="E30" s="84"/>
      <x:c r="F30" s="84"/>
      <x:c r="G30" s="84"/>
      <x:c r="H30" s="84"/>
      <x:c r="I30" s="84"/>
      <x:c r="J30" s="84"/>
      <x:c r="K30" s="84"/>
      <x:c r="L30" s="84"/>
      <x:c r="M30" s="84"/>
      <x:c r="N30" s="84"/>
      <x:c r="O30" s="84"/>
      <x:c r="P30" s="84"/>
      <x:c r="Q30" s="84"/>
      <x:c r="R30" s="84"/>
      <x:c r="S30" s="84"/>
      <x:c r="T30" s="84"/>
      <x:c r="U30" s="84"/>
    </x:row>
    <x:row r="31">
      <x:c r="A31" s="84"/>
      <x:c r="B31" s="84"/>
      <x:c r="C31" s="84"/>
      <x:c r="D31" s="84"/>
      <x:c r="E31" s="84"/>
      <x:c r="F31" s="84"/>
      <x:c r="G31" s="84"/>
      <x:c r="H31" s="84"/>
      <x:c r="I31" s="84"/>
      <x:c r="J31" s="84"/>
      <x:c r="K31" s="84"/>
      <x:c r="L31" s="84"/>
      <x:c r="M31" s="84"/>
      <x:c r="N31" s="84"/>
      <x:c r="O31" s="84"/>
      <x:c r="P31" s="84"/>
      <x:c r="Q31" s="84"/>
      <x:c r="R31" s="84"/>
      <x:c r="S31" s="84"/>
      <x:c r="T31" s="84"/>
      <x:c r="U31" s="84"/>
    </x:row>
    <x:row r="32">
      <x:c r="A32" s="84"/>
      <x:c r="B32" s="84"/>
      <x:c r="C32" s="84"/>
      <x:c r="D32" s="84"/>
      <x:c r="E32" s="84"/>
      <x:c r="F32" s="84"/>
      <x:c r="G32" s="84"/>
      <x:c r="H32" s="84"/>
      <x:c r="I32" s="84"/>
      <x:c r="J32" s="84"/>
      <x:c r="K32" s="84"/>
      <x:c r="L32" s="84"/>
      <x:c r="M32" s="84"/>
      <x:c r="N32" s="84"/>
      <x:c r="O32" s="84"/>
      <x:c r="P32" s="84"/>
      <x:c r="Q32" s="84"/>
      <x:c r="R32" s="84"/>
      <x:c r="S32" s="84"/>
      <x:c r="T32" s="84"/>
      <x:c r="U32" s="84"/>
    </x:row>
    <x:row r="33">
      <x:c r="A33" s="84"/>
      <x:c r="B33" s="84"/>
      <x:c r="C33" s="84"/>
      <x:c r="D33" s="84"/>
      <x:c r="E33" s="84"/>
      <x:c r="F33" s="84"/>
      <x:c r="G33" s="84"/>
      <x:c r="H33" s="84"/>
      <x:c r="I33" s="84"/>
      <x:c r="J33" s="84"/>
      <x:c r="K33" s="84"/>
      <x:c r="L33" s="84"/>
      <x:c r="M33" s="84"/>
      <x:c r="N33" s="84"/>
      <x:c r="O33" s="84"/>
      <x:c r="P33" s="84"/>
      <x:c r="Q33" s="84"/>
      <x:c r="R33" s="84"/>
      <x:c r="S33" s="84"/>
      <x:c r="T33" s="84"/>
      <x:c r="U33" s="84"/>
    </x:row>
    <x:row r="34">
      <x:c r="A34" s="84"/>
      <x:c r="B34" s="84"/>
      <x:c r="C34" s="84"/>
      <x:c r="D34" s="84"/>
      <x:c r="E34" s="84"/>
      <x:c r="F34" s="84"/>
      <x:c r="G34" s="84"/>
      <x:c r="H34" s="84"/>
      <x:c r="I34" s="84"/>
      <x:c r="J34" s="84"/>
      <x:c r="K34" s="84"/>
      <x:c r="L34" s="84"/>
      <x:c r="M34" s="84"/>
      <x:c r="N34" s="84"/>
      <x:c r="O34" s="84"/>
      <x:c r="P34" s="84"/>
      <x:c r="Q34" s="84"/>
      <x:c r="R34" s="84"/>
      <x:c r="S34" s="84"/>
      <x:c r="T34" s="84"/>
      <x:c r="U34" s="84"/>
    </x:row>
    <x:row r="35">
      <x:c r="A35" s="84"/>
      <x:c r="B35" s="84"/>
      <x:c r="C35" s="84"/>
      <x:c r="D35" s="84"/>
      <x:c r="E35" s="84"/>
      <x:c r="F35" s="84"/>
      <x:c r="G35" s="84"/>
      <x:c r="H35" s="84"/>
      <x:c r="I35" s="84"/>
      <x:c r="J35" s="84"/>
      <x:c r="K35" s="84"/>
      <x:c r="L35" s="84"/>
      <x:c r="M35" s="84"/>
      <x:c r="N35" s="84"/>
      <x:c r="O35" s="84"/>
      <x:c r="P35" s="84"/>
      <x:c r="Q35" s="84"/>
      <x:c r="R35" s="84"/>
      <x:c r="S35" s="84"/>
      <x:c r="T35" s="84"/>
      <x:c r="U35" s="84"/>
    </x:row>
    <x:row r="36">
      <x:c r="A36" s="84"/>
      <x:c r="B36" s="84"/>
      <x:c r="C36" s="84"/>
      <x:c r="D36" s="84"/>
      <x:c r="E36" s="84"/>
      <x:c r="F36" s="84"/>
      <x:c r="G36" s="84"/>
      <x:c r="H36" s="84"/>
      <x:c r="I36" s="84"/>
      <x:c r="J36" s="84"/>
      <x:c r="K36" s="84"/>
      <x:c r="L36" s="84"/>
      <x:c r="M36" s="84"/>
      <x:c r="N36" s="84"/>
      <x:c r="O36" s="84"/>
      <x:c r="P36" s="84"/>
      <x:c r="Q36" s="84"/>
      <x:c r="R36" s="84"/>
      <x:c r="S36" s="84"/>
      <x:c r="T36" s="84"/>
      <x:c r="U36" s="84"/>
    </x:row>
    <x:row r="37">
      <x:c r="A37" s="84"/>
      <x:c r="B37" s="84"/>
      <x:c r="C37" s="84"/>
      <x:c r="D37" s="84"/>
      <x:c r="E37" s="84"/>
      <x:c r="F37" s="84"/>
      <x:c r="G37" s="84"/>
      <x:c r="H37" s="84"/>
      <x:c r="I37" s="84"/>
      <x:c r="J37" s="84"/>
      <x:c r="K37" s="84"/>
      <x:c r="L37" s="84"/>
      <x:c r="M37" s="84"/>
      <x:c r="N37" s="84"/>
      <x:c r="O37" s="84"/>
      <x:c r="P37" s="84"/>
      <x:c r="Q37" s="84"/>
      <x:c r="R37" s="84"/>
      <x:c r="S37" s="84"/>
      <x:c r="T37" s="84"/>
      <x:c r="U37" s="84"/>
    </x:row>
    <x:row r="38">
      <x:c r="A38" s="84"/>
      <x:c r="B38" s="84"/>
      <x:c r="C38" s="84"/>
      <x:c r="D38" s="84"/>
      <x:c r="E38" s="84"/>
      <x:c r="F38" s="84"/>
      <x:c r="G38" s="84"/>
      <x:c r="H38" s="84"/>
      <x:c r="I38" s="84"/>
      <x:c r="J38" s="84"/>
      <x:c r="K38" s="84"/>
      <x:c r="L38" s="84"/>
      <x:c r="M38" s="84"/>
      <x:c r="N38" s="84"/>
      <x:c r="O38" s="84"/>
      <x:c r="P38" s="84"/>
      <x:c r="Q38" s="84"/>
      <x:c r="R38" s="84"/>
      <x:c r="S38" s="84"/>
      <x:c r="T38" s="84"/>
      <x:c r="U38" s="84"/>
    </x:row>
    <x:row r="39">
      <x:c r="A39" s="84"/>
      <x:c r="B39" s="84"/>
      <x:c r="C39" s="84"/>
      <x:c r="D39" s="84"/>
      <x:c r="E39" s="84"/>
      <x:c r="F39" s="84"/>
      <x:c r="G39" s="84"/>
      <x:c r="H39" s="84"/>
      <x:c r="I39" s="84"/>
      <x:c r="J39" s="84"/>
      <x:c r="K39" s="84"/>
      <x:c r="L39" s="84"/>
      <x:c r="M39" s="84"/>
      <x:c r="N39" s="84"/>
      <x:c r="O39" s="84"/>
      <x:c r="P39" s="84"/>
      <x:c r="Q39" s="84"/>
      <x:c r="R39" s="84"/>
      <x:c r="S39" s="84"/>
      <x:c r="T39" s="84"/>
      <x:c r="U39" s="84"/>
    </x:row>
    <x:row r="40">
      <x:c r="A40" s="84"/>
      <x:c r="B40" s="84"/>
      <x:c r="C40" s="84"/>
      <x:c r="D40" s="84"/>
      <x:c r="E40" s="84"/>
      <x:c r="F40" s="84"/>
      <x:c r="G40" s="84"/>
      <x:c r="H40" s="84"/>
      <x:c r="I40" s="84"/>
      <x:c r="J40" s="84"/>
      <x:c r="K40" s="84"/>
      <x:c r="L40" s="84"/>
      <x:c r="M40" s="84"/>
      <x:c r="N40" s="84"/>
      <x:c r="O40" s="84"/>
      <x:c r="P40" s="84"/>
      <x:c r="Q40" s="84"/>
      <x:c r="R40" s="84"/>
      <x:c r="S40" s="84"/>
      <x:c r="T40" s="84"/>
      <x:c r="U40" s="84"/>
    </x:row>
    <x:row r="41">
      <x:c r="A41" s="84"/>
      <x:c r="B41" s="84"/>
      <x:c r="C41" s="84"/>
      <x:c r="D41" s="84"/>
      <x:c r="E41" s="84"/>
      <x:c r="F41" s="84"/>
      <x:c r="G41" s="84"/>
      <x:c r="H41" s="84"/>
      <x:c r="I41" s="84"/>
      <x:c r="J41" s="84"/>
      <x:c r="K41" s="84"/>
      <x:c r="L41" s="84"/>
      <x:c r="M41" s="84"/>
      <x:c r="N41" s="84"/>
      <x:c r="O41" s="84"/>
      <x:c r="P41" s="84"/>
      <x:c r="Q41" s="84"/>
      <x:c r="R41" s="84"/>
      <x:c r="S41" s="84"/>
      <x:c r="T41" s="84"/>
      <x:c r="U41" s="84"/>
    </x:row>
    <x:row r="42">
      <x:c r="A42" s="84"/>
      <x:c r="B42" s="84"/>
      <x:c r="C42" s="84"/>
      <x:c r="D42" s="84"/>
      <x:c r="E42" s="84"/>
      <x:c r="F42" s="84"/>
      <x:c r="G42" s="84"/>
      <x:c r="H42" s="84"/>
      <x:c r="I42" s="84"/>
      <x:c r="J42" s="84"/>
      <x:c r="K42" s="84"/>
      <x:c r="L42" s="84"/>
      <x:c r="M42" s="84"/>
      <x:c r="N42" s="84"/>
      <x:c r="O42" s="84"/>
      <x:c r="P42" s="84"/>
      <x:c r="Q42" s="84"/>
      <x:c r="R42" s="84"/>
      <x:c r="S42" s="84"/>
      <x:c r="T42" s="84"/>
      <x:c r="U42" s="84"/>
    </x:row>
    <x:row r="43">
      <x:c r="A43" s="84"/>
      <x:c r="B43" s="84"/>
      <x:c r="C43" s="84"/>
      <x:c r="D43" s="84"/>
      <x:c r="E43" s="84"/>
      <x:c r="F43" s="84"/>
      <x:c r="G43" s="84"/>
      <x:c r="H43" s="84"/>
      <x:c r="I43" s="84"/>
      <x:c r="J43" s="84"/>
      <x:c r="K43" s="84"/>
      <x:c r="L43" s="84"/>
      <x:c r="M43" s="84"/>
      <x:c r="N43" s="84"/>
      <x:c r="O43" s="84"/>
      <x:c r="P43" s="84"/>
      <x:c r="Q43" s="84"/>
      <x:c r="R43" s="84"/>
      <x:c r="S43" s="84"/>
      <x:c r="T43" s="84"/>
      <x:c r="U43" s="84"/>
    </x:row>
    <x:row r="44">
      <x:c r="A44" s="84"/>
      <x:c r="B44" s="84"/>
      <x:c r="C44" s="84"/>
      <x:c r="D44" s="84"/>
      <x:c r="E44" s="84"/>
      <x:c r="F44" s="84"/>
      <x:c r="G44" s="84"/>
      <x:c r="H44" s="84"/>
      <x:c r="I44" s="84"/>
      <x:c r="J44" s="84"/>
      <x:c r="K44" s="84"/>
      <x:c r="L44" s="84"/>
      <x:c r="M44" s="84"/>
      <x:c r="N44" s="84"/>
      <x:c r="O44" s="84"/>
      <x:c r="P44" s="84"/>
      <x:c r="Q44" s="84"/>
      <x:c r="R44" s="84"/>
      <x:c r="S44" s="84"/>
      <x:c r="T44" s="84"/>
      <x:c r="U44" s="84"/>
    </x:row>
    <x:row r="45">
      <x:c r="A45" s="84"/>
      <x:c r="B45" s="84"/>
      <x:c r="C45" s="84"/>
      <x:c r="D45" s="84"/>
      <x:c r="E45" s="84"/>
      <x:c r="F45" s="84"/>
      <x:c r="G45" s="84"/>
      <x:c r="H45" s="84"/>
      <x:c r="I45" s="84"/>
      <x:c r="J45" s="84"/>
      <x:c r="K45" s="84"/>
      <x:c r="L45" s="84"/>
      <x:c r="M45" s="84"/>
      <x:c r="N45" s="84"/>
      <x:c r="O45" s="84"/>
      <x:c r="P45" s="84"/>
      <x:c r="Q45" s="84"/>
      <x:c r="R45" s="84"/>
      <x:c r="S45" s="84"/>
      <x:c r="T45" s="84"/>
      <x:c r="U45" s="84"/>
    </x:row>
    <x:row r="46">
      <x:c r="A46" s="84"/>
      <x:c r="B46" s="84"/>
      <x:c r="C46" s="84"/>
      <x:c r="D46" s="84"/>
      <x:c r="E46" s="84"/>
      <x:c r="F46" s="84"/>
      <x:c r="G46" s="84"/>
      <x:c r="H46" s="84"/>
      <x:c r="I46" s="84"/>
      <x:c r="J46" s="84"/>
      <x:c r="K46" s="84"/>
      <x:c r="L46" s="84"/>
      <x:c r="M46" s="84"/>
      <x:c r="N46" s="84"/>
      <x:c r="O46" s="84"/>
      <x:c r="P46" s="84"/>
      <x:c r="Q46" s="84"/>
      <x:c r="R46" s="84"/>
      <x:c r="S46" s="84"/>
      <x:c r="T46" s="84"/>
      <x:c r="U46" s="84"/>
    </x:row>
    <x:row r="47">
      <x:c r="A47" s="84"/>
      <x:c r="B47" s="84"/>
      <x:c r="C47" s="84"/>
      <x:c r="D47" s="84"/>
      <x:c r="E47" s="84"/>
      <x:c r="F47" s="84"/>
      <x:c r="G47" s="84"/>
      <x:c r="H47" s="84"/>
      <x:c r="I47" s="84"/>
      <x:c r="J47" s="84"/>
      <x:c r="K47" s="84"/>
      <x:c r="L47" s="84"/>
      <x:c r="M47" s="84"/>
      <x:c r="N47" s="84"/>
      <x:c r="O47" s="84"/>
      <x:c r="P47" s="84"/>
      <x:c r="Q47" s="84"/>
      <x:c r="R47" s="84"/>
      <x:c r="S47" s="84"/>
      <x:c r="T47" s="84"/>
      <x:c r="U47" s="84"/>
    </x:row>
    <x:row r="48">
      <x:c r="A48" s="84"/>
      <x:c r="B48" s="84"/>
      <x:c r="C48" s="84"/>
      <x:c r="D48" s="84"/>
      <x:c r="E48" s="84"/>
      <x:c r="F48" s="84"/>
      <x:c r="G48" s="84"/>
      <x:c r="H48" s="84"/>
      <x:c r="I48" s="84"/>
      <x:c r="J48" s="84"/>
      <x:c r="K48" s="84"/>
      <x:c r="L48" s="84"/>
      <x:c r="M48" s="84"/>
      <x:c r="N48" s="84"/>
      <x:c r="O48" s="84"/>
      <x:c r="P48" s="84"/>
      <x:c r="Q48" s="84"/>
      <x:c r="R48" s="84"/>
      <x:c r="S48" s="84"/>
      <x:c r="T48" s="84"/>
      <x:c r="U48" s="84"/>
    </x:row>
    <x:row r="49">
      <x:c r="A49" s="84"/>
      <x:c r="B49" s="84"/>
      <x:c r="C49" s="84"/>
      <x:c r="D49" s="84"/>
      <x:c r="E49" s="84"/>
      <x:c r="F49" s="84"/>
      <x:c r="G49" s="84"/>
      <x:c r="H49" s="84"/>
      <x:c r="I49" s="84"/>
      <x:c r="J49" s="84"/>
      <x:c r="K49" s="84"/>
      <x:c r="L49" s="84"/>
      <x:c r="M49" s="84"/>
      <x:c r="N49" s="84"/>
      <x:c r="O49" s="84"/>
      <x:c r="P49" s="84"/>
      <x:c r="Q49" s="84"/>
      <x:c r="R49" s="84"/>
      <x:c r="S49" s="84"/>
      <x:c r="T49" s="84"/>
      <x:c r="U49" s="84"/>
    </x:row>
    <x:row r="50">
      <x:c r="A50" s="84"/>
      <x:c r="B50" s="84"/>
      <x:c r="C50" s="84"/>
      <x:c r="D50" s="84"/>
      <x:c r="E50" s="84"/>
      <x:c r="F50" s="84"/>
      <x:c r="G50" s="84"/>
      <x:c r="H50" s="84"/>
      <x:c r="I50" s="84"/>
      <x:c r="J50" s="84"/>
      <x:c r="K50" s="84"/>
      <x:c r="L50" s="84"/>
      <x:c r="M50" s="84"/>
      <x:c r="N50" s="84"/>
      <x:c r="O50" s="84"/>
      <x:c r="P50" s="84"/>
      <x:c r="Q50" s="84"/>
      <x:c r="R50" s="84"/>
      <x:c r="S50" s="84"/>
      <x:c r="T50" s="84"/>
      <x:c r="U50" s="84"/>
    </x:row>
    <x:row r="51">
      <x:c r="A51" s="84"/>
      <x:c r="B51" s="84"/>
      <x:c r="C51" s="84"/>
      <x:c r="D51" s="84"/>
      <x:c r="E51" s="84"/>
      <x:c r="F51" s="84"/>
      <x:c r="G51" s="84"/>
      <x:c r="H51" s="84"/>
      <x:c r="I51" s="84"/>
      <x:c r="J51" s="84"/>
      <x:c r="K51" s="84"/>
      <x:c r="L51" s="84"/>
      <x:c r="M51" s="84"/>
      <x:c r="N51" s="84"/>
      <x:c r="O51" s="84"/>
      <x:c r="P51" s="84"/>
      <x:c r="Q51" s="84"/>
      <x:c r="R51" s="84"/>
      <x:c r="S51" s="84"/>
      <x:c r="T51" s="84"/>
      <x:c r="U51" s="84"/>
    </x:row>
    <x:row r="52">
      <x:c r="A52" s="84"/>
      <x:c r="B52" s="84"/>
      <x:c r="C52" s="84"/>
      <x:c r="D52" s="84"/>
      <x:c r="E52" s="84"/>
      <x:c r="F52" s="84"/>
      <x:c r="G52" s="84"/>
      <x:c r="H52" s="84"/>
      <x:c r="I52" s="84"/>
      <x:c r="J52" s="84"/>
      <x:c r="K52" s="84"/>
      <x:c r="L52" s="84"/>
      <x:c r="M52" s="84"/>
      <x:c r="N52" s="84"/>
      <x:c r="O52" s="84"/>
      <x:c r="P52" s="84"/>
      <x:c r="Q52" s="84"/>
      <x:c r="R52" s="84"/>
      <x:c r="S52" s="84"/>
      <x:c r="T52" s="84"/>
      <x:c r="U52" s="84"/>
    </x:row>
    <x:row r="53">
      <x:c r="A53" s="84"/>
      <x:c r="B53" s="84"/>
      <x:c r="C53" s="84"/>
      <x:c r="D53" s="84"/>
      <x:c r="E53" s="84"/>
      <x:c r="F53" s="84"/>
      <x:c r="G53" s="84"/>
      <x:c r="H53" s="84"/>
      <x:c r="I53" s="84"/>
      <x:c r="J53" s="84"/>
      <x:c r="K53" s="84"/>
      <x:c r="L53" s="84"/>
      <x:c r="M53" s="84"/>
      <x:c r="N53" s="84"/>
      <x:c r="O53" s="84"/>
      <x:c r="P53" s="84"/>
      <x:c r="Q53" s="84"/>
      <x:c r="R53" s="84"/>
      <x:c r="S53" s="84"/>
      <x:c r="T53" s="84"/>
      <x:c r="U53" s="84"/>
    </x:row>
    <x:row r="54">
      <x:c r="A54" s="84"/>
      <x:c r="B54" s="84"/>
      <x:c r="C54" s="84"/>
      <x:c r="D54" s="84"/>
      <x:c r="E54" s="84"/>
      <x:c r="F54" s="84"/>
      <x:c r="G54" s="84"/>
      <x:c r="H54" s="84"/>
      <x:c r="I54" s="84"/>
      <x:c r="J54" s="84"/>
      <x:c r="K54" s="84"/>
      <x:c r="L54" s="84"/>
      <x:c r="M54" s="84"/>
      <x:c r="N54" s="84"/>
      <x:c r="O54" s="84"/>
      <x:c r="P54" s="84"/>
      <x:c r="Q54" s="84"/>
      <x:c r="R54" s="84"/>
      <x:c r="S54" s="84"/>
      <x:c r="T54" s="84"/>
      <x:c r="U54" s="84"/>
    </x:row>
    <x:row r="55">
      <x:c r="A55" s="84"/>
      <x:c r="B55" s="84"/>
      <x:c r="C55" s="84"/>
      <x:c r="D55" s="84"/>
      <x:c r="E55" s="84"/>
      <x:c r="F55" s="84"/>
      <x:c r="G55" s="84"/>
      <x:c r="H55" s="84"/>
      <x:c r="I55" s="84"/>
      <x:c r="J55" s="84"/>
      <x:c r="K55" s="84"/>
      <x:c r="L55" s="84"/>
      <x:c r="M55" s="84"/>
      <x:c r="N55" s="84"/>
      <x:c r="O55" s="84"/>
      <x:c r="P55" s="84"/>
      <x:c r="Q55" s="84"/>
      <x:c r="R55" s="84"/>
      <x:c r="S55" s="84"/>
      <x:c r="T55" s="84"/>
      <x:c r="U55" s="84"/>
    </x:row>
    <x:row r="56">
      <x:c r="A56" s="84"/>
      <x:c r="B56" s="84"/>
      <x:c r="C56" s="84"/>
      <x:c r="D56" s="84"/>
      <x:c r="E56" s="84"/>
      <x:c r="F56" s="84"/>
      <x:c r="G56" s="84"/>
      <x:c r="H56" s="84"/>
      <x:c r="I56" s="84"/>
      <x:c r="J56" s="84"/>
      <x:c r="K56" s="84"/>
      <x:c r="L56" s="84"/>
      <x:c r="M56" s="84"/>
      <x:c r="N56" s="84"/>
      <x:c r="O56" s="84"/>
      <x:c r="P56" s="84"/>
      <x:c r="Q56" s="84"/>
      <x:c r="R56" s="84"/>
      <x:c r="S56" s="84"/>
      <x:c r="T56" s="84"/>
      <x:c r="U56" s="84"/>
    </x:row>
    <x:row r="57">
      <x:c r="A57" s="84"/>
      <x:c r="B57" s="84"/>
      <x:c r="C57" s="84"/>
      <x:c r="D57" s="84"/>
      <x:c r="E57" s="84"/>
      <x:c r="F57" s="84"/>
      <x:c r="G57" s="84"/>
      <x:c r="H57" s="84"/>
      <x:c r="I57" s="84"/>
      <x:c r="J57" s="84"/>
      <x:c r="K57" s="84"/>
      <x:c r="L57" s="84"/>
      <x:c r="M57" s="84"/>
      <x:c r="N57" s="84"/>
      <x:c r="O57" s="84"/>
      <x:c r="P57" s="84"/>
      <x:c r="Q57" s="84"/>
      <x:c r="R57" s="84"/>
      <x:c r="S57" s="84"/>
      <x:c r="T57" s="84"/>
      <x:c r="U57" s="84"/>
    </x:row>
    <x:row r="58">
      <x:c r="A58" s="84"/>
      <x:c r="B58" s="84"/>
      <x:c r="C58" s="84"/>
      <x:c r="D58" s="84"/>
      <x:c r="E58" s="84"/>
      <x:c r="F58" s="84"/>
      <x:c r="G58" s="84"/>
      <x:c r="H58" s="84"/>
      <x:c r="I58" s="84"/>
      <x:c r="J58" s="84"/>
      <x:c r="K58" s="84"/>
      <x:c r="L58" s="84"/>
      <x:c r="M58" s="84"/>
      <x:c r="N58" s="84"/>
      <x:c r="O58" s="84"/>
      <x:c r="P58" s="84"/>
      <x:c r="Q58" s="84"/>
      <x:c r="R58" s="84"/>
      <x:c r="S58" s="84"/>
      <x:c r="T58" s="84"/>
      <x:c r="U58" s="84"/>
    </x:row>
    <x:row r="59">
      <x:c r="A59" s="84"/>
      <x:c r="B59" s="84"/>
      <x:c r="C59" s="84"/>
      <x:c r="D59" s="84"/>
      <x:c r="E59" s="84"/>
      <x:c r="F59" s="84"/>
      <x:c r="G59" s="84"/>
      <x:c r="H59" s="84"/>
      <x:c r="I59" s="84"/>
      <x:c r="J59" s="84"/>
      <x:c r="K59" s="84"/>
      <x:c r="L59" s="84"/>
      <x:c r="M59" s="84"/>
      <x:c r="N59" s="84"/>
      <x:c r="O59" s="84"/>
      <x:c r="P59" s="84"/>
      <x:c r="Q59" s="84"/>
      <x:c r="R59" s="84"/>
      <x:c r="S59" s="84"/>
      <x:c r="T59" s="84"/>
      <x:c r="U59" s="84"/>
    </x:row>
    <x:row r="60">
      <x:c r="A60" s="84"/>
      <x:c r="B60" s="84"/>
      <x:c r="C60" s="84"/>
      <x:c r="D60" s="84"/>
      <x:c r="E60" s="84"/>
      <x:c r="F60" s="84"/>
      <x:c r="G60" s="84"/>
      <x:c r="H60" s="84"/>
      <x:c r="I60" s="84"/>
      <x:c r="J60" s="84"/>
      <x:c r="K60" s="84"/>
      <x:c r="L60" s="84"/>
      <x:c r="M60" s="84"/>
      <x:c r="N60" s="84"/>
      <x:c r="O60" s="84"/>
      <x:c r="P60" s="84"/>
      <x:c r="Q60" s="84"/>
      <x:c r="R60" s="84"/>
      <x:c r="S60" s="84"/>
      <x:c r="T60" s="84"/>
      <x:c r="U60" s="84"/>
    </x:row>
    <x:row r="61">
      <x:c r="A61" s="84"/>
      <x:c r="B61" s="84"/>
      <x:c r="C61" s="84"/>
      <x:c r="D61" s="84"/>
      <x:c r="E61" s="84"/>
      <x:c r="F61" s="84"/>
      <x:c r="G61" s="84"/>
      <x:c r="H61" s="84"/>
      <x:c r="I61" s="84"/>
      <x:c r="J61" s="84"/>
      <x:c r="K61" s="84"/>
      <x:c r="L61" s="84"/>
      <x:c r="M61" s="84"/>
      <x:c r="N61" s="84"/>
      <x:c r="O61" s="84"/>
      <x:c r="P61" s="84"/>
      <x:c r="Q61" s="84"/>
      <x:c r="R61" s="84"/>
      <x:c r="S61" s="84"/>
      <x:c r="T61" s="84"/>
      <x:c r="U61" s="84"/>
    </x:row>
    <x:row r="62">
      <x:c r="A62" s="84"/>
      <x:c r="B62" s="84"/>
      <x:c r="C62" s="84"/>
      <x:c r="D62" s="84"/>
      <x:c r="E62" s="84"/>
      <x:c r="F62" s="84"/>
      <x:c r="G62" s="84"/>
      <x:c r="H62" s="84"/>
      <x:c r="I62" s="84"/>
      <x:c r="J62" s="84"/>
      <x:c r="K62" s="84"/>
      <x:c r="L62" s="84"/>
      <x:c r="M62" s="84"/>
      <x:c r="N62" s="84"/>
      <x:c r="O62" s="84"/>
      <x:c r="P62" s="84"/>
      <x:c r="Q62" s="84"/>
      <x:c r="R62" s="84"/>
      <x:c r="S62" s="84"/>
      <x:c r="T62" s="84"/>
      <x:c r="U62" s="84"/>
    </x:row>
    <x:row r="63">
      <x:c r="A63" s="84"/>
      <x:c r="B63" s="84"/>
      <x:c r="C63" s="84"/>
      <x:c r="D63" s="84"/>
      <x:c r="E63" s="84"/>
      <x:c r="F63" s="84"/>
      <x:c r="G63" s="84"/>
      <x:c r="H63" s="84"/>
      <x:c r="I63" s="84"/>
      <x:c r="J63" s="84"/>
      <x:c r="K63" s="84"/>
      <x:c r="L63" s="84"/>
      <x:c r="M63" s="84"/>
      <x:c r="N63" s="84"/>
      <x:c r="O63" s="84"/>
      <x:c r="P63" s="84"/>
      <x:c r="Q63" s="84"/>
      <x:c r="R63" s="84"/>
      <x:c r="S63" s="84"/>
      <x:c r="T63" s="84"/>
      <x:c r="U63" s="84"/>
    </x:row>
    <x:row r="64">
      <x:c r="A64" s="84"/>
      <x:c r="B64" s="84"/>
      <x:c r="C64" s="84"/>
      <x:c r="D64" s="84"/>
      <x:c r="E64" s="84"/>
      <x:c r="F64" s="84"/>
      <x:c r="G64" s="84"/>
      <x:c r="H64" s="84"/>
      <x:c r="I64" s="84"/>
      <x:c r="J64" s="84"/>
      <x:c r="K64" s="84"/>
      <x:c r="L64" s="84"/>
      <x:c r="M64" s="84"/>
      <x:c r="N64" s="84"/>
      <x:c r="O64" s="84"/>
      <x:c r="P64" s="84"/>
      <x:c r="Q64" s="84"/>
      <x:c r="R64" s="84"/>
      <x:c r="S64" s="84"/>
      <x:c r="T64" s="84"/>
      <x:c r="U64" s="84"/>
    </x:row>
    <x:row r="65">
      <x:c r="A65" s="84"/>
      <x:c r="B65" s="84"/>
      <x:c r="C65" s="84"/>
      <x:c r="D65" s="84"/>
      <x:c r="E65" s="84"/>
      <x:c r="F65" s="84"/>
      <x:c r="G65" s="84"/>
      <x:c r="H65" s="84"/>
      <x:c r="I65" s="84"/>
      <x:c r="J65" s="84"/>
      <x:c r="K65" s="84"/>
      <x:c r="L65" s="84"/>
      <x:c r="M65" s="84"/>
      <x:c r="N65" s="84"/>
      <x:c r="O65" s="84"/>
      <x:c r="P65" s="84"/>
      <x:c r="Q65" s="84"/>
      <x:c r="R65" s="84"/>
      <x:c r="S65" s="84"/>
      <x:c r="T65" s="84"/>
      <x:c r="U65" s="84"/>
    </x:row>
    <x:row r="66">
      <x:c r="A66" s="84"/>
      <x:c r="B66" s="84"/>
      <x:c r="C66" s="84"/>
      <x:c r="D66" s="84"/>
      <x:c r="E66" s="84"/>
      <x:c r="F66" s="84"/>
      <x:c r="G66" s="84"/>
      <x:c r="H66" s="84"/>
      <x:c r="I66" s="84"/>
      <x:c r="J66" s="84"/>
      <x:c r="K66" s="84"/>
      <x:c r="L66" s="84"/>
      <x:c r="M66" s="84"/>
      <x:c r="N66" s="84"/>
      <x:c r="O66" s="84"/>
      <x:c r="P66" s="84"/>
      <x:c r="Q66" s="84"/>
      <x:c r="R66" s="84"/>
      <x:c r="S66" s="84"/>
      <x:c r="T66" s="84"/>
      <x:c r="U66" s="84"/>
    </x:row>
    <x:row r="67">
      <x:c r="A67" s="84"/>
      <x:c r="B67" s="84"/>
      <x:c r="C67" s="84"/>
      <x:c r="D67" s="84"/>
      <x:c r="E67" s="84"/>
      <x:c r="F67" s="84"/>
      <x:c r="G67" s="84"/>
      <x:c r="H67" s="84"/>
      <x:c r="I67" s="84"/>
      <x:c r="J67" s="84"/>
      <x:c r="K67" s="84"/>
      <x:c r="L67" s="84"/>
      <x:c r="M67" s="84"/>
      <x:c r="N67" s="84"/>
      <x:c r="O67" s="84"/>
      <x:c r="P67" s="84"/>
      <x:c r="Q67" s="84"/>
      <x:c r="R67" s="84"/>
      <x:c r="S67" s="84"/>
      <x:c r="T67" s="84"/>
      <x:c r="U67" s="84"/>
    </x:row>
    <x:row r="68">
      <x:c r="A68" s="84"/>
      <x:c r="B68" s="84"/>
      <x:c r="C68" s="84"/>
      <x:c r="D68" s="84"/>
      <x:c r="E68" s="84"/>
      <x:c r="F68" s="84"/>
      <x:c r="G68" s="84"/>
      <x:c r="H68" s="84"/>
      <x:c r="I68" s="84"/>
      <x:c r="J68" s="84"/>
      <x:c r="K68" s="84"/>
      <x:c r="L68" s="84"/>
      <x:c r="M68" s="84"/>
      <x:c r="N68" s="84"/>
      <x:c r="O68" s="84"/>
      <x:c r="P68" s="84"/>
      <x:c r="Q68" s="84"/>
      <x:c r="R68" s="84"/>
      <x:c r="S68" s="84"/>
      <x:c r="T68" s="84"/>
      <x:c r="U68" s="84"/>
    </x:row>
    <x:row r="69">
      <x:c r="A69" s="84"/>
      <x:c r="B69" s="84"/>
      <x:c r="C69" s="84"/>
      <x:c r="D69" s="84"/>
      <x:c r="E69" s="84"/>
      <x:c r="F69" s="84"/>
      <x:c r="G69" s="84"/>
      <x:c r="H69" s="84"/>
      <x:c r="I69" s="84"/>
      <x:c r="J69" s="84"/>
      <x:c r="K69" s="84"/>
      <x:c r="L69" s="84"/>
      <x:c r="M69" s="84"/>
      <x:c r="N69" s="84"/>
      <x:c r="O69" s="84"/>
      <x:c r="P69" s="84"/>
      <x:c r="Q69" s="84"/>
      <x:c r="R69" s="84"/>
      <x:c r="S69" s="84"/>
      <x:c r="T69" s="84"/>
      <x:c r="U69" s="84"/>
    </x:row>
    <x:row r="70">
      <x:c r="A70" s="84"/>
      <x:c r="B70" s="84"/>
      <x:c r="C70" s="84"/>
      <x:c r="D70" s="84"/>
      <x:c r="E70" s="84"/>
      <x:c r="F70" s="84"/>
      <x:c r="G70" s="84"/>
      <x:c r="H70" s="84"/>
      <x:c r="I70" s="84"/>
      <x:c r="J70" s="84"/>
      <x:c r="K70" s="84"/>
      <x:c r="L70" s="84"/>
      <x:c r="M70" s="84"/>
      <x:c r="N70" s="84"/>
      <x:c r="O70" s="84"/>
      <x:c r="P70" s="84"/>
      <x:c r="Q70" s="84"/>
      <x:c r="R70" s="84"/>
      <x:c r="S70" s="84"/>
      <x:c r="T70" s="84"/>
      <x:c r="U70" s="84"/>
    </x:row>
    <x:row r="71">
      <x:c r="A71" s="84"/>
      <x:c r="B71" s="84"/>
      <x:c r="C71" s="84"/>
      <x:c r="D71" s="84"/>
      <x:c r="E71" s="84"/>
      <x:c r="F71" s="84"/>
      <x:c r="G71" s="84"/>
      <x:c r="H71" s="84"/>
      <x:c r="I71" s="84"/>
      <x:c r="J71" s="84"/>
      <x:c r="K71" s="84"/>
      <x:c r="L71" s="84"/>
      <x:c r="M71" s="84"/>
      <x:c r="N71" s="84"/>
      <x:c r="O71" s="84"/>
      <x:c r="P71" s="84"/>
      <x:c r="Q71" s="84"/>
      <x:c r="R71" s="84"/>
      <x:c r="S71" s="84"/>
      <x:c r="T71" s="84"/>
      <x:c r="U71" s="84"/>
    </x:row>
    <x:row r="72">
      <x:c r="A72" s="84"/>
      <x:c r="B72" s="84"/>
      <x:c r="C72" s="84"/>
      <x:c r="D72" s="84"/>
      <x:c r="E72" s="84"/>
      <x:c r="F72" s="84"/>
      <x:c r="G72" s="84"/>
      <x:c r="H72" s="84"/>
      <x:c r="I72" s="84"/>
      <x:c r="J72" s="84"/>
      <x:c r="K72" s="84"/>
      <x:c r="L72" s="84"/>
      <x:c r="M72" s="84"/>
      <x:c r="N72" s="84"/>
      <x:c r="O72" s="84"/>
      <x:c r="P72" s="84"/>
      <x:c r="Q72" s="84"/>
      <x:c r="R72" s="84"/>
      <x:c r="S72" s="84"/>
      <x:c r="T72" s="84"/>
      <x:c r="U72" s="84"/>
    </x:row>
    <x:row r="73">
      <x:c r="A73" s="84"/>
      <x:c r="B73" s="84"/>
      <x:c r="C73" s="84"/>
      <x:c r="D73" s="84"/>
      <x:c r="E73" s="84"/>
      <x:c r="F73" s="84"/>
      <x:c r="G73" s="84"/>
      <x:c r="H73" s="84"/>
      <x:c r="I73" s="84"/>
      <x:c r="J73" s="84"/>
      <x:c r="K73" s="84"/>
      <x:c r="L73" s="84"/>
      <x:c r="M73" s="84"/>
      <x:c r="N73" s="84"/>
      <x:c r="O73" s="84"/>
      <x:c r="P73" s="84"/>
      <x:c r="Q73" s="84"/>
      <x:c r="R73" s="84"/>
      <x:c r="S73" s="84"/>
      <x:c r="T73" s="84"/>
      <x:c r="U73" s="84"/>
    </x:row>
    <x:row r="74">
      <x:c r="A74" s="84"/>
      <x:c r="B74" s="84"/>
      <x:c r="C74" s="84"/>
      <x:c r="D74" s="84"/>
      <x:c r="E74" s="84"/>
      <x:c r="F74" s="84"/>
      <x:c r="G74" s="84"/>
      <x:c r="H74" s="84"/>
      <x:c r="I74" s="84"/>
      <x:c r="J74" s="84"/>
      <x:c r="K74" s="84"/>
      <x:c r="L74" s="84"/>
      <x:c r="M74" s="84"/>
      <x:c r="N74" s="84"/>
      <x:c r="O74" s="84"/>
      <x:c r="P74" s="84"/>
      <x:c r="Q74" s="84"/>
      <x:c r="R74" s="84"/>
      <x:c r="S74" s="84"/>
      <x:c r="T74" s="84"/>
      <x:c r="U74" s="84"/>
    </x:row>
    <x:row r="75">
      <x:c r="A75" s="84"/>
      <x:c r="B75" s="84"/>
      <x:c r="C75" s="84"/>
      <x:c r="D75" s="84"/>
      <x:c r="E75" s="84"/>
      <x:c r="F75" s="84"/>
      <x:c r="G75" s="84"/>
      <x:c r="H75" s="84"/>
      <x:c r="I75" s="84"/>
      <x:c r="J75" s="84"/>
      <x:c r="K75" s="84"/>
      <x:c r="L75" s="84"/>
      <x:c r="M75" s="84"/>
      <x:c r="N75" s="84"/>
      <x:c r="O75" s="84"/>
      <x:c r="P75" s="84"/>
      <x:c r="Q75" s="84"/>
      <x:c r="R75" s="84"/>
      <x:c r="S75" s="84"/>
      <x:c r="T75" s="84"/>
      <x:c r="U75" s="84"/>
    </x:row>
    <x:row r="76">
      <x:c r="A76" s="84"/>
      <x:c r="B76" s="84"/>
      <x:c r="C76" s="84"/>
      <x:c r="D76" s="84"/>
      <x:c r="E76" s="84"/>
      <x:c r="F76" s="84"/>
      <x:c r="G76" s="84"/>
      <x:c r="H76" s="84"/>
      <x:c r="I76" s="84"/>
      <x:c r="J76" s="84"/>
      <x:c r="K76" s="84"/>
      <x:c r="L76" s="84"/>
      <x:c r="M76" s="84"/>
      <x:c r="N76" s="84"/>
      <x:c r="O76" s="84"/>
      <x:c r="P76" s="84"/>
      <x:c r="Q76" s="84"/>
      <x:c r="R76" s="84"/>
      <x:c r="S76" s="84"/>
      <x:c r="T76" s="84"/>
      <x:c r="U76" s="84"/>
    </x:row>
    <x:row r="77">
      <x:c r="A77" s="84"/>
      <x:c r="B77" s="84"/>
      <x:c r="C77" s="84"/>
      <x:c r="D77" s="84"/>
      <x:c r="E77" s="84"/>
      <x:c r="F77" s="84"/>
      <x:c r="G77" s="84"/>
      <x:c r="H77" s="84"/>
      <x:c r="I77" s="84"/>
      <x:c r="J77" s="84"/>
      <x:c r="K77" s="84"/>
      <x:c r="L77" s="84"/>
      <x:c r="M77" s="84"/>
      <x:c r="N77" s="84"/>
      <x:c r="O77" s="84"/>
      <x:c r="P77" s="84"/>
      <x:c r="Q77" s="84"/>
      <x:c r="R77" s="84"/>
      <x:c r="S77" s="84"/>
      <x:c r="T77" s="84"/>
      <x:c r="U77" s="84"/>
    </x:row>
    <x:row r="78">
      <x:c r="A78" s="84"/>
      <x:c r="B78" s="84"/>
      <x:c r="C78" s="84"/>
      <x:c r="D78" s="84"/>
      <x:c r="E78" s="84"/>
      <x:c r="F78" s="84"/>
      <x:c r="G78" s="84"/>
      <x:c r="H78" s="84"/>
      <x:c r="I78" s="84"/>
      <x:c r="J78" s="84"/>
      <x:c r="K78" s="84"/>
      <x:c r="L78" s="84"/>
      <x:c r="M78" s="84"/>
      <x:c r="N78" s="84"/>
      <x:c r="O78" s="84"/>
      <x:c r="P78" s="84"/>
      <x:c r="Q78" s="84"/>
      <x:c r="R78" s="84"/>
      <x:c r="S78" s="84"/>
      <x:c r="T78" s="84"/>
      <x:c r="U78" s="84"/>
    </x:row>
    <x:row r="79">
      <x:c r="A79" s="84"/>
      <x:c r="B79" s="84"/>
      <x:c r="C79" s="84"/>
      <x:c r="D79" s="84"/>
      <x:c r="E79" s="84"/>
      <x:c r="F79" s="84"/>
      <x:c r="G79" s="84"/>
      <x:c r="H79" s="84"/>
      <x:c r="I79" s="84"/>
      <x:c r="J79" s="84"/>
      <x:c r="K79" s="84"/>
      <x:c r="L79" s="84"/>
      <x:c r="M79" s="84"/>
      <x:c r="N79" s="84"/>
      <x:c r="O79" s="84"/>
      <x:c r="P79" s="84"/>
      <x:c r="Q79" s="84"/>
      <x:c r="R79" s="84"/>
      <x:c r="S79" s="84"/>
      <x:c r="T79" s="84"/>
      <x:c r="U79" s="84"/>
    </x:row>
    <x:row r="80">
      <x:c r="A80" s="84"/>
      <x:c r="B80" s="84"/>
      <x:c r="C80" s="84"/>
      <x:c r="D80" s="84"/>
      <x:c r="E80" s="84"/>
      <x:c r="F80" s="84"/>
      <x:c r="G80" s="84"/>
      <x:c r="H80" s="84"/>
      <x:c r="I80" s="84"/>
      <x:c r="J80" s="84"/>
      <x:c r="K80" s="84"/>
      <x:c r="L80" s="84"/>
      <x:c r="M80" s="84"/>
      <x:c r="N80" s="84"/>
      <x:c r="O80" s="84"/>
      <x:c r="P80" s="84"/>
      <x:c r="Q80" s="84"/>
      <x:c r="R80" s="84"/>
      <x:c r="S80" s="84"/>
      <x:c r="T80" s="84"/>
      <x:c r="U80" s="84"/>
    </x:row>
    <x:row r="81">
      <x:c r="A81" s="84"/>
      <x:c r="B81" s="84"/>
      <x:c r="C81" s="84"/>
      <x:c r="D81" s="84"/>
      <x:c r="E81" s="84"/>
      <x:c r="F81" s="84"/>
      <x:c r="G81" s="84"/>
      <x:c r="H81" s="84"/>
      <x:c r="I81" s="84"/>
      <x:c r="J81" s="84"/>
      <x:c r="K81" s="84"/>
      <x:c r="L81" s="84"/>
      <x:c r="M81" s="84"/>
      <x:c r="N81" s="84"/>
      <x:c r="O81" s="84"/>
      <x:c r="P81" s="84"/>
      <x:c r="Q81" s="84"/>
      <x:c r="R81" s="84"/>
      <x:c r="S81" s="84"/>
      <x:c r="T81" s="84"/>
      <x:c r="U81" s="84"/>
    </x:row>
    <x:row r="82">
      <x:c r="A82" s="84"/>
      <x:c r="B82" s="84"/>
      <x:c r="C82" s="84"/>
      <x:c r="D82" s="84"/>
      <x:c r="E82" s="84"/>
      <x:c r="F82" s="84"/>
      <x:c r="G82" s="84"/>
      <x:c r="H82" s="84"/>
      <x:c r="I82" s="84"/>
      <x:c r="J82" s="84"/>
      <x:c r="K82" s="84"/>
      <x:c r="L82" s="84"/>
      <x:c r="M82" s="84"/>
      <x:c r="N82" s="84"/>
      <x:c r="O82" s="84"/>
      <x:c r="P82" s="84"/>
      <x:c r="Q82" s="84"/>
      <x:c r="R82" s="84"/>
      <x:c r="S82" s="84"/>
      <x:c r="T82" s="84"/>
      <x:c r="U82" s="84"/>
    </x:row>
    <x:row r="83">
      <x:c r="A83" s="84"/>
      <x:c r="B83" s="84"/>
      <x:c r="C83" s="84"/>
      <x:c r="D83" s="84"/>
      <x:c r="E83" s="84"/>
      <x:c r="F83" s="84"/>
      <x:c r="G83" s="84"/>
      <x:c r="H83" s="84"/>
      <x:c r="I83" s="84"/>
      <x:c r="J83" s="84"/>
      <x:c r="K83" s="84"/>
      <x:c r="L83" s="84"/>
      <x:c r="M83" s="84"/>
      <x:c r="N83" s="84"/>
      <x:c r="O83" s="84"/>
      <x:c r="P83" s="84"/>
      <x:c r="Q83" s="84"/>
      <x:c r="R83" s="84"/>
      <x:c r="S83" s="84"/>
      <x:c r="T83" s="84"/>
      <x:c r="U83" s="84"/>
    </x:row>
    <x:row r="84">
      <x:c r="A84" s="84"/>
      <x:c r="B84" s="84"/>
      <x:c r="C84" s="84"/>
      <x:c r="D84" s="84"/>
      <x:c r="E84" s="84"/>
      <x:c r="F84" s="84"/>
      <x:c r="G84" s="84"/>
      <x:c r="H84" s="84"/>
      <x:c r="I84" s="84"/>
      <x:c r="J84" s="84"/>
      <x:c r="K84" s="84"/>
      <x:c r="L84" s="84"/>
      <x:c r="M84" s="84"/>
      <x:c r="N84" s="84"/>
      <x:c r="O84" s="84"/>
      <x:c r="P84" s="84"/>
      <x:c r="Q84" s="84"/>
      <x:c r="R84" s="84"/>
      <x:c r="S84" s="84"/>
      <x:c r="T84" s="84"/>
      <x:c r="U84" s="84"/>
    </x:row>
    <x:row r="85">
      <x:c r="A85" s="84"/>
      <x:c r="B85" s="84"/>
      <x:c r="C85" s="84"/>
      <x:c r="D85" s="84"/>
      <x:c r="E85" s="84"/>
      <x:c r="F85" s="84"/>
      <x:c r="G85" s="84"/>
      <x:c r="H85" s="84"/>
      <x:c r="I85" s="84"/>
      <x:c r="J85" s="84"/>
      <x:c r="K85" s="84"/>
      <x:c r="L85" s="84"/>
      <x:c r="M85" s="84"/>
      <x:c r="N85" s="84"/>
      <x:c r="O85" s="84"/>
      <x:c r="P85" s="84"/>
      <x:c r="Q85" s="84"/>
      <x:c r="R85" s="84"/>
      <x:c r="S85" s="84"/>
      <x:c r="T85" s="84"/>
      <x:c r="U85" s="84"/>
    </x:row>
    <x:row r="86">
      <x:c r="A86" s="84"/>
      <x:c r="B86" s="84"/>
      <x:c r="C86" s="84"/>
      <x:c r="D86" s="84"/>
      <x:c r="E86" s="84"/>
      <x:c r="F86" s="84"/>
      <x:c r="G86" s="84"/>
      <x:c r="H86" s="84"/>
      <x:c r="I86" s="84"/>
      <x:c r="J86" s="84"/>
      <x:c r="K86" s="84"/>
      <x:c r="L86" s="84"/>
      <x:c r="M86" s="84"/>
      <x:c r="N86" s="84"/>
      <x:c r="O86" s="84"/>
      <x:c r="P86" s="84"/>
      <x:c r="Q86" s="84"/>
      <x:c r="R86" s="84"/>
      <x:c r="S86" s="84"/>
      <x:c r="T86" s="84"/>
      <x:c r="U86" s="84"/>
    </x:row>
    <x:row r="87">
      <x:c r="A87" s="84"/>
      <x:c r="B87" s="84"/>
      <x:c r="C87" s="84"/>
      <x:c r="D87" s="84"/>
      <x:c r="E87" s="84"/>
      <x:c r="F87" s="84"/>
      <x:c r="G87" s="84"/>
      <x:c r="H87" s="84"/>
      <x:c r="I87" s="84"/>
      <x:c r="J87" s="84"/>
      <x:c r="K87" s="84"/>
      <x:c r="L87" s="84"/>
      <x:c r="M87" s="84"/>
      <x:c r="N87" s="84"/>
      <x:c r="O87" s="84"/>
      <x:c r="P87" s="84"/>
      <x:c r="Q87" s="84"/>
      <x:c r="R87" s="84"/>
      <x:c r="S87" s="84"/>
      <x:c r="T87" s="84"/>
      <x:c r="U87" s="84"/>
    </x:row>
    <x:row r="88">
      <x:c r="A88" s="84"/>
      <x:c r="B88" s="84"/>
      <x:c r="C88" s="84"/>
      <x:c r="D88" s="84"/>
      <x:c r="E88" s="84"/>
      <x:c r="F88" s="84"/>
      <x:c r="G88" s="84"/>
      <x:c r="H88" s="84"/>
      <x:c r="I88" s="84"/>
      <x:c r="J88" s="84"/>
      <x:c r="K88" s="84"/>
      <x:c r="L88" s="84"/>
      <x:c r="M88" s="84"/>
      <x:c r="N88" s="84"/>
      <x:c r="O88" s="84"/>
      <x:c r="P88" s="84"/>
      <x:c r="Q88" s="84"/>
      <x:c r="R88" s="84"/>
      <x:c r="S88" s="84"/>
      <x:c r="T88" s="84"/>
      <x:c r="U88" s="84"/>
    </x:row>
    <x:row r="89">
      <x:c r="A89" s="84"/>
      <x:c r="B89" s="84"/>
      <x:c r="C89" s="84"/>
      <x:c r="D89" s="84"/>
      <x:c r="E89" s="84"/>
      <x:c r="F89" s="84"/>
      <x:c r="G89" s="84"/>
      <x:c r="H89" s="84"/>
      <x:c r="I89" s="84"/>
      <x:c r="J89" s="84"/>
      <x:c r="K89" s="84"/>
      <x:c r="L89" s="84"/>
      <x:c r="M89" s="84"/>
      <x:c r="N89" s="84"/>
      <x:c r="O89" s="84"/>
      <x:c r="P89" s="84"/>
      <x:c r="Q89" s="84"/>
      <x:c r="R89" s="84"/>
      <x:c r="S89" s="84"/>
      <x:c r="T89" s="84"/>
      <x:c r="U89" s="84"/>
    </x:row>
    <x:row r="90">
      <x:c r="A90" s="84"/>
      <x:c r="B90" s="84"/>
      <x:c r="C90" s="84"/>
      <x:c r="D90" s="84"/>
      <x:c r="E90" s="84"/>
      <x:c r="F90" s="84"/>
      <x:c r="G90" s="84"/>
      <x:c r="H90" s="84"/>
      <x:c r="I90" s="84"/>
      <x:c r="J90" s="84"/>
      <x:c r="K90" s="84"/>
      <x:c r="L90" s="84"/>
      <x:c r="M90" s="84"/>
      <x:c r="N90" s="84"/>
      <x:c r="O90" s="84"/>
      <x:c r="P90" s="84"/>
      <x:c r="Q90" s="84"/>
      <x:c r="R90" s="84"/>
      <x:c r="S90" s="84"/>
      <x:c r="T90" s="84"/>
      <x:c r="U90" s="84"/>
    </x:row>
    <x:row r="91">
      <x:c r="A91" s="84"/>
      <x:c r="B91" s="84"/>
      <x:c r="C91" s="84"/>
      <x:c r="D91" s="84"/>
      <x:c r="E91" s="84"/>
      <x:c r="F91" s="84"/>
      <x:c r="G91" s="84"/>
      <x:c r="H91" s="84"/>
      <x:c r="I91" s="84"/>
      <x:c r="J91" s="84"/>
      <x:c r="K91" s="84"/>
      <x:c r="L91" s="84"/>
      <x:c r="M91" s="84"/>
      <x:c r="N91" s="84"/>
      <x:c r="O91" s="84"/>
      <x:c r="P91" s="84"/>
      <x:c r="Q91" s="84"/>
      <x:c r="R91" s="84"/>
      <x:c r="S91" s="84"/>
      <x:c r="T91" s="84"/>
      <x:c r="U91" s="84"/>
    </x:row>
    <x:row r="92">
      <x:c r="A92" s="84"/>
      <x:c r="B92" s="84"/>
      <x:c r="C92" s="84"/>
      <x:c r="D92" s="84"/>
      <x:c r="E92" s="84"/>
      <x:c r="F92" s="84"/>
      <x:c r="G92" s="84"/>
      <x:c r="H92" s="84"/>
      <x:c r="I92" s="84"/>
      <x:c r="J92" s="84"/>
      <x:c r="K92" s="84"/>
      <x:c r="L92" s="84"/>
      <x:c r="M92" s="84"/>
      <x:c r="N92" s="84"/>
      <x:c r="O92" s="84"/>
      <x:c r="P92" s="84"/>
      <x:c r="Q92" s="84"/>
      <x:c r="R92" s="84"/>
      <x:c r="S92" s="84"/>
      <x:c r="T92" s="84"/>
      <x:c r="U92" s="84"/>
    </x:row>
    <x:row r="93">
      <x:c r="A93" s="84"/>
      <x:c r="B93" s="84"/>
      <x:c r="C93" s="84"/>
      <x:c r="D93" s="84"/>
      <x:c r="E93" s="84"/>
      <x:c r="F93" s="84"/>
      <x:c r="G93" s="84"/>
      <x:c r="H93" s="84"/>
      <x:c r="I93" s="84"/>
      <x:c r="J93" s="84"/>
      <x:c r="K93" s="84"/>
      <x:c r="L93" s="84"/>
      <x:c r="M93" s="84"/>
      <x:c r="N93" s="84"/>
      <x:c r="O93" s="84"/>
      <x:c r="P93" s="84"/>
      <x:c r="Q93" s="84"/>
      <x:c r="R93" s="84"/>
      <x:c r="S93" s="84"/>
      <x:c r="T93" s="84"/>
      <x:c r="U93" s="84"/>
    </x:row>
    <x:row r="94">
      <x:c r="A94" s="84"/>
      <x:c r="B94" s="84"/>
      <x:c r="C94" s="84"/>
      <x:c r="D94" s="84"/>
      <x:c r="E94" s="84"/>
      <x:c r="F94" s="84"/>
      <x:c r="G94" s="84"/>
      <x:c r="H94" s="84"/>
      <x:c r="I94" s="84"/>
      <x:c r="J94" s="84"/>
      <x:c r="K94" s="84"/>
      <x:c r="L94" s="84"/>
      <x:c r="M94" s="84"/>
      <x:c r="N94" s="84"/>
      <x:c r="O94" s="84"/>
      <x:c r="P94" s="84"/>
      <x:c r="Q94" s="84"/>
      <x:c r="R94" s="84"/>
      <x:c r="S94" s="84"/>
      <x:c r="T94" s="84"/>
      <x:c r="U94" s="84"/>
    </x:row>
    <x:row r="95">
      <x:c r="A95" s="84"/>
      <x:c r="B95" s="84"/>
      <x:c r="C95" s="84"/>
      <x:c r="D95" s="84"/>
      <x:c r="E95" s="84"/>
      <x:c r="F95" s="84"/>
      <x:c r="G95" s="84"/>
      <x:c r="H95" s="84"/>
      <x:c r="I95" s="84"/>
      <x:c r="J95" s="84"/>
      <x:c r="K95" s="84"/>
      <x:c r="L95" s="84"/>
      <x:c r="M95" s="84"/>
      <x:c r="N95" s="84"/>
      <x:c r="O95" s="84"/>
      <x:c r="P95" s="84"/>
      <x:c r="Q95" s="84"/>
      <x:c r="R95" s="84"/>
      <x:c r="S95" s="84"/>
      <x:c r="T95" s="84"/>
      <x:c r="U95" s="84"/>
    </x:row>
    <x:row r="96">
      <x:c r="A96" s="84"/>
      <x:c r="B96" s="84"/>
      <x:c r="C96" s="84"/>
      <x:c r="D96" s="84"/>
      <x:c r="E96" s="84"/>
      <x:c r="F96" s="84"/>
      <x:c r="G96" s="84"/>
      <x:c r="H96" s="84"/>
      <x:c r="I96" s="84"/>
      <x:c r="J96" s="84"/>
      <x:c r="K96" s="84"/>
      <x:c r="L96" s="84"/>
      <x:c r="M96" s="84"/>
      <x:c r="N96" s="84"/>
      <x:c r="O96" s="84"/>
      <x:c r="P96" s="84"/>
      <x:c r="Q96" s="84"/>
      <x:c r="R96" s="84"/>
      <x:c r="S96" s="84"/>
      <x:c r="T96" s="84"/>
      <x:c r="U96" s="84"/>
    </x:row>
    <x:row r="97">
      <x:c r="A97" s="84"/>
      <x:c r="B97" s="84"/>
      <x:c r="C97" s="84"/>
      <x:c r="D97" s="84"/>
      <x:c r="E97" s="84"/>
      <x:c r="F97" s="84"/>
      <x:c r="G97" s="84"/>
      <x:c r="H97" s="84"/>
      <x:c r="I97" s="84"/>
      <x:c r="J97" s="84"/>
      <x:c r="K97" s="84"/>
      <x:c r="L97" s="84"/>
      <x:c r="M97" s="84"/>
      <x:c r="N97" s="84"/>
      <x:c r="O97" s="84"/>
      <x:c r="P97" s="84"/>
      <x:c r="Q97" s="84"/>
      <x:c r="R97" s="84"/>
      <x:c r="S97" s="84"/>
      <x:c r="T97" s="84"/>
      <x:c r="U97" s="84"/>
    </x:row>
    <x:row r="98">
      <x:c r="A98" s="84"/>
      <x:c r="B98" s="84"/>
      <x:c r="C98" s="84"/>
      <x:c r="D98" s="84"/>
      <x:c r="E98" s="84"/>
      <x:c r="F98" s="84"/>
      <x:c r="G98" s="84"/>
      <x:c r="H98" s="84"/>
      <x:c r="I98" s="84"/>
      <x:c r="J98" s="84"/>
      <x:c r="K98" s="84"/>
      <x:c r="L98" s="84"/>
      <x:c r="M98" s="84"/>
      <x:c r="N98" s="84"/>
      <x:c r="O98" s="84"/>
      <x:c r="P98" s="84"/>
      <x:c r="Q98" s="84"/>
      <x:c r="R98" s="84"/>
      <x:c r="S98" s="84"/>
      <x:c r="T98" s="84"/>
      <x:c r="U98" s="84"/>
    </x:row>
    <x:row r="99">
      <x:c r="A99" s="84"/>
      <x:c r="B99" s="84"/>
      <x:c r="C99" s="84"/>
      <x:c r="D99" s="84"/>
      <x:c r="E99" s="84"/>
      <x:c r="F99" s="84"/>
      <x:c r="G99" s="84"/>
      <x:c r="H99" s="84"/>
      <x:c r="I99" s="84"/>
      <x:c r="J99" s="84"/>
      <x:c r="K99" s="84"/>
      <x:c r="L99" s="84"/>
      <x:c r="M99" s="84"/>
      <x:c r="N99" s="84"/>
      <x:c r="O99" s="84"/>
      <x:c r="P99" s="84"/>
      <x:c r="Q99" s="84"/>
      <x:c r="R99" s="84"/>
      <x:c r="S99" s="84"/>
      <x:c r="T99" s="84"/>
      <x:c r="U99" s="84"/>
    </x:row>
    <x:row r="100">
      <x:c r="A100" s="84"/>
      <x:c r="B100" s="84"/>
      <x:c r="C100" s="84"/>
      <x:c r="D100" s="84"/>
      <x:c r="E100" s="84"/>
      <x:c r="F100" s="84"/>
      <x:c r="G100" s="84"/>
      <x:c r="H100" s="84"/>
      <x:c r="I100" s="84"/>
      <x:c r="J100" s="84"/>
      <x:c r="K100" s="84"/>
      <x:c r="L100" s="84"/>
      <x:c r="M100" s="84"/>
      <x:c r="N100" s="84"/>
      <x:c r="O100" s="84"/>
      <x:c r="P100" s="84"/>
      <x:c r="Q100" s="84"/>
      <x:c r="R100" s="84"/>
      <x:c r="S100" s="84"/>
      <x:c r="T100" s="84"/>
      <x:c r="U100" s="84"/>
    </x:row>
    <x:row r="101">
      <x:c r="A101" s="84"/>
      <x:c r="B101" s="84"/>
      <x:c r="C101" s="84"/>
      <x:c r="D101" s="84"/>
      <x:c r="E101" s="84"/>
      <x:c r="F101" s="84"/>
      <x:c r="G101" s="84"/>
      <x:c r="H101" s="84"/>
      <x:c r="I101" s="84"/>
      <x:c r="J101" s="84"/>
      <x:c r="K101" s="84"/>
      <x:c r="L101" s="84"/>
      <x:c r="M101" s="84"/>
      <x:c r="N101" s="84"/>
      <x:c r="O101" s="84"/>
      <x:c r="P101" s="84"/>
      <x:c r="Q101" s="84"/>
      <x:c r="R101" s="84"/>
      <x:c r="S101" s="84"/>
      <x:c r="T101" s="84"/>
      <x:c r="U101" s="84"/>
    </x:row>
    <x:row r="102">
      <x:c r="A102" s="84"/>
      <x:c r="B102" s="84"/>
      <x:c r="C102" s="84"/>
      <x:c r="D102" s="84"/>
      <x:c r="E102" s="84"/>
      <x:c r="F102" s="84"/>
      <x:c r="G102" s="84"/>
      <x:c r="H102" s="84"/>
      <x:c r="I102" s="84"/>
      <x:c r="J102" s="84"/>
      <x:c r="K102" s="84"/>
      <x:c r="L102" s="84"/>
      <x:c r="M102" s="84"/>
      <x:c r="N102" s="84"/>
      <x:c r="O102" s="84"/>
      <x:c r="P102" s="84"/>
      <x:c r="Q102" s="84"/>
      <x:c r="R102" s="84"/>
      <x:c r="S102" s="84"/>
      <x:c r="T102" s="84"/>
      <x:c r="U102" s="84"/>
    </x:row>
    <x:row r="103">
      <x:c r="A103" s="84"/>
      <x:c r="B103" s="84"/>
      <x:c r="C103" s="84"/>
      <x:c r="D103" s="84"/>
      <x:c r="E103" s="84"/>
      <x:c r="F103" s="84"/>
      <x:c r="G103" s="84"/>
      <x:c r="H103" s="84"/>
      <x:c r="I103" s="84"/>
      <x:c r="J103" s="84"/>
      <x:c r="K103" s="84"/>
      <x:c r="L103" s="84"/>
      <x:c r="M103" s="84"/>
      <x:c r="N103" s="84"/>
      <x:c r="O103" s="84"/>
      <x:c r="P103" s="84"/>
      <x:c r="Q103" s="84"/>
      <x:c r="R103" s="84"/>
      <x:c r="S103" s="84"/>
      <x:c r="T103" s="84"/>
      <x:c r="U103" s="84"/>
    </x:row>
    <x:row r="104">
      <x:c r="A104" s="84"/>
      <x:c r="B104" s="84"/>
      <x:c r="C104" s="84"/>
      <x:c r="D104" s="84"/>
      <x:c r="E104" s="84"/>
      <x:c r="F104" s="84"/>
      <x:c r="G104" s="84"/>
      <x:c r="H104" s="84"/>
      <x:c r="I104" s="84"/>
      <x:c r="J104" s="84"/>
      <x:c r="K104" s="84"/>
      <x:c r="L104" s="84"/>
      <x:c r="M104" s="84"/>
      <x:c r="N104" s="84"/>
      <x:c r="O104" s="84"/>
      <x:c r="P104" s="84"/>
      <x:c r="Q104" s="84"/>
      <x:c r="R104" s="84"/>
      <x:c r="S104" s="84"/>
      <x:c r="T104" s="84"/>
      <x:c r="U104" s="84"/>
    </x:row>
    <x:row r="105">
      <x:c r="A105" s="84"/>
      <x:c r="B105" s="84"/>
      <x:c r="C105" s="84"/>
      <x:c r="D105" s="84"/>
      <x:c r="E105" s="84"/>
      <x:c r="F105" s="84"/>
      <x:c r="G105" s="84"/>
      <x:c r="H105" s="84"/>
      <x:c r="I105" s="84"/>
      <x:c r="J105" s="84"/>
      <x:c r="K105" s="84"/>
      <x:c r="L105" s="84"/>
      <x:c r="M105" s="84"/>
      <x:c r="N105" s="84"/>
      <x:c r="O105" s="84"/>
      <x:c r="P105" s="84"/>
      <x:c r="Q105" s="84"/>
      <x:c r="R105" s="84"/>
      <x:c r="S105" s="84"/>
      <x:c r="T105" s="84"/>
      <x:c r="U105" s="84"/>
    </x:row>
    <x:row r="106">
      <x:c r="A106" s="84"/>
      <x:c r="B106" s="84"/>
      <x:c r="C106" s="84"/>
      <x:c r="D106" s="84"/>
      <x:c r="E106" s="84"/>
      <x:c r="F106" s="84"/>
      <x:c r="G106" s="84"/>
      <x:c r="H106" s="84"/>
      <x:c r="I106" s="84"/>
      <x:c r="J106" s="84"/>
      <x:c r="K106" s="84"/>
      <x:c r="L106" s="84"/>
      <x:c r="M106" s="84"/>
      <x:c r="N106" s="84"/>
      <x:c r="O106" s="84"/>
      <x:c r="P106" s="84"/>
      <x:c r="Q106" s="84"/>
      <x:c r="R106" s="84"/>
      <x:c r="S106" s="84"/>
      <x:c r="T106" s="84"/>
      <x:c r="U106" s="84"/>
    </x:row>
    <x:row r="107">
      <x:c r="A107" s="84"/>
      <x:c r="B107" s="84"/>
      <x:c r="C107" s="84"/>
      <x:c r="D107" s="84"/>
      <x:c r="E107" s="84"/>
      <x:c r="F107" s="84"/>
      <x:c r="G107" s="84"/>
      <x:c r="H107" s="84"/>
      <x:c r="I107" s="84"/>
      <x:c r="J107" s="84"/>
      <x:c r="K107" s="84"/>
      <x:c r="L107" s="84"/>
      <x:c r="M107" s="84"/>
      <x:c r="N107" s="84"/>
      <x:c r="O107" s="84"/>
      <x:c r="P107" s="84"/>
      <x:c r="Q107" s="84"/>
      <x:c r="R107" s="84"/>
      <x:c r="S107" s="84"/>
      <x:c r="T107" s="84"/>
      <x:c r="U107" s="84"/>
    </x:row>
    <x:row r="108">
      <x:c r="A108" s="84"/>
      <x:c r="B108" s="84"/>
      <x:c r="C108" s="84"/>
      <x:c r="D108" s="84"/>
      <x:c r="E108" s="84"/>
      <x:c r="F108" s="84"/>
      <x:c r="G108" s="84"/>
      <x:c r="H108" s="84"/>
      <x:c r="I108" s="84"/>
      <x:c r="J108" s="84"/>
      <x:c r="K108" s="84"/>
      <x:c r="L108" s="84"/>
      <x:c r="M108" s="84"/>
      <x:c r="N108" s="84"/>
      <x:c r="O108" s="84"/>
      <x:c r="P108" s="84"/>
      <x:c r="Q108" s="84"/>
      <x:c r="R108" s="84"/>
      <x:c r="S108" s="84"/>
      <x:c r="T108" s="84"/>
      <x:c r="U108" s="84"/>
    </x:row>
    <x:row r="109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4"/>
      <x:c r="K109" s="84"/>
      <x:c r="L109" s="84"/>
      <x:c r="M109" s="84"/>
      <x:c r="N109" s="84"/>
      <x:c r="O109" s="84"/>
      <x:c r="P109" s="84"/>
      <x:c r="Q109" s="84"/>
      <x:c r="R109" s="84"/>
      <x:c r="S109" s="84"/>
      <x:c r="T109" s="84"/>
      <x:c r="U109" s="84"/>
    </x:row>
    <x:row r="110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4"/>
      <x:c r="K110" s="84"/>
      <x:c r="L110" s="84"/>
      <x:c r="M110" s="84"/>
      <x:c r="N110" s="84"/>
      <x:c r="O110" s="84"/>
      <x:c r="P110" s="84"/>
      <x:c r="Q110" s="84"/>
      <x:c r="R110" s="84"/>
      <x:c r="S110" s="84"/>
      <x:c r="T110" s="84"/>
      <x:c r="U110" s="84"/>
    </x:row>
  </x:sheetData>
  <x:mergeCells>
    <x:mergeCell ref="A1:L1"/>
    <x:mergeCell ref="G3:L3"/>
    <x:mergeCell ref="G4:L7"/>
    <x:mergeCell ref="A14:F14"/>
  </x:mergeCells>
  <x:conditionalFormatting sqref="G4:L7">
    <x:cfRule type="expression" dxfId="10" priority="1">
      <x:formula>$G$4="ACTION NEEDED"</x:formula>
    </x:cfRule>
    <x:cfRule type="expression" dxfId="11" priority="2">
      <x:formula>$G$4="READY FOR FINAL CHECK"</x:formula>
    </x:cfRule>
    <x:cfRule type="expression" dxfId="12" priority="3">
      <x:formula>$G$4="BUILDING"</x:formula>
    </x:cfRule>
  </x:conditionalFormatting>
  <x:conditionalFormatting sqref="C16:C24">
    <x:cfRule type="expression" dxfId="13" priority="4">
      <x:formula>$C16="Due / Past"</x:formula>
    </x:cfRule>
    <x:cfRule type="expression" dxfId="14" priority="5">
      <x:formula>$C16="Due Soon"</x:formula>
    </x:cfRule>
  </x:conditionalFormatting>
  <x:pageMargins left="0.7" right="0.7" top="0.75" bottom="0.75" header="0.3" footer="0.3"/>
  <x:drawing xmlns:r="http://schemas.openxmlformats.org/officeDocument/2006/relationships" r:id="R670caf18f17e4b7b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Source Type</x:v>
      </x:c>
      <x:c r="C1" t="str">
        <x:v>Source Role</x:v>
      </x:c>
      <x:c r="D1" t="str">
        <x:v>Evidence Use</x:v>
      </x:c>
      <x:c r="E1" t="str">
        <x:v>Rating</x:v>
      </x:c>
      <x:c r="F1" t="str">
        <x:v>YesNo</x:v>
      </x:c>
      <x:c r="G1" t="str">
        <x:v>Priority</x:v>
      </x:c>
      <x:c r="H1" t="str">
        <x:v>QA</x:v>
      </x:c>
    </x:row>
    <x:row r="2">
      <x:c r="A2" t="str">
        <x:v>Not Started</x:v>
      </x:c>
      <x:c r="B2" t="str">
        <x:v>Journal Article</x:v>
      </x:c>
      <x:c r="C2" t="str">
        <x:v>Primary</x:v>
      </x:c>
      <x:c r="D2" t="str">
        <x:v>Support</x:v>
      </x:c>
      <x:c r="E2" t="n">
        <x:v>1</x:v>
      </x:c>
      <x:c r="F2" t="str">
        <x:v>Yes</x:v>
      </x:c>
      <x:c r="G2" t="str">
        <x:v>Low</x:v>
      </x:c>
      <x:c r="H2" t="str">
        <x:v>Not Started</x:v>
      </x:c>
    </x:row>
    <x:row r="3">
      <x:c r="A3" t="str">
        <x:v>In Progress</x:v>
      </x:c>
      <x:c r="B3" t="str">
        <x:v>Book</x:v>
      </x:c>
      <x:c r="C3" t="str">
        <x:v>Secondary</x:v>
      </x:c>
      <x:c r="D3" t="str">
        <x:v>Counterargument</x:v>
      </x:c>
      <x:c r="E3" t="n">
        <x:v>2</x:v>
      </x:c>
      <x:c r="F3" t="str">
        <x:v>No</x:v>
      </x:c>
      <x:c r="G3" t="str">
        <x:v>Medium</x:v>
      </x:c>
      <x:c r="H3" t="str">
        <x:v>In Progress</x:v>
      </x:c>
    </x:row>
    <x:row r="4">
      <x:c r="A4" t="str">
        <x:v>Complete</x:v>
      </x:c>
      <x:c r="B4" t="str">
        <x:v>Book Chapter</x:v>
      </x:c>
      <x:c r="C4" t="str">
        <x:v>Mixed / Other</x:v>
      </x:c>
      <x:c r="D4" t="str">
        <x:v>Context</x:v>
      </x:c>
      <x:c r="E4" t="n">
        <x:v>3</x:v>
      </x:c>
      <x:c r="F4" t="str">
        <x:v>Unsure</x:v>
      </x:c>
      <x:c r="G4" t="str">
        <x:v>High</x:v>
      </x:c>
      <x:c r="H4" t="str">
        <x:v>Complete</x:v>
      </x:c>
    </x:row>
    <x:row r="5">
      <x:c r="A5" t="str">
        <x:v>Needs Review</x:v>
      </x:c>
      <x:c r="B5" t="str">
        <x:v>Webpage</x:v>
      </x:c>
      <x:c r="D5" t="str">
        <x:v>Method</x:v>
      </x:c>
      <x:c r="E5" t="n">
        <x:v>4</x:v>
      </x:c>
      <x:c r="G5" t="str">
        <x:v>Critical</x:v>
      </x:c>
      <x:c r="H5" t="str">
        <x:v>Not Applicable</x:v>
      </x:c>
    </x:row>
    <x:row r="6">
      <x:c r="A6" t="str">
        <x:v>Blocked</x:v>
      </x:c>
      <x:c r="B6" t="str">
        <x:v>Report</x:v>
      </x:c>
      <x:c r="D6" t="str">
        <x:v>Limitation</x:v>
      </x:c>
      <x:c r="E6" t="n">
        <x:v>5</x:v>
      </x:c>
    </x:row>
    <x:row r="7">
      <x:c r="A7" t="str">
        <x:v>Optional</x:v>
      </x:c>
      <x:c r="B7" t="str">
        <x:v>Dataset</x:v>
      </x:c>
    </x:row>
    <x:row r="8">
      <x:c r="A8" t="str">
        <x:v>Not Applicable</x:v>
      </x:c>
      <x:c r="B8" t="str">
        <x:v>Interview / Primary Source</x:v>
      </x:c>
    </x:row>
    <x:row r="9">
      <x:c r="A9" t="str">
        <x:v>Waiting</x:v>
      </x:c>
      <x:c r="B9" t="str">
        <x:v>Other</x:v>
      </x:c>
    </x:row>
  </x:sheetData>
  <x:pageMargins left="0.7" right="0.7" top="0.75" bottom="0.75" header="0.3" footer="0.3"/>
</x:worksheet>
</file>